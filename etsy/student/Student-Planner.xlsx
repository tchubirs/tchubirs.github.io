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Assignments" sheetId="2" state="visible" r:id="rId2"/>
    <sheet name="Courses" sheetId="3" state="visible" r:id="rId3"/>
    <sheet name="Study log" sheetId="4" state="visible" r:id="rId4"/>
    <sheet name="Timetable" sheetId="5" state="visible" r:id="rId5"/>
    <sheet name="Settings" sheetId="6" state="visible" r:id="rId6"/>
    <sheet name="Start Here" sheetId="7" state="visible" r:id="rId7"/>
  </sheets>
  <definedNames/>
  <calcPr calcId="124519" fullCalcOnLoad="1"/>
</workbook>
</file>

<file path=xl/styles.xml><?xml version="1.0" encoding="utf-8"?>
<styleSheet xmlns="http://schemas.openxmlformats.org/spreadsheetml/2006/main">
  <numFmts count="9">
    <numFmt numFmtId="164" formatCode="0.0"/>
    <numFmt numFmtId="165" formatCode="yyyy-mm-dd"/>
    <numFmt numFmtId="166" formatCode="DD MMM YYYY"/>
    <numFmt numFmtId="167" formatCode="0.##"/>
    <numFmt numFmtId="168" formatCode="0.0%"/>
    <numFmt numFmtId="169" formatCode="0.0&quot; h&quot;"/>
    <numFmt numFmtId="170" formatCode="0&quot; h&quot;"/>
    <numFmt numFmtId="171" formatCode="ddd d mmm"/>
    <numFmt numFmtId="172" formatCode="d mmm"/>
  </numFmts>
  <fonts count="16">
    <font>
      <name val="Calibri"/>
      <family val="2"/>
      <color theme="1"/>
      <sz val="11"/>
      <scheme val="minor"/>
    </font>
    <font>
      <name val="Arial"/>
      <b val="1"/>
      <color rgb="0015525A"/>
      <sz val="22"/>
    </font>
    <font>
      <name val="Arial"/>
      <i val="1"/>
      <color rgb="006B7B80"/>
      <sz val="11"/>
    </font>
    <font>
      <name val="Arial"/>
      <b val="1"/>
      <color rgb="00FFFFFF"/>
      <sz val="11"/>
    </font>
    <font>
      <name val="Arial"/>
      <b val="1"/>
      <color rgb="001E2A2F"/>
      <sz val="11"/>
    </font>
    <font>
      <name val="Arial"/>
      <color rgb="001E2A2F"/>
      <sz val="11"/>
    </font>
    <font>
      <name val="Arial"/>
      <i val="1"/>
      <color rgb="006B7B80"/>
      <sz val="10"/>
    </font>
    <font>
      <name val="Arial"/>
      <b val="1"/>
      <color rgb="006B7B80"/>
      <sz val="10"/>
    </font>
    <font>
      <name val="Arial"/>
      <b val="1"/>
      <color rgb="0015525A"/>
      <sz val="10"/>
    </font>
    <font>
      <name val="Arial"/>
      <b val="1"/>
      <color rgb="001F6F78"/>
      <sz val="16"/>
    </font>
    <font>
      <name val="Arial"/>
      <b val="1"/>
      <color rgb="00B07A00"/>
      <sz val="16"/>
    </font>
    <font>
      <name val="Arial"/>
      <b val="1"/>
      <color rgb="00B4541F"/>
      <sz val="16"/>
    </font>
    <font>
      <name val="Arial"/>
      <b val="1"/>
      <color rgb="006B7B80"/>
      <sz val="16"/>
    </font>
    <font>
      <name val="Arial"/>
      <i val="1"/>
      <color rgb="006B7B80"/>
      <sz val="9"/>
    </font>
    <font>
      <name val="Arial"/>
      <b val="1"/>
      <color rgb="001F6F78"/>
      <sz val="18"/>
    </font>
    <font>
      <name val="Arial"/>
      <color rgb="001E2A2F"/>
      <sz val="13"/>
    </font>
  </fonts>
  <fills count="5">
    <fill>
      <patternFill/>
    </fill>
    <fill>
      <patternFill patternType="gray125"/>
    </fill>
    <fill>
      <patternFill patternType="solid">
        <fgColor rgb="00FFFFFF"/>
        <bgColor rgb="00FFFFFF"/>
      </patternFill>
    </fill>
    <fill>
      <patternFill patternType="solid">
        <fgColor rgb="001F6F78"/>
        <bgColor rgb="001F6F78"/>
      </patternFill>
    </fill>
    <fill>
      <patternFill patternType="solid">
        <fgColor rgb="00FFF4C2"/>
        <bgColor rgb="00FFF4C2"/>
      </patternFill>
    </fill>
  </fills>
  <borders count="5">
    <border>
      <left/>
      <right/>
      <top/>
      <bottom/>
      <diagonal/>
    </border>
    <border>
      <left style="thin">
        <color rgb="00D5DBDB"/>
      </left>
      <right style="thin">
        <color rgb="00D5DBDB"/>
      </right>
      <top style="thin">
        <color rgb="00D5DBDB"/>
      </top>
      <bottom style="thin">
        <color rgb="00D5DBDB"/>
      </bottom>
    </border>
    <border>
      <left/>
      <right/>
      <top style="thin">
        <color rgb="00D5DBDB"/>
      </top>
      <bottom/>
      <diagonal/>
    </border>
    <border>
      <left/>
      <right style="thin">
        <color rgb="00D5DBDB"/>
      </right>
      <top style="thin">
        <color rgb="00D5DBDB"/>
      </top>
      <bottom/>
      <diagonal/>
    </border>
    <border>
      <left/>
      <right style="thin">
        <color rgb="00D5DBDB"/>
      </right>
      <top style="thin">
        <color rgb="00D5DBDB"/>
      </top>
      <bottom style="thin">
        <color rgb="00D5DBDB"/>
      </bottom>
      <diagonal/>
    </border>
  </borders>
  <cellStyleXfs count="1">
    <xf numFmtId="0" fontId="0" fillId="0" borderId="0"/>
  </cellStyleXfs>
  <cellXfs count="40">
    <xf numFmtId="0" fontId="0" fillId="0" borderId="0" pivotButton="0" quotePrefix="0" xfId="0"/>
    <xf numFmtId="0" fontId="0" fillId="2" borderId="0" pivotButton="0" quotePrefix="0" xfId="0"/>
    <xf numFmtId="0" fontId="1" fillId="2" borderId="0" pivotButton="0" quotePrefix="0" xfId="0"/>
    <xf numFmtId="0" fontId="2" fillId="2" borderId="0" pivotButton="0" quotePrefix="0" xfId="0"/>
    <xf numFmtId="0" fontId="7" fillId="2" borderId="1" pivotButton="0" quotePrefix="0" xfId="0"/>
    <xf numFmtId="0" fontId="0" fillId="0" borderId="4" pivotButton="0" quotePrefix="0" xfId="0"/>
    <xf numFmtId="2" fontId="9" fillId="2" borderId="1" applyAlignment="1" pivotButton="0" quotePrefix="0" xfId="0">
      <alignment horizontal="right"/>
    </xf>
    <xf numFmtId="1" fontId="10" fillId="2" borderId="1" applyAlignment="1" pivotButton="0" quotePrefix="0" xfId="0">
      <alignment horizontal="right"/>
    </xf>
    <xf numFmtId="1" fontId="11" fillId="2" borderId="1" applyAlignment="1" pivotButton="0" quotePrefix="0" xfId="0">
      <alignment horizontal="right"/>
    </xf>
    <xf numFmtId="169" fontId="9" fillId="2" borderId="1" applyAlignment="1" pivotButton="0" quotePrefix="0" xfId="0">
      <alignment horizontal="right"/>
    </xf>
    <xf numFmtId="170" fontId="12" fillId="2" borderId="1" applyAlignment="1" pivotButton="0" quotePrefix="0" xfId="0">
      <alignment horizontal="right"/>
    </xf>
    <xf numFmtId="0" fontId="3" fillId="3" borderId="1" applyAlignment="1" pivotButton="0" quotePrefix="0" xfId="0">
      <alignment horizontal="center" vertical="center" wrapText="1"/>
    </xf>
    <xf numFmtId="0" fontId="4" fillId="2" borderId="1" pivotButton="0" quotePrefix="0" xfId="0"/>
    <xf numFmtId="168" fontId="4" fillId="2" borderId="1" applyAlignment="1" pivotButton="0" quotePrefix="0" xfId="0">
      <alignment horizontal="center" vertical="center"/>
    </xf>
    <xf numFmtId="0" fontId="4" fillId="2" borderId="1" applyAlignment="1" pivotButton="0" quotePrefix="0" xfId="0">
      <alignment horizontal="center" vertical="center"/>
    </xf>
    <xf numFmtId="9" fontId="5" fillId="2" borderId="1" applyAlignment="1" pivotButton="0" quotePrefix="0" xfId="0">
      <alignment horizontal="center" vertical="center"/>
    </xf>
    <xf numFmtId="168" fontId="5" fillId="2" borderId="1" applyAlignment="1" pivotButton="0" quotePrefix="0" xfId="0">
      <alignment horizontal="center" vertical="center"/>
    </xf>
    <xf numFmtId="1" fontId="5" fillId="2" borderId="1" applyAlignment="1" pivotButton="0" quotePrefix="0" xfId="0">
      <alignment horizontal="center" vertical="center"/>
    </xf>
    <xf numFmtId="171" fontId="5" fillId="2" borderId="1" applyAlignment="1" pivotButton="0" quotePrefix="0" xfId="0">
      <alignment horizontal="center" vertical="center"/>
    </xf>
    <xf numFmtId="0" fontId="5" fillId="2" borderId="1" pivotButton="0" quotePrefix="0" xfId="0"/>
    <xf numFmtId="0" fontId="5" fillId="2" borderId="1" applyAlignment="1" pivotButton="0" quotePrefix="0" xfId="0">
      <alignment horizontal="center" vertical="center"/>
    </xf>
    <xf numFmtId="0" fontId="13" fillId="2" borderId="0" pivotButton="0" quotePrefix="0" xfId="0"/>
    <xf numFmtId="172" fontId="5" fillId="2" borderId="1" applyAlignment="1" pivotButton="0" quotePrefix="0" xfId="0">
      <alignment horizontal="center" vertical="center"/>
    </xf>
    <xf numFmtId="164" fontId="5" fillId="2" borderId="1" applyAlignment="1" pivotButton="0" quotePrefix="0" xfId="0">
      <alignment horizontal="center" vertical="center"/>
    </xf>
    <xf numFmtId="0" fontId="4" fillId="4" borderId="1" pivotButton="0" quotePrefix="0" xfId="0"/>
    <xf numFmtId="0" fontId="5" fillId="4" borderId="1" pivotButton="0" quotePrefix="0" xfId="0"/>
    <xf numFmtId="166" fontId="5" fillId="4" borderId="1" pivotButton="0" quotePrefix="0" xfId="0"/>
    <xf numFmtId="0" fontId="5" fillId="4" borderId="1" applyAlignment="1" pivotButton="0" quotePrefix="0" xfId="0">
      <alignment horizontal="center" vertical="center"/>
    </xf>
    <xf numFmtId="167" fontId="5" fillId="4" borderId="1" applyAlignment="1" pivotButton="0" quotePrefix="0" xfId="0">
      <alignment horizontal="center" vertical="center"/>
    </xf>
    <xf numFmtId="1" fontId="5" fillId="4" borderId="1" applyAlignment="1" pivotButton="0" quotePrefix="0" xfId="0">
      <alignment horizontal="center" vertical="center"/>
    </xf>
    <xf numFmtId="9" fontId="5" fillId="4" borderId="1" applyAlignment="1" pivotButton="0" quotePrefix="0" xfId="0">
      <alignment horizontal="center" vertical="center"/>
    </xf>
    <xf numFmtId="0" fontId="6" fillId="2" borderId="0" pivotButton="0" quotePrefix="0" xfId="0"/>
    <xf numFmtId="0" fontId="7" fillId="2" borderId="0" applyAlignment="1" pivotButton="0" quotePrefix="0" xfId="0">
      <alignment horizontal="right" vertical="center"/>
    </xf>
    <xf numFmtId="0" fontId="8" fillId="4" borderId="1" applyAlignment="1" pivotButton="0" quotePrefix="0" xfId="0">
      <alignment horizontal="center" vertical="center" wrapText="1"/>
    </xf>
    <xf numFmtId="0" fontId="4" fillId="4" borderId="1" applyAlignment="1" pivotButton="0" quotePrefix="0" xfId="0">
      <alignment horizontal="center" vertical="center"/>
    </xf>
    <xf numFmtId="164" fontId="5" fillId="4" borderId="1" applyAlignment="1" pivotButton="0" quotePrefix="0" xfId="0">
      <alignment horizontal="center" vertical="center"/>
    </xf>
    <xf numFmtId="0" fontId="4" fillId="2" borderId="0" pivotButton="0" quotePrefix="0" xfId="0"/>
    <xf numFmtId="1" fontId="4" fillId="4" borderId="1" applyAlignment="1" pivotButton="0" quotePrefix="0" xfId="0">
      <alignment horizontal="center" vertical="center"/>
    </xf>
    <xf numFmtId="0" fontId="14" fillId="2" borderId="0" pivotButton="0" quotePrefix="0" xfId="0"/>
    <xf numFmtId="0" fontId="15" fillId="2" borderId="0" pivotButton="0" quotePrefix="0" xfId="0"/>
  </cellXfs>
  <cellStyles count="1">
    <cellStyle name="Normal" xfId="0" builtinId="0" hidden="0"/>
  </cellStyles>
  <dxfs count="13">
    <dxf>
      <fill>
        <patternFill patternType="solid">
          <fgColor rgb="00D8F0DC"/>
          <bgColor rgb="00D8F0DC"/>
        </patternFill>
      </fill>
    </dxf>
    <dxf>
      <fill>
        <patternFill patternType="solid">
          <fgColor rgb="00FFE2B8"/>
          <bgColor rgb="00FFE2B8"/>
        </patternFill>
      </fill>
    </dxf>
    <dxf>
      <fill>
        <patternFill patternType="solid">
          <fgColor rgb="00F9C9C4"/>
          <bgColor rgb="00F9C9C4"/>
        </patternFill>
      </fill>
    </dxf>
    <dxf>
      <font>
        <name val="Arial"/>
        <b val="1"/>
        <color rgb="009B1C1C"/>
      </font>
      <fill>
        <patternFill patternType="solid">
          <fgColor rgb="00F9C9C4"/>
          <bgColor rgb="00F9C9C4"/>
        </patternFill>
      </fill>
    </dxf>
    <dxf>
      <fill>
        <patternFill patternType="solid">
          <fgColor rgb="00CFE8E4"/>
          <bgColor rgb="00CFE8E4"/>
        </patternFill>
      </fill>
    </dxf>
    <dxf>
      <fill>
        <patternFill patternType="solid">
          <fgColor rgb="00FCE9B8"/>
          <bgColor rgb="00FCE9B8"/>
        </patternFill>
      </fill>
    </dxf>
    <dxf>
      <fill>
        <patternFill patternType="solid">
          <fgColor rgb="00E3E8FF"/>
          <bgColor rgb="00E3E8FF"/>
        </patternFill>
      </fill>
    </dxf>
    <dxf>
      <fill>
        <patternFill patternType="solid">
          <fgColor rgb="00F9D7C4"/>
          <bgColor rgb="00F9D7C4"/>
        </patternFill>
      </fill>
    </dxf>
    <dxf>
      <fill>
        <patternFill patternType="solid">
          <fgColor rgb="00DDEFD0"/>
          <bgColor rgb="00DDEFD0"/>
        </patternFill>
      </fill>
    </dxf>
    <dxf>
      <fill>
        <patternFill patternType="solid">
          <fgColor rgb="00EBDDF5"/>
          <bgColor rgb="00EBDDF5"/>
        </patternFill>
      </fill>
    </dxf>
    <dxf>
      <fill>
        <patternFill patternType="solid">
          <fgColor rgb="00D4ECF7"/>
          <bgColor rgb="00D4ECF7"/>
        </patternFill>
      </fill>
    </dxf>
    <dxf>
      <fill>
        <patternFill patternType="solid">
          <fgColor rgb="00F5DCE6"/>
          <bgColor rgb="00F5DCE6"/>
        </patternFill>
      </fill>
    </dxf>
    <dxf>
      <fill>
        <patternFill patternType="solid">
          <fgColor rgb="00EEF1F1"/>
          <bgColor rgb="00EEF1F1"/>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charts/chart1.xml><?xml version="1.0" encoding="utf-8"?>
<chartSpace xmlns:a="http://schemas.openxmlformats.org/drawingml/2006/main" xmlns="http://schemas.openxmlformats.org/drawingml/2006/chart">
  <chart>
    <title>
      <tx>
        <rich>
          <a:bodyPr/>
          <a:p>
            <a:pPr>
              <a:defRPr/>
            </a:pPr>
            <a:r>
              <a:t>Study hours by week</a:t>
            </a:r>
          </a:p>
        </rich>
      </tx>
    </title>
    <plotArea>
      <barChart>
        <barDir val="col"/>
        <grouping val="clustered"/>
        <ser>
          <idx val="0"/>
          <order val="0"/>
          <tx>
            <strRef>
              <f>'Dashboard'!C21</f>
            </strRef>
          </tx>
          <spPr>
            <a:solidFill>
              <a:srgbClr val="1F6F78"/>
            </a:solidFill>
            <a:ln>
              <a:prstDash val="solid"/>
            </a:ln>
          </spPr>
          <cat>
            <numRef>
              <f>'Dashboard'!$B$22:$B$27</f>
            </numRef>
          </cat>
          <val>
            <numRef>
              <f>'Dashboard'!$C$22:$C$27</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numFmt formatCode="0" sourceLinked="0"/>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5</col>
      <colOff>0</colOff>
      <row>20</row>
      <rowOff>0</rowOff>
    </from>
    <ext cx="4320000" cy="252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fitToPage="1"/>
  </sheetPr>
  <dimension ref="A1:O59"/>
  <sheetViews>
    <sheetView showGridLines="0" workbookViewId="0">
      <selection activeCell="A1" sqref="A1"/>
    </sheetView>
  </sheetViews>
  <sheetFormatPr baseColWidth="8" defaultRowHeight="15"/>
  <cols>
    <col width="3" customWidth="1" min="1" max="1"/>
    <col width="22" customWidth="1" min="2" max="2"/>
    <col width="10" customWidth="1" min="3" max="3"/>
    <col width="8" customWidth="1" min="4" max="4"/>
    <col width="9" customWidth="1" min="5" max="5"/>
    <col width="15" customWidth="1" min="6" max="6"/>
    <col width="13" customWidth="1" min="7" max="7"/>
    <col width="3" customWidth="1" min="8" max="8"/>
    <col width="12" customWidth="1" min="9" max="9"/>
    <col width="22" customWidth="1" min="10" max="10"/>
    <col width="22" customWidth="1" min="11" max="11"/>
    <col width="14" customWidth="1" min="12" max="12"/>
    <col width="3" customWidth="1" min="13" max="13"/>
    <col hidden="1" width="13" customWidth="1" min="15" max="15"/>
  </cols>
  <sheetData>
    <row r="1">
      <c r="A1" s="1" t="n"/>
      <c r="B1" s="1" t="n"/>
      <c r="C1" s="1" t="n"/>
      <c r="D1" s="1" t="n"/>
      <c r="E1" s="1" t="n"/>
      <c r="F1" s="1" t="n"/>
      <c r="G1" s="1" t="n"/>
      <c r="H1" s="1" t="n"/>
      <c r="I1" s="1" t="n"/>
      <c r="J1" s="1" t="n"/>
      <c r="K1" s="1" t="n"/>
      <c r="L1" s="1" t="n"/>
      <c r="M1" s="1" t="n"/>
      <c r="N1" s="1" t="n"/>
    </row>
    <row r="2" ht="32" customHeight="1">
      <c r="A2" s="1" t="n"/>
      <c r="B2" s="2" t="inlineStr">
        <is>
          <t>Student dashboard</t>
        </is>
      </c>
      <c r="C2" s="1" t="n"/>
      <c r="D2" s="1" t="n"/>
      <c r="E2" s="1" t="n"/>
      <c r="F2" s="1" t="n"/>
      <c r="G2" s="1" t="n"/>
      <c r="H2" s="1" t="n"/>
      <c r="I2" s="1" t="n"/>
      <c r="J2" s="1" t="n"/>
      <c r="K2" s="1" t="n"/>
      <c r="L2" s="1" t="n"/>
      <c r="M2" s="1" t="n"/>
      <c r="N2" s="1" t="n"/>
    </row>
    <row r="3">
      <c r="A3" s="1" t="n"/>
      <c r="B3" s="3" t="inlineStr">
        <is>
          <t>What is due, where your grades stand, and how much you studied.</t>
        </is>
      </c>
      <c r="C3" s="1" t="n"/>
      <c r="D3" s="1" t="n"/>
      <c r="E3" s="1" t="n"/>
      <c r="F3" s="1" t="n"/>
      <c r="G3" s="1" t="n"/>
      <c r="H3" s="1" t="n"/>
      <c r="I3" s="1" t="n"/>
      <c r="J3" s="1" t="n"/>
      <c r="K3" s="1" t="n"/>
      <c r="L3" s="1" t="n"/>
      <c r="M3" s="1" t="n"/>
      <c r="N3" s="1" t="n"/>
    </row>
    <row r="4">
      <c r="A4" s="1" t="n"/>
      <c r="B4" s="1" t="n"/>
      <c r="C4" s="1" t="n"/>
      <c r="D4" s="1" t="n"/>
      <c r="E4" s="1" t="n"/>
      <c r="F4" s="1" t="n"/>
      <c r="G4" s="1" t="n"/>
      <c r="H4" s="1" t="n"/>
      <c r="I4" s="1" t="n"/>
      <c r="J4" s="1" t="n"/>
      <c r="K4" s="1" t="n"/>
      <c r="L4" s="1" t="n"/>
      <c r="M4" s="1" t="n"/>
      <c r="N4" s="1" t="n"/>
    </row>
    <row r="5">
      <c r="A5" s="1" t="n"/>
      <c r="B5" s="4" t="inlineStr">
        <is>
          <t>GPA so far</t>
        </is>
      </c>
      <c r="C5" s="4" t="inlineStr">
        <is>
          <t>Due in 7 days</t>
        </is>
      </c>
      <c r="D5" s="5" t="n"/>
      <c r="E5" s="4" t="inlineStr">
        <is>
          <t>Late</t>
        </is>
      </c>
      <c r="F5" s="4" t="inlineStr">
        <is>
          <t>Studied this week</t>
        </is>
      </c>
      <c r="G5" s="4" t="inlineStr">
        <is>
          <t>Weekly goal</t>
        </is>
      </c>
      <c r="H5" s="1" t="n"/>
      <c r="I5" s="1" t="n"/>
      <c r="J5" s="1" t="n"/>
      <c r="K5" s="1" t="n"/>
      <c r="L5" s="1" t="n"/>
      <c r="M5" s="1" t="n"/>
      <c r="N5" s="1" t="n"/>
    </row>
    <row r="6" ht="34" customHeight="1">
      <c r="A6" s="1" t="n"/>
      <c r="B6" s="6">
        <f>IF(SUM(Courses!$AF$6:$AF$15)=0,"",SUMPRODUCT(Courses!$AE$6:$AE$15,Courses!$D$6:$D$15)/SUM(Courses!$AF$6:$AF$15))</f>
        <v/>
      </c>
      <c r="C6" s="7">
        <f>COUNTIFS(Assignments!$M$6:$M$505,"&gt;="&amp;TODAY(),Assignments!$M$6:$M$505,"&lt;"&amp;(TODAY()+8))</f>
        <v/>
      </c>
      <c r="D6" s="5" t="n"/>
      <c r="E6" s="8">
        <f>COUNTIFS(Assignments!$M$6:$M$505,"&lt;"&amp;TODAY())</f>
        <v/>
      </c>
      <c r="F6" s="9">
        <f>SUMIFS('Study log'!$D$6:$D$1005,'Study log'!$F$6:$F$1005,TODAY()-WEEKDAY(TODAY(),3))/60</f>
        <v/>
      </c>
      <c r="G6" s="10">
        <f>Settings!$B$15</f>
        <v/>
      </c>
      <c r="H6" s="1" t="n"/>
      <c r="I6" s="1" t="n"/>
      <c r="J6" s="1" t="n"/>
      <c r="K6" s="1" t="n"/>
      <c r="L6" s="1" t="n"/>
      <c r="M6" s="1" t="n"/>
      <c r="N6" s="1" t="n"/>
    </row>
    <row r="7">
      <c r="A7" s="1" t="n"/>
      <c r="B7" s="1" t="n"/>
      <c r="C7" s="1" t="n"/>
      <c r="D7" s="1" t="n"/>
      <c r="E7" s="1" t="n"/>
      <c r="F7" s="1" t="n"/>
      <c r="G7" s="1" t="n"/>
      <c r="H7" s="1" t="n"/>
      <c r="I7" s="1" t="n"/>
      <c r="J7" s="1" t="n"/>
      <c r="K7" s="1" t="n"/>
      <c r="L7" s="1" t="n"/>
      <c r="M7" s="1" t="n"/>
      <c r="N7" s="1" t="n"/>
    </row>
    <row r="8" ht="30" customHeight="1">
      <c r="A8" s="1" t="n"/>
      <c r="B8" s="11" t="inlineStr">
        <is>
          <t>Course</t>
        </is>
      </c>
      <c r="C8" s="11" t="inlineStr">
        <is>
          <t>Grade</t>
        </is>
      </c>
      <c r="D8" s="11" t="inlineStr">
        <is>
          <t>Letter</t>
        </is>
      </c>
      <c r="E8" s="11" t="inlineStr">
        <is>
          <t>Target</t>
        </is>
      </c>
      <c r="F8" s="11" t="inlineStr">
        <is>
          <t>Needed on final</t>
        </is>
      </c>
      <c r="G8" s="11" t="inlineStr">
        <is>
          <t>Due in 7 days</t>
        </is>
      </c>
      <c r="H8" s="1" t="n"/>
      <c r="I8" s="11" t="inlineStr">
        <is>
          <t>Due</t>
        </is>
      </c>
      <c r="J8" s="11" t="inlineStr">
        <is>
          <t>Course</t>
        </is>
      </c>
      <c r="K8" s="11" t="inlineStr">
        <is>
          <t>Title</t>
        </is>
      </c>
      <c r="L8" s="11" t="inlineStr">
        <is>
          <t>When</t>
        </is>
      </c>
      <c r="M8" s="1" t="n"/>
      <c r="N8" s="1" t="n"/>
    </row>
    <row r="9">
      <c r="A9" s="1" t="n"/>
      <c r="B9" s="12">
        <f>IF(Courses!B6="","",Courses!B6)</f>
        <v/>
      </c>
      <c r="C9" s="13">
        <f>IF(B9="","",Courses!M6)</f>
        <v/>
      </c>
      <c r="D9" s="14">
        <f>IF(B9="","",Courses!N6)</f>
        <v/>
      </c>
      <c r="E9" s="15">
        <f>IF(B9="","",Courses!K6)</f>
        <v/>
      </c>
      <c r="F9" s="16">
        <f>IF(B9="","",Courses!O6)</f>
        <v/>
      </c>
      <c r="G9" s="17">
        <f>IF(B9="","",Courses!P6)</f>
        <v/>
      </c>
      <c r="H9" s="1" t="n"/>
      <c r="I9" s="18">
        <f>IF(O9="","",INT(O9))</f>
        <v/>
      </c>
      <c r="J9" s="12">
        <f>IF(O9="","",INDEX(Assignments!$B$6:$B$505,MATCH(O9,Assignments!$M$6:$M$505,0)))</f>
        <v/>
      </c>
      <c r="K9" s="19">
        <f>IF(O9="","",INDEX(Assignments!$C$6:$C$505,MATCH(O9,Assignments!$M$6:$M$505,0)))</f>
        <v/>
      </c>
      <c r="L9" s="20">
        <f>IF(O9="","",INDEX(Assignments!$J$6:$J$505,MATCH(O9,Assignments!$M$6:$M$505,0)))</f>
        <v/>
      </c>
      <c r="M9" s="1" t="n"/>
      <c r="N9" s="1" t="n"/>
      <c r="O9">
        <f>IFERROR(SMALL(Assignments!$M$6:$M$505,1),"")</f>
        <v/>
      </c>
    </row>
    <row r="10">
      <c r="A10" s="1" t="n"/>
      <c r="B10" s="12">
        <f>IF(Courses!B7="","",Courses!B7)</f>
        <v/>
      </c>
      <c r="C10" s="13">
        <f>IF(B10="","",Courses!M7)</f>
        <v/>
      </c>
      <c r="D10" s="14">
        <f>IF(B10="","",Courses!N7)</f>
        <v/>
      </c>
      <c r="E10" s="15">
        <f>IF(B10="","",Courses!K7)</f>
        <v/>
      </c>
      <c r="F10" s="16">
        <f>IF(B10="","",Courses!O7)</f>
        <v/>
      </c>
      <c r="G10" s="17">
        <f>IF(B10="","",Courses!P7)</f>
        <v/>
      </c>
      <c r="H10" s="1" t="n"/>
      <c r="I10" s="18">
        <f>IF(O10="","",INT(O10))</f>
        <v/>
      </c>
      <c r="J10" s="12">
        <f>IF(O10="","",INDEX(Assignments!$B$6:$B$505,MATCH(O10,Assignments!$M$6:$M$505,0)))</f>
        <v/>
      </c>
      <c r="K10" s="19">
        <f>IF(O10="","",INDEX(Assignments!$C$6:$C$505,MATCH(O10,Assignments!$M$6:$M$505,0)))</f>
        <v/>
      </c>
      <c r="L10" s="20">
        <f>IF(O10="","",INDEX(Assignments!$J$6:$J$505,MATCH(O10,Assignments!$M$6:$M$505,0)))</f>
        <v/>
      </c>
      <c r="M10" s="1" t="n"/>
      <c r="N10" s="1" t="n"/>
      <c r="O10">
        <f>IFERROR(SMALL(Assignments!$M$6:$M$505,2),"")</f>
        <v/>
      </c>
    </row>
    <row r="11">
      <c r="A11" s="1" t="n"/>
      <c r="B11" s="12">
        <f>IF(Courses!B8="","",Courses!B8)</f>
        <v/>
      </c>
      <c r="C11" s="13">
        <f>IF(B11="","",Courses!M8)</f>
        <v/>
      </c>
      <c r="D11" s="14">
        <f>IF(B11="","",Courses!N8)</f>
        <v/>
      </c>
      <c r="E11" s="15">
        <f>IF(B11="","",Courses!K8)</f>
        <v/>
      </c>
      <c r="F11" s="16">
        <f>IF(B11="","",Courses!O8)</f>
        <v/>
      </c>
      <c r="G11" s="17">
        <f>IF(B11="","",Courses!P8)</f>
        <v/>
      </c>
      <c r="H11" s="1" t="n"/>
      <c r="I11" s="18">
        <f>IF(O11="","",INT(O11))</f>
        <v/>
      </c>
      <c r="J11" s="12">
        <f>IF(O11="","",INDEX(Assignments!$B$6:$B$505,MATCH(O11,Assignments!$M$6:$M$505,0)))</f>
        <v/>
      </c>
      <c r="K11" s="19">
        <f>IF(O11="","",INDEX(Assignments!$C$6:$C$505,MATCH(O11,Assignments!$M$6:$M$505,0)))</f>
        <v/>
      </c>
      <c r="L11" s="20">
        <f>IF(O11="","",INDEX(Assignments!$J$6:$J$505,MATCH(O11,Assignments!$M$6:$M$505,0)))</f>
        <v/>
      </c>
      <c r="M11" s="1" t="n"/>
      <c r="N11" s="1" t="n"/>
      <c r="O11">
        <f>IFERROR(SMALL(Assignments!$M$6:$M$505,3),"")</f>
        <v/>
      </c>
    </row>
    <row r="12">
      <c r="A12" s="1" t="n"/>
      <c r="B12" s="12">
        <f>IF(Courses!B9="","",Courses!B9)</f>
        <v/>
      </c>
      <c r="C12" s="13">
        <f>IF(B12="","",Courses!M9)</f>
        <v/>
      </c>
      <c r="D12" s="14">
        <f>IF(B12="","",Courses!N9)</f>
        <v/>
      </c>
      <c r="E12" s="15">
        <f>IF(B12="","",Courses!K9)</f>
        <v/>
      </c>
      <c r="F12" s="16">
        <f>IF(B12="","",Courses!O9)</f>
        <v/>
      </c>
      <c r="G12" s="17">
        <f>IF(B12="","",Courses!P9)</f>
        <v/>
      </c>
      <c r="H12" s="1" t="n"/>
      <c r="I12" s="18">
        <f>IF(O12="","",INT(O12))</f>
        <v/>
      </c>
      <c r="J12" s="12">
        <f>IF(O12="","",INDEX(Assignments!$B$6:$B$505,MATCH(O12,Assignments!$M$6:$M$505,0)))</f>
        <v/>
      </c>
      <c r="K12" s="19">
        <f>IF(O12="","",INDEX(Assignments!$C$6:$C$505,MATCH(O12,Assignments!$M$6:$M$505,0)))</f>
        <v/>
      </c>
      <c r="L12" s="20">
        <f>IF(O12="","",INDEX(Assignments!$J$6:$J$505,MATCH(O12,Assignments!$M$6:$M$505,0)))</f>
        <v/>
      </c>
      <c r="M12" s="1" t="n"/>
      <c r="N12" s="1" t="n"/>
      <c r="O12">
        <f>IFERROR(SMALL(Assignments!$M$6:$M$505,4),"")</f>
        <v/>
      </c>
    </row>
    <row r="13">
      <c r="A13" s="1" t="n"/>
      <c r="B13" s="12">
        <f>IF(Courses!B10="","",Courses!B10)</f>
        <v/>
      </c>
      <c r="C13" s="13">
        <f>IF(B13="","",Courses!M10)</f>
        <v/>
      </c>
      <c r="D13" s="14">
        <f>IF(B13="","",Courses!N10)</f>
        <v/>
      </c>
      <c r="E13" s="15">
        <f>IF(B13="","",Courses!K10)</f>
        <v/>
      </c>
      <c r="F13" s="16">
        <f>IF(B13="","",Courses!O10)</f>
        <v/>
      </c>
      <c r="G13" s="17">
        <f>IF(B13="","",Courses!P10)</f>
        <v/>
      </c>
      <c r="H13" s="1" t="n"/>
      <c r="I13" s="18">
        <f>IF(O13="","",INT(O13))</f>
        <v/>
      </c>
      <c r="J13" s="12">
        <f>IF(O13="","",INDEX(Assignments!$B$6:$B$505,MATCH(O13,Assignments!$M$6:$M$505,0)))</f>
        <v/>
      </c>
      <c r="K13" s="19">
        <f>IF(O13="","",INDEX(Assignments!$C$6:$C$505,MATCH(O13,Assignments!$M$6:$M$505,0)))</f>
        <v/>
      </c>
      <c r="L13" s="20">
        <f>IF(O13="","",INDEX(Assignments!$J$6:$J$505,MATCH(O13,Assignments!$M$6:$M$505,0)))</f>
        <v/>
      </c>
      <c r="M13" s="1" t="n"/>
      <c r="N13" s="1" t="n"/>
      <c r="O13">
        <f>IFERROR(SMALL(Assignments!$M$6:$M$505,5),"")</f>
        <v/>
      </c>
    </row>
    <row r="14">
      <c r="A14" s="1" t="n"/>
      <c r="B14" s="12">
        <f>IF(Courses!B11="","",Courses!B11)</f>
        <v/>
      </c>
      <c r="C14" s="13">
        <f>IF(B14="","",Courses!M11)</f>
        <v/>
      </c>
      <c r="D14" s="14">
        <f>IF(B14="","",Courses!N11)</f>
        <v/>
      </c>
      <c r="E14" s="15">
        <f>IF(B14="","",Courses!K11)</f>
        <v/>
      </c>
      <c r="F14" s="16">
        <f>IF(B14="","",Courses!O11)</f>
        <v/>
      </c>
      <c r="G14" s="17">
        <f>IF(B14="","",Courses!P11)</f>
        <v/>
      </c>
      <c r="H14" s="1" t="n"/>
      <c r="I14" s="18">
        <f>IF(O14="","",INT(O14))</f>
        <v/>
      </c>
      <c r="J14" s="12">
        <f>IF(O14="","",INDEX(Assignments!$B$6:$B$505,MATCH(O14,Assignments!$M$6:$M$505,0)))</f>
        <v/>
      </c>
      <c r="K14" s="19">
        <f>IF(O14="","",INDEX(Assignments!$C$6:$C$505,MATCH(O14,Assignments!$M$6:$M$505,0)))</f>
        <v/>
      </c>
      <c r="L14" s="20">
        <f>IF(O14="","",INDEX(Assignments!$J$6:$J$505,MATCH(O14,Assignments!$M$6:$M$505,0)))</f>
        <v/>
      </c>
      <c r="M14" s="1" t="n"/>
      <c r="N14" s="1" t="n"/>
      <c r="O14">
        <f>IFERROR(SMALL(Assignments!$M$6:$M$505,6),"")</f>
        <v/>
      </c>
    </row>
    <row r="15">
      <c r="A15" s="1" t="n"/>
      <c r="B15" s="12">
        <f>IF(Courses!B12="","",Courses!B12)</f>
        <v/>
      </c>
      <c r="C15" s="13">
        <f>IF(B15="","",Courses!M12)</f>
        <v/>
      </c>
      <c r="D15" s="14">
        <f>IF(B15="","",Courses!N12)</f>
        <v/>
      </c>
      <c r="E15" s="15">
        <f>IF(B15="","",Courses!K12)</f>
        <v/>
      </c>
      <c r="F15" s="16">
        <f>IF(B15="","",Courses!O12)</f>
        <v/>
      </c>
      <c r="G15" s="17">
        <f>IF(B15="","",Courses!P12)</f>
        <v/>
      </c>
      <c r="H15" s="1" t="n"/>
      <c r="I15" s="18">
        <f>IF(O15="","",INT(O15))</f>
        <v/>
      </c>
      <c r="J15" s="12">
        <f>IF(O15="","",INDEX(Assignments!$B$6:$B$505,MATCH(O15,Assignments!$M$6:$M$505,0)))</f>
        <v/>
      </c>
      <c r="K15" s="19">
        <f>IF(O15="","",INDEX(Assignments!$C$6:$C$505,MATCH(O15,Assignments!$M$6:$M$505,0)))</f>
        <v/>
      </c>
      <c r="L15" s="20">
        <f>IF(O15="","",INDEX(Assignments!$J$6:$J$505,MATCH(O15,Assignments!$M$6:$M$505,0)))</f>
        <v/>
      </c>
      <c r="M15" s="1" t="n"/>
      <c r="N15" s="1" t="n"/>
      <c r="O15">
        <f>IFERROR(SMALL(Assignments!$M$6:$M$505,7),"")</f>
        <v/>
      </c>
    </row>
    <row r="16">
      <c r="A16" s="1" t="n"/>
      <c r="B16" s="12">
        <f>IF(Courses!B13="","",Courses!B13)</f>
        <v/>
      </c>
      <c r="C16" s="13">
        <f>IF(B16="","",Courses!M13)</f>
        <v/>
      </c>
      <c r="D16" s="14">
        <f>IF(B16="","",Courses!N13)</f>
        <v/>
      </c>
      <c r="E16" s="15">
        <f>IF(B16="","",Courses!K13)</f>
        <v/>
      </c>
      <c r="F16" s="16">
        <f>IF(B16="","",Courses!O13)</f>
        <v/>
      </c>
      <c r="G16" s="17">
        <f>IF(B16="","",Courses!P13)</f>
        <v/>
      </c>
      <c r="H16" s="1" t="n"/>
      <c r="I16" s="18">
        <f>IF(O16="","",INT(O16))</f>
        <v/>
      </c>
      <c r="J16" s="12">
        <f>IF(O16="","",INDEX(Assignments!$B$6:$B$505,MATCH(O16,Assignments!$M$6:$M$505,0)))</f>
        <v/>
      </c>
      <c r="K16" s="19">
        <f>IF(O16="","",INDEX(Assignments!$C$6:$C$505,MATCH(O16,Assignments!$M$6:$M$505,0)))</f>
        <v/>
      </c>
      <c r="L16" s="20">
        <f>IF(O16="","",INDEX(Assignments!$J$6:$J$505,MATCH(O16,Assignments!$M$6:$M$505,0)))</f>
        <v/>
      </c>
      <c r="M16" s="1" t="n"/>
      <c r="N16" s="1" t="n"/>
      <c r="O16">
        <f>IFERROR(SMALL(Assignments!$M$6:$M$505,8),"")</f>
        <v/>
      </c>
    </row>
    <row r="17">
      <c r="A17" s="1" t="n"/>
      <c r="B17" s="12">
        <f>IF(Courses!B14="","",Courses!B14)</f>
        <v/>
      </c>
      <c r="C17" s="13">
        <f>IF(B17="","",Courses!M14)</f>
        <v/>
      </c>
      <c r="D17" s="14">
        <f>IF(B17="","",Courses!N14)</f>
        <v/>
      </c>
      <c r="E17" s="15">
        <f>IF(B17="","",Courses!K14)</f>
        <v/>
      </c>
      <c r="F17" s="16">
        <f>IF(B17="","",Courses!O14)</f>
        <v/>
      </c>
      <c r="G17" s="17">
        <f>IF(B17="","",Courses!P14)</f>
        <v/>
      </c>
      <c r="H17" s="1" t="n"/>
      <c r="I17" s="18">
        <f>IF(O17="","",INT(O17))</f>
        <v/>
      </c>
      <c r="J17" s="12">
        <f>IF(O17="","",INDEX(Assignments!$B$6:$B$505,MATCH(O17,Assignments!$M$6:$M$505,0)))</f>
        <v/>
      </c>
      <c r="K17" s="19">
        <f>IF(O17="","",INDEX(Assignments!$C$6:$C$505,MATCH(O17,Assignments!$M$6:$M$505,0)))</f>
        <v/>
      </c>
      <c r="L17" s="20">
        <f>IF(O17="","",INDEX(Assignments!$J$6:$J$505,MATCH(O17,Assignments!$M$6:$M$505,0)))</f>
        <v/>
      </c>
      <c r="M17" s="1" t="n"/>
      <c r="N17" s="1" t="n"/>
      <c r="O17">
        <f>IFERROR(SMALL(Assignments!$M$6:$M$505,9),"")</f>
        <v/>
      </c>
    </row>
    <row r="18">
      <c r="A18" s="1" t="n"/>
      <c r="B18" s="12">
        <f>IF(Courses!B15="","",Courses!B15)</f>
        <v/>
      </c>
      <c r="C18" s="13">
        <f>IF(B18="","",Courses!M15)</f>
        <v/>
      </c>
      <c r="D18" s="14">
        <f>IF(B18="","",Courses!N15)</f>
        <v/>
      </c>
      <c r="E18" s="15">
        <f>IF(B18="","",Courses!K15)</f>
        <v/>
      </c>
      <c r="F18" s="16">
        <f>IF(B18="","",Courses!O15)</f>
        <v/>
      </c>
      <c r="G18" s="17">
        <f>IF(B18="","",Courses!P15)</f>
        <v/>
      </c>
      <c r="H18" s="1" t="n"/>
      <c r="I18" s="18">
        <f>IF(O18="","",INT(O18))</f>
        <v/>
      </c>
      <c r="J18" s="12">
        <f>IF(O18="","",INDEX(Assignments!$B$6:$B$505,MATCH(O18,Assignments!$M$6:$M$505,0)))</f>
        <v/>
      </c>
      <c r="K18" s="19">
        <f>IF(O18="","",INDEX(Assignments!$C$6:$C$505,MATCH(O18,Assignments!$M$6:$M$505,0)))</f>
        <v/>
      </c>
      <c r="L18" s="20">
        <f>IF(O18="","",INDEX(Assignments!$J$6:$J$505,MATCH(O18,Assignments!$M$6:$M$505,0)))</f>
        <v/>
      </c>
      <c r="M18" s="1" t="n"/>
      <c r="N18" s="1" t="n"/>
      <c r="O18">
        <f>IFERROR(SMALL(Assignments!$M$6:$M$505,10),"")</f>
        <v/>
      </c>
    </row>
    <row r="19">
      <c r="A19" s="1" t="n"/>
      <c r="B19" s="1" t="n"/>
      <c r="C19" s="1" t="n"/>
      <c r="D19" s="1" t="n"/>
      <c r="E19" s="1" t="n"/>
      <c r="F19" s="1" t="n"/>
      <c r="G19" s="1" t="n"/>
      <c r="H19" s="1" t="n"/>
      <c r="I19" s="21" t="inlineStr">
        <is>
          <t>Everything not done yet, the soonest first. Late work comes first.</t>
        </is>
      </c>
      <c r="J19" s="1" t="n"/>
      <c r="K19" s="1" t="n"/>
      <c r="L19" s="1" t="n"/>
      <c r="M19" s="1" t="n"/>
      <c r="N19" s="1" t="n"/>
    </row>
    <row r="20">
      <c r="A20" s="1" t="n"/>
      <c r="B20" s="1" t="n"/>
      <c r="C20" s="1" t="n"/>
      <c r="D20" s="1" t="n"/>
      <c r="E20" s="1" t="n"/>
      <c r="F20" s="1" t="n"/>
      <c r="G20" s="1" t="n"/>
      <c r="H20" s="1" t="n"/>
      <c r="I20" s="1" t="n"/>
      <c r="J20" s="1" t="n"/>
      <c r="K20" s="1" t="n"/>
      <c r="L20" s="1" t="n"/>
      <c r="M20" s="1" t="n"/>
      <c r="N20" s="1" t="n"/>
    </row>
    <row r="21" ht="30" customHeight="1">
      <c r="A21" s="1" t="n"/>
      <c r="B21" s="11" t="inlineStr">
        <is>
          <t>Week of</t>
        </is>
      </c>
      <c r="C21" s="11" t="inlineStr">
        <is>
          <t>Hours</t>
        </is>
      </c>
      <c r="D21" s="11" t="inlineStr">
        <is>
          <t>Goal</t>
        </is>
      </c>
      <c r="E21" s="1" t="n"/>
      <c r="F21" s="1" t="n"/>
      <c r="G21" s="1" t="n"/>
      <c r="H21" s="1" t="n"/>
      <c r="I21" s="1" t="n"/>
      <c r="J21" s="1" t="n"/>
      <c r="K21" s="11" t="inlineStr">
        <is>
          <t>Course</t>
        </is>
      </c>
      <c r="L21" s="11" t="inlineStr">
        <is>
          <t>Hours this term</t>
        </is>
      </c>
      <c r="M21" s="1" t="n"/>
      <c r="N21" s="1" t="n"/>
    </row>
    <row r="22">
      <c r="A22" s="1" t="n"/>
      <c r="B22" s="22">
        <f>TODAY()-WEEKDAY(TODAY(),3)-35</f>
        <v/>
      </c>
      <c r="C22" s="23">
        <f>SUMIFS('Study log'!$D$6:$D$1005,'Study log'!$F$6:$F$1005,B22)/60</f>
        <v/>
      </c>
      <c r="D22" s="17">
        <f>Settings!$B$15</f>
        <v/>
      </c>
      <c r="E22" s="1" t="n"/>
      <c r="F22" s="1" t="n"/>
      <c r="G22" s="1" t="n"/>
      <c r="H22" s="1" t="n"/>
      <c r="I22" s="1" t="n"/>
      <c r="J22" s="1" t="n"/>
      <c r="K22" s="12">
        <f>B9</f>
        <v/>
      </c>
      <c r="L22" s="23">
        <f>IF(K22="","",SUMIFS('Study log'!$D$6:$D$1005,'Study log'!$C$6:$C$1005,K22)/60)</f>
        <v/>
      </c>
      <c r="M22" s="1" t="n"/>
      <c r="N22" s="1" t="n"/>
    </row>
    <row r="23">
      <c r="A23" s="1" t="n"/>
      <c r="B23" s="22">
        <f>TODAY()-WEEKDAY(TODAY(),3)-28</f>
        <v/>
      </c>
      <c r="C23" s="23">
        <f>SUMIFS('Study log'!$D$6:$D$1005,'Study log'!$F$6:$F$1005,B23)/60</f>
        <v/>
      </c>
      <c r="D23" s="17">
        <f>Settings!$B$15</f>
        <v/>
      </c>
      <c r="E23" s="1" t="n"/>
      <c r="F23" s="1" t="n"/>
      <c r="G23" s="1" t="n"/>
      <c r="H23" s="1" t="n"/>
      <c r="I23" s="1" t="n"/>
      <c r="J23" s="1" t="n"/>
      <c r="K23" s="12">
        <f>B10</f>
        <v/>
      </c>
      <c r="L23" s="23">
        <f>IF(K23="","",SUMIFS('Study log'!$D$6:$D$1005,'Study log'!$C$6:$C$1005,K23)/60)</f>
        <v/>
      </c>
      <c r="M23" s="1" t="n"/>
      <c r="N23" s="1" t="n"/>
    </row>
    <row r="24">
      <c r="A24" s="1" t="n"/>
      <c r="B24" s="22">
        <f>TODAY()-WEEKDAY(TODAY(),3)-21</f>
        <v/>
      </c>
      <c r="C24" s="23">
        <f>SUMIFS('Study log'!$D$6:$D$1005,'Study log'!$F$6:$F$1005,B24)/60</f>
        <v/>
      </c>
      <c r="D24" s="17">
        <f>Settings!$B$15</f>
        <v/>
      </c>
      <c r="E24" s="1" t="n"/>
      <c r="F24" s="1" t="n"/>
      <c r="G24" s="1" t="n"/>
      <c r="H24" s="1" t="n"/>
      <c r="I24" s="1" t="n"/>
      <c r="J24" s="1" t="n"/>
      <c r="K24" s="12">
        <f>B11</f>
        <v/>
      </c>
      <c r="L24" s="23">
        <f>IF(K24="","",SUMIFS('Study log'!$D$6:$D$1005,'Study log'!$C$6:$C$1005,K24)/60)</f>
        <v/>
      </c>
      <c r="M24" s="1" t="n"/>
      <c r="N24" s="1" t="n"/>
    </row>
    <row r="25">
      <c r="A25" s="1" t="n"/>
      <c r="B25" s="22">
        <f>TODAY()-WEEKDAY(TODAY(),3)-14</f>
        <v/>
      </c>
      <c r="C25" s="23">
        <f>SUMIFS('Study log'!$D$6:$D$1005,'Study log'!$F$6:$F$1005,B25)/60</f>
        <v/>
      </c>
      <c r="D25" s="17">
        <f>Settings!$B$15</f>
        <v/>
      </c>
      <c r="E25" s="1" t="n"/>
      <c r="F25" s="1" t="n"/>
      <c r="G25" s="1" t="n"/>
      <c r="H25" s="1" t="n"/>
      <c r="I25" s="1" t="n"/>
      <c r="J25" s="1" t="n"/>
      <c r="K25" s="12">
        <f>B12</f>
        <v/>
      </c>
      <c r="L25" s="23">
        <f>IF(K25="","",SUMIFS('Study log'!$D$6:$D$1005,'Study log'!$C$6:$C$1005,K25)/60)</f>
        <v/>
      </c>
      <c r="M25" s="1" t="n"/>
      <c r="N25" s="1" t="n"/>
    </row>
    <row r="26">
      <c r="A26" s="1" t="n"/>
      <c r="B26" s="22">
        <f>TODAY()-WEEKDAY(TODAY(),3)-7</f>
        <v/>
      </c>
      <c r="C26" s="23">
        <f>SUMIFS('Study log'!$D$6:$D$1005,'Study log'!$F$6:$F$1005,B26)/60</f>
        <v/>
      </c>
      <c r="D26" s="17">
        <f>Settings!$B$15</f>
        <v/>
      </c>
      <c r="E26" s="1" t="n"/>
      <c r="F26" s="1" t="n"/>
      <c r="G26" s="1" t="n"/>
      <c r="H26" s="1" t="n"/>
      <c r="I26" s="1" t="n"/>
      <c r="J26" s="1" t="n"/>
      <c r="K26" s="12">
        <f>B13</f>
        <v/>
      </c>
      <c r="L26" s="23">
        <f>IF(K26="","",SUMIFS('Study log'!$D$6:$D$1005,'Study log'!$C$6:$C$1005,K26)/60)</f>
        <v/>
      </c>
      <c r="M26" s="1" t="n"/>
      <c r="N26" s="1" t="n"/>
    </row>
    <row r="27">
      <c r="A27" s="1" t="n"/>
      <c r="B27" s="22">
        <f>TODAY()-WEEKDAY(TODAY(),3)-0</f>
        <v/>
      </c>
      <c r="C27" s="23">
        <f>SUMIFS('Study log'!$D$6:$D$1005,'Study log'!$F$6:$F$1005,B27)/60</f>
        <v/>
      </c>
      <c r="D27" s="17">
        <f>Settings!$B$15</f>
        <v/>
      </c>
      <c r="E27" s="1" t="n"/>
      <c r="F27" s="1" t="n"/>
      <c r="G27" s="1" t="n"/>
      <c r="H27" s="1" t="n"/>
      <c r="I27" s="1" t="n"/>
      <c r="J27" s="1" t="n"/>
      <c r="K27" s="12">
        <f>B14</f>
        <v/>
      </c>
      <c r="L27" s="23">
        <f>IF(K27="","",SUMIFS('Study log'!$D$6:$D$1005,'Study log'!$C$6:$C$1005,K27)/60)</f>
        <v/>
      </c>
      <c r="M27" s="1" t="n"/>
      <c r="N27" s="1" t="n"/>
    </row>
    <row r="28">
      <c r="A28" s="1" t="n"/>
      <c r="B28" s="1" t="n"/>
      <c r="C28" s="1" t="n"/>
      <c r="D28" s="1" t="n"/>
      <c r="E28" s="1" t="n"/>
      <c r="F28" s="1" t="n"/>
      <c r="G28" s="1" t="n"/>
      <c r="H28" s="1" t="n"/>
      <c r="I28" s="1" t="n"/>
      <c r="J28" s="1" t="n"/>
      <c r="K28" s="12">
        <f>B15</f>
        <v/>
      </c>
      <c r="L28" s="23">
        <f>IF(K28="","",SUMIFS('Study log'!$D$6:$D$1005,'Study log'!$C$6:$C$1005,K28)/60)</f>
        <v/>
      </c>
      <c r="M28" s="1" t="n"/>
      <c r="N28" s="1" t="n"/>
    </row>
    <row r="29">
      <c r="A29" s="1" t="n"/>
      <c r="B29" s="1" t="n"/>
      <c r="C29" s="1" t="n"/>
      <c r="D29" s="1" t="n"/>
      <c r="E29" s="1" t="n"/>
      <c r="F29" s="1" t="n"/>
      <c r="G29" s="1" t="n"/>
      <c r="H29" s="1" t="n"/>
      <c r="I29" s="1" t="n"/>
      <c r="J29" s="1" t="n"/>
      <c r="K29" s="12">
        <f>B16</f>
        <v/>
      </c>
      <c r="L29" s="23">
        <f>IF(K29="","",SUMIFS('Study log'!$D$6:$D$1005,'Study log'!$C$6:$C$1005,K29)/60)</f>
        <v/>
      </c>
      <c r="M29" s="1" t="n"/>
      <c r="N29" s="1" t="n"/>
    </row>
    <row r="30">
      <c r="A30" s="1" t="n"/>
      <c r="B30" s="1" t="n"/>
      <c r="C30" s="1" t="n"/>
      <c r="D30" s="1" t="n"/>
      <c r="E30" s="1" t="n"/>
      <c r="F30" s="1" t="n"/>
      <c r="G30" s="1" t="n"/>
      <c r="H30" s="1" t="n"/>
      <c r="I30" s="1" t="n"/>
      <c r="J30" s="1" t="n"/>
      <c r="K30" s="12">
        <f>B17</f>
        <v/>
      </c>
      <c r="L30" s="23">
        <f>IF(K30="","",SUMIFS('Study log'!$D$6:$D$1005,'Study log'!$C$6:$C$1005,K30)/60)</f>
        <v/>
      </c>
      <c r="M30" s="1" t="n"/>
      <c r="N30" s="1" t="n"/>
    </row>
    <row r="31">
      <c r="A31" s="1" t="n"/>
      <c r="B31" s="1" t="n"/>
      <c r="C31" s="1" t="n"/>
      <c r="D31" s="1" t="n"/>
      <c r="E31" s="1" t="n"/>
      <c r="F31" s="1" t="n"/>
      <c r="G31" s="1" t="n"/>
      <c r="H31" s="1" t="n"/>
      <c r="I31" s="1" t="n"/>
      <c r="J31" s="1" t="n"/>
      <c r="K31" s="12">
        <f>B18</f>
        <v/>
      </c>
      <c r="L31" s="23">
        <f>IF(K31="","",SUMIFS('Study log'!$D$6:$D$1005,'Study log'!$C$6:$C$1005,K31)/60)</f>
        <v/>
      </c>
      <c r="M31" s="1" t="n"/>
      <c r="N31" s="1" t="n"/>
    </row>
    <row r="32">
      <c r="A32" s="1" t="n"/>
      <c r="B32" s="1" t="n"/>
      <c r="C32" s="1" t="n"/>
      <c r="D32" s="1" t="n"/>
      <c r="E32" s="1" t="n"/>
      <c r="F32" s="1" t="n"/>
      <c r="G32" s="1" t="n"/>
      <c r="H32" s="1" t="n"/>
      <c r="I32" s="1" t="n"/>
      <c r="J32" s="1" t="n"/>
      <c r="K32" s="1" t="n"/>
      <c r="L32" s="1" t="n"/>
      <c r="M32" s="1" t="n"/>
      <c r="N32" s="1" t="n"/>
    </row>
    <row r="33">
      <c r="A33" s="1" t="n"/>
      <c r="B33" s="1" t="n"/>
      <c r="C33" s="1" t="n"/>
      <c r="D33" s="1" t="n"/>
      <c r="E33" s="1" t="n"/>
      <c r="F33" s="1" t="n"/>
      <c r="G33" s="1" t="n"/>
      <c r="H33" s="1" t="n"/>
      <c r="I33" s="1" t="n"/>
      <c r="J33" s="1" t="n"/>
      <c r="K33" s="1" t="n"/>
      <c r="L33" s="1" t="n"/>
      <c r="M33" s="1" t="n"/>
      <c r="N33" s="1" t="n"/>
    </row>
    <row r="34">
      <c r="A34" s="1" t="n"/>
      <c r="B34" s="1" t="n"/>
      <c r="C34" s="1" t="n"/>
      <c r="D34" s="1" t="n"/>
      <c r="E34" s="1" t="n"/>
      <c r="F34" s="1" t="n"/>
      <c r="G34" s="1" t="n"/>
      <c r="H34" s="1" t="n"/>
      <c r="I34" s="1" t="n"/>
      <c r="J34" s="1" t="n"/>
      <c r="K34" s="1" t="n"/>
      <c r="L34" s="1" t="n"/>
      <c r="M34" s="1" t="n"/>
      <c r="N34" s="1" t="n"/>
    </row>
    <row r="35">
      <c r="A35" s="1" t="n"/>
      <c r="B35" s="1" t="n"/>
      <c r="C35" s="1" t="n"/>
      <c r="D35" s="1" t="n"/>
      <c r="E35" s="1" t="n"/>
      <c r="F35" s="1" t="n"/>
      <c r="G35" s="1" t="n"/>
      <c r="H35" s="1" t="n"/>
      <c r="I35" s="1" t="n"/>
      <c r="J35" s="1" t="n"/>
      <c r="K35" s="1" t="n"/>
      <c r="L35" s="1" t="n"/>
      <c r="M35" s="1" t="n"/>
      <c r="N35" s="1" t="n"/>
    </row>
    <row r="36">
      <c r="A36" s="1" t="n"/>
      <c r="B36" s="1" t="n"/>
      <c r="C36" s="1" t="n"/>
      <c r="D36" s="1" t="n"/>
      <c r="E36" s="1" t="n"/>
      <c r="F36" s="1" t="n"/>
      <c r="G36" s="1" t="n"/>
      <c r="H36" s="1" t="n"/>
      <c r="I36" s="1" t="n"/>
      <c r="J36" s="1" t="n"/>
      <c r="K36" s="1" t="n"/>
      <c r="L36" s="1" t="n"/>
      <c r="M36" s="1" t="n"/>
      <c r="N36" s="1" t="n"/>
    </row>
    <row r="37">
      <c r="A37" s="1" t="n"/>
      <c r="B37" s="1" t="n"/>
      <c r="C37" s="1" t="n"/>
      <c r="D37" s="1" t="n"/>
      <c r="E37" s="1" t="n"/>
      <c r="F37" s="1" t="n"/>
      <c r="G37" s="1" t="n"/>
      <c r="H37" s="1" t="n"/>
      <c r="I37" s="1" t="n"/>
      <c r="J37" s="1" t="n"/>
      <c r="K37" s="1" t="n"/>
      <c r="L37" s="1" t="n"/>
      <c r="M37" s="1" t="n"/>
      <c r="N37" s="1" t="n"/>
    </row>
    <row r="38">
      <c r="A38" s="1" t="n"/>
      <c r="B38" s="1" t="n"/>
      <c r="C38" s="1" t="n"/>
      <c r="D38" s="1" t="n"/>
      <c r="E38" s="1" t="n"/>
      <c r="F38" s="1" t="n"/>
      <c r="G38" s="1" t="n"/>
      <c r="H38" s="1" t="n"/>
      <c r="I38" s="1" t="n"/>
      <c r="J38" s="1" t="n"/>
      <c r="K38" s="1" t="n"/>
      <c r="L38" s="1" t="n"/>
      <c r="M38" s="1" t="n"/>
      <c r="N38" s="1" t="n"/>
    </row>
    <row r="39">
      <c r="A39" s="1" t="n"/>
      <c r="B39" s="1" t="n"/>
      <c r="C39" s="1" t="n"/>
      <c r="D39" s="1" t="n"/>
      <c r="E39" s="1" t="n"/>
      <c r="F39" s="1" t="n"/>
      <c r="G39" s="1" t="n"/>
      <c r="H39" s="1" t="n"/>
      <c r="I39" s="1" t="n"/>
      <c r="J39" s="1" t="n"/>
      <c r="K39" s="1" t="n"/>
      <c r="L39" s="1" t="n"/>
      <c r="M39" s="1" t="n"/>
      <c r="N39" s="1" t="n"/>
    </row>
    <row r="40">
      <c r="A40" s="1" t="n"/>
      <c r="B40" s="1" t="n"/>
      <c r="C40" s="1" t="n"/>
      <c r="D40" s="1" t="n"/>
      <c r="E40" s="1" t="n"/>
      <c r="F40" s="1" t="n"/>
      <c r="G40" s="1" t="n"/>
      <c r="H40" s="1" t="n"/>
      <c r="I40" s="1" t="n"/>
      <c r="J40" s="1" t="n"/>
      <c r="K40" s="1" t="n"/>
      <c r="L40" s="1" t="n"/>
      <c r="M40" s="1" t="n"/>
      <c r="N40" s="1" t="n"/>
    </row>
    <row r="41">
      <c r="A41" s="1" t="n"/>
      <c r="B41" s="1" t="n"/>
      <c r="C41" s="1" t="n"/>
      <c r="D41" s="1" t="n"/>
      <c r="E41" s="1" t="n"/>
      <c r="F41" s="1" t="n"/>
      <c r="G41" s="1" t="n"/>
      <c r="H41" s="1" t="n"/>
      <c r="I41" s="1" t="n"/>
      <c r="J41" s="1" t="n"/>
      <c r="K41" s="1" t="n"/>
      <c r="L41" s="1" t="n"/>
      <c r="M41" s="1" t="n"/>
      <c r="N41" s="1" t="n"/>
    </row>
    <row r="42">
      <c r="A42" s="1" t="n"/>
      <c r="B42" s="1" t="n"/>
      <c r="C42" s="1" t="n"/>
      <c r="D42" s="1" t="n"/>
      <c r="E42" s="1" t="n"/>
      <c r="F42" s="1" t="n"/>
      <c r="G42" s="1" t="n"/>
      <c r="H42" s="1" t="n"/>
      <c r="I42" s="1" t="n"/>
      <c r="J42" s="1" t="n"/>
      <c r="K42" s="1" t="n"/>
      <c r="L42" s="1" t="n"/>
      <c r="M42" s="1" t="n"/>
      <c r="N42" s="1" t="n"/>
    </row>
    <row r="43">
      <c r="A43" s="1" t="n"/>
      <c r="B43" s="1" t="n"/>
      <c r="C43" s="1" t="n"/>
      <c r="D43" s="1" t="n"/>
      <c r="E43" s="1" t="n"/>
      <c r="F43" s="1" t="n"/>
      <c r="G43" s="1" t="n"/>
      <c r="H43" s="1" t="n"/>
      <c r="I43" s="1" t="n"/>
      <c r="J43" s="1" t="n"/>
      <c r="K43" s="1" t="n"/>
      <c r="L43" s="1" t="n"/>
      <c r="M43" s="1" t="n"/>
      <c r="N43" s="1" t="n"/>
    </row>
    <row r="44">
      <c r="A44" s="1" t="n"/>
      <c r="B44" s="1" t="n"/>
      <c r="C44" s="1" t="n"/>
      <c r="D44" s="1" t="n"/>
      <c r="E44" s="1" t="n"/>
      <c r="F44" s="1" t="n"/>
      <c r="G44" s="1" t="n"/>
      <c r="H44" s="1" t="n"/>
      <c r="I44" s="1" t="n"/>
      <c r="J44" s="1" t="n"/>
      <c r="K44" s="1" t="n"/>
      <c r="L44" s="1" t="n"/>
      <c r="M44" s="1" t="n"/>
      <c r="N44" s="1" t="n"/>
    </row>
    <row r="45">
      <c r="A45" s="1" t="n"/>
      <c r="B45" s="1" t="n"/>
      <c r="C45" s="1" t="n"/>
      <c r="D45" s="1" t="n"/>
      <c r="E45" s="1" t="n"/>
      <c r="F45" s="1" t="n"/>
      <c r="G45" s="1" t="n"/>
      <c r="H45" s="1" t="n"/>
      <c r="I45" s="1" t="n"/>
      <c r="J45" s="1" t="n"/>
      <c r="K45" s="1" t="n"/>
      <c r="L45" s="1" t="n"/>
      <c r="M45" s="1" t="n"/>
      <c r="N45" s="1" t="n"/>
    </row>
    <row r="46">
      <c r="A46" s="1" t="n"/>
      <c r="B46" s="1" t="n"/>
      <c r="C46" s="1" t="n"/>
      <c r="D46" s="1" t="n"/>
      <c r="E46" s="1" t="n"/>
      <c r="F46" s="1" t="n"/>
      <c r="G46" s="1" t="n"/>
      <c r="H46" s="1" t="n"/>
      <c r="I46" s="1" t="n"/>
      <c r="J46" s="1" t="n"/>
      <c r="K46" s="1" t="n"/>
      <c r="L46" s="1" t="n"/>
      <c r="M46" s="1" t="n"/>
      <c r="N46" s="1" t="n"/>
    </row>
    <row r="47">
      <c r="A47" s="1" t="n"/>
      <c r="B47" s="1" t="n"/>
      <c r="C47" s="1" t="n"/>
      <c r="D47" s="1" t="n"/>
      <c r="E47" s="1" t="n"/>
      <c r="F47" s="1" t="n"/>
      <c r="G47" s="1" t="n"/>
      <c r="H47" s="1" t="n"/>
      <c r="I47" s="1" t="n"/>
      <c r="J47" s="1" t="n"/>
      <c r="K47" s="1" t="n"/>
      <c r="L47" s="1" t="n"/>
      <c r="M47" s="1" t="n"/>
      <c r="N47" s="1" t="n"/>
    </row>
    <row r="48">
      <c r="A48" s="1" t="n"/>
      <c r="B48" s="1" t="n"/>
      <c r="C48" s="1" t="n"/>
      <c r="D48" s="1" t="n"/>
      <c r="E48" s="1" t="n"/>
      <c r="F48" s="1" t="n"/>
      <c r="G48" s="1" t="n"/>
      <c r="H48" s="1" t="n"/>
      <c r="I48" s="1" t="n"/>
      <c r="J48" s="1" t="n"/>
      <c r="K48" s="1" t="n"/>
      <c r="L48" s="1" t="n"/>
      <c r="M48" s="1" t="n"/>
      <c r="N48" s="1" t="n"/>
    </row>
    <row r="49">
      <c r="A49" s="1" t="n"/>
      <c r="B49" s="1" t="n"/>
      <c r="C49" s="1" t="n"/>
      <c r="D49" s="1" t="n"/>
      <c r="E49" s="1" t="n"/>
      <c r="F49" s="1" t="n"/>
      <c r="G49" s="1" t="n"/>
      <c r="H49" s="1" t="n"/>
      <c r="I49" s="1" t="n"/>
      <c r="J49" s="1" t="n"/>
      <c r="K49" s="1" t="n"/>
      <c r="L49" s="1" t="n"/>
      <c r="M49" s="1" t="n"/>
      <c r="N49" s="1" t="n"/>
    </row>
    <row r="50">
      <c r="A50" s="1" t="n"/>
      <c r="B50" s="1" t="n"/>
      <c r="C50" s="1" t="n"/>
      <c r="D50" s="1" t="n"/>
      <c r="E50" s="1" t="n"/>
      <c r="F50" s="1" t="n"/>
      <c r="G50" s="1" t="n"/>
      <c r="H50" s="1" t="n"/>
      <c r="I50" s="1" t="n"/>
      <c r="J50" s="1" t="n"/>
      <c r="K50" s="1" t="n"/>
      <c r="L50" s="1" t="n"/>
      <c r="M50" s="1" t="n"/>
      <c r="N50" s="1" t="n"/>
    </row>
    <row r="51">
      <c r="A51" s="1" t="n"/>
      <c r="B51" s="1" t="n"/>
      <c r="C51" s="1" t="n"/>
      <c r="D51" s="1" t="n"/>
      <c r="E51" s="1" t="n"/>
      <c r="F51" s="1" t="n"/>
      <c r="G51" s="1" t="n"/>
      <c r="H51" s="1" t="n"/>
      <c r="I51" s="1" t="n"/>
      <c r="J51" s="1" t="n"/>
      <c r="K51" s="1" t="n"/>
      <c r="L51" s="1" t="n"/>
      <c r="M51" s="1" t="n"/>
      <c r="N51" s="1" t="n"/>
    </row>
    <row r="52">
      <c r="A52" s="1" t="n"/>
      <c r="B52" s="1" t="n"/>
      <c r="C52" s="1" t="n"/>
      <c r="D52" s="1" t="n"/>
      <c r="E52" s="1" t="n"/>
      <c r="F52" s="1" t="n"/>
      <c r="G52" s="1" t="n"/>
      <c r="H52" s="1" t="n"/>
      <c r="I52" s="1" t="n"/>
      <c r="J52" s="1" t="n"/>
      <c r="K52" s="1" t="n"/>
      <c r="L52" s="1" t="n"/>
      <c r="M52" s="1" t="n"/>
      <c r="N52" s="1" t="n"/>
    </row>
    <row r="53">
      <c r="A53" s="1" t="n"/>
      <c r="B53" s="1" t="n"/>
      <c r="C53" s="1" t="n"/>
      <c r="D53" s="1" t="n"/>
      <c r="E53" s="1" t="n"/>
      <c r="F53" s="1" t="n"/>
      <c r="G53" s="1" t="n"/>
      <c r="H53" s="1" t="n"/>
      <c r="I53" s="1" t="n"/>
      <c r="J53" s="1" t="n"/>
      <c r="K53" s="1" t="n"/>
      <c r="L53" s="1" t="n"/>
      <c r="M53" s="1" t="n"/>
      <c r="N53" s="1" t="n"/>
    </row>
    <row r="54">
      <c r="A54" s="1" t="n"/>
      <c r="B54" s="1" t="n"/>
      <c r="C54" s="1" t="n"/>
      <c r="D54" s="1" t="n"/>
      <c r="E54" s="1" t="n"/>
      <c r="F54" s="1" t="n"/>
      <c r="G54" s="1" t="n"/>
      <c r="H54" s="1" t="n"/>
      <c r="I54" s="1" t="n"/>
      <c r="J54" s="1" t="n"/>
      <c r="K54" s="1" t="n"/>
      <c r="L54" s="1" t="n"/>
      <c r="M54" s="1" t="n"/>
      <c r="N54" s="1" t="n"/>
    </row>
    <row r="55">
      <c r="A55" s="1" t="n"/>
      <c r="B55" s="1" t="n"/>
      <c r="C55" s="1" t="n"/>
      <c r="D55" s="1" t="n"/>
      <c r="E55" s="1" t="n"/>
      <c r="F55" s="1" t="n"/>
      <c r="G55" s="1" t="n"/>
      <c r="H55" s="1" t="n"/>
      <c r="I55" s="1" t="n"/>
      <c r="J55" s="1" t="n"/>
      <c r="K55" s="1" t="n"/>
      <c r="L55" s="1" t="n"/>
      <c r="M55" s="1" t="n"/>
      <c r="N55" s="1" t="n"/>
    </row>
    <row r="56">
      <c r="A56" s="1" t="n"/>
      <c r="B56" s="1" t="n"/>
      <c r="C56" s="1" t="n"/>
      <c r="D56" s="1" t="n"/>
      <c r="E56" s="1" t="n"/>
      <c r="F56" s="1" t="n"/>
      <c r="G56" s="1" t="n"/>
      <c r="H56" s="1" t="n"/>
      <c r="I56" s="1" t="n"/>
      <c r="J56" s="1" t="n"/>
      <c r="K56" s="1" t="n"/>
      <c r="L56" s="1" t="n"/>
      <c r="M56" s="1" t="n"/>
      <c r="N56" s="1" t="n"/>
    </row>
    <row r="57">
      <c r="A57" s="1" t="n"/>
      <c r="B57" s="1" t="n"/>
      <c r="C57" s="1" t="n"/>
      <c r="D57" s="1" t="n"/>
      <c r="E57" s="1" t="n"/>
      <c r="F57" s="1" t="n"/>
      <c r="G57" s="1" t="n"/>
      <c r="H57" s="1" t="n"/>
      <c r="I57" s="1" t="n"/>
      <c r="J57" s="1" t="n"/>
      <c r="K57" s="1" t="n"/>
      <c r="L57" s="1" t="n"/>
      <c r="M57" s="1" t="n"/>
      <c r="N57" s="1" t="n"/>
    </row>
    <row r="58">
      <c r="A58" s="1" t="n"/>
      <c r="B58" s="1" t="n"/>
      <c r="C58" s="1" t="n"/>
      <c r="D58" s="1" t="n"/>
      <c r="E58" s="1" t="n"/>
      <c r="F58" s="1" t="n"/>
      <c r="G58" s="1" t="n"/>
      <c r="H58" s="1" t="n"/>
      <c r="I58" s="1" t="n"/>
      <c r="J58" s="1" t="n"/>
      <c r="K58" s="1" t="n"/>
      <c r="L58" s="1" t="n"/>
      <c r="M58" s="1" t="n"/>
      <c r="N58" s="1" t="n"/>
    </row>
    <row r="59">
      <c r="A59" s="1" t="n"/>
      <c r="B59" s="1" t="n"/>
      <c r="C59" s="1" t="n"/>
      <c r="D59" s="1" t="n"/>
      <c r="E59" s="1" t="n"/>
      <c r="F59" s="1" t="n"/>
      <c r="G59" s="1" t="n"/>
      <c r="H59" s="1" t="n"/>
      <c r="I59" s="1" t="n"/>
      <c r="J59" s="1" t="n"/>
      <c r="K59" s="1" t="n"/>
      <c r="L59" s="1" t="n"/>
      <c r="M59" s="1" t="n"/>
      <c r="N59" s="1" t="n"/>
    </row>
  </sheetData>
  <mergeCells count="2">
    <mergeCell ref="C6:D6"/>
    <mergeCell ref="C5:D5"/>
  </mergeCells>
  <conditionalFormatting sqref="C9:C18">
    <cfRule type="expression" priority="1" dxfId="0">
      <formula>AND(C9&lt;&gt;"",C9&gt;=E9)</formula>
    </cfRule>
    <cfRule type="expression" priority="2" dxfId="1">
      <formula>AND(C9&lt;&gt;"",C9&lt;E9)</formula>
    </cfRule>
  </conditionalFormatting>
  <conditionalFormatting sqref="F9:F18">
    <cfRule type="expression" priority="3" dxfId="2">
      <formula>F9="Above 100%"</formula>
    </cfRule>
    <cfRule type="expression" priority="4" dxfId="0">
      <formula>F9="Any score"</formula>
    </cfRule>
  </conditionalFormatting>
  <conditionalFormatting sqref="L9:L18">
    <cfRule type="expression" priority="5" dxfId="3">
      <formula>LEFT($L9,4)="Late"</formula>
    </cfRule>
    <cfRule type="expression" priority="6" dxfId="1">
      <formula>AND(LEFT($L9,3)="Due",$I9&lt;=TODAY()+7)</formula>
    </cfRule>
    <cfRule type="expression" priority="7" dxfId="0">
      <formula>$L9="Done"</formula>
    </cfRule>
  </conditionalFormatting>
  <pageMargins left="0.75" right="0.75" top="1" bottom="1" header="0.5" footer="0.5"/>
  <pageSetup orientation="landscape" fitToHeight="0" fitToWidth="1"/>
  <drawing xmlns:r="http://schemas.openxmlformats.org/officeDocument/2006/relationships" r:id="rId1"/>
</worksheet>
</file>

<file path=xl/worksheets/sheet2.xml><?xml version="1.0" encoding="utf-8"?>
<worksheet xmlns="http://schemas.openxmlformats.org/spreadsheetml/2006/main">
  <sheetPr>
    <outlinePr summaryBelow="1" summaryRight="1"/>
    <pageSetUpPr fitToPage="1"/>
  </sheetPr>
  <dimension ref="A1:M506"/>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3" customWidth="1" min="1" max="1"/>
    <col width="20" customWidth="1" min="2" max="2"/>
    <col width="24" customWidth="1" min="3" max="3"/>
    <col width="12" customWidth="1" min="4" max="4"/>
    <col width="13" customWidth="1" min="5" max="5"/>
    <col width="12" customWidth="1" min="6" max="6"/>
    <col width="8" customWidth="1" min="7" max="7"/>
    <col width="8" customWidth="1" min="8" max="8"/>
    <col width="9" customWidth="1" min="9" max="9"/>
    <col width="15" customWidth="1" min="10" max="10"/>
    <col width="24" customWidth="1" min="11" max="11"/>
    <col hidden="1" width="13" customWidth="1" min="12" max="12"/>
    <col hidden="1" width="13" customWidth="1" min="13" max="13"/>
  </cols>
  <sheetData>
    <row r="1">
      <c r="A1" s="1" t="n"/>
      <c r="B1" s="1" t="n"/>
      <c r="C1" s="1" t="n"/>
      <c r="D1" s="1" t="n"/>
      <c r="E1" s="1" t="n"/>
      <c r="F1" s="1" t="n"/>
      <c r="G1" s="1" t="n"/>
      <c r="H1" s="1" t="n"/>
      <c r="I1" s="1" t="n"/>
      <c r="J1" s="1" t="n"/>
      <c r="K1" s="1" t="n"/>
      <c r="L1" s="1" t="n"/>
    </row>
    <row r="2" ht="32" customHeight="1">
      <c r="A2" s="1" t="n"/>
      <c r="B2" s="2" t="inlineStr">
        <is>
          <t>Assignments and exams</t>
        </is>
      </c>
      <c r="C2" s="1" t="n"/>
      <c r="D2" s="1" t="n"/>
      <c r="E2" s="1" t="n"/>
      <c r="F2" s="1" t="n"/>
      <c r="G2" s="1" t="n"/>
      <c r="H2" s="1" t="n"/>
      <c r="I2" s="1" t="n"/>
      <c r="J2" s="1" t="n"/>
      <c r="K2" s="1" t="n"/>
      <c r="L2" s="1" t="n"/>
    </row>
    <row r="3">
      <c r="A3" s="1" t="n"/>
      <c r="B3" s="3" t="inlineStr">
        <is>
          <t>One line per assignment, quiz or exam. Type the score when you get it back.</t>
        </is>
      </c>
      <c r="C3" s="1" t="n"/>
      <c r="D3" s="1" t="n"/>
      <c r="E3" s="1" t="n"/>
      <c r="F3" s="1" t="n"/>
      <c r="G3" s="1" t="n"/>
      <c r="H3" s="1" t="n"/>
      <c r="I3" s="1" t="n"/>
      <c r="J3" s="1" t="n"/>
      <c r="K3" s="1" t="n"/>
      <c r="L3" s="1" t="n"/>
    </row>
    <row r="4">
      <c r="A4" s="1" t="n"/>
      <c r="B4" s="1" t="n"/>
      <c r="C4" s="1" t="n"/>
      <c r="D4" s="1" t="n"/>
      <c r="E4" s="1" t="n"/>
      <c r="F4" s="1" t="n"/>
      <c r="G4" s="1" t="n"/>
      <c r="H4" s="1" t="n"/>
      <c r="I4" s="1" t="n"/>
      <c r="J4" s="1" t="n"/>
      <c r="K4" s="1" t="n"/>
      <c r="L4" s="1" t="n"/>
    </row>
    <row r="5" ht="30" customHeight="1">
      <c r="A5" s="1" t="n"/>
      <c r="B5" s="11" t="inlineStr">
        <is>
          <t>Course</t>
        </is>
      </c>
      <c r="C5" s="11" t="inlineStr">
        <is>
          <t>Title</t>
        </is>
      </c>
      <c r="D5" s="11" t="inlineStr">
        <is>
          <t>Kind</t>
        </is>
      </c>
      <c r="E5" s="11" t="inlineStr">
        <is>
          <t>Due date</t>
        </is>
      </c>
      <c r="F5" s="11" t="inlineStr">
        <is>
          <t>Status</t>
        </is>
      </c>
      <c r="G5" s="11" t="inlineStr">
        <is>
          <t>Score</t>
        </is>
      </c>
      <c r="H5" s="11" t="inlineStr">
        <is>
          <t>Out of</t>
        </is>
      </c>
      <c r="I5" s="11" t="inlineStr">
        <is>
          <t>Percent</t>
        </is>
      </c>
      <c r="J5" s="11" t="inlineStr">
        <is>
          <t>When</t>
        </is>
      </c>
      <c r="K5" s="11" t="inlineStr">
        <is>
          <t>Note</t>
        </is>
      </c>
      <c r="L5" s="1" t="n"/>
    </row>
    <row r="6">
      <c r="A6" s="1" t="n"/>
      <c r="B6" s="24" t="inlineStr">
        <is>
          <t>Spanish I</t>
        </is>
      </c>
      <c r="C6" s="25" t="inlineStr">
        <is>
          <t>Workbook, unit 1</t>
        </is>
      </c>
      <c r="D6" s="25" t="inlineStr">
        <is>
          <t>Homework</t>
        </is>
      </c>
      <c r="E6" s="26" t="n">
        <v>46259</v>
      </c>
      <c r="F6" s="27" t="inlineStr">
        <is>
          <t>Done</t>
        </is>
      </c>
      <c r="G6" s="28" t="n">
        <v>9</v>
      </c>
      <c r="H6" s="28" t="n">
        <v>10</v>
      </c>
      <c r="I6" s="16">
        <f>IF(OR(G6="",N(H6)=0),"",G6/H6)</f>
        <v/>
      </c>
      <c r="J6" s="20">
        <f>IF(OR(B6="",E6=""),"",IF(OR(F6="Done",G6&lt;&gt;""),"Done",IF(E6&lt;TODAY(),"Late by "&amp;(TODAY()-E6)&amp;IF((TODAY()-E6)=1," day"," days"),IF(E6=TODAY(),"Due today",IF(E6=TODAY()+1,"Due tomorrow","Due in "&amp;(E6-TODAY())&amp;IF((E6-TODAY())=1," day"," days"))))))</f>
        <v/>
      </c>
      <c r="K6" s="25" t="n"/>
      <c r="L6" s="1">
        <f>IF(G6="","",N(H6))</f>
        <v/>
      </c>
      <c r="M6">
        <f>IF(OR(B6="",E6="",OR(F6="Done",G6&lt;&gt;"")),"",E6+ROW()/10000000)</f>
        <v/>
      </c>
    </row>
    <row r="7">
      <c r="A7" s="1" t="n"/>
      <c r="B7" s="24" t="inlineStr">
        <is>
          <t>Calculus I</t>
        </is>
      </c>
      <c r="C7" s="25" t="inlineStr">
        <is>
          <t>Problem set 1</t>
        </is>
      </c>
      <c r="D7" s="25" t="inlineStr">
        <is>
          <t>Homework</t>
        </is>
      </c>
      <c r="E7" s="26" t="n">
        <v>46261</v>
      </c>
      <c r="F7" s="27" t="inlineStr">
        <is>
          <t>Done</t>
        </is>
      </c>
      <c r="G7" s="28" t="n">
        <v>20</v>
      </c>
      <c r="H7" s="28" t="n">
        <v>20</v>
      </c>
      <c r="I7" s="16">
        <f>IF(OR(G7="",N(H7)=0),"",G7/H7)</f>
        <v/>
      </c>
      <c r="J7" s="20">
        <f>IF(OR(B7="",E7=""),"",IF(OR(F7="Done",G7&lt;&gt;""),"Done",IF(E7&lt;TODAY(),"Late by "&amp;(TODAY()-E7)&amp;IF((TODAY()-E7)=1," day"," days"),IF(E7=TODAY(),"Due today",IF(E7=TODAY()+1,"Due tomorrow","Due in "&amp;(E7-TODAY())&amp;IF((E7-TODAY())=1," day"," days"))))))</f>
        <v/>
      </c>
      <c r="K7" s="25" t="n"/>
      <c r="L7" s="1">
        <f>IF(G7="","",N(H7))</f>
        <v/>
      </c>
      <c r="M7">
        <f>IF(OR(B7="",E7="",OR(F7="Done",G7&lt;&gt;"")),"",E7+ROW()/10000000)</f>
        <v/>
      </c>
    </row>
    <row r="8">
      <c r="A8" s="1" t="n"/>
      <c r="B8" s="24" t="inlineStr">
        <is>
          <t>Biology 101</t>
        </is>
      </c>
      <c r="C8" s="25" t="inlineStr">
        <is>
          <t>Homework 1</t>
        </is>
      </c>
      <c r="D8" s="25" t="inlineStr">
        <is>
          <t>Homework</t>
        </is>
      </c>
      <c r="E8" s="26" t="n">
        <v>46262</v>
      </c>
      <c r="F8" s="27" t="inlineStr">
        <is>
          <t>Done</t>
        </is>
      </c>
      <c r="G8" s="28" t="n">
        <v>18</v>
      </c>
      <c r="H8" s="28" t="n">
        <v>20</v>
      </c>
      <c r="I8" s="16">
        <f>IF(OR(G8="",N(H8)=0),"",G8/H8)</f>
        <v/>
      </c>
      <c r="J8" s="20">
        <f>IF(OR(B8="",E8=""),"",IF(OR(F8="Done",G8&lt;&gt;""),"Done",IF(E8&lt;TODAY(),"Late by "&amp;(TODAY()-E8)&amp;IF((TODAY()-E8)=1," day"," days"),IF(E8=TODAY(),"Due today",IF(E8=TODAY()+1,"Due tomorrow","Due in "&amp;(E8-TODAY())&amp;IF((E8-TODAY())=1," day"," days"))))))</f>
        <v/>
      </c>
      <c r="K8" s="25" t="n"/>
      <c r="L8" s="1">
        <f>IF(G8="","",N(H8))</f>
        <v/>
      </c>
      <c r="M8">
        <f>IF(OR(B8="",E8="",OR(F8="Done",G8&lt;&gt;"")),"",E8+ROW()/10000000)</f>
        <v/>
      </c>
    </row>
    <row r="9">
      <c r="A9" s="1" t="n"/>
      <c r="B9" s="24" t="inlineStr">
        <is>
          <t>Biology 101</t>
        </is>
      </c>
      <c r="C9" s="25" t="inlineStr">
        <is>
          <t>Quiz 1</t>
        </is>
      </c>
      <c r="D9" s="25" t="inlineStr">
        <is>
          <t>Quizzes</t>
        </is>
      </c>
      <c r="E9" s="26" t="n">
        <v>46266</v>
      </c>
      <c r="F9" s="27" t="inlineStr">
        <is>
          <t>Done</t>
        </is>
      </c>
      <c r="G9" s="28" t="n">
        <v>12</v>
      </c>
      <c r="H9" s="28" t="n">
        <v>15</v>
      </c>
      <c r="I9" s="16">
        <f>IF(OR(G9="",N(H9)=0),"",G9/H9)</f>
        <v/>
      </c>
      <c r="J9" s="20">
        <f>IF(OR(B9="",E9=""),"",IF(OR(F9="Done",G9&lt;&gt;""),"Done",IF(E9&lt;TODAY(),"Late by "&amp;(TODAY()-E9)&amp;IF((TODAY()-E9)=1," day"," days"),IF(E9=TODAY(),"Due today",IF(E9=TODAY()+1,"Due tomorrow","Due in "&amp;(E9-TODAY())&amp;IF((E9-TODAY())=1," day"," days"))))))</f>
        <v/>
      </c>
      <c r="K9" s="25" t="n"/>
      <c r="L9" s="1">
        <f>IF(G9="","",N(H9))</f>
        <v/>
      </c>
      <c r="M9">
        <f>IF(OR(B9="",E9="",OR(F9="Done",G9&lt;&gt;"")),"",E9+ROW()/10000000)</f>
        <v/>
      </c>
    </row>
    <row r="10">
      <c r="A10" s="1" t="n"/>
      <c r="B10" s="24" t="inlineStr">
        <is>
          <t>Spanish I</t>
        </is>
      </c>
      <c r="C10" s="25" t="inlineStr">
        <is>
          <t>Workbook, unit 2</t>
        </is>
      </c>
      <c r="D10" s="25" t="inlineStr">
        <is>
          <t>Homework</t>
        </is>
      </c>
      <c r="E10" s="26" t="n">
        <v>46266</v>
      </c>
      <c r="F10" s="27" t="inlineStr">
        <is>
          <t>Done</t>
        </is>
      </c>
      <c r="G10" s="28" t="n">
        <v>9</v>
      </c>
      <c r="H10" s="28" t="n">
        <v>10</v>
      </c>
      <c r="I10" s="16">
        <f>IF(OR(G10="",N(H10)=0),"",G10/H10)</f>
        <v/>
      </c>
      <c r="J10" s="20">
        <f>IF(OR(B10="",E10=""),"",IF(OR(F10="Done",G10&lt;&gt;""),"Done",IF(E10&lt;TODAY(),"Late by "&amp;(TODAY()-E10)&amp;IF((TODAY()-E10)=1," day"," days"),IF(E10=TODAY(),"Due today",IF(E10=TODAY()+1,"Due tomorrow","Due in "&amp;(E10-TODAY())&amp;IF((E10-TODAY())=1," day"," days"))))))</f>
        <v/>
      </c>
      <c r="K10" s="25" t="n"/>
      <c r="L10" s="1">
        <f>IF(G10="","",N(H10))</f>
        <v/>
      </c>
      <c r="M10">
        <f>IF(OR(B10="",E10="",OR(F10="Done",G10&lt;&gt;"")),"",E10+ROW()/10000000)</f>
        <v/>
      </c>
    </row>
    <row r="11">
      <c r="A11" s="1" t="n"/>
      <c r="B11" s="24" t="inlineStr">
        <is>
          <t>Calculus I</t>
        </is>
      </c>
      <c r="C11" s="25" t="inlineStr">
        <is>
          <t>Quiz 1</t>
        </is>
      </c>
      <c r="D11" s="25" t="inlineStr">
        <is>
          <t>Quizzes</t>
        </is>
      </c>
      <c r="E11" s="26" t="n">
        <v>46267</v>
      </c>
      <c r="F11" s="27" t="inlineStr">
        <is>
          <t>Done</t>
        </is>
      </c>
      <c r="G11" s="28" t="n">
        <v>8</v>
      </c>
      <c r="H11" s="28" t="n">
        <v>10</v>
      </c>
      <c r="I11" s="16">
        <f>IF(OR(G11="",N(H11)=0),"",G11/H11)</f>
        <v/>
      </c>
      <c r="J11" s="20">
        <f>IF(OR(B11="",E11=""),"",IF(OR(F11="Done",G11&lt;&gt;""),"Done",IF(E11&lt;TODAY(),"Late by "&amp;(TODAY()-E11)&amp;IF((TODAY()-E11)=1," day"," days"),IF(E11=TODAY(),"Due today",IF(E11=TODAY()+1,"Due tomorrow","Due in "&amp;(E11-TODAY())&amp;IF((E11-TODAY())=1," day"," days"))))))</f>
        <v/>
      </c>
      <c r="K11" s="25" t="n"/>
      <c r="L11" s="1">
        <f>IF(G11="","",N(H11))</f>
        <v/>
      </c>
      <c r="M11">
        <f>IF(OR(B11="",E11="",OR(F11="Done",G11&lt;&gt;"")),"",E11+ROW()/10000000)</f>
        <v/>
      </c>
    </row>
    <row r="12">
      <c r="A12" s="1" t="n"/>
      <c r="B12" s="24" t="inlineStr">
        <is>
          <t>Calculus I</t>
        </is>
      </c>
      <c r="C12" s="25" t="inlineStr">
        <is>
          <t>Problem set 2</t>
        </is>
      </c>
      <c r="D12" s="25" t="inlineStr">
        <is>
          <t>Homework</t>
        </is>
      </c>
      <c r="E12" s="26" t="n">
        <v>46268</v>
      </c>
      <c r="F12" s="27" t="inlineStr">
        <is>
          <t>Done</t>
        </is>
      </c>
      <c r="G12" s="28" t="n">
        <v>17</v>
      </c>
      <c r="H12" s="28" t="n">
        <v>20</v>
      </c>
      <c r="I12" s="16">
        <f>IF(OR(G12="",N(H12)=0),"",G12/H12)</f>
        <v/>
      </c>
      <c r="J12" s="20">
        <f>IF(OR(B12="",E12=""),"",IF(OR(F12="Done",G12&lt;&gt;""),"Done",IF(E12&lt;TODAY(),"Late by "&amp;(TODAY()-E12)&amp;IF((TODAY()-E12)=1," day"," days"),IF(E12=TODAY(),"Due today",IF(E12=TODAY()+1,"Due tomorrow","Due in "&amp;(E12-TODAY())&amp;IF((E12-TODAY())=1," day"," days"))))))</f>
        <v/>
      </c>
      <c r="K12" s="25" t="n"/>
      <c r="L12" s="1">
        <f>IF(G12="","",N(H12))</f>
        <v/>
      </c>
      <c r="M12">
        <f>IF(OR(B12="",E12="",OR(F12="Done",G12&lt;&gt;"")),"",E12+ROW()/10000000)</f>
        <v/>
      </c>
    </row>
    <row r="13">
      <c r="A13" s="1" t="n"/>
      <c r="B13" s="24" t="inlineStr">
        <is>
          <t>Biology 101</t>
        </is>
      </c>
      <c r="C13" s="25" t="inlineStr">
        <is>
          <t>Homework 2</t>
        </is>
      </c>
      <c r="D13" s="25" t="inlineStr">
        <is>
          <t>Homework</t>
        </is>
      </c>
      <c r="E13" s="26" t="n">
        <v>46269</v>
      </c>
      <c r="F13" s="27" t="inlineStr">
        <is>
          <t>Done</t>
        </is>
      </c>
      <c r="G13" s="28" t="n">
        <v>19</v>
      </c>
      <c r="H13" s="28" t="n">
        <v>20</v>
      </c>
      <c r="I13" s="16">
        <f>IF(OR(G13="",N(H13)=0),"",G13/H13)</f>
        <v/>
      </c>
      <c r="J13" s="20">
        <f>IF(OR(B13="",E13=""),"",IF(OR(F13="Done",G13&lt;&gt;""),"Done",IF(E13&lt;TODAY(),"Late by "&amp;(TODAY()-E13)&amp;IF((TODAY()-E13)=1," day"," days"),IF(E13=TODAY(),"Due today",IF(E13=TODAY()+1,"Due tomorrow","Due in "&amp;(E13-TODAY())&amp;IF((E13-TODAY())=1," day"," days"))))))</f>
        <v/>
      </c>
      <c r="K13" s="25" t="n"/>
      <c r="L13" s="1">
        <f>IF(G13="","",N(H13))</f>
        <v/>
      </c>
      <c r="M13">
        <f>IF(OR(B13="",E13="",OR(F13="Done",G13&lt;&gt;"")),"",E13+ROW()/10000000)</f>
        <v/>
      </c>
    </row>
    <row r="14">
      <c r="A14" s="1" t="n"/>
      <c r="B14" s="24" t="inlineStr">
        <is>
          <t>Spanish I</t>
        </is>
      </c>
      <c r="C14" s="25" t="inlineStr">
        <is>
          <t>Vocabulary quiz 1</t>
        </is>
      </c>
      <c r="D14" s="25" t="inlineStr">
        <is>
          <t>Quizzes</t>
        </is>
      </c>
      <c r="E14" s="26" t="n">
        <v>46269</v>
      </c>
      <c r="F14" s="27" t="inlineStr">
        <is>
          <t>Done</t>
        </is>
      </c>
      <c r="G14" s="28" t="n">
        <v>17</v>
      </c>
      <c r="H14" s="28" t="n">
        <v>20</v>
      </c>
      <c r="I14" s="16">
        <f>IF(OR(G14="",N(H14)=0),"",G14/H14)</f>
        <v/>
      </c>
      <c r="J14" s="20">
        <f>IF(OR(B14="",E14=""),"",IF(OR(F14="Done",G14&lt;&gt;""),"Done",IF(E14&lt;TODAY(),"Late by "&amp;(TODAY()-E14)&amp;IF((TODAY()-E14)=1," day"," days"),IF(E14=TODAY(),"Due today",IF(E14=TODAY()+1,"Due tomorrow","Due in "&amp;(E14-TODAY())&amp;IF((E14-TODAY())=1," day"," days"))))))</f>
        <v/>
      </c>
      <c r="K14" s="25" t="n"/>
      <c r="L14" s="1">
        <f>IF(G14="","",N(H14))</f>
        <v/>
      </c>
      <c r="M14">
        <f>IF(OR(B14="",E14="",OR(F14="Done",G14&lt;&gt;"")),"",E14+ROW()/10000000)</f>
        <v/>
      </c>
    </row>
    <row r="15">
      <c r="A15" s="1" t="n"/>
      <c r="B15" s="24" t="inlineStr">
        <is>
          <t>Spanish I</t>
        </is>
      </c>
      <c r="C15" s="25" t="inlineStr">
        <is>
          <t>Workbook, unit 3</t>
        </is>
      </c>
      <c r="D15" s="25" t="inlineStr">
        <is>
          <t>Homework</t>
        </is>
      </c>
      <c r="E15" s="26" t="n">
        <v>46273</v>
      </c>
      <c r="F15" s="27" t="inlineStr">
        <is>
          <t>Done</t>
        </is>
      </c>
      <c r="G15" s="28" t="n">
        <v>9</v>
      </c>
      <c r="H15" s="28" t="n">
        <v>10</v>
      </c>
      <c r="I15" s="16">
        <f>IF(OR(G15="",N(H15)=0),"",G15/H15)</f>
        <v/>
      </c>
      <c r="J15" s="20">
        <f>IF(OR(B15="",E15=""),"",IF(OR(F15="Done",G15&lt;&gt;""),"Done",IF(E15&lt;TODAY(),"Late by "&amp;(TODAY()-E15)&amp;IF((TODAY()-E15)=1," day"," days"),IF(E15=TODAY(),"Due today",IF(E15=TODAY()+1,"Due tomorrow","Due in "&amp;(E15-TODAY())&amp;IF((E15-TODAY())=1," day"," days"))))))</f>
        <v/>
      </c>
      <c r="K15" s="25" t="n"/>
      <c r="L15" s="1">
        <f>IF(G15="","",N(H15))</f>
        <v/>
      </c>
      <c r="M15">
        <f>IF(OR(B15="",E15="",OR(F15="Done",G15&lt;&gt;"")),"",E15+ROW()/10000000)</f>
        <v/>
      </c>
    </row>
    <row r="16">
      <c r="A16" s="1" t="n"/>
      <c r="B16" s="24" t="inlineStr">
        <is>
          <t>Intro to Psychology</t>
        </is>
      </c>
      <c r="C16" s="25" t="inlineStr">
        <is>
          <t>Chapter quiz 1</t>
        </is>
      </c>
      <c r="D16" s="25" t="inlineStr">
        <is>
          <t>Quizzes</t>
        </is>
      </c>
      <c r="E16" s="26" t="n">
        <v>46274</v>
      </c>
      <c r="F16" s="27" t="inlineStr">
        <is>
          <t>Done</t>
        </is>
      </c>
      <c r="G16" s="28" t="n">
        <v>22</v>
      </c>
      <c r="H16" s="28" t="n">
        <v>25</v>
      </c>
      <c r="I16" s="16">
        <f>IF(OR(G16="",N(H16)=0),"",G16/H16)</f>
        <v/>
      </c>
      <c r="J16" s="20">
        <f>IF(OR(B16="",E16=""),"",IF(OR(F16="Done",G16&lt;&gt;""),"Done",IF(E16&lt;TODAY(),"Late by "&amp;(TODAY()-E16)&amp;IF((TODAY()-E16)=1," day"," days"),IF(E16=TODAY(),"Due today",IF(E16=TODAY()+1,"Due tomorrow","Due in "&amp;(E16-TODAY())&amp;IF((E16-TODAY())=1," day"," days"))))))</f>
        <v/>
      </c>
      <c r="K16" s="25" t="n"/>
      <c r="L16" s="1">
        <f>IF(G16="","",N(H16))</f>
        <v/>
      </c>
      <c r="M16">
        <f>IF(OR(B16="",E16="",OR(F16="Done",G16&lt;&gt;"")),"",E16+ROW()/10000000)</f>
        <v/>
      </c>
    </row>
    <row r="17">
      <c r="A17" s="1" t="n"/>
      <c r="B17" s="24" t="inlineStr">
        <is>
          <t>Biology 101</t>
        </is>
      </c>
      <c r="C17" s="25" t="inlineStr">
        <is>
          <t>Lab report 1</t>
        </is>
      </c>
      <c r="D17" s="25" t="inlineStr">
        <is>
          <t>Projects</t>
        </is>
      </c>
      <c r="E17" s="26" t="n">
        <v>46275</v>
      </c>
      <c r="F17" s="27" t="inlineStr">
        <is>
          <t>Done</t>
        </is>
      </c>
      <c r="G17" s="28" t="n">
        <v>46</v>
      </c>
      <c r="H17" s="28" t="n">
        <v>50</v>
      </c>
      <c r="I17" s="16">
        <f>IF(OR(G17="",N(H17)=0),"",G17/H17)</f>
        <v/>
      </c>
      <c r="J17" s="20">
        <f>IF(OR(B17="",E17=""),"",IF(OR(F17="Done",G17&lt;&gt;""),"Done",IF(E17&lt;TODAY(),"Late by "&amp;(TODAY()-E17)&amp;IF((TODAY()-E17)=1," day"," days"),IF(E17=TODAY(),"Due today",IF(E17=TODAY()+1,"Due tomorrow","Due in "&amp;(E17-TODAY())&amp;IF((E17-TODAY())=1," day"," days"))))))</f>
        <v/>
      </c>
      <c r="K17" s="25" t="n"/>
      <c r="L17" s="1">
        <f>IF(G17="","",N(H17))</f>
        <v/>
      </c>
      <c r="M17">
        <f>IF(OR(B17="",E17="",OR(F17="Done",G17&lt;&gt;"")),"",E17+ROW()/10000000)</f>
        <v/>
      </c>
    </row>
    <row r="18">
      <c r="A18" s="1" t="n"/>
      <c r="B18" s="24" t="inlineStr">
        <is>
          <t>Calculus I</t>
        </is>
      </c>
      <c r="C18" s="25" t="inlineStr">
        <is>
          <t>Problem set 3</t>
        </is>
      </c>
      <c r="D18" s="25" t="inlineStr">
        <is>
          <t>Homework</t>
        </is>
      </c>
      <c r="E18" s="26" t="n">
        <v>46275</v>
      </c>
      <c r="F18" s="27" t="inlineStr">
        <is>
          <t>Done</t>
        </is>
      </c>
      <c r="G18" s="28" t="n">
        <v>14</v>
      </c>
      <c r="H18" s="28" t="n">
        <v>20</v>
      </c>
      <c r="I18" s="16">
        <f>IF(OR(G18="",N(H18)=0),"",G18/H18)</f>
        <v/>
      </c>
      <c r="J18" s="20">
        <f>IF(OR(B18="",E18=""),"",IF(OR(F18="Done",G18&lt;&gt;""),"Done",IF(E18&lt;TODAY(),"Late by "&amp;(TODAY()-E18)&amp;IF((TODAY()-E18)=1," day"," days"),IF(E18=TODAY(),"Due today",IF(E18=TODAY()+1,"Due tomorrow","Due in "&amp;(E18-TODAY())&amp;IF((E18-TODAY())=1," day"," days"))))))</f>
        <v/>
      </c>
      <c r="K18" s="25" t="n"/>
      <c r="L18" s="1">
        <f>IF(G18="","",N(H18))</f>
        <v/>
      </c>
      <c r="M18">
        <f>IF(OR(B18="",E18="",OR(F18="Done",G18&lt;&gt;"")),"",E18+ROW()/10000000)</f>
        <v/>
      </c>
    </row>
    <row r="19">
      <c r="A19" s="1" t="n"/>
      <c r="B19" s="24" t="inlineStr">
        <is>
          <t>Biology 101</t>
        </is>
      </c>
      <c r="C19" s="25" t="inlineStr">
        <is>
          <t>Homework 3</t>
        </is>
      </c>
      <c r="D19" s="25" t="inlineStr">
        <is>
          <t>Homework</t>
        </is>
      </c>
      <c r="E19" s="26" t="n">
        <v>46276</v>
      </c>
      <c r="F19" s="27" t="inlineStr">
        <is>
          <t>Done</t>
        </is>
      </c>
      <c r="G19" s="28" t="n">
        <v>16</v>
      </c>
      <c r="H19" s="28" t="n">
        <v>20</v>
      </c>
      <c r="I19" s="16">
        <f>IF(OR(G19="",N(H19)=0),"",G19/H19)</f>
        <v/>
      </c>
      <c r="J19" s="20">
        <f>IF(OR(B19="",E19=""),"",IF(OR(F19="Done",G19&lt;&gt;""),"Done",IF(E19&lt;TODAY(),"Late by "&amp;(TODAY()-E19)&amp;IF((TODAY()-E19)=1," day"," days"),IF(E19=TODAY(),"Due today",IF(E19=TODAY()+1,"Due tomorrow","Due in "&amp;(E19-TODAY())&amp;IF((E19-TODAY())=1," day"," days"))))))</f>
        <v/>
      </c>
      <c r="K19" s="25" t="n"/>
      <c r="L19" s="1">
        <f>IF(G19="","",N(H19))</f>
        <v/>
      </c>
      <c r="M19">
        <f>IF(OR(B19="",E19="",OR(F19="Done",G19&lt;&gt;"")),"",E19+ROW()/10000000)</f>
        <v/>
      </c>
    </row>
    <row r="20">
      <c r="A20" s="1" t="n"/>
      <c r="B20" s="24" t="inlineStr">
        <is>
          <t>Biology 101</t>
        </is>
      </c>
      <c r="C20" s="25" t="inlineStr">
        <is>
          <t>Quiz 2</t>
        </is>
      </c>
      <c r="D20" s="25" t="inlineStr">
        <is>
          <t>Quizzes</t>
        </is>
      </c>
      <c r="E20" s="26" t="n">
        <v>46280</v>
      </c>
      <c r="F20" s="27" t="inlineStr">
        <is>
          <t>Done</t>
        </is>
      </c>
      <c r="G20" s="28" t="n">
        <v>14</v>
      </c>
      <c r="H20" s="28" t="n">
        <v>15</v>
      </c>
      <c r="I20" s="16">
        <f>IF(OR(G20="",N(H20)=0),"",G20/H20)</f>
        <v/>
      </c>
      <c r="J20" s="20">
        <f>IF(OR(B20="",E20=""),"",IF(OR(F20="Done",G20&lt;&gt;""),"Done",IF(E20&lt;TODAY(),"Late by "&amp;(TODAY()-E20)&amp;IF((TODAY()-E20)=1," day"," days"),IF(E20=TODAY(),"Due today",IF(E20=TODAY()+1,"Due tomorrow","Due in "&amp;(E20-TODAY())&amp;IF((E20-TODAY())=1," day"," days"))))))</f>
        <v/>
      </c>
      <c r="K20" s="25" t="n"/>
      <c r="L20" s="1">
        <f>IF(G20="","",N(H20))</f>
        <v/>
      </c>
      <c r="M20">
        <f>IF(OR(B20="",E20="",OR(F20="Done",G20&lt;&gt;"")),"",E20+ROW()/10000000)</f>
        <v/>
      </c>
    </row>
    <row r="21">
      <c r="A21" s="1" t="n"/>
      <c r="B21" s="24" t="inlineStr">
        <is>
          <t>Spanish I</t>
        </is>
      </c>
      <c r="C21" s="25" t="inlineStr">
        <is>
          <t>Workbook, unit 4</t>
        </is>
      </c>
      <c r="D21" s="25" t="inlineStr">
        <is>
          <t>Homework</t>
        </is>
      </c>
      <c r="E21" s="26" t="n">
        <v>46280</v>
      </c>
      <c r="F21" s="27" t="inlineStr">
        <is>
          <t>Done</t>
        </is>
      </c>
      <c r="G21" s="28" t="n">
        <v>9</v>
      </c>
      <c r="H21" s="28" t="n">
        <v>10</v>
      </c>
      <c r="I21" s="16">
        <f>IF(OR(G21="",N(H21)=0),"",G21/H21)</f>
        <v/>
      </c>
      <c r="J21" s="20">
        <f>IF(OR(B21="",E21=""),"",IF(OR(F21="Done",G21&lt;&gt;""),"Done",IF(E21&lt;TODAY(),"Late by "&amp;(TODAY()-E21)&amp;IF((TODAY()-E21)=1," day"," days"),IF(E21=TODAY(),"Due today",IF(E21=TODAY()+1,"Due tomorrow","Due in "&amp;(E21-TODAY())&amp;IF((E21-TODAY())=1," day"," days"))))))</f>
        <v/>
      </c>
      <c r="K21" s="25" t="n"/>
      <c r="L21" s="1">
        <f>IF(G21="","",N(H21))</f>
        <v/>
      </c>
      <c r="M21">
        <f>IF(OR(B21="",E21="",OR(F21="Done",G21&lt;&gt;"")),"",E21+ROW()/10000000)</f>
        <v/>
      </c>
    </row>
    <row r="22">
      <c r="A22" s="1" t="n"/>
      <c r="B22" s="24" t="inlineStr">
        <is>
          <t>Calculus I</t>
        </is>
      </c>
      <c r="C22" s="25" t="inlineStr">
        <is>
          <t>Quiz 2</t>
        </is>
      </c>
      <c r="D22" s="25" t="inlineStr">
        <is>
          <t>Quizzes</t>
        </is>
      </c>
      <c r="E22" s="26" t="n">
        <v>46281</v>
      </c>
      <c r="F22" s="27" t="inlineStr">
        <is>
          <t>Done</t>
        </is>
      </c>
      <c r="G22" s="28" t="n">
        <v>8</v>
      </c>
      <c r="H22" s="28" t="n">
        <v>10</v>
      </c>
      <c r="I22" s="16">
        <f>IF(OR(G22="",N(H22)=0),"",G22/H22)</f>
        <v/>
      </c>
      <c r="J22" s="20">
        <f>IF(OR(B22="",E22=""),"",IF(OR(F22="Done",G22&lt;&gt;""),"Done",IF(E22&lt;TODAY(),"Late by "&amp;(TODAY()-E22)&amp;IF((TODAY()-E22)=1," day"," days"),IF(E22=TODAY(),"Due today",IF(E22=TODAY()+1,"Due tomorrow","Due in "&amp;(E22-TODAY())&amp;IF((E22-TODAY())=1," day"," days"))))))</f>
        <v/>
      </c>
      <c r="K22" s="25" t="n"/>
      <c r="L22" s="1">
        <f>IF(G22="","",N(H22))</f>
        <v/>
      </c>
      <c r="M22">
        <f>IF(OR(B22="",E22="",OR(F22="Done",G22&lt;&gt;"")),"",E22+ROW()/10000000)</f>
        <v/>
      </c>
    </row>
    <row r="23">
      <c r="A23" s="1" t="n"/>
      <c r="B23" s="24" t="inlineStr">
        <is>
          <t>Calculus I</t>
        </is>
      </c>
      <c r="C23" s="25" t="inlineStr">
        <is>
          <t>Problem set 4</t>
        </is>
      </c>
      <c r="D23" s="25" t="inlineStr">
        <is>
          <t>Homework</t>
        </is>
      </c>
      <c r="E23" s="26" t="n">
        <v>46282</v>
      </c>
      <c r="F23" s="27" t="inlineStr">
        <is>
          <t>Done</t>
        </is>
      </c>
      <c r="G23" s="28" t="n">
        <v>17</v>
      </c>
      <c r="H23" s="28" t="n">
        <v>20</v>
      </c>
      <c r="I23" s="16">
        <f>IF(OR(G23="",N(H23)=0),"",G23/H23)</f>
        <v/>
      </c>
      <c r="J23" s="20">
        <f>IF(OR(B23="",E23=""),"",IF(OR(F23="Done",G23&lt;&gt;""),"Done",IF(E23&lt;TODAY(),"Late by "&amp;(TODAY()-E23)&amp;IF((TODAY()-E23)=1," day"," days"),IF(E23=TODAY(),"Due today",IF(E23=TODAY()+1,"Due tomorrow","Due in "&amp;(E23-TODAY())&amp;IF((E23-TODAY())=1," day"," days"))))))</f>
        <v/>
      </c>
      <c r="K23" s="25" t="n"/>
      <c r="L23" s="1">
        <f>IF(G23="","",N(H23))</f>
        <v/>
      </c>
      <c r="M23">
        <f>IF(OR(B23="",E23="",OR(F23="Done",G23&lt;&gt;"")),"",E23+ROW()/10000000)</f>
        <v/>
      </c>
    </row>
    <row r="24">
      <c r="A24" s="1" t="n"/>
      <c r="B24" s="24" t="inlineStr">
        <is>
          <t>Biology 101</t>
        </is>
      </c>
      <c r="C24" s="25" t="inlineStr">
        <is>
          <t>Homework 4</t>
        </is>
      </c>
      <c r="D24" s="25" t="inlineStr">
        <is>
          <t>Homework</t>
        </is>
      </c>
      <c r="E24" s="26" t="n">
        <v>46283</v>
      </c>
      <c r="F24" s="27" t="inlineStr">
        <is>
          <t>Done</t>
        </is>
      </c>
      <c r="G24" s="28" t="n">
        <v>18</v>
      </c>
      <c r="H24" s="28" t="n">
        <v>20</v>
      </c>
      <c r="I24" s="16">
        <f>IF(OR(G24="",N(H24)=0),"",G24/H24)</f>
        <v/>
      </c>
      <c r="J24" s="20">
        <f>IF(OR(B24="",E24=""),"",IF(OR(F24="Done",G24&lt;&gt;""),"Done",IF(E24&lt;TODAY(),"Late by "&amp;(TODAY()-E24)&amp;IF((TODAY()-E24)=1," day"," days"),IF(E24=TODAY(),"Due today",IF(E24=TODAY()+1,"Due tomorrow","Due in "&amp;(E24-TODAY())&amp;IF((E24-TODAY())=1," day"," days"))))))</f>
        <v/>
      </c>
      <c r="K24" s="25" t="n"/>
      <c r="L24" s="1">
        <f>IF(G24="","",N(H24))</f>
        <v/>
      </c>
      <c r="M24">
        <f>IF(OR(B24="",E24="",OR(F24="Done",G24&lt;&gt;"")),"",E24+ROW()/10000000)</f>
        <v/>
      </c>
    </row>
    <row r="25">
      <c r="A25" s="1" t="n"/>
      <c r="B25" s="24" t="inlineStr">
        <is>
          <t>English Composition</t>
        </is>
      </c>
      <c r="C25" s="25" t="inlineStr">
        <is>
          <t>Essay 1</t>
        </is>
      </c>
      <c r="D25" s="25" t="inlineStr">
        <is>
          <t>Projects</t>
        </is>
      </c>
      <c r="E25" s="26" t="n">
        <v>46283</v>
      </c>
      <c r="F25" s="27" t="inlineStr">
        <is>
          <t>Done</t>
        </is>
      </c>
      <c r="G25" s="28" t="n">
        <v>90</v>
      </c>
      <c r="H25" s="28" t="n">
        <v>100</v>
      </c>
      <c r="I25" s="16">
        <f>IF(OR(G25="",N(H25)=0),"",G25/H25)</f>
        <v/>
      </c>
      <c r="J25" s="20">
        <f>IF(OR(B25="",E25=""),"",IF(OR(F25="Done",G25&lt;&gt;""),"Done",IF(E25&lt;TODAY(),"Late by "&amp;(TODAY()-E25)&amp;IF((TODAY()-E25)=1," day"," days"),IF(E25=TODAY(),"Due today",IF(E25=TODAY()+1,"Due tomorrow","Due in "&amp;(E25-TODAY())&amp;IF((E25-TODAY())=1," day"," days"))))))</f>
        <v/>
      </c>
      <c r="K25" s="25" t="n"/>
      <c r="L25" s="1">
        <f>IF(G25="","",N(H25))</f>
        <v/>
      </c>
      <c r="M25">
        <f>IF(OR(B25="",E25="",OR(F25="Done",G25&lt;&gt;"")),"",E25+ROW()/10000000)</f>
        <v/>
      </c>
    </row>
    <row r="26">
      <c r="A26" s="1" t="n"/>
      <c r="B26" s="24" t="inlineStr">
        <is>
          <t>Spanish I</t>
        </is>
      </c>
      <c r="C26" s="25" t="inlineStr">
        <is>
          <t>Vocabulary quiz 2</t>
        </is>
      </c>
      <c r="D26" s="25" t="inlineStr">
        <is>
          <t>Quizzes</t>
        </is>
      </c>
      <c r="E26" s="26" t="n">
        <v>46283</v>
      </c>
      <c r="F26" s="27" t="inlineStr">
        <is>
          <t>Done</t>
        </is>
      </c>
      <c r="G26" s="28" t="n">
        <v>15</v>
      </c>
      <c r="H26" s="28" t="n">
        <v>20</v>
      </c>
      <c r="I26" s="16">
        <f>IF(OR(G26="",N(H26)=0),"",G26/H26)</f>
        <v/>
      </c>
      <c r="J26" s="20">
        <f>IF(OR(B26="",E26=""),"",IF(OR(F26="Done",G26&lt;&gt;""),"Done",IF(E26&lt;TODAY(),"Late by "&amp;(TODAY()-E26)&amp;IF((TODAY()-E26)=1," day"," days"),IF(E26=TODAY(),"Due today",IF(E26=TODAY()+1,"Due tomorrow","Due in "&amp;(E26-TODAY())&amp;IF((E26-TODAY())=1," day"," days"))))))</f>
        <v/>
      </c>
      <c r="K26" s="25" t="n"/>
      <c r="L26" s="1">
        <f>IF(G26="","",N(H26))</f>
        <v/>
      </c>
      <c r="M26">
        <f>IF(OR(B26="",E26="",OR(F26="Done",G26&lt;&gt;"")),"",E26+ROW()/10000000)</f>
        <v/>
      </c>
    </row>
    <row r="27">
      <c r="A27" s="1" t="n"/>
      <c r="B27" s="24" t="inlineStr">
        <is>
          <t>Spanish I</t>
        </is>
      </c>
      <c r="C27" s="25" t="inlineStr">
        <is>
          <t>Workbook, unit 5</t>
        </is>
      </c>
      <c r="D27" s="25" t="inlineStr">
        <is>
          <t>Homework</t>
        </is>
      </c>
      <c r="E27" s="26" t="n">
        <v>46287</v>
      </c>
      <c r="F27" s="27" t="inlineStr">
        <is>
          <t>Done</t>
        </is>
      </c>
      <c r="G27" s="28" t="n">
        <v>10</v>
      </c>
      <c r="H27" s="28" t="n">
        <v>10</v>
      </c>
      <c r="I27" s="16">
        <f>IF(OR(G27="",N(H27)=0),"",G27/H27)</f>
        <v/>
      </c>
      <c r="J27" s="20">
        <f>IF(OR(B27="",E27=""),"",IF(OR(F27="Done",G27&lt;&gt;""),"Done",IF(E27&lt;TODAY(),"Late by "&amp;(TODAY()-E27)&amp;IF((TODAY()-E27)=1," day"," days"),IF(E27=TODAY(),"Due today",IF(E27=TODAY()+1,"Due tomorrow","Due in "&amp;(E27-TODAY())&amp;IF((E27-TODAY())=1," day"," days"))))))</f>
        <v/>
      </c>
      <c r="K27" s="25" t="n"/>
      <c r="L27" s="1">
        <f>IF(G27="","",N(H27))</f>
        <v/>
      </c>
      <c r="M27">
        <f>IF(OR(B27="",E27="",OR(F27="Done",G27&lt;&gt;"")),"",E27+ROW()/10000000)</f>
        <v/>
      </c>
    </row>
    <row r="28">
      <c r="A28" s="1" t="n"/>
      <c r="B28" s="24" t="inlineStr">
        <is>
          <t>Calculus I</t>
        </is>
      </c>
      <c r="C28" s="25" t="inlineStr">
        <is>
          <t>Problem set 5</t>
        </is>
      </c>
      <c r="D28" s="25" t="inlineStr">
        <is>
          <t>Homework</t>
        </is>
      </c>
      <c r="E28" s="26" t="n">
        <v>46289</v>
      </c>
      <c r="F28" s="27" t="inlineStr">
        <is>
          <t>To do</t>
        </is>
      </c>
      <c r="G28" s="28" t="n"/>
      <c r="H28" s="28" t="n">
        <v>20</v>
      </c>
      <c r="I28" s="16">
        <f>IF(OR(G28="",N(H28)=0),"",G28/H28)</f>
        <v/>
      </c>
      <c r="J28" s="20">
        <f>IF(OR(B28="",E28=""),"",IF(OR(F28="Done",G28&lt;&gt;""),"Done",IF(E28&lt;TODAY(),"Late by "&amp;(TODAY()-E28)&amp;IF((TODAY()-E28)=1," day"," days"),IF(E28=TODAY(),"Due today",IF(E28=TODAY()+1,"Due tomorrow","Due in "&amp;(E28-TODAY())&amp;IF((E28-TODAY())=1," day"," days"))))))</f>
        <v/>
      </c>
      <c r="K28" s="25" t="inlineStr">
        <is>
          <t>Ask for an extension</t>
        </is>
      </c>
      <c r="L28" s="1">
        <f>IF(G28="","",N(H28))</f>
        <v/>
      </c>
      <c r="M28">
        <f>IF(OR(B28="",E28="",OR(F28="Done",G28&lt;&gt;"")),"",E28+ROW()/10000000)</f>
        <v/>
      </c>
    </row>
    <row r="29">
      <c r="A29" s="1" t="n"/>
      <c r="B29" s="24" t="inlineStr">
        <is>
          <t>Biology 101</t>
        </is>
      </c>
      <c r="C29" s="25" t="inlineStr">
        <is>
          <t>Homework 5</t>
        </is>
      </c>
      <c r="D29" s="25" t="inlineStr">
        <is>
          <t>Homework</t>
        </is>
      </c>
      <c r="E29" s="26" t="n">
        <v>46290</v>
      </c>
      <c r="F29" s="27" t="inlineStr">
        <is>
          <t>Done</t>
        </is>
      </c>
      <c r="G29" s="28" t="n">
        <v>18</v>
      </c>
      <c r="H29" s="28" t="n">
        <v>20</v>
      </c>
      <c r="I29" s="16">
        <f>IF(OR(G29="",N(H29)=0),"",G29/H29)</f>
        <v/>
      </c>
      <c r="J29" s="20">
        <f>IF(OR(B29="",E29=""),"",IF(OR(F29="Done",G29&lt;&gt;""),"Done",IF(E29&lt;TODAY(),"Late by "&amp;(TODAY()-E29)&amp;IF((TODAY()-E29)=1," day"," days"),IF(E29=TODAY(),"Due today",IF(E29=TODAY()+1,"Due tomorrow","Due in "&amp;(E29-TODAY())&amp;IF((E29-TODAY())=1," day"," days"))))))</f>
        <v/>
      </c>
      <c r="K29" s="25" t="n"/>
      <c r="L29" s="1">
        <f>IF(G29="","",N(H29))</f>
        <v/>
      </c>
      <c r="M29">
        <f>IF(OR(B29="",E29="",OR(F29="Done",G29&lt;&gt;"")),"",E29+ROW()/10000000)</f>
        <v/>
      </c>
    </row>
    <row r="30">
      <c r="A30" s="1" t="n"/>
      <c r="B30" s="24" t="inlineStr">
        <is>
          <t>Biology 101</t>
        </is>
      </c>
      <c r="C30" s="25" t="inlineStr">
        <is>
          <t>Quiz 3</t>
        </is>
      </c>
      <c r="D30" s="25" t="inlineStr">
        <is>
          <t>Quizzes</t>
        </is>
      </c>
      <c r="E30" s="26" t="n">
        <v>46294</v>
      </c>
      <c r="F30" s="27" t="inlineStr">
        <is>
          <t>To do</t>
        </is>
      </c>
      <c r="G30" s="28" t="n"/>
      <c r="H30" s="28" t="n">
        <v>15</v>
      </c>
      <c r="I30" s="16">
        <f>IF(OR(G30="",N(H30)=0),"",G30/H30)</f>
        <v/>
      </c>
      <c r="J30" s="20">
        <f>IF(OR(B30="",E30=""),"",IF(OR(F30="Done",G30&lt;&gt;""),"Done",IF(E30&lt;TODAY(),"Late by "&amp;(TODAY()-E30)&amp;IF((TODAY()-E30)=1," day"," days"),IF(E30=TODAY(),"Due today",IF(E30=TODAY()+1,"Due tomorrow","Due in "&amp;(E30-TODAY())&amp;IF((E30-TODAY())=1," day"," days"))))))</f>
        <v/>
      </c>
      <c r="K30" s="25" t="n"/>
      <c r="L30" s="1">
        <f>IF(G30="","",N(H30))</f>
        <v/>
      </c>
      <c r="M30">
        <f>IF(OR(B30="",E30="",OR(F30="Done",G30&lt;&gt;"")),"",E30+ROW()/10000000)</f>
        <v/>
      </c>
    </row>
    <row r="31">
      <c r="A31" s="1" t="n"/>
      <c r="B31" s="24" t="inlineStr">
        <is>
          <t>Spanish I</t>
        </is>
      </c>
      <c r="C31" s="25" t="inlineStr">
        <is>
          <t>Workbook, unit 6</t>
        </is>
      </c>
      <c r="D31" s="25" t="inlineStr">
        <is>
          <t>Homework</t>
        </is>
      </c>
      <c r="E31" s="26" t="n">
        <v>46294</v>
      </c>
      <c r="F31" s="27" t="inlineStr">
        <is>
          <t>In progress</t>
        </is>
      </c>
      <c r="G31" s="28" t="n"/>
      <c r="H31" s="28" t="n">
        <v>10</v>
      </c>
      <c r="I31" s="16">
        <f>IF(OR(G31="",N(H31)=0),"",G31/H31)</f>
        <v/>
      </c>
      <c r="J31" s="20">
        <f>IF(OR(B31="",E31=""),"",IF(OR(F31="Done",G31&lt;&gt;""),"Done",IF(E31&lt;TODAY(),"Late by "&amp;(TODAY()-E31)&amp;IF((TODAY()-E31)=1," day"," days"),IF(E31=TODAY(),"Due today",IF(E31=TODAY()+1,"Due tomorrow","Due in "&amp;(E31-TODAY())&amp;IF((E31-TODAY())=1," day"," days"))))))</f>
        <v/>
      </c>
      <c r="K31" s="25" t="n"/>
      <c r="L31" s="1">
        <f>IF(G31="","",N(H31))</f>
        <v/>
      </c>
      <c r="M31">
        <f>IF(OR(B31="",E31="",OR(F31="Done",G31&lt;&gt;"")),"",E31+ROW()/10000000)</f>
        <v/>
      </c>
    </row>
    <row r="32">
      <c r="A32" s="1" t="n"/>
      <c r="B32" s="24" t="inlineStr">
        <is>
          <t>Calculus I</t>
        </is>
      </c>
      <c r="C32" s="25" t="inlineStr">
        <is>
          <t>Quiz 3</t>
        </is>
      </c>
      <c r="D32" s="25" t="inlineStr">
        <is>
          <t>Quizzes</t>
        </is>
      </c>
      <c r="E32" s="26" t="n">
        <v>46295</v>
      </c>
      <c r="F32" s="27" t="inlineStr">
        <is>
          <t>To do</t>
        </is>
      </c>
      <c r="G32" s="28" t="n"/>
      <c r="H32" s="28" t="n">
        <v>10</v>
      </c>
      <c r="I32" s="16">
        <f>IF(OR(G32="",N(H32)=0),"",G32/H32)</f>
        <v/>
      </c>
      <c r="J32" s="20">
        <f>IF(OR(B32="",E32=""),"",IF(OR(F32="Done",G32&lt;&gt;""),"Done",IF(E32&lt;TODAY(),"Late by "&amp;(TODAY()-E32)&amp;IF((TODAY()-E32)=1," day"," days"),IF(E32=TODAY(),"Due today",IF(E32=TODAY()+1,"Due tomorrow","Due in "&amp;(E32-TODAY())&amp;IF((E32-TODAY())=1," day"," days"))))))</f>
        <v/>
      </c>
      <c r="K32" s="25" t="n"/>
      <c r="L32" s="1">
        <f>IF(G32="","",N(H32))</f>
        <v/>
      </c>
      <c r="M32">
        <f>IF(OR(B32="",E32="",OR(F32="Done",G32&lt;&gt;"")),"",E32+ROW()/10000000)</f>
        <v/>
      </c>
    </row>
    <row r="33">
      <c r="A33" s="1" t="n"/>
      <c r="B33" s="24" t="inlineStr">
        <is>
          <t>Intro to Psychology</t>
        </is>
      </c>
      <c r="C33" s="25" t="inlineStr">
        <is>
          <t>Chapter quiz 2</t>
        </is>
      </c>
      <c r="D33" s="25" t="inlineStr">
        <is>
          <t>Quizzes</t>
        </is>
      </c>
      <c r="E33" s="26" t="n">
        <v>46295</v>
      </c>
      <c r="F33" s="27" t="inlineStr">
        <is>
          <t>To do</t>
        </is>
      </c>
      <c r="G33" s="28" t="n"/>
      <c r="H33" s="28" t="n">
        <v>25</v>
      </c>
      <c r="I33" s="16">
        <f>IF(OR(G33="",N(H33)=0),"",G33/H33)</f>
        <v/>
      </c>
      <c r="J33" s="20">
        <f>IF(OR(B33="",E33=""),"",IF(OR(F33="Done",G33&lt;&gt;""),"Done",IF(E33&lt;TODAY(),"Late by "&amp;(TODAY()-E33)&amp;IF((TODAY()-E33)=1," day"," days"),IF(E33=TODAY(),"Due today",IF(E33=TODAY()+1,"Due tomorrow","Due in "&amp;(E33-TODAY())&amp;IF((E33-TODAY())=1," day"," days"))))))</f>
        <v/>
      </c>
      <c r="K33" s="25" t="n"/>
      <c r="L33" s="1">
        <f>IF(G33="","",N(H33))</f>
        <v/>
      </c>
      <c r="M33">
        <f>IF(OR(B33="",E33="",OR(F33="Done",G33&lt;&gt;"")),"",E33+ROW()/10000000)</f>
        <v/>
      </c>
    </row>
    <row r="34">
      <c r="A34" s="1" t="n"/>
      <c r="B34" s="24" t="inlineStr">
        <is>
          <t>Biology 101</t>
        </is>
      </c>
      <c r="C34" s="25" t="inlineStr">
        <is>
          <t>Lab report 2</t>
        </is>
      </c>
      <c r="D34" s="25" t="inlineStr">
        <is>
          <t>Projects</t>
        </is>
      </c>
      <c r="E34" s="26" t="n">
        <v>46296</v>
      </c>
      <c r="F34" s="27" t="inlineStr">
        <is>
          <t>In progress</t>
        </is>
      </c>
      <c r="G34" s="28" t="n"/>
      <c r="H34" s="28" t="n">
        <v>50</v>
      </c>
      <c r="I34" s="16">
        <f>IF(OR(G34="",N(H34)=0),"",G34/H34)</f>
        <v/>
      </c>
      <c r="J34" s="20">
        <f>IF(OR(B34="",E34=""),"",IF(OR(F34="Done",G34&lt;&gt;""),"Done",IF(E34&lt;TODAY(),"Late by "&amp;(TODAY()-E34)&amp;IF((TODAY()-E34)=1," day"," days"),IF(E34=TODAY(),"Due today",IF(E34=TODAY()+1,"Due tomorrow","Due in "&amp;(E34-TODAY())&amp;IF((E34-TODAY())=1," day"," days"))))))</f>
        <v/>
      </c>
      <c r="K34" s="25" t="n"/>
      <c r="L34" s="1">
        <f>IF(G34="","",N(H34))</f>
        <v/>
      </c>
      <c r="M34">
        <f>IF(OR(B34="",E34="",OR(F34="Done",G34&lt;&gt;"")),"",E34+ROW()/10000000)</f>
        <v/>
      </c>
    </row>
    <row r="35">
      <c r="A35" s="1" t="n"/>
      <c r="B35" s="24" t="inlineStr">
        <is>
          <t>Calculus I</t>
        </is>
      </c>
      <c r="C35" s="25" t="inlineStr">
        <is>
          <t>Problem set 6</t>
        </is>
      </c>
      <c r="D35" s="25" t="inlineStr">
        <is>
          <t>Homework</t>
        </is>
      </c>
      <c r="E35" s="26" t="n">
        <v>46296</v>
      </c>
      <c r="F35" s="27" t="inlineStr">
        <is>
          <t>To do</t>
        </is>
      </c>
      <c r="G35" s="28" t="n"/>
      <c r="H35" s="28" t="n">
        <v>20</v>
      </c>
      <c r="I35" s="16">
        <f>IF(OR(G35="",N(H35)=0),"",G35/H35)</f>
        <v/>
      </c>
      <c r="J35" s="20">
        <f>IF(OR(B35="",E35=""),"",IF(OR(F35="Done",G35&lt;&gt;""),"Done",IF(E35&lt;TODAY(),"Late by "&amp;(TODAY()-E35)&amp;IF((TODAY()-E35)=1," day"," days"),IF(E35=TODAY(),"Due today",IF(E35=TODAY()+1,"Due tomorrow","Due in "&amp;(E35-TODAY())&amp;IF((E35-TODAY())=1," day"," days"))))))</f>
        <v/>
      </c>
      <c r="K35" s="25" t="n"/>
      <c r="L35" s="1">
        <f>IF(G35="","",N(H35))</f>
        <v/>
      </c>
      <c r="M35">
        <f>IF(OR(B35="",E35="",OR(F35="Done",G35&lt;&gt;"")),"",E35+ROW()/10000000)</f>
        <v/>
      </c>
    </row>
    <row r="36">
      <c r="A36" s="1" t="n"/>
      <c r="B36" s="24" t="inlineStr">
        <is>
          <t>Spanish I</t>
        </is>
      </c>
      <c r="C36" s="25" t="inlineStr">
        <is>
          <t>Oral exam 1</t>
        </is>
      </c>
      <c r="D36" s="25" t="inlineStr">
        <is>
          <t>Other</t>
        </is>
      </c>
      <c r="E36" s="26" t="n">
        <v>46296</v>
      </c>
      <c r="F36" s="27" t="inlineStr">
        <is>
          <t>To do</t>
        </is>
      </c>
      <c r="G36" s="28" t="n"/>
      <c r="H36" s="28" t="n">
        <v>25</v>
      </c>
      <c r="I36" s="16">
        <f>IF(OR(G36="",N(H36)=0),"",G36/H36)</f>
        <v/>
      </c>
      <c r="J36" s="20">
        <f>IF(OR(B36="",E36=""),"",IF(OR(F36="Done",G36&lt;&gt;""),"Done",IF(E36&lt;TODAY(),"Late by "&amp;(TODAY()-E36)&amp;IF((TODAY()-E36)=1," day"," days"),IF(E36=TODAY(),"Due today",IF(E36=TODAY()+1,"Due tomorrow","Due in "&amp;(E36-TODAY())&amp;IF((E36-TODAY())=1," day"," days"))))))</f>
        <v/>
      </c>
      <c r="K36" s="25" t="n"/>
      <c r="L36" s="1">
        <f>IF(G36="","",N(H36))</f>
        <v/>
      </c>
      <c r="M36">
        <f>IF(OR(B36="",E36="",OR(F36="Done",G36&lt;&gt;"")),"",E36+ROW()/10000000)</f>
        <v/>
      </c>
    </row>
    <row r="37">
      <c r="A37" s="1" t="n"/>
      <c r="B37" s="24" t="inlineStr">
        <is>
          <t>Biology 101</t>
        </is>
      </c>
      <c r="C37" s="25" t="inlineStr">
        <is>
          <t>Homework 6</t>
        </is>
      </c>
      <c r="D37" s="25" t="inlineStr">
        <is>
          <t>Homework</t>
        </is>
      </c>
      <c r="E37" s="26" t="n">
        <v>46297</v>
      </c>
      <c r="F37" s="27" t="inlineStr">
        <is>
          <t>In progress</t>
        </is>
      </c>
      <c r="G37" s="28" t="n"/>
      <c r="H37" s="28" t="n">
        <v>20</v>
      </c>
      <c r="I37" s="16">
        <f>IF(OR(G37="",N(H37)=0),"",G37/H37)</f>
        <v/>
      </c>
      <c r="J37" s="20">
        <f>IF(OR(B37="",E37=""),"",IF(OR(F37="Done",G37&lt;&gt;""),"Done",IF(E37&lt;TODAY(),"Late by "&amp;(TODAY()-E37)&amp;IF((TODAY()-E37)=1," day"," days"),IF(E37=TODAY(),"Due today",IF(E37=TODAY()+1,"Due tomorrow","Due in "&amp;(E37-TODAY())&amp;IF((E37-TODAY())=1," day"," days"))))))</f>
        <v/>
      </c>
      <c r="K37" s="25" t="n"/>
      <c r="L37" s="1">
        <f>IF(G37="","",N(H37))</f>
        <v/>
      </c>
      <c r="M37">
        <f>IF(OR(B37="",E37="",OR(F37="Done",G37&lt;&gt;"")),"",E37+ROW()/10000000)</f>
        <v/>
      </c>
    </row>
    <row r="38">
      <c r="A38" s="1" t="n"/>
      <c r="B38" s="24" t="inlineStr">
        <is>
          <t>Spanish I</t>
        </is>
      </c>
      <c r="C38" s="25" t="inlineStr">
        <is>
          <t>Vocabulary quiz 3</t>
        </is>
      </c>
      <c r="D38" s="25" t="inlineStr">
        <is>
          <t>Quizzes</t>
        </is>
      </c>
      <c r="E38" s="26" t="n">
        <v>46297</v>
      </c>
      <c r="F38" s="27" t="inlineStr">
        <is>
          <t>In progress</t>
        </is>
      </c>
      <c r="G38" s="28" t="n"/>
      <c r="H38" s="28" t="n">
        <v>20</v>
      </c>
      <c r="I38" s="16">
        <f>IF(OR(G38="",N(H38)=0),"",G38/H38)</f>
        <v/>
      </c>
      <c r="J38" s="20">
        <f>IF(OR(B38="",E38=""),"",IF(OR(F38="Done",G38&lt;&gt;""),"Done",IF(E38&lt;TODAY(),"Late by "&amp;(TODAY()-E38)&amp;IF((TODAY()-E38)=1," day"," days"),IF(E38=TODAY(),"Due today",IF(E38=TODAY()+1,"Due tomorrow","Due in "&amp;(E38-TODAY())&amp;IF((E38-TODAY())=1," day"," days"))))))</f>
        <v/>
      </c>
      <c r="K38" s="25" t="n"/>
      <c r="L38" s="1">
        <f>IF(G38="","",N(H38))</f>
        <v/>
      </c>
      <c r="M38">
        <f>IF(OR(B38="",E38="",OR(F38="Done",G38&lt;&gt;"")),"",E38+ROW()/10000000)</f>
        <v/>
      </c>
    </row>
    <row r="39">
      <c r="A39" s="1" t="n"/>
      <c r="B39" s="24" t="inlineStr">
        <is>
          <t>Spanish I</t>
        </is>
      </c>
      <c r="C39" s="25" t="inlineStr">
        <is>
          <t>Workbook, unit 7</t>
        </is>
      </c>
      <c r="D39" s="25" t="inlineStr">
        <is>
          <t>Homework</t>
        </is>
      </c>
      <c r="E39" s="26" t="n">
        <v>46301</v>
      </c>
      <c r="F39" s="27" t="inlineStr">
        <is>
          <t>To do</t>
        </is>
      </c>
      <c r="G39" s="28" t="n"/>
      <c r="H39" s="28" t="n">
        <v>10</v>
      </c>
      <c r="I39" s="16">
        <f>IF(OR(G39="",N(H39)=0),"",G39/H39)</f>
        <v/>
      </c>
      <c r="J39" s="20">
        <f>IF(OR(B39="",E39=""),"",IF(OR(F39="Done",G39&lt;&gt;""),"Done",IF(E39&lt;TODAY(),"Late by "&amp;(TODAY()-E39)&amp;IF((TODAY()-E39)=1," day"," days"),IF(E39=TODAY(),"Due today",IF(E39=TODAY()+1,"Due tomorrow","Due in "&amp;(E39-TODAY())&amp;IF((E39-TODAY())=1," day"," days"))))))</f>
        <v/>
      </c>
      <c r="K39" s="25" t="n"/>
      <c r="L39" s="1">
        <f>IF(G39="","",N(H39))</f>
        <v/>
      </c>
      <c r="M39">
        <f>IF(OR(B39="",E39="",OR(F39="Done",G39&lt;&gt;"")),"",E39+ROW()/10000000)</f>
        <v/>
      </c>
    </row>
    <row r="40">
      <c r="A40" s="1" t="n"/>
      <c r="B40" s="24" t="inlineStr">
        <is>
          <t>Calculus I</t>
        </is>
      </c>
      <c r="C40" s="25" t="inlineStr">
        <is>
          <t>Problem set 7</t>
        </is>
      </c>
      <c r="D40" s="25" t="inlineStr">
        <is>
          <t>Homework</t>
        </is>
      </c>
      <c r="E40" s="26" t="n">
        <v>46303</v>
      </c>
      <c r="F40" s="27" t="inlineStr">
        <is>
          <t>To do</t>
        </is>
      </c>
      <c r="G40" s="28" t="n"/>
      <c r="H40" s="28" t="n">
        <v>20</v>
      </c>
      <c r="I40" s="16">
        <f>IF(OR(G40="",N(H40)=0),"",G40/H40)</f>
        <v/>
      </c>
      <c r="J40" s="20">
        <f>IF(OR(B40="",E40=""),"",IF(OR(F40="Done",G40&lt;&gt;""),"Done",IF(E40&lt;TODAY(),"Late by "&amp;(TODAY()-E40)&amp;IF((TODAY()-E40)=1," day"," days"),IF(E40=TODAY(),"Due today",IF(E40=TODAY()+1,"Due tomorrow","Due in "&amp;(E40-TODAY())&amp;IF((E40-TODAY())=1," day"," days"))))))</f>
        <v/>
      </c>
      <c r="K40" s="25" t="n"/>
      <c r="L40" s="1">
        <f>IF(G40="","",N(H40))</f>
        <v/>
      </c>
      <c r="M40">
        <f>IF(OR(B40="",E40="",OR(F40="Done",G40&lt;&gt;"")),"",E40+ROW()/10000000)</f>
        <v/>
      </c>
    </row>
    <row r="41">
      <c r="A41" s="1" t="n"/>
      <c r="B41" s="24" t="inlineStr">
        <is>
          <t>Biology 101</t>
        </is>
      </c>
      <c r="C41" s="25" t="inlineStr">
        <is>
          <t>Homework 7</t>
        </is>
      </c>
      <c r="D41" s="25" t="inlineStr">
        <is>
          <t>Homework</t>
        </is>
      </c>
      <c r="E41" s="26" t="n">
        <v>46304</v>
      </c>
      <c r="F41" s="27" t="inlineStr">
        <is>
          <t>To do</t>
        </is>
      </c>
      <c r="G41" s="28" t="n"/>
      <c r="H41" s="28" t="n">
        <v>20</v>
      </c>
      <c r="I41" s="16">
        <f>IF(OR(G41="",N(H41)=0),"",G41/H41)</f>
        <v/>
      </c>
      <c r="J41" s="20">
        <f>IF(OR(B41="",E41=""),"",IF(OR(F41="Done",G41&lt;&gt;""),"Done",IF(E41&lt;TODAY(),"Late by "&amp;(TODAY()-E41)&amp;IF((TODAY()-E41)=1," day"," days"),IF(E41=TODAY(),"Due today",IF(E41=TODAY()+1,"Due tomorrow","Due in "&amp;(E41-TODAY())&amp;IF((E41-TODAY())=1," day"," days"))))))</f>
        <v/>
      </c>
      <c r="K41" s="25" t="n"/>
      <c r="L41" s="1">
        <f>IF(G41="","",N(H41))</f>
        <v/>
      </c>
      <c r="M41">
        <f>IF(OR(B41="",E41="",OR(F41="Done",G41&lt;&gt;"")),"",E41+ROW()/10000000)</f>
        <v/>
      </c>
    </row>
    <row r="42">
      <c r="A42" s="1" t="n"/>
      <c r="B42" s="24" t="inlineStr">
        <is>
          <t>Spanish I</t>
        </is>
      </c>
      <c r="C42" s="25" t="inlineStr">
        <is>
          <t>Midterm exam</t>
        </is>
      </c>
      <c r="D42" s="25" t="inlineStr">
        <is>
          <t>Midterm</t>
        </is>
      </c>
      <c r="E42" s="26" t="n">
        <v>46307</v>
      </c>
      <c r="F42" s="27" t="inlineStr">
        <is>
          <t>To do</t>
        </is>
      </c>
      <c r="G42" s="28" t="n"/>
      <c r="H42" s="28" t="n">
        <v>100</v>
      </c>
      <c r="I42" s="16">
        <f>IF(OR(G42="",N(H42)=0),"",G42/H42)</f>
        <v/>
      </c>
      <c r="J42" s="20">
        <f>IF(OR(B42="",E42=""),"",IF(OR(F42="Done",G42&lt;&gt;""),"Done",IF(E42&lt;TODAY(),"Late by "&amp;(TODAY()-E42)&amp;IF((TODAY()-E42)=1," day"," days"),IF(E42=TODAY(),"Due today",IF(E42=TODAY()+1,"Due tomorrow","Due in "&amp;(E42-TODAY())&amp;IF((E42-TODAY())=1," day"," days"))))))</f>
        <v/>
      </c>
      <c r="K42" s="25" t="n"/>
      <c r="L42" s="1">
        <f>IF(G42="","",N(H42))</f>
        <v/>
      </c>
      <c r="M42">
        <f>IF(OR(B42="",E42="",OR(F42="Done",G42&lt;&gt;"")),"",E42+ROW()/10000000)</f>
        <v/>
      </c>
    </row>
    <row r="43">
      <c r="A43" s="1" t="n"/>
      <c r="B43" s="24" t="inlineStr">
        <is>
          <t>Biology 101</t>
        </is>
      </c>
      <c r="C43" s="25" t="inlineStr">
        <is>
          <t>Quiz 4</t>
        </is>
      </c>
      <c r="D43" s="25" t="inlineStr">
        <is>
          <t>Quizzes</t>
        </is>
      </c>
      <c r="E43" s="26" t="n">
        <v>46308</v>
      </c>
      <c r="F43" s="27" t="inlineStr">
        <is>
          <t>To do</t>
        </is>
      </c>
      <c r="G43" s="28" t="n"/>
      <c r="H43" s="28" t="n">
        <v>15</v>
      </c>
      <c r="I43" s="16">
        <f>IF(OR(G43="",N(H43)=0),"",G43/H43)</f>
        <v/>
      </c>
      <c r="J43" s="20">
        <f>IF(OR(B43="",E43=""),"",IF(OR(F43="Done",G43&lt;&gt;""),"Done",IF(E43&lt;TODAY(),"Late by "&amp;(TODAY()-E43)&amp;IF((TODAY()-E43)=1," day"," days"),IF(E43=TODAY(),"Due today",IF(E43=TODAY()+1,"Due tomorrow","Due in "&amp;(E43-TODAY())&amp;IF((E43-TODAY())=1," day"," days"))))))</f>
        <v/>
      </c>
      <c r="K43" s="25" t="n"/>
      <c r="L43" s="1">
        <f>IF(G43="","",N(H43))</f>
        <v/>
      </c>
      <c r="M43">
        <f>IF(OR(B43="",E43="",OR(F43="Done",G43&lt;&gt;"")),"",E43+ROW()/10000000)</f>
        <v/>
      </c>
    </row>
    <row r="44">
      <c r="A44" s="1" t="n"/>
      <c r="B44" s="24" t="inlineStr">
        <is>
          <t>Calculus I</t>
        </is>
      </c>
      <c r="C44" s="25" t="inlineStr">
        <is>
          <t>Midterm exam</t>
        </is>
      </c>
      <c r="D44" s="25" t="inlineStr">
        <is>
          <t>Midterm</t>
        </is>
      </c>
      <c r="E44" s="26" t="n">
        <v>46308</v>
      </c>
      <c r="F44" s="27" t="inlineStr">
        <is>
          <t>To do</t>
        </is>
      </c>
      <c r="G44" s="28" t="n"/>
      <c r="H44" s="28" t="n">
        <v>100</v>
      </c>
      <c r="I44" s="16">
        <f>IF(OR(G44="",N(H44)=0),"",G44/H44)</f>
        <v/>
      </c>
      <c r="J44" s="20">
        <f>IF(OR(B44="",E44=""),"",IF(OR(F44="Done",G44&lt;&gt;""),"Done",IF(E44&lt;TODAY(),"Late by "&amp;(TODAY()-E44)&amp;IF((TODAY()-E44)=1," day"," days"),IF(E44=TODAY(),"Due today",IF(E44=TODAY()+1,"Due tomorrow","Due in "&amp;(E44-TODAY())&amp;IF((E44-TODAY())=1," day"," days"))))))</f>
        <v/>
      </c>
      <c r="K44" s="25" t="n"/>
      <c r="L44" s="1">
        <f>IF(G44="","",N(H44))</f>
        <v/>
      </c>
      <c r="M44">
        <f>IF(OR(B44="",E44="",OR(F44="Done",G44&lt;&gt;"")),"",E44+ROW()/10000000)</f>
        <v/>
      </c>
    </row>
    <row r="45">
      <c r="A45" s="1" t="n"/>
      <c r="B45" s="24" t="inlineStr">
        <is>
          <t>Spanish I</t>
        </is>
      </c>
      <c r="C45" s="25" t="inlineStr">
        <is>
          <t>Workbook, unit 8</t>
        </is>
      </c>
      <c r="D45" s="25" t="inlineStr">
        <is>
          <t>Homework</t>
        </is>
      </c>
      <c r="E45" s="26" t="n">
        <v>46308</v>
      </c>
      <c r="F45" s="27" t="inlineStr">
        <is>
          <t>To do</t>
        </is>
      </c>
      <c r="G45" s="28" t="n"/>
      <c r="H45" s="28" t="n">
        <v>10</v>
      </c>
      <c r="I45" s="16">
        <f>IF(OR(G45="",N(H45)=0),"",G45/H45)</f>
        <v/>
      </c>
      <c r="J45" s="20">
        <f>IF(OR(B45="",E45=""),"",IF(OR(F45="Done",G45&lt;&gt;""),"Done",IF(E45&lt;TODAY(),"Late by "&amp;(TODAY()-E45)&amp;IF((TODAY()-E45)=1," day"," days"),IF(E45=TODAY(),"Due today",IF(E45=TODAY()+1,"Due tomorrow","Due in "&amp;(E45-TODAY())&amp;IF((E45-TODAY())=1," day"," days"))))))</f>
        <v/>
      </c>
      <c r="K45" s="25" t="n"/>
      <c r="L45" s="1">
        <f>IF(G45="","",N(H45))</f>
        <v/>
      </c>
      <c r="M45">
        <f>IF(OR(B45="",E45="",OR(F45="Done",G45&lt;&gt;"")),"",E45+ROW()/10000000)</f>
        <v/>
      </c>
    </row>
    <row r="46">
      <c r="A46" s="1" t="n"/>
      <c r="B46" s="24" t="inlineStr">
        <is>
          <t>Calculus I</t>
        </is>
      </c>
      <c r="C46" s="25" t="inlineStr">
        <is>
          <t>Quiz 4</t>
        </is>
      </c>
      <c r="D46" s="25" t="inlineStr">
        <is>
          <t>Quizzes</t>
        </is>
      </c>
      <c r="E46" s="26" t="n">
        <v>46309</v>
      </c>
      <c r="F46" s="27" t="inlineStr">
        <is>
          <t>To do</t>
        </is>
      </c>
      <c r="G46" s="28" t="n"/>
      <c r="H46" s="28" t="n">
        <v>10</v>
      </c>
      <c r="I46" s="16">
        <f>IF(OR(G46="",N(H46)=0),"",G46/H46)</f>
        <v/>
      </c>
      <c r="J46" s="20">
        <f>IF(OR(B46="",E46=""),"",IF(OR(F46="Done",G46&lt;&gt;""),"Done",IF(E46&lt;TODAY(),"Late by "&amp;(TODAY()-E46)&amp;IF((TODAY()-E46)=1," day"," days"),IF(E46=TODAY(),"Due today",IF(E46=TODAY()+1,"Due tomorrow","Due in "&amp;(E46-TODAY())&amp;IF((E46-TODAY())=1," day"," days"))))))</f>
        <v/>
      </c>
      <c r="K46" s="25" t="n"/>
      <c r="L46" s="1">
        <f>IF(G46="","",N(H46))</f>
        <v/>
      </c>
      <c r="M46">
        <f>IF(OR(B46="",E46="",OR(F46="Done",G46&lt;&gt;"")),"",E46+ROW()/10000000)</f>
        <v/>
      </c>
    </row>
    <row r="47">
      <c r="A47" s="1" t="n"/>
      <c r="B47" s="24" t="inlineStr">
        <is>
          <t>Calculus I</t>
        </is>
      </c>
      <c r="C47" s="25" t="inlineStr">
        <is>
          <t>Problem set 8</t>
        </is>
      </c>
      <c r="D47" s="25" t="inlineStr">
        <is>
          <t>Homework</t>
        </is>
      </c>
      <c r="E47" s="26" t="n">
        <v>46310</v>
      </c>
      <c r="F47" s="27" t="inlineStr">
        <is>
          <t>To do</t>
        </is>
      </c>
      <c r="G47" s="28" t="n"/>
      <c r="H47" s="28" t="n">
        <v>20</v>
      </c>
      <c r="I47" s="16">
        <f>IF(OR(G47="",N(H47)=0),"",G47/H47)</f>
        <v/>
      </c>
      <c r="J47" s="20">
        <f>IF(OR(B47="",E47=""),"",IF(OR(F47="Done",G47&lt;&gt;""),"Done",IF(E47&lt;TODAY(),"Late by "&amp;(TODAY()-E47)&amp;IF((TODAY()-E47)=1," day"," days"),IF(E47=TODAY(),"Due today",IF(E47=TODAY()+1,"Due tomorrow","Due in "&amp;(E47-TODAY())&amp;IF((E47-TODAY())=1," day"," days"))))))</f>
        <v/>
      </c>
      <c r="K47" s="25" t="n"/>
      <c r="L47" s="1">
        <f>IF(G47="","",N(H47))</f>
        <v/>
      </c>
      <c r="M47">
        <f>IF(OR(B47="",E47="",OR(F47="Done",G47&lt;&gt;"")),"",E47+ROW()/10000000)</f>
        <v/>
      </c>
    </row>
    <row r="48">
      <c r="A48" s="1" t="n"/>
      <c r="B48" s="24" t="inlineStr">
        <is>
          <t>Biology 101</t>
        </is>
      </c>
      <c r="C48" s="25" t="inlineStr">
        <is>
          <t>Homework 8</t>
        </is>
      </c>
      <c r="D48" s="25" t="inlineStr">
        <is>
          <t>Homework</t>
        </is>
      </c>
      <c r="E48" s="26" t="n">
        <v>46311</v>
      </c>
      <c r="F48" s="27" t="inlineStr">
        <is>
          <t>To do</t>
        </is>
      </c>
      <c r="G48" s="28" t="n"/>
      <c r="H48" s="28" t="n">
        <v>20</v>
      </c>
      <c r="I48" s="16">
        <f>IF(OR(G48="",N(H48)=0),"",G48/H48)</f>
        <v/>
      </c>
      <c r="J48" s="20">
        <f>IF(OR(B48="",E48=""),"",IF(OR(F48="Done",G48&lt;&gt;""),"Done",IF(E48&lt;TODAY(),"Late by "&amp;(TODAY()-E48)&amp;IF((TODAY()-E48)=1," day"," days"),IF(E48=TODAY(),"Due today",IF(E48=TODAY()+1,"Due tomorrow","Due in "&amp;(E48-TODAY())&amp;IF((E48-TODAY())=1," day"," days"))))))</f>
        <v/>
      </c>
      <c r="K48" s="25" t="n"/>
      <c r="L48" s="1">
        <f>IF(G48="","",N(H48))</f>
        <v/>
      </c>
      <c r="M48">
        <f>IF(OR(B48="",E48="",OR(F48="Done",G48&lt;&gt;"")),"",E48+ROW()/10000000)</f>
        <v/>
      </c>
    </row>
    <row r="49">
      <c r="A49" s="1" t="n"/>
      <c r="B49" s="24" t="inlineStr">
        <is>
          <t>Biology 101</t>
        </is>
      </c>
      <c r="C49" s="25" t="inlineStr">
        <is>
          <t>Midterm exam</t>
        </is>
      </c>
      <c r="D49" s="25" t="inlineStr">
        <is>
          <t>Midterm</t>
        </is>
      </c>
      <c r="E49" s="26" t="n">
        <v>46311</v>
      </c>
      <c r="F49" s="27" t="inlineStr">
        <is>
          <t>To do</t>
        </is>
      </c>
      <c r="G49" s="28" t="n"/>
      <c r="H49" s="28" t="n">
        <v>100</v>
      </c>
      <c r="I49" s="16">
        <f>IF(OR(G49="",N(H49)=0),"",G49/H49)</f>
        <v/>
      </c>
      <c r="J49" s="20">
        <f>IF(OR(B49="",E49=""),"",IF(OR(F49="Done",G49&lt;&gt;""),"Done",IF(E49&lt;TODAY(),"Late by "&amp;(TODAY()-E49)&amp;IF((TODAY()-E49)=1," day"," days"),IF(E49=TODAY(),"Due today",IF(E49=TODAY()+1,"Due tomorrow","Due in "&amp;(E49-TODAY())&amp;IF((E49-TODAY())=1," day"," days"))))))</f>
        <v/>
      </c>
      <c r="K49" s="25" t="n"/>
      <c r="L49" s="1">
        <f>IF(G49="","",N(H49))</f>
        <v/>
      </c>
      <c r="M49">
        <f>IF(OR(B49="",E49="",OR(F49="Done",G49&lt;&gt;"")),"",E49+ROW()/10000000)</f>
        <v/>
      </c>
    </row>
    <row r="50">
      <c r="A50" s="1" t="n"/>
      <c r="B50" s="24" t="inlineStr">
        <is>
          <t>English Composition</t>
        </is>
      </c>
      <c r="C50" s="25" t="inlineStr">
        <is>
          <t>Essay 2</t>
        </is>
      </c>
      <c r="D50" s="25" t="inlineStr">
        <is>
          <t>Projects</t>
        </is>
      </c>
      <c r="E50" s="26" t="n">
        <v>46311</v>
      </c>
      <c r="F50" s="27" t="inlineStr">
        <is>
          <t>To do</t>
        </is>
      </c>
      <c r="G50" s="28" t="n"/>
      <c r="H50" s="28" t="n">
        <v>100</v>
      </c>
      <c r="I50" s="16">
        <f>IF(OR(G50="",N(H50)=0),"",G50/H50)</f>
        <v/>
      </c>
      <c r="J50" s="20">
        <f>IF(OR(B50="",E50=""),"",IF(OR(F50="Done",G50&lt;&gt;""),"Done",IF(E50&lt;TODAY(),"Late by "&amp;(TODAY()-E50)&amp;IF((TODAY()-E50)=1," day"," days"),IF(E50=TODAY(),"Due today",IF(E50=TODAY()+1,"Due tomorrow","Due in "&amp;(E50-TODAY())&amp;IF((E50-TODAY())=1," day"," days"))))))</f>
        <v/>
      </c>
      <c r="K50" s="25" t="n"/>
      <c r="L50" s="1">
        <f>IF(G50="","",N(H50))</f>
        <v/>
      </c>
      <c r="M50">
        <f>IF(OR(B50="",E50="",OR(F50="Done",G50&lt;&gt;"")),"",E50+ROW()/10000000)</f>
        <v/>
      </c>
    </row>
    <row r="51">
      <c r="A51" s="1" t="n"/>
      <c r="B51" s="24" t="inlineStr">
        <is>
          <t>Intro to Psychology</t>
        </is>
      </c>
      <c r="C51" s="25" t="inlineStr">
        <is>
          <t>Midterm exam</t>
        </is>
      </c>
      <c r="D51" s="25" t="inlineStr">
        <is>
          <t>Midterm</t>
        </is>
      </c>
      <c r="E51" s="26" t="n">
        <v>46311</v>
      </c>
      <c r="F51" s="27" t="inlineStr">
        <is>
          <t>To do</t>
        </is>
      </c>
      <c r="G51" s="28" t="n"/>
      <c r="H51" s="28" t="n">
        <v>100</v>
      </c>
      <c r="I51" s="16">
        <f>IF(OR(G51="",N(H51)=0),"",G51/H51)</f>
        <v/>
      </c>
      <c r="J51" s="20">
        <f>IF(OR(B51="",E51=""),"",IF(OR(F51="Done",G51&lt;&gt;""),"Done",IF(E51&lt;TODAY(),"Late by "&amp;(TODAY()-E51)&amp;IF((TODAY()-E51)=1," day"," days"),IF(E51=TODAY(),"Due today",IF(E51=TODAY()+1,"Due tomorrow","Due in "&amp;(E51-TODAY())&amp;IF((E51-TODAY())=1," day"," days"))))))</f>
        <v/>
      </c>
      <c r="K51" s="25" t="n"/>
      <c r="L51" s="1">
        <f>IF(G51="","",N(H51))</f>
        <v/>
      </c>
      <c r="M51">
        <f>IF(OR(B51="",E51="",OR(F51="Done",G51&lt;&gt;"")),"",E51+ROW()/10000000)</f>
        <v/>
      </c>
    </row>
    <row r="52">
      <c r="A52" s="1" t="n"/>
      <c r="B52" s="24" t="inlineStr">
        <is>
          <t>Spanish I</t>
        </is>
      </c>
      <c r="C52" s="25" t="inlineStr">
        <is>
          <t>Vocabulary quiz 4</t>
        </is>
      </c>
      <c r="D52" s="25" t="inlineStr">
        <is>
          <t>Quizzes</t>
        </is>
      </c>
      <c r="E52" s="26" t="n">
        <v>46311</v>
      </c>
      <c r="F52" s="27" t="inlineStr">
        <is>
          <t>To do</t>
        </is>
      </c>
      <c r="G52" s="28" t="n"/>
      <c r="H52" s="28" t="n">
        <v>20</v>
      </c>
      <c r="I52" s="16">
        <f>IF(OR(G52="",N(H52)=0),"",G52/H52)</f>
        <v/>
      </c>
      <c r="J52" s="20">
        <f>IF(OR(B52="",E52=""),"",IF(OR(F52="Done",G52&lt;&gt;""),"Done",IF(E52&lt;TODAY(),"Late by "&amp;(TODAY()-E52)&amp;IF((TODAY()-E52)=1," day"," days"),IF(E52=TODAY(),"Due today",IF(E52=TODAY()+1,"Due tomorrow","Due in "&amp;(E52-TODAY())&amp;IF((E52-TODAY())=1," day"," days"))))))</f>
        <v/>
      </c>
      <c r="K52" s="25" t="n"/>
      <c r="L52" s="1">
        <f>IF(G52="","",N(H52))</f>
        <v/>
      </c>
      <c r="M52">
        <f>IF(OR(B52="",E52="",OR(F52="Done",G52&lt;&gt;"")),"",E52+ROW()/10000000)</f>
        <v/>
      </c>
    </row>
    <row r="53">
      <c r="A53" s="1" t="n"/>
      <c r="B53" s="24" t="inlineStr">
        <is>
          <t>Spanish I</t>
        </is>
      </c>
      <c r="C53" s="25" t="inlineStr">
        <is>
          <t>Workbook, unit 9</t>
        </is>
      </c>
      <c r="D53" s="25" t="inlineStr">
        <is>
          <t>Homework</t>
        </is>
      </c>
      <c r="E53" s="26" t="n">
        <v>46315</v>
      </c>
      <c r="F53" s="27" t="inlineStr">
        <is>
          <t>To do</t>
        </is>
      </c>
      <c r="G53" s="28" t="n"/>
      <c r="H53" s="28" t="n">
        <v>10</v>
      </c>
      <c r="I53" s="16">
        <f>IF(OR(G53="",N(H53)=0),"",G53/H53)</f>
        <v/>
      </c>
      <c r="J53" s="20">
        <f>IF(OR(B53="",E53=""),"",IF(OR(F53="Done",G53&lt;&gt;""),"Done",IF(E53&lt;TODAY(),"Late by "&amp;(TODAY()-E53)&amp;IF((TODAY()-E53)=1," day"," days"),IF(E53=TODAY(),"Due today",IF(E53=TODAY()+1,"Due tomorrow","Due in "&amp;(E53-TODAY())&amp;IF((E53-TODAY())=1," day"," days"))))))</f>
        <v/>
      </c>
      <c r="K53" s="25" t="n"/>
      <c r="L53" s="1">
        <f>IF(G53="","",N(H53))</f>
        <v/>
      </c>
      <c r="M53">
        <f>IF(OR(B53="",E53="",OR(F53="Done",G53&lt;&gt;"")),"",E53+ROW()/10000000)</f>
        <v/>
      </c>
    </row>
    <row r="54">
      <c r="A54" s="1" t="n"/>
      <c r="B54" s="24" t="inlineStr">
        <is>
          <t>Intro to Psychology</t>
        </is>
      </c>
      <c r="C54" s="25" t="inlineStr">
        <is>
          <t>Chapter quiz 3</t>
        </is>
      </c>
      <c r="D54" s="25" t="inlineStr">
        <is>
          <t>Quizzes</t>
        </is>
      </c>
      <c r="E54" s="26" t="n">
        <v>46316</v>
      </c>
      <c r="F54" s="27" t="inlineStr">
        <is>
          <t>To do</t>
        </is>
      </c>
      <c r="G54" s="28" t="n"/>
      <c r="H54" s="28" t="n">
        <v>25</v>
      </c>
      <c r="I54" s="16">
        <f>IF(OR(G54="",N(H54)=0),"",G54/H54)</f>
        <v/>
      </c>
      <c r="J54" s="20">
        <f>IF(OR(B54="",E54=""),"",IF(OR(F54="Done",G54&lt;&gt;""),"Done",IF(E54&lt;TODAY(),"Late by "&amp;(TODAY()-E54)&amp;IF((TODAY()-E54)=1," day"," days"),IF(E54=TODAY(),"Due today",IF(E54=TODAY()+1,"Due tomorrow","Due in "&amp;(E54-TODAY())&amp;IF((E54-TODAY())=1," day"," days"))))))</f>
        <v/>
      </c>
      <c r="K54" s="25" t="n"/>
      <c r="L54" s="1">
        <f>IF(G54="","",N(H54))</f>
        <v/>
      </c>
      <c r="M54">
        <f>IF(OR(B54="",E54="",OR(F54="Done",G54&lt;&gt;"")),"",E54+ROW()/10000000)</f>
        <v/>
      </c>
    </row>
    <row r="55">
      <c r="A55" s="1" t="n"/>
      <c r="B55" s="24" t="inlineStr">
        <is>
          <t>Biology 101</t>
        </is>
      </c>
      <c r="C55" s="25" t="inlineStr">
        <is>
          <t>Lab report 3</t>
        </is>
      </c>
      <c r="D55" s="25" t="inlineStr">
        <is>
          <t>Projects</t>
        </is>
      </c>
      <c r="E55" s="26" t="n">
        <v>46317</v>
      </c>
      <c r="F55" s="27" t="inlineStr">
        <is>
          <t>To do</t>
        </is>
      </c>
      <c r="G55" s="28" t="n"/>
      <c r="H55" s="28" t="n">
        <v>50</v>
      </c>
      <c r="I55" s="16">
        <f>IF(OR(G55="",N(H55)=0),"",G55/H55)</f>
        <v/>
      </c>
      <c r="J55" s="20">
        <f>IF(OR(B55="",E55=""),"",IF(OR(F55="Done",G55&lt;&gt;""),"Done",IF(E55&lt;TODAY(),"Late by "&amp;(TODAY()-E55)&amp;IF((TODAY()-E55)=1," day"," days"),IF(E55=TODAY(),"Due today",IF(E55=TODAY()+1,"Due tomorrow","Due in "&amp;(E55-TODAY())&amp;IF((E55-TODAY())=1," day"," days"))))))</f>
        <v/>
      </c>
      <c r="K55" s="25" t="n"/>
      <c r="L55" s="1">
        <f>IF(G55="","",N(H55))</f>
        <v/>
      </c>
      <c r="M55">
        <f>IF(OR(B55="",E55="",OR(F55="Done",G55&lt;&gt;"")),"",E55+ROW()/10000000)</f>
        <v/>
      </c>
    </row>
    <row r="56">
      <c r="A56" s="1" t="n"/>
      <c r="B56" s="24" t="inlineStr">
        <is>
          <t>Calculus I</t>
        </is>
      </c>
      <c r="C56" s="25" t="inlineStr">
        <is>
          <t>Problem set 9</t>
        </is>
      </c>
      <c r="D56" s="25" t="inlineStr">
        <is>
          <t>Homework</t>
        </is>
      </c>
      <c r="E56" s="26" t="n">
        <v>46317</v>
      </c>
      <c r="F56" s="27" t="inlineStr">
        <is>
          <t>To do</t>
        </is>
      </c>
      <c r="G56" s="28" t="n"/>
      <c r="H56" s="28" t="n">
        <v>20</v>
      </c>
      <c r="I56" s="16">
        <f>IF(OR(G56="",N(H56)=0),"",G56/H56)</f>
        <v/>
      </c>
      <c r="J56" s="20">
        <f>IF(OR(B56="",E56=""),"",IF(OR(F56="Done",G56&lt;&gt;""),"Done",IF(E56&lt;TODAY(),"Late by "&amp;(TODAY()-E56)&amp;IF((TODAY()-E56)=1," day"," days"),IF(E56=TODAY(),"Due today",IF(E56=TODAY()+1,"Due tomorrow","Due in "&amp;(E56-TODAY())&amp;IF((E56-TODAY())=1," day"," days"))))))</f>
        <v/>
      </c>
      <c r="K56" s="25" t="n"/>
      <c r="L56" s="1">
        <f>IF(G56="","",N(H56))</f>
        <v/>
      </c>
      <c r="M56">
        <f>IF(OR(B56="",E56="",OR(F56="Done",G56&lt;&gt;"")),"",E56+ROW()/10000000)</f>
        <v/>
      </c>
    </row>
    <row r="57">
      <c r="A57" s="1" t="n"/>
      <c r="B57" s="24" t="inlineStr">
        <is>
          <t>Biology 101</t>
        </is>
      </c>
      <c r="C57" s="25" t="inlineStr">
        <is>
          <t>Homework 9</t>
        </is>
      </c>
      <c r="D57" s="25" t="inlineStr">
        <is>
          <t>Homework</t>
        </is>
      </c>
      <c r="E57" s="26" t="n">
        <v>46318</v>
      </c>
      <c r="F57" s="27" t="inlineStr">
        <is>
          <t>To do</t>
        </is>
      </c>
      <c r="G57" s="28" t="n"/>
      <c r="H57" s="28" t="n">
        <v>20</v>
      </c>
      <c r="I57" s="16">
        <f>IF(OR(G57="",N(H57)=0),"",G57/H57)</f>
        <v/>
      </c>
      <c r="J57" s="20">
        <f>IF(OR(B57="",E57=""),"",IF(OR(F57="Done",G57&lt;&gt;""),"Done",IF(E57&lt;TODAY(),"Late by "&amp;(TODAY()-E57)&amp;IF((TODAY()-E57)=1," day"," days"),IF(E57=TODAY(),"Due today",IF(E57=TODAY()+1,"Due tomorrow","Due in "&amp;(E57-TODAY())&amp;IF((E57-TODAY())=1," day"," days"))))))</f>
        <v/>
      </c>
      <c r="K57" s="25" t="n"/>
      <c r="L57" s="1">
        <f>IF(G57="","",N(H57))</f>
        <v/>
      </c>
      <c r="M57">
        <f>IF(OR(B57="",E57="",OR(F57="Done",G57&lt;&gt;"")),"",E57+ROW()/10000000)</f>
        <v/>
      </c>
    </row>
    <row r="58">
      <c r="A58" s="1" t="n"/>
      <c r="B58" s="24" t="inlineStr">
        <is>
          <t>Biology 101</t>
        </is>
      </c>
      <c r="C58" s="25" t="inlineStr">
        <is>
          <t>Quiz 5</t>
        </is>
      </c>
      <c r="D58" s="25" t="inlineStr">
        <is>
          <t>Quizzes</t>
        </is>
      </c>
      <c r="E58" s="26" t="n">
        <v>46322</v>
      </c>
      <c r="F58" s="27" t="inlineStr">
        <is>
          <t>To do</t>
        </is>
      </c>
      <c r="G58" s="28" t="n"/>
      <c r="H58" s="28" t="n">
        <v>15</v>
      </c>
      <c r="I58" s="16">
        <f>IF(OR(G58="",N(H58)=0),"",G58/H58)</f>
        <v/>
      </c>
      <c r="J58" s="20">
        <f>IF(OR(B58="",E58=""),"",IF(OR(F58="Done",G58&lt;&gt;""),"Done",IF(E58&lt;TODAY(),"Late by "&amp;(TODAY()-E58)&amp;IF((TODAY()-E58)=1," day"," days"),IF(E58=TODAY(),"Due today",IF(E58=TODAY()+1,"Due tomorrow","Due in "&amp;(E58-TODAY())&amp;IF((E58-TODAY())=1," day"," days"))))))</f>
        <v/>
      </c>
      <c r="K58" s="25" t="n"/>
      <c r="L58" s="1">
        <f>IF(G58="","",N(H58))</f>
        <v/>
      </c>
      <c r="M58">
        <f>IF(OR(B58="",E58="",OR(F58="Done",G58&lt;&gt;"")),"",E58+ROW()/10000000)</f>
        <v/>
      </c>
    </row>
    <row r="59">
      <c r="A59" s="1" t="n"/>
      <c r="B59" s="24" t="inlineStr">
        <is>
          <t>Spanish I</t>
        </is>
      </c>
      <c r="C59" s="25" t="inlineStr">
        <is>
          <t>Workbook, unit 10</t>
        </is>
      </c>
      <c r="D59" s="25" t="inlineStr">
        <is>
          <t>Homework</t>
        </is>
      </c>
      <c r="E59" s="26" t="n">
        <v>46322</v>
      </c>
      <c r="F59" s="27" t="inlineStr">
        <is>
          <t>To do</t>
        </is>
      </c>
      <c r="G59" s="28" t="n"/>
      <c r="H59" s="28" t="n">
        <v>10</v>
      </c>
      <c r="I59" s="16">
        <f>IF(OR(G59="",N(H59)=0),"",G59/H59)</f>
        <v/>
      </c>
      <c r="J59" s="20">
        <f>IF(OR(B59="",E59=""),"",IF(OR(F59="Done",G59&lt;&gt;""),"Done",IF(E59&lt;TODAY(),"Late by "&amp;(TODAY()-E59)&amp;IF((TODAY()-E59)=1," day"," days"),IF(E59=TODAY(),"Due today",IF(E59=TODAY()+1,"Due tomorrow","Due in "&amp;(E59-TODAY())&amp;IF((E59-TODAY())=1," day"," days"))))))</f>
        <v/>
      </c>
      <c r="K59" s="25" t="n"/>
      <c r="L59" s="1">
        <f>IF(G59="","",N(H59))</f>
        <v/>
      </c>
      <c r="M59">
        <f>IF(OR(B59="",E59="",OR(F59="Done",G59&lt;&gt;"")),"",E59+ROW()/10000000)</f>
        <v/>
      </c>
    </row>
    <row r="60">
      <c r="A60" s="1" t="n"/>
      <c r="B60" s="24" t="inlineStr">
        <is>
          <t>Calculus I</t>
        </is>
      </c>
      <c r="C60" s="25" t="inlineStr">
        <is>
          <t>Quiz 5</t>
        </is>
      </c>
      <c r="D60" s="25" t="inlineStr">
        <is>
          <t>Quizzes</t>
        </is>
      </c>
      <c r="E60" s="26" t="n">
        <v>46323</v>
      </c>
      <c r="F60" s="27" t="inlineStr">
        <is>
          <t>To do</t>
        </is>
      </c>
      <c r="G60" s="28" t="n"/>
      <c r="H60" s="28" t="n">
        <v>10</v>
      </c>
      <c r="I60" s="16">
        <f>IF(OR(G60="",N(H60)=0),"",G60/H60)</f>
        <v/>
      </c>
      <c r="J60" s="20">
        <f>IF(OR(B60="",E60=""),"",IF(OR(F60="Done",G60&lt;&gt;""),"Done",IF(E60&lt;TODAY(),"Late by "&amp;(TODAY()-E60)&amp;IF((TODAY()-E60)=1," day"," days"),IF(E60=TODAY(),"Due today",IF(E60=TODAY()+1,"Due tomorrow","Due in "&amp;(E60-TODAY())&amp;IF((E60-TODAY())=1," day"," days"))))))</f>
        <v/>
      </c>
      <c r="K60" s="25" t="n"/>
      <c r="L60" s="1">
        <f>IF(G60="","",N(H60))</f>
        <v/>
      </c>
      <c r="M60">
        <f>IF(OR(B60="",E60="",OR(F60="Done",G60&lt;&gt;"")),"",E60+ROW()/10000000)</f>
        <v/>
      </c>
    </row>
    <row r="61">
      <c r="A61" s="1" t="n"/>
      <c r="B61" s="24" t="inlineStr">
        <is>
          <t>Calculus I</t>
        </is>
      </c>
      <c r="C61" s="25" t="inlineStr">
        <is>
          <t>Problem set 10</t>
        </is>
      </c>
      <c r="D61" s="25" t="inlineStr">
        <is>
          <t>Homework</t>
        </is>
      </c>
      <c r="E61" s="26" t="n">
        <v>46324</v>
      </c>
      <c r="F61" s="27" t="inlineStr">
        <is>
          <t>To do</t>
        </is>
      </c>
      <c r="G61" s="28" t="n"/>
      <c r="H61" s="28" t="n">
        <v>20</v>
      </c>
      <c r="I61" s="16">
        <f>IF(OR(G61="",N(H61)=0),"",G61/H61)</f>
        <v/>
      </c>
      <c r="J61" s="20">
        <f>IF(OR(B61="",E61=""),"",IF(OR(F61="Done",G61&lt;&gt;""),"Done",IF(E61&lt;TODAY(),"Late by "&amp;(TODAY()-E61)&amp;IF((TODAY()-E61)=1," day"," days"),IF(E61=TODAY(),"Due today",IF(E61=TODAY()+1,"Due tomorrow","Due in "&amp;(E61-TODAY())&amp;IF((E61-TODAY())=1," day"," days"))))))</f>
        <v/>
      </c>
      <c r="K61" s="25" t="n"/>
      <c r="L61" s="1">
        <f>IF(G61="","",N(H61))</f>
        <v/>
      </c>
      <c r="M61">
        <f>IF(OR(B61="",E61="",OR(F61="Done",G61&lt;&gt;"")),"",E61+ROW()/10000000)</f>
        <v/>
      </c>
    </row>
    <row r="62">
      <c r="A62" s="1" t="n"/>
      <c r="B62" s="24" t="inlineStr">
        <is>
          <t>Biology 101</t>
        </is>
      </c>
      <c r="C62" s="25" t="inlineStr">
        <is>
          <t>Homework 10</t>
        </is>
      </c>
      <c r="D62" s="25" t="inlineStr">
        <is>
          <t>Homework</t>
        </is>
      </c>
      <c r="E62" s="26" t="n">
        <v>46325</v>
      </c>
      <c r="F62" s="27" t="inlineStr">
        <is>
          <t>To do</t>
        </is>
      </c>
      <c r="G62" s="28" t="n"/>
      <c r="H62" s="28" t="n">
        <v>20</v>
      </c>
      <c r="I62" s="16">
        <f>IF(OR(G62="",N(H62)=0),"",G62/H62)</f>
        <v/>
      </c>
      <c r="J62" s="20">
        <f>IF(OR(B62="",E62=""),"",IF(OR(F62="Done",G62&lt;&gt;""),"Done",IF(E62&lt;TODAY(),"Late by "&amp;(TODAY()-E62)&amp;IF((TODAY()-E62)=1," day"," days"),IF(E62=TODAY(),"Due today",IF(E62=TODAY()+1,"Due tomorrow","Due in "&amp;(E62-TODAY())&amp;IF((E62-TODAY())=1," day"," days"))))))</f>
        <v/>
      </c>
      <c r="K62" s="25" t="n"/>
      <c r="L62" s="1">
        <f>IF(G62="","",N(H62))</f>
        <v/>
      </c>
      <c r="M62">
        <f>IF(OR(B62="",E62="",OR(F62="Done",G62&lt;&gt;"")),"",E62+ROW()/10000000)</f>
        <v/>
      </c>
    </row>
    <row r="63">
      <c r="A63" s="1" t="n"/>
      <c r="B63" s="24" t="inlineStr">
        <is>
          <t>Intro to Psychology</t>
        </is>
      </c>
      <c r="C63" s="25" t="inlineStr">
        <is>
          <t>Research summary</t>
        </is>
      </c>
      <c r="D63" s="25" t="inlineStr">
        <is>
          <t>Projects</t>
        </is>
      </c>
      <c r="E63" s="26" t="n">
        <v>46325</v>
      </c>
      <c r="F63" s="27" t="inlineStr">
        <is>
          <t>To do</t>
        </is>
      </c>
      <c r="G63" s="28" t="n"/>
      <c r="H63" s="28" t="n">
        <v>100</v>
      </c>
      <c r="I63" s="16">
        <f>IF(OR(G63="",N(H63)=0),"",G63/H63)</f>
        <v/>
      </c>
      <c r="J63" s="20">
        <f>IF(OR(B63="",E63=""),"",IF(OR(F63="Done",G63&lt;&gt;""),"Done",IF(E63&lt;TODAY(),"Late by "&amp;(TODAY()-E63)&amp;IF((TODAY()-E63)=1," day"," days"),IF(E63=TODAY(),"Due today",IF(E63=TODAY()+1,"Due tomorrow","Due in "&amp;(E63-TODAY())&amp;IF((E63-TODAY())=1," day"," days"))))))</f>
        <v/>
      </c>
      <c r="K63" s="25" t="n"/>
      <c r="L63" s="1">
        <f>IF(G63="","",N(H63))</f>
        <v/>
      </c>
      <c r="M63">
        <f>IF(OR(B63="",E63="",OR(F63="Done",G63&lt;&gt;"")),"",E63+ROW()/10000000)</f>
        <v/>
      </c>
    </row>
    <row r="64">
      <c r="A64" s="1" t="n"/>
      <c r="B64" s="24" t="inlineStr">
        <is>
          <t>Spanish I</t>
        </is>
      </c>
      <c r="C64" s="25" t="inlineStr">
        <is>
          <t>Vocabulary quiz 5</t>
        </is>
      </c>
      <c r="D64" s="25" t="inlineStr">
        <is>
          <t>Quizzes</t>
        </is>
      </c>
      <c r="E64" s="26" t="n">
        <v>46325</v>
      </c>
      <c r="F64" s="27" t="inlineStr">
        <is>
          <t>To do</t>
        </is>
      </c>
      <c r="G64" s="28" t="n"/>
      <c r="H64" s="28" t="n">
        <v>20</v>
      </c>
      <c r="I64" s="16">
        <f>IF(OR(G64="",N(H64)=0),"",G64/H64)</f>
        <v/>
      </c>
      <c r="J64" s="20">
        <f>IF(OR(B64="",E64=""),"",IF(OR(F64="Done",G64&lt;&gt;""),"Done",IF(E64&lt;TODAY(),"Late by "&amp;(TODAY()-E64)&amp;IF((TODAY()-E64)=1," day"," days"),IF(E64=TODAY(),"Due today",IF(E64=TODAY()+1,"Due tomorrow","Due in "&amp;(E64-TODAY())&amp;IF((E64-TODAY())=1," day"," days"))))))</f>
        <v/>
      </c>
      <c r="K64" s="25" t="n"/>
      <c r="L64" s="1">
        <f>IF(G64="","",N(H64))</f>
        <v/>
      </c>
      <c r="M64">
        <f>IF(OR(B64="",E64="",OR(F64="Done",G64&lt;&gt;"")),"",E64+ROW()/10000000)</f>
        <v/>
      </c>
    </row>
    <row r="65">
      <c r="A65" s="1" t="n"/>
      <c r="B65" s="24" t="inlineStr">
        <is>
          <t>Spanish I</t>
        </is>
      </c>
      <c r="C65" s="25" t="inlineStr">
        <is>
          <t>Workbook, unit 11</t>
        </is>
      </c>
      <c r="D65" s="25" t="inlineStr">
        <is>
          <t>Homework</t>
        </is>
      </c>
      <c r="E65" s="26" t="n">
        <v>46329</v>
      </c>
      <c r="F65" s="27" t="inlineStr">
        <is>
          <t>To do</t>
        </is>
      </c>
      <c r="G65" s="28" t="n"/>
      <c r="H65" s="28" t="n">
        <v>10</v>
      </c>
      <c r="I65" s="16">
        <f>IF(OR(G65="",N(H65)=0),"",G65/H65)</f>
        <v/>
      </c>
      <c r="J65" s="20">
        <f>IF(OR(B65="",E65=""),"",IF(OR(F65="Done",G65&lt;&gt;""),"Done",IF(E65&lt;TODAY(),"Late by "&amp;(TODAY()-E65)&amp;IF((TODAY()-E65)=1," day"," days"),IF(E65=TODAY(),"Due today",IF(E65=TODAY()+1,"Due tomorrow","Due in "&amp;(E65-TODAY())&amp;IF((E65-TODAY())=1," day"," days"))))))</f>
        <v/>
      </c>
      <c r="K65" s="25" t="n"/>
      <c r="L65" s="1">
        <f>IF(G65="","",N(H65))</f>
        <v/>
      </c>
      <c r="M65">
        <f>IF(OR(B65="",E65="",OR(F65="Done",G65&lt;&gt;"")),"",E65+ROW()/10000000)</f>
        <v/>
      </c>
    </row>
    <row r="66">
      <c r="A66" s="1" t="n"/>
      <c r="B66" s="24" t="inlineStr">
        <is>
          <t>Calculus I</t>
        </is>
      </c>
      <c r="C66" s="25" t="inlineStr">
        <is>
          <t>Problem set 11</t>
        </is>
      </c>
      <c r="D66" s="25" t="inlineStr">
        <is>
          <t>Homework</t>
        </is>
      </c>
      <c r="E66" s="26" t="n">
        <v>46331</v>
      </c>
      <c r="F66" s="27" t="inlineStr">
        <is>
          <t>To do</t>
        </is>
      </c>
      <c r="G66" s="28" t="n"/>
      <c r="H66" s="28" t="n">
        <v>20</v>
      </c>
      <c r="I66" s="16">
        <f>IF(OR(G66="",N(H66)=0),"",G66/H66)</f>
        <v/>
      </c>
      <c r="J66" s="20">
        <f>IF(OR(B66="",E66=""),"",IF(OR(F66="Done",G66&lt;&gt;""),"Done",IF(E66&lt;TODAY(),"Late by "&amp;(TODAY()-E66)&amp;IF((TODAY()-E66)=1," day"," days"),IF(E66=TODAY(),"Due today",IF(E66=TODAY()+1,"Due tomorrow","Due in "&amp;(E66-TODAY())&amp;IF((E66-TODAY())=1," day"," days"))))))</f>
        <v/>
      </c>
      <c r="K66" s="25" t="n"/>
      <c r="L66" s="1">
        <f>IF(G66="","",N(H66))</f>
        <v/>
      </c>
      <c r="M66">
        <f>IF(OR(B66="",E66="",OR(F66="Done",G66&lt;&gt;"")),"",E66+ROW()/10000000)</f>
        <v/>
      </c>
    </row>
    <row r="67">
      <c r="A67" s="1" t="n"/>
      <c r="B67" s="24" t="inlineStr">
        <is>
          <t>Biology 101</t>
        </is>
      </c>
      <c r="C67" s="25" t="inlineStr">
        <is>
          <t>Homework 11</t>
        </is>
      </c>
      <c r="D67" s="25" t="inlineStr">
        <is>
          <t>Homework</t>
        </is>
      </c>
      <c r="E67" s="26" t="n">
        <v>46332</v>
      </c>
      <c r="F67" s="27" t="inlineStr">
        <is>
          <t>To do</t>
        </is>
      </c>
      <c r="G67" s="28" t="n"/>
      <c r="H67" s="28" t="n">
        <v>20</v>
      </c>
      <c r="I67" s="16">
        <f>IF(OR(G67="",N(H67)=0),"",G67/H67)</f>
        <v/>
      </c>
      <c r="J67" s="20">
        <f>IF(OR(B67="",E67=""),"",IF(OR(F67="Done",G67&lt;&gt;""),"Done",IF(E67&lt;TODAY(),"Late by "&amp;(TODAY()-E67)&amp;IF((TODAY()-E67)=1," day"," days"),IF(E67=TODAY(),"Due today",IF(E67=TODAY()+1,"Due tomorrow","Due in "&amp;(E67-TODAY())&amp;IF((E67-TODAY())=1," day"," days"))))))</f>
        <v/>
      </c>
      <c r="K67" s="25" t="n"/>
      <c r="L67" s="1">
        <f>IF(G67="","",N(H67))</f>
        <v/>
      </c>
      <c r="M67">
        <f>IF(OR(B67="",E67="",OR(F67="Done",G67&lt;&gt;"")),"",E67+ROW()/10000000)</f>
        <v/>
      </c>
    </row>
    <row r="68">
      <c r="A68" s="1" t="n"/>
      <c r="B68" s="24" t="inlineStr">
        <is>
          <t>Biology 101</t>
        </is>
      </c>
      <c r="C68" s="25" t="inlineStr">
        <is>
          <t>Quiz 6</t>
        </is>
      </c>
      <c r="D68" s="25" t="inlineStr">
        <is>
          <t>Quizzes</t>
        </is>
      </c>
      <c r="E68" s="26" t="n">
        <v>46336</v>
      </c>
      <c r="F68" s="27" t="inlineStr">
        <is>
          <t>To do</t>
        </is>
      </c>
      <c r="G68" s="28" t="n"/>
      <c r="H68" s="28" t="n">
        <v>15</v>
      </c>
      <c r="I68" s="16">
        <f>IF(OR(G68="",N(H68)=0),"",G68/H68)</f>
        <v/>
      </c>
      <c r="J68" s="20">
        <f>IF(OR(B68="",E68=""),"",IF(OR(F68="Done",G68&lt;&gt;""),"Done",IF(E68&lt;TODAY(),"Late by "&amp;(TODAY()-E68)&amp;IF((TODAY()-E68)=1," day"," days"),IF(E68=TODAY(),"Due today",IF(E68=TODAY()+1,"Due tomorrow","Due in "&amp;(E68-TODAY())&amp;IF((E68-TODAY())=1," day"," days"))))))</f>
        <v/>
      </c>
      <c r="K68" s="25" t="n"/>
      <c r="L68" s="1">
        <f>IF(G68="","",N(H68))</f>
        <v/>
      </c>
      <c r="M68">
        <f>IF(OR(B68="",E68="",OR(F68="Done",G68&lt;&gt;"")),"",E68+ROW()/10000000)</f>
        <v/>
      </c>
    </row>
    <row r="69">
      <c r="A69" s="1" t="n"/>
      <c r="B69" s="24" t="inlineStr">
        <is>
          <t>Spanish I</t>
        </is>
      </c>
      <c r="C69" s="25" t="inlineStr">
        <is>
          <t>Workbook, unit 12</t>
        </is>
      </c>
      <c r="D69" s="25" t="inlineStr">
        <is>
          <t>Homework</t>
        </is>
      </c>
      <c r="E69" s="26" t="n">
        <v>46336</v>
      </c>
      <c r="F69" s="27" t="inlineStr">
        <is>
          <t>To do</t>
        </is>
      </c>
      <c r="G69" s="28" t="n"/>
      <c r="H69" s="28" t="n">
        <v>10</v>
      </c>
      <c r="I69" s="16">
        <f>IF(OR(G69="",N(H69)=0),"",G69/H69)</f>
        <v/>
      </c>
      <c r="J69" s="20">
        <f>IF(OR(B69="",E69=""),"",IF(OR(F69="Done",G69&lt;&gt;""),"Done",IF(E69&lt;TODAY(),"Late by "&amp;(TODAY()-E69)&amp;IF((TODAY()-E69)=1," day"," days"),IF(E69=TODAY(),"Due today",IF(E69=TODAY()+1,"Due tomorrow","Due in "&amp;(E69-TODAY())&amp;IF((E69-TODAY())=1," day"," days"))))))</f>
        <v/>
      </c>
      <c r="K69" s="25" t="n"/>
      <c r="L69" s="1">
        <f>IF(G69="","",N(H69))</f>
        <v/>
      </c>
      <c r="M69">
        <f>IF(OR(B69="",E69="",OR(F69="Done",G69&lt;&gt;"")),"",E69+ROW()/10000000)</f>
        <v/>
      </c>
    </row>
    <row r="70">
      <c r="A70" s="1" t="n"/>
      <c r="B70" s="24" t="inlineStr">
        <is>
          <t>Calculus I</t>
        </is>
      </c>
      <c r="C70" s="25" t="inlineStr">
        <is>
          <t>Quiz 6</t>
        </is>
      </c>
      <c r="D70" s="25" t="inlineStr">
        <is>
          <t>Quizzes</t>
        </is>
      </c>
      <c r="E70" s="26" t="n">
        <v>46337</v>
      </c>
      <c r="F70" s="27" t="inlineStr">
        <is>
          <t>To do</t>
        </is>
      </c>
      <c r="G70" s="28" t="n"/>
      <c r="H70" s="28" t="n">
        <v>10</v>
      </c>
      <c r="I70" s="16">
        <f>IF(OR(G70="",N(H70)=0),"",G70/H70)</f>
        <v/>
      </c>
      <c r="J70" s="20">
        <f>IF(OR(B70="",E70=""),"",IF(OR(F70="Done",G70&lt;&gt;""),"Done",IF(E70&lt;TODAY(),"Late by "&amp;(TODAY()-E70)&amp;IF((TODAY()-E70)=1," day"," days"),IF(E70=TODAY(),"Due today",IF(E70=TODAY()+1,"Due tomorrow","Due in "&amp;(E70-TODAY())&amp;IF((E70-TODAY())=1," day"," days"))))))</f>
        <v/>
      </c>
      <c r="K70" s="25" t="n"/>
      <c r="L70" s="1">
        <f>IF(G70="","",N(H70))</f>
        <v/>
      </c>
      <c r="M70">
        <f>IF(OR(B70="",E70="",OR(F70="Done",G70&lt;&gt;"")),"",E70+ROW()/10000000)</f>
        <v/>
      </c>
    </row>
    <row r="71">
      <c r="A71" s="1" t="n"/>
      <c r="B71" s="24" t="inlineStr">
        <is>
          <t>Intro to Psychology</t>
        </is>
      </c>
      <c r="C71" s="25" t="inlineStr">
        <is>
          <t>Chapter quiz 4</t>
        </is>
      </c>
      <c r="D71" s="25" t="inlineStr">
        <is>
          <t>Quizzes</t>
        </is>
      </c>
      <c r="E71" s="26" t="n">
        <v>46337</v>
      </c>
      <c r="F71" s="27" t="inlineStr">
        <is>
          <t>To do</t>
        </is>
      </c>
      <c r="G71" s="28" t="n"/>
      <c r="H71" s="28" t="n">
        <v>25</v>
      </c>
      <c r="I71" s="16">
        <f>IF(OR(G71="",N(H71)=0),"",G71/H71)</f>
        <v/>
      </c>
      <c r="J71" s="20">
        <f>IF(OR(B71="",E71=""),"",IF(OR(F71="Done",G71&lt;&gt;""),"Done",IF(E71&lt;TODAY(),"Late by "&amp;(TODAY()-E71)&amp;IF((TODAY()-E71)=1," day"," days"),IF(E71=TODAY(),"Due today",IF(E71=TODAY()+1,"Due tomorrow","Due in "&amp;(E71-TODAY())&amp;IF((E71-TODAY())=1," day"," days"))))))</f>
        <v/>
      </c>
      <c r="K71" s="25" t="n"/>
      <c r="L71" s="1">
        <f>IF(G71="","",N(H71))</f>
        <v/>
      </c>
      <c r="M71">
        <f>IF(OR(B71="",E71="",OR(F71="Done",G71&lt;&gt;"")),"",E71+ROW()/10000000)</f>
        <v/>
      </c>
    </row>
    <row r="72">
      <c r="A72" s="1" t="n"/>
      <c r="B72" s="24" t="inlineStr">
        <is>
          <t>Biology 101</t>
        </is>
      </c>
      <c r="C72" s="25" t="inlineStr">
        <is>
          <t>Lab report 4</t>
        </is>
      </c>
      <c r="D72" s="25" t="inlineStr">
        <is>
          <t>Projects</t>
        </is>
      </c>
      <c r="E72" s="26" t="n">
        <v>46338</v>
      </c>
      <c r="F72" s="27" t="inlineStr">
        <is>
          <t>To do</t>
        </is>
      </c>
      <c r="G72" s="28" t="n"/>
      <c r="H72" s="28" t="n">
        <v>50</v>
      </c>
      <c r="I72" s="16">
        <f>IF(OR(G72="",N(H72)=0),"",G72/H72)</f>
        <v/>
      </c>
      <c r="J72" s="20">
        <f>IF(OR(B72="",E72=""),"",IF(OR(F72="Done",G72&lt;&gt;""),"Done",IF(E72&lt;TODAY(),"Late by "&amp;(TODAY()-E72)&amp;IF((TODAY()-E72)=1," day"," days"),IF(E72=TODAY(),"Due today",IF(E72=TODAY()+1,"Due tomorrow","Due in "&amp;(E72-TODAY())&amp;IF((E72-TODAY())=1," day"," days"))))))</f>
        <v/>
      </c>
      <c r="K72" s="25" t="n"/>
      <c r="L72" s="1">
        <f>IF(G72="","",N(H72))</f>
        <v/>
      </c>
      <c r="M72">
        <f>IF(OR(B72="",E72="",OR(F72="Done",G72&lt;&gt;"")),"",E72+ROW()/10000000)</f>
        <v/>
      </c>
    </row>
    <row r="73">
      <c r="A73" s="1" t="n"/>
      <c r="B73" s="24" t="inlineStr">
        <is>
          <t>Calculus I</t>
        </is>
      </c>
      <c r="C73" s="25" t="inlineStr">
        <is>
          <t>Problem set 12</t>
        </is>
      </c>
      <c r="D73" s="25" t="inlineStr">
        <is>
          <t>Homework</t>
        </is>
      </c>
      <c r="E73" s="26" t="n">
        <v>46338</v>
      </c>
      <c r="F73" s="27" t="inlineStr">
        <is>
          <t>To do</t>
        </is>
      </c>
      <c r="G73" s="28" t="n"/>
      <c r="H73" s="28" t="n">
        <v>20</v>
      </c>
      <c r="I73" s="16">
        <f>IF(OR(G73="",N(H73)=0),"",G73/H73)</f>
        <v/>
      </c>
      <c r="J73" s="20">
        <f>IF(OR(B73="",E73=""),"",IF(OR(F73="Done",G73&lt;&gt;""),"Done",IF(E73&lt;TODAY(),"Late by "&amp;(TODAY()-E73)&amp;IF((TODAY()-E73)=1," day"," days"),IF(E73=TODAY(),"Due today",IF(E73=TODAY()+1,"Due tomorrow","Due in "&amp;(E73-TODAY())&amp;IF((E73-TODAY())=1," day"," days"))))))</f>
        <v/>
      </c>
      <c r="K73" s="25" t="n"/>
      <c r="L73" s="1">
        <f>IF(G73="","",N(H73))</f>
        <v/>
      </c>
      <c r="M73">
        <f>IF(OR(B73="",E73="",OR(F73="Done",G73&lt;&gt;"")),"",E73+ROW()/10000000)</f>
        <v/>
      </c>
    </row>
    <row r="74">
      <c r="A74" s="1" t="n"/>
      <c r="B74" s="24" t="inlineStr">
        <is>
          <t>Biology 101</t>
        </is>
      </c>
      <c r="C74" s="25" t="inlineStr">
        <is>
          <t>Homework 12</t>
        </is>
      </c>
      <c r="D74" s="25" t="inlineStr">
        <is>
          <t>Homework</t>
        </is>
      </c>
      <c r="E74" s="26" t="n">
        <v>46339</v>
      </c>
      <c r="F74" s="27" t="inlineStr">
        <is>
          <t>To do</t>
        </is>
      </c>
      <c r="G74" s="28" t="n"/>
      <c r="H74" s="28" t="n">
        <v>20</v>
      </c>
      <c r="I74" s="16">
        <f>IF(OR(G74="",N(H74)=0),"",G74/H74)</f>
        <v/>
      </c>
      <c r="J74" s="20">
        <f>IF(OR(B74="",E74=""),"",IF(OR(F74="Done",G74&lt;&gt;""),"Done",IF(E74&lt;TODAY(),"Late by "&amp;(TODAY()-E74)&amp;IF((TODAY()-E74)=1," day"," days"),IF(E74=TODAY(),"Due today",IF(E74=TODAY()+1,"Due tomorrow","Due in "&amp;(E74-TODAY())&amp;IF((E74-TODAY())=1," day"," days"))))))</f>
        <v/>
      </c>
      <c r="K74" s="25" t="n"/>
      <c r="L74" s="1">
        <f>IF(G74="","",N(H74))</f>
        <v/>
      </c>
      <c r="M74">
        <f>IF(OR(B74="",E74="",OR(F74="Done",G74&lt;&gt;"")),"",E74+ROW()/10000000)</f>
        <v/>
      </c>
    </row>
    <row r="75">
      <c r="A75" s="1" t="n"/>
      <c r="B75" s="24" t="inlineStr">
        <is>
          <t>English Composition</t>
        </is>
      </c>
      <c r="C75" s="25" t="inlineStr">
        <is>
          <t>Essay 3</t>
        </is>
      </c>
      <c r="D75" s="25" t="inlineStr">
        <is>
          <t>Projects</t>
        </is>
      </c>
      <c r="E75" s="26" t="n">
        <v>46339</v>
      </c>
      <c r="F75" s="27" t="inlineStr">
        <is>
          <t>To do</t>
        </is>
      </c>
      <c r="G75" s="28" t="n"/>
      <c r="H75" s="28" t="n">
        <v>100</v>
      </c>
      <c r="I75" s="16">
        <f>IF(OR(G75="",N(H75)=0),"",G75/H75)</f>
        <v/>
      </c>
      <c r="J75" s="20">
        <f>IF(OR(B75="",E75=""),"",IF(OR(F75="Done",G75&lt;&gt;""),"Done",IF(E75&lt;TODAY(),"Late by "&amp;(TODAY()-E75)&amp;IF((TODAY()-E75)=1," day"," days"),IF(E75=TODAY(),"Due today",IF(E75=TODAY()+1,"Due tomorrow","Due in "&amp;(E75-TODAY())&amp;IF((E75-TODAY())=1," day"," days"))))))</f>
        <v/>
      </c>
      <c r="K75" s="25" t="n"/>
      <c r="L75" s="1">
        <f>IF(G75="","",N(H75))</f>
        <v/>
      </c>
      <c r="M75">
        <f>IF(OR(B75="",E75="",OR(F75="Done",G75&lt;&gt;"")),"",E75+ROW()/10000000)</f>
        <v/>
      </c>
    </row>
    <row r="76">
      <c r="A76" s="1" t="n"/>
      <c r="B76" s="24" t="inlineStr">
        <is>
          <t>Spanish I</t>
        </is>
      </c>
      <c r="C76" s="25" t="inlineStr">
        <is>
          <t>Vocabulary quiz 6</t>
        </is>
      </c>
      <c r="D76" s="25" t="inlineStr">
        <is>
          <t>Quizzes</t>
        </is>
      </c>
      <c r="E76" s="26" t="n">
        <v>46339</v>
      </c>
      <c r="F76" s="27" t="inlineStr">
        <is>
          <t>To do</t>
        </is>
      </c>
      <c r="G76" s="28" t="n"/>
      <c r="H76" s="28" t="n">
        <v>20</v>
      </c>
      <c r="I76" s="16">
        <f>IF(OR(G76="",N(H76)=0),"",G76/H76)</f>
        <v/>
      </c>
      <c r="J76" s="20">
        <f>IF(OR(B76="",E76=""),"",IF(OR(F76="Done",G76&lt;&gt;""),"Done",IF(E76&lt;TODAY(),"Late by "&amp;(TODAY()-E76)&amp;IF((TODAY()-E76)=1," day"," days"),IF(E76=TODAY(),"Due today",IF(E76=TODAY()+1,"Due tomorrow","Due in "&amp;(E76-TODAY())&amp;IF((E76-TODAY())=1," day"," days"))))))</f>
        <v/>
      </c>
      <c r="K76" s="25" t="n"/>
      <c r="L76" s="1">
        <f>IF(G76="","",N(H76))</f>
        <v/>
      </c>
      <c r="M76">
        <f>IF(OR(B76="",E76="",OR(F76="Done",G76&lt;&gt;"")),"",E76+ROW()/10000000)</f>
        <v/>
      </c>
    </row>
    <row r="77">
      <c r="A77" s="1" t="n"/>
      <c r="B77" s="24" t="inlineStr">
        <is>
          <t>Spanish I</t>
        </is>
      </c>
      <c r="C77" s="25" t="inlineStr">
        <is>
          <t>Workbook, unit 13</t>
        </is>
      </c>
      <c r="D77" s="25" t="inlineStr">
        <is>
          <t>Homework</t>
        </is>
      </c>
      <c r="E77" s="26" t="n">
        <v>46343</v>
      </c>
      <c r="F77" s="27" t="inlineStr">
        <is>
          <t>To do</t>
        </is>
      </c>
      <c r="G77" s="28" t="n"/>
      <c r="H77" s="28" t="n">
        <v>10</v>
      </c>
      <c r="I77" s="16">
        <f>IF(OR(G77="",N(H77)=0),"",G77/H77)</f>
        <v/>
      </c>
      <c r="J77" s="20">
        <f>IF(OR(B77="",E77=""),"",IF(OR(F77="Done",G77&lt;&gt;""),"Done",IF(E77&lt;TODAY(),"Late by "&amp;(TODAY()-E77)&amp;IF((TODAY()-E77)=1," day"," days"),IF(E77=TODAY(),"Due today",IF(E77=TODAY()+1,"Due tomorrow","Due in "&amp;(E77-TODAY())&amp;IF((E77-TODAY())=1," day"," days"))))))</f>
        <v/>
      </c>
      <c r="K77" s="25" t="n"/>
      <c r="L77" s="1">
        <f>IF(G77="","",N(H77))</f>
        <v/>
      </c>
      <c r="M77">
        <f>IF(OR(B77="",E77="",OR(F77="Done",G77&lt;&gt;"")),"",E77+ROW()/10000000)</f>
        <v/>
      </c>
    </row>
    <row r="78">
      <c r="A78" s="1" t="n"/>
      <c r="B78" s="24" t="inlineStr">
        <is>
          <t>Calculus I</t>
        </is>
      </c>
      <c r="C78" s="25" t="inlineStr">
        <is>
          <t>Problem set 13</t>
        </is>
      </c>
      <c r="D78" s="25" t="inlineStr">
        <is>
          <t>Homework</t>
        </is>
      </c>
      <c r="E78" s="26" t="n">
        <v>46345</v>
      </c>
      <c r="F78" s="27" t="inlineStr">
        <is>
          <t>To do</t>
        </is>
      </c>
      <c r="G78" s="28" t="n"/>
      <c r="H78" s="28" t="n">
        <v>20</v>
      </c>
      <c r="I78" s="16">
        <f>IF(OR(G78="",N(H78)=0),"",G78/H78)</f>
        <v/>
      </c>
      <c r="J78" s="20">
        <f>IF(OR(B78="",E78=""),"",IF(OR(F78="Done",G78&lt;&gt;""),"Done",IF(E78&lt;TODAY(),"Late by "&amp;(TODAY()-E78)&amp;IF((TODAY()-E78)=1," day"," days"),IF(E78=TODAY(),"Due today",IF(E78=TODAY()+1,"Due tomorrow","Due in "&amp;(E78-TODAY())&amp;IF((E78-TODAY())=1," day"," days"))))))</f>
        <v/>
      </c>
      <c r="K78" s="25" t="n"/>
      <c r="L78" s="1">
        <f>IF(G78="","",N(H78))</f>
        <v/>
      </c>
      <c r="M78">
        <f>IF(OR(B78="",E78="",OR(F78="Done",G78&lt;&gt;"")),"",E78+ROW()/10000000)</f>
        <v/>
      </c>
    </row>
    <row r="79">
      <c r="A79" s="1" t="n"/>
      <c r="B79" s="24" t="inlineStr">
        <is>
          <t>Spanish I</t>
        </is>
      </c>
      <c r="C79" s="25" t="inlineStr">
        <is>
          <t>Oral exam 2</t>
        </is>
      </c>
      <c r="D79" s="25" t="inlineStr">
        <is>
          <t>Other</t>
        </is>
      </c>
      <c r="E79" s="26" t="n">
        <v>46345</v>
      </c>
      <c r="F79" s="27" t="inlineStr">
        <is>
          <t>To do</t>
        </is>
      </c>
      <c r="G79" s="28" t="n"/>
      <c r="H79" s="28" t="n">
        <v>25</v>
      </c>
      <c r="I79" s="16">
        <f>IF(OR(G79="",N(H79)=0),"",G79/H79)</f>
        <v/>
      </c>
      <c r="J79" s="20">
        <f>IF(OR(B79="",E79=""),"",IF(OR(F79="Done",G79&lt;&gt;""),"Done",IF(E79&lt;TODAY(),"Late by "&amp;(TODAY()-E79)&amp;IF((TODAY()-E79)=1," day"," days"),IF(E79=TODAY(),"Due today",IF(E79=TODAY()+1,"Due tomorrow","Due in "&amp;(E79-TODAY())&amp;IF((E79-TODAY())=1," day"," days"))))))</f>
        <v/>
      </c>
      <c r="K79" s="25" t="n"/>
      <c r="L79" s="1">
        <f>IF(G79="","",N(H79))</f>
        <v/>
      </c>
      <c r="M79">
        <f>IF(OR(B79="",E79="",OR(F79="Done",G79&lt;&gt;"")),"",E79+ROW()/10000000)</f>
        <v/>
      </c>
    </row>
    <row r="80">
      <c r="A80" s="1" t="n"/>
      <c r="B80" s="24" t="inlineStr">
        <is>
          <t>Biology 101</t>
        </is>
      </c>
      <c r="C80" s="25" t="inlineStr">
        <is>
          <t>Homework 13</t>
        </is>
      </c>
      <c r="D80" s="25" t="inlineStr">
        <is>
          <t>Homework</t>
        </is>
      </c>
      <c r="E80" s="26" t="n">
        <v>46346</v>
      </c>
      <c r="F80" s="27" t="inlineStr">
        <is>
          <t>To do</t>
        </is>
      </c>
      <c r="G80" s="28" t="n"/>
      <c r="H80" s="28" t="n">
        <v>20</v>
      </c>
      <c r="I80" s="16">
        <f>IF(OR(G80="",N(H80)=0),"",G80/H80)</f>
        <v/>
      </c>
      <c r="J80" s="20">
        <f>IF(OR(B80="",E80=""),"",IF(OR(F80="Done",G80&lt;&gt;""),"Done",IF(E80&lt;TODAY(),"Late by "&amp;(TODAY()-E80)&amp;IF((TODAY()-E80)=1," day"," days"),IF(E80=TODAY(),"Due today",IF(E80=TODAY()+1,"Due tomorrow","Due in "&amp;(E80-TODAY())&amp;IF((E80-TODAY())=1," day"," days"))))))</f>
        <v/>
      </c>
      <c r="K80" s="25" t="n"/>
      <c r="L80" s="1">
        <f>IF(G80="","",N(H80))</f>
        <v/>
      </c>
      <c r="M80">
        <f>IF(OR(B80="",E80="",OR(F80="Done",G80&lt;&gt;"")),"",E80+ROW()/10000000)</f>
        <v/>
      </c>
    </row>
    <row r="81">
      <c r="A81" s="1" t="n"/>
      <c r="B81" s="24" t="inlineStr">
        <is>
          <t>Biology 101</t>
        </is>
      </c>
      <c r="C81" s="25" t="inlineStr">
        <is>
          <t>Quiz 7</t>
        </is>
      </c>
      <c r="D81" s="25" t="inlineStr">
        <is>
          <t>Quizzes</t>
        </is>
      </c>
      <c r="E81" s="26" t="n">
        <v>46350</v>
      </c>
      <c r="F81" s="27" t="inlineStr">
        <is>
          <t>To do</t>
        </is>
      </c>
      <c r="G81" s="28" t="n"/>
      <c r="H81" s="28" t="n">
        <v>15</v>
      </c>
      <c r="I81" s="16">
        <f>IF(OR(G81="",N(H81)=0),"",G81/H81)</f>
        <v/>
      </c>
      <c r="J81" s="20">
        <f>IF(OR(B81="",E81=""),"",IF(OR(F81="Done",G81&lt;&gt;""),"Done",IF(E81&lt;TODAY(),"Late by "&amp;(TODAY()-E81)&amp;IF((TODAY()-E81)=1," day"," days"),IF(E81=TODAY(),"Due today",IF(E81=TODAY()+1,"Due tomorrow","Due in "&amp;(E81-TODAY())&amp;IF((E81-TODAY())=1," day"," days"))))))</f>
        <v/>
      </c>
      <c r="K81" s="25" t="n"/>
      <c r="L81" s="1">
        <f>IF(G81="","",N(H81))</f>
        <v/>
      </c>
      <c r="M81">
        <f>IF(OR(B81="",E81="",OR(F81="Done",G81&lt;&gt;"")),"",E81+ROW()/10000000)</f>
        <v/>
      </c>
    </row>
    <row r="82">
      <c r="A82" s="1" t="n"/>
      <c r="B82" s="24" t="inlineStr">
        <is>
          <t>Spanish I</t>
        </is>
      </c>
      <c r="C82" s="25" t="inlineStr">
        <is>
          <t>Workbook, unit 14</t>
        </is>
      </c>
      <c r="D82" s="25" t="inlineStr">
        <is>
          <t>Homework</t>
        </is>
      </c>
      <c r="E82" s="26" t="n">
        <v>46350</v>
      </c>
      <c r="F82" s="27" t="inlineStr">
        <is>
          <t>To do</t>
        </is>
      </c>
      <c r="G82" s="28" t="n"/>
      <c r="H82" s="28" t="n">
        <v>10</v>
      </c>
      <c r="I82" s="16">
        <f>IF(OR(G82="",N(H82)=0),"",G82/H82)</f>
        <v/>
      </c>
      <c r="J82" s="20">
        <f>IF(OR(B82="",E82=""),"",IF(OR(F82="Done",G82&lt;&gt;""),"Done",IF(E82&lt;TODAY(),"Late by "&amp;(TODAY()-E82)&amp;IF((TODAY()-E82)=1," day"," days"),IF(E82=TODAY(),"Due today",IF(E82=TODAY()+1,"Due tomorrow","Due in "&amp;(E82-TODAY())&amp;IF((E82-TODAY())=1," day"," days"))))))</f>
        <v/>
      </c>
      <c r="K82" s="25" t="n"/>
      <c r="L82" s="1">
        <f>IF(G82="","",N(H82))</f>
        <v/>
      </c>
      <c r="M82">
        <f>IF(OR(B82="",E82="",OR(F82="Done",G82&lt;&gt;"")),"",E82+ROW()/10000000)</f>
        <v/>
      </c>
    </row>
    <row r="83">
      <c r="A83" s="1" t="n"/>
      <c r="B83" s="24" t="inlineStr">
        <is>
          <t>Calculus I</t>
        </is>
      </c>
      <c r="C83" s="25" t="inlineStr">
        <is>
          <t>Quiz 7</t>
        </is>
      </c>
      <c r="D83" s="25" t="inlineStr">
        <is>
          <t>Quizzes</t>
        </is>
      </c>
      <c r="E83" s="26" t="n">
        <v>46351</v>
      </c>
      <c r="F83" s="27" t="inlineStr">
        <is>
          <t>To do</t>
        </is>
      </c>
      <c r="G83" s="28" t="n"/>
      <c r="H83" s="28" t="n">
        <v>10</v>
      </c>
      <c r="I83" s="16">
        <f>IF(OR(G83="",N(H83)=0),"",G83/H83)</f>
        <v/>
      </c>
      <c r="J83" s="20">
        <f>IF(OR(B83="",E83=""),"",IF(OR(F83="Done",G83&lt;&gt;""),"Done",IF(E83&lt;TODAY(),"Late by "&amp;(TODAY()-E83)&amp;IF((TODAY()-E83)=1," day"," days"),IF(E83=TODAY(),"Due today",IF(E83=TODAY()+1,"Due tomorrow","Due in "&amp;(E83-TODAY())&amp;IF((E83-TODAY())=1," day"," days"))))))</f>
        <v/>
      </c>
      <c r="K83" s="25" t="n"/>
      <c r="L83" s="1">
        <f>IF(G83="","",N(H83))</f>
        <v/>
      </c>
      <c r="M83">
        <f>IF(OR(B83="",E83="",OR(F83="Done",G83&lt;&gt;"")),"",E83+ROW()/10000000)</f>
        <v/>
      </c>
    </row>
    <row r="84">
      <c r="A84" s="1" t="n"/>
      <c r="B84" s="24" t="inlineStr">
        <is>
          <t>Calculus I</t>
        </is>
      </c>
      <c r="C84" s="25" t="inlineStr">
        <is>
          <t>Problem set 14</t>
        </is>
      </c>
      <c r="D84" s="25" t="inlineStr">
        <is>
          <t>Homework</t>
        </is>
      </c>
      <c r="E84" s="26" t="n">
        <v>46352</v>
      </c>
      <c r="F84" s="27" t="inlineStr">
        <is>
          <t>To do</t>
        </is>
      </c>
      <c r="G84" s="28" t="n"/>
      <c r="H84" s="28" t="n">
        <v>20</v>
      </c>
      <c r="I84" s="16">
        <f>IF(OR(G84="",N(H84)=0),"",G84/H84)</f>
        <v/>
      </c>
      <c r="J84" s="20">
        <f>IF(OR(B84="",E84=""),"",IF(OR(F84="Done",G84&lt;&gt;""),"Done",IF(E84&lt;TODAY(),"Late by "&amp;(TODAY()-E84)&amp;IF((TODAY()-E84)=1," day"," days"),IF(E84=TODAY(),"Due today",IF(E84=TODAY()+1,"Due tomorrow","Due in "&amp;(E84-TODAY())&amp;IF((E84-TODAY())=1," day"," days"))))))</f>
        <v/>
      </c>
      <c r="K84" s="25" t="n"/>
      <c r="L84" s="1">
        <f>IF(G84="","",N(H84))</f>
        <v/>
      </c>
      <c r="M84">
        <f>IF(OR(B84="",E84="",OR(F84="Done",G84&lt;&gt;"")),"",E84+ROW()/10000000)</f>
        <v/>
      </c>
    </row>
    <row r="85">
      <c r="A85" s="1" t="n"/>
      <c r="B85" s="24" t="inlineStr">
        <is>
          <t>Biology 101</t>
        </is>
      </c>
      <c r="C85" s="25" t="inlineStr">
        <is>
          <t>Homework 14</t>
        </is>
      </c>
      <c r="D85" s="25" t="inlineStr">
        <is>
          <t>Homework</t>
        </is>
      </c>
      <c r="E85" s="26" t="n">
        <v>46353</v>
      </c>
      <c r="F85" s="27" t="inlineStr">
        <is>
          <t>To do</t>
        </is>
      </c>
      <c r="G85" s="28" t="n"/>
      <c r="H85" s="28" t="n">
        <v>20</v>
      </c>
      <c r="I85" s="16">
        <f>IF(OR(G85="",N(H85)=0),"",G85/H85)</f>
        <v/>
      </c>
      <c r="J85" s="20">
        <f>IF(OR(B85="",E85=""),"",IF(OR(F85="Done",G85&lt;&gt;""),"Done",IF(E85&lt;TODAY(),"Late by "&amp;(TODAY()-E85)&amp;IF((TODAY()-E85)=1," day"," days"),IF(E85=TODAY(),"Due today",IF(E85=TODAY()+1,"Due tomorrow","Due in "&amp;(E85-TODAY())&amp;IF((E85-TODAY())=1," day"," days"))))))</f>
        <v/>
      </c>
      <c r="K85" s="25" t="n"/>
      <c r="L85" s="1">
        <f>IF(G85="","",N(H85))</f>
        <v/>
      </c>
      <c r="M85">
        <f>IF(OR(B85="",E85="",OR(F85="Done",G85&lt;&gt;"")),"",E85+ROW()/10000000)</f>
        <v/>
      </c>
    </row>
    <row r="86">
      <c r="A86" s="1" t="n"/>
      <c r="B86" s="24" t="inlineStr">
        <is>
          <t>Spanish I</t>
        </is>
      </c>
      <c r="C86" s="25" t="inlineStr">
        <is>
          <t>Vocabulary quiz 7</t>
        </is>
      </c>
      <c r="D86" s="25" t="inlineStr">
        <is>
          <t>Quizzes</t>
        </is>
      </c>
      <c r="E86" s="26" t="n">
        <v>46353</v>
      </c>
      <c r="F86" s="27" t="inlineStr">
        <is>
          <t>To do</t>
        </is>
      </c>
      <c r="G86" s="28" t="n"/>
      <c r="H86" s="28" t="n">
        <v>20</v>
      </c>
      <c r="I86" s="16">
        <f>IF(OR(G86="",N(H86)=0),"",G86/H86)</f>
        <v/>
      </c>
      <c r="J86" s="20">
        <f>IF(OR(B86="",E86=""),"",IF(OR(F86="Done",G86&lt;&gt;""),"Done",IF(E86&lt;TODAY(),"Late by "&amp;(TODAY()-E86)&amp;IF((TODAY()-E86)=1," day"," days"),IF(E86=TODAY(),"Due today",IF(E86=TODAY()+1,"Due tomorrow","Due in "&amp;(E86-TODAY())&amp;IF((E86-TODAY())=1," day"," days"))))))</f>
        <v/>
      </c>
      <c r="K86" s="25" t="n"/>
      <c r="L86" s="1">
        <f>IF(G86="","",N(H86))</f>
        <v/>
      </c>
      <c r="M86">
        <f>IF(OR(B86="",E86="",OR(F86="Done",G86&lt;&gt;"")),"",E86+ROW()/10000000)</f>
        <v/>
      </c>
    </row>
    <row r="87">
      <c r="A87" s="1" t="n"/>
      <c r="B87" s="24" t="inlineStr">
        <is>
          <t>Spanish I</t>
        </is>
      </c>
      <c r="C87" s="25" t="inlineStr">
        <is>
          <t>Workbook, unit 15</t>
        </is>
      </c>
      <c r="D87" s="25" t="inlineStr">
        <is>
          <t>Homework</t>
        </is>
      </c>
      <c r="E87" s="26" t="n">
        <v>46357</v>
      </c>
      <c r="F87" s="27" t="inlineStr">
        <is>
          <t>To do</t>
        </is>
      </c>
      <c r="G87" s="28" t="n"/>
      <c r="H87" s="28" t="n">
        <v>10</v>
      </c>
      <c r="I87" s="16">
        <f>IF(OR(G87="",N(H87)=0),"",G87/H87)</f>
        <v/>
      </c>
      <c r="J87" s="20">
        <f>IF(OR(B87="",E87=""),"",IF(OR(F87="Done",G87&lt;&gt;""),"Done",IF(E87&lt;TODAY(),"Late by "&amp;(TODAY()-E87)&amp;IF((TODAY()-E87)=1," day"," days"),IF(E87=TODAY(),"Due today",IF(E87=TODAY()+1,"Due tomorrow","Due in "&amp;(E87-TODAY())&amp;IF((E87-TODAY())=1," day"," days"))))))</f>
        <v/>
      </c>
      <c r="K87" s="25" t="n"/>
      <c r="L87" s="1">
        <f>IF(G87="","",N(H87))</f>
        <v/>
      </c>
      <c r="M87">
        <f>IF(OR(B87="",E87="",OR(F87="Done",G87&lt;&gt;"")),"",E87+ROW()/10000000)</f>
        <v/>
      </c>
    </row>
    <row r="88">
      <c r="A88" s="1" t="n"/>
      <c r="B88" s="24" t="inlineStr">
        <is>
          <t>Intro to Psychology</t>
        </is>
      </c>
      <c r="C88" s="25" t="inlineStr">
        <is>
          <t>Chapter quiz 5</t>
        </is>
      </c>
      <c r="D88" s="25" t="inlineStr">
        <is>
          <t>Quizzes</t>
        </is>
      </c>
      <c r="E88" s="26" t="n">
        <v>46358</v>
      </c>
      <c r="F88" s="27" t="inlineStr">
        <is>
          <t>To do</t>
        </is>
      </c>
      <c r="G88" s="28" t="n"/>
      <c r="H88" s="28" t="n">
        <v>25</v>
      </c>
      <c r="I88" s="16">
        <f>IF(OR(G88="",N(H88)=0),"",G88/H88)</f>
        <v/>
      </c>
      <c r="J88" s="20">
        <f>IF(OR(B88="",E88=""),"",IF(OR(F88="Done",G88&lt;&gt;""),"Done",IF(E88&lt;TODAY(),"Late by "&amp;(TODAY()-E88)&amp;IF((TODAY()-E88)=1," day"," days"),IF(E88=TODAY(),"Due today",IF(E88=TODAY()+1,"Due tomorrow","Due in "&amp;(E88-TODAY())&amp;IF((E88-TODAY())=1," day"," days"))))))</f>
        <v/>
      </c>
      <c r="K88" s="25" t="n"/>
      <c r="L88" s="1">
        <f>IF(G88="","",N(H88))</f>
        <v/>
      </c>
      <c r="M88">
        <f>IF(OR(B88="",E88="",OR(F88="Done",G88&lt;&gt;"")),"",E88+ROW()/10000000)</f>
        <v/>
      </c>
    </row>
    <row r="89">
      <c r="A89" s="1" t="n"/>
      <c r="B89" s="24" t="inlineStr">
        <is>
          <t>Biology 101</t>
        </is>
      </c>
      <c r="C89" s="25" t="inlineStr">
        <is>
          <t>Lab report 5</t>
        </is>
      </c>
      <c r="D89" s="25" t="inlineStr">
        <is>
          <t>Projects</t>
        </is>
      </c>
      <c r="E89" s="26" t="n">
        <v>46359</v>
      </c>
      <c r="F89" s="27" t="inlineStr">
        <is>
          <t>To do</t>
        </is>
      </c>
      <c r="G89" s="28" t="n"/>
      <c r="H89" s="28" t="n">
        <v>50</v>
      </c>
      <c r="I89" s="16">
        <f>IF(OR(G89="",N(H89)=0),"",G89/H89)</f>
        <v/>
      </c>
      <c r="J89" s="20">
        <f>IF(OR(B89="",E89=""),"",IF(OR(F89="Done",G89&lt;&gt;""),"Done",IF(E89&lt;TODAY(),"Late by "&amp;(TODAY()-E89)&amp;IF((TODAY()-E89)=1," day"," days"),IF(E89=TODAY(),"Due today",IF(E89=TODAY()+1,"Due tomorrow","Due in "&amp;(E89-TODAY())&amp;IF((E89-TODAY())=1," day"," days"))))))</f>
        <v/>
      </c>
      <c r="K89" s="25" t="n"/>
      <c r="L89" s="1">
        <f>IF(G89="","",N(H89))</f>
        <v/>
      </c>
      <c r="M89">
        <f>IF(OR(B89="",E89="",OR(F89="Done",G89&lt;&gt;"")),"",E89+ROW()/10000000)</f>
        <v/>
      </c>
    </row>
    <row r="90">
      <c r="A90" s="1" t="n"/>
      <c r="B90" s="24" t="inlineStr">
        <is>
          <t>Calculus I</t>
        </is>
      </c>
      <c r="C90" s="25" t="inlineStr">
        <is>
          <t>Problem set 15</t>
        </is>
      </c>
      <c r="D90" s="25" t="inlineStr">
        <is>
          <t>Homework</t>
        </is>
      </c>
      <c r="E90" s="26" t="n">
        <v>46359</v>
      </c>
      <c r="F90" s="27" t="inlineStr">
        <is>
          <t>To do</t>
        </is>
      </c>
      <c r="G90" s="28" t="n"/>
      <c r="H90" s="28" t="n">
        <v>20</v>
      </c>
      <c r="I90" s="16">
        <f>IF(OR(G90="",N(H90)=0),"",G90/H90)</f>
        <v/>
      </c>
      <c r="J90" s="20">
        <f>IF(OR(B90="",E90=""),"",IF(OR(F90="Done",G90&lt;&gt;""),"Done",IF(E90&lt;TODAY(),"Late by "&amp;(TODAY()-E90)&amp;IF((TODAY()-E90)=1," day"," days"),IF(E90=TODAY(),"Due today",IF(E90=TODAY()+1,"Due tomorrow","Due in "&amp;(E90-TODAY())&amp;IF((E90-TODAY())=1," day"," days"))))))</f>
        <v/>
      </c>
      <c r="K90" s="25" t="n"/>
      <c r="L90" s="1">
        <f>IF(G90="","",N(H90))</f>
        <v/>
      </c>
      <c r="M90">
        <f>IF(OR(B90="",E90="",OR(F90="Done",G90&lt;&gt;"")),"",E90+ROW()/10000000)</f>
        <v/>
      </c>
    </row>
    <row r="91">
      <c r="A91" s="1" t="n"/>
      <c r="B91" s="24" t="inlineStr">
        <is>
          <t>Biology 101</t>
        </is>
      </c>
      <c r="C91" s="25" t="inlineStr">
        <is>
          <t>Homework 15</t>
        </is>
      </c>
      <c r="D91" s="25" t="inlineStr">
        <is>
          <t>Homework</t>
        </is>
      </c>
      <c r="E91" s="26" t="n">
        <v>46360</v>
      </c>
      <c r="F91" s="27" t="inlineStr">
        <is>
          <t>To do</t>
        </is>
      </c>
      <c r="G91" s="28" t="n"/>
      <c r="H91" s="28" t="n">
        <v>20</v>
      </c>
      <c r="I91" s="16">
        <f>IF(OR(G91="",N(H91)=0),"",G91/H91)</f>
        <v/>
      </c>
      <c r="J91" s="20">
        <f>IF(OR(B91="",E91=""),"",IF(OR(F91="Done",G91&lt;&gt;""),"Done",IF(E91&lt;TODAY(),"Late by "&amp;(TODAY()-E91)&amp;IF((TODAY()-E91)=1," day"," days"),IF(E91=TODAY(),"Due today",IF(E91=TODAY()+1,"Due tomorrow","Due in "&amp;(E91-TODAY())&amp;IF((E91-TODAY())=1," day"," days"))))))</f>
        <v/>
      </c>
      <c r="K91" s="25" t="n"/>
      <c r="L91" s="1">
        <f>IF(G91="","",N(H91))</f>
        <v/>
      </c>
      <c r="M91">
        <f>IF(OR(B91="",E91="",OR(F91="Done",G91&lt;&gt;"")),"",E91+ROW()/10000000)</f>
        <v/>
      </c>
    </row>
    <row r="92">
      <c r="A92" s="1" t="n"/>
      <c r="B92" s="24" t="inlineStr">
        <is>
          <t>Calculus I</t>
        </is>
      </c>
      <c r="C92" s="25" t="inlineStr">
        <is>
          <t>Final exam</t>
        </is>
      </c>
      <c r="D92" s="25" t="inlineStr">
        <is>
          <t>Final</t>
        </is>
      </c>
      <c r="E92" s="26" t="n">
        <v>46363</v>
      </c>
      <c r="F92" s="27" t="inlineStr">
        <is>
          <t>To do</t>
        </is>
      </c>
      <c r="G92" s="28" t="n"/>
      <c r="H92" s="28" t="n">
        <v>100</v>
      </c>
      <c r="I92" s="16">
        <f>IF(OR(G92="",N(H92)=0),"",G92/H92)</f>
        <v/>
      </c>
      <c r="J92" s="20">
        <f>IF(OR(B92="",E92=""),"",IF(OR(F92="Done",G92&lt;&gt;""),"Done",IF(E92&lt;TODAY(),"Late by "&amp;(TODAY()-E92)&amp;IF((TODAY()-E92)=1," day"," days"),IF(E92=TODAY(),"Due today",IF(E92=TODAY()+1,"Due tomorrow","Due in "&amp;(E92-TODAY())&amp;IF((E92-TODAY())=1," day"," days"))))))</f>
        <v/>
      </c>
      <c r="K92" s="25" t="n"/>
      <c r="L92" s="1">
        <f>IF(G92="","",N(H92))</f>
        <v/>
      </c>
      <c r="M92">
        <f>IF(OR(B92="",E92="",OR(F92="Done",G92&lt;&gt;"")),"",E92+ROW()/10000000)</f>
        <v/>
      </c>
    </row>
    <row r="93">
      <c r="A93" s="1" t="n"/>
      <c r="B93" s="24" t="inlineStr">
        <is>
          <t>English Composition</t>
        </is>
      </c>
      <c r="C93" s="25" t="inlineStr">
        <is>
          <t>Participation</t>
        </is>
      </c>
      <c r="D93" s="25" t="inlineStr">
        <is>
          <t>Other</t>
        </is>
      </c>
      <c r="E93" s="26" t="n">
        <v>46363</v>
      </c>
      <c r="F93" s="27" t="inlineStr">
        <is>
          <t>To do</t>
        </is>
      </c>
      <c r="G93" s="28" t="n"/>
      <c r="H93" s="28" t="n">
        <v>100</v>
      </c>
      <c r="I93" s="16">
        <f>IF(OR(G93="",N(H93)=0),"",G93/H93)</f>
        <v/>
      </c>
      <c r="J93" s="20">
        <f>IF(OR(B93="",E93=""),"",IF(OR(F93="Done",G93&lt;&gt;""),"Done",IF(E93&lt;TODAY(),"Late by "&amp;(TODAY()-E93)&amp;IF((TODAY()-E93)=1," day"," days"),IF(E93=TODAY(),"Due today",IF(E93=TODAY()+1,"Due tomorrow","Due in "&amp;(E93-TODAY())&amp;IF((E93-TODAY())=1," day"," days"))))))</f>
        <v/>
      </c>
      <c r="K93" s="25" t="n"/>
      <c r="L93" s="1">
        <f>IF(G93="","",N(H93))</f>
        <v/>
      </c>
      <c r="M93">
        <f>IF(OR(B93="",E93="",OR(F93="Done",G93&lt;&gt;"")),"",E93+ROW()/10000000)</f>
        <v/>
      </c>
    </row>
    <row r="94">
      <c r="A94" s="1" t="n"/>
      <c r="B94" s="24" t="inlineStr">
        <is>
          <t>Intro to Psychology</t>
        </is>
      </c>
      <c r="C94" s="25" t="inlineStr">
        <is>
          <t>Final exam</t>
        </is>
      </c>
      <c r="D94" s="25" t="inlineStr">
        <is>
          <t>Final</t>
        </is>
      </c>
      <c r="E94" s="26" t="n">
        <v>46364</v>
      </c>
      <c r="F94" s="27" t="inlineStr">
        <is>
          <t>To do</t>
        </is>
      </c>
      <c r="G94" s="28" t="n"/>
      <c r="H94" s="28" t="n">
        <v>100</v>
      </c>
      <c r="I94" s="16">
        <f>IF(OR(G94="",N(H94)=0),"",G94/H94)</f>
        <v/>
      </c>
      <c r="J94" s="20">
        <f>IF(OR(B94="",E94=""),"",IF(OR(F94="Done",G94&lt;&gt;""),"Done",IF(E94&lt;TODAY(),"Late by "&amp;(TODAY()-E94)&amp;IF((TODAY()-E94)=1," day"," days"),IF(E94=TODAY(),"Due today",IF(E94=TODAY()+1,"Due tomorrow","Due in "&amp;(E94-TODAY())&amp;IF((E94-TODAY())=1," day"," days"))))))</f>
        <v/>
      </c>
      <c r="K94" s="25" t="n"/>
      <c r="L94" s="1">
        <f>IF(G94="","",N(H94))</f>
        <v/>
      </c>
      <c r="M94">
        <f>IF(OR(B94="",E94="",OR(F94="Done",G94&lt;&gt;"")),"",E94+ROW()/10000000)</f>
        <v/>
      </c>
    </row>
    <row r="95">
      <c r="A95" s="1" t="n"/>
      <c r="B95" s="24" t="inlineStr">
        <is>
          <t>Spanish I</t>
        </is>
      </c>
      <c r="C95" s="25" t="inlineStr">
        <is>
          <t>Final exam</t>
        </is>
      </c>
      <c r="D95" s="25" t="inlineStr">
        <is>
          <t>Final</t>
        </is>
      </c>
      <c r="E95" s="26" t="n">
        <v>46364</v>
      </c>
      <c r="F95" s="27" t="inlineStr">
        <is>
          <t>To do</t>
        </is>
      </c>
      <c r="G95" s="28" t="n"/>
      <c r="H95" s="28" t="n">
        <v>100</v>
      </c>
      <c r="I95" s="16">
        <f>IF(OR(G95="",N(H95)=0),"",G95/H95)</f>
        <v/>
      </c>
      <c r="J95" s="20">
        <f>IF(OR(B95="",E95=""),"",IF(OR(F95="Done",G95&lt;&gt;""),"Done",IF(E95&lt;TODAY(),"Late by "&amp;(TODAY()-E95)&amp;IF((TODAY()-E95)=1," day"," days"),IF(E95=TODAY(),"Due today",IF(E95=TODAY()+1,"Due tomorrow","Due in "&amp;(E95-TODAY())&amp;IF((E95-TODAY())=1," day"," days"))))))</f>
        <v/>
      </c>
      <c r="K95" s="25" t="n"/>
      <c r="L95" s="1">
        <f>IF(G95="","",N(H95))</f>
        <v/>
      </c>
      <c r="M95">
        <f>IF(OR(B95="",E95="",OR(F95="Done",G95&lt;&gt;"")),"",E95+ROW()/10000000)</f>
        <v/>
      </c>
    </row>
    <row r="96">
      <c r="A96" s="1" t="n"/>
      <c r="B96" s="24" t="inlineStr">
        <is>
          <t>English Composition</t>
        </is>
      </c>
      <c r="C96" s="25" t="inlineStr">
        <is>
          <t>Final exam</t>
        </is>
      </c>
      <c r="D96" s="25" t="inlineStr">
        <is>
          <t>Final</t>
        </is>
      </c>
      <c r="E96" s="26" t="n">
        <v>46366</v>
      </c>
      <c r="F96" s="27" t="inlineStr">
        <is>
          <t>To do</t>
        </is>
      </c>
      <c r="G96" s="28" t="n"/>
      <c r="H96" s="28" t="n">
        <v>100</v>
      </c>
      <c r="I96" s="16">
        <f>IF(OR(G96="",N(H96)=0),"",G96/H96)</f>
        <v/>
      </c>
      <c r="J96" s="20">
        <f>IF(OR(B96="",E96=""),"",IF(OR(F96="Done",G96&lt;&gt;""),"Done",IF(E96&lt;TODAY(),"Late by "&amp;(TODAY()-E96)&amp;IF((TODAY()-E96)=1," day"," days"),IF(E96=TODAY(),"Due today",IF(E96=TODAY()+1,"Due tomorrow","Due in "&amp;(E96-TODAY())&amp;IF((E96-TODAY())=1," day"," days"))))))</f>
        <v/>
      </c>
      <c r="K96" s="25" t="n"/>
      <c r="L96" s="1">
        <f>IF(G96="","",N(H96))</f>
        <v/>
      </c>
      <c r="M96">
        <f>IF(OR(B96="",E96="",OR(F96="Done",G96&lt;&gt;"")),"",E96+ROW()/10000000)</f>
        <v/>
      </c>
    </row>
    <row r="97">
      <c r="A97" s="1" t="n"/>
      <c r="B97" s="24" t="inlineStr">
        <is>
          <t>Biology 101</t>
        </is>
      </c>
      <c r="C97" s="25" t="inlineStr">
        <is>
          <t>Final exam</t>
        </is>
      </c>
      <c r="D97" s="25" t="inlineStr">
        <is>
          <t>Final</t>
        </is>
      </c>
      <c r="E97" s="26" t="n">
        <v>46367</v>
      </c>
      <c r="F97" s="27" t="inlineStr">
        <is>
          <t>To do</t>
        </is>
      </c>
      <c r="G97" s="28" t="n"/>
      <c r="H97" s="28" t="n">
        <v>100</v>
      </c>
      <c r="I97" s="16">
        <f>IF(OR(G97="",N(H97)=0),"",G97/H97)</f>
        <v/>
      </c>
      <c r="J97" s="20">
        <f>IF(OR(B97="",E97=""),"",IF(OR(F97="Done",G97&lt;&gt;""),"Done",IF(E97&lt;TODAY(),"Late by "&amp;(TODAY()-E97)&amp;IF((TODAY()-E97)=1," day"," days"),IF(E97=TODAY(),"Due today",IF(E97=TODAY()+1,"Due tomorrow","Due in "&amp;(E97-TODAY())&amp;IF((E97-TODAY())=1," day"," days"))))))</f>
        <v/>
      </c>
      <c r="K97" s="25" t="n"/>
      <c r="L97" s="1">
        <f>IF(G97="","",N(H97))</f>
        <v/>
      </c>
      <c r="M97">
        <f>IF(OR(B97="",E97="",OR(F97="Done",G97&lt;&gt;"")),"",E97+ROW()/10000000)</f>
        <v/>
      </c>
    </row>
    <row r="98">
      <c r="A98" s="1" t="n"/>
      <c r="B98" s="24" t="n"/>
      <c r="C98" s="25" t="n"/>
      <c r="D98" s="25" t="n"/>
      <c r="E98" s="26" t="n"/>
      <c r="F98" s="27" t="n"/>
      <c r="G98" s="28" t="n"/>
      <c r="H98" s="28" t="n"/>
      <c r="I98" s="16">
        <f>IF(OR(G98="",N(H98)=0),"",G98/H98)</f>
        <v/>
      </c>
      <c r="J98" s="20">
        <f>IF(OR(B98="",E98=""),"",IF(OR(F98="Done",G98&lt;&gt;""),"Done",IF(E98&lt;TODAY(),"Late by "&amp;(TODAY()-E98)&amp;IF((TODAY()-E98)=1," day"," days"),IF(E98=TODAY(),"Due today",IF(E98=TODAY()+1,"Due tomorrow","Due in "&amp;(E98-TODAY())&amp;IF((E98-TODAY())=1," day"," days"))))))</f>
        <v/>
      </c>
      <c r="K98" s="25" t="n"/>
      <c r="L98" s="1">
        <f>IF(G98="","",N(H98))</f>
        <v/>
      </c>
      <c r="M98">
        <f>IF(OR(B98="",E98="",OR(F98="Done",G98&lt;&gt;"")),"",E98+ROW()/10000000)</f>
        <v/>
      </c>
    </row>
    <row r="99">
      <c r="A99" s="1" t="n"/>
      <c r="B99" s="24" t="n"/>
      <c r="C99" s="25" t="n"/>
      <c r="D99" s="25" t="n"/>
      <c r="E99" s="26" t="n"/>
      <c r="F99" s="27" t="n"/>
      <c r="G99" s="28" t="n"/>
      <c r="H99" s="28" t="n"/>
      <c r="I99" s="16">
        <f>IF(OR(G99="",N(H99)=0),"",G99/H99)</f>
        <v/>
      </c>
      <c r="J99" s="20">
        <f>IF(OR(B99="",E99=""),"",IF(OR(F99="Done",G99&lt;&gt;""),"Done",IF(E99&lt;TODAY(),"Late by "&amp;(TODAY()-E99)&amp;IF((TODAY()-E99)=1," day"," days"),IF(E99=TODAY(),"Due today",IF(E99=TODAY()+1,"Due tomorrow","Due in "&amp;(E99-TODAY())&amp;IF((E99-TODAY())=1," day"," days"))))))</f>
        <v/>
      </c>
      <c r="K99" s="25" t="n"/>
      <c r="L99" s="1">
        <f>IF(G99="","",N(H99))</f>
        <v/>
      </c>
      <c r="M99">
        <f>IF(OR(B99="",E99="",OR(F99="Done",G99&lt;&gt;"")),"",E99+ROW()/10000000)</f>
        <v/>
      </c>
    </row>
    <row r="100">
      <c r="A100" s="1" t="n"/>
      <c r="B100" s="24" t="n"/>
      <c r="C100" s="25" t="n"/>
      <c r="D100" s="25" t="n"/>
      <c r="E100" s="26" t="n"/>
      <c r="F100" s="27" t="n"/>
      <c r="G100" s="28" t="n"/>
      <c r="H100" s="28" t="n"/>
      <c r="I100" s="16">
        <f>IF(OR(G100="",N(H100)=0),"",G100/H100)</f>
        <v/>
      </c>
      <c r="J100" s="20">
        <f>IF(OR(B100="",E100=""),"",IF(OR(F100="Done",G100&lt;&gt;""),"Done",IF(E100&lt;TODAY(),"Late by "&amp;(TODAY()-E100)&amp;IF((TODAY()-E100)=1," day"," days"),IF(E100=TODAY(),"Due today",IF(E100=TODAY()+1,"Due tomorrow","Due in "&amp;(E100-TODAY())&amp;IF((E100-TODAY())=1," day"," days"))))))</f>
        <v/>
      </c>
      <c r="K100" s="25" t="n"/>
      <c r="L100" s="1">
        <f>IF(G100="","",N(H100))</f>
        <v/>
      </c>
      <c r="M100">
        <f>IF(OR(B100="",E100="",OR(F100="Done",G100&lt;&gt;"")),"",E100+ROW()/10000000)</f>
        <v/>
      </c>
    </row>
    <row r="101">
      <c r="A101" s="1" t="n"/>
      <c r="B101" s="24" t="n"/>
      <c r="C101" s="25" t="n"/>
      <c r="D101" s="25" t="n"/>
      <c r="E101" s="26" t="n"/>
      <c r="F101" s="27" t="n"/>
      <c r="G101" s="28" t="n"/>
      <c r="H101" s="28" t="n"/>
      <c r="I101" s="16">
        <f>IF(OR(G101="",N(H101)=0),"",G101/H101)</f>
        <v/>
      </c>
      <c r="J101" s="20">
        <f>IF(OR(B101="",E101=""),"",IF(OR(F101="Done",G101&lt;&gt;""),"Done",IF(E101&lt;TODAY(),"Late by "&amp;(TODAY()-E101)&amp;IF((TODAY()-E101)=1," day"," days"),IF(E101=TODAY(),"Due today",IF(E101=TODAY()+1,"Due tomorrow","Due in "&amp;(E101-TODAY())&amp;IF((E101-TODAY())=1," day"," days"))))))</f>
        <v/>
      </c>
      <c r="K101" s="25" t="n"/>
      <c r="L101" s="1">
        <f>IF(G101="","",N(H101))</f>
        <v/>
      </c>
      <c r="M101">
        <f>IF(OR(B101="",E101="",OR(F101="Done",G101&lt;&gt;"")),"",E101+ROW()/10000000)</f>
        <v/>
      </c>
    </row>
    <row r="102">
      <c r="A102" s="1" t="n"/>
      <c r="B102" s="24" t="n"/>
      <c r="C102" s="25" t="n"/>
      <c r="D102" s="25" t="n"/>
      <c r="E102" s="26" t="n"/>
      <c r="F102" s="27" t="n"/>
      <c r="G102" s="28" t="n"/>
      <c r="H102" s="28" t="n"/>
      <c r="I102" s="16">
        <f>IF(OR(G102="",N(H102)=0),"",G102/H102)</f>
        <v/>
      </c>
      <c r="J102" s="20">
        <f>IF(OR(B102="",E102=""),"",IF(OR(F102="Done",G102&lt;&gt;""),"Done",IF(E102&lt;TODAY(),"Late by "&amp;(TODAY()-E102)&amp;IF((TODAY()-E102)=1," day"," days"),IF(E102=TODAY(),"Due today",IF(E102=TODAY()+1,"Due tomorrow","Due in "&amp;(E102-TODAY())&amp;IF((E102-TODAY())=1," day"," days"))))))</f>
        <v/>
      </c>
      <c r="K102" s="25" t="n"/>
      <c r="L102" s="1">
        <f>IF(G102="","",N(H102))</f>
        <v/>
      </c>
      <c r="M102">
        <f>IF(OR(B102="",E102="",OR(F102="Done",G102&lt;&gt;"")),"",E102+ROW()/10000000)</f>
        <v/>
      </c>
    </row>
    <row r="103">
      <c r="A103" s="1" t="n"/>
      <c r="B103" s="24" t="n"/>
      <c r="C103" s="25" t="n"/>
      <c r="D103" s="25" t="n"/>
      <c r="E103" s="26" t="n"/>
      <c r="F103" s="27" t="n"/>
      <c r="G103" s="28" t="n"/>
      <c r="H103" s="28" t="n"/>
      <c r="I103" s="16">
        <f>IF(OR(G103="",N(H103)=0),"",G103/H103)</f>
        <v/>
      </c>
      <c r="J103" s="20">
        <f>IF(OR(B103="",E103=""),"",IF(OR(F103="Done",G103&lt;&gt;""),"Done",IF(E103&lt;TODAY(),"Late by "&amp;(TODAY()-E103)&amp;IF((TODAY()-E103)=1," day"," days"),IF(E103=TODAY(),"Due today",IF(E103=TODAY()+1,"Due tomorrow","Due in "&amp;(E103-TODAY())&amp;IF((E103-TODAY())=1," day"," days"))))))</f>
        <v/>
      </c>
      <c r="K103" s="25" t="n"/>
      <c r="L103" s="1">
        <f>IF(G103="","",N(H103))</f>
        <v/>
      </c>
      <c r="M103">
        <f>IF(OR(B103="",E103="",OR(F103="Done",G103&lt;&gt;"")),"",E103+ROW()/10000000)</f>
        <v/>
      </c>
    </row>
    <row r="104">
      <c r="A104" s="1" t="n"/>
      <c r="B104" s="24" t="n"/>
      <c r="C104" s="25" t="n"/>
      <c r="D104" s="25" t="n"/>
      <c r="E104" s="26" t="n"/>
      <c r="F104" s="27" t="n"/>
      <c r="G104" s="28" t="n"/>
      <c r="H104" s="28" t="n"/>
      <c r="I104" s="16">
        <f>IF(OR(G104="",N(H104)=0),"",G104/H104)</f>
        <v/>
      </c>
      <c r="J104" s="20">
        <f>IF(OR(B104="",E104=""),"",IF(OR(F104="Done",G104&lt;&gt;""),"Done",IF(E104&lt;TODAY(),"Late by "&amp;(TODAY()-E104)&amp;IF((TODAY()-E104)=1," day"," days"),IF(E104=TODAY(),"Due today",IF(E104=TODAY()+1,"Due tomorrow","Due in "&amp;(E104-TODAY())&amp;IF((E104-TODAY())=1," day"," days"))))))</f>
        <v/>
      </c>
      <c r="K104" s="25" t="n"/>
      <c r="L104" s="1">
        <f>IF(G104="","",N(H104))</f>
        <v/>
      </c>
      <c r="M104">
        <f>IF(OR(B104="",E104="",OR(F104="Done",G104&lt;&gt;"")),"",E104+ROW()/10000000)</f>
        <v/>
      </c>
    </row>
    <row r="105">
      <c r="A105" s="1" t="n"/>
      <c r="B105" s="24" t="n"/>
      <c r="C105" s="25" t="n"/>
      <c r="D105" s="25" t="n"/>
      <c r="E105" s="26" t="n"/>
      <c r="F105" s="27" t="n"/>
      <c r="G105" s="28" t="n"/>
      <c r="H105" s="28" t="n"/>
      <c r="I105" s="16">
        <f>IF(OR(G105="",N(H105)=0),"",G105/H105)</f>
        <v/>
      </c>
      <c r="J105" s="20">
        <f>IF(OR(B105="",E105=""),"",IF(OR(F105="Done",G105&lt;&gt;""),"Done",IF(E105&lt;TODAY(),"Late by "&amp;(TODAY()-E105)&amp;IF((TODAY()-E105)=1," day"," days"),IF(E105=TODAY(),"Due today",IF(E105=TODAY()+1,"Due tomorrow","Due in "&amp;(E105-TODAY())&amp;IF((E105-TODAY())=1," day"," days"))))))</f>
        <v/>
      </c>
      <c r="K105" s="25" t="n"/>
      <c r="L105" s="1">
        <f>IF(G105="","",N(H105))</f>
        <v/>
      </c>
      <c r="M105">
        <f>IF(OR(B105="",E105="",OR(F105="Done",G105&lt;&gt;"")),"",E105+ROW()/10000000)</f>
        <v/>
      </c>
    </row>
    <row r="106">
      <c r="A106" s="1" t="n"/>
      <c r="B106" s="24" t="n"/>
      <c r="C106" s="25" t="n"/>
      <c r="D106" s="25" t="n"/>
      <c r="E106" s="26" t="n"/>
      <c r="F106" s="27" t="n"/>
      <c r="G106" s="28" t="n"/>
      <c r="H106" s="28" t="n"/>
      <c r="I106" s="16">
        <f>IF(OR(G106="",N(H106)=0),"",G106/H106)</f>
        <v/>
      </c>
      <c r="J106" s="20">
        <f>IF(OR(B106="",E106=""),"",IF(OR(F106="Done",G106&lt;&gt;""),"Done",IF(E106&lt;TODAY(),"Late by "&amp;(TODAY()-E106)&amp;IF((TODAY()-E106)=1," day"," days"),IF(E106=TODAY(),"Due today",IF(E106=TODAY()+1,"Due tomorrow","Due in "&amp;(E106-TODAY())&amp;IF((E106-TODAY())=1," day"," days"))))))</f>
        <v/>
      </c>
      <c r="K106" s="25" t="n"/>
      <c r="L106" s="1">
        <f>IF(G106="","",N(H106))</f>
        <v/>
      </c>
      <c r="M106">
        <f>IF(OR(B106="",E106="",OR(F106="Done",G106&lt;&gt;"")),"",E106+ROW()/10000000)</f>
        <v/>
      </c>
    </row>
    <row r="107">
      <c r="A107" s="1" t="n"/>
      <c r="B107" s="24" t="n"/>
      <c r="C107" s="25" t="n"/>
      <c r="D107" s="25" t="n"/>
      <c r="E107" s="26" t="n"/>
      <c r="F107" s="27" t="n"/>
      <c r="G107" s="28" t="n"/>
      <c r="H107" s="28" t="n"/>
      <c r="I107" s="16">
        <f>IF(OR(G107="",N(H107)=0),"",G107/H107)</f>
        <v/>
      </c>
      <c r="J107" s="20">
        <f>IF(OR(B107="",E107=""),"",IF(OR(F107="Done",G107&lt;&gt;""),"Done",IF(E107&lt;TODAY(),"Late by "&amp;(TODAY()-E107)&amp;IF((TODAY()-E107)=1," day"," days"),IF(E107=TODAY(),"Due today",IF(E107=TODAY()+1,"Due tomorrow","Due in "&amp;(E107-TODAY())&amp;IF((E107-TODAY())=1," day"," days"))))))</f>
        <v/>
      </c>
      <c r="K107" s="25" t="n"/>
      <c r="L107" s="1">
        <f>IF(G107="","",N(H107))</f>
        <v/>
      </c>
      <c r="M107">
        <f>IF(OR(B107="",E107="",OR(F107="Done",G107&lt;&gt;"")),"",E107+ROW()/10000000)</f>
        <v/>
      </c>
    </row>
    <row r="108">
      <c r="A108" s="1" t="n"/>
      <c r="B108" s="24" t="n"/>
      <c r="C108" s="25" t="n"/>
      <c r="D108" s="25" t="n"/>
      <c r="E108" s="26" t="n"/>
      <c r="F108" s="27" t="n"/>
      <c r="G108" s="28" t="n"/>
      <c r="H108" s="28" t="n"/>
      <c r="I108" s="16">
        <f>IF(OR(G108="",N(H108)=0),"",G108/H108)</f>
        <v/>
      </c>
      <c r="J108" s="20">
        <f>IF(OR(B108="",E108=""),"",IF(OR(F108="Done",G108&lt;&gt;""),"Done",IF(E108&lt;TODAY(),"Late by "&amp;(TODAY()-E108)&amp;IF((TODAY()-E108)=1," day"," days"),IF(E108=TODAY(),"Due today",IF(E108=TODAY()+1,"Due tomorrow","Due in "&amp;(E108-TODAY())&amp;IF((E108-TODAY())=1," day"," days"))))))</f>
        <v/>
      </c>
      <c r="K108" s="25" t="n"/>
      <c r="L108" s="1">
        <f>IF(G108="","",N(H108))</f>
        <v/>
      </c>
      <c r="M108">
        <f>IF(OR(B108="",E108="",OR(F108="Done",G108&lt;&gt;"")),"",E108+ROW()/10000000)</f>
        <v/>
      </c>
    </row>
    <row r="109">
      <c r="A109" s="1" t="n"/>
      <c r="B109" s="24" t="n"/>
      <c r="C109" s="25" t="n"/>
      <c r="D109" s="25" t="n"/>
      <c r="E109" s="26" t="n"/>
      <c r="F109" s="27" t="n"/>
      <c r="G109" s="28" t="n"/>
      <c r="H109" s="28" t="n"/>
      <c r="I109" s="16">
        <f>IF(OR(G109="",N(H109)=0),"",G109/H109)</f>
        <v/>
      </c>
      <c r="J109" s="20">
        <f>IF(OR(B109="",E109=""),"",IF(OR(F109="Done",G109&lt;&gt;""),"Done",IF(E109&lt;TODAY(),"Late by "&amp;(TODAY()-E109)&amp;IF((TODAY()-E109)=1," day"," days"),IF(E109=TODAY(),"Due today",IF(E109=TODAY()+1,"Due tomorrow","Due in "&amp;(E109-TODAY())&amp;IF((E109-TODAY())=1," day"," days"))))))</f>
        <v/>
      </c>
      <c r="K109" s="25" t="n"/>
      <c r="L109" s="1">
        <f>IF(G109="","",N(H109))</f>
        <v/>
      </c>
      <c r="M109">
        <f>IF(OR(B109="",E109="",OR(F109="Done",G109&lt;&gt;"")),"",E109+ROW()/10000000)</f>
        <v/>
      </c>
    </row>
    <row r="110">
      <c r="A110" s="1" t="n"/>
      <c r="B110" s="24" t="n"/>
      <c r="C110" s="25" t="n"/>
      <c r="D110" s="25" t="n"/>
      <c r="E110" s="26" t="n"/>
      <c r="F110" s="27" t="n"/>
      <c r="G110" s="28" t="n"/>
      <c r="H110" s="28" t="n"/>
      <c r="I110" s="16">
        <f>IF(OR(G110="",N(H110)=0),"",G110/H110)</f>
        <v/>
      </c>
      <c r="J110" s="20">
        <f>IF(OR(B110="",E110=""),"",IF(OR(F110="Done",G110&lt;&gt;""),"Done",IF(E110&lt;TODAY(),"Late by "&amp;(TODAY()-E110)&amp;IF((TODAY()-E110)=1," day"," days"),IF(E110=TODAY(),"Due today",IF(E110=TODAY()+1,"Due tomorrow","Due in "&amp;(E110-TODAY())&amp;IF((E110-TODAY())=1," day"," days"))))))</f>
        <v/>
      </c>
      <c r="K110" s="25" t="n"/>
      <c r="L110" s="1">
        <f>IF(G110="","",N(H110))</f>
        <v/>
      </c>
      <c r="M110">
        <f>IF(OR(B110="",E110="",OR(F110="Done",G110&lt;&gt;"")),"",E110+ROW()/10000000)</f>
        <v/>
      </c>
    </row>
    <row r="111">
      <c r="A111" s="1" t="n"/>
      <c r="B111" s="24" t="n"/>
      <c r="C111" s="25" t="n"/>
      <c r="D111" s="25" t="n"/>
      <c r="E111" s="26" t="n"/>
      <c r="F111" s="27" t="n"/>
      <c r="G111" s="28" t="n"/>
      <c r="H111" s="28" t="n"/>
      <c r="I111" s="16">
        <f>IF(OR(G111="",N(H111)=0),"",G111/H111)</f>
        <v/>
      </c>
      <c r="J111" s="20">
        <f>IF(OR(B111="",E111=""),"",IF(OR(F111="Done",G111&lt;&gt;""),"Done",IF(E111&lt;TODAY(),"Late by "&amp;(TODAY()-E111)&amp;IF((TODAY()-E111)=1," day"," days"),IF(E111=TODAY(),"Due today",IF(E111=TODAY()+1,"Due tomorrow","Due in "&amp;(E111-TODAY())&amp;IF((E111-TODAY())=1," day"," days"))))))</f>
        <v/>
      </c>
      <c r="K111" s="25" t="n"/>
      <c r="L111" s="1">
        <f>IF(G111="","",N(H111))</f>
        <v/>
      </c>
      <c r="M111">
        <f>IF(OR(B111="",E111="",OR(F111="Done",G111&lt;&gt;"")),"",E111+ROW()/10000000)</f>
        <v/>
      </c>
    </row>
    <row r="112">
      <c r="A112" s="1" t="n"/>
      <c r="B112" s="24" t="n"/>
      <c r="C112" s="25" t="n"/>
      <c r="D112" s="25" t="n"/>
      <c r="E112" s="26" t="n"/>
      <c r="F112" s="27" t="n"/>
      <c r="G112" s="28" t="n"/>
      <c r="H112" s="28" t="n"/>
      <c r="I112" s="16">
        <f>IF(OR(G112="",N(H112)=0),"",G112/H112)</f>
        <v/>
      </c>
      <c r="J112" s="20">
        <f>IF(OR(B112="",E112=""),"",IF(OR(F112="Done",G112&lt;&gt;""),"Done",IF(E112&lt;TODAY(),"Late by "&amp;(TODAY()-E112)&amp;IF((TODAY()-E112)=1," day"," days"),IF(E112=TODAY(),"Due today",IF(E112=TODAY()+1,"Due tomorrow","Due in "&amp;(E112-TODAY())&amp;IF((E112-TODAY())=1," day"," days"))))))</f>
        <v/>
      </c>
      <c r="K112" s="25" t="n"/>
      <c r="L112" s="1">
        <f>IF(G112="","",N(H112))</f>
        <v/>
      </c>
      <c r="M112">
        <f>IF(OR(B112="",E112="",OR(F112="Done",G112&lt;&gt;"")),"",E112+ROW()/10000000)</f>
        <v/>
      </c>
    </row>
    <row r="113">
      <c r="A113" s="1" t="n"/>
      <c r="B113" s="24" t="n"/>
      <c r="C113" s="25" t="n"/>
      <c r="D113" s="25" t="n"/>
      <c r="E113" s="26" t="n"/>
      <c r="F113" s="27" t="n"/>
      <c r="G113" s="28" t="n"/>
      <c r="H113" s="28" t="n"/>
      <c r="I113" s="16">
        <f>IF(OR(G113="",N(H113)=0),"",G113/H113)</f>
        <v/>
      </c>
      <c r="J113" s="20">
        <f>IF(OR(B113="",E113=""),"",IF(OR(F113="Done",G113&lt;&gt;""),"Done",IF(E113&lt;TODAY(),"Late by "&amp;(TODAY()-E113)&amp;IF((TODAY()-E113)=1," day"," days"),IF(E113=TODAY(),"Due today",IF(E113=TODAY()+1,"Due tomorrow","Due in "&amp;(E113-TODAY())&amp;IF((E113-TODAY())=1," day"," days"))))))</f>
        <v/>
      </c>
      <c r="K113" s="25" t="n"/>
      <c r="L113" s="1">
        <f>IF(G113="","",N(H113))</f>
        <v/>
      </c>
      <c r="M113">
        <f>IF(OR(B113="",E113="",OR(F113="Done",G113&lt;&gt;"")),"",E113+ROW()/10000000)</f>
        <v/>
      </c>
    </row>
    <row r="114">
      <c r="A114" s="1" t="n"/>
      <c r="B114" s="24" t="n"/>
      <c r="C114" s="25" t="n"/>
      <c r="D114" s="25" t="n"/>
      <c r="E114" s="26" t="n"/>
      <c r="F114" s="27" t="n"/>
      <c r="G114" s="28" t="n"/>
      <c r="H114" s="28" t="n"/>
      <c r="I114" s="16">
        <f>IF(OR(G114="",N(H114)=0),"",G114/H114)</f>
        <v/>
      </c>
      <c r="J114" s="20">
        <f>IF(OR(B114="",E114=""),"",IF(OR(F114="Done",G114&lt;&gt;""),"Done",IF(E114&lt;TODAY(),"Late by "&amp;(TODAY()-E114)&amp;IF((TODAY()-E114)=1," day"," days"),IF(E114=TODAY(),"Due today",IF(E114=TODAY()+1,"Due tomorrow","Due in "&amp;(E114-TODAY())&amp;IF((E114-TODAY())=1," day"," days"))))))</f>
        <v/>
      </c>
      <c r="K114" s="25" t="n"/>
      <c r="L114" s="1">
        <f>IF(G114="","",N(H114))</f>
        <v/>
      </c>
      <c r="M114">
        <f>IF(OR(B114="",E114="",OR(F114="Done",G114&lt;&gt;"")),"",E114+ROW()/10000000)</f>
        <v/>
      </c>
    </row>
    <row r="115">
      <c r="A115" s="1" t="n"/>
      <c r="B115" s="24" t="n"/>
      <c r="C115" s="25" t="n"/>
      <c r="D115" s="25" t="n"/>
      <c r="E115" s="26" t="n"/>
      <c r="F115" s="27" t="n"/>
      <c r="G115" s="28" t="n"/>
      <c r="H115" s="28" t="n"/>
      <c r="I115" s="16">
        <f>IF(OR(G115="",N(H115)=0),"",G115/H115)</f>
        <v/>
      </c>
      <c r="J115" s="20">
        <f>IF(OR(B115="",E115=""),"",IF(OR(F115="Done",G115&lt;&gt;""),"Done",IF(E115&lt;TODAY(),"Late by "&amp;(TODAY()-E115)&amp;IF((TODAY()-E115)=1," day"," days"),IF(E115=TODAY(),"Due today",IF(E115=TODAY()+1,"Due tomorrow","Due in "&amp;(E115-TODAY())&amp;IF((E115-TODAY())=1," day"," days"))))))</f>
        <v/>
      </c>
      <c r="K115" s="25" t="n"/>
      <c r="L115" s="1">
        <f>IF(G115="","",N(H115))</f>
        <v/>
      </c>
      <c r="M115">
        <f>IF(OR(B115="",E115="",OR(F115="Done",G115&lt;&gt;"")),"",E115+ROW()/10000000)</f>
        <v/>
      </c>
    </row>
    <row r="116">
      <c r="A116" s="1" t="n"/>
      <c r="B116" s="24" t="n"/>
      <c r="C116" s="25" t="n"/>
      <c r="D116" s="25" t="n"/>
      <c r="E116" s="26" t="n"/>
      <c r="F116" s="27" t="n"/>
      <c r="G116" s="28" t="n"/>
      <c r="H116" s="28" t="n"/>
      <c r="I116" s="16">
        <f>IF(OR(G116="",N(H116)=0),"",G116/H116)</f>
        <v/>
      </c>
      <c r="J116" s="20">
        <f>IF(OR(B116="",E116=""),"",IF(OR(F116="Done",G116&lt;&gt;""),"Done",IF(E116&lt;TODAY(),"Late by "&amp;(TODAY()-E116)&amp;IF((TODAY()-E116)=1," day"," days"),IF(E116=TODAY(),"Due today",IF(E116=TODAY()+1,"Due tomorrow","Due in "&amp;(E116-TODAY())&amp;IF((E116-TODAY())=1," day"," days"))))))</f>
        <v/>
      </c>
      <c r="K116" s="25" t="n"/>
      <c r="L116" s="1">
        <f>IF(G116="","",N(H116))</f>
        <v/>
      </c>
      <c r="M116">
        <f>IF(OR(B116="",E116="",OR(F116="Done",G116&lt;&gt;"")),"",E116+ROW()/10000000)</f>
        <v/>
      </c>
    </row>
    <row r="117">
      <c r="A117" s="1" t="n"/>
      <c r="B117" s="24" t="n"/>
      <c r="C117" s="25" t="n"/>
      <c r="D117" s="25" t="n"/>
      <c r="E117" s="26" t="n"/>
      <c r="F117" s="27" t="n"/>
      <c r="G117" s="28" t="n"/>
      <c r="H117" s="28" t="n"/>
      <c r="I117" s="16">
        <f>IF(OR(G117="",N(H117)=0),"",G117/H117)</f>
        <v/>
      </c>
      <c r="J117" s="20">
        <f>IF(OR(B117="",E117=""),"",IF(OR(F117="Done",G117&lt;&gt;""),"Done",IF(E117&lt;TODAY(),"Late by "&amp;(TODAY()-E117)&amp;IF((TODAY()-E117)=1," day"," days"),IF(E117=TODAY(),"Due today",IF(E117=TODAY()+1,"Due tomorrow","Due in "&amp;(E117-TODAY())&amp;IF((E117-TODAY())=1," day"," days"))))))</f>
        <v/>
      </c>
      <c r="K117" s="25" t="n"/>
      <c r="L117" s="1">
        <f>IF(G117="","",N(H117))</f>
        <v/>
      </c>
      <c r="M117">
        <f>IF(OR(B117="",E117="",OR(F117="Done",G117&lt;&gt;"")),"",E117+ROW()/10000000)</f>
        <v/>
      </c>
    </row>
    <row r="118">
      <c r="A118" s="1" t="n"/>
      <c r="B118" s="24" t="n"/>
      <c r="C118" s="25" t="n"/>
      <c r="D118" s="25" t="n"/>
      <c r="E118" s="26" t="n"/>
      <c r="F118" s="27" t="n"/>
      <c r="G118" s="28" t="n"/>
      <c r="H118" s="28" t="n"/>
      <c r="I118" s="16">
        <f>IF(OR(G118="",N(H118)=0),"",G118/H118)</f>
        <v/>
      </c>
      <c r="J118" s="20">
        <f>IF(OR(B118="",E118=""),"",IF(OR(F118="Done",G118&lt;&gt;""),"Done",IF(E118&lt;TODAY(),"Late by "&amp;(TODAY()-E118)&amp;IF((TODAY()-E118)=1," day"," days"),IF(E118=TODAY(),"Due today",IF(E118=TODAY()+1,"Due tomorrow","Due in "&amp;(E118-TODAY())&amp;IF((E118-TODAY())=1," day"," days"))))))</f>
        <v/>
      </c>
      <c r="K118" s="25" t="n"/>
      <c r="L118" s="1">
        <f>IF(G118="","",N(H118))</f>
        <v/>
      </c>
      <c r="M118">
        <f>IF(OR(B118="",E118="",OR(F118="Done",G118&lt;&gt;"")),"",E118+ROW()/10000000)</f>
        <v/>
      </c>
    </row>
    <row r="119">
      <c r="A119" s="1" t="n"/>
      <c r="B119" s="24" t="n"/>
      <c r="C119" s="25" t="n"/>
      <c r="D119" s="25" t="n"/>
      <c r="E119" s="26" t="n"/>
      <c r="F119" s="27" t="n"/>
      <c r="G119" s="28" t="n"/>
      <c r="H119" s="28" t="n"/>
      <c r="I119" s="16">
        <f>IF(OR(G119="",N(H119)=0),"",G119/H119)</f>
        <v/>
      </c>
      <c r="J119" s="20">
        <f>IF(OR(B119="",E119=""),"",IF(OR(F119="Done",G119&lt;&gt;""),"Done",IF(E119&lt;TODAY(),"Late by "&amp;(TODAY()-E119)&amp;IF((TODAY()-E119)=1," day"," days"),IF(E119=TODAY(),"Due today",IF(E119=TODAY()+1,"Due tomorrow","Due in "&amp;(E119-TODAY())&amp;IF((E119-TODAY())=1," day"," days"))))))</f>
        <v/>
      </c>
      <c r="K119" s="25" t="n"/>
      <c r="L119" s="1">
        <f>IF(G119="","",N(H119))</f>
        <v/>
      </c>
      <c r="M119">
        <f>IF(OR(B119="",E119="",OR(F119="Done",G119&lt;&gt;"")),"",E119+ROW()/10000000)</f>
        <v/>
      </c>
    </row>
    <row r="120">
      <c r="A120" s="1" t="n"/>
      <c r="B120" s="24" t="n"/>
      <c r="C120" s="25" t="n"/>
      <c r="D120" s="25" t="n"/>
      <c r="E120" s="26" t="n"/>
      <c r="F120" s="27" t="n"/>
      <c r="G120" s="28" t="n"/>
      <c r="H120" s="28" t="n"/>
      <c r="I120" s="16">
        <f>IF(OR(G120="",N(H120)=0),"",G120/H120)</f>
        <v/>
      </c>
      <c r="J120" s="20">
        <f>IF(OR(B120="",E120=""),"",IF(OR(F120="Done",G120&lt;&gt;""),"Done",IF(E120&lt;TODAY(),"Late by "&amp;(TODAY()-E120)&amp;IF((TODAY()-E120)=1," day"," days"),IF(E120=TODAY(),"Due today",IF(E120=TODAY()+1,"Due tomorrow","Due in "&amp;(E120-TODAY())&amp;IF((E120-TODAY())=1," day"," days"))))))</f>
        <v/>
      </c>
      <c r="K120" s="25" t="n"/>
      <c r="L120" s="1">
        <f>IF(G120="","",N(H120))</f>
        <v/>
      </c>
      <c r="M120">
        <f>IF(OR(B120="",E120="",OR(F120="Done",G120&lt;&gt;"")),"",E120+ROW()/10000000)</f>
        <v/>
      </c>
    </row>
    <row r="121">
      <c r="A121" s="1" t="n"/>
      <c r="B121" s="24" t="n"/>
      <c r="C121" s="25" t="n"/>
      <c r="D121" s="25" t="n"/>
      <c r="E121" s="26" t="n"/>
      <c r="F121" s="27" t="n"/>
      <c r="G121" s="28" t="n"/>
      <c r="H121" s="28" t="n"/>
      <c r="I121" s="16">
        <f>IF(OR(G121="",N(H121)=0),"",G121/H121)</f>
        <v/>
      </c>
      <c r="J121" s="20">
        <f>IF(OR(B121="",E121=""),"",IF(OR(F121="Done",G121&lt;&gt;""),"Done",IF(E121&lt;TODAY(),"Late by "&amp;(TODAY()-E121)&amp;IF((TODAY()-E121)=1," day"," days"),IF(E121=TODAY(),"Due today",IF(E121=TODAY()+1,"Due tomorrow","Due in "&amp;(E121-TODAY())&amp;IF((E121-TODAY())=1," day"," days"))))))</f>
        <v/>
      </c>
      <c r="K121" s="25" t="n"/>
      <c r="L121" s="1">
        <f>IF(G121="","",N(H121))</f>
        <v/>
      </c>
      <c r="M121">
        <f>IF(OR(B121="",E121="",OR(F121="Done",G121&lt;&gt;"")),"",E121+ROW()/10000000)</f>
        <v/>
      </c>
    </row>
    <row r="122">
      <c r="A122" s="1" t="n"/>
      <c r="B122" s="24" t="n"/>
      <c r="C122" s="25" t="n"/>
      <c r="D122" s="25" t="n"/>
      <c r="E122" s="26" t="n"/>
      <c r="F122" s="27" t="n"/>
      <c r="G122" s="28" t="n"/>
      <c r="H122" s="28" t="n"/>
      <c r="I122" s="16">
        <f>IF(OR(G122="",N(H122)=0),"",G122/H122)</f>
        <v/>
      </c>
      <c r="J122" s="20">
        <f>IF(OR(B122="",E122=""),"",IF(OR(F122="Done",G122&lt;&gt;""),"Done",IF(E122&lt;TODAY(),"Late by "&amp;(TODAY()-E122)&amp;IF((TODAY()-E122)=1," day"," days"),IF(E122=TODAY(),"Due today",IF(E122=TODAY()+1,"Due tomorrow","Due in "&amp;(E122-TODAY())&amp;IF((E122-TODAY())=1," day"," days"))))))</f>
        <v/>
      </c>
      <c r="K122" s="25" t="n"/>
      <c r="L122" s="1">
        <f>IF(G122="","",N(H122))</f>
        <v/>
      </c>
      <c r="M122">
        <f>IF(OR(B122="",E122="",OR(F122="Done",G122&lt;&gt;"")),"",E122+ROW()/10000000)</f>
        <v/>
      </c>
    </row>
    <row r="123">
      <c r="A123" s="1" t="n"/>
      <c r="B123" s="24" t="n"/>
      <c r="C123" s="25" t="n"/>
      <c r="D123" s="25" t="n"/>
      <c r="E123" s="26" t="n"/>
      <c r="F123" s="27" t="n"/>
      <c r="G123" s="28" t="n"/>
      <c r="H123" s="28" t="n"/>
      <c r="I123" s="16">
        <f>IF(OR(G123="",N(H123)=0),"",G123/H123)</f>
        <v/>
      </c>
      <c r="J123" s="20">
        <f>IF(OR(B123="",E123=""),"",IF(OR(F123="Done",G123&lt;&gt;""),"Done",IF(E123&lt;TODAY(),"Late by "&amp;(TODAY()-E123)&amp;IF((TODAY()-E123)=1," day"," days"),IF(E123=TODAY(),"Due today",IF(E123=TODAY()+1,"Due tomorrow","Due in "&amp;(E123-TODAY())&amp;IF((E123-TODAY())=1," day"," days"))))))</f>
        <v/>
      </c>
      <c r="K123" s="25" t="n"/>
      <c r="L123" s="1">
        <f>IF(G123="","",N(H123))</f>
        <v/>
      </c>
      <c r="M123">
        <f>IF(OR(B123="",E123="",OR(F123="Done",G123&lt;&gt;"")),"",E123+ROW()/10000000)</f>
        <v/>
      </c>
    </row>
    <row r="124">
      <c r="A124" s="1" t="n"/>
      <c r="B124" s="24" t="n"/>
      <c r="C124" s="25" t="n"/>
      <c r="D124" s="25" t="n"/>
      <c r="E124" s="26" t="n"/>
      <c r="F124" s="27" t="n"/>
      <c r="G124" s="28" t="n"/>
      <c r="H124" s="28" t="n"/>
      <c r="I124" s="16">
        <f>IF(OR(G124="",N(H124)=0),"",G124/H124)</f>
        <v/>
      </c>
      <c r="J124" s="20">
        <f>IF(OR(B124="",E124=""),"",IF(OR(F124="Done",G124&lt;&gt;""),"Done",IF(E124&lt;TODAY(),"Late by "&amp;(TODAY()-E124)&amp;IF((TODAY()-E124)=1," day"," days"),IF(E124=TODAY(),"Due today",IF(E124=TODAY()+1,"Due tomorrow","Due in "&amp;(E124-TODAY())&amp;IF((E124-TODAY())=1," day"," days"))))))</f>
        <v/>
      </c>
      <c r="K124" s="25" t="n"/>
      <c r="L124" s="1">
        <f>IF(G124="","",N(H124))</f>
        <v/>
      </c>
      <c r="M124">
        <f>IF(OR(B124="",E124="",OR(F124="Done",G124&lt;&gt;"")),"",E124+ROW()/10000000)</f>
        <v/>
      </c>
    </row>
    <row r="125">
      <c r="A125" s="1" t="n"/>
      <c r="B125" s="24" t="n"/>
      <c r="C125" s="25" t="n"/>
      <c r="D125" s="25" t="n"/>
      <c r="E125" s="26" t="n"/>
      <c r="F125" s="27" t="n"/>
      <c r="G125" s="28" t="n"/>
      <c r="H125" s="28" t="n"/>
      <c r="I125" s="16">
        <f>IF(OR(G125="",N(H125)=0),"",G125/H125)</f>
        <v/>
      </c>
      <c r="J125" s="20">
        <f>IF(OR(B125="",E125=""),"",IF(OR(F125="Done",G125&lt;&gt;""),"Done",IF(E125&lt;TODAY(),"Late by "&amp;(TODAY()-E125)&amp;IF((TODAY()-E125)=1," day"," days"),IF(E125=TODAY(),"Due today",IF(E125=TODAY()+1,"Due tomorrow","Due in "&amp;(E125-TODAY())&amp;IF((E125-TODAY())=1," day"," days"))))))</f>
        <v/>
      </c>
      <c r="K125" s="25" t="n"/>
      <c r="L125" s="1">
        <f>IF(G125="","",N(H125))</f>
        <v/>
      </c>
      <c r="M125">
        <f>IF(OR(B125="",E125="",OR(F125="Done",G125&lt;&gt;"")),"",E125+ROW()/10000000)</f>
        <v/>
      </c>
    </row>
    <row r="126">
      <c r="A126" s="1" t="n"/>
      <c r="B126" s="24" t="n"/>
      <c r="C126" s="25" t="n"/>
      <c r="D126" s="25" t="n"/>
      <c r="E126" s="26" t="n"/>
      <c r="F126" s="27" t="n"/>
      <c r="G126" s="28" t="n"/>
      <c r="H126" s="28" t="n"/>
      <c r="I126" s="16">
        <f>IF(OR(G126="",N(H126)=0),"",G126/H126)</f>
        <v/>
      </c>
      <c r="J126" s="20">
        <f>IF(OR(B126="",E126=""),"",IF(OR(F126="Done",G126&lt;&gt;""),"Done",IF(E126&lt;TODAY(),"Late by "&amp;(TODAY()-E126)&amp;IF((TODAY()-E126)=1," day"," days"),IF(E126=TODAY(),"Due today",IF(E126=TODAY()+1,"Due tomorrow","Due in "&amp;(E126-TODAY())&amp;IF((E126-TODAY())=1," day"," days"))))))</f>
        <v/>
      </c>
      <c r="K126" s="25" t="n"/>
      <c r="L126" s="1">
        <f>IF(G126="","",N(H126))</f>
        <v/>
      </c>
      <c r="M126">
        <f>IF(OR(B126="",E126="",OR(F126="Done",G126&lt;&gt;"")),"",E126+ROW()/10000000)</f>
        <v/>
      </c>
    </row>
    <row r="127">
      <c r="A127" s="1" t="n"/>
      <c r="B127" s="24" t="n"/>
      <c r="C127" s="25" t="n"/>
      <c r="D127" s="25" t="n"/>
      <c r="E127" s="26" t="n"/>
      <c r="F127" s="27" t="n"/>
      <c r="G127" s="28" t="n"/>
      <c r="H127" s="28" t="n"/>
      <c r="I127" s="16">
        <f>IF(OR(G127="",N(H127)=0),"",G127/H127)</f>
        <v/>
      </c>
      <c r="J127" s="20">
        <f>IF(OR(B127="",E127=""),"",IF(OR(F127="Done",G127&lt;&gt;""),"Done",IF(E127&lt;TODAY(),"Late by "&amp;(TODAY()-E127)&amp;IF((TODAY()-E127)=1," day"," days"),IF(E127=TODAY(),"Due today",IF(E127=TODAY()+1,"Due tomorrow","Due in "&amp;(E127-TODAY())&amp;IF((E127-TODAY())=1," day"," days"))))))</f>
        <v/>
      </c>
      <c r="K127" s="25" t="n"/>
      <c r="L127" s="1">
        <f>IF(G127="","",N(H127))</f>
        <v/>
      </c>
      <c r="M127">
        <f>IF(OR(B127="",E127="",OR(F127="Done",G127&lt;&gt;"")),"",E127+ROW()/10000000)</f>
        <v/>
      </c>
    </row>
    <row r="128">
      <c r="A128" s="1" t="n"/>
      <c r="B128" s="24" t="n"/>
      <c r="C128" s="25" t="n"/>
      <c r="D128" s="25" t="n"/>
      <c r="E128" s="26" t="n"/>
      <c r="F128" s="27" t="n"/>
      <c r="G128" s="28" t="n"/>
      <c r="H128" s="28" t="n"/>
      <c r="I128" s="16">
        <f>IF(OR(G128="",N(H128)=0),"",G128/H128)</f>
        <v/>
      </c>
      <c r="J128" s="20">
        <f>IF(OR(B128="",E128=""),"",IF(OR(F128="Done",G128&lt;&gt;""),"Done",IF(E128&lt;TODAY(),"Late by "&amp;(TODAY()-E128)&amp;IF((TODAY()-E128)=1," day"," days"),IF(E128=TODAY(),"Due today",IF(E128=TODAY()+1,"Due tomorrow","Due in "&amp;(E128-TODAY())&amp;IF((E128-TODAY())=1," day"," days"))))))</f>
        <v/>
      </c>
      <c r="K128" s="25" t="n"/>
      <c r="L128" s="1">
        <f>IF(G128="","",N(H128))</f>
        <v/>
      </c>
      <c r="M128">
        <f>IF(OR(B128="",E128="",OR(F128="Done",G128&lt;&gt;"")),"",E128+ROW()/10000000)</f>
        <v/>
      </c>
    </row>
    <row r="129">
      <c r="A129" s="1" t="n"/>
      <c r="B129" s="24" t="n"/>
      <c r="C129" s="25" t="n"/>
      <c r="D129" s="25" t="n"/>
      <c r="E129" s="26" t="n"/>
      <c r="F129" s="27" t="n"/>
      <c r="G129" s="28" t="n"/>
      <c r="H129" s="28" t="n"/>
      <c r="I129" s="16">
        <f>IF(OR(G129="",N(H129)=0),"",G129/H129)</f>
        <v/>
      </c>
      <c r="J129" s="20">
        <f>IF(OR(B129="",E129=""),"",IF(OR(F129="Done",G129&lt;&gt;""),"Done",IF(E129&lt;TODAY(),"Late by "&amp;(TODAY()-E129)&amp;IF((TODAY()-E129)=1," day"," days"),IF(E129=TODAY(),"Due today",IF(E129=TODAY()+1,"Due tomorrow","Due in "&amp;(E129-TODAY())&amp;IF((E129-TODAY())=1," day"," days"))))))</f>
        <v/>
      </c>
      <c r="K129" s="25" t="n"/>
      <c r="L129" s="1">
        <f>IF(G129="","",N(H129))</f>
        <v/>
      </c>
      <c r="M129">
        <f>IF(OR(B129="",E129="",OR(F129="Done",G129&lt;&gt;"")),"",E129+ROW()/10000000)</f>
        <v/>
      </c>
    </row>
    <row r="130">
      <c r="A130" s="1" t="n"/>
      <c r="B130" s="24" t="n"/>
      <c r="C130" s="25" t="n"/>
      <c r="D130" s="25" t="n"/>
      <c r="E130" s="26" t="n"/>
      <c r="F130" s="27" t="n"/>
      <c r="G130" s="28" t="n"/>
      <c r="H130" s="28" t="n"/>
      <c r="I130" s="16">
        <f>IF(OR(G130="",N(H130)=0),"",G130/H130)</f>
        <v/>
      </c>
      <c r="J130" s="20">
        <f>IF(OR(B130="",E130=""),"",IF(OR(F130="Done",G130&lt;&gt;""),"Done",IF(E130&lt;TODAY(),"Late by "&amp;(TODAY()-E130)&amp;IF((TODAY()-E130)=1," day"," days"),IF(E130=TODAY(),"Due today",IF(E130=TODAY()+1,"Due tomorrow","Due in "&amp;(E130-TODAY())&amp;IF((E130-TODAY())=1," day"," days"))))))</f>
        <v/>
      </c>
      <c r="K130" s="25" t="n"/>
      <c r="L130" s="1">
        <f>IF(G130="","",N(H130))</f>
        <v/>
      </c>
      <c r="M130">
        <f>IF(OR(B130="",E130="",OR(F130="Done",G130&lt;&gt;"")),"",E130+ROW()/10000000)</f>
        <v/>
      </c>
    </row>
    <row r="131">
      <c r="A131" s="1" t="n"/>
      <c r="B131" s="24" t="n"/>
      <c r="C131" s="25" t="n"/>
      <c r="D131" s="25" t="n"/>
      <c r="E131" s="26" t="n"/>
      <c r="F131" s="27" t="n"/>
      <c r="G131" s="28" t="n"/>
      <c r="H131" s="28" t="n"/>
      <c r="I131" s="16">
        <f>IF(OR(G131="",N(H131)=0),"",G131/H131)</f>
        <v/>
      </c>
      <c r="J131" s="20">
        <f>IF(OR(B131="",E131=""),"",IF(OR(F131="Done",G131&lt;&gt;""),"Done",IF(E131&lt;TODAY(),"Late by "&amp;(TODAY()-E131)&amp;IF((TODAY()-E131)=1," day"," days"),IF(E131=TODAY(),"Due today",IF(E131=TODAY()+1,"Due tomorrow","Due in "&amp;(E131-TODAY())&amp;IF((E131-TODAY())=1," day"," days"))))))</f>
        <v/>
      </c>
      <c r="K131" s="25" t="n"/>
      <c r="L131" s="1">
        <f>IF(G131="","",N(H131))</f>
        <v/>
      </c>
      <c r="M131">
        <f>IF(OR(B131="",E131="",OR(F131="Done",G131&lt;&gt;"")),"",E131+ROW()/10000000)</f>
        <v/>
      </c>
    </row>
    <row r="132">
      <c r="A132" s="1" t="n"/>
      <c r="B132" s="24" t="n"/>
      <c r="C132" s="25" t="n"/>
      <c r="D132" s="25" t="n"/>
      <c r="E132" s="26" t="n"/>
      <c r="F132" s="27" t="n"/>
      <c r="G132" s="28" t="n"/>
      <c r="H132" s="28" t="n"/>
      <c r="I132" s="16">
        <f>IF(OR(G132="",N(H132)=0),"",G132/H132)</f>
        <v/>
      </c>
      <c r="J132" s="20">
        <f>IF(OR(B132="",E132=""),"",IF(OR(F132="Done",G132&lt;&gt;""),"Done",IF(E132&lt;TODAY(),"Late by "&amp;(TODAY()-E132)&amp;IF((TODAY()-E132)=1," day"," days"),IF(E132=TODAY(),"Due today",IF(E132=TODAY()+1,"Due tomorrow","Due in "&amp;(E132-TODAY())&amp;IF((E132-TODAY())=1," day"," days"))))))</f>
        <v/>
      </c>
      <c r="K132" s="25" t="n"/>
      <c r="L132" s="1">
        <f>IF(G132="","",N(H132))</f>
        <v/>
      </c>
      <c r="M132">
        <f>IF(OR(B132="",E132="",OR(F132="Done",G132&lt;&gt;"")),"",E132+ROW()/10000000)</f>
        <v/>
      </c>
    </row>
    <row r="133">
      <c r="A133" s="1" t="n"/>
      <c r="B133" s="24" t="n"/>
      <c r="C133" s="25" t="n"/>
      <c r="D133" s="25" t="n"/>
      <c r="E133" s="26" t="n"/>
      <c r="F133" s="27" t="n"/>
      <c r="G133" s="28" t="n"/>
      <c r="H133" s="28" t="n"/>
      <c r="I133" s="16">
        <f>IF(OR(G133="",N(H133)=0),"",G133/H133)</f>
        <v/>
      </c>
      <c r="J133" s="20">
        <f>IF(OR(B133="",E133=""),"",IF(OR(F133="Done",G133&lt;&gt;""),"Done",IF(E133&lt;TODAY(),"Late by "&amp;(TODAY()-E133)&amp;IF((TODAY()-E133)=1," day"," days"),IF(E133=TODAY(),"Due today",IF(E133=TODAY()+1,"Due tomorrow","Due in "&amp;(E133-TODAY())&amp;IF((E133-TODAY())=1," day"," days"))))))</f>
        <v/>
      </c>
      <c r="K133" s="25" t="n"/>
      <c r="L133" s="1">
        <f>IF(G133="","",N(H133))</f>
        <v/>
      </c>
      <c r="M133">
        <f>IF(OR(B133="",E133="",OR(F133="Done",G133&lt;&gt;"")),"",E133+ROW()/10000000)</f>
        <v/>
      </c>
    </row>
    <row r="134">
      <c r="A134" s="1" t="n"/>
      <c r="B134" s="24" t="n"/>
      <c r="C134" s="25" t="n"/>
      <c r="D134" s="25" t="n"/>
      <c r="E134" s="26" t="n"/>
      <c r="F134" s="27" t="n"/>
      <c r="G134" s="28" t="n"/>
      <c r="H134" s="28" t="n"/>
      <c r="I134" s="16">
        <f>IF(OR(G134="",N(H134)=0),"",G134/H134)</f>
        <v/>
      </c>
      <c r="J134" s="20">
        <f>IF(OR(B134="",E134=""),"",IF(OR(F134="Done",G134&lt;&gt;""),"Done",IF(E134&lt;TODAY(),"Late by "&amp;(TODAY()-E134)&amp;IF((TODAY()-E134)=1," day"," days"),IF(E134=TODAY(),"Due today",IF(E134=TODAY()+1,"Due tomorrow","Due in "&amp;(E134-TODAY())&amp;IF((E134-TODAY())=1," day"," days"))))))</f>
        <v/>
      </c>
      <c r="K134" s="25" t="n"/>
      <c r="L134" s="1">
        <f>IF(G134="","",N(H134))</f>
        <v/>
      </c>
      <c r="M134">
        <f>IF(OR(B134="",E134="",OR(F134="Done",G134&lt;&gt;"")),"",E134+ROW()/10000000)</f>
        <v/>
      </c>
    </row>
    <row r="135">
      <c r="A135" s="1" t="n"/>
      <c r="B135" s="24" t="n"/>
      <c r="C135" s="25" t="n"/>
      <c r="D135" s="25" t="n"/>
      <c r="E135" s="26" t="n"/>
      <c r="F135" s="27" t="n"/>
      <c r="G135" s="28" t="n"/>
      <c r="H135" s="28" t="n"/>
      <c r="I135" s="16">
        <f>IF(OR(G135="",N(H135)=0),"",G135/H135)</f>
        <v/>
      </c>
      <c r="J135" s="20">
        <f>IF(OR(B135="",E135=""),"",IF(OR(F135="Done",G135&lt;&gt;""),"Done",IF(E135&lt;TODAY(),"Late by "&amp;(TODAY()-E135)&amp;IF((TODAY()-E135)=1," day"," days"),IF(E135=TODAY(),"Due today",IF(E135=TODAY()+1,"Due tomorrow","Due in "&amp;(E135-TODAY())&amp;IF((E135-TODAY())=1," day"," days"))))))</f>
        <v/>
      </c>
      <c r="K135" s="25" t="n"/>
      <c r="L135" s="1">
        <f>IF(G135="","",N(H135))</f>
        <v/>
      </c>
      <c r="M135">
        <f>IF(OR(B135="",E135="",OR(F135="Done",G135&lt;&gt;"")),"",E135+ROW()/10000000)</f>
        <v/>
      </c>
    </row>
    <row r="136">
      <c r="A136" s="1" t="n"/>
      <c r="B136" s="24" t="n"/>
      <c r="C136" s="25" t="n"/>
      <c r="D136" s="25" t="n"/>
      <c r="E136" s="26" t="n"/>
      <c r="F136" s="27" t="n"/>
      <c r="G136" s="28" t="n"/>
      <c r="H136" s="28" t="n"/>
      <c r="I136" s="16">
        <f>IF(OR(G136="",N(H136)=0),"",G136/H136)</f>
        <v/>
      </c>
      <c r="J136" s="20">
        <f>IF(OR(B136="",E136=""),"",IF(OR(F136="Done",G136&lt;&gt;""),"Done",IF(E136&lt;TODAY(),"Late by "&amp;(TODAY()-E136)&amp;IF((TODAY()-E136)=1," day"," days"),IF(E136=TODAY(),"Due today",IF(E136=TODAY()+1,"Due tomorrow","Due in "&amp;(E136-TODAY())&amp;IF((E136-TODAY())=1," day"," days"))))))</f>
        <v/>
      </c>
      <c r="K136" s="25" t="n"/>
      <c r="L136" s="1">
        <f>IF(G136="","",N(H136))</f>
        <v/>
      </c>
      <c r="M136">
        <f>IF(OR(B136="",E136="",OR(F136="Done",G136&lt;&gt;"")),"",E136+ROW()/10000000)</f>
        <v/>
      </c>
    </row>
    <row r="137">
      <c r="A137" s="1" t="n"/>
      <c r="B137" s="24" t="n"/>
      <c r="C137" s="25" t="n"/>
      <c r="D137" s="25" t="n"/>
      <c r="E137" s="26" t="n"/>
      <c r="F137" s="27" t="n"/>
      <c r="G137" s="28" t="n"/>
      <c r="H137" s="28" t="n"/>
      <c r="I137" s="16">
        <f>IF(OR(G137="",N(H137)=0),"",G137/H137)</f>
        <v/>
      </c>
      <c r="J137" s="20">
        <f>IF(OR(B137="",E137=""),"",IF(OR(F137="Done",G137&lt;&gt;""),"Done",IF(E137&lt;TODAY(),"Late by "&amp;(TODAY()-E137)&amp;IF((TODAY()-E137)=1," day"," days"),IF(E137=TODAY(),"Due today",IF(E137=TODAY()+1,"Due tomorrow","Due in "&amp;(E137-TODAY())&amp;IF((E137-TODAY())=1," day"," days"))))))</f>
        <v/>
      </c>
      <c r="K137" s="25" t="n"/>
      <c r="L137" s="1">
        <f>IF(G137="","",N(H137))</f>
        <v/>
      </c>
      <c r="M137">
        <f>IF(OR(B137="",E137="",OR(F137="Done",G137&lt;&gt;"")),"",E137+ROW()/10000000)</f>
        <v/>
      </c>
    </row>
    <row r="138">
      <c r="A138" s="1" t="n"/>
      <c r="B138" s="24" t="n"/>
      <c r="C138" s="25" t="n"/>
      <c r="D138" s="25" t="n"/>
      <c r="E138" s="26" t="n"/>
      <c r="F138" s="27" t="n"/>
      <c r="G138" s="28" t="n"/>
      <c r="H138" s="28" t="n"/>
      <c r="I138" s="16">
        <f>IF(OR(G138="",N(H138)=0),"",G138/H138)</f>
        <v/>
      </c>
      <c r="J138" s="20">
        <f>IF(OR(B138="",E138=""),"",IF(OR(F138="Done",G138&lt;&gt;""),"Done",IF(E138&lt;TODAY(),"Late by "&amp;(TODAY()-E138)&amp;IF((TODAY()-E138)=1," day"," days"),IF(E138=TODAY(),"Due today",IF(E138=TODAY()+1,"Due tomorrow","Due in "&amp;(E138-TODAY())&amp;IF((E138-TODAY())=1," day"," days"))))))</f>
        <v/>
      </c>
      <c r="K138" s="25" t="n"/>
      <c r="L138" s="1">
        <f>IF(G138="","",N(H138))</f>
        <v/>
      </c>
      <c r="M138">
        <f>IF(OR(B138="",E138="",OR(F138="Done",G138&lt;&gt;"")),"",E138+ROW()/10000000)</f>
        <v/>
      </c>
    </row>
    <row r="139">
      <c r="A139" s="1" t="n"/>
      <c r="B139" s="24" t="n"/>
      <c r="C139" s="25" t="n"/>
      <c r="D139" s="25" t="n"/>
      <c r="E139" s="26" t="n"/>
      <c r="F139" s="27" t="n"/>
      <c r="G139" s="28" t="n"/>
      <c r="H139" s="28" t="n"/>
      <c r="I139" s="16">
        <f>IF(OR(G139="",N(H139)=0),"",G139/H139)</f>
        <v/>
      </c>
      <c r="J139" s="20">
        <f>IF(OR(B139="",E139=""),"",IF(OR(F139="Done",G139&lt;&gt;""),"Done",IF(E139&lt;TODAY(),"Late by "&amp;(TODAY()-E139)&amp;IF((TODAY()-E139)=1," day"," days"),IF(E139=TODAY(),"Due today",IF(E139=TODAY()+1,"Due tomorrow","Due in "&amp;(E139-TODAY())&amp;IF((E139-TODAY())=1," day"," days"))))))</f>
        <v/>
      </c>
      <c r="K139" s="25" t="n"/>
      <c r="L139" s="1">
        <f>IF(G139="","",N(H139))</f>
        <v/>
      </c>
      <c r="M139">
        <f>IF(OR(B139="",E139="",OR(F139="Done",G139&lt;&gt;"")),"",E139+ROW()/10000000)</f>
        <v/>
      </c>
    </row>
    <row r="140">
      <c r="A140" s="1" t="n"/>
      <c r="B140" s="24" t="n"/>
      <c r="C140" s="25" t="n"/>
      <c r="D140" s="25" t="n"/>
      <c r="E140" s="26" t="n"/>
      <c r="F140" s="27" t="n"/>
      <c r="G140" s="28" t="n"/>
      <c r="H140" s="28" t="n"/>
      <c r="I140" s="16">
        <f>IF(OR(G140="",N(H140)=0),"",G140/H140)</f>
        <v/>
      </c>
      <c r="J140" s="20">
        <f>IF(OR(B140="",E140=""),"",IF(OR(F140="Done",G140&lt;&gt;""),"Done",IF(E140&lt;TODAY(),"Late by "&amp;(TODAY()-E140)&amp;IF((TODAY()-E140)=1," day"," days"),IF(E140=TODAY(),"Due today",IF(E140=TODAY()+1,"Due tomorrow","Due in "&amp;(E140-TODAY())&amp;IF((E140-TODAY())=1," day"," days"))))))</f>
        <v/>
      </c>
      <c r="K140" s="25" t="n"/>
      <c r="L140" s="1">
        <f>IF(G140="","",N(H140))</f>
        <v/>
      </c>
      <c r="M140">
        <f>IF(OR(B140="",E140="",OR(F140="Done",G140&lt;&gt;"")),"",E140+ROW()/10000000)</f>
        <v/>
      </c>
    </row>
    <row r="141">
      <c r="A141" s="1" t="n"/>
      <c r="B141" s="24" t="n"/>
      <c r="C141" s="25" t="n"/>
      <c r="D141" s="25" t="n"/>
      <c r="E141" s="26" t="n"/>
      <c r="F141" s="27" t="n"/>
      <c r="G141" s="28" t="n"/>
      <c r="H141" s="28" t="n"/>
      <c r="I141" s="16">
        <f>IF(OR(G141="",N(H141)=0),"",G141/H141)</f>
        <v/>
      </c>
      <c r="J141" s="20">
        <f>IF(OR(B141="",E141=""),"",IF(OR(F141="Done",G141&lt;&gt;""),"Done",IF(E141&lt;TODAY(),"Late by "&amp;(TODAY()-E141)&amp;IF((TODAY()-E141)=1," day"," days"),IF(E141=TODAY(),"Due today",IF(E141=TODAY()+1,"Due tomorrow","Due in "&amp;(E141-TODAY())&amp;IF((E141-TODAY())=1," day"," days"))))))</f>
        <v/>
      </c>
      <c r="K141" s="25" t="n"/>
      <c r="L141" s="1">
        <f>IF(G141="","",N(H141))</f>
        <v/>
      </c>
      <c r="M141">
        <f>IF(OR(B141="",E141="",OR(F141="Done",G141&lt;&gt;"")),"",E141+ROW()/10000000)</f>
        <v/>
      </c>
    </row>
    <row r="142">
      <c r="A142" s="1" t="n"/>
      <c r="B142" s="24" t="n"/>
      <c r="C142" s="25" t="n"/>
      <c r="D142" s="25" t="n"/>
      <c r="E142" s="26" t="n"/>
      <c r="F142" s="27" t="n"/>
      <c r="G142" s="28" t="n"/>
      <c r="H142" s="28" t="n"/>
      <c r="I142" s="16">
        <f>IF(OR(G142="",N(H142)=0),"",G142/H142)</f>
        <v/>
      </c>
      <c r="J142" s="20">
        <f>IF(OR(B142="",E142=""),"",IF(OR(F142="Done",G142&lt;&gt;""),"Done",IF(E142&lt;TODAY(),"Late by "&amp;(TODAY()-E142)&amp;IF((TODAY()-E142)=1," day"," days"),IF(E142=TODAY(),"Due today",IF(E142=TODAY()+1,"Due tomorrow","Due in "&amp;(E142-TODAY())&amp;IF((E142-TODAY())=1," day"," days"))))))</f>
        <v/>
      </c>
      <c r="K142" s="25" t="n"/>
      <c r="L142" s="1">
        <f>IF(G142="","",N(H142))</f>
        <v/>
      </c>
      <c r="M142">
        <f>IF(OR(B142="",E142="",OR(F142="Done",G142&lt;&gt;"")),"",E142+ROW()/10000000)</f>
        <v/>
      </c>
    </row>
    <row r="143">
      <c r="A143" s="1" t="n"/>
      <c r="B143" s="24" t="n"/>
      <c r="C143" s="25" t="n"/>
      <c r="D143" s="25" t="n"/>
      <c r="E143" s="26" t="n"/>
      <c r="F143" s="27" t="n"/>
      <c r="G143" s="28" t="n"/>
      <c r="H143" s="28" t="n"/>
      <c r="I143" s="16">
        <f>IF(OR(G143="",N(H143)=0),"",G143/H143)</f>
        <v/>
      </c>
      <c r="J143" s="20">
        <f>IF(OR(B143="",E143=""),"",IF(OR(F143="Done",G143&lt;&gt;""),"Done",IF(E143&lt;TODAY(),"Late by "&amp;(TODAY()-E143)&amp;IF((TODAY()-E143)=1," day"," days"),IF(E143=TODAY(),"Due today",IF(E143=TODAY()+1,"Due tomorrow","Due in "&amp;(E143-TODAY())&amp;IF((E143-TODAY())=1," day"," days"))))))</f>
        <v/>
      </c>
      <c r="K143" s="25" t="n"/>
      <c r="L143" s="1">
        <f>IF(G143="","",N(H143))</f>
        <v/>
      </c>
      <c r="M143">
        <f>IF(OR(B143="",E143="",OR(F143="Done",G143&lt;&gt;"")),"",E143+ROW()/10000000)</f>
        <v/>
      </c>
    </row>
    <row r="144">
      <c r="A144" s="1" t="n"/>
      <c r="B144" s="24" t="n"/>
      <c r="C144" s="25" t="n"/>
      <c r="D144" s="25" t="n"/>
      <c r="E144" s="26" t="n"/>
      <c r="F144" s="27" t="n"/>
      <c r="G144" s="28" t="n"/>
      <c r="H144" s="28" t="n"/>
      <c r="I144" s="16">
        <f>IF(OR(G144="",N(H144)=0),"",G144/H144)</f>
        <v/>
      </c>
      <c r="J144" s="20">
        <f>IF(OR(B144="",E144=""),"",IF(OR(F144="Done",G144&lt;&gt;""),"Done",IF(E144&lt;TODAY(),"Late by "&amp;(TODAY()-E144)&amp;IF((TODAY()-E144)=1," day"," days"),IF(E144=TODAY(),"Due today",IF(E144=TODAY()+1,"Due tomorrow","Due in "&amp;(E144-TODAY())&amp;IF((E144-TODAY())=1," day"," days"))))))</f>
        <v/>
      </c>
      <c r="K144" s="25" t="n"/>
      <c r="L144" s="1">
        <f>IF(G144="","",N(H144))</f>
        <v/>
      </c>
      <c r="M144">
        <f>IF(OR(B144="",E144="",OR(F144="Done",G144&lt;&gt;"")),"",E144+ROW()/10000000)</f>
        <v/>
      </c>
    </row>
    <row r="145">
      <c r="A145" s="1" t="n"/>
      <c r="B145" s="24" t="n"/>
      <c r="C145" s="25" t="n"/>
      <c r="D145" s="25" t="n"/>
      <c r="E145" s="26" t="n"/>
      <c r="F145" s="27" t="n"/>
      <c r="G145" s="28" t="n"/>
      <c r="H145" s="28" t="n"/>
      <c r="I145" s="16">
        <f>IF(OR(G145="",N(H145)=0),"",G145/H145)</f>
        <v/>
      </c>
      <c r="J145" s="20">
        <f>IF(OR(B145="",E145=""),"",IF(OR(F145="Done",G145&lt;&gt;""),"Done",IF(E145&lt;TODAY(),"Late by "&amp;(TODAY()-E145)&amp;IF((TODAY()-E145)=1," day"," days"),IF(E145=TODAY(),"Due today",IF(E145=TODAY()+1,"Due tomorrow","Due in "&amp;(E145-TODAY())&amp;IF((E145-TODAY())=1," day"," days"))))))</f>
        <v/>
      </c>
      <c r="K145" s="25" t="n"/>
      <c r="L145" s="1">
        <f>IF(G145="","",N(H145))</f>
        <v/>
      </c>
      <c r="M145">
        <f>IF(OR(B145="",E145="",OR(F145="Done",G145&lt;&gt;"")),"",E145+ROW()/10000000)</f>
        <v/>
      </c>
    </row>
    <row r="146">
      <c r="A146" s="1" t="n"/>
      <c r="B146" s="24" t="n"/>
      <c r="C146" s="25" t="n"/>
      <c r="D146" s="25" t="n"/>
      <c r="E146" s="26" t="n"/>
      <c r="F146" s="27" t="n"/>
      <c r="G146" s="28" t="n"/>
      <c r="H146" s="28" t="n"/>
      <c r="I146" s="16">
        <f>IF(OR(G146="",N(H146)=0),"",G146/H146)</f>
        <v/>
      </c>
      <c r="J146" s="20">
        <f>IF(OR(B146="",E146=""),"",IF(OR(F146="Done",G146&lt;&gt;""),"Done",IF(E146&lt;TODAY(),"Late by "&amp;(TODAY()-E146)&amp;IF((TODAY()-E146)=1," day"," days"),IF(E146=TODAY(),"Due today",IF(E146=TODAY()+1,"Due tomorrow","Due in "&amp;(E146-TODAY())&amp;IF((E146-TODAY())=1," day"," days"))))))</f>
        <v/>
      </c>
      <c r="K146" s="25" t="n"/>
      <c r="L146" s="1">
        <f>IF(G146="","",N(H146))</f>
        <v/>
      </c>
      <c r="M146">
        <f>IF(OR(B146="",E146="",OR(F146="Done",G146&lt;&gt;"")),"",E146+ROW()/10000000)</f>
        <v/>
      </c>
    </row>
    <row r="147">
      <c r="A147" s="1" t="n"/>
      <c r="B147" s="24" t="n"/>
      <c r="C147" s="25" t="n"/>
      <c r="D147" s="25" t="n"/>
      <c r="E147" s="26" t="n"/>
      <c r="F147" s="27" t="n"/>
      <c r="G147" s="28" t="n"/>
      <c r="H147" s="28" t="n"/>
      <c r="I147" s="16">
        <f>IF(OR(G147="",N(H147)=0),"",G147/H147)</f>
        <v/>
      </c>
      <c r="J147" s="20">
        <f>IF(OR(B147="",E147=""),"",IF(OR(F147="Done",G147&lt;&gt;""),"Done",IF(E147&lt;TODAY(),"Late by "&amp;(TODAY()-E147)&amp;IF((TODAY()-E147)=1," day"," days"),IF(E147=TODAY(),"Due today",IF(E147=TODAY()+1,"Due tomorrow","Due in "&amp;(E147-TODAY())&amp;IF((E147-TODAY())=1," day"," days"))))))</f>
        <v/>
      </c>
      <c r="K147" s="25" t="n"/>
      <c r="L147" s="1">
        <f>IF(G147="","",N(H147))</f>
        <v/>
      </c>
      <c r="M147">
        <f>IF(OR(B147="",E147="",OR(F147="Done",G147&lt;&gt;"")),"",E147+ROW()/10000000)</f>
        <v/>
      </c>
    </row>
    <row r="148">
      <c r="A148" s="1" t="n"/>
      <c r="B148" s="24" t="n"/>
      <c r="C148" s="25" t="n"/>
      <c r="D148" s="25" t="n"/>
      <c r="E148" s="26" t="n"/>
      <c r="F148" s="27" t="n"/>
      <c r="G148" s="28" t="n"/>
      <c r="H148" s="28" t="n"/>
      <c r="I148" s="16">
        <f>IF(OR(G148="",N(H148)=0),"",G148/H148)</f>
        <v/>
      </c>
      <c r="J148" s="20">
        <f>IF(OR(B148="",E148=""),"",IF(OR(F148="Done",G148&lt;&gt;""),"Done",IF(E148&lt;TODAY(),"Late by "&amp;(TODAY()-E148)&amp;IF((TODAY()-E148)=1," day"," days"),IF(E148=TODAY(),"Due today",IF(E148=TODAY()+1,"Due tomorrow","Due in "&amp;(E148-TODAY())&amp;IF((E148-TODAY())=1," day"," days"))))))</f>
        <v/>
      </c>
      <c r="K148" s="25" t="n"/>
      <c r="L148" s="1">
        <f>IF(G148="","",N(H148))</f>
        <v/>
      </c>
      <c r="M148">
        <f>IF(OR(B148="",E148="",OR(F148="Done",G148&lt;&gt;"")),"",E148+ROW()/10000000)</f>
        <v/>
      </c>
    </row>
    <row r="149">
      <c r="A149" s="1" t="n"/>
      <c r="B149" s="24" t="n"/>
      <c r="C149" s="25" t="n"/>
      <c r="D149" s="25" t="n"/>
      <c r="E149" s="26" t="n"/>
      <c r="F149" s="27" t="n"/>
      <c r="G149" s="28" t="n"/>
      <c r="H149" s="28" t="n"/>
      <c r="I149" s="16">
        <f>IF(OR(G149="",N(H149)=0),"",G149/H149)</f>
        <v/>
      </c>
      <c r="J149" s="20">
        <f>IF(OR(B149="",E149=""),"",IF(OR(F149="Done",G149&lt;&gt;""),"Done",IF(E149&lt;TODAY(),"Late by "&amp;(TODAY()-E149)&amp;IF((TODAY()-E149)=1," day"," days"),IF(E149=TODAY(),"Due today",IF(E149=TODAY()+1,"Due tomorrow","Due in "&amp;(E149-TODAY())&amp;IF((E149-TODAY())=1," day"," days"))))))</f>
        <v/>
      </c>
      <c r="K149" s="25" t="n"/>
      <c r="L149" s="1">
        <f>IF(G149="","",N(H149))</f>
        <v/>
      </c>
      <c r="M149">
        <f>IF(OR(B149="",E149="",OR(F149="Done",G149&lt;&gt;"")),"",E149+ROW()/10000000)</f>
        <v/>
      </c>
    </row>
    <row r="150">
      <c r="A150" s="1" t="n"/>
      <c r="B150" s="24" t="n"/>
      <c r="C150" s="25" t="n"/>
      <c r="D150" s="25" t="n"/>
      <c r="E150" s="26" t="n"/>
      <c r="F150" s="27" t="n"/>
      <c r="G150" s="28" t="n"/>
      <c r="H150" s="28" t="n"/>
      <c r="I150" s="16">
        <f>IF(OR(G150="",N(H150)=0),"",G150/H150)</f>
        <v/>
      </c>
      <c r="J150" s="20">
        <f>IF(OR(B150="",E150=""),"",IF(OR(F150="Done",G150&lt;&gt;""),"Done",IF(E150&lt;TODAY(),"Late by "&amp;(TODAY()-E150)&amp;IF((TODAY()-E150)=1," day"," days"),IF(E150=TODAY(),"Due today",IF(E150=TODAY()+1,"Due tomorrow","Due in "&amp;(E150-TODAY())&amp;IF((E150-TODAY())=1," day"," days"))))))</f>
        <v/>
      </c>
      <c r="K150" s="25" t="n"/>
      <c r="L150" s="1">
        <f>IF(G150="","",N(H150))</f>
        <v/>
      </c>
      <c r="M150">
        <f>IF(OR(B150="",E150="",OR(F150="Done",G150&lt;&gt;"")),"",E150+ROW()/10000000)</f>
        <v/>
      </c>
    </row>
    <row r="151">
      <c r="A151" s="1" t="n"/>
      <c r="B151" s="24" t="n"/>
      <c r="C151" s="25" t="n"/>
      <c r="D151" s="25" t="n"/>
      <c r="E151" s="26" t="n"/>
      <c r="F151" s="27" t="n"/>
      <c r="G151" s="28" t="n"/>
      <c r="H151" s="28" t="n"/>
      <c r="I151" s="16">
        <f>IF(OR(G151="",N(H151)=0),"",G151/H151)</f>
        <v/>
      </c>
      <c r="J151" s="20">
        <f>IF(OR(B151="",E151=""),"",IF(OR(F151="Done",G151&lt;&gt;""),"Done",IF(E151&lt;TODAY(),"Late by "&amp;(TODAY()-E151)&amp;IF((TODAY()-E151)=1," day"," days"),IF(E151=TODAY(),"Due today",IF(E151=TODAY()+1,"Due tomorrow","Due in "&amp;(E151-TODAY())&amp;IF((E151-TODAY())=1," day"," days"))))))</f>
        <v/>
      </c>
      <c r="K151" s="25" t="n"/>
      <c r="L151" s="1">
        <f>IF(G151="","",N(H151))</f>
        <v/>
      </c>
      <c r="M151">
        <f>IF(OR(B151="",E151="",OR(F151="Done",G151&lt;&gt;"")),"",E151+ROW()/10000000)</f>
        <v/>
      </c>
    </row>
    <row r="152">
      <c r="A152" s="1" t="n"/>
      <c r="B152" s="24" t="n"/>
      <c r="C152" s="25" t="n"/>
      <c r="D152" s="25" t="n"/>
      <c r="E152" s="26" t="n"/>
      <c r="F152" s="27" t="n"/>
      <c r="G152" s="28" t="n"/>
      <c r="H152" s="28" t="n"/>
      <c r="I152" s="16">
        <f>IF(OR(G152="",N(H152)=0),"",G152/H152)</f>
        <v/>
      </c>
      <c r="J152" s="20">
        <f>IF(OR(B152="",E152=""),"",IF(OR(F152="Done",G152&lt;&gt;""),"Done",IF(E152&lt;TODAY(),"Late by "&amp;(TODAY()-E152)&amp;IF((TODAY()-E152)=1," day"," days"),IF(E152=TODAY(),"Due today",IF(E152=TODAY()+1,"Due tomorrow","Due in "&amp;(E152-TODAY())&amp;IF((E152-TODAY())=1," day"," days"))))))</f>
        <v/>
      </c>
      <c r="K152" s="25" t="n"/>
      <c r="L152" s="1">
        <f>IF(G152="","",N(H152))</f>
        <v/>
      </c>
      <c r="M152">
        <f>IF(OR(B152="",E152="",OR(F152="Done",G152&lt;&gt;"")),"",E152+ROW()/10000000)</f>
        <v/>
      </c>
    </row>
    <row r="153">
      <c r="A153" s="1" t="n"/>
      <c r="B153" s="24" t="n"/>
      <c r="C153" s="25" t="n"/>
      <c r="D153" s="25" t="n"/>
      <c r="E153" s="26" t="n"/>
      <c r="F153" s="27" t="n"/>
      <c r="G153" s="28" t="n"/>
      <c r="H153" s="28" t="n"/>
      <c r="I153" s="16">
        <f>IF(OR(G153="",N(H153)=0),"",G153/H153)</f>
        <v/>
      </c>
      <c r="J153" s="20">
        <f>IF(OR(B153="",E153=""),"",IF(OR(F153="Done",G153&lt;&gt;""),"Done",IF(E153&lt;TODAY(),"Late by "&amp;(TODAY()-E153)&amp;IF((TODAY()-E153)=1," day"," days"),IF(E153=TODAY(),"Due today",IF(E153=TODAY()+1,"Due tomorrow","Due in "&amp;(E153-TODAY())&amp;IF((E153-TODAY())=1," day"," days"))))))</f>
        <v/>
      </c>
      <c r="K153" s="25" t="n"/>
      <c r="L153" s="1">
        <f>IF(G153="","",N(H153))</f>
        <v/>
      </c>
      <c r="M153">
        <f>IF(OR(B153="",E153="",OR(F153="Done",G153&lt;&gt;"")),"",E153+ROW()/10000000)</f>
        <v/>
      </c>
    </row>
    <row r="154">
      <c r="A154" s="1" t="n"/>
      <c r="B154" s="24" t="n"/>
      <c r="C154" s="25" t="n"/>
      <c r="D154" s="25" t="n"/>
      <c r="E154" s="26" t="n"/>
      <c r="F154" s="27" t="n"/>
      <c r="G154" s="28" t="n"/>
      <c r="H154" s="28" t="n"/>
      <c r="I154" s="16">
        <f>IF(OR(G154="",N(H154)=0),"",G154/H154)</f>
        <v/>
      </c>
      <c r="J154" s="20">
        <f>IF(OR(B154="",E154=""),"",IF(OR(F154="Done",G154&lt;&gt;""),"Done",IF(E154&lt;TODAY(),"Late by "&amp;(TODAY()-E154)&amp;IF((TODAY()-E154)=1," day"," days"),IF(E154=TODAY(),"Due today",IF(E154=TODAY()+1,"Due tomorrow","Due in "&amp;(E154-TODAY())&amp;IF((E154-TODAY())=1," day"," days"))))))</f>
        <v/>
      </c>
      <c r="K154" s="25" t="n"/>
      <c r="L154" s="1">
        <f>IF(G154="","",N(H154))</f>
        <v/>
      </c>
      <c r="M154">
        <f>IF(OR(B154="",E154="",OR(F154="Done",G154&lt;&gt;"")),"",E154+ROW()/10000000)</f>
        <v/>
      </c>
    </row>
    <row r="155">
      <c r="A155" s="1" t="n"/>
      <c r="B155" s="24" t="n"/>
      <c r="C155" s="25" t="n"/>
      <c r="D155" s="25" t="n"/>
      <c r="E155" s="26" t="n"/>
      <c r="F155" s="27" t="n"/>
      <c r="G155" s="28" t="n"/>
      <c r="H155" s="28" t="n"/>
      <c r="I155" s="16">
        <f>IF(OR(G155="",N(H155)=0),"",G155/H155)</f>
        <v/>
      </c>
      <c r="J155" s="20">
        <f>IF(OR(B155="",E155=""),"",IF(OR(F155="Done",G155&lt;&gt;""),"Done",IF(E155&lt;TODAY(),"Late by "&amp;(TODAY()-E155)&amp;IF((TODAY()-E155)=1," day"," days"),IF(E155=TODAY(),"Due today",IF(E155=TODAY()+1,"Due tomorrow","Due in "&amp;(E155-TODAY())&amp;IF((E155-TODAY())=1," day"," days"))))))</f>
        <v/>
      </c>
      <c r="K155" s="25" t="n"/>
      <c r="L155" s="1">
        <f>IF(G155="","",N(H155))</f>
        <v/>
      </c>
      <c r="M155">
        <f>IF(OR(B155="",E155="",OR(F155="Done",G155&lt;&gt;"")),"",E155+ROW()/10000000)</f>
        <v/>
      </c>
    </row>
    <row r="156">
      <c r="A156" s="1" t="n"/>
      <c r="B156" s="24" t="n"/>
      <c r="C156" s="25" t="n"/>
      <c r="D156" s="25" t="n"/>
      <c r="E156" s="26" t="n"/>
      <c r="F156" s="27" t="n"/>
      <c r="G156" s="28" t="n"/>
      <c r="H156" s="28" t="n"/>
      <c r="I156" s="16">
        <f>IF(OR(G156="",N(H156)=0),"",G156/H156)</f>
        <v/>
      </c>
      <c r="J156" s="20">
        <f>IF(OR(B156="",E156=""),"",IF(OR(F156="Done",G156&lt;&gt;""),"Done",IF(E156&lt;TODAY(),"Late by "&amp;(TODAY()-E156)&amp;IF((TODAY()-E156)=1," day"," days"),IF(E156=TODAY(),"Due today",IF(E156=TODAY()+1,"Due tomorrow","Due in "&amp;(E156-TODAY())&amp;IF((E156-TODAY())=1," day"," days"))))))</f>
        <v/>
      </c>
      <c r="K156" s="25" t="n"/>
      <c r="L156" s="1">
        <f>IF(G156="","",N(H156))</f>
        <v/>
      </c>
      <c r="M156">
        <f>IF(OR(B156="",E156="",OR(F156="Done",G156&lt;&gt;"")),"",E156+ROW()/10000000)</f>
        <v/>
      </c>
    </row>
    <row r="157">
      <c r="A157" s="1" t="n"/>
      <c r="B157" s="24" t="n"/>
      <c r="C157" s="25" t="n"/>
      <c r="D157" s="25" t="n"/>
      <c r="E157" s="26" t="n"/>
      <c r="F157" s="27" t="n"/>
      <c r="G157" s="28" t="n"/>
      <c r="H157" s="28" t="n"/>
      <c r="I157" s="16">
        <f>IF(OR(G157="",N(H157)=0),"",G157/H157)</f>
        <v/>
      </c>
      <c r="J157" s="20">
        <f>IF(OR(B157="",E157=""),"",IF(OR(F157="Done",G157&lt;&gt;""),"Done",IF(E157&lt;TODAY(),"Late by "&amp;(TODAY()-E157)&amp;IF((TODAY()-E157)=1," day"," days"),IF(E157=TODAY(),"Due today",IF(E157=TODAY()+1,"Due tomorrow","Due in "&amp;(E157-TODAY())&amp;IF((E157-TODAY())=1," day"," days"))))))</f>
        <v/>
      </c>
      <c r="K157" s="25" t="n"/>
      <c r="L157" s="1">
        <f>IF(G157="","",N(H157))</f>
        <v/>
      </c>
      <c r="M157">
        <f>IF(OR(B157="",E157="",OR(F157="Done",G157&lt;&gt;"")),"",E157+ROW()/10000000)</f>
        <v/>
      </c>
    </row>
    <row r="158">
      <c r="A158" s="1" t="n"/>
      <c r="B158" s="24" t="n"/>
      <c r="C158" s="25" t="n"/>
      <c r="D158" s="25" t="n"/>
      <c r="E158" s="26" t="n"/>
      <c r="F158" s="27" t="n"/>
      <c r="G158" s="28" t="n"/>
      <c r="H158" s="28" t="n"/>
      <c r="I158" s="16">
        <f>IF(OR(G158="",N(H158)=0),"",G158/H158)</f>
        <v/>
      </c>
      <c r="J158" s="20">
        <f>IF(OR(B158="",E158=""),"",IF(OR(F158="Done",G158&lt;&gt;""),"Done",IF(E158&lt;TODAY(),"Late by "&amp;(TODAY()-E158)&amp;IF((TODAY()-E158)=1," day"," days"),IF(E158=TODAY(),"Due today",IF(E158=TODAY()+1,"Due tomorrow","Due in "&amp;(E158-TODAY())&amp;IF((E158-TODAY())=1," day"," days"))))))</f>
        <v/>
      </c>
      <c r="K158" s="25" t="n"/>
      <c r="L158" s="1">
        <f>IF(G158="","",N(H158))</f>
        <v/>
      </c>
      <c r="M158">
        <f>IF(OR(B158="",E158="",OR(F158="Done",G158&lt;&gt;"")),"",E158+ROW()/10000000)</f>
        <v/>
      </c>
    </row>
    <row r="159">
      <c r="A159" s="1" t="n"/>
      <c r="B159" s="24" t="n"/>
      <c r="C159" s="25" t="n"/>
      <c r="D159" s="25" t="n"/>
      <c r="E159" s="26" t="n"/>
      <c r="F159" s="27" t="n"/>
      <c r="G159" s="28" t="n"/>
      <c r="H159" s="28" t="n"/>
      <c r="I159" s="16">
        <f>IF(OR(G159="",N(H159)=0),"",G159/H159)</f>
        <v/>
      </c>
      <c r="J159" s="20">
        <f>IF(OR(B159="",E159=""),"",IF(OR(F159="Done",G159&lt;&gt;""),"Done",IF(E159&lt;TODAY(),"Late by "&amp;(TODAY()-E159)&amp;IF((TODAY()-E159)=1," day"," days"),IF(E159=TODAY(),"Due today",IF(E159=TODAY()+1,"Due tomorrow","Due in "&amp;(E159-TODAY())&amp;IF((E159-TODAY())=1," day"," days"))))))</f>
        <v/>
      </c>
      <c r="K159" s="25" t="n"/>
      <c r="L159" s="1">
        <f>IF(G159="","",N(H159))</f>
        <v/>
      </c>
      <c r="M159">
        <f>IF(OR(B159="",E159="",OR(F159="Done",G159&lt;&gt;"")),"",E159+ROW()/10000000)</f>
        <v/>
      </c>
    </row>
    <row r="160">
      <c r="A160" s="1" t="n"/>
      <c r="B160" s="24" t="n"/>
      <c r="C160" s="25" t="n"/>
      <c r="D160" s="25" t="n"/>
      <c r="E160" s="26" t="n"/>
      <c r="F160" s="27" t="n"/>
      <c r="G160" s="28" t="n"/>
      <c r="H160" s="28" t="n"/>
      <c r="I160" s="16">
        <f>IF(OR(G160="",N(H160)=0),"",G160/H160)</f>
        <v/>
      </c>
      <c r="J160" s="20">
        <f>IF(OR(B160="",E160=""),"",IF(OR(F160="Done",G160&lt;&gt;""),"Done",IF(E160&lt;TODAY(),"Late by "&amp;(TODAY()-E160)&amp;IF((TODAY()-E160)=1," day"," days"),IF(E160=TODAY(),"Due today",IF(E160=TODAY()+1,"Due tomorrow","Due in "&amp;(E160-TODAY())&amp;IF((E160-TODAY())=1," day"," days"))))))</f>
        <v/>
      </c>
      <c r="K160" s="25" t="n"/>
      <c r="L160" s="1">
        <f>IF(G160="","",N(H160))</f>
        <v/>
      </c>
      <c r="M160">
        <f>IF(OR(B160="",E160="",OR(F160="Done",G160&lt;&gt;"")),"",E160+ROW()/10000000)</f>
        <v/>
      </c>
    </row>
    <row r="161">
      <c r="A161" s="1" t="n"/>
      <c r="B161" s="24" t="n"/>
      <c r="C161" s="25" t="n"/>
      <c r="D161" s="25" t="n"/>
      <c r="E161" s="26" t="n"/>
      <c r="F161" s="27" t="n"/>
      <c r="G161" s="28" t="n"/>
      <c r="H161" s="28" t="n"/>
      <c r="I161" s="16">
        <f>IF(OR(G161="",N(H161)=0),"",G161/H161)</f>
        <v/>
      </c>
      <c r="J161" s="20">
        <f>IF(OR(B161="",E161=""),"",IF(OR(F161="Done",G161&lt;&gt;""),"Done",IF(E161&lt;TODAY(),"Late by "&amp;(TODAY()-E161)&amp;IF((TODAY()-E161)=1," day"," days"),IF(E161=TODAY(),"Due today",IF(E161=TODAY()+1,"Due tomorrow","Due in "&amp;(E161-TODAY())&amp;IF((E161-TODAY())=1," day"," days"))))))</f>
        <v/>
      </c>
      <c r="K161" s="25" t="n"/>
      <c r="L161" s="1">
        <f>IF(G161="","",N(H161))</f>
        <v/>
      </c>
      <c r="M161">
        <f>IF(OR(B161="",E161="",OR(F161="Done",G161&lt;&gt;"")),"",E161+ROW()/10000000)</f>
        <v/>
      </c>
    </row>
    <row r="162">
      <c r="A162" s="1" t="n"/>
      <c r="B162" s="24" t="n"/>
      <c r="C162" s="25" t="n"/>
      <c r="D162" s="25" t="n"/>
      <c r="E162" s="26" t="n"/>
      <c r="F162" s="27" t="n"/>
      <c r="G162" s="28" t="n"/>
      <c r="H162" s="28" t="n"/>
      <c r="I162" s="16">
        <f>IF(OR(G162="",N(H162)=0),"",G162/H162)</f>
        <v/>
      </c>
      <c r="J162" s="20">
        <f>IF(OR(B162="",E162=""),"",IF(OR(F162="Done",G162&lt;&gt;""),"Done",IF(E162&lt;TODAY(),"Late by "&amp;(TODAY()-E162)&amp;IF((TODAY()-E162)=1," day"," days"),IF(E162=TODAY(),"Due today",IF(E162=TODAY()+1,"Due tomorrow","Due in "&amp;(E162-TODAY())&amp;IF((E162-TODAY())=1," day"," days"))))))</f>
        <v/>
      </c>
      <c r="K162" s="25" t="n"/>
      <c r="L162" s="1">
        <f>IF(G162="","",N(H162))</f>
        <v/>
      </c>
      <c r="M162">
        <f>IF(OR(B162="",E162="",OR(F162="Done",G162&lt;&gt;"")),"",E162+ROW()/10000000)</f>
        <v/>
      </c>
    </row>
    <row r="163">
      <c r="A163" s="1" t="n"/>
      <c r="B163" s="24" t="n"/>
      <c r="C163" s="25" t="n"/>
      <c r="D163" s="25" t="n"/>
      <c r="E163" s="26" t="n"/>
      <c r="F163" s="27" t="n"/>
      <c r="G163" s="28" t="n"/>
      <c r="H163" s="28" t="n"/>
      <c r="I163" s="16">
        <f>IF(OR(G163="",N(H163)=0),"",G163/H163)</f>
        <v/>
      </c>
      <c r="J163" s="20">
        <f>IF(OR(B163="",E163=""),"",IF(OR(F163="Done",G163&lt;&gt;""),"Done",IF(E163&lt;TODAY(),"Late by "&amp;(TODAY()-E163)&amp;IF((TODAY()-E163)=1," day"," days"),IF(E163=TODAY(),"Due today",IF(E163=TODAY()+1,"Due tomorrow","Due in "&amp;(E163-TODAY())&amp;IF((E163-TODAY())=1," day"," days"))))))</f>
        <v/>
      </c>
      <c r="K163" s="25" t="n"/>
      <c r="L163" s="1">
        <f>IF(G163="","",N(H163))</f>
        <v/>
      </c>
      <c r="M163">
        <f>IF(OR(B163="",E163="",OR(F163="Done",G163&lt;&gt;"")),"",E163+ROW()/10000000)</f>
        <v/>
      </c>
    </row>
    <row r="164">
      <c r="A164" s="1" t="n"/>
      <c r="B164" s="24" t="n"/>
      <c r="C164" s="25" t="n"/>
      <c r="D164" s="25" t="n"/>
      <c r="E164" s="26" t="n"/>
      <c r="F164" s="27" t="n"/>
      <c r="G164" s="28" t="n"/>
      <c r="H164" s="28" t="n"/>
      <c r="I164" s="16">
        <f>IF(OR(G164="",N(H164)=0),"",G164/H164)</f>
        <v/>
      </c>
      <c r="J164" s="20">
        <f>IF(OR(B164="",E164=""),"",IF(OR(F164="Done",G164&lt;&gt;""),"Done",IF(E164&lt;TODAY(),"Late by "&amp;(TODAY()-E164)&amp;IF((TODAY()-E164)=1," day"," days"),IF(E164=TODAY(),"Due today",IF(E164=TODAY()+1,"Due tomorrow","Due in "&amp;(E164-TODAY())&amp;IF((E164-TODAY())=1," day"," days"))))))</f>
        <v/>
      </c>
      <c r="K164" s="25" t="n"/>
      <c r="L164" s="1">
        <f>IF(G164="","",N(H164))</f>
        <v/>
      </c>
      <c r="M164">
        <f>IF(OR(B164="",E164="",OR(F164="Done",G164&lt;&gt;"")),"",E164+ROW()/10000000)</f>
        <v/>
      </c>
    </row>
    <row r="165">
      <c r="A165" s="1" t="n"/>
      <c r="B165" s="24" t="n"/>
      <c r="C165" s="25" t="n"/>
      <c r="D165" s="25" t="n"/>
      <c r="E165" s="26" t="n"/>
      <c r="F165" s="27" t="n"/>
      <c r="G165" s="28" t="n"/>
      <c r="H165" s="28" t="n"/>
      <c r="I165" s="16">
        <f>IF(OR(G165="",N(H165)=0),"",G165/H165)</f>
        <v/>
      </c>
      <c r="J165" s="20">
        <f>IF(OR(B165="",E165=""),"",IF(OR(F165="Done",G165&lt;&gt;""),"Done",IF(E165&lt;TODAY(),"Late by "&amp;(TODAY()-E165)&amp;IF((TODAY()-E165)=1," day"," days"),IF(E165=TODAY(),"Due today",IF(E165=TODAY()+1,"Due tomorrow","Due in "&amp;(E165-TODAY())&amp;IF((E165-TODAY())=1," day"," days"))))))</f>
        <v/>
      </c>
      <c r="K165" s="25" t="n"/>
      <c r="L165" s="1">
        <f>IF(G165="","",N(H165))</f>
        <v/>
      </c>
      <c r="M165">
        <f>IF(OR(B165="",E165="",OR(F165="Done",G165&lt;&gt;"")),"",E165+ROW()/10000000)</f>
        <v/>
      </c>
    </row>
    <row r="166">
      <c r="A166" s="1" t="n"/>
      <c r="B166" s="24" t="n"/>
      <c r="C166" s="25" t="n"/>
      <c r="D166" s="25" t="n"/>
      <c r="E166" s="26" t="n"/>
      <c r="F166" s="27" t="n"/>
      <c r="G166" s="28" t="n"/>
      <c r="H166" s="28" t="n"/>
      <c r="I166" s="16">
        <f>IF(OR(G166="",N(H166)=0),"",G166/H166)</f>
        <v/>
      </c>
      <c r="J166" s="20">
        <f>IF(OR(B166="",E166=""),"",IF(OR(F166="Done",G166&lt;&gt;""),"Done",IF(E166&lt;TODAY(),"Late by "&amp;(TODAY()-E166)&amp;IF((TODAY()-E166)=1," day"," days"),IF(E166=TODAY(),"Due today",IF(E166=TODAY()+1,"Due tomorrow","Due in "&amp;(E166-TODAY())&amp;IF((E166-TODAY())=1," day"," days"))))))</f>
        <v/>
      </c>
      <c r="K166" s="25" t="n"/>
      <c r="L166" s="1">
        <f>IF(G166="","",N(H166))</f>
        <v/>
      </c>
      <c r="M166">
        <f>IF(OR(B166="",E166="",OR(F166="Done",G166&lt;&gt;"")),"",E166+ROW()/10000000)</f>
        <v/>
      </c>
    </row>
    <row r="167">
      <c r="A167" s="1" t="n"/>
      <c r="B167" s="24" t="n"/>
      <c r="C167" s="25" t="n"/>
      <c r="D167" s="25" t="n"/>
      <c r="E167" s="26" t="n"/>
      <c r="F167" s="27" t="n"/>
      <c r="G167" s="28" t="n"/>
      <c r="H167" s="28" t="n"/>
      <c r="I167" s="16">
        <f>IF(OR(G167="",N(H167)=0),"",G167/H167)</f>
        <v/>
      </c>
      <c r="J167" s="20">
        <f>IF(OR(B167="",E167=""),"",IF(OR(F167="Done",G167&lt;&gt;""),"Done",IF(E167&lt;TODAY(),"Late by "&amp;(TODAY()-E167)&amp;IF((TODAY()-E167)=1," day"," days"),IF(E167=TODAY(),"Due today",IF(E167=TODAY()+1,"Due tomorrow","Due in "&amp;(E167-TODAY())&amp;IF((E167-TODAY())=1," day"," days"))))))</f>
        <v/>
      </c>
      <c r="K167" s="25" t="n"/>
      <c r="L167" s="1">
        <f>IF(G167="","",N(H167))</f>
        <v/>
      </c>
      <c r="M167">
        <f>IF(OR(B167="",E167="",OR(F167="Done",G167&lt;&gt;"")),"",E167+ROW()/10000000)</f>
        <v/>
      </c>
    </row>
    <row r="168">
      <c r="A168" s="1" t="n"/>
      <c r="B168" s="24" t="n"/>
      <c r="C168" s="25" t="n"/>
      <c r="D168" s="25" t="n"/>
      <c r="E168" s="26" t="n"/>
      <c r="F168" s="27" t="n"/>
      <c r="G168" s="28" t="n"/>
      <c r="H168" s="28" t="n"/>
      <c r="I168" s="16">
        <f>IF(OR(G168="",N(H168)=0),"",G168/H168)</f>
        <v/>
      </c>
      <c r="J168" s="20">
        <f>IF(OR(B168="",E168=""),"",IF(OR(F168="Done",G168&lt;&gt;""),"Done",IF(E168&lt;TODAY(),"Late by "&amp;(TODAY()-E168)&amp;IF((TODAY()-E168)=1," day"," days"),IF(E168=TODAY(),"Due today",IF(E168=TODAY()+1,"Due tomorrow","Due in "&amp;(E168-TODAY())&amp;IF((E168-TODAY())=1," day"," days"))))))</f>
        <v/>
      </c>
      <c r="K168" s="25" t="n"/>
      <c r="L168" s="1">
        <f>IF(G168="","",N(H168))</f>
        <v/>
      </c>
      <c r="M168">
        <f>IF(OR(B168="",E168="",OR(F168="Done",G168&lt;&gt;"")),"",E168+ROW()/10000000)</f>
        <v/>
      </c>
    </row>
    <row r="169">
      <c r="A169" s="1" t="n"/>
      <c r="B169" s="24" t="n"/>
      <c r="C169" s="25" t="n"/>
      <c r="D169" s="25" t="n"/>
      <c r="E169" s="26" t="n"/>
      <c r="F169" s="27" t="n"/>
      <c r="G169" s="28" t="n"/>
      <c r="H169" s="28" t="n"/>
      <c r="I169" s="16">
        <f>IF(OR(G169="",N(H169)=0),"",G169/H169)</f>
        <v/>
      </c>
      <c r="J169" s="20">
        <f>IF(OR(B169="",E169=""),"",IF(OR(F169="Done",G169&lt;&gt;""),"Done",IF(E169&lt;TODAY(),"Late by "&amp;(TODAY()-E169)&amp;IF((TODAY()-E169)=1," day"," days"),IF(E169=TODAY(),"Due today",IF(E169=TODAY()+1,"Due tomorrow","Due in "&amp;(E169-TODAY())&amp;IF((E169-TODAY())=1," day"," days"))))))</f>
        <v/>
      </c>
      <c r="K169" s="25" t="n"/>
      <c r="L169" s="1">
        <f>IF(G169="","",N(H169))</f>
        <v/>
      </c>
      <c r="M169">
        <f>IF(OR(B169="",E169="",OR(F169="Done",G169&lt;&gt;"")),"",E169+ROW()/10000000)</f>
        <v/>
      </c>
    </row>
    <row r="170">
      <c r="A170" s="1" t="n"/>
      <c r="B170" s="24" t="n"/>
      <c r="C170" s="25" t="n"/>
      <c r="D170" s="25" t="n"/>
      <c r="E170" s="26" t="n"/>
      <c r="F170" s="27" t="n"/>
      <c r="G170" s="28" t="n"/>
      <c r="H170" s="28" t="n"/>
      <c r="I170" s="16">
        <f>IF(OR(G170="",N(H170)=0),"",G170/H170)</f>
        <v/>
      </c>
      <c r="J170" s="20">
        <f>IF(OR(B170="",E170=""),"",IF(OR(F170="Done",G170&lt;&gt;""),"Done",IF(E170&lt;TODAY(),"Late by "&amp;(TODAY()-E170)&amp;IF((TODAY()-E170)=1," day"," days"),IF(E170=TODAY(),"Due today",IF(E170=TODAY()+1,"Due tomorrow","Due in "&amp;(E170-TODAY())&amp;IF((E170-TODAY())=1," day"," days"))))))</f>
        <v/>
      </c>
      <c r="K170" s="25" t="n"/>
      <c r="L170" s="1">
        <f>IF(G170="","",N(H170))</f>
        <v/>
      </c>
      <c r="M170">
        <f>IF(OR(B170="",E170="",OR(F170="Done",G170&lt;&gt;"")),"",E170+ROW()/10000000)</f>
        <v/>
      </c>
    </row>
    <row r="171">
      <c r="A171" s="1" t="n"/>
      <c r="B171" s="24" t="n"/>
      <c r="C171" s="25" t="n"/>
      <c r="D171" s="25" t="n"/>
      <c r="E171" s="26" t="n"/>
      <c r="F171" s="27" t="n"/>
      <c r="G171" s="28" t="n"/>
      <c r="H171" s="28" t="n"/>
      <c r="I171" s="16">
        <f>IF(OR(G171="",N(H171)=0),"",G171/H171)</f>
        <v/>
      </c>
      <c r="J171" s="20">
        <f>IF(OR(B171="",E171=""),"",IF(OR(F171="Done",G171&lt;&gt;""),"Done",IF(E171&lt;TODAY(),"Late by "&amp;(TODAY()-E171)&amp;IF((TODAY()-E171)=1," day"," days"),IF(E171=TODAY(),"Due today",IF(E171=TODAY()+1,"Due tomorrow","Due in "&amp;(E171-TODAY())&amp;IF((E171-TODAY())=1," day"," days"))))))</f>
        <v/>
      </c>
      <c r="K171" s="25" t="n"/>
      <c r="L171" s="1">
        <f>IF(G171="","",N(H171))</f>
        <v/>
      </c>
      <c r="M171">
        <f>IF(OR(B171="",E171="",OR(F171="Done",G171&lt;&gt;"")),"",E171+ROW()/10000000)</f>
        <v/>
      </c>
    </row>
    <row r="172">
      <c r="A172" s="1" t="n"/>
      <c r="B172" s="24" t="n"/>
      <c r="C172" s="25" t="n"/>
      <c r="D172" s="25" t="n"/>
      <c r="E172" s="26" t="n"/>
      <c r="F172" s="27" t="n"/>
      <c r="G172" s="28" t="n"/>
      <c r="H172" s="28" t="n"/>
      <c r="I172" s="16">
        <f>IF(OR(G172="",N(H172)=0),"",G172/H172)</f>
        <v/>
      </c>
      <c r="J172" s="20">
        <f>IF(OR(B172="",E172=""),"",IF(OR(F172="Done",G172&lt;&gt;""),"Done",IF(E172&lt;TODAY(),"Late by "&amp;(TODAY()-E172)&amp;IF((TODAY()-E172)=1," day"," days"),IF(E172=TODAY(),"Due today",IF(E172=TODAY()+1,"Due tomorrow","Due in "&amp;(E172-TODAY())&amp;IF((E172-TODAY())=1," day"," days"))))))</f>
        <v/>
      </c>
      <c r="K172" s="25" t="n"/>
      <c r="L172" s="1">
        <f>IF(G172="","",N(H172))</f>
        <v/>
      </c>
      <c r="M172">
        <f>IF(OR(B172="",E172="",OR(F172="Done",G172&lt;&gt;"")),"",E172+ROW()/10000000)</f>
        <v/>
      </c>
    </row>
    <row r="173">
      <c r="A173" s="1" t="n"/>
      <c r="B173" s="24" t="n"/>
      <c r="C173" s="25" t="n"/>
      <c r="D173" s="25" t="n"/>
      <c r="E173" s="26" t="n"/>
      <c r="F173" s="27" t="n"/>
      <c r="G173" s="28" t="n"/>
      <c r="H173" s="28" t="n"/>
      <c r="I173" s="16">
        <f>IF(OR(G173="",N(H173)=0),"",G173/H173)</f>
        <v/>
      </c>
      <c r="J173" s="20">
        <f>IF(OR(B173="",E173=""),"",IF(OR(F173="Done",G173&lt;&gt;""),"Done",IF(E173&lt;TODAY(),"Late by "&amp;(TODAY()-E173)&amp;IF((TODAY()-E173)=1," day"," days"),IF(E173=TODAY(),"Due today",IF(E173=TODAY()+1,"Due tomorrow","Due in "&amp;(E173-TODAY())&amp;IF((E173-TODAY())=1," day"," days"))))))</f>
        <v/>
      </c>
      <c r="K173" s="25" t="n"/>
      <c r="L173" s="1">
        <f>IF(G173="","",N(H173))</f>
        <v/>
      </c>
      <c r="M173">
        <f>IF(OR(B173="",E173="",OR(F173="Done",G173&lt;&gt;"")),"",E173+ROW()/10000000)</f>
        <v/>
      </c>
    </row>
    <row r="174">
      <c r="A174" s="1" t="n"/>
      <c r="B174" s="24" t="n"/>
      <c r="C174" s="25" t="n"/>
      <c r="D174" s="25" t="n"/>
      <c r="E174" s="26" t="n"/>
      <c r="F174" s="27" t="n"/>
      <c r="G174" s="28" t="n"/>
      <c r="H174" s="28" t="n"/>
      <c r="I174" s="16">
        <f>IF(OR(G174="",N(H174)=0),"",G174/H174)</f>
        <v/>
      </c>
      <c r="J174" s="20">
        <f>IF(OR(B174="",E174=""),"",IF(OR(F174="Done",G174&lt;&gt;""),"Done",IF(E174&lt;TODAY(),"Late by "&amp;(TODAY()-E174)&amp;IF((TODAY()-E174)=1," day"," days"),IF(E174=TODAY(),"Due today",IF(E174=TODAY()+1,"Due tomorrow","Due in "&amp;(E174-TODAY())&amp;IF((E174-TODAY())=1," day"," days"))))))</f>
        <v/>
      </c>
      <c r="K174" s="25" t="n"/>
      <c r="L174" s="1">
        <f>IF(G174="","",N(H174))</f>
        <v/>
      </c>
      <c r="M174">
        <f>IF(OR(B174="",E174="",OR(F174="Done",G174&lt;&gt;"")),"",E174+ROW()/10000000)</f>
        <v/>
      </c>
    </row>
    <row r="175">
      <c r="A175" s="1" t="n"/>
      <c r="B175" s="24" t="n"/>
      <c r="C175" s="25" t="n"/>
      <c r="D175" s="25" t="n"/>
      <c r="E175" s="26" t="n"/>
      <c r="F175" s="27" t="n"/>
      <c r="G175" s="28" t="n"/>
      <c r="H175" s="28" t="n"/>
      <c r="I175" s="16">
        <f>IF(OR(G175="",N(H175)=0),"",G175/H175)</f>
        <v/>
      </c>
      <c r="J175" s="20">
        <f>IF(OR(B175="",E175=""),"",IF(OR(F175="Done",G175&lt;&gt;""),"Done",IF(E175&lt;TODAY(),"Late by "&amp;(TODAY()-E175)&amp;IF((TODAY()-E175)=1," day"," days"),IF(E175=TODAY(),"Due today",IF(E175=TODAY()+1,"Due tomorrow","Due in "&amp;(E175-TODAY())&amp;IF((E175-TODAY())=1," day"," days"))))))</f>
        <v/>
      </c>
      <c r="K175" s="25" t="n"/>
      <c r="L175" s="1">
        <f>IF(G175="","",N(H175))</f>
        <v/>
      </c>
      <c r="M175">
        <f>IF(OR(B175="",E175="",OR(F175="Done",G175&lt;&gt;"")),"",E175+ROW()/10000000)</f>
        <v/>
      </c>
    </row>
    <row r="176">
      <c r="A176" s="1" t="n"/>
      <c r="B176" s="24" t="n"/>
      <c r="C176" s="25" t="n"/>
      <c r="D176" s="25" t="n"/>
      <c r="E176" s="26" t="n"/>
      <c r="F176" s="27" t="n"/>
      <c r="G176" s="28" t="n"/>
      <c r="H176" s="28" t="n"/>
      <c r="I176" s="16">
        <f>IF(OR(G176="",N(H176)=0),"",G176/H176)</f>
        <v/>
      </c>
      <c r="J176" s="20">
        <f>IF(OR(B176="",E176=""),"",IF(OR(F176="Done",G176&lt;&gt;""),"Done",IF(E176&lt;TODAY(),"Late by "&amp;(TODAY()-E176)&amp;IF((TODAY()-E176)=1," day"," days"),IF(E176=TODAY(),"Due today",IF(E176=TODAY()+1,"Due tomorrow","Due in "&amp;(E176-TODAY())&amp;IF((E176-TODAY())=1," day"," days"))))))</f>
        <v/>
      </c>
      <c r="K176" s="25" t="n"/>
      <c r="L176" s="1">
        <f>IF(G176="","",N(H176))</f>
        <v/>
      </c>
      <c r="M176">
        <f>IF(OR(B176="",E176="",OR(F176="Done",G176&lt;&gt;"")),"",E176+ROW()/10000000)</f>
        <v/>
      </c>
    </row>
    <row r="177">
      <c r="A177" s="1" t="n"/>
      <c r="B177" s="24" t="n"/>
      <c r="C177" s="25" t="n"/>
      <c r="D177" s="25" t="n"/>
      <c r="E177" s="26" t="n"/>
      <c r="F177" s="27" t="n"/>
      <c r="G177" s="28" t="n"/>
      <c r="H177" s="28" t="n"/>
      <c r="I177" s="16">
        <f>IF(OR(G177="",N(H177)=0),"",G177/H177)</f>
        <v/>
      </c>
      <c r="J177" s="20">
        <f>IF(OR(B177="",E177=""),"",IF(OR(F177="Done",G177&lt;&gt;""),"Done",IF(E177&lt;TODAY(),"Late by "&amp;(TODAY()-E177)&amp;IF((TODAY()-E177)=1," day"," days"),IF(E177=TODAY(),"Due today",IF(E177=TODAY()+1,"Due tomorrow","Due in "&amp;(E177-TODAY())&amp;IF((E177-TODAY())=1," day"," days"))))))</f>
        <v/>
      </c>
      <c r="K177" s="25" t="n"/>
      <c r="L177" s="1">
        <f>IF(G177="","",N(H177))</f>
        <v/>
      </c>
      <c r="M177">
        <f>IF(OR(B177="",E177="",OR(F177="Done",G177&lt;&gt;"")),"",E177+ROW()/10000000)</f>
        <v/>
      </c>
    </row>
    <row r="178">
      <c r="A178" s="1" t="n"/>
      <c r="B178" s="24" t="n"/>
      <c r="C178" s="25" t="n"/>
      <c r="D178" s="25" t="n"/>
      <c r="E178" s="26" t="n"/>
      <c r="F178" s="27" t="n"/>
      <c r="G178" s="28" t="n"/>
      <c r="H178" s="28" t="n"/>
      <c r="I178" s="16">
        <f>IF(OR(G178="",N(H178)=0),"",G178/H178)</f>
        <v/>
      </c>
      <c r="J178" s="20">
        <f>IF(OR(B178="",E178=""),"",IF(OR(F178="Done",G178&lt;&gt;""),"Done",IF(E178&lt;TODAY(),"Late by "&amp;(TODAY()-E178)&amp;IF((TODAY()-E178)=1," day"," days"),IF(E178=TODAY(),"Due today",IF(E178=TODAY()+1,"Due tomorrow","Due in "&amp;(E178-TODAY())&amp;IF((E178-TODAY())=1," day"," days"))))))</f>
        <v/>
      </c>
      <c r="K178" s="25" t="n"/>
      <c r="L178" s="1">
        <f>IF(G178="","",N(H178))</f>
        <v/>
      </c>
      <c r="M178">
        <f>IF(OR(B178="",E178="",OR(F178="Done",G178&lt;&gt;"")),"",E178+ROW()/10000000)</f>
        <v/>
      </c>
    </row>
    <row r="179">
      <c r="A179" s="1" t="n"/>
      <c r="B179" s="24" t="n"/>
      <c r="C179" s="25" t="n"/>
      <c r="D179" s="25" t="n"/>
      <c r="E179" s="26" t="n"/>
      <c r="F179" s="27" t="n"/>
      <c r="G179" s="28" t="n"/>
      <c r="H179" s="28" t="n"/>
      <c r="I179" s="16">
        <f>IF(OR(G179="",N(H179)=0),"",G179/H179)</f>
        <v/>
      </c>
      <c r="J179" s="20">
        <f>IF(OR(B179="",E179=""),"",IF(OR(F179="Done",G179&lt;&gt;""),"Done",IF(E179&lt;TODAY(),"Late by "&amp;(TODAY()-E179)&amp;IF((TODAY()-E179)=1," day"," days"),IF(E179=TODAY(),"Due today",IF(E179=TODAY()+1,"Due tomorrow","Due in "&amp;(E179-TODAY())&amp;IF((E179-TODAY())=1," day"," days"))))))</f>
        <v/>
      </c>
      <c r="K179" s="25" t="n"/>
      <c r="L179" s="1">
        <f>IF(G179="","",N(H179))</f>
        <v/>
      </c>
      <c r="M179">
        <f>IF(OR(B179="",E179="",OR(F179="Done",G179&lt;&gt;"")),"",E179+ROW()/10000000)</f>
        <v/>
      </c>
    </row>
    <row r="180">
      <c r="A180" s="1" t="n"/>
      <c r="B180" s="24" t="n"/>
      <c r="C180" s="25" t="n"/>
      <c r="D180" s="25" t="n"/>
      <c r="E180" s="26" t="n"/>
      <c r="F180" s="27" t="n"/>
      <c r="G180" s="28" t="n"/>
      <c r="H180" s="28" t="n"/>
      <c r="I180" s="16">
        <f>IF(OR(G180="",N(H180)=0),"",G180/H180)</f>
        <v/>
      </c>
      <c r="J180" s="20">
        <f>IF(OR(B180="",E180=""),"",IF(OR(F180="Done",G180&lt;&gt;""),"Done",IF(E180&lt;TODAY(),"Late by "&amp;(TODAY()-E180)&amp;IF((TODAY()-E180)=1," day"," days"),IF(E180=TODAY(),"Due today",IF(E180=TODAY()+1,"Due tomorrow","Due in "&amp;(E180-TODAY())&amp;IF((E180-TODAY())=1," day"," days"))))))</f>
        <v/>
      </c>
      <c r="K180" s="25" t="n"/>
      <c r="L180" s="1">
        <f>IF(G180="","",N(H180))</f>
        <v/>
      </c>
      <c r="M180">
        <f>IF(OR(B180="",E180="",OR(F180="Done",G180&lt;&gt;"")),"",E180+ROW()/10000000)</f>
        <v/>
      </c>
    </row>
    <row r="181">
      <c r="A181" s="1" t="n"/>
      <c r="B181" s="24" t="n"/>
      <c r="C181" s="25" t="n"/>
      <c r="D181" s="25" t="n"/>
      <c r="E181" s="26" t="n"/>
      <c r="F181" s="27" t="n"/>
      <c r="G181" s="28" t="n"/>
      <c r="H181" s="28" t="n"/>
      <c r="I181" s="16">
        <f>IF(OR(G181="",N(H181)=0),"",G181/H181)</f>
        <v/>
      </c>
      <c r="J181" s="20">
        <f>IF(OR(B181="",E181=""),"",IF(OR(F181="Done",G181&lt;&gt;""),"Done",IF(E181&lt;TODAY(),"Late by "&amp;(TODAY()-E181)&amp;IF((TODAY()-E181)=1," day"," days"),IF(E181=TODAY(),"Due today",IF(E181=TODAY()+1,"Due tomorrow","Due in "&amp;(E181-TODAY())&amp;IF((E181-TODAY())=1," day"," days"))))))</f>
        <v/>
      </c>
      <c r="K181" s="25" t="n"/>
      <c r="L181" s="1">
        <f>IF(G181="","",N(H181))</f>
        <v/>
      </c>
      <c r="M181">
        <f>IF(OR(B181="",E181="",OR(F181="Done",G181&lt;&gt;"")),"",E181+ROW()/10000000)</f>
        <v/>
      </c>
    </row>
    <row r="182">
      <c r="A182" s="1" t="n"/>
      <c r="B182" s="24" t="n"/>
      <c r="C182" s="25" t="n"/>
      <c r="D182" s="25" t="n"/>
      <c r="E182" s="26" t="n"/>
      <c r="F182" s="27" t="n"/>
      <c r="G182" s="28" t="n"/>
      <c r="H182" s="28" t="n"/>
      <c r="I182" s="16">
        <f>IF(OR(G182="",N(H182)=0),"",G182/H182)</f>
        <v/>
      </c>
      <c r="J182" s="20">
        <f>IF(OR(B182="",E182=""),"",IF(OR(F182="Done",G182&lt;&gt;""),"Done",IF(E182&lt;TODAY(),"Late by "&amp;(TODAY()-E182)&amp;IF((TODAY()-E182)=1," day"," days"),IF(E182=TODAY(),"Due today",IF(E182=TODAY()+1,"Due tomorrow","Due in "&amp;(E182-TODAY())&amp;IF((E182-TODAY())=1," day"," days"))))))</f>
        <v/>
      </c>
      <c r="K182" s="25" t="n"/>
      <c r="L182" s="1">
        <f>IF(G182="","",N(H182))</f>
        <v/>
      </c>
      <c r="M182">
        <f>IF(OR(B182="",E182="",OR(F182="Done",G182&lt;&gt;"")),"",E182+ROW()/10000000)</f>
        <v/>
      </c>
    </row>
    <row r="183">
      <c r="A183" s="1" t="n"/>
      <c r="B183" s="24" t="n"/>
      <c r="C183" s="25" t="n"/>
      <c r="D183" s="25" t="n"/>
      <c r="E183" s="26" t="n"/>
      <c r="F183" s="27" t="n"/>
      <c r="G183" s="28" t="n"/>
      <c r="H183" s="28" t="n"/>
      <c r="I183" s="16">
        <f>IF(OR(G183="",N(H183)=0),"",G183/H183)</f>
        <v/>
      </c>
      <c r="J183" s="20">
        <f>IF(OR(B183="",E183=""),"",IF(OR(F183="Done",G183&lt;&gt;""),"Done",IF(E183&lt;TODAY(),"Late by "&amp;(TODAY()-E183)&amp;IF((TODAY()-E183)=1," day"," days"),IF(E183=TODAY(),"Due today",IF(E183=TODAY()+1,"Due tomorrow","Due in "&amp;(E183-TODAY())&amp;IF((E183-TODAY())=1," day"," days"))))))</f>
        <v/>
      </c>
      <c r="K183" s="25" t="n"/>
      <c r="L183" s="1">
        <f>IF(G183="","",N(H183))</f>
        <v/>
      </c>
      <c r="M183">
        <f>IF(OR(B183="",E183="",OR(F183="Done",G183&lt;&gt;"")),"",E183+ROW()/10000000)</f>
        <v/>
      </c>
    </row>
    <row r="184">
      <c r="A184" s="1" t="n"/>
      <c r="B184" s="24" t="n"/>
      <c r="C184" s="25" t="n"/>
      <c r="D184" s="25" t="n"/>
      <c r="E184" s="26" t="n"/>
      <c r="F184" s="27" t="n"/>
      <c r="G184" s="28" t="n"/>
      <c r="H184" s="28" t="n"/>
      <c r="I184" s="16">
        <f>IF(OR(G184="",N(H184)=0),"",G184/H184)</f>
        <v/>
      </c>
      <c r="J184" s="20">
        <f>IF(OR(B184="",E184=""),"",IF(OR(F184="Done",G184&lt;&gt;""),"Done",IF(E184&lt;TODAY(),"Late by "&amp;(TODAY()-E184)&amp;IF((TODAY()-E184)=1," day"," days"),IF(E184=TODAY(),"Due today",IF(E184=TODAY()+1,"Due tomorrow","Due in "&amp;(E184-TODAY())&amp;IF((E184-TODAY())=1," day"," days"))))))</f>
        <v/>
      </c>
      <c r="K184" s="25" t="n"/>
      <c r="L184" s="1">
        <f>IF(G184="","",N(H184))</f>
        <v/>
      </c>
      <c r="M184">
        <f>IF(OR(B184="",E184="",OR(F184="Done",G184&lt;&gt;"")),"",E184+ROW()/10000000)</f>
        <v/>
      </c>
    </row>
    <row r="185">
      <c r="A185" s="1" t="n"/>
      <c r="B185" s="24" t="n"/>
      <c r="C185" s="25" t="n"/>
      <c r="D185" s="25" t="n"/>
      <c r="E185" s="26" t="n"/>
      <c r="F185" s="27" t="n"/>
      <c r="G185" s="28" t="n"/>
      <c r="H185" s="28" t="n"/>
      <c r="I185" s="16">
        <f>IF(OR(G185="",N(H185)=0),"",G185/H185)</f>
        <v/>
      </c>
      <c r="J185" s="20">
        <f>IF(OR(B185="",E185=""),"",IF(OR(F185="Done",G185&lt;&gt;""),"Done",IF(E185&lt;TODAY(),"Late by "&amp;(TODAY()-E185)&amp;IF((TODAY()-E185)=1," day"," days"),IF(E185=TODAY(),"Due today",IF(E185=TODAY()+1,"Due tomorrow","Due in "&amp;(E185-TODAY())&amp;IF((E185-TODAY())=1," day"," days"))))))</f>
        <v/>
      </c>
      <c r="K185" s="25" t="n"/>
      <c r="L185" s="1">
        <f>IF(G185="","",N(H185))</f>
        <v/>
      </c>
      <c r="M185">
        <f>IF(OR(B185="",E185="",OR(F185="Done",G185&lt;&gt;"")),"",E185+ROW()/10000000)</f>
        <v/>
      </c>
    </row>
    <row r="186">
      <c r="A186" s="1" t="n"/>
      <c r="B186" s="24" t="n"/>
      <c r="C186" s="25" t="n"/>
      <c r="D186" s="25" t="n"/>
      <c r="E186" s="26" t="n"/>
      <c r="F186" s="27" t="n"/>
      <c r="G186" s="28" t="n"/>
      <c r="H186" s="28" t="n"/>
      <c r="I186" s="16">
        <f>IF(OR(G186="",N(H186)=0),"",G186/H186)</f>
        <v/>
      </c>
      <c r="J186" s="20">
        <f>IF(OR(B186="",E186=""),"",IF(OR(F186="Done",G186&lt;&gt;""),"Done",IF(E186&lt;TODAY(),"Late by "&amp;(TODAY()-E186)&amp;IF((TODAY()-E186)=1," day"," days"),IF(E186=TODAY(),"Due today",IF(E186=TODAY()+1,"Due tomorrow","Due in "&amp;(E186-TODAY())&amp;IF((E186-TODAY())=1," day"," days"))))))</f>
        <v/>
      </c>
      <c r="K186" s="25" t="n"/>
      <c r="L186" s="1">
        <f>IF(G186="","",N(H186))</f>
        <v/>
      </c>
      <c r="M186">
        <f>IF(OR(B186="",E186="",OR(F186="Done",G186&lt;&gt;"")),"",E186+ROW()/10000000)</f>
        <v/>
      </c>
    </row>
    <row r="187">
      <c r="A187" s="1" t="n"/>
      <c r="B187" s="24" t="n"/>
      <c r="C187" s="25" t="n"/>
      <c r="D187" s="25" t="n"/>
      <c r="E187" s="26" t="n"/>
      <c r="F187" s="27" t="n"/>
      <c r="G187" s="28" t="n"/>
      <c r="H187" s="28" t="n"/>
      <c r="I187" s="16">
        <f>IF(OR(G187="",N(H187)=0),"",G187/H187)</f>
        <v/>
      </c>
      <c r="J187" s="20">
        <f>IF(OR(B187="",E187=""),"",IF(OR(F187="Done",G187&lt;&gt;""),"Done",IF(E187&lt;TODAY(),"Late by "&amp;(TODAY()-E187)&amp;IF((TODAY()-E187)=1," day"," days"),IF(E187=TODAY(),"Due today",IF(E187=TODAY()+1,"Due tomorrow","Due in "&amp;(E187-TODAY())&amp;IF((E187-TODAY())=1," day"," days"))))))</f>
        <v/>
      </c>
      <c r="K187" s="25" t="n"/>
      <c r="L187" s="1">
        <f>IF(G187="","",N(H187))</f>
        <v/>
      </c>
      <c r="M187">
        <f>IF(OR(B187="",E187="",OR(F187="Done",G187&lt;&gt;"")),"",E187+ROW()/10000000)</f>
        <v/>
      </c>
    </row>
    <row r="188">
      <c r="A188" s="1" t="n"/>
      <c r="B188" s="24" t="n"/>
      <c r="C188" s="25" t="n"/>
      <c r="D188" s="25" t="n"/>
      <c r="E188" s="26" t="n"/>
      <c r="F188" s="27" t="n"/>
      <c r="G188" s="28" t="n"/>
      <c r="H188" s="28" t="n"/>
      <c r="I188" s="16">
        <f>IF(OR(G188="",N(H188)=0),"",G188/H188)</f>
        <v/>
      </c>
      <c r="J188" s="20">
        <f>IF(OR(B188="",E188=""),"",IF(OR(F188="Done",G188&lt;&gt;""),"Done",IF(E188&lt;TODAY(),"Late by "&amp;(TODAY()-E188)&amp;IF((TODAY()-E188)=1," day"," days"),IF(E188=TODAY(),"Due today",IF(E188=TODAY()+1,"Due tomorrow","Due in "&amp;(E188-TODAY())&amp;IF((E188-TODAY())=1," day"," days"))))))</f>
        <v/>
      </c>
      <c r="K188" s="25" t="n"/>
      <c r="L188" s="1">
        <f>IF(G188="","",N(H188))</f>
        <v/>
      </c>
      <c r="M188">
        <f>IF(OR(B188="",E188="",OR(F188="Done",G188&lt;&gt;"")),"",E188+ROW()/10000000)</f>
        <v/>
      </c>
    </row>
    <row r="189">
      <c r="A189" s="1" t="n"/>
      <c r="B189" s="24" t="n"/>
      <c r="C189" s="25" t="n"/>
      <c r="D189" s="25" t="n"/>
      <c r="E189" s="26" t="n"/>
      <c r="F189" s="27" t="n"/>
      <c r="G189" s="28" t="n"/>
      <c r="H189" s="28" t="n"/>
      <c r="I189" s="16">
        <f>IF(OR(G189="",N(H189)=0),"",G189/H189)</f>
        <v/>
      </c>
      <c r="J189" s="20">
        <f>IF(OR(B189="",E189=""),"",IF(OR(F189="Done",G189&lt;&gt;""),"Done",IF(E189&lt;TODAY(),"Late by "&amp;(TODAY()-E189)&amp;IF((TODAY()-E189)=1," day"," days"),IF(E189=TODAY(),"Due today",IF(E189=TODAY()+1,"Due tomorrow","Due in "&amp;(E189-TODAY())&amp;IF((E189-TODAY())=1," day"," days"))))))</f>
        <v/>
      </c>
      <c r="K189" s="25" t="n"/>
      <c r="L189" s="1">
        <f>IF(G189="","",N(H189))</f>
        <v/>
      </c>
      <c r="M189">
        <f>IF(OR(B189="",E189="",OR(F189="Done",G189&lt;&gt;"")),"",E189+ROW()/10000000)</f>
        <v/>
      </c>
    </row>
    <row r="190">
      <c r="A190" s="1" t="n"/>
      <c r="B190" s="24" t="n"/>
      <c r="C190" s="25" t="n"/>
      <c r="D190" s="25" t="n"/>
      <c r="E190" s="26" t="n"/>
      <c r="F190" s="27" t="n"/>
      <c r="G190" s="28" t="n"/>
      <c r="H190" s="28" t="n"/>
      <c r="I190" s="16">
        <f>IF(OR(G190="",N(H190)=0),"",G190/H190)</f>
        <v/>
      </c>
      <c r="J190" s="20">
        <f>IF(OR(B190="",E190=""),"",IF(OR(F190="Done",G190&lt;&gt;""),"Done",IF(E190&lt;TODAY(),"Late by "&amp;(TODAY()-E190)&amp;IF((TODAY()-E190)=1," day"," days"),IF(E190=TODAY(),"Due today",IF(E190=TODAY()+1,"Due tomorrow","Due in "&amp;(E190-TODAY())&amp;IF((E190-TODAY())=1," day"," days"))))))</f>
        <v/>
      </c>
      <c r="K190" s="25" t="n"/>
      <c r="L190" s="1">
        <f>IF(G190="","",N(H190))</f>
        <v/>
      </c>
      <c r="M190">
        <f>IF(OR(B190="",E190="",OR(F190="Done",G190&lt;&gt;"")),"",E190+ROW()/10000000)</f>
        <v/>
      </c>
    </row>
    <row r="191">
      <c r="A191" s="1" t="n"/>
      <c r="B191" s="24" t="n"/>
      <c r="C191" s="25" t="n"/>
      <c r="D191" s="25" t="n"/>
      <c r="E191" s="26" t="n"/>
      <c r="F191" s="27" t="n"/>
      <c r="G191" s="28" t="n"/>
      <c r="H191" s="28" t="n"/>
      <c r="I191" s="16">
        <f>IF(OR(G191="",N(H191)=0),"",G191/H191)</f>
        <v/>
      </c>
      <c r="J191" s="20">
        <f>IF(OR(B191="",E191=""),"",IF(OR(F191="Done",G191&lt;&gt;""),"Done",IF(E191&lt;TODAY(),"Late by "&amp;(TODAY()-E191)&amp;IF((TODAY()-E191)=1," day"," days"),IF(E191=TODAY(),"Due today",IF(E191=TODAY()+1,"Due tomorrow","Due in "&amp;(E191-TODAY())&amp;IF((E191-TODAY())=1," day"," days"))))))</f>
        <v/>
      </c>
      <c r="K191" s="25" t="n"/>
      <c r="L191" s="1">
        <f>IF(G191="","",N(H191))</f>
        <v/>
      </c>
      <c r="M191">
        <f>IF(OR(B191="",E191="",OR(F191="Done",G191&lt;&gt;"")),"",E191+ROW()/10000000)</f>
        <v/>
      </c>
    </row>
    <row r="192">
      <c r="A192" s="1" t="n"/>
      <c r="B192" s="24" t="n"/>
      <c r="C192" s="25" t="n"/>
      <c r="D192" s="25" t="n"/>
      <c r="E192" s="26" t="n"/>
      <c r="F192" s="27" t="n"/>
      <c r="G192" s="28" t="n"/>
      <c r="H192" s="28" t="n"/>
      <c r="I192" s="16">
        <f>IF(OR(G192="",N(H192)=0),"",G192/H192)</f>
        <v/>
      </c>
      <c r="J192" s="20">
        <f>IF(OR(B192="",E192=""),"",IF(OR(F192="Done",G192&lt;&gt;""),"Done",IF(E192&lt;TODAY(),"Late by "&amp;(TODAY()-E192)&amp;IF((TODAY()-E192)=1," day"," days"),IF(E192=TODAY(),"Due today",IF(E192=TODAY()+1,"Due tomorrow","Due in "&amp;(E192-TODAY())&amp;IF((E192-TODAY())=1," day"," days"))))))</f>
        <v/>
      </c>
      <c r="K192" s="25" t="n"/>
      <c r="L192" s="1">
        <f>IF(G192="","",N(H192))</f>
        <v/>
      </c>
      <c r="M192">
        <f>IF(OR(B192="",E192="",OR(F192="Done",G192&lt;&gt;"")),"",E192+ROW()/10000000)</f>
        <v/>
      </c>
    </row>
    <row r="193">
      <c r="A193" s="1" t="n"/>
      <c r="B193" s="24" t="n"/>
      <c r="C193" s="25" t="n"/>
      <c r="D193" s="25" t="n"/>
      <c r="E193" s="26" t="n"/>
      <c r="F193" s="27" t="n"/>
      <c r="G193" s="28" t="n"/>
      <c r="H193" s="28" t="n"/>
      <c r="I193" s="16">
        <f>IF(OR(G193="",N(H193)=0),"",G193/H193)</f>
        <v/>
      </c>
      <c r="J193" s="20">
        <f>IF(OR(B193="",E193=""),"",IF(OR(F193="Done",G193&lt;&gt;""),"Done",IF(E193&lt;TODAY(),"Late by "&amp;(TODAY()-E193)&amp;IF((TODAY()-E193)=1," day"," days"),IF(E193=TODAY(),"Due today",IF(E193=TODAY()+1,"Due tomorrow","Due in "&amp;(E193-TODAY())&amp;IF((E193-TODAY())=1," day"," days"))))))</f>
        <v/>
      </c>
      <c r="K193" s="25" t="n"/>
      <c r="L193" s="1">
        <f>IF(G193="","",N(H193))</f>
        <v/>
      </c>
      <c r="M193">
        <f>IF(OR(B193="",E193="",OR(F193="Done",G193&lt;&gt;"")),"",E193+ROW()/10000000)</f>
        <v/>
      </c>
    </row>
    <row r="194">
      <c r="A194" s="1" t="n"/>
      <c r="B194" s="24" t="n"/>
      <c r="C194" s="25" t="n"/>
      <c r="D194" s="25" t="n"/>
      <c r="E194" s="26" t="n"/>
      <c r="F194" s="27" t="n"/>
      <c r="G194" s="28" t="n"/>
      <c r="H194" s="28" t="n"/>
      <c r="I194" s="16">
        <f>IF(OR(G194="",N(H194)=0),"",G194/H194)</f>
        <v/>
      </c>
      <c r="J194" s="20">
        <f>IF(OR(B194="",E194=""),"",IF(OR(F194="Done",G194&lt;&gt;""),"Done",IF(E194&lt;TODAY(),"Late by "&amp;(TODAY()-E194)&amp;IF((TODAY()-E194)=1," day"," days"),IF(E194=TODAY(),"Due today",IF(E194=TODAY()+1,"Due tomorrow","Due in "&amp;(E194-TODAY())&amp;IF((E194-TODAY())=1," day"," days"))))))</f>
        <v/>
      </c>
      <c r="K194" s="25" t="n"/>
      <c r="L194" s="1">
        <f>IF(G194="","",N(H194))</f>
        <v/>
      </c>
      <c r="M194">
        <f>IF(OR(B194="",E194="",OR(F194="Done",G194&lt;&gt;"")),"",E194+ROW()/10000000)</f>
        <v/>
      </c>
    </row>
    <row r="195">
      <c r="A195" s="1" t="n"/>
      <c r="B195" s="24" t="n"/>
      <c r="C195" s="25" t="n"/>
      <c r="D195" s="25" t="n"/>
      <c r="E195" s="26" t="n"/>
      <c r="F195" s="27" t="n"/>
      <c r="G195" s="28" t="n"/>
      <c r="H195" s="28" t="n"/>
      <c r="I195" s="16">
        <f>IF(OR(G195="",N(H195)=0),"",G195/H195)</f>
        <v/>
      </c>
      <c r="J195" s="20">
        <f>IF(OR(B195="",E195=""),"",IF(OR(F195="Done",G195&lt;&gt;""),"Done",IF(E195&lt;TODAY(),"Late by "&amp;(TODAY()-E195)&amp;IF((TODAY()-E195)=1," day"," days"),IF(E195=TODAY(),"Due today",IF(E195=TODAY()+1,"Due tomorrow","Due in "&amp;(E195-TODAY())&amp;IF((E195-TODAY())=1," day"," days"))))))</f>
        <v/>
      </c>
      <c r="K195" s="25" t="n"/>
      <c r="L195" s="1">
        <f>IF(G195="","",N(H195))</f>
        <v/>
      </c>
      <c r="M195">
        <f>IF(OR(B195="",E195="",OR(F195="Done",G195&lt;&gt;"")),"",E195+ROW()/10000000)</f>
        <v/>
      </c>
    </row>
    <row r="196">
      <c r="A196" s="1" t="n"/>
      <c r="B196" s="24" t="n"/>
      <c r="C196" s="25" t="n"/>
      <c r="D196" s="25" t="n"/>
      <c r="E196" s="26" t="n"/>
      <c r="F196" s="27" t="n"/>
      <c r="G196" s="28" t="n"/>
      <c r="H196" s="28" t="n"/>
      <c r="I196" s="16">
        <f>IF(OR(G196="",N(H196)=0),"",G196/H196)</f>
        <v/>
      </c>
      <c r="J196" s="20">
        <f>IF(OR(B196="",E196=""),"",IF(OR(F196="Done",G196&lt;&gt;""),"Done",IF(E196&lt;TODAY(),"Late by "&amp;(TODAY()-E196)&amp;IF((TODAY()-E196)=1," day"," days"),IF(E196=TODAY(),"Due today",IF(E196=TODAY()+1,"Due tomorrow","Due in "&amp;(E196-TODAY())&amp;IF((E196-TODAY())=1," day"," days"))))))</f>
        <v/>
      </c>
      <c r="K196" s="25" t="n"/>
      <c r="L196" s="1">
        <f>IF(G196="","",N(H196))</f>
        <v/>
      </c>
      <c r="M196">
        <f>IF(OR(B196="",E196="",OR(F196="Done",G196&lt;&gt;"")),"",E196+ROW()/10000000)</f>
        <v/>
      </c>
    </row>
    <row r="197">
      <c r="A197" s="1" t="n"/>
      <c r="B197" s="24" t="n"/>
      <c r="C197" s="25" t="n"/>
      <c r="D197" s="25" t="n"/>
      <c r="E197" s="26" t="n"/>
      <c r="F197" s="27" t="n"/>
      <c r="G197" s="28" t="n"/>
      <c r="H197" s="28" t="n"/>
      <c r="I197" s="16">
        <f>IF(OR(G197="",N(H197)=0),"",G197/H197)</f>
        <v/>
      </c>
      <c r="J197" s="20">
        <f>IF(OR(B197="",E197=""),"",IF(OR(F197="Done",G197&lt;&gt;""),"Done",IF(E197&lt;TODAY(),"Late by "&amp;(TODAY()-E197)&amp;IF((TODAY()-E197)=1," day"," days"),IF(E197=TODAY(),"Due today",IF(E197=TODAY()+1,"Due tomorrow","Due in "&amp;(E197-TODAY())&amp;IF((E197-TODAY())=1," day"," days"))))))</f>
        <v/>
      </c>
      <c r="K197" s="25" t="n"/>
      <c r="L197" s="1">
        <f>IF(G197="","",N(H197))</f>
        <v/>
      </c>
      <c r="M197">
        <f>IF(OR(B197="",E197="",OR(F197="Done",G197&lt;&gt;"")),"",E197+ROW()/10000000)</f>
        <v/>
      </c>
    </row>
    <row r="198">
      <c r="A198" s="1" t="n"/>
      <c r="B198" s="24" t="n"/>
      <c r="C198" s="25" t="n"/>
      <c r="D198" s="25" t="n"/>
      <c r="E198" s="26" t="n"/>
      <c r="F198" s="27" t="n"/>
      <c r="G198" s="28" t="n"/>
      <c r="H198" s="28" t="n"/>
      <c r="I198" s="16">
        <f>IF(OR(G198="",N(H198)=0),"",G198/H198)</f>
        <v/>
      </c>
      <c r="J198" s="20">
        <f>IF(OR(B198="",E198=""),"",IF(OR(F198="Done",G198&lt;&gt;""),"Done",IF(E198&lt;TODAY(),"Late by "&amp;(TODAY()-E198)&amp;IF((TODAY()-E198)=1," day"," days"),IF(E198=TODAY(),"Due today",IF(E198=TODAY()+1,"Due tomorrow","Due in "&amp;(E198-TODAY())&amp;IF((E198-TODAY())=1," day"," days"))))))</f>
        <v/>
      </c>
      <c r="K198" s="25" t="n"/>
      <c r="L198" s="1">
        <f>IF(G198="","",N(H198))</f>
        <v/>
      </c>
      <c r="M198">
        <f>IF(OR(B198="",E198="",OR(F198="Done",G198&lt;&gt;"")),"",E198+ROW()/10000000)</f>
        <v/>
      </c>
    </row>
    <row r="199">
      <c r="A199" s="1" t="n"/>
      <c r="B199" s="24" t="n"/>
      <c r="C199" s="25" t="n"/>
      <c r="D199" s="25" t="n"/>
      <c r="E199" s="26" t="n"/>
      <c r="F199" s="27" t="n"/>
      <c r="G199" s="28" t="n"/>
      <c r="H199" s="28" t="n"/>
      <c r="I199" s="16">
        <f>IF(OR(G199="",N(H199)=0),"",G199/H199)</f>
        <v/>
      </c>
      <c r="J199" s="20">
        <f>IF(OR(B199="",E199=""),"",IF(OR(F199="Done",G199&lt;&gt;""),"Done",IF(E199&lt;TODAY(),"Late by "&amp;(TODAY()-E199)&amp;IF((TODAY()-E199)=1," day"," days"),IF(E199=TODAY(),"Due today",IF(E199=TODAY()+1,"Due tomorrow","Due in "&amp;(E199-TODAY())&amp;IF((E199-TODAY())=1," day"," days"))))))</f>
        <v/>
      </c>
      <c r="K199" s="25" t="n"/>
      <c r="L199" s="1">
        <f>IF(G199="","",N(H199))</f>
        <v/>
      </c>
      <c r="M199">
        <f>IF(OR(B199="",E199="",OR(F199="Done",G199&lt;&gt;"")),"",E199+ROW()/10000000)</f>
        <v/>
      </c>
    </row>
    <row r="200">
      <c r="A200" s="1" t="n"/>
      <c r="B200" s="24" t="n"/>
      <c r="C200" s="25" t="n"/>
      <c r="D200" s="25" t="n"/>
      <c r="E200" s="26" t="n"/>
      <c r="F200" s="27" t="n"/>
      <c r="G200" s="28" t="n"/>
      <c r="H200" s="28" t="n"/>
      <c r="I200" s="16">
        <f>IF(OR(G200="",N(H200)=0),"",G200/H200)</f>
        <v/>
      </c>
      <c r="J200" s="20">
        <f>IF(OR(B200="",E200=""),"",IF(OR(F200="Done",G200&lt;&gt;""),"Done",IF(E200&lt;TODAY(),"Late by "&amp;(TODAY()-E200)&amp;IF((TODAY()-E200)=1," day"," days"),IF(E200=TODAY(),"Due today",IF(E200=TODAY()+1,"Due tomorrow","Due in "&amp;(E200-TODAY())&amp;IF((E200-TODAY())=1," day"," days"))))))</f>
        <v/>
      </c>
      <c r="K200" s="25" t="n"/>
      <c r="L200" s="1">
        <f>IF(G200="","",N(H200))</f>
        <v/>
      </c>
      <c r="M200">
        <f>IF(OR(B200="",E200="",OR(F200="Done",G200&lt;&gt;"")),"",E200+ROW()/10000000)</f>
        <v/>
      </c>
    </row>
    <row r="201">
      <c r="A201" s="1" t="n"/>
      <c r="B201" s="24" t="n"/>
      <c r="C201" s="25" t="n"/>
      <c r="D201" s="25" t="n"/>
      <c r="E201" s="26" t="n"/>
      <c r="F201" s="27" t="n"/>
      <c r="G201" s="28" t="n"/>
      <c r="H201" s="28" t="n"/>
      <c r="I201" s="16">
        <f>IF(OR(G201="",N(H201)=0),"",G201/H201)</f>
        <v/>
      </c>
      <c r="J201" s="20">
        <f>IF(OR(B201="",E201=""),"",IF(OR(F201="Done",G201&lt;&gt;""),"Done",IF(E201&lt;TODAY(),"Late by "&amp;(TODAY()-E201)&amp;IF((TODAY()-E201)=1," day"," days"),IF(E201=TODAY(),"Due today",IF(E201=TODAY()+1,"Due tomorrow","Due in "&amp;(E201-TODAY())&amp;IF((E201-TODAY())=1," day"," days"))))))</f>
        <v/>
      </c>
      <c r="K201" s="25" t="n"/>
      <c r="L201" s="1">
        <f>IF(G201="","",N(H201))</f>
        <v/>
      </c>
      <c r="M201">
        <f>IF(OR(B201="",E201="",OR(F201="Done",G201&lt;&gt;"")),"",E201+ROW()/10000000)</f>
        <v/>
      </c>
    </row>
    <row r="202">
      <c r="A202" s="1" t="n"/>
      <c r="B202" s="24" t="n"/>
      <c r="C202" s="25" t="n"/>
      <c r="D202" s="25" t="n"/>
      <c r="E202" s="26" t="n"/>
      <c r="F202" s="27" t="n"/>
      <c r="G202" s="28" t="n"/>
      <c r="H202" s="28" t="n"/>
      <c r="I202" s="16">
        <f>IF(OR(G202="",N(H202)=0),"",G202/H202)</f>
        <v/>
      </c>
      <c r="J202" s="20">
        <f>IF(OR(B202="",E202=""),"",IF(OR(F202="Done",G202&lt;&gt;""),"Done",IF(E202&lt;TODAY(),"Late by "&amp;(TODAY()-E202)&amp;IF((TODAY()-E202)=1," day"," days"),IF(E202=TODAY(),"Due today",IF(E202=TODAY()+1,"Due tomorrow","Due in "&amp;(E202-TODAY())&amp;IF((E202-TODAY())=1," day"," days"))))))</f>
        <v/>
      </c>
      <c r="K202" s="25" t="n"/>
      <c r="L202" s="1">
        <f>IF(G202="","",N(H202))</f>
        <v/>
      </c>
      <c r="M202">
        <f>IF(OR(B202="",E202="",OR(F202="Done",G202&lt;&gt;"")),"",E202+ROW()/10000000)</f>
        <v/>
      </c>
    </row>
    <row r="203">
      <c r="A203" s="1" t="n"/>
      <c r="B203" s="24" t="n"/>
      <c r="C203" s="25" t="n"/>
      <c r="D203" s="25" t="n"/>
      <c r="E203" s="26" t="n"/>
      <c r="F203" s="27" t="n"/>
      <c r="G203" s="28" t="n"/>
      <c r="H203" s="28" t="n"/>
      <c r="I203" s="16">
        <f>IF(OR(G203="",N(H203)=0),"",G203/H203)</f>
        <v/>
      </c>
      <c r="J203" s="20">
        <f>IF(OR(B203="",E203=""),"",IF(OR(F203="Done",G203&lt;&gt;""),"Done",IF(E203&lt;TODAY(),"Late by "&amp;(TODAY()-E203)&amp;IF((TODAY()-E203)=1," day"," days"),IF(E203=TODAY(),"Due today",IF(E203=TODAY()+1,"Due tomorrow","Due in "&amp;(E203-TODAY())&amp;IF((E203-TODAY())=1," day"," days"))))))</f>
        <v/>
      </c>
      <c r="K203" s="25" t="n"/>
      <c r="L203" s="1">
        <f>IF(G203="","",N(H203))</f>
        <v/>
      </c>
      <c r="M203">
        <f>IF(OR(B203="",E203="",OR(F203="Done",G203&lt;&gt;"")),"",E203+ROW()/10000000)</f>
        <v/>
      </c>
    </row>
    <row r="204">
      <c r="A204" s="1" t="n"/>
      <c r="B204" s="24" t="n"/>
      <c r="C204" s="25" t="n"/>
      <c r="D204" s="25" t="n"/>
      <c r="E204" s="26" t="n"/>
      <c r="F204" s="27" t="n"/>
      <c r="G204" s="28" t="n"/>
      <c r="H204" s="28" t="n"/>
      <c r="I204" s="16">
        <f>IF(OR(G204="",N(H204)=0),"",G204/H204)</f>
        <v/>
      </c>
      <c r="J204" s="20">
        <f>IF(OR(B204="",E204=""),"",IF(OR(F204="Done",G204&lt;&gt;""),"Done",IF(E204&lt;TODAY(),"Late by "&amp;(TODAY()-E204)&amp;IF((TODAY()-E204)=1," day"," days"),IF(E204=TODAY(),"Due today",IF(E204=TODAY()+1,"Due tomorrow","Due in "&amp;(E204-TODAY())&amp;IF((E204-TODAY())=1," day"," days"))))))</f>
        <v/>
      </c>
      <c r="K204" s="25" t="n"/>
      <c r="L204" s="1">
        <f>IF(G204="","",N(H204))</f>
        <v/>
      </c>
      <c r="M204">
        <f>IF(OR(B204="",E204="",OR(F204="Done",G204&lt;&gt;"")),"",E204+ROW()/10000000)</f>
        <v/>
      </c>
    </row>
    <row r="205">
      <c r="A205" s="1" t="n"/>
      <c r="B205" s="24" t="n"/>
      <c r="C205" s="25" t="n"/>
      <c r="D205" s="25" t="n"/>
      <c r="E205" s="26" t="n"/>
      <c r="F205" s="27" t="n"/>
      <c r="G205" s="28" t="n"/>
      <c r="H205" s="28" t="n"/>
      <c r="I205" s="16">
        <f>IF(OR(G205="",N(H205)=0),"",G205/H205)</f>
        <v/>
      </c>
      <c r="J205" s="20">
        <f>IF(OR(B205="",E205=""),"",IF(OR(F205="Done",G205&lt;&gt;""),"Done",IF(E205&lt;TODAY(),"Late by "&amp;(TODAY()-E205)&amp;IF((TODAY()-E205)=1," day"," days"),IF(E205=TODAY(),"Due today",IF(E205=TODAY()+1,"Due tomorrow","Due in "&amp;(E205-TODAY())&amp;IF((E205-TODAY())=1," day"," days"))))))</f>
        <v/>
      </c>
      <c r="K205" s="25" t="n"/>
      <c r="L205" s="1">
        <f>IF(G205="","",N(H205))</f>
        <v/>
      </c>
      <c r="M205">
        <f>IF(OR(B205="",E205="",OR(F205="Done",G205&lt;&gt;"")),"",E205+ROW()/10000000)</f>
        <v/>
      </c>
    </row>
    <row r="206">
      <c r="A206" s="1" t="n"/>
      <c r="B206" s="24" t="n"/>
      <c r="C206" s="25" t="n"/>
      <c r="D206" s="25" t="n"/>
      <c r="E206" s="26" t="n"/>
      <c r="F206" s="27" t="n"/>
      <c r="G206" s="28" t="n"/>
      <c r="H206" s="28" t="n"/>
      <c r="I206" s="16">
        <f>IF(OR(G206="",N(H206)=0),"",G206/H206)</f>
        <v/>
      </c>
      <c r="J206" s="20">
        <f>IF(OR(B206="",E206=""),"",IF(OR(F206="Done",G206&lt;&gt;""),"Done",IF(E206&lt;TODAY(),"Late by "&amp;(TODAY()-E206)&amp;IF((TODAY()-E206)=1," day"," days"),IF(E206=TODAY(),"Due today",IF(E206=TODAY()+1,"Due tomorrow","Due in "&amp;(E206-TODAY())&amp;IF((E206-TODAY())=1," day"," days"))))))</f>
        <v/>
      </c>
      <c r="K206" s="25" t="n"/>
      <c r="L206" s="1">
        <f>IF(G206="","",N(H206))</f>
        <v/>
      </c>
      <c r="M206">
        <f>IF(OR(B206="",E206="",OR(F206="Done",G206&lt;&gt;"")),"",E206+ROW()/10000000)</f>
        <v/>
      </c>
    </row>
    <row r="207">
      <c r="A207" s="1" t="n"/>
      <c r="B207" s="24" t="n"/>
      <c r="C207" s="25" t="n"/>
      <c r="D207" s="25" t="n"/>
      <c r="E207" s="26" t="n"/>
      <c r="F207" s="27" t="n"/>
      <c r="G207" s="28" t="n"/>
      <c r="H207" s="28" t="n"/>
      <c r="I207" s="16">
        <f>IF(OR(G207="",N(H207)=0),"",G207/H207)</f>
        <v/>
      </c>
      <c r="J207" s="20">
        <f>IF(OR(B207="",E207=""),"",IF(OR(F207="Done",G207&lt;&gt;""),"Done",IF(E207&lt;TODAY(),"Late by "&amp;(TODAY()-E207)&amp;IF((TODAY()-E207)=1," day"," days"),IF(E207=TODAY(),"Due today",IF(E207=TODAY()+1,"Due tomorrow","Due in "&amp;(E207-TODAY())&amp;IF((E207-TODAY())=1," day"," days"))))))</f>
        <v/>
      </c>
      <c r="K207" s="25" t="n"/>
      <c r="L207" s="1">
        <f>IF(G207="","",N(H207))</f>
        <v/>
      </c>
      <c r="M207">
        <f>IF(OR(B207="",E207="",OR(F207="Done",G207&lt;&gt;"")),"",E207+ROW()/10000000)</f>
        <v/>
      </c>
    </row>
    <row r="208">
      <c r="A208" s="1" t="n"/>
      <c r="B208" s="24" t="n"/>
      <c r="C208" s="25" t="n"/>
      <c r="D208" s="25" t="n"/>
      <c r="E208" s="26" t="n"/>
      <c r="F208" s="27" t="n"/>
      <c r="G208" s="28" t="n"/>
      <c r="H208" s="28" t="n"/>
      <c r="I208" s="16">
        <f>IF(OR(G208="",N(H208)=0),"",G208/H208)</f>
        <v/>
      </c>
      <c r="J208" s="20">
        <f>IF(OR(B208="",E208=""),"",IF(OR(F208="Done",G208&lt;&gt;""),"Done",IF(E208&lt;TODAY(),"Late by "&amp;(TODAY()-E208)&amp;IF((TODAY()-E208)=1," day"," days"),IF(E208=TODAY(),"Due today",IF(E208=TODAY()+1,"Due tomorrow","Due in "&amp;(E208-TODAY())&amp;IF((E208-TODAY())=1," day"," days"))))))</f>
        <v/>
      </c>
      <c r="K208" s="25" t="n"/>
      <c r="L208" s="1">
        <f>IF(G208="","",N(H208))</f>
        <v/>
      </c>
      <c r="M208">
        <f>IF(OR(B208="",E208="",OR(F208="Done",G208&lt;&gt;"")),"",E208+ROW()/10000000)</f>
        <v/>
      </c>
    </row>
    <row r="209">
      <c r="A209" s="1" t="n"/>
      <c r="B209" s="24" t="n"/>
      <c r="C209" s="25" t="n"/>
      <c r="D209" s="25" t="n"/>
      <c r="E209" s="26" t="n"/>
      <c r="F209" s="27" t="n"/>
      <c r="G209" s="28" t="n"/>
      <c r="H209" s="28" t="n"/>
      <c r="I209" s="16">
        <f>IF(OR(G209="",N(H209)=0),"",G209/H209)</f>
        <v/>
      </c>
      <c r="J209" s="20">
        <f>IF(OR(B209="",E209=""),"",IF(OR(F209="Done",G209&lt;&gt;""),"Done",IF(E209&lt;TODAY(),"Late by "&amp;(TODAY()-E209)&amp;IF((TODAY()-E209)=1," day"," days"),IF(E209=TODAY(),"Due today",IF(E209=TODAY()+1,"Due tomorrow","Due in "&amp;(E209-TODAY())&amp;IF((E209-TODAY())=1," day"," days"))))))</f>
        <v/>
      </c>
      <c r="K209" s="25" t="n"/>
      <c r="L209" s="1">
        <f>IF(G209="","",N(H209))</f>
        <v/>
      </c>
      <c r="M209">
        <f>IF(OR(B209="",E209="",OR(F209="Done",G209&lt;&gt;"")),"",E209+ROW()/10000000)</f>
        <v/>
      </c>
    </row>
    <row r="210">
      <c r="A210" s="1" t="n"/>
      <c r="B210" s="24" t="n"/>
      <c r="C210" s="25" t="n"/>
      <c r="D210" s="25" t="n"/>
      <c r="E210" s="26" t="n"/>
      <c r="F210" s="27" t="n"/>
      <c r="G210" s="28" t="n"/>
      <c r="H210" s="28" t="n"/>
      <c r="I210" s="16">
        <f>IF(OR(G210="",N(H210)=0),"",G210/H210)</f>
        <v/>
      </c>
      <c r="J210" s="20">
        <f>IF(OR(B210="",E210=""),"",IF(OR(F210="Done",G210&lt;&gt;""),"Done",IF(E210&lt;TODAY(),"Late by "&amp;(TODAY()-E210)&amp;IF((TODAY()-E210)=1," day"," days"),IF(E210=TODAY(),"Due today",IF(E210=TODAY()+1,"Due tomorrow","Due in "&amp;(E210-TODAY())&amp;IF((E210-TODAY())=1," day"," days"))))))</f>
        <v/>
      </c>
      <c r="K210" s="25" t="n"/>
      <c r="L210" s="1">
        <f>IF(G210="","",N(H210))</f>
        <v/>
      </c>
      <c r="M210">
        <f>IF(OR(B210="",E210="",OR(F210="Done",G210&lt;&gt;"")),"",E210+ROW()/10000000)</f>
        <v/>
      </c>
    </row>
    <row r="211">
      <c r="A211" s="1" t="n"/>
      <c r="B211" s="24" t="n"/>
      <c r="C211" s="25" t="n"/>
      <c r="D211" s="25" t="n"/>
      <c r="E211" s="26" t="n"/>
      <c r="F211" s="27" t="n"/>
      <c r="G211" s="28" t="n"/>
      <c r="H211" s="28" t="n"/>
      <c r="I211" s="16">
        <f>IF(OR(G211="",N(H211)=0),"",G211/H211)</f>
        <v/>
      </c>
      <c r="J211" s="20">
        <f>IF(OR(B211="",E211=""),"",IF(OR(F211="Done",G211&lt;&gt;""),"Done",IF(E211&lt;TODAY(),"Late by "&amp;(TODAY()-E211)&amp;IF((TODAY()-E211)=1," day"," days"),IF(E211=TODAY(),"Due today",IF(E211=TODAY()+1,"Due tomorrow","Due in "&amp;(E211-TODAY())&amp;IF((E211-TODAY())=1," day"," days"))))))</f>
        <v/>
      </c>
      <c r="K211" s="25" t="n"/>
      <c r="L211" s="1">
        <f>IF(G211="","",N(H211))</f>
        <v/>
      </c>
      <c r="M211">
        <f>IF(OR(B211="",E211="",OR(F211="Done",G211&lt;&gt;"")),"",E211+ROW()/10000000)</f>
        <v/>
      </c>
    </row>
    <row r="212">
      <c r="A212" s="1" t="n"/>
      <c r="B212" s="24" t="n"/>
      <c r="C212" s="25" t="n"/>
      <c r="D212" s="25" t="n"/>
      <c r="E212" s="26" t="n"/>
      <c r="F212" s="27" t="n"/>
      <c r="G212" s="28" t="n"/>
      <c r="H212" s="28" t="n"/>
      <c r="I212" s="16">
        <f>IF(OR(G212="",N(H212)=0),"",G212/H212)</f>
        <v/>
      </c>
      <c r="J212" s="20">
        <f>IF(OR(B212="",E212=""),"",IF(OR(F212="Done",G212&lt;&gt;""),"Done",IF(E212&lt;TODAY(),"Late by "&amp;(TODAY()-E212)&amp;IF((TODAY()-E212)=1," day"," days"),IF(E212=TODAY(),"Due today",IF(E212=TODAY()+1,"Due tomorrow","Due in "&amp;(E212-TODAY())&amp;IF((E212-TODAY())=1," day"," days"))))))</f>
        <v/>
      </c>
      <c r="K212" s="25" t="n"/>
      <c r="L212" s="1">
        <f>IF(G212="","",N(H212))</f>
        <v/>
      </c>
      <c r="M212">
        <f>IF(OR(B212="",E212="",OR(F212="Done",G212&lt;&gt;"")),"",E212+ROW()/10000000)</f>
        <v/>
      </c>
    </row>
    <row r="213">
      <c r="A213" s="1" t="n"/>
      <c r="B213" s="24" t="n"/>
      <c r="C213" s="25" t="n"/>
      <c r="D213" s="25" t="n"/>
      <c r="E213" s="26" t="n"/>
      <c r="F213" s="27" t="n"/>
      <c r="G213" s="28" t="n"/>
      <c r="H213" s="28" t="n"/>
      <c r="I213" s="16">
        <f>IF(OR(G213="",N(H213)=0),"",G213/H213)</f>
        <v/>
      </c>
      <c r="J213" s="20">
        <f>IF(OR(B213="",E213=""),"",IF(OR(F213="Done",G213&lt;&gt;""),"Done",IF(E213&lt;TODAY(),"Late by "&amp;(TODAY()-E213)&amp;IF((TODAY()-E213)=1," day"," days"),IF(E213=TODAY(),"Due today",IF(E213=TODAY()+1,"Due tomorrow","Due in "&amp;(E213-TODAY())&amp;IF((E213-TODAY())=1," day"," days"))))))</f>
        <v/>
      </c>
      <c r="K213" s="25" t="n"/>
      <c r="L213" s="1">
        <f>IF(G213="","",N(H213))</f>
        <v/>
      </c>
      <c r="M213">
        <f>IF(OR(B213="",E213="",OR(F213="Done",G213&lt;&gt;"")),"",E213+ROW()/10000000)</f>
        <v/>
      </c>
    </row>
    <row r="214">
      <c r="A214" s="1" t="n"/>
      <c r="B214" s="24" t="n"/>
      <c r="C214" s="25" t="n"/>
      <c r="D214" s="25" t="n"/>
      <c r="E214" s="26" t="n"/>
      <c r="F214" s="27" t="n"/>
      <c r="G214" s="28" t="n"/>
      <c r="H214" s="28" t="n"/>
      <c r="I214" s="16">
        <f>IF(OR(G214="",N(H214)=0),"",G214/H214)</f>
        <v/>
      </c>
      <c r="J214" s="20">
        <f>IF(OR(B214="",E214=""),"",IF(OR(F214="Done",G214&lt;&gt;""),"Done",IF(E214&lt;TODAY(),"Late by "&amp;(TODAY()-E214)&amp;IF((TODAY()-E214)=1," day"," days"),IF(E214=TODAY(),"Due today",IF(E214=TODAY()+1,"Due tomorrow","Due in "&amp;(E214-TODAY())&amp;IF((E214-TODAY())=1," day"," days"))))))</f>
        <v/>
      </c>
      <c r="K214" s="25" t="n"/>
      <c r="L214" s="1">
        <f>IF(G214="","",N(H214))</f>
        <v/>
      </c>
      <c r="M214">
        <f>IF(OR(B214="",E214="",OR(F214="Done",G214&lt;&gt;"")),"",E214+ROW()/10000000)</f>
        <v/>
      </c>
    </row>
    <row r="215">
      <c r="A215" s="1" t="n"/>
      <c r="B215" s="24" t="n"/>
      <c r="C215" s="25" t="n"/>
      <c r="D215" s="25" t="n"/>
      <c r="E215" s="26" t="n"/>
      <c r="F215" s="27" t="n"/>
      <c r="G215" s="28" t="n"/>
      <c r="H215" s="28" t="n"/>
      <c r="I215" s="16">
        <f>IF(OR(G215="",N(H215)=0),"",G215/H215)</f>
        <v/>
      </c>
      <c r="J215" s="20">
        <f>IF(OR(B215="",E215=""),"",IF(OR(F215="Done",G215&lt;&gt;""),"Done",IF(E215&lt;TODAY(),"Late by "&amp;(TODAY()-E215)&amp;IF((TODAY()-E215)=1," day"," days"),IF(E215=TODAY(),"Due today",IF(E215=TODAY()+1,"Due tomorrow","Due in "&amp;(E215-TODAY())&amp;IF((E215-TODAY())=1," day"," days"))))))</f>
        <v/>
      </c>
      <c r="K215" s="25" t="n"/>
      <c r="L215" s="1">
        <f>IF(G215="","",N(H215))</f>
        <v/>
      </c>
      <c r="M215">
        <f>IF(OR(B215="",E215="",OR(F215="Done",G215&lt;&gt;"")),"",E215+ROW()/10000000)</f>
        <v/>
      </c>
    </row>
    <row r="216">
      <c r="A216" s="1" t="n"/>
      <c r="B216" s="24" t="n"/>
      <c r="C216" s="25" t="n"/>
      <c r="D216" s="25" t="n"/>
      <c r="E216" s="26" t="n"/>
      <c r="F216" s="27" t="n"/>
      <c r="G216" s="28" t="n"/>
      <c r="H216" s="28" t="n"/>
      <c r="I216" s="16">
        <f>IF(OR(G216="",N(H216)=0),"",G216/H216)</f>
        <v/>
      </c>
      <c r="J216" s="20">
        <f>IF(OR(B216="",E216=""),"",IF(OR(F216="Done",G216&lt;&gt;""),"Done",IF(E216&lt;TODAY(),"Late by "&amp;(TODAY()-E216)&amp;IF((TODAY()-E216)=1," day"," days"),IF(E216=TODAY(),"Due today",IF(E216=TODAY()+1,"Due tomorrow","Due in "&amp;(E216-TODAY())&amp;IF((E216-TODAY())=1," day"," days"))))))</f>
        <v/>
      </c>
      <c r="K216" s="25" t="n"/>
      <c r="L216" s="1">
        <f>IF(G216="","",N(H216))</f>
        <v/>
      </c>
      <c r="M216">
        <f>IF(OR(B216="",E216="",OR(F216="Done",G216&lt;&gt;"")),"",E216+ROW()/10000000)</f>
        <v/>
      </c>
    </row>
    <row r="217">
      <c r="A217" s="1" t="n"/>
      <c r="B217" s="24" t="n"/>
      <c r="C217" s="25" t="n"/>
      <c r="D217" s="25" t="n"/>
      <c r="E217" s="26" t="n"/>
      <c r="F217" s="27" t="n"/>
      <c r="G217" s="28" t="n"/>
      <c r="H217" s="28" t="n"/>
      <c r="I217" s="16">
        <f>IF(OR(G217="",N(H217)=0),"",G217/H217)</f>
        <v/>
      </c>
      <c r="J217" s="20">
        <f>IF(OR(B217="",E217=""),"",IF(OR(F217="Done",G217&lt;&gt;""),"Done",IF(E217&lt;TODAY(),"Late by "&amp;(TODAY()-E217)&amp;IF((TODAY()-E217)=1," day"," days"),IF(E217=TODAY(),"Due today",IF(E217=TODAY()+1,"Due tomorrow","Due in "&amp;(E217-TODAY())&amp;IF((E217-TODAY())=1," day"," days"))))))</f>
        <v/>
      </c>
      <c r="K217" s="25" t="n"/>
      <c r="L217" s="1">
        <f>IF(G217="","",N(H217))</f>
        <v/>
      </c>
      <c r="M217">
        <f>IF(OR(B217="",E217="",OR(F217="Done",G217&lt;&gt;"")),"",E217+ROW()/10000000)</f>
        <v/>
      </c>
    </row>
    <row r="218">
      <c r="A218" s="1" t="n"/>
      <c r="B218" s="24" t="n"/>
      <c r="C218" s="25" t="n"/>
      <c r="D218" s="25" t="n"/>
      <c r="E218" s="26" t="n"/>
      <c r="F218" s="27" t="n"/>
      <c r="G218" s="28" t="n"/>
      <c r="H218" s="28" t="n"/>
      <c r="I218" s="16">
        <f>IF(OR(G218="",N(H218)=0),"",G218/H218)</f>
        <v/>
      </c>
      <c r="J218" s="20">
        <f>IF(OR(B218="",E218=""),"",IF(OR(F218="Done",G218&lt;&gt;""),"Done",IF(E218&lt;TODAY(),"Late by "&amp;(TODAY()-E218)&amp;IF((TODAY()-E218)=1," day"," days"),IF(E218=TODAY(),"Due today",IF(E218=TODAY()+1,"Due tomorrow","Due in "&amp;(E218-TODAY())&amp;IF((E218-TODAY())=1," day"," days"))))))</f>
        <v/>
      </c>
      <c r="K218" s="25" t="n"/>
      <c r="L218" s="1">
        <f>IF(G218="","",N(H218))</f>
        <v/>
      </c>
      <c r="M218">
        <f>IF(OR(B218="",E218="",OR(F218="Done",G218&lt;&gt;"")),"",E218+ROW()/10000000)</f>
        <v/>
      </c>
    </row>
    <row r="219">
      <c r="A219" s="1" t="n"/>
      <c r="B219" s="24" t="n"/>
      <c r="C219" s="25" t="n"/>
      <c r="D219" s="25" t="n"/>
      <c r="E219" s="26" t="n"/>
      <c r="F219" s="27" t="n"/>
      <c r="G219" s="28" t="n"/>
      <c r="H219" s="28" t="n"/>
      <c r="I219" s="16">
        <f>IF(OR(G219="",N(H219)=0),"",G219/H219)</f>
        <v/>
      </c>
      <c r="J219" s="20">
        <f>IF(OR(B219="",E219=""),"",IF(OR(F219="Done",G219&lt;&gt;""),"Done",IF(E219&lt;TODAY(),"Late by "&amp;(TODAY()-E219)&amp;IF((TODAY()-E219)=1," day"," days"),IF(E219=TODAY(),"Due today",IF(E219=TODAY()+1,"Due tomorrow","Due in "&amp;(E219-TODAY())&amp;IF((E219-TODAY())=1," day"," days"))))))</f>
        <v/>
      </c>
      <c r="K219" s="25" t="n"/>
      <c r="L219" s="1">
        <f>IF(G219="","",N(H219))</f>
        <v/>
      </c>
      <c r="M219">
        <f>IF(OR(B219="",E219="",OR(F219="Done",G219&lt;&gt;"")),"",E219+ROW()/10000000)</f>
        <v/>
      </c>
    </row>
    <row r="220">
      <c r="A220" s="1" t="n"/>
      <c r="B220" s="24" t="n"/>
      <c r="C220" s="25" t="n"/>
      <c r="D220" s="25" t="n"/>
      <c r="E220" s="26" t="n"/>
      <c r="F220" s="27" t="n"/>
      <c r="G220" s="28" t="n"/>
      <c r="H220" s="28" t="n"/>
      <c r="I220" s="16">
        <f>IF(OR(G220="",N(H220)=0),"",G220/H220)</f>
        <v/>
      </c>
      <c r="J220" s="20">
        <f>IF(OR(B220="",E220=""),"",IF(OR(F220="Done",G220&lt;&gt;""),"Done",IF(E220&lt;TODAY(),"Late by "&amp;(TODAY()-E220)&amp;IF((TODAY()-E220)=1," day"," days"),IF(E220=TODAY(),"Due today",IF(E220=TODAY()+1,"Due tomorrow","Due in "&amp;(E220-TODAY())&amp;IF((E220-TODAY())=1," day"," days"))))))</f>
        <v/>
      </c>
      <c r="K220" s="25" t="n"/>
      <c r="L220" s="1">
        <f>IF(G220="","",N(H220))</f>
        <v/>
      </c>
      <c r="M220">
        <f>IF(OR(B220="",E220="",OR(F220="Done",G220&lt;&gt;"")),"",E220+ROW()/10000000)</f>
        <v/>
      </c>
    </row>
    <row r="221">
      <c r="A221" s="1" t="n"/>
      <c r="B221" s="24" t="n"/>
      <c r="C221" s="25" t="n"/>
      <c r="D221" s="25" t="n"/>
      <c r="E221" s="26" t="n"/>
      <c r="F221" s="27" t="n"/>
      <c r="G221" s="28" t="n"/>
      <c r="H221" s="28" t="n"/>
      <c r="I221" s="16">
        <f>IF(OR(G221="",N(H221)=0),"",G221/H221)</f>
        <v/>
      </c>
      <c r="J221" s="20">
        <f>IF(OR(B221="",E221=""),"",IF(OR(F221="Done",G221&lt;&gt;""),"Done",IF(E221&lt;TODAY(),"Late by "&amp;(TODAY()-E221)&amp;IF((TODAY()-E221)=1," day"," days"),IF(E221=TODAY(),"Due today",IF(E221=TODAY()+1,"Due tomorrow","Due in "&amp;(E221-TODAY())&amp;IF((E221-TODAY())=1," day"," days"))))))</f>
        <v/>
      </c>
      <c r="K221" s="25" t="n"/>
      <c r="L221" s="1">
        <f>IF(G221="","",N(H221))</f>
        <v/>
      </c>
      <c r="M221">
        <f>IF(OR(B221="",E221="",OR(F221="Done",G221&lt;&gt;"")),"",E221+ROW()/10000000)</f>
        <v/>
      </c>
    </row>
    <row r="222">
      <c r="A222" s="1" t="n"/>
      <c r="B222" s="24" t="n"/>
      <c r="C222" s="25" t="n"/>
      <c r="D222" s="25" t="n"/>
      <c r="E222" s="26" t="n"/>
      <c r="F222" s="27" t="n"/>
      <c r="G222" s="28" t="n"/>
      <c r="H222" s="28" t="n"/>
      <c r="I222" s="16">
        <f>IF(OR(G222="",N(H222)=0),"",G222/H222)</f>
        <v/>
      </c>
      <c r="J222" s="20">
        <f>IF(OR(B222="",E222=""),"",IF(OR(F222="Done",G222&lt;&gt;""),"Done",IF(E222&lt;TODAY(),"Late by "&amp;(TODAY()-E222)&amp;IF((TODAY()-E222)=1," day"," days"),IF(E222=TODAY(),"Due today",IF(E222=TODAY()+1,"Due tomorrow","Due in "&amp;(E222-TODAY())&amp;IF((E222-TODAY())=1," day"," days"))))))</f>
        <v/>
      </c>
      <c r="K222" s="25" t="n"/>
      <c r="L222" s="1">
        <f>IF(G222="","",N(H222))</f>
        <v/>
      </c>
      <c r="M222">
        <f>IF(OR(B222="",E222="",OR(F222="Done",G222&lt;&gt;"")),"",E222+ROW()/10000000)</f>
        <v/>
      </c>
    </row>
    <row r="223">
      <c r="A223" s="1" t="n"/>
      <c r="B223" s="24" t="n"/>
      <c r="C223" s="25" t="n"/>
      <c r="D223" s="25" t="n"/>
      <c r="E223" s="26" t="n"/>
      <c r="F223" s="27" t="n"/>
      <c r="G223" s="28" t="n"/>
      <c r="H223" s="28" t="n"/>
      <c r="I223" s="16">
        <f>IF(OR(G223="",N(H223)=0),"",G223/H223)</f>
        <v/>
      </c>
      <c r="J223" s="20">
        <f>IF(OR(B223="",E223=""),"",IF(OR(F223="Done",G223&lt;&gt;""),"Done",IF(E223&lt;TODAY(),"Late by "&amp;(TODAY()-E223)&amp;IF((TODAY()-E223)=1," day"," days"),IF(E223=TODAY(),"Due today",IF(E223=TODAY()+1,"Due tomorrow","Due in "&amp;(E223-TODAY())&amp;IF((E223-TODAY())=1," day"," days"))))))</f>
        <v/>
      </c>
      <c r="K223" s="25" t="n"/>
      <c r="L223" s="1">
        <f>IF(G223="","",N(H223))</f>
        <v/>
      </c>
      <c r="M223">
        <f>IF(OR(B223="",E223="",OR(F223="Done",G223&lt;&gt;"")),"",E223+ROW()/10000000)</f>
        <v/>
      </c>
    </row>
    <row r="224">
      <c r="A224" s="1" t="n"/>
      <c r="B224" s="24" t="n"/>
      <c r="C224" s="25" t="n"/>
      <c r="D224" s="25" t="n"/>
      <c r="E224" s="26" t="n"/>
      <c r="F224" s="27" t="n"/>
      <c r="G224" s="28" t="n"/>
      <c r="H224" s="28" t="n"/>
      <c r="I224" s="16">
        <f>IF(OR(G224="",N(H224)=0),"",G224/H224)</f>
        <v/>
      </c>
      <c r="J224" s="20">
        <f>IF(OR(B224="",E224=""),"",IF(OR(F224="Done",G224&lt;&gt;""),"Done",IF(E224&lt;TODAY(),"Late by "&amp;(TODAY()-E224)&amp;IF((TODAY()-E224)=1," day"," days"),IF(E224=TODAY(),"Due today",IF(E224=TODAY()+1,"Due tomorrow","Due in "&amp;(E224-TODAY())&amp;IF((E224-TODAY())=1," day"," days"))))))</f>
        <v/>
      </c>
      <c r="K224" s="25" t="n"/>
      <c r="L224" s="1">
        <f>IF(G224="","",N(H224))</f>
        <v/>
      </c>
      <c r="M224">
        <f>IF(OR(B224="",E224="",OR(F224="Done",G224&lt;&gt;"")),"",E224+ROW()/10000000)</f>
        <v/>
      </c>
    </row>
    <row r="225">
      <c r="A225" s="1" t="n"/>
      <c r="B225" s="24" t="n"/>
      <c r="C225" s="25" t="n"/>
      <c r="D225" s="25" t="n"/>
      <c r="E225" s="26" t="n"/>
      <c r="F225" s="27" t="n"/>
      <c r="G225" s="28" t="n"/>
      <c r="H225" s="28" t="n"/>
      <c r="I225" s="16">
        <f>IF(OR(G225="",N(H225)=0),"",G225/H225)</f>
        <v/>
      </c>
      <c r="J225" s="20">
        <f>IF(OR(B225="",E225=""),"",IF(OR(F225="Done",G225&lt;&gt;""),"Done",IF(E225&lt;TODAY(),"Late by "&amp;(TODAY()-E225)&amp;IF((TODAY()-E225)=1," day"," days"),IF(E225=TODAY(),"Due today",IF(E225=TODAY()+1,"Due tomorrow","Due in "&amp;(E225-TODAY())&amp;IF((E225-TODAY())=1," day"," days"))))))</f>
        <v/>
      </c>
      <c r="K225" s="25" t="n"/>
      <c r="L225" s="1">
        <f>IF(G225="","",N(H225))</f>
        <v/>
      </c>
      <c r="M225">
        <f>IF(OR(B225="",E225="",OR(F225="Done",G225&lt;&gt;"")),"",E225+ROW()/10000000)</f>
        <v/>
      </c>
    </row>
    <row r="226">
      <c r="A226" s="1" t="n"/>
      <c r="B226" s="24" t="n"/>
      <c r="C226" s="25" t="n"/>
      <c r="D226" s="25" t="n"/>
      <c r="E226" s="26" t="n"/>
      <c r="F226" s="27" t="n"/>
      <c r="G226" s="28" t="n"/>
      <c r="H226" s="28" t="n"/>
      <c r="I226" s="16">
        <f>IF(OR(G226="",N(H226)=0),"",G226/H226)</f>
        <v/>
      </c>
      <c r="J226" s="20">
        <f>IF(OR(B226="",E226=""),"",IF(OR(F226="Done",G226&lt;&gt;""),"Done",IF(E226&lt;TODAY(),"Late by "&amp;(TODAY()-E226)&amp;IF((TODAY()-E226)=1," day"," days"),IF(E226=TODAY(),"Due today",IF(E226=TODAY()+1,"Due tomorrow","Due in "&amp;(E226-TODAY())&amp;IF((E226-TODAY())=1," day"," days"))))))</f>
        <v/>
      </c>
      <c r="K226" s="25" t="n"/>
      <c r="L226" s="1">
        <f>IF(G226="","",N(H226))</f>
        <v/>
      </c>
      <c r="M226">
        <f>IF(OR(B226="",E226="",OR(F226="Done",G226&lt;&gt;"")),"",E226+ROW()/10000000)</f>
        <v/>
      </c>
    </row>
    <row r="227">
      <c r="A227" s="1" t="n"/>
      <c r="B227" s="24" t="n"/>
      <c r="C227" s="25" t="n"/>
      <c r="D227" s="25" t="n"/>
      <c r="E227" s="26" t="n"/>
      <c r="F227" s="27" t="n"/>
      <c r="G227" s="28" t="n"/>
      <c r="H227" s="28" t="n"/>
      <c r="I227" s="16">
        <f>IF(OR(G227="",N(H227)=0),"",G227/H227)</f>
        <v/>
      </c>
      <c r="J227" s="20">
        <f>IF(OR(B227="",E227=""),"",IF(OR(F227="Done",G227&lt;&gt;""),"Done",IF(E227&lt;TODAY(),"Late by "&amp;(TODAY()-E227)&amp;IF((TODAY()-E227)=1," day"," days"),IF(E227=TODAY(),"Due today",IF(E227=TODAY()+1,"Due tomorrow","Due in "&amp;(E227-TODAY())&amp;IF((E227-TODAY())=1," day"," days"))))))</f>
        <v/>
      </c>
      <c r="K227" s="25" t="n"/>
      <c r="L227" s="1">
        <f>IF(G227="","",N(H227))</f>
        <v/>
      </c>
      <c r="M227">
        <f>IF(OR(B227="",E227="",OR(F227="Done",G227&lt;&gt;"")),"",E227+ROW()/10000000)</f>
        <v/>
      </c>
    </row>
    <row r="228">
      <c r="A228" s="1" t="n"/>
      <c r="B228" s="24" t="n"/>
      <c r="C228" s="25" t="n"/>
      <c r="D228" s="25" t="n"/>
      <c r="E228" s="26" t="n"/>
      <c r="F228" s="27" t="n"/>
      <c r="G228" s="28" t="n"/>
      <c r="H228" s="28" t="n"/>
      <c r="I228" s="16">
        <f>IF(OR(G228="",N(H228)=0),"",G228/H228)</f>
        <v/>
      </c>
      <c r="J228" s="20">
        <f>IF(OR(B228="",E228=""),"",IF(OR(F228="Done",G228&lt;&gt;""),"Done",IF(E228&lt;TODAY(),"Late by "&amp;(TODAY()-E228)&amp;IF((TODAY()-E228)=1," day"," days"),IF(E228=TODAY(),"Due today",IF(E228=TODAY()+1,"Due tomorrow","Due in "&amp;(E228-TODAY())&amp;IF((E228-TODAY())=1," day"," days"))))))</f>
        <v/>
      </c>
      <c r="K228" s="25" t="n"/>
      <c r="L228" s="1">
        <f>IF(G228="","",N(H228))</f>
        <v/>
      </c>
      <c r="M228">
        <f>IF(OR(B228="",E228="",OR(F228="Done",G228&lt;&gt;"")),"",E228+ROW()/10000000)</f>
        <v/>
      </c>
    </row>
    <row r="229">
      <c r="A229" s="1" t="n"/>
      <c r="B229" s="24" t="n"/>
      <c r="C229" s="25" t="n"/>
      <c r="D229" s="25" t="n"/>
      <c r="E229" s="26" t="n"/>
      <c r="F229" s="27" t="n"/>
      <c r="G229" s="28" t="n"/>
      <c r="H229" s="28" t="n"/>
      <c r="I229" s="16">
        <f>IF(OR(G229="",N(H229)=0),"",G229/H229)</f>
        <v/>
      </c>
      <c r="J229" s="20">
        <f>IF(OR(B229="",E229=""),"",IF(OR(F229="Done",G229&lt;&gt;""),"Done",IF(E229&lt;TODAY(),"Late by "&amp;(TODAY()-E229)&amp;IF((TODAY()-E229)=1," day"," days"),IF(E229=TODAY(),"Due today",IF(E229=TODAY()+1,"Due tomorrow","Due in "&amp;(E229-TODAY())&amp;IF((E229-TODAY())=1," day"," days"))))))</f>
        <v/>
      </c>
      <c r="K229" s="25" t="n"/>
      <c r="L229" s="1">
        <f>IF(G229="","",N(H229))</f>
        <v/>
      </c>
      <c r="M229">
        <f>IF(OR(B229="",E229="",OR(F229="Done",G229&lt;&gt;"")),"",E229+ROW()/10000000)</f>
        <v/>
      </c>
    </row>
    <row r="230">
      <c r="A230" s="1" t="n"/>
      <c r="B230" s="24" t="n"/>
      <c r="C230" s="25" t="n"/>
      <c r="D230" s="25" t="n"/>
      <c r="E230" s="26" t="n"/>
      <c r="F230" s="27" t="n"/>
      <c r="G230" s="28" t="n"/>
      <c r="H230" s="28" t="n"/>
      <c r="I230" s="16">
        <f>IF(OR(G230="",N(H230)=0),"",G230/H230)</f>
        <v/>
      </c>
      <c r="J230" s="20">
        <f>IF(OR(B230="",E230=""),"",IF(OR(F230="Done",G230&lt;&gt;""),"Done",IF(E230&lt;TODAY(),"Late by "&amp;(TODAY()-E230)&amp;IF((TODAY()-E230)=1," day"," days"),IF(E230=TODAY(),"Due today",IF(E230=TODAY()+1,"Due tomorrow","Due in "&amp;(E230-TODAY())&amp;IF((E230-TODAY())=1," day"," days"))))))</f>
        <v/>
      </c>
      <c r="K230" s="25" t="n"/>
      <c r="L230" s="1">
        <f>IF(G230="","",N(H230))</f>
        <v/>
      </c>
      <c r="M230">
        <f>IF(OR(B230="",E230="",OR(F230="Done",G230&lt;&gt;"")),"",E230+ROW()/10000000)</f>
        <v/>
      </c>
    </row>
    <row r="231">
      <c r="A231" s="1" t="n"/>
      <c r="B231" s="24" t="n"/>
      <c r="C231" s="25" t="n"/>
      <c r="D231" s="25" t="n"/>
      <c r="E231" s="26" t="n"/>
      <c r="F231" s="27" t="n"/>
      <c r="G231" s="28" t="n"/>
      <c r="H231" s="28" t="n"/>
      <c r="I231" s="16">
        <f>IF(OR(G231="",N(H231)=0),"",G231/H231)</f>
        <v/>
      </c>
      <c r="J231" s="20">
        <f>IF(OR(B231="",E231=""),"",IF(OR(F231="Done",G231&lt;&gt;""),"Done",IF(E231&lt;TODAY(),"Late by "&amp;(TODAY()-E231)&amp;IF((TODAY()-E231)=1," day"," days"),IF(E231=TODAY(),"Due today",IF(E231=TODAY()+1,"Due tomorrow","Due in "&amp;(E231-TODAY())&amp;IF((E231-TODAY())=1," day"," days"))))))</f>
        <v/>
      </c>
      <c r="K231" s="25" t="n"/>
      <c r="L231" s="1">
        <f>IF(G231="","",N(H231))</f>
        <v/>
      </c>
      <c r="M231">
        <f>IF(OR(B231="",E231="",OR(F231="Done",G231&lt;&gt;"")),"",E231+ROW()/10000000)</f>
        <v/>
      </c>
    </row>
    <row r="232">
      <c r="A232" s="1" t="n"/>
      <c r="B232" s="24" t="n"/>
      <c r="C232" s="25" t="n"/>
      <c r="D232" s="25" t="n"/>
      <c r="E232" s="26" t="n"/>
      <c r="F232" s="27" t="n"/>
      <c r="G232" s="28" t="n"/>
      <c r="H232" s="28" t="n"/>
      <c r="I232" s="16">
        <f>IF(OR(G232="",N(H232)=0),"",G232/H232)</f>
        <v/>
      </c>
      <c r="J232" s="20">
        <f>IF(OR(B232="",E232=""),"",IF(OR(F232="Done",G232&lt;&gt;""),"Done",IF(E232&lt;TODAY(),"Late by "&amp;(TODAY()-E232)&amp;IF((TODAY()-E232)=1," day"," days"),IF(E232=TODAY(),"Due today",IF(E232=TODAY()+1,"Due tomorrow","Due in "&amp;(E232-TODAY())&amp;IF((E232-TODAY())=1," day"," days"))))))</f>
        <v/>
      </c>
      <c r="K232" s="25" t="n"/>
      <c r="L232" s="1">
        <f>IF(G232="","",N(H232))</f>
        <v/>
      </c>
      <c r="M232">
        <f>IF(OR(B232="",E232="",OR(F232="Done",G232&lt;&gt;"")),"",E232+ROW()/10000000)</f>
        <v/>
      </c>
    </row>
    <row r="233">
      <c r="A233" s="1" t="n"/>
      <c r="B233" s="24" t="n"/>
      <c r="C233" s="25" t="n"/>
      <c r="D233" s="25" t="n"/>
      <c r="E233" s="26" t="n"/>
      <c r="F233" s="27" t="n"/>
      <c r="G233" s="28" t="n"/>
      <c r="H233" s="28" t="n"/>
      <c r="I233" s="16">
        <f>IF(OR(G233="",N(H233)=0),"",G233/H233)</f>
        <v/>
      </c>
      <c r="J233" s="20">
        <f>IF(OR(B233="",E233=""),"",IF(OR(F233="Done",G233&lt;&gt;""),"Done",IF(E233&lt;TODAY(),"Late by "&amp;(TODAY()-E233)&amp;IF((TODAY()-E233)=1," day"," days"),IF(E233=TODAY(),"Due today",IF(E233=TODAY()+1,"Due tomorrow","Due in "&amp;(E233-TODAY())&amp;IF((E233-TODAY())=1," day"," days"))))))</f>
        <v/>
      </c>
      <c r="K233" s="25" t="n"/>
      <c r="L233" s="1">
        <f>IF(G233="","",N(H233))</f>
        <v/>
      </c>
      <c r="M233">
        <f>IF(OR(B233="",E233="",OR(F233="Done",G233&lt;&gt;"")),"",E233+ROW()/10000000)</f>
        <v/>
      </c>
    </row>
    <row r="234">
      <c r="A234" s="1" t="n"/>
      <c r="B234" s="24" t="n"/>
      <c r="C234" s="25" t="n"/>
      <c r="D234" s="25" t="n"/>
      <c r="E234" s="26" t="n"/>
      <c r="F234" s="27" t="n"/>
      <c r="G234" s="28" t="n"/>
      <c r="H234" s="28" t="n"/>
      <c r="I234" s="16">
        <f>IF(OR(G234="",N(H234)=0),"",G234/H234)</f>
        <v/>
      </c>
      <c r="J234" s="20">
        <f>IF(OR(B234="",E234=""),"",IF(OR(F234="Done",G234&lt;&gt;""),"Done",IF(E234&lt;TODAY(),"Late by "&amp;(TODAY()-E234)&amp;IF((TODAY()-E234)=1," day"," days"),IF(E234=TODAY(),"Due today",IF(E234=TODAY()+1,"Due tomorrow","Due in "&amp;(E234-TODAY())&amp;IF((E234-TODAY())=1," day"," days"))))))</f>
        <v/>
      </c>
      <c r="K234" s="25" t="n"/>
      <c r="L234" s="1">
        <f>IF(G234="","",N(H234))</f>
        <v/>
      </c>
      <c r="M234">
        <f>IF(OR(B234="",E234="",OR(F234="Done",G234&lt;&gt;"")),"",E234+ROW()/10000000)</f>
        <v/>
      </c>
    </row>
    <row r="235">
      <c r="A235" s="1" t="n"/>
      <c r="B235" s="24" t="n"/>
      <c r="C235" s="25" t="n"/>
      <c r="D235" s="25" t="n"/>
      <c r="E235" s="26" t="n"/>
      <c r="F235" s="27" t="n"/>
      <c r="G235" s="28" t="n"/>
      <c r="H235" s="28" t="n"/>
      <c r="I235" s="16">
        <f>IF(OR(G235="",N(H235)=0),"",G235/H235)</f>
        <v/>
      </c>
      <c r="J235" s="20">
        <f>IF(OR(B235="",E235=""),"",IF(OR(F235="Done",G235&lt;&gt;""),"Done",IF(E235&lt;TODAY(),"Late by "&amp;(TODAY()-E235)&amp;IF((TODAY()-E235)=1," day"," days"),IF(E235=TODAY(),"Due today",IF(E235=TODAY()+1,"Due tomorrow","Due in "&amp;(E235-TODAY())&amp;IF((E235-TODAY())=1," day"," days"))))))</f>
        <v/>
      </c>
      <c r="K235" s="25" t="n"/>
      <c r="L235" s="1">
        <f>IF(G235="","",N(H235))</f>
        <v/>
      </c>
      <c r="M235">
        <f>IF(OR(B235="",E235="",OR(F235="Done",G235&lt;&gt;"")),"",E235+ROW()/10000000)</f>
        <v/>
      </c>
    </row>
    <row r="236">
      <c r="A236" s="1" t="n"/>
      <c r="B236" s="24" t="n"/>
      <c r="C236" s="25" t="n"/>
      <c r="D236" s="25" t="n"/>
      <c r="E236" s="26" t="n"/>
      <c r="F236" s="27" t="n"/>
      <c r="G236" s="28" t="n"/>
      <c r="H236" s="28" t="n"/>
      <c r="I236" s="16">
        <f>IF(OR(G236="",N(H236)=0),"",G236/H236)</f>
        <v/>
      </c>
      <c r="J236" s="20">
        <f>IF(OR(B236="",E236=""),"",IF(OR(F236="Done",G236&lt;&gt;""),"Done",IF(E236&lt;TODAY(),"Late by "&amp;(TODAY()-E236)&amp;IF((TODAY()-E236)=1," day"," days"),IF(E236=TODAY(),"Due today",IF(E236=TODAY()+1,"Due tomorrow","Due in "&amp;(E236-TODAY())&amp;IF((E236-TODAY())=1," day"," days"))))))</f>
        <v/>
      </c>
      <c r="K236" s="25" t="n"/>
      <c r="L236" s="1">
        <f>IF(G236="","",N(H236))</f>
        <v/>
      </c>
      <c r="M236">
        <f>IF(OR(B236="",E236="",OR(F236="Done",G236&lt;&gt;"")),"",E236+ROW()/10000000)</f>
        <v/>
      </c>
    </row>
    <row r="237">
      <c r="A237" s="1" t="n"/>
      <c r="B237" s="24" t="n"/>
      <c r="C237" s="25" t="n"/>
      <c r="D237" s="25" t="n"/>
      <c r="E237" s="26" t="n"/>
      <c r="F237" s="27" t="n"/>
      <c r="G237" s="28" t="n"/>
      <c r="H237" s="28" t="n"/>
      <c r="I237" s="16">
        <f>IF(OR(G237="",N(H237)=0),"",G237/H237)</f>
        <v/>
      </c>
      <c r="J237" s="20">
        <f>IF(OR(B237="",E237=""),"",IF(OR(F237="Done",G237&lt;&gt;""),"Done",IF(E237&lt;TODAY(),"Late by "&amp;(TODAY()-E237)&amp;IF((TODAY()-E237)=1," day"," days"),IF(E237=TODAY(),"Due today",IF(E237=TODAY()+1,"Due tomorrow","Due in "&amp;(E237-TODAY())&amp;IF((E237-TODAY())=1," day"," days"))))))</f>
        <v/>
      </c>
      <c r="K237" s="25" t="n"/>
      <c r="L237" s="1">
        <f>IF(G237="","",N(H237))</f>
        <v/>
      </c>
      <c r="M237">
        <f>IF(OR(B237="",E237="",OR(F237="Done",G237&lt;&gt;"")),"",E237+ROW()/10000000)</f>
        <v/>
      </c>
    </row>
    <row r="238">
      <c r="A238" s="1" t="n"/>
      <c r="B238" s="24" t="n"/>
      <c r="C238" s="25" t="n"/>
      <c r="D238" s="25" t="n"/>
      <c r="E238" s="26" t="n"/>
      <c r="F238" s="27" t="n"/>
      <c r="G238" s="28" t="n"/>
      <c r="H238" s="28" t="n"/>
      <c r="I238" s="16">
        <f>IF(OR(G238="",N(H238)=0),"",G238/H238)</f>
        <v/>
      </c>
      <c r="J238" s="20">
        <f>IF(OR(B238="",E238=""),"",IF(OR(F238="Done",G238&lt;&gt;""),"Done",IF(E238&lt;TODAY(),"Late by "&amp;(TODAY()-E238)&amp;IF((TODAY()-E238)=1," day"," days"),IF(E238=TODAY(),"Due today",IF(E238=TODAY()+1,"Due tomorrow","Due in "&amp;(E238-TODAY())&amp;IF((E238-TODAY())=1," day"," days"))))))</f>
        <v/>
      </c>
      <c r="K238" s="25" t="n"/>
      <c r="L238" s="1">
        <f>IF(G238="","",N(H238))</f>
        <v/>
      </c>
      <c r="M238">
        <f>IF(OR(B238="",E238="",OR(F238="Done",G238&lt;&gt;"")),"",E238+ROW()/10000000)</f>
        <v/>
      </c>
    </row>
    <row r="239">
      <c r="A239" s="1" t="n"/>
      <c r="B239" s="24" t="n"/>
      <c r="C239" s="25" t="n"/>
      <c r="D239" s="25" t="n"/>
      <c r="E239" s="26" t="n"/>
      <c r="F239" s="27" t="n"/>
      <c r="G239" s="28" t="n"/>
      <c r="H239" s="28" t="n"/>
      <c r="I239" s="16">
        <f>IF(OR(G239="",N(H239)=0),"",G239/H239)</f>
        <v/>
      </c>
      <c r="J239" s="20">
        <f>IF(OR(B239="",E239=""),"",IF(OR(F239="Done",G239&lt;&gt;""),"Done",IF(E239&lt;TODAY(),"Late by "&amp;(TODAY()-E239)&amp;IF((TODAY()-E239)=1," day"," days"),IF(E239=TODAY(),"Due today",IF(E239=TODAY()+1,"Due tomorrow","Due in "&amp;(E239-TODAY())&amp;IF((E239-TODAY())=1," day"," days"))))))</f>
        <v/>
      </c>
      <c r="K239" s="25" t="n"/>
      <c r="L239" s="1">
        <f>IF(G239="","",N(H239))</f>
        <v/>
      </c>
      <c r="M239">
        <f>IF(OR(B239="",E239="",OR(F239="Done",G239&lt;&gt;"")),"",E239+ROW()/10000000)</f>
        <v/>
      </c>
    </row>
    <row r="240">
      <c r="A240" s="1" t="n"/>
      <c r="B240" s="24" t="n"/>
      <c r="C240" s="25" t="n"/>
      <c r="D240" s="25" t="n"/>
      <c r="E240" s="26" t="n"/>
      <c r="F240" s="27" t="n"/>
      <c r="G240" s="28" t="n"/>
      <c r="H240" s="28" t="n"/>
      <c r="I240" s="16">
        <f>IF(OR(G240="",N(H240)=0),"",G240/H240)</f>
        <v/>
      </c>
      <c r="J240" s="20">
        <f>IF(OR(B240="",E240=""),"",IF(OR(F240="Done",G240&lt;&gt;""),"Done",IF(E240&lt;TODAY(),"Late by "&amp;(TODAY()-E240)&amp;IF((TODAY()-E240)=1," day"," days"),IF(E240=TODAY(),"Due today",IF(E240=TODAY()+1,"Due tomorrow","Due in "&amp;(E240-TODAY())&amp;IF((E240-TODAY())=1," day"," days"))))))</f>
        <v/>
      </c>
      <c r="K240" s="25" t="n"/>
      <c r="L240" s="1">
        <f>IF(G240="","",N(H240))</f>
        <v/>
      </c>
      <c r="M240">
        <f>IF(OR(B240="",E240="",OR(F240="Done",G240&lt;&gt;"")),"",E240+ROW()/10000000)</f>
        <v/>
      </c>
    </row>
    <row r="241">
      <c r="A241" s="1" t="n"/>
      <c r="B241" s="24" t="n"/>
      <c r="C241" s="25" t="n"/>
      <c r="D241" s="25" t="n"/>
      <c r="E241" s="26" t="n"/>
      <c r="F241" s="27" t="n"/>
      <c r="G241" s="28" t="n"/>
      <c r="H241" s="28" t="n"/>
      <c r="I241" s="16">
        <f>IF(OR(G241="",N(H241)=0),"",G241/H241)</f>
        <v/>
      </c>
      <c r="J241" s="20">
        <f>IF(OR(B241="",E241=""),"",IF(OR(F241="Done",G241&lt;&gt;""),"Done",IF(E241&lt;TODAY(),"Late by "&amp;(TODAY()-E241)&amp;IF((TODAY()-E241)=1," day"," days"),IF(E241=TODAY(),"Due today",IF(E241=TODAY()+1,"Due tomorrow","Due in "&amp;(E241-TODAY())&amp;IF((E241-TODAY())=1," day"," days"))))))</f>
        <v/>
      </c>
      <c r="K241" s="25" t="n"/>
      <c r="L241" s="1">
        <f>IF(G241="","",N(H241))</f>
        <v/>
      </c>
      <c r="M241">
        <f>IF(OR(B241="",E241="",OR(F241="Done",G241&lt;&gt;"")),"",E241+ROW()/10000000)</f>
        <v/>
      </c>
    </row>
    <row r="242">
      <c r="A242" s="1" t="n"/>
      <c r="B242" s="24" t="n"/>
      <c r="C242" s="25" t="n"/>
      <c r="D242" s="25" t="n"/>
      <c r="E242" s="26" t="n"/>
      <c r="F242" s="27" t="n"/>
      <c r="G242" s="28" t="n"/>
      <c r="H242" s="28" t="n"/>
      <c r="I242" s="16">
        <f>IF(OR(G242="",N(H242)=0),"",G242/H242)</f>
        <v/>
      </c>
      <c r="J242" s="20">
        <f>IF(OR(B242="",E242=""),"",IF(OR(F242="Done",G242&lt;&gt;""),"Done",IF(E242&lt;TODAY(),"Late by "&amp;(TODAY()-E242)&amp;IF((TODAY()-E242)=1," day"," days"),IF(E242=TODAY(),"Due today",IF(E242=TODAY()+1,"Due tomorrow","Due in "&amp;(E242-TODAY())&amp;IF((E242-TODAY())=1," day"," days"))))))</f>
        <v/>
      </c>
      <c r="K242" s="25" t="n"/>
      <c r="L242" s="1">
        <f>IF(G242="","",N(H242))</f>
        <v/>
      </c>
      <c r="M242">
        <f>IF(OR(B242="",E242="",OR(F242="Done",G242&lt;&gt;"")),"",E242+ROW()/10000000)</f>
        <v/>
      </c>
    </row>
    <row r="243">
      <c r="A243" s="1" t="n"/>
      <c r="B243" s="24" t="n"/>
      <c r="C243" s="25" t="n"/>
      <c r="D243" s="25" t="n"/>
      <c r="E243" s="26" t="n"/>
      <c r="F243" s="27" t="n"/>
      <c r="G243" s="28" t="n"/>
      <c r="H243" s="28" t="n"/>
      <c r="I243" s="16">
        <f>IF(OR(G243="",N(H243)=0),"",G243/H243)</f>
        <v/>
      </c>
      <c r="J243" s="20">
        <f>IF(OR(B243="",E243=""),"",IF(OR(F243="Done",G243&lt;&gt;""),"Done",IF(E243&lt;TODAY(),"Late by "&amp;(TODAY()-E243)&amp;IF((TODAY()-E243)=1," day"," days"),IF(E243=TODAY(),"Due today",IF(E243=TODAY()+1,"Due tomorrow","Due in "&amp;(E243-TODAY())&amp;IF((E243-TODAY())=1," day"," days"))))))</f>
        <v/>
      </c>
      <c r="K243" s="25" t="n"/>
      <c r="L243" s="1">
        <f>IF(G243="","",N(H243))</f>
        <v/>
      </c>
      <c r="M243">
        <f>IF(OR(B243="",E243="",OR(F243="Done",G243&lt;&gt;"")),"",E243+ROW()/10000000)</f>
        <v/>
      </c>
    </row>
    <row r="244">
      <c r="A244" s="1" t="n"/>
      <c r="B244" s="24" t="n"/>
      <c r="C244" s="25" t="n"/>
      <c r="D244" s="25" t="n"/>
      <c r="E244" s="26" t="n"/>
      <c r="F244" s="27" t="n"/>
      <c r="G244" s="28" t="n"/>
      <c r="H244" s="28" t="n"/>
      <c r="I244" s="16">
        <f>IF(OR(G244="",N(H244)=0),"",G244/H244)</f>
        <v/>
      </c>
      <c r="J244" s="20">
        <f>IF(OR(B244="",E244=""),"",IF(OR(F244="Done",G244&lt;&gt;""),"Done",IF(E244&lt;TODAY(),"Late by "&amp;(TODAY()-E244)&amp;IF((TODAY()-E244)=1," day"," days"),IF(E244=TODAY(),"Due today",IF(E244=TODAY()+1,"Due tomorrow","Due in "&amp;(E244-TODAY())&amp;IF((E244-TODAY())=1," day"," days"))))))</f>
        <v/>
      </c>
      <c r="K244" s="25" t="n"/>
      <c r="L244" s="1">
        <f>IF(G244="","",N(H244))</f>
        <v/>
      </c>
      <c r="M244">
        <f>IF(OR(B244="",E244="",OR(F244="Done",G244&lt;&gt;"")),"",E244+ROW()/10000000)</f>
        <v/>
      </c>
    </row>
    <row r="245">
      <c r="A245" s="1" t="n"/>
      <c r="B245" s="24" t="n"/>
      <c r="C245" s="25" t="n"/>
      <c r="D245" s="25" t="n"/>
      <c r="E245" s="26" t="n"/>
      <c r="F245" s="27" t="n"/>
      <c r="G245" s="28" t="n"/>
      <c r="H245" s="28" t="n"/>
      <c r="I245" s="16">
        <f>IF(OR(G245="",N(H245)=0),"",G245/H245)</f>
        <v/>
      </c>
      <c r="J245" s="20">
        <f>IF(OR(B245="",E245=""),"",IF(OR(F245="Done",G245&lt;&gt;""),"Done",IF(E245&lt;TODAY(),"Late by "&amp;(TODAY()-E245)&amp;IF((TODAY()-E245)=1," day"," days"),IF(E245=TODAY(),"Due today",IF(E245=TODAY()+1,"Due tomorrow","Due in "&amp;(E245-TODAY())&amp;IF((E245-TODAY())=1," day"," days"))))))</f>
        <v/>
      </c>
      <c r="K245" s="25" t="n"/>
      <c r="L245" s="1">
        <f>IF(G245="","",N(H245))</f>
        <v/>
      </c>
      <c r="M245">
        <f>IF(OR(B245="",E245="",OR(F245="Done",G245&lt;&gt;"")),"",E245+ROW()/10000000)</f>
        <v/>
      </c>
    </row>
    <row r="246">
      <c r="A246" s="1" t="n"/>
      <c r="B246" s="24" t="n"/>
      <c r="C246" s="25" t="n"/>
      <c r="D246" s="25" t="n"/>
      <c r="E246" s="26" t="n"/>
      <c r="F246" s="27" t="n"/>
      <c r="G246" s="28" t="n"/>
      <c r="H246" s="28" t="n"/>
      <c r="I246" s="16">
        <f>IF(OR(G246="",N(H246)=0),"",G246/H246)</f>
        <v/>
      </c>
      <c r="J246" s="20">
        <f>IF(OR(B246="",E246=""),"",IF(OR(F246="Done",G246&lt;&gt;""),"Done",IF(E246&lt;TODAY(),"Late by "&amp;(TODAY()-E246)&amp;IF((TODAY()-E246)=1," day"," days"),IF(E246=TODAY(),"Due today",IF(E246=TODAY()+1,"Due tomorrow","Due in "&amp;(E246-TODAY())&amp;IF((E246-TODAY())=1," day"," days"))))))</f>
        <v/>
      </c>
      <c r="K246" s="25" t="n"/>
      <c r="L246" s="1">
        <f>IF(G246="","",N(H246))</f>
        <v/>
      </c>
      <c r="M246">
        <f>IF(OR(B246="",E246="",OR(F246="Done",G246&lt;&gt;"")),"",E246+ROW()/10000000)</f>
        <v/>
      </c>
    </row>
    <row r="247">
      <c r="A247" s="1" t="n"/>
      <c r="B247" s="24" t="n"/>
      <c r="C247" s="25" t="n"/>
      <c r="D247" s="25" t="n"/>
      <c r="E247" s="26" t="n"/>
      <c r="F247" s="27" t="n"/>
      <c r="G247" s="28" t="n"/>
      <c r="H247" s="28" t="n"/>
      <c r="I247" s="16">
        <f>IF(OR(G247="",N(H247)=0),"",G247/H247)</f>
        <v/>
      </c>
      <c r="J247" s="20">
        <f>IF(OR(B247="",E247=""),"",IF(OR(F247="Done",G247&lt;&gt;""),"Done",IF(E247&lt;TODAY(),"Late by "&amp;(TODAY()-E247)&amp;IF((TODAY()-E247)=1," day"," days"),IF(E247=TODAY(),"Due today",IF(E247=TODAY()+1,"Due tomorrow","Due in "&amp;(E247-TODAY())&amp;IF((E247-TODAY())=1," day"," days"))))))</f>
        <v/>
      </c>
      <c r="K247" s="25" t="n"/>
      <c r="L247" s="1">
        <f>IF(G247="","",N(H247))</f>
        <v/>
      </c>
      <c r="M247">
        <f>IF(OR(B247="",E247="",OR(F247="Done",G247&lt;&gt;"")),"",E247+ROW()/10000000)</f>
        <v/>
      </c>
    </row>
    <row r="248">
      <c r="A248" s="1" t="n"/>
      <c r="B248" s="24" t="n"/>
      <c r="C248" s="25" t="n"/>
      <c r="D248" s="25" t="n"/>
      <c r="E248" s="26" t="n"/>
      <c r="F248" s="27" t="n"/>
      <c r="G248" s="28" t="n"/>
      <c r="H248" s="28" t="n"/>
      <c r="I248" s="16">
        <f>IF(OR(G248="",N(H248)=0),"",G248/H248)</f>
        <v/>
      </c>
      <c r="J248" s="20">
        <f>IF(OR(B248="",E248=""),"",IF(OR(F248="Done",G248&lt;&gt;""),"Done",IF(E248&lt;TODAY(),"Late by "&amp;(TODAY()-E248)&amp;IF((TODAY()-E248)=1," day"," days"),IF(E248=TODAY(),"Due today",IF(E248=TODAY()+1,"Due tomorrow","Due in "&amp;(E248-TODAY())&amp;IF((E248-TODAY())=1," day"," days"))))))</f>
        <v/>
      </c>
      <c r="K248" s="25" t="n"/>
      <c r="L248" s="1">
        <f>IF(G248="","",N(H248))</f>
        <v/>
      </c>
      <c r="M248">
        <f>IF(OR(B248="",E248="",OR(F248="Done",G248&lt;&gt;"")),"",E248+ROW()/10000000)</f>
        <v/>
      </c>
    </row>
    <row r="249">
      <c r="A249" s="1" t="n"/>
      <c r="B249" s="24" t="n"/>
      <c r="C249" s="25" t="n"/>
      <c r="D249" s="25" t="n"/>
      <c r="E249" s="26" t="n"/>
      <c r="F249" s="27" t="n"/>
      <c r="G249" s="28" t="n"/>
      <c r="H249" s="28" t="n"/>
      <c r="I249" s="16">
        <f>IF(OR(G249="",N(H249)=0),"",G249/H249)</f>
        <v/>
      </c>
      <c r="J249" s="20">
        <f>IF(OR(B249="",E249=""),"",IF(OR(F249="Done",G249&lt;&gt;""),"Done",IF(E249&lt;TODAY(),"Late by "&amp;(TODAY()-E249)&amp;IF((TODAY()-E249)=1," day"," days"),IF(E249=TODAY(),"Due today",IF(E249=TODAY()+1,"Due tomorrow","Due in "&amp;(E249-TODAY())&amp;IF((E249-TODAY())=1," day"," days"))))))</f>
        <v/>
      </c>
      <c r="K249" s="25" t="n"/>
      <c r="L249" s="1">
        <f>IF(G249="","",N(H249))</f>
        <v/>
      </c>
      <c r="M249">
        <f>IF(OR(B249="",E249="",OR(F249="Done",G249&lt;&gt;"")),"",E249+ROW()/10000000)</f>
        <v/>
      </c>
    </row>
    <row r="250">
      <c r="A250" s="1" t="n"/>
      <c r="B250" s="24" t="n"/>
      <c r="C250" s="25" t="n"/>
      <c r="D250" s="25" t="n"/>
      <c r="E250" s="26" t="n"/>
      <c r="F250" s="27" t="n"/>
      <c r="G250" s="28" t="n"/>
      <c r="H250" s="28" t="n"/>
      <c r="I250" s="16">
        <f>IF(OR(G250="",N(H250)=0),"",G250/H250)</f>
        <v/>
      </c>
      <c r="J250" s="20">
        <f>IF(OR(B250="",E250=""),"",IF(OR(F250="Done",G250&lt;&gt;""),"Done",IF(E250&lt;TODAY(),"Late by "&amp;(TODAY()-E250)&amp;IF((TODAY()-E250)=1," day"," days"),IF(E250=TODAY(),"Due today",IF(E250=TODAY()+1,"Due tomorrow","Due in "&amp;(E250-TODAY())&amp;IF((E250-TODAY())=1," day"," days"))))))</f>
        <v/>
      </c>
      <c r="K250" s="25" t="n"/>
      <c r="L250" s="1">
        <f>IF(G250="","",N(H250))</f>
        <v/>
      </c>
      <c r="M250">
        <f>IF(OR(B250="",E250="",OR(F250="Done",G250&lt;&gt;"")),"",E250+ROW()/10000000)</f>
        <v/>
      </c>
    </row>
    <row r="251">
      <c r="A251" s="1" t="n"/>
      <c r="B251" s="24" t="n"/>
      <c r="C251" s="25" t="n"/>
      <c r="D251" s="25" t="n"/>
      <c r="E251" s="26" t="n"/>
      <c r="F251" s="27" t="n"/>
      <c r="G251" s="28" t="n"/>
      <c r="H251" s="28" t="n"/>
      <c r="I251" s="16">
        <f>IF(OR(G251="",N(H251)=0),"",G251/H251)</f>
        <v/>
      </c>
      <c r="J251" s="20">
        <f>IF(OR(B251="",E251=""),"",IF(OR(F251="Done",G251&lt;&gt;""),"Done",IF(E251&lt;TODAY(),"Late by "&amp;(TODAY()-E251)&amp;IF((TODAY()-E251)=1," day"," days"),IF(E251=TODAY(),"Due today",IF(E251=TODAY()+1,"Due tomorrow","Due in "&amp;(E251-TODAY())&amp;IF((E251-TODAY())=1," day"," days"))))))</f>
        <v/>
      </c>
      <c r="K251" s="25" t="n"/>
      <c r="L251" s="1">
        <f>IF(G251="","",N(H251))</f>
        <v/>
      </c>
      <c r="M251">
        <f>IF(OR(B251="",E251="",OR(F251="Done",G251&lt;&gt;"")),"",E251+ROW()/10000000)</f>
        <v/>
      </c>
    </row>
    <row r="252">
      <c r="A252" s="1" t="n"/>
      <c r="B252" s="24" t="n"/>
      <c r="C252" s="25" t="n"/>
      <c r="D252" s="25" t="n"/>
      <c r="E252" s="26" t="n"/>
      <c r="F252" s="27" t="n"/>
      <c r="G252" s="28" t="n"/>
      <c r="H252" s="28" t="n"/>
      <c r="I252" s="16">
        <f>IF(OR(G252="",N(H252)=0),"",G252/H252)</f>
        <v/>
      </c>
      <c r="J252" s="20">
        <f>IF(OR(B252="",E252=""),"",IF(OR(F252="Done",G252&lt;&gt;""),"Done",IF(E252&lt;TODAY(),"Late by "&amp;(TODAY()-E252)&amp;IF((TODAY()-E252)=1," day"," days"),IF(E252=TODAY(),"Due today",IF(E252=TODAY()+1,"Due tomorrow","Due in "&amp;(E252-TODAY())&amp;IF((E252-TODAY())=1," day"," days"))))))</f>
        <v/>
      </c>
      <c r="K252" s="25" t="n"/>
      <c r="L252" s="1">
        <f>IF(G252="","",N(H252))</f>
        <v/>
      </c>
      <c r="M252">
        <f>IF(OR(B252="",E252="",OR(F252="Done",G252&lt;&gt;"")),"",E252+ROW()/10000000)</f>
        <v/>
      </c>
    </row>
    <row r="253">
      <c r="A253" s="1" t="n"/>
      <c r="B253" s="24" t="n"/>
      <c r="C253" s="25" t="n"/>
      <c r="D253" s="25" t="n"/>
      <c r="E253" s="26" t="n"/>
      <c r="F253" s="27" t="n"/>
      <c r="G253" s="28" t="n"/>
      <c r="H253" s="28" t="n"/>
      <c r="I253" s="16">
        <f>IF(OR(G253="",N(H253)=0),"",G253/H253)</f>
        <v/>
      </c>
      <c r="J253" s="20">
        <f>IF(OR(B253="",E253=""),"",IF(OR(F253="Done",G253&lt;&gt;""),"Done",IF(E253&lt;TODAY(),"Late by "&amp;(TODAY()-E253)&amp;IF((TODAY()-E253)=1," day"," days"),IF(E253=TODAY(),"Due today",IF(E253=TODAY()+1,"Due tomorrow","Due in "&amp;(E253-TODAY())&amp;IF((E253-TODAY())=1," day"," days"))))))</f>
        <v/>
      </c>
      <c r="K253" s="25" t="n"/>
      <c r="L253" s="1">
        <f>IF(G253="","",N(H253))</f>
        <v/>
      </c>
      <c r="M253">
        <f>IF(OR(B253="",E253="",OR(F253="Done",G253&lt;&gt;"")),"",E253+ROW()/10000000)</f>
        <v/>
      </c>
    </row>
    <row r="254">
      <c r="A254" s="1" t="n"/>
      <c r="B254" s="24" t="n"/>
      <c r="C254" s="25" t="n"/>
      <c r="D254" s="25" t="n"/>
      <c r="E254" s="26" t="n"/>
      <c r="F254" s="27" t="n"/>
      <c r="G254" s="28" t="n"/>
      <c r="H254" s="28" t="n"/>
      <c r="I254" s="16">
        <f>IF(OR(G254="",N(H254)=0),"",G254/H254)</f>
        <v/>
      </c>
      <c r="J254" s="20">
        <f>IF(OR(B254="",E254=""),"",IF(OR(F254="Done",G254&lt;&gt;""),"Done",IF(E254&lt;TODAY(),"Late by "&amp;(TODAY()-E254)&amp;IF((TODAY()-E254)=1," day"," days"),IF(E254=TODAY(),"Due today",IF(E254=TODAY()+1,"Due tomorrow","Due in "&amp;(E254-TODAY())&amp;IF((E254-TODAY())=1," day"," days"))))))</f>
        <v/>
      </c>
      <c r="K254" s="25" t="n"/>
      <c r="L254" s="1">
        <f>IF(G254="","",N(H254))</f>
        <v/>
      </c>
      <c r="M254">
        <f>IF(OR(B254="",E254="",OR(F254="Done",G254&lt;&gt;"")),"",E254+ROW()/10000000)</f>
        <v/>
      </c>
    </row>
    <row r="255">
      <c r="A255" s="1" t="n"/>
      <c r="B255" s="24" t="n"/>
      <c r="C255" s="25" t="n"/>
      <c r="D255" s="25" t="n"/>
      <c r="E255" s="26" t="n"/>
      <c r="F255" s="27" t="n"/>
      <c r="G255" s="28" t="n"/>
      <c r="H255" s="28" t="n"/>
      <c r="I255" s="16">
        <f>IF(OR(G255="",N(H255)=0),"",G255/H255)</f>
        <v/>
      </c>
      <c r="J255" s="20">
        <f>IF(OR(B255="",E255=""),"",IF(OR(F255="Done",G255&lt;&gt;""),"Done",IF(E255&lt;TODAY(),"Late by "&amp;(TODAY()-E255)&amp;IF((TODAY()-E255)=1," day"," days"),IF(E255=TODAY(),"Due today",IF(E255=TODAY()+1,"Due tomorrow","Due in "&amp;(E255-TODAY())&amp;IF((E255-TODAY())=1," day"," days"))))))</f>
        <v/>
      </c>
      <c r="K255" s="25" t="n"/>
      <c r="L255" s="1">
        <f>IF(G255="","",N(H255))</f>
        <v/>
      </c>
      <c r="M255">
        <f>IF(OR(B255="",E255="",OR(F255="Done",G255&lt;&gt;"")),"",E255+ROW()/10000000)</f>
        <v/>
      </c>
    </row>
    <row r="256">
      <c r="A256" s="1" t="n"/>
      <c r="B256" s="24" t="n"/>
      <c r="C256" s="25" t="n"/>
      <c r="D256" s="25" t="n"/>
      <c r="E256" s="26" t="n"/>
      <c r="F256" s="27" t="n"/>
      <c r="G256" s="28" t="n"/>
      <c r="H256" s="28" t="n"/>
      <c r="I256" s="16">
        <f>IF(OR(G256="",N(H256)=0),"",G256/H256)</f>
        <v/>
      </c>
      <c r="J256" s="20">
        <f>IF(OR(B256="",E256=""),"",IF(OR(F256="Done",G256&lt;&gt;""),"Done",IF(E256&lt;TODAY(),"Late by "&amp;(TODAY()-E256)&amp;IF((TODAY()-E256)=1," day"," days"),IF(E256=TODAY(),"Due today",IF(E256=TODAY()+1,"Due tomorrow","Due in "&amp;(E256-TODAY())&amp;IF((E256-TODAY())=1," day"," days"))))))</f>
        <v/>
      </c>
      <c r="K256" s="25" t="n"/>
      <c r="L256" s="1">
        <f>IF(G256="","",N(H256))</f>
        <v/>
      </c>
      <c r="M256">
        <f>IF(OR(B256="",E256="",OR(F256="Done",G256&lt;&gt;"")),"",E256+ROW()/10000000)</f>
        <v/>
      </c>
    </row>
    <row r="257">
      <c r="A257" s="1" t="n"/>
      <c r="B257" s="24" t="n"/>
      <c r="C257" s="25" t="n"/>
      <c r="D257" s="25" t="n"/>
      <c r="E257" s="26" t="n"/>
      <c r="F257" s="27" t="n"/>
      <c r="G257" s="28" t="n"/>
      <c r="H257" s="28" t="n"/>
      <c r="I257" s="16">
        <f>IF(OR(G257="",N(H257)=0),"",G257/H257)</f>
        <v/>
      </c>
      <c r="J257" s="20">
        <f>IF(OR(B257="",E257=""),"",IF(OR(F257="Done",G257&lt;&gt;""),"Done",IF(E257&lt;TODAY(),"Late by "&amp;(TODAY()-E257)&amp;IF((TODAY()-E257)=1," day"," days"),IF(E257=TODAY(),"Due today",IF(E257=TODAY()+1,"Due tomorrow","Due in "&amp;(E257-TODAY())&amp;IF((E257-TODAY())=1," day"," days"))))))</f>
        <v/>
      </c>
      <c r="K257" s="25" t="n"/>
      <c r="L257" s="1">
        <f>IF(G257="","",N(H257))</f>
        <v/>
      </c>
      <c r="M257">
        <f>IF(OR(B257="",E257="",OR(F257="Done",G257&lt;&gt;"")),"",E257+ROW()/10000000)</f>
        <v/>
      </c>
    </row>
    <row r="258">
      <c r="A258" s="1" t="n"/>
      <c r="B258" s="24" t="n"/>
      <c r="C258" s="25" t="n"/>
      <c r="D258" s="25" t="n"/>
      <c r="E258" s="26" t="n"/>
      <c r="F258" s="27" t="n"/>
      <c r="G258" s="28" t="n"/>
      <c r="H258" s="28" t="n"/>
      <c r="I258" s="16">
        <f>IF(OR(G258="",N(H258)=0),"",G258/H258)</f>
        <v/>
      </c>
      <c r="J258" s="20">
        <f>IF(OR(B258="",E258=""),"",IF(OR(F258="Done",G258&lt;&gt;""),"Done",IF(E258&lt;TODAY(),"Late by "&amp;(TODAY()-E258)&amp;IF((TODAY()-E258)=1," day"," days"),IF(E258=TODAY(),"Due today",IF(E258=TODAY()+1,"Due tomorrow","Due in "&amp;(E258-TODAY())&amp;IF((E258-TODAY())=1," day"," days"))))))</f>
        <v/>
      </c>
      <c r="K258" s="25" t="n"/>
      <c r="L258" s="1">
        <f>IF(G258="","",N(H258))</f>
        <v/>
      </c>
      <c r="M258">
        <f>IF(OR(B258="",E258="",OR(F258="Done",G258&lt;&gt;"")),"",E258+ROW()/10000000)</f>
        <v/>
      </c>
    </row>
    <row r="259">
      <c r="A259" s="1" t="n"/>
      <c r="B259" s="24" t="n"/>
      <c r="C259" s="25" t="n"/>
      <c r="D259" s="25" t="n"/>
      <c r="E259" s="26" t="n"/>
      <c r="F259" s="27" t="n"/>
      <c r="G259" s="28" t="n"/>
      <c r="H259" s="28" t="n"/>
      <c r="I259" s="16">
        <f>IF(OR(G259="",N(H259)=0),"",G259/H259)</f>
        <v/>
      </c>
      <c r="J259" s="20">
        <f>IF(OR(B259="",E259=""),"",IF(OR(F259="Done",G259&lt;&gt;""),"Done",IF(E259&lt;TODAY(),"Late by "&amp;(TODAY()-E259)&amp;IF((TODAY()-E259)=1," day"," days"),IF(E259=TODAY(),"Due today",IF(E259=TODAY()+1,"Due tomorrow","Due in "&amp;(E259-TODAY())&amp;IF((E259-TODAY())=1," day"," days"))))))</f>
        <v/>
      </c>
      <c r="K259" s="25" t="n"/>
      <c r="L259" s="1">
        <f>IF(G259="","",N(H259))</f>
        <v/>
      </c>
      <c r="M259">
        <f>IF(OR(B259="",E259="",OR(F259="Done",G259&lt;&gt;"")),"",E259+ROW()/10000000)</f>
        <v/>
      </c>
    </row>
    <row r="260">
      <c r="A260" s="1" t="n"/>
      <c r="B260" s="24" t="n"/>
      <c r="C260" s="25" t="n"/>
      <c r="D260" s="25" t="n"/>
      <c r="E260" s="26" t="n"/>
      <c r="F260" s="27" t="n"/>
      <c r="G260" s="28" t="n"/>
      <c r="H260" s="28" t="n"/>
      <c r="I260" s="16">
        <f>IF(OR(G260="",N(H260)=0),"",G260/H260)</f>
        <v/>
      </c>
      <c r="J260" s="20">
        <f>IF(OR(B260="",E260=""),"",IF(OR(F260="Done",G260&lt;&gt;""),"Done",IF(E260&lt;TODAY(),"Late by "&amp;(TODAY()-E260)&amp;IF((TODAY()-E260)=1," day"," days"),IF(E260=TODAY(),"Due today",IF(E260=TODAY()+1,"Due tomorrow","Due in "&amp;(E260-TODAY())&amp;IF((E260-TODAY())=1," day"," days"))))))</f>
        <v/>
      </c>
      <c r="K260" s="25" t="n"/>
      <c r="L260" s="1">
        <f>IF(G260="","",N(H260))</f>
        <v/>
      </c>
      <c r="M260">
        <f>IF(OR(B260="",E260="",OR(F260="Done",G260&lt;&gt;"")),"",E260+ROW()/10000000)</f>
        <v/>
      </c>
    </row>
    <row r="261">
      <c r="A261" s="1" t="n"/>
      <c r="B261" s="24" t="n"/>
      <c r="C261" s="25" t="n"/>
      <c r="D261" s="25" t="n"/>
      <c r="E261" s="26" t="n"/>
      <c r="F261" s="27" t="n"/>
      <c r="G261" s="28" t="n"/>
      <c r="H261" s="28" t="n"/>
      <c r="I261" s="16">
        <f>IF(OR(G261="",N(H261)=0),"",G261/H261)</f>
        <v/>
      </c>
      <c r="J261" s="20">
        <f>IF(OR(B261="",E261=""),"",IF(OR(F261="Done",G261&lt;&gt;""),"Done",IF(E261&lt;TODAY(),"Late by "&amp;(TODAY()-E261)&amp;IF((TODAY()-E261)=1," day"," days"),IF(E261=TODAY(),"Due today",IF(E261=TODAY()+1,"Due tomorrow","Due in "&amp;(E261-TODAY())&amp;IF((E261-TODAY())=1," day"," days"))))))</f>
        <v/>
      </c>
      <c r="K261" s="25" t="n"/>
      <c r="L261" s="1">
        <f>IF(G261="","",N(H261))</f>
        <v/>
      </c>
      <c r="M261">
        <f>IF(OR(B261="",E261="",OR(F261="Done",G261&lt;&gt;"")),"",E261+ROW()/10000000)</f>
        <v/>
      </c>
    </row>
    <row r="262">
      <c r="A262" s="1" t="n"/>
      <c r="B262" s="24" t="n"/>
      <c r="C262" s="25" t="n"/>
      <c r="D262" s="25" t="n"/>
      <c r="E262" s="26" t="n"/>
      <c r="F262" s="27" t="n"/>
      <c r="G262" s="28" t="n"/>
      <c r="H262" s="28" t="n"/>
      <c r="I262" s="16">
        <f>IF(OR(G262="",N(H262)=0),"",G262/H262)</f>
        <v/>
      </c>
      <c r="J262" s="20">
        <f>IF(OR(B262="",E262=""),"",IF(OR(F262="Done",G262&lt;&gt;""),"Done",IF(E262&lt;TODAY(),"Late by "&amp;(TODAY()-E262)&amp;IF((TODAY()-E262)=1," day"," days"),IF(E262=TODAY(),"Due today",IF(E262=TODAY()+1,"Due tomorrow","Due in "&amp;(E262-TODAY())&amp;IF((E262-TODAY())=1," day"," days"))))))</f>
        <v/>
      </c>
      <c r="K262" s="25" t="n"/>
      <c r="L262" s="1">
        <f>IF(G262="","",N(H262))</f>
        <v/>
      </c>
      <c r="M262">
        <f>IF(OR(B262="",E262="",OR(F262="Done",G262&lt;&gt;"")),"",E262+ROW()/10000000)</f>
        <v/>
      </c>
    </row>
    <row r="263">
      <c r="A263" s="1" t="n"/>
      <c r="B263" s="24" t="n"/>
      <c r="C263" s="25" t="n"/>
      <c r="D263" s="25" t="n"/>
      <c r="E263" s="26" t="n"/>
      <c r="F263" s="27" t="n"/>
      <c r="G263" s="28" t="n"/>
      <c r="H263" s="28" t="n"/>
      <c r="I263" s="16">
        <f>IF(OR(G263="",N(H263)=0),"",G263/H263)</f>
        <v/>
      </c>
      <c r="J263" s="20">
        <f>IF(OR(B263="",E263=""),"",IF(OR(F263="Done",G263&lt;&gt;""),"Done",IF(E263&lt;TODAY(),"Late by "&amp;(TODAY()-E263)&amp;IF((TODAY()-E263)=1," day"," days"),IF(E263=TODAY(),"Due today",IF(E263=TODAY()+1,"Due tomorrow","Due in "&amp;(E263-TODAY())&amp;IF((E263-TODAY())=1," day"," days"))))))</f>
        <v/>
      </c>
      <c r="K263" s="25" t="n"/>
      <c r="L263" s="1">
        <f>IF(G263="","",N(H263))</f>
        <v/>
      </c>
      <c r="M263">
        <f>IF(OR(B263="",E263="",OR(F263="Done",G263&lt;&gt;"")),"",E263+ROW()/10000000)</f>
        <v/>
      </c>
    </row>
    <row r="264">
      <c r="A264" s="1" t="n"/>
      <c r="B264" s="24" t="n"/>
      <c r="C264" s="25" t="n"/>
      <c r="D264" s="25" t="n"/>
      <c r="E264" s="26" t="n"/>
      <c r="F264" s="27" t="n"/>
      <c r="G264" s="28" t="n"/>
      <c r="H264" s="28" t="n"/>
      <c r="I264" s="16">
        <f>IF(OR(G264="",N(H264)=0),"",G264/H264)</f>
        <v/>
      </c>
      <c r="J264" s="20">
        <f>IF(OR(B264="",E264=""),"",IF(OR(F264="Done",G264&lt;&gt;""),"Done",IF(E264&lt;TODAY(),"Late by "&amp;(TODAY()-E264)&amp;IF((TODAY()-E264)=1," day"," days"),IF(E264=TODAY(),"Due today",IF(E264=TODAY()+1,"Due tomorrow","Due in "&amp;(E264-TODAY())&amp;IF((E264-TODAY())=1," day"," days"))))))</f>
        <v/>
      </c>
      <c r="K264" s="25" t="n"/>
      <c r="L264" s="1">
        <f>IF(G264="","",N(H264))</f>
        <v/>
      </c>
      <c r="M264">
        <f>IF(OR(B264="",E264="",OR(F264="Done",G264&lt;&gt;"")),"",E264+ROW()/10000000)</f>
        <v/>
      </c>
    </row>
    <row r="265">
      <c r="A265" s="1" t="n"/>
      <c r="B265" s="24" t="n"/>
      <c r="C265" s="25" t="n"/>
      <c r="D265" s="25" t="n"/>
      <c r="E265" s="26" t="n"/>
      <c r="F265" s="27" t="n"/>
      <c r="G265" s="28" t="n"/>
      <c r="H265" s="28" t="n"/>
      <c r="I265" s="16">
        <f>IF(OR(G265="",N(H265)=0),"",G265/H265)</f>
        <v/>
      </c>
      <c r="J265" s="20">
        <f>IF(OR(B265="",E265=""),"",IF(OR(F265="Done",G265&lt;&gt;""),"Done",IF(E265&lt;TODAY(),"Late by "&amp;(TODAY()-E265)&amp;IF((TODAY()-E265)=1," day"," days"),IF(E265=TODAY(),"Due today",IF(E265=TODAY()+1,"Due tomorrow","Due in "&amp;(E265-TODAY())&amp;IF((E265-TODAY())=1," day"," days"))))))</f>
        <v/>
      </c>
      <c r="K265" s="25" t="n"/>
      <c r="L265" s="1">
        <f>IF(G265="","",N(H265))</f>
        <v/>
      </c>
      <c r="M265">
        <f>IF(OR(B265="",E265="",OR(F265="Done",G265&lt;&gt;"")),"",E265+ROW()/10000000)</f>
        <v/>
      </c>
    </row>
    <row r="266">
      <c r="A266" s="1" t="n"/>
      <c r="B266" s="24" t="n"/>
      <c r="C266" s="25" t="n"/>
      <c r="D266" s="25" t="n"/>
      <c r="E266" s="26" t="n"/>
      <c r="F266" s="27" t="n"/>
      <c r="G266" s="28" t="n"/>
      <c r="H266" s="28" t="n"/>
      <c r="I266" s="16">
        <f>IF(OR(G266="",N(H266)=0),"",G266/H266)</f>
        <v/>
      </c>
      <c r="J266" s="20">
        <f>IF(OR(B266="",E266=""),"",IF(OR(F266="Done",G266&lt;&gt;""),"Done",IF(E266&lt;TODAY(),"Late by "&amp;(TODAY()-E266)&amp;IF((TODAY()-E266)=1," day"," days"),IF(E266=TODAY(),"Due today",IF(E266=TODAY()+1,"Due tomorrow","Due in "&amp;(E266-TODAY())&amp;IF((E266-TODAY())=1," day"," days"))))))</f>
        <v/>
      </c>
      <c r="K266" s="25" t="n"/>
      <c r="L266" s="1">
        <f>IF(G266="","",N(H266))</f>
        <v/>
      </c>
      <c r="M266">
        <f>IF(OR(B266="",E266="",OR(F266="Done",G266&lt;&gt;"")),"",E266+ROW()/10000000)</f>
        <v/>
      </c>
    </row>
    <row r="267">
      <c r="A267" s="1" t="n"/>
      <c r="B267" s="24" t="n"/>
      <c r="C267" s="25" t="n"/>
      <c r="D267" s="25" t="n"/>
      <c r="E267" s="26" t="n"/>
      <c r="F267" s="27" t="n"/>
      <c r="G267" s="28" t="n"/>
      <c r="H267" s="28" t="n"/>
      <c r="I267" s="16">
        <f>IF(OR(G267="",N(H267)=0),"",G267/H267)</f>
        <v/>
      </c>
      <c r="J267" s="20">
        <f>IF(OR(B267="",E267=""),"",IF(OR(F267="Done",G267&lt;&gt;""),"Done",IF(E267&lt;TODAY(),"Late by "&amp;(TODAY()-E267)&amp;IF((TODAY()-E267)=1," day"," days"),IF(E267=TODAY(),"Due today",IF(E267=TODAY()+1,"Due tomorrow","Due in "&amp;(E267-TODAY())&amp;IF((E267-TODAY())=1," day"," days"))))))</f>
        <v/>
      </c>
      <c r="K267" s="25" t="n"/>
      <c r="L267" s="1">
        <f>IF(G267="","",N(H267))</f>
        <v/>
      </c>
      <c r="M267">
        <f>IF(OR(B267="",E267="",OR(F267="Done",G267&lt;&gt;"")),"",E267+ROW()/10000000)</f>
        <v/>
      </c>
    </row>
    <row r="268">
      <c r="A268" s="1" t="n"/>
      <c r="B268" s="24" t="n"/>
      <c r="C268" s="25" t="n"/>
      <c r="D268" s="25" t="n"/>
      <c r="E268" s="26" t="n"/>
      <c r="F268" s="27" t="n"/>
      <c r="G268" s="28" t="n"/>
      <c r="H268" s="28" t="n"/>
      <c r="I268" s="16">
        <f>IF(OR(G268="",N(H268)=0),"",G268/H268)</f>
        <v/>
      </c>
      <c r="J268" s="20">
        <f>IF(OR(B268="",E268=""),"",IF(OR(F268="Done",G268&lt;&gt;""),"Done",IF(E268&lt;TODAY(),"Late by "&amp;(TODAY()-E268)&amp;IF((TODAY()-E268)=1," day"," days"),IF(E268=TODAY(),"Due today",IF(E268=TODAY()+1,"Due tomorrow","Due in "&amp;(E268-TODAY())&amp;IF((E268-TODAY())=1," day"," days"))))))</f>
        <v/>
      </c>
      <c r="K268" s="25" t="n"/>
      <c r="L268" s="1">
        <f>IF(G268="","",N(H268))</f>
        <v/>
      </c>
      <c r="M268">
        <f>IF(OR(B268="",E268="",OR(F268="Done",G268&lt;&gt;"")),"",E268+ROW()/10000000)</f>
        <v/>
      </c>
    </row>
    <row r="269">
      <c r="A269" s="1" t="n"/>
      <c r="B269" s="24" t="n"/>
      <c r="C269" s="25" t="n"/>
      <c r="D269" s="25" t="n"/>
      <c r="E269" s="26" t="n"/>
      <c r="F269" s="27" t="n"/>
      <c r="G269" s="28" t="n"/>
      <c r="H269" s="28" t="n"/>
      <c r="I269" s="16">
        <f>IF(OR(G269="",N(H269)=0),"",G269/H269)</f>
        <v/>
      </c>
      <c r="J269" s="20">
        <f>IF(OR(B269="",E269=""),"",IF(OR(F269="Done",G269&lt;&gt;""),"Done",IF(E269&lt;TODAY(),"Late by "&amp;(TODAY()-E269)&amp;IF((TODAY()-E269)=1," day"," days"),IF(E269=TODAY(),"Due today",IF(E269=TODAY()+1,"Due tomorrow","Due in "&amp;(E269-TODAY())&amp;IF((E269-TODAY())=1," day"," days"))))))</f>
        <v/>
      </c>
      <c r="K269" s="25" t="n"/>
      <c r="L269" s="1">
        <f>IF(G269="","",N(H269))</f>
        <v/>
      </c>
      <c r="M269">
        <f>IF(OR(B269="",E269="",OR(F269="Done",G269&lt;&gt;"")),"",E269+ROW()/10000000)</f>
        <v/>
      </c>
    </row>
    <row r="270">
      <c r="A270" s="1" t="n"/>
      <c r="B270" s="24" t="n"/>
      <c r="C270" s="25" t="n"/>
      <c r="D270" s="25" t="n"/>
      <c r="E270" s="26" t="n"/>
      <c r="F270" s="27" t="n"/>
      <c r="G270" s="28" t="n"/>
      <c r="H270" s="28" t="n"/>
      <c r="I270" s="16">
        <f>IF(OR(G270="",N(H270)=0),"",G270/H270)</f>
        <v/>
      </c>
      <c r="J270" s="20">
        <f>IF(OR(B270="",E270=""),"",IF(OR(F270="Done",G270&lt;&gt;""),"Done",IF(E270&lt;TODAY(),"Late by "&amp;(TODAY()-E270)&amp;IF((TODAY()-E270)=1," day"," days"),IF(E270=TODAY(),"Due today",IF(E270=TODAY()+1,"Due tomorrow","Due in "&amp;(E270-TODAY())&amp;IF((E270-TODAY())=1," day"," days"))))))</f>
        <v/>
      </c>
      <c r="K270" s="25" t="n"/>
      <c r="L270" s="1">
        <f>IF(G270="","",N(H270))</f>
        <v/>
      </c>
      <c r="M270">
        <f>IF(OR(B270="",E270="",OR(F270="Done",G270&lt;&gt;"")),"",E270+ROW()/10000000)</f>
        <v/>
      </c>
    </row>
    <row r="271">
      <c r="A271" s="1" t="n"/>
      <c r="B271" s="24" t="n"/>
      <c r="C271" s="25" t="n"/>
      <c r="D271" s="25" t="n"/>
      <c r="E271" s="26" t="n"/>
      <c r="F271" s="27" t="n"/>
      <c r="G271" s="28" t="n"/>
      <c r="H271" s="28" t="n"/>
      <c r="I271" s="16">
        <f>IF(OR(G271="",N(H271)=0),"",G271/H271)</f>
        <v/>
      </c>
      <c r="J271" s="20">
        <f>IF(OR(B271="",E271=""),"",IF(OR(F271="Done",G271&lt;&gt;""),"Done",IF(E271&lt;TODAY(),"Late by "&amp;(TODAY()-E271)&amp;IF((TODAY()-E271)=1," day"," days"),IF(E271=TODAY(),"Due today",IF(E271=TODAY()+1,"Due tomorrow","Due in "&amp;(E271-TODAY())&amp;IF((E271-TODAY())=1," day"," days"))))))</f>
        <v/>
      </c>
      <c r="K271" s="25" t="n"/>
      <c r="L271" s="1">
        <f>IF(G271="","",N(H271))</f>
        <v/>
      </c>
      <c r="M271">
        <f>IF(OR(B271="",E271="",OR(F271="Done",G271&lt;&gt;"")),"",E271+ROW()/10000000)</f>
        <v/>
      </c>
    </row>
    <row r="272">
      <c r="A272" s="1" t="n"/>
      <c r="B272" s="24" t="n"/>
      <c r="C272" s="25" t="n"/>
      <c r="D272" s="25" t="n"/>
      <c r="E272" s="26" t="n"/>
      <c r="F272" s="27" t="n"/>
      <c r="G272" s="28" t="n"/>
      <c r="H272" s="28" t="n"/>
      <c r="I272" s="16">
        <f>IF(OR(G272="",N(H272)=0),"",G272/H272)</f>
        <v/>
      </c>
      <c r="J272" s="20">
        <f>IF(OR(B272="",E272=""),"",IF(OR(F272="Done",G272&lt;&gt;""),"Done",IF(E272&lt;TODAY(),"Late by "&amp;(TODAY()-E272)&amp;IF((TODAY()-E272)=1," day"," days"),IF(E272=TODAY(),"Due today",IF(E272=TODAY()+1,"Due tomorrow","Due in "&amp;(E272-TODAY())&amp;IF((E272-TODAY())=1," day"," days"))))))</f>
        <v/>
      </c>
      <c r="K272" s="25" t="n"/>
      <c r="L272" s="1">
        <f>IF(G272="","",N(H272))</f>
        <v/>
      </c>
      <c r="M272">
        <f>IF(OR(B272="",E272="",OR(F272="Done",G272&lt;&gt;"")),"",E272+ROW()/10000000)</f>
        <v/>
      </c>
    </row>
    <row r="273">
      <c r="A273" s="1" t="n"/>
      <c r="B273" s="24" t="n"/>
      <c r="C273" s="25" t="n"/>
      <c r="D273" s="25" t="n"/>
      <c r="E273" s="26" t="n"/>
      <c r="F273" s="27" t="n"/>
      <c r="G273" s="28" t="n"/>
      <c r="H273" s="28" t="n"/>
      <c r="I273" s="16">
        <f>IF(OR(G273="",N(H273)=0),"",G273/H273)</f>
        <v/>
      </c>
      <c r="J273" s="20">
        <f>IF(OR(B273="",E273=""),"",IF(OR(F273="Done",G273&lt;&gt;""),"Done",IF(E273&lt;TODAY(),"Late by "&amp;(TODAY()-E273)&amp;IF((TODAY()-E273)=1," day"," days"),IF(E273=TODAY(),"Due today",IF(E273=TODAY()+1,"Due tomorrow","Due in "&amp;(E273-TODAY())&amp;IF((E273-TODAY())=1," day"," days"))))))</f>
        <v/>
      </c>
      <c r="K273" s="25" t="n"/>
      <c r="L273" s="1">
        <f>IF(G273="","",N(H273))</f>
        <v/>
      </c>
      <c r="M273">
        <f>IF(OR(B273="",E273="",OR(F273="Done",G273&lt;&gt;"")),"",E273+ROW()/10000000)</f>
        <v/>
      </c>
    </row>
    <row r="274">
      <c r="A274" s="1" t="n"/>
      <c r="B274" s="24" t="n"/>
      <c r="C274" s="25" t="n"/>
      <c r="D274" s="25" t="n"/>
      <c r="E274" s="26" t="n"/>
      <c r="F274" s="27" t="n"/>
      <c r="G274" s="28" t="n"/>
      <c r="H274" s="28" t="n"/>
      <c r="I274" s="16">
        <f>IF(OR(G274="",N(H274)=0),"",G274/H274)</f>
        <v/>
      </c>
      <c r="J274" s="20">
        <f>IF(OR(B274="",E274=""),"",IF(OR(F274="Done",G274&lt;&gt;""),"Done",IF(E274&lt;TODAY(),"Late by "&amp;(TODAY()-E274)&amp;IF((TODAY()-E274)=1," day"," days"),IF(E274=TODAY(),"Due today",IF(E274=TODAY()+1,"Due tomorrow","Due in "&amp;(E274-TODAY())&amp;IF((E274-TODAY())=1," day"," days"))))))</f>
        <v/>
      </c>
      <c r="K274" s="25" t="n"/>
      <c r="L274" s="1">
        <f>IF(G274="","",N(H274))</f>
        <v/>
      </c>
      <c r="M274">
        <f>IF(OR(B274="",E274="",OR(F274="Done",G274&lt;&gt;"")),"",E274+ROW()/10000000)</f>
        <v/>
      </c>
    </row>
    <row r="275">
      <c r="A275" s="1" t="n"/>
      <c r="B275" s="24" t="n"/>
      <c r="C275" s="25" t="n"/>
      <c r="D275" s="25" t="n"/>
      <c r="E275" s="26" t="n"/>
      <c r="F275" s="27" t="n"/>
      <c r="G275" s="28" t="n"/>
      <c r="H275" s="28" t="n"/>
      <c r="I275" s="16">
        <f>IF(OR(G275="",N(H275)=0),"",G275/H275)</f>
        <v/>
      </c>
      <c r="J275" s="20">
        <f>IF(OR(B275="",E275=""),"",IF(OR(F275="Done",G275&lt;&gt;""),"Done",IF(E275&lt;TODAY(),"Late by "&amp;(TODAY()-E275)&amp;IF((TODAY()-E275)=1," day"," days"),IF(E275=TODAY(),"Due today",IF(E275=TODAY()+1,"Due tomorrow","Due in "&amp;(E275-TODAY())&amp;IF((E275-TODAY())=1," day"," days"))))))</f>
        <v/>
      </c>
      <c r="K275" s="25" t="n"/>
      <c r="L275" s="1">
        <f>IF(G275="","",N(H275))</f>
        <v/>
      </c>
      <c r="M275">
        <f>IF(OR(B275="",E275="",OR(F275="Done",G275&lt;&gt;"")),"",E275+ROW()/10000000)</f>
        <v/>
      </c>
    </row>
    <row r="276">
      <c r="A276" s="1" t="n"/>
      <c r="B276" s="24" t="n"/>
      <c r="C276" s="25" t="n"/>
      <c r="D276" s="25" t="n"/>
      <c r="E276" s="26" t="n"/>
      <c r="F276" s="27" t="n"/>
      <c r="G276" s="28" t="n"/>
      <c r="H276" s="28" t="n"/>
      <c r="I276" s="16">
        <f>IF(OR(G276="",N(H276)=0),"",G276/H276)</f>
        <v/>
      </c>
      <c r="J276" s="20">
        <f>IF(OR(B276="",E276=""),"",IF(OR(F276="Done",G276&lt;&gt;""),"Done",IF(E276&lt;TODAY(),"Late by "&amp;(TODAY()-E276)&amp;IF((TODAY()-E276)=1," day"," days"),IF(E276=TODAY(),"Due today",IF(E276=TODAY()+1,"Due tomorrow","Due in "&amp;(E276-TODAY())&amp;IF((E276-TODAY())=1," day"," days"))))))</f>
        <v/>
      </c>
      <c r="K276" s="25" t="n"/>
      <c r="L276" s="1">
        <f>IF(G276="","",N(H276))</f>
        <v/>
      </c>
      <c r="M276">
        <f>IF(OR(B276="",E276="",OR(F276="Done",G276&lt;&gt;"")),"",E276+ROW()/10000000)</f>
        <v/>
      </c>
    </row>
    <row r="277">
      <c r="A277" s="1" t="n"/>
      <c r="B277" s="24" t="n"/>
      <c r="C277" s="25" t="n"/>
      <c r="D277" s="25" t="n"/>
      <c r="E277" s="26" t="n"/>
      <c r="F277" s="27" t="n"/>
      <c r="G277" s="28" t="n"/>
      <c r="H277" s="28" t="n"/>
      <c r="I277" s="16">
        <f>IF(OR(G277="",N(H277)=0),"",G277/H277)</f>
        <v/>
      </c>
      <c r="J277" s="20">
        <f>IF(OR(B277="",E277=""),"",IF(OR(F277="Done",G277&lt;&gt;""),"Done",IF(E277&lt;TODAY(),"Late by "&amp;(TODAY()-E277)&amp;IF((TODAY()-E277)=1," day"," days"),IF(E277=TODAY(),"Due today",IF(E277=TODAY()+1,"Due tomorrow","Due in "&amp;(E277-TODAY())&amp;IF((E277-TODAY())=1," day"," days"))))))</f>
        <v/>
      </c>
      <c r="K277" s="25" t="n"/>
      <c r="L277" s="1">
        <f>IF(G277="","",N(H277))</f>
        <v/>
      </c>
      <c r="M277">
        <f>IF(OR(B277="",E277="",OR(F277="Done",G277&lt;&gt;"")),"",E277+ROW()/10000000)</f>
        <v/>
      </c>
    </row>
    <row r="278">
      <c r="A278" s="1" t="n"/>
      <c r="B278" s="24" t="n"/>
      <c r="C278" s="25" t="n"/>
      <c r="D278" s="25" t="n"/>
      <c r="E278" s="26" t="n"/>
      <c r="F278" s="27" t="n"/>
      <c r="G278" s="28" t="n"/>
      <c r="H278" s="28" t="n"/>
      <c r="I278" s="16">
        <f>IF(OR(G278="",N(H278)=0),"",G278/H278)</f>
        <v/>
      </c>
      <c r="J278" s="20">
        <f>IF(OR(B278="",E278=""),"",IF(OR(F278="Done",G278&lt;&gt;""),"Done",IF(E278&lt;TODAY(),"Late by "&amp;(TODAY()-E278)&amp;IF((TODAY()-E278)=1," day"," days"),IF(E278=TODAY(),"Due today",IF(E278=TODAY()+1,"Due tomorrow","Due in "&amp;(E278-TODAY())&amp;IF((E278-TODAY())=1," day"," days"))))))</f>
        <v/>
      </c>
      <c r="K278" s="25" t="n"/>
      <c r="L278" s="1">
        <f>IF(G278="","",N(H278))</f>
        <v/>
      </c>
      <c r="M278">
        <f>IF(OR(B278="",E278="",OR(F278="Done",G278&lt;&gt;"")),"",E278+ROW()/10000000)</f>
        <v/>
      </c>
    </row>
    <row r="279">
      <c r="A279" s="1" t="n"/>
      <c r="B279" s="24" t="n"/>
      <c r="C279" s="25" t="n"/>
      <c r="D279" s="25" t="n"/>
      <c r="E279" s="26" t="n"/>
      <c r="F279" s="27" t="n"/>
      <c r="G279" s="28" t="n"/>
      <c r="H279" s="28" t="n"/>
      <c r="I279" s="16">
        <f>IF(OR(G279="",N(H279)=0),"",G279/H279)</f>
        <v/>
      </c>
      <c r="J279" s="20">
        <f>IF(OR(B279="",E279=""),"",IF(OR(F279="Done",G279&lt;&gt;""),"Done",IF(E279&lt;TODAY(),"Late by "&amp;(TODAY()-E279)&amp;IF((TODAY()-E279)=1," day"," days"),IF(E279=TODAY(),"Due today",IF(E279=TODAY()+1,"Due tomorrow","Due in "&amp;(E279-TODAY())&amp;IF((E279-TODAY())=1," day"," days"))))))</f>
        <v/>
      </c>
      <c r="K279" s="25" t="n"/>
      <c r="L279" s="1">
        <f>IF(G279="","",N(H279))</f>
        <v/>
      </c>
      <c r="M279">
        <f>IF(OR(B279="",E279="",OR(F279="Done",G279&lt;&gt;"")),"",E279+ROW()/10000000)</f>
        <v/>
      </c>
    </row>
    <row r="280">
      <c r="A280" s="1" t="n"/>
      <c r="B280" s="24" t="n"/>
      <c r="C280" s="25" t="n"/>
      <c r="D280" s="25" t="n"/>
      <c r="E280" s="26" t="n"/>
      <c r="F280" s="27" t="n"/>
      <c r="G280" s="28" t="n"/>
      <c r="H280" s="28" t="n"/>
      <c r="I280" s="16">
        <f>IF(OR(G280="",N(H280)=0),"",G280/H280)</f>
        <v/>
      </c>
      <c r="J280" s="20">
        <f>IF(OR(B280="",E280=""),"",IF(OR(F280="Done",G280&lt;&gt;""),"Done",IF(E280&lt;TODAY(),"Late by "&amp;(TODAY()-E280)&amp;IF((TODAY()-E280)=1," day"," days"),IF(E280=TODAY(),"Due today",IF(E280=TODAY()+1,"Due tomorrow","Due in "&amp;(E280-TODAY())&amp;IF((E280-TODAY())=1," day"," days"))))))</f>
        <v/>
      </c>
      <c r="K280" s="25" t="n"/>
      <c r="L280" s="1">
        <f>IF(G280="","",N(H280))</f>
        <v/>
      </c>
      <c r="M280">
        <f>IF(OR(B280="",E280="",OR(F280="Done",G280&lt;&gt;"")),"",E280+ROW()/10000000)</f>
        <v/>
      </c>
    </row>
    <row r="281">
      <c r="A281" s="1" t="n"/>
      <c r="B281" s="24" t="n"/>
      <c r="C281" s="25" t="n"/>
      <c r="D281" s="25" t="n"/>
      <c r="E281" s="26" t="n"/>
      <c r="F281" s="27" t="n"/>
      <c r="G281" s="28" t="n"/>
      <c r="H281" s="28" t="n"/>
      <c r="I281" s="16">
        <f>IF(OR(G281="",N(H281)=0),"",G281/H281)</f>
        <v/>
      </c>
      <c r="J281" s="20">
        <f>IF(OR(B281="",E281=""),"",IF(OR(F281="Done",G281&lt;&gt;""),"Done",IF(E281&lt;TODAY(),"Late by "&amp;(TODAY()-E281)&amp;IF((TODAY()-E281)=1," day"," days"),IF(E281=TODAY(),"Due today",IF(E281=TODAY()+1,"Due tomorrow","Due in "&amp;(E281-TODAY())&amp;IF((E281-TODAY())=1," day"," days"))))))</f>
        <v/>
      </c>
      <c r="K281" s="25" t="n"/>
      <c r="L281" s="1">
        <f>IF(G281="","",N(H281))</f>
        <v/>
      </c>
      <c r="M281">
        <f>IF(OR(B281="",E281="",OR(F281="Done",G281&lt;&gt;"")),"",E281+ROW()/10000000)</f>
        <v/>
      </c>
    </row>
    <row r="282">
      <c r="A282" s="1" t="n"/>
      <c r="B282" s="24" t="n"/>
      <c r="C282" s="25" t="n"/>
      <c r="D282" s="25" t="n"/>
      <c r="E282" s="26" t="n"/>
      <c r="F282" s="27" t="n"/>
      <c r="G282" s="28" t="n"/>
      <c r="H282" s="28" t="n"/>
      <c r="I282" s="16">
        <f>IF(OR(G282="",N(H282)=0),"",G282/H282)</f>
        <v/>
      </c>
      <c r="J282" s="20">
        <f>IF(OR(B282="",E282=""),"",IF(OR(F282="Done",G282&lt;&gt;""),"Done",IF(E282&lt;TODAY(),"Late by "&amp;(TODAY()-E282)&amp;IF((TODAY()-E282)=1," day"," days"),IF(E282=TODAY(),"Due today",IF(E282=TODAY()+1,"Due tomorrow","Due in "&amp;(E282-TODAY())&amp;IF((E282-TODAY())=1," day"," days"))))))</f>
        <v/>
      </c>
      <c r="K282" s="25" t="n"/>
      <c r="L282" s="1">
        <f>IF(G282="","",N(H282))</f>
        <v/>
      </c>
      <c r="M282">
        <f>IF(OR(B282="",E282="",OR(F282="Done",G282&lt;&gt;"")),"",E282+ROW()/10000000)</f>
        <v/>
      </c>
    </row>
    <row r="283">
      <c r="A283" s="1" t="n"/>
      <c r="B283" s="24" t="n"/>
      <c r="C283" s="25" t="n"/>
      <c r="D283" s="25" t="n"/>
      <c r="E283" s="26" t="n"/>
      <c r="F283" s="27" t="n"/>
      <c r="G283" s="28" t="n"/>
      <c r="H283" s="28" t="n"/>
      <c r="I283" s="16">
        <f>IF(OR(G283="",N(H283)=0),"",G283/H283)</f>
        <v/>
      </c>
      <c r="J283" s="20">
        <f>IF(OR(B283="",E283=""),"",IF(OR(F283="Done",G283&lt;&gt;""),"Done",IF(E283&lt;TODAY(),"Late by "&amp;(TODAY()-E283)&amp;IF((TODAY()-E283)=1," day"," days"),IF(E283=TODAY(),"Due today",IF(E283=TODAY()+1,"Due tomorrow","Due in "&amp;(E283-TODAY())&amp;IF((E283-TODAY())=1," day"," days"))))))</f>
        <v/>
      </c>
      <c r="K283" s="25" t="n"/>
      <c r="L283" s="1">
        <f>IF(G283="","",N(H283))</f>
        <v/>
      </c>
      <c r="M283">
        <f>IF(OR(B283="",E283="",OR(F283="Done",G283&lt;&gt;"")),"",E283+ROW()/10000000)</f>
        <v/>
      </c>
    </row>
    <row r="284">
      <c r="A284" s="1" t="n"/>
      <c r="B284" s="24" t="n"/>
      <c r="C284" s="25" t="n"/>
      <c r="D284" s="25" t="n"/>
      <c r="E284" s="26" t="n"/>
      <c r="F284" s="27" t="n"/>
      <c r="G284" s="28" t="n"/>
      <c r="H284" s="28" t="n"/>
      <c r="I284" s="16">
        <f>IF(OR(G284="",N(H284)=0),"",G284/H284)</f>
        <v/>
      </c>
      <c r="J284" s="20">
        <f>IF(OR(B284="",E284=""),"",IF(OR(F284="Done",G284&lt;&gt;""),"Done",IF(E284&lt;TODAY(),"Late by "&amp;(TODAY()-E284)&amp;IF((TODAY()-E284)=1," day"," days"),IF(E284=TODAY(),"Due today",IF(E284=TODAY()+1,"Due tomorrow","Due in "&amp;(E284-TODAY())&amp;IF((E284-TODAY())=1," day"," days"))))))</f>
        <v/>
      </c>
      <c r="K284" s="25" t="n"/>
      <c r="L284" s="1">
        <f>IF(G284="","",N(H284))</f>
        <v/>
      </c>
      <c r="M284">
        <f>IF(OR(B284="",E284="",OR(F284="Done",G284&lt;&gt;"")),"",E284+ROW()/10000000)</f>
        <v/>
      </c>
    </row>
    <row r="285">
      <c r="A285" s="1" t="n"/>
      <c r="B285" s="24" t="n"/>
      <c r="C285" s="25" t="n"/>
      <c r="D285" s="25" t="n"/>
      <c r="E285" s="26" t="n"/>
      <c r="F285" s="27" t="n"/>
      <c r="G285" s="28" t="n"/>
      <c r="H285" s="28" t="n"/>
      <c r="I285" s="16">
        <f>IF(OR(G285="",N(H285)=0),"",G285/H285)</f>
        <v/>
      </c>
      <c r="J285" s="20">
        <f>IF(OR(B285="",E285=""),"",IF(OR(F285="Done",G285&lt;&gt;""),"Done",IF(E285&lt;TODAY(),"Late by "&amp;(TODAY()-E285)&amp;IF((TODAY()-E285)=1," day"," days"),IF(E285=TODAY(),"Due today",IF(E285=TODAY()+1,"Due tomorrow","Due in "&amp;(E285-TODAY())&amp;IF((E285-TODAY())=1," day"," days"))))))</f>
        <v/>
      </c>
      <c r="K285" s="25" t="n"/>
      <c r="L285" s="1">
        <f>IF(G285="","",N(H285))</f>
        <v/>
      </c>
      <c r="M285">
        <f>IF(OR(B285="",E285="",OR(F285="Done",G285&lt;&gt;"")),"",E285+ROW()/10000000)</f>
        <v/>
      </c>
    </row>
    <row r="286">
      <c r="A286" s="1" t="n"/>
      <c r="B286" s="24" t="n"/>
      <c r="C286" s="25" t="n"/>
      <c r="D286" s="25" t="n"/>
      <c r="E286" s="26" t="n"/>
      <c r="F286" s="27" t="n"/>
      <c r="G286" s="28" t="n"/>
      <c r="H286" s="28" t="n"/>
      <c r="I286" s="16">
        <f>IF(OR(G286="",N(H286)=0),"",G286/H286)</f>
        <v/>
      </c>
      <c r="J286" s="20">
        <f>IF(OR(B286="",E286=""),"",IF(OR(F286="Done",G286&lt;&gt;""),"Done",IF(E286&lt;TODAY(),"Late by "&amp;(TODAY()-E286)&amp;IF((TODAY()-E286)=1," day"," days"),IF(E286=TODAY(),"Due today",IF(E286=TODAY()+1,"Due tomorrow","Due in "&amp;(E286-TODAY())&amp;IF((E286-TODAY())=1," day"," days"))))))</f>
        <v/>
      </c>
      <c r="K286" s="25" t="n"/>
      <c r="L286" s="1">
        <f>IF(G286="","",N(H286))</f>
        <v/>
      </c>
      <c r="M286">
        <f>IF(OR(B286="",E286="",OR(F286="Done",G286&lt;&gt;"")),"",E286+ROW()/10000000)</f>
        <v/>
      </c>
    </row>
    <row r="287">
      <c r="A287" s="1" t="n"/>
      <c r="B287" s="24" t="n"/>
      <c r="C287" s="25" t="n"/>
      <c r="D287" s="25" t="n"/>
      <c r="E287" s="26" t="n"/>
      <c r="F287" s="27" t="n"/>
      <c r="G287" s="28" t="n"/>
      <c r="H287" s="28" t="n"/>
      <c r="I287" s="16">
        <f>IF(OR(G287="",N(H287)=0),"",G287/H287)</f>
        <v/>
      </c>
      <c r="J287" s="20">
        <f>IF(OR(B287="",E287=""),"",IF(OR(F287="Done",G287&lt;&gt;""),"Done",IF(E287&lt;TODAY(),"Late by "&amp;(TODAY()-E287)&amp;IF((TODAY()-E287)=1," day"," days"),IF(E287=TODAY(),"Due today",IF(E287=TODAY()+1,"Due tomorrow","Due in "&amp;(E287-TODAY())&amp;IF((E287-TODAY())=1," day"," days"))))))</f>
        <v/>
      </c>
      <c r="K287" s="25" t="n"/>
      <c r="L287" s="1">
        <f>IF(G287="","",N(H287))</f>
        <v/>
      </c>
      <c r="M287">
        <f>IF(OR(B287="",E287="",OR(F287="Done",G287&lt;&gt;"")),"",E287+ROW()/10000000)</f>
        <v/>
      </c>
    </row>
    <row r="288">
      <c r="A288" s="1" t="n"/>
      <c r="B288" s="24" t="n"/>
      <c r="C288" s="25" t="n"/>
      <c r="D288" s="25" t="n"/>
      <c r="E288" s="26" t="n"/>
      <c r="F288" s="27" t="n"/>
      <c r="G288" s="28" t="n"/>
      <c r="H288" s="28" t="n"/>
      <c r="I288" s="16">
        <f>IF(OR(G288="",N(H288)=0),"",G288/H288)</f>
        <v/>
      </c>
      <c r="J288" s="20">
        <f>IF(OR(B288="",E288=""),"",IF(OR(F288="Done",G288&lt;&gt;""),"Done",IF(E288&lt;TODAY(),"Late by "&amp;(TODAY()-E288)&amp;IF((TODAY()-E288)=1," day"," days"),IF(E288=TODAY(),"Due today",IF(E288=TODAY()+1,"Due tomorrow","Due in "&amp;(E288-TODAY())&amp;IF((E288-TODAY())=1," day"," days"))))))</f>
        <v/>
      </c>
      <c r="K288" s="25" t="n"/>
      <c r="L288" s="1">
        <f>IF(G288="","",N(H288))</f>
        <v/>
      </c>
      <c r="M288">
        <f>IF(OR(B288="",E288="",OR(F288="Done",G288&lt;&gt;"")),"",E288+ROW()/10000000)</f>
        <v/>
      </c>
    </row>
    <row r="289">
      <c r="A289" s="1" t="n"/>
      <c r="B289" s="24" t="n"/>
      <c r="C289" s="25" t="n"/>
      <c r="D289" s="25" t="n"/>
      <c r="E289" s="26" t="n"/>
      <c r="F289" s="27" t="n"/>
      <c r="G289" s="28" t="n"/>
      <c r="H289" s="28" t="n"/>
      <c r="I289" s="16">
        <f>IF(OR(G289="",N(H289)=0),"",G289/H289)</f>
        <v/>
      </c>
      <c r="J289" s="20">
        <f>IF(OR(B289="",E289=""),"",IF(OR(F289="Done",G289&lt;&gt;""),"Done",IF(E289&lt;TODAY(),"Late by "&amp;(TODAY()-E289)&amp;IF((TODAY()-E289)=1," day"," days"),IF(E289=TODAY(),"Due today",IF(E289=TODAY()+1,"Due tomorrow","Due in "&amp;(E289-TODAY())&amp;IF((E289-TODAY())=1," day"," days"))))))</f>
        <v/>
      </c>
      <c r="K289" s="25" t="n"/>
      <c r="L289" s="1">
        <f>IF(G289="","",N(H289))</f>
        <v/>
      </c>
      <c r="M289">
        <f>IF(OR(B289="",E289="",OR(F289="Done",G289&lt;&gt;"")),"",E289+ROW()/10000000)</f>
        <v/>
      </c>
    </row>
    <row r="290">
      <c r="A290" s="1" t="n"/>
      <c r="B290" s="24" t="n"/>
      <c r="C290" s="25" t="n"/>
      <c r="D290" s="25" t="n"/>
      <c r="E290" s="26" t="n"/>
      <c r="F290" s="27" t="n"/>
      <c r="G290" s="28" t="n"/>
      <c r="H290" s="28" t="n"/>
      <c r="I290" s="16">
        <f>IF(OR(G290="",N(H290)=0),"",G290/H290)</f>
        <v/>
      </c>
      <c r="J290" s="20">
        <f>IF(OR(B290="",E290=""),"",IF(OR(F290="Done",G290&lt;&gt;""),"Done",IF(E290&lt;TODAY(),"Late by "&amp;(TODAY()-E290)&amp;IF((TODAY()-E290)=1," day"," days"),IF(E290=TODAY(),"Due today",IF(E290=TODAY()+1,"Due tomorrow","Due in "&amp;(E290-TODAY())&amp;IF((E290-TODAY())=1," day"," days"))))))</f>
        <v/>
      </c>
      <c r="K290" s="25" t="n"/>
      <c r="L290" s="1">
        <f>IF(G290="","",N(H290))</f>
        <v/>
      </c>
      <c r="M290">
        <f>IF(OR(B290="",E290="",OR(F290="Done",G290&lt;&gt;"")),"",E290+ROW()/10000000)</f>
        <v/>
      </c>
    </row>
    <row r="291">
      <c r="A291" s="1" t="n"/>
      <c r="B291" s="24" t="n"/>
      <c r="C291" s="25" t="n"/>
      <c r="D291" s="25" t="n"/>
      <c r="E291" s="26" t="n"/>
      <c r="F291" s="27" t="n"/>
      <c r="G291" s="28" t="n"/>
      <c r="H291" s="28" t="n"/>
      <c r="I291" s="16">
        <f>IF(OR(G291="",N(H291)=0),"",G291/H291)</f>
        <v/>
      </c>
      <c r="J291" s="20">
        <f>IF(OR(B291="",E291=""),"",IF(OR(F291="Done",G291&lt;&gt;""),"Done",IF(E291&lt;TODAY(),"Late by "&amp;(TODAY()-E291)&amp;IF((TODAY()-E291)=1," day"," days"),IF(E291=TODAY(),"Due today",IF(E291=TODAY()+1,"Due tomorrow","Due in "&amp;(E291-TODAY())&amp;IF((E291-TODAY())=1," day"," days"))))))</f>
        <v/>
      </c>
      <c r="K291" s="25" t="n"/>
      <c r="L291" s="1">
        <f>IF(G291="","",N(H291))</f>
        <v/>
      </c>
      <c r="M291">
        <f>IF(OR(B291="",E291="",OR(F291="Done",G291&lt;&gt;"")),"",E291+ROW()/10000000)</f>
        <v/>
      </c>
    </row>
    <row r="292">
      <c r="A292" s="1" t="n"/>
      <c r="B292" s="24" t="n"/>
      <c r="C292" s="25" t="n"/>
      <c r="D292" s="25" t="n"/>
      <c r="E292" s="26" t="n"/>
      <c r="F292" s="27" t="n"/>
      <c r="G292" s="28" t="n"/>
      <c r="H292" s="28" t="n"/>
      <c r="I292" s="16">
        <f>IF(OR(G292="",N(H292)=0),"",G292/H292)</f>
        <v/>
      </c>
      <c r="J292" s="20">
        <f>IF(OR(B292="",E292=""),"",IF(OR(F292="Done",G292&lt;&gt;""),"Done",IF(E292&lt;TODAY(),"Late by "&amp;(TODAY()-E292)&amp;IF((TODAY()-E292)=1," day"," days"),IF(E292=TODAY(),"Due today",IF(E292=TODAY()+1,"Due tomorrow","Due in "&amp;(E292-TODAY())&amp;IF((E292-TODAY())=1," day"," days"))))))</f>
        <v/>
      </c>
      <c r="K292" s="25" t="n"/>
      <c r="L292" s="1">
        <f>IF(G292="","",N(H292))</f>
        <v/>
      </c>
      <c r="M292">
        <f>IF(OR(B292="",E292="",OR(F292="Done",G292&lt;&gt;"")),"",E292+ROW()/10000000)</f>
        <v/>
      </c>
    </row>
    <row r="293">
      <c r="A293" s="1" t="n"/>
      <c r="B293" s="24" t="n"/>
      <c r="C293" s="25" t="n"/>
      <c r="D293" s="25" t="n"/>
      <c r="E293" s="26" t="n"/>
      <c r="F293" s="27" t="n"/>
      <c r="G293" s="28" t="n"/>
      <c r="H293" s="28" t="n"/>
      <c r="I293" s="16">
        <f>IF(OR(G293="",N(H293)=0),"",G293/H293)</f>
        <v/>
      </c>
      <c r="J293" s="20">
        <f>IF(OR(B293="",E293=""),"",IF(OR(F293="Done",G293&lt;&gt;""),"Done",IF(E293&lt;TODAY(),"Late by "&amp;(TODAY()-E293)&amp;IF((TODAY()-E293)=1," day"," days"),IF(E293=TODAY(),"Due today",IF(E293=TODAY()+1,"Due tomorrow","Due in "&amp;(E293-TODAY())&amp;IF((E293-TODAY())=1," day"," days"))))))</f>
        <v/>
      </c>
      <c r="K293" s="25" t="n"/>
      <c r="L293" s="1">
        <f>IF(G293="","",N(H293))</f>
        <v/>
      </c>
      <c r="M293">
        <f>IF(OR(B293="",E293="",OR(F293="Done",G293&lt;&gt;"")),"",E293+ROW()/10000000)</f>
        <v/>
      </c>
    </row>
    <row r="294">
      <c r="A294" s="1" t="n"/>
      <c r="B294" s="24" t="n"/>
      <c r="C294" s="25" t="n"/>
      <c r="D294" s="25" t="n"/>
      <c r="E294" s="26" t="n"/>
      <c r="F294" s="27" t="n"/>
      <c r="G294" s="28" t="n"/>
      <c r="H294" s="28" t="n"/>
      <c r="I294" s="16">
        <f>IF(OR(G294="",N(H294)=0),"",G294/H294)</f>
        <v/>
      </c>
      <c r="J294" s="20">
        <f>IF(OR(B294="",E294=""),"",IF(OR(F294="Done",G294&lt;&gt;""),"Done",IF(E294&lt;TODAY(),"Late by "&amp;(TODAY()-E294)&amp;IF((TODAY()-E294)=1," day"," days"),IF(E294=TODAY(),"Due today",IF(E294=TODAY()+1,"Due tomorrow","Due in "&amp;(E294-TODAY())&amp;IF((E294-TODAY())=1," day"," days"))))))</f>
        <v/>
      </c>
      <c r="K294" s="25" t="n"/>
      <c r="L294" s="1">
        <f>IF(G294="","",N(H294))</f>
        <v/>
      </c>
      <c r="M294">
        <f>IF(OR(B294="",E294="",OR(F294="Done",G294&lt;&gt;"")),"",E294+ROW()/10000000)</f>
        <v/>
      </c>
    </row>
    <row r="295">
      <c r="A295" s="1" t="n"/>
      <c r="B295" s="24" t="n"/>
      <c r="C295" s="25" t="n"/>
      <c r="D295" s="25" t="n"/>
      <c r="E295" s="26" t="n"/>
      <c r="F295" s="27" t="n"/>
      <c r="G295" s="28" t="n"/>
      <c r="H295" s="28" t="n"/>
      <c r="I295" s="16">
        <f>IF(OR(G295="",N(H295)=0),"",G295/H295)</f>
        <v/>
      </c>
      <c r="J295" s="20">
        <f>IF(OR(B295="",E295=""),"",IF(OR(F295="Done",G295&lt;&gt;""),"Done",IF(E295&lt;TODAY(),"Late by "&amp;(TODAY()-E295)&amp;IF((TODAY()-E295)=1," day"," days"),IF(E295=TODAY(),"Due today",IF(E295=TODAY()+1,"Due tomorrow","Due in "&amp;(E295-TODAY())&amp;IF((E295-TODAY())=1," day"," days"))))))</f>
        <v/>
      </c>
      <c r="K295" s="25" t="n"/>
      <c r="L295" s="1">
        <f>IF(G295="","",N(H295))</f>
        <v/>
      </c>
      <c r="M295">
        <f>IF(OR(B295="",E295="",OR(F295="Done",G295&lt;&gt;"")),"",E295+ROW()/10000000)</f>
        <v/>
      </c>
    </row>
    <row r="296">
      <c r="A296" s="1" t="n"/>
      <c r="B296" s="24" t="n"/>
      <c r="C296" s="25" t="n"/>
      <c r="D296" s="25" t="n"/>
      <c r="E296" s="26" t="n"/>
      <c r="F296" s="27" t="n"/>
      <c r="G296" s="28" t="n"/>
      <c r="H296" s="28" t="n"/>
      <c r="I296" s="16">
        <f>IF(OR(G296="",N(H296)=0),"",G296/H296)</f>
        <v/>
      </c>
      <c r="J296" s="20">
        <f>IF(OR(B296="",E296=""),"",IF(OR(F296="Done",G296&lt;&gt;""),"Done",IF(E296&lt;TODAY(),"Late by "&amp;(TODAY()-E296)&amp;IF((TODAY()-E296)=1," day"," days"),IF(E296=TODAY(),"Due today",IF(E296=TODAY()+1,"Due tomorrow","Due in "&amp;(E296-TODAY())&amp;IF((E296-TODAY())=1," day"," days"))))))</f>
        <v/>
      </c>
      <c r="K296" s="25" t="n"/>
      <c r="L296" s="1">
        <f>IF(G296="","",N(H296))</f>
        <v/>
      </c>
      <c r="M296">
        <f>IF(OR(B296="",E296="",OR(F296="Done",G296&lt;&gt;"")),"",E296+ROW()/10000000)</f>
        <v/>
      </c>
    </row>
    <row r="297">
      <c r="A297" s="1" t="n"/>
      <c r="B297" s="24" t="n"/>
      <c r="C297" s="25" t="n"/>
      <c r="D297" s="25" t="n"/>
      <c r="E297" s="26" t="n"/>
      <c r="F297" s="27" t="n"/>
      <c r="G297" s="28" t="n"/>
      <c r="H297" s="28" t="n"/>
      <c r="I297" s="16">
        <f>IF(OR(G297="",N(H297)=0),"",G297/H297)</f>
        <v/>
      </c>
      <c r="J297" s="20">
        <f>IF(OR(B297="",E297=""),"",IF(OR(F297="Done",G297&lt;&gt;""),"Done",IF(E297&lt;TODAY(),"Late by "&amp;(TODAY()-E297)&amp;IF((TODAY()-E297)=1," day"," days"),IF(E297=TODAY(),"Due today",IF(E297=TODAY()+1,"Due tomorrow","Due in "&amp;(E297-TODAY())&amp;IF((E297-TODAY())=1," day"," days"))))))</f>
        <v/>
      </c>
      <c r="K297" s="25" t="n"/>
      <c r="L297" s="1">
        <f>IF(G297="","",N(H297))</f>
        <v/>
      </c>
      <c r="M297">
        <f>IF(OR(B297="",E297="",OR(F297="Done",G297&lt;&gt;"")),"",E297+ROW()/10000000)</f>
        <v/>
      </c>
    </row>
    <row r="298">
      <c r="A298" s="1" t="n"/>
      <c r="B298" s="24" t="n"/>
      <c r="C298" s="25" t="n"/>
      <c r="D298" s="25" t="n"/>
      <c r="E298" s="26" t="n"/>
      <c r="F298" s="27" t="n"/>
      <c r="G298" s="28" t="n"/>
      <c r="H298" s="28" t="n"/>
      <c r="I298" s="16">
        <f>IF(OR(G298="",N(H298)=0),"",G298/H298)</f>
        <v/>
      </c>
      <c r="J298" s="20">
        <f>IF(OR(B298="",E298=""),"",IF(OR(F298="Done",G298&lt;&gt;""),"Done",IF(E298&lt;TODAY(),"Late by "&amp;(TODAY()-E298)&amp;IF((TODAY()-E298)=1," day"," days"),IF(E298=TODAY(),"Due today",IF(E298=TODAY()+1,"Due tomorrow","Due in "&amp;(E298-TODAY())&amp;IF((E298-TODAY())=1," day"," days"))))))</f>
        <v/>
      </c>
      <c r="K298" s="25" t="n"/>
      <c r="L298" s="1">
        <f>IF(G298="","",N(H298))</f>
        <v/>
      </c>
      <c r="M298">
        <f>IF(OR(B298="",E298="",OR(F298="Done",G298&lt;&gt;"")),"",E298+ROW()/10000000)</f>
        <v/>
      </c>
    </row>
    <row r="299">
      <c r="A299" s="1" t="n"/>
      <c r="B299" s="24" t="n"/>
      <c r="C299" s="25" t="n"/>
      <c r="D299" s="25" t="n"/>
      <c r="E299" s="26" t="n"/>
      <c r="F299" s="27" t="n"/>
      <c r="G299" s="28" t="n"/>
      <c r="H299" s="28" t="n"/>
      <c r="I299" s="16">
        <f>IF(OR(G299="",N(H299)=0),"",G299/H299)</f>
        <v/>
      </c>
      <c r="J299" s="20">
        <f>IF(OR(B299="",E299=""),"",IF(OR(F299="Done",G299&lt;&gt;""),"Done",IF(E299&lt;TODAY(),"Late by "&amp;(TODAY()-E299)&amp;IF((TODAY()-E299)=1," day"," days"),IF(E299=TODAY(),"Due today",IF(E299=TODAY()+1,"Due tomorrow","Due in "&amp;(E299-TODAY())&amp;IF((E299-TODAY())=1," day"," days"))))))</f>
        <v/>
      </c>
      <c r="K299" s="25" t="n"/>
      <c r="L299" s="1">
        <f>IF(G299="","",N(H299))</f>
        <v/>
      </c>
      <c r="M299">
        <f>IF(OR(B299="",E299="",OR(F299="Done",G299&lt;&gt;"")),"",E299+ROW()/10000000)</f>
        <v/>
      </c>
    </row>
    <row r="300">
      <c r="A300" s="1" t="n"/>
      <c r="B300" s="24" t="n"/>
      <c r="C300" s="25" t="n"/>
      <c r="D300" s="25" t="n"/>
      <c r="E300" s="26" t="n"/>
      <c r="F300" s="27" t="n"/>
      <c r="G300" s="28" t="n"/>
      <c r="H300" s="28" t="n"/>
      <c r="I300" s="16">
        <f>IF(OR(G300="",N(H300)=0),"",G300/H300)</f>
        <v/>
      </c>
      <c r="J300" s="20">
        <f>IF(OR(B300="",E300=""),"",IF(OR(F300="Done",G300&lt;&gt;""),"Done",IF(E300&lt;TODAY(),"Late by "&amp;(TODAY()-E300)&amp;IF((TODAY()-E300)=1," day"," days"),IF(E300=TODAY(),"Due today",IF(E300=TODAY()+1,"Due tomorrow","Due in "&amp;(E300-TODAY())&amp;IF((E300-TODAY())=1," day"," days"))))))</f>
        <v/>
      </c>
      <c r="K300" s="25" t="n"/>
      <c r="L300" s="1">
        <f>IF(G300="","",N(H300))</f>
        <v/>
      </c>
      <c r="M300">
        <f>IF(OR(B300="",E300="",OR(F300="Done",G300&lt;&gt;"")),"",E300+ROW()/10000000)</f>
        <v/>
      </c>
    </row>
    <row r="301">
      <c r="A301" s="1" t="n"/>
      <c r="B301" s="24" t="n"/>
      <c r="C301" s="25" t="n"/>
      <c r="D301" s="25" t="n"/>
      <c r="E301" s="26" t="n"/>
      <c r="F301" s="27" t="n"/>
      <c r="G301" s="28" t="n"/>
      <c r="H301" s="28" t="n"/>
      <c r="I301" s="16">
        <f>IF(OR(G301="",N(H301)=0),"",G301/H301)</f>
        <v/>
      </c>
      <c r="J301" s="20">
        <f>IF(OR(B301="",E301=""),"",IF(OR(F301="Done",G301&lt;&gt;""),"Done",IF(E301&lt;TODAY(),"Late by "&amp;(TODAY()-E301)&amp;IF((TODAY()-E301)=1," day"," days"),IF(E301=TODAY(),"Due today",IF(E301=TODAY()+1,"Due tomorrow","Due in "&amp;(E301-TODAY())&amp;IF((E301-TODAY())=1," day"," days"))))))</f>
        <v/>
      </c>
      <c r="K301" s="25" t="n"/>
      <c r="L301" s="1">
        <f>IF(G301="","",N(H301))</f>
        <v/>
      </c>
      <c r="M301">
        <f>IF(OR(B301="",E301="",OR(F301="Done",G301&lt;&gt;"")),"",E301+ROW()/10000000)</f>
        <v/>
      </c>
    </row>
    <row r="302">
      <c r="A302" s="1" t="n"/>
      <c r="B302" s="24" t="n"/>
      <c r="C302" s="25" t="n"/>
      <c r="D302" s="25" t="n"/>
      <c r="E302" s="26" t="n"/>
      <c r="F302" s="27" t="n"/>
      <c r="G302" s="28" t="n"/>
      <c r="H302" s="28" t="n"/>
      <c r="I302" s="16">
        <f>IF(OR(G302="",N(H302)=0),"",G302/H302)</f>
        <v/>
      </c>
      <c r="J302" s="20">
        <f>IF(OR(B302="",E302=""),"",IF(OR(F302="Done",G302&lt;&gt;""),"Done",IF(E302&lt;TODAY(),"Late by "&amp;(TODAY()-E302)&amp;IF((TODAY()-E302)=1," day"," days"),IF(E302=TODAY(),"Due today",IF(E302=TODAY()+1,"Due tomorrow","Due in "&amp;(E302-TODAY())&amp;IF((E302-TODAY())=1," day"," days"))))))</f>
        <v/>
      </c>
      <c r="K302" s="25" t="n"/>
      <c r="L302" s="1">
        <f>IF(G302="","",N(H302))</f>
        <v/>
      </c>
      <c r="M302">
        <f>IF(OR(B302="",E302="",OR(F302="Done",G302&lt;&gt;"")),"",E302+ROW()/10000000)</f>
        <v/>
      </c>
    </row>
    <row r="303">
      <c r="A303" s="1" t="n"/>
      <c r="B303" s="24" t="n"/>
      <c r="C303" s="25" t="n"/>
      <c r="D303" s="25" t="n"/>
      <c r="E303" s="26" t="n"/>
      <c r="F303" s="27" t="n"/>
      <c r="G303" s="28" t="n"/>
      <c r="H303" s="28" t="n"/>
      <c r="I303" s="16">
        <f>IF(OR(G303="",N(H303)=0),"",G303/H303)</f>
        <v/>
      </c>
      <c r="J303" s="20">
        <f>IF(OR(B303="",E303=""),"",IF(OR(F303="Done",G303&lt;&gt;""),"Done",IF(E303&lt;TODAY(),"Late by "&amp;(TODAY()-E303)&amp;IF((TODAY()-E303)=1," day"," days"),IF(E303=TODAY(),"Due today",IF(E303=TODAY()+1,"Due tomorrow","Due in "&amp;(E303-TODAY())&amp;IF((E303-TODAY())=1," day"," days"))))))</f>
        <v/>
      </c>
      <c r="K303" s="25" t="n"/>
      <c r="L303" s="1">
        <f>IF(G303="","",N(H303))</f>
        <v/>
      </c>
      <c r="M303">
        <f>IF(OR(B303="",E303="",OR(F303="Done",G303&lt;&gt;"")),"",E303+ROW()/10000000)</f>
        <v/>
      </c>
    </row>
    <row r="304">
      <c r="A304" s="1" t="n"/>
      <c r="B304" s="24" t="n"/>
      <c r="C304" s="25" t="n"/>
      <c r="D304" s="25" t="n"/>
      <c r="E304" s="26" t="n"/>
      <c r="F304" s="27" t="n"/>
      <c r="G304" s="28" t="n"/>
      <c r="H304" s="28" t="n"/>
      <c r="I304" s="16">
        <f>IF(OR(G304="",N(H304)=0),"",G304/H304)</f>
        <v/>
      </c>
      <c r="J304" s="20">
        <f>IF(OR(B304="",E304=""),"",IF(OR(F304="Done",G304&lt;&gt;""),"Done",IF(E304&lt;TODAY(),"Late by "&amp;(TODAY()-E304)&amp;IF((TODAY()-E304)=1," day"," days"),IF(E304=TODAY(),"Due today",IF(E304=TODAY()+1,"Due tomorrow","Due in "&amp;(E304-TODAY())&amp;IF((E304-TODAY())=1," day"," days"))))))</f>
        <v/>
      </c>
      <c r="K304" s="25" t="n"/>
      <c r="L304" s="1">
        <f>IF(G304="","",N(H304))</f>
        <v/>
      </c>
      <c r="M304">
        <f>IF(OR(B304="",E304="",OR(F304="Done",G304&lt;&gt;"")),"",E304+ROW()/10000000)</f>
        <v/>
      </c>
    </row>
    <row r="305">
      <c r="A305" s="1" t="n"/>
      <c r="B305" s="24" t="n"/>
      <c r="C305" s="25" t="n"/>
      <c r="D305" s="25" t="n"/>
      <c r="E305" s="26" t="n"/>
      <c r="F305" s="27" t="n"/>
      <c r="G305" s="28" t="n"/>
      <c r="H305" s="28" t="n"/>
      <c r="I305" s="16">
        <f>IF(OR(G305="",N(H305)=0),"",G305/H305)</f>
        <v/>
      </c>
      <c r="J305" s="20">
        <f>IF(OR(B305="",E305=""),"",IF(OR(F305="Done",G305&lt;&gt;""),"Done",IF(E305&lt;TODAY(),"Late by "&amp;(TODAY()-E305)&amp;IF((TODAY()-E305)=1," day"," days"),IF(E305=TODAY(),"Due today",IF(E305=TODAY()+1,"Due tomorrow","Due in "&amp;(E305-TODAY())&amp;IF((E305-TODAY())=1," day"," days"))))))</f>
        <v/>
      </c>
      <c r="K305" s="25" t="n"/>
      <c r="L305" s="1">
        <f>IF(G305="","",N(H305))</f>
        <v/>
      </c>
      <c r="M305">
        <f>IF(OR(B305="",E305="",OR(F305="Done",G305&lt;&gt;"")),"",E305+ROW()/10000000)</f>
        <v/>
      </c>
    </row>
    <row r="306">
      <c r="A306" s="1" t="n"/>
      <c r="B306" s="24" t="n"/>
      <c r="C306" s="25" t="n"/>
      <c r="D306" s="25" t="n"/>
      <c r="E306" s="26" t="n"/>
      <c r="F306" s="27" t="n"/>
      <c r="G306" s="28" t="n"/>
      <c r="H306" s="28" t="n"/>
      <c r="I306" s="16">
        <f>IF(OR(G306="",N(H306)=0),"",G306/H306)</f>
        <v/>
      </c>
      <c r="J306" s="20">
        <f>IF(OR(B306="",E306=""),"",IF(OR(F306="Done",G306&lt;&gt;""),"Done",IF(E306&lt;TODAY(),"Late by "&amp;(TODAY()-E306)&amp;IF((TODAY()-E306)=1," day"," days"),IF(E306=TODAY(),"Due today",IF(E306=TODAY()+1,"Due tomorrow","Due in "&amp;(E306-TODAY())&amp;IF((E306-TODAY())=1," day"," days"))))))</f>
        <v/>
      </c>
      <c r="K306" s="25" t="n"/>
      <c r="L306" s="1">
        <f>IF(G306="","",N(H306))</f>
        <v/>
      </c>
      <c r="M306">
        <f>IF(OR(B306="",E306="",OR(F306="Done",G306&lt;&gt;"")),"",E306+ROW()/10000000)</f>
        <v/>
      </c>
    </row>
    <row r="307">
      <c r="A307" s="1" t="n"/>
      <c r="B307" s="24" t="n"/>
      <c r="C307" s="25" t="n"/>
      <c r="D307" s="25" t="n"/>
      <c r="E307" s="26" t="n"/>
      <c r="F307" s="27" t="n"/>
      <c r="G307" s="28" t="n"/>
      <c r="H307" s="28" t="n"/>
      <c r="I307" s="16">
        <f>IF(OR(G307="",N(H307)=0),"",G307/H307)</f>
        <v/>
      </c>
      <c r="J307" s="20">
        <f>IF(OR(B307="",E307=""),"",IF(OR(F307="Done",G307&lt;&gt;""),"Done",IF(E307&lt;TODAY(),"Late by "&amp;(TODAY()-E307)&amp;IF((TODAY()-E307)=1," day"," days"),IF(E307=TODAY(),"Due today",IF(E307=TODAY()+1,"Due tomorrow","Due in "&amp;(E307-TODAY())&amp;IF((E307-TODAY())=1," day"," days"))))))</f>
        <v/>
      </c>
      <c r="K307" s="25" t="n"/>
      <c r="L307" s="1">
        <f>IF(G307="","",N(H307))</f>
        <v/>
      </c>
      <c r="M307">
        <f>IF(OR(B307="",E307="",OR(F307="Done",G307&lt;&gt;"")),"",E307+ROW()/10000000)</f>
        <v/>
      </c>
    </row>
    <row r="308">
      <c r="A308" s="1" t="n"/>
      <c r="B308" s="24" t="n"/>
      <c r="C308" s="25" t="n"/>
      <c r="D308" s="25" t="n"/>
      <c r="E308" s="26" t="n"/>
      <c r="F308" s="27" t="n"/>
      <c r="G308" s="28" t="n"/>
      <c r="H308" s="28" t="n"/>
      <c r="I308" s="16">
        <f>IF(OR(G308="",N(H308)=0),"",G308/H308)</f>
        <v/>
      </c>
      <c r="J308" s="20">
        <f>IF(OR(B308="",E308=""),"",IF(OR(F308="Done",G308&lt;&gt;""),"Done",IF(E308&lt;TODAY(),"Late by "&amp;(TODAY()-E308)&amp;IF((TODAY()-E308)=1," day"," days"),IF(E308=TODAY(),"Due today",IF(E308=TODAY()+1,"Due tomorrow","Due in "&amp;(E308-TODAY())&amp;IF((E308-TODAY())=1," day"," days"))))))</f>
        <v/>
      </c>
      <c r="K308" s="25" t="n"/>
      <c r="L308" s="1">
        <f>IF(G308="","",N(H308))</f>
        <v/>
      </c>
      <c r="M308">
        <f>IF(OR(B308="",E308="",OR(F308="Done",G308&lt;&gt;"")),"",E308+ROW()/10000000)</f>
        <v/>
      </c>
    </row>
    <row r="309">
      <c r="A309" s="1" t="n"/>
      <c r="B309" s="24" t="n"/>
      <c r="C309" s="25" t="n"/>
      <c r="D309" s="25" t="n"/>
      <c r="E309" s="26" t="n"/>
      <c r="F309" s="27" t="n"/>
      <c r="G309" s="28" t="n"/>
      <c r="H309" s="28" t="n"/>
      <c r="I309" s="16">
        <f>IF(OR(G309="",N(H309)=0),"",G309/H309)</f>
        <v/>
      </c>
      <c r="J309" s="20">
        <f>IF(OR(B309="",E309=""),"",IF(OR(F309="Done",G309&lt;&gt;""),"Done",IF(E309&lt;TODAY(),"Late by "&amp;(TODAY()-E309)&amp;IF((TODAY()-E309)=1," day"," days"),IF(E309=TODAY(),"Due today",IF(E309=TODAY()+1,"Due tomorrow","Due in "&amp;(E309-TODAY())&amp;IF((E309-TODAY())=1," day"," days"))))))</f>
        <v/>
      </c>
      <c r="K309" s="25" t="n"/>
      <c r="L309" s="1">
        <f>IF(G309="","",N(H309))</f>
        <v/>
      </c>
      <c r="M309">
        <f>IF(OR(B309="",E309="",OR(F309="Done",G309&lt;&gt;"")),"",E309+ROW()/10000000)</f>
        <v/>
      </c>
    </row>
    <row r="310">
      <c r="A310" s="1" t="n"/>
      <c r="B310" s="24" t="n"/>
      <c r="C310" s="25" t="n"/>
      <c r="D310" s="25" t="n"/>
      <c r="E310" s="26" t="n"/>
      <c r="F310" s="27" t="n"/>
      <c r="G310" s="28" t="n"/>
      <c r="H310" s="28" t="n"/>
      <c r="I310" s="16">
        <f>IF(OR(G310="",N(H310)=0),"",G310/H310)</f>
        <v/>
      </c>
      <c r="J310" s="20">
        <f>IF(OR(B310="",E310=""),"",IF(OR(F310="Done",G310&lt;&gt;""),"Done",IF(E310&lt;TODAY(),"Late by "&amp;(TODAY()-E310)&amp;IF((TODAY()-E310)=1," day"," days"),IF(E310=TODAY(),"Due today",IF(E310=TODAY()+1,"Due tomorrow","Due in "&amp;(E310-TODAY())&amp;IF((E310-TODAY())=1," day"," days"))))))</f>
        <v/>
      </c>
      <c r="K310" s="25" t="n"/>
      <c r="L310" s="1">
        <f>IF(G310="","",N(H310))</f>
        <v/>
      </c>
      <c r="M310">
        <f>IF(OR(B310="",E310="",OR(F310="Done",G310&lt;&gt;"")),"",E310+ROW()/10000000)</f>
        <v/>
      </c>
    </row>
    <row r="311">
      <c r="A311" s="1" t="n"/>
      <c r="B311" s="24" t="n"/>
      <c r="C311" s="25" t="n"/>
      <c r="D311" s="25" t="n"/>
      <c r="E311" s="26" t="n"/>
      <c r="F311" s="27" t="n"/>
      <c r="G311" s="28" t="n"/>
      <c r="H311" s="28" t="n"/>
      <c r="I311" s="16">
        <f>IF(OR(G311="",N(H311)=0),"",G311/H311)</f>
        <v/>
      </c>
      <c r="J311" s="20">
        <f>IF(OR(B311="",E311=""),"",IF(OR(F311="Done",G311&lt;&gt;""),"Done",IF(E311&lt;TODAY(),"Late by "&amp;(TODAY()-E311)&amp;IF((TODAY()-E311)=1," day"," days"),IF(E311=TODAY(),"Due today",IF(E311=TODAY()+1,"Due tomorrow","Due in "&amp;(E311-TODAY())&amp;IF((E311-TODAY())=1," day"," days"))))))</f>
        <v/>
      </c>
      <c r="K311" s="25" t="n"/>
      <c r="L311" s="1">
        <f>IF(G311="","",N(H311))</f>
        <v/>
      </c>
      <c r="M311">
        <f>IF(OR(B311="",E311="",OR(F311="Done",G311&lt;&gt;"")),"",E311+ROW()/10000000)</f>
        <v/>
      </c>
    </row>
    <row r="312">
      <c r="A312" s="1" t="n"/>
      <c r="B312" s="24" t="n"/>
      <c r="C312" s="25" t="n"/>
      <c r="D312" s="25" t="n"/>
      <c r="E312" s="26" t="n"/>
      <c r="F312" s="27" t="n"/>
      <c r="G312" s="28" t="n"/>
      <c r="H312" s="28" t="n"/>
      <c r="I312" s="16">
        <f>IF(OR(G312="",N(H312)=0),"",G312/H312)</f>
        <v/>
      </c>
      <c r="J312" s="20">
        <f>IF(OR(B312="",E312=""),"",IF(OR(F312="Done",G312&lt;&gt;""),"Done",IF(E312&lt;TODAY(),"Late by "&amp;(TODAY()-E312)&amp;IF((TODAY()-E312)=1," day"," days"),IF(E312=TODAY(),"Due today",IF(E312=TODAY()+1,"Due tomorrow","Due in "&amp;(E312-TODAY())&amp;IF((E312-TODAY())=1," day"," days"))))))</f>
        <v/>
      </c>
      <c r="K312" s="25" t="n"/>
      <c r="L312" s="1">
        <f>IF(G312="","",N(H312))</f>
        <v/>
      </c>
      <c r="M312">
        <f>IF(OR(B312="",E312="",OR(F312="Done",G312&lt;&gt;"")),"",E312+ROW()/10000000)</f>
        <v/>
      </c>
    </row>
    <row r="313">
      <c r="A313" s="1" t="n"/>
      <c r="B313" s="24" t="n"/>
      <c r="C313" s="25" t="n"/>
      <c r="D313" s="25" t="n"/>
      <c r="E313" s="26" t="n"/>
      <c r="F313" s="27" t="n"/>
      <c r="G313" s="28" t="n"/>
      <c r="H313" s="28" t="n"/>
      <c r="I313" s="16">
        <f>IF(OR(G313="",N(H313)=0),"",G313/H313)</f>
        <v/>
      </c>
      <c r="J313" s="20">
        <f>IF(OR(B313="",E313=""),"",IF(OR(F313="Done",G313&lt;&gt;""),"Done",IF(E313&lt;TODAY(),"Late by "&amp;(TODAY()-E313)&amp;IF((TODAY()-E313)=1," day"," days"),IF(E313=TODAY(),"Due today",IF(E313=TODAY()+1,"Due tomorrow","Due in "&amp;(E313-TODAY())&amp;IF((E313-TODAY())=1," day"," days"))))))</f>
        <v/>
      </c>
      <c r="K313" s="25" t="n"/>
      <c r="L313" s="1">
        <f>IF(G313="","",N(H313))</f>
        <v/>
      </c>
      <c r="M313">
        <f>IF(OR(B313="",E313="",OR(F313="Done",G313&lt;&gt;"")),"",E313+ROW()/10000000)</f>
        <v/>
      </c>
    </row>
    <row r="314">
      <c r="A314" s="1" t="n"/>
      <c r="B314" s="24" t="n"/>
      <c r="C314" s="25" t="n"/>
      <c r="D314" s="25" t="n"/>
      <c r="E314" s="26" t="n"/>
      <c r="F314" s="27" t="n"/>
      <c r="G314" s="28" t="n"/>
      <c r="H314" s="28" t="n"/>
      <c r="I314" s="16">
        <f>IF(OR(G314="",N(H314)=0),"",G314/H314)</f>
        <v/>
      </c>
      <c r="J314" s="20">
        <f>IF(OR(B314="",E314=""),"",IF(OR(F314="Done",G314&lt;&gt;""),"Done",IF(E314&lt;TODAY(),"Late by "&amp;(TODAY()-E314)&amp;IF((TODAY()-E314)=1," day"," days"),IF(E314=TODAY(),"Due today",IF(E314=TODAY()+1,"Due tomorrow","Due in "&amp;(E314-TODAY())&amp;IF((E314-TODAY())=1," day"," days"))))))</f>
        <v/>
      </c>
      <c r="K314" s="25" t="n"/>
      <c r="L314" s="1">
        <f>IF(G314="","",N(H314))</f>
        <v/>
      </c>
      <c r="M314">
        <f>IF(OR(B314="",E314="",OR(F314="Done",G314&lt;&gt;"")),"",E314+ROW()/10000000)</f>
        <v/>
      </c>
    </row>
    <row r="315">
      <c r="A315" s="1" t="n"/>
      <c r="B315" s="24" t="n"/>
      <c r="C315" s="25" t="n"/>
      <c r="D315" s="25" t="n"/>
      <c r="E315" s="26" t="n"/>
      <c r="F315" s="27" t="n"/>
      <c r="G315" s="28" t="n"/>
      <c r="H315" s="28" t="n"/>
      <c r="I315" s="16">
        <f>IF(OR(G315="",N(H315)=0),"",G315/H315)</f>
        <v/>
      </c>
      <c r="J315" s="20">
        <f>IF(OR(B315="",E315=""),"",IF(OR(F315="Done",G315&lt;&gt;""),"Done",IF(E315&lt;TODAY(),"Late by "&amp;(TODAY()-E315)&amp;IF((TODAY()-E315)=1," day"," days"),IF(E315=TODAY(),"Due today",IF(E315=TODAY()+1,"Due tomorrow","Due in "&amp;(E315-TODAY())&amp;IF((E315-TODAY())=1," day"," days"))))))</f>
        <v/>
      </c>
      <c r="K315" s="25" t="n"/>
      <c r="L315" s="1">
        <f>IF(G315="","",N(H315))</f>
        <v/>
      </c>
      <c r="M315">
        <f>IF(OR(B315="",E315="",OR(F315="Done",G315&lt;&gt;"")),"",E315+ROW()/10000000)</f>
        <v/>
      </c>
    </row>
    <row r="316">
      <c r="A316" s="1" t="n"/>
      <c r="B316" s="24" t="n"/>
      <c r="C316" s="25" t="n"/>
      <c r="D316" s="25" t="n"/>
      <c r="E316" s="26" t="n"/>
      <c r="F316" s="27" t="n"/>
      <c r="G316" s="28" t="n"/>
      <c r="H316" s="28" t="n"/>
      <c r="I316" s="16">
        <f>IF(OR(G316="",N(H316)=0),"",G316/H316)</f>
        <v/>
      </c>
      <c r="J316" s="20">
        <f>IF(OR(B316="",E316=""),"",IF(OR(F316="Done",G316&lt;&gt;""),"Done",IF(E316&lt;TODAY(),"Late by "&amp;(TODAY()-E316)&amp;IF((TODAY()-E316)=1," day"," days"),IF(E316=TODAY(),"Due today",IF(E316=TODAY()+1,"Due tomorrow","Due in "&amp;(E316-TODAY())&amp;IF((E316-TODAY())=1," day"," days"))))))</f>
        <v/>
      </c>
      <c r="K316" s="25" t="n"/>
      <c r="L316" s="1">
        <f>IF(G316="","",N(H316))</f>
        <v/>
      </c>
      <c r="M316">
        <f>IF(OR(B316="",E316="",OR(F316="Done",G316&lt;&gt;"")),"",E316+ROW()/10000000)</f>
        <v/>
      </c>
    </row>
    <row r="317">
      <c r="A317" s="1" t="n"/>
      <c r="B317" s="24" t="n"/>
      <c r="C317" s="25" t="n"/>
      <c r="D317" s="25" t="n"/>
      <c r="E317" s="26" t="n"/>
      <c r="F317" s="27" t="n"/>
      <c r="G317" s="28" t="n"/>
      <c r="H317" s="28" t="n"/>
      <c r="I317" s="16">
        <f>IF(OR(G317="",N(H317)=0),"",G317/H317)</f>
        <v/>
      </c>
      <c r="J317" s="20">
        <f>IF(OR(B317="",E317=""),"",IF(OR(F317="Done",G317&lt;&gt;""),"Done",IF(E317&lt;TODAY(),"Late by "&amp;(TODAY()-E317)&amp;IF((TODAY()-E317)=1," day"," days"),IF(E317=TODAY(),"Due today",IF(E317=TODAY()+1,"Due tomorrow","Due in "&amp;(E317-TODAY())&amp;IF((E317-TODAY())=1," day"," days"))))))</f>
        <v/>
      </c>
      <c r="K317" s="25" t="n"/>
      <c r="L317" s="1">
        <f>IF(G317="","",N(H317))</f>
        <v/>
      </c>
      <c r="M317">
        <f>IF(OR(B317="",E317="",OR(F317="Done",G317&lt;&gt;"")),"",E317+ROW()/10000000)</f>
        <v/>
      </c>
    </row>
    <row r="318">
      <c r="A318" s="1" t="n"/>
      <c r="B318" s="24" t="n"/>
      <c r="C318" s="25" t="n"/>
      <c r="D318" s="25" t="n"/>
      <c r="E318" s="26" t="n"/>
      <c r="F318" s="27" t="n"/>
      <c r="G318" s="28" t="n"/>
      <c r="H318" s="28" t="n"/>
      <c r="I318" s="16">
        <f>IF(OR(G318="",N(H318)=0),"",G318/H318)</f>
        <v/>
      </c>
      <c r="J318" s="20">
        <f>IF(OR(B318="",E318=""),"",IF(OR(F318="Done",G318&lt;&gt;""),"Done",IF(E318&lt;TODAY(),"Late by "&amp;(TODAY()-E318)&amp;IF((TODAY()-E318)=1," day"," days"),IF(E318=TODAY(),"Due today",IF(E318=TODAY()+1,"Due tomorrow","Due in "&amp;(E318-TODAY())&amp;IF((E318-TODAY())=1," day"," days"))))))</f>
        <v/>
      </c>
      <c r="K318" s="25" t="n"/>
      <c r="L318" s="1">
        <f>IF(G318="","",N(H318))</f>
        <v/>
      </c>
      <c r="M318">
        <f>IF(OR(B318="",E318="",OR(F318="Done",G318&lt;&gt;"")),"",E318+ROW()/10000000)</f>
        <v/>
      </c>
    </row>
    <row r="319">
      <c r="A319" s="1" t="n"/>
      <c r="B319" s="24" t="n"/>
      <c r="C319" s="25" t="n"/>
      <c r="D319" s="25" t="n"/>
      <c r="E319" s="26" t="n"/>
      <c r="F319" s="27" t="n"/>
      <c r="G319" s="28" t="n"/>
      <c r="H319" s="28" t="n"/>
      <c r="I319" s="16">
        <f>IF(OR(G319="",N(H319)=0),"",G319/H319)</f>
        <v/>
      </c>
      <c r="J319" s="20">
        <f>IF(OR(B319="",E319=""),"",IF(OR(F319="Done",G319&lt;&gt;""),"Done",IF(E319&lt;TODAY(),"Late by "&amp;(TODAY()-E319)&amp;IF((TODAY()-E319)=1," day"," days"),IF(E319=TODAY(),"Due today",IF(E319=TODAY()+1,"Due tomorrow","Due in "&amp;(E319-TODAY())&amp;IF((E319-TODAY())=1," day"," days"))))))</f>
        <v/>
      </c>
      <c r="K319" s="25" t="n"/>
      <c r="L319" s="1">
        <f>IF(G319="","",N(H319))</f>
        <v/>
      </c>
      <c r="M319">
        <f>IF(OR(B319="",E319="",OR(F319="Done",G319&lt;&gt;"")),"",E319+ROW()/10000000)</f>
        <v/>
      </c>
    </row>
    <row r="320">
      <c r="A320" s="1" t="n"/>
      <c r="B320" s="24" t="n"/>
      <c r="C320" s="25" t="n"/>
      <c r="D320" s="25" t="n"/>
      <c r="E320" s="26" t="n"/>
      <c r="F320" s="27" t="n"/>
      <c r="G320" s="28" t="n"/>
      <c r="H320" s="28" t="n"/>
      <c r="I320" s="16">
        <f>IF(OR(G320="",N(H320)=0),"",G320/H320)</f>
        <v/>
      </c>
      <c r="J320" s="20">
        <f>IF(OR(B320="",E320=""),"",IF(OR(F320="Done",G320&lt;&gt;""),"Done",IF(E320&lt;TODAY(),"Late by "&amp;(TODAY()-E320)&amp;IF((TODAY()-E320)=1," day"," days"),IF(E320=TODAY(),"Due today",IF(E320=TODAY()+1,"Due tomorrow","Due in "&amp;(E320-TODAY())&amp;IF((E320-TODAY())=1," day"," days"))))))</f>
        <v/>
      </c>
      <c r="K320" s="25" t="n"/>
      <c r="L320" s="1">
        <f>IF(G320="","",N(H320))</f>
        <v/>
      </c>
      <c r="M320">
        <f>IF(OR(B320="",E320="",OR(F320="Done",G320&lt;&gt;"")),"",E320+ROW()/10000000)</f>
        <v/>
      </c>
    </row>
    <row r="321">
      <c r="A321" s="1" t="n"/>
      <c r="B321" s="24" t="n"/>
      <c r="C321" s="25" t="n"/>
      <c r="D321" s="25" t="n"/>
      <c r="E321" s="26" t="n"/>
      <c r="F321" s="27" t="n"/>
      <c r="G321" s="28" t="n"/>
      <c r="H321" s="28" t="n"/>
      <c r="I321" s="16">
        <f>IF(OR(G321="",N(H321)=0),"",G321/H321)</f>
        <v/>
      </c>
      <c r="J321" s="20">
        <f>IF(OR(B321="",E321=""),"",IF(OR(F321="Done",G321&lt;&gt;""),"Done",IF(E321&lt;TODAY(),"Late by "&amp;(TODAY()-E321)&amp;IF((TODAY()-E321)=1," day"," days"),IF(E321=TODAY(),"Due today",IF(E321=TODAY()+1,"Due tomorrow","Due in "&amp;(E321-TODAY())&amp;IF((E321-TODAY())=1," day"," days"))))))</f>
        <v/>
      </c>
      <c r="K321" s="25" t="n"/>
      <c r="L321" s="1">
        <f>IF(G321="","",N(H321))</f>
        <v/>
      </c>
      <c r="M321">
        <f>IF(OR(B321="",E321="",OR(F321="Done",G321&lt;&gt;"")),"",E321+ROW()/10000000)</f>
        <v/>
      </c>
    </row>
    <row r="322">
      <c r="A322" s="1" t="n"/>
      <c r="B322" s="24" t="n"/>
      <c r="C322" s="25" t="n"/>
      <c r="D322" s="25" t="n"/>
      <c r="E322" s="26" t="n"/>
      <c r="F322" s="27" t="n"/>
      <c r="G322" s="28" t="n"/>
      <c r="H322" s="28" t="n"/>
      <c r="I322" s="16">
        <f>IF(OR(G322="",N(H322)=0),"",G322/H322)</f>
        <v/>
      </c>
      <c r="J322" s="20">
        <f>IF(OR(B322="",E322=""),"",IF(OR(F322="Done",G322&lt;&gt;""),"Done",IF(E322&lt;TODAY(),"Late by "&amp;(TODAY()-E322)&amp;IF((TODAY()-E322)=1," day"," days"),IF(E322=TODAY(),"Due today",IF(E322=TODAY()+1,"Due tomorrow","Due in "&amp;(E322-TODAY())&amp;IF((E322-TODAY())=1," day"," days"))))))</f>
        <v/>
      </c>
      <c r="K322" s="25" t="n"/>
      <c r="L322" s="1">
        <f>IF(G322="","",N(H322))</f>
        <v/>
      </c>
      <c r="M322">
        <f>IF(OR(B322="",E322="",OR(F322="Done",G322&lt;&gt;"")),"",E322+ROW()/10000000)</f>
        <v/>
      </c>
    </row>
    <row r="323">
      <c r="A323" s="1" t="n"/>
      <c r="B323" s="24" t="n"/>
      <c r="C323" s="25" t="n"/>
      <c r="D323" s="25" t="n"/>
      <c r="E323" s="26" t="n"/>
      <c r="F323" s="27" t="n"/>
      <c r="G323" s="28" t="n"/>
      <c r="H323" s="28" t="n"/>
      <c r="I323" s="16">
        <f>IF(OR(G323="",N(H323)=0),"",G323/H323)</f>
        <v/>
      </c>
      <c r="J323" s="20">
        <f>IF(OR(B323="",E323=""),"",IF(OR(F323="Done",G323&lt;&gt;""),"Done",IF(E323&lt;TODAY(),"Late by "&amp;(TODAY()-E323)&amp;IF((TODAY()-E323)=1," day"," days"),IF(E323=TODAY(),"Due today",IF(E323=TODAY()+1,"Due tomorrow","Due in "&amp;(E323-TODAY())&amp;IF((E323-TODAY())=1," day"," days"))))))</f>
        <v/>
      </c>
      <c r="K323" s="25" t="n"/>
      <c r="L323" s="1">
        <f>IF(G323="","",N(H323))</f>
        <v/>
      </c>
      <c r="M323">
        <f>IF(OR(B323="",E323="",OR(F323="Done",G323&lt;&gt;"")),"",E323+ROW()/10000000)</f>
        <v/>
      </c>
    </row>
    <row r="324">
      <c r="A324" s="1" t="n"/>
      <c r="B324" s="24" t="n"/>
      <c r="C324" s="25" t="n"/>
      <c r="D324" s="25" t="n"/>
      <c r="E324" s="26" t="n"/>
      <c r="F324" s="27" t="n"/>
      <c r="G324" s="28" t="n"/>
      <c r="H324" s="28" t="n"/>
      <c r="I324" s="16">
        <f>IF(OR(G324="",N(H324)=0),"",G324/H324)</f>
        <v/>
      </c>
      <c r="J324" s="20">
        <f>IF(OR(B324="",E324=""),"",IF(OR(F324="Done",G324&lt;&gt;""),"Done",IF(E324&lt;TODAY(),"Late by "&amp;(TODAY()-E324)&amp;IF((TODAY()-E324)=1," day"," days"),IF(E324=TODAY(),"Due today",IF(E324=TODAY()+1,"Due tomorrow","Due in "&amp;(E324-TODAY())&amp;IF((E324-TODAY())=1," day"," days"))))))</f>
        <v/>
      </c>
      <c r="K324" s="25" t="n"/>
      <c r="L324" s="1">
        <f>IF(G324="","",N(H324))</f>
        <v/>
      </c>
      <c r="M324">
        <f>IF(OR(B324="",E324="",OR(F324="Done",G324&lt;&gt;"")),"",E324+ROW()/10000000)</f>
        <v/>
      </c>
    </row>
    <row r="325">
      <c r="A325" s="1" t="n"/>
      <c r="B325" s="24" t="n"/>
      <c r="C325" s="25" t="n"/>
      <c r="D325" s="25" t="n"/>
      <c r="E325" s="26" t="n"/>
      <c r="F325" s="27" t="n"/>
      <c r="G325" s="28" t="n"/>
      <c r="H325" s="28" t="n"/>
      <c r="I325" s="16">
        <f>IF(OR(G325="",N(H325)=0),"",G325/H325)</f>
        <v/>
      </c>
      <c r="J325" s="20">
        <f>IF(OR(B325="",E325=""),"",IF(OR(F325="Done",G325&lt;&gt;""),"Done",IF(E325&lt;TODAY(),"Late by "&amp;(TODAY()-E325)&amp;IF((TODAY()-E325)=1," day"," days"),IF(E325=TODAY(),"Due today",IF(E325=TODAY()+1,"Due tomorrow","Due in "&amp;(E325-TODAY())&amp;IF((E325-TODAY())=1," day"," days"))))))</f>
        <v/>
      </c>
      <c r="K325" s="25" t="n"/>
      <c r="L325" s="1">
        <f>IF(G325="","",N(H325))</f>
        <v/>
      </c>
      <c r="M325">
        <f>IF(OR(B325="",E325="",OR(F325="Done",G325&lt;&gt;"")),"",E325+ROW()/10000000)</f>
        <v/>
      </c>
    </row>
    <row r="326">
      <c r="A326" s="1" t="n"/>
      <c r="B326" s="24" t="n"/>
      <c r="C326" s="25" t="n"/>
      <c r="D326" s="25" t="n"/>
      <c r="E326" s="26" t="n"/>
      <c r="F326" s="27" t="n"/>
      <c r="G326" s="28" t="n"/>
      <c r="H326" s="28" t="n"/>
      <c r="I326" s="16">
        <f>IF(OR(G326="",N(H326)=0),"",G326/H326)</f>
        <v/>
      </c>
      <c r="J326" s="20">
        <f>IF(OR(B326="",E326=""),"",IF(OR(F326="Done",G326&lt;&gt;""),"Done",IF(E326&lt;TODAY(),"Late by "&amp;(TODAY()-E326)&amp;IF((TODAY()-E326)=1," day"," days"),IF(E326=TODAY(),"Due today",IF(E326=TODAY()+1,"Due tomorrow","Due in "&amp;(E326-TODAY())&amp;IF((E326-TODAY())=1," day"," days"))))))</f>
        <v/>
      </c>
      <c r="K326" s="25" t="n"/>
      <c r="L326" s="1">
        <f>IF(G326="","",N(H326))</f>
        <v/>
      </c>
      <c r="M326">
        <f>IF(OR(B326="",E326="",OR(F326="Done",G326&lt;&gt;"")),"",E326+ROW()/10000000)</f>
        <v/>
      </c>
    </row>
    <row r="327">
      <c r="A327" s="1" t="n"/>
      <c r="B327" s="24" t="n"/>
      <c r="C327" s="25" t="n"/>
      <c r="D327" s="25" t="n"/>
      <c r="E327" s="26" t="n"/>
      <c r="F327" s="27" t="n"/>
      <c r="G327" s="28" t="n"/>
      <c r="H327" s="28" t="n"/>
      <c r="I327" s="16">
        <f>IF(OR(G327="",N(H327)=0),"",G327/H327)</f>
        <v/>
      </c>
      <c r="J327" s="20">
        <f>IF(OR(B327="",E327=""),"",IF(OR(F327="Done",G327&lt;&gt;""),"Done",IF(E327&lt;TODAY(),"Late by "&amp;(TODAY()-E327)&amp;IF((TODAY()-E327)=1," day"," days"),IF(E327=TODAY(),"Due today",IF(E327=TODAY()+1,"Due tomorrow","Due in "&amp;(E327-TODAY())&amp;IF((E327-TODAY())=1," day"," days"))))))</f>
        <v/>
      </c>
      <c r="K327" s="25" t="n"/>
      <c r="L327" s="1">
        <f>IF(G327="","",N(H327))</f>
        <v/>
      </c>
      <c r="M327">
        <f>IF(OR(B327="",E327="",OR(F327="Done",G327&lt;&gt;"")),"",E327+ROW()/10000000)</f>
        <v/>
      </c>
    </row>
    <row r="328">
      <c r="A328" s="1" t="n"/>
      <c r="B328" s="24" t="n"/>
      <c r="C328" s="25" t="n"/>
      <c r="D328" s="25" t="n"/>
      <c r="E328" s="26" t="n"/>
      <c r="F328" s="27" t="n"/>
      <c r="G328" s="28" t="n"/>
      <c r="H328" s="28" t="n"/>
      <c r="I328" s="16">
        <f>IF(OR(G328="",N(H328)=0),"",G328/H328)</f>
        <v/>
      </c>
      <c r="J328" s="20">
        <f>IF(OR(B328="",E328=""),"",IF(OR(F328="Done",G328&lt;&gt;""),"Done",IF(E328&lt;TODAY(),"Late by "&amp;(TODAY()-E328)&amp;IF((TODAY()-E328)=1," day"," days"),IF(E328=TODAY(),"Due today",IF(E328=TODAY()+1,"Due tomorrow","Due in "&amp;(E328-TODAY())&amp;IF((E328-TODAY())=1," day"," days"))))))</f>
        <v/>
      </c>
      <c r="K328" s="25" t="n"/>
      <c r="L328" s="1">
        <f>IF(G328="","",N(H328))</f>
        <v/>
      </c>
      <c r="M328">
        <f>IF(OR(B328="",E328="",OR(F328="Done",G328&lt;&gt;"")),"",E328+ROW()/10000000)</f>
        <v/>
      </c>
    </row>
    <row r="329">
      <c r="A329" s="1" t="n"/>
      <c r="B329" s="24" t="n"/>
      <c r="C329" s="25" t="n"/>
      <c r="D329" s="25" t="n"/>
      <c r="E329" s="26" t="n"/>
      <c r="F329" s="27" t="n"/>
      <c r="G329" s="28" t="n"/>
      <c r="H329" s="28" t="n"/>
      <c r="I329" s="16">
        <f>IF(OR(G329="",N(H329)=0),"",G329/H329)</f>
        <v/>
      </c>
      <c r="J329" s="20">
        <f>IF(OR(B329="",E329=""),"",IF(OR(F329="Done",G329&lt;&gt;""),"Done",IF(E329&lt;TODAY(),"Late by "&amp;(TODAY()-E329)&amp;IF((TODAY()-E329)=1," day"," days"),IF(E329=TODAY(),"Due today",IF(E329=TODAY()+1,"Due tomorrow","Due in "&amp;(E329-TODAY())&amp;IF((E329-TODAY())=1," day"," days"))))))</f>
        <v/>
      </c>
      <c r="K329" s="25" t="n"/>
      <c r="L329" s="1">
        <f>IF(G329="","",N(H329))</f>
        <v/>
      </c>
      <c r="M329">
        <f>IF(OR(B329="",E329="",OR(F329="Done",G329&lt;&gt;"")),"",E329+ROW()/10000000)</f>
        <v/>
      </c>
    </row>
    <row r="330">
      <c r="A330" s="1" t="n"/>
      <c r="B330" s="24" t="n"/>
      <c r="C330" s="25" t="n"/>
      <c r="D330" s="25" t="n"/>
      <c r="E330" s="26" t="n"/>
      <c r="F330" s="27" t="n"/>
      <c r="G330" s="28" t="n"/>
      <c r="H330" s="28" t="n"/>
      <c r="I330" s="16">
        <f>IF(OR(G330="",N(H330)=0),"",G330/H330)</f>
        <v/>
      </c>
      <c r="J330" s="20">
        <f>IF(OR(B330="",E330=""),"",IF(OR(F330="Done",G330&lt;&gt;""),"Done",IF(E330&lt;TODAY(),"Late by "&amp;(TODAY()-E330)&amp;IF((TODAY()-E330)=1," day"," days"),IF(E330=TODAY(),"Due today",IF(E330=TODAY()+1,"Due tomorrow","Due in "&amp;(E330-TODAY())&amp;IF((E330-TODAY())=1," day"," days"))))))</f>
        <v/>
      </c>
      <c r="K330" s="25" t="n"/>
      <c r="L330" s="1">
        <f>IF(G330="","",N(H330))</f>
        <v/>
      </c>
      <c r="M330">
        <f>IF(OR(B330="",E330="",OR(F330="Done",G330&lt;&gt;"")),"",E330+ROW()/10000000)</f>
        <v/>
      </c>
    </row>
    <row r="331">
      <c r="A331" s="1" t="n"/>
      <c r="B331" s="24" t="n"/>
      <c r="C331" s="25" t="n"/>
      <c r="D331" s="25" t="n"/>
      <c r="E331" s="26" t="n"/>
      <c r="F331" s="27" t="n"/>
      <c r="G331" s="28" t="n"/>
      <c r="H331" s="28" t="n"/>
      <c r="I331" s="16">
        <f>IF(OR(G331="",N(H331)=0),"",G331/H331)</f>
        <v/>
      </c>
      <c r="J331" s="20">
        <f>IF(OR(B331="",E331=""),"",IF(OR(F331="Done",G331&lt;&gt;""),"Done",IF(E331&lt;TODAY(),"Late by "&amp;(TODAY()-E331)&amp;IF((TODAY()-E331)=1," day"," days"),IF(E331=TODAY(),"Due today",IF(E331=TODAY()+1,"Due tomorrow","Due in "&amp;(E331-TODAY())&amp;IF((E331-TODAY())=1," day"," days"))))))</f>
        <v/>
      </c>
      <c r="K331" s="25" t="n"/>
      <c r="L331" s="1">
        <f>IF(G331="","",N(H331))</f>
        <v/>
      </c>
      <c r="M331">
        <f>IF(OR(B331="",E331="",OR(F331="Done",G331&lt;&gt;"")),"",E331+ROW()/10000000)</f>
        <v/>
      </c>
    </row>
    <row r="332">
      <c r="A332" s="1" t="n"/>
      <c r="B332" s="24" t="n"/>
      <c r="C332" s="25" t="n"/>
      <c r="D332" s="25" t="n"/>
      <c r="E332" s="26" t="n"/>
      <c r="F332" s="27" t="n"/>
      <c r="G332" s="28" t="n"/>
      <c r="H332" s="28" t="n"/>
      <c r="I332" s="16">
        <f>IF(OR(G332="",N(H332)=0),"",G332/H332)</f>
        <v/>
      </c>
      <c r="J332" s="20">
        <f>IF(OR(B332="",E332=""),"",IF(OR(F332="Done",G332&lt;&gt;""),"Done",IF(E332&lt;TODAY(),"Late by "&amp;(TODAY()-E332)&amp;IF((TODAY()-E332)=1," day"," days"),IF(E332=TODAY(),"Due today",IF(E332=TODAY()+1,"Due tomorrow","Due in "&amp;(E332-TODAY())&amp;IF((E332-TODAY())=1," day"," days"))))))</f>
        <v/>
      </c>
      <c r="K332" s="25" t="n"/>
      <c r="L332" s="1">
        <f>IF(G332="","",N(H332))</f>
        <v/>
      </c>
      <c r="M332">
        <f>IF(OR(B332="",E332="",OR(F332="Done",G332&lt;&gt;"")),"",E332+ROW()/10000000)</f>
        <v/>
      </c>
    </row>
    <row r="333">
      <c r="A333" s="1" t="n"/>
      <c r="B333" s="24" t="n"/>
      <c r="C333" s="25" t="n"/>
      <c r="D333" s="25" t="n"/>
      <c r="E333" s="26" t="n"/>
      <c r="F333" s="27" t="n"/>
      <c r="G333" s="28" t="n"/>
      <c r="H333" s="28" t="n"/>
      <c r="I333" s="16">
        <f>IF(OR(G333="",N(H333)=0),"",G333/H333)</f>
        <v/>
      </c>
      <c r="J333" s="20">
        <f>IF(OR(B333="",E333=""),"",IF(OR(F333="Done",G333&lt;&gt;""),"Done",IF(E333&lt;TODAY(),"Late by "&amp;(TODAY()-E333)&amp;IF((TODAY()-E333)=1," day"," days"),IF(E333=TODAY(),"Due today",IF(E333=TODAY()+1,"Due tomorrow","Due in "&amp;(E333-TODAY())&amp;IF((E333-TODAY())=1," day"," days"))))))</f>
        <v/>
      </c>
      <c r="K333" s="25" t="n"/>
      <c r="L333" s="1">
        <f>IF(G333="","",N(H333))</f>
        <v/>
      </c>
      <c r="M333">
        <f>IF(OR(B333="",E333="",OR(F333="Done",G333&lt;&gt;"")),"",E333+ROW()/10000000)</f>
        <v/>
      </c>
    </row>
    <row r="334">
      <c r="A334" s="1" t="n"/>
      <c r="B334" s="24" t="n"/>
      <c r="C334" s="25" t="n"/>
      <c r="D334" s="25" t="n"/>
      <c r="E334" s="26" t="n"/>
      <c r="F334" s="27" t="n"/>
      <c r="G334" s="28" t="n"/>
      <c r="H334" s="28" t="n"/>
      <c r="I334" s="16">
        <f>IF(OR(G334="",N(H334)=0),"",G334/H334)</f>
        <v/>
      </c>
      <c r="J334" s="20">
        <f>IF(OR(B334="",E334=""),"",IF(OR(F334="Done",G334&lt;&gt;""),"Done",IF(E334&lt;TODAY(),"Late by "&amp;(TODAY()-E334)&amp;IF((TODAY()-E334)=1," day"," days"),IF(E334=TODAY(),"Due today",IF(E334=TODAY()+1,"Due tomorrow","Due in "&amp;(E334-TODAY())&amp;IF((E334-TODAY())=1," day"," days"))))))</f>
        <v/>
      </c>
      <c r="K334" s="25" t="n"/>
      <c r="L334" s="1">
        <f>IF(G334="","",N(H334))</f>
        <v/>
      </c>
      <c r="M334">
        <f>IF(OR(B334="",E334="",OR(F334="Done",G334&lt;&gt;"")),"",E334+ROW()/10000000)</f>
        <v/>
      </c>
    </row>
    <row r="335">
      <c r="A335" s="1" t="n"/>
      <c r="B335" s="24" t="n"/>
      <c r="C335" s="25" t="n"/>
      <c r="D335" s="25" t="n"/>
      <c r="E335" s="26" t="n"/>
      <c r="F335" s="27" t="n"/>
      <c r="G335" s="28" t="n"/>
      <c r="H335" s="28" t="n"/>
      <c r="I335" s="16">
        <f>IF(OR(G335="",N(H335)=0),"",G335/H335)</f>
        <v/>
      </c>
      <c r="J335" s="20">
        <f>IF(OR(B335="",E335=""),"",IF(OR(F335="Done",G335&lt;&gt;""),"Done",IF(E335&lt;TODAY(),"Late by "&amp;(TODAY()-E335)&amp;IF((TODAY()-E335)=1," day"," days"),IF(E335=TODAY(),"Due today",IF(E335=TODAY()+1,"Due tomorrow","Due in "&amp;(E335-TODAY())&amp;IF((E335-TODAY())=1," day"," days"))))))</f>
        <v/>
      </c>
      <c r="K335" s="25" t="n"/>
      <c r="L335" s="1">
        <f>IF(G335="","",N(H335))</f>
        <v/>
      </c>
      <c r="M335">
        <f>IF(OR(B335="",E335="",OR(F335="Done",G335&lt;&gt;"")),"",E335+ROW()/10000000)</f>
        <v/>
      </c>
    </row>
    <row r="336">
      <c r="A336" s="1" t="n"/>
      <c r="B336" s="24" t="n"/>
      <c r="C336" s="25" t="n"/>
      <c r="D336" s="25" t="n"/>
      <c r="E336" s="26" t="n"/>
      <c r="F336" s="27" t="n"/>
      <c r="G336" s="28" t="n"/>
      <c r="H336" s="28" t="n"/>
      <c r="I336" s="16">
        <f>IF(OR(G336="",N(H336)=0),"",G336/H336)</f>
        <v/>
      </c>
      <c r="J336" s="20">
        <f>IF(OR(B336="",E336=""),"",IF(OR(F336="Done",G336&lt;&gt;""),"Done",IF(E336&lt;TODAY(),"Late by "&amp;(TODAY()-E336)&amp;IF((TODAY()-E336)=1," day"," days"),IF(E336=TODAY(),"Due today",IF(E336=TODAY()+1,"Due tomorrow","Due in "&amp;(E336-TODAY())&amp;IF((E336-TODAY())=1," day"," days"))))))</f>
        <v/>
      </c>
      <c r="K336" s="25" t="n"/>
      <c r="L336" s="1">
        <f>IF(G336="","",N(H336))</f>
        <v/>
      </c>
      <c r="M336">
        <f>IF(OR(B336="",E336="",OR(F336="Done",G336&lt;&gt;"")),"",E336+ROW()/10000000)</f>
        <v/>
      </c>
    </row>
    <row r="337">
      <c r="A337" s="1" t="n"/>
      <c r="B337" s="24" t="n"/>
      <c r="C337" s="25" t="n"/>
      <c r="D337" s="25" t="n"/>
      <c r="E337" s="26" t="n"/>
      <c r="F337" s="27" t="n"/>
      <c r="G337" s="28" t="n"/>
      <c r="H337" s="28" t="n"/>
      <c r="I337" s="16">
        <f>IF(OR(G337="",N(H337)=0),"",G337/H337)</f>
        <v/>
      </c>
      <c r="J337" s="20">
        <f>IF(OR(B337="",E337=""),"",IF(OR(F337="Done",G337&lt;&gt;""),"Done",IF(E337&lt;TODAY(),"Late by "&amp;(TODAY()-E337)&amp;IF((TODAY()-E337)=1," day"," days"),IF(E337=TODAY(),"Due today",IF(E337=TODAY()+1,"Due tomorrow","Due in "&amp;(E337-TODAY())&amp;IF((E337-TODAY())=1," day"," days"))))))</f>
        <v/>
      </c>
      <c r="K337" s="25" t="n"/>
      <c r="L337" s="1">
        <f>IF(G337="","",N(H337))</f>
        <v/>
      </c>
      <c r="M337">
        <f>IF(OR(B337="",E337="",OR(F337="Done",G337&lt;&gt;"")),"",E337+ROW()/10000000)</f>
        <v/>
      </c>
    </row>
    <row r="338">
      <c r="A338" s="1" t="n"/>
      <c r="B338" s="24" t="n"/>
      <c r="C338" s="25" t="n"/>
      <c r="D338" s="25" t="n"/>
      <c r="E338" s="26" t="n"/>
      <c r="F338" s="27" t="n"/>
      <c r="G338" s="28" t="n"/>
      <c r="H338" s="28" t="n"/>
      <c r="I338" s="16">
        <f>IF(OR(G338="",N(H338)=0),"",G338/H338)</f>
        <v/>
      </c>
      <c r="J338" s="20">
        <f>IF(OR(B338="",E338=""),"",IF(OR(F338="Done",G338&lt;&gt;""),"Done",IF(E338&lt;TODAY(),"Late by "&amp;(TODAY()-E338)&amp;IF((TODAY()-E338)=1," day"," days"),IF(E338=TODAY(),"Due today",IF(E338=TODAY()+1,"Due tomorrow","Due in "&amp;(E338-TODAY())&amp;IF((E338-TODAY())=1," day"," days"))))))</f>
        <v/>
      </c>
      <c r="K338" s="25" t="n"/>
      <c r="L338" s="1">
        <f>IF(G338="","",N(H338))</f>
        <v/>
      </c>
      <c r="M338">
        <f>IF(OR(B338="",E338="",OR(F338="Done",G338&lt;&gt;"")),"",E338+ROW()/10000000)</f>
        <v/>
      </c>
    </row>
    <row r="339">
      <c r="A339" s="1" t="n"/>
      <c r="B339" s="24" t="n"/>
      <c r="C339" s="25" t="n"/>
      <c r="D339" s="25" t="n"/>
      <c r="E339" s="26" t="n"/>
      <c r="F339" s="27" t="n"/>
      <c r="G339" s="28" t="n"/>
      <c r="H339" s="28" t="n"/>
      <c r="I339" s="16">
        <f>IF(OR(G339="",N(H339)=0),"",G339/H339)</f>
        <v/>
      </c>
      <c r="J339" s="20">
        <f>IF(OR(B339="",E339=""),"",IF(OR(F339="Done",G339&lt;&gt;""),"Done",IF(E339&lt;TODAY(),"Late by "&amp;(TODAY()-E339)&amp;IF((TODAY()-E339)=1," day"," days"),IF(E339=TODAY(),"Due today",IF(E339=TODAY()+1,"Due tomorrow","Due in "&amp;(E339-TODAY())&amp;IF((E339-TODAY())=1," day"," days"))))))</f>
        <v/>
      </c>
      <c r="K339" s="25" t="n"/>
      <c r="L339" s="1">
        <f>IF(G339="","",N(H339))</f>
        <v/>
      </c>
      <c r="M339">
        <f>IF(OR(B339="",E339="",OR(F339="Done",G339&lt;&gt;"")),"",E339+ROW()/10000000)</f>
        <v/>
      </c>
    </row>
    <row r="340">
      <c r="A340" s="1" t="n"/>
      <c r="B340" s="24" t="n"/>
      <c r="C340" s="25" t="n"/>
      <c r="D340" s="25" t="n"/>
      <c r="E340" s="26" t="n"/>
      <c r="F340" s="27" t="n"/>
      <c r="G340" s="28" t="n"/>
      <c r="H340" s="28" t="n"/>
      <c r="I340" s="16">
        <f>IF(OR(G340="",N(H340)=0),"",G340/H340)</f>
        <v/>
      </c>
      <c r="J340" s="20">
        <f>IF(OR(B340="",E340=""),"",IF(OR(F340="Done",G340&lt;&gt;""),"Done",IF(E340&lt;TODAY(),"Late by "&amp;(TODAY()-E340)&amp;IF((TODAY()-E340)=1," day"," days"),IF(E340=TODAY(),"Due today",IF(E340=TODAY()+1,"Due tomorrow","Due in "&amp;(E340-TODAY())&amp;IF((E340-TODAY())=1," day"," days"))))))</f>
        <v/>
      </c>
      <c r="K340" s="25" t="n"/>
      <c r="L340" s="1">
        <f>IF(G340="","",N(H340))</f>
        <v/>
      </c>
      <c r="M340">
        <f>IF(OR(B340="",E340="",OR(F340="Done",G340&lt;&gt;"")),"",E340+ROW()/10000000)</f>
        <v/>
      </c>
    </row>
    <row r="341">
      <c r="A341" s="1" t="n"/>
      <c r="B341" s="24" t="n"/>
      <c r="C341" s="25" t="n"/>
      <c r="D341" s="25" t="n"/>
      <c r="E341" s="26" t="n"/>
      <c r="F341" s="27" t="n"/>
      <c r="G341" s="28" t="n"/>
      <c r="H341" s="28" t="n"/>
      <c r="I341" s="16">
        <f>IF(OR(G341="",N(H341)=0),"",G341/H341)</f>
        <v/>
      </c>
      <c r="J341" s="20">
        <f>IF(OR(B341="",E341=""),"",IF(OR(F341="Done",G341&lt;&gt;""),"Done",IF(E341&lt;TODAY(),"Late by "&amp;(TODAY()-E341)&amp;IF((TODAY()-E341)=1," day"," days"),IF(E341=TODAY(),"Due today",IF(E341=TODAY()+1,"Due tomorrow","Due in "&amp;(E341-TODAY())&amp;IF((E341-TODAY())=1," day"," days"))))))</f>
        <v/>
      </c>
      <c r="K341" s="25" t="n"/>
      <c r="L341" s="1">
        <f>IF(G341="","",N(H341))</f>
        <v/>
      </c>
      <c r="M341">
        <f>IF(OR(B341="",E341="",OR(F341="Done",G341&lt;&gt;"")),"",E341+ROW()/10000000)</f>
        <v/>
      </c>
    </row>
    <row r="342">
      <c r="A342" s="1" t="n"/>
      <c r="B342" s="24" t="n"/>
      <c r="C342" s="25" t="n"/>
      <c r="D342" s="25" t="n"/>
      <c r="E342" s="26" t="n"/>
      <c r="F342" s="27" t="n"/>
      <c r="G342" s="28" t="n"/>
      <c r="H342" s="28" t="n"/>
      <c r="I342" s="16">
        <f>IF(OR(G342="",N(H342)=0),"",G342/H342)</f>
        <v/>
      </c>
      <c r="J342" s="20">
        <f>IF(OR(B342="",E342=""),"",IF(OR(F342="Done",G342&lt;&gt;""),"Done",IF(E342&lt;TODAY(),"Late by "&amp;(TODAY()-E342)&amp;IF((TODAY()-E342)=1," day"," days"),IF(E342=TODAY(),"Due today",IF(E342=TODAY()+1,"Due tomorrow","Due in "&amp;(E342-TODAY())&amp;IF((E342-TODAY())=1," day"," days"))))))</f>
        <v/>
      </c>
      <c r="K342" s="25" t="n"/>
      <c r="L342" s="1">
        <f>IF(G342="","",N(H342))</f>
        <v/>
      </c>
      <c r="M342">
        <f>IF(OR(B342="",E342="",OR(F342="Done",G342&lt;&gt;"")),"",E342+ROW()/10000000)</f>
        <v/>
      </c>
    </row>
    <row r="343">
      <c r="A343" s="1" t="n"/>
      <c r="B343" s="24" t="n"/>
      <c r="C343" s="25" t="n"/>
      <c r="D343" s="25" t="n"/>
      <c r="E343" s="26" t="n"/>
      <c r="F343" s="27" t="n"/>
      <c r="G343" s="28" t="n"/>
      <c r="H343" s="28" t="n"/>
      <c r="I343" s="16">
        <f>IF(OR(G343="",N(H343)=0),"",G343/H343)</f>
        <v/>
      </c>
      <c r="J343" s="20">
        <f>IF(OR(B343="",E343=""),"",IF(OR(F343="Done",G343&lt;&gt;""),"Done",IF(E343&lt;TODAY(),"Late by "&amp;(TODAY()-E343)&amp;IF((TODAY()-E343)=1," day"," days"),IF(E343=TODAY(),"Due today",IF(E343=TODAY()+1,"Due tomorrow","Due in "&amp;(E343-TODAY())&amp;IF((E343-TODAY())=1," day"," days"))))))</f>
        <v/>
      </c>
      <c r="K343" s="25" t="n"/>
      <c r="L343" s="1">
        <f>IF(G343="","",N(H343))</f>
        <v/>
      </c>
      <c r="M343">
        <f>IF(OR(B343="",E343="",OR(F343="Done",G343&lt;&gt;"")),"",E343+ROW()/10000000)</f>
        <v/>
      </c>
    </row>
    <row r="344">
      <c r="A344" s="1" t="n"/>
      <c r="B344" s="24" t="n"/>
      <c r="C344" s="25" t="n"/>
      <c r="D344" s="25" t="n"/>
      <c r="E344" s="26" t="n"/>
      <c r="F344" s="27" t="n"/>
      <c r="G344" s="28" t="n"/>
      <c r="H344" s="28" t="n"/>
      <c r="I344" s="16">
        <f>IF(OR(G344="",N(H344)=0),"",G344/H344)</f>
        <v/>
      </c>
      <c r="J344" s="20">
        <f>IF(OR(B344="",E344=""),"",IF(OR(F344="Done",G344&lt;&gt;""),"Done",IF(E344&lt;TODAY(),"Late by "&amp;(TODAY()-E344)&amp;IF((TODAY()-E344)=1," day"," days"),IF(E344=TODAY(),"Due today",IF(E344=TODAY()+1,"Due tomorrow","Due in "&amp;(E344-TODAY())&amp;IF((E344-TODAY())=1," day"," days"))))))</f>
        <v/>
      </c>
      <c r="K344" s="25" t="n"/>
      <c r="L344" s="1">
        <f>IF(G344="","",N(H344))</f>
        <v/>
      </c>
      <c r="M344">
        <f>IF(OR(B344="",E344="",OR(F344="Done",G344&lt;&gt;"")),"",E344+ROW()/10000000)</f>
        <v/>
      </c>
    </row>
    <row r="345">
      <c r="A345" s="1" t="n"/>
      <c r="B345" s="24" t="n"/>
      <c r="C345" s="25" t="n"/>
      <c r="D345" s="25" t="n"/>
      <c r="E345" s="26" t="n"/>
      <c r="F345" s="27" t="n"/>
      <c r="G345" s="28" t="n"/>
      <c r="H345" s="28" t="n"/>
      <c r="I345" s="16">
        <f>IF(OR(G345="",N(H345)=0),"",G345/H345)</f>
        <v/>
      </c>
      <c r="J345" s="20">
        <f>IF(OR(B345="",E345=""),"",IF(OR(F345="Done",G345&lt;&gt;""),"Done",IF(E345&lt;TODAY(),"Late by "&amp;(TODAY()-E345)&amp;IF((TODAY()-E345)=1," day"," days"),IF(E345=TODAY(),"Due today",IF(E345=TODAY()+1,"Due tomorrow","Due in "&amp;(E345-TODAY())&amp;IF((E345-TODAY())=1," day"," days"))))))</f>
        <v/>
      </c>
      <c r="K345" s="25" t="n"/>
      <c r="L345" s="1">
        <f>IF(G345="","",N(H345))</f>
        <v/>
      </c>
      <c r="M345">
        <f>IF(OR(B345="",E345="",OR(F345="Done",G345&lt;&gt;"")),"",E345+ROW()/10000000)</f>
        <v/>
      </c>
    </row>
    <row r="346">
      <c r="A346" s="1" t="n"/>
      <c r="B346" s="24" t="n"/>
      <c r="C346" s="25" t="n"/>
      <c r="D346" s="25" t="n"/>
      <c r="E346" s="26" t="n"/>
      <c r="F346" s="27" t="n"/>
      <c r="G346" s="28" t="n"/>
      <c r="H346" s="28" t="n"/>
      <c r="I346" s="16">
        <f>IF(OR(G346="",N(H346)=0),"",G346/H346)</f>
        <v/>
      </c>
      <c r="J346" s="20">
        <f>IF(OR(B346="",E346=""),"",IF(OR(F346="Done",G346&lt;&gt;""),"Done",IF(E346&lt;TODAY(),"Late by "&amp;(TODAY()-E346)&amp;IF((TODAY()-E346)=1," day"," days"),IF(E346=TODAY(),"Due today",IF(E346=TODAY()+1,"Due tomorrow","Due in "&amp;(E346-TODAY())&amp;IF((E346-TODAY())=1," day"," days"))))))</f>
        <v/>
      </c>
      <c r="K346" s="25" t="n"/>
      <c r="L346" s="1">
        <f>IF(G346="","",N(H346))</f>
        <v/>
      </c>
      <c r="M346">
        <f>IF(OR(B346="",E346="",OR(F346="Done",G346&lt;&gt;"")),"",E346+ROW()/10000000)</f>
        <v/>
      </c>
    </row>
    <row r="347">
      <c r="A347" s="1" t="n"/>
      <c r="B347" s="24" t="n"/>
      <c r="C347" s="25" t="n"/>
      <c r="D347" s="25" t="n"/>
      <c r="E347" s="26" t="n"/>
      <c r="F347" s="27" t="n"/>
      <c r="G347" s="28" t="n"/>
      <c r="H347" s="28" t="n"/>
      <c r="I347" s="16">
        <f>IF(OR(G347="",N(H347)=0),"",G347/H347)</f>
        <v/>
      </c>
      <c r="J347" s="20">
        <f>IF(OR(B347="",E347=""),"",IF(OR(F347="Done",G347&lt;&gt;""),"Done",IF(E347&lt;TODAY(),"Late by "&amp;(TODAY()-E347)&amp;IF((TODAY()-E347)=1," day"," days"),IF(E347=TODAY(),"Due today",IF(E347=TODAY()+1,"Due tomorrow","Due in "&amp;(E347-TODAY())&amp;IF((E347-TODAY())=1," day"," days"))))))</f>
        <v/>
      </c>
      <c r="K347" s="25" t="n"/>
      <c r="L347" s="1">
        <f>IF(G347="","",N(H347))</f>
        <v/>
      </c>
      <c r="M347">
        <f>IF(OR(B347="",E347="",OR(F347="Done",G347&lt;&gt;"")),"",E347+ROW()/10000000)</f>
        <v/>
      </c>
    </row>
    <row r="348">
      <c r="A348" s="1" t="n"/>
      <c r="B348" s="24" t="n"/>
      <c r="C348" s="25" t="n"/>
      <c r="D348" s="25" t="n"/>
      <c r="E348" s="26" t="n"/>
      <c r="F348" s="27" t="n"/>
      <c r="G348" s="28" t="n"/>
      <c r="H348" s="28" t="n"/>
      <c r="I348" s="16">
        <f>IF(OR(G348="",N(H348)=0),"",G348/H348)</f>
        <v/>
      </c>
      <c r="J348" s="20">
        <f>IF(OR(B348="",E348=""),"",IF(OR(F348="Done",G348&lt;&gt;""),"Done",IF(E348&lt;TODAY(),"Late by "&amp;(TODAY()-E348)&amp;IF((TODAY()-E348)=1," day"," days"),IF(E348=TODAY(),"Due today",IF(E348=TODAY()+1,"Due tomorrow","Due in "&amp;(E348-TODAY())&amp;IF((E348-TODAY())=1," day"," days"))))))</f>
        <v/>
      </c>
      <c r="K348" s="25" t="n"/>
      <c r="L348" s="1">
        <f>IF(G348="","",N(H348))</f>
        <v/>
      </c>
      <c r="M348">
        <f>IF(OR(B348="",E348="",OR(F348="Done",G348&lt;&gt;"")),"",E348+ROW()/10000000)</f>
        <v/>
      </c>
    </row>
    <row r="349">
      <c r="A349" s="1" t="n"/>
      <c r="B349" s="24" t="n"/>
      <c r="C349" s="25" t="n"/>
      <c r="D349" s="25" t="n"/>
      <c r="E349" s="26" t="n"/>
      <c r="F349" s="27" t="n"/>
      <c r="G349" s="28" t="n"/>
      <c r="H349" s="28" t="n"/>
      <c r="I349" s="16">
        <f>IF(OR(G349="",N(H349)=0),"",G349/H349)</f>
        <v/>
      </c>
      <c r="J349" s="20">
        <f>IF(OR(B349="",E349=""),"",IF(OR(F349="Done",G349&lt;&gt;""),"Done",IF(E349&lt;TODAY(),"Late by "&amp;(TODAY()-E349)&amp;IF((TODAY()-E349)=1," day"," days"),IF(E349=TODAY(),"Due today",IF(E349=TODAY()+1,"Due tomorrow","Due in "&amp;(E349-TODAY())&amp;IF((E349-TODAY())=1," day"," days"))))))</f>
        <v/>
      </c>
      <c r="K349" s="25" t="n"/>
      <c r="L349" s="1">
        <f>IF(G349="","",N(H349))</f>
        <v/>
      </c>
      <c r="M349">
        <f>IF(OR(B349="",E349="",OR(F349="Done",G349&lt;&gt;"")),"",E349+ROW()/10000000)</f>
        <v/>
      </c>
    </row>
    <row r="350">
      <c r="A350" s="1" t="n"/>
      <c r="B350" s="24" t="n"/>
      <c r="C350" s="25" t="n"/>
      <c r="D350" s="25" t="n"/>
      <c r="E350" s="26" t="n"/>
      <c r="F350" s="27" t="n"/>
      <c r="G350" s="28" t="n"/>
      <c r="H350" s="28" t="n"/>
      <c r="I350" s="16">
        <f>IF(OR(G350="",N(H350)=0),"",G350/H350)</f>
        <v/>
      </c>
      <c r="J350" s="20">
        <f>IF(OR(B350="",E350=""),"",IF(OR(F350="Done",G350&lt;&gt;""),"Done",IF(E350&lt;TODAY(),"Late by "&amp;(TODAY()-E350)&amp;IF((TODAY()-E350)=1," day"," days"),IF(E350=TODAY(),"Due today",IF(E350=TODAY()+1,"Due tomorrow","Due in "&amp;(E350-TODAY())&amp;IF((E350-TODAY())=1," day"," days"))))))</f>
        <v/>
      </c>
      <c r="K350" s="25" t="n"/>
      <c r="L350" s="1">
        <f>IF(G350="","",N(H350))</f>
        <v/>
      </c>
      <c r="M350">
        <f>IF(OR(B350="",E350="",OR(F350="Done",G350&lt;&gt;"")),"",E350+ROW()/10000000)</f>
        <v/>
      </c>
    </row>
    <row r="351">
      <c r="A351" s="1" t="n"/>
      <c r="B351" s="24" t="n"/>
      <c r="C351" s="25" t="n"/>
      <c r="D351" s="25" t="n"/>
      <c r="E351" s="26" t="n"/>
      <c r="F351" s="27" t="n"/>
      <c r="G351" s="28" t="n"/>
      <c r="H351" s="28" t="n"/>
      <c r="I351" s="16">
        <f>IF(OR(G351="",N(H351)=0),"",G351/H351)</f>
        <v/>
      </c>
      <c r="J351" s="20">
        <f>IF(OR(B351="",E351=""),"",IF(OR(F351="Done",G351&lt;&gt;""),"Done",IF(E351&lt;TODAY(),"Late by "&amp;(TODAY()-E351)&amp;IF((TODAY()-E351)=1," day"," days"),IF(E351=TODAY(),"Due today",IF(E351=TODAY()+1,"Due tomorrow","Due in "&amp;(E351-TODAY())&amp;IF((E351-TODAY())=1," day"," days"))))))</f>
        <v/>
      </c>
      <c r="K351" s="25" t="n"/>
      <c r="L351" s="1">
        <f>IF(G351="","",N(H351))</f>
        <v/>
      </c>
      <c r="M351">
        <f>IF(OR(B351="",E351="",OR(F351="Done",G351&lt;&gt;"")),"",E351+ROW()/10000000)</f>
        <v/>
      </c>
    </row>
    <row r="352">
      <c r="A352" s="1" t="n"/>
      <c r="B352" s="24" t="n"/>
      <c r="C352" s="25" t="n"/>
      <c r="D352" s="25" t="n"/>
      <c r="E352" s="26" t="n"/>
      <c r="F352" s="27" t="n"/>
      <c r="G352" s="28" t="n"/>
      <c r="H352" s="28" t="n"/>
      <c r="I352" s="16">
        <f>IF(OR(G352="",N(H352)=0),"",G352/H352)</f>
        <v/>
      </c>
      <c r="J352" s="20">
        <f>IF(OR(B352="",E352=""),"",IF(OR(F352="Done",G352&lt;&gt;""),"Done",IF(E352&lt;TODAY(),"Late by "&amp;(TODAY()-E352)&amp;IF((TODAY()-E352)=1," day"," days"),IF(E352=TODAY(),"Due today",IF(E352=TODAY()+1,"Due tomorrow","Due in "&amp;(E352-TODAY())&amp;IF((E352-TODAY())=1," day"," days"))))))</f>
        <v/>
      </c>
      <c r="K352" s="25" t="n"/>
      <c r="L352" s="1">
        <f>IF(G352="","",N(H352))</f>
        <v/>
      </c>
      <c r="M352">
        <f>IF(OR(B352="",E352="",OR(F352="Done",G352&lt;&gt;"")),"",E352+ROW()/10000000)</f>
        <v/>
      </c>
    </row>
    <row r="353">
      <c r="A353" s="1" t="n"/>
      <c r="B353" s="24" t="n"/>
      <c r="C353" s="25" t="n"/>
      <c r="D353" s="25" t="n"/>
      <c r="E353" s="26" t="n"/>
      <c r="F353" s="27" t="n"/>
      <c r="G353" s="28" t="n"/>
      <c r="H353" s="28" t="n"/>
      <c r="I353" s="16">
        <f>IF(OR(G353="",N(H353)=0),"",G353/H353)</f>
        <v/>
      </c>
      <c r="J353" s="20">
        <f>IF(OR(B353="",E353=""),"",IF(OR(F353="Done",G353&lt;&gt;""),"Done",IF(E353&lt;TODAY(),"Late by "&amp;(TODAY()-E353)&amp;IF((TODAY()-E353)=1," day"," days"),IF(E353=TODAY(),"Due today",IF(E353=TODAY()+1,"Due tomorrow","Due in "&amp;(E353-TODAY())&amp;IF((E353-TODAY())=1," day"," days"))))))</f>
        <v/>
      </c>
      <c r="K353" s="25" t="n"/>
      <c r="L353" s="1">
        <f>IF(G353="","",N(H353))</f>
        <v/>
      </c>
      <c r="M353">
        <f>IF(OR(B353="",E353="",OR(F353="Done",G353&lt;&gt;"")),"",E353+ROW()/10000000)</f>
        <v/>
      </c>
    </row>
    <row r="354">
      <c r="A354" s="1" t="n"/>
      <c r="B354" s="24" t="n"/>
      <c r="C354" s="25" t="n"/>
      <c r="D354" s="25" t="n"/>
      <c r="E354" s="26" t="n"/>
      <c r="F354" s="27" t="n"/>
      <c r="G354" s="28" t="n"/>
      <c r="H354" s="28" t="n"/>
      <c r="I354" s="16">
        <f>IF(OR(G354="",N(H354)=0),"",G354/H354)</f>
        <v/>
      </c>
      <c r="J354" s="20">
        <f>IF(OR(B354="",E354=""),"",IF(OR(F354="Done",G354&lt;&gt;""),"Done",IF(E354&lt;TODAY(),"Late by "&amp;(TODAY()-E354)&amp;IF((TODAY()-E354)=1," day"," days"),IF(E354=TODAY(),"Due today",IF(E354=TODAY()+1,"Due tomorrow","Due in "&amp;(E354-TODAY())&amp;IF((E354-TODAY())=1," day"," days"))))))</f>
        <v/>
      </c>
      <c r="K354" s="25" t="n"/>
      <c r="L354" s="1">
        <f>IF(G354="","",N(H354))</f>
        <v/>
      </c>
      <c r="M354">
        <f>IF(OR(B354="",E354="",OR(F354="Done",G354&lt;&gt;"")),"",E354+ROW()/10000000)</f>
        <v/>
      </c>
    </row>
    <row r="355">
      <c r="A355" s="1" t="n"/>
      <c r="B355" s="24" t="n"/>
      <c r="C355" s="25" t="n"/>
      <c r="D355" s="25" t="n"/>
      <c r="E355" s="26" t="n"/>
      <c r="F355" s="27" t="n"/>
      <c r="G355" s="28" t="n"/>
      <c r="H355" s="28" t="n"/>
      <c r="I355" s="16">
        <f>IF(OR(G355="",N(H355)=0),"",G355/H355)</f>
        <v/>
      </c>
      <c r="J355" s="20">
        <f>IF(OR(B355="",E355=""),"",IF(OR(F355="Done",G355&lt;&gt;""),"Done",IF(E355&lt;TODAY(),"Late by "&amp;(TODAY()-E355)&amp;IF((TODAY()-E355)=1," day"," days"),IF(E355=TODAY(),"Due today",IF(E355=TODAY()+1,"Due tomorrow","Due in "&amp;(E355-TODAY())&amp;IF((E355-TODAY())=1," day"," days"))))))</f>
        <v/>
      </c>
      <c r="K355" s="25" t="n"/>
      <c r="L355" s="1">
        <f>IF(G355="","",N(H355))</f>
        <v/>
      </c>
      <c r="M355">
        <f>IF(OR(B355="",E355="",OR(F355="Done",G355&lt;&gt;"")),"",E355+ROW()/10000000)</f>
        <v/>
      </c>
    </row>
    <row r="356">
      <c r="A356" s="1" t="n"/>
      <c r="B356" s="24" t="n"/>
      <c r="C356" s="25" t="n"/>
      <c r="D356" s="25" t="n"/>
      <c r="E356" s="26" t="n"/>
      <c r="F356" s="27" t="n"/>
      <c r="G356" s="28" t="n"/>
      <c r="H356" s="28" t="n"/>
      <c r="I356" s="16">
        <f>IF(OR(G356="",N(H356)=0),"",G356/H356)</f>
        <v/>
      </c>
      <c r="J356" s="20">
        <f>IF(OR(B356="",E356=""),"",IF(OR(F356="Done",G356&lt;&gt;""),"Done",IF(E356&lt;TODAY(),"Late by "&amp;(TODAY()-E356)&amp;IF((TODAY()-E356)=1," day"," days"),IF(E356=TODAY(),"Due today",IF(E356=TODAY()+1,"Due tomorrow","Due in "&amp;(E356-TODAY())&amp;IF((E356-TODAY())=1," day"," days"))))))</f>
        <v/>
      </c>
      <c r="K356" s="25" t="n"/>
      <c r="L356" s="1">
        <f>IF(G356="","",N(H356))</f>
        <v/>
      </c>
      <c r="M356">
        <f>IF(OR(B356="",E356="",OR(F356="Done",G356&lt;&gt;"")),"",E356+ROW()/10000000)</f>
        <v/>
      </c>
    </row>
    <row r="357">
      <c r="A357" s="1" t="n"/>
      <c r="B357" s="24" t="n"/>
      <c r="C357" s="25" t="n"/>
      <c r="D357" s="25" t="n"/>
      <c r="E357" s="26" t="n"/>
      <c r="F357" s="27" t="n"/>
      <c r="G357" s="28" t="n"/>
      <c r="H357" s="28" t="n"/>
      <c r="I357" s="16">
        <f>IF(OR(G357="",N(H357)=0),"",G357/H357)</f>
        <v/>
      </c>
      <c r="J357" s="20">
        <f>IF(OR(B357="",E357=""),"",IF(OR(F357="Done",G357&lt;&gt;""),"Done",IF(E357&lt;TODAY(),"Late by "&amp;(TODAY()-E357)&amp;IF((TODAY()-E357)=1," day"," days"),IF(E357=TODAY(),"Due today",IF(E357=TODAY()+1,"Due tomorrow","Due in "&amp;(E357-TODAY())&amp;IF((E357-TODAY())=1," day"," days"))))))</f>
        <v/>
      </c>
      <c r="K357" s="25" t="n"/>
      <c r="L357" s="1">
        <f>IF(G357="","",N(H357))</f>
        <v/>
      </c>
      <c r="M357">
        <f>IF(OR(B357="",E357="",OR(F357="Done",G357&lt;&gt;"")),"",E357+ROW()/10000000)</f>
        <v/>
      </c>
    </row>
    <row r="358">
      <c r="A358" s="1" t="n"/>
      <c r="B358" s="24" t="n"/>
      <c r="C358" s="25" t="n"/>
      <c r="D358" s="25" t="n"/>
      <c r="E358" s="26" t="n"/>
      <c r="F358" s="27" t="n"/>
      <c r="G358" s="28" t="n"/>
      <c r="H358" s="28" t="n"/>
      <c r="I358" s="16">
        <f>IF(OR(G358="",N(H358)=0),"",G358/H358)</f>
        <v/>
      </c>
      <c r="J358" s="20">
        <f>IF(OR(B358="",E358=""),"",IF(OR(F358="Done",G358&lt;&gt;""),"Done",IF(E358&lt;TODAY(),"Late by "&amp;(TODAY()-E358)&amp;IF((TODAY()-E358)=1," day"," days"),IF(E358=TODAY(),"Due today",IF(E358=TODAY()+1,"Due tomorrow","Due in "&amp;(E358-TODAY())&amp;IF((E358-TODAY())=1," day"," days"))))))</f>
        <v/>
      </c>
      <c r="K358" s="25" t="n"/>
      <c r="L358" s="1">
        <f>IF(G358="","",N(H358))</f>
        <v/>
      </c>
      <c r="M358">
        <f>IF(OR(B358="",E358="",OR(F358="Done",G358&lt;&gt;"")),"",E358+ROW()/10000000)</f>
        <v/>
      </c>
    </row>
    <row r="359">
      <c r="A359" s="1" t="n"/>
      <c r="B359" s="24" t="n"/>
      <c r="C359" s="25" t="n"/>
      <c r="D359" s="25" t="n"/>
      <c r="E359" s="26" t="n"/>
      <c r="F359" s="27" t="n"/>
      <c r="G359" s="28" t="n"/>
      <c r="H359" s="28" t="n"/>
      <c r="I359" s="16">
        <f>IF(OR(G359="",N(H359)=0),"",G359/H359)</f>
        <v/>
      </c>
      <c r="J359" s="20">
        <f>IF(OR(B359="",E359=""),"",IF(OR(F359="Done",G359&lt;&gt;""),"Done",IF(E359&lt;TODAY(),"Late by "&amp;(TODAY()-E359)&amp;IF((TODAY()-E359)=1," day"," days"),IF(E359=TODAY(),"Due today",IF(E359=TODAY()+1,"Due tomorrow","Due in "&amp;(E359-TODAY())&amp;IF((E359-TODAY())=1," day"," days"))))))</f>
        <v/>
      </c>
      <c r="K359" s="25" t="n"/>
      <c r="L359" s="1">
        <f>IF(G359="","",N(H359))</f>
        <v/>
      </c>
      <c r="M359">
        <f>IF(OR(B359="",E359="",OR(F359="Done",G359&lt;&gt;"")),"",E359+ROW()/10000000)</f>
        <v/>
      </c>
    </row>
    <row r="360">
      <c r="A360" s="1" t="n"/>
      <c r="B360" s="24" t="n"/>
      <c r="C360" s="25" t="n"/>
      <c r="D360" s="25" t="n"/>
      <c r="E360" s="26" t="n"/>
      <c r="F360" s="27" t="n"/>
      <c r="G360" s="28" t="n"/>
      <c r="H360" s="28" t="n"/>
      <c r="I360" s="16">
        <f>IF(OR(G360="",N(H360)=0),"",G360/H360)</f>
        <v/>
      </c>
      <c r="J360" s="20">
        <f>IF(OR(B360="",E360=""),"",IF(OR(F360="Done",G360&lt;&gt;""),"Done",IF(E360&lt;TODAY(),"Late by "&amp;(TODAY()-E360)&amp;IF((TODAY()-E360)=1," day"," days"),IF(E360=TODAY(),"Due today",IF(E360=TODAY()+1,"Due tomorrow","Due in "&amp;(E360-TODAY())&amp;IF((E360-TODAY())=1," day"," days"))))))</f>
        <v/>
      </c>
      <c r="K360" s="25" t="n"/>
      <c r="L360" s="1">
        <f>IF(G360="","",N(H360))</f>
        <v/>
      </c>
      <c r="M360">
        <f>IF(OR(B360="",E360="",OR(F360="Done",G360&lt;&gt;"")),"",E360+ROW()/10000000)</f>
        <v/>
      </c>
    </row>
    <row r="361">
      <c r="A361" s="1" t="n"/>
      <c r="B361" s="24" t="n"/>
      <c r="C361" s="25" t="n"/>
      <c r="D361" s="25" t="n"/>
      <c r="E361" s="26" t="n"/>
      <c r="F361" s="27" t="n"/>
      <c r="G361" s="28" t="n"/>
      <c r="H361" s="28" t="n"/>
      <c r="I361" s="16">
        <f>IF(OR(G361="",N(H361)=0),"",G361/H361)</f>
        <v/>
      </c>
      <c r="J361" s="20">
        <f>IF(OR(B361="",E361=""),"",IF(OR(F361="Done",G361&lt;&gt;""),"Done",IF(E361&lt;TODAY(),"Late by "&amp;(TODAY()-E361)&amp;IF((TODAY()-E361)=1," day"," days"),IF(E361=TODAY(),"Due today",IF(E361=TODAY()+1,"Due tomorrow","Due in "&amp;(E361-TODAY())&amp;IF((E361-TODAY())=1," day"," days"))))))</f>
        <v/>
      </c>
      <c r="K361" s="25" t="n"/>
      <c r="L361" s="1">
        <f>IF(G361="","",N(H361))</f>
        <v/>
      </c>
      <c r="M361">
        <f>IF(OR(B361="",E361="",OR(F361="Done",G361&lt;&gt;"")),"",E361+ROW()/10000000)</f>
        <v/>
      </c>
    </row>
    <row r="362">
      <c r="A362" s="1" t="n"/>
      <c r="B362" s="24" t="n"/>
      <c r="C362" s="25" t="n"/>
      <c r="D362" s="25" t="n"/>
      <c r="E362" s="26" t="n"/>
      <c r="F362" s="27" t="n"/>
      <c r="G362" s="28" t="n"/>
      <c r="H362" s="28" t="n"/>
      <c r="I362" s="16">
        <f>IF(OR(G362="",N(H362)=0),"",G362/H362)</f>
        <v/>
      </c>
      <c r="J362" s="20">
        <f>IF(OR(B362="",E362=""),"",IF(OR(F362="Done",G362&lt;&gt;""),"Done",IF(E362&lt;TODAY(),"Late by "&amp;(TODAY()-E362)&amp;IF((TODAY()-E362)=1," day"," days"),IF(E362=TODAY(),"Due today",IF(E362=TODAY()+1,"Due tomorrow","Due in "&amp;(E362-TODAY())&amp;IF((E362-TODAY())=1," day"," days"))))))</f>
        <v/>
      </c>
      <c r="K362" s="25" t="n"/>
      <c r="L362" s="1">
        <f>IF(G362="","",N(H362))</f>
        <v/>
      </c>
      <c r="M362">
        <f>IF(OR(B362="",E362="",OR(F362="Done",G362&lt;&gt;"")),"",E362+ROW()/10000000)</f>
        <v/>
      </c>
    </row>
    <row r="363">
      <c r="A363" s="1" t="n"/>
      <c r="B363" s="24" t="n"/>
      <c r="C363" s="25" t="n"/>
      <c r="D363" s="25" t="n"/>
      <c r="E363" s="26" t="n"/>
      <c r="F363" s="27" t="n"/>
      <c r="G363" s="28" t="n"/>
      <c r="H363" s="28" t="n"/>
      <c r="I363" s="16">
        <f>IF(OR(G363="",N(H363)=0),"",G363/H363)</f>
        <v/>
      </c>
      <c r="J363" s="20">
        <f>IF(OR(B363="",E363=""),"",IF(OR(F363="Done",G363&lt;&gt;""),"Done",IF(E363&lt;TODAY(),"Late by "&amp;(TODAY()-E363)&amp;IF((TODAY()-E363)=1," day"," days"),IF(E363=TODAY(),"Due today",IF(E363=TODAY()+1,"Due tomorrow","Due in "&amp;(E363-TODAY())&amp;IF((E363-TODAY())=1," day"," days"))))))</f>
        <v/>
      </c>
      <c r="K363" s="25" t="n"/>
      <c r="L363" s="1">
        <f>IF(G363="","",N(H363))</f>
        <v/>
      </c>
      <c r="M363">
        <f>IF(OR(B363="",E363="",OR(F363="Done",G363&lt;&gt;"")),"",E363+ROW()/10000000)</f>
        <v/>
      </c>
    </row>
    <row r="364">
      <c r="A364" s="1" t="n"/>
      <c r="B364" s="24" t="n"/>
      <c r="C364" s="25" t="n"/>
      <c r="D364" s="25" t="n"/>
      <c r="E364" s="26" t="n"/>
      <c r="F364" s="27" t="n"/>
      <c r="G364" s="28" t="n"/>
      <c r="H364" s="28" t="n"/>
      <c r="I364" s="16">
        <f>IF(OR(G364="",N(H364)=0),"",G364/H364)</f>
        <v/>
      </c>
      <c r="J364" s="20">
        <f>IF(OR(B364="",E364=""),"",IF(OR(F364="Done",G364&lt;&gt;""),"Done",IF(E364&lt;TODAY(),"Late by "&amp;(TODAY()-E364)&amp;IF((TODAY()-E364)=1," day"," days"),IF(E364=TODAY(),"Due today",IF(E364=TODAY()+1,"Due tomorrow","Due in "&amp;(E364-TODAY())&amp;IF((E364-TODAY())=1," day"," days"))))))</f>
        <v/>
      </c>
      <c r="K364" s="25" t="n"/>
      <c r="L364" s="1">
        <f>IF(G364="","",N(H364))</f>
        <v/>
      </c>
      <c r="M364">
        <f>IF(OR(B364="",E364="",OR(F364="Done",G364&lt;&gt;"")),"",E364+ROW()/10000000)</f>
        <v/>
      </c>
    </row>
    <row r="365">
      <c r="A365" s="1" t="n"/>
      <c r="B365" s="24" t="n"/>
      <c r="C365" s="25" t="n"/>
      <c r="D365" s="25" t="n"/>
      <c r="E365" s="26" t="n"/>
      <c r="F365" s="27" t="n"/>
      <c r="G365" s="28" t="n"/>
      <c r="H365" s="28" t="n"/>
      <c r="I365" s="16">
        <f>IF(OR(G365="",N(H365)=0),"",G365/H365)</f>
        <v/>
      </c>
      <c r="J365" s="20">
        <f>IF(OR(B365="",E365=""),"",IF(OR(F365="Done",G365&lt;&gt;""),"Done",IF(E365&lt;TODAY(),"Late by "&amp;(TODAY()-E365)&amp;IF((TODAY()-E365)=1," day"," days"),IF(E365=TODAY(),"Due today",IF(E365=TODAY()+1,"Due tomorrow","Due in "&amp;(E365-TODAY())&amp;IF((E365-TODAY())=1," day"," days"))))))</f>
        <v/>
      </c>
      <c r="K365" s="25" t="n"/>
      <c r="L365" s="1">
        <f>IF(G365="","",N(H365))</f>
        <v/>
      </c>
      <c r="M365">
        <f>IF(OR(B365="",E365="",OR(F365="Done",G365&lt;&gt;"")),"",E365+ROW()/10000000)</f>
        <v/>
      </c>
    </row>
    <row r="366">
      <c r="A366" s="1" t="n"/>
      <c r="B366" s="24" t="n"/>
      <c r="C366" s="25" t="n"/>
      <c r="D366" s="25" t="n"/>
      <c r="E366" s="26" t="n"/>
      <c r="F366" s="27" t="n"/>
      <c r="G366" s="28" t="n"/>
      <c r="H366" s="28" t="n"/>
      <c r="I366" s="16">
        <f>IF(OR(G366="",N(H366)=0),"",G366/H366)</f>
        <v/>
      </c>
      <c r="J366" s="20">
        <f>IF(OR(B366="",E366=""),"",IF(OR(F366="Done",G366&lt;&gt;""),"Done",IF(E366&lt;TODAY(),"Late by "&amp;(TODAY()-E366)&amp;IF((TODAY()-E366)=1," day"," days"),IF(E366=TODAY(),"Due today",IF(E366=TODAY()+1,"Due tomorrow","Due in "&amp;(E366-TODAY())&amp;IF((E366-TODAY())=1," day"," days"))))))</f>
        <v/>
      </c>
      <c r="K366" s="25" t="n"/>
      <c r="L366" s="1">
        <f>IF(G366="","",N(H366))</f>
        <v/>
      </c>
      <c r="M366">
        <f>IF(OR(B366="",E366="",OR(F366="Done",G366&lt;&gt;"")),"",E366+ROW()/10000000)</f>
        <v/>
      </c>
    </row>
    <row r="367">
      <c r="A367" s="1" t="n"/>
      <c r="B367" s="24" t="n"/>
      <c r="C367" s="25" t="n"/>
      <c r="D367" s="25" t="n"/>
      <c r="E367" s="26" t="n"/>
      <c r="F367" s="27" t="n"/>
      <c r="G367" s="28" t="n"/>
      <c r="H367" s="28" t="n"/>
      <c r="I367" s="16">
        <f>IF(OR(G367="",N(H367)=0),"",G367/H367)</f>
        <v/>
      </c>
      <c r="J367" s="20">
        <f>IF(OR(B367="",E367=""),"",IF(OR(F367="Done",G367&lt;&gt;""),"Done",IF(E367&lt;TODAY(),"Late by "&amp;(TODAY()-E367)&amp;IF((TODAY()-E367)=1," day"," days"),IF(E367=TODAY(),"Due today",IF(E367=TODAY()+1,"Due tomorrow","Due in "&amp;(E367-TODAY())&amp;IF((E367-TODAY())=1," day"," days"))))))</f>
        <v/>
      </c>
      <c r="K367" s="25" t="n"/>
      <c r="L367" s="1">
        <f>IF(G367="","",N(H367))</f>
        <v/>
      </c>
      <c r="M367">
        <f>IF(OR(B367="",E367="",OR(F367="Done",G367&lt;&gt;"")),"",E367+ROW()/10000000)</f>
        <v/>
      </c>
    </row>
    <row r="368">
      <c r="A368" s="1" t="n"/>
      <c r="B368" s="24" t="n"/>
      <c r="C368" s="25" t="n"/>
      <c r="D368" s="25" t="n"/>
      <c r="E368" s="26" t="n"/>
      <c r="F368" s="27" t="n"/>
      <c r="G368" s="28" t="n"/>
      <c r="H368" s="28" t="n"/>
      <c r="I368" s="16">
        <f>IF(OR(G368="",N(H368)=0),"",G368/H368)</f>
        <v/>
      </c>
      <c r="J368" s="20">
        <f>IF(OR(B368="",E368=""),"",IF(OR(F368="Done",G368&lt;&gt;""),"Done",IF(E368&lt;TODAY(),"Late by "&amp;(TODAY()-E368)&amp;IF((TODAY()-E368)=1," day"," days"),IF(E368=TODAY(),"Due today",IF(E368=TODAY()+1,"Due tomorrow","Due in "&amp;(E368-TODAY())&amp;IF((E368-TODAY())=1," day"," days"))))))</f>
        <v/>
      </c>
      <c r="K368" s="25" t="n"/>
      <c r="L368" s="1">
        <f>IF(G368="","",N(H368))</f>
        <v/>
      </c>
      <c r="M368">
        <f>IF(OR(B368="",E368="",OR(F368="Done",G368&lt;&gt;"")),"",E368+ROW()/10000000)</f>
        <v/>
      </c>
    </row>
    <row r="369">
      <c r="A369" s="1" t="n"/>
      <c r="B369" s="24" t="n"/>
      <c r="C369" s="25" t="n"/>
      <c r="D369" s="25" t="n"/>
      <c r="E369" s="26" t="n"/>
      <c r="F369" s="27" t="n"/>
      <c r="G369" s="28" t="n"/>
      <c r="H369" s="28" t="n"/>
      <c r="I369" s="16">
        <f>IF(OR(G369="",N(H369)=0),"",G369/H369)</f>
        <v/>
      </c>
      <c r="J369" s="20">
        <f>IF(OR(B369="",E369=""),"",IF(OR(F369="Done",G369&lt;&gt;""),"Done",IF(E369&lt;TODAY(),"Late by "&amp;(TODAY()-E369)&amp;IF((TODAY()-E369)=1," day"," days"),IF(E369=TODAY(),"Due today",IF(E369=TODAY()+1,"Due tomorrow","Due in "&amp;(E369-TODAY())&amp;IF((E369-TODAY())=1," day"," days"))))))</f>
        <v/>
      </c>
      <c r="K369" s="25" t="n"/>
      <c r="L369" s="1">
        <f>IF(G369="","",N(H369))</f>
        <v/>
      </c>
      <c r="M369">
        <f>IF(OR(B369="",E369="",OR(F369="Done",G369&lt;&gt;"")),"",E369+ROW()/10000000)</f>
        <v/>
      </c>
    </row>
    <row r="370">
      <c r="A370" s="1" t="n"/>
      <c r="B370" s="24" t="n"/>
      <c r="C370" s="25" t="n"/>
      <c r="D370" s="25" t="n"/>
      <c r="E370" s="26" t="n"/>
      <c r="F370" s="27" t="n"/>
      <c r="G370" s="28" t="n"/>
      <c r="H370" s="28" t="n"/>
      <c r="I370" s="16">
        <f>IF(OR(G370="",N(H370)=0),"",G370/H370)</f>
        <v/>
      </c>
      <c r="J370" s="20">
        <f>IF(OR(B370="",E370=""),"",IF(OR(F370="Done",G370&lt;&gt;""),"Done",IF(E370&lt;TODAY(),"Late by "&amp;(TODAY()-E370)&amp;IF((TODAY()-E370)=1," day"," days"),IF(E370=TODAY(),"Due today",IF(E370=TODAY()+1,"Due tomorrow","Due in "&amp;(E370-TODAY())&amp;IF((E370-TODAY())=1," day"," days"))))))</f>
        <v/>
      </c>
      <c r="K370" s="25" t="n"/>
      <c r="L370" s="1">
        <f>IF(G370="","",N(H370))</f>
        <v/>
      </c>
      <c r="M370">
        <f>IF(OR(B370="",E370="",OR(F370="Done",G370&lt;&gt;"")),"",E370+ROW()/10000000)</f>
        <v/>
      </c>
    </row>
    <row r="371">
      <c r="A371" s="1" t="n"/>
      <c r="B371" s="24" t="n"/>
      <c r="C371" s="25" t="n"/>
      <c r="D371" s="25" t="n"/>
      <c r="E371" s="26" t="n"/>
      <c r="F371" s="27" t="n"/>
      <c r="G371" s="28" t="n"/>
      <c r="H371" s="28" t="n"/>
      <c r="I371" s="16">
        <f>IF(OR(G371="",N(H371)=0),"",G371/H371)</f>
        <v/>
      </c>
      <c r="J371" s="20">
        <f>IF(OR(B371="",E371=""),"",IF(OR(F371="Done",G371&lt;&gt;""),"Done",IF(E371&lt;TODAY(),"Late by "&amp;(TODAY()-E371)&amp;IF((TODAY()-E371)=1," day"," days"),IF(E371=TODAY(),"Due today",IF(E371=TODAY()+1,"Due tomorrow","Due in "&amp;(E371-TODAY())&amp;IF((E371-TODAY())=1," day"," days"))))))</f>
        <v/>
      </c>
      <c r="K371" s="25" t="n"/>
      <c r="L371" s="1">
        <f>IF(G371="","",N(H371))</f>
        <v/>
      </c>
      <c r="M371">
        <f>IF(OR(B371="",E371="",OR(F371="Done",G371&lt;&gt;"")),"",E371+ROW()/10000000)</f>
        <v/>
      </c>
    </row>
    <row r="372">
      <c r="A372" s="1" t="n"/>
      <c r="B372" s="24" t="n"/>
      <c r="C372" s="25" t="n"/>
      <c r="D372" s="25" t="n"/>
      <c r="E372" s="26" t="n"/>
      <c r="F372" s="27" t="n"/>
      <c r="G372" s="28" t="n"/>
      <c r="H372" s="28" t="n"/>
      <c r="I372" s="16">
        <f>IF(OR(G372="",N(H372)=0),"",G372/H372)</f>
        <v/>
      </c>
      <c r="J372" s="20">
        <f>IF(OR(B372="",E372=""),"",IF(OR(F372="Done",G372&lt;&gt;""),"Done",IF(E372&lt;TODAY(),"Late by "&amp;(TODAY()-E372)&amp;IF((TODAY()-E372)=1," day"," days"),IF(E372=TODAY(),"Due today",IF(E372=TODAY()+1,"Due tomorrow","Due in "&amp;(E372-TODAY())&amp;IF((E372-TODAY())=1," day"," days"))))))</f>
        <v/>
      </c>
      <c r="K372" s="25" t="n"/>
      <c r="L372" s="1">
        <f>IF(G372="","",N(H372))</f>
        <v/>
      </c>
      <c r="M372">
        <f>IF(OR(B372="",E372="",OR(F372="Done",G372&lt;&gt;"")),"",E372+ROW()/10000000)</f>
        <v/>
      </c>
    </row>
    <row r="373">
      <c r="A373" s="1" t="n"/>
      <c r="B373" s="24" t="n"/>
      <c r="C373" s="25" t="n"/>
      <c r="D373" s="25" t="n"/>
      <c r="E373" s="26" t="n"/>
      <c r="F373" s="27" t="n"/>
      <c r="G373" s="28" t="n"/>
      <c r="H373" s="28" t="n"/>
      <c r="I373" s="16">
        <f>IF(OR(G373="",N(H373)=0),"",G373/H373)</f>
        <v/>
      </c>
      <c r="J373" s="20">
        <f>IF(OR(B373="",E373=""),"",IF(OR(F373="Done",G373&lt;&gt;""),"Done",IF(E373&lt;TODAY(),"Late by "&amp;(TODAY()-E373)&amp;IF((TODAY()-E373)=1," day"," days"),IF(E373=TODAY(),"Due today",IF(E373=TODAY()+1,"Due tomorrow","Due in "&amp;(E373-TODAY())&amp;IF((E373-TODAY())=1," day"," days"))))))</f>
        <v/>
      </c>
      <c r="K373" s="25" t="n"/>
      <c r="L373" s="1">
        <f>IF(G373="","",N(H373))</f>
        <v/>
      </c>
      <c r="M373">
        <f>IF(OR(B373="",E373="",OR(F373="Done",G373&lt;&gt;"")),"",E373+ROW()/10000000)</f>
        <v/>
      </c>
    </row>
    <row r="374">
      <c r="A374" s="1" t="n"/>
      <c r="B374" s="24" t="n"/>
      <c r="C374" s="25" t="n"/>
      <c r="D374" s="25" t="n"/>
      <c r="E374" s="26" t="n"/>
      <c r="F374" s="27" t="n"/>
      <c r="G374" s="28" t="n"/>
      <c r="H374" s="28" t="n"/>
      <c r="I374" s="16">
        <f>IF(OR(G374="",N(H374)=0),"",G374/H374)</f>
        <v/>
      </c>
      <c r="J374" s="20">
        <f>IF(OR(B374="",E374=""),"",IF(OR(F374="Done",G374&lt;&gt;""),"Done",IF(E374&lt;TODAY(),"Late by "&amp;(TODAY()-E374)&amp;IF((TODAY()-E374)=1," day"," days"),IF(E374=TODAY(),"Due today",IF(E374=TODAY()+1,"Due tomorrow","Due in "&amp;(E374-TODAY())&amp;IF((E374-TODAY())=1," day"," days"))))))</f>
        <v/>
      </c>
      <c r="K374" s="25" t="n"/>
      <c r="L374" s="1">
        <f>IF(G374="","",N(H374))</f>
        <v/>
      </c>
      <c r="M374">
        <f>IF(OR(B374="",E374="",OR(F374="Done",G374&lt;&gt;"")),"",E374+ROW()/10000000)</f>
        <v/>
      </c>
    </row>
    <row r="375">
      <c r="A375" s="1" t="n"/>
      <c r="B375" s="24" t="n"/>
      <c r="C375" s="25" t="n"/>
      <c r="D375" s="25" t="n"/>
      <c r="E375" s="26" t="n"/>
      <c r="F375" s="27" t="n"/>
      <c r="G375" s="28" t="n"/>
      <c r="H375" s="28" t="n"/>
      <c r="I375" s="16">
        <f>IF(OR(G375="",N(H375)=0),"",G375/H375)</f>
        <v/>
      </c>
      <c r="J375" s="20">
        <f>IF(OR(B375="",E375=""),"",IF(OR(F375="Done",G375&lt;&gt;""),"Done",IF(E375&lt;TODAY(),"Late by "&amp;(TODAY()-E375)&amp;IF((TODAY()-E375)=1," day"," days"),IF(E375=TODAY(),"Due today",IF(E375=TODAY()+1,"Due tomorrow","Due in "&amp;(E375-TODAY())&amp;IF((E375-TODAY())=1," day"," days"))))))</f>
        <v/>
      </c>
      <c r="K375" s="25" t="n"/>
      <c r="L375" s="1">
        <f>IF(G375="","",N(H375))</f>
        <v/>
      </c>
      <c r="M375">
        <f>IF(OR(B375="",E375="",OR(F375="Done",G375&lt;&gt;"")),"",E375+ROW()/10000000)</f>
        <v/>
      </c>
    </row>
    <row r="376">
      <c r="A376" s="1" t="n"/>
      <c r="B376" s="24" t="n"/>
      <c r="C376" s="25" t="n"/>
      <c r="D376" s="25" t="n"/>
      <c r="E376" s="26" t="n"/>
      <c r="F376" s="27" t="n"/>
      <c r="G376" s="28" t="n"/>
      <c r="H376" s="28" t="n"/>
      <c r="I376" s="16">
        <f>IF(OR(G376="",N(H376)=0),"",G376/H376)</f>
        <v/>
      </c>
      <c r="J376" s="20">
        <f>IF(OR(B376="",E376=""),"",IF(OR(F376="Done",G376&lt;&gt;""),"Done",IF(E376&lt;TODAY(),"Late by "&amp;(TODAY()-E376)&amp;IF((TODAY()-E376)=1," day"," days"),IF(E376=TODAY(),"Due today",IF(E376=TODAY()+1,"Due tomorrow","Due in "&amp;(E376-TODAY())&amp;IF((E376-TODAY())=1," day"," days"))))))</f>
        <v/>
      </c>
      <c r="K376" s="25" t="n"/>
      <c r="L376" s="1">
        <f>IF(G376="","",N(H376))</f>
        <v/>
      </c>
      <c r="M376">
        <f>IF(OR(B376="",E376="",OR(F376="Done",G376&lt;&gt;"")),"",E376+ROW()/10000000)</f>
        <v/>
      </c>
    </row>
    <row r="377">
      <c r="A377" s="1" t="n"/>
      <c r="B377" s="24" t="n"/>
      <c r="C377" s="25" t="n"/>
      <c r="D377" s="25" t="n"/>
      <c r="E377" s="26" t="n"/>
      <c r="F377" s="27" t="n"/>
      <c r="G377" s="28" t="n"/>
      <c r="H377" s="28" t="n"/>
      <c r="I377" s="16">
        <f>IF(OR(G377="",N(H377)=0),"",G377/H377)</f>
        <v/>
      </c>
      <c r="J377" s="20">
        <f>IF(OR(B377="",E377=""),"",IF(OR(F377="Done",G377&lt;&gt;""),"Done",IF(E377&lt;TODAY(),"Late by "&amp;(TODAY()-E377)&amp;IF((TODAY()-E377)=1," day"," days"),IF(E377=TODAY(),"Due today",IF(E377=TODAY()+1,"Due tomorrow","Due in "&amp;(E377-TODAY())&amp;IF((E377-TODAY())=1," day"," days"))))))</f>
        <v/>
      </c>
      <c r="K377" s="25" t="n"/>
      <c r="L377" s="1">
        <f>IF(G377="","",N(H377))</f>
        <v/>
      </c>
      <c r="M377">
        <f>IF(OR(B377="",E377="",OR(F377="Done",G377&lt;&gt;"")),"",E377+ROW()/10000000)</f>
        <v/>
      </c>
    </row>
    <row r="378">
      <c r="A378" s="1" t="n"/>
      <c r="B378" s="24" t="n"/>
      <c r="C378" s="25" t="n"/>
      <c r="D378" s="25" t="n"/>
      <c r="E378" s="26" t="n"/>
      <c r="F378" s="27" t="n"/>
      <c r="G378" s="28" t="n"/>
      <c r="H378" s="28" t="n"/>
      <c r="I378" s="16">
        <f>IF(OR(G378="",N(H378)=0),"",G378/H378)</f>
        <v/>
      </c>
      <c r="J378" s="20">
        <f>IF(OR(B378="",E378=""),"",IF(OR(F378="Done",G378&lt;&gt;""),"Done",IF(E378&lt;TODAY(),"Late by "&amp;(TODAY()-E378)&amp;IF((TODAY()-E378)=1," day"," days"),IF(E378=TODAY(),"Due today",IF(E378=TODAY()+1,"Due tomorrow","Due in "&amp;(E378-TODAY())&amp;IF((E378-TODAY())=1," day"," days"))))))</f>
        <v/>
      </c>
      <c r="K378" s="25" t="n"/>
      <c r="L378" s="1">
        <f>IF(G378="","",N(H378))</f>
        <v/>
      </c>
      <c r="M378">
        <f>IF(OR(B378="",E378="",OR(F378="Done",G378&lt;&gt;"")),"",E378+ROW()/10000000)</f>
        <v/>
      </c>
    </row>
    <row r="379">
      <c r="A379" s="1" t="n"/>
      <c r="B379" s="24" t="n"/>
      <c r="C379" s="25" t="n"/>
      <c r="D379" s="25" t="n"/>
      <c r="E379" s="26" t="n"/>
      <c r="F379" s="27" t="n"/>
      <c r="G379" s="28" t="n"/>
      <c r="H379" s="28" t="n"/>
      <c r="I379" s="16">
        <f>IF(OR(G379="",N(H379)=0),"",G379/H379)</f>
        <v/>
      </c>
      <c r="J379" s="20">
        <f>IF(OR(B379="",E379=""),"",IF(OR(F379="Done",G379&lt;&gt;""),"Done",IF(E379&lt;TODAY(),"Late by "&amp;(TODAY()-E379)&amp;IF((TODAY()-E379)=1," day"," days"),IF(E379=TODAY(),"Due today",IF(E379=TODAY()+1,"Due tomorrow","Due in "&amp;(E379-TODAY())&amp;IF((E379-TODAY())=1," day"," days"))))))</f>
        <v/>
      </c>
      <c r="K379" s="25" t="n"/>
      <c r="L379" s="1">
        <f>IF(G379="","",N(H379))</f>
        <v/>
      </c>
      <c r="M379">
        <f>IF(OR(B379="",E379="",OR(F379="Done",G379&lt;&gt;"")),"",E379+ROW()/10000000)</f>
        <v/>
      </c>
    </row>
    <row r="380">
      <c r="A380" s="1" t="n"/>
      <c r="B380" s="24" t="n"/>
      <c r="C380" s="25" t="n"/>
      <c r="D380" s="25" t="n"/>
      <c r="E380" s="26" t="n"/>
      <c r="F380" s="27" t="n"/>
      <c r="G380" s="28" t="n"/>
      <c r="H380" s="28" t="n"/>
      <c r="I380" s="16">
        <f>IF(OR(G380="",N(H380)=0),"",G380/H380)</f>
        <v/>
      </c>
      <c r="J380" s="20">
        <f>IF(OR(B380="",E380=""),"",IF(OR(F380="Done",G380&lt;&gt;""),"Done",IF(E380&lt;TODAY(),"Late by "&amp;(TODAY()-E380)&amp;IF((TODAY()-E380)=1," day"," days"),IF(E380=TODAY(),"Due today",IF(E380=TODAY()+1,"Due tomorrow","Due in "&amp;(E380-TODAY())&amp;IF((E380-TODAY())=1," day"," days"))))))</f>
        <v/>
      </c>
      <c r="K380" s="25" t="n"/>
      <c r="L380" s="1">
        <f>IF(G380="","",N(H380))</f>
        <v/>
      </c>
      <c r="M380">
        <f>IF(OR(B380="",E380="",OR(F380="Done",G380&lt;&gt;"")),"",E380+ROW()/10000000)</f>
        <v/>
      </c>
    </row>
    <row r="381">
      <c r="A381" s="1" t="n"/>
      <c r="B381" s="24" t="n"/>
      <c r="C381" s="25" t="n"/>
      <c r="D381" s="25" t="n"/>
      <c r="E381" s="26" t="n"/>
      <c r="F381" s="27" t="n"/>
      <c r="G381" s="28" t="n"/>
      <c r="H381" s="28" t="n"/>
      <c r="I381" s="16">
        <f>IF(OR(G381="",N(H381)=0),"",G381/H381)</f>
        <v/>
      </c>
      <c r="J381" s="20">
        <f>IF(OR(B381="",E381=""),"",IF(OR(F381="Done",G381&lt;&gt;""),"Done",IF(E381&lt;TODAY(),"Late by "&amp;(TODAY()-E381)&amp;IF((TODAY()-E381)=1," day"," days"),IF(E381=TODAY(),"Due today",IF(E381=TODAY()+1,"Due tomorrow","Due in "&amp;(E381-TODAY())&amp;IF((E381-TODAY())=1," day"," days"))))))</f>
        <v/>
      </c>
      <c r="K381" s="25" t="n"/>
      <c r="L381" s="1">
        <f>IF(G381="","",N(H381))</f>
        <v/>
      </c>
      <c r="M381">
        <f>IF(OR(B381="",E381="",OR(F381="Done",G381&lt;&gt;"")),"",E381+ROW()/10000000)</f>
        <v/>
      </c>
    </row>
    <row r="382">
      <c r="A382" s="1" t="n"/>
      <c r="B382" s="24" t="n"/>
      <c r="C382" s="25" t="n"/>
      <c r="D382" s="25" t="n"/>
      <c r="E382" s="26" t="n"/>
      <c r="F382" s="27" t="n"/>
      <c r="G382" s="28" t="n"/>
      <c r="H382" s="28" t="n"/>
      <c r="I382" s="16">
        <f>IF(OR(G382="",N(H382)=0),"",G382/H382)</f>
        <v/>
      </c>
      <c r="J382" s="20">
        <f>IF(OR(B382="",E382=""),"",IF(OR(F382="Done",G382&lt;&gt;""),"Done",IF(E382&lt;TODAY(),"Late by "&amp;(TODAY()-E382)&amp;IF((TODAY()-E382)=1," day"," days"),IF(E382=TODAY(),"Due today",IF(E382=TODAY()+1,"Due tomorrow","Due in "&amp;(E382-TODAY())&amp;IF((E382-TODAY())=1," day"," days"))))))</f>
        <v/>
      </c>
      <c r="K382" s="25" t="n"/>
      <c r="L382" s="1">
        <f>IF(G382="","",N(H382))</f>
        <v/>
      </c>
      <c r="M382">
        <f>IF(OR(B382="",E382="",OR(F382="Done",G382&lt;&gt;"")),"",E382+ROW()/10000000)</f>
        <v/>
      </c>
    </row>
    <row r="383">
      <c r="A383" s="1" t="n"/>
      <c r="B383" s="24" t="n"/>
      <c r="C383" s="25" t="n"/>
      <c r="D383" s="25" t="n"/>
      <c r="E383" s="26" t="n"/>
      <c r="F383" s="27" t="n"/>
      <c r="G383" s="28" t="n"/>
      <c r="H383" s="28" t="n"/>
      <c r="I383" s="16">
        <f>IF(OR(G383="",N(H383)=0),"",G383/H383)</f>
        <v/>
      </c>
      <c r="J383" s="20">
        <f>IF(OR(B383="",E383=""),"",IF(OR(F383="Done",G383&lt;&gt;""),"Done",IF(E383&lt;TODAY(),"Late by "&amp;(TODAY()-E383)&amp;IF((TODAY()-E383)=1," day"," days"),IF(E383=TODAY(),"Due today",IF(E383=TODAY()+1,"Due tomorrow","Due in "&amp;(E383-TODAY())&amp;IF((E383-TODAY())=1," day"," days"))))))</f>
        <v/>
      </c>
      <c r="K383" s="25" t="n"/>
      <c r="L383" s="1">
        <f>IF(G383="","",N(H383))</f>
        <v/>
      </c>
      <c r="M383">
        <f>IF(OR(B383="",E383="",OR(F383="Done",G383&lt;&gt;"")),"",E383+ROW()/10000000)</f>
        <v/>
      </c>
    </row>
    <row r="384">
      <c r="A384" s="1" t="n"/>
      <c r="B384" s="24" t="n"/>
      <c r="C384" s="25" t="n"/>
      <c r="D384" s="25" t="n"/>
      <c r="E384" s="26" t="n"/>
      <c r="F384" s="27" t="n"/>
      <c r="G384" s="28" t="n"/>
      <c r="H384" s="28" t="n"/>
      <c r="I384" s="16">
        <f>IF(OR(G384="",N(H384)=0),"",G384/H384)</f>
        <v/>
      </c>
      <c r="J384" s="20">
        <f>IF(OR(B384="",E384=""),"",IF(OR(F384="Done",G384&lt;&gt;""),"Done",IF(E384&lt;TODAY(),"Late by "&amp;(TODAY()-E384)&amp;IF((TODAY()-E384)=1," day"," days"),IF(E384=TODAY(),"Due today",IF(E384=TODAY()+1,"Due tomorrow","Due in "&amp;(E384-TODAY())&amp;IF((E384-TODAY())=1," day"," days"))))))</f>
        <v/>
      </c>
      <c r="K384" s="25" t="n"/>
      <c r="L384" s="1">
        <f>IF(G384="","",N(H384))</f>
        <v/>
      </c>
      <c r="M384">
        <f>IF(OR(B384="",E384="",OR(F384="Done",G384&lt;&gt;"")),"",E384+ROW()/10000000)</f>
        <v/>
      </c>
    </row>
    <row r="385">
      <c r="A385" s="1" t="n"/>
      <c r="B385" s="24" t="n"/>
      <c r="C385" s="25" t="n"/>
      <c r="D385" s="25" t="n"/>
      <c r="E385" s="26" t="n"/>
      <c r="F385" s="27" t="n"/>
      <c r="G385" s="28" t="n"/>
      <c r="H385" s="28" t="n"/>
      <c r="I385" s="16">
        <f>IF(OR(G385="",N(H385)=0),"",G385/H385)</f>
        <v/>
      </c>
      <c r="J385" s="20">
        <f>IF(OR(B385="",E385=""),"",IF(OR(F385="Done",G385&lt;&gt;""),"Done",IF(E385&lt;TODAY(),"Late by "&amp;(TODAY()-E385)&amp;IF((TODAY()-E385)=1," day"," days"),IF(E385=TODAY(),"Due today",IF(E385=TODAY()+1,"Due tomorrow","Due in "&amp;(E385-TODAY())&amp;IF((E385-TODAY())=1," day"," days"))))))</f>
        <v/>
      </c>
      <c r="K385" s="25" t="n"/>
      <c r="L385" s="1">
        <f>IF(G385="","",N(H385))</f>
        <v/>
      </c>
      <c r="M385">
        <f>IF(OR(B385="",E385="",OR(F385="Done",G385&lt;&gt;"")),"",E385+ROW()/10000000)</f>
        <v/>
      </c>
    </row>
    <row r="386">
      <c r="A386" s="1" t="n"/>
      <c r="B386" s="24" t="n"/>
      <c r="C386" s="25" t="n"/>
      <c r="D386" s="25" t="n"/>
      <c r="E386" s="26" t="n"/>
      <c r="F386" s="27" t="n"/>
      <c r="G386" s="28" t="n"/>
      <c r="H386" s="28" t="n"/>
      <c r="I386" s="16">
        <f>IF(OR(G386="",N(H386)=0),"",G386/H386)</f>
        <v/>
      </c>
      <c r="J386" s="20">
        <f>IF(OR(B386="",E386=""),"",IF(OR(F386="Done",G386&lt;&gt;""),"Done",IF(E386&lt;TODAY(),"Late by "&amp;(TODAY()-E386)&amp;IF((TODAY()-E386)=1," day"," days"),IF(E386=TODAY(),"Due today",IF(E386=TODAY()+1,"Due tomorrow","Due in "&amp;(E386-TODAY())&amp;IF((E386-TODAY())=1," day"," days"))))))</f>
        <v/>
      </c>
      <c r="K386" s="25" t="n"/>
      <c r="L386" s="1">
        <f>IF(G386="","",N(H386))</f>
        <v/>
      </c>
      <c r="M386">
        <f>IF(OR(B386="",E386="",OR(F386="Done",G386&lt;&gt;"")),"",E386+ROW()/10000000)</f>
        <v/>
      </c>
    </row>
    <row r="387">
      <c r="A387" s="1" t="n"/>
      <c r="B387" s="24" t="n"/>
      <c r="C387" s="25" t="n"/>
      <c r="D387" s="25" t="n"/>
      <c r="E387" s="26" t="n"/>
      <c r="F387" s="27" t="n"/>
      <c r="G387" s="28" t="n"/>
      <c r="H387" s="28" t="n"/>
      <c r="I387" s="16">
        <f>IF(OR(G387="",N(H387)=0),"",G387/H387)</f>
        <v/>
      </c>
      <c r="J387" s="20">
        <f>IF(OR(B387="",E387=""),"",IF(OR(F387="Done",G387&lt;&gt;""),"Done",IF(E387&lt;TODAY(),"Late by "&amp;(TODAY()-E387)&amp;IF((TODAY()-E387)=1," day"," days"),IF(E387=TODAY(),"Due today",IF(E387=TODAY()+1,"Due tomorrow","Due in "&amp;(E387-TODAY())&amp;IF((E387-TODAY())=1," day"," days"))))))</f>
        <v/>
      </c>
      <c r="K387" s="25" t="n"/>
      <c r="L387" s="1">
        <f>IF(G387="","",N(H387))</f>
        <v/>
      </c>
      <c r="M387">
        <f>IF(OR(B387="",E387="",OR(F387="Done",G387&lt;&gt;"")),"",E387+ROW()/10000000)</f>
        <v/>
      </c>
    </row>
    <row r="388">
      <c r="A388" s="1" t="n"/>
      <c r="B388" s="24" t="n"/>
      <c r="C388" s="25" t="n"/>
      <c r="D388" s="25" t="n"/>
      <c r="E388" s="26" t="n"/>
      <c r="F388" s="27" t="n"/>
      <c r="G388" s="28" t="n"/>
      <c r="H388" s="28" t="n"/>
      <c r="I388" s="16">
        <f>IF(OR(G388="",N(H388)=0),"",G388/H388)</f>
        <v/>
      </c>
      <c r="J388" s="20">
        <f>IF(OR(B388="",E388=""),"",IF(OR(F388="Done",G388&lt;&gt;""),"Done",IF(E388&lt;TODAY(),"Late by "&amp;(TODAY()-E388)&amp;IF((TODAY()-E388)=1," day"," days"),IF(E388=TODAY(),"Due today",IF(E388=TODAY()+1,"Due tomorrow","Due in "&amp;(E388-TODAY())&amp;IF((E388-TODAY())=1," day"," days"))))))</f>
        <v/>
      </c>
      <c r="K388" s="25" t="n"/>
      <c r="L388" s="1">
        <f>IF(G388="","",N(H388))</f>
        <v/>
      </c>
      <c r="M388">
        <f>IF(OR(B388="",E388="",OR(F388="Done",G388&lt;&gt;"")),"",E388+ROW()/10000000)</f>
        <v/>
      </c>
    </row>
    <row r="389">
      <c r="A389" s="1" t="n"/>
      <c r="B389" s="24" t="n"/>
      <c r="C389" s="25" t="n"/>
      <c r="D389" s="25" t="n"/>
      <c r="E389" s="26" t="n"/>
      <c r="F389" s="27" t="n"/>
      <c r="G389" s="28" t="n"/>
      <c r="H389" s="28" t="n"/>
      <c r="I389" s="16">
        <f>IF(OR(G389="",N(H389)=0),"",G389/H389)</f>
        <v/>
      </c>
      <c r="J389" s="20">
        <f>IF(OR(B389="",E389=""),"",IF(OR(F389="Done",G389&lt;&gt;""),"Done",IF(E389&lt;TODAY(),"Late by "&amp;(TODAY()-E389)&amp;IF((TODAY()-E389)=1," day"," days"),IF(E389=TODAY(),"Due today",IF(E389=TODAY()+1,"Due tomorrow","Due in "&amp;(E389-TODAY())&amp;IF((E389-TODAY())=1," day"," days"))))))</f>
        <v/>
      </c>
      <c r="K389" s="25" t="n"/>
      <c r="L389" s="1">
        <f>IF(G389="","",N(H389))</f>
        <v/>
      </c>
      <c r="M389">
        <f>IF(OR(B389="",E389="",OR(F389="Done",G389&lt;&gt;"")),"",E389+ROW()/10000000)</f>
        <v/>
      </c>
    </row>
    <row r="390">
      <c r="A390" s="1" t="n"/>
      <c r="B390" s="24" t="n"/>
      <c r="C390" s="25" t="n"/>
      <c r="D390" s="25" t="n"/>
      <c r="E390" s="26" t="n"/>
      <c r="F390" s="27" t="n"/>
      <c r="G390" s="28" t="n"/>
      <c r="H390" s="28" t="n"/>
      <c r="I390" s="16">
        <f>IF(OR(G390="",N(H390)=0),"",G390/H390)</f>
        <v/>
      </c>
      <c r="J390" s="20">
        <f>IF(OR(B390="",E390=""),"",IF(OR(F390="Done",G390&lt;&gt;""),"Done",IF(E390&lt;TODAY(),"Late by "&amp;(TODAY()-E390)&amp;IF((TODAY()-E390)=1," day"," days"),IF(E390=TODAY(),"Due today",IF(E390=TODAY()+1,"Due tomorrow","Due in "&amp;(E390-TODAY())&amp;IF((E390-TODAY())=1," day"," days"))))))</f>
        <v/>
      </c>
      <c r="K390" s="25" t="n"/>
      <c r="L390" s="1">
        <f>IF(G390="","",N(H390))</f>
        <v/>
      </c>
      <c r="M390">
        <f>IF(OR(B390="",E390="",OR(F390="Done",G390&lt;&gt;"")),"",E390+ROW()/10000000)</f>
        <v/>
      </c>
    </row>
    <row r="391">
      <c r="A391" s="1" t="n"/>
      <c r="B391" s="24" t="n"/>
      <c r="C391" s="25" t="n"/>
      <c r="D391" s="25" t="n"/>
      <c r="E391" s="26" t="n"/>
      <c r="F391" s="27" t="n"/>
      <c r="G391" s="28" t="n"/>
      <c r="H391" s="28" t="n"/>
      <c r="I391" s="16">
        <f>IF(OR(G391="",N(H391)=0),"",G391/H391)</f>
        <v/>
      </c>
      <c r="J391" s="20">
        <f>IF(OR(B391="",E391=""),"",IF(OR(F391="Done",G391&lt;&gt;""),"Done",IF(E391&lt;TODAY(),"Late by "&amp;(TODAY()-E391)&amp;IF((TODAY()-E391)=1," day"," days"),IF(E391=TODAY(),"Due today",IF(E391=TODAY()+1,"Due tomorrow","Due in "&amp;(E391-TODAY())&amp;IF((E391-TODAY())=1," day"," days"))))))</f>
        <v/>
      </c>
      <c r="K391" s="25" t="n"/>
      <c r="L391" s="1">
        <f>IF(G391="","",N(H391))</f>
        <v/>
      </c>
      <c r="M391">
        <f>IF(OR(B391="",E391="",OR(F391="Done",G391&lt;&gt;"")),"",E391+ROW()/10000000)</f>
        <v/>
      </c>
    </row>
    <row r="392">
      <c r="A392" s="1" t="n"/>
      <c r="B392" s="24" t="n"/>
      <c r="C392" s="25" t="n"/>
      <c r="D392" s="25" t="n"/>
      <c r="E392" s="26" t="n"/>
      <c r="F392" s="27" t="n"/>
      <c r="G392" s="28" t="n"/>
      <c r="H392" s="28" t="n"/>
      <c r="I392" s="16">
        <f>IF(OR(G392="",N(H392)=0),"",G392/H392)</f>
        <v/>
      </c>
      <c r="J392" s="20">
        <f>IF(OR(B392="",E392=""),"",IF(OR(F392="Done",G392&lt;&gt;""),"Done",IF(E392&lt;TODAY(),"Late by "&amp;(TODAY()-E392)&amp;IF((TODAY()-E392)=1," day"," days"),IF(E392=TODAY(),"Due today",IF(E392=TODAY()+1,"Due tomorrow","Due in "&amp;(E392-TODAY())&amp;IF((E392-TODAY())=1," day"," days"))))))</f>
        <v/>
      </c>
      <c r="K392" s="25" t="n"/>
      <c r="L392" s="1">
        <f>IF(G392="","",N(H392))</f>
        <v/>
      </c>
      <c r="M392">
        <f>IF(OR(B392="",E392="",OR(F392="Done",G392&lt;&gt;"")),"",E392+ROW()/10000000)</f>
        <v/>
      </c>
    </row>
    <row r="393">
      <c r="A393" s="1" t="n"/>
      <c r="B393" s="24" t="n"/>
      <c r="C393" s="25" t="n"/>
      <c r="D393" s="25" t="n"/>
      <c r="E393" s="26" t="n"/>
      <c r="F393" s="27" t="n"/>
      <c r="G393" s="28" t="n"/>
      <c r="H393" s="28" t="n"/>
      <c r="I393" s="16">
        <f>IF(OR(G393="",N(H393)=0),"",G393/H393)</f>
        <v/>
      </c>
      <c r="J393" s="20">
        <f>IF(OR(B393="",E393=""),"",IF(OR(F393="Done",G393&lt;&gt;""),"Done",IF(E393&lt;TODAY(),"Late by "&amp;(TODAY()-E393)&amp;IF((TODAY()-E393)=1," day"," days"),IF(E393=TODAY(),"Due today",IF(E393=TODAY()+1,"Due tomorrow","Due in "&amp;(E393-TODAY())&amp;IF((E393-TODAY())=1," day"," days"))))))</f>
        <v/>
      </c>
      <c r="K393" s="25" t="n"/>
      <c r="L393" s="1">
        <f>IF(G393="","",N(H393))</f>
        <v/>
      </c>
      <c r="M393">
        <f>IF(OR(B393="",E393="",OR(F393="Done",G393&lt;&gt;"")),"",E393+ROW()/10000000)</f>
        <v/>
      </c>
    </row>
    <row r="394">
      <c r="A394" s="1" t="n"/>
      <c r="B394" s="24" t="n"/>
      <c r="C394" s="25" t="n"/>
      <c r="D394" s="25" t="n"/>
      <c r="E394" s="26" t="n"/>
      <c r="F394" s="27" t="n"/>
      <c r="G394" s="28" t="n"/>
      <c r="H394" s="28" t="n"/>
      <c r="I394" s="16">
        <f>IF(OR(G394="",N(H394)=0),"",G394/H394)</f>
        <v/>
      </c>
      <c r="J394" s="20">
        <f>IF(OR(B394="",E394=""),"",IF(OR(F394="Done",G394&lt;&gt;""),"Done",IF(E394&lt;TODAY(),"Late by "&amp;(TODAY()-E394)&amp;IF((TODAY()-E394)=1," day"," days"),IF(E394=TODAY(),"Due today",IF(E394=TODAY()+1,"Due tomorrow","Due in "&amp;(E394-TODAY())&amp;IF((E394-TODAY())=1," day"," days"))))))</f>
        <v/>
      </c>
      <c r="K394" s="25" t="n"/>
      <c r="L394" s="1">
        <f>IF(G394="","",N(H394))</f>
        <v/>
      </c>
      <c r="M394">
        <f>IF(OR(B394="",E394="",OR(F394="Done",G394&lt;&gt;"")),"",E394+ROW()/10000000)</f>
        <v/>
      </c>
    </row>
    <row r="395">
      <c r="A395" s="1" t="n"/>
      <c r="B395" s="24" t="n"/>
      <c r="C395" s="25" t="n"/>
      <c r="D395" s="25" t="n"/>
      <c r="E395" s="26" t="n"/>
      <c r="F395" s="27" t="n"/>
      <c r="G395" s="28" t="n"/>
      <c r="H395" s="28" t="n"/>
      <c r="I395" s="16">
        <f>IF(OR(G395="",N(H395)=0),"",G395/H395)</f>
        <v/>
      </c>
      <c r="J395" s="20">
        <f>IF(OR(B395="",E395=""),"",IF(OR(F395="Done",G395&lt;&gt;""),"Done",IF(E395&lt;TODAY(),"Late by "&amp;(TODAY()-E395)&amp;IF((TODAY()-E395)=1," day"," days"),IF(E395=TODAY(),"Due today",IF(E395=TODAY()+1,"Due tomorrow","Due in "&amp;(E395-TODAY())&amp;IF((E395-TODAY())=1," day"," days"))))))</f>
        <v/>
      </c>
      <c r="K395" s="25" t="n"/>
      <c r="L395" s="1">
        <f>IF(G395="","",N(H395))</f>
        <v/>
      </c>
      <c r="M395">
        <f>IF(OR(B395="",E395="",OR(F395="Done",G395&lt;&gt;"")),"",E395+ROW()/10000000)</f>
        <v/>
      </c>
    </row>
    <row r="396">
      <c r="A396" s="1" t="n"/>
      <c r="B396" s="24" t="n"/>
      <c r="C396" s="25" t="n"/>
      <c r="D396" s="25" t="n"/>
      <c r="E396" s="26" t="n"/>
      <c r="F396" s="27" t="n"/>
      <c r="G396" s="28" t="n"/>
      <c r="H396" s="28" t="n"/>
      <c r="I396" s="16">
        <f>IF(OR(G396="",N(H396)=0),"",G396/H396)</f>
        <v/>
      </c>
      <c r="J396" s="20">
        <f>IF(OR(B396="",E396=""),"",IF(OR(F396="Done",G396&lt;&gt;""),"Done",IF(E396&lt;TODAY(),"Late by "&amp;(TODAY()-E396)&amp;IF((TODAY()-E396)=1," day"," days"),IF(E396=TODAY(),"Due today",IF(E396=TODAY()+1,"Due tomorrow","Due in "&amp;(E396-TODAY())&amp;IF((E396-TODAY())=1," day"," days"))))))</f>
        <v/>
      </c>
      <c r="K396" s="25" t="n"/>
      <c r="L396" s="1">
        <f>IF(G396="","",N(H396))</f>
        <v/>
      </c>
      <c r="M396">
        <f>IF(OR(B396="",E396="",OR(F396="Done",G396&lt;&gt;"")),"",E396+ROW()/10000000)</f>
        <v/>
      </c>
    </row>
    <row r="397">
      <c r="A397" s="1" t="n"/>
      <c r="B397" s="24" t="n"/>
      <c r="C397" s="25" t="n"/>
      <c r="D397" s="25" t="n"/>
      <c r="E397" s="26" t="n"/>
      <c r="F397" s="27" t="n"/>
      <c r="G397" s="28" t="n"/>
      <c r="H397" s="28" t="n"/>
      <c r="I397" s="16">
        <f>IF(OR(G397="",N(H397)=0),"",G397/H397)</f>
        <v/>
      </c>
      <c r="J397" s="20">
        <f>IF(OR(B397="",E397=""),"",IF(OR(F397="Done",G397&lt;&gt;""),"Done",IF(E397&lt;TODAY(),"Late by "&amp;(TODAY()-E397)&amp;IF((TODAY()-E397)=1," day"," days"),IF(E397=TODAY(),"Due today",IF(E397=TODAY()+1,"Due tomorrow","Due in "&amp;(E397-TODAY())&amp;IF((E397-TODAY())=1," day"," days"))))))</f>
        <v/>
      </c>
      <c r="K397" s="25" t="n"/>
      <c r="L397" s="1">
        <f>IF(G397="","",N(H397))</f>
        <v/>
      </c>
      <c r="M397">
        <f>IF(OR(B397="",E397="",OR(F397="Done",G397&lt;&gt;"")),"",E397+ROW()/10000000)</f>
        <v/>
      </c>
    </row>
    <row r="398">
      <c r="A398" s="1" t="n"/>
      <c r="B398" s="24" t="n"/>
      <c r="C398" s="25" t="n"/>
      <c r="D398" s="25" t="n"/>
      <c r="E398" s="26" t="n"/>
      <c r="F398" s="27" t="n"/>
      <c r="G398" s="28" t="n"/>
      <c r="H398" s="28" t="n"/>
      <c r="I398" s="16">
        <f>IF(OR(G398="",N(H398)=0),"",G398/H398)</f>
        <v/>
      </c>
      <c r="J398" s="20">
        <f>IF(OR(B398="",E398=""),"",IF(OR(F398="Done",G398&lt;&gt;""),"Done",IF(E398&lt;TODAY(),"Late by "&amp;(TODAY()-E398)&amp;IF((TODAY()-E398)=1," day"," days"),IF(E398=TODAY(),"Due today",IF(E398=TODAY()+1,"Due tomorrow","Due in "&amp;(E398-TODAY())&amp;IF((E398-TODAY())=1," day"," days"))))))</f>
        <v/>
      </c>
      <c r="K398" s="25" t="n"/>
      <c r="L398" s="1">
        <f>IF(G398="","",N(H398))</f>
        <v/>
      </c>
      <c r="M398">
        <f>IF(OR(B398="",E398="",OR(F398="Done",G398&lt;&gt;"")),"",E398+ROW()/10000000)</f>
        <v/>
      </c>
    </row>
    <row r="399">
      <c r="A399" s="1" t="n"/>
      <c r="B399" s="24" t="n"/>
      <c r="C399" s="25" t="n"/>
      <c r="D399" s="25" t="n"/>
      <c r="E399" s="26" t="n"/>
      <c r="F399" s="27" t="n"/>
      <c r="G399" s="28" t="n"/>
      <c r="H399" s="28" t="n"/>
      <c r="I399" s="16">
        <f>IF(OR(G399="",N(H399)=0),"",G399/H399)</f>
        <v/>
      </c>
      <c r="J399" s="20">
        <f>IF(OR(B399="",E399=""),"",IF(OR(F399="Done",G399&lt;&gt;""),"Done",IF(E399&lt;TODAY(),"Late by "&amp;(TODAY()-E399)&amp;IF((TODAY()-E399)=1," day"," days"),IF(E399=TODAY(),"Due today",IF(E399=TODAY()+1,"Due tomorrow","Due in "&amp;(E399-TODAY())&amp;IF((E399-TODAY())=1," day"," days"))))))</f>
        <v/>
      </c>
      <c r="K399" s="25" t="n"/>
      <c r="L399" s="1">
        <f>IF(G399="","",N(H399))</f>
        <v/>
      </c>
      <c r="M399">
        <f>IF(OR(B399="",E399="",OR(F399="Done",G399&lt;&gt;"")),"",E399+ROW()/10000000)</f>
        <v/>
      </c>
    </row>
    <row r="400">
      <c r="A400" s="1" t="n"/>
      <c r="B400" s="24" t="n"/>
      <c r="C400" s="25" t="n"/>
      <c r="D400" s="25" t="n"/>
      <c r="E400" s="26" t="n"/>
      <c r="F400" s="27" t="n"/>
      <c r="G400" s="28" t="n"/>
      <c r="H400" s="28" t="n"/>
      <c r="I400" s="16">
        <f>IF(OR(G400="",N(H400)=0),"",G400/H400)</f>
        <v/>
      </c>
      <c r="J400" s="20">
        <f>IF(OR(B400="",E400=""),"",IF(OR(F400="Done",G400&lt;&gt;""),"Done",IF(E400&lt;TODAY(),"Late by "&amp;(TODAY()-E400)&amp;IF((TODAY()-E400)=1," day"," days"),IF(E400=TODAY(),"Due today",IF(E400=TODAY()+1,"Due tomorrow","Due in "&amp;(E400-TODAY())&amp;IF((E400-TODAY())=1," day"," days"))))))</f>
        <v/>
      </c>
      <c r="K400" s="25" t="n"/>
      <c r="L400" s="1">
        <f>IF(G400="","",N(H400))</f>
        <v/>
      </c>
      <c r="M400">
        <f>IF(OR(B400="",E400="",OR(F400="Done",G400&lt;&gt;"")),"",E400+ROW()/10000000)</f>
        <v/>
      </c>
    </row>
    <row r="401">
      <c r="A401" s="1" t="n"/>
      <c r="B401" s="24" t="n"/>
      <c r="C401" s="25" t="n"/>
      <c r="D401" s="25" t="n"/>
      <c r="E401" s="26" t="n"/>
      <c r="F401" s="27" t="n"/>
      <c r="G401" s="28" t="n"/>
      <c r="H401" s="28" t="n"/>
      <c r="I401" s="16">
        <f>IF(OR(G401="",N(H401)=0),"",G401/H401)</f>
        <v/>
      </c>
      <c r="J401" s="20">
        <f>IF(OR(B401="",E401=""),"",IF(OR(F401="Done",G401&lt;&gt;""),"Done",IF(E401&lt;TODAY(),"Late by "&amp;(TODAY()-E401)&amp;IF((TODAY()-E401)=1," day"," days"),IF(E401=TODAY(),"Due today",IF(E401=TODAY()+1,"Due tomorrow","Due in "&amp;(E401-TODAY())&amp;IF((E401-TODAY())=1," day"," days"))))))</f>
        <v/>
      </c>
      <c r="K401" s="25" t="n"/>
      <c r="L401" s="1">
        <f>IF(G401="","",N(H401))</f>
        <v/>
      </c>
      <c r="M401">
        <f>IF(OR(B401="",E401="",OR(F401="Done",G401&lt;&gt;"")),"",E401+ROW()/10000000)</f>
        <v/>
      </c>
    </row>
    <row r="402">
      <c r="A402" s="1" t="n"/>
      <c r="B402" s="24" t="n"/>
      <c r="C402" s="25" t="n"/>
      <c r="D402" s="25" t="n"/>
      <c r="E402" s="26" t="n"/>
      <c r="F402" s="27" t="n"/>
      <c r="G402" s="28" t="n"/>
      <c r="H402" s="28" t="n"/>
      <c r="I402" s="16">
        <f>IF(OR(G402="",N(H402)=0),"",G402/H402)</f>
        <v/>
      </c>
      <c r="J402" s="20">
        <f>IF(OR(B402="",E402=""),"",IF(OR(F402="Done",G402&lt;&gt;""),"Done",IF(E402&lt;TODAY(),"Late by "&amp;(TODAY()-E402)&amp;IF((TODAY()-E402)=1," day"," days"),IF(E402=TODAY(),"Due today",IF(E402=TODAY()+1,"Due tomorrow","Due in "&amp;(E402-TODAY())&amp;IF((E402-TODAY())=1," day"," days"))))))</f>
        <v/>
      </c>
      <c r="K402" s="25" t="n"/>
      <c r="L402" s="1">
        <f>IF(G402="","",N(H402))</f>
        <v/>
      </c>
      <c r="M402">
        <f>IF(OR(B402="",E402="",OR(F402="Done",G402&lt;&gt;"")),"",E402+ROW()/10000000)</f>
        <v/>
      </c>
    </row>
    <row r="403">
      <c r="A403" s="1" t="n"/>
      <c r="B403" s="24" t="n"/>
      <c r="C403" s="25" t="n"/>
      <c r="D403" s="25" t="n"/>
      <c r="E403" s="26" t="n"/>
      <c r="F403" s="27" t="n"/>
      <c r="G403" s="28" t="n"/>
      <c r="H403" s="28" t="n"/>
      <c r="I403" s="16">
        <f>IF(OR(G403="",N(H403)=0),"",G403/H403)</f>
        <v/>
      </c>
      <c r="J403" s="20">
        <f>IF(OR(B403="",E403=""),"",IF(OR(F403="Done",G403&lt;&gt;""),"Done",IF(E403&lt;TODAY(),"Late by "&amp;(TODAY()-E403)&amp;IF((TODAY()-E403)=1," day"," days"),IF(E403=TODAY(),"Due today",IF(E403=TODAY()+1,"Due tomorrow","Due in "&amp;(E403-TODAY())&amp;IF((E403-TODAY())=1," day"," days"))))))</f>
        <v/>
      </c>
      <c r="K403" s="25" t="n"/>
      <c r="L403" s="1">
        <f>IF(G403="","",N(H403))</f>
        <v/>
      </c>
      <c r="M403">
        <f>IF(OR(B403="",E403="",OR(F403="Done",G403&lt;&gt;"")),"",E403+ROW()/10000000)</f>
        <v/>
      </c>
    </row>
    <row r="404">
      <c r="A404" s="1" t="n"/>
      <c r="B404" s="24" t="n"/>
      <c r="C404" s="25" t="n"/>
      <c r="D404" s="25" t="n"/>
      <c r="E404" s="26" t="n"/>
      <c r="F404" s="27" t="n"/>
      <c r="G404" s="28" t="n"/>
      <c r="H404" s="28" t="n"/>
      <c r="I404" s="16">
        <f>IF(OR(G404="",N(H404)=0),"",G404/H404)</f>
        <v/>
      </c>
      <c r="J404" s="20">
        <f>IF(OR(B404="",E404=""),"",IF(OR(F404="Done",G404&lt;&gt;""),"Done",IF(E404&lt;TODAY(),"Late by "&amp;(TODAY()-E404)&amp;IF((TODAY()-E404)=1," day"," days"),IF(E404=TODAY(),"Due today",IF(E404=TODAY()+1,"Due tomorrow","Due in "&amp;(E404-TODAY())&amp;IF((E404-TODAY())=1," day"," days"))))))</f>
        <v/>
      </c>
      <c r="K404" s="25" t="n"/>
      <c r="L404" s="1">
        <f>IF(G404="","",N(H404))</f>
        <v/>
      </c>
      <c r="M404">
        <f>IF(OR(B404="",E404="",OR(F404="Done",G404&lt;&gt;"")),"",E404+ROW()/10000000)</f>
        <v/>
      </c>
    </row>
    <row r="405">
      <c r="A405" s="1" t="n"/>
      <c r="B405" s="24" t="n"/>
      <c r="C405" s="25" t="n"/>
      <c r="D405" s="25" t="n"/>
      <c r="E405" s="26" t="n"/>
      <c r="F405" s="27" t="n"/>
      <c r="G405" s="28" t="n"/>
      <c r="H405" s="28" t="n"/>
      <c r="I405" s="16">
        <f>IF(OR(G405="",N(H405)=0),"",G405/H405)</f>
        <v/>
      </c>
      <c r="J405" s="20">
        <f>IF(OR(B405="",E405=""),"",IF(OR(F405="Done",G405&lt;&gt;""),"Done",IF(E405&lt;TODAY(),"Late by "&amp;(TODAY()-E405)&amp;IF((TODAY()-E405)=1," day"," days"),IF(E405=TODAY(),"Due today",IF(E405=TODAY()+1,"Due tomorrow","Due in "&amp;(E405-TODAY())&amp;IF((E405-TODAY())=1," day"," days"))))))</f>
        <v/>
      </c>
      <c r="K405" s="25" t="n"/>
      <c r="L405" s="1">
        <f>IF(G405="","",N(H405))</f>
        <v/>
      </c>
      <c r="M405">
        <f>IF(OR(B405="",E405="",OR(F405="Done",G405&lt;&gt;"")),"",E405+ROW()/10000000)</f>
        <v/>
      </c>
    </row>
    <row r="406">
      <c r="A406" s="1" t="n"/>
      <c r="B406" s="24" t="n"/>
      <c r="C406" s="25" t="n"/>
      <c r="D406" s="25" t="n"/>
      <c r="E406" s="26" t="n"/>
      <c r="F406" s="27" t="n"/>
      <c r="G406" s="28" t="n"/>
      <c r="H406" s="28" t="n"/>
      <c r="I406" s="16">
        <f>IF(OR(G406="",N(H406)=0),"",G406/H406)</f>
        <v/>
      </c>
      <c r="J406" s="20">
        <f>IF(OR(B406="",E406=""),"",IF(OR(F406="Done",G406&lt;&gt;""),"Done",IF(E406&lt;TODAY(),"Late by "&amp;(TODAY()-E406)&amp;IF((TODAY()-E406)=1," day"," days"),IF(E406=TODAY(),"Due today",IF(E406=TODAY()+1,"Due tomorrow","Due in "&amp;(E406-TODAY())&amp;IF((E406-TODAY())=1," day"," days"))))))</f>
        <v/>
      </c>
      <c r="K406" s="25" t="n"/>
      <c r="L406" s="1">
        <f>IF(G406="","",N(H406))</f>
        <v/>
      </c>
      <c r="M406">
        <f>IF(OR(B406="",E406="",OR(F406="Done",G406&lt;&gt;"")),"",E406+ROW()/10000000)</f>
        <v/>
      </c>
    </row>
    <row r="407">
      <c r="A407" s="1" t="n"/>
      <c r="B407" s="24" t="n"/>
      <c r="C407" s="25" t="n"/>
      <c r="D407" s="25" t="n"/>
      <c r="E407" s="26" t="n"/>
      <c r="F407" s="27" t="n"/>
      <c r="G407" s="28" t="n"/>
      <c r="H407" s="28" t="n"/>
      <c r="I407" s="16">
        <f>IF(OR(G407="",N(H407)=0),"",G407/H407)</f>
        <v/>
      </c>
      <c r="J407" s="20">
        <f>IF(OR(B407="",E407=""),"",IF(OR(F407="Done",G407&lt;&gt;""),"Done",IF(E407&lt;TODAY(),"Late by "&amp;(TODAY()-E407)&amp;IF((TODAY()-E407)=1," day"," days"),IF(E407=TODAY(),"Due today",IF(E407=TODAY()+1,"Due tomorrow","Due in "&amp;(E407-TODAY())&amp;IF((E407-TODAY())=1," day"," days"))))))</f>
        <v/>
      </c>
      <c r="K407" s="25" t="n"/>
      <c r="L407" s="1">
        <f>IF(G407="","",N(H407))</f>
        <v/>
      </c>
      <c r="M407">
        <f>IF(OR(B407="",E407="",OR(F407="Done",G407&lt;&gt;"")),"",E407+ROW()/10000000)</f>
        <v/>
      </c>
    </row>
    <row r="408">
      <c r="A408" s="1" t="n"/>
      <c r="B408" s="24" t="n"/>
      <c r="C408" s="25" t="n"/>
      <c r="D408" s="25" t="n"/>
      <c r="E408" s="26" t="n"/>
      <c r="F408" s="27" t="n"/>
      <c r="G408" s="28" t="n"/>
      <c r="H408" s="28" t="n"/>
      <c r="I408" s="16">
        <f>IF(OR(G408="",N(H408)=0),"",G408/H408)</f>
        <v/>
      </c>
      <c r="J408" s="20">
        <f>IF(OR(B408="",E408=""),"",IF(OR(F408="Done",G408&lt;&gt;""),"Done",IF(E408&lt;TODAY(),"Late by "&amp;(TODAY()-E408)&amp;IF((TODAY()-E408)=1," day"," days"),IF(E408=TODAY(),"Due today",IF(E408=TODAY()+1,"Due tomorrow","Due in "&amp;(E408-TODAY())&amp;IF((E408-TODAY())=1," day"," days"))))))</f>
        <v/>
      </c>
      <c r="K408" s="25" t="n"/>
      <c r="L408" s="1">
        <f>IF(G408="","",N(H408))</f>
        <v/>
      </c>
      <c r="M408">
        <f>IF(OR(B408="",E408="",OR(F408="Done",G408&lt;&gt;"")),"",E408+ROW()/10000000)</f>
        <v/>
      </c>
    </row>
    <row r="409">
      <c r="A409" s="1" t="n"/>
      <c r="B409" s="24" t="n"/>
      <c r="C409" s="25" t="n"/>
      <c r="D409" s="25" t="n"/>
      <c r="E409" s="26" t="n"/>
      <c r="F409" s="27" t="n"/>
      <c r="G409" s="28" t="n"/>
      <c r="H409" s="28" t="n"/>
      <c r="I409" s="16">
        <f>IF(OR(G409="",N(H409)=0),"",G409/H409)</f>
        <v/>
      </c>
      <c r="J409" s="20">
        <f>IF(OR(B409="",E409=""),"",IF(OR(F409="Done",G409&lt;&gt;""),"Done",IF(E409&lt;TODAY(),"Late by "&amp;(TODAY()-E409)&amp;IF((TODAY()-E409)=1," day"," days"),IF(E409=TODAY(),"Due today",IF(E409=TODAY()+1,"Due tomorrow","Due in "&amp;(E409-TODAY())&amp;IF((E409-TODAY())=1," day"," days"))))))</f>
        <v/>
      </c>
      <c r="K409" s="25" t="n"/>
      <c r="L409" s="1">
        <f>IF(G409="","",N(H409))</f>
        <v/>
      </c>
      <c r="M409">
        <f>IF(OR(B409="",E409="",OR(F409="Done",G409&lt;&gt;"")),"",E409+ROW()/10000000)</f>
        <v/>
      </c>
    </row>
    <row r="410">
      <c r="A410" s="1" t="n"/>
      <c r="B410" s="24" t="n"/>
      <c r="C410" s="25" t="n"/>
      <c r="D410" s="25" t="n"/>
      <c r="E410" s="26" t="n"/>
      <c r="F410" s="27" t="n"/>
      <c r="G410" s="28" t="n"/>
      <c r="H410" s="28" t="n"/>
      <c r="I410" s="16">
        <f>IF(OR(G410="",N(H410)=0),"",G410/H410)</f>
        <v/>
      </c>
      <c r="J410" s="20">
        <f>IF(OR(B410="",E410=""),"",IF(OR(F410="Done",G410&lt;&gt;""),"Done",IF(E410&lt;TODAY(),"Late by "&amp;(TODAY()-E410)&amp;IF((TODAY()-E410)=1," day"," days"),IF(E410=TODAY(),"Due today",IF(E410=TODAY()+1,"Due tomorrow","Due in "&amp;(E410-TODAY())&amp;IF((E410-TODAY())=1," day"," days"))))))</f>
        <v/>
      </c>
      <c r="K410" s="25" t="n"/>
      <c r="L410" s="1">
        <f>IF(G410="","",N(H410))</f>
        <v/>
      </c>
      <c r="M410">
        <f>IF(OR(B410="",E410="",OR(F410="Done",G410&lt;&gt;"")),"",E410+ROW()/10000000)</f>
        <v/>
      </c>
    </row>
    <row r="411">
      <c r="A411" s="1" t="n"/>
      <c r="B411" s="24" t="n"/>
      <c r="C411" s="25" t="n"/>
      <c r="D411" s="25" t="n"/>
      <c r="E411" s="26" t="n"/>
      <c r="F411" s="27" t="n"/>
      <c r="G411" s="28" t="n"/>
      <c r="H411" s="28" t="n"/>
      <c r="I411" s="16">
        <f>IF(OR(G411="",N(H411)=0),"",G411/H411)</f>
        <v/>
      </c>
      <c r="J411" s="20">
        <f>IF(OR(B411="",E411=""),"",IF(OR(F411="Done",G411&lt;&gt;""),"Done",IF(E411&lt;TODAY(),"Late by "&amp;(TODAY()-E411)&amp;IF((TODAY()-E411)=1," day"," days"),IF(E411=TODAY(),"Due today",IF(E411=TODAY()+1,"Due tomorrow","Due in "&amp;(E411-TODAY())&amp;IF((E411-TODAY())=1," day"," days"))))))</f>
        <v/>
      </c>
      <c r="K411" s="25" t="n"/>
      <c r="L411" s="1">
        <f>IF(G411="","",N(H411))</f>
        <v/>
      </c>
      <c r="M411">
        <f>IF(OR(B411="",E411="",OR(F411="Done",G411&lt;&gt;"")),"",E411+ROW()/10000000)</f>
        <v/>
      </c>
    </row>
    <row r="412">
      <c r="A412" s="1" t="n"/>
      <c r="B412" s="24" t="n"/>
      <c r="C412" s="25" t="n"/>
      <c r="D412" s="25" t="n"/>
      <c r="E412" s="26" t="n"/>
      <c r="F412" s="27" t="n"/>
      <c r="G412" s="28" t="n"/>
      <c r="H412" s="28" t="n"/>
      <c r="I412" s="16">
        <f>IF(OR(G412="",N(H412)=0),"",G412/H412)</f>
        <v/>
      </c>
      <c r="J412" s="20">
        <f>IF(OR(B412="",E412=""),"",IF(OR(F412="Done",G412&lt;&gt;""),"Done",IF(E412&lt;TODAY(),"Late by "&amp;(TODAY()-E412)&amp;IF((TODAY()-E412)=1," day"," days"),IF(E412=TODAY(),"Due today",IF(E412=TODAY()+1,"Due tomorrow","Due in "&amp;(E412-TODAY())&amp;IF((E412-TODAY())=1," day"," days"))))))</f>
        <v/>
      </c>
      <c r="K412" s="25" t="n"/>
      <c r="L412" s="1">
        <f>IF(G412="","",N(H412))</f>
        <v/>
      </c>
      <c r="M412">
        <f>IF(OR(B412="",E412="",OR(F412="Done",G412&lt;&gt;"")),"",E412+ROW()/10000000)</f>
        <v/>
      </c>
    </row>
    <row r="413">
      <c r="A413" s="1" t="n"/>
      <c r="B413" s="24" t="n"/>
      <c r="C413" s="25" t="n"/>
      <c r="D413" s="25" t="n"/>
      <c r="E413" s="26" t="n"/>
      <c r="F413" s="27" t="n"/>
      <c r="G413" s="28" t="n"/>
      <c r="H413" s="28" t="n"/>
      <c r="I413" s="16">
        <f>IF(OR(G413="",N(H413)=0),"",G413/H413)</f>
        <v/>
      </c>
      <c r="J413" s="20">
        <f>IF(OR(B413="",E413=""),"",IF(OR(F413="Done",G413&lt;&gt;""),"Done",IF(E413&lt;TODAY(),"Late by "&amp;(TODAY()-E413)&amp;IF((TODAY()-E413)=1," day"," days"),IF(E413=TODAY(),"Due today",IF(E413=TODAY()+1,"Due tomorrow","Due in "&amp;(E413-TODAY())&amp;IF((E413-TODAY())=1," day"," days"))))))</f>
        <v/>
      </c>
      <c r="K413" s="25" t="n"/>
      <c r="L413" s="1">
        <f>IF(G413="","",N(H413))</f>
        <v/>
      </c>
      <c r="M413">
        <f>IF(OR(B413="",E413="",OR(F413="Done",G413&lt;&gt;"")),"",E413+ROW()/10000000)</f>
        <v/>
      </c>
    </row>
    <row r="414">
      <c r="A414" s="1" t="n"/>
      <c r="B414" s="24" t="n"/>
      <c r="C414" s="25" t="n"/>
      <c r="D414" s="25" t="n"/>
      <c r="E414" s="26" t="n"/>
      <c r="F414" s="27" t="n"/>
      <c r="G414" s="28" t="n"/>
      <c r="H414" s="28" t="n"/>
      <c r="I414" s="16">
        <f>IF(OR(G414="",N(H414)=0),"",G414/H414)</f>
        <v/>
      </c>
      <c r="J414" s="20">
        <f>IF(OR(B414="",E414=""),"",IF(OR(F414="Done",G414&lt;&gt;""),"Done",IF(E414&lt;TODAY(),"Late by "&amp;(TODAY()-E414)&amp;IF((TODAY()-E414)=1," day"," days"),IF(E414=TODAY(),"Due today",IF(E414=TODAY()+1,"Due tomorrow","Due in "&amp;(E414-TODAY())&amp;IF((E414-TODAY())=1," day"," days"))))))</f>
        <v/>
      </c>
      <c r="K414" s="25" t="n"/>
      <c r="L414" s="1">
        <f>IF(G414="","",N(H414))</f>
        <v/>
      </c>
      <c r="M414">
        <f>IF(OR(B414="",E414="",OR(F414="Done",G414&lt;&gt;"")),"",E414+ROW()/10000000)</f>
        <v/>
      </c>
    </row>
    <row r="415">
      <c r="A415" s="1" t="n"/>
      <c r="B415" s="24" t="n"/>
      <c r="C415" s="25" t="n"/>
      <c r="D415" s="25" t="n"/>
      <c r="E415" s="26" t="n"/>
      <c r="F415" s="27" t="n"/>
      <c r="G415" s="28" t="n"/>
      <c r="H415" s="28" t="n"/>
      <c r="I415" s="16">
        <f>IF(OR(G415="",N(H415)=0),"",G415/H415)</f>
        <v/>
      </c>
      <c r="J415" s="20">
        <f>IF(OR(B415="",E415=""),"",IF(OR(F415="Done",G415&lt;&gt;""),"Done",IF(E415&lt;TODAY(),"Late by "&amp;(TODAY()-E415)&amp;IF((TODAY()-E415)=1," day"," days"),IF(E415=TODAY(),"Due today",IF(E415=TODAY()+1,"Due tomorrow","Due in "&amp;(E415-TODAY())&amp;IF((E415-TODAY())=1," day"," days"))))))</f>
        <v/>
      </c>
      <c r="K415" s="25" t="n"/>
      <c r="L415" s="1">
        <f>IF(G415="","",N(H415))</f>
        <v/>
      </c>
      <c r="M415">
        <f>IF(OR(B415="",E415="",OR(F415="Done",G415&lt;&gt;"")),"",E415+ROW()/10000000)</f>
        <v/>
      </c>
    </row>
    <row r="416">
      <c r="A416" s="1" t="n"/>
      <c r="B416" s="24" t="n"/>
      <c r="C416" s="25" t="n"/>
      <c r="D416" s="25" t="n"/>
      <c r="E416" s="26" t="n"/>
      <c r="F416" s="27" t="n"/>
      <c r="G416" s="28" t="n"/>
      <c r="H416" s="28" t="n"/>
      <c r="I416" s="16">
        <f>IF(OR(G416="",N(H416)=0),"",G416/H416)</f>
        <v/>
      </c>
      <c r="J416" s="20">
        <f>IF(OR(B416="",E416=""),"",IF(OR(F416="Done",G416&lt;&gt;""),"Done",IF(E416&lt;TODAY(),"Late by "&amp;(TODAY()-E416)&amp;IF((TODAY()-E416)=1," day"," days"),IF(E416=TODAY(),"Due today",IF(E416=TODAY()+1,"Due tomorrow","Due in "&amp;(E416-TODAY())&amp;IF((E416-TODAY())=1," day"," days"))))))</f>
        <v/>
      </c>
      <c r="K416" s="25" t="n"/>
      <c r="L416" s="1">
        <f>IF(G416="","",N(H416))</f>
        <v/>
      </c>
      <c r="M416">
        <f>IF(OR(B416="",E416="",OR(F416="Done",G416&lt;&gt;"")),"",E416+ROW()/10000000)</f>
        <v/>
      </c>
    </row>
    <row r="417">
      <c r="A417" s="1" t="n"/>
      <c r="B417" s="24" t="n"/>
      <c r="C417" s="25" t="n"/>
      <c r="D417" s="25" t="n"/>
      <c r="E417" s="26" t="n"/>
      <c r="F417" s="27" t="n"/>
      <c r="G417" s="28" t="n"/>
      <c r="H417" s="28" t="n"/>
      <c r="I417" s="16">
        <f>IF(OR(G417="",N(H417)=0),"",G417/H417)</f>
        <v/>
      </c>
      <c r="J417" s="20">
        <f>IF(OR(B417="",E417=""),"",IF(OR(F417="Done",G417&lt;&gt;""),"Done",IF(E417&lt;TODAY(),"Late by "&amp;(TODAY()-E417)&amp;IF((TODAY()-E417)=1," day"," days"),IF(E417=TODAY(),"Due today",IF(E417=TODAY()+1,"Due tomorrow","Due in "&amp;(E417-TODAY())&amp;IF((E417-TODAY())=1," day"," days"))))))</f>
        <v/>
      </c>
      <c r="K417" s="25" t="n"/>
      <c r="L417" s="1">
        <f>IF(G417="","",N(H417))</f>
        <v/>
      </c>
      <c r="M417">
        <f>IF(OR(B417="",E417="",OR(F417="Done",G417&lt;&gt;"")),"",E417+ROW()/10000000)</f>
        <v/>
      </c>
    </row>
    <row r="418">
      <c r="A418" s="1" t="n"/>
      <c r="B418" s="24" t="n"/>
      <c r="C418" s="25" t="n"/>
      <c r="D418" s="25" t="n"/>
      <c r="E418" s="26" t="n"/>
      <c r="F418" s="27" t="n"/>
      <c r="G418" s="28" t="n"/>
      <c r="H418" s="28" t="n"/>
      <c r="I418" s="16">
        <f>IF(OR(G418="",N(H418)=0),"",G418/H418)</f>
        <v/>
      </c>
      <c r="J418" s="20">
        <f>IF(OR(B418="",E418=""),"",IF(OR(F418="Done",G418&lt;&gt;""),"Done",IF(E418&lt;TODAY(),"Late by "&amp;(TODAY()-E418)&amp;IF((TODAY()-E418)=1," day"," days"),IF(E418=TODAY(),"Due today",IF(E418=TODAY()+1,"Due tomorrow","Due in "&amp;(E418-TODAY())&amp;IF((E418-TODAY())=1," day"," days"))))))</f>
        <v/>
      </c>
      <c r="K418" s="25" t="n"/>
      <c r="L418" s="1">
        <f>IF(G418="","",N(H418))</f>
        <v/>
      </c>
      <c r="M418">
        <f>IF(OR(B418="",E418="",OR(F418="Done",G418&lt;&gt;"")),"",E418+ROW()/10000000)</f>
        <v/>
      </c>
    </row>
    <row r="419">
      <c r="A419" s="1" t="n"/>
      <c r="B419" s="24" t="n"/>
      <c r="C419" s="25" t="n"/>
      <c r="D419" s="25" t="n"/>
      <c r="E419" s="26" t="n"/>
      <c r="F419" s="27" t="n"/>
      <c r="G419" s="28" t="n"/>
      <c r="H419" s="28" t="n"/>
      <c r="I419" s="16">
        <f>IF(OR(G419="",N(H419)=0),"",G419/H419)</f>
        <v/>
      </c>
      <c r="J419" s="20">
        <f>IF(OR(B419="",E419=""),"",IF(OR(F419="Done",G419&lt;&gt;""),"Done",IF(E419&lt;TODAY(),"Late by "&amp;(TODAY()-E419)&amp;IF((TODAY()-E419)=1," day"," days"),IF(E419=TODAY(),"Due today",IF(E419=TODAY()+1,"Due tomorrow","Due in "&amp;(E419-TODAY())&amp;IF((E419-TODAY())=1," day"," days"))))))</f>
        <v/>
      </c>
      <c r="K419" s="25" t="n"/>
      <c r="L419" s="1">
        <f>IF(G419="","",N(H419))</f>
        <v/>
      </c>
      <c r="M419">
        <f>IF(OR(B419="",E419="",OR(F419="Done",G419&lt;&gt;"")),"",E419+ROW()/10000000)</f>
        <v/>
      </c>
    </row>
    <row r="420">
      <c r="A420" s="1" t="n"/>
      <c r="B420" s="24" t="n"/>
      <c r="C420" s="25" t="n"/>
      <c r="D420" s="25" t="n"/>
      <c r="E420" s="26" t="n"/>
      <c r="F420" s="27" t="n"/>
      <c r="G420" s="28" t="n"/>
      <c r="H420" s="28" t="n"/>
      <c r="I420" s="16">
        <f>IF(OR(G420="",N(H420)=0),"",G420/H420)</f>
        <v/>
      </c>
      <c r="J420" s="20">
        <f>IF(OR(B420="",E420=""),"",IF(OR(F420="Done",G420&lt;&gt;""),"Done",IF(E420&lt;TODAY(),"Late by "&amp;(TODAY()-E420)&amp;IF((TODAY()-E420)=1," day"," days"),IF(E420=TODAY(),"Due today",IF(E420=TODAY()+1,"Due tomorrow","Due in "&amp;(E420-TODAY())&amp;IF((E420-TODAY())=1," day"," days"))))))</f>
        <v/>
      </c>
      <c r="K420" s="25" t="n"/>
      <c r="L420" s="1">
        <f>IF(G420="","",N(H420))</f>
        <v/>
      </c>
      <c r="M420">
        <f>IF(OR(B420="",E420="",OR(F420="Done",G420&lt;&gt;"")),"",E420+ROW()/10000000)</f>
        <v/>
      </c>
    </row>
    <row r="421">
      <c r="A421" s="1" t="n"/>
      <c r="B421" s="24" t="n"/>
      <c r="C421" s="25" t="n"/>
      <c r="D421" s="25" t="n"/>
      <c r="E421" s="26" t="n"/>
      <c r="F421" s="27" t="n"/>
      <c r="G421" s="28" t="n"/>
      <c r="H421" s="28" t="n"/>
      <c r="I421" s="16">
        <f>IF(OR(G421="",N(H421)=0),"",G421/H421)</f>
        <v/>
      </c>
      <c r="J421" s="20">
        <f>IF(OR(B421="",E421=""),"",IF(OR(F421="Done",G421&lt;&gt;""),"Done",IF(E421&lt;TODAY(),"Late by "&amp;(TODAY()-E421)&amp;IF((TODAY()-E421)=1," day"," days"),IF(E421=TODAY(),"Due today",IF(E421=TODAY()+1,"Due tomorrow","Due in "&amp;(E421-TODAY())&amp;IF((E421-TODAY())=1," day"," days"))))))</f>
        <v/>
      </c>
      <c r="K421" s="25" t="n"/>
      <c r="L421" s="1">
        <f>IF(G421="","",N(H421))</f>
        <v/>
      </c>
      <c r="M421">
        <f>IF(OR(B421="",E421="",OR(F421="Done",G421&lt;&gt;"")),"",E421+ROW()/10000000)</f>
        <v/>
      </c>
    </row>
    <row r="422">
      <c r="A422" s="1" t="n"/>
      <c r="B422" s="24" t="n"/>
      <c r="C422" s="25" t="n"/>
      <c r="D422" s="25" t="n"/>
      <c r="E422" s="26" t="n"/>
      <c r="F422" s="27" t="n"/>
      <c r="G422" s="28" t="n"/>
      <c r="H422" s="28" t="n"/>
      <c r="I422" s="16">
        <f>IF(OR(G422="",N(H422)=0),"",G422/H422)</f>
        <v/>
      </c>
      <c r="J422" s="20">
        <f>IF(OR(B422="",E422=""),"",IF(OR(F422="Done",G422&lt;&gt;""),"Done",IF(E422&lt;TODAY(),"Late by "&amp;(TODAY()-E422)&amp;IF((TODAY()-E422)=1," day"," days"),IF(E422=TODAY(),"Due today",IF(E422=TODAY()+1,"Due tomorrow","Due in "&amp;(E422-TODAY())&amp;IF((E422-TODAY())=1," day"," days"))))))</f>
        <v/>
      </c>
      <c r="K422" s="25" t="n"/>
      <c r="L422" s="1">
        <f>IF(G422="","",N(H422))</f>
        <v/>
      </c>
      <c r="M422">
        <f>IF(OR(B422="",E422="",OR(F422="Done",G422&lt;&gt;"")),"",E422+ROW()/10000000)</f>
        <v/>
      </c>
    </row>
    <row r="423">
      <c r="A423" s="1" t="n"/>
      <c r="B423" s="24" t="n"/>
      <c r="C423" s="25" t="n"/>
      <c r="D423" s="25" t="n"/>
      <c r="E423" s="26" t="n"/>
      <c r="F423" s="27" t="n"/>
      <c r="G423" s="28" t="n"/>
      <c r="H423" s="28" t="n"/>
      <c r="I423" s="16">
        <f>IF(OR(G423="",N(H423)=0),"",G423/H423)</f>
        <v/>
      </c>
      <c r="J423" s="20">
        <f>IF(OR(B423="",E423=""),"",IF(OR(F423="Done",G423&lt;&gt;""),"Done",IF(E423&lt;TODAY(),"Late by "&amp;(TODAY()-E423)&amp;IF((TODAY()-E423)=1," day"," days"),IF(E423=TODAY(),"Due today",IF(E423=TODAY()+1,"Due tomorrow","Due in "&amp;(E423-TODAY())&amp;IF((E423-TODAY())=1," day"," days"))))))</f>
        <v/>
      </c>
      <c r="K423" s="25" t="n"/>
      <c r="L423" s="1">
        <f>IF(G423="","",N(H423))</f>
        <v/>
      </c>
      <c r="M423">
        <f>IF(OR(B423="",E423="",OR(F423="Done",G423&lt;&gt;"")),"",E423+ROW()/10000000)</f>
        <v/>
      </c>
    </row>
    <row r="424">
      <c r="A424" s="1" t="n"/>
      <c r="B424" s="24" t="n"/>
      <c r="C424" s="25" t="n"/>
      <c r="D424" s="25" t="n"/>
      <c r="E424" s="26" t="n"/>
      <c r="F424" s="27" t="n"/>
      <c r="G424" s="28" t="n"/>
      <c r="H424" s="28" t="n"/>
      <c r="I424" s="16">
        <f>IF(OR(G424="",N(H424)=0),"",G424/H424)</f>
        <v/>
      </c>
      <c r="J424" s="20">
        <f>IF(OR(B424="",E424=""),"",IF(OR(F424="Done",G424&lt;&gt;""),"Done",IF(E424&lt;TODAY(),"Late by "&amp;(TODAY()-E424)&amp;IF((TODAY()-E424)=1," day"," days"),IF(E424=TODAY(),"Due today",IF(E424=TODAY()+1,"Due tomorrow","Due in "&amp;(E424-TODAY())&amp;IF((E424-TODAY())=1," day"," days"))))))</f>
        <v/>
      </c>
      <c r="K424" s="25" t="n"/>
      <c r="L424" s="1">
        <f>IF(G424="","",N(H424))</f>
        <v/>
      </c>
      <c r="M424">
        <f>IF(OR(B424="",E424="",OR(F424="Done",G424&lt;&gt;"")),"",E424+ROW()/10000000)</f>
        <v/>
      </c>
    </row>
    <row r="425">
      <c r="A425" s="1" t="n"/>
      <c r="B425" s="24" t="n"/>
      <c r="C425" s="25" t="n"/>
      <c r="D425" s="25" t="n"/>
      <c r="E425" s="26" t="n"/>
      <c r="F425" s="27" t="n"/>
      <c r="G425" s="28" t="n"/>
      <c r="H425" s="28" t="n"/>
      <c r="I425" s="16">
        <f>IF(OR(G425="",N(H425)=0),"",G425/H425)</f>
        <v/>
      </c>
      <c r="J425" s="20">
        <f>IF(OR(B425="",E425=""),"",IF(OR(F425="Done",G425&lt;&gt;""),"Done",IF(E425&lt;TODAY(),"Late by "&amp;(TODAY()-E425)&amp;IF((TODAY()-E425)=1," day"," days"),IF(E425=TODAY(),"Due today",IF(E425=TODAY()+1,"Due tomorrow","Due in "&amp;(E425-TODAY())&amp;IF((E425-TODAY())=1," day"," days"))))))</f>
        <v/>
      </c>
      <c r="K425" s="25" t="n"/>
      <c r="L425" s="1">
        <f>IF(G425="","",N(H425))</f>
        <v/>
      </c>
      <c r="M425">
        <f>IF(OR(B425="",E425="",OR(F425="Done",G425&lt;&gt;"")),"",E425+ROW()/10000000)</f>
        <v/>
      </c>
    </row>
    <row r="426">
      <c r="A426" s="1" t="n"/>
      <c r="B426" s="24" t="n"/>
      <c r="C426" s="25" t="n"/>
      <c r="D426" s="25" t="n"/>
      <c r="E426" s="26" t="n"/>
      <c r="F426" s="27" t="n"/>
      <c r="G426" s="28" t="n"/>
      <c r="H426" s="28" t="n"/>
      <c r="I426" s="16">
        <f>IF(OR(G426="",N(H426)=0),"",G426/H426)</f>
        <v/>
      </c>
      <c r="J426" s="20">
        <f>IF(OR(B426="",E426=""),"",IF(OR(F426="Done",G426&lt;&gt;""),"Done",IF(E426&lt;TODAY(),"Late by "&amp;(TODAY()-E426)&amp;IF((TODAY()-E426)=1," day"," days"),IF(E426=TODAY(),"Due today",IF(E426=TODAY()+1,"Due tomorrow","Due in "&amp;(E426-TODAY())&amp;IF((E426-TODAY())=1," day"," days"))))))</f>
        <v/>
      </c>
      <c r="K426" s="25" t="n"/>
      <c r="L426" s="1">
        <f>IF(G426="","",N(H426))</f>
        <v/>
      </c>
      <c r="M426">
        <f>IF(OR(B426="",E426="",OR(F426="Done",G426&lt;&gt;"")),"",E426+ROW()/10000000)</f>
        <v/>
      </c>
    </row>
    <row r="427">
      <c r="A427" s="1" t="n"/>
      <c r="B427" s="24" t="n"/>
      <c r="C427" s="25" t="n"/>
      <c r="D427" s="25" t="n"/>
      <c r="E427" s="26" t="n"/>
      <c r="F427" s="27" t="n"/>
      <c r="G427" s="28" t="n"/>
      <c r="H427" s="28" t="n"/>
      <c r="I427" s="16">
        <f>IF(OR(G427="",N(H427)=0),"",G427/H427)</f>
        <v/>
      </c>
      <c r="J427" s="20">
        <f>IF(OR(B427="",E427=""),"",IF(OR(F427="Done",G427&lt;&gt;""),"Done",IF(E427&lt;TODAY(),"Late by "&amp;(TODAY()-E427)&amp;IF((TODAY()-E427)=1," day"," days"),IF(E427=TODAY(),"Due today",IF(E427=TODAY()+1,"Due tomorrow","Due in "&amp;(E427-TODAY())&amp;IF((E427-TODAY())=1," day"," days"))))))</f>
        <v/>
      </c>
      <c r="K427" s="25" t="n"/>
      <c r="L427" s="1">
        <f>IF(G427="","",N(H427))</f>
        <v/>
      </c>
      <c r="M427">
        <f>IF(OR(B427="",E427="",OR(F427="Done",G427&lt;&gt;"")),"",E427+ROW()/10000000)</f>
        <v/>
      </c>
    </row>
    <row r="428">
      <c r="A428" s="1" t="n"/>
      <c r="B428" s="24" t="n"/>
      <c r="C428" s="25" t="n"/>
      <c r="D428" s="25" t="n"/>
      <c r="E428" s="26" t="n"/>
      <c r="F428" s="27" t="n"/>
      <c r="G428" s="28" t="n"/>
      <c r="H428" s="28" t="n"/>
      <c r="I428" s="16">
        <f>IF(OR(G428="",N(H428)=0),"",G428/H428)</f>
        <v/>
      </c>
      <c r="J428" s="20">
        <f>IF(OR(B428="",E428=""),"",IF(OR(F428="Done",G428&lt;&gt;""),"Done",IF(E428&lt;TODAY(),"Late by "&amp;(TODAY()-E428)&amp;IF((TODAY()-E428)=1," day"," days"),IF(E428=TODAY(),"Due today",IF(E428=TODAY()+1,"Due tomorrow","Due in "&amp;(E428-TODAY())&amp;IF((E428-TODAY())=1," day"," days"))))))</f>
        <v/>
      </c>
      <c r="K428" s="25" t="n"/>
      <c r="L428" s="1">
        <f>IF(G428="","",N(H428))</f>
        <v/>
      </c>
      <c r="M428">
        <f>IF(OR(B428="",E428="",OR(F428="Done",G428&lt;&gt;"")),"",E428+ROW()/10000000)</f>
        <v/>
      </c>
    </row>
    <row r="429">
      <c r="A429" s="1" t="n"/>
      <c r="B429" s="24" t="n"/>
      <c r="C429" s="25" t="n"/>
      <c r="D429" s="25" t="n"/>
      <c r="E429" s="26" t="n"/>
      <c r="F429" s="27" t="n"/>
      <c r="G429" s="28" t="n"/>
      <c r="H429" s="28" t="n"/>
      <c r="I429" s="16">
        <f>IF(OR(G429="",N(H429)=0),"",G429/H429)</f>
        <v/>
      </c>
      <c r="J429" s="20">
        <f>IF(OR(B429="",E429=""),"",IF(OR(F429="Done",G429&lt;&gt;""),"Done",IF(E429&lt;TODAY(),"Late by "&amp;(TODAY()-E429)&amp;IF((TODAY()-E429)=1," day"," days"),IF(E429=TODAY(),"Due today",IF(E429=TODAY()+1,"Due tomorrow","Due in "&amp;(E429-TODAY())&amp;IF((E429-TODAY())=1," day"," days"))))))</f>
        <v/>
      </c>
      <c r="K429" s="25" t="n"/>
      <c r="L429" s="1">
        <f>IF(G429="","",N(H429))</f>
        <v/>
      </c>
      <c r="M429">
        <f>IF(OR(B429="",E429="",OR(F429="Done",G429&lt;&gt;"")),"",E429+ROW()/10000000)</f>
        <v/>
      </c>
    </row>
    <row r="430">
      <c r="A430" s="1" t="n"/>
      <c r="B430" s="24" t="n"/>
      <c r="C430" s="25" t="n"/>
      <c r="D430" s="25" t="n"/>
      <c r="E430" s="26" t="n"/>
      <c r="F430" s="27" t="n"/>
      <c r="G430" s="28" t="n"/>
      <c r="H430" s="28" t="n"/>
      <c r="I430" s="16">
        <f>IF(OR(G430="",N(H430)=0),"",G430/H430)</f>
        <v/>
      </c>
      <c r="J430" s="20">
        <f>IF(OR(B430="",E430=""),"",IF(OR(F430="Done",G430&lt;&gt;""),"Done",IF(E430&lt;TODAY(),"Late by "&amp;(TODAY()-E430)&amp;IF((TODAY()-E430)=1," day"," days"),IF(E430=TODAY(),"Due today",IF(E430=TODAY()+1,"Due tomorrow","Due in "&amp;(E430-TODAY())&amp;IF((E430-TODAY())=1," day"," days"))))))</f>
        <v/>
      </c>
      <c r="K430" s="25" t="n"/>
      <c r="L430" s="1">
        <f>IF(G430="","",N(H430))</f>
        <v/>
      </c>
      <c r="M430">
        <f>IF(OR(B430="",E430="",OR(F430="Done",G430&lt;&gt;"")),"",E430+ROW()/10000000)</f>
        <v/>
      </c>
    </row>
    <row r="431">
      <c r="A431" s="1" t="n"/>
      <c r="B431" s="24" t="n"/>
      <c r="C431" s="25" t="n"/>
      <c r="D431" s="25" t="n"/>
      <c r="E431" s="26" t="n"/>
      <c r="F431" s="27" t="n"/>
      <c r="G431" s="28" t="n"/>
      <c r="H431" s="28" t="n"/>
      <c r="I431" s="16">
        <f>IF(OR(G431="",N(H431)=0),"",G431/H431)</f>
        <v/>
      </c>
      <c r="J431" s="20">
        <f>IF(OR(B431="",E431=""),"",IF(OR(F431="Done",G431&lt;&gt;""),"Done",IF(E431&lt;TODAY(),"Late by "&amp;(TODAY()-E431)&amp;IF((TODAY()-E431)=1," day"," days"),IF(E431=TODAY(),"Due today",IF(E431=TODAY()+1,"Due tomorrow","Due in "&amp;(E431-TODAY())&amp;IF((E431-TODAY())=1," day"," days"))))))</f>
        <v/>
      </c>
      <c r="K431" s="25" t="n"/>
      <c r="L431" s="1">
        <f>IF(G431="","",N(H431))</f>
        <v/>
      </c>
      <c r="M431">
        <f>IF(OR(B431="",E431="",OR(F431="Done",G431&lt;&gt;"")),"",E431+ROW()/10000000)</f>
        <v/>
      </c>
    </row>
    <row r="432">
      <c r="A432" s="1" t="n"/>
      <c r="B432" s="24" t="n"/>
      <c r="C432" s="25" t="n"/>
      <c r="D432" s="25" t="n"/>
      <c r="E432" s="26" t="n"/>
      <c r="F432" s="27" t="n"/>
      <c r="G432" s="28" t="n"/>
      <c r="H432" s="28" t="n"/>
      <c r="I432" s="16">
        <f>IF(OR(G432="",N(H432)=0),"",G432/H432)</f>
        <v/>
      </c>
      <c r="J432" s="20">
        <f>IF(OR(B432="",E432=""),"",IF(OR(F432="Done",G432&lt;&gt;""),"Done",IF(E432&lt;TODAY(),"Late by "&amp;(TODAY()-E432)&amp;IF((TODAY()-E432)=1," day"," days"),IF(E432=TODAY(),"Due today",IF(E432=TODAY()+1,"Due tomorrow","Due in "&amp;(E432-TODAY())&amp;IF((E432-TODAY())=1," day"," days"))))))</f>
        <v/>
      </c>
      <c r="K432" s="25" t="n"/>
      <c r="L432" s="1">
        <f>IF(G432="","",N(H432))</f>
        <v/>
      </c>
      <c r="M432">
        <f>IF(OR(B432="",E432="",OR(F432="Done",G432&lt;&gt;"")),"",E432+ROW()/10000000)</f>
        <v/>
      </c>
    </row>
    <row r="433">
      <c r="A433" s="1" t="n"/>
      <c r="B433" s="24" t="n"/>
      <c r="C433" s="25" t="n"/>
      <c r="D433" s="25" t="n"/>
      <c r="E433" s="26" t="n"/>
      <c r="F433" s="27" t="n"/>
      <c r="G433" s="28" t="n"/>
      <c r="H433" s="28" t="n"/>
      <c r="I433" s="16">
        <f>IF(OR(G433="",N(H433)=0),"",G433/H433)</f>
        <v/>
      </c>
      <c r="J433" s="20">
        <f>IF(OR(B433="",E433=""),"",IF(OR(F433="Done",G433&lt;&gt;""),"Done",IF(E433&lt;TODAY(),"Late by "&amp;(TODAY()-E433)&amp;IF((TODAY()-E433)=1," day"," days"),IF(E433=TODAY(),"Due today",IF(E433=TODAY()+1,"Due tomorrow","Due in "&amp;(E433-TODAY())&amp;IF((E433-TODAY())=1," day"," days"))))))</f>
        <v/>
      </c>
      <c r="K433" s="25" t="n"/>
      <c r="L433" s="1">
        <f>IF(G433="","",N(H433))</f>
        <v/>
      </c>
      <c r="M433">
        <f>IF(OR(B433="",E433="",OR(F433="Done",G433&lt;&gt;"")),"",E433+ROW()/10000000)</f>
        <v/>
      </c>
    </row>
    <row r="434">
      <c r="A434" s="1" t="n"/>
      <c r="B434" s="24" t="n"/>
      <c r="C434" s="25" t="n"/>
      <c r="D434" s="25" t="n"/>
      <c r="E434" s="26" t="n"/>
      <c r="F434" s="27" t="n"/>
      <c r="G434" s="28" t="n"/>
      <c r="H434" s="28" t="n"/>
      <c r="I434" s="16">
        <f>IF(OR(G434="",N(H434)=0),"",G434/H434)</f>
        <v/>
      </c>
      <c r="J434" s="20">
        <f>IF(OR(B434="",E434=""),"",IF(OR(F434="Done",G434&lt;&gt;""),"Done",IF(E434&lt;TODAY(),"Late by "&amp;(TODAY()-E434)&amp;IF((TODAY()-E434)=1," day"," days"),IF(E434=TODAY(),"Due today",IF(E434=TODAY()+1,"Due tomorrow","Due in "&amp;(E434-TODAY())&amp;IF((E434-TODAY())=1," day"," days"))))))</f>
        <v/>
      </c>
      <c r="K434" s="25" t="n"/>
      <c r="L434" s="1">
        <f>IF(G434="","",N(H434))</f>
        <v/>
      </c>
      <c r="M434">
        <f>IF(OR(B434="",E434="",OR(F434="Done",G434&lt;&gt;"")),"",E434+ROW()/10000000)</f>
        <v/>
      </c>
    </row>
    <row r="435">
      <c r="A435" s="1" t="n"/>
      <c r="B435" s="24" t="n"/>
      <c r="C435" s="25" t="n"/>
      <c r="D435" s="25" t="n"/>
      <c r="E435" s="26" t="n"/>
      <c r="F435" s="27" t="n"/>
      <c r="G435" s="28" t="n"/>
      <c r="H435" s="28" t="n"/>
      <c r="I435" s="16">
        <f>IF(OR(G435="",N(H435)=0),"",G435/H435)</f>
        <v/>
      </c>
      <c r="J435" s="20">
        <f>IF(OR(B435="",E435=""),"",IF(OR(F435="Done",G435&lt;&gt;""),"Done",IF(E435&lt;TODAY(),"Late by "&amp;(TODAY()-E435)&amp;IF((TODAY()-E435)=1," day"," days"),IF(E435=TODAY(),"Due today",IF(E435=TODAY()+1,"Due tomorrow","Due in "&amp;(E435-TODAY())&amp;IF((E435-TODAY())=1," day"," days"))))))</f>
        <v/>
      </c>
      <c r="K435" s="25" t="n"/>
      <c r="L435" s="1">
        <f>IF(G435="","",N(H435))</f>
        <v/>
      </c>
      <c r="M435">
        <f>IF(OR(B435="",E435="",OR(F435="Done",G435&lt;&gt;"")),"",E435+ROW()/10000000)</f>
        <v/>
      </c>
    </row>
    <row r="436">
      <c r="A436" s="1" t="n"/>
      <c r="B436" s="24" t="n"/>
      <c r="C436" s="25" t="n"/>
      <c r="D436" s="25" t="n"/>
      <c r="E436" s="26" t="n"/>
      <c r="F436" s="27" t="n"/>
      <c r="G436" s="28" t="n"/>
      <c r="H436" s="28" t="n"/>
      <c r="I436" s="16">
        <f>IF(OR(G436="",N(H436)=0),"",G436/H436)</f>
        <v/>
      </c>
      <c r="J436" s="20">
        <f>IF(OR(B436="",E436=""),"",IF(OR(F436="Done",G436&lt;&gt;""),"Done",IF(E436&lt;TODAY(),"Late by "&amp;(TODAY()-E436)&amp;IF((TODAY()-E436)=1," day"," days"),IF(E436=TODAY(),"Due today",IF(E436=TODAY()+1,"Due tomorrow","Due in "&amp;(E436-TODAY())&amp;IF((E436-TODAY())=1," day"," days"))))))</f>
        <v/>
      </c>
      <c r="K436" s="25" t="n"/>
      <c r="L436" s="1">
        <f>IF(G436="","",N(H436))</f>
        <v/>
      </c>
      <c r="M436">
        <f>IF(OR(B436="",E436="",OR(F436="Done",G436&lt;&gt;"")),"",E436+ROW()/10000000)</f>
        <v/>
      </c>
    </row>
    <row r="437">
      <c r="A437" s="1" t="n"/>
      <c r="B437" s="24" t="n"/>
      <c r="C437" s="25" t="n"/>
      <c r="D437" s="25" t="n"/>
      <c r="E437" s="26" t="n"/>
      <c r="F437" s="27" t="n"/>
      <c r="G437" s="28" t="n"/>
      <c r="H437" s="28" t="n"/>
      <c r="I437" s="16">
        <f>IF(OR(G437="",N(H437)=0),"",G437/H437)</f>
        <v/>
      </c>
      <c r="J437" s="20">
        <f>IF(OR(B437="",E437=""),"",IF(OR(F437="Done",G437&lt;&gt;""),"Done",IF(E437&lt;TODAY(),"Late by "&amp;(TODAY()-E437)&amp;IF((TODAY()-E437)=1," day"," days"),IF(E437=TODAY(),"Due today",IF(E437=TODAY()+1,"Due tomorrow","Due in "&amp;(E437-TODAY())&amp;IF((E437-TODAY())=1," day"," days"))))))</f>
        <v/>
      </c>
      <c r="K437" s="25" t="n"/>
      <c r="L437" s="1">
        <f>IF(G437="","",N(H437))</f>
        <v/>
      </c>
      <c r="M437">
        <f>IF(OR(B437="",E437="",OR(F437="Done",G437&lt;&gt;"")),"",E437+ROW()/10000000)</f>
        <v/>
      </c>
    </row>
    <row r="438">
      <c r="A438" s="1" t="n"/>
      <c r="B438" s="24" t="n"/>
      <c r="C438" s="25" t="n"/>
      <c r="D438" s="25" t="n"/>
      <c r="E438" s="26" t="n"/>
      <c r="F438" s="27" t="n"/>
      <c r="G438" s="28" t="n"/>
      <c r="H438" s="28" t="n"/>
      <c r="I438" s="16">
        <f>IF(OR(G438="",N(H438)=0),"",G438/H438)</f>
        <v/>
      </c>
      <c r="J438" s="20">
        <f>IF(OR(B438="",E438=""),"",IF(OR(F438="Done",G438&lt;&gt;""),"Done",IF(E438&lt;TODAY(),"Late by "&amp;(TODAY()-E438)&amp;IF((TODAY()-E438)=1," day"," days"),IF(E438=TODAY(),"Due today",IF(E438=TODAY()+1,"Due tomorrow","Due in "&amp;(E438-TODAY())&amp;IF((E438-TODAY())=1," day"," days"))))))</f>
        <v/>
      </c>
      <c r="K438" s="25" t="n"/>
      <c r="L438" s="1">
        <f>IF(G438="","",N(H438))</f>
        <v/>
      </c>
      <c r="M438">
        <f>IF(OR(B438="",E438="",OR(F438="Done",G438&lt;&gt;"")),"",E438+ROW()/10000000)</f>
        <v/>
      </c>
    </row>
    <row r="439">
      <c r="A439" s="1" t="n"/>
      <c r="B439" s="24" t="n"/>
      <c r="C439" s="25" t="n"/>
      <c r="D439" s="25" t="n"/>
      <c r="E439" s="26" t="n"/>
      <c r="F439" s="27" t="n"/>
      <c r="G439" s="28" t="n"/>
      <c r="H439" s="28" t="n"/>
      <c r="I439" s="16">
        <f>IF(OR(G439="",N(H439)=0),"",G439/H439)</f>
        <v/>
      </c>
      <c r="J439" s="20">
        <f>IF(OR(B439="",E439=""),"",IF(OR(F439="Done",G439&lt;&gt;""),"Done",IF(E439&lt;TODAY(),"Late by "&amp;(TODAY()-E439)&amp;IF((TODAY()-E439)=1," day"," days"),IF(E439=TODAY(),"Due today",IF(E439=TODAY()+1,"Due tomorrow","Due in "&amp;(E439-TODAY())&amp;IF((E439-TODAY())=1," day"," days"))))))</f>
        <v/>
      </c>
      <c r="K439" s="25" t="n"/>
      <c r="L439" s="1">
        <f>IF(G439="","",N(H439))</f>
        <v/>
      </c>
      <c r="M439">
        <f>IF(OR(B439="",E439="",OR(F439="Done",G439&lt;&gt;"")),"",E439+ROW()/10000000)</f>
        <v/>
      </c>
    </row>
    <row r="440">
      <c r="A440" s="1" t="n"/>
      <c r="B440" s="24" t="n"/>
      <c r="C440" s="25" t="n"/>
      <c r="D440" s="25" t="n"/>
      <c r="E440" s="26" t="n"/>
      <c r="F440" s="27" t="n"/>
      <c r="G440" s="28" t="n"/>
      <c r="H440" s="28" t="n"/>
      <c r="I440" s="16">
        <f>IF(OR(G440="",N(H440)=0),"",G440/H440)</f>
        <v/>
      </c>
      <c r="J440" s="20">
        <f>IF(OR(B440="",E440=""),"",IF(OR(F440="Done",G440&lt;&gt;""),"Done",IF(E440&lt;TODAY(),"Late by "&amp;(TODAY()-E440)&amp;IF((TODAY()-E440)=1," day"," days"),IF(E440=TODAY(),"Due today",IF(E440=TODAY()+1,"Due tomorrow","Due in "&amp;(E440-TODAY())&amp;IF((E440-TODAY())=1," day"," days"))))))</f>
        <v/>
      </c>
      <c r="K440" s="25" t="n"/>
      <c r="L440" s="1">
        <f>IF(G440="","",N(H440))</f>
        <v/>
      </c>
      <c r="M440">
        <f>IF(OR(B440="",E440="",OR(F440="Done",G440&lt;&gt;"")),"",E440+ROW()/10000000)</f>
        <v/>
      </c>
    </row>
    <row r="441">
      <c r="A441" s="1" t="n"/>
      <c r="B441" s="24" t="n"/>
      <c r="C441" s="25" t="n"/>
      <c r="D441" s="25" t="n"/>
      <c r="E441" s="26" t="n"/>
      <c r="F441" s="27" t="n"/>
      <c r="G441" s="28" t="n"/>
      <c r="H441" s="28" t="n"/>
      <c r="I441" s="16">
        <f>IF(OR(G441="",N(H441)=0),"",G441/H441)</f>
        <v/>
      </c>
      <c r="J441" s="20">
        <f>IF(OR(B441="",E441=""),"",IF(OR(F441="Done",G441&lt;&gt;""),"Done",IF(E441&lt;TODAY(),"Late by "&amp;(TODAY()-E441)&amp;IF((TODAY()-E441)=1," day"," days"),IF(E441=TODAY(),"Due today",IF(E441=TODAY()+1,"Due tomorrow","Due in "&amp;(E441-TODAY())&amp;IF((E441-TODAY())=1," day"," days"))))))</f>
        <v/>
      </c>
      <c r="K441" s="25" t="n"/>
      <c r="L441" s="1">
        <f>IF(G441="","",N(H441))</f>
        <v/>
      </c>
      <c r="M441">
        <f>IF(OR(B441="",E441="",OR(F441="Done",G441&lt;&gt;"")),"",E441+ROW()/10000000)</f>
        <v/>
      </c>
    </row>
    <row r="442">
      <c r="A442" s="1" t="n"/>
      <c r="B442" s="24" t="n"/>
      <c r="C442" s="25" t="n"/>
      <c r="D442" s="25" t="n"/>
      <c r="E442" s="26" t="n"/>
      <c r="F442" s="27" t="n"/>
      <c r="G442" s="28" t="n"/>
      <c r="H442" s="28" t="n"/>
      <c r="I442" s="16">
        <f>IF(OR(G442="",N(H442)=0),"",G442/H442)</f>
        <v/>
      </c>
      <c r="J442" s="20">
        <f>IF(OR(B442="",E442=""),"",IF(OR(F442="Done",G442&lt;&gt;""),"Done",IF(E442&lt;TODAY(),"Late by "&amp;(TODAY()-E442)&amp;IF((TODAY()-E442)=1," day"," days"),IF(E442=TODAY(),"Due today",IF(E442=TODAY()+1,"Due tomorrow","Due in "&amp;(E442-TODAY())&amp;IF((E442-TODAY())=1," day"," days"))))))</f>
        <v/>
      </c>
      <c r="K442" s="25" t="n"/>
      <c r="L442" s="1">
        <f>IF(G442="","",N(H442))</f>
        <v/>
      </c>
      <c r="M442">
        <f>IF(OR(B442="",E442="",OR(F442="Done",G442&lt;&gt;"")),"",E442+ROW()/10000000)</f>
        <v/>
      </c>
    </row>
    <row r="443">
      <c r="A443" s="1" t="n"/>
      <c r="B443" s="24" t="n"/>
      <c r="C443" s="25" t="n"/>
      <c r="D443" s="25" t="n"/>
      <c r="E443" s="26" t="n"/>
      <c r="F443" s="27" t="n"/>
      <c r="G443" s="28" t="n"/>
      <c r="H443" s="28" t="n"/>
      <c r="I443" s="16">
        <f>IF(OR(G443="",N(H443)=0),"",G443/H443)</f>
        <v/>
      </c>
      <c r="J443" s="20">
        <f>IF(OR(B443="",E443=""),"",IF(OR(F443="Done",G443&lt;&gt;""),"Done",IF(E443&lt;TODAY(),"Late by "&amp;(TODAY()-E443)&amp;IF((TODAY()-E443)=1," day"," days"),IF(E443=TODAY(),"Due today",IF(E443=TODAY()+1,"Due tomorrow","Due in "&amp;(E443-TODAY())&amp;IF((E443-TODAY())=1," day"," days"))))))</f>
        <v/>
      </c>
      <c r="K443" s="25" t="n"/>
      <c r="L443" s="1">
        <f>IF(G443="","",N(H443))</f>
        <v/>
      </c>
      <c r="M443">
        <f>IF(OR(B443="",E443="",OR(F443="Done",G443&lt;&gt;"")),"",E443+ROW()/10000000)</f>
        <v/>
      </c>
    </row>
    <row r="444">
      <c r="A444" s="1" t="n"/>
      <c r="B444" s="24" t="n"/>
      <c r="C444" s="25" t="n"/>
      <c r="D444" s="25" t="n"/>
      <c r="E444" s="26" t="n"/>
      <c r="F444" s="27" t="n"/>
      <c r="G444" s="28" t="n"/>
      <c r="H444" s="28" t="n"/>
      <c r="I444" s="16">
        <f>IF(OR(G444="",N(H444)=0),"",G444/H444)</f>
        <v/>
      </c>
      <c r="J444" s="20">
        <f>IF(OR(B444="",E444=""),"",IF(OR(F444="Done",G444&lt;&gt;""),"Done",IF(E444&lt;TODAY(),"Late by "&amp;(TODAY()-E444)&amp;IF((TODAY()-E444)=1," day"," days"),IF(E444=TODAY(),"Due today",IF(E444=TODAY()+1,"Due tomorrow","Due in "&amp;(E444-TODAY())&amp;IF((E444-TODAY())=1," day"," days"))))))</f>
        <v/>
      </c>
      <c r="K444" s="25" t="n"/>
      <c r="L444" s="1">
        <f>IF(G444="","",N(H444))</f>
        <v/>
      </c>
      <c r="M444">
        <f>IF(OR(B444="",E444="",OR(F444="Done",G444&lt;&gt;"")),"",E444+ROW()/10000000)</f>
        <v/>
      </c>
    </row>
    <row r="445">
      <c r="A445" s="1" t="n"/>
      <c r="B445" s="24" t="n"/>
      <c r="C445" s="25" t="n"/>
      <c r="D445" s="25" t="n"/>
      <c r="E445" s="26" t="n"/>
      <c r="F445" s="27" t="n"/>
      <c r="G445" s="28" t="n"/>
      <c r="H445" s="28" t="n"/>
      <c r="I445" s="16">
        <f>IF(OR(G445="",N(H445)=0),"",G445/H445)</f>
        <v/>
      </c>
      <c r="J445" s="20">
        <f>IF(OR(B445="",E445=""),"",IF(OR(F445="Done",G445&lt;&gt;""),"Done",IF(E445&lt;TODAY(),"Late by "&amp;(TODAY()-E445)&amp;IF((TODAY()-E445)=1," day"," days"),IF(E445=TODAY(),"Due today",IF(E445=TODAY()+1,"Due tomorrow","Due in "&amp;(E445-TODAY())&amp;IF((E445-TODAY())=1," day"," days"))))))</f>
        <v/>
      </c>
      <c r="K445" s="25" t="n"/>
      <c r="L445" s="1">
        <f>IF(G445="","",N(H445))</f>
        <v/>
      </c>
      <c r="M445">
        <f>IF(OR(B445="",E445="",OR(F445="Done",G445&lt;&gt;"")),"",E445+ROW()/10000000)</f>
        <v/>
      </c>
    </row>
    <row r="446">
      <c r="A446" s="1" t="n"/>
      <c r="B446" s="24" t="n"/>
      <c r="C446" s="25" t="n"/>
      <c r="D446" s="25" t="n"/>
      <c r="E446" s="26" t="n"/>
      <c r="F446" s="27" t="n"/>
      <c r="G446" s="28" t="n"/>
      <c r="H446" s="28" t="n"/>
      <c r="I446" s="16">
        <f>IF(OR(G446="",N(H446)=0),"",G446/H446)</f>
        <v/>
      </c>
      <c r="J446" s="20">
        <f>IF(OR(B446="",E446=""),"",IF(OR(F446="Done",G446&lt;&gt;""),"Done",IF(E446&lt;TODAY(),"Late by "&amp;(TODAY()-E446)&amp;IF((TODAY()-E446)=1," day"," days"),IF(E446=TODAY(),"Due today",IF(E446=TODAY()+1,"Due tomorrow","Due in "&amp;(E446-TODAY())&amp;IF((E446-TODAY())=1," day"," days"))))))</f>
        <v/>
      </c>
      <c r="K446" s="25" t="n"/>
      <c r="L446" s="1">
        <f>IF(G446="","",N(H446))</f>
        <v/>
      </c>
      <c r="M446">
        <f>IF(OR(B446="",E446="",OR(F446="Done",G446&lt;&gt;"")),"",E446+ROW()/10000000)</f>
        <v/>
      </c>
    </row>
    <row r="447">
      <c r="A447" s="1" t="n"/>
      <c r="B447" s="24" t="n"/>
      <c r="C447" s="25" t="n"/>
      <c r="D447" s="25" t="n"/>
      <c r="E447" s="26" t="n"/>
      <c r="F447" s="27" t="n"/>
      <c r="G447" s="28" t="n"/>
      <c r="H447" s="28" t="n"/>
      <c r="I447" s="16">
        <f>IF(OR(G447="",N(H447)=0),"",G447/H447)</f>
        <v/>
      </c>
      <c r="J447" s="20">
        <f>IF(OR(B447="",E447=""),"",IF(OR(F447="Done",G447&lt;&gt;""),"Done",IF(E447&lt;TODAY(),"Late by "&amp;(TODAY()-E447)&amp;IF((TODAY()-E447)=1," day"," days"),IF(E447=TODAY(),"Due today",IF(E447=TODAY()+1,"Due tomorrow","Due in "&amp;(E447-TODAY())&amp;IF((E447-TODAY())=1," day"," days"))))))</f>
        <v/>
      </c>
      <c r="K447" s="25" t="n"/>
      <c r="L447" s="1">
        <f>IF(G447="","",N(H447))</f>
        <v/>
      </c>
      <c r="M447">
        <f>IF(OR(B447="",E447="",OR(F447="Done",G447&lt;&gt;"")),"",E447+ROW()/10000000)</f>
        <v/>
      </c>
    </row>
    <row r="448">
      <c r="A448" s="1" t="n"/>
      <c r="B448" s="24" t="n"/>
      <c r="C448" s="25" t="n"/>
      <c r="D448" s="25" t="n"/>
      <c r="E448" s="26" t="n"/>
      <c r="F448" s="27" t="n"/>
      <c r="G448" s="28" t="n"/>
      <c r="H448" s="28" t="n"/>
      <c r="I448" s="16">
        <f>IF(OR(G448="",N(H448)=0),"",G448/H448)</f>
        <v/>
      </c>
      <c r="J448" s="20">
        <f>IF(OR(B448="",E448=""),"",IF(OR(F448="Done",G448&lt;&gt;""),"Done",IF(E448&lt;TODAY(),"Late by "&amp;(TODAY()-E448)&amp;IF((TODAY()-E448)=1," day"," days"),IF(E448=TODAY(),"Due today",IF(E448=TODAY()+1,"Due tomorrow","Due in "&amp;(E448-TODAY())&amp;IF((E448-TODAY())=1," day"," days"))))))</f>
        <v/>
      </c>
      <c r="K448" s="25" t="n"/>
      <c r="L448" s="1">
        <f>IF(G448="","",N(H448))</f>
        <v/>
      </c>
      <c r="M448">
        <f>IF(OR(B448="",E448="",OR(F448="Done",G448&lt;&gt;"")),"",E448+ROW()/10000000)</f>
        <v/>
      </c>
    </row>
    <row r="449">
      <c r="A449" s="1" t="n"/>
      <c r="B449" s="24" t="n"/>
      <c r="C449" s="25" t="n"/>
      <c r="D449" s="25" t="n"/>
      <c r="E449" s="26" t="n"/>
      <c r="F449" s="27" t="n"/>
      <c r="G449" s="28" t="n"/>
      <c r="H449" s="28" t="n"/>
      <c r="I449" s="16">
        <f>IF(OR(G449="",N(H449)=0),"",G449/H449)</f>
        <v/>
      </c>
      <c r="J449" s="20">
        <f>IF(OR(B449="",E449=""),"",IF(OR(F449="Done",G449&lt;&gt;""),"Done",IF(E449&lt;TODAY(),"Late by "&amp;(TODAY()-E449)&amp;IF((TODAY()-E449)=1," day"," days"),IF(E449=TODAY(),"Due today",IF(E449=TODAY()+1,"Due tomorrow","Due in "&amp;(E449-TODAY())&amp;IF((E449-TODAY())=1," day"," days"))))))</f>
        <v/>
      </c>
      <c r="K449" s="25" t="n"/>
      <c r="L449" s="1">
        <f>IF(G449="","",N(H449))</f>
        <v/>
      </c>
      <c r="M449">
        <f>IF(OR(B449="",E449="",OR(F449="Done",G449&lt;&gt;"")),"",E449+ROW()/10000000)</f>
        <v/>
      </c>
    </row>
    <row r="450">
      <c r="A450" s="1" t="n"/>
      <c r="B450" s="24" t="n"/>
      <c r="C450" s="25" t="n"/>
      <c r="D450" s="25" t="n"/>
      <c r="E450" s="26" t="n"/>
      <c r="F450" s="27" t="n"/>
      <c r="G450" s="28" t="n"/>
      <c r="H450" s="28" t="n"/>
      <c r="I450" s="16">
        <f>IF(OR(G450="",N(H450)=0),"",G450/H450)</f>
        <v/>
      </c>
      <c r="J450" s="20">
        <f>IF(OR(B450="",E450=""),"",IF(OR(F450="Done",G450&lt;&gt;""),"Done",IF(E450&lt;TODAY(),"Late by "&amp;(TODAY()-E450)&amp;IF((TODAY()-E450)=1," day"," days"),IF(E450=TODAY(),"Due today",IF(E450=TODAY()+1,"Due tomorrow","Due in "&amp;(E450-TODAY())&amp;IF((E450-TODAY())=1," day"," days"))))))</f>
        <v/>
      </c>
      <c r="K450" s="25" t="n"/>
      <c r="L450" s="1">
        <f>IF(G450="","",N(H450))</f>
        <v/>
      </c>
      <c r="M450">
        <f>IF(OR(B450="",E450="",OR(F450="Done",G450&lt;&gt;"")),"",E450+ROW()/10000000)</f>
        <v/>
      </c>
    </row>
    <row r="451">
      <c r="A451" s="1" t="n"/>
      <c r="B451" s="24" t="n"/>
      <c r="C451" s="25" t="n"/>
      <c r="D451" s="25" t="n"/>
      <c r="E451" s="26" t="n"/>
      <c r="F451" s="27" t="n"/>
      <c r="G451" s="28" t="n"/>
      <c r="H451" s="28" t="n"/>
      <c r="I451" s="16">
        <f>IF(OR(G451="",N(H451)=0),"",G451/H451)</f>
        <v/>
      </c>
      <c r="J451" s="20">
        <f>IF(OR(B451="",E451=""),"",IF(OR(F451="Done",G451&lt;&gt;""),"Done",IF(E451&lt;TODAY(),"Late by "&amp;(TODAY()-E451)&amp;IF((TODAY()-E451)=1," day"," days"),IF(E451=TODAY(),"Due today",IF(E451=TODAY()+1,"Due tomorrow","Due in "&amp;(E451-TODAY())&amp;IF((E451-TODAY())=1," day"," days"))))))</f>
        <v/>
      </c>
      <c r="K451" s="25" t="n"/>
      <c r="L451" s="1">
        <f>IF(G451="","",N(H451))</f>
        <v/>
      </c>
      <c r="M451">
        <f>IF(OR(B451="",E451="",OR(F451="Done",G451&lt;&gt;"")),"",E451+ROW()/10000000)</f>
        <v/>
      </c>
    </row>
    <row r="452">
      <c r="A452" s="1" t="n"/>
      <c r="B452" s="24" t="n"/>
      <c r="C452" s="25" t="n"/>
      <c r="D452" s="25" t="n"/>
      <c r="E452" s="26" t="n"/>
      <c r="F452" s="27" t="n"/>
      <c r="G452" s="28" t="n"/>
      <c r="H452" s="28" t="n"/>
      <c r="I452" s="16">
        <f>IF(OR(G452="",N(H452)=0),"",G452/H452)</f>
        <v/>
      </c>
      <c r="J452" s="20">
        <f>IF(OR(B452="",E452=""),"",IF(OR(F452="Done",G452&lt;&gt;""),"Done",IF(E452&lt;TODAY(),"Late by "&amp;(TODAY()-E452)&amp;IF((TODAY()-E452)=1," day"," days"),IF(E452=TODAY(),"Due today",IF(E452=TODAY()+1,"Due tomorrow","Due in "&amp;(E452-TODAY())&amp;IF((E452-TODAY())=1," day"," days"))))))</f>
        <v/>
      </c>
      <c r="K452" s="25" t="n"/>
      <c r="L452" s="1">
        <f>IF(G452="","",N(H452))</f>
        <v/>
      </c>
      <c r="M452">
        <f>IF(OR(B452="",E452="",OR(F452="Done",G452&lt;&gt;"")),"",E452+ROW()/10000000)</f>
        <v/>
      </c>
    </row>
    <row r="453">
      <c r="A453" s="1" t="n"/>
      <c r="B453" s="24" t="n"/>
      <c r="C453" s="25" t="n"/>
      <c r="D453" s="25" t="n"/>
      <c r="E453" s="26" t="n"/>
      <c r="F453" s="27" t="n"/>
      <c r="G453" s="28" t="n"/>
      <c r="H453" s="28" t="n"/>
      <c r="I453" s="16">
        <f>IF(OR(G453="",N(H453)=0),"",G453/H453)</f>
        <v/>
      </c>
      <c r="J453" s="20">
        <f>IF(OR(B453="",E453=""),"",IF(OR(F453="Done",G453&lt;&gt;""),"Done",IF(E453&lt;TODAY(),"Late by "&amp;(TODAY()-E453)&amp;IF((TODAY()-E453)=1," day"," days"),IF(E453=TODAY(),"Due today",IF(E453=TODAY()+1,"Due tomorrow","Due in "&amp;(E453-TODAY())&amp;IF((E453-TODAY())=1," day"," days"))))))</f>
        <v/>
      </c>
      <c r="K453" s="25" t="n"/>
      <c r="L453" s="1">
        <f>IF(G453="","",N(H453))</f>
        <v/>
      </c>
      <c r="M453">
        <f>IF(OR(B453="",E453="",OR(F453="Done",G453&lt;&gt;"")),"",E453+ROW()/10000000)</f>
        <v/>
      </c>
    </row>
    <row r="454">
      <c r="A454" s="1" t="n"/>
      <c r="B454" s="24" t="n"/>
      <c r="C454" s="25" t="n"/>
      <c r="D454" s="25" t="n"/>
      <c r="E454" s="26" t="n"/>
      <c r="F454" s="27" t="n"/>
      <c r="G454" s="28" t="n"/>
      <c r="H454" s="28" t="n"/>
      <c r="I454" s="16">
        <f>IF(OR(G454="",N(H454)=0),"",G454/H454)</f>
        <v/>
      </c>
      <c r="J454" s="20">
        <f>IF(OR(B454="",E454=""),"",IF(OR(F454="Done",G454&lt;&gt;""),"Done",IF(E454&lt;TODAY(),"Late by "&amp;(TODAY()-E454)&amp;IF((TODAY()-E454)=1," day"," days"),IF(E454=TODAY(),"Due today",IF(E454=TODAY()+1,"Due tomorrow","Due in "&amp;(E454-TODAY())&amp;IF((E454-TODAY())=1," day"," days"))))))</f>
        <v/>
      </c>
      <c r="K454" s="25" t="n"/>
      <c r="L454" s="1">
        <f>IF(G454="","",N(H454))</f>
        <v/>
      </c>
      <c r="M454">
        <f>IF(OR(B454="",E454="",OR(F454="Done",G454&lt;&gt;"")),"",E454+ROW()/10000000)</f>
        <v/>
      </c>
    </row>
    <row r="455">
      <c r="A455" s="1" t="n"/>
      <c r="B455" s="24" t="n"/>
      <c r="C455" s="25" t="n"/>
      <c r="D455" s="25" t="n"/>
      <c r="E455" s="26" t="n"/>
      <c r="F455" s="27" t="n"/>
      <c r="G455" s="28" t="n"/>
      <c r="H455" s="28" t="n"/>
      <c r="I455" s="16">
        <f>IF(OR(G455="",N(H455)=0),"",G455/H455)</f>
        <v/>
      </c>
      <c r="J455" s="20">
        <f>IF(OR(B455="",E455=""),"",IF(OR(F455="Done",G455&lt;&gt;""),"Done",IF(E455&lt;TODAY(),"Late by "&amp;(TODAY()-E455)&amp;IF((TODAY()-E455)=1," day"," days"),IF(E455=TODAY(),"Due today",IF(E455=TODAY()+1,"Due tomorrow","Due in "&amp;(E455-TODAY())&amp;IF((E455-TODAY())=1," day"," days"))))))</f>
        <v/>
      </c>
      <c r="K455" s="25" t="n"/>
      <c r="L455" s="1">
        <f>IF(G455="","",N(H455))</f>
        <v/>
      </c>
      <c r="M455">
        <f>IF(OR(B455="",E455="",OR(F455="Done",G455&lt;&gt;"")),"",E455+ROW()/10000000)</f>
        <v/>
      </c>
    </row>
    <row r="456">
      <c r="A456" s="1" t="n"/>
      <c r="B456" s="24" t="n"/>
      <c r="C456" s="25" t="n"/>
      <c r="D456" s="25" t="n"/>
      <c r="E456" s="26" t="n"/>
      <c r="F456" s="27" t="n"/>
      <c r="G456" s="28" t="n"/>
      <c r="H456" s="28" t="n"/>
      <c r="I456" s="16">
        <f>IF(OR(G456="",N(H456)=0),"",G456/H456)</f>
        <v/>
      </c>
      <c r="J456" s="20">
        <f>IF(OR(B456="",E456=""),"",IF(OR(F456="Done",G456&lt;&gt;""),"Done",IF(E456&lt;TODAY(),"Late by "&amp;(TODAY()-E456)&amp;IF((TODAY()-E456)=1," day"," days"),IF(E456=TODAY(),"Due today",IF(E456=TODAY()+1,"Due tomorrow","Due in "&amp;(E456-TODAY())&amp;IF((E456-TODAY())=1," day"," days"))))))</f>
        <v/>
      </c>
      <c r="K456" s="25" t="n"/>
      <c r="L456" s="1">
        <f>IF(G456="","",N(H456))</f>
        <v/>
      </c>
      <c r="M456">
        <f>IF(OR(B456="",E456="",OR(F456="Done",G456&lt;&gt;"")),"",E456+ROW()/10000000)</f>
        <v/>
      </c>
    </row>
    <row r="457">
      <c r="A457" s="1" t="n"/>
      <c r="B457" s="24" t="n"/>
      <c r="C457" s="25" t="n"/>
      <c r="D457" s="25" t="n"/>
      <c r="E457" s="26" t="n"/>
      <c r="F457" s="27" t="n"/>
      <c r="G457" s="28" t="n"/>
      <c r="H457" s="28" t="n"/>
      <c r="I457" s="16">
        <f>IF(OR(G457="",N(H457)=0),"",G457/H457)</f>
        <v/>
      </c>
      <c r="J457" s="20">
        <f>IF(OR(B457="",E457=""),"",IF(OR(F457="Done",G457&lt;&gt;""),"Done",IF(E457&lt;TODAY(),"Late by "&amp;(TODAY()-E457)&amp;IF((TODAY()-E457)=1," day"," days"),IF(E457=TODAY(),"Due today",IF(E457=TODAY()+1,"Due tomorrow","Due in "&amp;(E457-TODAY())&amp;IF((E457-TODAY())=1," day"," days"))))))</f>
        <v/>
      </c>
      <c r="K457" s="25" t="n"/>
      <c r="L457" s="1">
        <f>IF(G457="","",N(H457))</f>
        <v/>
      </c>
      <c r="M457">
        <f>IF(OR(B457="",E457="",OR(F457="Done",G457&lt;&gt;"")),"",E457+ROW()/10000000)</f>
        <v/>
      </c>
    </row>
    <row r="458">
      <c r="A458" s="1" t="n"/>
      <c r="B458" s="24" t="n"/>
      <c r="C458" s="25" t="n"/>
      <c r="D458" s="25" t="n"/>
      <c r="E458" s="26" t="n"/>
      <c r="F458" s="27" t="n"/>
      <c r="G458" s="28" t="n"/>
      <c r="H458" s="28" t="n"/>
      <c r="I458" s="16">
        <f>IF(OR(G458="",N(H458)=0),"",G458/H458)</f>
        <v/>
      </c>
      <c r="J458" s="20">
        <f>IF(OR(B458="",E458=""),"",IF(OR(F458="Done",G458&lt;&gt;""),"Done",IF(E458&lt;TODAY(),"Late by "&amp;(TODAY()-E458)&amp;IF((TODAY()-E458)=1," day"," days"),IF(E458=TODAY(),"Due today",IF(E458=TODAY()+1,"Due tomorrow","Due in "&amp;(E458-TODAY())&amp;IF((E458-TODAY())=1," day"," days"))))))</f>
        <v/>
      </c>
      <c r="K458" s="25" t="n"/>
      <c r="L458" s="1">
        <f>IF(G458="","",N(H458))</f>
        <v/>
      </c>
      <c r="M458">
        <f>IF(OR(B458="",E458="",OR(F458="Done",G458&lt;&gt;"")),"",E458+ROW()/10000000)</f>
        <v/>
      </c>
    </row>
    <row r="459">
      <c r="A459" s="1" t="n"/>
      <c r="B459" s="24" t="n"/>
      <c r="C459" s="25" t="n"/>
      <c r="D459" s="25" t="n"/>
      <c r="E459" s="26" t="n"/>
      <c r="F459" s="27" t="n"/>
      <c r="G459" s="28" t="n"/>
      <c r="H459" s="28" t="n"/>
      <c r="I459" s="16">
        <f>IF(OR(G459="",N(H459)=0),"",G459/H459)</f>
        <v/>
      </c>
      <c r="J459" s="20">
        <f>IF(OR(B459="",E459=""),"",IF(OR(F459="Done",G459&lt;&gt;""),"Done",IF(E459&lt;TODAY(),"Late by "&amp;(TODAY()-E459)&amp;IF((TODAY()-E459)=1," day"," days"),IF(E459=TODAY(),"Due today",IF(E459=TODAY()+1,"Due tomorrow","Due in "&amp;(E459-TODAY())&amp;IF((E459-TODAY())=1," day"," days"))))))</f>
        <v/>
      </c>
      <c r="K459" s="25" t="n"/>
      <c r="L459" s="1">
        <f>IF(G459="","",N(H459))</f>
        <v/>
      </c>
      <c r="M459">
        <f>IF(OR(B459="",E459="",OR(F459="Done",G459&lt;&gt;"")),"",E459+ROW()/10000000)</f>
        <v/>
      </c>
    </row>
    <row r="460">
      <c r="A460" s="1" t="n"/>
      <c r="B460" s="24" t="n"/>
      <c r="C460" s="25" t="n"/>
      <c r="D460" s="25" t="n"/>
      <c r="E460" s="26" t="n"/>
      <c r="F460" s="27" t="n"/>
      <c r="G460" s="28" t="n"/>
      <c r="H460" s="28" t="n"/>
      <c r="I460" s="16">
        <f>IF(OR(G460="",N(H460)=0),"",G460/H460)</f>
        <v/>
      </c>
      <c r="J460" s="20">
        <f>IF(OR(B460="",E460=""),"",IF(OR(F460="Done",G460&lt;&gt;""),"Done",IF(E460&lt;TODAY(),"Late by "&amp;(TODAY()-E460)&amp;IF((TODAY()-E460)=1," day"," days"),IF(E460=TODAY(),"Due today",IF(E460=TODAY()+1,"Due tomorrow","Due in "&amp;(E460-TODAY())&amp;IF((E460-TODAY())=1," day"," days"))))))</f>
        <v/>
      </c>
      <c r="K460" s="25" t="n"/>
      <c r="L460" s="1">
        <f>IF(G460="","",N(H460))</f>
        <v/>
      </c>
      <c r="M460">
        <f>IF(OR(B460="",E460="",OR(F460="Done",G460&lt;&gt;"")),"",E460+ROW()/10000000)</f>
        <v/>
      </c>
    </row>
    <row r="461">
      <c r="A461" s="1" t="n"/>
      <c r="B461" s="24" t="n"/>
      <c r="C461" s="25" t="n"/>
      <c r="D461" s="25" t="n"/>
      <c r="E461" s="26" t="n"/>
      <c r="F461" s="27" t="n"/>
      <c r="G461" s="28" t="n"/>
      <c r="H461" s="28" t="n"/>
      <c r="I461" s="16">
        <f>IF(OR(G461="",N(H461)=0),"",G461/H461)</f>
        <v/>
      </c>
      <c r="J461" s="20">
        <f>IF(OR(B461="",E461=""),"",IF(OR(F461="Done",G461&lt;&gt;""),"Done",IF(E461&lt;TODAY(),"Late by "&amp;(TODAY()-E461)&amp;IF((TODAY()-E461)=1," day"," days"),IF(E461=TODAY(),"Due today",IF(E461=TODAY()+1,"Due tomorrow","Due in "&amp;(E461-TODAY())&amp;IF((E461-TODAY())=1," day"," days"))))))</f>
        <v/>
      </c>
      <c r="K461" s="25" t="n"/>
      <c r="L461" s="1">
        <f>IF(G461="","",N(H461))</f>
        <v/>
      </c>
      <c r="M461">
        <f>IF(OR(B461="",E461="",OR(F461="Done",G461&lt;&gt;"")),"",E461+ROW()/10000000)</f>
        <v/>
      </c>
    </row>
    <row r="462">
      <c r="A462" s="1" t="n"/>
      <c r="B462" s="24" t="n"/>
      <c r="C462" s="25" t="n"/>
      <c r="D462" s="25" t="n"/>
      <c r="E462" s="26" t="n"/>
      <c r="F462" s="27" t="n"/>
      <c r="G462" s="28" t="n"/>
      <c r="H462" s="28" t="n"/>
      <c r="I462" s="16">
        <f>IF(OR(G462="",N(H462)=0),"",G462/H462)</f>
        <v/>
      </c>
      <c r="J462" s="20">
        <f>IF(OR(B462="",E462=""),"",IF(OR(F462="Done",G462&lt;&gt;""),"Done",IF(E462&lt;TODAY(),"Late by "&amp;(TODAY()-E462)&amp;IF((TODAY()-E462)=1," day"," days"),IF(E462=TODAY(),"Due today",IF(E462=TODAY()+1,"Due tomorrow","Due in "&amp;(E462-TODAY())&amp;IF((E462-TODAY())=1," day"," days"))))))</f>
        <v/>
      </c>
      <c r="K462" s="25" t="n"/>
      <c r="L462" s="1">
        <f>IF(G462="","",N(H462))</f>
        <v/>
      </c>
      <c r="M462">
        <f>IF(OR(B462="",E462="",OR(F462="Done",G462&lt;&gt;"")),"",E462+ROW()/10000000)</f>
        <v/>
      </c>
    </row>
    <row r="463">
      <c r="A463" s="1" t="n"/>
      <c r="B463" s="24" t="n"/>
      <c r="C463" s="25" t="n"/>
      <c r="D463" s="25" t="n"/>
      <c r="E463" s="26" t="n"/>
      <c r="F463" s="27" t="n"/>
      <c r="G463" s="28" t="n"/>
      <c r="H463" s="28" t="n"/>
      <c r="I463" s="16">
        <f>IF(OR(G463="",N(H463)=0),"",G463/H463)</f>
        <v/>
      </c>
      <c r="J463" s="20">
        <f>IF(OR(B463="",E463=""),"",IF(OR(F463="Done",G463&lt;&gt;""),"Done",IF(E463&lt;TODAY(),"Late by "&amp;(TODAY()-E463)&amp;IF((TODAY()-E463)=1," day"," days"),IF(E463=TODAY(),"Due today",IF(E463=TODAY()+1,"Due tomorrow","Due in "&amp;(E463-TODAY())&amp;IF((E463-TODAY())=1," day"," days"))))))</f>
        <v/>
      </c>
      <c r="K463" s="25" t="n"/>
      <c r="L463" s="1">
        <f>IF(G463="","",N(H463))</f>
        <v/>
      </c>
      <c r="M463">
        <f>IF(OR(B463="",E463="",OR(F463="Done",G463&lt;&gt;"")),"",E463+ROW()/10000000)</f>
        <v/>
      </c>
    </row>
    <row r="464">
      <c r="A464" s="1" t="n"/>
      <c r="B464" s="24" t="n"/>
      <c r="C464" s="25" t="n"/>
      <c r="D464" s="25" t="n"/>
      <c r="E464" s="26" t="n"/>
      <c r="F464" s="27" t="n"/>
      <c r="G464" s="28" t="n"/>
      <c r="H464" s="28" t="n"/>
      <c r="I464" s="16">
        <f>IF(OR(G464="",N(H464)=0),"",G464/H464)</f>
        <v/>
      </c>
      <c r="J464" s="20">
        <f>IF(OR(B464="",E464=""),"",IF(OR(F464="Done",G464&lt;&gt;""),"Done",IF(E464&lt;TODAY(),"Late by "&amp;(TODAY()-E464)&amp;IF((TODAY()-E464)=1," day"," days"),IF(E464=TODAY(),"Due today",IF(E464=TODAY()+1,"Due tomorrow","Due in "&amp;(E464-TODAY())&amp;IF((E464-TODAY())=1," day"," days"))))))</f>
        <v/>
      </c>
      <c r="K464" s="25" t="n"/>
      <c r="L464" s="1">
        <f>IF(G464="","",N(H464))</f>
        <v/>
      </c>
      <c r="M464">
        <f>IF(OR(B464="",E464="",OR(F464="Done",G464&lt;&gt;"")),"",E464+ROW()/10000000)</f>
        <v/>
      </c>
    </row>
    <row r="465">
      <c r="A465" s="1" t="n"/>
      <c r="B465" s="24" t="n"/>
      <c r="C465" s="25" t="n"/>
      <c r="D465" s="25" t="n"/>
      <c r="E465" s="26" t="n"/>
      <c r="F465" s="27" t="n"/>
      <c r="G465" s="28" t="n"/>
      <c r="H465" s="28" t="n"/>
      <c r="I465" s="16">
        <f>IF(OR(G465="",N(H465)=0),"",G465/H465)</f>
        <v/>
      </c>
      <c r="J465" s="20">
        <f>IF(OR(B465="",E465=""),"",IF(OR(F465="Done",G465&lt;&gt;""),"Done",IF(E465&lt;TODAY(),"Late by "&amp;(TODAY()-E465)&amp;IF((TODAY()-E465)=1," day"," days"),IF(E465=TODAY(),"Due today",IF(E465=TODAY()+1,"Due tomorrow","Due in "&amp;(E465-TODAY())&amp;IF((E465-TODAY())=1," day"," days"))))))</f>
        <v/>
      </c>
      <c r="K465" s="25" t="n"/>
      <c r="L465" s="1">
        <f>IF(G465="","",N(H465))</f>
        <v/>
      </c>
      <c r="M465">
        <f>IF(OR(B465="",E465="",OR(F465="Done",G465&lt;&gt;"")),"",E465+ROW()/10000000)</f>
        <v/>
      </c>
    </row>
    <row r="466">
      <c r="A466" s="1" t="n"/>
      <c r="B466" s="24" t="n"/>
      <c r="C466" s="25" t="n"/>
      <c r="D466" s="25" t="n"/>
      <c r="E466" s="26" t="n"/>
      <c r="F466" s="27" t="n"/>
      <c r="G466" s="28" t="n"/>
      <c r="H466" s="28" t="n"/>
      <c r="I466" s="16">
        <f>IF(OR(G466="",N(H466)=0),"",G466/H466)</f>
        <v/>
      </c>
      <c r="J466" s="20">
        <f>IF(OR(B466="",E466=""),"",IF(OR(F466="Done",G466&lt;&gt;""),"Done",IF(E466&lt;TODAY(),"Late by "&amp;(TODAY()-E466)&amp;IF((TODAY()-E466)=1," day"," days"),IF(E466=TODAY(),"Due today",IF(E466=TODAY()+1,"Due tomorrow","Due in "&amp;(E466-TODAY())&amp;IF((E466-TODAY())=1," day"," days"))))))</f>
        <v/>
      </c>
      <c r="K466" s="25" t="n"/>
      <c r="L466" s="1">
        <f>IF(G466="","",N(H466))</f>
        <v/>
      </c>
      <c r="M466">
        <f>IF(OR(B466="",E466="",OR(F466="Done",G466&lt;&gt;"")),"",E466+ROW()/10000000)</f>
        <v/>
      </c>
    </row>
    <row r="467">
      <c r="A467" s="1" t="n"/>
      <c r="B467" s="24" t="n"/>
      <c r="C467" s="25" t="n"/>
      <c r="D467" s="25" t="n"/>
      <c r="E467" s="26" t="n"/>
      <c r="F467" s="27" t="n"/>
      <c r="G467" s="28" t="n"/>
      <c r="H467" s="28" t="n"/>
      <c r="I467" s="16">
        <f>IF(OR(G467="",N(H467)=0),"",G467/H467)</f>
        <v/>
      </c>
      <c r="J467" s="20">
        <f>IF(OR(B467="",E467=""),"",IF(OR(F467="Done",G467&lt;&gt;""),"Done",IF(E467&lt;TODAY(),"Late by "&amp;(TODAY()-E467)&amp;IF((TODAY()-E467)=1," day"," days"),IF(E467=TODAY(),"Due today",IF(E467=TODAY()+1,"Due tomorrow","Due in "&amp;(E467-TODAY())&amp;IF((E467-TODAY())=1," day"," days"))))))</f>
        <v/>
      </c>
      <c r="K467" s="25" t="n"/>
      <c r="L467" s="1">
        <f>IF(G467="","",N(H467))</f>
        <v/>
      </c>
      <c r="M467">
        <f>IF(OR(B467="",E467="",OR(F467="Done",G467&lt;&gt;"")),"",E467+ROW()/10000000)</f>
        <v/>
      </c>
    </row>
    <row r="468">
      <c r="A468" s="1" t="n"/>
      <c r="B468" s="24" t="n"/>
      <c r="C468" s="25" t="n"/>
      <c r="D468" s="25" t="n"/>
      <c r="E468" s="26" t="n"/>
      <c r="F468" s="27" t="n"/>
      <c r="G468" s="28" t="n"/>
      <c r="H468" s="28" t="n"/>
      <c r="I468" s="16">
        <f>IF(OR(G468="",N(H468)=0),"",G468/H468)</f>
        <v/>
      </c>
      <c r="J468" s="20">
        <f>IF(OR(B468="",E468=""),"",IF(OR(F468="Done",G468&lt;&gt;""),"Done",IF(E468&lt;TODAY(),"Late by "&amp;(TODAY()-E468)&amp;IF((TODAY()-E468)=1," day"," days"),IF(E468=TODAY(),"Due today",IF(E468=TODAY()+1,"Due tomorrow","Due in "&amp;(E468-TODAY())&amp;IF((E468-TODAY())=1," day"," days"))))))</f>
        <v/>
      </c>
      <c r="K468" s="25" t="n"/>
      <c r="L468" s="1">
        <f>IF(G468="","",N(H468))</f>
        <v/>
      </c>
      <c r="M468">
        <f>IF(OR(B468="",E468="",OR(F468="Done",G468&lt;&gt;"")),"",E468+ROW()/10000000)</f>
        <v/>
      </c>
    </row>
    <row r="469">
      <c r="A469" s="1" t="n"/>
      <c r="B469" s="24" t="n"/>
      <c r="C469" s="25" t="n"/>
      <c r="D469" s="25" t="n"/>
      <c r="E469" s="26" t="n"/>
      <c r="F469" s="27" t="n"/>
      <c r="G469" s="28" t="n"/>
      <c r="H469" s="28" t="n"/>
      <c r="I469" s="16">
        <f>IF(OR(G469="",N(H469)=0),"",G469/H469)</f>
        <v/>
      </c>
      <c r="J469" s="20">
        <f>IF(OR(B469="",E469=""),"",IF(OR(F469="Done",G469&lt;&gt;""),"Done",IF(E469&lt;TODAY(),"Late by "&amp;(TODAY()-E469)&amp;IF((TODAY()-E469)=1," day"," days"),IF(E469=TODAY(),"Due today",IF(E469=TODAY()+1,"Due tomorrow","Due in "&amp;(E469-TODAY())&amp;IF((E469-TODAY())=1," day"," days"))))))</f>
        <v/>
      </c>
      <c r="K469" s="25" t="n"/>
      <c r="L469" s="1">
        <f>IF(G469="","",N(H469))</f>
        <v/>
      </c>
      <c r="M469">
        <f>IF(OR(B469="",E469="",OR(F469="Done",G469&lt;&gt;"")),"",E469+ROW()/10000000)</f>
        <v/>
      </c>
    </row>
    <row r="470">
      <c r="A470" s="1" t="n"/>
      <c r="B470" s="24" t="n"/>
      <c r="C470" s="25" t="n"/>
      <c r="D470" s="25" t="n"/>
      <c r="E470" s="26" t="n"/>
      <c r="F470" s="27" t="n"/>
      <c r="G470" s="28" t="n"/>
      <c r="H470" s="28" t="n"/>
      <c r="I470" s="16">
        <f>IF(OR(G470="",N(H470)=0),"",G470/H470)</f>
        <v/>
      </c>
      <c r="J470" s="20">
        <f>IF(OR(B470="",E470=""),"",IF(OR(F470="Done",G470&lt;&gt;""),"Done",IF(E470&lt;TODAY(),"Late by "&amp;(TODAY()-E470)&amp;IF((TODAY()-E470)=1," day"," days"),IF(E470=TODAY(),"Due today",IF(E470=TODAY()+1,"Due tomorrow","Due in "&amp;(E470-TODAY())&amp;IF((E470-TODAY())=1," day"," days"))))))</f>
        <v/>
      </c>
      <c r="K470" s="25" t="n"/>
      <c r="L470" s="1">
        <f>IF(G470="","",N(H470))</f>
        <v/>
      </c>
      <c r="M470">
        <f>IF(OR(B470="",E470="",OR(F470="Done",G470&lt;&gt;"")),"",E470+ROW()/10000000)</f>
        <v/>
      </c>
    </row>
    <row r="471">
      <c r="A471" s="1" t="n"/>
      <c r="B471" s="24" t="n"/>
      <c r="C471" s="25" t="n"/>
      <c r="D471" s="25" t="n"/>
      <c r="E471" s="26" t="n"/>
      <c r="F471" s="27" t="n"/>
      <c r="G471" s="28" t="n"/>
      <c r="H471" s="28" t="n"/>
      <c r="I471" s="16">
        <f>IF(OR(G471="",N(H471)=0),"",G471/H471)</f>
        <v/>
      </c>
      <c r="J471" s="20">
        <f>IF(OR(B471="",E471=""),"",IF(OR(F471="Done",G471&lt;&gt;""),"Done",IF(E471&lt;TODAY(),"Late by "&amp;(TODAY()-E471)&amp;IF((TODAY()-E471)=1," day"," days"),IF(E471=TODAY(),"Due today",IF(E471=TODAY()+1,"Due tomorrow","Due in "&amp;(E471-TODAY())&amp;IF((E471-TODAY())=1," day"," days"))))))</f>
        <v/>
      </c>
      <c r="K471" s="25" t="n"/>
      <c r="L471" s="1">
        <f>IF(G471="","",N(H471))</f>
        <v/>
      </c>
      <c r="M471">
        <f>IF(OR(B471="",E471="",OR(F471="Done",G471&lt;&gt;"")),"",E471+ROW()/10000000)</f>
        <v/>
      </c>
    </row>
    <row r="472">
      <c r="A472" s="1" t="n"/>
      <c r="B472" s="24" t="n"/>
      <c r="C472" s="25" t="n"/>
      <c r="D472" s="25" t="n"/>
      <c r="E472" s="26" t="n"/>
      <c r="F472" s="27" t="n"/>
      <c r="G472" s="28" t="n"/>
      <c r="H472" s="28" t="n"/>
      <c r="I472" s="16">
        <f>IF(OR(G472="",N(H472)=0),"",G472/H472)</f>
        <v/>
      </c>
      <c r="J472" s="20">
        <f>IF(OR(B472="",E472=""),"",IF(OR(F472="Done",G472&lt;&gt;""),"Done",IF(E472&lt;TODAY(),"Late by "&amp;(TODAY()-E472)&amp;IF((TODAY()-E472)=1," day"," days"),IF(E472=TODAY(),"Due today",IF(E472=TODAY()+1,"Due tomorrow","Due in "&amp;(E472-TODAY())&amp;IF((E472-TODAY())=1," day"," days"))))))</f>
        <v/>
      </c>
      <c r="K472" s="25" t="n"/>
      <c r="L472" s="1">
        <f>IF(G472="","",N(H472))</f>
        <v/>
      </c>
      <c r="M472">
        <f>IF(OR(B472="",E472="",OR(F472="Done",G472&lt;&gt;"")),"",E472+ROW()/10000000)</f>
        <v/>
      </c>
    </row>
    <row r="473">
      <c r="A473" s="1" t="n"/>
      <c r="B473" s="24" t="n"/>
      <c r="C473" s="25" t="n"/>
      <c r="D473" s="25" t="n"/>
      <c r="E473" s="26" t="n"/>
      <c r="F473" s="27" t="n"/>
      <c r="G473" s="28" t="n"/>
      <c r="H473" s="28" t="n"/>
      <c r="I473" s="16">
        <f>IF(OR(G473="",N(H473)=0),"",G473/H473)</f>
        <v/>
      </c>
      <c r="J473" s="20">
        <f>IF(OR(B473="",E473=""),"",IF(OR(F473="Done",G473&lt;&gt;""),"Done",IF(E473&lt;TODAY(),"Late by "&amp;(TODAY()-E473)&amp;IF((TODAY()-E473)=1," day"," days"),IF(E473=TODAY(),"Due today",IF(E473=TODAY()+1,"Due tomorrow","Due in "&amp;(E473-TODAY())&amp;IF((E473-TODAY())=1," day"," days"))))))</f>
        <v/>
      </c>
      <c r="K473" s="25" t="n"/>
      <c r="L473" s="1">
        <f>IF(G473="","",N(H473))</f>
        <v/>
      </c>
      <c r="M473">
        <f>IF(OR(B473="",E473="",OR(F473="Done",G473&lt;&gt;"")),"",E473+ROW()/10000000)</f>
        <v/>
      </c>
    </row>
    <row r="474">
      <c r="A474" s="1" t="n"/>
      <c r="B474" s="24" t="n"/>
      <c r="C474" s="25" t="n"/>
      <c r="D474" s="25" t="n"/>
      <c r="E474" s="26" t="n"/>
      <c r="F474" s="27" t="n"/>
      <c r="G474" s="28" t="n"/>
      <c r="H474" s="28" t="n"/>
      <c r="I474" s="16">
        <f>IF(OR(G474="",N(H474)=0),"",G474/H474)</f>
        <v/>
      </c>
      <c r="J474" s="20">
        <f>IF(OR(B474="",E474=""),"",IF(OR(F474="Done",G474&lt;&gt;""),"Done",IF(E474&lt;TODAY(),"Late by "&amp;(TODAY()-E474)&amp;IF((TODAY()-E474)=1," day"," days"),IF(E474=TODAY(),"Due today",IF(E474=TODAY()+1,"Due tomorrow","Due in "&amp;(E474-TODAY())&amp;IF((E474-TODAY())=1," day"," days"))))))</f>
        <v/>
      </c>
      <c r="K474" s="25" t="n"/>
      <c r="L474" s="1">
        <f>IF(G474="","",N(H474))</f>
        <v/>
      </c>
      <c r="M474">
        <f>IF(OR(B474="",E474="",OR(F474="Done",G474&lt;&gt;"")),"",E474+ROW()/10000000)</f>
        <v/>
      </c>
    </row>
    <row r="475">
      <c r="A475" s="1" t="n"/>
      <c r="B475" s="24" t="n"/>
      <c r="C475" s="25" t="n"/>
      <c r="D475" s="25" t="n"/>
      <c r="E475" s="26" t="n"/>
      <c r="F475" s="27" t="n"/>
      <c r="G475" s="28" t="n"/>
      <c r="H475" s="28" t="n"/>
      <c r="I475" s="16">
        <f>IF(OR(G475="",N(H475)=0),"",G475/H475)</f>
        <v/>
      </c>
      <c r="J475" s="20">
        <f>IF(OR(B475="",E475=""),"",IF(OR(F475="Done",G475&lt;&gt;""),"Done",IF(E475&lt;TODAY(),"Late by "&amp;(TODAY()-E475)&amp;IF((TODAY()-E475)=1," day"," days"),IF(E475=TODAY(),"Due today",IF(E475=TODAY()+1,"Due tomorrow","Due in "&amp;(E475-TODAY())&amp;IF((E475-TODAY())=1," day"," days"))))))</f>
        <v/>
      </c>
      <c r="K475" s="25" t="n"/>
      <c r="L475" s="1">
        <f>IF(G475="","",N(H475))</f>
        <v/>
      </c>
      <c r="M475">
        <f>IF(OR(B475="",E475="",OR(F475="Done",G475&lt;&gt;"")),"",E475+ROW()/10000000)</f>
        <v/>
      </c>
    </row>
    <row r="476">
      <c r="A476" s="1" t="n"/>
      <c r="B476" s="24" t="n"/>
      <c r="C476" s="25" t="n"/>
      <c r="D476" s="25" t="n"/>
      <c r="E476" s="26" t="n"/>
      <c r="F476" s="27" t="n"/>
      <c r="G476" s="28" t="n"/>
      <c r="H476" s="28" t="n"/>
      <c r="I476" s="16">
        <f>IF(OR(G476="",N(H476)=0),"",G476/H476)</f>
        <v/>
      </c>
      <c r="J476" s="20">
        <f>IF(OR(B476="",E476=""),"",IF(OR(F476="Done",G476&lt;&gt;""),"Done",IF(E476&lt;TODAY(),"Late by "&amp;(TODAY()-E476)&amp;IF((TODAY()-E476)=1," day"," days"),IF(E476=TODAY(),"Due today",IF(E476=TODAY()+1,"Due tomorrow","Due in "&amp;(E476-TODAY())&amp;IF((E476-TODAY())=1," day"," days"))))))</f>
        <v/>
      </c>
      <c r="K476" s="25" t="n"/>
      <c r="L476" s="1">
        <f>IF(G476="","",N(H476))</f>
        <v/>
      </c>
      <c r="M476">
        <f>IF(OR(B476="",E476="",OR(F476="Done",G476&lt;&gt;"")),"",E476+ROW()/10000000)</f>
        <v/>
      </c>
    </row>
    <row r="477">
      <c r="A477" s="1" t="n"/>
      <c r="B477" s="24" t="n"/>
      <c r="C477" s="25" t="n"/>
      <c r="D477" s="25" t="n"/>
      <c r="E477" s="26" t="n"/>
      <c r="F477" s="27" t="n"/>
      <c r="G477" s="28" t="n"/>
      <c r="H477" s="28" t="n"/>
      <c r="I477" s="16">
        <f>IF(OR(G477="",N(H477)=0),"",G477/H477)</f>
        <v/>
      </c>
      <c r="J477" s="20">
        <f>IF(OR(B477="",E477=""),"",IF(OR(F477="Done",G477&lt;&gt;""),"Done",IF(E477&lt;TODAY(),"Late by "&amp;(TODAY()-E477)&amp;IF((TODAY()-E477)=1," day"," days"),IF(E477=TODAY(),"Due today",IF(E477=TODAY()+1,"Due tomorrow","Due in "&amp;(E477-TODAY())&amp;IF((E477-TODAY())=1," day"," days"))))))</f>
        <v/>
      </c>
      <c r="K477" s="25" t="n"/>
      <c r="L477" s="1">
        <f>IF(G477="","",N(H477))</f>
        <v/>
      </c>
      <c r="M477">
        <f>IF(OR(B477="",E477="",OR(F477="Done",G477&lt;&gt;"")),"",E477+ROW()/10000000)</f>
        <v/>
      </c>
    </row>
    <row r="478">
      <c r="A478" s="1" t="n"/>
      <c r="B478" s="24" t="n"/>
      <c r="C478" s="25" t="n"/>
      <c r="D478" s="25" t="n"/>
      <c r="E478" s="26" t="n"/>
      <c r="F478" s="27" t="n"/>
      <c r="G478" s="28" t="n"/>
      <c r="H478" s="28" t="n"/>
      <c r="I478" s="16">
        <f>IF(OR(G478="",N(H478)=0),"",G478/H478)</f>
        <v/>
      </c>
      <c r="J478" s="20">
        <f>IF(OR(B478="",E478=""),"",IF(OR(F478="Done",G478&lt;&gt;""),"Done",IF(E478&lt;TODAY(),"Late by "&amp;(TODAY()-E478)&amp;IF((TODAY()-E478)=1," day"," days"),IF(E478=TODAY(),"Due today",IF(E478=TODAY()+1,"Due tomorrow","Due in "&amp;(E478-TODAY())&amp;IF((E478-TODAY())=1," day"," days"))))))</f>
        <v/>
      </c>
      <c r="K478" s="25" t="n"/>
      <c r="L478" s="1">
        <f>IF(G478="","",N(H478))</f>
        <v/>
      </c>
      <c r="M478">
        <f>IF(OR(B478="",E478="",OR(F478="Done",G478&lt;&gt;"")),"",E478+ROW()/10000000)</f>
        <v/>
      </c>
    </row>
    <row r="479">
      <c r="A479" s="1" t="n"/>
      <c r="B479" s="24" t="n"/>
      <c r="C479" s="25" t="n"/>
      <c r="D479" s="25" t="n"/>
      <c r="E479" s="26" t="n"/>
      <c r="F479" s="27" t="n"/>
      <c r="G479" s="28" t="n"/>
      <c r="H479" s="28" t="n"/>
      <c r="I479" s="16">
        <f>IF(OR(G479="",N(H479)=0),"",G479/H479)</f>
        <v/>
      </c>
      <c r="J479" s="20">
        <f>IF(OR(B479="",E479=""),"",IF(OR(F479="Done",G479&lt;&gt;""),"Done",IF(E479&lt;TODAY(),"Late by "&amp;(TODAY()-E479)&amp;IF((TODAY()-E479)=1," day"," days"),IF(E479=TODAY(),"Due today",IF(E479=TODAY()+1,"Due tomorrow","Due in "&amp;(E479-TODAY())&amp;IF((E479-TODAY())=1," day"," days"))))))</f>
        <v/>
      </c>
      <c r="K479" s="25" t="n"/>
      <c r="L479" s="1">
        <f>IF(G479="","",N(H479))</f>
        <v/>
      </c>
      <c r="M479">
        <f>IF(OR(B479="",E479="",OR(F479="Done",G479&lt;&gt;"")),"",E479+ROW()/10000000)</f>
        <v/>
      </c>
    </row>
    <row r="480">
      <c r="A480" s="1" t="n"/>
      <c r="B480" s="24" t="n"/>
      <c r="C480" s="25" t="n"/>
      <c r="D480" s="25" t="n"/>
      <c r="E480" s="26" t="n"/>
      <c r="F480" s="27" t="n"/>
      <c r="G480" s="28" t="n"/>
      <c r="H480" s="28" t="n"/>
      <c r="I480" s="16">
        <f>IF(OR(G480="",N(H480)=0),"",G480/H480)</f>
        <v/>
      </c>
      <c r="J480" s="20">
        <f>IF(OR(B480="",E480=""),"",IF(OR(F480="Done",G480&lt;&gt;""),"Done",IF(E480&lt;TODAY(),"Late by "&amp;(TODAY()-E480)&amp;IF((TODAY()-E480)=1," day"," days"),IF(E480=TODAY(),"Due today",IF(E480=TODAY()+1,"Due tomorrow","Due in "&amp;(E480-TODAY())&amp;IF((E480-TODAY())=1," day"," days"))))))</f>
        <v/>
      </c>
      <c r="K480" s="25" t="n"/>
      <c r="L480" s="1">
        <f>IF(G480="","",N(H480))</f>
        <v/>
      </c>
      <c r="M480">
        <f>IF(OR(B480="",E480="",OR(F480="Done",G480&lt;&gt;"")),"",E480+ROW()/10000000)</f>
        <v/>
      </c>
    </row>
    <row r="481">
      <c r="A481" s="1" t="n"/>
      <c r="B481" s="24" t="n"/>
      <c r="C481" s="25" t="n"/>
      <c r="D481" s="25" t="n"/>
      <c r="E481" s="26" t="n"/>
      <c r="F481" s="27" t="n"/>
      <c r="G481" s="28" t="n"/>
      <c r="H481" s="28" t="n"/>
      <c r="I481" s="16">
        <f>IF(OR(G481="",N(H481)=0),"",G481/H481)</f>
        <v/>
      </c>
      <c r="J481" s="20">
        <f>IF(OR(B481="",E481=""),"",IF(OR(F481="Done",G481&lt;&gt;""),"Done",IF(E481&lt;TODAY(),"Late by "&amp;(TODAY()-E481)&amp;IF((TODAY()-E481)=1," day"," days"),IF(E481=TODAY(),"Due today",IF(E481=TODAY()+1,"Due tomorrow","Due in "&amp;(E481-TODAY())&amp;IF((E481-TODAY())=1," day"," days"))))))</f>
        <v/>
      </c>
      <c r="K481" s="25" t="n"/>
      <c r="L481" s="1">
        <f>IF(G481="","",N(H481))</f>
        <v/>
      </c>
      <c r="M481">
        <f>IF(OR(B481="",E481="",OR(F481="Done",G481&lt;&gt;"")),"",E481+ROW()/10000000)</f>
        <v/>
      </c>
    </row>
    <row r="482">
      <c r="A482" s="1" t="n"/>
      <c r="B482" s="24" t="n"/>
      <c r="C482" s="25" t="n"/>
      <c r="D482" s="25" t="n"/>
      <c r="E482" s="26" t="n"/>
      <c r="F482" s="27" t="n"/>
      <c r="G482" s="28" t="n"/>
      <c r="H482" s="28" t="n"/>
      <c r="I482" s="16">
        <f>IF(OR(G482="",N(H482)=0),"",G482/H482)</f>
        <v/>
      </c>
      <c r="J482" s="20">
        <f>IF(OR(B482="",E482=""),"",IF(OR(F482="Done",G482&lt;&gt;""),"Done",IF(E482&lt;TODAY(),"Late by "&amp;(TODAY()-E482)&amp;IF((TODAY()-E482)=1," day"," days"),IF(E482=TODAY(),"Due today",IF(E482=TODAY()+1,"Due tomorrow","Due in "&amp;(E482-TODAY())&amp;IF((E482-TODAY())=1," day"," days"))))))</f>
        <v/>
      </c>
      <c r="K482" s="25" t="n"/>
      <c r="L482" s="1">
        <f>IF(G482="","",N(H482))</f>
        <v/>
      </c>
      <c r="M482">
        <f>IF(OR(B482="",E482="",OR(F482="Done",G482&lt;&gt;"")),"",E482+ROW()/10000000)</f>
        <v/>
      </c>
    </row>
    <row r="483">
      <c r="A483" s="1" t="n"/>
      <c r="B483" s="24" t="n"/>
      <c r="C483" s="25" t="n"/>
      <c r="D483" s="25" t="n"/>
      <c r="E483" s="26" t="n"/>
      <c r="F483" s="27" t="n"/>
      <c r="G483" s="28" t="n"/>
      <c r="H483" s="28" t="n"/>
      <c r="I483" s="16">
        <f>IF(OR(G483="",N(H483)=0),"",G483/H483)</f>
        <v/>
      </c>
      <c r="J483" s="20">
        <f>IF(OR(B483="",E483=""),"",IF(OR(F483="Done",G483&lt;&gt;""),"Done",IF(E483&lt;TODAY(),"Late by "&amp;(TODAY()-E483)&amp;IF((TODAY()-E483)=1," day"," days"),IF(E483=TODAY(),"Due today",IF(E483=TODAY()+1,"Due tomorrow","Due in "&amp;(E483-TODAY())&amp;IF((E483-TODAY())=1," day"," days"))))))</f>
        <v/>
      </c>
      <c r="K483" s="25" t="n"/>
      <c r="L483" s="1">
        <f>IF(G483="","",N(H483))</f>
        <v/>
      </c>
      <c r="M483">
        <f>IF(OR(B483="",E483="",OR(F483="Done",G483&lt;&gt;"")),"",E483+ROW()/10000000)</f>
        <v/>
      </c>
    </row>
    <row r="484">
      <c r="A484" s="1" t="n"/>
      <c r="B484" s="24" t="n"/>
      <c r="C484" s="25" t="n"/>
      <c r="D484" s="25" t="n"/>
      <c r="E484" s="26" t="n"/>
      <c r="F484" s="27" t="n"/>
      <c r="G484" s="28" t="n"/>
      <c r="H484" s="28" t="n"/>
      <c r="I484" s="16">
        <f>IF(OR(G484="",N(H484)=0),"",G484/H484)</f>
        <v/>
      </c>
      <c r="J484" s="20">
        <f>IF(OR(B484="",E484=""),"",IF(OR(F484="Done",G484&lt;&gt;""),"Done",IF(E484&lt;TODAY(),"Late by "&amp;(TODAY()-E484)&amp;IF((TODAY()-E484)=1," day"," days"),IF(E484=TODAY(),"Due today",IF(E484=TODAY()+1,"Due tomorrow","Due in "&amp;(E484-TODAY())&amp;IF((E484-TODAY())=1," day"," days"))))))</f>
        <v/>
      </c>
      <c r="K484" s="25" t="n"/>
      <c r="L484" s="1">
        <f>IF(G484="","",N(H484))</f>
        <v/>
      </c>
      <c r="M484">
        <f>IF(OR(B484="",E484="",OR(F484="Done",G484&lt;&gt;"")),"",E484+ROW()/10000000)</f>
        <v/>
      </c>
    </row>
    <row r="485">
      <c r="A485" s="1" t="n"/>
      <c r="B485" s="24" t="n"/>
      <c r="C485" s="25" t="n"/>
      <c r="D485" s="25" t="n"/>
      <c r="E485" s="26" t="n"/>
      <c r="F485" s="27" t="n"/>
      <c r="G485" s="28" t="n"/>
      <c r="H485" s="28" t="n"/>
      <c r="I485" s="16">
        <f>IF(OR(G485="",N(H485)=0),"",G485/H485)</f>
        <v/>
      </c>
      <c r="J485" s="20">
        <f>IF(OR(B485="",E485=""),"",IF(OR(F485="Done",G485&lt;&gt;""),"Done",IF(E485&lt;TODAY(),"Late by "&amp;(TODAY()-E485)&amp;IF((TODAY()-E485)=1," day"," days"),IF(E485=TODAY(),"Due today",IF(E485=TODAY()+1,"Due tomorrow","Due in "&amp;(E485-TODAY())&amp;IF((E485-TODAY())=1," day"," days"))))))</f>
        <v/>
      </c>
      <c r="K485" s="25" t="n"/>
      <c r="L485" s="1">
        <f>IF(G485="","",N(H485))</f>
        <v/>
      </c>
      <c r="M485">
        <f>IF(OR(B485="",E485="",OR(F485="Done",G485&lt;&gt;"")),"",E485+ROW()/10000000)</f>
        <v/>
      </c>
    </row>
    <row r="486">
      <c r="A486" s="1" t="n"/>
      <c r="B486" s="24" t="n"/>
      <c r="C486" s="25" t="n"/>
      <c r="D486" s="25" t="n"/>
      <c r="E486" s="26" t="n"/>
      <c r="F486" s="27" t="n"/>
      <c r="G486" s="28" t="n"/>
      <c r="H486" s="28" t="n"/>
      <c r="I486" s="16">
        <f>IF(OR(G486="",N(H486)=0),"",G486/H486)</f>
        <v/>
      </c>
      <c r="J486" s="20">
        <f>IF(OR(B486="",E486=""),"",IF(OR(F486="Done",G486&lt;&gt;""),"Done",IF(E486&lt;TODAY(),"Late by "&amp;(TODAY()-E486)&amp;IF((TODAY()-E486)=1," day"," days"),IF(E486=TODAY(),"Due today",IF(E486=TODAY()+1,"Due tomorrow","Due in "&amp;(E486-TODAY())&amp;IF((E486-TODAY())=1," day"," days"))))))</f>
        <v/>
      </c>
      <c r="K486" s="25" t="n"/>
      <c r="L486" s="1">
        <f>IF(G486="","",N(H486))</f>
        <v/>
      </c>
      <c r="M486">
        <f>IF(OR(B486="",E486="",OR(F486="Done",G486&lt;&gt;"")),"",E486+ROW()/10000000)</f>
        <v/>
      </c>
    </row>
    <row r="487">
      <c r="A487" s="1" t="n"/>
      <c r="B487" s="24" t="n"/>
      <c r="C487" s="25" t="n"/>
      <c r="D487" s="25" t="n"/>
      <c r="E487" s="26" t="n"/>
      <c r="F487" s="27" t="n"/>
      <c r="G487" s="28" t="n"/>
      <c r="H487" s="28" t="n"/>
      <c r="I487" s="16">
        <f>IF(OR(G487="",N(H487)=0),"",G487/H487)</f>
        <v/>
      </c>
      <c r="J487" s="20">
        <f>IF(OR(B487="",E487=""),"",IF(OR(F487="Done",G487&lt;&gt;""),"Done",IF(E487&lt;TODAY(),"Late by "&amp;(TODAY()-E487)&amp;IF((TODAY()-E487)=1," day"," days"),IF(E487=TODAY(),"Due today",IF(E487=TODAY()+1,"Due tomorrow","Due in "&amp;(E487-TODAY())&amp;IF((E487-TODAY())=1," day"," days"))))))</f>
        <v/>
      </c>
      <c r="K487" s="25" t="n"/>
      <c r="L487" s="1">
        <f>IF(G487="","",N(H487))</f>
        <v/>
      </c>
      <c r="M487">
        <f>IF(OR(B487="",E487="",OR(F487="Done",G487&lt;&gt;"")),"",E487+ROW()/10000000)</f>
        <v/>
      </c>
    </row>
    <row r="488">
      <c r="A488" s="1" t="n"/>
      <c r="B488" s="24" t="n"/>
      <c r="C488" s="25" t="n"/>
      <c r="D488" s="25" t="n"/>
      <c r="E488" s="26" t="n"/>
      <c r="F488" s="27" t="n"/>
      <c r="G488" s="28" t="n"/>
      <c r="H488" s="28" t="n"/>
      <c r="I488" s="16">
        <f>IF(OR(G488="",N(H488)=0),"",G488/H488)</f>
        <v/>
      </c>
      <c r="J488" s="20">
        <f>IF(OR(B488="",E488=""),"",IF(OR(F488="Done",G488&lt;&gt;""),"Done",IF(E488&lt;TODAY(),"Late by "&amp;(TODAY()-E488)&amp;IF((TODAY()-E488)=1," day"," days"),IF(E488=TODAY(),"Due today",IF(E488=TODAY()+1,"Due tomorrow","Due in "&amp;(E488-TODAY())&amp;IF((E488-TODAY())=1," day"," days"))))))</f>
        <v/>
      </c>
      <c r="K488" s="25" t="n"/>
      <c r="L488" s="1">
        <f>IF(G488="","",N(H488))</f>
        <v/>
      </c>
      <c r="M488">
        <f>IF(OR(B488="",E488="",OR(F488="Done",G488&lt;&gt;"")),"",E488+ROW()/10000000)</f>
        <v/>
      </c>
    </row>
    <row r="489">
      <c r="A489" s="1" t="n"/>
      <c r="B489" s="24" t="n"/>
      <c r="C489" s="25" t="n"/>
      <c r="D489" s="25" t="n"/>
      <c r="E489" s="26" t="n"/>
      <c r="F489" s="27" t="n"/>
      <c r="G489" s="28" t="n"/>
      <c r="H489" s="28" t="n"/>
      <c r="I489" s="16">
        <f>IF(OR(G489="",N(H489)=0),"",G489/H489)</f>
        <v/>
      </c>
      <c r="J489" s="20">
        <f>IF(OR(B489="",E489=""),"",IF(OR(F489="Done",G489&lt;&gt;""),"Done",IF(E489&lt;TODAY(),"Late by "&amp;(TODAY()-E489)&amp;IF((TODAY()-E489)=1," day"," days"),IF(E489=TODAY(),"Due today",IF(E489=TODAY()+1,"Due tomorrow","Due in "&amp;(E489-TODAY())&amp;IF((E489-TODAY())=1," day"," days"))))))</f>
        <v/>
      </c>
      <c r="K489" s="25" t="n"/>
      <c r="L489" s="1">
        <f>IF(G489="","",N(H489))</f>
        <v/>
      </c>
      <c r="M489">
        <f>IF(OR(B489="",E489="",OR(F489="Done",G489&lt;&gt;"")),"",E489+ROW()/10000000)</f>
        <v/>
      </c>
    </row>
    <row r="490">
      <c r="A490" s="1" t="n"/>
      <c r="B490" s="24" t="n"/>
      <c r="C490" s="25" t="n"/>
      <c r="D490" s="25" t="n"/>
      <c r="E490" s="26" t="n"/>
      <c r="F490" s="27" t="n"/>
      <c r="G490" s="28" t="n"/>
      <c r="H490" s="28" t="n"/>
      <c r="I490" s="16">
        <f>IF(OR(G490="",N(H490)=0),"",G490/H490)</f>
        <v/>
      </c>
      <c r="J490" s="20">
        <f>IF(OR(B490="",E490=""),"",IF(OR(F490="Done",G490&lt;&gt;""),"Done",IF(E490&lt;TODAY(),"Late by "&amp;(TODAY()-E490)&amp;IF((TODAY()-E490)=1," day"," days"),IF(E490=TODAY(),"Due today",IF(E490=TODAY()+1,"Due tomorrow","Due in "&amp;(E490-TODAY())&amp;IF((E490-TODAY())=1," day"," days"))))))</f>
        <v/>
      </c>
      <c r="K490" s="25" t="n"/>
      <c r="L490" s="1">
        <f>IF(G490="","",N(H490))</f>
        <v/>
      </c>
      <c r="M490">
        <f>IF(OR(B490="",E490="",OR(F490="Done",G490&lt;&gt;"")),"",E490+ROW()/10000000)</f>
        <v/>
      </c>
    </row>
    <row r="491">
      <c r="A491" s="1" t="n"/>
      <c r="B491" s="24" t="n"/>
      <c r="C491" s="25" t="n"/>
      <c r="D491" s="25" t="n"/>
      <c r="E491" s="26" t="n"/>
      <c r="F491" s="27" t="n"/>
      <c r="G491" s="28" t="n"/>
      <c r="H491" s="28" t="n"/>
      <c r="I491" s="16">
        <f>IF(OR(G491="",N(H491)=0),"",G491/H491)</f>
        <v/>
      </c>
      <c r="J491" s="20">
        <f>IF(OR(B491="",E491=""),"",IF(OR(F491="Done",G491&lt;&gt;""),"Done",IF(E491&lt;TODAY(),"Late by "&amp;(TODAY()-E491)&amp;IF((TODAY()-E491)=1," day"," days"),IF(E491=TODAY(),"Due today",IF(E491=TODAY()+1,"Due tomorrow","Due in "&amp;(E491-TODAY())&amp;IF((E491-TODAY())=1," day"," days"))))))</f>
        <v/>
      </c>
      <c r="K491" s="25" t="n"/>
      <c r="L491" s="1">
        <f>IF(G491="","",N(H491))</f>
        <v/>
      </c>
      <c r="M491">
        <f>IF(OR(B491="",E491="",OR(F491="Done",G491&lt;&gt;"")),"",E491+ROW()/10000000)</f>
        <v/>
      </c>
    </row>
    <row r="492">
      <c r="A492" s="1" t="n"/>
      <c r="B492" s="24" t="n"/>
      <c r="C492" s="25" t="n"/>
      <c r="D492" s="25" t="n"/>
      <c r="E492" s="26" t="n"/>
      <c r="F492" s="27" t="n"/>
      <c r="G492" s="28" t="n"/>
      <c r="H492" s="28" t="n"/>
      <c r="I492" s="16">
        <f>IF(OR(G492="",N(H492)=0),"",G492/H492)</f>
        <v/>
      </c>
      <c r="J492" s="20">
        <f>IF(OR(B492="",E492=""),"",IF(OR(F492="Done",G492&lt;&gt;""),"Done",IF(E492&lt;TODAY(),"Late by "&amp;(TODAY()-E492)&amp;IF((TODAY()-E492)=1," day"," days"),IF(E492=TODAY(),"Due today",IF(E492=TODAY()+1,"Due tomorrow","Due in "&amp;(E492-TODAY())&amp;IF((E492-TODAY())=1," day"," days"))))))</f>
        <v/>
      </c>
      <c r="K492" s="25" t="n"/>
      <c r="L492" s="1">
        <f>IF(G492="","",N(H492))</f>
        <v/>
      </c>
      <c r="M492">
        <f>IF(OR(B492="",E492="",OR(F492="Done",G492&lt;&gt;"")),"",E492+ROW()/10000000)</f>
        <v/>
      </c>
    </row>
    <row r="493">
      <c r="A493" s="1" t="n"/>
      <c r="B493" s="24" t="n"/>
      <c r="C493" s="25" t="n"/>
      <c r="D493" s="25" t="n"/>
      <c r="E493" s="26" t="n"/>
      <c r="F493" s="27" t="n"/>
      <c r="G493" s="28" t="n"/>
      <c r="H493" s="28" t="n"/>
      <c r="I493" s="16">
        <f>IF(OR(G493="",N(H493)=0),"",G493/H493)</f>
        <v/>
      </c>
      <c r="J493" s="20">
        <f>IF(OR(B493="",E493=""),"",IF(OR(F493="Done",G493&lt;&gt;""),"Done",IF(E493&lt;TODAY(),"Late by "&amp;(TODAY()-E493)&amp;IF((TODAY()-E493)=1," day"," days"),IF(E493=TODAY(),"Due today",IF(E493=TODAY()+1,"Due tomorrow","Due in "&amp;(E493-TODAY())&amp;IF((E493-TODAY())=1," day"," days"))))))</f>
        <v/>
      </c>
      <c r="K493" s="25" t="n"/>
      <c r="L493" s="1">
        <f>IF(G493="","",N(H493))</f>
        <v/>
      </c>
      <c r="M493">
        <f>IF(OR(B493="",E493="",OR(F493="Done",G493&lt;&gt;"")),"",E493+ROW()/10000000)</f>
        <v/>
      </c>
    </row>
    <row r="494">
      <c r="A494" s="1" t="n"/>
      <c r="B494" s="24" t="n"/>
      <c r="C494" s="25" t="n"/>
      <c r="D494" s="25" t="n"/>
      <c r="E494" s="26" t="n"/>
      <c r="F494" s="27" t="n"/>
      <c r="G494" s="28" t="n"/>
      <c r="H494" s="28" t="n"/>
      <c r="I494" s="16">
        <f>IF(OR(G494="",N(H494)=0),"",G494/H494)</f>
        <v/>
      </c>
      <c r="J494" s="20">
        <f>IF(OR(B494="",E494=""),"",IF(OR(F494="Done",G494&lt;&gt;""),"Done",IF(E494&lt;TODAY(),"Late by "&amp;(TODAY()-E494)&amp;IF((TODAY()-E494)=1," day"," days"),IF(E494=TODAY(),"Due today",IF(E494=TODAY()+1,"Due tomorrow","Due in "&amp;(E494-TODAY())&amp;IF((E494-TODAY())=1," day"," days"))))))</f>
        <v/>
      </c>
      <c r="K494" s="25" t="n"/>
      <c r="L494" s="1">
        <f>IF(G494="","",N(H494))</f>
        <v/>
      </c>
      <c r="M494">
        <f>IF(OR(B494="",E494="",OR(F494="Done",G494&lt;&gt;"")),"",E494+ROW()/10000000)</f>
        <v/>
      </c>
    </row>
    <row r="495">
      <c r="A495" s="1" t="n"/>
      <c r="B495" s="24" t="n"/>
      <c r="C495" s="25" t="n"/>
      <c r="D495" s="25" t="n"/>
      <c r="E495" s="26" t="n"/>
      <c r="F495" s="27" t="n"/>
      <c r="G495" s="28" t="n"/>
      <c r="H495" s="28" t="n"/>
      <c r="I495" s="16">
        <f>IF(OR(G495="",N(H495)=0),"",G495/H495)</f>
        <v/>
      </c>
      <c r="J495" s="20">
        <f>IF(OR(B495="",E495=""),"",IF(OR(F495="Done",G495&lt;&gt;""),"Done",IF(E495&lt;TODAY(),"Late by "&amp;(TODAY()-E495)&amp;IF((TODAY()-E495)=1," day"," days"),IF(E495=TODAY(),"Due today",IF(E495=TODAY()+1,"Due tomorrow","Due in "&amp;(E495-TODAY())&amp;IF((E495-TODAY())=1," day"," days"))))))</f>
        <v/>
      </c>
      <c r="K495" s="25" t="n"/>
      <c r="L495" s="1">
        <f>IF(G495="","",N(H495))</f>
        <v/>
      </c>
      <c r="M495">
        <f>IF(OR(B495="",E495="",OR(F495="Done",G495&lt;&gt;"")),"",E495+ROW()/10000000)</f>
        <v/>
      </c>
    </row>
    <row r="496">
      <c r="A496" s="1" t="n"/>
      <c r="B496" s="24" t="n"/>
      <c r="C496" s="25" t="n"/>
      <c r="D496" s="25" t="n"/>
      <c r="E496" s="26" t="n"/>
      <c r="F496" s="27" t="n"/>
      <c r="G496" s="28" t="n"/>
      <c r="H496" s="28" t="n"/>
      <c r="I496" s="16">
        <f>IF(OR(G496="",N(H496)=0),"",G496/H496)</f>
        <v/>
      </c>
      <c r="J496" s="20">
        <f>IF(OR(B496="",E496=""),"",IF(OR(F496="Done",G496&lt;&gt;""),"Done",IF(E496&lt;TODAY(),"Late by "&amp;(TODAY()-E496)&amp;IF((TODAY()-E496)=1," day"," days"),IF(E496=TODAY(),"Due today",IF(E496=TODAY()+1,"Due tomorrow","Due in "&amp;(E496-TODAY())&amp;IF((E496-TODAY())=1," day"," days"))))))</f>
        <v/>
      </c>
      <c r="K496" s="25" t="n"/>
      <c r="L496" s="1">
        <f>IF(G496="","",N(H496))</f>
        <v/>
      </c>
      <c r="M496">
        <f>IF(OR(B496="",E496="",OR(F496="Done",G496&lt;&gt;"")),"",E496+ROW()/10000000)</f>
        <v/>
      </c>
    </row>
    <row r="497">
      <c r="A497" s="1" t="n"/>
      <c r="B497" s="24" t="n"/>
      <c r="C497" s="25" t="n"/>
      <c r="D497" s="25" t="n"/>
      <c r="E497" s="26" t="n"/>
      <c r="F497" s="27" t="n"/>
      <c r="G497" s="28" t="n"/>
      <c r="H497" s="28" t="n"/>
      <c r="I497" s="16">
        <f>IF(OR(G497="",N(H497)=0),"",G497/H497)</f>
        <v/>
      </c>
      <c r="J497" s="20">
        <f>IF(OR(B497="",E497=""),"",IF(OR(F497="Done",G497&lt;&gt;""),"Done",IF(E497&lt;TODAY(),"Late by "&amp;(TODAY()-E497)&amp;IF((TODAY()-E497)=1," day"," days"),IF(E497=TODAY(),"Due today",IF(E497=TODAY()+1,"Due tomorrow","Due in "&amp;(E497-TODAY())&amp;IF((E497-TODAY())=1," day"," days"))))))</f>
        <v/>
      </c>
      <c r="K497" s="25" t="n"/>
      <c r="L497" s="1">
        <f>IF(G497="","",N(H497))</f>
        <v/>
      </c>
      <c r="M497">
        <f>IF(OR(B497="",E497="",OR(F497="Done",G497&lt;&gt;"")),"",E497+ROW()/10000000)</f>
        <v/>
      </c>
    </row>
    <row r="498">
      <c r="A498" s="1" t="n"/>
      <c r="B498" s="24" t="n"/>
      <c r="C498" s="25" t="n"/>
      <c r="D498" s="25" t="n"/>
      <c r="E498" s="26" t="n"/>
      <c r="F498" s="27" t="n"/>
      <c r="G498" s="28" t="n"/>
      <c r="H498" s="28" t="n"/>
      <c r="I498" s="16">
        <f>IF(OR(G498="",N(H498)=0),"",G498/H498)</f>
        <v/>
      </c>
      <c r="J498" s="20">
        <f>IF(OR(B498="",E498=""),"",IF(OR(F498="Done",G498&lt;&gt;""),"Done",IF(E498&lt;TODAY(),"Late by "&amp;(TODAY()-E498)&amp;IF((TODAY()-E498)=1," day"," days"),IF(E498=TODAY(),"Due today",IF(E498=TODAY()+1,"Due tomorrow","Due in "&amp;(E498-TODAY())&amp;IF((E498-TODAY())=1," day"," days"))))))</f>
        <v/>
      </c>
      <c r="K498" s="25" t="n"/>
      <c r="L498" s="1">
        <f>IF(G498="","",N(H498))</f>
        <v/>
      </c>
      <c r="M498">
        <f>IF(OR(B498="",E498="",OR(F498="Done",G498&lt;&gt;"")),"",E498+ROW()/10000000)</f>
        <v/>
      </c>
    </row>
    <row r="499">
      <c r="A499" s="1" t="n"/>
      <c r="B499" s="24" t="n"/>
      <c r="C499" s="25" t="n"/>
      <c r="D499" s="25" t="n"/>
      <c r="E499" s="26" t="n"/>
      <c r="F499" s="27" t="n"/>
      <c r="G499" s="28" t="n"/>
      <c r="H499" s="28" t="n"/>
      <c r="I499" s="16">
        <f>IF(OR(G499="",N(H499)=0),"",G499/H499)</f>
        <v/>
      </c>
      <c r="J499" s="20">
        <f>IF(OR(B499="",E499=""),"",IF(OR(F499="Done",G499&lt;&gt;""),"Done",IF(E499&lt;TODAY(),"Late by "&amp;(TODAY()-E499)&amp;IF((TODAY()-E499)=1," day"," days"),IF(E499=TODAY(),"Due today",IF(E499=TODAY()+1,"Due tomorrow","Due in "&amp;(E499-TODAY())&amp;IF((E499-TODAY())=1," day"," days"))))))</f>
        <v/>
      </c>
      <c r="K499" s="25" t="n"/>
      <c r="L499" s="1">
        <f>IF(G499="","",N(H499))</f>
        <v/>
      </c>
      <c r="M499">
        <f>IF(OR(B499="",E499="",OR(F499="Done",G499&lt;&gt;"")),"",E499+ROW()/10000000)</f>
        <v/>
      </c>
    </row>
    <row r="500">
      <c r="A500" s="1" t="n"/>
      <c r="B500" s="24" t="n"/>
      <c r="C500" s="25" t="n"/>
      <c r="D500" s="25" t="n"/>
      <c r="E500" s="26" t="n"/>
      <c r="F500" s="27" t="n"/>
      <c r="G500" s="28" t="n"/>
      <c r="H500" s="28" t="n"/>
      <c r="I500" s="16">
        <f>IF(OR(G500="",N(H500)=0),"",G500/H500)</f>
        <v/>
      </c>
      <c r="J500" s="20">
        <f>IF(OR(B500="",E500=""),"",IF(OR(F500="Done",G500&lt;&gt;""),"Done",IF(E500&lt;TODAY(),"Late by "&amp;(TODAY()-E500)&amp;IF((TODAY()-E500)=1," day"," days"),IF(E500=TODAY(),"Due today",IF(E500=TODAY()+1,"Due tomorrow","Due in "&amp;(E500-TODAY())&amp;IF((E500-TODAY())=1," day"," days"))))))</f>
        <v/>
      </c>
      <c r="K500" s="25" t="n"/>
      <c r="L500" s="1">
        <f>IF(G500="","",N(H500))</f>
        <v/>
      </c>
      <c r="M500">
        <f>IF(OR(B500="",E500="",OR(F500="Done",G500&lt;&gt;"")),"",E500+ROW()/10000000)</f>
        <v/>
      </c>
    </row>
    <row r="501">
      <c r="A501" s="1" t="n"/>
      <c r="B501" s="24" t="n"/>
      <c r="C501" s="25" t="n"/>
      <c r="D501" s="25" t="n"/>
      <c r="E501" s="26" t="n"/>
      <c r="F501" s="27" t="n"/>
      <c r="G501" s="28" t="n"/>
      <c r="H501" s="28" t="n"/>
      <c r="I501" s="16">
        <f>IF(OR(G501="",N(H501)=0),"",G501/H501)</f>
        <v/>
      </c>
      <c r="J501" s="20">
        <f>IF(OR(B501="",E501=""),"",IF(OR(F501="Done",G501&lt;&gt;""),"Done",IF(E501&lt;TODAY(),"Late by "&amp;(TODAY()-E501)&amp;IF((TODAY()-E501)=1," day"," days"),IF(E501=TODAY(),"Due today",IF(E501=TODAY()+1,"Due tomorrow","Due in "&amp;(E501-TODAY())&amp;IF((E501-TODAY())=1," day"," days"))))))</f>
        <v/>
      </c>
      <c r="K501" s="25" t="n"/>
      <c r="L501" s="1">
        <f>IF(G501="","",N(H501))</f>
        <v/>
      </c>
      <c r="M501">
        <f>IF(OR(B501="",E501="",OR(F501="Done",G501&lt;&gt;"")),"",E501+ROW()/10000000)</f>
        <v/>
      </c>
    </row>
    <row r="502">
      <c r="A502" s="1" t="n"/>
      <c r="B502" s="24" t="n"/>
      <c r="C502" s="25" t="n"/>
      <c r="D502" s="25" t="n"/>
      <c r="E502" s="26" t="n"/>
      <c r="F502" s="27" t="n"/>
      <c r="G502" s="28" t="n"/>
      <c r="H502" s="28" t="n"/>
      <c r="I502" s="16">
        <f>IF(OR(G502="",N(H502)=0),"",G502/H502)</f>
        <v/>
      </c>
      <c r="J502" s="20">
        <f>IF(OR(B502="",E502=""),"",IF(OR(F502="Done",G502&lt;&gt;""),"Done",IF(E502&lt;TODAY(),"Late by "&amp;(TODAY()-E502)&amp;IF((TODAY()-E502)=1," day"," days"),IF(E502=TODAY(),"Due today",IF(E502=TODAY()+1,"Due tomorrow","Due in "&amp;(E502-TODAY())&amp;IF((E502-TODAY())=1," day"," days"))))))</f>
        <v/>
      </c>
      <c r="K502" s="25" t="n"/>
      <c r="L502" s="1">
        <f>IF(G502="","",N(H502))</f>
        <v/>
      </c>
      <c r="M502">
        <f>IF(OR(B502="",E502="",OR(F502="Done",G502&lt;&gt;"")),"",E502+ROW()/10000000)</f>
        <v/>
      </c>
    </row>
    <row r="503">
      <c r="A503" s="1" t="n"/>
      <c r="B503" s="24" t="n"/>
      <c r="C503" s="25" t="n"/>
      <c r="D503" s="25" t="n"/>
      <c r="E503" s="26" t="n"/>
      <c r="F503" s="27" t="n"/>
      <c r="G503" s="28" t="n"/>
      <c r="H503" s="28" t="n"/>
      <c r="I503" s="16">
        <f>IF(OR(G503="",N(H503)=0),"",G503/H503)</f>
        <v/>
      </c>
      <c r="J503" s="20">
        <f>IF(OR(B503="",E503=""),"",IF(OR(F503="Done",G503&lt;&gt;""),"Done",IF(E503&lt;TODAY(),"Late by "&amp;(TODAY()-E503)&amp;IF((TODAY()-E503)=1," day"," days"),IF(E503=TODAY(),"Due today",IF(E503=TODAY()+1,"Due tomorrow","Due in "&amp;(E503-TODAY())&amp;IF((E503-TODAY())=1," day"," days"))))))</f>
        <v/>
      </c>
      <c r="K503" s="25" t="n"/>
      <c r="L503" s="1">
        <f>IF(G503="","",N(H503))</f>
        <v/>
      </c>
      <c r="M503">
        <f>IF(OR(B503="",E503="",OR(F503="Done",G503&lt;&gt;"")),"",E503+ROW()/10000000)</f>
        <v/>
      </c>
    </row>
    <row r="504">
      <c r="A504" s="1" t="n"/>
      <c r="B504" s="24" t="n"/>
      <c r="C504" s="25" t="n"/>
      <c r="D504" s="25" t="n"/>
      <c r="E504" s="26" t="n"/>
      <c r="F504" s="27" t="n"/>
      <c r="G504" s="28" t="n"/>
      <c r="H504" s="28" t="n"/>
      <c r="I504" s="16">
        <f>IF(OR(G504="",N(H504)=0),"",G504/H504)</f>
        <v/>
      </c>
      <c r="J504" s="20">
        <f>IF(OR(B504="",E504=""),"",IF(OR(F504="Done",G504&lt;&gt;""),"Done",IF(E504&lt;TODAY(),"Late by "&amp;(TODAY()-E504)&amp;IF((TODAY()-E504)=1," day"," days"),IF(E504=TODAY(),"Due today",IF(E504=TODAY()+1,"Due tomorrow","Due in "&amp;(E504-TODAY())&amp;IF((E504-TODAY())=1," day"," days"))))))</f>
        <v/>
      </c>
      <c r="K504" s="25" t="n"/>
      <c r="L504" s="1">
        <f>IF(G504="","",N(H504))</f>
        <v/>
      </c>
      <c r="M504">
        <f>IF(OR(B504="",E504="",OR(F504="Done",G504&lt;&gt;"")),"",E504+ROW()/10000000)</f>
        <v/>
      </c>
    </row>
    <row r="505">
      <c r="A505" s="1" t="n"/>
      <c r="B505" s="24" t="n"/>
      <c r="C505" s="25" t="n"/>
      <c r="D505" s="25" t="n"/>
      <c r="E505" s="26" t="n"/>
      <c r="F505" s="27" t="n"/>
      <c r="G505" s="28" t="n"/>
      <c r="H505" s="28" t="n"/>
      <c r="I505" s="16">
        <f>IF(OR(G505="",N(H505)=0),"",G505/H505)</f>
        <v/>
      </c>
      <c r="J505" s="20">
        <f>IF(OR(B505="",E505=""),"",IF(OR(F505="Done",G505&lt;&gt;""),"Done",IF(E505&lt;TODAY(),"Late by "&amp;(TODAY()-E505)&amp;IF((TODAY()-E505)=1," day"," days"),IF(E505=TODAY(),"Due today",IF(E505=TODAY()+1,"Due tomorrow","Due in "&amp;(E505-TODAY())&amp;IF((E505-TODAY())=1," day"," days"))))))</f>
        <v/>
      </c>
      <c r="K505" s="25" t="n"/>
      <c r="L505" s="1">
        <f>IF(G505="","",N(H505))</f>
        <v/>
      </c>
      <c r="M505">
        <f>IF(OR(B505="",E505="",OR(F505="Done",G505&lt;&gt;"")),"",E505+ROW()/10000000)</f>
        <v/>
      </c>
    </row>
    <row r="506">
      <c r="A506" s="1" t="n"/>
      <c r="B506" s="1" t="n"/>
      <c r="C506" s="1" t="n"/>
      <c r="D506" s="1" t="n"/>
      <c r="E506" s="1" t="n"/>
      <c r="F506" s="1" t="n"/>
      <c r="G506" s="1" t="n"/>
      <c r="H506" s="1" t="n"/>
      <c r="I506" s="1" t="n"/>
      <c r="J506" s="1" t="n"/>
      <c r="K506" s="1" t="n"/>
      <c r="L506" s="1" t="n"/>
    </row>
  </sheetData>
  <conditionalFormatting sqref="J6:J505">
    <cfRule type="expression" priority="1" dxfId="3">
      <formula>LEFT($J6,4)="Late"</formula>
    </cfRule>
    <cfRule type="expression" priority="2" dxfId="1">
      <formula>AND(LEFT($J6,3)="Due",$E6&lt;=TODAY()+7)</formula>
    </cfRule>
    <cfRule type="expression" priority="3" dxfId="0">
      <formula>$J6="Done"</formula>
    </cfRule>
  </conditionalFormatting>
  <conditionalFormatting sqref="I6:I505">
    <cfRule type="expression" priority="4" dxfId="1">
      <formula>AND(I6&lt;&gt;"",I6&lt;0.7)</formula>
    </cfRule>
  </conditionalFormatting>
  <dataValidations count="3">
    <dataValidation sqref="B6:B505" showDropDown="0" showInputMessage="0" showErrorMessage="1" allowBlank="1" type="list">
      <formula1>=Courses!$B$6:$B$15</formula1>
    </dataValidation>
    <dataValidation sqref="D6:D505" showDropDown="0" showInputMessage="0" showErrorMessage="1" allowBlank="1" type="list">
      <formula1>=Settings!$B$6:$B$11</formula1>
    </dataValidation>
    <dataValidation sqref="F6:F505" showDropDown="0" showInputMessage="0" showErrorMessage="1" allowBlank="1" type="list">
      <formula1>"To do,In progress,Done"</formula1>
    </dataValidation>
  </dataValidations>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AF18"/>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3" customWidth="1" min="1" max="1"/>
    <col width="22" customWidth="1" min="2" max="2"/>
    <col width="14" customWidth="1" min="3" max="3"/>
    <col width="8" customWidth="1" min="4" max="4"/>
    <col width="10" customWidth="1" min="5" max="5"/>
    <col width="10" customWidth="1" min="6" max="6"/>
    <col width="10" customWidth="1" min="7" max="7"/>
    <col width="10" customWidth="1" min="8" max="8"/>
    <col width="10" customWidth="1" min="9" max="9"/>
    <col width="10" customWidth="1" min="10" max="10"/>
    <col width="9" customWidth="1" min="11" max="11"/>
    <col width="9" customWidth="1" min="12" max="12"/>
    <col width="10" customWidth="1" min="13" max="13"/>
    <col width="8" customWidth="1" min="14" max="14"/>
    <col width="14" customWidth="1" min="15" max="15"/>
    <col width="10" customWidth="1" min="16" max="16"/>
    <col hidden="1" width="13" customWidth="1" min="18" max="18"/>
    <col hidden="1" width="13" customWidth="1" min="19" max="19"/>
    <col hidden="1" width="13" customWidth="1" min="20" max="20"/>
    <col hidden="1" width="13" customWidth="1" min="21" max="21"/>
    <col hidden="1" width="13" customWidth="1" min="22" max="22"/>
    <col hidden="1" width="13" customWidth="1" min="23" max="23"/>
    <col hidden="1" width="13" customWidth="1" min="24" max="24"/>
    <col hidden="1" width="13" customWidth="1" min="25" max="25"/>
    <col hidden="1" width="13" customWidth="1" min="26" max="26"/>
    <col hidden="1" width="13" customWidth="1" min="27" max="27"/>
    <col hidden="1" width="13" customWidth="1" min="28" max="28"/>
    <col hidden="1" width="13" customWidth="1" min="29" max="29"/>
    <col hidden="1" width="13" customWidth="1" min="30" max="30"/>
    <col hidden="1" width="13" customWidth="1" min="31" max="31"/>
    <col hidden="1" width="13" customWidth="1" min="32" max="32"/>
  </cols>
  <sheetData>
    <row r="1">
      <c r="A1" s="1" t="n"/>
      <c r="B1" s="1" t="n"/>
      <c r="C1" s="1" t="n"/>
      <c r="D1" s="1" t="n"/>
      <c r="E1" s="1" t="n"/>
      <c r="F1" s="1" t="n"/>
      <c r="G1" s="1" t="n"/>
      <c r="H1" s="1" t="n"/>
      <c r="I1" s="1" t="n"/>
      <c r="J1" s="1" t="n"/>
      <c r="K1" s="1" t="n"/>
      <c r="L1" s="1" t="n"/>
      <c r="M1" s="1" t="n"/>
      <c r="N1" s="1" t="n"/>
      <c r="O1" s="1" t="n"/>
      <c r="P1" s="1" t="n"/>
      <c r="Q1" s="1" t="n"/>
    </row>
    <row r="2" ht="32" customHeight="1">
      <c r="A2" s="1" t="n"/>
      <c r="B2" s="2" t="inlineStr">
        <is>
          <t>Courses</t>
        </is>
      </c>
      <c r="C2" s="1" t="n"/>
      <c r="D2" s="1" t="n"/>
      <c r="E2" s="1" t="n"/>
      <c r="F2" s="1" t="n"/>
      <c r="G2" s="1" t="n"/>
      <c r="H2" s="1" t="n"/>
      <c r="I2" s="1" t="n"/>
      <c r="J2" s="1" t="n"/>
      <c r="K2" s="1" t="n"/>
      <c r="L2" s="1" t="n"/>
      <c r="M2" s="1" t="n"/>
      <c r="N2" s="1" t="n"/>
      <c r="O2" s="1" t="n"/>
      <c r="P2" s="1" t="n"/>
      <c r="Q2" s="1" t="n"/>
    </row>
    <row r="3">
      <c r="A3" s="1" t="n"/>
      <c r="B3" s="3" t="inlineStr">
        <is>
          <t>Each course with its credits and how much each kind of work counts. The weights should add up to 100%.</t>
        </is>
      </c>
      <c r="C3" s="1" t="n"/>
      <c r="D3" s="1" t="n"/>
      <c r="E3" s="1" t="n"/>
      <c r="F3" s="1" t="n"/>
      <c r="G3" s="1" t="n"/>
      <c r="H3" s="1" t="n"/>
      <c r="I3" s="1" t="n"/>
      <c r="J3" s="1" t="n"/>
      <c r="K3" s="1" t="n"/>
      <c r="L3" s="1" t="n"/>
      <c r="M3" s="1" t="n"/>
      <c r="N3" s="1" t="n"/>
      <c r="O3" s="1" t="n"/>
      <c r="P3" s="1" t="n"/>
      <c r="Q3" s="1" t="n"/>
    </row>
    <row r="4">
      <c r="A4" s="1" t="n"/>
      <c r="B4" s="1" t="n"/>
      <c r="C4" s="1" t="n"/>
      <c r="D4" s="1" t="n"/>
      <c r="E4" s="1" t="n"/>
      <c r="F4" s="1" t="n"/>
      <c r="G4" s="1" t="n"/>
      <c r="H4" s="1" t="n"/>
      <c r="I4" s="1" t="n"/>
      <c r="J4" s="1" t="n"/>
      <c r="K4" s="1" t="n"/>
      <c r="L4" s="1" t="n"/>
      <c r="M4" s="1" t="n"/>
      <c r="N4" s="1" t="n"/>
      <c r="O4" s="1" t="n"/>
      <c r="P4" s="1" t="n"/>
      <c r="Q4" s="1" t="n"/>
    </row>
    <row r="5" ht="30" customHeight="1">
      <c r="A5" s="1" t="n"/>
      <c r="B5" s="11" t="inlineStr">
        <is>
          <t>Course</t>
        </is>
      </c>
      <c r="C5" s="11" t="inlineStr">
        <is>
          <t>Teacher</t>
        </is>
      </c>
      <c r="D5" s="11" t="inlineStr">
        <is>
          <t>Credits</t>
        </is>
      </c>
      <c r="E5" s="11">
        <f>Settings!B6</f>
        <v/>
      </c>
      <c r="F5" s="11">
        <f>Settings!B7</f>
        <v/>
      </c>
      <c r="G5" s="11">
        <f>Settings!B8</f>
        <v/>
      </c>
      <c r="H5" s="11">
        <f>Settings!B9</f>
        <v/>
      </c>
      <c r="I5" s="11">
        <f>Settings!B10</f>
        <v/>
      </c>
      <c r="J5" s="11">
        <f>Settings!B11</f>
        <v/>
      </c>
      <c r="K5" s="11" t="inlineStr">
        <is>
          <t>Target</t>
        </is>
      </c>
      <c r="L5" s="11" t="inlineStr">
        <is>
          <t>Weights</t>
        </is>
      </c>
      <c r="M5" s="11" t="inlineStr">
        <is>
          <t>Grade now</t>
        </is>
      </c>
      <c r="N5" s="11" t="inlineStr">
        <is>
          <t>Letter</t>
        </is>
      </c>
      <c r="O5" s="11" t="inlineStr">
        <is>
          <t>Needed on final</t>
        </is>
      </c>
      <c r="P5" s="11" t="inlineStr">
        <is>
          <t>Due in 7 days</t>
        </is>
      </c>
      <c r="Q5" s="1" t="n"/>
    </row>
    <row r="6">
      <c r="A6" s="1" t="n"/>
      <c r="B6" s="24" t="inlineStr">
        <is>
          <t>Biology 101</t>
        </is>
      </c>
      <c r="C6" s="25" t="inlineStr">
        <is>
          <t>Dr. Reyes</t>
        </is>
      </c>
      <c r="D6" s="29" t="n">
        <v>4</v>
      </c>
      <c r="E6" s="30" t="n">
        <v>0.15</v>
      </c>
      <c r="F6" s="30" t="n">
        <v>0.15</v>
      </c>
      <c r="G6" s="30" t="n">
        <v>0.2</v>
      </c>
      <c r="H6" s="30" t="n">
        <v>0.2</v>
      </c>
      <c r="I6" s="30" t="n">
        <v>0.3</v>
      </c>
      <c r="J6" s="30" t="n"/>
      <c r="K6" s="30" t="n">
        <v>0.9</v>
      </c>
      <c r="L6" s="15">
        <f>IF(B6="","",SUM(E6:J6))</f>
        <v/>
      </c>
      <c r="M6" s="13">
        <f>IF(OR(B6="",SUM(X6:AC6)=0),"",SUMPRODUCT(E6:J6,R6:W6)/SUM(X6:AC6))</f>
        <v/>
      </c>
      <c r="N6" s="14">
        <f>IF(M6="","",INDEX(Settings!$E$6:$E$17,MATCH(M6+0.0000001,Settings!$D$6:$D$17,1)))</f>
        <v/>
      </c>
      <c r="O6" s="16">
        <f>IF(OR(M6="",N(I6)=0,AB6&gt;0,N(K6)=0),"",IF((N(K6)-M6*(1-N(I6)))/N(I6)&lt;=0,"Any score",IF((N(K6)-M6*(1-N(I6)))/N(I6)&gt;1,"Above 100%",(N(K6)-M6*(1-N(I6)))/N(I6))))</f>
        <v/>
      </c>
      <c r="P6" s="17">
        <f>IF(B6="","",COUNTIFS(Assignments!$B$6:$B$505,B6,Assignments!$M$6:$M$505,"&gt;="&amp;TODAY(),Assignments!$M$6:$M$505,"&lt;"&amp;(TODAY()+8)))</f>
        <v/>
      </c>
      <c r="Q6" s="1" t="n"/>
      <c r="R6">
        <f>IF(OR($B6="",SUMIFS(Assignments!$L$6:$L$505,Assignments!$B$6:$B$505,$B6,Assignments!$D$6:$D$505,Settings!$B$6)=0),0,SUMIFS(Assignments!$G$6:$G$505,Assignments!$B$6:$B$505,$B6,Assignments!$D$6:$D$505,Settings!$B$6)/SUMIFS(Assignments!$L$6:$L$505,Assignments!$B$6:$B$505,$B6,Assignments!$D$6:$D$505,Settings!$B$6))</f>
        <v/>
      </c>
      <c r="S6">
        <f>IF(OR($B6="",SUMIFS(Assignments!$L$6:$L$505,Assignments!$B$6:$B$505,$B6,Assignments!$D$6:$D$505,Settings!$B$7)=0),0,SUMIFS(Assignments!$G$6:$G$505,Assignments!$B$6:$B$505,$B6,Assignments!$D$6:$D$505,Settings!$B$7)/SUMIFS(Assignments!$L$6:$L$505,Assignments!$B$6:$B$505,$B6,Assignments!$D$6:$D$505,Settings!$B$7))</f>
        <v/>
      </c>
      <c r="T6">
        <f>IF(OR($B6="",SUMIFS(Assignments!$L$6:$L$505,Assignments!$B$6:$B$505,$B6,Assignments!$D$6:$D$505,Settings!$B$8)=0),0,SUMIFS(Assignments!$G$6:$G$505,Assignments!$B$6:$B$505,$B6,Assignments!$D$6:$D$505,Settings!$B$8)/SUMIFS(Assignments!$L$6:$L$505,Assignments!$B$6:$B$505,$B6,Assignments!$D$6:$D$505,Settings!$B$8))</f>
        <v/>
      </c>
      <c r="U6">
        <f>IF(OR($B6="",SUMIFS(Assignments!$L$6:$L$505,Assignments!$B$6:$B$505,$B6,Assignments!$D$6:$D$505,Settings!$B$9)=0),0,SUMIFS(Assignments!$G$6:$G$505,Assignments!$B$6:$B$505,$B6,Assignments!$D$6:$D$505,Settings!$B$9)/SUMIFS(Assignments!$L$6:$L$505,Assignments!$B$6:$B$505,$B6,Assignments!$D$6:$D$505,Settings!$B$9))</f>
        <v/>
      </c>
      <c r="V6">
        <f>IF(OR($B6="",SUMIFS(Assignments!$L$6:$L$505,Assignments!$B$6:$B$505,$B6,Assignments!$D$6:$D$505,Settings!$B$10)=0),0,SUMIFS(Assignments!$G$6:$G$505,Assignments!$B$6:$B$505,$B6,Assignments!$D$6:$D$505,Settings!$B$10)/SUMIFS(Assignments!$L$6:$L$505,Assignments!$B$6:$B$505,$B6,Assignments!$D$6:$D$505,Settings!$B$10))</f>
        <v/>
      </c>
      <c r="W6">
        <f>IF(OR($B6="",SUMIFS(Assignments!$L$6:$L$505,Assignments!$B$6:$B$505,$B6,Assignments!$D$6:$D$505,Settings!$B$11)=0),0,SUMIFS(Assignments!$G$6:$G$505,Assignments!$B$6:$B$505,$B6,Assignments!$D$6:$D$505,Settings!$B$11)/SUMIFS(Assignments!$L$6:$L$505,Assignments!$B$6:$B$505,$B6,Assignments!$D$6:$D$505,Settings!$B$11))</f>
        <v/>
      </c>
      <c r="X6">
        <f>IF(OR($B6="",SUMIFS(Assignments!$L$6:$L$505,Assignments!$B$6:$B$505,$B6,Assignments!$D$6:$D$505,Settings!$B$6)=0),0,N(E6))</f>
        <v/>
      </c>
      <c r="Y6">
        <f>IF(OR($B6="",SUMIFS(Assignments!$L$6:$L$505,Assignments!$B$6:$B$505,$B6,Assignments!$D$6:$D$505,Settings!$B$7)=0),0,N(F6))</f>
        <v/>
      </c>
      <c r="Z6">
        <f>IF(OR($B6="",SUMIFS(Assignments!$L$6:$L$505,Assignments!$B$6:$B$505,$B6,Assignments!$D$6:$D$505,Settings!$B$8)=0),0,N(G6))</f>
        <v/>
      </c>
      <c r="AA6">
        <f>IF(OR($B6="",SUMIFS(Assignments!$L$6:$L$505,Assignments!$B$6:$B$505,$B6,Assignments!$D$6:$D$505,Settings!$B$9)=0),0,N(H6))</f>
        <v/>
      </c>
      <c r="AB6">
        <f>IF(OR($B6="",SUMIFS(Assignments!$L$6:$L$505,Assignments!$B$6:$B$505,$B6,Assignments!$D$6:$D$505,Settings!$B$10)=0),0,N(I6))</f>
        <v/>
      </c>
      <c r="AC6">
        <f>IF(OR($B6="",SUMIFS(Assignments!$L$6:$L$505,Assignments!$B$6:$B$505,$B6,Assignments!$D$6:$D$505,Settings!$B$11)=0),0,N(J6))</f>
        <v/>
      </c>
      <c r="AD6">
        <f>IF(N6="","",IFERROR(INDEX(Settings!$F$6:$F$17,MATCH(N6,Settings!$E$6:$E$17,0)),""))</f>
        <v/>
      </c>
      <c r="AE6">
        <f>IF(OR(B6="",AD6=""),0,AD6)</f>
        <v/>
      </c>
      <c r="AF6">
        <f>IF(OR(B6="",AD6=""),0,N(D6))</f>
        <v/>
      </c>
    </row>
    <row r="7">
      <c r="A7" s="1" t="n"/>
      <c r="B7" s="24" t="inlineStr">
        <is>
          <t>Calculus I</t>
        </is>
      </c>
      <c r="C7" s="25" t="inlineStr">
        <is>
          <t>Prof. Chen</t>
        </is>
      </c>
      <c r="D7" s="29" t="n">
        <v>4</v>
      </c>
      <c r="E7" s="30" t="n">
        <v>0.2</v>
      </c>
      <c r="F7" s="30" t="n">
        <v>0.2</v>
      </c>
      <c r="G7" s="30" t="n"/>
      <c r="H7" s="30" t="n">
        <v>0.25</v>
      </c>
      <c r="I7" s="30" t="n">
        <v>0.35</v>
      </c>
      <c r="J7" s="30" t="n"/>
      <c r="K7" s="30" t="n">
        <v>0.85</v>
      </c>
      <c r="L7" s="15">
        <f>IF(B7="","",SUM(E7:J7))</f>
        <v/>
      </c>
      <c r="M7" s="13">
        <f>IF(OR(B7="",SUM(X7:AC7)=0),"",SUMPRODUCT(E7:J7,R7:W7)/SUM(X7:AC7))</f>
        <v/>
      </c>
      <c r="N7" s="14">
        <f>IF(M7="","",INDEX(Settings!$E$6:$E$17,MATCH(M7+0.0000001,Settings!$D$6:$D$17,1)))</f>
        <v/>
      </c>
      <c r="O7" s="16">
        <f>IF(OR(M7="",N(I7)=0,AB7&gt;0,N(K7)=0),"",IF((N(K7)-M7*(1-N(I7)))/N(I7)&lt;=0,"Any score",IF((N(K7)-M7*(1-N(I7)))/N(I7)&gt;1,"Above 100%",(N(K7)-M7*(1-N(I7)))/N(I7))))</f>
        <v/>
      </c>
      <c r="P7" s="17">
        <f>IF(B7="","",COUNTIFS(Assignments!$B$6:$B$505,B7,Assignments!$M$6:$M$505,"&gt;="&amp;TODAY(),Assignments!$M$6:$M$505,"&lt;"&amp;(TODAY()+8)))</f>
        <v/>
      </c>
      <c r="Q7" s="1" t="n"/>
      <c r="R7">
        <f>IF(OR($B7="",SUMIFS(Assignments!$L$6:$L$505,Assignments!$B$6:$B$505,$B7,Assignments!$D$6:$D$505,Settings!$B$6)=0),0,SUMIFS(Assignments!$G$6:$G$505,Assignments!$B$6:$B$505,$B7,Assignments!$D$6:$D$505,Settings!$B$6)/SUMIFS(Assignments!$L$6:$L$505,Assignments!$B$6:$B$505,$B7,Assignments!$D$6:$D$505,Settings!$B$6))</f>
        <v/>
      </c>
      <c r="S7">
        <f>IF(OR($B7="",SUMIFS(Assignments!$L$6:$L$505,Assignments!$B$6:$B$505,$B7,Assignments!$D$6:$D$505,Settings!$B$7)=0),0,SUMIFS(Assignments!$G$6:$G$505,Assignments!$B$6:$B$505,$B7,Assignments!$D$6:$D$505,Settings!$B$7)/SUMIFS(Assignments!$L$6:$L$505,Assignments!$B$6:$B$505,$B7,Assignments!$D$6:$D$505,Settings!$B$7))</f>
        <v/>
      </c>
      <c r="T7">
        <f>IF(OR($B7="",SUMIFS(Assignments!$L$6:$L$505,Assignments!$B$6:$B$505,$B7,Assignments!$D$6:$D$505,Settings!$B$8)=0),0,SUMIFS(Assignments!$G$6:$G$505,Assignments!$B$6:$B$505,$B7,Assignments!$D$6:$D$505,Settings!$B$8)/SUMIFS(Assignments!$L$6:$L$505,Assignments!$B$6:$B$505,$B7,Assignments!$D$6:$D$505,Settings!$B$8))</f>
        <v/>
      </c>
      <c r="U7">
        <f>IF(OR($B7="",SUMIFS(Assignments!$L$6:$L$505,Assignments!$B$6:$B$505,$B7,Assignments!$D$6:$D$505,Settings!$B$9)=0),0,SUMIFS(Assignments!$G$6:$G$505,Assignments!$B$6:$B$505,$B7,Assignments!$D$6:$D$505,Settings!$B$9)/SUMIFS(Assignments!$L$6:$L$505,Assignments!$B$6:$B$505,$B7,Assignments!$D$6:$D$505,Settings!$B$9))</f>
        <v/>
      </c>
      <c r="V7">
        <f>IF(OR($B7="",SUMIFS(Assignments!$L$6:$L$505,Assignments!$B$6:$B$505,$B7,Assignments!$D$6:$D$505,Settings!$B$10)=0),0,SUMIFS(Assignments!$G$6:$G$505,Assignments!$B$6:$B$505,$B7,Assignments!$D$6:$D$505,Settings!$B$10)/SUMIFS(Assignments!$L$6:$L$505,Assignments!$B$6:$B$505,$B7,Assignments!$D$6:$D$505,Settings!$B$10))</f>
        <v/>
      </c>
      <c r="W7">
        <f>IF(OR($B7="",SUMIFS(Assignments!$L$6:$L$505,Assignments!$B$6:$B$505,$B7,Assignments!$D$6:$D$505,Settings!$B$11)=0),0,SUMIFS(Assignments!$G$6:$G$505,Assignments!$B$6:$B$505,$B7,Assignments!$D$6:$D$505,Settings!$B$11)/SUMIFS(Assignments!$L$6:$L$505,Assignments!$B$6:$B$505,$B7,Assignments!$D$6:$D$505,Settings!$B$11))</f>
        <v/>
      </c>
      <c r="X7">
        <f>IF(OR($B7="",SUMIFS(Assignments!$L$6:$L$505,Assignments!$B$6:$B$505,$B7,Assignments!$D$6:$D$505,Settings!$B$6)=0),0,N(E7))</f>
        <v/>
      </c>
      <c r="Y7">
        <f>IF(OR($B7="",SUMIFS(Assignments!$L$6:$L$505,Assignments!$B$6:$B$505,$B7,Assignments!$D$6:$D$505,Settings!$B$7)=0),0,N(F7))</f>
        <v/>
      </c>
      <c r="Z7">
        <f>IF(OR($B7="",SUMIFS(Assignments!$L$6:$L$505,Assignments!$B$6:$B$505,$B7,Assignments!$D$6:$D$505,Settings!$B$8)=0),0,N(G7))</f>
        <v/>
      </c>
      <c r="AA7">
        <f>IF(OR($B7="",SUMIFS(Assignments!$L$6:$L$505,Assignments!$B$6:$B$505,$B7,Assignments!$D$6:$D$505,Settings!$B$9)=0),0,N(H7))</f>
        <v/>
      </c>
      <c r="AB7">
        <f>IF(OR($B7="",SUMIFS(Assignments!$L$6:$L$505,Assignments!$B$6:$B$505,$B7,Assignments!$D$6:$D$505,Settings!$B$10)=0),0,N(I7))</f>
        <v/>
      </c>
      <c r="AC7">
        <f>IF(OR($B7="",SUMIFS(Assignments!$L$6:$L$505,Assignments!$B$6:$B$505,$B7,Assignments!$D$6:$D$505,Settings!$B$11)=0),0,N(J7))</f>
        <v/>
      </c>
      <c r="AD7">
        <f>IF(N7="","",IFERROR(INDEX(Settings!$F$6:$F$17,MATCH(N7,Settings!$E$6:$E$17,0)),""))</f>
        <v/>
      </c>
      <c r="AE7">
        <f>IF(OR(B7="",AD7=""),0,AD7)</f>
        <v/>
      </c>
      <c r="AF7">
        <f>IF(OR(B7="",AD7=""),0,N(D7))</f>
        <v/>
      </c>
    </row>
    <row r="8">
      <c r="A8" s="1" t="n"/>
      <c r="B8" s="24" t="inlineStr">
        <is>
          <t>English Composition</t>
        </is>
      </c>
      <c r="C8" s="25" t="inlineStr">
        <is>
          <t>Ms. Porter</t>
        </is>
      </c>
      <c r="D8" s="29" t="n">
        <v>3</v>
      </c>
      <c r="E8" s="30" t="n"/>
      <c r="F8" s="30" t="n"/>
      <c r="G8" s="30" t="n">
        <v>0.6</v>
      </c>
      <c r="H8" s="30" t="n"/>
      <c r="I8" s="30" t="n">
        <v>0.3</v>
      </c>
      <c r="J8" s="30" t="n">
        <v>0.1</v>
      </c>
      <c r="K8" s="30" t="n">
        <v>0.9</v>
      </c>
      <c r="L8" s="15">
        <f>IF(B8="","",SUM(E8:J8))</f>
        <v/>
      </c>
      <c r="M8" s="13">
        <f>IF(OR(B8="",SUM(X8:AC8)=0),"",SUMPRODUCT(E8:J8,R8:W8)/SUM(X8:AC8))</f>
        <v/>
      </c>
      <c r="N8" s="14">
        <f>IF(M8="","",INDEX(Settings!$E$6:$E$17,MATCH(M8+0.0000001,Settings!$D$6:$D$17,1)))</f>
        <v/>
      </c>
      <c r="O8" s="16">
        <f>IF(OR(M8="",N(I8)=0,AB8&gt;0,N(K8)=0),"",IF((N(K8)-M8*(1-N(I8)))/N(I8)&lt;=0,"Any score",IF((N(K8)-M8*(1-N(I8)))/N(I8)&gt;1,"Above 100%",(N(K8)-M8*(1-N(I8)))/N(I8))))</f>
        <v/>
      </c>
      <c r="P8" s="17">
        <f>IF(B8="","",COUNTIFS(Assignments!$B$6:$B$505,B8,Assignments!$M$6:$M$505,"&gt;="&amp;TODAY(),Assignments!$M$6:$M$505,"&lt;"&amp;(TODAY()+8)))</f>
        <v/>
      </c>
      <c r="Q8" s="1" t="n"/>
      <c r="R8">
        <f>IF(OR($B8="",SUMIFS(Assignments!$L$6:$L$505,Assignments!$B$6:$B$505,$B8,Assignments!$D$6:$D$505,Settings!$B$6)=0),0,SUMIFS(Assignments!$G$6:$G$505,Assignments!$B$6:$B$505,$B8,Assignments!$D$6:$D$505,Settings!$B$6)/SUMIFS(Assignments!$L$6:$L$505,Assignments!$B$6:$B$505,$B8,Assignments!$D$6:$D$505,Settings!$B$6))</f>
        <v/>
      </c>
      <c r="S8">
        <f>IF(OR($B8="",SUMIFS(Assignments!$L$6:$L$505,Assignments!$B$6:$B$505,$B8,Assignments!$D$6:$D$505,Settings!$B$7)=0),0,SUMIFS(Assignments!$G$6:$G$505,Assignments!$B$6:$B$505,$B8,Assignments!$D$6:$D$505,Settings!$B$7)/SUMIFS(Assignments!$L$6:$L$505,Assignments!$B$6:$B$505,$B8,Assignments!$D$6:$D$505,Settings!$B$7))</f>
        <v/>
      </c>
      <c r="T8">
        <f>IF(OR($B8="",SUMIFS(Assignments!$L$6:$L$505,Assignments!$B$6:$B$505,$B8,Assignments!$D$6:$D$505,Settings!$B$8)=0),0,SUMIFS(Assignments!$G$6:$G$505,Assignments!$B$6:$B$505,$B8,Assignments!$D$6:$D$505,Settings!$B$8)/SUMIFS(Assignments!$L$6:$L$505,Assignments!$B$6:$B$505,$B8,Assignments!$D$6:$D$505,Settings!$B$8))</f>
        <v/>
      </c>
      <c r="U8">
        <f>IF(OR($B8="",SUMIFS(Assignments!$L$6:$L$505,Assignments!$B$6:$B$505,$B8,Assignments!$D$6:$D$505,Settings!$B$9)=0),0,SUMIFS(Assignments!$G$6:$G$505,Assignments!$B$6:$B$505,$B8,Assignments!$D$6:$D$505,Settings!$B$9)/SUMIFS(Assignments!$L$6:$L$505,Assignments!$B$6:$B$505,$B8,Assignments!$D$6:$D$505,Settings!$B$9))</f>
        <v/>
      </c>
      <c r="V8">
        <f>IF(OR($B8="",SUMIFS(Assignments!$L$6:$L$505,Assignments!$B$6:$B$505,$B8,Assignments!$D$6:$D$505,Settings!$B$10)=0),0,SUMIFS(Assignments!$G$6:$G$505,Assignments!$B$6:$B$505,$B8,Assignments!$D$6:$D$505,Settings!$B$10)/SUMIFS(Assignments!$L$6:$L$505,Assignments!$B$6:$B$505,$B8,Assignments!$D$6:$D$505,Settings!$B$10))</f>
        <v/>
      </c>
      <c r="W8">
        <f>IF(OR($B8="",SUMIFS(Assignments!$L$6:$L$505,Assignments!$B$6:$B$505,$B8,Assignments!$D$6:$D$505,Settings!$B$11)=0),0,SUMIFS(Assignments!$G$6:$G$505,Assignments!$B$6:$B$505,$B8,Assignments!$D$6:$D$505,Settings!$B$11)/SUMIFS(Assignments!$L$6:$L$505,Assignments!$B$6:$B$505,$B8,Assignments!$D$6:$D$505,Settings!$B$11))</f>
        <v/>
      </c>
      <c r="X8">
        <f>IF(OR($B8="",SUMIFS(Assignments!$L$6:$L$505,Assignments!$B$6:$B$505,$B8,Assignments!$D$6:$D$505,Settings!$B$6)=0),0,N(E8))</f>
        <v/>
      </c>
      <c r="Y8">
        <f>IF(OR($B8="",SUMIFS(Assignments!$L$6:$L$505,Assignments!$B$6:$B$505,$B8,Assignments!$D$6:$D$505,Settings!$B$7)=0),0,N(F8))</f>
        <v/>
      </c>
      <c r="Z8">
        <f>IF(OR($B8="",SUMIFS(Assignments!$L$6:$L$505,Assignments!$B$6:$B$505,$B8,Assignments!$D$6:$D$505,Settings!$B$8)=0),0,N(G8))</f>
        <v/>
      </c>
      <c r="AA8">
        <f>IF(OR($B8="",SUMIFS(Assignments!$L$6:$L$505,Assignments!$B$6:$B$505,$B8,Assignments!$D$6:$D$505,Settings!$B$9)=0),0,N(H8))</f>
        <v/>
      </c>
      <c r="AB8">
        <f>IF(OR($B8="",SUMIFS(Assignments!$L$6:$L$505,Assignments!$B$6:$B$505,$B8,Assignments!$D$6:$D$505,Settings!$B$10)=0),0,N(I8))</f>
        <v/>
      </c>
      <c r="AC8">
        <f>IF(OR($B8="",SUMIFS(Assignments!$L$6:$L$505,Assignments!$B$6:$B$505,$B8,Assignments!$D$6:$D$505,Settings!$B$11)=0),0,N(J8))</f>
        <v/>
      </c>
      <c r="AD8">
        <f>IF(N8="","",IFERROR(INDEX(Settings!$F$6:$F$17,MATCH(N8,Settings!$E$6:$E$17,0)),""))</f>
        <v/>
      </c>
      <c r="AE8">
        <f>IF(OR(B8="",AD8=""),0,AD8)</f>
        <v/>
      </c>
      <c r="AF8">
        <f>IF(OR(B8="",AD8=""),0,N(D8))</f>
        <v/>
      </c>
    </row>
    <row r="9">
      <c r="A9" s="1" t="n"/>
      <c r="B9" s="24" t="inlineStr">
        <is>
          <t>Intro to Psychology</t>
        </is>
      </c>
      <c r="C9" s="25" t="inlineStr">
        <is>
          <t>Dr. Walsh</t>
        </is>
      </c>
      <c r="D9" s="29" t="n">
        <v>3</v>
      </c>
      <c r="E9" s="30" t="n"/>
      <c r="F9" s="30" t="n">
        <v>0.3</v>
      </c>
      <c r="G9" s="30" t="n">
        <v>0.2</v>
      </c>
      <c r="H9" s="30" t="n">
        <v>0.2</v>
      </c>
      <c r="I9" s="30" t="n">
        <v>0.3</v>
      </c>
      <c r="J9" s="30" t="n"/>
      <c r="K9" s="30" t="n">
        <v>0.9</v>
      </c>
      <c r="L9" s="15">
        <f>IF(B9="","",SUM(E9:J9))</f>
        <v/>
      </c>
      <c r="M9" s="13">
        <f>IF(OR(B9="",SUM(X9:AC9)=0),"",SUMPRODUCT(E9:J9,R9:W9)/SUM(X9:AC9))</f>
        <v/>
      </c>
      <c r="N9" s="14">
        <f>IF(M9="","",INDEX(Settings!$E$6:$E$17,MATCH(M9+0.0000001,Settings!$D$6:$D$17,1)))</f>
        <v/>
      </c>
      <c r="O9" s="16">
        <f>IF(OR(M9="",N(I9)=0,AB9&gt;0,N(K9)=0),"",IF((N(K9)-M9*(1-N(I9)))/N(I9)&lt;=0,"Any score",IF((N(K9)-M9*(1-N(I9)))/N(I9)&gt;1,"Above 100%",(N(K9)-M9*(1-N(I9)))/N(I9))))</f>
        <v/>
      </c>
      <c r="P9" s="17">
        <f>IF(B9="","",COUNTIFS(Assignments!$B$6:$B$505,B9,Assignments!$M$6:$M$505,"&gt;="&amp;TODAY(),Assignments!$M$6:$M$505,"&lt;"&amp;(TODAY()+8)))</f>
        <v/>
      </c>
      <c r="Q9" s="1" t="n"/>
      <c r="R9">
        <f>IF(OR($B9="",SUMIFS(Assignments!$L$6:$L$505,Assignments!$B$6:$B$505,$B9,Assignments!$D$6:$D$505,Settings!$B$6)=0),0,SUMIFS(Assignments!$G$6:$G$505,Assignments!$B$6:$B$505,$B9,Assignments!$D$6:$D$505,Settings!$B$6)/SUMIFS(Assignments!$L$6:$L$505,Assignments!$B$6:$B$505,$B9,Assignments!$D$6:$D$505,Settings!$B$6))</f>
        <v/>
      </c>
      <c r="S9">
        <f>IF(OR($B9="",SUMIFS(Assignments!$L$6:$L$505,Assignments!$B$6:$B$505,$B9,Assignments!$D$6:$D$505,Settings!$B$7)=0),0,SUMIFS(Assignments!$G$6:$G$505,Assignments!$B$6:$B$505,$B9,Assignments!$D$6:$D$505,Settings!$B$7)/SUMIFS(Assignments!$L$6:$L$505,Assignments!$B$6:$B$505,$B9,Assignments!$D$6:$D$505,Settings!$B$7))</f>
        <v/>
      </c>
      <c r="T9">
        <f>IF(OR($B9="",SUMIFS(Assignments!$L$6:$L$505,Assignments!$B$6:$B$505,$B9,Assignments!$D$6:$D$505,Settings!$B$8)=0),0,SUMIFS(Assignments!$G$6:$G$505,Assignments!$B$6:$B$505,$B9,Assignments!$D$6:$D$505,Settings!$B$8)/SUMIFS(Assignments!$L$6:$L$505,Assignments!$B$6:$B$505,$B9,Assignments!$D$6:$D$505,Settings!$B$8))</f>
        <v/>
      </c>
      <c r="U9">
        <f>IF(OR($B9="",SUMIFS(Assignments!$L$6:$L$505,Assignments!$B$6:$B$505,$B9,Assignments!$D$6:$D$505,Settings!$B$9)=0),0,SUMIFS(Assignments!$G$6:$G$505,Assignments!$B$6:$B$505,$B9,Assignments!$D$6:$D$505,Settings!$B$9)/SUMIFS(Assignments!$L$6:$L$505,Assignments!$B$6:$B$505,$B9,Assignments!$D$6:$D$505,Settings!$B$9))</f>
        <v/>
      </c>
      <c r="V9">
        <f>IF(OR($B9="",SUMIFS(Assignments!$L$6:$L$505,Assignments!$B$6:$B$505,$B9,Assignments!$D$6:$D$505,Settings!$B$10)=0),0,SUMIFS(Assignments!$G$6:$G$505,Assignments!$B$6:$B$505,$B9,Assignments!$D$6:$D$505,Settings!$B$10)/SUMIFS(Assignments!$L$6:$L$505,Assignments!$B$6:$B$505,$B9,Assignments!$D$6:$D$505,Settings!$B$10))</f>
        <v/>
      </c>
      <c r="W9">
        <f>IF(OR($B9="",SUMIFS(Assignments!$L$6:$L$505,Assignments!$B$6:$B$505,$B9,Assignments!$D$6:$D$505,Settings!$B$11)=0),0,SUMIFS(Assignments!$G$6:$G$505,Assignments!$B$6:$B$505,$B9,Assignments!$D$6:$D$505,Settings!$B$11)/SUMIFS(Assignments!$L$6:$L$505,Assignments!$B$6:$B$505,$B9,Assignments!$D$6:$D$505,Settings!$B$11))</f>
        <v/>
      </c>
      <c r="X9">
        <f>IF(OR($B9="",SUMIFS(Assignments!$L$6:$L$505,Assignments!$B$6:$B$505,$B9,Assignments!$D$6:$D$505,Settings!$B$6)=0),0,N(E9))</f>
        <v/>
      </c>
      <c r="Y9">
        <f>IF(OR($B9="",SUMIFS(Assignments!$L$6:$L$505,Assignments!$B$6:$B$505,$B9,Assignments!$D$6:$D$505,Settings!$B$7)=0),0,N(F9))</f>
        <v/>
      </c>
      <c r="Z9">
        <f>IF(OR($B9="",SUMIFS(Assignments!$L$6:$L$505,Assignments!$B$6:$B$505,$B9,Assignments!$D$6:$D$505,Settings!$B$8)=0),0,N(G9))</f>
        <v/>
      </c>
      <c r="AA9">
        <f>IF(OR($B9="",SUMIFS(Assignments!$L$6:$L$505,Assignments!$B$6:$B$505,$B9,Assignments!$D$6:$D$505,Settings!$B$9)=0),0,N(H9))</f>
        <v/>
      </c>
      <c r="AB9">
        <f>IF(OR($B9="",SUMIFS(Assignments!$L$6:$L$505,Assignments!$B$6:$B$505,$B9,Assignments!$D$6:$D$505,Settings!$B$10)=0),0,N(I9))</f>
        <v/>
      </c>
      <c r="AC9">
        <f>IF(OR($B9="",SUMIFS(Assignments!$L$6:$L$505,Assignments!$B$6:$B$505,$B9,Assignments!$D$6:$D$505,Settings!$B$11)=0),0,N(J9))</f>
        <v/>
      </c>
      <c r="AD9">
        <f>IF(N9="","",IFERROR(INDEX(Settings!$F$6:$F$17,MATCH(N9,Settings!$E$6:$E$17,0)),""))</f>
        <v/>
      </c>
      <c r="AE9">
        <f>IF(OR(B9="",AD9=""),0,AD9)</f>
        <v/>
      </c>
      <c r="AF9">
        <f>IF(OR(B9="",AD9=""),0,N(D9))</f>
        <v/>
      </c>
    </row>
    <row r="10">
      <c r="A10" s="1" t="n"/>
      <c r="B10" s="24" t="inlineStr">
        <is>
          <t>Spanish I</t>
        </is>
      </c>
      <c r="C10" s="25" t="inlineStr">
        <is>
          <t>Sra. Molina</t>
        </is>
      </c>
      <c r="D10" s="29" t="n">
        <v>3</v>
      </c>
      <c r="E10" s="30" t="n">
        <v>0.2</v>
      </c>
      <c r="F10" s="30" t="n">
        <v>0.2</v>
      </c>
      <c r="G10" s="30" t="n"/>
      <c r="H10" s="30" t="n">
        <v>0.15</v>
      </c>
      <c r="I10" s="30" t="n">
        <v>0.25</v>
      </c>
      <c r="J10" s="30" t="n">
        <v>0.2</v>
      </c>
      <c r="K10" s="30" t="n">
        <v>0.9</v>
      </c>
      <c r="L10" s="15">
        <f>IF(B10="","",SUM(E10:J10))</f>
        <v/>
      </c>
      <c r="M10" s="13">
        <f>IF(OR(B10="",SUM(X10:AC10)=0),"",SUMPRODUCT(E10:J10,R10:W10)/SUM(X10:AC10))</f>
        <v/>
      </c>
      <c r="N10" s="14">
        <f>IF(M10="","",INDEX(Settings!$E$6:$E$17,MATCH(M10+0.0000001,Settings!$D$6:$D$17,1)))</f>
        <v/>
      </c>
      <c r="O10" s="16">
        <f>IF(OR(M10="",N(I10)=0,AB10&gt;0,N(K10)=0),"",IF((N(K10)-M10*(1-N(I10)))/N(I10)&lt;=0,"Any score",IF((N(K10)-M10*(1-N(I10)))/N(I10)&gt;1,"Above 100%",(N(K10)-M10*(1-N(I10)))/N(I10))))</f>
        <v/>
      </c>
      <c r="P10" s="17">
        <f>IF(B10="","",COUNTIFS(Assignments!$B$6:$B$505,B10,Assignments!$M$6:$M$505,"&gt;="&amp;TODAY(),Assignments!$M$6:$M$505,"&lt;"&amp;(TODAY()+8)))</f>
        <v/>
      </c>
      <c r="Q10" s="1" t="n"/>
      <c r="R10">
        <f>IF(OR($B10="",SUMIFS(Assignments!$L$6:$L$505,Assignments!$B$6:$B$505,$B10,Assignments!$D$6:$D$505,Settings!$B$6)=0),0,SUMIFS(Assignments!$G$6:$G$505,Assignments!$B$6:$B$505,$B10,Assignments!$D$6:$D$505,Settings!$B$6)/SUMIFS(Assignments!$L$6:$L$505,Assignments!$B$6:$B$505,$B10,Assignments!$D$6:$D$505,Settings!$B$6))</f>
        <v/>
      </c>
      <c r="S10">
        <f>IF(OR($B10="",SUMIFS(Assignments!$L$6:$L$505,Assignments!$B$6:$B$505,$B10,Assignments!$D$6:$D$505,Settings!$B$7)=0),0,SUMIFS(Assignments!$G$6:$G$505,Assignments!$B$6:$B$505,$B10,Assignments!$D$6:$D$505,Settings!$B$7)/SUMIFS(Assignments!$L$6:$L$505,Assignments!$B$6:$B$505,$B10,Assignments!$D$6:$D$505,Settings!$B$7))</f>
        <v/>
      </c>
      <c r="T10">
        <f>IF(OR($B10="",SUMIFS(Assignments!$L$6:$L$505,Assignments!$B$6:$B$505,$B10,Assignments!$D$6:$D$505,Settings!$B$8)=0),0,SUMIFS(Assignments!$G$6:$G$505,Assignments!$B$6:$B$505,$B10,Assignments!$D$6:$D$505,Settings!$B$8)/SUMIFS(Assignments!$L$6:$L$505,Assignments!$B$6:$B$505,$B10,Assignments!$D$6:$D$505,Settings!$B$8))</f>
        <v/>
      </c>
      <c r="U10">
        <f>IF(OR($B10="",SUMIFS(Assignments!$L$6:$L$505,Assignments!$B$6:$B$505,$B10,Assignments!$D$6:$D$505,Settings!$B$9)=0),0,SUMIFS(Assignments!$G$6:$G$505,Assignments!$B$6:$B$505,$B10,Assignments!$D$6:$D$505,Settings!$B$9)/SUMIFS(Assignments!$L$6:$L$505,Assignments!$B$6:$B$505,$B10,Assignments!$D$6:$D$505,Settings!$B$9))</f>
        <v/>
      </c>
      <c r="V10">
        <f>IF(OR($B10="",SUMIFS(Assignments!$L$6:$L$505,Assignments!$B$6:$B$505,$B10,Assignments!$D$6:$D$505,Settings!$B$10)=0),0,SUMIFS(Assignments!$G$6:$G$505,Assignments!$B$6:$B$505,$B10,Assignments!$D$6:$D$505,Settings!$B$10)/SUMIFS(Assignments!$L$6:$L$505,Assignments!$B$6:$B$505,$B10,Assignments!$D$6:$D$505,Settings!$B$10))</f>
        <v/>
      </c>
      <c r="W10">
        <f>IF(OR($B10="",SUMIFS(Assignments!$L$6:$L$505,Assignments!$B$6:$B$505,$B10,Assignments!$D$6:$D$505,Settings!$B$11)=0),0,SUMIFS(Assignments!$G$6:$G$505,Assignments!$B$6:$B$505,$B10,Assignments!$D$6:$D$505,Settings!$B$11)/SUMIFS(Assignments!$L$6:$L$505,Assignments!$B$6:$B$505,$B10,Assignments!$D$6:$D$505,Settings!$B$11))</f>
        <v/>
      </c>
      <c r="X10">
        <f>IF(OR($B10="",SUMIFS(Assignments!$L$6:$L$505,Assignments!$B$6:$B$505,$B10,Assignments!$D$6:$D$505,Settings!$B$6)=0),0,N(E10))</f>
        <v/>
      </c>
      <c r="Y10">
        <f>IF(OR($B10="",SUMIFS(Assignments!$L$6:$L$505,Assignments!$B$6:$B$505,$B10,Assignments!$D$6:$D$505,Settings!$B$7)=0),0,N(F10))</f>
        <v/>
      </c>
      <c r="Z10">
        <f>IF(OR($B10="",SUMIFS(Assignments!$L$6:$L$505,Assignments!$B$6:$B$505,$B10,Assignments!$D$6:$D$505,Settings!$B$8)=0),0,N(G10))</f>
        <v/>
      </c>
      <c r="AA10">
        <f>IF(OR($B10="",SUMIFS(Assignments!$L$6:$L$505,Assignments!$B$6:$B$505,$B10,Assignments!$D$6:$D$505,Settings!$B$9)=0),0,N(H10))</f>
        <v/>
      </c>
      <c r="AB10">
        <f>IF(OR($B10="",SUMIFS(Assignments!$L$6:$L$505,Assignments!$B$6:$B$505,$B10,Assignments!$D$6:$D$505,Settings!$B$10)=0),0,N(I10))</f>
        <v/>
      </c>
      <c r="AC10">
        <f>IF(OR($B10="",SUMIFS(Assignments!$L$6:$L$505,Assignments!$B$6:$B$505,$B10,Assignments!$D$6:$D$505,Settings!$B$11)=0),0,N(J10))</f>
        <v/>
      </c>
      <c r="AD10">
        <f>IF(N10="","",IFERROR(INDEX(Settings!$F$6:$F$17,MATCH(N10,Settings!$E$6:$E$17,0)),""))</f>
        <v/>
      </c>
      <c r="AE10">
        <f>IF(OR(B10="",AD10=""),0,AD10)</f>
        <v/>
      </c>
      <c r="AF10">
        <f>IF(OR(B10="",AD10=""),0,N(D10))</f>
        <v/>
      </c>
    </row>
    <row r="11">
      <c r="A11" s="1" t="n"/>
      <c r="B11" s="24" t="n"/>
      <c r="C11" s="25" t="n"/>
      <c r="D11" s="29" t="n"/>
      <c r="E11" s="30" t="n"/>
      <c r="F11" s="30" t="n"/>
      <c r="G11" s="30" t="n"/>
      <c r="H11" s="30" t="n"/>
      <c r="I11" s="30" t="n"/>
      <c r="J11" s="30" t="n"/>
      <c r="K11" s="30" t="n"/>
      <c r="L11" s="15">
        <f>IF(B11="","",SUM(E11:J11))</f>
        <v/>
      </c>
      <c r="M11" s="13">
        <f>IF(OR(B11="",SUM(X11:AC11)=0),"",SUMPRODUCT(E11:J11,R11:W11)/SUM(X11:AC11))</f>
        <v/>
      </c>
      <c r="N11" s="14">
        <f>IF(M11="","",INDEX(Settings!$E$6:$E$17,MATCH(M11+0.0000001,Settings!$D$6:$D$17,1)))</f>
        <v/>
      </c>
      <c r="O11" s="16">
        <f>IF(OR(M11="",N(I11)=0,AB11&gt;0,N(K11)=0),"",IF((N(K11)-M11*(1-N(I11)))/N(I11)&lt;=0,"Any score",IF((N(K11)-M11*(1-N(I11)))/N(I11)&gt;1,"Above 100%",(N(K11)-M11*(1-N(I11)))/N(I11))))</f>
        <v/>
      </c>
      <c r="P11" s="17">
        <f>IF(B11="","",COUNTIFS(Assignments!$B$6:$B$505,B11,Assignments!$M$6:$M$505,"&gt;="&amp;TODAY(),Assignments!$M$6:$M$505,"&lt;"&amp;(TODAY()+8)))</f>
        <v/>
      </c>
      <c r="Q11" s="1" t="n"/>
      <c r="R11">
        <f>IF(OR($B11="",SUMIFS(Assignments!$L$6:$L$505,Assignments!$B$6:$B$505,$B11,Assignments!$D$6:$D$505,Settings!$B$6)=0),0,SUMIFS(Assignments!$G$6:$G$505,Assignments!$B$6:$B$505,$B11,Assignments!$D$6:$D$505,Settings!$B$6)/SUMIFS(Assignments!$L$6:$L$505,Assignments!$B$6:$B$505,$B11,Assignments!$D$6:$D$505,Settings!$B$6))</f>
        <v/>
      </c>
      <c r="S11">
        <f>IF(OR($B11="",SUMIFS(Assignments!$L$6:$L$505,Assignments!$B$6:$B$505,$B11,Assignments!$D$6:$D$505,Settings!$B$7)=0),0,SUMIFS(Assignments!$G$6:$G$505,Assignments!$B$6:$B$505,$B11,Assignments!$D$6:$D$505,Settings!$B$7)/SUMIFS(Assignments!$L$6:$L$505,Assignments!$B$6:$B$505,$B11,Assignments!$D$6:$D$505,Settings!$B$7))</f>
        <v/>
      </c>
      <c r="T11">
        <f>IF(OR($B11="",SUMIFS(Assignments!$L$6:$L$505,Assignments!$B$6:$B$505,$B11,Assignments!$D$6:$D$505,Settings!$B$8)=0),0,SUMIFS(Assignments!$G$6:$G$505,Assignments!$B$6:$B$505,$B11,Assignments!$D$6:$D$505,Settings!$B$8)/SUMIFS(Assignments!$L$6:$L$505,Assignments!$B$6:$B$505,$B11,Assignments!$D$6:$D$505,Settings!$B$8))</f>
        <v/>
      </c>
      <c r="U11">
        <f>IF(OR($B11="",SUMIFS(Assignments!$L$6:$L$505,Assignments!$B$6:$B$505,$B11,Assignments!$D$6:$D$505,Settings!$B$9)=0),0,SUMIFS(Assignments!$G$6:$G$505,Assignments!$B$6:$B$505,$B11,Assignments!$D$6:$D$505,Settings!$B$9)/SUMIFS(Assignments!$L$6:$L$505,Assignments!$B$6:$B$505,$B11,Assignments!$D$6:$D$505,Settings!$B$9))</f>
        <v/>
      </c>
      <c r="V11">
        <f>IF(OR($B11="",SUMIFS(Assignments!$L$6:$L$505,Assignments!$B$6:$B$505,$B11,Assignments!$D$6:$D$505,Settings!$B$10)=0),0,SUMIFS(Assignments!$G$6:$G$505,Assignments!$B$6:$B$505,$B11,Assignments!$D$6:$D$505,Settings!$B$10)/SUMIFS(Assignments!$L$6:$L$505,Assignments!$B$6:$B$505,$B11,Assignments!$D$6:$D$505,Settings!$B$10))</f>
        <v/>
      </c>
      <c r="W11">
        <f>IF(OR($B11="",SUMIFS(Assignments!$L$6:$L$505,Assignments!$B$6:$B$505,$B11,Assignments!$D$6:$D$505,Settings!$B$11)=0),0,SUMIFS(Assignments!$G$6:$G$505,Assignments!$B$6:$B$505,$B11,Assignments!$D$6:$D$505,Settings!$B$11)/SUMIFS(Assignments!$L$6:$L$505,Assignments!$B$6:$B$505,$B11,Assignments!$D$6:$D$505,Settings!$B$11))</f>
        <v/>
      </c>
      <c r="X11">
        <f>IF(OR($B11="",SUMIFS(Assignments!$L$6:$L$505,Assignments!$B$6:$B$505,$B11,Assignments!$D$6:$D$505,Settings!$B$6)=0),0,N(E11))</f>
        <v/>
      </c>
      <c r="Y11">
        <f>IF(OR($B11="",SUMIFS(Assignments!$L$6:$L$505,Assignments!$B$6:$B$505,$B11,Assignments!$D$6:$D$505,Settings!$B$7)=0),0,N(F11))</f>
        <v/>
      </c>
      <c r="Z11">
        <f>IF(OR($B11="",SUMIFS(Assignments!$L$6:$L$505,Assignments!$B$6:$B$505,$B11,Assignments!$D$6:$D$505,Settings!$B$8)=0),0,N(G11))</f>
        <v/>
      </c>
      <c r="AA11">
        <f>IF(OR($B11="",SUMIFS(Assignments!$L$6:$L$505,Assignments!$B$6:$B$505,$B11,Assignments!$D$6:$D$505,Settings!$B$9)=0),0,N(H11))</f>
        <v/>
      </c>
      <c r="AB11">
        <f>IF(OR($B11="",SUMIFS(Assignments!$L$6:$L$505,Assignments!$B$6:$B$505,$B11,Assignments!$D$6:$D$505,Settings!$B$10)=0),0,N(I11))</f>
        <v/>
      </c>
      <c r="AC11">
        <f>IF(OR($B11="",SUMIFS(Assignments!$L$6:$L$505,Assignments!$B$6:$B$505,$B11,Assignments!$D$6:$D$505,Settings!$B$11)=0),0,N(J11))</f>
        <v/>
      </c>
      <c r="AD11">
        <f>IF(N11="","",IFERROR(INDEX(Settings!$F$6:$F$17,MATCH(N11,Settings!$E$6:$E$17,0)),""))</f>
        <v/>
      </c>
      <c r="AE11">
        <f>IF(OR(B11="",AD11=""),0,AD11)</f>
        <v/>
      </c>
      <c r="AF11">
        <f>IF(OR(B11="",AD11=""),0,N(D11))</f>
        <v/>
      </c>
    </row>
    <row r="12">
      <c r="A12" s="1" t="n"/>
      <c r="B12" s="24" t="n"/>
      <c r="C12" s="25" t="n"/>
      <c r="D12" s="29" t="n"/>
      <c r="E12" s="30" t="n"/>
      <c r="F12" s="30" t="n"/>
      <c r="G12" s="30" t="n"/>
      <c r="H12" s="30" t="n"/>
      <c r="I12" s="30" t="n"/>
      <c r="J12" s="30" t="n"/>
      <c r="K12" s="30" t="n"/>
      <c r="L12" s="15">
        <f>IF(B12="","",SUM(E12:J12))</f>
        <v/>
      </c>
      <c r="M12" s="13">
        <f>IF(OR(B12="",SUM(X12:AC12)=0),"",SUMPRODUCT(E12:J12,R12:W12)/SUM(X12:AC12))</f>
        <v/>
      </c>
      <c r="N12" s="14">
        <f>IF(M12="","",INDEX(Settings!$E$6:$E$17,MATCH(M12+0.0000001,Settings!$D$6:$D$17,1)))</f>
        <v/>
      </c>
      <c r="O12" s="16">
        <f>IF(OR(M12="",N(I12)=0,AB12&gt;0,N(K12)=0),"",IF((N(K12)-M12*(1-N(I12)))/N(I12)&lt;=0,"Any score",IF((N(K12)-M12*(1-N(I12)))/N(I12)&gt;1,"Above 100%",(N(K12)-M12*(1-N(I12)))/N(I12))))</f>
        <v/>
      </c>
      <c r="P12" s="17">
        <f>IF(B12="","",COUNTIFS(Assignments!$B$6:$B$505,B12,Assignments!$M$6:$M$505,"&gt;="&amp;TODAY(),Assignments!$M$6:$M$505,"&lt;"&amp;(TODAY()+8)))</f>
        <v/>
      </c>
      <c r="Q12" s="1" t="n"/>
      <c r="R12">
        <f>IF(OR($B12="",SUMIFS(Assignments!$L$6:$L$505,Assignments!$B$6:$B$505,$B12,Assignments!$D$6:$D$505,Settings!$B$6)=0),0,SUMIFS(Assignments!$G$6:$G$505,Assignments!$B$6:$B$505,$B12,Assignments!$D$6:$D$505,Settings!$B$6)/SUMIFS(Assignments!$L$6:$L$505,Assignments!$B$6:$B$505,$B12,Assignments!$D$6:$D$505,Settings!$B$6))</f>
        <v/>
      </c>
      <c r="S12">
        <f>IF(OR($B12="",SUMIFS(Assignments!$L$6:$L$505,Assignments!$B$6:$B$505,$B12,Assignments!$D$6:$D$505,Settings!$B$7)=0),0,SUMIFS(Assignments!$G$6:$G$505,Assignments!$B$6:$B$505,$B12,Assignments!$D$6:$D$505,Settings!$B$7)/SUMIFS(Assignments!$L$6:$L$505,Assignments!$B$6:$B$505,$B12,Assignments!$D$6:$D$505,Settings!$B$7))</f>
        <v/>
      </c>
      <c r="T12">
        <f>IF(OR($B12="",SUMIFS(Assignments!$L$6:$L$505,Assignments!$B$6:$B$505,$B12,Assignments!$D$6:$D$505,Settings!$B$8)=0),0,SUMIFS(Assignments!$G$6:$G$505,Assignments!$B$6:$B$505,$B12,Assignments!$D$6:$D$505,Settings!$B$8)/SUMIFS(Assignments!$L$6:$L$505,Assignments!$B$6:$B$505,$B12,Assignments!$D$6:$D$505,Settings!$B$8))</f>
        <v/>
      </c>
      <c r="U12">
        <f>IF(OR($B12="",SUMIFS(Assignments!$L$6:$L$505,Assignments!$B$6:$B$505,$B12,Assignments!$D$6:$D$505,Settings!$B$9)=0),0,SUMIFS(Assignments!$G$6:$G$505,Assignments!$B$6:$B$505,$B12,Assignments!$D$6:$D$505,Settings!$B$9)/SUMIFS(Assignments!$L$6:$L$505,Assignments!$B$6:$B$505,$B12,Assignments!$D$6:$D$505,Settings!$B$9))</f>
        <v/>
      </c>
      <c r="V12">
        <f>IF(OR($B12="",SUMIFS(Assignments!$L$6:$L$505,Assignments!$B$6:$B$505,$B12,Assignments!$D$6:$D$505,Settings!$B$10)=0),0,SUMIFS(Assignments!$G$6:$G$505,Assignments!$B$6:$B$505,$B12,Assignments!$D$6:$D$505,Settings!$B$10)/SUMIFS(Assignments!$L$6:$L$505,Assignments!$B$6:$B$505,$B12,Assignments!$D$6:$D$505,Settings!$B$10))</f>
        <v/>
      </c>
      <c r="W12">
        <f>IF(OR($B12="",SUMIFS(Assignments!$L$6:$L$505,Assignments!$B$6:$B$505,$B12,Assignments!$D$6:$D$505,Settings!$B$11)=0),0,SUMIFS(Assignments!$G$6:$G$505,Assignments!$B$6:$B$505,$B12,Assignments!$D$6:$D$505,Settings!$B$11)/SUMIFS(Assignments!$L$6:$L$505,Assignments!$B$6:$B$505,$B12,Assignments!$D$6:$D$505,Settings!$B$11))</f>
        <v/>
      </c>
      <c r="X12">
        <f>IF(OR($B12="",SUMIFS(Assignments!$L$6:$L$505,Assignments!$B$6:$B$505,$B12,Assignments!$D$6:$D$505,Settings!$B$6)=0),0,N(E12))</f>
        <v/>
      </c>
      <c r="Y12">
        <f>IF(OR($B12="",SUMIFS(Assignments!$L$6:$L$505,Assignments!$B$6:$B$505,$B12,Assignments!$D$6:$D$505,Settings!$B$7)=0),0,N(F12))</f>
        <v/>
      </c>
      <c r="Z12">
        <f>IF(OR($B12="",SUMIFS(Assignments!$L$6:$L$505,Assignments!$B$6:$B$505,$B12,Assignments!$D$6:$D$505,Settings!$B$8)=0),0,N(G12))</f>
        <v/>
      </c>
      <c r="AA12">
        <f>IF(OR($B12="",SUMIFS(Assignments!$L$6:$L$505,Assignments!$B$6:$B$505,$B12,Assignments!$D$6:$D$505,Settings!$B$9)=0),0,N(H12))</f>
        <v/>
      </c>
      <c r="AB12">
        <f>IF(OR($B12="",SUMIFS(Assignments!$L$6:$L$505,Assignments!$B$6:$B$505,$B12,Assignments!$D$6:$D$505,Settings!$B$10)=0),0,N(I12))</f>
        <v/>
      </c>
      <c r="AC12">
        <f>IF(OR($B12="",SUMIFS(Assignments!$L$6:$L$505,Assignments!$B$6:$B$505,$B12,Assignments!$D$6:$D$505,Settings!$B$11)=0),0,N(J12))</f>
        <v/>
      </c>
      <c r="AD12">
        <f>IF(N12="","",IFERROR(INDEX(Settings!$F$6:$F$17,MATCH(N12,Settings!$E$6:$E$17,0)),""))</f>
        <v/>
      </c>
      <c r="AE12">
        <f>IF(OR(B12="",AD12=""),0,AD12)</f>
        <v/>
      </c>
      <c r="AF12">
        <f>IF(OR(B12="",AD12=""),0,N(D12))</f>
        <v/>
      </c>
    </row>
    <row r="13">
      <c r="A13" s="1" t="n"/>
      <c r="B13" s="24" t="n"/>
      <c r="C13" s="25" t="n"/>
      <c r="D13" s="29" t="n"/>
      <c r="E13" s="30" t="n"/>
      <c r="F13" s="30" t="n"/>
      <c r="G13" s="30" t="n"/>
      <c r="H13" s="30" t="n"/>
      <c r="I13" s="30" t="n"/>
      <c r="J13" s="30" t="n"/>
      <c r="K13" s="30" t="n"/>
      <c r="L13" s="15">
        <f>IF(B13="","",SUM(E13:J13))</f>
        <v/>
      </c>
      <c r="M13" s="13">
        <f>IF(OR(B13="",SUM(X13:AC13)=0),"",SUMPRODUCT(E13:J13,R13:W13)/SUM(X13:AC13))</f>
        <v/>
      </c>
      <c r="N13" s="14">
        <f>IF(M13="","",INDEX(Settings!$E$6:$E$17,MATCH(M13+0.0000001,Settings!$D$6:$D$17,1)))</f>
        <v/>
      </c>
      <c r="O13" s="16">
        <f>IF(OR(M13="",N(I13)=0,AB13&gt;0,N(K13)=0),"",IF((N(K13)-M13*(1-N(I13)))/N(I13)&lt;=0,"Any score",IF((N(K13)-M13*(1-N(I13)))/N(I13)&gt;1,"Above 100%",(N(K13)-M13*(1-N(I13)))/N(I13))))</f>
        <v/>
      </c>
      <c r="P13" s="17">
        <f>IF(B13="","",COUNTIFS(Assignments!$B$6:$B$505,B13,Assignments!$M$6:$M$505,"&gt;="&amp;TODAY(),Assignments!$M$6:$M$505,"&lt;"&amp;(TODAY()+8)))</f>
        <v/>
      </c>
      <c r="Q13" s="1" t="n"/>
      <c r="R13">
        <f>IF(OR($B13="",SUMIFS(Assignments!$L$6:$L$505,Assignments!$B$6:$B$505,$B13,Assignments!$D$6:$D$505,Settings!$B$6)=0),0,SUMIFS(Assignments!$G$6:$G$505,Assignments!$B$6:$B$505,$B13,Assignments!$D$6:$D$505,Settings!$B$6)/SUMIFS(Assignments!$L$6:$L$505,Assignments!$B$6:$B$505,$B13,Assignments!$D$6:$D$505,Settings!$B$6))</f>
        <v/>
      </c>
      <c r="S13">
        <f>IF(OR($B13="",SUMIFS(Assignments!$L$6:$L$505,Assignments!$B$6:$B$505,$B13,Assignments!$D$6:$D$505,Settings!$B$7)=0),0,SUMIFS(Assignments!$G$6:$G$505,Assignments!$B$6:$B$505,$B13,Assignments!$D$6:$D$505,Settings!$B$7)/SUMIFS(Assignments!$L$6:$L$505,Assignments!$B$6:$B$505,$B13,Assignments!$D$6:$D$505,Settings!$B$7))</f>
        <v/>
      </c>
      <c r="T13">
        <f>IF(OR($B13="",SUMIFS(Assignments!$L$6:$L$505,Assignments!$B$6:$B$505,$B13,Assignments!$D$6:$D$505,Settings!$B$8)=0),0,SUMIFS(Assignments!$G$6:$G$505,Assignments!$B$6:$B$505,$B13,Assignments!$D$6:$D$505,Settings!$B$8)/SUMIFS(Assignments!$L$6:$L$505,Assignments!$B$6:$B$505,$B13,Assignments!$D$6:$D$505,Settings!$B$8))</f>
        <v/>
      </c>
      <c r="U13">
        <f>IF(OR($B13="",SUMIFS(Assignments!$L$6:$L$505,Assignments!$B$6:$B$505,$B13,Assignments!$D$6:$D$505,Settings!$B$9)=0),0,SUMIFS(Assignments!$G$6:$G$505,Assignments!$B$6:$B$505,$B13,Assignments!$D$6:$D$505,Settings!$B$9)/SUMIFS(Assignments!$L$6:$L$505,Assignments!$B$6:$B$505,$B13,Assignments!$D$6:$D$505,Settings!$B$9))</f>
        <v/>
      </c>
      <c r="V13">
        <f>IF(OR($B13="",SUMIFS(Assignments!$L$6:$L$505,Assignments!$B$6:$B$505,$B13,Assignments!$D$6:$D$505,Settings!$B$10)=0),0,SUMIFS(Assignments!$G$6:$G$505,Assignments!$B$6:$B$505,$B13,Assignments!$D$6:$D$505,Settings!$B$10)/SUMIFS(Assignments!$L$6:$L$505,Assignments!$B$6:$B$505,$B13,Assignments!$D$6:$D$505,Settings!$B$10))</f>
        <v/>
      </c>
      <c r="W13">
        <f>IF(OR($B13="",SUMIFS(Assignments!$L$6:$L$505,Assignments!$B$6:$B$505,$B13,Assignments!$D$6:$D$505,Settings!$B$11)=0),0,SUMIFS(Assignments!$G$6:$G$505,Assignments!$B$6:$B$505,$B13,Assignments!$D$6:$D$505,Settings!$B$11)/SUMIFS(Assignments!$L$6:$L$505,Assignments!$B$6:$B$505,$B13,Assignments!$D$6:$D$505,Settings!$B$11))</f>
        <v/>
      </c>
      <c r="X13">
        <f>IF(OR($B13="",SUMIFS(Assignments!$L$6:$L$505,Assignments!$B$6:$B$505,$B13,Assignments!$D$6:$D$505,Settings!$B$6)=0),0,N(E13))</f>
        <v/>
      </c>
      <c r="Y13">
        <f>IF(OR($B13="",SUMIFS(Assignments!$L$6:$L$505,Assignments!$B$6:$B$505,$B13,Assignments!$D$6:$D$505,Settings!$B$7)=0),0,N(F13))</f>
        <v/>
      </c>
      <c r="Z13">
        <f>IF(OR($B13="",SUMIFS(Assignments!$L$6:$L$505,Assignments!$B$6:$B$505,$B13,Assignments!$D$6:$D$505,Settings!$B$8)=0),0,N(G13))</f>
        <v/>
      </c>
      <c r="AA13">
        <f>IF(OR($B13="",SUMIFS(Assignments!$L$6:$L$505,Assignments!$B$6:$B$505,$B13,Assignments!$D$6:$D$505,Settings!$B$9)=0),0,N(H13))</f>
        <v/>
      </c>
      <c r="AB13">
        <f>IF(OR($B13="",SUMIFS(Assignments!$L$6:$L$505,Assignments!$B$6:$B$505,$B13,Assignments!$D$6:$D$505,Settings!$B$10)=0),0,N(I13))</f>
        <v/>
      </c>
      <c r="AC13">
        <f>IF(OR($B13="",SUMIFS(Assignments!$L$6:$L$505,Assignments!$B$6:$B$505,$B13,Assignments!$D$6:$D$505,Settings!$B$11)=0),0,N(J13))</f>
        <v/>
      </c>
      <c r="AD13">
        <f>IF(N13="","",IFERROR(INDEX(Settings!$F$6:$F$17,MATCH(N13,Settings!$E$6:$E$17,0)),""))</f>
        <v/>
      </c>
      <c r="AE13">
        <f>IF(OR(B13="",AD13=""),0,AD13)</f>
        <v/>
      </c>
      <c r="AF13">
        <f>IF(OR(B13="",AD13=""),0,N(D13))</f>
        <v/>
      </c>
    </row>
    <row r="14">
      <c r="A14" s="1" t="n"/>
      <c r="B14" s="24" t="n"/>
      <c r="C14" s="25" t="n"/>
      <c r="D14" s="29" t="n"/>
      <c r="E14" s="30" t="n"/>
      <c r="F14" s="30" t="n"/>
      <c r="G14" s="30" t="n"/>
      <c r="H14" s="30" t="n"/>
      <c r="I14" s="30" t="n"/>
      <c r="J14" s="30" t="n"/>
      <c r="K14" s="30" t="n"/>
      <c r="L14" s="15">
        <f>IF(B14="","",SUM(E14:J14))</f>
        <v/>
      </c>
      <c r="M14" s="13">
        <f>IF(OR(B14="",SUM(X14:AC14)=0),"",SUMPRODUCT(E14:J14,R14:W14)/SUM(X14:AC14))</f>
        <v/>
      </c>
      <c r="N14" s="14">
        <f>IF(M14="","",INDEX(Settings!$E$6:$E$17,MATCH(M14+0.0000001,Settings!$D$6:$D$17,1)))</f>
        <v/>
      </c>
      <c r="O14" s="16">
        <f>IF(OR(M14="",N(I14)=0,AB14&gt;0,N(K14)=0),"",IF((N(K14)-M14*(1-N(I14)))/N(I14)&lt;=0,"Any score",IF((N(K14)-M14*(1-N(I14)))/N(I14)&gt;1,"Above 100%",(N(K14)-M14*(1-N(I14)))/N(I14))))</f>
        <v/>
      </c>
      <c r="P14" s="17">
        <f>IF(B14="","",COUNTIFS(Assignments!$B$6:$B$505,B14,Assignments!$M$6:$M$505,"&gt;="&amp;TODAY(),Assignments!$M$6:$M$505,"&lt;"&amp;(TODAY()+8)))</f>
        <v/>
      </c>
      <c r="Q14" s="1" t="n"/>
      <c r="R14">
        <f>IF(OR($B14="",SUMIFS(Assignments!$L$6:$L$505,Assignments!$B$6:$B$505,$B14,Assignments!$D$6:$D$505,Settings!$B$6)=0),0,SUMIFS(Assignments!$G$6:$G$505,Assignments!$B$6:$B$505,$B14,Assignments!$D$6:$D$505,Settings!$B$6)/SUMIFS(Assignments!$L$6:$L$505,Assignments!$B$6:$B$505,$B14,Assignments!$D$6:$D$505,Settings!$B$6))</f>
        <v/>
      </c>
      <c r="S14">
        <f>IF(OR($B14="",SUMIFS(Assignments!$L$6:$L$505,Assignments!$B$6:$B$505,$B14,Assignments!$D$6:$D$505,Settings!$B$7)=0),0,SUMIFS(Assignments!$G$6:$G$505,Assignments!$B$6:$B$505,$B14,Assignments!$D$6:$D$505,Settings!$B$7)/SUMIFS(Assignments!$L$6:$L$505,Assignments!$B$6:$B$505,$B14,Assignments!$D$6:$D$505,Settings!$B$7))</f>
        <v/>
      </c>
      <c r="T14">
        <f>IF(OR($B14="",SUMIFS(Assignments!$L$6:$L$505,Assignments!$B$6:$B$505,$B14,Assignments!$D$6:$D$505,Settings!$B$8)=0),0,SUMIFS(Assignments!$G$6:$G$505,Assignments!$B$6:$B$505,$B14,Assignments!$D$6:$D$505,Settings!$B$8)/SUMIFS(Assignments!$L$6:$L$505,Assignments!$B$6:$B$505,$B14,Assignments!$D$6:$D$505,Settings!$B$8))</f>
        <v/>
      </c>
      <c r="U14">
        <f>IF(OR($B14="",SUMIFS(Assignments!$L$6:$L$505,Assignments!$B$6:$B$505,$B14,Assignments!$D$6:$D$505,Settings!$B$9)=0),0,SUMIFS(Assignments!$G$6:$G$505,Assignments!$B$6:$B$505,$B14,Assignments!$D$6:$D$505,Settings!$B$9)/SUMIFS(Assignments!$L$6:$L$505,Assignments!$B$6:$B$505,$B14,Assignments!$D$6:$D$505,Settings!$B$9))</f>
        <v/>
      </c>
      <c r="V14">
        <f>IF(OR($B14="",SUMIFS(Assignments!$L$6:$L$505,Assignments!$B$6:$B$505,$B14,Assignments!$D$6:$D$505,Settings!$B$10)=0),0,SUMIFS(Assignments!$G$6:$G$505,Assignments!$B$6:$B$505,$B14,Assignments!$D$6:$D$505,Settings!$B$10)/SUMIFS(Assignments!$L$6:$L$505,Assignments!$B$6:$B$505,$B14,Assignments!$D$6:$D$505,Settings!$B$10))</f>
        <v/>
      </c>
      <c r="W14">
        <f>IF(OR($B14="",SUMIFS(Assignments!$L$6:$L$505,Assignments!$B$6:$B$505,$B14,Assignments!$D$6:$D$505,Settings!$B$11)=0),0,SUMIFS(Assignments!$G$6:$G$505,Assignments!$B$6:$B$505,$B14,Assignments!$D$6:$D$505,Settings!$B$11)/SUMIFS(Assignments!$L$6:$L$505,Assignments!$B$6:$B$505,$B14,Assignments!$D$6:$D$505,Settings!$B$11))</f>
        <v/>
      </c>
      <c r="X14">
        <f>IF(OR($B14="",SUMIFS(Assignments!$L$6:$L$505,Assignments!$B$6:$B$505,$B14,Assignments!$D$6:$D$505,Settings!$B$6)=0),0,N(E14))</f>
        <v/>
      </c>
      <c r="Y14">
        <f>IF(OR($B14="",SUMIFS(Assignments!$L$6:$L$505,Assignments!$B$6:$B$505,$B14,Assignments!$D$6:$D$505,Settings!$B$7)=0),0,N(F14))</f>
        <v/>
      </c>
      <c r="Z14">
        <f>IF(OR($B14="",SUMIFS(Assignments!$L$6:$L$505,Assignments!$B$6:$B$505,$B14,Assignments!$D$6:$D$505,Settings!$B$8)=0),0,N(G14))</f>
        <v/>
      </c>
      <c r="AA14">
        <f>IF(OR($B14="",SUMIFS(Assignments!$L$6:$L$505,Assignments!$B$6:$B$505,$B14,Assignments!$D$6:$D$505,Settings!$B$9)=0),0,N(H14))</f>
        <v/>
      </c>
      <c r="AB14">
        <f>IF(OR($B14="",SUMIFS(Assignments!$L$6:$L$505,Assignments!$B$6:$B$505,$B14,Assignments!$D$6:$D$505,Settings!$B$10)=0),0,N(I14))</f>
        <v/>
      </c>
      <c r="AC14">
        <f>IF(OR($B14="",SUMIFS(Assignments!$L$6:$L$505,Assignments!$B$6:$B$505,$B14,Assignments!$D$6:$D$505,Settings!$B$11)=0),0,N(J14))</f>
        <v/>
      </c>
      <c r="AD14">
        <f>IF(N14="","",IFERROR(INDEX(Settings!$F$6:$F$17,MATCH(N14,Settings!$E$6:$E$17,0)),""))</f>
        <v/>
      </c>
      <c r="AE14">
        <f>IF(OR(B14="",AD14=""),0,AD14)</f>
        <v/>
      </c>
      <c r="AF14">
        <f>IF(OR(B14="",AD14=""),0,N(D14))</f>
        <v/>
      </c>
    </row>
    <row r="15">
      <c r="A15" s="1" t="n"/>
      <c r="B15" s="24" t="n"/>
      <c r="C15" s="25" t="n"/>
      <c r="D15" s="29" t="n"/>
      <c r="E15" s="30" t="n"/>
      <c r="F15" s="30" t="n"/>
      <c r="G15" s="30" t="n"/>
      <c r="H15" s="30" t="n"/>
      <c r="I15" s="30" t="n"/>
      <c r="J15" s="30" t="n"/>
      <c r="K15" s="30" t="n"/>
      <c r="L15" s="15">
        <f>IF(B15="","",SUM(E15:J15))</f>
        <v/>
      </c>
      <c r="M15" s="13">
        <f>IF(OR(B15="",SUM(X15:AC15)=0),"",SUMPRODUCT(E15:J15,R15:W15)/SUM(X15:AC15))</f>
        <v/>
      </c>
      <c r="N15" s="14">
        <f>IF(M15="","",INDEX(Settings!$E$6:$E$17,MATCH(M15+0.0000001,Settings!$D$6:$D$17,1)))</f>
        <v/>
      </c>
      <c r="O15" s="16">
        <f>IF(OR(M15="",N(I15)=0,AB15&gt;0,N(K15)=0),"",IF((N(K15)-M15*(1-N(I15)))/N(I15)&lt;=0,"Any score",IF((N(K15)-M15*(1-N(I15)))/N(I15)&gt;1,"Above 100%",(N(K15)-M15*(1-N(I15)))/N(I15))))</f>
        <v/>
      </c>
      <c r="P15" s="17">
        <f>IF(B15="","",COUNTIFS(Assignments!$B$6:$B$505,B15,Assignments!$M$6:$M$505,"&gt;="&amp;TODAY(),Assignments!$M$6:$M$505,"&lt;"&amp;(TODAY()+8)))</f>
        <v/>
      </c>
      <c r="Q15" s="1" t="n"/>
      <c r="R15">
        <f>IF(OR($B15="",SUMIFS(Assignments!$L$6:$L$505,Assignments!$B$6:$B$505,$B15,Assignments!$D$6:$D$505,Settings!$B$6)=0),0,SUMIFS(Assignments!$G$6:$G$505,Assignments!$B$6:$B$505,$B15,Assignments!$D$6:$D$505,Settings!$B$6)/SUMIFS(Assignments!$L$6:$L$505,Assignments!$B$6:$B$505,$B15,Assignments!$D$6:$D$505,Settings!$B$6))</f>
        <v/>
      </c>
      <c r="S15">
        <f>IF(OR($B15="",SUMIFS(Assignments!$L$6:$L$505,Assignments!$B$6:$B$505,$B15,Assignments!$D$6:$D$505,Settings!$B$7)=0),0,SUMIFS(Assignments!$G$6:$G$505,Assignments!$B$6:$B$505,$B15,Assignments!$D$6:$D$505,Settings!$B$7)/SUMIFS(Assignments!$L$6:$L$505,Assignments!$B$6:$B$505,$B15,Assignments!$D$6:$D$505,Settings!$B$7))</f>
        <v/>
      </c>
      <c r="T15">
        <f>IF(OR($B15="",SUMIFS(Assignments!$L$6:$L$505,Assignments!$B$6:$B$505,$B15,Assignments!$D$6:$D$505,Settings!$B$8)=0),0,SUMIFS(Assignments!$G$6:$G$505,Assignments!$B$6:$B$505,$B15,Assignments!$D$6:$D$505,Settings!$B$8)/SUMIFS(Assignments!$L$6:$L$505,Assignments!$B$6:$B$505,$B15,Assignments!$D$6:$D$505,Settings!$B$8))</f>
        <v/>
      </c>
      <c r="U15">
        <f>IF(OR($B15="",SUMIFS(Assignments!$L$6:$L$505,Assignments!$B$6:$B$505,$B15,Assignments!$D$6:$D$505,Settings!$B$9)=0),0,SUMIFS(Assignments!$G$6:$G$505,Assignments!$B$6:$B$505,$B15,Assignments!$D$6:$D$505,Settings!$B$9)/SUMIFS(Assignments!$L$6:$L$505,Assignments!$B$6:$B$505,$B15,Assignments!$D$6:$D$505,Settings!$B$9))</f>
        <v/>
      </c>
      <c r="V15">
        <f>IF(OR($B15="",SUMIFS(Assignments!$L$6:$L$505,Assignments!$B$6:$B$505,$B15,Assignments!$D$6:$D$505,Settings!$B$10)=0),0,SUMIFS(Assignments!$G$6:$G$505,Assignments!$B$6:$B$505,$B15,Assignments!$D$6:$D$505,Settings!$B$10)/SUMIFS(Assignments!$L$6:$L$505,Assignments!$B$6:$B$505,$B15,Assignments!$D$6:$D$505,Settings!$B$10))</f>
        <v/>
      </c>
      <c r="W15">
        <f>IF(OR($B15="",SUMIFS(Assignments!$L$6:$L$505,Assignments!$B$6:$B$505,$B15,Assignments!$D$6:$D$505,Settings!$B$11)=0),0,SUMIFS(Assignments!$G$6:$G$505,Assignments!$B$6:$B$505,$B15,Assignments!$D$6:$D$505,Settings!$B$11)/SUMIFS(Assignments!$L$6:$L$505,Assignments!$B$6:$B$505,$B15,Assignments!$D$6:$D$505,Settings!$B$11))</f>
        <v/>
      </c>
      <c r="X15">
        <f>IF(OR($B15="",SUMIFS(Assignments!$L$6:$L$505,Assignments!$B$6:$B$505,$B15,Assignments!$D$6:$D$505,Settings!$B$6)=0),0,N(E15))</f>
        <v/>
      </c>
      <c r="Y15">
        <f>IF(OR($B15="",SUMIFS(Assignments!$L$6:$L$505,Assignments!$B$6:$B$505,$B15,Assignments!$D$6:$D$505,Settings!$B$7)=0),0,N(F15))</f>
        <v/>
      </c>
      <c r="Z15">
        <f>IF(OR($B15="",SUMIFS(Assignments!$L$6:$L$505,Assignments!$B$6:$B$505,$B15,Assignments!$D$6:$D$505,Settings!$B$8)=0),0,N(G15))</f>
        <v/>
      </c>
      <c r="AA15">
        <f>IF(OR($B15="",SUMIFS(Assignments!$L$6:$L$505,Assignments!$B$6:$B$505,$B15,Assignments!$D$6:$D$505,Settings!$B$9)=0),0,N(H15))</f>
        <v/>
      </c>
      <c r="AB15">
        <f>IF(OR($B15="",SUMIFS(Assignments!$L$6:$L$505,Assignments!$B$6:$B$505,$B15,Assignments!$D$6:$D$505,Settings!$B$10)=0),0,N(I15))</f>
        <v/>
      </c>
      <c r="AC15">
        <f>IF(OR($B15="",SUMIFS(Assignments!$L$6:$L$505,Assignments!$B$6:$B$505,$B15,Assignments!$D$6:$D$505,Settings!$B$11)=0),0,N(J15))</f>
        <v/>
      </c>
      <c r="AD15">
        <f>IF(N15="","",IFERROR(INDEX(Settings!$F$6:$F$17,MATCH(N15,Settings!$E$6:$E$17,0)),""))</f>
        <v/>
      </c>
      <c r="AE15">
        <f>IF(OR(B15="",AD15=""),0,AD15)</f>
        <v/>
      </c>
      <c r="AF15">
        <f>IF(OR(B15="",AD15=""),0,N(D15))</f>
        <v/>
      </c>
    </row>
    <row r="16">
      <c r="A16" s="1" t="n"/>
      <c r="B16" s="1" t="n"/>
      <c r="C16" s="1" t="n"/>
      <c r="D16" s="1" t="n"/>
      <c r="E16" s="1" t="n"/>
      <c r="F16" s="1" t="n"/>
      <c r="G16" s="1" t="n"/>
      <c r="H16" s="1" t="n"/>
      <c r="I16" s="1" t="n"/>
      <c r="J16" s="1" t="n"/>
      <c r="K16" s="1" t="n"/>
      <c r="L16" s="1" t="n"/>
      <c r="M16" s="1" t="n"/>
      <c r="N16" s="1" t="n"/>
      <c r="O16" s="1" t="n"/>
      <c r="P16" s="1" t="n"/>
      <c r="Q16" s="1" t="n"/>
    </row>
    <row r="17">
      <c r="A17" s="1" t="n"/>
      <c r="B17" s="31" t="inlineStr">
        <is>
          <t>Grade now counts only the kinds of work that already have scores. Needed on final is the score on the final that brings you to your target, if the rest stays as it is.</t>
        </is>
      </c>
      <c r="C17" s="1" t="n"/>
      <c r="D17" s="1" t="n"/>
      <c r="E17" s="1" t="n"/>
      <c r="F17" s="1" t="n"/>
      <c r="G17" s="1" t="n"/>
      <c r="H17" s="1" t="n"/>
      <c r="I17" s="1" t="n"/>
      <c r="J17" s="1" t="n"/>
      <c r="K17" s="1" t="n"/>
      <c r="L17" s="1" t="n"/>
      <c r="M17" s="1" t="n"/>
      <c r="N17" s="1" t="n"/>
      <c r="O17" s="1" t="n"/>
      <c r="P17" s="1" t="n"/>
      <c r="Q17" s="1" t="n"/>
    </row>
    <row r="18">
      <c r="A18" s="1" t="n"/>
      <c r="B18" s="1" t="n"/>
      <c r="C18" s="1" t="n"/>
      <c r="D18" s="1" t="n"/>
      <c r="E18" s="1" t="n"/>
      <c r="F18" s="1" t="n"/>
      <c r="G18" s="1" t="n"/>
      <c r="H18" s="1" t="n"/>
      <c r="I18" s="1" t="n"/>
      <c r="J18" s="1" t="n"/>
      <c r="K18" s="1" t="n"/>
      <c r="L18" s="1" t="n"/>
      <c r="M18" s="1" t="n"/>
      <c r="N18" s="1" t="n"/>
      <c r="O18" s="1" t="n"/>
      <c r="P18" s="1" t="n"/>
      <c r="Q18" s="1" t="n"/>
    </row>
  </sheetData>
  <conditionalFormatting sqref="L6:L15">
    <cfRule type="expression" priority="1" dxfId="2">
      <formula>AND(L6&lt;&gt;"",ROUND(L6,4)&lt;&gt;1)</formula>
    </cfRule>
  </conditionalFormatting>
  <conditionalFormatting sqref="M6:M15">
    <cfRule type="expression" priority="2" dxfId="0">
      <formula>AND(M6&lt;&gt;"",M6&gt;=K6)</formula>
    </cfRule>
    <cfRule type="expression" priority="3" dxfId="1">
      <formula>AND(M6&lt;&gt;"",M6&lt;K6)</formula>
    </cfRule>
  </conditionalFormatting>
  <conditionalFormatting sqref="O6:O15">
    <cfRule type="expression" priority="4" dxfId="2">
      <formula>O6="Above 100%"</formula>
    </cfRule>
    <cfRule type="expression" priority="5" dxfId="0">
      <formula>O6="Any score"</formula>
    </cfRule>
  </conditionalFormatting>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F1006"/>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3" customWidth="1" min="1" max="1"/>
    <col width="13" customWidth="1" min="2" max="2"/>
    <col width="22" customWidth="1" min="3" max="3"/>
    <col width="10" customWidth="1" min="4" max="4"/>
    <col width="30" customWidth="1" min="5" max="5"/>
    <col hidden="1" width="13" customWidth="1" min="6" max="6"/>
  </cols>
  <sheetData>
    <row r="1">
      <c r="A1" s="1" t="n"/>
      <c r="B1" s="1" t="n"/>
      <c r="C1" s="1" t="n"/>
      <c r="D1" s="1" t="n"/>
      <c r="E1" s="1" t="n"/>
      <c r="F1" s="1" t="n"/>
    </row>
    <row r="2" ht="32" customHeight="1">
      <c r="A2" s="1" t="n"/>
      <c r="B2" s="2" t="inlineStr">
        <is>
          <t>Study log</t>
        </is>
      </c>
      <c r="C2" s="1" t="n"/>
      <c r="D2" s="1" t="n"/>
      <c r="E2" s="1" t="n"/>
      <c r="F2" s="1" t="n"/>
    </row>
    <row r="3">
      <c r="A3" s="1" t="n"/>
      <c r="B3" s="3" t="inlineStr">
        <is>
          <t>One line each time you study, with the minutes.</t>
        </is>
      </c>
      <c r="C3" s="1" t="n"/>
      <c r="D3" s="1" t="n"/>
      <c r="E3" s="1" t="n"/>
      <c r="F3" s="1" t="n"/>
    </row>
    <row r="4">
      <c r="A4" s="1" t="n"/>
      <c r="B4" s="1" t="n"/>
      <c r="C4" s="1" t="n"/>
      <c r="D4" s="1" t="n"/>
      <c r="E4" s="1" t="n"/>
      <c r="F4" s="1" t="n"/>
    </row>
    <row r="5" ht="30" customHeight="1">
      <c r="A5" s="1" t="n"/>
      <c r="B5" s="11" t="inlineStr">
        <is>
          <t>Date</t>
        </is>
      </c>
      <c r="C5" s="11" t="inlineStr">
        <is>
          <t>Course</t>
        </is>
      </c>
      <c r="D5" s="11" t="inlineStr">
        <is>
          <t>Minutes</t>
        </is>
      </c>
      <c r="E5" s="11" t="inlineStr">
        <is>
          <t>What</t>
        </is>
      </c>
      <c r="F5" s="1" t="n"/>
    </row>
    <row r="6">
      <c r="A6" s="1" t="n"/>
      <c r="B6" s="26" t="n">
        <v>46258</v>
      </c>
      <c r="C6" s="25" t="inlineStr">
        <is>
          <t>Intro to Psychology</t>
        </is>
      </c>
      <c r="D6" s="29" t="n">
        <v>120</v>
      </c>
      <c r="E6" s="25" t="inlineStr">
        <is>
          <t>Research</t>
        </is>
      </c>
      <c r="F6" s="1">
        <f>IF(B6="","",B6-WEEKDAY(B6,3))</f>
        <v/>
      </c>
    </row>
    <row r="7">
      <c r="A7" s="1" t="n"/>
      <c r="B7" s="26" t="n">
        <v>46258</v>
      </c>
      <c r="C7" s="25" t="inlineStr">
        <is>
          <t>Intro to Psychology</t>
        </is>
      </c>
      <c r="D7" s="29" t="n">
        <v>60</v>
      </c>
      <c r="E7" s="25" t="inlineStr">
        <is>
          <t>Research</t>
        </is>
      </c>
      <c r="F7" s="1">
        <f>IF(B7="","",B7-WEEKDAY(B7,3))</f>
        <v/>
      </c>
    </row>
    <row r="8">
      <c r="A8" s="1" t="n"/>
      <c r="B8" s="26" t="n">
        <v>46259</v>
      </c>
      <c r="C8" s="25" t="inlineStr">
        <is>
          <t>Intro to Psychology</t>
        </is>
      </c>
      <c r="D8" s="29" t="n">
        <v>60</v>
      </c>
      <c r="E8" s="25" t="inlineStr">
        <is>
          <t>Chapter reading</t>
        </is>
      </c>
      <c r="F8" s="1">
        <f>IF(B8="","",B8-WEEKDAY(B8,3))</f>
        <v/>
      </c>
    </row>
    <row r="9">
      <c r="A9" s="1" t="n"/>
      <c r="B9" s="26" t="n">
        <v>46259</v>
      </c>
      <c r="C9" s="25" t="inlineStr">
        <is>
          <t>Spanish I</t>
        </is>
      </c>
      <c r="D9" s="29" t="n">
        <v>45</v>
      </c>
      <c r="E9" s="25" t="inlineStr">
        <is>
          <t>Listening practice</t>
        </is>
      </c>
      <c r="F9" s="1">
        <f>IF(B9="","",B9-WEEKDAY(B9,3))</f>
        <v/>
      </c>
    </row>
    <row r="10">
      <c r="A10" s="1" t="n"/>
      <c r="B10" s="26" t="n">
        <v>46260</v>
      </c>
      <c r="C10" s="25" t="inlineStr">
        <is>
          <t>English Composition</t>
        </is>
      </c>
      <c r="D10" s="29" t="n">
        <v>120</v>
      </c>
      <c r="E10" s="25" t="inlineStr">
        <is>
          <t>Reading</t>
        </is>
      </c>
      <c r="F10" s="1">
        <f>IF(B10="","",B10-WEEKDAY(B10,3))</f>
        <v/>
      </c>
    </row>
    <row r="11">
      <c r="A11" s="1" t="n"/>
      <c r="B11" s="26" t="n">
        <v>46260</v>
      </c>
      <c r="C11" s="25" t="inlineStr">
        <is>
          <t>Intro to Psychology</t>
        </is>
      </c>
      <c r="D11" s="29" t="n">
        <v>90</v>
      </c>
      <c r="E11" s="25" t="inlineStr">
        <is>
          <t>Research</t>
        </is>
      </c>
      <c r="F11" s="1">
        <f>IF(B11="","",B11-WEEKDAY(B11,3))</f>
        <v/>
      </c>
    </row>
    <row r="12">
      <c r="A12" s="1" t="n"/>
      <c r="B12" s="26" t="n">
        <v>46260</v>
      </c>
      <c r="C12" s="25" t="inlineStr">
        <is>
          <t>Calculus I</t>
        </is>
      </c>
      <c r="D12" s="29" t="n">
        <v>60</v>
      </c>
      <c r="E12" s="25" t="inlineStr">
        <is>
          <t>Problem set</t>
        </is>
      </c>
      <c r="F12" s="1">
        <f>IF(B12="","",B12-WEEKDAY(B12,3))</f>
        <v/>
      </c>
    </row>
    <row r="13">
      <c r="A13" s="1" t="n"/>
      <c r="B13" s="26" t="n">
        <v>46261</v>
      </c>
      <c r="C13" s="25" t="inlineStr">
        <is>
          <t>Spanish I</t>
        </is>
      </c>
      <c r="D13" s="29" t="n">
        <v>60</v>
      </c>
      <c r="E13" s="25" t="inlineStr">
        <is>
          <t>Listening practice</t>
        </is>
      </c>
      <c r="F13" s="1">
        <f>IF(B13="","",B13-WEEKDAY(B13,3))</f>
        <v/>
      </c>
    </row>
    <row r="14">
      <c r="A14" s="1" t="n"/>
      <c r="B14" s="26" t="n">
        <v>46261</v>
      </c>
      <c r="C14" s="25" t="inlineStr">
        <is>
          <t>Biology 101</t>
        </is>
      </c>
      <c r="D14" s="29" t="n">
        <v>90</v>
      </c>
      <c r="E14" s="25" t="inlineStr">
        <is>
          <t>Flashcards</t>
        </is>
      </c>
      <c r="F14" s="1">
        <f>IF(B14="","",B14-WEEKDAY(B14,3))</f>
        <v/>
      </c>
    </row>
    <row r="15">
      <c r="A15" s="1" t="n"/>
      <c r="B15" s="26" t="n">
        <v>46262</v>
      </c>
      <c r="C15" s="25" t="inlineStr">
        <is>
          <t>Calculus I</t>
        </is>
      </c>
      <c r="D15" s="29" t="n">
        <v>60</v>
      </c>
      <c r="E15" s="25" t="inlineStr">
        <is>
          <t>Problem set</t>
        </is>
      </c>
      <c r="F15" s="1">
        <f>IF(B15="","",B15-WEEKDAY(B15,3))</f>
        <v/>
      </c>
    </row>
    <row r="16">
      <c r="A16" s="1" t="n"/>
      <c r="B16" s="26" t="n">
        <v>46262</v>
      </c>
      <c r="C16" s="25" t="inlineStr">
        <is>
          <t>Biology 101</t>
        </is>
      </c>
      <c r="D16" s="29" t="n">
        <v>60</v>
      </c>
      <c r="E16" s="25" t="inlineStr">
        <is>
          <t>Lab write-up</t>
        </is>
      </c>
      <c r="F16" s="1">
        <f>IF(B16="","",B16-WEEKDAY(B16,3))</f>
        <v/>
      </c>
    </row>
    <row r="17">
      <c r="A17" s="1" t="n"/>
      <c r="B17" s="26" t="n">
        <v>46264</v>
      </c>
      <c r="C17" s="25" t="inlineStr">
        <is>
          <t>Biology 101</t>
        </is>
      </c>
      <c r="D17" s="29" t="n">
        <v>75</v>
      </c>
      <c r="E17" s="25" t="inlineStr">
        <is>
          <t>Lab write-up</t>
        </is>
      </c>
      <c r="F17" s="1">
        <f>IF(B17="","",B17-WEEKDAY(B17,3))</f>
        <v/>
      </c>
    </row>
    <row r="18">
      <c r="A18" s="1" t="n"/>
      <c r="B18" s="26" t="n">
        <v>46265</v>
      </c>
      <c r="C18" s="25" t="inlineStr">
        <is>
          <t>English Composition</t>
        </is>
      </c>
      <c r="D18" s="29" t="n">
        <v>120</v>
      </c>
      <c r="E18" s="25" t="inlineStr">
        <is>
          <t>Reading</t>
        </is>
      </c>
      <c r="F18" s="1">
        <f>IF(B18="","",B18-WEEKDAY(B18,3))</f>
        <v/>
      </c>
    </row>
    <row r="19">
      <c r="A19" s="1" t="n"/>
      <c r="B19" s="26" t="n">
        <v>46265</v>
      </c>
      <c r="C19" s="25" t="inlineStr">
        <is>
          <t>Calculus I</t>
        </is>
      </c>
      <c r="D19" s="29" t="n">
        <v>120</v>
      </c>
      <c r="E19" s="25" t="inlineStr">
        <is>
          <t>Limits review</t>
        </is>
      </c>
      <c r="F19" s="1">
        <f>IF(B19="","",B19-WEEKDAY(B19,3))</f>
        <v/>
      </c>
    </row>
    <row r="20">
      <c r="A20" s="1" t="n"/>
      <c r="B20" s="26" t="n">
        <v>46266</v>
      </c>
      <c r="C20" s="25" t="inlineStr">
        <is>
          <t>Calculus I</t>
        </is>
      </c>
      <c r="D20" s="29" t="n">
        <v>120</v>
      </c>
      <c r="E20" s="25" t="inlineStr">
        <is>
          <t>Problem set</t>
        </is>
      </c>
      <c r="F20" s="1">
        <f>IF(B20="","",B20-WEEKDAY(B20,3))</f>
        <v/>
      </c>
    </row>
    <row r="21">
      <c r="A21" s="1" t="n"/>
      <c r="B21" s="26" t="n">
        <v>46267</v>
      </c>
      <c r="C21" s="25" t="inlineStr">
        <is>
          <t>Calculus I</t>
        </is>
      </c>
      <c r="D21" s="29" t="n">
        <v>60</v>
      </c>
      <c r="E21" s="25" t="inlineStr">
        <is>
          <t>Problem set</t>
        </is>
      </c>
      <c r="F21" s="1">
        <f>IF(B21="","",B21-WEEKDAY(B21,3))</f>
        <v/>
      </c>
    </row>
    <row r="22">
      <c r="A22" s="1" t="n"/>
      <c r="B22" s="26" t="n">
        <v>46268</v>
      </c>
      <c r="C22" s="25" t="inlineStr">
        <is>
          <t>Intro to Psychology</t>
        </is>
      </c>
      <c r="D22" s="29" t="n">
        <v>60</v>
      </c>
      <c r="E22" s="25" t="inlineStr">
        <is>
          <t>Chapter reading</t>
        </is>
      </c>
      <c r="F22" s="1">
        <f>IF(B22="","",B22-WEEKDAY(B22,3))</f>
        <v/>
      </c>
    </row>
    <row r="23">
      <c r="A23" s="1" t="n"/>
      <c r="B23" s="26" t="n">
        <v>46269</v>
      </c>
      <c r="C23" s="25" t="inlineStr">
        <is>
          <t>Intro to Psychology</t>
        </is>
      </c>
      <c r="D23" s="29" t="n">
        <v>60</v>
      </c>
      <c r="E23" s="25" t="inlineStr">
        <is>
          <t>Chapter reading</t>
        </is>
      </c>
      <c r="F23" s="1">
        <f>IF(B23="","",B23-WEEKDAY(B23,3))</f>
        <v/>
      </c>
    </row>
    <row r="24">
      <c r="A24" s="1" t="n"/>
      <c r="B24" s="26" t="n">
        <v>46269</v>
      </c>
      <c r="C24" s="25" t="inlineStr">
        <is>
          <t>Intro to Psychology</t>
        </is>
      </c>
      <c r="D24" s="29" t="n">
        <v>90</v>
      </c>
      <c r="E24" s="25" t="inlineStr">
        <is>
          <t>Quiz review</t>
        </is>
      </c>
      <c r="F24" s="1">
        <f>IF(B24="","",B24-WEEKDAY(B24,3))</f>
        <v/>
      </c>
    </row>
    <row r="25">
      <c r="A25" s="1" t="n"/>
      <c r="B25" s="26" t="n">
        <v>46270</v>
      </c>
      <c r="C25" s="25" t="inlineStr">
        <is>
          <t>Intro to Psychology</t>
        </is>
      </c>
      <c r="D25" s="29" t="n">
        <v>45</v>
      </c>
      <c r="E25" s="25" t="inlineStr">
        <is>
          <t>Research</t>
        </is>
      </c>
      <c r="F25" s="1">
        <f>IF(B25="","",B25-WEEKDAY(B25,3))</f>
        <v/>
      </c>
    </row>
    <row r="26">
      <c r="A26" s="1" t="n"/>
      <c r="B26" s="26" t="n">
        <v>46272</v>
      </c>
      <c r="C26" s="25" t="inlineStr">
        <is>
          <t>Biology 101</t>
        </is>
      </c>
      <c r="D26" s="29" t="n">
        <v>45</v>
      </c>
      <c r="E26" s="25" t="inlineStr">
        <is>
          <t>Cell biology notes</t>
        </is>
      </c>
      <c r="F26" s="1">
        <f>IF(B26="","",B26-WEEKDAY(B26,3))</f>
        <v/>
      </c>
    </row>
    <row r="27">
      <c r="A27" s="1" t="n"/>
      <c r="B27" s="26" t="n">
        <v>46272</v>
      </c>
      <c r="C27" s="25" t="inlineStr">
        <is>
          <t>Biology 101</t>
        </is>
      </c>
      <c r="D27" s="29" t="n">
        <v>90</v>
      </c>
      <c r="E27" s="25" t="inlineStr">
        <is>
          <t>Flashcards</t>
        </is>
      </c>
      <c r="F27" s="1">
        <f>IF(B27="","",B27-WEEKDAY(B27,3))</f>
        <v/>
      </c>
    </row>
    <row r="28">
      <c r="A28" s="1" t="n"/>
      <c r="B28" s="26" t="n">
        <v>46273</v>
      </c>
      <c r="C28" s="25" t="inlineStr">
        <is>
          <t>Calculus I</t>
        </is>
      </c>
      <c r="D28" s="29" t="n">
        <v>90</v>
      </c>
      <c r="E28" s="25" t="inlineStr">
        <is>
          <t>Limits review</t>
        </is>
      </c>
      <c r="F28" s="1">
        <f>IF(B28="","",B28-WEEKDAY(B28,3))</f>
        <v/>
      </c>
    </row>
    <row r="29">
      <c r="A29" s="1" t="n"/>
      <c r="B29" s="26" t="n">
        <v>46273</v>
      </c>
      <c r="C29" s="25" t="inlineStr">
        <is>
          <t>Calculus I</t>
        </is>
      </c>
      <c r="D29" s="29" t="n">
        <v>90</v>
      </c>
      <c r="E29" s="25" t="inlineStr">
        <is>
          <t>Problem set</t>
        </is>
      </c>
      <c r="F29" s="1">
        <f>IF(B29="","",B29-WEEKDAY(B29,3))</f>
        <v/>
      </c>
    </row>
    <row r="30">
      <c r="A30" s="1" t="n"/>
      <c r="B30" s="26" t="n">
        <v>46274</v>
      </c>
      <c r="C30" s="25" t="inlineStr">
        <is>
          <t>Biology 101</t>
        </is>
      </c>
      <c r="D30" s="29" t="n">
        <v>60</v>
      </c>
      <c r="E30" s="25" t="inlineStr">
        <is>
          <t>Lab write-up</t>
        </is>
      </c>
      <c r="F30" s="1">
        <f>IF(B30="","",B30-WEEKDAY(B30,3))</f>
        <v/>
      </c>
    </row>
    <row r="31">
      <c r="A31" s="1" t="n"/>
      <c r="B31" s="26" t="n">
        <v>46275</v>
      </c>
      <c r="C31" s="25" t="inlineStr">
        <is>
          <t>Spanish I</t>
        </is>
      </c>
      <c r="D31" s="29" t="n">
        <v>45</v>
      </c>
      <c r="E31" s="25" t="inlineStr">
        <is>
          <t>Listening practice</t>
        </is>
      </c>
      <c r="F31" s="1">
        <f>IF(B31="","",B31-WEEKDAY(B31,3))</f>
        <v/>
      </c>
    </row>
    <row r="32">
      <c r="A32" s="1" t="n"/>
      <c r="B32" s="26" t="n">
        <v>46275</v>
      </c>
      <c r="C32" s="25" t="inlineStr">
        <is>
          <t>English Composition</t>
        </is>
      </c>
      <c r="D32" s="29" t="n">
        <v>60</v>
      </c>
      <c r="E32" s="25" t="inlineStr">
        <is>
          <t>Reading</t>
        </is>
      </c>
      <c r="F32" s="1">
        <f>IF(B32="","",B32-WEEKDAY(B32,3))</f>
        <v/>
      </c>
    </row>
    <row r="33">
      <c r="A33" s="1" t="n"/>
      <c r="B33" s="26" t="n">
        <v>46276</v>
      </c>
      <c r="C33" s="25" t="inlineStr">
        <is>
          <t>Biology 101</t>
        </is>
      </c>
      <c r="D33" s="29" t="n">
        <v>120</v>
      </c>
      <c r="E33" s="25" t="inlineStr">
        <is>
          <t>Lab write-up</t>
        </is>
      </c>
      <c r="F33" s="1">
        <f>IF(B33="","",B33-WEEKDAY(B33,3))</f>
        <v/>
      </c>
    </row>
    <row r="34">
      <c r="A34" s="1" t="n"/>
      <c r="B34" s="26" t="n">
        <v>46276</v>
      </c>
      <c r="C34" s="25" t="inlineStr">
        <is>
          <t>Calculus I</t>
        </is>
      </c>
      <c r="D34" s="29" t="n">
        <v>45</v>
      </c>
      <c r="E34" s="25" t="inlineStr">
        <is>
          <t>Derivatives practice</t>
        </is>
      </c>
      <c r="F34" s="1">
        <f>IF(B34="","",B34-WEEKDAY(B34,3))</f>
        <v/>
      </c>
    </row>
    <row r="35">
      <c r="A35" s="1" t="n"/>
      <c r="B35" s="26" t="n">
        <v>46278</v>
      </c>
      <c r="C35" s="25" t="inlineStr">
        <is>
          <t>Calculus I</t>
        </is>
      </c>
      <c r="D35" s="29" t="n">
        <v>60</v>
      </c>
      <c r="E35" s="25" t="inlineStr">
        <is>
          <t>Limits review</t>
        </is>
      </c>
      <c r="F35" s="1">
        <f>IF(B35="","",B35-WEEKDAY(B35,3))</f>
        <v/>
      </c>
    </row>
    <row r="36">
      <c r="A36" s="1" t="n"/>
      <c r="B36" s="26" t="n">
        <v>46278</v>
      </c>
      <c r="C36" s="25" t="inlineStr">
        <is>
          <t>Intro to Psychology</t>
        </is>
      </c>
      <c r="D36" s="29" t="n">
        <v>75</v>
      </c>
      <c r="E36" s="25" t="inlineStr">
        <is>
          <t>Chapter reading</t>
        </is>
      </c>
      <c r="F36" s="1">
        <f>IF(B36="","",B36-WEEKDAY(B36,3))</f>
        <v/>
      </c>
    </row>
    <row r="37">
      <c r="A37" s="1" t="n"/>
      <c r="B37" s="26" t="n">
        <v>46279</v>
      </c>
      <c r="C37" s="25" t="inlineStr">
        <is>
          <t>Calculus I</t>
        </is>
      </c>
      <c r="D37" s="29" t="n">
        <v>90</v>
      </c>
      <c r="E37" s="25" t="inlineStr">
        <is>
          <t>Problem set</t>
        </is>
      </c>
      <c r="F37" s="1">
        <f>IF(B37="","",B37-WEEKDAY(B37,3))</f>
        <v/>
      </c>
    </row>
    <row r="38">
      <c r="A38" s="1" t="n"/>
      <c r="B38" s="26" t="n">
        <v>46280</v>
      </c>
      <c r="C38" s="25" t="inlineStr">
        <is>
          <t>Intro to Psychology</t>
        </is>
      </c>
      <c r="D38" s="29" t="n">
        <v>60</v>
      </c>
      <c r="E38" s="25" t="inlineStr">
        <is>
          <t>Quiz review</t>
        </is>
      </c>
      <c r="F38" s="1">
        <f>IF(B38="","",B38-WEEKDAY(B38,3))</f>
        <v/>
      </c>
    </row>
    <row r="39">
      <c r="A39" s="1" t="n"/>
      <c r="B39" s="26" t="n">
        <v>46280</v>
      </c>
      <c r="C39" s="25" t="inlineStr">
        <is>
          <t>Biology 101</t>
        </is>
      </c>
      <c r="D39" s="29" t="n">
        <v>45</v>
      </c>
      <c r="E39" s="25" t="inlineStr">
        <is>
          <t>Flashcards</t>
        </is>
      </c>
      <c r="F39" s="1">
        <f>IF(B39="","",B39-WEEKDAY(B39,3))</f>
        <v/>
      </c>
    </row>
    <row r="40">
      <c r="A40" s="1" t="n"/>
      <c r="B40" s="26" t="n">
        <v>46281</v>
      </c>
      <c r="C40" s="25" t="inlineStr">
        <is>
          <t>Intro to Psychology</t>
        </is>
      </c>
      <c r="D40" s="29" t="n">
        <v>120</v>
      </c>
      <c r="E40" s="25" t="inlineStr">
        <is>
          <t>Chapter reading</t>
        </is>
      </c>
      <c r="F40" s="1">
        <f>IF(B40="","",B40-WEEKDAY(B40,3))</f>
        <v/>
      </c>
    </row>
    <row r="41">
      <c r="A41" s="1" t="n"/>
      <c r="B41" s="26" t="n">
        <v>46281</v>
      </c>
      <c r="C41" s="25" t="inlineStr">
        <is>
          <t>Intro to Psychology</t>
        </is>
      </c>
      <c r="D41" s="29" t="n">
        <v>90</v>
      </c>
      <c r="E41" s="25" t="inlineStr">
        <is>
          <t>Research</t>
        </is>
      </c>
      <c r="F41" s="1">
        <f>IF(B41="","",B41-WEEKDAY(B41,3))</f>
        <v/>
      </c>
    </row>
    <row r="42">
      <c r="A42" s="1" t="n"/>
      <c r="B42" s="26" t="n">
        <v>46281</v>
      </c>
      <c r="C42" s="25" t="inlineStr">
        <is>
          <t>Biology 101</t>
        </is>
      </c>
      <c r="D42" s="29" t="n">
        <v>120</v>
      </c>
      <c r="E42" s="25" t="inlineStr">
        <is>
          <t>Lab write-up</t>
        </is>
      </c>
      <c r="F42" s="1">
        <f>IF(B42="","",B42-WEEKDAY(B42,3))</f>
        <v/>
      </c>
    </row>
    <row r="43">
      <c r="A43" s="1" t="n"/>
      <c r="B43" s="26" t="n">
        <v>46282</v>
      </c>
      <c r="C43" s="25" t="inlineStr">
        <is>
          <t>Intro to Psychology</t>
        </is>
      </c>
      <c r="D43" s="29" t="n">
        <v>60</v>
      </c>
      <c r="E43" s="25" t="inlineStr">
        <is>
          <t>Quiz review</t>
        </is>
      </c>
      <c r="F43" s="1">
        <f>IF(B43="","",B43-WEEKDAY(B43,3))</f>
        <v/>
      </c>
    </row>
    <row r="44">
      <c r="A44" s="1" t="n"/>
      <c r="B44" s="26" t="n">
        <v>46282</v>
      </c>
      <c r="C44" s="25" t="inlineStr">
        <is>
          <t>Calculus I</t>
        </is>
      </c>
      <c r="D44" s="29" t="n">
        <v>45</v>
      </c>
      <c r="E44" s="25" t="inlineStr">
        <is>
          <t>Problem set</t>
        </is>
      </c>
      <c r="F44" s="1">
        <f>IF(B44="","",B44-WEEKDAY(B44,3))</f>
        <v/>
      </c>
    </row>
    <row r="45">
      <c r="A45" s="1" t="n"/>
      <c r="B45" s="26" t="n">
        <v>46283</v>
      </c>
      <c r="C45" s="25" t="inlineStr">
        <is>
          <t>Intro to Psychology</t>
        </is>
      </c>
      <c r="D45" s="29" t="n">
        <v>45</v>
      </c>
      <c r="E45" s="25" t="inlineStr">
        <is>
          <t>Chapter reading</t>
        </is>
      </c>
      <c r="F45" s="1">
        <f>IF(B45="","",B45-WEEKDAY(B45,3))</f>
        <v/>
      </c>
    </row>
    <row r="46">
      <c r="A46" s="1" t="n"/>
      <c r="B46" s="26" t="n">
        <v>46285</v>
      </c>
      <c r="C46" s="25" t="inlineStr">
        <is>
          <t>Biology 101</t>
        </is>
      </c>
      <c r="D46" s="29" t="n">
        <v>120</v>
      </c>
      <c r="E46" s="25" t="inlineStr">
        <is>
          <t>Flashcards</t>
        </is>
      </c>
      <c r="F46" s="1">
        <f>IF(B46="","",B46-WEEKDAY(B46,3))</f>
        <v/>
      </c>
    </row>
    <row r="47">
      <c r="A47" s="1" t="n"/>
      <c r="B47" s="26" t="n">
        <v>46285</v>
      </c>
      <c r="C47" s="25" t="inlineStr">
        <is>
          <t>Spanish I</t>
        </is>
      </c>
      <c r="D47" s="29" t="n">
        <v>45</v>
      </c>
      <c r="E47" s="25" t="inlineStr">
        <is>
          <t>Listening practice</t>
        </is>
      </c>
      <c r="F47" s="1">
        <f>IF(B47="","",B47-WEEKDAY(B47,3))</f>
        <v/>
      </c>
    </row>
    <row r="48">
      <c r="A48" s="1" t="n"/>
      <c r="B48" s="26" t="n">
        <v>46286</v>
      </c>
      <c r="C48" s="25" t="inlineStr">
        <is>
          <t>Intro to Psychology</t>
        </is>
      </c>
      <c r="D48" s="29" t="n">
        <v>90</v>
      </c>
      <c r="E48" s="25" t="inlineStr">
        <is>
          <t>Chapter reading</t>
        </is>
      </c>
      <c r="F48" s="1">
        <f>IF(B48="","",B48-WEEKDAY(B48,3))</f>
        <v/>
      </c>
    </row>
    <row r="49">
      <c r="A49" s="1" t="n"/>
      <c r="B49" s="26" t="n">
        <v>46286</v>
      </c>
      <c r="C49" s="25" t="inlineStr">
        <is>
          <t>Spanish I</t>
        </is>
      </c>
      <c r="D49" s="29" t="n">
        <v>90</v>
      </c>
      <c r="E49" s="25" t="inlineStr">
        <is>
          <t>Listening practice</t>
        </is>
      </c>
      <c r="F49" s="1">
        <f>IF(B49="","",B49-WEEKDAY(B49,3))</f>
        <v/>
      </c>
    </row>
    <row r="50">
      <c r="A50" s="1" t="n"/>
      <c r="B50" s="26" t="n">
        <v>46287</v>
      </c>
      <c r="C50" s="25" t="inlineStr">
        <is>
          <t>Calculus I</t>
        </is>
      </c>
      <c r="D50" s="29" t="n">
        <v>90</v>
      </c>
      <c r="E50" s="25" t="inlineStr">
        <is>
          <t>Problem set</t>
        </is>
      </c>
      <c r="F50" s="1">
        <f>IF(B50="","",B50-WEEKDAY(B50,3))</f>
        <v/>
      </c>
    </row>
    <row r="51">
      <c r="A51" s="1" t="n"/>
      <c r="B51" s="26" t="n">
        <v>46287</v>
      </c>
      <c r="C51" s="25" t="inlineStr">
        <is>
          <t>English Composition</t>
        </is>
      </c>
      <c r="D51" s="29" t="n">
        <v>90</v>
      </c>
      <c r="E51" s="25" t="inlineStr">
        <is>
          <t>Reading</t>
        </is>
      </c>
      <c r="F51" s="1">
        <f>IF(B51="","",B51-WEEKDAY(B51,3))</f>
        <v/>
      </c>
    </row>
    <row r="52">
      <c r="A52" s="1" t="n"/>
      <c r="B52" s="26" t="n">
        <v>46288</v>
      </c>
      <c r="C52" s="25" t="inlineStr">
        <is>
          <t>Spanish I</t>
        </is>
      </c>
      <c r="D52" s="29" t="n">
        <v>120</v>
      </c>
      <c r="E52" s="25" t="inlineStr">
        <is>
          <t>Vocabulary</t>
        </is>
      </c>
      <c r="F52" s="1">
        <f>IF(B52="","",B52-WEEKDAY(B52,3))</f>
        <v/>
      </c>
    </row>
    <row r="53">
      <c r="A53" s="1" t="n"/>
      <c r="B53" s="26" t="n">
        <v>46288</v>
      </c>
      <c r="C53" s="25" t="inlineStr">
        <is>
          <t>Biology 101</t>
        </is>
      </c>
      <c r="D53" s="29" t="n">
        <v>60</v>
      </c>
      <c r="E53" s="25" t="inlineStr">
        <is>
          <t>Flashcards</t>
        </is>
      </c>
      <c r="F53" s="1">
        <f>IF(B53="","",B53-WEEKDAY(B53,3))</f>
        <v/>
      </c>
    </row>
    <row r="54">
      <c r="A54" s="1" t="n"/>
      <c r="B54" s="26" t="n">
        <v>46288</v>
      </c>
      <c r="C54" s="25" t="inlineStr">
        <is>
          <t>English Composition</t>
        </is>
      </c>
      <c r="D54" s="29" t="n">
        <v>45</v>
      </c>
      <c r="E54" s="25" t="inlineStr">
        <is>
          <t>Revisions</t>
        </is>
      </c>
      <c r="F54" s="1">
        <f>IF(B54="","",B54-WEEKDAY(B54,3))</f>
        <v/>
      </c>
    </row>
    <row r="55">
      <c r="A55" s="1" t="n"/>
      <c r="B55" s="26" t="n">
        <v>46289</v>
      </c>
      <c r="C55" s="25" t="inlineStr">
        <is>
          <t>Intro to Psychology</t>
        </is>
      </c>
      <c r="D55" s="29" t="n">
        <v>60</v>
      </c>
      <c r="E55" s="25" t="inlineStr">
        <is>
          <t>Research</t>
        </is>
      </c>
      <c r="F55" s="1">
        <f>IF(B55="","",B55-WEEKDAY(B55,3))</f>
        <v/>
      </c>
    </row>
    <row r="56">
      <c r="A56" s="1" t="n"/>
      <c r="B56" s="26" t="n">
        <v>46289</v>
      </c>
      <c r="C56" s="25" t="inlineStr">
        <is>
          <t>English Composition</t>
        </is>
      </c>
      <c r="D56" s="29" t="n">
        <v>45</v>
      </c>
      <c r="E56" s="25" t="inlineStr">
        <is>
          <t>Revisions</t>
        </is>
      </c>
      <c r="F56" s="1">
        <f>IF(B56="","",B56-WEEKDAY(B56,3))</f>
        <v/>
      </c>
    </row>
    <row r="57">
      <c r="A57" s="1" t="n"/>
      <c r="B57" s="26" t="n">
        <v>46290</v>
      </c>
      <c r="C57" s="25" t="inlineStr">
        <is>
          <t>English Composition</t>
        </is>
      </c>
      <c r="D57" s="29" t="n">
        <v>120</v>
      </c>
      <c r="E57" s="25" t="inlineStr">
        <is>
          <t>Reading</t>
        </is>
      </c>
      <c r="F57" s="1">
        <f>IF(B57="","",B57-WEEKDAY(B57,3))</f>
        <v/>
      </c>
    </row>
    <row r="58">
      <c r="A58" s="1" t="n"/>
      <c r="B58" s="26" t="n">
        <v>46290</v>
      </c>
      <c r="C58" s="25" t="inlineStr">
        <is>
          <t>Spanish I</t>
        </is>
      </c>
      <c r="D58" s="29" t="n">
        <v>60</v>
      </c>
      <c r="E58" s="25" t="inlineStr">
        <is>
          <t>Listening practice</t>
        </is>
      </c>
      <c r="F58" s="1">
        <f>IF(B58="","",B58-WEEKDAY(B58,3))</f>
        <v/>
      </c>
    </row>
    <row r="59">
      <c r="A59" s="1" t="n"/>
      <c r="B59" s="26" t="n">
        <v>46291</v>
      </c>
      <c r="C59" s="25" t="inlineStr">
        <is>
          <t>English Composition</t>
        </is>
      </c>
      <c r="D59" s="29" t="n">
        <v>120</v>
      </c>
      <c r="E59" s="25" t="inlineStr">
        <is>
          <t>Essay draft</t>
        </is>
      </c>
      <c r="F59" s="1">
        <f>IF(B59="","",B59-WEEKDAY(B59,3))</f>
        <v/>
      </c>
    </row>
    <row r="60">
      <c r="A60" s="1" t="n"/>
      <c r="B60" s="26" t="n">
        <v>46293</v>
      </c>
      <c r="C60" s="25" t="inlineStr">
        <is>
          <t>Intro to Psychology</t>
        </is>
      </c>
      <c r="D60" s="29" t="n">
        <v>60</v>
      </c>
      <c r="E60" s="25" t="inlineStr">
        <is>
          <t>Quiz review</t>
        </is>
      </c>
      <c r="F60" s="1">
        <f>IF(B60="","",B60-WEEKDAY(B60,3))</f>
        <v/>
      </c>
    </row>
    <row r="61">
      <c r="A61" s="1" t="n"/>
      <c r="B61" s="26" t="n"/>
      <c r="C61" s="25" t="n"/>
      <c r="D61" s="29" t="n"/>
      <c r="E61" s="25" t="n"/>
      <c r="F61" s="1">
        <f>IF(B61="","",B61-WEEKDAY(B61,3))</f>
        <v/>
      </c>
    </row>
    <row r="62">
      <c r="A62" s="1" t="n"/>
      <c r="B62" s="26" t="n"/>
      <c r="C62" s="25" t="n"/>
      <c r="D62" s="29" t="n"/>
      <c r="E62" s="25" t="n"/>
      <c r="F62" s="1">
        <f>IF(B62="","",B62-WEEKDAY(B62,3))</f>
        <v/>
      </c>
    </row>
    <row r="63">
      <c r="A63" s="1" t="n"/>
      <c r="B63" s="26" t="n"/>
      <c r="C63" s="25" t="n"/>
      <c r="D63" s="29" t="n"/>
      <c r="E63" s="25" t="n"/>
      <c r="F63" s="1">
        <f>IF(B63="","",B63-WEEKDAY(B63,3))</f>
        <v/>
      </c>
    </row>
    <row r="64">
      <c r="A64" s="1" t="n"/>
      <c r="B64" s="26" t="n"/>
      <c r="C64" s="25" t="n"/>
      <c r="D64" s="29" t="n"/>
      <c r="E64" s="25" t="n"/>
      <c r="F64" s="1">
        <f>IF(B64="","",B64-WEEKDAY(B64,3))</f>
        <v/>
      </c>
    </row>
    <row r="65">
      <c r="A65" s="1" t="n"/>
      <c r="B65" s="26" t="n"/>
      <c r="C65" s="25" t="n"/>
      <c r="D65" s="29" t="n"/>
      <c r="E65" s="25" t="n"/>
      <c r="F65" s="1">
        <f>IF(B65="","",B65-WEEKDAY(B65,3))</f>
        <v/>
      </c>
    </row>
    <row r="66">
      <c r="A66" s="1" t="n"/>
      <c r="B66" s="26" t="n"/>
      <c r="C66" s="25" t="n"/>
      <c r="D66" s="29" t="n"/>
      <c r="E66" s="25" t="n"/>
      <c r="F66" s="1">
        <f>IF(B66="","",B66-WEEKDAY(B66,3))</f>
        <v/>
      </c>
    </row>
    <row r="67">
      <c r="A67" s="1" t="n"/>
      <c r="B67" s="26" t="n"/>
      <c r="C67" s="25" t="n"/>
      <c r="D67" s="29" t="n"/>
      <c r="E67" s="25" t="n"/>
      <c r="F67" s="1">
        <f>IF(B67="","",B67-WEEKDAY(B67,3))</f>
        <v/>
      </c>
    </row>
    <row r="68">
      <c r="A68" s="1" t="n"/>
      <c r="B68" s="26" t="n"/>
      <c r="C68" s="25" t="n"/>
      <c r="D68" s="29" t="n"/>
      <c r="E68" s="25" t="n"/>
      <c r="F68" s="1">
        <f>IF(B68="","",B68-WEEKDAY(B68,3))</f>
        <v/>
      </c>
    </row>
    <row r="69">
      <c r="A69" s="1" t="n"/>
      <c r="B69" s="26" t="n"/>
      <c r="C69" s="25" t="n"/>
      <c r="D69" s="29" t="n"/>
      <c r="E69" s="25" t="n"/>
      <c r="F69" s="1">
        <f>IF(B69="","",B69-WEEKDAY(B69,3))</f>
        <v/>
      </c>
    </row>
    <row r="70">
      <c r="A70" s="1" t="n"/>
      <c r="B70" s="26" t="n"/>
      <c r="C70" s="25" t="n"/>
      <c r="D70" s="29" t="n"/>
      <c r="E70" s="25" t="n"/>
      <c r="F70" s="1">
        <f>IF(B70="","",B70-WEEKDAY(B70,3))</f>
        <v/>
      </c>
    </row>
    <row r="71">
      <c r="A71" s="1" t="n"/>
      <c r="B71" s="26" t="n"/>
      <c r="C71" s="25" t="n"/>
      <c r="D71" s="29" t="n"/>
      <c r="E71" s="25" t="n"/>
      <c r="F71" s="1">
        <f>IF(B71="","",B71-WEEKDAY(B71,3))</f>
        <v/>
      </c>
    </row>
    <row r="72">
      <c r="A72" s="1" t="n"/>
      <c r="B72" s="26" t="n"/>
      <c r="C72" s="25" t="n"/>
      <c r="D72" s="29" t="n"/>
      <c r="E72" s="25" t="n"/>
      <c r="F72" s="1">
        <f>IF(B72="","",B72-WEEKDAY(B72,3))</f>
        <v/>
      </c>
    </row>
    <row r="73">
      <c r="A73" s="1" t="n"/>
      <c r="B73" s="26" t="n"/>
      <c r="C73" s="25" t="n"/>
      <c r="D73" s="29" t="n"/>
      <c r="E73" s="25" t="n"/>
      <c r="F73" s="1">
        <f>IF(B73="","",B73-WEEKDAY(B73,3))</f>
        <v/>
      </c>
    </row>
    <row r="74">
      <c r="A74" s="1" t="n"/>
      <c r="B74" s="26" t="n"/>
      <c r="C74" s="25" t="n"/>
      <c r="D74" s="29" t="n"/>
      <c r="E74" s="25" t="n"/>
      <c r="F74" s="1">
        <f>IF(B74="","",B74-WEEKDAY(B74,3))</f>
        <v/>
      </c>
    </row>
    <row r="75">
      <c r="A75" s="1" t="n"/>
      <c r="B75" s="26" t="n"/>
      <c r="C75" s="25" t="n"/>
      <c r="D75" s="29" t="n"/>
      <c r="E75" s="25" t="n"/>
      <c r="F75" s="1">
        <f>IF(B75="","",B75-WEEKDAY(B75,3))</f>
        <v/>
      </c>
    </row>
    <row r="76">
      <c r="A76" s="1" t="n"/>
      <c r="B76" s="26" t="n"/>
      <c r="C76" s="25" t="n"/>
      <c r="D76" s="29" t="n"/>
      <c r="E76" s="25" t="n"/>
      <c r="F76" s="1">
        <f>IF(B76="","",B76-WEEKDAY(B76,3))</f>
        <v/>
      </c>
    </row>
    <row r="77">
      <c r="A77" s="1" t="n"/>
      <c r="B77" s="26" t="n"/>
      <c r="C77" s="25" t="n"/>
      <c r="D77" s="29" t="n"/>
      <c r="E77" s="25" t="n"/>
      <c r="F77" s="1">
        <f>IF(B77="","",B77-WEEKDAY(B77,3))</f>
        <v/>
      </c>
    </row>
    <row r="78">
      <c r="A78" s="1" t="n"/>
      <c r="B78" s="26" t="n"/>
      <c r="C78" s="25" t="n"/>
      <c r="D78" s="29" t="n"/>
      <c r="E78" s="25" t="n"/>
      <c r="F78" s="1">
        <f>IF(B78="","",B78-WEEKDAY(B78,3))</f>
        <v/>
      </c>
    </row>
    <row r="79">
      <c r="A79" s="1" t="n"/>
      <c r="B79" s="26" t="n"/>
      <c r="C79" s="25" t="n"/>
      <c r="D79" s="29" t="n"/>
      <c r="E79" s="25" t="n"/>
      <c r="F79" s="1">
        <f>IF(B79="","",B79-WEEKDAY(B79,3))</f>
        <v/>
      </c>
    </row>
    <row r="80">
      <c r="A80" s="1" t="n"/>
      <c r="B80" s="26" t="n"/>
      <c r="C80" s="25" t="n"/>
      <c r="D80" s="29" t="n"/>
      <c r="E80" s="25" t="n"/>
      <c r="F80" s="1">
        <f>IF(B80="","",B80-WEEKDAY(B80,3))</f>
        <v/>
      </c>
    </row>
    <row r="81">
      <c r="A81" s="1" t="n"/>
      <c r="B81" s="26" t="n"/>
      <c r="C81" s="25" t="n"/>
      <c r="D81" s="29" t="n"/>
      <c r="E81" s="25" t="n"/>
      <c r="F81" s="1">
        <f>IF(B81="","",B81-WEEKDAY(B81,3))</f>
        <v/>
      </c>
    </row>
    <row r="82">
      <c r="A82" s="1" t="n"/>
      <c r="B82" s="26" t="n"/>
      <c r="C82" s="25" t="n"/>
      <c r="D82" s="29" t="n"/>
      <c r="E82" s="25" t="n"/>
      <c r="F82" s="1">
        <f>IF(B82="","",B82-WEEKDAY(B82,3))</f>
        <v/>
      </c>
    </row>
    <row r="83">
      <c r="A83" s="1" t="n"/>
      <c r="B83" s="26" t="n"/>
      <c r="C83" s="25" t="n"/>
      <c r="D83" s="29" t="n"/>
      <c r="E83" s="25" t="n"/>
      <c r="F83" s="1">
        <f>IF(B83="","",B83-WEEKDAY(B83,3))</f>
        <v/>
      </c>
    </row>
    <row r="84">
      <c r="A84" s="1" t="n"/>
      <c r="B84" s="26" t="n"/>
      <c r="C84" s="25" t="n"/>
      <c r="D84" s="29" t="n"/>
      <c r="E84" s="25" t="n"/>
      <c r="F84" s="1">
        <f>IF(B84="","",B84-WEEKDAY(B84,3))</f>
        <v/>
      </c>
    </row>
    <row r="85">
      <c r="A85" s="1" t="n"/>
      <c r="B85" s="26" t="n"/>
      <c r="C85" s="25" t="n"/>
      <c r="D85" s="29" t="n"/>
      <c r="E85" s="25" t="n"/>
      <c r="F85" s="1">
        <f>IF(B85="","",B85-WEEKDAY(B85,3))</f>
        <v/>
      </c>
    </row>
    <row r="86">
      <c r="A86" s="1" t="n"/>
      <c r="B86" s="26" t="n"/>
      <c r="C86" s="25" t="n"/>
      <c r="D86" s="29" t="n"/>
      <c r="E86" s="25" t="n"/>
      <c r="F86" s="1">
        <f>IF(B86="","",B86-WEEKDAY(B86,3))</f>
        <v/>
      </c>
    </row>
    <row r="87">
      <c r="A87" s="1" t="n"/>
      <c r="B87" s="26" t="n"/>
      <c r="C87" s="25" t="n"/>
      <c r="D87" s="29" t="n"/>
      <c r="E87" s="25" t="n"/>
      <c r="F87" s="1">
        <f>IF(B87="","",B87-WEEKDAY(B87,3))</f>
        <v/>
      </c>
    </row>
    <row r="88">
      <c r="A88" s="1" t="n"/>
      <c r="B88" s="26" t="n"/>
      <c r="C88" s="25" t="n"/>
      <c r="D88" s="29" t="n"/>
      <c r="E88" s="25" t="n"/>
      <c r="F88" s="1">
        <f>IF(B88="","",B88-WEEKDAY(B88,3))</f>
        <v/>
      </c>
    </row>
    <row r="89">
      <c r="A89" s="1" t="n"/>
      <c r="B89" s="26" t="n"/>
      <c r="C89" s="25" t="n"/>
      <c r="D89" s="29" t="n"/>
      <c r="E89" s="25" t="n"/>
      <c r="F89" s="1">
        <f>IF(B89="","",B89-WEEKDAY(B89,3))</f>
        <v/>
      </c>
    </row>
    <row r="90">
      <c r="A90" s="1" t="n"/>
      <c r="B90" s="26" t="n"/>
      <c r="C90" s="25" t="n"/>
      <c r="D90" s="29" t="n"/>
      <c r="E90" s="25" t="n"/>
      <c r="F90" s="1">
        <f>IF(B90="","",B90-WEEKDAY(B90,3))</f>
        <v/>
      </c>
    </row>
    <row r="91">
      <c r="A91" s="1" t="n"/>
      <c r="B91" s="26" t="n"/>
      <c r="C91" s="25" t="n"/>
      <c r="D91" s="29" t="n"/>
      <c r="E91" s="25" t="n"/>
      <c r="F91" s="1">
        <f>IF(B91="","",B91-WEEKDAY(B91,3))</f>
        <v/>
      </c>
    </row>
    <row r="92">
      <c r="A92" s="1" t="n"/>
      <c r="B92" s="26" t="n"/>
      <c r="C92" s="25" t="n"/>
      <c r="D92" s="29" t="n"/>
      <c r="E92" s="25" t="n"/>
      <c r="F92" s="1">
        <f>IF(B92="","",B92-WEEKDAY(B92,3))</f>
        <v/>
      </c>
    </row>
    <row r="93">
      <c r="A93" s="1" t="n"/>
      <c r="B93" s="26" t="n"/>
      <c r="C93" s="25" t="n"/>
      <c r="D93" s="29" t="n"/>
      <c r="E93" s="25" t="n"/>
      <c r="F93" s="1">
        <f>IF(B93="","",B93-WEEKDAY(B93,3))</f>
        <v/>
      </c>
    </row>
    <row r="94">
      <c r="A94" s="1" t="n"/>
      <c r="B94" s="26" t="n"/>
      <c r="C94" s="25" t="n"/>
      <c r="D94" s="29" t="n"/>
      <c r="E94" s="25" t="n"/>
      <c r="F94" s="1">
        <f>IF(B94="","",B94-WEEKDAY(B94,3))</f>
        <v/>
      </c>
    </row>
    <row r="95">
      <c r="A95" s="1" t="n"/>
      <c r="B95" s="26" t="n"/>
      <c r="C95" s="25" t="n"/>
      <c r="D95" s="29" t="n"/>
      <c r="E95" s="25" t="n"/>
      <c r="F95" s="1">
        <f>IF(B95="","",B95-WEEKDAY(B95,3))</f>
        <v/>
      </c>
    </row>
    <row r="96">
      <c r="A96" s="1" t="n"/>
      <c r="B96" s="26" t="n"/>
      <c r="C96" s="25" t="n"/>
      <c r="D96" s="29" t="n"/>
      <c r="E96" s="25" t="n"/>
      <c r="F96" s="1">
        <f>IF(B96="","",B96-WEEKDAY(B96,3))</f>
        <v/>
      </c>
    </row>
    <row r="97">
      <c r="A97" s="1" t="n"/>
      <c r="B97" s="26" t="n"/>
      <c r="C97" s="25" t="n"/>
      <c r="D97" s="29" t="n"/>
      <c r="E97" s="25" t="n"/>
      <c r="F97" s="1">
        <f>IF(B97="","",B97-WEEKDAY(B97,3))</f>
        <v/>
      </c>
    </row>
    <row r="98">
      <c r="A98" s="1" t="n"/>
      <c r="B98" s="26" t="n"/>
      <c r="C98" s="25" t="n"/>
      <c r="D98" s="29" t="n"/>
      <c r="E98" s="25" t="n"/>
      <c r="F98" s="1">
        <f>IF(B98="","",B98-WEEKDAY(B98,3))</f>
        <v/>
      </c>
    </row>
    <row r="99">
      <c r="A99" s="1" t="n"/>
      <c r="B99" s="26" t="n"/>
      <c r="C99" s="25" t="n"/>
      <c r="D99" s="29" t="n"/>
      <c r="E99" s="25" t="n"/>
      <c r="F99" s="1">
        <f>IF(B99="","",B99-WEEKDAY(B99,3))</f>
        <v/>
      </c>
    </row>
    <row r="100">
      <c r="A100" s="1" t="n"/>
      <c r="B100" s="26" t="n"/>
      <c r="C100" s="25" t="n"/>
      <c r="D100" s="29" t="n"/>
      <c r="E100" s="25" t="n"/>
      <c r="F100" s="1">
        <f>IF(B100="","",B100-WEEKDAY(B100,3))</f>
        <v/>
      </c>
    </row>
    <row r="101">
      <c r="A101" s="1" t="n"/>
      <c r="B101" s="26" t="n"/>
      <c r="C101" s="25" t="n"/>
      <c r="D101" s="29" t="n"/>
      <c r="E101" s="25" t="n"/>
      <c r="F101" s="1">
        <f>IF(B101="","",B101-WEEKDAY(B101,3))</f>
        <v/>
      </c>
    </row>
    <row r="102">
      <c r="A102" s="1" t="n"/>
      <c r="B102" s="26" t="n"/>
      <c r="C102" s="25" t="n"/>
      <c r="D102" s="29" t="n"/>
      <c r="E102" s="25" t="n"/>
      <c r="F102" s="1">
        <f>IF(B102="","",B102-WEEKDAY(B102,3))</f>
        <v/>
      </c>
    </row>
    <row r="103">
      <c r="A103" s="1" t="n"/>
      <c r="B103" s="26" t="n"/>
      <c r="C103" s="25" t="n"/>
      <c r="D103" s="29" t="n"/>
      <c r="E103" s="25" t="n"/>
      <c r="F103" s="1">
        <f>IF(B103="","",B103-WEEKDAY(B103,3))</f>
        <v/>
      </c>
    </row>
    <row r="104">
      <c r="A104" s="1" t="n"/>
      <c r="B104" s="26" t="n"/>
      <c r="C104" s="25" t="n"/>
      <c r="D104" s="29" t="n"/>
      <c r="E104" s="25" t="n"/>
      <c r="F104" s="1">
        <f>IF(B104="","",B104-WEEKDAY(B104,3))</f>
        <v/>
      </c>
    </row>
    <row r="105">
      <c r="A105" s="1" t="n"/>
      <c r="B105" s="26" t="n"/>
      <c r="C105" s="25" t="n"/>
      <c r="D105" s="29" t="n"/>
      <c r="E105" s="25" t="n"/>
      <c r="F105" s="1">
        <f>IF(B105="","",B105-WEEKDAY(B105,3))</f>
        <v/>
      </c>
    </row>
    <row r="106">
      <c r="A106" s="1" t="n"/>
      <c r="B106" s="26" t="n"/>
      <c r="C106" s="25" t="n"/>
      <c r="D106" s="29" t="n"/>
      <c r="E106" s="25" t="n"/>
      <c r="F106" s="1">
        <f>IF(B106="","",B106-WEEKDAY(B106,3))</f>
        <v/>
      </c>
    </row>
    <row r="107">
      <c r="A107" s="1" t="n"/>
      <c r="B107" s="26" t="n"/>
      <c r="C107" s="25" t="n"/>
      <c r="D107" s="29" t="n"/>
      <c r="E107" s="25" t="n"/>
      <c r="F107" s="1">
        <f>IF(B107="","",B107-WEEKDAY(B107,3))</f>
        <v/>
      </c>
    </row>
    <row r="108">
      <c r="A108" s="1" t="n"/>
      <c r="B108" s="26" t="n"/>
      <c r="C108" s="25" t="n"/>
      <c r="D108" s="29" t="n"/>
      <c r="E108" s="25" t="n"/>
      <c r="F108" s="1">
        <f>IF(B108="","",B108-WEEKDAY(B108,3))</f>
        <v/>
      </c>
    </row>
    <row r="109">
      <c r="A109" s="1" t="n"/>
      <c r="B109" s="26" t="n"/>
      <c r="C109" s="25" t="n"/>
      <c r="D109" s="29" t="n"/>
      <c r="E109" s="25" t="n"/>
      <c r="F109" s="1">
        <f>IF(B109="","",B109-WEEKDAY(B109,3))</f>
        <v/>
      </c>
    </row>
    <row r="110">
      <c r="A110" s="1" t="n"/>
      <c r="B110" s="26" t="n"/>
      <c r="C110" s="25" t="n"/>
      <c r="D110" s="29" t="n"/>
      <c r="E110" s="25" t="n"/>
      <c r="F110" s="1">
        <f>IF(B110="","",B110-WEEKDAY(B110,3))</f>
        <v/>
      </c>
    </row>
    <row r="111">
      <c r="A111" s="1" t="n"/>
      <c r="B111" s="26" t="n"/>
      <c r="C111" s="25" t="n"/>
      <c r="D111" s="29" t="n"/>
      <c r="E111" s="25" t="n"/>
      <c r="F111" s="1">
        <f>IF(B111="","",B111-WEEKDAY(B111,3))</f>
        <v/>
      </c>
    </row>
    <row r="112">
      <c r="A112" s="1" t="n"/>
      <c r="B112" s="26" t="n"/>
      <c r="C112" s="25" t="n"/>
      <c r="D112" s="29" t="n"/>
      <c r="E112" s="25" t="n"/>
      <c r="F112" s="1">
        <f>IF(B112="","",B112-WEEKDAY(B112,3))</f>
        <v/>
      </c>
    </row>
    <row r="113">
      <c r="A113" s="1" t="n"/>
      <c r="B113" s="26" t="n"/>
      <c r="C113" s="25" t="n"/>
      <c r="D113" s="29" t="n"/>
      <c r="E113" s="25" t="n"/>
      <c r="F113" s="1">
        <f>IF(B113="","",B113-WEEKDAY(B113,3))</f>
        <v/>
      </c>
    </row>
    <row r="114">
      <c r="A114" s="1" t="n"/>
      <c r="B114" s="26" t="n"/>
      <c r="C114" s="25" t="n"/>
      <c r="D114" s="29" t="n"/>
      <c r="E114" s="25" t="n"/>
      <c r="F114" s="1">
        <f>IF(B114="","",B114-WEEKDAY(B114,3))</f>
        <v/>
      </c>
    </row>
    <row r="115">
      <c r="A115" s="1" t="n"/>
      <c r="B115" s="26" t="n"/>
      <c r="C115" s="25" t="n"/>
      <c r="D115" s="29" t="n"/>
      <c r="E115" s="25" t="n"/>
      <c r="F115" s="1">
        <f>IF(B115="","",B115-WEEKDAY(B115,3))</f>
        <v/>
      </c>
    </row>
    <row r="116">
      <c r="A116" s="1" t="n"/>
      <c r="B116" s="26" t="n"/>
      <c r="C116" s="25" t="n"/>
      <c r="D116" s="29" t="n"/>
      <c r="E116" s="25" t="n"/>
      <c r="F116" s="1">
        <f>IF(B116="","",B116-WEEKDAY(B116,3))</f>
        <v/>
      </c>
    </row>
    <row r="117">
      <c r="A117" s="1" t="n"/>
      <c r="B117" s="26" t="n"/>
      <c r="C117" s="25" t="n"/>
      <c r="D117" s="29" t="n"/>
      <c r="E117" s="25" t="n"/>
      <c r="F117" s="1">
        <f>IF(B117="","",B117-WEEKDAY(B117,3))</f>
        <v/>
      </c>
    </row>
    <row r="118">
      <c r="A118" s="1" t="n"/>
      <c r="B118" s="26" t="n"/>
      <c r="C118" s="25" t="n"/>
      <c r="D118" s="29" t="n"/>
      <c r="E118" s="25" t="n"/>
      <c r="F118" s="1">
        <f>IF(B118="","",B118-WEEKDAY(B118,3))</f>
        <v/>
      </c>
    </row>
    <row r="119">
      <c r="A119" s="1" t="n"/>
      <c r="B119" s="26" t="n"/>
      <c r="C119" s="25" t="n"/>
      <c r="D119" s="29" t="n"/>
      <c r="E119" s="25" t="n"/>
      <c r="F119" s="1">
        <f>IF(B119="","",B119-WEEKDAY(B119,3))</f>
        <v/>
      </c>
    </row>
    <row r="120">
      <c r="A120" s="1" t="n"/>
      <c r="B120" s="26" t="n"/>
      <c r="C120" s="25" t="n"/>
      <c r="D120" s="29" t="n"/>
      <c r="E120" s="25" t="n"/>
      <c r="F120" s="1">
        <f>IF(B120="","",B120-WEEKDAY(B120,3))</f>
        <v/>
      </c>
    </row>
    <row r="121">
      <c r="A121" s="1" t="n"/>
      <c r="B121" s="26" t="n"/>
      <c r="C121" s="25" t="n"/>
      <c r="D121" s="29" t="n"/>
      <c r="E121" s="25" t="n"/>
      <c r="F121" s="1">
        <f>IF(B121="","",B121-WEEKDAY(B121,3))</f>
        <v/>
      </c>
    </row>
    <row r="122">
      <c r="A122" s="1" t="n"/>
      <c r="B122" s="26" t="n"/>
      <c r="C122" s="25" t="n"/>
      <c r="D122" s="29" t="n"/>
      <c r="E122" s="25" t="n"/>
      <c r="F122" s="1">
        <f>IF(B122="","",B122-WEEKDAY(B122,3))</f>
        <v/>
      </c>
    </row>
    <row r="123">
      <c r="A123" s="1" t="n"/>
      <c r="B123" s="26" t="n"/>
      <c r="C123" s="25" t="n"/>
      <c r="D123" s="29" t="n"/>
      <c r="E123" s="25" t="n"/>
      <c r="F123" s="1">
        <f>IF(B123="","",B123-WEEKDAY(B123,3))</f>
        <v/>
      </c>
    </row>
    <row r="124">
      <c r="A124" s="1" t="n"/>
      <c r="B124" s="26" t="n"/>
      <c r="C124" s="25" t="n"/>
      <c r="D124" s="29" t="n"/>
      <c r="E124" s="25" t="n"/>
      <c r="F124" s="1">
        <f>IF(B124="","",B124-WEEKDAY(B124,3))</f>
        <v/>
      </c>
    </row>
    <row r="125">
      <c r="A125" s="1" t="n"/>
      <c r="B125" s="26" t="n"/>
      <c r="C125" s="25" t="n"/>
      <c r="D125" s="29" t="n"/>
      <c r="E125" s="25" t="n"/>
      <c r="F125" s="1">
        <f>IF(B125="","",B125-WEEKDAY(B125,3))</f>
        <v/>
      </c>
    </row>
    <row r="126">
      <c r="A126" s="1" t="n"/>
      <c r="B126" s="26" t="n"/>
      <c r="C126" s="25" t="n"/>
      <c r="D126" s="29" t="n"/>
      <c r="E126" s="25" t="n"/>
      <c r="F126" s="1">
        <f>IF(B126="","",B126-WEEKDAY(B126,3))</f>
        <v/>
      </c>
    </row>
    <row r="127">
      <c r="A127" s="1" t="n"/>
      <c r="B127" s="26" t="n"/>
      <c r="C127" s="25" t="n"/>
      <c r="D127" s="29" t="n"/>
      <c r="E127" s="25" t="n"/>
      <c r="F127" s="1">
        <f>IF(B127="","",B127-WEEKDAY(B127,3))</f>
        <v/>
      </c>
    </row>
    <row r="128">
      <c r="A128" s="1" t="n"/>
      <c r="B128" s="26" t="n"/>
      <c r="C128" s="25" t="n"/>
      <c r="D128" s="29" t="n"/>
      <c r="E128" s="25" t="n"/>
      <c r="F128" s="1">
        <f>IF(B128="","",B128-WEEKDAY(B128,3))</f>
        <v/>
      </c>
    </row>
    <row r="129">
      <c r="A129" s="1" t="n"/>
      <c r="B129" s="26" t="n"/>
      <c r="C129" s="25" t="n"/>
      <c r="D129" s="29" t="n"/>
      <c r="E129" s="25" t="n"/>
      <c r="F129" s="1">
        <f>IF(B129="","",B129-WEEKDAY(B129,3))</f>
        <v/>
      </c>
    </row>
    <row r="130">
      <c r="A130" s="1" t="n"/>
      <c r="B130" s="26" t="n"/>
      <c r="C130" s="25" t="n"/>
      <c r="D130" s="29" t="n"/>
      <c r="E130" s="25" t="n"/>
      <c r="F130" s="1">
        <f>IF(B130="","",B130-WEEKDAY(B130,3))</f>
        <v/>
      </c>
    </row>
    <row r="131">
      <c r="A131" s="1" t="n"/>
      <c r="B131" s="26" t="n"/>
      <c r="C131" s="25" t="n"/>
      <c r="D131" s="29" t="n"/>
      <c r="E131" s="25" t="n"/>
      <c r="F131" s="1">
        <f>IF(B131="","",B131-WEEKDAY(B131,3))</f>
        <v/>
      </c>
    </row>
    <row r="132">
      <c r="A132" s="1" t="n"/>
      <c r="B132" s="26" t="n"/>
      <c r="C132" s="25" t="n"/>
      <c r="D132" s="29" t="n"/>
      <c r="E132" s="25" t="n"/>
      <c r="F132" s="1">
        <f>IF(B132="","",B132-WEEKDAY(B132,3))</f>
        <v/>
      </c>
    </row>
    <row r="133">
      <c r="A133" s="1" t="n"/>
      <c r="B133" s="26" t="n"/>
      <c r="C133" s="25" t="n"/>
      <c r="D133" s="29" t="n"/>
      <c r="E133" s="25" t="n"/>
      <c r="F133" s="1">
        <f>IF(B133="","",B133-WEEKDAY(B133,3))</f>
        <v/>
      </c>
    </row>
    <row r="134">
      <c r="A134" s="1" t="n"/>
      <c r="B134" s="26" t="n"/>
      <c r="C134" s="25" t="n"/>
      <c r="D134" s="29" t="n"/>
      <c r="E134" s="25" t="n"/>
      <c r="F134" s="1">
        <f>IF(B134="","",B134-WEEKDAY(B134,3))</f>
        <v/>
      </c>
    </row>
    <row r="135">
      <c r="A135" s="1" t="n"/>
      <c r="B135" s="26" t="n"/>
      <c r="C135" s="25" t="n"/>
      <c r="D135" s="29" t="n"/>
      <c r="E135" s="25" t="n"/>
      <c r="F135" s="1">
        <f>IF(B135="","",B135-WEEKDAY(B135,3))</f>
        <v/>
      </c>
    </row>
    <row r="136">
      <c r="A136" s="1" t="n"/>
      <c r="B136" s="26" t="n"/>
      <c r="C136" s="25" t="n"/>
      <c r="D136" s="29" t="n"/>
      <c r="E136" s="25" t="n"/>
      <c r="F136" s="1">
        <f>IF(B136="","",B136-WEEKDAY(B136,3))</f>
        <v/>
      </c>
    </row>
    <row r="137">
      <c r="A137" s="1" t="n"/>
      <c r="B137" s="26" t="n"/>
      <c r="C137" s="25" t="n"/>
      <c r="D137" s="29" t="n"/>
      <c r="E137" s="25" t="n"/>
      <c r="F137" s="1">
        <f>IF(B137="","",B137-WEEKDAY(B137,3))</f>
        <v/>
      </c>
    </row>
    <row r="138">
      <c r="A138" s="1" t="n"/>
      <c r="B138" s="26" t="n"/>
      <c r="C138" s="25" t="n"/>
      <c r="D138" s="29" t="n"/>
      <c r="E138" s="25" t="n"/>
      <c r="F138" s="1">
        <f>IF(B138="","",B138-WEEKDAY(B138,3))</f>
        <v/>
      </c>
    </row>
    <row r="139">
      <c r="A139" s="1" t="n"/>
      <c r="B139" s="26" t="n"/>
      <c r="C139" s="25" t="n"/>
      <c r="D139" s="29" t="n"/>
      <c r="E139" s="25" t="n"/>
      <c r="F139" s="1">
        <f>IF(B139="","",B139-WEEKDAY(B139,3))</f>
        <v/>
      </c>
    </row>
    <row r="140">
      <c r="A140" s="1" t="n"/>
      <c r="B140" s="26" t="n"/>
      <c r="C140" s="25" t="n"/>
      <c r="D140" s="29" t="n"/>
      <c r="E140" s="25" t="n"/>
      <c r="F140" s="1">
        <f>IF(B140="","",B140-WEEKDAY(B140,3))</f>
        <v/>
      </c>
    </row>
    <row r="141">
      <c r="A141" s="1" t="n"/>
      <c r="B141" s="26" t="n"/>
      <c r="C141" s="25" t="n"/>
      <c r="D141" s="29" t="n"/>
      <c r="E141" s="25" t="n"/>
      <c r="F141" s="1">
        <f>IF(B141="","",B141-WEEKDAY(B141,3))</f>
        <v/>
      </c>
    </row>
    <row r="142">
      <c r="A142" s="1" t="n"/>
      <c r="B142" s="26" t="n"/>
      <c r="C142" s="25" t="n"/>
      <c r="D142" s="29" t="n"/>
      <c r="E142" s="25" t="n"/>
      <c r="F142" s="1">
        <f>IF(B142="","",B142-WEEKDAY(B142,3))</f>
        <v/>
      </c>
    </row>
    <row r="143">
      <c r="A143" s="1" t="n"/>
      <c r="B143" s="26" t="n"/>
      <c r="C143" s="25" t="n"/>
      <c r="D143" s="29" t="n"/>
      <c r="E143" s="25" t="n"/>
      <c r="F143" s="1">
        <f>IF(B143="","",B143-WEEKDAY(B143,3))</f>
        <v/>
      </c>
    </row>
    <row r="144">
      <c r="A144" s="1" t="n"/>
      <c r="B144" s="26" t="n"/>
      <c r="C144" s="25" t="n"/>
      <c r="D144" s="29" t="n"/>
      <c r="E144" s="25" t="n"/>
      <c r="F144" s="1">
        <f>IF(B144="","",B144-WEEKDAY(B144,3))</f>
        <v/>
      </c>
    </row>
    <row r="145">
      <c r="A145" s="1" t="n"/>
      <c r="B145" s="26" t="n"/>
      <c r="C145" s="25" t="n"/>
      <c r="D145" s="29" t="n"/>
      <c r="E145" s="25" t="n"/>
      <c r="F145" s="1">
        <f>IF(B145="","",B145-WEEKDAY(B145,3))</f>
        <v/>
      </c>
    </row>
    <row r="146">
      <c r="A146" s="1" t="n"/>
      <c r="B146" s="26" t="n"/>
      <c r="C146" s="25" t="n"/>
      <c r="D146" s="29" t="n"/>
      <c r="E146" s="25" t="n"/>
      <c r="F146" s="1">
        <f>IF(B146="","",B146-WEEKDAY(B146,3))</f>
        <v/>
      </c>
    </row>
    <row r="147">
      <c r="A147" s="1" t="n"/>
      <c r="B147" s="26" t="n"/>
      <c r="C147" s="25" t="n"/>
      <c r="D147" s="29" t="n"/>
      <c r="E147" s="25" t="n"/>
      <c r="F147" s="1">
        <f>IF(B147="","",B147-WEEKDAY(B147,3))</f>
        <v/>
      </c>
    </row>
    <row r="148">
      <c r="A148" s="1" t="n"/>
      <c r="B148" s="26" t="n"/>
      <c r="C148" s="25" t="n"/>
      <c r="D148" s="29" t="n"/>
      <c r="E148" s="25" t="n"/>
      <c r="F148" s="1">
        <f>IF(B148="","",B148-WEEKDAY(B148,3))</f>
        <v/>
      </c>
    </row>
    <row r="149">
      <c r="A149" s="1" t="n"/>
      <c r="B149" s="26" t="n"/>
      <c r="C149" s="25" t="n"/>
      <c r="D149" s="29" t="n"/>
      <c r="E149" s="25" t="n"/>
      <c r="F149" s="1">
        <f>IF(B149="","",B149-WEEKDAY(B149,3))</f>
        <v/>
      </c>
    </row>
    <row r="150">
      <c r="A150" s="1" t="n"/>
      <c r="B150" s="26" t="n"/>
      <c r="C150" s="25" t="n"/>
      <c r="D150" s="29" t="n"/>
      <c r="E150" s="25" t="n"/>
      <c r="F150" s="1">
        <f>IF(B150="","",B150-WEEKDAY(B150,3))</f>
        <v/>
      </c>
    </row>
    <row r="151">
      <c r="A151" s="1" t="n"/>
      <c r="B151" s="26" t="n"/>
      <c r="C151" s="25" t="n"/>
      <c r="D151" s="29" t="n"/>
      <c r="E151" s="25" t="n"/>
      <c r="F151" s="1">
        <f>IF(B151="","",B151-WEEKDAY(B151,3))</f>
        <v/>
      </c>
    </row>
    <row r="152">
      <c r="A152" s="1" t="n"/>
      <c r="B152" s="26" t="n"/>
      <c r="C152" s="25" t="n"/>
      <c r="D152" s="29" t="n"/>
      <c r="E152" s="25" t="n"/>
      <c r="F152" s="1">
        <f>IF(B152="","",B152-WEEKDAY(B152,3))</f>
        <v/>
      </c>
    </row>
    <row r="153">
      <c r="A153" s="1" t="n"/>
      <c r="B153" s="26" t="n"/>
      <c r="C153" s="25" t="n"/>
      <c r="D153" s="29" t="n"/>
      <c r="E153" s="25" t="n"/>
      <c r="F153" s="1">
        <f>IF(B153="","",B153-WEEKDAY(B153,3))</f>
        <v/>
      </c>
    </row>
    <row r="154">
      <c r="A154" s="1" t="n"/>
      <c r="B154" s="26" t="n"/>
      <c r="C154" s="25" t="n"/>
      <c r="D154" s="29" t="n"/>
      <c r="E154" s="25" t="n"/>
      <c r="F154" s="1">
        <f>IF(B154="","",B154-WEEKDAY(B154,3))</f>
        <v/>
      </c>
    </row>
    <row r="155">
      <c r="A155" s="1" t="n"/>
      <c r="B155" s="26" t="n"/>
      <c r="C155" s="25" t="n"/>
      <c r="D155" s="29" t="n"/>
      <c r="E155" s="25" t="n"/>
      <c r="F155" s="1">
        <f>IF(B155="","",B155-WEEKDAY(B155,3))</f>
        <v/>
      </c>
    </row>
    <row r="156">
      <c r="A156" s="1" t="n"/>
      <c r="B156" s="26" t="n"/>
      <c r="C156" s="25" t="n"/>
      <c r="D156" s="29" t="n"/>
      <c r="E156" s="25" t="n"/>
      <c r="F156" s="1">
        <f>IF(B156="","",B156-WEEKDAY(B156,3))</f>
        <v/>
      </c>
    </row>
    <row r="157">
      <c r="A157" s="1" t="n"/>
      <c r="B157" s="26" t="n"/>
      <c r="C157" s="25" t="n"/>
      <c r="D157" s="29" t="n"/>
      <c r="E157" s="25" t="n"/>
      <c r="F157" s="1">
        <f>IF(B157="","",B157-WEEKDAY(B157,3))</f>
        <v/>
      </c>
    </row>
    <row r="158">
      <c r="A158" s="1" t="n"/>
      <c r="B158" s="26" t="n"/>
      <c r="C158" s="25" t="n"/>
      <c r="D158" s="29" t="n"/>
      <c r="E158" s="25" t="n"/>
      <c r="F158" s="1">
        <f>IF(B158="","",B158-WEEKDAY(B158,3))</f>
        <v/>
      </c>
    </row>
    <row r="159">
      <c r="A159" s="1" t="n"/>
      <c r="B159" s="26" t="n"/>
      <c r="C159" s="25" t="n"/>
      <c r="D159" s="29" t="n"/>
      <c r="E159" s="25" t="n"/>
      <c r="F159" s="1">
        <f>IF(B159="","",B159-WEEKDAY(B159,3))</f>
        <v/>
      </c>
    </row>
    <row r="160">
      <c r="A160" s="1" t="n"/>
      <c r="B160" s="26" t="n"/>
      <c r="C160" s="25" t="n"/>
      <c r="D160" s="29" t="n"/>
      <c r="E160" s="25" t="n"/>
      <c r="F160" s="1">
        <f>IF(B160="","",B160-WEEKDAY(B160,3))</f>
        <v/>
      </c>
    </row>
    <row r="161">
      <c r="A161" s="1" t="n"/>
      <c r="B161" s="26" t="n"/>
      <c r="C161" s="25" t="n"/>
      <c r="D161" s="29" t="n"/>
      <c r="E161" s="25" t="n"/>
      <c r="F161" s="1">
        <f>IF(B161="","",B161-WEEKDAY(B161,3))</f>
        <v/>
      </c>
    </row>
    <row r="162">
      <c r="A162" s="1" t="n"/>
      <c r="B162" s="26" t="n"/>
      <c r="C162" s="25" t="n"/>
      <c r="D162" s="29" t="n"/>
      <c r="E162" s="25" t="n"/>
      <c r="F162" s="1">
        <f>IF(B162="","",B162-WEEKDAY(B162,3))</f>
        <v/>
      </c>
    </row>
    <row r="163">
      <c r="A163" s="1" t="n"/>
      <c r="B163" s="26" t="n"/>
      <c r="C163" s="25" t="n"/>
      <c r="D163" s="29" t="n"/>
      <c r="E163" s="25" t="n"/>
      <c r="F163" s="1">
        <f>IF(B163="","",B163-WEEKDAY(B163,3))</f>
        <v/>
      </c>
    </row>
    <row r="164">
      <c r="A164" s="1" t="n"/>
      <c r="B164" s="26" t="n"/>
      <c r="C164" s="25" t="n"/>
      <c r="D164" s="29" t="n"/>
      <c r="E164" s="25" t="n"/>
      <c r="F164" s="1">
        <f>IF(B164="","",B164-WEEKDAY(B164,3))</f>
        <v/>
      </c>
    </row>
    <row r="165">
      <c r="A165" s="1" t="n"/>
      <c r="B165" s="26" t="n"/>
      <c r="C165" s="25" t="n"/>
      <c r="D165" s="29" t="n"/>
      <c r="E165" s="25" t="n"/>
      <c r="F165" s="1">
        <f>IF(B165="","",B165-WEEKDAY(B165,3))</f>
        <v/>
      </c>
    </row>
    <row r="166">
      <c r="A166" s="1" t="n"/>
      <c r="B166" s="26" t="n"/>
      <c r="C166" s="25" t="n"/>
      <c r="D166" s="29" t="n"/>
      <c r="E166" s="25" t="n"/>
      <c r="F166" s="1">
        <f>IF(B166="","",B166-WEEKDAY(B166,3))</f>
        <v/>
      </c>
    </row>
    <row r="167">
      <c r="A167" s="1" t="n"/>
      <c r="B167" s="26" t="n"/>
      <c r="C167" s="25" t="n"/>
      <c r="D167" s="29" t="n"/>
      <c r="E167" s="25" t="n"/>
      <c r="F167" s="1">
        <f>IF(B167="","",B167-WEEKDAY(B167,3))</f>
        <v/>
      </c>
    </row>
    <row r="168">
      <c r="A168" s="1" t="n"/>
      <c r="B168" s="26" t="n"/>
      <c r="C168" s="25" t="n"/>
      <c r="D168" s="29" t="n"/>
      <c r="E168" s="25" t="n"/>
      <c r="F168" s="1">
        <f>IF(B168="","",B168-WEEKDAY(B168,3))</f>
        <v/>
      </c>
    </row>
    <row r="169">
      <c r="A169" s="1" t="n"/>
      <c r="B169" s="26" t="n"/>
      <c r="C169" s="25" t="n"/>
      <c r="D169" s="29" t="n"/>
      <c r="E169" s="25" t="n"/>
      <c r="F169" s="1">
        <f>IF(B169="","",B169-WEEKDAY(B169,3))</f>
        <v/>
      </c>
    </row>
    <row r="170">
      <c r="A170" s="1" t="n"/>
      <c r="B170" s="26" t="n"/>
      <c r="C170" s="25" t="n"/>
      <c r="D170" s="29" t="n"/>
      <c r="E170" s="25" t="n"/>
      <c r="F170" s="1">
        <f>IF(B170="","",B170-WEEKDAY(B170,3))</f>
        <v/>
      </c>
    </row>
    <row r="171">
      <c r="A171" s="1" t="n"/>
      <c r="B171" s="26" t="n"/>
      <c r="C171" s="25" t="n"/>
      <c r="D171" s="29" t="n"/>
      <c r="E171" s="25" t="n"/>
      <c r="F171" s="1">
        <f>IF(B171="","",B171-WEEKDAY(B171,3))</f>
        <v/>
      </c>
    </row>
    <row r="172">
      <c r="A172" s="1" t="n"/>
      <c r="B172" s="26" t="n"/>
      <c r="C172" s="25" t="n"/>
      <c r="D172" s="29" t="n"/>
      <c r="E172" s="25" t="n"/>
      <c r="F172" s="1">
        <f>IF(B172="","",B172-WEEKDAY(B172,3))</f>
        <v/>
      </c>
    </row>
    <row r="173">
      <c r="A173" s="1" t="n"/>
      <c r="B173" s="26" t="n"/>
      <c r="C173" s="25" t="n"/>
      <c r="D173" s="29" t="n"/>
      <c r="E173" s="25" t="n"/>
      <c r="F173" s="1">
        <f>IF(B173="","",B173-WEEKDAY(B173,3))</f>
        <v/>
      </c>
    </row>
    <row r="174">
      <c r="A174" s="1" t="n"/>
      <c r="B174" s="26" t="n"/>
      <c r="C174" s="25" t="n"/>
      <c r="D174" s="29" t="n"/>
      <c r="E174" s="25" t="n"/>
      <c r="F174" s="1">
        <f>IF(B174="","",B174-WEEKDAY(B174,3))</f>
        <v/>
      </c>
    </row>
    <row r="175">
      <c r="A175" s="1" t="n"/>
      <c r="B175" s="26" t="n"/>
      <c r="C175" s="25" t="n"/>
      <c r="D175" s="29" t="n"/>
      <c r="E175" s="25" t="n"/>
      <c r="F175" s="1">
        <f>IF(B175="","",B175-WEEKDAY(B175,3))</f>
        <v/>
      </c>
    </row>
    <row r="176">
      <c r="A176" s="1" t="n"/>
      <c r="B176" s="26" t="n"/>
      <c r="C176" s="25" t="n"/>
      <c r="D176" s="29" t="n"/>
      <c r="E176" s="25" t="n"/>
      <c r="F176" s="1">
        <f>IF(B176="","",B176-WEEKDAY(B176,3))</f>
        <v/>
      </c>
    </row>
    <row r="177">
      <c r="A177" s="1" t="n"/>
      <c r="B177" s="26" t="n"/>
      <c r="C177" s="25" t="n"/>
      <c r="D177" s="29" t="n"/>
      <c r="E177" s="25" t="n"/>
      <c r="F177" s="1">
        <f>IF(B177="","",B177-WEEKDAY(B177,3))</f>
        <v/>
      </c>
    </row>
    <row r="178">
      <c r="A178" s="1" t="n"/>
      <c r="B178" s="26" t="n"/>
      <c r="C178" s="25" t="n"/>
      <c r="D178" s="29" t="n"/>
      <c r="E178" s="25" t="n"/>
      <c r="F178" s="1">
        <f>IF(B178="","",B178-WEEKDAY(B178,3))</f>
        <v/>
      </c>
    </row>
    <row r="179">
      <c r="A179" s="1" t="n"/>
      <c r="B179" s="26" t="n"/>
      <c r="C179" s="25" t="n"/>
      <c r="D179" s="29" t="n"/>
      <c r="E179" s="25" t="n"/>
      <c r="F179" s="1">
        <f>IF(B179="","",B179-WEEKDAY(B179,3))</f>
        <v/>
      </c>
    </row>
    <row r="180">
      <c r="A180" s="1" t="n"/>
      <c r="B180" s="26" t="n"/>
      <c r="C180" s="25" t="n"/>
      <c r="D180" s="29" t="n"/>
      <c r="E180" s="25" t="n"/>
      <c r="F180" s="1">
        <f>IF(B180="","",B180-WEEKDAY(B180,3))</f>
        <v/>
      </c>
    </row>
    <row r="181">
      <c r="A181" s="1" t="n"/>
      <c r="B181" s="26" t="n"/>
      <c r="C181" s="25" t="n"/>
      <c r="D181" s="29" t="n"/>
      <c r="E181" s="25" t="n"/>
      <c r="F181" s="1">
        <f>IF(B181="","",B181-WEEKDAY(B181,3))</f>
        <v/>
      </c>
    </row>
    <row r="182">
      <c r="A182" s="1" t="n"/>
      <c r="B182" s="26" t="n"/>
      <c r="C182" s="25" t="n"/>
      <c r="D182" s="29" t="n"/>
      <c r="E182" s="25" t="n"/>
      <c r="F182" s="1">
        <f>IF(B182="","",B182-WEEKDAY(B182,3))</f>
        <v/>
      </c>
    </row>
    <row r="183">
      <c r="A183" s="1" t="n"/>
      <c r="B183" s="26" t="n"/>
      <c r="C183" s="25" t="n"/>
      <c r="D183" s="29" t="n"/>
      <c r="E183" s="25" t="n"/>
      <c r="F183" s="1">
        <f>IF(B183="","",B183-WEEKDAY(B183,3))</f>
        <v/>
      </c>
    </row>
    <row r="184">
      <c r="A184" s="1" t="n"/>
      <c r="B184" s="26" t="n"/>
      <c r="C184" s="25" t="n"/>
      <c r="D184" s="29" t="n"/>
      <c r="E184" s="25" t="n"/>
      <c r="F184" s="1">
        <f>IF(B184="","",B184-WEEKDAY(B184,3))</f>
        <v/>
      </c>
    </row>
    <row r="185">
      <c r="A185" s="1" t="n"/>
      <c r="B185" s="26" t="n"/>
      <c r="C185" s="25" t="n"/>
      <c r="D185" s="29" t="n"/>
      <c r="E185" s="25" t="n"/>
      <c r="F185" s="1">
        <f>IF(B185="","",B185-WEEKDAY(B185,3))</f>
        <v/>
      </c>
    </row>
    <row r="186">
      <c r="A186" s="1" t="n"/>
      <c r="B186" s="26" t="n"/>
      <c r="C186" s="25" t="n"/>
      <c r="D186" s="29" t="n"/>
      <c r="E186" s="25" t="n"/>
      <c r="F186" s="1">
        <f>IF(B186="","",B186-WEEKDAY(B186,3))</f>
        <v/>
      </c>
    </row>
    <row r="187">
      <c r="A187" s="1" t="n"/>
      <c r="B187" s="26" t="n"/>
      <c r="C187" s="25" t="n"/>
      <c r="D187" s="29" t="n"/>
      <c r="E187" s="25" t="n"/>
      <c r="F187" s="1">
        <f>IF(B187="","",B187-WEEKDAY(B187,3))</f>
        <v/>
      </c>
    </row>
    <row r="188">
      <c r="A188" s="1" t="n"/>
      <c r="B188" s="26" t="n"/>
      <c r="C188" s="25" t="n"/>
      <c r="D188" s="29" t="n"/>
      <c r="E188" s="25" t="n"/>
      <c r="F188" s="1">
        <f>IF(B188="","",B188-WEEKDAY(B188,3))</f>
        <v/>
      </c>
    </row>
    <row r="189">
      <c r="A189" s="1" t="n"/>
      <c r="B189" s="26" t="n"/>
      <c r="C189" s="25" t="n"/>
      <c r="D189" s="29" t="n"/>
      <c r="E189" s="25" t="n"/>
      <c r="F189" s="1">
        <f>IF(B189="","",B189-WEEKDAY(B189,3))</f>
        <v/>
      </c>
    </row>
    <row r="190">
      <c r="A190" s="1" t="n"/>
      <c r="B190" s="26" t="n"/>
      <c r="C190" s="25" t="n"/>
      <c r="D190" s="29" t="n"/>
      <c r="E190" s="25" t="n"/>
      <c r="F190" s="1">
        <f>IF(B190="","",B190-WEEKDAY(B190,3))</f>
        <v/>
      </c>
    </row>
    <row r="191">
      <c r="A191" s="1" t="n"/>
      <c r="B191" s="26" t="n"/>
      <c r="C191" s="25" t="n"/>
      <c r="D191" s="29" t="n"/>
      <c r="E191" s="25" t="n"/>
      <c r="F191" s="1">
        <f>IF(B191="","",B191-WEEKDAY(B191,3))</f>
        <v/>
      </c>
    </row>
    <row r="192">
      <c r="A192" s="1" t="n"/>
      <c r="B192" s="26" t="n"/>
      <c r="C192" s="25" t="n"/>
      <c r="D192" s="29" t="n"/>
      <c r="E192" s="25" t="n"/>
      <c r="F192" s="1">
        <f>IF(B192="","",B192-WEEKDAY(B192,3))</f>
        <v/>
      </c>
    </row>
    <row r="193">
      <c r="A193" s="1" t="n"/>
      <c r="B193" s="26" t="n"/>
      <c r="C193" s="25" t="n"/>
      <c r="D193" s="29" t="n"/>
      <c r="E193" s="25" t="n"/>
      <c r="F193" s="1">
        <f>IF(B193="","",B193-WEEKDAY(B193,3))</f>
        <v/>
      </c>
    </row>
    <row r="194">
      <c r="A194" s="1" t="n"/>
      <c r="B194" s="26" t="n"/>
      <c r="C194" s="25" t="n"/>
      <c r="D194" s="29" t="n"/>
      <c r="E194" s="25" t="n"/>
      <c r="F194" s="1">
        <f>IF(B194="","",B194-WEEKDAY(B194,3))</f>
        <v/>
      </c>
    </row>
    <row r="195">
      <c r="A195" s="1" t="n"/>
      <c r="B195" s="26" t="n"/>
      <c r="C195" s="25" t="n"/>
      <c r="D195" s="29" t="n"/>
      <c r="E195" s="25" t="n"/>
      <c r="F195" s="1">
        <f>IF(B195="","",B195-WEEKDAY(B195,3))</f>
        <v/>
      </c>
    </row>
    <row r="196">
      <c r="A196" s="1" t="n"/>
      <c r="B196" s="26" t="n"/>
      <c r="C196" s="25" t="n"/>
      <c r="D196" s="29" t="n"/>
      <c r="E196" s="25" t="n"/>
      <c r="F196" s="1">
        <f>IF(B196="","",B196-WEEKDAY(B196,3))</f>
        <v/>
      </c>
    </row>
    <row r="197">
      <c r="A197" s="1" t="n"/>
      <c r="B197" s="26" t="n"/>
      <c r="C197" s="25" t="n"/>
      <c r="D197" s="29" t="n"/>
      <c r="E197" s="25" t="n"/>
      <c r="F197" s="1">
        <f>IF(B197="","",B197-WEEKDAY(B197,3))</f>
        <v/>
      </c>
    </row>
    <row r="198">
      <c r="A198" s="1" t="n"/>
      <c r="B198" s="26" t="n"/>
      <c r="C198" s="25" t="n"/>
      <c r="D198" s="29" t="n"/>
      <c r="E198" s="25" t="n"/>
      <c r="F198" s="1">
        <f>IF(B198="","",B198-WEEKDAY(B198,3))</f>
        <v/>
      </c>
    </row>
    <row r="199">
      <c r="A199" s="1" t="n"/>
      <c r="B199" s="26" t="n"/>
      <c r="C199" s="25" t="n"/>
      <c r="D199" s="29" t="n"/>
      <c r="E199" s="25" t="n"/>
      <c r="F199" s="1">
        <f>IF(B199="","",B199-WEEKDAY(B199,3))</f>
        <v/>
      </c>
    </row>
    <row r="200">
      <c r="A200" s="1" t="n"/>
      <c r="B200" s="26" t="n"/>
      <c r="C200" s="25" t="n"/>
      <c r="D200" s="29" t="n"/>
      <c r="E200" s="25" t="n"/>
      <c r="F200" s="1">
        <f>IF(B200="","",B200-WEEKDAY(B200,3))</f>
        <v/>
      </c>
    </row>
    <row r="201">
      <c r="A201" s="1" t="n"/>
      <c r="B201" s="26" t="n"/>
      <c r="C201" s="25" t="n"/>
      <c r="D201" s="29" t="n"/>
      <c r="E201" s="25" t="n"/>
      <c r="F201" s="1">
        <f>IF(B201="","",B201-WEEKDAY(B201,3))</f>
        <v/>
      </c>
    </row>
    <row r="202">
      <c r="A202" s="1" t="n"/>
      <c r="B202" s="26" t="n"/>
      <c r="C202" s="25" t="n"/>
      <c r="D202" s="29" t="n"/>
      <c r="E202" s="25" t="n"/>
      <c r="F202" s="1">
        <f>IF(B202="","",B202-WEEKDAY(B202,3))</f>
        <v/>
      </c>
    </row>
    <row r="203">
      <c r="A203" s="1" t="n"/>
      <c r="B203" s="26" t="n"/>
      <c r="C203" s="25" t="n"/>
      <c r="D203" s="29" t="n"/>
      <c r="E203" s="25" t="n"/>
      <c r="F203" s="1">
        <f>IF(B203="","",B203-WEEKDAY(B203,3))</f>
        <v/>
      </c>
    </row>
    <row r="204">
      <c r="A204" s="1" t="n"/>
      <c r="B204" s="26" t="n"/>
      <c r="C204" s="25" t="n"/>
      <c r="D204" s="29" t="n"/>
      <c r="E204" s="25" t="n"/>
      <c r="F204" s="1">
        <f>IF(B204="","",B204-WEEKDAY(B204,3))</f>
        <v/>
      </c>
    </row>
    <row r="205">
      <c r="A205" s="1" t="n"/>
      <c r="B205" s="26" t="n"/>
      <c r="C205" s="25" t="n"/>
      <c r="D205" s="29" t="n"/>
      <c r="E205" s="25" t="n"/>
      <c r="F205" s="1">
        <f>IF(B205="","",B205-WEEKDAY(B205,3))</f>
        <v/>
      </c>
    </row>
    <row r="206">
      <c r="A206" s="1" t="n"/>
      <c r="B206" s="26" t="n"/>
      <c r="C206" s="25" t="n"/>
      <c r="D206" s="29" t="n"/>
      <c r="E206" s="25" t="n"/>
      <c r="F206" s="1">
        <f>IF(B206="","",B206-WEEKDAY(B206,3))</f>
        <v/>
      </c>
    </row>
    <row r="207">
      <c r="A207" s="1" t="n"/>
      <c r="B207" s="26" t="n"/>
      <c r="C207" s="25" t="n"/>
      <c r="D207" s="29" t="n"/>
      <c r="E207" s="25" t="n"/>
      <c r="F207" s="1">
        <f>IF(B207="","",B207-WEEKDAY(B207,3))</f>
        <v/>
      </c>
    </row>
    <row r="208">
      <c r="A208" s="1" t="n"/>
      <c r="B208" s="26" t="n"/>
      <c r="C208" s="25" t="n"/>
      <c r="D208" s="29" t="n"/>
      <c r="E208" s="25" t="n"/>
      <c r="F208" s="1">
        <f>IF(B208="","",B208-WEEKDAY(B208,3))</f>
        <v/>
      </c>
    </row>
    <row r="209">
      <c r="A209" s="1" t="n"/>
      <c r="B209" s="26" t="n"/>
      <c r="C209" s="25" t="n"/>
      <c r="D209" s="29" t="n"/>
      <c r="E209" s="25" t="n"/>
      <c r="F209" s="1">
        <f>IF(B209="","",B209-WEEKDAY(B209,3))</f>
        <v/>
      </c>
    </row>
    <row r="210">
      <c r="A210" s="1" t="n"/>
      <c r="B210" s="26" t="n"/>
      <c r="C210" s="25" t="n"/>
      <c r="D210" s="29" t="n"/>
      <c r="E210" s="25" t="n"/>
      <c r="F210" s="1">
        <f>IF(B210="","",B210-WEEKDAY(B210,3))</f>
        <v/>
      </c>
    </row>
    <row r="211">
      <c r="A211" s="1" t="n"/>
      <c r="B211" s="26" t="n"/>
      <c r="C211" s="25" t="n"/>
      <c r="D211" s="29" t="n"/>
      <c r="E211" s="25" t="n"/>
      <c r="F211" s="1">
        <f>IF(B211="","",B211-WEEKDAY(B211,3))</f>
        <v/>
      </c>
    </row>
    <row r="212">
      <c r="A212" s="1" t="n"/>
      <c r="B212" s="26" t="n"/>
      <c r="C212" s="25" t="n"/>
      <c r="D212" s="29" t="n"/>
      <c r="E212" s="25" t="n"/>
      <c r="F212" s="1">
        <f>IF(B212="","",B212-WEEKDAY(B212,3))</f>
        <v/>
      </c>
    </row>
    <row r="213">
      <c r="A213" s="1" t="n"/>
      <c r="B213" s="26" t="n"/>
      <c r="C213" s="25" t="n"/>
      <c r="D213" s="29" t="n"/>
      <c r="E213" s="25" t="n"/>
      <c r="F213" s="1">
        <f>IF(B213="","",B213-WEEKDAY(B213,3))</f>
        <v/>
      </c>
    </row>
    <row r="214">
      <c r="A214" s="1" t="n"/>
      <c r="B214" s="26" t="n"/>
      <c r="C214" s="25" t="n"/>
      <c r="D214" s="29" t="n"/>
      <c r="E214" s="25" t="n"/>
      <c r="F214" s="1">
        <f>IF(B214="","",B214-WEEKDAY(B214,3))</f>
        <v/>
      </c>
    </row>
    <row r="215">
      <c r="A215" s="1" t="n"/>
      <c r="B215" s="26" t="n"/>
      <c r="C215" s="25" t="n"/>
      <c r="D215" s="29" t="n"/>
      <c r="E215" s="25" t="n"/>
      <c r="F215" s="1">
        <f>IF(B215="","",B215-WEEKDAY(B215,3))</f>
        <v/>
      </c>
    </row>
    <row r="216">
      <c r="A216" s="1" t="n"/>
      <c r="B216" s="26" t="n"/>
      <c r="C216" s="25" t="n"/>
      <c r="D216" s="29" t="n"/>
      <c r="E216" s="25" t="n"/>
      <c r="F216" s="1">
        <f>IF(B216="","",B216-WEEKDAY(B216,3))</f>
        <v/>
      </c>
    </row>
    <row r="217">
      <c r="A217" s="1" t="n"/>
      <c r="B217" s="26" t="n"/>
      <c r="C217" s="25" t="n"/>
      <c r="D217" s="29" t="n"/>
      <c r="E217" s="25" t="n"/>
      <c r="F217" s="1">
        <f>IF(B217="","",B217-WEEKDAY(B217,3))</f>
        <v/>
      </c>
    </row>
    <row r="218">
      <c r="A218" s="1" t="n"/>
      <c r="B218" s="26" t="n"/>
      <c r="C218" s="25" t="n"/>
      <c r="D218" s="29" t="n"/>
      <c r="E218" s="25" t="n"/>
      <c r="F218" s="1">
        <f>IF(B218="","",B218-WEEKDAY(B218,3))</f>
        <v/>
      </c>
    </row>
    <row r="219">
      <c r="A219" s="1" t="n"/>
      <c r="B219" s="26" t="n"/>
      <c r="C219" s="25" t="n"/>
      <c r="D219" s="29" t="n"/>
      <c r="E219" s="25" t="n"/>
      <c r="F219" s="1">
        <f>IF(B219="","",B219-WEEKDAY(B219,3))</f>
        <v/>
      </c>
    </row>
    <row r="220">
      <c r="A220" s="1" t="n"/>
      <c r="B220" s="26" t="n"/>
      <c r="C220" s="25" t="n"/>
      <c r="D220" s="29" t="n"/>
      <c r="E220" s="25" t="n"/>
      <c r="F220" s="1">
        <f>IF(B220="","",B220-WEEKDAY(B220,3))</f>
        <v/>
      </c>
    </row>
    <row r="221">
      <c r="A221" s="1" t="n"/>
      <c r="B221" s="26" t="n"/>
      <c r="C221" s="25" t="n"/>
      <c r="D221" s="29" t="n"/>
      <c r="E221" s="25" t="n"/>
      <c r="F221" s="1">
        <f>IF(B221="","",B221-WEEKDAY(B221,3))</f>
        <v/>
      </c>
    </row>
    <row r="222">
      <c r="A222" s="1" t="n"/>
      <c r="B222" s="26" t="n"/>
      <c r="C222" s="25" t="n"/>
      <c r="D222" s="29" t="n"/>
      <c r="E222" s="25" t="n"/>
      <c r="F222" s="1">
        <f>IF(B222="","",B222-WEEKDAY(B222,3))</f>
        <v/>
      </c>
    </row>
    <row r="223">
      <c r="A223" s="1" t="n"/>
      <c r="B223" s="26" t="n"/>
      <c r="C223" s="25" t="n"/>
      <c r="D223" s="29" t="n"/>
      <c r="E223" s="25" t="n"/>
      <c r="F223" s="1">
        <f>IF(B223="","",B223-WEEKDAY(B223,3))</f>
        <v/>
      </c>
    </row>
    <row r="224">
      <c r="A224" s="1" t="n"/>
      <c r="B224" s="26" t="n"/>
      <c r="C224" s="25" t="n"/>
      <c r="D224" s="29" t="n"/>
      <c r="E224" s="25" t="n"/>
      <c r="F224" s="1">
        <f>IF(B224="","",B224-WEEKDAY(B224,3))</f>
        <v/>
      </c>
    </row>
    <row r="225">
      <c r="A225" s="1" t="n"/>
      <c r="B225" s="26" t="n"/>
      <c r="C225" s="25" t="n"/>
      <c r="D225" s="29" t="n"/>
      <c r="E225" s="25" t="n"/>
      <c r="F225" s="1">
        <f>IF(B225="","",B225-WEEKDAY(B225,3))</f>
        <v/>
      </c>
    </row>
    <row r="226">
      <c r="A226" s="1" t="n"/>
      <c r="B226" s="26" t="n"/>
      <c r="C226" s="25" t="n"/>
      <c r="D226" s="29" t="n"/>
      <c r="E226" s="25" t="n"/>
      <c r="F226" s="1">
        <f>IF(B226="","",B226-WEEKDAY(B226,3))</f>
        <v/>
      </c>
    </row>
    <row r="227">
      <c r="A227" s="1" t="n"/>
      <c r="B227" s="26" t="n"/>
      <c r="C227" s="25" t="n"/>
      <c r="D227" s="29" t="n"/>
      <c r="E227" s="25" t="n"/>
      <c r="F227" s="1">
        <f>IF(B227="","",B227-WEEKDAY(B227,3))</f>
        <v/>
      </c>
    </row>
    <row r="228">
      <c r="A228" s="1" t="n"/>
      <c r="B228" s="26" t="n"/>
      <c r="C228" s="25" t="n"/>
      <c r="D228" s="29" t="n"/>
      <c r="E228" s="25" t="n"/>
      <c r="F228" s="1">
        <f>IF(B228="","",B228-WEEKDAY(B228,3))</f>
        <v/>
      </c>
    </row>
    <row r="229">
      <c r="A229" s="1" t="n"/>
      <c r="B229" s="26" t="n"/>
      <c r="C229" s="25" t="n"/>
      <c r="D229" s="29" t="n"/>
      <c r="E229" s="25" t="n"/>
      <c r="F229" s="1">
        <f>IF(B229="","",B229-WEEKDAY(B229,3))</f>
        <v/>
      </c>
    </row>
    <row r="230">
      <c r="A230" s="1" t="n"/>
      <c r="B230" s="26" t="n"/>
      <c r="C230" s="25" t="n"/>
      <c r="D230" s="29" t="n"/>
      <c r="E230" s="25" t="n"/>
      <c r="F230" s="1">
        <f>IF(B230="","",B230-WEEKDAY(B230,3))</f>
        <v/>
      </c>
    </row>
    <row r="231">
      <c r="A231" s="1" t="n"/>
      <c r="B231" s="26" t="n"/>
      <c r="C231" s="25" t="n"/>
      <c r="D231" s="29" t="n"/>
      <c r="E231" s="25" t="n"/>
      <c r="F231" s="1">
        <f>IF(B231="","",B231-WEEKDAY(B231,3))</f>
        <v/>
      </c>
    </row>
    <row r="232">
      <c r="A232" s="1" t="n"/>
      <c r="B232" s="26" t="n"/>
      <c r="C232" s="25" t="n"/>
      <c r="D232" s="29" t="n"/>
      <c r="E232" s="25" t="n"/>
      <c r="F232" s="1">
        <f>IF(B232="","",B232-WEEKDAY(B232,3))</f>
        <v/>
      </c>
    </row>
    <row r="233">
      <c r="A233" s="1" t="n"/>
      <c r="B233" s="26" t="n"/>
      <c r="C233" s="25" t="n"/>
      <c r="D233" s="29" t="n"/>
      <c r="E233" s="25" t="n"/>
      <c r="F233" s="1">
        <f>IF(B233="","",B233-WEEKDAY(B233,3))</f>
        <v/>
      </c>
    </row>
    <row r="234">
      <c r="A234" s="1" t="n"/>
      <c r="B234" s="26" t="n"/>
      <c r="C234" s="25" t="n"/>
      <c r="D234" s="29" t="n"/>
      <c r="E234" s="25" t="n"/>
      <c r="F234" s="1">
        <f>IF(B234="","",B234-WEEKDAY(B234,3))</f>
        <v/>
      </c>
    </row>
    <row r="235">
      <c r="A235" s="1" t="n"/>
      <c r="B235" s="26" t="n"/>
      <c r="C235" s="25" t="n"/>
      <c r="D235" s="29" t="n"/>
      <c r="E235" s="25" t="n"/>
      <c r="F235" s="1">
        <f>IF(B235="","",B235-WEEKDAY(B235,3))</f>
        <v/>
      </c>
    </row>
    <row r="236">
      <c r="A236" s="1" t="n"/>
      <c r="B236" s="26" t="n"/>
      <c r="C236" s="25" t="n"/>
      <c r="D236" s="29" t="n"/>
      <c r="E236" s="25" t="n"/>
      <c r="F236" s="1">
        <f>IF(B236="","",B236-WEEKDAY(B236,3))</f>
        <v/>
      </c>
    </row>
    <row r="237">
      <c r="A237" s="1" t="n"/>
      <c r="B237" s="26" t="n"/>
      <c r="C237" s="25" t="n"/>
      <c r="D237" s="29" t="n"/>
      <c r="E237" s="25" t="n"/>
      <c r="F237" s="1">
        <f>IF(B237="","",B237-WEEKDAY(B237,3))</f>
        <v/>
      </c>
    </row>
    <row r="238">
      <c r="A238" s="1" t="n"/>
      <c r="B238" s="26" t="n"/>
      <c r="C238" s="25" t="n"/>
      <c r="D238" s="29" t="n"/>
      <c r="E238" s="25" t="n"/>
      <c r="F238" s="1">
        <f>IF(B238="","",B238-WEEKDAY(B238,3))</f>
        <v/>
      </c>
    </row>
    <row r="239">
      <c r="A239" s="1" t="n"/>
      <c r="B239" s="26" t="n"/>
      <c r="C239" s="25" t="n"/>
      <c r="D239" s="29" t="n"/>
      <c r="E239" s="25" t="n"/>
      <c r="F239" s="1">
        <f>IF(B239="","",B239-WEEKDAY(B239,3))</f>
        <v/>
      </c>
    </row>
    <row r="240">
      <c r="A240" s="1" t="n"/>
      <c r="B240" s="26" t="n"/>
      <c r="C240" s="25" t="n"/>
      <c r="D240" s="29" t="n"/>
      <c r="E240" s="25" t="n"/>
      <c r="F240" s="1">
        <f>IF(B240="","",B240-WEEKDAY(B240,3))</f>
        <v/>
      </c>
    </row>
    <row r="241">
      <c r="A241" s="1" t="n"/>
      <c r="B241" s="26" t="n"/>
      <c r="C241" s="25" t="n"/>
      <c r="D241" s="29" t="n"/>
      <c r="E241" s="25" t="n"/>
      <c r="F241" s="1">
        <f>IF(B241="","",B241-WEEKDAY(B241,3))</f>
        <v/>
      </c>
    </row>
    <row r="242">
      <c r="A242" s="1" t="n"/>
      <c r="B242" s="26" t="n"/>
      <c r="C242" s="25" t="n"/>
      <c r="D242" s="29" t="n"/>
      <c r="E242" s="25" t="n"/>
      <c r="F242" s="1">
        <f>IF(B242="","",B242-WEEKDAY(B242,3))</f>
        <v/>
      </c>
    </row>
    <row r="243">
      <c r="A243" s="1" t="n"/>
      <c r="B243" s="26" t="n"/>
      <c r="C243" s="25" t="n"/>
      <c r="D243" s="29" t="n"/>
      <c r="E243" s="25" t="n"/>
      <c r="F243" s="1">
        <f>IF(B243="","",B243-WEEKDAY(B243,3))</f>
        <v/>
      </c>
    </row>
    <row r="244">
      <c r="A244" s="1" t="n"/>
      <c r="B244" s="26" t="n"/>
      <c r="C244" s="25" t="n"/>
      <c r="D244" s="29" t="n"/>
      <c r="E244" s="25" t="n"/>
      <c r="F244" s="1">
        <f>IF(B244="","",B244-WEEKDAY(B244,3))</f>
        <v/>
      </c>
    </row>
    <row r="245">
      <c r="A245" s="1" t="n"/>
      <c r="B245" s="26" t="n"/>
      <c r="C245" s="25" t="n"/>
      <c r="D245" s="29" t="n"/>
      <c r="E245" s="25" t="n"/>
      <c r="F245" s="1">
        <f>IF(B245="","",B245-WEEKDAY(B245,3))</f>
        <v/>
      </c>
    </row>
    <row r="246">
      <c r="A246" s="1" t="n"/>
      <c r="B246" s="26" t="n"/>
      <c r="C246" s="25" t="n"/>
      <c r="D246" s="29" t="n"/>
      <c r="E246" s="25" t="n"/>
      <c r="F246" s="1">
        <f>IF(B246="","",B246-WEEKDAY(B246,3))</f>
        <v/>
      </c>
    </row>
    <row r="247">
      <c r="A247" s="1" t="n"/>
      <c r="B247" s="26" t="n"/>
      <c r="C247" s="25" t="n"/>
      <c r="D247" s="29" t="n"/>
      <c r="E247" s="25" t="n"/>
      <c r="F247" s="1">
        <f>IF(B247="","",B247-WEEKDAY(B247,3))</f>
        <v/>
      </c>
    </row>
    <row r="248">
      <c r="A248" s="1" t="n"/>
      <c r="B248" s="26" t="n"/>
      <c r="C248" s="25" t="n"/>
      <c r="D248" s="29" t="n"/>
      <c r="E248" s="25" t="n"/>
      <c r="F248" s="1">
        <f>IF(B248="","",B248-WEEKDAY(B248,3))</f>
        <v/>
      </c>
    </row>
    <row r="249">
      <c r="A249" s="1" t="n"/>
      <c r="B249" s="26" t="n"/>
      <c r="C249" s="25" t="n"/>
      <c r="D249" s="29" t="n"/>
      <c r="E249" s="25" t="n"/>
      <c r="F249" s="1">
        <f>IF(B249="","",B249-WEEKDAY(B249,3))</f>
        <v/>
      </c>
    </row>
    <row r="250">
      <c r="A250" s="1" t="n"/>
      <c r="B250" s="26" t="n"/>
      <c r="C250" s="25" t="n"/>
      <c r="D250" s="29" t="n"/>
      <c r="E250" s="25" t="n"/>
      <c r="F250" s="1">
        <f>IF(B250="","",B250-WEEKDAY(B250,3))</f>
        <v/>
      </c>
    </row>
    <row r="251">
      <c r="A251" s="1" t="n"/>
      <c r="B251" s="26" t="n"/>
      <c r="C251" s="25" t="n"/>
      <c r="D251" s="29" t="n"/>
      <c r="E251" s="25" t="n"/>
      <c r="F251" s="1">
        <f>IF(B251="","",B251-WEEKDAY(B251,3))</f>
        <v/>
      </c>
    </row>
    <row r="252">
      <c r="A252" s="1" t="n"/>
      <c r="B252" s="26" t="n"/>
      <c r="C252" s="25" t="n"/>
      <c r="D252" s="29" t="n"/>
      <c r="E252" s="25" t="n"/>
      <c r="F252" s="1">
        <f>IF(B252="","",B252-WEEKDAY(B252,3))</f>
        <v/>
      </c>
    </row>
    <row r="253">
      <c r="A253" s="1" t="n"/>
      <c r="B253" s="26" t="n"/>
      <c r="C253" s="25" t="n"/>
      <c r="D253" s="29" t="n"/>
      <c r="E253" s="25" t="n"/>
      <c r="F253" s="1">
        <f>IF(B253="","",B253-WEEKDAY(B253,3))</f>
        <v/>
      </c>
    </row>
    <row r="254">
      <c r="A254" s="1" t="n"/>
      <c r="B254" s="26" t="n"/>
      <c r="C254" s="25" t="n"/>
      <c r="D254" s="29" t="n"/>
      <c r="E254" s="25" t="n"/>
      <c r="F254" s="1">
        <f>IF(B254="","",B254-WEEKDAY(B254,3))</f>
        <v/>
      </c>
    </row>
    <row r="255">
      <c r="A255" s="1" t="n"/>
      <c r="B255" s="26" t="n"/>
      <c r="C255" s="25" t="n"/>
      <c r="D255" s="29" t="n"/>
      <c r="E255" s="25" t="n"/>
      <c r="F255" s="1">
        <f>IF(B255="","",B255-WEEKDAY(B255,3))</f>
        <v/>
      </c>
    </row>
    <row r="256">
      <c r="A256" s="1" t="n"/>
      <c r="B256" s="26" t="n"/>
      <c r="C256" s="25" t="n"/>
      <c r="D256" s="29" t="n"/>
      <c r="E256" s="25" t="n"/>
      <c r="F256" s="1">
        <f>IF(B256="","",B256-WEEKDAY(B256,3))</f>
        <v/>
      </c>
    </row>
    <row r="257">
      <c r="A257" s="1" t="n"/>
      <c r="B257" s="26" t="n"/>
      <c r="C257" s="25" t="n"/>
      <c r="D257" s="29" t="n"/>
      <c r="E257" s="25" t="n"/>
      <c r="F257" s="1">
        <f>IF(B257="","",B257-WEEKDAY(B257,3))</f>
        <v/>
      </c>
    </row>
    <row r="258">
      <c r="A258" s="1" t="n"/>
      <c r="B258" s="26" t="n"/>
      <c r="C258" s="25" t="n"/>
      <c r="D258" s="29" t="n"/>
      <c r="E258" s="25" t="n"/>
      <c r="F258" s="1">
        <f>IF(B258="","",B258-WEEKDAY(B258,3))</f>
        <v/>
      </c>
    </row>
    <row r="259">
      <c r="A259" s="1" t="n"/>
      <c r="B259" s="26" t="n"/>
      <c r="C259" s="25" t="n"/>
      <c r="D259" s="29" t="n"/>
      <c r="E259" s="25" t="n"/>
      <c r="F259" s="1">
        <f>IF(B259="","",B259-WEEKDAY(B259,3))</f>
        <v/>
      </c>
    </row>
    <row r="260">
      <c r="A260" s="1" t="n"/>
      <c r="B260" s="26" t="n"/>
      <c r="C260" s="25" t="n"/>
      <c r="D260" s="29" t="n"/>
      <c r="E260" s="25" t="n"/>
      <c r="F260" s="1">
        <f>IF(B260="","",B260-WEEKDAY(B260,3))</f>
        <v/>
      </c>
    </row>
    <row r="261">
      <c r="A261" s="1" t="n"/>
      <c r="B261" s="26" t="n"/>
      <c r="C261" s="25" t="n"/>
      <c r="D261" s="29" t="n"/>
      <c r="E261" s="25" t="n"/>
      <c r="F261" s="1">
        <f>IF(B261="","",B261-WEEKDAY(B261,3))</f>
        <v/>
      </c>
    </row>
    <row r="262">
      <c r="A262" s="1" t="n"/>
      <c r="B262" s="26" t="n"/>
      <c r="C262" s="25" t="n"/>
      <c r="D262" s="29" t="n"/>
      <c r="E262" s="25" t="n"/>
      <c r="F262" s="1">
        <f>IF(B262="","",B262-WEEKDAY(B262,3))</f>
        <v/>
      </c>
    </row>
    <row r="263">
      <c r="A263" s="1" t="n"/>
      <c r="B263" s="26" t="n"/>
      <c r="C263" s="25" t="n"/>
      <c r="D263" s="29" t="n"/>
      <c r="E263" s="25" t="n"/>
      <c r="F263" s="1">
        <f>IF(B263="","",B263-WEEKDAY(B263,3))</f>
        <v/>
      </c>
    </row>
    <row r="264">
      <c r="A264" s="1" t="n"/>
      <c r="B264" s="26" t="n"/>
      <c r="C264" s="25" t="n"/>
      <c r="D264" s="29" t="n"/>
      <c r="E264" s="25" t="n"/>
      <c r="F264" s="1">
        <f>IF(B264="","",B264-WEEKDAY(B264,3))</f>
        <v/>
      </c>
    </row>
    <row r="265">
      <c r="A265" s="1" t="n"/>
      <c r="B265" s="26" t="n"/>
      <c r="C265" s="25" t="n"/>
      <c r="D265" s="29" t="n"/>
      <c r="E265" s="25" t="n"/>
      <c r="F265" s="1">
        <f>IF(B265="","",B265-WEEKDAY(B265,3))</f>
        <v/>
      </c>
    </row>
    <row r="266">
      <c r="A266" s="1" t="n"/>
      <c r="B266" s="26" t="n"/>
      <c r="C266" s="25" t="n"/>
      <c r="D266" s="29" t="n"/>
      <c r="E266" s="25" t="n"/>
      <c r="F266" s="1">
        <f>IF(B266="","",B266-WEEKDAY(B266,3))</f>
        <v/>
      </c>
    </row>
    <row r="267">
      <c r="A267" s="1" t="n"/>
      <c r="B267" s="26" t="n"/>
      <c r="C267" s="25" t="n"/>
      <c r="D267" s="29" t="n"/>
      <c r="E267" s="25" t="n"/>
      <c r="F267" s="1">
        <f>IF(B267="","",B267-WEEKDAY(B267,3))</f>
        <v/>
      </c>
    </row>
    <row r="268">
      <c r="A268" s="1" t="n"/>
      <c r="B268" s="26" t="n"/>
      <c r="C268" s="25" t="n"/>
      <c r="D268" s="29" t="n"/>
      <c r="E268" s="25" t="n"/>
      <c r="F268" s="1">
        <f>IF(B268="","",B268-WEEKDAY(B268,3))</f>
        <v/>
      </c>
    </row>
    <row r="269">
      <c r="A269" s="1" t="n"/>
      <c r="B269" s="26" t="n"/>
      <c r="C269" s="25" t="n"/>
      <c r="D269" s="29" t="n"/>
      <c r="E269" s="25" t="n"/>
      <c r="F269" s="1">
        <f>IF(B269="","",B269-WEEKDAY(B269,3))</f>
        <v/>
      </c>
    </row>
    <row r="270">
      <c r="A270" s="1" t="n"/>
      <c r="B270" s="26" t="n"/>
      <c r="C270" s="25" t="n"/>
      <c r="D270" s="29" t="n"/>
      <c r="E270" s="25" t="n"/>
      <c r="F270" s="1">
        <f>IF(B270="","",B270-WEEKDAY(B270,3))</f>
        <v/>
      </c>
    </row>
    <row r="271">
      <c r="A271" s="1" t="n"/>
      <c r="B271" s="26" t="n"/>
      <c r="C271" s="25" t="n"/>
      <c r="D271" s="29" t="n"/>
      <c r="E271" s="25" t="n"/>
      <c r="F271" s="1">
        <f>IF(B271="","",B271-WEEKDAY(B271,3))</f>
        <v/>
      </c>
    </row>
    <row r="272">
      <c r="A272" s="1" t="n"/>
      <c r="B272" s="26" t="n"/>
      <c r="C272" s="25" t="n"/>
      <c r="D272" s="29" t="n"/>
      <c r="E272" s="25" t="n"/>
      <c r="F272" s="1">
        <f>IF(B272="","",B272-WEEKDAY(B272,3))</f>
        <v/>
      </c>
    </row>
    <row r="273">
      <c r="A273" s="1" t="n"/>
      <c r="B273" s="26" t="n"/>
      <c r="C273" s="25" t="n"/>
      <c r="D273" s="29" t="n"/>
      <c r="E273" s="25" t="n"/>
      <c r="F273" s="1">
        <f>IF(B273="","",B273-WEEKDAY(B273,3))</f>
        <v/>
      </c>
    </row>
    <row r="274">
      <c r="A274" s="1" t="n"/>
      <c r="B274" s="26" t="n"/>
      <c r="C274" s="25" t="n"/>
      <c r="D274" s="29" t="n"/>
      <c r="E274" s="25" t="n"/>
      <c r="F274" s="1">
        <f>IF(B274="","",B274-WEEKDAY(B274,3))</f>
        <v/>
      </c>
    </row>
    <row r="275">
      <c r="A275" s="1" t="n"/>
      <c r="B275" s="26" t="n"/>
      <c r="C275" s="25" t="n"/>
      <c r="D275" s="29" t="n"/>
      <c r="E275" s="25" t="n"/>
      <c r="F275" s="1">
        <f>IF(B275="","",B275-WEEKDAY(B275,3))</f>
        <v/>
      </c>
    </row>
    <row r="276">
      <c r="A276" s="1" t="n"/>
      <c r="B276" s="26" t="n"/>
      <c r="C276" s="25" t="n"/>
      <c r="D276" s="29" t="n"/>
      <c r="E276" s="25" t="n"/>
      <c r="F276" s="1">
        <f>IF(B276="","",B276-WEEKDAY(B276,3))</f>
        <v/>
      </c>
    </row>
    <row r="277">
      <c r="A277" s="1" t="n"/>
      <c r="B277" s="26" t="n"/>
      <c r="C277" s="25" t="n"/>
      <c r="D277" s="29" t="n"/>
      <c r="E277" s="25" t="n"/>
      <c r="F277" s="1">
        <f>IF(B277="","",B277-WEEKDAY(B277,3))</f>
        <v/>
      </c>
    </row>
    <row r="278">
      <c r="A278" s="1" t="n"/>
      <c r="B278" s="26" t="n"/>
      <c r="C278" s="25" t="n"/>
      <c r="D278" s="29" t="n"/>
      <c r="E278" s="25" t="n"/>
      <c r="F278" s="1">
        <f>IF(B278="","",B278-WEEKDAY(B278,3))</f>
        <v/>
      </c>
    </row>
    <row r="279">
      <c r="A279" s="1" t="n"/>
      <c r="B279" s="26" t="n"/>
      <c r="C279" s="25" t="n"/>
      <c r="D279" s="29" t="n"/>
      <c r="E279" s="25" t="n"/>
      <c r="F279" s="1">
        <f>IF(B279="","",B279-WEEKDAY(B279,3))</f>
        <v/>
      </c>
    </row>
    <row r="280">
      <c r="A280" s="1" t="n"/>
      <c r="B280" s="26" t="n"/>
      <c r="C280" s="25" t="n"/>
      <c r="D280" s="29" t="n"/>
      <c r="E280" s="25" t="n"/>
      <c r="F280" s="1">
        <f>IF(B280="","",B280-WEEKDAY(B280,3))</f>
        <v/>
      </c>
    </row>
    <row r="281">
      <c r="A281" s="1" t="n"/>
      <c r="B281" s="26" t="n"/>
      <c r="C281" s="25" t="n"/>
      <c r="D281" s="29" t="n"/>
      <c r="E281" s="25" t="n"/>
      <c r="F281" s="1">
        <f>IF(B281="","",B281-WEEKDAY(B281,3))</f>
        <v/>
      </c>
    </row>
    <row r="282">
      <c r="A282" s="1" t="n"/>
      <c r="B282" s="26" t="n"/>
      <c r="C282" s="25" t="n"/>
      <c r="D282" s="29" t="n"/>
      <c r="E282" s="25" t="n"/>
      <c r="F282" s="1">
        <f>IF(B282="","",B282-WEEKDAY(B282,3))</f>
        <v/>
      </c>
    </row>
    <row r="283">
      <c r="A283" s="1" t="n"/>
      <c r="B283" s="26" t="n"/>
      <c r="C283" s="25" t="n"/>
      <c r="D283" s="29" t="n"/>
      <c r="E283" s="25" t="n"/>
      <c r="F283" s="1">
        <f>IF(B283="","",B283-WEEKDAY(B283,3))</f>
        <v/>
      </c>
    </row>
    <row r="284">
      <c r="A284" s="1" t="n"/>
      <c r="B284" s="26" t="n"/>
      <c r="C284" s="25" t="n"/>
      <c r="D284" s="29" t="n"/>
      <c r="E284" s="25" t="n"/>
      <c r="F284" s="1">
        <f>IF(B284="","",B284-WEEKDAY(B284,3))</f>
        <v/>
      </c>
    </row>
    <row r="285">
      <c r="A285" s="1" t="n"/>
      <c r="B285" s="26" t="n"/>
      <c r="C285" s="25" t="n"/>
      <c r="D285" s="29" t="n"/>
      <c r="E285" s="25" t="n"/>
      <c r="F285" s="1">
        <f>IF(B285="","",B285-WEEKDAY(B285,3))</f>
        <v/>
      </c>
    </row>
    <row r="286">
      <c r="A286" s="1" t="n"/>
      <c r="B286" s="26" t="n"/>
      <c r="C286" s="25" t="n"/>
      <c r="D286" s="29" t="n"/>
      <c r="E286" s="25" t="n"/>
      <c r="F286" s="1">
        <f>IF(B286="","",B286-WEEKDAY(B286,3))</f>
        <v/>
      </c>
    </row>
    <row r="287">
      <c r="A287" s="1" t="n"/>
      <c r="B287" s="26" t="n"/>
      <c r="C287" s="25" t="n"/>
      <c r="D287" s="29" t="n"/>
      <c r="E287" s="25" t="n"/>
      <c r="F287" s="1">
        <f>IF(B287="","",B287-WEEKDAY(B287,3))</f>
        <v/>
      </c>
    </row>
    <row r="288">
      <c r="A288" s="1" t="n"/>
      <c r="B288" s="26" t="n"/>
      <c r="C288" s="25" t="n"/>
      <c r="D288" s="29" t="n"/>
      <c r="E288" s="25" t="n"/>
      <c r="F288" s="1">
        <f>IF(B288="","",B288-WEEKDAY(B288,3))</f>
        <v/>
      </c>
    </row>
    <row r="289">
      <c r="A289" s="1" t="n"/>
      <c r="B289" s="26" t="n"/>
      <c r="C289" s="25" t="n"/>
      <c r="D289" s="29" t="n"/>
      <c r="E289" s="25" t="n"/>
      <c r="F289" s="1">
        <f>IF(B289="","",B289-WEEKDAY(B289,3))</f>
        <v/>
      </c>
    </row>
    <row r="290">
      <c r="A290" s="1" t="n"/>
      <c r="B290" s="26" t="n"/>
      <c r="C290" s="25" t="n"/>
      <c r="D290" s="29" t="n"/>
      <c r="E290" s="25" t="n"/>
      <c r="F290" s="1">
        <f>IF(B290="","",B290-WEEKDAY(B290,3))</f>
        <v/>
      </c>
    </row>
    <row r="291">
      <c r="A291" s="1" t="n"/>
      <c r="B291" s="26" t="n"/>
      <c r="C291" s="25" t="n"/>
      <c r="D291" s="29" t="n"/>
      <c r="E291" s="25" t="n"/>
      <c r="F291" s="1">
        <f>IF(B291="","",B291-WEEKDAY(B291,3))</f>
        <v/>
      </c>
    </row>
    <row r="292">
      <c r="A292" s="1" t="n"/>
      <c r="B292" s="26" t="n"/>
      <c r="C292" s="25" t="n"/>
      <c r="D292" s="29" t="n"/>
      <c r="E292" s="25" t="n"/>
      <c r="F292" s="1">
        <f>IF(B292="","",B292-WEEKDAY(B292,3))</f>
        <v/>
      </c>
    </row>
    <row r="293">
      <c r="A293" s="1" t="n"/>
      <c r="B293" s="26" t="n"/>
      <c r="C293" s="25" t="n"/>
      <c r="D293" s="29" t="n"/>
      <c r="E293" s="25" t="n"/>
      <c r="F293" s="1">
        <f>IF(B293="","",B293-WEEKDAY(B293,3))</f>
        <v/>
      </c>
    </row>
    <row r="294">
      <c r="A294" s="1" t="n"/>
      <c r="B294" s="26" t="n"/>
      <c r="C294" s="25" t="n"/>
      <c r="D294" s="29" t="n"/>
      <c r="E294" s="25" t="n"/>
      <c r="F294" s="1">
        <f>IF(B294="","",B294-WEEKDAY(B294,3))</f>
        <v/>
      </c>
    </row>
    <row r="295">
      <c r="A295" s="1" t="n"/>
      <c r="B295" s="26" t="n"/>
      <c r="C295" s="25" t="n"/>
      <c r="D295" s="29" t="n"/>
      <c r="E295" s="25" t="n"/>
      <c r="F295" s="1">
        <f>IF(B295="","",B295-WEEKDAY(B295,3))</f>
        <v/>
      </c>
    </row>
    <row r="296">
      <c r="A296" s="1" t="n"/>
      <c r="B296" s="26" t="n"/>
      <c r="C296" s="25" t="n"/>
      <c r="D296" s="29" t="n"/>
      <c r="E296" s="25" t="n"/>
      <c r="F296" s="1">
        <f>IF(B296="","",B296-WEEKDAY(B296,3))</f>
        <v/>
      </c>
    </row>
    <row r="297">
      <c r="A297" s="1" t="n"/>
      <c r="B297" s="26" t="n"/>
      <c r="C297" s="25" t="n"/>
      <c r="D297" s="29" t="n"/>
      <c r="E297" s="25" t="n"/>
      <c r="F297" s="1">
        <f>IF(B297="","",B297-WEEKDAY(B297,3))</f>
        <v/>
      </c>
    </row>
    <row r="298">
      <c r="A298" s="1" t="n"/>
      <c r="B298" s="26" t="n"/>
      <c r="C298" s="25" t="n"/>
      <c r="D298" s="29" t="n"/>
      <c r="E298" s="25" t="n"/>
      <c r="F298" s="1">
        <f>IF(B298="","",B298-WEEKDAY(B298,3))</f>
        <v/>
      </c>
    </row>
    <row r="299">
      <c r="A299" s="1" t="n"/>
      <c r="B299" s="26" t="n"/>
      <c r="C299" s="25" t="n"/>
      <c r="D299" s="29" t="n"/>
      <c r="E299" s="25" t="n"/>
      <c r="F299" s="1">
        <f>IF(B299="","",B299-WEEKDAY(B299,3))</f>
        <v/>
      </c>
    </row>
    <row r="300">
      <c r="A300" s="1" t="n"/>
      <c r="B300" s="26" t="n"/>
      <c r="C300" s="25" t="n"/>
      <c r="D300" s="29" t="n"/>
      <c r="E300" s="25" t="n"/>
      <c r="F300" s="1">
        <f>IF(B300="","",B300-WEEKDAY(B300,3))</f>
        <v/>
      </c>
    </row>
    <row r="301">
      <c r="A301" s="1" t="n"/>
      <c r="B301" s="26" t="n"/>
      <c r="C301" s="25" t="n"/>
      <c r="D301" s="29" t="n"/>
      <c r="E301" s="25" t="n"/>
      <c r="F301" s="1">
        <f>IF(B301="","",B301-WEEKDAY(B301,3))</f>
        <v/>
      </c>
    </row>
    <row r="302">
      <c r="A302" s="1" t="n"/>
      <c r="B302" s="26" t="n"/>
      <c r="C302" s="25" t="n"/>
      <c r="D302" s="29" t="n"/>
      <c r="E302" s="25" t="n"/>
      <c r="F302" s="1">
        <f>IF(B302="","",B302-WEEKDAY(B302,3))</f>
        <v/>
      </c>
    </row>
    <row r="303">
      <c r="A303" s="1" t="n"/>
      <c r="B303" s="26" t="n"/>
      <c r="C303" s="25" t="n"/>
      <c r="D303" s="29" t="n"/>
      <c r="E303" s="25" t="n"/>
      <c r="F303" s="1">
        <f>IF(B303="","",B303-WEEKDAY(B303,3))</f>
        <v/>
      </c>
    </row>
    <row r="304">
      <c r="A304" s="1" t="n"/>
      <c r="B304" s="26" t="n"/>
      <c r="C304" s="25" t="n"/>
      <c r="D304" s="29" t="n"/>
      <c r="E304" s="25" t="n"/>
      <c r="F304" s="1">
        <f>IF(B304="","",B304-WEEKDAY(B304,3))</f>
        <v/>
      </c>
    </row>
    <row r="305">
      <c r="A305" s="1" t="n"/>
      <c r="B305" s="26" t="n"/>
      <c r="C305" s="25" t="n"/>
      <c r="D305" s="29" t="n"/>
      <c r="E305" s="25" t="n"/>
      <c r="F305" s="1">
        <f>IF(B305="","",B305-WEEKDAY(B305,3))</f>
        <v/>
      </c>
    </row>
    <row r="306">
      <c r="A306" s="1" t="n"/>
      <c r="B306" s="26" t="n"/>
      <c r="C306" s="25" t="n"/>
      <c r="D306" s="29" t="n"/>
      <c r="E306" s="25" t="n"/>
      <c r="F306" s="1">
        <f>IF(B306="","",B306-WEEKDAY(B306,3))</f>
        <v/>
      </c>
    </row>
    <row r="307">
      <c r="A307" s="1" t="n"/>
      <c r="B307" s="26" t="n"/>
      <c r="C307" s="25" t="n"/>
      <c r="D307" s="29" t="n"/>
      <c r="E307" s="25" t="n"/>
      <c r="F307" s="1">
        <f>IF(B307="","",B307-WEEKDAY(B307,3))</f>
        <v/>
      </c>
    </row>
    <row r="308">
      <c r="A308" s="1" t="n"/>
      <c r="B308" s="26" t="n"/>
      <c r="C308" s="25" t="n"/>
      <c r="D308" s="29" t="n"/>
      <c r="E308" s="25" t="n"/>
      <c r="F308" s="1">
        <f>IF(B308="","",B308-WEEKDAY(B308,3))</f>
        <v/>
      </c>
    </row>
    <row r="309">
      <c r="A309" s="1" t="n"/>
      <c r="B309" s="26" t="n"/>
      <c r="C309" s="25" t="n"/>
      <c r="D309" s="29" t="n"/>
      <c r="E309" s="25" t="n"/>
      <c r="F309" s="1">
        <f>IF(B309="","",B309-WEEKDAY(B309,3))</f>
        <v/>
      </c>
    </row>
    <row r="310">
      <c r="A310" s="1" t="n"/>
      <c r="B310" s="26" t="n"/>
      <c r="C310" s="25" t="n"/>
      <c r="D310" s="29" t="n"/>
      <c r="E310" s="25" t="n"/>
      <c r="F310" s="1">
        <f>IF(B310="","",B310-WEEKDAY(B310,3))</f>
        <v/>
      </c>
    </row>
    <row r="311">
      <c r="A311" s="1" t="n"/>
      <c r="B311" s="26" t="n"/>
      <c r="C311" s="25" t="n"/>
      <c r="D311" s="29" t="n"/>
      <c r="E311" s="25" t="n"/>
      <c r="F311" s="1">
        <f>IF(B311="","",B311-WEEKDAY(B311,3))</f>
        <v/>
      </c>
    </row>
    <row r="312">
      <c r="A312" s="1" t="n"/>
      <c r="B312" s="26" t="n"/>
      <c r="C312" s="25" t="n"/>
      <c r="D312" s="29" t="n"/>
      <c r="E312" s="25" t="n"/>
      <c r="F312" s="1">
        <f>IF(B312="","",B312-WEEKDAY(B312,3))</f>
        <v/>
      </c>
    </row>
    <row r="313">
      <c r="A313" s="1" t="n"/>
      <c r="B313" s="26" t="n"/>
      <c r="C313" s="25" t="n"/>
      <c r="D313" s="29" t="n"/>
      <c r="E313" s="25" t="n"/>
      <c r="F313" s="1">
        <f>IF(B313="","",B313-WEEKDAY(B313,3))</f>
        <v/>
      </c>
    </row>
    <row r="314">
      <c r="A314" s="1" t="n"/>
      <c r="B314" s="26" t="n"/>
      <c r="C314" s="25" t="n"/>
      <c r="D314" s="29" t="n"/>
      <c r="E314" s="25" t="n"/>
      <c r="F314" s="1">
        <f>IF(B314="","",B314-WEEKDAY(B314,3))</f>
        <v/>
      </c>
    </row>
    <row r="315">
      <c r="A315" s="1" t="n"/>
      <c r="B315" s="26" t="n"/>
      <c r="C315" s="25" t="n"/>
      <c r="D315" s="29" t="n"/>
      <c r="E315" s="25" t="n"/>
      <c r="F315" s="1">
        <f>IF(B315="","",B315-WEEKDAY(B315,3))</f>
        <v/>
      </c>
    </row>
    <row r="316">
      <c r="A316" s="1" t="n"/>
      <c r="B316" s="26" t="n"/>
      <c r="C316" s="25" t="n"/>
      <c r="D316" s="29" t="n"/>
      <c r="E316" s="25" t="n"/>
      <c r="F316" s="1">
        <f>IF(B316="","",B316-WEEKDAY(B316,3))</f>
        <v/>
      </c>
    </row>
    <row r="317">
      <c r="A317" s="1" t="n"/>
      <c r="B317" s="26" t="n"/>
      <c r="C317" s="25" t="n"/>
      <c r="D317" s="29" t="n"/>
      <c r="E317" s="25" t="n"/>
      <c r="F317" s="1">
        <f>IF(B317="","",B317-WEEKDAY(B317,3))</f>
        <v/>
      </c>
    </row>
    <row r="318">
      <c r="A318" s="1" t="n"/>
      <c r="B318" s="26" t="n"/>
      <c r="C318" s="25" t="n"/>
      <c r="D318" s="29" t="n"/>
      <c r="E318" s="25" t="n"/>
      <c r="F318" s="1">
        <f>IF(B318="","",B318-WEEKDAY(B318,3))</f>
        <v/>
      </c>
    </row>
    <row r="319">
      <c r="A319" s="1" t="n"/>
      <c r="B319" s="26" t="n"/>
      <c r="C319" s="25" t="n"/>
      <c r="D319" s="29" t="n"/>
      <c r="E319" s="25" t="n"/>
      <c r="F319" s="1">
        <f>IF(B319="","",B319-WEEKDAY(B319,3))</f>
        <v/>
      </c>
    </row>
    <row r="320">
      <c r="A320" s="1" t="n"/>
      <c r="B320" s="26" t="n"/>
      <c r="C320" s="25" t="n"/>
      <c r="D320" s="29" t="n"/>
      <c r="E320" s="25" t="n"/>
      <c r="F320" s="1">
        <f>IF(B320="","",B320-WEEKDAY(B320,3))</f>
        <v/>
      </c>
    </row>
    <row r="321">
      <c r="A321" s="1" t="n"/>
      <c r="B321" s="26" t="n"/>
      <c r="C321" s="25" t="n"/>
      <c r="D321" s="29" t="n"/>
      <c r="E321" s="25" t="n"/>
      <c r="F321" s="1">
        <f>IF(B321="","",B321-WEEKDAY(B321,3))</f>
        <v/>
      </c>
    </row>
    <row r="322">
      <c r="A322" s="1" t="n"/>
      <c r="B322" s="26" t="n"/>
      <c r="C322" s="25" t="n"/>
      <c r="D322" s="29" t="n"/>
      <c r="E322" s="25" t="n"/>
      <c r="F322" s="1">
        <f>IF(B322="","",B322-WEEKDAY(B322,3))</f>
        <v/>
      </c>
    </row>
    <row r="323">
      <c r="A323" s="1" t="n"/>
      <c r="B323" s="26" t="n"/>
      <c r="C323" s="25" t="n"/>
      <c r="D323" s="29" t="n"/>
      <c r="E323" s="25" t="n"/>
      <c r="F323" s="1">
        <f>IF(B323="","",B323-WEEKDAY(B323,3))</f>
        <v/>
      </c>
    </row>
    <row r="324">
      <c r="A324" s="1" t="n"/>
      <c r="B324" s="26" t="n"/>
      <c r="C324" s="25" t="n"/>
      <c r="D324" s="29" t="n"/>
      <c r="E324" s="25" t="n"/>
      <c r="F324" s="1">
        <f>IF(B324="","",B324-WEEKDAY(B324,3))</f>
        <v/>
      </c>
    </row>
    <row r="325">
      <c r="A325" s="1" t="n"/>
      <c r="B325" s="26" t="n"/>
      <c r="C325" s="25" t="n"/>
      <c r="D325" s="29" t="n"/>
      <c r="E325" s="25" t="n"/>
      <c r="F325" s="1">
        <f>IF(B325="","",B325-WEEKDAY(B325,3))</f>
        <v/>
      </c>
    </row>
    <row r="326">
      <c r="A326" s="1" t="n"/>
      <c r="B326" s="26" t="n"/>
      <c r="C326" s="25" t="n"/>
      <c r="D326" s="29" t="n"/>
      <c r="E326" s="25" t="n"/>
      <c r="F326" s="1">
        <f>IF(B326="","",B326-WEEKDAY(B326,3))</f>
        <v/>
      </c>
    </row>
    <row r="327">
      <c r="A327" s="1" t="n"/>
      <c r="B327" s="26" t="n"/>
      <c r="C327" s="25" t="n"/>
      <c r="D327" s="29" t="n"/>
      <c r="E327" s="25" t="n"/>
      <c r="F327" s="1">
        <f>IF(B327="","",B327-WEEKDAY(B327,3))</f>
        <v/>
      </c>
    </row>
    <row r="328">
      <c r="A328" s="1" t="n"/>
      <c r="B328" s="26" t="n"/>
      <c r="C328" s="25" t="n"/>
      <c r="D328" s="29" t="n"/>
      <c r="E328" s="25" t="n"/>
      <c r="F328" s="1">
        <f>IF(B328="","",B328-WEEKDAY(B328,3))</f>
        <v/>
      </c>
    </row>
    <row r="329">
      <c r="A329" s="1" t="n"/>
      <c r="B329" s="26" t="n"/>
      <c r="C329" s="25" t="n"/>
      <c r="D329" s="29" t="n"/>
      <c r="E329" s="25" t="n"/>
      <c r="F329" s="1">
        <f>IF(B329="","",B329-WEEKDAY(B329,3))</f>
        <v/>
      </c>
    </row>
    <row r="330">
      <c r="A330" s="1" t="n"/>
      <c r="B330" s="26" t="n"/>
      <c r="C330" s="25" t="n"/>
      <c r="D330" s="29" t="n"/>
      <c r="E330" s="25" t="n"/>
      <c r="F330" s="1">
        <f>IF(B330="","",B330-WEEKDAY(B330,3))</f>
        <v/>
      </c>
    </row>
    <row r="331">
      <c r="A331" s="1" t="n"/>
      <c r="B331" s="26" t="n"/>
      <c r="C331" s="25" t="n"/>
      <c r="D331" s="29" t="n"/>
      <c r="E331" s="25" t="n"/>
      <c r="F331" s="1">
        <f>IF(B331="","",B331-WEEKDAY(B331,3))</f>
        <v/>
      </c>
    </row>
    <row r="332">
      <c r="A332" s="1" t="n"/>
      <c r="B332" s="26" t="n"/>
      <c r="C332" s="25" t="n"/>
      <c r="D332" s="29" t="n"/>
      <c r="E332" s="25" t="n"/>
      <c r="F332" s="1">
        <f>IF(B332="","",B332-WEEKDAY(B332,3))</f>
        <v/>
      </c>
    </row>
    <row r="333">
      <c r="A333" s="1" t="n"/>
      <c r="B333" s="26" t="n"/>
      <c r="C333" s="25" t="n"/>
      <c r="D333" s="29" t="n"/>
      <c r="E333" s="25" t="n"/>
      <c r="F333" s="1">
        <f>IF(B333="","",B333-WEEKDAY(B333,3))</f>
        <v/>
      </c>
    </row>
    <row r="334">
      <c r="A334" s="1" t="n"/>
      <c r="B334" s="26" t="n"/>
      <c r="C334" s="25" t="n"/>
      <c r="D334" s="29" t="n"/>
      <c r="E334" s="25" t="n"/>
      <c r="F334" s="1">
        <f>IF(B334="","",B334-WEEKDAY(B334,3))</f>
        <v/>
      </c>
    </row>
    <row r="335">
      <c r="A335" s="1" t="n"/>
      <c r="B335" s="26" t="n"/>
      <c r="C335" s="25" t="n"/>
      <c r="D335" s="29" t="n"/>
      <c r="E335" s="25" t="n"/>
      <c r="F335" s="1">
        <f>IF(B335="","",B335-WEEKDAY(B335,3))</f>
        <v/>
      </c>
    </row>
    <row r="336">
      <c r="A336" s="1" t="n"/>
      <c r="B336" s="26" t="n"/>
      <c r="C336" s="25" t="n"/>
      <c r="D336" s="29" t="n"/>
      <c r="E336" s="25" t="n"/>
      <c r="F336" s="1">
        <f>IF(B336="","",B336-WEEKDAY(B336,3))</f>
        <v/>
      </c>
    </row>
    <row r="337">
      <c r="A337" s="1" t="n"/>
      <c r="B337" s="26" t="n"/>
      <c r="C337" s="25" t="n"/>
      <c r="D337" s="29" t="n"/>
      <c r="E337" s="25" t="n"/>
      <c r="F337" s="1">
        <f>IF(B337="","",B337-WEEKDAY(B337,3))</f>
        <v/>
      </c>
    </row>
    <row r="338">
      <c r="A338" s="1" t="n"/>
      <c r="B338" s="26" t="n"/>
      <c r="C338" s="25" t="n"/>
      <c r="D338" s="29" t="n"/>
      <c r="E338" s="25" t="n"/>
      <c r="F338" s="1">
        <f>IF(B338="","",B338-WEEKDAY(B338,3))</f>
        <v/>
      </c>
    </row>
    <row r="339">
      <c r="A339" s="1" t="n"/>
      <c r="B339" s="26" t="n"/>
      <c r="C339" s="25" t="n"/>
      <c r="D339" s="29" t="n"/>
      <c r="E339" s="25" t="n"/>
      <c r="F339" s="1">
        <f>IF(B339="","",B339-WEEKDAY(B339,3))</f>
        <v/>
      </c>
    </row>
    <row r="340">
      <c r="A340" s="1" t="n"/>
      <c r="B340" s="26" t="n"/>
      <c r="C340" s="25" t="n"/>
      <c r="D340" s="29" t="n"/>
      <c r="E340" s="25" t="n"/>
      <c r="F340" s="1">
        <f>IF(B340="","",B340-WEEKDAY(B340,3))</f>
        <v/>
      </c>
    </row>
    <row r="341">
      <c r="A341" s="1" t="n"/>
      <c r="B341" s="26" t="n"/>
      <c r="C341" s="25" t="n"/>
      <c r="D341" s="29" t="n"/>
      <c r="E341" s="25" t="n"/>
      <c r="F341" s="1">
        <f>IF(B341="","",B341-WEEKDAY(B341,3))</f>
        <v/>
      </c>
    </row>
    <row r="342">
      <c r="A342" s="1" t="n"/>
      <c r="B342" s="26" t="n"/>
      <c r="C342" s="25" t="n"/>
      <c r="D342" s="29" t="n"/>
      <c r="E342" s="25" t="n"/>
      <c r="F342" s="1">
        <f>IF(B342="","",B342-WEEKDAY(B342,3))</f>
        <v/>
      </c>
    </row>
    <row r="343">
      <c r="A343" s="1" t="n"/>
      <c r="B343" s="26" t="n"/>
      <c r="C343" s="25" t="n"/>
      <c r="D343" s="29" t="n"/>
      <c r="E343" s="25" t="n"/>
      <c r="F343" s="1">
        <f>IF(B343="","",B343-WEEKDAY(B343,3))</f>
        <v/>
      </c>
    </row>
    <row r="344">
      <c r="A344" s="1" t="n"/>
      <c r="B344" s="26" t="n"/>
      <c r="C344" s="25" t="n"/>
      <c r="D344" s="29" t="n"/>
      <c r="E344" s="25" t="n"/>
      <c r="F344" s="1">
        <f>IF(B344="","",B344-WEEKDAY(B344,3))</f>
        <v/>
      </c>
    </row>
    <row r="345">
      <c r="A345" s="1" t="n"/>
      <c r="B345" s="26" t="n"/>
      <c r="C345" s="25" t="n"/>
      <c r="D345" s="29" t="n"/>
      <c r="E345" s="25" t="n"/>
      <c r="F345" s="1">
        <f>IF(B345="","",B345-WEEKDAY(B345,3))</f>
        <v/>
      </c>
    </row>
    <row r="346">
      <c r="A346" s="1" t="n"/>
      <c r="B346" s="26" t="n"/>
      <c r="C346" s="25" t="n"/>
      <c r="D346" s="29" t="n"/>
      <c r="E346" s="25" t="n"/>
      <c r="F346" s="1">
        <f>IF(B346="","",B346-WEEKDAY(B346,3))</f>
        <v/>
      </c>
    </row>
    <row r="347">
      <c r="A347" s="1" t="n"/>
      <c r="B347" s="26" t="n"/>
      <c r="C347" s="25" t="n"/>
      <c r="D347" s="29" t="n"/>
      <c r="E347" s="25" t="n"/>
      <c r="F347" s="1">
        <f>IF(B347="","",B347-WEEKDAY(B347,3))</f>
        <v/>
      </c>
    </row>
    <row r="348">
      <c r="A348" s="1" t="n"/>
      <c r="B348" s="26" t="n"/>
      <c r="C348" s="25" t="n"/>
      <c r="D348" s="29" t="n"/>
      <c r="E348" s="25" t="n"/>
      <c r="F348" s="1">
        <f>IF(B348="","",B348-WEEKDAY(B348,3))</f>
        <v/>
      </c>
    </row>
    <row r="349">
      <c r="A349" s="1" t="n"/>
      <c r="B349" s="26" t="n"/>
      <c r="C349" s="25" t="n"/>
      <c r="D349" s="29" t="n"/>
      <c r="E349" s="25" t="n"/>
      <c r="F349" s="1">
        <f>IF(B349="","",B349-WEEKDAY(B349,3))</f>
        <v/>
      </c>
    </row>
    <row r="350">
      <c r="A350" s="1" t="n"/>
      <c r="B350" s="26" t="n"/>
      <c r="C350" s="25" t="n"/>
      <c r="D350" s="29" t="n"/>
      <c r="E350" s="25" t="n"/>
      <c r="F350" s="1">
        <f>IF(B350="","",B350-WEEKDAY(B350,3))</f>
        <v/>
      </c>
    </row>
    <row r="351">
      <c r="A351" s="1" t="n"/>
      <c r="B351" s="26" t="n"/>
      <c r="C351" s="25" t="n"/>
      <c r="D351" s="29" t="n"/>
      <c r="E351" s="25" t="n"/>
      <c r="F351" s="1">
        <f>IF(B351="","",B351-WEEKDAY(B351,3))</f>
        <v/>
      </c>
    </row>
    <row r="352">
      <c r="A352" s="1" t="n"/>
      <c r="B352" s="26" t="n"/>
      <c r="C352" s="25" t="n"/>
      <c r="D352" s="29" t="n"/>
      <c r="E352" s="25" t="n"/>
      <c r="F352" s="1">
        <f>IF(B352="","",B352-WEEKDAY(B352,3))</f>
        <v/>
      </c>
    </row>
    <row r="353">
      <c r="A353" s="1" t="n"/>
      <c r="B353" s="26" t="n"/>
      <c r="C353" s="25" t="n"/>
      <c r="D353" s="29" t="n"/>
      <c r="E353" s="25" t="n"/>
      <c r="F353" s="1">
        <f>IF(B353="","",B353-WEEKDAY(B353,3))</f>
        <v/>
      </c>
    </row>
    <row r="354">
      <c r="A354" s="1" t="n"/>
      <c r="B354" s="26" t="n"/>
      <c r="C354" s="25" t="n"/>
      <c r="D354" s="29" t="n"/>
      <c r="E354" s="25" t="n"/>
      <c r="F354" s="1">
        <f>IF(B354="","",B354-WEEKDAY(B354,3))</f>
        <v/>
      </c>
    </row>
    <row r="355">
      <c r="A355" s="1" t="n"/>
      <c r="B355" s="26" t="n"/>
      <c r="C355" s="25" t="n"/>
      <c r="D355" s="29" t="n"/>
      <c r="E355" s="25" t="n"/>
      <c r="F355" s="1">
        <f>IF(B355="","",B355-WEEKDAY(B355,3))</f>
        <v/>
      </c>
    </row>
    <row r="356">
      <c r="A356" s="1" t="n"/>
      <c r="B356" s="26" t="n"/>
      <c r="C356" s="25" t="n"/>
      <c r="D356" s="29" t="n"/>
      <c r="E356" s="25" t="n"/>
      <c r="F356" s="1">
        <f>IF(B356="","",B356-WEEKDAY(B356,3))</f>
        <v/>
      </c>
    </row>
    <row r="357">
      <c r="A357" s="1" t="n"/>
      <c r="B357" s="26" t="n"/>
      <c r="C357" s="25" t="n"/>
      <c r="D357" s="29" t="n"/>
      <c r="E357" s="25" t="n"/>
      <c r="F357" s="1">
        <f>IF(B357="","",B357-WEEKDAY(B357,3))</f>
        <v/>
      </c>
    </row>
    <row r="358">
      <c r="A358" s="1" t="n"/>
      <c r="B358" s="26" t="n"/>
      <c r="C358" s="25" t="n"/>
      <c r="D358" s="29" t="n"/>
      <c r="E358" s="25" t="n"/>
      <c r="F358" s="1">
        <f>IF(B358="","",B358-WEEKDAY(B358,3))</f>
        <v/>
      </c>
    </row>
    <row r="359">
      <c r="A359" s="1" t="n"/>
      <c r="B359" s="26" t="n"/>
      <c r="C359" s="25" t="n"/>
      <c r="D359" s="29" t="n"/>
      <c r="E359" s="25" t="n"/>
      <c r="F359" s="1">
        <f>IF(B359="","",B359-WEEKDAY(B359,3))</f>
        <v/>
      </c>
    </row>
    <row r="360">
      <c r="A360" s="1" t="n"/>
      <c r="B360" s="26" t="n"/>
      <c r="C360" s="25" t="n"/>
      <c r="D360" s="29" t="n"/>
      <c r="E360" s="25" t="n"/>
      <c r="F360" s="1">
        <f>IF(B360="","",B360-WEEKDAY(B360,3))</f>
        <v/>
      </c>
    </row>
    <row r="361">
      <c r="A361" s="1" t="n"/>
      <c r="B361" s="26" t="n"/>
      <c r="C361" s="25" t="n"/>
      <c r="D361" s="29" t="n"/>
      <c r="E361" s="25" t="n"/>
      <c r="F361" s="1">
        <f>IF(B361="","",B361-WEEKDAY(B361,3))</f>
        <v/>
      </c>
    </row>
    <row r="362">
      <c r="A362" s="1" t="n"/>
      <c r="B362" s="26" t="n"/>
      <c r="C362" s="25" t="n"/>
      <c r="D362" s="29" t="n"/>
      <c r="E362" s="25" t="n"/>
      <c r="F362" s="1">
        <f>IF(B362="","",B362-WEEKDAY(B362,3))</f>
        <v/>
      </c>
    </row>
    <row r="363">
      <c r="A363" s="1" t="n"/>
      <c r="B363" s="26" t="n"/>
      <c r="C363" s="25" t="n"/>
      <c r="D363" s="29" t="n"/>
      <c r="E363" s="25" t="n"/>
      <c r="F363" s="1">
        <f>IF(B363="","",B363-WEEKDAY(B363,3))</f>
        <v/>
      </c>
    </row>
    <row r="364">
      <c r="A364" s="1" t="n"/>
      <c r="B364" s="26" t="n"/>
      <c r="C364" s="25" t="n"/>
      <c r="D364" s="29" t="n"/>
      <c r="E364" s="25" t="n"/>
      <c r="F364" s="1">
        <f>IF(B364="","",B364-WEEKDAY(B364,3))</f>
        <v/>
      </c>
    </row>
    <row r="365">
      <c r="A365" s="1" t="n"/>
      <c r="B365" s="26" t="n"/>
      <c r="C365" s="25" t="n"/>
      <c r="D365" s="29" t="n"/>
      <c r="E365" s="25" t="n"/>
      <c r="F365" s="1">
        <f>IF(B365="","",B365-WEEKDAY(B365,3))</f>
        <v/>
      </c>
    </row>
    <row r="366">
      <c r="A366" s="1" t="n"/>
      <c r="B366" s="26" t="n"/>
      <c r="C366" s="25" t="n"/>
      <c r="D366" s="29" t="n"/>
      <c r="E366" s="25" t="n"/>
      <c r="F366" s="1">
        <f>IF(B366="","",B366-WEEKDAY(B366,3))</f>
        <v/>
      </c>
    </row>
    <row r="367">
      <c r="A367" s="1" t="n"/>
      <c r="B367" s="26" t="n"/>
      <c r="C367" s="25" t="n"/>
      <c r="D367" s="29" t="n"/>
      <c r="E367" s="25" t="n"/>
      <c r="F367" s="1">
        <f>IF(B367="","",B367-WEEKDAY(B367,3))</f>
        <v/>
      </c>
    </row>
    <row r="368">
      <c r="A368" s="1" t="n"/>
      <c r="B368" s="26" t="n"/>
      <c r="C368" s="25" t="n"/>
      <c r="D368" s="29" t="n"/>
      <c r="E368" s="25" t="n"/>
      <c r="F368" s="1">
        <f>IF(B368="","",B368-WEEKDAY(B368,3))</f>
        <v/>
      </c>
    </row>
    <row r="369">
      <c r="A369" s="1" t="n"/>
      <c r="B369" s="26" t="n"/>
      <c r="C369" s="25" t="n"/>
      <c r="D369" s="29" t="n"/>
      <c r="E369" s="25" t="n"/>
      <c r="F369" s="1">
        <f>IF(B369="","",B369-WEEKDAY(B369,3))</f>
        <v/>
      </c>
    </row>
    <row r="370">
      <c r="A370" s="1" t="n"/>
      <c r="B370" s="26" t="n"/>
      <c r="C370" s="25" t="n"/>
      <c r="D370" s="29" t="n"/>
      <c r="E370" s="25" t="n"/>
      <c r="F370" s="1">
        <f>IF(B370="","",B370-WEEKDAY(B370,3))</f>
        <v/>
      </c>
    </row>
    <row r="371">
      <c r="A371" s="1" t="n"/>
      <c r="B371" s="26" t="n"/>
      <c r="C371" s="25" t="n"/>
      <c r="D371" s="29" t="n"/>
      <c r="E371" s="25" t="n"/>
      <c r="F371" s="1">
        <f>IF(B371="","",B371-WEEKDAY(B371,3))</f>
        <v/>
      </c>
    </row>
    <row r="372">
      <c r="A372" s="1" t="n"/>
      <c r="B372" s="26" t="n"/>
      <c r="C372" s="25" t="n"/>
      <c r="D372" s="29" t="n"/>
      <c r="E372" s="25" t="n"/>
      <c r="F372" s="1">
        <f>IF(B372="","",B372-WEEKDAY(B372,3))</f>
        <v/>
      </c>
    </row>
    <row r="373">
      <c r="A373" s="1" t="n"/>
      <c r="B373" s="26" t="n"/>
      <c r="C373" s="25" t="n"/>
      <c r="D373" s="29" t="n"/>
      <c r="E373" s="25" t="n"/>
      <c r="F373" s="1">
        <f>IF(B373="","",B373-WEEKDAY(B373,3))</f>
        <v/>
      </c>
    </row>
    <row r="374">
      <c r="A374" s="1" t="n"/>
      <c r="B374" s="26" t="n"/>
      <c r="C374" s="25" t="n"/>
      <c r="D374" s="29" t="n"/>
      <c r="E374" s="25" t="n"/>
      <c r="F374" s="1">
        <f>IF(B374="","",B374-WEEKDAY(B374,3))</f>
        <v/>
      </c>
    </row>
    <row r="375">
      <c r="A375" s="1" t="n"/>
      <c r="B375" s="26" t="n"/>
      <c r="C375" s="25" t="n"/>
      <c r="D375" s="29" t="n"/>
      <c r="E375" s="25" t="n"/>
      <c r="F375" s="1">
        <f>IF(B375="","",B375-WEEKDAY(B375,3))</f>
        <v/>
      </c>
    </row>
    <row r="376">
      <c r="A376" s="1" t="n"/>
      <c r="B376" s="26" t="n"/>
      <c r="C376" s="25" t="n"/>
      <c r="D376" s="29" t="n"/>
      <c r="E376" s="25" t="n"/>
      <c r="F376" s="1">
        <f>IF(B376="","",B376-WEEKDAY(B376,3))</f>
        <v/>
      </c>
    </row>
    <row r="377">
      <c r="A377" s="1" t="n"/>
      <c r="B377" s="26" t="n"/>
      <c r="C377" s="25" t="n"/>
      <c r="D377" s="29" t="n"/>
      <c r="E377" s="25" t="n"/>
      <c r="F377" s="1">
        <f>IF(B377="","",B377-WEEKDAY(B377,3))</f>
        <v/>
      </c>
    </row>
    <row r="378">
      <c r="A378" s="1" t="n"/>
      <c r="B378" s="26" t="n"/>
      <c r="C378" s="25" t="n"/>
      <c r="D378" s="29" t="n"/>
      <c r="E378" s="25" t="n"/>
      <c r="F378" s="1">
        <f>IF(B378="","",B378-WEEKDAY(B378,3))</f>
        <v/>
      </c>
    </row>
    <row r="379">
      <c r="A379" s="1" t="n"/>
      <c r="B379" s="26" t="n"/>
      <c r="C379" s="25" t="n"/>
      <c r="D379" s="29" t="n"/>
      <c r="E379" s="25" t="n"/>
      <c r="F379" s="1">
        <f>IF(B379="","",B379-WEEKDAY(B379,3))</f>
        <v/>
      </c>
    </row>
    <row r="380">
      <c r="A380" s="1" t="n"/>
      <c r="B380" s="26" t="n"/>
      <c r="C380" s="25" t="n"/>
      <c r="D380" s="29" t="n"/>
      <c r="E380" s="25" t="n"/>
      <c r="F380" s="1">
        <f>IF(B380="","",B380-WEEKDAY(B380,3))</f>
        <v/>
      </c>
    </row>
    <row r="381">
      <c r="A381" s="1" t="n"/>
      <c r="B381" s="26" t="n"/>
      <c r="C381" s="25" t="n"/>
      <c r="D381" s="29" t="n"/>
      <c r="E381" s="25" t="n"/>
      <c r="F381" s="1">
        <f>IF(B381="","",B381-WEEKDAY(B381,3))</f>
        <v/>
      </c>
    </row>
    <row r="382">
      <c r="A382" s="1" t="n"/>
      <c r="B382" s="26" t="n"/>
      <c r="C382" s="25" t="n"/>
      <c r="D382" s="29" t="n"/>
      <c r="E382" s="25" t="n"/>
      <c r="F382" s="1">
        <f>IF(B382="","",B382-WEEKDAY(B382,3))</f>
        <v/>
      </c>
    </row>
    <row r="383">
      <c r="A383" s="1" t="n"/>
      <c r="B383" s="26" t="n"/>
      <c r="C383" s="25" t="n"/>
      <c r="D383" s="29" t="n"/>
      <c r="E383" s="25" t="n"/>
      <c r="F383" s="1">
        <f>IF(B383="","",B383-WEEKDAY(B383,3))</f>
        <v/>
      </c>
    </row>
    <row r="384">
      <c r="A384" s="1" t="n"/>
      <c r="B384" s="26" t="n"/>
      <c r="C384" s="25" t="n"/>
      <c r="D384" s="29" t="n"/>
      <c r="E384" s="25" t="n"/>
      <c r="F384" s="1">
        <f>IF(B384="","",B384-WEEKDAY(B384,3))</f>
        <v/>
      </c>
    </row>
    <row r="385">
      <c r="A385" s="1" t="n"/>
      <c r="B385" s="26" t="n"/>
      <c r="C385" s="25" t="n"/>
      <c r="D385" s="29" t="n"/>
      <c r="E385" s="25" t="n"/>
      <c r="F385" s="1">
        <f>IF(B385="","",B385-WEEKDAY(B385,3))</f>
        <v/>
      </c>
    </row>
    <row r="386">
      <c r="A386" s="1" t="n"/>
      <c r="B386" s="26" t="n"/>
      <c r="C386" s="25" t="n"/>
      <c r="D386" s="29" t="n"/>
      <c r="E386" s="25" t="n"/>
      <c r="F386" s="1">
        <f>IF(B386="","",B386-WEEKDAY(B386,3))</f>
        <v/>
      </c>
    </row>
    <row r="387">
      <c r="A387" s="1" t="n"/>
      <c r="B387" s="26" t="n"/>
      <c r="C387" s="25" t="n"/>
      <c r="D387" s="29" t="n"/>
      <c r="E387" s="25" t="n"/>
      <c r="F387" s="1">
        <f>IF(B387="","",B387-WEEKDAY(B387,3))</f>
        <v/>
      </c>
    </row>
    <row r="388">
      <c r="A388" s="1" t="n"/>
      <c r="B388" s="26" t="n"/>
      <c r="C388" s="25" t="n"/>
      <c r="D388" s="29" t="n"/>
      <c r="E388" s="25" t="n"/>
      <c r="F388" s="1">
        <f>IF(B388="","",B388-WEEKDAY(B388,3))</f>
        <v/>
      </c>
    </row>
    <row r="389">
      <c r="A389" s="1" t="n"/>
      <c r="B389" s="26" t="n"/>
      <c r="C389" s="25" t="n"/>
      <c r="D389" s="29" t="n"/>
      <c r="E389" s="25" t="n"/>
      <c r="F389" s="1">
        <f>IF(B389="","",B389-WEEKDAY(B389,3))</f>
        <v/>
      </c>
    </row>
    <row r="390">
      <c r="A390" s="1" t="n"/>
      <c r="B390" s="26" t="n"/>
      <c r="C390" s="25" t="n"/>
      <c r="D390" s="29" t="n"/>
      <c r="E390" s="25" t="n"/>
      <c r="F390" s="1">
        <f>IF(B390="","",B390-WEEKDAY(B390,3))</f>
        <v/>
      </c>
    </row>
    <row r="391">
      <c r="A391" s="1" t="n"/>
      <c r="B391" s="26" t="n"/>
      <c r="C391" s="25" t="n"/>
      <c r="D391" s="29" t="n"/>
      <c r="E391" s="25" t="n"/>
      <c r="F391" s="1">
        <f>IF(B391="","",B391-WEEKDAY(B391,3))</f>
        <v/>
      </c>
    </row>
    <row r="392">
      <c r="A392" s="1" t="n"/>
      <c r="B392" s="26" t="n"/>
      <c r="C392" s="25" t="n"/>
      <c r="D392" s="29" t="n"/>
      <c r="E392" s="25" t="n"/>
      <c r="F392" s="1">
        <f>IF(B392="","",B392-WEEKDAY(B392,3))</f>
        <v/>
      </c>
    </row>
    <row r="393">
      <c r="A393" s="1" t="n"/>
      <c r="B393" s="26" t="n"/>
      <c r="C393" s="25" t="n"/>
      <c r="D393" s="29" t="n"/>
      <c r="E393" s="25" t="n"/>
      <c r="F393" s="1">
        <f>IF(B393="","",B393-WEEKDAY(B393,3))</f>
        <v/>
      </c>
    </row>
    <row r="394">
      <c r="A394" s="1" t="n"/>
      <c r="B394" s="26" t="n"/>
      <c r="C394" s="25" t="n"/>
      <c r="D394" s="29" t="n"/>
      <c r="E394" s="25" t="n"/>
      <c r="F394" s="1">
        <f>IF(B394="","",B394-WEEKDAY(B394,3))</f>
        <v/>
      </c>
    </row>
    <row r="395">
      <c r="A395" s="1" t="n"/>
      <c r="B395" s="26" t="n"/>
      <c r="C395" s="25" t="n"/>
      <c r="D395" s="29" t="n"/>
      <c r="E395" s="25" t="n"/>
      <c r="F395" s="1">
        <f>IF(B395="","",B395-WEEKDAY(B395,3))</f>
        <v/>
      </c>
    </row>
    <row r="396">
      <c r="A396" s="1" t="n"/>
      <c r="B396" s="26" t="n"/>
      <c r="C396" s="25" t="n"/>
      <c r="D396" s="29" t="n"/>
      <c r="E396" s="25" t="n"/>
      <c r="F396" s="1">
        <f>IF(B396="","",B396-WEEKDAY(B396,3))</f>
        <v/>
      </c>
    </row>
    <row r="397">
      <c r="A397" s="1" t="n"/>
      <c r="B397" s="26" t="n"/>
      <c r="C397" s="25" t="n"/>
      <c r="D397" s="29" t="n"/>
      <c r="E397" s="25" t="n"/>
      <c r="F397" s="1">
        <f>IF(B397="","",B397-WEEKDAY(B397,3))</f>
        <v/>
      </c>
    </row>
    <row r="398">
      <c r="A398" s="1" t="n"/>
      <c r="B398" s="26" t="n"/>
      <c r="C398" s="25" t="n"/>
      <c r="D398" s="29" t="n"/>
      <c r="E398" s="25" t="n"/>
      <c r="F398" s="1">
        <f>IF(B398="","",B398-WEEKDAY(B398,3))</f>
        <v/>
      </c>
    </row>
    <row r="399">
      <c r="A399" s="1" t="n"/>
      <c r="B399" s="26" t="n"/>
      <c r="C399" s="25" t="n"/>
      <c r="D399" s="29" t="n"/>
      <c r="E399" s="25" t="n"/>
      <c r="F399" s="1">
        <f>IF(B399="","",B399-WEEKDAY(B399,3))</f>
        <v/>
      </c>
    </row>
    <row r="400">
      <c r="A400" s="1" t="n"/>
      <c r="B400" s="26" t="n"/>
      <c r="C400" s="25" t="n"/>
      <c r="D400" s="29" t="n"/>
      <c r="E400" s="25" t="n"/>
      <c r="F400" s="1">
        <f>IF(B400="","",B400-WEEKDAY(B400,3))</f>
        <v/>
      </c>
    </row>
    <row r="401">
      <c r="A401" s="1" t="n"/>
      <c r="B401" s="26" t="n"/>
      <c r="C401" s="25" t="n"/>
      <c r="D401" s="29" t="n"/>
      <c r="E401" s="25" t="n"/>
      <c r="F401" s="1">
        <f>IF(B401="","",B401-WEEKDAY(B401,3))</f>
        <v/>
      </c>
    </row>
    <row r="402">
      <c r="A402" s="1" t="n"/>
      <c r="B402" s="26" t="n"/>
      <c r="C402" s="25" t="n"/>
      <c r="D402" s="29" t="n"/>
      <c r="E402" s="25" t="n"/>
      <c r="F402" s="1">
        <f>IF(B402="","",B402-WEEKDAY(B402,3))</f>
        <v/>
      </c>
    </row>
    <row r="403">
      <c r="A403" s="1" t="n"/>
      <c r="B403" s="26" t="n"/>
      <c r="C403" s="25" t="n"/>
      <c r="D403" s="29" t="n"/>
      <c r="E403" s="25" t="n"/>
      <c r="F403" s="1">
        <f>IF(B403="","",B403-WEEKDAY(B403,3))</f>
        <v/>
      </c>
    </row>
    <row r="404">
      <c r="A404" s="1" t="n"/>
      <c r="B404" s="26" t="n"/>
      <c r="C404" s="25" t="n"/>
      <c r="D404" s="29" t="n"/>
      <c r="E404" s="25" t="n"/>
      <c r="F404" s="1">
        <f>IF(B404="","",B404-WEEKDAY(B404,3))</f>
        <v/>
      </c>
    </row>
    <row r="405">
      <c r="A405" s="1" t="n"/>
      <c r="B405" s="26" t="n"/>
      <c r="C405" s="25" t="n"/>
      <c r="D405" s="29" t="n"/>
      <c r="E405" s="25" t="n"/>
      <c r="F405" s="1">
        <f>IF(B405="","",B405-WEEKDAY(B405,3))</f>
        <v/>
      </c>
    </row>
    <row r="406">
      <c r="A406" s="1" t="n"/>
      <c r="B406" s="26" t="n"/>
      <c r="C406" s="25" t="n"/>
      <c r="D406" s="29" t="n"/>
      <c r="E406" s="25" t="n"/>
      <c r="F406" s="1">
        <f>IF(B406="","",B406-WEEKDAY(B406,3))</f>
        <v/>
      </c>
    </row>
    <row r="407">
      <c r="A407" s="1" t="n"/>
      <c r="B407" s="26" t="n"/>
      <c r="C407" s="25" t="n"/>
      <c r="D407" s="29" t="n"/>
      <c r="E407" s="25" t="n"/>
      <c r="F407" s="1">
        <f>IF(B407="","",B407-WEEKDAY(B407,3))</f>
        <v/>
      </c>
    </row>
    <row r="408">
      <c r="A408" s="1" t="n"/>
      <c r="B408" s="26" t="n"/>
      <c r="C408" s="25" t="n"/>
      <c r="D408" s="29" t="n"/>
      <c r="E408" s="25" t="n"/>
      <c r="F408" s="1">
        <f>IF(B408="","",B408-WEEKDAY(B408,3))</f>
        <v/>
      </c>
    </row>
    <row r="409">
      <c r="A409" s="1" t="n"/>
      <c r="B409" s="26" t="n"/>
      <c r="C409" s="25" t="n"/>
      <c r="D409" s="29" t="n"/>
      <c r="E409" s="25" t="n"/>
      <c r="F409" s="1">
        <f>IF(B409="","",B409-WEEKDAY(B409,3))</f>
        <v/>
      </c>
    </row>
    <row r="410">
      <c r="A410" s="1" t="n"/>
      <c r="B410" s="26" t="n"/>
      <c r="C410" s="25" t="n"/>
      <c r="D410" s="29" t="n"/>
      <c r="E410" s="25" t="n"/>
      <c r="F410" s="1">
        <f>IF(B410="","",B410-WEEKDAY(B410,3))</f>
        <v/>
      </c>
    </row>
    <row r="411">
      <c r="A411" s="1" t="n"/>
      <c r="B411" s="26" t="n"/>
      <c r="C411" s="25" t="n"/>
      <c r="D411" s="29" t="n"/>
      <c r="E411" s="25" t="n"/>
      <c r="F411" s="1">
        <f>IF(B411="","",B411-WEEKDAY(B411,3))</f>
        <v/>
      </c>
    </row>
    <row r="412">
      <c r="A412" s="1" t="n"/>
      <c r="B412" s="26" t="n"/>
      <c r="C412" s="25" t="n"/>
      <c r="D412" s="29" t="n"/>
      <c r="E412" s="25" t="n"/>
      <c r="F412" s="1">
        <f>IF(B412="","",B412-WEEKDAY(B412,3))</f>
        <v/>
      </c>
    </row>
    <row r="413">
      <c r="A413" s="1" t="n"/>
      <c r="B413" s="26" t="n"/>
      <c r="C413" s="25" t="n"/>
      <c r="D413" s="29" t="n"/>
      <c r="E413" s="25" t="n"/>
      <c r="F413" s="1">
        <f>IF(B413="","",B413-WEEKDAY(B413,3))</f>
        <v/>
      </c>
    </row>
    <row r="414">
      <c r="A414" s="1" t="n"/>
      <c r="B414" s="26" t="n"/>
      <c r="C414" s="25" t="n"/>
      <c r="D414" s="29" t="n"/>
      <c r="E414" s="25" t="n"/>
      <c r="F414" s="1">
        <f>IF(B414="","",B414-WEEKDAY(B414,3))</f>
        <v/>
      </c>
    </row>
    <row r="415">
      <c r="A415" s="1" t="n"/>
      <c r="B415" s="26" t="n"/>
      <c r="C415" s="25" t="n"/>
      <c r="D415" s="29" t="n"/>
      <c r="E415" s="25" t="n"/>
      <c r="F415" s="1">
        <f>IF(B415="","",B415-WEEKDAY(B415,3))</f>
        <v/>
      </c>
    </row>
    <row r="416">
      <c r="A416" s="1" t="n"/>
      <c r="B416" s="26" t="n"/>
      <c r="C416" s="25" t="n"/>
      <c r="D416" s="29" t="n"/>
      <c r="E416" s="25" t="n"/>
      <c r="F416" s="1">
        <f>IF(B416="","",B416-WEEKDAY(B416,3))</f>
        <v/>
      </c>
    </row>
    <row r="417">
      <c r="A417" s="1" t="n"/>
      <c r="B417" s="26" t="n"/>
      <c r="C417" s="25" t="n"/>
      <c r="D417" s="29" t="n"/>
      <c r="E417" s="25" t="n"/>
      <c r="F417" s="1">
        <f>IF(B417="","",B417-WEEKDAY(B417,3))</f>
        <v/>
      </c>
    </row>
    <row r="418">
      <c r="A418" s="1" t="n"/>
      <c r="B418" s="26" t="n"/>
      <c r="C418" s="25" t="n"/>
      <c r="D418" s="29" t="n"/>
      <c r="E418" s="25" t="n"/>
      <c r="F418" s="1">
        <f>IF(B418="","",B418-WEEKDAY(B418,3))</f>
        <v/>
      </c>
    </row>
    <row r="419">
      <c r="A419" s="1" t="n"/>
      <c r="B419" s="26" t="n"/>
      <c r="C419" s="25" t="n"/>
      <c r="D419" s="29" t="n"/>
      <c r="E419" s="25" t="n"/>
      <c r="F419" s="1">
        <f>IF(B419="","",B419-WEEKDAY(B419,3))</f>
        <v/>
      </c>
    </row>
    <row r="420">
      <c r="A420" s="1" t="n"/>
      <c r="B420" s="26" t="n"/>
      <c r="C420" s="25" t="n"/>
      <c r="D420" s="29" t="n"/>
      <c r="E420" s="25" t="n"/>
      <c r="F420" s="1">
        <f>IF(B420="","",B420-WEEKDAY(B420,3))</f>
        <v/>
      </c>
    </row>
    <row r="421">
      <c r="A421" s="1" t="n"/>
      <c r="B421" s="26" t="n"/>
      <c r="C421" s="25" t="n"/>
      <c r="D421" s="29" t="n"/>
      <c r="E421" s="25" t="n"/>
      <c r="F421" s="1">
        <f>IF(B421="","",B421-WEEKDAY(B421,3))</f>
        <v/>
      </c>
    </row>
    <row r="422">
      <c r="A422" s="1" t="n"/>
      <c r="B422" s="26" t="n"/>
      <c r="C422" s="25" t="n"/>
      <c r="D422" s="29" t="n"/>
      <c r="E422" s="25" t="n"/>
      <c r="F422" s="1">
        <f>IF(B422="","",B422-WEEKDAY(B422,3))</f>
        <v/>
      </c>
    </row>
    <row r="423">
      <c r="A423" s="1" t="n"/>
      <c r="B423" s="26" t="n"/>
      <c r="C423" s="25" t="n"/>
      <c r="D423" s="29" t="n"/>
      <c r="E423" s="25" t="n"/>
      <c r="F423" s="1">
        <f>IF(B423="","",B423-WEEKDAY(B423,3))</f>
        <v/>
      </c>
    </row>
    <row r="424">
      <c r="A424" s="1" t="n"/>
      <c r="B424" s="26" t="n"/>
      <c r="C424" s="25" t="n"/>
      <c r="D424" s="29" t="n"/>
      <c r="E424" s="25" t="n"/>
      <c r="F424" s="1">
        <f>IF(B424="","",B424-WEEKDAY(B424,3))</f>
        <v/>
      </c>
    </row>
    <row r="425">
      <c r="A425" s="1" t="n"/>
      <c r="B425" s="26" t="n"/>
      <c r="C425" s="25" t="n"/>
      <c r="D425" s="29" t="n"/>
      <c r="E425" s="25" t="n"/>
      <c r="F425" s="1">
        <f>IF(B425="","",B425-WEEKDAY(B425,3))</f>
        <v/>
      </c>
    </row>
    <row r="426">
      <c r="A426" s="1" t="n"/>
      <c r="B426" s="26" t="n"/>
      <c r="C426" s="25" t="n"/>
      <c r="D426" s="29" t="n"/>
      <c r="E426" s="25" t="n"/>
      <c r="F426" s="1">
        <f>IF(B426="","",B426-WEEKDAY(B426,3))</f>
        <v/>
      </c>
    </row>
    <row r="427">
      <c r="A427" s="1" t="n"/>
      <c r="B427" s="26" t="n"/>
      <c r="C427" s="25" t="n"/>
      <c r="D427" s="29" t="n"/>
      <c r="E427" s="25" t="n"/>
      <c r="F427" s="1">
        <f>IF(B427="","",B427-WEEKDAY(B427,3))</f>
        <v/>
      </c>
    </row>
    <row r="428">
      <c r="A428" s="1" t="n"/>
      <c r="B428" s="26" t="n"/>
      <c r="C428" s="25" t="n"/>
      <c r="D428" s="29" t="n"/>
      <c r="E428" s="25" t="n"/>
      <c r="F428" s="1">
        <f>IF(B428="","",B428-WEEKDAY(B428,3))</f>
        <v/>
      </c>
    </row>
    <row r="429">
      <c r="A429" s="1" t="n"/>
      <c r="B429" s="26" t="n"/>
      <c r="C429" s="25" t="n"/>
      <c r="D429" s="29" t="n"/>
      <c r="E429" s="25" t="n"/>
      <c r="F429" s="1">
        <f>IF(B429="","",B429-WEEKDAY(B429,3))</f>
        <v/>
      </c>
    </row>
    <row r="430">
      <c r="A430" s="1" t="n"/>
      <c r="B430" s="26" t="n"/>
      <c r="C430" s="25" t="n"/>
      <c r="D430" s="29" t="n"/>
      <c r="E430" s="25" t="n"/>
      <c r="F430" s="1">
        <f>IF(B430="","",B430-WEEKDAY(B430,3))</f>
        <v/>
      </c>
    </row>
    <row r="431">
      <c r="A431" s="1" t="n"/>
      <c r="B431" s="26" t="n"/>
      <c r="C431" s="25" t="n"/>
      <c r="D431" s="29" t="n"/>
      <c r="E431" s="25" t="n"/>
      <c r="F431" s="1">
        <f>IF(B431="","",B431-WEEKDAY(B431,3))</f>
        <v/>
      </c>
    </row>
    <row r="432">
      <c r="A432" s="1" t="n"/>
      <c r="B432" s="26" t="n"/>
      <c r="C432" s="25" t="n"/>
      <c r="D432" s="29" t="n"/>
      <c r="E432" s="25" t="n"/>
      <c r="F432" s="1">
        <f>IF(B432="","",B432-WEEKDAY(B432,3))</f>
        <v/>
      </c>
    </row>
    <row r="433">
      <c r="A433" s="1" t="n"/>
      <c r="B433" s="26" t="n"/>
      <c r="C433" s="25" t="n"/>
      <c r="D433" s="29" t="n"/>
      <c r="E433" s="25" t="n"/>
      <c r="F433" s="1">
        <f>IF(B433="","",B433-WEEKDAY(B433,3))</f>
        <v/>
      </c>
    </row>
    <row r="434">
      <c r="A434" s="1" t="n"/>
      <c r="B434" s="26" t="n"/>
      <c r="C434" s="25" t="n"/>
      <c r="D434" s="29" t="n"/>
      <c r="E434" s="25" t="n"/>
      <c r="F434" s="1">
        <f>IF(B434="","",B434-WEEKDAY(B434,3))</f>
        <v/>
      </c>
    </row>
    <row r="435">
      <c r="A435" s="1" t="n"/>
      <c r="B435" s="26" t="n"/>
      <c r="C435" s="25" t="n"/>
      <c r="D435" s="29" t="n"/>
      <c r="E435" s="25" t="n"/>
      <c r="F435" s="1">
        <f>IF(B435="","",B435-WEEKDAY(B435,3))</f>
        <v/>
      </c>
    </row>
    <row r="436">
      <c r="A436" s="1" t="n"/>
      <c r="B436" s="26" t="n"/>
      <c r="C436" s="25" t="n"/>
      <c r="D436" s="29" t="n"/>
      <c r="E436" s="25" t="n"/>
      <c r="F436" s="1">
        <f>IF(B436="","",B436-WEEKDAY(B436,3))</f>
        <v/>
      </c>
    </row>
    <row r="437">
      <c r="A437" s="1" t="n"/>
      <c r="B437" s="26" t="n"/>
      <c r="C437" s="25" t="n"/>
      <c r="D437" s="29" t="n"/>
      <c r="E437" s="25" t="n"/>
      <c r="F437" s="1">
        <f>IF(B437="","",B437-WEEKDAY(B437,3))</f>
        <v/>
      </c>
    </row>
    <row r="438">
      <c r="A438" s="1" t="n"/>
      <c r="B438" s="26" t="n"/>
      <c r="C438" s="25" t="n"/>
      <c r="D438" s="29" t="n"/>
      <c r="E438" s="25" t="n"/>
      <c r="F438" s="1">
        <f>IF(B438="","",B438-WEEKDAY(B438,3))</f>
        <v/>
      </c>
    </row>
    <row r="439">
      <c r="A439" s="1" t="n"/>
      <c r="B439" s="26" t="n"/>
      <c r="C439" s="25" t="n"/>
      <c r="D439" s="29" t="n"/>
      <c r="E439" s="25" t="n"/>
      <c r="F439" s="1">
        <f>IF(B439="","",B439-WEEKDAY(B439,3))</f>
        <v/>
      </c>
    </row>
    <row r="440">
      <c r="A440" s="1" t="n"/>
      <c r="B440" s="26" t="n"/>
      <c r="C440" s="25" t="n"/>
      <c r="D440" s="29" t="n"/>
      <c r="E440" s="25" t="n"/>
      <c r="F440" s="1">
        <f>IF(B440="","",B440-WEEKDAY(B440,3))</f>
        <v/>
      </c>
    </row>
    <row r="441">
      <c r="A441" s="1" t="n"/>
      <c r="B441" s="26" t="n"/>
      <c r="C441" s="25" t="n"/>
      <c r="D441" s="29" t="n"/>
      <c r="E441" s="25" t="n"/>
      <c r="F441" s="1">
        <f>IF(B441="","",B441-WEEKDAY(B441,3))</f>
        <v/>
      </c>
    </row>
    <row r="442">
      <c r="A442" s="1" t="n"/>
      <c r="B442" s="26" t="n"/>
      <c r="C442" s="25" t="n"/>
      <c r="D442" s="29" t="n"/>
      <c r="E442" s="25" t="n"/>
      <c r="F442" s="1">
        <f>IF(B442="","",B442-WEEKDAY(B442,3))</f>
        <v/>
      </c>
    </row>
    <row r="443">
      <c r="A443" s="1" t="n"/>
      <c r="B443" s="26" t="n"/>
      <c r="C443" s="25" t="n"/>
      <c r="D443" s="29" t="n"/>
      <c r="E443" s="25" t="n"/>
      <c r="F443" s="1">
        <f>IF(B443="","",B443-WEEKDAY(B443,3))</f>
        <v/>
      </c>
    </row>
    <row r="444">
      <c r="A444" s="1" t="n"/>
      <c r="B444" s="26" t="n"/>
      <c r="C444" s="25" t="n"/>
      <c r="D444" s="29" t="n"/>
      <c r="E444" s="25" t="n"/>
      <c r="F444" s="1">
        <f>IF(B444="","",B444-WEEKDAY(B444,3))</f>
        <v/>
      </c>
    </row>
    <row r="445">
      <c r="A445" s="1" t="n"/>
      <c r="B445" s="26" t="n"/>
      <c r="C445" s="25" t="n"/>
      <c r="D445" s="29" t="n"/>
      <c r="E445" s="25" t="n"/>
      <c r="F445" s="1">
        <f>IF(B445="","",B445-WEEKDAY(B445,3))</f>
        <v/>
      </c>
    </row>
    <row r="446">
      <c r="A446" s="1" t="n"/>
      <c r="B446" s="26" t="n"/>
      <c r="C446" s="25" t="n"/>
      <c r="D446" s="29" t="n"/>
      <c r="E446" s="25" t="n"/>
      <c r="F446" s="1">
        <f>IF(B446="","",B446-WEEKDAY(B446,3))</f>
        <v/>
      </c>
    </row>
    <row r="447">
      <c r="A447" s="1" t="n"/>
      <c r="B447" s="26" t="n"/>
      <c r="C447" s="25" t="n"/>
      <c r="D447" s="29" t="n"/>
      <c r="E447" s="25" t="n"/>
      <c r="F447" s="1">
        <f>IF(B447="","",B447-WEEKDAY(B447,3))</f>
        <v/>
      </c>
    </row>
    <row r="448">
      <c r="A448" s="1" t="n"/>
      <c r="B448" s="26" t="n"/>
      <c r="C448" s="25" t="n"/>
      <c r="D448" s="29" t="n"/>
      <c r="E448" s="25" t="n"/>
      <c r="F448" s="1">
        <f>IF(B448="","",B448-WEEKDAY(B448,3))</f>
        <v/>
      </c>
    </row>
    <row r="449">
      <c r="A449" s="1" t="n"/>
      <c r="B449" s="26" t="n"/>
      <c r="C449" s="25" t="n"/>
      <c r="D449" s="29" t="n"/>
      <c r="E449" s="25" t="n"/>
      <c r="F449" s="1">
        <f>IF(B449="","",B449-WEEKDAY(B449,3))</f>
        <v/>
      </c>
    </row>
    <row r="450">
      <c r="A450" s="1" t="n"/>
      <c r="B450" s="26" t="n"/>
      <c r="C450" s="25" t="n"/>
      <c r="D450" s="29" t="n"/>
      <c r="E450" s="25" t="n"/>
      <c r="F450" s="1">
        <f>IF(B450="","",B450-WEEKDAY(B450,3))</f>
        <v/>
      </c>
    </row>
    <row r="451">
      <c r="A451" s="1" t="n"/>
      <c r="B451" s="26" t="n"/>
      <c r="C451" s="25" t="n"/>
      <c r="D451" s="29" t="n"/>
      <c r="E451" s="25" t="n"/>
      <c r="F451" s="1">
        <f>IF(B451="","",B451-WEEKDAY(B451,3))</f>
        <v/>
      </c>
    </row>
    <row r="452">
      <c r="A452" s="1" t="n"/>
      <c r="B452" s="26" t="n"/>
      <c r="C452" s="25" t="n"/>
      <c r="D452" s="29" t="n"/>
      <c r="E452" s="25" t="n"/>
      <c r="F452" s="1">
        <f>IF(B452="","",B452-WEEKDAY(B452,3))</f>
        <v/>
      </c>
    </row>
    <row r="453">
      <c r="A453" s="1" t="n"/>
      <c r="B453" s="26" t="n"/>
      <c r="C453" s="25" t="n"/>
      <c r="D453" s="29" t="n"/>
      <c r="E453" s="25" t="n"/>
      <c r="F453" s="1">
        <f>IF(B453="","",B453-WEEKDAY(B453,3))</f>
        <v/>
      </c>
    </row>
    <row r="454">
      <c r="A454" s="1" t="n"/>
      <c r="B454" s="26" t="n"/>
      <c r="C454" s="25" t="n"/>
      <c r="D454" s="29" t="n"/>
      <c r="E454" s="25" t="n"/>
      <c r="F454" s="1">
        <f>IF(B454="","",B454-WEEKDAY(B454,3))</f>
        <v/>
      </c>
    </row>
    <row r="455">
      <c r="A455" s="1" t="n"/>
      <c r="B455" s="26" t="n"/>
      <c r="C455" s="25" t="n"/>
      <c r="D455" s="29" t="n"/>
      <c r="E455" s="25" t="n"/>
      <c r="F455" s="1">
        <f>IF(B455="","",B455-WEEKDAY(B455,3))</f>
        <v/>
      </c>
    </row>
    <row r="456">
      <c r="A456" s="1" t="n"/>
      <c r="B456" s="26" t="n"/>
      <c r="C456" s="25" t="n"/>
      <c r="D456" s="29" t="n"/>
      <c r="E456" s="25" t="n"/>
      <c r="F456" s="1">
        <f>IF(B456="","",B456-WEEKDAY(B456,3))</f>
        <v/>
      </c>
    </row>
    <row r="457">
      <c r="A457" s="1" t="n"/>
      <c r="B457" s="26" t="n"/>
      <c r="C457" s="25" t="n"/>
      <c r="D457" s="29" t="n"/>
      <c r="E457" s="25" t="n"/>
      <c r="F457" s="1">
        <f>IF(B457="","",B457-WEEKDAY(B457,3))</f>
        <v/>
      </c>
    </row>
    <row r="458">
      <c r="A458" s="1" t="n"/>
      <c r="B458" s="26" t="n"/>
      <c r="C458" s="25" t="n"/>
      <c r="D458" s="29" t="n"/>
      <c r="E458" s="25" t="n"/>
      <c r="F458" s="1">
        <f>IF(B458="","",B458-WEEKDAY(B458,3))</f>
        <v/>
      </c>
    </row>
    <row r="459">
      <c r="A459" s="1" t="n"/>
      <c r="B459" s="26" t="n"/>
      <c r="C459" s="25" t="n"/>
      <c r="D459" s="29" t="n"/>
      <c r="E459" s="25" t="n"/>
      <c r="F459" s="1">
        <f>IF(B459="","",B459-WEEKDAY(B459,3))</f>
        <v/>
      </c>
    </row>
    <row r="460">
      <c r="A460" s="1" t="n"/>
      <c r="B460" s="26" t="n"/>
      <c r="C460" s="25" t="n"/>
      <c r="D460" s="29" t="n"/>
      <c r="E460" s="25" t="n"/>
      <c r="F460" s="1">
        <f>IF(B460="","",B460-WEEKDAY(B460,3))</f>
        <v/>
      </c>
    </row>
    <row r="461">
      <c r="A461" s="1" t="n"/>
      <c r="B461" s="26" t="n"/>
      <c r="C461" s="25" t="n"/>
      <c r="D461" s="29" t="n"/>
      <c r="E461" s="25" t="n"/>
      <c r="F461" s="1">
        <f>IF(B461="","",B461-WEEKDAY(B461,3))</f>
        <v/>
      </c>
    </row>
    <row r="462">
      <c r="A462" s="1" t="n"/>
      <c r="B462" s="26" t="n"/>
      <c r="C462" s="25" t="n"/>
      <c r="D462" s="29" t="n"/>
      <c r="E462" s="25" t="n"/>
      <c r="F462" s="1">
        <f>IF(B462="","",B462-WEEKDAY(B462,3))</f>
        <v/>
      </c>
    </row>
    <row r="463">
      <c r="A463" s="1" t="n"/>
      <c r="B463" s="26" t="n"/>
      <c r="C463" s="25" t="n"/>
      <c r="D463" s="29" t="n"/>
      <c r="E463" s="25" t="n"/>
      <c r="F463" s="1">
        <f>IF(B463="","",B463-WEEKDAY(B463,3))</f>
        <v/>
      </c>
    </row>
    <row r="464">
      <c r="A464" s="1" t="n"/>
      <c r="B464" s="26" t="n"/>
      <c r="C464" s="25" t="n"/>
      <c r="D464" s="29" t="n"/>
      <c r="E464" s="25" t="n"/>
      <c r="F464" s="1">
        <f>IF(B464="","",B464-WEEKDAY(B464,3))</f>
        <v/>
      </c>
    </row>
    <row r="465">
      <c r="A465" s="1" t="n"/>
      <c r="B465" s="26" t="n"/>
      <c r="C465" s="25" t="n"/>
      <c r="D465" s="29" t="n"/>
      <c r="E465" s="25" t="n"/>
      <c r="F465" s="1">
        <f>IF(B465="","",B465-WEEKDAY(B465,3))</f>
        <v/>
      </c>
    </row>
    <row r="466">
      <c r="A466" s="1" t="n"/>
      <c r="B466" s="26" t="n"/>
      <c r="C466" s="25" t="n"/>
      <c r="D466" s="29" t="n"/>
      <c r="E466" s="25" t="n"/>
      <c r="F466" s="1">
        <f>IF(B466="","",B466-WEEKDAY(B466,3))</f>
        <v/>
      </c>
    </row>
    <row r="467">
      <c r="A467" s="1" t="n"/>
      <c r="B467" s="26" t="n"/>
      <c r="C467" s="25" t="n"/>
      <c r="D467" s="29" t="n"/>
      <c r="E467" s="25" t="n"/>
      <c r="F467" s="1">
        <f>IF(B467="","",B467-WEEKDAY(B467,3))</f>
        <v/>
      </c>
    </row>
    <row r="468">
      <c r="A468" s="1" t="n"/>
      <c r="B468" s="26" t="n"/>
      <c r="C468" s="25" t="n"/>
      <c r="D468" s="29" t="n"/>
      <c r="E468" s="25" t="n"/>
      <c r="F468" s="1">
        <f>IF(B468="","",B468-WEEKDAY(B468,3))</f>
        <v/>
      </c>
    </row>
    <row r="469">
      <c r="A469" s="1" t="n"/>
      <c r="B469" s="26" t="n"/>
      <c r="C469" s="25" t="n"/>
      <c r="D469" s="29" t="n"/>
      <c r="E469" s="25" t="n"/>
      <c r="F469" s="1">
        <f>IF(B469="","",B469-WEEKDAY(B469,3))</f>
        <v/>
      </c>
    </row>
    <row r="470">
      <c r="A470" s="1" t="n"/>
      <c r="B470" s="26" t="n"/>
      <c r="C470" s="25" t="n"/>
      <c r="D470" s="29" t="n"/>
      <c r="E470" s="25" t="n"/>
      <c r="F470" s="1">
        <f>IF(B470="","",B470-WEEKDAY(B470,3))</f>
        <v/>
      </c>
    </row>
    <row r="471">
      <c r="A471" s="1" t="n"/>
      <c r="B471" s="26" t="n"/>
      <c r="C471" s="25" t="n"/>
      <c r="D471" s="29" t="n"/>
      <c r="E471" s="25" t="n"/>
      <c r="F471" s="1">
        <f>IF(B471="","",B471-WEEKDAY(B471,3))</f>
        <v/>
      </c>
    </row>
    <row r="472">
      <c r="A472" s="1" t="n"/>
      <c r="B472" s="26" t="n"/>
      <c r="C472" s="25" t="n"/>
      <c r="D472" s="29" t="n"/>
      <c r="E472" s="25" t="n"/>
      <c r="F472" s="1">
        <f>IF(B472="","",B472-WEEKDAY(B472,3))</f>
        <v/>
      </c>
    </row>
    <row r="473">
      <c r="A473" s="1" t="n"/>
      <c r="B473" s="26" t="n"/>
      <c r="C473" s="25" t="n"/>
      <c r="D473" s="29" t="n"/>
      <c r="E473" s="25" t="n"/>
      <c r="F473" s="1">
        <f>IF(B473="","",B473-WEEKDAY(B473,3))</f>
        <v/>
      </c>
    </row>
    <row r="474">
      <c r="A474" s="1" t="n"/>
      <c r="B474" s="26" t="n"/>
      <c r="C474" s="25" t="n"/>
      <c r="D474" s="29" t="n"/>
      <c r="E474" s="25" t="n"/>
      <c r="F474" s="1">
        <f>IF(B474="","",B474-WEEKDAY(B474,3))</f>
        <v/>
      </c>
    </row>
    <row r="475">
      <c r="A475" s="1" t="n"/>
      <c r="B475" s="26" t="n"/>
      <c r="C475" s="25" t="n"/>
      <c r="D475" s="29" t="n"/>
      <c r="E475" s="25" t="n"/>
      <c r="F475" s="1">
        <f>IF(B475="","",B475-WEEKDAY(B475,3))</f>
        <v/>
      </c>
    </row>
    <row r="476">
      <c r="A476" s="1" t="n"/>
      <c r="B476" s="26" t="n"/>
      <c r="C476" s="25" t="n"/>
      <c r="D476" s="29" t="n"/>
      <c r="E476" s="25" t="n"/>
      <c r="F476" s="1">
        <f>IF(B476="","",B476-WEEKDAY(B476,3))</f>
        <v/>
      </c>
    </row>
    <row r="477">
      <c r="A477" s="1" t="n"/>
      <c r="B477" s="26" t="n"/>
      <c r="C477" s="25" t="n"/>
      <c r="D477" s="29" t="n"/>
      <c r="E477" s="25" t="n"/>
      <c r="F477" s="1">
        <f>IF(B477="","",B477-WEEKDAY(B477,3))</f>
        <v/>
      </c>
    </row>
    <row r="478">
      <c r="A478" s="1" t="n"/>
      <c r="B478" s="26" t="n"/>
      <c r="C478" s="25" t="n"/>
      <c r="D478" s="29" t="n"/>
      <c r="E478" s="25" t="n"/>
      <c r="F478" s="1">
        <f>IF(B478="","",B478-WEEKDAY(B478,3))</f>
        <v/>
      </c>
    </row>
    <row r="479">
      <c r="A479" s="1" t="n"/>
      <c r="B479" s="26" t="n"/>
      <c r="C479" s="25" t="n"/>
      <c r="D479" s="29" t="n"/>
      <c r="E479" s="25" t="n"/>
      <c r="F479" s="1">
        <f>IF(B479="","",B479-WEEKDAY(B479,3))</f>
        <v/>
      </c>
    </row>
    <row r="480">
      <c r="A480" s="1" t="n"/>
      <c r="B480" s="26" t="n"/>
      <c r="C480" s="25" t="n"/>
      <c r="D480" s="29" t="n"/>
      <c r="E480" s="25" t="n"/>
      <c r="F480" s="1">
        <f>IF(B480="","",B480-WEEKDAY(B480,3))</f>
        <v/>
      </c>
    </row>
    <row r="481">
      <c r="A481" s="1" t="n"/>
      <c r="B481" s="26" t="n"/>
      <c r="C481" s="25" t="n"/>
      <c r="D481" s="29" t="n"/>
      <c r="E481" s="25" t="n"/>
      <c r="F481" s="1">
        <f>IF(B481="","",B481-WEEKDAY(B481,3))</f>
        <v/>
      </c>
    </row>
    <row r="482">
      <c r="A482" s="1" t="n"/>
      <c r="B482" s="26" t="n"/>
      <c r="C482" s="25" t="n"/>
      <c r="D482" s="29" t="n"/>
      <c r="E482" s="25" t="n"/>
      <c r="F482" s="1">
        <f>IF(B482="","",B482-WEEKDAY(B482,3))</f>
        <v/>
      </c>
    </row>
    <row r="483">
      <c r="A483" s="1" t="n"/>
      <c r="B483" s="26" t="n"/>
      <c r="C483" s="25" t="n"/>
      <c r="D483" s="29" t="n"/>
      <c r="E483" s="25" t="n"/>
      <c r="F483" s="1">
        <f>IF(B483="","",B483-WEEKDAY(B483,3))</f>
        <v/>
      </c>
    </row>
    <row r="484">
      <c r="A484" s="1" t="n"/>
      <c r="B484" s="26" t="n"/>
      <c r="C484" s="25" t="n"/>
      <c r="D484" s="29" t="n"/>
      <c r="E484" s="25" t="n"/>
      <c r="F484" s="1">
        <f>IF(B484="","",B484-WEEKDAY(B484,3))</f>
        <v/>
      </c>
    </row>
    <row r="485">
      <c r="A485" s="1" t="n"/>
      <c r="B485" s="26" t="n"/>
      <c r="C485" s="25" t="n"/>
      <c r="D485" s="29" t="n"/>
      <c r="E485" s="25" t="n"/>
      <c r="F485" s="1">
        <f>IF(B485="","",B485-WEEKDAY(B485,3))</f>
        <v/>
      </c>
    </row>
    <row r="486">
      <c r="A486" s="1" t="n"/>
      <c r="B486" s="26" t="n"/>
      <c r="C486" s="25" t="n"/>
      <c r="D486" s="29" t="n"/>
      <c r="E486" s="25" t="n"/>
      <c r="F486" s="1">
        <f>IF(B486="","",B486-WEEKDAY(B486,3))</f>
        <v/>
      </c>
    </row>
    <row r="487">
      <c r="A487" s="1" t="n"/>
      <c r="B487" s="26" t="n"/>
      <c r="C487" s="25" t="n"/>
      <c r="D487" s="29" t="n"/>
      <c r="E487" s="25" t="n"/>
      <c r="F487" s="1">
        <f>IF(B487="","",B487-WEEKDAY(B487,3))</f>
        <v/>
      </c>
    </row>
    <row r="488">
      <c r="A488" s="1" t="n"/>
      <c r="B488" s="26" t="n"/>
      <c r="C488" s="25" t="n"/>
      <c r="D488" s="29" t="n"/>
      <c r="E488" s="25" t="n"/>
      <c r="F488" s="1">
        <f>IF(B488="","",B488-WEEKDAY(B488,3))</f>
        <v/>
      </c>
    </row>
    <row r="489">
      <c r="A489" s="1" t="n"/>
      <c r="B489" s="26" t="n"/>
      <c r="C489" s="25" t="n"/>
      <c r="D489" s="29" t="n"/>
      <c r="E489" s="25" t="n"/>
      <c r="F489" s="1">
        <f>IF(B489="","",B489-WEEKDAY(B489,3))</f>
        <v/>
      </c>
    </row>
    <row r="490">
      <c r="A490" s="1" t="n"/>
      <c r="B490" s="26" t="n"/>
      <c r="C490" s="25" t="n"/>
      <c r="D490" s="29" t="n"/>
      <c r="E490" s="25" t="n"/>
      <c r="F490" s="1">
        <f>IF(B490="","",B490-WEEKDAY(B490,3))</f>
        <v/>
      </c>
    </row>
    <row r="491">
      <c r="A491" s="1" t="n"/>
      <c r="B491" s="26" t="n"/>
      <c r="C491" s="25" t="n"/>
      <c r="D491" s="29" t="n"/>
      <c r="E491" s="25" t="n"/>
      <c r="F491" s="1">
        <f>IF(B491="","",B491-WEEKDAY(B491,3))</f>
        <v/>
      </c>
    </row>
    <row r="492">
      <c r="A492" s="1" t="n"/>
      <c r="B492" s="26" t="n"/>
      <c r="C492" s="25" t="n"/>
      <c r="D492" s="29" t="n"/>
      <c r="E492" s="25" t="n"/>
      <c r="F492" s="1">
        <f>IF(B492="","",B492-WEEKDAY(B492,3))</f>
        <v/>
      </c>
    </row>
    <row r="493">
      <c r="A493" s="1" t="n"/>
      <c r="B493" s="26" t="n"/>
      <c r="C493" s="25" t="n"/>
      <c r="D493" s="29" t="n"/>
      <c r="E493" s="25" t="n"/>
      <c r="F493" s="1">
        <f>IF(B493="","",B493-WEEKDAY(B493,3))</f>
        <v/>
      </c>
    </row>
    <row r="494">
      <c r="A494" s="1" t="n"/>
      <c r="B494" s="26" t="n"/>
      <c r="C494" s="25" t="n"/>
      <c r="D494" s="29" t="n"/>
      <c r="E494" s="25" t="n"/>
      <c r="F494" s="1">
        <f>IF(B494="","",B494-WEEKDAY(B494,3))</f>
        <v/>
      </c>
    </row>
    <row r="495">
      <c r="A495" s="1" t="n"/>
      <c r="B495" s="26" t="n"/>
      <c r="C495" s="25" t="n"/>
      <c r="D495" s="29" t="n"/>
      <c r="E495" s="25" t="n"/>
      <c r="F495" s="1">
        <f>IF(B495="","",B495-WEEKDAY(B495,3))</f>
        <v/>
      </c>
    </row>
    <row r="496">
      <c r="A496" s="1" t="n"/>
      <c r="B496" s="26" t="n"/>
      <c r="C496" s="25" t="n"/>
      <c r="D496" s="29" t="n"/>
      <c r="E496" s="25" t="n"/>
      <c r="F496" s="1">
        <f>IF(B496="","",B496-WEEKDAY(B496,3))</f>
        <v/>
      </c>
    </row>
    <row r="497">
      <c r="A497" s="1" t="n"/>
      <c r="B497" s="26" t="n"/>
      <c r="C497" s="25" t="n"/>
      <c r="D497" s="29" t="n"/>
      <c r="E497" s="25" t="n"/>
      <c r="F497" s="1">
        <f>IF(B497="","",B497-WEEKDAY(B497,3))</f>
        <v/>
      </c>
    </row>
    <row r="498">
      <c r="A498" s="1" t="n"/>
      <c r="B498" s="26" t="n"/>
      <c r="C498" s="25" t="n"/>
      <c r="D498" s="29" t="n"/>
      <c r="E498" s="25" t="n"/>
      <c r="F498" s="1">
        <f>IF(B498="","",B498-WEEKDAY(B498,3))</f>
        <v/>
      </c>
    </row>
    <row r="499">
      <c r="A499" s="1" t="n"/>
      <c r="B499" s="26" t="n"/>
      <c r="C499" s="25" t="n"/>
      <c r="D499" s="29" t="n"/>
      <c r="E499" s="25" t="n"/>
      <c r="F499" s="1">
        <f>IF(B499="","",B499-WEEKDAY(B499,3))</f>
        <v/>
      </c>
    </row>
    <row r="500">
      <c r="A500" s="1" t="n"/>
      <c r="B500" s="26" t="n"/>
      <c r="C500" s="25" t="n"/>
      <c r="D500" s="29" t="n"/>
      <c r="E500" s="25" t="n"/>
      <c r="F500" s="1">
        <f>IF(B500="","",B500-WEEKDAY(B500,3))</f>
        <v/>
      </c>
    </row>
    <row r="501">
      <c r="A501" s="1" t="n"/>
      <c r="B501" s="26" t="n"/>
      <c r="C501" s="25" t="n"/>
      <c r="D501" s="29" t="n"/>
      <c r="E501" s="25" t="n"/>
      <c r="F501" s="1">
        <f>IF(B501="","",B501-WEEKDAY(B501,3))</f>
        <v/>
      </c>
    </row>
    <row r="502">
      <c r="A502" s="1" t="n"/>
      <c r="B502" s="26" t="n"/>
      <c r="C502" s="25" t="n"/>
      <c r="D502" s="29" t="n"/>
      <c r="E502" s="25" t="n"/>
      <c r="F502" s="1">
        <f>IF(B502="","",B502-WEEKDAY(B502,3))</f>
        <v/>
      </c>
    </row>
    <row r="503">
      <c r="A503" s="1" t="n"/>
      <c r="B503" s="26" t="n"/>
      <c r="C503" s="25" t="n"/>
      <c r="D503" s="29" t="n"/>
      <c r="E503" s="25" t="n"/>
      <c r="F503" s="1">
        <f>IF(B503="","",B503-WEEKDAY(B503,3))</f>
        <v/>
      </c>
    </row>
    <row r="504">
      <c r="A504" s="1" t="n"/>
      <c r="B504" s="26" t="n"/>
      <c r="C504" s="25" t="n"/>
      <c r="D504" s="29" t="n"/>
      <c r="E504" s="25" t="n"/>
      <c r="F504" s="1">
        <f>IF(B504="","",B504-WEEKDAY(B504,3))</f>
        <v/>
      </c>
    </row>
    <row r="505">
      <c r="A505" s="1" t="n"/>
      <c r="B505" s="26" t="n"/>
      <c r="C505" s="25" t="n"/>
      <c r="D505" s="29" t="n"/>
      <c r="E505" s="25" t="n"/>
      <c r="F505" s="1">
        <f>IF(B505="","",B505-WEEKDAY(B505,3))</f>
        <v/>
      </c>
    </row>
    <row r="506">
      <c r="A506" s="1" t="n"/>
      <c r="B506" s="26" t="n"/>
      <c r="C506" s="25" t="n"/>
      <c r="D506" s="29" t="n"/>
      <c r="E506" s="25" t="n"/>
      <c r="F506" s="1">
        <f>IF(B506="","",B506-WEEKDAY(B506,3))</f>
        <v/>
      </c>
    </row>
    <row r="507">
      <c r="A507" s="1" t="n"/>
      <c r="B507" s="26" t="n"/>
      <c r="C507" s="25" t="n"/>
      <c r="D507" s="29" t="n"/>
      <c r="E507" s="25" t="n"/>
      <c r="F507" s="1">
        <f>IF(B507="","",B507-WEEKDAY(B507,3))</f>
        <v/>
      </c>
    </row>
    <row r="508">
      <c r="A508" s="1" t="n"/>
      <c r="B508" s="26" t="n"/>
      <c r="C508" s="25" t="n"/>
      <c r="D508" s="29" t="n"/>
      <c r="E508" s="25" t="n"/>
      <c r="F508" s="1">
        <f>IF(B508="","",B508-WEEKDAY(B508,3))</f>
        <v/>
      </c>
    </row>
    <row r="509">
      <c r="A509" s="1" t="n"/>
      <c r="B509" s="26" t="n"/>
      <c r="C509" s="25" t="n"/>
      <c r="D509" s="29" t="n"/>
      <c r="E509" s="25" t="n"/>
      <c r="F509" s="1">
        <f>IF(B509="","",B509-WEEKDAY(B509,3))</f>
        <v/>
      </c>
    </row>
    <row r="510">
      <c r="A510" s="1" t="n"/>
      <c r="B510" s="26" t="n"/>
      <c r="C510" s="25" t="n"/>
      <c r="D510" s="29" t="n"/>
      <c r="E510" s="25" t="n"/>
      <c r="F510" s="1">
        <f>IF(B510="","",B510-WEEKDAY(B510,3))</f>
        <v/>
      </c>
    </row>
    <row r="511">
      <c r="A511" s="1" t="n"/>
      <c r="B511" s="26" t="n"/>
      <c r="C511" s="25" t="n"/>
      <c r="D511" s="29" t="n"/>
      <c r="E511" s="25" t="n"/>
      <c r="F511" s="1">
        <f>IF(B511="","",B511-WEEKDAY(B511,3))</f>
        <v/>
      </c>
    </row>
    <row r="512">
      <c r="A512" s="1" t="n"/>
      <c r="B512" s="26" t="n"/>
      <c r="C512" s="25" t="n"/>
      <c r="D512" s="29" t="n"/>
      <c r="E512" s="25" t="n"/>
      <c r="F512" s="1">
        <f>IF(B512="","",B512-WEEKDAY(B512,3))</f>
        <v/>
      </c>
    </row>
    <row r="513">
      <c r="A513" s="1" t="n"/>
      <c r="B513" s="26" t="n"/>
      <c r="C513" s="25" t="n"/>
      <c r="D513" s="29" t="n"/>
      <c r="E513" s="25" t="n"/>
      <c r="F513" s="1">
        <f>IF(B513="","",B513-WEEKDAY(B513,3))</f>
        <v/>
      </c>
    </row>
    <row r="514">
      <c r="A514" s="1" t="n"/>
      <c r="B514" s="26" t="n"/>
      <c r="C514" s="25" t="n"/>
      <c r="D514" s="29" t="n"/>
      <c r="E514" s="25" t="n"/>
      <c r="F514" s="1">
        <f>IF(B514="","",B514-WEEKDAY(B514,3))</f>
        <v/>
      </c>
    </row>
    <row r="515">
      <c r="A515" s="1" t="n"/>
      <c r="B515" s="26" t="n"/>
      <c r="C515" s="25" t="n"/>
      <c r="D515" s="29" t="n"/>
      <c r="E515" s="25" t="n"/>
      <c r="F515" s="1">
        <f>IF(B515="","",B515-WEEKDAY(B515,3))</f>
        <v/>
      </c>
    </row>
    <row r="516">
      <c r="A516" s="1" t="n"/>
      <c r="B516" s="26" t="n"/>
      <c r="C516" s="25" t="n"/>
      <c r="D516" s="29" t="n"/>
      <c r="E516" s="25" t="n"/>
      <c r="F516" s="1">
        <f>IF(B516="","",B516-WEEKDAY(B516,3))</f>
        <v/>
      </c>
    </row>
    <row r="517">
      <c r="A517" s="1" t="n"/>
      <c r="B517" s="26" t="n"/>
      <c r="C517" s="25" t="n"/>
      <c r="D517" s="29" t="n"/>
      <c r="E517" s="25" t="n"/>
      <c r="F517" s="1">
        <f>IF(B517="","",B517-WEEKDAY(B517,3))</f>
        <v/>
      </c>
    </row>
    <row r="518">
      <c r="A518" s="1" t="n"/>
      <c r="B518" s="26" t="n"/>
      <c r="C518" s="25" t="n"/>
      <c r="D518" s="29" t="n"/>
      <c r="E518" s="25" t="n"/>
      <c r="F518" s="1">
        <f>IF(B518="","",B518-WEEKDAY(B518,3))</f>
        <v/>
      </c>
    </row>
    <row r="519">
      <c r="A519" s="1" t="n"/>
      <c r="B519" s="26" t="n"/>
      <c r="C519" s="25" t="n"/>
      <c r="D519" s="29" t="n"/>
      <c r="E519" s="25" t="n"/>
      <c r="F519" s="1">
        <f>IF(B519="","",B519-WEEKDAY(B519,3))</f>
        <v/>
      </c>
    </row>
    <row r="520">
      <c r="A520" s="1" t="n"/>
      <c r="B520" s="26" t="n"/>
      <c r="C520" s="25" t="n"/>
      <c r="D520" s="29" t="n"/>
      <c r="E520" s="25" t="n"/>
      <c r="F520" s="1">
        <f>IF(B520="","",B520-WEEKDAY(B520,3))</f>
        <v/>
      </c>
    </row>
    <row r="521">
      <c r="A521" s="1" t="n"/>
      <c r="B521" s="26" t="n"/>
      <c r="C521" s="25" t="n"/>
      <c r="D521" s="29" t="n"/>
      <c r="E521" s="25" t="n"/>
      <c r="F521" s="1">
        <f>IF(B521="","",B521-WEEKDAY(B521,3))</f>
        <v/>
      </c>
    </row>
    <row r="522">
      <c r="A522" s="1" t="n"/>
      <c r="B522" s="26" t="n"/>
      <c r="C522" s="25" t="n"/>
      <c r="D522" s="29" t="n"/>
      <c r="E522" s="25" t="n"/>
      <c r="F522" s="1">
        <f>IF(B522="","",B522-WEEKDAY(B522,3))</f>
        <v/>
      </c>
    </row>
    <row r="523">
      <c r="A523" s="1" t="n"/>
      <c r="B523" s="26" t="n"/>
      <c r="C523" s="25" t="n"/>
      <c r="D523" s="29" t="n"/>
      <c r="E523" s="25" t="n"/>
      <c r="F523" s="1">
        <f>IF(B523="","",B523-WEEKDAY(B523,3))</f>
        <v/>
      </c>
    </row>
    <row r="524">
      <c r="A524" s="1" t="n"/>
      <c r="B524" s="26" t="n"/>
      <c r="C524" s="25" t="n"/>
      <c r="D524" s="29" t="n"/>
      <c r="E524" s="25" t="n"/>
      <c r="F524" s="1">
        <f>IF(B524="","",B524-WEEKDAY(B524,3))</f>
        <v/>
      </c>
    </row>
    <row r="525">
      <c r="A525" s="1" t="n"/>
      <c r="B525" s="26" t="n"/>
      <c r="C525" s="25" t="n"/>
      <c r="D525" s="29" t="n"/>
      <c r="E525" s="25" t="n"/>
      <c r="F525" s="1">
        <f>IF(B525="","",B525-WEEKDAY(B525,3))</f>
        <v/>
      </c>
    </row>
    <row r="526">
      <c r="A526" s="1" t="n"/>
      <c r="B526" s="26" t="n"/>
      <c r="C526" s="25" t="n"/>
      <c r="D526" s="29" t="n"/>
      <c r="E526" s="25" t="n"/>
      <c r="F526" s="1">
        <f>IF(B526="","",B526-WEEKDAY(B526,3))</f>
        <v/>
      </c>
    </row>
    <row r="527">
      <c r="A527" s="1" t="n"/>
      <c r="B527" s="26" t="n"/>
      <c r="C527" s="25" t="n"/>
      <c r="D527" s="29" t="n"/>
      <c r="E527" s="25" t="n"/>
      <c r="F527" s="1">
        <f>IF(B527="","",B527-WEEKDAY(B527,3))</f>
        <v/>
      </c>
    </row>
    <row r="528">
      <c r="A528" s="1" t="n"/>
      <c r="B528" s="26" t="n"/>
      <c r="C528" s="25" t="n"/>
      <c r="D528" s="29" t="n"/>
      <c r="E528" s="25" t="n"/>
      <c r="F528" s="1">
        <f>IF(B528="","",B528-WEEKDAY(B528,3))</f>
        <v/>
      </c>
    </row>
    <row r="529">
      <c r="A529" s="1" t="n"/>
      <c r="B529" s="26" t="n"/>
      <c r="C529" s="25" t="n"/>
      <c r="D529" s="29" t="n"/>
      <c r="E529" s="25" t="n"/>
      <c r="F529" s="1">
        <f>IF(B529="","",B529-WEEKDAY(B529,3))</f>
        <v/>
      </c>
    </row>
    <row r="530">
      <c r="A530" s="1" t="n"/>
      <c r="B530" s="26" t="n"/>
      <c r="C530" s="25" t="n"/>
      <c r="D530" s="29" t="n"/>
      <c r="E530" s="25" t="n"/>
      <c r="F530" s="1">
        <f>IF(B530="","",B530-WEEKDAY(B530,3))</f>
        <v/>
      </c>
    </row>
    <row r="531">
      <c r="A531" s="1" t="n"/>
      <c r="B531" s="26" t="n"/>
      <c r="C531" s="25" t="n"/>
      <c r="D531" s="29" t="n"/>
      <c r="E531" s="25" t="n"/>
      <c r="F531" s="1">
        <f>IF(B531="","",B531-WEEKDAY(B531,3))</f>
        <v/>
      </c>
    </row>
    <row r="532">
      <c r="A532" s="1" t="n"/>
      <c r="B532" s="26" t="n"/>
      <c r="C532" s="25" t="n"/>
      <c r="D532" s="29" t="n"/>
      <c r="E532" s="25" t="n"/>
      <c r="F532" s="1">
        <f>IF(B532="","",B532-WEEKDAY(B532,3))</f>
        <v/>
      </c>
    </row>
    <row r="533">
      <c r="A533" s="1" t="n"/>
      <c r="B533" s="26" t="n"/>
      <c r="C533" s="25" t="n"/>
      <c r="D533" s="29" t="n"/>
      <c r="E533" s="25" t="n"/>
      <c r="F533" s="1">
        <f>IF(B533="","",B533-WEEKDAY(B533,3))</f>
        <v/>
      </c>
    </row>
    <row r="534">
      <c r="A534" s="1" t="n"/>
      <c r="B534" s="26" t="n"/>
      <c r="C534" s="25" t="n"/>
      <c r="D534" s="29" t="n"/>
      <c r="E534" s="25" t="n"/>
      <c r="F534" s="1">
        <f>IF(B534="","",B534-WEEKDAY(B534,3))</f>
        <v/>
      </c>
    </row>
    <row r="535">
      <c r="A535" s="1" t="n"/>
      <c r="B535" s="26" t="n"/>
      <c r="C535" s="25" t="n"/>
      <c r="D535" s="29" t="n"/>
      <c r="E535" s="25" t="n"/>
      <c r="F535" s="1">
        <f>IF(B535="","",B535-WEEKDAY(B535,3))</f>
        <v/>
      </c>
    </row>
    <row r="536">
      <c r="A536" s="1" t="n"/>
      <c r="B536" s="26" t="n"/>
      <c r="C536" s="25" t="n"/>
      <c r="D536" s="29" t="n"/>
      <c r="E536" s="25" t="n"/>
      <c r="F536" s="1">
        <f>IF(B536="","",B536-WEEKDAY(B536,3))</f>
        <v/>
      </c>
    </row>
    <row r="537">
      <c r="A537" s="1" t="n"/>
      <c r="B537" s="26" t="n"/>
      <c r="C537" s="25" t="n"/>
      <c r="D537" s="29" t="n"/>
      <c r="E537" s="25" t="n"/>
      <c r="F537" s="1">
        <f>IF(B537="","",B537-WEEKDAY(B537,3))</f>
        <v/>
      </c>
    </row>
    <row r="538">
      <c r="A538" s="1" t="n"/>
      <c r="B538" s="26" t="n"/>
      <c r="C538" s="25" t="n"/>
      <c r="D538" s="29" t="n"/>
      <c r="E538" s="25" t="n"/>
      <c r="F538" s="1">
        <f>IF(B538="","",B538-WEEKDAY(B538,3))</f>
        <v/>
      </c>
    </row>
    <row r="539">
      <c r="A539" s="1" t="n"/>
      <c r="B539" s="26" t="n"/>
      <c r="C539" s="25" t="n"/>
      <c r="D539" s="29" t="n"/>
      <c r="E539" s="25" t="n"/>
      <c r="F539" s="1">
        <f>IF(B539="","",B539-WEEKDAY(B539,3))</f>
        <v/>
      </c>
    </row>
    <row r="540">
      <c r="A540" s="1" t="n"/>
      <c r="B540" s="26" t="n"/>
      <c r="C540" s="25" t="n"/>
      <c r="D540" s="29" t="n"/>
      <c r="E540" s="25" t="n"/>
      <c r="F540" s="1">
        <f>IF(B540="","",B540-WEEKDAY(B540,3))</f>
        <v/>
      </c>
    </row>
    <row r="541">
      <c r="A541" s="1" t="n"/>
      <c r="B541" s="26" t="n"/>
      <c r="C541" s="25" t="n"/>
      <c r="D541" s="29" t="n"/>
      <c r="E541" s="25" t="n"/>
      <c r="F541" s="1">
        <f>IF(B541="","",B541-WEEKDAY(B541,3))</f>
        <v/>
      </c>
    </row>
    <row r="542">
      <c r="A542" s="1" t="n"/>
      <c r="B542" s="26" t="n"/>
      <c r="C542" s="25" t="n"/>
      <c r="D542" s="29" t="n"/>
      <c r="E542" s="25" t="n"/>
      <c r="F542" s="1">
        <f>IF(B542="","",B542-WEEKDAY(B542,3))</f>
        <v/>
      </c>
    </row>
    <row r="543">
      <c r="A543" s="1" t="n"/>
      <c r="B543" s="26" t="n"/>
      <c r="C543" s="25" t="n"/>
      <c r="D543" s="29" t="n"/>
      <c r="E543" s="25" t="n"/>
      <c r="F543" s="1">
        <f>IF(B543="","",B543-WEEKDAY(B543,3))</f>
        <v/>
      </c>
    </row>
    <row r="544">
      <c r="A544" s="1" t="n"/>
      <c r="B544" s="26" t="n"/>
      <c r="C544" s="25" t="n"/>
      <c r="D544" s="29" t="n"/>
      <c r="E544" s="25" t="n"/>
      <c r="F544" s="1">
        <f>IF(B544="","",B544-WEEKDAY(B544,3))</f>
        <v/>
      </c>
    </row>
    <row r="545">
      <c r="A545" s="1" t="n"/>
      <c r="B545" s="26" t="n"/>
      <c r="C545" s="25" t="n"/>
      <c r="D545" s="29" t="n"/>
      <c r="E545" s="25" t="n"/>
      <c r="F545" s="1">
        <f>IF(B545="","",B545-WEEKDAY(B545,3))</f>
        <v/>
      </c>
    </row>
    <row r="546">
      <c r="A546" s="1" t="n"/>
      <c r="B546" s="26" t="n"/>
      <c r="C546" s="25" t="n"/>
      <c r="D546" s="29" t="n"/>
      <c r="E546" s="25" t="n"/>
      <c r="F546" s="1">
        <f>IF(B546="","",B546-WEEKDAY(B546,3))</f>
        <v/>
      </c>
    </row>
    <row r="547">
      <c r="A547" s="1" t="n"/>
      <c r="B547" s="26" t="n"/>
      <c r="C547" s="25" t="n"/>
      <c r="D547" s="29" t="n"/>
      <c r="E547" s="25" t="n"/>
      <c r="F547" s="1">
        <f>IF(B547="","",B547-WEEKDAY(B547,3))</f>
        <v/>
      </c>
    </row>
    <row r="548">
      <c r="A548" s="1" t="n"/>
      <c r="B548" s="26" t="n"/>
      <c r="C548" s="25" t="n"/>
      <c r="D548" s="29" t="n"/>
      <c r="E548" s="25" t="n"/>
      <c r="F548" s="1">
        <f>IF(B548="","",B548-WEEKDAY(B548,3))</f>
        <v/>
      </c>
    </row>
    <row r="549">
      <c r="A549" s="1" t="n"/>
      <c r="B549" s="26" t="n"/>
      <c r="C549" s="25" t="n"/>
      <c r="D549" s="29" t="n"/>
      <c r="E549" s="25" t="n"/>
      <c r="F549" s="1">
        <f>IF(B549="","",B549-WEEKDAY(B549,3))</f>
        <v/>
      </c>
    </row>
    <row r="550">
      <c r="A550" s="1" t="n"/>
      <c r="B550" s="26" t="n"/>
      <c r="C550" s="25" t="n"/>
      <c r="D550" s="29" t="n"/>
      <c r="E550" s="25" t="n"/>
      <c r="F550" s="1">
        <f>IF(B550="","",B550-WEEKDAY(B550,3))</f>
        <v/>
      </c>
    </row>
    <row r="551">
      <c r="A551" s="1" t="n"/>
      <c r="B551" s="26" t="n"/>
      <c r="C551" s="25" t="n"/>
      <c r="D551" s="29" t="n"/>
      <c r="E551" s="25" t="n"/>
      <c r="F551" s="1">
        <f>IF(B551="","",B551-WEEKDAY(B551,3))</f>
        <v/>
      </c>
    </row>
    <row r="552">
      <c r="A552" s="1" t="n"/>
      <c r="B552" s="26" t="n"/>
      <c r="C552" s="25" t="n"/>
      <c r="D552" s="29" t="n"/>
      <c r="E552" s="25" t="n"/>
      <c r="F552" s="1">
        <f>IF(B552="","",B552-WEEKDAY(B552,3))</f>
        <v/>
      </c>
    </row>
    <row r="553">
      <c r="A553" s="1" t="n"/>
      <c r="B553" s="26" t="n"/>
      <c r="C553" s="25" t="n"/>
      <c r="D553" s="29" t="n"/>
      <c r="E553" s="25" t="n"/>
      <c r="F553" s="1">
        <f>IF(B553="","",B553-WEEKDAY(B553,3))</f>
        <v/>
      </c>
    </row>
    <row r="554">
      <c r="A554" s="1" t="n"/>
      <c r="B554" s="26" t="n"/>
      <c r="C554" s="25" t="n"/>
      <c r="D554" s="29" t="n"/>
      <c r="E554" s="25" t="n"/>
      <c r="F554" s="1">
        <f>IF(B554="","",B554-WEEKDAY(B554,3))</f>
        <v/>
      </c>
    </row>
    <row r="555">
      <c r="A555" s="1" t="n"/>
      <c r="B555" s="26" t="n"/>
      <c r="C555" s="25" t="n"/>
      <c r="D555" s="29" t="n"/>
      <c r="E555" s="25" t="n"/>
      <c r="F555" s="1">
        <f>IF(B555="","",B555-WEEKDAY(B555,3))</f>
        <v/>
      </c>
    </row>
    <row r="556">
      <c r="A556" s="1" t="n"/>
      <c r="B556" s="26" t="n"/>
      <c r="C556" s="25" t="n"/>
      <c r="D556" s="29" t="n"/>
      <c r="E556" s="25" t="n"/>
      <c r="F556" s="1">
        <f>IF(B556="","",B556-WEEKDAY(B556,3))</f>
        <v/>
      </c>
    </row>
    <row r="557">
      <c r="A557" s="1" t="n"/>
      <c r="B557" s="26" t="n"/>
      <c r="C557" s="25" t="n"/>
      <c r="D557" s="29" t="n"/>
      <c r="E557" s="25" t="n"/>
      <c r="F557" s="1">
        <f>IF(B557="","",B557-WEEKDAY(B557,3))</f>
        <v/>
      </c>
    </row>
    <row r="558">
      <c r="A558" s="1" t="n"/>
      <c r="B558" s="26" t="n"/>
      <c r="C558" s="25" t="n"/>
      <c r="D558" s="29" t="n"/>
      <c r="E558" s="25" t="n"/>
      <c r="F558" s="1">
        <f>IF(B558="","",B558-WEEKDAY(B558,3))</f>
        <v/>
      </c>
    </row>
    <row r="559">
      <c r="A559" s="1" t="n"/>
      <c r="B559" s="26" t="n"/>
      <c r="C559" s="25" t="n"/>
      <c r="D559" s="29" t="n"/>
      <c r="E559" s="25" t="n"/>
      <c r="F559" s="1">
        <f>IF(B559="","",B559-WEEKDAY(B559,3))</f>
        <v/>
      </c>
    </row>
    <row r="560">
      <c r="A560" s="1" t="n"/>
      <c r="B560" s="26" t="n"/>
      <c r="C560" s="25" t="n"/>
      <c r="D560" s="29" t="n"/>
      <c r="E560" s="25" t="n"/>
      <c r="F560" s="1">
        <f>IF(B560="","",B560-WEEKDAY(B560,3))</f>
        <v/>
      </c>
    </row>
    <row r="561">
      <c r="A561" s="1" t="n"/>
      <c r="B561" s="26" t="n"/>
      <c r="C561" s="25" t="n"/>
      <c r="D561" s="29" t="n"/>
      <c r="E561" s="25" t="n"/>
      <c r="F561" s="1">
        <f>IF(B561="","",B561-WEEKDAY(B561,3))</f>
        <v/>
      </c>
    </row>
    <row r="562">
      <c r="A562" s="1" t="n"/>
      <c r="B562" s="26" t="n"/>
      <c r="C562" s="25" t="n"/>
      <c r="D562" s="29" t="n"/>
      <c r="E562" s="25" t="n"/>
      <c r="F562" s="1">
        <f>IF(B562="","",B562-WEEKDAY(B562,3))</f>
        <v/>
      </c>
    </row>
    <row r="563">
      <c r="A563" s="1" t="n"/>
      <c r="B563" s="26" t="n"/>
      <c r="C563" s="25" t="n"/>
      <c r="D563" s="29" t="n"/>
      <c r="E563" s="25" t="n"/>
      <c r="F563" s="1">
        <f>IF(B563="","",B563-WEEKDAY(B563,3))</f>
        <v/>
      </c>
    </row>
    <row r="564">
      <c r="A564" s="1" t="n"/>
      <c r="B564" s="26" t="n"/>
      <c r="C564" s="25" t="n"/>
      <c r="D564" s="29" t="n"/>
      <c r="E564" s="25" t="n"/>
      <c r="F564" s="1">
        <f>IF(B564="","",B564-WEEKDAY(B564,3))</f>
        <v/>
      </c>
    </row>
    <row r="565">
      <c r="A565" s="1" t="n"/>
      <c r="B565" s="26" t="n"/>
      <c r="C565" s="25" t="n"/>
      <c r="D565" s="29" t="n"/>
      <c r="E565" s="25" t="n"/>
      <c r="F565" s="1">
        <f>IF(B565="","",B565-WEEKDAY(B565,3))</f>
        <v/>
      </c>
    </row>
    <row r="566">
      <c r="A566" s="1" t="n"/>
      <c r="B566" s="26" t="n"/>
      <c r="C566" s="25" t="n"/>
      <c r="D566" s="29" t="n"/>
      <c r="E566" s="25" t="n"/>
      <c r="F566" s="1">
        <f>IF(B566="","",B566-WEEKDAY(B566,3))</f>
        <v/>
      </c>
    </row>
    <row r="567">
      <c r="A567" s="1" t="n"/>
      <c r="B567" s="26" t="n"/>
      <c r="C567" s="25" t="n"/>
      <c r="D567" s="29" t="n"/>
      <c r="E567" s="25" t="n"/>
      <c r="F567" s="1">
        <f>IF(B567="","",B567-WEEKDAY(B567,3))</f>
        <v/>
      </c>
    </row>
    <row r="568">
      <c r="A568" s="1" t="n"/>
      <c r="B568" s="26" t="n"/>
      <c r="C568" s="25" t="n"/>
      <c r="D568" s="29" t="n"/>
      <c r="E568" s="25" t="n"/>
      <c r="F568" s="1">
        <f>IF(B568="","",B568-WEEKDAY(B568,3))</f>
        <v/>
      </c>
    </row>
    <row r="569">
      <c r="A569" s="1" t="n"/>
      <c r="B569" s="26" t="n"/>
      <c r="C569" s="25" t="n"/>
      <c r="D569" s="29" t="n"/>
      <c r="E569" s="25" t="n"/>
      <c r="F569" s="1">
        <f>IF(B569="","",B569-WEEKDAY(B569,3))</f>
        <v/>
      </c>
    </row>
    <row r="570">
      <c r="A570" s="1" t="n"/>
      <c r="B570" s="26" t="n"/>
      <c r="C570" s="25" t="n"/>
      <c r="D570" s="29" t="n"/>
      <c r="E570" s="25" t="n"/>
      <c r="F570" s="1">
        <f>IF(B570="","",B570-WEEKDAY(B570,3))</f>
        <v/>
      </c>
    </row>
    <row r="571">
      <c r="A571" s="1" t="n"/>
      <c r="B571" s="26" t="n"/>
      <c r="C571" s="25" t="n"/>
      <c r="D571" s="29" t="n"/>
      <c r="E571" s="25" t="n"/>
      <c r="F571" s="1">
        <f>IF(B571="","",B571-WEEKDAY(B571,3))</f>
        <v/>
      </c>
    </row>
    <row r="572">
      <c r="A572" s="1" t="n"/>
      <c r="B572" s="26" t="n"/>
      <c r="C572" s="25" t="n"/>
      <c r="D572" s="29" t="n"/>
      <c r="E572" s="25" t="n"/>
      <c r="F572" s="1">
        <f>IF(B572="","",B572-WEEKDAY(B572,3))</f>
        <v/>
      </c>
    </row>
    <row r="573">
      <c r="A573" s="1" t="n"/>
      <c r="B573" s="26" t="n"/>
      <c r="C573" s="25" t="n"/>
      <c r="D573" s="29" t="n"/>
      <c r="E573" s="25" t="n"/>
      <c r="F573" s="1">
        <f>IF(B573="","",B573-WEEKDAY(B573,3))</f>
        <v/>
      </c>
    </row>
    <row r="574">
      <c r="A574" s="1" t="n"/>
      <c r="B574" s="26" t="n"/>
      <c r="C574" s="25" t="n"/>
      <c r="D574" s="29" t="n"/>
      <c r="E574" s="25" t="n"/>
      <c r="F574" s="1">
        <f>IF(B574="","",B574-WEEKDAY(B574,3))</f>
        <v/>
      </c>
    </row>
    <row r="575">
      <c r="A575" s="1" t="n"/>
      <c r="B575" s="26" t="n"/>
      <c r="C575" s="25" t="n"/>
      <c r="D575" s="29" t="n"/>
      <c r="E575" s="25" t="n"/>
      <c r="F575" s="1">
        <f>IF(B575="","",B575-WEEKDAY(B575,3))</f>
        <v/>
      </c>
    </row>
    <row r="576">
      <c r="A576" s="1" t="n"/>
      <c r="B576" s="26" t="n"/>
      <c r="C576" s="25" t="n"/>
      <c r="D576" s="29" t="n"/>
      <c r="E576" s="25" t="n"/>
      <c r="F576" s="1">
        <f>IF(B576="","",B576-WEEKDAY(B576,3))</f>
        <v/>
      </c>
    </row>
    <row r="577">
      <c r="A577" s="1" t="n"/>
      <c r="B577" s="26" t="n"/>
      <c r="C577" s="25" t="n"/>
      <c r="D577" s="29" t="n"/>
      <c r="E577" s="25" t="n"/>
      <c r="F577" s="1">
        <f>IF(B577="","",B577-WEEKDAY(B577,3))</f>
        <v/>
      </c>
    </row>
    <row r="578">
      <c r="A578" s="1" t="n"/>
      <c r="B578" s="26" t="n"/>
      <c r="C578" s="25" t="n"/>
      <c r="D578" s="29" t="n"/>
      <c r="E578" s="25" t="n"/>
      <c r="F578" s="1">
        <f>IF(B578="","",B578-WEEKDAY(B578,3))</f>
        <v/>
      </c>
    </row>
    <row r="579">
      <c r="A579" s="1" t="n"/>
      <c r="B579" s="26" t="n"/>
      <c r="C579" s="25" t="n"/>
      <c r="D579" s="29" t="n"/>
      <c r="E579" s="25" t="n"/>
      <c r="F579" s="1">
        <f>IF(B579="","",B579-WEEKDAY(B579,3))</f>
        <v/>
      </c>
    </row>
    <row r="580">
      <c r="A580" s="1" t="n"/>
      <c r="B580" s="26" t="n"/>
      <c r="C580" s="25" t="n"/>
      <c r="D580" s="29" t="n"/>
      <c r="E580" s="25" t="n"/>
      <c r="F580" s="1">
        <f>IF(B580="","",B580-WEEKDAY(B580,3))</f>
        <v/>
      </c>
    </row>
    <row r="581">
      <c r="A581" s="1" t="n"/>
      <c r="B581" s="26" t="n"/>
      <c r="C581" s="25" t="n"/>
      <c r="D581" s="29" t="n"/>
      <c r="E581" s="25" t="n"/>
      <c r="F581" s="1">
        <f>IF(B581="","",B581-WEEKDAY(B581,3))</f>
        <v/>
      </c>
    </row>
    <row r="582">
      <c r="A582" s="1" t="n"/>
      <c r="B582" s="26" t="n"/>
      <c r="C582" s="25" t="n"/>
      <c r="D582" s="29" t="n"/>
      <c r="E582" s="25" t="n"/>
      <c r="F582" s="1">
        <f>IF(B582="","",B582-WEEKDAY(B582,3))</f>
        <v/>
      </c>
    </row>
    <row r="583">
      <c r="A583" s="1" t="n"/>
      <c r="B583" s="26" t="n"/>
      <c r="C583" s="25" t="n"/>
      <c r="D583" s="29" t="n"/>
      <c r="E583" s="25" t="n"/>
      <c r="F583" s="1">
        <f>IF(B583="","",B583-WEEKDAY(B583,3))</f>
        <v/>
      </c>
    </row>
    <row r="584">
      <c r="A584" s="1" t="n"/>
      <c r="B584" s="26" t="n"/>
      <c r="C584" s="25" t="n"/>
      <c r="D584" s="29" t="n"/>
      <c r="E584" s="25" t="n"/>
      <c r="F584" s="1">
        <f>IF(B584="","",B584-WEEKDAY(B584,3))</f>
        <v/>
      </c>
    </row>
    <row r="585">
      <c r="A585" s="1" t="n"/>
      <c r="B585" s="26" t="n"/>
      <c r="C585" s="25" t="n"/>
      <c r="D585" s="29" t="n"/>
      <c r="E585" s="25" t="n"/>
      <c r="F585" s="1">
        <f>IF(B585="","",B585-WEEKDAY(B585,3))</f>
        <v/>
      </c>
    </row>
    <row r="586">
      <c r="A586" s="1" t="n"/>
      <c r="B586" s="26" t="n"/>
      <c r="C586" s="25" t="n"/>
      <c r="D586" s="29" t="n"/>
      <c r="E586" s="25" t="n"/>
      <c r="F586" s="1">
        <f>IF(B586="","",B586-WEEKDAY(B586,3))</f>
        <v/>
      </c>
    </row>
    <row r="587">
      <c r="A587" s="1" t="n"/>
      <c r="B587" s="26" t="n"/>
      <c r="C587" s="25" t="n"/>
      <c r="D587" s="29" t="n"/>
      <c r="E587" s="25" t="n"/>
      <c r="F587" s="1">
        <f>IF(B587="","",B587-WEEKDAY(B587,3))</f>
        <v/>
      </c>
    </row>
    <row r="588">
      <c r="A588" s="1" t="n"/>
      <c r="B588" s="26" t="n"/>
      <c r="C588" s="25" t="n"/>
      <c r="D588" s="29" t="n"/>
      <c r="E588" s="25" t="n"/>
      <c r="F588" s="1">
        <f>IF(B588="","",B588-WEEKDAY(B588,3))</f>
        <v/>
      </c>
    </row>
    <row r="589">
      <c r="A589" s="1" t="n"/>
      <c r="B589" s="26" t="n"/>
      <c r="C589" s="25" t="n"/>
      <c r="D589" s="29" t="n"/>
      <c r="E589" s="25" t="n"/>
      <c r="F589" s="1">
        <f>IF(B589="","",B589-WEEKDAY(B589,3))</f>
        <v/>
      </c>
    </row>
    <row r="590">
      <c r="A590" s="1" t="n"/>
      <c r="B590" s="26" t="n"/>
      <c r="C590" s="25" t="n"/>
      <c r="D590" s="29" t="n"/>
      <c r="E590" s="25" t="n"/>
      <c r="F590" s="1">
        <f>IF(B590="","",B590-WEEKDAY(B590,3))</f>
        <v/>
      </c>
    </row>
    <row r="591">
      <c r="A591" s="1" t="n"/>
      <c r="B591" s="26" t="n"/>
      <c r="C591" s="25" t="n"/>
      <c r="D591" s="29" t="n"/>
      <c r="E591" s="25" t="n"/>
      <c r="F591" s="1">
        <f>IF(B591="","",B591-WEEKDAY(B591,3))</f>
        <v/>
      </c>
    </row>
    <row r="592">
      <c r="A592" s="1" t="n"/>
      <c r="B592" s="26" t="n"/>
      <c r="C592" s="25" t="n"/>
      <c r="D592" s="29" t="n"/>
      <c r="E592" s="25" t="n"/>
      <c r="F592" s="1">
        <f>IF(B592="","",B592-WEEKDAY(B592,3))</f>
        <v/>
      </c>
    </row>
    <row r="593">
      <c r="A593" s="1" t="n"/>
      <c r="B593" s="26" t="n"/>
      <c r="C593" s="25" t="n"/>
      <c r="D593" s="29" t="n"/>
      <c r="E593" s="25" t="n"/>
      <c r="F593" s="1">
        <f>IF(B593="","",B593-WEEKDAY(B593,3))</f>
        <v/>
      </c>
    </row>
    <row r="594">
      <c r="A594" s="1" t="n"/>
      <c r="B594" s="26" t="n"/>
      <c r="C594" s="25" t="n"/>
      <c r="D594" s="29" t="n"/>
      <c r="E594" s="25" t="n"/>
      <c r="F594" s="1">
        <f>IF(B594="","",B594-WEEKDAY(B594,3))</f>
        <v/>
      </c>
    </row>
    <row r="595">
      <c r="A595" s="1" t="n"/>
      <c r="B595" s="26" t="n"/>
      <c r="C595" s="25" t="n"/>
      <c r="D595" s="29" t="n"/>
      <c r="E595" s="25" t="n"/>
      <c r="F595" s="1">
        <f>IF(B595="","",B595-WEEKDAY(B595,3))</f>
        <v/>
      </c>
    </row>
    <row r="596">
      <c r="A596" s="1" t="n"/>
      <c r="B596" s="26" t="n"/>
      <c r="C596" s="25" t="n"/>
      <c r="D596" s="29" t="n"/>
      <c r="E596" s="25" t="n"/>
      <c r="F596" s="1">
        <f>IF(B596="","",B596-WEEKDAY(B596,3))</f>
        <v/>
      </c>
    </row>
    <row r="597">
      <c r="A597" s="1" t="n"/>
      <c r="B597" s="26" t="n"/>
      <c r="C597" s="25" t="n"/>
      <c r="D597" s="29" t="n"/>
      <c r="E597" s="25" t="n"/>
      <c r="F597" s="1">
        <f>IF(B597="","",B597-WEEKDAY(B597,3))</f>
        <v/>
      </c>
    </row>
    <row r="598">
      <c r="A598" s="1" t="n"/>
      <c r="B598" s="26" t="n"/>
      <c r="C598" s="25" t="n"/>
      <c r="D598" s="29" t="n"/>
      <c r="E598" s="25" t="n"/>
      <c r="F598" s="1">
        <f>IF(B598="","",B598-WEEKDAY(B598,3))</f>
        <v/>
      </c>
    </row>
    <row r="599">
      <c r="A599" s="1" t="n"/>
      <c r="B599" s="26" t="n"/>
      <c r="C599" s="25" t="n"/>
      <c r="D599" s="29" t="n"/>
      <c r="E599" s="25" t="n"/>
      <c r="F599" s="1">
        <f>IF(B599="","",B599-WEEKDAY(B599,3))</f>
        <v/>
      </c>
    </row>
    <row r="600">
      <c r="A600" s="1" t="n"/>
      <c r="B600" s="26" t="n"/>
      <c r="C600" s="25" t="n"/>
      <c r="D600" s="29" t="n"/>
      <c r="E600" s="25" t="n"/>
      <c r="F600" s="1">
        <f>IF(B600="","",B600-WEEKDAY(B600,3))</f>
        <v/>
      </c>
    </row>
    <row r="601">
      <c r="A601" s="1" t="n"/>
      <c r="B601" s="26" t="n"/>
      <c r="C601" s="25" t="n"/>
      <c r="D601" s="29" t="n"/>
      <c r="E601" s="25" t="n"/>
      <c r="F601" s="1">
        <f>IF(B601="","",B601-WEEKDAY(B601,3))</f>
        <v/>
      </c>
    </row>
    <row r="602">
      <c r="A602" s="1" t="n"/>
      <c r="B602" s="26" t="n"/>
      <c r="C602" s="25" t="n"/>
      <c r="D602" s="29" t="n"/>
      <c r="E602" s="25" t="n"/>
      <c r="F602" s="1">
        <f>IF(B602="","",B602-WEEKDAY(B602,3))</f>
        <v/>
      </c>
    </row>
    <row r="603">
      <c r="A603" s="1" t="n"/>
      <c r="B603" s="26" t="n"/>
      <c r="C603" s="25" t="n"/>
      <c r="D603" s="29" t="n"/>
      <c r="E603" s="25" t="n"/>
      <c r="F603" s="1">
        <f>IF(B603="","",B603-WEEKDAY(B603,3))</f>
        <v/>
      </c>
    </row>
    <row r="604">
      <c r="A604" s="1" t="n"/>
      <c r="B604" s="26" t="n"/>
      <c r="C604" s="25" t="n"/>
      <c r="D604" s="29" t="n"/>
      <c r="E604" s="25" t="n"/>
      <c r="F604" s="1">
        <f>IF(B604="","",B604-WEEKDAY(B604,3))</f>
        <v/>
      </c>
    </row>
    <row r="605">
      <c r="A605" s="1" t="n"/>
      <c r="B605" s="26" t="n"/>
      <c r="C605" s="25" t="n"/>
      <c r="D605" s="29" t="n"/>
      <c r="E605" s="25" t="n"/>
      <c r="F605" s="1">
        <f>IF(B605="","",B605-WEEKDAY(B605,3))</f>
        <v/>
      </c>
    </row>
    <row r="606">
      <c r="A606" s="1" t="n"/>
      <c r="B606" s="26" t="n"/>
      <c r="C606" s="25" t="n"/>
      <c r="D606" s="29" t="n"/>
      <c r="E606" s="25" t="n"/>
      <c r="F606" s="1">
        <f>IF(B606="","",B606-WEEKDAY(B606,3))</f>
        <v/>
      </c>
    </row>
    <row r="607">
      <c r="A607" s="1" t="n"/>
      <c r="B607" s="26" t="n"/>
      <c r="C607" s="25" t="n"/>
      <c r="D607" s="29" t="n"/>
      <c r="E607" s="25" t="n"/>
      <c r="F607" s="1">
        <f>IF(B607="","",B607-WEEKDAY(B607,3))</f>
        <v/>
      </c>
    </row>
    <row r="608">
      <c r="A608" s="1" t="n"/>
      <c r="B608" s="26" t="n"/>
      <c r="C608" s="25" t="n"/>
      <c r="D608" s="29" t="n"/>
      <c r="E608" s="25" t="n"/>
      <c r="F608" s="1">
        <f>IF(B608="","",B608-WEEKDAY(B608,3))</f>
        <v/>
      </c>
    </row>
    <row r="609">
      <c r="A609" s="1" t="n"/>
      <c r="B609" s="26" t="n"/>
      <c r="C609" s="25" t="n"/>
      <c r="D609" s="29" t="n"/>
      <c r="E609" s="25" t="n"/>
      <c r="F609" s="1">
        <f>IF(B609="","",B609-WEEKDAY(B609,3))</f>
        <v/>
      </c>
    </row>
    <row r="610">
      <c r="A610" s="1" t="n"/>
      <c r="B610" s="26" t="n"/>
      <c r="C610" s="25" t="n"/>
      <c r="D610" s="29" t="n"/>
      <c r="E610" s="25" t="n"/>
      <c r="F610" s="1">
        <f>IF(B610="","",B610-WEEKDAY(B610,3))</f>
        <v/>
      </c>
    </row>
    <row r="611">
      <c r="A611" s="1" t="n"/>
      <c r="B611" s="26" t="n"/>
      <c r="C611" s="25" t="n"/>
      <c r="D611" s="29" t="n"/>
      <c r="E611" s="25" t="n"/>
      <c r="F611" s="1">
        <f>IF(B611="","",B611-WEEKDAY(B611,3))</f>
        <v/>
      </c>
    </row>
    <row r="612">
      <c r="A612" s="1" t="n"/>
      <c r="B612" s="26" t="n"/>
      <c r="C612" s="25" t="n"/>
      <c r="D612" s="29" t="n"/>
      <c r="E612" s="25" t="n"/>
      <c r="F612" s="1">
        <f>IF(B612="","",B612-WEEKDAY(B612,3))</f>
        <v/>
      </c>
    </row>
    <row r="613">
      <c r="A613" s="1" t="n"/>
      <c r="B613" s="26" t="n"/>
      <c r="C613" s="25" t="n"/>
      <c r="D613" s="29" t="n"/>
      <c r="E613" s="25" t="n"/>
      <c r="F613" s="1">
        <f>IF(B613="","",B613-WEEKDAY(B613,3))</f>
        <v/>
      </c>
    </row>
    <row r="614">
      <c r="A614" s="1" t="n"/>
      <c r="B614" s="26" t="n"/>
      <c r="C614" s="25" t="n"/>
      <c r="D614" s="29" t="n"/>
      <c r="E614" s="25" t="n"/>
      <c r="F614" s="1">
        <f>IF(B614="","",B614-WEEKDAY(B614,3))</f>
        <v/>
      </c>
    </row>
    <row r="615">
      <c r="A615" s="1" t="n"/>
      <c r="B615" s="26" t="n"/>
      <c r="C615" s="25" t="n"/>
      <c r="D615" s="29" t="n"/>
      <c r="E615" s="25" t="n"/>
      <c r="F615" s="1">
        <f>IF(B615="","",B615-WEEKDAY(B615,3))</f>
        <v/>
      </c>
    </row>
    <row r="616">
      <c r="A616" s="1" t="n"/>
      <c r="B616" s="26" t="n"/>
      <c r="C616" s="25" t="n"/>
      <c r="D616" s="29" t="n"/>
      <c r="E616" s="25" t="n"/>
      <c r="F616" s="1">
        <f>IF(B616="","",B616-WEEKDAY(B616,3))</f>
        <v/>
      </c>
    </row>
    <row r="617">
      <c r="A617" s="1" t="n"/>
      <c r="B617" s="26" t="n"/>
      <c r="C617" s="25" t="n"/>
      <c r="D617" s="29" t="n"/>
      <c r="E617" s="25" t="n"/>
      <c r="F617" s="1">
        <f>IF(B617="","",B617-WEEKDAY(B617,3))</f>
        <v/>
      </c>
    </row>
    <row r="618">
      <c r="A618" s="1" t="n"/>
      <c r="B618" s="26" t="n"/>
      <c r="C618" s="25" t="n"/>
      <c r="D618" s="29" t="n"/>
      <c r="E618" s="25" t="n"/>
      <c r="F618" s="1">
        <f>IF(B618="","",B618-WEEKDAY(B618,3))</f>
        <v/>
      </c>
    </row>
    <row r="619">
      <c r="A619" s="1" t="n"/>
      <c r="B619" s="26" t="n"/>
      <c r="C619" s="25" t="n"/>
      <c r="D619" s="29" t="n"/>
      <c r="E619" s="25" t="n"/>
      <c r="F619" s="1">
        <f>IF(B619="","",B619-WEEKDAY(B619,3))</f>
        <v/>
      </c>
    </row>
    <row r="620">
      <c r="A620" s="1" t="n"/>
      <c r="B620" s="26" t="n"/>
      <c r="C620" s="25" t="n"/>
      <c r="D620" s="29" t="n"/>
      <c r="E620" s="25" t="n"/>
      <c r="F620" s="1">
        <f>IF(B620="","",B620-WEEKDAY(B620,3))</f>
        <v/>
      </c>
    </row>
    <row r="621">
      <c r="A621" s="1" t="n"/>
      <c r="B621" s="26" t="n"/>
      <c r="C621" s="25" t="n"/>
      <c r="D621" s="29" t="n"/>
      <c r="E621" s="25" t="n"/>
      <c r="F621" s="1">
        <f>IF(B621="","",B621-WEEKDAY(B621,3))</f>
        <v/>
      </c>
    </row>
    <row r="622">
      <c r="A622" s="1" t="n"/>
      <c r="B622" s="26" t="n"/>
      <c r="C622" s="25" t="n"/>
      <c r="D622" s="29" t="n"/>
      <c r="E622" s="25" t="n"/>
      <c r="F622" s="1">
        <f>IF(B622="","",B622-WEEKDAY(B622,3))</f>
        <v/>
      </c>
    </row>
    <row r="623">
      <c r="A623" s="1" t="n"/>
      <c r="B623" s="26" t="n"/>
      <c r="C623" s="25" t="n"/>
      <c r="D623" s="29" t="n"/>
      <c r="E623" s="25" t="n"/>
      <c r="F623" s="1">
        <f>IF(B623="","",B623-WEEKDAY(B623,3))</f>
        <v/>
      </c>
    </row>
    <row r="624">
      <c r="A624" s="1" t="n"/>
      <c r="B624" s="26" t="n"/>
      <c r="C624" s="25" t="n"/>
      <c r="D624" s="29" t="n"/>
      <c r="E624" s="25" t="n"/>
      <c r="F624" s="1">
        <f>IF(B624="","",B624-WEEKDAY(B624,3))</f>
        <v/>
      </c>
    </row>
    <row r="625">
      <c r="A625" s="1" t="n"/>
      <c r="B625" s="26" t="n"/>
      <c r="C625" s="25" t="n"/>
      <c r="D625" s="29" t="n"/>
      <c r="E625" s="25" t="n"/>
      <c r="F625" s="1">
        <f>IF(B625="","",B625-WEEKDAY(B625,3))</f>
        <v/>
      </c>
    </row>
    <row r="626">
      <c r="A626" s="1" t="n"/>
      <c r="B626" s="26" t="n"/>
      <c r="C626" s="25" t="n"/>
      <c r="D626" s="29" t="n"/>
      <c r="E626" s="25" t="n"/>
      <c r="F626" s="1">
        <f>IF(B626="","",B626-WEEKDAY(B626,3))</f>
        <v/>
      </c>
    </row>
    <row r="627">
      <c r="A627" s="1" t="n"/>
      <c r="B627" s="26" t="n"/>
      <c r="C627" s="25" t="n"/>
      <c r="D627" s="29" t="n"/>
      <c r="E627" s="25" t="n"/>
      <c r="F627" s="1">
        <f>IF(B627="","",B627-WEEKDAY(B627,3))</f>
        <v/>
      </c>
    </row>
    <row r="628">
      <c r="A628" s="1" t="n"/>
      <c r="B628" s="26" t="n"/>
      <c r="C628" s="25" t="n"/>
      <c r="D628" s="29" t="n"/>
      <c r="E628" s="25" t="n"/>
      <c r="F628" s="1">
        <f>IF(B628="","",B628-WEEKDAY(B628,3))</f>
        <v/>
      </c>
    </row>
    <row r="629">
      <c r="A629" s="1" t="n"/>
      <c r="B629" s="26" t="n"/>
      <c r="C629" s="25" t="n"/>
      <c r="D629" s="29" t="n"/>
      <c r="E629" s="25" t="n"/>
      <c r="F629" s="1">
        <f>IF(B629="","",B629-WEEKDAY(B629,3))</f>
        <v/>
      </c>
    </row>
    <row r="630">
      <c r="A630" s="1" t="n"/>
      <c r="B630" s="26" t="n"/>
      <c r="C630" s="25" t="n"/>
      <c r="D630" s="29" t="n"/>
      <c r="E630" s="25" t="n"/>
      <c r="F630" s="1">
        <f>IF(B630="","",B630-WEEKDAY(B630,3))</f>
        <v/>
      </c>
    </row>
    <row r="631">
      <c r="A631" s="1" t="n"/>
      <c r="B631" s="26" t="n"/>
      <c r="C631" s="25" t="n"/>
      <c r="D631" s="29" t="n"/>
      <c r="E631" s="25" t="n"/>
      <c r="F631" s="1">
        <f>IF(B631="","",B631-WEEKDAY(B631,3))</f>
        <v/>
      </c>
    </row>
    <row r="632">
      <c r="A632" s="1" t="n"/>
      <c r="B632" s="26" t="n"/>
      <c r="C632" s="25" t="n"/>
      <c r="D632" s="29" t="n"/>
      <c r="E632" s="25" t="n"/>
      <c r="F632" s="1">
        <f>IF(B632="","",B632-WEEKDAY(B632,3))</f>
        <v/>
      </c>
    </row>
    <row r="633">
      <c r="A633" s="1" t="n"/>
      <c r="B633" s="26" t="n"/>
      <c r="C633" s="25" t="n"/>
      <c r="D633" s="29" t="n"/>
      <c r="E633" s="25" t="n"/>
      <c r="F633" s="1">
        <f>IF(B633="","",B633-WEEKDAY(B633,3))</f>
        <v/>
      </c>
    </row>
    <row r="634">
      <c r="A634" s="1" t="n"/>
      <c r="B634" s="26" t="n"/>
      <c r="C634" s="25" t="n"/>
      <c r="D634" s="29" t="n"/>
      <c r="E634" s="25" t="n"/>
      <c r="F634" s="1">
        <f>IF(B634="","",B634-WEEKDAY(B634,3))</f>
        <v/>
      </c>
    </row>
    <row r="635">
      <c r="A635" s="1" t="n"/>
      <c r="B635" s="26" t="n"/>
      <c r="C635" s="25" t="n"/>
      <c r="D635" s="29" t="n"/>
      <c r="E635" s="25" t="n"/>
      <c r="F635" s="1">
        <f>IF(B635="","",B635-WEEKDAY(B635,3))</f>
        <v/>
      </c>
    </row>
    <row r="636">
      <c r="A636" s="1" t="n"/>
      <c r="B636" s="26" t="n"/>
      <c r="C636" s="25" t="n"/>
      <c r="D636" s="29" t="n"/>
      <c r="E636" s="25" t="n"/>
      <c r="F636" s="1">
        <f>IF(B636="","",B636-WEEKDAY(B636,3))</f>
        <v/>
      </c>
    </row>
    <row r="637">
      <c r="A637" s="1" t="n"/>
      <c r="B637" s="26" t="n"/>
      <c r="C637" s="25" t="n"/>
      <c r="D637" s="29" t="n"/>
      <c r="E637" s="25" t="n"/>
      <c r="F637" s="1">
        <f>IF(B637="","",B637-WEEKDAY(B637,3))</f>
        <v/>
      </c>
    </row>
    <row r="638">
      <c r="A638" s="1" t="n"/>
      <c r="B638" s="26" t="n"/>
      <c r="C638" s="25" t="n"/>
      <c r="D638" s="29" t="n"/>
      <c r="E638" s="25" t="n"/>
      <c r="F638" s="1">
        <f>IF(B638="","",B638-WEEKDAY(B638,3))</f>
        <v/>
      </c>
    </row>
    <row r="639">
      <c r="A639" s="1" t="n"/>
      <c r="B639" s="26" t="n"/>
      <c r="C639" s="25" t="n"/>
      <c r="D639" s="29" t="n"/>
      <c r="E639" s="25" t="n"/>
      <c r="F639" s="1">
        <f>IF(B639="","",B639-WEEKDAY(B639,3))</f>
        <v/>
      </c>
    </row>
    <row r="640">
      <c r="A640" s="1" t="n"/>
      <c r="B640" s="26" t="n"/>
      <c r="C640" s="25" t="n"/>
      <c r="D640" s="29" t="n"/>
      <c r="E640" s="25" t="n"/>
      <c r="F640" s="1">
        <f>IF(B640="","",B640-WEEKDAY(B640,3))</f>
        <v/>
      </c>
    </row>
    <row r="641">
      <c r="A641" s="1" t="n"/>
      <c r="B641" s="26" t="n"/>
      <c r="C641" s="25" t="n"/>
      <c r="D641" s="29" t="n"/>
      <c r="E641" s="25" t="n"/>
      <c r="F641" s="1">
        <f>IF(B641="","",B641-WEEKDAY(B641,3))</f>
        <v/>
      </c>
    </row>
    <row r="642">
      <c r="A642" s="1" t="n"/>
      <c r="B642" s="26" t="n"/>
      <c r="C642" s="25" t="n"/>
      <c r="D642" s="29" t="n"/>
      <c r="E642" s="25" t="n"/>
      <c r="F642" s="1">
        <f>IF(B642="","",B642-WEEKDAY(B642,3))</f>
        <v/>
      </c>
    </row>
    <row r="643">
      <c r="A643" s="1" t="n"/>
      <c r="B643" s="26" t="n"/>
      <c r="C643" s="25" t="n"/>
      <c r="D643" s="29" t="n"/>
      <c r="E643" s="25" t="n"/>
      <c r="F643" s="1">
        <f>IF(B643="","",B643-WEEKDAY(B643,3))</f>
        <v/>
      </c>
    </row>
    <row r="644">
      <c r="A644" s="1" t="n"/>
      <c r="B644" s="26" t="n"/>
      <c r="C644" s="25" t="n"/>
      <c r="D644" s="29" t="n"/>
      <c r="E644" s="25" t="n"/>
      <c r="F644" s="1">
        <f>IF(B644="","",B644-WEEKDAY(B644,3))</f>
        <v/>
      </c>
    </row>
    <row r="645">
      <c r="A645" s="1" t="n"/>
      <c r="B645" s="26" t="n"/>
      <c r="C645" s="25" t="n"/>
      <c r="D645" s="29" t="n"/>
      <c r="E645" s="25" t="n"/>
      <c r="F645" s="1">
        <f>IF(B645="","",B645-WEEKDAY(B645,3))</f>
        <v/>
      </c>
    </row>
    <row r="646">
      <c r="A646" s="1" t="n"/>
      <c r="B646" s="26" t="n"/>
      <c r="C646" s="25" t="n"/>
      <c r="D646" s="29" t="n"/>
      <c r="E646" s="25" t="n"/>
      <c r="F646" s="1">
        <f>IF(B646="","",B646-WEEKDAY(B646,3))</f>
        <v/>
      </c>
    </row>
    <row r="647">
      <c r="A647" s="1" t="n"/>
      <c r="B647" s="26" t="n"/>
      <c r="C647" s="25" t="n"/>
      <c r="D647" s="29" t="n"/>
      <c r="E647" s="25" t="n"/>
      <c r="F647" s="1">
        <f>IF(B647="","",B647-WEEKDAY(B647,3))</f>
        <v/>
      </c>
    </row>
    <row r="648">
      <c r="A648" s="1" t="n"/>
      <c r="B648" s="26" t="n"/>
      <c r="C648" s="25" t="n"/>
      <c r="D648" s="29" t="n"/>
      <c r="E648" s="25" t="n"/>
      <c r="F648" s="1">
        <f>IF(B648="","",B648-WEEKDAY(B648,3))</f>
        <v/>
      </c>
    </row>
    <row r="649">
      <c r="A649" s="1" t="n"/>
      <c r="B649" s="26" t="n"/>
      <c r="C649" s="25" t="n"/>
      <c r="D649" s="29" t="n"/>
      <c r="E649" s="25" t="n"/>
      <c r="F649" s="1">
        <f>IF(B649="","",B649-WEEKDAY(B649,3))</f>
        <v/>
      </c>
    </row>
    <row r="650">
      <c r="A650" s="1" t="n"/>
      <c r="B650" s="26" t="n"/>
      <c r="C650" s="25" t="n"/>
      <c r="D650" s="29" t="n"/>
      <c r="E650" s="25" t="n"/>
      <c r="F650" s="1">
        <f>IF(B650="","",B650-WEEKDAY(B650,3))</f>
        <v/>
      </c>
    </row>
    <row r="651">
      <c r="A651" s="1" t="n"/>
      <c r="B651" s="26" t="n"/>
      <c r="C651" s="25" t="n"/>
      <c r="D651" s="29" t="n"/>
      <c r="E651" s="25" t="n"/>
      <c r="F651" s="1">
        <f>IF(B651="","",B651-WEEKDAY(B651,3))</f>
        <v/>
      </c>
    </row>
    <row r="652">
      <c r="A652" s="1" t="n"/>
      <c r="B652" s="26" t="n"/>
      <c r="C652" s="25" t="n"/>
      <c r="D652" s="29" t="n"/>
      <c r="E652" s="25" t="n"/>
      <c r="F652" s="1">
        <f>IF(B652="","",B652-WEEKDAY(B652,3))</f>
        <v/>
      </c>
    </row>
    <row r="653">
      <c r="A653" s="1" t="n"/>
      <c r="B653" s="26" t="n"/>
      <c r="C653" s="25" t="n"/>
      <c r="D653" s="29" t="n"/>
      <c r="E653" s="25" t="n"/>
      <c r="F653" s="1">
        <f>IF(B653="","",B653-WEEKDAY(B653,3))</f>
        <v/>
      </c>
    </row>
    <row r="654">
      <c r="A654" s="1" t="n"/>
      <c r="B654" s="26" t="n"/>
      <c r="C654" s="25" t="n"/>
      <c r="D654" s="29" t="n"/>
      <c r="E654" s="25" t="n"/>
      <c r="F654" s="1">
        <f>IF(B654="","",B654-WEEKDAY(B654,3))</f>
        <v/>
      </c>
    </row>
    <row r="655">
      <c r="A655" s="1" t="n"/>
      <c r="B655" s="26" t="n"/>
      <c r="C655" s="25" t="n"/>
      <c r="D655" s="29" t="n"/>
      <c r="E655" s="25" t="n"/>
      <c r="F655" s="1">
        <f>IF(B655="","",B655-WEEKDAY(B655,3))</f>
        <v/>
      </c>
    </row>
    <row r="656">
      <c r="A656" s="1" t="n"/>
      <c r="B656" s="26" t="n"/>
      <c r="C656" s="25" t="n"/>
      <c r="D656" s="29" t="n"/>
      <c r="E656" s="25" t="n"/>
      <c r="F656" s="1">
        <f>IF(B656="","",B656-WEEKDAY(B656,3))</f>
        <v/>
      </c>
    </row>
    <row r="657">
      <c r="A657" s="1" t="n"/>
      <c r="B657" s="26" t="n"/>
      <c r="C657" s="25" t="n"/>
      <c r="D657" s="29" t="n"/>
      <c r="E657" s="25" t="n"/>
      <c r="F657" s="1">
        <f>IF(B657="","",B657-WEEKDAY(B657,3))</f>
        <v/>
      </c>
    </row>
    <row r="658">
      <c r="A658" s="1" t="n"/>
      <c r="B658" s="26" t="n"/>
      <c r="C658" s="25" t="n"/>
      <c r="D658" s="29" t="n"/>
      <c r="E658" s="25" t="n"/>
      <c r="F658" s="1">
        <f>IF(B658="","",B658-WEEKDAY(B658,3))</f>
        <v/>
      </c>
    </row>
    <row r="659">
      <c r="A659" s="1" t="n"/>
      <c r="B659" s="26" t="n"/>
      <c r="C659" s="25" t="n"/>
      <c r="D659" s="29" t="n"/>
      <c r="E659" s="25" t="n"/>
      <c r="F659" s="1">
        <f>IF(B659="","",B659-WEEKDAY(B659,3))</f>
        <v/>
      </c>
    </row>
    <row r="660">
      <c r="A660" s="1" t="n"/>
      <c r="B660" s="26" t="n"/>
      <c r="C660" s="25" t="n"/>
      <c r="D660" s="29" t="n"/>
      <c r="E660" s="25" t="n"/>
      <c r="F660" s="1">
        <f>IF(B660="","",B660-WEEKDAY(B660,3))</f>
        <v/>
      </c>
    </row>
    <row r="661">
      <c r="A661" s="1" t="n"/>
      <c r="B661" s="26" t="n"/>
      <c r="C661" s="25" t="n"/>
      <c r="D661" s="29" t="n"/>
      <c r="E661" s="25" t="n"/>
      <c r="F661" s="1">
        <f>IF(B661="","",B661-WEEKDAY(B661,3))</f>
        <v/>
      </c>
    </row>
    <row r="662">
      <c r="A662" s="1" t="n"/>
      <c r="B662" s="26" t="n"/>
      <c r="C662" s="25" t="n"/>
      <c r="D662" s="29" t="n"/>
      <c r="E662" s="25" t="n"/>
      <c r="F662" s="1">
        <f>IF(B662="","",B662-WEEKDAY(B662,3))</f>
        <v/>
      </c>
    </row>
    <row r="663">
      <c r="A663" s="1" t="n"/>
      <c r="B663" s="26" t="n"/>
      <c r="C663" s="25" t="n"/>
      <c r="D663" s="29" t="n"/>
      <c r="E663" s="25" t="n"/>
      <c r="F663" s="1">
        <f>IF(B663="","",B663-WEEKDAY(B663,3))</f>
        <v/>
      </c>
    </row>
    <row r="664">
      <c r="A664" s="1" t="n"/>
      <c r="B664" s="26" t="n"/>
      <c r="C664" s="25" t="n"/>
      <c r="D664" s="29" t="n"/>
      <c r="E664" s="25" t="n"/>
      <c r="F664" s="1">
        <f>IF(B664="","",B664-WEEKDAY(B664,3))</f>
        <v/>
      </c>
    </row>
    <row r="665">
      <c r="A665" s="1" t="n"/>
      <c r="B665" s="26" t="n"/>
      <c r="C665" s="25" t="n"/>
      <c r="D665" s="29" t="n"/>
      <c r="E665" s="25" t="n"/>
      <c r="F665" s="1">
        <f>IF(B665="","",B665-WEEKDAY(B665,3))</f>
        <v/>
      </c>
    </row>
    <row r="666">
      <c r="A666" s="1" t="n"/>
      <c r="B666" s="26" t="n"/>
      <c r="C666" s="25" t="n"/>
      <c r="D666" s="29" t="n"/>
      <c r="E666" s="25" t="n"/>
      <c r="F666" s="1">
        <f>IF(B666="","",B666-WEEKDAY(B666,3))</f>
        <v/>
      </c>
    </row>
    <row r="667">
      <c r="A667" s="1" t="n"/>
      <c r="B667" s="26" t="n"/>
      <c r="C667" s="25" t="n"/>
      <c r="D667" s="29" t="n"/>
      <c r="E667" s="25" t="n"/>
      <c r="F667" s="1">
        <f>IF(B667="","",B667-WEEKDAY(B667,3))</f>
        <v/>
      </c>
    </row>
    <row r="668">
      <c r="A668" s="1" t="n"/>
      <c r="B668" s="26" t="n"/>
      <c r="C668" s="25" t="n"/>
      <c r="D668" s="29" t="n"/>
      <c r="E668" s="25" t="n"/>
      <c r="F668" s="1">
        <f>IF(B668="","",B668-WEEKDAY(B668,3))</f>
        <v/>
      </c>
    </row>
    <row r="669">
      <c r="A669" s="1" t="n"/>
      <c r="B669" s="26" t="n"/>
      <c r="C669" s="25" t="n"/>
      <c r="D669" s="29" t="n"/>
      <c r="E669" s="25" t="n"/>
      <c r="F669" s="1">
        <f>IF(B669="","",B669-WEEKDAY(B669,3))</f>
        <v/>
      </c>
    </row>
    <row r="670">
      <c r="A670" s="1" t="n"/>
      <c r="B670" s="26" t="n"/>
      <c r="C670" s="25" t="n"/>
      <c r="D670" s="29" t="n"/>
      <c r="E670" s="25" t="n"/>
      <c r="F670" s="1">
        <f>IF(B670="","",B670-WEEKDAY(B670,3))</f>
        <v/>
      </c>
    </row>
    <row r="671">
      <c r="A671" s="1" t="n"/>
      <c r="B671" s="26" t="n"/>
      <c r="C671" s="25" t="n"/>
      <c r="D671" s="29" t="n"/>
      <c r="E671" s="25" t="n"/>
      <c r="F671" s="1">
        <f>IF(B671="","",B671-WEEKDAY(B671,3))</f>
        <v/>
      </c>
    </row>
    <row r="672">
      <c r="A672" s="1" t="n"/>
      <c r="B672" s="26" t="n"/>
      <c r="C672" s="25" t="n"/>
      <c r="D672" s="29" t="n"/>
      <c r="E672" s="25" t="n"/>
      <c r="F672" s="1">
        <f>IF(B672="","",B672-WEEKDAY(B672,3))</f>
        <v/>
      </c>
    </row>
    <row r="673">
      <c r="A673" s="1" t="n"/>
      <c r="B673" s="26" t="n"/>
      <c r="C673" s="25" t="n"/>
      <c r="D673" s="29" t="n"/>
      <c r="E673" s="25" t="n"/>
      <c r="F673" s="1">
        <f>IF(B673="","",B673-WEEKDAY(B673,3))</f>
        <v/>
      </c>
    </row>
    <row r="674">
      <c r="A674" s="1" t="n"/>
      <c r="B674" s="26" t="n"/>
      <c r="C674" s="25" t="n"/>
      <c r="D674" s="29" t="n"/>
      <c r="E674" s="25" t="n"/>
      <c r="F674" s="1">
        <f>IF(B674="","",B674-WEEKDAY(B674,3))</f>
        <v/>
      </c>
    </row>
    <row r="675">
      <c r="A675" s="1" t="n"/>
      <c r="B675" s="26" t="n"/>
      <c r="C675" s="25" t="n"/>
      <c r="D675" s="29" t="n"/>
      <c r="E675" s="25" t="n"/>
      <c r="F675" s="1">
        <f>IF(B675="","",B675-WEEKDAY(B675,3))</f>
        <v/>
      </c>
    </row>
    <row r="676">
      <c r="A676" s="1" t="n"/>
      <c r="B676" s="26" t="n"/>
      <c r="C676" s="25" t="n"/>
      <c r="D676" s="29" t="n"/>
      <c r="E676" s="25" t="n"/>
      <c r="F676" s="1">
        <f>IF(B676="","",B676-WEEKDAY(B676,3))</f>
        <v/>
      </c>
    </row>
    <row r="677">
      <c r="A677" s="1" t="n"/>
      <c r="B677" s="26" t="n"/>
      <c r="C677" s="25" t="n"/>
      <c r="D677" s="29" t="n"/>
      <c r="E677" s="25" t="n"/>
      <c r="F677" s="1">
        <f>IF(B677="","",B677-WEEKDAY(B677,3))</f>
        <v/>
      </c>
    </row>
    <row r="678">
      <c r="A678" s="1" t="n"/>
      <c r="B678" s="26" t="n"/>
      <c r="C678" s="25" t="n"/>
      <c r="D678" s="29" t="n"/>
      <c r="E678" s="25" t="n"/>
      <c r="F678" s="1">
        <f>IF(B678="","",B678-WEEKDAY(B678,3))</f>
        <v/>
      </c>
    </row>
    <row r="679">
      <c r="A679" s="1" t="n"/>
      <c r="B679" s="26" t="n"/>
      <c r="C679" s="25" t="n"/>
      <c r="D679" s="29" t="n"/>
      <c r="E679" s="25" t="n"/>
      <c r="F679" s="1">
        <f>IF(B679="","",B679-WEEKDAY(B679,3))</f>
        <v/>
      </c>
    </row>
    <row r="680">
      <c r="A680" s="1" t="n"/>
      <c r="B680" s="26" t="n"/>
      <c r="C680" s="25" t="n"/>
      <c r="D680" s="29" t="n"/>
      <c r="E680" s="25" t="n"/>
      <c r="F680" s="1">
        <f>IF(B680="","",B680-WEEKDAY(B680,3))</f>
        <v/>
      </c>
    </row>
    <row r="681">
      <c r="A681" s="1" t="n"/>
      <c r="B681" s="26" t="n"/>
      <c r="C681" s="25" t="n"/>
      <c r="D681" s="29" t="n"/>
      <c r="E681" s="25" t="n"/>
      <c r="F681" s="1">
        <f>IF(B681="","",B681-WEEKDAY(B681,3))</f>
        <v/>
      </c>
    </row>
    <row r="682">
      <c r="A682" s="1" t="n"/>
      <c r="B682" s="26" t="n"/>
      <c r="C682" s="25" t="n"/>
      <c r="D682" s="29" t="n"/>
      <c r="E682" s="25" t="n"/>
      <c r="F682" s="1">
        <f>IF(B682="","",B682-WEEKDAY(B682,3))</f>
        <v/>
      </c>
    </row>
    <row r="683">
      <c r="A683" s="1" t="n"/>
      <c r="B683" s="26" t="n"/>
      <c r="C683" s="25" t="n"/>
      <c r="D683" s="29" t="n"/>
      <c r="E683" s="25" t="n"/>
      <c r="F683" s="1">
        <f>IF(B683="","",B683-WEEKDAY(B683,3))</f>
        <v/>
      </c>
    </row>
    <row r="684">
      <c r="A684" s="1" t="n"/>
      <c r="B684" s="26" t="n"/>
      <c r="C684" s="25" t="n"/>
      <c r="D684" s="29" t="n"/>
      <c r="E684" s="25" t="n"/>
      <c r="F684" s="1">
        <f>IF(B684="","",B684-WEEKDAY(B684,3))</f>
        <v/>
      </c>
    </row>
    <row r="685">
      <c r="A685" s="1" t="n"/>
      <c r="B685" s="26" t="n"/>
      <c r="C685" s="25" t="n"/>
      <c r="D685" s="29" t="n"/>
      <c r="E685" s="25" t="n"/>
      <c r="F685" s="1">
        <f>IF(B685="","",B685-WEEKDAY(B685,3))</f>
        <v/>
      </c>
    </row>
    <row r="686">
      <c r="A686" s="1" t="n"/>
      <c r="B686" s="26" t="n"/>
      <c r="C686" s="25" t="n"/>
      <c r="D686" s="29" t="n"/>
      <c r="E686" s="25" t="n"/>
      <c r="F686" s="1">
        <f>IF(B686="","",B686-WEEKDAY(B686,3))</f>
        <v/>
      </c>
    </row>
    <row r="687">
      <c r="A687" s="1" t="n"/>
      <c r="B687" s="26" t="n"/>
      <c r="C687" s="25" t="n"/>
      <c r="D687" s="29" t="n"/>
      <c r="E687" s="25" t="n"/>
      <c r="F687" s="1">
        <f>IF(B687="","",B687-WEEKDAY(B687,3))</f>
        <v/>
      </c>
    </row>
    <row r="688">
      <c r="A688" s="1" t="n"/>
      <c r="B688" s="26" t="n"/>
      <c r="C688" s="25" t="n"/>
      <c r="D688" s="29" t="n"/>
      <c r="E688" s="25" t="n"/>
      <c r="F688" s="1">
        <f>IF(B688="","",B688-WEEKDAY(B688,3))</f>
        <v/>
      </c>
    </row>
    <row r="689">
      <c r="A689" s="1" t="n"/>
      <c r="B689" s="26" t="n"/>
      <c r="C689" s="25" t="n"/>
      <c r="D689" s="29" t="n"/>
      <c r="E689" s="25" t="n"/>
      <c r="F689" s="1">
        <f>IF(B689="","",B689-WEEKDAY(B689,3))</f>
        <v/>
      </c>
    </row>
    <row r="690">
      <c r="A690" s="1" t="n"/>
      <c r="B690" s="26" t="n"/>
      <c r="C690" s="25" t="n"/>
      <c r="D690" s="29" t="n"/>
      <c r="E690" s="25" t="n"/>
      <c r="F690" s="1">
        <f>IF(B690="","",B690-WEEKDAY(B690,3))</f>
        <v/>
      </c>
    </row>
    <row r="691">
      <c r="A691" s="1" t="n"/>
      <c r="B691" s="26" t="n"/>
      <c r="C691" s="25" t="n"/>
      <c r="D691" s="29" t="n"/>
      <c r="E691" s="25" t="n"/>
      <c r="F691" s="1">
        <f>IF(B691="","",B691-WEEKDAY(B691,3))</f>
        <v/>
      </c>
    </row>
    <row r="692">
      <c r="A692" s="1" t="n"/>
      <c r="B692" s="26" t="n"/>
      <c r="C692" s="25" t="n"/>
      <c r="D692" s="29" t="n"/>
      <c r="E692" s="25" t="n"/>
      <c r="F692" s="1">
        <f>IF(B692="","",B692-WEEKDAY(B692,3))</f>
        <v/>
      </c>
    </row>
    <row r="693">
      <c r="A693" s="1" t="n"/>
      <c r="B693" s="26" t="n"/>
      <c r="C693" s="25" t="n"/>
      <c r="D693" s="29" t="n"/>
      <c r="E693" s="25" t="n"/>
      <c r="F693" s="1">
        <f>IF(B693="","",B693-WEEKDAY(B693,3))</f>
        <v/>
      </c>
    </row>
    <row r="694">
      <c r="A694" s="1" t="n"/>
      <c r="B694" s="26" t="n"/>
      <c r="C694" s="25" t="n"/>
      <c r="D694" s="29" t="n"/>
      <c r="E694" s="25" t="n"/>
      <c r="F694" s="1">
        <f>IF(B694="","",B694-WEEKDAY(B694,3))</f>
        <v/>
      </c>
    </row>
    <row r="695">
      <c r="A695" s="1" t="n"/>
      <c r="B695" s="26" t="n"/>
      <c r="C695" s="25" t="n"/>
      <c r="D695" s="29" t="n"/>
      <c r="E695" s="25" t="n"/>
      <c r="F695" s="1">
        <f>IF(B695="","",B695-WEEKDAY(B695,3))</f>
        <v/>
      </c>
    </row>
    <row r="696">
      <c r="A696" s="1" t="n"/>
      <c r="B696" s="26" t="n"/>
      <c r="C696" s="25" t="n"/>
      <c r="D696" s="29" t="n"/>
      <c r="E696" s="25" t="n"/>
      <c r="F696" s="1">
        <f>IF(B696="","",B696-WEEKDAY(B696,3))</f>
        <v/>
      </c>
    </row>
    <row r="697">
      <c r="A697" s="1" t="n"/>
      <c r="B697" s="26" t="n"/>
      <c r="C697" s="25" t="n"/>
      <c r="D697" s="29" t="n"/>
      <c r="E697" s="25" t="n"/>
      <c r="F697" s="1">
        <f>IF(B697="","",B697-WEEKDAY(B697,3))</f>
        <v/>
      </c>
    </row>
    <row r="698">
      <c r="A698" s="1" t="n"/>
      <c r="B698" s="26" t="n"/>
      <c r="C698" s="25" t="n"/>
      <c r="D698" s="29" t="n"/>
      <c r="E698" s="25" t="n"/>
      <c r="F698" s="1">
        <f>IF(B698="","",B698-WEEKDAY(B698,3))</f>
        <v/>
      </c>
    </row>
    <row r="699">
      <c r="A699" s="1" t="n"/>
      <c r="B699" s="26" t="n"/>
      <c r="C699" s="25" t="n"/>
      <c r="D699" s="29" t="n"/>
      <c r="E699" s="25" t="n"/>
      <c r="F699" s="1">
        <f>IF(B699="","",B699-WEEKDAY(B699,3))</f>
        <v/>
      </c>
    </row>
    <row r="700">
      <c r="A700" s="1" t="n"/>
      <c r="B700" s="26" t="n"/>
      <c r="C700" s="25" t="n"/>
      <c r="D700" s="29" t="n"/>
      <c r="E700" s="25" t="n"/>
      <c r="F700" s="1">
        <f>IF(B700="","",B700-WEEKDAY(B700,3))</f>
        <v/>
      </c>
    </row>
    <row r="701">
      <c r="A701" s="1" t="n"/>
      <c r="B701" s="26" t="n"/>
      <c r="C701" s="25" t="n"/>
      <c r="D701" s="29" t="n"/>
      <c r="E701" s="25" t="n"/>
      <c r="F701" s="1">
        <f>IF(B701="","",B701-WEEKDAY(B701,3))</f>
        <v/>
      </c>
    </row>
    <row r="702">
      <c r="A702" s="1" t="n"/>
      <c r="B702" s="26" t="n"/>
      <c r="C702" s="25" t="n"/>
      <c r="D702" s="29" t="n"/>
      <c r="E702" s="25" t="n"/>
      <c r="F702" s="1">
        <f>IF(B702="","",B702-WEEKDAY(B702,3))</f>
        <v/>
      </c>
    </row>
    <row r="703">
      <c r="A703" s="1" t="n"/>
      <c r="B703" s="26" t="n"/>
      <c r="C703" s="25" t="n"/>
      <c r="D703" s="29" t="n"/>
      <c r="E703" s="25" t="n"/>
      <c r="F703" s="1">
        <f>IF(B703="","",B703-WEEKDAY(B703,3))</f>
        <v/>
      </c>
    </row>
    <row r="704">
      <c r="A704" s="1" t="n"/>
      <c r="B704" s="26" t="n"/>
      <c r="C704" s="25" t="n"/>
      <c r="D704" s="29" t="n"/>
      <c r="E704" s="25" t="n"/>
      <c r="F704" s="1">
        <f>IF(B704="","",B704-WEEKDAY(B704,3))</f>
        <v/>
      </c>
    </row>
    <row r="705">
      <c r="A705" s="1" t="n"/>
      <c r="B705" s="26" t="n"/>
      <c r="C705" s="25" t="n"/>
      <c r="D705" s="29" t="n"/>
      <c r="E705" s="25" t="n"/>
      <c r="F705" s="1">
        <f>IF(B705="","",B705-WEEKDAY(B705,3))</f>
        <v/>
      </c>
    </row>
    <row r="706">
      <c r="A706" s="1" t="n"/>
      <c r="B706" s="26" t="n"/>
      <c r="C706" s="25" t="n"/>
      <c r="D706" s="29" t="n"/>
      <c r="E706" s="25" t="n"/>
      <c r="F706" s="1">
        <f>IF(B706="","",B706-WEEKDAY(B706,3))</f>
        <v/>
      </c>
    </row>
    <row r="707">
      <c r="A707" s="1" t="n"/>
      <c r="B707" s="26" t="n"/>
      <c r="C707" s="25" t="n"/>
      <c r="D707" s="29" t="n"/>
      <c r="E707" s="25" t="n"/>
      <c r="F707" s="1">
        <f>IF(B707="","",B707-WEEKDAY(B707,3))</f>
        <v/>
      </c>
    </row>
    <row r="708">
      <c r="A708" s="1" t="n"/>
      <c r="B708" s="26" t="n"/>
      <c r="C708" s="25" t="n"/>
      <c r="D708" s="29" t="n"/>
      <c r="E708" s="25" t="n"/>
      <c r="F708" s="1">
        <f>IF(B708="","",B708-WEEKDAY(B708,3))</f>
        <v/>
      </c>
    </row>
    <row r="709">
      <c r="A709" s="1" t="n"/>
      <c r="B709" s="26" t="n"/>
      <c r="C709" s="25" t="n"/>
      <c r="D709" s="29" t="n"/>
      <c r="E709" s="25" t="n"/>
      <c r="F709" s="1">
        <f>IF(B709="","",B709-WEEKDAY(B709,3))</f>
        <v/>
      </c>
    </row>
    <row r="710">
      <c r="A710" s="1" t="n"/>
      <c r="B710" s="26" t="n"/>
      <c r="C710" s="25" t="n"/>
      <c r="D710" s="29" t="n"/>
      <c r="E710" s="25" t="n"/>
      <c r="F710" s="1">
        <f>IF(B710="","",B710-WEEKDAY(B710,3))</f>
        <v/>
      </c>
    </row>
    <row r="711">
      <c r="A711" s="1" t="n"/>
      <c r="B711" s="26" t="n"/>
      <c r="C711" s="25" t="n"/>
      <c r="D711" s="29" t="n"/>
      <c r="E711" s="25" t="n"/>
      <c r="F711" s="1">
        <f>IF(B711="","",B711-WEEKDAY(B711,3))</f>
        <v/>
      </c>
    </row>
    <row r="712">
      <c r="A712" s="1" t="n"/>
      <c r="B712" s="26" t="n"/>
      <c r="C712" s="25" t="n"/>
      <c r="D712" s="29" t="n"/>
      <c r="E712" s="25" t="n"/>
      <c r="F712" s="1">
        <f>IF(B712="","",B712-WEEKDAY(B712,3))</f>
        <v/>
      </c>
    </row>
    <row r="713">
      <c r="A713" s="1" t="n"/>
      <c r="B713" s="26" t="n"/>
      <c r="C713" s="25" t="n"/>
      <c r="D713" s="29" t="n"/>
      <c r="E713" s="25" t="n"/>
      <c r="F713" s="1">
        <f>IF(B713="","",B713-WEEKDAY(B713,3))</f>
        <v/>
      </c>
    </row>
    <row r="714">
      <c r="A714" s="1" t="n"/>
      <c r="B714" s="26" t="n"/>
      <c r="C714" s="25" t="n"/>
      <c r="D714" s="29" t="n"/>
      <c r="E714" s="25" t="n"/>
      <c r="F714" s="1">
        <f>IF(B714="","",B714-WEEKDAY(B714,3))</f>
        <v/>
      </c>
    </row>
    <row r="715">
      <c r="A715" s="1" t="n"/>
      <c r="B715" s="26" t="n"/>
      <c r="C715" s="25" t="n"/>
      <c r="D715" s="29" t="n"/>
      <c r="E715" s="25" t="n"/>
      <c r="F715" s="1">
        <f>IF(B715="","",B715-WEEKDAY(B715,3))</f>
        <v/>
      </c>
    </row>
    <row r="716">
      <c r="A716" s="1" t="n"/>
      <c r="B716" s="26" t="n"/>
      <c r="C716" s="25" t="n"/>
      <c r="D716" s="29" t="n"/>
      <c r="E716" s="25" t="n"/>
      <c r="F716" s="1">
        <f>IF(B716="","",B716-WEEKDAY(B716,3))</f>
        <v/>
      </c>
    </row>
    <row r="717">
      <c r="A717" s="1" t="n"/>
      <c r="B717" s="26" t="n"/>
      <c r="C717" s="25" t="n"/>
      <c r="D717" s="29" t="n"/>
      <c r="E717" s="25" t="n"/>
      <c r="F717" s="1">
        <f>IF(B717="","",B717-WEEKDAY(B717,3))</f>
        <v/>
      </c>
    </row>
    <row r="718">
      <c r="A718" s="1" t="n"/>
      <c r="B718" s="26" t="n"/>
      <c r="C718" s="25" t="n"/>
      <c r="D718" s="29" t="n"/>
      <c r="E718" s="25" t="n"/>
      <c r="F718" s="1">
        <f>IF(B718="","",B718-WEEKDAY(B718,3))</f>
        <v/>
      </c>
    </row>
    <row r="719">
      <c r="A719" s="1" t="n"/>
      <c r="B719" s="26" t="n"/>
      <c r="C719" s="25" t="n"/>
      <c r="D719" s="29" t="n"/>
      <c r="E719" s="25" t="n"/>
      <c r="F719" s="1">
        <f>IF(B719="","",B719-WEEKDAY(B719,3))</f>
        <v/>
      </c>
    </row>
    <row r="720">
      <c r="A720" s="1" t="n"/>
      <c r="B720" s="26" t="n"/>
      <c r="C720" s="25" t="n"/>
      <c r="D720" s="29" t="n"/>
      <c r="E720" s="25" t="n"/>
      <c r="F720" s="1">
        <f>IF(B720="","",B720-WEEKDAY(B720,3))</f>
        <v/>
      </c>
    </row>
    <row r="721">
      <c r="A721" s="1" t="n"/>
      <c r="B721" s="26" t="n"/>
      <c r="C721" s="25" t="n"/>
      <c r="D721" s="29" t="n"/>
      <c r="E721" s="25" t="n"/>
      <c r="F721" s="1">
        <f>IF(B721="","",B721-WEEKDAY(B721,3))</f>
        <v/>
      </c>
    </row>
    <row r="722">
      <c r="A722" s="1" t="n"/>
      <c r="B722" s="26" t="n"/>
      <c r="C722" s="25" t="n"/>
      <c r="D722" s="29" t="n"/>
      <c r="E722" s="25" t="n"/>
      <c r="F722" s="1">
        <f>IF(B722="","",B722-WEEKDAY(B722,3))</f>
        <v/>
      </c>
    </row>
    <row r="723">
      <c r="A723" s="1" t="n"/>
      <c r="B723" s="26" t="n"/>
      <c r="C723" s="25" t="n"/>
      <c r="D723" s="29" t="n"/>
      <c r="E723" s="25" t="n"/>
      <c r="F723" s="1">
        <f>IF(B723="","",B723-WEEKDAY(B723,3))</f>
        <v/>
      </c>
    </row>
    <row r="724">
      <c r="A724" s="1" t="n"/>
      <c r="B724" s="26" t="n"/>
      <c r="C724" s="25" t="n"/>
      <c r="D724" s="29" t="n"/>
      <c r="E724" s="25" t="n"/>
      <c r="F724" s="1">
        <f>IF(B724="","",B724-WEEKDAY(B724,3))</f>
        <v/>
      </c>
    </row>
    <row r="725">
      <c r="A725" s="1" t="n"/>
      <c r="B725" s="26" t="n"/>
      <c r="C725" s="25" t="n"/>
      <c r="D725" s="29" t="n"/>
      <c r="E725" s="25" t="n"/>
      <c r="F725" s="1">
        <f>IF(B725="","",B725-WEEKDAY(B725,3))</f>
        <v/>
      </c>
    </row>
    <row r="726">
      <c r="A726" s="1" t="n"/>
      <c r="B726" s="26" t="n"/>
      <c r="C726" s="25" t="n"/>
      <c r="D726" s="29" t="n"/>
      <c r="E726" s="25" t="n"/>
      <c r="F726" s="1">
        <f>IF(B726="","",B726-WEEKDAY(B726,3))</f>
        <v/>
      </c>
    </row>
    <row r="727">
      <c r="A727" s="1" t="n"/>
      <c r="B727" s="26" t="n"/>
      <c r="C727" s="25" t="n"/>
      <c r="D727" s="29" t="n"/>
      <c r="E727" s="25" t="n"/>
      <c r="F727" s="1">
        <f>IF(B727="","",B727-WEEKDAY(B727,3))</f>
        <v/>
      </c>
    </row>
    <row r="728">
      <c r="A728" s="1" t="n"/>
      <c r="B728" s="26" t="n"/>
      <c r="C728" s="25" t="n"/>
      <c r="D728" s="29" t="n"/>
      <c r="E728" s="25" t="n"/>
      <c r="F728" s="1">
        <f>IF(B728="","",B728-WEEKDAY(B728,3))</f>
        <v/>
      </c>
    </row>
    <row r="729">
      <c r="A729" s="1" t="n"/>
      <c r="B729" s="26" t="n"/>
      <c r="C729" s="25" t="n"/>
      <c r="D729" s="29" t="n"/>
      <c r="E729" s="25" t="n"/>
      <c r="F729" s="1">
        <f>IF(B729="","",B729-WEEKDAY(B729,3))</f>
        <v/>
      </c>
    </row>
    <row r="730">
      <c r="A730" s="1" t="n"/>
      <c r="B730" s="26" t="n"/>
      <c r="C730" s="25" t="n"/>
      <c r="D730" s="29" t="n"/>
      <c r="E730" s="25" t="n"/>
      <c r="F730" s="1">
        <f>IF(B730="","",B730-WEEKDAY(B730,3))</f>
        <v/>
      </c>
    </row>
    <row r="731">
      <c r="A731" s="1" t="n"/>
      <c r="B731" s="26" t="n"/>
      <c r="C731" s="25" t="n"/>
      <c r="D731" s="29" t="n"/>
      <c r="E731" s="25" t="n"/>
      <c r="F731" s="1">
        <f>IF(B731="","",B731-WEEKDAY(B731,3))</f>
        <v/>
      </c>
    </row>
    <row r="732">
      <c r="A732" s="1" t="n"/>
      <c r="B732" s="26" t="n"/>
      <c r="C732" s="25" t="n"/>
      <c r="D732" s="29" t="n"/>
      <c r="E732" s="25" t="n"/>
      <c r="F732" s="1">
        <f>IF(B732="","",B732-WEEKDAY(B732,3))</f>
        <v/>
      </c>
    </row>
    <row r="733">
      <c r="A733" s="1" t="n"/>
      <c r="B733" s="26" t="n"/>
      <c r="C733" s="25" t="n"/>
      <c r="D733" s="29" t="n"/>
      <c r="E733" s="25" t="n"/>
      <c r="F733" s="1">
        <f>IF(B733="","",B733-WEEKDAY(B733,3))</f>
        <v/>
      </c>
    </row>
    <row r="734">
      <c r="A734" s="1" t="n"/>
      <c r="B734" s="26" t="n"/>
      <c r="C734" s="25" t="n"/>
      <c r="D734" s="29" t="n"/>
      <c r="E734" s="25" t="n"/>
      <c r="F734" s="1">
        <f>IF(B734="","",B734-WEEKDAY(B734,3))</f>
        <v/>
      </c>
    </row>
    <row r="735">
      <c r="A735" s="1" t="n"/>
      <c r="B735" s="26" t="n"/>
      <c r="C735" s="25" t="n"/>
      <c r="D735" s="29" t="n"/>
      <c r="E735" s="25" t="n"/>
      <c r="F735" s="1">
        <f>IF(B735="","",B735-WEEKDAY(B735,3))</f>
        <v/>
      </c>
    </row>
    <row r="736">
      <c r="A736" s="1" t="n"/>
      <c r="B736" s="26" t="n"/>
      <c r="C736" s="25" t="n"/>
      <c r="D736" s="29" t="n"/>
      <c r="E736" s="25" t="n"/>
      <c r="F736" s="1">
        <f>IF(B736="","",B736-WEEKDAY(B736,3))</f>
        <v/>
      </c>
    </row>
    <row r="737">
      <c r="A737" s="1" t="n"/>
      <c r="B737" s="26" t="n"/>
      <c r="C737" s="25" t="n"/>
      <c r="D737" s="29" t="n"/>
      <c r="E737" s="25" t="n"/>
      <c r="F737" s="1">
        <f>IF(B737="","",B737-WEEKDAY(B737,3))</f>
        <v/>
      </c>
    </row>
    <row r="738">
      <c r="A738" s="1" t="n"/>
      <c r="B738" s="26" t="n"/>
      <c r="C738" s="25" t="n"/>
      <c r="D738" s="29" t="n"/>
      <c r="E738" s="25" t="n"/>
      <c r="F738" s="1">
        <f>IF(B738="","",B738-WEEKDAY(B738,3))</f>
        <v/>
      </c>
    </row>
    <row r="739">
      <c r="A739" s="1" t="n"/>
      <c r="B739" s="26" t="n"/>
      <c r="C739" s="25" t="n"/>
      <c r="D739" s="29" t="n"/>
      <c r="E739" s="25" t="n"/>
      <c r="F739" s="1">
        <f>IF(B739="","",B739-WEEKDAY(B739,3))</f>
        <v/>
      </c>
    </row>
    <row r="740">
      <c r="A740" s="1" t="n"/>
      <c r="B740" s="26" t="n"/>
      <c r="C740" s="25" t="n"/>
      <c r="D740" s="29" t="n"/>
      <c r="E740" s="25" t="n"/>
      <c r="F740" s="1">
        <f>IF(B740="","",B740-WEEKDAY(B740,3))</f>
        <v/>
      </c>
    </row>
    <row r="741">
      <c r="A741" s="1" t="n"/>
      <c r="B741" s="26" t="n"/>
      <c r="C741" s="25" t="n"/>
      <c r="D741" s="29" t="n"/>
      <c r="E741" s="25" t="n"/>
      <c r="F741" s="1">
        <f>IF(B741="","",B741-WEEKDAY(B741,3))</f>
        <v/>
      </c>
    </row>
    <row r="742">
      <c r="A742" s="1" t="n"/>
      <c r="B742" s="26" t="n"/>
      <c r="C742" s="25" t="n"/>
      <c r="D742" s="29" t="n"/>
      <c r="E742" s="25" t="n"/>
      <c r="F742" s="1">
        <f>IF(B742="","",B742-WEEKDAY(B742,3))</f>
        <v/>
      </c>
    </row>
    <row r="743">
      <c r="A743" s="1" t="n"/>
      <c r="B743" s="26" t="n"/>
      <c r="C743" s="25" t="n"/>
      <c r="D743" s="29" t="n"/>
      <c r="E743" s="25" t="n"/>
      <c r="F743" s="1">
        <f>IF(B743="","",B743-WEEKDAY(B743,3))</f>
        <v/>
      </c>
    </row>
    <row r="744">
      <c r="A744" s="1" t="n"/>
      <c r="B744" s="26" t="n"/>
      <c r="C744" s="25" t="n"/>
      <c r="D744" s="29" t="n"/>
      <c r="E744" s="25" t="n"/>
      <c r="F744" s="1">
        <f>IF(B744="","",B744-WEEKDAY(B744,3))</f>
        <v/>
      </c>
    </row>
    <row r="745">
      <c r="A745" s="1" t="n"/>
      <c r="B745" s="26" t="n"/>
      <c r="C745" s="25" t="n"/>
      <c r="D745" s="29" t="n"/>
      <c r="E745" s="25" t="n"/>
      <c r="F745" s="1">
        <f>IF(B745="","",B745-WEEKDAY(B745,3))</f>
        <v/>
      </c>
    </row>
    <row r="746">
      <c r="A746" s="1" t="n"/>
      <c r="B746" s="26" t="n"/>
      <c r="C746" s="25" t="n"/>
      <c r="D746" s="29" t="n"/>
      <c r="E746" s="25" t="n"/>
      <c r="F746" s="1">
        <f>IF(B746="","",B746-WEEKDAY(B746,3))</f>
        <v/>
      </c>
    </row>
    <row r="747">
      <c r="A747" s="1" t="n"/>
      <c r="B747" s="26" t="n"/>
      <c r="C747" s="25" t="n"/>
      <c r="D747" s="29" t="n"/>
      <c r="E747" s="25" t="n"/>
      <c r="F747" s="1">
        <f>IF(B747="","",B747-WEEKDAY(B747,3))</f>
        <v/>
      </c>
    </row>
    <row r="748">
      <c r="A748" s="1" t="n"/>
      <c r="B748" s="26" t="n"/>
      <c r="C748" s="25" t="n"/>
      <c r="D748" s="29" t="n"/>
      <c r="E748" s="25" t="n"/>
      <c r="F748" s="1">
        <f>IF(B748="","",B748-WEEKDAY(B748,3))</f>
        <v/>
      </c>
    </row>
    <row r="749">
      <c r="A749" s="1" t="n"/>
      <c r="B749" s="26" t="n"/>
      <c r="C749" s="25" t="n"/>
      <c r="D749" s="29" t="n"/>
      <c r="E749" s="25" t="n"/>
      <c r="F749" s="1">
        <f>IF(B749="","",B749-WEEKDAY(B749,3))</f>
        <v/>
      </c>
    </row>
    <row r="750">
      <c r="A750" s="1" t="n"/>
      <c r="B750" s="26" t="n"/>
      <c r="C750" s="25" t="n"/>
      <c r="D750" s="29" t="n"/>
      <c r="E750" s="25" t="n"/>
      <c r="F750" s="1">
        <f>IF(B750="","",B750-WEEKDAY(B750,3))</f>
        <v/>
      </c>
    </row>
    <row r="751">
      <c r="A751" s="1" t="n"/>
      <c r="B751" s="26" t="n"/>
      <c r="C751" s="25" t="n"/>
      <c r="D751" s="29" t="n"/>
      <c r="E751" s="25" t="n"/>
      <c r="F751" s="1">
        <f>IF(B751="","",B751-WEEKDAY(B751,3))</f>
        <v/>
      </c>
    </row>
    <row r="752">
      <c r="A752" s="1" t="n"/>
      <c r="B752" s="26" t="n"/>
      <c r="C752" s="25" t="n"/>
      <c r="D752" s="29" t="n"/>
      <c r="E752" s="25" t="n"/>
      <c r="F752" s="1">
        <f>IF(B752="","",B752-WEEKDAY(B752,3))</f>
        <v/>
      </c>
    </row>
    <row r="753">
      <c r="A753" s="1" t="n"/>
      <c r="B753" s="26" t="n"/>
      <c r="C753" s="25" t="n"/>
      <c r="D753" s="29" t="n"/>
      <c r="E753" s="25" t="n"/>
      <c r="F753" s="1">
        <f>IF(B753="","",B753-WEEKDAY(B753,3))</f>
        <v/>
      </c>
    </row>
    <row r="754">
      <c r="A754" s="1" t="n"/>
      <c r="B754" s="26" t="n"/>
      <c r="C754" s="25" t="n"/>
      <c r="D754" s="29" t="n"/>
      <c r="E754" s="25" t="n"/>
      <c r="F754" s="1">
        <f>IF(B754="","",B754-WEEKDAY(B754,3))</f>
        <v/>
      </c>
    </row>
    <row r="755">
      <c r="A755" s="1" t="n"/>
      <c r="B755" s="26" t="n"/>
      <c r="C755" s="25" t="n"/>
      <c r="D755" s="29" t="n"/>
      <c r="E755" s="25" t="n"/>
      <c r="F755" s="1">
        <f>IF(B755="","",B755-WEEKDAY(B755,3))</f>
        <v/>
      </c>
    </row>
    <row r="756">
      <c r="A756" s="1" t="n"/>
      <c r="B756" s="26" t="n"/>
      <c r="C756" s="25" t="n"/>
      <c r="D756" s="29" t="n"/>
      <c r="E756" s="25" t="n"/>
      <c r="F756" s="1">
        <f>IF(B756="","",B756-WEEKDAY(B756,3))</f>
        <v/>
      </c>
    </row>
    <row r="757">
      <c r="A757" s="1" t="n"/>
      <c r="B757" s="26" t="n"/>
      <c r="C757" s="25" t="n"/>
      <c r="D757" s="29" t="n"/>
      <c r="E757" s="25" t="n"/>
      <c r="F757" s="1">
        <f>IF(B757="","",B757-WEEKDAY(B757,3))</f>
        <v/>
      </c>
    </row>
    <row r="758">
      <c r="A758" s="1" t="n"/>
      <c r="B758" s="26" t="n"/>
      <c r="C758" s="25" t="n"/>
      <c r="D758" s="29" t="n"/>
      <c r="E758" s="25" t="n"/>
      <c r="F758" s="1">
        <f>IF(B758="","",B758-WEEKDAY(B758,3))</f>
        <v/>
      </c>
    </row>
    <row r="759">
      <c r="A759" s="1" t="n"/>
      <c r="B759" s="26" t="n"/>
      <c r="C759" s="25" t="n"/>
      <c r="D759" s="29" t="n"/>
      <c r="E759" s="25" t="n"/>
      <c r="F759" s="1">
        <f>IF(B759="","",B759-WEEKDAY(B759,3))</f>
        <v/>
      </c>
    </row>
    <row r="760">
      <c r="A760" s="1" t="n"/>
      <c r="B760" s="26" t="n"/>
      <c r="C760" s="25" t="n"/>
      <c r="D760" s="29" t="n"/>
      <c r="E760" s="25" t="n"/>
      <c r="F760" s="1">
        <f>IF(B760="","",B760-WEEKDAY(B760,3))</f>
        <v/>
      </c>
    </row>
    <row r="761">
      <c r="A761" s="1" t="n"/>
      <c r="B761" s="26" t="n"/>
      <c r="C761" s="25" t="n"/>
      <c r="D761" s="29" t="n"/>
      <c r="E761" s="25" t="n"/>
      <c r="F761" s="1">
        <f>IF(B761="","",B761-WEEKDAY(B761,3))</f>
        <v/>
      </c>
    </row>
    <row r="762">
      <c r="A762" s="1" t="n"/>
      <c r="B762" s="26" t="n"/>
      <c r="C762" s="25" t="n"/>
      <c r="D762" s="29" t="n"/>
      <c r="E762" s="25" t="n"/>
      <c r="F762" s="1">
        <f>IF(B762="","",B762-WEEKDAY(B762,3))</f>
        <v/>
      </c>
    </row>
    <row r="763">
      <c r="A763" s="1" t="n"/>
      <c r="B763" s="26" t="n"/>
      <c r="C763" s="25" t="n"/>
      <c r="D763" s="29" t="n"/>
      <c r="E763" s="25" t="n"/>
      <c r="F763" s="1">
        <f>IF(B763="","",B763-WEEKDAY(B763,3))</f>
        <v/>
      </c>
    </row>
    <row r="764">
      <c r="A764" s="1" t="n"/>
      <c r="B764" s="26" t="n"/>
      <c r="C764" s="25" t="n"/>
      <c r="D764" s="29" t="n"/>
      <c r="E764" s="25" t="n"/>
      <c r="F764" s="1">
        <f>IF(B764="","",B764-WEEKDAY(B764,3))</f>
        <v/>
      </c>
    </row>
    <row r="765">
      <c r="A765" s="1" t="n"/>
      <c r="B765" s="26" t="n"/>
      <c r="C765" s="25" t="n"/>
      <c r="D765" s="29" t="n"/>
      <c r="E765" s="25" t="n"/>
      <c r="F765" s="1">
        <f>IF(B765="","",B765-WEEKDAY(B765,3))</f>
        <v/>
      </c>
    </row>
    <row r="766">
      <c r="A766" s="1" t="n"/>
      <c r="B766" s="26" t="n"/>
      <c r="C766" s="25" t="n"/>
      <c r="D766" s="29" t="n"/>
      <c r="E766" s="25" t="n"/>
      <c r="F766" s="1">
        <f>IF(B766="","",B766-WEEKDAY(B766,3))</f>
        <v/>
      </c>
    </row>
    <row r="767">
      <c r="A767" s="1" t="n"/>
      <c r="B767" s="26" t="n"/>
      <c r="C767" s="25" t="n"/>
      <c r="D767" s="29" t="n"/>
      <c r="E767" s="25" t="n"/>
      <c r="F767" s="1">
        <f>IF(B767="","",B767-WEEKDAY(B767,3))</f>
        <v/>
      </c>
    </row>
    <row r="768">
      <c r="A768" s="1" t="n"/>
      <c r="B768" s="26" t="n"/>
      <c r="C768" s="25" t="n"/>
      <c r="D768" s="29" t="n"/>
      <c r="E768" s="25" t="n"/>
      <c r="F768" s="1">
        <f>IF(B768="","",B768-WEEKDAY(B768,3))</f>
        <v/>
      </c>
    </row>
    <row r="769">
      <c r="A769" s="1" t="n"/>
      <c r="B769" s="26" t="n"/>
      <c r="C769" s="25" t="n"/>
      <c r="D769" s="29" t="n"/>
      <c r="E769" s="25" t="n"/>
      <c r="F769" s="1">
        <f>IF(B769="","",B769-WEEKDAY(B769,3))</f>
        <v/>
      </c>
    </row>
    <row r="770">
      <c r="A770" s="1" t="n"/>
      <c r="B770" s="26" t="n"/>
      <c r="C770" s="25" t="n"/>
      <c r="D770" s="29" t="n"/>
      <c r="E770" s="25" t="n"/>
      <c r="F770" s="1">
        <f>IF(B770="","",B770-WEEKDAY(B770,3))</f>
        <v/>
      </c>
    </row>
    <row r="771">
      <c r="A771" s="1" t="n"/>
      <c r="B771" s="26" t="n"/>
      <c r="C771" s="25" t="n"/>
      <c r="D771" s="29" t="n"/>
      <c r="E771" s="25" t="n"/>
      <c r="F771" s="1">
        <f>IF(B771="","",B771-WEEKDAY(B771,3))</f>
        <v/>
      </c>
    </row>
    <row r="772">
      <c r="A772" s="1" t="n"/>
      <c r="B772" s="26" t="n"/>
      <c r="C772" s="25" t="n"/>
      <c r="D772" s="29" t="n"/>
      <c r="E772" s="25" t="n"/>
      <c r="F772" s="1">
        <f>IF(B772="","",B772-WEEKDAY(B772,3))</f>
        <v/>
      </c>
    </row>
    <row r="773">
      <c r="A773" s="1" t="n"/>
      <c r="B773" s="26" t="n"/>
      <c r="C773" s="25" t="n"/>
      <c r="D773" s="29" t="n"/>
      <c r="E773" s="25" t="n"/>
      <c r="F773" s="1">
        <f>IF(B773="","",B773-WEEKDAY(B773,3))</f>
        <v/>
      </c>
    </row>
    <row r="774">
      <c r="A774" s="1" t="n"/>
      <c r="B774" s="26" t="n"/>
      <c r="C774" s="25" t="n"/>
      <c r="D774" s="29" t="n"/>
      <c r="E774" s="25" t="n"/>
      <c r="F774" s="1">
        <f>IF(B774="","",B774-WEEKDAY(B774,3))</f>
        <v/>
      </c>
    </row>
    <row r="775">
      <c r="A775" s="1" t="n"/>
      <c r="B775" s="26" t="n"/>
      <c r="C775" s="25" t="n"/>
      <c r="D775" s="29" t="n"/>
      <c r="E775" s="25" t="n"/>
      <c r="F775" s="1">
        <f>IF(B775="","",B775-WEEKDAY(B775,3))</f>
        <v/>
      </c>
    </row>
    <row r="776">
      <c r="A776" s="1" t="n"/>
      <c r="B776" s="26" t="n"/>
      <c r="C776" s="25" t="n"/>
      <c r="D776" s="29" t="n"/>
      <c r="E776" s="25" t="n"/>
      <c r="F776" s="1">
        <f>IF(B776="","",B776-WEEKDAY(B776,3))</f>
        <v/>
      </c>
    </row>
    <row r="777">
      <c r="A777" s="1" t="n"/>
      <c r="B777" s="26" t="n"/>
      <c r="C777" s="25" t="n"/>
      <c r="D777" s="29" t="n"/>
      <c r="E777" s="25" t="n"/>
      <c r="F777" s="1">
        <f>IF(B777="","",B777-WEEKDAY(B777,3))</f>
        <v/>
      </c>
    </row>
    <row r="778">
      <c r="A778" s="1" t="n"/>
      <c r="B778" s="26" t="n"/>
      <c r="C778" s="25" t="n"/>
      <c r="D778" s="29" t="n"/>
      <c r="E778" s="25" t="n"/>
      <c r="F778" s="1">
        <f>IF(B778="","",B778-WEEKDAY(B778,3))</f>
        <v/>
      </c>
    </row>
    <row r="779">
      <c r="A779" s="1" t="n"/>
      <c r="B779" s="26" t="n"/>
      <c r="C779" s="25" t="n"/>
      <c r="D779" s="29" t="n"/>
      <c r="E779" s="25" t="n"/>
      <c r="F779" s="1">
        <f>IF(B779="","",B779-WEEKDAY(B779,3))</f>
        <v/>
      </c>
    </row>
    <row r="780">
      <c r="A780" s="1" t="n"/>
      <c r="B780" s="26" t="n"/>
      <c r="C780" s="25" t="n"/>
      <c r="D780" s="29" t="n"/>
      <c r="E780" s="25" t="n"/>
      <c r="F780" s="1">
        <f>IF(B780="","",B780-WEEKDAY(B780,3))</f>
        <v/>
      </c>
    </row>
    <row r="781">
      <c r="A781" s="1" t="n"/>
      <c r="B781" s="26" t="n"/>
      <c r="C781" s="25" t="n"/>
      <c r="D781" s="29" t="n"/>
      <c r="E781" s="25" t="n"/>
      <c r="F781" s="1">
        <f>IF(B781="","",B781-WEEKDAY(B781,3))</f>
        <v/>
      </c>
    </row>
    <row r="782">
      <c r="A782" s="1" t="n"/>
      <c r="B782" s="26" t="n"/>
      <c r="C782" s="25" t="n"/>
      <c r="D782" s="29" t="n"/>
      <c r="E782" s="25" t="n"/>
      <c r="F782" s="1">
        <f>IF(B782="","",B782-WEEKDAY(B782,3))</f>
        <v/>
      </c>
    </row>
    <row r="783">
      <c r="A783" s="1" t="n"/>
      <c r="B783" s="26" t="n"/>
      <c r="C783" s="25" t="n"/>
      <c r="D783" s="29" t="n"/>
      <c r="E783" s="25" t="n"/>
      <c r="F783" s="1">
        <f>IF(B783="","",B783-WEEKDAY(B783,3))</f>
        <v/>
      </c>
    </row>
    <row r="784">
      <c r="A784" s="1" t="n"/>
      <c r="B784" s="26" t="n"/>
      <c r="C784" s="25" t="n"/>
      <c r="D784" s="29" t="n"/>
      <c r="E784" s="25" t="n"/>
      <c r="F784" s="1">
        <f>IF(B784="","",B784-WEEKDAY(B784,3))</f>
        <v/>
      </c>
    </row>
    <row r="785">
      <c r="A785" s="1" t="n"/>
      <c r="B785" s="26" t="n"/>
      <c r="C785" s="25" t="n"/>
      <c r="D785" s="29" t="n"/>
      <c r="E785" s="25" t="n"/>
      <c r="F785" s="1">
        <f>IF(B785="","",B785-WEEKDAY(B785,3))</f>
        <v/>
      </c>
    </row>
    <row r="786">
      <c r="A786" s="1" t="n"/>
      <c r="B786" s="26" t="n"/>
      <c r="C786" s="25" t="n"/>
      <c r="D786" s="29" t="n"/>
      <c r="E786" s="25" t="n"/>
      <c r="F786" s="1">
        <f>IF(B786="","",B786-WEEKDAY(B786,3))</f>
        <v/>
      </c>
    </row>
    <row r="787">
      <c r="A787" s="1" t="n"/>
      <c r="B787" s="26" t="n"/>
      <c r="C787" s="25" t="n"/>
      <c r="D787" s="29" t="n"/>
      <c r="E787" s="25" t="n"/>
      <c r="F787" s="1">
        <f>IF(B787="","",B787-WEEKDAY(B787,3))</f>
        <v/>
      </c>
    </row>
    <row r="788">
      <c r="A788" s="1" t="n"/>
      <c r="B788" s="26" t="n"/>
      <c r="C788" s="25" t="n"/>
      <c r="D788" s="29" t="n"/>
      <c r="E788" s="25" t="n"/>
      <c r="F788" s="1">
        <f>IF(B788="","",B788-WEEKDAY(B788,3))</f>
        <v/>
      </c>
    </row>
    <row r="789">
      <c r="A789" s="1" t="n"/>
      <c r="B789" s="26" t="n"/>
      <c r="C789" s="25" t="n"/>
      <c r="D789" s="29" t="n"/>
      <c r="E789" s="25" t="n"/>
      <c r="F789" s="1">
        <f>IF(B789="","",B789-WEEKDAY(B789,3))</f>
        <v/>
      </c>
    </row>
    <row r="790">
      <c r="A790" s="1" t="n"/>
      <c r="B790" s="26" t="n"/>
      <c r="C790" s="25" t="n"/>
      <c r="D790" s="29" t="n"/>
      <c r="E790" s="25" t="n"/>
      <c r="F790" s="1">
        <f>IF(B790="","",B790-WEEKDAY(B790,3))</f>
        <v/>
      </c>
    </row>
    <row r="791">
      <c r="A791" s="1" t="n"/>
      <c r="B791" s="26" t="n"/>
      <c r="C791" s="25" t="n"/>
      <c r="D791" s="29" t="n"/>
      <c r="E791" s="25" t="n"/>
      <c r="F791" s="1">
        <f>IF(B791="","",B791-WEEKDAY(B791,3))</f>
        <v/>
      </c>
    </row>
    <row r="792">
      <c r="A792" s="1" t="n"/>
      <c r="B792" s="26" t="n"/>
      <c r="C792" s="25" t="n"/>
      <c r="D792" s="29" t="n"/>
      <c r="E792" s="25" t="n"/>
      <c r="F792" s="1">
        <f>IF(B792="","",B792-WEEKDAY(B792,3))</f>
        <v/>
      </c>
    </row>
    <row r="793">
      <c r="A793" s="1" t="n"/>
      <c r="B793" s="26" t="n"/>
      <c r="C793" s="25" t="n"/>
      <c r="D793" s="29" t="n"/>
      <c r="E793" s="25" t="n"/>
      <c r="F793" s="1">
        <f>IF(B793="","",B793-WEEKDAY(B793,3))</f>
        <v/>
      </c>
    </row>
    <row r="794">
      <c r="A794" s="1" t="n"/>
      <c r="B794" s="26" t="n"/>
      <c r="C794" s="25" t="n"/>
      <c r="D794" s="29" t="n"/>
      <c r="E794" s="25" t="n"/>
      <c r="F794" s="1">
        <f>IF(B794="","",B794-WEEKDAY(B794,3))</f>
        <v/>
      </c>
    </row>
    <row r="795">
      <c r="A795" s="1" t="n"/>
      <c r="B795" s="26" t="n"/>
      <c r="C795" s="25" t="n"/>
      <c r="D795" s="29" t="n"/>
      <c r="E795" s="25" t="n"/>
      <c r="F795" s="1">
        <f>IF(B795="","",B795-WEEKDAY(B795,3))</f>
        <v/>
      </c>
    </row>
    <row r="796">
      <c r="A796" s="1" t="n"/>
      <c r="B796" s="26" t="n"/>
      <c r="C796" s="25" t="n"/>
      <c r="D796" s="29" t="n"/>
      <c r="E796" s="25" t="n"/>
      <c r="F796" s="1">
        <f>IF(B796="","",B796-WEEKDAY(B796,3))</f>
        <v/>
      </c>
    </row>
    <row r="797">
      <c r="A797" s="1" t="n"/>
      <c r="B797" s="26" t="n"/>
      <c r="C797" s="25" t="n"/>
      <c r="D797" s="29" t="n"/>
      <c r="E797" s="25" t="n"/>
      <c r="F797" s="1">
        <f>IF(B797="","",B797-WEEKDAY(B797,3))</f>
        <v/>
      </c>
    </row>
    <row r="798">
      <c r="A798" s="1" t="n"/>
      <c r="B798" s="26" t="n"/>
      <c r="C798" s="25" t="n"/>
      <c r="D798" s="29" t="n"/>
      <c r="E798" s="25" t="n"/>
      <c r="F798" s="1">
        <f>IF(B798="","",B798-WEEKDAY(B798,3))</f>
        <v/>
      </c>
    </row>
    <row r="799">
      <c r="A799" s="1" t="n"/>
      <c r="B799" s="26" t="n"/>
      <c r="C799" s="25" t="n"/>
      <c r="D799" s="29" t="n"/>
      <c r="E799" s="25" t="n"/>
      <c r="F799" s="1">
        <f>IF(B799="","",B799-WEEKDAY(B799,3))</f>
        <v/>
      </c>
    </row>
    <row r="800">
      <c r="A800" s="1" t="n"/>
      <c r="B800" s="26" t="n"/>
      <c r="C800" s="25" t="n"/>
      <c r="D800" s="29" t="n"/>
      <c r="E800" s="25" t="n"/>
      <c r="F800" s="1">
        <f>IF(B800="","",B800-WEEKDAY(B800,3))</f>
        <v/>
      </c>
    </row>
    <row r="801">
      <c r="A801" s="1" t="n"/>
      <c r="B801" s="26" t="n"/>
      <c r="C801" s="25" t="n"/>
      <c r="D801" s="29" t="n"/>
      <c r="E801" s="25" t="n"/>
      <c r="F801" s="1">
        <f>IF(B801="","",B801-WEEKDAY(B801,3))</f>
        <v/>
      </c>
    </row>
    <row r="802">
      <c r="A802" s="1" t="n"/>
      <c r="B802" s="26" t="n"/>
      <c r="C802" s="25" t="n"/>
      <c r="D802" s="29" t="n"/>
      <c r="E802" s="25" t="n"/>
      <c r="F802" s="1">
        <f>IF(B802="","",B802-WEEKDAY(B802,3))</f>
        <v/>
      </c>
    </row>
    <row r="803">
      <c r="A803" s="1" t="n"/>
      <c r="B803" s="26" t="n"/>
      <c r="C803" s="25" t="n"/>
      <c r="D803" s="29" t="n"/>
      <c r="E803" s="25" t="n"/>
      <c r="F803" s="1">
        <f>IF(B803="","",B803-WEEKDAY(B803,3))</f>
        <v/>
      </c>
    </row>
    <row r="804">
      <c r="A804" s="1" t="n"/>
      <c r="B804" s="26" t="n"/>
      <c r="C804" s="25" t="n"/>
      <c r="D804" s="29" t="n"/>
      <c r="E804" s="25" t="n"/>
      <c r="F804" s="1">
        <f>IF(B804="","",B804-WEEKDAY(B804,3))</f>
        <v/>
      </c>
    </row>
    <row r="805">
      <c r="A805" s="1" t="n"/>
      <c r="B805" s="26" t="n"/>
      <c r="C805" s="25" t="n"/>
      <c r="D805" s="29" t="n"/>
      <c r="E805" s="25" t="n"/>
      <c r="F805" s="1">
        <f>IF(B805="","",B805-WEEKDAY(B805,3))</f>
        <v/>
      </c>
    </row>
    <row r="806">
      <c r="A806" s="1" t="n"/>
      <c r="B806" s="26" t="n"/>
      <c r="C806" s="25" t="n"/>
      <c r="D806" s="29" t="n"/>
      <c r="E806" s="25" t="n"/>
      <c r="F806" s="1">
        <f>IF(B806="","",B806-WEEKDAY(B806,3))</f>
        <v/>
      </c>
    </row>
    <row r="807">
      <c r="A807" s="1" t="n"/>
      <c r="B807" s="26" t="n"/>
      <c r="C807" s="25" t="n"/>
      <c r="D807" s="29" t="n"/>
      <c r="E807" s="25" t="n"/>
      <c r="F807" s="1">
        <f>IF(B807="","",B807-WEEKDAY(B807,3))</f>
        <v/>
      </c>
    </row>
    <row r="808">
      <c r="A808" s="1" t="n"/>
      <c r="B808" s="26" t="n"/>
      <c r="C808" s="25" t="n"/>
      <c r="D808" s="29" t="n"/>
      <c r="E808" s="25" t="n"/>
      <c r="F808" s="1">
        <f>IF(B808="","",B808-WEEKDAY(B808,3))</f>
        <v/>
      </c>
    </row>
    <row r="809">
      <c r="A809" s="1" t="n"/>
      <c r="B809" s="26" t="n"/>
      <c r="C809" s="25" t="n"/>
      <c r="D809" s="29" t="n"/>
      <c r="E809" s="25" t="n"/>
      <c r="F809" s="1">
        <f>IF(B809="","",B809-WEEKDAY(B809,3))</f>
        <v/>
      </c>
    </row>
    <row r="810">
      <c r="A810" s="1" t="n"/>
      <c r="B810" s="26" t="n"/>
      <c r="C810" s="25" t="n"/>
      <c r="D810" s="29" t="n"/>
      <c r="E810" s="25" t="n"/>
      <c r="F810" s="1">
        <f>IF(B810="","",B810-WEEKDAY(B810,3))</f>
        <v/>
      </c>
    </row>
    <row r="811">
      <c r="A811" s="1" t="n"/>
      <c r="B811" s="26" t="n"/>
      <c r="C811" s="25" t="n"/>
      <c r="D811" s="29" t="n"/>
      <c r="E811" s="25" t="n"/>
      <c r="F811" s="1">
        <f>IF(B811="","",B811-WEEKDAY(B811,3))</f>
        <v/>
      </c>
    </row>
    <row r="812">
      <c r="A812" s="1" t="n"/>
      <c r="B812" s="26" t="n"/>
      <c r="C812" s="25" t="n"/>
      <c r="D812" s="29" t="n"/>
      <c r="E812" s="25" t="n"/>
      <c r="F812" s="1">
        <f>IF(B812="","",B812-WEEKDAY(B812,3))</f>
        <v/>
      </c>
    </row>
    <row r="813">
      <c r="A813" s="1" t="n"/>
      <c r="B813" s="26" t="n"/>
      <c r="C813" s="25" t="n"/>
      <c r="D813" s="29" t="n"/>
      <c r="E813" s="25" t="n"/>
      <c r="F813" s="1">
        <f>IF(B813="","",B813-WEEKDAY(B813,3))</f>
        <v/>
      </c>
    </row>
    <row r="814">
      <c r="A814" s="1" t="n"/>
      <c r="B814" s="26" t="n"/>
      <c r="C814" s="25" t="n"/>
      <c r="D814" s="29" t="n"/>
      <c r="E814" s="25" t="n"/>
      <c r="F814" s="1">
        <f>IF(B814="","",B814-WEEKDAY(B814,3))</f>
        <v/>
      </c>
    </row>
    <row r="815">
      <c r="A815" s="1" t="n"/>
      <c r="B815" s="26" t="n"/>
      <c r="C815" s="25" t="n"/>
      <c r="D815" s="29" t="n"/>
      <c r="E815" s="25" t="n"/>
      <c r="F815" s="1">
        <f>IF(B815="","",B815-WEEKDAY(B815,3))</f>
        <v/>
      </c>
    </row>
    <row r="816">
      <c r="A816" s="1" t="n"/>
      <c r="B816" s="26" t="n"/>
      <c r="C816" s="25" t="n"/>
      <c r="D816" s="29" t="n"/>
      <c r="E816" s="25" t="n"/>
      <c r="F816" s="1">
        <f>IF(B816="","",B816-WEEKDAY(B816,3))</f>
        <v/>
      </c>
    </row>
    <row r="817">
      <c r="A817" s="1" t="n"/>
      <c r="B817" s="26" t="n"/>
      <c r="C817" s="25" t="n"/>
      <c r="D817" s="29" t="n"/>
      <c r="E817" s="25" t="n"/>
      <c r="F817" s="1">
        <f>IF(B817="","",B817-WEEKDAY(B817,3))</f>
        <v/>
      </c>
    </row>
    <row r="818">
      <c r="A818" s="1" t="n"/>
      <c r="B818" s="26" t="n"/>
      <c r="C818" s="25" t="n"/>
      <c r="D818" s="29" t="n"/>
      <c r="E818" s="25" t="n"/>
      <c r="F818" s="1">
        <f>IF(B818="","",B818-WEEKDAY(B818,3))</f>
        <v/>
      </c>
    </row>
    <row r="819">
      <c r="A819" s="1" t="n"/>
      <c r="B819" s="26" t="n"/>
      <c r="C819" s="25" t="n"/>
      <c r="D819" s="29" t="n"/>
      <c r="E819" s="25" t="n"/>
      <c r="F819" s="1">
        <f>IF(B819="","",B819-WEEKDAY(B819,3))</f>
        <v/>
      </c>
    </row>
    <row r="820">
      <c r="A820" s="1" t="n"/>
      <c r="B820" s="26" t="n"/>
      <c r="C820" s="25" t="n"/>
      <c r="D820" s="29" t="n"/>
      <c r="E820" s="25" t="n"/>
      <c r="F820" s="1">
        <f>IF(B820="","",B820-WEEKDAY(B820,3))</f>
        <v/>
      </c>
    </row>
    <row r="821">
      <c r="A821" s="1" t="n"/>
      <c r="B821" s="26" t="n"/>
      <c r="C821" s="25" t="n"/>
      <c r="D821" s="29" t="n"/>
      <c r="E821" s="25" t="n"/>
      <c r="F821" s="1">
        <f>IF(B821="","",B821-WEEKDAY(B821,3))</f>
        <v/>
      </c>
    </row>
    <row r="822">
      <c r="A822" s="1" t="n"/>
      <c r="B822" s="26" t="n"/>
      <c r="C822" s="25" t="n"/>
      <c r="D822" s="29" t="n"/>
      <c r="E822" s="25" t="n"/>
      <c r="F822" s="1">
        <f>IF(B822="","",B822-WEEKDAY(B822,3))</f>
        <v/>
      </c>
    </row>
    <row r="823">
      <c r="A823" s="1" t="n"/>
      <c r="B823" s="26" t="n"/>
      <c r="C823" s="25" t="n"/>
      <c r="D823" s="29" t="n"/>
      <c r="E823" s="25" t="n"/>
      <c r="F823" s="1">
        <f>IF(B823="","",B823-WEEKDAY(B823,3))</f>
        <v/>
      </c>
    </row>
    <row r="824">
      <c r="A824" s="1" t="n"/>
      <c r="B824" s="26" t="n"/>
      <c r="C824" s="25" t="n"/>
      <c r="D824" s="29" t="n"/>
      <c r="E824" s="25" t="n"/>
      <c r="F824" s="1">
        <f>IF(B824="","",B824-WEEKDAY(B824,3))</f>
        <v/>
      </c>
    </row>
    <row r="825">
      <c r="A825" s="1" t="n"/>
      <c r="B825" s="26" t="n"/>
      <c r="C825" s="25" t="n"/>
      <c r="D825" s="29" t="n"/>
      <c r="E825" s="25" t="n"/>
      <c r="F825" s="1">
        <f>IF(B825="","",B825-WEEKDAY(B825,3))</f>
        <v/>
      </c>
    </row>
    <row r="826">
      <c r="A826" s="1" t="n"/>
      <c r="B826" s="26" t="n"/>
      <c r="C826" s="25" t="n"/>
      <c r="D826" s="29" t="n"/>
      <c r="E826" s="25" t="n"/>
      <c r="F826" s="1">
        <f>IF(B826="","",B826-WEEKDAY(B826,3))</f>
        <v/>
      </c>
    </row>
    <row r="827">
      <c r="A827" s="1" t="n"/>
      <c r="B827" s="26" t="n"/>
      <c r="C827" s="25" t="n"/>
      <c r="D827" s="29" t="n"/>
      <c r="E827" s="25" t="n"/>
      <c r="F827" s="1">
        <f>IF(B827="","",B827-WEEKDAY(B827,3))</f>
        <v/>
      </c>
    </row>
    <row r="828">
      <c r="A828" s="1" t="n"/>
      <c r="B828" s="26" t="n"/>
      <c r="C828" s="25" t="n"/>
      <c r="D828" s="29" t="n"/>
      <c r="E828" s="25" t="n"/>
      <c r="F828" s="1">
        <f>IF(B828="","",B828-WEEKDAY(B828,3))</f>
        <v/>
      </c>
    </row>
    <row r="829">
      <c r="A829" s="1" t="n"/>
      <c r="B829" s="26" t="n"/>
      <c r="C829" s="25" t="n"/>
      <c r="D829" s="29" t="n"/>
      <c r="E829" s="25" t="n"/>
      <c r="F829" s="1">
        <f>IF(B829="","",B829-WEEKDAY(B829,3))</f>
        <v/>
      </c>
    </row>
    <row r="830">
      <c r="A830" s="1" t="n"/>
      <c r="B830" s="26" t="n"/>
      <c r="C830" s="25" t="n"/>
      <c r="D830" s="29" t="n"/>
      <c r="E830" s="25" t="n"/>
      <c r="F830" s="1">
        <f>IF(B830="","",B830-WEEKDAY(B830,3))</f>
        <v/>
      </c>
    </row>
    <row r="831">
      <c r="A831" s="1" t="n"/>
      <c r="B831" s="26" t="n"/>
      <c r="C831" s="25" t="n"/>
      <c r="D831" s="29" t="n"/>
      <c r="E831" s="25" t="n"/>
      <c r="F831" s="1">
        <f>IF(B831="","",B831-WEEKDAY(B831,3))</f>
        <v/>
      </c>
    </row>
    <row r="832">
      <c r="A832" s="1" t="n"/>
      <c r="B832" s="26" t="n"/>
      <c r="C832" s="25" t="n"/>
      <c r="D832" s="29" t="n"/>
      <c r="E832" s="25" t="n"/>
      <c r="F832" s="1">
        <f>IF(B832="","",B832-WEEKDAY(B832,3))</f>
        <v/>
      </c>
    </row>
    <row r="833">
      <c r="A833" s="1" t="n"/>
      <c r="B833" s="26" t="n"/>
      <c r="C833" s="25" t="n"/>
      <c r="D833" s="29" t="n"/>
      <c r="E833" s="25" t="n"/>
      <c r="F833" s="1">
        <f>IF(B833="","",B833-WEEKDAY(B833,3))</f>
        <v/>
      </c>
    </row>
    <row r="834">
      <c r="A834" s="1" t="n"/>
      <c r="B834" s="26" t="n"/>
      <c r="C834" s="25" t="n"/>
      <c r="D834" s="29" t="n"/>
      <c r="E834" s="25" t="n"/>
      <c r="F834" s="1">
        <f>IF(B834="","",B834-WEEKDAY(B834,3))</f>
        <v/>
      </c>
    </row>
    <row r="835">
      <c r="A835" s="1" t="n"/>
      <c r="B835" s="26" t="n"/>
      <c r="C835" s="25" t="n"/>
      <c r="D835" s="29" t="n"/>
      <c r="E835" s="25" t="n"/>
      <c r="F835" s="1">
        <f>IF(B835="","",B835-WEEKDAY(B835,3))</f>
        <v/>
      </c>
    </row>
    <row r="836">
      <c r="A836" s="1" t="n"/>
      <c r="B836" s="26" t="n"/>
      <c r="C836" s="25" t="n"/>
      <c r="D836" s="29" t="n"/>
      <c r="E836" s="25" t="n"/>
      <c r="F836" s="1">
        <f>IF(B836="","",B836-WEEKDAY(B836,3))</f>
        <v/>
      </c>
    </row>
    <row r="837">
      <c r="A837" s="1" t="n"/>
      <c r="B837" s="26" t="n"/>
      <c r="C837" s="25" t="n"/>
      <c r="D837" s="29" t="n"/>
      <c r="E837" s="25" t="n"/>
      <c r="F837" s="1">
        <f>IF(B837="","",B837-WEEKDAY(B837,3))</f>
        <v/>
      </c>
    </row>
    <row r="838">
      <c r="A838" s="1" t="n"/>
      <c r="B838" s="26" t="n"/>
      <c r="C838" s="25" t="n"/>
      <c r="D838" s="29" t="n"/>
      <c r="E838" s="25" t="n"/>
      <c r="F838" s="1">
        <f>IF(B838="","",B838-WEEKDAY(B838,3))</f>
        <v/>
      </c>
    </row>
    <row r="839">
      <c r="A839" s="1" t="n"/>
      <c r="B839" s="26" t="n"/>
      <c r="C839" s="25" t="n"/>
      <c r="D839" s="29" t="n"/>
      <c r="E839" s="25" t="n"/>
      <c r="F839" s="1">
        <f>IF(B839="","",B839-WEEKDAY(B839,3))</f>
        <v/>
      </c>
    </row>
    <row r="840">
      <c r="A840" s="1" t="n"/>
      <c r="B840" s="26" t="n"/>
      <c r="C840" s="25" t="n"/>
      <c r="D840" s="29" t="n"/>
      <c r="E840" s="25" t="n"/>
      <c r="F840" s="1">
        <f>IF(B840="","",B840-WEEKDAY(B840,3))</f>
        <v/>
      </c>
    </row>
    <row r="841">
      <c r="A841" s="1" t="n"/>
      <c r="B841" s="26" t="n"/>
      <c r="C841" s="25" t="n"/>
      <c r="D841" s="29" t="n"/>
      <c r="E841" s="25" t="n"/>
      <c r="F841" s="1">
        <f>IF(B841="","",B841-WEEKDAY(B841,3))</f>
        <v/>
      </c>
    </row>
    <row r="842">
      <c r="A842" s="1" t="n"/>
      <c r="B842" s="26" t="n"/>
      <c r="C842" s="25" t="n"/>
      <c r="D842" s="29" t="n"/>
      <c r="E842" s="25" t="n"/>
      <c r="F842" s="1">
        <f>IF(B842="","",B842-WEEKDAY(B842,3))</f>
        <v/>
      </c>
    </row>
    <row r="843">
      <c r="A843" s="1" t="n"/>
      <c r="B843" s="26" t="n"/>
      <c r="C843" s="25" t="n"/>
      <c r="D843" s="29" t="n"/>
      <c r="E843" s="25" t="n"/>
      <c r="F843" s="1">
        <f>IF(B843="","",B843-WEEKDAY(B843,3))</f>
        <v/>
      </c>
    </row>
    <row r="844">
      <c r="A844" s="1" t="n"/>
      <c r="B844" s="26" t="n"/>
      <c r="C844" s="25" t="n"/>
      <c r="D844" s="29" t="n"/>
      <c r="E844" s="25" t="n"/>
      <c r="F844" s="1">
        <f>IF(B844="","",B844-WEEKDAY(B844,3))</f>
        <v/>
      </c>
    </row>
    <row r="845">
      <c r="A845" s="1" t="n"/>
      <c r="B845" s="26" t="n"/>
      <c r="C845" s="25" t="n"/>
      <c r="D845" s="29" t="n"/>
      <c r="E845" s="25" t="n"/>
      <c r="F845" s="1">
        <f>IF(B845="","",B845-WEEKDAY(B845,3))</f>
        <v/>
      </c>
    </row>
    <row r="846">
      <c r="A846" s="1" t="n"/>
      <c r="B846" s="26" t="n"/>
      <c r="C846" s="25" t="n"/>
      <c r="D846" s="29" t="n"/>
      <c r="E846" s="25" t="n"/>
      <c r="F846" s="1">
        <f>IF(B846="","",B846-WEEKDAY(B846,3))</f>
        <v/>
      </c>
    </row>
    <row r="847">
      <c r="A847" s="1" t="n"/>
      <c r="B847" s="26" t="n"/>
      <c r="C847" s="25" t="n"/>
      <c r="D847" s="29" t="n"/>
      <c r="E847" s="25" t="n"/>
      <c r="F847" s="1">
        <f>IF(B847="","",B847-WEEKDAY(B847,3))</f>
        <v/>
      </c>
    </row>
    <row r="848">
      <c r="A848" s="1" t="n"/>
      <c r="B848" s="26" t="n"/>
      <c r="C848" s="25" t="n"/>
      <c r="D848" s="29" t="n"/>
      <c r="E848" s="25" t="n"/>
      <c r="F848" s="1">
        <f>IF(B848="","",B848-WEEKDAY(B848,3))</f>
        <v/>
      </c>
    </row>
    <row r="849">
      <c r="A849" s="1" t="n"/>
      <c r="B849" s="26" t="n"/>
      <c r="C849" s="25" t="n"/>
      <c r="D849" s="29" t="n"/>
      <c r="E849" s="25" t="n"/>
      <c r="F849" s="1">
        <f>IF(B849="","",B849-WEEKDAY(B849,3))</f>
        <v/>
      </c>
    </row>
    <row r="850">
      <c r="A850" s="1" t="n"/>
      <c r="B850" s="26" t="n"/>
      <c r="C850" s="25" t="n"/>
      <c r="D850" s="29" t="n"/>
      <c r="E850" s="25" t="n"/>
      <c r="F850" s="1">
        <f>IF(B850="","",B850-WEEKDAY(B850,3))</f>
        <v/>
      </c>
    </row>
    <row r="851">
      <c r="A851" s="1" t="n"/>
      <c r="B851" s="26" t="n"/>
      <c r="C851" s="25" t="n"/>
      <c r="D851" s="29" t="n"/>
      <c r="E851" s="25" t="n"/>
      <c r="F851" s="1">
        <f>IF(B851="","",B851-WEEKDAY(B851,3))</f>
        <v/>
      </c>
    </row>
    <row r="852">
      <c r="A852" s="1" t="n"/>
      <c r="B852" s="26" t="n"/>
      <c r="C852" s="25" t="n"/>
      <c r="D852" s="29" t="n"/>
      <c r="E852" s="25" t="n"/>
      <c r="F852" s="1">
        <f>IF(B852="","",B852-WEEKDAY(B852,3))</f>
        <v/>
      </c>
    </row>
    <row r="853">
      <c r="A853" s="1" t="n"/>
      <c r="B853" s="26" t="n"/>
      <c r="C853" s="25" t="n"/>
      <c r="D853" s="29" t="n"/>
      <c r="E853" s="25" t="n"/>
      <c r="F853" s="1">
        <f>IF(B853="","",B853-WEEKDAY(B853,3))</f>
        <v/>
      </c>
    </row>
    <row r="854">
      <c r="A854" s="1" t="n"/>
      <c r="B854" s="26" t="n"/>
      <c r="C854" s="25" t="n"/>
      <c r="D854" s="29" t="n"/>
      <c r="E854" s="25" t="n"/>
      <c r="F854" s="1">
        <f>IF(B854="","",B854-WEEKDAY(B854,3))</f>
        <v/>
      </c>
    </row>
    <row r="855">
      <c r="A855" s="1" t="n"/>
      <c r="B855" s="26" t="n"/>
      <c r="C855" s="25" t="n"/>
      <c r="D855" s="29" t="n"/>
      <c r="E855" s="25" t="n"/>
      <c r="F855" s="1">
        <f>IF(B855="","",B855-WEEKDAY(B855,3))</f>
        <v/>
      </c>
    </row>
    <row r="856">
      <c r="A856" s="1" t="n"/>
      <c r="B856" s="26" t="n"/>
      <c r="C856" s="25" t="n"/>
      <c r="D856" s="29" t="n"/>
      <c r="E856" s="25" t="n"/>
      <c r="F856" s="1">
        <f>IF(B856="","",B856-WEEKDAY(B856,3))</f>
        <v/>
      </c>
    </row>
    <row r="857">
      <c r="A857" s="1" t="n"/>
      <c r="B857" s="26" t="n"/>
      <c r="C857" s="25" t="n"/>
      <c r="D857" s="29" t="n"/>
      <c r="E857" s="25" t="n"/>
      <c r="F857" s="1">
        <f>IF(B857="","",B857-WEEKDAY(B857,3))</f>
        <v/>
      </c>
    </row>
    <row r="858">
      <c r="A858" s="1" t="n"/>
      <c r="B858" s="26" t="n"/>
      <c r="C858" s="25" t="n"/>
      <c r="D858" s="29" t="n"/>
      <c r="E858" s="25" t="n"/>
      <c r="F858" s="1">
        <f>IF(B858="","",B858-WEEKDAY(B858,3))</f>
        <v/>
      </c>
    </row>
    <row r="859">
      <c r="A859" s="1" t="n"/>
      <c r="B859" s="26" t="n"/>
      <c r="C859" s="25" t="n"/>
      <c r="D859" s="29" t="n"/>
      <c r="E859" s="25" t="n"/>
      <c r="F859" s="1">
        <f>IF(B859="","",B859-WEEKDAY(B859,3))</f>
        <v/>
      </c>
    </row>
    <row r="860">
      <c r="A860" s="1" t="n"/>
      <c r="B860" s="26" t="n"/>
      <c r="C860" s="25" t="n"/>
      <c r="D860" s="29" t="n"/>
      <c r="E860" s="25" t="n"/>
      <c r="F860" s="1">
        <f>IF(B860="","",B860-WEEKDAY(B860,3))</f>
        <v/>
      </c>
    </row>
    <row r="861">
      <c r="A861" s="1" t="n"/>
      <c r="B861" s="26" t="n"/>
      <c r="C861" s="25" t="n"/>
      <c r="D861" s="29" t="n"/>
      <c r="E861" s="25" t="n"/>
      <c r="F861" s="1">
        <f>IF(B861="","",B861-WEEKDAY(B861,3))</f>
        <v/>
      </c>
    </row>
    <row r="862">
      <c r="A862" s="1" t="n"/>
      <c r="B862" s="26" t="n"/>
      <c r="C862" s="25" t="n"/>
      <c r="D862" s="29" t="n"/>
      <c r="E862" s="25" t="n"/>
      <c r="F862" s="1">
        <f>IF(B862="","",B862-WEEKDAY(B862,3))</f>
        <v/>
      </c>
    </row>
    <row r="863">
      <c r="A863" s="1" t="n"/>
      <c r="B863" s="26" t="n"/>
      <c r="C863" s="25" t="n"/>
      <c r="D863" s="29" t="n"/>
      <c r="E863" s="25" t="n"/>
      <c r="F863" s="1">
        <f>IF(B863="","",B863-WEEKDAY(B863,3))</f>
        <v/>
      </c>
    </row>
    <row r="864">
      <c r="A864" s="1" t="n"/>
      <c r="B864" s="26" t="n"/>
      <c r="C864" s="25" t="n"/>
      <c r="D864" s="29" t="n"/>
      <c r="E864" s="25" t="n"/>
      <c r="F864" s="1">
        <f>IF(B864="","",B864-WEEKDAY(B864,3))</f>
        <v/>
      </c>
    </row>
    <row r="865">
      <c r="A865" s="1" t="n"/>
      <c r="B865" s="26" t="n"/>
      <c r="C865" s="25" t="n"/>
      <c r="D865" s="29" t="n"/>
      <c r="E865" s="25" t="n"/>
      <c r="F865" s="1">
        <f>IF(B865="","",B865-WEEKDAY(B865,3))</f>
        <v/>
      </c>
    </row>
    <row r="866">
      <c r="A866" s="1" t="n"/>
      <c r="B866" s="26" t="n"/>
      <c r="C866" s="25" t="n"/>
      <c r="D866" s="29" t="n"/>
      <c r="E866" s="25" t="n"/>
      <c r="F866" s="1">
        <f>IF(B866="","",B866-WEEKDAY(B866,3))</f>
        <v/>
      </c>
    </row>
    <row r="867">
      <c r="A867" s="1" t="n"/>
      <c r="B867" s="26" t="n"/>
      <c r="C867" s="25" t="n"/>
      <c r="D867" s="29" t="n"/>
      <c r="E867" s="25" t="n"/>
      <c r="F867" s="1">
        <f>IF(B867="","",B867-WEEKDAY(B867,3))</f>
        <v/>
      </c>
    </row>
    <row r="868">
      <c r="A868" s="1" t="n"/>
      <c r="B868" s="26" t="n"/>
      <c r="C868" s="25" t="n"/>
      <c r="D868" s="29" t="n"/>
      <c r="E868" s="25" t="n"/>
      <c r="F868" s="1">
        <f>IF(B868="","",B868-WEEKDAY(B868,3))</f>
        <v/>
      </c>
    </row>
    <row r="869">
      <c r="A869" s="1" t="n"/>
      <c r="B869" s="26" t="n"/>
      <c r="C869" s="25" t="n"/>
      <c r="D869" s="29" t="n"/>
      <c r="E869" s="25" t="n"/>
      <c r="F869" s="1">
        <f>IF(B869="","",B869-WEEKDAY(B869,3))</f>
        <v/>
      </c>
    </row>
    <row r="870">
      <c r="A870" s="1" t="n"/>
      <c r="B870" s="26" t="n"/>
      <c r="C870" s="25" t="n"/>
      <c r="D870" s="29" t="n"/>
      <c r="E870" s="25" t="n"/>
      <c r="F870" s="1">
        <f>IF(B870="","",B870-WEEKDAY(B870,3))</f>
        <v/>
      </c>
    </row>
    <row r="871">
      <c r="A871" s="1" t="n"/>
      <c r="B871" s="26" t="n"/>
      <c r="C871" s="25" t="n"/>
      <c r="D871" s="29" t="n"/>
      <c r="E871" s="25" t="n"/>
      <c r="F871" s="1">
        <f>IF(B871="","",B871-WEEKDAY(B871,3))</f>
        <v/>
      </c>
    </row>
    <row r="872">
      <c r="A872" s="1" t="n"/>
      <c r="B872" s="26" t="n"/>
      <c r="C872" s="25" t="n"/>
      <c r="D872" s="29" t="n"/>
      <c r="E872" s="25" t="n"/>
      <c r="F872" s="1">
        <f>IF(B872="","",B872-WEEKDAY(B872,3))</f>
        <v/>
      </c>
    </row>
    <row r="873">
      <c r="A873" s="1" t="n"/>
      <c r="B873" s="26" t="n"/>
      <c r="C873" s="25" t="n"/>
      <c r="D873" s="29" t="n"/>
      <c r="E873" s="25" t="n"/>
      <c r="F873" s="1">
        <f>IF(B873="","",B873-WEEKDAY(B873,3))</f>
        <v/>
      </c>
    </row>
    <row r="874">
      <c r="A874" s="1" t="n"/>
      <c r="B874" s="26" t="n"/>
      <c r="C874" s="25" t="n"/>
      <c r="D874" s="29" t="n"/>
      <c r="E874" s="25" t="n"/>
      <c r="F874" s="1">
        <f>IF(B874="","",B874-WEEKDAY(B874,3))</f>
        <v/>
      </c>
    </row>
    <row r="875">
      <c r="A875" s="1" t="n"/>
      <c r="B875" s="26" t="n"/>
      <c r="C875" s="25" t="n"/>
      <c r="D875" s="29" t="n"/>
      <c r="E875" s="25" t="n"/>
      <c r="F875" s="1">
        <f>IF(B875="","",B875-WEEKDAY(B875,3))</f>
        <v/>
      </c>
    </row>
    <row r="876">
      <c r="A876" s="1" t="n"/>
      <c r="B876" s="26" t="n"/>
      <c r="C876" s="25" t="n"/>
      <c r="D876" s="29" t="n"/>
      <c r="E876" s="25" t="n"/>
      <c r="F876" s="1">
        <f>IF(B876="","",B876-WEEKDAY(B876,3))</f>
        <v/>
      </c>
    </row>
    <row r="877">
      <c r="A877" s="1" t="n"/>
      <c r="B877" s="26" t="n"/>
      <c r="C877" s="25" t="n"/>
      <c r="D877" s="29" t="n"/>
      <c r="E877" s="25" t="n"/>
      <c r="F877" s="1">
        <f>IF(B877="","",B877-WEEKDAY(B877,3))</f>
        <v/>
      </c>
    </row>
    <row r="878">
      <c r="A878" s="1" t="n"/>
      <c r="B878" s="26" t="n"/>
      <c r="C878" s="25" t="n"/>
      <c r="D878" s="29" t="n"/>
      <c r="E878" s="25" t="n"/>
      <c r="F878" s="1">
        <f>IF(B878="","",B878-WEEKDAY(B878,3))</f>
        <v/>
      </c>
    </row>
    <row r="879">
      <c r="A879" s="1" t="n"/>
      <c r="B879" s="26" t="n"/>
      <c r="C879" s="25" t="n"/>
      <c r="D879" s="29" t="n"/>
      <c r="E879" s="25" t="n"/>
      <c r="F879" s="1">
        <f>IF(B879="","",B879-WEEKDAY(B879,3))</f>
        <v/>
      </c>
    </row>
    <row r="880">
      <c r="A880" s="1" t="n"/>
      <c r="B880" s="26" t="n"/>
      <c r="C880" s="25" t="n"/>
      <c r="D880" s="29" t="n"/>
      <c r="E880" s="25" t="n"/>
      <c r="F880" s="1">
        <f>IF(B880="","",B880-WEEKDAY(B880,3))</f>
        <v/>
      </c>
    </row>
    <row r="881">
      <c r="A881" s="1" t="n"/>
      <c r="B881" s="26" t="n"/>
      <c r="C881" s="25" t="n"/>
      <c r="D881" s="29" t="n"/>
      <c r="E881" s="25" t="n"/>
      <c r="F881" s="1">
        <f>IF(B881="","",B881-WEEKDAY(B881,3))</f>
        <v/>
      </c>
    </row>
    <row r="882">
      <c r="A882" s="1" t="n"/>
      <c r="B882" s="26" t="n"/>
      <c r="C882" s="25" t="n"/>
      <c r="D882" s="29" t="n"/>
      <c r="E882" s="25" t="n"/>
      <c r="F882" s="1">
        <f>IF(B882="","",B882-WEEKDAY(B882,3))</f>
        <v/>
      </c>
    </row>
    <row r="883">
      <c r="A883" s="1" t="n"/>
      <c r="B883" s="26" t="n"/>
      <c r="C883" s="25" t="n"/>
      <c r="D883" s="29" t="n"/>
      <c r="E883" s="25" t="n"/>
      <c r="F883" s="1">
        <f>IF(B883="","",B883-WEEKDAY(B883,3))</f>
        <v/>
      </c>
    </row>
    <row r="884">
      <c r="A884" s="1" t="n"/>
      <c r="B884" s="26" t="n"/>
      <c r="C884" s="25" t="n"/>
      <c r="D884" s="29" t="n"/>
      <c r="E884" s="25" t="n"/>
      <c r="F884" s="1">
        <f>IF(B884="","",B884-WEEKDAY(B884,3))</f>
        <v/>
      </c>
    </row>
    <row r="885">
      <c r="A885" s="1" t="n"/>
      <c r="B885" s="26" t="n"/>
      <c r="C885" s="25" t="n"/>
      <c r="D885" s="29" t="n"/>
      <c r="E885" s="25" t="n"/>
      <c r="F885" s="1">
        <f>IF(B885="","",B885-WEEKDAY(B885,3))</f>
        <v/>
      </c>
    </row>
    <row r="886">
      <c r="A886" s="1" t="n"/>
      <c r="B886" s="26" t="n"/>
      <c r="C886" s="25" t="n"/>
      <c r="D886" s="29" t="n"/>
      <c r="E886" s="25" t="n"/>
      <c r="F886" s="1">
        <f>IF(B886="","",B886-WEEKDAY(B886,3))</f>
        <v/>
      </c>
    </row>
    <row r="887">
      <c r="A887" s="1" t="n"/>
      <c r="B887" s="26" t="n"/>
      <c r="C887" s="25" t="n"/>
      <c r="D887" s="29" t="n"/>
      <c r="E887" s="25" t="n"/>
      <c r="F887" s="1">
        <f>IF(B887="","",B887-WEEKDAY(B887,3))</f>
        <v/>
      </c>
    </row>
    <row r="888">
      <c r="A888" s="1" t="n"/>
      <c r="B888" s="26" t="n"/>
      <c r="C888" s="25" t="n"/>
      <c r="D888" s="29" t="n"/>
      <c r="E888" s="25" t="n"/>
      <c r="F888" s="1">
        <f>IF(B888="","",B888-WEEKDAY(B888,3))</f>
        <v/>
      </c>
    </row>
    <row r="889">
      <c r="A889" s="1" t="n"/>
      <c r="B889" s="26" t="n"/>
      <c r="C889" s="25" t="n"/>
      <c r="D889" s="29" t="n"/>
      <c r="E889" s="25" t="n"/>
      <c r="F889" s="1">
        <f>IF(B889="","",B889-WEEKDAY(B889,3))</f>
        <v/>
      </c>
    </row>
    <row r="890">
      <c r="A890" s="1" t="n"/>
      <c r="B890" s="26" t="n"/>
      <c r="C890" s="25" t="n"/>
      <c r="D890" s="29" t="n"/>
      <c r="E890" s="25" t="n"/>
      <c r="F890" s="1">
        <f>IF(B890="","",B890-WEEKDAY(B890,3))</f>
        <v/>
      </c>
    </row>
    <row r="891">
      <c r="A891" s="1" t="n"/>
      <c r="B891" s="26" t="n"/>
      <c r="C891" s="25" t="n"/>
      <c r="D891" s="29" t="n"/>
      <c r="E891" s="25" t="n"/>
      <c r="F891" s="1">
        <f>IF(B891="","",B891-WEEKDAY(B891,3))</f>
        <v/>
      </c>
    </row>
    <row r="892">
      <c r="A892" s="1" t="n"/>
      <c r="B892" s="26" t="n"/>
      <c r="C892" s="25" t="n"/>
      <c r="D892" s="29" t="n"/>
      <c r="E892" s="25" t="n"/>
      <c r="F892" s="1">
        <f>IF(B892="","",B892-WEEKDAY(B892,3))</f>
        <v/>
      </c>
    </row>
    <row r="893">
      <c r="A893" s="1" t="n"/>
      <c r="B893" s="26" t="n"/>
      <c r="C893" s="25" t="n"/>
      <c r="D893" s="29" t="n"/>
      <c r="E893" s="25" t="n"/>
      <c r="F893" s="1">
        <f>IF(B893="","",B893-WEEKDAY(B893,3))</f>
        <v/>
      </c>
    </row>
    <row r="894">
      <c r="A894" s="1" t="n"/>
      <c r="B894" s="26" t="n"/>
      <c r="C894" s="25" t="n"/>
      <c r="D894" s="29" t="n"/>
      <c r="E894" s="25" t="n"/>
      <c r="F894" s="1">
        <f>IF(B894="","",B894-WEEKDAY(B894,3))</f>
        <v/>
      </c>
    </row>
    <row r="895">
      <c r="A895" s="1" t="n"/>
      <c r="B895" s="26" t="n"/>
      <c r="C895" s="25" t="n"/>
      <c r="D895" s="29" t="n"/>
      <c r="E895" s="25" t="n"/>
      <c r="F895" s="1">
        <f>IF(B895="","",B895-WEEKDAY(B895,3))</f>
        <v/>
      </c>
    </row>
    <row r="896">
      <c r="A896" s="1" t="n"/>
      <c r="B896" s="26" t="n"/>
      <c r="C896" s="25" t="n"/>
      <c r="D896" s="29" t="n"/>
      <c r="E896" s="25" t="n"/>
      <c r="F896" s="1">
        <f>IF(B896="","",B896-WEEKDAY(B896,3))</f>
        <v/>
      </c>
    </row>
    <row r="897">
      <c r="A897" s="1" t="n"/>
      <c r="B897" s="26" t="n"/>
      <c r="C897" s="25" t="n"/>
      <c r="D897" s="29" t="n"/>
      <c r="E897" s="25" t="n"/>
      <c r="F897" s="1">
        <f>IF(B897="","",B897-WEEKDAY(B897,3))</f>
        <v/>
      </c>
    </row>
    <row r="898">
      <c r="A898" s="1" t="n"/>
      <c r="B898" s="26" t="n"/>
      <c r="C898" s="25" t="n"/>
      <c r="D898" s="29" t="n"/>
      <c r="E898" s="25" t="n"/>
      <c r="F898" s="1">
        <f>IF(B898="","",B898-WEEKDAY(B898,3))</f>
        <v/>
      </c>
    </row>
    <row r="899">
      <c r="A899" s="1" t="n"/>
      <c r="B899" s="26" t="n"/>
      <c r="C899" s="25" t="n"/>
      <c r="D899" s="29" t="n"/>
      <c r="E899" s="25" t="n"/>
      <c r="F899" s="1">
        <f>IF(B899="","",B899-WEEKDAY(B899,3))</f>
        <v/>
      </c>
    </row>
    <row r="900">
      <c r="A900" s="1" t="n"/>
      <c r="B900" s="26" t="n"/>
      <c r="C900" s="25" t="n"/>
      <c r="D900" s="29" t="n"/>
      <c r="E900" s="25" t="n"/>
      <c r="F900" s="1">
        <f>IF(B900="","",B900-WEEKDAY(B900,3))</f>
        <v/>
      </c>
    </row>
    <row r="901">
      <c r="A901" s="1" t="n"/>
      <c r="B901" s="26" t="n"/>
      <c r="C901" s="25" t="n"/>
      <c r="D901" s="29" t="n"/>
      <c r="E901" s="25" t="n"/>
      <c r="F901" s="1">
        <f>IF(B901="","",B901-WEEKDAY(B901,3))</f>
        <v/>
      </c>
    </row>
    <row r="902">
      <c r="A902" s="1" t="n"/>
      <c r="B902" s="26" t="n"/>
      <c r="C902" s="25" t="n"/>
      <c r="D902" s="29" t="n"/>
      <c r="E902" s="25" t="n"/>
      <c r="F902" s="1">
        <f>IF(B902="","",B902-WEEKDAY(B902,3))</f>
        <v/>
      </c>
    </row>
    <row r="903">
      <c r="A903" s="1" t="n"/>
      <c r="B903" s="26" t="n"/>
      <c r="C903" s="25" t="n"/>
      <c r="D903" s="29" t="n"/>
      <c r="E903" s="25" t="n"/>
      <c r="F903" s="1">
        <f>IF(B903="","",B903-WEEKDAY(B903,3))</f>
        <v/>
      </c>
    </row>
    <row r="904">
      <c r="A904" s="1" t="n"/>
      <c r="B904" s="26" t="n"/>
      <c r="C904" s="25" t="n"/>
      <c r="D904" s="29" t="n"/>
      <c r="E904" s="25" t="n"/>
      <c r="F904" s="1">
        <f>IF(B904="","",B904-WEEKDAY(B904,3))</f>
        <v/>
      </c>
    </row>
    <row r="905">
      <c r="A905" s="1" t="n"/>
      <c r="B905" s="26" t="n"/>
      <c r="C905" s="25" t="n"/>
      <c r="D905" s="29" t="n"/>
      <c r="E905" s="25" t="n"/>
      <c r="F905" s="1">
        <f>IF(B905="","",B905-WEEKDAY(B905,3))</f>
        <v/>
      </c>
    </row>
    <row r="906">
      <c r="A906" s="1" t="n"/>
      <c r="B906" s="26" t="n"/>
      <c r="C906" s="25" t="n"/>
      <c r="D906" s="29" t="n"/>
      <c r="E906" s="25" t="n"/>
      <c r="F906" s="1">
        <f>IF(B906="","",B906-WEEKDAY(B906,3))</f>
        <v/>
      </c>
    </row>
    <row r="907">
      <c r="A907" s="1" t="n"/>
      <c r="B907" s="26" t="n"/>
      <c r="C907" s="25" t="n"/>
      <c r="D907" s="29" t="n"/>
      <c r="E907" s="25" t="n"/>
      <c r="F907" s="1">
        <f>IF(B907="","",B907-WEEKDAY(B907,3))</f>
        <v/>
      </c>
    </row>
    <row r="908">
      <c r="A908" s="1" t="n"/>
      <c r="B908" s="26" t="n"/>
      <c r="C908" s="25" t="n"/>
      <c r="D908" s="29" t="n"/>
      <c r="E908" s="25" t="n"/>
      <c r="F908" s="1">
        <f>IF(B908="","",B908-WEEKDAY(B908,3))</f>
        <v/>
      </c>
    </row>
    <row r="909">
      <c r="A909" s="1" t="n"/>
      <c r="B909" s="26" t="n"/>
      <c r="C909" s="25" t="n"/>
      <c r="D909" s="29" t="n"/>
      <c r="E909" s="25" t="n"/>
      <c r="F909" s="1">
        <f>IF(B909="","",B909-WEEKDAY(B909,3))</f>
        <v/>
      </c>
    </row>
    <row r="910">
      <c r="A910" s="1" t="n"/>
      <c r="B910" s="26" t="n"/>
      <c r="C910" s="25" t="n"/>
      <c r="D910" s="29" t="n"/>
      <c r="E910" s="25" t="n"/>
      <c r="F910" s="1">
        <f>IF(B910="","",B910-WEEKDAY(B910,3))</f>
        <v/>
      </c>
    </row>
    <row r="911">
      <c r="A911" s="1" t="n"/>
      <c r="B911" s="26" t="n"/>
      <c r="C911" s="25" t="n"/>
      <c r="D911" s="29" t="n"/>
      <c r="E911" s="25" t="n"/>
      <c r="F911" s="1">
        <f>IF(B911="","",B911-WEEKDAY(B911,3))</f>
        <v/>
      </c>
    </row>
    <row r="912">
      <c r="A912" s="1" t="n"/>
      <c r="B912" s="26" t="n"/>
      <c r="C912" s="25" t="n"/>
      <c r="D912" s="29" t="n"/>
      <c r="E912" s="25" t="n"/>
      <c r="F912" s="1">
        <f>IF(B912="","",B912-WEEKDAY(B912,3))</f>
        <v/>
      </c>
    </row>
    <row r="913">
      <c r="A913" s="1" t="n"/>
      <c r="B913" s="26" t="n"/>
      <c r="C913" s="25" t="n"/>
      <c r="D913" s="29" t="n"/>
      <c r="E913" s="25" t="n"/>
      <c r="F913" s="1">
        <f>IF(B913="","",B913-WEEKDAY(B913,3))</f>
        <v/>
      </c>
    </row>
    <row r="914">
      <c r="A914" s="1" t="n"/>
      <c r="B914" s="26" t="n"/>
      <c r="C914" s="25" t="n"/>
      <c r="D914" s="29" t="n"/>
      <c r="E914" s="25" t="n"/>
      <c r="F914" s="1">
        <f>IF(B914="","",B914-WEEKDAY(B914,3))</f>
        <v/>
      </c>
    </row>
    <row r="915">
      <c r="A915" s="1" t="n"/>
      <c r="B915" s="26" t="n"/>
      <c r="C915" s="25" t="n"/>
      <c r="D915" s="29" t="n"/>
      <c r="E915" s="25" t="n"/>
      <c r="F915" s="1">
        <f>IF(B915="","",B915-WEEKDAY(B915,3))</f>
        <v/>
      </c>
    </row>
    <row r="916">
      <c r="A916" s="1" t="n"/>
      <c r="B916" s="26" t="n"/>
      <c r="C916" s="25" t="n"/>
      <c r="D916" s="29" t="n"/>
      <c r="E916" s="25" t="n"/>
      <c r="F916" s="1">
        <f>IF(B916="","",B916-WEEKDAY(B916,3))</f>
        <v/>
      </c>
    </row>
    <row r="917">
      <c r="A917" s="1" t="n"/>
      <c r="B917" s="26" t="n"/>
      <c r="C917" s="25" t="n"/>
      <c r="D917" s="29" t="n"/>
      <c r="E917" s="25" t="n"/>
      <c r="F917" s="1">
        <f>IF(B917="","",B917-WEEKDAY(B917,3))</f>
        <v/>
      </c>
    </row>
    <row r="918">
      <c r="A918" s="1" t="n"/>
      <c r="B918" s="26" t="n"/>
      <c r="C918" s="25" t="n"/>
      <c r="D918" s="29" t="n"/>
      <c r="E918" s="25" t="n"/>
      <c r="F918" s="1">
        <f>IF(B918="","",B918-WEEKDAY(B918,3))</f>
        <v/>
      </c>
    </row>
    <row r="919">
      <c r="A919" s="1" t="n"/>
      <c r="B919" s="26" t="n"/>
      <c r="C919" s="25" t="n"/>
      <c r="D919" s="29" t="n"/>
      <c r="E919" s="25" t="n"/>
      <c r="F919" s="1">
        <f>IF(B919="","",B919-WEEKDAY(B919,3))</f>
        <v/>
      </c>
    </row>
    <row r="920">
      <c r="A920" s="1" t="n"/>
      <c r="B920" s="26" t="n"/>
      <c r="C920" s="25" t="n"/>
      <c r="D920" s="29" t="n"/>
      <c r="E920" s="25" t="n"/>
      <c r="F920" s="1">
        <f>IF(B920="","",B920-WEEKDAY(B920,3))</f>
        <v/>
      </c>
    </row>
    <row r="921">
      <c r="A921" s="1" t="n"/>
      <c r="B921" s="26" t="n"/>
      <c r="C921" s="25" t="n"/>
      <c r="D921" s="29" t="n"/>
      <c r="E921" s="25" t="n"/>
      <c r="F921" s="1">
        <f>IF(B921="","",B921-WEEKDAY(B921,3))</f>
        <v/>
      </c>
    </row>
    <row r="922">
      <c r="A922" s="1" t="n"/>
      <c r="B922" s="26" t="n"/>
      <c r="C922" s="25" t="n"/>
      <c r="D922" s="29" t="n"/>
      <c r="E922" s="25" t="n"/>
      <c r="F922" s="1">
        <f>IF(B922="","",B922-WEEKDAY(B922,3))</f>
        <v/>
      </c>
    </row>
    <row r="923">
      <c r="A923" s="1" t="n"/>
      <c r="B923" s="26" t="n"/>
      <c r="C923" s="25" t="n"/>
      <c r="D923" s="29" t="n"/>
      <c r="E923" s="25" t="n"/>
      <c r="F923" s="1">
        <f>IF(B923="","",B923-WEEKDAY(B923,3))</f>
        <v/>
      </c>
    </row>
    <row r="924">
      <c r="A924" s="1" t="n"/>
      <c r="B924" s="26" t="n"/>
      <c r="C924" s="25" t="n"/>
      <c r="D924" s="29" t="n"/>
      <c r="E924" s="25" t="n"/>
      <c r="F924" s="1">
        <f>IF(B924="","",B924-WEEKDAY(B924,3))</f>
        <v/>
      </c>
    </row>
    <row r="925">
      <c r="A925" s="1" t="n"/>
      <c r="B925" s="26" t="n"/>
      <c r="C925" s="25" t="n"/>
      <c r="D925" s="29" t="n"/>
      <c r="E925" s="25" t="n"/>
      <c r="F925" s="1">
        <f>IF(B925="","",B925-WEEKDAY(B925,3))</f>
        <v/>
      </c>
    </row>
    <row r="926">
      <c r="A926" s="1" t="n"/>
      <c r="B926" s="26" t="n"/>
      <c r="C926" s="25" t="n"/>
      <c r="D926" s="29" t="n"/>
      <c r="E926" s="25" t="n"/>
      <c r="F926" s="1">
        <f>IF(B926="","",B926-WEEKDAY(B926,3))</f>
        <v/>
      </c>
    </row>
    <row r="927">
      <c r="A927" s="1" t="n"/>
      <c r="B927" s="26" t="n"/>
      <c r="C927" s="25" t="n"/>
      <c r="D927" s="29" t="n"/>
      <c r="E927" s="25" t="n"/>
      <c r="F927" s="1">
        <f>IF(B927="","",B927-WEEKDAY(B927,3))</f>
        <v/>
      </c>
    </row>
    <row r="928">
      <c r="A928" s="1" t="n"/>
      <c r="B928" s="26" t="n"/>
      <c r="C928" s="25" t="n"/>
      <c r="D928" s="29" t="n"/>
      <c r="E928" s="25" t="n"/>
      <c r="F928" s="1">
        <f>IF(B928="","",B928-WEEKDAY(B928,3))</f>
        <v/>
      </c>
    </row>
    <row r="929">
      <c r="A929" s="1" t="n"/>
      <c r="B929" s="26" t="n"/>
      <c r="C929" s="25" t="n"/>
      <c r="D929" s="29" t="n"/>
      <c r="E929" s="25" t="n"/>
      <c r="F929" s="1">
        <f>IF(B929="","",B929-WEEKDAY(B929,3))</f>
        <v/>
      </c>
    </row>
    <row r="930">
      <c r="A930" s="1" t="n"/>
      <c r="B930" s="26" t="n"/>
      <c r="C930" s="25" t="n"/>
      <c r="D930" s="29" t="n"/>
      <c r="E930" s="25" t="n"/>
      <c r="F930" s="1">
        <f>IF(B930="","",B930-WEEKDAY(B930,3))</f>
        <v/>
      </c>
    </row>
    <row r="931">
      <c r="A931" s="1" t="n"/>
      <c r="B931" s="26" t="n"/>
      <c r="C931" s="25" t="n"/>
      <c r="D931" s="29" t="n"/>
      <c r="E931" s="25" t="n"/>
      <c r="F931" s="1">
        <f>IF(B931="","",B931-WEEKDAY(B931,3))</f>
        <v/>
      </c>
    </row>
    <row r="932">
      <c r="A932" s="1" t="n"/>
      <c r="B932" s="26" t="n"/>
      <c r="C932" s="25" t="n"/>
      <c r="D932" s="29" t="n"/>
      <c r="E932" s="25" t="n"/>
      <c r="F932" s="1">
        <f>IF(B932="","",B932-WEEKDAY(B932,3))</f>
        <v/>
      </c>
    </row>
    <row r="933">
      <c r="A933" s="1" t="n"/>
      <c r="B933" s="26" t="n"/>
      <c r="C933" s="25" t="n"/>
      <c r="D933" s="29" t="n"/>
      <c r="E933" s="25" t="n"/>
      <c r="F933" s="1">
        <f>IF(B933="","",B933-WEEKDAY(B933,3))</f>
        <v/>
      </c>
    </row>
    <row r="934">
      <c r="A934" s="1" t="n"/>
      <c r="B934" s="26" t="n"/>
      <c r="C934" s="25" t="n"/>
      <c r="D934" s="29" t="n"/>
      <c r="E934" s="25" t="n"/>
      <c r="F934" s="1">
        <f>IF(B934="","",B934-WEEKDAY(B934,3))</f>
        <v/>
      </c>
    </row>
    <row r="935">
      <c r="A935" s="1" t="n"/>
      <c r="B935" s="26" t="n"/>
      <c r="C935" s="25" t="n"/>
      <c r="D935" s="29" t="n"/>
      <c r="E935" s="25" t="n"/>
      <c r="F935" s="1">
        <f>IF(B935="","",B935-WEEKDAY(B935,3))</f>
        <v/>
      </c>
    </row>
    <row r="936">
      <c r="A936" s="1" t="n"/>
      <c r="B936" s="26" t="n"/>
      <c r="C936" s="25" t="n"/>
      <c r="D936" s="29" t="n"/>
      <c r="E936" s="25" t="n"/>
      <c r="F936" s="1">
        <f>IF(B936="","",B936-WEEKDAY(B936,3))</f>
        <v/>
      </c>
    </row>
    <row r="937">
      <c r="A937" s="1" t="n"/>
      <c r="B937" s="26" t="n"/>
      <c r="C937" s="25" t="n"/>
      <c r="D937" s="29" t="n"/>
      <c r="E937" s="25" t="n"/>
      <c r="F937" s="1">
        <f>IF(B937="","",B937-WEEKDAY(B937,3))</f>
        <v/>
      </c>
    </row>
    <row r="938">
      <c r="A938" s="1" t="n"/>
      <c r="B938" s="26" t="n"/>
      <c r="C938" s="25" t="n"/>
      <c r="D938" s="29" t="n"/>
      <c r="E938" s="25" t="n"/>
      <c r="F938" s="1">
        <f>IF(B938="","",B938-WEEKDAY(B938,3))</f>
        <v/>
      </c>
    </row>
    <row r="939">
      <c r="A939" s="1" t="n"/>
      <c r="B939" s="26" t="n"/>
      <c r="C939" s="25" t="n"/>
      <c r="D939" s="29" t="n"/>
      <c r="E939" s="25" t="n"/>
      <c r="F939" s="1">
        <f>IF(B939="","",B939-WEEKDAY(B939,3))</f>
        <v/>
      </c>
    </row>
    <row r="940">
      <c r="A940" s="1" t="n"/>
      <c r="B940" s="26" t="n"/>
      <c r="C940" s="25" t="n"/>
      <c r="D940" s="29" t="n"/>
      <c r="E940" s="25" t="n"/>
      <c r="F940" s="1">
        <f>IF(B940="","",B940-WEEKDAY(B940,3))</f>
        <v/>
      </c>
    </row>
    <row r="941">
      <c r="A941" s="1" t="n"/>
      <c r="B941" s="26" t="n"/>
      <c r="C941" s="25" t="n"/>
      <c r="D941" s="29" t="n"/>
      <c r="E941" s="25" t="n"/>
      <c r="F941" s="1">
        <f>IF(B941="","",B941-WEEKDAY(B941,3))</f>
        <v/>
      </c>
    </row>
    <row r="942">
      <c r="A942" s="1" t="n"/>
      <c r="B942" s="26" t="n"/>
      <c r="C942" s="25" t="n"/>
      <c r="D942" s="29" t="n"/>
      <c r="E942" s="25" t="n"/>
      <c r="F942" s="1">
        <f>IF(B942="","",B942-WEEKDAY(B942,3))</f>
        <v/>
      </c>
    </row>
    <row r="943">
      <c r="A943" s="1" t="n"/>
      <c r="B943" s="26" t="n"/>
      <c r="C943" s="25" t="n"/>
      <c r="D943" s="29" t="n"/>
      <c r="E943" s="25" t="n"/>
      <c r="F943" s="1">
        <f>IF(B943="","",B943-WEEKDAY(B943,3))</f>
        <v/>
      </c>
    </row>
    <row r="944">
      <c r="A944" s="1" t="n"/>
      <c r="B944" s="26" t="n"/>
      <c r="C944" s="25" t="n"/>
      <c r="D944" s="29" t="n"/>
      <c r="E944" s="25" t="n"/>
      <c r="F944" s="1">
        <f>IF(B944="","",B944-WEEKDAY(B944,3))</f>
        <v/>
      </c>
    </row>
    <row r="945">
      <c r="A945" s="1" t="n"/>
      <c r="B945" s="26" t="n"/>
      <c r="C945" s="25" t="n"/>
      <c r="D945" s="29" t="n"/>
      <c r="E945" s="25" t="n"/>
      <c r="F945" s="1">
        <f>IF(B945="","",B945-WEEKDAY(B945,3))</f>
        <v/>
      </c>
    </row>
    <row r="946">
      <c r="A946" s="1" t="n"/>
      <c r="B946" s="26" t="n"/>
      <c r="C946" s="25" t="n"/>
      <c r="D946" s="29" t="n"/>
      <c r="E946" s="25" t="n"/>
      <c r="F946" s="1">
        <f>IF(B946="","",B946-WEEKDAY(B946,3))</f>
        <v/>
      </c>
    </row>
    <row r="947">
      <c r="A947" s="1" t="n"/>
      <c r="B947" s="26" t="n"/>
      <c r="C947" s="25" t="n"/>
      <c r="D947" s="29" t="n"/>
      <c r="E947" s="25" t="n"/>
      <c r="F947" s="1">
        <f>IF(B947="","",B947-WEEKDAY(B947,3))</f>
        <v/>
      </c>
    </row>
    <row r="948">
      <c r="A948" s="1" t="n"/>
      <c r="B948" s="26" t="n"/>
      <c r="C948" s="25" t="n"/>
      <c r="D948" s="29" t="n"/>
      <c r="E948" s="25" t="n"/>
      <c r="F948" s="1">
        <f>IF(B948="","",B948-WEEKDAY(B948,3))</f>
        <v/>
      </c>
    </row>
    <row r="949">
      <c r="A949" s="1" t="n"/>
      <c r="B949" s="26" t="n"/>
      <c r="C949" s="25" t="n"/>
      <c r="D949" s="29" t="n"/>
      <c r="E949" s="25" t="n"/>
      <c r="F949" s="1">
        <f>IF(B949="","",B949-WEEKDAY(B949,3))</f>
        <v/>
      </c>
    </row>
    <row r="950">
      <c r="A950" s="1" t="n"/>
      <c r="B950" s="26" t="n"/>
      <c r="C950" s="25" t="n"/>
      <c r="D950" s="29" t="n"/>
      <c r="E950" s="25" t="n"/>
      <c r="F950" s="1">
        <f>IF(B950="","",B950-WEEKDAY(B950,3))</f>
        <v/>
      </c>
    </row>
    <row r="951">
      <c r="A951" s="1" t="n"/>
      <c r="B951" s="26" t="n"/>
      <c r="C951" s="25" t="n"/>
      <c r="D951" s="29" t="n"/>
      <c r="E951" s="25" t="n"/>
      <c r="F951" s="1">
        <f>IF(B951="","",B951-WEEKDAY(B951,3))</f>
        <v/>
      </c>
    </row>
    <row r="952">
      <c r="A952" s="1" t="n"/>
      <c r="B952" s="26" t="n"/>
      <c r="C952" s="25" t="n"/>
      <c r="D952" s="29" t="n"/>
      <c r="E952" s="25" t="n"/>
      <c r="F952" s="1">
        <f>IF(B952="","",B952-WEEKDAY(B952,3))</f>
        <v/>
      </c>
    </row>
    <row r="953">
      <c r="A953" s="1" t="n"/>
      <c r="B953" s="26" t="n"/>
      <c r="C953" s="25" t="n"/>
      <c r="D953" s="29" t="n"/>
      <c r="E953" s="25" t="n"/>
      <c r="F953" s="1">
        <f>IF(B953="","",B953-WEEKDAY(B953,3))</f>
        <v/>
      </c>
    </row>
    <row r="954">
      <c r="A954" s="1" t="n"/>
      <c r="B954" s="26" t="n"/>
      <c r="C954" s="25" t="n"/>
      <c r="D954" s="29" t="n"/>
      <c r="E954" s="25" t="n"/>
      <c r="F954" s="1">
        <f>IF(B954="","",B954-WEEKDAY(B954,3))</f>
        <v/>
      </c>
    </row>
    <row r="955">
      <c r="A955" s="1" t="n"/>
      <c r="B955" s="26" t="n"/>
      <c r="C955" s="25" t="n"/>
      <c r="D955" s="29" t="n"/>
      <c r="E955" s="25" t="n"/>
      <c r="F955" s="1">
        <f>IF(B955="","",B955-WEEKDAY(B955,3))</f>
        <v/>
      </c>
    </row>
    <row r="956">
      <c r="A956" s="1" t="n"/>
      <c r="B956" s="26" t="n"/>
      <c r="C956" s="25" t="n"/>
      <c r="D956" s="29" t="n"/>
      <c r="E956" s="25" t="n"/>
      <c r="F956" s="1">
        <f>IF(B956="","",B956-WEEKDAY(B956,3))</f>
        <v/>
      </c>
    </row>
    <row r="957">
      <c r="A957" s="1" t="n"/>
      <c r="B957" s="26" t="n"/>
      <c r="C957" s="25" t="n"/>
      <c r="D957" s="29" t="n"/>
      <c r="E957" s="25" t="n"/>
      <c r="F957" s="1">
        <f>IF(B957="","",B957-WEEKDAY(B957,3))</f>
        <v/>
      </c>
    </row>
    <row r="958">
      <c r="A958" s="1" t="n"/>
      <c r="B958" s="26" t="n"/>
      <c r="C958" s="25" t="n"/>
      <c r="D958" s="29" t="n"/>
      <c r="E958" s="25" t="n"/>
      <c r="F958" s="1">
        <f>IF(B958="","",B958-WEEKDAY(B958,3))</f>
        <v/>
      </c>
    </row>
    <row r="959">
      <c r="A959" s="1" t="n"/>
      <c r="B959" s="26" t="n"/>
      <c r="C959" s="25" t="n"/>
      <c r="D959" s="29" t="n"/>
      <c r="E959" s="25" t="n"/>
      <c r="F959" s="1">
        <f>IF(B959="","",B959-WEEKDAY(B959,3))</f>
        <v/>
      </c>
    </row>
    <row r="960">
      <c r="A960" s="1" t="n"/>
      <c r="B960" s="26" t="n"/>
      <c r="C960" s="25" t="n"/>
      <c r="D960" s="29" t="n"/>
      <c r="E960" s="25" t="n"/>
      <c r="F960" s="1">
        <f>IF(B960="","",B960-WEEKDAY(B960,3))</f>
        <v/>
      </c>
    </row>
    <row r="961">
      <c r="A961" s="1" t="n"/>
      <c r="B961" s="26" t="n"/>
      <c r="C961" s="25" t="n"/>
      <c r="D961" s="29" t="n"/>
      <c r="E961" s="25" t="n"/>
      <c r="F961" s="1">
        <f>IF(B961="","",B961-WEEKDAY(B961,3))</f>
        <v/>
      </c>
    </row>
    <row r="962">
      <c r="A962" s="1" t="n"/>
      <c r="B962" s="26" t="n"/>
      <c r="C962" s="25" t="n"/>
      <c r="D962" s="29" t="n"/>
      <c r="E962" s="25" t="n"/>
      <c r="F962" s="1">
        <f>IF(B962="","",B962-WEEKDAY(B962,3))</f>
        <v/>
      </c>
    </row>
    <row r="963">
      <c r="A963" s="1" t="n"/>
      <c r="B963" s="26" t="n"/>
      <c r="C963" s="25" t="n"/>
      <c r="D963" s="29" t="n"/>
      <c r="E963" s="25" t="n"/>
      <c r="F963" s="1">
        <f>IF(B963="","",B963-WEEKDAY(B963,3))</f>
        <v/>
      </c>
    </row>
    <row r="964">
      <c r="A964" s="1" t="n"/>
      <c r="B964" s="26" t="n"/>
      <c r="C964" s="25" t="n"/>
      <c r="D964" s="29" t="n"/>
      <c r="E964" s="25" t="n"/>
      <c r="F964" s="1">
        <f>IF(B964="","",B964-WEEKDAY(B964,3))</f>
        <v/>
      </c>
    </row>
    <row r="965">
      <c r="A965" s="1" t="n"/>
      <c r="B965" s="26" t="n"/>
      <c r="C965" s="25" t="n"/>
      <c r="D965" s="29" t="n"/>
      <c r="E965" s="25" t="n"/>
      <c r="F965" s="1">
        <f>IF(B965="","",B965-WEEKDAY(B965,3))</f>
        <v/>
      </c>
    </row>
    <row r="966">
      <c r="A966" s="1" t="n"/>
      <c r="B966" s="26" t="n"/>
      <c r="C966" s="25" t="n"/>
      <c r="D966" s="29" t="n"/>
      <c r="E966" s="25" t="n"/>
      <c r="F966" s="1">
        <f>IF(B966="","",B966-WEEKDAY(B966,3))</f>
        <v/>
      </c>
    </row>
    <row r="967">
      <c r="A967" s="1" t="n"/>
      <c r="B967" s="26" t="n"/>
      <c r="C967" s="25" t="n"/>
      <c r="D967" s="29" t="n"/>
      <c r="E967" s="25" t="n"/>
      <c r="F967" s="1">
        <f>IF(B967="","",B967-WEEKDAY(B967,3))</f>
        <v/>
      </c>
    </row>
    <row r="968">
      <c r="A968" s="1" t="n"/>
      <c r="B968" s="26" t="n"/>
      <c r="C968" s="25" t="n"/>
      <c r="D968" s="29" t="n"/>
      <c r="E968" s="25" t="n"/>
      <c r="F968" s="1">
        <f>IF(B968="","",B968-WEEKDAY(B968,3))</f>
        <v/>
      </c>
    </row>
    <row r="969">
      <c r="A969" s="1" t="n"/>
      <c r="B969" s="26" t="n"/>
      <c r="C969" s="25" t="n"/>
      <c r="D969" s="29" t="n"/>
      <c r="E969" s="25" t="n"/>
      <c r="F969" s="1">
        <f>IF(B969="","",B969-WEEKDAY(B969,3))</f>
        <v/>
      </c>
    </row>
    <row r="970">
      <c r="A970" s="1" t="n"/>
      <c r="B970" s="26" t="n"/>
      <c r="C970" s="25" t="n"/>
      <c r="D970" s="29" t="n"/>
      <c r="E970" s="25" t="n"/>
      <c r="F970" s="1">
        <f>IF(B970="","",B970-WEEKDAY(B970,3))</f>
        <v/>
      </c>
    </row>
    <row r="971">
      <c r="A971" s="1" t="n"/>
      <c r="B971" s="26" t="n"/>
      <c r="C971" s="25" t="n"/>
      <c r="D971" s="29" t="n"/>
      <c r="E971" s="25" t="n"/>
      <c r="F971" s="1">
        <f>IF(B971="","",B971-WEEKDAY(B971,3))</f>
        <v/>
      </c>
    </row>
    <row r="972">
      <c r="A972" s="1" t="n"/>
      <c r="B972" s="26" t="n"/>
      <c r="C972" s="25" t="n"/>
      <c r="D972" s="29" t="n"/>
      <c r="E972" s="25" t="n"/>
      <c r="F972" s="1">
        <f>IF(B972="","",B972-WEEKDAY(B972,3))</f>
        <v/>
      </c>
    </row>
    <row r="973">
      <c r="A973" s="1" t="n"/>
      <c r="B973" s="26" t="n"/>
      <c r="C973" s="25" t="n"/>
      <c r="D973" s="29" t="n"/>
      <c r="E973" s="25" t="n"/>
      <c r="F973" s="1">
        <f>IF(B973="","",B973-WEEKDAY(B973,3))</f>
        <v/>
      </c>
    </row>
    <row r="974">
      <c r="A974" s="1" t="n"/>
      <c r="B974" s="26" t="n"/>
      <c r="C974" s="25" t="n"/>
      <c r="D974" s="29" t="n"/>
      <c r="E974" s="25" t="n"/>
      <c r="F974" s="1">
        <f>IF(B974="","",B974-WEEKDAY(B974,3))</f>
        <v/>
      </c>
    </row>
    <row r="975">
      <c r="A975" s="1" t="n"/>
      <c r="B975" s="26" t="n"/>
      <c r="C975" s="25" t="n"/>
      <c r="D975" s="29" t="n"/>
      <c r="E975" s="25" t="n"/>
      <c r="F975" s="1">
        <f>IF(B975="","",B975-WEEKDAY(B975,3))</f>
        <v/>
      </c>
    </row>
    <row r="976">
      <c r="A976" s="1" t="n"/>
      <c r="B976" s="26" t="n"/>
      <c r="C976" s="25" t="n"/>
      <c r="D976" s="29" t="n"/>
      <c r="E976" s="25" t="n"/>
      <c r="F976" s="1">
        <f>IF(B976="","",B976-WEEKDAY(B976,3))</f>
        <v/>
      </c>
    </row>
    <row r="977">
      <c r="A977" s="1" t="n"/>
      <c r="B977" s="26" t="n"/>
      <c r="C977" s="25" t="n"/>
      <c r="D977" s="29" t="n"/>
      <c r="E977" s="25" t="n"/>
      <c r="F977" s="1">
        <f>IF(B977="","",B977-WEEKDAY(B977,3))</f>
        <v/>
      </c>
    </row>
    <row r="978">
      <c r="A978" s="1" t="n"/>
      <c r="B978" s="26" t="n"/>
      <c r="C978" s="25" t="n"/>
      <c r="D978" s="29" t="n"/>
      <c r="E978" s="25" t="n"/>
      <c r="F978" s="1">
        <f>IF(B978="","",B978-WEEKDAY(B978,3))</f>
        <v/>
      </c>
    </row>
    <row r="979">
      <c r="A979" s="1" t="n"/>
      <c r="B979" s="26" t="n"/>
      <c r="C979" s="25" t="n"/>
      <c r="D979" s="29" t="n"/>
      <c r="E979" s="25" t="n"/>
      <c r="F979" s="1">
        <f>IF(B979="","",B979-WEEKDAY(B979,3))</f>
        <v/>
      </c>
    </row>
    <row r="980">
      <c r="A980" s="1" t="n"/>
      <c r="B980" s="26" t="n"/>
      <c r="C980" s="25" t="n"/>
      <c r="D980" s="29" t="n"/>
      <c r="E980" s="25" t="n"/>
      <c r="F980" s="1">
        <f>IF(B980="","",B980-WEEKDAY(B980,3))</f>
        <v/>
      </c>
    </row>
    <row r="981">
      <c r="A981" s="1" t="n"/>
      <c r="B981" s="26" t="n"/>
      <c r="C981" s="25" t="n"/>
      <c r="D981" s="29" t="n"/>
      <c r="E981" s="25" t="n"/>
      <c r="F981" s="1">
        <f>IF(B981="","",B981-WEEKDAY(B981,3))</f>
        <v/>
      </c>
    </row>
    <row r="982">
      <c r="A982" s="1" t="n"/>
      <c r="B982" s="26" t="n"/>
      <c r="C982" s="25" t="n"/>
      <c r="D982" s="29" t="n"/>
      <c r="E982" s="25" t="n"/>
      <c r="F982" s="1">
        <f>IF(B982="","",B982-WEEKDAY(B982,3))</f>
        <v/>
      </c>
    </row>
    <row r="983">
      <c r="A983" s="1" t="n"/>
      <c r="B983" s="26" t="n"/>
      <c r="C983" s="25" t="n"/>
      <c r="D983" s="29" t="n"/>
      <c r="E983" s="25" t="n"/>
      <c r="F983" s="1">
        <f>IF(B983="","",B983-WEEKDAY(B983,3))</f>
        <v/>
      </c>
    </row>
    <row r="984">
      <c r="A984" s="1" t="n"/>
      <c r="B984" s="26" t="n"/>
      <c r="C984" s="25" t="n"/>
      <c r="D984" s="29" t="n"/>
      <c r="E984" s="25" t="n"/>
      <c r="F984" s="1">
        <f>IF(B984="","",B984-WEEKDAY(B984,3))</f>
        <v/>
      </c>
    </row>
    <row r="985">
      <c r="A985" s="1" t="n"/>
      <c r="B985" s="26" t="n"/>
      <c r="C985" s="25" t="n"/>
      <c r="D985" s="29" t="n"/>
      <c r="E985" s="25" t="n"/>
      <c r="F985" s="1">
        <f>IF(B985="","",B985-WEEKDAY(B985,3))</f>
        <v/>
      </c>
    </row>
    <row r="986">
      <c r="A986" s="1" t="n"/>
      <c r="B986" s="26" t="n"/>
      <c r="C986" s="25" t="n"/>
      <c r="D986" s="29" t="n"/>
      <c r="E986" s="25" t="n"/>
      <c r="F986" s="1">
        <f>IF(B986="","",B986-WEEKDAY(B986,3))</f>
        <v/>
      </c>
    </row>
    <row r="987">
      <c r="A987" s="1" t="n"/>
      <c r="B987" s="26" t="n"/>
      <c r="C987" s="25" t="n"/>
      <c r="D987" s="29" t="n"/>
      <c r="E987" s="25" t="n"/>
      <c r="F987" s="1">
        <f>IF(B987="","",B987-WEEKDAY(B987,3))</f>
        <v/>
      </c>
    </row>
    <row r="988">
      <c r="A988" s="1" t="n"/>
      <c r="B988" s="26" t="n"/>
      <c r="C988" s="25" t="n"/>
      <c r="D988" s="29" t="n"/>
      <c r="E988" s="25" t="n"/>
      <c r="F988" s="1">
        <f>IF(B988="","",B988-WEEKDAY(B988,3))</f>
        <v/>
      </c>
    </row>
    <row r="989">
      <c r="A989" s="1" t="n"/>
      <c r="B989" s="26" t="n"/>
      <c r="C989" s="25" t="n"/>
      <c r="D989" s="29" t="n"/>
      <c r="E989" s="25" t="n"/>
      <c r="F989" s="1">
        <f>IF(B989="","",B989-WEEKDAY(B989,3))</f>
        <v/>
      </c>
    </row>
    <row r="990">
      <c r="A990" s="1" t="n"/>
      <c r="B990" s="26" t="n"/>
      <c r="C990" s="25" t="n"/>
      <c r="D990" s="29" t="n"/>
      <c r="E990" s="25" t="n"/>
      <c r="F990" s="1">
        <f>IF(B990="","",B990-WEEKDAY(B990,3))</f>
        <v/>
      </c>
    </row>
    <row r="991">
      <c r="A991" s="1" t="n"/>
      <c r="B991" s="26" t="n"/>
      <c r="C991" s="25" t="n"/>
      <c r="D991" s="29" t="n"/>
      <c r="E991" s="25" t="n"/>
      <c r="F991" s="1">
        <f>IF(B991="","",B991-WEEKDAY(B991,3))</f>
        <v/>
      </c>
    </row>
    <row r="992">
      <c r="A992" s="1" t="n"/>
      <c r="B992" s="26" t="n"/>
      <c r="C992" s="25" t="n"/>
      <c r="D992" s="29" t="n"/>
      <c r="E992" s="25" t="n"/>
      <c r="F992" s="1">
        <f>IF(B992="","",B992-WEEKDAY(B992,3))</f>
        <v/>
      </c>
    </row>
    <row r="993">
      <c r="A993" s="1" t="n"/>
      <c r="B993" s="26" t="n"/>
      <c r="C993" s="25" t="n"/>
      <c r="D993" s="29" t="n"/>
      <c r="E993" s="25" t="n"/>
      <c r="F993" s="1">
        <f>IF(B993="","",B993-WEEKDAY(B993,3))</f>
        <v/>
      </c>
    </row>
    <row r="994">
      <c r="A994" s="1" t="n"/>
      <c r="B994" s="26" t="n"/>
      <c r="C994" s="25" t="n"/>
      <c r="D994" s="29" t="n"/>
      <c r="E994" s="25" t="n"/>
      <c r="F994" s="1">
        <f>IF(B994="","",B994-WEEKDAY(B994,3))</f>
        <v/>
      </c>
    </row>
    <row r="995">
      <c r="A995" s="1" t="n"/>
      <c r="B995" s="26" t="n"/>
      <c r="C995" s="25" t="n"/>
      <c r="D995" s="29" t="n"/>
      <c r="E995" s="25" t="n"/>
      <c r="F995" s="1">
        <f>IF(B995="","",B995-WEEKDAY(B995,3))</f>
        <v/>
      </c>
    </row>
    <row r="996">
      <c r="A996" s="1" t="n"/>
      <c r="B996" s="26" t="n"/>
      <c r="C996" s="25" t="n"/>
      <c r="D996" s="29" t="n"/>
      <c r="E996" s="25" t="n"/>
      <c r="F996" s="1">
        <f>IF(B996="","",B996-WEEKDAY(B996,3))</f>
        <v/>
      </c>
    </row>
    <row r="997">
      <c r="A997" s="1" t="n"/>
      <c r="B997" s="26" t="n"/>
      <c r="C997" s="25" t="n"/>
      <c r="D997" s="29" t="n"/>
      <c r="E997" s="25" t="n"/>
      <c r="F997" s="1">
        <f>IF(B997="","",B997-WEEKDAY(B997,3))</f>
        <v/>
      </c>
    </row>
    <row r="998">
      <c r="A998" s="1" t="n"/>
      <c r="B998" s="26" t="n"/>
      <c r="C998" s="25" t="n"/>
      <c r="D998" s="29" t="n"/>
      <c r="E998" s="25" t="n"/>
      <c r="F998" s="1">
        <f>IF(B998="","",B998-WEEKDAY(B998,3))</f>
        <v/>
      </c>
    </row>
    <row r="999">
      <c r="A999" s="1" t="n"/>
      <c r="B999" s="26" t="n"/>
      <c r="C999" s="25" t="n"/>
      <c r="D999" s="29" t="n"/>
      <c r="E999" s="25" t="n"/>
      <c r="F999" s="1">
        <f>IF(B999="","",B999-WEEKDAY(B999,3))</f>
        <v/>
      </c>
    </row>
    <row r="1000">
      <c r="A1000" s="1" t="n"/>
      <c r="B1000" s="26" t="n"/>
      <c r="C1000" s="25" t="n"/>
      <c r="D1000" s="29" t="n"/>
      <c r="E1000" s="25" t="n"/>
      <c r="F1000" s="1">
        <f>IF(B1000="","",B1000-WEEKDAY(B1000,3))</f>
        <v/>
      </c>
    </row>
    <row r="1001">
      <c r="A1001" s="1" t="n"/>
      <c r="B1001" s="26" t="n"/>
      <c r="C1001" s="25" t="n"/>
      <c r="D1001" s="29" t="n"/>
      <c r="E1001" s="25" t="n"/>
      <c r="F1001" s="1">
        <f>IF(B1001="","",B1001-WEEKDAY(B1001,3))</f>
        <v/>
      </c>
    </row>
    <row r="1002">
      <c r="A1002" s="1" t="n"/>
      <c r="B1002" s="26" t="n"/>
      <c r="C1002" s="25" t="n"/>
      <c r="D1002" s="29" t="n"/>
      <c r="E1002" s="25" t="n"/>
      <c r="F1002" s="1">
        <f>IF(B1002="","",B1002-WEEKDAY(B1002,3))</f>
        <v/>
      </c>
    </row>
    <row r="1003">
      <c r="A1003" s="1" t="n"/>
      <c r="B1003" s="26" t="n"/>
      <c r="C1003" s="25" t="n"/>
      <c r="D1003" s="29" t="n"/>
      <c r="E1003" s="25" t="n"/>
      <c r="F1003" s="1">
        <f>IF(B1003="","",B1003-WEEKDAY(B1003,3))</f>
        <v/>
      </c>
    </row>
    <row r="1004">
      <c r="A1004" s="1" t="n"/>
      <c r="B1004" s="26" t="n"/>
      <c r="C1004" s="25" t="n"/>
      <c r="D1004" s="29" t="n"/>
      <c r="E1004" s="25" t="n"/>
      <c r="F1004" s="1">
        <f>IF(B1004="","",B1004-WEEKDAY(B1004,3))</f>
        <v/>
      </c>
    </row>
    <row r="1005">
      <c r="A1005" s="1" t="n"/>
      <c r="B1005" s="26" t="n"/>
      <c r="C1005" s="25" t="n"/>
      <c r="D1005" s="29" t="n"/>
      <c r="E1005" s="25" t="n"/>
      <c r="F1005" s="1">
        <f>IF(B1005="","",B1005-WEEKDAY(B1005,3))</f>
        <v/>
      </c>
    </row>
    <row r="1006">
      <c r="A1006" s="1" t="n"/>
      <c r="B1006" s="1" t="n"/>
      <c r="C1006" s="1" t="n"/>
      <c r="D1006" s="1" t="n"/>
      <c r="E1006" s="1" t="n"/>
      <c r="F1006" s="1" t="n"/>
    </row>
  </sheetData>
  <dataValidations count="1">
    <dataValidation sqref="C6:C1005" showDropDown="0" showInputMessage="0" showErrorMessage="1" allowBlank="1" type="list">
      <formula1>=Courses!$B$6:$B$15</formula1>
    </dataValidation>
  </dataValidations>
  <pageMargins left="0.75" right="0.75" top="1" bottom="1" header="0.5" footer="0.5"/>
  <pageSetup orientation="landscape" fitToHeight="0" fitToWidth="1"/>
</worksheet>
</file>

<file path=xl/worksheets/sheet5.xml><?xml version="1.0" encoding="utf-8"?>
<worksheet xmlns="http://schemas.openxmlformats.org/spreadsheetml/2006/main">
  <sheetPr>
    <outlinePr summaryBelow="1" summaryRight="1"/>
    <pageSetUpPr fitToPage="1"/>
  </sheetPr>
  <dimension ref="A1:R23"/>
  <sheetViews>
    <sheetView showGridLines="0" workbookViewId="0">
      <selection activeCell="A1" sqref="A1"/>
    </sheetView>
  </sheetViews>
  <sheetFormatPr baseColWidth="8" defaultRowHeight="15"/>
  <cols>
    <col width="3" customWidth="1" min="1" max="1"/>
    <col width="9" customWidth="1" min="2" max="2"/>
    <col width="17" customWidth="1" min="3" max="3"/>
    <col width="17" customWidth="1" min="4" max="4"/>
    <col width="17" customWidth="1" min="5" max="5"/>
    <col width="17" customWidth="1" min="6" max="6"/>
    <col width="17" customWidth="1" min="7" max="7"/>
    <col width="17" customWidth="1" min="8" max="8"/>
    <col width="17" customWidth="1" min="9" max="9"/>
    <col hidden="1" width="13" customWidth="1" min="12" max="12"/>
    <col hidden="1" width="13" customWidth="1" min="13" max="13"/>
    <col hidden="1" width="13" customWidth="1" min="14" max="14"/>
    <col hidden="1" width="13" customWidth="1" min="15" max="15"/>
    <col hidden="1" width="13" customWidth="1" min="16" max="16"/>
    <col hidden="1" width="13" customWidth="1" min="17" max="17"/>
    <col hidden="1" width="13" customWidth="1" min="18" max="18"/>
  </cols>
  <sheetData>
    <row r="1">
      <c r="A1" s="1" t="n"/>
      <c r="B1" s="1" t="n"/>
      <c r="C1" s="1" t="n"/>
      <c r="D1" s="1" t="n"/>
      <c r="E1" s="1" t="n"/>
      <c r="F1" s="1" t="n"/>
      <c r="G1" s="1" t="n"/>
      <c r="H1" s="1" t="n"/>
      <c r="I1" s="1" t="n"/>
      <c r="J1" s="1" t="n"/>
    </row>
    <row r="2" ht="32" customHeight="1">
      <c r="A2" s="1" t="n"/>
      <c r="B2" s="2" t="inlineStr">
        <is>
          <t>Timetable</t>
        </is>
      </c>
      <c r="C2" s="1" t="n"/>
      <c r="D2" s="1" t="n"/>
      <c r="E2" s="1" t="n"/>
      <c r="F2" s="1" t="n"/>
      <c r="G2" s="1" t="n"/>
      <c r="H2" s="1" t="n"/>
      <c r="I2" s="1" t="n"/>
      <c r="J2" s="1" t="n"/>
    </row>
    <row r="3">
      <c r="A3" s="1" t="n"/>
      <c r="B3" s="3" t="inlineStr">
        <is>
          <t>Type a course name in each hour you have class. The colours follow the Courses tab.</t>
        </is>
      </c>
      <c r="C3" s="1" t="n"/>
      <c r="D3" s="1" t="n"/>
      <c r="E3" s="1" t="n"/>
      <c r="F3" s="1" t="n"/>
      <c r="G3" s="1" t="n"/>
      <c r="H3" s="1" t="n"/>
      <c r="I3" s="1" t="n"/>
      <c r="J3" s="1" t="n"/>
    </row>
    <row r="4">
      <c r="A4" s="1" t="n"/>
      <c r="B4" s="1" t="n"/>
      <c r="C4" s="1" t="n"/>
      <c r="D4" s="1" t="n"/>
      <c r="E4" s="1" t="n"/>
      <c r="F4" s="1" t="n"/>
      <c r="G4" s="1" t="n"/>
      <c r="H4" s="1" t="n"/>
      <c r="I4" s="1" t="n"/>
      <c r="J4" s="1" t="n"/>
    </row>
    <row r="5" ht="30" customHeight="1">
      <c r="A5" s="1" t="n"/>
      <c r="B5" s="11" t="inlineStr"/>
      <c r="C5" s="11" t="inlineStr">
        <is>
          <t>Monday</t>
        </is>
      </c>
      <c r="D5" s="11" t="inlineStr">
        <is>
          <t>Tuesday</t>
        </is>
      </c>
      <c r="E5" s="11" t="inlineStr">
        <is>
          <t>Wednesday</t>
        </is>
      </c>
      <c r="F5" s="11" t="inlineStr">
        <is>
          <t>Thursday</t>
        </is>
      </c>
      <c r="G5" s="11" t="inlineStr">
        <is>
          <t>Friday</t>
        </is>
      </c>
      <c r="H5" s="11" t="inlineStr">
        <is>
          <t>Saturday</t>
        </is>
      </c>
      <c r="I5" s="11" t="inlineStr">
        <is>
          <t>Sunday</t>
        </is>
      </c>
      <c r="J5" s="1" t="n"/>
    </row>
    <row r="6" ht="24" customHeight="1">
      <c r="A6" s="1" t="n"/>
      <c r="B6" s="32" t="inlineStr">
        <is>
          <t>8:00</t>
        </is>
      </c>
      <c r="C6" s="33" t="n"/>
      <c r="D6" s="33" t="n"/>
      <c r="E6" s="33" t="n"/>
      <c r="F6" s="33" t="n"/>
      <c r="G6" s="33" t="n"/>
      <c r="H6" s="33" t="n"/>
      <c r="I6" s="33" t="n"/>
      <c r="J6" s="1" t="n"/>
      <c r="L6">
        <f>IF(C6="",0,IFERROR(MATCH(C6,Courses!$B$6:$B$15,0),0))</f>
        <v/>
      </c>
      <c r="M6">
        <f>IF(D6="",0,IFERROR(MATCH(D6,Courses!$B$6:$B$15,0),0))</f>
        <v/>
      </c>
      <c r="N6">
        <f>IF(E6="",0,IFERROR(MATCH(E6,Courses!$B$6:$B$15,0),0))</f>
        <v/>
      </c>
      <c r="O6">
        <f>IF(F6="",0,IFERROR(MATCH(F6,Courses!$B$6:$B$15,0),0))</f>
        <v/>
      </c>
      <c r="P6">
        <f>IF(G6="",0,IFERROR(MATCH(G6,Courses!$B$6:$B$15,0),0))</f>
        <v/>
      </c>
      <c r="Q6">
        <f>IF(H6="",0,IFERROR(MATCH(H6,Courses!$B$6:$B$15,0),0))</f>
        <v/>
      </c>
      <c r="R6">
        <f>IF(I6="",0,IFERROR(MATCH(I6,Courses!$B$6:$B$15,0),0))</f>
        <v/>
      </c>
    </row>
    <row r="7" ht="24" customHeight="1">
      <c r="A7" s="1" t="n"/>
      <c r="B7" s="32" t="inlineStr">
        <is>
          <t>9:00</t>
        </is>
      </c>
      <c r="C7" s="33" t="inlineStr">
        <is>
          <t>Biology 101</t>
        </is>
      </c>
      <c r="D7" s="33" t="inlineStr">
        <is>
          <t>Spanish I</t>
        </is>
      </c>
      <c r="E7" s="33" t="inlineStr">
        <is>
          <t>Biology 101</t>
        </is>
      </c>
      <c r="F7" s="33" t="n"/>
      <c r="G7" s="33" t="inlineStr">
        <is>
          <t>Biology 101</t>
        </is>
      </c>
      <c r="H7" s="33" t="n"/>
      <c r="I7" s="33" t="n"/>
      <c r="J7" s="1" t="n"/>
      <c r="L7">
        <f>IF(C7="",0,IFERROR(MATCH(C7,Courses!$B$6:$B$15,0),0))</f>
        <v/>
      </c>
      <c r="M7">
        <f>IF(D7="",0,IFERROR(MATCH(D7,Courses!$B$6:$B$15,0),0))</f>
        <v/>
      </c>
      <c r="N7">
        <f>IF(E7="",0,IFERROR(MATCH(E7,Courses!$B$6:$B$15,0),0))</f>
        <v/>
      </c>
      <c r="O7">
        <f>IF(F7="",0,IFERROR(MATCH(F7,Courses!$B$6:$B$15,0),0))</f>
        <v/>
      </c>
      <c r="P7">
        <f>IF(G7="",0,IFERROR(MATCH(G7,Courses!$B$6:$B$15,0),0))</f>
        <v/>
      </c>
      <c r="Q7">
        <f>IF(H7="",0,IFERROR(MATCH(H7,Courses!$B$6:$B$15,0),0))</f>
        <v/>
      </c>
      <c r="R7">
        <f>IF(I7="",0,IFERROR(MATCH(I7,Courses!$B$6:$B$15,0),0))</f>
        <v/>
      </c>
    </row>
    <row r="8" ht="24" customHeight="1">
      <c r="A8" s="1" t="n"/>
      <c r="B8" s="32" t="inlineStr">
        <is>
          <t>10:00</t>
        </is>
      </c>
      <c r="C8" s="33" t="n"/>
      <c r="D8" s="33" t="n"/>
      <c r="E8" s="33" t="n"/>
      <c r="F8" s="33" t="n"/>
      <c r="G8" s="33" t="n"/>
      <c r="H8" s="33" t="n"/>
      <c r="I8" s="33" t="n"/>
      <c r="J8" s="1" t="n"/>
      <c r="L8">
        <f>IF(C8="",0,IFERROR(MATCH(C8,Courses!$B$6:$B$15,0),0))</f>
        <v/>
      </c>
      <c r="M8">
        <f>IF(D8="",0,IFERROR(MATCH(D8,Courses!$B$6:$B$15,0),0))</f>
        <v/>
      </c>
      <c r="N8">
        <f>IF(E8="",0,IFERROR(MATCH(E8,Courses!$B$6:$B$15,0),0))</f>
        <v/>
      </c>
      <c r="O8">
        <f>IF(F8="",0,IFERROR(MATCH(F8,Courses!$B$6:$B$15,0),0))</f>
        <v/>
      </c>
      <c r="P8">
        <f>IF(G8="",0,IFERROR(MATCH(G8,Courses!$B$6:$B$15,0),0))</f>
        <v/>
      </c>
      <c r="Q8">
        <f>IF(H8="",0,IFERROR(MATCH(H8,Courses!$B$6:$B$15,0),0))</f>
        <v/>
      </c>
      <c r="R8">
        <f>IF(I8="",0,IFERROR(MATCH(I8,Courses!$B$6:$B$15,0),0))</f>
        <v/>
      </c>
    </row>
    <row r="9" ht="24" customHeight="1">
      <c r="A9" s="1" t="n"/>
      <c r="B9" s="32" t="inlineStr">
        <is>
          <t>11:00</t>
        </is>
      </c>
      <c r="C9" s="33" t="inlineStr">
        <is>
          <t>Calculus I</t>
        </is>
      </c>
      <c r="D9" s="33" t="inlineStr">
        <is>
          <t>Calculus I</t>
        </is>
      </c>
      <c r="E9" s="33" t="inlineStr">
        <is>
          <t>Spanish I</t>
        </is>
      </c>
      <c r="F9" s="33" t="inlineStr">
        <is>
          <t>Calculus I</t>
        </is>
      </c>
      <c r="G9" s="33" t="inlineStr">
        <is>
          <t>Calculus I</t>
        </is>
      </c>
      <c r="H9" s="33" t="n"/>
      <c r="I9" s="33" t="n"/>
      <c r="J9" s="1" t="n"/>
      <c r="L9">
        <f>IF(C9="",0,IFERROR(MATCH(C9,Courses!$B$6:$B$15,0),0))</f>
        <v/>
      </c>
      <c r="M9">
        <f>IF(D9="",0,IFERROR(MATCH(D9,Courses!$B$6:$B$15,0),0))</f>
        <v/>
      </c>
      <c r="N9">
        <f>IF(E9="",0,IFERROR(MATCH(E9,Courses!$B$6:$B$15,0),0))</f>
        <v/>
      </c>
      <c r="O9">
        <f>IF(F9="",0,IFERROR(MATCH(F9,Courses!$B$6:$B$15,0),0))</f>
        <v/>
      </c>
      <c r="P9">
        <f>IF(G9="",0,IFERROR(MATCH(G9,Courses!$B$6:$B$15,0),0))</f>
        <v/>
      </c>
      <c r="Q9">
        <f>IF(H9="",0,IFERROR(MATCH(H9,Courses!$B$6:$B$15,0),0))</f>
        <v/>
      </c>
      <c r="R9">
        <f>IF(I9="",0,IFERROR(MATCH(I9,Courses!$B$6:$B$15,0),0))</f>
        <v/>
      </c>
    </row>
    <row r="10" ht="24" customHeight="1">
      <c r="A10" s="1" t="n"/>
      <c r="B10" s="32" t="inlineStr">
        <is>
          <t>12:00</t>
        </is>
      </c>
      <c r="C10" s="33" t="n"/>
      <c r="D10" s="33" t="n"/>
      <c r="E10" s="33" t="n"/>
      <c r="F10" s="33" t="n"/>
      <c r="G10" s="33" t="n"/>
      <c r="H10" s="33" t="n"/>
      <c r="I10" s="33" t="n"/>
      <c r="J10" s="1" t="n"/>
      <c r="L10">
        <f>IF(C10="",0,IFERROR(MATCH(C10,Courses!$B$6:$B$15,0),0))</f>
        <v/>
      </c>
      <c r="M10">
        <f>IF(D10="",0,IFERROR(MATCH(D10,Courses!$B$6:$B$15,0),0))</f>
        <v/>
      </c>
      <c r="N10">
        <f>IF(E10="",0,IFERROR(MATCH(E10,Courses!$B$6:$B$15,0),0))</f>
        <v/>
      </c>
      <c r="O10">
        <f>IF(F10="",0,IFERROR(MATCH(F10,Courses!$B$6:$B$15,0),0))</f>
        <v/>
      </c>
      <c r="P10">
        <f>IF(G10="",0,IFERROR(MATCH(G10,Courses!$B$6:$B$15,0),0))</f>
        <v/>
      </c>
      <c r="Q10">
        <f>IF(H10="",0,IFERROR(MATCH(H10,Courses!$B$6:$B$15,0),0))</f>
        <v/>
      </c>
      <c r="R10">
        <f>IF(I10="",0,IFERROR(MATCH(I10,Courses!$B$6:$B$15,0),0))</f>
        <v/>
      </c>
    </row>
    <row r="11" ht="24" customHeight="1">
      <c r="A11" s="1" t="n"/>
      <c r="B11" s="32" t="inlineStr">
        <is>
          <t>13:00</t>
        </is>
      </c>
      <c r="C11" s="33" t="n"/>
      <c r="D11" s="33" t="inlineStr">
        <is>
          <t>English Composition</t>
        </is>
      </c>
      <c r="E11" s="33" t="n"/>
      <c r="F11" s="33" t="inlineStr">
        <is>
          <t>English Composition</t>
        </is>
      </c>
      <c r="G11" s="33" t="inlineStr">
        <is>
          <t>Spanish I</t>
        </is>
      </c>
      <c r="H11" s="33" t="n"/>
      <c r="I11" s="33" t="n"/>
      <c r="J11" s="1" t="n"/>
      <c r="L11">
        <f>IF(C11="",0,IFERROR(MATCH(C11,Courses!$B$6:$B$15,0),0))</f>
        <v/>
      </c>
      <c r="M11">
        <f>IF(D11="",0,IFERROR(MATCH(D11,Courses!$B$6:$B$15,0),0))</f>
        <v/>
      </c>
      <c r="N11">
        <f>IF(E11="",0,IFERROR(MATCH(E11,Courses!$B$6:$B$15,0),0))</f>
        <v/>
      </c>
      <c r="O11">
        <f>IF(F11="",0,IFERROR(MATCH(F11,Courses!$B$6:$B$15,0),0))</f>
        <v/>
      </c>
      <c r="P11">
        <f>IF(G11="",0,IFERROR(MATCH(G11,Courses!$B$6:$B$15,0),0))</f>
        <v/>
      </c>
      <c r="Q11">
        <f>IF(H11="",0,IFERROR(MATCH(H11,Courses!$B$6:$B$15,0),0))</f>
        <v/>
      </c>
      <c r="R11">
        <f>IF(I11="",0,IFERROR(MATCH(I11,Courses!$B$6:$B$15,0),0))</f>
        <v/>
      </c>
    </row>
    <row r="12" ht="24" customHeight="1">
      <c r="A12" s="1" t="n"/>
      <c r="B12" s="32" t="inlineStr">
        <is>
          <t>14:00</t>
        </is>
      </c>
      <c r="C12" s="33" t="inlineStr">
        <is>
          <t>Intro to Psychology</t>
        </is>
      </c>
      <c r="D12" s="33" t="n"/>
      <c r="E12" s="33" t="inlineStr">
        <is>
          <t>Intro to Psychology</t>
        </is>
      </c>
      <c r="F12" s="33" t="inlineStr">
        <is>
          <t>Biology 101</t>
        </is>
      </c>
      <c r="G12" s="33" t="n"/>
      <c r="H12" s="33" t="n"/>
      <c r="I12" s="33" t="n"/>
      <c r="J12" s="1" t="n"/>
      <c r="L12">
        <f>IF(C12="",0,IFERROR(MATCH(C12,Courses!$B$6:$B$15,0),0))</f>
        <v/>
      </c>
      <c r="M12">
        <f>IF(D12="",0,IFERROR(MATCH(D12,Courses!$B$6:$B$15,0),0))</f>
        <v/>
      </c>
      <c r="N12">
        <f>IF(E12="",0,IFERROR(MATCH(E12,Courses!$B$6:$B$15,0),0))</f>
        <v/>
      </c>
      <c r="O12">
        <f>IF(F12="",0,IFERROR(MATCH(F12,Courses!$B$6:$B$15,0),0))</f>
        <v/>
      </c>
      <c r="P12">
        <f>IF(G12="",0,IFERROR(MATCH(G12,Courses!$B$6:$B$15,0),0))</f>
        <v/>
      </c>
      <c r="Q12">
        <f>IF(H12="",0,IFERROR(MATCH(H12,Courses!$B$6:$B$15,0),0))</f>
        <v/>
      </c>
      <c r="R12">
        <f>IF(I12="",0,IFERROR(MATCH(I12,Courses!$B$6:$B$15,0),0))</f>
        <v/>
      </c>
    </row>
    <row r="13" ht="24" customHeight="1">
      <c r="A13" s="1" t="n"/>
      <c r="B13" s="32" t="inlineStr">
        <is>
          <t>15:00</t>
        </is>
      </c>
      <c r="C13" s="33" t="n"/>
      <c r="D13" s="33" t="n"/>
      <c r="E13" s="33" t="n"/>
      <c r="F13" s="33" t="n"/>
      <c r="G13" s="33" t="n"/>
      <c r="H13" s="33" t="n"/>
      <c r="I13" s="33" t="n"/>
      <c r="J13" s="1" t="n"/>
      <c r="L13">
        <f>IF(C13="",0,IFERROR(MATCH(C13,Courses!$B$6:$B$15,0),0))</f>
        <v/>
      </c>
      <c r="M13">
        <f>IF(D13="",0,IFERROR(MATCH(D13,Courses!$B$6:$B$15,0),0))</f>
        <v/>
      </c>
      <c r="N13">
        <f>IF(E13="",0,IFERROR(MATCH(E13,Courses!$B$6:$B$15,0),0))</f>
        <v/>
      </c>
      <c r="O13">
        <f>IF(F13="",0,IFERROR(MATCH(F13,Courses!$B$6:$B$15,0),0))</f>
        <v/>
      </c>
      <c r="P13">
        <f>IF(G13="",0,IFERROR(MATCH(G13,Courses!$B$6:$B$15,0),0))</f>
        <v/>
      </c>
      <c r="Q13">
        <f>IF(H13="",0,IFERROR(MATCH(H13,Courses!$B$6:$B$15,0),0))</f>
        <v/>
      </c>
      <c r="R13">
        <f>IF(I13="",0,IFERROR(MATCH(I13,Courses!$B$6:$B$15,0),0))</f>
        <v/>
      </c>
    </row>
    <row r="14" ht="24" customHeight="1">
      <c r="A14" s="1" t="n"/>
      <c r="B14" s="32" t="inlineStr">
        <is>
          <t>16:00</t>
        </is>
      </c>
      <c r="C14" s="33" t="n"/>
      <c r="D14" s="33" t="n"/>
      <c r="E14" s="33" t="n"/>
      <c r="F14" s="33" t="n"/>
      <c r="G14" s="33" t="n"/>
      <c r="H14" s="33" t="n"/>
      <c r="I14" s="33" t="n"/>
      <c r="J14" s="1" t="n"/>
      <c r="L14">
        <f>IF(C14="",0,IFERROR(MATCH(C14,Courses!$B$6:$B$15,0),0))</f>
        <v/>
      </c>
      <c r="M14">
        <f>IF(D14="",0,IFERROR(MATCH(D14,Courses!$B$6:$B$15,0),0))</f>
        <v/>
      </c>
      <c r="N14">
        <f>IF(E14="",0,IFERROR(MATCH(E14,Courses!$B$6:$B$15,0),0))</f>
        <v/>
      </c>
      <c r="O14">
        <f>IF(F14="",0,IFERROR(MATCH(F14,Courses!$B$6:$B$15,0),0))</f>
        <v/>
      </c>
      <c r="P14">
        <f>IF(G14="",0,IFERROR(MATCH(G14,Courses!$B$6:$B$15,0),0))</f>
        <v/>
      </c>
      <c r="Q14">
        <f>IF(H14="",0,IFERROR(MATCH(H14,Courses!$B$6:$B$15,0),0))</f>
        <v/>
      </c>
      <c r="R14">
        <f>IF(I14="",0,IFERROR(MATCH(I14,Courses!$B$6:$B$15,0),0))</f>
        <v/>
      </c>
    </row>
    <row r="15" ht="24" customHeight="1">
      <c r="A15" s="1" t="n"/>
      <c r="B15" s="32" t="inlineStr">
        <is>
          <t>17:00</t>
        </is>
      </c>
      <c r="C15" s="33" t="n"/>
      <c r="D15" s="33" t="n"/>
      <c r="E15" s="33" t="n"/>
      <c r="F15" s="33" t="n"/>
      <c r="G15" s="33" t="n"/>
      <c r="H15" s="33" t="n"/>
      <c r="I15" s="33" t="n"/>
      <c r="J15" s="1" t="n"/>
      <c r="L15">
        <f>IF(C15="",0,IFERROR(MATCH(C15,Courses!$B$6:$B$15,0),0))</f>
        <v/>
      </c>
      <c r="M15">
        <f>IF(D15="",0,IFERROR(MATCH(D15,Courses!$B$6:$B$15,0),0))</f>
        <v/>
      </c>
      <c r="N15">
        <f>IF(E15="",0,IFERROR(MATCH(E15,Courses!$B$6:$B$15,0),0))</f>
        <v/>
      </c>
      <c r="O15">
        <f>IF(F15="",0,IFERROR(MATCH(F15,Courses!$B$6:$B$15,0),0))</f>
        <v/>
      </c>
      <c r="P15">
        <f>IF(G15="",0,IFERROR(MATCH(G15,Courses!$B$6:$B$15,0),0))</f>
        <v/>
      </c>
      <c r="Q15">
        <f>IF(H15="",0,IFERROR(MATCH(H15,Courses!$B$6:$B$15,0),0))</f>
        <v/>
      </c>
      <c r="R15">
        <f>IF(I15="",0,IFERROR(MATCH(I15,Courses!$B$6:$B$15,0),0))</f>
        <v/>
      </c>
    </row>
    <row r="16" ht="24" customHeight="1">
      <c r="A16" s="1" t="n"/>
      <c r="B16" s="32" t="inlineStr">
        <is>
          <t>18:00</t>
        </is>
      </c>
      <c r="C16" s="33" t="n"/>
      <c r="D16" s="33" t="n"/>
      <c r="E16" s="33" t="n"/>
      <c r="F16" s="33" t="n"/>
      <c r="G16" s="33" t="n"/>
      <c r="H16" s="33" t="n"/>
      <c r="I16" s="33" t="n"/>
      <c r="J16" s="1" t="n"/>
      <c r="L16">
        <f>IF(C16="",0,IFERROR(MATCH(C16,Courses!$B$6:$B$15,0),0))</f>
        <v/>
      </c>
      <c r="M16">
        <f>IF(D16="",0,IFERROR(MATCH(D16,Courses!$B$6:$B$15,0),0))</f>
        <v/>
      </c>
      <c r="N16">
        <f>IF(E16="",0,IFERROR(MATCH(E16,Courses!$B$6:$B$15,0),0))</f>
        <v/>
      </c>
      <c r="O16">
        <f>IF(F16="",0,IFERROR(MATCH(F16,Courses!$B$6:$B$15,0),0))</f>
        <v/>
      </c>
      <c r="P16">
        <f>IF(G16="",0,IFERROR(MATCH(G16,Courses!$B$6:$B$15,0),0))</f>
        <v/>
      </c>
      <c r="Q16">
        <f>IF(H16="",0,IFERROR(MATCH(H16,Courses!$B$6:$B$15,0),0))</f>
        <v/>
      </c>
      <c r="R16">
        <f>IF(I16="",0,IFERROR(MATCH(I16,Courses!$B$6:$B$15,0),0))</f>
        <v/>
      </c>
    </row>
    <row r="17">
      <c r="A17" s="1" t="n"/>
      <c r="B17" s="1" t="n"/>
      <c r="C17" s="1" t="n"/>
      <c r="D17" s="1" t="n"/>
      <c r="E17" s="1" t="n"/>
      <c r="F17" s="1" t="n"/>
      <c r="G17" s="1" t="n"/>
      <c r="H17" s="1" t="n"/>
      <c r="I17" s="1" t="n"/>
      <c r="J17" s="1" t="n"/>
    </row>
    <row r="18">
      <c r="A18" s="1" t="n"/>
      <c r="B18" s="1" t="n"/>
      <c r="C18" s="1" t="n"/>
      <c r="D18" s="1" t="n"/>
      <c r="E18" s="1" t="n"/>
      <c r="F18" s="1" t="n"/>
      <c r="G18" s="1" t="n"/>
      <c r="H18" s="1" t="n"/>
      <c r="I18" s="1" t="n"/>
      <c r="J18" s="1" t="n"/>
    </row>
    <row r="19">
      <c r="A19" s="1" t="n"/>
      <c r="B19" s="1" t="n"/>
      <c r="C19" s="1" t="n"/>
      <c r="D19" s="1" t="n"/>
      <c r="E19" s="1" t="n"/>
      <c r="F19" s="1" t="n"/>
      <c r="G19" s="1" t="n"/>
      <c r="H19" s="1" t="n"/>
      <c r="I19" s="1" t="n"/>
      <c r="J19" s="1" t="n"/>
    </row>
    <row r="20">
      <c r="A20" s="1" t="n"/>
      <c r="B20" s="1" t="n"/>
      <c r="C20" s="1" t="n"/>
      <c r="D20" s="1" t="n"/>
      <c r="E20" s="1" t="n"/>
      <c r="F20" s="1" t="n"/>
      <c r="G20" s="1" t="n"/>
      <c r="H20" s="1" t="n"/>
      <c r="I20" s="1" t="n"/>
      <c r="J20" s="1" t="n"/>
    </row>
    <row r="21">
      <c r="A21" s="1" t="n"/>
      <c r="B21" s="1" t="n"/>
      <c r="C21" s="1" t="n"/>
      <c r="D21" s="1" t="n"/>
      <c r="E21" s="1" t="n"/>
      <c r="F21" s="1" t="n"/>
      <c r="G21" s="1" t="n"/>
      <c r="H21" s="1" t="n"/>
      <c r="I21" s="1" t="n"/>
      <c r="J21" s="1" t="n"/>
    </row>
    <row r="22">
      <c r="A22" s="1" t="n"/>
      <c r="B22" s="1" t="n"/>
      <c r="C22" s="1" t="n"/>
      <c r="D22" s="1" t="n"/>
      <c r="E22" s="1" t="n"/>
      <c r="F22" s="1" t="n"/>
      <c r="G22" s="1" t="n"/>
      <c r="H22" s="1" t="n"/>
      <c r="I22" s="1" t="n"/>
      <c r="J22" s="1" t="n"/>
    </row>
    <row r="23">
      <c r="A23" s="1" t="n"/>
      <c r="B23" s="1" t="n"/>
      <c r="C23" s="1" t="n"/>
      <c r="D23" s="1" t="n"/>
      <c r="E23" s="1" t="n"/>
      <c r="F23" s="1" t="n"/>
      <c r="G23" s="1" t="n"/>
      <c r="H23" s="1" t="n"/>
      <c r="I23" s="1" t="n"/>
      <c r="J23" s="1" t="n"/>
    </row>
  </sheetData>
  <conditionalFormatting sqref="C6:I16">
    <cfRule type="expression" priority="1" dxfId="4">
      <formula>L6=1</formula>
    </cfRule>
    <cfRule type="expression" priority="2" dxfId="5">
      <formula>L6=2</formula>
    </cfRule>
    <cfRule type="expression" priority="3" dxfId="6">
      <formula>L6=3</formula>
    </cfRule>
    <cfRule type="expression" priority="4" dxfId="7">
      <formula>L6=4</formula>
    </cfRule>
    <cfRule type="expression" priority="5" dxfId="8">
      <formula>L6=5</formula>
    </cfRule>
    <cfRule type="expression" priority="6" dxfId="9">
      <formula>L6=6</formula>
    </cfRule>
    <cfRule type="expression" priority="7" dxfId="10">
      <formula>L6=7</formula>
    </cfRule>
    <cfRule type="expression" priority="8" dxfId="11">
      <formula>L6=8</formula>
    </cfRule>
    <cfRule type="expression" priority="9" dxfId="12">
      <formula>AND(C6&lt;&gt;"",L6=0)</formula>
    </cfRule>
  </conditionalFormatting>
  <dataValidations count="1">
    <dataValidation sqref="C6:I16" showDropDown="0" showInputMessage="0" showErrorMessage="0" allowBlank="1" type="list">
      <formula1>=Courses!$B$6:$B$15</formula1>
    </dataValidation>
  </dataValidations>
  <pageMargins left="0.75" right="0.75" top="1" bottom="1" header="0.5" footer="0.5"/>
  <pageSetup orientation="landscape" fitToHeight="0" fitToWidth="1"/>
</worksheet>
</file>

<file path=xl/worksheets/sheet6.xml><?xml version="1.0" encoding="utf-8"?>
<worksheet xmlns="http://schemas.openxmlformats.org/spreadsheetml/2006/main">
  <sheetPr>
    <outlinePr summaryBelow="1" summaryRight="1"/>
    <pageSetUpPr fitToPage="1"/>
  </sheetPr>
  <dimension ref="A1:I29"/>
  <sheetViews>
    <sheetView showGridLines="0" workbookViewId="0">
      <selection activeCell="A1" sqref="A1"/>
    </sheetView>
  </sheetViews>
  <sheetFormatPr baseColWidth="8" defaultRowHeight="15"/>
  <cols>
    <col width="3" customWidth="1" min="1" max="1"/>
    <col width="20" customWidth="1" min="2" max="2"/>
    <col width="4" customWidth="1" min="3" max="3"/>
    <col width="10" customWidth="1" min="4" max="4"/>
    <col width="10" customWidth="1" min="5" max="5"/>
    <col width="10" customWidth="1" min="6" max="6"/>
    <col width="4" customWidth="1" min="7" max="7"/>
    <col width="50" customWidth="1" min="8" max="8"/>
  </cols>
  <sheetData>
    <row r="1">
      <c r="A1" s="1" t="n"/>
      <c r="B1" s="1" t="n"/>
      <c r="C1" s="1" t="n"/>
      <c r="D1" s="1" t="n"/>
      <c r="E1" s="1" t="n"/>
      <c r="F1" s="1" t="n"/>
      <c r="G1" s="1" t="n"/>
      <c r="H1" s="1" t="n"/>
      <c r="I1" s="1" t="n"/>
    </row>
    <row r="2" ht="32" customHeight="1">
      <c r="A2" s="1" t="n"/>
      <c r="B2" s="2" t="inlineStr">
        <is>
          <t>Settings</t>
        </is>
      </c>
      <c r="C2" s="1" t="n"/>
      <c r="D2" s="1" t="n"/>
      <c r="E2" s="1" t="n"/>
      <c r="F2" s="1" t="n"/>
      <c r="G2" s="1" t="n"/>
      <c r="H2" s="1" t="n"/>
      <c r="I2" s="1" t="n"/>
    </row>
    <row r="3">
      <c r="A3" s="1" t="n"/>
      <c r="B3" s="3" t="inlineStr">
        <is>
          <t>Kinds of work, your grade scale and your weekly study goal.</t>
        </is>
      </c>
      <c r="C3" s="1" t="n"/>
      <c r="D3" s="1" t="n"/>
      <c r="E3" s="1" t="n"/>
      <c r="F3" s="1" t="n"/>
      <c r="G3" s="1" t="n"/>
      <c r="H3" s="1" t="n"/>
      <c r="I3" s="1" t="n"/>
    </row>
    <row r="4">
      <c r="A4" s="1" t="n"/>
      <c r="B4" s="1" t="n"/>
      <c r="C4" s="1" t="n"/>
      <c r="D4" s="1" t="n"/>
      <c r="E4" s="1" t="n"/>
      <c r="F4" s="1" t="n"/>
      <c r="G4" s="1" t="n"/>
      <c r="H4" s="1" t="n"/>
      <c r="I4" s="1" t="n"/>
    </row>
    <row r="5" ht="30" customHeight="1">
      <c r="A5" s="1" t="n"/>
      <c r="B5" s="11" t="inlineStr">
        <is>
          <t>Kinds of work</t>
        </is>
      </c>
      <c r="C5" s="1" t="n"/>
      <c r="D5" s="11" t="inlineStr">
        <is>
          <t>From</t>
        </is>
      </c>
      <c r="E5" s="11" t="inlineStr">
        <is>
          <t>Letter</t>
        </is>
      </c>
      <c r="F5" s="11" t="inlineStr">
        <is>
          <t>Points</t>
        </is>
      </c>
      <c r="G5" s="1" t="n"/>
      <c r="H5" s="1" t="n"/>
      <c r="I5" s="1" t="n"/>
    </row>
    <row r="6">
      <c r="A6" s="1" t="n"/>
      <c r="B6" s="24" t="inlineStr">
        <is>
          <t>Homework</t>
        </is>
      </c>
      <c r="C6" s="1" t="n"/>
      <c r="D6" s="30" t="n">
        <v>0</v>
      </c>
      <c r="E6" s="34" t="inlineStr">
        <is>
          <t>F</t>
        </is>
      </c>
      <c r="F6" s="35" t="n">
        <v>0</v>
      </c>
      <c r="G6" s="1" t="n"/>
      <c r="H6" s="31" t="inlineStr">
        <is>
          <t>The grade scale goes from low to high: a grade gets the letter of the last line it reaches.</t>
        </is>
      </c>
      <c r="I6" s="1" t="n"/>
    </row>
    <row r="7">
      <c r="A7" s="1" t="n"/>
      <c r="B7" s="24" t="inlineStr">
        <is>
          <t>Quizzes</t>
        </is>
      </c>
      <c r="C7" s="1" t="n"/>
      <c r="D7" s="30" t="n">
        <v>0.6</v>
      </c>
      <c r="E7" s="34" t="inlineStr">
        <is>
          <t>D-</t>
        </is>
      </c>
      <c r="F7" s="35" t="n">
        <v>0.7</v>
      </c>
      <c r="G7" s="1" t="n"/>
      <c r="H7" s="31" t="inlineStr">
        <is>
          <t>Change it to your school's scale. Leave the points empty if you do not use a GPA.</t>
        </is>
      </c>
      <c r="I7" s="1" t="n"/>
    </row>
    <row r="8">
      <c r="A8" s="1" t="n"/>
      <c r="B8" s="24" t="inlineStr">
        <is>
          <t>Projects</t>
        </is>
      </c>
      <c r="C8" s="1" t="n"/>
      <c r="D8" s="30" t="n">
        <v>0.63</v>
      </c>
      <c r="E8" s="34" t="inlineStr">
        <is>
          <t>D</t>
        </is>
      </c>
      <c r="F8" s="35" t="n">
        <v>1</v>
      </c>
      <c r="G8" s="1" t="n"/>
      <c r="H8" s="31" t="inlineStr">
        <is>
          <t>The kinds of work are the columns of weights on the Courses tab.</t>
        </is>
      </c>
      <c r="I8" s="1" t="n"/>
    </row>
    <row r="9">
      <c r="A9" s="1" t="n"/>
      <c r="B9" s="24" t="inlineStr">
        <is>
          <t>Midterm</t>
        </is>
      </c>
      <c r="C9" s="1" t="n"/>
      <c r="D9" s="30" t="n">
        <v>0.67</v>
      </c>
      <c r="E9" s="34" t="inlineStr">
        <is>
          <t>D+</t>
        </is>
      </c>
      <c r="F9" s="35" t="n">
        <v>1.3</v>
      </c>
      <c r="G9" s="1" t="n"/>
      <c r="H9" s="1" t="n"/>
      <c r="I9" s="1" t="n"/>
    </row>
    <row r="10">
      <c r="A10" s="1" t="n"/>
      <c r="B10" s="24" t="inlineStr">
        <is>
          <t>Final</t>
        </is>
      </c>
      <c r="C10" s="1" t="n"/>
      <c r="D10" s="30" t="n">
        <v>0.7</v>
      </c>
      <c r="E10" s="34" t="inlineStr">
        <is>
          <t>C-</t>
        </is>
      </c>
      <c r="F10" s="35" t="n">
        <v>1.7</v>
      </c>
      <c r="G10" s="1" t="n"/>
      <c r="H10" s="1" t="n"/>
      <c r="I10" s="1" t="n"/>
    </row>
    <row r="11">
      <c r="A11" s="1" t="n"/>
      <c r="B11" s="24" t="inlineStr">
        <is>
          <t>Other</t>
        </is>
      </c>
      <c r="C11" s="1" t="n"/>
      <c r="D11" s="30" t="n">
        <v>0.73</v>
      </c>
      <c r="E11" s="34" t="inlineStr">
        <is>
          <t>C</t>
        </is>
      </c>
      <c r="F11" s="35" t="n">
        <v>2</v>
      </c>
      <c r="G11" s="1" t="n"/>
      <c r="H11" s="1" t="n"/>
      <c r="I11" s="1" t="n"/>
    </row>
    <row r="12">
      <c r="A12" s="1" t="n"/>
      <c r="B12" s="1" t="n"/>
      <c r="C12" s="1" t="n"/>
      <c r="D12" s="30" t="n">
        <v>0.77</v>
      </c>
      <c r="E12" s="34" t="inlineStr">
        <is>
          <t>C+</t>
        </is>
      </c>
      <c r="F12" s="35" t="n">
        <v>2.3</v>
      </c>
      <c r="G12" s="1" t="n"/>
      <c r="H12" s="1" t="n"/>
      <c r="I12" s="1" t="n"/>
    </row>
    <row r="13">
      <c r="A13" s="1" t="n"/>
      <c r="B13" s="1" t="n"/>
      <c r="C13" s="1" t="n"/>
      <c r="D13" s="30" t="n">
        <v>0.8</v>
      </c>
      <c r="E13" s="34" t="inlineStr">
        <is>
          <t>B-</t>
        </is>
      </c>
      <c r="F13" s="35" t="n">
        <v>2.7</v>
      </c>
      <c r="G13" s="1" t="n"/>
      <c r="H13" s="1" t="n"/>
      <c r="I13" s="1" t="n"/>
    </row>
    <row r="14">
      <c r="A14" s="1" t="n"/>
      <c r="B14" s="36" t="inlineStr">
        <is>
          <t>Study goal per week (hours)</t>
        </is>
      </c>
      <c r="C14" s="1" t="n"/>
      <c r="D14" s="30" t="n">
        <v>0.83</v>
      </c>
      <c r="E14" s="34" t="inlineStr">
        <is>
          <t>B</t>
        </is>
      </c>
      <c r="F14" s="35" t="n">
        <v>3</v>
      </c>
      <c r="G14" s="1" t="n"/>
      <c r="H14" s="1" t="n"/>
      <c r="I14" s="1" t="n"/>
    </row>
    <row r="15">
      <c r="A15" s="1" t="n"/>
      <c r="B15" s="37" t="n">
        <v>15</v>
      </c>
      <c r="C15" s="1" t="n"/>
      <c r="D15" s="30" t="n">
        <v>0.87</v>
      </c>
      <c r="E15" s="34" t="inlineStr">
        <is>
          <t>B+</t>
        </is>
      </c>
      <c r="F15" s="35" t="n">
        <v>3.3</v>
      </c>
      <c r="G15" s="1" t="n"/>
      <c r="H15" s="1" t="n"/>
      <c r="I15" s="1" t="n"/>
    </row>
    <row r="16">
      <c r="A16" s="1" t="n"/>
      <c r="B16" s="1" t="n"/>
      <c r="C16" s="1" t="n"/>
      <c r="D16" s="30" t="n">
        <v>0.9</v>
      </c>
      <c r="E16" s="34" t="inlineStr">
        <is>
          <t>A-</t>
        </is>
      </c>
      <c r="F16" s="35" t="n">
        <v>3.7</v>
      </c>
      <c r="G16" s="1" t="n"/>
      <c r="H16" s="1" t="n"/>
      <c r="I16" s="1" t="n"/>
    </row>
    <row r="17">
      <c r="A17" s="1" t="n"/>
      <c r="B17" s="1" t="n"/>
      <c r="C17" s="1" t="n"/>
      <c r="D17" s="30" t="n">
        <v>0.93</v>
      </c>
      <c r="E17" s="34" t="inlineStr">
        <is>
          <t>A</t>
        </is>
      </c>
      <c r="F17" s="35" t="n">
        <v>4</v>
      </c>
      <c r="G17" s="1" t="n"/>
      <c r="H17" s="1" t="n"/>
      <c r="I17" s="1" t="n"/>
    </row>
    <row r="18">
      <c r="A18" s="1" t="n"/>
      <c r="B18" s="1" t="n"/>
      <c r="C18" s="1" t="n"/>
      <c r="D18" s="1" t="n"/>
      <c r="E18" s="1" t="n"/>
      <c r="F18" s="1" t="n"/>
      <c r="G18" s="1" t="n"/>
      <c r="H18" s="1" t="n"/>
      <c r="I18" s="1" t="n"/>
    </row>
    <row r="19">
      <c r="A19" s="1" t="n"/>
      <c r="B19" s="1" t="n"/>
      <c r="C19" s="1" t="n"/>
      <c r="D19" s="1" t="n"/>
      <c r="E19" s="1" t="n"/>
      <c r="F19" s="1" t="n"/>
      <c r="G19" s="1" t="n"/>
      <c r="H19" s="1" t="n"/>
      <c r="I19" s="1" t="n"/>
    </row>
    <row r="20">
      <c r="A20" s="1" t="n"/>
      <c r="B20" s="1" t="n"/>
      <c r="C20" s="1" t="n"/>
      <c r="D20" s="1" t="n"/>
      <c r="E20" s="1" t="n"/>
      <c r="F20" s="1" t="n"/>
      <c r="G20" s="1" t="n"/>
      <c r="H20" s="1" t="n"/>
      <c r="I20" s="1" t="n"/>
    </row>
    <row r="21">
      <c r="A21" s="1" t="n"/>
      <c r="B21" s="1" t="n"/>
      <c r="C21" s="1" t="n"/>
      <c r="D21" s="1" t="n"/>
      <c r="E21" s="1" t="n"/>
      <c r="F21" s="1" t="n"/>
      <c r="G21" s="1" t="n"/>
      <c r="H21" s="1" t="n"/>
      <c r="I21" s="1" t="n"/>
    </row>
    <row r="22">
      <c r="A22" s="1" t="n"/>
      <c r="B22" s="1" t="n"/>
      <c r="C22" s="1" t="n"/>
      <c r="D22" s="1" t="n"/>
      <c r="E22" s="1" t="n"/>
      <c r="F22" s="1" t="n"/>
      <c r="G22" s="1" t="n"/>
      <c r="H22" s="1" t="n"/>
      <c r="I22" s="1" t="n"/>
    </row>
    <row r="23">
      <c r="A23" s="1" t="n"/>
      <c r="B23" s="1" t="n"/>
      <c r="C23" s="1" t="n"/>
      <c r="D23" s="1" t="n"/>
      <c r="E23" s="1" t="n"/>
      <c r="F23" s="1" t="n"/>
      <c r="G23" s="1" t="n"/>
      <c r="H23" s="1" t="n"/>
      <c r="I23" s="1" t="n"/>
    </row>
    <row r="24">
      <c r="A24" s="1" t="n"/>
      <c r="B24" s="1" t="n"/>
      <c r="C24" s="1" t="n"/>
      <c r="D24" s="1" t="n"/>
      <c r="E24" s="1" t="n"/>
      <c r="F24" s="1" t="n"/>
      <c r="G24" s="1" t="n"/>
      <c r="H24" s="1" t="n"/>
      <c r="I24" s="1" t="n"/>
    </row>
    <row r="25">
      <c r="A25" s="1" t="n"/>
      <c r="B25" s="1" t="n"/>
      <c r="C25" s="1" t="n"/>
      <c r="D25" s="1" t="n"/>
      <c r="E25" s="1" t="n"/>
      <c r="F25" s="1" t="n"/>
      <c r="G25" s="1" t="n"/>
      <c r="H25" s="1" t="n"/>
      <c r="I25" s="1" t="n"/>
    </row>
    <row r="26">
      <c r="A26" s="1" t="n"/>
      <c r="B26" s="1" t="n"/>
      <c r="C26" s="1" t="n"/>
      <c r="D26" s="1" t="n"/>
      <c r="E26" s="1" t="n"/>
      <c r="F26" s="1" t="n"/>
      <c r="G26" s="1" t="n"/>
      <c r="H26" s="1" t="n"/>
      <c r="I26" s="1" t="n"/>
    </row>
    <row r="27">
      <c r="A27" s="1" t="n"/>
      <c r="B27" s="1" t="n"/>
      <c r="C27" s="1" t="n"/>
      <c r="D27" s="1" t="n"/>
      <c r="E27" s="1" t="n"/>
      <c r="F27" s="1" t="n"/>
      <c r="G27" s="1" t="n"/>
      <c r="H27" s="1" t="n"/>
      <c r="I27" s="1" t="n"/>
    </row>
    <row r="28">
      <c r="A28" s="1" t="n"/>
      <c r="B28" s="1" t="n"/>
      <c r="C28" s="1" t="n"/>
      <c r="D28" s="1" t="n"/>
      <c r="E28" s="1" t="n"/>
      <c r="F28" s="1" t="n"/>
      <c r="G28" s="1" t="n"/>
      <c r="H28" s="1" t="n"/>
      <c r="I28" s="1" t="n"/>
    </row>
    <row r="29">
      <c r="A29" s="1" t="n"/>
      <c r="B29" s="1" t="n"/>
      <c r="C29" s="1" t="n"/>
      <c r="D29" s="1" t="n"/>
      <c r="E29" s="1" t="n"/>
      <c r="F29" s="1" t="n"/>
      <c r="G29" s="1" t="n"/>
      <c r="H29" s="1" t="n"/>
      <c r="I29" s="1" t="n"/>
    </row>
  </sheetData>
  <pageMargins left="0.75" right="0.75" top="1" bottom="1" header="0.5" footer="0.5"/>
  <pageSetup orientation="landscape" fitToHeight="0" fitToWidth="1"/>
</worksheet>
</file>

<file path=xl/worksheets/sheet7.xml><?xml version="1.0" encoding="utf-8"?>
<worksheet xmlns="http://schemas.openxmlformats.org/spreadsheetml/2006/main">
  <sheetPr>
    <outlinePr summaryBelow="1" summaryRight="1"/>
    <pageSetUpPr fitToPage="1"/>
  </sheetPr>
  <dimension ref="A1:D79"/>
  <sheetViews>
    <sheetView showGridLines="0" workbookViewId="0">
      <selection activeCell="A1" sqref="A1"/>
    </sheetView>
  </sheetViews>
  <sheetFormatPr baseColWidth="8" defaultRowHeight="15"/>
  <cols>
    <col width="3" customWidth="1" min="1" max="1"/>
    <col width="6" customWidth="1" min="2" max="2"/>
    <col width="106" customWidth="1" min="3" max="3"/>
  </cols>
  <sheetData>
    <row r="1">
      <c r="A1" s="1" t="n"/>
      <c r="B1" s="1" t="n"/>
      <c r="C1" s="1" t="n"/>
      <c r="D1" s="1" t="n"/>
    </row>
    <row r="2" ht="32" customHeight="1">
      <c r="A2" s="1" t="n"/>
      <c r="B2" s="2" t="inlineStr">
        <is>
          <t>Start here</t>
        </is>
      </c>
      <c r="C2" s="1" t="n"/>
      <c r="D2" s="1" t="n"/>
    </row>
    <row r="3">
      <c r="A3" s="1" t="n"/>
      <c r="B3" s="3" t="inlineStr">
        <is>
          <t>Type only in the yellow cells. Everything else is calculated.</t>
        </is>
      </c>
      <c r="C3" s="1" t="n"/>
      <c r="D3" s="1" t="n"/>
    </row>
    <row r="4">
      <c r="A4" s="1" t="n"/>
      <c r="B4" s="1" t="n"/>
      <c r="C4" s="1" t="n"/>
      <c r="D4" s="1" t="n"/>
    </row>
    <row r="5">
      <c r="A5" s="1" t="n"/>
      <c r="B5" s="38" t="inlineStr">
        <is>
          <t>1</t>
        </is>
      </c>
      <c r="C5" s="39" t="inlineStr">
        <is>
          <t>Settings: your kinds of work, your school's grade scale and a weekly study goal.</t>
        </is>
      </c>
      <c r="D5" s="1" t="n"/>
    </row>
    <row r="6">
      <c r="A6" s="1" t="n"/>
      <c r="B6" s="1" t="n"/>
      <c r="C6" s="1" t="n"/>
      <c r="D6" s="1" t="n"/>
    </row>
    <row r="7">
      <c r="A7" s="1" t="n"/>
      <c r="B7" s="38" t="inlineStr">
        <is>
          <t>2</t>
        </is>
      </c>
      <c r="C7" s="39" t="inlineStr">
        <is>
          <t>Courses: each course with its credits, how much each kind of work counts, and the grade you are aiming for.</t>
        </is>
      </c>
      <c r="D7" s="1" t="n"/>
    </row>
    <row r="8">
      <c r="A8" s="1" t="n"/>
      <c r="B8" s="1" t="n"/>
      <c r="C8" s="1" t="n"/>
      <c r="D8" s="1" t="n"/>
    </row>
    <row r="9">
      <c r="A9" s="1" t="n"/>
      <c r="B9" s="38" t="inlineStr">
        <is>
          <t>3</t>
        </is>
      </c>
      <c r="C9" s="39" t="inlineStr">
        <is>
          <t>Assignments: every assignment, quiz and exam with its due date. Add the score when you get it back.</t>
        </is>
      </c>
      <c r="D9" s="1" t="n"/>
    </row>
    <row r="10">
      <c r="A10" s="1" t="n"/>
      <c r="B10" s="1" t="n"/>
      <c r="C10" s="1" t="n"/>
      <c r="D10" s="1" t="n"/>
    </row>
    <row r="11">
      <c r="A11" s="1" t="n"/>
      <c r="B11" s="38" t="inlineStr">
        <is>
          <t>4</t>
        </is>
      </c>
      <c r="C11" s="39" t="inlineStr">
        <is>
          <t>Study log: one line each time you study. Timetable: the hours you have class.</t>
        </is>
      </c>
      <c r="D11" s="1" t="n"/>
    </row>
    <row r="12">
      <c r="A12" s="1" t="n"/>
      <c r="B12" s="1" t="n"/>
      <c r="C12" s="1" t="n"/>
      <c r="D12" s="1" t="n"/>
    </row>
    <row r="13">
      <c r="A13" s="1" t="n"/>
      <c r="B13" s="38" t="inlineStr">
        <is>
          <t>5</t>
        </is>
      </c>
      <c r="C13" s="39" t="inlineStr">
        <is>
          <t>Dashboard: what is due next, your grade in each course, what you need on the final, and your study hours.</t>
        </is>
      </c>
      <c r="D13" s="1" t="n"/>
    </row>
    <row r="14">
      <c r="A14" s="1" t="n"/>
      <c r="B14" s="1" t="n"/>
      <c r="C14" s="1" t="n"/>
      <c r="D14" s="1" t="n"/>
    </row>
    <row r="15">
      <c r="A15" s="1" t="n"/>
      <c r="B15" s="1" t="n"/>
      <c r="C15" s="1" t="n"/>
      <c r="D15" s="1" t="n"/>
    </row>
    <row r="16">
      <c r="A16" s="1" t="n"/>
      <c r="B16" s="1" t="n"/>
      <c r="C16" s="3" t="inlineStr">
        <is>
          <t>An assignment counts as done once it has a score or its status is Done.</t>
        </is>
      </c>
      <c r="D16" s="1" t="n"/>
    </row>
    <row r="17">
      <c r="A17" s="1" t="n"/>
      <c r="B17" s="1" t="n"/>
      <c r="C17" s="1" t="n"/>
      <c r="D17" s="1" t="n"/>
    </row>
    <row r="18">
      <c r="A18" s="1" t="n"/>
      <c r="B18" s="1" t="n"/>
      <c r="C18" s="3" t="inlineStr">
        <is>
          <t>The example term shows how it works. Delete it and add your own courses and work.</t>
        </is>
      </c>
      <c r="D18" s="1" t="n"/>
    </row>
    <row r="19">
      <c r="A19" s="1" t="n"/>
      <c r="B19" s="1" t="n"/>
      <c r="C19" s="1" t="n"/>
      <c r="D19" s="1" t="n"/>
    </row>
    <row r="20">
      <c r="A20" s="1" t="n"/>
      <c r="B20" s="1" t="n"/>
      <c r="C20" s="3" t="inlineStr">
        <is>
          <t>Works in Google Sheets and Microsoft Excel, for any school that grades in percentages.</t>
        </is>
      </c>
      <c r="D20" s="1" t="n"/>
    </row>
    <row r="21">
      <c r="A21" s="1" t="n"/>
      <c r="B21" s="1" t="n"/>
      <c r="C21" s="1" t="n"/>
      <c r="D21" s="1" t="n"/>
    </row>
    <row r="22">
      <c r="A22" s="1" t="n"/>
      <c r="B22" s="1" t="n"/>
      <c r="C22" s="1" t="n"/>
      <c r="D22" s="1" t="n"/>
    </row>
    <row r="23">
      <c r="A23" s="1" t="n"/>
      <c r="B23" s="1" t="n"/>
      <c r="C23" s="1" t="n"/>
      <c r="D23" s="1" t="n"/>
    </row>
    <row r="24">
      <c r="A24" s="1" t="n"/>
      <c r="B24" s="1" t="n"/>
      <c r="C24" s="1" t="n"/>
      <c r="D24" s="1" t="n"/>
    </row>
    <row r="25">
      <c r="A25" s="1" t="n"/>
      <c r="B25" s="1" t="n"/>
      <c r="C25" s="1" t="n"/>
      <c r="D25" s="1" t="n"/>
    </row>
    <row r="26">
      <c r="A26" s="1" t="n"/>
      <c r="B26" s="1" t="n"/>
      <c r="C26" s="1" t="n"/>
      <c r="D26" s="1" t="n"/>
    </row>
    <row r="27">
      <c r="A27" s="1" t="n"/>
      <c r="B27" s="1" t="n"/>
      <c r="C27" s="1" t="n"/>
      <c r="D27" s="1" t="n"/>
    </row>
    <row r="28">
      <c r="A28" s="1" t="n"/>
      <c r="B28" s="1" t="n"/>
      <c r="C28" s="1" t="n"/>
      <c r="D28" s="1" t="n"/>
    </row>
    <row r="29">
      <c r="A29" s="1" t="n"/>
      <c r="B29" s="1" t="n"/>
      <c r="C29" s="1" t="n"/>
      <c r="D29" s="1" t="n"/>
    </row>
    <row r="30">
      <c r="A30" s="1" t="n"/>
      <c r="B30" s="1" t="n"/>
      <c r="C30" s="1" t="n"/>
      <c r="D30" s="1" t="n"/>
    </row>
    <row r="31">
      <c r="A31" s="1" t="n"/>
      <c r="B31" s="1" t="n"/>
      <c r="C31" s="1" t="n"/>
      <c r="D31" s="1" t="n"/>
    </row>
    <row r="32">
      <c r="A32" s="1" t="n"/>
      <c r="B32" s="1" t="n"/>
      <c r="C32" s="1" t="n"/>
      <c r="D32" s="1" t="n"/>
    </row>
    <row r="33">
      <c r="A33" s="1" t="n"/>
      <c r="B33" s="1" t="n"/>
      <c r="C33" s="1" t="n"/>
      <c r="D33" s="1" t="n"/>
    </row>
    <row r="34">
      <c r="A34" s="1" t="n"/>
      <c r="B34" s="1" t="n"/>
      <c r="C34" s="1" t="n"/>
      <c r="D34" s="1" t="n"/>
    </row>
    <row r="35">
      <c r="A35" s="1" t="n"/>
      <c r="B35" s="1" t="n"/>
      <c r="C35" s="1" t="n"/>
      <c r="D35" s="1" t="n"/>
    </row>
    <row r="36">
      <c r="A36" s="1" t="n"/>
      <c r="B36" s="1" t="n"/>
      <c r="C36" s="1" t="n"/>
      <c r="D36" s="1" t="n"/>
    </row>
    <row r="37">
      <c r="A37" s="1" t="n"/>
      <c r="B37" s="1" t="n"/>
      <c r="C37" s="1" t="n"/>
      <c r="D37" s="1" t="n"/>
    </row>
    <row r="38">
      <c r="A38" s="1" t="n"/>
      <c r="B38" s="1" t="n"/>
      <c r="C38" s="1" t="n"/>
      <c r="D38" s="1" t="n"/>
    </row>
    <row r="39">
      <c r="A39" s="1" t="n"/>
      <c r="B39" s="1" t="n"/>
      <c r="C39" s="1" t="n"/>
      <c r="D39" s="1" t="n"/>
    </row>
    <row r="40">
      <c r="A40" s="1" t="n"/>
      <c r="B40" s="1" t="n"/>
      <c r="C40" s="1" t="n"/>
      <c r="D40" s="1" t="n"/>
    </row>
    <row r="41">
      <c r="A41" s="1" t="n"/>
      <c r="B41" s="1" t="n"/>
      <c r="C41" s="1" t="n"/>
      <c r="D41" s="1" t="n"/>
    </row>
    <row r="42">
      <c r="A42" s="1" t="n"/>
      <c r="B42" s="1" t="n"/>
      <c r="C42" s="1" t="n"/>
      <c r="D42" s="1" t="n"/>
    </row>
    <row r="43">
      <c r="A43" s="1" t="n"/>
      <c r="B43" s="1" t="n"/>
      <c r="C43" s="1" t="n"/>
      <c r="D43" s="1" t="n"/>
    </row>
    <row r="44">
      <c r="A44" s="1" t="n"/>
      <c r="B44" s="1" t="n"/>
      <c r="C44" s="1" t="n"/>
      <c r="D44" s="1" t="n"/>
    </row>
    <row r="45">
      <c r="A45" s="1" t="n"/>
      <c r="B45" s="1" t="n"/>
      <c r="C45" s="1" t="n"/>
      <c r="D45" s="1" t="n"/>
    </row>
    <row r="46">
      <c r="A46" s="1" t="n"/>
      <c r="B46" s="1" t="n"/>
      <c r="C46" s="1" t="n"/>
      <c r="D46" s="1" t="n"/>
    </row>
    <row r="47">
      <c r="A47" s="1" t="n"/>
      <c r="B47" s="1" t="n"/>
      <c r="C47" s="1" t="n"/>
      <c r="D47" s="1" t="n"/>
    </row>
    <row r="48">
      <c r="A48" s="1" t="n"/>
      <c r="B48" s="1" t="n"/>
      <c r="C48" s="1" t="n"/>
      <c r="D48" s="1" t="n"/>
    </row>
    <row r="49">
      <c r="A49" s="1" t="n"/>
      <c r="B49" s="1" t="n"/>
      <c r="C49" s="1" t="n"/>
      <c r="D49" s="1" t="n"/>
    </row>
    <row r="50">
      <c r="A50" s="1" t="n"/>
      <c r="B50" s="1" t="n"/>
      <c r="C50" s="1" t="n"/>
      <c r="D50" s="1" t="n"/>
    </row>
    <row r="51">
      <c r="A51" s="1" t="n"/>
      <c r="B51" s="1" t="n"/>
      <c r="C51" s="1" t="n"/>
      <c r="D51" s="1" t="n"/>
    </row>
    <row r="52">
      <c r="A52" s="1" t="n"/>
      <c r="B52" s="1" t="n"/>
      <c r="C52" s="1" t="n"/>
      <c r="D52" s="1" t="n"/>
    </row>
    <row r="53">
      <c r="A53" s="1" t="n"/>
      <c r="B53" s="1" t="n"/>
      <c r="C53" s="1" t="n"/>
      <c r="D53" s="1" t="n"/>
    </row>
    <row r="54">
      <c r="A54" s="1" t="n"/>
      <c r="B54" s="1" t="n"/>
      <c r="C54" s="1" t="n"/>
      <c r="D54" s="1" t="n"/>
    </row>
    <row r="55">
      <c r="A55" s="1" t="n"/>
      <c r="B55" s="1" t="n"/>
      <c r="C55" s="1" t="n"/>
      <c r="D55" s="1" t="n"/>
    </row>
    <row r="56">
      <c r="A56" s="1" t="n"/>
      <c r="B56" s="1" t="n"/>
      <c r="C56" s="1" t="n"/>
      <c r="D56" s="1" t="n"/>
    </row>
    <row r="57">
      <c r="A57" s="1" t="n"/>
      <c r="B57" s="1" t="n"/>
      <c r="C57" s="1" t="n"/>
      <c r="D57" s="1" t="n"/>
    </row>
    <row r="58">
      <c r="A58" s="1" t="n"/>
      <c r="B58" s="1" t="n"/>
      <c r="C58" s="1" t="n"/>
      <c r="D58" s="1" t="n"/>
    </row>
    <row r="59">
      <c r="A59" s="1" t="n"/>
      <c r="B59" s="1" t="n"/>
      <c r="C59" s="1" t="n"/>
      <c r="D59" s="1" t="n"/>
    </row>
    <row r="60">
      <c r="A60" s="1" t="n"/>
      <c r="B60" s="1" t="n"/>
      <c r="C60" s="1" t="n"/>
      <c r="D60" s="1" t="n"/>
    </row>
    <row r="61">
      <c r="A61" s="1" t="n"/>
      <c r="B61" s="1" t="n"/>
      <c r="C61" s="1" t="n"/>
      <c r="D61" s="1" t="n"/>
    </row>
    <row r="62">
      <c r="A62" s="1" t="n"/>
      <c r="B62" s="1" t="n"/>
      <c r="C62" s="1" t="n"/>
      <c r="D62" s="1" t="n"/>
    </row>
    <row r="63">
      <c r="A63" s="1" t="n"/>
      <c r="B63" s="1" t="n"/>
      <c r="C63" s="1" t="n"/>
      <c r="D63" s="1" t="n"/>
    </row>
    <row r="64">
      <c r="A64" s="1" t="n"/>
      <c r="B64" s="1" t="n"/>
      <c r="C64" s="1" t="n"/>
      <c r="D64" s="1" t="n"/>
    </row>
    <row r="65">
      <c r="A65" s="1" t="n"/>
      <c r="B65" s="1" t="n"/>
      <c r="C65" s="1" t="n"/>
      <c r="D65" s="1" t="n"/>
    </row>
    <row r="66">
      <c r="A66" s="1" t="n"/>
      <c r="B66" s="1" t="n"/>
      <c r="C66" s="1" t="n"/>
      <c r="D66" s="1" t="n"/>
    </row>
    <row r="67">
      <c r="A67" s="1" t="n"/>
      <c r="B67" s="1" t="n"/>
      <c r="C67" s="1" t="n"/>
      <c r="D67" s="1" t="n"/>
    </row>
    <row r="68">
      <c r="A68" s="1" t="n"/>
      <c r="B68" s="1" t="n"/>
      <c r="C68" s="1" t="n"/>
      <c r="D68" s="1" t="n"/>
    </row>
    <row r="69">
      <c r="A69" s="1" t="n"/>
      <c r="B69" s="1" t="n"/>
      <c r="C69" s="1" t="n"/>
      <c r="D69" s="1" t="n"/>
    </row>
    <row r="70">
      <c r="A70" s="1" t="n"/>
      <c r="B70" s="1" t="n"/>
      <c r="C70" s="1" t="n"/>
      <c r="D70" s="1" t="n"/>
    </row>
    <row r="71">
      <c r="A71" s="1" t="n"/>
      <c r="B71" s="1" t="n"/>
      <c r="C71" s="1" t="n"/>
      <c r="D71" s="1" t="n"/>
    </row>
    <row r="72">
      <c r="A72" s="1" t="n"/>
      <c r="B72" s="1" t="n"/>
      <c r="C72" s="1" t="n"/>
      <c r="D72" s="1" t="n"/>
    </row>
    <row r="73">
      <c r="A73" s="1" t="n"/>
      <c r="B73" s="1" t="n"/>
      <c r="C73" s="1" t="n"/>
      <c r="D73" s="1" t="n"/>
    </row>
    <row r="74">
      <c r="A74" s="1" t="n"/>
      <c r="B74" s="1" t="n"/>
      <c r="C74" s="1" t="n"/>
      <c r="D74" s="1" t="n"/>
    </row>
    <row r="75">
      <c r="A75" s="1" t="n"/>
      <c r="B75" s="1" t="n"/>
      <c r="C75" s="1" t="n"/>
      <c r="D75" s="1" t="n"/>
    </row>
    <row r="76">
      <c r="A76" s="1" t="n"/>
      <c r="B76" s="1" t="n"/>
      <c r="C76" s="1" t="n"/>
      <c r="D76" s="1" t="n"/>
    </row>
    <row r="77">
      <c r="A77" s="1" t="n"/>
      <c r="B77" s="1" t="n"/>
      <c r="C77" s="1" t="n"/>
      <c r="D77" s="1" t="n"/>
    </row>
    <row r="78">
      <c r="A78" s="1" t="n"/>
      <c r="B78" s="1" t="n"/>
      <c r="C78" s="1" t="n"/>
      <c r="D78" s="1" t="n"/>
    </row>
    <row r="79">
      <c r="A79" s="1" t="n"/>
      <c r="B79" s="1" t="n"/>
      <c r="C79" s="1" t="n"/>
      <c r="D79" s="1" t="n"/>
    </row>
  </sheetData>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2026-09-28T13:48:05Z</dcterms:created>
  <dcterms:modified xsi:type="dcterms:W3CDTF">2026-09-28T13:48:07Z</dcterms:modified>
</cp:coreProperties>
</file>