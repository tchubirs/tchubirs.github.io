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udget" sheetId="2" state="visible" r:id="rId2"/>
    <sheet name="Vendors" sheetId="3" state="visible" r:id="rId3"/>
    <sheet name="Guests" sheetId="4" state="visible" r:id="rId4"/>
    <sheet name="Start He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15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5525A"/>
      <sz val="12"/>
    </font>
    <font>
      <name val="Arial"/>
      <b val="1"/>
      <color rgb="001E2A2F"/>
      <sz val="11"/>
    </font>
    <font>
      <name val="Arial"/>
      <b val="1"/>
      <color rgb="00FFFFFF"/>
      <sz val="11"/>
    </font>
    <font>
      <name val="Arial"/>
      <color rgb="001E2A2F"/>
      <sz val="11"/>
    </font>
    <font>
      <name val="Arial"/>
      <color rgb="001F6F78"/>
      <sz val="11"/>
    </font>
    <font>
      <name val="Arial"/>
      <i val="1"/>
      <color rgb="006B7B80"/>
      <sz val="10"/>
    </font>
    <font>
      <name val="Arial"/>
      <b val="1"/>
      <color rgb="006B7B80"/>
      <sz val="10"/>
    </font>
    <font>
      <name val="Arial"/>
      <b val="1"/>
      <color rgb="001F6F78"/>
      <sz val="17"/>
    </font>
    <font>
      <name val="Arial"/>
      <b val="1"/>
      <color rgb="00B4541F"/>
      <sz val="17"/>
    </font>
    <font>
      <name val="Arial"/>
      <b val="1"/>
      <color rgb="00FFFFFF"/>
      <sz val="28"/>
    </font>
    <font>
      <name val="Arial"/>
      <b val="1"/>
      <color rgb="001F6F78"/>
      <sz val="18"/>
    </font>
    <font>
      <name val="Arial"/>
      <color rgb="001E2A2F"/>
      <sz val="13"/>
    </font>
  </fonts>
  <fills count="10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  <fill>
      <patternFill patternType="solid">
        <fgColor rgb="0015525A"/>
        <bgColor rgb="0015525A"/>
      </patternFill>
    </fill>
    <fill>
      <patternFill patternType="solid">
        <fgColor rgb="00F9C9C4"/>
        <bgColor rgb="00F9C9C4"/>
      </patternFill>
    </fill>
    <fill>
      <patternFill patternType="solid">
        <fgColor rgb="00FFE2B8"/>
        <bgColor rgb="00FFE2B8"/>
      </patternFill>
    </fill>
    <fill>
      <patternFill patternType="solid">
        <fgColor rgb="00E3E8FF"/>
        <bgColor rgb="00E3E8FF"/>
      </patternFill>
    </fill>
    <fill>
      <patternFill patternType="solid">
        <fgColor rgb="00D8F0DC"/>
        <bgColor rgb="00D8F0DC"/>
      </patternFill>
    </fill>
  </fills>
  <borders count="5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  <border>
      <left/>
      <right/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 style="thin">
        <color rgb="00D5DBDB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165" fontId="4" fillId="3" borderId="1" pivotButton="0" quotePrefix="0" xfId="0"/>
    <xf numFmtId="0" fontId="9" fillId="2" borderId="1" pivotButton="0" quotePrefix="0" xfId="0"/>
    <xf numFmtId="0" fontId="5" fillId="5" borderId="0" applyAlignment="1" pivotButton="0" quotePrefix="0" xfId="0">
      <alignment horizontal="center" vertical="center"/>
    </xf>
    <xf numFmtId="4" fontId="10" fillId="2" borderId="1" pivotButton="0" quotePrefix="0" xfId="0"/>
    <xf numFmtId="4" fontId="11" fillId="2" borderId="1" pivotButton="0" quotePrefix="0" xfId="0"/>
    <xf numFmtId="1" fontId="12" fillId="5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vertical="center"/>
    </xf>
    <xf numFmtId="0" fontId="4" fillId="2" borderId="1" pivotButton="0" quotePrefix="0" xfId="0"/>
    <xf numFmtId="1" fontId="6" fillId="2" borderId="1" applyAlignment="1" pivotButton="0" quotePrefix="0" xfId="0">
      <alignment horizontal="center" vertical="center"/>
    </xf>
    <xf numFmtId="0" fontId="6" fillId="6" borderId="1" pivotButton="0" quotePrefix="0" xfId="0"/>
    <xf numFmtId="0" fontId="6" fillId="2" borderId="1" applyAlignment="1" pivotButton="0" quotePrefix="0" xfId="0">
      <alignment horizontal="center" vertical="center"/>
    </xf>
    <xf numFmtId="0" fontId="6" fillId="7" borderId="1" pivotButton="0" quotePrefix="0" xfId="0"/>
    <xf numFmtId="0" fontId="6" fillId="8" borderId="1" pivotButton="0" quotePrefix="0" xfId="0"/>
    <xf numFmtId="0" fontId="6" fillId="9" borderId="1" pivotButton="0" quotePrefix="0" xfId="0"/>
    <xf numFmtId="4" fontId="6" fillId="2" borderId="1" pivotButton="0" quotePrefix="0" xfId="0"/>
    <xf numFmtId="0" fontId="7" fillId="2" borderId="1" pivotButton="0" quotePrefix="0" xfId="0"/>
    <xf numFmtId="4" fontId="4" fillId="3" borderId="1" pivotButton="0" quotePrefix="0" xfId="0"/>
    <xf numFmtId="0" fontId="0" fillId="0" borderId="4" pivotButton="0" quotePrefix="0" xfId="0"/>
    <xf numFmtId="0" fontId="4" fillId="3" borderId="1" pivotButton="0" quotePrefix="0" xfId="0"/>
    <xf numFmtId="1" fontId="6" fillId="3" borderId="1" applyAlignment="1" pivotButton="0" quotePrefix="0" xfId="0">
      <alignment horizontal="center" vertical="center"/>
    </xf>
    <xf numFmtId="0" fontId="4" fillId="2" borderId="0" pivotButton="0" quotePrefix="0" xfId="0"/>
    <xf numFmtId="1" fontId="4" fillId="2" borderId="1" pivotButton="0" quotePrefix="0" xfId="0"/>
    <xf numFmtId="4" fontId="4" fillId="2" borderId="1" pivotButton="0" quotePrefix="0" xfId="0"/>
    <xf numFmtId="0" fontId="8" fillId="2" borderId="0" pivotButton="0" quotePrefix="0" xfId="0"/>
    <xf numFmtId="0" fontId="6" fillId="3" borderId="1" pivotButton="0" quotePrefix="0" xfId="0"/>
    <xf numFmtId="4" fontId="6" fillId="3" borderId="1" pivotButton="0" quotePrefix="0" xfId="0"/>
    <xf numFmtId="165" fontId="6" fillId="3" borderId="1" pivotButton="0" quotePrefix="0" xfId="0"/>
    <xf numFmtId="0" fontId="6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13" fillId="2" borderId="0" pivotButton="0" quotePrefix="0" xfId="0"/>
    <xf numFmtId="0" fontId="14" fillId="2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D8F0DC"/>
          <bgColor rgb="00D8F0DC"/>
        </patternFill>
      </fill>
    </dxf>
    <dxf>
      <fill>
        <patternFill patternType="solid">
          <fgColor rgb="00F9C9C4"/>
          <bgColor rgb="00F9C9C4"/>
        </patternFill>
      </fill>
    </dxf>
    <dxf>
      <font>
        <name val="Arial"/>
        <b val="1"/>
        <color rgb="009B1C1C"/>
      </font>
      <fill>
        <patternFill patternType="solid">
          <fgColor rgb="00F9C9C4"/>
          <bgColor rgb="00F9C9C4"/>
        </patternFill>
      </fill>
    </dxf>
    <dxf>
      <fill>
        <patternFill patternType="solid">
          <fgColor rgb="00FFE2B8"/>
          <bgColor rgb="00FFE2B8"/>
        </patternFill>
      </fill>
    </dxf>
    <dxf>
      <fill>
        <patternFill patternType="solid">
          <fgColor rgb="00E4E8E8"/>
          <bgColor rgb="00E4E8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26" customWidth="1" min="5" max="5"/>
    <col width="16" customWidth="1" min="6" max="6"/>
    <col width="3" customWidth="1" min="7" max="7"/>
    <col width="4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1" t="n"/>
      <c r="B2" s="2" t="inlineStr">
        <is>
          <t>Wedding dashboard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" t="inlineStr">
        <is>
          <t>Set the date below. Everything else fills itself in.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4" t="inlineStr">
        <is>
          <t>Wedding date</t>
        </is>
      </c>
      <c r="C4" s="5" t="n">
        <v>46503</v>
      </c>
      <c r="D4" s="1" t="n"/>
      <c r="E4" s="1" t="n"/>
      <c r="F4" s="1" t="n"/>
      <c r="G4" s="1" t="n"/>
      <c r="H4" s="1" t="n"/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>
      <c r="A6" s="1" t="n"/>
      <c r="B6" s="6" t="inlineStr">
        <is>
          <t>Total budget</t>
        </is>
      </c>
      <c r="C6" s="6" t="inlineStr">
        <is>
          <t>Committed</t>
        </is>
      </c>
      <c r="D6" s="6" t="inlineStr">
        <is>
          <t>Paid so far</t>
        </is>
      </c>
      <c r="E6" s="6" t="inlineStr">
        <is>
          <t>Still to pay</t>
        </is>
      </c>
      <c r="F6" s="6" t="inlineStr">
        <is>
          <t>Unallocated</t>
        </is>
      </c>
      <c r="G6" s="1" t="n"/>
      <c r="H6" s="7" t="inlineStr">
        <is>
          <t>Days to go</t>
        </is>
      </c>
      <c r="I6" s="1" t="n"/>
    </row>
    <row r="7" ht="44" customHeight="1">
      <c r="A7" s="1" t="n"/>
      <c r="B7" s="8">
        <f>Budget!$C$4</f>
        <v/>
      </c>
      <c r="C7" s="9">
        <f>SUM(Vendors!$D$6:$D$105)</f>
        <v/>
      </c>
      <c r="D7" s="8">
        <f>SUM(Vendors!$E$6:$E$105)</f>
        <v/>
      </c>
      <c r="E7" s="9">
        <f>SUM(Vendors!$G$6:$G$105)</f>
        <v/>
      </c>
      <c r="F7" s="8">
        <f>B7-C7</f>
        <v/>
      </c>
      <c r="G7" s="1" t="n"/>
      <c r="H7" s="10">
        <f>IF($C$4="","",MAX(0,$C$4-TODAY()))</f>
        <v/>
      </c>
      <c r="I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</row>
    <row r="9" ht="30" customHeight="1">
      <c r="A9" s="1" t="n"/>
      <c r="B9" s="11" t="inlineStr">
        <is>
          <t>Guests</t>
        </is>
      </c>
      <c r="C9" s="11" t="inlineStr">
        <is>
          <t>Invited</t>
        </is>
      </c>
      <c r="D9" s="11" t="inlineStr">
        <is>
          <t>Yes</t>
        </is>
      </c>
      <c r="E9" s="11" t="inlineStr">
        <is>
          <t>Pending</t>
        </is>
      </c>
      <c r="F9" s="11" t="inlineStr">
        <is>
          <t>No</t>
        </is>
      </c>
      <c r="G9" s="1" t="n"/>
      <c r="H9" s="12" t="inlineStr">
        <is>
          <t>Heads-up</t>
        </is>
      </c>
      <c r="I9" s="1" t="n"/>
    </row>
    <row r="10">
      <c r="A10" s="1" t="n"/>
      <c r="B10" s="13" t="inlineStr">
        <is>
          <t>People (incl. plus ones)</t>
        </is>
      </c>
      <c r="C10" s="14">
        <f>COUNTIFS(Guests!$B$6:$B$305,"&lt;&gt;")+COUNTIFS(Guests!$B$6:$B$305,"&lt;&gt;",Guests!$E$6:$E$305,"Yes")</f>
        <v/>
      </c>
      <c r="D10" s="14">
        <f>COUNTIFS(Guests!$D$6:$D$305,"Yes")+COUNTIFS(Guests!$D$6:$D$305,"Yes",Guests!$E$6:$E$305,"Yes")</f>
        <v/>
      </c>
      <c r="E10" s="14">
        <f>COUNTIFS(Guests!$D$6:$D$305,"Pending")+COUNTIFS(Guests!$D$6:$D$305,"Pending",Guests!$E$6:$E$305,"Yes")</f>
        <v/>
      </c>
      <c r="F10" s="14">
        <f>COUNTIFS(Guests!$D$6:$D$305,"No")+COUNTIFS(Guests!$D$6:$D$305,"No",Guests!$E$6:$E$305,"Yes")</f>
        <v/>
      </c>
      <c r="G10" s="1" t="n"/>
      <c r="H10" s="15">
        <f>IF(COUNTIFS(Vendors!$H$6:$H$105,"Overdue*")=0,"No overdue payments",IF(COUNTIFS(Vendors!$H$6:$H$105,"Overdue*")=1,"1 payment is overdue",COUNTIFS(Vendors!$H$6:$H$105,"Overdue*")&amp;" payments are overdue"))</f>
        <v/>
      </c>
      <c r="I10" s="1" t="n"/>
    </row>
    <row r="11">
      <c r="A11" s="1" t="n"/>
      <c r="B11" s="13" t="inlineStr">
        <is>
          <t>Meals (guests who said yes)</t>
        </is>
      </c>
      <c r="C11" s="16">
        <f>"Meat: "&amp;COUNTIFS(Guests!$D$6:$D$305,"Yes",Guests!$F$6:$F$305,"Meat")</f>
        <v/>
      </c>
      <c r="D11" s="16">
        <f>"Fish: "&amp;COUNTIFS(Guests!$D$6:$D$305,"Yes",Guests!$F$6:$F$305,"Fish")</f>
        <v/>
      </c>
      <c r="E11" s="16">
        <f>"Veggie: "&amp;COUNTIFS(Guests!$D$6:$D$305,"Yes",Guests!$F$6:$F$305,"Veggie")</f>
        <v/>
      </c>
      <c r="F11" s="16">
        <f>"Kids: "&amp;COUNTIFS(Guests!$D$6:$D$305,"Yes",Guests!$F$6:$F$305,"Kids")</f>
        <v/>
      </c>
      <c r="G11" s="1" t="n"/>
      <c r="H11" s="17">
        <f>IF((COUNTIFS(Vendors!$H$6:$H$105,"Due in*")+COUNTIFS(Vendors!$H$6:$H$105,"Due today"))=0,"Nothing due in the next 14 days",IF((COUNTIFS(Vendors!$H$6:$H$105,"Due in*")+COUNTIFS(Vendors!$H$6:$H$105,"Due today"))=1,"1 payment",(COUNTIFS(Vendors!$H$6:$H$105,"Due in*")+COUNTIFS(Vendors!$H$6:$H$105,"Due today"))&amp;" payments")&amp;" due in the next 14 days: "&amp;FIXED((SUMIFS(Vendors!$G$6:$G$105,Vendors!$H$6:$H$105,"Due in*")+SUMIFS(Vendors!$G$6:$G$105,Vendors!$H$6:$H$105,"Due today")),2))</f>
        <v/>
      </c>
      <c r="I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8">
        <f>IF(COUNTIFS(Guests!$D$6:$D$305,"Pending")=0,"Every guest has answered",IF(COUNTIFS(Guests!$D$6:$D$305,"Pending")=1,"1 guest has not answered yet",COUNTIFS(Guests!$D$6:$D$305,"Pending")&amp;" guests have not answered yet"))</f>
        <v/>
      </c>
      <c r="I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9">
        <f>IF(C7&gt;B7,"Over budget by "&amp;FIXED(C7-B7,2),"Within budget")</f>
        <v/>
      </c>
      <c r="I13" s="1" t="n"/>
    </row>
    <row r="14" ht="30" customHeight="1">
      <c r="A14" s="1" t="n"/>
      <c r="B14" s="11" t="inlineStr">
        <is>
          <t>Category</t>
        </is>
      </c>
      <c r="C14" s="11" t="inlineStr">
        <is>
          <t>Planned</t>
        </is>
      </c>
      <c r="D14" s="11" t="inlineStr">
        <is>
          <t>Committed</t>
        </is>
      </c>
      <c r="E14" s="11" t="inlineStr">
        <is>
          <t>Used</t>
        </is>
      </c>
      <c r="F14" s="1" t="n"/>
      <c r="G14" s="1" t="n"/>
      <c r="H14" s="1" t="n"/>
      <c r="I14" s="1" t="n"/>
    </row>
    <row r="15">
      <c r="A15" s="1" t="n"/>
      <c r="B15" s="13">
        <f>Budget!B6</f>
        <v/>
      </c>
      <c r="C15" s="20">
        <f>Budget!D6</f>
        <v/>
      </c>
      <c r="D15" s="20">
        <f>Budget!E6</f>
        <v/>
      </c>
      <c r="E15" s="21">
        <f>IF(C15=0,"",REPT("█",MIN(15,MAX(0,ROUND((D15/C15)*15,0))))&amp;REPT("░",15-MIN(15,MAX(0,ROUND((D15/C15)*15,0))))&amp;"  "&amp;TEXT(D15/C15,"0%"))</f>
        <v/>
      </c>
      <c r="F15" s="1" t="n"/>
      <c r="G15" s="1" t="n"/>
      <c r="H15" s="1" t="n"/>
      <c r="I15" s="1" t="n"/>
    </row>
    <row r="16">
      <c r="A16" s="1" t="n"/>
      <c r="B16" s="13">
        <f>Budget!B7</f>
        <v/>
      </c>
      <c r="C16" s="20">
        <f>Budget!D7</f>
        <v/>
      </c>
      <c r="D16" s="20">
        <f>Budget!E7</f>
        <v/>
      </c>
      <c r="E16" s="21">
        <f>IF(C16=0,"",REPT("█",MIN(15,MAX(0,ROUND((D16/C16)*15,0))))&amp;REPT("░",15-MIN(15,MAX(0,ROUND((D16/C16)*15,0))))&amp;"  "&amp;TEXT(D16/C16,"0%"))</f>
        <v/>
      </c>
      <c r="F16" s="1" t="n"/>
      <c r="G16" s="1" t="n"/>
      <c r="H16" s="1" t="n"/>
      <c r="I16" s="1" t="n"/>
    </row>
    <row r="17">
      <c r="A17" s="1" t="n"/>
      <c r="B17" s="13">
        <f>Budget!B8</f>
        <v/>
      </c>
      <c r="C17" s="20">
        <f>Budget!D8</f>
        <v/>
      </c>
      <c r="D17" s="20">
        <f>Budget!E8</f>
        <v/>
      </c>
      <c r="E17" s="21">
        <f>IF(C17=0,"",REPT("█",MIN(15,MAX(0,ROUND((D17/C17)*15,0))))&amp;REPT("░",15-MIN(15,MAX(0,ROUND((D17/C17)*15,0))))&amp;"  "&amp;TEXT(D17/C17,"0%"))</f>
        <v/>
      </c>
      <c r="F17" s="1" t="n"/>
      <c r="G17" s="1" t="n"/>
      <c r="H17" s="1" t="n"/>
      <c r="I17" s="1" t="n"/>
    </row>
    <row r="18">
      <c r="A18" s="1" t="n"/>
      <c r="B18" s="13">
        <f>Budget!B9</f>
        <v/>
      </c>
      <c r="C18" s="20">
        <f>Budget!D9</f>
        <v/>
      </c>
      <c r="D18" s="20">
        <f>Budget!E9</f>
        <v/>
      </c>
      <c r="E18" s="21">
        <f>IF(C18=0,"",REPT("█",MIN(15,MAX(0,ROUND((D18/C18)*15,0))))&amp;REPT("░",15-MIN(15,MAX(0,ROUND((D18/C18)*15,0))))&amp;"  "&amp;TEXT(D18/C18,"0%"))</f>
        <v/>
      </c>
      <c r="F18" s="1" t="n"/>
      <c r="G18" s="1" t="n"/>
      <c r="H18" s="1" t="n"/>
      <c r="I18" s="1" t="n"/>
    </row>
    <row r="19">
      <c r="A19" s="1" t="n"/>
      <c r="B19" s="13">
        <f>Budget!B10</f>
        <v/>
      </c>
      <c r="C19" s="20">
        <f>Budget!D10</f>
        <v/>
      </c>
      <c r="D19" s="20">
        <f>Budget!E10</f>
        <v/>
      </c>
      <c r="E19" s="21">
        <f>IF(C19=0,"",REPT("█",MIN(15,MAX(0,ROUND((D19/C19)*15,0))))&amp;REPT("░",15-MIN(15,MAX(0,ROUND((D19/C19)*15,0))))&amp;"  "&amp;TEXT(D19/C19,"0%"))</f>
        <v/>
      </c>
      <c r="F19" s="1" t="n"/>
      <c r="G19" s="1" t="n"/>
      <c r="H19" s="1" t="n"/>
      <c r="I19" s="1" t="n"/>
    </row>
    <row r="20">
      <c r="A20" s="1" t="n"/>
      <c r="B20" s="13">
        <f>Budget!B11</f>
        <v/>
      </c>
      <c r="C20" s="20">
        <f>Budget!D11</f>
        <v/>
      </c>
      <c r="D20" s="20">
        <f>Budget!E11</f>
        <v/>
      </c>
      <c r="E20" s="21">
        <f>IF(C20=0,"",REPT("█",MIN(15,MAX(0,ROUND((D20/C20)*15,0))))&amp;REPT("░",15-MIN(15,MAX(0,ROUND((D20/C20)*15,0))))&amp;"  "&amp;TEXT(D20/C20,"0%"))</f>
        <v/>
      </c>
      <c r="F20" s="1" t="n"/>
      <c r="G20" s="1" t="n"/>
      <c r="H20" s="1" t="n"/>
      <c r="I20" s="1" t="n"/>
    </row>
    <row r="21">
      <c r="A21" s="1" t="n"/>
      <c r="B21" s="13">
        <f>Budget!B12</f>
        <v/>
      </c>
      <c r="C21" s="20">
        <f>Budget!D12</f>
        <v/>
      </c>
      <c r="D21" s="20">
        <f>Budget!E12</f>
        <v/>
      </c>
      <c r="E21" s="21">
        <f>IF(C21=0,"",REPT("█",MIN(15,MAX(0,ROUND((D21/C21)*15,0))))&amp;REPT("░",15-MIN(15,MAX(0,ROUND((D21/C21)*15,0))))&amp;"  "&amp;TEXT(D21/C21,"0%"))</f>
        <v/>
      </c>
      <c r="F21" s="1" t="n"/>
      <c r="G21" s="1" t="n"/>
      <c r="H21" s="1" t="n"/>
      <c r="I21" s="1" t="n"/>
    </row>
    <row r="22">
      <c r="A22" s="1" t="n"/>
      <c r="B22" s="13">
        <f>Budget!B13</f>
        <v/>
      </c>
      <c r="C22" s="20">
        <f>Budget!D13</f>
        <v/>
      </c>
      <c r="D22" s="20">
        <f>Budget!E13</f>
        <v/>
      </c>
      <c r="E22" s="21">
        <f>IF(C22=0,"",REPT("█",MIN(15,MAX(0,ROUND((D22/C22)*15,0))))&amp;REPT("░",15-MIN(15,MAX(0,ROUND((D22/C22)*15,0))))&amp;"  "&amp;TEXT(D22/C22,"0%"))</f>
        <v/>
      </c>
      <c r="F22" s="1" t="n"/>
      <c r="G22" s="1" t="n"/>
      <c r="H22" s="1" t="n"/>
      <c r="I22" s="1" t="n"/>
    </row>
    <row r="23">
      <c r="A23" s="1" t="n"/>
      <c r="B23" s="13">
        <f>Budget!B14</f>
        <v/>
      </c>
      <c r="C23" s="20">
        <f>Budget!D14</f>
        <v/>
      </c>
      <c r="D23" s="20">
        <f>Budget!E14</f>
        <v/>
      </c>
      <c r="E23" s="21">
        <f>IF(C23=0,"",REPT("█",MIN(15,MAX(0,ROUND((D23/C23)*15,0))))&amp;REPT("░",15-MIN(15,MAX(0,ROUND((D23/C23)*15,0))))&amp;"  "&amp;TEXT(D23/C23,"0%"))</f>
        <v/>
      </c>
      <c r="F23" s="1" t="n"/>
      <c r="G23" s="1" t="n"/>
      <c r="H23" s="1" t="n"/>
      <c r="I23" s="1" t="n"/>
    </row>
    <row r="24">
      <c r="A24" s="1" t="n"/>
      <c r="B24" s="13">
        <f>Budget!B15</f>
        <v/>
      </c>
      <c r="C24" s="20">
        <f>Budget!D15</f>
        <v/>
      </c>
      <c r="D24" s="20">
        <f>Budget!E15</f>
        <v/>
      </c>
      <c r="E24" s="21">
        <f>IF(C24=0,"",REPT("█",MIN(15,MAX(0,ROUND((D24/C24)*15,0))))&amp;REPT("░",15-MIN(15,MAX(0,ROUND((D24/C24)*15,0))))&amp;"  "&amp;TEXT(D24/C24,"0%"))</f>
        <v/>
      </c>
      <c r="F24" s="1" t="n"/>
      <c r="G24" s="1" t="n"/>
      <c r="H24" s="1" t="n"/>
      <c r="I24" s="1" t="n"/>
    </row>
    <row r="25">
      <c r="A25" s="1" t="n"/>
      <c r="B25" s="13">
        <f>Budget!B16</f>
        <v/>
      </c>
      <c r="C25" s="20">
        <f>Budget!D16</f>
        <v/>
      </c>
      <c r="D25" s="20">
        <f>Budget!E16</f>
        <v/>
      </c>
      <c r="E25" s="21">
        <f>IF(C25=0,"",REPT("█",MIN(15,MAX(0,ROUND((D25/C25)*15,0))))&amp;REPT("░",15-MIN(15,MAX(0,ROUND((D25/C25)*15,0))))&amp;"  "&amp;TEXT(D25/C25,"0%"))</f>
        <v/>
      </c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</sheetData>
  <conditionalFormatting sqref="H10">
    <cfRule type="expression" priority="1" dxfId="0">
      <formula>LEFT(H10,2)="No"</formula>
    </cfRule>
  </conditionalFormatting>
  <conditionalFormatting sqref="H11">
    <cfRule type="expression" priority="2" dxfId="0">
      <formula>LEFT(H11,7)="Nothing"</formula>
    </cfRule>
  </conditionalFormatting>
  <conditionalFormatting sqref="H12">
    <cfRule type="expression" priority="3" dxfId="0">
      <formula>LEFT(H12,5)="Every"</formula>
    </cfRule>
  </conditionalFormatting>
  <conditionalFormatting sqref="H13">
    <cfRule type="expression" priority="4" dxfId="1">
      <formula>LEFT(H13,4)="Over"</formula>
    </cfRule>
  </conditionalFormatting>
  <conditionalFormatting sqref="D15:D25">
    <cfRule type="expression" priority="5" dxfId="1">
      <formula>$D15&gt;$C15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1" t="n"/>
      <c r="B2" s="2" t="inlineStr">
        <is>
          <t>Budget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" t="inlineStr">
        <is>
          <t>Total budget and how it is split. Percentages are a common starting point: change them.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4" t="inlineStr">
        <is>
          <t>Total budget</t>
        </is>
      </c>
      <c r="C4" s="22" t="n">
        <v>25000</v>
      </c>
      <c r="D4" s="23" t="n"/>
      <c r="E4" s="1" t="n"/>
      <c r="F4" s="1" t="n"/>
      <c r="G4" s="1" t="n"/>
      <c r="H4" s="1" t="n"/>
      <c r="I4" s="1" t="n"/>
    </row>
    <row r="5" ht="30" customHeight="1">
      <c r="A5" s="1" t="n"/>
      <c r="B5" s="11" t="inlineStr">
        <is>
          <t>Category</t>
        </is>
      </c>
      <c r="C5" s="11" t="inlineStr">
        <is>
          <t>Share %</t>
        </is>
      </c>
      <c r="D5" s="11" t="inlineStr">
        <is>
          <t>Planned</t>
        </is>
      </c>
      <c r="E5" s="11" t="inlineStr">
        <is>
          <t>Committed</t>
        </is>
      </c>
      <c r="F5" s="11" t="inlineStr">
        <is>
          <t>Paid</t>
        </is>
      </c>
      <c r="G5" s="11" t="inlineStr">
        <is>
          <t>Left to pay</t>
        </is>
      </c>
      <c r="H5" s="1" t="n"/>
      <c r="I5" s="1" t="n"/>
    </row>
    <row r="6">
      <c r="A6" s="1" t="n"/>
      <c r="B6" s="24" t="inlineStr">
        <is>
          <t>Venue</t>
        </is>
      </c>
      <c r="C6" s="25" t="n">
        <v>26</v>
      </c>
      <c r="D6" s="20">
        <f>$C$4*C6/100</f>
        <v/>
      </c>
      <c r="E6" s="20">
        <f>SUMIFS(Vendors!$D$6:$D$105,Vendors!$C$6:$C$105,B6)</f>
        <v/>
      </c>
      <c r="F6" s="20">
        <f>SUMIFS(Vendors!$E$6:$E$105,Vendors!$C$6:$C$105,B6)</f>
        <v/>
      </c>
      <c r="G6" s="20">
        <f>E6-F6</f>
        <v/>
      </c>
      <c r="H6" s="21">
        <f>IF(D6=0,"",REPT("█",MIN(15,MAX(0,ROUND((E6/D6)*15,0))))&amp;REPT("░",15-MIN(15,MAX(0,ROUND((E6/D6)*15,0))))&amp;"  "&amp;TEXT(E6/D6,"0%"))</f>
        <v/>
      </c>
      <c r="I6" s="1" t="n"/>
    </row>
    <row r="7">
      <c r="A7" s="1" t="n"/>
      <c r="B7" s="24" t="inlineStr">
        <is>
          <t>Catering</t>
        </is>
      </c>
      <c r="C7" s="25" t="n">
        <v>24</v>
      </c>
      <c r="D7" s="20">
        <f>$C$4*C7/100</f>
        <v/>
      </c>
      <c r="E7" s="20">
        <f>SUMIFS(Vendors!$D$6:$D$105,Vendors!$C$6:$C$105,B7)</f>
        <v/>
      </c>
      <c r="F7" s="20">
        <f>SUMIFS(Vendors!$E$6:$E$105,Vendors!$C$6:$C$105,B7)</f>
        <v/>
      </c>
      <c r="G7" s="20">
        <f>E7-F7</f>
        <v/>
      </c>
      <c r="H7" s="21">
        <f>IF(D7=0,"",REPT("█",MIN(15,MAX(0,ROUND((E7/D7)*15,0))))&amp;REPT("░",15-MIN(15,MAX(0,ROUND((E7/D7)*15,0))))&amp;"  "&amp;TEXT(E7/D7,"0%"))</f>
        <v/>
      </c>
      <c r="I7" s="1" t="n"/>
    </row>
    <row r="8">
      <c r="A8" s="1" t="n"/>
      <c r="B8" s="24" t="inlineStr">
        <is>
          <t>Photo &amp; video</t>
        </is>
      </c>
      <c r="C8" s="25" t="n">
        <v>11</v>
      </c>
      <c r="D8" s="20">
        <f>$C$4*C8/100</f>
        <v/>
      </c>
      <c r="E8" s="20">
        <f>SUMIFS(Vendors!$D$6:$D$105,Vendors!$C$6:$C$105,B8)</f>
        <v/>
      </c>
      <c r="F8" s="20">
        <f>SUMIFS(Vendors!$E$6:$E$105,Vendors!$C$6:$C$105,B8)</f>
        <v/>
      </c>
      <c r="G8" s="20">
        <f>E8-F8</f>
        <v/>
      </c>
      <c r="H8" s="21">
        <f>IF(D8=0,"",REPT("█",MIN(15,MAX(0,ROUND((E8/D8)*15,0))))&amp;REPT("░",15-MIN(15,MAX(0,ROUND((E8/D8)*15,0))))&amp;"  "&amp;TEXT(E8/D8,"0%"))</f>
        <v/>
      </c>
      <c r="I8" s="1" t="n"/>
    </row>
    <row r="9">
      <c r="A9" s="1" t="n"/>
      <c r="B9" s="24" t="inlineStr">
        <is>
          <t>Attire &amp; beauty</t>
        </is>
      </c>
      <c r="C9" s="25" t="n">
        <v>8</v>
      </c>
      <c r="D9" s="20">
        <f>$C$4*C9/100</f>
        <v/>
      </c>
      <c r="E9" s="20">
        <f>SUMIFS(Vendors!$D$6:$D$105,Vendors!$C$6:$C$105,B9)</f>
        <v/>
      </c>
      <c r="F9" s="20">
        <f>SUMIFS(Vendors!$E$6:$E$105,Vendors!$C$6:$C$105,B9)</f>
        <v/>
      </c>
      <c r="G9" s="20">
        <f>E9-F9</f>
        <v/>
      </c>
      <c r="H9" s="21">
        <f>IF(D9=0,"",REPT("█",MIN(15,MAX(0,ROUND((E9/D9)*15,0))))&amp;REPT("░",15-MIN(15,MAX(0,ROUND((E9/D9)*15,0))))&amp;"  "&amp;TEXT(E9/D9,"0%"))</f>
        <v/>
      </c>
      <c r="I9" s="1" t="n"/>
    </row>
    <row r="10">
      <c r="A10" s="1" t="n"/>
      <c r="B10" s="24" t="inlineStr">
        <is>
          <t>Flowers &amp; decor</t>
        </is>
      </c>
      <c r="C10" s="25" t="n">
        <v>8</v>
      </c>
      <c r="D10" s="20">
        <f>$C$4*C10/100</f>
        <v/>
      </c>
      <c r="E10" s="20">
        <f>SUMIFS(Vendors!$D$6:$D$105,Vendors!$C$6:$C$105,B10)</f>
        <v/>
      </c>
      <c r="F10" s="20">
        <f>SUMIFS(Vendors!$E$6:$E$105,Vendors!$C$6:$C$105,B10)</f>
        <v/>
      </c>
      <c r="G10" s="20">
        <f>E10-F10</f>
        <v/>
      </c>
      <c r="H10" s="21">
        <f>IF(D10=0,"",REPT("█",MIN(15,MAX(0,ROUND((E10/D10)*15,0))))&amp;REPT("░",15-MIN(15,MAX(0,ROUND((E10/D10)*15,0))))&amp;"  "&amp;TEXT(E10/D10,"0%"))</f>
        <v/>
      </c>
      <c r="I10" s="1" t="n"/>
    </row>
    <row r="11">
      <c r="A11" s="1" t="n"/>
      <c r="B11" s="24" t="inlineStr">
        <is>
          <t>Music &amp; entertainment</t>
        </is>
      </c>
      <c r="C11" s="25" t="n">
        <v>6</v>
      </c>
      <c r="D11" s="20">
        <f>$C$4*C11/100</f>
        <v/>
      </c>
      <c r="E11" s="20">
        <f>SUMIFS(Vendors!$D$6:$D$105,Vendors!$C$6:$C$105,B11)</f>
        <v/>
      </c>
      <c r="F11" s="20">
        <f>SUMIFS(Vendors!$E$6:$E$105,Vendors!$C$6:$C$105,B11)</f>
        <v/>
      </c>
      <c r="G11" s="20">
        <f>E11-F11</f>
        <v/>
      </c>
      <c r="H11" s="21">
        <f>IF(D11=0,"",REPT("█",MIN(15,MAX(0,ROUND((E11/D11)*15,0))))&amp;REPT("░",15-MIN(15,MAX(0,ROUND((E11/D11)*15,0))))&amp;"  "&amp;TEXT(E11/D11,"0%"))</f>
        <v/>
      </c>
      <c r="I11" s="1" t="n"/>
    </row>
    <row r="12">
      <c r="A12" s="1" t="n"/>
      <c r="B12" s="24" t="inlineStr">
        <is>
          <t>Rings</t>
        </is>
      </c>
      <c r="C12" s="25" t="n">
        <v>5</v>
      </c>
      <c r="D12" s="20">
        <f>$C$4*C12/100</f>
        <v/>
      </c>
      <c r="E12" s="20">
        <f>SUMIFS(Vendors!$D$6:$D$105,Vendors!$C$6:$C$105,B12)</f>
        <v/>
      </c>
      <c r="F12" s="20">
        <f>SUMIFS(Vendors!$E$6:$E$105,Vendors!$C$6:$C$105,B12)</f>
        <v/>
      </c>
      <c r="G12" s="20">
        <f>E12-F12</f>
        <v/>
      </c>
      <c r="H12" s="21">
        <f>IF(D12=0,"",REPT("█",MIN(15,MAX(0,ROUND((E12/D12)*15,0))))&amp;REPT("░",15-MIN(15,MAX(0,ROUND((E12/D12)*15,0))))&amp;"  "&amp;TEXT(E12/D12,"0%"))</f>
        <v/>
      </c>
      <c r="I12" s="1" t="n"/>
    </row>
    <row r="13">
      <c r="A13" s="1" t="n"/>
      <c r="B13" s="24" t="inlineStr">
        <is>
          <t>Stationery</t>
        </is>
      </c>
      <c r="C13" s="25" t="n">
        <v>2</v>
      </c>
      <c r="D13" s="20">
        <f>$C$4*C13/100</f>
        <v/>
      </c>
      <c r="E13" s="20">
        <f>SUMIFS(Vendors!$D$6:$D$105,Vendors!$C$6:$C$105,B13)</f>
        <v/>
      </c>
      <c r="F13" s="20">
        <f>SUMIFS(Vendors!$E$6:$E$105,Vendors!$C$6:$C$105,B13)</f>
        <v/>
      </c>
      <c r="G13" s="20">
        <f>E13-F13</f>
        <v/>
      </c>
      <c r="H13" s="21">
        <f>IF(D13=0,"",REPT("█",MIN(15,MAX(0,ROUND((E13/D13)*15,0))))&amp;REPT("░",15-MIN(15,MAX(0,ROUND((E13/D13)*15,0))))&amp;"  "&amp;TEXT(E13/D13,"0%"))</f>
        <v/>
      </c>
      <c r="I13" s="1" t="n"/>
    </row>
    <row r="14">
      <c r="A14" s="1" t="n"/>
      <c r="B14" s="24" t="inlineStr">
        <is>
          <t>Transport</t>
        </is>
      </c>
      <c r="C14" s="25" t="n">
        <v>2</v>
      </c>
      <c r="D14" s="20">
        <f>$C$4*C14/100</f>
        <v/>
      </c>
      <c r="E14" s="20">
        <f>SUMIFS(Vendors!$D$6:$D$105,Vendors!$C$6:$C$105,B14)</f>
        <v/>
      </c>
      <c r="F14" s="20">
        <f>SUMIFS(Vendors!$E$6:$E$105,Vendors!$C$6:$C$105,B14)</f>
        <v/>
      </c>
      <c r="G14" s="20">
        <f>E14-F14</f>
        <v/>
      </c>
      <c r="H14" s="21">
        <f>IF(D14=0,"",REPT("█",MIN(15,MAX(0,ROUND((E14/D14)*15,0))))&amp;REPT("░",15-MIN(15,MAX(0,ROUND((E14/D14)*15,0))))&amp;"  "&amp;TEXT(E14/D14,"0%"))</f>
        <v/>
      </c>
      <c r="I14" s="1" t="n"/>
    </row>
    <row r="15">
      <c r="A15" s="1" t="n"/>
      <c r="B15" s="24" t="inlineStr">
        <is>
          <t>Favors &amp; gifts</t>
        </is>
      </c>
      <c r="C15" s="25" t="n">
        <v>2</v>
      </c>
      <c r="D15" s="20">
        <f>$C$4*C15/100</f>
        <v/>
      </c>
      <c r="E15" s="20">
        <f>SUMIFS(Vendors!$D$6:$D$105,Vendors!$C$6:$C$105,B15)</f>
        <v/>
      </c>
      <c r="F15" s="20">
        <f>SUMIFS(Vendors!$E$6:$E$105,Vendors!$C$6:$C$105,B15)</f>
        <v/>
      </c>
      <c r="G15" s="20">
        <f>E15-F15</f>
        <v/>
      </c>
      <c r="H15" s="21">
        <f>IF(D15=0,"",REPT("█",MIN(15,MAX(0,ROUND((E15/D15)*15,0))))&amp;REPT("░",15-MIN(15,MAX(0,ROUND((E15/D15)*15,0))))&amp;"  "&amp;TEXT(E15/D15,"0%"))</f>
        <v/>
      </c>
      <c r="I15" s="1" t="n"/>
    </row>
    <row r="16">
      <c r="A16" s="1" t="n"/>
      <c r="B16" s="24" t="inlineStr">
        <is>
          <t>Other &amp; buffer</t>
        </is>
      </c>
      <c r="C16" s="25" t="n">
        <v>6</v>
      </c>
      <c r="D16" s="20">
        <f>$C$4*C16/100</f>
        <v/>
      </c>
      <c r="E16" s="20">
        <f>SUMIFS(Vendors!$D$6:$D$105,Vendors!$C$6:$C$105,B16)</f>
        <v/>
      </c>
      <c r="F16" s="20">
        <f>SUMIFS(Vendors!$E$6:$E$105,Vendors!$C$6:$C$105,B16)</f>
        <v/>
      </c>
      <c r="G16" s="20">
        <f>E16-F16</f>
        <v/>
      </c>
      <c r="H16" s="21">
        <f>IF(D16=0,"",REPT("█",MIN(15,MAX(0,ROUND((E16/D16)*15,0))))&amp;REPT("░",15-MIN(15,MAX(0,ROUND((E16/D16)*15,0))))&amp;"  "&amp;TEXT(E16/D16,"0%"))</f>
        <v/>
      </c>
      <c r="I16" s="1" t="n"/>
    </row>
    <row r="17">
      <c r="A17" s="1" t="n"/>
      <c r="B17" s="26" t="inlineStr">
        <is>
          <t>Total</t>
        </is>
      </c>
      <c r="C17" s="27">
        <f>SUM(C6:C16)</f>
        <v/>
      </c>
      <c r="D17" s="28">
        <f>SUM(D6:D16)</f>
        <v/>
      </c>
      <c r="E17" s="28">
        <f>SUM(E6:E16)</f>
        <v/>
      </c>
      <c r="F17" s="28">
        <f>SUM(F6:F16)</f>
        <v/>
      </c>
      <c r="G17" s="28">
        <f>SUM(G6:G16)</f>
        <v/>
      </c>
      <c r="H17" s="1" t="n"/>
      <c r="I17" s="1" t="n"/>
    </row>
    <row r="18">
      <c r="A18" s="1" t="n"/>
      <c r="B18" s="29" t="inlineStr">
        <is>
          <t>Shares should add up to 100 (the total turns red if not). Committed turns red above plan.</t>
        </is>
      </c>
      <c r="C18" s="1" t="n"/>
      <c r="D18" s="1" t="n"/>
      <c r="E18" s="1" t="n"/>
      <c r="F18" s="1" t="n"/>
      <c r="G18" s="1" t="n"/>
      <c r="H18" s="1" t="n"/>
      <c r="I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</sheetData>
  <mergeCells count="1">
    <mergeCell ref="C4:D4"/>
  </mergeCells>
  <conditionalFormatting sqref="C17">
    <cfRule type="expression" priority="1" dxfId="1">
      <formula>$C$17&lt;&gt;100</formula>
    </cfRule>
  </conditionalFormatting>
  <conditionalFormatting sqref="E6:E16">
    <cfRule type="expression" priority="2" dxfId="2">
      <formula>$E6&gt;$D6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0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22" customWidth="1" min="3" max="3"/>
    <col width="13" customWidth="1" min="4" max="4"/>
    <col width="13" customWidth="1" min="5" max="5"/>
    <col width="14" customWidth="1" min="6" max="6"/>
    <col width="13" customWidth="1" min="7" max="7"/>
    <col width="28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1" t="n"/>
      <c r="B2" s="2" t="inlineStr">
        <is>
          <t>Vendors &amp; payments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" t="inlineStr">
        <is>
          <t>One line per vendor: what they quoted, what you paid, when the rest is due.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30" customHeight="1">
      <c r="A5" s="1" t="n"/>
      <c r="B5" s="11" t="inlineStr">
        <is>
          <t>Vendor</t>
        </is>
      </c>
      <c r="C5" s="11" t="inlineStr">
        <is>
          <t>Category</t>
        </is>
      </c>
      <c r="D5" s="11" t="inlineStr">
        <is>
          <t>Quoted</t>
        </is>
      </c>
      <c r="E5" s="11" t="inlineStr">
        <is>
          <t>Paid so far</t>
        </is>
      </c>
      <c r="F5" s="11" t="inlineStr">
        <is>
          <t>Next payment due</t>
        </is>
      </c>
      <c r="G5" s="11" t="inlineStr">
        <is>
          <t>Left</t>
        </is>
      </c>
      <c r="H5" s="11" t="inlineStr">
        <is>
          <t>Status</t>
        </is>
      </c>
      <c r="I5" s="1" t="n"/>
    </row>
    <row r="6">
      <c r="A6" s="1" t="n"/>
      <c r="B6" s="30" t="inlineStr">
        <is>
          <t>Château venue</t>
        </is>
      </c>
      <c r="C6" s="30" t="inlineStr">
        <is>
          <t>Venue</t>
        </is>
      </c>
      <c r="D6" s="31" t="n">
        <v>6200</v>
      </c>
      <c r="E6" s="31" t="n">
        <v>2000</v>
      </c>
      <c r="F6" s="32" t="n">
        <v>46305</v>
      </c>
      <c r="G6" s="20">
        <f>IF(B6="","",D6-E6)</f>
        <v/>
      </c>
      <c r="H6" s="33">
        <f>IF(B6="","",IF(G6&lt;=0,"Paid in full",IF(F6="","Balance due, no date set",IF(F6&lt;TODAY(),"Overdue by "&amp;TODAY()-F6&amp;IF(TODAY()-F6=1," day"," days"),IF(F6=TODAY(),"Due today",IF(F6-TODAY()&lt;=14,"Due in "&amp;F6-TODAY()&amp;IF(F6-TODAY()=1," day"," days"),"Next payment in "&amp;F6-TODAY()&amp;" days"))))))</f>
        <v/>
      </c>
      <c r="I6" s="1" t="n"/>
    </row>
    <row r="7">
      <c r="A7" s="1" t="n"/>
      <c r="B7" s="30" t="inlineStr">
        <is>
          <t>Chef &amp; Co</t>
        </is>
      </c>
      <c r="C7" s="30" t="inlineStr">
        <is>
          <t>Catering</t>
        </is>
      </c>
      <c r="D7" s="31" t="n">
        <v>5900</v>
      </c>
      <c r="E7" s="31" t="n">
        <v>1500</v>
      </c>
      <c r="F7" s="32" t="n">
        <v>46338</v>
      </c>
      <c r="G7" s="20">
        <f>IF(B7="","",D7-E7)</f>
        <v/>
      </c>
      <c r="H7" s="33">
        <f>IF(B7="","",IF(G7&lt;=0,"Paid in full",IF(F7="","Balance due, no date set",IF(F7&lt;TODAY(),"Overdue by "&amp;TODAY()-F7&amp;IF(TODAY()-F7=1," day"," days"),IF(F7=TODAY(),"Due today",IF(F7-TODAY()&lt;=14,"Due in "&amp;F7-TODAY()&amp;IF(F7-TODAY()=1," day"," days"),"Next payment in "&amp;F7-TODAY()&amp;" days"))))))</f>
        <v/>
      </c>
      <c r="I7" s="1" t="n"/>
    </row>
    <row r="8">
      <c r="A8" s="1" t="n"/>
      <c r="B8" s="30" t="inlineStr">
        <is>
          <t>Lens &amp; Light</t>
        </is>
      </c>
      <c r="C8" s="30" t="inlineStr">
        <is>
          <t>Photo &amp; video</t>
        </is>
      </c>
      <c r="D8" s="31" t="n">
        <v>2600</v>
      </c>
      <c r="E8" s="31" t="n">
        <v>800</v>
      </c>
      <c r="F8" s="32" t="n">
        <v>46295</v>
      </c>
      <c r="G8" s="20">
        <f>IF(B8="","",D8-E8)</f>
        <v/>
      </c>
      <c r="H8" s="33">
        <f>IF(B8="","",IF(G8&lt;=0,"Paid in full",IF(F8="","Balance due, no date set",IF(F8&lt;TODAY(),"Overdue by "&amp;TODAY()-F8&amp;IF(TODAY()-F8=1," day"," days"),IF(F8=TODAY(),"Due today",IF(F8-TODAY()&lt;=14,"Due in "&amp;F8-TODAY()&amp;IF(F8-TODAY()=1," day"," days"),"Next payment in "&amp;F8-TODAY()&amp;" days"))))))</f>
        <v/>
      </c>
      <c r="I8" s="1" t="n"/>
    </row>
    <row r="9">
      <c r="A9" s="1" t="n"/>
      <c r="B9" s="30" t="inlineStr">
        <is>
          <t>Atelier Rose</t>
        </is>
      </c>
      <c r="C9" s="30" t="inlineStr">
        <is>
          <t>Attire &amp; beauty</t>
        </is>
      </c>
      <c r="D9" s="31" t="n">
        <v>1800</v>
      </c>
      <c r="E9" s="31" t="n">
        <v>1800</v>
      </c>
      <c r="F9" s="32" t="n"/>
      <c r="G9" s="20">
        <f>IF(B9="","",D9-E9)</f>
        <v/>
      </c>
      <c r="H9" s="33">
        <f>IF(B9="","",IF(G9&lt;=0,"Paid in full",IF(F9="","Balance due, no date set",IF(F9&lt;TODAY(),"Overdue by "&amp;TODAY()-F9&amp;IF(TODAY()-F9=1," day"," days"),IF(F9=TODAY(),"Due today",IF(F9-TODAY()&lt;=14,"Due in "&amp;F9-TODAY()&amp;IF(F9-TODAY()=1," day"," days"),"Next payment in "&amp;F9-TODAY()&amp;" days"))))))</f>
        <v/>
      </c>
      <c r="I9" s="1" t="n"/>
    </row>
    <row r="10">
      <c r="A10" s="1" t="n"/>
      <c r="B10" s="30" t="inlineStr">
        <is>
          <t>Bloom Studio</t>
        </is>
      </c>
      <c r="C10" s="30" t="inlineStr">
        <is>
          <t>Flowers &amp; decor</t>
        </is>
      </c>
      <c r="D10" s="31" t="n">
        <v>1700</v>
      </c>
      <c r="E10" s="31" t="n">
        <v>300</v>
      </c>
      <c r="F10" s="32" t="n">
        <v>46290</v>
      </c>
      <c r="G10" s="20">
        <f>IF(B10="","",D10-E10)</f>
        <v/>
      </c>
      <c r="H10" s="33">
        <f>IF(B10="","",IF(G10&lt;=0,"Paid in full",IF(F10="","Balance due, no date set",IF(F10&lt;TODAY(),"Overdue by "&amp;TODAY()-F10&amp;IF(TODAY()-F10=1," day"," days"),IF(F10=TODAY(),"Due today",IF(F10-TODAY()&lt;=14,"Due in "&amp;F10-TODAY()&amp;IF(F10-TODAY()=1," day"," days"),"Next payment in "&amp;F10-TODAY()&amp;" days"))))))</f>
        <v/>
      </c>
      <c r="I10" s="1" t="n"/>
    </row>
    <row r="11">
      <c r="A11" s="1" t="n"/>
      <c r="B11" s="30" t="inlineStr">
        <is>
          <t>DJ Nova</t>
        </is>
      </c>
      <c r="C11" s="30" t="inlineStr">
        <is>
          <t>Music &amp; entertainment</t>
        </is>
      </c>
      <c r="D11" s="31" t="n">
        <v>1100</v>
      </c>
      <c r="E11" s="31" t="n">
        <v>300</v>
      </c>
      <c r="F11" s="32" t="n">
        <v>46373</v>
      </c>
      <c r="G11" s="20">
        <f>IF(B11="","",D11-E11)</f>
        <v/>
      </c>
      <c r="H11" s="33">
        <f>IF(B11="","",IF(G11&lt;=0,"Paid in full",IF(F11="","Balance due, no date set",IF(F11&lt;TODAY(),"Overdue by "&amp;TODAY()-F11&amp;IF(TODAY()-F11=1," day"," days"),IF(F11=TODAY(),"Due today",IF(F11-TODAY()&lt;=14,"Due in "&amp;F11-TODAY()&amp;IF(F11-TODAY()=1," day"," days"),"Next payment in "&amp;F11-TODAY()&amp;" days"))))))</f>
        <v/>
      </c>
      <c r="I11" s="1" t="n"/>
    </row>
    <row r="12">
      <c r="A12" s="1" t="n"/>
      <c r="B12" s="30" t="inlineStr">
        <is>
          <t>Maison Or</t>
        </is>
      </c>
      <c r="C12" s="30" t="inlineStr">
        <is>
          <t>Rings</t>
        </is>
      </c>
      <c r="D12" s="31" t="n">
        <v>1300</v>
      </c>
      <c r="E12" s="31" t="n">
        <v>1300</v>
      </c>
      <c r="F12" s="32" t="n"/>
      <c r="G12" s="20">
        <f>IF(B12="","",D12-E12)</f>
        <v/>
      </c>
      <c r="H12" s="33">
        <f>IF(B12="","",IF(G12&lt;=0,"Paid in full",IF(F12="","Balance due, no date set",IF(F12&lt;TODAY(),"Overdue by "&amp;TODAY()-F12&amp;IF(TODAY()-F12=1," day"," days"),IF(F12=TODAY(),"Due today",IF(F12-TODAY()&lt;=14,"Due in "&amp;F12-TODAY()&amp;IF(F12-TODAY()=1," day"," days"),"Next payment in "&amp;F12-TODAY()&amp;" days"))))))</f>
        <v/>
      </c>
      <c r="I12" s="1" t="n"/>
    </row>
    <row r="13">
      <c r="A13" s="1" t="n"/>
      <c r="B13" s="30" t="inlineStr">
        <is>
          <t>Paper &amp; Ink</t>
        </is>
      </c>
      <c r="C13" s="30" t="inlineStr">
        <is>
          <t>Stationery</t>
        </is>
      </c>
      <c r="D13" s="31" t="n">
        <v>420</v>
      </c>
      <c r="E13" s="31" t="n">
        <v>200</v>
      </c>
      <c r="F13" s="32" t="n">
        <v>46313</v>
      </c>
      <c r="G13" s="20">
        <f>IF(B13="","",D13-E13)</f>
        <v/>
      </c>
      <c r="H13" s="33">
        <f>IF(B13="","",IF(G13&lt;=0,"Paid in full",IF(F13="","Balance due, no date set",IF(F13&lt;TODAY(),"Overdue by "&amp;TODAY()-F13&amp;IF(TODAY()-F13=1," day"," days"),IF(F13=TODAY(),"Due today",IF(F13-TODAY()&lt;=14,"Due in "&amp;F13-TODAY()&amp;IF(F13-TODAY()=1," day"," days"),"Next payment in "&amp;F13-TODAY()&amp;" days"))))))</f>
        <v/>
      </c>
      <c r="I13" s="1" t="n"/>
    </row>
    <row r="14">
      <c r="A14" s="1" t="n"/>
      <c r="B14" s="30" t="n"/>
      <c r="C14" s="30" t="n"/>
      <c r="D14" s="31" t="n"/>
      <c r="E14" s="31" t="n"/>
      <c r="F14" s="32" t="n"/>
      <c r="G14" s="20">
        <f>IF(B14="","",D14-E14)</f>
        <v/>
      </c>
      <c r="H14" s="33">
        <f>IF(B14="","",IF(G14&lt;=0,"Paid in full",IF(F14="","Balance due, no date set",IF(F14&lt;TODAY(),"Overdue by "&amp;TODAY()-F14&amp;IF(TODAY()-F14=1," day"," days"),IF(F14=TODAY(),"Due today",IF(F14-TODAY()&lt;=14,"Due in "&amp;F14-TODAY()&amp;IF(F14-TODAY()=1," day"," days"),"Next payment in "&amp;F14-TODAY()&amp;" days"))))))</f>
        <v/>
      </c>
      <c r="I14" s="1" t="n"/>
    </row>
    <row r="15">
      <c r="A15" s="1" t="n"/>
      <c r="B15" s="30" t="n"/>
      <c r="C15" s="30" t="n"/>
      <c r="D15" s="31" t="n"/>
      <c r="E15" s="31" t="n"/>
      <c r="F15" s="32" t="n"/>
      <c r="G15" s="20">
        <f>IF(B15="","",D15-E15)</f>
        <v/>
      </c>
      <c r="H15" s="33">
        <f>IF(B15="","",IF(G15&lt;=0,"Paid in full",IF(F15="","Balance due, no date set",IF(F15&lt;TODAY(),"Overdue by "&amp;TODAY()-F15&amp;IF(TODAY()-F15=1," day"," days"),IF(F15=TODAY(),"Due today",IF(F15-TODAY()&lt;=14,"Due in "&amp;F15-TODAY()&amp;IF(F15-TODAY()=1," day"," days"),"Next payment in "&amp;F15-TODAY()&amp;" days"))))))</f>
        <v/>
      </c>
      <c r="I15" s="1" t="n"/>
    </row>
    <row r="16">
      <c r="A16" s="1" t="n"/>
      <c r="B16" s="30" t="n"/>
      <c r="C16" s="30" t="n"/>
      <c r="D16" s="31" t="n"/>
      <c r="E16" s="31" t="n"/>
      <c r="F16" s="32" t="n"/>
      <c r="G16" s="20">
        <f>IF(B16="","",D16-E16)</f>
        <v/>
      </c>
      <c r="H16" s="33">
        <f>IF(B16="","",IF(G16&lt;=0,"Paid in full",IF(F16="","Balance due, no date set",IF(F16&lt;TODAY(),"Overdue by "&amp;TODAY()-F16&amp;IF(TODAY()-F16=1," day"," days"),IF(F16=TODAY(),"Due today",IF(F16-TODAY()&lt;=14,"Due in "&amp;F16-TODAY()&amp;IF(F16-TODAY()=1," day"," days"),"Next payment in "&amp;F16-TODAY()&amp;" days"))))))</f>
        <v/>
      </c>
      <c r="I16" s="1" t="n"/>
    </row>
    <row r="17">
      <c r="A17" s="1" t="n"/>
      <c r="B17" s="30" t="n"/>
      <c r="C17" s="30" t="n"/>
      <c r="D17" s="31" t="n"/>
      <c r="E17" s="31" t="n"/>
      <c r="F17" s="32" t="n"/>
      <c r="G17" s="20">
        <f>IF(B17="","",D17-E17)</f>
        <v/>
      </c>
      <c r="H17" s="33">
        <f>IF(B17="","",IF(G17&lt;=0,"Paid in full",IF(F17="","Balance due, no date set",IF(F17&lt;TODAY(),"Overdue by "&amp;TODAY()-F17&amp;IF(TODAY()-F17=1," day"," days"),IF(F17=TODAY(),"Due today",IF(F17-TODAY()&lt;=14,"Due in "&amp;F17-TODAY()&amp;IF(F17-TODAY()=1," day"," days"),"Next payment in "&amp;F17-TODAY()&amp;" days"))))))</f>
        <v/>
      </c>
      <c r="I17" s="1" t="n"/>
    </row>
    <row r="18">
      <c r="A18" s="1" t="n"/>
      <c r="B18" s="30" t="n"/>
      <c r="C18" s="30" t="n"/>
      <c r="D18" s="31" t="n"/>
      <c r="E18" s="31" t="n"/>
      <c r="F18" s="32" t="n"/>
      <c r="G18" s="20">
        <f>IF(B18="","",D18-E18)</f>
        <v/>
      </c>
      <c r="H18" s="33">
        <f>IF(B18="","",IF(G18&lt;=0,"Paid in full",IF(F18="","Balance due, no date set",IF(F18&lt;TODAY(),"Overdue by "&amp;TODAY()-F18&amp;IF(TODAY()-F18=1," day"," days"),IF(F18=TODAY(),"Due today",IF(F18-TODAY()&lt;=14,"Due in "&amp;F18-TODAY()&amp;IF(F18-TODAY()=1," day"," days"),"Next payment in "&amp;F18-TODAY()&amp;" days"))))))</f>
        <v/>
      </c>
      <c r="I18" s="1" t="n"/>
    </row>
    <row r="19">
      <c r="A19" s="1" t="n"/>
      <c r="B19" s="30" t="n"/>
      <c r="C19" s="30" t="n"/>
      <c r="D19" s="31" t="n"/>
      <c r="E19" s="31" t="n"/>
      <c r="F19" s="32" t="n"/>
      <c r="G19" s="20">
        <f>IF(B19="","",D19-E19)</f>
        <v/>
      </c>
      <c r="H19" s="33">
        <f>IF(B19="","",IF(G19&lt;=0,"Paid in full",IF(F19="","Balance due, no date set",IF(F19&lt;TODAY(),"Overdue by "&amp;TODAY()-F19&amp;IF(TODAY()-F19=1," day"," days"),IF(F19=TODAY(),"Due today",IF(F19-TODAY()&lt;=14,"Due in "&amp;F19-TODAY()&amp;IF(F19-TODAY()=1," day"," days"),"Next payment in "&amp;F19-TODAY()&amp;" days"))))))</f>
        <v/>
      </c>
      <c r="I19" s="1" t="n"/>
    </row>
    <row r="20">
      <c r="A20" s="1" t="n"/>
      <c r="B20" s="30" t="n"/>
      <c r="C20" s="30" t="n"/>
      <c r="D20" s="31" t="n"/>
      <c r="E20" s="31" t="n"/>
      <c r="F20" s="32" t="n"/>
      <c r="G20" s="20">
        <f>IF(B20="","",D20-E20)</f>
        <v/>
      </c>
      <c r="H20" s="33">
        <f>IF(B20="","",IF(G20&lt;=0,"Paid in full",IF(F20="","Balance due, no date set",IF(F20&lt;TODAY(),"Overdue by "&amp;TODAY()-F20&amp;IF(TODAY()-F20=1," day"," days"),IF(F20=TODAY(),"Due today",IF(F20-TODAY()&lt;=14,"Due in "&amp;F20-TODAY()&amp;IF(F20-TODAY()=1," day"," days"),"Next payment in "&amp;F20-TODAY()&amp;" days"))))))</f>
        <v/>
      </c>
      <c r="I20" s="1" t="n"/>
    </row>
    <row r="21">
      <c r="A21" s="1" t="n"/>
      <c r="B21" s="30" t="n"/>
      <c r="C21" s="30" t="n"/>
      <c r="D21" s="31" t="n"/>
      <c r="E21" s="31" t="n"/>
      <c r="F21" s="32" t="n"/>
      <c r="G21" s="20">
        <f>IF(B21="","",D21-E21)</f>
        <v/>
      </c>
      <c r="H21" s="33">
        <f>IF(B21="","",IF(G21&lt;=0,"Paid in full",IF(F21="","Balance due, no date set",IF(F21&lt;TODAY(),"Overdue by "&amp;TODAY()-F21&amp;IF(TODAY()-F21=1," day"," days"),IF(F21=TODAY(),"Due today",IF(F21-TODAY()&lt;=14,"Due in "&amp;F21-TODAY()&amp;IF(F21-TODAY()=1," day"," days"),"Next payment in "&amp;F21-TODAY()&amp;" days"))))))</f>
        <v/>
      </c>
      <c r="I21" s="1" t="n"/>
    </row>
    <row r="22">
      <c r="A22" s="1" t="n"/>
      <c r="B22" s="30" t="n"/>
      <c r="C22" s="30" t="n"/>
      <c r="D22" s="31" t="n"/>
      <c r="E22" s="31" t="n"/>
      <c r="F22" s="32" t="n"/>
      <c r="G22" s="20">
        <f>IF(B22="","",D22-E22)</f>
        <v/>
      </c>
      <c r="H22" s="33">
        <f>IF(B22="","",IF(G22&lt;=0,"Paid in full",IF(F22="","Balance due, no date set",IF(F22&lt;TODAY(),"Overdue by "&amp;TODAY()-F22&amp;IF(TODAY()-F22=1," day"," days"),IF(F22=TODAY(),"Due today",IF(F22-TODAY()&lt;=14,"Due in "&amp;F22-TODAY()&amp;IF(F22-TODAY()=1," day"," days"),"Next payment in "&amp;F22-TODAY()&amp;" days"))))))</f>
        <v/>
      </c>
      <c r="I22" s="1" t="n"/>
    </row>
    <row r="23">
      <c r="A23" s="1" t="n"/>
      <c r="B23" s="30" t="n"/>
      <c r="C23" s="30" t="n"/>
      <c r="D23" s="31" t="n"/>
      <c r="E23" s="31" t="n"/>
      <c r="F23" s="32" t="n"/>
      <c r="G23" s="20">
        <f>IF(B23="","",D23-E23)</f>
        <v/>
      </c>
      <c r="H23" s="33">
        <f>IF(B23="","",IF(G23&lt;=0,"Paid in full",IF(F23="","Balance due, no date set",IF(F23&lt;TODAY(),"Overdue by "&amp;TODAY()-F23&amp;IF(TODAY()-F23=1," day"," days"),IF(F23=TODAY(),"Due today",IF(F23-TODAY()&lt;=14,"Due in "&amp;F23-TODAY()&amp;IF(F23-TODAY()=1," day"," days"),"Next payment in "&amp;F23-TODAY()&amp;" days"))))))</f>
        <v/>
      </c>
      <c r="I23" s="1" t="n"/>
    </row>
    <row r="24">
      <c r="A24" s="1" t="n"/>
      <c r="B24" s="30" t="n"/>
      <c r="C24" s="30" t="n"/>
      <c r="D24" s="31" t="n"/>
      <c r="E24" s="31" t="n"/>
      <c r="F24" s="32" t="n"/>
      <c r="G24" s="20">
        <f>IF(B24="","",D24-E24)</f>
        <v/>
      </c>
      <c r="H24" s="33">
        <f>IF(B24="","",IF(G24&lt;=0,"Paid in full",IF(F24="","Balance due, no date set",IF(F24&lt;TODAY(),"Overdue by "&amp;TODAY()-F24&amp;IF(TODAY()-F24=1," day"," days"),IF(F24=TODAY(),"Due today",IF(F24-TODAY()&lt;=14,"Due in "&amp;F24-TODAY()&amp;IF(F24-TODAY()=1," day"," days"),"Next payment in "&amp;F24-TODAY()&amp;" days"))))))</f>
        <v/>
      </c>
      <c r="I24" s="1" t="n"/>
    </row>
    <row r="25">
      <c r="A25" s="1" t="n"/>
      <c r="B25" s="30" t="n"/>
      <c r="C25" s="30" t="n"/>
      <c r="D25" s="31" t="n"/>
      <c r="E25" s="31" t="n"/>
      <c r="F25" s="32" t="n"/>
      <c r="G25" s="20">
        <f>IF(B25="","",D25-E25)</f>
        <v/>
      </c>
      <c r="H25" s="33">
        <f>IF(B25="","",IF(G25&lt;=0,"Paid in full",IF(F25="","Balance due, no date set",IF(F25&lt;TODAY(),"Overdue by "&amp;TODAY()-F25&amp;IF(TODAY()-F25=1," day"," days"),IF(F25=TODAY(),"Due today",IF(F25-TODAY()&lt;=14,"Due in "&amp;F25-TODAY()&amp;IF(F25-TODAY()=1," day"," days"),"Next payment in "&amp;F25-TODAY()&amp;" days"))))))</f>
        <v/>
      </c>
      <c r="I25" s="1" t="n"/>
    </row>
    <row r="26">
      <c r="A26" s="1" t="n"/>
      <c r="B26" s="30" t="n"/>
      <c r="C26" s="30" t="n"/>
      <c r="D26" s="31" t="n"/>
      <c r="E26" s="31" t="n"/>
      <c r="F26" s="32" t="n"/>
      <c r="G26" s="20">
        <f>IF(B26="","",D26-E26)</f>
        <v/>
      </c>
      <c r="H26" s="33">
        <f>IF(B26="","",IF(G26&lt;=0,"Paid in full",IF(F26="","Balance due, no date set",IF(F26&lt;TODAY(),"Overdue by "&amp;TODAY()-F26&amp;IF(TODAY()-F26=1," day"," days"),IF(F26=TODAY(),"Due today",IF(F26-TODAY()&lt;=14,"Due in "&amp;F26-TODAY()&amp;IF(F26-TODAY()=1," day"," days"),"Next payment in "&amp;F26-TODAY()&amp;" days"))))))</f>
        <v/>
      </c>
      <c r="I26" s="1" t="n"/>
    </row>
    <row r="27">
      <c r="A27" s="1" t="n"/>
      <c r="B27" s="30" t="n"/>
      <c r="C27" s="30" t="n"/>
      <c r="D27" s="31" t="n"/>
      <c r="E27" s="31" t="n"/>
      <c r="F27" s="32" t="n"/>
      <c r="G27" s="20">
        <f>IF(B27="","",D27-E27)</f>
        <v/>
      </c>
      <c r="H27" s="33">
        <f>IF(B27="","",IF(G27&lt;=0,"Paid in full",IF(F27="","Balance due, no date set",IF(F27&lt;TODAY(),"Overdue by "&amp;TODAY()-F27&amp;IF(TODAY()-F27=1," day"," days"),IF(F27=TODAY(),"Due today",IF(F27-TODAY()&lt;=14,"Due in "&amp;F27-TODAY()&amp;IF(F27-TODAY()=1," day"," days"),"Next payment in "&amp;F27-TODAY()&amp;" days"))))))</f>
        <v/>
      </c>
      <c r="I27" s="1" t="n"/>
    </row>
    <row r="28">
      <c r="A28" s="1" t="n"/>
      <c r="B28" s="30" t="n"/>
      <c r="C28" s="30" t="n"/>
      <c r="D28" s="31" t="n"/>
      <c r="E28" s="31" t="n"/>
      <c r="F28" s="32" t="n"/>
      <c r="G28" s="20">
        <f>IF(B28="","",D28-E28)</f>
        <v/>
      </c>
      <c r="H28" s="33">
        <f>IF(B28="","",IF(G28&lt;=0,"Paid in full",IF(F28="","Balance due, no date set",IF(F28&lt;TODAY(),"Overdue by "&amp;TODAY()-F28&amp;IF(TODAY()-F28=1," day"," days"),IF(F28=TODAY(),"Due today",IF(F28-TODAY()&lt;=14,"Due in "&amp;F28-TODAY()&amp;IF(F28-TODAY()=1," day"," days"),"Next payment in "&amp;F28-TODAY()&amp;" days"))))))</f>
        <v/>
      </c>
      <c r="I28" s="1" t="n"/>
    </row>
    <row r="29">
      <c r="A29" s="1" t="n"/>
      <c r="B29" s="30" t="n"/>
      <c r="C29" s="30" t="n"/>
      <c r="D29" s="31" t="n"/>
      <c r="E29" s="31" t="n"/>
      <c r="F29" s="32" t="n"/>
      <c r="G29" s="20">
        <f>IF(B29="","",D29-E29)</f>
        <v/>
      </c>
      <c r="H29" s="33">
        <f>IF(B29="","",IF(G29&lt;=0,"Paid in full",IF(F29="","Balance due, no date set",IF(F29&lt;TODAY(),"Overdue by "&amp;TODAY()-F29&amp;IF(TODAY()-F29=1," day"," days"),IF(F29=TODAY(),"Due today",IF(F29-TODAY()&lt;=14,"Due in "&amp;F29-TODAY()&amp;IF(F29-TODAY()=1," day"," days"),"Next payment in "&amp;F29-TODAY()&amp;" days"))))))</f>
        <v/>
      </c>
      <c r="I29" s="1" t="n"/>
    </row>
    <row r="30">
      <c r="A30" s="1" t="n"/>
      <c r="B30" s="30" t="n"/>
      <c r="C30" s="30" t="n"/>
      <c r="D30" s="31" t="n"/>
      <c r="E30" s="31" t="n"/>
      <c r="F30" s="32" t="n"/>
      <c r="G30" s="20">
        <f>IF(B30="","",D30-E30)</f>
        <v/>
      </c>
      <c r="H30" s="33">
        <f>IF(B30="","",IF(G30&lt;=0,"Paid in full",IF(F30="","Balance due, no date set",IF(F30&lt;TODAY(),"Overdue by "&amp;TODAY()-F30&amp;IF(TODAY()-F30=1," day"," days"),IF(F30=TODAY(),"Due today",IF(F30-TODAY()&lt;=14,"Due in "&amp;F30-TODAY()&amp;IF(F30-TODAY()=1," day"," days"),"Next payment in "&amp;F30-TODAY()&amp;" days"))))))</f>
        <v/>
      </c>
      <c r="I30" s="1" t="n"/>
    </row>
    <row r="31">
      <c r="A31" s="1" t="n"/>
      <c r="B31" s="30" t="n"/>
      <c r="C31" s="30" t="n"/>
      <c r="D31" s="31" t="n"/>
      <c r="E31" s="31" t="n"/>
      <c r="F31" s="32" t="n"/>
      <c r="G31" s="20">
        <f>IF(B31="","",D31-E31)</f>
        <v/>
      </c>
      <c r="H31" s="33">
        <f>IF(B31="","",IF(G31&lt;=0,"Paid in full",IF(F31="","Balance due, no date set",IF(F31&lt;TODAY(),"Overdue by "&amp;TODAY()-F31&amp;IF(TODAY()-F31=1," day"," days"),IF(F31=TODAY(),"Due today",IF(F31-TODAY()&lt;=14,"Due in "&amp;F31-TODAY()&amp;IF(F31-TODAY()=1," day"," days"),"Next payment in "&amp;F31-TODAY()&amp;" days"))))))</f>
        <v/>
      </c>
      <c r="I31" s="1" t="n"/>
    </row>
    <row r="32">
      <c r="A32" s="1" t="n"/>
      <c r="B32" s="30" t="n"/>
      <c r="C32" s="30" t="n"/>
      <c r="D32" s="31" t="n"/>
      <c r="E32" s="31" t="n"/>
      <c r="F32" s="32" t="n"/>
      <c r="G32" s="20">
        <f>IF(B32="","",D32-E32)</f>
        <v/>
      </c>
      <c r="H32" s="33">
        <f>IF(B32="","",IF(G32&lt;=0,"Paid in full",IF(F32="","Balance due, no date set",IF(F32&lt;TODAY(),"Overdue by "&amp;TODAY()-F32&amp;IF(TODAY()-F32=1," day"," days"),IF(F32=TODAY(),"Due today",IF(F32-TODAY()&lt;=14,"Due in "&amp;F32-TODAY()&amp;IF(F32-TODAY()=1," day"," days"),"Next payment in "&amp;F32-TODAY()&amp;" days"))))))</f>
        <v/>
      </c>
      <c r="I32" s="1" t="n"/>
    </row>
    <row r="33">
      <c r="A33" s="1" t="n"/>
      <c r="B33" s="30" t="n"/>
      <c r="C33" s="30" t="n"/>
      <c r="D33" s="31" t="n"/>
      <c r="E33" s="31" t="n"/>
      <c r="F33" s="32" t="n"/>
      <c r="G33" s="20">
        <f>IF(B33="","",D33-E33)</f>
        <v/>
      </c>
      <c r="H33" s="33">
        <f>IF(B33="","",IF(G33&lt;=0,"Paid in full",IF(F33="","Balance due, no date set",IF(F33&lt;TODAY(),"Overdue by "&amp;TODAY()-F33&amp;IF(TODAY()-F33=1," day"," days"),IF(F33=TODAY(),"Due today",IF(F33-TODAY()&lt;=14,"Due in "&amp;F33-TODAY()&amp;IF(F33-TODAY()=1," day"," days"),"Next payment in "&amp;F33-TODAY()&amp;" days"))))))</f>
        <v/>
      </c>
      <c r="I33" s="1" t="n"/>
    </row>
    <row r="34">
      <c r="A34" s="1" t="n"/>
      <c r="B34" s="30" t="n"/>
      <c r="C34" s="30" t="n"/>
      <c r="D34" s="31" t="n"/>
      <c r="E34" s="31" t="n"/>
      <c r="F34" s="32" t="n"/>
      <c r="G34" s="20">
        <f>IF(B34="","",D34-E34)</f>
        <v/>
      </c>
      <c r="H34" s="33">
        <f>IF(B34="","",IF(G34&lt;=0,"Paid in full",IF(F34="","Balance due, no date set",IF(F34&lt;TODAY(),"Overdue by "&amp;TODAY()-F34&amp;IF(TODAY()-F34=1," day"," days"),IF(F34=TODAY(),"Due today",IF(F34-TODAY()&lt;=14,"Due in "&amp;F34-TODAY()&amp;IF(F34-TODAY()=1," day"," days"),"Next payment in "&amp;F34-TODAY()&amp;" days"))))))</f>
        <v/>
      </c>
      <c r="I34" s="1" t="n"/>
    </row>
    <row r="35">
      <c r="A35" s="1" t="n"/>
      <c r="B35" s="30" t="n"/>
      <c r="C35" s="30" t="n"/>
      <c r="D35" s="31" t="n"/>
      <c r="E35" s="31" t="n"/>
      <c r="F35" s="32" t="n"/>
      <c r="G35" s="20">
        <f>IF(B35="","",D35-E35)</f>
        <v/>
      </c>
      <c r="H35" s="33">
        <f>IF(B35="","",IF(G35&lt;=0,"Paid in full",IF(F35="","Balance due, no date set",IF(F35&lt;TODAY(),"Overdue by "&amp;TODAY()-F35&amp;IF(TODAY()-F35=1," day"," days"),IF(F35=TODAY(),"Due today",IF(F35-TODAY()&lt;=14,"Due in "&amp;F35-TODAY()&amp;IF(F35-TODAY()=1," day"," days"),"Next payment in "&amp;F35-TODAY()&amp;" days"))))))</f>
        <v/>
      </c>
      <c r="I35" s="1" t="n"/>
    </row>
    <row r="36">
      <c r="A36" s="1" t="n"/>
      <c r="B36" s="30" t="n"/>
      <c r="C36" s="30" t="n"/>
      <c r="D36" s="31" t="n"/>
      <c r="E36" s="31" t="n"/>
      <c r="F36" s="32" t="n"/>
      <c r="G36" s="20">
        <f>IF(B36="","",D36-E36)</f>
        <v/>
      </c>
      <c r="H36" s="33">
        <f>IF(B36="","",IF(G36&lt;=0,"Paid in full",IF(F36="","Balance due, no date set",IF(F36&lt;TODAY(),"Overdue by "&amp;TODAY()-F36&amp;IF(TODAY()-F36=1," day"," days"),IF(F36=TODAY(),"Due today",IF(F36-TODAY()&lt;=14,"Due in "&amp;F36-TODAY()&amp;IF(F36-TODAY()=1," day"," days"),"Next payment in "&amp;F36-TODAY()&amp;" days"))))))</f>
        <v/>
      </c>
      <c r="I36" s="1" t="n"/>
    </row>
    <row r="37">
      <c r="A37" s="1" t="n"/>
      <c r="B37" s="30" t="n"/>
      <c r="C37" s="30" t="n"/>
      <c r="D37" s="31" t="n"/>
      <c r="E37" s="31" t="n"/>
      <c r="F37" s="32" t="n"/>
      <c r="G37" s="20">
        <f>IF(B37="","",D37-E37)</f>
        <v/>
      </c>
      <c r="H37" s="33">
        <f>IF(B37="","",IF(G37&lt;=0,"Paid in full",IF(F37="","Balance due, no date set",IF(F37&lt;TODAY(),"Overdue by "&amp;TODAY()-F37&amp;IF(TODAY()-F37=1," day"," days"),IF(F37=TODAY(),"Due today",IF(F37-TODAY()&lt;=14,"Due in "&amp;F37-TODAY()&amp;IF(F37-TODAY()=1," day"," days"),"Next payment in "&amp;F37-TODAY()&amp;" days"))))))</f>
        <v/>
      </c>
      <c r="I37" s="1" t="n"/>
    </row>
    <row r="38">
      <c r="A38" s="1" t="n"/>
      <c r="B38" s="30" t="n"/>
      <c r="C38" s="30" t="n"/>
      <c r="D38" s="31" t="n"/>
      <c r="E38" s="31" t="n"/>
      <c r="F38" s="32" t="n"/>
      <c r="G38" s="20">
        <f>IF(B38="","",D38-E38)</f>
        <v/>
      </c>
      <c r="H38" s="33">
        <f>IF(B38="","",IF(G38&lt;=0,"Paid in full",IF(F38="","Balance due, no date set",IF(F38&lt;TODAY(),"Overdue by "&amp;TODAY()-F38&amp;IF(TODAY()-F38=1," day"," days"),IF(F38=TODAY(),"Due today",IF(F38-TODAY()&lt;=14,"Due in "&amp;F38-TODAY()&amp;IF(F38-TODAY()=1," day"," days"),"Next payment in "&amp;F38-TODAY()&amp;" days"))))))</f>
        <v/>
      </c>
      <c r="I38" s="1" t="n"/>
    </row>
    <row r="39">
      <c r="A39" s="1" t="n"/>
      <c r="B39" s="30" t="n"/>
      <c r="C39" s="30" t="n"/>
      <c r="D39" s="31" t="n"/>
      <c r="E39" s="31" t="n"/>
      <c r="F39" s="32" t="n"/>
      <c r="G39" s="20">
        <f>IF(B39="","",D39-E39)</f>
        <v/>
      </c>
      <c r="H39" s="33">
        <f>IF(B39="","",IF(G39&lt;=0,"Paid in full",IF(F39="","Balance due, no date set",IF(F39&lt;TODAY(),"Overdue by "&amp;TODAY()-F39&amp;IF(TODAY()-F39=1," day"," days"),IF(F39=TODAY(),"Due today",IF(F39-TODAY()&lt;=14,"Due in "&amp;F39-TODAY()&amp;IF(F39-TODAY()=1," day"," days"),"Next payment in "&amp;F39-TODAY()&amp;" days"))))))</f>
        <v/>
      </c>
      <c r="I39" s="1" t="n"/>
    </row>
    <row r="40">
      <c r="A40" s="1" t="n"/>
      <c r="B40" s="30" t="n"/>
      <c r="C40" s="30" t="n"/>
      <c r="D40" s="31" t="n"/>
      <c r="E40" s="31" t="n"/>
      <c r="F40" s="32" t="n"/>
      <c r="G40" s="20">
        <f>IF(B40="","",D40-E40)</f>
        <v/>
      </c>
      <c r="H40" s="33">
        <f>IF(B40="","",IF(G40&lt;=0,"Paid in full",IF(F40="","Balance due, no date set",IF(F40&lt;TODAY(),"Overdue by "&amp;TODAY()-F40&amp;IF(TODAY()-F40=1," day"," days"),IF(F40=TODAY(),"Due today",IF(F40-TODAY()&lt;=14,"Due in "&amp;F40-TODAY()&amp;IF(F40-TODAY()=1," day"," days"),"Next payment in "&amp;F40-TODAY()&amp;" days"))))))</f>
        <v/>
      </c>
      <c r="I40" s="1" t="n"/>
    </row>
    <row r="41">
      <c r="A41" s="1" t="n"/>
      <c r="B41" s="30" t="n"/>
      <c r="C41" s="30" t="n"/>
      <c r="D41" s="31" t="n"/>
      <c r="E41" s="31" t="n"/>
      <c r="F41" s="32" t="n"/>
      <c r="G41" s="20">
        <f>IF(B41="","",D41-E41)</f>
        <v/>
      </c>
      <c r="H41" s="33">
        <f>IF(B41="","",IF(G41&lt;=0,"Paid in full",IF(F41="","Balance due, no date set",IF(F41&lt;TODAY(),"Overdue by "&amp;TODAY()-F41&amp;IF(TODAY()-F41=1," day"," days"),IF(F41=TODAY(),"Due today",IF(F41-TODAY()&lt;=14,"Due in "&amp;F41-TODAY()&amp;IF(F41-TODAY()=1," day"," days"),"Next payment in "&amp;F41-TODAY()&amp;" days"))))))</f>
        <v/>
      </c>
      <c r="I41" s="1" t="n"/>
    </row>
    <row r="42">
      <c r="A42" s="1" t="n"/>
      <c r="B42" s="30" t="n"/>
      <c r="C42" s="30" t="n"/>
      <c r="D42" s="31" t="n"/>
      <c r="E42" s="31" t="n"/>
      <c r="F42" s="32" t="n"/>
      <c r="G42" s="20">
        <f>IF(B42="","",D42-E42)</f>
        <v/>
      </c>
      <c r="H42" s="33">
        <f>IF(B42="","",IF(G42&lt;=0,"Paid in full",IF(F42="","Balance due, no date set",IF(F42&lt;TODAY(),"Overdue by "&amp;TODAY()-F42&amp;IF(TODAY()-F42=1," day"," days"),IF(F42=TODAY(),"Due today",IF(F42-TODAY()&lt;=14,"Due in "&amp;F42-TODAY()&amp;IF(F42-TODAY()=1," day"," days"),"Next payment in "&amp;F42-TODAY()&amp;" days"))))))</f>
        <v/>
      </c>
      <c r="I42" s="1" t="n"/>
    </row>
    <row r="43">
      <c r="A43" s="1" t="n"/>
      <c r="B43" s="30" t="n"/>
      <c r="C43" s="30" t="n"/>
      <c r="D43" s="31" t="n"/>
      <c r="E43" s="31" t="n"/>
      <c r="F43" s="32" t="n"/>
      <c r="G43" s="20">
        <f>IF(B43="","",D43-E43)</f>
        <v/>
      </c>
      <c r="H43" s="33">
        <f>IF(B43="","",IF(G43&lt;=0,"Paid in full",IF(F43="","Balance due, no date set",IF(F43&lt;TODAY(),"Overdue by "&amp;TODAY()-F43&amp;IF(TODAY()-F43=1," day"," days"),IF(F43=TODAY(),"Due today",IF(F43-TODAY()&lt;=14,"Due in "&amp;F43-TODAY()&amp;IF(F43-TODAY()=1," day"," days"),"Next payment in "&amp;F43-TODAY()&amp;" days"))))))</f>
        <v/>
      </c>
      <c r="I43" s="1" t="n"/>
    </row>
    <row r="44">
      <c r="A44" s="1" t="n"/>
      <c r="B44" s="30" t="n"/>
      <c r="C44" s="30" t="n"/>
      <c r="D44" s="31" t="n"/>
      <c r="E44" s="31" t="n"/>
      <c r="F44" s="32" t="n"/>
      <c r="G44" s="20">
        <f>IF(B44="","",D44-E44)</f>
        <v/>
      </c>
      <c r="H44" s="33">
        <f>IF(B44="","",IF(G44&lt;=0,"Paid in full",IF(F44="","Balance due, no date set",IF(F44&lt;TODAY(),"Overdue by "&amp;TODAY()-F44&amp;IF(TODAY()-F44=1," day"," days"),IF(F44=TODAY(),"Due today",IF(F44-TODAY()&lt;=14,"Due in "&amp;F44-TODAY()&amp;IF(F44-TODAY()=1," day"," days"),"Next payment in "&amp;F44-TODAY()&amp;" days"))))))</f>
        <v/>
      </c>
      <c r="I44" s="1" t="n"/>
    </row>
    <row r="45">
      <c r="A45" s="1" t="n"/>
      <c r="B45" s="30" t="n"/>
      <c r="C45" s="30" t="n"/>
      <c r="D45" s="31" t="n"/>
      <c r="E45" s="31" t="n"/>
      <c r="F45" s="32" t="n"/>
      <c r="G45" s="20">
        <f>IF(B45="","",D45-E45)</f>
        <v/>
      </c>
      <c r="H45" s="33">
        <f>IF(B45="","",IF(G45&lt;=0,"Paid in full",IF(F45="","Balance due, no date set",IF(F45&lt;TODAY(),"Overdue by "&amp;TODAY()-F45&amp;IF(TODAY()-F45=1," day"," days"),IF(F45=TODAY(),"Due today",IF(F45-TODAY()&lt;=14,"Due in "&amp;F45-TODAY()&amp;IF(F45-TODAY()=1," day"," days"),"Next payment in "&amp;F45-TODAY()&amp;" days"))))))</f>
        <v/>
      </c>
      <c r="I45" s="1" t="n"/>
    </row>
    <row r="46">
      <c r="A46" s="1" t="n"/>
      <c r="B46" s="30" t="n"/>
      <c r="C46" s="30" t="n"/>
      <c r="D46" s="31" t="n"/>
      <c r="E46" s="31" t="n"/>
      <c r="F46" s="32" t="n"/>
      <c r="G46" s="20">
        <f>IF(B46="","",D46-E46)</f>
        <v/>
      </c>
      <c r="H46" s="33">
        <f>IF(B46="","",IF(G46&lt;=0,"Paid in full",IF(F46="","Balance due, no date set",IF(F46&lt;TODAY(),"Overdue by "&amp;TODAY()-F46&amp;IF(TODAY()-F46=1," day"," days"),IF(F46=TODAY(),"Due today",IF(F46-TODAY()&lt;=14,"Due in "&amp;F46-TODAY()&amp;IF(F46-TODAY()=1," day"," days"),"Next payment in "&amp;F46-TODAY()&amp;" days"))))))</f>
        <v/>
      </c>
      <c r="I46" s="1" t="n"/>
    </row>
    <row r="47">
      <c r="A47" s="1" t="n"/>
      <c r="B47" s="30" t="n"/>
      <c r="C47" s="30" t="n"/>
      <c r="D47" s="31" t="n"/>
      <c r="E47" s="31" t="n"/>
      <c r="F47" s="32" t="n"/>
      <c r="G47" s="20">
        <f>IF(B47="","",D47-E47)</f>
        <v/>
      </c>
      <c r="H47" s="33">
        <f>IF(B47="","",IF(G47&lt;=0,"Paid in full",IF(F47="","Balance due, no date set",IF(F47&lt;TODAY(),"Overdue by "&amp;TODAY()-F47&amp;IF(TODAY()-F47=1," day"," days"),IF(F47=TODAY(),"Due today",IF(F47-TODAY()&lt;=14,"Due in "&amp;F47-TODAY()&amp;IF(F47-TODAY()=1," day"," days"),"Next payment in "&amp;F47-TODAY()&amp;" days"))))))</f>
        <v/>
      </c>
      <c r="I47" s="1" t="n"/>
    </row>
    <row r="48">
      <c r="A48" s="1" t="n"/>
      <c r="B48" s="30" t="n"/>
      <c r="C48" s="30" t="n"/>
      <c r="D48" s="31" t="n"/>
      <c r="E48" s="31" t="n"/>
      <c r="F48" s="32" t="n"/>
      <c r="G48" s="20">
        <f>IF(B48="","",D48-E48)</f>
        <v/>
      </c>
      <c r="H48" s="33">
        <f>IF(B48="","",IF(G48&lt;=0,"Paid in full",IF(F48="","Balance due, no date set",IF(F48&lt;TODAY(),"Overdue by "&amp;TODAY()-F48&amp;IF(TODAY()-F48=1," day"," days"),IF(F48=TODAY(),"Due today",IF(F48-TODAY()&lt;=14,"Due in "&amp;F48-TODAY()&amp;IF(F48-TODAY()=1," day"," days"),"Next payment in "&amp;F48-TODAY()&amp;" days"))))))</f>
        <v/>
      </c>
      <c r="I48" s="1" t="n"/>
    </row>
    <row r="49">
      <c r="A49" s="1" t="n"/>
      <c r="B49" s="30" t="n"/>
      <c r="C49" s="30" t="n"/>
      <c r="D49" s="31" t="n"/>
      <c r="E49" s="31" t="n"/>
      <c r="F49" s="32" t="n"/>
      <c r="G49" s="20">
        <f>IF(B49="","",D49-E49)</f>
        <v/>
      </c>
      <c r="H49" s="33">
        <f>IF(B49="","",IF(G49&lt;=0,"Paid in full",IF(F49="","Balance due, no date set",IF(F49&lt;TODAY(),"Overdue by "&amp;TODAY()-F49&amp;IF(TODAY()-F49=1," day"," days"),IF(F49=TODAY(),"Due today",IF(F49-TODAY()&lt;=14,"Due in "&amp;F49-TODAY()&amp;IF(F49-TODAY()=1," day"," days"),"Next payment in "&amp;F49-TODAY()&amp;" days"))))))</f>
        <v/>
      </c>
      <c r="I49" s="1" t="n"/>
    </row>
    <row r="50">
      <c r="A50" s="1" t="n"/>
      <c r="B50" s="30" t="n"/>
      <c r="C50" s="30" t="n"/>
      <c r="D50" s="31" t="n"/>
      <c r="E50" s="31" t="n"/>
      <c r="F50" s="32" t="n"/>
      <c r="G50" s="20">
        <f>IF(B50="","",D50-E50)</f>
        <v/>
      </c>
      <c r="H50" s="33">
        <f>IF(B50="","",IF(G50&lt;=0,"Paid in full",IF(F50="","Balance due, no date set",IF(F50&lt;TODAY(),"Overdue by "&amp;TODAY()-F50&amp;IF(TODAY()-F50=1," day"," days"),IF(F50=TODAY(),"Due today",IF(F50-TODAY()&lt;=14,"Due in "&amp;F50-TODAY()&amp;IF(F50-TODAY()=1," day"," days"),"Next payment in "&amp;F50-TODAY()&amp;" days"))))))</f>
        <v/>
      </c>
      <c r="I50" s="1" t="n"/>
    </row>
    <row r="51">
      <c r="A51" s="1" t="n"/>
      <c r="B51" s="30" t="n"/>
      <c r="C51" s="30" t="n"/>
      <c r="D51" s="31" t="n"/>
      <c r="E51" s="31" t="n"/>
      <c r="F51" s="32" t="n"/>
      <c r="G51" s="20">
        <f>IF(B51="","",D51-E51)</f>
        <v/>
      </c>
      <c r="H51" s="33">
        <f>IF(B51="","",IF(G51&lt;=0,"Paid in full",IF(F51="","Balance due, no date set",IF(F51&lt;TODAY(),"Overdue by "&amp;TODAY()-F51&amp;IF(TODAY()-F51=1," day"," days"),IF(F51=TODAY(),"Due today",IF(F51-TODAY()&lt;=14,"Due in "&amp;F51-TODAY()&amp;IF(F51-TODAY()=1," day"," days"),"Next payment in "&amp;F51-TODAY()&amp;" days"))))))</f>
        <v/>
      </c>
      <c r="I51" s="1" t="n"/>
    </row>
    <row r="52">
      <c r="A52" s="1" t="n"/>
      <c r="B52" s="30" t="n"/>
      <c r="C52" s="30" t="n"/>
      <c r="D52" s="31" t="n"/>
      <c r="E52" s="31" t="n"/>
      <c r="F52" s="32" t="n"/>
      <c r="G52" s="20">
        <f>IF(B52="","",D52-E52)</f>
        <v/>
      </c>
      <c r="H52" s="33">
        <f>IF(B52="","",IF(G52&lt;=0,"Paid in full",IF(F52="","Balance due, no date set",IF(F52&lt;TODAY(),"Overdue by "&amp;TODAY()-F52&amp;IF(TODAY()-F52=1," day"," days"),IF(F52=TODAY(),"Due today",IF(F52-TODAY()&lt;=14,"Due in "&amp;F52-TODAY()&amp;IF(F52-TODAY()=1," day"," days"),"Next payment in "&amp;F52-TODAY()&amp;" days"))))))</f>
        <v/>
      </c>
      <c r="I52" s="1" t="n"/>
    </row>
    <row r="53">
      <c r="A53" s="1" t="n"/>
      <c r="B53" s="30" t="n"/>
      <c r="C53" s="30" t="n"/>
      <c r="D53" s="31" t="n"/>
      <c r="E53" s="31" t="n"/>
      <c r="F53" s="32" t="n"/>
      <c r="G53" s="20">
        <f>IF(B53="","",D53-E53)</f>
        <v/>
      </c>
      <c r="H53" s="33">
        <f>IF(B53="","",IF(G53&lt;=0,"Paid in full",IF(F53="","Balance due, no date set",IF(F53&lt;TODAY(),"Overdue by "&amp;TODAY()-F53&amp;IF(TODAY()-F53=1," day"," days"),IF(F53=TODAY(),"Due today",IF(F53-TODAY()&lt;=14,"Due in "&amp;F53-TODAY()&amp;IF(F53-TODAY()=1," day"," days"),"Next payment in "&amp;F53-TODAY()&amp;" days"))))))</f>
        <v/>
      </c>
      <c r="I53" s="1" t="n"/>
    </row>
    <row r="54">
      <c r="A54" s="1" t="n"/>
      <c r="B54" s="30" t="n"/>
      <c r="C54" s="30" t="n"/>
      <c r="D54" s="31" t="n"/>
      <c r="E54" s="31" t="n"/>
      <c r="F54" s="32" t="n"/>
      <c r="G54" s="20">
        <f>IF(B54="","",D54-E54)</f>
        <v/>
      </c>
      <c r="H54" s="33">
        <f>IF(B54="","",IF(G54&lt;=0,"Paid in full",IF(F54="","Balance due, no date set",IF(F54&lt;TODAY(),"Overdue by "&amp;TODAY()-F54&amp;IF(TODAY()-F54=1," day"," days"),IF(F54=TODAY(),"Due today",IF(F54-TODAY()&lt;=14,"Due in "&amp;F54-TODAY()&amp;IF(F54-TODAY()=1," day"," days"),"Next payment in "&amp;F54-TODAY()&amp;" days"))))))</f>
        <v/>
      </c>
      <c r="I54" s="1" t="n"/>
    </row>
    <row r="55">
      <c r="A55" s="1" t="n"/>
      <c r="B55" s="30" t="n"/>
      <c r="C55" s="30" t="n"/>
      <c r="D55" s="31" t="n"/>
      <c r="E55" s="31" t="n"/>
      <c r="F55" s="32" t="n"/>
      <c r="G55" s="20">
        <f>IF(B55="","",D55-E55)</f>
        <v/>
      </c>
      <c r="H55" s="33">
        <f>IF(B55="","",IF(G55&lt;=0,"Paid in full",IF(F55="","Balance due, no date set",IF(F55&lt;TODAY(),"Overdue by "&amp;TODAY()-F55&amp;IF(TODAY()-F55=1," day"," days"),IF(F55=TODAY(),"Due today",IF(F55-TODAY()&lt;=14,"Due in "&amp;F55-TODAY()&amp;IF(F55-TODAY()=1," day"," days"),"Next payment in "&amp;F55-TODAY()&amp;" days"))))))</f>
        <v/>
      </c>
      <c r="I55" s="1" t="n"/>
    </row>
    <row r="56">
      <c r="A56" s="1" t="n"/>
      <c r="B56" s="30" t="n"/>
      <c r="C56" s="30" t="n"/>
      <c r="D56" s="31" t="n"/>
      <c r="E56" s="31" t="n"/>
      <c r="F56" s="32" t="n"/>
      <c r="G56" s="20">
        <f>IF(B56="","",D56-E56)</f>
        <v/>
      </c>
      <c r="H56" s="33">
        <f>IF(B56="","",IF(G56&lt;=0,"Paid in full",IF(F56="","Balance due, no date set",IF(F56&lt;TODAY(),"Overdue by "&amp;TODAY()-F56&amp;IF(TODAY()-F56=1," day"," days"),IF(F56=TODAY(),"Due today",IF(F56-TODAY()&lt;=14,"Due in "&amp;F56-TODAY()&amp;IF(F56-TODAY()=1," day"," days"),"Next payment in "&amp;F56-TODAY()&amp;" days"))))))</f>
        <v/>
      </c>
      <c r="I56" s="1" t="n"/>
    </row>
    <row r="57">
      <c r="A57" s="1" t="n"/>
      <c r="B57" s="30" t="n"/>
      <c r="C57" s="30" t="n"/>
      <c r="D57" s="31" t="n"/>
      <c r="E57" s="31" t="n"/>
      <c r="F57" s="32" t="n"/>
      <c r="G57" s="20">
        <f>IF(B57="","",D57-E57)</f>
        <v/>
      </c>
      <c r="H57" s="33">
        <f>IF(B57="","",IF(G57&lt;=0,"Paid in full",IF(F57="","Balance due, no date set",IF(F57&lt;TODAY(),"Overdue by "&amp;TODAY()-F57&amp;IF(TODAY()-F57=1," day"," days"),IF(F57=TODAY(),"Due today",IF(F57-TODAY()&lt;=14,"Due in "&amp;F57-TODAY()&amp;IF(F57-TODAY()=1," day"," days"),"Next payment in "&amp;F57-TODAY()&amp;" days"))))))</f>
        <v/>
      </c>
      <c r="I57" s="1" t="n"/>
    </row>
    <row r="58">
      <c r="A58" s="1" t="n"/>
      <c r="B58" s="30" t="n"/>
      <c r="C58" s="30" t="n"/>
      <c r="D58" s="31" t="n"/>
      <c r="E58" s="31" t="n"/>
      <c r="F58" s="32" t="n"/>
      <c r="G58" s="20">
        <f>IF(B58="","",D58-E58)</f>
        <v/>
      </c>
      <c r="H58" s="33">
        <f>IF(B58="","",IF(G58&lt;=0,"Paid in full",IF(F58="","Balance due, no date set",IF(F58&lt;TODAY(),"Overdue by "&amp;TODAY()-F58&amp;IF(TODAY()-F58=1," day"," days"),IF(F58=TODAY(),"Due today",IF(F58-TODAY()&lt;=14,"Due in "&amp;F58-TODAY()&amp;IF(F58-TODAY()=1," day"," days"),"Next payment in "&amp;F58-TODAY()&amp;" days"))))))</f>
        <v/>
      </c>
      <c r="I58" s="1" t="n"/>
    </row>
    <row r="59">
      <c r="A59" s="1" t="n"/>
      <c r="B59" s="30" t="n"/>
      <c r="C59" s="30" t="n"/>
      <c r="D59" s="31" t="n"/>
      <c r="E59" s="31" t="n"/>
      <c r="F59" s="32" t="n"/>
      <c r="G59" s="20">
        <f>IF(B59="","",D59-E59)</f>
        <v/>
      </c>
      <c r="H59" s="33">
        <f>IF(B59="","",IF(G59&lt;=0,"Paid in full",IF(F59="","Balance due, no date set",IF(F59&lt;TODAY(),"Overdue by "&amp;TODAY()-F59&amp;IF(TODAY()-F59=1," day"," days"),IF(F59=TODAY(),"Due today",IF(F59-TODAY()&lt;=14,"Due in "&amp;F59-TODAY()&amp;IF(F59-TODAY()=1," day"," days"),"Next payment in "&amp;F59-TODAY()&amp;" days"))))))</f>
        <v/>
      </c>
      <c r="I59" s="1" t="n"/>
    </row>
    <row r="60">
      <c r="A60" s="1" t="n"/>
      <c r="B60" s="30" t="n"/>
      <c r="C60" s="30" t="n"/>
      <c r="D60" s="31" t="n"/>
      <c r="E60" s="31" t="n"/>
      <c r="F60" s="32" t="n"/>
      <c r="G60" s="20">
        <f>IF(B60="","",D60-E60)</f>
        <v/>
      </c>
      <c r="H60" s="33">
        <f>IF(B60="","",IF(G60&lt;=0,"Paid in full",IF(F60="","Balance due, no date set",IF(F60&lt;TODAY(),"Overdue by "&amp;TODAY()-F60&amp;IF(TODAY()-F60=1," day"," days"),IF(F60=TODAY(),"Due today",IF(F60-TODAY()&lt;=14,"Due in "&amp;F60-TODAY()&amp;IF(F60-TODAY()=1," day"," days"),"Next payment in "&amp;F60-TODAY()&amp;" days"))))))</f>
        <v/>
      </c>
      <c r="I60" s="1" t="n"/>
    </row>
    <row r="61">
      <c r="A61" s="1" t="n"/>
      <c r="B61" s="30" t="n"/>
      <c r="C61" s="30" t="n"/>
      <c r="D61" s="31" t="n"/>
      <c r="E61" s="31" t="n"/>
      <c r="F61" s="32" t="n"/>
      <c r="G61" s="20">
        <f>IF(B61="","",D61-E61)</f>
        <v/>
      </c>
      <c r="H61" s="33">
        <f>IF(B61="","",IF(G61&lt;=0,"Paid in full",IF(F61="","Balance due, no date set",IF(F61&lt;TODAY(),"Overdue by "&amp;TODAY()-F61&amp;IF(TODAY()-F61=1," day"," days"),IF(F61=TODAY(),"Due today",IF(F61-TODAY()&lt;=14,"Due in "&amp;F61-TODAY()&amp;IF(F61-TODAY()=1," day"," days"),"Next payment in "&amp;F61-TODAY()&amp;" days"))))))</f>
        <v/>
      </c>
      <c r="I61" s="1" t="n"/>
    </row>
    <row r="62">
      <c r="A62" s="1" t="n"/>
      <c r="B62" s="30" t="n"/>
      <c r="C62" s="30" t="n"/>
      <c r="D62" s="31" t="n"/>
      <c r="E62" s="31" t="n"/>
      <c r="F62" s="32" t="n"/>
      <c r="G62" s="20">
        <f>IF(B62="","",D62-E62)</f>
        <v/>
      </c>
      <c r="H62" s="33">
        <f>IF(B62="","",IF(G62&lt;=0,"Paid in full",IF(F62="","Balance due, no date set",IF(F62&lt;TODAY(),"Overdue by "&amp;TODAY()-F62&amp;IF(TODAY()-F62=1," day"," days"),IF(F62=TODAY(),"Due today",IF(F62-TODAY()&lt;=14,"Due in "&amp;F62-TODAY()&amp;IF(F62-TODAY()=1," day"," days"),"Next payment in "&amp;F62-TODAY()&amp;" days"))))))</f>
        <v/>
      </c>
      <c r="I62" s="1" t="n"/>
    </row>
    <row r="63">
      <c r="A63" s="1" t="n"/>
      <c r="B63" s="30" t="n"/>
      <c r="C63" s="30" t="n"/>
      <c r="D63" s="31" t="n"/>
      <c r="E63" s="31" t="n"/>
      <c r="F63" s="32" t="n"/>
      <c r="G63" s="20">
        <f>IF(B63="","",D63-E63)</f>
        <v/>
      </c>
      <c r="H63" s="33">
        <f>IF(B63="","",IF(G63&lt;=0,"Paid in full",IF(F63="","Balance due, no date set",IF(F63&lt;TODAY(),"Overdue by "&amp;TODAY()-F63&amp;IF(TODAY()-F63=1," day"," days"),IF(F63=TODAY(),"Due today",IF(F63-TODAY()&lt;=14,"Due in "&amp;F63-TODAY()&amp;IF(F63-TODAY()=1," day"," days"),"Next payment in "&amp;F63-TODAY()&amp;" days"))))))</f>
        <v/>
      </c>
      <c r="I63" s="1" t="n"/>
    </row>
    <row r="64">
      <c r="A64" s="1" t="n"/>
      <c r="B64" s="30" t="n"/>
      <c r="C64" s="30" t="n"/>
      <c r="D64" s="31" t="n"/>
      <c r="E64" s="31" t="n"/>
      <c r="F64" s="32" t="n"/>
      <c r="G64" s="20">
        <f>IF(B64="","",D64-E64)</f>
        <v/>
      </c>
      <c r="H64" s="33">
        <f>IF(B64="","",IF(G64&lt;=0,"Paid in full",IF(F64="","Balance due, no date set",IF(F64&lt;TODAY(),"Overdue by "&amp;TODAY()-F64&amp;IF(TODAY()-F64=1," day"," days"),IF(F64=TODAY(),"Due today",IF(F64-TODAY()&lt;=14,"Due in "&amp;F64-TODAY()&amp;IF(F64-TODAY()=1," day"," days"),"Next payment in "&amp;F64-TODAY()&amp;" days"))))))</f>
        <v/>
      </c>
      <c r="I64" s="1" t="n"/>
    </row>
    <row r="65">
      <c r="A65" s="1" t="n"/>
      <c r="B65" s="30" t="n"/>
      <c r="C65" s="30" t="n"/>
      <c r="D65" s="31" t="n"/>
      <c r="E65" s="31" t="n"/>
      <c r="F65" s="32" t="n"/>
      <c r="G65" s="20">
        <f>IF(B65="","",D65-E65)</f>
        <v/>
      </c>
      <c r="H65" s="33">
        <f>IF(B65="","",IF(G65&lt;=0,"Paid in full",IF(F65="","Balance due, no date set",IF(F65&lt;TODAY(),"Overdue by "&amp;TODAY()-F65&amp;IF(TODAY()-F65=1," day"," days"),IF(F65=TODAY(),"Due today",IF(F65-TODAY()&lt;=14,"Due in "&amp;F65-TODAY()&amp;IF(F65-TODAY()=1," day"," days"),"Next payment in "&amp;F65-TODAY()&amp;" days"))))))</f>
        <v/>
      </c>
      <c r="I65" s="1" t="n"/>
    </row>
    <row r="66">
      <c r="A66" s="1" t="n"/>
      <c r="B66" s="30" t="n"/>
      <c r="C66" s="30" t="n"/>
      <c r="D66" s="31" t="n"/>
      <c r="E66" s="31" t="n"/>
      <c r="F66" s="32" t="n"/>
      <c r="G66" s="20">
        <f>IF(B66="","",D66-E66)</f>
        <v/>
      </c>
      <c r="H66" s="33">
        <f>IF(B66="","",IF(G66&lt;=0,"Paid in full",IF(F66="","Balance due, no date set",IF(F66&lt;TODAY(),"Overdue by "&amp;TODAY()-F66&amp;IF(TODAY()-F66=1," day"," days"),IF(F66=TODAY(),"Due today",IF(F66-TODAY()&lt;=14,"Due in "&amp;F66-TODAY()&amp;IF(F66-TODAY()=1," day"," days"),"Next payment in "&amp;F66-TODAY()&amp;" days"))))))</f>
        <v/>
      </c>
      <c r="I66" s="1" t="n"/>
    </row>
    <row r="67">
      <c r="A67" s="1" t="n"/>
      <c r="B67" s="30" t="n"/>
      <c r="C67" s="30" t="n"/>
      <c r="D67" s="31" t="n"/>
      <c r="E67" s="31" t="n"/>
      <c r="F67" s="32" t="n"/>
      <c r="G67" s="20">
        <f>IF(B67="","",D67-E67)</f>
        <v/>
      </c>
      <c r="H67" s="33">
        <f>IF(B67="","",IF(G67&lt;=0,"Paid in full",IF(F67="","Balance due, no date set",IF(F67&lt;TODAY(),"Overdue by "&amp;TODAY()-F67&amp;IF(TODAY()-F67=1," day"," days"),IF(F67=TODAY(),"Due today",IF(F67-TODAY()&lt;=14,"Due in "&amp;F67-TODAY()&amp;IF(F67-TODAY()=1," day"," days"),"Next payment in "&amp;F67-TODAY()&amp;" days"))))))</f>
        <v/>
      </c>
      <c r="I67" s="1" t="n"/>
    </row>
    <row r="68">
      <c r="A68" s="1" t="n"/>
      <c r="B68" s="30" t="n"/>
      <c r="C68" s="30" t="n"/>
      <c r="D68" s="31" t="n"/>
      <c r="E68" s="31" t="n"/>
      <c r="F68" s="32" t="n"/>
      <c r="G68" s="20">
        <f>IF(B68="","",D68-E68)</f>
        <v/>
      </c>
      <c r="H68" s="33">
        <f>IF(B68="","",IF(G68&lt;=0,"Paid in full",IF(F68="","Balance due, no date set",IF(F68&lt;TODAY(),"Overdue by "&amp;TODAY()-F68&amp;IF(TODAY()-F68=1," day"," days"),IF(F68=TODAY(),"Due today",IF(F68-TODAY()&lt;=14,"Due in "&amp;F68-TODAY()&amp;IF(F68-TODAY()=1," day"," days"),"Next payment in "&amp;F68-TODAY()&amp;" days"))))))</f>
        <v/>
      </c>
      <c r="I68" s="1" t="n"/>
    </row>
    <row r="69">
      <c r="A69" s="1" t="n"/>
      <c r="B69" s="30" t="n"/>
      <c r="C69" s="30" t="n"/>
      <c r="D69" s="31" t="n"/>
      <c r="E69" s="31" t="n"/>
      <c r="F69" s="32" t="n"/>
      <c r="G69" s="20">
        <f>IF(B69="","",D69-E69)</f>
        <v/>
      </c>
      <c r="H69" s="33">
        <f>IF(B69="","",IF(G69&lt;=0,"Paid in full",IF(F69="","Balance due, no date set",IF(F69&lt;TODAY(),"Overdue by "&amp;TODAY()-F69&amp;IF(TODAY()-F69=1," day"," days"),IF(F69=TODAY(),"Due today",IF(F69-TODAY()&lt;=14,"Due in "&amp;F69-TODAY()&amp;IF(F69-TODAY()=1," day"," days"),"Next payment in "&amp;F69-TODAY()&amp;" days"))))))</f>
        <v/>
      </c>
      <c r="I69" s="1" t="n"/>
    </row>
    <row r="70">
      <c r="A70" s="1" t="n"/>
      <c r="B70" s="30" t="n"/>
      <c r="C70" s="30" t="n"/>
      <c r="D70" s="31" t="n"/>
      <c r="E70" s="31" t="n"/>
      <c r="F70" s="32" t="n"/>
      <c r="G70" s="20">
        <f>IF(B70="","",D70-E70)</f>
        <v/>
      </c>
      <c r="H70" s="33">
        <f>IF(B70="","",IF(G70&lt;=0,"Paid in full",IF(F70="","Balance due, no date set",IF(F70&lt;TODAY(),"Overdue by "&amp;TODAY()-F70&amp;IF(TODAY()-F70=1," day"," days"),IF(F70=TODAY(),"Due today",IF(F70-TODAY()&lt;=14,"Due in "&amp;F70-TODAY()&amp;IF(F70-TODAY()=1," day"," days"),"Next payment in "&amp;F70-TODAY()&amp;" days"))))))</f>
        <v/>
      </c>
      <c r="I70" s="1" t="n"/>
    </row>
    <row r="71">
      <c r="A71" s="1" t="n"/>
      <c r="B71" s="30" t="n"/>
      <c r="C71" s="30" t="n"/>
      <c r="D71" s="31" t="n"/>
      <c r="E71" s="31" t="n"/>
      <c r="F71" s="32" t="n"/>
      <c r="G71" s="20">
        <f>IF(B71="","",D71-E71)</f>
        <v/>
      </c>
      <c r="H71" s="33">
        <f>IF(B71="","",IF(G71&lt;=0,"Paid in full",IF(F71="","Balance due, no date set",IF(F71&lt;TODAY(),"Overdue by "&amp;TODAY()-F71&amp;IF(TODAY()-F71=1," day"," days"),IF(F71=TODAY(),"Due today",IF(F71-TODAY()&lt;=14,"Due in "&amp;F71-TODAY()&amp;IF(F71-TODAY()=1," day"," days"),"Next payment in "&amp;F71-TODAY()&amp;" days"))))))</f>
        <v/>
      </c>
      <c r="I71" s="1" t="n"/>
    </row>
    <row r="72">
      <c r="A72" s="1" t="n"/>
      <c r="B72" s="30" t="n"/>
      <c r="C72" s="30" t="n"/>
      <c r="D72" s="31" t="n"/>
      <c r="E72" s="31" t="n"/>
      <c r="F72" s="32" t="n"/>
      <c r="G72" s="20">
        <f>IF(B72="","",D72-E72)</f>
        <v/>
      </c>
      <c r="H72" s="33">
        <f>IF(B72="","",IF(G72&lt;=0,"Paid in full",IF(F72="","Balance due, no date set",IF(F72&lt;TODAY(),"Overdue by "&amp;TODAY()-F72&amp;IF(TODAY()-F72=1," day"," days"),IF(F72=TODAY(),"Due today",IF(F72-TODAY()&lt;=14,"Due in "&amp;F72-TODAY()&amp;IF(F72-TODAY()=1," day"," days"),"Next payment in "&amp;F72-TODAY()&amp;" days"))))))</f>
        <v/>
      </c>
      <c r="I72" s="1" t="n"/>
    </row>
    <row r="73">
      <c r="A73" s="1" t="n"/>
      <c r="B73" s="30" t="n"/>
      <c r="C73" s="30" t="n"/>
      <c r="D73" s="31" t="n"/>
      <c r="E73" s="31" t="n"/>
      <c r="F73" s="32" t="n"/>
      <c r="G73" s="20">
        <f>IF(B73="","",D73-E73)</f>
        <v/>
      </c>
      <c r="H73" s="33">
        <f>IF(B73="","",IF(G73&lt;=0,"Paid in full",IF(F73="","Balance due, no date set",IF(F73&lt;TODAY(),"Overdue by "&amp;TODAY()-F73&amp;IF(TODAY()-F73=1," day"," days"),IF(F73=TODAY(),"Due today",IF(F73-TODAY()&lt;=14,"Due in "&amp;F73-TODAY()&amp;IF(F73-TODAY()=1," day"," days"),"Next payment in "&amp;F73-TODAY()&amp;" days"))))))</f>
        <v/>
      </c>
      <c r="I73" s="1" t="n"/>
    </row>
    <row r="74">
      <c r="A74" s="1" t="n"/>
      <c r="B74" s="30" t="n"/>
      <c r="C74" s="30" t="n"/>
      <c r="D74" s="31" t="n"/>
      <c r="E74" s="31" t="n"/>
      <c r="F74" s="32" t="n"/>
      <c r="G74" s="20">
        <f>IF(B74="","",D74-E74)</f>
        <v/>
      </c>
      <c r="H74" s="33">
        <f>IF(B74="","",IF(G74&lt;=0,"Paid in full",IF(F74="","Balance due, no date set",IF(F74&lt;TODAY(),"Overdue by "&amp;TODAY()-F74&amp;IF(TODAY()-F74=1," day"," days"),IF(F74=TODAY(),"Due today",IF(F74-TODAY()&lt;=14,"Due in "&amp;F74-TODAY()&amp;IF(F74-TODAY()=1," day"," days"),"Next payment in "&amp;F74-TODAY()&amp;" days"))))))</f>
        <v/>
      </c>
      <c r="I74" s="1" t="n"/>
    </row>
    <row r="75">
      <c r="A75" s="1" t="n"/>
      <c r="B75" s="30" t="n"/>
      <c r="C75" s="30" t="n"/>
      <c r="D75" s="31" t="n"/>
      <c r="E75" s="31" t="n"/>
      <c r="F75" s="32" t="n"/>
      <c r="G75" s="20">
        <f>IF(B75="","",D75-E75)</f>
        <v/>
      </c>
      <c r="H75" s="33">
        <f>IF(B75="","",IF(G75&lt;=0,"Paid in full",IF(F75="","Balance due, no date set",IF(F75&lt;TODAY(),"Overdue by "&amp;TODAY()-F75&amp;IF(TODAY()-F75=1," day"," days"),IF(F75=TODAY(),"Due today",IF(F75-TODAY()&lt;=14,"Due in "&amp;F75-TODAY()&amp;IF(F75-TODAY()=1," day"," days"),"Next payment in "&amp;F75-TODAY()&amp;" days"))))))</f>
        <v/>
      </c>
      <c r="I75" s="1" t="n"/>
    </row>
    <row r="76">
      <c r="A76" s="1" t="n"/>
      <c r="B76" s="30" t="n"/>
      <c r="C76" s="30" t="n"/>
      <c r="D76" s="31" t="n"/>
      <c r="E76" s="31" t="n"/>
      <c r="F76" s="32" t="n"/>
      <c r="G76" s="20">
        <f>IF(B76="","",D76-E76)</f>
        <v/>
      </c>
      <c r="H76" s="33">
        <f>IF(B76="","",IF(G76&lt;=0,"Paid in full",IF(F76="","Balance due, no date set",IF(F76&lt;TODAY(),"Overdue by "&amp;TODAY()-F76&amp;IF(TODAY()-F76=1," day"," days"),IF(F76=TODAY(),"Due today",IF(F76-TODAY()&lt;=14,"Due in "&amp;F76-TODAY()&amp;IF(F76-TODAY()=1," day"," days"),"Next payment in "&amp;F76-TODAY()&amp;" days"))))))</f>
        <v/>
      </c>
      <c r="I76" s="1" t="n"/>
    </row>
    <row r="77">
      <c r="A77" s="1" t="n"/>
      <c r="B77" s="30" t="n"/>
      <c r="C77" s="30" t="n"/>
      <c r="D77" s="31" t="n"/>
      <c r="E77" s="31" t="n"/>
      <c r="F77" s="32" t="n"/>
      <c r="G77" s="20">
        <f>IF(B77="","",D77-E77)</f>
        <v/>
      </c>
      <c r="H77" s="33">
        <f>IF(B77="","",IF(G77&lt;=0,"Paid in full",IF(F77="","Balance due, no date set",IF(F77&lt;TODAY(),"Overdue by "&amp;TODAY()-F77&amp;IF(TODAY()-F77=1," day"," days"),IF(F77=TODAY(),"Due today",IF(F77-TODAY()&lt;=14,"Due in "&amp;F77-TODAY()&amp;IF(F77-TODAY()=1," day"," days"),"Next payment in "&amp;F77-TODAY()&amp;" days"))))))</f>
        <v/>
      </c>
      <c r="I77" s="1" t="n"/>
    </row>
    <row r="78">
      <c r="A78" s="1" t="n"/>
      <c r="B78" s="30" t="n"/>
      <c r="C78" s="30" t="n"/>
      <c r="D78" s="31" t="n"/>
      <c r="E78" s="31" t="n"/>
      <c r="F78" s="32" t="n"/>
      <c r="G78" s="20">
        <f>IF(B78="","",D78-E78)</f>
        <v/>
      </c>
      <c r="H78" s="33">
        <f>IF(B78="","",IF(G78&lt;=0,"Paid in full",IF(F78="","Balance due, no date set",IF(F78&lt;TODAY(),"Overdue by "&amp;TODAY()-F78&amp;IF(TODAY()-F78=1," day"," days"),IF(F78=TODAY(),"Due today",IF(F78-TODAY()&lt;=14,"Due in "&amp;F78-TODAY()&amp;IF(F78-TODAY()=1," day"," days"),"Next payment in "&amp;F78-TODAY()&amp;" days"))))))</f>
        <v/>
      </c>
      <c r="I78" s="1" t="n"/>
    </row>
    <row r="79">
      <c r="A79" s="1" t="n"/>
      <c r="B79" s="30" t="n"/>
      <c r="C79" s="30" t="n"/>
      <c r="D79" s="31" t="n"/>
      <c r="E79" s="31" t="n"/>
      <c r="F79" s="32" t="n"/>
      <c r="G79" s="20">
        <f>IF(B79="","",D79-E79)</f>
        <v/>
      </c>
      <c r="H79" s="33">
        <f>IF(B79="","",IF(G79&lt;=0,"Paid in full",IF(F79="","Balance due, no date set",IF(F79&lt;TODAY(),"Overdue by "&amp;TODAY()-F79&amp;IF(TODAY()-F79=1," day"," days"),IF(F79=TODAY(),"Due today",IF(F79-TODAY()&lt;=14,"Due in "&amp;F79-TODAY()&amp;IF(F79-TODAY()=1," day"," days"),"Next payment in "&amp;F79-TODAY()&amp;" days"))))))</f>
        <v/>
      </c>
      <c r="I79" s="1" t="n"/>
    </row>
    <row r="80">
      <c r="A80" s="1" t="n"/>
      <c r="B80" s="30" t="n"/>
      <c r="C80" s="30" t="n"/>
      <c r="D80" s="31" t="n"/>
      <c r="E80" s="31" t="n"/>
      <c r="F80" s="32" t="n"/>
      <c r="G80" s="20">
        <f>IF(B80="","",D80-E80)</f>
        <v/>
      </c>
      <c r="H80" s="33">
        <f>IF(B80="","",IF(G80&lt;=0,"Paid in full",IF(F80="","Balance due, no date set",IF(F80&lt;TODAY(),"Overdue by "&amp;TODAY()-F80&amp;IF(TODAY()-F80=1," day"," days"),IF(F80=TODAY(),"Due today",IF(F80-TODAY()&lt;=14,"Due in "&amp;F80-TODAY()&amp;IF(F80-TODAY()=1," day"," days"),"Next payment in "&amp;F80-TODAY()&amp;" days"))))))</f>
        <v/>
      </c>
      <c r="I80" s="1" t="n"/>
    </row>
    <row r="81">
      <c r="A81" s="1" t="n"/>
      <c r="B81" s="30" t="n"/>
      <c r="C81" s="30" t="n"/>
      <c r="D81" s="31" t="n"/>
      <c r="E81" s="31" t="n"/>
      <c r="F81" s="32" t="n"/>
      <c r="G81" s="20">
        <f>IF(B81="","",D81-E81)</f>
        <v/>
      </c>
      <c r="H81" s="33">
        <f>IF(B81="","",IF(G81&lt;=0,"Paid in full",IF(F81="","Balance due, no date set",IF(F81&lt;TODAY(),"Overdue by "&amp;TODAY()-F81&amp;IF(TODAY()-F81=1," day"," days"),IF(F81=TODAY(),"Due today",IF(F81-TODAY()&lt;=14,"Due in "&amp;F81-TODAY()&amp;IF(F81-TODAY()=1," day"," days"),"Next payment in "&amp;F81-TODAY()&amp;" days"))))))</f>
        <v/>
      </c>
      <c r="I81" s="1" t="n"/>
    </row>
    <row r="82">
      <c r="A82" s="1" t="n"/>
      <c r="B82" s="30" t="n"/>
      <c r="C82" s="30" t="n"/>
      <c r="D82" s="31" t="n"/>
      <c r="E82" s="31" t="n"/>
      <c r="F82" s="32" t="n"/>
      <c r="G82" s="20">
        <f>IF(B82="","",D82-E82)</f>
        <v/>
      </c>
      <c r="H82" s="33">
        <f>IF(B82="","",IF(G82&lt;=0,"Paid in full",IF(F82="","Balance due, no date set",IF(F82&lt;TODAY(),"Overdue by "&amp;TODAY()-F82&amp;IF(TODAY()-F82=1," day"," days"),IF(F82=TODAY(),"Due today",IF(F82-TODAY()&lt;=14,"Due in "&amp;F82-TODAY()&amp;IF(F82-TODAY()=1," day"," days"),"Next payment in "&amp;F82-TODAY()&amp;" days"))))))</f>
        <v/>
      </c>
      <c r="I82" s="1" t="n"/>
    </row>
    <row r="83">
      <c r="A83" s="1" t="n"/>
      <c r="B83" s="30" t="n"/>
      <c r="C83" s="30" t="n"/>
      <c r="D83" s="31" t="n"/>
      <c r="E83" s="31" t="n"/>
      <c r="F83" s="32" t="n"/>
      <c r="G83" s="20">
        <f>IF(B83="","",D83-E83)</f>
        <v/>
      </c>
      <c r="H83" s="33">
        <f>IF(B83="","",IF(G83&lt;=0,"Paid in full",IF(F83="","Balance due, no date set",IF(F83&lt;TODAY(),"Overdue by "&amp;TODAY()-F83&amp;IF(TODAY()-F83=1," day"," days"),IF(F83=TODAY(),"Due today",IF(F83-TODAY()&lt;=14,"Due in "&amp;F83-TODAY()&amp;IF(F83-TODAY()=1," day"," days"),"Next payment in "&amp;F83-TODAY()&amp;" days"))))))</f>
        <v/>
      </c>
      <c r="I83" s="1" t="n"/>
    </row>
    <row r="84">
      <c r="A84" s="1" t="n"/>
      <c r="B84" s="30" t="n"/>
      <c r="C84" s="30" t="n"/>
      <c r="D84" s="31" t="n"/>
      <c r="E84" s="31" t="n"/>
      <c r="F84" s="32" t="n"/>
      <c r="G84" s="20">
        <f>IF(B84="","",D84-E84)</f>
        <v/>
      </c>
      <c r="H84" s="33">
        <f>IF(B84="","",IF(G84&lt;=0,"Paid in full",IF(F84="","Balance due, no date set",IF(F84&lt;TODAY(),"Overdue by "&amp;TODAY()-F84&amp;IF(TODAY()-F84=1," day"," days"),IF(F84=TODAY(),"Due today",IF(F84-TODAY()&lt;=14,"Due in "&amp;F84-TODAY()&amp;IF(F84-TODAY()=1," day"," days"),"Next payment in "&amp;F84-TODAY()&amp;" days"))))))</f>
        <v/>
      </c>
      <c r="I84" s="1" t="n"/>
    </row>
    <row r="85">
      <c r="A85" s="1" t="n"/>
      <c r="B85" s="30" t="n"/>
      <c r="C85" s="30" t="n"/>
      <c r="D85" s="31" t="n"/>
      <c r="E85" s="31" t="n"/>
      <c r="F85" s="32" t="n"/>
      <c r="G85" s="20">
        <f>IF(B85="","",D85-E85)</f>
        <v/>
      </c>
      <c r="H85" s="33">
        <f>IF(B85="","",IF(G85&lt;=0,"Paid in full",IF(F85="","Balance due, no date set",IF(F85&lt;TODAY(),"Overdue by "&amp;TODAY()-F85&amp;IF(TODAY()-F85=1," day"," days"),IF(F85=TODAY(),"Due today",IF(F85-TODAY()&lt;=14,"Due in "&amp;F85-TODAY()&amp;IF(F85-TODAY()=1," day"," days"),"Next payment in "&amp;F85-TODAY()&amp;" days"))))))</f>
        <v/>
      </c>
      <c r="I85" s="1" t="n"/>
    </row>
    <row r="86">
      <c r="A86" s="1" t="n"/>
      <c r="B86" s="30" t="n"/>
      <c r="C86" s="30" t="n"/>
      <c r="D86" s="31" t="n"/>
      <c r="E86" s="31" t="n"/>
      <c r="F86" s="32" t="n"/>
      <c r="G86" s="20">
        <f>IF(B86="","",D86-E86)</f>
        <v/>
      </c>
      <c r="H86" s="33">
        <f>IF(B86="","",IF(G86&lt;=0,"Paid in full",IF(F86="","Balance due, no date set",IF(F86&lt;TODAY(),"Overdue by "&amp;TODAY()-F86&amp;IF(TODAY()-F86=1," day"," days"),IF(F86=TODAY(),"Due today",IF(F86-TODAY()&lt;=14,"Due in "&amp;F86-TODAY()&amp;IF(F86-TODAY()=1," day"," days"),"Next payment in "&amp;F86-TODAY()&amp;" days"))))))</f>
        <v/>
      </c>
      <c r="I86" s="1" t="n"/>
    </row>
    <row r="87">
      <c r="A87" s="1" t="n"/>
      <c r="B87" s="30" t="n"/>
      <c r="C87" s="30" t="n"/>
      <c r="D87" s="31" t="n"/>
      <c r="E87" s="31" t="n"/>
      <c r="F87" s="32" t="n"/>
      <c r="G87" s="20">
        <f>IF(B87="","",D87-E87)</f>
        <v/>
      </c>
      <c r="H87" s="33">
        <f>IF(B87="","",IF(G87&lt;=0,"Paid in full",IF(F87="","Balance due, no date set",IF(F87&lt;TODAY(),"Overdue by "&amp;TODAY()-F87&amp;IF(TODAY()-F87=1," day"," days"),IF(F87=TODAY(),"Due today",IF(F87-TODAY()&lt;=14,"Due in "&amp;F87-TODAY()&amp;IF(F87-TODAY()=1," day"," days"),"Next payment in "&amp;F87-TODAY()&amp;" days"))))))</f>
        <v/>
      </c>
      <c r="I87" s="1" t="n"/>
    </row>
    <row r="88">
      <c r="A88" s="1" t="n"/>
      <c r="B88" s="30" t="n"/>
      <c r="C88" s="30" t="n"/>
      <c r="D88" s="31" t="n"/>
      <c r="E88" s="31" t="n"/>
      <c r="F88" s="32" t="n"/>
      <c r="G88" s="20">
        <f>IF(B88="","",D88-E88)</f>
        <v/>
      </c>
      <c r="H88" s="33">
        <f>IF(B88="","",IF(G88&lt;=0,"Paid in full",IF(F88="","Balance due, no date set",IF(F88&lt;TODAY(),"Overdue by "&amp;TODAY()-F88&amp;IF(TODAY()-F88=1," day"," days"),IF(F88=TODAY(),"Due today",IF(F88-TODAY()&lt;=14,"Due in "&amp;F88-TODAY()&amp;IF(F88-TODAY()=1," day"," days"),"Next payment in "&amp;F88-TODAY()&amp;" days"))))))</f>
        <v/>
      </c>
      <c r="I88" s="1" t="n"/>
    </row>
    <row r="89">
      <c r="A89" s="1" t="n"/>
      <c r="B89" s="30" t="n"/>
      <c r="C89" s="30" t="n"/>
      <c r="D89" s="31" t="n"/>
      <c r="E89" s="31" t="n"/>
      <c r="F89" s="32" t="n"/>
      <c r="G89" s="20">
        <f>IF(B89="","",D89-E89)</f>
        <v/>
      </c>
      <c r="H89" s="33">
        <f>IF(B89="","",IF(G89&lt;=0,"Paid in full",IF(F89="","Balance due, no date set",IF(F89&lt;TODAY(),"Overdue by "&amp;TODAY()-F89&amp;IF(TODAY()-F89=1," day"," days"),IF(F89=TODAY(),"Due today",IF(F89-TODAY()&lt;=14,"Due in "&amp;F89-TODAY()&amp;IF(F89-TODAY()=1," day"," days"),"Next payment in "&amp;F89-TODAY()&amp;" days"))))))</f>
        <v/>
      </c>
      <c r="I89" s="1" t="n"/>
    </row>
    <row r="90">
      <c r="A90" s="1" t="n"/>
      <c r="B90" s="30" t="n"/>
      <c r="C90" s="30" t="n"/>
      <c r="D90" s="31" t="n"/>
      <c r="E90" s="31" t="n"/>
      <c r="F90" s="32" t="n"/>
      <c r="G90" s="20">
        <f>IF(B90="","",D90-E90)</f>
        <v/>
      </c>
      <c r="H90" s="33">
        <f>IF(B90="","",IF(G90&lt;=0,"Paid in full",IF(F90="","Balance due, no date set",IF(F90&lt;TODAY(),"Overdue by "&amp;TODAY()-F90&amp;IF(TODAY()-F90=1," day"," days"),IF(F90=TODAY(),"Due today",IF(F90-TODAY()&lt;=14,"Due in "&amp;F90-TODAY()&amp;IF(F90-TODAY()=1," day"," days"),"Next payment in "&amp;F90-TODAY()&amp;" days"))))))</f>
        <v/>
      </c>
      <c r="I90" s="1" t="n"/>
    </row>
    <row r="91">
      <c r="A91" s="1" t="n"/>
      <c r="B91" s="30" t="n"/>
      <c r="C91" s="30" t="n"/>
      <c r="D91" s="31" t="n"/>
      <c r="E91" s="31" t="n"/>
      <c r="F91" s="32" t="n"/>
      <c r="G91" s="20">
        <f>IF(B91="","",D91-E91)</f>
        <v/>
      </c>
      <c r="H91" s="33">
        <f>IF(B91="","",IF(G91&lt;=0,"Paid in full",IF(F91="","Balance due, no date set",IF(F91&lt;TODAY(),"Overdue by "&amp;TODAY()-F91&amp;IF(TODAY()-F91=1," day"," days"),IF(F91=TODAY(),"Due today",IF(F91-TODAY()&lt;=14,"Due in "&amp;F91-TODAY()&amp;IF(F91-TODAY()=1," day"," days"),"Next payment in "&amp;F91-TODAY()&amp;" days"))))))</f>
        <v/>
      </c>
      <c r="I91" s="1" t="n"/>
    </row>
    <row r="92">
      <c r="A92" s="1" t="n"/>
      <c r="B92" s="30" t="n"/>
      <c r="C92" s="30" t="n"/>
      <c r="D92" s="31" t="n"/>
      <c r="E92" s="31" t="n"/>
      <c r="F92" s="32" t="n"/>
      <c r="G92" s="20">
        <f>IF(B92="","",D92-E92)</f>
        <v/>
      </c>
      <c r="H92" s="33">
        <f>IF(B92="","",IF(G92&lt;=0,"Paid in full",IF(F92="","Balance due, no date set",IF(F92&lt;TODAY(),"Overdue by "&amp;TODAY()-F92&amp;IF(TODAY()-F92=1," day"," days"),IF(F92=TODAY(),"Due today",IF(F92-TODAY()&lt;=14,"Due in "&amp;F92-TODAY()&amp;IF(F92-TODAY()=1," day"," days"),"Next payment in "&amp;F92-TODAY()&amp;" days"))))))</f>
        <v/>
      </c>
      <c r="I92" s="1" t="n"/>
    </row>
    <row r="93">
      <c r="A93" s="1" t="n"/>
      <c r="B93" s="30" t="n"/>
      <c r="C93" s="30" t="n"/>
      <c r="D93" s="31" t="n"/>
      <c r="E93" s="31" t="n"/>
      <c r="F93" s="32" t="n"/>
      <c r="G93" s="20">
        <f>IF(B93="","",D93-E93)</f>
        <v/>
      </c>
      <c r="H93" s="33">
        <f>IF(B93="","",IF(G93&lt;=0,"Paid in full",IF(F93="","Balance due, no date set",IF(F93&lt;TODAY(),"Overdue by "&amp;TODAY()-F93&amp;IF(TODAY()-F93=1," day"," days"),IF(F93=TODAY(),"Due today",IF(F93-TODAY()&lt;=14,"Due in "&amp;F93-TODAY()&amp;IF(F93-TODAY()=1," day"," days"),"Next payment in "&amp;F93-TODAY()&amp;" days"))))))</f>
        <v/>
      </c>
      <c r="I93" s="1" t="n"/>
    </row>
    <row r="94">
      <c r="A94" s="1" t="n"/>
      <c r="B94" s="30" t="n"/>
      <c r="C94" s="30" t="n"/>
      <c r="D94" s="31" t="n"/>
      <c r="E94" s="31" t="n"/>
      <c r="F94" s="32" t="n"/>
      <c r="G94" s="20">
        <f>IF(B94="","",D94-E94)</f>
        <v/>
      </c>
      <c r="H94" s="33">
        <f>IF(B94="","",IF(G94&lt;=0,"Paid in full",IF(F94="","Balance due, no date set",IF(F94&lt;TODAY(),"Overdue by "&amp;TODAY()-F94&amp;IF(TODAY()-F94=1," day"," days"),IF(F94=TODAY(),"Due today",IF(F94-TODAY()&lt;=14,"Due in "&amp;F94-TODAY()&amp;IF(F94-TODAY()=1," day"," days"),"Next payment in "&amp;F94-TODAY()&amp;" days"))))))</f>
        <v/>
      </c>
      <c r="I94" s="1" t="n"/>
    </row>
    <row r="95">
      <c r="A95" s="1" t="n"/>
      <c r="B95" s="30" t="n"/>
      <c r="C95" s="30" t="n"/>
      <c r="D95" s="31" t="n"/>
      <c r="E95" s="31" t="n"/>
      <c r="F95" s="32" t="n"/>
      <c r="G95" s="20">
        <f>IF(B95="","",D95-E95)</f>
        <v/>
      </c>
      <c r="H95" s="33">
        <f>IF(B95="","",IF(G95&lt;=0,"Paid in full",IF(F95="","Balance due, no date set",IF(F95&lt;TODAY(),"Overdue by "&amp;TODAY()-F95&amp;IF(TODAY()-F95=1," day"," days"),IF(F95=TODAY(),"Due today",IF(F95-TODAY()&lt;=14,"Due in "&amp;F95-TODAY()&amp;IF(F95-TODAY()=1," day"," days"),"Next payment in "&amp;F95-TODAY()&amp;" days"))))))</f>
        <v/>
      </c>
      <c r="I95" s="1" t="n"/>
    </row>
    <row r="96">
      <c r="A96" s="1" t="n"/>
      <c r="B96" s="30" t="n"/>
      <c r="C96" s="30" t="n"/>
      <c r="D96" s="31" t="n"/>
      <c r="E96" s="31" t="n"/>
      <c r="F96" s="32" t="n"/>
      <c r="G96" s="20">
        <f>IF(B96="","",D96-E96)</f>
        <v/>
      </c>
      <c r="H96" s="33">
        <f>IF(B96="","",IF(G96&lt;=0,"Paid in full",IF(F96="","Balance due, no date set",IF(F96&lt;TODAY(),"Overdue by "&amp;TODAY()-F96&amp;IF(TODAY()-F96=1," day"," days"),IF(F96=TODAY(),"Due today",IF(F96-TODAY()&lt;=14,"Due in "&amp;F96-TODAY()&amp;IF(F96-TODAY()=1," day"," days"),"Next payment in "&amp;F96-TODAY()&amp;" days"))))))</f>
        <v/>
      </c>
      <c r="I96" s="1" t="n"/>
    </row>
    <row r="97">
      <c r="A97" s="1" t="n"/>
      <c r="B97" s="30" t="n"/>
      <c r="C97" s="30" t="n"/>
      <c r="D97" s="31" t="n"/>
      <c r="E97" s="31" t="n"/>
      <c r="F97" s="32" t="n"/>
      <c r="G97" s="20">
        <f>IF(B97="","",D97-E97)</f>
        <v/>
      </c>
      <c r="H97" s="33">
        <f>IF(B97="","",IF(G97&lt;=0,"Paid in full",IF(F97="","Balance due, no date set",IF(F97&lt;TODAY(),"Overdue by "&amp;TODAY()-F97&amp;IF(TODAY()-F97=1," day"," days"),IF(F97=TODAY(),"Due today",IF(F97-TODAY()&lt;=14,"Due in "&amp;F97-TODAY()&amp;IF(F97-TODAY()=1," day"," days"),"Next payment in "&amp;F97-TODAY()&amp;" days"))))))</f>
        <v/>
      </c>
      <c r="I97" s="1" t="n"/>
    </row>
    <row r="98">
      <c r="A98" s="1" t="n"/>
      <c r="B98" s="30" t="n"/>
      <c r="C98" s="30" t="n"/>
      <c r="D98" s="31" t="n"/>
      <c r="E98" s="31" t="n"/>
      <c r="F98" s="32" t="n"/>
      <c r="G98" s="20">
        <f>IF(B98="","",D98-E98)</f>
        <v/>
      </c>
      <c r="H98" s="33">
        <f>IF(B98="","",IF(G98&lt;=0,"Paid in full",IF(F98="","Balance due, no date set",IF(F98&lt;TODAY(),"Overdue by "&amp;TODAY()-F98&amp;IF(TODAY()-F98=1," day"," days"),IF(F98=TODAY(),"Due today",IF(F98-TODAY()&lt;=14,"Due in "&amp;F98-TODAY()&amp;IF(F98-TODAY()=1," day"," days"),"Next payment in "&amp;F98-TODAY()&amp;" days"))))))</f>
        <v/>
      </c>
      <c r="I98" s="1" t="n"/>
    </row>
    <row r="99">
      <c r="A99" s="1" t="n"/>
      <c r="B99" s="30" t="n"/>
      <c r="C99" s="30" t="n"/>
      <c r="D99" s="31" t="n"/>
      <c r="E99" s="31" t="n"/>
      <c r="F99" s="32" t="n"/>
      <c r="G99" s="20">
        <f>IF(B99="","",D99-E99)</f>
        <v/>
      </c>
      <c r="H99" s="33">
        <f>IF(B99="","",IF(G99&lt;=0,"Paid in full",IF(F99="","Balance due, no date set",IF(F99&lt;TODAY(),"Overdue by "&amp;TODAY()-F99&amp;IF(TODAY()-F99=1," day"," days"),IF(F99=TODAY(),"Due today",IF(F99-TODAY()&lt;=14,"Due in "&amp;F99-TODAY()&amp;IF(F99-TODAY()=1," day"," days"),"Next payment in "&amp;F99-TODAY()&amp;" days"))))))</f>
        <v/>
      </c>
      <c r="I99" s="1" t="n"/>
    </row>
    <row r="100">
      <c r="A100" s="1" t="n"/>
      <c r="B100" s="30" t="n"/>
      <c r="C100" s="30" t="n"/>
      <c r="D100" s="31" t="n"/>
      <c r="E100" s="31" t="n"/>
      <c r="F100" s="32" t="n"/>
      <c r="G100" s="20">
        <f>IF(B100="","",D100-E100)</f>
        <v/>
      </c>
      <c r="H100" s="33">
        <f>IF(B100="","",IF(G100&lt;=0,"Paid in full",IF(F100="","Balance due, no date set",IF(F100&lt;TODAY(),"Overdue by "&amp;TODAY()-F100&amp;IF(TODAY()-F100=1," day"," days"),IF(F100=TODAY(),"Due today",IF(F100-TODAY()&lt;=14,"Due in "&amp;F100-TODAY()&amp;IF(F100-TODAY()=1," day"," days"),"Next payment in "&amp;F100-TODAY()&amp;" days"))))))</f>
        <v/>
      </c>
      <c r="I100" s="1" t="n"/>
    </row>
    <row r="101">
      <c r="A101" s="1" t="n"/>
      <c r="B101" s="30" t="n"/>
      <c r="C101" s="30" t="n"/>
      <c r="D101" s="31" t="n"/>
      <c r="E101" s="31" t="n"/>
      <c r="F101" s="32" t="n"/>
      <c r="G101" s="20">
        <f>IF(B101="","",D101-E101)</f>
        <v/>
      </c>
      <c r="H101" s="33">
        <f>IF(B101="","",IF(G101&lt;=0,"Paid in full",IF(F101="","Balance due, no date set",IF(F101&lt;TODAY(),"Overdue by "&amp;TODAY()-F101&amp;IF(TODAY()-F101=1," day"," days"),IF(F101=TODAY(),"Due today",IF(F101-TODAY()&lt;=14,"Due in "&amp;F101-TODAY()&amp;IF(F101-TODAY()=1," day"," days"),"Next payment in "&amp;F101-TODAY()&amp;" days"))))))</f>
        <v/>
      </c>
      <c r="I101" s="1" t="n"/>
    </row>
    <row r="102">
      <c r="A102" s="1" t="n"/>
      <c r="B102" s="30" t="n"/>
      <c r="C102" s="30" t="n"/>
      <c r="D102" s="31" t="n"/>
      <c r="E102" s="31" t="n"/>
      <c r="F102" s="32" t="n"/>
      <c r="G102" s="20">
        <f>IF(B102="","",D102-E102)</f>
        <v/>
      </c>
      <c r="H102" s="33">
        <f>IF(B102="","",IF(G102&lt;=0,"Paid in full",IF(F102="","Balance due, no date set",IF(F102&lt;TODAY(),"Overdue by "&amp;TODAY()-F102&amp;IF(TODAY()-F102=1," day"," days"),IF(F102=TODAY(),"Due today",IF(F102-TODAY()&lt;=14,"Due in "&amp;F102-TODAY()&amp;IF(F102-TODAY()=1," day"," days"),"Next payment in "&amp;F102-TODAY()&amp;" days"))))))</f>
        <v/>
      </c>
      <c r="I102" s="1" t="n"/>
    </row>
    <row r="103">
      <c r="A103" s="1" t="n"/>
      <c r="B103" s="30" t="n"/>
      <c r="C103" s="30" t="n"/>
      <c r="D103" s="31" t="n"/>
      <c r="E103" s="31" t="n"/>
      <c r="F103" s="32" t="n"/>
      <c r="G103" s="20">
        <f>IF(B103="","",D103-E103)</f>
        <v/>
      </c>
      <c r="H103" s="33">
        <f>IF(B103="","",IF(G103&lt;=0,"Paid in full",IF(F103="","Balance due, no date set",IF(F103&lt;TODAY(),"Overdue by "&amp;TODAY()-F103&amp;IF(TODAY()-F103=1," day"," days"),IF(F103=TODAY(),"Due today",IF(F103-TODAY()&lt;=14,"Due in "&amp;F103-TODAY()&amp;IF(F103-TODAY()=1," day"," days"),"Next payment in "&amp;F103-TODAY()&amp;" days"))))))</f>
        <v/>
      </c>
      <c r="I103" s="1" t="n"/>
    </row>
    <row r="104">
      <c r="A104" s="1" t="n"/>
      <c r="B104" s="30" t="n"/>
      <c r="C104" s="30" t="n"/>
      <c r="D104" s="31" t="n"/>
      <c r="E104" s="31" t="n"/>
      <c r="F104" s="32" t="n"/>
      <c r="G104" s="20">
        <f>IF(B104="","",D104-E104)</f>
        <v/>
      </c>
      <c r="H104" s="33">
        <f>IF(B104="","",IF(G104&lt;=0,"Paid in full",IF(F104="","Balance due, no date set",IF(F104&lt;TODAY(),"Overdue by "&amp;TODAY()-F104&amp;IF(TODAY()-F104=1," day"," days"),IF(F104=TODAY(),"Due today",IF(F104-TODAY()&lt;=14,"Due in "&amp;F104-TODAY()&amp;IF(F104-TODAY()=1," day"," days"),"Next payment in "&amp;F104-TODAY()&amp;" days"))))))</f>
        <v/>
      </c>
      <c r="I104" s="1" t="n"/>
    </row>
    <row r="105">
      <c r="A105" s="1" t="n"/>
      <c r="B105" s="30" t="n"/>
      <c r="C105" s="30" t="n"/>
      <c r="D105" s="31" t="n"/>
      <c r="E105" s="31" t="n"/>
      <c r="F105" s="32" t="n"/>
      <c r="G105" s="20">
        <f>IF(B105="","",D105-E105)</f>
        <v/>
      </c>
      <c r="H105" s="33">
        <f>IF(B105="","",IF(G105&lt;=0,"Paid in full",IF(F105="","Balance due, no date set",IF(F105&lt;TODAY(),"Overdue by "&amp;TODAY()-F105&amp;IF(TODAY()-F105=1," day"," days"),IF(F105=TODAY(),"Due today",IF(F105-TODAY()&lt;=14,"Due in "&amp;F105-TODAY()&amp;IF(F105-TODAY()=1," day"," days"),"Next payment in "&amp;F105-TODAY()&amp;" days"))))))</f>
        <v/>
      </c>
      <c r="I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</row>
  </sheetData>
  <conditionalFormatting sqref="H6:H105">
    <cfRule type="expression" priority="1" dxfId="0">
      <formula>$H6="Paid in full"</formula>
    </cfRule>
    <cfRule type="expression" priority="2" dxfId="2">
      <formula>LEFT($H6,7)="Overdue"</formula>
    </cfRule>
    <cfRule type="expression" priority="3" dxfId="3">
      <formula>OR(LEFT($H6,6)="Due in",$H6="Due today")</formula>
    </cfRule>
  </conditionalFormatting>
  <dataValidations count="1">
    <dataValidation sqref="C6:C105" showDropDown="0" showInputMessage="0" showErrorMessage="0" allowBlank="1" type="list">
      <formula1>=Budget!$B$6:$B$16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0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2" customWidth="1" min="4" max="4"/>
    <col width="10" customWidth="1" min="5" max="5"/>
    <col width="16" customWidth="1" min="6" max="6"/>
    <col width="8" customWidth="1" min="7" max="7"/>
    <col width="26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1" t="n"/>
      <c r="B2" s="2" t="inlineStr">
        <is>
          <t>Guest list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" t="inlineStr">
        <is>
          <t>One line per guest. RSVP and meal choices add up on the Dashboard.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30" customHeight="1">
      <c r="A5" s="1" t="n"/>
      <c r="B5" s="11" t="inlineStr">
        <is>
          <t>Guest</t>
        </is>
      </c>
      <c r="C5" s="11" t="inlineStr">
        <is>
          <t>Side</t>
        </is>
      </c>
      <c r="D5" s="11" t="inlineStr">
        <is>
          <t>RSVP</t>
        </is>
      </c>
      <c r="E5" s="11" t="inlineStr">
        <is>
          <t>Plus one</t>
        </is>
      </c>
      <c r="F5" s="11" t="inlineStr">
        <is>
          <t>Meal</t>
        </is>
      </c>
      <c r="G5" s="11" t="inlineStr">
        <is>
          <t>Table</t>
        </is>
      </c>
      <c r="H5" s="11" t="inlineStr">
        <is>
          <t>Note</t>
        </is>
      </c>
      <c r="I5" s="1" t="n"/>
    </row>
    <row r="6">
      <c r="A6" s="1" t="n"/>
      <c r="B6" s="30" t="inlineStr">
        <is>
          <t>Ana &amp; Luca</t>
        </is>
      </c>
      <c r="C6" s="34" t="inlineStr">
        <is>
          <t>Both</t>
        </is>
      </c>
      <c r="D6" s="34" t="inlineStr">
        <is>
          <t>Yes</t>
        </is>
      </c>
      <c r="E6" s="34" t="inlineStr">
        <is>
          <t>Yes</t>
        </is>
      </c>
      <c r="F6" s="34" t="inlineStr">
        <is>
          <t>Fish</t>
        </is>
      </c>
      <c r="G6" s="25" t="n">
        <v>1</v>
      </c>
      <c r="H6" s="30" t="n"/>
      <c r="I6" s="1" t="n"/>
    </row>
    <row r="7">
      <c r="A7" s="1" t="n"/>
      <c r="B7" s="30" t="inlineStr">
        <is>
          <t>Chloé Martin</t>
        </is>
      </c>
      <c r="C7" s="34" t="inlineStr">
        <is>
          <t>Partner A</t>
        </is>
      </c>
      <c r="D7" s="34" t="inlineStr">
        <is>
          <t>Yes</t>
        </is>
      </c>
      <c r="E7" s="34" t="inlineStr">
        <is>
          <t>No</t>
        </is>
      </c>
      <c r="F7" s="34" t="inlineStr">
        <is>
          <t>Veggie</t>
        </is>
      </c>
      <c r="G7" s="25" t="n">
        <v>1</v>
      </c>
      <c r="H7" s="30" t="n"/>
      <c r="I7" s="1" t="n"/>
    </row>
    <row r="8">
      <c r="A8" s="1" t="n"/>
      <c r="B8" s="30" t="inlineStr">
        <is>
          <t>Tom Becker</t>
        </is>
      </c>
      <c r="C8" s="34" t="inlineStr">
        <is>
          <t>Partner B</t>
        </is>
      </c>
      <c r="D8" s="34" t="inlineStr">
        <is>
          <t>Pending</t>
        </is>
      </c>
      <c r="E8" s="34" t="inlineStr">
        <is>
          <t>No</t>
        </is>
      </c>
      <c r="F8" s="34" t="inlineStr"/>
      <c r="G8" s="25" t="n"/>
      <c r="H8" s="30" t="n"/>
      <c r="I8" s="1" t="n"/>
    </row>
    <row r="9">
      <c r="A9" s="1" t="n"/>
      <c r="B9" s="30" t="inlineStr">
        <is>
          <t>Inès Dupont</t>
        </is>
      </c>
      <c r="C9" s="34" t="inlineStr">
        <is>
          <t>Both</t>
        </is>
      </c>
      <c r="D9" s="34" t="inlineStr">
        <is>
          <t>Yes</t>
        </is>
      </c>
      <c r="E9" s="34" t="inlineStr">
        <is>
          <t>No</t>
        </is>
      </c>
      <c r="F9" s="34" t="inlineStr">
        <is>
          <t>Meat</t>
        </is>
      </c>
      <c r="G9" s="25" t="n">
        <v>1</v>
      </c>
      <c r="H9" s="30" t="n"/>
      <c r="I9" s="1" t="n"/>
    </row>
    <row r="10">
      <c r="A10" s="1" t="n"/>
      <c r="B10" s="30" t="inlineStr">
        <is>
          <t>Rafael Costa</t>
        </is>
      </c>
      <c r="C10" s="34" t="inlineStr">
        <is>
          <t>Partner A</t>
        </is>
      </c>
      <c r="D10" s="34" t="inlineStr">
        <is>
          <t>No</t>
        </is>
      </c>
      <c r="E10" s="34" t="inlineStr">
        <is>
          <t>Yes</t>
        </is>
      </c>
      <c r="F10" s="34" t="inlineStr"/>
      <c r="G10" s="25" t="n"/>
      <c r="H10" s="30" t="n"/>
      <c r="I10" s="1" t="n"/>
    </row>
    <row r="11">
      <c r="A11" s="1" t="n"/>
      <c r="B11" s="30" t="inlineStr">
        <is>
          <t>Mia Laurent</t>
        </is>
      </c>
      <c r="C11" s="34" t="inlineStr">
        <is>
          <t>Partner B</t>
        </is>
      </c>
      <c r="D11" s="34" t="inlineStr">
        <is>
          <t>Yes</t>
        </is>
      </c>
      <c r="E11" s="34" t="inlineStr">
        <is>
          <t>No</t>
        </is>
      </c>
      <c r="F11" s="34" t="inlineStr">
        <is>
          <t>Meat</t>
        </is>
      </c>
      <c r="G11" s="25" t="n">
        <v>2</v>
      </c>
      <c r="H11" s="30" t="n"/>
      <c r="I11" s="1" t="n"/>
    </row>
    <row r="12">
      <c r="A12" s="1" t="n"/>
      <c r="B12" s="30" t="inlineStr">
        <is>
          <t>Hugo Bernard</t>
        </is>
      </c>
      <c r="C12" s="34" t="inlineStr">
        <is>
          <t>Both</t>
        </is>
      </c>
      <c r="D12" s="34" t="inlineStr">
        <is>
          <t>Pending</t>
        </is>
      </c>
      <c r="E12" s="34" t="inlineStr">
        <is>
          <t>No</t>
        </is>
      </c>
      <c r="F12" s="34" t="inlineStr"/>
      <c r="G12" s="25" t="n"/>
      <c r="H12" s="30" t="n"/>
      <c r="I12" s="1" t="n"/>
    </row>
    <row r="13">
      <c r="A13" s="1" t="n"/>
      <c r="B13" s="30" t="inlineStr">
        <is>
          <t>Sara Klein</t>
        </is>
      </c>
      <c r="C13" s="34" t="inlineStr">
        <is>
          <t>Partner A</t>
        </is>
      </c>
      <c r="D13" s="34" t="inlineStr">
        <is>
          <t>Yes</t>
        </is>
      </c>
      <c r="E13" s="34" t="inlineStr">
        <is>
          <t>No</t>
        </is>
      </c>
      <c r="F13" s="34" t="inlineStr">
        <is>
          <t>Fish</t>
        </is>
      </c>
      <c r="G13" s="25" t="n">
        <v>2</v>
      </c>
      <c r="H13" s="30" t="n"/>
      <c r="I13" s="1" t="n"/>
    </row>
    <row r="14">
      <c r="A14" s="1" t="n"/>
      <c r="B14" s="30" t="inlineStr">
        <is>
          <t>Noah Petit</t>
        </is>
      </c>
      <c r="C14" s="34" t="inlineStr">
        <is>
          <t>Partner B</t>
        </is>
      </c>
      <c r="D14" s="34" t="inlineStr">
        <is>
          <t>Yes</t>
        </is>
      </c>
      <c r="E14" s="34" t="inlineStr">
        <is>
          <t>Yes</t>
        </is>
      </c>
      <c r="F14" s="34" t="inlineStr">
        <is>
          <t>Meat</t>
        </is>
      </c>
      <c r="G14" s="25" t="n">
        <v>3</v>
      </c>
      <c r="H14" s="30" t="n"/>
      <c r="I14" s="1" t="n"/>
    </row>
    <row r="15">
      <c r="A15" s="1" t="n"/>
      <c r="B15" s="30" t="inlineStr">
        <is>
          <t>Lea Moreau</t>
        </is>
      </c>
      <c r="C15" s="34" t="inlineStr">
        <is>
          <t>Both</t>
        </is>
      </c>
      <c r="D15" s="34" t="inlineStr">
        <is>
          <t>Pending</t>
        </is>
      </c>
      <c r="E15" s="34" t="inlineStr">
        <is>
          <t>No</t>
        </is>
      </c>
      <c r="F15" s="34" t="inlineStr"/>
      <c r="G15" s="25" t="n"/>
      <c r="H15" s="30" t="n"/>
      <c r="I15" s="1" t="n"/>
    </row>
    <row r="16">
      <c r="A16" s="1" t="n"/>
      <c r="B16" s="30" t="inlineStr">
        <is>
          <t>Jonas Weber</t>
        </is>
      </c>
      <c r="C16" s="34" t="inlineStr">
        <is>
          <t>Partner A</t>
        </is>
      </c>
      <c r="D16" s="34" t="inlineStr">
        <is>
          <t>Yes</t>
        </is>
      </c>
      <c r="E16" s="34" t="inlineStr">
        <is>
          <t>No</t>
        </is>
      </c>
      <c r="F16" s="34" t="inlineStr">
        <is>
          <t>Veggie</t>
        </is>
      </c>
      <c r="G16" s="25" t="n">
        <v>3</v>
      </c>
      <c r="H16" s="30" t="n"/>
      <c r="I16" s="1" t="n"/>
    </row>
    <row r="17">
      <c r="A17" s="1" t="n"/>
      <c r="B17" s="30" t="inlineStr">
        <is>
          <t>Emma Roux</t>
        </is>
      </c>
      <c r="C17" s="34" t="inlineStr">
        <is>
          <t>Partner B</t>
        </is>
      </c>
      <c r="D17" s="34" t="inlineStr">
        <is>
          <t>Yes</t>
        </is>
      </c>
      <c r="E17" s="34" t="inlineStr">
        <is>
          <t>No</t>
        </is>
      </c>
      <c r="F17" s="34" t="inlineStr">
        <is>
          <t>Meat</t>
        </is>
      </c>
      <c r="G17" s="25" t="n">
        <v>3</v>
      </c>
      <c r="H17" s="30" t="n"/>
      <c r="I17" s="1" t="n"/>
    </row>
    <row r="18">
      <c r="A18" s="1" t="n"/>
      <c r="B18" s="30" t="n"/>
      <c r="C18" s="34" t="n"/>
      <c r="D18" s="34" t="n"/>
      <c r="E18" s="34" t="n"/>
      <c r="F18" s="34" t="n"/>
      <c r="G18" s="25" t="n"/>
      <c r="H18" s="30" t="n"/>
      <c r="I18" s="1" t="n"/>
    </row>
    <row r="19">
      <c r="A19" s="1" t="n"/>
      <c r="B19" s="30" t="n"/>
      <c r="C19" s="34" t="n"/>
      <c r="D19" s="34" t="n"/>
      <c r="E19" s="34" t="n"/>
      <c r="F19" s="34" t="n"/>
      <c r="G19" s="25" t="n"/>
      <c r="H19" s="30" t="n"/>
      <c r="I19" s="1" t="n"/>
    </row>
    <row r="20">
      <c r="A20" s="1" t="n"/>
      <c r="B20" s="30" t="n"/>
      <c r="C20" s="34" t="n"/>
      <c r="D20" s="34" t="n"/>
      <c r="E20" s="34" t="n"/>
      <c r="F20" s="34" t="n"/>
      <c r="G20" s="25" t="n"/>
      <c r="H20" s="30" t="n"/>
      <c r="I20" s="1" t="n"/>
    </row>
    <row r="21">
      <c r="A21" s="1" t="n"/>
      <c r="B21" s="30" t="n"/>
      <c r="C21" s="34" t="n"/>
      <c r="D21" s="34" t="n"/>
      <c r="E21" s="34" t="n"/>
      <c r="F21" s="34" t="n"/>
      <c r="G21" s="25" t="n"/>
      <c r="H21" s="30" t="n"/>
      <c r="I21" s="1" t="n"/>
    </row>
    <row r="22">
      <c r="A22" s="1" t="n"/>
      <c r="B22" s="30" t="n"/>
      <c r="C22" s="34" t="n"/>
      <c r="D22" s="34" t="n"/>
      <c r="E22" s="34" t="n"/>
      <c r="F22" s="34" t="n"/>
      <c r="G22" s="25" t="n"/>
      <c r="H22" s="30" t="n"/>
      <c r="I22" s="1" t="n"/>
    </row>
    <row r="23">
      <c r="A23" s="1" t="n"/>
      <c r="B23" s="30" t="n"/>
      <c r="C23" s="34" t="n"/>
      <c r="D23" s="34" t="n"/>
      <c r="E23" s="34" t="n"/>
      <c r="F23" s="34" t="n"/>
      <c r="G23" s="25" t="n"/>
      <c r="H23" s="30" t="n"/>
      <c r="I23" s="1" t="n"/>
    </row>
    <row r="24">
      <c r="A24" s="1" t="n"/>
      <c r="B24" s="30" t="n"/>
      <c r="C24" s="34" t="n"/>
      <c r="D24" s="34" t="n"/>
      <c r="E24" s="34" t="n"/>
      <c r="F24" s="34" t="n"/>
      <c r="G24" s="25" t="n"/>
      <c r="H24" s="30" t="n"/>
      <c r="I24" s="1" t="n"/>
    </row>
    <row r="25">
      <c r="A25" s="1" t="n"/>
      <c r="B25" s="30" t="n"/>
      <c r="C25" s="34" t="n"/>
      <c r="D25" s="34" t="n"/>
      <c r="E25" s="34" t="n"/>
      <c r="F25" s="34" t="n"/>
      <c r="G25" s="25" t="n"/>
      <c r="H25" s="30" t="n"/>
      <c r="I25" s="1" t="n"/>
    </row>
    <row r="26">
      <c r="A26" s="1" t="n"/>
      <c r="B26" s="30" t="n"/>
      <c r="C26" s="34" t="n"/>
      <c r="D26" s="34" t="n"/>
      <c r="E26" s="34" t="n"/>
      <c r="F26" s="34" t="n"/>
      <c r="G26" s="25" t="n"/>
      <c r="H26" s="30" t="n"/>
      <c r="I26" s="1" t="n"/>
    </row>
    <row r="27">
      <c r="A27" s="1" t="n"/>
      <c r="B27" s="30" t="n"/>
      <c r="C27" s="34" t="n"/>
      <c r="D27" s="34" t="n"/>
      <c r="E27" s="34" t="n"/>
      <c r="F27" s="34" t="n"/>
      <c r="G27" s="25" t="n"/>
      <c r="H27" s="30" t="n"/>
      <c r="I27" s="1" t="n"/>
    </row>
    <row r="28">
      <c r="A28" s="1" t="n"/>
      <c r="B28" s="30" t="n"/>
      <c r="C28" s="34" t="n"/>
      <c r="D28" s="34" t="n"/>
      <c r="E28" s="34" t="n"/>
      <c r="F28" s="34" t="n"/>
      <c r="G28" s="25" t="n"/>
      <c r="H28" s="30" t="n"/>
      <c r="I28" s="1" t="n"/>
    </row>
    <row r="29">
      <c r="A29" s="1" t="n"/>
      <c r="B29" s="30" t="n"/>
      <c r="C29" s="34" t="n"/>
      <c r="D29" s="34" t="n"/>
      <c r="E29" s="34" t="n"/>
      <c r="F29" s="34" t="n"/>
      <c r="G29" s="25" t="n"/>
      <c r="H29" s="30" t="n"/>
      <c r="I29" s="1" t="n"/>
    </row>
    <row r="30">
      <c r="A30" s="1" t="n"/>
      <c r="B30" s="30" t="n"/>
      <c r="C30" s="34" t="n"/>
      <c r="D30" s="34" t="n"/>
      <c r="E30" s="34" t="n"/>
      <c r="F30" s="34" t="n"/>
      <c r="G30" s="25" t="n"/>
      <c r="H30" s="30" t="n"/>
      <c r="I30" s="1" t="n"/>
    </row>
    <row r="31">
      <c r="A31" s="1" t="n"/>
      <c r="B31" s="30" t="n"/>
      <c r="C31" s="34" t="n"/>
      <c r="D31" s="34" t="n"/>
      <c r="E31" s="34" t="n"/>
      <c r="F31" s="34" t="n"/>
      <c r="G31" s="25" t="n"/>
      <c r="H31" s="30" t="n"/>
      <c r="I31" s="1" t="n"/>
    </row>
    <row r="32">
      <c r="A32" s="1" t="n"/>
      <c r="B32" s="30" t="n"/>
      <c r="C32" s="34" t="n"/>
      <c r="D32" s="34" t="n"/>
      <c r="E32" s="34" t="n"/>
      <c r="F32" s="34" t="n"/>
      <c r="G32" s="25" t="n"/>
      <c r="H32" s="30" t="n"/>
      <c r="I32" s="1" t="n"/>
    </row>
    <row r="33">
      <c r="A33" s="1" t="n"/>
      <c r="B33" s="30" t="n"/>
      <c r="C33" s="34" t="n"/>
      <c r="D33" s="34" t="n"/>
      <c r="E33" s="34" t="n"/>
      <c r="F33" s="34" t="n"/>
      <c r="G33" s="25" t="n"/>
      <c r="H33" s="30" t="n"/>
      <c r="I33" s="1" t="n"/>
    </row>
    <row r="34">
      <c r="A34" s="1" t="n"/>
      <c r="B34" s="30" t="n"/>
      <c r="C34" s="34" t="n"/>
      <c r="D34" s="34" t="n"/>
      <c r="E34" s="34" t="n"/>
      <c r="F34" s="34" t="n"/>
      <c r="G34" s="25" t="n"/>
      <c r="H34" s="30" t="n"/>
      <c r="I34" s="1" t="n"/>
    </row>
    <row r="35">
      <c r="A35" s="1" t="n"/>
      <c r="B35" s="30" t="n"/>
      <c r="C35" s="34" t="n"/>
      <c r="D35" s="34" t="n"/>
      <c r="E35" s="34" t="n"/>
      <c r="F35" s="34" t="n"/>
      <c r="G35" s="25" t="n"/>
      <c r="H35" s="30" t="n"/>
      <c r="I35" s="1" t="n"/>
    </row>
    <row r="36">
      <c r="A36" s="1" t="n"/>
      <c r="B36" s="30" t="n"/>
      <c r="C36" s="34" t="n"/>
      <c r="D36" s="34" t="n"/>
      <c r="E36" s="34" t="n"/>
      <c r="F36" s="34" t="n"/>
      <c r="G36" s="25" t="n"/>
      <c r="H36" s="30" t="n"/>
      <c r="I36" s="1" t="n"/>
    </row>
    <row r="37">
      <c r="A37" s="1" t="n"/>
      <c r="B37" s="30" t="n"/>
      <c r="C37" s="34" t="n"/>
      <c r="D37" s="34" t="n"/>
      <c r="E37" s="34" t="n"/>
      <c r="F37" s="34" t="n"/>
      <c r="G37" s="25" t="n"/>
      <c r="H37" s="30" t="n"/>
      <c r="I37" s="1" t="n"/>
    </row>
    <row r="38">
      <c r="A38" s="1" t="n"/>
      <c r="B38" s="30" t="n"/>
      <c r="C38" s="34" t="n"/>
      <c r="D38" s="34" t="n"/>
      <c r="E38" s="34" t="n"/>
      <c r="F38" s="34" t="n"/>
      <c r="G38" s="25" t="n"/>
      <c r="H38" s="30" t="n"/>
      <c r="I38" s="1" t="n"/>
    </row>
    <row r="39">
      <c r="A39" s="1" t="n"/>
      <c r="B39" s="30" t="n"/>
      <c r="C39" s="34" t="n"/>
      <c r="D39" s="34" t="n"/>
      <c r="E39" s="34" t="n"/>
      <c r="F39" s="34" t="n"/>
      <c r="G39" s="25" t="n"/>
      <c r="H39" s="30" t="n"/>
      <c r="I39" s="1" t="n"/>
    </row>
    <row r="40">
      <c r="A40" s="1" t="n"/>
      <c r="B40" s="30" t="n"/>
      <c r="C40" s="34" t="n"/>
      <c r="D40" s="34" t="n"/>
      <c r="E40" s="34" t="n"/>
      <c r="F40" s="34" t="n"/>
      <c r="G40" s="25" t="n"/>
      <c r="H40" s="30" t="n"/>
      <c r="I40" s="1" t="n"/>
    </row>
    <row r="41">
      <c r="A41" s="1" t="n"/>
      <c r="B41" s="30" t="n"/>
      <c r="C41" s="34" t="n"/>
      <c r="D41" s="34" t="n"/>
      <c r="E41" s="34" t="n"/>
      <c r="F41" s="34" t="n"/>
      <c r="G41" s="25" t="n"/>
      <c r="H41" s="30" t="n"/>
      <c r="I41" s="1" t="n"/>
    </row>
    <row r="42">
      <c r="A42" s="1" t="n"/>
      <c r="B42" s="30" t="n"/>
      <c r="C42" s="34" t="n"/>
      <c r="D42" s="34" t="n"/>
      <c r="E42" s="34" t="n"/>
      <c r="F42" s="34" t="n"/>
      <c r="G42" s="25" t="n"/>
      <c r="H42" s="30" t="n"/>
      <c r="I42" s="1" t="n"/>
    </row>
    <row r="43">
      <c r="A43" s="1" t="n"/>
      <c r="B43" s="30" t="n"/>
      <c r="C43" s="34" t="n"/>
      <c r="D43" s="34" t="n"/>
      <c r="E43" s="34" t="n"/>
      <c r="F43" s="34" t="n"/>
      <c r="G43" s="25" t="n"/>
      <c r="H43" s="30" t="n"/>
      <c r="I43" s="1" t="n"/>
    </row>
    <row r="44">
      <c r="A44" s="1" t="n"/>
      <c r="B44" s="30" t="n"/>
      <c r="C44" s="34" t="n"/>
      <c r="D44" s="34" t="n"/>
      <c r="E44" s="34" t="n"/>
      <c r="F44" s="34" t="n"/>
      <c r="G44" s="25" t="n"/>
      <c r="H44" s="30" t="n"/>
      <c r="I44" s="1" t="n"/>
    </row>
    <row r="45">
      <c r="A45" s="1" t="n"/>
      <c r="B45" s="30" t="n"/>
      <c r="C45" s="34" t="n"/>
      <c r="D45" s="34" t="n"/>
      <c r="E45" s="34" t="n"/>
      <c r="F45" s="34" t="n"/>
      <c r="G45" s="25" t="n"/>
      <c r="H45" s="30" t="n"/>
      <c r="I45" s="1" t="n"/>
    </row>
    <row r="46">
      <c r="A46" s="1" t="n"/>
      <c r="B46" s="30" t="n"/>
      <c r="C46" s="34" t="n"/>
      <c r="D46" s="34" t="n"/>
      <c r="E46" s="34" t="n"/>
      <c r="F46" s="34" t="n"/>
      <c r="G46" s="25" t="n"/>
      <c r="H46" s="30" t="n"/>
      <c r="I46" s="1" t="n"/>
    </row>
    <row r="47">
      <c r="A47" s="1" t="n"/>
      <c r="B47" s="30" t="n"/>
      <c r="C47" s="34" t="n"/>
      <c r="D47" s="34" t="n"/>
      <c r="E47" s="34" t="n"/>
      <c r="F47" s="34" t="n"/>
      <c r="G47" s="25" t="n"/>
      <c r="H47" s="30" t="n"/>
      <c r="I47" s="1" t="n"/>
    </row>
    <row r="48">
      <c r="A48" s="1" t="n"/>
      <c r="B48" s="30" t="n"/>
      <c r="C48" s="34" t="n"/>
      <c r="D48" s="34" t="n"/>
      <c r="E48" s="34" t="n"/>
      <c r="F48" s="34" t="n"/>
      <c r="G48" s="25" t="n"/>
      <c r="H48" s="30" t="n"/>
      <c r="I48" s="1" t="n"/>
    </row>
    <row r="49">
      <c r="A49" s="1" t="n"/>
      <c r="B49" s="30" t="n"/>
      <c r="C49" s="34" t="n"/>
      <c r="D49" s="34" t="n"/>
      <c r="E49" s="34" t="n"/>
      <c r="F49" s="34" t="n"/>
      <c r="G49" s="25" t="n"/>
      <c r="H49" s="30" t="n"/>
      <c r="I49" s="1" t="n"/>
    </row>
    <row r="50">
      <c r="A50" s="1" t="n"/>
      <c r="B50" s="30" t="n"/>
      <c r="C50" s="34" t="n"/>
      <c r="D50" s="34" t="n"/>
      <c r="E50" s="34" t="n"/>
      <c r="F50" s="34" t="n"/>
      <c r="G50" s="25" t="n"/>
      <c r="H50" s="30" t="n"/>
      <c r="I50" s="1" t="n"/>
    </row>
    <row r="51">
      <c r="A51" s="1" t="n"/>
      <c r="B51" s="30" t="n"/>
      <c r="C51" s="34" t="n"/>
      <c r="D51" s="34" t="n"/>
      <c r="E51" s="34" t="n"/>
      <c r="F51" s="34" t="n"/>
      <c r="G51" s="25" t="n"/>
      <c r="H51" s="30" t="n"/>
      <c r="I51" s="1" t="n"/>
    </row>
    <row r="52">
      <c r="A52" s="1" t="n"/>
      <c r="B52" s="30" t="n"/>
      <c r="C52" s="34" t="n"/>
      <c r="D52" s="34" t="n"/>
      <c r="E52" s="34" t="n"/>
      <c r="F52" s="34" t="n"/>
      <c r="G52" s="25" t="n"/>
      <c r="H52" s="30" t="n"/>
      <c r="I52" s="1" t="n"/>
    </row>
    <row r="53">
      <c r="A53" s="1" t="n"/>
      <c r="B53" s="30" t="n"/>
      <c r="C53" s="34" t="n"/>
      <c r="D53" s="34" t="n"/>
      <c r="E53" s="34" t="n"/>
      <c r="F53" s="34" t="n"/>
      <c r="G53" s="25" t="n"/>
      <c r="H53" s="30" t="n"/>
      <c r="I53" s="1" t="n"/>
    </row>
    <row r="54">
      <c r="A54" s="1" t="n"/>
      <c r="B54" s="30" t="n"/>
      <c r="C54" s="34" t="n"/>
      <c r="D54" s="34" t="n"/>
      <c r="E54" s="34" t="n"/>
      <c r="F54" s="34" t="n"/>
      <c r="G54" s="25" t="n"/>
      <c r="H54" s="30" t="n"/>
      <c r="I54" s="1" t="n"/>
    </row>
    <row r="55">
      <c r="A55" s="1" t="n"/>
      <c r="B55" s="30" t="n"/>
      <c r="C55" s="34" t="n"/>
      <c r="D55" s="34" t="n"/>
      <c r="E55" s="34" t="n"/>
      <c r="F55" s="34" t="n"/>
      <c r="G55" s="25" t="n"/>
      <c r="H55" s="30" t="n"/>
      <c r="I55" s="1" t="n"/>
    </row>
    <row r="56">
      <c r="A56" s="1" t="n"/>
      <c r="B56" s="30" t="n"/>
      <c r="C56" s="34" t="n"/>
      <c r="D56" s="34" t="n"/>
      <c r="E56" s="34" t="n"/>
      <c r="F56" s="34" t="n"/>
      <c r="G56" s="25" t="n"/>
      <c r="H56" s="30" t="n"/>
      <c r="I56" s="1" t="n"/>
    </row>
    <row r="57">
      <c r="A57" s="1" t="n"/>
      <c r="B57" s="30" t="n"/>
      <c r="C57" s="34" t="n"/>
      <c r="D57" s="34" t="n"/>
      <c r="E57" s="34" t="n"/>
      <c r="F57" s="34" t="n"/>
      <c r="G57" s="25" t="n"/>
      <c r="H57" s="30" t="n"/>
      <c r="I57" s="1" t="n"/>
    </row>
    <row r="58">
      <c r="A58" s="1" t="n"/>
      <c r="B58" s="30" t="n"/>
      <c r="C58" s="34" t="n"/>
      <c r="D58" s="34" t="n"/>
      <c r="E58" s="34" t="n"/>
      <c r="F58" s="34" t="n"/>
      <c r="G58" s="25" t="n"/>
      <c r="H58" s="30" t="n"/>
      <c r="I58" s="1" t="n"/>
    </row>
    <row r="59">
      <c r="A59" s="1" t="n"/>
      <c r="B59" s="30" t="n"/>
      <c r="C59" s="34" t="n"/>
      <c r="D59" s="34" t="n"/>
      <c r="E59" s="34" t="n"/>
      <c r="F59" s="34" t="n"/>
      <c r="G59" s="25" t="n"/>
      <c r="H59" s="30" t="n"/>
      <c r="I59" s="1" t="n"/>
    </row>
    <row r="60">
      <c r="A60" s="1" t="n"/>
      <c r="B60" s="30" t="n"/>
      <c r="C60" s="34" t="n"/>
      <c r="D60" s="34" t="n"/>
      <c r="E60" s="34" t="n"/>
      <c r="F60" s="34" t="n"/>
      <c r="G60" s="25" t="n"/>
      <c r="H60" s="30" t="n"/>
      <c r="I60" s="1" t="n"/>
    </row>
    <row r="61">
      <c r="A61" s="1" t="n"/>
      <c r="B61" s="30" t="n"/>
      <c r="C61" s="34" t="n"/>
      <c r="D61" s="34" t="n"/>
      <c r="E61" s="34" t="n"/>
      <c r="F61" s="34" t="n"/>
      <c r="G61" s="25" t="n"/>
      <c r="H61" s="30" t="n"/>
      <c r="I61" s="1" t="n"/>
    </row>
    <row r="62">
      <c r="A62" s="1" t="n"/>
      <c r="B62" s="30" t="n"/>
      <c r="C62" s="34" t="n"/>
      <c r="D62" s="34" t="n"/>
      <c r="E62" s="34" t="n"/>
      <c r="F62" s="34" t="n"/>
      <c r="G62" s="25" t="n"/>
      <c r="H62" s="30" t="n"/>
      <c r="I62" s="1" t="n"/>
    </row>
    <row r="63">
      <c r="A63" s="1" t="n"/>
      <c r="B63" s="30" t="n"/>
      <c r="C63" s="34" t="n"/>
      <c r="D63" s="34" t="n"/>
      <c r="E63" s="34" t="n"/>
      <c r="F63" s="34" t="n"/>
      <c r="G63" s="25" t="n"/>
      <c r="H63" s="30" t="n"/>
      <c r="I63" s="1" t="n"/>
    </row>
    <row r="64">
      <c r="A64" s="1" t="n"/>
      <c r="B64" s="30" t="n"/>
      <c r="C64" s="34" t="n"/>
      <c r="D64" s="34" t="n"/>
      <c r="E64" s="34" t="n"/>
      <c r="F64" s="34" t="n"/>
      <c r="G64" s="25" t="n"/>
      <c r="H64" s="30" t="n"/>
      <c r="I64" s="1" t="n"/>
    </row>
    <row r="65">
      <c r="A65" s="1" t="n"/>
      <c r="B65" s="30" t="n"/>
      <c r="C65" s="34" t="n"/>
      <c r="D65" s="34" t="n"/>
      <c r="E65" s="34" t="n"/>
      <c r="F65" s="34" t="n"/>
      <c r="G65" s="25" t="n"/>
      <c r="H65" s="30" t="n"/>
      <c r="I65" s="1" t="n"/>
    </row>
    <row r="66">
      <c r="A66" s="1" t="n"/>
      <c r="B66" s="30" t="n"/>
      <c r="C66" s="34" t="n"/>
      <c r="D66" s="34" t="n"/>
      <c r="E66" s="34" t="n"/>
      <c r="F66" s="34" t="n"/>
      <c r="G66" s="25" t="n"/>
      <c r="H66" s="30" t="n"/>
      <c r="I66" s="1" t="n"/>
    </row>
    <row r="67">
      <c r="A67" s="1" t="n"/>
      <c r="B67" s="30" t="n"/>
      <c r="C67" s="34" t="n"/>
      <c r="D67" s="34" t="n"/>
      <c r="E67" s="34" t="n"/>
      <c r="F67" s="34" t="n"/>
      <c r="G67" s="25" t="n"/>
      <c r="H67" s="30" t="n"/>
      <c r="I67" s="1" t="n"/>
    </row>
    <row r="68">
      <c r="A68" s="1" t="n"/>
      <c r="B68" s="30" t="n"/>
      <c r="C68" s="34" t="n"/>
      <c r="D68" s="34" t="n"/>
      <c r="E68" s="34" t="n"/>
      <c r="F68" s="34" t="n"/>
      <c r="G68" s="25" t="n"/>
      <c r="H68" s="30" t="n"/>
      <c r="I68" s="1" t="n"/>
    </row>
    <row r="69">
      <c r="A69" s="1" t="n"/>
      <c r="B69" s="30" t="n"/>
      <c r="C69" s="34" t="n"/>
      <c r="D69" s="34" t="n"/>
      <c r="E69" s="34" t="n"/>
      <c r="F69" s="34" t="n"/>
      <c r="G69" s="25" t="n"/>
      <c r="H69" s="30" t="n"/>
      <c r="I69" s="1" t="n"/>
    </row>
    <row r="70">
      <c r="A70" s="1" t="n"/>
      <c r="B70" s="30" t="n"/>
      <c r="C70" s="34" t="n"/>
      <c r="D70" s="34" t="n"/>
      <c r="E70" s="34" t="n"/>
      <c r="F70" s="34" t="n"/>
      <c r="G70" s="25" t="n"/>
      <c r="H70" s="30" t="n"/>
      <c r="I70" s="1" t="n"/>
    </row>
    <row r="71">
      <c r="A71" s="1" t="n"/>
      <c r="B71" s="30" t="n"/>
      <c r="C71" s="34" t="n"/>
      <c r="D71" s="34" t="n"/>
      <c r="E71" s="34" t="n"/>
      <c r="F71" s="34" t="n"/>
      <c r="G71" s="25" t="n"/>
      <c r="H71" s="30" t="n"/>
      <c r="I71" s="1" t="n"/>
    </row>
    <row r="72">
      <c r="A72" s="1" t="n"/>
      <c r="B72" s="30" t="n"/>
      <c r="C72" s="34" t="n"/>
      <c r="D72" s="34" t="n"/>
      <c r="E72" s="34" t="n"/>
      <c r="F72" s="34" t="n"/>
      <c r="G72" s="25" t="n"/>
      <c r="H72" s="30" t="n"/>
      <c r="I72" s="1" t="n"/>
    </row>
    <row r="73">
      <c r="A73" s="1" t="n"/>
      <c r="B73" s="30" t="n"/>
      <c r="C73" s="34" t="n"/>
      <c r="D73" s="34" t="n"/>
      <c r="E73" s="34" t="n"/>
      <c r="F73" s="34" t="n"/>
      <c r="G73" s="25" t="n"/>
      <c r="H73" s="30" t="n"/>
      <c r="I73" s="1" t="n"/>
    </row>
    <row r="74">
      <c r="A74" s="1" t="n"/>
      <c r="B74" s="30" t="n"/>
      <c r="C74" s="34" t="n"/>
      <c r="D74" s="34" t="n"/>
      <c r="E74" s="34" t="n"/>
      <c r="F74" s="34" t="n"/>
      <c r="G74" s="25" t="n"/>
      <c r="H74" s="30" t="n"/>
      <c r="I74" s="1" t="n"/>
    </row>
    <row r="75">
      <c r="A75" s="1" t="n"/>
      <c r="B75" s="30" t="n"/>
      <c r="C75" s="34" t="n"/>
      <c r="D75" s="34" t="n"/>
      <c r="E75" s="34" t="n"/>
      <c r="F75" s="34" t="n"/>
      <c r="G75" s="25" t="n"/>
      <c r="H75" s="30" t="n"/>
      <c r="I75" s="1" t="n"/>
    </row>
    <row r="76">
      <c r="A76" s="1" t="n"/>
      <c r="B76" s="30" t="n"/>
      <c r="C76" s="34" t="n"/>
      <c r="D76" s="34" t="n"/>
      <c r="E76" s="34" t="n"/>
      <c r="F76" s="34" t="n"/>
      <c r="G76" s="25" t="n"/>
      <c r="H76" s="30" t="n"/>
      <c r="I76" s="1" t="n"/>
    </row>
    <row r="77">
      <c r="A77" s="1" t="n"/>
      <c r="B77" s="30" t="n"/>
      <c r="C77" s="34" t="n"/>
      <c r="D77" s="34" t="n"/>
      <c r="E77" s="34" t="n"/>
      <c r="F77" s="34" t="n"/>
      <c r="G77" s="25" t="n"/>
      <c r="H77" s="30" t="n"/>
      <c r="I77" s="1" t="n"/>
    </row>
    <row r="78">
      <c r="A78" s="1" t="n"/>
      <c r="B78" s="30" t="n"/>
      <c r="C78" s="34" t="n"/>
      <c r="D78" s="34" t="n"/>
      <c r="E78" s="34" t="n"/>
      <c r="F78" s="34" t="n"/>
      <c r="G78" s="25" t="n"/>
      <c r="H78" s="30" t="n"/>
      <c r="I78" s="1" t="n"/>
    </row>
    <row r="79">
      <c r="A79" s="1" t="n"/>
      <c r="B79" s="30" t="n"/>
      <c r="C79" s="34" t="n"/>
      <c r="D79" s="34" t="n"/>
      <c r="E79" s="34" t="n"/>
      <c r="F79" s="34" t="n"/>
      <c r="G79" s="25" t="n"/>
      <c r="H79" s="30" t="n"/>
      <c r="I79" s="1" t="n"/>
    </row>
    <row r="80">
      <c r="A80" s="1" t="n"/>
      <c r="B80" s="30" t="n"/>
      <c r="C80" s="34" t="n"/>
      <c r="D80" s="34" t="n"/>
      <c r="E80" s="34" t="n"/>
      <c r="F80" s="34" t="n"/>
      <c r="G80" s="25" t="n"/>
      <c r="H80" s="30" t="n"/>
      <c r="I80" s="1" t="n"/>
    </row>
    <row r="81">
      <c r="A81" s="1" t="n"/>
      <c r="B81" s="30" t="n"/>
      <c r="C81" s="34" t="n"/>
      <c r="D81" s="34" t="n"/>
      <c r="E81" s="34" t="n"/>
      <c r="F81" s="34" t="n"/>
      <c r="G81" s="25" t="n"/>
      <c r="H81" s="30" t="n"/>
      <c r="I81" s="1" t="n"/>
    </row>
    <row r="82">
      <c r="A82" s="1" t="n"/>
      <c r="B82" s="30" t="n"/>
      <c r="C82" s="34" t="n"/>
      <c r="D82" s="34" t="n"/>
      <c r="E82" s="34" t="n"/>
      <c r="F82" s="34" t="n"/>
      <c r="G82" s="25" t="n"/>
      <c r="H82" s="30" t="n"/>
      <c r="I82" s="1" t="n"/>
    </row>
    <row r="83">
      <c r="A83" s="1" t="n"/>
      <c r="B83" s="30" t="n"/>
      <c r="C83" s="34" t="n"/>
      <c r="D83" s="34" t="n"/>
      <c r="E83" s="34" t="n"/>
      <c r="F83" s="34" t="n"/>
      <c r="G83" s="25" t="n"/>
      <c r="H83" s="30" t="n"/>
      <c r="I83" s="1" t="n"/>
    </row>
    <row r="84">
      <c r="A84" s="1" t="n"/>
      <c r="B84" s="30" t="n"/>
      <c r="C84" s="34" t="n"/>
      <c r="D84" s="34" t="n"/>
      <c r="E84" s="34" t="n"/>
      <c r="F84" s="34" t="n"/>
      <c r="G84" s="25" t="n"/>
      <c r="H84" s="30" t="n"/>
      <c r="I84" s="1" t="n"/>
    </row>
    <row r="85">
      <c r="A85" s="1" t="n"/>
      <c r="B85" s="30" t="n"/>
      <c r="C85" s="34" t="n"/>
      <c r="D85" s="34" t="n"/>
      <c r="E85" s="34" t="n"/>
      <c r="F85" s="34" t="n"/>
      <c r="G85" s="25" t="n"/>
      <c r="H85" s="30" t="n"/>
      <c r="I85" s="1" t="n"/>
    </row>
    <row r="86">
      <c r="A86" s="1" t="n"/>
      <c r="B86" s="30" t="n"/>
      <c r="C86" s="34" t="n"/>
      <c r="D86" s="34" t="n"/>
      <c r="E86" s="34" t="n"/>
      <c r="F86" s="34" t="n"/>
      <c r="G86" s="25" t="n"/>
      <c r="H86" s="30" t="n"/>
      <c r="I86" s="1" t="n"/>
    </row>
    <row r="87">
      <c r="A87" s="1" t="n"/>
      <c r="B87" s="30" t="n"/>
      <c r="C87" s="34" t="n"/>
      <c r="D87" s="34" t="n"/>
      <c r="E87" s="34" t="n"/>
      <c r="F87" s="34" t="n"/>
      <c r="G87" s="25" t="n"/>
      <c r="H87" s="30" t="n"/>
      <c r="I87" s="1" t="n"/>
    </row>
    <row r="88">
      <c r="A88" s="1" t="n"/>
      <c r="B88" s="30" t="n"/>
      <c r="C88" s="34" t="n"/>
      <c r="D88" s="34" t="n"/>
      <c r="E88" s="34" t="n"/>
      <c r="F88" s="34" t="n"/>
      <c r="G88" s="25" t="n"/>
      <c r="H88" s="30" t="n"/>
      <c r="I88" s="1" t="n"/>
    </row>
    <row r="89">
      <c r="A89" s="1" t="n"/>
      <c r="B89" s="30" t="n"/>
      <c r="C89" s="34" t="n"/>
      <c r="D89" s="34" t="n"/>
      <c r="E89" s="34" t="n"/>
      <c r="F89" s="34" t="n"/>
      <c r="G89" s="25" t="n"/>
      <c r="H89" s="30" t="n"/>
      <c r="I89" s="1" t="n"/>
    </row>
    <row r="90">
      <c r="A90" s="1" t="n"/>
      <c r="B90" s="30" t="n"/>
      <c r="C90" s="34" t="n"/>
      <c r="D90" s="34" t="n"/>
      <c r="E90" s="34" t="n"/>
      <c r="F90" s="34" t="n"/>
      <c r="G90" s="25" t="n"/>
      <c r="H90" s="30" t="n"/>
      <c r="I90" s="1" t="n"/>
    </row>
    <row r="91">
      <c r="A91" s="1" t="n"/>
      <c r="B91" s="30" t="n"/>
      <c r="C91" s="34" t="n"/>
      <c r="D91" s="34" t="n"/>
      <c r="E91" s="34" t="n"/>
      <c r="F91" s="34" t="n"/>
      <c r="G91" s="25" t="n"/>
      <c r="H91" s="30" t="n"/>
      <c r="I91" s="1" t="n"/>
    </row>
    <row r="92">
      <c r="A92" s="1" t="n"/>
      <c r="B92" s="30" t="n"/>
      <c r="C92" s="34" t="n"/>
      <c r="D92" s="34" t="n"/>
      <c r="E92" s="34" t="n"/>
      <c r="F92" s="34" t="n"/>
      <c r="G92" s="25" t="n"/>
      <c r="H92" s="30" t="n"/>
      <c r="I92" s="1" t="n"/>
    </row>
    <row r="93">
      <c r="A93" s="1" t="n"/>
      <c r="B93" s="30" t="n"/>
      <c r="C93" s="34" t="n"/>
      <c r="D93" s="34" t="n"/>
      <c r="E93" s="34" t="n"/>
      <c r="F93" s="34" t="n"/>
      <c r="G93" s="25" t="n"/>
      <c r="H93" s="30" t="n"/>
      <c r="I93" s="1" t="n"/>
    </row>
    <row r="94">
      <c r="A94" s="1" t="n"/>
      <c r="B94" s="30" t="n"/>
      <c r="C94" s="34" t="n"/>
      <c r="D94" s="34" t="n"/>
      <c r="E94" s="34" t="n"/>
      <c r="F94" s="34" t="n"/>
      <c r="G94" s="25" t="n"/>
      <c r="H94" s="30" t="n"/>
      <c r="I94" s="1" t="n"/>
    </row>
    <row r="95">
      <c r="A95" s="1" t="n"/>
      <c r="B95" s="30" t="n"/>
      <c r="C95" s="34" t="n"/>
      <c r="D95" s="34" t="n"/>
      <c r="E95" s="34" t="n"/>
      <c r="F95" s="34" t="n"/>
      <c r="G95" s="25" t="n"/>
      <c r="H95" s="30" t="n"/>
      <c r="I95" s="1" t="n"/>
    </row>
    <row r="96">
      <c r="A96" s="1" t="n"/>
      <c r="B96" s="30" t="n"/>
      <c r="C96" s="34" t="n"/>
      <c r="D96" s="34" t="n"/>
      <c r="E96" s="34" t="n"/>
      <c r="F96" s="34" t="n"/>
      <c r="G96" s="25" t="n"/>
      <c r="H96" s="30" t="n"/>
      <c r="I96" s="1" t="n"/>
    </row>
    <row r="97">
      <c r="A97" s="1" t="n"/>
      <c r="B97" s="30" t="n"/>
      <c r="C97" s="34" t="n"/>
      <c r="D97" s="34" t="n"/>
      <c r="E97" s="34" t="n"/>
      <c r="F97" s="34" t="n"/>
      <c r="G97" s="25" t="n"/>
      <c r="H97" s="30" t="n"/>
      <c r="I97" s="1" t="n"/>
    </row>
    <row r="98">
      <c r="A98" s="1" t="n"/>
      <c r="B98" s="30" t="n"/>
      <c r="C98" s="34" t="n"/>
      <c r="D98" s="34" t="n"/>
      <c r="E98" s="34" t="n"/>
      <c r="F98" s="34" t="n"/>
      <c r="G98" s="25" t="n"/>
      <c r="H98" s="30" t="n"/>
      <c r="I98" s="1" t="n"/>
    </row>
    <row r="99">
      <c r="A99" s="1" t="n"/>
      <c r="B99" s="30" t="n"/>
      <c r="C99" s="34" t="n"/>
      <c r="D99" s="34" t="n"/>
      <c r="E99" s="34" t="n"/>
      <c r="F99" s="34" t="n"/>
      <c r="G99" s="25" t="n"/>
      <c r="H99" s="30" t="n"/>
      <c r="I99" s="1" t="n"/>
    </row>
    <row r="100">
      <c r="A100" s="1" t="n"/>
      <c r="B100" s="30" t="n"/>
      <c r="C100" s="34" t="n"/>
      <c r="D100" s="34" t="n"/>
      <c r="E100" s="34" t="n"/>
      <c r="F100" s="34" t="n"/>
      <c r="G100" s="25" t="n"/>
      <c r="H100" s="30" t="n"/>
      <c r="I100" s="1" t="n"/>
    </row>
    <row r="101">
      <c r="A101" s="1" t="n"/>
      <c r="B101" s="30" t="n"/>
      <c r="C101" s="34" t="n"/>
      <c r="D101" s="34" t="n"/>
      <c r="E101" s="34" t="n"/>
      <c r="F101" s="34" t="n"/>
      <c r="G101" s="25" t="n"/>
      <c r="H101" s="30" t="n"/>
      <c r="I101" s="1" t="n"/>
    </row>
    <row r="102">
      <c r="A102" s="1" t="n"/>
      <c r="B102" s="30" t="n"/>
      <c r="C102" s="34" t="n"/>
      <c r="D102" s="34" t="n"/>
      <c r="E102" s="34" t="n"/>
      <c r="F102" s="34" t="n"/>
      <c r="G102" s="25" t="n"/>
      <c r="H102" s="30" t="n"/>
      <c r="I102" s="1" t="n"/>
    </row>
    <row r="103">
      <c r="A103" s="1" t="n"/>
      <c r="B103" s="30" t="n"/>
      <c r="C103" s="34" t="n"/>
      <c r="D103" s="34" t="n"/>
      <c r="E103" s="34" t="n"/>
      <c r="F103" s="34" t="n"/>
      <c r="G103" s="25" t="n"/>
      <c r="H103" s="30" t="n"/>
      <c r="I103" s="1" t="n"/>
    </row>
    <row r="104">
      <c r="A104" s="1" t="n"/>
      <c r="B104" s="30" t="n"/>
      <c r="C104" s="34" t="n"/>
      <c r="D104" s="34" t="n"/>
      <c r="E104" s="34" t="n"/>
      <c r="F104" s="34" t="n"/>
      <c r="G104" s="25" t="n"/>
      <c r="H104" s="30" t="n"/>
      <c r="I104" s="1" t="n"/>
    </row>
    <row r="105">
      <c r="A105" s="1" t="n"/>
      <c r="B105" s="30" t="n"/>
      <c r="C105" s="34" t="n"/>
      <c r="D105" s="34" t="n"/>
      <c r="E105" s="34" t="n"/>
      <c r="F105" s="34" t="n"/>
      <c r="G105" s="25" t="n"/>
      <c r="H105" s="30" t="n"/>
      <c r="I105" s="1" t="n"/>
    </row>
    <row r="106">
      <c r="A106" s="1" t="n"/>
      <c r="B106" s="30" t="n"/>
      <c r="C106" s="34" t="n"/>
      <c r="D106" s="34" t="n"/>
      <c r="E106" s="34" t="n"/>
      <c r="F106" s="34" t="n"/>
      <c r="G106" s="25" t="n"/>
      <c r="H106" s="30" t="n"/>
      <c r="I106" s="1" t="n"/>
    </row>
    <row r="107">
      <c r="A107" s="1" t="n"/>
      <c r="B107" s="30" t="n"/>
      <c r="C107" s="34" t="n"/>
      <c r="D107" s="34" t="n"/>
      <c r="E107" s="34" t="n"/>
      <c r="F107" s="34" t="n"/>
      <c r="G107" s="25" t="n"/>
      <c r="H107" s="30" t="n"/>
      <c r="I107" s="1" t="n"/>
    </row>
    <row r="108">
      <c r="A108" s="1" t="n"/>
      <c r="B108" s="30" t="n"/>
      <c r="C108" s="34" t="n"/>
      <c r="D108" s="34" t="n"/>
      <c r="E108" s="34" t="n"/>
      <c r="F108" s="34" t="n"/>
      <c r="G108" s="25" t="n"/>
      <c r="H108" s="30" t="n"/>
      <c r="I108" s="1" t="n"/>
    </row>
    <row r="109">
      <c r="A109" s="1" t="n"/>
      <c r="B109" s="30" t="n"/>
      <c r="C109" s="34" t="n"/>
      <c r="D109" s="34" t="n"/>
      <c r="E109" s="34" t="n"/>
      <c r="F109" s="34" t="n"/>
      <c r="G109" s="25" t="n"/>
      <c r="H109" s="30" t="n"/>
      <c r="I109" s="1" t="n"/>
    </row>
    <row r="110">
      <c r="A110" s="1" t="n"/>
      <c r="B110" s="30" t="n"/>
      <c r="C110" s="34" t="n"/>
      <c r="D110" s="34" t="n"/>
      <c r="E110" s="34" t="n"/>
      <c r="F110" s="34" t="n"/>
      <c r="G110" s="25" t="n"/>
      <c r="H110" s="30" t="n"/>
      <c r="I110" s="1" t="n"/>
    </row>
    <row r="111">
      <c r="A111" s="1" t="n"/>
      <c r="B111" s="30" t="n"/>
      <c r="C111" s="34" t="n"/>
      <c r="D111" s="34" t="n"/>
      <c r="E111" s="34" t="n"/>
      <c r="F111" s="34" t="n"/>
      <c r="G111" s="25" t="n"/>
      <c r="H111" s="30" t="n"/>
      <c r="I111" s="1" t="n"/>
    </row>
    <row r="112">
      <c r="A112" s="1" t="n"/>
      <c r="B112" s="30" t="n"/>
      <c r="C112" s="34" t="n"/>
      <c r="D112" s="34" t="n"/>
      <c r="E112" s="34" t="n"/>
      <c r="F112" s="34" t="n"/>
      <c r="G112" s="25" t="n"/>
      <c r="H112" s="30" t="n"/>
      <c r="I112" s="1" t="n"/>
    </row>
    <row r="113">
      <c r="A113" s="1" t="n"/>
      <c r="B113" s="30" t="n"/>
      <c r="C113" s="34" t="n"/>
      <c r="D113" s="34" t="n"/>
      <c r="E113" s="34" t="n"/>
      <c r="F113" s="34" t="n"/>
      <c r="G113" s="25" t="n"/>
      <c r="H113" s="30" t="n"/>
      <c r="I113" s="1" t="n"/>
    </row>
    <row r="114">
      <c r="A114" s="1" t="n"/>
      <c r="B114" s="30" t="n"/>
      <c r="C114" s="34" t="n"/>
      <c r="D114" s="34" t="n"/>
      <c r="E114" s="34" t="n"/>
      <c r="F114" s="34" t="n"/>
      <c r="G114" s="25" t="n"/>
      <c r="H114" s="30" t="n"/>
      <c r="I114" s="1" t="n"/>
    </row>
    <row r="115">
      <c r="A115" s="1" t="n"/>
      <c r="B115" s="30" t="n"/>
      <c r="C115" s="34" t="n"/>
      <c r="D115" s="34" t="n"/>
      <c r="E115" s="34" t="n"/>
      <c r="F115" s="34" t="n"/>
      <c r="G115" s="25" t="n"/>
      <c r="H115" s="30" t="n"/>
      <c r="I115" s="1" t="n"/>
    </row>
    <row r="116">
      <c r="A116" s="1" t="n"/>
      <c r="B116" s="30" t="n"/>
      <c r="C116" s="34" t="n"/>
      <c r="D116" s="34" t="n"/>
      <c r="E116" s="34" t="n"/>
      <c r="F116" s="34" t="n"/>
      <c r="G116" s="25" t="n"/>
      <c r="H116" s="30" t="n"/>
      <c r="I116" s="1" t="n"/>
    </row>
    <row r="117">
      <c r="A117" s="1" t="n"/>
      <c r="B117" s="30" t="n"/>
      <c r="C117" s="34" t="n"/>
      <c r="D117" s="34" t="n"/>
      <c r="E117" s="34" t="n"/>
      <c r="F117" s="34" t="n"/>
      <c r="G117" s="25" t="n"/>
      <c r="H117" s="30" t="n"/>
      <c r="I117" s="1" t="n"/>
    </row>
    <row r="118">
      <c r="A118" s="1" t="n"/>
      <c r="B118" s="30" t="n"/>
      <c r="C118" s="34" t="n"/>
      <c r="D118" s="34" t="n"/>
      <c r="E118" s="34" t="n"/>
      <c r="F118" s="34" t="n"/>
      <c r="G118" s="25" t="n"/>
      <c r="H118" s="30" t="n"/>
      <c r="I118" s="1" t="n"/>
    </row>
    <row r="119">
      <c r="A119" s="1" t="n"/>
      <c r="B119" s="30" t="n"/>
      <c r="C119" s="34" t="n"/>
      <c r="D119" s="34" t="n"/>
      <c r="E119" s="34" t="n"/>
      <c r="F119" s="34" t="n"/>
      <c r="G119" s="25" t="n"/>
      <c r="H119" s="30" t="n"/>
      <c r="I119" s="1" t="n"/>
    </row>
    <row r="120">
      <c r="A120" s="1" t="n"/>
      <c r="B120" s="30" t="n"/>
      <c r="C120" s="34" t="n"/>
      <c r="D120" s="34" t="n"/>
      <c r="E120" s="34" t="n"/>
      <c r="F120" s="34" t="n"/>
      <c r="G120" s="25" t="n"/>
      <c r="H120" s="30" t="n"/>
      <c r="I120" s="1" t="n"/>
    </row>
    <row r="121">
      <c r="A121" s="1" t="n"/>
      <c r="B121" s="30" t="n"/>
      <c r="C121" s="34" t="n"/>
      <c r="D121" s="34" t="n"/>
      <c r="E121" s="34" t="n"/>
      <c r="F121" s="34" t="n"/>
      <c r="G121" s="25" t="n"/>
      <c r="H121" s="30" t="n"/>
      <c r="I121" s="1" t="n"/>
    </row>
    <row r="122">
      <c r="A122" s="1" t="n"/>
      <c r="B122" s="30" t="n"/>
      <c r="C122" s="34" t="n"/>
      <c r="D122" s="34" t="n"/>
      <c r="E122" s="34" t="n"/>
      <c r="F122" s="34" t="n"/>
      <c r="G122" s="25" t="n"/>
      <c r="H122" s="30" t="n"/>
      <c r="I122" s="1" t="n"/>
    </row>
    <row r="123">
      <c r="A123" s="1" t="n"/>
      <c r="B123" s="30" t="n"/>
      <c r="C123" s="34" t="n"/>
      <c r="D123" s="34" t="n"/>
      <c r="E123" s="34" t="n"/>
      <c r="F123" s="34" t="n"/>
      <c r="G123" s="25" t="n"/>
      <c r="H123" s="30" t="n"/>
      <c r="I123" s="1" t="n"/>
    </row>
    <row r="124">
      <c r="A124" s="1" t="n"/>
      <c r="B124" s="30" t="n"/>
      <c r="C124" s="34" t="n"/>
      <c r="D124" s="34" t="n"/>
      <c r="E124" s="34" t="n"/>
      <c r="F124" s="34" t="n"/>
      <c r="G124" s="25" t="n"/>
      <c r="H124" s="30" t="n"/>
      <c r="I124" s="1" t="n"/>
    </row>
    <row r="125">
      <c r="A125" s="1" t="n"/>
      <c r="B125" s="30" t="n"/>
      <c r="C125" s="34" t="n"/>
      <c r="D125" s="34" t="n"/>
      <c r="E125" s="34" t="n"/>
      <c r="F125" s="34" t="n"/>
      <c r="G125" s="25" t="n"/>
      <c r="H125" s="30" t="n"/>
      <c r="I125" s="1" t="n"/>
    </row>
    <row r="126">
      <c r="A126" s="1" t="n"/>
      <c r="B126" s="30" t="n"/>
      <c r="C126" s="34" t="n"/>
      <c r="D126" s="34" t="n"/>
      <c r="E126" s="34" t="n"/>
      <c r="F126" s="34" t="n"/>
      <c r="G126" s="25" t="n"/>
      <c r="H126" s="30" t="n"/>
      <c r="I126" s="1" t="n"/>
    </row>
    <row r="127">
      <c r="A127" s="1" t="n"/>
      <c r="B127" s="30" t="n"/>
      <c r="C127" s="34" t="n"/>
      <c r="D127" s="34" t="n"/>
      <c r="E127" s="34" t="n"/>
      <c r="F127" s="34" t="n"/>
      <c r="G127" s="25" t="n"/>
      <c r="H127" s="30" t="n"/>
      <c r="I127" s="1" t="n"/>
    </row>
    <row r="128">
      <c r="A128" s="1" t="n"/>
      <c r="B128" s="30" t="n"/>
      <c r="C128" s="34" t="n"/>
      <c r="D128" s="34" t="n"/>
      <c r="E128" s="34" t="n"/>
      <c r="F128" s="34" t="n"/>
      <c r="G128" s="25" t="n"/>
      <c r="H128" s="30" t="n"/>
      <c r="I128" s="1" t="n"/>
    </row>
    <row r="129">
      <c r="A129" s="1" t="n"/>
      <c r="B129" s="30" t="n"/>
      <c r="C129" s="34" t="n"/>
      <c r="D129" s="34" t="n"/>
      <c r="E129" s="34" t="n"/>
      <c r="F129" s="34" t="n"/>
      <c r="G129" s="25" t="n"/>
      <c r="H129" s="30" t="n"/>
      <c r="I129" s="1" t="n"/>
    </row>
    <row r="130">
      <c r="A130" s="1" t="n"/>
      <c r="B130" s="30" t="n"/>
      <c r="C130" s="34" t="n"/>
      <c r="D130" s="34" t="n"/>
      <c r="E130" s="34" t="n"/>
      <c r="F130" s="34" t="n"/>
      <c r="G130" s="25" t="n"/>
      <c r="H130" s="30" t="n"/>
      <c r="I130" s="1" t="n"/>
    </row>
    <row r="131">
      <c r="A131" s="1" t="n"/>
      <c r="B131" s="30" t="n"/>
      <c r="C131" s="34" t="n"/>
      <c r="D131" s="34" t="n"/>
      <c r="E131" s="34" t="n"/>
      <c r="F131" s="34" t="n"/>
      <c r="G131" s="25" t="n"/>
      <c r="H131" s="30" t="n"/>
      <c r="I131" s="1" t="n"/>
    </row>
    <row r="132">
      <c r="A132" s="1" t="n"/>
      <c r="B132" s="30" t="n"/>
      <c r="C132" s="34" t="n"/>
      <c r="D132" s="34" t="n"/>
      <c r="E132" s="34" t="n"/>
      <c r="F132" s="34" t="n"/>
      <c r="G132" s="25" t="n"/>
      <c r="H132" s="30" t="n"/>
      <c r="I132" s="1" t="n"/>
    </row>
    <row r="133">
      <c r="A133" s="1" t="n"/>
      <c r="B133" s="30" t="n"/>
      <c r="C133" s="34" t="n"/>
      <c r="D133" s="34" t="n"/>
      <c r="E133" s="34" t="n"/>
      <c r="F133" s="34" t="n"/>
      <c r="G133" s="25" t="n"/>
      <c r="H133" s="30" t="n"/>
      <c r="I133" s="1" t="n"/>
    </row>
    <row r="134">
      <c r="A134" s="1" t="n"/>
      <c r="B134" s="30" t="n"/>
      <c r="C134" s="34" t="n"/>
      <c r="D134" s="34" t="n"/>
      <c r="E134" s="34" t="n"/>
      <c r="F134" s="34" t="n"/>
      <c r="G134" s="25" t="n"/>
      <c r="H134" s="30" t="n"/>
      <c r="I134" s="1" t="n"/>
    </row>
    <row r="135">
      <c r="A135" s="1" t="n"/>
      <c r="B135" s="30" t="n"/>
      <c r="C135" s="34" t="n"/>
      <c r="D135" s="34" t="n"/>
      <c r="E135" s="34" t="n"/>
      <c r="F135" s="34" t="n"/>
      <c r="G135" s="25" t="n"/>
      <c r="H135" s="30" t="n"/>
      <c r="I135" s="1" t="n"/>
    </row>
    <row r="136">
      <c r="A136" s="1" t="n"/>
      <c r="B136" s="30" t="n"/>
      <c r="C136" s="34" t="n"/>
      <c r="D136" s="34" t="n"/>
      <c r="E136" s="34" t="n"/>
      <c r="F136" s="34" t="n"/>
      <c r="G136" s="25" t="n"/>
      <c r="H136" s="30" t="n"/>
      <c r="I136" s="1" t="n"/>
    </row>
    <row r="137">
      <c r="A137" s="1" t="n"/>
      <c r="B137" s="30" t="n"/>
      <c r="C137" s="34" t="n"/>
      <c r="D137" s="34" t="n"/>
      <c r="E137" s="34" t="n"/>
      <c r="F137" s="34" t="n"/>
      <c r="G137" s="25" t="n"/>
      <c r="H137" s="30" t="n"/>
      <c r="I137" s="1" t="n"/>
    </row>
    <row r="138">
      <c r="A138" s="1" t="n"/>
      <c r="B138" s="30" t="n"/>
      <c r="C138" s="34" t="n"/>
      <c r="D138" s="34" t="n"/>
      <c r="E138" s="34" t="n"/>
      <c r="F138" s="34" t="n"/>
      <c r="G138" s="25" t="n"/>
      <c r="H138" s="30" t="n"/>
      <c r="I138" s="1" t="n"/>
    </row>
    <row r="139">
      <c r="A139" s="1" t="n"/>
      <c r="B139" s="30" t="n"/>
      <c r="C139" s="34" t="n"/>
      <c r="D139" s="34" t="n"/>
      <c r="E139" s="34" t="n"/>
      <c r="F139" s="34" t="n"/>
      <c r="G139" s="25" t="n"/>
      <c r="H139" s="30" t="n"/>
      <c r="I139" s="1" t="n"/>
    </row>
    <row r="140">
      <c r="A140" s="1" t="n"/>
      <c r="B140" s="30" t="n"/>
      <c r="C140" s="34" t="n"/>
      <c r="D140" s="34" t="n"/>
      <c r="E140" s="34" t="n"/>
      <c r="F140" s="34" t="n"/>
      <c r="G140" s="25" t="n"/>
      <c r="H140" s="30" t="n"/>
      <c r="I140" s="1" t="n"/>
    </row>
    <row r="141">
      <c r="A141" s="1" t="n"/>
      <c r="B141" s="30" t="n"/>
      <c r="C141" s="34" t="n"/>
      <c r="D141" s="34" t="n"/>
      <c r="E141" s="34" t="n"/>
      <c r="F141" s="34" t="n"/>
      <c r="G141" s="25" t="n"/>
      <c r="H141" s="30" t="n"/>
      <c r="I141" s="1" t="n"/>
    </row>
    <row r="142">
      <c r="A142" s="1" t="n"/>
      <c r="B142" s="30" t="n"/>
      <c r="C142" s="34" t="n"/>
      <c r="D142" s="34" t="n"/>
      <c r="E142" s="34" t="n"/>
      <c r="F142" s="34" t="n"/>
      <c r="G142" s="25" t="n"/>
      <c r="H142" s="30" t="n"/>
      <c r="I142" s="1" t="n"/>
    </row>
    <row r="143">
      <c r="A143" s="1" t="n"/>
      <c r="B143" s="30" t="n"/>
      <c r="C143" s="34" t="n"/>
      <c r="D143" s="34" t="n"/>
      <c r="E143" s="34" t="n"/>
      <c r="F143" s="34" t="n"/>
      <c r="G143" s="25" t="n"/>
      <c r="H143" s="30" t="n"/>
      <c r="I143" s="1" t="n"/>
    </row>
    <row r="144">
      <c r="A144" s="1" t="n"/>
      <c r="B144" s="30" t="n"/>
      <c r="C144" s="34" t="n"/>
      <c r="D144" s="34" t="n"/>
      <c r="E144" s="34" t="n"/>
      <c r="F144" s="34" t="n"/>
      <c r="G144" s="25" t="n"/>
      <c r="H144" s="30" t="n"/>
      <c r="I144" s="1" t="n"/>
    </row>
    <row r="145">
      <c r="A145" s="1" t="n"/>
      <c r="B145" s="30" t="n"/>
      <c r="C145" s="34" t="n"/>
      <c r="D145" s="34" t="n"/>
      <c r="E145" s="34" t="n"/>
      <c r="F145" s="34" t="n"/>
      <c r="G145" s="25" t="n"/>
      <c r="H145" s="30" t="n"/>
      <c r="I145" s="1" t="n"/>
    </row>
    <row r="146">
      <c r="A146" s="1" t="n"/>
      <c r="B146" s="30" t="n"/>
      <c r="C146" s="34" t="n"/>
      <c r="D146" s="34" t="n"/>
      <c r="E146" s="34" t="n"/>
      <c r="F146" s="34" t="n"/>
      <c r="G146" s="25" t="n"/>
      <c r="H146" s="30" t="n"/>
      <c r="I146" s="1" t="n"/>
    </row>
    <row r="147">
      <c r="A147" s="1" t="n"/>
      <c r="B147" s="30" t="n"/>
      <c r="C147" s="34" t="n"/>
      <c r="D147" s="34" t="n"/>
      <c r="E147" s="34" t="n"/>
      <c r="F147" s="34" t="n"/>
      <c r="G147" s="25" t="n"/>
      <c r="H147" s="30" t="n"/>
      <c r="I147" s="1" t="n"/>
    </row>
    <row r="148">
      <c r="A148" s="1" t="n"/>
      <c r="B148" s="30" t="n"/>
      <c r="C148" s="34" t="n"/>
      <c r="D148" s="34" t="n"/>
      <c r="E148" s="34" t="n"/>
      <c r="F148" s="34" t="n"/>
      <c r="G148" s="25" t="n"/>
      <c r="H148" s="30" t="n"/>
      <c r="I148" s="1" t="n"/>
    </row>
    <row r="149">
      <c r="A149" s="1" t="n"/>
      <c r="B149" s="30" t="n"/>
      <c r="C149" s="34" t="n"/>
      <c r="D149" s="34" t="n"/>
      <c r="E149" s="34" t="n"/>
      <c r="F149" s="34" t="n"/>
      <c r="G149" s="25" t="n"/>
      <c r="H149" s="30" t="n"/>
      <c r="I149" s="1" t="n"/>
    </row>
    <row r="150">
      <c r="A150" s="1" t="n"/>
      <c r="B150" s="30" t="n"/>
      <c r="C150" s="34" t="n"/>
      <c r="D150" s="34" t="n"/>
      <c r="E150" s="34" t="n"/>
      <c r="F150" s="34" t="n"/>
      <c r="G150" s="25" t="n"/>
      <c r="H150" s="30" t="n"/>
      <c r="I150" s="1" t="n"/>
    </row>
    <row r="151">
      <c r="A151" s="1" t="n"/>
      <c r="B151" s="30" t="n"/>
      <c r="C151" s="34" t="n"/>
      <c r="D151" s="34" t="n"/>
      <c r="E151" s="34" t="n"/>
      <c r="F151" s="34" t="n"/>
      <c r="G151" s="25" t="n"/>
      <c r="H151" s="30" t="n"/>
      <c r="I151" s="1" t="n"/>
    </row>
    <row r="152">
      <c r="A152" s="1" t="n"/>
      <c r="B152" s="30" t="n"/>
      <c r="C152" s="34" t="n"/>
      <c r="D152" s="34" t="n"/>
      <c r="E152" s="34" t="n"/>
      <c r="F152" s="34" t="n"/>
      <c r="G152" s="25" t="n"/>
      <c r="H152" s="30" t="n"/>
      <c r="I152" s="1" t="n"/>
    </row>
    <row r="153">
      <c r="A153" s="1" t="n"/>
      <c r="B153" s="30" t="n"/>
      <c r="C153" s="34" t="n"/>
      <c r="D153" s="34" t="n"/>
      <c r="E153" s="34" t="n"/>
      <c r="F153" s="34" t="n"/>
      <c r="G153" s="25" t="n"/>
      <c r="H153" s="30" t="n"/>
      <c r="I153" s="1" t="n"/>
    </row>
    <row r="154">
      <c r="A154" s="1" t="n"/>
      <c r="B154" s="30" t="n"/>
      <c r="C154" s="34" t="n"/>
      <c r="D154" s="34" t="n"/>
      <c r="E154" s="34" t="n"/>
      <c r="F154" s="34" t="n"/>
      <c r="G154" s="25" t="n"/>
      <c r="H154" s="30" t="n"/>
      <c r="I154" s="1" t="n"/>
    </row>
    <row r="155">
      <c r="A155" s="1" t="n"/>
      <c r="B155" s="30" t="n"/>
      <c r="C155" s="34" t="n"/>
      <c r="D155" s="34" t="n"/>
      <c r="E155" s="34" t="n"/>
      <c r="F155" s="34" t="n"/>
      <c r="G155" s="25" t="n"/>
      <c r="H155" s="30" t="n"/>
      <c r="I155" s="1" t="n"/>
    </row>
    <row r="156">
      <c r="A156" s="1" t="n"/>
      <c r="B156" s="30" t="n"/>
      <c r="C156" s="34" t="n"/>
      <c r="D156" s="34" t="n"/>
      <c r="E156" s="34" t="n"/>
      <c r="F156" s="34" t="n"/>
      <c r="G156" s="25" t="n"/>
      <c r="H156" s="30" t="n"/>
      <c r="I156" s="1" t="n"/>
    </row>
    <row r="157">
      <c r="A157" s="1" t="n"/>
      <c r="B157" s="30" t="n"/>
      <c r="C157" s="34" t="n"/>
      <c r="D157" s="34" t="n"/>
      <c r="E157" s="34" t="n"/>
      <c r="F157" s="34" t="n"/>
      <c r="G157" s="25" t="n"/>
      <c r="H157" s="30" t="n"/>
      <c r="I157" s="1" t="n"/>
    </row>
    <row r="158">
      <c r="A158" s="1" t="n"/>
      <c r="B158" s="30" t="n"/>
      <c r="C158" s="34" t="n"/>
      <c r="D158" s="34" t="n"/>
      <c r="E158" s="34" t="n"/>
      <c r="F158" s="34" t="n"/>
      <c r="G158" s="25" t="n"/>
      <c r="H158" s="30" t="n"/>
      <c r="I158" s="1" t="n"/>
    </row>
    <row r="159">
      <c r="A159" s="1" t="n"/>
      <c r="B159" s="30" t="n"/>
      <c r="C159" s="34" t="n"/>
      <c r="D159" s="34" t="n"/>
      <c r="E159" s="34" t="n"/>
      <c r="F159" s="34" t="n"/>
      <c r="G159" s="25" t="n"/>
      <c r="H159" s="30" t="n"/>
      <c r="I159" s="1" t="n"/>
    </row>
    <row r="160">
      <c r="A160" s="1" t="n"/>
      <c r="B160" s="30" t="n"/>
      <c r="C160" s="34" t="n"/>
      <c r="D160" s="34" t="n"/>
      <c r="E160" s="34" t="n"/>
      <c r="F160" s="34" t="n"/>
      <c r="G160" s="25" t="n"/>
      <c r="H160" s="30" t="n"/>
      <c r="I160" s="1" t="n"/>
    </row>
    <row r="161">
      <c r="A161" s="1" t="n"/>
      <c r="B161" s="30" t="n"/>
      <c r="C161" s="34" t="n"/>
      <c r="D161" s="34" t="n"/>
      <c r="E161" s="34" t="n"/>
      <c r="F161" s="34" t="n"/>
      <c r="G161" s="25" t="n"/>
      <c r="H161" s="30" t="n"/>
      <c r="I161" s="1" t="n"/>
    </row>
    <row r="162">
      <c r="A162" s="1" t="n"/>
      <c r="B162" s="30" t="n"/>
      <c r="C162" s="34" t="n"/>
      <c r="D162" s="34" t="n"/>
      <c r="E162" s="34" t="n"/>
      <c r="F162" s="34" t="n"/>
      <c r="G162" s="25" t="n"/>
      <c r="H162" s="30" t="n"/>
      <c r="I162" s="1" t="n"/>
    </row>
    <row r="163">
      <c r="A163" s="1" t="n"/>
      <c r="B163" s="30" t="n"/>
      <c r="C163" s="34" t="n"/>
      <c r="D163" s="34" t="n"/>
      <c r="E163" s="34" t="n"/>
      <c r="F163" s="34" t="n"/>
      <c r="G163" s="25" t="n"/>
      <c r="H163" s="30" t="n"/>
      <c r="I163" s="1" t="n"/>
    </row>
    <row r="164">
      <c r="A164" s="1" t="n"/>
      <c r="B164" s="30" t="n"/>
      <c r="C164" s="34" t="n"/>
      <c r="D164" s="34" t="n"/>
      <c r="E164" s="34" t="n"/>
      <c r="F164" s="34" t="n"/>
      <c r="G164" s="25" t="n"/>
      <c r="H164" s="30" t="n"/>
      <c r="I164" s="1" t="n"/>
    </row>
    <row r="165">
      <c r="A165" s="1" t="n"/>
      <c r="B165" s="30" t="n"/>
      <c r="C165" s="34" t="n"/>
      <c r="D165" s="34" t="n"/>
      <c r="E165" s="34" t="n"/>
      <c r="F165" s="34" t="n"/>
      <c r="G165" s="25" t="n"/>
      <c r="H165" s="30" t="n"/>
      <c r="I165" s="1" t="n"/>
    </row>
    <row r="166">
      <c r="A166" s="1" t="n"/>
      <c r="B166" s="30" t="n"/>
      <c r="C166" s="34" t="n"/>
      <c r="D166" s="34" t="n"/>
      <c r="E166" s="34" t="n"/>
      <c r="F166" s="34" t="n"/>
      <c r="G166" s="25" t="n"/>
      <c r="H166" s="30" t="n"/>
      <c r="I166" s="1" t="n"/>
    </row>
    <row r="167">
      <c r="A167" s="1" t="n"/>
      <c r="B167" s="30" t="n"/>
      <c r="C167" s="34" t="n"/>
      <c r="D167" s="34" t="n"/>
      <c r="E167" s="34" t="n"/>
      <c r="F167" s="34" t="n"/>
      <c r="G167" s="25" t="n"/>
      <c r="H167" s="30" t="n"/>
      <c r="I167" s="1" t="n"/>
    </row>
    <row r="168">
      <c r="A168" s="1" t="n"/>
      <c r="B168" s="30" t="n"/>
      <c r="C168" s="34" t="n"/>
      <c r="D168" s="34" t="n"/>
      <c r="E168" s="34" t="n"/>
      <c r="F168" s="34" t="n"/>
      <c r="G168" s="25" t="n"/>
      <c r="H168" s="30" t="n"/>
      <c r="I168" s="1" t="n"/>
    </row>
    <row r="169">
      <c r="A169" s="1" t="n"/>
      <c r="B169" s="30" t="n"/>
      <c r="C169" s="34" t="n"/>
      <c r="D169" s="34" t="n"/>
      <c r="E169" s="34" t="n"/>
      <c r="F169" s="34" t="n"/>
      <c r="G169" s="25" t="n"/>
      <c r="H169" s="30" t="n"/>
      <c r="I169" s="1" t="n"/>
    </row>
    <row r="170">
      <c r="A170" s="1" t="n"/>
      <c r="B170" s="30" t="n"/>
      <c r="C170" s="34" t="n"/>
      <c r="D170" s="34" t="n"/>
      <c r="E170" s="34" t="n"/>
      <c r="F170" s="34" t="n"/>
      <c r="G170" s="25" t="n"/>
      <c r="H170" s="30" t="n"/>
      <c r="I170" s="1" t="n"/>
    </row>
    <row r="171">
      <c r="A171" s="1" t="n"/>
      <c r="B171" s="30" t="n"/>
      <c r="C171" s="34" t="n"/>
      <c r="D171" s="34" t="n"/>
      <c r="E171" s="34" t="n"/>
      <c r="F171" s="34" t="n"/>
      <c r="G171" s="25" t="n"/>
      <c r="H171" s="30" t="n"/>
      <c r="I171" s="1" t="n"/>
    </row>
    <row r="172">
      <c r="A172" s="1" t="n"/>
      <c r="B172" s="30" t="n"/>
      <c r="C172" s="34" t="n"/>
      <c r="D172" s="34" t="n"/>
      <c r="E172" s="34" t="n"/>
      <c r="F172" s="34" t="n"/>
      <c r="G172" s="25" t="n"/>
      <c r="H172" s="30" t="n"/>
      <c r="I172" s="1" t="n"/>
    </row>
    <row r="173">
      <c r="A173" s="1" t="n"/>
      <c r="B173" s="30" t="n"/>
      <c r="C173" s="34" t="n"/>
      <c r="D173" s="34" t="n"/>
      <c r="E173" s="34" t="n"/>
      <c r="F173" s="34" t="n"/>
      <c r="G173" s="25" t="n"/>
      <c r="H173" s="30" t="n"/>
      <c r="I173" s="1" t="n"/>
    </row>
    <row r="174">
      <c r="A174" s="1" t="n"/>
      <c r="B174" s="30" t="n"/>
      <c r="C174" s="34" t="n"/>
      <c r="D174" s="34" t="n"/>
      <c r="E174" s="34" t="n"/>
      <c r="F174" s="34" t="n"/>
      <c r="G174" s="25" t="n"/>
      <c r="H174" s="30" t="n"/>
      <c r="I174" s="1" t="n"/>
    </row>
    <row r="175">
      <c r="A175" s="1" t="n"/>
      <c r="B175" s="30" t="n"/>
      <c r="C175" s="34" t="n"/>
      <c r="D175" s="34" t="n"/>
      <c r="E175" s="34" t="n"/>
      <c r="F175" s="34" t="n"/>
      <c r="G175" s="25" t="n"/>
      <c r="H175" s="30" t="n"/>
      <c r="I175" s="1" t="n"/>
    </row>
    <row r="176">
      <c r="A176" s="1" t="n"/>
      <c r="B176" s="30" t="n"/>
      <c r="C176" s="34" t="n"/>
      <c r="D176" s="34" t="n"/>
      <c r="E176" s="34" t="n"/>
      <c r="F176" s="34" t="n"/>
      <c r="G176" s="25" t="n"/>
      <c r="H176" s="30" t="n"/>
      <c r="I176" s="1" t="n"/>
    </row>
    <row r="177">
      <c r="A177" s="1" t="n"/>
      <c r="B177" s="30" t="n"/>
      <c r="C177" s="34" t="n"/>
      <c r="D177" s="34" t="n"/>
      <c r="E177" s="34" t="n"/>
      <c r="F177" s="34" t="n"/>
      <c r="G177" s="25" t="n"/>
      <c r="H177" s="30" t="n"/>
      <c r="I177" s="1" t="n"/>
    </row>
    <row r="178">
      <c r="A178" s="1" t="n"/>
      <c r="B178" s="30" t="n"/>
      <c r="C178" s="34" t="n"/>
      <c r="D178" s="34" t="n"/>
      <c r="E178" s="34" t="n"/>
      <c r="F178" s="34" t="n"/>
      <c r="G178" s="25" t="n"/>
      <c r="H178" s="30" t="n"/>
      <c r="I178" s="1" t="n"/>
    </row>
    <row r="179">
      <c r="A179" s="1" t="n"/>
      <c r="B179" s="30" t="n"/>
      <c r="C179" s="34" t="n"/>
      <c r="D179" s="34" t="n"/>
      <c r="E179" s="34" t="n"/>
      <c r="F179" s="34" t="n"/>
      <c r="G179" s="25" t="n"/>
      <c r="H179" s="30" t="n"/>
      <c r="I179" s="1" t="n"/>
    </row>
    <row r="180">
      <c r="A180" s="1" t="n"/>
      <c r="B180" s="30" t="n"/>
      <c r="C180" s="34" t="n"/>
      <c r="D180" s="34" t="n"/>
      <c r="E180" s="34" t="n"/>
      <c r="F180" s="34" t="n"/>
      <c r="G180" s="25" t="n"/>
      <c r="H180" s="30" t="n"/>
      <c r="I180" s="1" t="n"/>
    </row>
    <row r="181">
      <c r="A181" s="1" t="n"/>
      <c r="B181" s="30" t="n"/>
      <c r="C181" s="34" t="n"/>
      <c r="D181" s="34" t="n"/>
      <c r="E181" s="34" t="n"/>
      <c r="F181" s="34" t="n"/>
      <c r="G181" s="25" t="n"/>
      <c r="H181" s="30" t="n"/>
      <c r="I181" s="1" t="n"/>
    </row>
    <row r="182">
      <c r="A182" s="1" t="n"/>
      <c r="B182" s="30" t="n"/>
      <c r="C182" s="34" t="n"/>
      <c r="D182" s="34" t="n"/>
      <c r="E182" s="34" t="n"/>
      <c r="F182" s="34" t="n"/>
      <c r="G182" s="25" t="n"/>
      <c r="H182" s="30" t="n"/>
      <c r="I182" s="1" t="n"/>
    </row>
    <row r="183">
      <c r="A183" s="1" t="n"/>
      <c r="B183" s="30" t="n"/>
      <c r="C183" s="34" t="n"/>
      <c r="D183" s="34" t="n"/>
      <c r="E183" s="34" t="n"/>
      <c r="F183" s="34" t="n"/>
      <c r="G183" s="25" t="n"/>
      <c r="H183" s="30" t="n"/>
      <c r="I183" s="1" t="n"/>
    </row>
    <row r="184">
      <c r="A184" s="1" t="n"/>
      <c r="B184" s="30" t="n"/>
      <c r="C184" s="34" t="n"/>
      <c r="D184" s="34" t="n"/>
      <c r="E184" s="34" t="n"/>
      <c r="F184" s="34" t="n"/>
      <c r="G184" s="25" t="n"/>
      <c r="H184" s="30" t="n"/>
      <c r="I184" s="1" t="n"/>
    </row>
    <row r="185">
      <c r="A185" s="1" t="n"/>
      <c r="B185" s="30" t="n"/>
      <c r="C185" s="34" t="n"/>
      <c r="D185" s="34" t="n"/>
      <c r="E185" s="34" t="n"/>
      <c r="F185" s="34" t="n"/>
      <c r="G185" s="25" t="n"/>
      <c r="H185" s="30" t="n"/>
      <c r="I185" s="1" t="n"/>
    </row>
    <row r="186">
      <c r="A186" s="1" t="n"/>
      <c r="B186" s="30" t="n"/>
      <c r="C186" s="34" t="n"/>
      <c r="D186" s="34" t="n"/>
      <c r="E186" s="34" t="n"/>
      <c r="F186" s="34" t="n"/>
      <c r="G186" s="25" t="n"/>
      <c r="H186" s="30" t="n"/>
      <c r="I186" s="1" t="n"/>
    </row>
    <row r="187">
      <c r="A187" s="1" t="n"/>
      <c r="B187" s="30" t="n"/>
      <c r="C187" s="34" t="n"/>
      <c r="D187" s="34" t="n"/>
      <c r="E187" s="34" t="n"/>
      <c r="F187" s="34" t="n"/>
      <c r="G187" s="25" t="n"/>
      <c r="H187" s="30" t="n"/>
      <c r="I187" s="1" t="n"/>
    </row>
    <row r="188">
      <c r="A188" s="1" t="n"/>
      <c r="B188" s="30" t="n"/>
      <c r="C188" s="34" t="n"/>
      <c r="D188" s="34" t="n"/>
      <c r="E188" s="34" t="n"/>
      <c r="F188" s="34" t="n"/>
      <c r="G188" s="25" t="n"/>
      <c r="H188" s="30" t="n"/>
      <c r="I188" s="1" t="n"/>
    </row>
    <row r="189">
      <c r="A189" s="1" t="n"/>
      <c r="B189" s="30" t="n"/>
      <c r="C189" s="34" t="n"/>
      <c r="D189" s="34" t="n"/>
      <c r="E189" s="34" t="n"/>
      <c r="F189" s="34" t="n"/>
      <c r="G189" s="25" t="n"/>
      <c r="H189" s="30" t="n"/>
      <c r="I189" s="1" t="n"/>
    </row>
    <row r="190">
      <c r="A190" s="1" t="n"/>
      <c r="B190" s="30" t="n"/>
      <c r="C190" s="34" t="n"/>
      <c r="D190" s="34" t="n"/>
      <c r="E190" s="34" t="n"/>
      <c r="F190" s="34" t="n"/>
      <c r="G190" s="25" t="n"/>
      <c r="H190" s="30" t="n"/>
      <c r="I190" s="1" t="n"/>
    </row>
    <row r="191">
      <c r="A191" s="1" t="n"/>
      <c r="B191" s="30" t="n"/>
      <c r="C191" s="34" t="n"/>
      <c r="D191" s="34" t="n"/>
      <c r="E191" s="34" t="n"/>
      <c r="F191" s="34" t="n"/>
      <c r="G191" s="25" t="n"/>
      <c r="H191" s="30" t="n"/>
      <c r="I191" s="1" t="n"/>
    </row>
    <row r="192">
      <c r="A192" s="1" t="n"/>
      <c r="B192" s="30" t="n"/>
      <c r="C192" s="34" t="n"/>
      <c r="D192" s="34" t="n"/>
      <c r="E192" s="34" t="n"/>
      <c r="F192" s="34" t="n"/>
      <c r="G192" s="25" t="n"/>
      <c r="H192" s="30" t="n"/>
      <c r="I192" s="1" t="n"/>
    </row>
    <row r="193">
      <c r="A193" s="1" t="n"/>
      <c r="B193" s="30" t="n"/>
      <c r="C193" s="34" t="n"/>
      <c r="D193" s="34" t="n"/>
      <c r="E193" s="34" t="n"/>
      <c r="F193" s="34" t="n"/>
      <c r="G193" s="25" t="n"/>
      <c r="H193" s="30" t="n"/>
      <c r="I193" s="1" t="n"/>
    </row>
    <row r="194">
      <c r="A194" s="1" t="n"/>
      <c r="B194" s="30" t="n"/>
      <c r="C194" s="34" t="n"/>
      <c r="D194" s="34" t="n"/>
      <c r="E194" s="34" t="n"/>
      <c r="F194" s="34" t="n"/>
      <c r="G194" s="25" t="n"/>
      <c r="H194" s="30" t="n"/>
      <c r="I194" s="1" t="n"/>
    </row>
    <row r="195">
      <c r="A195" s="1" t="n"/>
      <c r="B195" s="30" t="n"/>
      <c r="C195" s="34" t="n"/>
      <c r="D195" s="34" t="n"/>
      <c r="E195" s="34" t="n"/>
      <c r="F195" s="34" t="n"/>
      <c r="G195" s="25" t="n"/>
      <c r="H195" s="30" t="n"/>
      <c r="I195" s="1" t="n"/>
    </row>
    <row r="196">
      <c r="A196" s="1" t="n"/>
      <c r="B196" s="30" t="n"/>
      <c r="C196" s="34" t="n"/>
      <c r="D196" s="34" t="n"/>
      <c r="E196" s="34" t="n"/>
      <c r="F196" s="34" t="n"/>
      <c r="G196" s="25" t="n"/>
      <c r="H196" s="30" t="n"/>
      <c r="I196" s="1" t="n"/>
    </row>
    <row r="197">
      <c r="A197" s="1" t="n"/>
      <c r="B197" s="30" t="n"/>
      <c r="C197" s="34" t="n"/>
      <c r="D197" s="34" t="n"/>
      <c r="E197" s="34" t="n"/>
      <c r="F197" s="34" t="n"/>
      <c r="G197" s="25" t="n"/>
      <c r="H197" s="30" t="n"/>
      <c r="I197" s="1" t="n"/>
    </row>
    <row r="198">
      <c r="A198" s="1" t="n"/>
      <c r="B198" s="30" t="n"/>
      <c r="C198" s="34" t="n"/>
      <c r="D198" s="34" t="n"/>
      <c r="E198" s="34" t="n"/>
      <c r="F198" s="34" t="n"/>
      <c r="G198" s="25" t="n"/>
      <c r="H198" s="30" t="n"/>
      <c r="I198" s="1" t="n"/>
    </row>
    <row r="199">
      <c r="A199" s="1" t="n"/>
      <c r="B199" s="30" t="n"/>
      <c r="C199" s="34" t="n"/>
      <c r="D199" s="34" t="n"/>
      <c r="E199" s="34" t="n"/>
      <c r="F199" s="34" t="n"/>
      <c r="G199" s="25" t="n"/>
      <c r="H199" s="30" t="n"/>
      <c r="I199" s="1" t="n"/>
    </row>
    <row r="200">
      <c r="A200" s="1" t="n"/>
      <c r="B200" s="30" t="n"/>
      <c r="C200" s="34" t="n"/>
      <c r="D200" s="34" t="n"/>
      <c r="E200" s="34" t="n"/>
      <c r="F200" s="34" t="n"/>
      <c r="G200" s="25" t="n"/>
      <c r="H200" s="30" t="n"/>
      <c r="I200" s="1" t="n"/>
    </row>
    <row r="201">
      <c r="A201" s="1" t="n"/>
      <c r="B201" s="30" t="n"/>
      <c r="C201" s="34" t="n"/>
      <c r="D201" s="34" t="n"/>
      <c r="E201" s="34" t="n"/>
      <c r="F201" s="34" t="n"/>
      <c r="G201" s="25" t="n"/>
      <c r="H201" s="30" t="n"/>
      <c r="I201" s="1" t="n"/>
    </row>
    <row r="202">
      <c r="A202" s="1" t="n"/>
      <c r="B202" s="30" t="n"/>
      <c r="C202" s="34" t="n"/>
      <c r="D202" s="34" t="n"/>
      <c r="E202" s="34" t="n"/>
      <c r="F202" s="34" t="n"/>
      <c r="G202" s="25" t="n"/>
      <c r="H202" s="30" t="n"/>
      <c r="I202" s="1" t="n"/>
    </row>
    <row r="203">
      <c r="A203" s="1" t="n"/>
      <c r="B203" s="30" t="n"/>
      <c r="C203" s="34" t="n"/>
      <c r="D203" s="34" t="n"/>
      <c r="E203" s="34" t="n"/>
      <c r="F203" s="34" t="n"/>
      <c r="G203" s="25" t="n"/>
      <c r="H203" s="30" t="n"/>
      <c r="I203" s="1" t="n"/>
    </row>
    <row r="204">
      <c r="A204" s="1" t="n"/>
      <c r="B204" s="30" t="n"/>
      <c r="C204" s="34" t="n"/>
      <c r="D204" s="34" t="n"/>
      <c r="E204" s="34" t="n"/>
      <c r="F204" s="34" t="n"/>
      <c r="G204" s="25" t="n"/>
      <c r="H204" s="30" t="n"/>
      <c r="I204" s="1" t="n"/>
    </row>
    <row r="205">
      <c r="A205" s="1" t="n"/>
      <c r="B205" s="30" t="n"/>
      <c r="C205" s="34" t="n"/>
      <c r="D205" s="34" t="n"/>
      <c r="E205" s="34" t="n"/>
      <c r="F205" s="34" t="n"/>
      <c r="G205" s="25" t="n"/>
      <c r="H205" s="30" t="n"/>
      <c r="I205" s="1" t="n"/>
    </row>
    <row r="206">
      <c r="A206" s="1" t="n"/>
      <c r="B206" s="30" t="n"/>
      <c r="C206" s="34" t="n"/>
      <c r="D206" s="34" t="n"/>
      <c r="E206" s="34" t="n"/>
      <c r="F206" s="34" t="n"/>
      <c r="G206" s="25" t="n"/>
      <c r="H206" s="30" t="n"/>
      <c r="I206" s="1" t="n"/>
    </row>
    <row r="207">
      <c r="A207" s="1" t="n"/>
      <c r="B207" s="30" t="n"/>
      <c r="C207" s="34" t="n"/>
      <c r="D207" s="34" t="n"/>
      <c r="E207" s="34" t="n"/>
      <c r="F207" s="34" t="n"/>
      <c r="G207" s="25" t="n"/>
      <c r="H207" s="30" t="n"/>
      <c r="I207" s="1" t="n"/>
    </row>
    <row r="208">
      <c r="A208" s="1" t="n"/>
      <c r="B208" s="30" t="n"/>
      <c r="C208" s="34" t="n"/>
      <c r="D208" s="34" t="n"/>
      <c r="E208" s="34" t="n"/>
      <c r="F208" s="34" t="n"/>
      <c r="G208" s="25" t="n"/>
      <c r="H208" s="30" t="n"/>
      <c r="I208" s="1" t="n"/>
    </row>
    <row r="209">
      <c r="A209" s="1" t="n"/>
      <c r="B209" s="30" t="n"/>
      <c r="C209" s="34" t="n"/>
      <c r="D209" s="34" t="n"/>
      <c r="E209" s="34" t="n"/>
      <c r="F209" s="34" t="n"/>
      <c r="G209" s="25" t="n"/>
      <c r="H209" s="30" t="n"/>
      <c r="I209" s="1" t="n"/>
    </row>
    <row r="210">
      <c r="A210" s="1" t="n"/>
      <c r="B210" s="30" t="n"/>
      <c r="C210" s="34" t="n"/>
      <c r="D210" s="34" t="n"/>
      <c r="E210" s="34" t="n"/>
      <c r="F210" s="34" t="n"/>
      <c r="G210" s="25" t="n"/>
      <c r="H210" s="30" t="n"/>
      <c r="I210" s="1" t="n"/>
    </row>
    <row r="211">
      <c r="A211" s="1" t="n"/>
      <c r="B211" s="30" t="n"/>
      <c r="C211" s="34" t="n"/>
      <c r="D211" s="34" t="n"/>
      <c r="E211" s="34" t="n"/>
      <c r="F211" s="34" t="n"/>
      <c r="G211" s="25" t="n"/>
      <c r="H211" s="30" t="n"/>
      <c r="I211" s="1" t="n"/>
    </row>
    <row r="212">
      <c r="A212" s="1" t="n"/>
      <c r="B212" s="30" t="n"/>
      <c r="C212" s="34" t="n"/>
      <c r="D212" s="34" t="n"/>
      <c r="E212" s="34" t="n"/>
      <c r="F212" s="34" t="n"/>
      <c r="G212" s="25" t="n"/>
      <c r="H212" s="30" t="n"/>
      <c r="I212" s="1" t="n"/>
    </row>
    <row r="213">
      <c r="A213" s="1" t="n"/>
      <c r="B213" s="30" t="n"/>
      <c r="C213" s="34" t="n"/>
      <c r="D213" s="34" t="n"/>
      <c r="E213" s="34" t="n"/>
      <c r="F213" s="34" t="n"/>
      <c r="G213" s="25" t="n"/>
      <c r="H213" s="30" t="n"/>
      <c r="I213" s="1" t="n"/>
    </row>
    <row r="214">
      <c r="A214" s="1" t="n"/>
      <c r="B214" s="30" t="n"/>
      <c r="C214" s="34" t="n"/>
      <c r="D214" s="34" t="n"/>
      <c r="E214" s="34" t="n"/>
      <c r="F214" s="34" t="n"/>
      <c r="G214" s="25" t="n"/>
      <c r="H214" s="30" t="n"/>
      <c r="I214" s="1" t="n"/>
    </row>
    <row r="215">
      <c r="A215" s="1" t="n"/>
      <c r="B215" s="30" t="n"/>
      <c r="C215" s="34" t="n"/>
      <c r="D215" s="34" t="n"/>
      <c r="E215" s="34" t="n"/>
      <c r="F215" s="34" t="n"/>
      <c r="G215" s="25" t="n"/>
      <c r="H215" s="30" t="n"/>
      <c r="I215" s="1" t="n"/>
    </row>
    <row r="216">
      <c r="A216" s="1" t="n"/>
      <c r="B216" s="30" t="n"/>
      <c r="C216" s="34" t="n"/>
      <c r="D216" s="34" t="n"/>
      <c r="E216" s="34" t="n"/>
      <c r="F216" s="34" t="n"/>
      <c r="G216" s="25" t="n"/>
      <c r="H216" s="30" t="n"/>
      <c r="I216" s="1" t="n"/>
    </row>
    <row r="217">
      <c r="A217" s="1" t="n"/>
      <c r="B217" s="30" t="n"/>
      <c r="C217" s="34" t="n"/>
      <c r="D217" s="34" t="n"/>
      <c r="E217" s="34" t="n"/>
      <c r="F217" s="34" t="n"/>
      <c r="G217" s="25" t="n"/>
      <c r="H217" s="30" t="n"/>
      <c r="I217" s="1" t="n"/>
    </row>
    <row r="218">
      <c r="A218" s="1" t="n"/>
      <c r="B218" s="30" t="n"/>
      <c r="C218" s="34" t="n"/>
      <c r="D218" s="34" t="n"/>
      <c r="E218" s="34" t="n"/>
      <c r="F218" s="34" t="n"/>
      <c r="G218" s="25" t="n"/>
      <c r="H218" s="30" t="n"/>
      <c r="I218" s="1" t="n"/>
    </row>
    <row r="219">
      <c r="A219" s="1" t="n"/>
      <c r="B219" s="30" t="n"/>
      <c r="C219" s="34" t="n"/>
      <c r="D219" s="34" t="n"/>
      <c r="E219" s="34" t="n"/>
      <c r="F219" s="34" t="n"/>
      <c r="G219" s="25" t="n"/>
      <c r="H219" s="30" t="n"/>
      <c r="I219" s="1" t="n"/>
    </row>
    <row r="220">
      <c r="A220" s="1" t="n"/>
      <c r="B220" s="30" t="n"/>
      <c r="C220" s="34" t="n"/>
      <c r="D220" s="34" t="n"/>
      <c r="E220" s="34" t="n"/>
      <c r="F220" s="34" t="n"/>
      <c r="G220" s="25" t="n"/>
      <c r="H220" s="30" t="n"/>
      <c r="I220" s="1" t="n"/>
    </row>
    <row r="221">
      <c r="A221" s="1" t="n"/>
      <c r="B221" s="30" t="n"/>
      <c r="C221" s="34" t="n"/>
      <c r="D221" s="34" t="n"/>
      <c r="E221" s="34" t="n"/>
      <c r="F221" s="34" t="n"/>
      <c r="G221" s="25" t="n"/>
      <c r="H221" s="30" t="n"/>
      <c r="I221" s="1" t="n"/>
    </row>
    <row r="222">
      <c r="A222" s="1" t="n"/>
      <c r="B222" s="30" t="n"/>
      <c r="C222" s="34" t="n"/>
      <c r="D222" s="34" t="n"/>
      <c r="E222" s="34" t="n"/>
      <c r="F222" s="34" t="n"/>
      <c r="G222" s="25" t="n"/>
      <c r="H222" s="30" t="n"/>
      <c r="I222" s="1" t="n"/>
    </row>
    <row r="223">
      <c r="A223" s="1" t="n"/>
      <c r="B223" s="30" t="n"/>
      <c r="C223" s="34" t="n"/>
      <c r="D223" s="34" t="n"/>
      <c r="E223" s="34" t="n"/>
      <c r="F223" s="34" t="n"/>
      <c r="G223" s="25" t="n"/>
      <c r="H223" s="30" t="n"/>
      <c r="I223" s="1" t="n"/>
    </row>
    <row r="224">
      <c r="A224" s="1" t="n"/>
      <c r="B224" s="30" t="n"/>
      <c r="C224" s="34" t="n"/>
      <c r="D224" s="34" t="n"/>
      <c r="E224" s="34" t="n"/>
      <c r="F224" s="34" t="n"/>
      <c r="G224" s="25" t="n"/>
      <c r="H224" s="30" t="n"/>
      <c r="I224" s="1" t="n"/>
    </row>
    <row r="225">
      <c r="A225" s="1" t="n"/>
      <c r="B225" s="30" t="n"/>
      <c r="C225" s="34" t="n"/>
      <c r="D225" s="34" t="n"/>
      <c r="E225" s="34" t="n"/>
      <c r="F225" s="34" t="n"/>
      <c r="G225" s="25" t="n"/>
      <c r="H225" s="30" t="n"/>
      <c r="I225" s="1" t="n"/>
    </row>
    <row r="226">
      <c r="A226" s="1" t="n"/>
      <c r="B226" s="30" t="n"/>
      <c r="C226" s="34" t="n"/>
      <c r="D226" s="34" t="n"/>
      <c r="E226" s="34" t="n"/>
      <c r="F226" s="34" t="n"/>
      <c r="G226" s="25" t="n"/>
      <c r="H226" s="30" t="n"/>
      <c r="I226" s="1" t="n"/>
    </row>
    <row r="227">
      <c r="A227" s="1" t="n"/>
      <c r="B227" s="30" t="n"/>
      <c r="C227" s="34" t="n"/>
      <c r="D227" s="34" t="n"/>
      <c r="E227" s="34" t="n"/>
      <c r="F227" s="34" t="n"/>
      <c r="G227" s="25" t="n"/>
      <c r="H227" s="30" t="n"/>
      <c r="I227" s="1" t="n"/>
    </row>
    <row r="228">
      <c r="A228" s="1" t="n"/>
      <c r="B228" s="30" t="n"/>
      <c r="C228" s="34" t="n"/>
      <c r="D228" s="34" t="n"/>
      <c r="E228" s="34" t="n"/>
      <c r="F228" s="34" t="n"/>
      <c r="G228" s="25" t="n"/>
      <c r="H228" s="30" t="n"/>
      <c r="I228" s="1" t="n"/>
    </row>
    <row r="229">
      <c r="A229" s="1" t="n"/>
      <c r="B229" s="30" t="n"/>
      <c r="C229" s="34" t="n"/>
      <c r="D229" s="34" t="n"/>
      <c r="E229" s="34" t="n"/>
      <c r="F229" s="34" t="n"/>
      <c r="G229" s="25" t="n"/>
      <c r="H229" s="30" t="n"/>
      <c r="I229" s="1" t="n"/>
    </row>
    <row r="230">
      <c r="A230" s="1" t="n"/>
      <c r="B230" s="30" t="n"/>
      <c r="C230" s="34" t="n"/>
      <c r="D230" s="34" t="n"/>
      <c r="E230" s="34" t="n"/>
      <c r="F230" s="34" t="n"/>
      <c r="G230" s="25" t="n"/>
      <c r="H230" s="30" t="n"/>
      <c r="I230" s="1" t="n"/>
    </row>
    <row r="231">
      <c r="A231" s="1" t="n"/>
      <c r="B231" s="30" t="n"/>
      <c r="C231" s="34" t="n"/>
      <c r="D231" s="34" t="n"/>
      <c r="E231" s="34" t="n"/>
      <c r="F231" s="34" t="n"/>
      <c r="G231" s="25" t="n"/>
      <c r="H231" s="30" t="n"/>
      <c r="I231" s="1" t="n"/>
    </row>
    <row r="232">
      <c r="A232" s="1" t="n"/>
      <c r="B232" s="30" t="n"/>
      <c r="C232" s="34" t="n"/>
      <c r="D232" s="34" t="n"/>
      <c r="E232" s="34" t="n"/>
      <c r="F232" s="34" t="n"/>
      <c r="G232" s="25" t="n"/>
      <c r="H232" s="30" t="n"/>
      <c r="I232" s="1" t="n"/>
    </row>
    <row r="233">
      <c r="A233" s="1" t="n"/>
      <c r="B233" s="30" t="n"/>
      <c r="C233" s="34" t="n"/>
      <c r="D233" s="34" t="n"/>
      <c r="E233" s="34" t="n"/>
      <c r="F233" s="34" t="n"/>
      <c r="G233" s="25" t="n"/>
      <c r="H233" s="30" t="n"/>
      <c r="I233" s="1" t="n"/>
    </row>
    <row r="234">
      <c r="A234" s="1" t="n"/>
      <c r="B234" s="30" t="n"/>
      <c r="C234" s="34" t="n"/>
      <c r="D234" s="34" t="n"/>
      <c r="E234" s="34" t="n"/>
      <c r="F234" s="34" t="n"/>
      <c r="G234" s="25" t="n"/>
      <c r="H234" s="30" t="n"/>
      <c r="I234" s="1" t="n"/>
    </row>
    <row r="235">
      <c r="A235" s="1" t="n"/>
      <c r="B235" s="30" t="n"/>
      <c r="C235" s="34" t="n"/>
      <c r="D235" s="34" t="n"/>
      <c r="E235" s="34" t="n"/>
      <c r="F235" s="34" t="n"/>
      <c r="G235" s="25" t="n"/>
      <c r="H235" s="30" t="n"/>
      <c r="I235" s="1" t="n"/>
    </row>
    <row r="236">
      <c r="A236" s="1" t="n"/>
      <c r="B236" s="30" t="n"/>
      <c r="C236" s="34" t="n"/>
      <c r="D236" s="34" t="n"/>
      <c r="E236" s="34" t="n"/>
      <c r="F236" s="34" t="n"/>
      <c r="G236" s="25" t="n"/>
      <c r="H236" s="30" t="n"/>
      <c r="I236" s="1" t="n"/>
    </row>
    <row r="237">
      <c r="A237" s="1" t="n"/>
      <c r="B237" s="30" t="n"/>
      <c r="C237" s="34" t="n"/>
      <c r="D237" s="34" t="n"/>
      <c r="E237" s="34" t="n"/>
      <c r="F237" s="34" t="n"/>
      <c r="G237" s="25" t="n"/>
      <c r="H237" s="30" t="n"/>
      <c r="I237" s="1" t="n"/>
    </row>
    <row r="238">
      <c r="A238" s="1" t="n"/>
      <c r="B238" s="30" t="n"/>
      <c r="C238" s="34" t="n"/>
      <c r="D238" s="34" t="n"/>
      <c r="E238" s="34" t="n"/>
      <c r="F238" s="34" t="n"/>
      <c r="G238" s="25" t="n"/>
      <c r="H238" s="30" t="n"/>
      <c r="I238" s="1" t="n"/>
    </row>
    <row r="239">
      <c r="A239" s="1" t="n"/>
      <c r="B239" s="30" t="n"/>
      <c r="C239" s="34" t="n"/>
      <c r="D239" s="34" t="n"/>
      <c r="E239" s="34" t="n"/>
      <c r="F239" s="34" t="n"/>
      <c r="G239" s="25" t="n"/>
      <c r="H239" s="30" t="n"/>
      <c r="I239" s="1" t="n"/>
    </row>
    <row r="240">
      <c r="A240" s="1" t="n"/>
      <c r="B240" s="30" t="n"/>
      <c r="C240" s="34" t="n"/>
      <c r="D240" s="34" t="n"/>
      <c r="E240" s="34" t="n"/>
      <c r="F240" s="34" t="n"/>
      <c r="G240" s="25" t="n"/>
      <c r="H240" s="30" t="n"/>
      <c r="I240" s="1" t="n"/>
    </row>
    <row r="241">
      <c r="A241" s="1" t="n"/>
      <c r="B241" s="30" t="n"/>
      <c r="C241" s="34" t="n"/>
      <c r="D241" s="34" t="n"/>
      <c r="E241" s="34" t="n"/>
      <c r="F241" s="34" t="n"/>
      <c r="G241" s="25" t="n"/>
      <c r="H241" s="30" t="n"/>
      <c r="I241" s="1" t="n"/>
    </row>
    <row r="242">
      <c r="A242" s="1" t="n"/>
      <c r="B242" s="30" t="n"/>
      <c r="C242" s="34" t="n"/>
      <c r="D242" s="34" t="n"/>
      <c r="E242" s="34" t="n"/>
      <c r="F242" s="34" t="n"/>
      <c r="G242" s="25" t="n"/>
      <c r="H242" s="30" t="n"/>
      <c r="I242" s="1" t="n"/>
    </row>
    <row r="243">
      <c r="A243" s="1" t="n"/>
      <c r="B243" s="30" t="n"/>
      <c r="C243" s="34" t="n"/>
      <c r="D243" s="34" t="n"/>
      <c r="E243" s="34" t="n"/>
      <c r="F243" s="34" t="n"/>
      <c r="G243" s="25" t="n"/>
      <c r="H243" s="30" t="n"/>
      <c r="I243" s="1" t="n"/>
    </row>
    <row r="244">
      <c r="A244" s="1" t="n"/>
      <c r="B244" s="30" t="n"/>
      <c r="C244" s="34" t="n"/>
      <c r="D244" s="34" t="n"/>
      <c r="E244" s="34" t="n"/>
      <c r="F244" s="34" t="n"/>
      <c r="G244" s="25" t="n"/>
      <c r="H244" s="30" t="n"/>
      <c r="I244" s="1" t="n"/>
    </row>
    <row r="245">
      <c r="A245" s="1" t="n"/>
      <c r="B245" s="30" t="n"/>
      <c r="C245" s="34" t="n"/>
      <c r="D245" s="34" t="n"/>
      <c r="E245" s="34" t="n"/>
      <c r="F245" s="34" t="n"/>
      <c r="G245" s="25" t="n"/>
      <c r="H245" s="30" t="n"/>
      <c r="I245" s="1" t="n"/>
    </row>
    <row r="246">
      <c r="A246" s="1" t="n"/>
      <c r="B246" s="30" t="n"/>
      <c r="C246" s="34" t="n"/>
      <c r="D246" s="34" t="n"/>
      <c r="E246" s="34" t="n"/>
      <c r="F246" s="34" t="n"/>
      <c r="G246" s="25" t="n"/>
      <c r="H246" s="30" t="n"/>
      <c r="I246" s="1" t="n"/>
    </row>
    <row r="247">
      <c r="A247" s="1" t="n"/>
      <c r="B247" s="30" t="n"/>
      <c r="C247" s="34" t="n"/>
      <c r="D247" s="34" t="n"/>
      <c r="E247" s="34" t="n"/>
      <c r="F247" s="34" t="n"/>
      <c r="G247" s="25" t="n"/>
      <c r="H247" s="30" t="n"/>
      <c r="I247" s="1" t="n"/>
    </row>
    <row r="248">
      <c r="A248" s="1" t="n"/>
      <c r="B248" s="30" t="n"/>
      <c r="C248" s="34" t="n"/>
      <c r="D248" s="34" t="n"/>
      <c r="E248" s="34" t="n"/>
      <c r="F248" s="34" t="n"/>
      <c r="G248" s="25" t="n"/>
      <c r="H248" s="30" t="n"/>
      <c r="I248" s="1" t="n"/>
    </row>
    <row r="249">
      <c r="A249" s="1" t="n"/>
      <c r="B249" s="30" t="n"/>
      <c r="C249" s="34" t="n"/>
      <c r="D249" s="34" t="n"/>
      <c r="E249" s="34" t="n"/>
      <c r="F249" s="34" t="n"/>
      <c r="G249" s="25" t="n"/>
      <c r="H249" s="30" t="n"/>
      <c r="I249" s="1" t="n"/>
    </row>
    <row r="250">
      <c r="A250" s="1" t="n"/>
      <c r="B250" s="30" t="n"/>
      <c r="C250" s="34" t="n"/>
      <c r="D250" s="34" t="n"/>
      <c r="E250" s="34" t="n"/>
      <c r="F250" s="34" t="n"/>
      <c r="G250" s="25" t="n"/>
      <c r="H250" s="30" t="n"/>
      <c r="I250" s="1" t="n"/>
    </row>
    <row r="251">
      <c r="A251" s="1" t="n"/>
      <c r="B251" s="30" t="n"/>
      <c r="C251" s="34" t="n"/>
      <c r="D251" s="34" t="n"/>
      <c r="E251" s="34" t="n"/>
      <c r="F251" s="34" t="n"/>
      <c r="G251" s="25" t="n"/>
      <c r="H251" s="30" t="n"/>
      <c r="I251" s="1" t="n"/>
    </row>
    <row r="252">
      <c r="A252" s="1" t="n"/>
      <c r="B252" s="30" t="n"/>
      <c r="C252" s="34" t="n"/>
      <c r="D252" s="34" t="n"/>
      <c r="E252" s="34" t="n"/>
      <c r="F252" s="34" t="n"/>
      <c r="G252" s="25" t="n"/>
      <c r="H252" s="30" t="n"/>
      <c r="I252" s="1" t="n"/>
    </row>
    <row r="253">
      <c r="A253" s="1" t="n"/>
      <c r="B253" s="30" t="n"/>
      <c r="C253" s="34" t="n"/>
      <c r="D253" s="34" t="n"/>
      <c r="E253" s="34" t="n"/>
      <c r="F253" s="34" t="n"/>
      <c r="G253" s="25" t="n"/>
      <c r="H253" s="30" t="n"/>
      <c r="I253" s="1" t="n"/>
    </row>
    <row r="254">
      <c r="A254" s="1" t="n"/>
      <c r="B254" s="30" t="n"/>
      <c r="C254" s="34" t="n"/>
      <c r="D254" s="34" t="n"/>
      <c r="E254" s="34" t="n"/>
      <c r="F254" s="34" t="n"/>
      <c r="G254" s="25" t="n"/>
      <c r="H254" s="30" t="n"/>
      <c r="I254" s="1" t="n"/>
    </row>
    <row r="255">
      <c r="A255" s="1" t="n"/>
      <c r="B255" s="30" t="n"/>
      <c r="C255" s="34" t="n"/>
      <c r="D255" s="34" t="n"/>
      <c r="E255" s="34" t="n"/>
      <c r="F255" s="34" t="n"/>
      <c r="G255" s="25" t="n"/>
      <c r="H255" s="30" t="n"/>
      <c r="I255" s="1" t="n"/>
    </row>
    <row r="256">
      <c r="A256" s="1" t="n"/>
      <c r="B256" s="30" t="n"/>
      <c r="C256" s="34" t="n"/>
      <c r="D256" s="34" t="n"/>
      <c r="E256" s="34" t="n"/>
      <c r="F256" s="34" t="n"/>
      <c r="G256" s="25" t="n"/>
      <c r="H256" s="30" t="n"/>
      <c r="I256" s="1" t="n"/>
    </row>
    <row r="257">
      <c r="A257" s="1" t="n"/>
      <c r="B257" s="30" t="n"/>
      <c r="C257" s="34" t="n"/>
      <c r="D257" s="34" t="n"/>
      <c r="E257" s="34" t="n"/>
      <c r="F257" s="34" t="n"/>
      <c r="G257" s="25" t="n"/>
      <c r="H257" s="30" t="n"/>
      <c r="I257" s="1" t="n"/>
    </row>
    <row r="258">
      <c r="A258" s="1" t="n"/>
      <c r="B258" s="30" t="n"/>
      <c r="C258" s="34" t="n"/>
      <c r="D258" s="34" t="n"/>
      <c r="E258" s="34" t="n"/>
      <c r="F258" s="34" t="n"/>
      <c r="G258" s="25" t="n"/>
      <c r="H258" s="30" t="n"/>
      <c r="I258" s="1" t="n"/>
    </row>
    <row r="259">
      <c r="A259" s="1" t="n"/>
      <c r="B259" s="30" t="n"/>
      <c r="C259" s="34" t="n"/>
      <c r="D259" s="34" t="n"/>
      <c r="E259" s="34" t="n"/>
      <c r="F259" s="34" t="n"/>
      <c r="G259" s="25" t="n"/>
      <c r="H259" s="30" t="n"/>
      <c r="I259" s="1" t="n"/>
    </row>
    <row r="260">
      <c r="A260" s="1" t="n"/>
      <c r="B260" s="30" t="n"/>
      <c r="C260" s="34" t="n"/>
      <c r="D260" s="34" t="n"/>
      <c r="E260" s="34" t="n"/>
      <c r="F260" s="34" t="n"/>
      <c r="G260" s="25" t="n"/>
      <c r="H260" s="30" t="n"/>
      <c r="I260" s="1" t="n"/>
    </row>
    <row r="261">
      <c r="A261" s="1" t="n"/>
      <c r="B261" s="30" t="n"/>
      <c r="C261" s="34" t="n"/>
      <c r="D261" s="34" t="n"/>
      <c r="E261" s="34" t="n"/>
      <c r="F261" s="34" t="n"/>
      <c r="G261" s="25" t="n"/>
      <c r="H261" s="30" t="n"/>
      <c r="I261" s="1" t="n"/>
    </row>
    <row r="262">
      <c r="A262" s="1" t="n"/>
      <c r="B262" s="30" t="n"/>
      <c r="C262" s="34" t="n"/>
      <c r="D262" s="34" t="n"/>
      <c r="E262" s="34" t="n"/>
      <c r="F262" s="34" t="n"/>
      <c r="G262" s="25" t="n"/>
      <c r="H262" s="30" t="n"/>
      <c r="I262" s="1" t="n"/>
    </row>
    <row r="263">
      <c r="A263" s="1" t="n"/>
      <c r="B263" s="30" t="n"/>
      <c r="C263" s="34" t="n"/>
      <c r="D263" s="34" t="n"/>
      <c r="E263" s="34" t="n"/>
      <c r="F263" s="34" t="n"/>
      <c r="G263" s="25" t="n"/>
      <c r="H263" s="30" t="n"/>
      <c r="I263" s="1" t="n"/>
    </row>
    <row r="264">
      <c r="A264" s="1" t="n"/>
      <c r="B264" s="30" t="n"/>
      <c r="C264" s="34" t="n"/>
      <c r="D264" s="34" t="n"/>
      <c r="E264" s="34" t="n"/>
      <c r="F264" s="34" t="n"/>
      <c r="G264" s="25" t="n"/>
      <c r="H264" s="30" t="n"/>
      <c r="I264" s="1" t="n"/>
    </row>
    <row r="265">
      <c r="A265" s="1" t="n"/>
      <c r="B265" s="30" t="n"/>
      <c r="C265" s="34" t="n"/>
      <c r="D265" s="34" t="n"/>
      <c r="E265" s="34" t="n"/>
      <c r="F265" s="34" t="n"/>
      <c r="G265" s="25" t="n"/>
      <c r="H265" s="30" t="n"/>
      <c r="I265" s="1" t="n"/>
    </row>
    <row r="266">
      <c r="A266" s="1" t="n"/>
      <c r="B266" s="30" t="n"/>
      <c r="C266" s="34" t="n"/>
      <c r="D266" s="34" t="n"/>
      <c r="E266" s="34" t="n"/>
      <c r="F266" s="34" t="n"/>
      <c r="G266" s="25" t="n"/>
      <c r="H266" s="30" t="n"/>
      <c r="I266" s="1" t="n"/>
    </row>
    <row r="267">
      <c r="A267" s="1" t="n"/>
      <c r="B267" s="30" t="n"/>
      <c r="C267" s="34" t="n"/>
      <c r="D267" s="34" t="n"/>
      <c r="E267" s="34" t="n"/>
      <c r="F267" s="34" t="n"/>
      <c r="G267" s="25" t="n"/>
      <c r="H267" s="30" t="n"/>
      <c r="I267" s="1" t="n"/>
    </row>
    <row r="268">
      <c r="A268" s="1" t="n"/>
      <c r="B268" s="30" t="n"/>
      <c r="C268" s="34" t="n"/>
      <c r="D268" s="34" t="n"/>
      <c r="E268" s="34" t="n"/>
      <c r="F268" s="34" t="n"/>
      <c r="G268" s="25" t="n"/>
      <c r="H268" s="30" t="n"/>
      <c r="I268" s="1" t="n"/>
    </row>
    <row r="269">
      <c r="A269" s="1" t="n"/>
      <c r="B269" s="30" t="n"/>
      <c r="C269" s="34" t="n"/>
      <c r="D269" s="34" t="n"/>
      <c r="E269" s="34" t="n"/>
      <c r="F269" s="34" t="n"/>
      <c r="G269" s="25" t="n"/>
      <c r="H269" s="30" t="n"/>
      <c r="I269" s="1" t="n"/>
    </row>
    <row r="270">
      <c r="A270" s="1" t="n"/>
      <c r="B270" s="30" t="n"/>
      <c r="C270" s="34" t="n"/>
      <c r="D270" s="34" t="n"/>
      <c r="E270" s="34" t="n"/>
      <c r="F270" s="34" t="n"/>
      <c r="G270" s="25" t="n"/>
      <c r="H270" s="30" t="n"/>
      <c r="I270" s="1" t="n"/>
    </row>
    <row r="271">
      <c r="A271" s="1" t="n"/>
      <c r="B271" s="30" t="n"/>
      <c r="C271" s="34" t="n"/>
      <c r="D271" s="34" t="n"/>
      <c r="E271" s="34" t="n"/>
      <c r="F271" s="34" t="n"/>
      <c r="G271" s="25" t="n"/>
      <c r="H271" s="30" t="n"/>
      <c r="I271" s="1" t="n"/>
    </row>
    <row r="272">
      <c r="A272" s="1" t="n"/>
      <c r="B272" s="30" t="n"/>
      <c r="C272" s="34" t="n"/>
      <c r="D272" s="34" t="n"/>
      <c r="E272" s="34" t="n"/>
      <c r="F272" s="34" t="n"/>
      <c r="G272" s="25" t="n"/>
      <c r="H272" s="30" t="n"/>
      <c r="I272" s="1" t="n"/>
    </row>
    <row r="273">
      <c r="A273" s="1" t="n"/>
      <c r="B273" s="30" t="n"/>
      <c r="C273" s="34" t="n"/>
      <c r="D273" s="34" t="n"/>
      <c r="E273" s="34" t="n"/>
      <c r="F273" s="34" t="n"/>
      <c r="G273" s="25" t="n"/>
      <c r="H273" s="30" t="n"/>
      <c r="I273" s="1" t="n"/>
    </row>
    <row r="274">
      <c r="A274" s="1" t="n"/>
      <c r="B274" s="30" t="n"/>
      <c r="C274" s="34" t="n"/>
      <c r="D274" s="34" t="n"/>
      <c r="E274" s="34" t="n"/>
      <c r="F274" s="34" t="n"/>
      <c r="G274" s="25" t="n"/>
      <c r="H274" s="30" t="n"/>
      <c r="I274" s="1" t="n"/>
    </row>
    <row r="275">
      <c r="A275" s="1" t="n"/>
      <c r="B275" s="30" t="n"/>
      <c r="C275" s="34" t="n"/>
      <c r="D275" s="34" t="n"/>
      <c r="E275" s="34" t="n"/>
      <c r="F275" s="34" t="n"/>
      <c r="G275" s="25" t="n"/>
      <c r="H275" s="30" t="n"/>
      <c r="I275" s="1" t="n"/>
    </row>
    <row r="276">
      <c r="A276" s="1" t="n"/>
      <c r="B276" s="30" t="n"/>
      <c r="C276" s="34" t="n"/>
      <c r="D276" s="34" t="n"/>
      <c r="E276" s="34" t="n"/>
      <c r="F276" s="34" t="n"/>
      <c r="G276" s="25" t="n"/>
      <c r="H276" s="30" t="n"/>
      <c r="I276" s="1" t="n"/>
    </row>
    <row r="277">
      <c r="A277" s="1" t="n"/>
      <c r="B277" s="30" t="n"/>
      <c r="C277" s="34" t="n"/>
      <c r="D277" s="34" t="n"/>
      <c r="E277" s="34" t="n"/>
      <c r="F277" s="34" t="n"/>
      <c r="G277" s="25" t="n"/>
      <c r="H277" s="30" t="n"/>
      <c r="I277" s="1" t="n"/>
    </row>
    <row r="278">
      <c r="A278" s="1" t="n"/>
      <c r="B278" s="30" t="n"/>
      <c r="C278" s="34" t="n"/>
      <c r="D278" s="34" t="n"/>
      <c r="E278" s="34" t="n"/>
      <c r="F278" s="34" t="n"/>
      <c r="G278" s="25" t="n"/>
      <c r="H278" s="30" t="n"/>
      <c r="I278" s="1" t="n"/>
    </row>
    <row r="279">
      <c r="A279" s="1" t="n"/>
      <c r="B279" s="30" t="n"/>
      <c r="C279" s="34" t="n"/>
      <c r="D279" s="34" t="n"/>
      <c r="E279" s="34" t="n"/>
      <c r="F279" s="34" t="n"/>
      <c r="G279" s="25" t="n"/>
      <c r="H279" s="30" t="n"/>
      <c r="I279" s="1" t="n"/>
    </row>
    <row r="280">
      <c r="A280" s="1" t="n"/>
      <c r="B280" s="30" t="n"/>
      <c r="C280" s="34" t="n"/>
      <c r="D280" s="34" t="n"/>
      <c r="E280" s="34" t="n"/>
      <c r="F280" s="34" t="n"/>
      <c r="G280" s="25" t="n"/>
      <c r="H280" s="30" t="n"/>
      <c r="I280" s="1" t="n"/>
    </row>
    <row r="281">
      <c r="A281" s="1" t="n"/>
      <c r="B281" s="30" t="n"/>
      <c r="C281" s="34" t="n"/>
      <c r="D281" s="34" t="n"/>
      <c r="E281" s="34" t="n"/>
      <c r="F281" s="34" t="n"/>
      <c r="G281" s="25" t="n"/>
      <c r="H281" s="30" t="n"/>
      <c r="I281" s="1" t="n"/>
    </row>
    <row r="282">
      <c r="A282" s="1" t="n"/>
      <c r="B282" s="30" t="n"/>
      <c r="C282" s="34" t="n"/>
      <c r="D282" s="34" t="n"/>
      <c r="E282" s="34" t="n"/>
      <c r="F282" s="34" t="n"/>
      <c r="G282" s="25" t="n"/>
      <c r="H282" s="30" t="n"/>
      <c r="I282" s="1" t="n"/>
    </row>
    <row r="283">
      <c r="A283" s="1" t="n"/>
      <c r="B283" s="30" t="n"/>
      <c r="C283" s="34" t="n"/>
      <c r="D283" s="34" t="n"/>
      <c r="E283" s="34" t="n"/>
      <c r="F283" s="34" t="n"/>
      <c r="G283" s="25" t="n"/>
      <c r="H283" s="30" t="n"/>
      <c r="I283" s="1" t="n"/>
    </row>
    <row r="284">
      <c r="A284" s="1" t="n"/>
      <c r="B284" s="30" t="n"/>
      <c r="C284" s="34" t="n"/>
      <c r="D284" s="34" t="n"/>
      <c r="E284" s="34" t="n"/>
      <c r="F284" s="34" t="n"/>
      <c r="G284" s="25" t="n"/>
      <c r="H284" s="30" t="n"/>
      <c r="I284" s="1" t="n"/>
    </row>
    <row r="285">
      <c r="A285" s="1" t="n"/>
      <c r="B285" s="30" t="n"/>
      <c r="C285" s="34" t="n"/>
      <c r="D285" s="34" t="n"/>
      <c r="E285" s="34" t="n"/>
      <c r="F285" s="34" t="n"/>
      <c r="G285" s="25" t="n"/>
      <c r="H285" s="30" t="n"/>
      <c r="I285" s="1" t="n"/>
    </row>
    <row r="286">
      <c r="A286" s="1" t="n"/>
      <c r="B286" s="30" t="n"/>
      <c r="C286" s="34" t="n"/>
      <c r="D286" s="34" t="n"/>
      <c r="E286" s="34" t="n"/>
      <c r="F286" s="34" t="n"/>
      <c r="G286" s="25" t="n"/>
      <c r="H286" s="30" t="n"/>
      <c r="I286" s="1" t="n"/>
    </row>
    <row r="287">
      <c r="A287" s="1" t="n"/>
      <c r="B287" s="30" t="n"/>
      <c r="C287" s="34" t="n"/>
      <c r="D287" s="34" t="n"/>
      <c r="E287" s="34" t="n"/>
      <c r="F287" s="34" t="n"/>
      <c r="G287" s="25" t="n"/>
      <c r="H287" s="30" t="n"/>
      <c r="I287" s="1" t="n"/>
    </row>
    <row r="288">
      <c r="A288" s="1" t="n"/>
      <c r="B288" s="30" t="n"/>
      <c r="C288" s="34" t="n"/>
      <c r="D288" s="34" t="n"/>
      <c r="E288" s="34" t="n"/>
      <c r="F288" s="34" t="n"/>
      <c r="G288" s="25" t="n"/>
      <c r="H288" s="30" t="n"/>
      <c r="I288" s="1" t="n"/>
    </row>
    <row r="289">
      <c r="A289" s="1" t="n"/>
      <c r="B289" s="30" t="n"/>
      <c r="C289" s="34" t="n"/>
      <c r="D289" s="34" t="n"/>
      <c r="E289" s="34" t="n"/>
      <c r="F289" s="34" t="n"/>
      <c r="G289" s="25" t="n"/>
      <c r="H289" s="30" t="n"/>
      <c r="I289" s="1" t="n"/>
    </row>
    <row r="290">
      <c r="A290" s="1" t="n"/>
      <c r="B290" s="30" t="n"/>
      <c r="C290" s="34" t="n"/>
      <c r="D290" s="34" t="n"/>
      <c r="E290" s="34" t="n"/>
      <c r="F290" s="34" t="n"/>
      <c r="G290" s="25" t="n"/>
      <c r="H290" s="30" t="n"/>
      <c r="I290" s="1" t="n"/>
    </row>
    <row r="291">
      <c r="A291" s="1" t="n"/>
      <c r="B291" s="30" t="n"/>
      <c r="C291" s="34" t="n"/>
      <c r="D291" s="34" t="n"/>
      <c r="E291" s="34" t="n"/>
      <c r="F291" s="34" t="n"/>
      <c r="G291" s="25" t="n"/>
      <c r="H291" s="30" t="n"/>
      <c r="I291" s="1" t="n"/>
    </row>
    <row r="292">
      <c r="A292" s="1" t="n"/>
      <c r="B292" s="30" t="n"/>
      <c r="C292" s="34" t="n"/>
      <c r="D292" s="34" t="n"/>
      <c r="E292" s="34" t="n"/>
      <c r="F292" s="34" t="n"/>
      <c r="G292" s="25" t="n"/>
      <c r="H292" s="30" t="n"/>
      <c r="I292" s="1" t="n"/>
    </row>
    <row r="293">
      <c r="A293" s="1" t="n"/>
      <c r="B293" s="30" t="n"/>
      <c r="C293" s="34" t="n"/>
      <c r="D293" s="34" t="n"/>
      <c r="E293" s="34" t="n"/>
      <c r="F293" s="34" t="n"/>
      <c r="G293" s="25" t="n"/>
      <c r="H293" s="30" t="n"/>
      <c r="I293" s="1" t="n"/>
    </row>
    <row r="294">
      <c r="A294" s="1" t="n"/>
      <c r="B294" s="30" t="n"/>
      <c r="C294" s="34" t="n"/>
      <c r="D294" s="34" t="n"/>
      <c r="E294" s="34" t="n"/>
      <c r="F294" s="34" t="n"/>
      <c r="G294" s="25" t="n"/>
      <c r="H294" s="30" t="n"/>
      <c r="I294" s="1" t="n"/>
    </row>
    <row r="295">
      <c r="A295" s="1" t="n"/>
      <c r="B295" s="30" t="n"/>
      <c r="C295" s="34" t="n"/>
      <c r="D295" s="34" t="n"/>
      <c r="E295" s="34" t="n"/>
      <c r="F295" s="34" t="n"/>
      <c r="G295" s="25" t="n"/>
      <c r="H295" s="30" t="n"/>
      <c r="I295" s="1" t="n"/>
    </row>
    <row r="296">
      <c r="A296" s="1" t="n"/>
      <c r="B296" s="30" t="n"/>
      <c r="C296" s="34" t="n"/>
      <c r="D296" s="34" t="n"/>
      <c r="E296" s="34" t="n"/>
      <c r="F296" s="34" t="n"/>
      <c r="G296" s="25" t="n"/>
      <c r="H296" s="30" t="n"/>
      <c r="I296" s="1" t="n"/>
    </row>
    <row r="297">
      <c r="A297" s="1" t="n"/>
      <c r="B297" s="30" t="n"/>
      <c r="C297" s="34" t="n"/>
      <c r="D297" s="34" t="n"/>
      <c r="E297" s="34" t="n"/>
      <c r="F297" s="34" t="n"/>
      <c r="G297" s="25" t="n"/>
      <c r="H297" s="30" t="n"/>
      <c r="I297" s="1" t="n"/>
    </row>
    <row r="298">
      <c r="A298" s="1" t="n"/>
      <c r="B298" s="30" t="n"/>
      <c r="C298" s="34" t="n"/>
      <c r="D298" s="34" t="n"/>
      <c r="E298" s="34" t="n"/>
      <c r="F298" s="34" t="n"/>
      <c r="G298" s="25" t="n"/>
      <c r="H298" s="30" t="n"/>
      <c r="I298" s="1" t="n"/>
    </row>
    <row r="299">
      <c r="A299" s="1" t="n"/>
      <c r="B299" s="30" t="n"/>
      <c r="C299" s="34" t="n"/>
      <c r="D299" s="34" t="n"/>
      <c r="E299" s="34" t="n"/>
      <c r="F299" s="34" t="n"/>
      <c r="G299" s="25" t="n"/>
      <c r="H299" s="30" t="n"/>
      <c r="I299" s="1" t="n"/>
    </row>
    <row r="300">
      <c r="A300" s="1" t="n"/>
      <c r="B300" s="30" t="n"/>
      <c r="C300" s="34" t="n"/>
      <c r="D300" s="34" t="n"/>
      <c r="E300" s="34" t="n"/>
      <c r="F300" s="34" t="n"/>
      <c r="G300" s="25" t="n"/>
      <c r="H300" s="30" t="n"/>
      <c r="I300" s="1" t="n"/>
    </row>
    <row r="301">
      <c r="A301" s="1" t="n"/>
      <c r="B301" s="30" t="n"/>
      <c r="C301" s="34" t="n"/>
      <c r="D301" s="34" t="n"/>
      <c r="E301" s="34" t="n"/>
      <c r="F301" s="34" t="n"/>
      <c r="G301" s="25" t="n"/>
      <c r="H301" s="30" t="n"/>
      <c r="I301" s="1" t="n"/>
    </row>
    <row r="302">
      <c r="A302" s="1" t="n"/>
      <c r="B302" s="30" t="n"/>
      <c r="C302" s="34" t="n"/>
      <c r="D302" s="34" t="n"/>
      <c r="E302" s="34" t="n"/>
      <c r="F302" s="34" t="n"/>
      <c r="G302" s="25" t="n"/>
      <c r="H302" s="30" t="n"/>
      <c r="I302" s="1" t="n"/>
    </row>
    <row r="303">
      <c r="A303" s="1" t="n"/>
      <c r="B303" s="30" t="n"/>
      <c r="C303" s="34" t="n"/>
      <c r="D303" s="34" t="n"/>
      <c r="E303" s="34" t="n"/>
      <c r="F303" s="34" t="n"/>
      <c r="G303" s="25" t="n"/>
      <c r="H303" s="30" t="n"/>
      <c r="I303" s="1" t="n"/>
    </row>
    <row r="304">
      <c r="A304" s="1" t="n"/>
      <c r="B304" s="30" t="n"/>
      <c r="C304" s="34" t="n"/>
      <c r="D304" s="34" t="n"/>
      <c r="E304" s="34" t="n"/>
      <c r="F304" s="34" t="n"/>
      <c r="G304" s="25" t="n"/>
      <c r="H304" s="30" t="n"/>
      <c r="I304" s="1" t="n"/>
    </row>
    <row r="305">
      <c r="A305" s="1" t="n"/>
      <c r="B305" s="30" t="n"/>
      <c r="C305" s="34" t="n"/>
      <c r="D305" s="34" t="n"/>
      <c r="E305" s="34" t="n"/>
      <c r="F305" s="34" t="n"/>
      <c r="G305" s="25" t="n"/>
      <c r="H305" s="30" t="n"/>
      <c r="I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</row>
  </sheetData>
  <conditionalFormatting sqref="D6:D305">
    <cfRule type="expression" priority="1" dxfId="0">
      <formula>$D6="Yes"</formula>
    </cfRule>
    <cfRule type="expression" priority="2" dxfId="3">
      <formula>$D6="Pending"</formula>
    </cfRule>
    <cfRule type="expression" priority="3" dxfId="4">
      <formula>$D6="No"</formula>
    </cfRule>
  </conditionalFormatting>
  <dataValidations count="4">
    <dataValidation sqref="C6:C305" showDropDown="0" showInputMessage="0" showErrorMessage="0" allowBlank="1" type="list">
      <formula1>"Both,Partner A,Partner B"</formula1>
    </dataValidation>
    <dataValidation sqref="D6:D305" showDropDown="0" showInputMessage="0" showErrorMessage="0" allowBlank="1" type="list">
      <formula1>"Yes,No,Pending"</formula1>
    </dataValidation>
    <dataValidation sqref="E6:E305" showDropDown="0" showInputMessage="0" showErrorMessage="0" allowBlank="1" type="list">
      <formula1>"Yes,No"</formula1>
    </dataValidation>
    <dataValidation sqref="F6:F305" showDropDown="0" showInputMessage="0" showErrorMessage="0" allowBlank="1" type="list">
      <formula1>"Meat,Fish,Veggie,Kids"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0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35" t="inlineStr">
        <is>
          <t>1</t>
        </is>
      </c>
      <c r="C5" s="36" t="inlineStr">
        <is>
          <t>Dashboard: type your wedding date and the countdown starts.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35" t="inlineStr">
        <is>
          <t>2</t>
        </is>
      </c>
      <c r="C7" s="36" t="inlineStr">
        <is>
          <t>Budget: type your total. Change the percentages if your priorities differ (they add up to 100).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35" t="inlineStr">
        <is>
          <t>3</t>
        </is>
      </c>
      <c r="C9" s="36" t="inlineStr">
        <is>
          <t>Vendors: add each vendor once you have a quote, with the amount, what you paid and the next due date.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35" t="inlineStr">
        <is>
          <t>4</t>
        </is>
      </c>
      <c r="C11" s="36" t="inlineStr">
        <is>
          <t>Guests: one line per guest. Update the RSVP and meal as answers come in.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35" t="inlineStr">
        <is>
          <t>5</t>
        </is>
      </c>
      <c r="C13" s="36" t="inlineStr">
        <is>
          <t>The Dashboard then shows what is booked, paid and still to pay, and your guest numbers.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1" t="n"/>
      <c r="D16" s="1" t="n"/>
    </row>
    <row r="17">
      <c r="A17" s="1" t="n"/>
      <c r="B17" s="1" t="n"/>
      <c r="C17" s="3" t="inlineStr">
        <is>
          <t>The example vendors and guests show how it works. Delete them and add your own.</t>
        </is>
      </c>
      <c r="D17" s="1" t="n"/>
    </row>
    <row r="18">
      <c r="A18" s="1" t="n"/>
      <c r="B18" s="1" t="n"/>
      <c r="C18" s="1" t="n"/>
      <c r="D18" s="1" t="n"/>
    </row>
    <row r="19">
      <c r="A19" s="1" t="n"/>
      <c r="B19" s="1" t="n"/>
      <c r="C19" s="3" t="inlineStr">
        <is>
          <t>Works in Google Sheets and Microsoft Excel, in any currency.</t>
        </is>
      </c>
      <c r="D19" s="1" t="n"/>
    </row>
    <row r="20">
      <c r="A20" s="1" t="n"/>
      <c r="B20" s="1" t="n"/>
      <c r="C20" s="1" t="n"/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2026-09-28T10:34:19Z</dcterms:created>
  <dcterms:modified xsi:type="dcterms:W3CDTF">2026-09-28T10:34:19Z</dcterms:modified>
</cp:coreProperties>
</file>