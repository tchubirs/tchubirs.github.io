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lantings" sheetId="2" state="visible" r:id="rId2"/>
    <sheet name="Harvest" sheetId="3" state="visible" r:id="rId3"/>
    <sheet name="Jobs" sheetId="4" state="visible" r:id="rId4"/>
    <sheet name="Crops" sheetId="5" state="visible" r:id="rId5"/>
    <sheet name="Beds" sheetId="6" state="visible" r:id="rId6"/>
    <sheet name="Calendar" sheetId="7" state="visible" r:id="rId7"/>
    <sheet name="Costs" sheetId="8" state="visible" r:id="rId8"/>
    <sheet name="Settings" sheetId="9" state="visible" r:id="rId9"/>
    <sheet name="Start He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DD MMM YYYY"/>
    <numFmt numFmtId="166" formatCode="yyyy-mm-dd"/>
    <numFmt numFmtId="167" formatCode="d mmm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FFFFFF"/>
      <sz val="11"/>
    </font>
    <font>
      <name val="Arial"/>
      <b val="1"/>
      <color rgb="0015525A"/>
      <sz val="18"/>
    </font>
    <font>
      <name val="Arial"/>
      <b val="1"/>
      <color rgb="001E2A2F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86E1C"/>
      <sz val="16"/>
    </font>
    <font>
      <name val="Arial"/>
      <i val="1"/>
      <color rgb="006B7B80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9" fillId="2" borderId="1" pivotButton="0" quotePrefix="0" xfId="0"/>
    <xf numFmtId="4" fontId="10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1" fontId="11" fillId="2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4" fontId="5" fillId="2" borderId="1" pivotButton="0" quotePrefix="0" xfId="0"/>
    <xf numFmtId="0" fontId="12" fillId="2" borderId="0" pivotButton="0" quotePrefix="0" xfId="0"/>
    <xf numFmtId="1" fontId="5" fillId="2" borderId="1" applyAlignment="1" pivotButton="0" quotePrefix="0" xfId="0">
      <alignment horizontal="center" vertical="center"/>
    </xf>
    <xf numFmtId="167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165" fontId="5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4" fontId="5" fillId="3" borderId="1" pivotButton="0" quotePrefix="0" xfId="0"/>
    <xf numFmtId="4" fontId="3" fillId="2" borderId="1" pivotButton="0" quotePrefix="0" xfId="0"/>
    <xf numFmtId="0" fontId="7" fillId="2" borderId="0" pivotButton="0" quotePrefix="0" xfId="0"/>
    <xf numFmtId="0" fontId="4" fillId="2" borderId="0" pivotButton="0" quotePrefix="0" xfId="0"/>
    <xf numFmtId="0" fontId="8" fillId="2" borderId="1" applyAlignment="1" pivotButton="0" quotePrefix="0" xfId="0">
      <alignment horizontal="center" vertical="center"/>
    </xf>
    <xf numFmtId="0" fontId="8" fillId="3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E2B8"/>
          <bgColor rgb="00FFE2B8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FFF4C2"/>
          <bgColor rgb="00FFF4C2"/>
        </patternFill>
      </fill>
    </dxf>
    <dxf>
      <fill>
        <patternFill patternType="solid">
          <fgColor rgb="0015525A"/>
          <bgColor rgb="0015525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Harvest and costs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'Dashboard'!H20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'Dashboard'!$G$21:$G$32</f>
            </numRef>
          </cat>
          <val>
            <numRef>
              <f>'Dashboard'!$H$21:$H$32</f>
            </numRef>
          </val>
        </ser>
        <ser>
          <idx val="1"/>
          <order val="1"/>
          <tx>
            <strRef>
              <f>'Dashboard'!I20</f>
            </strRef>
          </tx>
          <spPr>
            <a:solidFill>
              <a:srgbClr val="E39A4B"/>
            </a:solidFill>
            <a:ln>
              <a:prstDash val="solid"/>
            </a:ln>
          </spPr>
          <cat>
            <numRef>
              <f>'Dashboard'!$G$21:$G$32</f>
            </numRef>
          </cat>
          <val>
            <numRef>
              <f>'Dashboard'!$I$21:$I$32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2" customWidth="1" min="4" max="4"/>
    <col width="12" customWidth="1" min="5" max="5"/>
    <col width="3" customWidth="1" min="6" max="6"/>
    <col width="16" customWidth="1" min="7" max="7"/>
    <col width="16" customWidth="1" min="8" max="8"/>
    <col width="16" customWidth="1" min="9" max="9"/>
    <col width="3" customWidth="1" min="10" max="10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>
        <f>IF(Settings!$C$4="","Vegetable garden",Settings!$C$4)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>
        <f>Settings!$C$5&amp;": the harvest at shop prices, what the garden cost, and what to do in "&amp;CHOOSE(MONTH(TODAY()),"January","February","March","April","May","June","July","August","September","October","November","December")&amp;"."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4" t="inlineStr">
        <is>
          <t>Harvest value</t>
        </is>
      </c>
      <c r="C4" s="4" t="inlineStr">
        <is>
          <t>Spent</t>
        </is>
      </c>
      <c r="D4" s="4" t="inlineStr">
        <is>
          <t>Value less costs</t>
        </is>
      </c>
      <c r="E4" s="4" t="inlineStr">
        <is>
          <t>Crops picked</t>
        </is>
      </c>
      <c r="F4" s="1" t="n"/>
      <c r="G4" s="4" t="inlineStr">
        <is>
          <t>Plantings</t>
        </is>
      </c>
      <c r="H4" s="4" t="inlineStr">
        <is>
          <t>In the ground</t>
        </is>
      </c>
      <c r="I4" s="4" t="inlineStr">
        <is>
          <t>Beds to water</t>
        </is>
      </c>
      <c r="J4" s="1" t="n"/>
      <c r="K4" s="1" t="n"/>
    </row>
    <row r="5" ht="34" customHeight="1">
      <c r="A5" s="1" t="n"/>
      <c r="B5" s="5">
        <f>SUMIFS(Harvest!$H$6:$H$1505,Harvest!$J$6:$J$1505,Settings!$C$5)</f>
        <v/>
      </c>
      <c r="C5" s="5">
        <f>SUMIFS(Costs!$E$6:$E$505,Costs!$G$6:$G$505,Settings!$C$5)</f>
        <v/>
      </c>
      <c r="D5" s="5">
        <f>B5-C5</f>
        <v/>
      </c>
      <c r="E5" s="6">
        <f>COUNTIF(Crops!$O$6:$O$65,"&gt;0")</f>
        <v/>
      </c>
      <c r="F5" s="1" t="n"/>
      <c r="G5" s="6">
        <f>SUMIFS(Plantings!$S$6:$S$505,Plantings!$N$6:$N$505,Settings!$C$5)</f>
        <v/>
      </c>
      <c r="H5" s="6">
        <f>SUM(Plantings!$Q$6:$Q$505)</f>
        <v/>
      </c>
      <c r="I5" s="7">
        <f>COUNTIF(Beds!$J$6:$J$35,"Water")</f>
        <v/>
      </c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8" t="inlineStr">
        <is>
          <t>Harvest this year</t>
        </is>
      </c>
      <c r="C7" s="8" t="inlineStr">
        <is>
          <t>Picked</t>
        </is>
      </c>
      <c r="D7" s="8" t="inlineStr">
        <is>
          <t>Unit</t>
        </is>
      </c>
      <c r="E7" s="8" t="inlineStr">
        <is>
          <t>Value</t>
        </is>
      </c>
      <c r="F7" s="1" t="n"/>
      <c r="G7" s="8" t="inlineStr">
        <is>
          <t>Sow now</t>
        </is>
      </c>
      <c r="H7" s="8" t="inlineStr">
        <is>
          <t>Plant out now</t>
        </is>
      </c>
      <c r="I7" s="8" t="inlineStr">
        <is>
          <t>Harvest now</t>
        </is>
      </c>
      <c r="J7" s="1" t="n"/>
      <c r="K7" s="1" t="n"/>
    </row>
    <row r="8" ht="18" customHeight="1">
      <c r="A8" s="1" t="n"/>
      <c r="B8" s="9">
        <f>IF(L8="","",INDEX(Crops!$B$1:$B$65,1000-MOD(L8,1000)))</f>
        <v/>
      </c>
      <c r="C8" s="10">
        <f>IF(L8="","",INDEX(Crops!$O$1:$O$65,1000-MOD(L8,1000)))</f>
        <v/>
      </c>
      <c r="D8" s="11">
        <f>IF(L8="","",IF(INDEX(Crops!$D$1:$D$65,1000-MOD(L8,1000))="","",INDEX(Crops!$D$1:$D$65,1000-MOD(L8,1000))))</f>
        <v/>
      </c>
      <c r="E8" s="12">
        <f>IF(L8="","",INDEX(Crops!$P$1:$P$65,1000-MOD(L8,1000)))</f>
        <v/>
      </c>
      <c r="F8" s="1" t="n"/>
      <c r="G8" s="11">
        <f>IF(M8="","",INDEX(Crops!$B$1:$B$65,M8))</f>
        <v/>
      </c>
      <c r="H8" s="11">
        <f>IF(N8="","",INDEX(Crops!$B$1:$B$65,N8))</f>
        <v/>
      </c>
      <c r="I8" s="11">
        <f>IF(O8="","",INDEX(Crops!$B$1:$B$65,O8))</f>
        <v/>
      </c>
      <c r="J8" s="1" t="n"/>
      <c r="K8" s="1" t="n"/>
      <c r="L8">
        <f>IFERROR(LARGE(Crops!$AA$6:$AA$65,1),"")</f>
        <v/>
      </c>
      <c r="M8">
        <f>IFERROR(SMALL(Crops!$X$6:$X$65,1),"")</f>
        <v/>
      </c>
      <c r="N8">
        <f>IFERROR(SMALL(Crops!$Y$6:$Y$65,1),"")</f>
        <v/>
      </c>
      <c r="O8">
        <f>IFERROR(SMALL(Crops!$Z$6:$Z$65,1),"")</f>
        <v/>
      </c>
    </row>
    <row r="9" ht="18" customHeight="1">
      <c r="A9" s="1" t="n"/>
      <c r="B9" s="9">
        <f>IF(L9="","",INDEX(Crops!$B$1:$B$65,1000-MOD(L9,1000)))</f>
        <v/>
      </c>
      <c r="C9" s="10">
        <f>IF(L9="","",INDEX(Crops!$O$1:$O$65,1000-MOD(L9,1000)))</f>
        <v/>
      </c>
      <c r="D9" s="11">
        <f>IF(L9="","",IF(INDEX(Crops!$D$1:$D$65,1000-MOD(L9,1000))="","",INDEX(Crops!$D$1:$D$65,1000-MOD(L9,1000))))</f>
        <v/>
      </c>
      <c r="E9" s="12">
        <f>IF(L9="","",INDEX(Crops!$P$1:$P$65,1000-MOD(L9,1000)))</f>
        <v/>
      </c>
      <c r="F9" s="1" t="n"/>
      <c r="G9" s="11">
        <f>IF(M9="","",INDEX(Crops!$B$1:$B$65,M9))</f>
        <v/>
      </c>
      <c r="H9" s="11">
        <f>IF(N9="","",INDEX(Crops!$B$1:$B$65,N9))</f>
        <v/>
      </c>
      <c r="I9" s="11">
        <f>IF(O9="","",INDEX(Crops!$B$1:$B$65,O9))</f>
        <v/>
      </c>
      <c r="J9" s="1" t="n"/>
      <c r="K9" s="1" t="n"/>
      <c r="L9">
        <f>IFERROR(LARGE(Crops!$AA$6:$AA$65,2),"")</f>
        <v/>
      </c>
      <c r="M9">
        <f>IFERROR(SMALL(Crops!$X$6:$X$65,2),"")</f>
        <v/>
      </c>
      <c r="N9">
        <f>IFERROR(SMALL(Crops!$Y$6:$Y$65,2),"")</f>
        <v/>
      </c>
      <c r="O9">
        <f>IFERROR(SMALL(Crops!$Z$6:$Z$65,2),"")</f>
        <v/>
      </c>
    </row>
    <row r="10" ht="18" customHeight="1">
      <c r="A10" s="1" t="n"/>
      <c r="B10" s="9">
        <f>IF(L10="","",INDEX(Crops!$B$1:$B$65,1000-MOD(L10,1000)))</f>
        <v/>
      </c>
      <c r="C10" s="10">
        <f>IF(L10="","",INDEX(Crops!$O$1:$O$65,1000-MOD(L10,1000)))</f>
        <v/>
      </c>
      <c r="D10" s="11">
        <f>IF(L10="","",IF(INDEX(Crops!$D$1:$D$65,1000-MOD(L10,1000))="","",INDEX(Crops!$D$1:$D$65,1000-MOD(L10,1000))))</f>
        <v/>
      </c>
      <c r="E10" s="12">
        <f>IF(L10="","",INDEX(Crops!$P$1:$P$65,1000-MOD(L10,1000)))</f>
        <v/>
      </c>
      <c r="F10" s="1" t="n"/>
      <c r="G10" s="11">
        <f>IF(M10="","",INDEX(Crops!$B$1:$B$65,M10))</f>
        <v/>
      </c>
      <c r="H10" s="11">
        <f>IF(N10="","",INDEX(Crops!$B$1:$B$65,N10))</f>
        <v/>
      </c>
      <c r="I10" s="11">
        <f>IF(O10="","",INDEX(Crops!$B$1:$B$65,O10))</f>
        <v/>
      </c>
      <c r="J10" s="1" t="n"/>
      <c r="K10" s="1" t="n"/>
      <c r="L10">
        <f>IFERROR(LARGE(Crops!$AA$6:$AA$65,3),"")</f>
        <v/>
      </c>
      <c r="M10">
        <f>IFERROR(SMALL(Crops!$X$6:$X$65,3),"")</f>
        <v/>
      </c>
      <c r="N10">
        <f>IFERROR(SMALL(Crops!$Y$6:$Y$65,3),"")</f>
        <v/>
      </c>
      <c r="O10">
        <f>IFERROR(SMALL(Crops!$Z$6:$Z$65,3),"")</f>
        <v/>
      </c>
    </row>
    <row r="11" ht="18" customHeight="1">
      <c r="A11" s="1" t="n"/>
      <c r="B11" s="9">
        <f>IF(L11="","",INDEX(Crops!$B$1:$B$65,1000-MOD(L11,1000)))</f>
        <v/>
      </c>
      <c r="C11" s="10">
        <f>IF(L11="","",INDEX(Crops!$O$1:$O$65,1000-MOD(L11,1000)))</f>
        <v/>
      </c>
      <c r="D11" s="11">
        <f>IF(L11="","",IF(INDEX(Crops!$D$1:$D$65,1000-MOD(L11,1000))="","",INDEX(Crops!$D$1:$D$65,1000-MOD(L11,1000))))</f>
        <v/>
      </c>
      <c r="E11" s="12">
        <f>IF(L11="","",INDEX(Crops!$P$1:$P$65,1000-MOD(L11,1000)))</f>
        <v/>
      </c>
      <c r="F11" s="1" t="n"/>
      <c r="G11" s="11">
        <f>IF(M11="","",INDEX(Crops!$B$1:$B$65,M11))</f>
        <v/>
      </c>
      <c r="H11" s="11">
        <f>IF(N11="","",INDEX(Crops!$B$1:$B$65,N11))</f>
        <v/>
      </c>
      <c r="I11" s="11">
        <f>IF(O11="","",INDEX(Crops!$B$1:$B$65,O11))</f>
        <v/>
      </c>
      <c r="J11" s="1" t="n"/>
      <c r="K11" s="1" t="n"/>
      <c r="L11">
        <f>IFERROR(LARGE(Crops!$AA$6:$AA$65,4),"")</f>
        <v/>
      </c>
      <c r="M11">
        <f>IFERROR(SMALL(Crops!$X$6:$X$65,4),"")</f>
        <v/>
      </c>
      <c r="N11">
        <f>IFERROR(SMALL(Crops!$Y$6:$Y$65,4),"")</f>
        <v/>
      </c>
      <c r="O11">
        <f>IFERROR(SMALL(Crops!$Z$6:$Z$65,4),"")</f>
        <v/>
      </c>
    </row>
    <row r="12" ht="18" customHeight="1">
      <c r="A12" s="1" t="n"/>
      <c r="B12" s="9">
        <f>IF(L12="","",INDEX(Crops!$B$1:$B$65,1000-MOD(L12,1000)))</f>
        <v/>
      </c>
      <c r="C12" s="10">
        <f>IF(L12="","",INDEX(Crops!$O$1:$O$65,1000-MOD(L12,1000)))</f>
        <v/>
      </c>
      <c r="D12" s="11">
        <f>IF(L12="","",IF(INDEX(Crops!$D$1:$D$65,1000-MOD(L12,1000))="","",INDEX(Crops!$D$1:$D$65,1000-MOD(L12,1000))))</f>
        <v/>
      </c>
      <c r="E12" s="12">
        <f>IF(L12="","",INDEX(Crops!$P$1:$P$65,1000-MOD(L12,1000)))</f>
        <v/>
      </c>
      <c r="F12" s="1" t="n"/>
      <c r="G12" s="11">
        <f>IF(M12="","",INDEX(Crops!$B$1:$B$65,M12))</f>
        <v/>
      </c>
      <c r="H12" s="11">
        <f>IF(N12="","",INDEX(Crops!$B$1:$B$65,N12))</f>
        <v/>
      </c>
      <c r="I12" s="11">
        <f>IF(O12="","",INDEX(Crops!$B$1:$B$65,O12))</f>
        <v/>
      </c>
      <c r="J12" s="1" t="n"/>
      <c r="K12" s="1" t="n"/>
      <c r="L12">
        <f>IFERROR(LARGE(Crops!$AA$6:$AA$65,5),"")</f>
        <v/>
      </c>
      <c r="M12">
        <f>IFERROR(SMALL(Crops!$X$6:$X$65,5),"")</f>
        <v/>
      </c>
      <c r="N12">
        <f>IFERROR(SMALL(Crops!$Y$6:$Y$65,5),"")</f>
        <v/>
      </c>
      <c r="O12">
        <f>IFERROR(SMALL(Crops!$Z$6:$Z$65,5),"")</f>
        <v/>
      </c>
    </row>
    <row r="13" ht="18" customHeight="1">
      <c r="A13" s="1" t="n"/>
      <c r="B13" s="9">
        <f>IF(L13="","",INDEX(Crops!$B$1:$B$65,1000-MOD(L13,1000)))</f>
        <v/>
      </c>
      <c r="C13" s="10">
        <f>IF(L13="","",INDEX(Crops!$O$1:$O$65,1000-MOD(L13,1000)))</f>
        <v/>
      </c>
      <c r="D13" s="11">
        <f>IF(L13="","",IF(INDEX(Crops!$D$1:$D$65,1000-MOD(L13,1000))="","",INDEX(Crops!$D$1:$D$65,1000-MOD(L13,1000))))</f>
        <v/>
      </c>
      <c r="E13" s="12">
        <f>IF(L13="","",INDEX(Crops!$P$1:$P$65,1000-MOD(L13,1000)))</f>
        <v/>
      </c>
      <c r="F13" s="1" t="n"/>
      <c r="G13" s="11">
        <f>IF(M13="","",INDEX(Crops!$B$1:$B$65,M13))</f>
        <v/>
      </c>
      <c r="H13" s="11">
        <f>IF(N13="","",INDEX(Crops!$B$1:$B$65,N13))</f>
        <v/>
      </c>
      <c r="I13" s="11">
        <f>IF(O13="","",INDEX(Crops!$B$1:$B$65,O13))</f>
        <v/>
      </c>
      <c r="J13" s="1" t="n"/>
      <c r="K13" s="1" t="n"/>
      <c r="L13">
        <f>IFERROR(LARGE(Crops!$AA$6:$AA$65,6),"")</f>
        <v/>
      </c>
      <c r="M13">
        <f>IFERROR(SMALL(Crops!$X$6:$X$65,6),"")</f>
        <v/>
      </c>
      <c r="N13">
        <f>IFERROR(SMALL(Crops!$Y$6:$Y$65,6),"")</f>
        <v/>
      </c>
      <c r="O13">
        <f>IFERROR(SMALL(Crops!$Z$6:$Z$65,6),"")</f>
        <v/>
      </c>
    </row>
    <row r="14" ht="18" customHeight="1">
      <c r="A14" s="1" t="n"/>
      <c r="B14" s="9">
        <f>IF(L14="","",INDEX(Crops!$B$1:$B$65,1000-MOD(L14,1000)))</f>
        <v/>
      </c>
      <c r="C14" s="10">
        <f>IF(L14="","",INDEX(Crops!$O$1:$O$65,1000-MOD(L14,1000)))</f>
        <v/>
      </c>
      <c r="D14" s="11">
        <f>IF(L14="","",IF(INDEX(Crops!$D$1:$D$65,1000-MOD(L14,1000))="","",INDEX(Crops!$D$1:$D$65,1000-MOD(L14,1000))))</f>
        <v/>
      </c>
      <c r="E14" s="12">
        <f>IF(L14="","",INDEX(Crops!$P$1:$P$65,1000-MOD(L14,1000)))</f>
        <v/>
      </c>
      <c r="F14" s="1" t="n"/>
      <c r="G14" s="11">
        <f>IF(M14="","",INDEX(Crops!$B$1:$B$65,M14))</f>
        <v/>
      </c>
      <c r="H14" s="11">
        <f>IF(N14="","",INDEX(Crops!$B$1:$B$65,N14))</f>
        <v/>
      </c>
      <c r="I14" s="11">
        <f>IF(O14="","",INDEX(Crops!$B$1:$B$65,O14))</f>
        <v/>
      </c>
      <c r="J14" s="1" t="n"/>
      <c r="K14" s="1" t="n"/>
      <c r="L14">
        <f>IFERROR(LARGE(Crops!$AA$6:$AA$65,7),"")</f>
        <v/>
      </c>
      <c r="M14">
        <f>IFERROR(SMALL(Crops!$X$6:$X$65,7),"")</f>
        <v/>
      </c>
      <c r="N14">
        <f>IFERROR(SMALL(Crops!$Y$6:$Y$65,7),"")</f>
        <v/>
      </c>
      <c r="O14">
        <f>IFERROR(SMALL(Crops!$Z$6:$Z$65,7),"")</f>
        <v/>
      </c>
    </row>
    <row r="15" ht="18" customHeight="1">
      <c r="A15" s="1" t="n"/>
      <c r="B15" s="9">
        <f>IF(L15="","",INDEX(Crops!$B$1:$B$65,1000-MOD(L15,1000)))</f>
        <v/>
      </c>
      <c r="C15" s="10">
        <f>IF(L15="","",INDEX(Crops!$O$1:$O$65,1000-MOD(L15,1000)))</f>
        <v/>
      </c>
      <c r="D15" s="11">
        <f>IF(L15="","",IF(INDEX(Crops!$D$1:$D$65,1000-MOD(L15,1000))="","",INDEX(Crops!$D$1:$D$65,1000-MOD(L15,1000))))</f>
        <v/>
      </c>
      <c r="E15" s="12">
        <f>IF(L15="","",INDEX(Crops!$P$1:$P$65,1000-MOD(L15,1000)))</f>
        <v/>
      </c>
      <c r="F15" s="1" t="n"/>
      <c r="G15" s="11">
        <f>IF(M15="","",INDEX(Crops!$B$1:$B$65,M15))</f>
        <v/>
      </c>
      <c r="H15" s="11">
        <f>IF(N15="","",INDEX(Crops!$B$1:$B$65,N15))</f>
        <v/>
      </c>
      <c r="I15" s="11">
        <f>IF(O15="","",INDEX(Crops!$B$1:$B$65,O15))</f>
        <v/>
      </c>
      <c r="J15" s="1" t="n"/>
      <c r="K15" s="1" t="n"/>
      <c r="L15">
        <f>IFERROR(LARGE(Crops!$AA$6:$AA$65,8),"")</f>
        <v/>
      </c>
      <c r="M15">
        <f>IFERROR(SMALL(Crops!$X$6:$X$65,8),"")</f>
        <v/>
      </c>
      <c r="N15">
        <f>IFERROR(SMALL(Crops!$Y$6:$Y$65,8),"")</f>
        <v/>
      </c>
      <c r="O15">
        <f>IFERROR(SMALL(Crops!$Z$6:$Z$65,8),"")</f>
        <v/>
      </c>
    </row>
    <row r="16" ht="18" customHeight="1">
      <c r="A16" s="1" t="n"/>
      <c r="B16" s="9">
        <f>IF(L16="","",INDEX(Crops!$B$1:$B$65,1000-MOD(L16,1000)))</f>
        <v/>
      </c>
      <c r="C16" s="10">
        <f>IF(L16="","",INDEX(Crops!$O$1:$O$65,1000-MOD(L16,1000)))</f>
        <v/>
      </c>
      <c r="D16" s="11">
        <f>IF(L16="","",IF(INDEX(Crops!$D$1:$D$65,1000-MOD(L16,1000))="","",INDEX(Crops!$D$1:$D$65,1000-MOD(L16,1000))))</f>
        <v/>
      </c>
      <c r="E16" s="12">
        <f>IF(L16="","",INDEX(Crops!$P$1:$P$65,1000-MOD(L16,1000)))</f>
        <v/>
      </c>
      <c r="F16" s="1" t="n"/>
      <c r="G16" s="11">
        <f>IF(M16="","",INDEX(Crops!$B$1:$B$65,M16))</f>
        <v/>
      </c>
      <c r="H16" s="11">
        <f>IF(N16="","",INDEX(Crops!$B$1:$B$65,N16))</f>
        <v/>
      </c>
      <c r="I16" s="11">
        <f>IF(O16="","",INDEX(Crops!$B$1:$B$65,O16))</f>
        <v/>
      </c>
      <c r="J16" s="1" t="n"/>
      <c r="K16" s="1" t="n"/>
      <c r="L16">
        <f>IFERROR(LARGE(Crops!$AA$6:$AA$65,9),"")</f>
        <v/>
      </c>
      <c r="M16">
        <f>IFERROR(SMALL(Crops!$X$6:$X$65,9),"")</f>
        <v/>
      </c>
      <c r="N16">
        <f>IFERROR(SMALL(Crops!$Y$6:$Y$65,9),"")</f>
        <v/>
      </c>
      <c r="O16">
        <f>IFERROR(SMALL(Crops!$Z$6:$Z$65,9),"")</f>
        <v/>
      </c>
    </row>
    <row r="17" ht="18" customHeight="1">
      <c r="A17" s="1" t="n"/>
      <c r="B17" s="9">
        <f>IF(L17="","",INDEX(Crops!$B$1:$B$65,1000-MOD(L17,1000)))</f>
        <v/>
      </c>
      <c r="C17" s="10">
        <f>IF(L17="","",INDEX(Crops!$O$1:$O$65,1000-MOD(L17,1000)))</f>
        <v/>
      </c>
      <c r="D17" s="11">
        <f>IF(L17="","",IF(INDEX(Crops!$D$1:$D$65,1000-MOD(L17,1000))="","",INDEX(Crops!$D$1:$D$65,1000-MOD(L17,1000))))</f>
        <v/>
      </c>
      <c r="E17" s="12">
        <f>IF(L17="","",INDEX(Crops!$P$1:$P$65,1000-MOD(L17,1000)))</f>
        <v/>
      </c>
      <c r="F17" s="1" t="n"/>
      <c r="G17" s="11">
        <f>IF(M17="","",INDEX(Crops!$B$1:$B$65,M17))</f>
        <v/>
      </c>
      <c r="H17" s="11">
        <f>IF(N17="","",INDEX(Crops!$B$1:$B$65,N17))</f>
        <v/>
      </c>
      <c r="I17" s="11">
        <f>IF(O17="","",INDEX(Crops!$B$1:$B$65,O17))</f>
        <v/>
      </c>
      <c r="J17" s="1" t="n"/>
      <c r="K17" s="1" t="n"/>
      <c r="L17">
        <f>IFERROR(LARGE(Crops!$AA$6:$AA$65,10),"")</f>
        <v/>
      </c>
      <c r="M17">
        <f>IFERROR(SMALL(Crops!$X$6:$X$65,10),"")</f>
        <v/>
      </c>
      <c r="N17">
        <f>IFERROR(SMALL(Crops!$Y$6:$Y$65,10),"")</f>
        <v/>
      </c>
      <c r="O17">
        <f>IFERROR(SMALL(Crops!$Z$6:$Z$65,10),"")</f>
        <v/>
      </c>
    </row>
    <row r="18">
      <c r="A18" s="1" t="n"/>
      <c r="B18" s="1" t="n"/>
      <c r="C18" s="1" t="n"/>
      <c r="D18" s="1" t="n"/>
      <c r="E18" s="1" t="n"/>
      <c r="F18" s="1" t="n"/>
      <c r="G18" s="13">
        <f>IF(COUNT(Crops!$Z$6:$Z$65)&gt;10,"And "&amp;(COUNT(Crops!$Z$6:$Z$65)-10)&amp;" more to harvest","")</f>
        <v/>
      </c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0" customHeight="1">
      <c r="A20" s="1" t="n"/>
      <c r="B20" s="8" t="inlineStr">
        <is>
          <t>Bed</t>
        </is>
      </c>
      <c r="C20" s="8" t="inlineStr">
        <is>
          <t>Growing</t>
        </is>
      </c>
      <c r="D20" s="8" t="inlineStr">
        <is>
          <t>Last watered</t>
        </is>
      </c>
      <c r="E20" s="8" t="inlineStr">
        <is>
          <t>Status</t>
        </is>
      </c>
      <c r="F20" s="1" t="n"/>
      <c r="G20" s="8" t="inlineStr">
        <is>
          <t>Month</t>
        </is>
      </c>
      <c r="H20" s="8" t="inlineStr">
        <is>
          <t>Harvest value</t>
        </is>
      </c>
      <c r="I20" s="8" t="inlineStr">
        <is>
          <t>Spent</t>
        </is>
      </c>
      <c r="J20" s="1" t="n"/>
      <c r="K20" s="1" t="n"/>
    </row>
    <row r="21" ht="18" customHeight="1">
      <c r="A21" s="1" t="n"/>
      <c r="B21" s="9">
        <f>IF(INDEX(Beds!$B$6:$B$35,1)="","",INDEX(Beds!$B$6:$B$35,1))</f>
        <v/>
      </c>
      <c r="C21" s="14">
        <f>IF(B21="","",INDEX(Beds!$F$6:$F$35,1))</f>
        <v/>
      </c>
      <c r="D21" s="15">
        <f>IF(B21="","",IF(INDEX(Beds!$H$6:$H$35,1)="","",INDEX(Beds!$H$6:$H$35,1)))</f>
        <v/>
      </c>
      <c r="E21" s="16">
        <f>IF(B21="","",INDEX(Beds!$J$6:$J$35,1))</f>
        <v/>
      </c>
      <c r="F21" s="1" t="n"/>
      <c r="G21" s="16" t="inlineStr">
        <is>
          <t>Jan</t>
        </is>
      </c>
      <c r="H21" s="12">
        <f>SUMIFS(Harvest!$H$6:$H$1505,Harvest!$K$6:$K$1505,(Settings!$C$5*100+1))</f>
        <v/>
      </c>
      <c r="I21" s="12">
        <f>SUMIFS(Costs!$E$6:$E$505,Costs!$H$6:$H$505,(Settings!$C$5*100+1))</f>
        <v/>
      </c>
      <c r="J21" s="1" t="n"/>
      <c r="K21" s="1" t="n"/>
    </row>
    <row r="22" ht="18" customHeight="1">
      <c r="A22" s="1" t="n"/>
      <c r="B22" s="9">
        <f>IF(INDEX(Beds!$B$6:$B$35,2)="","",INDEX(Beds!$B$6:$B$35,2))</f>
        <v/>
      </c>
      <c r="C22" s="14">
        <f>IF(B22="","",INDEX(Beds!$F$6:$F$35,2))</f>
        <v/>
      </c>
      <c r="D22" s="15">
        <f>IF(B22="","",IF(INDEX(Beds!$H$6:$H$35,2)="","",INDEX(Beds!$H$6:$H$35,2)))</f>
        <v/>
      </c>
      <c r="E22" s="16">
        <f>IF(B22="","",INDEX(Beds!$J$6:$J$35,2))</f>
        <v/>
      </c>
      <c r="F22" s="1" t="n"/>
      <c r="G22" s="16" t="inlineStr">
        <is>
          <t>Feb</t>
        </is>
      </c>
      <c r="H22" s="12">
        <f>SUMIFS(Harvest!$H$6:$H$1505,Harvest!$K$6:$K$1505,(Settings!$C$5*100+2))</f>
        <v/>
      </c>
      <c r="I22" s="12">
        <f>SUMIFS(Costs!$E$6:$E$505,Costs!$H$6:$H$505,(Settings!$C$5*100+2))</f>
        <v/>
      </c>
      <c r="J22" s="1" t="n"/>
      <c r="K22" s="1" t="n"/>
    </row>
    <row r="23" ht="18" customHeight="1">
      <c r="A23" s="1" t="n"/>
      <c r="B23" s="9">
        <f>IF(INDEX(Beds!$B$6:$B$35,3)="","",INDEX(Beds!$B$6:$B$35,3))</f>
        <v/>
      </c>
      <c r="C23" s="14">
        <f>IF(B23="","",INDEX(Beds!$F$6:$F$35,3))</f>
        <v/>
      </c>
      <c r="D23" s="15">
        <f>IF(B23="","",IF(INDEX(Beds!$H$6:$H$35,3)="","",INDEX(Beds!$H$6:$H$35,3)))</f>
        <v/>
      </c>
      <c r="E23" s="16">
        <f>IF(B23="","",INDEX(Beds!$J$6:$J$35,3))</f>
        <v/>
      </c>
      <c r="F23" s="1" t="n"/>
      <c r="G23" s="16" t="inlineStr">
        <is>
          <t>Mar</t>
        </is>
      </c>
      <c r="H23" s="12">
        <f>SUMIFS(Harvest!$H$6:$H$1505,Harvest!$K$6:$K$1505,(Settings!$C$5*100+3))</f>
        <v/>
      </c>
      <c r="I23" s="12">
        <f>SUMIFS(Costs!$E$6:$E$505,Costs!$H$6:$H$505,(Settings!$C$5*100+3))</f>
        <v/>
      </c>
      <c r="J23" s="1" t="n"/>
      <c r="K23" s="1" t="n"/>
    </row>
    <row r="24" ht="18" customHeight="1">
      <c r="A24" s="1" t="n"/>
      <c r="B24" s="9">
        <f>IF(INDEX(Beds!$B$6:$B$35,4)="","",INDEX(Beds!$B$6:$B$35,4))</f>
        <v/>
      </c>
      <c r="C24" s="14">
        <f>IF(B24="","",INDEX(Beds!$F$6:$F$35,4))</f>
        <v/>
      </c>
      <c r="D24" s="15">
        <f>IF(B24="","",IF(INDEX(Beds!$H$6:$H$35,4)="","",INDEX(Beds!$H$6:$H$35,4)))</f>
        <v/>
      </c>
      <c r="E24" s="16">
        <f>IF(B24="","",INDEX(Beds!$J$6:$J$35,4))</f>
        <v/>
      </c>
      <c r="F24" s="1" t="n"/>
      <c r="G24" s="16" t="inlineStr">
        <is>
          <t>Apr</t>
        </is>
      </c>
      <c r="H24" s="12">
        <f>SUMIFS(Harvest!$H$6:$H$1505,Harvest!$K$6:$K$1505,(Settings!$C$5*100+4))</f>
        <v/>
      </c>
      <c r="I24" s="12">
        <f>SUMIFS(Costs!$E$6:$E$505,Costs!$H$6:$H$505,(Settings!$C$5*100+4))</f>
        <v/>
      </c>
      <c r="J24" s="1" t="n"/>
      <c r="K24" s="1" t="n"/>
    </row>
    <row r="25" ht="18" customHeight="1">
      <c r="A25" s="1" t="n"/>
      <c r="B25" s="9">
        <f>IF(INDEX(Beds!$B$6:$B$35,5)="","",INDEX(Beds!$B$6:$B$35,5))</f>
        <v/>
      </c>
      <c r="C25" s="14">
        <f>IF(B25="","",INDEX(Beds!$F$6:$F$35,5))</f>
        <v/>
      </c>
      <c r="D25" s="15">
        <f>IF(B25="","",IF(INDEX(Beds!$H$6:$H$35,5)="","",INDEX(Beds!$H$6:$H$35,5)))</f>
        <v/>
      </c>
      <c r="E25" s="16">
        <f>IF(B25="","",INDEX(Beds!$J$6:$J$35,5))</f>
        <v/>
      </c>
      <c r="F25" s="1" t="n"/>
      <c r="G25" s="16" t="inlineStr">
        <is>
          <t>May</t>
        </is>
      </c>
      <c r="H25" s="12">
        <f>SUMIFS(Harvest!$H$6:$H$1505,Harvest!$K$6:$K$1505,(Settings!$C$5*100+5))</f>
        <v/>
      </c>
      <c r="I25" s="12">
        <f>SUMIFS(Costs!$E$6:$E$505,Costs!$H$6:$H$505,(Settings!$C$5*100+5))</f>
        <v/>
      </c>
      <c r="J25" s="1" t="n"/>
      <c r="K25" s="1" t="n"/>
    </row>
    <row r="26" ht="18" customHeight="1">
      <c r="A26" s="1" t="n"/>
      <c r="B26" s="9">
        <f>IF(INDEX(Beds!$B$6:$B$35,6)="","",INDEX(Beds!$B$6:$B$35,6))</f>
        <v/>
      </c>
      <c r="C26" s="14">
        <f>IF(B26="","",INDEX(Beds!$F$6:$F$35,6))</f>
        <v/>
      </c>
      <c r="D26" s="15">
        <f>IF(B26="","",IF(INDEX(Beds!$H$6:$H$35,6)="","",INDEX(Beds!$H$6:$H$35,6)))</f>
        <v/>
      </c>
      <c r="E26" s="16">
        <f>IF(B26="","",INDEX(Beds!$J$6:$J$35,6))</f>
        <v/>
      </c>
      <c r="F26" s="1" t="n"/>
      <c r="G26" s="16" t="inlineStr">
        <is>
          <t>Jun</t>
        </is>
      </c>
      <c r="H26" s="12">
        <f>SUMIFS(Harvest!$H$6:$H$1505,Harvest!$K$6:$K$1505,(Settings!$C$5*100+6))</f>
        <v/>
      </c>
      <c r="I26" s="12">
        <f>SUMIFS(Costs!$E$6:$E$505,Costs!$H$6:$H$505,(Settings!$C$5*100+6))</f>
        <v/>
      </c>
      <c r="J26" s="1" t="n"/>
      <c r="K26" s="1" t="n"/>
    </row>
    <row r="27" ht="18" customHeight="1">
      <c r="A27" s="1" t="n"/>
      <c r="B27" s="9">
        <f>IF(INDEX(Beds!$B$6:$B$35,7)="","",INDEX(Beds!$B$6:$B$35,7))</f>
        <v/>
      </c>
      <c r="C27" s="14">
        <f>IF(B27="","",INDEX(Beds!$F$6:$F$35,7))</f>
        <v/>
      </c>
      <c r="D27" s="15">
        <f>IF(B27="","",IF(INDEX(Beds!$H$6:$H$35,7)="","",INDEX(Beds!$H$6:$H$35,7)))</f>
        <v/>
      </c>
      <c r="E27" s="16">
        <f>IF(B27="","",INDEX(Beds!$J$6:$J$35,7))</f>
        <v/>
      </c>
      <c r="F27" s="1" t="n"/>
      <c r="G27" s="16" t="inlineStr">
        <is>
          <t>Jul</t>
        </is>
      </c>
      <c r="H27" s="12">
        <f>SUMIFS(Harvest!$H$6:$H$1505,Harvest!$K$6:$K$1505,(Settings!$C$5*100+7))</f>
        <v/>
      </c>
      <c r="I27" s="12">
        <f>SUMIFS(Costs!$E$6:$E$505,Costs!$H$6:$H$505,(Settings!$C$5*100+7))</f>
        <v/>
      </c>
      <c r="J27" s="1" t="n"/>
      <c r="K27" s="1" t="n"/>
    </row>
    <row r="28" ht="18" customHeight="1">
      <c r="A28" s="1" t="n"/>
      <c r="B28" s="9">
        <f>IF(INDEX(Beds!$B$6:$B$35,8)="","",INDEX(Beds!$B$6:$B$35,8))</f>
        <v/>
      </c>
      <c r="C28" s="14">
        <f>IF(B28="","",INDEX(Beds!$F$6:$F$35,8))</f>
        <v/>
      </c>
      <c r="D28" s="15">
        <f>IF(B28="","",IF(INDEX(Beds!$H$6:$H$35,8)="","",INDEX(Beds!$H$6:$H$35,8)))</f>
        <v/>
      </c>
      <c r="E28" s="16">
        <f>IF(B28="","",INDEX(Beds!$J$6:$J$35,8))</f>
        <v/>
      </c>
      <c r="F28" s="1" t="n"/>
      <c r="G28" s="16" t="inlineStr">
        <is>
          <t>Aug</t>
        </is>
      </c>
      <c r="H28" s="12">
        <f>SUMIFS(Harvest!$H$6:$H$1505,Harvest!$K$6:$K$1505,(Settings!$C$5*100+8))</f>
        <v/>
      </c>
      <c r="I28" s="12">
        <f>SUMIFS(Costs!$E$6:$E$505,Costs!$H$6:$H$505,(Settings!$C$5*100+8))</f>
        <v/>
      </c>
      <c r="J28" s="1" t="n"/>
      <c r="K28" s="1" t="n"/>
    </row>
    <row r="29" ht="18" customHeight="1">
      <c r="A29" s="1" t="n"/>
      <c r="B29" s="1" t="n"/>
      <c r="C29" s="1" t="n"/>
      <c r="D29" s="1" t="n"/>
      <c r="E29" s="1" t="n"/>
      <c r="F29" s="1" t="n"/>
      <c r="G29" s="16" t="inlineStr">
        <is>
          <t>Sep</t>
        </is>
      </c>
      <c r="H29" s="12">
        <f>SUMIFS(Harvest!$H$6:$H$1505,Harvest!$K$6:$K$1505,(Settings!$C$5*100+9))</f>
        <v/>
      </c>
      <c r="I29" s="12">
        <f>SUMIFS(Costs!$E$6:$E$505,Costs!$H$6:$H$505,(Settings!$C$5*100+9))</f>
        <v/>
      </c>
      <c r="J29" s="1" t="n"/>
      <c r="K29" s="1" t="n"/>
    </row>
    <row r="30" ht="18" customHeight="1">
      <c r="A30" s="1" t="n"/>
      <c r="B30" s="1" t="n"/>
      <c r="C30" s="1" t="n"/>
      <c r="D30" s="1" t="n"/>
      <c r="E30" s="1" t="n"/>
      <c r="F30" s="1" t="n"/>
      <c r="G30" s="16" t="inlineStr">
        <is>
          <t>Oct</t>
        </is>
      </c>
      <c r="H30" s="12">
        <f>SUMIFS(Harvest!$H$6:$H$1505,Harvest!$K$6:$K$1505,(Settings!$C$5*100+10))</f>
        <v/>
      </c>
      <c r="I30" s="12">
        <f>SUMIFS(Costs!$E$6:$E$505,Costs!$H$6:$H$505,(Settings!$C$5*100+10))</f>
        <v/>
      </c>
      <c r="J30" s="1" t="n"/>
      <c r="K30" s="1" t="n"/>
    </row>
    <row r="31" ht="18" customHeight="1">
      <c r="A31" s="1" t="n"/>
      <c r="B31" s="1" t="n"/>
      <c r="C31" s="1" t="n"/>
      <c r="D31" s="1" t="n"/>
      <c r="E31" s="1" t="n"/>
      <c r="F31" s="1" t="n"/>
      <c r="G31" s="16" t="inlineStr">
        <is>
          <t>Nov</t>
        </is>
      </c>
      <c r="H31" s="12">
        <f>SUMIFS(Harvest!$H$6:$H$1505,Harvest!$K$6:$K$1505,(Settings!$C$5*100+11))</f>
        <v/>
      </c>
      <c r="I31" s="12">
        <f>SUMIFS(Costs!$E$6:$E$505,Costs!$H$6:$H$505,(Settings!$C$5*100+11))</f>
        <v/>
      </c>
      <c r="J31" s="1" t="n"/>
      <c r="K31" s="1" t="n"/>
    </row>
    <row r="32" ht="18" customHeight="1">
      <c r="A32" s="1" t="n"/>
      <c r="B32" s="1" t="n"/>
      <c r="C32" s="1" t="n"/>
      <c r="D32" s="1" t="n"/>
      <c r="E32" s="1" t="n"/>
      <c r="F32" s="1" t="n"/>
      <c r="G32" s="16" t="inlineStr">
        <is>
          <t>Dec</t>
        </is>
      </c>
      <c r="H32" s="12">
        <f>SUMIFS(Harvest!$H$6:$H$1505,Harvest!$K$6:$K$1505,(Settings!$C$5*100+12))</f>
        <v/>
      </c>
      <c r="I32" s="12">
        <f>SUMIFS(Costs!$E$6:$E$505,Costs!$H$6:$H$505,(Settings!$C$5*100+12))</f>
        <v/>
      </c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</sheetData>
  <conditionalFormatting sqref="E21:E28">
    <cfRule type="expression" priority="1" dxfId="0">
      <formula>E21="Water"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6" customWidth="1" min="3" max="3"/>
    <col width="14" customWidth="1" min="4" max="4"/>
    <col width="14" customWidth="1" min="5" max="5"/>
    <col width="9" customWidth="1" min="6" max="6"/>
    <col width="13" customWidth="1" min="7" max="7"/>
    <col width="22" customWidth="1" min="8" max="8"/>
    <col width="13" customWidth="1" min="9" max="9"/>
    <col width="12" customWidth="1" min="10" max="10"/>
    <col width="9" customWidth="1" min="11" max="11"/>
    <col width="20" customWidth="1" min="12" max="12"/>
    <col width="26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Plantings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Each time you sow or plant something, with the bed. A date under Cleared once it is finished.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8" t="inlineStr">
        <is>
          <t>Date</t>
        </is>
      </c>
      <c r="C5" s="8" t="inlineStr">
        <is>
          <t>Crop</t>
        </is>
      </c>
      <c r="D5" s="8" t="inlineStr">
        <is>
          <t>Bed</t>
        </is>
      </c>
      <c r="E5" s="8" t="inlineStr">
        <is>
          <t>How</t>
        </is>
      </c>
      <c r="F5" s="8" t="inlineStr">
        <is>
          <t>How many</t>
        </is>
      </c>
      <c r="G5" s="8" t="inlineStr">
        <is>
          <t>Cleared</t>
        </is>
      </c>
      <c r="H5" s="8" t="inlineStr">
        <is>
          <t>Note</t>
        </is>
      </c>
      <c r="I5" s="8" t="inlineStr">
        <is>
          <t>Ready about</t>
        </is>
      </c>
      <c r="J5" s="8" t="inlineStr">
        <is>
          <t>Status</t>
        </is>
      </c>
      <c r="K5" s="8" t="inlineStr">
        <is>
          <t>Days</t>
        </is>
      </c>
      <c r="L5" s="8" t="inlineStr">
        <is>
          <t>Check</t>
        </is>
      </c>
      <c r="M5" s="8" t="inlineStr">
        <is>
          <t>Rotation</t>
        </is>
      </c>
      <c r="N5" s="1" t="n"/>
    </row>
    <row r="6">
      <c r="A6" s="1" t="n"/>
      <c r="B6" s="17" t="n">
        <v>45736</v>
      </c>
      <c r="C6" s="18" t="inlineStr">
        <is>
          <t>Potatoes</t>
        </is>
      </c>
      <c r="D6" s="19" t="inlineStr">
        <is>
          <t>Bed 2</t>
        </is>
      </c>
      <c r="E6" s="19" t="inlineStr">
        <is>
          <t>Sown outside</t>
        </is>
      </c>
      <c r="F6" s="20" t="n">
        <v>20</v>
      </c>
      <c r="G6" s="17" t="n">
        <v>45889</v>
      </c>
      <c r="H6" s="21" t="inlineStr">
        <is>
          <t>Seed potatoes</t>
        </is>
      </c>
      <c r="I6" s="22">
        <f>IF(NOT(AND(C6&lt;&gt;"",ISNUMBER(B6))),"",IF(N(IFERROR(INDEX(Crops!$F$6:$F$65,MATCH(C6,Crops!$B$6:$B$65,0)),0))&gt;0,INT(B6)+N(IFERROR(INDEX(Crops!$F$6:$F$65,MATCH(C6,Crops!$B$6:$B$65,0)),0)),""))</f>
        <v/>
      </c>
      <c r="J6" s="16">
        <f>IF(NOT(AND(C6&lt;&gt;"",ISNUMBER(B6))),"",IF(ISNUMBER(G6),"Done",IF(INT(B6)&gt;TODAY(),"Planned",IF(COUNTIFS(Harvest!$C$6:$C$1505,C6,Harvest!$D$6:$D$1505,D6&amp;"",Harvest!$L$6:$L$1505,"&gt;="&amp;INT(B6))&gt;0,"Picking","Growing"))))</f>
        <v/>
      </c>
      <c r="K6" s="14">
        <f>IF(OR(NOT(AND(C6&lt;&gt;"",ISNUMBER(B6))),J6="Planned"),"",IF(ISNUMBER(G6),INT(G6),TODAY())-INT(B6))</f>
        <v/>
      </c>
      <c r="L6" s="11">
        <f>IF(AND(B6="",C6="",D6=""),"",IF(NOT(ISNUMBER(B6)),"Needs a date",IF(C6="","Needs a crop",IF(COUNTIF(Crops!$B$6:$B$65,C6)=0,"Not on Crops",IF(AND(D6&lt;&gt;"",COUNTIF(Beds!$B$6:$B$35,D6)=0),"Not on Beds",IF(AND(ISNUMBER(G6),G6&lt;B6),"Cleared before it was planted",""))))))</f>
        <v/>
      </c>
      <c r="M6" s="11">
        <f>IF(OR(L6&lt;&gt;"",D6="",O6=""),"",IF(COUNTIFS(Plantings!$D$6:$D$505,D6,Plantings!$O$6:$O$505,O6,Plantings!$N$6:$N$505,N6-1)&gt;0,"Same family here last year",""))</f>
        <v/>
      </c>
      <c r="N6" s="1">
        <f>IF(ISNUMBER(B6),YEAR(B6),"")</f>
        <v/>
      </c>
      <c r="O6">
        <f>IF(C6="","",IFERROR(INDEX(Crops!$C$6:$C$65,MATCH(C6,Crops!$B$6:$B$65,0))&amp;"",""))</f>
        <v/>
      </c>
      <c r="P6">
        <f>IF(ISNUMBER(B6),INT(B6),0)</f>
        <v/>
      </c>
      <c r="Q6">
        <f>IF(AND(L6="",OR(J6="Growing",J6="Picking")),1,0)</f>
        <v/>
      </c>
      <c r="R6">
        <f>IF(AND(Q6=1,D6&lt;&gt;""),P6*1000+ROW(),0)</f>
        <v/>
      </c>
      <c r="S6">
        <f>IF(AND(AND(C6&lt;&gt;"",ISNUMBER(B6)),L6=""),1,0)</f>
        <v/>
      </c>
    </row>
    <row r="7">
      <c r="A7" s="1" t="n"/>
      <c r="B7" s="17" t="n">
        <v>45749</v>
      </c>
      <c r="C7" s="18" t="inlineStr">
        <is>
          <t>Onions</t>
        </is>
      </c>
      <c r="D7" s="19" t="inlineStr">
        <is>
          <t>Bed 4</t>
        </is>
      </c>
      <c r="E7" s="19" t="inlineStr">
        <is>
          <t>Sown outside</t>
        </is>
      </c>
      <c r="F7" s="20" t="n">
        <v>60</v>
      </c>
      <c r="G7" s="17" t="n">
        <v>45897</v>
      </c>
      <c r="H7" s="21" t="inlineStr">
        <is>
          <t>Sets</t>
        </is>
      </c>
      <c r="I7" s="22">
        <f>IF(NOT(AND(C7&lt;&gt;"",ISNUMBER(B7))),"",IF(N(IFERROR(INDEX(Crops!$F$6:$F$65,MATCH(C7,Crops!$B$6:$B$65,0)),0))&gt;0,INT(B7)+N(IFERROR(INDEX(Crops!$F$6:$F$65,MATCH(C7,Crops!$B$6:$B$65,0)),0)),""))</f>
        <v/>
      </c>
      <c r="J7" s="16">
        <f>IF(NOT(AND(C7&lt;&gt;"",ISNUMBER(B7))),"",IF(ISNUMBER(G7),"Done",IF(INT(B7)&gt;TODAY(),"Planned",IF(COUNTIFS(Harvest!$C$6:$C$1505,C7,Harvest!$D$6:$D$1505,D7&amp;"",Harvest!$L$6:$L$1505,"&gt;="&amp;INT(B7))&gt;0,"Picking","Growing"))))</f>
        <v/>
      </c>
      <c r="K7" s="14">
        <f>IF(OR(NOT(AND(C7&lt;&gt;"",ISNUMBER(B7))),J7="Planned"),"",IF(ISNUMBER(G7),INT(G7),TODAY())-INT(B7))</f>
        <v/>
      </c>
      <c r="L7" s="11">
        <f>IF(AND(B7="",C7="",D7=""),"",IF(NOT(ISNUMBER(B7)),"Needs a date",IF(C7="","Needs a crop",IF(COUNTIF(Crops!$B$6:$B$65,C7)=0,"Not on Crops",IF(AND(D7&lt;&gt;"",COUNTIF(Beds!$B$6:$B$35,D7)=0),"Not on Beds",IF(AND(ISNUMBER(G7),G7&lt;B7),"Cleared before it was planted",""))))))</f>
        <v/>
      </c>
      <c r="M7" s="11">
        <f>IF(OR(L7&lt;&gt;"",D7="",O7=""),"",IF(COUNTIFS(Plantings!$D$6:$D$505,D7,Plantings!$O$6:$O$505,O7,Plantings!$N$6:$N$505,N7-1)&gt;0,"Same family here last year",""))</f>
        <v/>
      </c>
      <c r="N7" s="1">
        <f>IF(ISNUMBER(B7),YEAR(B7),"")</f>
        <v/>
      </c>
      <c r="O7">
        <f>IF(C7="","",IFERROR(INDEX(Crops!$C$6:$C$65,MATCH(C7,Crops!$B$6:$B$65,0))&amp;"",""))</f>
        <v/>
      </c>
      <c r="P7">
        <f>IF(ISNUMBER(B7),INT(B7),0)</f>
        <v/>
      </c>
      <c r="Q7">
        <f>IF(AND(L7="",OR(J7="Growing",J7="Picking")),1,0)</f>
        <v/>
      </c>
      <c r="R7">
        <f>IF(AND(Q7=1,D7&lt;&gt;""),P7*1000+ROW(),0)</f>
        <v/>
      </c>
      <c r="S7">
        <f>IF(AND(AND(C7&lt;&gt;"",ISNUMBER(B7)),L7=""),1,0)</f>
        <v/>
      </c>
    </row>
    <row r="8">
      <c r="A8" s="1" t="n"/>
      <c r="B8" s="17" t="n">
        <v>45772</v>
      </c>
      <c r="C8" s="18" t="inlineStr">
        <is>
          <t>Carrots</t>
        </is>
      </c>
      <c r="D8" s="19" t="inlineStr">
        <is>
          <t>Bed 3</t>
        </is>
      </c>
      <c r="E8" s="19" t="inlineStr">
        <is>
          <t>Sown outside</t>
        </is>
      </c>
      <c r="F8" s="20" t="n">
        <v>1</v>
      </c>
      <c r="G8" s="17" t="n">
        <v>45971</v>
      </c>
      <c r="H8" s="21" t="inlineStr">
        <is>
          <t>One row</t>
        </is>
      </c>
      <c r="I8" s="22">
        <f>IF(NOT(AND(C8&lt;&gt;"",ISNUMBER(B8))),"",IF(N(IFERROR(INDEX(Crops!$F$6:$F$65,MATCH(C8,Crops!$B$6:$B$65,0)),0))&gt;0,INT(B8)+N(IFERROR(INDEX(Crops!$F$6:$F$65,MATCH(C8,Crops!$B$6:$B$65,0)),0)),""))</f>
        <v/>
      </c>
      <c r="J8" s="16">
        <f>IF(NOT(AND(C8&lt;&gt;"",ISNUMBER(B8))),"",IF(ISNUMBER(G8),"Done",IF(INT(B8)&gt;TODAY(),"Planned",IF(COUNTIFS(Harvest!$C$6:$C$1505,C8,Harvest!$D$6:$D$1505,D8&amp;"",Harvest!$L$6:$L$1505,"&gt;="&amp;INT(B8))&gt;0,"Picking","Growing"))))</f>
        <v/>
      </c>
      <c r="K8" s="14">
        <f>IF(OR(NOT(AND(C8&lt;&gt;"",ISNUMBER(B8))),J8="Planned"),"",IF(ISNUMBER(G8),INT(G8),TODAY())-INT(B8))</f>
        <v/>
      </c>
      <c r="L8" s="11">
        <f>IF(AND(B8="",C8="",D8=""),"",IF(NOT(ISNUMBER(B8)),"Needs a date",IF(C8="","Needs a crop",IF(COUNTIF(Crops!$B$6:$B$65,C8)=0,"Not on Crops",IF(AND(D8&lt;&gt;"",COUNTIF(Beds!$B$6:$B$35,D8)=0),"Not on Beds",IF(AND(ISNUMBER(G8),G8&lt;B8),"Cleared before it was planted",""))))))</f>
        <v/>
      </c>
      <c r="M8" s="11">
        <f>IF(OR(L8&lt;&gt;"",D8="",O8=""),"",IF(COUNTIFS(Plantings!$D$6:$D$505,D8,Plantings!$O$6:$O$505,O8,Plantings!$N$6:$N$505,N8-1)&gt;0,"Same family here last year",""))</f>
        <v/>
      </c>
      <c r="N8" s="1">
        <f>IF(ISNUMBER(B8),YEAR(B8),"")</f>
        <v/>
      </c>
      <c r="O8">
        <f>IF(C8="","",IFERROR(INDEX(Crops!$C$6:$C$65,MATCH(C8,Crops!$B$6:$B$65,0))&amp;"",""))</f>
        <v/>
      </c>
      <c r="P8">
        <f>IF(ISNUMBER(B8),INT(B8),0)</f>
        <v/>
      </c>
      <c r="Q8">
        <f>IF(AND(L8="",OR(J8="Growing",J8="Picking")),1,0)</f>
        <v/>
      </c>
      <c r="R8">
        <f>IF(AND(Q8=1,D8&lt;&gt;""),P8*1000+ROW(),0)</f>
        <v/>
      </c>
      <c r="S8">
        <f>IF(AND(AND(C8&lt;&gt;"",ISNUMBER(B8)),L8=""),1,0)</f>
        <v/>
      </c>
    </row>
    <row r="9">
      <c r="A9" s="1" t="n"/>
      <c r="B9" s="17" t="n">
        <v>45797</v>
      </c>
      <c r="C9" s="18" t="inlineStr">
        <is>
          <t>Tomatoes</t>
        </is>
      </c>
      <c r="D9" s="19" t="inlineStr">
        <is>
          <t>Bed 1</t>
        </is>
      </c>
      <c r="E9" s="19" t="inlineStr">
        <is>
          <t>Planted out</t>
        </is>
      </c>
      <c r="F9" s="20" t="n">
        <v>8</v>
      </c>
      <c r="G9" s="17" t="n">
        <v>45945</v>
      </c>
      <c r="H9" s="21" t="n"/>
      <c r="I9" s="22">
        <f>IF(NOT(AND(C9&lt;&gt;"",ISNUMBER(B9))),"",IF(N(IFERROR(INDEX(Crops!$F$6:$F$65,MATCH(C9,Crops!$B$6:$B$65,0)),0))&gt;0,INT(B9)+N(IFERROR(INDEX(Crops!$F$6:$F$65,MATCH(C9,Crops!$B$6:$B$65,0)),0)),""))</f>
        <v/>
      </c>
      <c r="J9" s="16">
        <f>IF(NOT(AND(C9&lt;&gt;"",ISNUMBER(B9))),"",IF(ISNUMBER(G9),"Done",IF(INT(B9)&gt;TODAY(),"Planned",IF(COUNTIFS(Harvest!$C$6:$C$1505,C9,Harvest!$D$6:$D$1505,D9&amp;"",Harvest!$L$6:$L$1505,"&gt;="&amp;INT(B9))&gt;0,"Picking","Growing"))))</f>
        <v/>
      </c>
      <c r="K9" s="14">
        <f>IF(OR(NOT(AND(C9&lt;&gt;"",ISNUMBER(B9))),J9="Planned"),"",IF(ISNUMBER(G9),INT(G9),TODAY())-INT(B9))</f>
        <v/>
      </c>
      <c r="L9" s="11">
        <f>IF(AND(B9="",C9="",D9=""),"",IF(NOT(ISNUMBER(B9)),"Needs a date",IF(C9="","Needs a crop",IF(COUNTIF(Crops!$B$6:$B$65,C9)=0,"Not on Crops",IF(AND(D9&lt;&gt;"",COUNTIF(Beds!$B$6:$B$35,D9)=0),"Not on Beds",IF(AND(ISNUMBER(G9),G9&lt;B9),"Cleared before it was planted",""))))))</f>
        <v/>
      </c>
      <c r="M9" s="11">
        <f>IF(OR(L9&lt;&gt;"",D9="",O9=""),"",IF(COUNTIFS(Plantings!$D$6:$D$505,D9,Plantings!$O$6:$O$505,O9,Plantings!$N$6:$N$505,N9-1)&gt;0,"Same family here last year",""))</f>
        <v/>
      </c>
      <c r="N9" s="1">
        <f>IF(ISNUMBER(B9),YEAR(B9),"")</f>
        <v/>
      </c>
      <c r="O9">
        <f>IF(C9="","",IFERROR(INDEX(Crops!$C$6:$C$65,MATCH(C9,Crops!$B$6:$B$65,0))&amp;"",""))</f>
        <v/>
      </c>
      <c r="P9">
        <f>IF(ISNUMBER(B9),INT(B9),0)</f>
        <v/>
      </c>
      <c r="Q9">
        <f>IF(AND(L9="",OR(J9="Growing",J9="Picking")),1,0)</f>
        <v/>
      </c>
      <c r="R9">
        <f>IF(AND(Q9=1,D9&lt;&gt;""),P9*1000+ROW(),0)</f>
        <v/>
      </c>
      <c r="S9">
        <f>IF(AND(AND(C9&lt;&gt;"",ISNUMBER(B9)),L9=""),1,0)</f>
        <v/>
      </c>
    </row>
    <row r="10">
      <c r="A10" s="1" t="n"/>
      <c r="B10" s="17" t="n">
        <v>45809</v>
      </c>
      <c r="C10" s="18" t="inlineStr">
        <is>
          <t>Runner beans</t>
        </is>
      </c>
      <c r="D10" s="19" t="inlineStr">
        <is>
          <t>Bed 3</t>
        </is>
      </c>
      <c r="E10" s="19" t="inlineStr">
        <is>
          <t>Planted out</t>
        </is>
      </c>
      <c r="F10" s="20" t="n">
        <v>12</v>
      </c>
      <c r="G10" s="17" t="n">
        <v>45950</v>
      </c>
      <c r="H10" s="21" t="n"/>
      <c r="I10" s="22">
        <f>IF(NOT(AND(C10&lt;&gt;"",ISNUMBER(B10))),"",IF(N(IFERROR(INDEX(Crops!$F$6:$F$65,MATCH(C10,Crops!$B$6:$B$65,0)),0))&gt;0,INT(B10)+N(IFERROR(INDEX(Crops!$F$6:$F$65,MATCH(C10,Crops!$B$6:$B$65,0)),0)),""))</f>
        <v/>
      </c>
      <c r="J10" s="16">
        <f>IF(NOT(AND(C10&lt;&gt;"",ISNUMBER(B10))),"",IF(ISNUMBER(G10),"Done",IF(INT(B10)&gt;TODAY(),"Planned",IF(COUNTIFS(Harvest!$C$6:$C$1505,C10,Harvest!$D$6:$D$1505,D10&amp;"",Harvest!$L$6:$L$1505,"&gt;="&amp;INT(B10))&gt;0,"Picking","Growing"))))</f>
        <v/>
      </c>
      <c r="K10" s="14">
        <f>IF(OR(NOT(AND(C10&lt;&gt;"",ISNUMBER(B10))),J10="Planned"),"",IF(ISNUMBER(G10),INT(G10),TODAY())-INT(B10))</f>
        <v/>
      </c>
      <c r="L10" s="11">
        <f>IF(AND(B10="",C10="",D10=""),"",IF(NOT(ISNUMBER(B10)),"Needs a date",IF(C10="","Needs a crop",IF(COUNTIF(Crops!$B$6:$B$65,C10)=0,"Not on Crops",IF(AND(D10&lt;&gt;"",COUNTIF(Beds!$B$6:$B$35,D10)=0),"Not on Beds",IF(AND(ISNUMBER(G10),G10&lt;B10),"Cleared before it was planted",""))))))</f>
        <v/>
      </c>
      <c r="M10" s="11">
        <f>IF(OR(L10&lt;&gt;"",D10="",O10=""),"",IF(COUNTIFS(Plantings!$D$6:$D$505,D10,Plantings!$O$6:$O$505,O10,Plantings!$N$6:$N$505,N10-1)&gt;0,"Same family here last year",""))</f>
        <v/>
      </c>
      <c r="N10" s="1">
        <f>IF(ISNUMBER(B10),YEAR(B10),"")</f>
        <v/>
      </c>
      <c r="O10">
        <f>IF(C10="","",IFERROR(INDEX(Crops!$C$6:$C$65,MATCH(C10,Crops!$B$6:$B$65,0))&amp;"",""))</f>
        <v/>
      </c>
      <c r="P10">
        <f>IF(ISNUMBER(B10),INT(B10),0)</f>
        <v/>
      </c>
      <c r="Q10">
        <f>IF(AND(L10="",OR(J10="Growing",J10="Picking")),1,0)</f>
        <v/>
      </c>
      <c r="R10">
        <f>IF(AND(Q10=1,D10&lt;&gt;""),P10*1000+ROW(),0)</f>
        <v/>
      </c>
      <c r="S10">
        <f>IF(AND(AND(C10&lt;&gt;"",ISNUMBER(B10)),L10=""),1,0)</f>
        <v/>
      </c>
    </row>
    <row r="11">
      <c r="A11" s="1" t="n"/>
      <c r="B11" s="17" t="n">
        <v>45950</v>
      </c>
      <c r="C11" s="18" t="inlineStr">
        <is>
          <t>Garlic</t>
        </is>
      </c>
      <c r="D11" s="19" t="inlineStr">
        <is>
          <t>Bed 3</t>
        </is>
      </c>
      <c r="E11" s="19" t="inlineStr">
        <is>
          <t>Sown outside</t>
        </is>
      </c>
      <c r="F11" s="20" t="n">
        <v>24</v>
      </c>
      <c r="G11" s="17" t="n">
        <v>46208</v>
      </c>
      <c r="H11" s="21" t="n"/>
      <c r="I11" s="22">
        <f>IF(NOT(AND(C11&lt;&gt;"",ISNUMBER(B11))),"",IF(N(IFERROR(INDEX(Crops!$F$6:$F$65,MATCH(C11,Crops!$B$6:$B$65,0)),0))&gt;0,INT(B11)+N(IFERROR(INDEX(Crops!$F$6:$F$65,MATCH(C11,Crops!$B$6:$B$65,0)),0)),""))</f>
        <v/>
      </c>
      <c r="J11" s="16">
        <f>IF(NOT(AND(C11&lt;&gt;"",ISNUMBER(B11))),"",IF(ISNUMBER(G11),"Done",IF(INT(B11)&gt;TODAY(),"Planned",IF(COUNTIFS(Harvest!$C$6:$C$1505,C11,Harvest!$D$6:$D$1505,D11&amp;"",Harvest!$L$6:$L$1505,"&gt;="&amp;INT(B11))&gt;0,"Picking","Growing"))))</f>
        <v/>
      </c>
      <c r="K11" s="14">
        <f>IF(OR(NOT(AND(C11&lt;&gt;"",ISNUMBER(B11))),J11="Planned"),"",IF(ISNUMBER(G11),INT(G11),TODAY())-INT(B11))</f>
        <v/>
      </c>
      <c r="L11" s="11">
        <f>IF(AND(B11="",C11="",D11=""),"",IF(NOT(ISNUMBER(B11)),"Needs a date",IF(C11="","Needs a crop",IF(COUNTIF(Crops!$B$6:$B$65,C11)=0,"Not on Crops",IF(AND(D11&lt;&gt;"",COUNTIF(Beds!$B$6:$B$35,D11)=0),"Not on Beds",IF(AND(ISNUMBER(G11),G11&lt;B11),"Cleared before it was planted",""))))))</f>
        <v/>
      </c>
      <c r="M11" s="11">
        <f>IF(OR(L11&lt;&gt;"",D11="",O11=""),"",IF(COUNTIFS(Plantings!$D$6:$D$505,D11,Plantings!$O$6:$O$505,O11,Plantings!$N$6:$N$505,N11-1)&gt;0,"Same family here last year",""))</f>
        <v/>
      </c>
      <c r="N11" s="1">
        <f>IF(ISNUMBER(B11),YEAR(B11),"")</f>
        <v/>
      </c>
      <c r="O11">
        <f>IF(C11="","",IFERROR(INDEX(Crops!$C$6:$C$65,MATCH(C11,Crops!$B$6:$B$65,0))&amp;"",""))</f>
        <v/>
      </c>
      <c r="P11">
        <f>IF(ISNUMBER(B11),INT(B11),0)</f>
        <v/>
      </c>
      <c r="Q11">
        <f>IF(AND(L11="",OR(J11="Growing",J11="Picking")),1,0)</f>
        <v/>
      </c>
      <c r="R11">
        <f>IF(AND(Q11=1,D11&lt;&gt;""),P11*1000+ROW(),0)</f>
        <v/>
      </c>
      <c r="S11">
        <f>IF(AND(AND(C11&lt;&gt;"",ISNUMBER(B11)),L11=""),1,0)</f>
        <v/>
      </c>
    </row>
    <row r="12">
      <c r="A12" s="1" t="n"/>
      <c r="B12" s="17" t="n">
        <v>46096</v>
      </c>
      <c r="C12" s="18" t="inlineStr">
        <is>
          <t>Tomatoes</t>
        </is>
      </c>
      <c r="D12" s="19" t="inlineStr">
        <is>
          <t>Greenhouse</t>
        </is>
      </c>
      <c r="E12" s="19" t="inlineStr">
        <is>
          <t>Sown inside</t>
        </is>
      </c>
      <c r="F12" s="20" t="n">
        <v>12</v>
      </c>
      <c r="G12" s="17" t="n">
        <v>46160</v>
      </c>
      <c r="H12" s="21" t="inlineStr">
        <is>
          <t>Seed trays, planted out in May</t>
        </is>
      </c>
      <c r="I12" s="22">
        <f>IF(NOT(AND(C12&lt;&gt;"",ISNUMBER(B12))),"",IF(N(IFERROR(INDEX(Crops!$F$6:$F$65,MATCH(C12,Crops!$B$6:$B$65,0)),0))&gt;0,INT(B12)+N(IFERROR(INDEX(Crops!$F$6:$F$65,MATCH(C12,Crops!$B$6:$B$65,0)),0)),""))</f>
        <v/>
      </c>
      <c r="J12" s="16">
        <f>IF(NOT(AND(C12&lt;&gt;"",ISNUMBER(B12))),"",IF(ISNUMBER(G12),"Done",IF(INT(B12)&gt;TODAY(),"Planned",IF(COUNTIFS(Harvest!$C$6:$C$1505,C12,Harvest!$D$6:$D$1505,D12&amp;"",Harvest!$L$6:$L$1505,"&gt;="&amp;INT(B12))&gt;0,"Picking","Growing"))))</f>
        <v/>
      </c>
      <c r="K12" s="14">
        <f>IF(OR(NOT(AND(C12&lt;&gt;"",ISNUMBER(B12))),J12="Planned"),"",IF(ISNUMBER(G12),INT(G12),TODAY())-INT(B12))</f>
        <v/>
      </c>
      <c r="L12" s="11">
        <f>IF(AND(B12="",C12="",D12=""),"",IF(NOT(ISNUMBER(B12)),"Needs a date",IF(C12="","Needs a crop",IF(COUNTIF(Crops!$B$6:$B$65,C12)=0,"Not on Crops",IF(AND(D12&lt;&gt;"",COUNTIF(Beds!$B$6:$B$35,D12)=0),"Not on Beds",IF(AND(ISNUMBER(G12),G12&lt;B12),"Cleared before it was planted",""))))))</f>
        <v/>
      </c>
      <c r="M12" s="11">
        <f>IF(OR(L12&lt;&gt;"",D12="",O12=""),"",IF(COUNTIFS(Plantings!$D$6:$D$505,D12,Plantings!$O$6:$O$505,O12,Plantings!$N$6:$N$505,N12-1)&gt;0,"Same family here last year",""))</f>
        <v/>
      </c>
      <c r="N12" s="1">
        <f>IF(ISNUMBER(B12),YEAR(B12),"")</f>
        <v/>
      </c>
      <c r="O12">
        <f>IF(C12="","",IFERROR(INDEX(Crops!$C$6:$C$65,MATCH(C12,Crops!$B$6:$B$65,0))&amp;"",""))</f>
        <v/>
      </c>
      <c r="P12">
        <f>IF(ISNUMBER(B12),INT(B12),0)</f>
        <v/>
      </c>
      <c r="Q12">
        <f>IF(AND(L12="",OR(J12="Growing",J12="Picking")),1,0)</f>
        <v/>
      </c>
      <c r="R12">
        <f>IF(AND(Q12=1,D12&lt;&gt;""),P12*1000+ROW(),0)</f>
        <v/>
      </c>
      <c r="S12">
        <f>IF(AND(AND(C12&lt;&gt;"",ISNUMBER(B12)),L12=""),1,0)</f>
        <v/>
      </c>
    </row>
    <row r="13">
      <c r="A13" s="1" t="n"/>
      <c r="B13" s="17" t="n">
        <v>46103</v>
      </c>
      <c r="C13" s="18" t="inlineStr">
        <is>
          <t>Peas</t>
        </is>
      </c>
      <c r="D13" s="19" t="inlineStr">
        <is>
          <t>Bed 1</t>
        </is>
      </c>
      <c r="E13" s="19" t="inlineStr">
        <is>
          <t>Sown outside</t>
        </is>
      </c>
      <c r="F13" s="20" t="n">
        <v>2</v>
      </c>
      <c r="G13" s="17" t="n">
        <v>46228</v>
      </c>
      <c r="H13" s="21" t="inlineStr">
        <is>
          <t>Two rows</t>
        </is>
      </c>
      <c r="I13" s="22">
        <f>IF(NOT(AND(C13&lt;&gt;"",ISNUMBER(B13))),"",IF(N(IFERROR(INDEX(Crops!$F$6:$F$65,MATCH(C13,Crops!$B$6:$B$65,0)),0))&gt;0,INT(B13)+N(IFERROR(INDEX(Crops!$F$6:$F$65,MATCH(C13,Crops!$B$6:$B$65,0)),0)),""))</f>
        <v/>
      </c>
      <c r="J13" s="16">
        <f>IF(NOT(AND(C13&lt;&gt;"",ISNUMBER(B13))),"",IF(ISNUMBER(G13),"Done",IF(INT(B13)&gt;TODAY(),"Planned",IF(COUNTIFS(Harvest!$C$6:$C$1505,C13,Harvest!$D$6:$D$1505,D13&amp;"",Harvest!$L$6:$L$1505,"&gt;="&amp;INT(B13))&gt;0,"Picking","Growing"))))</f>
        <v/>
      </c>
      <c r="K13" s="14">
        <f>IF(OR(NOT(AND(C13&lt;&gt;"",ISNUMBER(B13))),J13="Planned"),"",IF(ISNUMBER(G13),INT(G13),TODAY())-INT(B13))</f>
        <v/>
      </c>
      <c r="L13" s="11">
        <f>IF(AND(B13="",C13="",D13=""),"",IF(NOT(ISNUMBER(B13)),"Needs a date",IF(C13="","Needs a crop",IF(COUNTIF(Crops!$B$6:$B$65,C13)=0,"Not on Crops",IF(AND(D13&lt;&gt;"",COUNTIF(Beds!$B$6:$B$35,D13)=0),"Not on Beds",IF(AND(ISNUMBER(G13),G13&lt;B13),"Cleared before it was planted",""))))))</f>
        <v/>
      </c>
      <c r="M13" s="11">
        <f>IF(OR(L13&lt;&gt;"",D13="",O13=""),"",IF(COUNTIFS(Plantings!$D$6:$D$505,D13,Plantings!$O$6:$O$505,O13,Plantings!$N$6:$N$505,N13-1)&gt;0,"Same family here last year",""))</f>
        <v/>
      </c>
      <c r="N13" s="1">
        <f>IF(ISNUMBER(B13),YEAR(B13),"")</f>
        <v/>
      </c>
      <c r="O13">
        <f>IF(C13="","",IFERROR(INDEX(Crops!$C$6:$C$65,MATCH(C13,Crops!$B$6:$B$65,0))&amp;"",""))</f>
        <v/>
      </c>
      <c r="P13">
        <f>IF(ISNUMBER(B13),INT(B13),0)</f>
        <v/>
      </c>
      <c r="Q13">
        <f>IF(AND(L13="",OR(J13="Growing",J13="Picking")),1,0)</f>
        <v/>
      </c>
      <c r="R13">
        <f>IF(AND(Q13=1,D13&lt;&gt;""),P13*1000+ROW(),0)</f>
        <v/>
      </c>
      <c r="S13">
        <f>IF(AND(AND(C13&lt;&gt;"",ISNUMBER(B13)),L13=""),1,0)</f>
        <v/>
      </c>
    </row>
    <row r="14">
      <c r="A14" s="1" t="n"/>
      <c r="B14" s="17" t="n">
        <v>46117</v>
      </c>
      <c r="C14" s="18" t="inlineStr">
        <is>
          <t>Potatoes</t>
        </is>
      </c>
      <c r="D14" s="19" t="inlineStr">
        <is>
          <t>Bed 4</t>
        </is>
      </c>
      <c r="E14" s="19" t="inlineStr">
        <is>
          <t>Sown outside</t>
        </is>
      </c>
      <c r="F14" s="20" t="n">
        <v>20</v>
      </c>
      <c r="G14" s="17" t="n">
        <v>46264</v>
      </c>
      <c r="H14" s="21" t="inlineStr">
        <is>
          <t>Seed potatoes</t>
        </is>
      </c>
      <c r="I14" s="22">
        <f>IF(NOT(AND(C14&lt;&gt;"",ISNUMBER(B14))),"",IF(N(IFERROR(INDEX(Crops!$F$6:$F$65,MATCH(C14,Crops!$B$6:$B$65,0)),0))&gt;0,INT(B14)+N(IFERROR(INDEX(Crops!$F$6:$F$65,MATCH(C14,Crops!$B$6:$B$65,0)),0)),""))</f>
        <v/>
      </c>
      <c r="J14" s="16">
        <f>IF(NOT(AND(C14&lt;&gt;"",ISNUMBER(B14))),"",IF(ISNUMBER(G14),"Done",IF(INT(B14)&gt;TODAY(),"Planned",IF(COUNTIFS(Harvest!$C$6:$C$1505,C14,Harvest!$D$6:$D$1505,D14&amp;"",Harvest!$L$6:$L$1505,"&gt;="&amp;INT(B14))&gt;0,"Picking","Growing"))))</f>
        <v/>
      </c>
      <c r="K14" s="14">
        <f>IF(OR(NOT(AND(C14&lt;&gt;"",ISNUMBER(B14))),J14="Planned"),"",IF(ISNUMBER(G14),INT(G14),TODAY())-INT(B14))</f>
        <v/>
      </c>
      <c r="L14" s="11">
        <f>IF(AND(B14="",C14="",D14=""),"",IF(NOT(ISNUMBER(B14)),"Needs a date",IF(C14="","Needs a crop",IF(COUNTIF(Crops!$B$6:$B$65,C14)=0,"Not on Crops",IF(AND(D14&lt;&gt;"",COUNTIF(Beds!$B$6:$B$35,D14)=0),"Not on Beds",IF(AND(ISNUMBER(G14),G14&lt;B14),"Cleared before it was planted",""))))))</f>
        <v/>
      </c>
      <c r="M14" s="11">
        <f>IF(OR(L14&lt;&gt;"",D14="",O14=""),"",IF(COUNTIFS(Plantings!$D$6:$D$505,D14,Plantings!$O$6:$O$505,O14,Plantings!$N$6:$N$505,N14-1)&gt;0,"Same family here last year",""))</f>
        <v/>
      </c>
      <c r="N14" s="1">
        <f>IF(ISNUMBER(B14),YEAR(B14),"")</f>
        <v/>
      </c>
      <c r="O14">
        <f>IF(C14="","",IFERROR(INDEX(Crops!$C$6:$C$65,MATCH(C14,Crops!$B$6:$B$65,0))&amp;"",""))</f>
        <v/>
      </c>
      <c r="P14">
        <f>IF(ISNUMBER(B14),INT(B14),0)</f>
        <v/>
      </c>
      <c r="Q14">
        <f>IF(AND(L14="",OR(J14="Growing",J14="Picking")),1,0)</f>
        <v/>
      </c>
      <c r="R14">
        <f>IF(AND(Q14=1,D14&lt;&gt;""),P14*1000+ROW(),0)</f>
        <v/>
      </c>
      <c r="S14">
        <f>IF(AND(AND(C14&lt;&gt;"",ISNUMBER(B14)),L14=""),1,0)</f>
        <v/>
      </c>
    </row>
    <row r="15">
      <c r="A15" s="1" t="n"/>
      <c r="B15" s="17" t="n">
        <v>46124</v>
      </c>
      <c r="C15" s="18" t="inlineStr">
        <is>
          <t>Onions</t>
        </is>
      </c>
      <c r="D15" s="19" t="inlineStr">
        <is>
          <t>Bed 2</t>
        </is>
      </c>
      <c r="E15" s="19" t="inlineStr">
        <is>
          <t>Sown outside</t>
        </is>
      </c>
      <c r="F15" s="20" t="n">
        <v>60</v>
      </c>
      <c r="G15" s="17" t="n">
        <v>46270</v>
      </c>
      <c r="H15" s="21" t="inlineStr">
        <is>
          <t>Sets</t>
        </is>
      </c>
      <c r="I15" s="22">
        <f>IF(NOT(AND(C15&lt;&gt;"",ISNUMBER(B15))),"",IF(N(IFERROR(INDEX(Crops!$F$6:$F$65,MATCH(C15,Crops!$B$6:$B$65,0)),0))&gt;0,INT(B15)+N(IFERROR(INDEX(Crops!$F$6:$F$65,MATCH(C15,Crops!$B$6:$B$65,0)),0)),""))</f>
        <v/>
      </c>
      <c r="J15" s="16">
        <f>IF(NOT(AND(C15&lt;&gt;"",ISNUMBER(B15))),"",IF(ISNUMBER(G15),"Done",IF(INT(B15)&gt;TODAY(),"Planned",IF(COUNTIFS(Harvest!$C$6:$C$1505,C15,Harvest!$D$6:$D$1505,D15&amp;"",Harvest!$L$6:$L$1505,"&gt;="&amp;INT(B15))&gt;0,"Picking","Growing"))))</f>
        <v/>
      </c>
      <c r="K15" s="14">
        <f>IF(OR(NOT(AND(C15&lt;&gt;"",ISNUMBER(B15))),J15="Planned"),"",IF(ISNUMBER(G15),INT(G15),TODAY())-INT(B15))</f>
        <v/>
      </c>
      <c r="L15" s="11">
        <f>IF(AND(B15="",C15="",D15=""),"",IF(NOT(ISNUMBER(B15)),"Needs a date",IF(C15="","Needs a crop",IF(COUNTIF(Crops!$B$6:$B$65,C15)=0,"Not on Crops",IF(AND(D15&lt;&gt;"",COUNTIF(Beds!$B$6:$B$35,D15)=0),"Not on Beds",IF(AND(ISNUMBER(G15),G15&lt;B15),"Cleared before it was planted",""))))))</f>
        <v/>
      </c>
      <c r="M15" s="11">
        <f>IF(OR(L15&lt;&gt;"",D15="",O15=""),"",IF(COUNTIFS(Plantings!$D$6:$D$505,D15,Plantings!$O$6:$O$505,O15,Plantings!$N$6:$N$505,N15-1)&gt;0,"Same family here last year",""))</f>
        <v/>
      </c>
      <c r="N15" s="1">
        <f>IF(ISNUMBER(B15),YEAR(B15),"")</f>
        <v/>
      </c>
      <c r="O15">
        <f>IF(C15="","",IFERROR(INDEX(Crops!$C$6:$C$65,MATCH(C15,Crops!$B$6:$B$65,0))&amp;"",""))</f>
        <v/>
      </c>
      <c r="P15">
        <f>IF(ISNUMBER(B15),INT(B15),0)</f>
        <v/>
      </c>
      <c r="Q15">
        <f>IF(AND(L15="",OR(J15="Growing",J15="Picking")),1,0)</f>
        <v/>
      </c>
      <c r="R15">
        <f>IF(AND(Q15=1,D15&lt;&gt;""),P15*1000+ROW(),0)</f>
        <v/>
      </c>
      <c r="S15">
        <f>IF(AND(AND(C15&lt;&gt;"",ISNUMBER(B15)),L15=""),1,0)</f>
        <v/>
      </c>
    </row>
    <row r="16">
      <c r="A16" s="1" t="n"/>
      <c r="B16" s="17" t="n">
        <v>46132</v>
      </c>
      <c r="C16" s="18" t="inlineStr">
        <is>
          <t>Carrots</t>
        </is>
      </c>
      <c r="D16" s="19" t="inlineStr">
        <is>
          <t>Bed 2</t>
        </is>
      </c>
      <c r="E16" s="19" t="inlineStr">
        <is>
          <t>Sown outside</t>
        </is>
      </c>
      <c r="F16" s="20" t="n">
        <v>1</v>
      </c>
      <c r="G16" s="17" t="n"/>
      <c r="H16" s="21" t="inlineStr">
        <is>
          <t>One row</t>
        </is>
      </c>
      <c r="I16" s="22">
        <f>IF(NOT(AND(C16&lt;&gt;"",ISNUMBER(B16))),"",IF(N(IFERROR(INDEX(Crops!$F$6:$F$65,MATCH(C16,Crops!$B$6:$B$65,0)),0))&gt;0,INT(B16)+N(IFERROR(INDEX(Crops!$F$6:$F$65,MATCH(C16,Crops!$B$6:$B$65,0)),0)),""))</f>
        <v/>
      </c>
      <c r="J16" s="16">
        <f>IF(NOT(AND(C16&lt;&gt;"",ISNUMBER(B16))),"",IF(ISNUMBER(G16),"Done",IF(INT(B16)&gt;TODAY(),"Planned",IF(COUNTIFS(Harvest!$C$6:$C$1505,C16,Harvest!$D$6:$D$1505,D16&amp;"",Harvest!$L$6:$L$1505,"&gt;="&amp;INT(B16))&gt;0,"Picking","Growing"))))</f>
        <v/>
      </c>
      <c r="K16" s="14">
        <f>IF(OR(NOT(AND(C16&lt;&gt;"",ISNUMBER(B16))),J16="Planned"),"",IF(ISNUMBER(G16),INT(G16),TODAY())-INT(B16))</f>
        <v/>
      </c>
      <c r="L16" s="11">
        <f>IF(AND(B16="",C16="",D16=""),"",IF(NOT(ISNUMBER(B16)),"Needs a date",IF(C16="","Needs a crop",IF(COUNTIF(Crops!$B$6:$B$65,C16)=0,"Not on Crops",IF(AND(D16&lt;&gt;"",COUNTIF(Beds!$B$6:$B$35,D16)=0),"Not on Beds",IF(AND(ISNUMBER(G16),G16&lt;B16),"Cleared before it was planted",""))))))</f>
        <v/>
      </c>
      <c r="M16" s="11">
        <f>IF(OR(L16&lt;&gt;"",D16="",O16=""),"",IF(COUNTIFS(Plantings!$D$6:$D$505,D16,Plantings!$O$6:$O$505,O16,Plantings!$N$6:$N$505,N16-1)&gt;0,"Same family here last year",""))</f>
        <v/>
      </c>
      <c r="N16" s="1">
        <f>IF(ISNUMBER(B16),YEAR(B16),"")</f>
        <v/>
      </c>
      <c r="O16">
        <f>IF(C16="","",IFERROR(INDEX(Crops!$C$6:$C$65,MATCH(C16,Crops!$B$6:$B$65,0))&amp;"",""))</f>
        <v/>
      </c>
      <c r="P16">
        <f>IF(ISNUMBER(B16),INT(B16),0)</f>
        <v/>
      </c>
      <c r="Q16">
        <f>IF(AND(L16="",OR(J16="Growing",J16="Picking")),1,0)</f>
        <v/>
      </c>
      <c r="R16">
        <f>IF(AND(Q16=1,D16&lt;&gt;""),P16*1000+ROW(),0)</f>
        <v/>
      </c>
      <c r="S16">
        <f>IF(AND(AND(C16&lt;&gt;"",ISNUMBER(B16)),L16=""),1,0)</f>
        <v/>
      </c>
    </row>
    <row r="17">
      <c r="A17" s="1" t="n"/>
      <c r="B17" s="17" t="n">
        <v>46138</v>
      </c>
      <c r="C17" s="18" t="inlineStr">
        <is>
          <t>Lettuce</t>
        </is>
      </c>
      <c r="D17" s="19" t="inlineStr">
        <is>
          <t>Herb bed</t>
        </is>
      </c>
      <c r="E17" s="19" t="inlineStr">
        <is>
          <t>Sown outside</t>
        </is>
      </c>
      <c r="F17" s="20" t="n">
        <v>1</v>
      </c>
      <c r="G17" s="17" t="n">
        <v>46213</v>
      </c>
      <c r="H17" s="21" t="n"/>
      <c r="I17" s="22">
        <f>IF(NOT(AND(C17&lt;&gt;"",ISNUMBER(B17))),"",IF(N(IFERROR(INDEX(Crops!$F$6:$F$65,MATCH(C17,Crops!$B$6:$B$65,0)),0))&gt;0,INT(B17)+N(IFERROR(INDEX(Crops!$F$6:$F$65,MATCH(C17,Crops!$B$6:$B$65,0)),0)),""))</f>
        <v/>
      </c>
      <c r="J17" s="16">
        <f>IF(NOT(AND(C17&lt;&gt;"",ISNUMBER(B17))),"",IF(ISNUMBER(G17),"Done",IF(INT(B17)&gt;TODAY(),"Planned",IF(COUNTIFS(Harvest!$C$6:$C$1505,C17,Harvest!$D$6:$D$1505,D17&amp;"",Harvest!$L$6:$L$1505,"&gt;="&amp;INT(B17))&gt;0,"Picking","Growing"))))</f>
        <v/>
      </c>
      <c r="K17" s="14">
        <f>IF(OR(NOT(AND(C17&lt;&gt;"",ISNUMBER(B17))),J17="Planned"),"",IF(ISNUMBER(G17),INT(G17),TODAY())-INT(B17))</f>
        <v/>
      </c>
      <c r="L17" s="11">
        <f>IF(AND(B17="",C17="",D17=""),"",IF(NOT(ISNUMBER(B17)),"Needs a date",IF(C17="","Needs a crop",IF(COUNTIF(Crops!$B$6:$B$65,C17)=0,"Not on Crops",IF(AND(D17&lt;&gt;"",COUNTIF(Beds!$B$6:$B$35,D17)=0),"Not on Beds",IF(AND(ISNUMBER(G17),G17&lt;B17),"Cleared before it was planted",""))))))</f>
        <v/>
      </c>
      <c r="M17" s="11">
        <f>IF(OR(L17&lt;&gt;"",D17="",O17=""),"",IF(COUNTIFS(Plantings!$D$6:$D$505,D17,Plantings!$O$6:$O$505,O17,Plantings!$N$6:$N$505,N17-1)&gt;0,"Same family here last year",""))</f>
        <v/>
      </c>
      <c r="N17" s="1">
        <f>IF(ISNUMBER(B17),YEAR(B17),"")</f>
        <v/>
      </c>
      <c r="O17">
        <f>IF(C17="","",IFERROR(INDEX(Crops!$C$6:$C$65,MATCH(C17,Crops!$B$6:$B$65,0))&amp;"",""))</f>
        <v/>
      </c>
      <c r="P17">
        <f>IF(ISNUMBER(B17),INT(B17),0)</f>
        <v/>
      </c>
      <c r="Q17">
        <f>IF(AND(L17="",OR(J17="Growing",J17="Picking")),1,0)</f>
        <v/>
      </c>
      <c r="R17">
        <f>IF(AND(Q17=1,D17&lt;&gt;""),P17*1000+ROW(),0)</f>
        <v/>
      </c>
      <c r="S17">
        <f>IF(AND(AND(C17&lt;&gt;"",ISNUMBER(B17)),L17=""),1,0)</f>
        <v/>
      </c>
    </row>
    <row r="18">
      <c r="A18" s="1" t="n"/>
      <c r="B18" s="17" t="n">
        <v>46142</v>
      </c>
      <c r="C18" s="18" t="inlineStr">
        <is>
          <t>Strawberries</t>
        </is>
      </c>
      <c r="D18" s="19" t="inlineStr">
        <is>
          <t>Patio pots</t>
        </is>
      </c>
      <c r="E18" s="19" t="inlineStr">
        <is>
          <t>Bought plants</t>
        </is>
      </c>
      <c r="F18" s="20" t="n">
        <v>6</v>
      </c>
      <c r="G18" s="17" t="n"/>
      <c r="H18" s="21" t="n"/>
      <c r="I18" s="22">
        <f>IF(NOT(AND(C18&lt;&gt;"",ISNUMBER(B18))),"",IF(N(IFERROR(INDEX(Crops!$F$6:$F$65,MATCH(C18,Crops!$B$6:$B$65,0)),0))&gt;0,INT(B18)+N(IFERROR(INDEX(Crops!$F$6:$F$65,MATCH(C18,Crops!$B$6:$B$65,0)),0)),""))</f>
        <v/>
      </c>
      <c r="J18" s="16">
        <f>IF(NOT(AND(C18&lt;&gt;"",ISNUMBER(B18))),"",IF(ISNUMBER(G18),"Done",IF(INT(B18)&gt;TODAY(),"Planned",IF(COUNTIFS(Harvest!$C$6:$C$1505,C18,Harvest!$D$6:$D$1505,D18&amp;"",Harvest!$L$6:$L$1505,"&gt;="&amp;INT(B18))&gt;0,"Picking","Growing"))))</f>
        <v/>
      </c>
      <c r="K18" s="14">
        <f>IF(OR(NOT(AND(C18&lt;&gt;"",ISNUMBER(B18))),J18="Planned"),"",IF(ISNUMBER(G18),INT(G18),TODAY())-INT(B18))</f>
        <v/>
      </c>
      <c r="L18" s="11">
        <f>IF(AND(B18="",C18="",D18=""),"",IF(NOT(ISNUMBER(B18)),"Needs a date",IF(C18="","Needs a crop",IF(COUNTIF(Crops!$B$6:$B$65,C18)=0,"Not on Crops",IF(AND(D18&lt;&gt;"",COUNTIF(Beds!$B$6:$B$35,D18)=0),"Not on Beds",IF(AND(ISNUMBER(G18),G18&lt;B18),"Cleared before it was planted",""))))))</f>
        <v/>
      </c>
      <c r="M18" s="11">
        <f>IF(OR(L18&lt;&gt;"",D18="",O18=""),"",IF(COUNTIFS(Plantings!$D$6:$D$505,D18,Plantings!$O$6:$O$505,O18,Plantings!$N$6:$N$505,N18-1)&gt;0,"Same family here last year",""))</f>
        <v/>
      </c>
      <c r="N18" s="1">
        <f>IF(ISNUMBER(B18),YEAR(B18),"")</f>
        <v/>
      </c>
      <c r="O18">
        <f>IF(C18="","",IFERROR(INDEX(Crops!$C$6:$C$65,MATCH(C18,Crops!$B$6:$B$65,0))&amp;"",""))</f>
        <v/>
      </c>
      <c r="P18">
        <f>IF(ISNUMBER(B18),INT(B18),0)</f>
        <v/>
      </c>
      <c r="Q18">
        <f>IF(AND(L18="",OR(J18="Growing",J18="Picking")),1,0)</f>
        <v/>
      </c>
      <c r="R18">
        <f>IF(AND(Q18=1,D18&lt;&gt;""),P18*1000+ROW(),0)</f>
        <v/>
      </c>
      <c r="S18">
        <f>IF(AND(AND(C18&lt;&gt;"",ISNUMBER(B18)),L18=""),1,0)</f>
        <v/>
      </c>
    </row>
    <row r="19">
      <c r="A19" s="1" t="n"/>
      <c r="B19" s="17" t="n">
        <v>46152</v>
      </c>
      <c r="C19" s="18" t="inlineStr">
        <is>
          <t>Peppers</t>
        </is>
      </c>
      <c r="D19" s="19" t="inlineStr">
        <is>
          <t>Bed 2</t>
        </is>
      </c>
      <c r="E19" s="19" t="inlineStr">
        <is>
          <t>Planted out</t>
        </is>
      </c>
      <c r="F19" s="20" t="n">
        <v>6</v>
      </c>
      <c r="G19" s="17" t="n"/>
      <c r="H19" s="21" t="n"/>
      <c r="I19" s="22">
        <f>IF(NOT(AND(C19&lt;&gt;"",ISNUMBER(B19))),"",IF(N(IFERROR(INDEX(Crops!$F$6:$F$65,MATCH(C19,Crops!$B$6:$B$65,0)),0))&gt;0,INT(B19)+N(IFERROR(INDEX(Crops!$F$6:$F$65,MATCH(C19,Crops!$B$6:$B$65,0)),0)),""))</f>
        <v/>
      </c>
      <c r="J19" s="16">
        <f>IF(NOT(AND(C19&lt;&gt;"",ISNUMBER(B19))),"",IF(ISNUMBER(G19),"Done",IF(INT(B19)&gt;TODAY(),"Planned",IF(COUNTIFS(Harvest!$C$6:$C$1505,C19,Harvest!$D$6:$D$1505,D19&amp;"",Harvest!$L$6:$L$1505,"&gt;="&amp;INT(B19))&gt;0,"Picking","Growing"))))</f>
        <v/>
      </c>
      <c r="K19" s="14">
        <f>IF(OR(NOT(AND(C19&lt;&gt;"",ISNUMBER(B19))),J19="Planned"),"",IF(ISNUMBER(G19),INT(G19),TODAY())-INT(B19))</f>
        <v/>
      </c>
      <c r="L19" s="11">
        <f>IF(AND(B19="",C19="",D19=""),"",IF(NOT(ISNUMBER(B19)),"Needs a date",IF(C19="","Needs a crop",IF(COUNTIF(Crops!$B$6:$B$65,C19)=0,"Not on Crops",IF(AND(D19&lt;&gt;"",COUNTIF(Beds!$B$6:$B$35,D19)=0),"Not on Beds",IF(AND(ISNUMBER(G19),G19&lt;B19),"Cleared before it was planted",""))))))</f>
        <v/>
      </c>
      <c r="M19" s="11">
        <f>IF(OR(L19&lt;&gt;"",D19="",O19=""),"",IF(COUNTIFS(Plantings!$D$6:$D$505,D19,Plantings!$O$6:$O$505,O19,Plantings!$N$6:$N$505,N19-1)&gt;0,"Same family here last year",""))</f>
        <v/>
      </c>
      <c r="N19" s="1">
        <f>IF(ISNUMBER(B19),YEAR(B19),"")</f>
        <v/>
      </c>
      <c r="O19">
        <f>IF(C19="","",IFERROR(INDEX(Crops!$C$6:$C$65,MATCH(C19,Crops!$B$6:$B$65,0))&amp;"",""))</f>
        <v/>
      </c>
      <c r="P19">
        <f>IF(ISNUMBER(B19),INT(B19),0)</f>
        <v/>
      </c>
      <c r="Q19">
        <f>IF(AND(L19="",OR(J19="Growing",J19="Picking")),1,0)</f>
        <v/>
      </c>
      <c r="R19">
        <f>IF(AND(Q19=1,D19&lt;&gt;""),P19*1000+ROW(),0)</f>
        <v/>
      </c>
      <c r="S19">
        <f>IF(AND(AND(C19&lt;&gt;"",ISNUMBER(B19)),L19=""),1,0)</f>
        <v/>
      </c>
    </row>
    <row r="20">
      <c r="A20" s="1" t="n"/>
      <c r="B20" s="17" t="n">
        <v>46160</v>
      </c>
      <c r="C20" s="18" t="inlineStr">
        <is>
          <t>Tomatoes</t>
        </is>
      </c>
      <c r="D20" s="19" t="inlineStr">
        <is>
          <t>Greenhouse</t>
        </is>
      </c>
      <c r="E20" s="19" t="inlineStr">
        <is>
          <t>Planted out</t>
        </is>
      </c>
      <c r="F20" s="20" t="n">
        <v>8</v>
      </c>
      <c r="G20" s="17" t="n"/>
      <c r="H20" s="21" t="n"/>
      <c r="I20" s="22">
        <f>IF(NOT(AND(C20&lt;&gt;"",ISNUMBER(B20))),"",IF(N(IFERROR(INDEX(Crops!$F$6:$F$65,MATCH(C20,Crops!$B$6:$B$65,0)),0))&gt;0,INT(B20)+N(IFERROR(INDEX(Crops!$F$6:$F$65,MATCH(C20,Crops!$B$6:$B$65,0)),0)),""))</f>
        <v/>
      </c>
      <c r="J20" s="16">
        <f>IF(NOT(AND(C20&lt;&gt;"",ISNUMBER(B20))),"",IF(ISNUMBER(G20),"Done",IF(INT(B20)&gt;TODAY(),"Planned",IF(COUNTIFS(Harvest!$C$6:$C$1505,C20,Harvest!$D$6:$D$1505,D20&amp;"",Harvest!$L$6:$L$1505,"&gt;="&amp;INT(B20))&gt;0,"Picking","Growing"))))</f>
        <v/>
      </c>
      <c r="K20" s="14">
        <f>IF(OR(NOT(AND(C20&lt;&gt;"",ISNUMBER(B20))),J20="Planned"),"",IF(ISNUMBER(G20),INT(G20),TODAY())-INT(B20))</f>
        <v/>
      </c>
      <c r="L20" s="11">
        <f>IF(AND(B20="",C20="",D20=""),"",IF(NOT(ISNUMBER(B20)),"Needs a date",IF(C20="","Needs a crop",IF(COUNTIF(Crops!$B$6:$B$65,C20)=0,"Not on Crops",IF(AND(D20&lt;&gt;"",COUNTIF(Beds!$B$6:$B$35,D20)=0),"Not on Beds",IF(AND(ISNUMBER(G20),G20&lt;B20),"Cleared before it was planted",""))))))</f>
        <v/>
      </c>
      <c r="M20" s="11">
        <f>IF(OR(L20&lt;&gt;"",D20="",O20=""),"",IF(COUNTIFS(Plantings!$D$6:$D$505,D20,Plantings!$O$6:$O$505,O20,Plantings!$N$6:$N$505,N20-1)&gt;0,"Same family here last year",""))</f>
        <v/>
      </c>
      <c r="N20" s="1">
        <f>IF(ISNUMBER(B20),YEAR(B20),"")</f>
        <v/>
      </c>
      <c r="O20">
        <f>IF(C20="","",IFERROR(INDEX(Crops!$C$6:$C$65,MATCH(C20,Crops!$B$6:$B$65,0))&amp;"",""))</f>
        <v/>
      </c>
      <c r="P20">
        <f>IF(ISNUMBER(B20),INT(B20),0)</f>
        <v/>
      </c>
      <c r="Q20">
        <f>IF(AND(L20="",OR(J20="Growing",J20="Picking")),1,0)</f>
        <v/>
      </c>
      <c r="R20">
        <f>IF(AND(Q20=1,D20&lt;&gt;""),P20*1000+ROW(),0)</f>
        <v/>
      </c>
      <c r="S20">
        <f>IF(AND(AND(C20&lt;&gt;"",ISNUMBER(B20)),L20=""),1,0)</f>
        <v/>
      </c>
    </row>
    <row r="21">
      <c r="A21" s="1" t="n"/>
      <c r="B21" s="17" t="n">
        <v>46166</v>
      </c>
      <c r="C21" s="18" t="inlineStr">
        <is>
          <t>Zucchini</t>
        </is>
      </c>
      <c r="D21" s="19" t="inlineStr">
        <is>
          <t>Bed 3</t>
        </is>
      </c>
      <c r="E21" s="19" t="inlineStr">
        <is>
          <t>Planted out</t>
        </is>
      </c>
      <c r="F21" s="20" t="n">
        <v>3</v>
      </c>
      <c r="G21" s="17" t="n"/>
      <c r="H21" s="21" t="n"/>
      <c r="I21" s="22">
        <f>IF(NOT(AND(C21&lt;&gt;"",ISNUMBER(B21))),"",IF(N(IFERROR(INDEX(Crops!$F$6:$F$65,MATCH(C21,Crops!$B$6:$B$65,0)),0))&gt;0,INT(B21)+N(IFERROR(INDEX(Crops!$F$6:$F$65,MATCH(C21,Crops!$B$6:$B$65,0)),0)),""))</f>
        <v/>
      </c>
      <c r="J21" s="16">
        <f>IF(NOT(AND(C21&lt;&gt;"",ISNUMBER(B21))),"",IF(ISNUMBER(G21),"Done",IF(INT(B21)&gt;TODAY(),"Planned",IF(COUNTIFS(Harvest!$C$6:$C$1505,C21,Harvest!$D$6:$D$1505,D21&amp;"",Harvest!$L$6:$L$1505,"&gt;="&amp;INT(B21))&gt;0,"Picking","Growing"))))</f>
        <v/>
      </c>
      <c r="K21" s="14">
        <f>IF(OR(NOT(AND(C21&lt;&gt;"",ISNUMBER(B21))),J21="Planned"),"",IF(ISNUMBER(G21),INT(G21),TODAY())-INT(B21))</f>
        <v/>
      </c>
      <c r="L21" s="11">
        <f>IF(AND(B21="",C21="",D21=""),"",IF(NOT(ISNUMBER(B21)),"Needs a date",IF(C21="","Needs a crop",IF(COUNTIF(Crops!$B$6:$B$65,C21)=0,"Not on Crops",IF(AND(D21&lt;&gt;"",COUNTIF(Beds!$B$6:$B$35,D21)=0),"Not on Beds",IF(AND(ISNUMBER(G21),G21&lt;B21),"Cleared before it was planted",""))))))</f>
        <v/>
      </c>
      <c r="M21" s="11">
        <f>IF(OR(L21&lt;&gt;"",D21="",O21=""),"",IF(COUNTIFS(Plantings!$D$6:$D$505,D21,Plantings!$O$6:$O$505,O21,Plantings!$N$6:$N$505,N21-1)&gt;0,"Same family here last year",""))</f>
        <v/>
      </c>
      <c r="N21" s="1">
        <f>IF(ISNUMBER(B21),YEAR(B21),"")</f>
        <v/>
      </c>
      <c r="O21">
        <f>IF(C21="","",IFERROR(INDEX(Crops!$C$6:$C$65,MATCH(C21,Crops!$B$6:$B$65,0))&amp;"",""))</f>
        <v/>
      </c>
      <c r="P21">
        <f>IF(ISNUMBER(B21),INT(B21),0)</f>
        <v/>
      </c>
      <c r="Q21">
        <f>IF(AND(L21="",OR(J21="Growing",J21="Picking")),1,0)</f>
        <v/>
      </c>
      <c r="R21">
        <f>IF(AND(Q21=1,D21&lt;&gt;""),P21*1000+ROW(),0)</f>
        <v/>
      </c>
      <c r="S21">
        <f>IF(AND(AND(C21&lt;&gt;"",ISNUMBER(B21)),L21=""),1,0)</f>
        <v/>
      </c>
    </row>
    <row r="22">
      <c r="A22" s="1" t="n"/>
      <c r="B22" s="17" t="n">
        <v>46166</v>
      </c>
      <c r="C22" s="18" t="inlineStr">
        <is>
          <t>Cucumbers</t>
        </is>
      </c>
      <c r="D22" s="19" t="inlineStr">
        <is>
          <t>Greenhouse</t>
        </is>
      </c>
      <c r="E22" s="19" t="inlineStr">
        <is>
          <t>Planted out</t>
        </is>
      </c>
      <c r="F22" s="20" t="n">
        <v>4</v>
      </c>
      <c r="G22" s="17" t="n"/>
      <c r="H22" s="21" t="n"/>
      <c r="I22" s="22">
        <f>IF(NOT(AND(C22&lt;&gt;"",ISNUMBER(B22))),"",IF(N(IFERROR(INDEX(Crops!$F$6:$F$65,MATCH(C22,Crops!$B$6:$B$65,0)),0))&gt;0,INT(B22)+N(IFERROR(INDEX(Crops!$F$6:$F$65,MATCH(C22,Crops!$B$6:$B$65,0)),0)),""))</f>
        <v/>
      </c>
      <c r="J22" s="16">
        <f>IF(NOT(AND(C22&lt;&gt;"",ISNUMBER(B22))),"",IF(ISNUMBER(G22),"Done",IF(INT(B22)&gt;TODAY(),"Planned",IF(COUNTIFS(Harvest!$C$6:$C$1505,C22,Harvest!$D$6:$D$1505,D22&amp;"",Harvest!$L$6:$L$1505,"&gt;="&amp;INT(B22))&gt;0,"Picking","Growing"))))</f>
        <v/>
      </c>
      <c r="K22" s="14">
        <f>IF(OR(NOT(AND(C22&lt;&gt;"",ISNUMBER(B22))),J22="Planned"),"",IF(ISNUMBER(G22),INT(G22),TODAY())-INT(B22))</f>
        <v/>
      </c>
      <c r="L22" s="11">
        <f>IF(AND(B22="",C22="",D22=""),"",IF(NOT(ISNUMBER(B22)),"Needs a date",IF(C22="","Needs a crop",IF(COUNTIF(Crops!$B$6:$B$65,C22)=0,"Not on Crops",IF(AND(D22&lt;&gt;"",COUNTIF(Beds!$B$6:$B$35,D22)=0),"Not on Beds",IF(AND(ISNUMBER(G22),G22&lt;B22),"Cleared before it was planted",""))))))</f>
        <v/>
      </c>
      <c r="M22" s="11">
        <f>IF(OR(L22&lt;&gt;"",D22="",O22=""),"",IF(COUNTIFS(Plantings!$D$6:$D$505,D22,Plantings!$O$6:$O$505,O22,Plantings!$N$6:$N$505,N22-1)&gt;0,"Same family here last year",""))</f>
        <v/>
      </c>
      <c r="N22" s="1">
        <f>IF(ISNUMBER(B22),YEAR(B22),"")</f>
        <v/>
      </c>
      <c r="O22">
        <f>IF(C22="","",IFERROR(INDEX(Crops!$C$6:$C$65,MATCH(C22,Crops!$B$6:$B$65,0))&amp;"",""))</f>
        <v/>
      </c>
      <c r="P22">
        <f>IF(ISNUMBER(B22),INT(B22),0)</f>
        <v/>
      </c>
      <c r="Q22">
        <f>IF(AND(L22="",OR(J22="Growing",J22="Picking")),1,0)</f>
        <v/>
      </c>
      <c r="R22">
        <f>IF(AND(Q22=1,D22&lt;&gt;""),P22*1000+ROW(),0)</f>
        <v/>
      </c>
      <c r="S22">
        <f>IF(AND(AND(C22&lt;&gt;"",ISNUMBER(B22)),L22=""),1,0)</f>
        <v/>
      </c>
    </row>
    <row r="23">
      <c r="A23" s="1" t="n"/>
      <c r="B23" s="17" t="n">
        <v>46172</v>
      </c>
      <c r="C23" s="18" t="inlineStr">
        <is>
          <t>Basil</t>
        </is>
      </c>
      <c r="D23" s="19" t="inlineStr">
        <is>
          <t>Patio pots</t>
        </is>
      </c>
      <c r="E23" s="19" t="inlineStr">
        <is>
          <t>Planted out</t>
        </is>
      </c>
      <c r="F23" s="20" t="n">
        <v>6</v>
      </c>
      <c r="G23" s="17" t="n"/>
      <c r="H23" s="21" t="n"/>
      <c r="I23" s="22">
        <f>IF(NOT(AND(C23&lt;&gt;"",ISNUMBER(B23))),"",IF(N(IFERROR(INDEX(Crops!$F$6:$F$65,MATCH(C23,Crops!$B$6:$B$65,0)),0))&gt;0,INT(B23)+N(IFERROR(INDEX(Crops!$F$6:$F$65,MATCH(C23,Crops!$B$6:$B$65,0)),0)),""))</f>
        <v/>
      </c>
      <c r="J23" s="16">
        <f>IF(NOT(AND(C23&lt;&gt;"",ISNUMBER(B23))),"",IF(ISNUMBER(G23),"Done",IF(INT(B23)&gt;TODAY(),"Planned",IF(COUNTIFS(Harvest!$C$6:$C$1505,C23,Harvest!$D$6:$D$1505,D23&amp;"",Harvest!$L$6:$L$1505,"&gt;="&amp;INT(B23))&gt;0,"Picking","Growing"))))</f>
        <v/>
      </c>
      <c r="K23" s="14">
        <f>IF(OR(NOT(AND(C23&lt;&gt;"",ISNUMBER(B23))),J23="Planned"),"",IF(ISNUMBER(G23),INT(G23),TODAY())-INT(B23))</f>
        <v/>
      </c>
      <c r="L23" s="11">
        <f>IF(AND(B23="",C23="",D23=""),"",IF(NOT(ISNUMBER(B23)),"Needs a date",IF(C23="","Needs a crop",IF(COUNTIF(Crops!$B$6:$B$65,C23)=0,"Not on Crops",IF(AND(D23&lt;&gt;"",COUNTIF(Beds!$B$6:$B$35,D23)=0),"Not on Beds",IF(AND(ISNUMBER(G23),G23&lt;B23),"Cleared before it was planted",""))))))</f>
        <v/>
      </c>
      <c r="M23" s="11">
        <f>IF(OR(L23&lt;&gt;"",D23="",O23=""),"",IF(COUNTIFS(Plantings!$D$6:$D$505,D23,Plantings!$O$6:$O$505,O23,Plantings!$N$6:$N$505,N23-1)&gt;0,"Same family here last year",""))</f>
        <v/>
      </c>
      <c r="N23" s="1">
        <f>IF(ISNUMBER(B23),YEAR(B23),"")</f>
        <v/>
      </c>
      <c r="O23">
        <f>IF(C23="","",IFERROR(INDEX(Crops!$C$6:$C$65,MATCH(C23,Crops!$B$6:$B$65,0))&amp;"",""))</f>
        <v/>
      </c>
      <c r="P23">
        <f>IF(ISNUMBER(B23),INT(B23),0)</f>
        <v/>
      </c>
      <c r="Q23">
        <f>IF(AND(L23="",OR(J23="Growing",J23="Picking")),1,0)</f>
        <v/>
      </c>
      <c r="R23">
        <f>IF(AND(Q23=1,D23&lt;&gt;""),P23*1000+ROW(),0)</f>
        <v/>
      </c>
      <c r="S23">
        <f>IF(AND(AND(C23&lt;&gt;"",ISNUMBER(B23)),L23=""),1,0)</f>
        <v/>
      </c>
    </row>
    <row r="24">
      <c r="A24" s="1" t="n"/>
      <c r="B24" s="17" t="n">
        <v>46175</v>
      </c>
      <c r="C24" s="18" t="inlineStr">
        <is>
          <t>Runner beans</t>
        </is>
      </c>
      <c r="D24" s="19" t="inlineStr">
        <is>
          <t>Bed 1</t>
        </is>
      </c>
      <c r="E24" s="19" t="inlineStr">
        <is>
          <t>Planted out</t>
        </is>
      </c>
      <c r="F24" s="20" t="n">
        <v>12</v>
      </c>
      <c r="G24" s="17" t="n"/>
      <c r="H24" s="21" t="n"/>
      <c r="I24" s="22">
        <f>IF(NOT(AND(C24&lt;&gt;"",ISNUMBER(B24))),"",IF(N(IFERROR(INDEX(Crops!$F$6:$F$65,MATCH(C24,Crops!$B$6:$B$65,0)),0))&gt;0,INT(B24)+N(IFERROR(INDEX(Crops!$F$6:$F$65,MATCH(C24,Crops!$B$6:$B$65,0)),0)),""))</f>
        <v/>
      </c>
      <c r="J24" s="16">
        <f>IF(NOT(AND(C24&lt;&gt;"",ISNUMBER(B24))),"",IF(ISNUMBER(G24),"Done",IF(INT(B24)&gt;TODAY(),"Planned",IF(COUNTIFS(Harvest!$C$6:$C$1505,C24,Harvest!$D$6:$D$1505,D24&amp;"",Harvest!$L$6:$L$1505,"&gt;="&amp;INT(B24))&gt;0,"Picking","Growing"))))</f>
        <v/>
      </c>
      <c r="K24" s="14">
        <f>IF(OR(NOT(AND(C24&lt;&gt;"",ISNUMBER(B24))),J24="Planned"),"",IF(ISNUMBER(G24),INT(G24),TODAY())-INT(B24))</f>
        <v/>
      </c>
      <c r="L24" s="11">
        <f>IF(AND(B24="",C24="",D24=""),"",IF(NOT(ISNUMBER(B24)),"Needs a date",IF(C24="","Needs a crop",IF(COUNTIF(Crops!$B$6:$B$65,C24)=0,"Not on Crops",IF(AND(D24&lt;&gt;"",COUNTIF(Beds!$B$6:$B$35,D24)=0),"Not on Beds",IF(AND(ISNUMBER(G24),G24&lt;B24),"Cleared before it was planted",""))))))</f>
        <v/>
      </c>
      <c r="M24" s="11">
        <f>IF(OR(L24&lt;&gt;"",D24="",O24=""),"",IF(COUNTIFS(Plantings!$D$6:$D$505,D24,Plantings!$O$6:$O$505,O24,Plantings!$N$6:$N$505,N24-1)&gt;0,"Same family here last year",""))</f>
        <v/>
      </c>
      <c r="N24" s="1">
        <f>IF(ISNUMBER(B24),YEAR(B24),"")</f>
        <v/>
      </c>
      <c r="O24">
        <f>IF(C24="","",IFERROR(INDEX(Crops!$C$6:$C$65,MATCH(C24,Crops!$B$6:$B$65,0))&amp;"",""))</f>
        <v/>
      </c>
      <c r="P24">
        <f>IF(ISNUMBER(B24),INT(B24),0)</f>
        <v/>
      </c>
      <c r="Q24">
        <f>IF(AND(L24="",OR(J24="Growing",J24="Picking")),1,0)</f>
        <v/>
      </c>
      <c r="R24">
        <f>IF(AND(Q24=1,D24&lt;&gt;""),P24*1000+ROW(),0)</f>
        <v/>
      </c>
      <c r="S24">
        <f>IF(AND(AND(C24&lt;&gt;"",ISNUMBER(B24)),L24=""),1,0)</f>
        <v/>
      </c>
    </row>
    <row r="25">
      <c r="A25" s="1" t="n"/>
      <c r="B25" s="17" t="n">
        <v>46187</v>
      </c>
      <c r="C25" s="18" t="inlineStr">
        <is>
          <t>Beetroot</t>
        </is>
      </c>
      <c r="D25" s="19" t="inlineStr">
        <is>
          <t>Bed 4</t>
        </is>
      </c>
      <c r="E25" s="19" t="inlineStr">
        <is>
          <t>Sown outside</t>
        </is>
      </c>
      <c r="F25" s="20" t="n">
        <v>1</v>
      </c>
      <c r="G25" s="17" t="n"/>
      <c r="H25" s="21" t="inlineStr">
        <is>
          <t>After the potatoes come out</t>
        </is>
      </c>
      <c r="I25" s="22">
        <f>IF(NOT(AND(C25&lt;&gt;"",ISNUMBER(B25))),"",IF(N(IFERROR(INDEX(Crops!$F$6:$F$65,MATCH(C25,Crops!$B$6:$B$65,0)),0))&gt;0,INT(B25)+N(IFERROR(INDEX(Crops!$F$6:$F$65,MATCH(C25,Crops!$B$6:$B$65,0)),0)),""))</f>
        <v/>
      </c>
      <c r="J25" s="16">
        <f>IF(NOT(AND(C25&lt;&gt;"",ISNUMBER(B25))),"",IF(ISNUMBER(G25),"Done",IF(INT(B25)&gt;TODAY(),"Planned",IF(COUNTIFS(Harvest!$C$6:$C$1505,C25,Harvest!$D$6:$D$1505,D25&amp;"",Harvest!$L$6:$L$1505,"&gt;="&amp;INT(B25))&gt;0,"Picking","Growing"))))</f>
        <v/>
      </c>
      <c r="K25" s="14">
        <f>IF(OR(NOT(AND(C25&lt;&gt;"",ISNUMBER(B25))),J25="Planned"),"",IF(ISNUMBER(G25),INT(G25),TODAY())-INT(B25))</f>
        <v/>
      </c>
      <c r="L25" s="11">
        <f>IF(AND(B25="",C25="",D25=""),"",IF(NOT(ISNUMBER(B25)),"Needs a date",IF(C25="","Needs a crop",IF(COUNTIF(Crops!$B$6:$B$65,C25)=0,"Not on Crops",IF(AND(D25&lt;&gt;"",COUNTIF(Beds!$B$6:$B$35,D25)=0),"Not on Beds",IF(AND(ISNUMBER(G25),G25&lt;B25),"Cleared before it was planted",""))))))</f>
        <v/>
      </c>
      <c r="M25" s="11">
        <f>IF(OR(L25&lt;&gt;"",D25="",O25=""),"",IF(COUNTIFS(Plantings!$D$6:$D$505,D25,Plantings!$O$6:$O$505,O25,Plantings!$N$6:$N$505,N25-1)&gt;0,"Same family here last year",""))</f>
        <v/>
      </c>
      <c r="N25" s="1">
        <f>IF(ISNUMBER(B25),YEAR(B25),"")</f>
        <v/>
      </c>
      <c r="O25">
        <f>IF(C25="","",IFERROR(INDEX(Crops!$C$6:$C$65,MATCH(C25,Crops!$B$6:$B$65,0))&amp;"",""))</f>
        <v/>
      </c>
      <c r="P25">
        <f>IF(ISNUMBER(B25),INT(B25),0)</f>
        <v/>
      </c>
      <c r="Q25">
        <f>IF(AND(L25="",OR(J25="Growing",J25="Picking")),1,0)</f>
        <v/>
      </c>
      <c r="R25">
        <f>IF(AND(Q25=1,D25&lt;&gt;""),P25*1000+ROW(),0)</f>
        <v/>
      </c>
      <c r="S25">
        <f>IF(AND(AND(C25&lt;&gt;"",ISNUMBER(B25)),L25=""),1,0)</f>
        <v/>
      </c>
    </row>
    <row r="26">
      <c r="A26" s="1" t="n"/>
      <c r="B26" s="17" t="n">
        <v>46193</v>
      </c>
      <c r="C26" s="18" t="inlineStr">
        <is>
          <t>Kale</t>
        </is>
      </c>
      <c r="D26" s="19" t="inlineStr">
        <is>
          <t>Bed 3</t>
        </is>
      </c>
      <c r="E26" s="19" t="inlineStr">
        <is>
          <t>Planted out</t>
        </is>
      </c>
      <c r="F26" s="20" t="n">
        <v>6</v>
      </c>
      <c r="G26" s="17" t="n"/>
      <c r="H26" s="21" t="n"/>
      <c r="I26" s="22">
        <f>IF(NOT(AND(C26&lt;&gt;"",ISNUMBER(B26))),"",IF(N(IFERROR(INDEX(Crops!$F$6:$F$65,MATCH(C26,Crops!$B$6:$B$65,0)),0))&gt;0,INT(B26)+N(IFERROR(INDEX(Crops!$F$6:$F$65,MATCH(C26,Crops!$B$6:$B$65,0)),0)),""))</f>
        <v/>
      </c>
      <c r="J26" s="16">
        <f>IF(NOT(AND(C26&lt;&gt;"",ISNUMBER(B26))),"",IF(ISNUMBER(G26),"Done",IF(INT(B26)&gt;TODAY(),"Planned",IF(COUNTIFS(Harvest!$C$6:$C$1505,C26,Harvest!$D$6:$D$1505,D26&amp;"",Harvest!$L$6:$L$1505,"&gt;="&amp;INT(B26))&gt;0,"Picking","Growing"))))</f>
        <v/>
      </c>
      <c r="K26" s="14">
        <f>IF(OR(NOT(AND(C26&lt;&gt;"",ISNUMBER(B26))),J26="Planned"),"",IF(ISNUMBER(G26),INT(G26),TODAY())-INT(B26))</f>
        <v/>
      </c>
      <c r="L26" s="11">
        <f>IF(AND(B26="",C26="",D26=""),"",IF(NOT(ISNUMBER(B26)),"Needs a date",IF(C26="","Needs a crop",IF(COUNTIF(Crops!$B$6:$B$65,C26)=0,"Not on Crops",IF(AND(D26&lt;&gt;"",COUNTIF(Beds!$B$6:$B$35,D26)=0),"Not on Beds",IF(AND(ISNUMBER(G26),G26&lt;B26),"Cleared before it was planted",""))))))</f>
        <v/>
      </c>
      <c r="M26" s="11">
        <f>IF(OR(L26&lt;&gt;"",D26="",O26=""),"",IF(COUNTIFS(Plantings!$D$6:$D$505,D26,Plantings!$O$6:$O$505,O26,Plantings!$N$6:$N$505,N26-1)&gt;0,"Same family here last year",""))</f>
        <v/>
      </c>
      <c r="N26" s="1">
        <f>IF(ISNUMBER(B26),YEAR(B26),"")</f>
        <v/>
      </c>
      <c r="O26">
        <f>IF(C26="","",IFERROR(INDEX(Crops!$C$6:$C$65,MATCH(C26,Crops!$B$6:$B$65,0))&amp;"",""))</f>
        <v/>
      </c>
      <c r="P26">
        <f>IF(ISNUMBER(B26),INT(B26),0)</f>
        <v/>
      </c>
      <c r="Q26">
        <f>IF(AND(L26="",OR(J26="Growing",J26="Picking")),1,0)</f>
        <v/>
      </c>
      <c r="R26">
        <f>IF(AND(Q26=1,D26&lt;&gt;""),P26*1000+ROW(),0)</f>
        <v/>
      </c>
      <c r="S26">
        <f>IF(AND(AND(C26&lt;&gt;"",ISNUMBER(B26)),L26=""),1,0)</f>
        <v/>
      </c>
    </row>
    <row r="27">
      <c r="A27" s="1" t="n"/>
      <c r="B27" s="17" t="n">
        <v>46244</v>
      </c>
      <c r="C27" s="18" t="inlineStr">
        <is>
          <t>Lettuce</t>
        </is>
      </c>
      <c r="D27" s="19" t="inlineStr">
        <is>
          <t>Herb bed</t>
        </is>
      </c>
      <c r="E27" s="19" t="inlineStr">
        <is>
          <t>Sown outside</t>
        </is>
      </c>
      <c r="F27" s="20" t="n">
        <v>1</v>
      </c>
      <c r="G27" s="17" t="n"/>
      <c r="H27" s="21" t="inlineStr">
        <is>
          <t>Second sowing</t>
        </is>
      </c>
      <c r="I27" s="22">
        <f>IF(NOT(AND(C27&lt;&gt;"",ISNUMBER(B27))),"",IF(N(IFERROR(INDEX(Crops!$F$6:$F$65,MATCH(C27,Crops!$B$6:$B$65,0)),0))&gt;0,INT(B27)+N(IFERROR(INDEX(Crops!$F$6:$F$65,MATCH(C27,Crops!$B$6:$B$65,0)),0)),""))</f>
        <v/>
      </c>
      <c r="J27" s="16">
        <f>IF(NOT(AND(C27&lt;&gt;"",ISNUMBER(B27))),"",IF(ISNUMBER(G27),"Done",IF(INT(B27)&gt;TODAY(),"Planned",IF(COUNTIFS(Harvest!$C$6:$C$1505,C27,Harvest!$D$6:$D$1505,D27&amp;"",Harvest!$L$6:$L$1505,"&gt;="&amp;INT(B27))&gt;0,"Picking","Growing"))))</f>
        <v/>
      </c>
      <c r="K27" s="14">
        <f>IF(OR(NOT(AND(C27&lt;&gt;"",ISNUMBER(B27))),J27="Planned"),"",IF(ISNUMBER(G27),INT(G27),TODAY())-INT(B27))</f>
        <v/>
      </c>
      <c r="L27" s="11">
        <f>IF(AND(B27="",C27="",D27=""),"",IF(NOT(ISNUMBER(B27)),"Needs a date",IF(C27="","Needs a crop",IF(COUNTIF(Crops!$B$6:$B$65,C27)=0,"Not on Crops",IF(AND(D27&lt;&gt;"",COUNTIF(Beds!$B$6:$B$35,D27)=0),"Not on Beds",IF(AND(ISNUMBER(G27),G27&lt;B27),"Cleared before it was planted",""))))))</f>
        <v/>
      </c>
      <c r="M27" s="11">
        <f>IF(OR(L27&lt;&gt;"",D27="",O27=""),"",IF(COUNTIFS(Plantings!$D$6:$D$505,D27,Plantings!$O$6:$O$505,O27,Plantings!$N$6:$N$505,N27-1)&gt;0,"Same family here last year",""))</f>
        <v/>
      </c>
      <c r="N27" s="1">
        <f>IF(ISNUMBER(B27),YEAR(B27),"")</f>
        <v/>
      </c>
      <c r="O27">
        <f>IF(C27="","",IFERROR(INDEX(Crops!$C$6:$C$65,MATCH(C27,Crops!$B$6:$B$65,0))&amp;"",""))</f>
        <v/>
      </c>
      <c r="P27">
        <f>IF(ISNUMBER(B27),INT(B27),0)</f>
        <v/>
      </c>
      <c r="Q27">
        <f>IF(AND(L27="",OR(J27="Growing",J27="Picking")),1,0)</f>
        <v/>
      </c>
      <c r="R27">
        <f>IF(AND(Q27=1,D27&lt;&gt;""),P27*1000+ROW(),0)</f>
        <v/>
      </c>
      <c r="S27">
        <f>IF(AND(AND(C27&lt;&gt;"",ISNUMBER(B27)),L27=""),1,0)</f>
        <v/>
      </c>
    </row>
    <row r="28">
      <c r="A28" s="1" t="n"/>
      <c r="B28" s="17" t="n">
        <v>46277</v>
      </c>
      <c r="C28" s="18" t="inlineStr">
        <is>
          <t>Spinach</t>
        </is>
      </c>
      <c r="D28" s="19" t="inlineStr">
        <is>
          <t>Bed 1</t>
        </is>
      </c>
      <c r="E28" s="19" t="inlineStr">
        <is>
          <t>Sown outside</t>
        </is>
      </c>
      <c r="F28" s="20" t="n">
        <v>1</v>
      </c>
      <c r="G28" s="17" t="n"/>
      <c r="H28" s="21" t="inlineStr">
        <is>
          <t>Under the beans</t>
        </is>
      </c>
      <c r="I28" s="22">
        <f>IF(NOT(AND(C28&lt;&gt;"",ISNUMBER(B28))),"",IF(N(IFERROR(INDEX(Crops!$F$6:$F$65,MATCH(C28,Crops!$B$6:$B$65,0)),0))&gt;0,INT(B28)+N(IFERROR(INDEX(Crops!$F$6:$F$65,MATCH(C28,Crops!$B$6:$B$65,0)),0)),""))</f>
        <v/>
      </c>
      <c r="J28" s="16">
        <f>IF(NOT(AND(C28&lt;&gt;"",ISNUMBER(B28))),"",IF(ISNUMBER(G28),"Done",IF(INT(B28)&gt;TODAY(),"Planned",IF(COUNTIFS(Harvest!$C$6:$C$1505,C28,Harvest!$D$6:$D$1505,D28&amp;"",Harvest!$L$6:$L$1505,"&gt;="&amp;INT(B28))&gt;0,"Picking","Growing"))))</f>
        <v/>
      </c>
      <c r="K28" s="14">
        <f>IF(OR(NOT(AND(C28&lt;&gt;"",ISNUMBER(B28))),J28="Planned"),"",IF(ISNUMBER(G28),INT(G28),TODAY())-INT(B28))</f>
        <v/>
      </c>
      <c r="L28" s="11">
        <f>IF(AND(B28="",C28="",D28=""),"",IF(NOT(ISNUMBER(B28)),"Needs a date",IF(C28="","Needs a crop",IF(COUNTIF(Crops!$B$6:$B$65,C28)=0,"Not on Crops",IF(AND(D28&lt;&gt;"",COUNTIF(Beds!$B$6:$B$35,D28)=0),"Not on Beds",IF(AND(ISNUMBER(G28),G28&lt;B28),"Cleared before it was planted",""))))))</f>
        <v/>
      </c>
      <c r="M28" s="11">
        <f>IF(OR(L28&lt;&gt;"",D28="",O28=""),"",IF(COUNTIFS(Plantings!$D$6:$D$505,D28,Plantings!$O$6:$O$505,O28,Plantings!$N$6:$N$505,N28-1)&gt;0,"Same family here last year",""))</f>
        <v/>
      </c>
      <c r="N28" s="1">
        <f>IF(ISNUMBER(B28),YEAR(B28),"")</f>
        <v/>
      </c>
      <c r="O28">
        <f>IF(C28="","",IFERROR(INDEX(Crops!$C$6:$C$65,MATCH(C28,Crops!$B$6:$B$65,0))&amp;"",""))</f>
        <v/>
      </c>
      <c r="P28">
        <f>IF(ISNUMBER(B28),INT(B28),0)</f>
        <v/>
      </c>
      <c r="Q28">
        <f>IF(AND(L28="",OR(J28="Growing",J28="Picking")),1,0)</f>
        <v/>
      </c>
      <c r="R28">
        <f>IF(AND(Q28=1,D28&lt;&gt;""),P28*1000+ROW(),0)</f>
        <v/>
      </c>
      <c r="S28">
        <f>IF(AND(AND(C28&lt;&gt;"",ISNUMBER(B28)),L28=""),1,0)</f>
        <v/>
      </c>
    </row>
    <row r="29">
      <c r="A29" s="1" t="n"/>
      <c r="B29" s="17" t="n"/>
      <c r="C29" s="18" t="n"/>
      <c r="D29" s="19" t="n"/>
      <c r="E29" s="19" t="n"/>
      <c r="F29" s="20" t="n"/>
      <c r="G29" s="17" t="n"/>
      <c r="H29" s="21" t="n"/>
      <c r="I29" s="22">
        <f>IF(NOT(AND(C29&lt;&gt;"",ISNUMBER(B29))),"",IF(N(IFERROR(INDEX(Crops!$F$6:$F$65,MATCH(C29,Crops!$B$6:$B$65,0)),0))&gt;0,INT(B29)+N(IFERROR(INDEX(Crops!$F$6:$F$65,MATCH(C29,Crops!$B$6:$B$65,0)),0)),""))</f>
        <v/>
      </c>
      <c r="J29" s="16">
        <f>IF(NOT(AND(C29&lt;&gt;"",ISNUMBER(B29))),"",IF(ISNUMBER(G29),"Done",IF(INT(B29)&gt;TODAY(),"Planned",IF(COUNTIFS(Harvest!$C$6:$C$1505,C29,Harvest!$D$6:$D$1505,D29&amp;"",Harvest!$L$6:$L$1505,"&gt;="&amp;INT(B29))&gt;0,"Picking","Growing"))))</f>
        <v/>
      </c>
      <c r="K29" s="14">
        <f>IF(OR(NOT(AND(C29&lt;&gt;"",ISNUMBER(B29))),J29="Planned"),"",IF(ISNUMBER(G29),INT(G29),TODAY())-INT(B29))</f>
        <v/>
      </c>
      <c r="L29" s="11">
        <f>IF(AND(B29="",C29="",D29=""),"",IF(NOT(ISNUMBER(B29)),"Needs a date",IF(C29="","Needs a crop",IF(COUNTIF(Crops!$B$6:$B$65,C29)=0,"Not on Crops",IF(AND(D29&lt;&gt;"",COUNTIF(Beds!$B$6:$B$35,D29)=0),"Not on Beds",IF(AND(ISNUMBER(G29),G29&lt;B29),"Cleared before it was planted",""))))))</f>
        <v/>
      </c>
      <c r="M29" s="11">
        <f>IF(OR(L29&lt;&gt;"",D29="",O29=""),"",IF(COUNTIFS(Plantings!$D$6:$D$505,D29,Plantings!$O$6:$O$505,O29,Plantings!$N$6:$N$505,N29-1)&gt;0,"Same family here last year",""))</f>
        <v/>
      </c>
      <c r="N29" s="1">
        <f>IF(ISNUMBER(B29),YEAR(B29),"")</f>
        <v/>
      </c>
      <c r="O29">
        <f>IF(C29="","",IFERROR(INDEX(Crops!$C$6:$C$65,MATCH(C29,Crops!$B$6:$B$65,0))&amp;"",""))</f>
        <v/>
      </c>
      <c r="P29">
        <f>IF(ISNUMBER(B29),INT(B29),0)</f>
        <v/>
      </c>
      <c r="Q29">
        <f>IF(AND(L29="",OR(J29="Growing",J29="Picking")),1,0)</f>
        <v/>
      </c>
      <c r="R29">
        <f>IF(AND(Q29=1,D29&lt;&gt;""),P29*1000+ROW(),0)</f>
        <v/>
      </c>
      <c r="S29">
        <f>IF(AND(AND(C29&lt;&gt;"",ISNUMBER(B29)),L29=""),1,0)</f>
        <v/>
      </c>
    </row>
    <row r="30">
      <c r="A30" s="1" t="n"/>
      <c r="B30" s="17" t="n"/>
      <c r="C30" s="18" t="n"/>
      <c r="D30" s="19" t="n"/>
      <c r="E30" s="19" t="n"/>
      <c r="F30" s="20" t="n"/>
      <c r="G30" s="17" t="n"/>
      <c r="H30" s="21" t="n"/>
      <c r="I30" s="22">
        <f>IF(NOT(AND(C30&lt;&gt;"",ISNUMBER(B30))),"",IF(N(IFERROR(INDEX(Crops!$F$6:$F$65,MATCH(C30,Crops!$B$6:$B$65,0)),0))&gt;0,INT(B30)+N(IFERROR(INDEX(Crops!$F$6:$F$65,MATCH(C30,Crops!$B$6:$B$65,0)),0)),""))</f>
        <v/>
      </c>
      <c r="J30" s="16">
        <f>IF(NOT(AND(C30&lt;&gt;"",ISNUMBER(B30))),"",IF(ISNUMBER(G30),"Done",IF(INT(B30)&gt;TODAY(),"Planned",IF(COUNTIFS(Harvest!$C$6:$C$1505,C30,Harvest!$D$6:$D$1505,D30&amp;"",Harvest!$L$6:$L$1505,"&gt;="&amp;INT(B30))&gt;0,"Picking","Growing"))))</f>
        <v/>
      </c>
      <c r="K30" s="14">
        <f>IF(OR(NOT(AND(C30&lt;&gt;"",ISNUMBER(B30))),J30="Planned"),"",IF(ISNUMBER(G30),INT(G30),TODAY())-INT(B30))</f>
        <v/>
      </c>
      <c r="L30" s="11">
        <f>IF(AND(B30="",C30="",D30=""),"",IF(NOT(ISNUMBER(B30)),"Needs a date",IF(C30="","Needs a crop",IF(COUNTIF(Crops!$B$6:$B$65,C30)=0,"Not on Crops",IF(AND(D30&lt;&gt;"",COUNTIF(Beds!$B$6:$B$35,D30)=0),"Not on Beds",IF(AND(ISNUMBER(G30),G30&lt;B30),"Cleared before it was planted",""))))))</f>
        <v/>
      </c>
      <c r="M30" s="11">
        <f>IF(OR(L30&lt;&gt;"",D30="",O30=""),"",IF(COUNTIFS(Plantings!$D$6:$D$505,D30,Plantings!$O$6:$O$505,O30,Plantings!$N$6:$N$505,N30-1)&gt;0,"Same family here last year",""))</f>
        <v/>
      </c>
      <c r="N30" s="1">
        <f>IF(ISNUMBER(B30),YEAR(B30),"")</f>
        <v/>
      </c>
      <c r="O30">
        <f>IF(C30="","",IFERROR(INDEX(Crops!$C$6:$C$65,MATCH(C30,Crops!$B$6:$B$65,0))&amp;"",""))</f>
        <v/>
      </c>
      <c r="P30">
        <f>IF(ISNUMBER(B30),INT(B30),0)</f>
        <v/>
      </c>
      <c r="Q30">
        <f>IF(AND(L30="",OR(J30="Growing",J30="Picking")),1,0)</f>
        <v/>
      </c>
      <c r="R30">
        <f>IF(AND(Q30=1,D30&lt;&gt;""),P30*1000+ROW(),0)</f>
        <v/>
      </c>
      <c r="S30">
        <f>IF(AND(AND(C30&lt;&gt;"",ISNUMBER(B30)),L30=""),1,0)</f>
        <v/>
      </c>
    </row>
    <row r="31">
      <c r="A31" s="1" t="n"/>
      <c r="B31" s="17" t="n"/>
      <c r="C31" s="18" t="n"/>
      <c r="D31" s="19" t="n"/>
      <c r="E31" s="19" t="n"/>
      <c r="F31" s="20" t="n"/>
      <c r="G31" s="17" t="n"/>
      <c r="H31" s="21" t="n"/>
      <c r="I31" s="22">
        <f>IF(NOT(AND(C31&lt;&gt;"",ISNUMBER(B31))),"",IF(N(IFERROR(INDEX(Crops!$F$6:$F$65,MATCH(C31,Crops!$B$6:$B$65,0)),0))&gt;0,INT(B31)+N(IFERROR(INDEX(Crops!$F$6:$F$65,MATCH(C31,Crops!$B$6:$B$65,0)),0)),""))</f>
        <v/>
      </c>
      <c r="J31" s="16">
        <f>IF(NOT(AND(C31&lt;&gt;"",ISNUMBER(B31))),"",IF(ISNUMBER(G31),"Done",IF(INT(B31)&gt;TODAY(),"Planned",IF(COUNTIFS(Harvest!$C$6:$C$1505,C31,Harvest!$D$6:$D$1505,D31&amp;"",Harvest!$L$6:$L$1505,"&gt;="&amp;INT(B31))&gt;0,"Picking","Growing"))))</f>
        <v/>
      </c>
      <c r="K31" s="14">
        <f>IF(OR(NOT(AND(C31&lt;&gt;"",ISNUMBER(B31))),J31="Planned"),"",IF(ISNUMBER(G31),INT(G31),TODAY())-INT(B31))</f>
        <v/>
      </c>
      <c r="L31" s="11">
        <f>IF(AND(B31="",C31="",D31=""),"",IF(NOT(ISNUMBER(B31)),"Needs a date",IF(C31="","Needs a crop",IF(COUNTIF(Crops!$B$6:$B$65,C31)=0,"Not on Crops",IF(AND(D31&lt;&gt;"",COUNTIF(Beds!$B$6:$B$35,D31)=0),"Not on Beds",IF(AND(ISNUMBER(G31),G31&lt;B31),"Cleared before it was planted",""))))))</f>
        <v/>
      </c>
      <c r="M31" s="11">
        <f>IF(OR(L31&lt;&gt;"",D31="",O31=""),"",IF(COUNTIFS(Plantings!$D$6:$D$505,D31,Plantings!$O$6:$O$505,O31,Plantings!$N$6:$N$505,N31-1)&gt;0,"Same family here last year",""))</f>
        <v/>
      </c>
      <c r="N31" s="1">
        <f>IF(ISNUMBER(B31),YEAR(B31),"")</f>
        <v/>
      </c>
      <c r="O31">
        <f>IF(C31="","",IFERROR(INDEX(Crops!$C$6:$C$65,MATCH(C31,Crops!$B$6:$B$65,0))&amp;"",""))</f>
        <v/>
      </c>
      <c r="P31">
        <f>IF(ISNUMBER(B31),INT(B31),0)</f>
        <v/>
      </c>
      <c r="Q31">
        <f>IF(AND(L31="",OR(J31="Growing",J31="Picking")),1,0)</f>
        <v/>
      </c>
      <c r="R31">
        <f>IF(AND(Q31=1,D31&lt;&gt;""),P31*1000+ROW(),0)</f>
        <v/>
      </c>
      <c r="S31">
        <f>IF(AND(AND(C31&lt;&gt;"",ISNUMBER(B31)),L31=""),1,0)</f>
        <v/>
      </c>
    </row>
    <row r="32">
      <c r="A32" s="1" t="n"/>
      <c r="B32" s="17" t="n"/>
      <c r="C32" s="18" t="n"/>
      <c r="D32" s="19" t="n"/>
      <c r="E32" s="19" t="n"/>
      <c r="F32" s="20" t="n"/>
      <c r="G32" s="17" t="n"/>
      <c r="H32" s="21" t="n"/>
      <c r="I32" s="22">
        <f>IF(NOT(AND(C32&lt;&gt;"",ISNUMBER(B32))),"",IF(N(IFERROR(INDEX(Crops!$F$6:$F$65,MATCH(C32,Crops!$B$6:$B$65,0)),0))&gt;0,INT(B32)+N(IFERROR(INDEX(Crops!$F$6:$F$65,MATCH(C32,Crops!$B$6:$B$65,0)),0)),""))</f>
        <v/>
      </c>
      <c r="J32" s="16">
        <f>IF(NOT(AND(C32&lt;&gt;"",ISNUMBER(B32))),"",IF(ISNUMBER(G32),"Done",IF(INT(B32)&gt;TODAY(),"Planned",IF(COUNTIFS(Harvest!$C$6:$C$1505,C32,Harvest!$D$6:$D$1505,D32&amp;"",Harvest!$L$6:$L$1505,"&gt;="&amp;INT(B32))&gt;0,"Picking","Growing"))))</f>
        <v/>
      </c>
      <c r="K32" s="14">
        <f>IF(OR(NOT(AND(C32&lt;&gt;"",ISNUMBER(B32))),J32="Planned"),"",IF(ISNUMBER(G32),INT(G32),TODAY())-INT(B32))</f>
        <v/>
      </c>
      <c r="L32" s="11">
        <f>IF(AND(B32="",C32="",D32=""),"",IF(NOT(ISNUMBER(B32)),"Needs a date",IF(C32="","Needs a crop",IF(COUNTIF(Crops!$B$6:$B$65,C32)=0,"Not on Crops",IF(AND(D32&lt;&gt;"",COUNTIF(Beds!$B$6:$B$35,D32)=0),"Not on Beds",IF(AND(ISNUMBER(G32),G32&lt;B32),"Cleared before it was planted",""))))))</f>
        <v/>
      </c>
      <c r="M32" s="11">
        <f>IF(OR(L32&lt;&gt;"",D32="",O32=""),"",IF(COUNTIFS(Plantings!$D$6:$D$505,D32,Plantings!$O$6:$O$505,O32,Plantings!$N$6:$N$505,N32-1)&gt;0,"Same family here last year",""))</f>
        <v/>
      </c>
      <c r="N32" s="1">
        <f>IF(ISNUMBER(B32),YEAR(B32),"")</f>
        <v/>
      </c>
      <c r="O32">
        <f>IF(C32="","",IFERROR(INDEX(Crops!$C$6:$C$65,MATCH(C32,Crops!$B$6:$B$65,0))&amp;"",""))</f>
        <v/>
      </c>
      <c r="P32">
        <f>IF(ISNUMBER(B32),INT(B32),0)</f>
        <v/>
      </c>
      <c r="Q32">
        <f>IF(AND(L32="",OR(J32="Growing",J32="Picking")),1,0)</f>
        <v/>
      </c>
      <c r="R32">
        <f>IF(AND(Q32=1,D32&lt;&gt;""),P32*1000+ROW(),0)</f>
        <v/>
      </c>
      <c r="S32">
        <f>IF(AND(AND(C32&lt;&gt;"",ISNUMBER(B32)),L32=""),1,0)</f>
        <v/>
      </c>
    </row>
    <row r="33">
      <c r="A33" s="1" t="n"/>
      <c r="B33" s="17" t="n"/>
      <c r="C33" s="18" t="n"/>
      <c r="D33" s="19" t="n"/>
      <c r="E33" s="19" t="n"/>
      <c r="F33" s="20" t="n"/>
      <c r="G33" s="17" t="n"/>
      <c r="H33" s="21" t="n"/>
      <c r="I33" s="22">
        <f>IF(NOT(AND(C33&lt;&gt;"",ISNUMBER(B33))),"",IF(N(IFERROR(INDEX(Crops!$F$6:$F$65,MATCH(C33,Crops!$B$6:$B$65,0)),0))&gt;0,INT(B33)+N(IFERROR(INDEX(Crops!$F$6:$F$65,MATCH(C33,Crops!$B$6:$B$65,0)),0)),""))</f>
        <v/>
      </c>
      <c r="J33" s="16">
        <f>IF(NOT(AND(C33&lt;&gt;"",ISNUMBER(B33))),"",IF(ISNUMBER(G33),"Done",IF(INT(B33)&gt;TODAY(),"Planned",IF(COUNTIFS(Harvest!$C$6:$C$1505,C33,Harvest!$D$6:$D$1505,D33&amp;"",Harvest!$L$6:$L$1505,"&gt;="&amp;INT(B33))&gt;0,"Picking","Growing"))))</f>
        <v/>
      </c>
      <c r="K33" s="14">
        <f>IF(OR(NOT(AND(C33&lt;&gt;"",ISNUMBER(B33))),J33="Planned"),"",IF(ISNUMBER(G33),INT(G33),TODAY())-INT(B33))</f>
        <v/>
      </c>
      <c r="L33" s="11">
        <f>IF(AND(B33="",C33="",D33=""),"",IF(NOT(ISNUMBER(B33)),"Needs a date",IF(C33="","Needs a crop",IF(COUNTIF(Crops!$B$6:$B$65,C33)=0,"Not on Crops",IF(AND(D33&lt;&gt;"",COUNTIF(Beds!$B$6:$B$35,D33)=0),"Not on Beds",IF(AND(ISNUMBER(G33),G33&lt;B33),"Cleared before it was planted",""))))))</f>
        <v/>
      </c>
      <c r="M33" s="11">
        <f>IF(OR(L33&lt;&gt;"",D33="",O33=""),"",IF(COUNTIFS(Plantings!$D$6:$D$505,D33,Plantings!$O$6:$O$505,O33,Plantings!$N$6:$N$505,N33-1)&gt;0,"Same family here last year",""))</f>
        <v/>
      </c>
      <c r="N33" s="1">
        <f>IF(ISNUMBER(B33),YEAR(B33),"")</f>
        <v/>
      </c>
      <c r="O33">
        <f>IF(C33="","",IFERROR(INDEX(Crops!$C$6:$C$65,MATCH(C33,Crops!$B$6:$B$65,0))&amp;"",""))</f>
        <v/>
      </c>
      <c r="P33">
        <f>IF(ISNUMBER(B33),INT(B33),0)</f>
        <v/>
      </c>
      <c r="Q33">
        <f>IF(AND(L33="",OR(J33="Growing",J33="Picking")),1,0)</f>
        <v/>
      </c>
      <c r="R33">
        <f>IF(AND(Q33=1,D33&lt;&gt;""),P33*1000+ROW(),0)</f>
        <v/>
      </c>
      <c r="S33">
        <f>IF(AND(AND(C33&lt;&gt;"",ISNUMBER(B33)),L33=""),1,0)</f>
        <v/>
      </c>
    </row>
    <row r="34">
      <c r="A34" s="1" t="n"/>
      <c r="B34" s="17" t="n"/>
      <c r="C34" s="18" t="n"/>
      <c r="D34" s="19" t="n"/>
      <c r="E34" s="19" t="n"/>
      <c r="F34" s="20" t="n"/>
      <c r="G34" s="17" t="n"/>
      <c r="H34" s="21" t="n"/>
      <c r="I34" s="22">
        <f>IF(NOT(AND(C34&lt;&gt;"",ISNUMBER(B34))),"",IF(N(IFERROR(INDEX(Crops!$F$6:$F$65,MATCH(C34,Crops!$B$6:$B$65,0)),0))&gt;0,INT(B34)+N(IFERROR(INDEX(Crops!$F$6:$F$65,MATCH(C34,Crops!$B$6:$B$65,0)),0)),""))</f>
        <v/>
      </c>
      <c r="J34" s="16">
        <f>IF(NOT(AND(C34&lt;&gt;"",ISNUMBER(B34))),"",IF(ISNUMBER(G34),"Done",IF(INT(B34)&gt;TODAY(),"Planned",IF(COUNTIFS(Harvest!$C$6:$C$1505,C34,Harvest!$D$6:$D$1505,D34&amp;"",Harvest!$L$6:$L$1505,"&gt;="&amp;INT(B34))&gt;0,"Picking","Growing"))))</f>
        <v/>
      </c>
      <c r="K34" s="14">
        <f>IF(OR(NOT(AND(C34&lt;&gt;"",ISNUMBER(B34))),J34="Planned"),"",IF(ISNUMBER(G34),INT(G34),TODAY())-INT(B34))</f>
        <v/>
      </c>
      <c r="L34" s="11">
        <f>IF(AND(B34="",C34="",D34=""),"",IF(NOT(ISNUMBER(B34)),"Needs a date",IF(C34="","Needs a crop",IF(COUNTIF(Crops!$B$6:$B$65,C34)=0,"Not on Crops",IF(AND(D34&lt;&gt;"",COUNTIF(Beds!$B$6:$B$35,D34)=0),"Not on Beds",IF(AND(ISNUMBER(G34),G34&lt;B34),"Cleared before it was planted",""))))))</f>
        <v/>
      </c>
      <c r="M34" s="11">
        <f>IF(OR(L34&lt;&gt;"",D34="",O34=""),"",IF(COUNTIFS(Plantings!$D$6:$D$505,D34,Plantings!$O$6:$O$505,O34,Plantings!$N$6:$N$505,N34-1)&gt;0,"Same family here last year",""))</f>
        <v/>
      </c>
      <c r="N34" s="1">
        <f>IF(ISNUMBER(B34),YEAR(B34),"")</f>
        <v/>
      </c>
      <c r="O34">
        <f>IF(C34="","",IFERROR(INDEX(Crops!$C$6:$C$65,MATCH(C34,Crops!$B$6:$B$65,0))&amp;"",""))</f>
        <v/>
      </c>
      <c r="P34">
        <f>IF(ISNUMBER(B34),INT(B34),0)</f>
        <v/>
      </c>
      <c r="Q34">
        <f>IF(AND(L34="",OR(J34="Growing",J34="Picking")),1,0)</f>
        <v/>
      </c>
      <c r="R34">
        <f>IF(AND(Q34=1,D34&lt;&gt;""),P34*1000+ROW(),0)</f>
        <v/>
      </c>
      <c r="S34">
        <f>IF(AND(AND(C34&lt;&gt;"",ISNUMBER(B34)),L34=""),1,0)</f>
        <v/>
      </c>
    </row>
    <row r="35">
      <c r="A35" s="1" t="n"/>
      <c r="B35" s="17" t="n"/>
      <c r="C35" s="18" t="n"/>
      <c r="D35" s="19" t="n"/>
      <c r="E35" s="19" t="n"/>
      <c r="F35" s="20" t="n"/>
      <c r="G35" s="17" t="n"/>
      <c r="H35" s="21" t="n"/>
      <c r="I35" s="22">
        <f>IF(NOT(AND(C35&lt;&gt;"",ISNUMBER(B35))),"",IF(N(IFERROR(INDEX(Crops!$F$6:$F$65,MATCH(C35,Crops!$B$6:$B$65,0)),0))&gt;0,INT(B35)+N(IFERROR(INDEX(Crops!$F$6:$F$65,MATCH(C35,Crops!$B$6:$B$65,0)),0)),""))</f>
        <v/>
      </c>
      <c r="J35" s="16">
        <f>IF(NOT(AND(C35&lt;&gt;"",ISNUMBER(B35))),"",IF(ISNUMBER(G35),"Done",IF(INT(B35)&gt;TODAY(),"Planned",IF(COUNTIFS(Harvest!$C$6:$C$1505,C35,Harvest!$D$6:$D$1505,D35&amp;"",Harvest!$L$6:$L$1505,"&gt;="&amp;INT(B35))&gt;0,"Picking","Growing"))))</f>
        <v/>
      </c>
      <c r="K35" s="14">
        <f>IF(OR(NOT(AND(C35&lt;&gt;"",ISNUMBER(B35))),J35="Planned"),"",IF(ISNUMBER(G35),INT(G35),TODAY())-INT(B35))</f>
        <v/>
      </c>
      <c r="L35" s="11">
        <f>IF(AND(B35="",C35="",D35=""),"",IF(NOT(ISNUMBER(B35)),"Needs a date",IF(C35="","Needs a crop",IF(COUNTIF(Crops!$B$6:$B$65,C35)=0,"Not on Crops",IF(AND(D35&lt;&gt;"",COUNTIF(Beds!$B$6:$B$35,D35)=0),"Not on Beds",IF(AND(ISNUMBER(G35),G35&lt;B35),"Cleared before it was planted",""))))))</f>
        <v/>
      </c>
      <c r="M35" s="11">
        <f>IF(OR(L35&lt;&gt;"",D35="",O35=""),"",IF(COUNTIFS(Plantings!$D$6:$D$505,D35,Plantings!$O$6:$O$505,O35,Plantings!$N$6:$N$505,N35-1)&gt;0,"Same family here last year",""))</f>
        <v/>
      </c>
      <c r="N35" s="1">
        <f>IF(ISNUMBER(B35),YEAR(B35),"")</f>
        <v/>
      </c>
      <c r="O35">
        <f>IF(C35="","",IFERROR(INDEX(Crops!$C$6:$C$65,MATCH(C35,Crops!$B$6:$B$65,0))&amp;"",""))</f>
        <v/>
      </c>
      <c r="P35">
        <f>IF(ISNUMBER(B35),INT(B35),0)</f>
        <v/>
      </c>
      <c r="Q35">
        <f>IF(AND(L35="",OR(J35="Growing",J35="Picking")),1,0)</f>
        <v/>
      </c>
      <c r="R35">
        <f>IF(AND(Q35=1,D35&lt;&gt;""),P35*1000+ROW(),0)</f>
        <v/>
      </c>
      <c r="S35">
        <f>IF(AND(AND(C35&lt;&gt;"",ISNUMBER(B35)),L35=""),1,0)</f>
        <v/>
      </c>
    </row>
    <row r="36">
      <c r="A36" s="1" t="n"/>
      <c r="B36" s="17" t="n"/>
      <c r="C36" s="18" t="n"/>
      <c r="D36" s="19" t="n"/>
      <c r="E36" s="19" t="n"/>
      <c r="F36" s="20" t="n"/>
      <c r="G36" s="17" t="n"/>
      <c r="H36" s="21" t="n"/>
      <c r="I36" s="22">
        <f>IF(NOT(AND(C36&lt;&gt;"",ISNUMBER(B36))),"",IF(N(IFERROR(INDEX(Crops!$F$6:$F$65,MATCH(C36,Crops!$B$6:$B$65,0)),0))&gt;0,INT(B36)+N(IFERROR(INDEX(Crops!$F$6:$F$65,MATCH(C36,Crops!$B$6:$B$65,0)),0)),""))</f>
        <v/>
      </c>
      <c r="J36" s="16">
        <f>IF(NOT(AND(C36&lt;&gt;"",ISNUMBER(B36))),"",IF(ISNUMBER(G36),"Done",IF(INT(B36)&gt;TODAY(),"Planned",IF(COUNTIFS(Harvest!$C$6:$C$1505,C36,Harvest!$D$6:$D$1505,D36&amp;"",Harvest!$L$6:$L$1505,"&gt;="&amp;INT(B36))&gt;0,"Picking","Growing"))))</f>
        <v/>
      </c>
      <c r="K36" s="14">
        <f>IF(OR(NOT(AND(C36&lt;&gt;"",ISNUMBER(B36))),J36="Planned"),"",IF(ISNUMBER(G36),INT(G36),TODAY())-INT(B36))</f>
        <v/>
      </c>
      <c r="L36" s="11">
        <f>IF(AND(B36="",C36="",D36=""),"",IF(NOT(ISNUMBER(B36)),"Needs a date",IF(C36="","Needs a crop",IF(COUNTIF(Crops!$B$6:$B$65,C36)=0,"Not on Crops",IF(AND(D36&lt;&gt;"",COUNTIF(Beds!$B$6:$B$35,D36)=0),"Not on Beds",IF(AND(ISNUMBER(G36),G36&lt;B36),"Cleared before it was planted",""))))))</f>
        <v/>
      </c>
      <c r="M36" s="11">
        <f>IF(OR(L36&lt;&gt;"",D36="",O36=""),"",IF(COUNTIFS(Plantings!$D$6:$D$505,D36,Plantings!$O$6:$O$505,O36,Plantings!$N$6:$N$505,N36-1)&gt;0,"Same family here last year",""))</f>
        <v/>
      </c>
      <c r="N36" s="1">
        <f>IF(ISNUMBER(B36),YEAR(B36),"")</f>
        <v/>
      </c>
      <c r="O36">
        <f>IF(C36="","",IFERROR(INDEX(Crops!$C$6:$C$65,MATCH(C36,Crops!$B$6:$B$65,0))&amp;"",""))</f>
        <v/>
      </c>
      <c r="P36">
        <f>IF(ISNUMBER(B36),INT(B36),0)</f>
        <v/>
      </c>
      <c r="Q36">
        <f>IF(AND(L36="",OR(J36="Growing",J36="Picking")),1,0)</f>
        <v/>
      </c>
      <c r="R36">
        <f>IF(AND(Q36=1,D36&lt;&gt;""),P36*1000+ROW(),0)</f>
        <v/>
      </c>
      <c r="S36">
        <f>IF(AND(AND(C36&lt;&gt;"",ISNUMBER(B36)),L36=""),1,0)</f>
        <v/>
      </c>
    </row>
    <row r="37">
      <c r="A37" s="1" t="n"/>
      <c r="B37" s="17" t="n"/>
      <c r="C37" s="18" t="n"/>
      <c r="D37" s="19" t="n"/>
      <c r="E37" s="19" t="n"/>
      <c r="F37" s="20" t="n"/>
      <c r="G37" s="17" t="n"/>
      <c r="H37" s="21" t="n"/>
      <c r="I37" s="22">
        <f>IF(NOT(AND(C37&lt;&gt;"",ISNUMBER(B37))),"",IF(N(IFERROR(INDEX(Crops!$F$6:$F$65,MATCH(C37,Crops!$B$6:$B$65,0)),0))&gt;0,INT(B37)+N(IFERROR(INDEX(Crops!$F$6:$F$65,MATCH(C37,Crops!$B$6:$B$65,0)),0)),""))</f>
        <v/>
      </c>
      <c r="J37" s="16">
        <f>IF(NOT(AND(C37&lt;&gt;"",ISNUMBER(B37))),"",IF(ISNUMBER(G37),"Done",IF(INT(B37)&gt;TODAY(),"Planned",IF(COUNTIFS(Harvest!$C$6:$C$1505,C37,Harvest!$D$6:$D$1505,D37&amp;"",Harvest!$L$6:$L$1505,"&gt;="&amp;INT(B37))&gt;0,"Picking","Growing"))))</f>
        <v/>
      </c>
      <c r="K37" s="14">
        <f>IF(OR(NOT(AND(C37&lt;&gt;"",ISNUMBER(B37))),J37="Planned"),"",IF(ISNUMBER(G37),INT(G37),TODAY())-INT(B37))</f>
        <v/>
      </c>
      <c r="L37" s="11">
        <f>IF(AND(B37="",C37="",D37=""),"",IF(NOT(ISNUMBER(B37)),"Needs a date",IF(C37="","Needs a crop",IF(COUNTIF(Crops!$B$6:$B$65,C37)=0,"Not on Crops",IF(AND(D37&lt;&gt;"",COUNTIF(Beds!$B$6:$B$35,D37)=0),"Not on Beds",IF(AND(ISNUMBER(G37),G37&lt;B37),"Cleared before it was planted",""))))))</f>
        <v/>
      </c>
      <c r="M37" s="11">
        <f>IF(OR(L37&lt;&gt;"",D37="",O37=""),"",IF(COUNTIFS(Plantings!$D$6:$D$505,D37,Plantings!$O$6:$O$505,O37,Plantings!$N$6:$N$505,N37-1)&gt;0,"Same family here last year",""))</f>
        <v/>
      </c>
      <c r="N37" s="1">
        <f>IF(ISNUMBER(B37),YEAR(B37),"")</f>
        <v/>
      </c>
      <c r="O37">
        <f>IF(C37="","",IFERROR(INDEX(Crops!$C$6:$C$65,MATCH(C37,Crops!$B$6:$B$65,0))&amp;"",""))</f>
        <v/>
      </c>
      <c r="P37">
        <f>IF(ISNUMBER(B37),INT(B37),0)</f>
        <v/>
      </c>
      <c r="Q37">
        <f>IF(AND(L37="",OR(J37="Growing",J37="Picking")),1,0)</f>
        <v/>
      </c>
      <c r="R37">
        <f>IF(AND(Q37=1,D37&lt;&gt;""),P37*1000+ROW(),0)</f>
        <v/>
      </c>
      <c r="S37">
        <f>IF(AND(AND(C37&lt;&gt;"",ISNUMBER(B37)),L37=""),1,0)</f>
        <v/>
      </c>
    </row>
    <row r="38">
      <c r="A38" s="1" t="n"/>
      <c r="B38" s="17" t="n"/>
      <c r="C38" s="18" t="n"/>
      <c r="D38" s="19" t="n"/>
      <c r="E38" s="19" t="n"/>
      <c r="F38" s="20" t="n"/>
      <c r="G38" s="17" t="n"/>
      <c r="H38" s="21" t="n"/>
      <c r="I38" s="22">
        <f>IF(NOT(AND(C38&lt;&gt;"",ISNUMBER(B38))),"",IF(N(IFERROR(INDEX(Crops!$F$6:$F$65,MATCH(C38,Crops!$B$6:$B$65,0)),0))&gt;0,INT(B38)+N(IFERROR(INDEX(Crops!$F$6:$F$65,MATCH(C38,Crops!$B$6:$B$65,0)),0)),""))</f>
        <v/>
      </c>
      <c r="J38" s="16">
        <f>IF(NOT(AND(C38&lt;&gt;"",ISNUMBER(B38))),"",IF(ISNUMBER(G38),"Done",IF(INT(B38)&gt;TODAY(),"Planned",IF(COUNTIFS(Harvest!$C$6:$C$1505,C38,Harvest!$D$6:$D$1505,D38&amp;"",Harvest!$L$6:$L$1505,"&gt;="&amp;INT(B38))&gt;0,"Picking","Growing"))))</f>
        <v/>
      </c>
      <c r="K38" s="14">
        <f>IF(OR(NOT(AND(C38&lt;&gt;"",ISNUMBER(B38))),J38="Planned"),"",IF(ISNUMBER(G38),INT(G38),TODAY())-INT(B38))</f>
        <v/>
      </c>
      <c r="L38" s="11">
        <f>IF(AND(B38="",C38="",D38=""),"",IF(NOT(ISNUMBER(B38)),"Needs a date",IF(C38="","Needs a crop",IF(COUNTIF(Crops!$B$6:$B$65,C38)=0,"Not on Crops",IF(AND(D38&lt;&gt;"",COUNTIF(Beds!$B$6:$B$35,D38)=0),"Not on Beds",IF(AND(ISNUMBER(G38),G38&lt;B38),"Cleared before it was planted",""))))))</f>
        <v/>
      </c>
      <c r="M38" s="11">
        <f>IF(OR(L38&lt;&gt;"",D38="",O38=""),"",IF(COUNTIFS(Plantings!$D$6:$D$505,D38,Plantings!$O$6:$O$505,O38,Plantings!$N$6:$N$505,N38-1)&gt;0,"Same family here last year",""))</f>
        <v/>
      </c>
      <c r="N38" s="1">
        <f>IF(ISNUMBER(B38),YEAR(B38),"")</f>
        <v/>
      </c>
      <c r="O38">
        <f>IF(C38="","",IFERROR(INDEX(Crops!$C$6:$C$65,MATCH(C38,Crops!$B$6:$B$65,0))&amp;"",""))</f>
        <v/>
      </c>
      <c r="P38">
        <f>IF(ISNUMBER(B38),INT(B38),0)</f>
        <v/>
      </c>
      <c r="Q38">
        <f>IF(AND(L38="",OR(J38="Growing",J38="Picking")),1,0)</f>
        <v/>
      </c>
      <c r="R38">
        <f>IF(AND(Q38=1,D38&lt;&gt;""),P38*1000+ROW(),0)</f>
        <v/>
      </c>
      <c r="S38">
        <f>IF(AND(AND(C38&lt;&gt;"",ISNUMBER(B38)),L38=""),1,0)</f>
        <v/>
      </c>
    </row>
    <row r="39">
      <c r="A39" s="1" t="n"/>
      <c r="B39" s="17" t="n"/>
      <c r="C39" s="18" t="n"/>
      <c r="D39" s="19" t="n"/>
      <c r="E39" s="19" t="n"/>
      <c r="F39" s="20" t="n"/>
      <c r="G39" s="17" t="n"/>
      <c r="H39" s="21" t="n"/>
      <c r="I39" s="22">
        <f>IF(NOT(AND(C39&lt;&gt;"",ISNUMBER(B39))),"",IF(N(IFERROR(INDEX(Crops!$F$6:$F$65,MATCH(C39,Crops!$B$6:$B$65,0)),0))&gt;0,INT(B39)+N(IFERROR(INDEX(Crops!$F$6:$F$65,MATCH(C39,Crops!$B$6:$B$65,0)),0)),""))</f>
        <v/>
      </c>
      <c r="J39" s="16">
        <f>IF(NOT(AND(C39&lt;&gt;"",ISNUMBER(B39))),"",IF(ISNUMBER(G39),"Done",IF(INT(B39)&gt;TODAY(),"Planned",IF(COUNTIFS(Harvest!$C$6:$C$1505,C39,Harvest!$D$6:$D$1505,D39&amp;"",Harvest!$L$6:$L$1505,"&gt;="&amp;INT(B39))&gt;0,"Picking","Growing"))))</f>
        <v/>
      </c>
      <c r="K39" s="14">
        <f>IF(OR(NOT(AND(C39&lt;&gt;"",ISNUMBER(B39))),J39="Planned"),"",IF(ISNUMBER(G39),INT(G39),TODAY())-INT(B39))</f>
        <v/>
      </c>
      <c r="L39" s="11">
        <f>IF(AND(B39="",C39="",D39=""),"",IF(NOT(ISNUMBER(B39)),"Needs a date",IF(C39="","Needs a crop",IF(COUNTIF(Crops!$B$6:$B$65,C39)=0,"Not on Crops",IF(AND(D39&lt;&gt;"",COUNTIF(Beds!$B$6:$B$35,D39)=0),"Not on Beds",IF(AND(ISNUMBER(G39),G39&lt;B39),"Cleared before it was planted",""))))))</f>
        <v/>
      </c>
      <c r="M39" s="11">
        <f>IF(OR(L39&lt;&gt;"",D39="",O39=""),"",IF(COUNTIFS(Plantings!$D$6:$D$505,D39,Plantings!$O$6:$O$505,O39,Plantings!$N$6:$N$505,N39-1)&gt;0,"Same family here last year",""))</f>
        <v/>
      </c>
      <c r="N39" s="1">
        <f>IF(ISNUMBER(B39),YEAR(B39),"")</f>
        <v/>
      </c>
      <c r="O39">
        <f>IF(C39="","",IFERROR(INDEX(Crops!$C$6:$C$65,MATCH(C39,Crops!$B$6:$B$65,0))&amp;"",""))</f>
        <v/>
      </c>
      <c r="P39">
        <f>IF(ISNUMBER(B39),INT(B39),0)</f>
        <v/>
      </c>
      <c r="Q39">
        <f>IF(AND(L39="",OR(J39="Growing",J39="Picking")),1,0)</f>
        <v/>
      </c>
      <c r="R39">
        <f>IF(AND(Q39=1,D39&lt;&gt;""),P39*1000+ROW(),0)</f>
        <v/>
      </c>
      <c r="S39">
        <f>IF(AND(AND(C39&lt;&gt;"",ISNUMBER(B39)),L39=""),1,0)</f>
        <v/>
      </c>
    </row>
    <row r="40">
      <c r="A40" s="1" t="n"/>
      <c r="B40" s="17" t="n"/>
      <c r="C40" s="18" t="n"/>
      <c r="D40" s="19" t="n"/>
      <c r="E40" s="19" t="n"/>
      <c r="F40" s="20" t="n"/>
      <c r="G40" s="17" t="n"/>
      <c r="H40" s="21" t="n"/>
      <c r="I40" s="22">
        <f>IF(NOT(AND(C40&lt;&gt;"",ISNUMBER(B40))),"",IF(N(IFERROR(INDEX(Crops!$F$6:$F$65,MATCH(C40,Crops!$B$6:$B$65,0)),0))&gt;0,INT(B40)+N(IFERROR(INDEX(Crops!$F$6:$F$65,MATCH(C40,Crops!$B$6:$B$65,0)),0)),""))</f>
        <v/>
      </c>
      <c r="J40" s="16">
        <f>IF(NOT(AND(C40&lt;&gt;"",ISNUMBER(B40))),"",IF(ISNUMBER(G40),"Done",IF(INT(B40)&gt;TODAY(),"Planned",IF(COUNTIFS(Harvest!$C$6:$C$1505,C40,Harvest!$D$6:$D$1505,D40&amp;"",Harvest!$L$6:$L$1505,"&gt;="&amp;INT(B40))&gt;0,"Picking","Growing"))))</f>
        <v/>
      </c>
      <c r="K40" s="14">
        <f>IF(OR(NOT(AND(C40&lt;&gt;"",ISNUMBER(B40))),J40="Planned"),"",IF(ISNUMBER(G40),INT(G40),TODAY())-INT(B40))</f>
        <v/>
      </c>
      <c r="L40" s="11">
        <f>IF(AND(B40="",C40="",D40=""),"",IF(NOT(ISNUMBER(B40)),"Needs a date",IF(C40="","Needs a crop",IF(COUNTIF(Crops!$B$6:$B$65,C40)=0,"Not on Crops",IF(AND(D40&lt;&gt;"",COUNTIF(Beds!$B$6:$B$35,D40)=0),"Not on Beds",IF(AND(ISNUMBER(G40),G40&lt;B40),"Cleared before it was planted",""))))))</f>
        <v/>
      </c>
      <c r="M40" s="11">
        <f>IF(OR(L40&lt;&gt;"",D40="",O40=""),"",IF(COUNTIFS(Plantings!$D$6:$D$505,D40,Plantings!$O$6:$O$505,O40,Plantings!$N$6:$N$505,N40-1)&gt;0,"Same family here last year",""))</f>
        <v/>
      </c>
      <c r="N40" s="1">
        <f>IF(ISNUMBER(B40),YEAR(B40),"")</f>
        <v/>
      </c>
      <c r="O40">
        <f>IF(C40="","",IFERROR(INDEX(Crops!$C$6:$C$65,MATCH(C40,Crops!$B$6:$B$65,0))&amp;"",""))</f>
        <v/>
      </c>
      <c r="P40">
        <f>IF(ISNUMBER(B40),INT(B40),0)</f>
        <v/>
      </c>
      <c r="Q40">
        <f>IF(AND(L40="",OR(J40="Growing",J40="Picking")),1,0)</f>
        <v/>
      </c>
      <c r="R40">
        <f>IF(AND(Q40=1,D40&lt;&gt;""),P40*1000+ROW(),0)</f>
        <v/>
      </c>
      <c r="S40">
        <f>IF(AND(AND(C40&lt;&gt;"",ISNUMBER(B40)),L40=""),1,0)</f>
        <v/>
      </c>
    </row>
    <row r="41">
      <c r="A41" s="1" t="n"/>
      <c r="B41" s="17" t="n"/>
      <c r="C41" s="18" t="n"/>
      <c r="D41" s="19" t="n"/>
      <c r="E41" s="19" t="n"/>
      <c r="F41" s="20" t="n"/>
      <c r="G41" s="17" t="n"/>
      <c r="H41" s="21" t="n"/>
      <c r="I41" s="22">
        <f>IF(NOT(AND(C41&lt;&gt;"",ISNUMBER(B41))),"",IF(N(IFERROR(INDEX(Crops!$F$6:$F$65,MATCH(C41,Crops!$B$6:$B$65,0)),0))&gt;0,INT(B41)+N(IFERROR(INDEX(Crops!$F$6:$F$65,MATCH(C41,Crops!$B$6:$B$65,0)),0)),""))</f>
        <v/>
      </c>
      <c r="J41" s="16">
        <f>IF(NOT(AND(C41&lt;&gt;"",ISNUMBER(B41))),"",IF(ISNUMBER(G41),"Done",IF(INT(B41)&gt;TODAY(),"Planned",IF(COUNTIFS(Harvest!$C$6:$C$1505,C41,Harvest!$D$6:$D$1505,D41&amp;"",Harvest!$L$6:$L$1505,"&gt;="&amp;INT(B41))&gt;0,"Picking","Growing"))))</f>
        <v/>
      </c>
      <c r="K41" s="14">
        <f>IF(OR(NOT(AND(C41&lt;&gt;"",ISNUMBER(B41))),J41="Planned"),"",IF(ISNUMBER(G41),INT(G41),TODAY())-INT(B41))</f>
        <v/>
      </c>
      <c r="L41" s="11">
        <f>IF(AND(B41="",C41="",D41=""),"",IF(NOT(ISNUMBER(B41)),"Needs a date",IF(C41="","Needs a crop",IF(COUNTIF(Crops!$B$6:$B$65,C41)=0,"Not on Crops",IF(AND(D41&lt;&gt;"",COUNTIF(Beds!$B$6:$B$35,D41)=0),"Not on Beds",IF(AND(ISNUMBER(G41),G41&lt;B41),"Cleared before it was planted",""))))))</f>
        <v/>
      </c>
      <c r="M41" s="11">
        <f>IF(OR(L41&lt;&gt;"",D41="",O41=""),"",IF(COUNTIFS(Plantings!$D$6:$D$505,D41,Plantings!$O$6:$O$505,O41,Plantings!$N$6:$N$505,N41-1)&gt;0,"Same family here last year",""))</f>
        <v/>
      </c>
      <c r="N41" s="1">
        <f>IF(ISNUMBER(B41),YEAR(B41),"")</f>
        <v/>
      </c>
      <c r="O41">
        <f>IF(C41="","",IFERROR(INDEX(Crops!$C$6:$C$65,MATCH(C41,Crops!$B$6:$B$65,0))&amp;"",""))</f>
        <v/>
      </c>
      <c r="P41">
        <f>IF(ISNUMBER(B41),INT(B41),0)</f>
        <v/>
      </c>
      <c r="Q41">
        <f>IF(AND(L41="",OR(J41="Growing",J41="Picking")),1,0)</f>
        <v/>
      </c>
      <c r="R41">
        <f>IF(AND(Q41=1,D41&lt;&gt;""),P41*1000+ROW(),0)</f>
        <v/>
      </c>
      <c r="S41">
        <f>IF(AND(AND(C41&lt;&gt;"",ISNUMBER(B41)),L41=""),1,0)</f>
        <v/>
      </c>
    </row>
    <row r="42">
      <c r="A42" s="1" t="n"/>
      <c r="B42" s="17" t="n"/>
      <c r="C42" s="18" t="n"/>
      <c r="D42" s="19" t="n"/>
      <c r="E42" s="19" t="n"/>
      <c r="F42" s="20" t="n"/>
      <c r="G42" s="17" t="n"/>
      <c r="H42" s="21" t="n"/>
      <c r="I42" s="22">
        <f>IF(NOT(AND(C42&lt;&gt;"",ISNUMBER(B42))),"",IF(N(IFERROR(INDEX(Crops!$F$6:$F$65,MATCH(C42,Crops!$B$6:$B$65,0)),0))&gt;0,INT(B42)+N(IFERROR(INDEX(Crops!$F$6:$F$65,MATCH(C42,Crops!$B$6:$B$65,0)),0)),""))</f>
        <v/>
      </c>
      <c r="J42" s="16">
        <f>IF(NOT(AND(C42&lt;&gt;"",ISNUMBER(B42))),"",IF(ISNUMBER(G42),"Done",IF(INT(B42)&gt;TODAY(),"Planned",IF(COUNTIFS(Harvest!$C$6:$C$1505,C42,Harvest!$D$6:$D$1505,D42&amp;"",Harvest!$L$6:$L$1505,"&gt;="&amp;INT(B42))&gt;0,"Picking","Growing"))))</f>
        <v/>
      </c>
      <c r="K42" s="14">
        <f>IF(OR(NOT(AND(C42&lt;&gt;"",ISNUMBER(B42))),J42="Planned"),"",IF(ISNUMBER(G42),INT(G42),TODAY())-INT(B42))</f>
        <v/>
      </c>
      <c r="L42" s="11">
        <f>IF(AND(B42="",C42="",D42=""),"",IF(NOT(ISNUMBER(B42)),"Needs a date",IF(C42="","Needs a crop",IF(COUNTIF(Crops!$B$6:$B$65,C42)=0,"Not on Crops",IF(AND(D42&lt;&gt;"",COUNTIF(Beds!$B$6:$B$35,D42)=0),"Not on Beds",IF(AND(ISNUMBER(G42),G42&lt;B42),"Cleared before it was planted",""))))))</f>
        <v/>
      </c>
      <c r="M42" s="11">
        <f>IF(OR(L42&lt;&gt;"",D42="",O42=""),"",IF(COUNTIFS(Plantings!$D$6:$D$505,D42,Plantings!$O$6:$O$505,O42,Plantings!$N$6:$N$505,N42-1)&gt;0,"Same family here last year",""))</f>
        <v/>
      </c>
      <c r="N42" s="1">
        <f>IF(ISNUMBER(B42),YEAR(B42),"")</f>
        <v/>
      </c>
      <c r="O42">
        <f>IF(C42="","",IFERROR(INDEX(Crops!$C$6:$C$65,MATCH(C42,Crops!$B$6:$B$65,0))&amp;"",""))</f>
        <v/>
      </c>
      <c r="P42">
        <f>IF(ISNUMBER(B42),INT(B42),0)</f>
        <v/>
      </c>
      <c r="Q42">
        <f>IF(AND(L42="",OR(J42="Growing",J42="Picking")),1,0)</f>
        <v/>
      </c>
      <c r="R42">
        <f>IF(AND(Q42=1,D42&lt;&gt;""),P42*1000+ROW(),0)</f>
        <v/>
      </c>
      <c r="S42">
        <f>IF(AND(AND(C42&lt;&gt;"",ISNUMBER(B42)),L42=""),1,0)</f>
        <v/>
      </c>
    </row>
    <row r="43">
      <c r="A43" s="1" t="n"/>
      <c r="B43" s="17" t="n"/>
      <c r="C43" s="18" t="n"/>
      <c r="D43" s="19" t="n"/>
      <c r="E43" s="19" t="n"/>
      <c r="F43" s="20" t="n"/>
      <c r="G43" s="17" t="n"/>
      <c r="H43" s="21" t="n"/>
      <c r="I43" s="22">
        <f>IF(NOT(AND(C43&lt;&gt;"",ISNUMBER(B43))),"",IF(N(IFERROR(INDEX(Crops!$F$6:$F$65,MATCH(C43,Crops!$B$6:$B$65,0)),0))&gt;0,INT(B43)+N(IFERROR(INDEX(Crops!$F$6:$F$65,MATCH(C43,Crops!$B$6:$B$65,0)),0)),""))</f>
        <v/>
      </c>
      <c r="J43" s="16">
        <f>IF(NOT(AND(C43&lt;&gt;"",ISNUMBER(B43))),"",IF(ISNUMBER(G43),"Done",IF(INT(B43)&gt;TODAY(),"Planned",IF(COUNTIFS(Harvest!$C$6:$C$1505,C43,Harvest!$D$6:$D$1505,D43&amp;"",Harvest!$L$6:$L$1505,"&gt;="&amp;INT(B43))&gt;0,"Picking","Growing"))))</f>
        <v/>
      </c>
      <c r="K43" s="14">
        <f>IF(OR(NOT(AND(C43&lt;&gt;"",ISNUMBER(B43))),J43="Planned"),"",IF(ISNUMBER(G43),INT(G43),TODAY())-INT(B43))</f>
        <v/>
      </c>
      <c r="L43" s="11">
        <f>IF(AND(B43="",C43="",D43=""),"",IF(NOT(ISNUMBER(B43)),"Needs a date",IF(C43="","Needs a crop",IF(COUNTIF(Crops!$B$6:$B$65,C43)=0,"Not on Crops",IF(AND(D43&lt;&gt;"",COUNTIF(Beds!$B$6:$B$35,D43)=0),"Not on Beds",IF(AND(ISNUMBER(G43),G43&lt;B43),"Cleared before it was planted",""))))))</f>
        <v/>
      </c>
      <c r="M43" s="11">
        <f>IF(OR(L43&lt;&gt;"",D43="",O43=""),"",IF(COUNTIFS(Plantings!$D$6:$D$505,D43,Plantings!$O$6:$O$505,O43,Plantings!$N$6:$N$505,N43-1)&gt;0,"Same family here last year",""))</f>
        <v/>
      </c>
      <c r="N43" s="1">
        <f>IF(ISNUMBER(B43),YEAR(B43),"")</f>
        <v/>
      </c>
      <c r="O43">
        <f>IF(C43="","",IFERROR(INDEX(Crops!$C$6:$C$65,MATCH(C43,Crops!$B$6:$B$65,0))&amp;"",""))</f>
        <v/>
      </c>
      <c r="P43">
        <f>IF(ISNUMBER(B43),INT(B43),0)</f>
        <v/>
      </c>
      <c r="Q43">
        <f>IF(AND(L43="",OR(J43="Growing",J43="Picking")),1,0)</f>
        <v/>
      </c>
      <c r="R43">
        <f>IF(AND(Q43=1,D43&lt;&gt;""),P43*1000+ROW(),0)</f>
        <v/>
      </c>
      <c r="S43">
        <f>IF(AND(AND(C43&lt;&gt;"",ISNUMBER(B43)),L43=""),1,0)</f>
        <v/>
      </c>
    </row>
    <row r="44">
      <c r="A44" s="1" t="n"/>
      <c r="B44" s="17" t="n"/>
      <c r="C44" s="18" t="n"/>
      <c r="D44" s="19" t="n"/>
      <c r="E44" s="19" t="n"/>
      <c r="F44" s="20" t="n"/>
      <c r="G44" s="17" t="n"/>
      <c r="H44" s="21" t="n"/>
      <c r="I44" s="22">
        <f>IF(NOT(AND(C44&lt;&gt;"",ISNUMBER(B44))),"",IF(N(IFERROR(INDEX(Crops!$F$6:$F$65,MATCH(C44,Crops!$B$6:$B$65,0)),0))&gt;0,INT(B44)+N(IFERROR(INDEX(Crops!$F$6:$F$65,MATCH(C44,Crops!$B$6:$B$65,0)),0)),""))</f>
        <v/>
      </c>
      <c r="J44" s="16">
        <f>IF(NOT(AND(C44&lt;&gt;"",ISNUMBER(B44))),"",IF(ISNUMBER(G44),"Done",IF(INT(B44)&gt;TODAY(),"Planned",IF(COUNTIFS(Harvest!$C$6:$C$1505,C44,Harvest!$D$6:$D$1505,D44&amp;"",Harvest!$L$6:$L$1505,"&gt;="&amp;INT(B44))&gt;0,"Picking","Growing"))))</f>
        <v/>
      </c>
      <c r="K44" s="14">
        <f>IF(OR(NOT(AND(C44&lt;&gt;"",ISNUMBER(B44))),J44="Planned"),"",IF(ISNUMBER(G44),INT(G44),TODAY())-INT(B44))</f>
        <v/>
      </c>
      <c r="L44" s="11">
        <f>IF(AND(B44="",C44="",D44=""),"",IF(NOT(ISNUMBER(B44)),"Needs a date",IF(C44="","Needs a crop",IF(COUNTIF(Crops!$B$6:$B$65,C44)=0,"Not on Crops",IF(AND(D44&lt;&gt;"",COUNTIF(Beds!$B$6:$B$35,D44)=0),"Not on Beds",IF(AND(ISNUMBER(G44),G44&lt;B44),"Cleared before it was planted",""))))))</f>
        <v/>
      </c>
      <c r="M44" s="11">
        <f>IF(OR(L44&lt;&gt;"",D44="",O44=""),"",IF(COUNTIFS(Plantings!$D$6:$D$505,D44,Plantings!$O$6:$O$505,O44,Plantings!$N$6:$N$505,N44-1)&gt;0,"Same family here last year",""))</f>
        <v/>
      </c>
      <c r="N44" s="1">
        <f>IF(ISNUMBER(B44),YEAR(B44),"")</f>
        <v/>
      </c>
      <c r="O44">
        <f>IF(C44="","",IFERROR(INDEX(Crops!$C$6:$C$65,MATCH(C44,Crops!$B$6:$B$65,0))&amp;"",""))</f>
        <v/>
      </c>
      <c r="P44">
        <f>IF(ISNUMBER(B44),INT(B44),0)</f>
        <v/>
      </c>
      <c r="Q44">
        <f>IF(AND(L44="",OR(J44="Growing",J44="Picking")),1,0)</f>
        <v/>
      </c>
      <c r="R44">
        <f>IF(AND(Q44=1,D44&lt;&gt;""),P44*1000+ROW(),0)</f>
        <v/>
      </c>
      <c r="S44">
        <f>IF(AND(AND(C44&lt;&gt;"",ISNUMBER(B44)),L44=""),1,0)</f>
        <v/>
      </c>
    </row>
    <row r="45">
      <c r="A45" s="1" t="n"/>
      <c r="B45" s="17" t="n"/>
      <c r="C45" s="18" t="n"/>
      <c r="D45" s="19" t="n"/>
      <c r="E45" s="19" t="n"/>
      <c r="F45" s="20" t="n"/>
      <c r="G45" s="17" t="n"/>
      <c r="H45" s="21" t="n"/>
      <c r="I45" s="22">
        <f>IF(NOT(AND(C45&lt;&gt;"",ISNUMBER(B45))),"",IF(N(IFERROR(INDEX(Crops!$F$6:$F$65,MATCH(C45,Crops!$B$6:$B$65,0)),0))&gt;0,INT(B45)+N(IFERROR(INDEX(Crops!$F$6:$F$65,MATCH(C45,Crops!$B$6:$B$65,0)),0)),""))</f>
        <v/>
      </c>
      <c r="J45" s="16">
        <f>IF(NOT(AND(C45&lt;&gt;"",ISNUMBER(B45))),"",IF(ISNUMBER(G45),"Done",IF(INT(B45)&gt;TODAY(),"Planned",IF(COUNTIFS(Harvest!$C$6:$C$1505,C45,Harvest!$D$6:$D$1505,D45&amp;"",Harvest!$L$6:$L$1505,"&gt;="&amp;INT(B45))&gt;0,"Picking","Growing"))))</f>
        <v/>
      </c>
      <c r="K45" s="14">
        <f>IF(OR(NOT(AND(C45&lt;&gt;"",ISNUMBER(B45))),J45="Planned"),"",IF(ISNUMBER(G45),INT(G45),TODAY())-INT(B45))</f>
        <v/>
      </c>
      <c r="L45" s="11">
        <f>IF(AND(B45="",C45="",D45=""),"",IF(NOT(ISNUMBER(B45)),"Needs a date",IF(C45="","Needs a crop",IF(COUNTIF(Crops!$B$6:$B$65,C45)=0,"Not on Crops",IF(AND(D45&lt;&gt;"",COUNTIF(Beds!$B$6:$B$35,D45)=0),"Not on Beds",IF(AND(ISNUMBER(G45),G45&lt;B45),"Cleared before it was planted",""))))))</f>
        <v/>
      </c>
      <c r="M45" s="11">
        <f>IF(OR(L45&lt;&gt;"",D45="",O45=""),"",IF(COUNTIFS(Plantings!$D$6:$D$505,D45,Plantings!$O$6:$O$505,O45,Plantings!$N$6:$N$505,N45-1)&gt;0,"Same family here last year",""))</f>
        <v/>
      </c>
      <c r="N45" s="1">
        <f>IF(ISNUMBER(B45),YEAR(B45),"")</f>
        <v/>
      </c>
      <c r="O45">
        <f>IF(C45="","",IFERROR(INDEX(Crops!$C$6:$C$65,MATCH(C45,Crops!$B$6:$B$65,0))&amp;"",""))</f>
        <v/>
      </c>
      <c r="P45">
        <f>IF(ISNUMBER(B45),INT(B45),0)</f>
        <v/>
      </c>
      <c r="Q45">
        <f>IF(AND(L45="",OR(J45="Growing",J45="Picking")),1,0)</f>
        <v/>
      </c>
      <c r="R45">
        <f>IF(AND(Q45=1,D45&lt;&gt;""),P45*1000+ROW(),0)</f>
        <v/>
      </c>
      <c r="S45">
        <f>IF(AND(AND(C45&lt;&gt;"",ISNUMBER(B45)),L45=""),1,0)</f>
        <v/>
      </c>
    </row>
    <row r="46">
      <c r="A46" s="1" t="n"/>
      <c r="B46" s="17" t="n"/>
      <c r="C46" s="18" t="n"/>
      <c r="D46" s="19" t="n"/>
      <c r="E46" s="19" t="n"/>
      <c r="F46" s="20" t="n"/>
      <c r="G46" s="17" t="n"/>
      <c r="H46" s="21" t="n"/>
      <c r="I46" s="22">
        <f>IF(NOT(AND(C46&lt;&gt;"",ISNUMBER(B46))),"",IF(N(IFERROR(INDEX(Crops!$F$6:$F$65,MATCH(C46,Crops!$B$6:$B$65,0)),0))&gt;0,INT(B46)+N(IFERROR(INDEX(Crops!$F$6:$F$65,MATCH(C46,Crops!$B$6:$B$65,0)),0)),""))</f>
        <v/>
      </c>
      <c r="J46" s="16">
        <f>IF(NOT(AND(C46&lt;&gt;"",ISNUMBER(B46))),"",IF(ISNUMBER(G46),"Done",IF(INT(B46)&gt;TODAY(),"Planned",IF(COUNTIFS(Harvest!$C$6:$C$1505,C46,Harvest!$D$6:$D$1505,D46&amp;"",Harvest!$L$6:$L$1505,"&gt;="&amp;INT(B46))&gt;0,"Picking","Growing"))))</f>
        <v/>
      </c>
      <c r="K46" s="14">
        <f>IF(OR(NOT(AND(C46&lt;&gt;"",ISNUMBER(B46))),J46="Planned"),"",IF(ISNUMBER(G46),INT(G46),TODAY())-INT(B46))</f>
        <v/>
      </c>
      <c r="L46" s="11">
        <f>IF(AND(B46="",C46="",D46=""),"",IF(NOT(ISNUMBER(B46)),"Needs a date",IF(C46="","Needs a crop",IF(COUNTIF(Crops!$B$6:$B$65,C46)=0,"Not on Crops",IF(AND(D46&lt;&gt;"",COUNTIF(Beds!$B$6:$B$35,D46)=0),"Not on Beds",IF(AND(ISNUMBER(G46),G46&lt;B46),"Cleared before it was planted",""))))))</f>
        <v/>
      </c>
      <c r="M46" s="11">
        <f>IF(OR(L46&lt;&gt;"",D46="",O46=""),"",IF(COUNTIFS(Plantings!$D$6:$D$505,D46,Plantings!$O$6:$O$505,O46,Plantings!$N$6:$N$505,N46-1)&gt;0,"Same family here last year",""))</f>
        <v/>
      </c>
      <c r="N46" s="1">
        <f>IF(ISNUMBER(B46),YEAR(B46),"")</f>
        <v/>
      </c>
      <c r="O46">
        <f>IF(C46="","",IFERROR(INDEX(Crops!$C$6:$C$65,MATCH(C46,Crops!$B$6:$B$65,0))&amp;"",""))</f>
        <v/>
      </c>
      <c r="P46">
        <f>IF(ISNUMBER(B46),INT(B46),0)</f>
        <v/>
      </c>
      <c r="Q46">
        <f>IF(AND(L46="",OR(J46="Growing",J46="Picking")),1,0)</f>
        <v/>
      </c>
      <c r="R46">
        <f>IF(AND(Q46=1,D46&lt;&gt;""),P46*1000+ROW(),0)</f>
        <v/>
      </c>
      <c r="S46">
        <f>IF(AND(AND(C46&lt;&gt;"",ISNUMBER(B46)),L46=""),1,0)</f>
        <v/>
      </c>
    </row>
    <row r="47">
      <c r="A47" s="1" t="n"/>
      <c r="B47" s="17" t="n"/>
      <c r="C47" s="18" t="n"/>
      <c r="D47" s="19" t="n"/>
      <c r="E47" s="19" t="n"/>
      <c r="F47" s="20" t="n"/>
      <c r="G47" s="17" t="n"/>
      <c r="H47" s="21" t="n"/>
      <c r="I47" s="22">
        <f>IF(NOT(AND(C47&lt;&gt;"",ISNUMBER(B47))),"",IF(N(IFERROR(INDEX(Crops!$F$6:$F$65,MATCH(C47,Crops!$B$6:$B$65,0)),0))&gt;0,INT(B47)+N(IFERROR(INDEX(Crops!$F$6:$F$65,MATCH(C47,Crops!$B$6:$B$65,0)),0)),""))</f>
        <v/>
      </c>
      <c r="J47" s="16">
        <f>IF(NOT(AND(C47&lt;&gt;"",ISNUMBER(B47))),"",IF(ISNUMBER(G47),"Done",IF(INT(B47)&gt;TODAY(),"Planned",IF(COUNTIFS(Harvest!$C$6:$C$1505,C47,Harvest!$D$6:$D$1505,D47&amp;"",Harvest!$L$6:$L$1505,"&gt;="&amp;INT(B47))&gt;0,"Picking","Growing"))))</f>
        <v/>
      </c>
      <c r="K47" s="14">
        <f>IF(OR(NOT(AND(C47&lt;&gt;"",ISNUMBER(B47))),J47="Planned"),"",IF(ISNUMBER(G47),INT(G47),TODAY())-INT(B47))</f>
        <v/>
      </c>
      <c r="L47" s="11">
        <f>IF(AND(B47="",C47="",D47=""),"",IF(NOT(ISNUMBER(B47)),"Needs a date",IF(C47="","Needs a crop",IF(COUNTIF(Crops!$B$6:$B$65,C47)=0,"Not on Crops",IF(AND(D47&lt;&gt;"",COUNTIF(Beds!$B$6:$B$35,D47)=0),"Not on Beds",IF(AND(ISNUMBER(G47),G47&lt;B47),"Cleared before it was planted",""))))))</f>
        <v/>
      </c>
      <c r="M47" s="11">
        <f>IF(OR(L47&lt;&gt;"",D47="",O47=""),"",IF(COUNTIFS(Plantings!$D$6:$D$505,D47,Plantings!$O$6:$O$505,O47,Plantings!$N$6:$N$505,N47-1)&gt;0,"Same family here last year",""))</f>
        <v/>
      </c>
      <c r="N47" s="1">
        <f>IF(ISNUMBER(B47),YEAR(B47),"")</f>
        <v/>
      </c>
      <c r="O47">
        <f>IF(C47="","",IFERROR(INDEX(Crops!$C$6:$C$65,MATCH(C47,Crops!$B$6:$B$65,0))&amp;"",""))</f>
        <v/>
      </c>
      <c r="P47">
        <f>IF(ISNUMBER(B47),INT(B47),0)</f>
        <v/>
      </c>
      <c r="Q47">
        <f>IF(AND(L47="",OR(J47="Growing",J47="Picking")),1,0)</f>
        <v/>
      </c>
      <c r="R47">
        <f>IF(AND(Q47=1,D47&lt;&gt;""),P47*1000+ROW(),0)</f>
        <v/>
      </c>
      <c r="S47">
        <f>IF(AND(AND(C47&lt;&gt;"",ISNUMBER(B47)),L47=""),1,0)</f>
        <v/>
      </c>
    </row>
    <row r="48">
      <c r="A48" s="1" t="n"/>
      <c r="B48" s="17" t="n"/>
      <c r="C48" s="18" t="n"/>
      <c r="D48" s="19" t="n"/>
      <c r="E48" s="19" t="n"/>
      <c r="F48" s="20" t="n"/>
      <c r="G48" s="17" t="n"/>
      <c r="H48" s="21" t="n"/>
      <c r="I48" s="22">
        <f>IF(NOT(AND(C48&lt;&gt;"",ISNUMBER(B48))),"",IF(N(IFERROR(INDEX(Crops!$F$6:$F$65,MATCH(C48,Crops!$B$6:$B$65,0)),0))&gt;0,INT(B48)+N(IFERROR(INDEX(Crops!$F$6:$F$65,MATCH(C48,Crops!$B$6:$B$65,0)),0)),""))</f>
        <v/>
      </c>
      <c r="J48" s="16">
        <f>IF(NOT(AND(C48&lt;&gt;"",ISNUMBER(B48))),"",IF(ISNUMBER(G48),"Done",IF(INT(B48)&gt;TODAY(),"Planned",IF(COUNTIFS(Harvest!$C$6:$C$1505,C48,Harvest!$D$6:$D$1505,D48&amp;"",Harvest!$L$6:$L$1505,"&gt;="&amp;INT(B48))&gt;0,"Picking","Growing"))))</f>
        <v/>
      </c>
      <c r="K48" s="14">
        <f>IF(OR(NOT(AND(C48&lt;&gt;"",ISNUMBER(B48))),J48="Planned"),"",IF(ISNUMBER(G48),INT(G48),TODAY())-INT(B48))</f>
        <v/>
      </c>
      <c r="L48" s="11">
        <f>IF(AND(B48="",C48="",D48=""),"",IF(NOT(ISNUMBER(B48)),"Needs a date",IF(C48="","Needs a crop",IF(COUNTIF(Crops!$B$6:$B$65,C48)=0,"Not on Crops",IF(AND(D48&lt;&gt;"",COUNTIF(Beds!$B$6:$B$35,D48)=0),"Not on Beds",IF(AND(ISNUMBER(G48),G48&lt;B48),"Cleared before it was planted",""))))))</f>
        <v/>
      </c>
      <c r="M48" s="11">
        <f>IF(OR(L48&lt;&gt;"",D48="",O48=""),"",IF(COUNTIFS(Plantings!$D$6:$D$505,D48,Plantings!$O$6:$O$505,O48,Plantings!$N$6:$N$505,N48-1)&gt;0,"Same family here last year",""))</f>
        <v/>
      </c>
      <c r="N48" s="1">
        <f>IF(ISNUMBER(B48),YEAR(B48),"")</f>
        <v/>
      </c>
      <c r="O48">
        <f>IF(C48="","",IFERROR(INDEX(Crops!$C$6:$C$65,MATCH(C48,Crops!$B$6:$B$65,0))&amp;"",""))</f>
        <v/>
      </c>
      <c r="P48">
        <f>IF(ISNUMBER(B48),INT(B48),0)</f>
        <v/>
      </c>
      <c r="Q48">
        <f>IF(AND(L48="",OR(J48="Growing",J48="Picking")),1,0)</f>
        <v/>
      </c>
      <c r="R48">
        <f>IF(AND(Q48=1,D48&lt;&gt;""),P48*1000+ROW(),0)</f>
        <v/>
      </c>
      <c r="S48">
        <f>IF(AND(AND(C48&lt;&gt;"",ISNUMBER(B48)),L48=""),1,0)</f>
        <v/>
      </c>
    </row>
    <row r="49">
      <c r="A49" s="1" t="n"/>
      <c r="B49" s="17" t="n"/>
      <c r="C49" s="18" t="n"/>
      <c r="D49" s="19" t="n"/>
      <c r="E49" s="19" t="n"/>
      <c r="F49" s="20" t="n"/>
      <c r="G49" s="17" t="n"/>
      <c r="H49" s="21" t="n"/>
      <c r="I49" s="22">
        <f>IF(NOT(AND(C49&lt;&gt;"",ISNUMBER(B49))),"",IF(N(IFERROR(INDEX(Crops!$F$6:$F$65,MATCH(C49,Crops!$B$6:$B$65,0)),0))&gt;0,INT(B49)+N(IFERROR(INDEX(Crops!$F$6:$F$65,MATCH(C49,Crops!$B$6:$B$65,0)),0)),""))</f>
        <v/>
      </c>
      <c r="J49" s="16">
        <f>IF(NOT(AND(C49&lt;&gt;"",ISNUMBER(B49))),"",IF(ISNUMBER(G49),"Done",IF(INT(B49)&gt;TODAY(),"Planned",IF(COUNTIFS(Harvest!$C$6:$C$1505,C49,Harvest!$D$6:$D$1505,D49&amp;"",Harvest!$L$6:$L$1505,"&gt;="&amp;INT(B49))&gt;0,"Picking","Growing"))))</f>
        <v/>
      </c>
      <c r="K49" s="14">
        <f>IF(OR(NOT(AND(C49&lt;&gt;"",ISNUMBER(B49))),J49="Planned"),"",IF(ISNUMBER(G49),INT(G49),TODAY())-INT(B49))</f>
        <v/>
      </c>
      <c r="L49" s="11">
        <f>IF(AND(B49="",C49="",D49=""),"",IF(NOT(ISNUMBER(B49)),"Needs a date",IF(C49="","Needs a crop",IF(COUNTIF(Crops!$B$6:$B$65,C49)=0,"Not on Crops",IF(AND(D49&lt;&gt;"",COUNTIF(Beds!$B$6:$B$35,D49)=0),"Not on Beds",IF(AND(ISNUMBER(G49),G49&lt;B49),"Cleared before it was planted",""))))))</f>
        <v/>
      </c>
      <c r="M49" s="11">
        <f>IF(OR(L49&lt;&gt;"",D49="",O49=""),"",IF(COUNTIFS(Plantings!$D$6:$D$505,D49,Plantings!$O$6:$O$505,O49,Plantings!$N$6:$N$505,N49-1)&gt;0,"Same family here last year",""))</f>
        <v/>
      </c>
      <c r="N49" s="1">
        <f>IF(ISNUMBER(B49),YEAR(B49),"")</f>
        <v/>
      </c>
      <c r="O49">
        <f>IF(C49="","",IFERROR(INDEX(Crops!$C$6:$C$65,MATCH(C49,Crops!$B$6:$B$65,0))&amp;"",""))</f>
        <v/>
      </c>
      <c r="P49">
        <f>IF(ISNUMBER(B49),INT(B49),0)</f>
        <v/>
      </c>
      <c r="Q49">
        <f>IF(AND(L49="",OR(J49="Growing",J49="Picking")),1,0)</f>
        <v/>
      </c>
      <c r="R49">
        <f>IF(AND(Q49=1,D49&lt;&gt;""),P49*1000+ROW(),0)</f>
        <v/>
      </c>
      <c r="S49">
        <f>IF(AND(AND(C49&lt;&gt;"",ISNUMBER(B49)),L49=""),1,0)</f>
        <v/>
      </c>
    </row>
    <row r="50">
      <c r="A50" s="1" t="n"/>
      <c r="B50" s="17" t="n"/>
      <c r="C50" s="18" t="n"/>
      <c r="D50" s="19" t="n"/>
      <c r="E50" s="19" t="n"/>
      <c r="F50" s="20" t="n"/>
      <c r="G50" s="17" t="n"/>
      <c r="H50" s="21" t="n"/>
      <c r="I50" s="22">
        <f>IF(NOT(AND(C50&lt;&gt;"",ISNUMBER(B50))),"",IF(N(IFERROR(INDEX(Crops!$F$6:$F$65,MATCH(C50,Crops!$B$6:$B$65,0)),0))&gt;0,INT(B50)+N(IFERROR(INDEX(Crops!$F$6:$F$65,MATCH(C50,Crops!$B$6:$B$65,0)),0)),""))</f>
        <v/>
      </c>
      <c r="J50" s="16">
        <f>IF(NOT(AND(C50&lt;&gt;"",ISNUMBER(B50))),"",IF(ISNUMBER(G50),"Done",IF(INT(B50)&gt;TODAY(),"Planned",IF(COUNTIFS(Harvest!$C$6:$C$1505,C50,Harvest!$D$6:$D$1505,D50&amp;"",Harvest!$L$6:$L$1505,"&gt;="&amp;INT(B50))&gt;0,"Picking","Growing"))))</f>
        <v/>
      </c>
      <c r="K50" s="14">
        <f>IF(OR(NOT(AND(C50&lt;&gt;"",ISNUMBER(B50))),J50="Planned"),"",IF(ISNUMBER(G50),INT(G50),TODAY())-INT(B50))</f>
        <v/>
      </c>
      <c r="L50" s="11">
        <f>IF(AND(B50="",C50="",D50=""),"",IF(NOT(ISNUMBER(B50)),"Needs a date",IF(C50="","Needs a crop",IF(COUNTIF(Crops!$B$6:$B$65,C50)=0,"Not on Crops",IF(AND(D50&lt;&gt;"",COUNTIF(Beds!$B$6:$B$35,D50)=0),"Not on Beds",IF(AND(ISNUMBER(G50),G50&lt;B50),"Cleared before it was planted",""))))))</f>
        <v/>
      </c>
      <c r="M50" s="11">
        <f>IF(OR(L50&lt;&gt;"",D50="",O50=""),"",IF(COUNTIFS(Plantings!$D$6:$D$505,D50,Plantings!$O$6:$O$505,O50,Plantings!$N$6:$N$505,N50-1)&gt;0,"Same family here last year",""))</f>
        <v/>
      </c>
      <c r="N50" s="1">
        <f>IF(ISNUMBER(B50),YEAR(B50),"")</f>
        <v/>
      </c>
      <c r="O50">
        <f>IF(C50="","",IFERROR(INDEX(Crops!$C$6:$C$65,MATCH(C50,Crops!$B$6:$B$65,0))&amp;"",""))</f>
        <v/>
      </c>
      <c r="P50">
        <f>IF(ISNUMBER(B50),INT(B50),0)</f>
        <v/>
      </c>
      <c r="Q50">
        <f>IF(AND(L50="",OR(J50="Growing",J50="Picking")),1,0)</f>
        <v/>
      </c>
      <c r="R50">
        <f>IF(AND(Q50=1,D50&lt;&gt;""),P50*1000+ROW(),0)</f>
        <v/>
      </c>
      <c r="S50">
        <f>IF(AND(AND(C50&lt;&gt;"",ISNUMBER(B50)),L50=""),1,0)</f>
        <v/>
      </c>
    </row>
    <row r="51">
      <c r="A51" s="1" t="n"/>
      <c r="B51" s="17" t="n"/>
      <c r="C51" s="18" t="n"/>
      <c r="D51" s="19" t="n"/>
      <c r="E51" s="19" t="n"/>
      <c r="F51" s="20" t="n"/>
      <c r="G51" s="17" t="n"/>
      <c r="H51" s="21" t="n"/>
      <c r="I51" s="22">
        <f>IF(NOT(AND(C51&lt;&gt;"",ISNUMBER(B51))),"",IF(N(IFERROR(INDEX(Crops!$F$6:$F$65,MATCH(C51,Crops!$B$6:$B$65,0)),0))&gt;0,INT(B51)+N(IFERROR(INDEX(Crops!$F$6:$F$65,MATCH(C51,Crops!$B$6:$B$65,0)),0)),""))</f>
        <v/>
      </c>
      <c r="J51" s="16">
        <f>IF(NOT(AND(C51&lt;&gt;"",ISNUMBER(B51))),"",IF(ISNUMBER(G51),"Done",IF(INT(B51)&gt;TODAY(),"Planned",IF(COUNTIFS(Harvest!$C$6:$C$1505,C51,Harvest!$D$6:$D$1505,D51&amp;"",Harvest!$L$6:$L$1505,"&gt;="&amp;INT(B51))&gt;0,"Picking","Growing"))))</f>
        <v/>
      </c>
      <c r="K51" s="14">
        <f>IF(OR(NOT(AND(C51&lt;&gt;"",ISNUMBER(B51))),J51="Planned"),"",IF(ISNUMBER(G51),INT(G51),TODAY())-INT(B51))</f>
        <v/>
      </c>
      <c r="L51" s="11">
        <f>IF(AND(B51="",C51="",D51=""),"",IF(NOT(ISNUMBER(B51)),"Needs a date",IF(C51="","Needs a crop",IF(COUNTIF(Crops!$B$6:$B$65,C51)=0,"Not on Crops",IF(AND(D51&lt;&gt;"",COUNTIF(Beds!$B$6:$B$35,D51)=0),"Not on Beds",IF(AND(ISNUMBER(G51),G51&lt;B51),"Cleared before it was planted",""))))))</f>
        <v/>
      </c>
      <c r="M51" s="11">
        <f>IF(OR(L51&lt;&gt;"",D51="",O51=""),"",IF(COUNTIFS(Plantings!$D$6:$D$505,D51,Plantings!$O$6:$O$505,O51,Plantings!$N$6:$N$505,N51-1)&gt;0,"Same family here last year",""))</f>
        <v/>
      </c>
      <c r="N51" s="1">
        <f>IF(ISNUMBER(B51),YEAR(B51),"")</f>
        <v/>
      </c>
      <c r="O51">
        <f>IF(C51="","",IFERROR(INDEX(Crops!$C$6:$C$65,MATCH(C51,Crops!$B$6:$B$65,0))&amp;"",""))</f>
        <v/>
      </c>
      <c r="P51">
        <f>IF(ISNUMBER(B51),INT(B51),0)</f>
        <v/>
      </c>
      <c r="Q51">
        <f>IF(AND(L51="",OR(J51="Growing",J51="Picking")),1,0)</f>
        <v/>
      </c>
      <c r="R51">
        <f>IF(AND(Q51=1,D51&lt;&gt;""),P51*1000+ROW(),0)</f>
        <v/>
      </c>
      <c r="S51">
        <f>IF(AND(AND(C51&lt;&gt;"",ISNUMBER(B51)),L51=""),1,0)</f>
        <v/>
      </c>
    </row>
    <row r="52">
      <c r="A52" s="1" t="n"/>
      <c r="B52" s="17" t="n"/>
      <c r="C52" s="18" t="n"/>
      <c r="D52" s="19" t="n"/>
      <c r="E52" s="19" t="n"/>
      <c r="F52" s="20" t="n"/>
      <c r="G52" s="17" t="n"/>
      <c r="H52" s="21" t="n"/>
      <c r="I52" s="22">
        <f>IF(NOT(AND(C52&lt;&gt;"",ISNUMBER(B52))),"",IF(N(IFERROR(INDEX(Crops!$F$6:$F$65,MATCH(C52,Crops!$B$6:$B$65,0)),0))&gt;0,INT(B52)+N(IFERROR(INDEX(Crops!$F$6:$F$65,MATCH(C52,Crops!$B$6:$B$65,0)),0)),""))</f>
        <v/>
      </c>
      <c r="J52" s="16">
        <f>IF(NOT(AND(C52&lt;&gt;"",ISNUMBER(B52))),"",IF(ISNUMBER(G52),"Done",IF(INT(B52)&gt;TODAY(),"Planned",IF(COUNTIFS(Harvest!$C$6:$C$1505,C52,Harvest!$D$6:$D$1505,D52&amp;"",Harvest!$L$6:$L$1505,"&gt;="&amp;INT(B52))&gt;0,"Picking","Growing"))))</f>
        <v/>
      </c>
      <c r="K52" s="14">
        <f>IF(OR(NOT(AND(C52&lt;&gt;"",ISNUMBER(B52))),J52="Planned"),"",IF(ISNUMBER(G52),INT(G52),TODAY())-INT(B52))</f>
        <v/>
      </c>
      <c r="L52" s="11">
        <f>IF(AND(B52="",C52="",D52=""),"",IF(NOT(ISNUMBER(B52)),"Needs a date",IF(C52="","Needs a crop",IF(COUNTIF(Crops!$B$6:$B$65,C52)=0,"Not on Crops",IF(AND(D52&lt;&gt;"",COUNTIF(Beds!$B$6:$B$35,D52)=0),"Not on Beds",IF(AND(ISNUMBER(G52),G52&lt;B52),"Cleared before it was planted",""))))))</f>
        <v/>
      </c>
      <c r="M52" s="11">
        <f>IF(OR(L52&lt;&gt;"",D52="",O52=""),"",IF(COUNTIFS(Plantings!$D$6:$D$505,D52,Plantings!$O$6:$O$505,O52,Plantings!$N$6:$N$505,N52-1)&gt;0,"Same family here last year",""))</f>
        <v/>
      </c>
      <c r="N52" s="1">
        <f>IF(ISNUMBER(B52),YEAR(B52),"")</f>
        <v/>
      </c>
      <c r="O52">
        <f>IF(C52="","",IFERROR(INDEX(Crops!$C$6:$C$65,MATCH(C52,Crops!$B$6:$B$65,0))&amp;"",""))</f>
        <v/>
      </c>
      <c r="P52">
        <f>IF(ISNUMBER(B52),INT(B52),0)</f>
        <v/>
      </c>
      <c r="Q52">
        <f>IF(AND(L52="",OR(J52="Growing",J52="Picking")),1,0)</f>
        <v/>
      </c>
      <c r="R52">
        <f>IF(AND(Q52=1,D52&lt;&gt;""),P52*1000+ROW(),0)</f>
        <v/>
      </c>
      <c r="S52">
        <f>IF(AND(AND(C52&lt;&gt;"",ISNUMBER(B52)),L52=""),1,0)</f>
        <v/>
      </c>
    </row>
    <row r="53">
      <c r="A53" s="1" t="n"/>
      <c r="B53" s="17" t="n"/>
      <c r="C53" s="18" t="n"/>
      <c r="D53" s="19" t="n"/>
      <c r="E53" s="19" t="n"/>
      <c r="F53" s="20" t="n"/>
      <c r="G53" s="17" t="n"/>
      <c r="H53" s="21" t="n"/>
      <c r="I53" s="22">
        <f>IF(NOT(AND(C53&lt;&gt;"",ISNUMBER(B53))),"",IF(N(IFERROR(INDEX(Crops!$F$6:$F$65,MATCH(C53,Crops!$B$6:$B$65,0)),0))&gt;0,INT(B53)+N(IFERROR(INDEX(Crops!$F$6:$F$65,MATCH(C53,Crops!$B$6:$B$65,0)),0)),""))</f>
        <v/>
      </c>
      <c r="J53" s="16">
        <f>IF(NOT(AND(C53&lt;&gt;"",ISNUMBER(B53))),"",IF(ISNUMBER(G53),"Done",IF(INT(B53)&gt;TODAY(),"Planned",IF(COUNTIFS(Harvest!$C$6:$C$1505,C53,Harvest!$D$6:$D$1505,D53&amp;"",Harvest!$L$6:$L$1505,"&gt;="&amp;INT(B53))&gt;0,"Picking","Growing"))))</f>
        <v/>
      </c>
      <c r="K53" s="14">
        <f>IF(OR(NOT(AND(C53&lt;&gt;"",ISNUMBER(B53))),J53="Planned"),"",IF(ISNUMBER(G53),INT(G53),TODAY())-INT(B53))</f>
        <v/>
      </c>
      <c r="L53" s="11">
        <f>IF(AND(B53="",C53="",D53=""),"",IF(NOT(ISNUMBER(B53)),"Needs a date",IF(C53="","Needs a crop",IF(COUNTIF(Crops!$B$6:$B$65,C53)=0,"Not on Crops",IF(AND(D53&lt;&gt;"",COUNTIF(Beds!$B$6:$B$35,D53)=0),"Not on Beds",IF(AND(ISNUMBER(G53),G53&lt;B53),"Cleared before it was planted",""))))))</f>
        <v/>
      </c>
      <c r="M53" s="11">
        <f>IF(OR(L53&lt;&gt;"",D53="",O53=""),"",IF(COUNTIFS(Plantings!$D$6:$D$505,D53,Plantings!$O$6:$O$505,O53,Plantings!$N$6:$N$505,N53-1)&gt;0,"Same family here last year",""))</f>
        <v/>
      </c>
      <c r="N53" s="1">
        <f>IF(ISNUMBER(B53),YEAR(B53),"")</f>
        <v/>
      </c>
      <c r="O53">
        <f>IF(C53="","",IFERROR(INDEX(Crops!$C$6:$C$65,MATCH(C53,Crops!$B$6:$B$65,0))&amp;"",""))</f>
        <v/>
      </c>
      <c r="P53">
        <f>IF(ISNUMBER(B53),INT(B53),0)</f>
        <v/>
      </c>
      <c r="Q53">
        <f>IF(AND(L53="",OR(J53="Growing",J53="Picking")),1,0)</f>
        <v/>
      </c>
      <c r="R53">
        <f>IF(AND(Q53=1,D53&lt;&gt;""),P53*1000+ROW(),0)</f>
        <v/>
      </c>
      <c r="S53">
        <f>IF(AND(AND(C53&lt;&gt;"",ISNUMBER(B53)),L53=""),1,0)</f>
        <v/>
      </c>
    </row>
    <row r="54">
      <c r="A54" s="1" t="n"/>
      <c r="B54" s="17" t="n"/>
      <c r="C54" s="18" t="n"/>
      <c r="D54" s="19" t="n"/>
      <c r="E54" s="19" t="n"/>
      <c r="F54" s="20" t="n"/>
      <c r="G54" s="17" t="n"/>
      <c r="H54" s="21" t="n"/>
      <c r="I54" s="22">
        <f>IF(NOT(AND(C54&lt;&gt;"",ISNUMBER(B54))),"",IF(N(IFERROR(INDEX(Crops!$F$6:$F$65,MATCH(C54,Crops!$B$6:$B$65,0)),0))&gt;0,INT(B54)+N(IFERROR(INDEX(Crops!$F$6:$F$65,MATCH(C54,Crops!$B$6:$B$65,0)),0)),""))</f>
        <v/>
      </c>
      <c r="J54" s="16">
        <f>IF(NOT(AND(C54&lt;&gt;"",ISNUMBER(B54))),"",IF(ISNUMBER(G54),"Done",IF(INT(B54)&gt;TODAY(),"Planned",IF(COUNTIFS(Harvest!$C$6:$C$1505,C54,Harvest!$D$6:$D$1505,D54&amp;"",Harvest!$L$6:$L$1505,"&gt;="&amp;INT(B54))&gt;0,"Picking","Growing"))))</f>
        <v/>
      </c>
      <c r="K54" s="14">
        <f>IF(OR(NOT(AND(C54&lt;&gt;"",ISNUMBER(B54))),J54="Planned"),"",IF(ISNUMBER(G54),INT(G54),TODAY())-INT(B54))</f>
        <v/>
      </c>
      <c r="L54" s="11">
        <f>IF(AND(B54="",C54="",D54=""),"",IF(NOT(ISNUMBER(B54)),"Needs a date",IF(C54="","Needs a crop",IF(COUNTIF(Crops!$B$6:$B$65,C54)=0,"Not on Crops",IF(AND(D54&lt;&gt;"",COUNTIF(Beds!$B$6:$B$35,D54)=0),"Not on Beds",IF(AND(ISNUMBER(G54),G54&lt;B54),"Cleared before it was planted",""))))))</f>
        <v/>
      </c>
      <c r="M54" s="11">
        <f>IF(OR(L54&lt;&gt;"",D54="",O54=""),"",IF(COUNTIFS(Plantings!$D$6:$D$505,D54,Plantings!$O$6:$O$505,O54,Plantings!$N$6:$N$505,N54-1)&gt;0,"Same family here last year",""))</f>
        <v/>
      </c>
      <c r="N54" s="1">
        <f>IF(ISNUMBER(B54),YEAR(B54),"")</f>
        <v/>
      </c>
      <c r="O54">
        <f>IF(C54="","",IFERROR(INDEX(Crops!$C$6:$C$65,MATCH(C54,Crops!$B$6:$B$65,0))&amp;"",""))</f>
        <v/>
      </c>
      <c r="P54">
        <f>IF(ISNUMBER(B54),INT(B54),0)</f>
        <v/>
      </c>
      <c r="Q54">
        <f>IF(AND(L54="",OR(J54="Growing",J54="Picking")),1,0)</f>
        <v/>
      </c>
      <c r="R54">
        <f>IF(AND(Q54=1,D54&lt;&gt;""),P54*1000+ROW(),0)</f>
        <v/>
      </c>
      <c r="S54">
        <f>IF(AND(AND(C54&lt;&gt;"",ISNUMBER(B54)),L54=""),1,0)</f>
        <v/>
      </c>
    </row>
    <row r="55">
      <c r="A55" s="1" t="n"/>
      <c r="B55" s="17" t="n"/>
      <c r="C55" s="18" t="n"/>
      <c r="D55" s="19" t="n"/>
      <c r="E55" s="19" t="n"/>
      <c r="F55" s="20" t="n"/>
      <c r="G55" s="17" t="n"/>
      <c r="H55" s="21" t="n"/>
      <c r="I55" s="22">
        <f>IF(NOT(AND(C55&lt;&gt;"",ISNUMBER(B55))),"",IF(N(IFERROR(INDEX(Crops!$F$6:$F$65,MATCH(C55,Crops!$B$6:$B$65,0)),0))&gt;0,INT(B55)+N(IFERROR(INDEX(Crops!$F$6:$F$65,MATCH(C55,Crops!$B$6:$B$65,0)),0)),""))</f>
        <v/>
      </c>
      <c r="J55" s="16">
        <f>IF(NOT(AND(C55&lt;&gt;"",ISNUMBER(B55))),"",IF(ISNUMBER(G55),"Done",IF(INT(B55)&gt;TODAY(),"Planned",IF(COUNTIFS(Harvest!$C$6:$C$1505,C55,Harvest!$D$6:$D$1505,D55&amp;"",Harvest!$L$6:$L$1505,"&gt;="&amp;INT(B55))&gt;0,"Picking","Growing"))))</f>
        <v/>
      </c>
      <c r="K55" s="14">
        <f>IF(OR(NOT(AND(C55&lt;&gt;"",ISNUMBER(B55))),J55="Planned"),"",IF(ISNUMBER(G55),INT(G55),TODAY())-INT(B55))</f>
        <v/>
      </c>
      <c r="L55" s="11">
        <f>IF(AND(B55="",C55="",D55=""),"",IF(NOT(ISNUMBER(B55)),"Needs a date",IF(C55="","Needs a crop",IF(COUNTIF(Crops!$B$6:$B$65,C55)=0,"Not on Crops",IF(AND(D55&lt;&gt;"",COUNTIF(Beds!$B$6:$B$35,D55)=0),"Not on Beds",IF(AND(ISNUMBER(G55),G55&lt;B55),"Cleared before it was planted",""))))))</f>
        <v/>
      </c>
      <c r="M55" s="11">
        <f>IF(OR(L55&lt;&gt;"",D55="",O55=""),"",IF(COUNTIFS(Plantings!$D$6:$D$505,D55,Plantings!$O$6:$O$505,O55,Plantings!$N$6:$N$505,N55-1)&gt;0,"Same family here last year",""))</f>
        <v/>
      </c>
      <c r="N55" s="1">
        <f>IF(ISNUMBER(B55),YEAR(B55),"")</f>
        <v/>
      </c>
      <c r="O55">
        <f>IF(C55="","",IFERROR(INDEX(Crops!$C$6:$C$65,MATCH(C55,Crops!$B$6:$B$65,0))&amp;"",""))</f>
        <v/>
      </c>
      <c r="P55">
        <f>IF(ISNUMBER(B55),INT(B55),0)</f>
        <v/>
      </c>
      <c r="Q55">
        <f>IF(AND(L55="",OR(J55="Growing",J55="Picking")),1,0)</f>
        <v/>
      </c>
      <c r="R55">
        <f>IF(AND(Q55=1,D55&lt;&gt;""),P55*1000+ROW(),0)</f>
        <v/>
      </c>
      <c r="S55">
        <f>IF(AND(AND(C55&lt;&gt;"",ISNUMBER(B55)),L55=""),1,0)</f>
        <v/>
      </c>
    </row>
    <row r="56">
      <c r="A56" s="1" t="n"/>
      <c r="B56" s="17" t="n"/>
      <c r="C56" s="18" t="n"/>
      <c r="D56" s="19" t="n"/>
      <c r="E56" s="19" t="n"/>
      <c r="F56" s="20" t="n"/>
      <c r="G56" s="17" t="n"/>
      <c r="H56" s="21" t="n"/>
      <c r="I56" s="22">
        <f>IF(NOT(AND(C56&lt;&gt;"",ISNUMBER(B56))),"",IF(N(IFERROR(INDEX(Crops!$F$6:$F$65,MATCH(C56,Crops!$B$6:$B$65,0)),0))&gt;0,INT(B56)+N(IFERROR(INDEX(Crops!$F$6:$F$65,MATCH(C56,Crops!$B$6:$B$65,0)),0)),""))</f>
        <v/>
      </c>
      <c r="J56" s="16">
        <f>IF(NOT(AND(C56&lt;&gt;"",ISNUMBER(B56))),"",IF(ISNUMBER(G56),"Done",IF(INT(B56)&gt;TODAY(),"Planned",IF(COUNTIFS(Harvest!$C$6:$C$1505,C56,Harvest!$D$6:$D$1505,D56&amp;"",Harvest!$L$6:$L$1505,"&gt;="&amp;INT(B56))&gt;0,"Picking","Growing"))))</f>
        <v/>
      </c>
      <c r="K56" s="14">
        <f>IF(OR(NOT(AND(C56&lt;&gt;"",ISNUMBER(B56))),J56="Planned"),"",IF(ISNUMBER(G56),INT(G56),TODAY())-INT(B56))</f>
        <v/>
      </c>
      <c r="L56" s="11">
        <f>IF(AND(B56="",C56="",D56=""),"",IF(NOT(ISNUMBER(B56)),"Needs a date",IF(C56="","Needs a crop",IF(COUNTIF(Crops!$B$6:$B$65,C56)=0,"Not on Crops",IF(AND(D56&lt;&gt;"",COUNTIF(Beds!$B$6:$B$35,D56)=0),"Not on Beds",IF(AND(ISNUMBER(G56),G56&lt;B56),"Cleared before it was planted",""))))))</f>
        <v/>
      </c>
      <c r="M56" s="11">
        <f>IF(OR(L56&lt;&gt;"",D56="",O56=""),"",IF(COUNTIFS(Plantings!$D$6:$D$505,D56,Plantings!$O$6:$O$505,O56,Plantings!$N$6:$N$505,N56-1)&gt;0,"Same family here last year",""))</f>
        <v/>
      </c>
      <c r="N56" s="1">
        <f>IF(ISNUMBER(B56),YEAR(B56),"")</f>
        <v/>
      </c>
      <c r="O56">
        <f>IF(C56="","",IFERROR(INDEX(Crops!$C$6:$C$65,MATCH(C56,Crops!$B$6:$B$65,0))&amp;"",""))</f>
        <v/>
      </c>
      <c r="P56">
        <f>IF(ISNUMBER(B56),INT(B56),0)</f>
        <v/>
      </c>
      <c r="Q56">
        <f>IF(AND(L56="",OR(J56="Growing",J56="Picking")),1,0)</f>
        <v/>
      </c>
      <c r="R56">
        <f>IF(AND(Q56=1,D56&lt;&gt;""),P56*1000+ROW(),0)</f>
        <v/>
      </c>
      <c r="S56">
        <f>IF(AND(AND(C56&lt;&gt;"",ISNUMBER(B56)),L56=""),1,0)</f>
        <v/>
      </c>
    </row>
    <row r="57">
      <c r="A57" s="1" t="n"/>
      <c r="B57" s="17" t="n"/>
      <c r="C57" s="18" t="n"/>
      <c r="D57" s="19" t="n"/>
      <c r="E57" s="19" t="n"/>
      <c r="F57" s="20" t="n"/>
      <c r="G57" s="17" t="n"/>
      <c r="H57" s="21" t="n"/>
      <c r="I57" s="22">
        <f>IF(NOT(AND(C57&lt;&gt;"",ISNUMBER(B57))),"",IF(N(IFERROR(INDEX(Crops!$F$6:$F$65,MATCH(C57,Crops!$B$6:$B$65,0)),0))&gt;0,INT(B57)+N(IFERROR(INDEX(Crops!$F$6:$F$65,MATCH(C57,Crops!$B$6:$B$65,0)),0)),""))</f>
        <v/>
      </c>
      <c r="J57" s="16">
        <f>IF(NOT(AND(C57&lt;&gt;"",ISNUMBER(B57))),"",IF(ISNUMBER(G57),"Done",IF(INT(B57)&gt;TODAY(),"Planned",IF(COUNTIFS(Harvest!$C$6:$C$1505,C57,Harvest!$D$6:$D$1505,D57&amp;"",Harvest!$L$6:$L$1505,"&gt;="&amp;INT(B57))&gt;0,"Picking","Growing"))))</f>
        <v/>
      </c>
      <c r="K57" s="14">
        <f>IF(OR(NOT(AND(C57&lt;&gt;"",ISNUMBER(B57))),J57="Planned"),"",IF(ISNUMBER(G57),INT(G57),TODAY())-INT(B57))</f>
        <v/>
      </c>
      <c r="L57" s="11">
        <f>IF(AND(B57="",C57="",D57=""),"",IF(NOT(ISNUMBER(B57)),"Needs a date",IF(C57="","Needs a crop",IF(COUNTIF(Crops!$B$6:$B$65,C57)=0,"Not on Crops",IF(AND(D57&lt;&gt;"",COUNTIF(Beds!$B$6:$B$35,D57)=0),"Not on Beds",IF(AND(ISNUMBER(G57),G57&lt;B57),"Cleared before it was planted",""))))))</f>
        <v/>
      </c>
      <c r="M57" s="11">
        <f>IF(OR(L57&lt;&gt;"",D57="",O57=""),"",IF(COUNTIFS(Plantings!$D$6:$D$505,D57,Plantings!$O$6:$O$505,O57,Plantings!$N$6:$N$505,N57-1)&gt;0,"Same family here last year",""))</f>
        <v/>
      </c>
      <c r="N57" s="1">
        <f>IF(ISNUMBER(B57),YEAR(B57),"")</f>
        <v/>
      </c>
      <c r="O57">
        <f>IF(C57="","",IFERROR(INDEX(Crops!$C$6:$C$65,MATCH(C57,Crops!$B$6:$B$65,0))&amp;"",""))</f>
        <v/>
      </c>
      <c r="P57">
        <f>IF(ISNUMBER(B57),INT(B57),0)</f>
        <v/>
      </c>
      <c r="Q57">
        <f>IF(AND(L57="",OR(J57="Growing",J57="Picking")),1,0)</f>
        <v/>
      </c>
      <c r="R57">
        <f>IF(AND(Q57=1,D57&lt;&gt;""),P57*1000+ROW(),0)</f>
        <v/>
      </c>
      <c r="S57">
        <f>IF(AND(AND(C57&lt;&gt;"",ISNUMBER(B57)),L57=""),1,0)</f>
        <v/>
      </c>
    </row>
    <row r="58">
      <c r="A58" s="1" t="n"/>
      <c r="B58" s="17" t="n"/>
      <c r="C58" s="18" t="n"/>
      <c r="D58" s="19" t="n"/>
      <c r="E58" s="19" t="n"/>
      <c r="F58" s="20" t="n"/>
      <c r="G58" s="17" t="n"/>
      <c r="H58" s="21" t="n"/>
      <c r="I58" s="22">
        <f>IF(NOT(AND(C58&lt;&gt;"",ISNUMBER(B58))),"",IF(N(IFERROR(INDEX(Crops!$F$6:$F$65,MATCH(C58,Crops!$B$6:$B$65,0)),0))&gt;0,INT(B58)+N(IFERROR(INDEX(Crops!$F$6:$F$65,MATCH(C58,Crops!$B$6:$B$65,0)),0)),""))</f>
        <v/>
      </c>
      <c r="J58" s="16">
        <f>IF(NOT(AND(C58&lt;&gt;"",ISNUMBER(B58))),"",IF(ISNUMBER(G58),"Done",IF(INT(B58)&gt;TODAY(),"Planned",IF(COUNTIFS(Harvest!$C$6:$C$1505,C58,Harvest!$D$6:$D$1505,D58&amp;"",Harvest!$L$6:$L$1505,"&gt;="&amp;INT(B58))&gt;0,"Picking","Growing"))))</f>
        <v/>
      </c>
      <c r="K58" s="14">
        <f>IF(OR(NOT(AND(C58&lt;&gt;"",ISNUMBER(B58))),J58="Planned"),"",IF(ISNUMBER(G58),INT(G58),TODAY())-INT(B58))</f>
        <v/>
      </c>
      <c r="L58" s="11">
        <f>IF(AND(B58="",C58="",D58=""),"",IF(NOT(ISNUMBER(B58)),"Needs a date",IF(C58="","Needs a crop",IF(COUNTIF(Crops!$B$6:$B$65,C58)=0,"Not on Crops",IF(AND(D58&lt;&gt;"",COUNTIF(Beds!$B$6:$B$35,D58)=0),"Not on Beds",IF(AND(ISNUMBER(G58),G58&lt;B58),"Cleared before it was planted",""))))))</f>
        <v/>
      </c>
      <c r="M58" s="11">
        <f>IF(OR(L58&lt;&gt;"",D58="",O58=""),"",IF(COUNTIFS(Plantings!$D$6:$D$505,D58,Plantings!$O$6:$O$505,O58,Plantings!$N$6:$N$505,N58-1)&gt;0,"Same family here last year",""))</f>
        <v/>
      </c>
      <c r="N58" s="1">
        <f>IF(ISNUMBER(B58),YEAR(B58),"")</f>
        <v/>
      </c>
      <c r="O58">
        <f>IF(C58="","",IFERROR(INDEX(Crops!$C$6:$C$65,MATCH(C58,Crops!$B$6:$B$65,0))&amp;"",""))</f>
        <v/>
      </c>
      <c r="P58">
        <f>IF(ISNUMBER(B58),INT(B58),0)</f>
        <v/>
      </c>
      <c r="Q58">
        <f>IF(AND(L58="",OR(J58="Growing",J58="Picking")),1,0)</f>
        <v/>
      </c>
      <c r="R58">
        <f>IF(AND(Q58=1,D58&lt;&gt;""),P58*1000+ROW(),0)</f>
        <v/>
      </c>
      <c r="S58">
        <f>IF(AND(AND(C58&lt;&gt;"",ISNUMBER(B58)),L58=""),1,0)</f>
        <v/>
      </c>
    </row>
    <row r="59">
      <c r="A59" s="1" t="n"/>
      <c r="B59" s="17" t="n"/>
      <c r="C59" s="18" t="n"/>
      <c r="D59" s="19" t="n"/>
      <c r="E59" s="19" t="n"/>
      <c r="F59" s="20" t="n"/>
      <c r="G59" s="17" t="n"/>
      <c r="H59" s="21" t="n"/>
      <c r="I59" s="22">
        <f>IF(NOT(AND(C59&lt;&gt;"",ISNUMBER(B59))),"",IF(N(IFERROR(INDEX(Crops!$F$6:$F$65,MATCH(C59,Crops!$B$6:$B$65,0)),0))&gt;0,INT(B59)+N(IFERROR(INDEX(Crops!$F$6:$F$65,MATCH(C59,Crops!$B$6:$B$65,0)),0)),""))</f>
        <v/>
      </c>
      <c r="J59" s="16">
        <f>IF(NOT(AND(C59&lt;&gt;"",ISNUMBER(B59))),"",IF(ISNUMBER(G59),"Done",IF(INT(B59)&gt;TODAY(),"Planned",IF(COUNTIFS(Harvest!$C$6:$C$1505,C59,Harvest!$D$6:$D$1505,D59&amp;"",Harvest!$L$6:$L$1505,"&gt;="&amp;INT(B59))&gt;0,"Picking","Growing"))))</f>
        <v/>
      </c>
      <c r="K59" s="14">
        <f>IF(OR(NOT(AND(C59&lt;&gt;"",ISNUMBER(B59))),J59="Planned"),"",IF(ISNUMBER(G59),INT(G59),TODAY())-INT(B59))</f>
        <v/>
      </c>
      <c r="L59" s="11">
        <f>IF(AND(B59="",C59="",D59=""),"",IF(NOT(ISNUMBER(B59)),"Needs a date",IF(C59="","Needs a crop",IF(COUNTIF(Crops!$B$6:$B$65,C59)=0,"Not on Crops",IF(AND(D59&lt;&gt;"",COUNTIF(Beds!$B$6:$B$35,D59)=0),"Not on Beds",IF(AND(ISNUMBER(G59),G59&lt;B59),"Cleared before it was planted",""))))))</f>
        <v/>
      </c>
      <c r="M59" s="11">
        <f>IF(OR(L59&lt;&gt;"",D59="",O59=""),"",IF(COUNTIFS(Plantings!$D$6:$D$505,D59,Plantings!$O$6:$O$505,O59,Plantings!$N$6:$N$505,N59-1)&gt;0,"Same family here last year",""))</f>
        <v/>
      </c>
      <c r="N59" s="1">
        <f>IF(ISNUMBER(B59),YEAR(B59),"")</f>
        <v/>
      </c>
      <c r="O59">
        <f>IF(C59="","",IFERROR(INDEX(Crops!$C$6:$C$65,MATCH(C59,Crops!$B$6:$B$65,0))&amp;"",""))</f>
        <v/>
      </c>
      <c r="P59">
        <f>IF(ISNUMBER(B59),INT(B59),0)</f>
        <v/>
      </c>
      <c r="Q59">
        <f>IF(AND(L59="",OR(J59="Growing",J59="Picking")),1,0)</f>
        <v/>
      </c>
      <c r="R59">
        <f>IF(AND(Q59=1,D59&lt;&gt;""),P59*1000+ROW(),0)</f>
        <v/>
      </c>
      <c r="S59">
        <f>IF(AND(AND(C59&lt;&gt;"",ISNUMBER(B59)),L59=""),1,0)</f>
        <v/>
      </c>
    </row>
    <row r="60">
      <c r="A60" s="1" t="n"/>
      <c r="B60" s="17" t="n"/>
      <c r="C60" s="18" t="n"/>
      <c r="D60" s="19" t="n"/>
      <c r="E60" s="19" t="n"/>
      <c r="F60" s="20" t="n"/>
      <c r="G60" s="17" t="n"/>
      <c r="H60" s="21" t="n"/>
      <c r="I60" s="22">
        <f>IF(NOT(AND(C60&lt;&gt;"",ISNUMBER(B60))),"",IF(N(IFERROR(INDEX(Crops!$F$6:$F$65,MATCH(C60,Crops!$B$6:$B$65,0)),0))&gt;0,INT(B60)+N(IFERROR(INDEX(Crops!$F$6:$F$65,MATCH(C60,Crops!$B$6:$B$65,0)),0)),""))</f>
        <v/>
      </c>
      <c r="J60" s="16">
        <f>IF(NOT(AND(C60&lt;&gt;"",ISNUMBER(B60))),"",IF(ISNUMBER(G60),"Done",IF(INT(B60)&gt;TODAY(),"Planned",IF(COUNTIFS(Harvest!$C$6:$C$1505,C60,Harvest!$D$6:$D$1505,D60&amp;"",Harvest!$L$6:$L$1505,"&gt;="&amp;INT(B60))&gt;0,"Picking","Growing"))))</f>
        <v/>
      </c>
      <c r="K60" s="14">
        <f>IF(OR(NOT(AND(C60&lt;&gt;"",ISNUMBER(B60))),J60="Planned"),"",IF(ISNUMBER(G60),INT(G60),TODAY())-INT(B60))</f>
        <v/>
      </c>
      <c r="L60" s="11">
        <f>IF(AND(B60="",C60="",D60=""),"",IF(NOT(ISNUMBER(B60)),"Needs a date",IF(C60="","Needs a crop",IF(COUNTIF(Crops!$B$6:$B$65,C60)=0,"Not on Crops",IF(AND(D60&lt;&gt;"",COUNTIF(Beds!$B$6:$B$35,D60)=0),"Not on Beds",IF(AND(ISNUMBER(G60),G60&lt;B60),"Cleared before it was planted",""))))))</f>
        <v/>
      </c>
      <c r="M60" s="11">
        <f>IF(OR(L60&lt;&gt;"",D60="",O60=""),"",IF(COUNTIFS(Plantings!$D$6:$D$505,D60,Plantings!$O$6:$O$505,O60,Plantings!$N$6:$N$505,N60-1)&gt;0,"Same family here last year",""))</f>
        <v/>
      </c>
      <c r="N60" s="1">
        <f>IF(ISNUMBER(B60),YEAR(B60),"")</f>
        <v/>
      </c>
      <c r="O60">
        <f>IF(C60="","",IFERROR(INDEX(Crops!$C$6:$C$65,MATCH(C60,Crops!$B$6:$B$65,0))&amp;"",""))</f>
        <v/>
      </c>
      <c r="P60">
        <f>IF(ISNUMBER(B60),INT(B60),0)</f>
        <v/>
      </c>
      <c r="Q60">
        <f>IF(AND(L60="",OR(J60="Growing",J60="Picking")),1,0)</f>
        <v/>
      </c>
      <c r="R60">
        <f>IF(AND(Q60=1,D60&lt;&gt;""),P60*1000+ROW(),0)</f>
        <v/>
      </c>
      <c r="S60">
        <f>IF(AND(AND(C60&lt;&gt;"",ISNUMBER(B60)),L60=""),1,0)</f>
        <v/>
      </c>
    </row>
    <row r="61">
      <c r="A61" s="1" t="n"/>
      <c r="B61" s="17" t="n"/>
      <c r="C61" s="18" t="n"/>
      <c r="D61" s="19" t="n"/>
      <c r="E61" s="19" t="n"/>
      <c r="F61" s="20" t="n"/>
      <c r="G61" s="17" t="n"/>
      <c r="H61" s="21" t="n"/>
      <c r="I61" s="22">
        <f>IF(NOT(AND(C61&lt;&gt;"",ISNUMBER(B61))),"",IF(N(IFERROR(INDEX(Crops!$F$6:$F$65,MATCH(C61,Crops!$B$6:$B$65,0)),0))&gt;0,INT(B61)+N(IFERROR(INDEX(Crops!$F$6:$F$65,MATCH(C61,Crops!$B$6:$B$65,0)),0)),""))</f>
        <v/>
      </c>
      <c r="J61" s="16">
        <f>IF(NOT(AND(C61&lt;&gt;"",ISNUMBER(B61))),"",IF(ISNUMBER(G61),"Done",IF(INT(B61)&gt;TODAY(),"Planned",IF(COUNTIFS(Harvest!$C$6:$C$1505,C61,Harvest!$D$6:$D$1505,D61&amp;"",Harvest!$L$6:$L$1505,"&gt;="&amp;INT(B61))&gt;0,"Picking","Growing"))))</f>
        <v/>
      </c>
      <c r="K61" s="14">
        <f>IF(OR(NOT(AND(C61&lt;&gt;"",ISNUMBER(B61))),J61="Planned"),"",IF(ISNUMBER(G61),INT(G61),TODAY())-INT(B61))</f>
        <v/>
      </c>
      <c r="L61" s="11">
        <f>IF(AND(B61="",C61="",D61=""),"",IF(NOT(ISNUMBER(B61)),"Needs a date",IF(C61="","Needs a crop",IF(COUNTIF(Crops!$B$6:$B$65,C61)=0,"Not on Crops",IF(AND(D61&lt;&gt;"",COUNTIF(Beds!$B$6:$B$35,D61)=0),"Not on Beds",IF(AND(ISNUMBER(G61),G61&lt;B61),"Cleared before it was planted",""))))))</f>
        <v/>
      </c>
      <c r="M61" s="11">
        <f>IF(OR(L61&lt;&gt;"",D61="",O61=""),"",IF(COUNTIFS(Plantings!$D$6:$D$505,D61,Plantings!$O$6:$O$505,O61,Plantings!$N$6:$N$505,N61-1)&gt;0,"Same family here last year",""))</f>
        <v/>
      </c>
      <c r="N61" s="1">
        <f>IF(ISNUMBER(B61),YEAR(B61),"")</f>
        <v/>
      </c>
      <c r="O61">
        <f>IF(C61="","",IFERROR(INDEX(Crops!$C$6:$C$65,MATCH(C61,Crops!$B$6:$B$65,0))&amp;"",""))</f>
        <v/>
      </c>
      <c r="P61">
        <f>IF(ISNUMBER(B61),INT(B61),0)</f>
        <v/>
      </c>
      <c r="Q61">
        <f>IF(AND(L61="",OR(J61="Growing",J61="Picking")),1,0)</f>
        <v/>
      </c>
      <c r="R61">
        <f>IF(AND(Q61=1,D61&lt;&gt;""),P61*1000+ROW(),0)</f>
        <v/>
      </c>
      <c r="S61">
        <f>IF(AND(AND(C61&lt;&gt;"",ISNUMBER(B61)),L61=""),1,0)</f>
        <v/>
      </c>
    </row>
    <row r="62">
      <c r="A62" s="1" t="n"/>
      <c r="B62" s="17" t="n"/>
      <c r="C62" s="18" t="n"/>
      <c r="D62" s="19" t="n"/>
      <c r="E62" s="19" t="n"/>
      <c r="F62" s="20" t="n"/>
      <c r="G62" s="17" t="n"/>
      <c r="H62" s="21" t="n"/>
      <c r="I62" s="22">
        <f>IF(NOT(AND(C62&lt;&gt;"",ISNUMBER(B62))),"",IF(N(IFERROR(INDEX(Crops!$F$6:$F$65,MATCH(C62,Crops!$B$6:$B$65,0)),0))&gt;0,INT(B62)+N(IFERROR(INDEX(Crops!$F$6:$F$65,MATCH(C62,Crops!$B$6:$B$65,0)),0)),""))</f>
        <v/>
      </c>
      <c r="J62" s="16">
        <f>IF(NOT(AND(C62&lt;&gt;"",ISNUMBER(B62))),"",IF(ISNUMBER(G62),"Done",IF(INT(B62)&gt;TODAY(),"Planned",IF(COUNTIFS(Harvest!$C$6:$C$1505,C62,Harvest!$D$6:$D$1505,D62&amp;"",Harvest!$L$6:$L$1505,"&gt;="&amp;INT(B62))&gt;0,"Picking","Growing"))))</f>
        <v/>
      </c>
      <c r="K62" s="14">
        <f>IF(OR(NOT(AND(C62&lt;&gt;"",ISNUMBER(B62))),J62="Planned"),"",IF(ISNUMBER(G62),INT(G62),TODAY())-INT(B62))</f>
        <v/>
      </c>
      <c r="L62" s="11">
        <f>IF(AND(B62="",C62="",D62=""),"",IF(NOT(ISNUMBER(B62)),"Needs a date",IF(C62="","Needs a crop",IF(COUNTIF(Crops!$B$6:$B$65,C62)=0,"Not on Crops",IF(AND(D62&lt;&gt;"",COUNTIF(Beds!$B$6:$B$35,D62)=0),"Not on Beds",IF(AND(ISNUMBER(G62),G62&lt;B62),"Cleared before it was planted",""))))))</f>
        <v/>
      </c>
      <c r="M62" s="11">
        <f>IF(OR(L62&lt;&gt;"",D62="",O62=""),"",IF(COUNTIFS(Plantings!$D$6:$D$505,D62,Plantings!$O$6:$O$505,O62,Plantings!$N$6:$N$505,N62-1)&gt;0,"Same family here last year",""))</f>
        <v/>
      </c>
      <c r="N62" s="1">
        <f>IF(ISNUMBER(B62),YEAR(B62),"")</f>
        <v/>
      </c>
      <c r="O62">
        <f>IF(C62="","",IFERROR(INDEX(Crops!$C$6:$C$65,MATCH(C62,Crops!$B$6:$B$65,0))&amp;"",""))</f>
        <v/>
      </c>
      <c r="P62">
        <f>IF(ISNUMBER(B62),INT(B62),0)</f>
        <v/>
      </c>
      <c r="Q62">
        <f>IF(AND(L62="",OR(J62="Growing",J62="Picking")),1,0)</f>
        <v/>
      </c>
      <c r="R62">
        <f>IF(AND(Q62=1,D62&lt;&gt;""),P62*1000+ROW(),0)</f>
        <v/>
      </c>
      <c r="S62">
        <f>IF(AND(AND(C62&lt;&gt;"",ISNUMBER(B62)),L62=""),1,0)</f>
        <v/>
      </c>
    </row>
    <row r="63">
      <c r="A63" s="1" t="n"/>
      <c r="B63" s="17" t="n"/>
      <c r="C63" s="18" t="n"/>
      <c r="D63" s="19" t="n"/>
      <c r="E63" s="19" t="n"/>
      <c r="F63" s="20" t="n"/>
      <c r="G63" s="17" t="n"/>
      <c r="H63" s="21" t="n"/>
      <c r="I63" s="22">
        <f>IF(NOT(AND(C63&lt;&gt;"",ISNUMBER(B63))),"",IF(N(IFERROR(INDEX(Crops!$F$6:$F$65,MATCH(C63,Crops!$B$6:$B$65,0)),0))&gt;0,INT(B63)+N(IFERROR(INDEX(Crops!$F$6:$F$65,MATCH(C63,Crops!$B$6:$B$65,0)),0)),""))</f>
        <v/>
      </c>
      <c r="J63" s="16">
        <f>IF(NOT(AND(C63&lt;&gt;"",ISNUMBER(B63))),"",IF(ISNUMBER(G63),"Done",IF(INT(B63)&gt;TODAY(),"Planned",IF(COUNTIFS(Harvest!$C$6:$C$1505,C63,Harvest!$D$6:$D$1505,D63&amp;"",Harvest!$L$6:$L$1505,"&gt;="&amp;INT(B63))&gt;0,"Picking","Growing"))))</f>
        <v/>
      </c>
      <c r="K63" s="14">
        <f>IF(OR(NOT(AND(C63&lt;&gt;"",ISNUMBER(B63))),J63="Planned"),"",IF(ISNUMBER(G63),INT(G63),TODAY())-INT(B63))</f>
        <v/>
      </c>
      <c r="L63" s="11">
        <f>IF(AND(B63="",C63="",D63=""),"",IF(NOT(ISNUMBER(B63)),"Needs a date",IF(C63="","Needs a crop",IF(COUNTIF(Crops!$B$6:$B$65,C63)=0,"Not on Crops",IF(AND(D63&lt;&gt;"",COUNTIF(Beds!$B$6:$B$35,D63)=0),"Not on Beds",IF(AND(ISNUMBER(G63),G63&lt;B63),"Cleared before it was planted",""))))))</f>
        <v/>
      </c>
      <c r="M63" s="11">
        <f>IF(OR(L63&lt;&gt;"",D63="",O63=""),"",IF(COUNTIFS(Plantings!$D$6:$D$505,D63,Plantings!$O$6:$O$505,O63,Plantings!$N$6:$N$505,N63-1)&gt;0,"Same family here last year",""))</f>
        <v/>
      </c>
      <c r="N63" s="1">
        <f>IF(ISNUMBER(B63),YEAR(B63),"")</f>
        <v/>
      </c>
      <c r="O63">
        <f>IF(C63="","",IFERROR(INDEX(Crops!$C$6:$C$65,MATCH(C63,Crops!$B$6:$B$65,0))&amp;"",""))</f>
        <v/>
      </c>
      <c r="P63">
        <f>IF(ISNUMBER(B63),INT(B63),0)</f>
        <v/>
      </c>
      <c r="Q63">
        <f>IF(AND(L63="",OR(J63="Growing",J63="Picking")),1,0)</f>
        <v/>
      </c>
      <c r="R63">
        <f>IF(AND(Q63=1,D63&lt;&gt;""),P63*1000+ROW(),0)</f>
        <v/>
      </c>
      <c r="S63">
        <f>IF(AND(AND(C63&lt;&gt;"",ISNUMBER(B63)),L63=""),1,0)</f>
        <v/>
      </c>
    </row>
    <row r="64">
      <c r="A64" s="1" t="n"/>
      <c r="B64" s="17" t="n"/>
      <c r="C64" s="18" t="n"/>
      <c r="D64" s="19" t="n"/>
      <c r="E64" s="19" t="n"/>
      <c r="F64" s="20" t="n"/>
      <c r="G64" s="17" t="n"/>
      <c r="H64" s="21" t="n"/>
      <c r="I64" s="22">
        <f>IF(NOT(AND(C64&lt;&gt;"",ISNUMBER(B64))),"",IF(N(IFERROR(INDEX(Crops!$F$6:$F$65,MATCH(C64,Crops!$B$6:$B$65,0)),0))&gt;0,INT(B64)+N(IFERROR(INDEX(Crops!$F$6:$F$65,MATCH(C64,Crops!$B$6:$B$65,0)),0)),""))</f>
        <v/>
      </c>
      <c r="J64" s="16">
        <f>IF(NOT(AND(C64&lt;&gt;"",ISNUMBER(B64))),"",IF(ISNUMBER(G64),"Done",IF(INT(B64)&gt;TODAY(),"Planned",IF(COUNTIFS(Harvest!$C$6:$C$1505,C64,Harvest!$D$6:$D$1505,D64&amp;"",Harvest!$L$6:$L$1505,"&gt;="&amp;INT(B64))&gt;0,"Picking","Growing"))))</f>
        <v/>
      </c>
      <c r="K64" s="14">
        <f>IF(OR(NOT(AND(C64&lt;&gt;"",ISNUMBER(B64))),J64="Planned"),"",IF(ISNUMBER(G64),INT(G64),TODAY())-INT(B64))</f>
        <v/>
      </c>
      <c r="L64" s="11">
        <f>IF(AND(B64="",C64="",D64=""),"",IF(NOT(ISNUMBER(B64)),"Needs a date",IF(C64="","Needs a crop",IF(COUNTIF(Crops!$B$6:$B$65,C64)=0,"Not on Crops",IF(AND(D64&lt;&gt;"",COUNTIF(Beds!$B$6:$B$35,D64)=0),"Not on Beds",IF(AND(ISNUMBER(G64),G64&lt;B64),"Cleared before it was planted",""))))))</f>
        <v/>
      </c>
      <c r="M64" s="11">
        <f>IF(OR(L64&lt;&gt;"",D64="",O64=""),"",IF(COUNTIFS(Plantings!$D$6:$D$505,D64,Plantings!$O$6:$O$505,O64,Plantings!$N$6:$N$505,N64-1)&gt;0,"Same family here last year",""))</f>
        <v/>
      </c>
      <c r="N64" s="1">
        <f>IF(ISNUMBER(B64),YEAR(B64),"")</f>
        <v/>
      </c>
      <c r="O64">
        <f>IF(C64="","",IFERROR(INDEX(Crops!$C$6:$C$65,MATCH(C64,Crops!$B$6:$B$65,0))&amp;"",""))</f>
        <v/>
      </c>
      <c r="P64">
        <f>IF(ISNUMBER(B64),INT(B64),0)</f>
        <v/>
      </c>
      <c r="Q64">
        <f>IF(AND(L64="",OR(J64="Growing",J64="Picking")),1,0)</f>
        <v/>
      </c>
      <c r="R64">
        <f>IF(AND(Q64=1,D64&lt;&gt;""),P64*1000+ROW(),0)</f>
        <v/>
      </c>
      <c r="S64">
        <f>IF(AND(AND(C64&lt;&gt;"",ISNUMBER(B64)),L64=""),1,0)</f>
        <v/>
      </c>
    </row>
    <row r="65">
      <c r="A65" s="1" t="n"/>
      <c r="B65" s="17" t="n"/>
      <c r="C65" s="18" t="n"/>
      <c r="D65" s="19" t="n"/>
      <c r="E65" s="19" t="n"/>
      <c r="F65" s="20" t="n"/>
      <c r="G65" s="17" t="n"/>
      <c r="H65" s="21" t="n"/>
      <c r="I65" s="22">
        <f>IF(NOT(AND(C65&lt;&gt;"",ISNUMBER(B65))),"",IF(N(IFERROR(INDEX(Crops!$F$6:$F$65,MATCH(C65,Crops!$B$6:$B$65,0)),0))&gt;0,INT(B65)+N(IFERROR(INDEX(Crops!$F$6:$F$65,MATCH(C65,Crops!$B$6:$B$65,0)),0)),""))</f>
        <v/>
      </c>
      <c r="J65" s="16">
        <f>IF(NOT(AND(C65&lt;&gt;"",ISNUMBER(B65))),"",IF(ISNUMBER(G65),"Done",IF(INT(B65)&gt;TODAY(),"Planned",IF(COUNTIFS(Harvest!$C$6:$C$1505,C65,Harvest!$D$6:$D$1505,D65&amp;"",Harvest!$L$6:$L$1505,"&gt;="&amp;INT(B65))&gt;0,"Picking","Growing"))))</f>
        <v/>
      </c>
      <c r="K65" s="14">
        <f>IF(OR(NOT(AND(C65&lt;&gt;"",ISNUMBER(B65))),J65="Planned"),"",IF(ISNUMBER(G65),INT(G65),TODAY())-INT(B65))</f>
        <v/>
      </c>
      <c r="L65" s="11">
        <f>IF(AND(B65="",C65="",D65=""),"",IF(NOT(ISNUMBER(B65)),"Needs a date",IF(C65="","Needs a crop",IF(COUNTIF(Crops!$B$6:$B$65,C65)=0,"Not on Crops",IF(AND(D65&lt;&gt;"",COUNTIF(Beds!$B$6:$B$35,D65)=0),"Not on Beds",IF(AND(ISNUMBER(G65),G65&lt;B65),"Cleared before it was planted",""))))))</f>
        <v/>
      </c>
      <c r="M65" s="11">
        <f>IF(OR(L65&lt;&gt;"",D65="",O65=""),"",IF(COUNTIFS(Plantings!$D$6:$D$505,D65,Plantings!$O$6:$O$505,O65,Plantings!$N$6:$N$505,N65-1)&gt;0,"Same family here last year",""))</f>
        <v/>
      </c>
      <c r="N65" s="1">
        <f>IF(ISNUMBER(B65),YEAR(B65),"")</f>
        <v/>
      </c>
      <c r="O65">
        <f>IF(C65="","",IFERROR(INDEX(Crops!$C$6:$C$65,MATCH(C65,Crops!$B$6:$B$65,0))&amp;"",""))</f>
        <v/>
      </c>
      <c r="P65">
        <f>IF(ISNUMBER(B65),INT(B65),0)</f>
        <v/>
      </c>
      <c r="Q65">
        <f>IF(AND(L65="",OR(J65="Growing",J65="Picking")),1,0)</f>
        <v/>
      </c>
      <c r="R65">
        <f>IF(AND(Q65=1,D65&lt;&gt;""),P65*1000+ROW(),0)</f>
        <v/>
      </c>
      <c r="S65">
        <f>IF(AND(AND(C65&lt;&gt;"",ISNUMBER(B65)),L65=""),1,0)</f>
        <v/>
      </c>
    </row>
    <row r="66">
      <c r="A66" s="1" t="n"/>
      <c r="B66" s="17" t="n"/>
      <c r="C66" s="18" t="n"/>
      <c r="D66" s="19" t="n"/>
      <c r="E66" s="19" t="n"/>
      <c r="F66" s="20" t="n"/>
      <c r="G66" s="17" t="n"/>
      <c r="H66" s="21" t="n"/>
      <c r="I66" s="22">
        <f>IF(NOT(AND(C66&lt;&gt;"",ISNUMBER(B66))),"",IF(N(IFERROR(INDEX(Crops!$F$6:$F$65,MATCH(C66,Crops!$B$6:$B$65,0)),0))&gt;0,INT(B66)+N(IFERROR(INDEX(Crops!$F$6:$F$65,MATCH(C66,Crops!$B$6:$B$65,0)),0)),""))</f>
        <v/>
      </c>
      <c r="J66" s="16">
        <f>IF(NOT(AND(C66&lt;&gt;"",ISNUMBER(B66))),"",IF(ISNUMBER(G66),"Done",IF(INT(B66)&gt;TODAY(),"Planned",IF(COUNTIFS(Harvest!$C$6:$C$1505,C66,Harvest!$D$6:$D$1505,D66&amp;"",Harvest!$L$6:$L$1505,"&gt;="&amp;INT(B66))&gt;0,"Picking","Growing"))))</f>
        <v/>
      </c>
      <c r="K66" s="14">
        <f>IF(OR(NOT(AND(C66&lt;&gt;"",ISNUMBER(B66))),J66="Planned"),"",IF(ISNUMBER(G66),INT(G66),TODAY())-INT(B66))</f>
        <v/>
      </c>
      <c r="L66" s="11">
        <f>IF(AND(B66="",C66="",D66=""),"",IF(NOT(ISNUMBER(B66)),"Needs a date",IF(C66="","Needs a crop",IF(COUNTIF(Crops!$B$6:$B$65,C66)=0,"Not on Crops",IF(AND(D66&lt;&gt;"",COUNTIF(Beds!$B$6:$B$35,D66)=0),"Not on Beds",IF(AND(ISNUMBER(G66),G66&lt;B66),"Cleared before it was planted",""))))))</f>
        <v/>
      </c>
      <c r="M66" s="11">
        <f>IF(OR(L66&lt;&gt;"",D66="",O66=""),"",IF(COUNTIFS(Plantings!$D$6:$D$505,D66,Plantings!$O$6:$O$505,O66,Plantings!$N$6:$N$505,N66-1)&gt;0,"Same family here last year",""))</f>
        <v/>
      </c>
      <c r="N66" s="1">
        <f>IF(ISNUMBER(B66),YEAR(B66),"")</f>
        <v/>
      </c>
      <c r="O66">
        <f>IF(C66="","",IFERROR(INDEX(Crops!$C$6:$C$65,MATCH(C66,Crops!$B$6:$B$65,0))&amp;"",""))</f>
        <v/>
      </c>
      <c r="P66">
        <f>IF(ISNUMBER(B66),INT(B66),0)</f>
        <v/>
      </c>
      <c r="Q66">
        <f>IF(AND(L66="",OR(J66="Growing",J66="Picking")),1,0)</f>
        <v/>
      </c>
      <c r="R66">
        <f>IF(AND(Q66=1,D66&lt;&gt;""),P66*1000+ROW(),0)</f>
        <v/>
      </c>
      <c r="S66">
        <f>IF(AND(AND(C66&lt;&gt;"",ISNUMBER(B66)),L66=""),1,0)</f>
        <v/>
      </c>
    </row>
    <row r="67">
      <c r="A67" s="1" t="n"/>
      <c r="B67" s="17" t="n"/>
      <c r="C67" s="18" t="n"/>
      <c r="D67" s="19" t="n"/>
      <c r="E67" s="19" t="n"/>
      <c r="F67" s="20" t="n"/>
      <c r="G67" s="17" t="n"/>
      <c r="H67" s="21" t="n"/>
      <c r="I67" s="22">
        <f>IF(NOT(AND(C67&lt;&gt;"",ISNUMBER(B67))),"",IF(N(IFERROR(INDEX(Crops!$F$6:$F$65,MATCH(C67,Crops!$B$6:$B$65,0)),0))&gt;0,INT(B67)+N(IFERROR(INDEX(Crops!$F$6:$F$65,MATCH(C67,Crops!$B$6:$B$65,0)),0)),""))</f>
        <v/>
      </c>
      <c r="J67" s="16">
        <f>IF(NOT(AND(C67&lt;&gt;"",ISNUMBER(B67))),"",IF(ISNUMBER(G67),"Done",IF(INT(B67)&gt;TODAY(),"Planned",IF(COUNTIFS(Harvest!$C$6:$C$1505,C67,Harvest!$D$6:$D$1505,D67&amp;"",Harvest!$L$6:$L$1505,"&gt;="&amp;INT(B67))&gt;0,"Picking","Growing"))))</f>
        <v/>
      </c>
      <c r="K67" s="14">
        <f>IF(OR(NOT(AND(C67&lt;&gt;"",ISNUMBER(B67))),J67="Planned"),"",IF(ISNUMBER(G67),INT(G67),TODAY())-INT(B67))</f>
        <v/>
      </c>
      <c r="L67" s="11">
        <f>IF(AND(B67="",C67="",D67=""),"",IF(NOT(ISNUMBER(B67)),"Needs a date",IF(C67="","Needs a crop",IF(COUNTIF(Crops!$B$6:$B$65,C67)=0,"Not on Crops",IF(AND(D67&lt;&gt;"",COUNTIF(Beds!$B$6:$B$35,D67)=0),"Not on Beds",IF(AND(ISNUMBER(G67),G67&lt;B67),"Cleared before it was planted",""))))))</f>
        <v/>
      </c>
      <c r="M67" s="11">
        <f>IF(OR(L67&lt;&gt;"",D67="",O67=""),"",IF(COUNTIFS(Plantings!$D$6:$D$505,D67,Plantings!$O$6:$O$505,O67,Plantings!$N$6:$N$505,N67-1)&gt;0,"Same family here last year",""))</f>
        <v/>
      </c>
      <c r="N67" s="1">
        <f>IF(ISNUMBER(B67),YEAR(B67),"")</f>
        <v/>
      </c>
      <c r="O67">
        <f>IF(C67="","",IFERROR(INDEX(Crops!$C$6:$C$65,MATCH(C67,Crops!$B$6:$B$65,0))&amp;"",""))</f>
        <v/>
      </c>
      <c r="P67">
        <f>IF(ISNUMBER(B67),INT(B67),0)</f>
        <v/>
      </c>
      <c r="Q67">
        <f>IF(AND(L67="",OR(J67="Growing",J67="Picking")),1,0)</f>
        <v/>
      </c>
      <c r="R67">
        <f>IF(AND(Q67=1,D67&lt;&gt;""),P67*1000+ROW(),0)</f>
        <v/>
      </c>
      <c r="S67">
        <f>IF(AND(AND(C67&lt;&gt;"",ISNUMBER(B67)),L67=""),1,0)</f>
        <v/>
      </c>
    </row>
    <row r="68">
      <c r="A68" s="1" t="n"/>
      <c r="B68" s="17" t="n"/>
      <c r="C68" s="18" t="n"/>
      <c r="D68" s="19" t="n"/>
      <c r="E68" s="19" t="n"/>
      <c r="F68" s="20" t="n"/>
      <c r="G68" s="17" t="n"/>
      <c r="H68" s="21" t="n"/>
      <c r="I68" s="22">
        <f>IF(NOT(AND(C68&lt;&gt;"",ISNUMBER(B68))),"",IF(N(IFERROR(INDEX(Crops!$F$6:$F$65,MATCH(C68,Crops!$B$6:$B$65,0)),0))&gt;0,INT(B68)+N(IFERROR(INDEX(Crops!$F$6:$F$65,MATCH(C68,Crops!$B$6:$B$65,0)),0)),""))</f>
        <v/>
      </c>
      <c r="J68" s="16">
        <f>IF(NOT(AND(C68&lt;&gt;"",ISNUMBER(B68))),"",IF(ISNUMBER(G68),"Done",IF(INT(B68)&gt;TODAY(),"Planned",IF(COUNTIFS(Harvest!$C$6:$C$1505,C68,Harvest!$D$6:$D$1505,D68&amp;"",Harvest!$L$6:$L$1505,"&gt;="&amp;INT(B68))&gt;0,"Picking","Growing"))))</f>
        <v/>
      </c>
      <c r="K68" s="14">
        <f>IF(OR(NOT(AND(C68&lt;&gt;"",ISNUMBER(B68))),J68="Planned"),"",IF(ISNUMBER(G68),INT(G68),TODAY())-INT(B68))</f>
        <v/>
      </c>
      <c r="L68" s="11">
        <f>IF(AND(B68="",C68="",D68=""),"",IF(NOT(ISNUMBER(B68)),"Needs a date",IF(C68="","Needs a crop",IF(COUNTIF(Crops!$B$6:$B$65,C68)=0,"Not on Crops",IF(AND(D68&lt;&gt;"",COUNTIF(Beds!$B$6:$B$35,D68)=0),"Not on Beds",IF(AND(ISNUMBER(G68),G68&lt;B68),"Cleared before it was planted",""))))))</f>
        <v/>
      </c>
      <c r="M68" s="11">
        <f>IF(OR(L68&lt;&gt;"",D68="",O68=""),"",IF(COUNTIFS(Plantings!$D$6:$D$505,D68,Plantings!$O$6:$O$505,O68,Plantings!$N$6:$N$505,N68-1)&gt;0,"Same family here last year",""))</f>
        <v/>
      </c>
      <c r="N68" s="1">
        <f>IF(ISNUMBER(B68),YEAR(B68),"")</f>
        <v/>
      </c>
      <c r="O68">
        <f>IF(C68="","",IFERROR(INDEX(Crops!$C$6:$C$65,MATCH(C68,Crops!$B$6:$B$65,0))&amp;"",""))</f>
        <v/>
      </c>
      <c r="P68">
        <f>IF(ISNUMBER(B68),INT(B68),0)</f>
        <v/>
      </c>
      <c r="Q68">
        <f>IF(AND(L68="",OR(J68="Growing",J68="Picking")),1,0)</f>
        <v/>
      </c>
      <c r="R68">
        <f>IF(AND(Q68=1,D68&lt;&gt;""),P68*1000+ROW(),0)</f>
        <v/>
      </c>
      <c r="S68">
        <f>IF(AND(AND(C68&lt;&gt;"",ISNUMBER(B68)),L68=""),1,0)</f>
        <v/>
      </c>
    </row>
    <row r="69">
      <c r="A69" s="1" t="n"/>
      <c r="B69" s="17" t="n"/>
      <c r="C69" s="18" t="n"/>
      <c r="D69" s="19" t="n"/>
      <c r="E69" s="19" t="n"/>
      <c r="F69" s="20" t="n"/>
      <c r="G69" s="17" t="n"/>
      <c r="H69" s="21" t="n"/>
      <c r="I69" s="22">
        <f>IF(NOT(AND(C69&lt;&gt;"",ISNUMBER(B69))),"",IF(N(IFERROR(INDEX(Crops!$F$6:$F$65,MATCH(C69,Crops!$B$6:$B$65,0)),0))&gt;0,INT(B69)+N(IFERROR(INDEX(Crops!$F$6:$F$65,MATCH(C69,Crops!$B$6:$B$65,0)),0)),""))</f>
        <v/>
      </c>
      <c r="J69" s="16">
        <f>IF(NOT(AND(C69&lt;&gt;"",ISNUMBER(B69))),"",IF(ISNUMBER(G69),"Done",IF(INT(B69)&gt;TODAY(),"Planned",IF(COUNTIFS(Harvest!$C$6:$C$1505,C69,Harvest!$D$6:$D$1505,D69&amp;"",Harvest!$L$6:$L$1505,"&gt;="&amp;INT(B69))&gt;0,"Picking","Growing"))))</f>
        <v/>
      </c>
      <c r="K69" s="14">
        <f>IF(OR(NOT(AND(C69&lt;&gt;"",ISNUMBER(B69))),J69="Planned"),"",IF(ISNUMBER(G69),INT(G69),TODAY())-INT(B69))</f>
        <v/>
      </c>
      <c r="L69" s="11">
        <f>IF(AND(B69="",C69="",D69=""),"",IF(NOT(ISNUMBER(B69)),"Needs a date",IF(C69="","Needs a crop",IF(COUNTIF(Crops!$B$6:$B$65,C69)=0,"Not on Crops",IF(AND(D69&lt;&gt;"",COUNTIF(Beds!$B$6:$B$35,D69)=0),"Not on Beds",IF(AND(ISNUMBER(G69),G69&lt;B69),"Cleared before it was planted",""))))))</f>
        <v/>
      </c>
      <c r="M69" s="11">
        <f>IF(OR(L69&lt;&gt;"",D69="",O69=""),"",IF(COUNTIFS(Plantings!$D$6:$D$505,D69,Plantings!$O$6:$O$505,O69,Plantings!$N$6:$N$505,N69-1)&gt;0,"Same family here last year",""))</f>
        <v/>
      </c>
      <c r="N69" s="1">
        <f>IF(ISNUMBER(B69),YEAR(B69),"")</f>
        <v/>
      </c>
      <c r="O69">
        <f>IF(C69="","",IFERROR(INDEX(Crops!$C$6:$C$65,MATCH(C69,Crops!$B$6:$B$65,0))&amp;"",""))</f>
        <v/>
      </c>
      <c r="P69">
        <f>IF(ISNUMBER(B69),INT(B69),0)</f>
        <v/>
      </c>
      <c r="Q69">
        <f>IF(AND(L69="",OR(J69="Growing",J69="Picking")),1,0)</f>
        <v/>
      </c>
      <c r="R69">
        <f>IF(AND(Q69=1,D69&lt;&gt;""),P69*1000+ROW(),0)</f>
        <v/>
      </c>
      <c r="S69">
        <f>IF(AND(AND(C69&lt;&gt;"",ISNUMBER(B69)),L69=""),1,0)</f>
        <v/>
      </c>
    </row>
    <row r="70">
      <c r="A70" s="1" t="n"/>
      <c r="B70" s="17" t="n"/>
      <c r="C70" s="18" t="n"/>
      <c r="D70" s="19" t="n"/>
      <c r="E70" s="19" t="n"/>
      <c r="F70" s="20" t="n"/>
      <c r="G70" s="17" t="n"/>
      <c r="H70" s="21" t="n"/>
      <c r="I70" s="22">
        <f>IF(NOT(AND(C70&lt;&gt;"",ISNUMBER(B70))),"",IF(N(IFERROR(INDEX(Crops!$F$6:$F$65,MATCH(C70,Crops!$B$6:$B$65,0)),0))&gt;0,INT(B70)+N(IFERROR(INDEX(Crops!$F$6:$F$65,MATCH(C70,Crops!$B$6:$B$65,0)),0)),""))</f>
        <v/>
      </c>
      <c r="J70" s="16">
        <f>IF(NOT(AND(C70&lt;&gt;"",ISNUMBER(B70))),"",IF(ISNUMBER(G70),"Done",IF(INT(B70)&gt;TODAY(),"Planned",IF(COUNTIFS(Harvest!$C$6:$C$1505,C70,Harvest!$D$6:$D$1505,D70&amp;"",Harvest!$L$6:$L$1505,"&gt;="&amp;INT(B70))&gt;0,"Picking","Growing"))))</f>
        <v/>
      </c>
      <c r="K70" s="14">
        <f>IF(OR(NOT(AND(C70&lt;&gt;"",ISNUMBER(B70))),J70="Planned"),"",IF(ISNUMBER(G70),INT(G70),TODAY())-INT(B70))</f>
        <v/>
      </c>
      <c r="L70" s="11">
        <f>IF(AND(B70="",C70="",D70=""),"",IF(NOT(ISNUMBER(B70)),"Needs a date",IF(C70="","Needs a crop",IF(COUNTIF(Crops!$B$6:$B$65,C70)=0,"Not on Crops",IF(AND(D70&lt;&gt;"",COUNTIF(Beds!$B$6:$B$35,D70)=0),"Not on Beds",IF(AND(ISNUMBER(G70),G70&lt;B70),"Cleared before it was planted",""))))))</f>
        <v/>
      </c>
      <c r="M70" s="11">
        <f>IF(OR(L70&lt;&gt;"",D70="",O70=""),"",IF(COUNTIFS(Plantings!$D$6:$D$505,D70,Plantings!$O$6:$O$505,O70,Plantings!$N$6:$N$505,N70-1)&gt;0,"Same family here last year",""))</f>
        <v/>
      </c>
      <c r="N70" s="1">
        <f>IF(ISNUMBER(B70),YEAR(B70),"")</f>
        <v/>
      </c>
      <c r="O70">
        <f>IF(C70="","",IFERROR(INDEX(Crops!$C$6:$C$65,MATCH(C70,Crops!$B$6:$B$65,0))&amp;"",""))</f>
        <v/>
      </c>
      <c r="P70">
        <f>IF(ISNUMBER(B70),INT(B70),0)</f>
        <v/>
      </c>
      <c r="Q70">
        <f>IF(AND(L70="",OR(J70="Growing",J70="Picking")),1,0)</f>
        <v/>
      </c>
      <c r="R70">
        <f>IF(AND(Q70=1,D70&lt;&gt;""),P70*1000+ROW(),0)</f>
        <v/>
      </c>
      <c r="S70">
        <f>IF(AND(AND(C70&lt;&gt;"",ISNUMBER(B70)),L70=""),1,0)</f>
        <v/>
      </c>
    </row>
    <row r="71">
      <c r="A71" s="1" t="n"/>
      <c r="B71" s="17" t="n"/>
      <c r="C71" s="18" t="n"/>
      <c r="D71" s="19" t="n"/>
      <c r="E71" s="19" t="n"/>
      <c r="F71" s="20" t="n"/>
      <c r="G71" s="17" t="n"/>
      <c r="H71" s="21" t="n"/>
      <c r="I71" s="22">
        <f>IF(NOT(AND(C71&lt;&gt;"",ISNUMBER(B71))),"",IF(N(IFERROR(INDEX(Crops!$F$6:$F$65,MATCH(C71,Crops!$B$6:$B$65,0)),0))&gt;0,INT(B71)+N(IFERROR(INDEX(Crops!$F$6:$F$65,MATCH(C71,Crops!$B$6:$B$65,0)),0)),""))</f>
        <v/>
      </c>
      <c r="J71" s="16">
        <f>IF(NOT(AND(C71&lt;&gt;"",ISNUMBER(B71))),"",IF(ISNUMBER(G71),"Done",IF(INT(B71)&gt;TODAY(),"Planned",IF(COUNTIFS(Harvest!$C$6:$C$1505,C71,Harvest!$D$6:$D$1505,D71&amp;"",Harvest!$L$6:$L$1505,"&gt;="&amp;INT(B71))&gt;0,"Picking","Growing"))))</f>
        <v/>
      </c>
      <c r="K71" s="14">
        <f>IF(OR(NOT(AND(C71&lt;&gt;"",ISNUMBER(B71))),J71="Planned"),"",IF(ISNUMBER(G71),INT(G71),TODAY())-INT(B71))</f>
        <v/>
      </c>
      <c r="L71" s="11">
        <f>IF(AND(B71="",C71="",D71=""),"",IF(NOT(ISNUMBER(B71)),"Needs a date",IF(C71="","Needs a crop",IF(COUNTIF(Crops!$B$6:$B$65,C71)=0,"Not on Crops",IF(AND(D71&lt;&gt;"",COUNTIF(Beds!$B$6:$B$35,D71)=0),"Not on Beds",IF(AND(ISNUMBER(G71),G71&lt;B71),"Cleared before it was planted",""))))))</f>
        <v/>
      </c>
      <c r="M71" s="11">
        <f>IF(OR(L71&lt;&gt;"",D71="",O71=""),"",IF(COUNTIFS(Plantings!$D$6:$D$505,D71,Plantings!$O$6:$O$505,O71,Plantings!$N$6:$N$505,N71-1)&gt;0,"Same family here last year",""))</f>
        <v/>
      </c>
      <c r="N71" s="1">
        <f>IF(ISNUMBER(B71),YEAR(B71),"")</f>
        <v/>
      </c>
      <c r="O71">
        <f>IF(C71="","",IFERROR(INDEX(Crops!$C$6:$C$65,MATCH(C71,Crops!$B$6:$B$65,0))&amp;"",""))</f>
        <v/>
      </c>
      <c r="P71">
        <f>IF(ISNUMBER(B71),INT(B71),0)</f>
        <v/>
      </c>
      <c r="Q71">
        <f>IF(AND(L71="",OR(J71="Growing",J71="Picking")),1,0)</f>
        <v/>
      </c>
      <c r="R71">
        <f>IF(AND(Q71=1,D71&lt;&gt;""),P71*1000+ROW(),0)</f>
        <v/>
      </c>
      <c r="S71">
        <f>IF(AND(AND(C71&lt;&gt;"",ISNUMBER(B71)),L71=""),1,0)</f>
        <v/>
      </c>
    </row>
    <row r="72">
      <c r="A72" s="1" t="n"/>
      <c r="B72" s="17" t="n"/>
      <c r="C72" s="18" t="n"/>
      <c r="D72" s="19" t="n"/>
      <c r="E72" s="19" t="n"/>
      <c r="F72" s="20" t="n"/>
      <c r="G72" s="17" t="n"/>
      <c r="H72" s="21" t="n"/>
      <c r="I72" s="22">
        <f>IF(NOT(AND(C72&lt;&gt;"",ISNUMBER(B72))),"",IF(N(IFERROR(INDEX(Crops!$F$6:$F$65,MATCH(C72,Crops!$B$6:$B$65,0)),0))&gt;0,INT(B72)+N(IFERROR(INDEX(Crops!$F$6:$F$65,MATCH(C72,Crops!$B$6:$B$65,0)),0)),""))</f>
        <v/>
      </c>
      <c r="J72" s="16">
        <f>IF(NOT(AND(C72&lt;&gt;"",ISNUMBER(B72))),"",IF(ISNUMBER(G72),"Done",IF(INT(B72)&gt;TODAY(),"Planned",IF(COUNTIFS(Harvest!$C$6:$C$1505,C72,Harvest!$D$6:$D$1505,D72&amp;"",Harvest!$L$6:$L$1505,"&gt;="&amp;INT(B72))&gt;0,"Picking","Growing"))))</f>
        <v/>
      </c>
      <c r="K72" s="14">
        <f>IF(OR(NOT(AND(C72&lt;&gt;"",ISNUMBER(B72))),J72="Planned"),"",IF(ISNUMBER(G72),INT(G72),TODAY())-INT(B72))</f>
        <v/>
      </c>
      <c r="L72" s="11">
        <f>IF(AND(B72="",C72="",D72=""),"",IF(NOT(ISNUMBER(B72)),"Needs a date",IF(C72="","Needs a crop",IF(COUNTIF(Crops!$B$6:$B$65,C72)=0,"Not on Crops",IF(AND(D72&lt;&gt;"",COUNTIF(Beds!$B$6:$B$35,D72)=0),"Not on Beds",IF(AND(ISNUMBER(G72),G72&lt;B72),"Cleared before it was planted",""))))))</f>
        <v/>
      </c>
      <c r="M72" s="11">
        <f>IF(OR(L72&lt;&gt;"",D72="",O72=""),"",IF(COUNTIFS(Plantings!$D$6:$D$505,D72,Plantings!$O$6:$O$505,O72,Plantings!$N$6:$N$505,N72-1)&gt;0,"Same family here last year",""))</f>
        <v/>
      </c>
      <c r="N72" s="1">
        <f>IF(ISNUMBER(B72),YEAR(B72),"")</f>
        <v/>
      </c>
      <c r="O72">
        <f>IF(C72="","",IFERROR(INDEX(Crops!$C$6:$C$65,MATCH(C72,Crops!$B$6:$B$65,0))&amp;"",""))</f>
        <v/>
      </c>
      <c r="P72">
        <f>IF(ISNUMBER(B72),INT(B72),0)</f>
        <v/>
      </c>
      <c r="Q72">
        <f>IF(AND(L72="",OR(J72="Growing",J72="Picking")),1,0)</f>
        <v/>
      </c>
      <c r="R72">
        <f>IF(AND(Q72=1,D72&lt;&gt;""),P72*1000+ROW(),0)</f>
        <v/>
      </c>
      <c r="S72">
        <f>IF(AND(AND(C72&lt;&gt;"",ISNUMBER(B72)),L72=""),1,0)</f>
        <v/>
      </c>
    </row>
    <row r="73">
      <c r="A73" s="1" t="n"/>
      <c r="B73" s="17" t="n"/>
      <c r="C73" s="18" t="n"/>
      <c r="D73" s="19" t="n"/>
      <c r="E73" s="19" t="n"/>
      <c r="F73" s="20" t="n"/>
      <c r="G73" s="17" t="n"/>
      <c r="H73" s="21" t="n"/>
      <c r="I73" s="22">
        <f>IF(NOT(AND(C73&lt;&gt;"",ISNUMBER(B73))),"",IF(N(IFERROR(INDEX(Crops!$F$6:$F$65,MATCH(C73,Crops!$B$6:$B$65,0)),0))&gt;0,INT(B73)+N(IFERROR(INDEX(Crops!$F$6:$F$65,MATCH(C73,Crops!$B$6:$B$65,0)),0)),""))</f>
        <v/>
      </c>
      <c r="J73" s="16">
        <f>IF(NOT(AND(C73&lt;&gt;"",ISNUMBER(B73))),"",IF(ISNUMBER(G73),"Done",IF(INT(B73)&gt;TODAY(),"Planned",IF(COUNTIFS(Harvest!$C$6:$C$1505,C73,Harvest!$D$6:$D$1505,D73&amp;"",Harvest!$L$6:$L$1505,"&gt;="&amp;INT(B73))&gt;0,"Picking","Growing"))))</f>
        <v/>
      </c>
      <c r="K73" s="14">
        <f>IF(OR(NOT(AND(C73&lt;&gt;"",ISNUMBER(B73))),J73="Planned"),"",IF(ISNUMBER(G73),INT(G73),TODAY())-INT(B73))</f>
        <v/>
      </c>
      <c r="L73" s="11">
        <f>IF(AND(B73="",C73="",D73=""),"",IF(NOT(ISNUMBER(B73)),"Needs a date",IF(C73="","Needs a crop",IF(COUNTIF(Crops!$B$6:$B$65,C73)=0,"Not on Crops",IF(AND(D73&lt;&gt;"",COUNTIF(Beds!$B$6:$B$35,D73)=0),"Not on Beds",IF(AND(ISNUMBER(G73),G73&lt;B73),"Cleared before it was planted",""))))))</f>
        <v/>
      </c>
      <c r="M73" s="11">
        <f>IF(OR(L73&lt;&gt;"",D73="",O73=""),"",IF(COUNTIFS(Plantings!$D$6:$D$505,D73,Plantings!$O$6:$O$505,O73,Plantings!$N$6:$N$505,N73-1)&gt;0,"Same family here last year",""))</f>
        <v/>
      </c>
      <c r="N73" s="1">
        <f>IF(ISNUMBER(B73),YEAR(B73),"")</f>
        <v/>
      </c>
      <c r="O73">
        <f>IF(C73="","",IFERROR(INDEX(Crops!$C$6:$C$65,MATCH(C73,Crops!$B$6:$B$65,0))&amp;"",""))</f>
        <v/>
      </c>
      <c r="P73">
        <f>IF(ISNUMBER(B73),INT(B73),0)</f>
        <v/>
      </c>
      <c r="Q73">
        <f>IF(AND(L73="",OR(J73="Growing",J73="Picking")),1,0)</f>
        <v/>
      </c>
      <c r="R73">
        <f>IF(AND(Q73=1,D73&lt;&gt;""),P73*1000+ROW(),0)</f>
        <v/>
      </c>
      <c r="S73">
        <f>IF(AND(AND(C73&lt;&gt;"",ISNUMBER(B73)),L73=""),1,0)</f>
        <v/>
      </c>
    </row>
    <row r="74">
      <c r="A74" s="1" t="n"/>
      <c r="B74" s="17" t="n"/>
      <c r="C74" s="18" t="n"/>
      <c r="D74" s="19" t="n"/>
      <c r="E74" s="19" t="n"/>
      <c r="F74" s="20" t="n"/>
      <c r="G74" s="17" t="n"/>
      <c r="H74" s="21" t="n"/>
      <c r="I74" s="22">
        <f>IF(NOT(AND(C74&lt;&gt;"",ISNUMBER(B74))),"",IF(N(IFERROR(INDEX(Crops!$F$6:$F$65,MATCH(C74,Crops!$B$6:$B$65,0)),0))&gt;0,INT(B74)+N(IFERROR(INDEX(Crops!$F$6:$F$65,MATCH(C74,Crops!$B$6:$B$65,0)),0)),""))</f>
        <v/>
      </c>
      <c r="J74" s="16">
        <f>IF(NOT(AND(C74&lt;&gt;"",ISNUMBER(B74))),"",IF(ISNUMBER(G74),"Done",IF(INT(B74)&gt;TODAY(),"Planned",IF(COUNTIFS(Harvest!$C$6:$C$1505,C74,Harvest!$D$6:$D$1505,D74&amp;"",Harvest!$L$6:$L$1505,"&gt;="&amp;INT(B74))&gt;0,"Picking","Growing"))))</f>
        <v/>
      </c>
      <c r="K74" s="14">
        <f>IF(OR(NOT(AND(C74&lt;&gt;"",ISNUMBER(B74))),J74="Planned"),"",IF(ISNUMBER(G74),INT(G74),TODAY())-INT(B74))</f>
        <v/>
      </c>
      <c r="L74" s="11">
        <f>IF(AND(B74="",C74="",D74=""),"",IF(NOT(ISNUMBER(B74)),"Needs a date",IF(C74="","Needs a crop",IF(COUNTIF(Crops!$B$6:$B$65,C74)=0,"Not on Crops",IF(AND(D74&lt;&gt;"",COUNTIF(Beds!$B$6:$B$35,D74)=0),"Not on Beds",IF(AND(ISNUMBER(G74),G74&lt;B74),"Cleared before it was planted",""))))))</f>
        <v/>
      </c>
      <c r="M74" s="11">
        <f>IF(OR(L74&lt;&gt;"",D74="",O74=""),"",IF(COUNTIFS(Plantings!$D$6:$D$505,D74,Plantings!$O$6:$O$505,O74,Plantings!$N$6:$N$505,N74-1)&gt;0,"Same family here last year",""))</f>
        <v/>
      </c>
      <c r="N74" s="1">
        <f>IF(ISNUMBER(B74),YEAR(B74),"")</f>
        <v/>
      </c>
      <c r="O74">
        <f>IF(C74="","",IFERROR(INDEX(Crops!$C$6:$C$65,MATCH(C74,Crops!$B$6:$B$65,0))&amp;"",""))</f>
        <v/>
      </c>
      <c r="P74">
        <f>IF(ISNUMBER(B74),INT(B74),0)</f>
        <v/>
      </c>
      <c r="Q74">
        <f>IF(AND(L74="",OR(J74="Growing",J74="Picking")),1,0)</f>
        <v/>
      </c>
      <c r="R74">
        <f>IF(AND(Q74=1,D74&lt;&gt;""),P74*1000+ROW(),0)</f>
        <v/>
      </c>
      <c r="S74">
        <f>IF(AND(AND(C74&lt;&gt;"",ISNUMBER(B74)),L74=""),1,0)</f>
        <v/>
      </c>
    </row>
    <row r="75">
      <c r="A75" s="1" t="n"/>
      <c r="B75" s="17" t="n"/>
      <c r="C75" s="18" t="n"/>
      <c r="D75" s="19" t="n"/>
      <c r="E75" s="19" t="n"/>
      <c r="F75" s="20" t="n"/>
      <c r="G75" s="17" t="n"/>
      <c r="H75" s="21" t="n"/>
      <c r="I75" s="22">
        <f>IF(NOT(AND(C75&lt;&gt;"",ISNUMBER(B75))),"",IF(N(IFERROR(INDEX(Crops!$F$6:$F$65,MATCH(C75,Crops!$B$6:$B$65,0)),0))&gt;0,INT(B75)+N(IFERROR(INDEX(Crops!$F$6:$F$65,MATCH(C75,Crops!$B$6:$B$65,0)),0)),""))</f>
        <v/>
      </c>
      <c r="J75" s="16">
        <f>IF(NOT(AND(C75&lt;&gt;"",ISNUMBER(B75))),"",IF(ISNUMBER(G75),"Done",IF(INT(B75)&gt;TODAY(),"Planned",IF(COUNTIFS(Harvest!$C$6:$C$1505,C75,Harvest!$D$6:$D$1505,D75&amp;"",Harvest!$L$6:$L$1505,"&gt;="&amp;INT(B75))&gt;0,"Picking","Growing"))))</f>
        <v/>
      </c>
      <c r="K75" s="14">
        <f>IF(OR(NOT(AND(C75&lt;&gt;"",ISNUMBER(B75))),J75="Planned"),"",IF(ISNUMBER(G75),INT(G75),TODAY())-INT(B75))</f>
        <v/>
      </c>
      <c r="L75" s="11">
        <f>IF(AND(B75="",C75="",D75=""),"",IF(NOT(ISNUMBER(B75)),"Needs a date",IF(C75="","Needs a crop",IF(COUNTIF(Crops!$B$6:$B$65,C75)=0,"Not on Crops",IF(AND(D75&lt;&gt;"",COUNTIF(Beds!$B$6:$B$35,D75)=0),"Not on Beds",IF(AND(ISNUMBER(G75),G75&lt;B75),"Cleared before it was planted",""))))))</f>
        <v/>
      </c>
      <c r="M75" s="11">
        <f>IF(OR(L75&lt;&gt;"",D75="",O75=""),"",IF(COUNTIFS(Plantings!$D$6:$D$505,D75,Plantings!$O$6:$O$505,O75,Plantings!$N$6:$N$505,N75-1)&gt;0,"Same family here last year",""))</f>
        <v/>
      </c>
      <c r="N75" s="1">
        <f>IF(ISNUMBER(B75),YEAR(B75),"")</f>
        <v/>
      </c>
      <c r="O75">
        <f>IF(C75="","",IFERROR(INDEX(Crops!$C$6:$C$65,MATCH(C75,Crops!$B$6:$B$65,0))&amp;"",""))</f>
        <v/>
      </c>
      <c r="P75">
        <f>IF(ISNUMBER(B75),INT(B75),0)</f>
        <v/>
      </c>
      <c r="Q75">
        <f>IF(AND(L75="",OR(J75="Growing",J75="Picking")),1,0)</f>
        <v/>
      </c>
      <c r="R75">
        <f>IF(AND(Q75=1,D75&lt;&gt;""),P75*1000+ROW(),0)</f>
        <v/>
      </c>
      <c r="S75">
        <f>IF(AND(AND(C75&lt;&gt;"",ISNUMBER(B75)),L75=""),1,0)</f>
        <v/>
      </c>
    </row>
    <row r="76">
      <c r="A76" s="1" t="n"/>
      <c r="B76" s="17" t="n"/>
      <c r="C76" s="18" t="n"/>
      <c r="D76" s="19" t="n"/>
      <c r="E76" s="19" t="n"/>
      <c r="F76" s="20" t="n"/>
      <c r="G76" s="17" t="n"/>
      <c r="H76" s="21" t="n"/>
      <c r="I76" s="22">
        <f>IF(NOT(AND(C76&lt;&gt;"",ISNUMBER(B76))),"",IF(N(IFERROR(INDEX(Crops!$F$6:$F$65,MATCH(C76,Crops!$B$6:$B$65,0)),0))&gt;0,INT(B76)+N(IFERROR(INDEX(Crops!$F$6:$F$65,MATCH(C76,Crops!$B$6:$B$65,0)),0)),""))</f>
        <v/>
      </c>
      <c r="J76" s="16">
        <f>IF(NOT(AND(C76&lt;&gt;"",ISNUMBER(B76))),"",IF(ISNUMBER(G76),"Done",IF(INT(B76)&gt;TODAY(),"Planned",IF(COUNTIFS(Harvest!$C$6:$C$1505,C76,Harvest!$D$6:$D$1505,D76&amp;"",Harvest!$L$6:$L$1505,"&gt;="&amp;INT(B76))&gt;0,"Picking","Growing"))))</f>
        <v/>
      </c>
      <c r="K76" s="14">
        <f>IF(OR(NOT(AND(C76&lt;&gt;"",ISNUMBER(B76))),J76="Planned"),"",IF(ISNUMBER(G76),INT(G76),TODAY())-INT(B76))</f>
        <v/>
      </c>
      <c r="L76" s="11">
        <f>IF(AND(B76="",C76="",D76=""),"",IF(NOT(ISNUMBER(B76)),"Needs a date",IF(C76="","Needs a crop",IF(COUNTIF(Crops!$B$6:$B$65,C76)=0,"Not on Crops",IF(AND(D76&lt;&gt;"",COUNTIF(Beds!$B$6:$B$35,D76)=0),"Not on Beds",IF(AND(ISNUMBER(G76),G76&lt;B76),"Cleared before it was planted",""))))))</f>
        <v/>
      </c>
      <c r="M76" s="11">
        <f>IF(OR(L76&lt;&gt;"",D76="",O76=""),"",IF(COUNTIFS(Plantings!$D$6:$D$505,D76,Plantings!$O$6:$O$505,O76,Plantings!$N$6:$N$505,N76-1)&gt;0,"Same family here last year",""))</f>
        <v/>
      </c>
      <c r="N76" s="1">
        <f>IF(ISNUMBER(B76),YEAR(B76),"")</f>
        <v/>
      </c>
      <c r="O76">
        <f>IF(C76="","",IFERROR(INDEX(Crops!$C$6:$C$65,MATCH(C76,Crops!$B$6:$B$65,0))&amp;"",""))</f>
        <v/>
      </c>
      <c r="P76">
        <f>IF(ISNUMBER(B76),INT(B76),0)</f>
        <v/>
      </c>
      <c r="Q76">
        <f>IF(AND(L76="",OR(J76="Growing",J76="Picking")),1,0)</f>
        <v/>
      </c>
      <c r="R76">
        <f>IF(AND(Q76=1,D76&lt;&gt;""),P76*1000+ROW(),0)</f>
        <v/>
      </c>
      <c r="S76">
        <f>IF(AND(AND(C76&lt;&gt;"",ISNUMBER(B76)),L76=""),1,0)</f>
        <v/>
      </c>
    </row>
    <row r="77">
      <c r="A77" s="1" t="n"/>
      <c r="B77" s="17" t="n"/>
      <c r="C77" s="18" t="n"/>
      <c r="D77" s="19" t="n"/>
      <c r="E77" s="19" t="n"/>
      <c r="F77" s="20" t="n"/>
      <c r="G77" s="17" t="n"/>
      <c r="H77" s="21" t="n"/>
      <c r="I77" s="22">
        <f>IF(NOT(AND(C77&lt;&gt;"",ISNUMBER(B77))),"",IF(N(IFERROR(INDEX(Crops!$F$6:$F$65,MATCH(C77,Crops!$B$6:$B$65,0)),0))&gt;0,INT(B77)+N(IFERROR(INDEX(Crops!$F$6:$F$65,MATCH(C77,Crops!$B$6:$B$65,0)),0)),""))</f>
        <v/>
      </c>
      <c r="J77" s="16">
        <f>IF(NOT(AND(C77&lt;&gt;"",ISNUMBER(B77))),"",IF(ISNUMBER(G77),"Done",IF(INT(B77)&gt;TODAY(),"Planned",IF(COUNTIFS(Harvest!$C$6:$C$1505,C77,Harvest!$D$6:$D$1505,D77&amp;"",Harvest!$L$6:$L$1505,"&gt;="&amp;INT(B77))&gt;0,"Picking","Growing"))))</f>
        <v/>
      </c>
      <c r="K77" s="14">
        <f>IF(OR(NOT(AND(C77&lt;&gt;"",ISNUMBER(B77))),J77="Planned"),"",IF(ISNUMBER(G77),INT(G77),TODAY())-INT(B77))</f>
        <v/>
      </c>
      <c r="L77" s="11">
        <f>IF(AND(B77="",C77="",D77=""),"",IF(NOT(ISNUMBER(B77)),"Needs a date",IF(C77="","Needs a crop",IF(COUNTIF(Crops!$B$6:$B$65,C77)=0,"Not on Crops",IF(AND(D77&lt;&gt;"",COUNTIF(Beds!$B$6:$B$35,D77)=0),"Not on Beds",IF(AND(ISNUMBER(G77),G77&lt;B77),"Cleared before it was planted",""))))))</f>
        <v/>
      </c>
      <c r="M77" s="11">
        <f>IF(OR(L77&lt;&gt;"",D77="",O77=""),"",IF(COUNTIFS(Plantings!$D$6:$D$505,D77,Plantings!$O$6:$O$505,O77,Plantings!$N$6:$N$505,N77-1)&gt;0,"Same family here last year",""))</f>
        <v/>
      </c>
      <c r="N77" s="1">
        <f>IF(ISNUMBER(B77),YEAR(B77),"")</f>
        <v/>
      </c>
      <c r="O77">
        <f>IF(C77="","",IFERROR(INDEX(Crops!$C$6:$C$65,MATCH(C77,Crops!$B$6:$B$65,0))&amp;"",""))</f>
        <v/>
      </c>
      <c r="P77">
        <f>IF(ISNUMBER(B77),INT(B77),0)</f>
        <v/>
      </c>
      <c r="Q77">
        <f>IF(AND(L77="",OR(J77="Growing",J77="Picking")),1,0)</f>
        <v/>
      </c>
      <c r="R77">
        <f>IF(AND(Q77=1,D77&lt;&gt;""),P77*1000+ROW(),0)</f>
        <v/>
      </c>
      <c r="S77">
        <f>IF(AND(AND(C77&lt;&gt;"",ISNUMBER(B77)),L77=""),1,0)</f>
        <v/>
      </c>
    </row>
    <row r="78">
      <c r="A78" s="1" t="n"/>
      <c r="B78" s="17" t="n"/>
      <c r="C78" s="18" t="n"/>
      <c r="D78" s="19" t="n"/>
      <c r="E78" s="19" t="n"/>
      <c r="F78" s="20" t="n"/>
      <c r="G78" s="17" t="n"/>
      <c r="H78" s="21" t="n"/>
      <c r="I78" s="22">
        <f>IF(NOT(AND(C78&lt;&gt;"",ISNUMBER(B78))),"",IF(N(IFERROR(INDEX(Crops!$F$6:$F$65,MATCH(C78,Crops!$B$6:$B$65,0)),0))&gt;0,INT(B78)+N(IFERROR(INDEX(Crops!$F$6:$F$65,MATCH(C78,Crops!$B$6:$B$65,0)),0)),""))</f>
        <v/>
      </c>
      <c r="J78" s="16">
        <f>IF(NOT(AND(C78&lt;&gt;"",ISNUMBER(B78))),"",IF(ISNUMBER(G78),"Done",IF(INT(B78)&gt;TODAY(),"Planned",IF(COUNTIFS(Harvest!$C$6:$C$1505,C78,Harvest!$D$6:$D$1505,D78&amp;"",Harvest!$L$6:$L$1505,"&gt;="&amp;INT(B78))&gt;0,"Picking","Growing"))))</f>
        <v/>
      </c>
      <c r="K78" s="14">
        <f>IF(OR(NOT(AND(C78&lt;&gt;"",ISNUMBER(B78))),J78="Planned"),"",IF(ISNUMBER(G78),INT(G78),TODAY())-INT(B78))</f>
        <v/>
      </c>
      <c r="L78" s="11">
        <f>IF(AND(B78="",C78="",D78=""),"",IF(NOT(ISNUMBER(B78)),"Needs a date",IF(C78="","Needs a crop",IF(COUNTIF(Crops!$B$6:$B$65,C78)=0,"Not on Crops",IF(AND(D78&lt;&gt;"",COUNTIF(Beds!$B$6:$B$35,D78)=0),"Not on Beds",IF(AND(ISNUMBER(G78),G78&lt;B78),"Cleared before it was planted",""))))))</f>
        <v/>
      </c>
      <c r="M78" s="11">
        <f>IF(OR(L78&lt;&gt;"",D78="",O78=""),"",IF(COUNTIFS(Plantings!$D$6:$D$505,D78,Plantings!$O$6:$O$505,O78,Plantings!$N$6:$N$505,N78-1)&gt;0,"Same family here last year",""))</f>
        <v/>
      </c>
      <c r="N78" s="1">
        <f>IF(ISNUMBER(B78),YEAR(B78),"")</f>
        <v/>
      </c>
      <c r="O78">
        <f>IF(C78="","",IFERROR(INDEX(Crops!$C$6:$C$65,MATCH(C78,Crops!$B$6:$B$65,0))&amp;"",""))</f>
        <v/>
      </c>
      <c r="P78">
        <f>IF(ISNUMBER(B78),INT(B78),0)</f>
        <v/>
      </c>
      <c r="Q78">
        <f>IF(AND(L78="",OR(J78="Growing",J78="Picking")),1,0)</f>
        <v/>
      </c>
      <c r="R78">
        <f>IF(AND(Q78=1,D78&lt;&gt;""),P78*1000+ROW(),0)</f>
        <v/>
      </c>
      <c r="S78">
        <f>IF(AND(AND(C78&lt;&gt;"",ISNUMBER(B78)),L78=""),1,0)</f>
        <v/>
      </c>
    </row>
    <row r="79">
      <c r="A79" s="1" t="n"/>
      <c r="B79" s="17" t="n"/>
      <c r="C79" s="18" t="n"/>
      <c r="D79" s="19" t="n"/>
      <c r="E79" s="19" t="n"/>
      <c r="F79" s="20" t="n"/>
      <c r="G79" s="17" t="n"/>
      <c r="H79" s="21" t="n"/>
      <c r="I79" s="22">
        <f>IF(NOT(AND(C79&lt;&gt;"",ISNUMBER(B79))),"",IF(N(IFERROR(INDEX(Crops!$F$6:$F$65,MATCH(C79,Crops!$B$6:$B$65,0)),0))&gt;0,INT(B79)+N(IFERROR(INDEX(Crops!$F$6:$F$65,MATCH(C79,Crops!$B$6:$B$65,0)),0)),""))</f>
        <v/>
      </c>
      <c r="J79" s="16">
        <f>IF(NOT(AND(C79&lt;&gt;"",ISNUMBER(B79))),"",IF(ISNUMBER(G79),"Done",IF(INT(B79)&gt;TODAY(),"Planned",IF(COUNTIFS(Harvest!$C$6:$C$1505,C79,Harvest!$D$6:$D$1505,D79&amp;"",Harvest!$L$6:$L$1505,"&gt;="&amp;INT(B79))&gt;0,"Picking","Growing"))))</f>
        <v/>
      </c>
      <c r="K79" s="14">
        <f>IF(OR(NOT(AND(C79&lt;&gt;"",ISNUMBER(B79))),J79="Planned"),"",IF(ISNUMBER(G79),INT(G79),TODAY())-INT(B79))</f>
        <v/>
      </c>
      <c r="L79" s="11">
        <f>IF(AND(B79="",C79="",D79=""),"",IF(NOT(ISNUMBER(B79)),"Needs a date",IF(C79="","Needs a crop",IF(COUNTIF(Crops!$B$6:$B$65,C79)=0,"Not on Crops",IF(AND(D79&lt;&gt;"",COUNTIF(Beds!$B$6:$B$35,D79)=0),"Not on Beds",IF(AND(ISNUMBER(G79),G79&lt;B79),"Cleared before it was planted",""))))))</f>
        <v/>
      </c>
      <c r="M79" s="11">
        <f>IF(OR(L79&lt;&gt;"",D79="",O79=""),"",IF(COUNTIFS(Plantings!$D$6:$D$505,D79,Plantings!$O$6:$O$505,O79,Plantings!$N$6:$N$505,N79-1)&gt;0,"Same family here last year",""))</f>
        <v/>
      </c>
      <c r="N79" s="1">
        <f>IF(ISNUMBER(B79),YEAR(B79),"")</f>
        <v/>
      </c>
      <c r="O79">
        <f>IF(C79="","",IFERROR(INDEX(Crops!$C$6:$C$65,MATCH(C79,Crops!$B$6:$B$65,0))&amp;"",""))</f>
        <v/>
      </c>
      <c r="P79">
        <f>IF(ISNUMBER(B79),INT(B79),0)</f>
        <v/>
      </c>
      <c r="Q79">
        <f>IF(AND(L79="",OR(J79="Growing",J79="Picking")),1,0)</f>
        <v/>
      </c>
      <c r="R79">
        <f>IF(AND(Q79=1,D79&lt;&gt;""),P79*1000+ROW(),0)</f>
        <v/>
      </c>
      <c r="S79">
        <f>IF(AND(AND(C79&lt;&gt;"",ISNUMBER(B79)),L79=""),1,0)</f>
        <v/>
      </c>
    </row>
    <row r="80">
      <c r="A80" s="1" t="n"/>
      <c r="B80" s="17" t="n"/>
      <c r="C80" s="18" t="n"/>
      <c r="D80" s="19" t="n"/>
      <c r="E80" s="19" t="n"/>
      <c r="F80" s="20" t="n"/>
      <c r="G80" s="17" t="n"/>
      <c r="H80" s="21" t="n"/>
      <c r="I80" s="22">
        <f>IF(NOT(AND(C80&lt;&gt;"",ISNUMBER(B80))),"",IF(N(IFERROR(INDEX(Crops!$F$6:$F$65,MATCH(C80,Crops!$B$6:$B$65,0)),0))&gt;0,INT(B80)+N(IFERROR(INDEX(Crops!$F$6:$F$65,MATCH(C80,Crops!$B$6:$B$65,0)),0)),""))</f>
        <v/>
      </c>
      <c r="J80" s="16">
        <f>IF(NOT(AND(C80&lt;&gt;"",ISNUMBER(B80))),"",IF(ISNUMBER(G80),"Done",IF(INT(B80)&gt;TODAY(),"Planned",IF(COUNTIFS(Harvest!$C$6:$C$1505,C80,Harvest!$D$6:$D$1505,D80&amp;"",Harvest!$L$6:$L$1505,"&gt;="&amp;INT(B80))&gt;0,"Picking","Growing"))))</f>
        <v/>
      </c>
      <c r="K80" s="14">
        <f>IF(OR(NOT(AND(C80&lt;&gt;"",ISNUMBER(B80))),J80="Planned"),"",IF(ISNUMBER(G80),INT(G80),TODAY())-INT(B80))</f>
        <v/>
      </c>
      <c r="L80" s="11">
        <f>IF(AND(B80="",C80="",D80=""),"",IF(NOT(ISNUMBER(B80)),"Needs a date",IF(C80="","Needs a crop",IF(COUNTIF(Crops!$B$6:$B$65,C80)=0,"Not on Crops",IF(AND(D80&lt;&gt;"",COUNTIF(Beds!$B$6:$B$35,D80)=0),"Not on Beds",IF(AND(ISNUMBER(G80),G80&lt;B80),"Cleared before it was planted",""))))))</f>
        <v/>
      </c>
      <c r="M80" s="11">
        <f>IF(OR(L80&lt;&gt;"",D80="",O80=""),"",IF(COUNTIFS(Plantings!$D$6:$D$505,D80,Plantings!$O$6:$O$505,O80,Plantings!$N$6:$N$505,N80-1)&gt;0,"Same family here last year",""))</f>
        <v/>
      </c>
      <c r="N80" s="1">
        <f>IF(ISNUMBER(B80),YEAR(B80),"")</f>
        <v/>
      </c>
      <c r="O80">
        <f>IF(C80="","",IFERROR(INDEX(Crops!$C$6:$C$65,MATCH(C80,Crops!$B$6:$B$65,0))&amp;"",""))</f>
        <v/>
      </c>
      <c r="P80">
        <f>IF(ISNUMBER(B80),INT(B80),0)</f>
        <v/>
      </c>
      <c r="Q80">
        <f>IF(AND(L80="",OR(J80="Growing",J80="Picking")),1,0)</f>
        <v/>
      </c>
      <c r="R80">
        <f>IF(AND(Q80=1,D80&lt;&gt;""),P80*1000+ROW(),0)</f>
        <v/>
      </c>
      <c r="S80">
        <f>IF(AND(AND(C80&lt;&gt;"",ISNUMBER(B80)),L80=""),1,0)</f>
        <v/>
      </c>
    </row>
    <row r="81">
      <c r="A81" s="1" t="n"/>
      <c r="B81" s="17" t="n"/>
      <c r="C81" s="18" t="n"/>
      <c r="D81" s="19" t="n"/>
      <c r="E81" s="19" t="n"/>
      <c r="F81" s="20" t="n"/>
      <c r="G81" s="17" t="n"/>
      <c r="H81" s="21" t="n"/>
      <c r="I81" s="22">
        <f>IF(NOT(AND(C81&lt;&gt;"",ISNUMBER(B81))),"",IF(N(IFERROR(INDEX(Crops!$F$6:$F$65,MATCH(C81,Crops!$B$6:$B$65,0)),0))&gt;0,INT(B81)+N(IFERROR(INDEX(Crops!$F$6:$F$65,MATCH(C81,Crops!$B$6:$B$65,0)),0)),""))</f>
        <v/>
      </c>
      <c r="J81" s="16">
        <f>IF(NOT(AND(C81&lt;&gt;"",ISNUMBER(B81))),"",IF(ISNUMBER(G81),"Done",IF(INT(B81)&gt;TODAY(),"Planned",IF(COUNTIFS(Harvest!$C$6:$C$1505,C81,Harvest!$D$6:$D$1505,D81&amp;"",Harvest!$L$6:$L$1505,"&gt;="&amp;INT(B81))&gt;0,"Picking","Growing"))))</f>
        <v/>
      </c>
      <c r="K81" s="14">
        <f>IF(OR(NOT(AND(C81&lt;&gt;"",ISNUMBER(B81))),J81="Planned"),"",IF(ISNUMBER(G81),INT(G81),TODAY())-INT(B81))</f>
        <v/>
      </c>
      <c r="L81" s="11">
        <f>IF(AND(B81="",C81="",D81=""),"",IF(NOT(ISNUMBER(B81)),"Needs a date",IF(C81="","Needs a crop",IF(COUNTIF(Crops!$B$6:$B$65,C81)=0,"Not on Crops",IF(AND(D81&lt;&gt;"",COUNTIF(Beds!$B$6:$B$35,D81)=0),"Not on Beds",IF(AND(ISNUMBER(G81),G81&lt;B81),"Cleared before it was planted",""))))))</f>
        <v/>
      </c>
      <c r="M81" s="11">
        <f>IF(OR(L81&lt;&gt;"",D81="",O81=""),"",IF(COUNTIFS(Plantings!$D$6:$D$505,D81,Plantings!$O$6:$O$505,O81,Plantings!$N$6:$N$505,N81-1)&gt;0,"Same family here last year",""))</f>
        <v/>
      </c>
      <c r="N81" s="1">
        <f>IF(ISNUMBER(B81),YEAR(B81),"")</f>
        <v/>
      </c>
      <c r="O81">
        <f>IF(C81="","",IFERROR(INDEX(Crops!$C$6:$C$65,MATCH(C81,Crops!$B$6:$B$65,0))&amp;"",""))</f>
        <v/>
      </c>
      <c r="P81">
        <f>IF(ISNUMBER(B81),INT(B81),0)</f>
        <v/>
      </c>
      <c r="Q81">
        <f>IF(AND(L81="",OR(J81="Growing",J81="Picking")),1,0)</f>
        <v/>
      </c>
      <c r="R81">
        <f>IF(AND(Q81=1,D81&lt;&gt;""),P81*1000+ROW(),0)</f>
        <v/>
      </c>
      <c r="S81">
        <f>IF(AND(AND(C81&lt;&gt;"",ISNUMBER(B81)),L81=""),1,0)</f>
        <v/>
      </c>
    </row>
    <row r="82">
      <c r="A82" s="1" t="n"/>
      <c r="B82" s="17" t="n"/>
      <c r="C82" s="18" t="n"/>
      <c r="D82" s="19" t="n"/>
      <c r="E82" s="19" t="n"/>
      <c r="F82" s="20" t="n"/>
      <c r="G82" s="17" t="n"/>
      <c r="H82" s="21" t="n"/>
      <c r="I82" s="22">
        <f>IF(NOT(AND(C82&lt;&gt;"",ISNUMBER(B82))),"",IF(N(IFERROR(INDEX(Crops!$F$6:$F$65,MATCH(C82,Crops!$B$6:$B$65,0)),0))&gt;0,INT(B82)+N(IFERROR(INDEX(Crops!$F$6:$F$65,MATCH(C82,Crops!$B$6:$B$65,0)),0)),""))</f>
        <v/>
      </c>
      <c r="J82" s="16">
        <f>IF(NOT(AND(C82&lt;&gt;"",ISNUMBER(B82))),"",IF(ISNUMBER(G82),"Done",IF(INT(B82)&gt;TODAY(),"Planned",IF(COUNTIFS(Harvest!$C$6:$C$1505,C82,Harvest!$D$6:$D$1505,D82&amp;"",Harvest!$L$6:$L$1505,"&gt;="&amp;INT(B82))&gt;0,"Picking","Growing"))))</f>
        <v/>
      </c>
      <c r="K82" s="14">
        <f>IF(OR(NOT(AND(C82&lt;&gt;"",ISNUMBER(B82))),J82="Planned"),"",IF(ISNUMBER(G82),INT(G82),TODAY())-INT(B82))</f>
        <v/>
      </c>
      <c r="L82" s="11">
        <f>IF(AND(B82="",C82="",D82=""),"",IF(NOT(ISNUMBER(B82)),"Needs a date",IF(C82="","Needs a crop",IF(COUNTIF(Crops!$B$6:$B$65,C82)=0,"Not on Crops",IF(AND(D82&lt;&gt;"",COUNTIF(Beds!$B$6:$B$35,D82)=0),"Not on Beds",IF(AND(ISNUMBER(G82),G82&lt;B82),"Cleared before it was planted",""))))))</f>
        <v/>
      </c>
      <c r="M82" s="11">
        <f>IF(OR(L82&lt;&gt;"",D82="",O82=""),"",IF(COUNTIFS(Plantings!$D$6:$D$505,D82,Plantings!$O$6:$O$505,O82,Plantings!$N$6:$N$505,N82-1)&gt;0,"Same family here last year",""))</f>
        <v/>
      </c>
      <c r="N82" s="1">
        <f>IF(ISNUMBER(B82),YEAR(B82),"")</f>
        <v/>
      </c>
      <c r="O82">
        <f>IF(C82="","",IFERROR(INDEX(Crops!$C$6:$C$65,MATCH(C82,Crops!$B$6:$B$65,0))&amp;"",""))</f>
        <v/>
      </c>
      <c r="P82">
        <f>IF(ISNUMBER(B82),INT(B82),0)</f>
        <v/>
      </c>
      <c r="Q82">
        <f>IF(AND(L82="",OR(J82="Growing",J82="Picking")),1,0)</f>
        <v/>
      </c>
      <c r="R82">
        <f>IF(AND(Q82=1,D82&lt;&gt;""),P82*1000+ROW(),0)</f>
        <v/>
      </c>
      <c r="S82">
        <f>IF(AND(AND(C82&lt;&gt;"",ISNUMBER(B82)),L82=""),1,0)</f>
        <v/>
      </c>
    </row>
    <row r="83">
      <c r="A83" s="1" t="n"/>
      <c r="B83" s="17" t="n"/>
      <c r="C83" s="18" t="n"/>
      <c r="D83" s="19" t="n"/>
      <c r="E83" s="19" t="n"/>
      <c r="F83" s="20" t="n"/>
      <c r="G83" s="17" t="n"/>
      <c r="H83" s="21" t="n"/>
      <c r="I83" s="22">
        <f>IF(NOT(AND(C83&lt;&gt;"",ISNUMBER(B83))),"",IF(N(IFERROR(INDEX(Crops!$F$6:$F$65,MATCH(C83,Crops!$B$6:$B$65,0)),0))&gt;0,INT(B83)+N(IFERROR(INDEX(Crops!$F$6:$F$65,MATCH(C83,Crops!$B$6:$B$65,0)),0)),""))</f>
        <v/>
      </c>
      <c r="J83" s="16">
        <f>IF(NOT(AND(C83&lt;&gt;"",ISNUMBER(B83))),"",IF(ISNUMBER(G83),"Done",IF(INT(B83)&gt;TODAY(),"Planned",IF(COUNTIFS(Harvest!$C$6:$C$1505,C83,Harvest!$D$6:$D$1505,D83&amp;"",Harvest!$L$6:$L$1505,"&gt;="&amp;INT(B83))&gt;0,"Picking","Growing"))))</f>
        <v/>
      </c>
      <c r="K83" s="14">
        <f>IF(OR(NOT(AND(C83&lt;&gt;"",ISNUMBER(B83))),J83="Planned"),"",IF(ISNUMBER(G83),INT(G83),TODAY())-INT(B83))</f>
        <v/>
      </c>
      <c r="L83" s="11">
        <f>IF(AND(B83="",C83="",D83=""),"",IF(NOT(ISNUMBER(B83)),"Needs a date",IF(C83="","Needs a crop",IF(COUNTIF(Crops!$B$6:$B$65,C83)=0,"Not on Crops",IF(AND(D83&lt;&gt;"",COUNTIF(Beds!$B$6:$B$35,D83)=0),"Not on Beds",IF(AND(ISNUMBER(G83),G83&lt;B83),"Cleared before it was planted",""))))))</f>
        <v/>
      </c>
      <c r="M83" s="11">
        <f>IF(OR(L83&lt;&gt;"",D83="",O83=""),"",IF(COUNTIFS(Plantings!$D$6:$D$505,D83,Plantings!$O$6:$O$505,O83,Plantings!$N$6:$N$505,N83-1)&gt;0,"Same family here last year",""))</f>
        <v/>
      </c>
      <c r="N83" s="1">
        <f>IF(ISNUMBER(B83),YEAR(B83),"")</f>
        <v/>
      </c>
      <c r="O83">
        <f>IF(C83="","",IFERROR(INDEX(Crops!$C$6:$C$65,MATCH(C83,Crops!$B$6:$B$65,0))&amp;"",""))</f>
        <v/>
      </c>
      <c r="P83">
        <f>IF(ISNUMBER(B83),INT(B83),0)</f>
        <v/>
      </c>
      <c r="Q83">
        <f>IF(AND(L83="",OR(J83="Growing",J83="Picking")),1,0)</f>
        <v/>
      </c>
      <c r="R83">
        <f>IF(AND(Q83=1,D83&lt;&gt;""),P83*1000+ROW(),0)</f>
        <v/>
      </c>
      <c r="S83">
        <f>IF(AND(AND(C83&lt;&gt;"",ISNUMBER(B83)),L83=""),1,0)</f>
        <v/>
      </c>
    </row>
    <row r="84">
      <c r="A84" s="1" t="n"/>
      <c r="B84" s="17" t="n"/>
      <c r="C84" s="18" t="n"/>
      <c r="D84" s="19" t="n"/>
      <c r="E84" s="19" t="n"/>
      <c r="F84" s="20" t="n"/>
      <c r="G84" s="17" t="n"/>
      <c r="H84" s="21" t="n"/>
      <c r="I84" s="22">
        <f>IF(NOT(AND(C84&lt;&gt;"",ISNUMBER(B84))),"",IF(N(IFERROR(INDEX(Crops!$F$6:$F$65,MATCH(C84,Crops!$B$6:$B$65,0)),0))&gt;0,INT(B84)+N(IFERROR(INDEX(Crops!$F$6:$F$65,MATCH(C84,Crops!$B$6:$B$65,0)),0)),""))</f>
        <v/>
      </c>
      <c r="J84" s="16">
        <f>IF(NOT(AND(C84&lt;&gt;"",ISNUMBER(B84))),"",IF(ISNUMBER(G84),"Done",IF(INT(B84)&gt;TODAY(),"Planned",IF(COUNTIFS(Harvest!$C$6:$C$1505,C84,Harvest!$D$6:$D$1505,D84&amp;"",Harvest!$L$6:$L$1505,"&gt;="&amp;INT(B84))&gt;0,"Picking","Growing"))))</f>
        <v/>
      </c>
      <c r="K84" s="14">
        <f>IF(OR(NOT(AND(C84&lt;&gt;"",ISNUMBER(B84))),J84="Planned"),"",IF(ISNUMBER(G84),INT(G84),TODAY())-INT(B84))</f>
        <v/>
      </c>
      <c r="L84" s="11">
        <f>IF(AND(B84="",C84="",D84=""),"",IF(NOT(ISNUMBER(B84)),"Needs a date",IF(C84="","Needs a crop",IF(COUNTIF(Crops!$B$6:$B$65,C84)=0,"Not on Crops",IF(AND(D84&lt;&gt;"",COUNTIF(Beds!$B$6:$B$35,D84)=0),"Not on Beds",IF(AND(ISNUMBER(G84),G84&lt;B84),"Cleared before it was planted",""))))))</f>
        <v/>
      </c>
      <c r="M84" s="11">
        <f>IF(OR(L84&lt;&gt;"",D84="",O84=""),"",IF(COUNTIFS(Plantings!$D$6:$D$505,D84,Plantings!$O$6:$O$505,O84,Plantings!$N$6:$N$505,N84-1)&gt;0,"Same family here last year",""))</f>
        <v/>
      </c>
      <c r="N84" s="1">
        <f>IF(ISNUMBER(B84),YEAR(B84),"")</f>
        <v/>
      </c>
      <c r="O84">
        <f>IF(C84="","",IFERROR(INDEX(Crops!$C$6:$C$65,MATCH(C84,Crops!$B$6:$B$65,0))&amp;"",""))</f>
        <v/>
      </c>
      <c r="P84">
        <f>IF(ISNUMBER(B84),INT(B84),0)</f>
        <v/>
      </c>
      <c r="Q84">
        <f>IF(AND(L84="",OR(J84="Growing",J84="Picking")),1,0)</f>
        <v/>
      </c>
      <c r="R84">
        <f>IF(AND(Q84=1,D84&lt;&gt;""),P84*1000+ROW(),0)</f>
        <v/>
      </c>
      <c r="S84">
        <f>IF(AND(AND(C84&lt;&gt;"",ISNUMBER(B84)),L84=""),1,0)</f>
        <v/>
      </c>
    </row>
    <row r="85">
      <c r="A85" s="1" t="n"/>
      <c r="B85" s="17" t="n"/>
      <c r="C85" s="18" t="n"/>
      <c r="D85" s="19" t="n"/>
      <c r="E85" s="19" t="n"/>
      <c r="F85" s="20" t="n"/>
      <c r="G85" s="17" t="n"/>
      <c r="H85" s="21" t="n"/>
      <c r="I85" s="22">
        <f>IF(NOT(AND(C85&lt;&gt;"",ISNUMBER(B85))),"",IF(N(IFERROR(INDEX(Crops!$F$6:$F$65,MATCH(C85,Crops!$B$6:$B$65,0)),0))&gt;0,INT(B85)+N(IFERROR(INDEX(Crops!$F$6:$F$65,MATCH(C85,Crops!$B$6:$B$65,0)),0)),""))</f>
        <v/>
      </c>
      <c r="J85" s="16">
        <f>IF(NOT(AND(C85&lt;&gt;"",ISNUMBER(B85))),"",IF(ISNUMBER(G85),"Done",IF(INT(B85)&gt;TODAY(),"Planned",IF(COUNTIFS(Harvest!$C$6:$C$1505,C85,Harvest!$D$6:$D$1505,D85&amp;"",Harvest!$L$6:$L$1505,"&gt;="&amp;INT(B85))&gt;0,"Picking","Growing"))))</f>
        <v/>
      </c>
      <c r="K85" s="14">
        <f>IF(OR(NOT(AND(C85&lt;&gt;"",ISNUMBER(B85))),J85="Planned"),"",IF(ISNUMBER(G85),INT(G85),TODAY())-INT(B85))</f>
        <v/>
      </c>
      <c r="L85" s="11">
        <f>IF(AND(B85="",C85="",D85=""),"",IF(NOT(ISNUMBER(B85)),"Needs a date",IF(C85="","Needs a crop",IF(COUNTIF(Crops!$B$6:$B$65,C85)=0,"Not on Crops",IF(AND(D85&lt;&gt;"",COUNTIF(Beds!$B$6:$B$35,D85)=0),"Not on Beds",IF(AND(ISNUMBER(G85),G85&lt;B85),"Cleared before it was planted",""))))))</f>
        <v/>
      </c>
      <c r="M85" s="11">
        <f>IF(OR(L85&lt;&gt;"",D85="",O85=""),"",IF(COUNTIFS(Plantings!$D$6:$D$505,D85,Plantings!$O$6:$O$505,O85,Plantings!$N$6:$N$505,N85-1)&gt;0,"Same family here last year",""))</f>
        <v/>
      </c>
      <c r="N85" s="1">
        <f>IF(ISNUMBER(B85),YEAR(B85),"")</f>
        <v/>
      </c>
      <c r="O85">
        <f>IF(C85="","",IFERROR(INDEX(Crops!$C$6:$C$65,MATCH(C85,Crops!$B$6:$B$65,0))&amp;"",""))</f>
        <v/>
      </c>
      <c r="P85">
        <f>IF(ISNUMBER(B85),INT(B85),0)</f>
        <v/>
      </c>
      <c r="Q85">
        <f>IF(AND(L85="",OR(J85="Growing",J85="Picking")),1,0)</f>
        <v/>
      </c>
      <c r="R85">
        <f>IF(AND(Q85=1,D85&lt;&gt;""),P85*1000+ROW(),0)</f>
        <v/>
      </c>
      <c r="S85">
        <f>IF(AND(AND(C85&lt;&gt;"",ISNUMBER(B85)),L85=""),1,0)</f>
        <v/>
      </c>
    </row>
    <row r="86">
      <c r="A86" s="1" t="n"/>
      <c r="B86" s="17" t="n"/>
      <c r="C86" s="18" t="n"/>
      <c r="D86" s="19" t="n"/>
      <c r="E86" s="19" t="n"/>
      <c r="F86" s="20" t="n"/>
      <c r="G86" s="17" t="n"/>
      <c r="H86" s="21" t="n"/>
      <c r="I86" s="22">
        <f>IF(NOT(AND(C86&lt;&gt;"",ISNUMBER(B86))),"",IF(N(IFERROR(INDEX(Crops!$F$6:$F$65,MATCH(C86,Crops!$B$6:$B$65,0)),0))&gt;0,INT(B86)+N(IFERROR(INDEX(Crops!$F$6:$F$65,MATCH(C86,Crops!$B$6:$B$65,0)),0)),""))</f>
        <v/>
      </c>
      <c r="J86" s="16">
        <f>IF(NOT(AND(C86&lt;&gt;"",ISNUMBER(B86))),"",IF(ISNUMBER(G86),"Done",IF(INT(B86)&gt;TODAY(),"Planned",IF(COUNTIFS(Harvest!$C$6:$C$1505,C86,Harvest!$D$6:$D$1505,D86&amp;"",Harvest!$L$6:$L$1505,"&gt;="&amp;INT(B86))&gt;0,"Picking","Growing"))))</f>
        <v/>
      </c>
      <c r="K86" s="14">
        <f>IF(OR(NOT(AND(C86&lt;&gt;"",ISNUMBER(B86))),J86="Planned"),"",IF(ISNUMBER(G86),INT(G86),TODAY())-INT(B86))</f>
        <v/>
      </c>
      <c r="L86" s="11">
        <f>IF(AND(B86="",C86="",D86=""),"",IF(NOT(ISNUMBER(B86)),"Needs a date",IF(C86="","Needs a crop",IF(COUNTIF(Crops!$B$6:$B$65,C86)=0,"Not on Crops",IF(AND(D86&lt;&gt;"",COUNTIF(Beds!$B$6:$B$35,D86)=0),"Not on Beds",IF(AND(ISNUMBER(G86),G86&lt;B86),"Cleared before it was planted",""))))))</f>
        <v/>
      </c>
      <c r="M86" s="11">
        <f>IF(OR(L86&lt;&gt;"",D86="",O86=""),"",IF(COUNTIFS(Plantings!$D$6:$D$505,D86,Plantings!$O$6:$O$505,O86,Plantings!$N$6:$N$505,N86-1)&gt;0,"Same family here last year",""))</f>
        <v/>
      </c>
      <c r="N86" s="1">
        <f>IF(ISNUMBER(B86),YEAR(B86),"")</f>
        <v/>
      </c>
      <c r="O86">
        <f>IF(C86="","",IFERROR(INDEX(Crops!$C$6:$C$65,MATCH(C86,Crops!$B$6:$B$65,0))&amp;"",""))</f>
        <v/>
      </c>
      <c r="P86">
        <f>IF(ISNUMBER(B86),INT(B86),0)</f>
        <v/>
      </c>
      <c r="Q86">
        <f>IF(AND(L86="",OR(J86="Growing",J86="Picking")),1,0)</f>
        <v/>
      </c>
      <c r="R86">
        <f>IF(AND(Q86=1,D86&lt;&gt;""),P86*1000+ROW(),0)</f>
        <v/>
      </c>
      <c r="S86">
        <f>IF(AND(AND(C86&lt;&gt;"",ISNUMBER(B86)),L86=""),1,0)</f>
        <v/>
      </c>
    </row>
    <row r="87">
      <c r="A87" s="1" t="n"/>
      <c r="B87" s="17" t="n"/>
      <c r="C87" s="18" t="n"/>
      <c r="D87" s="19" t="n"/>
      <c r="E87" s="19" t="n"/>
      <c r="F87" s="20" t="n"/>
      <c r="G87" s="17" t="n"/>
      <c r="H87" s="21" t="n"/>
      <c r="I87" s="22">
        <f>IF(NOT(AND(C87&lt;&gt;"",ISNUMBER(B87))),"",IF(N(IFERROR(INDEX(Crops!$F$6:$F$65,MATCH(C87,Crops!$B$6:$B$65,0)),0))&gt;0,INT(B87)+N(IFERROR(INDEX(Crops!$F$6:$F$65,MATCH(C87,Crops!$B$6:$B$65,0)),0)),""))</f>
        <v/>
      </c>
      <c r="J87" s="16">
        <f>IF(NOT(AND(C87&lt;&gt;"",ISNUMBER(B87))),"",IF(ISNUMBER(G87),"Done",IF(INT(B87)&gt;TODAY(),"Planned",IF(COUNTIFS(Harvest!$C$6:$C$1505,C87,Harvest!$D$6:$D$1505,D87&amp;"",Harvest!$L$6:$L$1505,"&gt;="&amp;INT(B87))&gt;0,"Picking","Growing"))))</f>
        <v/>
      </c>
      <c r="K87" s="14">
        <f>IF(OR(NOT(AND(C87&lt;&gt;"",ISNUMBER(B87))),J87="Planned"),"",IF(ISNUMBER(G87),INT(G87),TODAY())-INT(B87))</f>
        <v/>
      </c>
      <c r="L87" s="11">
        <f>IF(AND(B87="",C87="",D87=""),"",IF(NOT(ISNUMBER(B87)),"Needs a date",IF(C87="","Needs a crop",IF(COUNTIF(Crops!$B$6:$B$65,C87)=0,"Not on Crops",IF(AND(D87&lt;&gt;"",COUNTIF(Beds!$B$6:$B$35,D87)=0),"Not on Beds",IF(AND(ISNUMBER(G87),G87&lt;B87),"Cleared before it was planted",""))))))</f>
        <v/>
      </c>
      <c r="M87" s="11">
        <f>IF(OR(L87&lt;&gt;"",D87="",O87=""),"",IF(COUNTIFS(Plantings!$D$6:$D$505,D87,Plantings!$O$6:$O$505,O87,Plantings!$N$6:$N$505,N87-1)&gt;0,"Same family here last year",""))</f>
        <v/>
      </c>
      <c r="N87" s="1">
        <f>IF(ISNUMBER(B87),YEAR(B87),"")</f>
        <v/>
      </c>
      <c r="O87">
        <f>IF(C87="","",IFERROR(INDEX(Crops!$C$6:$C$65,MATCH(C87,Crops!$B$6:$B$65,0))&amp;"",""))</f>
        <v/>
      </c>
      <c r="P87">
        <f>IF(ISNUMBER(B87),INT(B87),0)</f>
        <v/>
      </c>
      <c r="Q87">
        <f>IF(AND(L87="",OR(J87="Growing",J87="Picking")),1,0)</f>
        <v/>
      </c>
      <c r="R87">
        <f>IF(AND(Q87=1,D87&lt;&gt;""),P87*1000+ROW(),0)</f>
        <v/>
      </c>
      <c r="S87">
        <f>IF(AND(AND(C87&lt;&gt;"",ISNUMBER(B87)),L87=""),1,0)</f>
        <v/>
      </c>
    </row>
    <row r="88">
      <c r="A88" s="1" t="n"/>
      <c r="B88" s="17" t="n"/>
      <c r="C88" s="18" t="n"/>
      <c r="D88" s="19" t="n"/>
      <c r="E88" s="19" t="n"/>
      <c r="F88" s="20" t="n"/>
      <c r="G88" s="17" t="n"/>
      <c r="H88" s="21" t="n"/>
      <c r="I88" s="22">
        <f>IF(NOT(AND(C88&lt;&gt;"",ISNUMBER(B88))),"",IF(N(IFERROR(INDEX(Crops!$F$6:$F$65,MATCH(C88,Crops!$B$6:$B$65,0)),0))&gt;0,INT(B88)+N(IFERROR(INDEX(Crops!$F$6:$F$65,MATCH(C88,Crops!$B$6:$B$65,0)),0)),""))</f>
        <v/>
      </c>
      <c r="J88" s="16">
        <f>IF(NOT(AND(C88&lt;&gt;"",ISNUMBER(B88))),"",IF(ISNUMBER(G88),"Done",IF(INT(B88)&gt;TODAY(),"Planned",IF(COUNTIFS(Harvest!$C$6:$C$1505,C88,Harvest!$D$6:$D$1505,D88&amp;"",Harvest!$L$6:$L$1505,"&gt;="&amp;INT(B88))&gt;0,"Picking","Growing"))))</f>
        <v/>
      </c>
      <c r="K88" s="14">
        <f>IF(OR(NOT(AND(C88&lt;&gt;"",ISNUMBER(B88))),J88="Planned"),"",IF(ISNUMBER(G88),INT(G88),TODAY())-INT(B88))</f>
        <v/>
      </c>
      <c r="L88" s="11">
        <f>IF(AND(B88="",C88="",D88=""),"",IF(NOT(ISNUMBER(B88)),"Needs a date",IF(C88="","Needs a crop",IF(COUNTIF(Crops!$B$6:$B$65,C88)=0,"Not on Crops",IF(AND(D88&lt;&gt;"",COUNTIF(Beds!$B$6:$B$35,D88)=0),"Not on Beds",IF(AND(ISNUMBER(G88),G88&lt;B88),"Cleared before it was planted",""))))))</f>
        <v/>
      </c>
      <c r="M88" s="11">
        <f>IF(OR(L88&lt;&gt;"",D88="",O88=""),"",IF(COUNTIFS(Plantings!$D$6:$D$505,D88,Plantings!$O$6:$O$505,O88,Plantings!$N$6:$N$505,N88-1)&gt;0,"Same family here last year",""))</f>
        <v/>
      </c>
      <c r="N88" s="1">
        <f>IF(ISNUMBER(B88),YEAR(B88),"")</f>
        <v/>
      </c>
      <c r="O88">
        <f>IF(C88="","",IFERROR(INDEX(Crops!$C$6:$C$65,MATCH(C88,Crops!$B$6:$B$65,0))&amp;"",""))</f>
        <v/>
      </c>
      <c r="P88">
        <f>IF(ISNUMBER(B88),INT(B88),0)</f>
        <v/>
      </c>
      <c r="Q88">
        <f>IF(AND(L88="",OR(J88="Growing",J88="Picking")),1,0)</f>
        <v/>
      </c>
      <c r="R88">
        <f>IF(AND(Q88=1,D88&lt;&gt;""),P88*1000+ROW(),0)</f>
        <v/>
      </c>
      <c r="S88">
        <f>IF(AND(AND(C88&lt;&gt;"",ISNUMBER(B88)),L88=""),1,0)</f>
        <v/>
      </c>
    </row>
    <row r="89">
      <c r="A89" s="1" t="n"/>
      <c r="B89" s="17" t="n"/>
      <c r="C89" s="18" t="n"/>
      <c r="D89" s="19" t="n"/>
      <c r="E89" s="19" t="n"/>
      <c r="F89" s="20" t="n"/>
      <c r="G89" s="17" t="n"/>
      <c r="H89" s="21" t="n"/>
      <c r="I89" s="22">
        <f>IF(NOT(AND(C89&lt;&gt;"",ISNUMBER(B89))),"",IF(N(IFERROR(INDEX(Crops!$F$6:$F$65,MATCH(C89,Crops!$B$6:$B$65,0)),0))&gt;0,INT(B89)+N(IFERROR(INDEX(Crops!$F$6:$F$65,MATCH(C89,Crops!$B$6:$B$65,0)),0)),""))</f>
        <v/>
      </c>
      <c r="J89" s="16">
        <f>IF(NOT(AND(C89&lt;&gt;"",ISNUMBER(B89))),"",IF(ISNUMBER(G89),"Done",IF(INT(B89)&gt;TODAY(),"Planned",IF(COUNTIFS(Harvest!$C$6:$C$1505,C89,Harvest!$D$6:$D$1505,D89&amp;"",Harvest!$L$6:$L$1505,"&gt;="&amp;INT(B89))&gt;0,"Picking","Growing"))))</f>
        <v/>
      </c>
      <c r="K89" s="14">
        <f>IF(OR(NOT(AND(C89&lt;&gt;"",ISNUMBER(B89))),J89="Planned"),"",IF(ISNUMBER(G89),INT(G89),TODAY())-INT(B89))</f>
        <v/>
      </c>
      <c r="L89" s="11">
        <f>IF(AND(B89="",C89="",D89=""),"",IF(NOT(ISNUMBER(B89)),"Needs a date",IF(C89="","Needs a crop",IF(COUNTIF(Crops!$B$6:$B$65,C89)=0,"Not on Crops",IF(AND(D89&lt;&gt;"",COUNTIF(Beds!$B$6:$B$35,D89)=0),"Not on Beds",IF(AND(ISNUMBER(G89),G89&lt;B89),"Cleared before it was planted",""))))))</f>
        <v/>
      </c>
      <c r="M89" s="11">
        <f>IF(OR(L89&lt;&gt;"",D89="",O89=""),"",IF(COUNTIFS(Plantings!$D$6:$D$505,D89,Plantings!$O$6:$O$505,O89,Plantings!$N$6:$N$505,N89-1)&gt;0,"Same family here last year",""))</f>
        <v/>
      </c>
      <c r="N89" s="1">
        <f>IF(ISNUMBER(B89),YEAR(B89),"")</f>
        <v/>
      </c>
      <c r="O89">
        <f>IF(C89="","",IFERROR(INDEX(Crops!$C$6:$C$65,MATCH(C89,Crops!$B$6:$B$65,0))&amp;"",""))</f>
        <v/>
      </c>
      <c r="P89">
        <f>IF(ISNUMBER(B89),INT(B89),0)</f>
        <v/>
      </c>
      <c r="Q89">
        <f>IF(AND(L89="",OR(J89="Growing",J89="Picking")),1,0)</f>
        <v/>
      </c>
      <c r="R89">
        <f>IF(AND(Q89=1,D89&lt;&gt;""),P89*1000+ROW(),0)</f>
        <v/>
      </c>
      <c r="S89">
        <f>IF(AND(AND(C89&lt;&gt;"",ISNUMBER(B89)),L89=""),1,0)</f>
        <v/>
      </c>
    </row>
    <row r="90">
      <c r="A90" s="1" t="n"/>
      <c r="B90" s="17" t="n"/>
      <c r="C90" s="18" t="n"/>
      <c r="D90" s="19" t="n"/>
      <c r="E90" s="19" t="n"/>
      <c r="F90" s="20" t="n"/>
      <c r="G90" s="17" t="n"/>
      <c r="H90" s="21" t="n"/>
      <c r="I90" s="22">
        <f>IF(NOT(AND(C90&lt;&gt;"",ISNUMBER(B90))),"",IF(N(IFERROR(INDEX(Crops!$F$6:$F$65,MATCH(C90,Crops!$B$6:$B$65,0)),0))&gt;0,INT(B90)+N(IFERROR(INDEX(Crops!$F$6:$F$65,MATCH(C90,Crops!$B$6:$B$65,0)),0)),""))</f>
        <v/>
      </c>
      <c r="J90" s="16">
        <f>IF(NOT(AND(C90&lt;&gt;"",ISNUMBER(B90))),"",IF(ISNUMBER(G90),"Done",IF(INT(B90)&gt;TODAY(),"Planned",IF(COUNTIFS(Harvest!$C$6:$C$1505,C90,Harvest!$D$6:$D$1505,D90&amp;"",Harvest!$L$6:$L$1505,"&gt;="&amp;INT(B90))&gt;0,"Picking","Growing"))))</f>
        <v/>
      </c>
      <c r="K90" s="14">
        <f>IF(OR(NOT(AND(C90&lt;&gt;"",ISNUMBER(B90))),J90="Planned"),"",IF(ISNUMBER(G90),INT(G90),TODAY())-INT(B90))</f>
        <v/>
      </c>
      <c r="L90" s="11">
        <f>IF(AND(B90="",C90="",D90=""),"",IF(NOT(ISNUMBER(B90)),"Needs a date",IF(C90="","Needs a crop",IF(COUNTIF(Crops!$B$6:$B$65,C90)=0,"Not on Crops",IF(AND(D90&lt;&gt;"",COUNTIF(Beds!$B$6:$B$35,D90)=0),"Not on Beds",IF(AND(ISNUMBER(G90),G90&lt;B90),"Cleared before it was planted",""))))))</f>
        <v/>
      </c>
      <c r="M90" s="11">
        <f>IF(OR(L90&lt;&gt;"",D90="",O90=""),"",IF(COUNTIFS(Plantings!$D$6:$D$505,D90,Plantings!$O$6:$O$505,O90,Plantings!$N$6:$N$505,N90-1)&gt;0,"Same family here last year",""))</f>
        <v/>
      </c>
      <c r="N90" s="1">
        <f>IF(ISNUMBER(B90),YEAR(B90),"")</f>
        <v/>
      </c>
      <c r="O90">
        <f>IF(C90="","",IFERROR(INDEX(Crops!$C$6:$C$65,MATCH(C90,Crops!$B$6:$B$65,0))&amp;"",""))</f>
        <v/>
      </c>
      <c r="P90">
        <f>IF(ISNUMBER(B90),INT(B90),0)</f>
        <v/>
      </c>
      <c r="Q90">
        <f>IF(AND(L90="",OR(J90="Growing",J90="Picking")),1,0)</f>
        <v/>
      </c>
      <c r="R90">
        <f>IF(AND(Q90=1,D90&lt;&gt;""),P90*1000+ROW(),0)</f>
        <v/>
      </c>
      <c r="S90">
        <f>IF(AND(AND(C90&lt;&gt;"",ISNUMBER(B90)),L90=""),1,0)</f>
        <v/>
      </c>
    </row>
    <row r="91">
      <c r="A91" s="1" t="n"/>
      <c r="B91" s="17" t="n"/>
      <c r="C91" s="18" t="n"/>
      <c r="D91" s="19" t="n"/>
      <c r="E91" s="19" t="n"/>
      <c r="F91" s="20" t="n"/>
      <c r="G91" s="17" t="n"/>
      <c r="H91" s="21" t="n"/>
      <c r="I91" s="22">
        <f>IF(NOT(AND(C91&lt;&gt;"",ISNUMBER(B91))),"",IF(N(IFERROR(INDEX(Crops!$F$6:$F$65,MATCH(C91,Crops!$B$6:$B$65,0)),0))&gt;0,INT(B91)+N(IFERROR(INDEX(Crops!$F$6:$F$65,MATCH(C91,Crops!$B$6:$B$65,0)),0)),""))</f>
        <v/>
      </c>
      <c r="J91" s="16">
        <f>IF(NOT(AND(C91&lt;&gt;"",ISNUMBER(B91))),"",IF(ISNUMBER(G91),"Done",IF(INT(B91)&gt;TODAY(),"Planned",IF(COUNTIFS(Harvest!$C$6:$C$1505,C91,Harvest!$D$6:$D$1505,D91&amp;"",Harvest!$L$6:$L$1505,"&gt;="&amp;INT(B91))&gt;0,"Picking","Growing"))))</f>
        <v/>
      </c>
      <c r="K91" s="14">
        <f>IF(OR(NOT(AND(C91&lt;&gt;"",ISNUMBER(B91))),J91="Planned"),"",IF(ISNUMBER(G91),INT(G91),TODAY())-INT(B91))</f>
        <v/>
      </c>
      <c r="L91" s="11">
        <f>IF(AND(B91="",C91="",D91=""),"",IF(NOT(ISNUMBER(B91)),"Needs a date",IF(C91="","Needs a crop",IF(COUNTIF(Crops!$B$6:$B$65,C91)=0,"Not on Crops",IF(AND(D91&lt;&gt;"",COUNTIF(Beds!$B$6:$B$35,D91)=0),"Not on Beds",IF(AND(ISNUMBER(G91),G91&lt;B91),"Cleared before it was planted",""))))))</f>
        <v/>
      </c>
      <c r="M91" s="11">
        <f>IF(OR(L91&lt;&gt;"",D91="",O91=""),"",IF(COUNTIFS(Plantings!$D$6:$D$505,D91,Plantings!$O$6:$O$505,O91,Plantings!$N$6:$N$505,N91-1)&gt;0,"Same family here last year",""))</f>
        <v/>
      </c>
      <c r="N91" s="1">
        <f>IF(ISNUMBER(B91),YEAR(B91),"")</f>
        <v/>
      </c>
      <c r="O91">
        <f>IF(C91="","",IFERROR(INDEX(Crops!$C$6:$C$65,MATCH(C91,Crops!$B$6:$B$65,0))&amp;"",""))</f>
        <v/>
      </c>
      <c r="P91">
        <f>IF(ISNUMBER(B91),INT(B91),0)</f>
        <v/>
      </c>
      <c r="Q91">
        <f>IF(AND(L91="",OR(J91="Growing",J91="Picking")),1,0)</f>
        <v/>
      </c>
      <c r="R91">
        <f>IF(AND(Q91=1,D91&lt;&gt;""),P91*1000+ROW(),0)</f>
        <v/>
      </c>
      <c r="S91">
        <f>IF(AND(AND(C91&lt;&gt;"",ISNUMBER(B91)),L91=""),1,0)</f>
        <v/>
      </c>
    </row>
    <row r="92">
      <c r="A92" s="1" t="n"/>
      <c r="B92" s="17" t="n"/>
      <c r="C92" s="18" t="n"/>
      <c r="D92" s="19" t="n"/>
      <c r="E92" s="19" t="n"/>
      <c r="F92" s="20" t="n"/>
      <c r="G92" s="17" t="n"/>
      <c r="H92" s="21" t="n"/>
      <c r="I92" s="22">
        <f>IF(NOT(AND(C92&lt;&gt;"",ISNUMBER(B92))),"",IF(N(IFERROR(INDEX(Crops!$F$6:$F$65,MATCH(C92,Crops!$B$6:$B$65,0)),0))&gt;0,INT(B92)+N(IFERROR(INDEX(Crops!$F$6:$F$65,MATCH(C92,Crops!$B$6:$B$65,0)),0)),""))</f>
        <v/>
      </c>
      <c r="J92" s="16">
        <f>IF(NOT(AND(C92&lt;&gt;"",ISNUMBER(B92))),"",IF(ISNUMBER(G92),"Done",IF(INT(B92)&gt;TODAY(),"Planned",IF(COUNTIFS(Harvest!$C$6:$C$1505,C92,Harvest!$D$6:$D$1505,D92&amp;"",Harvest!$L$6:$L$1505,"&gt;="&amp;INT(B92))&gt;0,"Picking","Growing"))))</f>
        <v/>
      </c>
      <c r="K92" s="14">
        <f>IF(OR(NOT(AND(C92&lt;&gt;"",ISNUMBER(B92))),J92="Planned"),"",IF(ISNUMBER(G92),INT(G92),TODAY())-INT(B92))</f>
        <v/>
      </c>
      <c r="L92" s="11">
        <f>IF(AND(B92="",C92="",D92=""),"",IF(NOT(ISNUMBER(B92)),"Needs a date",IF(C92="","Needs a crop",IF(COUNTIF(Crops!$B$6:$B$65,C92)=0,"Not on Crops",IF(AND(D92&lt;&gt;"",COUNTIF(Beds!$B$6:$B$35,D92)=0),"Not on Beds",IF(AND(ISNUMBER(G92),G92&lt;B92),"Cleared before it was planted",""))))))</f>
        <v/>
      </c>
      <c r="M92" s="11">
        <f>IF(OR(L92&lt;&gt;"",D92="",O92=""),"",IF(COUNTIFS(Plantings!$D$6:$D$505,D92,Plantings!$O$6:$O$505,O92,Plantings!$N$6:$N$505,N92-1)&gt;0,"Same family here last year",""))</f>
        <v/>
      </c>
      <c r="N92" s="1">
        <f>IF(ISNUMBER(B92),YEAR(B92),"")</f>
        <v/>
      </c>
      <c r="O92">
        <f>IF(C92="","",IFERROR(INDEX(Crops!$C$6:$C$65,MATCH(C92,Crops!$B$6:$B$65,0))&amp;"",""))</f>
        <v/>
      </c>
      <c r="P92">
        <f>IF(ISNUMBER(B92),INT(B92),0)</f>
        <v/>
      </c>
      <c r="Q92">
        <f>IF(AND(L92="",OR(J92="Growing",J92="Picking")),1,0)</f>
        <v/>
      </c>
      <c r="R92">
        <f>IF(AND(Q92=1,D92&lt;&gt;""),P92*1000+ROW(),0)</f>
        <v/>
      </c>
      <c r="S92">
        <f>IF(AND(AND(C92&lt;&gt;"",ISNUMBER(B92)),L92=""),1,0)</f>
        <v/>
      </c>
    </row>
    <row r="93">
      <c r="A93" s="1" t="n"/>
      <c r="B93" s="17" t="n"/>
      <c r="C93" s="18" t="n"/>
      <c r="D93" s="19" t="n"/>
      <c r="E93" s="19" t="n"/>
      <c r="F93" s="20" t="n"/>
      <c r="G93" s="17" t="n"/>
      <c r="H93" s="21" t="n"/>
      <c r="I93" s="22">
        <f>IF(NOT(AND(C93&lt;&gt;"",ISNUMBER(B93))),"",IF(N(IFERROR(INDEX(Crops!$F$6:$F$65,MATCH(C93,Crops!$B$6:$B$65,0)),0))&gt;0,INT(B93)+N(IFERROR(INDEX(Crops!$F$6:$F$65,MATCH(C93,Crops!$B$6:$B$65,0)),0)),""))</f>
        <v/>
      </c>
      <c r="J93" s="16">
        <f>IF(NOT(AND(C93&lt;&gt;"",ISNUMBER(B93))),"",IF(ISNUMBER(G93),"Done",IF(INT(B93)&gt;TODAY(),"Planned",IF(COUNTIFS(Harvest!$C$6:$C$1505,C93,Harvest!$D$6:$D$1505,D93&amp;"",Harvest!$L$6:$L$1505,"&gt;="&amp;INT(B93))&gt;0,"Picking","Growing"))))</f>
        <v/>
      </c>
      <c r="K93" s="14">
        <f>IF(OR(NOT(AND(C93&lt;&gt;"",ISNUMBER(B93))),J93="Planned"),"",IF(ISNUMBER(G93),INT(G93),TODAY())-INT(B93))</f>
        <v/>
      </c>
      <c r="L93" s="11">
        <f>IF(AND(B93="",C93="",D93=""),"",IF(NOT(ISNUMBER(B93)),"Needs a date",IF(C93="","Needs a crop",IF(COUNTIF(Crops!$B$6:$B$65,C93)=0,"Not on Crops",IF(AND(D93&lt;&gt;"",COUNTIF(Beds!$B$6:$B$35,D93)=0),"Not on Beds",IF(AND(ISNUMBER(G93),G93&lt;B93),"Cleared before it was planted",""))))))</f>
        <v/>
      </c>
      <c r="M93" s="11">
        <f>IF(OR(L93&lt;&gt;"",D93="",O93=""),"",IF(COUNTIFS(Plantings!$D$6:$D$505,D93,Plantings!$O$6:$O$505,O93,Plantings!$N$6:$N$505,N93-1)&gt;0,"Same family here last year",""))</f>
        <v/>
      </c>
      <c r="N93" s="1">
        <f>IF(ISNUMBER(B93),YEAR(B93),"")</f>
        <v/>
      </c>
      <c r="O93">
        <f>IF(C93="","",IFERROR(INDEX(Crops!$C$6:$C$65,MATCH(C93,Crops!$B$6:$B$65,0))&amp;"",""))</f>
        <v/>
      </c>
      <c r="P93">
        <f>IF(ISNUMBER(B93),INT(B93),0)</f>
        <v/>
      </c>
      <c r="Q93">
        <f>IF(AND(L93="",OR(J93="Growing",J93="Picking")),1,0)</f>
        <v/>
      </c>
      <c r="R93">
        <f>IF(AND(Q93=1,D93&lt;&gt;""),P93*1000+ROW(),0)</f>
        <v/>
      </c>
      <c r="S93">
        <f>IF(AND(AND(C93&lt;&gt;"",ISNUMBER(B93)),L93=""),1,0)</f>
        <v/>
      </c>
    </row>
    <row r="94">
      <c r="A94" s="1" t="n"/>
      <c r="B94" s="17" t="n"/>
      <c r="C94" s="18" t="n"/>
      <c r="D94" s="19" t="n"/>
      <c r="E94" s="19" t="n"/>
      <c r="F94" s="20" t="n"/>
      <c r="G94" s="17" t="n"/>
      <c r="H94" s="21" t="n"/>
      <c r="I94" s="22">
        <f>IF(NOT(AND(C94&lt;&gt;"",ISNUMBER(B94))),"",IF(N(IFERROR(INDEX(Crops!$F$6:$F$65,MATCH(C94,Crops!$B$6:$B$65,0)),0))&gt;0,INT(B94)+N(IFERROR(INDEX(Crops!$F$6:$F$65,MATCH(C94,Crops!$B$6:$B$65,0)),0)),""))</f>
        <v/>
      </c>
      <c r="J94" s="16">
        <f>IF(NOT(AND(C94&lt;&gt;"",ISNUMBER(B94))),"",IF(ISNUMBER(G94),"Done",IF(INT(B94)&gt;TODAY(),"Planned",IF(COUNTIFS(Harvest!$C$6:$C$1505,C94,Harvest!$D$6:$D$1505,D94&amp;"",Harvest!$L$6:$L$1505,"&gt;="&amp;INT(B94))&gt;0,"Picking","Growing"))))</f>
        <v/>
      </c>
      <c r="K94" s="14">
        <f>IF(OR(NOT(AND(C94&lt;&gt;"",ISNUMBER(B94))),J94="Planned"),"",IF(ISNUMBER(G94),INT(G94),TODAY())-INT(B94))</f>
        <v/>
      </c>
      <c r="L94" s="11">
        <f>IF(AND(B94="",C94="",D94=""),"",IF(NOT(ISNUMBER(B94)),"Needs a date",IF(C94="","Needs a crop",IF(COUNTIF(Crops!$B$6:$B$65,C94)=0,"Not on Crops",IF(AND(D94&lt;&gt;"",COUNTIF(Beds!$B$6:$B$35,D94)=0),"Not on Beds",IF(AND(ISNUMBER(G94),G94&lt;B94),"Cleared before it was planted",""))))))</f>
        <v/>
      </c>
      <c r="M94" s="11">
        <f>IF(OR(L94&lt;&gt;"",D94="",O94=""),"",IF(COUNTIFS(Plantings!$D$6:$D$505,D94,Plantings!$O$6:$O$505,O94,Plantings!$N$6:$N$505,N94-1)&gt;0,"Same family here last year",""))</f>
        <v/>
      </c>
      <c r="N94" s="1">
        <f>IF(ISNUMBER(B94),YEAR(B94),"")</f>
        <v/>
      </c>
      <c r="O94">
        <f>IF(C94="","",IFERROR(INDEX(Crops!$C$6:$C$65,MATCH(C94,Crops!$B$6:$B$65,0))&amp;"",""))</f>
        <v/>
      </c>
      <c r="P94">
        <f>IF(ISNUMBER(B94),INT(B94),0)</f>
        <v/>
      </c>
      <c r="Q94">
        <f>IF(AND(L94="",OR(J94="Growing",J94="Picking")),1,0)</f>
        <v/>
      </c>
      <c r="R94">
        <f>IF(AND(Q94=1,D94&lt;&gt;""),P94*1000+ROW(),0)</f>
        <v/>
      </c>
      <c r="S94">
        <f>IF(AND(AND(C94&lt;&gt;"",ISNUMBER(B94)),L94=""),1,0)</f>
        <v/>
      </c>
    </row>
    <row r="95">
      <c r="A95" s="1" t="n"/>
      <c r="B95" s="17" t="n"/>
      <c r="C95" s="18" t="n"/>
      <c r="D95" s="19" t="n"/>
      <c r="E95" s="19" t="n"/>
      <c r="F95" s="20" t="n"/>
      <c r="G95" s="17" t="n"/>
      <c r="H95" s="21" t="n"/>
      <c r="I95" s="22">
        <f>IF(NOT(AND(C95&lt;&gt;"",ISNUMBER(B95))),"",IF(N(IFERROR(INDEX(Crops!$F$6:$F$65,MATCH(C95,Crops!$B$6:$B$65,0)),0))&gt;0,INT(B95)+N(IFERROR(INDEX(Crops!$F$6:$F$65,MATCH(C95,Crops!$B$6:$B$65,0)),0)),""))</f>
        <v/>
      </c>
      <c r="J95" s="16">
        <f>IF(NOT(AND(C95&lt;&gt;"",ISNUMBER(B95))),"",IF(ISNUMBER(G95),"Done",IF(INT(B95)&gt;TODAY(),"Planned",IF(COUNTIFS(Harvest!$C$6:$C$1505,C95,Harvest!$D$6:$D$1505,D95&amp;"",Harvest!$L$6:$L$1505,"&gt;="&amp;INT(B95))&gt;0,"Picking","Growing"))))</f>
        <v/>
      </c>
      <c r="K95" s="14">
        <f>IF(OR(NOT(AND(C95&lt;&gt;"",ISNUMBER(B95))),J95="Planned"),"",IF(ISNUMBER(G95),INT(G95),TODAY())-INT(B95))</f>
        <v/>
      </c>
      <c r="L95" s="11">
        <f>IF(AND(B95="",C95="",D95=""),"",IF(NOT(ISNUMBER(B95)),"Needs a date",IF(C95="","Needs a crop",IF(COUNTIF(Crops!$B$6:$B$65,C95)=0,"Not on Crops",IF(AND(D95&lt;&gt;"",COUNTIF(Beds!$B$6:$B$35,D95)=0),"Not on Beds",IF(AND(ISNUMBER(G95),G95&lt;B95),"Cleared before it was planted",""))))))</f>
        <v/>
      </c>
      <c r="M95" s="11">
        <f>IF(OR(L95&lt;&gt;"",D95="",O95=""),"",IF(COUNTIFS(Plantings!$D$6:$D$505,D95,Plantings!$O$6:$O$505,O95,Plantings!$N$6:$N$505,N95-1)&gt;0,"Same family here last year",""))</f>
        <v/>
      </c>
      <c r="N95" s="1">
        <f>IF(ISNUMBER(B95),YEAR(B95),"")</f>
        <v/>
      </c>
      <c r="O95">
        <f>IF(C95="","",IFERROR(INDEX(Crops!$C$6:$C$65,MATCH(C95,Crops!$B$6:$B$65,0))&amp;"",""))</f>
        <v/>
      </c>
      <c r="P95">
        <f>IF(ISNUMBER(B95),INT(B95),0)</f>
        <v/>
      </c>
      <c r="Q95">
        <f>IF(AND(L95="",OR(J95="Growing",J95="Picking")),1,0)</f>
        <v/>
      </c>
      <c r="R95">
        <f>IF(AND(Q95=1,D95&lt;&gt;""),P95*1000+ROW(),0)</f>
        <v/>
      </c>
      <c r="S95">
        <f>IF(AND(AND(C95&lt;&gt;"",ISNUMBER(B95)),L95=""),1,0)</f>
        <v/>
      </c>
    </row>
    <row r="96">
      <c r="A96" s="1" t="n"/>
      <c r="B96" s="17" t="n"/>
      <c r="C96" s="18" t="n"/>
      <c r="D96" s="19" t="n"/>
      <c r="E96" s="19" t="n"/>
      <c r="F96" s="20" t="n"/>
      <c r="G96" s="17" t="n"/>
      <c r="H96" s="21" t="n"/>
      <c r="I96" s="22">
        <f>IF(NOT(AND(C96&lt;&gt;"",ISNUMBER(B96))),"",IF(N(IFERROR(INDEX(Crops!$F$6:$F$65,MATCH(C96,Crops!$B$6:$B$65,0)),0))&gt;0,INT(B96)+N(IFERROR(INDEX(Crops!$F$6:$F$65,MATCH(C96,Crops!$B$6:$B$65,0)),0)),""))</f>
        <v/>
      </c>
      <c r="J96" s="16">
        <f>IF(NOT(AND(C96&lt;&gt;"",ISNUMBER(B96))),"",IF(ISNUMBER(G96),"Done",IF(INT(B96)&gt;TODAY(),"Planned",IF(COUNTIFS(Harvest!$C$6:$C$1505,C96,Harvest!$D$6:$D$1505,D96&amp;"",Harvest!$L$6:$L$1505,"&gt;="&amp;INT(B96))&gt;0,"Picking","Growing"))))</f>
        <v/>
      </c>
      <c r="K96" s="14">
        <f>IF(OR(NOT(AND(C96&lt;&gt;"",ISNUMBER(B96))),J96="Planned"),"",IF(ISNUMBER(G96),INT(G96),TODAY())-INT(B96))</f>
        <v/>
      </c>
      <c r="L96" s="11">
        <f>IF(AND(B96="",C96="",D96=""),"",IF(NOT(ISNUMBER(B96)),"Needs a date",IF(C96="","Needs a crop",IF(COUNTIF(Crops!$B$6:$B$65,C96)=0,"Not on Crops",IF(AND(D96&lt;&gt;"",COUNTIF(Beds!$B$6:$B$35,D96)=0),"Not on Beds",IF(AND(ISNUMBER(G96),G96&lt;B96),"Cleared before it was planted",""))))))</f>
        <v/>
      </c>
      <c r="M96" s="11">
        <f>IF(OR(L96&lt;&gt;"",D96="",O96=""),"",IF(COUNTIFS(Plantings!$D$6:$D$505,D96,Plantings!$O$6:$O$505,O96,Plantings!$N$6:$N$505,N96-1)&gt;0,"Same family here last year",""))</f>
        <v/>
      </c>
      <c r="N96" s="1">
        <f>IF(ISNUMBER(B96),YEAR(B96),"")</f>
        <v/>
      </c>
      <c r="O96">
        <f>IF(C96="","",IFERROR(INDEX(Crops!$C$6:$C$65,MATCH(C96,Crops!$B$6:$B$65,0))&amp;"",""))</f>
        <v/>
      </c>
      <c r="P96">
        <f>IF(ISNUMBER(B96),INT(B96),0)</f>
        <v/>
      </c>
      <c r="Q96">
        <f>IF(AND(L96="",OR(J96="Growing",J96="Picking")),1,0)</f>
        <v/>
      </c>
      <c r="R96">
        <f>IF(AND(Q96=1,D96&lt;&gt;""),P96*1000+ROW(),0)</f>
        <v/>
      </c>
      <c r="S96">
        <f>IF(AND(AND(C96&lt;&gt;"",ISNUMBER(B96)),L96=""),1,0)</f>
        <v/>
      </c>
    </row>
    <row r="97">
      <c r="A97" s="1" t="n"/>
      <c r="B97" s="17" t="n"/>
      <c r="C97" s="18" t="n"/>
      <c r="D97" s="19" t="n"/>
      <c r="E97" s="19" t="n"/>
      <c r="F97" s="20" t="n"/>
      <c r="G97" s="17" t="n"/>
      <c r="H97" s="21" t="n"/>
      <c r="I97" s="22">
        <f>IF(NOT(AND(C97&lt;&gt;"",ISNUMBER(B97))),"",IF(N(IFERROR(INDEX(Crops!$F$6:$F$65,MATCH(C97,Crops!$B$6:$B$65,0)),0))&gt;0,INT(B97)+N(IFERROR(INDEX(Crops!$F$6:$F$65,MATCH(C97,Crops!$B$6:$B$65,0)),0)),""))</f>
        <v/>
      </c>
      <c r="J97" s="16">
        <f>IF(NOT(AND(C97&lt;&gt;"",ISNUMBER(B97))),"",IF(ISNUMBER(G97),"Done",IF(INT(B97)&gt;TODAY(),"Planned",IF(COUNTIFS(Harvest!$C$6:$C$1505,C97,Harvest!$D$6:$D$1505,D97&amp;"",Harvest!$L$6:$L$1505,"&gt;="&amp;INT(B97))&gt;0,"Picking","Growing"))))</f>
        <v/>
      </c>
      <c r="K97" s="14">
        <f>IF(OR(NOT(AND(C97&lt;&gt;"",ISNUMBER(B97))),J97="Planned"),"",IF(ISNUMBER(G97),INT(G97),TODAY())-INT(B97))</f>
        <v/>
      </c>
      <c r="L97" s="11">
        <f>IF(AND(B97="",C97="",D97=""),"",IF(NOT(ISNUMBER(B97)),"Needs a date",IF(C97="","Needs a crop",IF(COUNTIF(Crops!$B$6:$B$65,C97)=0,"Not on Crops",IF(AND(D97&lt;&gt;"",COUNTIF(Beds!$B$6:$B$35,D97)=0),"Not on Beds",IF(AND(ISNUMBER(G97),G97&lt;B97),"Cleared before it was planted",""))))))</f>
        <v/>
      </c>
      <c r="M97" s="11">
        <f>IF(OR(L97&lt;&gt;"",D97="",O97=""),"",IF(COUNTIFS(Plantings!$D$6:$D$505,D97,Plantings!$O$6:$O$505,O97,Plantings!$N$6:$N$505,N97-1)&gt;0,"Same family here last year",""))</f>
        <v/>
      </c>
      <c r="N97" s="1">
        <f>IF(ISNUMBER(B97),YEAR(B97),"")</f>
        <v/>
      </c>
      <c r="O97">
        <f>IF(C97="","",IFERROR(INDEX(Crops!$C$6:$C$65,MATCH(C97,Crops!$B$6:$B$65,0))&amp;"",""))</f>
        <v/>
      </c>
      <c r="P97">
        <f>IF(ISNUMBER(B97),INT(B97),0)</f>
        <v/>
      </c>
      <c r="Q97">
        <f>IF(AND(L97="",OR(J97="Growing",J97="Picking")),1,0)</f>
        <v/>
      </c>
      <c r="R97">
        <f>IF(AND(Q97=1,D97&lt;&gt;""),P97*1000+ROW(),0)</f>
        <v/>
      </c>
      <c r="S97">
        <f>IF(AND(AND(C97&lt;&gt;"",ISNUMBER(B97)),L97=""),1,0)</f>
        <v/>
      </c>
    </row>
    <row r="98">
      <c r="A98" s="1" t="n"/>
      <c r="B98" s="17" t="n"/>
      <c r="C98" s="18" t="n"/>
      <c r="D98" s="19" t="n"/>
      <c r="E98" s="19" t="n"/>
      <c r="F98" s="20" t="n"/>
      <c r="G98" s="17" t="n"/>
      <c r="H98" s="21" t="n"/>
      <c r="I98" s="22">
        <f>IF(NOT(AND(C98&lt;&gt;"",ISNUMBER(B98))),"",IF(N(IFERROR(INDEX(Crops!$F$6:$F$65,MATCH(C98,Crops!$B$6:$B$65,0)),0))&gt;0,INT(B98)+N(IFERROR(INDEX(Crops!$F$6:$F$65,MATCH(C98,Crops!$B$6:$B$65,0)),0)),""))</f>
        <v/>
      </c>
      <c r="J98" s="16">
        <f>IF(NOT(AND(C98&lt;&gt;"",ISNUMBER(B98))),"",IF(ISNUMBER(G98),"Done",IF(INT(B98)&gt;TODAY(),"Planned",IF(COUNTIFS(Harvest!$C$6:$C$1505,C98,Harvest!$D$6:$D$1505,D98&amp;"",Harvest!$L$6:$L$1505,"&gt;="&amp;INT(B98))&gt;0,"Picking","Growing"))))</f>
        <v/>
      </c>
      <c r="K98" s="14">
        <f>IF(OR(NOT(AND(C98&lt;&gt;"",ISNUMBER(B98))),J98="Planned"),"",IF(ISNUMBER(G98),INT(G98),TODAY())-INT(B98))</f>
        <v/>
      </c>
      <c r="L98" s="11">
        <f>IF(AND(B98="",C98="",D98=""),"",IF(NOT(ISNUMBER(B98)),"Needs a date",IF(C98="","Needs a crop",IF(COUNTIF(Crops!$B$6:$B$65,C98)=0,"Not on Crops",IF(AND(D98&lt;&gt;"",COUNTIF(Beds!$B$6:$B$35,D98)=0),"Not on Beds",IF(AND(ISNUMBER(G98),G98&lt;B98),"Cleared before it was planted",""))))))</f>
        <v/>
      </c>
      <c r="M98" s="11">
        <f>IF(OR(L98&lt;&gt;"",D98="",O98=""),"",IF(COUNTIFS(Plantings!$D$6:$D$505,D98,Plantings!$O$6:$O$505,O98,Plantings!$N$6:$N$505,N98-1)&gt;0,"Same family here last year",""))</f>
        <v/>
      </c>
      <c r="N98" s="1">
        <f>IF(ISNUMBER(B98),YEAR(B98),"")</f>
        <v/>
      </c>
      <c r="O98">
        <f>IF(C98="","",IFERROR(INDEX(Crops!$C$6:$C$65,MATCH(C98,Crops!$B$6:$B$65,0))&amp;"",""))</f>
        <v/>
      </c>
      <c r="P98">
        <f>IF(ISNUMBER(B98),INT(B98),0)</f>
        <v/>
      </c>
      <c r="Q98">
        <f>IF(AND(L98="",OR(J98="Growing",J98="Picking")),1,0)</f>
        <v/>
      </c>
      <c r="R98">
        <f>IF(AND(Q98=1,D98&lt;&gt;""),P98*1000+ROW(),0)</f>
        <v/>
      </c>
      <c r="S98">
        <f>IF(AND(AND(C98&lt;&gt;"",ISNUMBER(B98)),L98=""),1,0)</f>
        <v/>
      </c>
    </row>
    <row r="99">
      <c r="A99" s="1" t="n"/>
      <c r="B99" s="17" t="n"/>
      <c r="C99" s="18" t="n"/>
      <c r="D99" s="19" t="n"/>
      <c r="E99" s="19" t="n"/>
      <c r="F99" s="20" t="n"/>
      <c r="G99" s="17" t="n"/>
      <c r="H99" s="21" t="n"/>
      <c r="I99" s="22">
        <f>IF(NOT(AND(C99&lt;&gt;"",ISNUMBER(B99))),"",IF(N(IFERROR(INDEX(Crops!$F$6:$F$65,MATCH(C99,Crops!$B$6:$B$65,0)),0))&gt;0,INT(B99)+N(IFERROR(INDEX(Crops!$F$6:$F$65,MATCH(C99,Crops!$B$6:$B$65,0)),0)),""))</f>
        <v/>
      </c>
      <c r="J99" s="16">
        <f>IF(NOT(AND(C99&lt;&gt;"",ISNUMBER(B99))),"",IF(ISNUMBER(G99),"Done",IF(INT(B99)&gt;TODAY(),"Planned",IF(COUNTIFS(Harvest!$C$6:$C$1505,C99,Harvest!$D$6:$D$1505,D99&amp;"",Harvest!$L$6:$L$1505,"&gt;="&amp;INT(B99))&gt;0,"Picking","Growing"))))</f>
        <v/>
      </c>
      <c r="K99" s="14">
        <f>IF(OR(NOT(AND(C99&lt;&gt;"",ISNUMBER(B99))),J99="Planned"),"",IF(ISNUMBER(G99),INT(G99),TODAY())-INT(B99))</f>
        <v/>
      </c>
      <c r="L99" s="11">
        <f>IF(AND(B99="",C99="",D99=""),"",IF(NOT(ISNUMBER(B99)),"Needs a date",IF(C99="","Needs a crop",IF(COUNTIF(Crops!$B$6:$B$65,C99)=0,"Not on Crops",IF(AND(D99&lt;&gt;"",COUNTIF(Beds!$B$6:$B$35,D99)=0),"Not on Beds",IF(AND(ISNUMBER(G99),G99&lt;B99),"Cleared before it was planted",""))))))</f>
        <v/>
      </c>
      <c r="M99" s="11">
        <f>IF(OR(L99&lt;&gt;"",D99="",O99=""),"",IF(COUNTIFS(Plantings!$D$6:$D$505,D99,Plantings!$O$6:$O$505,O99,Plantings!$N$6:$N$505,N99-1)&gt;0,"Same family here last year",""))</f>
        <v/>
      </c>
      <c r="N99" s="1">
        <f>IF(ISNUMBER(B99),YEAR(B99),"")</f>
        <v/>
      </c>
      <c r="O99">
        <f>IF(C99="","",IFERROR(INDEX(Crops!$C$6:$C$65,MATCH(C99,Crops!$B$6:$B$65,0))&amp;"",""))</f>
        <v/>
      </c>
      <c r="P99">
        <f>IF(ISNUMBER(B99),INT(B99),0)</f>
        <v/>
      </c>
      <c r="Q99">
        <f>IF(AND(L99="",OR(J99="Growing",J99="Picking")),1,0)</f>
        <v/>
      </c>
      <c r="R99">
        <f>IF(AND(Q99=1,D99&lt;&gt;""),P99*1000+ROW(),0)</f>
        <v/>
      </c>
      <c r="S99">
        <f>IF(AND(AND(C99&lt;&gt;"",ISNUMBER(B99)),L99=""),1,0)</f>
        <v/>
      </c>
    </row>
    <row r="100">
      <c r="A100" s="1" t="n"/>
      <c r="B100" s="17" t="n"/>
      <c r="C100" s="18" t="n"/>
      <c r="D100" s="19" t="n"/>
      <c r="E100" s="19" t="n"/>
      <c r="F100" s="20" t="n"/>
      <c r="G100" s="17" t="n"/>
      <c r="H100" s="21" t="n"/>
      <c r="I100" s="22">
        <f>IF(NOT(AND(C100&lt;&gt;"",ISNUMBER(B100))),"",IF(N(IFERROR(INDEX(Crops!$F$6:$F$65,MATCH(C100,Crops!$B$6:$B$65,0)),0))&gt;0,INT(B100)+N(IFERROR(INDEX(Crops!$F$6:$F$65,MATCH(C100,Crops!$B$6:$B$65,0)),0)),""))</f>
        <v/>
      </c>
      <c r="J100" s="16">
        <f>IF(NOT(AND(C100&lt;&gt;"",ISNUMBER(B100))),"",IF(ISNUMBER(G100),"Done",IF(INT(B100)&gt;TODAY(),"Planned",IF(COUNTIFS(Harvest!$C$6:$C$1505,C100,Harvest!$D$6:$D$1505,D100&amp;"",Harvest!$L$6:$L$1505,"&gt;="&amp;INT(B100))&gt;0,"Picking","Growing"))))</f>
        <v/>
      </c>
      <c r="K100" s="14">
        <f>IF(OR(NOT(AND(C100&lt;&gt;"",ISNUMBER(B100))),J100="Planned"),"",IF(ISNUMBER(G100),INT(G100),TODAY())-INT(B100))</f>
        <v/>
      </c>
      <c r="L100" s="11">
        <f>IF(AND(B100="",C100="",D100=""),"",IF(NOT(ISNUMBER(B100)),"Needs a date",IF(C100="","Needs a crop",IF(COUNTIF(Crops!$B$6:$B$65,C100)=0,"Not on Crops",IF(AND(D100&lt;&gt;"",COUNTIF(Beds!$B$6:$B$35,D100)=0),"Not on Beds",IF(AND(ISNUMBER(G100),G100&lt;B100),"Cleared before it was planted",""))))))</f>
        <v/>
      </c>
      <c r="M100" s="11">
        <f>IF(OR(L100&lt;&gt;"",D100="",O100=""),"",IF(COUNTIFS(Plantings!$D$6:$D$505,D100,Plantings!$O$6:$O$505,O100,Plantings!$N$6:$N$505,N100-1)&gt;0,"Same family here last year",""))</f>
        <v/>
      </c>
      <c r="N100" s="1">
        <f>IF(ISNUMBER(B100),YEAR(B100),"")</f>
        <v/>
      </c>
      <c r="O100">
        <f>IF(C100="","",IFERROR(INDEX(Crops!$C$6:$C$65,MATCH(C100,Crops!$B$6:$B$65,0))&amp;"",""))</f>
        <v/>
      </c>
      <c r="P100">
        <f>IF(ISNUMBER(B100),INT(B100),0)</f>
        <v/>
      </c>
      <c r="Q100">
        <f>IF(AND(L100="",OR(J100="Growing",J100="Picking")),1,0)</f>
        <v/>
      </c>
      <c r="R100">
        <f>IF(AND(Q100=1,D100&lt;&gt;""),P100*1000+ROW(),0)</f>
        <v/>
      </c>
      <c r="S100">
        <f>IF(AND(AND(C100&lt;&gt;"",ISNUMBER(B100)),L100=""),1,0)</f>
        <v/>
      </c>
    </row>
    <row r="101">
      <c r="A101" s="1" t="n"/>
      <c r="B101" s="17" t="n"/>
      <c r="C101" s="18" t="n"/>
      <c r="D101" s="19" t="n"/>
      <c r="E101" s="19" t="n"/>
      <c r="F101" s="20" t="n"/>
      <c r="G101" s="17" t="n"/>
      <c r="H101" s="21" t="n"/>
      <c r="I101" s="22">
        <f>IF(NOT(AND(C101&lt;&gt;"",ISNUMBER(B101))),"",IF(N(IFERROR(INDEX(Crops!$F$6:$F$65,MATCH(C101,Crops!$B$6:$B$65,0)),0))&gt;0,INT(B101)+N(IFERROR(INDEX(Crops!$F$6:$F$65,MATCH(C101,Crops!$B$6:$B$65,0)),0)),""))</f>
        <v/>
      </c>
      <c r="J101" s="16">
        <f>IF(NOT(AND(C101&lt;&gt;"",ISNUMBER(B101))),"",IF(ISNUMBER(G101),"Done",IF(INT(B101)&gt;TODAY(),"Planned",IF(COUNTIFS(Harvest!$C$6:$C$1505,C101,Harvest!$D$6:$D$1505,D101&amp;"",Harvest!$L$6:$L$1505,"&gt;="&amp;INT(B101))&gt;0,"Picking","Growing"))))</f>
        <v/>
      </c>
      <c r="K101" s="14">
        <f>IF(OR(NOT(AND(C101&lt;&gt;"",ISNUMBER(B101))),J101="Planned"),"",IF(ISNUMBER(G101),INT(G101),TODAY())-INT(B101))</f>
        <v/>
      </c>
      <c r="L101" s="11">
        <f>IF(AND(B101="",C101="",D101=""),"",IF(NOT(ISNUMBER(B101)),"Needs a date",IF(C101="","Needs a crop",IF(COUNTIF(Crops!$B$6:$B$65,C101)=0,"Not on Crops",IF(AND(D101&lt;&gt;"",COUNTIF(Beds!$B$6:$B$35,D101)=0),"Not on Beds",IF(AND(ISNUMBER(G101),G101&lt;B101),"Cleared before it was planted",""))))))</f>
        <v/>
      </c>
      <c r="M101" s="11">
        <f>IF(OR(L101&lt;&gt;"",D101="",O101=""),"",IF(COUNTIFS(Plantings!$D$6:$D$505,D101,Plantings!$O$6:$O$505,O101,Plantings!$N$6:$N$505,N101-1)&gt;0,"Same family here last year",""))</f>
        <v/>
      </c>
      <c r="N101" s="1">
        <f>IF(ISNUMBER(B101),YEAR(B101),"")</f>
        <v/>
      </c>
      <c r="O101">
        <f>IF(C101="","",IFERROR(INDEX(Crops!$C$6:$C$65,MATCH(C101,Crops!$B$6:$B$65,0))&amp;"",""))</f>
        <v/>
      </c>
      <c r="P101">
        <f>IF(ISNUMBER(B101),INT(B101),0)</f>
        <v/>
      </c>
      <c r="Q101">
        <f>IF(AND(L101="",OR(J101="Growing",J101="Picking")),1,0)</f>
        <v/>
      </c>
      <c r="R101">
        <f>IF(AND(Q101=1,D101&lt;&gt;""),P101*1000+ROW(),0)</f>
        <v/>
      </c>
      <c r="S101">
        <f>IF(AND(AND(C101&lt;&gt;"",ISNUMBER(B101)),L101=""),1,0)</f>
        <v/>
      </c>
    </row>
    <row r="102">
      <c r="A102" s="1" t="n"/>
      <c r="B102" s="17" t="n"/>
      <c r="C102" s="18" t="n"/>
      <c r="D102" s="19" t="n"/>
      <c r="E102" s="19" t="n"/>
      <c r="F102" s="20" t="n"/>
      <c r="G102" s="17" t="n"/>
      <c r="H102" s="21" t="n"/>
      <c r="I102" s="22">
        <f>IF(NOT(AND(C102&lt;&gt;"",ISNUMBER(B102))),"",IF(N(IFERROR(INDEX(Crops!$F$6:$F$65,MATCH(C102,Crops!$B$6:$B$65,0)),0))&gt;0,INT(B102)+N(IFERROR(INDEX(Crops!$F$6:$F$65,MATCH(C102,Crops!$B$6:$B$65,0)),0)),""))</f>
        <v/>
      </c>
      <c r="J102" s="16">
        <f>IF(NOT(AND(C102&lt;&gt;"",ISNUMBER(B102))),"",IF(ISNUMBER(G102),"Done",IF(INT(B102)&gt;TODAY(),"Planned",IF(COUNTIFS(Harvest!$C$6:$C$1505,C102,Harvest!$D$6:$D$1505,D102&amp;"",Harvest!$L$6:$L$1505,"&gt;="&amp;INT(B102))&gt;0,"Picking","Growing"))))</f>
        <v/>
      </c>
      <c r="K102" s="14">
        <f>IF(OR(NOT(AND(C102&lt;&gt;"",ISNUMBER(B102))),J102="Planned"),"",IF(ISNUMBER(G102),INT(G102),TODAY())-INT(B102))</f>
        <v/>
      </c>
      <c r="L102" s="11">
        <f>IF(AND(B102="",C102="",D102=""),"",IF(NOT(ISNUMBER(B102)),"Needs a date",IF(C102="","Needs a crop",IF(COUNTIF(Crops!$B$6:$B$65,C102)=0,"Not on Crops",IF(AND(D102&lt;&gt;"",COUNTIF(Beds!$B$6:$B$35,D102)=0),"Not on Beds",IF(AND(ISNUMBER(G102),G102&lt;B102),"Cleared before it was planted",""))))))</f>
        <v/>
      </c>
      <c r="M102" s="11">
        <f>IF(OR(L102&lt;&gt;"",D102="",O102=""),"",IF(COUNTIFS(Plantings!$D$6:$D$505,D102,Plantings!$O$6:$O$505,O102,Plantings!$N$6:$N$505,N102-1)&gt;0,"Same family here last year",""))</f>
        <v/>
      </c>
      <c r="N102" s="1">
        <f>IF(ISNUMBER(B102),YEAR(B102),"")</f>
        <v/>
      </c>
      <c r="O102">
        <f>IF(C102="","",IFERROR(INDEX(Crops!$C$6:$C$65,MATCH(C102,Crops!$B$6:$B$65,0))&amp;"",""))</f>
        <v/>
      </c>
      <c r="P102">
        <f>IF(ISNUMBER(B102),INT(B102),0)</f>
        <v/>
      </c>
      <c r="Q102">
        <f>IF(AND(L102="",OR(J102="Growing",J102="Picking")),1,0)</f>
        <v/>
      </c>
      <c r="R102">
        <f>IF(AND(Q102=1,D102&lt;&gt;""),P102*1000+ROW(),0)</f>
        <v/>
      </c>
      <c r="S102">
        <f>IF(AND(AND(C102&lt;&gt;"",ISNUMBER(B102)),L102=""),1,0)</f>
        <v/>
      </c>
    </row>
    <row r="103">
      <c r="A103" s="1" t="n"/>
      <c r="B103" s="17" t="n"/>
      <c r="C103" s="18" t="n"/>
      <c r="D103" s="19" t="n"/>
      <c r="E103" s="19" t="n"/>
      <c r="F103" s="20" t="n"/>
      <c r="G103" s="17" t="n"/>
      <c r="H103" s="21" t="n"/>
      <c r="I103" s="22">
        <f>IF(NOT(AND(C103&lt;&gt;"",ISNUMBER(B103))),"",IF(N(IFERROR(INDEX(Crops!$F$6:$F$65,MATCH(C103,Crops!$B$6:$B$65,0)),0))&gt;0,INT(B103)+N(IFERROR(INDEX(Crops!$F$6:$F$65,MATCH(C103,Crops!$B$6:$B$65,0)),0)),""))</f>
        <v/>
      </c>
      <c r="J103" s="16">
        <f>IF(NOT(AND(C103&lt;&gt;"",ISNUMBER(B103))),"",IF(ISNUMBER(G103),"Done",IF(INT(B103)&gt;TODAY(),"Planned",IF(COUNTIFS(Harvest!$C$6:$C$1505,C103,Harvest!$D$6:$D$1505,D103&amp;"",Harvest!$L$6:$L$1505,"&gt;="&amp;INT(B103))&gt;0,"Picking","Growing"))))</f>
        <v/>
      </c>
      <c r="K103" s="14">
        <f>IF(OR(NOT(AND(C103&lt;&gt;"",ISNUMBER(B103))),J103="Planned"),"",IF(ISNUMBER(G103),INT(G103),TODAY())-INT(B103))</f>
        <v/>
      </c>
      <c r="L103" s="11">
        <f>IF(AND(B103="",C103="",D103=""),"",IF(NOT(ISNUMBER(B103)),"Needs a date",IF(C103="","Needs a crop",IF(COUNTIF(Crops!$B$6:$B$65,C103)=0,"Not on Crops",IF(AND(D103&lt;&gt;"",COUNTIF(Beds!$B$6:$B$35,D103)=0),"Not on Beds",IF(AND(ISNUMBER(G103),G103&lt;B103),"Cleared before it was planted",""))))))</f>
        <v/>
      </c>
      <c r="M103" s="11">
        <f>IF(OR(L103&lt;&gt;"",D103="",O103=""),"",IF(COUNTIFS(Plantings!$D$6:$D$505,D103,Plantings!$O$6:$O$505,O103,Plantings!$N$6:$N$505,N103-1)&gt;0,"Same family here last year",""))</f>
        <v/>
      </c>
      <c r="N103" s="1">
        <f>IF(ISNUMBER(B103),YEAR(B103),"")</f>
        <v/>
      </c>
      <c r="O103">
        <f>IF(C103="","",IFERROR(INDEX(Crops!$C$6:$C$65,MATCH(C103,Crops!$B$6:$B$65,0))&amp;"",""))</f>
        <v/>
      </c>
      <c r="P103">
        <f>IF(ISNUMBER(B103),INT(B103),0)</f>
        <v/>
      </c>
      <c r="Q103">
        <f>IF(AND(L103="",OR(J103="Growing",J103="Picking")),1,0)</f>
        <v/>
      </c>
      <c r="R103">
        <f>IF(AND(Q103=1,D103&lt;&gt;""),P103*1000+ROW(),0)</f>
        <v/>
      </c>
      <c r="S103">
        <f>IF(AND(AND(C103&lt;&gt;"",ISNUMBER(B103)),L103=""),1,0)</f>
        <v/>
      </c>
    </row>
    <row r="104">
      <c r="A104" s="1" t="n"/>
      <c r="B104" s="17" t="n"/>
      <c r="C104" s="18" t="n"/>
      <c r="D104" s="19" t="n"/>
      <c r="E104" s="19" t="n"/>
      <c r="F104" s="20" t="n"/>
      <c r="G104" s="17" t="n"/>
      <c r="H104" s="21" t="n"/>
      <c r="I104" s="22">
        <f>IF(NOT(AND(C104&lt;&gt;"",ISNUMBER(B104))),"",IF(N(IFERROR(INDEX(Crops!$F$6:$F$65,MATCH(C104,Crops!$B$6:$B$65,0)),0))&gt;0,INT(B104)+N(IFERROR(INDEX(Crops!$F$6:$F$65,MATCH(C104,Crops!$B$6:$B$65,0)),0)),""))</f>
        <v/>
      </c>
      <c r="J104" s="16">
        <f>IF(NOT(AND(C104&lt;&gt;"",ISNUMBER(B104))),"",IF(ISNUMBER(G104),"Done",IF(INT(B104)&gt;TODAY(),"Planned",IF(COUNTIFS(Harvest!$C$6:$C$1505,C104,Harvest!$D$6:$D$1505,D104&amp;"",Harvest!$L$6:$L$1505,"&gt;="&amp;INT(B104))&gt;0,"Picking","Growing"))))</f>
        <v/>
      </c>
      <c r="K104" s="14">
        <f>IF(OR(NOT(AND(C104&lt;&gt;"",ISNUMBER(B104))),J104="Planned"),"",IF(ISNUMBER(G104),INT(G104),TODAY())-INT(B104))</f>
        <v/>
      </c>
      <c r="L104" s="11">
        <f>IF(AND(B104="",C104="",D104=""),"",IF(NOT(ISNUMBER(B104)),"Needs a date",IF(C104="","Needs a crop",IF(COUNTIF(Crops!$B$6:$B$65,C104)=0,"Not on Crops",IF(AND(D104&lt;&gt;"",COUNTIF(Beds!$B$6:$B$35,D104)=0),"Not on Beds",IF(AND(ISNUMBER(G104),G104&lt;B104),"Cleared before it was planted",""))))))</f>
        <v/>
      </c>
      <c r="M104" s="11">
        <f>IF(OR(L104&lt;&gt;"",D104="",O104=""),"",IF(COUNTIFS(Plantings!$D$6:$D$505,D104,Plantings!$O$6:$O$505,O104,Plantings!$N$6:$N$505,N104-1)&gt;0,"Same family here last year",""))</f>
        <v/>
      </c>
      <c r="N104" s="1">
        <f>IF(ISNUMBER(B104),YEAR(B104),"")</f>
        <v/>
      </c>
      <c r="O104">
        <f>IF(C104="","",IFERROR(INDEX(Crops!$C$6:$C$65,MATCH(C104,Crops!$B$6:$B$65,0))&amp;"",""))</f>
        <v/>
      </c>
      <c r="P104">
        <f>IF(ISNUMBER(B104),INT(B104),0)</f>
        <v/>
      </c>
      <c r="Q104">
        <f>IF(AND(L104="",OR(J104="Growing",J104="Picking")),1,0)</f>
        <v/>
      </c>
      <c r="R104">
        <f>IF(AND(Q104=1,D104&lt;&gt;""),P104*1000+ROW(),0)</f>
        <v/>
      </c>
      <c r="S104">
        <f>IF(AND(AND(C104&lt;&gt;"",ISNUMBER(B104)),L104=""),1,0)</f>
        <v/>
      </c>
    </row>
    <row r="105">
      <c r="A105" s="1" t="n"/>
      <c r="B105" s="17" t="n"/>
      <c r="C105" s="18" t="n"/>
      <c r="D105" s="19" t="n"/>
      <c r="E105" s="19" t="n"/>
      <c r="F105" s="20" t="n"/>
      <c r="G105" s="17" t="n"/>
      <c r="H105" s="21" t="n"/>
      <c r="I105" s="22">
        <f>IF(NOT(AND(C105&lt;&gt;"",ISNUMBER(B105))),"",IF(N(IFERROR(INDEX(Crops!$F$6:$F$65,MATCH(C105,Crops!$B$6:$B$65,0)),0))&gt;0,INT(B105)+N(IFERROR(INDEX(Crops!$F$6:$F$65,MATCH(C105,Crops!$B$6:$B$65,0)),0)),""))</f>
        <v/>
      </c>
      <c r="J105" s="16">
        <f>IF(NOT(AND(C105&lt;&gt;"",ISNUMBER(B105))),"",IF(ISNUMBER(G105),"Done",IF(INT(B105)&gt;TODAY(),"Planned",IF(COUNTIFS(Harvest!$C$6:$C$1505,C105,Harvest!$D$6:$D$1505,D105&amp;"",Harvest!$L$6:$L$1505,"&gt;="&amp;INT(B105))&gt;0,"Picking","Growing"))))</f>
        <v/>
      </c>
      <c r="K105" s="14">
        <f>IF(OR(NOT(AND(C105&lt;&gt;"",ISNUMBER(B105))),J105="Planned"),"",IF(ISNUMBER(G105),INT(G105),TODAY())-INT(B105))</f>
        <v/>
      </c>
      <c r="L105" s="11">
        <f>IF(AND(B105="",C105="",D105=""),"",IF(NOT(ISNUMBER(B105)),"Needs a date",IF(C105="","Needs a crop",IF(COUNTIF(Crops!$B$6:$B$65,C105)=0,"Not on Crops",IF(AND(D105&lt;&gt;"",COUNTIF(Beds!$B$6:$B$35,D105)=0),"Not on Beds",IF(AND(ISNUMBER(G105),G105&lt;B105),"Cleared before it was planted",""))))))</f>
        <v/>
      </c>
      <c r="M105" s="11">
        <f>IF(OR(L105&lt;&gt;"",D105="",O105=""),"",IF(COUNTIFS(Plantings!$D$6:$D$505,D105,Plantings!$O$6:$O$505,O105,Plantings!$N$6:$N$505,N105-1)&gt;0,"Same family here last year",""))</f>
        <v/>
      </c>
      <c r="N105" s="1">
        <f>IF(ISNUMBER(B105),YEAR(B105),"")</f>
        <v/>
      </c>
      <c r="O105">
        <f>IF(C105="","",IFERROR(INDEX(Crops!$C$6:$C$65,MATCH(C105,Crops!$B$6:$B$65,0))&amp;"",""))</f>
        <v/>
      </c>
      <c r="P105">
        <f>IF(ISNUMBER(B105),INT(B105),0)</f>
        <v/>
      </c>
      <c r="Q105">
        <f>IF(AND(L105="",OR(J105="Growing",J105="Picking")),1,0)</f>
        <v/>
      </c>
      <c r="R105">
        <f>IF(AND(Q105=1,D105&lt;&gt;""),P105*1000+ROW(),0)</f>
        <v/>
      </c>
      <c r="S105">
        <f>IF(AND(AND(C105&lt;&gt;"",ISNUMBER(B105)),L105=""),1,0)</f>
        <v/>
      </c>
    </row>
    <row r="106">
      <c r="A106" s="1" t="n"/>
      <c r="B106" s="17" t="n"/>
      <c r="C106" s="18" t="n"/>
      <c r="D106" s="19" t="n"/>
      <c r="E106" s="19" t="n"/>
      <c r="F106" s="20" t="n"/>
      <c r="G106" s="17" t="n"/>
      <c r="H106" s="21" t="n"/>
      <c r="I106" s="22">
        <f>IF(NOT(AND(C106&lt;&gt;"",ISNUMBER(B106))),"",IF(N(IFERROR(INDEX(Crops!$F$6:$F$65,MATCH(C106,Crops!$B$6:$B$65,0)),0))&gt;0,INT(B106)+N(IFERROR(INDEX(Crops!$F$6:$F$65,MATCH(C106,Crops!$B$6:$B$65,0)),0)),""))</f>
        <v/>
      </c>
      <c r="J106" s="16">
        <f>IF(NOT(AND(C106&lt;&gt;"",ISNUMBER(B106))),"",IF(ISNUMBER(G106),"Done",IF(INT(B106)&gt;TODAY(),"Planned",IF(COUNTIFS(Harvest!$C$6:$C$1505,C106,Harvest!$D$6:$D$1505,D106&amp;"",Harvest!$L$6:$L$1505,"&gt;="&amp;INT(B106))&gt;0,"Picking","Growing"))))</f>
        <v/>
      </c>
      <c r="K106" s="14">
        <f>IF(OR(NOT(AND(C106&lt;&gt;"",ISNUMBER(B106))),J106="Planned"),"",IF(ISNUMBER(G106),INT(G106),TODAY())-INT(B106))</f>
        <v/>
      </c>
      <c r="L106" s="11">
        <f>IF(AND(B106="",C106="",D106=""),"",IF(NOT(ISNUMBER(B106)),"Needs a date",IF(C106="","Needs a crop",IF(COUNTIF(Crops!$B$6:$B$65,C106)=0,"Not on Crops",IF(AND(D106&lt;&gt;"",COUNTIF(Beds!$B$6:$B$35,D106)=0),"Not on Beds",IF(AND(ISNUMBER(G106),G106&lt;B106),"Cleared before it was planted",""))))))</f>
        <v/>
      </c>
      <c r="M106" s="11">
        <f>IF(OR(L106&lt;&gt;"",D106="",O106=""),"",IF(COUNTIFS(Plantings!$D$6:$D$505,D106,Plantings!$O$6:$O$505,O106,Plantings!$N$6:$N$505,N106-1)&gt;0,"Same family here last year",""))</f>
        <v/>
      </c>
      <c r="N106" s="1">
        <f>IF(ISNUMBER(B106),YEAR(B106),"")</f>
        <v/>
      </c>
      <c r="O106">
        <f>IF(C106="","",IFERROR(INDEX(Crops!$C$6:$C$65,MATCH(C106,Crops!$B$6:$B$65,0))&amp;"",""))</f>
        <v/>
      </c>
      <c r="P106">
        <f>IF(ISNUMBER(B106),INT(B106),0)</f>
        <v/>
      </c>
      <c r="Q106">
        <f>IF(AND(L106="",OR(J106="Growing",J106="Picking")),1,0)</f>
        <v/>
      </c>
      <c r="R106">
        <f>IF(AND(Q106=1,D106&lt;&gt;""),P106*1000+ROW(),0)</f>
        <v/>
      </c>
      <c r="S106">
        <f>IF(AND(AND(C106&lt;&gt;"",ISNUMBER(B106)),L106=""),1,0)</f>
        <v/>
      </c>
    </row>
    <row r="107">
      <c r="A107" s="1" t="n"/>
      <c r="B107" s="17" t="n"/>
      <c r="C107" s="18" t="n"/>
      <c r="D107" s="19" t="n"/>
      <c r="E107" s="19" t="n"/>
      <c r="F107" s="20" t="n"/>
      <c r="G107" s="17" t="n"/>
      <c r="H107" s="21" t="n"/>
      <c r="I107" s="22">
        <f>IF(NOT(AND(C107&lt;&gt;"",ISNUMBER(B107))),"",IF(N(IFERROR(INDEX(Crops!$F$6:$F$65,MATCH(C107,Crops!$B$6:$B$65,0)),0))&gt;0,INT(B107)+N(IFERROR(INDEX(Crops!$F$6:$F$65,MATCH(C107,Crops!$B$6:$B$65,0)),0)),""))</f>
        <v/>
      </c>
      <c r="J107" s="16">
        <f>IF(NOT(AND(C107&lt;&gt;"",ISNUMBER(B107))),"",IF(ISNUMBER(G107),"Done",IF(INT(B107)&gt;TODAY(),"Planned",IF(COUNTIFS(Harvest!$C$6:$C$1505,C107,Harvest!$D$6:$D$1505,D107&amp;"",Harvest!$L$6:$L$1505,"&gt;="&amp;INT(B107))&gt;0,"Picking","Growing"))))</f>
        <v/>
      </c>
      <c r="K107" s="14">
        <f>IF(OR(NOT(AND(C107&lt;&gt;"",ISNUMBER(B107))),J107="Planned"),"",IF(ISNUMBER(G107),INT(G107),TODAY())-INT(B107))</f>
        <v/>
      </c>
      <c r="L107" s="11">
        <f>IF(AND(B107="",C107="",D107=""),"",IF(NOT(ISNUMBER(B107)),"Needs a date",IF(C107="","Needs a crop",IF(COUNTIF(Crops!$B$6:$B$65,C107)=0,"Not on Crops",IF(AND(D107&lt;&gt;"",COUNTIF(Beds!$B$6:$B$35,D107)=0),"Not on Beds",IF(AND(ISNUMBER(G107),G107&lt;B107),"Cleared before it was planted",""))))))</f>
        <v/>
      </c>
      <c r="M107" s="11">
        <f>IF(OR(L107&lt;&gt;"",D107="",O107=""),"",IF(COUNTIFS(Plantings!$D$6:$D$505,D107,Plantings!$O$6:$O$505,O107,Plantings!$N$6:$N$505,N107-1)&gt;0,"Same family here last year",""))</f>
        <v/>
      </c>
      <c r="N107" s="1">
        <f>IF(ISNUMBER(B107),YEAR(B107),"")</f>
        <v/>
      </c>
      <c r="O107">
        <f>IF(C107="","",IFERROR(INDEX(Crops!$C$6:$C$65,MATCH(C107,Crops!$B$6:$B$65,0))&amp;"",""))</f>
        <v/>
      </c>
      <c r="P107">
        <f>IF(ISNUMBER(B107),INT(B107),0)</f>
        <v/>
      </c>
      <c r="Q107">
        <f>IF(AND(L107="",OR(J107="Growing",J107="Picking")),1,0)</f>
        <v/>
      </c>
      <c r="R107">
        <f>IF(AND(Q107=1,D107&lt;&gt;""),P107*1000+ROW(),0)</f>
        <v/>
      </c>
      <c r="S107">
        <f>IF(AND(AND(C107&lt;&gt;"",ISNUMBER(B107)),L107=""),1,0)</f>
        <v/>
      </c>
    </row>
    <row r="108">
      <c r="A108" s="1" t="n"/>
      <c r="B108" s="17" t="n"/>
      <c r="C108" s="18" t="n"/>
      <c r="D108" s="19" t="n"/>
      <c r="E108" s="19" t="n"/>
      <c r="F108" s="20" t="n"/>
      <c r="G108" s="17" t="n"/>
      <c r="H108" s="21" t="n"/>
      <c r="I108" s="22">
        <f>IF(NOT(AND(C108&lt;&gt;"",ISNUMBER(B108))),"",IF(N(IFERROR(INDEX(Crops!$F$6:$F$65,MATCH(C108,Crops!$B$6:$B$65,0)),0))&gt;0,INT(B108)+N(IFERROR(INDEX(Crops!$F$6:$F$65,MATCH(C108,Crops!$B$6:$B$65,0)),0)),""))</f>
        <v/>
      </c>
      <c r="J108" s="16">
        <f>IF(NOT(AND(C108&lt;&gt;"",ISNUMBER(B108))),"",IF(ISNUMBER(G108),"Done",IF(INT(B108)&gt;TODAY(),"Planned",IF(COUNTIFS(Harvest!$C$6:$C$1505,C108,Harvest!$D$6:$D$1505,D108&amp;"",Harvest!$L$6:$L$1505,"&gt;="&amp;INT(B108))&gt;0,"Picking","Growing"))))</f>
        <v/>
      </c>
      <c r="K108" s="14">
        <f>IF(OR(NOT(AND(C108&lt;&gt;"",ISNUMBER(B108))),J108="Planned"),"",IF(ISNUMBER(G108),INT(G108),TODAY())-INT(B108))</f>
        <v/>
      </c>
      <c r="L108" s="11">
        <f>IF(AND(B108="",C108="",D108=""),"",IF(NOT(ISNUMBER(B108)),"Needs a date",IF(C108="","Needs a crop",IF(COUNTIF(Crops!$B$6:$B$65,C108)=0,"Not on Crops",IF(AND(D108&lt;&gt;"",COUNTIF(Beds!$B$6:$B$35,D108)=0),"Not on Beds",IF(AND(ISNUMBER(G108),G108&lt;B108),"Cleared before it was planted",""))))))</f>
        <v/>
      </c>
      <c r="M108" s="11">
        <f>IF(OR(L108&lt;&gt;"",D108="",O108=""),"",IF(COUNTIFS(Plantings!$D$6:$D$505,D108,Plantings!$O$6:$O$505,O108,Plantings!$N$6:$N$505,N108-1)&gt;0,"Same family here last year",""))</f>
        <v/>
      </c>
      <c r="N108" s="1">
        <f>IF(ISNUMBER(B108),YEAR(B108),"")</f>
        <v/>
      </c>
      <c r="O108">
        <f>IF(C108="","",IFERROR(INDEX(Crops!$C$6:$C$65,MATCH(C108,Crops!$B$6:$B$65,0))&amp;"",""))</f>
        <v/>
      </c>
      <c r="P108">
        <f>IF(ISNUMBER(B108),INT(B108),0)</f>
        <v/>
      </c>
      <c r="Q108">
        <f>IF(AND(L108="",OR(J108="Growing",J108="Picking")),1,0)</f>
        <v/>
      </c>
      <c r="R108">
        <f>IF(AND(Q108=1,D108&lt;&gt;""),P108*1000+ROW(),0)</f>
        <v/>
      </c>
      <c r="S108">
        <f>IF(AND(AND(C108&lt;&gt;"",ISNUMBER(B108)),L108=""),1,0)</f>
        <v/>
      </c>
    </row>
    <row r="109">
      <c r="A109" s="1" t="n"/>
      <c r="B109" s="17" t="n"/>
      <c r="C109" s="18" t="n"/>
      <c r="D109" s="19" t="n"/>
      <c r="E109" s="19" t="n"/>
      <c r="F109" s="20" t="n"/>
      <c r="G109" s="17" t="n"/>
      <c r="H109" s="21" t="n"/>
      <c r="I109" s="22">
        <f>IF(NOT(AND(C109&lt;&gt;"",ISNUMBER(B109))),"",IF(N(IFERROR(INDEX(Crops!$F$6:$F$65,MATCH(C109,Crops!$B$6:$B$65,0)),0))&gt;0,INT(B109)+N(IFERROR(INDEX(Crops!$F$6:$F$65,MATCH(C109,Crops!$B$6:$B$65,0)),0)),""))</f>
        <v/>
      </c>
      <c r="J109" s="16">
        <f>IF(NOT(AND(C109&lt;&gt;"",ISNUMBER(B109))),"",IF(ISNUMBER(G109),"Done",IF(INT(B109)&gt;TODAY(),"Planned",IF(COUNTIFS(Harvest!$C$6:$C$1505,C109,Harvest!$D$6:$D$1505,D109&amp;"",Harvest!$L$6:$L$1505,"&gt;="&amp;INT(B109))&gt;0,"Picking","Growing"))))</f>
        <v/>
      </c>
      <c r="K109" s="14">
        <f>IF(OR(NOT(AND(C109&lt;&gt;"",ISNUMBER(B109))),J109="Planned"),"",IF(ISNUMBER(G109),INT(G109),TODAY())-INT(B109))</f>
        <v/>
      </c>
      <c r="L109" s="11">
        <f>IF(AND(B109="",C109="",D109=""),"",IF(NOT(ISNUMBER(B109)),"Needs a date",IF(C109="","Needs a crop",IF(COUNTIF(Crops!$B$6:$B$65,C109)=0,"Not on Crops",IF(AND(D109&lt;&gt;"",COUNTIF(Beds!$B$6:$B$35,D109)=0),"Not on Beds",IF(AND(ISNUMBER(G109),G109&lt;B109),"Cleared before it was planted",""))))))</f>
        <v/>
      </c>
      <c r="M109" s="11">
        <f>IF(OR(L109&lt;&gt;"",D109="",O109=""),"",IF(COUNTIFS(Plantings!$D$6:$D$505,D109,Plantings!$O$6:$O$505,O109,Plantings!$N$6:$N$505,N109-1)&gt;0,"Same family here last year",""))</f>
        <v/>
      </c>
      <c r="N109" s="1">
        <f>IF(ISNUMBER(B109),YEAR(B109),"")</f>
        <v/>
      </c>
      <c r="O109">
        <f>IF(C109="","",IFERROR(INDEX(Crops!$C$6:$C$65,MATCH(C109,Crops!$B$6:$B$65,0))&amp;"",""))</f>
        <v/>
      </c>
      <c r="P109">
        <f>IF(ISNUMBER(B109),INT(B109),0)</f>
        <v/>
      </c>
      <c r="Q109">
        <f>IF(AND(L109="",OR(J109="Growing",J109="Picking")),1,0)</f>
        <v/>
      </c>
      <c r="R109">
        <f>IF(AND(Q109=1,D109&lt;&gt;""),P109*1000+ROW(),0)</f>
        <v/>
      </c>
      <c r="S109">
        <f>IF(AND(AND(C109&lt;&gt;"",ISNUMBER(B109)),L109=""),1,0)</f>
        <v/>
      </c>
    </row>
    <row r="110">
      <c r="A110" s="1" t="n"/>
      <c r="B110" s="17" t="n"/>
      <c r="C110" s="18" t="n"/>
      <c r="D110" s="19" t="n"/>
      <c r="E110" s="19" t="n"/>
      <c r="F110" s="20" t="n"/>
      <c r="G110" s="17" t="n"/>
      <c r="H110" s="21" t="n"/>
      <c r="I110" s="22">
        <f>IF(NOT(AND(C110&lt;&gt;"",ISNUMBER(B110))),"",IF(N(IFERROR(INDEX(Crops!$F$6:$F$65,MATCH(C110,Crops!$B$6:$B$65,0)),0))&gt;0,INT(B110)+N(IFERROR(INDEX(Crops!$F$6:$F$65,MATCH(C110,Crops!$B$6:$B$65,0)),0)),""))</f>
        <v/>
      </c>
      <c r="J110" s="16">
        <f>IF(NOT(AND(C110&lt;&gt;"",ISNUMBER(B110))),"",IF(ISNUMBER(G110),"Done",IF(INT(B110)&gt;TODAY(),"Planned",IF(COUNTIFS(Harvest!$C$6:$C$1505,C110,Harvest!$D$6:$D$1505,D110&amp;"",Harvest!$L$6:$L$1505,"&gt;="&amp;INT(B110))&gt;0,"Picking","Growing"))))</f>
        <v/>
      </c>
      <c r="K110" s="14">
        <f>IF(OR(NOT(AND(C110&lt;&gt;"",ISNUMBER(B110))),J110="Planned"),"",IF(ISNUMBER(G110),INT(G110),TODAY())-INT(B110))</f>
        <v/>
      </c>
      <c r="L110" s="11">
        <f>IF(AND(B110="",C110="",D110=""),"",IF(NOT(ISNUMBER(B110)),"Needs a date",IF(C110="","Needs a crop",IF(COUNTIF(Crops!$B$6:$B$65,C110)=0,"Not on Crops",IF(AND(D110&lt;&gt;"",COUNTIF(Beds!$B$6:$B$35,D110)=0),"Not on Beds",IF(AND(ISNUMBER(G110),G110&lt;B110),"Cleared before it was planted",""))))))</f>
        <v/>
      </c>
      <c r="M110" s="11">
        <f>IF(OR(L110&lt;&gt;"",D110="",O110=""),"",IF(COUNTIFS(Plantings!$D$6:$D$505,D110,Plantings!$O$6:$O$505,O110,Plantings!$N$6:$N$505,N110-1)&gt;0,"Same family here last year",""))</f>
        <v/>
      </c>
      <c r="N110" s="1">
        <f>IF(ISNUMBER(B110),YEAR(B110),"")</f>
        <v/>
      </c>
      <c r="O110">
        <f>IF(C110="","",IFERROR(INDEX(Crops!$C$6:$C$65,MATCH(C110,Crops!$B$6:$B$65,0))&amp;"",""))</f>
        <v/>
      </c>
      <c r="P110">
        <f>IF(ISNUMBER(B110),INT(B110),0)</f>
        <v/>
      </c>
      <c r="Q110">
        <f>IF(AND(L110="",OR(J110="Growing",J110="Picking")),1,0)</f>
        <v/>
      </c>
      <c r="R110">
        <f>IF(AND(Q110=1,D110&lt;&gt;""),P110*1000+ROW(),0)</f>
        <v/>
      </c>
      <c r="S110">
        <f>IF(AND(AND(C110&lt;&gt;"",ISNUMBER(B110)),L110=""),1,0)</f>
        <v/>
      </c>
    </row>
    <row r="111">
      <c r="A111" s="1" t="n"/>
      <c r="B111" s="17" t="n"/>
      <c r="C111" s="18" t="n"/>
      <c r="D111" s="19" t="n"/>
      <c r="E111" s="19" t="n"/>
      <c r="F111" s="20" t="n"/>
      <c r="G111" s="17" t="n"/>
      <c r="H111" s="21" t="n"/>
      <c r="I111" s="22">
        <f>IF(NOT(AND(C111&lt;&gt;"",ISNUMBER(B111))),"",IF(N(IFERROR(INDEX(Crops!$F$6:$F$65,MATCH(C111,Crops!$B$6:$B$65,0)),0))&gt;0,INT(B111)+N(IFERROR(INDEX(Crops!$F$6:$F$65,MATCH(C111,Crops!$B$6:$B$65,0)),0)),""))</f>
        <v/>
      </c>
      <c r="J111" s="16">
        <f>IF(NOT(AND(C111&lt;&gt;"",ISNUMBER(B111))),"",IF(ISNUMBER(G111),"Done",IF(INT(B111)&gt;TODAY(),"Planned",IF(COUNTIFS(Harvest!$C$6:$C$1505,C111,Harvest!$D$6:$D$1505,D111&amp;"",Harvest!$L$6:$L$1505,"&gt;="&amp;INT(B111))&gt;0,"Picking","Growing"))))</f>
        <v/>
      </c>
      <c r="K111" s="14">
        <f>IF(OR(NOT(AND(C111&lt;&gt;"",ISNUMBER(B111))),J111="Planned"),"",IF(ISNUMBER(G111),INT(G111),TODAY())-INT(B111))</f>
        <v/>
      </c>
      <c r="L111" s="11">
        <f>IF(AND(B111="",C111="",D111=""),"",IF(NOT(ISNUMBER(B111)),"Needs a date",IF(C111="","Needs a crop",IF(COUNTIF(Crops!$B$6:$B$65,C111)=0,"Not on Crops",IF(AND(D111&lt;&gt;"",COUNTIF(Beds!$B$6:$B$35,D111)=0),"Not on Beds",IF(AND(ISNUMBER(G111),G111&lt;B111),"Cleared before it was planted",""))))))</f>
        <v/>
      </c>
      <c r="M111" s="11">
        <f>IF(OR(L111&lt;&gt;"",D111="",O111=""),"",IF(COUNTIFS(Plantings!$D$6:$D$505,D111,Plantings!$O$6:$O$505,O111,Plantings!$N$6:$N$505,N111-1)&gt;0,"Same family here last year",""))</f>
        <v/>
      </c>
      <c r="N111" s="1">
        <f>IF(ISNUMBER(B111),YEAR(B111),"")</f>
        <v/>
      </c>
      <c r="O111">
        <f>IF(C111="","",IFERROR(INDEX(Crops!$C$6:$C$65,MATCH(C111,Crops!$B$6:$B$65,0))&amp;"",""))</f>
        <v/>
      </c>
      <c r="P111">
        <f>IF(ISNUMBER(B111),INT(B111),0)</f>
        <v/>
      </c>
      <c r="Q111">
        <f>IF(AND(L111="",OR(J111="Growing",J111="Picking")),1,0)</f>
        <v/>
      </c>
      <c r="R111">
        <f>IF(AND(Q111=1,D111&lt;&gt;""),P111*1000+ROW(),0)</f>
        <v/>
      </c>
      <c r="S111">
        <f>IF(AND(AND(C111&lt;&gt;"",ISNUMBER(B111)),L111=""),1,0)</f>
        <v/>
      </c>
    </row>
    <row r="112">
      <c r="A112" s="1" t="n"/>
      <c r="B112" s="17" t="n"/>
      <c r="C112" s="18" t="n"/>
      <c r="D112" s="19" t="n"/>
      <c r="E112" s="19" t="n"/>
      <c r="F112" s="20" t="n"/>
      <c r="G112" s="17" t="n"/>
      <c r="H112" s="21" t="n"/>
      <c r="I112" s="22">
        <f>IF(NOT(AND(C112&lt;&gt;"",ISNUMBER(B112))),"",IF(N(IFERROR(INDEX(Crops!$F$6:$F$65,MATCH(C112,Crops!$B$6:$B$65,0)),0))&gt;0,INT(B112)+N(IFERROR(INDEX(Crops!$F$6:$F$65,MATCH(C112,Crops!$B$6:$B$65,0)),0)),""))</f>
        <v/>
      </c>
      <c r="J112" s="16">
        <f>IF(NOT(AND(C112&lt;&gt;"",ISNUMBER(B112))),"",IF(ISNUMBER(G112),"Done",IF(INT(B112)&gt;TODAY(),"Planned",IF(COUNTIFS(Harvest!$C$6:$C$1505,C112,Harvest!$D$6:$D$1505,D112&amp;"",Harvest!$L$6:$L$1505,"&gt;="&amp;INT(B112))&gt;0,"Picking","Growing"))))</f>
        <v/>
      </c>
      <c r="K112" s="14">
        <f>IF(OR(NOT(AND(C112&lt;&gt;"",ISNUMBER(B112))),J112="Planned"),"",IF(ISNUMBER(G112),INT(G112),TODAY())-INT(B112))</f>
        <v/>
      </c>
      <c r="L112" s="11">
        <f>IF(AND(B112="",C112="",D112=""),"",IF(NOT(ISNUMBER(B112)),"Needs a date",IF(C112="","Needs a crop",IF(COUNTIF(Crops!$B$6:$B$65,C112)=0,"Not on Crops",IF(AND(D112&lt;&gt;"",COUNTIF(Beds!$B$6:$B$35,D112)=0),"Not on Beds",IF(AND(ISNUMBER(G112),G112&lt;B112),"Cleared before it was planted",""))))))</f>
        <v/>
      </c>
      <c r="M112" s="11">
        <f>IF(OR(L112&lt;&gt;"",D112="",O112=""),"",IF(COUNTIFS(Plantings!$D$6:$D$505,D112,Plantings!$O$6:$O$505,O112,Plantings!$N$6:$N$505,N112-1)&gt;0,"Same family here last year",""))</f>
        <v/>
      </c>
      <c r="N112" s="1">
        <f>IF(ISNUMBER(B112),YEAR(B112),"")</f>
        <v/>
      </c>
      <c r="O112">
        <f>IF(C112="","",IFERROR(INDEX(Crops!$C$6:$C$65,MATCH(C112,Crops!$B$6:$B$65,0))&amp;"",""))</f>
        <v/>
      </c>
      <c r="P112">
        <f>IF(ISNUMBER(B112),INT(B112),0)</f>
        <v/>
      </c>
      <c r="Q112">
        <f>IF(AND(L112="",OR(J112="Growing",J112="Picking")),1,0)</f>
        <v/>
      </c>
      <c r="R112">
        <f>IF(AND(Q112=1,D112&lt;&gt;""),P112*1000+ROW(),0)</f>
        <v/>
      </c>
      <c r="S112">
        <f>IF(AND(AND(C112&lt;&gt;"",ISNUMBER(B112)),L112=""),1,0)</f>
        <v/>
      </c>
    </row>
    <row r="113">
      <c r="A113" s="1" t="n"/>
      <c r="B113" s="17" t="n"/>
      <c r="C113" s="18" t="n"/>
      <c r="D113" s="19" t="n"/>
      <c r="E113" s="19" t="n"/>
      <c r="F113" s="20" t="n"/>
      <c r="G113" s="17" t="n"/>
      <c r="H113" s="21" t="n"/>
      <c r="I113" s="22">
        <f>IF(NOT(AND(C113&lt;&gt;"",ISNUMBER(B113))),"",IF(N(IFERROR(INDEX(Crops!$F$6:$F$65,MATCH(C113,Crops!$B$6:$B$65,0)),0))&gt;0,INT(B113)+N(IFERROR(INDEX(Crops!$F$6:$F$65,MATCH(C113,Crops!$B$6:$B$65,0)),0)),""))</f>
        <v/>
      </c>
      <c r="J113" s="16">
        <f>IF(NOT(AND(C113&lt;&gt;"",ISNUMBER(B113))),"",IF(ISNUMBER(G113),"Done",IF(INT(B113)&gt;TODAY(),"Planned",IF(COUNTIFS(Harvest!$C$6:$C$1505,C113,Harvest!$D$6:$D$1505,D113&amp;"",Harvest!$L$6:$L$1505,"&gt;="&amp;INT(B113))&gt;0,"Picking","Growing"))))</f>
        <v/>
      </c>
      <c r="K113" s="14">
        <f>IF(OR(NOT(AND(C113&lt;&gt;"",ISNUMBER(B113))),J113="Planned"),"",IF(ISNUMBER(G113),INT(G113),TODAY())-INT(B113))</f>
        <v/>
      </c>
      <c r="L113" s="11">
        <f>IF(AND(B113="",C113="",D113=""),"",IF(NOT(ISNUMBER(B113)),"Needs a date",IF(C113="","Needs a crop",IF(COUNTIF(Crops!$B$6:$B$65,C113)=0,"Not on Crops",IF(AND(D113&lt;&gt;"",COUNTIF(Beds!$B$6:$B$35,D113)=0),"Not on Beds",IF(AND(ISNUMBER(G113),G113&lt;B113),"Cleared before it was planted",""))))))</f>
        <v/>
      </c>
      <c r="M113" s="11">
        <f>IF(OR(L113&lt;&gt;"",D113="",O113=""),"",IF(COUNTIFS(Plantings!$D$6:$D$505,D113,Plantings!$O$6:$O$505,O113,Plantings!$N$6:$N$505,N113-1)&gt;0,"Same family here last year",""))</f>
        <v/>
      </c>
      <c r="N113" s="1">
        <f>IF(ISNUMBER(B113),YEAR(B113),"")</f>
        <v/>
      </c>
      <c r="O113">
        <f>IF(C113="","",IFERROR(INDEX(Crops!$C$6:$C$65,MATCH(C113,Crops!$B$6:$B$65,0))&amp;"",""))</f>
        <v/>
      </c>
      <c r="P113">
        <f>IF(ISNUMBER(B113),INT(B113),0)</f>
        <v/>
      </c>
      <c r="Q113">
        <f>IF(AND(L113="",OR(J113="Growing",J113="Picking")),1,0)</f>
        <v/>
      </c>
      <c r="R113">
        <f>IF(AND(Q113=1,D113&lt;&gt;""),P113*1000+ROW(),0)</f>
        <v/>
      </c>
      <c r="S113">
        <f>IF(AND(AND(C113&lt;&gt;"",ISNUMBER(B113)),L113=""),1,0)</f>
        <v/>
      </c>
    </row>
    <row r="114">
      <c r="A114" s="1" t="n"/>
      <c r="B114" s="17" t="n"/>
      <c r="C114" s="18" t="n"/>
      <c r="D114" s="19" t="n"/>
      <c r="E114" s="19" t="n"/>
      <c r="F114" s="20" t="n"/>
      <c r="G114" s="17" t="n"/>
      <c r="H114" s="21" t="n"/>
      <c r="I114" s="22">
        <f>IF(NOT(AND(C114&lt;&gt;"",ISNUMBER(B114))),"",IF(N(IFERROR(INDEX(Crops!$F$6:$F$65,MATCH(C114,Crops!$B$6:$B$65,0)),0))&gt;0,INT(B114)+N(IFERROR(INDEX(Crops!$F$6:$F$65,MATCH(C114,Crops!$B$6:$B$65,0)),0)),""))</f>
        <v/>
      </c>
      <c r="J114" s="16">
        <f>IF(NOT(AND(C114&lt;&gt;"",ISNUMBER(B114))),"",IF(ISNUMBER(G114),"Done",IF(INT(B114)&gt;TODAY(),"Planned",IF(COUNTIFS(Harvest!$C$6:$C$1505,C114,Harvest!$D$6:$D$1505,D114&amp;"",Harvest!$L$6:$L$1505,"&gt;="&amp;INT(B114))&gt;0,"Picking","Growing"))))</f>
        <v/>
      </c>
      <c r="K114" s="14">
        <f>IF(OR(NOT(AND(C114&lt;&gt;"",ISNUMBER(B114))),J114="Planned"),"",IF(ISNUMBER(G114),INT(G114),TODAY())-INT(B114))</f>
        <v/>
      </c>
      <c r="L114" s="11">
        <f>IF(AND(B114="",C114="",D114=""),"",IF(NOT(ISNUMBER(B114)),"Needs a date",IF(C114="","Needs a crop",IF(COUNTIF(Crops!$B$6:$B$65,C114)=0,"Not on Crops",IF(AND(D114&lt;&gt;"",COUNTIF(Beds!$B$6:$B$35,D114)=0),"Not on Beds",IF(AND(ISNUMBER(G114),G114&lt;B114),"Cleared before it was planted",""))))))</f>
        <v/>
      </c>
      <c r="M114" s="11">
        <f>IF(OR(L114&lt;&gt;"",D114="",O114=""),"",IF(COUNTIFS(Plantings!$D$6:$D$505,D114,Plantings!$O$6:$O$505,O114,Plantings!$N$6:$N$505,N114-1)&gt;0,"Same family here last year",""))</f>
        <v/>
      </c>
      <c r="N114" s="1">
        <f>IF(ISNUMBER(B114),YEAR(B114),"")</f>
        <v/>
      </c>
      <c r="O114">
        <f>IF(C114="","",IFERROR(INDEX(Crops!$C$6:$C$65,MATCH(C114,Crops!$B$6:$B$65,0))&amp;"",""))</f>
        <v/>
      </c>
      <c r="P114">
        <f>IF(ISNUMBER(B114),INT(B114),0)</f>
        <v/>
      </c>
      <c r="Q114">
        <f>IF(AND(L114="",OR(J114="Growing",J114="Picking")),1,0)</f>
        <v/>
      </c>
      <c r="R114">
        <f>IF(AND(Q114=1,D114&lt;&gt;""),P114*1000+ROW(),0)</f>
        <v/>
      </c>
      <c r="S114">
        <f>IF(AND(AND(C114&lt;&gt;"",ISNUMBER(B114)),L114=""),1,0)</f>
        <v/>
      </c>
    </row>
    <row r="115">
      <c r="A115" s="1" t="n"/>
      <c r="B115" s="17" t="n"/>
      <c r="C115" s="18" t="n"/>
      <c r="D115" s="19" t="n"/>
      <c r="E115" s="19" t="n"/>
      <c r="F115" s="20" t="n"/>
      <c r="G115" s="17" t="n"/>
      <c r="H115" s="21" t="n"/>
      <c r="I115" s="22">
        <f>IF(NOT(AND(C115&lt;&gt;"",ISNUMBER(B115))),"",IF(N(IFERROR(INDEX(Crops!$F$6:$F$65,MATCH(C115,Crops!$B$6:$B$65,0)),0))&gt;0,INT(B115)+N(IFERROR(INDEX(Crops!$F$6:$F$65,MATCH(C115,Crops!$B$6:$B$65,0)),0)),""))</f>
        <v/>
      </c>
      <c r="J115" s="16">
        <f>IF(NOT(AND(C115&lt;&gt;"",ISNUMBER(B115))),"",IF(ISNUMBER(G115),"Done",IF(INT(B115)&gt;TODAY(),"Planned",IF(COUNTIFS(Harvest!$C$6:$C$1505,C115,Harvest!$D$6:$D$1505,D115&amp;"",Harvest!$L$6:$L$1505,"&gt;="&amp;INT(B115))&gt;0,"Picking","Growing"))))</f>
        <v/>
      </c>
      <c r="K115" s="14">
        <f>IF(OR(NOT(AND(C115&lt;&gt;"",ISNUMBER(B115))),J115="Planned"),"",IF(ISNUMBER(G115),INT(G115),TODAY())-INT(B115))</f>
        <v/>
      </c>
      <c r="L115" s="11">
        <f>IF(AND(B115="",C115="",D115=""),"",IF(NOT(ISNUMBER(B115)),"Needs a date",IF(C115="","Needs a crop",IF(COUNTIF(Crops!$B$6:$B$65,C115)=0,"Not on Crops",IF(AND(D115&lt;&gt;"",COUNTIF(Beds!$B$6:$B$35,D115)=0),"Not on Beds",IF(AND(ISNUMBER(G115),G115&lt;B115),"Cleared before it was planted",""))))))</f>
        <v/>
      </c>
      <c r="M115" s="11">
        <f>IF(OR(L115&lt;&gt;"",D115="",O115=""),"",IF(COUNTIFS(Plantings!$D$6:$D$505,D115,Plantings!$O$6:$O$505,O115,Plantings!$N$6:$N$505,N115-1)&gt;0,"Same family here last year",""))</f>
        <v/>
      </c>
      <c r="N115" s="1">
        <f>IF(ISNUMBER(B115),YEAR(B115),"")</f>
        <v/>
      </c>
      <c r="O115">
        <f>IF(C115="","",IFERROR(INDEX(Crops!$C$6:$C$65,MATCH(C115,Crops!$B$6:$B$65,0))&amp;"",""))</f>
        <v/>
      </c>
      <c r="P115">
        <f>IF(ISNUMBER(B115),INT(B115),0)</f>
        <v/>
      </c>
      <c r="Q115">
        <f>IF(AND(L115="",OR(J115="Growing",J115="Picking")),1,0)</f>
        <v/>
      </c>
      <c r="R115">
        <f>IF(AND(Q115=1,D115&lt;&gt;""),P115*1000+ROW(),0)</f>
        <v/>
      </c>
      <c r="S115">
        <f>IF(AND(AND(C115&lt;&gt;"",ISNUMBER(B115)),L115=""),1,0)</f>
        <v/>
      </c>
    </row>
    <row r="116">
      <c r="A116" s="1" t="n"/>
      <c r="B116" s="17" t="n"/>
      <c r="C116" s="18" t="n"/>
      <c r="D116" s="19" t="n"/>
      <c r="E116" s="19" t="n"/>
      <c r="F116" s="20" t="n"/>
      <c r="G116" s="17" t="n"/>
      <c r="H116" s="21" t="n"/>
      <c r="I116" s="22">
        <f>IF(NOT(AND(C116&lt;&gt;"",ISNUMBER(B116))),"",IF(N(IFERROR(INDEX(Crops!$F$6:$F$65,MATCH(C116,Crops!$B$6:$B$65,0)),0))&gt;0,INT(B116)+N(IFERROR(INDEX(Crops!$F$6:$F$65,MATCH(C116,Crops!$B$6:$B$65,0)),0)),""))</f>
        <v/>
      </c>
      <c r="J116" s="16">
        <f>IF(NOT(AND(C116&lt;&gt;"",ISNUMBER(B116))),"",IF(ISNUMBER(G116),"Done",IF(INT(B116)&gt;TODAY(),"Planned",IF(COUNTIFS(Harvest!$C$6:$C$1505,C116,Harvest!$D$6:$D$1505,D116&amp;"",Harvest!$L$6:$L$1505,"&gt;="&amp;INT(B116))&gt;0,"Picking","Growing"))))</f>
        <v/>
      </c>
      <c r="K116" s="14">
        <f>IF(OR(NOT(AND(C116&lt;&gt;"",ISNUMBER(B116))),J116="Planned"),"",IF(ISNUMBER(G116),INT(G116),TODAY())-INT(B116))</f>
        <v/>
      </c>
      <c r="L116" s="11">
        <f>IF(AND(B116="",C116="",D116=""),"",IF(NOT(ISNUMBER(B116)),"Needs a date",IF(C116="","Needs a crop",IF(COUNTIF(Crops!$B$6:$B$65,C116)=0,"Not on Crops",IF(AND(D116&lt;&gt;"",COUNTIF(Beds!$B$6:$B$35,D116)=0),"Not on Beds",IF(AND(ISNUMBER(G116),G116&lt;B116),"Cleared before it was planted",""))))))</f>
        <v/>
      </c>
      <c r="M116" s="11">
        <f>IF(OR(L116&lt;&gt;"",D116="",O116=""),"",IF(COUNTIFS(Plantings!$D$6:$D$505,D116,Plantings!$O$6:$O$505,O116,Plantings!$N$6:$N$505,N116-1)&gt;0,"Same family here last year",""))</f>
        <v/>
      </c>
      <c r="N116" s="1">
        <f>IF(ISNUMBER(B116),YEAR(B116),"")</f>
        <v/>
      </c>
      <c r="O116">
        <f>IF(C116="","",IFERROR(INDEX(Crops!$C$6:$C$65,MATCH(C116,Crops!$B$6:$B$65,0))&amp;"",""))</f>
        <v/>
      </c>
      <c r="P116">
        <f>IF(ISNUMBER(B116),INT(B116),0)</f>
        <v/>
      </c>
      <c r="Q116">
        <f>IF(AND(L116="",OR(J116="Growing",J116="Picking")),1,0)</f>
        <v/>
      </c>
      <c r="R116">
        <f>IF(AND(Q116=1,D116&lt;&gt;""),P116*1000+ROW(),0)</f>
        <v/>
      </c>
      <c r="S116">
        <f>IF(AND(AND(C116&lt;&gt;"",ISNUMBER(B116)),L116=""),1,0)</f>
        <v/>
      </c>
    </row>
    <row r="117">
      <c r="A117" s="1" t="n"/>
      <c r="B117" s="17" t="n"/>
      <c r="C117" s="18" t="n"/>
      <c r="D117" s="19" t="n"/>
      <c r="E117" s="19" t="n"/>
      <c r="F117" s="20" t="n"/>
      <c r="G117" s="17" t="n"/>
      <c r="H117" s="21" t="n"/>
      <c r="I117" s="22">
        <f>IF(NOT(AND(C117&lt;&gt;"",ISNUMBER(B117))),"",IF(N(IFERROR(INDEX(Crops!$F$6:$F$65,MATCH(C117,Crops!$B$6:$B$65,0)),0))&gt;0,INT(B117)+N(IFERROR(INDEX(Crops!$F$6:$F$65,MATCH(C117,Crops!$B$6:$B$65,0)),0)),""))</f>
        <v/>
      </c>
      <c r="J117" s="16">
        <f>IF(NOT(AND(C117&lt;&gt;"",ISNUMBER(B117))),"",IF(ISNUMBER(G117),"Done",IF(INT(B117)&gt;TODAY(),"Planned",IF(COUNTIFS(Harvest!$C$6:$C$1505,C117,Harvest!$D$6:$D$1505,D117&amp;"",Harvest!$L$6:$L$1505,"&gt;="&amp;INT(B117))&gt;0,"Picking","Growing"))))</f>
        <v/>
      </c>
      <c r="K117" s="14">
        <f>IF(OR(NOT(AND(C117&lt;&gt;"",ISNUMBER(B117))),J117="Planned"),"",IF(ISNUMBER(G117),INT(G117),TODAY())-INT(B117))</f>
        <v/>
      </c>
      <c r="L117" s="11">
        <f>IF(AND(B117="",C117="",D117=""),"",IF(NOT(ISNUMBER(B117)),"Needs a date",IF(C117="","Needs a crop",IF(COUNTIF(Crops!$B$6:$B$65,C117)=0,"Not on Crops",IF(AND(D117&lt;&gt;"",COUNTIF(Beds!$B$6:$B$35,D117)=0),"Not on Beds",IF(AND(ISNUMBER(G117),G117&lt;B117),"Cleared before it was planted",""))))))</f>
        <v/>
      </c>
      <c r="M117" s="11">
        <f>IF(OR(L117&lt;&gt;"",D117="",O117=""),"",IF(COUNTIFS(Plantings!$D$6:$D$505,D117,Plantings!$O$6:$O$505,O117,Plantings!$N$6:$N$505,N117-1)&gt;0,"Same family here last year",""))</f>
        <v/>
      </c>
      <c r="N117" s="1">
        <f>IF(ISNUMBER(B117),YEAR(B117),"")</f>
        <v/>
      </c>
      <c r="O117">
        <f>IF(C117="","",IFERROR(INDEX(Crops!$C$6:$C$65,MATCH(C117,Crops!$B$6:$B$65,0))&amp;"",""))</f>
        <v/>
      </c>
      <c r="P117">
        <f>IF(ISNUMBER(B117),INT(B117),0)</f>
        <v/>
      </c>
      <c r="Q117">
        <f>IF(AND(L117="",OR(J117="Growing",J117="Picking")),1,0)</f>
        <v/>
      </c>
      <c r="R117">
        <f>IF(AND(Q117=1,D117&lt;&gt;""),P117*1000+ROW(),0)</f>
        <v/>
      </c>
      <c r="S117">
        <f>IF(AND(AND(C117&lt;&gt;"",ISNUMBER(B117)),L117=""),1,0)</f>
        <v/>
      </c>
    </row>
    <row r="118">
      <c r="A118" s="1" t="n"/>
      <c r="B118" s="17" t="n"/>
      <c r="C118" s="18" t="n"/>
      <c r="D118" s="19" t="n"/>
      <c r="E118" s="19" t="n"/>
      <c r="F118" s="20" t="n"/>
      <c r="G118" s="17" t="n"/>
      <c r="H118" s="21" t="n"/>
      <c r="I118" s="22">
        <f>IF(NOT(AND(C118&lt;&gt;"",ISNUMBER(B118))),"",IF(N(IFERROR(INDEX(Crops!$F$6:$F$65,MATCH(C118,Crops!$B$6:$B$65,0)),0))&gt;0,INT(B118)+N(IFERROR(INDEX(Crops!$F$6:$F$65,MATCH(C118,Crops!$B$6:$B$65,0)),0)),""))</f>
        <v/>
      </c>
      <c r="J118" s="16">
        <f>IF(NOT(AND(C118&lt;&gt;"",ISNUMBER(B118))),"",IF(ISNUMBER(G118),"Done",IF(INT(B118)&gt;TODAY(),"Planned",IF(COUNTIFS(Harvest!$C$6:$C$1505,C118,Harvest!$D$6:$D$1505,D118&amp;"",Harvest!$L$6:$L$1505,"&gt;="&amp;INT(B118))&gt;0,"Picking","Growing"))))</f>
        <v/>
      </c>
      <c r="K118" s="14">
        <f>IF(OR(NOT(AND(C118&lt;&gt;"",ISNUMBER(B118))),J118="Planned"),"",IF(ISNUMBER(G118),INT(G118),TODAY())-INT(B118))</f>
        <v/>
      </c>
      <c r="L118" s="11">
        <f>IF(AND(B118="",C118="",D118=""),"",IF(NOT(ISNUMBER(B118)),"Needs a date",IF(C118="","Needs a crop",IF(COUNTIF(Crops!$B$6:$B$65,C118)=0,"Not on Crops",IF(AND(D118&lt;&gt;"",COUNTIF(Beds!$B$6:$B$35,D118)=0),"Not on Beds",IF(AND(ISNUMBER(G118),G118&lt;B118),"Cleared before it was planted",""))))))</f>
        <v/>
      </c>
      <c r="M118" s="11">
        <f>IF(OR(L118&lt;&gt;"",D118="",O118=""),"",IF(COUNTIFS(Plantings!$D$6:$D$505,D118,Plantings!$O$6:$O$505,O118,Plantings!$N$6:$N$505,N118-1)&gt;0,"Same family here last year",""))</f>
        <v/>
      </c>
      <c r="N118" s="1">
        <f>IF(ISNUMBER(B118),YEAR(B118),"")</f>
        <v/>
      </c>
      <c r="O118">
        <f>IF(C118="","",IFERROR(INDEX(Crops!$C$6:$C$65,MATCH(C118,Crops!$B$6:$B$65,0))&amp;"",""))</f>
        <v/>
      </c>
      <c r="P118">
        <f>IF(ISNUMBER(B118),INT(B118),0)</f>
        <v/>
      </c>
      <c r="Q118">
        <f>IF(AND(L118="",OR(J118="Growing",J118="Picking")),1,0)</f>
        <v/>
      </c>
      <c r="R118">
        <f>IF(AND(Q118=1,D118&lt;&gt;""),P118*1000+ROW(),0)</f>
        <v/>
      </c>
      <c r="S118">
        <f>IF(AND(AND(C118&lt;&gt;"",ISNUMBER(B118)),L118=""),1,0)</f>
        <v/>
      </c>
    </row>
    <row r="119">
      <c r="A119" s="1" t="n"/>
      <c r="B119" s="17" t="n"/>
      <c r="C119" s="18" t="n"/>
      <c r="D119" s="19" t="n"/>
      <c r="E119" s="19" t="n"/>
      <c r="F119" s="20" t="n"/>
      <c r="G119" s="17" t="n"/>
      <c r="H119" s="21" t="n"/>
      <c r="I119" s="22">
        <f>IF(NOT(AND(C119&lt;&gt;"",ISNUMBER(B119))),"",IF(N(IFERROR(INDEX(Crops!$F$6:$F$65,MATCH(C119,Crops!$B$6:$B$65,0)),0))&gt;0,INT(B119)+N(IFERROR(INDEX(Crops!$F$6:$F$65,MATCH(C119,Crops!$B$6:$B$65,0)),0)),""))</f>
        <v/>
      </c>
      <c r="J119" s="16">
        <f>IF(NOT(AND(C119&lt;&gt;"",ISNUMBER(B119))),"",IF(ISNUMBER(G119),"Done",IF(INT(B119)&gt;TODAY(),"Planned",IF(COUNTIFS(Harvest!$C$6:$C$1505,C119,Harvest!$D$6:$D$1505,D119&amp;"",Harvest!$L$6:$L$1505,"&gt;="&amp;INT(B119))&gt;0,"Picking","Growing"))))</f>
        <v/>
      </c>
      <c r="K119" s="14">
        <f>IF(OR(NOT(AND(C119&lt;&gt;"",ISNUMBER(B119))),J119="Planned"),"",IF(ISNUMBER(G119),INT(G119),TODAY())-INT(B119))</f>
        <v/>
      </c>
      <c r="L119" s="11">
        <f>IF(AND(B119="",C119="",D119=""),"",IF(NOT(ISNUMBER(B119)),"Needs a date",IF(C119="","Needs a crop",IF(COUNTIF(Crops!$B$6:$B$65,C119)=0,"Not on Crops",IF(AND(D119&lt;&gt;"",COUNTIF(Beds!$B$6:$B$35,D119)=0),"Not on Beds",IF(AND(ISNUMBER(G119),G119&lt;B119),"Cleared before it was planted",""))))))</f>
        <v/>
      </c>
      <c r="M119" s="11">
        <f>IF(OR(L119&lt;&gt;"",D119="",O119=""),"",IF(COUNTIFS(Plantings!$D$6:$D$505,D119,Plantings!$O$6:$O$505,O119,Plantings!$N$6:$N$505,N119-1)&gt;0,"Same family here last year",""))</f>
        <v/>
      </c>
      <c r="N119" s="1">
        <f>IF(ISNUMBER(B119),YEAR(B119),"")</f>
        <v/>
      </c>
      <c r="O119">
        <f>IF(C119="","",IFERROR(INDEX(Crops!$C$6:$C$65,MATCH(C119,Crops!$B$6:$B$65,0))&amp;"",""))</f>
        <v/>
      </c>
      <c r="P119">
        <f>IF(ISNUMBER(B119),INT(B119),0)</f>
        <v/>
      </c>
      <c r="Q119">
        <f>IF(AND(L119="",OR(J119="Growing",J119="Picking")),1,0)</f>
        <v/>
      </c>
      <c r="R119">
        <f>IF(AND(Q119=1,D119&lt;&gt;""),P119*1000+ROW(),0)</f>
        <v/>
      </c>
      <c r="S119">
        <f>IF(AND(AND(C119&lt;&gt;"",ISNUMBER(B119)),L119=""),1,0)</f>
        <v/>
      </c>
    </row>
    <row r="120">
      <c r="A120" s="1" t="n"/>
      <c r="B120" s="17" t="n"/>
      <c r="C120" s="18" t="n"/>
      <c r="D120" s="19" t="n"/>
      <c r="E120" s="19" t="n"/>
      <c r="F120" s="20" t="n"/>
      <c r="G120" s="17" t="n"/>
      <c r="H120" s="21" t="n"/>
      <c r="I120" s="22">
        <f>IF(NOT(AND(C120&lt;&gt;"",ISNUMBER(B120))),"",IF(N(IFERROR(INDEX(Crops!$F$6:$F$65,MATCH(C120,Crops!$B$6:$B$65,0)),0))&gt;0,INT(B120)+N(IFERROR(INDEX(Crops!$F$6:$F$65,MATCH(C120,Crops!$B$6:$B$65,0)),0)),""))</f>
        <v/>
      </c>
      <c r="J120" s="16">
        <f>IF(NOT(AND(C120&lt;&gt;"",ISNUMBER(B120))),"",IF(ISNUMBER(G120),"Done",IF(INT(B120)&gt;TODAY(),"Planned",IF(COUNTIFS(Harvest!$C$6:$C$1505,C120,Harvest!$D$6:$D$1505,D120&amp;"",Harvest!$L$6:$L$1505,"&gt;="&amp;INT(B120))&gt;0,"Picking","Growing"))))</f>
        <v/>
      </c>
      <c r="K120" s="14">
        <f>IF(OR(NOT(AND(C120&lt;&gt;"",ISNUMBER(B120))),J120="Planned"),"",IF(ISNUMBER(G120),INT(G120),TODAY())-INT(B120))</f>
        <v/>
      </c>
      <c r="L120" s="11">
        <f>IF(AND(B120="",C120="",D120=""),"",IF(NOT(ISNUMBER(B120)),"Needs a date",IF(C120="","Needs a crop",IF(COUNTIF(Crops!$B$6:$B$65,C120)=0,"Not on Crops",IF(AND(D120&lt;&gt;"",COUNTIF(Beds!$B$6:$B$35,D120)=0),"Not on Beds",IF(AND(ISNUMBER(G120),G120&lt;B120),"Cleared before it was planted",""))))))</f>
        <v/>
      </c>
      <c r="M120" s="11">
        <f>IF(OR(L120&lt;&gt;"",D120="",O120=""),"",IF(COUNTIFS(Plantings!$D$6:$D$505,D120,Plantings!$O$6:$O$505,O120,Plantings!$N$6:$N$505,N120-1)&gt;0,"Same family here last year",""))</f>
        <v/>
      </c>
      <c r="N120" s="1">
        <f>IF(ISNUMBER(B120),YEAR(B120),"")</f>
        <v/>
      </c>
      <c r="O120">
        <f>IF(C120="","",IFERROR(INDEX(Crops!$C$6:$C$65,MATCH(C120,Crops!$B$6:$B$65,0))&amp;"",""))</f>
        <v/>
      </c>
      <c r="P120">
        <f>IF(ISNUMBER(B120),INT(B120),0)</f>
        <v/>
      </c>
      <c r="Q120">
        <f>IF(AND(L120="",OR(J120="Growing",J120="Picking")),1,0)</f>
        <v/>
      </c>
      <c r="R120">
        <f>IF(AND(Q120=1,D120&lt;&gt;""),P120*1000+ROW(),0)</f>
        <v/>
      </c>
      <c r="S120">
        <f>IF(AND(AND(C120&lt;&gt;"",ISNUMBER(B120)),L120=""),1,0)</f>
        <v/>
      </c>
    </row>
    <row r="121">
      <c r="A121" s="1" t="n"/>
      <c r="B121" s="17" t="n"/>
      <c r="C121" s="18" t="n"/>
      <c r="D121" s="19" t="n"/>
      <c r="E121" s="19" t="n"/>
      <c r="F121" s="20" t="n"/>
      <c r="G121" s="17" t="n"/>
      <c r="H121" s="21" t="n"/>
      <c r="I121" s="22">
        <f>IF(NOT(AND(C121&lt;&gt;"",ISNUMBER(B121))),"",IF(N(IFERROR(INDEX(Crops!$F$6:$F$65,MATCH(C121,Crops!$B$6:$B$65,0)),0))&gt;0,INT(B121)+N(IFERROR(INDEX(Crops!$F$6:$F$65,MATCH(C121,Crops!$B$6:$B$65,0)),0)),""))</f>
        <v/>
      </c>
      <c r="J121" s="16">
        <f>IF(NOT(AND(C121&lt;&gt;"",ISNUMBER(B121))),"",IF(ISNUMBER(G121),"Done",IF(INT(B121)&gt;TODAY(),"Planned",IF(COUNTIFS(Harvest!$C$6:$C$1505,C121,Harvest!$D$6:$D$1505,D121&amp;"",Harvest!$L$6:$L$1505,"&gt;="&amp;INT(B121))&gt;0,"Picking","Growing"))))</f>
        <v/>
      </c>
      <c r="K121" s="14">
        <f>IF(OR(NOT(AND(C121&lt;&gt;"",ISNUMBER(B121))),J121="Planned"),"",IF(ISNUMBER(G121),INT(G121),TODAY())-INT(B121))</f>
        <v/>
      </c>
      <c r="L121" s="11">
        <f>IF(AND(B121="",C121="",D121=""),"",IF(NOT(ISNUMBER(B121)),"Needs a date",IF(C121="","Needs a crop",IF(COUNTIF(Crops!$B$6:$B$65,C121)=0,"Not on Crops",IF(AND(D121&lt;&gt;"",COUNTIF(Beds!$B$6:$B$35,D121)=0),"Not on Beds",IF(AND(ISNUMBER(G121),G121&lt;B121),"Cleared before it was planted",""))))))</f>
        <v/>
      </c>
      <c r="M121" s="11">
        <f>IF(OR(L121&lt;&gt;"",D121="",O121=""),"",IF(COUNTIFS(Plantings!$D$6:$D$505,D121,Plantings!$O$6:$O$505,O121,Plantings!$N$6:$N$505,N121-1)&gt;0,"Same family here last year",""))</f>
        <v/>
      </c>
      <c r="N121" s="1">
        <f>IF(ISNUMBER(B121),YEAR(B121),"")</f>
        <v/>
      </c>
      <c r="O121">
        <f>IF(C121="","",IFERROR(INDEX(Crops!$C$6:$C$65,MATCH(C121,Crops!$B$6:$B$65,0))&amp;"",""))</f>
        <v/>
      </c>
      <c r="P121">
        <f>IF(ISNUMBER(B121),INT(B121),0)</f>
        <v/>
      </c>
      <c r="Q121">
        <f>IF(AND(L121="",OR(J121="Growing",J121="Picking")),1,0)</f>
        <v/>
      </c>
      <c r="R121">
        <f>IF(AND(Q121=1,D121&lt;&gt;""),P121*1000+ROW(),0)</f>
        <v/>
      </c>
      <c r="S121">
        <f>IF(AND(AND(C121&lt;&gt;"",ISNUMBER(B121)),L121=""),1,0)</f>
        <v/>
      </c>
    </row>
    <row r="122">
      <c r="A122" s="1" t="n"/>
      <c r="B122" s="17" t="n"/>
      <c r="C122" s="18" t="n"/>
      <c r="D122" s="19" t="n"/>
      <c r="E122" s="19" t="n"/>
      <c r="F122" s="20" t="n"/>
      <c r="G122" s="17" t="n"/>
      <c r="H122" s="21" t="n"/>
      <c r="I122" s="22">
        <f>IF(NOT(AND(C122&lt;&gt;"",ISNUMBER(B122))),"",IF(N(IFERROR(INDEX(Crops!$F$6:$F$65,MATCH(C122,Crops!$B$6:$B$65,0)),0))&gt;0,INT(B122)+N(IFERROR(INDEX(Crops!$F$6:$F$65,MATCH(C122,Crops!$B$6:$B$65,0)),0)),""))</f>
        <v/>
      </c>
      <c r="J122" s="16">
        <f>IF(NOT(AND(C122&lt;&gt;"",ISNUMBER(B122))),"",IF(ISNUMBER(G122),"Done",IF(INT(B122)&gt;TODAY(),"Planned",IF(COUNTIFS(Harvest!$C$6:$C$1505,C122,Harvest!$D$6:$D$1505,D122&amp;"",Harvest!$L$6:$L$1505,"&gt;="&amp;INT(B122))&gt;0,"Picking","Growing"))))</f>
        <v/>
      </c>
      <c r="K122" s="14">
        <f>IF(OR(NOT(AND(C122&lt;&gt;"",ISNUMBER(B122))),J122="Planned"),"",IF(ISNUMBER(G122),INT(G122),TODAY())-INT(B122))</f>
        <v/>
      </c>
      <c r="L122" s="11">
        <f>IF(AND(B122="",C122="",D122=""),"",IF(NOT(ISNUMBER(B122)),"Needs a date",IF(C122="","Needs a crop",IF(COUNTIF(Crops!$B$6:$B$65,C122)=0,"Not on Crops",IF(AND(D122&lt;&gt;"",COUNTIF(Beds!$B$6:$B$35,D122)=0),"Not on Beds",IF(AND(ISNUMBER(G122),G122&lt;B122),"Cleared before it was planted",""))))))</f>
        <v/>
      </c>
      <c r="M122" s="11">
        <f>IF(OR(L122&lt;&gt;"",D122="",O122=""),"",IF(COUNTIFS(Plantings!$D$6:$D$505,D122,Plantings!$O$6:$O$505,O122,Plantings!$N$6:$N$505,N122-1)&gt;0,"Same family here last year",""))</f>
        <v/>
      </c>
      <c r="N122" s="1">
        <f>IF(ISNUMBER(B122),YEAR(B122),"")</f>
        <v/>
      </c>
      <c r="O122">
        <f>IF(C122="","",IFERROR(INDEX(Crops!$C$6:$C$65,MATCH(C122,Crops!$B$6:$B$65,0))&amp;"",""))</f>
        <v/>
      </c>
      <c r="P122">
        <f>IF(ISNUMBER(B122),INT(B122),0)</f>
        <v/>
      </c>
      <c r="Q122">
        <f>IF(AND(L122="",OR(J122="Growing",J122="Picking")),1,0)</f>
        <v/>
      </c>
      <c r="R122">
        <f>IF(AND(Q122=1,D122&lt;&gt;""),P122*1000+ROW(),0)</f>
        <v/>
      </c>
      <c r="S122">
        <f>IF(AND(AND(C122&lt;&gt;"",ISNUMBER(B122)),L122=""),1,0)</f>
        <v/>
      </c>
    </row>
    <row r="123">
      <c r="A123" s="1" t="n"/>
      <c r="B123" s="17" t="n"/>
      <c r="C123" s="18" t="n"/>
      <c r="D123" s="19" t="n"/>
      <c r="E123" s="19" t="n"/>
      <c r="F123" s="20" t="n"/>
      <c r="G123" s="17" t="n"/>
      <c r="H123" s="21" t="n"/>
      <c r="I123" s="22">
        <f>IF(NOT(AND(C123&lt;&gt;"",ISNUMBER(B123))),"",IF(N(IFERROR(INDEX(Crops!$F$6:$F$65,MATCH(C123,Crops!$B$6:$B$65,0)),0))&gt;0,INT(B123)+N(IFERROR(INDEX(Crops!$F$6:$F$65,MATCH(C123,Crops!$B$6:$B$65,0)),0)),""))</f>
        <v/>
      </c>
      <c r="J123" s="16">
        <f>IF(NOT(AND(C123&lt;&gt;"",ISNUMBER(B123))),"",IF(ISNUMBER(G123),"Done",IF(INT(B123)&gt;TODAY(),"Planned",IF(COUNTIFS(Harvest!$C$6:$C$1505,C123,Harvest!$D$6:$D$1505,D123&amp;"",Harvest!$L$6:$L$1505,"&gt;="&amp;INT(B123))&gt;0,"Picking","Growing"))))</f>
        <v/>
      </c>
      <c r="K123" s="14">
        <f>IF(OR(NOT(AND(C123&lt;&gt;"",ISNUMBER(B123))),J123="Planned"),"",IF(ISNUMBER(G123),INT(G123),TODAY())-INT(B123))</f>
        <v/>
      </c>
      <c r="L123" s="11">
        <f>IF(AND(B123="",C123="",D123=""),"",IF(NOT(ISNUMBER(B123)),"Needs a date",IF(C123="","Needs a crop",IF(COUNTIF(Crops!$B$6:$B$65,C123)=0,"Not on Crops",IF(AND(D123&lt;&gt;"",COUNTIF(Beds!$B$6:$B$35,D123)=0),"Not on Beds",IF(AND(ISNUMBER(G123),G123&lt;B123),"Cleared before it was planted",""))))))</f>
        <v/>
      </c>
      <c r="M123" s="11">
        <f>IF(OR(L123&lt;&gt;"",D123="",O123=""),"",IF(COUNTIFS(Plantings!$D$6:$D$505,D123,Plantings!$O$6:$O$505,O123,Plantings!$N$6:$N$505,N123-1)&gt;0,"Same family here last year",""))</f>
        <v/>
      </c>
      <c r="N123" s="1">
        <f>IF(ISNUMBER(B123),YEAR(B123),"")</f>
        <v/>
      </c>
      <c r="O123">
        <f>IF(C123="","",IFERROR(INDEX(Crops!$C$6:$C$65,MATCH(C123,Crops!$B$6:$B$65,0))&amp;"",""))</f>
        <v/>
      </c>
      <c r="P123">
        <f>IF(ISNUMBER(B123),INT(B123),0)</f>
        <v/>
      </c>
      <c r="Q123">
        <f>IF(AND(L123="",OR(J123="Growing",J123="Picking")),1,0)</f>
        <v/>
      </c>
      <c r="R123">
        <f>IF(AND(Q123=1,D123&lt;&gt;""),P123*1000+ROW(),0)</f>
        <v/>
      </c>
      <c r="S123">
        <f>IF(AND(AND(C123&lt;&gt;"",ISNUMBER(B123)),L123=""),1,0)</f>
        <v/>
      </c>
    </row>
    <row r="124">
      <c r="A124" s="1" t="n"/>
      <c r="B124" s="17" t="n"/>
      <c r="C124" s="18" t="n"/>
      <c r="D124" s="19" t="n"/>
      <c r="E124" s="19" t="n"/>
      <c r="F124" s="20" t="n"/>
      <c r="G124" s="17" t="n"/>
      <c r="H124" s="21" t="n"/>
      <c r="I124" s="22">
        <f>IF(NOT(AND(C124&lt;&gt;"",ISNUMBER(B124))),"",IF(N(IFERROR(INDEX(Crops!$F$6:$F$65,MATCH(C124,Crops!$B$6:$B$65,0)),0))&gt;0,INT(B124)+N(IFERROR(INDEX(Crops!$F$6:$F$65,MATCH(C124,Crops!$B$6:$B$65,0)),0)),""))</f>
        <v/>
      </c>
      <c r="J124" s="16">
        <f>IF(NOT(AND(C124&lt;&gt;"",ISNUMBER(B124))),"",IF(ISNUMBER(G124),"Done",IF(INT(B124)&gt;TODAY(),"Planned",IF(COUNTIFS(Harvest!$C$6:$C$1505,C124,Harvest!$D$6:$D$1505,D124&amp;"",Harvest!$L$6:$L$1505,"&gt;="&amp;INT(B124))&gt;0,"Picking","Growing"))))</f>
        <v/>
      </c>
      <c r="K124" s="14">
        <f>IF(OR(NOT(AND(C124&lt;&gt;"",ISNUMBER(B124))),J124="Planned"),"",IF(ISNUMBER(G124),INT(G124),TODAY())-INT(B124))</f>
        <v/>
      </c>
      <c r="L124" s="11">
        <f>IF(AND(B124="",C124="",D124=""),"",IF(NOT(ISNUMBER(B124)),"Needs a date",IF(C124="","Needs a crop",IF(COUNTIF(Crops!$B$6:$B$65,C124)=0,"Not on Crops",IF(AND(D124&lt;&gt;"",COUNTIF(Beds!$B$6:$B$35,D124)=0),"Not on Beds",IF(AND(ISNUMBER(G124),G124&lt;B124),"Cleared before it was planted",""))))))</f>
        <v/>
      </c>
      <c r="M124" s="11">
        <f>IF(OR(L124&lt;&gt;"",D124="",O124=""),"",IF(COUNTIFS(Plantings!$D$6:$D$505,D124,Plantings!$O$6:$O$505,O124,Plantings!$N$6:$N$505,N124-1)&gt;0,"Same family here last year",""))</f>
        <v/>
      </c>
      <c r="N124" s="1">
        <f>IF(ISNUMBER(B124),YEAR(B124),"")</f>
        <v/>
      </c>
      <c r="O124">
        <f>IF(C124="","",IFERROR(INDEX(Crops!$C$6:$C$65,MATCH(C124,Crops!$B$6:$B$65,0))&amp;"",""))</f>
        <v/>
      </c>
      <c r="P124">
        <f>IF(ISNUMBER(B124),INT(B124),0)</f>
        <v/>
      </c>
      <c r="Q124">
        <f>IF(AND(L124="",OR(J124="Growing",J124="Picking")),1,0)</f>
        <v/>
      </c>
      <c r="R124">
        <f>IF(AND(Q124=1,D124&lt;&gt;""),P124*1000+ROW(),0)</f>
        <v/>
      </c>
      <c r="S124">
        <f>IF(AND(AND(C124&lt;&gt;"",ISNUMBER(B124)),L124=""),1,0)</f>
        <v/>
      </c>
    </row>
    <row r="125">
      <c r="A125" s="1" t="n"/>
      <c r="B125" s="17" t="n"/>
      <c r="C125" s="18" t="n"/>
      <c r="D125" s="19" t="n"/>
      <c r="E125" s="19" t="n"/>
      <c r="F125" s="20" t="n"/>
      <c r="G125" s="17" t="n"/>
      <c r="H125" s="21" t="n"/>
      <c r="I125" s="22">
        <f>IF(NOT(AND(C125&lt;&gt;"",ISNUMBER(B125))),"",IF(N(IFERROR(INDEX(Crops!$F$6:$F$65,MATCH(C125,Crops!$B$6:$B$65,0)),0))&gt;0,INT(B125)+N(IFERROR(INDEX(Crops!$F$6:$F$65,MATCH(C125,Crops!$B$6:$B$65,0)),0)),""))</f>
        <v/>
      </c>
      <c r="J125" s="16">
        <f>IF(NOT(AND(C125&lt;&gt;"",ISNUMBER(B125))),"",IF(ISNUMBER(G125),"Done",IF(INT(B125)&gt;TODAY(),"Planned",IF(COUNTIFS(Harvest!$C$6:$C$1505,C125,Harvest!$D$6:$D$1505,D125&amp;"",Harvest!$L$6:$L$1505,"&gt;="&amp;INT(B125))&gt;0,"Picking","Growing"))))</f>
        <v/>
      </c>
      <c r="K125" s="14">
        <f>IF(OR(NOT(AND(C125&lt;&gt;"",ISNUMBER(B125))),J125="Planned"),"",IF(ISNUMBER(G125),INT(G125),TODAY())-INT(B125))</f>
        <v/>
      </c>
      <c r="L125" s="11">
        <f>IF(AND(B125="",C125="",D125=""),"",IF(NOT(ISNUMBER(B125)),"Needs a date",IF(C125="","Needs a crop",IF(COUNTIF(Crops!$B$6:$B$65,C125)=0,"Not on Crops",IF(AND(D125&lt;&gt;"",COUNTIF(Beds!$B$6:$B$35,D125)=0),"Not on Beds",IF(AND(ISNUMBER(G125),G125&lt;B125),"Cleared before it was planted",""))))))</f>
        <v/>
      </c>
      <c r="M125" s="11">
        <f>IF(OR(L125&lt;&gt;"",D125="",O125=""),"",IF(COUNTIFS(Plantings!$D$6:$D$505,D125,Plantings!$O$6:$O$505,O125,Plantings!$N$6:$N$505,N125-1)&gt;0,"Same family here last year",""))</f>
        <v/>
      </c>
      <c r="N125" s="1">
        <f>IF(ISNUMBER(B125),YEAR(B125),"")</f>
        <v/>
      </c>
      <c r="O125">
        <f>IF(C125="","",IFERROR(INDEX(Crops!$C$6:$C$65,MATCH(C125,Crops!$B$6:$B$65,0))&amp;"",""))</f>
        <v/>
      </c>
      <c r="P125">
        <f>IF(ISNUMBER(B125),INT(B125),0)</f>
        <v/>
      </c>
      <c r="Q125">
        <f>IF(AND(L125="",OR(J125="Growing",J125="Picking")),1,0)</f>
        <v/>
      </c>
      <c r="R125">
        <f>IF(AND(Q125=1,D125&lt;&gt;""),P125*1000+ROW(),0)</f>
        <v/>
      </c>
      <c r="S125">
        <f>IF(AND(AND(C125&lt;&gt;"",ISNUMBER(B125)),L125=""),1,0)</f>
        <v/>
      </c>
    </row>
    <row r="126">
      <c r="A126" s="1" t="n"/>
      <c r="B126" s="17" t="n"/>
      <c r="C126" s="18" t="n"/>
      <c r="D126" s="19" t="n"/>
      <c r="E126" s="19" t="n"/>
      <c r="F126" s="20" t="n"/>
      <c r="G126" s="17" t="n"/>
      <c r="H126" s="21" t="n"/>
      <c r="I126" s="22">
        <f>IF(NOT(AND(C126&lt;&gt;"",ISNUMBER(B126))),"",IF(N(IFERROR(INDEX(Crops!$F$6:$F$65,MATCH(C126,Crops!$B$6:$B$65,0)),0))&gt;0,INT(B126)+N(IFERROR(INDEX(Crops!$F$6:$F$65,MATCH(C126,Crops!$B$6:$B$65,0)),0)),""))</f>
        <v/>
      </c>
      <c r="J126" s="16">
        <f>IF(NOT(AND(C126&lt;&gt;"",ISNUMBER(B126))),"",IF(ISNUMBER(G126),"Done",IF(INT(B126)&gt;TODAY(),"Planned",IF(COUNTIFS(Harvest!$C$6:$C$1505,C126,Harvest!$D$6:$D$1505,D126&amp;"",Harvest!$L$6:$L$1505,"&gt;="&amp;INT(B126))&gt;0,"Picking","Growing"))))</f>
        <v/>
      </c>
      <c r="K126" s="14">
        <f>IF(OR(NOT(AND(C126&lt;&gt;"",ISNUMBER(B126))),J126="Planned"),"",IF(ISNUMBER(G126),INT(G126),TODAY())-INT(B126))</f>
        <v/>
      </c>
      <c r="L126" s="11">
        <f>IF(AND(B126="",C126="",D126=""),"",IF(NOT(ISNUMBER(B126)),"Needs a date",IF(C126="","Needs a crop",IF(COUNTIF(Crops!$B$6:$B$65,C126)=0,"Not on Crops",IF(AND(D126&lt;&gt;"",COUNTIF(Beds!$B$6:$B$35,D126)=0),"Not on Beds",IF(AND(ISNUMBER(G126),G126&lt;B126),"Cleared before it was planted",""))))))</f>
        <v/>
      </c>
      <c r="M126" s="11">
        <f>IF(OR(L126&lt;&gt;"",D126="",O126=""),"",IF(COUNTIFS(Plantings!$D$6:$D$505,D126,Plantings!$O$6:$O$505,O126,Plantings!$N$6:$N$505,N126-1)&gt;0,"Same family here last year",""))</f>
        <v/>
      </c>
      <c r="N126" s="1">
        <f>IF(ISNUMBER(B126),YEAR(B126),"")</f>
        <v/>
      </c>
      <c r="O126">
        <f>IF(C126="","",IFERROR(INDEX(Crops!$C$6:$C$65,MATCH(C126,Crops!$B$6:$B$65,0))&amp;"",""))</f>
        <v/>
      </c>
      <c r="P126">
        <f>IF(ISNUMBER(B126),INT(B126),0)</f>
        <v/>
      </c>
      <c r="Q126">
        <f>IF(AND(L126="",OR(J126="Growing",J126="Picking")),1,0)</f>
        <v/>
      </c>
      <c r="R126">
        <f>IF(AND(Q126=1,D126&lt;&gt;""),P126*1000+ROW(),0)</f>
        <v/>
      </c>
      <c r="S126">
        <f>IF(AND(AND(C126&lt;&gt;"",ISNUMBER(B126)),L126=""),1,0)</f>
        <v/>
      </c>
    </row>
    <row r="127">
      <c r="A127" s="1" t="n"/>
      <c r="B127" s="17" t="n"/>
      <c r="C127" s="18" t="n"/>
      <c r="D127" s="19" t="n"/>
      <c r="E127" s="19" t="n"/>
      <c r="F127" s="20" t="n"/>
      <c r="G127" s="17" t="n"/>
      <c r="H127" s="21" t="n"/>
      <c r="I127" s="22">
        <f>IF(NOT(AND(C127&lt;&gt;"",ISNUMBER(B127))),"",IF(N(IFERROR(INDEX(Crops!$F$6:$F$65,MATCH(C127,Crops!$B$6:$B$65,0)),0))&gt;0,INT(B127)+N(IFERROR(INDEX(Crops!$F$6:$F$65,MATCH(C127,Crops!$B$6:$B$65,0)),0)),""))</f>
        <v/>
      </c>
      <c r="J127" s="16">
        <f>IF(NOT(AND(C127&lt;&gt;"",ISNUMBER(B127))),"",IF(ISNUMBER(G127),"Done",IF(INT(B127)&gt;TODAY(),"Planned",IF(COUNTIFS(Harvest!$C$6:$C$1505,C127,Harvest!$D$6:$D$1505,D127&amp;"",Harvest!$L$6:$L$1505,"&gt;="&amp;INT(B127))&gt;0,"Picking","Growing"))))</f>
        <v/>
      </c>
      <c r="K127" s="14">
        <f>IF(OR(NOT(AND(C127&lt;&gt;"",ISNUMBER(B127))),J127="Planned"),"",IF(ISNUMBER(G127),INT(G127),TODAY())-INT(B127))</f>
        <v/>
      </c>
      <c r="L127" s="11">
        <f>IF(AND(B127="",C127="",D127=""),"",IF(NOT(ISNUMBER(B127)),"Needs a date",IF(C127="","Needs a crop",IF(COUNTIF(Crops!$B$6:$B$65,C127)=0,"Not on Crops",IF(AND(D127&lt;&gt;"",COUNTIF(Beds!$B$6:$B$35,D127)=0),"Not on Beds",IF(AND(ISNUMBER(G127),G127&lt;B127),"Cleared before it was planted",""))))))</f>
        <v/>
      </c>
      <c r="M127" s="11">
        <f>IF(OR(L127&lt;&gt;"",D127="",O127=""),"",IF(COUNTIFS(Plantings!$D$6:$D$505,D127,Plantings!$O$6:$O$505,O127,Plantings!$N$6:$N$505,N127-1)&gt;0,"Same family here last year",""))</f>
        <v/>
      </c>
      <c r="N127" s="1">
        <f>IF(ISNUMBER(B127),YEAR(B127),"")</f>
        <v/>
      </c>
      <c r="O127">
        <f>IF(C127="","",IFERROR(INDEX(Crops!$C$6:$C$65,MATCH(C127,Crops!$B$6:$B$65,0))&amp;"",""))</f>
        <v/>
      </c>
      <c r="P127">
        <f>IF(ISNUMBER(B127),INT(B127),0)</f>
        <v/>
      </c>
      <c r="Q127">
        <f>IF(AND(L127="",OR(J127="Growing",J127="Picking")),1,0)</f>
        <v/>
      </c>
      <c r="R127">
        <f>IF(AND(Q127=1,D127&lt;&gt;""),P127*1000+ROW(),0)</f>
        <v/>
      </c>
      <c r="S127">
        <f>IF(AND(AND(C127&lt;&gt;"",ISNUMBER(B127)),L127=""),1,0)</f>
        <v/>
      </c>
    </row>
    <row r="128">
      <c r="A128" s="1" t="n"/>
      <c r="B128" s="17" t="n"/>
      <c r="C128" s="18" t="n"/>
      <c r="D128" s="19" t="n"/>
      <c r="E128" s="19" t="n"/>
      <c r="F128" s="20" t="n"/>
      <c r="G128" s="17" t="n"/>
      <c r="H128" s="21" t="n"/>
      <c r="I128" s="22">
        <f>IF(NOT(AND(C128&lt;&gt;"",ISNUMBER(B128))),"",IF(N(IFERROR(INDEX(Crops!$F$6:$F$65,MATCH(C128,Crops!$B$6:$B$65,0)),0))&gt;0,INT(B128)+N(IFERROR(INDEX(Crops!$F$6:$F$65,MATCH(C128,Crops!$B$6:$B$65,0)),0)),""))</f>
        <v/>
      </c>
      <c r="J128" s="16">
        <f>IF(NOT(AND(C128&lt;&gt;"",ISNUMBER(B128))),"",IF(ISNUMBER(G128),"Done",IF(INT(B128)&gt;TODAY(),"Planned",IF(COUNTIFS(Harvest!$C$6:$C$1505,C128,Harvest!$D$6:$D$1505,D128&amp;"",Harvest!$L$6:$L$1505,"&gt;="&amp;INT(B128))&gt;0,"Picking","Growing"))))</f>
        <v/>
      </c>
      <c r="K128" s="14">
        <f>IF(OR(NOT(AND(C128&lt;&gt;"",ISNUMBER(B128))),J128="Planned"),"",IF(ISNUMBER(G128),INT(G128),TODAY())-INT(B128))</f>
        <v/>
      </c>
      <c r="L128" s="11">
        <f>IF(AND(B128="",C128="",D128=""),"",IF(NOT(ISNUMBER(B128)),"Needs a date",IF(C128="","Needs a crop",IF(COUNTIF(Crops!$B$6:$B$65,C128)=0,"Not on Crops",IF(AND(D128&lt;&gt;"",COUNTIF(Beds!$B$6:$B$35,D128)=0),"Not on Beds",IF(AND(ISNUMBER(G128),G128&lt;B128),"Cleared before it was planted",""))))))</f>
        <v/>
      </c>
      <c r="M128" s="11">
        <f>IF(OR(L128&lt;&gt;"",D128="",O128=""),"",IF(COUNTIFS(Plantings!$D$6:$D$505,D128,Plantings!$O$6:$O$505,O128,Plantings!$N$6:$N$505,N128-1)&gt;0,"Same family here last year",""))</f>
        <v/>
      </c>
      <c r="N128" s="1">
        <f>IF(ISNUMBER(B128),YEAR(B128),"")</f>
        <v/>
      </c>
      <c r="O128">
        <f>IF(C128="","",IFERROR(INDEX(Crops!$C$6:$C$65,MATCH(C128,Crops!$B$6:$B$65,0))&amp;"",""))</f>
        <v/>
      </c>
      <c r="P128">
        <f>IF(ISNUMBER(B128),INT(B128),0)</f>
        <v/>
      </c>
      <c r="Q128">
        <f>IF(AND(L128="",OR(J128="Growing",J128="Picking")),1,0)</f>
        <v/>
      </c>
      <c r="R128">
        <f>IF(AND(Q128=1,D128&lt;&gt;""),P128*1000+ROW(),0)</f>
        <v/>
      </c>
      <c r="S128">
        <f>IF(AND(AND(C128&lt;&gt;"",ISNUMBER(B128)),L128=""),1,0)</f>
        <v/>
      </c>
    </row>
    <row r="129">
      <c r="A129" s="1" t="n"/>
      <c r="B129" s="17" t="n"/>
      <c r="C129" s="18" t="n"/>
      <c r="D129" s="19" t="n"/>
      <c r="E129" s="19" t="n"/>
      <c r="F129" s="20" t="n"/>
      <c r="G129" s="17" t="n"/>
      <c r="H129" s="21" t="n"/>
      <c r="I129" s="22">
        <f>IF(NOT(AND(C129&lt;&gt;"",ISNUMBER(B129))),"",IF(N(IFERROR(INDEX(Crops!$F$6:$F$65,MATCH(C129,Crops!$B$6:$B$65,0)),0))&gt;0,INT(B129)+N(IFERROR(INDEX(Crops!$F$6:$F$65,MATCH(C129,Crops!$B$6:$B$65,0)),0)),""))</f>
        <v/>
      </c>
      <c r="J129" s="16">
        <f>IF(NOT(AND(C129&lt;&gt;"",ISNUMBER(B129))),"",IF(ISNUMBER(G129),"Done",IF(INT(B129)&gt;TODAY(),"Planned",IF(COUNTIFS(Harvest!$C$6:$C$1505,C129,Harvest!$D$6:$D$1505,D129&amp;"",Harvest!$L$6:$L$1505,"&gt;="&amp;INT(B129))&gt;0,"Picking","Growing"))))</f>
        <v/>
      </c>
      <c r="K129" s="14">
        <f>IF(OR(NOT(AND(C129&lt;&gt;"",ISNUMBER(B129))),J129="Planned"),"",IF(ISNUMBER(G129),INT(G129),TODAY())-INT(B129))</f>
        <v/>
      </c>
      <c r="L129" s="11">
        <f>IF(AND(B129="",C129="",D129=""),"",IF(NOT(ISNUMBER(B129)),"Needs a date",IF(C129="","Needs a crop",IF(COUNTIF(Crops!$B$6:$B$65,C129)=0,"Not on Crops",IF(AND(D129&lt;&gt;"",COUNTIF(Beds!$B$6:$B$35,D129)=0),"Not on Beds",IF(AND(ISNUMBER(G129),G129&lt;B129),"Cleared before it was planted",""))))))</f>
        <v/>
      </c>
      <c r="M129" s="11">
        <f>IF(OR(L129&lt;&gt;"",D129="",O129=""),"",IF(COUNTIFS(Plantings!$D$6:$D$505,D129,Plantings!$O$6:$O$505,O129,Plantings!$N$6:$N$505,N129-1)&gt;0,"Same family here last year",""))</f>
        <v/>
      </c>
      <c r="N129" s="1">
        <f>IF(ISNUMBER(B129),YEAR(B129),"")</f>
        <v/>
      </c>
      <c r="O129">
        <f>IF(C129="","",IFERROR(INDEX(Crops!$C$6:$C$65,MATCH(C129,Crops!$B$6:$B$65,0))&amp;"",""))</f>
        <v/>
      </c>
      <c r="P129">
        <f>IF(ISNUMBER(B129),INT(B129),0)</f>
        <v/>
      </c>
      <c r="Q129">
        <f>IF(AND(L129="",OR(J129="Growing",J129="Picking")),1,0)</f>
        <v/>
      </c>
      <c r="R129">
        <f>IF(AND(Q129=1,D129&lt;&gt;""),P129*1000+ROW(),0)</f>
        <v/>
      </c>
      <c r="S129">
        <f>IF(AND(AND(C129&lt;&gt;"",ISNUMBER(B129)),L129=""),1,0)</f>
        <v/>
      </c>
    </row>
    <row r="130">
      <c r="A130" s="1" t="n"/>
      <c r="B130" s="17" t="n"/>
      <c r="C130" s="18" t="n"/>
      <c r="D130" s="19" t="n"/>
      <c r="E130" s="19" t="n"/>
      <c r="F130" s="20" t="n"/>
      <c r="G130" s="17" t="n"/>
      <c r="H130" s="21" t="n"/>
      <c r="I130" s="22">
        <f>IF(NOT(AND(C130&lt;&gt;"",ISNUMBER(B130))),"",IF(N(IFERROR(INDEX(Crops!$F$6:$F$65,MATCH(C130,Crops!$B$6:$B$65,0)),0))&gt;0,INT(B130)+N(IFERROR(INDEX(Crops!$F$6:$F$65,MATCH(C130,Crops!$B$6:$B$65,0)),0)),""))</f>
        <v/>
      </c>
      <c r="J130" s="16">
        <f>IF(NOT(AND(C130&lt;&gt;"",ISNUMBER(B130))),"",IF(ISNUMBER(G130),"Done",IF(INT(B130)&gt;TODAY(),"Planned",IF(COUNTIFS(Harvest!$C$6:$C$1505,C130,Harvest!$D$6:$D$1505,D130&amp;"",Harvest!$L$6:$L$1505,"&gt;="&amp;INT(B130))&gt;0,"Picking","Growing"))))</f>
        <v/>
      </c>
      <c r="K130" s="14">
        <f>IF(OR(NOT(AND(C130&lt;&gt;"",ISNUMBER(B130))),J130="Planned"),"",IF(ISNUMBER(G130),INT(G130),TODAY())-INT(B130))</f>
        <v/>
      </c>
      <c r="L130" s="11">
        <f>IF(AND(B130="",C130="",D130=""),"",IF(NOT(ISNUMBER(B130)),"Needs a date",IF(C130="","Needs a crop",IF(COUNTIF(Crops!$B$6:$B$65,C130)=0,"Not on Crops",IF(AND(D130&lt;&gt;"",COUNTIF(Beds!$B$6:$B$35,D130)=0),"Not on Beds",IF(AND(ISNUMBER(G130),G130&lt;B130),"Cleared before it was planted",""))))))</f>
        <v/>
      </c>
      <c r="M130" s="11">
        <f>IF(OR(L130&lt;&gt;"",D130="",O130=""),"",IF(COUNTIFS(Plantings!$D$6:$D$505,D130,Plantings!$O$6:$O$505,O130,Plantings!$N$6:$N$505,N130-1)&gt;0,"Same family here last year",""))</f>
        <v/>
      </c>
      <c r="N130" s="1">
        <f>IF(ISNUMBER(B130),YEAR(B130),"")</f>
        <v/>
      </c>
      <c r="O130">
        <f>IF(C130="","",IFERROR(INDEX(Crops!$C$6:$C$65,MATCH(C130,Crops!$B$6:$B$65,0))&amp;"",""))</f>
        <v/>
      </c>
      <c r="P130">
        <f>IF(ISNUMBER(B130),INT(B130),0)</f>
        <v/>
      </c>
      <c r="Q130">
        <f>IF(AND(L130="",OR(J130="Growing",J130="Picking")),1,0)</f>
        <v/>
      </c>
      <c r="R130">
        <f>IF(AND(Q130=1,D130&lt;&gt;""),P130*1000+ROW(),0)</f>
        <v/>
      </c>
      <c r="S130">
        <f>IF(AND(AND(C130&lt;&gt;"",ISNUMBER(B130)),L130=""),1,0)</f>
        <v/>
      </c>
    </row>
    <row r="131">
      <c r="A131" s="1" t="n"/>
      <c r="B131" s="17" t="n"/>
      <c r="C131" s="18" t="n"/>
      <c r="D131" s="19" t="n"/>
      <c r="E131" s="19" t="n"/>
      <c r="F131" s="20" t="n"/>
      <c r="G131" s="17" t="n"/>
      <c r="H131" s="21" t="n"/>
      <c r="I131" s="22">
        <f>IF(NOT(AND(C131&lt;&gt;"",ISNUMBER(B131))),"",IF(N(IFERROR(INDEX(Crops!$F$6:$F$65,MATCH(C131,Crops!$B$6:$B$65,0)),0))&gt;0,INT(B131)+N(IFERROR(INDEX(Crops!$F$6:$F$65,MATCH(C131,Crops!$B$6:$B$65,0)),0)),""))</f>
        <v/>
      </c>
      <c r="J131" s="16">
        <f>IF(NOT(AND(C131&lt;&gt;"",ISNUMBER(B131))),"",IF(ISNUMBER(G131),"Done",IF(INT(B131)&gt;TODAY(),"Planned",IF(COUNTIFS(Harvest!$C$6:$C$1505,C131,Harvest!$D$6:$D$1505,D131&amp;"",Harvest!$L$6:$L$1505,"&gt;="&amp;INT(B131))&gt;0,"Picking","Growing"))))</f>
        <v/>
      </c>
      <c r="K131" s="14">
        <f>IF(OR(NOT(AND(C131&lt;&gt;"",ISNUMBER(B131))),J131="Planned"),"",IF(ISNUMBER(G131),INT(G131),TODAY())-INT(B131))</f>
        <v/>
      </c>
      <c r="L131" s="11">
        <f>IF(AND(B131="",C131="",D131=""),"",IF(NOT(ISNUMBER(B131)),"Needs a date",IF(C131="","Needs a crop",IF(COUNTIF(Crops!$B$6:$B$65,C131)=0,"Not on Crops",IF(AND(D131&lt;&gt;"",COUNTIF(Beds!$B$6:$B$35,D131)=0),"Not on Beds",IF(AND(ISNUMBER(G131),G131&lt;B131),"Cleared before it was planted",""))))))</f>
        <v/>
      </c>
      <c r="M131" s="11">
        <f>IF(OR(L131&lt;&gt;"",D131="",O131=""),"",IF(COUNTIFS(Plantings!$D$6:$D$505,D131,Plantings!$O$6:$O$505,O131,Plantings!$N$6:$N$505,N131-1)&gt;0,"Same family here last year",""))</f>
        <v/>
      </c>
      <c r="N131" s="1">
        <f>IF(ISNUMBER(B131),YEAR(B131),"")</f>
        <v/>
      </c>
      <c r="O131">
        <f>IF(C131="","",IFERROR(INDEX(Crops!$C$6:$C$65,MATCH(C131,Crops!$B$6:$B$65,0))&amp;"",""))</f>
        <v/>
      </c>
      <c r="P131">
        <f>IF(ISNUMBER(B131),INT(B131),0)</f>
        <v/>
      </c>
      <c r="Q131">
        <f>IF(AND(L131="",OR(J131="Growing",J131="Picking")),1,0)</f>
        <v/>
      </c>
      <c r="R131">
        <f>IF(AND(Q131=1,D131&lt;&gt;""),P131*1000+ROW(),0)</f>
        <v/>
      </c>
      <c r="S131">
        <f>IF(AND(AND(C131&lt;&gt;"",ISNUMBER(B131)),L131=""),1,0)</f>
        <v/>
      </c>
    </row>
    <row r="132">
      <c r="A132" s="1" t="n"/>
      <c r="B132" s="17" t="n"/>
      <c r="C132" s="18" t="n"/>
      <c r="D132" s="19" t="n"/>
      <c r="E132" s="19" t="n"/>
      <c r="F132" s="20" t="n"/>
      <c r="G132" s="17" t="n"/>
      <c r="H132" s="21" t="n"/>
      <c r="I132" s="22">
        <f>IF(NOT(AND(C132&lt;&gt;"",ISNUMBER(B132))),"",IF(N(IFERROR(INDEX(Crops!$F$6:$F$65,MATCH(C132,Crops!$B$6:$B$65,0)),0))&gt;0,INT(B132)+N(IFERROR(INDEX(Crops!$F$6:$F$65,MATCH(C132,Crops!$B$6:$B$65,0)),0)),""))</f>
        <v/>
      </c>
      <c r="J132" s="16">
        <f>IF(NOT(AND(C132&lt;&gt;"",ISNUMBER(B132))),"",IF(ISNUMBER(G132),"Done",IF(INT(B132)&gt;TODAY(),"Planned",IF(COUNTIFS(Harvest!$C$6:$C$1505,C132,Harvest!$D$6:$D$1505,D132&amp;"",Harvest!$L$6:$L$1505,"&gt;="&amp;INT(B132))&gt;0,"Picking","Growing"))))</f>
        <v/>
      </c>
      <c r="K132" s="14">
        <f>IF(OR(NOT(AND(C132&lt;&gt;"",ISNUMBER(B132))),J132="Planned"),"",IF(ISNUMBER(G132),INT(G132),TODAY())-INT(B132))</f>
        <v/>
      </c>
      <c r="L132" s="11">
        <f>IF(AND(B132="",C132="",D132=""),"",IF(NOT(ISNUMBER(B132)),"Needs a date",IF(C132="","Needs a crop",IF(COUNTIF(Crops!$B$6:$B$65,C132)=0,"Not on Crops",IF(AND(D132&lt;&gt;"",COUNTIF(Beds!$B$6:$B$35,D132)=0),"Not on Beds",IF(AND(ISNUMBER(G132),G132&lt;B132),"Cleared before it was planted",""))))))</f>
        <v/>
      </c>
      <c r="M132" s="11">
        <f>IF(OR(L132&lt;&gt;"",D132="",O132=""),"",IF(COUNTIFS(Plantings!$D$6:$D$505,D132,Plantings!$O$6:$O$505,O132,Plantings!$N$6:$N$505,N132-1)&gt;0,"Same family here last year",""))</f>
        <v/>
      </c>
      <c r="N132" s="1">
        <f>IF(ISNUMBER(B132),YEAR(B132),"")</f>
        <v/>
      </c>
      <c r="O132">
        <f>IF(C132="","",IFERROR(INDEX(Crops!$C$6:$C$65,MATCH(C132,Crops!$B$6:$B$65,0))&amp;"",""))</f>
        <v/>
      </c>
      <c r="P132">
        <f>IF(ISNUMBER(B132),INT(B132),0)</f>
        <v/>
      </c>
      <c r="Q132">
        <f>IF(AND(L132="",OR(J132="Growing",J132="Picking")),1,0)</f>
        <v/>
      </c>
      <c r="R132">
        <f>IF(AND(Q132=1,D132&lt;&gt;""),P132*1000+ROW(),0)</f>
        <v/>
      </c>
      <c r="S132">
        <f>IF(AND(AND(C132&lt;&gt;"",ISNUMBER(B132)),L132=""),1,0)</f>
        <v/>
      </c>
    </row>
    <row r="133">
      <c r="A133" s="1" t="n"/>
      <c r="B133" s="17" t="n"/>
      <c r="C133" s="18" t="n"/>
      <c r="D133" s="19" t="n"/>
      <c r="E133" s="19" t="n"/>
      <c r="F133" s="20" t="n"/>
      <c r="G133" s="17" t="n"/>
      <c r="H133" s="21" t="n"/>
      <c r="I133" s="22">
        <f>IF(NOT(AND(C133&lt;&gt;"",ISNUMBER(B133))),"",IF(N(IFERROR(INDEX(Crops!$F$6:$F$65,MATCH(C133,Crops!$B$6:$B$65,0)),0))&gt;0,INT(B133)+N(IFERROR(INDEX(Crops!$F$6:$F$65,MATCH(C133,Crops!$B$6:$B$65,0)),0)),""))</f>
        <v/>
      </c>
      <c r="J133" s="16">
        <f>IF(NOT(AND(C133&lt;&gt;"",ISNUMBER(B133))),"",IF(ISNUMBER(G133),"Done",IF(INT(B133)&gt;TODAY(),"Planned",IF(COUNTIFS(Harvest!$C$6:$C$1505,C133,Harvest!$D$6:$D$1505,D133&amp;"",Harvest!$L$6:$L$1505,"&gt;="&amp;INT(B133))&gt;0,"Picking","Growing"))))</f>
        <v/>
      </c>
      <c r="K133" s="14">
        <f>IF(OR(NOT(AND(C133&lt;&gt;"",ISNUMBER(B133))),J133="Planned"),"",IF(ISNUMBER(G133),INT(G133),TODAY())-INT(B133))</f>
        <v/>
      </c>
      <c r="L133" s="11">
        <f>IF(AND(B133="",C133="",D133=""),"",IF(NOT(ISNUMBER(B133)),"Needs a date",IF(C133="","Needs a crop",IF(COUNTIF(Crops!$B$6:$B$65,C133)=0,"Not on Crops",IF(AND(D133&lt;&gt;"",COUNTIF(Beds!$B$6:$B$35,D133)=0),"Not on Beds",IF(AND(ISNUMBER(G133),G133&lt;B133),"Cleared before it was planted",""))))))</f>
        <v/>
      </c>
      <c r="M133" s="11">
        <f>IF(OR(L133&lt;&gt;"",D133="",O133=""),"",IF(COUNTIFS(Plantings!$D$6:$D$505,D133,Plantings!$O$6:$O$505,O133,Plantings!$N$6:$N$505,N133-1)&gt;0,"Same family here last year",""))</f>
        <v/>
      </c>
      <c r="N133" s="1">
        <f>IF(ISNUMBER(B133),YEAR(B133),"")</f>
        <v/>
      </c>
      <c r="O133">
        <f>IF(C133="","",IFERROR(INDEX(Crops!$C$6:$C$65,MATCH(C133,Crops!$B$6:$B$65,0))&amp;"",""))</f>
        <v/>
      </c>
      <c r="P133">
        <f>IF(ISNUMBER(B133),INT(B133),0)</f>
        <v/>
      </c>
      <c r="Q133">
        <f>IF(AND(L133="",OR(J133="Growing",J133="Picking")),1,0)</f>
        <v/>
      </c>
      <c r="R133">
        <f>IF(AND(Q133=1,D133&lt;&gt;""),P133*1000+ROW(),0)</f>
        <v/>
      </c>
      <c r="S133">
        <f>IF(AND(AND(C133&lt;&gt;"",ISNUMBER(B133)),L133=""),1,0)</f>
        <v/>
      </c>
    </row>
    <row r="134">
      <c r="A134" s="1" t="n"/>
      <c r="B134" s="17" t="n"/>
      <c r="C134" s="18" t="n"/>
      <c r="D134" s="19" t="n"/>
      <c r="E134" s="19" t="n"/>
      <c r="F134" s="20" t="n"/>
      <c r="G134" s="17" t="n"/>
      <c r="H134" s="21" t="n"/>
      <c r="I134" s="22">
        <f>IF(NOT(AND(C134&lt;&gt;"",ISNUMBER(B134))),"",IF(N(IFERROR(INDEX(Crops!$F$6:$F$65,MATCH(C134,Crops!$B$6:$B$65,0)),0))&gt;0,INT(B134)+N(IFERROR(INDEX(Crops!$F$6:$F$65,MATCH(C134,Crops!$B$6:$B$65,0)),0)),""))</f>
        <v/>
      </c>
      <c r="J134" s="16">
        <f>IF(NOT(AND(C134&lt;&gt;"",ISNUMBER(B134))),"",IF(ISNUMBER(G134),"Done",IF(INT(B134)&gt;TODAY(),"Planned",IF(COUNTIFS(Harvest!$C$6:$C$1505,C134,Harvest!$D$6:$D$1505,D134&amp;"",Harvest!$L$6:$L$1505,"&gt;="&amp;INT(B134))&gt;0,"Picking","Growing"))))</f>
        <v/>
      </c>
      <c r="K134" s="14">
        <f>IF(OR(NOT(AND(C134&lt;&gt;"",ISNUMBER(B134))),J134="Planned"),"",IF(ISNUMBER(G134),INT(G134),TODAY())-INT(B134))</f>
        <v/>
      </c>
      <c r="L134" s="11">
        <f>IF(AND(B134="",C134="",D134=""),"",IF(NOT(ISNUMBER(B134)),"Needs a date",IF(C134="","Needs a crop",IF(COUNTIF(Crops!$B$6:$B$65,C134)=0,"Not on Crops",IF(AND(D134&lt;&gt;"",COUNTIF(Beds!$B$6:$B$35,D134)=0),"Not on Beds",IF(AND(ISNUMBER(G134),G134&lt;B134),"Cleared before it was planted",""))))))</f>
        <v/>
      </c>
      <c r="M134" s="11">
        <f>IF(OR(L134&lt;&gt;"",D134="",O134=""),"",IF(COUNTIFS(Plantings!$D$6:$D$505,D134,Plantings!$O$6:$O$505,O134,Plantings!$N$6:$N$505,N134-1)&gt;0,"Same family here last year",""))</f>
        <v/>
      </c>
      <c r="N134" s="1">
        <f>IF(ISNUMBER(B134),YEAR(B134),"")</f>
        <v/>
      </c>
      <c r="O134">
        <f>IF(C134="","",IFERROR(INDEX(Crops!$C$6:$C$65,MATCH(C134,Crops!$B$6:$B$65,0))&amp;"",""))</f>
        <v/>
      </c>
      <c r="P134">
        <f>IF(ISNUMBER(B134),INT(B134),0)</f>
        <v/>
      </c>
      <c r="Q134">
        <f>IF(AND(L134="",OR(J134="Growing",J134="Picking")),1,0)</f>
        <v/>
      </c>
      <c r="R134">
        <f>IF(AND(Q134=1,D134&lt;&gt;""),P134*1000+ROW(),0)</f>
        <v/>
      </c>
      <c r="S134">
        <f>IF(AND(AND(C134&lt;&gt;"",ISNUMBER(B134)),L134=""),1,0)</f>
        <v/>
      </c>
    </row>
    <row r="135">
      <c r="A135" s="1" t="n"/>
      <c r="B135" s="17" t="n"/>
      <c r="C135" s="18" t="n"/>
      <c r="D135" s="19" t="n"/>
      <c r="E135" s="19" t="n"/>
      <c r="F135" s="20" t="n"/>
      <c r="G135" s="17" t="n"/>
      <c r="H135" s="21" t="n"/>
      <c r="I135" s="22">
        <f>IF(NOT(AND(C135&lt;&gt;"",ISNUMBER(B135))),"",IF(N(IFERROR(INDEX(Crops!$F$6:$F$65,MATCH(C135,Crops!$B$6:$B$65,0)),0))&gt;0,INT(B135)+N(IFERROR(INDEX(Crops!$F$6:$F$65,MATCH(C135,Crops!$B$6:$B$65,0)),0)),""))</f>
        <v/>
      </c>
      <c r="J135" s="16">
        <f>IF(NOT(AND(C135&lt;&gt;"",ISNUMBER(B135))),"",IF(ISNUMBER(G135),"Done",IF(INT(B135)&gt;TODAY(),"Planned",IF(COUNTIFS(Harvest!$C$6:$C$1505,C135,Harvest!$D$6:$D$1505,D135&amp;"",Harvest!$L$6:$L$1505,"&gt;="&amp;INT(B135))&gt;0,"Picking","Growing"))))</f>
        <v/>
      </c>
      <c r="K135" s="14">
        <f>IF(OR(NOT(AND(C135&lt;&gt;"",ISNUMBER(B135))),J135="Planned"),"",IF(ISNUMBER(G135),INT(G135),TODAY())-INT(B135))</f>
        <v/>
      </c>
      <c r="L135" s="11">
        <f>IF(AND(B135="",C135="",D135=""),"",IF(NOT(ISNUMBER(B135)),"Needs a date",IF(C135="","Needs a crop",IF(COUNTIF(Crops!$B$6:$B$65,C135)=0,"Not on Crops",IF(AND(D135&lt;&gt;"",COUNTIF(Beds!$B$6:$B$35,D135)=0),"Not on Beds",IF(AND(ISNUMBER(G135),G135&lt;B135),"Cleared before it was planted",""))))))</f>
        <v/>
      </c>
      <c r="M135" s="11">
        <f>IF(OR(L135&lt;&gt;"",D135="",O135=""),"",IF(COUNTIFS(Plantings!$D$6:$D$505,D135,Plantings!$O$6:$O$505,O135,Plantings!$N$6:$N$505,N135-1)&gt;0,"Same family here last year",""))</f>
        <v/>
      </c>
      <c r="N135" s="1">
        <f>IF(ISNUMBER(B135),YEAR(B135),"")</f>
        <v/>
      </c>
      <c r="O135">
        <f>IF(C135="","",IFERROR(INDEX(Crops!$C$6:$C$65,MATCH(C135,Crops!$B$6:$B$65,0))&amp;"",""))</f>
        <v/>
      </c>
      <c r="P135">
        <f>IF(ISNUMBER(B135),INT(B135),0)</f>
        <v/>
      </c>
      <c r="Q135">
        <f>IF(AND(L135="",OR(J135="Growing",J135="Picking")),1,0)</f>
        <v/>
      </c>
      <c r="R135">
        <f>IF(AND(Q135=1,D135&lt;&gt;""),P135*1000+ROW(),0)</f>
        <v/>
      </c>
      <c r="S135">
        <f>IF(AND(AND(C135&lt;&gt;"",ISNUMBER(B135)),L135=""),1,0)</f>
        <v/>
      </c>
    </row>
    <row r="136">
      <c r="A136" s="1" t="n"/>
      <c r="B136" s="17" t="n"/>
      <c r="C136" s="18" t="n"/>
      <c r="D136" s="19" t="n"/>
      <c r="E136" s="19" t="n"/>
      <c r="F136" s="20" t="n"/>
      <c r="G136" s="17" t="n"/>
      <c r="H136" s="21" t="n"/>
      <c r="I136" s="22">
        <f>IF(NOT(AND(C136&lt;&gt;"",ISNUMBER(B136))),"",IF(N(IFERROR(INDEX(Crops!$F$6:$F$65,MATCH(C136,Crops!$B$6:$B$65,0)),0))&gt;0,INT(B136)+N(IFERROR(INDEX(Crops!$F$6:$F$65,MATCH(C136,Crops!$B$6:$B$65,0)),0)),""))</f>
        <v/>
      </c>
      <c r="J136" s="16">
        <f>IF(NOT(AND(C136&lt;&gt;"",ISNUMBER(B136))),"",IF(ISNUMBER(G136),"Done",IF(INT(B136)&gt;TODAY(),"Planned",IF(COUNTIFS(Harvest!$C$6:$C$1505,C136,Harvest!$D$6:$D$1505,D136&amp;"",Harvest!$L$6:$L$1505,"&gt;="&amp;INT(B136))&gt;0,"Picking","Growing"))))</f>
        <v/>
      </c>
      <c r="K136" s="14">
        <f>IF(OR(NOT(AND(C136&lt;&gt;"",ISNUMBER(B136))),J136="Planned"),"",IF(ISNUMBER(G136),INT(G136),TODAY())-INT(B136))</f>
        <v/>
      </c>
      <c r="L136" s="11">
        <f>IF(AND(B136="",C136="",D136=""),"",IF(NOT(ISNUMBER(B136)),"Needs a date",IF(C136="","Needs a crop",IF(COUNTIF(Crops!$B$6:$B$65,C136)=0,"Not on Crops",IF(AND(D136&lt;&gt;"",COUNTIF(Beds!$B$6:$B$35,D136)=0),"Not on Beds",IF(AND(ISNUMBER(G136),G136&lt;B136),"Cleared before it was planted",""))))))</f>
        <v/>
      </c>
      <c r="M136" s="11">
        <f>IF(OR(L136&lt;&gt;"",D136="",O136=""),"",IF(COUNTIFS(Plantings!$D$6:$D$505,D136,Plantings!$O$6:$O$505,O136,Plantings!$N$6:$N$505,N136-1)&gt;0,"Same family here last year",""))</f>
        <v/>
      </c>
      <c r="N136" s="1">
        <f>IF(ISNUMBER(B136),YEAR(B136),"")</f>
        <v/>
      </c>
      <c r="O136">
        <f>IF(C136="","",IFERROR(INDEX(Crops!$C$6:$C$65,MATCH(C136,Crops!$B$6:$B$65,0))&amp;"",""))</f>
        <v/>
      </c>
      <c r="P136">
        <f>IF(ISNUMBER(B136),INT(B136),0)</f>
        <v/>
      </c>
      <c r="Q136">
        <f>IF(AND(L136="",OR(J136="Growing",J136="Picking")),1,0)</f>
        <v/>
      </c>
      <c r="R136">
        <f>IF(AND(Q136=1,D136&lt;&gt;""),P136*1000+ROW(),0)</f>
        <v/>
      </c>
      <c r="S136">
        <f>IF(AND(AND(C136&lt;&gt;"",ISNUMBER(B136)),L136=""),1,0)</f>
        <v/>
      </c>
    </row>
    <row r="137">
      <c r="A137" s="1" t="n"/>
      <c r="B137" s="17" t="n"/>
      <c r="C137" s="18" t="n"/>
      <c r="D137" s="19" t="n"/>
      <c r="E137" s="19" t="n"/>
      <c r="F137" s="20" t="n"/>
      <c r="G137" s="17" t="n"/>
      <c r="H137" s="21" t="n"/>
      <c r="I137" s="22">
        <f>IF(NOT(AND(C137&lt;&gt;"",ISNUMBER(B137))),"",IF(N(IFERROR(INDEX(Crops!$F$6:$F$65,MATCH(C137,Crops!$B$6:$B$65,0)),0))&gt;0,INT(B137)+N(IFERROR(INDEX(Crops!$F$6:$F$65,MATCH(C137,Crops!$B$6:$B$65,0)),0)),""))</f>
        <v/>
      </c>
      <c r="J137" s="16">
        <f>IF(NOT(AND(C137&lt;&gt;"",ISNUMBER(B137))),"",IF(ISNUMBER(G137),"Done",IF(INT(B137)&gt;TODAY(),"Planned",IF(COUNTIFS(Harvest!$C$6:$C$1505,C137,Harvest!$D$6:$D$1505,D137&amp;"",Harvest!$L$6:$L$1505,"&gt;="&amp;INT(B137))&gt;0,"Picking","Growing"))))</f>
        <v/>
      </c>
      <c r="K137" s="14">
        <f>IF(OR(NOT(AND(C137&lt;&gt;"",ISNUMBER(B137))),J137="Planned"),"",IF(ISNUMBER(G137),INT(G137),TODAY())-INT(B137))</f>
        <v/>
      </c>
      <c r="L137" s="11">
        <f>IF(AND(B137="",C137="",D137=""),"",IF(NOT(ISNUMBER(B137)),"Needs a date",IF(C137="","Needs a crop",IF(COUNTIF(Crops!$B$6:$B$65,C137)=0,"Not on Crops",IF(AND(D137&lt;&gt;"",COUNTIF(Beds!$B$6:$B$35,D137)=0),"Not on Beds",IF(AND(ISNUMBER(G137),G137&lt;B137),"Cleared before it was planted",""))))))</f>
        <v/>
      </c>
      <c r="M137" s="11">
        <f>IF(OR(L137&lt;&gt;"",D137="",O137=""),"",IF(COUNTIFS(Plantings!$D$6:$D$505,D137,Plantings!$O$6:$O$505,O137,Plantings!$N$6:$N$505,N137-1)&gt;0,"Same family here last year",""))</f>
        <v/>
      </c>
      <c r="N137" s="1">
        <f>IF(ISNUMBER(B137),YEAR(B137),"")</f>
        <v/>
      </c>
      <c r="O137">
        <f>IF(C137="","",IFERROR(INDEX(Crops!$C$6:$C$65,MATCH(C137,Crops!$B$6:$B$65,0))&amp;"",""))</f>
        <v/>
      </c>
      <c r="P137">
        <f>IF(ISNUMBER(B137),INT(B137),0)</f>
        <v/>
      </c>
      <c r="Q137">
        <f>IF(AND(L137="",OR(J137="Growing",J137="Picking")),1,0)</f>
        <v/>
      </c>
      <c r="R137">
        <f>IF(AND(Q137=1,D137&lt;&gt;""),P137*1000+ROW(),0)</f>
        <v/>
      </c>
      <c r="S137">
        <f>IF(AND(AND(C137&lt;&gt;"",ISNUMBER(B137)),L137=""),1,0)</f>
        <v/>
      </c>
    </row>
    <row r="138">
      <c r="A138" s="1" t="n"/>
      <c r="B138" s="17" t="n"/>
      <c r="C138" s="18" t="n"/>
      <c r="D138" s="19" t="n"/>
      <c r="E138" s="19" t="n"/>
      <c r="F138" s="20" t="n"/>
      <c r="G138" s="17" t="n"/>
      <c r="H138" s="21" t="n"/>
      <c r="I138" s="22">
        <f>IF(NOT(AND(C138&lt;&gt;"",ISNUMBER(B138))),"",IF(N(IFERROR(INDEX(Crops!$F$6:$F$65,MATCH(C138,Crops!$B$6:$B$65,0)),0))&gt;0,INT(B138)+N(IFERROR(INDEX(Crops!$F$6:$F$65,MATCH(C138,Crops!$B$6:$B$65,0)),0)),""))</f>
        <v/>
      </c>
      <c r="J138" s="16">
        <f>IF(NOT(AND(C138&lt;&gt;"",ISNUMBER(B138))),"",IF(ISNUMBER(G138),"Done",IF(INT(B138)&gt;TODAY(),"Planned",IF(COUNTIFS(Harvest!$C$6:$C$1505,C138,Harvest!$D$6:$D$1505,D138&amp;"",Harvest!$L$6:$L$1505,"&gt;="&amp;INT(B138))&gt;0,"Picking","Growing"))))</f>
        <v/>
      </c>
      <c r="K138" s="14">
        <f>IF(OR(NOT(AND(C138&lt;&gt;"",ISNUMBER(B138))),J138="Planned"),"",IF(ISNUMBER(G138),INT(G138),TODAY())-INT(B138))</f>
        <v/>
      </c>
      <c r="L138" s="11">
        <f>IF(AND(B138="",C138="",D138=""),"",IF(NOT(ISNUMBER(B138)),"Needs a date",IF(C138="","Needs a crop",IF(COUNTIF(Crops!$B$6:$B$65,C138)=0,"Not on Crops",IF(AND(D138&lt;&gt;"",COUNTIF(Beds!$B$6:$B$35,D138)=0),"Not on Beds",IF(AND(ISNUMBER(G138),G138&lt;B138),"Cleared before it was planted",""))))))</f>
        <v/>
      </c>
      <c r="M138" s="11">
        <f>IF(OR(L138&lt;&gt;"",D138="",O138=""),"",IF(COUNTIFS(Plantings!$D$6:$D$505,D138,Plantings!$O$6:$O$505,O138,Plantings!$N$6:$N$505,N138-1)&gt;0,"Same family here last year",""))</f>
        <v/>
      </c>
      <c r="N138" s="1">
        <f>IF(ISNUMBER(B138),YEAR(B138),"")</f>
        <v/>
      </c>
      <c r="O138">
        <f>IF(C138="","",IFERROR(INDEX(Crops!$C$6:$C$65,MATCH(C138,Crops!$B$6:$B$65,0))&amp;"",""))</f>
        <v/>
      </c>
      <c r="P138">
        <f>IF(ISNUMBER(B138),INT(B138),0)</f>
        <v/>
      </c>
      <c r="Q138">
        <f>IF(AND(L138="",OR(J138="Growing",J138="Picking")),1,0)</f>
        <v/>
      </c>
      <c r="R138">
        <f>IF(AND(Q138=1,D138&lt;&gt;""),P138*1000+ROW(),0)</f>
        <v/>
      </c>
      <c r="S138">
        <f>IF(AND(AND(C138&lt;&gt;"",ISNUMBER(B138)),L138=""),1,0)</f>
        <v/>
      </c>
    </row>
    <row r="139">
      <c r="A139" s="1" t="n"/>
      <c r="B139" s="17" t="n"/>
      <c r="C139" s="18" t="n"/>
      <c r="D139" s="19" t="n"/>
      <c r="E139" s="19" t="n"/>
      <c r="F139" s="20" t="n"/>
      <c r="G139" s="17" t="n"/>
      <c r="H139" s="21" t="n"/>
      <c r="I139" s="22">
        <f>IF(NOT(AND(C139&lt;&gt;"",ISNUMBER(B139))),"",IF(N(IFERROR(INDEX(Crops!$F$6:$F$65,MATCH(C139,Crops!$B$6:$B$65,0)),0))&gt;0,INT(B139)+N(IFERROR(INDEX(Crops!$F$6:$F$65,MATCH(C139,Crops!$B$6:$B$65,0)),0)),""))</f>
        <v/>
      </c>
      <c r="J139" s="16">
        <f>IF(NOT(AND(C139&lt;&gt;"",ISNUMBER(B139))),"",IF(ISNUMBER(G139),"Done",IF(INT(B139)&gt;TODAY(),"Planned",IF(COUNTIFS(Harvest!$C$6:$C$1505,C139,Harvest!$D$6:$D$1505,D139&amp;"",Harvest!$L$6:$L$1505,"&gt;="&amp;INT(B139))&gt;0,"Picking","Growing"))))</f>
        <v/>
      </c>
      <c r="K139" s="14">
        <f>IF(OR(NOT(AND(C139&lt;&gt;"",ISNUMBER(B139))),J139="Planned"),"",IF(ISNUMBER(G139),INT(G139),TODAY())-INT(B139))</f>
        <v/>
      </c>
      <c r="L139" s="11">
        <f>IF(AND(B139="",C139="",D139=""),"",IF(NOT(ISNUMBER(B139)),"Needs a date",IF(C139="","Needs a crop",IF(COUNTIF(Crops!$B$6:$B$65,C139)=0,"Not on Crops",IF(AND(D139&lt;&gt;"",COUNTIF(Beds!$B$6:$B$35,D139)=0),"Not on Beds",IF(AND(ISNUMBER(G139),G139&lt;B139),"Cleared before it was planted",""))))))</f>
        <v/>
      </c>
      <c r="M139" s="11">
        <f>IF(OR(L139&lt;&gt;"",D139="",O139=""),"",IF(COUNTIFS(Plantings!$D$6:$D$505,D139,Plantings!$O$6:$O$505,O139,Plantings!$N$6:$N$505,N139-1)&gt;0,"Same family here last year",""))</f>
        <v/>
      </c>
      <c r="N139" s="1">
        <f>IF(ISNUMBER(B139),YEAR(B139),"")</f>
        <v/>
      </c>
      <c r="O139">
        <f>IF(C139="","",IFERROR(INDEX(Crops!$C$6:$C$65,MATCH(C139,Crops!$B$6:$B$65,0))&amp;"",""))</f>
        <v/>
      </c>
      <c r="P139">
        <f>IF(ISNUMBER(B139),INT(B139),0)</f>
        <v/>
      </c>
      <c r="Q139">
        <f>IF(AND(L139="",OR(J139="Growing",J139="Picking")),1,0)</f>
        <v/>
      </c>
      <c r="R139">
        <f>IF(AND(Q139=1,D139&lt;&gt;""),P139*1000+ROW(),0)</f>
        <v/>
      </c>
      <c r="S139">
        <f>IF(AND(AND(C139&lt;&gt;"",ISNUMBER(B139)),L139=""),1,0)</f>
        <v/>
      </c>
    </row>
    <row r="140">
      <c r="A140" s="1" t="n"/>
      <c r="B140" s="17" t="n"/>
      <c r="C140" s="18" t="n"/>
      <c r="D140" s="19" t="n"/>
      <c r="E140" s="19" t="n"/>
      <c r="F140" s="20" t="n"/>
      <c r="G140" s="17" t="n"/>
      <c r="H140" s="21" t="n"/>
      <c r="I140" s="22">
        <f>IF(NOT(AND(C140&lt;&gt;"",ISNUMBER(B140))),"",IF(N(IFERROR(INDEX(Crops!$F$6:$F$65,MATCH(C140,Crops!$B$6:$B$65,0)),0))&gt;0,INT(B140)+N(IFERROR(INDEX(Crops!$F$6:$F$65,MATCH(C140,Crops!$B$6:$B$65,0)),0)),""))</f>
        <v/>
      </c>
      <c r="J140" s="16">
        <f>IF(NOT(AND(C140&lt;&gt;"",ISNUMBER(B140))),"",IF(ISNUMBER(G140),"Done",IF(INT(B140)&gt;TODAY(),"Planned",IF(COUNTIFS(Harvest!$C$6:$C$1505,C140,Harvest!$D$6:$D$1505,D140&amp;"",Harvest!$L$6:$L$1505,"&gt;="&amp;INT(B140))&gt;0,"Picking","Growing"))))</f>
        <v/>
      </c>
      <c r="K140" s="14">
        <f>IF(OR(NOT(AND(C140&lt;&gt;"",ISNUMBER(B140))),J140="Planned"),"",IF(ISNUMBER(G140),INT(G140),TODAY())-INT(B140))</f>
        <v/>
      </c>
      <c r="L140" s="11">
        <f>IF(AND(B140="",C140="",D140=""),"",IF(NOT(ISNUMBER(B140)),"Needs a date",IF(C140="","Needs a crop",IF(COUNTIF(Crops!$B$6:$B$65,C140)=0,"Not on Crops",IF(AND(D140&lt;&gt;"",COUNTIF(Beds!$B$6:$B$35,D140)=0),"Not on Beds",IF(AND(ISNUMBER(G140),G140&lt;B140),"Cleared before it was planted",""))))))</f>
        <v/>
      </c>
      <c r="M140" s="11">
        <f>IF(OR(L140&lt;&gt;"",D140="",O140=""),"",IF(COUNTIFS(Plantings!$D$6:$D$505,D140,Plantings!$O$6:$O$505,O140,Plantings!$N$6:$N$505,N140-1)&gt;0,"Same family here last year",""))</f>
        <v/>
      </c>
      <c r="N140" s="1">
        <f>IF(ISNUMBER(B140),YEAR(B140),"")</f>
        <v/>
      </c>
      <c r="O140">
        <f>IF(C140="","",IFERROR(INDEX(Crops!$C$6:$C$65,MATCH(C140,Crops!$B$6:$B$65,0))&amp;"",""))</f>
        <v/>
      </c>
      <c r="P140">
        <f>IF(ISNUMBER(B140),INT(B140),0)</f>
        <v/>
      </c>
      <c r="Q140">
        <f>IF(AND(L140="",OR(J140="Growing",J140="Picking")),1,0)</f>
        <v/>
      </c>
      <c r="R140">
        <f>IF(AND(Q140=1,D140&lt;&gt;""),P140*1000+ROW(),0)</f>
        <v/>
      </c>
      <c r="S140">
        <f>IF(AND(AND(C140&lt;&gt;"",ISNUMBER(B140)),L140=""),1,0)</f>
        <v/>
      </c>
    </row>
    <row r="141">
      <c r="A141" s="1" t="n"/>
      <c r="B141" s="17" t="n"/>
      <c r="C141" s="18" t="n"/>
      <c r="D141" s="19" t="n"/>
      <c r="E141" s="19" t="n"/>
      <c r="F141" s="20" t="n"/>
      <c r="G141" s="17" t="n"/>
      <c r="H141" s="21" t="n"/>
      <c r="I141" s="22">
        <f>IF(NOT(AND(C141&lt;&gt;"",ISNUMBER(B141))),"",IF(N(IFERROR(INDEX(Crops!$F$6:$F$65,MATCH(C141,Crops!$B$6:$B$65,0)),0))&gt;0,INT(B141)+N(IFERROR(INDEX(Crops!$F$6:$F$65,MATCH(C141,Crops!$B$6:$B$65,0)),0)),""))</f>
        <v/>
      </c>
      <c r="J141" s="16">
        <f>IF(NOT(AND(C141&lt;&gt;"",ISNUMBER(B141))),"",IF(ISNUMBER(G141),"Done",IF(INT(B141)&gt;TODAY(),"Planned",IF(COUNTIFS(Harvest!$C$6:$C$1505,C141,Harvest!$D$6:$D$1505,D141&amp;"",Harvest!$L$6:$L$1505,"&gt;="&amp;INT(B141))&gt;0,"Picking","Growing"))))</f>
        <v/>
      </c>
      <c r="K141" s="14">
        <f>IF(OR(NOT(AND(C141&lt;&gt;"",ISNUMBER(B141))),J141="Planned"),"",IF(ISNUMBER(G141),INT(G141),TODAY())-INT(B141))</f>
        <v/>
      </c>
      <c r="L141" s="11">
        <f>IF(AND(B141="",C141="",D141=""),"",IF(NOT(ISNUMBER(B141)),"Needs a date",IF(C141="","Needs a crop",IF(COUNTIF(Crops!$B$6:$B$65,C141)=0,"Not on Crops",IF(AND(D141&lt;&gt;"",COUNTIF(Beds!$B$6:$B$35,D141)=0),"Not on Beds",IF(AND(ISNUMBER(G141),G141&lt;B141),"Cleared before it was planted",""))))))</f>
        <v/>
      </c>
      <c r="M141" s="11">
        <f>IF(OR(L141&lt;&gt;"",D141="",O141=""),"",IF(COUNTIFS(Plantings!$D$6:$D$505,D141,Plantings!$O$6:$O$505,O141,Plantings!$N$6:$N$505,N141-1)&gt;0,"Same family here last year",""))</f>
        <v/>
      </c>
      <c r="N141" s="1">
        <f>IF(ISNUMBER(B141),YEAR(B141),"")</f>
        <v/>
      </c>
      <c r="O141">
        <f>IF(C141="","",IFERROR(INDEX(Crops!$C$6:$C$65,MATCH(C141,Crops!$B$6:$B$65,0))&amp;"",""))</f>
        <v/>
      </c>
      <c r="P141">
        <f>IF(ISNUMBER(B141),INT(B141),0)</f>
        <v/>
      </c>
      <c r="Q141">
        <f>IF(AND(L141="",OR(J141="Growing",J141="Picking")),1,0)</f>
        <v/>
      </c>
      <c r="R141">
        <f>IF(AND(Q141=1,D141&lt;&gt;""),P141*1000+ROW(),0)</f>
        <v/>
      </c>
      <c r="S141">
        <f>IF(AND(AND(C141&lt;&gt;"",ISNUMBER(B141)),L141=""),1,0)</f>
        <v/>
      </c>
    </row>
    <row r="142">
      <c r="A142" s="1" t="n"/>
      <c r="B142" s="17" t="n"/>
      <c r="C142" s="18" t="n"/>
      <c r="D142" s="19" t="n"/>
      <c r="E142" s="19" t="n"/>
      <c r="F142" s="20" t="n"/>
      <c r="G142" s="17" t="n"/>
      <c r="H142" s="21" t="n"/>
      <c r="I142" s="22">
        <f>IF(NOT(AND(C142&lt;&gt;"",ISNUMBER(B142))),"",IF(N(IFERROR(INDEX(Crops!$F$6:$F$65,MATCH(C142,Crops!$B$6:$B$65,0)),0))&gt;0,INT(B142)+N(IFERROR(INDEX(Crops!$F$6:$F$65,MATCH(C142,Crops!$B$6:$B$65,0)),0)),""))</f>
        <v/>
      </c>
      <c r="J142" s="16">
        <f>IF(NOT(AND(C142&lt;&gt;"",ISNUMBER(B142))),"",IF(ISNUMBER(G142),"Done",IF(INT(B142)&gt;TODAY(),"Planned",IF(COUNTIFS(Harvest!$C$6:$C$1505,C142,Harvest!$D$6:$D$1505,D142&amp;"",Harvest!$L$6:$L$1505,"&gt;="&amp;INT(B142))&gt;0,"Picking","Growing"))))</f>
        <v/>
      </c>
      <c r="K142" s="14">
        <f>IF(OR(NOT(AND(C142&lt;&gt;"",ISNUMBER(B142))),J142="Planned"),"",IF(ISNUMBER(G142),INT(G142),TODAY())-INT(B142))</f>
        <v/>
      </c>
      <c r="L142" s="11">
        <f>IF(AND(B142="",C142="",D142=""),"",IF(NOT(ISNUMBER(B142)),"Needs a date",IF(C142="","Needs a crop",IF(COUNTIF(Crops!$B$6:$B$65,C142)=0,"Not on Crops",IF(AND(D142&lt;&gt;"",COUNTIF(Beds!$B$6:$B$35,D142)=0),"Not on Beds",IF(AND(ISNUMBER(G142),G142&lt;B142),"Cleared before it was planted",""))))))</f>
        <v/>
      </c>
      <c r="M142" s="11">
        <f>IF(OR(L142&lt;&gt;"",D142="",O142=""),"",IF(COUNTIFS(Plantings!$D$6:$D$505,D142,Plantings!$O$6:$O$505,O142,Plantings!$N$6:$N$505,N142-1)&gt;0,"Same family here last year",""))</f>
        <v/>
      </c>
      <c r="N142" s="1">
        <f>IF(ISNUMBER(B142),YEAR(B142),"")</f>
        <v/>
      </c>
      <c r="O142">
        <f>IF(C142="","",IFERROR(INDEX(Crops!$C$6:$C$65,MATCH(C142,Crops!$B$6:$B$65,0))&amp;"",""))</f>
        <v/>
      </c>
      <c r="P142">
        <f>IF(ISNUMBER(B142),INT(B142),0)</f>
        <v/>
      </c>
      <c r="Q142">
        <f>IF(AND(L142="",OR(J142="Growing",J142="Picking")),1,0)</f>
        <v/>
      </c>
      <c r="R142">
        <f>IF(AND(Q142=1,D142&lt;&gt;""),P142*1000+ROW(),0)</f>
        <v/>
      </c>
      <c r="S142">
        <f>IF(AND(AND(C142&lt;&gt;"",ISNUMBER(B142)),L142=""),1,0)</f>
        <v/>
      </c>
    </row>
    <row r="143">
      <c r="A143" s="1" t="n"/>
      <c r="B143" s="17" t="n"/>
      <c r="C143" s="18" t="n"/>
      <c r="D143" s="19" t="n"/>
      <c r="E143" s="19" t="n"/>
      <c r="F143" s="20" t="n"/>
      <c r="G143" s="17" t="n"/>
      <c r="H143" s="21" t="n"/>
      <c r="I143" s="22">
        <f>IF(NOT(AND(C143&lt;&gt;"",ISNUMBER(B143))),"",IF(N(IFERROR(INDEX(Crops!$F$6:$F$65,MATCH(C143,Crops!$B$6:$B$65,0)),0))&gt;0,INT(B143)+N(IFERROR(INDEX(Crops!$F$6:$F$65,MATCH(C143,Crops!$B$6:$B$65,0)),0)),""))</f>
        <v/>
      </c>
      <c r="J143" s="16">
        <f>IF(NOT(AND(C143&lt;&gt;"",ISNUMBER(B143))),"",IF(ISNUMBER(G143),"Done",IF(INT(B143)&gt;TODAY(),"Planned",IF(COUNTIFS(Harvest!$C$6:$C$1505,C143,Harvest!$D$6:$D$1505,D143&amp;"",Harvest!$L$6:$L$1505,"&gt;="&amp;INT(B143))&gt;0,"Picking","Growing"))))</f>
        <v/>
      </c>
      <c r="K143" s="14">
        <f>IF(OR(NOT(AND(C143&lt;&gt;"",ISNUMBER(B143))),J143="Planned"),"",IF(ISNUMBER(G143),INT(G143),TODAY())-INT(B143))</f>
        <v/>
      </c>
      <c r="L143" s="11">
        <f>IF(AND(B143="",C143="",D143=""),"",IF(NOT(ISNUMBER(B143)),"Needs a date",IF(C143="","Needs a crop",IF(COUNTIF(Crops!$B$6:$B$65,C143)=0,"Not on Crops",IF(AND(D143&lt;&gt;"",COUNTIF(Beds!$B$6:$B$35,D143)=0),"Not on Beds",IF(AND(ISNUMBER(G143),G143&lt;B143),"Cleared before it was planted",""))))))</f>
        <v/>
      </c>
      <c r="M143" s="11">
        <f>IF(OR(L143&lt;&gt;"",D143="",O143=""),"",IF(COUNTIFS(Plantings!$D$6:$D$505,D143,Plantings!$O$6:$O$505,O143,Plantings!$N$6:$N$505,N143-1)&gt;0,"Same family here last year",""))</f>
        <v/>
      </c>
      <c r="N143" s="1">
        <f>IF(ISNUMBER(B143),YEAR(B143),"")</f>
        <v/>
      </c>
      <c r="O143">
        <f>IF(C143="","",IFERROR(INDEX(Crops!$C$6:$C$65,MATCH(C143,Crops!$B$6:$B$65,0))&amp;"",""))</f>
        <v/>
      </c>
      <c r="P143">
        <f>IF(ISNUMBER(B143),INT(B143),0)</f>
        <v/>
      </c>
      <c r="Q143">
        <f>IF(AND(L143="",OR(J143="Growing",J143="Picking")),1,0)</f>
        <v/>
      </c>
      <c r="R143">
        <f>IF(AND(Q143=1,D143&lt;&gt;""),P143*1000+ROW(),0)</f>
        <v/>
      </c>
      <c r="S143">
        <f>IF(AND(AND(C143&lt;&gt;"",ISNUMBER(B143)),L143=""),1,0)</f>
        <v/>
      </c>
    </row>
    <row r="144">
      <c r="A144" s="1" t="n"/>
      <c r="B144" s="17" t="n"/>
      <c r="C144" s="18" t="n"/>
      <c r="D144" s="19" t="n"/>
      <c r="E144" s="19" t="n"/>
      <c r="F144" s="20" t="n"/>
      <c r="G144" s="17" t="n"/>
      <c r="H144" s="21" t="n"/>
      <c r="I144" s="22">
        <f>IF(NOT(AND(C144&lt;&gt;"",ISNUMBER(B144))),"",IF(N(IFERROR(INDEX(Crops!$F$6:$F$65,MATCH(C144,Crops!$B$6:$B$65,0)),0))&gt;0,INT(B144)+N(IFERROR(INDEX(Crops!$F$6:$F$65,MATCH(C144,Crops!$B$6:$B$65,0)),0)),""))</f>
        <v/>
      </c>
      <c r="J144" s="16">
        <f>IF(NOT(AND(C144&lt;&gt;"",ISNUMBER(B144))),"",IF(ISNUMBER(G144),"Done",IF(INT(B144)&gt;TODAY(),"Planned",IF(COUNTIFS(Harvest!$C$6:$C$1505,C144,Harvest!$D$6:$D$1505,D144&amp;"",Harvest!$L$6:$L$1505,"&gt;="&amp;INT(B144))&gt;0,"Picking","Growing"))))</f>
        <v/>
      </c>
      <c r="K144" s="14">
        <f>IF(OR(NOT(AND(C144&lt;&gt;"",ISNUMBER(B144))),J144="Planned"),"",IF(ISNUMBER(G144),INT(G144),TODAY())-INT(B144))</f>
        <v/>
      </c>
      <c r="L144" s="11">
        <f>IF(AND(B144="",C144="",D144=""),"",IF(NOT(ISNUMBER(B144)),"Needs a date",IF(C144="","Needs a crop",IF(COUNTIF(Crops!$B$6:$B$65,C144)=0,"Not on Crops",IF(AND(D144&lt;&gt;"",COUNTIF(Beds!$B$6:$B$35,D144)=0),"Not on Beds",IF(AND(ISNUMBER(G144),G144&lt;B144),"Cleared before it was planted",""))))))</f>
        <v/>
      </c>
      <c r="M144" s="11">
        <f>IF(OR(L144&lt;&gt;"",D144="",O144=""),"",IF(COUNTIFS(Plantings!$D$6:$D$505,D144,Plantings!$O$6:$O$505,O144,Plantings!$N$6:$N$505,N144-1)&gt;0,"Same family here last year",""))</f>
        <v/>
      </c>
      <c r="N144" s="1">
        <f>IF(ISNUMBER(B144),YEAR(B144),"")</f>
        <v/>
      </c>
      <c r="O144">
        <f>IF(C144="","",IFERROR(INDEX(Crops!$C$6:$C$65,MATCH(C144,Crops!$B$6:$B$65,0))&amp;"",""))</f>
        <v/>
      </c>
      <c r="P144">
        <f>IF(ISNUMBER(B144),INT(B144),0)</f>
        <v/>
      </c>
      <c r="Q144">
        <f>IF(AND(L144="",OR(J144="Growing",J144="Picking")),1,0)</f>
        <v/>
      </c>
      <c r="R144">
        <f>IF(AND(Q144=1,D144&lt;&gt;""),P144*1000+ROW(),0)</f>
        <v/>
      </c>
      <c r="S144">
        <f>IF(AND(AND(C144&lt;&gt;"",ISNUMBER(B144)),L144=""),1,0)</f>
        <v/>
      </c>
    </row>
    <row r="145">
      <c r="A145" s="1" t="n"/>
      <c r="B145" s="17" t="n"/>
      <c r="C145" s="18" t="n"/>
      <c r="D145" s="19" t="n"/>
      <c r="E145" s="19" t="n"/>
      <c r="F145" s="20" t="n"/>
      <c r="G145" s="17" t="n"/>
      <c r="H145" s="21" t="n"/>
      <c r="I145" s="22">
        <f>IF(NOT(AND(C145&lt;&gt;"",ISNUMBER(B145))),"",IF(N(IFERROR(INDEX(Crops!$F$6:$F$65,MATCH(C145,Crops!$B$6:$B$65,0)),0))&gt;0,INT(B145)+N(IFERROR(INDEX(Crops!$F$6:$F$65,MATCH(C145,Crops!$B$6:$B$65,0)),0)),""))</f>
        <v/>
      </c>
      <c r="J145" s="16">
        <f>IF(NOT(AND(C145&lt;&gt;"",ISNUMBER(B145))),"",IF(ISNUMBER(G145),"Done",IF(INT(B145)&gt;TODAY(),"Planned",IF(COUNTIFS(Harvest!$C$6:$C$1505,C145,Harvest!$D$6:$D$1505,D145&amp;"",Harvest!$L$6:$L$1505,"&gt;="&amp;INT(B145))&gt;0,"Picking","Growing"))))</f>
        <v/>
      </c>
      <c r="K145" s="14">
        <f>IF(OR(NOT(AND(C145&lt;&gt;"",ISNUMBER(B145))),J145="Planned"),"",IF(ISNUMBER(G145),INT(G145),TODAY())-INT(B145))</f>
        <v/>
      </c>
      <c r="L145" s="11">
        <f>IF(AND(B145="",C145="",D145=""),"",IF(NOT(ISNUMBER(B145)),"Needs a date",IF(C145="","Needs a crop",IF(COUNTIF(Crops!$B$6:$B$65,C145)=0,"Not on Crops",IF(AND(D145&lt;&gt;"",COUNTIF(Beds!$B$6:$B$35,D145)=0),"Not on Beds",IF(AND(ISNUMBER(G145),G145&lt;B145),"Cleared before it was planted",""))))))</f>
        <v/>
      </c>
      <c r="M145" s="11">
        <f>IF(OR(L145&lt;&gt;"",D145="",O145=""),"",IF(COUNTIFS(Plantings!$D$6:$D$505,D145,Plantings!$O$6:$O$505,O145,Plantings!$N$6:$N$505,N145-1)&gt;0,"Same family here last year",""))</f>
        <v/>
      </c>
      <c r="N145" s="1">
        <f>IF(ISNUMBER(B145),YEAR(B145),"")</f>
        <v/>
      </c>
      <c r="O145">
        <f>IF(C145="","",IFERROR(INDEX(Crops!$C$6:$C$65,MATCH(C145,Crops!$B$6:$B$65,0))&amp;"",""))</f>
        <v/>
      </c>
      <c r="P145">
        <f>IF(ISNUMBER(B145),INT(B145),0)</f>
        <v/>
      </c>
      <c r="Q145">
        <f>IF(AND(L145="",OR(J145="Growing",J145="Picking")),1,0)</f>
        <v/>
      </c>
      <c r="R145">
        <f>IF(AND(Q145=1,D145&lt;&gt;""),P145*1000+ROW(),0)</f>
        <v/>
      </c>
      <c r="S145">
        <f>IF(AND(AND(C145&lt;&gt;"",ISNUMBER(B145)),L145=""),1,0)</f>
        <v/>
      </c>
    </row>
    <row r="146">
      <c r="A146" s="1" t="n"/>
      <c r="B146" s="17" t="n"/>
      <c r="C146" s="18" t="n"/>
      <c r="D146" s="19" t="n"/>
      <c r="E146" s="19" t="n"/>
      <c r="F146" s="20" t="n"/>
      <c r="G146" s="17" t="n"/>
      <c r="H146" s="21" t="n"/>
      <c r="I146" s="22">
        <f>IF(NOT(AND(C146&lt;&gt;"",ISNUMBER(B146))),"",IF(N(IFERROR(INDEX(Crops!$F$6:$F$65,MATCH(C146,Crops!$B$6:$B$65,0)),0))&gt;0,INT(B146)+N(IFERROR(INDEX(Crops!$F$6:$F$65,MATCH(C146,Crops!$B$6:$B$65,0)),0)),""))</f>
        <v/>
      </c>
      <c r="J146" s="16">
        <f>IF(NOT(AND(C146&lt;&gt;"",ISNUMBER(B146))),"",IF(ISNUMBER(G146),"Done",IF(INT(B146)&gt;TODAY(),"Planned",IF(COUNTIFS(Harvest!$C$6:$C$1505,C146,Harvest!$D$6:$D$1505,D146&amp;"",Harvest!$L$6:$L$1505,"&gt;="&amp;INT(B146))&gt;0,"Picking","Growing"))))</f>
        <v/>
      </c>
      <c r="K146" s="14">
        <f>IF(OR(NOT(AND(C146&lt;&gt;"",ISNUMBER(B146))),J146="Planned"),"",IF(ISNUMBER(G146),INT(G146),TODAY())-INT(B146))</f>
        <v/>
      </c>
      <c r="L146" s="11">
        <f>IF(AND(B146="",C146="",D146=""),"",IF(NOT(ISNUMBER(B146)),"Needs a date",IF(C146="","Needs a crop",IF(COUNTIF(Crops!$B$6:$B$65,C146)=0,"Not on Crops",IF(AND(D146&lt;&gt;"",COUNTIF(Beds!$B$6:$B$35,D146)=0),"Not on Beds",IF(AND(ISNUMBER(G146),G146&lt;B146),"Cleared before it was planted",""))))))</f>
        <v/>
      </c>
      <c r="M146" s="11">
        <f>IF(OR(L146&lt;&gt;"",D146="",O146=""),"",IF(COUNTIFS(Plantings!$D$6:$D$505,D146,Plantings!$O$6:$O$505,O146,Plantings!$N$6:$N$505,N146-1)&gt;0,"Same family here last year",""))</f>
        <v/>
      </c>
      <c r="N146" s="1">
        <f>IF(ISNUMBER(B146),YEAR(B146),"")</f>
        <v/>
      </c>
      <c r="O146">
        <f>IF(C146="","",IFERROR(INDEX(Crops!$C$6:$C$65,MATCH(C146,Crops!$B$6:$B$65,0))&amp;"",""))</f>
        <v/>
      </c>
      <c r="P146">
        <f>IF(ISNUMBER(B146),INT(B146),0)</f>
        <v/>
      </c>
      <c r="Q146">
        <f>IF(AND(L146="",OR(J146="Growing",J146="Picking")),1,0)</f>
        <v/>
      </c>
      <c r="R146">
        <f>IF(AND(Q146=1,D146&lt;&gt;""),P146*1000+ROW(),0)</f>
        <v/>
      </c>
      <c r="S146">
        <f>IF(AND(AND(C146&lt;&gt;"",ISNUMBER(B146)),L146=""),1,0)</f>
        <v/>
      </c>
    </row>
    <row r="147">
      <c r="A147" s="1" t="n"/>
      <c r="B147" s="17" t="n"/>
      <c r="C147" s="18" t="n"/>
      <c r="D147" s="19" t="n"/>
      <c r="E147" s="19" t="n"/>
      <c r="F147" s="20" t="n"/>
      <c r="G147" s="17" t="n"/>
      <c r="H147" s="21" t="n"/>
      <c r="I147" s="22">
        <f>IF(NOT(AND(C147&lt;&gt;"",ISNUMBER(B147))),"",IF(N(IFERROR(INDEX(Crops!$F$6:$F$65,MATCH(C147,Crops!$B$6:$B$65,0)),0))&gt;0,INT(B147)+N(IFERROR(INDEX(Crops!$F$6:$F$65,MATCH(C147,Crops!$B$6:$B$65,0)),0)),""))</f>
        <v/>
      </c>
      <c r="J147" s="16">
        <f>IF(NOT(AND(C147&lt;&gt;"",ISNUMBER(B147))),"",IF(ISNUMBER(G147),"Done",IF(INT(B147)&gt;TODAY(),"Planned",IF(COUNTIFS(Harvest!$C$6:$C$1505,C147,Harvest!$D$6:$D$1505,D147&amp;"",Harvest!$L$6:$L$1505,"&gt;="&amp;INT(B147))&gt;0,"Picking","Growing"))))</f>
        <v/>
      </c>
      <c r="K147" s="14">
        <f>IF(OR(NOT(AND(C147&lt;&gt;"",ISNUMBER(B147))),J147="Planned"),"",IF(ISNUMBER(G147),INT(G147),TODAY())-INT(B147))</f>
        <v/>
      </c>
      <c r="L147" s="11">
        <f>IF(AND(B147="",C147="",D147=""),"",IF(NOT(ISNUMBER(B147)),"Needs a date",IF(C147="","Needs a crop",IF(COUNTIF(Crops!$B$6:$B$65,C147)=0,"Not on Crops",IF(AND(D147&lt;&gt;"",COUNTIF(Beds!$B$6:$B$35,D147)=0),"Not on Beds",IF(AND(ISNUMBER(G147),G147&lt;B147),"Cleared before it was planted",""))))))</f>
        <v/>
      </c>
      <c r="M147" s="11">
        <f>IF(OR(L147&lt;&gt;"",D147="",O147=""),"",IF(COUNTIFS(Plantings!$D$6:$D$505,D147,Plantings!$O$6:$O$505,O147,Plantings!$N$6:$N$505,N147-1)&gt;0,"Same family here last year",""))</f>
        <v/>
      </c>
      <c r="N147" s="1">
        <f>IF(ISNUMBER(B147),YEAR(B147),"")</f>
        <v/>
      </c>
      <c r="O147">
        <f>IF(C147="","",IFERROR(INDEX(Crops!$C$6:$C$65,MATCH(C147,Crops!$B$6:$B$65,0))&amp;"",""))</f>
        <v/>
      </c>
      <c r="P147">
        <f>IF(ISNUMBER(B147),INT(B147),0)</f>
        <v/>
      </c>
      <c r="Q147">
        <f>IF(AND(L147="",OR(J147="Growing",J147="Picking")),1,0)</f>
        <v/>
      </c>
      <c r="R147">
        <f>IF(AND(Q147=1,D147&lt;&gt;""),P147*1000+ROW(),0)</f>
        <v/>
      </c>
      <c r="S147">
        <f>IF(AND(AND(C147&lt;&gt;"",ISNUMBER(B147)),L147=""),1,0)</f>
        <v/>
      </c>
    </row>
    <row r="148">
      <c r="A148" s="1" t="n"/>
      <c r="B148" s="17" t="n"/>
      <c r="C148" s="18" t="n"/>
      <c r="D148" s="19" t="n"/>
      <c r="E148" s="19" t="n"/>
      <c r="F148" s="20" t="n"/>
      <c r="G148" s="17" t="n"/>
      <c r="H148" s="21" t="n"/>
      <c r="I148" s="22">
        <f>IF(NOT(AND(C148&lt;&gt;"",ISNUMBER(B148))),"",IF(N(IFERROR(INDEX(Crops!$F$6:$F$65,MATCH(C148,Crops!$B$6:$B$65,0)),0))&gt;0,INT(B148)+N(IFERROR(INDEX(Crops!$F$6:$F$65,MATCH(C148,Crops!$B$6:$B$65,0)),0)),""))</f>
        <v/>
      </c>
      <c r="J148" s="16">
        <f>IF(NOT(AND(C148&lt;&gt;"",ISNUMBER(B148))),"",IF(ISNUMBER(G148),"Done",IF(INT(B148)&gt;TODAY(),"Planned",IF(COUNTIFS(Harvest!$C$6:$C$1505,C148,Harvest!$D$6:$D$1505,D148&amp;"",Harvest!$L$6:$L$1505,"&gt;="&amp;INT(B148))&gt;0,"Picking","Growing"))))</f>
        <v/>
      </c>
      <c r="K148" s="14">
        <f>IF(OR(NOT(AND(C148&lt;&gt;"",ISNUMBER(B148))),J148="Planned"),"",IF(ISNUMBER(G148),INT(G148),TODAY())-INT(B148))</f>
        <v/>
      </c>
      <c r="L148" s="11">
        <f>IF(AND(B148="",C148="",D148=""),"",IF(NOT(ISNUMBER(B148)),"Needs a date",IF(C148="","Needs a crop",IF(COUNTIF(Crops!$B$6:$B$65,C148)=0,"Not on Crops",IF(AND(D148&lt;&gt;"",COUNTIF(Beds!$B$6:$B$35,D148)=0),"Not on Beds",IF(AND(ISNUMBER(G148),G148&lt;B148),"Cleared before it was planted",""))))))</f>
        <v/>
      </c>
      <c r="M148" s="11">
        <f>IF(OR(L148&lt;&gt;"",D148="",O148=""),"",IF(COUNTIFS(Plantings!$D$6:$D$505,D148,Plantings!$O$6:$O$505,O148,Plantings!$N$6:$N$505,N148-1)&gt;0,"Same family here last year",""))</f>
        <v/>
      </c>
      <c r="N148" s="1">
        <f>IF(ISNUMBER(B148),YEAR(B148),"")</f>
        <v/>
      </c>
      <c r="O148">
        <f>IF(C148="","",IFERROR(INDEX(Crops!$C$6:$C$65,MATCH(C148,Crops!$B$6:$B$65,0))&amp;"",""))</f>
        <v/>
      </c>
      <c r="P148">
        <f>IF(ISNUMBER(B148),INT(B148),0)</f>
        <v/>
      </c>
      <c r="Q148">
        <f>IF(AND(L148="",OR(J148="Growing",J148="Picking")),1,0)</f>
        <v/>
      </c>
      <c r="R148">
        <f>IF(AND(Q148=1,D148&lt;&gt;""),P148*1000+ROW(),0)</f>
        <v/>
      </c>
      <c r="S148">
        <f>IF(AND(AND(C148&lt;&gt;"",ISNUMBER(B148)),L148=""),1,0)</f>
        <v/>
      </c>
    </row>
    <row r="149">
      <c r="A149" s="1" t="n"/>
      <c r="B149" s="17" t="n"/>
      <c r="C149" s="18" t="n"/>
      <c r="D149" s="19" t="n"/>
      <c r="E149" s="19" t="n"/>
      <c r="F149" s="20" t="n"/>
      <c r="G149" s="17" t="n"/>
      <c r="H149" s="21" t="n"/>
      <c r="I149" s="22">
        <f>IF(NOT(AND(C149&lt;&gt;"",ISNUMBER(B149))),"",IF(N(IFERROR(INDEX(Crops!$F$6:$F$65,MATCH(C149,Crops!$B$6:$B$65,0)),0))&gt;0,INT(B149)+N(IFERROR(INDEX(Crops!$F$6:$F$65,MATCH(C149,Crops!$B$6:$B$65,0)),0)),""))</f>
        <v/>
      </c>
      <c r="J149" s="16">
        <f>IF(NOT(AND(C149&lt;&gt;"",ISNUMBER(B149))),"",IF(ISNUMBER(G149),"Done",IF(INT(B149)&gt;TODAY(),"Planned",IF(COUNTIFS(Harvest!$C$6:$C$1505,C149,Harvest!$D$6:$D$1505,D149&amp;"",Harvest!$L$6:$L$1505,"&gt;="&amp;INT(B149))&gt;0,"Picking","Growing"))))</f>
        <v/>
      </c>
      <c r="K149" s="14">
        <f>IF(OR(NOT(AND(C149&lt;&gt;"",ISNUMBER(B149))),J149="Planned"),"",IF(ISNUMBER(G149),INT(G149),TODAY())-INT(B149))</f>
        <v/>
      </c>
      <c r="L149" s="11">
        <f>IF(AND(B149="",C149="",D149=""),"",IF(NOT(ISNUMBER(B149)),"Needs a date",IF(C149="","Needs a crop",IF(COUNTIF(Crops!$B$6:$B$65,C149)=0,"Not on Crops",IF(AND(D149&lt;&gt;"",COUNTIF(Beds!$B$6:$B$35,D149)=0),"Not on Beds",IF(AND(ISNUMBER(G149),G149&lt;B149),"Cleared before it was planted",""))))))</f>
        <v/>
      </c>
      <c r="M149" s="11">
        <f>IF(OR(L149&lt;&gt;"",D149="",O149=""),"",IF(COUNTIFS(Plantings!$D$6:$D$505,D149,Plantings!$O$6:$O$505,O149,Plantings!$N$6:$N$505,N149-1)&gt;0,"Same family here last year",""))</f>
        <v/>
      </c>
      <c r="N149" s="1">
        <f>IF(ISNUMBER(B149),YEAR(B149),"")</f>
        <v/>
      </c>
      <c r="O149">
        <f>IF(C149="","",IFERROR(INDEX(Crops!$C$6:$C$65,MATCH(C149,Crops!$B$6:$B$65,0))&amp;"",""))</f>
        <v/>
      </c>
      <c r="P149">
        <f>IF(ISNUMBER(B149),INT(B149),0)</f>
        <v/>
      </c>
      <c r="Q149">
        <f>IF(AND(L149="",OR(J149="Growing",J149="Picking")),1,0)</f>
        <v/>
      </c>
      <c r="R149">
        <f>IF(AND(Q149=1,D149&lt;&gt;""),P149*1000+ROW(),0)</f>
        <v/>
      </c>
      <c r="S149">
        <f>IF(AND(AND(C149&lt;&gt;"",ISNUMBER(B149)),L149=""),1,0)</f>
        <v/>
      </c>
    </row>
    <row r="150">
      <c r="A150" s="1" t="n"/>
      <c r="B150" s="17" t="n"/>
      <c r="C150" s="18" t="n"/>
      <c r="D150" s="19" t="n"/>
      <c r="E150" s="19" t="n"/>
      <c r="F150" s="20" t="n"/>
      <c r="G150" s="17" t="n"/>
      <c r="H150" s="21" t="n"/>
      <c r="I150" s="22">
        <f>IF(NOT(AND(C150&lt;&gt;"",ISNUMBER(B150))),"",IF(N(IFERROR(INDEX(Crops!$F$6:$F$65,MATCH(C150,Crops!$B$6:$B$65,0)),0))&gt;0,INT(B150)+N(IFERROR(INDEX(Crops!$F$6:$F$65,MATCH(C150,Crops!$B$6:$B$65,0)),0)),""))</f>
        <v/>
      </c>
      <c r="J150" s="16">
        <f>IF(NOT(AND(C150&lt;&gt;"",ISNUMBER(B150))),"",IF(ISNUMBER(G150),"Done",IF(INT(B150)&gt;TODAY(),"Planned",IF(COUNTIFS(Harvest!$C$6:$C$1505,C150,Harvest!$D$6:$D$1505,D150&amp;"",Harvest!$L$6:$L$1505,"&gt;="&amp;INT(B150))&gt;0,"Picking","Growing"))))</f>
        <v/>
      </c>
      <c r="K150" s="14">
        <f>IF(OR(NOT(AND(C150&lt;&gt;"",ISNUMBER(B150))),J150="Planned"),"",IF(ISNUMBER(G150),INT(G150),TODAY())-INT(B150))</f>
        <v/>
      </c>
      <c r="L150" s="11">
        <f>IF(AND(B150="",C150="",D150=""),"",IF(NOT(ISNUMBER(B150)),"Needs a date",IF(C150="","Needs a crop",IF(COUNTIF(Crops!$B$6:$B$65,C150)=0,"Not on Crops",IF(AND(D150&lt;&gt;"",COUNTIF(Beds!$B$6:$B$35,D150)=0),"Not on Beds",IF(AND(ISNUMBER(G150),G150&lt;B150),"Cleared before it was planted",""))))))</f>
        <v/>
      </c>
      <c r="M150" s="11">
        <f>IF(OR(L150&lt;&gt;"",D150="",O150=""),"",IF(COUNTIFS(Plantings!$D$6:$D$505,D150,Plantings!$O$6:$O$505,O150,Plantings!$N$6:$N$505,N150-1)&gt;0,"Same family here last year",""))</f>
        <v/>
      </c>
      <c r="N150" s="1">
        <f>IF(ISNUMBER(B150),YEAR(B150),"")</f>
        <v/>
      </c>
      <c r="O150">
        <f>IF(C150="","",IFERROR(INDEX(Crops!$C$6:$C$65,MATCH(C150,Crops!$B$6:$B$65,0))&amp;"",""))</f>
        <v/>
      </c>
      <c r="P150">
        <f>IF(ISNUMBER(B150),INT(B150),0)</f>
        <v/>
      </c>
      <c r="Q150">
        <f>IF(AND(L150="",OR(J150="Growing",J150="Picking")),1,0)</f>
        <v/>
      </c>
      <c r="R150">
        <f>IF(AND(Q150=1,D150&lt;&gt;""),P150*1000+ROW(),0)</f>
        <v/>
      </c>
      <c r="S150">
        <f>IF(AND(AND(C150&lt;&gt;"",ISNUMBER(B150)),L150=""),1,0)</f>
        <v/>
      </c>
    </row>
    <row r="151">
      <c r="A151" s="1" t="n"/>
      <c r="B151" s="17" t="n"/>
      <c r="C151" s="18" t="n"/>
      <c r="D151" s="19" t="n"/>
      <c r="E151" s="19" t="n"/>
      <c r="F151" s="20" t="n"/>
      <c r="G151" s="17" t="n"/>
      <c r="H151" s="21" t="n"/>
      <c r="I151" s="22">
        <f>IF(NOT(AND(C151&lt;&gt;"",ISNUMBER(B151))),"",IF(N(IFERROR(INDEX(Crops!$F$6:$F$65,MATCH(C151,Crops!$B$6:$B$65,0)),0))&gt;0,INT(B151)+N(IFERROR(INDEX(Crops!$F$6:$F$65,MATCH(C151,Crops!$B$6:$B$65,0)),0)),""))</f>
        <v/>
      </c>
      <c r="J151" s="16">
        <f>IF(NOT(AND(C151&lt;&gt;"",ISNUMBER(B151))),"",IF(ISNUMBER(G151),"Done",IF(INT(B151)&gt;TODAY(),"Planned",IF(COUNTIFS(Harvest!$C$6:$C$1505,C151,Harvest!$D$6:$D$1505,D151&amp;"",Harvest!$L$6:$L$1505,"&gt;="&amp;INT(B151))&gt;0,"Picking","Growing"))))</f>
        <v/>
      </c>
      <c r="K151" s="14">
        <f>IF(OR(NOT(AND(C151&lt;&gt;"",ISNUMBER(B151))),J151="Planned"),"",IF(ISNUMBER(G151),INT(G151),TODAY())-INT(B151))</f>
        <v/>
      </c>
      <c r="L151" s="11">
        <f>IF(AND(B151="",C151="",D151=""),"",IF(NOT(ISNUMBER(B151)),"Needs a date",IF(C151="","Needs a crop",IF(COUNTIF(Crops!$B$6:$B$65,C151)=0,"Not on Crops",IF(AND(D151&lt;&gt;"",COUNTIF(Beds!$B$6:$B$35,D151)=0),"Not on Beds",IF(AND(ISNUMBER(G151),G151&lt;B151),"Cleared before it was planted",""))))))</f>
        <v/>
      </c>
      <c r="M151" s="11">
        <f>IF(OR(L151&lt;&gt;"",D151="",O151=""),"",IF(COUNTIFS(Plantings!$D$6:$D$505,D151,Plantings!$O$6:$O$505,O151,Plantings!$N$6:$N$505,N151-1)&gt;0,"Same family here last year",""))</f>
        <v/>
      </c>
      <c r="N151" s="1">
        <f>IF(ISNUMBER(B151),YEAR(B151),"")</f>
        <v/>
      </c>
      <c r="O151">
        <f>IF(C151="","",IFERROR(INDEX(Crops!$C$6:$C$65,MATCH(C151,Crops!$B$6:$B$65,0))&amp;"",""))</f>
        <v/>
      </c>
      <c r="P151">
        <f>IF(ISNUMBER(B151),INT(B151),0)</f>
        <v/>
      </c>
      <c r="Q151">
        <f>IF(AND(L151="",OR(J151="Growing",J151="Picking")),1,0)</f>
        <v/>
      </c>
      <c r="R151">
        <f>IF(AND(Q151=1,D151&lt;&gt;""),P151*1000+ROW(),0)</f>
        <v/>
      </c>
      <c r="S151">
        <f>IF(AND(AND(C151&lt;&gt;"",ISNUMBER(B151)),L151=""),1,0)</f>
        <v/>
      </c>
    </row>
    <row r="152">
      <c r="A152" s="1" t="n"/>
      <c r="B152" s="17" t="n"/>
      <c r="C152" s="18" t="n"/>
      <c r="D152" s="19" t="n"/>
      <c r="E152" s="19" t="n"/>
      <c r="F152" s="20" t="n"/>
      <c r="G152" s="17" t="n"/>
      <c r="H152" s="21" t="n"/>
      <c r="I152" s="22">
        <f>IF(NOT(AND(C152&lt;&gt;"",ISNUMBER(B152))),"",IF(N(IFERROR(INDEX(Crops!$F$6:$F$65,MATCH(C152,Crops!$B$6:$B$65,0)),0))&gt;0,INT(B152)+N(IFERROR(INDEX(Crops!$F$6:$F$65,MATCH(C152,Crops!$B$6:$B$65,0)),0)),""))</f>
        <v/>
      </c>
      <c r="J152" s="16">
        <f>IF(NOT(AND(C152&lt;&gt;"",ISNUMBER(B152))),"",IF(ISNUMBER(G152),"Done",IF(INT(B152)&gt;TODAY(),"Planned",IF(COUNTIFS(Harvest!$C$6:$C$1505,C152,Harvest!$D$6:$D$1505,D152&amp;"",Harvest!$L$6:$L$1505,"&gt;="&amp;INT(B152))&gt;0,"Picking","Growing"))))</f>
        <v/>
      </c>
      <c r="K152" s="14">
        <f>IF(OR(NOT(AND(C152&lt;&gt;"",ISNUMBER(B152))),J152="Planned"),"",IF(ISNUMBER(G152),INT(G152),TODAY())-INT(B152))</f>
        <v/>
      </c>
      <c r="L152" s="11">
        <f>IF(AND(B152="",C152="",D152=""),"",IF(NOT(ISNUMBER(B152)),"Needs a date",IF(C152="","Needs a crop",IF(COUNTIF(Crops!$B$6:$B$65,C152)=0,"Not on Crops",IF(AND(D152&lt;&gt;"",COUNTIF(Beds!$B$6:$B$35,D152)=0),"Not on Beds",IF(AND(ISNUMBER(G152),G152&lt;B152),"Cleared before it was planted",""))))))</f>
        <v/>
      </c>
      <c r="M152" s="11">
        <f>IF(OR(L152&lt;&gt;"",D152="",O152=""),"",IF(COUNTIFS(Plantings!$D$6:$D$505,D152,Plantings!$O$6:$O$505,O152,Plantings!$N$6:$N$505,N152-1)&gt;0,"Same family here last year",""))</f>
        <v/>
      </c>
      <c r="N152" s="1">
        <f>IF(ISNUMBER(B152),YEAR(B152),"")</f>
        <v/>
      </c>
      <c r="O152">
        <f>IF(C152="","",IFERROR(INDEX(Crops!$C$6:$C$65,MATCH(C152,Crops!$B$6:$B$65,0))&amp;"",""))</f>
        <v/>
      </c>
      <c r="P152">
        <f>IF(ISNUMBER(B152),INT(B152),0)</f>
        <v/>
      </c>
      <c r="Q152">
        <f>IF(AND(L152="",OR(J152="Growing",J152="Picking")),1,0)</f>
        <v/>
      </c>
      <c r="R152">
        <f>IF(AND(Q152=1,D152&lt;&gt;""),P152*1000+ROW(),0)</f>
        <v/>
      </c>
      <c r="S152">
        <f>IF(AND(AND(C152&lt;&gt;"",ISNUMBER(B152)),L152=""),1,0)</f>
        <v/>
      </c>
    </row>
    <row r="153">
      <c r="A153" s="1" t="n"/>
      <c r="B153" s="17" t="n"/>
      <c r="C153" s="18" t="n"/>
      <c r="D153" s="19" t="n"/>
      <c r="E153" s="19" t="n"/>
      <c r="F153" s="20" t="n"/>
      <c r="G153" s="17" t="n"/>
      <c r="H153" s="21" t="n"/>
      <c r="I153" s="22">
        <f>IF(NOT(AND(C153&lt;&gt;"",ISNUMBER(B153))),"",IF(N(IFERROR(INDEX(Crops!$F$6:$F$65,MATCH(C153,Crops!$B$6:$B$65,0)),0))&gt;0,INT(B153)+N(IFERROR(INDEX(Crops!$F$6:$F$65,MATCH(C153,Crops!$B$6:$B$65,0)),0)),""))</f>
        <v/>
      </c>
      <c r="J153" s="16">
        <f>IF(NOT(AND(C153&lt;&gt;"",ISNUMBER(B153))),"",IF(ISNUMBER(G153),"Done",IF(INT(B153)&gt;TODAY(),"Planned",IF(COUNTIFS(Harvest!$C$6:$C$1505,C153,Harvest!$D$6:$D$1505,D153&amp;"",Harvest!$L$6:$L$1505,"&gt;="&amp;INT(B153))&gt;0,"Picking","Growing"))))</f>
        <v/>
      </c>
      <c r="K153" s="14">
        <f>IF(OR(NOT(AND(C153&lt;&gt;"",ISNUMBER(B153))),J153="Planned"),"",IF(ISNUMBER(G153),INT(G153),TODAY())-INT(B153))</f>
        <v/>
      </c>
      <c r="L153" s="11">
        <f>IF(AND(B153="",C153="",D153=""),"",IF(NOT(ISNUMBER(B153)),"Needs a date",IF(C153="","Needs a crop",IF(COUNTIF(Crops!$B$6:$B$65,C153)=0,"Not on Crops",IF(AND(D153&lt;&gt;"",COUNTIF(Beds!$B$6:$B$35,D153)=0),"Not on Beds",IF(AND(ISNUMBER(G153),G153&lt;B153),"Cleared before it was planted",""))))))</f>
        <v/>
      </c>
      <c r="M153" s="11">
        <f>IF(OR(L153&lt;&gt;"",D153="",O153=""),"",IF(COUNTIFS(Plantings!$D$6:$D$505,D153,Plantings!$O$6:$O$505,O153,Plantings!$N$6:$N$505,N153-1)&gt;0,"Same family here last year",""))</f>
        <v/>
      </c>
      <c r="N153" s="1">
        <f>IF(ISNUMBER(B153),YEAR(B153),"")</f>
        <v/>
      </c>
      <c r="O153">
        <f>IF(C153="","",IFERROR(INDEX(Crops!$C$6:$C$65,MATCH(C153,Crops!$B$6:$B$65,0))&amp;"",""))</f>
        <v/>
      </c>
      <c r="P153">
        <f>IF(ISNUMBER(B153),INT(B153),0)</f>
        <v/>
      </c>
      <c r="Q153">
        <f>IF(AND(L153="",OR(J153="Growing",J153="Picking")),1,0)</f>
        <v/>
      </c>
      <c r="R153">
        <f>IF(AND(Q153=1,D153&lt;&gt;""),P153*1000+ROW(),0)</f>
        <v/>
      </c>
      <c r="S153">
        <f>IF(AND(AND(C153&lt;&gt;"",ISNUMBER(B153)),L153=""),1,0)</f>
        <v/>
      </c>
    </row>
    <row r="154">
      <c r="A154" s="1" t="n"/>
      <c r="B154" s="17" t="n"/>
      <c r="C154" s="18" t="n"/>
      <c r="D154" s="19" t="n"/>
      <c r="E154" s="19" t="n"/>
      <c r="F154" s="20" t="n"/>
      <c r="G154" s="17" t="n"/>
      <c r="H154" s="21" t="n"/>
      <c r="I154" s="22">
        <f>IF(NOT(AND(C154&lt;&gt;"",ISNUMBER(B154))),"",IF(N(IFERROR(INDEX(Crops!$F$6:$F$65,MATCH(C154,Crops!$B$6:$B$65,0)),0))&gt;0,INT(B154)+N(IFERROR(INDEX(Crops!$F$6:$F$65,MATCH(C154,Crops!$B$6:$B$65,0)),0)),""))</f>
        <v/>
      </c>
      <c r="J154" s="16">
        <f>IF(NOT(AND(C154&lt;&gt;"",ISNUMBER(B154))),"",IF(ISNUMBER(G154),"Done",IF(INT(B154)&gt;TODAY(),"Planned",IF(COUNTIFS(Harvest!$C$6:$C$1505,C154,Harvest!$D$6:$D$1505,D154&amp;"",Harvest!$L$6:$L$1505,"&gt;="&amp;INT(B154))&gt;0,"Picking","Growing"))))</f>
        <v/>
      </c>
      <c r="K154" s="14">
        <f>IF(OR(NOT(AND(C154&lt;&gt;"",ISNUMBER(B154))),J154="Planned"),"",IF(ISNUMBER(G154),INT(G154),TODAY())-INT(B154))</f>
        <v/>
      </c>
      <c r="L154" s="11">
        <f>IF(AND(B154="",C154="",D154=""),"",IF(NOT(ISNUMBER(B154)),"Needs a date",IF(C154="","Needs a crop",IF(COUNTIF(Crops!$B$6:$B$65,C154)=0,"Not on Crops",IF(AND(D154&lt;&gt;"",COUNTIF(Beds!$B$6:$B$35,D154)=0),"Not on Beds",IF(AND(ISNUMBER(G154),G154&lt;B154),"Cleared before it was planted",""))))))</f>
        <v/>
      </c>
      <c r="M154" s="11">
        <f>IF(OR(L154&lt;&gt;"",D154="",O154=""),"",IF(COUNTIFS(Plantings!$D$6:$D$505,D154,Plantings!$O$6:$O$505,O154,Plantings!$N$6:$N$505,N154-1)&gt;0,"Same family here last year",""))</f>
        <v/>
      </c>
      <c r="N154" s="1">
        <f>IF(ISNUMBER(B154),YEAR(B154),"")</f>
        <v/>
      </c>
      <c r="O154">
        <f>IF(C154="","",IFERROR(INDEX(Crops!$C$6:$C$65,MATCH(C154,Crops!$B$6:$B$65,0))&amp;"",""))</f>
        <v/>
      </c>
      <c r="P154">
        <f>IF(ISNUMBER(B154),INT(B154),0)</f>
        <v/>
      </c>
      <c r="Q154">
        <f>IF(AND(L154="",OR(J154="Growing",J154="Picking")),1,0)</f>
        <v/>
      </c>
      <c r="R154">
        <f>IF(AND(Q154=1,D154&lt;&gt;""),P154*1000+ROW(),0)</f>
        <v/>
      </c>
      <c r="S154">
        <f>IF(AND(AND(C154&lt;&gt;"",ISNUMBER(B154)),L154=""),1,0)</f>
        <v/>
      </c>
    </row>
    <row r="155">
      <c r="A155" s="1" t="n"/>
      <c r="B155" s="17" t="n"/>
      <c r="C155" s="18" t="n"/>
      <c r="D155" s="19" t="n"/>
      <c r="E155" s="19" t="n"/>
      <c r="F155" s="20" t="n"/>
      <c r="G155" s="17" t="n"/>
      <c r="H155" s="21" t="n"/>
      <c r="I155" s="22">
        <f>IF(NOT(AND(C155&lt;&gt;"",ISNUMBER(B155))),"",IF(N(IFERROR(INDEX(Crops!$F$6:$F$65,MATCH(C155,Crops!$B$6:$B$65,0)),0))&gt;0,INT(B155)+N(IFERROR(INDEX(Crops!$F$6:$F$65,MATCH(C155,Crops!$B$6:$B$65,0)),0)),""))</f>
        <v/>
      </c>
      <c r="J155" s="16">
        <f>IF(NOT(AND(C155&lt;&gt;"",ISNUMBER(B155))),"",IF(ISNUMBER(G155),"Done",IF(INT(B155)&gt;TODAY(),"Planned",IF(COUNTIFS(Harvest!$C$6:$C$1505,C155,Harvest!$D$6:$D$1505,D155&amp;"",Harvest!$L$6:$L$1505,"&gt;="&amp;INT(B155))&gt;0,"Picking","Growing"))))</f>
        <v/>
      </c>
      <c r="K155" s="14">
        <f>IF(OR(NOT(AND(C155&lt;&gt;"",ISNUMBER(B155))),J155="Planned"),"",IF(ISNUMBER(G155),INT(G155),TODAY())-INT(B155))</f>
        <v/>
      </c>
      <c r="L155" s="11">
        <f>IF(AND(B155="",C155="",D155=""),"",IF(NOT(ISNUMBER(B155)),"Needs a date",IF(C155="","Needs a crop",IF(COUNTIF(Crops!$B$6:$B$65,C155)=0,"Not on Crops",IF(AND(D155&lt;&gt;"",COUNTIF(Beds!$B$6:$B$35,D155)=0),"Not on Beds",IF(AND(ISNUMBER(G155),G155&lt;B155),"Cleared before it was planted",""))))))</f>
        <v/>
      </c>
      <c r="M155" s="11">
        <f>IF(OR(L155&lt;&gt;"",D155="",O155=""),"",IF(COUNTIFS(Plantings!$D$6:$D$505,D155,Plantings!$O$6:$O$505,O155,Plantings!$N$6:$N$505,N155-1)&gt;0,"Same family here last year",""))</f>
        <v/>
      </c>
      <c r="N155" s="1">
        <f>IF(ISNUMBER(B155),YEAR(B155),"")</f>
        <v/>
      </c>
      <c r="O155">
        <f>IF(C155="","",IFERROR(INDEX(Crops!$C$6:$C$65,MATCH(C155,Crops!$B$6:$B$65,0))&amp;"",""))</f>
        <v/>
      </c>
      <c r="P155">
        <f>IF(ISNUMBER(B155),INT(B155),0)</f>
        <v/>
      </c>
      <c r="Q155">
        <f>IF(AND(L155="",OR(J155="Growing",J155="Picking")),1,0)</f>
        <v/>
      </c>
      <c r="R155">
        <f>IF(AND(Q155=1,D155&lt;&gt;""),P155*1000+ROW(),0)</f>
        <v/>
      </c>
      <c r="S155">
        <f>IF(AND(AND(C155&lt;&gt;"",ISNUMBER(B155)),L155=""),1,0)</f>
        <v/>
      </c>
    </row>
    <row r="156">
      <c r="A156" s="1" t="n"/>
      <c r="B156" s="17" t="n"/>
      <c r="C156" s="18" t="n"/>
      <c r="D156" s="19" t="n"/>
      <c r="E156" s="19" t="n"/>
      <c r="F156" s="20" t="n"/>
      <c r="G156" s="17" t="n"/>
      <c r="H156" s="21" t="n"/>
      <c r="I156" s="22">
        <f>IF(NOT(AND(C156&lt;&gt;"",ISNUMBER(B156))),"",IF(N(IFERROR(INDEX(Crops!$F$6:$F$65,MATCH(C156,Crops!$B$6:$B$65,0)),0))&gt;0,INT(B156)+N(IFERROR(INDEX(Crops!$F$6:$F$65,MATCH(C156,Crops!$B$6:$B$65,0)),0)),""))</f>
        <v/>
      </c>
      <c r="J156" s="16">
        <f>IF(NOT(AND(C156&lt;&gt;"",ISNUMBER(B156))),"",IF(ISNUMBER(G156),"Done",IF(INT(B156)&gt;TODAY(),"Planned",IF(COUNTIFS(Harvest!$C$6:$C$1505,C156,Harvest!$D$6:$D$1505,D156&amp;"",Harvest!$L$6:$L$1505,"&gt;="&amp;INT(B156))&gt;0,"Picking","Growing"))))</f>
        <v/>
      </c>
      <c r="K156" s="14">
        <f>IF(OR(NOT(AND(C156&lt;&gt;"",ISNUMBER(B156))),J156="Planned"),"",IF(ISNUMBER(G156),INT(G156),TODAY())-INT(B156))</f>
        <v/>
      </c>
      <c r="L156" s="11">
        <f>IF(AND(B156="",C156="",D156=""),"",IF(NOT(ISNUMBER(B156)),"Needs a date",IF(C156="","Needs a crop",IF(COUNTIF(Crops!$B$6:$B$65,C156)=0,"Not on Crops",IF(AND(D156&lt;&gt;"",COUNTIF(Beds!$B$6:$B$35,D156)=0),"Not on Beds",IF(AND(ISNUMBER(G156),G156&lt;B156),"Cleared before it was planted",""))))))</f>
        <v/>
      </c>
      <c r="M156" s="11">
        <f>IF(OR(L156&lt;&gt;"",D156="",O156=""),"",IF(COUNTIFS(Plantings!$D$6:$D$505,D156,Plantings!$O$6:$O$505,O156,Plantings!$N$6:$N$505,N156-1)&gt;0,"Same family here last year",""))</f>
        <v/>
      </c>
      <c r="N156" s="1">
        <f>IF(ISNUMBER(B156),YEAR(B156),"")</f>
        <v/>
      </c>
      <c r="O156">
        <f>IF(C156="","",IFERROR(INDEX(Crops!$C$6:$C$65,MATCH(C156,Crops!$B$6:$B$65,0))&amp;"",""))</f>
        <v/>
      </c>
      <c r="P156">
        <f>IF(ISNUMBER(B156),INT(B156),0)</f>
        <v/>
      </c>
      <c r="Q156">
        <f>IF(AND(L156="",OR(J156="Growing",J156="Picking")),1,0)</f>
        <v/>
      </c>
      <c r="R156">
        <f>IF(AND(Q156=1,D156&lt;&gt;""),P156*1000+ROW(),0)</f>
        <v/>
      </c>
      <c r="S156">
        <f>IF(AND(AND(C156&lt;&gt;"",ISNUMBER(B156)),L156=""),1,0)</f>
        <v/>
      </c>
    </row>
    <row r="157">
      <c r="A157" s="1" t="n"/>
      <c r="B157" s="17" t="n"/>
      <c r="C157" s="18" t="n"/>
      <c r="D157" s="19" t="n"/>
      <c r="E157" s="19" t="n"/>
      <c r="F157" s="20" t="n"/>
      <c r="G157" s="17" t="n"/>
      <c r="H157" s="21" t="n"/>
      <c r="I157" s="22">
        <f>IF(NOT(AND(C157&lt;&gt;"",ISNUMBER(B157))),"",IF(N(IFERROR(INDEX(Crops!$F$6:$F$65,MATCH(C157,Crops!$B$6:$B$65,0)),0))&gt;0,INT(B157)+N(IFERROR(INDEX(Crops!$F$6:$F$65,MATCH(C157,Crops!$B$6:$B$65,0)),0)),""))</f>
        <v/>
      </c>
      <c r="J157" s="16">
        <f>IF(NOT(AND(C157&lt;&gt;"",ISNUMBER(B157))),"",IF(ISNUMBER(G157),"Done",IF(INT(B157)&gt;TODAY(),"Planned",IF(COUNTIFS(Harvest!$C$6:$C$1505,C157,Harvest!$D$6:$D$1505,D157&amp;"",Harvest!$L$6:$L$1505,"&gt;="&amp;INT(B157))&gt;0,"Picking","Growing"))))</f>
        <v/>
      </c>
      <c r="K157" s="14">
        <f>IF(OR(NOT(AND(C157&lt;&gt;"",ISNUMBER(B157))),J157="Planned"),"",IF(ISNUMBER(G157),INT(G157),TODAY())-INT(B157))</f>
        <v/>
      </c>
      <c r="L157" s="11">
        <f>IF(AND(B157="",C157="",D157=""),"",IF(NOT(ISNUMBER(B157)),"Needs a date",IF(C157="","Needs a crop",IF(COUNTIF(Crops!$B$6:$B$65,C157)=0,"Not on Crops",IF(AND(D157&lt;&gt;"",COUNTIF(Beds!$B$6:$B$35,D157)=0),"Not on Beds",IF(AND(ISNUMBER(G157),G157&lt;B157),"Cleared before it was planted",""))))))</f>
        <v/>
      </c>
      <c r="M157" s="11">
        <f>IF(OR(L157&lt;&gt;"",D157="",O157=""),"",IF(COUNTIFS(Plantings!$D$6:$D$505,D157,Plantings!$O$6:$O$505,O157,Plantings!$N$6:$N$505,N157-1)&gt;0,"Same family here last year",""))</f>
        <v/>
      </c>
      <c r="N157" s="1">
        <f>IF(ISNUMBER(B157),YEAR(B157),"")</f>
        <v/>
      </c>
      <c r="O157">
        <f>IF(C157="","",IFERROR(INDEX(Crops!$C$6:$C$65,MATCH(C157,Crops!$B$6:$B$65,0))&amp;"",""))</f>
        <v/>
      </c>
      <c r="P157">
        <f>IF(ISNUMBER(B157),INT(B157),0)</f>
        <v/>
      </c>
      <c r="Q157">
        <f>IF(AND(L157="",OR(J157="Growing",J157="Picking")),1,0)</f>
        <v/>
      </c>
      <c r="R157">
        <f>IF(AND(Q157=1,D157&lt;&gt;""),P157*1000+ROW(),0)</f>
        <v/>
      </c>
      <c r="S157">
        <f>IF(AND(AND(C157&lt;&gt;"",ISNUMBER(B157)),L157=""),1,0)</f>
        <v/>
      </c>
    </row>
    <row r="158">
      <c r="A158" s="1" t="n"/>
      <c r="B158" s="17" t="n"/>
      <c r="C158" s="18" t="n"/>
      <c r="D158" s="19" t="n"/>
      <c r="E158" s="19" t="n"/>
      <c r="F158" s="20" t="n"/>
      <c r="G158" s="17" t="n"/>
      <c r="H158" s="21" t="n"/>
      <c r="I158" s="22">
        <f>IF(NOT(AND(C158&lt;&gt;"",ISNUMBER(B158))),"",IF(N(IFERROR(INDEX(Crops!$F$6:$F$65,MATCH(C158,Crops!$B$6:$B$65,0)),0))&gt;0,INT(B158)+N(IFERROR(INDEX(Crops!$F$6:$F$65,MATCH(C158,Crops!$B$6:$B$65,0)),0)),""))</f>
        <v/>
      </c>
      <c r="J158" s="16">
        <f>IF(NOT(AND(C158&lt;&gt;"",ISNUMBER(B158))),"",IF(ISNUMBER(G158),"Done",IF(INT(B158)&gt;TODAY(),"Planned",IF(COUNTIFS(Harvest!$C$6:$C$1505,C158,Harvest!$D$6:$D$1505,D158&amp;"",Harvest!$L$6:$L$1505,"&gt;="&amp;INT(B158))&gt;0,"Picking","Growing"))))</f>
        <v/>
      </c>
      <c r="K158" s="14">
        <f>IF(OR(NOT(AND(C158&lt;&gt;"",ISNUMBER(B158))),J158="Planned"),"",IF(ISNUMBER(G158),INT(G158),TODAY())-INT(B158))</f>
        <v/>
      </c>
      <c r="L158" s="11">
        <f>IF(AND(B158="",C158="",D158=""),"",IF(NOT(ISNUMBER(B158)),"Needs a date",IF(C158="","Needs a crop",IF(COUNTIF(Crops!$B$6:$B$65,C158)=0,"Not on Crops",IF(AND(D158&lt;&gt;"",COUNTIF(Beds!$B$6:$B$35,D158)=0),"Not on Beds",IF(AND(ISNUMBER(G158),G158&lt;B158),"Cleared before it was planted",""))))))</f>
        <v/>
      </c>
      <c r="M158" s="11">
        <f>IF(OR(L158&lt;&gt;"",D158="",O158=""),"",IF(COUNTIFS(Plantings!$D$6:$D$505,D158,Plantings!$O$6:$O$505,O158,Plantings!$N$6:$N$505,N158-1)&gt;0,"Same family here last year",""))</f>
        <v/>
      </c>
      <c r="N158" s="1">
        <f>IF(ISNUMBER(B158),YEAR(B158),"")</f>
        <v/>
      </c>
      <c r="O158">
        <f>IF(C158="","",IFERROR(INDEX(Crops!$C$6:$C$65,MATCH(C158,Crops!$B$6:$B$65,0))&amp;"",""))</f>
        <v/>
      </c>
      <c r="P158">
        <f>IF(ISNUMBER(B158),INT(B158),0)</f>
        <v/>
      </c>
      <c r="Q158">
        <f>IF(AND(L158="",OR(J158="Growing",J158="Picking")),1,0)</f>
        <v/>
      </c>
      <c r="R158">
        <f>IF(AND(Q158=1,D158&lt;&gt;""),P158*1000+ROW(),0)</f>
        <v/>
      </c>
      <c r="S158">
        <f>IF(AND(AND(C158&lt;&gt;"",ISNUMBER(B158)),L158=""),1,0)</f>
        <v/>
      </c>
    </row>
    <row r="159">
      <c r="A159" s="1" t="n"/>
      <c r="B159" s="17" t="n"/>
      <c r="C159" s="18" t="n"/>
      <c r="D159" s="19" t="n"/>
      <c r="E159" s="19" t="n"/>
      <c r="F159" s="20" t="n"/>
      <c r="G159" s="17" t="n"/>
      <c r="H159" s="21" t="n"/>
      <c r="I159" s="22">
        <f>IF(NOT(AND(C159&lt;&gt;"",ISNUMBER(B159))),"",IF(N(IFERROR(INDEX(Crops!$F$6:$F$65,MATCH(C159,Crops!$B$6:$B$65,0)),0))&gt;0,INT(B159)+N(IFERROR(INDEX(Crops!$F$6:$F$65,MATCH(C159,Crops!$B$6:$B$65,0)),0)),""))</f>
        <v/>
      </c>
      <c r="J159" s="16">
        <f>IF(NOT(AND(C159&lt;&gt;"",ISNUMBER(B159))),"",IF(ISNUMBER(G159),"Done",IF(INT(B159)&gt;TODAY(),"Planned",IF(COUNTIFS(Harvest!$C$6:$C$1505,C159,Harvest!$D$6:$D$1505,D159&amp;"",Harvest!$L$6:$L$1505,"&gt;="&amp;INT(B159))&gt;0,"Picking","Growing"))))</f>
        <v/>
      </c>
      <c r="K159" s="14">
        <f>IF(OR(NOT(AND(C159&lt;&gt;"",ISNUMBER(B159))),J159="Planned"),"",IF(ISNUMBER(G159),INT(G159),TODAY())-INT(B159))</f>
        <v/>
      </c>
      <c r="L159" s="11">
        <f>IF(AND(B159="",C159="",D159=""),"",IF(NOT(ISNUMBER(B159)),"Needs a date",IF(C159="","Needs a crop",IF(COUNTIF(Crops!$B$6:$B$65,C159)=0,"Not on Crops",IF(AND(D159&lt;&gt;"",COUNTIF(Beds!$B$6:$B$35,D159)=0),"Not on Beds",IF(AND(ISNUMBER(G159),G159&lt;B159),"Cleared before it was planted",""))))))</f>
        <v/>
      </c>
      <c r="M159" s="11">
        <f>IF(OR(L159&lt;&gt;"",D159="",O159=""),"",IF(COUNTIFS(Plantings!$D$6:$D$505,D159,Plantings!$O$6:$O$505,O159,Plantings!$N$6:$N$505,N159-1)&gt;0,"Same family here last year",""))</f>
        <v/>
      </c>
      <c r="N159" s="1">
        <f>IF(ISNUMBER(B159),YEAR(B159),"")</f>
        <v/>
      </c>
      <c r="O159">
        <f>IF(C159="","",IFERROR(INDEX(Crops!$C$6:$C$65,MATCH(C159,Crops!$B$6:$B$65,0))&amp;"",""))</f>
        <v/>
      </c>
      <c r="P159">
        <f>IF(ISNUMBER(B159),INT(B159),0)</f>
        <v/>
      </c>
      <c r="Q159">
        <f>IF(AND(L159="",OR(J159="Growing",J159="Picking")),1,0)</f>
        <v/>
      </c>
      <c r="R159">
        <f>IF(AND(Q159=1,D159&lt;&gt;""),P159*1000+ROW(),0)</f>
        <v/>
      </c>
      <c r="S159">
        <f>IF(AND(AND(C159&lt;&gt;"",ISNUMBER(B159)),L159=""),1,0)</f>
        <v/>
      </c>
    </row>
    <row r="160">
      <c r="A160" s="1" t="n"/>
      <c r="B160" s="17" t="n"/>
      <c r="C160" s="18" t="n"/>
      <c r="D160" s="19" t="n"/>
      <c r="E160" s="19" t="n"/>
      <c r="F160" s="20" t="n"/>
      <c r="G160" s="17" t="n"/>
      <c r="H160" s="21" t="n"/>
      <c r="I160" s="22">
        <f>IF(NOT(AND(C160&lt;&gt;"",ISNUMBER(B160))),"",IF(N(IFERROR(INDEX(Crops!$F$6:$F$65,MATCH(C160,Crops!$B$6:$B$65,0)),0))&gt;0,INT(B160)+N(IFERROR(INDEX(Crops!$F$6:$F$65,MATCH(C160,Crops!$B$6:$B$65,0)),0)),""))</f>
        <v/>
      </c>
      <c r="J160" s="16">
        <f>IF(NOT(AND(C160&lt;&gt;"",ISNUMBER(B160))),"",IF(ISNUMBER(G160),"Done",IF(INT(B160)&gt;TODAY(),"Planned",IF(COUNTIFS(Harvest!$C$6:$C$1505,C160,Harvest!$D$6:$D$1505,D160&amp;"",Harvest!$L$6:$L$1505,"&gt;="&amp;INT(B160))&gt;0,"Picking","Growing"))))</f>
        <v/>
      </c>
      <c r="K160" s="14">
        <f>IF(OR(NOT(AND(C160&lt;&gt;"",ISNUMBER(B160))),J160="Planned"),"",IF(ISNUMBER(G160),INT(G160),TODAY())-INT(B160))</f>
        <v/>
      </c>
      <c r="L160" s="11">
        <f>IF(AND(B160="",C160="",D160=""),"",IF(NOT(ISNUMBER(B160)),"Needs a date",IF(C160="","Needs a crop",IF(COUNTIF(Crops!$B$6:$B$65,C160)=0,"Not on Crops",IF(AND(D160&lt;&gt;"",COUNTIF(Beds!$B$6:$B$35,D160)=0),"Not on Beds",IF(AND(ISNUMBER(G160),G160&lt;B160),"Cleared before it was planted",""))))))</f>
        <v/>
      </c>
      <c r="M160" s="11">
        <f>IF(OR(L160&lt;&gt;"",D160="",O160=""),"",IF(COUNTIFS(Plantings!$D$6:$D$505,D160,Plantings!$O$6:$O$505,O160,Plantings!$N$6:$N$505,N160-1)&gt;0,"Same family here last year",""))</f>
        <v/>
      </c>
      <c r="N160" s="1">
        <f>IF(ISNUMBER(B160),YEAR(B160),"")</f>
        <v/>
      </c>
      <c r="O160">
        <f>IF(C160="","",IFERROR(INDEX(Crops!$C$6:$C$65,MATCH(C160,Crops!$B$6:$B$65,0))&amp;"",""))</f>
        <v/>
      </c>
      <c r="P160">
        <f>IF(ISNUMBER(B160),INT(B160),0)</f>
        <v/>
      </c>
      <c r="Q160">
        <f>IF(AND(L160="",OR(J160="Growing",J160="Picking")),1,0)</f>
        <v/>
      </c>
      <c r="R160">
        <f>IF(AND(Q160=1,D160&lt;&gt;""),P160*1000+ROW(),0)</f>
        <v/>
      </c>
      <c r="S160">
        <f>IF(AND(AND(C160&lt;&gt;"",ISNUMBER(B160)),L160=""),1,0)</f>
        <v/>
      </c>
    </row>
    <row r="161">
      <c r="A161" s="1" t="n"/>
      <c r="B161" s="17" t="n"/>
      <c r="C161" s="18" t="n"/>
      <c r="D161" s="19" t="n"/>
      <c r="E161" s="19" t="n"/>
      <c r="F161" s="20" t="n"/>
      <c r="G161" s="17" t="n"/>
      <c r="H161" s="21" t="n"/>
      <c r="I161" s="22">
        <f>IF(NOT(AND(C161&lt;&gt;"",ISNUMBER(B161))),"",IF(N(IFERROR(INDEX(Crops!$F$6:$F$65,MATCH(C161,Crops!$B$6:$B$65,0)),0))&gt;0,INT(B161)+N(IFERROR(INDEX(Crops!$F$6:$F$65,MATCH(C161,Crops!$B$6:$B$65,0)),0)),""))</f>
        <v/>
      </c>
      <c r="J161" s="16">
        <f>IF(NOT(AND(C161&lt;&gt;"",ISNUMBER(B161))),"",IF(ISNUMBER(G161),"Done",IF(INT(B161)&gt;TODAY(),"Planned",IF(COUNTIFS(Harvest!$C$6:$C$1505,C161,Harvest!$D$6:$D$1505,D161&amp;"",Harvest!$L$6:$L$1505,"&gt;="&amp;INT(B161))&gt;0,"Picking","Growing"))))</f>
        <v/>
      </c>
      <c r="K161" s="14">
        <f>IF(OR(NOT(AND(C161&lt;&gt;"",ISNUMBER(B161))),J161="Planned"),"",IF(ISNUMBER(G161),INT(G161),TODAY())-INT(B161))</f>
        <v/>
      </c>
      <c r="L161" s="11">
        <f>IF(AND(B161="",C161="",D161=""),"",IF(NOT(ISNUMBER(B161)),"Needs a date",IF(C161="","Needs a crop",IF(COUNTIF(Crops!$B$6:$B$65,C161)=0,"Not on Crops",IF(AND(D161&lt;&gt;"",COUNTIF(Beds!$B$6:$B$35,D161)=0),"Not on Beds",IF(AND(ISNUMBER(G161),G161&lt;B161),"Cleared before it was planted",""))))))</f>
        <v/>
      </c>
      <c r="M161" s="11">
        <f>IF(OR(L161&lt;&gt;"",D161="",O161=""),"",IF(COUNTIFS(Plantings!$D$6:$D$505,D161,Plantings!$O$6:$O$505,O161,Plantings!$N$6:$N$505,N161-1)&gt;0,"Same family here last year",""))</f>
        <v/>
      </c>
      <c r="N161" s="1">
        <f>IF(ISNUMBER(B161),YEAR(B161),"")</f>
        <v/>
      </c>
      <c r="O161">
        <f>IF(C161="","",IFERROR(INDEX(Crops!$C$6:$C$65,MATCH(C161,Crops!$B$6:$B$65,0))&amp;"",""))</f>
        <v/>
      </c>
      <c r="P161">
        <f>IF(ISNUMBER(B161),INT(B161),0)</f>
        <v/>
      </c>
      <c r="Q161">
        <f>IF(AND(L161="",OR(J161="Growing",J161="Picking")),1,0)</f>
        <v/>
      </c>
      <c r="R161">
        <f>IF(AND(Q161=1,D161&lt;&gt;""),P161*1000+ROW(),0)</f>
        <v/>
      </c>
      <c r="S161">
        <f>IF(AND(AND(C161&lt;&gt;"",ISNUMBER(B161)),L161=""),1,0)</f>
        <v/>
      </c>
    </row>
    <row r="162">
      <c r="A162" s="1" t="n"/>
      <c r="B162" s="17" t="n"/>
      <c r="C162" s="18" t="n"/>
      <c r="D162" s="19" t="n"/>
      <c r="E162" s="19" t="n"/>
      <c r="F162" s="20" t="n"/>
      <c r="G162" s="17" t="n"/>
      <c r="H162" s="21" t="n"/>
      <c r="I162" s="22">
        <f>IF(NOT(AND(C162&lt;&gt;"",ISNUMBER(B162))),"",IF(N(IFERROR(INDEX(Crops!$F$6:$F$65,MATCH(C162,Crops!$B$6:$B$65,0)),0))&gt;0,INT(B162)+N(IFERROR(INDEX(Crops!$F$6:$F$65,MATCH(C162,Crops!$B$6:$B$65,0)),0)),""))</f>
        <v/>
      </c>
      <c r="J162" s="16">
        <f>IF(NOT(AND(C162&lt;&gt;"",ISNUMBER(B162))),"",IF(ISNUMBER(G162),"Done",IF(INT(B162)&gt;TODAY(),"Planned",IF(COUNTIFS(Harvest!$C$6:$C$1505,C162,Harvest!$D$6:$D$1505,D162&amp;"",Harvest!$L$6:$L$1505,"&gt;="&amp;INT(B162))&gt;0,"Picking","Growing"))))</f>
        <v/>
      </c>
      <c r="K162" s="14">
        <f>IF(OR(NOT(AND(C162&lt;&gt;"",ISNUMBER(B162))),J162="Planned"),"",IF(ISNUMBER(G162),INT(G162),TODAY())-INT(B162))</f>
        <v/>
      </c>
      <c r="L162" s="11">
        <f>IF(AND(B162="",C162="",D162=""),"",IF(NOT(ISNUMBER(B162)),"Needs a date",IF(C162="","Needs a crop",IF(COUNTIF(Crops!$B$6:$B$65,C162)=0,"Not on Crops",IF(AND(D162&lt;&gt;"",COUNTIF(Beds!$B$6:$B$35,D162)=0),"Not on Beds",IF(AND(ISNUMBER(G162),G162&lt;B162),"Cleared before it was planted",""))))))</f>
        <v/>
      </c>
      <c r="M162" s="11">
        <f>IF(OR(L162&lt;&gt;"",D162="",O162=""),"",IF(COUNTIFS(Plantings!$D$6:$D$505,D162,Plantings!$O$6:$O$505,O162,Plantings!$N$6:$N$505,N162-1)&gt;0,"Same family here last year",""))</f>
        <v/>
      </c>
      <c r="N162" s="1">
        <f>IF(ISNUMBER(B162),YEAR(B162),"")</f>
        <v/>
      </c>
      <c r="O162">
        <f>IF(C162="","",IFERROR(INDEX(Crops!$C$6:$C$65,MATCH(C162,Crops!$B$6:$B$65,0))&amp;"",""))</f>
        <v/>
      </c>
      <c r="P162">
        <f>IF(ISNUMBER(B162),INT(B162),0)</f>
        <v/>
      </c>
      <c r="Q162">
        <f>IF(AND(L162="",OR(J162="Growing",J162="Picking")),1,0)</f>
        <v/>
      </c>
      <c r="R162">
        <f>IF(AND(Q162=1,D162&lt;&gt;""),P162*1000+ROW(),0)</f>
        <v/>
      </c>
      <c r="S162">
        <f>IF(AND(AND(C162&lt;&gt;"",ISNUMBER(B162)),L162=""),1,0)</f>
        <v/>
      </c>
    </row>
    <row r="163">
      <c r="A163" s="1" t="n"/>
      <c r="B163" s="17" t="n"/>
      <c r="C163" s="18" t="n"/>
      <c r="D163" s="19" t="n"/>
      <c r="E163" s="19" t="n"/>
      <c r="F163" s="20" t="n"/>
      <c r="G163" s="17" t="n"/>
      <c r="H163" s="21" t="n"/>
      <c r="I163" s="22">
        <f>IF(NOT(AND(C163&lt;&gt;"",ISNUMBER(B163))),"",IF(N(IFERROR(INDEX(Crops!$F$6:$F$65,MATCH(C163,Crops!$B$6:$B$65,0)),0))&gt;0,INT(B163)+N(IFERROR(INDEX(Crops!$F$6:$F$65,MATCH(C163,Crops!$B$6:$B$65,0)),0)),""))</f>
        <v/>
      </c>
      <c r="J163" s="16">
        <f>IF(NOT(AND(C163&lt;&gt;"",ISNUMBER(B163))),"",IF(ISNUMBER(G163),"Done",IF(INT(B163)&gt;TODAY(),"Planned",IF(COUNTIFS(Harvest!$C$6:$C$1505,C163,Harvest!$D$6:$D$1505,D163&amp;"",Harvest!$L$6:$L$1505,"&gt;="&amp;INT(B163))&gt;0,"Picking","Growing"))))</f>
        <v/>
      </c>
      <c r="K163" s="14">
        <f>IF(OR(NOT(AND(C163&lt;&gt;"",ISNUMBER(B163))),J163="Planned"),"",IF(ISNUMBER(G163),INT(G163),TODAY())-INT(B163))</f>
        <v/>
      </c>
      <c r="L163" s="11">
        <f>IF(AND(B163="",C163="",D163=""),"",IF(NOT(ISNUMBER(B163)),"Needs a date",IF(C163="","Needs a crop",IF(COUNTIF(Crops!$B$6:$B$65,C163)=0,"Not on Crops",IF(AND(D163&lt;&gt;"",COUNTIF(Beds!$B$6:$B$35,D163)=0),"Not on Beds",IF(AND(ISNUMBER(G163),G163&lt;B163),"Cleared before it was planted",""))))))</f>
        <v/>
      </c>
      <c r="M163" s="11">
        <f>IF(OR(L163&lt;&gt;"",D163="",O163=""),"",IF(COUNTIFS(Plantings!$D$6:$D$505,D163,Plantings!$O$6:$O$505,O163,Plantings!$N$6:$N$505,N163-1)&gt;0,"Same family here last year",""))</f>
        <v/>
      </c>
      <c r="N163" s="1">
        <f>IF(ISNUMBER(B163),YEAR(B163),"")</f>
        <v/>
      </c>
      <c r="O163">
        <f>IF(C163="","",IFERROR(INDEX(Crops!$C$6:$C$65,MATCH(C163,Crops!$B$6:$B$65,0))&amp;"",""))</f>
        <v/>
      </c>
      <c r="P163">
        <f>IF(ISNUMBER(B163),INT(B163),0)</f>
        <v/>
      </c>
      <c r="Q163">
        <f>IF(AND(L163="",OR(J163="Growing",J163="Picking")),1,0)</f>
        <v/>
      </c>
      <c r="R163">
        <f>IF(AND(Q163=1,D163&lt;&gt;""),P163*1000+ROW(),0)</f>
        <v/>
      </c>
      <c r="S163">
        <f>IF(AND(AND(C163&lt;&gt;"",ISNUMBER(B163)),L163=""),1,0)</f>
        <v/>
      </c>
    </row>
    <row r="164">
      <c r="A164" s="1" t="n"/>
      <c r="B164" s="17" t="n"/>
      <c r="C164" s="18" t="n"/>
      <c r="D164" s="19" t="n"/>
      <c r="E164" s="19" t="n"/>
      <c r="F164" s="20" t="n"/>
      <c r="G164" s="17" t="n"/>
      <c r="H164" s="21" t="n"/>
      <c r="I164" s="22">
        <f>IF(NOT(AND(C164&lt;&gt;"",ISNUMBER(B164))),"",IF(N(IFERROR(INDEX(Crops!$F$6:$F$65,MATCH(C164,Crops!$B$6:$B$65,0)),0))&gt;0,INT(B164)+N(IFERROR(INDEX(Crops!$F$6:$F$65,MATCH(C164,Crops!$B$6:$B$65,0)),0)),""))</f>
        <v/>
      </c>
      <c r="J164" s="16">
        <f>IF(NOT(AND(C164&lt;&gt;"",ISNUMBER(B164))),"",IF(ISNUMBER(G164),"Done",IF(INT(B164)&gt;TODAY(),"Planned",IF(COUNTIFS(Harvest!$C$6:$C$1505,C164,Harvest!$D$6:$D$1505,D164&amp;"",Harvest!$L$6:$L$1505,"&gt;="&amp;INT(B164))&gt;0,"Picking","Growing"))))</f>
        <v/>
      </c>
      <c r="K164" s="14">
        <f>IF(OR(NOT(AND(C164&lt;&gt;"",ISNUMBER(B164))),J164="Planned"),"",IF(ISNUMBER(G164),INT(G164),TODAY())-INT(B164))</f>
        <v/>
      </c>
      <c r="L164" s="11">
        <f>IF(AND(B164="",C164="",D164=""),"",IF(NOT(ISNUMBER(B164)),"Needs a date",IF(C164="","Needs a crop",IF(COUNTIF(Crops!$B$6:$B$65,C164)=0,"Not on Crops",IF(AND(D164&lt;&gt;"",COUNTIF(Beds!$B$6:$B$35,D164)=0),"Not on Beds",IF(AND(ISNUMBER(G164),G164&lt;B164),"Cleared before it was planted",""))))))</f>
        <v/>
      </c>
      <c r="M164" s="11">
        <f>IF(OR(L164&lt;&gt;"",D164="",O164=""),"",IF(COUNTIFS(Plantings!$D$6:$D$505,D164,Plantings!$O$6:$O$505,O164,Plantings!$N$6:$N$505,N164-1)&gt;0,"Same family here last year",""))</f>
        <v/>
      </c>
      <c r="N164" s="1">
        <f>IF(ISNUMBER(B164),YEAR(B164),"")</f>
        <v/>
      </c>
      <c r="O164">
        <f>IF(C164="","",IFERROR(INDEX(Crops!$C$6:$C$65,MATCH(C164,Crops!$B$6:$B$65,0))&amp;"",""))</f>
        <v/>
      </c>
      <c r="P164">
        <f>IF(ISNUMBER(B164),INT(B164),0)</f>
        <v/>
      </c>
      <c r="Q164">
        <f>IF(AND(L164="",OR(J164="Growing",J164="Picking")),1,0)</f>
        <v/>
      </c>
      <c r="R164">
        <f>IF(AND(Q164=1,D164&lt;&gt;""),P164*1000+ROW(),0)</f>
        <v/>
      </c>
      <c r="S164">
        <f>IF(AND(AND(C164&lt;&gt;"",ISNUMBER(B164)),L164=""),1,0)</f>
        <v/>
      </c>
    </row>
    <row r="165">
      <c r="A165" s="1" t="n"/>
      <c r="B165" s="17" t="n"/>
      <c r="C165" s="18" t="n"/>
      <c r="D165" s="19" t="n"/>
      <c r="E165" s="19" t="n"/>
      <c r="F165" s="20" t="n"/>
      <c r="G165" s="17" t="n"/>
      <c r="H165" s="21" t="n"/>
      <c r="I165" s="22">
        <f>IF(NOT(AND(C165&lt;&gt;"",ISNUMBER(B165))),"",IF(N(IFERROR(INDEX(Crops!$F$6:$F$65,MATCH(C165,Crops!$B$6:$B$65,0)),0))&gt;0,INT(B165)+N(IFERROR(INDEX(Crops!$F$6:$F$65,MATCH(C165,Crops!$B$6:$B$65,0)),0)),""))</f>
        <v/>
      </c>
      <c r="J165" s="16">
        <f>IF(NOT(AND(C165&lt;&gt;"",ISNUMBER(B165))),"",IF(ISNUMBER(G165),"Done",IF(INT(B165)&gt;TODAY(),"Planned",IF(COUNTIFS(Harvest!$C$6:$C$1505,C165,Harvest!$D$6:$D$1505,D165&amp;"",Harvest!$L$6:$L$1505,"&gt;="&amp;INT(B165))&gt;0,"Picking","Growing"))))</f>
        <v/>
      </c>
      <c r="K165" s="14">
        <f>IF(OR(NOT(AND(C165&lt;&gt;"",ISNUMBER(B165))),J165="Planned"),"",IF(ISNUMBER(G165),INT(G165),TODAY())-INT(B165))</f>
        <v/>
      </c>
      <c r="L165" s="11">
        <f>IF(AND(B165="",C165="",D165=""),"",IF(NOT(ISNUMBER(B165)),"Needs a date",IF(C165="","Needs a crop",IF(COUNTIF(Crops!$B$6:$B$65,C165)=0,"Not on Crops",IF(AND(D165&lt;&gt;"",COUNTIF(Beds!$B$6:$B$35,D165)=0),"Not on Beds",IF(AND(ISNUMBER(G165),G165&lt;B165),"Cleared before it was planted",""))))))</f>
        <v/>
      </c>
      <c r="M165" s="11">
        <f>IF(OR(L165&lt;&gt;"",D165="",O165=""),"",IF(COUNTIFS(Plantings!$D$6:$D$505,D165,Plantings!$O$6:$O$505,O165,Plantings!$N$6:$N$505,N165-1)&gt;0,"Same family here last year",""))</f>
        <v/>
      </c>
      <c r="N165" s="1">
        <f>IF(ISNUMBER(B165),YEAR(B165),"")</f>
        <v/>
      </c>
      <c r="O165">
        <f>IF(C165="","",IFERROR(INDEX(Crops!$C$6:$C$65,MATCH(C165,Crops!$B$6:$B$65,0))&amp;"",""))</f>
        <v/>
      </c>
      <c r="P165">
        <f>IF(ISNUMBER(B165),INT(B165),0)</f>
        <v/>
      </c>
      <c r="Q165">
        <f>IF(AND(L165="",OR(J165="Growing",J165="Picking")),1,0)</f>
        <v/>
      </c>
      <c r="R165">
        <f>IF(AND(Q165=1,D165&lt;&gt;""),P165*1000+ROW(),0)</f>
        <v/>
      </c>
      <c r="S165">
        <f>IF(AND(AND(C165&lt;&gt;"",ISNUMBER(B165)),L165=""),1,0)</f>
        <v/>
      </c>
    </row>
    <row r="166">
      <c r="A166" s="1" t="n"/>
      <c r="B166" s="17" t="n"/>
      <c r="C166" s="18" t="n"/>
      <c r="D166" s="19" t="n"/>
      <c r="E166" s="19" t="n"/>
      <c r="F166" s="20" t="n"/>
      <c r="G166" s="17" t="n"/>
      <c r="H166" s="21" t="n"/>
      <c r="I166" s="22">
        <f>IF(NOT(AND(C166&lt;&gt;"",ISNUMBER(B166))),"",IF(N(IFERROR(INDEX(Crops!$F$6:$F$65,MATCH(C166,Crops!$B$6:$B$65,0)),0))&gt;0,INT(B166)+N(IFERROR(INDEX(Crops!$F$6:$F$65,MATCH(C166,Crops!$B$6:$B$65,0)),0)),""))</f>
        <v/>
      </c>
      <c r="J166" s="16">
        <f>IF(NOT(AND(C166&lt;&gt;"",ISNUMBER(B166))),"",IF(ISNUMBER(G166),"Done",IF(INT(B166)&gt;TODAY(),"Planned",IF(COUNTIFS(Harvest!$C$6:$C$1505,C166,Harvest!$D$6:$D$1505,D166&amp;"",Harvest!$L$6:$L$1505,"&gt;="&amp;INT(B166))&gt;0,"Picking","Growing"))))</f>
        <v/>
      </c>
      <c r="K166" s="14">
        <f>IF(OR(NOT(AND(C166&lt;&gt;"",ISNUMBER(B166))),J166="Planned"),"",IF(ISNUMBER(G166),INT(G166),TODAY())-INT(B166))</f>
        <v/>
      </c>
      <c r="L166" s="11">
        <f>IF(AND(B166="",C166="",D166=""),"",IF(NOT(ISNUMBER(B166)),"Needs a date",IF(C166="","Needs a crop",IF(COUNTIF(Crops!$B$6:$B$65,C166)=0,"Not on Crops",IF(AND(D166&lt;&gt;"",COUNTIF(Beds!$B$6:$B$35,D166)=0),"Not on Beds",IF(AND(ISNUMBER(G166),G166&lt;B166),"Cleared before it was planted",""))))))</f>
        <v/>
      </c>
      <c r="M166" s="11">
        <f>IF(OR(L166&lt;&gt;"",D166="",O166=""),"",IF(COUNTIFS(Plantings!$D$6:$D$505,D166,Plantings!$O$6:$O$505,O166,Plantings!$N$6:$N$505,N166-1)&gt;0,"Same family here last year",""))</f>
        <v/>
      </c>
      <c r="N166" s="1">
        <f>IF(ISNUMBER(B166),YEAR(B166),"")</f>
        <v/>
      </c>
      <c r="O166">
        <f>IF(C166="","",IFERROR(INDEX(Crops!$C$6:$C$65,MATCH(C166,Crops!$B$6:$B$65,0))&amp;"",""))</f>
        <v/>
      </c>
      <c r="P166">
        <f>IF(ISNUMBER(B166),INT(B166),0)</f>
        <v/>
      </c>
      <c r="Q166">
        <f>IF(AND(L166="",OR(J166="Growing",J166="Picking")),1,0)</f>
        <v/>
      </c>
      <c r="R166">
        <f>IF(AND(Q166=1,D166&lt;&gt;""),P166*1000+ROW(),0)</f>
        <v/>
      </c>
      <c r="S166">
        <f>IF(AND(AND(C166&lt;&gt;"",ISNUMBER(B166)),L166=""),1,0)</f>
        <v/>
      </c>
    </row>
    <row r="167">
      <c r="A167" s="1" t="n"/>
      <c r="B167" s="17" t="n"/>
      <c r="C167" s="18" t="n"/>
      <c r="D167" s="19" t="n"/>
      <c r="E167" s="19" t="n"/>
      <c r="F167" s="20" t="n"/>
      <c r="G167" s="17" t="n"/>
      <c r="H167" s="21" t="n"/>
      <c r="I167" s="22">
        <f>IF(NOT(AND(C167&lt;&gt;"",ISNUMBER(B167))),"",IF(N(IFERROR(INDEX(Crops!$F$6:$F$65,MATCH(C167,Crops!$B$6:$B$65,0)),0))&gt;0,INT(B167)+N(IFERROR(INDEX(Crops!$F$6:$F$65,MATCH(C167,Crops!$B$6:$B$65,0)),0)),""))</f>
        <v/>
      </c>
      <c r="J167" s="16">
        <f>IF(NOT(AND(C167&lt;&gt;"",ISNUMBER(B167))),"",IF(ISNUMBER(G167),"Done",IF(INT(B167)&gt;TODAY(),"Planned",IF(COUNTIFS(Harvest!$C$6:$C$1505,C167,Harvest!$D$6:$D$1505,D167&amp;"",Harvest!$L$6:$L$1505,"&gt;="&amp;INT(B167))&gt;0,"Picking","Growing"))))</f>
        <v/>
      </c>
      <c r="K167" s="14">
        <f>IF(OR(NOT(AND(C167&lt;&gt;"",ISNUMBER(B167))),J167="Planned"),"",IF(ISNUMBER(G167),INT(G167),TODAY())-INT(B167))</f>
        <v/>
      </c>
      <c r="L167" s="11">
        <f>IF(AND(B167="",C167="",D167=""),"",IF(NOT(ISNUMBER(B167)),"Needs a date",IF(C167="","Needs a crop",IF(COUNTIF(Crops!$B$6:$B$65,C167)=0,"Not on Crops",IF(AND(D167&lt;&gt;"",COUNTIF(Beds!$B$6:$B$35,D167)=0),"Not on Beds",IF(AND(ISNUMBER(G167),G167&lt;B167),"Cleared before it was planted",""))))))</f>
        <v/>
      </c>
      <c r="M167" s="11">
        <f>IF(OR(L167&lt;&gt;"",D167="",O167=""),"",IF(COUNTIFS(Plantings!$D$6:$D$505,D167,Plantings!$O$6:$O$505,O167,Plantings!$N$6:$N$505,N167-1)&gt;0,"Same family here last year",""))</f>
        <v/>
      </c>
      <c r="N167" s="1">
        <f>IF(ISNUMBER(B167),YEAR(B167),"")</f>
        <v/>
      </c>
      <c r="O167">
        <f>IF(C167="","",IFERROR(INDEX(Crops!$C$6:$C$65,MATCH(C167,Crops!$B$6:$B$65,0))&amp;"",""))</f>
        <v/>
      </c>
      <c r="P167">
        <f>IF(ISNUMBER(B167),INT(B167),0)</f>
        <v/>
      </c>
      <c r="Q167">
        <f>IF(AND(L167="",OR(J167="Growing",J167="Picking")),1,0)</f>
        <v/>
      </c>
      <c r="R167">
        <f>IF(AND(Q167=1,D167&lt;&gt;""),P167*1000+ROW(),0)</f>
        <v/>
      </c>
      <c r="S167">
        <f>IF(AND(AND(C167&lt;&gt;"",ISNUMBER(B167)),L167=""),1,0)</f>
        <v/>
      </c>
    </row>
    <row r="168">
      <c r="A168" s="1" t="n"/>
      <c r="B168" s="17" t="n"/>
      <c r="C168" s="18" t="n"/>
      <c r="D168" s="19" t="n"/>
      <c r="E168" s="19" t="n"/>
      <c r="F168" s="20" t="n"/>
      <c r="G168" s="17" t="n"/>
      <c r="H168" s="21" t="n"/>
      <c r="I168" s="22">
        <f>IF(NOT(AND(C168&lt;&gt;"",ISNUMBER(B168))),"",IF(N(IFERROR(INDEX(Crops!$F$6:$F$65,MATCH(C168,Crops!$B$6:$B$65,0)),0))&gt;0,INT(B168)+N(IFERROR(INDEX(Crops!$F$6:$F$65,MATCH(C168,Crops!$B$6:$B$65,0)),0)),""))</f>
        <v/>
      </c>
      <c r="J168" s="16">
        <f>IF(NOT(AND(C168&lt;&gt;"",ISNUMBER(B168))),"",IF(ISNUMBER(G168),"Done",IF(INT(B168)&gt;TODAY(),"Planned",IF(COUNTIFS(Harvest!$C$6:$C$1505,C168,Harvest!$D$6:$D$1505,D168&amp;"",Harvest!$L$6:$L$1505,"&gt;="&amp;INT(B168))&gt;0,"Picking","Growing"))))</f>
        <v/>
      </c>
      <c r="K168" s="14">
        <f>IF(OR(NOT(AND(C168&lt;&gt;"",ISNUMBER(B168))),J168="Planned"),"",IF(ISNUMBER(G168),INT(G168),TODAY())-INT(B168))</f>
        <v/>
      </c>
      <c r="L168" s="11">
        <f>IF(AND(B168="",C168="",D168=""),"",IF(NOT(ISNUMBER(B168)),"Needs a date",IF(C168="","Needs a crop",IF(COUNTIF(Crops!$B$6:$B$65,C168)=0,"Not on Crops",IF(AND(D168&lt;&gt;"",COUNTIF(Beds!$B$6:$B$35,D168)=0),"Not on Beds",IF(AND(ISNUMBER(G168),G168&lt;B168),"Cleared before it was planted",""))))))</f>
        <v/>
      </c>
      <c r="M168" s="11">
        <f>IF(OR(L168&lt;&gt;"",D168="",O168=""),"",IF(COUNTIFS(Plantings!$D$6:$D$505,D168,Plantings!$O$6:$O$505,O168,Plantings!$N$6:$N$505,N168-1)&gt;0,"Same family here last year",""))</f>
        <v/>
      </c>
      <c r="N168" s="1">
        <f>IF(ISNUMBER(B168),YEAR(B168),"")</f>
        <v/>
      </c>
      <c r="O168">
        <f>IF(C168="","",IFERROR(INDEX(Crops!$C$6:$C$65,MATCH(C168,Crops!$B$6:$B$65,0))&amp;"",""))</f>
        <v/>
      </c>
      <c r="P168">
        <f>IF(ISNUMBER(B168),INT(B168),0)</f>
        <v/>
      </c>
      <c r="Q168">
        <f>IF(AND(L168="",OR(J168="Growing",J168="Picking")),1,0)</f>
        <v/>
      </c>
      <c r="R168">
        <f>IF(AND(Q168=1,D168&lt;&gt;""),P168*1000+ROW(),0)</f>
        <v/>
      </c>
      <c r="S168">
        <f>IF(AND(AND(C168&lt;&gt;"",ISNUMBER(B168)),L168=""),1,0)</f>
        <v/>
      </c>
    </row>
    <row r="169">
      <c r="A169" s="1" t="n"/>
      <c r="B169" s="17" t="n"/>
      <c r="C169" s="18" t="n"/>
      <c r="D169" s="19" t="n"/>
      <c r="E169" s="19" t="n"/>
      <c r="F169" s="20" t="n"/>
      <c r="G169" s="17" t="n"/>
      <c r="H169" s="21" t="n"/>
      <c r="I169" s="22">
        <f>IF(NOT(AND(C169&lt;&gt;"",ISNUMBER(B169))),"",IF(N(IFERROR(INDEX(Crops!$F$6:$F$65,MATCH(C169,Crops!$B$6:$B$65,0)),0))&gt;0,INT(B169)+N(IFERROR(INDEX(Crops!$F$6:$F$65,MATCH(C169,Crops!$B$6:$B$65,0)),0)),""))</f>
        <v/>
      </c>
      <c r="J169" s="16">
        <f>IF(NOT(AND(C169&lt;&gt;"",ISNUMBER(B169))),"",IF(ISNUMBER(G169),"Done",IF(INT(B169)&gt;TODAY(),"Planned",IF(COUNTIFS(Harvest!$C$6:$C$1505,C169,Harvest!$D$6:$D$1505,D169&amp;"",Harvest!$L$6:$L$1505,"&gt;="&amp;INT(B169))&gt;0,"Picking","Growing"))))</f>
        <v/>
      </c>
      <c r="K169" s="14">
        <f>IF(OR(NOT(AND(C169&lt;&gt;"",ISNUMBER(B169))),J169="Planned"),"",IF(ISNUMBER(G169),INT(G169),TODAY())-INT(B169))</f>
        <v/>
      </c>
      <c r="L169" s="11">
        <f>IF(AND(B169="",C169="",D169=""),"",IF(NOT(ISNUMBER(B169)),"Needs a date",IF(C169="","Needs a crop",IF(COUNTIF(Crops!$B$6:$B$65,C169)=0,"Not on Crops",IF(AND(D169&lt;&gt;"",COUNTIF(Beds!$B$6:$B$35,D169)=0),"Not on Beds",IF(AND(ISNUMBER(G169),G169&lt;B169),"Cleared before it was planted",""))))))</f>
        <v/>
      </c>
      <c r="M169" s="11">
        <f>IF(OR(L169&lt;&gt;"",D169="",O169=""),"",IF(COUNTIFS(Plantings!$D$6:$D$505,D169,Plantings!$O$6:$O$505,O169,Plantings!$N$6:$N$505,N169-1)&gt;0,"Same family here last year",""))</f>
        <v/>
      </c>
      <c r="N169" s="1">
        <f>IF(ISNUMBER(B169),YEAR(B169),"")</f>
        <v/>
      </c>
      <c r="O169">
        <f>IF(C169="","",IFERROR(INDEX(Crops!$C$6:$C$65,MATCH(C169,Crops!$B$6:$B$65,0))&amp;"",""))</f>
        <v/>
      </c>
      <c r="P169">
        <f>IF(ISNUMBER(B169),INT(B169),0)</f>
        <v/>
      </c>
      <c r="Q169">
        <f>IF(AND(L169="",OR(J169="Growing",J169="Picking")),1,0)</f>
        <v/>
      </c>
      <c r="R169">
        <f>IF(AND(Q169=1,D169&lt;&gt;""),P169*1000+ROW(),0)</f>
        <v/>
      </c>
      <c r="S169">
        <f>IF(AND(AND(C169&lt;&gt;"",ISNUMBER(B169)),L169=""),1,0)</f>
        <v/>
      </c>
    </row>
    <row r="170">
      <c r="A170" s="1" t="n"/>
      <c r="B170" s="17" t="n"/>
      <c r="C170" s="18" t="n"/>
      <c r="D170" s="19" t="n"/>
      <c r="E170" s="19" t="n"/>
      <c r="F170" s="20" t="n"/>
      <c r="G170" s="17" t="n"/>
      <c r="H170" s="21" t="n"/>
      <c r="I170" s="22">
        <f>IF(NOT(AND(C170&lt;&gt;"",ISNUMBER(B170))),"",IF(N(IFERROR(INDEX(Crops!$F$6:$F$65,MATCH(C170,Crops!$B$6:$B$65,0)),0))&gt;0,INT(B170)+N(IFERROR(INDEX(Crops!$F$6:$F$65,MATCH(C170,Crops!$B$6:$B$65,0)),0)),""))</f>
        <v/>
      </c>
      <c r="J170" s="16">
        <f>IF(NOT(AND(C170&lt;&gt;"",ISNUMBER(B170))),"",IF(ISNUMBER(G170),"Done",IF(INT(B170)&gt;TODAY(),"Planned",IF(COUNTIFS(Harvest!$C$6:$C$1505,C170,Harvest!$D$6:$D$1505,D170&amp;"",Harvest!$L$6:$L$1505,"&gt;="&amp;INT(B170))&gt;0,"Picking","Growing"))))</f>
        <v/>
      </c>
      <c r="K170" s="14">
        <f>IF(OR(NOT(AND(C170&lt;&gt;"",ISNUMBER(B170))),J170="Planned"),"",IF(ISNUMBER(G170),INT(G170),TODAY())-INT(B170))</f>
        <v/>
      </c>
      <c r="L170" s="11">
        <f>IF(AND(B170="",C170="",D170=""),"",IF(NOT(ISNUMBER(B170)),"Needs a date",IF(C170="","Needs a crop",IF(COUNTIF(Crops!$B$6:$B$65,C170)=0,"Not on Crops",IF(AND(D170&lt;&gt;"",COUNTIF(Beds!$B$6:$B$35,D170)=0),"Not on Beds",IF(AND(ISNUMBER(G170),G170&lt;B170),"Cleared before it was planted",""))))))</f>
        <v/>
      </c>
      <c r="M170" s="11">
        <f>IF(OR(L170&lt;&gt;"",D170="",O170=""),"",IF(COUNTIFS(Plantings!$D$6:$D$505,D170,Plantings!$O$6:$O$505,O170,Plantings!$N$6:$N$505,N170-1)&gt;0,"Same family here last year",""))</f>
        <v/>
      </c>
      <c r="N170" s="1">
        <f>IF(ISNUMBER(B170),YEAR(B170),"")</f>
        <v/>
      </c>
      <c r="O170">
        <f>IF(C170="","",IFERROR(INDEX(Crops!$C$6:$C$65,MATCH(C170,Crops!$B$6:$B$65,0))&amp;"",""))</f>
        <v/>
      </c>
      <c r="P170">
        <f>IF(ISNUMBER(B170),INT(B170),0)</f>
        <v/>
      </c>
      <c r="Q170">
        <f>IF(AND(L170="",OR(J170="Growing",J170="Picking")),1,0)</f>
        <v/>
      </c>
      <c r="R170">
        <f>IF(AND(Q170=1,D170&lt;&gt;""),P170*1000+ROW(),0)</f>
        <v/>
      </c>
      <c r="S170">
        <f>IF(AND(AND(C170&lt;&gt;"",ISNUMBER(B170)),L170=""),1,0)</f>
        <v/>
      </c>
    </row>
    <row r="171">
      <c r="A171" s="1" t="n"/>
      <c r="B171" s="17" t="n"/>
      <c r="C171" s="18" t="n"/>
      <c r="D171" s="19" t="n"/>
      <c r="E171" s="19" t="n"/>
      <c r="F171" s="20" t="n"/>
      <c r="G171" s="17" t="n"/>
      <c r="H171" s="21" t="n"/>
      <c r="I171" s="22">
        <f>IF(NOT(AND(C171&lt;&gt;"",ISNUMBER(B171))),"",IF(N(IFERROR(INDEX(Crops!$F$6:$F$65,MATCH(C171,Crops!$B$6:$B$65,0)),0))&gt;0,INT(B171)+N(IFERROR(INDEX(Crops!$F$6:$F$65,MATCH(C171,Crops!$B$6:$B$65,0)),0)),""))</f>
        <v/>
      </c>
      <c r="J171" s="16">
        <f>IF(NOT(AND(C171&lt;&gt;"",ISNUMBER(B171))),"",IF(ISNUMBER(G171),"Done",IF(INT(B171)&gt;TODAY(),"Planned",IF(COUNTIFS(Harvest!$C$6:$C$1505,C171,Harvest!$D$6:$D$1505,D171&amp;"",Harvest!$L$6:$L$1505,"&gt;="&amp;INT(B171))&gt;0,"Picking","Growing"))))</f>
        <v/>
      </c>
      <c r="K171" s="14">
        <f>IF(OR(NOT(AND(C171&lt;&gt;"",ISNUMBER(B171))),J171="Planned"),"",IF(ISNUMBER(G171),INT(G171),TODAY())-INT(B171))</f>
        <v/>
      </c>
      <c r="L171" s="11">
        <f>IF(AND(B171="",C171="",D171=""),"",IF(NOT(ISNUMBER(B171)),"Needs a date",IF(C171="","Needs a crop",IF(COUNTIF(Crops!$B$6:$B$65,C171)=0,"Not on Crops",IF(AND(D171&lt;&gt;"",COUNTIF(Beds!$B$6:$B$35,D171)=0),"Not on Beds",IF(AND(ISNUMBER(G171),G171&lt;B171),"Cleared before it was planted",""))))))</f>
        <v/>
      </c>
      <c r="M171" s="11">
        <f>IF(OR(L171&lt;&gt;"",D171="",O171=""),"",IF(COUNTIFS(Plantings!$D$6:$D$505,D171,Plantings!$O$6:$O$505,O171,Plantings!$N$6:$N$505,N171-1)&gt;0,"Same family here last year",""))</f>
        <v/>
      </c>
      <c r="N171" s="1">
        <f>IF(ISNUMBER(B171),YEAR(B171),"")</f>
        <v/>
      </c>
      <c r="O171">
        <f>IF(C171="","",IFERROR(INDEX(Crops!$C$6:$C$65,MATCH(C171,Crops!$B$6:$B$65,0))&amp;"",""))</f>
        <v/>
      </c>
      <c r="P171">
        <f>IF(ISNUMBER(B171),INT(B171),0)</f>
        <v/>
      </c>
      <c r="Q171">
        <f>IF(AND(L171="",OR(J171="Growing",J171="Picking")),1,0)</f>
        <v/>
      </c>
      <c r="R171">
        <f>IF(AND(Q171=1,D171&lt;&gt;""),P171*1000+ROW(),0)</f>
        <v/>
      </c>
      <c r="S171">
        <f>IF(AND(AND(C171&lt;&gt;"",ISNUMBER(B171)),L171=""),1,0)</f>
        <v/>
      </c>
    </row>
    <row r="172">
      <c r="A172" s="1" t="n"/>
      <c r="B172" s="17" t="n"/>
      <c r="C172" s="18" t="n"/>
      <c r="D172" s="19" t="n"/>
      <c r="E172" s="19" t="n"/>
      <c r="F172" s="20" t="n"/>
      <c r="G172" s="17" t="n"/>
      <c r="H172" s="21" t="n"/>
      <c r="I172" s="22">
        <f>IF(NOT(AND(C172&lt;&gt;"",ISNUMBER(B172))),"",IF(N(IFERROR(INDEX(Crops!$F$6:$F$65,MATCH(C172,Crops!$B$6:$B$65,0)),0))&gt;0,INT(B172)+N(IFERROR(INDEX(Crops!$F$6:$F$65,MATCH(C172,Crops!$B$6:$B$65,0)),0)),""))</f>
        <v/>
      </c>
      <c r="J172" s="16">
        <f>IF(NOT(AND(C172&lt;&gt;"",ISNUMBER(B172))),"",IF(ISNUMBER(G172),"Done",IF(INT(B172)&gt;TODAY(),"Planned",IF(COUNTIFS(Harvest!$C$6:$C$1505,C172,Harvest!$D$6:$D$1505,D172&amp;"",Harvest!$L$6:$L$1505,"&gt;="&amp;INT(B172))&gt;0,"Picking","Growing"))))</f>
        <v/>
      </c>
      <c r="K172" s="14">
        <f>IF(OR(NOT(AND(C172&lt;&gt;"",ISNUMBER(B172))),J172="Planned"),"",IF(ISNUMBER(G172),INT(G172),TODAY())-INT(B172))</f>
        <v/>
      </c>
      <c r="L172" s="11">
        <f>IF(AND(B172="",C172="",D172=""),"",IF(NOT(ISNUMBER(B172)),"Needs a date",IF(C172="","Needs a crop",IF(COUNTIF(Crops!$B$6:$B$65,C172)=0,"Not on Crops",IF(AND(D172&lt;&gt;"",COUNTIF(Beds!$B$6:$B$35,D172)=0),"Not on Beds",IF(AND(ISNUMBER(G172),G172&lt;B172),"Cleared before it was planted",""))))))</f>
        <v/>
      </c>
      <c r="M172" s="11">
        <f>IF(OR(L172&lt;&gt;"",D172="",O172=""),"",IF(COUNTIFS(Plantings!$D$6:$D$505,D172,Plantings!$O$6:$O$505,O172,Plantings!$N$6:$N$505,N172-1)&gt;0,"Same family here last year",""))</f>
        <v/>
      </c>
      <c r="N172" s="1">
        <f>IF(ISNUMBER(B172),YEAR(B172),"")</f>
        <v/>
      </c>
      <c r="O172">
        <f>IF(C172="","",IFERROR(INDEX(Crops!$C$6:$C$65,MATCH(C172,Crops!$B$6:$B$65,0))&amp;"",""))</f>
        <v/>
      </c>
      <c r="P172">
        <f>IF(ISNUMBER(B172),INT(B172),0)</f>
        <v/>
      </c>
      <c r="Q172">
        <f>IF(AND(L172="",OR(J172="Growing",J172="Picking")),1,0)</f>
        <v/>
      </c>
      <c r="R172">
        <f>IF(AND(Q172=1,D172&lt;&gt;""),P172*1000+ROW(),0)</f>
        <v/>
      </c>
      <c r="S172">
        <f>IF(AND(AND(C172&lt;&gt;"",ISNUMBER(B172)),L172=""),1,0)</f>
        <v/>
      </c>
    </row>
    <row r="173">
      <c r="A173" s="1" t="n"/>
      <c r="B173" s="17" t="n"/>
      <c r="C173" s="18" t="n"/>
      <c r="D173" s="19" t="n"/>
      <c r="E173" s="19" t="n"/>
      <c r="F173" s="20" t="n"/>
      <c r="G173" s="17" t="n"/>
      <c r="H173" s="21" t="n"/>
      <c r="I173" s="22">
        <f>IF(NOT(AND(C173&lt;&gt;"",ISNUMBER(B173))),"",IF(N(IFERROR(INDEX(Crops!$F$6:$F$65,MATCH(C173,Crops!$B$6:$B$65,0)),0))&gt;0,INT(B173)+N(IFERROR(INDEX(Crops!$F$6:$F$65,MATCH(C173,Crops!$B$6:$B$65,0)),0)),""))</f>
        <v/>
      </c>
      <c r="J173" s="16">
        <f>IF(NOT(AND(C173&lt;&gt;"",ISNUMBER(B173))),"",IF(ISNUMBER(G173),"Done",IF(INT(B173)&gt;TODAY(),"Planned",IF(COUNTIFS(Harvest!$C$6:$C$1505,C173,Harvest!$D$6:$D$1505,D173&amp;"",Harvest!$L$6:$L$1505,"&gt;="&amp;INT(B173))&gt;0,"Picking","Growing"))))</f>
        <v/>
      </c>
      <c r="K173" s="14">
        <f>IF(OR(NOT(AND(C173&lt;&gt;"",ISNUMBER(B173))),J173="Planned"),"",IF(ISNUMBER(G173),INT(G173),TODAY())-INT(B173))</f>
        <v/>
      </c>
      <c r="L173" s="11">
        <f>IF(AND(B173="",C173="",D173=""),"",IF(NOT(ISNUMBER(B173)),"Needs a date",IF(C173="","Needs a crop",IF(COUNTIF(Crops!$B$6:$B$65,C173)=0,"Not on Crops",IF(AND(D173&lt;&gt;"",COUNTIF(Beds!$B$6:$B$35,D173)=0),"Not on Beds",IF(AND(ISNUMBER(G173),G173&lt;B173),"Cleared before it was planted",""))))))</f>
        <v/>
      </c>
      <c r="M173" s="11">
        <f>IF(OR(L173&lt;&gt;"",D173="",O173=""),"",IF(COUNTIFS(Plantings!$D$6:$D$505,D173,Plantings!$O$6:$O$505,O173,Plantings!$N$6:$N$505,N173-1)&gt;0,"Same family here last year",""))</f>
        <v/>
      </c>
      <c r="N173" s="1">
        <f>IF(ISNUMBER(B173),YEAR(B173),"")</f>
        <v/>
      </c>
      <c r="O173">
        <f>IF(C173="","",IFERROR(INDEX(Crops!$C$6:$C$65,MATCH(C173,Crops!$B$6:$B$65,0))&amp;"",""))</f>
        <v/>
      </c>
      <c r="P173">
        <f>IF(ISNUMBER(B173),INT(B173),0)</f>
        <v/>
      </c>
      <c r="Q173">
        <f>IF(AND(L173="",OR(J173="Growing",J173="Picking")),1,0)</f>
        <v/>
      </c>
      <c r="R173">
        <f>IF(AND(Q173=1,D173&lt;&gt;""),P173*1000+ROW(),0)</f>
        <v/>
      </c>
      <c r="S173">
        <f>IF(AND(AND(C173&lt;&gt;"",ISNUMBER(B173)),L173=""),1,0)</f>
        <v/>
      </c>
    </row>
    <row r="174">
      <c r="A174" s="1" t="n"/>
      <c r="B174" s="17" t="n"/>
      <c r="C174" s="18" t="n"/>
      <c r="D174" s="19" t="n"/>
      <c r="E174" s="19" t="n"/>
      <c r="F174" s="20" t="n"/>
      <c r="G174" s="17" t="n"/>
      <c r="H174" s="21" t="n"/>
      <c r="I174" s="22">
        <f>IF(NOT(AND(C174&lt;&gt;"",ISNUMBER(B174))),"",IF(N(IFERROR(INDEX(Crops!$F$6:$F$65,MATCH(C174,Crops!$B$6:$B$65,0)),0))&gt;0,INT(B174)+N(IFERROR(INDEX(Crops!$F$6:$F$65,MATCH(C174,Crops!$B$6:$B$65,0)),0)),""))</f>
        <v/>
      </c>
      <c r="J174" s="16">
        <f>IF(NOT(AND(C174&lt;&gt;"",ISNUMBER(B174))),"",IF(ISNUMBER(G174),"Done",IF(INT(B174)&gt;TODAY(),"Planned",IF(COUNTIFS(Harvest!$C$6:$C$1505,C174,Harvest!$D$6:$D$1505,D174&amp;"",Harvest!$L$6:$L$1505,"&gt;="&amp;INT(B174))&gt;0,"Picking","Growing"))))</f>
        <v/>
      </c>
      <c r="K174" s="14">
        <f>IF(OR(NOT(AND(C174&lt;&gt;"",ISNUMBER(B174))),J174="Planned"),"",IF(ISNUMBER(G174),INT(G174),TODAY())-INT(B174))</f>
        <v/>
      </c>
      <c r="L174" s="11">
        <f>IF(AND(B174="",C174="",D174=""),"",IF(NOT(ISNUMBER(B174)),"Needs a date",IF(C174="","Needs a crop",IF(COUNTIF(Crops!$B$6:$B$65,C174)=0,"Not on Crops",IF(AND(D174&lt;&gt;"",COUNTIF(Beds!$B$6:$B$35,D174)=0),"Not on Beds",IF(AND(ISNUMBER(G174),G174&lt;B174),"Cleared before it was planted",""))))))</f>
        <v/>
      </c>
      <c r="M174" s="11">
        <f>IF(OR(L174&lt;&gt;"",D174="",O174=""),"",IF(COUNTIFS(Plantings!$D$6:$D$505,D174,Plantings!$O$6:$O$505,O174,Plantings!$N$6:$N$505,N174-1)&gt;0,"Same family here last year",""))</f>
        <v/>
      </c>
      <c r="N174" s="1">
        <f>IF(ISNUMBER(B174),YEAR(B174),"")</f>
        <v/>
      </c>
      <c r="O174">
        <f>IF(C174="","",IFERROR(INDEX(Crops!$C$6:$C$65,MATCH(C174,Crops!$B$6:$B$65,0))&amp;"",""))</f>
        <v/>
      </c>
      <c r="P174">
        <f>IF(ISNUMBER(B174),INT(B174),0)</f>
        <v/>
      </c>
      <c r="Q174">
        <f>IF(AND(L174="",OR(J174="Growing",J174="Picking")),1,0)</f>
        <v/>
      </c>
      <c r="R174">
        <f>IF(AND(Q174=1,D174&lt;&gt;""),P174*1000+ROW(),0)</f>
        <v/>
      </c>
      <c r="S174">
        <f>IF(AND(AND(C174&lt;&gt;"",ISNUMBER(B174)),L174=""),1,0)</f>
        <v/>
      </c>
    </row>
    <row r="175">
      <c r="A175" s="1" t="n"/>
      <c r="B175" s="17" t="n"/>
      <c r="C175" s="18" t="n"/>
      <c r="D175" s="19" t="n"/>
      <c r="E175" s="19" t="n"/>
      <c r="F175" s="20" t="n"/>
      <c r="G175" s="17" t="n"/>
      <c r="H175" s="21" t="n"/>
      <c r="I175" s="22">
        <f>IF(NOT(AND(C175&lt;&gt;"",ISNUMBER(B175))),"",IF(N(IFERROR(INDEX(Crops!$F$6:$F$65,MATCH(C175,Crops!$B$6:$B$65,0)),0))&gt;0,INT(B175)+N(IFERROR(INDEX(Crops!$F$6:$F$65,MATCH(C175,Crops!$B$6:$B$65,0)),0)),""))</f>
        <v/>
      </c>
      <c r="J175" s="16">
        <f>IF(NOT(AND(C175&lt;&gt;"",ISNUMBER(B175))),"",IF(ISNUMBER(G175),"Done",IF(INT(B175)&gt;TODAY(),"Planned",IF(COUNTIFS(Harvest!$C$6:$C$1505,C175,Harvest!$D$6:$D$1505,D175&amp;"",Harvest!$L$6:$L$1505,"&gt;="&amp;INT(B175))&gt;0,"Picking","Growing"))))</f>
        <v/>
      </c>
      <c r="K175" s="14">
        <f>IF(OR(NOT(AND(C175&lt;&gt;"",ISNUMBER(B175))),J175="Planned"),"",IF(ISNUMBER(G175),INT(G175),TODAY())-INT(B175))</f>
        <v/>
      </c>
      <c r="L175" s="11">
        <f>IF(AND(B175="",C175="",D175=""),"",IF(NOT(ISNUMBER(B175)),"Needs a date",IF(C175="","Needs a crop",IF(COUNTIF(Crops!$B$6:$B$65,C175)=0,"Not on Crops",IF(AND(D175&lt;&gt;"",COUNTIF(Beds!$B$6:$B$35,D175)=0),"Not on Beds",IF(AND(ISNUMBER(G175),G175&lt;B175),"Cleared before it was planted",""))))))</f>
        <v/>
      </c>
      <c r="M175" s="11">
        <f>IF(OR(L175&lt;&gt;"",D175="",O175=""),"",IF(COUNTIFS(Plantings!$D$6:$D$505,D175,Plantings!$O$6:$O$505,O175,Plantings!$N$6:$N$505,N175-1)&gt;0,"Same family here last year",""))</f>
        <v/>
      </c>
      <c r="N175" s="1">
        <f>IF(ISNUMBER(B175),YEAR(B175),"")</f>
        <v/>
      </c>
      <c r="O175">
        <f>IF(C175="","",IFERROR(INDEX(Crops!$C$6:$C$65,MATCH(C175,Crops!$B$6:$B$65,0))&amp;"",""))</f>
        <v/>
      </c>
      <c r="P175">
        <f>IF(ISNUMBER(B175),INT(B175),0)</f>
        <v/>
      </c>
      <c r="Q175">
        <f>IF(AND(L175="",OR(J175="Growing",J175="Picking")),1,0)</f>
        <v/>
      </c>
      <c r="R175">
        <f>IF(AND(Q175=1,D175&lt;&gt;""),P175*1000+ROW(),0)</f>
        <v/>
      </c>
      <c r="S175">
        <f>IF(AND(AND(C175&lt;&gt;"",ISNUMBER(B175)),L175=""),1,0)</f>
        <v/>
      </c>
    </row>
    <row r="176">
      <c r="A176" s="1" t="n"/>
      <c r="B176" s="17" t="n"/>
      <c r="C176" s="18" t="n"/>
      <c r="D176" s="19" t="n"/>
      <c r="E176" s="19" t="n"/>
      <c r="F176" s="20" t="n"/>
      <c r="G176" s="17" t="n"/>
      <c r="H176" s="21" t="n"/>
      <c r="I176" s="22">
        <f>IF(NOT(AND(C176&lt;&gt;"",ISNUMBER(B176))),"",IF(N(IFERROR(INDEX(Crops!$F$6:$F$65,MATCH(C176,Crops!$B$6:$B$65,0)),0))&gt;0,INT(B176)+N(IFERROR(INDEX(Crops!$F$6:$F$65,MATCH(C176,Crops!$B$6:$B$65,0)),0)),""))</f>
        <v/>
      </c>
      <c r="J176" s="16">
        <f>IF(NOT(AND(C176&lt;&gt;"",ISNUMBER(B176))),"",IF(ISNUMBER(G176),"Done",IF(INT(B176)&gt;TODAY(),"Planned",IF(COUNTIFS(Harvest!$C$6:$C$1505,C176,Harvest!$D$6:$D$1505,D176&amp;"",Harvest!$L$6:$L$1505,"&gt;="&amp;INT(B176))&gt;0,"Picking","Growing"))))</f>
        <v/>
      </c>
      <c r="K176" s="14">
        <f>IF(OR(NOT(AND(C176&lt;&gt;"",ISNUMBER(B176))),J176="Planned"),"",IF(ISNUMBER(G176),INT(G176),TODAY())-INT(B176))</f>
        <v/>
      </c>
      <c r="L176" s="11">
        <f>IF(AND(B176="",C176="",D176=""),"",IF(NOT(ISNUMBER(B176)),"Needs a date",IF(C176="","Needs a crop",IF(COUNTIF(Crops!$B$6:$B$65,C176)=0,"Not on Crops",IF(AND(D176&lt;&gt;"",COUNTIF(Beds!$B$6:$B$35,D176)=0),"Not on Beds",IF(AND(ISNUMBER(G176),G176&lt;B176),"Cleared before it was planted",""))))))</f>
        <v/>
      </c>
      <c r="M176" s="11">
        <f>IF(OR(L176&lt;&gt;"",D176="",O176=""),"",IF(COUNTIFS(Plantings!$D$6:$D$505,D176,Plantings!$O$6:$O$505,O176,Plantings!$N$6:$N$505,N176-1)&gt;0,"Same family here last year",""))</f>
        <v/>
      </c>
      <c r="N176" s="1">
        <f>IF(ISNUMBER(B176),YEAR(B176),"")</f>
        <v/>
      </c>
      <c r="O176">
        <f>IF(C176="","",IFERROR(INDEX(Crops!$C$6:$C$65,MATCH(C176,Crops!$B$6:$B$65,0))&amp;"",""))</f>
        <v/>
      </c>
      <c r="P176">
        <f>IF(ISNUMBER(B176),INT(B176),0)</f>
        <v/>
      </c>
      <c r="Q176">
        <f>IF(AND(L176="",OR(J176="Growing",J176="Picking")),1,0)</f>
        <v/>
      </c>
      <c r="R176">
        <f>IF(AND(Q176=1,D176&lt;&gt;""),P176*1000+ROW(),0)</f>
        <v/>
      </c>
      <c r="S176">
        <f>IF(AND(AND(C176&lt;&gt;"",ISNUMBER(B176)),L176=""),1,0)</f>
        <v/>
      </c>
    </row>
    <row r="177">
      <c r="A177" s="1" t="n"/>
      <c r="B177" s="17" t="n"/>
      <c r="C177" s="18" t="n"/>
      <c r="D177" s="19" t="n"/>
      <c r="E177" s="19" t="n"/>
      <c r="F177" s="20" t="n"/>
      <c r="G177" s="17" t="n"/>
      <c r="H177" s="21" t="n"/>
      <c r="I177" s="22">
        <f>IF(NOT(AND(C177&lt;&gt;"",ISNUMBER(B177))),"",IF(N(IFERROR(INDEX(Crops!$F$6:$F$65,MATCH(C177,Crops!$B$6:$B$65,0)),0))&gt;0,INT(B177)+N(IFERROR(INDEX(Crops!$F$6:$F$65,MATCH(C177,Crops!$B$6:$B$65,0)),0)),""))</f>
        <v/>
      </c>
      <c r="J177" s="16">
        <f>IF(NOT(AND(C177&lt;&gt;"",ISNUMBER(B177))),"",IF(ISNUMBER(G177),"Done",IF(INT(B177)&gt;TODAY(),"Planned",IF(COUNTIFS(Harvest!$C$6:$C$1505,C177,Harvest!$D$6:$D$1505,D177&amp;"",Harvest!$L$6:$L$1505,"&gt;="&amp;INT(B177))&gt;0,"Picking","Growing"))))</f>
        <v/>
      </c>
      <c r="K177" s="14">
        <f>IF(OR(NOT(AND(C177&lt;&gt;"",ISNUMBER(B177))),J177="Planned"),"",IF(ISNUMBER(G177),INT(G177),TODAY())-INT(B177))</f>
        <v/>
      </c>
      <c r="L177" s="11">
        <f>IF(AND(B177="",C177="",D177=""),"",IF(NOT(ISNUMBER(B177)),"Needs a date",IF(C177="","Needs a crop",IF(COUNTIF(Crops!$B$6:$B$65,C177)=0,"Not on Crops",IF(AND(D177&lt;&gt;"",COUNTIF(Beds!$B$6:$B$35,D177)=0),"Not on Beds",IF(AND(ISNUMBER(G177),G177&lt;B177),"Cleared before it was planted",""))))))</f>
        <v/>
      </c>
      <c r="M177" s="11">
        <f>IF(OR(L177&lt;&gt;"",D177="",O177=""),"",IF(COUNTIFS(Plantings!$D$6:$D$505,D177,Plantings!$O$6:$O$505,O177,Plantings!$N$6:$N$505,N177-1)&gt;0,"Same family here last year",""))</f>
        <v/>
      </c>
      <c r="N177" s="1">
        <f>IF(ISNUMBER(B177),YEAR(B177),"")</f>
        <v/>
      </c>
      <c r="O177">
        <f>IF(C177="","",IFERROR(INDEX(Crops!$C$6:$C$65,MATCH(C177,Crops!$B$6:$B$65,0))&amp;"",""))</f>
        <v/>
      </c>
      <c r="P177">
        <f>IF(ISNUMBER(B177),INT(B177),0)</f>
        <v/>
      </c>
      <c r="Q177">
        <f>IF(AND(L177="",OR(J177="Growing",J177="Picking")),1,0)</f>
        <v/>
      </c>
      <c r="R177">
        <f>IF(AND(Q177=1,D177&lt;&gt;""),P177*1000+ROW(),0)</f>
        <v/>
      </c>
      <c r="S177">
        <f>IF(AND(AND(C177&lt;&gt;"",ISNUMBER(B177)),L177=""),1,0)</f>
        <v/>
      </c>
    </row>
    <row r="178">
      <c r="A178" s="1" t="n"/>
      <c r="B178" s="17" t="n"/>
      <c r="C178" s="18" t="n"/>
      <c r="D178" s="19" t="n"/>
      <c r="E178" s="19" t="n"/>
      <c r="F178" s="20" t="n"/>
      <c r="G178" s="17" t="n"/>
      <c r="H178" s="21" t="n"/>
      <c r="I178" s="22">
        <f>IF(NOT(AND(C178&lt;&gt;"",ISNUMBER(B178))),"",IF(N(IFERROR(INDEX(Crops!$F$6:$F$65,MATCH(C178,Crops!$B$6:$B$65,0)),0))&gt;0,INT(B178)+N(IFERROR(INDEX(Crops!$F$6:$F$65,MATCH(C178,Crops!$B$6:$B$65,0)),0)),""))</f>
        <v/>
      </c>
      <c r="J178" s="16">
        <f>IF(NOT(AND(C178&lt;&gt;"",ISNUMBER(B178))),"",IF(ISNUMBER(G178),"Done",IF(INT(B178)&gt;TODAY(),"Planned",IF(COUNTIFS(Harvest!$C$6:$C$1505,C178,Harvest!$D$6:$D$1505,D178&amp;"",Harvest!$L$6:$L$1505,"&gt;="&amp;INT(B178))&gt;0,"Picking","Growing"))))</f>
        <v/>
      </c>
      <c r="K178" s="14">
        <f>IF(OR(NOT(AND(C178&lt;&gt;"",ISNUMBER(B178))),J178="Planned"),"",IF(ISNUMBER(G178),INT(G178),TODAY())-INT(B178))</f>
        <v/>
      </c>
      <c r="L178" s="11">
        <f>IF(AND(B178="",C178="",D178=""),"",IF(NOT(ISNUMBER(B178)),"Needs a date",IF(C178="","Needs a crop",IF(COUNTIF(Crops!$B$6:$B$65,C178)=0,"Not on Crops",IF(AND(D178&lt;&gt;"",COUNTIF(Beds!$B$6:$B$35,D178)=0),"Not on Beds",IF(AND(ISNUMBER(G178),G178&lt;B178),"Cleared before it was planted",""))))))</f>
        <v/>
      </c>
      <c r="M178" s="11">
        <f>IF(OR(L178&lt;&gt;"",D178="",O178=""),"",IF(COUNTIFS(Plantings!$D$6:$D$505,D178,Plantings!$O$6:$O$505,O178,Plantings!$N$6:$N$505,N178-1)&gt;0,"Same family here last year",""))</f>
        <v/>
      </c>
      <c r="N178" s="1">
        <f>IF(ISNUMBER(B178),YEAR(B178),"")</f>
        <v/>
      </c>
      <c r="O178">
        <f>IF(C178="","",IFERROR(INDEX(Crops!$C$6:$C$65,MATCH(C178,Crops!$B$6:$B$65,0))&amp;"",""))</f>
        <v/>
      </c>
      <c r="P178">
        <f>IF(ISNUMBER(B178),INT(B178),0)</f>
        <v/>
      </c>
      <c r="Q178">
        <f>IF(AND(L178="",OR(J178="Growing",J178="Picking")),1,0)</f>
        <v/>
      </c>
      <c r="R178">
        <f>IF(AND(Q178=1,D178&lt;&gt;""),P178*1000+ROW(),0)</f>
        <v/>
      </c>
      <c r="S178">
        <f>IF(AND(AND(C178&lt;&gt;"",ISNUMBER(B178)),L178=""),1,0)</f>
        <v/>
      </c>
    </row>
    <row r="179">
      <c r="A179" s="1" t="n"/>
      <c r="B179" s="17" t="n"/>
      <c r="C179" s="18" t="n"/>
      <c r="D179" s="19" t="n"/>
      <c r="E179" s="19" t="n"/>
      <c r="F179" s="20" t="n"/>
      <c r="G179" s="17" t="n"/>
      <c r="H179" s="21" t="n"/>
      <c r="I179" s="22">
        <f>IF(NOT(AND(C179&lt;&gt;"",ISNUMBER(B179))),"",IF(N(IFERROR(INDEX(Crops!$F$6:$F$65,MATCH(C179,Crops!$B$6:$B$65,0)),0))&gt;0,INT(B179)+N(IFERROR(INDEX(Crops!$F$6:$F$65,MATCH(C179,Crops!$B$6:$B$65,0)),0)),""))</f>
        <v/>
      </c>
      <c r="J179" s="16">
        <f>IF(NOT(AND(C179&lt;&gt;"",ISNUMBER(B179))),"",IF(ISNUMBER(G179),"Done",IF(INT(B179)&gt;TODAY(),"Planned",IF(COUNTIFS(Harvest!$C$6:$C$1505,C179,Harvest!$D$6:$D$1505,D179&amp;"",Harvest!$L$6:$L$1505,"&gt;="&amp;INT(B179))&gt;0,"Picking","Growing"))))</f>
        <v/>
      </c>
      <c r="K179" s="14">
        <f>IF(OR(NOT(AND(C179&lt;&gt;"",ISNUMBER(B179))),J179="Planned"),"",IF(ISNUMBER(G179),INT(G179),TODAY())-INT(B179))</f>
        <v/>
      </c>
      <c r="L179" s="11">
        <f>IF(AND(B179="",C179="",D179=""),"",IF(NOT(ISNUMBER(B179)),"Needs a date",IF(C179="","Needs a crop",IF(COUNTIF(Crops!$B$6:$B$65,C179)=0,"Not on Crops",IF(AND(D179&lt;&gt;"",COUNTIF(Beds!$B$6:$B$35,D179)=0),"Not on Beds",IF(AND(ISNUMBER(G179),G179&lt;B179),"Cleared before it was planted",""))))))</f>
        <v/>
      </c>
      <c r="M179" s="11">
        <f>IF(OR(L179&lt;&gt;"",D179="",O179=""),"",IF(COUNTIFS(Plantings!$D$6:$D$505,D179,Plantings!$O$6:$O$505,O179,Plantings!$N$6:$N$505,N179-1)&gt;0,"Same family here last year",""))</f>
        <v/>
      </c>
      <c r="N179" s="1">
        <f>IF(ISNUMBER(B179),YEAR(B179),"")</f>
        <v/>
      </c>
      <c r="O179">
        <f>IF(C179="","",IFERROR(INDEX(Crops!$C$6:$C$65,MATCH(C179,Crops!$B$6:$B$65,0))&amp;"",""))</f>
        <v/>
      </c>
      <c r="P179">
        <f>IF(ISNUMBER(B179),INT(B179),0)</f>
        <v/>
      </c>
      <c r="Q179">
        <f>IF(AND(L179="",OR(J179="Growing",J179="Picking")),1,0)</f>
        <v/>
      </c>
      <c r="R179">
        <f>IF(AND(Q179=1,D179&lt;&gt;""),P179*1000+ROW(),0)</f>
        <v/>
      </c>
      <c r="S179">
        <f>IF(AND(AND(C179&lt;&gt;"",ISNUMBER(B179)),L179=""),1,0)</f>
        <v/>
      </c>
    </row>
    <row r="180">
      <c r="A180" s="1" t="n"/>
      <c r="B180" s="17" t="n"/>
      <c r="C180" s="18" t="n"/>
      <c r="D180" s="19" t="n"/>
      <c r="E180" s="19" t="n"/>
      <c r="F180" s="20" t="n"/>
      <c r="G180" s="17" t="n"/>
      <c r="H180" s="21" t="n"/>
      <c r="I180" s="22">
        <f>IF(NOT(AND(C180&lt;&gt;"",ISNUMBER(B180))),"",IF(N(IFERROR(INDEX(Crops!$F$6:$F$65,MATCH(C180,Crops!$B$6:$B$65,0)),0))&gt;0,INT(B180)+N(IFERROR(INDEX(Crops!$F$6:$F$65,MATCH(C180,Crops!$B$6:$B$65,0)),0)),""))</f>
        <v/>
      </c>
      <c r="J180" s="16">
        <f>IF(NOT(AND(C180&lt;&gt;"",ISNUMBER(B180))),"",IF(ISNUMBER(G180),"Done",IF(INT(B180)&gt;TODAY(),"Planned",IF(COUNTIFS(Harvest!$C$6:$C$1505,C180,Harvest!$D$6:$D$1505,D180&amp;"",Harvest!$L$6:$L$1505,"&gt;="&amp;INT(B180))&gt;0,"Picking","Growing"))))</f>
        <v/>
      </c>
      <c r="K180" s="14">
        <f>IF(OR(NOT(AND(C180&lt;&gt;"",ISNUMBER(B180))),J180="Planned"),"",IF(ISNUMBER(G180),INT(G180),TODAY())-INT(B180))</f>
        <v/>
      </c>
      <c r="L180" s="11">
        <f>IF(AND(B180="",C180="",D180=""),"",IF(NOT(ISNUMBER(B180)),"Needs a date",IF(C180="","Needs a crop",IF(COUNTIF(Crops!$B$6:$B$65,C180)=0,"Not on Crops",IF(AND(D180&lt;&gt;"",COUNTIF(Beds!$B$6:$B$35,D180)=0),"Not on Beds",IF(AND(ISNUMBER(G180),G180&lt;B180),"Cleared before it was planted",""))))))</f>
        <v/>
      </c>
      <c r="M180" s="11">
        <f>IF(OR(L180&lt;&gt;"",D180="",O180=""),"",IF(COUNTIFS(Plantings!$D$6:$D$505,D180,Plantings!$O$6:$O$505,O180,Plantings!$N$6:$N$505,N180-1)&gt;0,"Same family here last year",""))</f>
        <v/>
      </c>
      <c r="N180" s="1">
        <f>IF(ISNUMBER(B180),YEAR(B180),"")</f>
        <v/>
      </c>
      <c r="O180">
        <f>IF(C180="","",IFERROR(INDEX(Crops!$C$6:$C$65,MATCH(C180,Crops!$B$6:$B$65,0))&amp;"",""))</f>
        <v/>
      </c>
      <c r="P180">
        <f>IF(ISNUMBER(B180),INT(B180),0)</f>
        <v/>
      </c>
      <c r="Q180">
        <f>IF(AND(L180="",OR(J180="Growing",J180="Picking")),1,0)</f>
        <v/>
      </c>
      <c r="R180">
        <f>IF(AND(Q180=1,D180&lt;&gt;""),P180*1000+ROW(),0)</f>
        <v/>
      </c>
      <c r="S180">
        <f>IF(AND(AND(C180&lt;&gt;"",ISNUMBER(B180)),L180=""),1,0)</f>
        <v/>
      </c>
    </row>
    <row r="181">
      <c r="A181" s="1" t="n"/>
      <c r="B181" s="17" t="n"/>
      <c r="C181" s="18" t="n"/>
      <c r="D181" s="19" t="n"/>
      <c r="E181" s="19" t="n"/>
      <c r="F181" s="20" t="n"/>
      <c r="G181" s="17" t="n"/>
      <c r="H181" s="21" t="n"/>
      <c r="I181" s="22">
        <f>IF(NOT(AND(C181&lt;&gt;"",ISNUMBER(B181))),"",IF(N(IFERROR(INDEX(Crops!$F$6:$F$65,MATCH(C181,Crops!$B$6:$B$65,0)),0))&gt;0,INT(B181)+N(IFERROR(INDEX(Crops!$F$6:$F$65,MATCH(C181,Crops!$B$6:$B$65,0)),0)),""))</f>
        <v/>
      </c>
      <c r="J181" s="16">
        <f>IF(NOT(AND(C181&lt;&gt;"",ISNUMBER(B181))),"",IF(ISNUMBER(G181),"Done",IF(INT(B181)&gt;TODAY(),"Planned",IF(COUNTIFS(Harvest!$C$6:$C$1505,C181,Harvest!$D$6:$D$1505,D181&amp;"",Harvest!$L$6:$L$1505,"&gt;="&amp;INT(B181))&gt;0,"Picking","Growing"))))</f>
        <v/>
      </c>
      <c r="K181" s="14">
        <f>IF(OR(NOT(AND(C181&lt;&gt;"",ISNUMBER(B181))),J181="Planned"),"",IF(ISNUMBER(G181),INT(G181),TODAY())-INT(B181))</f>
        <v/>
      </c>
      <c r="L181" s="11">
        <f>IF(AND(B181="",C181="",D181=""),"",IF(NOT(ISNUMBER(B181)),"Needs a date",IF(C181="","Needs a crop",IF(COUNTIF(Crops!$B$6:$B$65,C181)=0,"Not on Crops",IF(AND(D181&lt;&gt;"",COUNTIF(Beds!$B$6:$B$35,D181)=0),"Not on Beds",IF(AND(ISNUMBER(G181),G181&lt;B181),"Cleared before it was planted",""))))))</f>
        <v/>
      </c>
      <c r="M181" s="11">
        <f>IF(OR(L181&lt;&gt;"",D181="",O181=""),"",IF(COUNTIFS(Plantings!$D$6:$D$505,D181,Plantings!$O$6:$O$505,O181,Plantings!$N$6:$N$505,N181-1)&gt;0,"Same family here last year",""))</f>
        <v/>
      </c>
      <c r="N181" s="1">
        <f>IF(ISNUMBER(B181),YEAR(B181),"")</f>
        <v/>
      </c>
      <c r="O181">
        <f>IF(C181="","",IFERROR(INDEX(Crops!$C$6:$C$65,MATCH(C181,Crops!$B$6:$B$65,0))&amp;"",""))</f>
        <v/>
      </c>
      <c r="P181">
        <f>IF(ISNUMBER(B181),INT(B181),0)</f>
        <v/>
      </c>
      <c r="Q181">
        <f>IF(AND(L181="",OR(J181="Growing",J181="Picking")),1,0)</f>
        <v/>
      </c>
      <c r="R181">
        <f>IF(AND(Q181=1,D181&lt;&gt;""),P181*1000+ROW(),0)</f>
        <v/>
      </c>
      <c r="S181">
        <f>IF(AND(AND(C181&lt;&gt;"",ISNUMBER(B181)),L181=""),1,0)</f>
        <v/>
      </c>
    </row>
    <row r="182">
      <c r="A182" s="1" t="n"/>
      <c r="B182" s="17" t="n"/>
      <c r="C182" s="18" t="n"/>
      <c r="D182" s="19" t="n"/>
      <c r="E182" s="19" t="n"/>
      <c r="F182" s="20" t="n"/>
      <c r="G182" s="17" t="n"/>
      <c r="H182" s="21" t="n"/>
      <c r="I182" s="22">
        <f>IF(NOT(AND(C182&lt;&gt;"",ISNUMBER(B182))),"",IF(N(IFERROR(INDEX(Crops!$F$6:$F$65,MATCH(C182,Crops!$B$6:$B$65,0)),0))&gt;0,INT(B182)+N(IFERROR(INDEX(Crops!$F$6:$F$65,MATCH(C182,Crops!$B$6:$B$65,0)),0)),""))</f>
        <v/>
      </c>
      <c r="J182" s="16">
        <f>IF(NOT(AND(C182&lt;&gt;"",ISNUMBER(B182))),"",IF(ISNUMBER(G182),"Done",IF(INT(B182)&gt;TODAY(),"Planned",IF(COUNTIFS(Harvest!$C$6:$C$1505,C182,Harvest!$D$6:$D$1505,D182&amp;"",Harvest!$L$6:$L$1505,"&gt;="&amp;INT(B182))&gt;0,"Picking","Growing"))))</f>
        <v/>
      </c>
      <c r="K182" s="14">
        <f>IF(OR(NOT(AND(C182&lt;&gt;"",ISNUMBER(B182))),J182="Planned"),"",IF(ISNUMBER(G182),INT(G182),TODAY())-INT(B182))</f>
        <v/>
      </c>
      <c r="L182" s="11">
        <f>IF(AND(B182="",C182="",D182=""),"",IF(NOT(ISNUMBER(B182)),"Needs a date",IF(C182="","Needs a crop",IF(COUNTIF(Crops!$B$6:$B$65,C182)=0,"Not on Crops",IF(AND(D182&lt;&gt;"",COUNTIF(Beds!$B$6:$B$35,D182)=0),"Not on Beds",IF(AND(ISNUMBER(G182),G182&lt;B182),"Cleared before it was planted",""))))))</f>
        <v/>
      </c>
      <c r="M182" s="11">
        <f>IF(OR(L182&lt;&gt;"",D182="",O182=""),"",IF(COUNTIFS(Plantings!$D$6:$D$505,D182,Plantings!$O$6:$O$505,O182,Plantings!$N$6:$N$505,N182-1)&gt;0,"Same family here last year",""))</f>
        <v/>
      </c>
      <c r="N182" s="1">
        <f>IF(ISNUMBER(B182),YEAR(B182),"")</f>
        <v/>
      </c>
      <c r="O182">
        <f>IF(C182="","",IFERROR(INDEX(Crops!$C$6:$C$65,MATCH(C182,Crops!$B$6:$B$65,0))&amp;"",""))</f>
        <v/>
      </c>
      <c r="P182">
        <f>IF(ISNUMBER(B182),INT(B182),0)</f>
        <v/>
      </c>
      <c r="Q182">
        <f>IF(AND(L182="",OR(J182="Growing",J182="Picking")),1,0)</f>
        <v/>
      </c>
      <c r="R182">
        <f>IF(AND(Q182=1,D182&lt;&gt;""),P182*1000+ROW(),0)</f>
        <v/>
      </c>
      <c r="S182">
        <f>IF(AND(AND(C182&lt;&gt;"",ISNUMBER(B182)),L182=""),1,0)</f>
        <v/>
      </c>
    </row>
    <row r="183">
      <c r="A183" s="1" t="n"/>
      <c r="B183" s="17" t="n"/>
      <c r="C183" s="18" t="n"/>
      <c r="D183" s="19" t="n"/>
      <c r="E183" s="19" t="n"/>
      <c r="F183" s="20" t="n"/>
      <c r="G183" s="17" t="n"/>
      <c r="H183" s="21" t="n"/>
      <c r="I183" s="22">
        <f>IF(NOT(AND(C183&lt;&gt;"",ISNUMBER(B183))),"",IF(N(IFERROR(INDEX(Crops!$F$6:$F$65,MATCH(C183,Crops!$B$6:$B$65,0)),0))&gt;0,INT(B183)+N(IFERROR(INDEX(Crops!$F$6:$F$65,MATCH(C183,Crops!$B$6:$B$65,0)),0)),""))</f>
        <v/>
      </c>
      <c r="J183" s="16">
        <f>IF(NOT(AND(C183&lt;&gt;"",ISNUMBER(B183))),"",IF(ISNUMBER(G183),"Done",IF(INT(B183)&gt;TODAY(),"Planned",IF(COUNTIFS(Harvest!$C$6:$C$1505,C183,Harvest!$D$6:$D$1505,D183&amp;"",Harvest!$L$6:$L$1505,"&gt;="&amp;INT(B183))&gt;0,"Picking","Growing"))))</f>
        <v/>
      </c>
      <c r="K183" s="14">
        <f>IF(OR(NOT(AND(C183&lt;&gt;"",ISNUMBER(B183))),J183="Planned"),"",IF(ISNUMBER(G183),INT(G183),TODAY())-INT(B183))</f>
        <v/>
      </c>
      <c r="L183" s="11">
        <f>IF(AND(B183="",C183="",D183=""),"",IF(NOT(ISNUMBER(B183)),"Needs a date",IF(C183="","Needs a crop",IF(COUNTIF(Crops!$B$6:$B$65,C183)=0,"Not on Crops",IF(AND(D183&lt;&gt;"",COUNTIF(Beds!$B$6:$B$35,D183)=0),"Not on Beds",IF(AND(ISNUMBER(G183),G183&lt;B183),"Cleared before it was planted",""))))))</f>
        <v/>
      </c>
      <c r="M183" s="11">
        <f>IF(OR(L183&lt;&gt;"",D183="",O183=""),"",IF(COUNTIFS(Plantings!$D$6:$D$505,D183,Plantings!$O$6:$O$505,O183,Plantings!$N$6:$N$505,N183-1)&gt;0,"Same family here last year",""))</f>
        <v/>
      </c>
      <c r="N183" s="1">
        <f>IF(ISNUMBER(B183),YEAR(B183),"")</f>
        <v/>
      </c>
      <c r="O183">
        <f>IF(C183="","",IFERROR(INDEX(Crops!$C$6:$C$65,MATCH(C183,Crops!$B$6:$B$65,0))&amp;"",""))</f>
        <v/>
      </c>
      <c r="P183">
        <f>IF(ISNUMBER(B183),INT(B183),0)</f>
        <v/>
      </c>
      <c r="Q183">
        <f>IF(AND(L183="",OR(J183="Growing",J183="Picking")),1,0)</f>
        <v/>
      </c>
      <c r="R183">
        <f>IF(AND(Q183=1,D183&lt;&gt;""),P183*1000+ROW(),0)</f>
        <v/>
      </c>
      <c r="S183">
        <f>IF(AND(AND(C183&lt;&gt;"",ISNUMBER(B183)),L183=""),1,0)</f>
        <v/>
      </c>
    </row>
    <row r="184">
      <c r="A184" s="1" t="n"/>
      <c r="B184" s="17" t="n"/>
      <c r="C184" s="18" t="n"/>
      <c r="D184" s="19" t="n"/>
      <c r="E184" s="19" t="n"/>
      <c r="F184" s="20" t="n"/>
      <c r="G184" s="17" t="n"/>
      <c r="H184" s="21" t="n"/>
      <c r="I184" s="22">
        <f>IF(NOT(AND(C184&lt;&gt;"",ISNUMBER(B184))),"",IF(N(IFERROR(INDEX(Crops!$F$6:$F$65,MATCH(C184,Crops!$B$6:$B$65,0)),0))&gt;0,INT(B184)+N(IFERROR(INDEX(Crops!$F$6:$F$65,MATCH(C184,Crops!$B$6:$B$65,0)),0)),""))</f>
        <v/>
      </c>
      <c r="J184" s="16">
        <f>IF(NOT(AND(C184&lt;&gt;"",ISNUMBER(B184))),"",IF(ISNUMBER(G184),"Done",IF(INT(B184)&gt;TODAY(),"Planned",IF(COUNTIFS(Harvest!$C$6:$C$1505,C184,Harvest!$D$6:$D$1505,D184&amp;"",Harvest!$L$6:$L$1505,"&gt;="&amp;INT(B184))&gt;0,"Picking","Growing"))))</f>
        <v/>
      </c>
      <c r="K184" s="14">
        <f>IF(OR(NOT(AND(C184&lt;&gt;"",ISNUMBER(B184))),J184="Planned"),"",IF(ISNUMBER(G184),INT(G184),TODAY())-INT(B184))</f>
        <v/>
      </c>
      <c r="L184" s="11">
        <f>IF(AND(B184="",C184="",D184=""),"",IF(NOT(ISNUMBER(B184)),"Needs a date",IF(C184="","Needs a crop",IF(COUNTIF(Crops!$B$6:$B$65,C184)=0,"Not on Crops",IF(AND(D184&lt;&gt;"",COUNTIF(Beds!$B$6:$B$35,D184)=0),"Not on Beds",IF(AND(ISNUMBER(G184),G184&lt;B184),"Cleared before it was planted",""))))))</f>
        <v/>
      </c>
      <c r="M184" s="11">
        <f>IF(OR(L184&lt;&gt;"",D184="",O184=""),"",IF(COUNTIFS(Plantings!$D$6:$D$505,D184,Plantings!$O$6:$O$505,O184,Plantings!$N$6:$N$505,N184-1)&gt;0,"Same family here last year",""))</f>
        <v/>
      </c>
      <c r="N184" s="1">
        <f>IF(ISNUMBER(B184),YEAR(B184),"")</f>
        <v/>
      </c>
      <c r="O184">
        <f>IF(C184="","",IFERROR(INDEX(Crops!$C$6:$C$65,MATCH(C184,Crops!$B$6:$B$65,0))&amp;"",""))</f>
        <v/>
      </c>
      <c r="P184">
        <f>IF(ISNUMBER(B184),INT(B184),0)</f>
        <v/>
      </c>
      <c r="Q184">
        <f>IF(AND(L184="",OR(J184="Growing",J184="Picking")),1,0)</f>
        <v/>
      </c>
      <c r="R184">
        <f>IF(AND(Q184=1,D184&lt;&gt;""),P184*1000+ROW(),0)</f>
        <v/>
      </c>
      <c r="S184">
        <f>IF(AND(AND(C184&lt;&gt;"",ISNUMBER(B184)),L184=""),1,0)</f>
        <v/>
      </c>
    </row>
    <row r="185">
      <c r="A185" s="1" t="n"/>
      <c r="B185" s="17" t="n"/>
      <c r="C185" s="18" t="n"/>
      <c r="D185" s="19" t="n"/>
      <c r="E185" s="19" t="n"/>
      <c r="F185" s="20" t="n"/>
      <c r="G185" s="17" t="n"/>
      <c r="H185" s="21" t="n"/>
      <c r="I185" s="22">
        <f>IF(NOT(AND(C185&lt;&gt;"",ISNUMBER(B185))),"",IF(N(IFERROR(INDEX(Crops!$F$6:$F$65,MATCH(C185,Crops!$B$6:$B$65,0)),0))&gt;0,INT(B185)+N(IFERROR(INDEX(Crops!$F$6:$F$65,MATCH(C185,Crops!$B$6:$B$65,0)),0)),""))</f>
        <v/>
      </c>
      <c r="J185" s="16">
        <f>IF(NOT(AND(C185&lt;&gt;"",ISNUMBER(B185))),"",IF(ISNUMBER(G185),"Done",IF(INT(B185)&gt;TODAY(),"Planned",IF(COUNTIFS(Harvest!$C$6:$C$1505,C185,Harvest!$D$6:$D$1505,D185&amp;"",Harvest!$L$6:$L$1505,"&gt;="&amp;INT(B185))&gt;0,"Picking","Growing"))))</f>
        <v/>
      </c>
      <c r="K185" s="14">
        <f>IF(OR(NOT(AND(C185&lt;&gt;"",ISNUMBER(B185))),J185="Planned"),"",IF(ISNUMBER(G185),INT(G185),TODAY())-INT(B185))</f>
        <v/>
      </c>
      <c r="L185" s="11">
        <f>IF(AND(B185="",C185="",D185=""),"",IF(NOT(ISNUMBER(B185)),"Needs a date",IF(C185="","Needs a crop",IF(COUNTIF(Crops!$B$6:$B$65,C185)=0,"Not on Crops",IF(AND(D185&lt;&gt;"",COUNTIF(Beds!$B$6:$B$35,D185)=0),"Not on Beds",IF(AND(ISNUMBER(G185),G185&lt;B185),"Cleared before it was planted",""))))))</f>
        <v/>
      </c>
      <c r="M185" s="11">
        <f>IF(OR(L185&lt;&gt;"",D185="",O185=""),"",IF(COUNTIFS(Plantings!$D$6:$D$505,D185,Plantings!$O$6:$O$505,O185,Plantings!$N$6:$N$505,N185-1)&gt;0,"Same family here last year",""))</f>
        <v/>
      </c>
      <c r="N185" s="1">
        <f>IF(ISNUMBER(B185),YEAR(B185),"")</f>
        <v/>
      </c>
      <c r="O185">
        <f>IF(C185="","",IFERROR(INDEX(Crops!$C$6:$C$65,MATCH(C185,Crops!$B$6:$B$65,0))&amp;"",""))</f>
        <v/>
      </c>
      <c r="P185">
        <f>IF(ISNUMBER(B185),INT(B185),0)</f>
        <v/>
      </c>
      <c r="Q185">
        <f>IF(AND(L185="",OR(J185="Growing",J185="Picking")),1,0)</f>
        <v/>
      </c>
      <c r="R185">
        <f>IF(AND(Q185=1,D185&lt;&gt;""),P185*1000+ROW(),0)</f>
        <v/>
      </c>
      <c r="S185">
        <f>IF(AND(AND(C185&lt;&gt;"",ISNUMBER(B185)),L185=""),1,0)</f>
        <v/>
      </c>
    </row>
    <row r="186">
      <c r="A186" s="1" t="n"/>
      <c r="B186" s="17" t="n"/>
      <c r="C186" s="18" t="n"/>
      <c r="D186" s="19" t="n"/>
      <c r="E186" s="19" t="n"/>
      <c r="F186" s="20" t="n"/>
      <c r="G186" s="17" t="n"/>
      <c r="H186" s="21" t="n"/>
      <c r="I186" s="22">
        <f>IF(NOT(AND(C186&lt;&gt;"",ISNUMBER(B186))),"",IF(N(IFERROR(INDEX(Crops!$F$6:$F$65,MATCH(C186,Crops!$B$6:$B$65,0)),0))&gt;0,INT(B186)+N(IFERROR(INDEX(Crops!$F$6:$F$65,MATCH(C186,Crops!$B$6:$B$65,0)),0)),""))</f>
        <v/>
      </c>
      <c r="J186" s="16">
        <f>IF(NOT(AND(C186&lt;&gt;"",ISNUMBER(B186))),"",IF(ISNUMBER(G186),"Done",IF(INT(B186)&gt;TODAY(),"Planned",IF(COUNTIFS(Harvest!$C$6:$C$1505,C186,Harvest!$D$6:$D$1505,D186&amp;"",Harvest!$L$6:$L$1505,"&gt;="&amp;INT(B186))&gt;0,"Picking","Growing"))))</f>
        <v/>
      </c>
      <c r="K186" s="14">
        <f>IF(OR(NOT(AND(C186&lt;&gt;"",ISNUMBER(B186))),J186="Planned"),"",IF(ISNUMBER(G186),INT(G186),TODAY())-INT(B186))</f>
        <v/>
      </c>
      <c r="L186" s="11">
        <f>IF(AND(B186="",C186="",D186=""),"",IF(NOT(ISNUMBER(B186)),"Needs a date",IF(C186="","Needs a crop",IF(COUNTIF(Crops!$B$6:$B$65,C186)=0,"Not on Crops",IF(AND(D186&lt;&gt;"",COUNTIF(Beds!$B$6:$B$35,D186)=0),"Not on Beds",IF(AND(ISNUMBER(G186),G186&lt;B186),"Cleared before it was planted",""))))))</f>
        <v/>
      </c>
      <c r="M186" s="11">
        <f>IF(OR(L186&lt;&gt;"",D186="",O186=""),"",IF(COUNTIFS(Plantings!$D$6:$D$505,D186,Plantings!$O$6:$O$505,O186,Plantings!$N$6:$N$505,N186-1)&gt;0,"Same family here last year",""))</f>
        <v/>
      </c>
      <c r="N186" s="1">
        <f>IF(ISNUMBER(B186),YEAR(B186),"")</f>
        <v/>
      </c>
      <c r="O186">
        <f>IF(C186="","",IFERROR(INDEX(Crops!$C$6:$C$65,MATCH(C186,Crops!$B$6:$B$65,0))&amp;"",""))</f>
        <v/>
      </c>
      <c r="P186">
        <f>IF(ISNUMBER(B186),INT(B186),0)</f>
        <v/>
      </c>
      <c r="Q186">
        <f>IF(AND(L186="",OR(J186="Growing",J186="Picking")),1,0)</f>
        <v/>
      </c>
      <c r="R186">
        <f>IF(AND(Q186=1,D186&lt;&gt;""),P186*1000+ROW(),0)</f>
        <v/>
      </c>
      <c r="S186">
        <f>IF(AND(AND(C186&lt;&gt;"",ISNUMBER(B186)),L186=""),1,0)</f>
        <v/>
      </c>
    </row>
    <row r="187">
      <c r="A187" s="1" t="n"/>
      <c r="B187" s="17" t="n"/>
      <c r="C187" s="18" t="n"/>
      <c r="D187" s="19" t="n"/>
      <c r="E187" s="19" t="n"/>
      <c r="F187" s="20" t="n"/>
      <c r="G187" s="17" t="n"/>
      <c r="H187" s="21" t="n"/>
      <c r="I187" s="22">
        <f>IF(NOT(AND(C187&lt;&gt;"",ISNUMBER(B187))),"",IF(N(IFERROR(INDEX(Crops!$F$6:$F$65,MATCH(C187,Crops!$B$6:$B$65,0)),0))&gt;0,INT(B187)+N(IFERROR(INDEX(Crops!$F$6:$F$65,MATCH(C187,Crops!$B$6:$B$65,0)),0)),""))</f>
        <v/>
      </c>
      <c r="J187" s="16">
        <f>IF(NOT(AND(C187&lt;&gt;"",ISNUMBER(B187))),"",IF(ISNUMBER(G187),"Done",IF(INT(B187)&gt;TODAY(),"Planned",IF(COUNTIFS(Harvest!$C$6:$C$1505,C187,Harvest!$D$6:$D$1505,D187&amp;"",Harvest!$L$6:$L$1505,"&gt;="&amp;INT(B187))&gt;0,"Picking","Growing"))))</f>
        <v/>
      </c>
      <c r="K187" s="14">
        <f>IF(OR(NOT(AND(C187&lt;&gt;"",ISNUMBER(B187))),J187="Planned"),"",IF(ISNUMBER(G187),INT(G187),TODAY())-INT(B187))</f>
        <v/>
      </c>
      <c r="L187" s="11">
        <f>IF(AND(B187="",C187="",D187=""),"",IF(NOT(ISNUMBER(B187)),"Needs a date",IF(C187="","Needs a crop",IF(COUNTIF(Crops!$B$6:$B$65,C187)=0,"Not on Crops",IF(AND(D187&lt;&gt;"",COUNTIF(Beds!$B$6:$B$35,D187)=0),"Not on Beds",IF(AND(ISNUMBER(G187),G187&lt;B187),"Cleared before it was planted",""))))))</f>
        <v/>
      </c>
      <c r="M187" s="11">
        <f>IF(OR(L187&lt;&gt;"",D187="",O187=""),"",IF(COUNTIFS(Plantings!$D$6:$D$505,D187,Plantings!$O$6:$O$505,O187,Plantings!$N$6:$N$505,N187-1)&gt;0,"Same family here last year",""))</f>
        <v/>
      </c>
      <c r="N187" s="1">
        <f>IF(ISNUMBER(B187),YEAR(B187),"")</f>
        <v/>
      </c>
      <c r="O187">
        <f>IF(C187="","",IFERROR(INDEX(Crops!$C$6:$C$65,MATCH(C187,Crops!$B$6:$B$65,0))&amp;"",""))</f>
        <v/>
      </c>
      <c r="P187">
        <f>IF(ISNUMBER(B187),INT(B187),0)</f>
        <v/>
      </c>
      <c r="Q187">
        <f>IF(AND(L187="",OR(J187="Growing",J187="Picking")),1,0)</f>
        <v/>
      </c>
      <c r="R187">
        <f>IF(AND(Q187=1,D187&lt;&gt;""),P187*1000+ROW(),0)</f>
        <v/>
      </c>
      <c r="S187">
        <f>IF(AND(AND(C187&lt;&gt;"",ISNUMBER(B187)),L187=""),1,0)</f>
        <v/>
      </c>
    </row>
    <row r="188">
      <c r="A188" s="1" t="n"/>
      <c r="B188" s="17" t="n"/>
      <c r="C188" s="18" t="n"/>
      <c r="D188" s="19" t="n"/>
      <c r="E188" s="19" t="n"/>
      <c r="F188" s="20" t="n"/>
      <c r="G188" s="17" t="n"/>
      <c r="H188" s="21" t="n"/>
      <c r="I188" s="22">
        <f>IF(NOT(AND(C188&lt;&gt;"",ISNUMBER(B188))),"",IF(N(IFERROR(INDEX(Crops!$F$6:$F$65,MATCH(C188,Crops!$B$6:$B$65,0)),0))&gt;0,INT(B188)+N(IFERROR(INDEX(Crops!$F$6:$F$65,MATCH(C188,Crops!$B$6:$B$65,0)),0)),""))</f>
        <v/>
      </c>
      <c r="J188" s="16">
        <f>IF(NOT(AND(C188&lt;&gt;"",ISNUMBER(B188))),"",IF(ISNUMBER(G188),"Done",IF(INT(B188)&gt;TODAY(),"Planned",IF(COUNTIFS(Harvest!$C$6:$C$1505,C188,Harvest!$D$6:$D$1505,D188&amp;"",Harvest!$L$6:$L$1505,"&gt;="&amp;INT(B188))&gt;0,"Picking","Growing"))))</f>
        <v/>
      </c>
      <c r="K188" s="14">
        <f>IF(OR(NOT(AND(C188&lt;&gt;"",ISNUMBER(B188))),J188="Planned"),"",IF(ISNUMBER(G188),INT(G188),TODAY())-INT(B188))</f>
        <v/>
      </c>
      <c r="L188" s="11">
        <f>IF(AND(B188="",C188="",D188=""),"",IF(NOT(ISNUMBER(B188)),"Needs a date",IF(C188="","Needs a crop",IF(COUNTIF(Crops!$B$6:$B$65,C188)=0,"Not on Crops",IF(AND(D188&lt;&gt;"",COUNTIF(Beds!$B$6:$B$35,D188)=0),"Not on Beds",IF(AND(ISNUMBER(G188),G188&lt;B188),"Cleared before it was planted",""))))))</f>
        <v/>
      </c>
      <c r="M188" s="11">
        <f>IF(OR(L188&lt;&gt;"",D188="",O188=""),"",IF(COUNTIFS(Plantings!$D$6:$D$505,D188,Plantings!$O$6:$O$505,O188,Plantings!$N$6:$N$505,N188-1)&gt;0,"Same family here last year",""))</f>
        <v/>
      </c>
      <c r="N188" s="1">
        <f>IF(ISNUMBER(B188),YEAR(B188),"")</f>
        <v/>
      </c>
      <c r="O188">
        <f>IF(C188="","",IFERROR(INDEX(Crops!$C$6:$C$65,MATCH(C188,Crops!$B$6:$B$65,0))&amp;"",""))</f>
        <v/>
      </c>
      <c r="P188">
        <f>IF(ISNUMBER(B188),INT(B188),0)</f>
        <v/>
      </c>
      <c r="Q188">
        <f>IF(AND(L188="",OR(J188="Growing",J188="Picking")),1,0)</f>
        <v/>
      </c>
      <c r="R188">
        <f>IF(AND(Q188=1,D188&lt;&gt;""),P188*1000+ROW(),0)</f>
        <v/>
      </c>
      <c r="S188">
        <f>IF(AND(AND(C188&lt;&gt;"",ISNUMBER(B188)),L188=""),1,0)</f>
        <v/>
      </c>
    </row>
    <row r="189">
      <c r="A189" s="1" t="n"/>
      <c r="B189" s="17" t="n"/>
      <c r="C189" s="18" t="n"/>
      <c r="D189" s="19" t="n"/>
      <c r="E189" s="19" t="n"/>
      <c r="F189" s="20" t="n"/>
      <c r="G189" s="17" t="n"/>
      <c r="H189" s="21" t="n"/>
      <c r="I189" s="22">
        <f>IF(NOT(AND(C189&lt;&gt;"",ISNUMBER(B189))),"",IF(N(IFERROR(INDEX(Crops!$F$6:$F$65,MATCH(C189,Crops!$B$6:$B$65,0)),0))&gt;0,INT(B189)+N(IFERROR(INDEX(Crops!$F$6:$F$65,MATCH(C189,Crops!$B$6:$B$65,0)),0)),""))</f>
        <v/>
      </c>
      <c r="J189" s="16">
        <f>IF(NOT(AND(C189&lt;&gt;"",ISNUMBER(B189))),"",IF(ISNUMBER(G189),"Done",IF(INT(B189)&gt;TODAY(),"Planned",IF(COUNTIFS(Harvest!$C$6:$C$1505,C189,Harvest!$D$6:$D$1505,D189&amp;"",Harvest!$L$6:$L$1505,"&gt;="&amp;INT(B189))&gt;0,"Picking","Growing"))))</f>
        <v/>
      </c>
      <c r="K189" s="14">
        <f>IF(OR(NOT(AND(C189&lt;&gt;"",ISNUMBER(B189))),J189="Planned"),"",IF(ISNUMBER(G189),INT(G189),TODAY())-INT(B189))</f>
        <v/>
      </c>
      <c r="L189" s="11">
        <f>IF(AND(B189="",C189="",D189=""),"",IF(NOT(ISNUMBER(B189)),"Needs a date",IF(C189="","Needs a crop",IF(COUNTIF(Crops!$B$6:$B$65,C189)=0,"Not on Crops",IF(AND(D189&lt;&gt;"",COUNTIF(Beds!$B$6:$B$35,D189)=0),"Not on Beds",IF(AND(ISNUMBER(G189),G189&lt;B189),"Cleared before it was planted",""))))))</f>
        <v/>
      </c>
      <c r="M189" s="11">
        <f>IF(OR(L189&lt;&gt;"",D189="",O189=""),"",IF(COUNTIFS(Plantings!$D$6:$D$505,D189,Plantings!$O$6:$O$505,O189,Plantings!$N$6:$N$505,N189-1)&gt;0,"Same family here last year",""))</f>
        <v/>
      </c>
      <c r="N189" s="1">
        <f>IF(ISNUMBER(B189),YEAR(B189),"")</f>
        <v/>
      </c>
      <c r="O189">
        <f>IF(C189="","",IFERROR(INDEX(Crops!$C$6:$C$65,MATCH(C189,Crops!$B$6:$B$65,0))&amp;"",""))</f>
        <v/>
      </c>
      <c r="P189">
        <f>IF(ISNUMBER(B189),INT(B189),0)</f>
        <v/>
      </c>
      <c r="Q189">
        <f>IF(AND(L189="",OR(J189="Growing",J189="Picking")),1,0)</f>
        <v/>
      </c>
      <c r="R189">
        <f>IF(AND(Q189=1,D189&lt;&gt;""),P189*1000+ROW(),0)</f>
        <v/>
      </c>
      <c r="S189">
        <f>IF(AND(AND(C189&lt;&gt;"",ISNUMBER(B189)),L189=""),1,0)</f>
        <v/>
      </c>
    </row>
    <row r="190">
      <c r="A190" s="1" t="n"/>
      <c r="B190" s="17" t="n"/>
      <c r="C190" s="18" t="n"/>
      <c r="D190" s="19" t="n"/>
      <c r="E190" s="19" t="n"/>
      <c r="F190" s="20" t="n"/>
      <c r="G190" s="17" t="n"/>
      <c r="H190" s="21" t="n"/>
      <c r="I190" s="22">
        <f>IF(NOT(AND(C190&lt;&gt;"",ISNUMBER(B190))),"",IF(N(IFERROR(INDEX(Crops!$F$6:$F$65,MATCH(C190,Crops!$B$6:$B$65,0)),0))&gt;0,INT(B190)+N(IFERROR(INDEX(Crops!$F$6:$F$65,MATCH(C190,Crops!$B$6:$B$65,0)),0)),""))</f>
        <v/>
      </c>
      <c r="J190" s="16">
        <f>IF(NOT(AND(C190&lt;&gt;"",ISNUMBER(B190))),"",IF(ISNUMBER(G190),"Done",IF(INT(B190)&gt;TODAY(),"Planned",IF(COUNTIFS(Harvest!$C$6:$C$1505,C190,Harvest!$D$6:$D$1505,D190&amp;"",Harvest!$L$6:$L$1505,"&gt;="&amp;INT(B190))&gt;0,"Picking","Growing"))))</f>
        <v/>
      </c>
      <c r="K190" s="14">
        <f>IF(OR(NOT(AND(C190&lt;&gt;"",ISNUMBER(B190))),J190="Planned"),"",IF(ISNUMBER(G190),INT(G190),TODAY())-INT(B190))</f>
        <v/>
      </c>
      <c r="L190" s="11">
        <f>IF(AND(B190="",C190="",D190=""),"",IF(NOT(ISNUMBER(B190)),"Needs a date",IF(C190="","Needs a crop",IF(COUNTIF(Crops!$B$6:$B$65,C190)=0,"Not on Crops",IF(AND(D190&lt;&gt;"",COUNTIF(Beds!$B$6:$B$35,D190)=0),"Not on Beds",IF(AND(ISNUMBER(G190),G190&lt;B190),"Cleared before it was planted",""))))))</f>
        <v/>
      </c>
      <c r="M190" s="11">
        <f>IF(OR(L190&lt;&gt;"",D190="",O190=""),"",IF(COUNTIFS(Plantings!$D$6:$D$505,D190,Plantings!$O$6:$O$505,O190,Plantings!$N$6:$N$505,N190-1)&gt;0,"Same family here last year",""))</f>
        <v/>
      </c>
      <c r="N190" s="1">
        <f>IF(ISNUMBER(B190),YEAR(B190),"")</f>
        <v/>
      </c>
      <c r="O190">
        <f>IF(C190="","",IFERROR(INDEX(Crops!$C$6:$C$65,MATCH(C190,Crops!$B$6:$B$65,0))&amp;"",""))</f>
        <v/>
      </c>
      <c r="P190">
        <f>IF(ISNUMBER(B190),INT(B190),0)</f>
        <v/>
      </c>
      <c r="Q190">
        <f>IF(AND(L190="",OR(J190="Growing",J190="Picking")),1,0)</f>
        <v/>
      </c>
      <c r="R190">
        <f>IF(AND(Q190=1,D190&lt;&gt;""),P190*1000+ROW(),0)</f>
        <v/>
      </c>
      <c r="S190">
        <f>IF(AND(AND(C190&lt;&gt;"",ISNUMBER(B190)),L190=""),1,0)</f>
        <v/>
      </c>
    </row>
    <row r="191">
      <c r="A191" s="1" t="n"/>
      <c r="B191" s="17" t="n"/>
      <c r="C191" s="18" t="n"/>
      <c r="D191" s="19" t="n"/>
      <c r="E191" s="19" t="n"/>
      <c r="F191" s="20" t="n"/>
      <c r="G191" s="17" t="n"/>
      <c r="H191" s="21" t="n"/>
      <c r="I191" s="22">
        <f>IF(NOT(AND(C191&lt;&gt;"",ISNUMBER(B191))),"",IF(N(IFERROR(INDEX(Crops!$F$6:$F$65,MATCH(C191,Crops!$B$6:$B$65,0)),0))&gt;0,INT(B191)+N(IFERROR(INDEX(Crops!$F$6:$F$65,MATCH(C191,Crops!$B$6:$B$65,0)),0)),""))</f>
        <v/>
      </c>
      <c r="J191" s="16">
        <f>IF(NOT(AND(C191&lt;&gt;"",ISNUMBER(B191))),"",IF(ISNUMBER(G191),"Done",IF(INT(B191)&gt;TODAY(),"Planned",IF(COUNTIFS(Harvest!$C$6:$C$1505,C191,Harvest!$D$6:$D$1505,D191&amp;"",Harvest!$L$6:$L$1505,"&gt;="&amp;INT(B191))&gt;0,"Picking","Growing"))))</f>
        <v/>
      </c>
      <c r="K191" s="14">
        <f>IF(OR(NOT(AND(C191&lt;&gt;"",ISNUMBER(B191))),J191="Planned"),"",IF(ISNUMBER(G191),INT(G191),TODAY())-INT(B191))</f>
        <v/>
      </c>
      <c r="L191" s="11">
        <f>IF(AND(B191="",C191="",D191=""),"",IF(NOT(ISNUMBER(B191)),"Needs a date",IF(C191="","Needs a crop",IF(COUNTIF(Crops!$B$6:$B$65,C191)=0,"Not on Crops",IF(AND(D191&lt;&gt;"",COUNTIF(Beds!$B$6:$B$35,D191)=0),"Not on Beds",IF(AND(ISNUMBER(G191),G191&lt;B191),"Cleared before it was planted",""))))))</f>
        <v/>
      </c>
      <c r="M191" s="11">
        <f>IF(OR(L191&lt;&gt;"",D191="",O191=""),"",IF(COUNTIFS(Plantings!$D$6:$D$505,D191,Plantings!$O$6:$O$505,O191,Plantings!$N$6:$N$505,N191-1)&gt;0,"Same family here last year",""))</f>
        <v/>
      </c>
      <c r="N191" s="1">
        <f>IF(ISNUMBER(B191),YEAR(B191),"")</f>
        <v/>
      </c>
      <c r="O191">
        <f>IF(C191="","",IFERROR(INDEX(Crops!$C$6:$C$65,MATCH(C191,Crops!$B$6:$B$65,0))&amp;"",""))</f>
        <v/>
      </c>
      <c r="P191">
        <f>IF(ISNUMBER(B191),INT(B191),0)</f>
        <v/>
      </c>
      <c r="Q191">
        <f>IF(AND(L191="",OR(J191="Growing",J191="Picking")),1,0)</f>
        <v/>
      </c>
      <c r="R191">
        <f>IF(AND(Q191=1,D191&lt;&gt;""),P191*1000+ROW(),0)</f>
        <v/>
      </c>
      <c r="S191">
        <f>IF(AND(AND(C191&lt;&gt;"",ISNUMBER(B191)),L191=""),1,0)</f>
        <v/>
      </c>
    </row>
    <row r="192">
      <c r="A192" s="1" t="n"/>
      <c r="B192" s="17" t="n"/>
      <c r="C192" s="18" t="n"/>
      <c r="D192" s="19" t="n"/>
      <c r="E192" s="19" t="n"/>
      <c r="F192" s="20" t="n"/>
      <c r="G192" s="17" t="n"/>
      <c r="H192" s="21" t="n"/>
      <c r="I192" s="22">
        <f>IF(NOT(AND(C192&lt;&gt;"",ISNUMBER(B192))),"",IF(N(IFERROR(INDEX(Crops!$F$6:$F$65,MATCH(C192,Crops!$B$6:$B$65,0)),0))&gt;0,INT(B192)+N(IFERROR(INDEX(Crops!$F$6:$F$65,MATCH(C192,Crops!$B$6:$B$65,0)),0)),""))</f>
        <v/>
      </c>
      <c r="J192" s="16">
        <f>IF(NOT(AND(C192&lt;&gt;"",ISNUMBER(B192))),"",IF(ISNUMBER(G192),"Done",IF(INT(B192)&gt;TODAY(),"Planned",IF(COUNTIFS(Harvest!$C$6:$C$1505,C192,Harvest!$D$6:$D$1505,D192&amp;"",Harvest!$L$6:$L$1505,"&gt;="&amp;INT(B192))&gt;0,"Picking","Growing"))))</f>
        <v/>
      </c>
      <c r="K192" s="14">
        <f>IF(OR(NOT(AND(C192&lt;&gt;"",ISNUMBER(B192))),J192="Planned"),"",IF(ISNUMBER(G192),INT(G192),TODAY())-INT(B192))</f>
        <v/>
      </c>
      <c r="L192" s="11">
        <f>IF(AND(B192="",C192="",D192=""),"",IF(NOT(ISNUMBER(B192)),"Needs a date",IF(C192="","Needs a crop",IF(COUNTIF(Crops!$B$6:$B$65,C192)=0,"Not on Crops",IF(AND(D192&lt;&gt;"",COUNTIF(Beds!$B$6:$B$35,D192)=0),"Not on Beds",IF(AND(ISNUMBER(G192),G192&lt;B192),"Cleared before it was planted",""))))))</f>
        <v/>
      </c>
      <c r="M192" s="11">
        <f>IF(OR(L192&lt;&gt;"",D192="",O192=""),"",IF(COUNTIFS(Plantings!$D$6:$D$505,D192,Plantings!$O$6:$O$505,O192,Plantings!$N$6:$N$505,N192-1)&gt;0,"Same family here last year",""))</f>
        <v/>
      </c>
      <c r="N192" s="1">
        <f>IF(ISNUMBER(B192),YEAR(B192),"")</f>
        <v/>
      </c>
      <c r="O192">
        <f>IF(C192="","",IFERROR(INDEX(Crops!$C$6:$C$65,MATCH(C192,Crops!$B$6:$B$65,0))&amp;"",""))</f>
        <v/>
      </c>
      <c r="P192">
        <f>IF(ISNUMBER(B192),INT(B192),0)</f>
        <v/>
      </c>
      <c r="Q192">
        <f>IF(AND(L192="",OR(J192="Growing",J192="Picking")),1,0)</f>
        <v/>
      </c>
      <c r="R192">
        <f>IF(AND(Q192=1,D192&lt;&gt;""),P192*1000+ROW(),0)</f>
        <v/>
      </c>
      <c r="S192">
        <f>IF(AND(AND(C192&lt;&gt;"",ISNUMBER(B192)),L192=""),1,0)</f>
        <v/>
      </c>
    </row>
    <row r="193">
      <c r="A193" s="1" t="n"/>
      <c r="B193" s="17" t="n"/>
      <c r="C193" s="18" t="n"/>
      <c r="D193" s="19" t="n"/>
      <c r="E193" s="19" t="n"/>
      <c r="F193" s="20" t="n"/>
      <c r="G193" s="17" t="n"/>
      <c r="H193" s="21" t="n"/>
      <c r="I193" s="22">
        <f>IF(NOT(AND(C193&lt;&gt;"",ISNUMBER(B193))),"",IF(N(IFERROR(INDEX(Crops!$F$6:$F$65,MATCH(C193,Crops!$B$6:$B$65,0)),0))&gt;0,INT(B193)+N(IFERROR(INDEX(Crops!$F$6:$F$65,MATCH(C193,Crops!$B$6:$B$65,0)),0)),""))</f>
        <v/>
      </c>
      <c r="J193" s="16">
        <f>IF(NOT(AND(C193&lt;&gt;"",ISNUMBER(B193))),"",IF(ISNUMBER(G193),"Done",IF(INT(B193)&gt;TODAY(),"Planned",IF(COUNTIFS(Harvest!$C$6:$C$1505,C193,Harvest!$D$6:$D$1505,D193&amp;"",Harvest!$L$6:$L$1505,"&gt;="&amp;INT(B193))&gt;0,"Picking","Growing"))))</f>
        <v/>
      </c>
      <c r="K193" s="14">
        <f>IF(OR(NOT(AND(C193&lt;&gt;"",ISNUMBER(B193))),J193="Planned"),"",IF(ISNUMBER(G193),INT(G193),TODAY())-INT(B193))</f>
        <v/>
      </c>
      <c r="L193" s="11">
        <f>IF(AND(B193="",C193="",D193=""),"",IF(NOT(ISNUMBER(B193)),"Needs a date",IF(C193="","Needs a crop",IF(COUNTIF(Crops!$B$6:$B$65,C193)=0,"Not on Crops",IF(AND(D193&lt;&gt;"",COUNTIF(Beds!$B$6:$B$35,D193)=0),"Not on Beds",IF(AND(ISNUMBER(G193),G193&lt;B193),"Cleared before it was planted",""))))))</f>
        <v/>
      </c>
      <c r="M193" s="11">
        <f>IF(OR(L193&lt;&gt;"",D193="",O193=""),"",IF(COUNTIFS(Plantings!$D$6:$D$505,D193,Plantings!$O$6:$O$505,O193,Plantings!$N$6:$N$505,N193-1)&gt;0,"Same family here last year",""))</f>
        <v/>
      </c>
      <c r="N193" s="1">
        <f>IF(ISNUMBER(B193),YEAR(B193),"")</f>
        <v/>
      </c>
      <c r="O193">
        <f>IF(C193="","",IFERROR(INDEX(Crops!$C$6:$C$65,MATCH(C193,Crops!$B$6:$B$65,0))&amp;"",""))</f>
        <v/>
      </c>
      <c r="P193">
        <f>IF(ISNUMBER(B193),INT(B193),0)</f>
        <v/>
      </c>
      <c r="Q193">
        <f>IF(AND(L193="",OR(J193="Growing",J193="Picking")),1,0)</f>
        <v/>
      </c>
      <c r="R193">
        <f>IF(AND(Q193=1,D193&lt;&gt;""),P193*1000+ROW(),0)</f>
        <v/>
      </c>
      <c r="S193">
        <f>IF(AND(AND(C193&lt;&gt;"",ISNUMBER(B193)),L193=""),1,0)</f>
        <v/>
      </c>
    </row>
    <row r="194">
      <c r="A194" s="1" t="n"/>
      <c r="B194" s="17" t="n"/>
      <c r="C194" s="18" t="n"/>
      <c r="D194" s="19" t="n"/>
      <c r="E194" s="19" t="n"/>
      <c r="F194" s="20" t="n"/>
      <c r="G194" s="17" t="n"/>
      <c r="H194" s="21" t="n"/>
      <c r="I194" s="22">
        <f>IF(NOT(AND(C194&lt;&gt;"",ISNUMBER(B194))),"",IF(N(IFERROR(INDEX(Crops!$F$6:$F$65,MATCH(C194,Crops!$B$6:$B$65,0)),0))&gt;0,INT(B194)+N(IFERROR(INDEX(Crops!$F$6:$F$65,MATCH(C194,Crops!$B$6:$B$65,0)),0)),""))</f>
        <v/>
      </c>
      <c r="J194" s="16">
        <f>IF(NOT(AND(C194&lt;&gt;"",ISNUMBER(B194))),"",IF(ISNUMBER(G194),"Done",IF(INT(B194)&gt;TODAY(),"Planned",IF(COUNTIFS(Harvest!$C$6:$C$1505,C194,Harvest!$D$6:$D$1505,D194&amp;"",Harvest!$L$6:$L$1505,"&gt;="&amp;INT(B194))&gt;0,"Picking","Growing"))))</f>
        <v/>
      </c>
      <c r="K194" s="14">
        <f>IF(OR(NOT(AND(C194&lt;&gt;"",ISNUMBER(B194))),J194="Planned"),"",IF(ISNUMBER(G194),INT(G194),TODAY())-INT(B194))</f>
        <v/>
      </c>
      <c r="L194" s="11">
        <f>IF(AND(B194="",C194="",D194=""),"",IF(NOT(ISNUMBER(B194)),"Needs a date",IF(C194="","Needs a crop",IF(COUNTIF(Crops!$B$6:$B$65,C194)=0,"Not on Crops",IF(AND(D194&lt;&gt;"",COUNTIF(Beds!$B$6:$B$35,D194)=0),"Not on Beds",IF(AND(ISNUMBER(G194),G194&lt;B194),"Cleared before it was planted",""))))))</f>
        <v/>
      </c>
      <c r="M194" s="11">
        <f>IF(OR(L194&lt;&gt;"",D194="",O194=""),"",IF(COUNTIFS(Plantings!$D$6:$D$505,D194,Plantings!$O$6:$O$505,O194,Plantings!$N$6:$N$505,N194-1)&gt;0,"Same family here last year",""))</f>
        <v/>
      </c>
      <c r="N194" s="1">
        <f>IF(ISNUMBER(B194),YEAR(B194),"")</f>
        <v/>
      </c>
      <c r="O194">
        <f>IF(C194="","",IFERROR(INDEX(Crops!$C$6:$C$65,MATCH(C194,Crops!$B$6:$B$65,0))&amp;"",""))</f>
        <v/>
      </c>
      <c r="P194">
        <f>IF(ISNUMBER(B194),INT(B194),0)</f>
        <v/>
      </c>
      <c r="Q194">
        <f>IF(AND(L194="",OR(J194="Growing",J194="Picking")),1,0)</f>
        <v/>
      </c>
      <c r="R194">
        <f>IF(AND(Q194=1,D194&lt;&gt;""),P194*1000+ROW(),0)</f>
        <v/>
      </c>
      <c r="S194">
        <f>IF(AND(AND(C194&lt;&gt;"",ISNUMBER(B194)),L194=""),1,0)</f>
        <v/>
      </c>
    </row>
    <row r="195">
      <c r="A195" s="1" t="n"/>
      <c r="B195" s="17" t="n"/>
      <c r="C195" s="18" t="n"/>
      <c r="D195" s="19" t="n"/>
      <c r="E195" s="19" t="n"/>
      <c r="F195" s="20" t="n"/>
      <c r="G195" s="17" t="n"/>
      <c r="H195" s="21" t="n"/>
      <c r="I195" s="22">
        <f>IF(NOT(AND(C195&lt;&gt;"",ISNUMBER(B195))),"",IF(N(IFERROR(INDEX(Crops!$F$6:$F$65,MATCH(C195,Crops!$B$6:$B$65,0)),0))&gt;0,INT(B195)+N(IFERROR(INDEX(Crops!$F$6:$F$65,MATCH(C195,Crops!$B$6:$B$65,0)),0)),""))</f>
        <v/>
      </c>
      <c r="J195" s="16">
        <f>IF(NOT(AND(C195&lt;&gt;"",ISNUMBER(B195))),"",IF(ISNUMBER(G195),"Done",IF(INT(B195)&gt;TODAY(),"Planned",IF(COUNTIFS(Harvest!$C$6:$C$1505,C195,Harvest!$D$6:$D$1505,D195&amp;"",Harvest!$L$6:$L$1505,"&gt;="&amp;INT(B195))&gt;0,"Picking","Growing"))))</f>
        <v/>
      </c>
      <c r="K195" s="14">
        <f>IF(OR(NOT(AND(C195&lt;&gt;"",ISNUMBER(B195))),J195="Planned"),"",IF(ISNUMBER(G195),INT(G195),TODAY())-INT(B195))</f>
        <v/>
      </c>
      <c r="L195" s="11">
        <f>IF(AND(B195="",C195="",D195=""),"",IF(NOT(ISNUMBER(B195)),"Needs a date",IF(C195="","Needs a crop",IF(COUNTIF(Crops!$B$6:$B$65,C195)=0,"Not on Crops",IF(AND(D195&lt;&gt;"",COUNTIF(Beds!$B$6:$B$35,D195)=0),"Not on Beds",IF(AND(ISNUMBER(G195),G195&lt;B195),"Cleared before it was planted",""))))))</f>
        <v/>
      </c>
      <c r="M195" s="11">
        <f>IF(OR(L195&lt;&gt;"",D195="",O195=""),"",IF(COUNTIFS(Plantings!$D$6:$D$505,D195,Plantings!$O$6:$O$505,O195,Plantings!$N$6:$N$505,N195-1)&gt;0,"Same family here last year",""))</f>
        <v/>
      </c>
      <c r="N195" s="1">
        <f>IF(ISNUMBER(B195),YEAR(B195),"")</f>
        <v/>
      </c>
      <c r="O195">
        <f>IF(C195="","",IFERROR(INDEX(Crops!$C$6:$C$65,MATCH(C195,Crops!$B$6:$B$65,0))&amp;"",""))</f>
        <v/>
      </c>
      <c r="P195">
        <f>IF(ISNUMBER(B195),INT(B195),0)</f>
        <v/>
      </c>
      <c r="Q195">
        <f>IF(AND(L195="",OR(J195="Growing",J195="Picking")),1,0)</f>
        <v/>
      </c>
      <c r="R195">
        <f>IF(AND(Q195=1,D195&lt;&gt;""),P195*1000+ROW(),0)</f>
        <v/>
      </c>
      <c r="S195">
        <f>IF(AND(AND(C195&lt;&gt;"",ISNUMBER(B195)),L195=""),1,0)</f>
        <v/>
      </c>
    </row>
    <row r="196">
      <c r="A196" s="1" t="n"/>
      <c r="B196" s="17" t="n"/>
      <c r="C196" s="18" t="n"/>
      <c r="D196" s="19" t="n"/>
      <c r="E196" s="19" t="n"/>
      <c r="F196" s="20" t="n"/>
      <c r="G196" s="17" t="n"/>
      <c r="H196" s="21" t="n"/>
      <c r="I196" s="22">
        <f>IF(NOT(AND(C196&lt;&gt;"",ISNUMBER(B196))),"",IF(N(IFERROR(INDEX(Crops!$F$6:$F$65,MATCH(C196,Crops!$B$6:$B$65,0)),0))&gt;0,INT(B196)+N(IFERROR(INDEX(Crops!$F$6:$F$65,MATCH(C196,Crops!$B$6:$B$65,0)),0)),""))</f>
        <v/>
      </c>
      <c r="J196" s="16">
        <f>IF(NOT(AND(C196&lt;&gt;"",ISNUMBER(B196))),"",IF(ISNUMBER(G196),"Done",IF(INT(B196)&gt;TODAY(),"Planned",IF(COUNTIFS(Harvest!$C$6:$C$1505,C196,Harvest!$D$6:$D$1505,D196&amp;"",Harvest!$L$6:$L$1505,"&gt;="&amp;INT(B196))&gt;0,"Picking","Growing"))))</f>
        <v/>
      </c>
      <c r="K196" s="14">
        <f>IF(OR(NOT(AND(C196&lt;&gt;"",ISNUMBER(B196))),J196="Planned"),"",IF(ISNUMBER(G196),INT(G196),TODAY())-INT(B196))</f>
        <v/>
      </c>
      <c r="L196" s="11">
        <f>IF(AND(B196="",C196="",D196=""),"",IF(NOT(ISNUMBER(B196)),"Needs a date",IF(C196="","Needs a crop",IF(COUNTIF(Crops!$B$6:$B$65,C196)=0,"Not on Crops",IF(AND(D196&lt;&gt;"",COUNTIF(Beds!$B$6:$B$35,D196)=0),"Not on Beds",IF(AND(ISNUMBER(G196),G196&lt;B196),"Cleared before it was planted",""))))))</f>
        <v/>
      </c>
      <c r="M196" s="11">
        <f>IF(OR(L196&lt;&gt;"",D196="",O196=""),"",IF(COUNTIFS(Plantings!$D$6:$D$505,D196,Plantings!$O$6:$O$505,O196,Plantings!$N$6:$N$505,N196-1)&gt;0,"Same family here last year",""))</f>
        <v/>
      </c>
      <c r="N196" s="1">
        <f>IF(ISNUMBER(B196),YEAR(B196),"")</f>
        <v/>
      </c>
      <c r="O196">
        <f>IF(C196="","",IFERROR(INDEX(Crops!$C$6:$C$65,MATCH(C196,Crops!$B$6:$B$65,0))&amp;"",""))</f>
        <v/>
      </c>
      <c r="P196">
        <f>IF(ISNUMBER(B196),INT(B196),0)</f>
        <v/>
      </c>
      <c r="Q196">
        <f>IF(AND(L196="",OR(J196="Growing",J196="Picking")),1,0)</f>
        <v/>
      </c>
      <c r="R196">
        <f>IF(AND(Q196=1,D196&lt;&gt;""),P196*1000+ROW(),0)</f>
        <v/>
      </c>
      <c r="S196">
        <f>IF(AND(AND(C196&lt;&gt;"",ISNUMBER(B196)),L196=""),1,0)</f>
        <v/>
      </c>
    </row>
    <row r="197">
      <c r="A197" s="1" t="n"/>
      <c r="B197" s="17" t="n"/>
      <c r="C197" s="18" t="n"/>
      <c r="D197" s="19" t="n"/>
      <c r="E197" s="19" t="n"/>
      <c r="F197" s="20" t="n"/>
      <c r="G197" s="17" t="n"/>
      <c r="H197" s="21" t="n"/>
      <c r="I197" s="22">
        <f>IF(NOT(AND(C197&lt;&gt;"",ISNUMBER(B197))),"",IF(N(IFERROR(INDEX(Crops!$F$6:$F$65,MATCH(C197,Crops!$B$6:$B$65,0)),0))&gt;0,INT(B197)+N(IFERROR(INDEX(Crops!$F$6:$F$65,MATCH(C197,Crops!$B$6:$B$65,0)),0)),""))</f>
        <v/>
      </c>
      <c r="J197" s="16">
        <f>IF(NOT(AND(C197&lt;&gt;"",ISNUMBER(B197))),"",IF(ISNUMBER(G197),"Done",IF(INT(B197)&gt;TODAY(),"Planned",IF(COUNTIFS(Harvest!$C$6:$C$1505,C197,Harvest!$D$6:$D$1505,D197&amp;"",Harvest!$L$6:$L$1505,"&gt;="&amp;INT(B197))&gt;0,"Picking","Growing"))))</f>
        <v/>
      </c>
      <c r="K197" s="14">
        <f>IF(OR(NOT(AND(C197&lt;&gt;"",ISNUMBER(B197))),J197="Planned"),"",IF(ISNUMBER(G197),INT(G197),TODAY())-INT(B197))</f>
        <v/>
      </c>
      <c r="L197" s="11">
        <f>IF(AND(B197="",C197="",D197=""),"",IF(NOT(ISNUMBER(B197)),"Needs a date",IF(C197="","Needs a crop",IF(COUNTIF(Crops!$B$6:$B$65,C197)=0,"Not on Crops",IF(AND(D197&lt;&gt;"",COUNTIF(Beds!$B$6:$B$35,D197)=0),"Not on Beds",IF(AND(ISNUMBER(G197),G197&lt;B197),"Cleared before it was planted",""))))))</f>
        <v/>
      </c>
      <c r="M197" s="11">
        <f>IF(OR(L197&lt;&gt;"",D197="",O197=""),"",IF(COUNTIFS(Plantings!$D$6:$D$505,D197,Plantings!$O$6:$O$505,O197,Plantings!$N$6:$N$505,N197-1)&gt;0,"Same family here last year",""))</f>
        <v/>
      </c>
      <c r="N197" s="1">
        <f>IF(ISNUMBER(B197),YEAR(B197),"")</f>
        <v/>
      </c>
      <c r="O197">
        <f>IF(C197="","",IFERROR(INDEX(Crops!$C$6:$C$65,MATCH(C197,Crops!$B$6:$B$65,0))&amp;"",""))</f>
        <v/>
      </c>
      <c r="P197">
        <f>IF(ISNUMBER(B197),INT(B197),0)</f>
        <v/>
      </c>
      <c r="Q197">
        <f>IF(AND(L197="",OR(J197="Growing",J197="Picking")),1,0)</f>
        <v/>
      </c>
      <c r="R197">
        <f>IF(AND(Q197=1,D197&lt;&gt;""),P197*1000+ROW(),0)</f>
        <v/>
      </c>
      <c r="S197">
        <f>IF(AND(AND(C197&lt;&gt;"",ISNUMBER(B197)),L197=""),1,0)</f>
        <v/>
      </c>
    </row>
    <row r="198">
      <c r="A198" s="1" t="n"/>
      <c r="B198" s="17" t="n"/>
      <c r="C198" s="18" t="n"/>
      <c r="D198" s="19" t="n"/>
      <c r="E198" s="19" t="n"/>
      <c r="F198" s="20" t="n"/>
      <c r="G198" s="17" t="n"/>
      <c r="H198" s="21" t="n"/>
      <c r="I198" s="22">
        <f>IF(NOT(AND(C198&lt;&gt;"",ISNUMBER(B198))),"",IF(N(IFERROR(INDEX(Crops!$F$6:$F$65,MATCH(C198,Crops!$B$6:$B$65,0)),0))&gt;0,INT(B198)+N(IFERROR(INDEX(Crops!$F$6:$F$65,MATCH(C198,Crops!$B$6:$B$65,0)),0)),""))</f>
        <v/>
      </c>
      <c r="J198" s="16">
        <f>IF(NOT(AND(C198&lt;&gt;"",ISNUMBER(B198))),"",IF(ISNUMBER(G198),"Done",IF(INT(B198)&gt;TODAY(),"Planned",IF(COUNTIFS(Harvest!$C$6:$C$1505,C198,Harvest!$D$6:$D$1505,D198&amp;"",Harvest!$L$6:$L$1505,"&gt;="&amp;INT(B198))&gt;0,"Picking","Growing"))))</f>
        <v/>
      </c>
      <c r="K198" s="14">
        <f>IF(OR(NOT(AND(C198&lt;&gt;"",ISNUMBER(B198))),J198="Planned"),"",IF(ISNUMBER(G198),INT(G198),TODAY())-INT(B198))</f>
        <v/>
      </c>
      <c r="L198" s="11">
        <f>IF(AND(B198="",C198="",D198=""),"",IF(NOT(ISNUMBER(B198)),"Needs a date",IF(C198="","Needs a crop",IF(COUNTIF(Crops!$B$6:$B$65,C198)=0,"Not on Crops",IF(AND(D198&lt;&gt;"",COUNTIF(Beds!$B$6:$B$35,D198)=0),"Not on Beds",IF(AND(ISNUMBER(G198),G198&lt;B198),"Cleared before it was planted",""))))))</f>
        <v/>
      </c>
      <c r="M198" s="11">
        <f>IF(OR(L198&lt;&gt;"",D198="",O198=""),"",IF(COUNTIFS(Plantings!$D$6:$D$505,D198,Plantings!$O$6:$O$505,O198,Plantings!$N$6:$N$505,N198-1)&gt;0,"Same family here last year",""))</f>
        <v/>
      </c>
      <c r="N198" s="1">
        <f>IF(ISNUMBER(B198),YEAR(B198),"")</f>
        <v/>
      </c>
      <c r="O198">
        <f>IF(C198="","",IFERROR(INDEX(Crops!$C$6:$C$65,MATCH(C198,Crops!$B$6:$B$65,0))&amp;"",""))</f>
        <v/>
      </c>
      <c r="P198">
        <f>IF(ISNUMBER(B198),INT(B198),0)</f>
        <v/>
      </c>
      <c r="Q198">
        <f>IF(AND(L198="",OR(J198="Growing",J198="Picking")),1,0)</f>
        <v/>
      </c>
      <c r="R198">
        <f>IF(AND(Q198=1,D198&lt;&gt;""),P198*1000+ROW(),0)</f>
        <v/>
      </c>
      <c r="S198">
        <f>IF(AND(AND(C198&lt;&gt;"",ISNUMBER(B198)),L198=""),1,0)</f>
        <v/>
      </c>
    </row>
    <row r="199">
      <c r="A199" s="1" t="n"/>
      <c r="B199" s="17" t="n"/>
      <c r="C199" s="18" t="n"/>
      <c r="D199" s="19" t="n"/>
      <c r="E199" s="19" t="n"/>
      <c r="F199" s="20" t="n"/>
      <c r="G199" s="17" t="n"/>
      <c r="H199" s="21" t="n"/>
      <c r="I199" s="22">
        <f>IF(NOT(AND(C199&lt;&gt;"",ISNUMBER(B199))),"",IF(N(IFERROR(INDEX(Crops!$F$6:$F$65,MATCH(C199,Crops!$B$6:$B$65,0)),0))&gt;0,INT(B199)+N(IFERROR(INDEX(Crops!$F$6:$F$65,MATCH(C199,Crops!$B$6:$B$65,0)),0)),""))</f>
        <v/>
      </c>
      <c r="J199" s="16">
        <f>IF(NOT(AND(C199&lt;&gt;"",ISNUMBER(B199))),"",IF(ISNUMBER(G199),"Done",IF(INT(B199)&gt;TODAY(),"Planned",IF(COUNTIFS(Harvest!$C$6:$C$1505,C199,Harvest!$D$6:$D$1505,D199&amp;"",Harvest!$L$6:$L$1505,"&gt;="&amp;INT(B199))&gt;0,"Picking","Growing"))))</f>
        <v/>
      </c>
      <c r="K199" s="14">
        <f>IF(OR(NOT(AND(C199&lt;&gt;"",ISNUMBER(B199))),J199="Planned"),"",IF(ISNUMBER(G199),INT(G199),TODAY())-INT(B199))</f>
        <v/>
      </c>
      <c r="L199" s="11">
        <f>IF(AND(B199="",C199="",D199=""),"",IF(NOT(ISNUMBER(B199)),"Needs a date",IF(C199="","Needs a crop",IF(COUNTIF(Crops!$B$6:$B$65,C199)=0,"Not on Crops",IF(AND(D199&lt;&gt;"",COUNTIF(Beds!$B$6:$B$35,D199)=0),"Not on Beds",IF(AND(ISNUMBER(G199),G199&lt;B199),"Cleared before it was planted",""))))))</f>
        <v/>
      </c>
      <c r="M199" s="11">
        <f>IF(OR(L199&lt;&gt;"",D199="",O199=""),"",IF(COUNTIFS(Plantings!$D$6:$D$505,D199,Plantings!$O$6:$O$505,O199,Plantings!$N$6:$N$505,N199-1)&gt;0,"Same family here last year",""))</f>
        <v/>
      </c>
      <c r="N199" s="1">
        <f>IF(ISNUMBER(B199),YEAR(B199),"")</f>
        <v/>
      </c>
      <c r="O199">
        <f>IF(C199="","",IFERROR(INDEX(Crops!$C$6:$C$65,MATCH(C199,Crops!$B$6:$B$65,0))&amp;"",""))</f>
        <v/>
      </c>
      <c r="P199">
        <f>IF(ISNUMBER(B199),INT(B199),0)</f>
        <v/>
      </c>
      <c r="Q199">
        <f>IF(AND(L199="",OR(J199="Growing",J199="Picking")),1,0)</f>
        <v/>
      </c>
      <c r="R199">
        <f>IF(AND(Q199=1,D199&lt;&gt;""),P199*1000+ROW(),0)</f>
        <v/>
      </c>
      <c r="S199">
        <f>IF(AND(AND(C199&lt;&gt;"",ISNUMBER(B199)),L199=""),1,0)</f>
        <v/>
      </c>
    </row>
    <row r="200">
      <c r="A200" s="1" t="n"/>
      <c r="B200" s="17" t="n"/>
      <c r="C200" s="18" t="n"/>
      <c r="D200" s="19" t="n"/>
      <c r="E200" s="19" t="n"/>
      <c r="F200" s="20" t="n"/>
      <c r="G200" s="17" t="n"/>
      <c r="H200" s="21" t="n"/>
      <c r="I200" s="22">
        <f>IF(NOT(AND(C200&lt;&gt;"",ISNUMBER(B200))),"",IF(N(IFERROR(INDEX(Crops!$F$6:$F$65,MATCH(C200,Crops!$B$6:$B$65,0)),0))&gt;0,INT(B200)+N(IFERROR(INDEX(Crops!$F$6:$F$65,MATCH(C200,Crops!$B$6:$B$65,0)),0)),""))</f>
        <v/>
      </c>
      <c r="J200" s="16">
        <f>IF(NOT(AND(C200&lt;&gt;"",ISNUMBER(B200))),"",IF(ISNUMBER(G200),"Done",IF(INT(B200)&gt;TODAY(),"Planned",IF(COUNTIFS(Harvest!$C$6:$C$1505,C200,Harvest!$D$6:$D$1505,D200&amp;"",Harvest!$L$6:$L$1505,"&gt;="&amp;INT(B200))&gt;0,"Picking","Growing"))))</f>
        <v/>
      </c>
      <c r="K200" s="14">
        <f>IF(OR(NOT(AND(C200&lt;&gt;"",ISNUMBER(B200))),J200="Planned"),"",IF(ISNUMBER(G200),INT(G200),TODAY())-INT(B200))</f>
        <v/>
      </c>
      <c r="L200" s="11">
        <f>IF(AND(B200="",C200="",D200=""),"",IF(NOT(ISNUMBER(B200)),"Needs a date",IF(C200="","Needs a crop",IF(COUNTIF(Crops!$B$6:$B$65,C200)=0,"Not on Crops",IF(AND(D200&lt;&gt;"",COUNTIF(Beds!$B$6:$B$35,D200)=0),"Not on Beds",IF(AND(ISNUMBER(G200),G200&lt;B200),"Cleared before it was planted",""))))))</f>
        <v/>
      </c>
      <c r="M200" s="11">
        <f>IF(OR(L200&lt;&gt;"",D200="",O200=""),"",IF(COUNTIFS(Plantings!$D$6:$D$505,D200,Plantings!$O$6:$O$505,O200,Plantings!$N$6:$N$505,N200-1)&gt;0,"Same family here last year",""))</f>
        <v/>
      </c>
      <c r="N200" s="1">
        <f>IF(ISNUMBER(B200),YEAR(B200),"")</f>
        <v/>
      </c>
      <c r="O200">
        <f>IF(C200="","",IFERROR(INDEX(Crops!$C$6:$C$65,MATCH(C200,Crops!$B$6:$B$65,0))&amp;"",""))</f>
        <v/>
      </c>
      <c r="P200">
        <f>IF(ISNUMBER(B200),INT(B200),0)</f>
        <v/>
      </c>
      <c r="Q200">
        <f>IF(AND(L200="",OR(J200="Growing",J200="Picking")),1,0)</f>
        <v/>
      </c>
      <c r="R200">
        <f>IF(AND(Q200=1,D200&lt;&gt;""),P200*1000+ROW(),0)</f>
        <v/>
      </c>
      <c r="S200">
        <f>IF(AND(AND(C200&lt;&gt;"",ISNUMBER(B200)),L200=""),1,0)</f>
        <v/>
      </c>
    </row>
    <row r="201">
      <c r="A201" s="1" t="n"/>
      <c r="B201" s="17" t="n"/>
      <c r="C201" s="18" t="n"/>
      <c r="D201" s="19" t="n"/>
      <c r="E201" s="19" t="n"/>
      <c r="F201" s="20" t="n"/>
      <c r="G201" s="17" t="n"/>
      <c r="H201" s="21" t="n"/>
      <c r="I201" s="22">
        <f>IF(NOT(AND(C201&lt;&gt;"",ISNUMBER(B201))),"",IF(N(IFERROR(INDEX(Crops!$F$6:$F$65,MATCH(C201,Crops!$B$6:$B$65,0)),0))&gt;0,INT(B201)+N(IFERROR(INDEX(Crops!$F$6:$F$65,MATCH(C201,Crops!$B$6:$B$65,0)),0)),""))</f>
        <v/>
      </c>
      <c r="J201" s="16">
        <f>IF(NOT(AND(C201&lt;&gt;"",ISNUMBER(B201))),"",IF(ISNUMBER(G201),"Done",IF(INT(B201)&gt;TODAY(),"Planned",IF(COUNTIFS(Harvest!$C$6:$C$1505,C201,Harvest!$D$6:$D$1505,D201&amp;"",Harvest!$L$6:$L$1505,"&gt;="&amp;INT(B201))&gt;0,"Picking","Growing"))))</f>
        <v/>
      </c>
      <c r="K201" s="14">
        <f>IF(OR(NOT(AND(C201&lt;&gt;"",ISNUMBER(B201))),J201="Planned"),"",IF(ISNUMBER(G201),INT(G201),TODAY())-INT(B201))</f>
        <v/>
      </c>
      <c r="L201" s="11">
        <f>IF(AND(B201="",C201="",D201=""),"",IF(NOT(ISNUMBER(B201)),"Needs a date",IF(C201="","Needs a crop",IF(COUNTIF(Crops!$B$6:$B$65,C201)=0,"Not on Crops",IF(AND(D201&lt;&gt;"",COUNTIF(Beds!$B$6:$B$35,D201)=0),"Not on Beds",IF(AND(ISNUMBER(G201),G201&lt;B201),"Cleared before it was planted",""))))))</f>
        <v/>
      </c>
      <c r="M201" s="11">
        <f>IF(OR(L201&lt;&gt;"",D201="",O201=""),"",IF(COUNTIFS(Plantings!$D$6:$D$505,D201,Plantings!$O$6:$O$505,O201,Plantings!$N$6:$N$505,N201-1)&gt;0,"Same family here last year",""))</f>
        <v/>
      </c>
      <c r="N201" s="1">
        <f>IF(ISNUMBER(B201),YEAR(B201),"")</f>
        <v/>
      </c>
      <c r="O201">
        <f>IF(C201="","",IFERROR(INDEX(Crops!$C$6:$C$65,MATCH(C201,Crops!$B$6:$B$65,0))&amp;"",""))</f>
        <v/>
      </c>
      <c r="P201">
        <f>IF(ISNUMBER(B201),INT(B201),0)</f>
        <v/>
      </c>
      <c r="Q201">
        <f>IF(AND(L201="",OR(J201="Growing",J201="Picking")),1,0)</f>
        <v/>
      </c>
      <c r="R201">
        <f>IF(AND(Q201=1,D201&lt;&gt;""),P201*1000+ROW(),0)</f>
        <v/>
      </c>
      <c r="S201">
        <f>IF(AND(AND(C201&lt;&gt;"",ISNUMBER(B201)),L201=""),1,0)</f>
        <v/>
      </c>
    </row>
    <row r="202">
      <c r="A202" s="1" t="n"/>
      <c r="B202" s="17" t="n"/>
      <c r="C202" s="18" t="n"/>
      <c r="D202" s="19" t="n"/>
      <c r="E202" s="19" t="n"/>
      <c r="F202" s="20" t="n"/>
      <c r="G202" s="17" t="n"/>
      <c r="H202" s="21" t="n"/>
      <c r="I202" s="22">
        <f>IF(NOT(AND(C202&lt;&gt;"",ISNUMBER(B202))),"",IF(N(IFERROR(INDEX(Crops!$F$6:$F$65,MATCH(C202,Crops!$B$6:$B$65,0)),0))&gt;0,INT(B202)+N(IFERROR(INDEX(Crops!$F$6:$F$65,MATCH(C202,Crops!$B$6:$B$65,0)),0)),""))</f>
        <v/>
      </c>
      <c r="J202" s="16">
        <f>IF(NOT(AND(C202&lt;&gt;"",ISNUMBER(B202))),"",IF(ISNUMBER(G202),"Done",IF(INT(B202)&gt;TODAY(),"Planned",IF(COUNTIFS(Harvest!$C$6:$C$1505,C202,Harvest!$D$6:$D$1505,D202&amp;"",Harvest!$L$6:$L$1505,"&gt;="&amp;INT(B202))&gt;0,"Picking","Growing"))))</f>
        <v/>
      </c>
      <c r="K202" s="14">
        <f>IF(OR(NOT(AND(C202&lt;&gt;"",ISNUMBER(B202))),J202="Planned"),"",IF(ISNUMBER(G202),INT(G202),TODAY())-INT(B202))</f>
        <v/>
      </c>
      <c r="L202" s="11">
        <f>IF(AND(B202="",C202="",D202=""),"",IF(NOT(ISNUMBER(B202)),"Needs a date",IF(C202="","Needs a crop",IF(COUNTIF(Crops!$B$6:$B$65,C202)=0,"Not on Crops",IF(AND(D202&lt;&gt;"",COUNTIF(Beds!$B$6:$B$35,D202)=0),"Not on Beds",IF(AND(ISNUMBER(G202),G202&lt;B202),"Cleared before it was planted",""))))))</f>
        <v/>
      </c>
      <c r="M202" s="11">
        <f>IF(OR(L202&lt;&gt;"",D202="",O202=""),"",IF(COUNTIFS(Plantings!$D$6:$D$505,D202,Plantings!$O$6:$O$505,O202,Plantings!$N$6:$N$505,N202-1)&gt;0,"Same family here last year",""))</f>
        <v/>
      </c>
      <c r="N202" s="1">
        <f>IF(ISNUMBER(B202),YEAR(B202),"")</f>
        <v/>
      </c>
      <c r="O202">
        <f>IF(C202="","",IFERROR(INDEX(Crops!$C$6:$C$65,MATCH(C202,Crops!$B$6:$B$65,0))&amp;"",""))</f>
        <v/>
      </c>
      <c r="P202">
        <f>IF(ISNUMBER(B202),INT(B202),0)</f>
        <v/>
      </c>
      <c r="Q202">
        <f>IF(AND(L202="",OR(J202="Growing",J202="Picking")),1,0)</f>
        <v/>
      </c>
      <c r="R202">
        <f>IF(AND(Q202=1,D202&lt;&gt;""),P202*1000+ROW(),0)</f>
        <v/>
      </c>
      <c r="S202">
        <f>IF(AND(AND(C202&lt;&gt;"",ISNUMBER(B202)),L202=""),1,0)</f>
        <v/>
      </c>
    </row>
    <row r="203">
      <c r="A203" s="1" t="n"/>
      <c r="B203" s="17" t="n"/>
      <c r="C203" s="18" t="n"/>
      <c r="D203" s="19" t="n"/>
      <c r="E203" s="19" t="n"/>
      <c r="F203" s="20" t="n"/>
      <c r="G203" s="17" t="n"/>
      <c r="H203" s="21" t="n"/>
      <c r="I203" s="22">
        <f>IF(NOT(AND(C203&lt;&gt;"",ISNUMBER(B203))),"",IF(N(IFERROR(INDEX(Crops!$F$6:$F$65,MATCH(C203,Crops!$B$6:$B$65,0)),0))&gt;0,INT(B203)+N(IFERROR(INDEX(Crops!$F$6:$F$65,MATCH(C203,Crops!$B$6:$B$65,0)),0)),""))</f>
        <v/>
      </c>
      <c r="J203" s="16">
        <f>IF(NOT(AND(C203&lt;&gt;"",ISNUMBER(B203))),"",IF(ISNUMBER(G203),"Done",IF(INT(B203)&gt;TODAY(),"Planned",IF(COUNTIFS(Harvest!$C$6:$C$1505,C203,Harvest!$D$6:$D$1505,D203&amp;"",Harvest!$L$6:$L$1505,"&gt;="&amp;INT(B203))&gt;0,"Picking","Growing"))))</f>
        <v/>
      </c>
      <c r="K203" s="14">
        <f>IF(OR(NOT(AND(C203&lt;&gt;"",ISNUMBER(B203))),J203="Planned"),"",IF(ISNUMBER(G203),INT(G203),TODAY())-INT(B203))</f>
        <v/>
      </c>
      <c r="L203" s="11">
        <f>IF(AND(B203="",C203="",D203=""),"",IF(NOT(ISNUMBER(B203)),"Needs a date",IF(C203="","Needs a crop",IF(COUNTIF(Crops!$B$6:$B$65,C203)=0,"Not on Crops",IF(AND(D203&lt;&gt;"",COUNTIF(Beds!$B$6:$B$35,D203)=0),"Not on Beds",IF(AND(ISNUMBER(G203),G203&lt;B203),"Cleared before it was planted",""))))))</f>
        <v/>
      </c>
      <c r="M203" s="11">
        <f>IF(OR(L203&lt;&gt;"",D203="",O203=""),"",IF(COUNTIFS(Plantings!$D$6:$D$505,D203,Plantings!$O$6:$O$505,O203,Plantings!$N$6:$N$505,N203-1)&gt;0,"Same family here last year",""))</f>
        <v/>
      </c>
      <c r="N203" s="1">
        <f>IF(ISNUMBER(B203),YEAR(B203),"")</f>
        <v/>
      </c>
      <c r="O203">
        <f>IF(C203="","",IFERROR(INDEX(Crops!$C$6:$C$65,MATCH(C203,Crops!$B$6:$B$65,0))&amp;"",""))</f>
        <v/>
      </c>
      <c r="P203">
        <f>IF(ISNUMBER(B203),INT(B203),0)</f>
        <v/>
      </c>
      <c r="Q203">
        <f>IF(AND(L203="",OR(J203="Growing",J203="Picking")),1,0)</f>
        <v/>
      </c>
      <c r="R203">
        <f>IF(AND(Q203=1,D203&lt;&gt;""),P203*1000+ROW(),0)</f>
        <v/>
      </c>
      <c r="S203">
        <f>IF(AND(AND(C203&lt;&gt;"",ISNUMBER(B203)),L203=""),1,0)</f>
        <v/>
      </c>
    </row>
    <row r="204">
      <c r="A204" s="1" t="n"/>
      <c r="B204" s="17" t="n"/>
      <c r="C204" s="18" t="n"/>
      <c r="D204" s="19" t="n"/>
      <c r="E204" s="19" t="n"/>
      <c r="F204" s="20" t="n"/>
      <c r="G204" s="17" t="n"/>
      <c r="H204" s="21" t="n"/>
      <c r="I204" s="22">
        <f>IF(NOT(AND(C204&lt;&gt;"",ISNUMBER(B204))),"",IF(N(IFERROR(INDEX(Crops!$F$6:$F$65,MATCH(C204,Crops!$B$6:$B$65,0)),0))&gt;0,INT(B204)+N(IFERROR(INDEX(Crops!$F$6:$F$65,MATCH(C204,Crops!$B$6:$B$65,0)),0)),""))</f>
        <v/>
      </c>
      <c r="J204" s="16">
        <f>IF(NOT(AND(C204&lt;&gt;"",ISNUMBER(B204))),"",IF(ISNUMBER(G204),"Done",IF(INT(B204)&gt;TODAY(),"Planned",IF(COUNTIFS(Harvest!$C$6:$C$1505,C204,Harvest!$D$6:$D$1505,D204&amp;"",Harvest!$L$6:$L$1505,"&gt;="&amp;INT(B204))&gt;0,"Picking","Growing"))))</f>
        <v/>
      </c>
      <c r="K204" s="14">
        <f>IF(OR(NOT(AND(C204&lt;&gt;"",ISNUMBER(B204))),J204="Planned"),"",IF(ISNUMBER(G204),INT(G204),TODAY())-INT(B204))</f>
        <v/>
      </c>
      <c r="L204" s="11">
        <f>IF(AND(B204="",C204="",D204=""),"",IF(NOT(ISNUMBER(B204)),"Needs a date",IF(C204="","Needs a crop",IF(COUNTIF(Crops!$B$6:$B$65,C204)=0,"Not on Crops",IF(AND(D204&lt;&gt;"",COUNTIF(Beds!$B$6:$B$35,D204)=0),"Not on Beds",IF(AND(ISNUMBER(G204),G204&lt;B204),"Cleared before it was planted",""))))))</f>
        <v/>
      </c>
      <c r="M204" s="11">
        <f>IF(OR(L204&lt;&gt;"",D204="",O204=""),"",IF(COUNTIFS(Plantings!$D$6:$D$505,D204,Plantings!$O$6:$O$505,O204,Plantings!$N$6:$N$505,N204-1)&gt;0,"Same family here last year",""))</f>
        <v/>
      </c>
      <c r="N204" s="1">
        <f>IF(ISNUMBER(B204),YEAR(B204),"")</f>
        <v/>
      </c>
      <c r="O204">
        <f>IF(C204="","",IFERROR(INDEX(Crops!$C$6:$C$65,MATCH(C204,Crops!$B$6:$B$65,0))&amp;"",""))</f>
        <v/>
      </c>
      <c r="P204">
        <f>IF(ISNUMBER(B204),INT(B204),0)</f>
        <v/>
      </c>
      <c r="Q204">
        <f>IF(AND(L204="",OR(J204="Growing",J204="Picking")),1,0)</f>
        <v/>
      </c>
      <c r="R204">
        <f>IF(AND(Q204=1,D204&lt;&gt;""),P204*1000+ROW(),0)</f>
        <v/>
      </c>
      <c r="S204">
        <f>IF(AND(AND(C204&lt;&gt;"",ISNUMBER(B204)),L204=""),1,0)</f>
        <v/>
      </c>
    </row>
    <row r="205">
      <c r="A205" s="1" t="n"/>
      <c r="B205" s="17" t="n"/>
      <c r="C205" s="18" t="n"/>
      <c r="D205" s="19" t="n"/>
      <c r="E205" s="19" t="n"/>
      <c r="F205" s="20" t="n"/>
      <c r="G205" s="17" t="n"/>
      <c r="H205" s="21" t="n"/>
      <c r="I205" s="22">
        <f>IF(NOT(AND(C205&lt;&gt;"",ISNUMBER(B205))),"",IF(N(IFERROR(INDEX(Crops!$F$6:$F$65,MATCH(C205,Crops!$B$6:$B$65,0)),0))&gt;0,INT(B205)+N(IFERROR(INDEX(Crops!$F$6:$F$65,MATCH(C205,Crops!$B$6:$B$65,0)),0)),""))</f>
        <v/>
      </c>
      <c r="J205" s="16">
        <f>IF(NOT(AND(C205&lt;&gt;"",ISNUMBER(B205))),"",IF(ISNUMBER(G205),"Done",IF(INT(B205)&gt;TODAY(),"Planned",IF(COUNTIFS(Harvest!$C$6:$C$1505,C205,Harvest!$D$6:$D$1505,D205&amp;"",Harvest!$L$6:$L$1505,"&gt;="&amp;INT(B205))&gt;0,"Picking","Growing"))))</f>
        <v/>
      </c>
      <c r="K205" s="14">
        <f>IF(OR(NOT(AND(C205&lt;&gt;"",ISNUMBER(B205))),J205="Planned"),"",IF(ISNUMBER(G205),INT(G205),TODAY())-INT(B205))</f>
        <v/>
      </c>
      <c r="L205" s="11">
        <f>IF(AND(B205="",C205="",D205=""),"",IF(NOT(ISNUMBER(B205)),"Needs a date",IF(C205="","Needs a crop",IF(COUNTIF(Crops!$B$6:$B$65,C205)=0,"Not on Crops",IF(AND(D205&lt;&gt;"",COUNTIF(Beds!$B$6:$B$35,D205)=0),"Not on Beds",IF(AND(ISNUMBER(G205),G205&lt;B205),"Cleared before it was planted",""))))))</f>
        <v/>
      </c>
      <c r="M205" s="11">
        <f>IF(OR(L205&lt;&gt;"",D205="",O205=""),"",IF(COUNTIFS(Plantings!$D$6:$D$505,D205,Plantings!$O$6:$O$505,O205,Plantings!$N$6:$N$505,N205-1)&gt;0,"Same family here last year",""))</f>
        <v/>
      </c>
      <c r="N205" s="1">
        <f>IF(ISNUMBER(B205),YEAR(B205),"")</f>
        <v/>
      </c>
      <c r="O205">
        <f>IF(C205="","",IFERROR(INDEX(Crops!$C$6:$C$65,MATCH(C205,Crops!$B$6:$B$65,0))&amp;"",""))</f>
        <v/>
      </c>
      <c r="P205">
        <f>IF(ISNUMBER(B205),INT(B205),0)</f>
        <v/>
      </c>
      <c r="Q205">
        <f>IF(AND(L205="",OR(J205="Growing",J205="Picking")),1,0)</f>
        <v/>
      </c>
      <c r="R205">
        <f>IF(AND(Q205=1,D205&lt;&gt;""),P205*1000+ROW(),0)</f>
        <v/>
      </c>
      <c r="S205">
        <f>IF(AND(AND(C205&lt;&gt;"",ISNUMBER(B205)),L205=""),1,0)</f>
        <v/>
      </c>
    </row>
    <row r="206">
      <c r="A206" s="1" t="n"/>
      <c r="B206" s="17" t="n"/>
      <c r="C206" s="18" t="n"/>
      <c r="D206" s="19" t="n"/>
      <c r="E206" s="19" t="n"/>
      <c r="F206" s="20" t="n"/>
      <c r="G206" s="17" t="n"/>
      <c r="H206" s="21" t="n"/>
      <c r="I206" s="22">
        <f>IF(NOT(AND(C206&lt;&gt;"",ISNUMBER(B206))),"",IF(N(IFERROR(INDEX(Crops!$F$6:$F$65,MATCH(C206,Crops!$B$6:$B$65,0)),0))&gt;0,INT(B206)+N(IFERROR(INDEX(Crops!$F$6:$F$65,MATCH(C206,Crops!$B$6:$B$65,0)),0)),""))</f>
        <v/>
      </c>
      <c r="J206" s="16">
        <f>IF(NOT(AND(C206&lt;&gt;"",ISNUMBER(B206))),"",IF(ISNUMBER(G206),"Done",IF(INT(B206)&gt;TODAY(),"Planned",IF(COUNTIFS(Harvest!$C$6:$C$1505,C206,Harvest!$D$6:$D$1505,D206&amp;"",Harvest!$L$6:$L$1505,"&gt;="&amp;INT(B206))&gt;0,"Picking","Growing"))))</f>
        <v/>
      </c>
      <c r="K206" s="14">
        <f>IF(OR(NOT(AND(C206&lt;&gt;"",ISNUMBER(B206))),J206="Planned"),"",IF(ISNUMBER(G206),INT(G206),TODAY())-INT(B206))</f>
        <v/>
      </c>
      <c r="L206" s="11">
        <f>IF(AND(B206="",C206="",D206=""),"",IF(NOT(ISNUMBER(B206)),"Needs a date",IF(C206="","Needs a crop",IF(COUNTIF(Crops!$B$6:$B$65,C206)=0,"Not on Crops",IF(AND(D206&lt;&gt;"",COUNTIF(Beds!$B$6:$B$35,D206)=0),"Not on Beds",IF(AND(ISNUMBER(G206),G206&lt;B206),"Cleared before it was planted",""))))))</f>
        <v/>
      </c>
      <c r="M206" s="11">
        <f>IF(OR(L206&lt;&gt;"",D206="",O206=""),"",IF(COUNTIFS(Plantings!$D$6:$D$505,D206,Plantings!$O$6:$O$505,O206,Plantings!$N$6:$N$505,N206-1)&gt;0,"Same family here last year",""))</f>
        <v/>
      </c>
      <c r="N206" s="1">
        <f>IF(ISNUMBER(B206),YEAR(B206),"")</f>
        <v/>
      </c>
      <c r="O206">
        <f>IF(C206="","",IFERROR(INDEX(Crops!$C$6:$C$65,MATCH(C206,Crops!$B$6:$B$65,0))&amp;"",""))</f>
        <v/>
      </c>
      <c r="P206">
        <f>IF(ISNUMBER(B206),INT(B206),0)</f>
        <v/>
      </c>
      <c r="Q206">
        <f>IF(AND(L206="",OR(J206="Growing",J206="Picking")),1,0)</f>
        <v/>
      </c>
      <c r="R206">
        <f>IF(AND(Q206=1,D206&lt;&gt;""),P206*1000+ROW(),0)</f>
        <v/>
      </c>
      <c r="S206">
        <f>IF(AND(AND(C206&lt;&gt;"",ISNUMBER(B206)),L206=""),1,0)</f>
        <v/>
      </c>
    </row>
    <row r="207">
      <c r="A207" s="1" t="n"/>
      <c r="B207" s="17" t="n"/>
      <c r="C207" s="18" t="n"/>
      <c r="D207" s="19" t="n"/>
      <c r="E207" s="19" t="n"/>
      <c r="F207" s="20" t="n"/>
      <c r="G207" s="17" t="n"/>
      <c r="H207" s="21" t="n"/>
      <c r="I207" s="22">
        <f>IF(NOT(AND(C207&lt;&gt;"",ISNUMBER(B207))),"",IF(N(IFERROR(INDEX(Crops!$F$6:$F$65,MATCH(C207,Crops!$B$6:$B$65,0)),0))&gt;0,INT(B207)+N(IFERROR(INDEX(Crops!$F$6:$F$65,MATCH(C207,Crops!$B$6:$B$65,0)),0)),""))</f>
        <v/>
      </c>
      <c r="J207" s="16">
        <f>IF(NOT(AND(C207&lt;&gt;"",ISNUMBER(B207))),"",IF(ISNUMBER(G207),"Done",IF(INT(B207)&gt;TODAY(),"Planned",IF(COUNTIFS(Harvest!$C$6:$C$1505,C207,Harvest!$D$6:$D$1505,D207&amp;"",Harvest!$L$6:$L$1505,"&gt;="&amp;INT(B207))&gt;0,"Picking","Growing"))))</f>
        <v/>
      </c>
      <c r="K207" s="14">
        <f>IF(OR(NOT(AND(C207&lt;&gt;"",ISNUMBER(B207))),J207="Planned"),"",IF(ISNUMBER(G207),INT(G207),TODAY())-INT(B207))</f>
        <v/>
      </c>
      <c r="L207" s="11">
        <f>IF(AND(B207="",C207="",D207=""),"",IF(NOT(ISNUMBER(B207)),"Needs a date",IF(C207="","Needs a crop",IF(COUNTIF(Crops!$B$6:$B$65,C207)=0,"Not on Crops",IF(AND(D207&lt;&gt;"",COUNTIF(Beds!$B$6:$B$35,D207)=0),"Not on Beds",IF(AND(ISNUMBER(G207),G207&lt;B207),"Cleared before it was planted",""))))))</f>
        <v/>
      </c>
      <c r="M207" s="11">
        <f>IF(OR(L207&lt;&gt;"",D207="",O207=""),"",IF(COUNTIFS(Plantings!$D$6:$D$505,D207,Plantings!$O$6:$O$505,O207,Plantings!$N$6:$N$505,N207-1)&gt;0,"Same family here last year",""))</f>
        <v/>
      </c>
      <c r="N207" s="1">
        <f>IF(ISNUMBER(B207),YEAR(B207),"")</f>
        <v/>
      </c>
      <c r="O207">
        <f>IF(C207="","",IFERROR(INDEX(Crops!$C$6:$C$65,MATCH(C207,Crops!$B$6:$B$65,0))&amp;"",""))</f>
        <v/>
      </c>
      <c r="P207">
        <f>IF(ISNUMBER(B207),INT(B207),0)</f>
        <v/>
      </c>
      <c r="Q207">
        <f>IF(AND(L207="",OR(J207="Growing",J207="Picking")),1,0)</f>
        <v/>
      </c>
      <c r="R207">
        <f>IF(AND(Q207=1,D207&lt;&gt;""),P207*1000+ROW(),0)</f>
        <v/>
      </c>
      <c r="S207">
        <f>IF(AND(AND(C207&lt;&gt;"",ISNUMBER(B207)),L207=""),1,0)</f>
        <v/>
      </c>
    </row>
    <row r="208">
      <c r="A208" s="1" t="n"/>
      <c r="B208" s="17" t="n"/>
      <c r="C208" s="18" t="n"/>
      <c r="D208" s="19" t="n"/>
      <c r="E208" s="19" t="n"/>
      <c r="F208" s="20" t="n"/>
      <c r="G208" s="17" t="n"/>
      <c r="H208" s="21" t="n"/>
      <c r="I208" s="22">
        <f>IF(NOT(AND(C208&lt;&gt;"",ISNUMBER(B208))),"",IF(N(IFERROR(INDEX(Crops!$F$6:$F$65,MATCH(C208,Crops!$B$6:$B$65,0)),0))&gt;0,INT(B208)+N(IFERROR(INDEX(Crops!$F$6:$F$65,MATCH(C208,Crops!$B$6:$B$65,0)),0)),""))</f>
        <v/>
      </c>
      <c r="J208" s="16">
        <f>IF(NOT(AND(C208&lt;&gt;"",ISNUMBER(B208))),"",IF(ISNUMBER(G208),"Done",IF(INT(B208)&gt;TODAY(),"Planned",IF(COUNTIFS(Harvest!$C$6:$C$1505,C208,Harvest!$D$6:$D$1505,D208&amp;"",Harvest!$L$6:$L$1505,"&gt;="&amp;INT(B208))&gt;0,"Picking","Growing"))))</f>
        <v/>
      </c>
      <c r="K208" s="14">
        <f>IF(OR(NOT(AND(C208&lt;&gt;"",ISNUMBER(B208))),J208="Planned"),"",IF(ISNUMBER(G208),INT(G208),TODAY())-INT(B208))</f>
        <v/>
      </c>
      <c r="L208" s="11">
        <f>IF(AND(B208="",C208="",D208=""),"",IF(NOT(ISNUMBER(B208)),"Needs a date",IF(C208="","Needs a crop",IF(COUNTIF(Crops!$B$6:$B$65,C208)=0,"Not on Crops",IF(AND(D208&lt;&gt;"",COUNTIF(Beds!$B$6:$B$35,D208)=0),"Not on Beds",IF(AND(ISNUMBER(G208),G208&lt;B208),"Cleared before it was planted",""))))))</f>
        <v/>
      </c>
      <c r="M208" s="11">
        <f>IF(OR(L208&lt;&gt;"",D208="",O208=""),"",IF(COUNTIFS(Plantings!$D$6:$D$505,D208,Plantings!$O$6:$O$505,O208,Plantings!$N$6:$N$505,N208-1)&gt;0,"Same family here last year",""))</f>
        <v/>
      </c>
      <c r="N208" s="1">
        <f>IF(ISNUMBER(B208),YEAR(B208),"")</f>
        <v/>
      </c>
      <c r="O208">
        <f>IF(C208="","",IFERROR(INDEX(Crops!$C$6:$C$65,MATCH(C208,Crops!$B$6:$B$65,0))&amp;"",""))</f>
        <v/>
      </c>
      <c r="P208">
        <f>IF(ISNUMBER(B208),INT(B208),0)</f>
        <v/>
      </c>
      <c r="Q208">
        <f>IF(AND(L208="",OR(J208="Growing",J208="Picking")),1,0)</f>
        <v/>
      </c>
      <c r="R208">
        <f>IF(AND(Q208=1,D208&lt;&gt;""),P208*1000+ROW(),0)</f>
        <v/>
      </c>
      <c r="S208">
        <f>IF(AND(AND(C208&lt;&gt;"",ISNUMBER(B208)),L208=""),1,0)</f>
        <v/>
      </c>
    </row>
    <row r="209">
      <c r="A209" s="1" t="n"/>
      <c r="B209" s="17" t="n"/>
      <c r="C209" s="18" t="n"/>
      <c r="D209" s="19" t="n"/>
      <c r="E209" s="19" t="n"/>
      <c r="F209" s="20" t="n"/>
      <c r="G209" s="17" t="n"/>
      <c r="H209" s="21" t="n"/>
      <c r="I209" s="22">
        <f>IF(NOT(AND(C209&lt;&gt;"",ISNUMBER(B209))),"",IF(N(IFERROR(INDEX(Crops!$F$6:$F$65,MATCH(C209,Crops!$B$6:$B$65,0)),0))&gt;0,INT(B209)+N(IFERROR(INDEX(Crops!$F$6:$F$65,MATCH(C209,Crops!$B$6:$B$65,0)),0)),""))</f>
        <v/>
      </c>
      <c r="J209" s="16">
        <f>IF(NOT(AND(C209&lt;&gt;"",ISNUMBER(B209))),"",IF(ISNUMBER(G209),"Done",IF(INT(B209)&gt;TODAY(),"Planned",IF(COUNTIFS(Harvest!$C$6:$C$1505,C209,Harvest!$D$6:$D$1505,D209&amp;"",Harvest!$L$6:$L$1505,"&gt;="&amp;INT(B209))&gt;0,"Picking","Growing"))))</f>
        <v/>
      </c>
      <c r="K209" s="14">
        <f>IF(OR(NOT(AND(C209&lt;&gt;"",ISNUMBER(B209))),J209="Planned"),"",IF(ISNUMBER(G209),INT(G209),TODAY())-INT(B209))</f>
        <v/>
      </c>
      <c r="L209" s="11">
        <f>IF(AND(B209="",C209="",D209=""),"",IF(NOT(ISNUMBER(B209)),"Needs a date",IF(C209="","Needs a crop",IF(COUNTIF(Crops!$B$6:$B$65,C209)=0,"Not on Crops",IF(AND(D209&lt;&gt;"",COUNTIF(Beds!$B$6:$B$35,D209)=0),"Not on Beds",IF(AND(ISNUMBER(G209),G209&lt;B209),"Cleared before it was planted",""))))))</f>
        <v/>
      </c>
      <c r="M209" s="11">
        <f>IF(OR(L209&lt;&gt;"",D209="",O209=""),"",IF(COUNTIFS(Plantings!$D$6:$D$505,D209,Plantings!$O$6:$O$505,O209,Plantings!$N$6:$N$505,N209-1)&gt;0,"Same family here last year",""))</f>
        <v/>
      </c>
      <c r="N209" s="1">
        <f>IF(ISNUMBER(B209),YEAR(B209),"")</f>
        <v/>
      </c>
      <c r="O209">
        <f>IF(C209="","",IFERROR(INDEX(Crops!$C$6:$C$65,MATCH(C209,Crops!$B$6:$B$65,0))&amp;"",""))</f>
        <v/>
      </c>
      <c r="P209">
        <f>IF(ISNUMBER(B209),INT(B209),0)</f>
        <v/>
      </c>
      <c r="Q209">
        <f>IF(AND(L209="",OR(J209="Growing",J209="Picking")),1,0)</f>
        <v/>
      </c>
      <c r="R209">
        <f>IF(AND(Q209=1,D209&lt;&gt;""),P209*1000+ROW(),0)</f>
        <v/>
      </c>
      <c r="S209">
        <f>IF(AND(AND(C209&lt;&gt;"",ISNUMBER(B209)),L209=""),1,0)</f>
        <v/>
      </c>
    </row>
    <row r="210">
      <c r="A210" s="1" t="n"/>
      <c r="B210" s="17" t="n"/>
      <c r="C210" s="18" t="n"/>
      <c r="D210" s="19" t="n"/>
      <c r="E210" s="19" t="n"/>
      <c r="F210" s="20" t="n"/>
      <c r="G210" s="17" t="n"/>
      <c r="H210" s="21" t="n"/>
      <c r="I210" s="22">
        <f>IF(NOT(AND(C210&lt;&gt;"",ISNUMBER(B210))),"",IF(N(IFERROR(INDEX(Crops!$F$6:$F$65,MATCH(C210,Crops!$B$6:$B$65,0)),0))&gt;0,INT(B210)+N(IFERROR(INDEX(Crops!$F$6:$F$65,MATCH(C210,Crops!$B$6:$B$65,0)),0)),""))</f>
        <v/>
      </c>
      <c r="J210" s="16">
        <f>IF(NOT(AND(C210&lt;&gt;"",ISNUMBER(B210))),"",IF(ISNUMBER(G210),"Done",IF(INT(B210)&gt;TODAY(),"Planned",IF(COUNTIFS(Harvest!$C$6:$C$1505,C210,Harvest!$D$6:$D$1505,D210&amp;"",Harvest!$L$6:$L$1505,"&gt;="&amp;INT(B210))&gt;0,"Picking","Growing"))))</f>
        <v/>
      </c>
      <c r="K210" s="14">
        <f>IF(OR(NOT(AND(C210&lt;&gt;"",ISNUMBER(B210))),J210="Planned"),"",IF(ISNUMBER(G210),INT(G210),TODAY())-INT(B210))</f>
        <v/>
      </c>
      <c r="L210" s="11">
        <f>IF(AND(B210="",C210="",D210=""),"",IF(NOT(ISNUMBER(B210)),"Needs a date",IF(C210="","Needs a crop",IF(COUNTIF(Crops!$B$6:$B$65,C210)=0,"Not on Crops",IF(AND(D210&lt;&gt;"",COUNTIF(Beds!$B$6:$B$35,D210)=0),"Not on Beds",IF(AND(ISNUMBER(G210),G210&lt;B210),"Cleared before it was planted",""))))))</f>
        <v/>
      </c>
      <c r="M210" s="11">
        <f>IF(OR(L210&lt;&gt;"",D210="",O210=""),"",IF(COUNTIFS(Plantings!$D$6:$D$505,D210,Plantings!$O$6:$O$505,O210,Plantings!$N$6:$N$505,N210-1)&gt;0,"Same family here last year",""))</f>
        <v/>
      </c>
      <c r="N210" s="1">
        <f>IF(ISNUMBER(B210),YEAR(B210),"")</f>
        <v/>
      </c>
      <c r="O210">
        <f>IF(C210="","",IFERROR(INDEX(Crops!$C$6:$C$65,MATCH(C210,Crops!$B$6:$B$65,0))&amp;"",""))</f>
        <v/>
      </c>
      <c r="P210">
        <f>IF(ISNUMBER(B210),INT(B210),0)</f>
        <v/>
      </c>
      <c r="Q210">
        <f>IF(AND(L210="",OR(J210="Growing",J210="Picking")),1,0)</f>
        <v/>
      </c>
      <c r="R210">
        <f>IF(AND(Q210=1,D210&lt;&gt;""),P210*1000+ROW(),0)</f>
        <v/>
      </c>
      <c r="S210">
        <f>IF(AND(AND(C210&lt;&gt;"",ISNUMBER(B210)),L210=""),1,0)</f>
        <v/>
      </c>
    </row>
    <row r="211">
      <c r="A211" s="1" t="n"/>
      <c r="B211" s="17" t="n"/>
      <c r="C211" s="18" t="n"/>
      <c r="D211" s="19" t="n"/>
      <c r="E211" s="19" t="n"/>
      <c r="F211" s="20" t="n"/>
      <c r="G211" s="17" t="n"/>
      <c r="H211" s="21" t="n"/>
      <c r="I211" s="22">
        <f>IF(NOT(AND(C211&lt;&gt;"",ISNUMBER(B211))),"",IF(N(IFERROR(INDEX(Crops!$F$6:$F$65,MATCH(C211,Crops!$B$6:$B$65,0)),0))&gt;0,INT(B211)+N(IFERROR(INDEX(Crops!$F$6:$F$65,MATCH(C211,Crops!$B$6:$B$65,0)),0)),""))</f>
        <v/>
      </c>
      <c r="J211" s="16">
        <f>IF(NOT(AND(C211&lt;&gt;"",ISNUMBER(B211))),"",IF(ISNUMBER(G211),"Done",IF(INT(B211)&gt;TODAY(),"Planned",IF(COUNTIFS(Harvest!$C$6:$C$1505,C211,Harvest!$D$6:$D$1505,D211&amp;"",Harvest!$L$6:$L$1505,"&gt;="&amp;INT(B211))&gt;0,"Picking","Growing"))))</f>
        <v/>
      </c>
      <c r="K211" s="14">
        <f>IF(OR(NOT(AND(C211&lt;&gt;"",ISNUMBER(B211))),J211="Planned"),"",IF(ISNUMBER(G211),INT(G211),TODAY())-INT(B211))</f>
        <v/>
      </c>
      <c r="L211" s="11">
        <f>IF(AND(B211="",C211="",D211=""),"",IF(NOT(ISNUMBER(B211)),"Needs a date",IF(C211="","Needs a crop",IF(COUNTIF(Crops!$B$6:$B$65,C211)=0,"Not on Crops",IF(AND(D211&lt;&gt;"",COUNTIF(Beds!$B$6:$B$35,D211)=0),"Not on Beds",IF(AND(ISNUMBER(G211),G211&lt;B211),"Cleared before it was planted",""))))))</f>
        <v/>
      </c>
      <c r="M211" s="11">
        <f>IF(OR(L211&lt;&gt;"",D211="",O211=""),"",IF(COUNTIFS(Plantings!$D$6:$D$505,D211,Plantings!$O$6:$O$505,O211,Plantings!$N$6:$N$505,N211-1)&gt;0,"Same family here last year",""))</f>
        <v/>
      </c>
      <c r="N211" s="1">
        <f>IF(ISNUMBER(B211),YEAR(B211),"")</f>
        <v/>
      </c>
      <c r="O211">
        <f>IF(C211="","",IFERROR(INDEX(Crops!$C$6:$C$65,MATCH(C211,Crops!$B$6:$B$65,0))&amp;"",""))</f>
        <v/>
      </c>
      <c r="P211">
        <f>IF(ISNUMBER(B211),INT(B211),0)</f>
        <v/>
      </c>
      <c r="Q211">
        <f>IF(AND(L211="",OR(J211="Growing",J211="Picking")),1,0)</f>
        <v/>
      </c>
      <c r="R211">
        <f>IF(AND(Q211=1,D211&lt;&gt;""),P211*1000+ROW(),0)</f>
        <v/>
      </c>
      <c r="S211">
        <f>IF(AND(AND(C211&lt;&gt;"",ISNUMBER(B211)),L211=""),1,0)</f>
        <v/>
      </c>
    </row>
    <row r="212">
      <c r="A212" s="1" t="n"/>
      <c r="B212" s="17" t="n"/>
      <c r="C212" s="18" t="n"/>
      <c r="D212" s="19" t="n"/>
      <c r="E212" s="19" t="n"/>
      <c r="F212" s="20" t="n"/>
      <c r="G212" s="17" t="n"/>
      <c r="H212" s="21" t="n"/>
      <c r="I212" s="22">
        <f>IF(NOT(AND(C212&lt;&gt;"",ISNUMBER(B212))),"",IF(N(IFERROR(INDEX(Crops!$F$6:$F$65,MATCH(C212,Crops!$B$6:$B$65,0)),0))&gt;0,INT(B212)+N(IFERROR(INDEX(Crops!$F$6:$F$65,MATCH(C212,Crops!$B$6:$B$65,0)),0)),""))</f>
        <v/>
      </c>
      <c r="J212" s="16">
        <f>IF(NOT(AND(C212&lt;&gt;"",ISNUMBER(B212))),"",IF(ISNUMBER(G212),"Done",IF(INT(B212)&gt;TODAY(),"Planned",IF(COUNTIFS(Harvest!$C$6:$C$1505,C212,Harvest!$D$6:$D$1505,D212&amp;"",Harvest!$L$6:$L$1505,"&gt;="&amp;INT(B212))&gt;0,"Picking","Growing"))))</f>
        <v/>
      </c>
      <c r="K212" s="14">
        <f>IF(OR(NOT(AND(C212&lt;&gt;"",ISNUMBER(B212))),J212="Planned"),"",IF(ISNUMBER(G212),INT(G212),TODAY())-INT(B212))</f>
        <v/>
      </c>
      <c r="L212" s="11">
        <f>IF(AND(B212="",C212="",D212=""),"",IF(NOT(ISNUMBER(B212)),"Needs a date",IF(C212="","Needs a crop",IF(COUNTIF(Crops!$B$6:$B$65,C212)=0,"Not on Crops",IF(AND(D212&lt;&gt;"",COUNTIF(Beds!$B$6:$B$35,D212)=0),"Not on Beds",IF(AND(ISNUMBER(G212),G212&lt;B212),"Cleared before it was planted",""))))))</f>
        <v/>
      </c>
      <c r="M212" s="11">
        <f>IF(OR(L212&lt;&gt;"",D212="",O212=""),"",IF(COUNTIFS(Plantings!$D$6:$D$505,D212,Plantings!$O$6:$O$505,O212,Plantings!$N$6:$N$505,N212-1)&gt;0,"Same family here last year",""))</f>
        <v/>
      </c>
      <c r="N212" s="1">
        <f>IF(ISNUMBER(B212),YEAR(B212),"")</f>
        <v/>
      </c>
      <c r="O212">
        <f>IF(C212="","",IFERROR(INDEX(Crops!$C$6:$C$65,MATCH(C212,Crops!$B$6:$B$65,0))&amp;"",""))</f>
        <v/>
      </c>
      <c r="P212">
        <f>IF(ISNUMBER(B212),INT(B212),0)</f>
        <v/>
      </c>
      <c r="Q212">
        <f>IF(AND(L212="",OR(J212="Growing",J212="Picking")),1,0)</f>
        <v/>
      </c>
      <c r="R212">
        <f>IF(AND(Q212=1,D212&lt;&gt;""),P212*1000+ROW(),0)</f>
        <v/>
      </c>
      <c r="S212">
        <f>IF(AND(AND(C212&lt;&gt;"",ISNUMBER(B212)),L212=""),1,0)</f>
        <v/>
      </c>
    </row>
    <row r="213">
      <c r="A213" s="1" t="n"/>
      <c r="B213" s="17" t="n"/>
      <c r="C213" s="18" t="n"/>
      <c r="D213" s="19" t="n"/>
      <c r="E213" s="19" t="n"/>
      <c r="F213" s="20" t="n"/>
      <c r="G213" s="17" t="n"/>
      <c r="H213" s="21" t="n"/>
      <c r="I213" s="22">
        <f>IF(NOT(AND(C213&lt;&gt;"",ISNUMBER(B213))),"",IF(N(IFERROR(INDEX(Crops!$F$6:$F$65,MATCH(C213,Crops!$B$6:$B$65,0)),0))&gt;0,INT(B213)+N(IFERROR(INDEX(Crops!$F$6:$F$65,MATCH(C213,Crops!$B$6:$B$65,0)),0)),""))</f>
        <v/>
      </c>
      <c r="J213" s="16">
        <f>IF(NOT(AND(C213&lt;&gt;"",ISNUMBER(B213))),"",IF(ISNUMBER(G213),"Done",IF(INT(B213)&gt;TODAY(),"Planned",IF(COUNTIFS(Harvest!$C$6:$C$1505,C213,Harvest!$D$6:$D$1505,D213&amp;"",Harvest!$L$6:$L$1505,"&gt;="&amp;INT(B213))&gt;0,"Picking","Growing"))))</f>
        <v/>
      </c>
      <c r="K213" s="14">
        <f>IF(OR(NOT(AND(C213&lt;&gt;"",ISNUMBER(B213))),J213="Planned"),"",IF(ISNUMBER(G213),INT(G213),TODAY())-INT(B213))</f>
        <v/>
      </c>
      <c r="L213" s="11">
        <f>IF(AND(B213="",C213="",D213=""),"",IF(NOT(ISNUMBER(B213)),"Needs a date",IF(C213="","Needs a crop",IF(COUNTIF(Crops!$B$6:$B$65,C213)=0,"Not on Crops",IF(AND(D213&lt;&gt;"",COUNTIF(Beds!$B$6:$B$35,D213)=0),"Not on Beds",IF(AND(ISNUMBER(G213),G213&lt;B213),"Cleared before it was planted",""))))))</f>
        <v/>
      </c>
      <c r="M213" s="11">
        <f>IF(OR(L213&lt;&gt;"",D213="",O213=""),"",IF(COUNTIFS(Plantings!$D$6:$D$505,D213,Plantings!$O$6:$O$505,O213,Plantings!$N$6:$N$505,N213-1)&gt;0,"Same family here last year",""))</f>
        <v/>
      </c>
      <c r="N213" s="1">
        <f>IF(ISNUMBER(B213),YEAR(B213),"")</f>
        <v/>
      </c>
      <c r="O213">
        <f>IF(C213="","",IFERROR(INDEX(Crops!$C$6:$C$65,MATCH(C213,Crops!$B$6:$B$65,0))&amp;"",""))</f>
        <v/>
      </c>
      <c r="P213">
        <f>IF(ISNUMBER(B213),INT(B213),0)</f>
        <v/>
      </c>
      <c r="Q213">
        <f>IF(AND(L213="",OR(J213="Growing",J213="Picking")),1,0)</f>
        <v/>
      </c>
      <c r="R213">
        <f>IF(AND(Q213=1,D213&lt;&gt;""),P213*1000+ROW(),0)</f>
        <v/>
      </c>
      <c r="S213">
        <f>IF(AND(AND(C213&lt;&gt;"",ISNUMBER(B213)),L213=""),1,0)</f>
        <v/>
      </c>
    </row>
    <row r="214">
      <c r="A214" s="1" t="n"/>
      <c r="B214" s="17" t="n"/>
      <c r="C214" s="18" t="n"/>
      <c r="D214" s="19" t="n"/>
      <c r="E214" s="19" t="n"/>
      <c r="F214" s="20" t="n"/>
      <c r="G214" s="17" t="n"/>
      <c r="H214" s="21" t="n"/>
      <c r="I214" s="22">
        <f>IF(NOT(AND(C214&lt;&gt;"",ISNUMBER(B214))),"",IF(N(IFERROR(INDEX(Crops!$F$6:$F$65,MATCH(C214,Crops!$B$6:$B$65,0)),0))&gt;0,INT(B214)+N(IFERROR(INDEX(Crops!$F$6:$F$65,MATCH(C214,Crops!$B$6:$B$65,0)),0)),""))</f>
        <v/>
      </c>
      <c r="J214" s="16">
        <f>IF(NOT(AND(C214&lt;&gt;"",ISNUMBER(B214))),"",IF(ISNUMBER(G214),"Done",IF(INT(B214)&gt;TODAY(),"Planned",IF(COUNTIFS(Harvest!$C$6:$C$1505,C214,Harvest!$D$6:$D$1505,D214&amp;"",Harvest!$L$6:$L$1505,"&gt;="&amp;INT(B214))&gt;0,"Picking","Growing"))))</f>
        <v/>
      </c>
      <c r="K214" s="14">
        <f>IF(OR(NOT(AND(C214&lt;&gt;"",ISNUMBER(B214))),J214="Planned"),"",IF(ISNUMBER(G214),INT(G214),TODAY())-INT(B214))</f>
        <v/>
      </c>
      <c r="L214" s="11">
        <f>IF(AND(B214="",C214="",D214=""),"",IF(NOT(ISNUMBER(B214)),"Needs a date",IF(C214="","Needs a crop",IF(COUNTIF(Crops!$B$6:$B$65,C214)=0,"Not on Crops",IF(AND(D214&lt;&gt;"",COUNTIF(Beds!$B$6:$B$35,D214)=0),"Not on Beds",IF(AND(ISNUMBER(G214),G214&lt;B214),"Cleared before it was planted",""))))))</f>
        <v/>
      </c>
      <c r="M214" s="11">
        <f>IF(OR(L214&lt;&gt;"",D214="",O214=""),"",IF(COUNTIFS(Plantings!$D$6:$D$505,D214,Plantings!$O$6:$O$505,O214,Plantings!$N$6:$N$505,N214-1)&gt;0,"Same family here last year",""))</f>
        <v/>
      </c>
      <c r="N214" s="1">
        <f>IF(ISNUMBER(B214),YEAR(B214),"")</f>
        <v/>
      </c>
      <c r="O214">
        <f>IF(C214="","",IFERROR(INDEX(Crops!$C$6:$C$65,MATCH(C214,Crops!$B$6:$B$65,0))&amp;"",""))</f>
        <v/>
      </c>
      <c r="P214">
        <f>IF(ISNUMBER(B214),INT(B214),0)</f>
        <v/>
      </c>
      <c r="Q214">
        <f>IF(AND(L214="",OR(J214="Growing",J214="Picking")),1,0)</f>
        <v/>
      </c>
      <c r="R214">
        <f>IF(AND(Q214=1,D214&lt;&gt;""),P214*1000+ROW(),0)</f>
        <v/>
      </c>
      <c r="S214">
        <f>IF(AND(AND(C214&lt;&gt;"",ISNUMBER(B214)),L214=""),1,0)</f>
        <v/>
      </c>
    </row>
    <row r="215">
      <c r="A215" s="1" t="n"/>
      <c r="B215" s="17" t="n"/>
      <c r="C215" s="18" t="n"/>
      <c r="D215" s="19" t="n"/>
      <c r="E215" s="19" t="n"/>
      <c r="F215" s="20" t="n"/>
      <c r="G215" s="17" t="n"/>
      <c r="H215" s="21" t="n"/>
      <c r="I215" s="22">
        <f>IF(NOT(AND(C215&lt;&gt;"",ISNUMBER(B215))),"",IF(N(IFERROR(INDEX(Crops!$F$6:$F$65,MATCH(C215,Crops!$B$6:$B$65,0)),0))&gt;0,INT(B215)+N(IFERROR(INDEX(Crops!$F$6:$F$65,MATCH(C215,Crops!$B$6:$B$65,0)),0)),""))</f>
        <v/>
      </c>
      <c r="J215" s="16">
        <f>IF(NOT(AND(C215&lt;&gt;"",ISNUMBER(B215))),"",IF(ISNUMBER(G215),"Done",IF(INT(B215)&gt;TODAY(),"Planned",IF(COUNTIFS(Harvest!$C$6:$C$1505,C215,Harvest!$D$6:$D$1505,D215&amp;"",Harvest!$L$6:$L$1505,"&gt;="&amp;INT(B215))&gt;0,"Picking","Growing"))))</f>
        <v/>
      </c>
      <c r="K215" s="14">
        <f>IF(OR(NOT(AND(C215&lt;&gt;"",ISNUMBER(B215))),J215="Planned"),"",IF(ISNUMBER(G215),INT(G215),TODAY())-INT(B215))</f>
        <v/>
      </c>
      <c r="L215" s="11">
        <f>IF(AND(B215="",C215="",D215=""),"",IF(NOT(ISNUMBER(B215)),"Needs a date",IF(C215="","Needs a crop",IF(COUNTIF(Crops!$B$6:$B$65,C215)=0,"Not on Crops",IF(AND(D215&lt;&gt;"",COUNTIF(Beds!$B$6:$B$35,D215)=0),"Not on Beds",IF(AND(ISNUMBER(G215),G215&lt;B215),"Cleared before it was planted",""))))))</f>
        <v/>
      </c>
      <c r="M215" s="11">
        <f>IF(OR(L215&lt;&gt;"",D215="",O215=""),"",IF(COUNTIFS(Plantings!$D$6:$D$505,D215,Plantings!$O$6:$O$505,O215,Plantings!$N$6:$N$505,N215-1)&gt;0,"Same family here last year",""))</f>
        <v/>
      </c>
      <c r="N215" s="1">
        <f>IF(ISNUMBER(B215),YEAR(B215),"")</f>
        <v/>
      </c>
      <c r="O215">
        <f>IF(C215="","",IFERROR(INDEX(Crops!$C$6:$C$65,MATCH(C215,Crops!$B$6:$B$65,0))&amp;"",""))</f>
        <v/>
      </c>
      <c r="P215">
        <f>IF(ISNUMBER(B215),INT(B215),0)</f>
        <v/>
      </c>
      <c r="Q215">
        <f>IF(AND(L215="",OR(J215="Growing",J215="Picking")),1,0)</f>
        <v/>
      </c>
      <c r="R215">
        <f>IF(AND(Q215=1,D215&lt;&gt;""),P215*1000+ROW(),0)</f>
        <v/>
      </c>
      <c r="S215">
        <f>IF(AND(AND(C215&lt;&gt;"",ISNUMBER(B215)),L215=""),1,0)</f>
        <v/>
      </c>
    </row>
    <row r="216">
      <c r="A216" s="1" t="n"/>
      <c r="B216" s="17" t="n"/>
      <c r="C216" s="18" t="n"/>
      <c r="D216" s="19" t="n"/>
      <c r="E216" s="19" t="n"/>
      <c r="F216" s="20" t="n"/>
      <c r="G216" s="17" t="n"/>
      <c r="H216" s="21" t="n"/>
      <c r="I216" s="22">
        <f>IF(NOT(AND(C216&lt;&gt;"",ISNUMBER(B216))),"",IF(N(IFERROR(INDEX(Crops!$F$6:$F$65,MATCH(C216,Crops!$B$6:$B$65,0)),0))&gt;0,INT(B216)+N(IFERROR(INDEX(Crops!$F$6:$F$65,MATCH(C216,Crops!$B$6:$B$65,0)),0)),""))</f>
        <v/>
      </c>
      <c r="J216" s="16">
        <f>IF(NOT(AND(C216&lt;&gt;"",ISNUMBER(B216))),"",IF(ISNUMBER(G216),"Done",IF(INT(B216)&gt;TODAY(),"Planned",IF(COUNTIFS(Harvest!$C$6:$C$1505,C216,Harvest!$D$6:$D$1505,D216&amp;"",Harvest!$L$6:$L$1505,"&gt;="&amp;INT(B216))&gt;0,"Picking","Growing"))))</f>
        <v/>
      </c>
      <c r="K216" s="14">
        <f>IF(OR(NOT(AND(C216&lt;&gt;"",ISNUMBER(B216))),J216="Planned"),"",IF(ISNUMBER(G216),INT(G216),TODAY())-INT(B216))</f>
        <v/>
      </c>
      <c r="L216" s="11">
        <f>IF(AND(B216="",C216="",D216=""),"",IF(NOT(ISNUMBER(B216)),"Needs a date",IF(C216="","Needs a crop",IF(COUNTIF(Crops!$B$6:$B$65,C216)=0,"Not on Crops",IF(AND(D216&lt;&gt;"",COUNTIF(Beds!$B$6:$B$35,D216)=0),"Not on Beds",IF(AND(ISNUMBER(G216),G216&lt;B216),"Cleared before it was planted",""))))))</f>
        <v/>
      </c>
      <c r="M216" s="11">
        <f>IF(OR(L216&lt;&gt;"",D216="",O216=""),"",IF(COUNTIFS(Plantings!$D$6:$D$505,D216,Plantings!$O$6:$O$505,O216,Plantings!$N$6:$N$505,N216-1)&gt;0,"Same family here last year",""))</f>
        <v/>
      </c>
      <c r="N216" s="1">
        <f>IF(ISNUMBER(B216),YEAR(B216),"")</f>
        <v/>
      </c>
      <c r="O216">
        <f>IF(C216="","",IFERROR(INDEX(Crops!$C$6:$C$65,MATCH(C216,Crops!$B$6:$B$65,0))&amp;"",""))</f>
        <v/>
      </c>
      <c r="P216">
        <f>IF(ISNUMBER(B216),INT(B216),0)</f>
        <v/>
      </c>
      <c r="Q216">
        <f>IF(AND(L216="",OR(J216="Growing",J216="Picking")),1,0)</f>
        <v/>
      </c>
      <c r="R216">
        <f>IF(AND(Q216=1,D216&lt;&gt;""),P216*1000+ROW(),0)</f>
        <v/>
      </c>
      <c r="S216">
        <f>IF(AND(AND(C216&lt;&gt;"",ISNUMBER(B216)),L216=""),1,0)</f>
        <v/>
      </c>
    </row>
    <row r="217">
      <c r="A217" s="1" t="n"/>
      <c r="B217" s="17" t="n"/>
      <c r="C217" s="18" t="n"/>
      <c r="D217" s="19" t="n"/>
      <c r="E217" s="19" t="n"/>
      <c r="F217" s="20" t="n"/>
      <c r="G217" s="17" t="n"/>
      <c r="H217" s="21" t="n"/>
      <c r="I217" s="22">
        <f>IF(NOT(AND(C217&lt;&gt;"",ISNUMBER(B217))),"",IF(N(IFERROR(INDEX(Crops!$F$6:$F$65,MATCH(C217,Crops!$B$6:$B$65,0)),0))&gt;0,INT(B217)+N(IFERROR(INDEX(Crops!$F$6:$F$65,MATCH(C217,Crops!$B$6:$B$65,0)),0)),""))</f>
        <v/>
      </c>
      <c r="J217" s="16">
        <f>IF(NOT(AND(C217&lt;&gt;"",ISNUMBER(B217))),"",IF(ISNUMBER(G217),"Done",IF(INT(B217)&gt;TODAY(),"Planned",IF(COUNTIFS(Harvest!$C$6:$C$1505,C217,Harvest!$D$6:$D$1505,D217&amp;"",Harvest!$L$6:$L$1505,"&gt;="&amp;INT(B217))&gt;0,"Picking","Growing"))))</f>
        <v/>
      </c>
      <c r="K217" s="14">
        <f>IF(OR(NOT(AND(C217&lt;&gt;"",ISNUMBER(B217))),J217="Planned"),"",IF(ISNUMBER(G217),INT(G217),TODAY())-INT(B217))</f>
        <v/>
      </c>
      <c r="L217" s="11">
        <f>IF(AND(B217="",C217="",D217=""),"",IF(NOT(ISNUMBER(B217)),"Needs a date",IF(C217="","Needs a crop",IF(COUNTIF(Crops!$B$6:$B$65,C217)=0,"Not on Crops",IF(AND(D217&lt;&gt;"",COUNTIF(Beds!$B$6:$B$35,D217)=0),"Not on Beds",IF(AND(ISNUMBER(G217),G217&lt;B217),"Cleared before it was planted",""))))))</f>
        <v/>
      </c>
      <c r="M217" s="11">
        <f>IF(OR(L217&lt;&gt;"",D217="",O217=""),"",IF(COUNTIFS(Plantings!$D$6:$D$505,D217,Plantings!$O$6:$O$505,O217,Plantings!$N$6:$N$505,N217-1)&gt;0,"Same family here last year",""))</f>
        <v/>
      </c>
      <c r="N217" s="1">
        <f>IF(ISNUMBER(B217),YEAR(B217),"")</f>
        <v/>
      </c>
      <c r="O217">
        <f>IF(C217="","",IFERROR(INDEX(Crops!$C$6:$C$65,MATCH(C217,Crops!$B$6:$B$65,0))&amp;"",""))</f>
        <v/>
      </c>
      <c r="P217">
        <f>IF(ISNUMBER(B217),INT(B217),0)</f>
        <v/>
      </c>
      <c r="Q217">
        <f>IF(AND(L217="",OR(J217="Growing",J217="Picking")),1,0)</f>
        <v/>
      </c>
      <c r="R217">
        <f>IF(AND(Q217=1,D217&lt;&gt;""),P217*1000+ROW(),0)</f>
        <v/>
      </c>
      <c r="S217">
        <f>IF(AND(AND(C217&lt;&gt;"",ISNUMBER(B217)),L217=""),1,0)</f>
        <v/>
      </c>
    </row>
    <row r="218">
      <c r="A218" s="1" t="n"/>
      <c r="B218" s="17" t="n"/>
      <c r="C218" s="18" t="n"/>
      <c r="D218" s="19" t="n"/>
      <c r="E218" s="19" t="n"/>
      <c r="F218" s="20" t="n"/>
      <c r="G218" s="17" t="n"/>
      <c r="H218" s="21" t="n"/>
      <c r="I218" s="22">
        <f>IF(NOT(AND(C218&lt;&gt;"",ISNUMBER(B218))),"",IF(N(IFERROR(INDEX(Crops!$F$6:$F$65,MATCH(C218,Crops!$B$6:$B$65,0)),0))&gt;0,INT(B218)+N(IFERROR(INDEX(Crops!$F$6:$F$65,MATCH(C218,Crops!$B$6:$B$65,0)),0)),""))</f>
        <v/>
      </c>
      <c r="J218" s="16">
        <f>IF(NOT(AND(C218&lt;&gt;"",ISNUMBER(B218))),"",IF(ISNUMBER(G218),"Done",IF(INT(B218)&gt;TODAY(),"Planned",IF(COUNTIFS(Harvest!$C$6:$C$1505,C218,Harvest!$D$6:$D$1505,D218&amp;"",Harvest!$L$6:$L$1505,"&gt;="&amp;INT(B218))&gt;0,"Picking","Growing"))))</f>
        <v/>
      </c>
      <c r="K218" s="14">
        <f>IF(OR(NOT(AND(C218&lt;&gt;"",ISNUMBER(B218))),J218="Planned"),"",IF(ISNUMBER(G218),INT(G218),TODAY())-INT(B218))</f>
        <v/>
      </c>
      <c r="L218" s="11">
        <f>IF(AND(B218="",C218="",D218=""),"",IF(NOT(ISNUMBER(B218)),"Needs a date",IF(C218="","Needs a crop",IF(COUNTIF(Crops!$B$6:$B$65,C218)=0,"Not on Crops",IF(AND(D218&lt;&gt;"",COUNTIF(Beds!$B$6:$B$35,D218)=0),"Not on Beds",IF(AND(ISNUMBER(G218),G218&lt;B218),"Cleared before it was planted",""))))))</f>
        <v/>
      </c>
      <c r="M218" s="11">
        <f>IF(OR(L218&lt;&gt;"",D218="",O218=""),"",IF(COUNTIFS(Plantings!$D$6:$D$505,D218,Plantings!$O$6:$O$505,O218,Plantings!$N$6:$N$505,N218-1)&gt;0,"Same family here last year",""))</f>
        <v/>
      </c>
      <c r="N218" s="1">
        <f>IF(ISNUMBER(B218),YEAR(B218),"")</f>
        <v/>
      </c>
      <c r="O218">
        <f>IF(C218="","",IFERROR(INDEX(Crops!$C$6:$C$65,MATCH(C218,Crops!$B$6:$B$65,0))&amp;"",""))</f>
        <v/>
      </c>
      <c r="P218">
        <f>IF(ISNUMBER(B218),INT(B218),0)</f>
        <v/>
      </c>
      <c r="Q218">
        <f>IF(AND(L218="",OR(J218="Growing",J218="Picking")),1,0)</f>
        <v/>
      </c>
      <c r="R218">
        <f>IF(AND(Q218=1,D218&lt;&gt;""),P218*1000+ROW(),0)</f>
        <v/>
      </c>
      <c r="S218">
        <f>IF(AND(AND(C218&lt;&gt;"",ISNUMBER(B218)),L218=""),1,0)</f>
        <v/>
      </c>
    </row>
    <row r="219">
      <c r="A219" s="1" t="n"/>
      <c r="B219" s="17" t="n"/>
      <c r="C219" s="18" t="n"/>
      <c r="D219" s="19" t="n"/>
      <c r="E219" s="19" t="n"/>
      <c r="F219" s="20" t="n"/>
      <c r="G219" s="17" t="n"/>
      <c r="H219" s="21" t="n"/>
      <c r="I219" s="22">
        <f>IF(NOT(AND(C219&lt;&gt;"",ISNUMBER(B219))),"",IF(N(IFERROR(INDEX(Crops!$F$6:$F$65,MATCH(C219,Crops!$B$6:$B$65,0)),0))&gt;0,INT(B219)+N(IFERROR(INDEX(Crops!$F$6:$F$65,MATCH(C219,Crops!$B$6:$B$65,0)),0)),""))</f>
        <v/>
      </c>
      <c r="J219" s="16">
        <f>IF(NOT(AND(C219&lt;&gt;"",ISNUMBER(B219))),"",IF(ISNUMBER(G219),"Done",IF(INT(B219)&gt;TODAY(),"Planned",IF(COUNTIFS(Harvest!$C$6:$C$1505,C219,Harvest!$D$6:$D$1505,D219&amp;"",Harvest!$L$6:$L$1505,"&gt;="&amp;INT(B219))&gt;0,"Picking","Growing"))))</f>
        <v/>
      </c>
      <c r="K219" s="14">
        <f>IF(OR(NOT(AND(C219&lt;&gt;"",ISNUMBER(B219))),J219="Planned"),"",IF(ISNUMBER(G219),INT(G219),TODAY())-INT(B219))</f>
        <v/>
      </c>
      <c r="L219" s="11">
        <f>IF(AND(B219="",C219="",D219=""),"",IF(NOT(ISNUMBER(B219)),"Needs a date",IF(C219="","Needs a crop",IF(COUNTIF(Crops!$B$6:$B$65,C219)=0,"Not on Crops",IF(AND(D219&lt;&gt;"",COUNTIF(Beds!$B$6:$B$35,D219)=0),"Not on Beds",IF(AND(ISNUMBER(G219),G219&lt;B219),"Cleared before it was planted",""))))))</f>
        <v/>
      </c>
      <c r="M219" s="11">
        <f>IF(OR(L219&lt;&gt;"",D219="",O219=""),"",IF(COUNTIFS(Plantings!$D$6:$D$505,D219,Plantings!$O$6:$O$505,O219,Plantings!$N$6:$N$505,N219-1)&gt;0,"Same family here last year",""))</f>
        <v/>
      </c>
      <c r="N219" s="1">
        <f>IF(ISNUMBER(B219),YEAR(B219),"")</f>
        <v/>
      </c>
      <c r="O219">
        <f>IF(C219="","",IFERROR(INDEX(Crops!$C$6:$C$65,MATCH(C219,Crops!$B$6:$B$65,0))&amp;"",""))</f>
        <v/>
      </c>
      <c r="P219">
        <f>IF(ISNUMBER(B219),INT(B219),0)</f>
        <v/>
      </c>
      <c r="Q219">
        <f>IF(AND(L219="",OR(J219="Growing",J219="Picking")),1,0)</f>
        <v/>
      </c>
      <c r="R219">
        <f>IF(AND(Q219=1,D219&lt;&gt;""),P219*1000+ROW(),0)</f>
        <v/>
      </c>
      <c r="S219">
        <f>IF(AND(AND(C219&lt;&gt;"",ISNUMBER(B219)),L219=""),1,0)</f>
        <v/>
      </c>
    </row>
    <row r="220">
      <c r="A220" s="1" t="n"/>
      <c r="B220" s="17" t="n"/>
      <c r="C220" s="18" t="n"/>
      <c r="D220" s="19" t="n"/>
      <c r="E220" s="19" t="n"/>
      <c r="F220" s="20" t="n"/>
      <c r="G220" s="17" t="n"/>
      <c r="H220" s="21" t="n"/>
      <c r="I220" s="22">
        <f>IF(NOT(AND(C220&lt;&gt;"",ISNUMBER(B220))),"",IF(N(IFERROR(INDEX(Crops!$F$6:$F$65,MATCH(C220,Crops!$B$6:$B$65,0)),0))&gt;0,INT(B220)+N(IFERROR(INDEX(Crops!$F$6:$F$65,MATCH(C220,Crops!$B$6:$B$65,0)),0)),""))</f>
        <v/>
      </c>
      <c r="J220" s="16">
        <f>IF(NOT(AND(C220&lt;&gt;"",ISNUMBER(B220))),"",IF(ISNUMBER(G220),"Done",IF(INT(B220)&gt;TODAY(),"Planned",IF(COUNTIFS(Harvest!$C$6:$C$1505,C220,Harvest!$D$6:$D$1505,D220&amp;"",Harvest!$L$6:$L$1505,"&gt;="&amp;INT(B220))&gt;0,"Picking","Growing"))))</f>
        <v/>
      </c>
      <c r="K220" s="14">
        <f>IF(OR(NOT(AND(C220&lt;&gt;"",ISNUMBER(B220))),J220="Planned"),"",IF(ISNUMBER(G220),INT(G220),TODAY())-INT(B220))</f>
        <v/>
      </c>
      <c r="L220" s="11">
        <f>IF(AND(B220="",C220="",D220=""),"",IF(NOT(ISNUMBER(B220)),"Needs a date",IF(C220="","Needs a crop",IF(COUNTIF(Crops!$B$6:$B$65,C220)=0,"Not on Crops",IF(AND(D220&lt;&gt;"",COUNTIF(Beds!$B$6:$B$35,D220)=0),"Not on Beds",IF(AND(ISNUMBER(G220),G220&lt;B220),"Cleared before it was planted",""))))))</f>
        <v/>
      </c>
      <c r="M220" s="11">
        <f>IF(OR(L220&lt;&gt;"",D220="",O220=""),"",IF(COUNTIFS(Plantings!$D$6:$D$505,D220,Plantings!$O$6:$O$505,O220,Plantings!$N$6:$N$505,N220-1)&gt;0,"Same family here last year",""))</f>
        <v/>
      </c>
      <c r="N220" s="1">
        <f>IF(ISNUMBER(B220),YEAR(B220),"")</f>
        <v/>
      </c>
      <c r="O220">
        <f>IF(C220="","",IFERROR(INDEX(Crops!$C$6:$C$65,MATCH(C220,Crops!$B$6:$B$65,0))&amp;"",""))</f>
        <v/>
      </c>
      <c r="P220">
        <f>IF(ISNUMBER(B220),INT(B220),0)</f>
        <v/>
      </c>
      <c r="Q220">
        <f>IF(AND(L220="",OR(J220="Growing",J220="Picking")),1,0)</f>
        <v/>
      </c>
      <c r="R220">
        <f>IF(AND(Q220=1,D220&lt;&gt;""),P220*1000+ROW(),0)</f>
        <v/>
      </c>
      <c r="S220">
        <f>IF(AND(AND(C220&lt;&gt;"",ISNUMBER(B220)),L220=""),1,0)</f>
        <v/>
      </c>
    </row>
    <row r="221">
      <c r="A221" s="1" t="n"/>
      <c r="B221" s="17" t="n"/>
      <c r="C221" s="18" t="n"/>
      <c r="D221" s="19" t="n"/>
      <c r="E221" s="19" t="n"/>
      <c r="F221" s="20" t="n"/>
      <c r="G221" s="17" t="n"/>
      <c r="H221" s="21" t="n"/>
      <c r="I221" s="22">
        <f>IF(NOT(AND(C221&lt;&gt;"",ISNUMBER(B221))),"",IF(N(IFERROR(INDEX(Crops!$F$6:$F$65,MATCH(C221,Crops!$B$6:$B$65,0)),0))&gt;0,INT(B221)+N(IFERROR(INDEX(Crops!$F$6:$F$65,MATCH(C221,Crops!$B$6:$B$65,0)),0)),""))</f>
        <v/>
      </c>
      <c r="J221" s="16">
        <f>IF(NOT(AND(C221&lt;&gt;"",ISNUMBER(B221))),"",IF(ISNUMBER(G221),"Done",IF(INT(B221)&gt;TODAY(),"Planned",IF(COUNTIFS(Harvest!$C$6:$C$1505,C221,Harvest!$D$6:$D$1505,D221&amp;"",Harvest!$L$6:$L$1505,"&gt;="&amp;INT(B221))&gt;0,"Picking","Growing"))))</f>
        <v/>
      </c>
      <c r="K221" s="14">
        <f>IF(OR(NOT(AND(C221&lt;&gt;"",ISNUMBER(B221))),J221="Planned"),"",IF(ISNUMBER(G221),INT(G221),TODAY())-INT(B221))</f>
        <v/>
      </c>
      <c r="L221" s="11">
        <f>IF(AND(B221="",C221="",D221=""),"",IF(NOT(ISNUMBER(B221)),"Needs a date",IF(C221="","Needs a crop",IF(COUNTIF(Crops!$B$6:$B$65,C221)=0,"Not on Crops",IF(AND(D221&lt;&gt;"",COUNTIF(Beds!$B$6:$B$35,D221)=0),"Not on Beds",IF(AND(ISNUMBER(G221),G221&lt;B221),"Cleared before it was planted",""))))))</f>
        <v/>
      </c>
      <c r="M221" s="11">
        <f>IF(OR(L221&lt;&gt;"",D221="",O221=""),"",IF(COUNTIFS(Plantings!$D$6:$D$505,D221,Plantings!$O$6:$O$505,O221,Plantings!$N$6:$N$505,N221-1)&gt;0,"Same family here last year",""))</f>
        <v/>
      </c>
      <c r="N221" s="1">
        <f>IF(ISNUMBER(B221),YEAR(B221),"")</f>
        <v/>
      </c>
      <c r="O221">
        <f>IF(C221="","",IFERROR(INDEX(Crops!$C$6:$C$65,MATCH(C221,Crops!$B$6:$B$65,0))&amp;"",""))</f>
        <v/>
      </c>
      <c r="P221">
        <f>IF(ISNUMBER(B221),INT(B221),0)</f>
        <v/>
      </c>
      <c r="Q221">
        <f>IF(AND(L221="",OR(J221="Growing",J221="Picking")),1,0)</f>
        <v/>
      </c>
      <c r="R221">
        <f>IF(AND(Q221=1,D221&lt;&gt;""),P221*1000+ROW(),0)</f>
        <v/>
      </c>
      <c r="S221">
        <f>IF(AND(AND(C221&lt;&gt;"",ISNUMBER(B221)),L221=""),1,0)</f>
        <v/>
      </c>
    </row>
    <row r="222">
      <c r="A222" s="1" t="n"/>
      <c r="B222" s="17" t="n"/>
      <c r="C222" s="18" t="n"/>
      <c r="D222" s="19" t="n"/>
      <c r="E222" s="19" t="n"/>
      <c r="F222" s="20" t="n"/>
      <c r="G222" s="17" t="n"/>
      <c r="H222" s="21" t="n"/>
      <c r="I222" s="22">
        <f>IF(NOT(AND(C222&lt;&gt;"",ISNUMBER(B222))),"",IF(N(IFERROR(INDEX(Crops!$F$6:$F$65,MATCH(C222,Crops!$B$6:$B$65,0)),0))&gt;0,INT(B222)+N(IFERROR(INDEX(Crops!$F$6:$F$65,MATCH(C222,Crops!$B$6:$B$65,0)),0)),""))</f>
        <v/>
      </c>
      <c r="J222" s="16">
        <f>IF(NOT(AND(C222&lt;&gt;"",ISNUMBER(B222))),"",IF(ISNUMBER(G222),"Done",IF(INT(B222)&gt;TODAY(),"Planned",IF(COUNTIFS(Harvest!$C$6:$C$1505,C222,Harvest!$D$6:$D$1505,D222&amp;"",Harvest!$L$6:$L$1505,"&gt;="&amp;INT(B222))&gt;0,"Picking","Growing"))))</f>
        <v/>
      </c>
      <c r="K222" s="14">
        <f>IF(OR(NOT(AND(C222&lt;&gt;"",ISNUMBER(B222))),J222="Planned"),"",IF(ISNUMBER(G222),INT(G222),TODAY())-INT(B222))</f>
        <v/>
      </c>
      <c r="L222" s="11">
        <f>IF(AND(B222="",C222="",D222=""),"",IF(NOT(ISNUMBER(B222)),"Needs a date",IF(C222="","Needs a crop",IF(COUNTIF(Crops!$B$6:$B$65,C222)=0,"Not on Crops",IF(AND(D222&lt;&gt;"",COUNTIF(Beds!$B$6:$B$35,D222)=0),"Not on Beds",IF(AND(ISNUMBER(G222),G222&lt;B222),"Cleared before it was planted",""))))))</f>
        <v/>
      </c>
      <c r="M222" s="11">
        <f>IF(OR(L222&lt;&gt;"",D222="",O222=""),"",IF(COUNTIFS(Plantings!$D$6:$D$505,D222,Plantings!$O$6:$O$505,O222,Plantings!$N$6:$N$505,N222-1)&gt;0,"Same family here last year",""))</f>
        <v/>
      </c>
      <c r="N222" s="1">
        <f>IF(ISNUMBER(B222),YEAR(B222),"")</f>
        <v/>
      </c>
      <c r="O222">
        <f>IF(C222="","",IFERROR(INDEX(Crops!$C$6:$C$65,MATCH(C222,Crops!$B$6:$B$65,0))&amp;"",""))</f>
        <v/>
      </c>
      <c r="P222">
        <f>IF(ISNUMBER(B222),INT(B222),0)</f>
        <v/>
      </c>
      <c r="Q222">
        <f>IF(AND(L222="",OR(J222="Growing",J222="Picking")),1,0)</f>
        <v/>
      </c>
      <c r="R222">
        <f>IF(AND(Q222=1,D222&lt;&gt;""),P222*1000+ROW(),0)</f>
        <v/>
      </c>
      <c r="S222">
        <f>IF(AND(AND(C222&lt;&gt;"",ISNUMBER(B222)),L222=""),1,0)</f>
        <v/>
      </c>
    </row>
    <row r="223">
      <c r="A223" s="1" t="n"/>
      <c r="B223" s="17" t="n"/>
      <c r="C223" s="18" t="n"/>
      <c r="D223" s="19" t="n"/>
      <c r="E223" s="19" t="n"/>
      <c r="F223" s="20" t="n"/>
      <c r="G223" s="17" t="n"/>
      <c r="H223" s="21" t="n"/>
      <c r="I223" s="22">
        <f>IF(NOT(AND(C223&lt;&gt;"",ISNUMBER(B223))),"",IF(N(IFERROR(INDEX(Crops!$F$6:$F$65,MATCH(C223,Crops!$B$6:$B$65,0)),0))&gt;0,INT(B223)+N(IFERROR(INDEX(Crops!$F$6:$F$65,MATCH(C223,Crops!$B$6:$B$65,0)),0)),""))</f>
        <v/>
      </c>
      <c r="J223" s="16">
        <f>IF(NOT(AND(C223&lt;&gt;"",ISNUMBER(B223))),"",IF(ISNUMBER(G223),"Done",IF(INT(B223)&gt;TODAY(),"Planned",IF(COUNTIFS(Harvest!$C$6:$C$1505,C223,Harvest!$D$6:$D$1505,D223&amp;"",Harvest!$L$6:$L$1505,"&gt;="&amp;INT(B223))&gt;0,"Picking","Growing"))))</f>
        <v/>
      </c>
      <c r="K223" s="14">
        <f>IF(OR(NOT(AND(C223&lt;&gt;"",ISNUMBER(B223))),J223="Planned"),"",IF(ISNUMBER(G223),INT(G223),TODAY())-INT(B223))</f>
        <v/>
      </c>
      <c r="L223" s="11">
        <f>IF(AND(B223="",C223="",D223=""),"",IF(NOT(ISNUMBER(B223)),"Needs a date",IF(C223="","Needs a crop",IF(COUNTIF(Crops!$B$6:$B$65,C223)=0,"Not on Crops",IF(AND(D223&lt;&gt;"",COUNTIF(Beds!$B$6:$B$35,D223)=0),"Not on Beds",IF(AND(ISNUMBER(G223),G223&lt;B223),"Cleared before it was planted",""))))))</f>
        <v/>
      </c>
      <c r="M223" s="11">
        <f>IF(OR(L223&lt;&gt;"",D223="",O223=""),"",IF(COUNTIFS(Plantings!$D$6:$D$505,D223,Plantings!$O$6:$O$505,O223,Plantings!$N$6:$N$505,N223-1)&gt;0,"Same family here last year",""))</f>
        <v/>
      </c>
      <c r="N223" s="1">
        <f>IF(ISNUMBER(B223),YEAR(B223),"")</f>
        <v/>
      </c>
      <c r="O223">
        <f>IF(C223="","",IFERROR(INDEX(Crops!$C$6:$C$65,MATCH(C223,Crops!$B$6:$B$65,0))&amp;"",""))</f>
        <v/>
      </c>
      <c r="P223">
        <f>IF(ISNUMBER(B223),INT(B223),0)</f>
        <v/>
      </c>
      <c r="Q223">
        <f>IF(AND(L223="",OR(J223="Growing",J223="Picking")),1,0)</f>
        <v/>
      </c>
      <c r="R223">
        <f>IF(AND(Q223=1,D223&lt;&gt;""),P223*1000+ROW(),0)</f>
        <v/>
      </c>
      <c r="S223">
        <f>IF(AND(AND(C223&lt;&gt;"",ISNUMBER(B223)),L223=""),1,0)</f>
        <v/>
      </c>
    </row>
    <row r="224">
      <c r="A224" s="1" t="n"/>
      <c r="B224" s="17" t="n"/>
      <c r="C224" s="18" t="n"/>
      <c r="D224" s="19" t="n"/>
      <c r="E224" s="19" t="n"/>
      <c r="F224" s="20" t="n"/>
      <c r="G224" s="17" t="n"/>
      <c r="H224" s="21" t="n"/>
      <c r="I224" s="22">
        <f>IF(NOT(AND(C224&lt;&gt;"",ISNUMBER(B224))),"",IF(N(IFERROR(INDEX(Crops!$F$6:$F$65,MATCH(C224,Crops!$B$6:$B$65,0)),0))&gt;0,INT(B224)+N(IFERROR(INDEX(Crops!$F$6:$F$65,MATCH(C224,Crops!$B$6:$B$65,0)),0)),""))</f>
        <v/>
      </c>
      <c r="J224" s="16">
        <f>IF(NOT(AND(C224&lt;&gt;"",ISNUMBER(B224))),"",IF(ISNUMBER(G224),"Done",IF(INT(B224)&gt;TODAY(),"Planned",IF(COUNTIFS(Harvest!$C$6:$C$1505,C224,Harvest!$D$6:$D$1505,D224&amp;"",Harvest!$L$6:$L$1505,"&gt;="&amp;INT(B224))&gt;0,"Picking","Growing"))))</f>
        <v/>
      </c>
      <c r="K224" s="14">
        <f>IF(OR(NOT(AND(C224&lt;&gt;"",ISNUMBER(B224))),J224="Planned"),"",IF(ISNUMBER(G224),INT(G224),TODAY())-INT(B224))</f>
        <v/>
      </c>
      <c r="L224" s="11">
        <f>IF(AND(B224="",C224="",D224=""),"",IF(NOT(ISNUMBER(B224)),"Needs a date",IF(C224="","Needs a crop",IF(COUNTIF(Crops!$B$6:$B$65,C224)=0,"Not on Crops",IF(AND(D224&lt;&gt;"",COUNTIF(Beds!$B$6:$B$35,D224)=0),"Not on Beds",IF(AND(ISNUMBER(G224),G224&lt;B224),"Cleared before it was planted",""))))))</f>
        <v/>
      </c>
      <c r="M224" s="11">
        <f>IF(OR(L224&lt;&gt;"",D224="",O224=""),"",IF(COUNTIFS(Plantings!$D$6:$D$505,D224,Plantings!$O$6:$O$505,O224,Plantings!$N$6:$N$505,N224-1)&gt;0,"Same family here last year",""))</f>
        <v/>
      </c>
      <c r="N224" s="1">
        <f>IF(ISNUMBER(B224),YEAR(B224),"")</f>
        <v/>
      </c>
      <c r="O224">
        <f>IF(C224="","",IFERROR(INDEX(Crops!$C$6:$C$65,MATCH(C224,Crops!$B$6:$B$65,0))&amp;"",""))</f>
        <v/>
      </c>
      <c r="P224">
        <f>IF(ISNUMBER(B224),INT(B224),0)</f>
        <v/>
      </c>
      <c r="Q224">
        <f>IF(AND(L224="",OR(J224="Growing",J224="Picking")),1,0)</f>
        <v/>
      </c>
      <c r="R224">
        <f>IF(AND(Q224=1,D224&lt;&gt;""),P224*1000+ROW(),0)</f>
        <v/>
      </c>
      <c r="S224">
        <f>IF(AND(AND(C224&lt;&gt;"",ISNUMBER(B224)),L224=""),1,0)</f>
        <v/>
      </c>
    </row>
    <row r="225">
      <c r="A225" s="1" t="n"/>
      <c r="B225" s="17" t="n"/>
      <c r="C225" s="18" t="n"/>
      <c r="D225" s="19" t="n"/>
      <c r="E225" s="19" t="n"/>
      <c r="F225" s="20" t="n"/>
      <c r="G225" s="17" t="n"/>
      <c r="H225" s="21" t="n"/>
      <c r="I225" s="22">
        <f>IF(NOT(AND(C225&lt;&gt;"",ISNUMBER(B225))),"",IF(N(IFERROR(INDEX(Crops!$F$6:$F$65,MATCH(C225,Crops!$B$6:$B$65,0)),0))&gt;0,INT(B225)+N(IFERROR(INDEX(Crops!$F$6:$F$65,MATCH(C225,Crops!$B$6:$B$65,0)),0)),""))</f>
        <v/>
      </c>
      <c r="J225" s="16">
        <f>IF(NOT(AND(C225&lt;&gt;"",ISNUMBER(B225))),"",IF(ISNUMBER(G225),"Done",IF(INT(B225)&gt;TODAY(),"Planned",IF(COUNTIFS(Harvest!$C$6:$C$1505,C225,Harvest!$D$6:$D$1505,D225&amp;"",Harvest!$L$6:$L$1505,"&gt;="&amp;INT(B225))&gt;0,"Picking","Growing"))))</f>
        <v/>
      </c>
      <c r="K225" s="14">
        <f>IF(OR(NOT(AND(C225&lt;&gt;"",ISNUMBER(B225))),J225="Planned"),"",IF(ISNUMBER(G225),INT(G225),TODAY())-INT(B225))</f>
        <v/>
      </c>
      <c r="L225" s="11">
        <f>IF(AND(B225="",C225="",D225=""),"",IF(NOT(ISNUMBER(B225)),"Needs a date",IF(C225="","Needs a crop",IF(COUNTIF(Crops!$B$6:$B$65,C225)=0,"Not on Crops",IF(AND(D225&lt;&gt;"",COUNTIF(Beds!$B$6:$B$35,D225)=0),"Not on Beds",IF(AND(ISNUMBER(G225),G225&lt;B225),"Cleared before it was planted",""))))))</f>
        <v/>
      </c>
      <c r="M225" s="11">
        <f>IF(OR(L225&lt;&gt;"",D225="",O225=""),"",IF(COUNTIFS(Plantings!$D$6:$D$505,D225,Plantings!$O$6:$O$505,O225,Plantings!$N$6:$N$505,N225-1)&gt;0,"Same family here last year",""))</f>
        <v/>
      </c>
      <c r="N225" s="1">
        <f>IF(ISNUMBER(B225),YEAR(B225),"")</f>
        <v/>
      </c>
      <c r="O225">
        <f>IF(C225="","",IFERROR(INDEX(Crops!$C$6:$C$65,MATCH(C225,Crops!$B$6:$B$65,0))&amp;"",""))</f>
        <v/>
      </c>
      <c r="P225">
        <f>IF(ISNUMBER(B225),INT(B225),0)</f>
        <v/>
      </c>
      <c r="Q225">
        <f>IF(AND(L225="",OR(J225="Growing",J225="Picking")),1,0)</f>
        <v/>
      </c>
      <c r="R225">
        <f>IF(AND(Q225=1,D225&lt;&gt;""),P225*1000+ROW(),0)</f>
        <v/>
      </c>
      <c r="S225">
        <f>IF(AND(AND(C225&lt;&gt;"",ISNUMBER(B225)),L225=""),1,0)</f>
        <v/>
      </c>
    </row>
    <row r="226">
      <c r="A226" s="1" t="n"/>
      <c r="B226" s="17" t="n"/>
      <c r="C226" s="18" t="n"/>
      <c r="D226" s="19" t="n"/>
      <c r="E226" s="19" t="n"/>
      <c r="F226" s="20" t="n"/>
      <c r="G226" s="17" t="n"/>
      <c r="H226" s="21" t="n"/>
      <c r="I226" s="22">
        <f>IF(NOT(AND(C226&lt;&gt;"",ISNUMBER(B226))),"",IF(N(IFERROR(INDEX(Crops!$F$6:$F$65,MATCH(C226,Crops!$B$6:$B$65,0)),0))&gt;0,INT(B226)+N(IFERROR(INDEX(Crops!$F$6:$F$65,MATCH(C226,Crops!$B$6:$B$65,0)),0)),""))</f>
        <v/>
      </c>
      <c r="J226" s="16">
        <f>IF(NOT(AND(C226&lt;&gt;"",ISNUMBER(B226))),"",IF(ISNUMBER(G226),"Done",IF(INT(B226)&gt;TODAY(),"Planned",IF(COUNTIFS(Harvest!$C$6:$C$1505,C226,Harvest!$D$6:$D$1505,D226&amp;"",Harvest!$L$6:$L$1505,"&gt;="&amp;INT(B226))&gt;0,"Picking","Growing"))))</f>
        <v/>
      </c>
      <c r="K226" s="14">
        <f>IF(OR(NOT(AND(C226&lt;&gt;"",ISNUMBER(B226))),J226="Planned"),"",IF(ISNUMBER(G226),INT(G226),TODAY())-INT(B226))</f>
        <v/>
      </c>
      <c r="L226" s="11">
        <f>IF(AND(B226="",C226="",D226=""),"",IF(NOT(ISNUMBER(B226)),"Needs a date",IF(C226="","Needs a crop",IF(COUNTIF(Crops!$B$6:$B$65,C226)=0,"Not on Crops",IF(AND(D226&lt;&gt;"",COUNTIF(Beds!$B$6:$B$35,D226)=0),"Not on Beds",IF(AND(ISNUMBER(G226),G226&lt;B226),"Cleared before it was planted",""))))))</f>
        <v/>
      </c>
      <c r="M226" s="11">
        <f>IF(OR(L226&lt;&gt;"",D226="",O226=""),"",IF(COUNTIFS(Plantings!$D$6:$D$505,D226,Plantings!$O$6:$O$505,O226,Plantings!$N$6:$N$505,N226-1)&gt;0,"Same family here last year",""))</f>
        <v/>
      </c>
      <c r="N226" s="1">
        <f>IF(ISNUMBER(B226),YEAR(B226),"")</f>
        <v/>
      </c>
      <c r="O226">
        <f>IF(C226="","",IFERROR(INDEX(Crops!$C$6:$C$65,MATCH(C226,Crops!$B$6:$B$65,0))&amp;"",""))</f>
        <v/>
      </c>
      <c r="P226">
        <f>IF(ISNUMBER(B226),INT(B226),0)</f>
        <v/>
      </c>
      <c r="Q226">
        <f>IF(AND(L226="",OR(J226="Growing",J226="Picking")),1,0)</f>
        <v/>
      </c>
      <c r="R226">
        <f>IF(AND(Q226=1,D226&lt;&gt;""),P226*1000+ROW(),0)</f>
        <v/>
      </c>
      <c r="S226">
        <f>IF(AND(AND(C226&lt;&gt;"",ISNUMBER(B226)),L226=""),1,0)</f>
        <v/>
      </c>
    </row>
    <row r="227">
      <c r="A227" s="1" t="n"/>
      <c r="B227" s="17" t="n"/>
      <c r="C227" s="18" t="n"/>
      <c r="D227" s="19" t="n"/>
      <c r="E227" s="19" t="n"/>
      <c r="F227" s="20" t="n"/>
      <c r="G227" s="17" t="n"/>
      <c r="H227" s="21" t="n"/>
      <c r="I227" s="22">
        <f>IF(NOT(AND(C227&lt;&gt;"",ISNUMBER(B227))),"",IF(N(IFERROR(INDEX(Crops!$F$6:$F$65,MATCH(C227,Crops!$B$6:$B$65,0)),0))&gt;0,INT(B227)+N(IFERROR(INDEX(Crops!$F$6:$F$65,MATCH(C227,Crops!$B$6:$B$65,0)),0)),""))</f>
        <v/>
      </c>
      <c r="J227" s="16">
        <f>IF(NOT(AND(C227&lt;&gt;"",ISNUMBER(B227))),"",IF(ISNUMBER(G227),"Done",IF(INT(B227)&gt;TODAY(),"Planned",IF(COUNTIFS(Harvest!$C$6:$C$1505,C227,Harvest!$D$6:$D$1505,D227&amp;"",Harvest!$L$6:$L$1505,"&gt;="&amp;INT(B227))&gt;0,"Picking","Growing"))))</f>
        <v/>
      </c>
      <c r="K227" s="14">
        <f>IF(OR(NOT(AND(C227&lt;&gt;"",ISNUMBER(B227))),J227="Planned"),"",IF(ISNUMBER(G227),INT(G227),TODAY())-INT(B227))</f>
        <v/>
      </c>
      <c r="L227" s="11">
        <f>IF(AND(B227="",C227="",D227=""),"",IF(NOT(ISNUMBER(B227)),"Needs a date",IF(C227="","Needs a crop",IF(COUNTIF(Crops!$B$6:$B$65,C227)=0,"Not on Crops",IF(AND(D227&lt;&gt;"",COUNTIF(Beds!$B$6:$B$35,D227)=0),"Not on Beds",IF(AND(ISNUMBER(G227),G227&lt;B227),"Cleared before it was planted",""))))))</f>
        <v/>
      </c>
      <c r="M227" s="11">
        <f>IF(OR(L227&lt;&gt;"",D227="",O227=""),"",IF(COUNTIFS(Plantings!$D$6:$D$505,D227,Plantings!$O$6:$O$505,O227,Plantings!$N$6:$N$505,N227-1)&gt;0,"Same family here last year",""))</f>
        <v/>
      </c>
      <c r="N227" s="1">
        <f>IF(ISNUMBER(B227),YEAR(B227),"")</f>
        <v/>
      </c>
      <c r="O227">
        <f>IF(C227="","",IFERROR(INDEX(Crops!$C$6:$C$65,MATCH(C227,Crops!$B$6:$B$65,0))&amp;"",""))</f>
        <v/>
      </c>
      <c r="P227">
        <f>IF(ISNUMBER(B227),INT(B227),0)</f>
        <v/>
      </c>
      <c r="Q227">
        <f>IF(AND(L227="",OR(J227="Growing",J227="Picking")),1,0)</f>
        <v/>
      </c>
      <c r="R227">
        <f>IF(AND(Q227=1,D227&lt;&gt;""),P227*1000+ROW(),0)</f>
        <v/>
      </c>
      <c r="S227">
        <f>IF(AND(AND(C227&lt;&gt;"",ISNUMBER(B227)),L227=""),1,0)</f>
        <v/>
      </c>
    </row>
    <row r="228">
      <c r="A228" s="1" t="n"/>
      <c r="B228" s="17" t="n"/>
      <c r="C228" s="18" t="n"/>
      <c r="D228" s="19" t="n"/>
      <c r="E228" s="19" t="n"/>
      <c r="F228" s="20" t="n"/>
      <c r="G228" s="17" t="n"/>
      <c r="H228" s="21" t="n"/>
      <c r="I228" s="22">
        <f>IF(NOT(AND(C228&lt;&gt;"",ISNUMBER(B228))),"",IF(N(IFERROR(INDEX(Crops!$F$6:$F$65,MATCH(C228,Crops!$B$6:$B$65,0)),0))&gt;0,INT(B228)+N(IFERROR(INDEX(Crops!$F$6:$F$65,MATCH(C228,Crops!$B$6:$B$65,0)),0)),""))</f>
        <v/>
      </c>
      <c r="J228" s="16">
        <f>IF(NOT(AND(C228&lt;&gt;"",ISNUMBER(B228))),"",IF(ISNUMBER(G228),"Done",IF(INT(B228)&gt;TODAY(),"Planned",IF(COUNTIFS(Harvest!$C$6:$C$1505,C228,Harvest!$D$6:$D$1505,D228&amp;"",Harvest!$L$6:$L$1505,"&gt;="&amp;INT(B228))&gt;0,"Picking","Growing"))))</f>
        <v/>
      </c>
      <c r="K228" s="14">
        <f>IF(OR(NOT(AND(C228&lt;&gt;"",ISNUMBER(B228))),J228="Planned"),"",IF(ISNUMBER(G228),INT(G228),TODAY())-INT(B228))</f>
        <v/>
      </c>
      <c r="L228" s="11">
        <f>IF(AND(B228="",C228="",D228=""),"",IF(NOT(ISNUMBER(B228)),"Needs a date",IF(C228="","Needs a crop",IF(COUNTIF(Crops!$B$6:$B$65,C228)=0,"Not on Crops",IF(AND(D228&lt;&gt;"",COUNTIF(Beds!$B$6:$B$35,D228)=0),"Not on Beds",IF(AND(ISNUMBER(G228),G228&lt;B228),"Cleared before it was planted",""))))))</f>
        <v/>
      </c>
      <c r="M228" s="11">
        <f>IF(OR(L228&lt;&gt;"",D228="",O228=""),"",IF(COUNTIFS(Plantings!$D$6:$D$505,D228,Plantings!$O$6:$O$505,O228,Plantings!$N$6:$N$505,N228-1)&gt;0,"Same family here last year",""))</f>
        <v/>
      </c>
      <c r="N228" s="1">
        <f>IF(ISNUMBER(B228),YEAR(B228),"")</f>
        <v/>
      </c>
      <c r="O228">
        <f>IF(C228="","",IFERROR(INDEX(Crops!$C$6:$C$65,MATCH(C228,Crops!$B$6:$B$65,0))&amp;"",""))</f>
        <v/>
      </c>
      <c r="P228">
        <f>IF(ISNUMBER(B228),INT(B228),0)</f>
        <v/>
      </c>
      <c r="Q228">
        <f>IF(AND(L228="",OR(J228="Growing",J228="Picking")),1,0)</f>
        <v/>
      </c>
      <c r="R228">
        <f>IF(AND(Q228=1,D228&lt;&gt;""),P228*1000+ROW(),0)</f>
        <v/>
      </c>
      <c r="S228">
        <f>IF(AND(AND(C228&lt;&gt;"",ISNUMBER(B228)),L228=""),1,0)</f>
        <v/>
      </c>
    </row>
    <row r="229">
      <c r="A229" s="1" t="n"/>
      <c r="B229" s="17" t="n"/>
      <c r="C229" s="18" t="n"/>
      <c r="D229" s="19" t="n"/>
      <c r="E229" s="19" t="n"/>
      <c r="F229" s="20" t="n"/>
      <c r="G229" s="17" t="n"/>
      <c r="H229" s="21" t="n"/>
      <c r="I229" s="22">
        <f>IF(NOT(AND(C229&lt;&gt;"",ISNUMBER(B229))),"",IF(N(IFERROR(INDEX(Crops!$F$6:$F$65,MATCH(C229,Crops!$B$6:$B$65,0)),0))&gt;0,INT(B229)+N(IFERROR(INDEX(Crops!$F$6:$F$65,MATCH(C229,Crops!$B$6:$B$65,0)),0)),""))</f>
        <v/>
      </c>
      <c r="J229" s="16">
        <f>IF(NOT(AND(C229&lt;&gt;"",ISNUMBER(B229))),"",IF(ISNUMBER(G229),"Done",IF(INT(B229)&gt;TODAY(),"Planned",IF(COUNTIFS(Harvest!$C$6:$C$1505,C229,Harvest!$D$6:$D$1505,D229&amp;"",Harvest!$L$6:$L$1505,"&gt;="&amp;INT(B229))&gt;0,"Picking","Growing"))))</f>
        <v/>
      </c>
      <c r="K229" s="14">
        <f>IF(OR(NOT(AND(C229&lt;&gt;"",ISNUMBER(B229))),J229="Planned"),"",IF(ISNUMBER(G229),INT(G229),TODAY())-INT(B229))</f>
        <v/>
      </c>
      <c r="L229" s="11">
        <f>IF(AND(B229="",C229="",D229=""),"",IF(NOT(ISNUMBER(B229)),"Needs a date",IF(C229="","Needs a crop",IF(COUNTIF(Crops!$B$6:$B$65,C229)=0,"Not on Crops",IF(AND(D229&lt;&gt;"",COUNTIF(Beds!$B$6:$B$35,D229)=0),"Not on Beds",IF(AND(ISNUMBER(G229),G229&lt;B229),"Cleared before it was planted",""))))))</f>
        <v/>
      </c>
      <c r="M229" s="11">
        <f>IF(OR(L229&lt;&gt;"",D229="",O229=""),"",IF(COUNTIFS(Plantings!$D$6:$D$505,D229,Plantings!$O$6:$O$505,O229,Plantings!$N$6:$N$505,N229-1)&gt;0,"Same family here last year",""))</f>
        <v/>
      </c>
      <c r="N229" s="1">
        <f>IF(ISNUMBER(B229),YEAR(B229),"")</f>
        <v/>
      </c>
      <c r="O229">
        <f>IF(C229="","",IFERROR(INDEX(Crops!$C$6:$C$65,MATCH(C229,Crops!$B$6:$B$65,0))&amp;"",""))</f>
        <v/>
      </c>
      <c r="P229">
        <f>IF(ISNUMBER(B229),INT(B229),0)</f>
        <v/>
      </c>
      <c r="Q229">
        <f>IF(AND(L229="",OR(J229="Growing",J229="Picking")),1,0)</f>
        <v/>
      </c>
      <c r="R229">
        <f>IF(AND(Q229=1,D229&lt;&gt;""),P229*1000+ROW(),0)</f>
        <v/>
      </c>
      <c r="S229">
        <f>IF(AND(AND(C229&lt;&gt;"",ISNUMBER(B229)),L229=""),1,0)</f>
        <v/>
      </c>
    </row>
    <row r="230">
      <c r="A230" s="1" t="n"/>
      <c r="B230" s="17" t="n"/>
      <c r="C230" s="18" t="n"/>
      <c r="D230" s="19" t="n"/>
      <c r="E230" s="19" t="n"/>
      <c r="F230" s="20" t="n"/>
      <c r="G230" s="17" t="n"/>
      <c r="H230" s="21" t="n"/>
      <c r="I230" s="22">
        <f>IF(NOT(AND(C230&lt;&gt;"",ISNUMBER(B230))),"",IF(N(IFERROR(INDEX(Crops!$F$6:$F$65,MATCH(C230,Crops!$B$6:$B$65,0)),0))&gt;0,INT(B230)+N(IFERROR(INDEX(Crops!$F$6:$F$65,MATCH(C230,Crops!$B$6:$B$65,0)),0)),""))</f>
        <v/>
      </c>
      <c r="J230" s="16">
        <f>IF(NOT(AND(C230&lt;&gt;"",ISNUMBER(B230))),"",IF(ISNUMBER(G230),"Done",IF(INT(B230)&gt;TODAY(),"Planned",IF(COUNTIFS(Harvest!$C$6:$C$1505,C230,Harvest!$D$6:$D$1505,D230&amp;"",Harvest!$L$6:$L$1505,"&gt;="&amp;INT(B230))&gt;0,"Picking","Growing"))))</f>
        <v/>
      </c>
      <c r="K230" s="14">
        <f>IF(OR(NOT(AND(C230&lt;&gt;"",ISNUMBER(B230))),J230="Planned"),"",IF(ISNUMBER(G230),INT(G230),TODAY())-INT(B230))</f>
        <v/>
      </c>
      <c r="L230" s="11">
        <f>IF(AND(B230="",C230="",D230=""),"",IF(NOT(ISNUMBER(B230)),"Needs a date",IF(C230="","Needs a crop",IF(COUNTIF(Crops!$B$6:$B$65,C230)=0,"Not on Crops",IF(AND(D230&lt;&gt;"",COUNTIF(Beds!$B$6:$B$35,D230)=0),"Not on Beds",IF(AND(ISNUMBER(G230),G230&lt;B230),"Cleared before it was planted",""))))))</f>
        <v/>
      </c>
      <c r="M230" s="11">
        <f>IF(OR(L230&lt;&gt;"",D230="",O230=""),"",IF(COUNTIFS(Plantings!$D$6:$D$505,D230,Plantings!$O$6:$O$505,O230,Plantings!$N$6:$N$505,N230-1)&gt;0,"Same family here last year",""))</f>
        <v/>
      </c>
      <c r="N230" s="1">
        <f>IF(ISNUMBER(B230),YEAR(B230),"")</f>
        <v/>
      </c>
      <c r="O230">
        <f>IF(C230="","",IFERROR(INDEX(Crops!$C$6:$C$65,MATCH(C230,Crops!$B$6:$B$65,0))&amp;"",""))</f>
        <v/>
      </c>
      <c r="P230">
        <f>IF(ISNUMBER(B230),INT(B230),0)</f>
        <v/>
      </c>
      <c r="Q230">
        <f>IF(AND(L230="",OR(J230="Growing",J230="Picking")),1,0)</f>
        <v/>
      </c>
      <c r="R230">
        <f>IF(AND(Q230=1,D230&lt;&gt;""),P230*1000+ROW(),0)</f>
        <v/>
      </c>
      <c r="S230">
        <f>IF(AND(AND(C230&lt;&gt;"",ISNUMBER(B230)),L230=""),1,0)</f>
        <v/>
      </c>
    </row>
    <row r="231">
      <c r="A231" s="1" t="n"/>
      <c r="B231" s="17" t="n"/>
      <c r="C231" s="18" t="n"/>
      <c r="D231" s="19" t="n"/>
      <c r="E231" s="19" t="n"/>
      <c r="F231" s="20" t="n"/>
      <c r="G231" s="17" t="n"/>
      <c r="H231" s="21" t="n"/>
      <c r="I231" s="22">
        <f>IF(NOT(AND(C231&lt;&gt;"",ISNUMBER(B231))),"",IF(N(IFERROR(INDEX(Crops!$F$6:$F$65,MATCH(C231,Crops!$B$6:$B$65,0)),0))&gt;0,INT(B231)+N(IFERROR(INDEX(Crops!$F$6:$F$65,MATCH(C231,Crops!$B$6:$B$65,0)),0)),""))</f>
        <v/>
      </c>
      <c r="J231" s="16">
        <f>IF(NOT(AND(C231&lt;&gt;"",ISNUMBER(B231))),"",IF(ISNUMBER(G231),"Done",IF(INT(B231)&gt;TODAY(),"Planned",IF(COUNTIFS(Harvest!$C$6:$C$1505,C231,Harvest!$D$6:$D$1505,D231&amp;"",Harvest!$L$6:$L$1505,"&gt;="&amp;INT(B231))&gt;0,"Picking","Growing"))))</f>
        <v/>
      </c>
      <c r="K231" s="14">
        <f>IF(OR(NOT(AND(C231&lt;&gt;"",ISNUMBER(B231))),J231="Planned"),"",IF(ISNUMBER(G231),INT(G231),TODAY())-INT(B231))</f>
        <v/>
      </c>
      <c r="L231" s="11">
        <f>IF(AND(B231="",C231="",D231=""),"",IF(NOT(ISNUMBER(B231)),"Needs a date",IF(C231="","Needs a crop",IF(COUNTIF(Crops!$B$6:$B$65,C231)=0,"Not on Crops",IF(AND(D231&lt;&gt;"",COUNTIF(Beds!$B$6:$B$35,D231)=0),"Not on Beds",IF(AND(ISNUMBER(G231),G231&lt;B231),"Cleared before it was planted",""))))))</f>
        <v/>
      </c>
      <c r="M231" s="11">
        <f>IF(OR(L231&lt;&gt;"",D231="",O231=""),"",IF(COUNTIFS(Plantings!$D$6:$D$505,D231,Plantings!$O$6:$O$505,O231,Plantings!$N$6:$N$505,N231-1)&gt;0,"Same family here last year",""))</f>
        <v/>
      </c>
      <c r="N231" s="1">
        <f>IF(ISNUMBER(B231),YEAR(B231),"")</f>
        <v/>
      </c>
      <c r="O231">
        <f>IF(C231="","",IFERROR(INDEX(Crops!$C$6:$C$65,MATCH(C231,Crops!$B$6:$B$65,0))&amp;"",""))</f>
        <v/>
      </c>
      <c r="P231">
        <f>IF(ISNUMBER(B231),INT(B231),0)</f>
        <v/>
      </c>
      <c r="Q231">
        <f>IF(AND(L231="",OR(J231="Growing",J231="Picking")),1,0)</f>
        <v/>
      </c>
      <c r="R231">
        <f>IF(AND(Q231=1,D231&lt;&gt;""),P231*1000+ROW(),0)</f>
        <v/>
      </c>
      <c r="S231">
        <f>IF(AND(AND(C231&lt;&gt;"",ISNUMBER(B231)),L231=""),1,0)</f>
        <v/>
      </c>
    </row>
    <row r="232">
      <c r="A232" s="1" t="n"/>
      <c r="B232" s="17" t="n"/>
      <c r="C232" s="18" t="n"/>
      <c r="D232" s="19" t="n"/>
      <c r="E232" s="19" t="n"/>
      <c r="F232" s="20" t="n"/>
      <c r="G232" s="17" t="n"/>
      <c r="H232" s="21" t="n"/>
      <c r="I232" s="22">
        <f>IF(NOT(AND(C232&lt;&gt;"",ISNUMBER(B232))),"",IF(N(IFERROR(INDEX(Crops!$F$6:$F$65,MATCH(C232,Crops!$B$6:$B$65,0)),0))&gt;0,INT(B232)+N(IFERROR(INDEX(Crops!$F$6:$F$65,MATCH(C232,Crops!$B$6:$B$65,0)),0)),""))</f>
        <v/>
      </c>
      <c r="J232" s="16">
        <f>IF(NOT(AND(C232&lt;&gt;"",ISNUMBER(B232))),"",IF(ISNUMBER(G232),"Done",IF(INT(B232)&gt;TODAY(),"Planned",IF(COUNTIFS(Harvest!$C$6:$C$1505,C232,Harvest!$D$6:$D$1505,D232&amp;"",Harvest!$L$6:$L$1505,"&gt;="&amp;INT(B232))&gt;0,"Picking","Growing"))))</f>
        <v/>
      </c>
      <c r="K232" s="14">
        <f>IF(OR(NOT(AND(C232&lt;&gt;"",ISNUMBER(B232))),J232="Planned"),"",IF(ISNUMBER(G232),INT(G232),TODAY())-INT(B232))</f>
        <v/>
      </c>
      <c r="L232" s="11">
        <f>IF(AND(B232="",C232="",D232=""),"",IF(NOT(ISNUMBER(B232)),"Needs a date",IF(C232="","Needs a crop",IF(COUNTIF(Crops!$B$6:$B$65,C232)=0,"Not on Crops",IF(AND(D232&lt;&gt;"",COUNTIF(Beds!$B$6:$B$35,D232)=0),"Not on Beds",IF(AND(ISNUMBER(G232),G232&lt;B232),"Cleared before it was planted",""))))))</f>
        <v/>
      </c>
      <c r="M232" s="11">
        <f>IF(OR(L232&lt;&gt;"",D232="",O232=""),"",IF(COUNTIFS(Plantings!$D$6:$D$505,D232,Plantings!$O$6:$O$505,O232,Plantings!$N$6:$N$505,N232-1)&gt;0,"Same family here last year",""))</f>
        <v/>
      </c>
      <c r="N232" s="1">
        <f>IF(ISNUMBER(B232),YEAR(B232),"")</f>
        <v/>
      </c>
      <c r="O232">
        <f>IF(C232="","",IFERROR(INDEX(Crops!$C$6:$C$65,MATCH(C232,Crops!$B$6:$B$65,0))&amp;"",""))</f>
        <v/>
      </c>
      <c r="P232">
        <f>IF(ISNUMBER(B232),INT(B232),0)</f>
        <v/>
      </c>
      <c r="Q232">
        <f>IF(AND(L232="",OR(J232="Growing",J232="Picking")),1,0)</f>
        <v/>
      </c>
      <c r="R232">
        <f>IF(AND(Q232=1,D232&lt;&gt;""),P232*1000+ROW(),0)</f>
        <v/>
      </c>
      <c r="S232">
        <f>IF(AND(AND(C232&lt;&gt;"",ISNUMBER(B232)),L232=""),1,0)</f>
        <v/>
      </c>
    </row>
    <row r="233">
      <c r="A233" s="1" t="n"/>
      <c r="B233" s="17" t="n"/>
      <c r="C233" s="18" t="n"/>
      <c r="D233" s="19" t="n"/>
      <c r="E233" s="19" t="n"/>
      <c r="F233" s="20" t="n"/>
      <c r="G233" s="17" t="n"/>
      <c r="H233" s="21" t="n"/>
      <c r="I233" s="22">
        <f>IF(NOT(AND(C233&lt;&gt;"",ISNUMBER(B233))),"",IF(N(IFERROR(INDEX(Crops!$F$6:$F$65,MATCH(C233,Crops!$B$6:$B$65,0)),0))&gt;0,INT(B233)+N(IFERROR(INDEX(Crops!$F$6:$F$65,MATCH(C233,Crops!$B$6:$B$65,0)),0)),""))</f>
        <v/>
      </c>
      <c r="J233" s="16">
        <f>IF(NOT(AND(C233&lt;&gt;"",ISNUMBER(B233))),"",IF(ISNUMBER(G233),"Done",IF(INT(B233)&gt;TODAY(),"Planned",IF(COUNTIFS(Harvest!$C$6:$C$1505,C233,Harvest!$D$6:$D$1505,D233&amp;"",Harvest!$L$6:$L$1505,"&gt;="&amp;INT(B233))&gt;0,"Picking","Growing"))))</f>
        <v/>
      </c>
      <c r="K233" s="14">
        <f>IF(OR(NOT(AND(C233&lt;&gt;"",ISNUMBER(B233))),J233="Planned"),"",IF(ISNUMBER(G233),INT(G233),TODAY())-INT(B233))</f>
        <v/>
      </c>
      <c r="L233" s="11">
        <f>IF(AND(B233="",C233="",D233=""),"",IF(NOT(ISNUMBER(B233)),"Needs a date",IF(C233="","Needs a crop",IF(COUNTIF(Crops!$B$6:$B$65,C233)=0,"Not on Crops",IF(AND(D233&lt;&gt;"",COUNTIF(Beds!$B$6:$B$35,D233)=0),"Not on Beds",IF(AND(ISNUMBER(G233),G233&lt;B233),"Cleared before it was planted",""))))))</f>
        <v/>
      </c>
      <c r="M233" s="11">
        <f>IF(OR(L233&lt;&gt;"",D233="",O233=""),"",IF(COUNTIFS(Plantings!$D$6:$D$505,D233,Plantings!$O$6:$O$505,O233,Plantings!$N$6:$N$505,N233-1)&gt;0,"Same family here last year",""))</f>
        <v/>
      </c>
      <c r="N233" s="1">
        <f>IF(ISNUMBER(B233),YEAR(B233),"")</f>
        <v/>
      </c>
      <c r="O233">
        <f>IF(C233="","",IFERROR(INDEX(Crops!$C$6:$C$65,MATCH(C233,Crops!$B$6:$B$65,0))&amp;"",""))</f>
        <v/>
      </c>
      <c r="P233">
        <f>IF(ISNUMBER(B233),INT(B233),0)</f>
        <v/>
      </c>
      <c r="Q233">
        <f>IF(AND(L233="",OR(J233="Growing",J233="Picking")),1,0)</f>
        <v/>
      </c>
      <c r="R233">
        <f>IF(AND(Q233=1,D233&lt;&gt;""),P233*1000+ROW(),0)</f>
        <v/>
      </c>
      <c r="S233">
        <f>IF(AND(AND(C233&lt;&gt;"",ISNUMBER(B233)),L233=""),1,0)</f>
        <v/>
      </c>
    </row>
    <row r="234">
      <c r="A234" s="1" t="n"/>
      <c r="B234" s="17" t="n"/>
      <c r="C234" s="18" t="n"/>
      <c r="D234" s="19" t="n"/>
      <c r="E234" s="19" t="n"/>
      <c r="F234" s="20" t="n"/>
      <c r="G234" s="17" t="n"/>
      <c r="H234" s="21" t="n"/>
      <c r="I234" s="22">
        <f>IF(NOT(AND(C234&lt;&gt;"",ISNUMBER(B234))),"",IF(N(IFERROR(INDEX(Crops!$F$6:$F$65,MATCH(C234,Crops!$B$6:$B$65,0)),0))&gt;0,INT(B234)+N(IFERROR(INDEX(Crops!$F$6:$F$65,MATCH(C234,Crops!$B$6:$B$65,0)),0)),""))</f>
        <v/>
      </c>
      <c r="J234" s="16">
        <f>IF(NOT(AND(C234&lt;&gt;"",ISNUMBER(B234))),"",IF(ISNUMBER(G234),"Done",IF(INT(B234)&gt;TODAY(),"Planned",IF(COUNTIFS(Harvest!$C$6:$C$1505,C234,Harvest!$D$6:$D$1505,D234&amp;"",Harvest!$L$6:$L$1505,"&gt;="&amp;INT(B234))&gt;0,"Picking","Growing"))))</f>
        <v/>
      </c>
      <c r="K234" s="14">
        <f>IF(OR(NOT(AND(C234&lt;&gt;"",ISNUMBER(B234))),J234="Planned"),"",IF(ISNUMBER(G234),INT(G234),TODAY())-INT(B234))</f>
        <v/>
      </c>
      <c r="L234" s="11">
        <f>IF(AND(B234="",C234="",D234=""),"",IF(NOT(ISNUMBER(B234)),"Needs a date",IF(C234="","Needs a crop",IF(COUNTIF(Crops!$B$6:$B$65,C234)=0,"Not on Crops",IF(AND(D234&lt;&gt;"",COUNTIF(Beds!$B$6:$B$35,D234)=0),"Not on Beds",IF(AND(ISNUMBER(G234),G234&lt;B234),"Cleared before it was planted",""))))))</f>
        <v/>
      </c>
      <c r="M234" s="11">
        <f>IF(OR(L234&lt;&gt;"",D234="",O234=""),"",IF(COUNTIFS(Plantings!$D$6:$D$505,D234,Plantings!$O$6:$O$505,O234,Plantings!$N$6:$N$505,N234-1)&gt;0,"Same family here last year",""))</f>
        <v/>
      </c>
      <c r="N234" s="1">
        <f>IF(ISNUMBER(B234),YEAR(B234),"")</f>
        <v/>
      </c>
      <c r="O234">
        <f>IF(C234="","",IFERROR(INDEX(Crops!$C$6:$C$65,MATCH(C234,Crops!$B$6:$B$65,0))&amp;"",""))</f>
        <v/>
      </c>
      <c r="P234">
        <f>IF(ISNUMBER(B234),INT(B234),0)</f>
        <v/>
      </c>
      <c r="Q234">
        <f>IF(AND(L234="",OR(J234="Growing",J234="Picking")),1,0)</f>
        <v/>
      </c>
      <c r="R234">
        <f>IF(AND(Q234=1,D234&lt;&gt;""),P234*1000+ROW(),0)</f>
        <v/>
      </c>
      <c r="S234">
        <f>IF(AND(AND(C234&lt;&gt;"",ISNUMBER(B234)),L234=""),1,0)</f>
        <v/>
      </c>
    </row>
    <row r="235">
      <c r="A235" s="1" t="n"/>
      <c r="B235" s="17" t="n"/>
      <c r="C235" s="18" t="n"/>
      <c r="D235" s="19" t="n"/>
      <c r="E235" s="19" t="n"/>
      <c r="F235" s="20" t="n"/>
      <c r="G235" s="17" t="n"/>
      <c r="H235" s="21" t="n"/>
      <c r="I235" s="22">
        <f>IF(NOT(AND(C235&lt;&gt;"",ISNUMBER(B235))),"",IF(N(IFERROR(INDEX(Crops!$F$6:$F$65,MATCH(C235,Crops!$B$6:$B$65,0)),0))&gt;0,INT(B235)+N(IFERROR(INDEX(Crops!$F$6:$F$65,MATCH(C235,Crops!$B$6:$B$65,0)),0)),""))</f>
        <v/>
      </c>
      <c r="J235" s="16">
        <f>IF(NOT(AND(C235&lt;&gt;"",ISNUMBER(B235))),"",IF(ISNUMBER(G235),"Done",IF(INT(B235)&gt;TODAY(),"Planned",IF(COUNTIFS(Harvest!$C$6:$C$1505,C235,Harvest!$D$6:$D$1505,D235&amp;"",Harvest!$L$6:$L$1505,"&gt;="&amp;INT(B235))&gt;0,"Picking","Growing"))))</f>
        <v/>
      </c>
      <c r="K235" s="14">
        <f>IF(OR(NOT(AND(C235&lt;&gt;"",ISNUMBER(B235))),J235="Planned"),"",IF(ISNUMBER(G235),INT(G235),TODAY())-INT(B235))</f>
        <v/>
      </c>
      <c r="L235" s="11">
        <f>IF(AND(B235="",C235="",D235=""),"",IF(NOT(ISNUMBER(B235)),"Needs a date",IF(C235="","Needs a crop",IF(COUNTIF(Crops!$B$6:$B$65,C235)=0,"Not on Crops",IF(AND(D235&lt;&gt;"",COUNTIF(Beds!$B$6:$B$35,D235)=0),"Not on Beds",IF(AND(ISNUMBER(G235),G235&lt;B235),"Cleared before it was planted",""))))))</f>
        <v/>
      </c>
      <c r="M235" s="11">
        <f>IF(OR(L235&lt;&gt;"",D235="",O235=""),"",IF(COUNTIFS(Plantings!$D$6:$D$505,D235,Plantings!$O$6:$O$505,O235,Plantings!$N$6:$N$505,N235-1)&gt;0,"Same family here last year",""))</f>
        <v/>
      </c>
      <c r="N235" s="1">
        <f>IF(ISNUMBER(B235),YEAR(B235),"")</f>
        <v/>
      </c>
      <c r="O235">
        <f>IF(C235="","",IFERROR(INDEX(Crops!$C$6:$C$65,MATCH(C235,Crops!$B$6:$B$65,0))&amp;"",""))</f>
        <v/>
      </c>
      <c r="P235">
        <f>IF(ISNUMBER(B235),INT(B235),0)</f>
        <v/>
      </c>
      <c r="Q235">
        <f>IF(AND(L235="",OR(J235="Growing",J235="Picking")),1,0)</f>
        <v/>
      </c>
      <c r="R235">
        <f>IF(AND(Q235=1,D235&lt;&gt;""),P235*1000+ROW(),0)</f>
        <v/>
      </c>
      <c r="S235">
        <f>IF(AND(AND(C235&lt;&gt;"",ISNUMBER(B235)),L235=""),1,0)</f>
        <v/>
      </c>
    </row>
    <row r="236">
      <c r="A236" s="1" t="n"/>
      <c r="B236" s="17" t="n"/>
      <c r="C236" s="18" t="n"/>
      <c r="D236" s="19" t="n"/>
      <c r="E236" s="19" t="n"/>
      <c r="F236" s="20" t="n"/>
      <c r="G236" s="17" t="n"/>
      <c r="H236" s="21" t="n"/>
      <c r="I236" s="22">
        <f>IF(NOT(AND(C236&lt;&gt;"",ISNUMBER(B236))),"",IF(N(IFERROR(INDEX(Crops!$F$6:$F$65,MATCH(C236,Crops!$B$6:$B$65,0)),0))&gt;0,INT(B236)+N(IFERROR(INDEX(Crops!$F$6:$F$65,MATCH(C236,Crops!$B$6:$B$65,0)),0)),""))</f>
        <v/>
      </c>
      <c r="J236" s="16">
        <f>IF(NOT(AND(C236&lt;&gt;"",ISNUMBER(B236))),"",IF(ISNUMBER(G236),"Done",IF(INT(B236)&gt;TODAY(),"Planned",IF(COUNTIFS(Harvest!$C$6:$C$1505,C236,Harvest!$D$6:$D$1505,D236&amp;"",Harvest!$L$6:$L$1505,"&gt;="&amp;INT(B236))&gt;0,"Picking","Growing"))))</f>
        <v/>
      </c>
      <c r="K236" s="14">
        <f>IF(OR(NOT(AND(C236&lt;&gt;"",ISNUMBER(B236))),J236="Planned"),"",IF(ISNUMBER(G236),INT(G236),TODAY())-INT(B236))</f>
        <v/>
      </c>
      <c r="L236" s="11">
        <f>IF(AND(B236="",C236="",D236=""),"",IF(NOT(ISNUMBER(B236)),"Needs a date",IF(C236="","Needs a crop",IF(COUNTIF(Crops!$B$6:$B$65,C236)=0,"Not on Crops",IF(AND(D236&lt;&gt;"",COUNTIF(Beds!$B$6:$B$35,D236)=0),"Not on Beds",IF(AND(ISNUMBER(G236),G236&lt;B236),"Cleared before it was planted",""))))))</f>
        <v/>
      </c>
      <c r="M236" s="11">
        <f>IF(OR(L236&lt;&gt;"",D236="",O236=""),"",IF(COUNTIFS(Plantings!$D$6:$D$505,D236,Plantings!$O$6:$O$505,O236,Plantings!$N$6:$N$505,N236-1)&gt;0,"Same family here last year",""))</f>
        <v/>
      </c>
      <c r="N236" s="1">
        <f>IF(ISNUMBER(B236),YEAR(B236),"")</f>
        <v/>
      </c>
      <c r="O236">
        <f>IF(C236="","",IFERROR(INDEX(Crops!$C$6:$C$65,MATCH(C236,Crops!$B$6:$B$65,0))&amp;"",""))</f>
        <v/>
      </c>
      <c r="P236">
        <f>IF(ISNUMBER(B236),INT(B236),0)</f>
        <v/>
      </c>
      <c r="Q236">
        <f>IF(AND(L236="",OR(J236="Growing",J236="Picking")),1,0)</f>
        <v/>
      </c>
      <c r="R236">
        <f>IF(AND(Q236=1,D236&lt;&gt;""),P236*1000+ROW(),0)</f>
        <v/>
      </c>
      <c r="S236">
        <f>IF(AND(AND(C236&lt;&gt;"",ISNUMBER(B236)),L236=""),1,0)</f>
        <v/>
      </c>
    </row>
    <row r="237">
      <c r="A237" s="1" t="n"/>
      <c r="B237" s="17" t="n"/>
      <c r="C237" s="18" t="n"/>
      <c r="D237" s="19" t="n"/>
      <c r="E237" s="19" t="n"/>
      <c r="F237" s="20" t="n"/>
      <c r="G237" s="17" t="n"/>
      <c r="H237" s="21" t="n"/>
      <c r="I237" s="22">
        <f>IF(NOT(AND(C237&lt;&gt;"",ISNUMBER(B237))),"",IF(N(IFERROR(INDEX(Crops!$F$6:$F$65,MATCH(C237,Crops!$B$6:$B$65,0)),0))&gt;0,INT(B237)+N(IFERROR(INDEX(Crops!$F$6:$F$65,MATCH(C237,Crops!$B$6:$B$65,0)),0)),""))</f>
        <v/>
      </c>
      <c r="J237" s="16">
        <f>IF(NOT(AND(C237&lt;&gt;"",ISNUMBER(B237))),"",IF(ISNUMBER(G237),"Done",IF(INT(B237)&gt;TODAY(),"Planned",IF(COUNTIFS(Harvest!$C$6:$C$1505,C237,Harvest!$D$6:$D$1505,D237&amp;"",Harvest!$L$6:$L$1505,"&gt;="&amp;INT(B237))&gt;0,"Picking","Growing"))))</f>
        <v/>
      </c>
      <c r="K237" s="14">
        <f>IF(OR(NOT(AND(C237&lt;&gt;"",ISNUMBER(B237))),J237="Planned"),"",IF(ISNUMBER(G237),INT(G237),TODAY())-INT(B237))</f>
        <v/>
      </c>
      <c r="L237" s="11">
        <f>IF(AND(B237="",C237="",D237=""),"",IF(NOT(ISNUMBER(B237)),"Needs a date",IF(C237="","Needs a crop",IF(COUNTIF(Crops!$B$6:$B$65,C237)=0,"Not on Crops",IF(AND(D237&lt;&gt;"",COUNTIF(Beds!$B$6:$B$35,D237)=0),"Not on Beds",IF(AND(ISNUMBER(G237),G237&lt;B237),"Cleared before it was planted",""))))))</f>
        <v/>
      </c>
      <c r="M237" s="11">
        <f>IF(OR(L237&lt;&gt;"",D237="",O237=""),"",IF(COUNTIFS(Plantings!$D$6:$D$505,D237,Plantings!$O$6:$O$505,O237,Plantings!$N$6:$N$505,N237-1)&gt;0,"Same family here last year",""))</f>
        <v/>
      </c>
      <c r="N237" s="1">
        <f>IF(ISNUMBER(B237),YEAR(B237),"")</f>
        <v/>
      </c>
      <c r="O237">
        <f>IF(C237="","",IFERROR(INDEX(Crops!$C$6:$C$65,MATCH(C237,Crops!$B$6:$B$65,0))&amp;"",""))</f>
        <v/>
      </c>
      <c r="P237">
        <f>IF(ISNUMBER(B237),INT(B237),0)</f>
        <v/>
      </c>
      <c r="Q237">
        <f>IF(AND(L237="",OR(J237="Growing",J237="Picking")),1,0)</f>
        <v/>
      </c>
      <c r="R237">
        <f>IF(AND(Q237=1,D237&lt;&gt;""),P237*1000+ROW(),0)</f>
        <v/>
      </c>
      <c r="S237">
        <f>IF(AND(AND(C237&lt;&gt;"",ISNUMBER(B237)),L237=""),1,0)</f>
        <v/>
      </c>
    </row>
    <row r="238">
      <c r="A238" s="1" t="n"/>
      <c r="B238" s="17" t="n"/>
      <c r="C238" s="18" t="n"/>
      <c r="D238" s="19" t="n"/>
      <c r="E238" s="19" t="n"/>
      <c r="F238" s="20" t="n"/>
      <c r="G238" s="17" t="n"/>
      <c r="H238" s="21" t="n"/>
      <c r="I238" s="22">
        <f>IF(NOT(AND(C238&lt;&gt;"",ISNUMBER(B238))),"",IF(N(IFERROR(INDEX(Crops!$F$6:$F$65,MATCH(C238,Crops!$B$6:$B$65,0)),0))&gt;0,INT(B238)+N(IFERROR(INDEX(Crops!$F$6:$F$65,MATCH(C238,Crops!$B$6:$B$65,0)),0)),""))</f>
        <v/>
      </c>
      <c r="J238" s="16">
        <f>IF(NOT(AND(C238&lt;&gt;"",ISNUMBER(B238))),"",IF(ISNUMBER(G238),"Done",IF(INT(B238)&gt;TODAY(),"Planned",IF(COUNTIFS(Harvest!$C$6:$C$1505,C238,Harvest!$D$6:$D$1505,D238&amp;"",Harvest!$L$6:$L$1505,"&gt;="&amp;INT(B238))&gt;0,"Picking","Growing"))))</f>
        <v/>
      </c>
      <c r="K238" s="14">
        <f>IF(OR(NOT(AND(C238&lt;&gt;"",ISNUMBER(B238))),J238="Planned"),"",IF(ISNUMBER(G238),INT(G238),TODAY())-INT(B238))</f>
        <v/>
      </c>
      <c r="L238" s="11">
        <f>IF(AND(B238="",C238="",D238=""),"",IF(NOT(ISNUMBER(B238)),"Needs a date",IF(C238="","Needs a crop",IF(COUNTIF(Crops!$B$6:$B$65,C238)=0,"Not on Crops",IF(AND(D238&lt;&gt;"",COUNTIF(Beds!$B$6:$B$35,D238)=0),"Not on Beds",IF(AND(ISNUMBER(G238),G238&lt;B238),"Cleared before it was planted",""))))))</f>
        <v/>
      </c>
      <c r="M238" s="11">
        <f>IF(OR(L238&lt;&gt;"",D238="",O238=""),"",IF(COUNTIFS(Plantings!$D$6:$D$505,D238,Plantings!$O$6:$O$505,O238,Plantings!$N$6:$N$505,N238-1)&gt;0,"Same family here last year",""))</f>
        <v/>
      </c>
      <c r="N238" s="1">
        <f>IF(ISNUMBER(B238),YEAR(B238),"")</f>
        <v/>
      </c>
      <c r="O238">
        <f>IF(C238="","",IFERROR(INDEX(Crops!$C$6:$C$65,MATCH(C238,Crops!$B$6:$B$65,0))&amp;"",""))</f>
        <v/>
      </c>
      <c r="P238">
        <f>IF(ISNUMBER(B238),INT(B238),0)</f>
        <v/>
      </c>
      <c r="Q238">
        <f>IF(AND(L238="",OR(J238="Growing",J238="Picking")),1,0)</f>
        <v/>
      </c>
      <c r="R238">
        <f>IF(AND(Q238=1,D238&lt;&gt;""),P238*1000+ROW(),0)</f>
        <v/>
      </c>
      <c r="S238">
        <f>IF(AND(AND(C238&lt;&gt;"",ISNUMBER(B238)),L238=""),1,0)</f>
        <v/>
      </c>
    </row>
    <row r="239">
      <c r="A239" s="1" t="n"/>
      <c r="B239" s="17" t="n"/>
      <c r="C239" s="18" t="n"/>
      <c r="D239" s="19" t="n"/>
      <c r="E239" s="19" t="n"/>
      <c r="F239" s="20" t="n"/>
      <c r="G239" s="17" t="n"/>
      <c r="H239" s="21" t="n"/>
      <c r="I239" s="22">
        <f>IF(NOT(AND(C239&lt;&gt;"",ISNUMBER(B239))),"",IF(N(IFERROR(INDEX(Crops!$F$6:$F$65,MATCH(C239,Crops!$B$6:$B$65,0)),0))&gt;0,INT(B239)+N(IFERROR(INDEX(Crops!$F$6:$F$65,MATCH(C239,Crops!$B$6:$B$65,0)),0)),""))</f>
        <v/>
      </c>
      <c r="J239" s="16">
        <f>IF(NOT(AND(C239&lt;&gt;"",ISNUMBER(B239))),"",IF(ISNUMBER(G239),"Done",IF(INT(B239)&gt;TODAY(),"Planned",IF(COUNTIFS(Harvest!$C$6:$C$1505,C239,Harvest!$D$6:$D$1505,D239&amp;"",Harvest!$L$6:$L$1505,"&gt;="&amp;INT(B239))&gt;0,"Picking","Growing"))))</f>
        <v/>
      </c>
      <c r="K239" s="14">
        <f>IF(OR(NOT(AND(C239&lt;&gt;"",ISNUMBER(B239))),J239="Planned"),"",IF(ISNUMBER(G239),INT(G239),TODAY())-INT(B239))</f>
        <v/>
      </c>
      <c r="L239" s="11">
        <f>IF(AND(B239="",C239="",D239=""),"",IF(NOT(ISNUMBER(B239)),"Needs a date",IF(C239="","Needs a crop",IF(COUNTIF(Crops!$B$6:$B$65,C239)=0,"Not on Crops",IF(AND(D239&lt;&gt;"",COUNTIF(Beds!$B$6:$B$35,D239)=0),"Not on Beds",IF(AND(ISNUMBER(G239),G239&lt;B239),"Cleared before it was planted",""))))))</f>
        <v/>
      </c>
      <c r="M239" s="11">
        <f>IF(OR(L239&lt;&gt;"",D239="",O239=""),"",IF(COUNTIFS(Plantings!$D$6:$D$505,D239,Plantings!$O$6:$O$505,O239,Plantings!$N$6:$N$505,N239-1)&gt;0,"Same family here last year",""))</f>
        <v/>
      </c>
      <c r="N239" s="1">
        <f>IF(ISNUMBER(B239),YEAR(B239),"")</f>
        <v/>
      </c>
      <c r="O239">
        <f>IF(C239="","",IFERROR(INDEX(Crops!$C$6:$C$65,MATCH(C239,Crops!$B$6:$B$65,0))&amp;"",""))</f>
        <v/>
      </c>
      <c r="P239">
        <f>IF(ISNUMBER(B239),INT(B239),0)</f>
        <v/>
      </c>
      <c r="Q239">
        <f>IF(AND(L239="",OR(J239="Growing",J239="Picking")),1,0)</f>
        <v/>
      </c>
      <c r="R239">
        <f>IF(AND(Q239=1,D239&lt;&gt;""),P239*1000+ROW(),0)</f>
        <v/>
      </c>
      <c r="S239">
        <f>IF(AND(AND(C239&lt;&gt;"",ISNUMBER(B239)),L239=""),1,0)</f>
        <v/>
      </c>
    </row>
    <row r="240">
      <c r="A240" s="1" t="n"/>
      <c r="B240" s="17" t="n"/>
      <c r="C240" s="18" t="n"/>
      <c r="D240" s="19" t="n"/>
      <c r="E240" s="19" t="n"/>
      <c r="F240" s="20" t="n"/>
      <c r="G240" s="17" t="n"/>
      <c r="H240" s="21" t="n"/>
      <c r="I240" s="22">
        <f>IF(NOT(AND(C240&lt;&gt;"",ISNUMBER(B240))),"",IF(N(IFERROR(INDEX(Crops!$F$6:$F$65,MATCH(C240,Crops!$B$6:$B$65,0)),0))&gt;0,INT(B240)+N(IFERROR(INDEX(Crops!$F$6:$F$65,MATCH(C240,Crops!$B$6:$B$65,0)),0)),""))</f>
        <v/>
      </c>
      <c r="J240" s="16">
        <f>IF(NOT(AND(C240&lt;&gt;"",ISNUMBER(B240))),"",IF(ISNUMBER(G240),"Done",IF(INT(B240)&gt;TODAY(),"Planned",IF(COUNTIFS(Harvest!$C$6:$C$1505,C240,Harvest!$D$6:$D$1505,D240&amp;"",Harvest!$L$6:$L$1505,"&gt;="&amp;INT(B240))&gt;0,"Picking","Growing"))))</f>
        <v/>
      </c>
      <c r="K240" s="14">
        <f>IF(OR(NOT(AND(C240&lt;&gt;"",ISNUMBER(B240))),J240="Planned"),"",IF(ISNUMBER(G240),INT(G240),TODAY())-INT(B240))</f>
        <v/>
      </c>
      <c r="L240" s="11">
        <f>IF(AND(B240="",C240="",D240=""),"",IF(NOT(ISNUMBER(B240)),"Needs a date",IF(C240="","Needs a crop",IF(COUNTIF(Crops!$B$6:$B$65,C240)=0,"Not on Crops",IF(AND(D240&lt;&gt;"",COUNTIF(Beds!$B$6:$B$35,D240)=0),"Not on Beds",IF(AND(ISNUMBER(G240),G240&lt;B240),"Cleared before it was planted",""))))))</f>
        <v/>
      </c>
      <c r="M240" s="11">
        <f>IF(OR(L240&lt;&gt;"",D240="",O240=""),"",IF(COUNTIFS(Plantings!$D$6:$D$505,D240,Plantings!$O$6:$O$505,O240,Plantings!$N$6:$N$505,N240-1)&gt;0,"Same family here last year",""))</f>
        <v/>
      </c>
      <c r="N240" s="1">
        <f>IF(ISNUMBER(B240),YEAR(B240),"")</f>
        <v/>
      </c>
      <c r="O240">
        <f>IF(C240="","",IFERROR(INDEX(Crops!$C$6:$C$65,MATCH(C240,Crops!$B$6:$B$65,0))&amp;"",""))</f>
        <v/>
      </c>
      <c r="P240">
        <f>IF(ISNUMBER(B240),INT(B240),0)</f>
        <v/>
      </c>
      <c r="Q240">
        <f>IF(AND(L240="",OR(J240="Growing",J240="Picking")),1,0)</f>
        <v/>
      </c>
      <c r="R240">
        <f>IF(AND(Q240=1,D240&lt;&gt;""),P240*1000+ROW(),0)</f>
        <v/>
      </c>
      <c r="S240">
        <f>IF(AND(AND(C240&lt;&gt;"",ISNUMBER(B240)),L240=""),1,0)</f>
        <v/>
      </c>
    </row>
    <row r="241">
      <c r="A241" s="1" t="n"/>
      <c r="B241" s="17" t="n"/>
      <c r="C241" s="18" t="n"/>
      <c r="D241" s="19" t="n"/>
      <c r="E241" s="19" t="n"/>
      <c r="F241" s="20" t="n"/>
      <c r="G241" s="17" t="n"/>
      <c r="H241" s="21" t="n"/>
      <c r="I241" s="22">
        <f>IF(NOT(AND(C241&lt;&gt;"",ISNUMBER(B241))),"",IF(N(IFERROR(INDEX(Crops!$F$6:$F$65,MATCH(C241,Crops!$B$6:$B$65,0)),0))&gt;0,INT(B241)+N(IFERROR(INDEX(Crops!$F$6:$F$65,MATCH(C241,Crops!$B$6:$B$65,0)),0)),""))</f>
        <v/>
      </c>
      <c r="J241" s="16">
        <f>IF(NOT(AND(C241&lt;&gt;"",ISNUMBER(B241))),"",IF(ISNUMBER(G241),"Done",IF(INT(B241)&gt;TODAY(),"Planned",IF(COUNTIFS(Harvest!$C$6:$C$1505,C241,Harvest!$D$6:$D$1505,D241&amp;"",Harvest!$L$6:$L$1505,"&gt;="&amp;INT(B241))&gt;0,"Picking","Growing"))))</f>
        <v/>
      </c>
      <c r="K241" s="14">
        <f>IF(OR(NOT(AND(C241&lt;&gt;"",ISNUMBER(B241))),J241="Planned"),"",IF(ISNUMBER(G241),INT(G241),TODAY())-INT(B241))</f>
        <v/>
      </c>
      <c r="L241" s="11">
        <f>IF(AND(B241="",C241="",D241=""),"",IF(NOT(ISNUMBER(B241)),"Needs a date",IF(C241="","Needs a crop",IF(COUNTIF(Crops!$B$6:$B$65,C241)=0,"Not on Crops",IF(AND(D241&lt;&gt;"",COUNTIF(Beds!$B$6:$B$35,D241)=0),"Not on Beds",IF(AND(ISNUMBER(G241),G241&lt;B241),"Cleared before it was planted",""))))))</f>
        <v/>
      </c>
      <c r="M241" s="11">
        <f>IF(OR(L241&lt;&gt;"",D241="",O241=""),"",IF(COUNTIFS(Plantings!$D$6:$D$505,D241,Plantings!$O$6:$O$505,O241,Plantings!$N$6:$N$505,N241-1)&gt;0,"Same family here last year",""))</f>
        <v/>
      </c>
      <c r="N241" s="1">
        <f>IF(ISNUMBER(B241),YEAR(B241),"")</f>
        <v/>
      </c>
      <c r="O241">
        <f>IF(C241="","",IFERROR(INDEX(Crops!$C$6:$C$65,MATCH(C241,Crops!$B$6:$B$65,0))&amp;"",""))</f>
        <v/>
      </c>
      <c r="P241">
        <f>IF(ISNUMBER(B241),INT(B241),0)</f>
        <v/>
      </c>
      <c r="Q241">
        <f>IF(AND(L241="",OR(J241="Growing",J241="Picking")),1,0)</f>
        <v/>
      </c>
      <c r="R241">
        <f>IF(AND(Q241=1,D241&lt;&gt;""),P241*1000+ROW(),0)</f>
        <v/>
      </c>
      <c r="S241">
        <f>IF(AND(AND(C241&lt;&gt;"",ISNUMBER(B241)),L241=""),1,0)</f>
        <v/>
      </c>
    </row>
    <row r="242">
      <c r="A242" s="1" t="n"/>
      <c r="B242" s="17" t="n"/>
      <c r="C242" s="18" t="n"/>
      <c r="D242" s="19" t="n"/>
      <c r="E242" s="19" t="n"/>
      <c r="F242" s="20" t="n"/>
      <c r="G242" s="17" t="n"/>
      <c r="H242" s="21" t="n"/>
      <c r="I242" s="22">
        <f>IF(NOT(AND(C242&lt;&gt;"",ISNUMBER(B242))),"",IF(N(IFERROR(INDEX(Crops!$F$6:$F$65,MATCH(C242,Crops!$B$6:$B$65,0)),0))&gt;0,INT(B242)+N(IFERROR(INDEX(Crops!$F$6:$F$65,MATCH(C242,Crops!$B$6:$B$65,0)),0)),""))</f>
        <v/>
      </c>
      <c r="J242" s="16">
        <f>IF(NOT(AND(C242&lt;&gt;"",ISNUMBER(B242))),"",IF(ISNUMBER(G242),"Done",IF(INT(B242)&gt;TODAY(),"Planned",IF(COUNTIFS(Harvest!$C$6:$C$1505,C242,Harvest!$D$6:$D$1505,D242&amp;"",Harvest!$L$6:$L$1505,"&gt;="&amp;INT(B242))&gt;0,"Picking","Growing"))))</f>
        <v/>
      </c>
      <c r="K242" s="14">
        <f>IF(OR(NOT(AND(C242&lt;&gt;"",ISNUMBER(B242))),J242="Planned"),"",IF(ISNUMBER(G242),INT(G242),TODAY())-INT(B242))</f>
        <v/>
      </c>
      <c r="L242" s="11">
        <f>IF(AND(B242="",C242="",D242=""),"",IF(NOT(ISNUMBER(B242)),"Needs a date",IF(C242="","Needs a crop",IF(COUNTIF(Crops!$B$6:$B$65,C242)=0,"Not on Crops",IF(AND(D242&lt;&gt;"",COUNTIF(Beds!$B$6:$B$35,D242)=0),"Not on Beds",IF(AND(ISNUMBER(G242),G242&lt;B242),"Cleared before it was planted",""))))))</f>
        <v/>
      </c>
      <c r="M242" s="11">
        <f>IF(OR(L242&lt;&gt;"",D242="",O242=""),"",IF(COUNTIFS(Plantings!$D$6:$D$505,D242,Plantings!$O$6:$O$505,O242,Plantings!$N$6:$N$505,N242-1)&gt;0,"Same family here last year",""))</f>
        <v/>
      </c>
      <c r="N242" s="1">
        <f>IF(ISNUMBER(B242),YEAR(B242),"")</f>
        <v/>
      </c>
      <c r="O242">
        <f>IF(C242="","",IFERROR(INDEX(Crops!$C$6:$C$65,MATCH(C242,Crops!$B$6:$B$65,0))&amp;"",""))</f>
        <v/>
      </c>
      <c r="P242">
        <f>IF(ISNUMBER(B242),INT(B242),0)</f>
        <v/>
      </c>
      <c r="Q242">
        <f>IF(AND(L242="",OR(J242="Growing",J242="Picking")),1,0)</f>
        <v/>
      </c>
      <c r="R242">
        <f>IF(AND(Q242=1,D242&lt;&gt;""),P242*1000+ROW(),0)</f>
        <v/>
      </c>
      <c r="S242">
        <f>IF(AND(AND(C242&lt;&gt;"",ISNUMBER(B242)),L242=""),1,0)</f>
        <v/>
      </c>
    </row>
    <row r="243">
      <c r="A243" s="1" t="n"/>
      <c r="B243" s="17" t="n"/>
      <c r="C243" s="18" t="n"/>
      <c r="D243" s="19" t="n"/>
      <c r="E243" s="19" t="n"/>
      <c r="F243" s="20" t="n"/>
      <c r="G243" s="17" t="n"/>
      <c r="H243" s="21" t="n"/>
      <c r="I243" s="22">
        <f>IF(NOT(AND(C243&lt;&gt;"",ISNUMBER(B243))),"",IF(N(IFERROR(INDEX(Crops!$F$6:$F$65,MATCH(C243,Crops!$B$6:$B$65,0)),0))&gt;0,INT(B243)+N(IFERROR(INDEX(Crops!$F$6:$F$65,MATCH(C243,Crops!$B$6:$B$65,0)),0)),""))</f>
        <v/>
      </c>
      <c r="J243" s="16">
        <f>IF(NOT(AND(C243&lt;&gt;"",ISNUMBER(B243))),"",IF(ISNUMBER(G243),"Done",IF(INT(B243)&gt;TODAY(),"Planned",IF(COUNTIFS(Harvest!$C$6:$C$1505,C243,Harvest!$D$6:$D$1505,D243&amp;"",Harvest!$L$6:$L$1505,"&gt;="&amp;INT(B243))&gt;0,"Picking","Growing"))))</f>
        <v/>
      </c>
      <c r="K243" s="14">
        <f>IF(OR(NOT(AND(C243&lt;&gt;"",ISNUMBER(B243))),J243="Planned"),"",IF(ISNUMBER(G243),INT(G243),TODAY())-INT(B243))</f>
        <v/>
      </c>
      <c r="L243" s="11">
        <f>IF(AND(B243="",C243="",D243=""),"",IF(NOT(ISNUMBER(B243)),"Needs a date",IF(C243="","Needs a crop",IF(COUNTIF(Crops!$B$6:$B$65,C243)=0,"Not on Crops",IF(AND(D243&lt;&gt;"",COUNTIF(Beds!$B$6:$B$35,D243)=0),"Not on Beds",IF(AND(ISNUMBER(G243),G243&lt;B243),"Cleared before it was planted",""))))))</f>
        <v/>
      </c>
      <c r="M243" s="11">
        <f>IF(OR(L243&lt;&gt;"",D243="",O243=""),"",IF(COUNTIFS(Plantings!$D$6:$D$505,D243,Plantings!$O$6:$O$505,O243,Plantings!$N$6:$N$505,N243-1)&gt;0,"Same family here last year",""))</f>
        <v/>
      </c>
      <c r="N243" s="1">
        <f>IF(ISNUMBER(B243),YEAR(B243),"")</f>
        <v/>
      </c>
      <c r="O243">
        <f>IF(C243="","",IFERROR(INDEX(Crops!$C$6:$C$65,MATCH(C243,Crops!$B$6:$B$65,0))&amp;"",""))</f>
        <v/>
      </c>
      <c r="P243">
        <f>IF(ISNUMBER(B243),INT(B243),0)</f>
        <v/>
      </c>
      <c r="Q243">
        <f>IF(AND(L243="",OR(J243="Growing",J243="Picking")),1,0)</f>
        <v/>
      </c>
      <c r="R243">
        <f>IF(AND(Q243=1,D243&lt;&gt;""),P243*1000+ROW(),0)</f>
        <v/>
      </c>
      <c r="S243">
        <f>IF(AND(AND(C243&lt;&gt;"",ISNUMBER(B243)),L243=""),1,0)</f>
        <v/>
      </c>
    </row>
    <row r="244">
      <c r="A244" s="1" t="n"/>
      <c r="B244" s="17" t="n"/>
      <c r="C244" s="18" t="n"/>
      <c r="D244" s="19" t="n"/>
      <c r="E244" s="19" t="n"/>
      <c r="F244" s="20" t="n"/>
      <c r="G244" s="17" t="n"/>
      <c r="H244" s="21" t="n"/>
      <c r="I244" s="22">
        <f>IF(NOT(AND(C244&lt;&gt;"",ISNUMBER(B244))),"",IF(N(IFERROR(INDEX(Crops!$F$6:$F$65,MATCH(C244,Crops!$B$6:$B$65,0)),0))&gt;0,INT(B244)+N(IFERROR(INDEX(Crops!$F$6:$F$65,MATCH(C244,Crops!$B$6:$B$65,0)),0)),""))</f>
        <v/>
      </c>
      <c r="J244" s="16">
        <f>IF(NOT(AND(C244&lt;&gt;"",ISNUMBER(B244))),"",IF(ISNUMBER(G244),"Done",IF(INT(B244)&gt;TODAY(),"Planned",IF(COUNTIFS(Harvest!$C$6:$C$1505,C244,Harvest!$D$6:$D$1505,D244&amp;"",Harvest!$L$6:$L$1505,"&gt;="&amp;INT(B244))&gt;0,"Picking","Growing"))))</f>
        <v/>
      </c>
      <c r="K244" s="14">
        <f>IF(OR(NOT(AND(C244&lt;&gt;"",ISNUMBER(B244))),J244="Planned"),"",IF(ISNUMBER(G244),INT(G244),TODAY())-INT(B244))</f>
        <v/>
      </c>
      <c r="L244" s="11">
        <f>IF(AND(B244="",C244="",D244=""),"",IF(NOT(ISNUMBER(B244)),"Needs a date",IF(C244="","Needs a crop",IF(COUNTIF(Crops!$B$6:$B$65,C244)=0,"Not on Crops",IF(AND(D244&lt;&gt;"",COUNTIF(Beds!$B$6:$B$35,D244)=0),"Not on Beds",IF(AND(ISNUMBER(G244),G244&lt;B244),"Cleared before it was planted",""))))))</f>
        <v/>
      </c>
      <c r="M244" s="11">
        <f>IF(OR(L244&lt;&gt;"",D244="",O244=""),"",IF(COUNTIFS(Plantings!$D$6:$D$505,D244,Plantings!$O$6:$O$505,O244,Plantings!$N$6:$N$505,N244-1)&gt;0,"Same family here last year",""))</f>
        <v/>
      </c>
      <c r="N244" s="1">
        <f>IF(ISNUMBER(B244),YEAR(B244),"")</f>
        <v/>
      </c>
      <c r="O244">
        <f>IF(C244="","",IFERROR(INDEX(Crops!$C$6:$C$65,MATCH(C244,Crops!$B$6:$B$65,0))&amp;"",""))</f>
        <v/>
      </c>
      <c r="P244">
        <f>IF(ISNUMBER(B244),INT(B244),0)</f>
        <v/>
      </c>
      <c r="Q244">
        <f>IF(AND(L244="",OR(J244="Growing",J244="Picking")),1,0)</f>
        <v/>
      </c>
      <c r="R244">
        <f>IF(AND(Q244=1,D244&lt;&gt;""),P244*1000+ROW(),0)</f>
        <v/>
      </c>
      <c r="S244">
        <f>IF(AND(AND(C244&lt;&gt;"",ISNUMBER(B244)),L244=""),1,0)</f>
        <v/>
      </c>
    </row>
    <row r="245">
      <c r="A245" s="1" t="n"/>
      <c r="B245" s="17" t="n"/>
      <c r="C245" s="18" t="n"/>
      <c r="D245" s="19" t="n"/>
      <c r="E245" s="19" t="n"/>
      <c r="F245" s="20" t="n"/>
      <c r="G245" s="17" t="n"/>
      <c r="H245" s="21" t="n"/>
      <c r="I245" s="22">
        <f>IF(NOT(AND(C245&lt;&gt;"",ISNUMBER(B245))),"",IF(N(IFERROR(INDEX(Crops!$F$6:$F$65,MATCH(C245,Crops!$B$6:$B$65,0)),0))&gt;0,INT(B245)+N(IFERROR(INDEX(Crops!$F$6:$F$65,MATCH(C245,Crops!$B$6:$B$65,0)),0)),""))</f>
        <v/>
      </c>
      <c r="J245" s="16">
        <f>IF(NOT(AND(C245&lt;&gt;"",ISNUMBER(B245))),"",IF(ISNUMBER(G245),"Done",IF(INT(B245)&gt;TODAY(),"Planned",IF(COUNTIFS(Harvest!$C$6:$C$1505,C245,Harvest!$D$6:$D$1505,D245&amp;"",Harvest!$L$6:$L$1505,"&gt;="&amp;INT(B245))&gt;0,"Picking","Growing"))))</f>
        <v/>
      </c>
      <c r="K245" s="14">
        <f>IF(OR(NOT(AND(C245&lt;&gt;"",ISNUMBER(B245))),J245="Planned"),"",IF(ISNUMBER(G245),INT(G245),TODAY())-INT(B245))</f>
        <v/>
      </c>
      <c r="L245" s="11">
        <f>IF(AND(B245="",C245="",D245=""),"",IF(NOT(ISNUMBER(B245)),"Needs a date",IF(C245="","Needs a crop",IF(COUNTIF(Crops!$B$6:$B$65,C245)=0,"Not on Crops",IF(AND(D245&lt;&gt;"",COUNTIF(Beds!$B$6:$B$35,D245)=0),"Not on Beds",IF(AND(ISNUMBER(G245),G245&lt;B245),"Cleared before it was planted",""))))))</f>
        <v/>
      </c>
      <c r="M245" s="11">
        <f>IF(OR(L245&lt;&gt;"",D245="",O245=""),"",IF(COUNTIFS(Plantings!$D$6:$D$505,D245,Plantings!$O$6:$O$505,O245,Plantings!$N$6:$N$505,N245-1)&gt;0,"Same family here last year",""))</f>
        <v/>
      </c>
      <c r="N245" s="1">
        <f>IF(ISNUMBER(B245),YEAR(B245),"")</f>
        <v/>
      </c>
      <c r="O245">
        <f>IF(C245="","",IFERROR(INDEX(Crops!$C$6:$C$65,MATCH(C245,Crops!$B$6:$B$65,0))&amp;"",""))</f>
        <v/>
      </c>
      <c r="P245">
        <f>IF(ISNUMBER(B245),INT(B245),0)</f>
        <v/>
      </c>
      <c r="Q245">
        <f>IF(AND(L245="",OR(J245="Growing",J245="Picking")),1,0)</f>
        <v/>
      </c>
      <c r="R245">
        <f>IF(AND(Q245=1,D245&lt;&gt;""),P245*1000+ROW(),0)</f>
        <v/>
      </c>
      <c r="S245">
        <f>IF(AND(AND(C245&lt;&gt;"",ISNUMBER(B245)),L245=""),1,0)</f>
        <v/>
      </c>
    </row>
    <row r="246">
      <c r="A246" s="1" t="n"/>
      <c r="B246" s="17" t="n"/>
      <c r="C246" s="18" t="n"/>
      <c r="D246" s="19" t="n"/>
      <c r="E246" s="19" t="n"/>
      <c r="F246" s="20" t="n"/>
      <c r="G246" s="17" t="n"/>
      <c r="H246" s="21" t="n"/>
      <c r="I246" s="22">
        <f>IF(NOT(AND(C246&lt;&gt;"",ISNUMBER(B246))),"",IF(N(IFERROR(INDEX(Crops!$F$6:$F$65,MATCH(C246,Crops!$B$6:$B$65,0)),0))&gt;0,INT(B246)+N(IFERROR(INDEX(Crops!$F$6:$F$65,MATCH(C246,Crops!$B$6:$B$65,0)),0)),""))</f>
        <v/>
      </c>
      <c r="J246" s="16">
        <f>IF(NOT(AND(C246&lt;&gt;"",ISNUMBER(B246))),"",IF(ISNUMBER(G246),"Done",IF(INT(B246)&gt;TODAY(),"Planned",IF(COUNTIFS(Harvest!$C$6:$C$1505,C246,Harvest!$D$6:$D$1505,D246&amp;"",Harvest!$L$6:$L$1505,"&gt;="&amp;INT(B246))&gt;0,"Picking","Growing"))))</f>
        <v/>
      </c>
      <c r="K246" s="14">
        <f>IF(OR(NOT(AND(C246&lt;&gt;"",ISNUMBER(B246))),J246="Planned"),"",IF(ISNUMBER(G246),INT(G246),TODAY())-INT(B246))</f>
        <v/>
      </c>
      <c r="L246" s="11">
        <f>IF(AND(B246="",C246="",D246=""),"",IF(NOT(ISNUMBER(B246)),"Needs a date",IF(C246="","Needs a crop",IF(COUNTIF(Crops!$B$6:$B$65,C246)=0,"Not on Crops",IF(AND(D246&lt;&gt;"",COUNTIF(Beds!$B$6:$B$35,D246)=0),"Not on Beds",IF(AND(ISNUMBER(G246),G246&lt;B246),"Cleared before it was planted",""))))))</f>
        <v/>
      </c>
      <c r="M246" s="11">
        <f>IF(OR(L246&lt;&gt;"",D246="",O246=""),"",IF(COUNTIFS(Plantings!$D$6:$D$505,D246,Plantings!$O$6:$O$505,O246,Plantings!$N$6:$N$505,N246-1)&gt;0,"Same family here last year",""))</f>
        <v/>
      </c>
      <c r="N246" s="1">
        <f>IF(ISNUMBER(B246),YEAR(B246),"")</f>
        <v/>
      </c>
      <c r="O246">
        <f>IF(C246="","",IFERROR(INDEX(Crops!$C$6:$C$65,MATCH(C246,Crops!$B$6:$B$65,0))&amp;"",""))</f>
        <v/>
      </c>
      <c r="P246">
        <f>IF(ISNUMBER(B246),INT(B246),0)</f>
        <v/>
      </c>
      <c r="Q246">
        <f>IF(AND(L246="",OR(J246="Growing",J246="Picking")),1,0)</f>
        <v/>
      </c>
      <c r="R246">
        <f>IF(AND(Q246=1,D246&lt;&gt;""),P246*1000+ROW(),0)</f>
        <v/>
      </c>
      <c r="S246">
        <f>IF(AND(AND(C246&lt;&gt;"",ISNUMBER(B246)),L246=""),1,0)</f>
        <v/>
      </c>
    </row>
    <row r="247">
      <c r="A247" s="1" t="n"/>
      <c r="B247" s="17" t="n"/>
      <c r="C247" s="18" t="n"/>
      <c r="D247" s="19" t="n"/>
      <c r="E247" s="19" t="n"/>
      <c r="F247" s="20" t="n"/>
      <c r="G247" s="17" t="n"/>
      <c r="H247" s="21" t="n"/>
      <c r="I247" s="22">
        <f>IF(NOT(AND(C247&lt;&gt;"",ISNUMBER(B247))),"",IF(N(IFERROR(INDEX(Crops!$F$6:$F$65,MATCH(C247,Crops!$B$6:$B$65,0)),0))&gt;0,INT(B247)+N(IFERROR(INDEX(Crops!$F$6:$F$65,MATCH(C247,Crops!$B$6:$B$65,0)),0)),""))</f>
        <v/>
      </c>
      <c r="J247" s="16">
        <f>IF(NOT(AND(C247&lt;&gt;"",ISNUMBER(B247))),"",IF(ISNUMBER(G247),"Done",IF(INT(B247)&gt;TODAY(),"Planned",IF(COUNTIFS(Harvest!$C$6:$C$1505,C247,Harvest!$D$6:$D$1505,D247&amp;"",Harvest!$L$6:$L$1505,"&gt;="&amp;INT(B247))&gt;0,"Picking","Growing"))))</f>
        <v/>
      </c>
      <c r="K247" s="14">
        <f>IF(OR(NOT(AND(C247&lt;&gt;"",ISNUMBER(B247))),J247="Planned"),"",IF(ISNUMBER(G247),INT(G247),TODAY())-INT(B247))</f>
        <v/>
      </c>
      <c r="L247" s="11">
        <f>IF(AND(B247="",C247="",D247=""),"",IF(NOT(ISNUMBER(B247)),"Needs a date",IF(C247="","Needs a crop",IF(COUNTIF(Crops!$B$6:$B$65,C247)=0,"Not on Crops",IF(AND(D247&lt;&gt;"",COUNTIF(Beds!$B$6:$B$35,D247)=0),"Not on Beds",IF(AND(ISNUMBER(G247),G247&lt;B247),"Cleared before it was planted",""))))))</f>
        <v/>
      </c>
      <c r="M247" s="11">
        <f>IF(OR(L247&lt;&gt;"",D247="",O247=""),"",IF(COUNTIFS(Plantings!$D$6:$D$505,D247,Plantings!$O$6:$O$505,O247,Plantings!$N$6:$N$505,N247-1)&gt;0,"Same family here last year",""))</f>
        <v/>
      </c>
      <c r="N247" s="1">
        <f>IF(ISNUMBER(B247),YEAR(B247),"")</f>
        <v/>
      </c>
      <c r="O247">
        <f>IF(C247="","",IFERROR(INDEX(Crops!$C$6:$C$65,MATCH(C247,Crops!$B$6:$B$65,0))&amp;"",""))</f>
        <v/>
      </c>
      <c r="P247">
        <f>IF(ISNUMBER(B247),INT(B247),0)</f>
        <v/>
      </c>
      <c r="Q247">
        <f>IF(AND(L247="",OR(J247="Growing",J247="Picking")),1,0)</f>
        <v/>
      </c>
      <c r="R247">
        <f>IF(AND(Q247=1,D247&lt;&gt;""),P247*1000+ROW(),0)</f>
        <v/>
      </c>
      <c r="S247">
        <f>IF(AND(AND(C247&lt;&gt;"",ISNUMBER(B247)),L247=""),1,0)</f>
        <v/>
      </c>
    </row>
    <row r="248">
      <c r="A248" s="1" t="n"/>
      <c r="B248" s="17" t="n"/>
      <c r="C248" s="18" t="n"/>
      <c r="D248" s="19" t="n"/>
      <c r="E248" s="19" t="n"/>
      <c r="F248" s="20" t="n"/>
      <c r="G248" s="17" t="n"/>
      <c r="H248" s="21" t="n"/>
      <c r="I248" s="22">
        <f>IF(NOT(AND(C248&lt;&gt;"",ISNUMBER(B248))),"",IF(N(IFERROR(INDEX(Crops!$F$6:$F$65,MATCH(C248,Crops!$B$6:$B$65,0)),0))&gt;0,INT(B248)+N(IFERROR(INDEX(Crops!$F$6:$F$65,MATCH(C248,Crops!$B$6:$B$65,0)),0)),""))</f>
        <v/>
      </c>
      <c r="J248" s="16">
        <f>IF(NOT(AND(C248&lt;&gt;"",ISNUMBER(B248))),"",IF(ISNUMBER(G248),"Done",IF(INT(B248)&gt;TODAY(),"Planned",IF(COUNTIFS(Harvest!$C$6:$C$1505,C248,Harvest!$D$6:$D$1505,D248&amp;"",Harvest!$L$6:$L$1505,"&gt;="&amp;INT(B248))&gt;0,"Picking","Growing"))))</f>
        <v/>
      </c>
      <c r="K248" s="14">
        <f>IF(OR(NOT(AND(C248&lt;&gt;"",ISNUMBER(B248))),J248="Planned"),"",IF(ISNUMBER(G248),INT(G248),TODAY())-INT(B248))</f>
        <v/>
      </c>
      <c r="L248" s="11">
        <f>IF(AND(B248="",C248="",D248=""),"",IF(NOT(ISNUMBER(B248)),"Needs a date",IF(C248="","Needs a crop",IF(COUNTIF(Crops!$B$6:$B$65,C248)=0,"Not on Crops",IF(AND(D248&lt;&gt;"",COUNTIF(Beds!$B$6:$B$35,D248)=0),"Not on Beds",IF(AND(ISNUMBER(G248),G248&lt;B248),"Cleared before it was planted",""))))))</f>
        <v/>
      </c>
      <c r="M248" s="11">
        <f>IF(OR(L248&lt;&gt;"",D248="",O248=""),"",IF(COUNTIFS(Plantings!$D$6:$D$505,D248,Plantings!$O$6:$O$505,O248,Plantings!$N$6:$N$505,N248-1)&gt;0,"Same family here last year",""))</f>
        <v/>
      </c>
      <c r="N248" s="1">
        <f>IF(ISNUMBER(B248),YEAR(B248),"")</f>
        <v/>
      </c>
      <c r="O248">
        <f>IF(C248="","",IFERROR(INDEX(Crops!$C$6:$C$65,MATCH(C248,Crops!$B$6:$B$65,0))&amp;"",""))</f>
        <v/>
      </c>
      <c r="P248">
        <f>IF(ISNUMBER(B248),INT(B248),0)</f>
        <v/>
      </c>
      <c r="Q248">
        <f>IF(AND(L248="",OR(J248="Growing",J248="Picking")),1,0)</f>
        <v/>
      </c>
      <c r="R248">
        <f>IF(AND(Q248=1,D248&lt;&gt;""),P248*1000+ROW(),0)</f>
        <v/>
      </c>
      <c r="S248">
        <f>IF(AND(AND(C248&lt;&gt;"",ISNUMBER(B248)),L248=""),1,0)</f>
        <v/>
      </c>
    </row>
    <row r="249">
      <c r="A249" s="1" t="n"/>
      <c r="B249" s="17" t="n"/>
      <c r="C249" s="18" t="n"/>
      <c r="D249" s="19" t="n"/>
      <c r="E249" s="19" t="n"/>
      <c r="F249" s="20" t="n"/>
      <c r="G249" s="17" t="n"/>
      <c r="H249" s="21" t="n"/>
      <c r="I249" s="22">
        <f>IF(NOT(AND(C249&lt;&gt;"",ISNUMBER(B249))),"",IF(N(IFERROR(INDEX(Crops!$F$6:$F$65,MATCH(C249,Crops!$B$6:$B$65,0)),0))&gt;0,INT(B249)+N(IFERROR(INDEX(Crops!$F$6:$F$65,MATCH(C249,Crops!$B$6:$B$65,0)),0)),""))</f>
        <v/>
      </c>
      <c r="J249" s="16">
        <f>IF(NOT(AND(C249&lt;&gt;"",ISNUMBER(B249))),"",IF(ISNUMBER(G249),"Done",IF(INT(B249)&gt;TODAY(),"Planned",IF(COUNTIFS(Harvest!$C$6:$C$1505,C249,Harvest!$D$6:$D$1505,D249&amp;"",Harvest!$L$6:$L$1505,"&gt;="&amp;INT(B249))&gt;0,"Picking","Growing"))))</f>
        <v/>
      </c>
      <c r="K249" s="14">
        <f>IF(OR(NOT(AND(C249&lt;&gt;"",ISNUMBER(B249))),J249="Planned"),"",IF(ISNUMBER(G249),INT(G249),TODAY())-INT(B249))</f>
        <v/>
      </c>
      <c r="L249" s="11">
        <f>IF(AND(B249="",C249="",D249=""),"",IF(NOT(ISNUMBER(B249)),"Needs a date",IF(C249="","Needs a crop",IF(COUNTIF(Crops!$B$6:$B$65,C249)=0,"Not on Crops",IF(AND(D249&lt;&gt;"",COUNTIF(Beds!$B$6:$B$35,D249)=0),"Not on Beds",IF(AND(ISNUMBER(G249),G249&lt;B249),"Cleared before it was planted",""))))))</f>
        <v/>
      </c>
      <c r="M249" s="11">
        <f>IF(OR(L249&lt;&gt;"",D249="",O249=""),"",IF(COUNTIFS(Plantings!$D$6:$D$505,D249,Plantings!$O$6:$O$505,O249,Plantings!$N$6:$N$505,N249-1)&gt;0,"Same family here last year",""))</f>
        <v/>
      </c>
      <c r="N249" s="1">
        <f>IF(ISNUMBER(B249),YEAR(B249),"")</f>
        <v/>
      </c>
      <c r="O249">
        <f>IF(C249="","",IFERROR(INDEX(Crops!$C$6:$C$65,MATCH(C249,Crops!$B$6:$B$65,0))&amp;"",""))</f>
        <v/>
      </c>
      <c r="P249">
        <f>IF(ISNUMBER(B249),INT(B249),0)</f>
        <v/>
      </c>
      <c r="Q249">
        <f>IF(AND(L249="",OR(J249="Growing",J249="Picking")),1,0)</f>
        <v/>
      </c>
      <c r="R249">
        <f>IF(AND(Q249=1,D249&lt;&gt;""),P249*1000+ROW(),0)</f>
        <v/>
      </c>
      <c r="S249">
        <f>IF(AND(AND(C249&lt;&gt;"",ISNUMBER(B249)),L249=""),1,0)</f>
        <v/>
      </c>
    </row>
    <row r="250">
      <c r="A250" s="1" t="n"/>
      <c r="B250" s="17" t="n"/>
      <c r="C250" s="18" t="n"/>
      <c r="D250" s="19" t="n"/>
      <c r="E250" s="19" t="n"/>
      <c r="F250" s="20" t="n"/>
      <c r="G250" s="17" t="n"/>
      <c r="H250" s="21" t="n"/>
      <c r="I250" s="22">
        <f>IF(NOT(AND(C250&lt;&gt;"",ISNUMBER(B250))),"",IF(N(IFERROR(INDEX(Crops!$F$6:$F$65,MATCH(C250,Crops!$B$6:$B$65,0)),0))&gt;0,INT(B250)+N(IFERROR(INDEX(Crops!$F$6:$F$65,MATCH(C250,Crops!$B$6:$B$65,0)),0)),""))</f>
        <v/>
      </c>
      <c r="J250" s="16">
        <f>IF(NOT(AND(C250&lt;&gt;"",ISNUMBER(B250))),"",IF(ISNUMBER(G250),"Done",IF(INT(B250)&gt;TODAY(),"Planned",IF(COUNTIFS(Harvest!$C$6:$C$1505,C250,Harvest!$D$6:$D$1505,D250&amp;"",Harvest!$L$6:$L$1505,"&gt;="&amp;INT(B250))&gt;0,"Picking","Growing"))))</f>
        <v/>
      </c>
      <c r="K250" s="14">
        <f>IF(OR(NOT(AND(C250&lt;&gt;"",ISNUMBER(B250))),J250="Planned"),"",IF(ISNUMBER(G250),INT(G250),TODAY())-INT(B250))</f>
        <v/>
      </c>
      <c r="L250" s="11">
        <f>IF(AND(B250="",C250="",D250=""),"",IF(NOT(ISNUMBER(B250)),"Needs a date",IF(C250="","Needs a crop",IF(COUNTIF(Crops!$B$6:$B$65,C250)=0,"Not on Crops",IF(AND(D250&lt;&gt;"",COUNTIF(Beds!$B$6:$B$35,D250)=0),"Not on Beds",IF(AND(ISNUMBER(G250),G250&lt;B250),"Cleared before it was planted",""))))))</f>
        <v/>
      </c>
      <c r="M250" s="11">
        <f>IF(OR(L250&lt;&gt;"",D250="",O250=""),"",IF(COUNTIFS(Plantings!$D$6:$D$505,D250,Plantings!$O$6:$O$505,O250,Plantings!$N$6:$N$505,N250-1)&gt;0,"Same family here last year",""))</f>
        <v/>
      </c>
      <c r="N250" s="1">
        <f>IF(ISNUMBER(B250),YEAR(B250),"")</f>
        <v/>
      </c>
      <c r="O250">
        <f>IF(C250="","",IFERROR(INDEX(Crops!$C$6:$C$65,MATCH(C250,Crops!$B$6:$B$65,0))&amp;"",""))</f>
        <v/>
      </c>
      <c r="P250">
        <f>IF(ISNUMBER(B250),INT(B250),0)</f>
        <v/>
      </c>
      <c r="Q250">
        <f>IF(AND(L250="",OR(J250="Growing",J250="Picking")),1,0)</f>
        <v/>
      </c>
      <c r="R250">
        <f>IF(AND(Q250=1,D250&lt;&gt;""),P250*1000+ROW(),0)</f>
        <v/>
      </c>
      <c r="S250">
        <f>IF(AND(AND(C250&lt;&gt;"",ISNUMBER(B250)),L250=""),1,0)</f>
        <v/>
      </c>
    </row>
    <row r="251">
      <c r="A251" s="1" t="n"/>
      <c r="B251" s="17" t="n"/>
      <c r="C251" s="18" t="n"/>
      <c r="D251" s="19" t="n"/>
      <c r="E251" s="19" t="n"/>
      <c r="F251" s="20" t="n"/>
      <c r="G251" s="17" t="n"/>
      <c r="H251" s="21" t="n"/>
      <c r="I251" s="22">
        <f>IF(NOT(AND(C251&lt;&gt;"",ISNUMBER(B251))),"",IF(N(IFERROR(INDEX(Crops!$F$6:$F$65,MATCH(C251,Crops!$B$6:$B$65,0)),0))&gt;0,INT(B251)+N(IFERROR(INDEX(Crops!$F$6:$F$65,MATCH(C251,Crops!$B$6:$B$65,0)),0)),""))</f>
        <v/>
      </c>
      <c r="J251" s="16">
        <f>IF(NOT(AND(C251&lt;&gt;"",ISNUMBER(B251))),"",IF(ISNUMBER(G251),"Done",IF(INT(B251)&gt;TODAY(),"Planned",IF(COUNTIFS(Harvest!$C$6:$C$1505,C251,Harvest!$D$6:$D$1505,D251&amp;"",Harvest!$L$6:$L$1505,"&gt;="&amp;INT(B251))&gt;0,"Picking","Growing"))))</f>
        <v/>
      </c>
      <c r="K251" s="14">
        <f>IF(OR(NOT(AND(C251&lt;&gt;"",ISNUMBER(B251))),J251="Planned"),"",IF(ISNUMBER(G251),INT(G251),TODAY())-INT(B251))</f>
        <v/>
      </c>
      <c r="L251" s="11">
        <f>IF(AND(B251="",C251="",D251=""),"",IF(NOT(ISNUMBER(B251)),"Needs a date",IF(C251="","Needs a crop",IF(COUNTIF(Crops!$B$6:$B$65,C251)=0,"Not on Crops",IF(AND(D251&lt;&gt;"",COUNTIF(Beds!$B$6:$B$35,D251)=0),"Not on Beds",IF(AND(ISNUMBER(G251),G251&lt;B251),"Cleared before it was planted",""))))))</f>
        <v/>
      </c>
      <c r="M251" s="11">
        <f>IF(OR(L251&lt;&gt;"",D251="",O251=""),"",IF(COUNTIFS(Plantings!$D$6:$D$505,D251,Plantings!$O$6:$O$505,O251,Plantings!$N$6:$N$505,N251-1)&gt;0,"Same family here last year",""))</f>
        <v/>
      </c>
      <c r="N251" s="1">
        <f>IF(ISNUMBER(B251),YEAR(B251),"")</f>
        <v/>
      </c>
      <c r="O251">
        <f>IF(C251="","",IFERROR(INDEX(Crops!$C$6:$C$65,MATCH(C251,Crops!$B$6:$B$65,0))&amp;"",""))</f>
        <v/>
      </c>
      <c r="P251">
        <f>IF(ISNUMBER(B251),INT(B251),0)</f>
        <v/>
      </c>
      <c r="Q251">
        <f>IF(AND(L251="",OR(J251="Growing",J251="Picking")),1,0)</f>
        <v/>
      </c>
      <c r="R251">
        <f>IF(AND(Q251=1,D251&lt;&gt;""),P251*1000+ROW(),0)</f>
        <v/>
      </c>
      <c r="S251">
        <f>IF(AND(AND(C251&lt;&gt;"",ISNUMBER(B251)),L251=""),1,0)</f>
        <v/>
      </c>
    </row>
    <row r="252">
      <c r="A252" s="1" t="n"/>
      <c r="B252" s="17" t="n"/>
      <c r="C252" s="18" t="n"/>
      <c r="D252" s="19" t="n"/>
      <c r="E252" s="19" t="n"/>
      <c r="F252" s="20" t="n"/>
      <c r="G252" s="17" t="n"/>
      <c r="H252" s="21" t="n"/>
      <c r="I252" s="22">
        <f>IF(NOT(AND(C252&lt;&gt;"",ISNUMBER(B252))),"",IF(N(IFERROR(INDEX(Crops!$F$6:$F$65,MATCH(C252,Crops!$B$6:$B$65,0)),0))&gt;0,INT(B252)+N(IFERROR(INDEX(Crops!$F$6:$F$65,MATCH(C252,Crops!$B$6:$B$65,0)),0)),""))</f>
        <v/>
      </c>
      <c r="J252" s="16">
        <f>IF(NOT(AND(C252&lt;&gt;"",ISNUMBER(B252))),"",IF(ISNUMBER(G252),"Done",IF(INT(B252)&gt;TODAY(),"Planned",IF(COUNTIFS(Harvest!$C$6:$C$1505,C252,Harvest!$D$6:$D$1505,D252&amp;"",Harvest!$L$6:$L$1505,"&gt;="&amp;INT(B252))&gt;0,"Picking","Growing"))))</f>
        <v/>
      </c>
      <c r="K252" s="14">
        <f>IF(OR(NOT(AND(C252&lt;&gt;"",ISNUMBER(B252))),J252="Planned"),"",IF(ISNUMBER(G252),INT(G252),TODAY())-INT(B252))</f>
        <v/>
      </c>
      <c r="L252" s="11">
        <f>IF(AND(B252="",C252="",D252=""),"",IF(NOT(ISNUMBER(B252)),"Needs a date",IF(C252="","Needs a crop",IF(COUNTIF(Crops!$B$6:$B$65,C252)=0,"Not on Crops",IF(AND(D252&lt;&gt;"",COUNTIF(Beds!$B$6:$B$35,D252)=0),"Not on Beds",IF(AND(ISNUMBER(G252),G252&lt;B252),"Cleared before it was planted",""))))))</f>
        <v/>
      </c>
      <c r="M252" s="11">
        <f>IF(OR(L252&lt;&gt;"",D252="",O252=""),"",IF(COUNTIFS(Plantings!$D$6:$D$505,D252,Plantings!$O$6:$O$505,O252,Plantings!$N$6:$N$505,N252-1)&gt;0,"Same family here last year",""))</f>
        <v/>
      </c>
      <c r="N252" s="1">
        <f>IF(ISNUMBER(B252),YEAR(B252),"")</f>
        <v/>
      </c>
      <c r="O252">
        <f>IF(C252="","",IFERROR(INDEX(Crops!$C$6:$C$65,MATCH(C252,Crops!$B$6:$B$65,0))&amp;"",""))</f>
        <v/>
      </c>
      <c r="P252">
        <f>IF(ISNUMBER(B252),INT(B252),0)</f>
        <v/>
      </c>
      <c r="Q252">
        <f>IF(AND(L252="",OR(J252="Growing",J252="Picking")),1,0)</f>
        <v/>
      </c>
      <c r="R252">
        <f>IF(AND(Q252=1,D252&lt;&gt;""),P252*1000+ROW(),0)</f>
        <v/>
      </c>
      <c r="S252">
        <f>IF(AND(AND(C252&lt;&gt;"",ISNUMBER(B252)),L252=""),1,0)</f>
        <v/>
      </c>
    </row>
    <row r="253">
      <c r="A253" s="1" t="n"/>
      <c r="B253" s="17" t="n"/>
      <c r="C253" s="18" t="n"/>
      <c r="D253" s="19" t="n"/>
      <c r="E253" s="19" t="n"/>
      <c r="F253" s="20" t="n"/>
      <c r="G253" s="17" t="n"/>
      <c r="H253" s="21" t="n"/>
      <c r="I253" s="22">
        <f>IF(NOT(AND(C253&lt;&gt;"",ISNUMBER(B253))),"",IF(N(IFERROR(INDEX(Crops!$F$6:$F$65,MATCH(C253,Crops!$B$6:$B$65,0)),0))&gt;0,INT(B253)+N(IFERROR(INDEX(Crops!$F$6:$F$65,MATCH(C253,Crops!$B$6:$B$65,0)),0)),""))</f>
        <v/>
      </c>
      <c r="J253" s="16">
        <f>IF(NOT(AND(C253&lt;&gt;"",ISNUMBER(B253))),"",IF(ISNUMBER(G253),"Done",IF(INT(B253)&gt;TODAY(),"Planned",IF(COUNTIFS(Harvest!$C$6:$C$1505,C253,Harvest!$D$6:$D$1505,D253&amp;"",Harvest!$L$6:$L$1505,"&gt;="&amp;INT(B253))&gt;0,"Picking","Growing"))))</f>
        <v/>
      </c>
      <c r="K253" s="14">
        <f>IF(OR(NOT(AND(C253&lt;&gt;"",ISNUMBER(B253))),J253="Planned"),"",IF(ISNUMBER(G253),INT(G253),TODAY())-INT(B253))</f>
        <v/>
      </c>
      <c r="L253" s="11">
        <f>IF(AND(B253="",C253="",D253=""),"",IF(NOT(ISNUMBER(B253)),"Needs a date",IF(C253="","Needs a crop",IF(COUNTIF(Crops!$B$6:$B$65,C253)=0,"Not on Crops",IF(AND(D253&lt;&gt;"",COUNTIF(Beds!$B$6:$B$35,D253)=0),"Not on Beds",IF(AND(ISNUMBER(G253),G253&lt;B253),"Cleared before it was planted",""))))))</f>
        <v/>
      </c>
      <c r="M253" s="11">
        <f>IF(OR(L253&lt;&gt;"",D253="",O253=""),"",IF(COUNTIFS(Plantings!$D$6:$D$505,D253,Plantings!$O$6:$O$505,O253,Plantings!$N$6:$N$505,N253-1)&gt;0,"Same family here last year",""))</f>
        <v/>
      </c>
      <c r="N253" s="1">
        <f>IF(ISNUMBER(B253),YEAR(B253),"")</f>
        <v/>
      </c>
      <c r="O253">
        <f>IF(C253="","",IFERROR(INDEX(Crops!$C$6:$C$65,MATCH(C253,Crops!$B$6:$B$65,0))&amp;"",""))</f>
        <v/>
      </c>
      <c r="P253">
        <f>IF(ISNUMBER(B253),INT(B253),0)</f>
        <v/>
      </c>
      <c r="Q253">
        <f>IF(AND(L253="",OR(J253="Growing",J253="Picking")),1,0)</f>
        <v/>
      </c>
      <c r="R253">
        <f>IF(AND(Q253=1,D253&lt;&gt;""),P253*1000+ROW(),0)</f>
        <v/>
      </c>
      <c r="S253">
        <f>IF(AND(AND(C253&lt;&gt;"",ISNUMBER(B253)),L253=""),1,0)</f>
        <v/>
      </c>
    </row>
    <row r="254">
      <c r="A254" s="1" t="n"/>
      <c r="B254" s="17" t="n"/>
      <c r="C254" s="18" t="n"/>
      <c r="D254" s="19" t="n"/>
      <c r="E254" s="19" t="n"/>
      <c r="F254" s="20" t="n"/>
      <c r="G254" s="17" t="n"/>
      <c r="H254" s="21" t="n"/>
      <c r="I254" s="22">
        <f>IF(NOT(AND(C254&lt;&gt;"",ISNUMBER(B254))),"",IF(N(IFERROR(INDEX(Crops!$F$6:$F$65,MATCH(C254,Crops!$B$6:$B$65,0)),0))&gt;0,INT(B254)+N(IFERROR(INDEX(Crops!$F$6:$F$65,MATCH(C254,Crops!$B$6:$B$65,0)),0)),""))</f>
        <v/>
      </c>
      <c r="J254" s="16">
        <f>IF(NOT(AND(C254&lt;&gt;"",ISNUMBER(B254))),"",IF(ISNUMBER(G254),"Done",IF(INT(B254)&gt;TODAY(),"Planned",IF(COUNTIFS(Harvest!$C$6:$C$1505,C254,Harvest!$D$6:$D$1505,D254&amp;"",Harvest!$L$6:$L$1505,"&gt;="&amp;INT(B254))&gt;0,"Picking","Growing"))))</f>
        <v/>
      </c>
      <c r="K254" s="14">
        <f>IF(OR(NOT(AND(C254&lt;&gt;"",ISNUMBER(B254))),J254="Planned"),"",IF(ISNUMBER(G254),INT(G254),TODAY())-INT(B254))</f>
        <v/>
      </c>
      <c r="L254" s="11">
        <f>IF(AND(B254="",C254="",D254=""),"",IF(NOT(ISNUMBER(B254)),"Needs a date",IF(C254="","Needs a crop",IF(COUNTIF(Crops!$B$6:$B$65,C254)=0,"Not on Crops",IF(AND(D254&lt;&gt;"",COUNTIF(Beds!$B$6:$B$35,D254)=0),"Not on Beds",IF(AND(ISNUMBER(G254),G254&lt;B254),"Cleared before it was planted",""))))))</f>
        <v/>
      </c>
      <c r="M254" s="11">
        <f>IF(OR(L254&lt;&gt;"",D254="",O254=""),"",IF(COUNTIFS(Plantings!$D$6:$D$505,D254,Plantings!$O$6:$O$505,O254,Plantings!$N$6:$N$505,N254-1)&gt;0,"Same family here last year",""))</f>
        <v/>
      </c>
      <c r="N254" s="1">
        <f>IF(ISNUMBER(B254),YEAR(B254),"")</f>
        <v/>
      </c>
      <c r="O254">
        <f>IF(C254="","",IFERROR(INDEX(Crops!$C$6:$C$65,MATCH(C254,Crops!$B$6:$B$65,0))&amp;"",""))</f>
        <v/>
      </c>
      <c r="P254">
        <f>IF(ISNUMBER(B254),INT(B254),0)</f>
        <v/>
      </c>
      <c r="Q254">
        <f>IF(AND(L254="",OR(J254="Growing",J254="Picking")),1,0)</f>
        <v/>
      </c>
      <c r="R254">
        <f>IF(AND(Q254=1,D254&lt;&gt;""),P254*1000+ROW(),0)</f>
        <v/>
      </c>
      <c r="S254">
        <f>IF(AND(AND(C254&lt;&gt;"",ISNUMBER(B254)),L254=""),1,0)</f>
        <v/>
      </c>
    </row>
    <row r="255">
      <c r="A255" s="1" t="n"/>
      <c r="B255" s="17" t="n"/>
      <c r="C255" s="18" t="n"/>
      <c r="D255" s="19" t="n"/>
      <c r="E255" s="19" t="n"/>
      <c r="F255" s="20" t="n"/>
      <c r="G255" s="17" t="n"/>
      <c r="H255" s="21" t="n"/>
      <c r="I255" s="22">
        <f>IF(NOT(AND(C255&lt;&gt;"",ISNUMBER(B255))),"",IF(N(IFERROR(INDEX(Crops!$F$6:$F$65,MATCH(C255,Crops!$B$6:$B$65,0)),0))&gt;0,INT(B255)+N(IFERROR(INDEX(Crops!$F$6:$F$65,MATCH(C255,Crops!$B$6:$B$65,0)),0)),""))</f>
        <v/>
      </c>
      <c r="J255" s="16">
        <f>IF(NOT(AND(C255&lt;&gt;"",ISNUMBER(B255))),"",IF(ISNUMBER(G255),"Done",IF(INT(B255)&gt;TODAY(),"Planned",IF(COUNTIFS(Harvest!$C$6:$C$1505,C255,Harvest!$D$6:$D$1505,D255&amp;"",Harvest!$L$6:$L$1505,"&gt;="&amp;INT(B255))&gt;0,"Picking","Growing"))))</f>
        <v/>
      </c>
      <c r="K255" s="14">
        <f>IF(OR(NOT(AND(C255&lt;&gt;"",ISNUMBER(B255))),J255="Planned"),"",IF(ISNUMBER(G255),INT(G255),TODAY())-INT(B255))</f>
        <v/>
      </c>
      <c r="L255" s="11">
        <f>IF(AND(B255="",C255="",D255=""),"",IF(NOT(ISNUMBER(B255)),"Needs a date",IF(C255="","Needs a crop",IF(COUNTIF(Crops!$B$6:$B$65,C255)=0,"Not on Crops",IF(AND(D255&lt;&gt;"",COUNTIF(Beds!$B$6:$B$35,D255)=0),"Not on Beds",IF(AND(ISNUMBER(G255),G255&lt;B255),"Cleared before it was planted",""))))))</f>
        <v/>
      </c>
      <c r="M255" s="11">
        <f>IF(OR(L255&lt;&gt;"",D255="",O255=""),"",IF(COUNTIFS(Plantings!$D$6:$D$505,D255,Plantings!$O$6:$O$505,O255,Plantings!$N$6:$N$505,N255-1)&gt;0,"Same family here last year",""))</f>
        <v/>
      </c>
      <c r="N255" s="1">
        <f>IF(ISNUMBER(B255),YEAR(B255),"")</f>
        <v/>
      </c>
      <c r="O255">
        <f>IF(C255="","",IFERROR(INDEX(Crops!$C$6:$C$65,MATCH(C255,Crops!$B$6:$B$65,0))&amp;"",""))</f>
        <v/>
      </c>
      <c r="P255">
        <f>IF(ISNUMBER(B255),INT(B255),0)</f>
        <v/>
      </c>
      <c r="Q255">
        <f>IF(AND(L255="",OR(J255="Growing",J255="Picking")),1,0)</f>
        <v/>
      </c>
      <c r="R255">
        <f>IF(AND(Q255=1,D255&lt;&gt;""),P255*1000+ROW(),0)</f>
        <v/>
      </c>
      <c r="S255">
        <f>IF(AND(AND(C255&lt;&gt;"",ISNUMBER(B255)),L255=""),1,0)</f>
        <v/>
      </c>
    </row>
    <row r="256">
      <c r="A256" s="1" t="n"/>
      <c r="B256" s="17" t="n"/>
      <c r="C256" s="18" t="n"/>
      <c r="D256" s="19" t="n"/>
      <c r="E256" s="19" t="n"/>
      <c r="F256" s="20" t="n"/>
      <c r="G256" s="17" t="n"/>
      <c r="H256" s="21" t="n"/>
      <c r="I256" s="22">
        <f>IF(NOT(AND(C256&lt;&gt;"",ISNUMBER(B256))),"",IF(N(IFERROR(INDEX(Crops!$F$6:$F$65,MATCH(C256,Crops!$B$6:$B$65,0)),0))&gt;0,INT(B256)+N(IFERROR(INDEX(Crops!$F$6:$F$65,MATCH(C256,Crops!$B$6:$B$65,0)),0)),""))</f>
        <v/>
      </c>
      <c r="J256" s="16">
        <f>IF(NOT(AND(C256&lt;&gt;"",ISNUMBER(B256))),"",IF(ISNUMBER(G256),"Done",IF(INT(B256)&gt;TODAY(),"Planned",IF(COUNTIFS(Harvest!$C$6:$C$1505,C256,Harvest!$D$6:$D$1505,D256&amp;"",Harvest!$L$6:$L$1505,"&gt;="&amp;INT(B256))&gt;0,"Picking","Growing"))))</f>
        <v/>
      </c>
      <c r="K256" s="14">
        <f>IF(OR(NOT(AND(C256&lt;&gt;"",ISNUMBER(B256))),J256="Planned"),"",IF(ISNUMBER(G256),INT(G256),TODAY())-INT(B256))</f>
        <v/>
      </c>
      <c r="L256" s="11">
        <f>IF(AND(B256="",C256="",D256=""),"",IF(NOT(ISNUMBER(B256)),"Needs a date",IF(C256="","Needs a crop",IF(COUNTIF(Crops!$B$6:$B$65,C256)=0,"Not on Crops",IF(AND(D256&lt;&gt;"",COUNTIF(Beds!$B$6:$B$35,D256)=0),"Not on Beds",IF(AND(ISNUMBER(G256),G256&lt;B256),"Cleared before it was planted",""))))))</f>
        <v/>
      </c>
      <c r="M256" s="11">
        <f>IF(OR(L256&lt;&gt;"",D256="",O256=""),"",IF(COUNTIFS(Plantings!$D$6:$D$505,D256,Plantings!$O$6:$O$505,O256,Plantings!$N$6:$N$505,N256-1)&gt;0,"Same family here last year",""))</f>
        <v/>
      </c>
      <c r="N256" s="1">
        <f>IF(ISNUMBER(B256),YEAR(B256),"")</f>
        <v/>
      </c>
      <c r="O256">
        <f>IF(C256="","",IFERROR(INDEX(Crops!$C$6:$C$65,MATCH(C256,Crops!$B$6:$B$65,0))&amp;"",""))</f>
        <v/>
      </c>
      <c r="P256">
        <f>IF(ISNUMBER(B256),INT(B256),0)</f>
        <v/>
      </c>
      <c r="Q256">
        <f>IF(AND(L256="",OR(J256="Growing",J256="Picking")),1,0)</f>
        <v/>
      </c>
      <c r="R256">
        <f>IF(AND(Q256=1,D256&lt;&gt;""),P256*1000+ROW(),0)</f>
        <v/>
      </c>
      <c r="S256">
        <f>IF(AND(AND(C256&lt;&gt;"",ISNUMBER(B256)),L256=""),1,0)</f>
        <v/>
      </c>
    </row>
    <row r="257">
      <c r="A257" s="1" t="n"/>
      <c r="B257" s="17" t="n"/>
      <c r="C257" s="18" t="n"/>
      <c r="D257" s="19" t="n"/>
      <c r="E257" s="19" t="n"/>
      <c r="F257" s="20" t="n"/>
      <c r="G257" s="17" t="n"/>
      <c r="H257" s="21" t="n"/>
      <c r="I257" s="22">
        <f>IF(NOT(AND(C257&lt;&gt;"",ISNUMBER(B257))),"",IF(N(IFERROR(INDEX(Crops!$F$6:$F$65,MATCH(C257,Crops!$B$6:$B$65,0)),0))&gt;0,INT(B257)+N(IFERROR(INDEX(Crops!$F$6:$F$65,MATCH(C257,Crops!$B$6:$B$65,0)),0)),""))</f>
        <v/>
      </c>
      <c r="J257" s="16">
        <f>IF(NOT(AND(C257&lt;&gt;"",ISNUMBER(B257))),"",IF(ISNUMBER(G257),"Done",IF(INT(B257)&gt;TODAY(),"Planned",IF(COUNTIFS(Harvest!$C$6:$C$1505,C257,Harvest!$D$6:$D$1505,D257&amp;"",Harvest!$L$6:$L$1505,"&gt;="&amp;INT(B257))&gt;0,"Picking","Growing"))))</f>
        <v/>
      </c>
      <c r="K257" s="14">
        <f>IF(OR(NOT(AND(C257&lt;&gt;"",ISNUMBER(B257))),J257="Planned"),"",IF(ISNUMBER(G257),INT(G257),TODAY())-INT(B257))</f>
        <v/>
      </c>
      <c r="L257" s="11">
        <f>IF(AND(B257="",C257="",D257=""),"",IF(NOT(ISNUMBER(B257)),"Needs a date",IF(C257="","Needs a crop",IF(COUNTIF(Crops!$B$6:$B$65,C257)=0,"Not on Crops",IF(AND(D257&lt;&gt;"",COUNTIF(Beds!$B$6:$B$35,D257)=0),"Not on Beds",IF(AND(ISNUMBER(G257),G257&lt;B257),"Cleared before it was planted",""))))))</f>
        <v/>
      </c>
      <c r="M257" s="11">
        <f>IF(OR(L257&lt;&gt;"",D257="",O257=""),"",IF(COUNTIFS(Plantings!$D$6:$D$505,D257,Plantings!$O$6:$O$505,O257,Plantings!$N$6:$N$505,N257-1)&gt;0,"Same family here last year",""))</f>
        <v/>
      </c>
      <c r="N257" s="1">
        <f>IF(ISNUMBER(B257),YEAR(B257),"")</f>
        <v/>
      </c>
      <c r="O257">
        <f>IF(C257="","",IFERROR(INDEX(Crops!$C$6:$C$65,MATCH(C257,Crops!$B$6:$B$65,0))&amp;"",""))</f>
        <v/>
      </c>
      <c r="P257">
        <f>IF(ISNUMBER(B257),INT(B257),0)</f>
        <v/>
      </c>
      <c r="Q257">
        <f>IF(AND(L257="",OR(J257="Growing",J257="Picking")),1,0)</f>
        <v/>
      </c>
      <c r="R257">
        <f>IF(AND(Q257=1,D257&lt;&gt;""),P257*1000+ROW(),0)</f>
        <v/>
      </c>
      <c r="S257">
        <f>IF(AND(AND(C257&lt;&gt;"",ISNUMBER(B257)),L257=""),1,0)</f>
        <v/>
      </c>
    </row>
    <row r="258">
      <c r="A258" s="1" t="n"/>
      <c r="B258" s="17" t="n"/>
      <c r="C258" s="18" t="n"/>
      <c r="D258" s="19" t="n"/>
      <c r="E258" s="19" t="n"/>
      <c r="F258" s="20" t="n"/>
      <c r="G258" s="17" t="n"/>
      <c r="H258" s="21" t="n"/>
      <c r="I258" s="22">
        <f>IF(NOT(AND(C258&lt;&gt;"",ISNUMBER(B258))),"",IF(N(IFERROR(INDEX(Crops!$F$6:$F$65,MATCH(C258,Crops!$B$6:$B$65,0)),0))&gt;0,INT(B258)+N(IFERROR(INDEX(Crops!$F$6:$F$65,MATCH(C258,Crops!$B$6:$B$65,0)),0)),""))</f>
        <v/>
      </c>
      <c r="J258" s="16">
        <f>IF(NOT(AND(C258&lt;&gt;"",ISNUMBER(B258))),"",IF(ISNUMBER(G258),"Done",IF(INT(B258)&gt;TODAY(),"Planned",IF(COUNTIFS(Harvest!$C$6:$C$1505,C258,Harvest!$D$6:$D$1505,D258&amp;"",Harvest!$L$6:$L$1505,"&gt;="&amp;INT(B258))&gt;0,"Picking","Growing"))))</f>
        <v/>
      </c>
      <c r="K258" s="14">
        <f>IF(OR(NOT(AND(C258&lt;&gt;"",ISNUMBER(B258))),J258="Planned"),"",IF(ISNUMBER(G258),INT(G258),TODAY())-INT(B258))</f>
        <v/>
      </c>
      <c r="L258" s="11">
        <f>IF(AND(B258="",C258="",D258=""),"",IF(NOT(ISNUMBER(B258)),"Needs a date",IF(C258="","Needs a crop",IF(COUNTIF(Crops!$B$6:$B$65,C258)=0,"Not on Crops",IF(AND(D258&lt;&gt;"",COUNTIF(Beds!$B$6:$B$35,D258)=0),"Not on Beds",IF(AND(ISNUMBER(G258),G258&lt;B258),"Cleared before it was planted",""))))))</f>
        <v/>
      </c>
      <c r="M258" s="11">
        <f>IF(OR(L258&lt;&gt;"",D258="",O258=""),"",IF(COUNTIFS(Plantings!$D$6:$D$505,D258,Plantings!$O$6:$O$505,O258,Plantings!$N$6:$N$505,N258-1)&gt;0,"Same family here last year",""))</f>
        <v/>
      </c>
      <c r="N258" s="1">
        <f>IF(ISNUMBER(B258),YEAR(B258),"")</f>
        <v/>
      </c>
      <c r="O258">
        <f>IF(C258="","",IFERROR(INDEX(Crops!$C$6:$C$65,MATCH(C258,Crops!$B$6:$B$65,0))&amp;"",""))</f>
        <v/>
      </c>
      <c r="P258">
        <f>IF(ISNUMBER(B258),INT(B258),0)</f>
        <v/>
      </c>
      <c r="Q258">
        <f>IF(AND(L258="",OR(J258="Growing",J258="Picking")),1,0)</f>
        <v/>
      </c>
      <c r="R258">
        <f>IF(AND(Q258=1,D258&lt;&gt;""),P258*1000+ROW(),0)</f>
        <v/>
      </c>
      <c r="S258">
        <f>IF(AND(AND(C258&lt;&gt;"",ISNUMBER(B258)),L258=""),1,0)</f>
        <v/>
      </c>
    </row>
    <row r="259">
      <c r="A259" s="1" t="n"/>
      <c r="B259" s="17" t="n"/>
      <c r="C259" s="18" t="n"/>
      <c r="D259" s="19" t="n"/>
      <c r="E259" s="19" t="n"/>
      <c r="F259" s="20" t="n"/>
      <c r="G259" s="17" t="n"/>
      <c r="H259" s="21" t="n"/>
      <c r="I259" s="22">
        <f>IF(NOT(AND(C259&lt;&gt;"",ISNUMBER(B259))),"",IF(N(IFERROR(INDEX(Crops!$F$6:$F$65,MATCH(C259,Crops!$B$6:$B$65,0)),0))&gt;0,INT(B259)+N(IFERROR(INDEX(Crops!$F$6:$F$65,MATCH(C259,Crops!$B$6:$B$65,0)),0)),""))</f>
        <v/>
      </c>
      <c r="J259" s="16">
        <f>IF(NOT(AND(C259&lt;&gt;"",ISNUMBER(B259))),"",IF(ISNUMBER(G259),"Done",IF(INT(B259)&gt;TODAY(),"Planned",IF(COUNTIFS(Harvest!$C$6:$C$1505,C259,Harvest!$D$6:$D$1505,D259&amp;"",Harvest!$L$6:$L$1505,"&gt;="&amp;INT(B259))&gt;0,"Picking","Growing"))))</f>
        <v/>
      </c>
      <c r="K259" s="14">
        <f>IF(OR(NOT(AND(C259&lt;&gt;"",ISNUMBER(B259))),J259="Planned"),"",IF(ISNUMBER(G259),INT(G259),TODAY())-INT(B259))</f>
        <v/>
      </c>
      <c r="L259" s="11">
        <f>IF(AND(B259="",C259="",D259=""),"",IF(NOT(ISNUMBER(B259)),"Needs a date",IF(C259="","Needs a crop",IF(COUNTIF(Crops!$B$6:$B$65,C259)=0,"Not on Crops",IF(AND(D259&lt;&gt;"",COUNTIF(Beds!$B$6:$B$35,D259)=0),"Not on Beds",IF(AND(ISNUMBER(G259),G259&lt;B259),"Cleared before it was planted",""))))))</f>
        <v/>
      </c>
      <c r="M259" s="11">
        <f>IF(OR(L259&lt;&gt;"",D259="",O259=""),"",IF(COUNTIFS(Plantings!$D$6:$D$505,D259,Plantings!$O$6:$O$505,O259,Plantings!$N$6:$N$505,N259-1)&gt;0,"Same family here last year",""))</f>
        <v/>
      </c>
      <c r="N259" s="1">
        <f>IF(ISNUMBER(B259),YEAR(B259),"")</f>
        <v/>
      </c>
      <c r="O259">
        <f>IF(C259="","",IFERROR(INDEX(Crops!$C$6:$C$65,MATCH(C259,Crops!$B$6:$B$65,0))&amp;"",""))</f>
        <v/>
      </c>
      <c r="P259">
        <f>IF(ISNUMBER(B259),INT(B259),0)</f>
        <v/>
      </c>
      <c r="Q259">
        <f>IF(AND(L259="",OR(J259="Growing",J259="Picking")),1,0)</f>
        <v/>
      </c>
      <c r="R259">
        <f>IF(AND(Q259=1,D259&lt;&gt;""),P259*1000+ROW(),0)</f>
        <v/>
      </c>
      <c r="S259">
        <f>IF(AND(AND(C259&lt;&gt;"",ISNUMBER(B259)),L259=""),1,0)</f>
        <v/>
      </c>
    </row>
    <row r="260">
      <c r="A260" s="1" t="n"/>
      <c r="B260" s="17" t="n"/>
      <c r="C260" s="18" t="n"/>
      <c r="D260" s="19" t="n"/>
      <c r="E260" s="19" t="n"/>
      <c r="F260" s="20" t="n"/>
      <c r="G260" s="17" t="n"/>
      <c r="H260" s="21" t="n"/>
      <c r="I260" s="22">
        <f>IF(NOT(AND(C260&lt;&gt;"",ISNUMBER(B260))),"",IF(N(IFERROR(INDEX(Crops!$F$6:$F$65,MATCH(C260,Crops!$B$6:$B$65,0)),0))&gt;0,INT(B260)+N(IFERROR(INDEX(Crops!$F$6:$F$65,MATCH(C260,Crops!$B$6:$B$65,0)),0)),""))</f>
        <v/>
      </c>
      <c r="J260" s="16">
        <f>IF(NOT(AND(C260&lt;&gt;"",ISNUMBER(B260))),"",IF(ISNUMBER(G260),"Done",IF(INT(B260)&gt;TODAY(),"Planned",IF(COUNTIFS(Harvest!$C$6:$C$1505,C260,Harvest!$D$6:$D$1505,D260&amp;"",Harvest!$L$6:$L$1505,"&gt;="&amp;INT(B260))&gt;0,"Picking","Growing"))))</f>
        <v/>
      </c>
      <c r="K260" s="14">
        <f>IF(OR(NOT(AND(C260&lt;&gt;"",ISNUMBER(B260))),J260="Planned"),"",IF(ISNUMBER(G260),INT(G260),TODAY())-INT(B260))</f>
        <v/>
      </c>
      <c r="L260" s="11">
        <f>IF(AND(B260="",C260="",D260=""),"",IF(NOT(ISNUMBER(B260)),"Needs a date",IF(C260="","Needs a crop",IF(COUNTIF(Crops!$B$6:$B$65,C260)=0,"Not on Crops",IF(AND(D260&lt;&gt;"",COUNTIF(Beds!$B$6:$B$35,D260)=0),"Not on Beds",IF(AND(ISNUMBER(G260),G260&lt;B260),"Cleared before it was planted",""))))))</f>
        <v/>
      </c>
      <c r="M260" s="11">
        <f>IF(OR(L260&lt;&gt;"",D260="",O260=""),"",IF(COUNTIFS(Plantings!$D$6:$D$505,D260,Plantings!$O$6:$O$505,O260,Plantings!$N$6:$N$505,N260-1)&gt;0,"Same family here last year",""))</f>
        <v/>
      </c>
      <c r="N260" s="1">
        <f>IF(ISNUMBER(B260),YEAR(B260),"")</f>
        <v/>
      </c>
      <c r="O260">
        <f>IF(C260="","",IFERROR(INDEX(Crops!$C$6:$C$65,MATCH(C260,Crops!$B$6:$B$65,0))&amp;"",""))</f>
        <v/>
      </c>
      <c r="P260">
        <f>IF(ISNUMBER(B260),INT(B260),0)</f>
        <v/>
      </c>
      <c r="Q260">
        <f>IF(AND(L260="",OR(J260="Growing",J260="Picking")),1,0)</f>
        <v/>
      </c>
      <c r="R260">
        <f>IF(AND(Q260=1,D260&lt;&gt;""),P260*1000+ROW(),0)</f>
        <v/>
      </c>
      <c r="S260">
        <f>IF(AND(AND(C260&lt;&gt;"",ISNUMBER(B260)),L260=""),1,0)</f>
        <v/>
      </c>
    </row>
    <row r="261">
      <c r="A261" s="1" t="n"/>
      <c r="B261" s="17" t="n"/>
      <c r="C261" s="18" t="n"/>
      <c r="D261" s="19" t="n"/>
      <c r="E261" s="19" t="n"/>
      <c r="F261" s="20" t="n"/>
      <c r="G261" s="17" t="n"/>
      <c r="H261" s="21" t="n"/>
      <c r="I261" s="22">
        <f>IF(NOT(AND(C261&lt;&gt;"",ISNUMBER(B261))),"",IF(N(IFERROR(INDEX(Crops!$F$6:$F$65,MATCH(C261,Crops!$B$6:$B$65,0)),0))&gt;0,INT(B261)+N(IFERROR(INDEX(Crops!$F$6:$F$65,MATCH(C261,Crops!$B$6:$B$65,0)),0)),""))</f>
        <v/>
      </c>
      <c r="J261" s="16">
        <f>IF(NOT(AND(C261&lt;&gt;"",ISNUMBER(B261))),"",IF(ISNUMBER(G261),"Done",IF(INT(B261)&gt;TODAY(),"Planned",IF(COUNTIFS(Harvest!$C$6:$C$1505,C261,Harvest!$D$6:$D$1505,D261&amp;"",Harvest!$L$6:$L$1505,"&gt;="&amp;INT(B261))&gt;0,"Picking","Growing"))))</f>
        <v/>
      </c>
      <c r="K261" s="14">
        <f>IF(OR(NOT(AND(C261&lt;&gt;"",ISNUMBER(B261))),J261="Planned"),"",IF(ISNUMBER(G261),INT(G261),TODAY())-INT(B261))</f>
        <v/>
      </c>
      <c r="L261" s="11">
        <f>IF(AND(B261="",C261="",D261=""),"",IF(NOT(ISNUMBER(B261)),"Needs a date",IF(C261="","Needs a crop",IF(COUNTIF(Crops!$B$6:$B$65,C261)=0,"Not on Crops",IF(AND(D261&lt;&gt;"",COUNTIF(Beds!$B$6:$B$35,D261)=0),"Not on Beds",IF(AND(ISNUMBER(G261),G261&lt;B261),"Cleared before it was planted",""))))))</f>
        <v/>
      </c>
      <c r="M261" s="11">
        <f>IF(OR(L261&lt;&gt;"",D261="",O261=""),"",IF(COUNTIFS(Plantings!$D$6:$D$505,D261,Plantings!$O$6:$O$505,O261,Plantings!$N$6:$N$505,N261-1)&gt;0,"Same family here last year",""))</f>
        <v/>
      </c>
      <c r="N261" s="1">
        <f>IF(ISNUMBER(B261),YEAR(B261),"")</f>
        <v/>
      </c>
      <c r="O261">
        <f>IF(C261="","",IFERROR(INDEX(Crops!$C$6:$C$65,MATCH(C261,Crops!$B$6:$B$65,0))&amp;"",""))</f>
        <v/>
      </c>
      <c r="P261">
        <f>IF(ISNUMBER(B261),INT(B261),0)</f>
        <v/>
      </c>
      <c r="Q261">
        <f>IF(AND(L261="",OR(J261="Growing",J261="Picking")),1,0)</f>
        <v/>
      </c>
      <c r="R261">
        <f>IF(AND(Q261=1,D261&lt;&gt;""),P261*1000+ROW(),0)</f>
        <v/>
      </c>
      <c r="S261">
        <f>IF(AND(AND(C261&lt;&gt;"",ISNUMBER(B261)),L261=""),1,0)</f>
        <v/>
      </c>
    </row>
    <row r="262">
      <c r="A262" s="1" t="n"/>
      <c r="B262" s="17" t="n"/>
      <c r="C262" s="18" t="n"/>
      <c r="D262" s="19" t="n"/>
      <c r="E262" s="19" t="n"/>
      <c r="F262" s="20" t="n"/>
      <c r="G262" s="17" t="n"/>
      <c r="H262" s="21" t="n"/>
      <c r="I262" s="22">
        <f>IF(NOT(AND(C262&lt;&gt;"",ISNUMBER(B262))),"",IF(N(IFERROR(INDEX(Crops!$F$6:$F$65,MATCH(C262,Crops!$B$6:$B$65,0)),0))&gt;0,INT(B262)+N(IFERROR(INDEX(Crops!$F$6:$F$65,MATCH(C262,Crops!$B$6:$B$65,0)),0)),""))</f>
        <v/>
      </c>
      <c r="J262" s="16">
        <f>IF(NOT(AND(C262&lt;&gt;"",ISNUMBER(B262))),"",IF(ISNUMBER(G262),"Done",IF(INT(B262)&gt;TODAY(),"Planned",IF(COUNTIFS(Harvest!$C$6:$C$1505,C262,Harvest!$D$6:$D$1505,D262&amp;"",Harvest!$L$6:$L$1505,"&gt;="&amp;INT(B262))&gt;0,"Picking","Growing"))))</f>
        <v/>
      </c>
      <c r="K262" s="14">
        <f>IF(OR(NOT(AND(C262&lt;&gt;"",ISNUMBER(B262))),J262="Planned"),"",IF(ISNUMBER(G262),INT(G262),TODAY())-INT(B262))</f>
        <v/>
      </c>
      <c r="L262" s="11">
        <f>IF(AND(B262="",C262="",D262=""),"",IF(NOT(ISNUMBER(B262)),"Needs a date",IF(C262="","Needs a crop",IF(COUNTIF(Crops!$B$6:$B$65,C262)=0,"Not on Crops",IF(AND(D262&lt;&gt;"",COUNTIF(Beds!$B$6:$B$35,D262)=0),"Not on Beds",IF(AND(ISNUMBER(G262),G262&lt;B262),"Cleared before it was planted",""))))))</f>
        <v/>
      </c>
      <c r="M262" s="11">
        <f>IF(OR(L262&lt;&gt;"",D262="",O262=""),"",IF(COUNTIFS(Plantings!$D$6:$D$505,D262,Plantings!$O$6:$O$505,O262,Plantings!$N$6:$N$505,N262-1)&gt;0,"Same family here last year",""))</f>
        <v/>
      </c>
      <c r="N262" s="1">
        <f>IF(ISNUMBER(B262),YEAR(B262),"")</f>
        <v/>
      </c>
      <c r="O262">
        <f>IF(C262="","",IFERROR(INDEX(Crops!$C$6:$C$65,MATCH(C262,Crops!$B$6:$B$65,0))&amp;"",""))</f>
        <v/>
      </c>
      <c r="P262">
        <f>IF(ISNUMBER(B262),INT(B262),0)</f>
        <v/>
      </c>
      <c r="Q262">
        <f>IF(AND(L262="",OR(J262="Growing",J262="Picking")),1,0)</f>
        <v/>
      </c>
      <c r="R262">
        <f>IF(AND(Q262=1,D262&lt;&gt;""),P262*1000+ROW(),0)</f>
        <v/>
      </c>
      <c r="S262">
        <f>IF(AND(AND(C262&lt;&gt;"",ISNUMBER(B262)),L262=""),1,0)</f>
        <v/>
      </c>
    </row>
    <row r="263">
      <c r="A263" s="1" t="n"/>
      <c r="B263" s="17" t="n"/>
      <c r="C263" s="18" t="n"/>
      <c r="D263" s="19" t="n"/>
      <c r="E263" s="19" t="n"/>
      <c r="F263" s="20" t="n"/>
      <c r="G263" s="17" t="n"/>
      <c r="H263" s="21" t="n"/>
      <c r="I263" s="22">
        <f>IF(NOT(AND(C263&lt;&gt;"",ISNUMBER(B263))),"",IF(N(IFERROR(INDEX(Crops!$F$6:$F$65,MATCH(C263,Crops!$B$6:$B$65,0)),0))&gt;0,INT(B263)+N(IFERROR(INDEX(Crops!$F$6:$F$65,MATCH(C263,Crops!$B$6:$B$65,0)),0)),""))</f>
        <v/>
      </c>
      <c r="J263" s="16">
        <f>IF(NOT(AND(C263&lt;&gt;"",ISNUMBER(B263))),"",IF(ISNUMBER(G263),"Done",IF(INT(B263)&gt;TODAY(),"Planned",IF(COUNTIFS(Harvest!$C$6:$C$1505,C263,Harvest!$D$6:$D$1505,D263&amp;"",Harvest!$L$6:$L$1505,"&gt;="&amp;INT(B263))&gt;0,"Picking","Growing"))))</f>
        <v/>
      </c>
      <c r="K263" s="14">
        <f>IF(OR(NOT(AND(C263&lt;&gt;"",ISNUMBER(B263))),J263="Planned"),"",IF(ISNUMBER(G263),INT(G263),TODAY())-INT(B263))</f>
        <v/>
      </c>
      <c r="L263" s="11">
        <f>IF(AND(B263="",C263="",D263=""),"",IF(NOT(ISNUMBER(B263)),"Needs a date",IF(C263="","Needs a crop",IF(COUNTIF(Crops!$B$6:$B$65,C263)=0,"Not on Crops",IF(AND(D263&lt;&gt;"",COUNTIF(Beds!$B$6:$B$35,D263)=0),"Not on Beds",IF(AND(ISNUMBER(G263),G263&lt;B263),"Cleared before it was planted",""))))))</f>
        <v/>
      </c>
      <c r="M263" s="11">
        <f>IF(OR(L263&lt;&gt;"",D263="",O263=""),"",IF(COUNTIFS(Plantings!$D$6:$D$505,D263,Plantings!$O$6:$O$505,O263,Plantings!$N$6:$N$505,N263-1)&gt;0,"Same family here last year",""))</f>
        <v/>
      </c>
      <c r="N263" s="1">
        <f>IF(ISNUMBER(B263),YEAR(B263),"")</f>
        <v/>
      </c>
      <c r="O263">
        <f>IF(C263="","",IFERROR(INDEX(Crops!$C$6:$C$65,MATCH(C263,Crops!$B$6:$B$65,0))&amp;"",""))</f>
        <v/>
      </c>
      <c r="P263">
        <f>IF(ISNUMBER(B263),INT(B263),0)</f>
        <v/>
      </c>
      <c r="Q263">
        <f>IF(AND(L263="",OR(J263="Growing",J263="Picking")),1,0)</f>
        <v/>
      </c>
      <c r="R263">
        <f>IF(AND(Q263=1,D263&lt;&gt;""),P263*1000+ROW(),0)</f>
        <v/>
      </c>
      <c r="S263">
        <f>IF(AND(AND(C263&lt;&gt;"",ISNUMBER(B263)),L263=""),1,0)</f>
        <v/>
      </c>
    </row>
    <row r="264">
      <c r="A264" s="1" t="n"/>
      <c r="B264" s="17" t="n"/>
      <c r="C264" s="18" t="n"/>
      <c r="D264" s="19" t="n"/>
      <c r="E264" s="19" t="n"/>
      <c r="F264" s="20" t="n"/>
      <c r="G264" s="17" t="n"/>
      <c r="H264" s="21" t="n"/>
      <c r="I264" s="22">
        <f>IF(NOT(AND(C264&lt;&gt;"",ISNUMBER(B264))),"",IF(N(IFERROR(INDEX(Crops!$F$6:$F$65,MATCH(C264,Crops!$B$6:$B$65,0)),0))&gt;0,INT(B264)+N(IFERROR(INDEX(Crops!$F$6:$F$65,MATCH(C264,Crops!$B$6:$B$65,0)),0)),""))</f>
        <v/>
      </c>
      <c r="J264" s="16">
        <f>IF(NOT(AND(C264&lt;&gt;"",ISNUMBER(B264))),"",IF(ISNUMBER(G264),"Done",IF(INT(B264)&gt;TODAY(),"Planned",IF(COUNTIFS(Harvest!$C$6:$C$1505,C264,Harvest!$D$6:$D$1505,D264&amp;"",Harvest!$L$6:$L$1505,"&gt;="&amp;INT(B264))&gt;0,"Picking","Growing"))))</f>
        <v/>
      </c>
      <c r="K264" s="14">
        <f>IF(OR(NOT(AND(C264&lt;&gt;"",ISNUMBER(B264))),J264="Planned"),"",IF(ISNUMBER(G264),INT(G264),TODAY())-INT(B264))</f>
        <v/>
      </c>
      <c r="L264" s="11">
        <f>IF(AND(B264="",C264="",D264=""),"",IF(NOT(ISNUMBER(B264)),"Needs a date",IF(C264="","Needs a crop",IF(COUNTIF(Crops!$B$6:$B$65,C264)=0,"Not on Crops",IF(AND(D264&lt;&gt;"",COUNTIF(Beds!$B$6:$B$35,D264)=0),"Not on Beds",IF(AND(ISNUMBER(G264),G264&lt;B264),"Cleared before it was planted",""))))))</f>
        <v/>
      </c>
      <c r="M264" s="11">
        <f>IF(OR(L264&lt;&gt;"",D264="",O264=""),"",IF(COUNTIFS(Plantings!$D$6:$D$505,D264,Plantings!$O$6:$O$505,O264,Plantings!$N$6:$N$505,N264-1)&gt;0,"Same family here last year",""))</f>
        <v/>
      </c>
      <c r="N264" s="1">
        <f>IF(ISNUMBER(B264),YEAR(B264),"")</f>
        <v/>
      </c>
      <c r="O264">
        <f>IF(C264="","",IFERROR(INDEX(Crops!$C$6:$C$65,MATCH(C264,Crops!$B$6:$B$65,0))&amp;"",""))</f>
        <v/>
      </c>
      <c r="P264">
        <f>IF(ISNUMBER(B264),INT(B264),0)</f>
        <v/>
      </c>
      <c r="Q264">
        <f>IF(AND(L264="",OR(J264="Growing",J264="Picking")),1,0)</f>
        <v/>
      </c>
      <c r="R264">
        <f>IF(AND(Q264=1,D264&lt;&gt;""),P264*1000+ROW(),0)</f>
        <v/>
      </c>
      <c r="S264">
        <f>IF(AND(AND(C264&lt;&gt;"",ISNUMBER(B264)),L264=""),1,0)</f>
        <v/>
      </c>
    </row>
    <row r="265">
      <c r="A265" s="1" t="n"/>
      <c r="B265" s="17" t="n"/>
      <c r="C265" s="18" t="n"/>
      <c r="D265" s="19" t="n"/>
      <c r="E265" s="19" t="n"/>
      <c r="F265" s="20" t="n"/>
      <c r="G265" s="17" t="n"/>
      <c r="H265" s="21" t="n"/>
      <c r="I265" s="22">
        <f>IF(NOT(AND(C265&lt;&gt;"",ISNUMBER(B265))),"",IF(N(IFERROR(INDEX(Crops!$F$6:$F$65,MATCH(C265,Crops!$B$6:$B$65,0)),0))&gt;0,INT(B265)+N(IFERROR(INDEX(Crops!$F$6:$F$65,MATCH(C265,Crops!$B$6:$B$65,0)),0)),""))</f>
        <v/>
      </c>
      <c r="J265" s="16">
        <f>IF(NOT(AND(C265&lt;&gt;"",ISNUMBER(B265))),"",IF(ISNUMBER(G265),"Done",IF(INT(B265)&gt;TODAY(),"Planned",IF(COUNTIFS(Harvest!$C$6:$C$1505,C265,Harvest!$D$6:$D$1505,D265&amp;"",Harvest!$L$6:$L$1505,"&gt;="&amp;INT(B265))&gt;0,"Picking","Growing"))))</f>
        <v/>
      </c>
      <c r="K265" s="14">
        <f>IF(OR(NOT(AND(C265&lt;&gt;"",ISNUMBER(B265))),J265="Planned"),"",IF(ISNUMBER(G265),INT(G265),TODAY())-INT(B265))</f>
        <v/>
      </c>
      <c r="L265" s="11">
        <f>IF(AND(B265="",C265="",D265=""),"",IF(NOT(ISNUMBER(B265)),"Needs a date",IF(C265="","Needs a crop",IF(COUNTIF(Crops!$B$6:$B$65,C265)=0,"Not on Crops",IF(AND(D265&lt;&gt;"",COUNTIF(Beds!$B$6:$B$35,D265)=0),"Not on Beds",IF(AND(ISNUMBER(G265),G265&lt;B265),"Cleared before it was planted",""))))))</f>
        <v/>
      </c>
      <c r="M265" s="11">
        <f>IF(OR(L265&lt;&gt;"",D265="",O265=""),"",IF(COUNTIFS(Plantings!$D$6:$D$505,D265,Plantings!$O$6:$O$505,O265,Plantings!$N$6:$N$505,N265-1)&gt;0,"Same family here last year",""))</f>
        <v/>
      </c>
      <c r="N265" s="1">
        <f>IF(ISNUMBER(B265),YEAR(B265),"")</f>
        <v/>
      </c>
      <c r="O265">
        <f>IF(C265="","",IFERROR(INDEX(Crops!$C$6:$C$65,MATCH(C265,Crops!$B$6:$B$65,0))&amp;"",""))</f>
        <v/>
      </c>
      <c r="P265">
        <f>IF(ISNUMBER(B265),INT(B265),0)</f>
        <v/>
      </c>
      <c r="Q265">
        <f>IF(AND(L265="",OR(J265="Growing",J265="Picking")),1,0)</f>
        <v/>
      </c>
      <c r="R265">
        <f>IF(AND(Q265=1,D265&lt;&gt;""),P265*1000+ROW(),0)</f>
        <v/>
      </c>
      <c r="S265">
        <f>IF(AND(AND(C265&lt;&gt;"",ISNUMBER(B265)),L265=""),1,0)</f>
        <v/>
      </c>
    </row>
    <row r="266">
      <c r="A266" s="1" t="n"/>
      <c r="B266" s="17" t="n"/>
      <c r="C266" s="18" t="n"/>
      <c r="D266" s="19" t="n"/>
      <c r="E266" s="19" t="n"/>
      <c r="F266" s="20" t="n"/>
      <c r="G266" s="17" t="n"/>
      <c r="H266" s="21" t="n"/>
      <c r="I266" s="22">
        <f>IF(NOT(AND(C266&lt;&gt;"",ISNUMBER(B266))),"",IF(N(IFERROR(INDEX(Crops!$F$6:$F$65,MATCH(C266,Crops!$B$6:$B$65,0)),0))&gt;0,INT(B266)+N(IFERROR(INDEX(Crops!$F$6:$F$65,MATCH(C266,Crops!$B$6:$B$65,0)),0)),""))</f>
        <v/>
      </c>
      <c r="J266" s="16">
        <f>IF(NOT(AND(C266&lt;&gt;"",ISNUMBER(B266))),"",IF(ISNUMBER(G266),"Done",IF(INT(B266)&gt;TODAY(),"Planned",IF(COUNTIFS(Harvest!$C$6:$C$1505,C266,Harvest!$D$6:$D$1505,D266&amp;"",Harvest!$L$6:$L$1505,"&gt;="&amp;INT(B266))&gt;0,"Picking","Growing"))))</f>
        <v/>
      </c>
      <c r="K266" s="14">
        <f>IF(OR(NOT(AND(C266&lt;&gt;"",ISNUMBER(B266))),J266="Planned"),"",IF(ISNUMBER(G266),INT(G266),TODAY())-INT(B266))</f>
        <v/>
      </c>
      <c r="L266" s="11">
        <f>IF(AND(B266="",C266="",D266=""),"",IF(NOT(ISNUMBER(B266)),"Needs a date",IF(C266="","Needs a crop",IF(COUNTIF(Crops!$B$6:$B$65,C266)=0,"Not on Crops",IF(AND(D266&lt;&gt;"",COUNTIF(Beds!$B$6:$B$35,D266)=0),"Not on Beds",IF(AND(ISNUMBER(G266),G266&lt;B266),"Cleared before it was planted",""))))))</f>
        <v/>
      </c>
      <c r="M266" s="11">
        <f>IF(OR(L266&lt;&gt;"",D266="",O266=""),"",IF(COUNTIFS(Plantings!$D$6:$D$505,D266,Plantings!$O$6:$O$505,O266,Plantings!$N$6:$N$505,N266-1)&gt;0,"Same family here last year",""))</f>
        <v/>
      </c>
      <c r="N266" s="1">
        <f>IF(ISNUMBER(B266),YEAR(B266),"")</f>
        <v/>
      </c>
      <c r="O266">
        <f>IF(C266="","",IFERROR(INDEX(Crops!$C$6:$C$65,MATCH(C266,Crops!$B$6:$B$65,0))&amp;"",""))</f>
        <v/>
      </c>
      <c r="P266">
        <f>IF(ISNUMBER(B266),INT(B266),0)</f>
        <v/>
      </c>
      <c r="Q266">
        <f>IF(AND(L266="",OR(J266="Growing",J266="Picking")),1,0)</f>
        <v/>
      </c>
      <c r="R266">
        <f>IF(AND(Q266=1,D266&lt;&gt;""),P266*1000+ROW(),0)</f>
        <v/>
      </c>
      <c r="S266">
        <f>IF(AND(AND(C266&lt;&gt;"",ISNUMBER(B266)),L266=""),1,0)</f>
        <v/>
      </c>
    </row>
    <row r="267">
      <c r="A267" s="1" t="n"/>
      <c r="B267" s="17" t="n"/>
      <c r="C267" s="18" t="n"/>
      <c r="D267" s="19" t="n"/>
      <c r="E267" s="19" t="n"/>
      <c r="F267" s="20" t="n"/>
      <c r="G267" s="17" t="n"/>
      <c r="H267" s="21" t="n"/>
      <c r="I267" s="22">
        <f>IF(NOT(AND(C267&lt;&gt;"",ISNUMBER(B267))),"",IF(N(IFERROR(INDEX(Crops!$F$6:$F$65,MATCH(C267,Crops!$B$6:$B$65,0)),0))&gt;0,INT(B267)+N(IFERROR(INDEX(Crops!$F$6:$F$65,MATCH(C267,Crops!$B$6:$B$65,0)),0)),""))</f>
        <v/>
      </c>
      <c r="J267" s="16">
        <f>IF(NOT(AND(C267&lt;&gt;"",ISNUMBER(B267))),"",IF(ISNUMBER(G267),"Done",IF(INT(B267)&gt;TODAY(),"Planned",IF(COUNTIFS(Harvest!$C$6:$C$1505,C267,Harvest!$D$6:$D$1505,D267&amp;"",Harvest!$L$6:$L$1505,"&gt;="&amp;INT(B267))&gt;0,"Picking","Growing"))))</f>
        <v/>
      </c>
      <c r="K267" s="14">
        <f>IF(OR(NOT(AND(C267&lt;&gt;"",ISNUMBER(B267))),J267="Planned"),"",IF(ISNUMBER(G267),INT(G267),TODAY())-INT(B267))</f>
        <v/>
      </c>
      <c r="L267" s="11">
        <f>IF(AND(B267="",C267="",D267=""),"",IF(NOT(ISNUMBER(B267)),"Needs a date",IF(C267="","Needs a crop",IF(COUNTIF(Crops!$B$6:$B$65,C267)=0,"Not on Crops",IF(AND(D267&lt;&gt;"",COUNTIF(Beds!$B$6:$B$35,D267)=0),"Not on Beds",IF(AND(ISNUMBER(G267),G267&lt;B267),"Cleared before it was planted",""))))))</f>
        <v/>
      </c>
      <c r="M267" s="11">
        <f>IF(OR(L267&lt;&gt;"",D267="",O267=""),"",IF(COUNTIFS(Plantings!$D$6:$D$505,D267,Plantings!$O$6:$O$505,O267,Plantings!$N$6:$N$505,N267-1)&gt;0,"Same family here last year",""))</f>
        <v/>
      </c>
      <c r="N267" s="1">
        <f>IF(ISNUMBER(B267),YEAR(B267),"")</f>
        <v/>
      </c>
      <c r="O267">
        <f>IF(C267="","",IFERROR(INDEX(Crops!$C$6:$C$65,MATCH(C267,Crops!$B$6:$B$65,0))&amp;"",""))</f>
        <v/>
      </c>
      <c r="P267">
        <f>IF(ISNUMBER(B267),INT(B267),0)</f>
        <v/>
      </c>
      <c r="Q267">
        <f>IF(AND(L267="",OR(J267="Growing",J267="Picking")),1,0)</f>
        <v/>
      </c>
      <c r="R267">
        <f>IF(AND(Q267=1,D267&lt;&gt;""),P267*1000+ROW(),0)</f>
        <v/>
      </c>
      <c r="S267">
        <f>IF(AND(AND(C267&lt;&gt;"",ISNUMBER(B267)),L267=""),1,0)</f>
        <v/>
      </c>
    </row>
    <row r="268">
      <c r="A268" s="1" t="n"/>
      <c r="B268" s="17" t="n"/>
      <c r="C268" s="18" t="n"/>
      <c r="D268" s="19" t="n"/>
      <c r="E268" s="19" t="n"/>
      <c r="F268" s="20" t="n"/>
      <c r="G268" s="17" t="n"/>
      <c r="H268" s="21" t="n"/>
      <c r="I268" s="22">
        <f>IF(NOT(AND(C268&lt;&gt;"",ISNUMBER(B268))),"",IF(N(IFERROR(INDEX(Crops!$F$6:$F$65,MATCH(C268,Crops!$B$6:$B$65,0)),0))&gt;0,INT(B268)+N(IFERROR(INDEX(Crops!$F$6:$F$65,MATCH(C268,Crops!$B$6:$B$65,0)),0)),""))</f>
        <v/>
      </c>
      <c r="J268" s="16">
        <f>IF(NOT(AND(C268&lt;&gt;"",ISNUMBER(B268))),"",IF(ISNUMBER(G268),"Done",IF(INT(B268)&gt;TODAY(),"Planned",IF(COUNTIFS(Harvest!$C$6:$C$1505,C268,Harvest!$D$6:$D$1505,D268&amp;"",Harvest!$L$6:$L$1505,"&gt;="&amp;INT(B268))&gt;0,"Picking","Growing"))))</f>
        <v/>
      </c>
      <c r="K268" s="14">
        <f>IF(OR(NOT(AND(C268&lt;&gt;"",ISNUMBER(B268))),J268="Planned"),"",IF(ISNUMBER(G268),INT(G268),TODAY())-INT(B268))</f>
        <v/>
      </c>
      <c r="L268" s="11">
        <f>IF(AND(B268="",C268="",D268=""),"",IF(NOT(ISNUMBER(B268)),"Needs a date",IF(C268="","Needs a crop",IF(COUNTIF(Crops!$B$6:$B$65,C268)=0,"Not on Crops",IF(AND(D268&lt;&gt;"",COUNTIF(Beds!$B$6:$B$35,D268)=0),"Not on Beds",IF(AND(ISNUMBER(G268),G268&lt;B268),"Cleared before it was planted",""))))))</f>
        <v/>
      </c>
      <c r="M268" s="11">
        <f>IF(OR(L268&lt;&gt;"",D268="",O268=""),"",IF(COUNTIFS(Plantings!$D$6:$D$505,D268,Plantings!$O$6:$O$505,O268,Plantings!$N$6:$N$505,N268-1)&gt;0,"Same family here last year",""))</f>
        <v/>
      </c>
      <c r="N268" s="1">
        <f>IF(ISNUMBER(B268),YEAR(B268),"")</f>
        <v/>
      </c>
      <c r="O268">
        <f>IF(C268="","",IFERROR(INDEX(Crops!$C$6:$C$65,MATCH(C268,Crops!$B$6:$B$65,0))&amp;"",""))</f>
        <v/>
      </c>
      <c r="P268">
        <f>IF(ISNUMBER(B268),INT(B268),0)</f>
        <v/>
      </c>
      <c r="Q268">
        <f>IF(AND(L268="",OR(J268="Growing",J268="Picking")),1,0)</f>
        <v/>
      </c>
      <c r="R268">
        <f>IF(AND(Q268=1,D268&lt;&gt;""),P268*1000+ROW(),0)</f>
        <v/>
      </c>
      <c r="S268">
        <f>IF(AND(AND(C268&lt;&gt;"",ISNUMBER(B268)),L268=""),1,0)</f>
        <v/>
      </c>
    </row>
    <row r="269">
      <c r="A269" s="1" t="n"/>
      <c r="B269" s="17" t="n"/>
      <c r="C269" s="18" t="n"/>
      <c r="D269" s="19" t="n"/>
      <c r="E269" s="19" t="n"/>
      <c r="F269" s="20" t="n"/>
      <c r="G269" s="17" t="n"/>
      <c r="H269" s="21" t="n"/>
      <c r="I269" s="22">
        <f>IF(NOT(AND(C269&lt;&gt;"",ISNUMBER(B269))),"",IF(N(IFERROR(INDEX(Crops!$F$6:$F$65,MATCH(C269,Crops!$B$6:$B$65,0)),0))&gt;0,INT(B269)+N(IFERROR(INDEX(Crops!$F$6:$F$65,MATCH(C269,Crops!$B$6:$B$65,0)),0)),""))</f>
        <v/>
      </c>
      <c r="J269" s="16">
        <f>IF(NOT(AND(C269&lt;&gt;"",ISNUMBER(B269))),"",IF(ISNUMBER(G269),"Done",IF(INT(B269)&gt;TODAY(),"Planned",IF(COUNTIFS(Harvest!$C$6:$C$1505,C269,Harvest!$D$6:$D$1505,D269&amp;"",Harvest!$L$6:$L$1505,"&gt;="&amp;INT(B269))&gt;0,"Picking","Growing"))))</f>
        <v/>
      </c>
      <c r="K269" s="14">
        <f>IF(OR(NOT(AND(C269&lt;&gt;"",ISNUMBER(B269))),J269="Planned"),"",IF(ISNUMBER(G269),INT(G269),TODAY())-INT(B269))</f>
        <v/>
      </c>
      <c r="L269" s="11">
        <f>IF(AND(B269="",C269="",D269=""),"",IF(NOT(ISNUMBER(B269)),"Needs a date",IF(C269="","Needs a crop",IF(COUNTIF(Crops!$B$6:$B$65,C269)=0,"Not on Crops",IF(AND(D269&lt;&gt;"",COUNTIF(Beds!$B$6:$B$35,D269)=0),"Not on Beds",IF(AND(ISNUMBER(G269),G269&lt;B269),"Cleared before it was planted",""))))))</f>
        <v/>
      </c>
      <c r="M269" s="11">
        <f>IF(OR(L269&lt;&gt;"",D269="",O269=""),"",IF(COUNTIFS(Plantings!$D$6:$D$505,D269,Plantings!$O$6:$O$505,O269,Plantings!$N$6:$N$505,N269-1)&gt;0,"Same family here last year",""))</f>
        <v/>
      </c>
      <c r="N269" s="1">
        <f>IF(ISNUMBER(B269),YEAR(B269),"")</f>
        <v/>
      </c>
      <c r="O269">
        <f>IF(C269="","",IFERROR(INDEX(Crops!$C$6:$C$65,MATCH(C269,Crops!$B$6:$B$65,0))&amp;"",""))</f>
        <v/>
      </c>
      <c r="P269">
        <f>IF(ISNUMBER(B269),INT(B269),0)</f>
        <v/>
      </c>
      <c r="Q269">
        <f>IF(AND(L269="",OR(J269="Growing",J269="Picking")),1,0)</f>
        <v/>
      </c>
      <c r="R269">
        <f>IF(AND(Q269=1,D269&lt;&gt;""),P269*1000+ROW(),0)</f>
        <v/>
      </c>
      <c r="S269">
        <f>IF(AND(AND(C269&lt;&gt;"",ISNUMBER(B269)),L269=""),1,0)</f>
        <v/>
      </c>
    </row>
    <row r="270">
      <c r="A270" s="1" t="n"/>
      <c r="B270" s="17" t="n"/>
      <c r="C270" s="18" t="n"/>
      <c r="D270" s="19" t="n"/>
      <c r="E270" s="19" t="n"/>
      <c r="F270" s="20" t="n"/>
      <c r="G270" s="17" t="n"/>
      <c r="H270" s="21" t="n"/>
      <c r="I270" s="22">
        <f>IF(NOT(AND(C270&lt;&gt;"",ISNUMBER(B270))),"",IF(N(IFERROR(INDEX(Crops!$F$6:$F$65,MATCH(C270,Crops!$B$6:$B$65,0)),0))&gt;0,INT(B270)+N(IFERROR(INDEX(Crops!$F$6:$F$65,MATCH(C270,Crops!$B$6:$B$65,0)),0)),""))</f>
        <v/>
      </c>
      <c r="J270" s="16">
        <f>IF(NOT(AND(C270&lt;&gt;"",ISNUMBER(B270))),"",IF(ISNUMBER(G270),"Done",IF(INT(B270)&gt;TODAY(),"Planned",IF(COUNTIFS(Harvest!$C$6:$C$1505,C270,Harvest!$D$6:$D$1505,D270&amp;"",Harvest!$L$6:$L$1505,"&gt;="&amp;INT(B270))&gt;0,"Picking","Growing"))))</f>
        <v/>
      </c>
      <c r="K270" s="14">
        <f>IF(OR(NOT(AND(C270&lt;&gt;"",ISNUMBER(B270))),J270="Planned"),"",IF(ISNUMBER(G270),INT(G270),TODAY())-INT(B270))</f>
        <v/>
      </c>
      <c r="L270" s="11">
        <f>IF(AND(B270="",C270="",D270=""),"",IF(NOT(ISNUMBER(B270)),"Needs a date",IF(C270="","Needs a crop",IF(COUNTIF(Crops!$B$6:$B$65,C270)=0,"Not on Crops",IF(AND(D270&lt;&gt;"",COUNTIF(Beds!$B$6:$B$35,D270)=0),"Not on Beds",IF(AND(ISNUMBER(G270),G270&lt;B270),"Cleared before it was planted",""))))))</f>
        <v/>
      </c>
      <c r="M270" s="11">
        <f>IF(OR(L270&lt;&gt;"",D270="",O270=""),"",IF(COUNTIFS(Plantings!$D$6:$D$505,D270,Plantings!$O$6:$O$505,O270,Plantings!$N$6:$N$505,N270-1)&gt;0,"Same family here last year",""))</f>
        <v/>
      </c>
      <c r="N270" s="1">
        <f>IF(ISNUMBER(B270),YEAR(B270),"")</f>
        <v/>
      </c>
      <c r="O270">
        <f>IF(C270="","",IFERROR(INDEX(Crops!$C$6:$C$65,MATCH(C270,Crops!$B$6:$B$65,0))&amp;"",""))</f>
        <v/>
      </c>
      <c r="P270">
        <f>IF(ISNUMBER(B270),INT(B270),0)</f>
        <v/>
      </c>
      <c r="Q270">
        <f>IF(AND(L270="",OR(J270="Growing",J270="Picking")),1,0)</f>
        <v/>
      </c>
      <c r="R270">
        <f>IF(AND(Q270=1,D270&lt;&gt;""),P270*1000+ROW(),0)</f>
        <v/>
      </c>
      <c r="S270">
        <f>IF(AND(AND(C270&lt;&gt;"",ISNUMBER(B270)),L270=""),1,0)</f>
        <v/>
      </c>
    </row>
    <row r="271">
      <c r="A271" s="1" t="n"/>
      <c r="B271" s="17" t="n"/>
      <c r="C271" s="18" t="n"/>
      <c r="D271" s="19" t="n"/>
      <c r="E271" s="19" t="n"/>
      <c r="F271" s="20" t="n"/>
      <c r="G271" s="17" t="n"/>
      <c r="H271" s="21" t="n"/>
      <c r="I271" s="22">
        <f>IF(NOT(AND(C271&lt;&gt;"",ISNUMBER(B271))),"",IF(N(IFERROR(INDEX(Crops!$F$6:$F$65,MATCH(C271,Crops!$B$6:$B$65,0)),0))&gt;0,INT(B271)+N(IFERROR(INDEX(Crops!$F$6:$F$65,MATCH(C271,Crops!$B$6:$B$65,0)),0)),""))</f>
        <v/>
      </c>
      <c r="J271" s="16">
        <f>IF(NOT(AND(C271&lt;&gt;"",ISNUMBER(B271))),"",IF(ISNUMBER(G271),"Done",IF(INT(B271)&gt;TODAY(),"Planned",IF(COUNTIFS(Harvest!$C$6:$C$1505,C271,Harvest!$D$6:$D$1505,D271&amp;"",Harvest!$L$6:$L$1505,"&gt;="&amp;INT(B271))&gt;0,"Picking","Growing"))))</f>
        <v/>
      </c>
      <c r="K271" s="14">
        <f>IF(OR(NOT(AND(C271&lt;&gt;"",ISNUMBER(B271))),J271="Planned"),"",IF(ISNUMBER(G271),INT(G271),TODAY())-INT(B271))</f>
        <v/>
      </c>
      <c r="L271" s="11">
        <f>IF(AND(B271="",C271="",D271=""),"",IF(NOT(ISNUMBER(B271)),"Needs a date",IF(C271="","Needs a crop",IF(COUNTIF(Crops!$B$6:$B$65,C271)=0,"Not on Crops",IF(AND(D271&lt;&gt;"",COUNTIF(Beds!$B$6:$B$35,D271)=0),"Not on Beds",IF(AND(ISNUMBER(G271),G271&lt;B271),"Cleared before it was planted",""))))))</f>
        <v/>
      </c>
      <c r="M271" s="11">
        <f>IF(OR(L271&lt;&gt;"",D271="",O271=""),"",IF(COUNTIFS(Plantings!$D$6:$D$505,D271,Plantings!$O$6:$O$505,O271,Plantings!$N$6:$N$505,N271-1)&gt;0,"Same family here last year",""))</f>
        <v/>
      </c>
      <c r="N271" s="1">
        <f>IF(ISNUMBER(B271),YEAR(B271),"")</f>
        <v/>
      </c>
      <c r="O271">
        <f>IF(C271="","",IFERROR(INDEX(Crops!$C$6:$C$65,MATCH(C271,Crops!$B$6:$B$65,0))&amp;"",""))</f>
        <v/>
      </c>
      <c r="P271">
        <f>IF(ISNUMBER(B271),INT(B271),0)</f>
        <v/>
      </c>
      <c r="Q271">
        <f>IF(AND(L271="",OR(J271="Growing",J271="Picking")),1,0)</f>
        <v/>
      </c>
      <c r="R271">
        <f>IF(AND(Q271=1,D271&lt;&gt;""),P271*1000+ROW(),0)</f>
        <v/>
      </c>
      <c r="S271">
        <f>IF(AND(AND(C271&lt;&gt;"",ISNUMBER(B271)),L271=""),1,0)</f>
        <v/>
      </c>
    </row>
    <row r="272">
      <c r="A272" s="1" t="n"/>
      <c r="B272" s="17" t="n"/>
      <c r="C272" s="18" t="n"/>
      <c r="D272" s="19" t="n"/>
      <c r="E272" s="19" t="n"/>
      <c r="F272" s="20" t="n"/>
      <c r="G272" s="17" t="n"/>
      <c r="H272" s="21" t="n"/>
      <c r="I272" s="22">
        <f>IF(NOT(AND(C272&lt;&gt;"",ISNUMBER(B272))),"",IF(N(IFERROR(INDEX(Crops!$F$6:$F$65,MATCH(C272,Crops!$B$6:$B$65,0)),0))&gt;0,INT(B272)+N(IFERROR(INDEX(Crops!$F$6:$F$65,MATCH(C272,Crops!$B$6:$B$65,0)),0)),""))</f>
        <v/>
      </c>
      <c r="J272" s="16">
        <f>IF(NOT(AND(C272&lt;&gt;"",ISNUMBER(B272))),"",IF(ISNUMBER(G272),"Done",IF(INT(B272)&gt;TODAY(),"Planned",IF(COUNTIFS(Harvest!$C$6:$C$1505,C272,Harvest!$D$6:$D$1505,D272&amp;"",Harvest!$L$6:$L$1505,"&gt;="&amp;INT(B272))&gt;0,"Picking","Growing"))))</f>
        <v/>
      </c>
      <c r="K272" s="14">
        <f>IF(OR(NOT(AND(C272&lt;&gt;"",ISNUMBER(B272))),J272="Planned"),"",IF(ISNUMBER(G272),INT(G272),TODAY())-INT(B272))</f>
        <v/>
      </c>
      <c r="L272" s="11">
        <f>IF(AND(B272="",C272="",D272=""),"",IF(NOT(ISNUMBER(B272)),"Needs a date",IF(C272="","Needs a crop",IF(COUNTIF(Crops!$B$6:$B$65,C272)=0,"Not on Crops",IF(AND(D272&lt;&gt;"",COUNTIF(Beds!$B$6:$B$35,D272)=0),"Not on Beds",IF(AND(ISNUMBER(G272),G272&lt;B272),"Cleared before it was planted",""))))))</f>
        <v/>
      </c>
      <c r="M272" s="11">
        <f>IF(OR(L272&lt;&gt;"",D272="",O272=""),"",IF(COUNTIFS(Plantings!$D$6:$D$505,D272,Plantings!$O$6:$O$505,O272,Plantings!$N$6:$N$505,N272-1)&gt;0,"Same family here last year",""))</f>
        <v/>
      </c>
      <c r="N272" s="1">
        <f>IF(ISNUMBER(B272),YEAR(B272),"")</f>
        <v/>
      </c>
      <c r="O272">
        <f>IF(C272="","",IFERROR(INDEX(Crops!$C$6:$C$65,MATCH(C272,Crops!$B$6:$B$65,0))&amp;"",""))</f>
        <v/>
      </c>
      <c r="P272">
        <f>IF(ISNUMBER(B272),INT(B272),0)</f>
        <v/>
      </c>
      <c r="Q272">
        <f>IF(AND(L272="",OR(J272="Growing",J272="Picking")),1,0)</f>
        <v/>
      </c>
      <c r="R272">
        <f>IF(AND(Q272=1,D272&lt;&gt;""),P272*1000+ROW(),0)</f>
        <v/>
      </c>
      <c r="S272">
        <f>IF(AND(AND(C272&lt;&gt;"",ISNUMBER(B272)),L272=""),1,0)</f>
        <v/>
      </c>
    </row>
    <row r="273">
      <c r="A273" s="1" t="n"/>
      <c r="B273" s="17" t="n"/>
      <c r="C273" s="18" t="n"/>
      <c r="D273" s="19" t="n"/>
      <c r="E273" s="19" t="n"/>
      <c r="F273" s="20" t="n"/>
      <c r="G273" s="17" t="n"/>
      <c r="H273" s="21" t="n"/>
      <c r="I273" s="22">
        <f>IF(NOT(AND(C273&lt;&gt;"",ISNUMBER(B273))),"",IF(N(IFERROR(INDEX(Crops!$F$6:$F$65,MATCH(C273,Crops!$B$6:$B$65,0)),0))&gt;0,INT(B273)+N(IFERROR(INDEX(Crops!$F$6:$F$65,MATCH(C273,Crops!$B$6:$B$65,0)),0)),""))</f>
        <v/>
      </c>
      <c r="J273" s="16">
        <f>IF(NOT(AND(C273&lt;&gt;"",ISNUMBER(B273))),"",IF(ISNUMBER(G273),"Done",IF(INT(B273)&gt;TODAY(),"Planned",IF(COUNTIFS(Harvest!$C$6:$C$1505,C273,Harvest!$D$6:$D$1505,D273&amp;"",Harvest!$L$6:$L$1505,"&gt;="&amp;INT(B273))&gt;0,"Picking","Growing"))))</f>
        <v/>
      </c>
      <c r="K273" s="14">
        <f>IF(OR(NOT(AND(C273&lt;&gt;"",ISNUMBER(B273))),J273="Planned"),"",IF(ISNUMBER(G273),INT(G273),TODAY())-INT(B273))</f>
        <v/>
      </c>
      <c r="L273" s="11">
        <f>IF(AND(B273="",C273="",D273=""),"",IF(NOT(ISNUMBER(B273)),"Needs a date",IF(C273="","Needs a crop",IF(COUNTIF(Crops!$B$6:$B$65,C273)=0,"Not on Crops",IF(AND(D273&lt;&gt;"",COUNTIF(Beds!$B$6:$B$35,D273)=0),"Not on Beds",IF(AND(ISNUMBER(G273),G273&lt;B273),"Cleared before it was planted",""))))))</f>
        <v/>
      </c>
      <c r="M273" s="11">
        <f>IF(OR(L273&lt;&gt;"",D273="",O273=""),"",IF(COUNTIFS(Plantings!$D$6:$D$505,D273,Plantings!$O$6:$O$505,O273,Plantings!$N$6:$N$505,N273-1)&gt;0,"Same family here last year",""))</f>
        <v/>
      </c>
      <c r="N273" s="1">
        <f>IF(ISNUMBER(B273),YEAR(B273),"")</f>
        <v/>
      </c>
      <c r="O273">
        <f>IF(C273="","",IFERROR(INDEX(Crops!$C$6:$C$65,MATCH(C273,Crops!$B$6:$B$65,0))&amp;"",""))</f>
        <v/>
      </c>
      <c r="P273">
        <f>IF(ISNUMBER(B273),INT(B273),0)</f>
        <v/>
      </c>
      <c r="Q273">
        <f>IF(AND(L273="",OR(J273="Growing",J273="Picking")),1,0)</f>
        <v/>
      </c>
      <c r="R273">
        <f>IF(AND(Q273=1,D273&lt;&gt;""),P273*1000+ROW(),0)</f>
        <v/>
      </c>
      <c r="S273">
        <f>IF(AND(AND(C273&lt;&gt;"",ISNUMBER(B273)),L273=""),1,0)</f>
        <v/>
      </c>
    </row>
    <row r="274">
      <c r="A274" s="1" t="n"/>
      <c r="B274" s="17" t="n"/>
      <c r="C274" s="18" t="n"/>
      <c r="D274" s="19" t="n"/>
      <c r="E274" s="19" t="n"/>
      <c r="F274" s="20" t="n"/>
      <c r="G274" s="17" t="n"/>
      <c r="H274" s="21" t="n"/>
      <c r="I274" s="22">
        <f>IF(NOT(AND(C274&lt;&gt;"",ISNUMBER(B274))),"",IF(N(IFERROR(INDEX(Crops!$F$6:$F$65,MATCH(C274,Crops!$B$6:$B$65,0)),0))&gt;0,INT(B274)+N(IFERROR(INDEX(Crops!$F$6:$F$65,MATCH(C274,Crops!$B$6:$B$65,0)),0)),""))</f>
        <v/>
      </c>
      <c r="J274" s="16">
        <f>IF(NOT(AND(C274&lt;&gt;"",ISNUMBER(B274))),"",IF(ISNUMBER(G274),"Done",IF(INT(B274)&gt;TODAY(),"Planned",IF(COUNTIFS(Harvest!$C$6:$C$1505,C274,Harvest!$D$6:$D$1505,D274&amp;"",Harvest!$L$6:$L$1505,"&gt;="&amp;INT(B274))&gt;0,"Picking","Growing"))))</f>
        <v/>
      </c>
      <c r="K274" s="14">
        <f>IF(OR(NOT(AND(C274&lt;&gt;"",ISNUMBER(B274))),J274="Planned"),"",IF(ISNUMBER(G274),INT(G274),TODAY())-INT(B274))</f>
        <v/>
      </c>
      <c r="L274" s="11">
        <f>IF(AND(B274="",C274="",D274=""),"",IF(NOT(ISNUMBER(B274)),"Needs a date",IF(C274="","Needs a crop",IF(COUNTIF(Crops!$B$6:$B$65,C274)=0,"Not on Crops",IF(AND(D274&lt;&gt;"",COUNTIF(Beds!$B$6:$B$35,D274)=0),"Not on Beds",IF(AND(ISNUMBER(G274),G274&lt;B274),"Cleared before it was planted",""))))))</f>
        <v/>
      </c>
      <c r="M274" s="11">
        <f>IF(OR(L274&lt;&gt;"",D274="",O274=""),"",IF(COUNTIFS(Plantings!$D$6:$D$505,D274,Plantings!$O$6:$O$505,O274,Plantings!$N$6:$N$505,N274-1)&gt;0,"Same family here last year",""))</f>
        <v/>
      </c>
      <c r="N274" s="1">
        <f>IF(ISNUMBER(B274),YEAR(B274),"")</f>
        <v/>
      </c>
      <c r="O274">
        <f>IF(C274="","",IFERROR(INDEX(Crops!$C$6:$C$65,MATCH(C274,Crops!$B$6:$B$65,0))&amp;"",""))</f>
        <v/>
      </c>
      <c r="P274">
        <f>IF(ISNUMBER(B274),INT(B274),0)</f>
        <v/>
      </c>
      <c r="Q274">
        <f>IF(AND(L274="",OR(J274="Growing",J274="Picking")),1,0)</f>
        <v/>
      </c>
      <c r="R274">
        <f>IF(AND(Q274=1,D274&lt;&gt;""),P274*1000+ROW(),0)</f>
        <v/>
      </c>
      <c r="S274">
        <f>IF(AND(AND(C274&lt;&gt;"",ISNUMBER(B274)),L274=""),1,0)</f>
        <v/>
      </c>
    </row>
    <row r="275">
      <c r="A275" s="1" t="n"/>
      <c r="B275" s="17" t="n"/>
      <c r="C275" s="18" t="n"/>
      <c r="D275" s="19" t="n"/>
      <c r="E275" s="19" t="n"/>
      <c r="F275" s="20" t="n"/>
      <c r="G275" s="17" t="n"/>
      <c r="H275" s="21" t="n"/>
      <c r="I275" s="22">
        <f>IF(NOT(AND(C275&lt;&gt;"",ISNUMBER(B275))),"",IF(N(IFERROR(INDEX(Crops!$F$6:$F$65,MATCH(C275,Crops!$B$6:$B$65,0)),0))&gt;0,INT(B275)+N(IFERROR(INDEX(Crops!$F$6:$F$65,MATCH(C275,Crops!$B$6:$B$65,0)),0)),""))</f>
        <v/>
      </c>
      <c r="J275" s="16">
        <f>IF(NOT(AND(C275&lt;&gt;"",ISNUMBER(B275))),"",IF(ISNUMBER(G275),"Done",IF(INT(B275)&gt;TODAY(),"Planned",IF(COUNTIFS(Harvest!$C$6:$C$1505,C275,Harvest!$D$6:$D$1505,D275&amp;"",Harvest!$L$6:$L$1505,"&gt;="&amp;INT(B275))&gt;0,"Picking","Growing"))))</f>
        <v/>
      </c>
      <c r="K275" s="14">
        <f>IF(OR(NOT(AND(C275&lt;&gt;"",ISNUMBER(B275))),J275="Planned"),"",IF(ISNUMBER(G275),INT(G275),TODAY())-INT(B275))</f>
        <v/>
      </c>
      <c r="L275" s="11">
        <f>IF(AND(B275="",C275="",D275=""),"",IF(NOT(ISNUMBER(B275)),"Needs a date",IF(C275="","Needs a crop",IF(COUNTIF(Crops!$B$6:$B$65,C275)=0,"Not on Crops",IF(AND(D275&lt;&gt;"",COUNTIF(Beds!$B$6:$B$35,D275)=0),"Not on Beds",IF(AND(ISNUMBER(G275),G275&lt;B275),"Cleared before it was planted",""))))))</f>
        <v/>
      </c>
      <c r="M275" s="11">
        <f>IF(OR(L275&lt;&gt;"",D275="",O275=""),"",IF(COUNTIFS(Plantings!$D$6:$D$505,D275,Plantings!$O$6:$O$505,O275,Plantings!$N$6:$N$505,N275-1)&gt;0,"Same family here last year",""))</f>
        <v/>
      </c>
      <c r="N275" s="1">
        <f>IF(ISNUMBER(B275),YEAR(B275),"")</f>
        <v/>
      </c>
      <c r="O275">
        <f>IF(C275="","",IFERROR(INDEX(Crops!$C$6:$C$65,MATCH(C275,Crops!$B$6:$B$65,0))&amp;"",""))</f>
        <v/>
      </c>
      <c r="P275">
        <f>IF(ISNUMBER(B275),INT(B275),0)</f>
        <v/>
      </c>
      <c r="Q275">
        <f>IF(AND(L275="",OR(J275="Growing",J275="Picking")),1,0)</f>
        <v/>
      </c>
      <c r="R275">
        <f>IF(AND(Q275=1,D275&lt;&gt;""),P275*1000+ROW(),0)</f>
        <v/>
      </c>
      <c r="S275">
        <f>IF(AND(AND(C275&lt;&gt;"",ISNUMBER(B275)),L275=""),1,0)</f>
        <v/>
      </c>
    </row>
    <row r="276">
      <c r="A276" s="1" t="n"/>
      <c r="B276" s="17" t="n"/>
      <c r="C276" s="18" t="n"/>
      <c r="D276" s="19" t="n"/>
      <c r="E276" s="19" t="n"/>
      <c r="F276" s="20" t="n"/>
      <c r="G276" s="17" t="n"/>
      <c r="H276" s="21" t="n"/>
      <c r="I276" s="22">
        <f>IF(NOT(AND(C276&lt;&gt;"",ISNUMBER(B276))),"",IF(N(IFERROR(INDEX(Crops!$F$6:$F$65,MATCH(C276,Crops!$B$6:$B$65,0)),0))&gt;0,INT(B276)+N(IFERROR(INDEX(Crops!$F$6:$F$65,MATCH(C276,Crops!$B$6:$B$65,0)),0)),""))</f>
        <v/>
      </c>
      <c r="J276" s="16">
        <f>IF(NOT(AND(C276&lt;&gt;"",ISNUMBER(B276))),"",IF(ISNUMBER(G276),"Done",IF(INT(B276)&gt;TODAY(),"Planned",IF(COUNTIFS(Harvest!$C$6:$C$1505,C276,Harvest!$D$6:$D$1505,D276&amp;"",Harvest!$L$6:$L$1505,"&gt;="&amp;INT(B276))&gt;0,"Picking","Growing"))))</f>
        <v/>
      </c>
      <c r="K276" s="14">
        <f>IF(OR(NOT(AND(C276&lt;&gt;"",ISNUMBER(B276))),J276="Planned"),"",IF(ISNUMBER(G276),INT(G276),TODAY())-INT(B276))</f>
        <v/>
      </c>
      <c r="L276" s="11">
        <f>IF(AND(B276="",C276="",D276=""),"",IF(NOT(ISNUMBER(B276)),"Needs a date",IF(C276="","Needs a crop",IF(COUNTIF(Crops!$B$6:$B$65,C276)=0,"Not on Crops",IF(AND(D276&lt;&gt;"",COUNTIF(Beds!$B$6:$B$35,D276)=0),"Not on Beds",IF(AND(ISNUMBER(G276),G276&lt;B276),"Cleared before it was planted",""))))))</f>
        <v/>
      </c>
      <c r="M276" s="11">
        <f>IF(OR(L276&lt;&gt;"",D276="",O276=""),"",IF(COUNTIFS(Plantings!$D$6:$D$505,D276,Plantings!$O$6:$O$505,O276,Plantings!$N$6:$N$505,N276-1)&gt;0,"Same family here last year",""))</f>
        <v/>
      </c>
      <c r="N276" s="1">
        <f>IF(ISNUMBER(B276),YEAR(B276),"")</f>
        <v/>
      </c>
      <c r="O276">
        <f>IF(C276="","",IFERROR(INDEX(Crops!$C$6:$C$65,MATCH(C276,Crops!$B$6:$B$65,0))&amp;"",""))</f>
        <v/>
      </c>
      <c r="P276">
        <f>IF(ISNUMBER(B276),INT(B276),0)</f>
        <v/>
      </c>
      <c r="Q276">
        <f>IF(AND(L276="",OR(J276="Growing",J276="Picking")),1,0)</f>
        <v/>
      </c>
      <c r="R276">
        <f>IF(AND(Q276=1,D276&lt;&gt;""),P276*1000+ROW(),0)</f>
        <v/>
      </c>
      <c r="S276">
        <f>IF(AND(AND(C276&lt;&gt;"",ISNUMBER(B276)),L276=""),1,0)</f>
        <v/>
      </c>
    </row>
    <row r="277">
      <c r="A277" s="1" t="n"/>
      <c r="B277" s="17" t="n"/>
      <c r="C277" s="18" t="n"/>
      <c r="D277" s="19" t="n"/>
      <c r="E277" s="19" t="n"/>
      <c r="F277" s="20" t="n"/>
      <c r="G277" s="17" t="n"/>
      <c r="H277" s="21" t="n"/>
      <c r="I277" s="22">
        <f>IF(NOT(AND(C277&lt;&gt;"",ISNUMBER(B277))),"",IF(N(IFERROR(INDEX(Crops!$F$6:$F$65,MATCH(C277,Crops!$B$6:$B$65,0)),0))&gt;0,INT(B277)+N(IFERROR(INDEX(Crops!$F$6:$F$65,MATCH(C277,Crops!$B$6:$B$65,0)),0)),""))</f>
        <v/>
      </c>
      <c r="J277" s="16">
        <f>IF(NOT(AND(C277&lt;&gt;"",ISNUMBER(B277))),"",IF(ISNUMBER(G277),"Done",IF(INT(B277)&gt;TODAY(),"Planned",IF(COUNTIFS(Harvest!$C$6:$C$1505,C277,Harvest!$D$6:$D$1505,D277&amp;"",Harvest!$L$6:$L$1505,"&gt;="&amp;INT(B277))&gt;0,"Picking","Growing"))))</f>
        <v/>
      </c>
      <c r="K277" s="14">
        <f>IF(OR(NOT(AND(C277&lt;&gt;"",ISNUMBER(B277))),J277="Planned"),"",IF(ISNUMBER(G277),INT(G277),TODAY())-INT(B277))</f>
        <v/>
      </c>
      <c r="L277" s="11">
        <f>IF(AND(B277="",C277="",D277=""),"",IF(NOT(ISNUMBER(B277)),"Needs a date",IF(C277="","Needs a crop",IF(COUNTIF(Crops!$B$6:$B$65,C277)=0,"Not on Crops",IF(AND(D277&lt;&gt;"",COUNTIF(Beds!$B$6:$B$35,D277)=0),"Not on Beds",IF(AND(ISNUMBER(G277),G277&lt;B277),"Cleared before it was planted",""))))))</f>
        <v/>
      </c>
      <c r="M277" s="11">
        <f>IF(OR(L277&lt;&gt;"",D277="",O277=""),"",IF(COUNTIFS(Plantings!$D$6:$D$505,D277,Plantings!$O$6:$O$505,O277,Plantings!$N$6:$N$505,N277-1)&gt;0,"Same family here last year",""))</f>
        <v/>
      </c>
      <c r="N277" s="1">
        <f>IF(ISNUMBER(B277),YEAR(B277),"")</f>
        <v/>
      </c>
      <c r="O277">
        <f>IF(C277="","",IFERROR(INDEX(Crops!$C$6:$C$65,MATCH(C277,Crops!$B$6:$B$65,0))&amp;"",""))</f>
        <v/>
      </c>
      <c r="P277">
        <f>IF(ISNUMBER(B277),INT(B277),0)</f>
        <v/>
      </c>
      <c r="Q277">
        <f>IF(AND(L277="",OR(J277="Growing",J277="Picking")),1,0)</f>
        <v/>
      </c>
      <c r="R277">
        <f>IF(AND(Q277=1,D277&lt;&gt;""),P277*1000+ROW(),0)</f>
        <v/>
      </c>
      <c r="S277">
        <f>IF(AND(AND(C277&lt;&gt;"",ISNUMBER(B277)),L277=""),1,0)</f>
        <v/>
      </c>
    </row>
    <row r="278">
      <c r="A278" s="1" t="n"/>
      <c r="B278" s="17" t="n"/>
      <c r="C278" s="18" t="n"/>
      <c r="D278" s="19" t="n"/>
      <c r="E278" s="19" t="n"/>
      <c r="F278" s="20" t="n"/>
      <c r="G278" s="17" t="n"/>
      <c r="H278" s="21" t="n"/>
      <c r="I278" s="22">
        <f>IF(NOT(AND(C278&lt;&gt;"",ISNUMBER(B278))),"",IF(N(IFERROR(INDEX(Crops!$F$6:$F$65,MATCH(C278,Crops!$B$6:$B$65,0)),0))&gt;0,INT(B278)+N(IFERROR(INDEX(Crops!$F$6:$F$65,MATCH(C278,Crops!$B$6:$B$65,0)),0)),""))</f>
        <v/>
      </c>
      <c r="J278" s="16">
        <f>IF(NOT(AND(C278&lt;&gt;"",ISNUMBER(B278))),"",IF(ISNUMBER(G278),"Done",IF(INT(B278)&gt;TODAY(),"Planned",IF(COUNTIFS(Harvest!$C$6:$C$1505,C278,Harvest!$D$6:$D$1505,D278&amp;"",Harvest!$L$6:$L$1505,"&gt;="&amp;INT(B278))&gt;0,"Picking","Growing"))))</f>
        <v/>
      </c>
      <c r="K278" s="14">
        <f>IF(OR(NOT(AND(C278&lt;&gt;"",ISNUMBER(B278))),J278="Planned"),"",IF(ISNUMBER(G278),INT(G278),TODAY())-INT(B278))</f>
        <v/>
      </c>
      <c r="L278" s="11">
        <f>IF(AND(B278="",C278="",D278=""),"",IF(NOT(ISNUMBER(B278)),"Needs a date",IF(C278="","Needs a crop",IF(COUNTIF(Crops!$B$6:$B$65,C278)=0,"Not on Crops",IF(AND(D278&lt;&gt;"",COUNTIF(Beds!$B$6:$B$35,D278)=0),"Not on Beds",IF(AND(ISNUMBER(G278),G278&lt;B278),"Cleared before it was planted",""))))))</f>
        <v/>
      </c>
      <c r="M278" s="11">
        <f>IF(OR(L278&lt;&gt;"",D278="",O278=""),"",IF(COUNTIFS(Plantings!$D$6:$D$505,D278,Plantings!$O$6:$O$505,O278,Plantings!$N$6:$N$505,N278-1)&gt;0,"Same family here last year",""))</f>
        <v/>
      </c>
      <c r="N278" s="1">
        <f>IF(ISNUMBER(B278),YEAR(B278),"")</f>
        <v/>
      </c>
      <c r="O278">
        <f>IF(C278="","",IFERROR(INDEX(Crops!$C$6:$C$65,MATCH(C278,Crops!$B$6:$B$65,0))&amp;"",""))</f>
        <v/>
      </c>
      <c r="P278">
        <f>IF(ISNUMBER(B278),INT(B278),0)</f>
        <v/>
      </c>
      <c r="Q278">
        <f>IF(AND(L278="",OR(J278="Growing",J278="Picking")),1,0)</f>
        <v/>
      </c>
      <c r="R278">
        <f>IF(AND(Q278=1,D278&lt;&gt;""),P278*1000+ROW(),0)</f>
        <v/>
      </c>
      <c r="S278">
        <f>IF(AND(AND(C278&lt;&gt;"",ISNUMBER(B278)),L278=""),1,0)</f>
        <v/>
      </c>
    </row>
    <row r="279">
      <c r="A279" s="1" t="n"/>
      <c r="B279" s="17" t="n"/>
      <c r="C279" s="18" t="n"/>
      <c r="D279" s="19" t="n"/>
      <c r="E279" s="19" t="n"/>
      <c r="F279" s="20" t="n"/>
      <c r="G279" s="17" t="n"/>
      <c r="H279" s="21" t="n"/>
      <c r="I279" s="22">
        <f>IF(NOT(AND(C279&lt;&gt;"",ISNUMBER(B279))),"",IF(N(IFERROR(INDEX(Crops!$F$6:$F$65,MATCH(C279,Crops!$B$6:$B$65,0)),0))&gt;0,INT(B279)+N(IFERROR(INDEX(Crops!$F$6:$F$65,MATCH(C279,Crops!$B$6:$B$65,0)),0)),""))</f>
        <v/>
      </c>
      <c r="J279" s="16">
        <f>IF(NOT(AND(C279&lt;&gt;"",ISNUMBER(B279))),"",IF(ISNUMBER(G279),"Done",IF(INT(B279)&gt;TODAY(),"Planned",IF(COUNTIFS(Harvest!$C$6:$C$1505,C279,Harvest!$D$6:$D$1505,D279&amp;"",Harvest!$L$6:$L$1505,"&gt;="&amp;INT(B279))&gt;0,"Picking","Growing"))))</f>
        <v/>
      </c>
      <c r="K279" s="14">
        <f>IF(OR(NOT(AND(C279&lt;&gt;"",ISNUMBER(B279))),J279="Planned"),"",IF(ISNUMBER(G279),INT(G279),TODAY())-INT(B279))</f>
        <v/>
      </c>
      <c r="L279" s="11">
        <f>IF(AND(B279="",C279="",D279=""),"",IF(NOT(ISNUMBER(B279)),"Needs a date",IF(C279="","Needs a crop",IF(COUNTIF(Crops!$B$6:$B$65,C279)=0,"Not on Crops",IF(AND(D279&lt;&gt;"",COUNTIF(Beds!$B$6:$B$35,D279)=0),"Not on Beds",IF(AND(ISNUMBER(G279),G279&lt;B279),"Cleared before it was planted",""))))))</f>
        <v/>
      </c>
      <c r="M279" s="11">
        <f>IF(OR(L279&lt;&gt;"",D279="",O279=""),"",IF(COUNTIFS(Plantings!$D$6:$D$505,D279,Plantings!$O$6:$O$505,O279,Plantings!$N$6:$N$505,N279-1)&gt;0,"Same family here last year",""))</f>
        <v/>
      </c>
      <c r="N279" s="1">
        <f>IF(ISNUMBER(B279),YEAR(B279),"")</f>
        <v/>
      </c>
      <c r="O279">
        <f>IF(C279="","",IFERROR(INDEX(Crops!$C$6:$C$65,MATCH(C279,Crops!$B$6:$B$65,0))&amp;"",""))</f>
        <v/>
      </c>
      <c r="P279">
        <f>IF(ISNUMBER(B279),INT(B279),0)</f>
        <v/>
      </c>
      <c r="Q279">
        <f>IF(AND(L279="",OR(J279="Growing",J279="Picking")),1,0)</f>
        <v/>
      </c>
      <c r="R279">
        <f>IF(AND(Q279=1,D279&lt;&gt;""),P279*1000+ROW(),0)</f>
        <v/>
      </c>
      <c r="S279">
        <f>IF(AND(AND(C279&lt;&gt;"",ISNUMBER(B279)),L279=""),1,0)</f>
        <v/>
      </c>
    </row>
    <row r="280">
      <c r="A280" s="1" t="n"/>
      <c r="B280" s="17" t="n"/>
      <c r="C280" s="18" t="n"/>
      <c r="D280" s="19" t="n"/>
      <c r="E280" s="19" t="n"/>
      <c r="F280" s="20" t="n"/>
      <c r="G280" s="17" t="n"/>
      <c r="H280" s="21" t="n"/>
      <c r="I280" s="22">
        <f>IF(NOT(AND(C280&lt;&gt;"",ISNUMBER(B280))),"",IF(N(IFERROR(INDEX(Crops!$F$6:$F$65,MATCH(C280,Crops!$B$6:$B$65,0)),0))&gt;0,INT(B280)+N(IFERROR(INDEX(Crops!$F$6:$F$65,MATCH(C280,Crops!$B$6:$B$65,0)),0)),""))</f>
        <v/>
      </c>
      <c r="J280" s="16">
        <f>IF(NOT(AND(C280&lt;&gt;"",ISNUMBER(B280))),"",IF(ISNUMBER(G280),"Done",IF(INT(B280)&gt;TODAY(),"Planned",IF(COUNTIFS(Harvest!$C$6:$C$1505,C280,Harvest!$D$6:$D$1505,D280&amp;"",Harvest!$L$6:$L$1505,"&gt;="&amp;INT(B280))&gt;0,"Picking","Growing"))))</f>
        <v/>
      </c>
      <c r="K280" s="14">
        <f>IF(OR(NOT(AND(C280&lt;&gt;"",ISNUMBER(B280))),J280="Planned"),"",IF(ISNUMBER(G280),INT(G280),TODAY())-INT(B280))</f>
        <v/>
      </c>
      <c r="L280" s="11">
        <f>IF(AND(B280="",C280="",D280=""),"",IF(NOT(ISNUMBER(B280)),"Needs a date",IF(C280="","Needs a crop",IF(COUNTIF(Crops!$B$6:$B$65,C280)=0,"Not on Crops",IF(AND(D280&lt;&gt;"",COUNTIF(Beds!$B$6:$B$35,D280)=0),"Not on Beds",IF(AND(ISNUMBER(G280),G280&lt;B280),"Cleared before it was planted",""))))))</f>
        <v/>
      </c>
      <c r="M280" s="11">
        <f>IF(OR(L280&lt;&gt;"",D280="",O280=""),"",IF(COUNTIFS(Plantings!$D$6:$D$505,D280,Plantings!$O$6:$O$505,O280,Plantings!$N$6:$N$505,N280-1)&gt;0,"Same family here last year",""))</f>
        <v/>
      </c>
      <c r="N280" s="1">
        <f>IF(ISNUMBER(B280),YEAR(B280),"")</f>
        <v/>
      </c>
      <c r="O280">
        <f>IF(C280="","",IFERROR(INDEX(Crops!$C$6:$C$65,MATCH(C280,Crops!$B$6:$B$65,0))&amp;"",""))</f>
        <v/>
      </c>
      <c r="P280">
        <f>IF(ISNUMBER(B280),INT(B280),0)</f>
        <v/>
      </c>
      <c r="Q280">
        <f>IF(AND(L280="",OR(J280="Growing",J280="Picking")),1,0)</f>
        <v/>
      </c>
      <c r="R280">
        <f>IF(AND(Q280=1,D280&lt;&gt;""),P280*1000+ROW(),0)</f>
        <v/>
      </c>
      <c r="S280">
        <f>IF(AND(AND(C280&lt;&gt;"",ISNUMBER(B280)),L280=""),1,0)</f>
        <v/>
      </c>
    </row>
    <row r="281">
      <c r="A281" s="1" t="n"/>
      <c r="B281" s="17" t="n"/>
      <c r="C281" s="18" t="n"/>
      <c r="D281" s="19" t="n"/>
      <c r="E281" s="19" t="n"/>
      <c r="F281" s="20" t="n"/>
      <c r="G281" s="17" t="n"/>
      <c r="H281" s="21" t="n"/>
      <c r="I281" s="22">
        <f>IF(NOT(AND(C281&lt;&gt;"",ISNUMBER(B281))),"",IF(N(IFERROR(INDEX(Crops!$F$6:$F$65,MATCH(C281,Crops!$B$6:$B$65,0)),0))&gt;0,INT(B281)+N(IFERROR(INDEX(Crops!$F$6:$F$65,MATCH(C281,Crops!$B$6:$B$65,0)),0)),""))</f>
        <v/>
      </c>
      <c r="J281" s="16">
        <f>IF(NOT(AND(C281&lt;&gt;"",ISNUMBER(B281))),"",IF(ISNUMBER(G281),"Done",IF(INT(B281)&gt;TODAY(),"Planned",IF(COUNTIFS(Harvest!$C$6:$C$1505,C281,Harvest!$D$6:$D$1505,D281&amp;"",Harvest!$L$6:$L$1505,"&gt;="&amp;INT(B281))&gt;0,"Picking","Growing"))))</f>
        <v/>
      </c>
      <c r="K281" s="14">
        <f>IF(OR(NOT(AND(C281&lt;&gt;"",ISNUMBER(B281))),J281="Planned"),"",IF(ISNUMBER(G281),INT(G281),TODAY())-INT(B281))</f>
        <v/>
      </c>
      <c r="L281" s="11">
        <f>IF(AND(B281="",C281="",D281=""),"",IF(NOT(ISNUMBER(B281)),"Needs a date",IF(C281="","Needs a crop",IF(COUNTIF(Crops!$B$6:$B$65,C281)=0,"Not on Crops",IF(AND(D281&lt;&gt;"",COUNTIF(Beds!$B$6:$B$35,D281)=0),"Not on Beds",IF(AND(ISNUMBER(G281),G281&lt;B281),"Cleared before it was planted",""))))))</f>
        <v/>
      </c>
      <c r="M281" s="11">
        <f>IF(OR(L281&lt;&gt;"",D281="",O281=""),"",IF(COUNTIFS(Plantings!$D$6:$D$505,D281,Plantings!$O$6:$O$505,O281,Plantings!$N$6:$N$505,N281-1)&gt;0,"Same family here last year",""))</f>
        <v/>
      </c>
      <c r="N281" s="1">
        <f>IF(ISNUMBER(B281),YEAR(B281),"")</f>
        <v/>
      </c>
      <c r="O281">
        <f>IF(C281="","",IFERROR(INDEX(Crops!$C$6:$C$65,MATCH(C281,Crops!$B$6:$B$65,0))&amp;"",""))</f>
        <v/>
      </c>
      <c r="P281">
        <f>IF(ISNUMBER(B281),INT(B281),0)</f>
        <v/>
      </c>
      <c r="Q281">
        <f>IF(AND(L281="",OR(J281="Growing",J281="Picking")),1,0)</f>
        <v/>
      </c>
      <c r="R281">
        <f>IF(AND(Q281=1,D281&lt;&gt;""),P281*1000+ROW(),0)</f>
        <v/>
      </c>
      <c r="S281">
        <f>IF(AND(AND(C281&lt;&gt;"",ISNUMBER(B281)),L281=""),1,0)</f>
        <v/>
      </c>
    </row>
    <row r="282">
      <c r="A282" s="1" t="n"/>
      <c r="B282" s="17" t="n"/>
      <c r="C282" s="18" t="n"/>
      <c r="D282" s="19" t="n"/>
      <c r="E282" s="19" t="n"/>
      <c r="F282" s="20" t="n"/>
      <c r="G282" s="17" t="n"/>
      <c r="H282" s="21" t="n"/>
      <c r="I282" s="22">
        <f>IF(NOT(AND(C282&lt;&gt;"",ISNUMBER(B282))),"",IF(N(IFERROR(INDEX(Crops!$F$6:$F$65,MATCH(C282,Crops!$B$6:$B$65,0)),0))&gt;0,INT(B282)+N(IFERROR(INDEX(Crops!$F$6:$F$65,MATCH(C282,Crops!$B$6:$B$65,0)),0)),""))</f>
        <v/>
      </c>
      <c r="J282" s="16">
        <f>IF(NOT(AND(C282&lt;&gt;"",ISNUMBER(B282))),"",IF(ISNUMBER(G282),"Done",IF(INT(B282)&gt;TODAY(),"Planned",IF(COUNTIFS(Harvest!$C$6:$C$1505,C282,Harvest!$D$6:$D$1505,D282&amp;"",Harvest!$L$6:$L$1505,"&gt;="&amp;INT(B282))&gt;0,"Picking","Growing"))))</f>
        <v/>
      </c>
      <c r="K282" s="14">
        <f>IF(OR(NOT(AND(C282&lt;&gt;"",ISNUMBER(B282))),J282="Planned"),"",IF(ISNUMBER(G282),INT(G282),TODAY())-INT(B282))</f>
        <v/>
      </c>
      <c r="L282" s="11">
        <f>IF(AND(B282="",C282="",D282=""),"",IF(NOT(ISNUMBER(B282)),"Needs a date",IF(C282="","Needs a crop",IF(COUNTIF(Crops!$B$6:$B$65,C282)=0,"Not on Crops",IF(AND(D282&lt;&gt;"",COUNTIF(Beds!$B$6:$B$35,D282)=0),"Not on Beds",IF(AND(ISNUMBER(G282),G282&lt;B282),"Cleared before it was planted",""))))))</f>
        <v/>
      </c>
      <c r="M282" s="11">
        <f>IF(OR(L282&lt;&gt;"",D282="",O282=""),"",IF(COUNTIFS(Plantings!$D$6:$D$505,D282,Plantings!$O$6:$O$505,O282,Plantings!$N$6:$N$505,N282-1)&gt;0,"Same family here last year",""))</f>
        <v/>
      </c>
      <c r="N282" s="1">
        <f>IF(ISNUMBER(B282),YEAR(B282),"")</f>
        <v/>
      </c>
      <c r="O282">
        <f>IF(C282="","",IFERROR(INDEX(Crops!$C$6:$C$65,MATCH(C282,Crops!$B$6:$B$65,0))&amp;"",""))</f>
        <v/>
      </c>
      <c r="P282">
        <f>IF(ISNUMBER(B282),INT(B282),0)</f>
        <v/>
      </c>
      <c r="Q282">
        <f>IF(AND(L282="",OR(J282="Growing",J282="Picking")),1,0)</f>
        <v/>
      </c>
      <c r="R282">
        <f>IF(AND(Q282=1,D282&lt;&gt;""),P282*1000+ROW(),0)</f>
        <v/>
      </c>
      <c r="S282">
        <f>IF(AND(AND(C282&lt;&gt;"",ISNUMBER(B282)),L282=""),1,0)</f>
        <v/>
      </c>
    </row>
    <row r="283">
      <c r="A283" s="1" t="n"/>
      <c r="B283" s="17" t="n"/>
      <c r="C283" s="18" t="n"/>
      <c r="D283" s="19" t="n"/>
      <c r="E283" s="19" t="n"/>
      <c r="F283" s="20" t="n"/>
      <c r="G283" s="17" t="n"/>
      <c r="H283" s="21" t="n"/>
      <c r="I283" s="22">
        <f>IF(NOT(AND(C283&lt;&gt;"",ISNUMBER(B283))),"",IF(N(IFERROR(INDEX(Crops!$F$6:$F$65,MATCH(C283,Crops!$B$6:$B$65,0)),0))&gt;0,INT(B283)+N(IFERROR(INDEX(Crops!$F$6:$F$65,MATCH(C283,Crops!$B$6:$B$65,0)),0)),""))</f>
        <v/>
      </c>
      <c r="J283" s="16">
        <f>IF(NOT(AND(C283&lt;&gt;"",ISNUMBER(B283))),"",IF(ISNUMBER(G283),"Done",IF(INT(B283)&gt;TODAY(),"Planned",IF(COUNTIFS(Harvest!$C$6:$C$1505,C283,Harvest!$D$6:$D$1505,D283&amp;"",Harvest!$L$6:$L$1505,"&gt;="&amp;INT(B283))&gt;0,"Picking","Growing"))))</f>
        <v/>
      </c>
      <c r="K283" s="14">
        <f>IF(OR(NOT(AND(C283&lt;&gt;"",ISNUMBER(B283))),J283="Planned"),"",IF(ISNUMBER(G283),INT(G283),TODAY())-INT(B283))</f>
        <v/>
      </c>
      <c r="L283" s="11">
        <f>IF(AND(B283="",C283="",D283=""),"",IF(NOT(ISNUMBER(B283)),"Needs a date",IF(C283="","Needs a crop",IF(COUNTIF(Crops!$B$6:$B$65,C283)=0,"Not on Crops",IF(AND(D283&lt;&gt;"",COUNTIF(Beds!$B$6:$B$35,D283)=0),"Not on Beds",IF(AND(ISNUMBER(G283),G283&lt;B283),"Cleared before it was planted",""))))))</f>
        <v/>
      </c>
      <c r="M283" s="11">
        <f>IF(OR(L283&lt;&gt;"",D283="",O283=""),"",IF(COUNTIFS(Plantings!$D$6:$D$505,D283,Plantings!$O$6:$O$505,O283,Plantings!$N$6:$N$505,N283-1)&gt;0,"Same family here last year",""))</f>
        <v/>
      </c>
      <c r="N283" s="1">
        <f>IF(ISNUMBER(B283),YEAR(B283),"")</f>
        <v/>
      </c>
      <c r="O283">
        <f>IF(C283="","",IFERROR(INDEX(Crops!$C$6:$C$65,MATCH(C283,Crops!$B$6:$B$65,0))&amp;"",""))</f>
        <v/>
      </c>
      <c r="P283">
        <f>IF(ISNUMBER(B283),INT(B283),0)</f>
        <v/>
      </c>
      <c r="Q283">
        <f>IF(AND(L283="",OR(J283="Growing",J283="Picking")),1,0)</f>
        <v/>
      </c>
      <c r="R283">
        <f>IF(AND(Q283=1,D283&lt;&gt;""),P283*1000+ROW(),0)</f>
        <v/>
      </c>
      <c r="S283">
        <f>IF(AND(AND(C283&lt;&gt;"",ISNUMBER(B283)),L283=""),1,0)</f>
        <v/>
      </c>
    </row>
    <row r="284">
      <c r="A284" s="1" t="n"/>
      <c r="B284" s="17" t="n"/>
      <c r="C284" s="18" t="n"/>
      <c r="D284" s="19" t="n"/>
      <c r="E284" s="19" t="n"/>
      <c r="F284" s="20" t="n"/>
      <c r="G284" s="17" t="n"/>
      <c r="H284" s="21" t="n"/>
      <c r="I284" s="22">
        <f>IF(NOT(AND(C284&lt;&gt;"",ISNUMBER(B284))),"",IF(N(IFERROR(INDEX(Crops!$F$6:$F$65,MATCH(C284,Crops!$B$6:$B$65,0)),0))&gt;0,INT(B284)+N(IFERROR(INDEX(Crops!$F$6:$F$65,MATCH(C284,Crops!$B$6:$B$65,0)),0)),""))</f>
        <v/>
      </c>
      <c r="J284" s="16">
        <f>IF(NOT(AND(C284&lt;&gt;"",ISNUMBER(B284))),"",IF(ISNUMBER(G284),"Done",IF(INT(B284)&gt;TODAY(),"Planned",IF(COUNTIFS(Harvest!$C$6:$C$1505,C284,Harvest!$D$6:$D$1505,D284&amp;"",Harvest!$L$6:$L$1505,"&gt;="&amp;INT(B284))&gt;0,"Picking","Growing"))))</f>
        <v/>
      </c>
      <c r="K284" s="14">
        <f>IF(OR(NOT(AND(C284&lt;&gt;"",ISNUMBER(B284))),J284="Planned"),"",IF(ISNUMBER(G284),INT(G284),TODAY())-INT(B284))</f>
        <v/>
      </c>
      <c r="L284" s="11">
        <f>IF(AND(B284="",C284="",D284=""),"",IF(NOT(ISNUMBER(B284)),"Needs a date",IF(C284="","Needs a crop",IF(COUNTIF(Crops!$B$6:$B$65,C284)=0,"Not on Crops",IF(AND(D284&lt;&gt;"",COUNTIF(Beds!$B$6:$B$35,D284)=0),"Not on Beds",IF(AND(ISNUMBER(G284),G284&lt;B284),"Cleared before it was planted",""))))))</f>
        <v/>
      </c>
      <c r="M284" s="11">
        <f>IF(OR(L284&lt;&gt;"",D284="",O284=""),"",IF(COUNTIFS(Plantings!$D$6:$D$505,D284,Plantings!$O$6:$O$505,O284,Plantings!$N$6:$N$505,N284-1)&gt;0,"Same family here last year",""))</f>
        <v/>
      </c>
      <c r="N284" s="1">
        <f>IF(ISNUMBER(B284),YEAR(B284),"")</f>
        <v/>
      </c>
      <c r="O284">
        <f>IF(C284="","",IFERROR(INDEX(Crops!$C$6:$C$65,MATCH(C284,Crops!$B$6:$B$65,0))&amp;"",""))</f>
        <v/>
      </c>
      <c r="P284">
        <f>IF(ISNUMBER(B284),INT(B284),0)</f>
        <v/>
      </c>
      <c r="Q284">
        <f>IF(AND(L284="",OR(J284="Growing",J284="Picking")),1,0)</f>
        <v/>
      </c>
      <c r="R284">
        <f>IF(AND(Q284=1,D284&lt;&gt;""),P284*1000+ROW(),0)</f>
        <v/>
      </c>
      <c r="S284">
        <f>IF(AND(AND(C284&lt;&gt;"",ISNUMBER(B284)),L284=""),1,0)</f>
        <v/>
      </c>
    </row>
    <row r="285">
      <c r="A285" s="1" t="n"/>
      <c r="B285" s="17" t="n"/>
      <c r="C285" s="18" t="n"/>
      <c r="D285" s="19" t="n"/>
      <c r="E285" s="19" t="n"/>
      <c r="F285" s="20" t="n"/>
      <c r="G285" s="17" t="n"/>
      <c r="H285" s="21" t="n"/>
      <c r="I285" s="22">
        <f>IF(NOT(AND(C285&lt;&gt;"",ISNUMBER(B285))),"",IF(N(IFERROR(INDEX(Crops!$F$6:$F$65,MATCH(C285,Crops!$B$6:$B$65,0)),0))&gt;0,INT(B285)+N(IFERROR(INDEX(Crops!$F$6:$F$65,MATCH(C285,Crops!$B$6:$B$65,0)),0)),""))</f>
        <v/>
      </c>
      <c r="J285" s="16">
        <f>IF(NOT(AND(C285&lt;&gt;"",ISNUMBER(B285))),"",IF(ISNUMBER(G285),"Done",IF(INT(B285)&gt;TODAY(),"Planned",IF(COUNTIFS(Harvest!$C$6:$C$1505,C285,Harvest!$D$6:$D$1505,D285&amp;"",Harvest!$L$6:$L$1505,"&gt;="&amp;INT(B285))&gt;0,"Picking","Growing"))))</f>
        <v/>
      </c>
      <c r="K285" s="14">
        <f>IF(OR(NOT(AND(C285&lt;&gt;"",ISNUMBER(B285))),J285="Planned"),"",IF(ISNUMBER(G285),INT(G285),TODAY())-INT(B285))</f>
        <v/>
      </c>
      <c r="L285" s="11">
        <f>IF(AND(B285="",C285="",D285=""),"",IF(NOT(ISNUMBER(B285)),"Needs a date",IF(C285="","Needs a crop",IF(COUNTIF(Crops!$B$6:$B$65,C285)=0,"Not on Crops",IF(AND(D285&lt;&gt;"",COUNTIF(Beds!$B$6:$B$35,D285)=0),"Not on Beds",IF(AND(ISNUMBER(G285),G285&lt;B285),"Cleared before it was planted",""))))))</f>
        <v/>
      </c>
      <c r="M285" s="11">
        <f>IF(OR(L285&lt;&gt;"",D285="",O285=""),"",IF(COUNTIFS(Plantings!$D$6:$D$505,D285,Plantings!$O$6:$O$505,O285,Plantings!$N$6:$N$505,N285-1)&gt;0,"Same family here last year",""))</f>
        <v/>
      </c>
      <c r="N285" s="1">
        <f>IF(ISNUMBER(B285),YEAR(B285),"")</f>
        <v/>
      </c>
      <c r="O285">
        <f>IF(C285="","",IFERROR(INDEX(Crops!$C$6:$C$65,MATCH(C285,Crops!$B$6:$B$65,0))&amp;"",""))</f>
        <v/>
      </c>
      <c r="P285">
        <f>IF(ISNUMBER(B285),INT(B285),0)</f>
        <v/>
      </c>
      <c r="Q285">
        <f>IF(AND(L285="",OR(J285="Growing",J285="Picking")),1,0)</f>
        <v/>
      </c>
      <c r="R285">
        <f>IF(AND(Q285=1,D285&lt;&gt;""),P285*1000+ROW(),0)</f>
        <v/>
      </c>
      <c r="S285">
        <f>IF(AND(AND(C285&lt;&gt;"",ISNUMBER(B285)),L285=""),1,0)</f>
        <v/>
      </c>
    </row>
    <row r="286">
      <c r="A286" s="1" t="n"/>
      <c r="B286" s="17" t="n"/>
      <c r="C286" s="18" t="n"/>
      <c r="D286" s="19" t="n"/>
      <c r="E286" s="19" t="n"/>
      <c r="F286" s="20" t="n"/>
      <c r="G286" s="17" t="n"/>
      <c r="H286" s="21" t="n"/>
      <c r="I286" s="22">
        <f>IF(NOT(AND(C286&lt;&gt;"",ISNUMBER(B286))),"",IF(N(IFERROR(INDEX(Crops!$F$6:$F$65,MATCH(C286,Crops!$B$6:$B$65,0)),0))&gt;0,INT(B286)+N(IFERROR(INDEX(Crops!$F$6:$F$65,MATCH(C286,Crops!$B$6:$B$65,0)),0)),""))</f>
        <v/>
      </c>
      <c r="J286" s="16">
        <f>IF(NOT(AND(C286&lt;&gt;"",ISNUMBER(B286))),"",IF(ISNUMBER(G286),"Done",IF(INT(B286)&gt;TODAY(),"Planned",IF(COUNTIFS(Harvest!$C$6:$C$1505,C286,Harvest!$D$6:$D$1505,D286&amp;"",Harvest!$L$6:$L$1505,"&gt;="&amp;INT(B286))&gt;0,"Picking","Growing"))))</f>
        <v/>
      </c>
      <c r="K286" s="14">
        <f>IF(OR(NOT(AND(C286&lt;&gt;"",ISNUMBER(B286))),J286="Planned"),"",IF(ISNUMBER(G286),INT(G286),TODAY())-INT(B286))</f>
        <v/>
      </c>
      <c r="L286" s="11">
        <f>IF(AND(B286="",C286="",D286=""),"",IF(NOT(ISNUMBER(B286)),"Needs a date",IF(C286="","Needs a crop",IF(COUNTIF(Crops!$B$6:$B$65,C286)=0,"Not on Crops",IF(AND(D286&lt;&gt;"",COUNTIF(Beds!$B$6:$B$35,D286)=0),"Not on Beds",IF(AND(ISNUMBER(G286),G286&lt;B286),"Cleared before it was planted",""))))))</f>
        <v/>
      </c>
      <c r="M286" s="11">
        <f>IF(OR(L286&lt;&gt;"",D286="",O286=""),"",IF(COUNTIFS(Plantings!$D$6:$D$505,D286,Plantings!$O$6:$O$505,O286,Plantings!$N$6:$N$505,N286-1)&gt;0,"Same family here last year",""))</f>
        <v/>
      </c>
      <c r="N286" s="1">
        <f>IF(ISNUMBER(B286),YEAR(B286),"")</f>
        <v/>
      </c>
      <c r="O286">
        <f>IF(C286="","",IFERROR(INDEX(Crops!$C$6:$C$65,MATCH(C286,Crops!$B$6:$B$65,0))&amp;"",""))</f>
        <v/>
      </c>
      <c r="P286">
        <f>IF(ISNUMBER(B286),INT(B286),0)</f>
        <v/>
      </c>
      <c r="Q286">
        <f>IF(AND(L286="",OR(J286="Growing",J286="Picking")),1,0)</f>
        <v/>
      </c>
      <c r="R286">
        <f>IF(AND(Q286=1,D286&lt;&gt;""),P286*1000+ROW(),0)</f>
        <v/>
      </c>
      <c r="S286">
        <f>IF(AND(AND(C286&lt;&gt;"",ISNUMBER(B286)),L286=""),1,0)</f>
        <v/>
      </c>
    </row>
    <row r="287">
      <c r="A287" s="1" t="n"/>
      <c r="B287" s="17" t="n"/>
      <c r="C287" s="18" t="n"/>
      <c r="D287" s="19" t="n"/>
      <c r="E287" s="19" t="n"/>
      <c r="F287" s="20" t="n"/>
      <c r="G287" s="17" t="n"/>
      <c r="H287" s="21" t="n"/>
      <c r="I287" s="22">
        <f>IF(NOT(AND(C287&lt;&gt;"",ISNUMBER(B287))),"",IF(N(IFERROR(INDEX(Crops!$F$6:$F$65,MATCH(C287,Crops!$B$6:$B$65,0)),0))&gt;0,INT(B287)+N(IFERROR(INDEX(Crops!$F$6:$F$65,MATCH(C287,Crops!$B$6:$B$65,0)),0)),""))</f>
        <v/>
      </c>
      <c r="J287" s="16">
        <f>IF(NOT(AND(C287&lt;&gt;"",ISNUMBER(B287))),"",IF(ISNUMBER(G287),"Done",IF(INT(B287)&gt;TODAY(),"Planned",IF(COUNTIFS(Harvest!$C$6:$C$1505,C287,Harvest!$D$6:$D$1505,D287&amp;"",Harvest!$L$6:$L$1505,"&gt;="&amp;INT(B287))&gt;0,"Picking","Growing"))))</f>
        <v/>
      </c>
      <c r="K287" s="14">
        <f>IF(OR(NOT(AND(C287&lt;&gt;"",ISNUMBER(B287))),J287="Planned"),"",IF(ISNUMBER(G287),INT(G287),TODAY())-INT(B287))</f>
        <v/>
      </c>
      <c r="L287" s="11">
        <f>IF(AND(B287="",C287="",D287=""),"",IF(NOT(ISNUMBER(B287)),"Needs a date",IF(C287="","Needs a crop",IF(COUNTIF(Crops!$B$6:$B$65,C287)=0,"Not on Crops",IF(AND(D287&lt;&gt;"",COUNTIF(Beds!$B$6:$B$35,D287)=0),"Not on Beds",IF(AND(ISNUMBER(G287),G287&lt;B287),"Cleared before it was planted",""))))))</f>
        <v/>
      </c>
      <c r="M287" s="11">
        <f>IF(OR(L287&lt;&gt;"",D287="",O287=""),"",IF(COUNTIFS(Plantings!$D$6:$D$505,D287,Plantings!$O$6:$O$505,O287,Plantings!$N$6:$N$505,N287-1)&gt;0,"Same family here last year",""))</f>
        <v/>
      </c>
      <c r="N287" s="1">
        <f>IF(ISNUMBER(B287),YEAR(B287),"")</f>
        <v/>
      </c>
      <c r="O287">
        <f>IF(C287="","",IFERROR(INDEX(Crops!$C$6:$C$65,MATCH(C287,Crops!$B$6:$B$65,0))&amp;"",""))</f>
        <v/>
      </c>
      <c r="P287">
        <f>IF(ISNUMBER(B287),INT(B287),0)</f>
        <v/>
      </c>
      <c r="Q287">
        <f>IF(AND(L287="",OR(J287="Growing",J287="Picking")),1,0)</f>
        <v/>
      </c>
      <c r="R287">
        <f>IF(AND(Q287=1,D287&lt;&gt;""),P287*1000+ROW(),0)</f>
        <v/>
      </c>
      <c r="S287">
        <f>IF(AND(AND(C287&lt;&gt;"",ISNUMBER(B287)),L287=""),1,0)</f>
        <v/>
      </c>
    </row>
    <row r="288">
      <c r="A288" s="1" t="n"/>
      <c r="B288" s="17" t="n"/>
      <c r="C288" s="18" t="n"/>
      <c r="D288" s="19" t="n"/>
      <c r="E288" s="19" t="n"/>
      <c r="F288" s="20" t="n"/>
      <c r="G288" s="17" t="n"/>
      <c r="H288" s="21" t="n"/>
      <c r="I288" s="22">
        <f>IF(NOT(AND(C288&lt;&gt;"",ISNUMBER(B288))),"",IF(N(IFERROR(INDEX(Crops!$F$6:$F$65,MATCH(C288,Crops!$B$6:$B$65,0)),0))&gt;0,INT(B288)+N(IFERROR(INDEX(Crops!$F$6:$F$65,MATCH(C288,Crops!$B$6:$B$65,0)),0)),""))</f>
        <v/>
      </c>
      <c r="J288" s="16">
        <f>IF(NOT(AND(C288&lt;&gt;"",ISNUMBER(B288))),"",IF(ISNUMBER(G288),"Done",IF(INT(B288)&gt;TODAY(),"Planned",IF(COUNTIFS(Harvest!$C$6:$C$1505,C288,Harvest!$D$6:$D$1505,D288&amp;"",Harvest!$L$6:$L$1505,"&gt;="&amp;INT(B288))&gt;0,"Picking","Growing"))))</f>
        <v/>
      </c>
      <c r="K288" s="14">
        <f>IF(OR(NOT(AND(C288&lt;&gt;"",ISNUMBER(B288))),J288="Planned"),"",IF(ISNUMBER(G288),INT(G288),TODAY())-INT(B288))</f>
        <v/>
      </c>
      <c r="L288" s="11">
        <f>IF(AND(B288="",C288="",D288=""),"",IF(NOT(ISNUMBER(B288)),"Needs a date",IF(C288="","Needs a crop",IF(COUNTIF(Crops!$B$6:$B$65,C288)=0,"Not on Crops",IF(AND(D288&lt;&gt;"",COUNTIF(Beds!$B$6:$B$35,D288)=0),"Not on Beds",IF(AND(ISNUMBER(G288),G288&lt;B288),"Cleared before it was planted",""))))))</f>
        <v/>
      </c>
      <c r="M288" s="11">
        <f>IF(OR(L288&lt;&gt;"",D288="",O288=""),"",IF(COUNTIFS(Plantings!$D$6:$D$505,D288,Plantings!$O$6:$O$505,O288,Plantings!$N$6:$N$505,N288-1)&gt;0,"Same family here last year",""))</f>
        <v/>
      </c>
      <c r="N288" s="1">
        <f>IF(ISNUMBER(B288),YEAR(B288),"")</f>
        <v/>
      </c>
      <c r="O288">
        <f>IF(C288="","",IFERROR(INDEX(Crops!$C$6:$C$65,MATCH(C288,Crops!$B$6:$B$65,0))&amp;"",""))</f>
        <v/>
      </c>
      <c r="P288">
        <f>IF(ISNUMBER(B288),INT(B288),0)</f>
        <v/>
      </c>
      <c r="Q288">
        <f>IF(AND(L288="",OR(J288="Growing",J288="Picking")),1,0)</f>
        <v/>
      </c>
      <c r="R288">
        <f>IF(AND(Q288=1,D288&lt;&gt;""),P288*1000+ROW(),0)</f>
        <v/>
      </c>
      <c r="S288">
        <f>IF(AND(AND(C288&lt;&gt;"",ISNUMBER(B288)),L288=""),1,0)</f>
        <v/>
      </c>
    </row>
    <row r="289">
      <c r="A289" s="1" t="n"/>
      <c r="B289" s="17" t="n"/>
      <c r="C289" s="18" t="n"/>
      <c r="D289" s="19" t="n"/>
      <c r="E289" s="19" t="n"/>
      <c r="F289" s="20" t="n"/>
      <c r="G289" s="17" t="n"/>
      <c r="H289" s="21" t="n"/>
      <c r="I289" s="22">
        <f>IF(NOT(AND(C289&lt;&gt;"",ISNUMBER(B289))),"",IF(N(IFERROR(INDEX(Crops!$F$6:$F$65,MATCH(C289,Crops!$B$6:$B$65,0)),0))&gt;0,INT(B289)+N(IFERROR(INDEX(Crops!$F$6:$F$65,MATCH(C289,Crops!$B$6:$B$65,0)),0)),""))</f>
        <v/>
      </c>
      <c r="J289" s="16">
        <f>IF(NOT(AND(C289&lt;&gt;"",ISNUMBER(B289))),"",IF(ISNUMBER(G289),"Done",IF(INT(B289)&gt;TODAY(),"Planned",IF(COUNTIFS(Harvest!$C$6:$C$1505,C289,Harvest!$D$6:$D$1505,D289&amp;"",Harvest!$L$6:$L$1505,"&gt;="&amp;INT(B289))&gt;0,"Picking","Growing"))))</f>
        <v/>
      </c>
      <c r="K289" s="14">
        <f>IF(OR(NOT(AND(C289&lt;&gt;"",ISNUMBER(B289))),J289="Planned"),"",IF(ISNUMBER(G289),INT(G289),TODAY())-INT(B289))</f>
        <v/>
      </c>
      <c r="L289" s="11">
        <f>IF(AND(B289="",C289="",D289=""),"",IF(NOT(ISNUMBER(B289)),"Needs a date",IF(C289="","Needs a crop",IF(COUNTIF(Crops!$B$6:$B$65,C289)=0,"Not on Crops",IF(AND(D289&lt;&gt;"",COUNTIF(Beds!$B$6:$B$35,D289)=0),"Not on Beds",IF(AND(ISNUMBER(G289),G289&lt;B289),"Cleared before it was planted",""))))))</f>
        <v/>
      </c>
      <c r="M289" s="11">
        <f>IF(OR(L289&lt;&gt;"",D289="",O289=""),"",IF(COUNTIFS(Plantings!$D$6:$D$505,D289,Plantings!$O$6:$O$505,O289,Plantings!$N$6:$N$505,N289-1)&gt;0,"Same family here last year",""))</f>
        <v/>
      </c>
      <c r="N289" s="1">
        <f>IF(ISNUMBER(B289),YEAR(B289),"")</f>
        <v/>
      </c>
      <c r="O289">
        <f>IF(C289="","",IFERROR(INDEX(Crops!$C$6:$C$65,MATCH(C289,Crops!$B$6:$B$65,0))&amp;"",""))</f>
        <v/>
      </c>
      <c r="P289">
        <f>IF(ISNUMBER(B289),INT(B289),0)</f>
        <v/>
      </c>
      <c r="Q289">
        <f>IF(AND(L289="",OR(J289="Growing",J289="Picking")),1,0)</f>
        <v/>
      </c>
      <c r="R289">
        <f>IF(AND(Q289=1,D289&lt;&gt;""),P289*1000+ROW(),0)</f>
        <v/>
      </c>
      <c r="S289">
        <f>IF(AND(AND(C289&lt;&gt;"",ISNUMBER(B289)),L289=""),1,0)</f>
        <v/>
      </c>
    </row>
    <row r="290">
      <c r="A290" s="1" t="n"/>
      <c r="B290" s="17" t="n"/>
      <c r="C290" s="18" t="n"/>
      <c r="D290" s="19" t="n"/>
      <c r="E290" s="19" t="n"/>
      <c r="F290" s="20" t="n"/>
      <c r="G290" s="17" t="n"/>
      <c r="H290" s="21" t="n"/>
      <c r="I290" s="22">
        <f>IF(NOT(AND(C290&lt;&gt;"",ISNUMBER(B290))),"",IF(N(IFERROR(INDEX(Crops!$F$6:$F$65,MATCH(C290,Crops!$B$6:$B$65,0)),0))&gt;0,INT(B290)+N(IFERROR(INDEX(Crops!$F$6:$F$65,MATCH(C290,Crops!$B$6:$B$65,0)),0)),""))</f>
        <v/>
      </c>
      <c r="J290" s="16">
        <f>IF(NOT(AND(C290&lt;&gt;"",ISNUMBER(B290))),"",IF(ISNUMBER(G290),"Done",IF(INT(B290)&gt;TODAY(),"Planned",IF(COUNTIFS(Harvest!$C$6:$C$1505,C290,Harvest!$D$6:$D$1505,D290&amp;"",Harvest!$L$6:$L$1505,"&gt;="&amp;INT(B290))&gt;0,"Picking","Growing"))))</f>
        <v/>
      </c>
      <c r="K290" s="14">
        <f>IF(OR(NOT(AND(C290&lt;&gt;"",ISNUMBER(B290))),J290="Planned"),"",IF(ISNUMBER(G290),INT(G290),TODAY())-INT(B290))</f>
        <v/>
      </c>
      <c r="L290" s="11">
        <f>IF(AND(B290="",C290="",D290=""),"",IF(NOT(ISNUMBER(B290)),"Needs a date",IF(C290="","Needs a crop",IF(COUNTIF(Crops!$B$6:$B$65,C290)=0,"Not on Crops",IF(AND(D290&lt;&gt;"",COUNTIF(Beds!$B$6:$B$35,D290)=0),"Not on Beds",IF(AND(ISNUMBER(G290),G290&lt;B290),"Cleared before it was planted",""))))))</f>
        <v/>
      </c>
      <c r="M290" s="11">
        <f>IF(OR(L290&lt;&gt;"",D290="",O290=""),"",IF(COUNTIFS(Plantings!$D$6:$D$505,D290,Plantings!$O$6:$O$505,O290,Plantings!$N$6:$N$505,N290-1)&gt;0,"Same family here last year",""))</f>
        <v/>
      </c>
      <c r="N290" s="1">
        <f>IF(ISNUMBER(B290),YEAR(B290),"")</f>
        <v/>
      </c>
      <c r="O290">
        <f>IF(C290="","",IFERROR(INDEX(Crops!$C$6:$C$65,MATCH(C290,Crops!$B$6:$B$65,0))&amp;"",""))</f>
        <v/>
      </c>
      <c r="P290">
        <f>IF(ISNUMBER(B290),INT(B290),0)</f>
        <v/>
      </c>
      <c r="Q290">
        <f>IF(AND(L290="",OR(J290="Growing",J290="Picking")),1,0)</f>
        <v/>
      </c>
      <c r="R290">
        <f>IF(AND(Q290=1,D290&lt;&gt;""),P290*1000+ROW(),0)</f>
        <v/>
      </c>
      <c r="S290">
        <f>IF(AND(AND(C290&lt;&gt;"",ISNUMBER(B290)),L290=""),1,0)</f>
        <v/>
      </c>
    </row>
    <row r="291">
      <c r="A291" s="1" t="n"/>
      <c r="B291" s="17" t="n"/>
      <c r="C291" s="18" t="n"/>
      <c r="D291" s="19" t="n"/>
      <c r="E291" s="19" t="n"/>
      <c r="F291" s="20" t="n"/>
      <c r="G291" s="17" t="n"/>
      <c r="H291" s="21" t="n"/>
      <c r="I291" s="22">
        <f>IF(NOT(AND(C291&lt;&gt;"",ISNUMBER(B291))),"",IF(N(IFERROR(INDEX(Crops!$F$6:$F$65,MATCH(C291,Crops!$B$6:$B$65,0)),0))&gt;0,INT(B291)+N(IFERROR(INDEX(Crops!$F$6:$F$65,MATCH(C291,Crops!$B$6:$B$65,0)),0)),""))</f>
        <v/>
      </c>
      <c r="J291" s="16">
        <f>IF(NOT(AND(C291&lt;&gt;"",ISNUMBER(B291))),"",IF(ISNUMBER(G291),"Done",IF(INT(B291)&gt;TODAY(),"Planned",IF(COUNTIFS(Harvest!$C$6:$C$1505,C291,Harvest!$D$6:$D$1505,D291&amp;"",Harvest!$L$6:$L$1505,"&gt;="&amp;INT(B291))&gt;0,"Picking","Growing"))))</f>
        <v/>
      </c>
      <c r="K291" s="14">
        <f>IF(OR(NOT(AND(C291&lt;&gt;"",ISNUMBER(B291))),J291="Planned"),"",IF(ISNUMBER(G291),INT(G291),TODAY())-INT(B291))</f>
        <v/>
      </c>
      <c r="L291" s="11">
        <f>IF(AND(B291="",C291="",D291=""),"",IF(NOT(ISNUMBER(B291)),"Needs a date",IF(C291="","Needs a crop",IF(COUNTIF(Crops!$B$6:$B$65,C291)=0,"Not on Crops",IF(AND(D291&lt;&gt;"",COUNTIF(Beds!$B$6:$B$35,D291)=0),"Not on Beds",IF(AND(ISNUMBER(G291),G291&lt;B291),"Cleared before it was planted",""))))))</f>
        <v/>
      </c>
      <c r="M291" s="11">
        <f>IF(OR(L291&lt;&gt;"",D291="",O291=""),"",IF(COUNTIFS(Plantings!$D$6:$D$505,D291,Plantings!$O$6:$O$505,O291,Plantings!$N$6:$N$505,N291-1)&gt;0,"Same family here last year",""))</f>
        <v/>
      </c>
      <c r="N291" s="1">
        <f>IF(ISNUMBER(B291),YEAR(B291),"")</f>
        <v/>
      </c>
      <c r="O291">
        <f>IF(C291="","",IFERROR(INDEX(Crops!$C$6:$C$65,MATCH(C291,Crops!$B$6:$B$65,0))&amp;"",""))</f>
        <v/>
      </c>
      <c r="P291">
        <f>IF(ISNUMBER(B291),INT(B291),0)</f>
        <v/>
      </c>
      <c r="Q291">
        <f>IF(AND(L291="",OR(J291="Growing",J291="Picking")),1,0)</f>
        <v/>
      </c>
      <c r="R291">
        <f>IF(AND(Q291=1,D291&lt;&gt;""),P291*1000+ROW(),0)</f>
        <v/>
      </c>
      <c r="S291">
        <f>IF(AND(AND(C291&lt;&gt;"",ISNUMBER(B291)),L291=""),1,0)</f>
        <v/>
      </c>
    </row>
    <row r="292">
      <c r="A292" s="1" t="n"/>
      <c r="B292" s="17" t="n"/>
      <c r="C292" s="18" t="n"/>
      <c r="D292" s="19" t="n"/>
      <c r="E292" s="19" t="n"/>
      <c r="F292" s="20" t="n"/>
      <c r="G292" s="17" t="n"/>
      <c r="H292" s="21" t="n"/>
      <c r="I292" s="22">
        <f>IF(NOT(AND(C292&lt;&gt;"",ISNUMBER(B292))),"",IF(N(IFERROR(INDEX(Crops!$F$6:$F$65,MATCH(C292,Crops!$B$6:$B$65,0)),0))&gt;0,INT(B292)+N(IFERROR(INDEX(Crops!$F$6:$F$65,MATCH(C292,Crops!$B$6:$B$65,0)),0)),""))</f>
        <v/>
      </c>
      <c r="J292" s="16">
        <f>IF(NOT(AND(C292&lt;&gt;"",ISNUMBER(B292))),"",IF(ISNUMBER(G292),"Done",IF(INT(B292)&gt;TODAY(),"Planned",IF(COUNTIFS(Harvest!$C$6:$C$1505,C292,Harvest!$D$6:$D$1505,D292&amp;"",Harvest!$L$6:$L$1505,"&gt;="&amp;INT(B292))&gt;0,"Picking","Growing"))))</f>
        <v/>
      </c>
      <c r="K292" s="14">
        <f>IF(OR(NOT(AND(C292&lt;&gt;"",ISNUMBER(B292))),J292="Planned"),"",IF(ISNUMBER(G292),INT(G292),TODAY())-INT(B292))</f>
        <v/>
      </c>
      <c r="L292" s="11">
        <f>IF(AND(B292="",C292="",D292=""),"",IF(NOT(ISNUMBER(B292)),"Needs a date",IF(C292="","Needs a crop",IF(COUNTIF(Crops!$B$6:$B$65,C292)=0,"Not on Crops",IF(AND(D292&lt;&gt;"",COUNTIF(Beds!$B$6:$B$35,D292)=0),"Not on Beds",IF(AND(ISNUMBER(G292),G292&lt;B292),"Cleared before it was planted",""))))))</f>
        <v/>
      </c>
      <c r="M292" s="11">
        <f>IF(OR(L292&lt;&gt;"",D292="",O292=""),"",IF(COUNTIFS(Plantings!$D$6:$D$505,D292,Plantings!$O$6:$O$505,O292,Plantings!$N$6:$N$505,N292-1)&gt;0,"Same family here last year",""))</f>
        <v/>
      </c>
      <c r="N292" s="1">
        <f>IF(ISNUMBER(B292),YEAR(B292),"")</f>
        <v/>
      </c>
      <c r="O292">
        <f>IF(C292="","",IFERROR(INDEX(Crops!$C$6:$C$65,MATCH(C292,Crops!$B$6:$B$65,0))&amp;"",""))</f>
        <v/>
      </c>
      <c r="P292">
        <f>IF(ISNUMBER(B292),INT(B292),0)</f>
        <v/>
      </c>
      <c r="Q292">
        <f>IF(AND(L292="",OR(J292="Growing",J292="Picking")),1,0)</f>
        <v/>
      </c>
      <c r="R292">
        <f>IF(AND(Q292=1,D292&lt;&gt;""),P292*1000+ROW(),0)</f>
        <v/>
      </c>
      <c r="S292">
        <f>IF(AND(AND(C292&lt;&gt;"",ISNUMBER(B292)),L292=""),1,0)</f>
        <v/>
      </c>
    </row>
    <row r="293">
      <c r="A293" s="1" t="n"/>
      <c r="B293" s="17" t="n"/>
      <c r="C293" s="18" t="n"/>
      <c r="D293" s="19" t="n"/>
      <c r="E293" s="19" t="n"/>
      <c r="F293" s="20" t="n"/>
      <c r="G293" s="17" t="n"/>
      <c r="H293" s="21" t="n"/>
      <c r="I293" s="22">
        <f>IF(NOT(AND(C293&lt;&gt;"",ISNUMBER(B293))),"",IF(N(IFERROR(INDEX(Crops!$F$6:$F$65,MATCH(C293,Crops!$B$6:$B$65,0)),0))&gt;0,INT(B293)+N(IFERROR(INDEX(Crops!$F$6:$F$65,MATCH(C293,Crops!$B$6:$B$65,0)),0)),""))</f>
        <v/>
      </c>
      <c r="J293" s="16">
        <f>IF(NOT(AND(C293&lt;&gt;"",ISNUMBER(B293))),"",IF(ISNUMBER(G293),"Done",IF(INT(B293)&gt;TODAY(),"Planned",IF(COUNTIFS(Harvest!$C$6:$C$1505,C293,Harvest!$D$6:$D$1505,D293&amp;"",Harvest!$L$6:$L$1505,"&gt;="&amp;INT(B293))&gt;0,"Picking","Growing"))))</f>
        <v/>
      </c>
      <c r="K293" s="14">
        <f>IF(OR(NOT(AND(C293&lt;&gt;"",ISNUMBER(B293))),J293="Planned"),"",IF(ISNUMBER(G293),INT(G293),TODAY())-INT(B293))</f>
        <v/>
      </c>
      <c r="L293" s="11">
        <f>IF(AND(B293="",C293="",D293=""),"",IF(NOT(ISNUMBER(B293)),"Needs a date",IF(C293="","Needs a crop",IF(COUNTIF(Crops!$B$6:$B$65,C293)=0,"Not on Crops",IF(AND(D293&lt;&gt;"",COUNTIF(Beds!$B$6:$B$35,D293)=0),"Not on Beds",IF(AND(ISNUMBER(G293),G293&lt;B293),"Cleared before it was planted",""))))))</f>
        <v/>
      </c>
      <c r="M293" s="11">
        <f>IF(OR(L293&lt;&gt;"",D293="",O293=""),"",IF(COUNTIFS(Plantings!$D$6:$D$505,D293,Plantings!$O$6:$O$505,O293,Plantings!$N$6:$N$505,N293-1)&gt;0,"Same family here last year",""))</f>
        <v/>
      </c>
      <c r="N293" s="1">
        <f>IF(ISNUMBER(B293),YEAR(B293),"")</f>
        <v/>
      </c>
      <c r="O293">
        <f>IF(C293="","",IFERROR(INDEX(Crops!$C$6:$C$65,MATCH(C293,Crops!$B$6:$B$65,0))&amp;"",""))</f>
        <v/>
      </c>
      <c r="P293">
        <f>IF(ISNUMBER(B293),INT(B293),0)</f>
        <v/>
      </c>
      <c r="Q293">
        <f>IF(AND(L293="",OR(J293="Growing",J293="Picking")),1,0)</f>
        <v/>
      </c>
      <c r="R293">
        <f>IF(AND(Q293=1,D293&lt;&gt;""),P293*1000+ROW(),0)</f>
        <v/>
      </c>
      <c r="S293">
        <f>IF(AND(AND(C293&lt;&gt;"",ISNUMBER(B293)),L293=""),1,0)</f>
        <v/>
      </c>
    </row>
    <row r="294">
      <c r="A294" s="1" t="n"/>
      <c r="B294" s="17" t="n"/>
      <c r="C294" s="18" t="n"/>
      <c r="D294" s="19" t="n"/>
      <c r="E294" s="19" t="n"/>
      <c r="F294" s="20" t="n"/>
      <c r="G294" s="17" t="n"/>
      <c r="H294" s="21" t="n"/>
      <c r="I294" s="22">
        <f>IF(NOT(AND(C294&lt;&gt;"",ISNUMBER(B294))),"",IF(N(IFERROR(INDEX(Crops!$F$6:$F$65,MATCH(C294,Crops!$B$6:$B$65,0)),0))&gt;0,INT(B294)+N(IFERROR(INDEX(Crops!$F$6:$F$65,MATCH(C294,Crops!$B$6:$B$65,0)),0)),""))</f>
        <v/>
      </c>
      <c r="J294" s="16">
        <f>IF(NOT(AND(C294&lt;&gt;"",ISNUMBER(B294))),"",IF(ISNUMBER(G294),"Done",IF(INT(B294)&gt;TODAY(),"Planned",IF(COUNTIFS(Harvest!$C$6:$C$1505,C294,Harvest!$D$6:$D$1505,D294&amp;"",Harvest!$L$6:$L$1505,"&gt;="&amp;INT(B294))&gt;0,"Picking","Growing"))))</f>
        <v/>
      </c>
      <c r="K294" s="14">
        <f>IF(OR(NOT(AND(C294&lt;&gt;"",ISNUMBER(B294))),J294="Planned"),"",IF(ISNUMBER(G294),INT(G294),TODAY())-INT(B294))</f>
        <v/>
      </c>
      <c r="L294" s="11">
        <f>IF(AND(B294="",C294="",D294=""),"",IF(NOT(ISNUMBER(B294)),"Needs a date",IF(C294="","Needs a crop",IF(COUNTIF(Crops!$B$6:$B$65,C294)=0,"Not on Crops",IF(AND(D294&lt;&gt;"",COUNTIF(Beds!$B$6:$B$35,D294)=0),"Not on Beds",IF(AND(ISNUMBER(G294),G294&lt;B294),"Cleared before it was planted",""))))))</f>
        <v/>
      </c>
      <c r="M294" s="11">
        <f>IF(OR(L294&lt;&gt;"",D294="",O294=""),"",IF(COUNTIFS(Plantings!$D$6:$D$505,D294,Plantings!$O$6:$O$505,O294,Plantings!$N$6:$N$505,N294-1)&gt;0,"Same family here last year",""))</f>
        <v/>
      </c>
      <c r="N294" s="1">
        <f>IF(ISNUMBER(B294),YEAR(B294),"")</f>
        <v/>
      </c>
      <c r="O294">
        <f>IF(C294="","",IFERROR(INDEX(Crops!$C$6:$C$65,MATCH(C294,Crops!$B$6:$B$65,0))&amp;"",""))</f>
        <v/>
      </c>
      <c r="P294">
        <f>IF(ISNUMBER(B294),INT(B294),0)</f>
        <v/>
      </c>
      <c r="Q294">
        <f>IF(AND(L294="",OR(J294="Growing",J294="Picking")),1,0)</f>
        <v/>
      </c>
      <c r="R294">
        <f>IF(AND(Q294=1,D294&lt;&gt;""),P294*1000+ROW(),0)</f>
        <v/>
      </c>
      <c r="S294">
        <f>IF(AND(AND(C294&lt;&gt;"",ISNUMBER(B294)),L294=""),1,0)</f>
        <v/>
      </c>
    </row>
    <row r="295">
      <c r="A295" s="1" t="n"/>
      <c r="B295" s="17" t="n"/>
      <c r="C295" s="18" t="n"/>
      <c r="D295" s="19" t="n"/>
      <c r="E295" s="19" t="n"/>
      <c r="F295" s="20" t="n"/>
      <c r="G295" s="17" t="n"/>
      <c r="H295" s="21" t="n"/>
      <c r="I295" s="22">
        <f>IF(NOT(AND(C295&lt;&gt;"",ISNUMBER(B295))),"",IF(N(IFERROR(INDEX(Crops!$F$6:$F$65,MATCH(C295,Crops!$B$6:$B$65,0)),0))&gt;0,INT(B295)+N(IFERROR(INDEX(Crops!$F$6:$F$65,MATCH(C295,Crops!$B$6:$B$65,0)),0)),""))</f>
        <v/>
      </c>
      <c r="J295" s="16">
        <f>IF(NOT(AND(C295&lt;&gt;"",ISNUMBER(B295))),"",IF(ISNUMBER(G295),"Done",IF(INT(B295)&gt;TODAY(),"Planned",IF(COUNTIFS(Harvest!$C$6:$C$1505,C295,Harvest!$D$6:$D$1505,D295&amp;"",Harvest!$L$6:$L$1505,"&gt;="&amp;INT(B295))&gt;0,"Picking","Growing"))))</f>
        <v/>
      </c>
      <c r="K295" s="14">
        <f>IF(OR(NOT(AND(C295&lt;&gt;"",ISNUMBER(B295))),J295="Planned"),"",IF(ISNUMBER(G295),INT(G295),TODAY())-INT(B295))</f>
        <v/>
      </c>
      <c r="L295" s="11">
        <f>IF(AND(B295="",C295="",D295=""),"",IF(NOT(ISNUMBER(B295)),"Needs a date",IF(C295="","Needs a crop",IF(COUNTIF(Crops!$B$6:$B$65,C295)=0,"Not on Crops",IF(AND(D295&lt;&gt;"",COUNTIF(Beds!$B$6:$B$35,D295)=0),"Not on Beds",IF(AND(ISNUMBER(G295),G295&lt;B295),"Cleared before it was planted",""))))))</f>
        <v/>
      </c>
      <c r="M295" s="11">
        <f>IF(OR(L295&lt;&gt;"",D295="",O295=""),"",IF(COUNTIFS(Plantings!$D$6:$D$505,D295,Plantings!$O$6:$O$505,O295,Plantings!$N$6:$N$505,N295-1)&gt;0,"Same family here last year",""))</f>
        <v/>
      </c>
      <c r="N295" s="1">
        <f>IF(ISNUMBER(B295),YEAR(B295),"")</f>
        <v/>
      </c>
      <c r="O295">
        <f>IF(C295="","",IFERROR(INDEX(Crops!$C$6:$C$65,MATCH(C295,Crops!$B$6:$B$65,0))&amp;"",""))</f>
        <v/>
      </c>
      <c r="P295">
        <f>IF(ISNUMBER(B295),INT(B295),0)</f>
        <v/>
      </c>
      <c r="Q295">
        <f>IF(AND(L295="",OR(J295="Growing",J295="Picking")),1,0)</f>
        <v/>
      </c>
      <c r="R295">
        <f>IF(AND(Q295=1,D295&lt;&gt;""),P295*1000+ROW(),0)</f>
        <v/>
      </c>
      <c r="S295">
        <f>IF(AND(AND(C295&lt;&gt;"",ISNUMBER(B295)),L295=""),1,0)</f>
        <v/>
      </c>
    </row>
    <row r="296">
      <c r="A296" s="1" t="n"/>
      <c r="B296" s="17" t="n"/>
      <c r="C296" s="18" t="n"/>
      <c r="D296" s="19" t="n"/>
      <c r="E296" s="19" t="n"/>
      <c r="F296" s="20" t="n"/>
      <c r="G296" s="17" t="n"/>
      <c r="H296" s="21" t="n"/>
      <c r="I296" s="22">
        <f>IF(NOT(AND(C296&lt;&gt;"",ISNUMBER(B296))),"",IF(N(IFERROR(INDEX(Crops!$F$6:$F$65,MATCH(C296,Crops!$B$6:$B$65,0)),0))&gt;0,INT(B296)+N(IFERROR(INDEX(Crops!$F$6:$F$65,MATCH(C296,Crops!$B$6:$B$65,0)),0)),""))</f>
        <v/>
      </c>
      <c r="J296" s="16">
        <f>IF(NOT(AND(C296&lt;&gt;"",ISNUMBER(B296))),"",IF(ISNUMBER(G296),"Done",IF(INT(B296)&gt;TODAY(),"Planned",IF(COUNTIFS(Harvest!$C$6:$C$1505,C296,Harvest!$D$6:$D$1505,D296&amp;"",Harvest!$L$6:$L$1505,"&gt;="&amp;INT(B296))&gt;0,"Picking","Growing"))))</f>
        <v/>
      </c>
      <c r="K296" s="14">
        <f>IF(OR(NOT(AND(C296&lt;&gt;"",ISNUMBER(B296))),J296="Planned"),"",IF(ISNUMBER(G296),INT(G296),TODAY())-INT(B296))</f>
        <v/>
      </c>
      <c r="L296" s="11">
        <f>IF(AND(B296="",C296="",D296=""),"",IF(NOT(ISNUMBER(B296)),"Needs a date",IF(C296="","Needs a crop",IF(COUNTIF(Crops!$B$6:$B$65,C296)=0,"Not on Crops",IF(AND(D296&lt;&gt;"",COUNTIF(Beds!$B$6:$B$35,D296)=0),"Not on Beds",IF(AND(ISNUMBER(G296),G296&lt;B296),"Cleared before it was planted",""))))))</f>
        <v/>
      </c>
      <c r="M296" s="11">
        <f>IF(OR(L296&lt;&gt;"",D296="",O296=""),"",IF(COUNTIFS(Plantings!$D$6:$D$505,D296,Plantings!$O$6:$O$505,O296,Plantings!$N$6:$N$505,N296-1)&gt;0,"Same family here last year",""))</f>
        <v/>
      </c>
      <c r="N296" s="1">
        <f>IF(ISNUMBER(B296),YEAR(B296),"")</f>
        <v/>
      </c>
      <c r="O296">
        <f>IF(C296="","",IFERROR(INDEX(Crops!$C$6:$C$65,MATCH(C296,Crops!$B$6:$B$65,0))&amp;"",""))</f>
        <v/>
      </c>
      <c r="P296">
        <f>IF(ISNUMBER(B296),INT(B296),0)</f>
        <v/>
      </c>
      <c r="Q296">
        <f>IF(AND(L296="",OR(J296="Growing",J296="Picking")),1,0)</f>
        <v/>
      </c>
      <c r="R296">
        <f>IF(AND(Q296=1,D296&lt;&gt;""),P296*1000+ROW(),0)</f>
        <v/>
      </c>
      <c r="S296">
        <f>IF(AND(AND(C296&lt;&gt;"",ISNUMBER(B296)),L296=""),1,0)</f>
        <v/>
      </c>
    </row>
    <row r="297">
      <c r="A297" s="1" t="n"/>
      <c r="B297" s="17" t="n"/>
      <c r="C297" s="18" t="n"/>
      <c r="D297" s="19" t="n"/>
      <c r="E297" s="19" t="n"/>
      <c r="F297" s="20" t="n"/>
      <c r="G297" s="17" t="n"/>
      <c r="H297" s="21" t="n"/>
      <c r="I297" s="22">
        <f>IF(NOT(AND(C297&lt;&gt;"",ISNUMBER(B297))),"",IF(N(IFERROR(INDEX(Crops!$F$6:$F$65,MATCH(C297,Crops!$B$6:$B$65,0)),0))&gt;0,INT(B297)+N(IFERROR(INDEX(Crops!$F$6:$F$65,MATCH(C297,Crops!$B$6:$B$65,0)),0)),""))</f>
        <v/>
      </c>
      <c r="J297" s="16">
        <f>IF(NOT(AND(C297&lt;&gt;"",ISNUMBER(B297))),"",IF(ISNUMBER(G297),"Done",IF(INT(B297)&gt;TODAY(),"Planned",IF(COUNTIFS(Harvest!$C$6:$C$1505,C297,Harvest!$D$6:$D$1505,D297&amp;"",Harvest!$L$6:$L$1505,"&gt;="&amp;INT(B297))&gt;0,"Picking","Growing"))))</f>
        <v/>
      </c>
      <c r="K297" s="14">
        <f>IF(OR(NOT(AND(C297&lt;&gt;"",ISNUMBER(B297))),J297="Planned"),"",IF(ISNUMBER(G297),INT(G297),TODAY())-INT(B297))</f>
        <v/>
      </c>
      <c r="L297" s="11">
        <f>IF(AND(B297="",C297="",D297=""),"",IF(NOT(ISNUMBER(B297)),"Needs a date",IF(C297="","Needs a crop",IF(COUNTIF(Crops!$B$6:$B$65,C297)=0,"Not on Crops",IF(AND(D297&lt;&gt;"",COUNTIF(Beds!$B$6:$B$35,D297)=0),"Not on Beds",IF(AND(ISNUMBER(G297),G297&lt;B297),"Cleared before it was planted",""))))))</f>
        <v/>
      </c>
      <c r="M297" s="11">
        <f>IF(OR(L297&lt;&gt;"",D297="",O297=""),"",IF(COUNTIFS(Plantings!$D$6:$D$505,D297,Plantings!$O$6:$O$505,O297,Plantings!$N$6:$N$505,N297-1)&gt;0,"Same family here last year",""))</f>
        <v/>
      </c>
      <c r="N297" s="1">
        <f>IF(ISNUMBER(B297),YEAR(B297),"")</f>
        <v/>
      </c>
      <c r="O297">
        <f>IF(C297="","",IFERROR(INDEX(Crops!$C$6:$C$65,MATCH(C297,Crops!$B$6:$B$65,0))&amp;"",""))</f>
        <v/>
      </c>
      <c r="P297">
        <f>IF(ISNUMBER(B297),INT(B297),0)</f>
        <v/>
      </c>
      <c r="Q297">
        <f>IF(AND(L297="",OR(J297="Growing",J297="Picking")),1,0)</f>
        <v/>
      </c>
      <c r="R297">
        <f>IF(AND(Q297=1,D297&lt;&gt;""),P297*1000+ROW(),0)</f>
        <v/>
      </c>
      <c r="S297">
        <f>IF(AND(AND(C297&lt;&gt;"",ISNUMBER(B297)),L297=""),1,0)</f>
        <v/>
      </c>
    </row>
    <row r="298">
      <c r="A298" s="1" t="n"/>
      <c r="B298" s="17" t="n"/>
      <c r="C298" s="18" t="n"/>
      <c r="D298" s="19" t="n"/>
      <c r="E298" s="19" t="n"/>
      <c r="F298" s="20" t="n"/>
      <c r="G298" s="17" t="n"/>
      <c r="H298" s="21" t="n"/>
      <c r="I298" s="22">
        <f>IF(NOT(AND(C298&lt;&gt;"",ISNUMBER(B298))),"",IF(N(IFERROR(INDEX(Crops!$F$6:$F$65,MATCH(C298,Crops!$B$6:$B$65,0)),0))&gt;0,INT(B298)+N(IFERROR(INDEX(Crops!$F$6:$F$65,MATCH(C298,Crops!$B$6:$B$65,0)),0)),""))</f>
        <v/>
      </c>
      <c r="J298" s="16">
        <f>IF(NOT(AND(C298&lt;&gt;"",ISNUMBER(B298))),"",IF(ISNUMBER(G298),"Done",IF(INT(B298)&gt;TODAY(),"Planned",IF(COUNTIFS(Harvest!$C$6:$C$1505,C298,Harvest!$D$6:$D$1505,D298&amp;"",Harvest!$L$6:$L$1505,"&gt;="&amp;INT(B298))&gt;0,"Picking","Growing"))))</f>
        <v/>
      </c>
      <c r="K298" s="14">
        <f>IF(OR(NOT(AND(C298&lt;&gt;"",ISNUMBER(B298))),J298="Planned"),"",IF(ISNUMBER(G298),INT(G298),TODAY())-INT(B298))</f>
        <v/>
      </c>
      <c r="L298" s="11">
        <f>IF(AND(B298="",C298="",D298=""),"",IF(NOT(ISNUMBER(B298)),"Needs a date",IF(C298="","Needs a crop",IF(COUNTIF(Crops!$B$6:$B$65,C298)=0,"Not on Crops",IF(AND(D298&lt;&gt;"",COUNTIF(Beds!$B$6:$B$35,D298)=0),"Not on Beds",IF(AND(ISNUMBER(G298),G298&lt;B298),"Cleared before it was planted",""))))))</f>
        <v/>
      </c>
      <c r="M298" s="11">
        <f>IF(OR(L298&lt;&gt;"",D298="",O298=""),"",IF(COUNTIFS(Plantings!$D$6:$D$505,D298,Plantings!$O$6:$O$505,O298,Plantings!$N$6:$N$505,N298-1)&gt;0,"Same family here last year",""))</f>
        <v/>
      </c>
      <c r="N298" s="1">
        <f>IF(ISNUMBER(B298),YEAR(B298),"")</f>
        <v/>
      </c>
      <c r="O298">
        <f>IF(C298="","",IFERROR(INDEX(Crops!$C$6:$C$65,MATCH(C298,Crops!$B$6:$B$65,0))&amp;"",""))</f>
        <v/>
      </c>
      <c r="P298">
        <f>IF(ISNUMBER(B298),INT(B298),0)</f>
        <v/>
      </c>
      <c r="Q298">
        <f>IF(AND(L298="",OR(J298="Growing",J298="Picking")),1,0)</f>
        <v/>
      </c>
      <c r="R298">
        <f>IF(AND(Q298=1,D298&lt;&gt;""),P298*1000+ROW(),0)</f>
        <v/>
      </c>
      <c r="S298">
        <f>IF(AND(AND(C298&lt;&gt;"",ISNUMBER(B298)),L298=""),1,0)</f>
        <v/>
      </c>
    </row>
    <row r="299">
      <c r="A299" s="1" t="n"/>
      <c r="B299" s="17" t="n"/>
      <c r="C299" s="18" t="n"/>
      <c r="D299" s="19" t="n"/>
      <c r="E299" s="19" t="n"/>
      <c r="F299" s="20" t="n"/>
      <c r="G299" s="17" t="n"/>
      <c r="H299" s="21" t="n"/>
      <c r="I299" s="22">
        <f>IF(NOT(AND(C299&lt;&gt;"",ISNUMBER(B299))),"",IF(N(IFERROR(INDEX(Crops!$F$6:$F$65,MATCH(C299,Crops!$B$6:$B$65,0)),0))&gt;0,INT(B299)+N(IFERROR(INDEX(Crops!$F$6:$F$65,MATCH(C299,Crops!$B$6:$B$65,0)),0)),""))</f>
        <v/>
      </c>
      <c r="J299" s="16">
        <f>IF(NOT(AND(C299&lt;&gt;"",ISNUMBER(B299))),"",IF(ISNUMBER(G299),"Done",IF(INT(B299)&gt;TODAY(),"Planned",IF(COUNTIFS(Harvest!$C$6:$C$1505,C299,Harvest!$D$6:$D$1505,D299&amp;"",Harvest!$L$6:$L$1505,"&gt;="&amp;INT(B299))&gt;0,"Picking","Growing"))))</f>
        <v/>
      </c>
      <c r="K299" s="14">
        <f>IF(OR(NOT(AND(C299&lt;&gt;"",ISNUMBER(B299))),J299="Planned"),"",IF(ISNUMBER(G299),INT(G299),TODAY())-INT(B299))</f>
        <v/>
      </c>
      <c r="L299" s="11">
        <f>IF(AND(B299="",C299="",D299=""),"",IF(NOT(ISNUMBER(B299)),"Needs a date",IF(C299="","Needs a crop",IF(COUNTIF(Crops!$B$6:$B$65,C299)=0,"Not on Crops",IF(AND(D299&lt;&gt;"",COUNTIF(Beds!$B$6:$B$35,D299)=0),"Not on Beds",IF(AND(ISNUMBER(G299),G299&lt;B299),"Cleared before it was planted",""))))))</f>
        <v/>
      </c>
      <c r="M299" s="11">
        <f>IF(OR(L299&lt;&gt;"",D299="",O299=""),"",IF(COUNTIFS(Plantings!$D$6:$D$505,D299,Plantings!$O$6:$O$505,O299,Plantings!$N$6:$N$505,N299-1)&gt;0,"Same family here last year",""))</f>
        <v/>
      </c>
      <c r="N299" s="1">
        <f>IF(ISNUMBER(B299),YEAR(B299),"")</f>
        <v/>
      </c>
      <c r="O299">
        <f>IF(C299="","",IFERROR(INDEX(Crops!$C$6:$C$65,MATCH(C299,Crops!$B$6:$B$65,0))&amp;"",""))</f>
        <v/>
      </c>
      <c r="P299">
        <f>IF(ISNUMBER(B299),INT(B299),0)</f>
        <v/>
      </c>
      <c r="Q299">
        <f>IF(AND(L299="",OR(J299="Growing",J299="Picking")),1,0)</f>
        <v/>
      </c>
      <c r="R299">
        <f>IF(AND(Q299=1,D299&lt;&gt;""),P299*1000+ROW(),0)</f>
        <v/>
      </c>
      <c r="S299">
        <f>IF(AND(AND(C299&lt;&gt;"",ISNUMBER(B299)),L299=""),1,0)</f>
        <v/>
      </c>
    </row>
    <row r="300">
      <c r="A300" s="1" t="n"/>
      <c r="B300" s="17" t="n"/>
      <c r="C300" s="18" t="n"/>
      <c r="D300" s="19" t="n"/>
      <c r="E300" s="19" t="n"/>
      <c r="F300" s="20" t="n"/>
      <c r="G300" s="17" t="n"/>
      <c r="H300" s="21" t="n"/>
      <c r="I300" s="22">
        <f>IF(NOT(AND(C300&lt;&gt;"",ISNUMBER(B300))),"",IF(N(IFERROR(INDEX(Crops!$F$6:$F$65,MATCH(C300,Crops!$B$6:$B$65,0)),0))&gt;0,INT(B300)+N(IFERROR(INDEX(Crops!$F$6:$F$65,MATCH(C300,Crops!$B$6:$B$65,0)),0)),""))</f>
        <v/>
      </c>
      <c r="J300" s="16">
        <f>IF(NOT(AND(C300&lt;&gt;"",ISNUMBER(B300))),"",IF(ISNUMBER(G300),"Done",IF(INT(B300)&gt;TODAY(),"Planned",IF(COUNTIFS(Harvest!$C$6:$C$1505,C300,Harvest!$D$6:$D$1505,D300&amp;"",Harvest!$L$6:$L$1505,"&gt;="&amp;INT(B300))&gt;0,"Picking","Growing"))))</f>
        <v/>
      </c>
      <c r="K300" s="14">
        <f>IF(OR(NOT(AND(C300&lt;&gt;"",ISNUMBER(B300))),J300="Planned"),"",IF(ISNUMBER(G300),INT(G300),TODAY())-INT(B300))</f>
        <v/>
      </c>
      <c r="L300" s="11">
        <f>IF(AND(B300="",C300="",D300=""),"",IF(NOT(ISNUMBER(B300)),"Needs a date",IF(C300="","Needs a crop",IF(COUNTIF(Crops!$B$6:$B$65,C300)=0,"Not on Crops",IF(AND(D300&lt;&gt;"",COUNTIF(Beds!$B$6:$B$35,D300)=0),"Not on Beds",IF(AND(ISNUMBER(G300),G300&lt;B300),"Cleared before it was planted",""))))))</f>
        <v/>
      </c>
      <c r="M300" s="11">
        <f>IF(OR(L300&lt;&gt;"",D300="",O300=""),"",IF(COUNTIFS(Plantings!$D$6:$D$505,D300,Plantings!$O$6:$O$505,O300,Plantings!$N$6:$N$505,N300-1)&gt;0,"Same family here last year",""))</f>
        <v/>
      </c>
      <c r="N300" s="1">
        <f>IF(ISNUMBER(B300),YEAR(B300),"")</f>
        <v/>
      </c>
      <c r="O300">
        <f>IF(C300="","",IFERROR(INDEX(Crops!$C$6:$C$65,MATCH(C300,Crops!$B$6:$B$65,0))&amp;"",""))</f>
        <v/>
      </c>
      <c r="P300">
        <f>IF(ISNUMBER(B300),INT(B300),0)</f>
        <v/>
      </c>
      <c r="Q300">
        <f>IF(AND(L300="",OR(J300="Growing",J300="Picking")),1,0)</f>
        <v/>
      </c>
      <c r="R300">
        <f>IF(AND(Q300=1,D300&lt;&gt;""),P300*1000+ROW(),0)</f>
        <v/>
      </c>
      <c r="S300">
        <f>IF(AND(AND(C300&lt;&gt;"",ISNUMBER(B300)),L300=""),1,0)</f>
        <v/>
      </c>
    </row>
    <row r="301">
      <c r="A301" s="1" t="n"/>
      <c r="B301" s="17" t="n"/>
      <c r="C301" s="18" t="n"/>
      <c r="D301" s="19" t="n"/>
      <c r="E301" s="19" t="n"/>
      <c r="F301" s="20" t="n"/>
      <c r="G301" s="17" t="n"/>
      <c r="H301" s="21" t="n"/>
      <c r="I301" s="22">
        <f>IF(NOT(AND(C301&lt;&gt;"",ISNUMBER(B301))),"",IF(N(IFERROR(INDEX(Crops!$F$6:$F$65,MATCH(C301,Crops!$B$6:$B$65,0)),0))&gt;0,INT(B301)+N(IFERROR(INDEX(Crops!$F$6:$F$65,MATCH(C301,Crops!$B$6:$B$65,0)),0)),""))</f>
        <v/>
      </c>
      <c r="J301" s="16">
        <f>IF(NOT(AND(C301&lt;&gt;"",ISNUMBER(B301))),"",IF(ISNUMBER(G301),"Done",IF(INT(B301)&gt;TODAY(),"Planned",IF(COUNTIFS(Harvest!$C$6:$C$1505,C301,Harvest!$D$6:$D$1505,D301&amp;"",Harvest!$L$6:$L$1505,"&gt;="&amp;INT(B301))&gt;0,"Picking","Growing"))))</f>
        <v/>
      </c>
      <c r="K301" s="14">
        <f>IF(OR(NOT(AND(C301&lt;&gt;"",ISNUMBER(B301))),J301="Planned"),"",IF(ISNUMBER(G301),INT(G301),TODAY())-INT(B301))</f>
        <v/>
      </c>
      <c r="L301" s="11">
        <f>IF(AND(B301="",C301="",D301=""),"",IF(NOT(ISNUMBER(B301)),"Needs a date",IF(C301="","Needs a crop",IF(COUNTIF(Crops!$B$6:$B$65,C301)=0,"Not on Crops",IF(AND(D301&lt;&gt;"",COUNTIF(Beds!$B$6:$B$35,D301)=0),"Not on Beds",IF(AND(ISNUMBER(G301),G301&lt;B301),"Cleared before it was planted",""))))))</f>
        <v/>
      </c>
      <c r="M301" s="11">
        <f>IF(OR(L301&lt;&gt;"",D301="",O301=""),"",IF(COUNTIFS(Plantings!$D$6:$D$505,D301,Plantings!$O$6:$O$505,O301,Plantings!$N$6:$N$505,N301-1)&gt;0,"Same family here last year",""))</f>
        <v/>
      </c>
      <c r="N301" s="1">
        <f>IF(ISNUMBER(B301),YEAR(B301),"")</f>
        <v/>
      </c>
      <c r="O301">
        <f>IF(C301="","",IFERROR(INDEX(Crops!$C$6:$C$65,MATCH(C301,Crops!$B$6:$B$65,0))&amp;"",""))</f>
        <v/>
      </c>
      <c r="P301">
        <f>IF(ISNUMBER(B301),INT(B301),0)</f>
        <v/>
      </c>
      <c r="Q301">
        <f>IF(AND(L301="",OR(J301="Growing",J301="Picking")),1,0)</f>
        <v/>
      </c>
      <c r="R301">
        <f>IF(AND(Q301=1,D301&lt;&gt;""),P301*1000+ROW(),0)</f>
        <v/>
      </c>
      <c r="S301">
        <f>IF(AND(AND(C301&lt;&gt;"",ISNUMBER(B301)),L301=""),1,0)</f>
        <v/>
      </c>
    </row>
    <row r="302">
      <c r="A302" s="1" t="n"/>
      <c r="B302" s="17" t="n"/>
      <c r="C302" s="18" t="n"/>
      <c r="D302" s="19" t="n"/>
      <c r="E302" s="19" t="n"/>
      <c r="F302" s="20" t="n"/>
      <c r="G302" s="17" t="n"/>
      <c r="H302" s="21" t="n"/>
      <c r="I302" s="22">
        <f>IF(NOT(AND(C302&lt;&gt;"",ISNUMBER(B302))),"",IF(N(IFERROR(INDEX(Crops!$F$6:$F$65,MATCH(C302,Crops!$B$6:$B$65,0)),0))&gt;0,INT(B302)+N(IFERROR(INDEX(Crops!$F$6:$F$65,MATCH(C302,Crops!$B$6:$B$65,0)),0)),""))</f>
        <v/>
      </c>
      <c r="J302" s="16">
        <f>IF(NOT(AND(C302&lt;&gt;"",ISNUMBER(B302))),"",IF(ISNUMBER(G302),"Done",IF(INT(B302)&gt;TODAY(),"Planned",IF(COUNTIFS(Harvest!$C$6:$C$1505,C302,Harvest!$D$6:$D$1505,D302&amp;"",Harvest!$L$6:$L$1505,"&gt;="&amp;INT(B302))&gt;0,"Picking","Growing"))))</f>
        <v/>
      </c>
      <c r="K302" s="14">
        <f>IF(OR(NOT(AND(C302&lt;&gt;"",ISNUMBER(B302))),J302="Planned"),"",IF(ISNUMBER(G302),INT(G302),TODAY())-INT(B302))</f>
        <v/>
      </c>
      <c r="L302" s="11">
        <f>IF(AND(B302="",C302="",D302=""),"",IF(NOT(ISNUMBER(B302)),"Needs a date",IF(C302="","Needs a crop",IF(COUNTIF(Crops!$B$6:$B$65,C302)=0,"Not on Crops",IF(AND(D302&lt;&gt;"",COUNTIF(Beds!$B$6:$B$35,D302)=0),"Not on Beds",IF(AND(ISNUMBER(G302),G302&lt;B302),"Cleared before it was planted",""))))))</f>
        <v/>
      </c>
      <c r="M302" s="11">
        <f>IF(OR(L302&lt;&gt;"",D302="",O302=""),"",IF(COUNTIFS(Plantings!$D$6:$D$505,D302,Plantings!$O$6:$O$505,O302,Plantings!$N$6:$N$505,N302-1)&gt;0,"Same family here last year",""))</f>
        <v/>
      </c>
      <c r="N302" s="1">
        <f>IF(ISNUMBER(B302),YEAR(B302),"")</f>
        <v/>
      </c>
      <c r="O302">
        <f>IF(C302="","",IFERROR(INDEX(Crops!$C$6:$C$65,MATCH(C302,Crops!$B$6:$B$65,0))&amp;"",""))</f>
        <v/>
      </c>
      <c r="P302">
        <f>IF(ISNUMBER(B302),INT(B302),0)</f>
        <v/>
      </c>
      <c r="Q302">
        <f>IF(AND(L302="",OR(J302="Growing",J302="Picking")),1,0)</f>
        <v/>
      </c>
      <c r="R302">
        <f>IF(AND(Q302=1,D302&lt;&gt;""),P302*1000+ROW(),0)</f>
        <v/>
      </c>
      <c r="S302">
        <f>IF(AND(AND(C302&lt;&gt;"",ISNUMBER(B302)),L302=""),1,0)</f>
        <v/>
      </c>
    </row>
    <row r="303">
      <c r="A303" s="1" t="n"/>
      <c r="B303" s="17" t="n"/>
      <c r="C303" s="18" t="n"/>
      <c r="D303" s="19" t="n"/>
      <c r="E303" s="19" t="n"/>
      <c r="F303" s="20" t="n"/>
      <c r="G303" s="17" t="n"/>
      <c r="H303" s="21" t="n"/>
      <c r="I303" s="22">
        <f>IF(NOT(AND(C303&lt;&gt;"",ISNUMBER(B303))),"",IF(N(IFERROR(INDEX(Crops!$F$6:$F$65,MATCH(C303,Crops!$B$6:$B$65,0)),0))&gt;0,INT(B303)+N(IFERROR(INDEX(Crops!$F$6:$F$65,MATCH(C303,Crops!$B$6:$B$65,0)),0)),""))</f>
        <v/>
      </c>
      <c r="J303" s="16">
        <f>IF(NOT(AND(C303&lt;&gt;"",ISNUMBER(B303))),"",IF(ISNUMBER(G303),"Done",IF(INT(B303)&gt;TODAY(),"Planned",IF(COUNTIFS(Harvest!$C$6:$C$1505,C303,Harvest!$D$6:$D$1505,D303&amp;"",Harvest!$L$6:$L$1505,"&gt;="&amp;INT(B303))&gt;0,"Picking","Growing"))))</f>
        <v/>
      </c>
      <c r="K303" s="14">
        <f>IF(OR(NOT(AND(C303&lt;&gt;"",ISNUMBER(B303))),J303="Planned"),"",IF(ISNUMBER(G303),INT(G303),TODAY())-INT(B303))</f>
        <v/>
      </c>
      <c r="L303" s="11">
        <f>IF(AND(B303="",C303="",D303=""),"",IF(NOT(ISNUMBER(B303)),"Needs a date",IF(C303="","Needs a crop",IF(COUNTIF(Crops!$B$6:$B$65,C303)=0,"Not on Crops",IF(AND(D303&lt;&gt;"",COUNTIF(Beds!$B$6:$B$35,D303)=0),"Not on Beds",IF(AND(ISNUMBER(G303),G303&lt;B303),"Cleared before it was planted",""))))))</f>
        <v/>
      </c>
      <c r="M303" s="11">
        <f>IF(OR(L303&lt;&gt;"",D303="",O303=""),"",IF(COUNTIFS(Plantings!$D$6:$D$505,D303,Plantings!$O$6:$O$505,O303,Plantings!$N$6:$N$505,N303-1)&gt;0,"Same family here last year",""))</f>
        <v/>
      </c>
      <c r="N303" s="1">
        <f>IF(ISNUMBER(B303),YEAR(B303),"")</f>
        <v/>
      </c>
      <c r="O303">
        <f>IF(C303="","",IFERROR(INDEX(Crops!$C$6:$C$65,MATCH(C303,Crops!$B$6:$B$65,0))&amp;"",""))</f>
        <v/>
      </c>
      <c r="P303">
        <f>IF(ISNUMBER(B303),INT(B303),0)</f>
        <v/>
      </c>
      <c r="Q303">
        <f>IF(AND(L303="",OR(J303="Growing",J303="Picking")),1,0)</f>
        <v/>
      </c>
      <c r="R303">
        <f>IF(AND(Q303=1,D303&lt;&gt;""),P303*1000+ROW(),0)</f>
        <v/>
      </c>
      <c r="S303">
        <f>IF(AND(AND(C303&lt;&gt;"",ISNUMBER(B303)),L303=""),1,0)</f>
        <v/>
      </c>
    </row>
    <row r="304">
      <c r="A304" s="1" t="n"/>
      <c r="B304" s="17" t="n"/>
      <c r="C304" s="18" t="n"/>
      <c r="D304" s="19" t="n"/>
      <c r="E304" s="19" t="n"/>
      <c r="F304" s="20" t="n"/>
      <c r="G304" s="17" t="n"/>
      <c r="H304" s="21" t="n"/>
      <c r="I304" s="22">
        <f>IF(NOT(AND(C304&lt;&gt;"",ISNUMBER(B304))),"",IF(N(IFERROR(INDEX(Crops!$F$6:$F$65,MATCH(C304,Crops!$B$6:$B$65,0)),0))&gt;0,INT(B304)+N(IFERROR(INDEX(Crops!$F$6:$F$65,MATCH(C304,Crops!$B$6:$B$65,0)),0)),""))</f>
        <v/>
      </c>
      <c r="J304" s="16">
        <f>IF(NOT(AND(C304&lt;&gt;"",ISNUMBER(B304))),"",IF(ISNUMBER(G304),"Done",IF(INT(B304)&gt;TODAY(),"Planned",IF(COUNTIFS(Harvest!$C$6:$C$1505,C304,Harvest!$D$6:$D$1505,D304&amp;"",Harvest!$L$6:$L$1505,"&gt;="&amp;INT(B304))&gt;0,"Picking","Growing"))))</f>
        <v/>
      </c>
      <c r="K304" s="14">
        <f>IF(OR(NOT(AND(C304&lt;&gt;"",ISNUMBER(B304))),J304="Planned"),"",IF(ISNUMBER(G304),INT(G304),TODAY())-INT(B304))</f>
        <v/>
      </c>
      <c r="L304" s="11">
        <f>IF(AND(B304="",C304="",D304=""),"",IF(NOT(ISNUMBER(B304)),"Needs a date",IF(C304="","Needs a crop",IF(COUNTIF(Crops!$B$6:$B$65,C304)=0,"Not on Crops",IF(AND(D304&lt;&gt;"",COUNTIF(Beds!$B$6:$B$35,D304)=0),"Not on Beds",IF(AND(ISNUMBER(G304),G304&lt;B304),"Cleared before it was planted",""))))))</f>
        <v/>
      </c>
      <c r="M304" s="11">
        <f>IF(OR(L304&lt;&gt;"",D304="",O304=""),"",IF(COUNTIFS(Plantings!$D$6:$D$505,D304,Plantings!$O$6:$O$505,O304,Plantings!$N$6:$N$505,N304-1)&gt;0,"Same family here last year",""))</f>
        <v/>
      </c>
      <c r="N304" s="1">
        <f>IF(ISNUMBER(B304),YEAR(B304),"")</f>
        <v/>
      </c>
      <c r="O304">
        <f>IF(C304="","",IFERROR(INDEX(Crops!$C$6:$C$65,MATCH(C304,Crops!$B$6:$B$65,0))&amp;"",""))</f>
        <v/>
      </c>
      <c r="P304">
        <f>IF(ISNUMBER(B304),INT(B304),0)</f>
        <v/>
      </c>
      <c r="Q304">
        <f>IF(AND(L304="",OR(J304="Growing",J304="Picking")),1,0)</f>
        <v/>
      </c>
      <c r="R304">
        <f>IF(AND(Q304=1,D304&lt;&gt;""),P304*1000+ROW(),0)</f>
        <v/>
      </c>
      <c r="S304">
        <f>IF(AND(AND(C304&lt;&gt;"",ISNUMBER(B304)),L304=""),1,0)</f>
        <v/>
      </c>
    </row>
    <row r="305">
      <c r="A305" s="1" t="n"/>
      <c r="B305" s="17" t="n"/>
      <c r="C305" s="18" t="n"/>
      <c r="D305" s="19" t="n"/>
      <c r="E305" s="19" t="n"/>
      <c r="F305" s="20" t="n"/>
      <c r="G305" s="17" t="n"/>
      <c r="H305" s="21" t="n"/>
      <c r="I305" s="22">
        <f>IF(NOT(AND(C305&lt;&gt;"",ISNUMBER(B305))),"",IF(N(IFERROR(INDEX(Crops!$F$6:$F$65,MATCH(C305,Crops!$B$6:$B$65,0)),0))&gt;0,INT(B305)+N(IFERROR(INDEX(Crops!$F$6:$F$65,MATCH(C305,Crops!$B$6:$B$65,0)),0)),""))</f>
        <v/>
      </c>
      <c r="J305" s="16">
        <f>IF(NOT(AND(C305&lt;&gt;"",ISNUMBER(B305))),"",IF(ISNUMBER(G305),"Done",IF(INT(B305)&gt;TODAY(),"Planned",IF(COUNTIFS(Harvest!$C$6:$C$1505,C305,Harvest!$D$6:$D$1505,D305&amp;"",Harvest!$L$6:$L$1505,"&gt;="&amp;INT(B305))&gt;0,"Picking","Growing"))))</f>
        <v/>
      </c>
      <c r="K305" s="14">
        <f>IF(OR(NOT(AND(C305&lt;&gt;"",ISNUMBER(B305))),J305="Planned"),"",IF(ISNUMBER(G305),INT(G305),TODAY())-INT(B305))</f>
        <v/>
      </c>
      <c r="L305" s="11">
        <f>IF(AND(B305="",C305="",D305=""),"",IF(NOT(ISNUMBER(B305)),"Needs a date",IF(C305="","Needs a crop",IF(COUNTIF(Crops!$B$6:$B$65,C305)=0,"Not on Crops",IF(AND(D305&lt;&gt;"",COUNTIF(Beds!$B$6:$B$35,D305)=0),"Not on Beds",IF(AND(ISNUMBER(G305),G305&lt;B305),"Cleared before it was planted",""))))))</f>
        <v/>
      </c>
      <c r="M305" s="11">
        <f>IF(OR(L305&lt;&gt;"",D305="",O305=""),"",IF(COUNTIFS(Plantings!$D$6:$D$505,D305,Plantings!$O$6:$O$505,O305,Plantings!$N$6:$N$505,N305-1)&gt;0,"Same family here last year",""))</f>
        <v/>
      </c>
      <c r="N305" s="1">
        <f>IF(ISNUMBER(B305),YEAR(B305),"")</f>
        <v/>
      </c>
      <c r="O305">
        <f>IF(C305="","",IFERROR(INDEX(Crops!$C$6:$C$65,MATCH(C305,Crops!$B$6:$B$65,0))&amp;"",""))</f>
        <v/>
      </c>
      <c r="P305">
        <f>IF(ISNUMBER(B305),INT(B305),0)</f>
        <v/>
      </c>
      <c r="Q305">
        <f>IF(AND(L305="",OR(J305="Growing",J305="Picking")),1,0)</f>
        <v/>
      </c>
      <c r="R305">
        <f>IF(AND(Q305=1,D305&lt;&gt;""),P305*1000+ROW(),0)</f>
        <v/>
      </c>
      <c r="S305">
        <f>IF(AND(AND(C305&lt;&gt;"",ISNUMBER(B305)),L305=""),1,0)</f>
        <v/>
      </c>
    </row>
    <row r="306">
      <c r="A306" s="1" t="n"/>
      <c r="B306" s="17" t="n"/>
      <c r="C306" s="18" t="n"/>
      <c r="D306" s="19" t="n"/>
      <c r="E306" s="19" t="n"/>
      <c r="F306" s="20" t="n"/>
      <c r="G306" s="17" t="n"/>
      <c r="H306" s="21" t="n"/>
      <c r="I306" s="22">
        <f>IF(NOT(AND(C306&lt;&gt;"",ISNUMBER(B306))),"",IF(N(IFERROR(INDEX(Crops!$F$6:$F$65,MATCH(C306,Crops!$B$6:$B$65,0)),0))&gt;0,INT(B306)+N(IFERROR(INDEX(Crops!$F$6:$F$65,MATCH(C306,Crops!$B$6:$B$65,0)),0)),""))</f>
        <v/>
      </c>
      <c r="J306" s="16">
        <f>IF(NOT(AND(C306&lt;&gt;"",ISNUMBER(B306))),"",IF(ISNUMBER(G306),"Done",IF(INT(B306)&gt;TODAY(),"Planned",IF(COUNTIFS(Harvest!$C$6:$C$1505,C306,Harvest!$D$6:$D$1505,D306&amp;"",Harvest!$L$6:$L$1505,"&gt;="&amp;INT(B306))&gt;0,"Picking","Growing"))))</f>
        <v/>
      </c>
      <c r="K306" s="14">
        <f>IF(OR(NOT(AND(C306&lt;&gt;"",ISNUMBER(B306))),J306="Planned"),"",IF(ISNUMBER(G306),INT(G306),TODAY())-INT(B306))</f>
        <v/>
      </c>
      <c r="L306" s="11">
        <f>IF(AND(B306="",C306="",D306=""),"",IF(NOT(ISNUMBER(B306)),"Needs a date",IF(C306="","Needs a crop",IF(COUNTIF(Crops!$B$6:$B$65,C306)=0,"Not on Crops",IF(AND(D306&lt;&gt;"",COUNTIF(Beds!$B$6:$B$35,D306)=0),"Not on Beds",IF(AND(ISNUMBER(G306),G306&lt;B306),"Cleared before it was planted",""))))))</f>
        <v/>
      </c>
      <c r="M306" s="11">
        <f>IF(OR(L306&lt;&gt;"",D306="",O306=""),"",IF(COUNTIFS(Plantings!$D$6:$D$505,D306,Plantings!$O$6:$O$505,O306,Plantings!$N$6:$N$505,N306-1)&gt;0,"Same family here last year",""))</f>
        <v/>
      </c>
      <c r="N306" s="1">
        <f>IF(ISNUMBER(B306),YEAR(B306),"")</f>
        <v/>
      </c>
      <c r="O306">
        <f>IF(C306="","",IFERROR(INDEX(Crops!$C$6:$C$65,MATCH(C306,Crops!$B$6:$B$65,0))&amp;"",""))</f>
        <v/>
      </c>
      <c r="P306">
        <f>IF(ISNUMBER(B306),INT(B306),0)</f>
        <v/>
      </c>
      <c r="Q306">
        <f>IF(AND(L306="",OR(J306="Growing",J306="Picking")),1,0)</f>
        <v/>
      </c>
      <c r="R306">
        <f>IF(AND(Q306=1,D306&lt;&gt;""),P306*1000+ROW(),0)</f>
        <v/>
      </c>
      <c r="S306">
        <f>IF(AND(AND(C306&lt;&gt;"",ISNUMBER(B306)),L306=""),1,0)</f>
        <v/>
      </c>
    </row>
    <row r="307">
      <c r="A307" s="1" t="n"/>
      <c r="B307" s="17" t="n"/>
      <c r="C307" s="18" t="n"/>
      <c r="D307" s="19" t="n"/>
      <c r="E307" s="19" t="n"/>
      <c r="F307" s="20" t="n"/>
      <c r="G307" s="17" t="n"/>
      <c r="H307" s="21" t="n"/>
      <c r="I307" s="22">
        <f>IF(NOT(AND(C307&lt;&gt;"",ISNUMBER(B307))),"",IF(N(IFERROR(INDEX(Crops!$F$6:$F$65,MATCH(C307,Crops!$B$6:$B$65,0)),0))&gt;0,INT(B307)+N(IFERROR(INDEX(Crops!$F$6:$F$65,MATCH(C307,Crops!$B$6:$B$65,0)),0)),""))</f>
        <v/>
      </c>
      <c r="J307" s="16">
        <f>IF(NOT(AND(C307&lt;&gt;"",ISNUMBER(B307))),"",IF(ISNUMBER(G307),"Done",IF(INT(B307)&gt;TODAY(),"Planned",IF(COUNTIFS(Harvest!$C$6:$C$1505,C307,Harvest!$D$6:$D$1505,D307&amp;"",Harvest!$L$6:$L$1505,"&gt;="&amp;INT(B307))&gt;0,"Picking","Growing"))))</f>
        <v/>
      </c>
      <c r="K307" s="14">
        <f>IF(OR(NOT(AND(C307&lt;&gt;"",ISNUMBER(B307))),J307="Planned"),"",IF(ISNUMBER(G307),INT(G307),TODAY())-INT(B307))</f>
        <v/>
      </c>
      <c r="L307" s="11">
        <f>IF(AND(B307="",C307="",D307=""),"",IF(NOT(ISNUMBER(B307)),"Needs a date",IF(C307="","Needs a crop",IF(COUNTIF(Crops!$B$6:$B$65,C307)=0,"Not on Crops",IF(AND(D307&lt;&gt;"",COUNTIF(Beds!$B$6:$B$35,D307)=0),"Not on Beds",IF(AND(ISNUMBER(G307),G307&lt;B307),"Cleared before it was planted",""))))))</f>
        <v/>
      </c>
      <c r="M307" s="11">
        <f>IF(OR(L307&lt;&gt;"",D307="",O307=""),"",IF(COUNTIFS(Plantings!$D$6:$D$505,D307,Plantings!$O$6:$O$505,O307,Plantings!$N$6:$N$505,N307-1)&gt;0,"Same family here last year",""))</f>
        <v/>
      </c>
      <c r="N307" s="1">
        <f>IF(ISNUMBER(B307),YEAR(B307),"")</f>
        <v/>
      </c>
      <c r="O307">
        <f>IF(C307="","",IFERROR(INDEX(Crops!$C$6:$C$65,MATCH(C307,Crops!$B$6:$B$65,0))&amp;"",""))</f>
        <v/>
      </c>
      <c r="P307">
        <f>IF(ISNUMBER(B307),INT(B307),0)</f>
        <v/>
      </c>
      <c r="Q307">
        <f>IF(AND(L307="",OR(J307="Growing",J307="Picking")),1,0)</f>
        <v/>
      </c>
      <c r="R307">
        <f>IF(AND(Q307=1,D307&lt;&gt;""),P307*1000+ROW(),0)</f>
        <v/>
      </c>
      <c r="S307">
        <f>IF(AND(AND(C307&lt;&gt;"",ISNUMBER(B307)),L307=""),1,0)</f>
        <v/>
      </c>
    </row>
    <row r="308">
      <c r="A308" s="1" t="n"/>
      <c r="B308" s="17" t="n"/>
      <c r="C308" s="18" t="n"/>
      <c r="D308" s="19" t="n"/>
      <c r="E308" s="19" t="n"/>
      <c r="F308" s="20" t="n"/>
      <c r="G308" s="17" t="n"/>
      <c r="H308" s="21" t="n"/>
      <c r="I308" s="22">
        <f>IF(NOT(AND(C308&lt;&gt;"",ISNUMBER(B308))),"",IF(N(IFERROR(INDEX(Crops!$F$6:$F$65,MATCH(C308,Crops!$B$6:$B$65,0)),0))&gt;0,INT(B308)+N(IFERROR(INDEX(Crops!$F$6:$F$65,MATCH(C308,Crops!$B$6:$B$65,0)),0)),""))</f>
        <v/>
      </c>
      <c r="J308" s="16">
        <f>IF(NOT(AND(C308&lt;&gt;"",ISNUMBER(B308))),"",IF(ISNUMBER(G308),"Done",IF(INT(B308)&gt;TODAY(),"Planned",IF(COUNTIFS(Harvest!$C$6:$C$1505,C308,Harvest!$D$6:$D$1505,D308&amp;"",Harvest!$L$6:$L$1505,"&gt;="&amp;INT(B308))&gt;0,"Picking","Growing"))))</f>
        <v/>
      </c>
      <c r="K308" s="14">
        <f>IF(OR(NOT(AND(C308&lt;&gt;"",ISNUMBER(B308))),J308="Planned"),"",IF(ISNUMBER(G308),INT(G308),TODAY())-INT(B308))</f>
        <v/>
      </c>
      <c r="L308" s="11">
        <f>IF(AND(B308="",C308="",D308=""),"",IF(NOT(ISNUMBER(B308)),"Needs a date",IF(C308="","Needs a crop",IF(COUNTIF(Crops!$B$6:$B$65,C308)=0,"Not on Crops",IF(AND(D308&lt;&gt;"",COUNTIF(Beds!$B$6:$B$35,D308)=0),"Not on Beds",IF(AND(ISNUMBER(G308),G308&lt;B308),"Cleared before it was planted",""))))))</f>
        <v/>
      </c>
      <c r="M308" s="11">
        <f>IF(OR(L308&lt;&gt;"",D308="",O308=""),"",IF(COUNTIFS(Plantings!$D$6:$D$505,D308,Plantings!$O$6:$O$505,O308,Plantings!$N$6:$N$505,N308-1)&gt;0,"Same family here last year",""))</f>
        <v/>
      </c>
      <c r="N308" s="1">
        <f>IF(ISNUMBER(B308),YEAR(B308),"")</f>
        <v/>
      </c>
      <c r="O308">
        <f>IF(C308="","",IFERROR(INDEX(Crops!$C$6:$C$65,MATCH(C308,Crops!$B$6:$B$65,0))&amp;"",""))</f>
        <v/>
      </c>
      <c r="P308">
        <f>IF(ISNUMBER(B308),INT(B308),0)</f>
        <v/>
      </c>
      <c r="Q308">
        <f>IF(AND(L308="",OR(J308="Growing",J308="Picking")),1,0)</f>
        <v/>
      </c>
      <c r="R308">
        <f>IF(AND(Q308=1,D308&lt;&gt;""),P308*1000+ROW(),0)</f>
        <v/>
      </c>
      <c r="S308">
        <f>IF(AND(AND(C308&lt;&gt;"",ISNUMBER(B308)),L308=""),1,0)</f>
        <v/>
      </c>
    </row>
    <row r="309">
      <c r="A309" s="1" t="n"/>
      <c r="B309" s="17" t="n"/>
      <c r="C309" s="18" t="n"/>
      <c r="D309" s="19" t="n"/>
      <c r="E309" s="19" t="n"/>
      <c r="F309" s="20" t="n"/>
      <c r="G309" s="17" t="n"/>
      <c r="H309" s="21" t="n"/>
      <c r="I309" s="22">
        <f>IF(NOT(AND(C309&lt;&gt;"",ISNUMBER(B309))),"",IF(N(IFERROR(INDEX(Crops!$F$6:$F$65,MATCH(C309,Crops!$B$6:$B$65,0)),0))&gt;0,INT(B309)+N(IFERROR(INDEX(Crops!$F$6:$F$65,MATCH(C309,Crops!$B$6:$B$65,0)),0)),""))</f>
        <v/>
      </c>
      <c r="J309" s="16">
        <f>IF(NOT(AND(C309&lt;&gt;"",ISNUMBER(B309))),"",IF(ISNUMBER(G309),"Done",IF(INT(B309)&gt;TODAY(),"Planned",IF(COUNTIFS(Harvest!$C$6:$C$1505,C309,Harvest!$D$6:$D$1505,D309&amp;"",Harvest!$L$6:$L$1505,"&gt;="&amp;INT(B309))&gt;0,"Picking","Growing"))))</f>
        <v/>
      </c>
      <c r="K309" s="14">
        <f>IF(OR(NOT(AND(C309&lt;&gt;"",ISNUMBER(B309))),J309="Planned"),"",IF(ISNUMBER(G309),INT(G309),TODAY())-INT(B309))</f>
        <v/>
      </c>
      <c r="L309" s="11">
        <f>IF(AND(B309="",C309="",D309=""),"",IF(NOT(ISNUMBER(B309)),"Needs a date",IF(C309="","Needs a crop",IF(COUNTIF(Crops!$B$6:$B$65,C309)=0,"Not on Crops",IF(AND(D309&lt;&gt;"",COUNTIF(Beds!$B$6:$B$35,D309)=0),"Not on Beds",IF(AND(ISNUMBER(G309),G309&lt;B309),"Cleared before it was planted",""))))))</f>
        <v/>
      </c>
      <c r="M309" s="11">
        <f>IF(OR(L309&lt;&gt;"",D309="",O309=""),"",IF(COUNTIFS(Plantings!$D$6:$D$505,D309,Plantings!$O$6:$O$505,O309,Plantings!$N$6:$N$505,N309-1)&gt;0,"Same family here last year",""))</f>
        <v/>
      </c>
      <c r="N309" s="1">
        <f>IF(ISNUMBER(B309),YEAR(B309),"")</f>
        <v/>
      </c>
      <c r="O309">
        <f>IF(C309="","",IFERROR(INDEX(Crops!$C$6:$C$65,MATCH(C309,Crops!$B$6:$B$65,0))&amp;"",""))</f>
        <v/>
      </c>
      <c r="P309">
        <f>IF(ISNUMBER(B309),INT(B309),0)</f>
        <v/>
      </c>
      <c r="Q309">
        <f>IF(AND(L309="",OR(J309="Growing",J309="Picking")),1,0)</f>
        <v/>
      </c>
      <c r="R309">
        <f>IF(AND(Q309=1,D309&lt;&gt;""),P309*1000+ROW(),0)</f>
        <v/>
      </c>
      <c r="S309">
        <f>IF(AND(AND(C309&lt;&gt;"",ISNUMBER(B309)),L309=""),1,0)</f>
        <v/>
      </c>
    </row>
    <row r="310">
      <c r="A310" s="1" t="n"/>
      <c r="B310" s="17" t="n"/>
      <c r="C310" s="18" t="n"/>
      <c r="D310" s="19" t="n"/>
      <c r="E310" s="19" t="n"/>
      <c r="F310" s="20" t="n"/>
      <c r="G310" s="17" t="n"/>
      <c r="H310" s="21" t="n"/>
      <c r="I310" s="22">
        <f>IF(NOT(AND(C310&lt;&gt;"",ISNUMBER(B310))),"",IF(N(IFERROR(INDEX(Crops!$F$6:$F$65,MATCH(C310,Crops!$B$6:$B$65,0)),0))&gt;0,INT(B310)+N(IFERROR(INDEX(Crops!$F$6:$F$65,MATCH(C310,Crops!$B$6:$B$65,0)),0)),""))</f>
        <v/>
      </c>
      <c r="J310" s="16">
        <f>IF(NOT(AND(C310&lt;&gt;"",ISNUMBER(B310))),"",IF(ISNUMBER(G310),"Done",IF(INT(B310)&gt;TODAY(),"Planned",IF(COUNTIFS(Harvest!$C$6:$C$1505,C310,Harvest!$D$6:$D$1505,D310&amp;"",Harvest!$L$6:$L$1505,"&gt;="&amp;INT(B310))&gt;0,"Picking","Growing"))))</f>
        <v/>
      </c>
      <c r="K310" s="14">
        <f>IF(OR(NOT(AND(C310&lt;&gt;"",ISNUMBER(B310))),J310="Planned"),"",IF(ISNUMBER(G310),INT(G310),TODAY())-INT(B310))</f>
        <v/>
      </c>
      <c r="L310" s="11">
        <f>IF(AND(B310="",C310="",D310=""),"",IF(NOT(ISNUMBER(B310)),"Needs a date",IF(C310="","Needs a crop",IF(COUNTIF(Crops!$B$6:$B$65,C310)=0,"Not on Crops",IF(AND(D310&lt;&gt;"",COUNTIF(Beds!$B$6:$B$35,D310)=0),"Not on Beds",IF(AND(ISNUMBER(G310),G310&lt;B310),"Cleared before it was planted",""))))))</f>
        <v/>
      </c>
      <c r="M310" s="11">
        <f>IF(OR(L310&lt;&gt;"",D310="",O310=""),"",IF(COUNTIFS(Plantings!$D$6:$D$505,D310,Plantings!$O$6:$O$505,O310,Plantings!$N$6:$N$505,N310-1)&gt;0,"Same family here last year",""))</f>
        <v/>
      </c>
      <c r="N310" s="1">
        <f>IF(ISNUMBER(B310),YEAR(B310),"")</f>
        <v/>
      </c>
      <c r="O310">
        <f>IF(C310="","",IFERROR(INDEX(Crops!$C$6:$C$65,MATCH(C310,Crops!$B$6:$B$65,0))&amp;"",""))</f>
        <v/>
      </c>
      <c r="P310">
        <f>IF(ISNUMBER(B310),INT(B310),0)</f>
        <v/>
      </c>
      <c r="Q310">
        <f>IF(AND(L310="",OR(J310="Growing",J310="Picking")),1,0)</f>
        <v/>
      </c>
      <c r="R310">
        <f>IF(AND(Q310=1,D310&lt;&gt;""),P310*1000+ROW(),0)</f>
        <v/>
      </c>
      <c r="S310">
        <f>IF(AND(AND(C310&lt;&gt;"",ISNUMBER(B310)),L310=""),1,0)</f>
        <v/>
      </c>
    </row>
    <row r="311">
      <c r="A311" s="1" t="n"/>
      <c r="B311" s="17" t="n"/>
      <c r="C311" s="18" t="n"/>
      <c r="D311" s="19" t="n"/>
      <c r="E311" s="19" t="n"/>
      <c r="F311" s="20" t="n"/>
      <c r="G311" s="17" t="n"/>
      <c r="H311" s="21" t="n"/>
      <c r="I311" s="22">
        <f>IF(NOT(AND(C311&lt;&gt;"",ISNUMBER(B311))),"",IF(N(IFERROR(INDEX(Crops!$F$6:$F$65,MATCH(C311,Crops!$B$6:$B$65,0)),0))&gt;0,INT(B311)+N(IFERROR(INDEX(Crops!$F$6:$F$65,MATCH(C311,Crops!$B$6:$B$65,0)),0)),""))</f>
        <v/>
      </c>
      <c r="J311" s="16">
        <f>IF(NOT(AND(C311&lt;&gt;"",ISNUMBER(B311))),"",IF(ISNUMBER(G311),"Done",IF(INT(B311)&gt;TODAY(),"Planned",IF(COUNTIFS(Harvest!$C$6:$C$1505,C311,Harvest!$D$6:$D$1505,D311&amp;"",Harvest!$L$6:$L$1505,"&gt;="&amp;INT(B311))&gt;0,"Picking","Growing"))))</f>
        <v/>
      </c>
      <c r="K311" s="14">
        <f>IF(OR(NOT(AND(C311&lt;&gt;"",ISNUMBER(B311))),J311="Planned"),"",IF(ISNUMBER(G311),INT(G311),TODAY())-INT(B311))</f>
        <v/>
      </c>
      <c r="L311" s="11">
        <f>IF(AND(B311="",C311="",D311=""),"",IF(NOT(ISNUMBER(B311)),"Needs a date",IF(C311="","Needs a crop",IF(COUNTIF(Crops!$B$6:$B$65,C311)=0,"Not on Crops",IF(AND(D311&lt;&gt;"",COUNTIF(Beds!$B$6:$B$35,D311)=0),"Not on Beds",IF(AND(ISNUMBER(G311),G311&lt;B311),"Cleared before it was planted",""))))))</f>
        <v/>
      </c>
      <c r="M311" s="11">
        <f>IF(OR(L311&lt;&gt;"",D311="",O311=""),"",IF(COUNTIFS(Plantings!$D$6:$D$505,D311,Plantings!$O$6:$O$505,O311,Plantings!$N$6:$N$505,N311-1)&gt;0,"Same family here last year",""))</f>
        <v/>
      </c>
      <c r="N311" s="1">
        <f>IF(ISNUMBER(B311),YEAR(B311),"")</f>
        <v/>
      </c>
      <c r="O311">
        <f>IF(C311="","",IFERROR(INDEX(Crops!$C$6:$C$65,MATCH(C311,Crops!$B$6:$B$65,0))&amp;"",""))</f>
        <v/>
      </c>
      <c r="P311">
        <f>IF(ISNUMBER(B311),INT(B311),0)</f>
        <v/>
      </c>
      <c r="Q311">
        <f>IF(AND(L311="",OR(J311="Growing",J311="Picking")),1,0)</f>
        <v/>
      </c>
      <c r="R311">
        <f>IF(AND(Q311=1,D311&lt;&gt;""),P311*1000+ROW(),0)</f>
        <v/>
      </c>
      <c r="S311">
        <f>IF(AND(AND(C311&lt;&gt;"",ISNUMBER(B311)),L311=""),1,0)</f>
        <v/>
      </c>
    </row>
    <row r="312">
      <c r="A312" s="1" t="n"/>
      <c r="B312" s="17" t="n"/>
      <c r="C312" s="18" t="n"/>
      <c r="D312" s="19" t="n"/>
      <c r="E312" s="19" t="n"/>
      <c r="F312" s="20" t="n"/>
      <c r="G312" s="17" t="n"/>
      <c r="H312" s="21" t="n"/>
      <c r="I312" s="22">
        <f>IF(NOT(AND(C312&lt;&gt;"",ISNUMBER(B312))),"",IF(N(IFERROR(INDEX(Crops!$F$6:$F$65,MATCH(C312,Crops!$B$6:$B$65,0)),0))&gt;0,INT(B312)+N(IFERROR(INDEX(Crops!$F$6:$F$65,MATCH(C312,Crops!$B$6:$B$65,0)),0)),""))</f>
        <v/>
      </c>
      <c r="J312" s="16">
        <f>IF(NOT(AND(C312&lt;&gt;"",ISNUMBER(B312))),"",IF(ISNUMBER(G312),"Done",IF(INT(B312)&gt;TODAY(),"Planned",IF(COUNTIFS(Harvest!$C$6:$C$1505,C312,Harvest!$D$6:$D$1505,D312&amp;"",Harvest!$L$6:$L$1505,"&gt;="&amp;INT(B312))&gt;0,"Picking","Growing"))))</f>
        <v/>
      </c>
      <c r="K312" s="14">
        <f>IF(OR(NOT(AND(C312&lt;&gt;"",ISNUMBER(B312))),J312="Planned"),"",IF(ISNUMBER(G312),INT(G312),TODAY())-INT(B312))</f>
        <v/>
      </c>
      <c r="L312" s="11">
        <f>IF(AND(B312="",C312="",D312=""),"",IF(NOT(ISNUMBER(B312)),"Needs a date",IF(C312="","Needs a crop",IF(COUNTIF(Crops!$B$6:$B$65,C312)=0,"Not on Crops",IF(AND(D312&lt;&gt;"",COUNTIF(Beds!$B$6:$B$35,D312)=0),"Not on Beds",IF(AND(ISNUMBER(G312),G312&lt;B312),"Cleared before it was planted",""))))))</f>
        <v/>
      </c>
      <c r="M312" s="11">
        <f>IF(OR(L312&lt;&gt;"",D312="",O312=""),"",IF(COUNTIFS(Plantings!$D$6:$D$505,D312,Plantings!$O$6:$O$505,O312,Plantings!$N$6:$N$505,N312-1)&gt;0,"Same family here last year",""))</f>
        <v/>
      </c>
      <c r="N312" s="1">
        <f>IF(ISNUMBER(B312),YEAR(B312),"")</f>
        <v/>
      </c>
      <c r="O312">
        <f>IF(C312="","",IFERROR(INDEX(Crops!$C$6:$C$65,MATCH(C312,Crops!$B$6:$B$65,0))&amp;"",""))</f>
        <v/>
      </c>
      <c r="P312">
        <f>IF(ISNUMBER(B312),INT(B312),0)</f>
        <v/>
      </c>
      <c r="Q312">
        <f>IF(AND(L312="",OR(J312="Growing",J312="Picking")),1,0)</f>
        <v/>
      </c>
      <c r="R312">
        <f>IF(AND(Q312=1,D312&lt;&gt;""),P312*1000+ROW(),0)</f>
        <v/>
      </c>
      <c r="S312">
        <f>IF(AND(AND(C312&lt;&gt;"",ISNUMBER(B312)),L312=""),1,0)</f>
        <v/>
      </c>
    </row>
    <row r="313">
      <c r="A313" s="1" t="n"/>
      <c r="B313" s="17" t="n"/>
      <c r="C313" s="18" t="n"/>
      <c r="D313" s="19" t="n"/>
      <c r="E313" s="19" t="n"/>
      <c r="F313" s="20" t="n"/>
      <c r="G313" s="17" t="n"/>
      <c r="H313" s="21" t="n"/>
      <c r="I313" s="22">
        <f>IF(NOT(AND(C313&lt;&gt;"",ISNUMBER(B313))),"",IF(N(IFERROR(INDEX(Crops!$F$6:$F$65,MATCH(C313,Crops!$B$6:$B$65,0)),0))&gt;0,INT(B313)+N(IFERROR(INDEX(Crops!$F$6:$F$65,MATCH(C313,Crops!$B$6:$B$65,0)),0)),""))</f>
        <v/>
      </c>
      <c r="J313" s="16">
        <f>IF(NOT(AND(C313&lt;&gt;"",ISNUMBER(B313))),"",IF(ISNUMBER(G313),"Done",IF(INT(B313)&gt;TODAY(),"Planned",IF(COUNTIFS(Harvest!$C$6:$C$1505,C313,Harvest!$D$6:$D$1505,D313&amp;"",Harvest!$L$6:$L$1505,"&gt;="&amp;INT(B313))&gt;0,"Picking","Growing"))))</f>
        <v/>
      </c>
      <c r="K313" s="14">
        <f>IF(OR(NOT(AND(C313&lt;&gt;"",ISNUMBER(B313))),J313="Planned"),"",IF(ISNUMBER(G313),INT(G313),TODAY())-INT(B313))</f>
        <v/>
      </c>
      <c r="L313" s="11">
        <f>IF(AND(B313="",C313="",D313=""),"",IF(NOT(ISNUMBER(B313)),"Needs a date",IF(C313="","Needs a crop",IF(COUNTIF(Crops!$B$6:$B$65,C313)=0,"Not on Crops",IF(AND(D313&lt;&gt;"",COUNTIF(Beds!$B$6:$B$35,D313)=0),"Not on Beds",IF(AND(ISNUMBER(G313),G313&lt;B313),"Cleared before it was planted",""))))))</f>
        <v/>
      </c>
      <c r="M313" s="11">
        <f>IF(OR(L313&lt;&gt;"",D313="",O313=""),"",IF(COUNTIFS(Plantings!$D$6:$D$505,D313,Plantings!$O$6:$O$505,O313,Plantings!$N$6:$N$505,N313-1)&gt;0,"Same family here last year",""))</f>
        <v/>
      </c>
      <c r="N313" s="1">
        <f>IF(ISNUMBER(B313),YEAR(B313),"")</f>
        <v/>
      </c>
      <c r="O313">
        <f>IF(C313="","",IFERROR(INDEX(Crops!$C$6:$C$65,MATCH(C313,Crops!$B$6:$B$65,0))&amp;"",""))</f>
        <v/>
      </c>
      <c r="P313">
        <f>IF(ISNUMBER(B313),INT(B313),0)</f>
        <v/>
      </c>
      <c r="Q313">
        <f>IF(AND(L313="",OR(J313="Growing",J313="Picking")),1,0)</f>
        <v/>
      </c>
      <c r="R313">
        <f>IF(AND(Q313=1,D313&lt;&gt;""),P313*1000+ROW(),0)</f>
        <v/>
      </c>
      <c r="S313">
        <f>IF(AND(AND(C313&lt;&gt;"",ISNUMBER(B313)),L313=""),1,0)</f>
        <v/>
      </c>
    </row>
    <row r="314">
      <c r="A314" s="1" t="n"/>
      <c r="B314" s="17" t="n"/>
      <c r="C314" s="18" t="n"/>
      <c r="D314" s="19" t="n"/>
      <c r="E314" s="19" t="n"/>
      <c r="F314" s="20" t="n"/>
      <c r="G314" s="17" t="n"/>
      <c r="H314" s="21" t="n"/>
      <c r="I314" s="22">
        <f>IF(NOT(AND(C314&lt;&gt;"",ISNUMBER(B314))),"",IF(N(IFERROR(INDEX(Crops!$F$6:$F$65,MATCH(C314,Crops!$B$6:$B$65,0)),0))&gt;0,INT(B314)+N(IFERROR(INDEX(Crops!$F$6:$F$65,MATCH(C314,Crops!$B$6:$B$65,0)),0)),""))</f>
        <v/>
      </c>
      <c r="J314" s="16">
        <f>IF(NOT(AND(C314&lt;&gt;"",ISNUMBER(B314))),"",IF(ISNUMBER(G314),"Done",IF(INT(B314)&gt;TODAY(),"Planned",IF(COUNTIFS(Harvest!$C$6:$C$1505,C314,Harvest!$D$6:$D$1505,D314&amp;"",Harvest!$L$6:$L$1505,"&gt;="&amp;INT(B314))&gt;0,"Picking","Growing"))))</f>
        <v/>
      </c>
      <c r="K314" s="14">
        <f>IF(OR(NOT(AND(C314&lt;&gt;"",ISNUMBER(B314))),J314="Planned"),"",IF(ISNUMBER(G314),INT(G314),TODAY())-INT(B314))</f>
        <v/>
      </c>
      <c r="L314" s="11">
        <f>IF(AND(B314="",C314="",D314=""),"",IF(NOT(ISNUMBER(B314)),"Needs a date",IF(C314="","Needs a crop",IF(COUNTIF(Crops!$B$6:$B$65,C314)=0,"Not on Crops",IF(AND(D314&lt;&gt;"",COUNTIF(Beds!$B$6:$B$35,D314)=0),"Not on Beds",IF(AND(ISNUMBER(G314),G314&lt;B314),"Cleared before it was planted",""))))))</f>
        <v/>
      </c>
      <c r="M314" s="11">
        <f>IF(OR(L314&lt;&gt;"",D314="",O314=""),"",IF(COUNTIFS(Plantings!$D$6:$D$505,D314,Plantings!$O$6:$O$505,O314,Plantings!$N$6:$N$505,N314-1)&gt;0,"Same family here last year",""))</f>
        <v/>
      </c>
      <c r="N314" s="1">
        <f>IF(ISNUMBER(B314),YEAR(B314),"")</f>
        <v/>
      </c>
      <c r="O314">
        <f>IF(C314="","",IFERROR(INDEX(Crops!$C$6:$C$65,MATCH(C314,Crops!$B$6:$B$65,0))&amp;"",""))</f>
        <v/>
      </c>
      <c r="P314">
        <f>IF(ISNUMBER(B314),INT(B314),0)</f>
        <v/>
      </c>
      <c r="Q314">
        <f>IF(AND(L314="",OR(J314="Growing",J314="Picking")),1,0)</f>
        <v/>
      </c>
      <c r="R314">
        <f>IF(AND(Q314=1,D314&lt;&gt;""),P314*1000+ROW(),0)</f>
        <v/>
      </c>
      <c r="S314">
        <f>IF(AND(AND(C314&lt;&gt;"",ISNUMBER(B314)),L314=""),1,0)</f>
        <v/>
      </c>
    </row>
    <row r="315">
      <c r="A315" s="1" t="n"/>
      <c r="B315" s="17" t="n"/>
      <c r="C315" s="18" t="n"/>
      <c r="D315" s="19" t="n"/>
      <c r="E315" s="19" t="n"/>
      <c r="F315" s="20" t="n"/>
      <c r="G315" s="17" t="n"/>
      <c r="H315" s="21" t="n"/>
      <c r="I315" s="22">
        <f>IF(NOT(AND(C315&lt;&gt;"",ISNUMBER(B315))),"",IF(N(IFERROR(INDEX(Crops!$F$6:$F$65,MATCH(C315,Crops!$B$6:$B$65,0)),0))&gt;0,INT(B315)+N(IFERROR(INDEX(Crops!$F$6:$F$65,MATCH(C315,Crops!$B$6:$B$65,0)),0)),""))</f>
        <v/>
      </c>
      <c r="J315" s="16">
        <f>IF(NOT(AND(C315&lt;&gt;"",ISNUMBER(B315))),"",IF(ISNUMBER(G315),"Done",IF(INT(B315)&gt;TODAY(),"Planned",IF(COUNTIFS(Harvest!$C$6:$C$1505,C315,Harvest!$D$6:$D$1505,D315&amp;"",Harvest!$L$6:$L$1505,"&gt;="&amp;INT(B315))&gt;0,"Picking","Growing"))))</f>
        <v/>
      </c>
      <c r="K315" s="14">
        <f>IF(OR(NOT(AND(C315&lt;&gt;"",ISNUMBER(B315))),J315="Planned"),"",IF(ISNUMBER(G315),INT(G315),TODAY())-INT(B315))</f>
        <v/>
      </c>
      <c r="L315" s="11">
        <f>IF(AND(B315="",C315="",D315=""),"",IF(NOT(ISNUMBER(B315)),"Needs a date",IF(C315="","Needs a crop",IF(COUNTIF(Crops!$B$6:$B$65,C315)=0,"Not on Crops",IF(AND(D315&lt;&gt;"",COUNTIF(Beds!$B$6:$B$35,D315)=0),"Not on Beds",IF(AND(ISNUMBER(G315),G315&lt;B315),"Cleared before it was planted",""))))))</f>
        <v/>
      </c>
      <c r="M315" s="11">
        <f>IF(OR(L315&lt;&gt;"",D315="",O315=""),"",IF(COUNTIFS(Plantings!$D$6:$D$505,D315,Plantings!$O$6:$O$505,O315,Plantings!$N$6:$N$505,N315-1)&gt;0,"Same family here last year",""))</f>
        <v/>
      </c>
      <c r="N315" s="1">
        <f>IF(ISNUMBER(B315),YEAR(B315),"")</f>
        <v/>
      </c>
      <c r="O315">
        <f>IF(C315="","",IFERROR(INDEX(Crops!$C$6:$C$65,MATCH(C315,Crops!$B$6:$B$65,0))&amp;"",""))</f>
        <v/>
      </c>
      <c r="P315">
        <f>IF(ISNUMBER(B315),INT(B315),0)</f>
        <v/>
      </c>
      <c r="Q315">
        <f>IF(AND(L315="",OR(J315="Growing",J315="Picking")),1,0)</f>
        <v/>
      </c>
      <c r="R315">
        <f>IF(AND(Q315=1,D315&lt;&gt;""),P315*1000+ROW(),0)</f>
        <v/>
      </c>
      <c r="S315">
        <f>IF(AND(AND(C315&lt;&gt;"",ISNUMBER(B315)),L315=""),1,0)</f>
        <v/>
      </c>
    </row>
    <row r="316">
      <c r="A316" s="1" t="n"/>
      <c r="B316" s="17" t="n"/>
      <c r="C316" s="18" t="n"/>
      <c r="D316" s="19" t="n"/>
      <c r="E316" s="19" t="n"/>
      <c r="F316" s="20" t="n"/>
      <c r="G316" s="17" t="n"/>
      <c r="H316" s="21" t="n"/>
      <c r="I316" s="22">
        <f>IF(NOT(AND(C316&lt;&gt;"",ISNUMBER(B316))),"",IF(N(IFERROR(INDEX(Crops!$F$6:$F$65,MATCH(C316,Crops!$B$6:$B$65,0)),0))&gt;0,INT(B316)+N(IFERROR(INDEX(Crops!$F$6:$F$65,MATCH(C316,Crops!$B$6:$B$65,0)),0)),""))</f>
        <v/>
      </c>
      <c r="J316" s="16">
        <f>IF(NOT(AND(C316&lt;&gt;"",ISNUMBER(B316))),"",IF(ISNUMBER(G316),"Done",IF(INT(B316)&gt;TODAY(),"Planned",IF(COUNTIFS(Harvest!$C$6:$C$1505,C316,Harvest!$D$6:$D$1505,D316&amp;"",Harvest!$L$6:$L$1505,"&gt;="&amp;INT(B316))&gt;0,"Picking","Growing"))))</f>
        <v/>
      </c>
      <c r="K316" s="14">
        <f>IF(OR(NOT(AND(C316&lt;&gt;"",ISNUMBER(B316))),J316="Planned"),"",IF(ISNUMBER(G316),INT(G316),TODAY())-INT(B316))</f>
        <v/>
      </c>
      <c r="L316" s="11">
        <f>IF(AND(B316="",C316="",D316=""),"",IF(NOT(ISNUMBER(B316)),"Needs a date",IF(C316="","Needs a crop",IF(COUNTIF(Crops!$B$6:$B$65,C316)=0,"Not on Crops",IF(AND(D316&lt;&gt;"",COUNTIF(Beds!$B$6:$B$35,D316)=0),"Not on Beds",IF(AND(ISNUMBER(G316),G316&lt;B316),"Cleared before it was planted",""))))))</f>
        <v/>
      </c>
      <c r="M316" s="11">
        <f>IF(OR(L316&lt;&gt;"",D316="",O316=""),"",IF(COUNTIFS(Plantings!$D$6:$D$505,D316,Plantings!$O$6:$O$505,O316,Plantings!$N$6:$N$505,N316-1)&gt;0,"Same family here last year",""))</f>
        <v/>
      </c>
      <c r="N316" s="1">
        <f>IF(ISNUMBER(B316),YEAR(B316),"")</f>
        <v/>
      </c>
      <c r="O316">
        <f>IF(C316="","",IFERROR(INDEX(Crops!$C$6:$C$65,MATCH(C316,Crops!$B$6:$B$65,0))&amp;"",""))</f>
        <v/>
      </c>
      <c r="P316">
        <f>IF(ISNUMBER(B316),INT(B316),0)</f>
        <v/>
      </c>
      <c r="Q316">
        <f>IF(AND(L316="",OR(J316="Growing",J316="Picking")),1,0)</f>
        <v/>
      </c>
      <c r="R316">
        <f>IF(AND(Q316=1,D316&lt;&gt;""),P316*1000+ROW(),0)</f>
        <v/>
      </c>
      <c r="S316">
        <f>IF(AND(AND(C316&lt;&gt;"",ISNUMBER(B316)),L316=""),1,0)</f>
        <v/>
      </c>
    </row>
    <row r="317">
      <c r="A317" s="1" t="n"/>
      <c r="B317" s="17" t="n"/>
      <c r="C317" s="18" t="n"/>
      <c r="D317" s="19" t="n"/>
      <c r="E317" s="19" t="n"/>
      <c r="F317" s="20" t="n"/>
      <c r="G317" s="17" t="n"/>
      <c r="H317" s="21" t="n"/>
      <c r="I317" s="22">
        <f>IF(NOT(AND(C317&lt;&gt;"",ISNUMBER(B317))),"",IF(N(IFERROR(INDEX(Crops!$F$6:$F$65,MATCH(C317,Crops!$B$6:$B$65,0)),0))&gt;0,INT(B317)+N(IFERROR(INDEX(Crops!$F$6:$F$65,MATCH(C317,Crops!$B$6:$B$65,0)),0)),""))</f>
        <v/>
      </c>
      <c r="J317" s="16">
        <f>IF(NOT(AND(C317&lt;&gt;"",ISNUMBER(B317))),"",IF(ISNUMBER(G317),"Done",IF(INT(B317)&gt;TODAY(),"Planned",IF(COUNTIFS(Harvest!$C$6:$C$1505,C317,Harvest!$D$6:$D$1505,D317&amp;"",Harvest!$L$6:$L$1505,"&gt;="&amp;INT(B317))&gt;0,"Picking","Growing"))))</f>
        <v/>
      </c>
      <c r="K317" s="14">
        <f>IF(OR(NOT(AND(C317&lt;&gt;"",ISNUMBER(B317))),J317="Planned"),"",IF(ISNUMBER(G317),INT(G317),TODAY())-INT(B317))</f>
        <v/>
      </c>
      <c r="L317" s="11">
        <f>IF(AND(B317="",C317="",D317=""),"",IF(NOT(ISNUMBER(B317)),"Needs a date",IF(C317="","Needs a crop",IF(COUNTIF(Crops!$B$6:$B$65,C317)=0,"Not on Crops",IF(AND(D317&lt;&gt;"",COUNTIF(Beds!$B$6:$B$35,D317)=0),"Not on Beds",IF(AND(ISNUMBER(G317),G317&lt;B317),"Cleared before it was planted",""))))))</f>
        <v/>
      </c>
      <c r="M317" s="11">
        <f>IF(OR(L317&lt;&gt;"",D317="",O317=""),"",IF(COUNTIFS(Plantings!$D$6:$D$505,D317,Plantings!$O$6:$O$505,O317,Plantings!$N$6:$N$505,N317-1)&gt;0,"Same family here last year",""))</f>
        <v/>
      </c>
      <c r="N317" s="1">
        <f>IF(ISNUMBER(B317),YEAR(B317),"")</f>
        <v/>
      </c>
      <c r="O317">
        <f>IF(C317="","",IFERROR(INDEX(Crops!$C$6:$C$65,MATCH(C317,Crops!$B$6:$B$65,0))&amp;"",""))</f>
        <v/>
      </c>
      <c r="P317">
        <f>IF(ISNUMBER(B317),INT(B317),0)</f>
        <v/>
      </c>
      <c r="Q317">
        <f>IF(AND(L317="",OR(J317="Growing",J317="Picking")),1,0)</f>
        <v/>
      </c>
      <c r="R317">
        <f>IF(AND(Q317=1,D317&lt;&gt;""),P317*1000+ROW(),0)</f>
        <v/>
      </c>
      <c r="S317">
        <f>IF(AND(AND(C317&lt;&gt;"",ISNUMBER(B317)),L317=""),1,0)</f>
        <v/>
      </c>
    </row>
    <row r="318">
      <c r="A318" s="1" t="n"/>
      <c r="B318" s="17" t="n"/>
      <c r="C318" s="18" t="n"/>
      <c r="D318" s="19" t="n"/>
      <c r="E318" s="19" t="n"/>
      <c r="F318" s="20" t="n"/>
      <c r="G318" s="17" t="n"/>
      <c r="H318" s="21" t="n"/>
      <c r="I318" s="22">
        <f>IF(NOT(AND(C318&lt;&gt;"",ISNUMBER(B318))),"",IF(N(IFERROR(INDEX(Crops!$F$6:$F$65,MATCH(C318,Crops!$B$6:$B$65,0)),0))&gt;0,INT(B318)+N(IFERROR(INDEX(Crops!$F$6:$F$65,MATCH(C318,Crops!$B$6:$B$65,0)),0)),""))</f>
        <v/>
      </c>
      <c r="J318" s="16">
        <f>IF(NOT(AND(C318&lt;&gt;"",ISNUMBER(B318))),"",IF(ISNUMBER(G318),"Done",IF(INT(B318)&gt;TODAY(),"Planned",IF(COUNTIFS(Harvest!$C$6:$C$1505,C318,Harvest!$D$6:$D$1505,D318&amp;"",Harvest!$L$6:$L$1505,"&gt;="&amp;INT(B318))&gt;0,"Picking","Growing"))))</f>
        <v/>
      </c>
      <c r="K318" s="14">
        <f>IF(OR(NOT(AND(C318&lt;&gt;"",ISNUMBER(B318))),J318="Planned"),"",IF(ISNUMBER(G318),INT(G318),TODAY())-INT(B318))</f>
        <v/>
      </c>
      <c r="L318" s="11">
        <f>IF(AND(B318="",C318="",D318=""),"",IF(NOT(ISNUMBER(B318)),"Needs a date",IF(C318="","Needs a crop",IF(COUNTIF(Crops!$B$6:$B$65,C318)=0,"Not on Crops",IF(AND(D318&lt;&gt;"",COUNTIF(Beds!$B$6:$B$35,D318)=0),"Not on Beds",IF(AND(ISNUMBER(G318),G318&lt;B318),"Cleared before it was planted",""))))))</f>
        <v/>
      </c>
      <c r="M318" s="11">
        <f>IF(OR(L318&lt;&gt;"",D318="",O318=""),"",IF(COUNTIFS(Plantings!$D$6:$D$505,D318,Plantings!$O$6:$O$505,O318,Plantings!$N$6:$N$505,N318-1)&gt;0,"Same family here last year",""))</f>
        <v/>
      </c>
      <c r="N318" s="1">
        <f>IF(ISNUMBER(B318),YEAR(B318),"")</f>
        <v/>
      </c>
      <c r="O318">
        <f>IF(C318="","",IFERROR(INDEX(Crops!$C$6:$C$65,MATCH(C318,Crops!$B$6:$B$65,0))&amp;"",""))</f>
        <v/>
      </c>
      <c r="P318">
        <f>IF(ISNUMBER(B318),INT(B318),0)</f>
        <v/>
      </c>
      <c r="Q318">
        <f>IF(AND(L318="",OR(J318="Growing",J318="Picking")),1,0)</f>
        <v/>
      </c>
      <c r="R318">
        <f>IF(AND(Q318=1,D318&lt;&gt;""),P318*1000+ROW(),0)</f>
        <v/>
      </c>
      <c r="S318">
        <f>IF(AND(AND(C318&lt;&gt;"",ISNUMBER(B318)),L318=""),1,0)</f>
        <v/>
      </c>
    </row>
    <row r="319">
      <c r="A319" s="1" t="n"/>
      <c r="B319" s="17" t="n"/>
      <c r="C319" s="18" t="n"/>
      <c r="D319" s="19" t="n"/>
      <c r="E319" s="19" t="n"/>
      <c r="F319" s="20" t="n"/>
      <c r="G319" s="17" t="n"/>
      <c r="H319" s="21" t="n"/>
      <c r="I319" s="22">
        <f>IF(NOT(AND(C319&lt;&gt;"",ISNUMBER(B319))),"",IF(N(IFERROR(INDEX(Crops!$F$6:$F$65,MATCH(C319,Crops!$B$6:$B$65,0)),0))&gt;0,INT(B319)+N(IFERROR(INDEX(Crops!$F$6:$F$65,MATCH(C319,Crops!$B$6:$B$65,0)),0)),""))</f>
        <v/>
      </c>
      <c r="J319" s="16">
        <f>IF(NOT(AND(C319&lt;&gt;"",ISNUMBER(B319))),"",IF(ISNUMBER(G319),"Done",IF(INT(B319)&gt;TODAY(),"Planned",IF(COUNTIFS(Harvest!$C$6:$C$1505,C319,Harvest!$D$6:$D$1505,D319&amp;"",Harvest!$L$6:$L$1505,"&gt;="&amp;INT(B319))&gt;0,"Picking","Growing"))))</f>
        <v/>
      </c>
      <c r="K319" s="14">
        <f>IF(OR(NOT(AND(C319&lt;&gt;"",ISNUMBER(B319))),J319="Planned"),"",IF(ISNUMBER(G319),INT(G319),TODAY())-INT(B319))</f>
        <v/>
      </c>
      <c r="L319" s="11">
        <f>IF(AND(B319="",C319="",D319=""),"",IF(NOT(ISNUMBER(B319)),"Needs a date",IF(C319="","Needs a crop",IF(COUNTIF(Crops!$B$6:$B$65,C319)=0,"Not on Crops",IF(AND(D319&lt;&gt;"",COUNTIF(Beds!$B$6:$B$35,D319)=0),"Not on Beds",IF(AND(ISNUMBER(G319),G319&lt;B319),"Cleared before it was planted",""))))))</f>
        <v/>
      </c>
      <c r="M319" s="11">
        <f>IF(OR(L319&lt;&gt;"",D319="",O319=""),"",IF(COUNTIFS(Plantings!$D$6:$D$505,D319,Plantings!$O$6:$O$505,O319,Plantings!$N$6:$N$505,N319-1)&gt;0,"Same family here last year",""))</f>
        <v/>
      </c>
      <c r="N319" s="1">
        <f>IF(ISNUMBER(B319),YEAR(B319),"")</f>
        <v/>
      </c>
      <c r="O319">
        <f>IF(C319="","",IFERROR(INDEX(Crops!$C$6:$C$65,MATCH(C319,Crops!$B$6:$B$65,0))&amp;"",""))</f>
        <v/>
      </c>
      <c r="P319">
        <f>IF(ISNUMBER(B319),INT(B319),0)</f>
        <v/>
      </c>
      <c r="Q319">
        <f>IF(AND(L319="",OR(J319="Growing",J319="Picking")),1,0)</f>
        <v/>
      </c>
      <c r="R319">
        <f>IF(AND(Q319=1,D319&lt;&gt;""),P319*1000+ROW(),0)</f>
        <v/>
      </c>
      <c r="S319">
        <f>IF(AND(AND(C319&lt;&gt;"",ISNUMBER(B319)),L319=""),1,0)</f>
        <v/>
      </c>
    </row>
    <row r="320">
      <c r="A320" s="1" t="n"/>
      <c r="B320" s="17" t="n"/>
      <c r="C320" s="18" t="n"/>
      <c r="D320" s="19" t="n"/>
      <c r="E320" s="19" t="n"/>
      <c r="F320" s="20" t="n"/>
      <c r="G320" s="17" t="n"/>
      <c r="H320" s="21" t="n"/>
      <c r="I320" s="22">
        <f>IF(NOT(AND(C320&lt;&gt;"",ISNUMBER(B320))),"",IF(N(IFERROR(INDEX(Crops!$F$6:$F$65,MATCH(C320,Crops!$B$6:$B$65,0)),0))&gt;0,INT(B320)+N(IFERROR(INDEX(Crops!$F$6:$F$65,MATCH(C320,Crops!$B$6:$B$65,0)),0)),""))</f>
        <v/>
      </c>
      <c r="J320" s="16">
        <f>IF(NOT(AND(C320&lt;&gt;"",ISNUMBER(B320))),"",IF(ISNUMBER(G320),"Done",IF(INT(B320)&gt;TODAY(),"Planned",IF(COUNTIFS(Harvest!$C$6:$C$1505,C320,Harvest!$D$6:$D$1505,D320&amp;"",Harvest!$L$6:$L$1505,"&gt;="&amp;INT(B320))&gt;0,"Picking","Growing"))))</f>
        <v/>
      </c>
      <c r="K320" s="14">
        <f>IF(OR(NOT(AND(C320&lt;&gt;"",ISNUMBER(B320))),J320="Planned"),"",IF(ISNUMBER(G320),INT(G320),TODAY())-INT(B320))</f>
        <v/>
      </c>
      <c r="L320" s="11">
        <f>IF(AND(B320="",C320="",D320=""),"",IF(NOT(ISNUMBER(B320)),"Needs a date",IF(C320="","Needs a crop",IF(COUNTIF(Crops!$B$6:$B$65,C320)=0,"Not on Crops",IF(AND(D320&lt;&gt;"",COUNTIF(Beds!$B$6:$B$35,D320)=0),"Not on Beds",IF(AND(ISNUMBER(G320),G320&lt;B320),"Cleared before it was planted",""))))))</f>
        <v/>
      </c>
      <c r="M320" s="11">
        <f>IF(OR(L320&lt;&gt;"",D320="",O320=""),"",IF(COUNTIFS(Plantings!$D$6:$D$505,D320,Plantings!$O$6:$O$505,O320,Plantings!$N$6:$N$505,N320-1)&gt;0,"Same family here last year",""))</f>
        <v/>
      </c>
      <c r="N320" s="1">
        <f>IF(ISNUMBER(B320),YEAR(B320),"")</f>
        <v/>
      </c>
      <c r="O320">
        <f>IF(C320="","",IFERROR(INDEX(Crops!$C$6:$C$65,MATCH(C320,Crops!$B$6:$B$65,0))&amp;"",""))</f>
        <v/>
      </c>
      <c r="P320">
        <f>IF(ISNUMBER(B320),INT(B320),0)</f>
        <v/>
      </c>
      <c r="Q320">
        <f>IF(AND(L320="",OR(J320="Growing",J320="Picking")),1,0)</f>
        <v/>
      </c>
      <c r="R320">
        <f>IF(AND(Q320=1,D320&lt;&gt;""),P320*1000+ROW(),0)</f>
        <v/>
      </c>
      <c r="S320">
        <f>IF(AND(AND(C320&lt;&gt;"",ISNUMBER(B320)),L320=""),1,0)</f>
        <v/>
      </c>
    </row>
    <row r="321">
      <c r="A321" s="1" t="n"/>
      <c r="B321" s="17" t="n"/>
      <c r="C321" s="18" t="n"/>
      <c r="D321" s="19" t="n"/>
      <c r="E321" s="19" t="n"/>
      <c r="F321" s="20" t="n"/>
      <c r="G321" s="17" t="n"/>
      <c r="H321" s="21" t="n"/>
      <c r="I321" s="22">
        <f>IF(NOT(AND(C321&lt;&gt;"",ISNUMBER(B321))),"",IF(N(IFERROR(INDEX(Crops!$F$6:$F$65,MATCH(C321,Crops!$B$6:$B$65,0)),0))&gt;0,INT(B321)+N(IFERROR(INDEX(Crops!$F$6:$F$65,MATCH(C321,Crops!$B$6:$B$65,0)),0)),""))</f>
        <v/>
      </c>
      <c r="J321" s="16">
        <f>IF(NOT(AND(C321&lt;&gt;"",ISNUMBER(B321))),"",IF(ISNUMBER(G321),"Done",IF(INT(B321)&gt;TODAY(),"Planned",IF(COUNTIFS(Harvest!$C$6:$C$1505,C321,Harvest!$D$6:$D$1505,D321&amp;"",Harvest!$L$6:$L$1505,"&gt;="&amp;INT(B321))&gt;0,"Picking","Growing"))))</f>
        <v/>
      </c>
      <c r="K321" s="14">
        <f>IF(OR(NOT(AND(C321&lt;&gt;"",ISNUMBER(B321))),J321="Planned"),"",IF(ISNUMBER(G321),INT(G321),TODAY())-INT(B321))</f>
        <v/>
      </c>
      <c r="L321" s="11">
        <f>IF(AND(B321="",C321="",D321=""),"",IF(NOT(ISNUMBER(B321)),"Needs a date",IF(C321="","Needs a crop",IF(COUNTIF(Crops!$B$6:$B$65,C321)=0,"Not on Crops",IF(AND(D321&lt;&gt;"",COUNTIF(Beds!$B$6:$B$35,D321)=0),"Not on Beds",IF(AND(ISNUMBER(G321),G321&lt;B321),"Cleared before it was planted",""))))))</f>
        <v/>
      </c>
      <c r="M321" s="11">
        <f>IF(OR(L321&lt;&gt;"",D321="",O321=""),"",IF(COUNTIFS(Plantings!$D$6:$D$505,D321,Plantings!$O$6:$O$505,O321,Plantings!$N$6:$N$505,N321-1)&gt;0,"Same family here last year",""))</f>
        <v/>
      </c>
      <c r="N321" s="1">
        <f>IF(ISNUMBER(B321),YEAR(B321),"")</f>
        <v/>
      </c>
      <c r="O321">
        <f>IF(C321="","",IFERROR(INDEX(Crops!$C$6:$C$65,MATCH(C321,Crops!$B$6:$B$65,0))&amp;"",""))</f>
        <v/>
      </c>
      <c r="P321">
        <f>IF(ISNUMBER(B321),INT(B321),0)</f>
        <v/>
      </c>
      <c r="Q321">
        <f>IF(AND(L321="",OR(J321="Growing",J321="Picking")),1,0)</f>
        <v/>
      </c>
      <c r="R321">
        <f>IF(AND(Q321=1,D321&lt;&gt;""),P321*1000+ROW(),0)</f>
        <v/>
      </c>
      <c r="S321">
        <f>IF(AND(AND(C321&lt;&gt;"",ISNUMBER(B321)),L321=""),1,0)</f>
        <v/>
      </c>
    </row>
    <row r="322">
      <c r="A322" s="1" t="n"/>
      <c r="B322" s="17" t="n"/>
      <c r="C322" s="18" t="n"/>
      <c r="D322" s="19" t="n"/>
      <c r="E322" s="19" t="n"/>
      <c r="F322" s="20" t="n"/>
      <c r="G322" s="17" t="n"/>
      <c r="H322" s="21" t="n"/>
      <c r="I322" s="22">
        <f>IF(NOT(AND(C322&lt;&gt;"",ISNUMBER(B322))),"",IF(N(IFERROR(INDEX(Crops!$F$6:$F$65,MATCH(C322,Crops!$B$6:$B$65,0)),0))&gt;0,INT(B322)+N(IFERROR(INDEX(Crops!$F$6:$F$65,MATCH(C322,Crops!$B$6:$B$65,0)),0)),""))</f>
        <v/>
      </c>
      <c r="J322" s="16">
        <f>IF(NOT(AND(C322&lt;&gt;"",ISNUMBER(B322))),"",IF(ISNUMBER(G322),"Done",IF(INT(B322)&gt;TODAY(),"Planned",IF(COUNTIFS(Harvest!$C$6:$C$1505,C322,Harvest!$D$6:$D$1505,D322&amp;"",Harvest!$L$6:$L$1505,"&gt;="&amp;INT(B322))&gt;0,"Picking","Growing"))))</f>
        <v/>
      </c>
      <c r="K322" s="14">
        <f>IF(OR(NOT(AND(C322&lt;&gt;"",ISNUMBER(B322))),J322="Planned"),"",IF(ISNUMBER(G322),INT(G322),TODAY())-INT(B322))</f>
        <v/>
      </c>
      <c r="L322" s="11">
        <f>IF(AND(B322="",C322="",D322=""),"",IF(NOT(ISNUMBER(B322)),"Needs a date",IF(C322="","Needs a crop",IF(COUNTIF(Crops!$B$6:$B$65,C322)=0,"Not on Crops",IF(AND(D322&lt;&gt;"",COUNTIF(Beds!$B$6:$B$35,D322)=0),"Not on Beds",IF(AND(ISNUMBER(G322),G322&lt;B322),"Cleared before it was planted",""))))))</f>
        <v/>
      </c>
      <c r="M322" s="11">
        <f>IF(OR(L322&lt;&gt;"",D322="",O322=""),"",IF(COUNTIFS(Plantings!$D$6:$D$505,D322,Plantings!$O$6:$O$505,O322,Plantings!$N$6:$N$505,N322-1)&gt;0,"Same family here last year",""))</f>
        <v/>
      </c>
      <c r="N322" s="1">
        <f>IF(ISNUMBER(B322),YEAR(B322),"")</f>
        <v/>
      </c>
      <c r="O322">
        <f>IF(C322="","",IFERROR(INDEX(Crops!$C$6:$C$65,MATCH(C322,Crops!$B$6:$B$65,0))&amp;"",""))</f>
        <v/>
      </c>
      <c r="P322">
        <f>IF(ISNUMBER(B322),INT(B322),0)</f>
        <v/>
      </c>
      <c r="Q322">
        <f>IF(AND(L322="",OR(J322="Growing",J322="Picking")),1,0)</f>
        <v/>
      </c>
      <c r="R322">
        <f>IF(AND(Q322=1,D322&lt;&gt;""),P322*1000+ROW(),0)</f>
        <v/>
      </c>
      <c r="S322">
        <f>IF(AND(AND(C322&lt;&gt;"",ISNUMBER(B322)),L322=""),1,0)</f>
        <v/>
      </c>
    </row>
    <row r="323">
      <c r="A323" s="1" t="n"/>
      <c r="B323" s="17" t="n"/>
      <c r="C323" s="18" t="n"/>
      <c r="D323" s="19" t="n"/>
      <c r="E323" s="19" t="n"/>
      <c r="F323" s="20" t="n"/>
      <c r="G323" s="17" t="n"/>
      <c r="H323" s="21" t="n"/>
      <c r="I323" s="22">
        <f>IF(NOT(AND(C323&lt;&gt;"",ISNUMBER(B323))),"",IF(N(IFERROR(INDEX(Crops!$F$6:$F$65,MATCH(C323,Crops!$B$6:$B$65,0)),0))&gt;0,INT(B323)+N(IFERROR(INDEX(Crops!$F$6:$F$65,MATCH(C323,Crops!$B$6:$B$65,0)),0)),""))</f>
        <v/>
      </c>
      <c r="J323" s="16">
        <f>IF(NOT(AND(C323&lt;&gt;"",ISNUMBER(B323))),"",IF(ISNUMBER(G323),"Done",IF(INT(B323)&gt;TODAY(),"Planned",IF(COUNTIFS(Harvest!$C$6:$C$1505,C323,Harvest!$D$6:$D$1505,D323&amp;"",Harvest!$L$6:$L$1505,"&gt;="&amp;INT(B323))&gt;0,"Picking","Growing"))))</f>
        <v/>
      </c>
      <c r="K323" s="14">
        <f>IF(OR(NOT(AND(C323&lt;&gt;"",ISNUMBER(B323))),J323="Planned"),"",IF(ISNUMBER(G323),INT(G323),TODAY())-INT(B323))</f>
        <v/>
      </c>
      <c r="L323" s="11">
        <f>IF(AND(B323="",C323="",D323=""),"",IF(NOT(ISNUMBER(B323)),"Needs a date",IF(C323="","Needs a crop",IF(COUNTIF(Crops!$B$6:$B$65,C323)=0,"Not on Crops",IF(AND(D323&lt;&gt;"",COUNTIF(Beds!$B$6:$B$35,D323)=0),"Not on Beds",IF(AND(ISNUMBER(G323),G323&lt;B323),"Cleared before it was planted",""))))))</f>
        <v/>
      </c>
      <c r="M323" s="11">
        <f>IF(OR(L323&lt;&gt;"",D323="",O323=""),"",IF(COUNTIFS(Plantings!$D$6:$D$505,D323,Plantings!$O$6:$O$505,O323,Plantings!$N$6:$N$505,N323-1)&gt;0,"Same family here last year",""))</f>
        <v/>
      </c>
      <c r="N323" s="1">
        <f>IF(ISNUMBER(B323),YEAR(B323),"")</f>
        <v/>
      </c>
      <c r="O323">
        <f>IF(C323="","",IFERROR(INDEX(Crops!$C$6:$C$65,MATCH(C323,Crops!$B$6:$B$65,0))&amp;"",""))</f>
        <v/>
      </c>
      <c r="P323">
        <f>IF(ISNUMBER(B323),INT(B323),0)</f>
        <v/>
      </c>
      <c r="Q323">
        <f>IF(AND(L323="",OR(J323="Growing",J323="Picking")),1,0)</f>
        <v/>
      </c>
      <c r="R323">
        <f>IF(AND(Q323=1,D323&lt;&gt;""),P323*1000+ROW(),0)</f>
        <v/>
      </c>
      <c r="S323">
        <f>IF(AND(AND(C323&lt;&gt;"",ISNUMBER(B323)),L323=""),1,0)</f>
        <v/>
      </c>
    </row>
    <row r="324">
      <c r="A324" s="1" t="n"/>
      <c r="B324" s="17" t="n"/>
      <c r="C324" s="18" t="n"/>
      <c r="D324" s="19" t="n"/>
      <c r="E324" s="19" t="n"/>
      <c r="F324" s="20" t="n"/>
      <c r="G324" s="17" t="n"/>
      <c r="H324" s="21" t="n"/>
      <c r="I324" s="22">
        <f>IF(NOT(AND(C324&lt;&gt;"",ISNUMBER(B324))),"",IF(N(IFERROR(INDEX(Crops!$F$6:$F$65,MATCH(C324,Crops!$B$6:$B$65,0)),0))&gt;0,INT(B324)+N(IFERROR(INDEX(Crops!$F$6:$F$65,MATCH(C324,Crops!$B$6:$B$65,0)),0)),""))</f>
        <v/>
      </c>
      <c r="J324" s="16">
        <f>IF(NOT(AND(C324&lt;&gt;"",ISNUMBER(B324))),"",IF(ISNUMBER(G324),"Done",IF(INT(B324)&gt;TODAY(),"Planned",IF(COUNTIFS(Harvest!$C$6:$C$1505,C324,Harvest!$D$6:$D$1505,D324&amp;"",Harvest!$L$6:$L$1505,"&gt;="&amp;INT(B324))&gt;0,"Picking","Growing"))))</f>
        <v/>
      </c>
      <c r="K324" s="14">
        <f>IF(OR(NOT(AND(C324&lt;&gt;"",ISNUMBER(B324))),J324="Planned"),"",IF(ISNUMBER(G324),INT(G324),TODAY())-INT(B324))</f>
        <v/>
      </c>
      <c r="L324" s="11">
        <f>IF(AND(B324="",C324="",D324=""),"",IF(NOT(ISNUMBER(B324)),"Needs a date",IF(C324="","Needs a crop",IF(COUNTIF(Crops!$B$6:$B$65,C324)=0,"Not on Crops",IF(AND(D324&lt;&gt;"",COUNTIF(Beds!$B$6:$B$35,D324)=0),"Not on Beds",IF(AND(ISNUMBER(G324),G324&lt;B324),"Cleared before it was planted",""))))))</f>
        <v/>
      </c>
      <c r="M324" s="11">
        <f>IF(OR(L324&lt;&gt;"",D324="",O324=""),"",IF(COUNTIFS(Plantings!$D$6:$D$505,D324,Plantings!$O$6:$O$505,O324,Plantings!$N$6:$N$505,N324-1)&gt;0,"Same family here last year",""))</f>
        <v/>
      </c>
      <c r="N324" s="1">
        <f>IF(ISNUMBER(B324),YEAR(B324),"")</f>
        <v/>
      </c>
      <c r="O324">
        <f>IF(C324="","",IFERROR(INDEX(Crops!$C$6:$C$65,MATCH(C324,Crops!$B$6:$B$65,0))&amp;"",""))</f>
        <v/>
      </c>
      <c r="P324">
        <f>IF(ISNUMBER(B324),INT(B324),0)</f>
        <v/>
      </c>
      <c r="Q324">
        <f>IF(AND(L324="",OR(J324="Growing",J324="Picking")),1,0)</f>
        <v/>
      </c>
      <c r="R324">
        <f>IF(AND(Q324=1,D324&lt;&gt;""),P324*1000+ROW(),0)</f>
        <v/>
      </c>
      <c r="S324">
        <f>IF(AND(AND(C324&lt;&gt;"",ISNUMBER(B324)),L324=""),1,0)</f>
        <v/>
      </c>
    </row>
    <row r="325">
      <c r="A325" s="1" t="n"/>
      <c r="B325" s="17" t="n"/>
      <c r="C325" s="18" t="n"/>
      <c r="D325" s="19" t="n"/>
      <c r="E325" s="19" t="n"/>
      <c r="F325" s="20" t="n"/>
      <c r="G325" s="17" t="n"/>
      <c r="H325" s="21" t="n"/>
      <c r="I325" s="22">
        <f>IF(NOT(AND(C325&lt;&gt;"",ISNUMBER(B325))),"",IF(N(IFERROR(INDEX(Crops!$F$6:$F$65,MATCH(C325,Crops!$B$6:$B$65,0)),0))&gt;0,INT(B325)+N(IFERROR(INDEX(Crops!$F$6:$F$65,MATCH(C325,Crops!$B$6:$B$65,0)),0)),""))</f>
        <v/>
      </c>
      <c r="J325" s="16">
        <f>IF(NOT(AND(C325&lt;&gt;"",ISNUMBER(B325))),"",IF(ISNUMBER(G325),"Done",IF(INT(B325)&gt;TODAY(),"Planned",IF(COUNTIFS(Harvest!$C$6:$C$1505,C325,Harvest!$D$6:$D$1505,D325&amp;"",Harvest!$L$6:$L$1505,"&gt;="&amp;INT(B325))&gt;0,"Picking","Growing"))))</f>
        <v/>
      </c>
      <c r="K325" s="14">
        <f>IF(OR(NOT(AND(C325&lt;&gt;"",ISNUMBER(B325))),J325="Planned"),"",IF(ISNUMBER(G325),INT(G325),TODAY())-INT(B325))</f>
        <v/>
      </c>
      <c r="L325" s="11">
        <f>IF(AND(B325="",C325="",D325=""),"",IF(NOT(ISNUMBER(B325)),"Needs a date",IF(C325="","Needs a crop",IF(COUNTIF(Crops!$B$6:$B$65,C325)=0,"Not on Crops",IF(AND(D325&lt;&gt;"",COUNTIF(Beds!$B$6:$B$35,D325)=0),"Not on Beds",IF(AND(ISNUMBER(G325),G325&lt;B325),"Cleared before it was planted",""))))))</f>
        <v/>
      </c>
      <c r="M325" s="11">
        <f>IF(OR(L325&lt;&gt;"",D325="",O325=""),"",IF(COUNTIFS(Plantings!$D$6:$D$505,D325,Plantings!$O$6:$O$505,O325,Plantings!$N$6:$N$505,N325-1)&gt;0,"Same family here last year",""))</f>
        <v/>
      </c>
      <c r="N325" s="1">
        <f>IF(ISNUMBER(B325),YEAR(B325),"")</f>
        <v/>
      </c>
      <c r="O325">
        <f>IF(C325="","",IFERROR(INDEX(Crops!$C$6:$C$65,MATCH(C325,Crops!$B$6:$B$65,0))&amp;"",""))</f>
        <v/>
      </c>
      <c r="P325">
        <f>IF(ISNUMBER(B325),INT(B325),0)</f>
        <v/>
      </c>
      <c r="Q325">
        <f>IF(AND(L325="",OR(J325="Growing",J325="Picking")),1,0)</f>
        <v/>
      </c>
      <c r="R325">
        <f>IF(AND(Q325=1,D325&lt;&gt;""),P325*1000+ROW(),0)</f>
        <v/>
      </c>
      <c r="S325">
        <f>IF(AND(AND(C325&lt;&gt;"",ISNUMBER(B325)),L325=""),1,0)</f>
        <v/>
      </c>
    </row>
    <row r="326">
      <c r="A326" s="1" t="n"/>
      <c r="B326" s="17" t="n"/>
      <c r="C326" s="18" t="n"/>
      <c r="D326" s="19" t="n"/>
      <c r="E326" s="19" t="n"/>
      <c r="F326" s="20" t="n"/>
      <c r="G326" s="17" t="n"/>
      <c r="H326" s="21" t="n"/>
      <c r="I326" s="22">
        <f>IF(NOT(AND(C326&lt;&gt;"",ISNUMBER(B326))),"",IF(N(IFERROR(INDEX(Crops!$F$6:$F$65,MATCH(C326,Crops!$B$6:$B$65,0)),0))&gt;0,INT(B326)+N(IFERROR(INDEX(Crops!$F$6:$F$65,MATCH(C326,Crops!$B$6:$B$65,0)),0)),""))</f>
        <v/>
      </c>
      <c r="J326" s="16">
        <f>IF(NOT(AND(C326&lt;&gt;"",ISNUMBER(B326))),"",IF(ISNUMBER(G326),"Done",IF(INT(B326)&gt;TODAY(),"Planned",IF(COUNTIFS(Harvest!$C$6:$C$1505,C326,Harvest!$D$6:$D$1505,D326&amp;"",Harvest!$L$6:$L$1505,"&gt;="&amp;INT(B326))&gt;0,"Picking","Growing"))))</f>
        <v/>
      </c>
      <c r="K326" s="14">
        <f>IF(OR(NOT(AND(C326&lt;&gt;"",ISNUMBER(B326))),J326="Planned"),"",IF(ISNUMBER(G326),INT(G326),TODAY())-INT(B326))</f>
        <v/>
      </c>
      <c r="L326" s="11">
        <f>IF(AND(B326="",C326="",D326=""),"",IF(NOT(ISNUMBER(B326)),"Needs a date",IF(C326="","Needs a crop",IF(COUNTIF(Crops!$B$6:$B$65,C326)=0,"Not on Crops",IF(AND(D326&lt;&gt;"",COUNTIF(Beds!$B$6:$B$35,D326)=0),"Not on Beds",IF(AND(ISNUMBER(G326),G326&lt;B326),"Cleared before it was planted",""))))))</f>
        <v/>
      </c>
      <c r="M326" s="11">
        <f>IF(OR(L326&lt;&gt;"",D326="",O326=""),"",IF(COUNTIFS(Plantings!$D$6:$D$505,D326,Plantings!$O$6:$O$505,O326,Plantings!$N$6:$N$505,N326-1)&gt;0,"Same family here last year",""))</f>
        <v/>
      </c>
      <c r="N326" s="1">
        <f>IF(ISNUMBER(B326),YEAR(B326),"")</f>
        <v/>
      </c>
      <c r="O326">
        <f>IF(C326="","",IFERROR(INDEX(Crops!$C$6:$C$65,MATCH(C326,Crops!$B$6:$B$65,0))&amp;"",""))</f>
        <v/>
      </c>
      <c r="P326">
        <f>IF(ISNUMBER(B326),INT(B326),0)</f>
        <v/>
      </c>
      <c r="Q326">
        <f>IF(AND(L326="",OR(J326="Growing",J326="Picking")),1,0)</f>
        <v/>
      </c>
      <c r="R326">
        <f>IF(AND(Q326=1,D326&lt;&gt;""),P326*1000+ROW(),0)</f>
        <v/>
      </c>
      <c r="S326">
        <f>IF(AND(AND(C326&lt;&gt;"",ISNUMBER(B326)),L326=""),1,0)</f>
        <v/>
      </c>
    </row>
    <row r="327">
      <c r="A327" s="1" t="n"/>
      <c r="B327" s="17" t="n"/>
      <c r="C327" s="18" t="n"/>
      <c r="D327" s="19" t="n"/>
      <c r="E327" s="19" t="n"/>
      <c r="F327" s="20" t="n"/>
      <c r="G327" s="17" t="n"/>
      <c r="H327" s="21" t="n"/>
      <c r="I327" s="22">
        <f>IF(NOT(AND(C327&lt;&gt;"",ISNUMBER(B327))),"",IF(N(IFERROR(INDEX(Crops!$F$6:$F$65,MATCH(C327,Crops!$B$6:$B$65,0)),0))&gt;0,INT(B327)+N(IFERROR(INDEX(Crops!$F$6:$F$65,MATCH(C327,Crops!$B$6:$B$65,0)),0)),""))</f>
        <v/>
      </c>
      <c r="J327" s="16">
        <f>IF(NOT(AND(C327&lt;&gt;"",ISNUMBER(B327))),"",IF(ISNUMBER(G327),"Done",IF(INT(B327)&gt;TODAY(),"Planned",IF(COUNTIFS(Harvest!$C$6:$C$1505,C327,Harvest!$D$6:$D$1505,D327&amp;"",Harvest!$L$6:$L$1505,"&gt;="&amp;INT(B327))&gt;0,"Picking","Growing"))))</f>
        <v/>
      </c>
      <c r="K327" s="14">
        <f>IF(OR(NOT(AND(C327&lt;&gt;"",ISNUMBER(B327))),J327="Planned"),"",IF(ISNUMBER(G327),INT(G327),TODAY())-INT(B327))</f>
        <v/>
      </c>
      <c r="L327" s="11">
        <f>IF(AND(B327="",C327="",D327=""),"",IF(NOT(ISNUMBER(B327)),"Needs a date",IF(C327="","Needs a crop",IF(COUNTIF(Crops!$B$6:$B$65,C327)=0,"Not on Crops",IF(AND(D327&lt;&gt;"",COUNTIF(Beds!$B$6:$B$35,D327)=0),"Not on Beds",IF(AND(ISNUMBER(G327),G327&lt;B327),"Cleared before it was planted",""))))))</f>
        <v/>
      </c>
      <c r="M327" s="11">
        <f>IF(OR(L327&lt;&gt;"",D327="",O327=""),"",IF(COUNTIFS(Plantings!$D$6:$D$505,D327,Plantings!$O$6:$O$505,O327,Plantings!$N$6:$N$505,N327-1)&gt;0,"Same family here last year",""))</f>
        <v/>
      </c>
      <c r="N327" s="1">
        <f>IF(ISNUMBER(B327),YEAR(B327),"")</f>
        <v/>
      </c>
      <c r="O327">
        <f>IF(C327="","",IFERROR(INDEX(Crops!$C$6:$C$65,MATCH(C327,Crops!$B$6:$B$65,0))&amp;"",""))</f>
        <v/>
      </c>
      <c r="P327">
        <f>IF(ISNUMBER(B327),INT(B327),0)</f>
        <v/>
      </c>
      <c r="Q327">
        <f>IF(AND(L327="",OR(J327="Growing",J327="Picking")),1,0)</f>
        <v/>
      </c>
      <c r="R327">
        <f>IF(AND(Q327=1,D327&lt;&gt;""),P327*1000+ROW(),0)</f>
        <v/>
      </c>
      <c r="S327">
        <f>IF(AND(AND(C327&lt;&gt;"",ISNUMBER(B327)),L327=""),1,0)</f>
        <v/>
      </c>
    </row>
    <row r="328">
      <c r="A328" s="1" t="n"/>
      <c r="B328" s="17" t="n"/>
      <c r="C328" s="18" t="n"/>
      <c r="D328" s="19" t="n"/>
      <c r="E328" s="19" t="n"/>
      <c r="F328" s="20" t="n"/>
      <c r="G328" s="17" t="n"/>
      <c r="H328" s="21" t="n"/>
      <c r="I328" s="22">
        <f>IF(NOT(AND(C328&lt;&gt;"",ISNUMBER(B328))),"",IF(N(IFERROR(INDEX(Crops!$F$6:$F$65,MATCH(C328,Crops!$B$6:$B$65,0)),0))&gt;0,INT(B328)+N(IFERROR(INDEX(Crops!$F$6:$F$65,MATCH(C328,Crops!$B$6:$B$65,0)),0)),""))</f>
        <v/>
      </c>
      <c r="J328" s="16">
        <f>IF(NOT(AND(C328&lt;&gt;"",ISNUMBER(B328))),"",IF(ISNUMBER(G328),"Done",IF(INT(B328)&gt;TODAY(),"Planned",IF(COUNTIFS(Harvest!$C$6:$C$1505,C328,Harvest!$D$6:$D$1505,D328&amp;"",Harvest!$L$6:$L$1505,"&gt;="&amp;INT(B328))&gt;0,"Picking","Growing"))))</f>
        <v/>
      </c>
      <c r="K328" s="14">
        <f>IF(OR(NOT(AND(C328&lt;&gt;"",ISNUMBER(B328))),J328="Planned"),"",IF(ISNUMBER(G328),INT(G328),TODAY())-INT(B328))</f>
        <v/>
      </c>
      <c r="L328" s="11">
        <f>IF(AND(B328="",C328="",D328=""),"",IF(NOT(ISNUMBER(B328)),"Needs a date",IF(C328="","Needs a crop",IF(COUNTIF(Crops!$B$6:$B$65,C328)=0,"Not on Crops",IF(AND(D328&lt;&gt;"",COUNTIF(Beds!$B$6:$B$35,D328)=0),"Not on Beds",IF(AND(ISNUMBER(G328),G328&lt;B328),"Cleared before it was planted",""))))))</f>
        <v/>
      </c>
      <c r="M328" s="11">
        <f>IF(OR(L328&lt;&gt;"",D328="",O328=""),"",IF(COUNTIFS(Plantings!$D$6:$D$505,D328,Plantings!$O$6:$O$505,O328,Plantings!$N$6:$N$505,N328-1)&gt;0,"Same family here last year",""))</f>
        <v/>
      </c>
      <c r="N328" s="1">
        <f>IF(ISNUMBER(B328),YEAR(B328),"")</f>
        <v/>
      </c>
      <c r="O328">
        <f>IF(C328="","",IFERROR(INDEX(Crops!$C$6:$C$65,MATCH(C328,Crops!$B$6:$B$65,0))&amp;"",""))</f>
        <v/>
      </c>
      <c r="P328">
        <f>IF(ISNUMBER(B328),INT(B328),0)</f>
        <v/>
      </c>
      <c r="Q328">
        <f>IF(AND(L328="",OR(J328="Growing",J328="Picking")),1,0)</f>
        <v/>
      </c>
      <c r="R328">
        <f>IF(AND(Q328=1,D328&lt;&gt;""),P328*1000+ROW(),0)</f>
        <v/>
      </c>
      <c r="S328">
        <f>IF(AND(AND(C328&lt;&gt;"",ISNUMBER(B328)),L328=""),1,0)</f>
        <v/>
      </c>
    </row>
    <row r="329">
      <c r="A329" s="1" t="n"/>
      <c r="B329" s="17" t="n"/>
      <c r="C329" s="18" t="n"/>
      <c r="D329" s="19" t="n"/>
      <c r="E329" s="19" t="n"/>
      <c r="F329" s="20" t="n"/>
      <c r="G329" s="17" t="n"/>
      <c r="H329" s="21" t="n"/>
      <c r="I329" s="22">
        <f>IF(NOT(AND(C329&lt;&gt;"",ISNUMBER(B329))),"",IF(N(IFERROR(INDEX(Crops!$F$6:$F$65,MATCH(C329,Crops!$B$6:$B$65,0)),0))&gt;0,INT(B329)+N(IFERROR(INDEX(Crops!$F$6:$F$65,MATCH(C329,Crops!$B$6:$B$65,0)),0)),""))</f>
        <v/>
      </c>
      <c r="J329" s="16">
        <f>IF(NOT(AND(C329&lt;&gt;"",ISNUMBER(B329))),"",IF(ISNUMBER(G329),"Done",IF(INT(B329)&gt;TODAY(),"Planned",IF(COUNTIFS(Harvest!$C$6:$C$1505,C329,Harvest!$D$6:$D$1505,D329&amp;"",Harvest!$L$6:$L$1505,"&gt;="&amp;INT(B329))&gt;0,"Picking","Growing"))))</f>
        <v/>
      </c>
      <c r="K329" s="14">
        <f>IF(OR(NOT(AND(C329&lt;&gt;"",ISNUMBER(B329))),J329="Planned"),"",IF(ISNUMBER(G329),INT(G329),TODAY())-INT(B329))</f>
        <v/>
      </c>
      <c r="L329" s="11">
        <f>IF(AND(B329="",C329="",D329=""),"",IF(NOT(ISNUMBER(B329)),"Needs a date",IF(C329="","Needs a crop",IF(COUNTIF(Crops!$B$6:$B$65,C329)=0,"Not on Crops",IF(AND(D329&lt;&gt;"",COUNTIF(Beds!$B$6:$B$35,D329)=0),"Not on Beds",IF(AND(ISNUMBER(G329),G329&lt;B329),"Cleared before it was planted",""))))))</f>
        <v/>
      </c>
      <c r="M329" s="11">
        <f>IF(OR(L329&lt;&gt;"",D329="",O329=""),"",IF(COUNTIFS(Plantings!$D$6:$D$505,D329,Plantings!$O$6:$O$505,O329,Plantings!$N$6:$N$505,N329-1)&gt;0,"Same family here last year",""))</f>
        <v/>
      </c>
      <c r="N329" s="1">
        <f>IF(ISNUMBER(B329),YEAR(B329),"")</f>
        <v/>
      </c>
      <c r="O329">
        <f>IF(C329="","",IFERROR(INDEX(Crops!$C$6:$C$65,MATCH(C329,Crops!$B$6:$B$65,0))&amp;"",""))</f>
        <v/>
      </c>
      <c r="P329">
        <f>IF(ISNUMBER(B329),INT(B329),0)</f>
        <v/>
      </c>
      <c r="Q329">
        <f>IF(AND(L329="",OR(J329="Growing",J329="Picking")),1,0)</f>
        <v/>
      </c>
      <c r="R329">
        <f>IF(AND(Q329=1,D329&lt;&gt;""),P329*1000+ROW(),0)</f>
        <v/>
      </c>
      <c r="S329">
        <f>IF(AND(AND(C329&lt;&gt;"",ISNUMBER(B329)),L329=""),1,0)</f>
        <v/>
      </c>
    </row>
    <row r="330">
      <c r="A330" s="1" t="n"/>
      <c r="B330" s="17" t="n"/>
      <c r="C330" s="18" t="n"/>
      <c r="D330" s="19" t="n"/>
      <c r="E330" s="19" t="n"/>
      <c r="F330" s="20" t="n"/>
      <c r="G330" s="17" t="n"/>
      <c r="H330" s="21" t="n"/>
      <c r="I330" s="22">
        <f>IF(NOT(AND(C330&lt;&gt;"",ISNUMBER(B330))),"",IF(N(IFERROR(INDEX(Crops!$F$6:$F$65,MATCH(C330,Crops!$B$6:$B$65,0)),0))&gt;0,INT(B330)+N(IFERROR(INDEX(Crops!$F$6:$F$65,MATCH(C330,Crops!$B$6:$B$65,0)),0)),""))</f>
        <v/>
      </c>
      <c r="J330" s="16">
        <f>IF(NOT(AND(C330&lt;&gt;"",ISNUMBER(B330))),"",IF(ISNUMBER(G330),"Done",IF(INT(B330)&gt;TODAY(),"Planned",IF(COUNTIFS(Harvest!$C$6:$C$1505,C330,Harvest!$D$6:$D$1505,D330&amp;"",Harvest!$L$6:$L$1505,"&gt;="&amp;INT(B330))&gt;0,"Picking","Growing"))))</f>
        <v/>
      </c>
      <c r="K330" s="14">
        <f>IF(OR(NOT(AND(C330&lt;&gt;"",ISNUMBER(B330))),J330="Planned"),"",IF(ISNUMBER(G330),INT(G330),TODAY())-INT(B330))</f>
        <v/>
      </c>
      <c r="L330" s="11">
        <f>IF(AND(B330="",C330="",D330=""),"",IF(NOT(ISNUMBER(B330)),"Needs a date",IF(C330="","Needs a crop",IF(COUNTIF(Crops!$B$6:$B$65,C330)=0,"Not on Crops",IF(AND(D330&lt;&gt;"",COUNTIF(Beds!$B$6:$B$35,D330)=0),"Not on Beds",IF(AND(ISNUMBER(G330),G330&lt;B330),"Cleared before it was planted",""))))))</f>
        <v/>
      </c>
      <c r="M330" s="11">
        <f>IF(OR(L330&lt;&gt;"",D330="",O330=""),"",IF(COUNTIFS(Plantings!$D$6:$D$505,D330,Plantings!$O$6:$O$505,O330,Plantings!$N$6:$N$505,N330-1)&gt;0,"Same family here last year",""))</f>
        <v/>
      </c>
      <c r="N330" s="1">
        <f>IF(ISNUMBER(B330),YEAR(B330),"")</f>
        <v/>
      </c>
      <c r="O330">
        <f>IF(C330="","",IFERROR(INDEX(Crops!$C$6:$C$65,MATCH(C330,Crops!$B$6:$B$65,0))&amp;"",""))</f>
        <v/>
      </c>
      <c r="P330">
        <f>IF(ISNUMBER(B330),INT(B330),0)</f>
        <v/>
      </c>
      <c r="Q330">
        <f>IF(AND(L330="",OR(J330="Growing",J330="Picking")),1,0)</f>
        <v/>
      </c>
      <c r="R330">
        <f>IF(AND(Q330=1,D330&lt;&gt;""),P330*1000+ROW(),0)</f>
        <v/>
      </c>
      <c r="S330">
        <f>IF(AND(AND(C330&lt;&gt;"",ISNUMBER(B330)),L330=""),1,0)</f>
        <v/>
      </c>
    </row>
    <row r="331">
      <c r="A331" s="1" t="n"/>
      <c r="B331" s="17" t="n"/>
      <c r="C331" s="18" t="n"/>
      <c r="D331" s="19" t="n"/>
      <c r="E331" s="19" t="n"/>
      <c r="F331" s="20" t="n"/>
      <c r="G331" s="17" t="n"/>
      <c r="H331" s="21" t="n"/>
      <c r="I331" s="22">
        <f>IF(NOT(AND(C331&lt;&gt;"",ISNUMBER(B331))),"",IF(N(IFERROR(INDEX(Crops!$F$6:$F$65,MATCH(C331,Crops!$B$6:$B$65,0)),0))&gt;0,INT(B331)+N(IFERROR(INDEX(Crops!$F$6:$F$65,MATCH(C331,Crops!$B$6:$B$65,0)),0)),""))</f>
        <v/>
      </c>
      <c r="J331" s="16">
        <f>IF(NOT(AND(C331&lt;&gt;"",ISNUMBER(B331))),"",IF(ISNUMBER(G331),"Done",IF(INT(B331)&gt;TODAY(),"Planned",IF(COUNTIFS(Harvest!$C$6:$C$1505,C331,Harvest!$D$6:$D$1505,D331&amp;"",Harvest!$L$6:$L$1505,"&gt;="&amp;INT(B331))&gt;0,"Picking","Growing"))))</f>
        <v/>
      </c>
      <c r="K331" s="14">
        <f>IF(OR(NOT(AND(C331&lt;&gt;"",ISNUMBER(B331))),J331="Planned"),"",IF(ISNUMBER(G331),INT(G331),TODAY())-INT(B331))</f>
        <v/>
      </c>
      <c r="L331" s="11">
        <f>IF(AND(B331="",C331="",D331=""),"",IF(NOT(ISNUMBER(B331)),"Needs a date",IF(C331="","Needs a crop",IF(COUNTIF(Crops!$B$6:$B$65,C331)=0,"Not on Crops",IF(AND(D331&lt;&gt;"",COUNTIF(Beds!$B$6:$B$35,D331)=0),"Not on Beds",IF(AND(ISNUMBER(G331),G331&lt;B331),"Cleared before it was planted",""))))))</f>
        <v/>
      </c>
      <c r="M331" s="11">
        <f>IF(OR(L331&lt;&gt;"",D331="",O331=""),"",IF(COUNTIFS(Plantings!$D$6:$D$505,D331,Plantings!$O$6:$O$505,O331,Plantings!$N$6:$N$505,N331-1)&gt;0,"Same family here last year",""))</f>
        <v/>
      </c>
      <c r="N331" s="1">
        <f>IF(ISNUMBER(B331),YEAR(B331),"")</f>
        <v/>
      </c>
      <c r="O331">
        <f>IF(C331="","",IFERROR(INDEX(Crops!$C$6:$C$65,MATCH(C331,Crops!$B$6:$B$65,0))&amp;"",""))</f>
        <v/>
      </c>
      <c r="P331">
        <f>IF(ISNUMBER(B331),INT(B331),0)</f>
        <v/>
      </c>
      <c r="Q331">
        <f>IF(AND(L331="",OR(J331="Growing",J331="Picking")),1,0)</f>
        <v/>
      </c>
      <c r="R331">
        <f>IF(AND(Q331=1,D331&lt;&gt;""),P331*1000+ROW(),0)</f>
        <v/>
      </c>
      <c r="S331">
        <f>IF(AND(AND(C331&lt;&gt;"",ISNUMBER(B331)),L331=""),1,0)</f>
        <v/>
      </c>
    </row>
    <row r="332">
      <c r="A332" s="1" t="n"/>
      <c r="B332" s="17" t="n"/>
      <c r="C332" s="18" t="n"/>
      <c r="D332" s="19" t="n"/>
      <c r="E332" s="19" t="n"/>
      <c r="F332" s="20" t="n"/>
      <c r="G332" s="17" t="n"/>
      <c r="H332" s="21" t="n"/>
      <c r="I332" s="22">
        <f>IF(NOT(AND(C332&lt;&gt;"",ISNUMBER(B332))),"",IF(N(IFERROR(INDEX(Crops!$F$6:$F$65,MATCH(C332,Crops!$B$6:$B$65,0)),0))&gt;0,INT(B332)+N(IFERROR(INDEX(Crops!$F$6:$F$65,MATCH(C332,Crops!$B$6:$B$65,0)),0)),""))</f>
        <v/>
      </c>
      <c r="J332" s="16">
        <f>IF(NOT(AND(C332&lt;&gt;"",ISNUMBER(B332))),"",IF(ISNUMBER(G332),"Done",IF(INT(B332)&gt;TODAY(),"Planned",IF(COUNTIFS(Harvest!$C$6:$C$1505,C332,Harvest!$D$6:$D$1505,D332&amp;"",Harvest!$L$6:$L$1505,"&gt;="&amp;INT(B332))&gt;0,"Picking","Growing"))))</f>
        <v/>
      </c>
      <c r="K332" s="14">
        <f>IF(OR(NOT(AND(C332&lt;&gt;"",ISNUMBER(B332))),J332="Planned"),"",IF(ISNUMBER(G332),INT(G332),TODAY())-INT(B332))</f>
        <v/>
      </c>
      <c r="L332" s="11">
        <f>IF(AND(B332="",C332="",D332=""),"",IF(NOT(ISNUMBER(B332)),"Needs a date",IF(C332="","Needs a crop",IF(COUNTIF(Crops!$B$6:$B$65,C332)=0,"Not on Crops",IF(AND(D332&lt;&gt;"",COUNTIF(Beds!$B$6:$B$35,D332)=0),"Not on Beds",IF(AND(ISNUMBER(G332),G332&lt;B332),"Cleared before it was planted",""))))))</f>
        <v/>
      </c>
      <c r="M332" s="11">
        <f>IF(OR(L332&lt;&gt;"",D332="",O332=""),"",IF(COUNTIFS(Plantings!$D$6:$D$505,D332,Plantings!$O$6:$O$505,O332,Plantings!$N$6:$N$505,N332-1)&gt;0,"Same family here last year",""))</f>
        <v/>
      </c>
      <c r="N332" s="1">
        <f>IF(ISNUMBER(B332),YEAR(B332),"")</f>
        <v/>
      </c>
      <c r="O332">
        <f>IF(C332="","",IFERROR(INDEX(Crops!$C$6:$C$65,MATCH(C332,Crops!$B$6:$B$65,0))&amp;"",""))</f>
        <v/>
      </c>
      <c r="P332">
        <f>IF(ISNUMBER(B332),INT(B332),0)</f>
        <v/>
      </c>
      <c r="Q332">
        <f>IF(AND(L332="",OR(J332="Growing",J332="Picking")),1,0)</f>
        <v/>
      </c>
      <c r="R332">
        <f>IF(AND(Q332=1,D332&lt;&gt;""),P332*1000+ROW(),0)</f>
        <v/>
      </c>
      <c r="S332">
        <f>IF(AND(AND(C332&lt;&gt;"",ISNUMBER(B332)),L332=""),1,0)</f>
        <v/>
      </c>
    </row>
    <row r="333">
      <c r="A333" s="1" t="n"/>
      <c r="B333" s="17" t="n"/>
      <c r="C333" s="18" t="n"/>
      <c r="D333" s="19" t="n"/>
      <c r="E333" s="19" t="n"/>
      <c r="F333" s="20" t="n"/>
      <c r="G333" s="17" t="n"/>
      <c r="H333" s="21" t="n"/>
      <c r="I333" s="22">
        <f>IF(NOT(AND(C333&lt;&gt;"",ISNUMBER(B333))),"",IF(N(IFERROR(INDEX(Crops!$F$6:$F$65,MATCH(C333,Crops!$B$6:$B$65,0)),0))&gt;0,INT(B333)+N(IFERROR(INDEX(Crops!$F$6:$F$65,MATCH(C333,Crops!$B$6:$B$65,0)),0)),""))</f>
        <v/>
      </c>
      <c r="J333" s="16">
        <f>IF(NOT(AND(C333&lt;&gt;"",ISNUMBER(B333))),"",IF(ISNUMBER(G333),"Done",IF(INT(B333)&gt;TODAY(),"Planned",IF(COUNTIFS(Harvest!$C$6:$C$1505,C333,Harvest!$D$6:$D$1505,D333&amp;"",Harvest!$L$6:$L$1505,"&gt;="&amp;INT(B333))&gt;0,"Picking","Growing"))))</f>
        <v/>
      </c>
      <c r="K333" s="14">
        <f>IF(OR(NOT(AND(C333&lt;&gt;"",ISNUMBER(B333))),J333="Planned"),"",IF(ISNUMBER(G333),INT(G333),TODAY())-INT(B333))</f>
        <v/>
      </c>
      <c r="L333" s="11">
        <f>IF(AND(B333="",C333="",D333=""),"",IF(NOT(ISNUMBER(B333)),"Needs a date",IF(C333="","Needs a crop",IF(COUNTIF(Crops!$B$6:$B$65,C333)=0,"Not on Crops",IF(AND(D333&lt;&gt;"",COUNTIF(Beds!$B$6:$B$35,D333)=0),"Not on Beds",IF(AND(ISNUMBER(G333),G333&lt;B333),"Cleared before it was planted",""))))))</f>
        <v/>
      </c>
      <c r="M333" s="11">
        <f>IF(OR(L333&lt;&gt;"",D333="",O333=""),"",IF(COUNTIFS(Plantings!$D$6:$D$505,D333,Plantings!$O$6:$O$505,O333,Plantings!$N$6:$N$505,N333-1)&gt;0,"Same family here last year",""))</f>
        <v/>
      </c>
      <c r="N333" s="1">
        <f>IF(ISNUMBER(B333),YEAR(B333),"")</f>
        <v/>
      </c>
      <c r="O333">
        <f>IF(C333="","",IFERROR(INDEX(Crops!$C$6:$C$65,MATCH(C333,Crops!$B$6:$B$65,0))&amp;"",""))</f>
        <v/>
      </c>
      <c r="P333">
        <f>IF(ISNUMBER(B333),INT(B333),0)</f>
        <v/>
      </c>
      <c r="Q333">
        <f>IF(AND(L333="",OR(J333="Growing",J333="Picking")),1,0)</f>
        <v/>
      </c>
      <c r="R333">
        <f>IF(AND(Q333=1,D333&lt;&gt;""),P333*1000+ROW(),0)</f>
        <v/>
      </c>
      <c r="S333">
        <f>IF(AND(AND(C333&lt;&gt;"",ISNUMBER(B333)),L333=""),1,0)</f>
        <v/>
      </c>
    </row>
    <row r="334">
      <c r="A334" s="1" t="n"/>
      <c r="B334" s="17" t="n"/>
      <c r="C334" s="18" t="n"/>
      <c r="D334" s="19" t="n"/>
      <c r="E334" s="19" t="n"/>
      <c r="F334" s="20" t="n"/>
      <c r="G334" s="17" t="n"/>
      <c r="H334" s="21" t="n"/>
      <c r="I334" s="22">
        <f>IF(NOT(AND(C334&lt;&gt;"",ISNUMBER(B334))),"",IF(N(IFERROR(INDEX(Crops!$F$6:$F$65,MATCH(C334,Crops!$B$6:$B$65,0)),0))&gt;0,INT(B334)+N(IFERROR(INDEX(Crops!$F$6:$F$65,MATCH(C334,Crops!$B$6:$B$65,0)),0)),""))</f>
        <v/>
      </c>
      <c r="J334" s="16">
        <f>IF(NOT(AND(C334&lt;&gt;"",ISNUMBER(B334))),"",IF(ISNUMBER(G334),"Done",IF(INT(B334)&gt;TODAY(),"Planned",IF(COUNTIFS(Harvest!$C$6:$C$1505,C334,Harvest!$D$6:$D$1505,D334&amp;"",Harvest!$L$6:$L$1505,"&gt;="&amp;INT(B334))&gt;0,"Picking","Growing"))))</f>
        <v/>
      </c>
      <c r="K334" s="14">
        <f>IF(OR(NOT(AND(C334&lt;&gt;"",ISNUMBER(B334))),J334="Planned"),"",IF(ISNUMBER(G334),INT(G334),TODAY())-INT(B334))</f>
        <v/>
      </c>
      <c r="L334" s="11">
        <f>IF(AND(B334="",C334="",D334=""),"",IF(NOT(ISNUMBER(B334)),"Needs a date",IF(C334="","Needs a crop",IF(COUNTIF(Crops!$B$6:$B$65,C334)=0,"Not on Crops",IF(AND(D334&lt;&gt;"",COUNTIF(Beds!$B$6:$B$35,D334)=0),"Not on Beds",IF(AND(ISNUMBER(G334),G334&lt;B334),"Cleared before it was planted",""))))))</f>
        <v/>
      </c>
      <c r="M334" s="11">
        <f>IF(OR(L334&lt;&gt;"",D334="",O334=""),"",IF(COUNTIFS(Plantings!$D$6:$D$505,D334,Plantings!$O$6:$O$505,O334,Plantings!$N$6:$N$505,N334-1)&gt;0,"Same family here last year",""))</f>
        <v/>
      </c>
      <c r="N334" s="1">
        <f>IF(ISNUMBER(B334),YEAR(B334),"")</f>
        <v/>
      </c>
      <c r="O334">
        <f>IF(C334="","",IFERROR(INDEX(Crops!$C$6:$C$65,MATCH(C334,Crops!$B$6:$B$65,0))&amp;"",""))</f>
        <v/>
      </c>
      <c r="P334">
        <f>IF(ISNUMBER(B334),INT(B334),0)</f>
        <v/>
      </c>
      <c r="Q334">
        <f>IF(AND(L334="",OR(J334="Growing",J334="Picking")),1,0)</f>
        <v/>
      </c>
      <c r="R334">
        <f>IF(AND(Q334=1,D334&lt;&gt;""),P334*1000+ROW(),0)</f>
        <v/>
      </c>
      <c r="S334">
        <f>IF(AND(AND(C334&lt;&gt;"",ISNUMBER(B334)),L334=""),1,0)</f>
        <v/>
      </c>
    </row>
    <row r="335">
      <c r="A335" s="1" t="n"/>
      <c r="B335" s="17" t="n"/>
      <c r="C335" s="18" t="n"/>
      <c r="D335" s="19" t="n"/>
      <c r="E335" s="19" t="n"/>
      <c r="F335" s="20" t="n"/>
      <c r="G335" s="17" t="n"/>
      <c r="H335" s="21" t="n"/>
      <c r="I335" s="22">
        <f>IF(NOT(AND(C335&lt;&gt;"",ISNUMBER(B335))),"",IF(N(IFERROR(INDEX(Crops!$F$6:$F$65,MATCH(C335,Crops!$B$6:$B$65,0)),0))&gt;0,INT(B335)+N(IFERROR(INDEX(Crops!$F$6:$F$65,MATCH(C335,Crops!$B$6:$B$65,0)),0)),""))</f>
        <v/>
      </c>
      <c r="J335" s="16">
        <f>IF(NOT(AND(C335&lt;&gt;"",ISNUMBER(B335))),"",IF(ISNUMBER(G335),"Done",IF(INT(B335)&gt;TODAY(),"Planned",IF(COUNTIFS(Harvest!$C$6:$C$1505,C335,Harvest!$D$6:$D$1505,D335&amp;"",Harvest!$L$6:$L$1505,"&gt;="&amp;INT(B335))&gt;0,"Picking","Growing"))))</f>
        <v/>
      </c>
      <c r="K335" s="14">
        <f>IF(OR(NOT(AND(C335&lt;&gt;"",ISNUMBER(B335))),J335="Planned"),"",IF(ISNUMBER(G335),INT(G335),TODAY())-INT(B335))</f>
        <v/>
      </c>
      <c r="L335" s="11">
        <f>IF(AND(B335="",C335="",D335=""),"",IF(NOT(ISNUMBER(B335)),"Needs a date",IF(C335="","Needs a crop",IF(COUNTIF(Crops!$B$6:$B$65,C335)=0,"Not on Crops",IF(AND(D335&lt;&gt;"",COUNTIF(Beds!$B$6:$B$35,D335)=0),"Not on Beds",IF(AND(ISNUMBER(G335),G335&lt;B335),"Cleared before it was planted",""))))))</f>
        <v/>
      </c>
      <c r="M335" s="11">
        <f>IF(OR(L335&lt;&gt;"",D335="",O335=""),"",IF(COUNTIFS(Plantings!$D$6:$D$505,D335,Plantings!$O$6:$O$505,O335,Plantings!$N$6:$N$505,N335-1)&gt;0,"Same family here last year",""))</f>
        <v/>
      </c>
      <c r="N335" s="1">
        <f>IF(ISNUMBER(B335),YEAR(B335),"")</f>
        <v/>
      </c>
      <c r="O335">
        <f>IF(C335="","",IFERROR(INDEX(Crops!$C$6:$C$65,MATCH(C335,Crops!$B$6:$B$65,0))&amp;"",""))</f>
        <v/>
      </c>
      <c r="P335">
        <f>IF(ISNUMBER(B335),INT(B335),0)</f>
        <v/>
      </c>
      <c r="Q335">
        <f>IF(AND(L335="",OR(J335="Growing",J335="Picking")),1,0)</f>
        <v/>
      </c>
      <c r="R335">
        <f>IF(AND(Q335=1,D335&lt;&gt;""),P335*1000+ROW(),0)</f>
        <v/>
      </c>
      <c r="S335">
        <f>IF(AND(AND(C335&lt;&gt;"",ISNUMBER(B335)),L335=""),1,0)</f>
        <v/>
      </c>
    </row>
    <row r="336">
      <c r="A336" s="1" t="n"/>
      <c r="B336" s="17" t="n"/>
      <c r="C336" s="18" t="n"/>
      <c r="D336" s="19" t="n"/>
      <c r="E336" s="19" t="n"/>
      <c r="F336" s="20" t="n"/>
      <c r="G336" s="17" t="n"/>
      <c r="H336" s="21" t="n"/>
      <c r="I336" s="22">
        <f>IF(NOT(AND(C336&lt;&gt;"",ISNUMBER(B336))),"",IF(N(IFERROR(INDEX(Crops!$F$6:$F$65,MATCH(C336,Crops!$B$6:$B$65,0)),0))&gt;0,INT(B336)+N(IFERROR(INDEX(Crops!$F$6:$F$65,MATCH(C336,Crops!$B$6:$B$65,0)),0)),""))</f>
        <v/>
      </c>
      <c r="J336" s="16">
        <f>IF(NOT(AND(C336&lt;&gt;"",ISNUMBER(B336))),"",IF(ISNUMBER(G336),"Done",IF(INT(B336)&gt;TODAY(),"Planned",IF(COUNTIFS(Harvest!$C$6:$C$1505,C336,Harvest!$D$6:$D$1505,D336&amp;"",Harvest!$L$6:$L$1505,"&gt;="&amp;INT(B336))&gt;0,"Picking","Growing"))))</f>
        <v/>
      </c>
      <c r="K336" s="14">
        <f>IF(OR(NOT(AND(C336&lt;&gt;"",ISNUMBER(B336))),J336="Planned"),"",IF(ISNUMBER(G336),INT(G336),TODAY())-INT(B336))</f>
        <v/>
      </c>
      <c r="L336" s="11">
        <f>IF(AND(B336="",C336="",D336=""),"",IF(NOT(ISNUMBER(B336)),"Needs a date",IF(C336="","Needs a crop",IF(COUNTIF(Crops!$B$6:$B$65,C336)=0,"Not on Crops",IF(AND(D336&lt;&gt;"",COUNTIF(Beds!$B$6:$B$35,D336)=0),"Not on Beds",IF(AND(ISNUMBER(G336),G336&lt;B336),"Cleared before it was planted",""))))))</f>
        <v/>
      </c>
      <c r="M336" s="11">
        <f>IF(OR(L336&lt;&gt;"",D336="",O336=""),"",IF(COUNTIFS(Plantings!$D$6:$D$505,D336,Plantings!$O$6:$O$505,O336,Plantings!$N$6:$N$505,N336-1)&gt;0,"Same family here last year",""))</f>
        <v/>
      </c>
      <c r="N336" s="1">
        <f>IF(ISNUMBER(B336),YEAR(B336),"")</f>
        <v/>
      </c>
      <c r="O336">
        <f>IF(C336="","",IFERROR(INDEX(Crops!$C$6:$C$65,MATCH(C336,Crops!$B$6:$B$65,0))&amp;"",""))</f>
        <v/>
      </c>
      <c r="P336">
        <f>IF(ISNUMBER(B336),INT(B336),0)</f>
        <v/>
      </c>
      <c r="Q336">
        <f>IF(AND(L336="",OR(J336="Growing",J336="Picking")),1,0)</f>
        <v/>
      </c>
      <c r="R336">
        <f>IF(AND(Q336=1,D336&lt;&gt;""),P336*1000+ROW(),0)</f>
        <v/>
      </c>
      <c r="S336">
        <f>IF(AND(AND(C336&lt;&gt;"",ISNUMBER(B336)),L336=""),1,0)</f>
        <v/>
      </c>
    </row>
    <row r="337">
      <c r="A337" s="1" t="n"/>
      <c r="B337" s="17" t="n"/>
      <c r="C337" s="18" t="n"/>
      <c r="D337" s="19" t="n"/>
      <c r="E337" s="19" t="n"/>
      <c r="F337" s="20" t="n"/>
      <c r="G337" s="17" t="n"/>
      <c r="H337" s="21" t="n"/>
      <c r="I337" s="22">
        <f>IF(NOT(AND(C337&lt;&gt;"",ISNUMBER(B337))),"",IF(N(IFERROR(INDEX(Crops!$F$6:$F$65,MATCH(C337,Crops!$B$6:$B$65,0)),0))&gt;0,INT(B337)+N(IFERROR(INDEX(Crops!$F$6:$F$65,MATCH(C337,Crops!$B$6:$B$65,0)),0)),""))</f>
        <v/>
      </c>
      <c r="J337" s="16">
        <f>IF(NOT(AND(C337&lt;&gt;"",ISNUMBER(B337))),"",IF(ISNUMBER(G337),"Done",IF(INT(B337)&gt;TODAY(),"Planned",IF(COUNTIFS(Harvest!$C$6:$C$1505,C337,Harvest!$D$6:$D$1505,D337&amp;"",Harvest!$L$6:$L$1505,"&gt;="&amp;INT(B337))&gt;0,"Picking","Growing"))))</f>
        <v/>
      </c>
      <c r="K337" s="14">
        <f>IF(OR(NOT(AND(C337&lt;&gt;"",ISNUMBER(B337))),J337="Planned"),"",IF(ISNUMBER(G337),INT(G337),TODAY())-INT(B337))</f>
        <v/>
      </c>
      <c r="L337" s="11">
        <f>IF(AND(B337="",C337="",D337=""),"",IF(NOT(ISNUMBER(B337)),"Needs a date",IF(C337="","Needs a crop",IF(COUNTIF(Crops!$B$6:$B$65,C337)=0,"Not on Crops",IF(AND(D337&lt;&gt;"",COUNTIF(Beds!$B$6:$B$35,D337)=0),"Not on Beds",IF(AND(ISNUMBER(G337),G337&lt;B337),"Cleared before it was planted",""))))))</f>
        <v/>
      </c>
      <c r="M337" s="11">
        <f>IF(OR(L337&lt;&gt;"",D337="",O337=""),"",IF(COUNTIFS(Plantings!$D$6:$D$505,D337,Plantings!$O$6:$O$505,O337,Plantings!$N$6:$N$505,N337-1)&gt;0,"Same family here last year",""))</f>
        <v/>
      </c>
      <c r="N337" s="1">
        <f>IF(ISNUMBER(B337),YEAR(B337),"")</f>
        <v/>
      </c>
      <c r="O337">
        <f>IF(C337="","",IFERROR(INDEX(Crops!$C$6:$C$65,MATCH(C337,Crops!$B$6:$B$65,0))&amp;"",""))</f>
        <v/>
      </c>
      <c r="P337">
        <f>IF(ISNUMBER(B337),INT(B337),0)</f>
        <v/>
      </c>
      <c r="Q337">
        <f>IF(AND(L337="",OR(J337="Growing",J337="Picking")),1,0)</f>
        <v/>
      </c>
      <c r="R337">
        <f>IF(AND(Q337=1,D337&lt;&gt;""),P337*1000+ROW(),0)</f>
        <v/>
      </c>
      <c r="S337">
        <f>IF(AND(AND(C337&lt;&gt;"",ISNUMBER(B337)),L337=""),1,0)</f>
        <v/>
      </c>
    </row>
    <row r="338">
      <c r="A338" s="1" t="n"/>
      <c r="B338" s="17" t="n"/>
      <c r="C338" s="18" t="n"/>
      <c r="D338" s="19" t="n"/>
      <c r="E338" s="19" t="n"/>
      <c r="F338" s="20" t="n"/>
      <c r="G338" s="17" t="n"/>
      <c r="H338" s="21" t="n"/>
      <c r="I338" s="22">
        <f>IF(NOT(AND(C338&lt;&gt;"",ISNUMBER(B338))),"",IF(N(IFERROR(INDEX(Crops!$F$6:$F$65,MATCH(C338,Crops!$B$6:$B$65,0)),0))&gt;0,INT(B338)+N(IFERROR(INDEX(Crops!$F$6:$F$65,MATCH(C338,Crops!$B$6:$B$65,0)),0)),""))</f>
        <v/>
      </c>
      <c r="J338" s="16">
        <f>IF(NOT(AND(C338&lt;&gt;"",ISNUMBER(B338))),"",IF(ISNUMBER(G338),"Done",IF(INT(B338)&gt;TODAY(),"Planned",IF(COUNTIFS(Harvest!$C$6:$C$1505,C338,Harvest!$D$6:$D$1505,D338&amp;"",Harvest!$L$6:$L$1505,"&gt;="&amp;INT(B338))&gt;0,"Picking","Growing"))))</f>
        <v/>
      </c>
      <c r="K338" s="14">
        <f>IF(OR(NOT(AND(C338&lt;&gt;"",ISNUMBER(B338))),J338="Planned"),"",IF(ISNUMBER(G338),INT(G338),TODAY())-INT(B338))</f>
        <v/>
      </c>
      <c r="L338" s="11">
        <f>IF(AND(B338="",C338="",D338=""),"",IF(NOT(ISNUMBER(B338)),"Needs a date",IF(C338="","Needs a crop",IF(COUNTIF(Crops!$B$6:$B$65,C338)=0,"Not on Crops",IF(AND(D338&lt;&gt;"",COUNTIF(Beds!$B$6:$B$35,D338)=0),"Not on Beds",IF(AND(ISNUMBER(G338),G338&lt;B338),"Cleared before it was planted",""))))))</f>
        <v/>
      </c>
      <c r="M338" s="11">
        <f>IF(OR(L338&lt;&gt;"",D338="",O338=""),"",IF(COUNTIFS(Plantings!$D$6:$D$505,D338,Plantings!$O$6:$O$505,O338,Plantings!$N$6:$N$505,N338-1)&gt;0,"Same family here last year",""))</f>
        <v/>
      </c>
      <c r="N338" s="1">
        <f>IF(ISNUMBER(B338),YEAR(B338),"")</f>
        <v/>
      </c>
      <c r="O338">
        <f>IF(C338="","",IFERROR(INDEX(Crops!$C$6:$C$65,MATCH(C338,Crops!$B$6:$B$65,0))&amp;"",""))</f>
        <v/>
      </c>
      <c r="P338">
        <f>IF(ISNUMBER(B338),INT(B338),0)</f>
        <v/>
      </c>
      <c r="Q338">
        <f>IF(AND(L338="",OR(J338="Growing",J338="Picking")),1,0)</f>
        <v/>
      </c>
      <c r="R338">
        <f>IF(AND(Q338=1,D338&lt;&gt;""),P338*1000+ROW(),0)</f>
        <v/>
      </c>
      <c r="S338">
        <f>IF(AND(AND(C338&lt;&gt;"",ISNUMBER(B338)),L338=""),1,0)</f>
        <v/>
      </c>
    </row>
    <row r="339">
      <c r="A339" s="1" t="n"/>
      <c r="B339" s="17" t="n"/>
      <c r="C339" s="18" t="n"/>
      <c r="D339" s="19" t="n"/>
      <c r="E339" s="19" t="n"/>
      <c r="F339" s="20" t="n"/>
      <c r="G339" s="17" t="n"/>
      <c r="H339" s="21" t="n"/>
      <c r="I339" s="22">
        <f>IF(NOT(AND(C339&lt;&gt;"",ISNUMBER(B339))),"",IF(N(IFERROR(INDEX(Crops!$F$6:$F$65,MATCH(C339,Crops!$B$6:$B$65,0)),0))&gt;0,INT(B339)+N(IFERROR(INDEX(Crops!$F$6:$F$65,MATCH(C339,Crops!$B$6:$B$65,0)),0)),""))</f>
        <v/>
      </c>
      <c r="J339" s="16">
        <f>IF(NOT(AND(C339&lt;&gt;"",ISNUMBER(B339))),"",IF(ISNUMBER(G339),"Done",IF(INT(B339)&gt;TODAY(),"Planned",IF(COUNTIFS(Harvest!$C$6:$C$1505,C339,Harvest!$D$6:$D$1505,D339&amp;"",Harvest!$L$6:$L$1505,"&gt;="&amp;INT(B339))&gt;0,"Picking","Growing"))))</f>
        <v/>
      </c>
      <c r="K339" s="14">
        <f>IF(OR(NOT(AND(C339&lt;&gt;"",ISNUMBER(B339))),J339="Planned"),"",IF(ISNUMBER(G339),INT(G339),TODAY())-INT(B339))</f>
        <v/>
      </c>
      <c r="L339" s="11">
        <f>IF(AND(B339="",C339="",D339=""),"",IF(NOT(ISNUMBER(B339)),"Needs a date",IF(C339="","Needs a crop",IF(COUNTIF(Crops!$B$6:$B$65,C339)=0,"Not on Crops",IF(AND(D339&lt;&gt;"",COUNTIF(Beds!$B$6:$B$35,D339)=0),"Not on Beds",IF(AND(ISNUMBER(G339),G339&lt;B339),"Cleared before it was planted",""))))))</f>
        <v/>
      </c>
      <c r="M339" s="11">
        <f>IF(OR(L339&lt;&gt;"",D339="",O339=""),"",IF(COUNTIFS(Plantings!$D$6:$D$505,D339,Plantings!$O$6:$O$505,O339,Plantings!$N$6:$N$505,N339-1)&gt;0,"Same family here last year",""))</f>
        <v/>
      </c>
      <c r="N339" s="1">
        <f>IF(ISNUMBER(B339),YEAR(B339),"")</f>
        <v/>
      </c>
      <c r="O339">
        <f>IF(C339="","",IFERROR(INDEX(Crops!$C$6:$C$65,MATCH(C339,Crops!$B$6:$B$65,0))&amp;"",""))</f>
        <v/>
      </c>
      <c r="P339">
        <f>IF(ISNUMBER(B339),INT(B339),0)</f>
        <v/>
      </c>
      <c r="Q339">
        <f>IF(AND(L339="",OR(J339="Growing",J339="Picking")),1,0)</f>
        <v/>
      </c>
      <c r="R339">
        <f>IF(AND(Q339=1,D339&lt;&gt;""),P339*1000+ROW(),0)</f>
        <v/>
      </c>
      <c r="S339">
        <f>IF(AND(AND(C339&lt;&gt;"",ISNUMBER(B339)),L339=""),1,0)</f>
        <v/>
      </c>
    </row>
    <row r="340">
      <c r="A340" s="1" t="n"/>
      <c r="B340" s="17" t="n"/>
      <c r="C340" s="18" t="n"/>
      <c r="D340" s="19" t="n"/>
      <c r="E340" s="19" t="n"/>
      <c r="F340" s="20" t="n"/>
      <c r="G340" s="17" t="n"/>
      <c r="H340" s="21" t="n"/>
      <c r="I340" s="22">
        <f>IF(NOT(AND(C340&lt;&gt;"",ISNUMBER(B340))),"",IF(N(IFERROR(INDEX(Crops!$F$6:$F$65,MATCH(C340,Crops!$B$6:$B$65,0)),0))&gt;0,INT(B340)+N(IFERROR(INDEX(Crops!$F$6:$F$65,MATCH(C340,Crops!$B$6:$B$65,0)),0)),""))</f>
        <v/>
      </c>
      <c r="J340" s="16">
        <f>IF(NOT(AND(C340&lt;&gt;"",ISNUMBER(B340))),"",IF(ISNUMBER(G340),"Done",IF(INT(B340)&gt;TODAY(),"Planned",IF(COUNTIFS(Harvest!$C$6:$C$1505,C340,Harvest!$D$6:$D$1505,D340&amp;"",Harvest!$L$6:$L$1505,"&gt;="&amp;INT(B340))&gt;0,"Picking","Growing"))))</f>
        <v/>
      </c>
      <c r="K340" s="14">
        <f>IF(OR(NOT(AND(C340&lt;&gt;"",ISNUMBER(B340))),J340="Planned"),"",IF(ISNUMBER(G340),INT(G340),TODAY())-INT(B340))</f>
        <v/>
      </c>
      <c r="L340" s="11">
        <f>IF(AND(B340="",C340="",D340=""),"",IF(NOT(ISNUMBER(B340)),"Needs a date",IF(C340="","Needs a crop",IF(COUNTIF(Crops!$B$6:$B$65,C340)=0,"Not on Crops",IF(AND(D340&lt;&gt;"",COUNTIF(Beds!$B$6:$B$35,D340)=0),"Not on Beds",IF(AND(ISNUMBER(G340),G340&lt;B340),"Cleared before it was planted",""))))))</f>
        <v/>
      </c>
      <c r="M340" s="11">
        <f>IF(OR(L340&lt;&gt;"",D340="",O340=""),"",IF(COUNTIFS(Plantings!$D$6:$D$505,D340,Plantings!$O$6:$O$505,O340,Plantings!$N$6:$N$505,N340-1)&gt;0,"Same family here last year",""))</f>
        <v/>
      </c>
      <c r="N340" s="1">
        <f>IF(ISNUMBER(B340),YEAR(B340),"")</f>
        <v/>
      </c>
      <c r="O340">
        <f>IF(C340="","",IFERROR(INDEX(Crops!$C$6:$C$65,MATCH(C340,Crops!$B$6:$B$65,0))&amp;"",""))</f>
        <v/>
      </c>
      <c r="P340">
        <f>IF(ISNUMBER(B340),INT(B340),0)</f>
        <v/>
      </c>
      <c r="Q340">
        <f>IF(AND(L340="",OR(J340="Growing",J340="Picking")),1,0)</f>
        <v/>
      </c>
      <c r="R340">
        <f>IF(AND(Q340=1,D340&lt;&gt;""),P340*1000+ROW(),0)</f>
        <v/>
      </c>
      <c r="S340">
        <f>IF(AND(AND(C340&lt;&gt;"",ISNUMBER(B340)),L340=""),1,0)</f>
        <v/>
      </c>
    </row>
    <row r="341">
      <c r="A341" s="1" t="n"/>
      <c r="B341" s="17" t="n"/>
      <c r="C341" s="18" t="n"/>
      <c r="D341" s="19" t="n"/>
      <c r="E341" s="19" t="n"/>
      <c r="F341" s="20" t="n"/>
      <c r="G341" s="17" t="n"/>
      <c r="H341" s="21" t="n"/>
      <c r="I341" s="22">
        <f>IF(NOT(AND(C341&lt;&gt;"",ISNUMBER(B341))),"",IF(N(IFERROR(INDEX(Crops!$F$6:$F$65,MATCH(C341,Crops!$B$6:$B$65,0)),0))&gt;0,INT(B341)+N(IFERROR(INDEX(Crops!$F$6:$F$65,MATCH(C341,Crops!$B$6:$B$65,0)),0)),""))</f>
        <v/>
      </c>
      <c r="J341" s="16">
        <f>IF(NOT(AND(C341&lt;&gt;"",ISNUMBER(B341))),"",IF(ISNUMBER(G341),"Done",IF(INT(B341)&gt;TODAY(),"Planned",IF(COUNTIFS(Harvest!$C$6:$C$1505,C341,Harvest!$D$6:$D$1505,D341&amp;"",Harvest!$L$6:$L$1505,"&gt;="&amp;INT(B341))&gt;0,"Picking","Growing"))))</f>
        <v/>
      </c>
      <c r="K341" s="14">
        <f>IF(OR(NOT(AND(C341&lt;&gt;"",ISNUMBER(B341))),J341="Planned"),"",IF(ISNUMBER(G341),INT(G341),TODAY())-INT(B341))</f>
        <v/>
      </c>
      <c r="L341" s="11">
        <f>IF(AND(B341="",C341="",D341=""),"",IF(NOT(ISNUMBER(B341)),"Needs a date",IF(C341="","Needs a crop",IF(COUNTIF(Crops!$B$6:$B$65,C341)=0,"Not on Crops",IF(AND(D341&lt;&gt;"",COUNTIF(Beds!$B$6:$B$35,D341)=0),"Not on Beds",IF(AND(ISNUMBER(G341),G341&lt;B341),"Cleared before it was planted",""))))))</f>
        <v/>
      </c>
      <c r="M341" s="11">
        <f>IF(OR(L341&lt;&gt;"",D341="",O341=""),"",IF(COUNTIFS(Plantings!$D$6:$D$505,D341,Plantings!$O$6:$O$505,O341,Plantings!$N$6:$N$505,N341-1)&gt;0,"Same family here last year",""))</f>
        <v/>
      </c>
      <c r="N341" s="1">
        <f>IF(ISNUMBER(B341),YEAR(B341),"")</f>
        <v/>
      </c>
      <c r="O341">
        <f>IF(C341="","",IFERROR(INDEX(Crops!$C$6:$C$65,MATCH(C341,Crops!$B$6:$B$65,0))&amp;"",""))</f>
        <v/>
      </c>
      <c r="P341">
        <f>IF(ISNUMBER(B341),INT(B341),0)</f>
        <v/>
      </c>
      <c r="Q341">
        <f>IF(AND(L341="",OR(J341="Growing",J341="Picking")),1,0)</f>
        <v/>
      </c>
      <c r="R341">
        <f>IF(AND(Q341=1,D341&lt;&gt;""),P341*1000+ROW(),0)</f>
        <v/>
      </c>
      <c r="S341">
        <f>IF(AND(AND(C341&lt;&gt;"",ISNUMBER(B341)),L341=""),1,0)</f>
        <v/>
      </c>
    </row>
    <row r="342">
      <c r="A342" s="1" t="n"/>
      <c r="B342" s="17" t="n"/>
      <c r="C342" s="18" t="n"/>
      <c r="D342" s="19" t="n"/>
      <c r="E342" s="19" t="n"/>
      <c r="F342" s="20" t="n"/>
      <c r="G342" s="17" t="n"/>
      <c r="H342" s="21" t="n"/>
      <c r="I342" s="22">
        <f>IF(NOT(AND(C342&lt;&gt;"",ISNUMBER(B342))),"",IF(N(IFERROR(INDEX(Crops!$F$6:$F$65,MATCH(C342,Crops!$B$6:$B$65,0)),0))&gt;0,INT(B342)+N(IFERROR(INDEX(Crops!$F$6:$F$65,MATCH(C342,Crops!$B$6:$B$65,0)),0)),""))</f>
        <v/>
      </c>
      <c r="J342" s="16">
        <f>IF(NOT(AND(C342&lt;&gt;"",ISNUMBER(B342))),"",IF(ISNUMBER(G342),"Done",IF(INT(B342)&gt;TODAY(),"Planned",IF(COUNTIFS(Harvest!$C$6:$C$1505,C342,Harvest!$D$6:$D$1505,D342&amp;"",Harvest!$L$6:$L$1505,"&gt;="&amp;INT(B342))&gt;0,"Picking","Growing"))))</f>
        <v/>
      </c>
      <c r="K342" s="14">
        <f>IF(OR(NOT(AND(C342&lt;&gt;"",ISNUMBER(B342))),J342="Planned"),"",IF(ISNUMBER(G342),INT(G342),TODAY())-INT(B342))</f>
        <v/>
      </c>
      <c r="L342" s="11">
        <f>IF(AND(B342="",C342="",D342=""),"",IF(NOT(ISNUMBER(B342)),"Needs a date",IF(C342="","Needs a crop",IF(COUNTIF(Crops!$B$6:$B$65,C342)=0,"Not on Crops",IF(AND(D342&lt;&gt;"",COUNTIF(Beds!$B$6:$B$35,D342)=0),"Not on Beds",IF(AND(ISNUMBER(G342),G342&lt;B342),"Cleared before it was planted",""))))))</f>
        <v/>
      </c>
      <c r="M342" s="11">
        <f>IF(OR(L342&lt;&gt;"",D342="",O342=""),"",IF(COUNTIFS(Plantings!$D$6:$D$505,D342,Plantings!$O$6:$O$505,O342,Plantings!$N$6:$N$505,N342-1)&gt;0,"Same family here last year",""))</f>
        <v/>
      </c>
      <c r="N342" s="1">
        <f>IF(ISNUMBER(B342),YEAR(B342),"")</f>
        <v/>
      </c>
      <c r="O342">
        <f>IF(C342="","",IFERROR(INDEX(Crops!$C$6:$C$65,MATCH(C342,Crops!$B$6:$B$65,0))&amp;"",""))</f>
        <v/>
      </c>
      <c r="P342">
        <f>IF(ISNUMBER(B342),INT(B342),0)</f>
        <v/>
      </c>
      <c r="Q342">
        <f>IF(AND(L342="",OR(J342="Growing",J342="Picking")),1,0)</f>
        <v/>
      </c>
      <c r="R342">
        <f>IF(AND(Q342=1,D342&lt;&gt;""),P342*1000+ROW(),0)</f>
        <v/>
      </c>
      <c r="S342">
        <f>IF(AND(AND(C342&lt;&gt;"",ISNUMBER(B342)),L342=""),1,0)</f>
        <v/>
      </c>
    </row>
    <row r="343">
      <c r="A343" s="1" t="n"/>
      <c r="B343" s="17" t="n"/>
      <c r="C343" s="18" t="n"/>
      <c r="D343" s="19" t="n"/>
      <c r="E343" s="19" t="n"/>
      <c r="F343" s="20" t="n"/>
      <c r="G343" s="17" t="n"/>
      <c r="H343" s="21" t="n"/>
      <c r="I343" s="22">
        <f>IF(NOT(AND(C343&lt;&gt;"",ISNUMBER(B343))),"",IF(N(IFERROR(INDEX(Crops!$F$6:$F$65,MATCH(C343,Crops!$B$6:$B$65,0)),0))&gt;0,INT(B343)+N(IFERROR(INDEX(Crops!$F$6:$F$65,MATCH(C343,Crops!$B$6:$B$65,0)),0)),""))</f>
        <v/>
      </c>
      <c r="J343" s="16">
        <f>IF(NOT(AND(C343&lt;&gt;"",ISNUMBER(B343))),"",IF(ISNUMBER(G343),"Done",IF(INT(B343)&gt;TODAY(),"Planned",IF(COUNTIFS(Harvest!$C$6:$C$1505,C343,Harvest!$D$6:$D$1505,D343&amp;"",Harvest!$L$6:$L$1505,"&gt;="&amp;INT(B343))&gt;0,"Picking","Growing"))))</f>
        <v/>
      </c>
      <c r="K343" s="14">
        <f>IF(OR(NOT(AND(C343&lt;&gt;"",ISNUMBER(B343))),J343="Planned"),"",IF(ISNUMBER(G343),INT(G343),TODAY())-INT(B343))</f>
        <v/>
      </c>
      <c r="L343" s="11">
        <f>IF(AND(B343="",C343="",D343=""),"",IF(NOT(ISNUMBER(B343)),"Needs a date",IF(C343="","Needs a crop",IF(COUNTIF(Crops!$B$6:$B$65,C343)=0,"Not on Crops",IF(AND(D343&lt;&gt;"",COUNTIF(Beds!$B$6:$B$35,D343)=0),"Not on Beds",IF(AND(ISNUMBER(G343),G343&lt;B343),"Cleared before it was planted",""))))))</f>
        <v/>
      </c>
      <c r="M343" s="11">
        <f>IF(OR(L343&lt;&gt;"",D343="",O343=""),"",IF(COUNTIFS(Plantings!$D$6:$D$505,D343,Plantings!$O$6:$O$505,O343,Plantings!$N$6:$N$505,N343-1)&gt;0,"Same family here last year",""))</f>
        <v/>
      </c>
      <c r="N343" s="1">
        <f>IF(ISNUMBER(B343),YEAR(B343),"")</f>
        <v/>
      </c>
      <c r="O343">
        <f>IF(C343="","",IFERROR(INDEX(Crops!$C$6:$C$65,MATCH(C343,Crops!$B$6:$B$65,0))&amp;"",""))</f>
        <v/>
      </c>
      <c r="P343">
        <f>IF(ISNUMBER(B343),INT(B343),0)</f>
        <v/>
      </c>
      <c r="Q343">
        <f>IF(AND(L343="",OR(J343="Growing",J343="Picking")),1,0)</f>
        <v/>
      </c>
      <c r="R343">
        <f>IF(AND(Q343=1,D343&lt;&gt;""),P343*1000+ROW(),0)</f>
        <v/>
      </c>
      <c r="S343">
        <f>IF(AND(AND(C343&lt;&gt;"",ISNUMBER(B343)),L343=""),1,0)</f>
        <v/>
      </c>
    </row>
    <row r="344">
      <c r="A344" s="1" t="n"/>
      <c r="B344" s="17" t="n"/>
      <c r="C344" s="18" t="n"/>
      <c r="D344" s="19" t="n"/>
      <c r="E344" s="19" t="n"/>
      <c r="F344" s="20" t="n"/>
      <c r="G344" s="17" t="n"/>
      <c r="H344" s="21" t="n"/>
      <c r="I344" s="22">
        <f>IF(NOT(AND(C344&lt;&gt;"",ISNUMBER(B344))),"",IF(N(IFERROR(INDEX(Crops!$F$6:$F$65,MATCH(C344,Crops!$B$6:$B$65,0)),0))&gt;0,INT(B344)+N(IFERROR(INDEX(Crops!$F$6:$F$65,MATCH(C344,Crops!$B$6:$B$65,0)),0)),""))</f>
        <v/>
      </c>
      <c r="J344" s="16">
        <f>IF(NOT(AND(C344&lt;&gt;"",ISNUMBER(B344))),"",IF(ISNUMBER(G344),"Done",IF(INT(B344)&gt;TODAY(),"Planned",IF(COUNTIFS(Harvest!$C$6:$C$1505,C344,Harvest!$D$6:$D$1505,D344&amp;"",Harvest!$L$6:$L$1505,"&gt;="&amp;INT(B344))&gt;0,"Picking","Growing"))))</f>
        <v/>
      </c>
      <c r="K344" s="14">
        <f>IF(OR(NOT(AND(C344&lt;&gt;"",ISNUMBER(B344))),J344="Planned"),"",IF(ISNUMBER(G344),INT(G344),TODAY())-INT(B344))</f>
        <v/>
      </c>
      <c r="L344" s="11">
        <f>IF(AND(B344="",C344="",D344=""),"",IF(NOT(ISNUMBER(B344)),"Needs a date",IF(C344="","Needs a crop",IF(COUNTIF(Crops!$B$6:$B$65,C344)=0,"Not on Crops",IF(AND(D344&lt;&gt;"",COUNTIF(Beds!$B$6:$B$35,D344)=0),"Not on Beds",IF(AND(ISNUMBER(G344),G344&lt;B344),"Cleared before it was planted",""))))))</f>
        <v/>
      </c>
      <c r="M344" s="11">
        <f>IF(OR(L344&lt;&gt;"",D344="",O344=""),"",IF(COUNTIFS(Plantings!$D$6:$D$505,D344,Plantings!$O$6:$O$505,O344,Plantings!$N$6:$N$505,N344-1)&gt;0,"Same family here last year",""))</f>
        <v/>
      </c>
      <c r="N344" s="1">
        <f>IF(ISNUMBER(B344),YEAR(B344),"")</f>
        <v/>
      </c>
      <c r="O344">
        <f>IF(C344="","",IFERROR(INDEX(Crops!$C$6:$C$65,MATCH(C344,Crops!$B$6:$B$65,0))&amp;"",""))</f>
        <v/>
      </c>
      <c r="P344">
        <f>IF(ISNUMBER(B344),INT(B344),0)</f>
        <v/>
      </c>
      <c r="Q344">
        <f>IF(AND(L344="",OR(J344="Growing",J344="Picking")),1,0)</f>
        <v/>
      </c>
      <c r="R344">
        <f>IF(AND(Q344=1,D344&lt;&gt;""),P344*1000+ROW(),0)</f>
        <v/>
      </c>
      <c r="S344">
        <f>IF(AND(AND(C344&lt;&gt;"",ISNUMBER(B344)),L344=""),1,0)</f>
        <v/>
      </c>
    </row>
    <row r="345">
      <c r="A345" s="1" t="n"/>
      <c r="B345" s="17" t="n"/>
      <c r="C345" s="18" t="n"/>
      <c r="D345" s="19" t="n"/>
      <c r="E345" s="19" t="n"/>
      <c r="F345" s="20" t="n"/>
      <c r="G345" s="17" t="n"/>
      <c r="H345" s="21" t="n"/>
      <c r="I345" s="22">
        <f>IF(NOT(AND(C345&lt;&gt;"",ISNUMBER(B345))),"",IF(N(IFERROR(INDEX(Crops!$F$6:$F$65,MATCH(C345,Crops!$B$6:$B$65,0)),0))&gt;0,INT(B345)+N(IFERROR(INDEX(Crops!$F$6:$F$65,MATCH(C345,Crops!$B$6:$B$65,0)),0)),""))</f>
        <v/>
      </c>
      <c r="J345" s="16">
        <f>IF(NOT(AND(C345&lt;&gt;"",ISNUMBER(B345))),"",IF(ISNUMBER(G345),"Done",IF(INT(B345)&gt;TODAY(),"Planned",IF(COUNTIFS(Harvest!$C$6:$C$1505,C345,Harvest!$D$6:$D$1505,D345&amp;"",Harvest!$L$6:$L$1505,"&gt;="&amp;INT(B345))&gt;0,"Picking","Growing"))))</f>
        <v/>
      </c>
      <c r="K345" s="14">
        <f>IF(OR(NOT(AND(C345&lt;&gt;"",ISNUMBER(B345))),J345="Planned"),"",IF(ISNUMBER(G345),INT(G345),TODAY())-INT(B345))</f>
        <v/>
      </c>
      <c r="L345" s="11">
        <f>IF(AND(B345="",C345="",D345=""),"",IF(NOT(ISNUMBER(B345)),"Needs a date",IF(C345="","Needs a crop",IF(COUNTIF(Crops!$B$6:$B$65,C345)=0,"Not on Crops",IF(AND(D345&lt;&gt;"",COUNTIF(Beds!$B$6:$B$35,D345)=0),"Not on Beds",IF(AND(ISNUMBER(G345),G345&lt;B345),"Cleared before it was planted",""))))))</f>
        <v/>
      </c>
      <c r="M345" s="11">
        <f>IF(OR(L345&lt;&gt;"",D345="",O345=""),"",IF(COUNTIFS(Plantings!$D$6:$D$505,D345,Plantings!$O$6:$O$505,O345,Plantings!$N$6:$N$505,N345-1)&gt;0,"Same family here last year",""))</f>
        <v/>
      </c>
      <c r="N345" s="1">
        <f>IF(ISNUMBER(B345),YEAR(B345),"")</f>
        <v/>
      </c>
      <c r="O345">
        <f>IF(C345="","",IFERROR(INDEX(Crops!$C$6:$C$65,MATCH(C345,Crops!$B$6:$B$65,0))&amp;"",""))</f>
        <v/>
      </c>
      <c r="P345">
        <f>IF(ISNUMBER(B345),INT(B345),0)</f>
        <v/>
      </c>
      <c r="Q345">
        <f>IF(AND(L345="",OR(J345="Growing",J345="Picking")),1,0)</f>
        <v/>
      </c>
      <c r="R345">
        <f>IF(AND(Q345=1,D345&lt;&gt;""),P345*1000+ROW(),0)</f>
        <v/>
      </c>
      <c r="S345">
        <f>IF(AND(AND(C345&lt;&gt;"",ISNUMBER(B345)),L345=""),1,0)</f>
        <v/>
      </c>
    </row>
    <row r="346">
      <c r="A346" s="1" t="n"/>
      <c r="B346" s="17" t="n"/>
      <c r="C346" s="18" t="n"/>
      <c r="D346" s="19" t="n"/>
      <c r="E346" s="19" t="n"/>
      <c r="F346" s="20" t="n"/>
      <c r="G346" s="17" t="n"/>
      <c r="H346" s="21" t="n"/>
      <c r="I346" s="22">
        <f>IF(NOT(AND(C346&lt;&gt;"",ISNUMBER(B346))),"",IF(N(IFERROR(INDEX(Crops!$F$6:$F$65,MATCH(C346,Crops!$B$6:$B$65,0)),0))&gt;0,INT(B346)+N(IFERROR(INDEX(Crops!$F$6:$F$65,MATCH(C346,Crops!$B$6:$B$65,0)),0)),""))</f>
        <v/>
      </c>
      <c r="J346" s="16">
        <f>IF(NOT(AND(C346&lt;&gt;"",ISNUMBER(B346))),"",IF(ISNUMBER(G346),"Done",IF(INT(B346)&gt;TODAY(),"Planned",IF(COUNTIFS(Harvest!$C$6:$C$1505,C346,Harvest!$D$6:$D$1505,D346&amp;"",Harvest!$L$6:$L$1505,"&gt;="&amp;INT(B346))&gt;0,"Picking","Growing"))))</f>
        <v/>
      </c>
      <c r="K346" s="14">
        <f>IF(OR(NOT(AND(C346&lt;&gt;"",ISNUMBER(B346))),J346="Planned"),"",IF(ISNUMBER(G346),INT(G346),TODAY())-INT(B346))</f>
        <v/>
      </c>
      <c r="L346" s="11">
        <f>IF(AND(B346="",C346="",D346=""),"",IF(NOT(ISNUMBER(B346)),"Needs a date",IF(C346="","Needs a crop",IF(COUNTIF(Crops!$B$6:$B$65,C346)=0,"Not on Crops",IF(AND(D346&lt;&gt;"",COUNTIF(Beds!$B$6:$B$35,D346)=0),"Not on Beds",IF(AND(ISNUMBER(G346),G346&lt;B346),"Cleared before it was planted",""))))))</f>
        <v/>
      </c>
      <c r="M346" s="11">
        <f>IF(OR(L346&lt;&gt;"",D346="",O346=""),"",IF(COUNTIFS(Plantings!$D$6:$D$505,D346,Plantings!$O$6:$O$505,O346,Plantings!$N$6:$N$505,N346-1)&gt;0,"Same family here last year",""))</f>
        <v/>
      </c>
      <c r="N346" s="1">
        <f>IF(ISNUMBER(B346),YEAR(B346),"")</f>
        <v/>
      </c>
      <c r="O346">
        <f>IF(C346="","",IFERROR(INDEX(Crops!$C$6:$C$65,MATCH(C346,Crops!$B$6:$B$65,0))&amp;"",""))</f>
        <v/>
      </c>
      <c r="P346">
        <f>IF(ISNUMBER(B346),INT(B346),0)</f>
        <v/>
      </c>
      <c r="Q346">
        <f>IF(AND(L346="",OR(J346="Growing",J346="Picking")),1,0)</f>
        <v/>
      </c>
      <c r="R346">
        <f>IF(AND(Q346=1,D346&lt;&gt;""),P346*1000+ROW(),0)</f>
        <v/>
      </c>
      <c r="S346">
        <f>IF(AND(AND(C346&lt;&gt;"",ISNUMBER(B346)),L346=""),1,0)</f>
        <v/>
      </c>
    </row>
    <row r="347">
      <c r="A347" s="1" t="n"/>
      <c r="B347" s="17" t="n"/>
      <c r="C347" s="18" t="n"/>
      <c r="D347" s="19" t="n"/>
      <c r="E347" s="19" t="n"/>
      <c r="F347" s="20" t="n"/>
      <c r="G347" s="17" t="n"/>
      <c r="H347" s="21" t="n"/>
      <c r="I347" s="22">
        <f>IF(NOT(AND(C347&lt;&gt;"",ISNUMBER(B347))),"",IF(N(IFERROR(INDEX(Crops!$F$6:$F$65,MATCH(C347,Crops!$B$6:$B$65,0)),0))&gt;0,INT(B347)+N(IFERROR(INDEX(Crops!$F$6:$F$65,MATCH(C347,Crops!$B$6:$B$65,0)),0)),""))</f>
        <v/>
      </c>
      <c r="J347" s="16">
        <f>IF(NOT(AND(C347&lt;&gt;"",ISNUMBER(B347))),"",IF(ISNUMBER(G347),"Done",IF(INT(B347)&gt;TODAY(),"Planned",IF(COUNTIFS(Harvest!$C$6:$C$1505,C347,Harvest!$D$6:$D$1505,D347&amp;"",Harvest!$L$6:$L$1505,"&gt;="&amp;INT(B347))&gt;0,"Picking","Growing"))))</f>
        <v/>
      </c>
      <c r="K347" s="14">
        <f>IF(OR(NOT(AND(C347&lt;&gt;"",ISNUMBER(B347))),J347="Planned"),"",IF(ISNUMBER(G347),INT(G347),TODAY())-INT(B347))</f>
        <v/>
      </c>
      <c r="L347" s="11">
        <f>IF(AND(B347="",C347="",D347=""),"",IF(NOT(ISNUMBER(B347)),"Needs a date",IF(C347="","Needs a crop",IF(COUNTIF(Crops!$B$6:$B$65,C347)=0,"Not on Crops",IF(AND(D347&lt;&gt;"",COUNTIF(Beds!$B$6:$B$35,D347)=0),"Not on Beds",IF(AND(ISNUMBER(G347),G347&lt;B347),"Cleared before it was planted",""))))))</f>
        <v/>
      </c>
      <c r="M347" s="11">
        <f>IF(OR(L347&lt;&gt;"",D347="",O347=""),"",IF(COUNTIFS(Plantings!$D$6:$D$505,D347,Plantings!$O$6:$O$505,O347,Plantings!$N$6:$N$505,N347-1)&gt;0,"Same family here last year",""))</f>
        <v/>
      </c>
      <c r="N347" s="1">
        <f>IF(ISNUMBER(B347),YEAR(B347),"")</f>
        <v/>
      </c>
      <c r="O347">
        <f>IF(C347="","",IFERROR(INDEX(Crops!$C$6:$C$65,MATCH(C347,Crops!$B$6:$B$65,0))&amp;"",""))</f>
        <v/>
      </c>
      <c r="P347">
        <f>IF(ISNUMBER(B347),INT(B347),0)</f>
        <v/>
      </c>
      <c r="Q347">
        <f>IF(AND(L347="",OR(J347="Growing",J347="Picking")),1,0)</f>
        <v/>
      </c>
      <c r="R347">
        <f>IF(AND(Q347=1,D347&lt;&gt;""),P347*1000+ROW(),0)</f>
        <v/>
      </c>
      <c r="S347">
        <f>IF(AND(AND(C347&lt;&gt;"",ISNUMBER(B347)),L347=""),1,0)</f>
        <v/>
      </c>
    </row>
    <row r="348">
      <c r="A348" s="1" t="n"/>
      <c r="B348" s="17" t="n"/>
      <c r="C348" s="18" t="n"/>
      <c r="D348" s="19" t="n"/>
      <c r="E348" s="19" t="n"/>
      <c r="F348" s="20" t="n"/>
      <c r="G348" s="17" t="n"/>
      <c r="H348" s="21" t="n"/>
      <c r="I348" s="22">
        <f>IF(NOT(AND(C348&lt;&gt;"",ISNUMBER(B348))),"",IF(N(IFERROR(INDEX(Crops!$F$6:$F$65,MATCH(C348,Crops!$B$6:$B$65,0)),0))&gt;0,INT(B348)+N(IFERROR(INDEX(Crops!$F$6:$F$65,MATCH(C348,Crops!$B$6:$B$65,0)),0)),""))</f>
        <v/>
      </c>
      <c r="J348" s="16">
        <f>IF(NOT(AND(C348&lt;&gt;"",ISNUMBER(B348))),"",IF(ISNUMBER(G348),"Done",IF(INT(B348)&gt;TODAY(),"Planned",IF(COUNTIFS(Harvest!$C$6:$C$1505,C348,Harvest!$D$6:$D$1505,D348&amp;"",Harvest!$L$6:$L$1505,"&gt;="&amp;INT(B348))&gt;0,"Picking","Growing"))))</f>
        <v/>
      </c>
      <c r="K348" s="14">
        <f>IF(OR(NOT(AND(C348&lt;&gt;"",ISNUMBER(B348))),J348="Planned"),"",IF(ISNUMBER(G348),INT(G348),TODAY())-INT(B348))</f>
        <v/>
      </c>
      <c r="L348" s="11">
        <f>IF(AND(B348="",C348="",D348=""),"",IF(NOT(ISNUMBER(B348)),"Needs a date",IF(C348="","Needs a crop",IF(COUNTIF(Crops!$B$6:$B$65,C348)=0,"Not on Crops",IF(AND(D348&lt;&gt;"",COUNTIF(Beds!$B$6:$B$35,D348)=0),"Not on Beds",IF(AND(ISNUMBER(G348),G348&lt;B348),"Cleared before it was planted",""))))))</f>
        <v/>
      </c>
      <c r="M348" s="11">
        <f>IF(OR(L348&lt;&gt;"",D348="",O348=""),"",IF(COUNTIFS(Plantings!$D$6:$D$505,D348,Plantings!$O$6:$O$505,O348,Plantings!$N$6:$N$505,N348-1)&gt;0,"Same family here last year",""))</f>
        <v/>
      </c>
      <c r="N348" s="1">
        <f>IF(ISNUMBER(B348),YEAR(B348),"")</f>
        <v/>
      </c>
      <c r="O348">
        <f>IF(C348="","",IFERROR(INDEX(Crops!$C$6:$C$65,MATCH(C348,Crops!$B$6:$B$65,0))&amp;"",""))</f>
        <v/>
      </c>
      <c r="P348">
        <f>IF(ISNUMBER(B348),INT(B348),0)</f>
        <v/>
      </c>
      <c r="Q348">
        <f>IF(AND(L348="",OR(J348="Growing",J348="Picking")),1,0)</f>
        <v/>
      </c>
      <c r="R348">
        <f>IF(AND(Q348=1,D348&lt;&gt;""),P348*1000+ROW(),0)</f>
        <v/>
      </c>
      <c r="S348">
        <f>IF(AND(AND(C348&lt;&gt;"",ISNUMBER(B348)),L348=""),1,0)</f>
        <v/>
      </c>
    </row>
    <row r="349">
      <c r="A349" s="1" t="n"/>
      <c r="B349" s="17" t="n"/>
      <c r="C349" s="18" t="n"/>
      <c r="D349" s="19" t="n"/>
      <c r="E349" s="19" t="n"/>
      <c r="F349" s="20" t="n"/>
      <c r="G349" s="17" t="n"/>
      <c r="H349" s="21" t="n"/>
      <c r="I349" s="22">
        <f>IF(NOT(AND(C349&lt;&gt;"",ISNUMBER(B349))),"",IF(N(IFERROR(INDEX(Crops!$F$6:$F$65,MATCH(C349,Crops!$B$6:$B$65,0)),0))&gt;0,INT(B349)+N(IFERROR(INDEX(Crops!$F$6:$F$65,MATCH(C349,Crops!$B$6:$B$65,0)),0)),""))</f>
        <v/>
      </c>
      <c r="J349" s="16">
        <f>IF(NOT(AND(C349&lt;&gt;"",ISNUMBER(B349))),"",IF(ISNUMBER(G349),"Done",IF(INT(B349)&gt;TODAY(),"Planned",IF(COUNTIFS(Harvest!$C$6:$C$1505,C349,Harvest!$D$6:$D$1505,D349&amp;"",Harvest!$L$6:$L$1505,"&gt;="&amp;INT(B349))&gt;0,"Picking","Growing"))))</f>
        <v/>
      </c>
      <c r="K349" s="14">
        <f>IF(OR(NOT(AND(C349&lt;&gt;"",ISNUMBER(B349))),J349="Planned"),"",IF(ISNUMBER(G349),INT(G349),TODAY())-INT(B349))</f>
        <v/>
      </c>
      <c r="L349" s="11">
        <f>IF(AND(B349="",C349="",D349=""),"",IF(NOT(ISNUMBER(B349)),"Needs a date",IF(C349="","Needs a crop",IF(COUNTIF(Crops!$B$6:$B$65,C349)=0,"Not on Crops",IF(AND(D349&lt;&gt;"",COUNTIF(Beds!$B$6:$B$35,D349)=0),"Not on Beds",IF(AND(ISNUMBER(G349),G349&lt;B349),"Cleared before it was planted",""))))))</f>
        <v/>
      </c>
      <c r="M349" s="11">
        <f>IF(OR(L349&lt;&gt;"",D349="",O349=""),"",IF(COUNTIFS(Plantings!$D$6:$D$505,D349,Plantings!$O$6:$O$505,O349,Plantings!$N$6:$N$505,N349-1)&gt;0,"Same family here last year",""))</f>
        <v/>
      </c>
      <c r="N349" s="1">
        <f>IF(ISNUMBER(B349),YEAR(B349),"")</f>
        <v/>
      </c>
      <c r="O349">
        <f>IF(C349="","",IFERROR(INDEX(Crops!$C$6:$C$65,MATCH(C349,Crops!$B$6:$B$65,0))&amp;"",""))</f>
        <v/>
      </c>
      <c r="P349">
        <f>IF(ISNUMBER(B349),INT(B349),0)</f>
        <v/>
      </c>
      <c r="Q349">
        <f>IF(AND(L349="",OR(J349="Growing",J349="Picking")),1,0)</f>
        <v/>
      </c>
      <c r="R349">
        <f>IF(AND(Q349=1,D349&lt;&gt;""),P349*1000+ROW(),0)</f>
        <v/>
      </c>
      <c r="S349">
        <f>IF(AND(AND(C349&lt;&gt;"",ISNUMBER(B349)),L349=""),1,0)</f>
        <v/>
      </c>
    </row>
    <row r="350">
      <c r="A350" s="1" t="n"/>
      <c r="B350" s="17" t="n"/>
      <c r="C350" s="18" t="n"/>
      <c r="D350" s="19" t="n"/>
      <c r="E350" s="19" t="n"/>
      <c r="F350" s="20" t="n"/>
      <c r="G350" s="17" t="n"/>
      <c r="H350" s="21" t="n"/>
      <c r="I350" s="22">
        <f>IF(NOT(AND(C350&lt;&gt;"",ISNUMBER(B350))),"",IF(N(IFERROR(INDEX(Crops!$F$6:$F$65,MATCH(C350,Crops!$B$6:$B$65,0)),0))&gt;0,INT(B350)+N(IFERROR(INDEX(Crops!$F$6:$F$65,MATCH(C350,Crops!$B$6:$B$65,0)),0)),""))</f>
        <v/>
      </c>
      <c r="J350" s="16">
        <f>IF(NOT(AND(C350&lt;&gt;"",ISNUMBER(B350))),"",IF(ISNUMBER(G350),"Done",IF(INT(B350)&gt;TODAY(),"Planned",IF(COUNTIFS(Harvest!$C$6:$C$1505,C350,Harvest!$D$6:$D$1505,D350&amp;"",Harvest!$L$6:$L$1505,"&gt;="&amp;INT(B350))&gt;0,"Picking","Growing"))))</f>
        <v/>
      </c>
      <c r="K350" s="14">
        <f>IF(OR(NOT(AND(C350&lt;&gt;"",ISNUMBER(B350))),J350="Planned"),"",IF(ISNUMBER(G350),INT(G350),TODAY())-INT(B350))</f>
        <v/>
      </c>
      <c r="L350" s="11">
        <f>IF(AND(B350="",C350="",D350=""),"",IF(NOT(ISNUMBER(B350)),"Needs a date",IF(C350="","Needs a crop",IF(COUNTIF(Crops!$B$6:$B$65,C350)=0,"Not on Crops",IF(AND(D350&lt;&gt;"",COUNTIF(Beds!$B$6:$B$35,D350)=0),"Not on Beds",IF(AND(ISNUMBER(G350),G350&lt;B350),"Cleared before it was planted",""))))))</f>
        <v/>
      </c>
      <c r="M350" s="11">
        <f>IF(OR(L350&lt;&gt;"",D350="",O350=""),"",IF(COUNTIFS(Plantings!$D$6:$D$505,D350,Plantings!$O$6:$O$505,O350,Plantings!$N$6:$N$505,N350-1)&gt;0,"Same family here last year",""))</f>
        <v/>
      </c>
      <c r="N350" s="1">
        <f>IF(ISNUMBER(B350),YEAR(B350),"")</f>
        <v/>
      </c>
      <c r="O350">
        <f>IF(C350="","",IFERROR(INDEX(Crops!$C$6:$C$65,MATCH(C350,Crops!$B$6:$B$65,0))&amp;"",""))</f>
        <v/>
      </c>
      <c r="P350">
        <f>IF(ISNUMBER(B350),INT(B350),0)</f>
        <v/>
      </c>
      <c r="Q350">
        <f>IF(AND(L350="",OR(J350="Growing",J350="Picking")),1,0)</f>
        <v/>
      </c>
      <c r="R350">
        <f>IF(AND(Q350=1,D350&lt;&gt;""),P350*1000+ROW(),0)</f>
        <v/>
      </c>
      <c r="S350">
        <f>IF(AND(AND(C350&lt;&gt;"",ISNUMBER(B350)),L350=""),1,0)</f>
        <v/>
      </c>
    </row>
    <row r="351">
      <c r="A351" s="1" t="n"/>
      <c r="B351" s="17" t="n"/>
      <c r="C351" s="18" t="n"/>
      <c r="D351" s="19" t="n"/>
      <c r="E351" s="19" t="n"/>
      <c r="F351" s="20" t="n"/>
      <c r="G351" s="17" t="n"/>
      <c r="H351" s="21" t="n"/>
      <c r="I351" s="22">
        <f>IF(NOT(AND(C351&lt;&gt;"",ISNUMBER(B351))),"",IF(N(IFERROR(INDEX(Crops!$F$6:$F$65,MATCH(C351,Crops!$B$6:$B$65,0)),0))&gt;0,INT(B351)+N(IFERROR(INDEX(Crops!$F$6:$F$65,MATCH(C351,Crops!$B$6:$B$65,0)),0)),""))</f>
        <v/>
      </c>
      <c r="J351" s="16">
        <f>IF(NOT(AND(C351&lt;&gt;"",ISNUMBER(B351))),"",IF(ISNUMBER(G351),"Done",IF(INT(B351)&gt;TODAY(),"Planned",IF(COUNTIFS(Harvest!$C$6:$C$1505,C351,Harvest!$D$6:$D$1505,D351&amp;"",Harvest!$L$6:$L$1505,"&gt;="&amp;INT(B351))&gt;0,"Picking","Growing"))))</f>
        <v/>
      </c>
      <c r="K351" s="14">
        <f>IF(OR(NOT(AND(C351&lt;&gt;"",ISNUMBER(B351))),J351="Planned"),"",IF(ISNUMBER(G351),INT(G351),TODAY())-INT(B351))</f>
        <v/>
      </c>
      <c r="L351" s="11">
        <f>IF(AND(B351="",C351="",D351=""),"",IF(NOT(ISNUMBER(B351)),"Needs a date",IF(C351="","Needs a crop",IF(COUNTIF(Crops!$B$6:$B$65,C351)=0,"Not on Crops",IF(AND(D351&lt;&gt;"",COUNTIF(Beds!$B$6:$B$35,D351)=0),"Not on Beds",IF(AND(ISNUMBER(G351),G351&lt;B351),"Cleared before it was planted",""))))))</f>
        <v/>
      </c>
      <c r="M351" s="11">
        <f>IF(OR(L351&lt;&gt;"",D351="",O351=""),"",IF(COUNTIFS(Plantings!$D$6:$D$505,D351,Plantings!$O$6:$O$505,O351,Plantings!$N$6:$N$505,N351-1)&gt;0,"Same family here last year",""))</f>
        <v/>
      </c>
      <c r="N351" s="1">
        <f>IF(ISNUMBER(B351),YEAR(B351),"")</f>
        <v/>
      </c>
      <c r="O351">
        <f>IF(C351="","",IFERROR(INDEX(Crops!$C$6:$C$65,MATCH(C351,Crops!$B$6:$B$65,0))&amp;"",""))</f>
        <v/>
      </c>
      <c r="P351">
        <f>IF(ISNUMBER(B351),INT(B351),0)</f>
        <v/>
      </c>
      <c r="Q351">
        <f>IF(AND(L351="",OR(J351="Growing",J351="Picking")),1,0)</f>
        <v/>
      </c>
      <c r="R351">
        <f>IF(AND(Q351=1,D351&lt;&gt;""),P351*1000+ROW(),0)</f>
        <v/>
      </c>
      <c r="S351">
        <f>IF(AND(AND(C351&lt;&gt;"",ISNUMBER(B351)),L351=""),1,0)</f>
        <v/>
      </c>
    </row>
    <row r="352">
      <c r="A352" s="1" t="n"/>
      <c r="B352" s="17" t="n"/>
      <c r="C352" s="18" t="n"/>
      <c r="D352" s="19" t="n"/>
      <c r="E352" s="19" t="n"/>
      <c r="F352" s="20" t="n"/>
      <c r="G352" s="17" t="n"/>
      <c r="H352" s="21" t="n"/>
      <c r="I352" s="22">
        <f>IF(NOT(AND(C352&lt;&gt;"",ISNUMBER(B352))),"",IF(N(IFERROR(INDEX(Crops!$F$6:$F$65,MATCH(C352,Crops!$B$6:$B$65,0)),0))&gt;0,INT(B352)+N(IFERROR(INDEX(Crops!$F$6:$F$65,MATCH(C352,Crops!$B$6:$B$65,0)),0)),""))</f>
        <v/>
      </c>
      <c r="J352" s="16">
        <f>IF(NOT(AND(C352&lt;&gt;"",ISNUMBER(B352))),"",IF(ISNUMBER(G352),"Done",IF(INT(B352)&gt;TODAY(),"Planned",IF(COUNTIFS(Harvest!$C$6:$C$1505,C352,Harvest!$D$6:$D$1505,D352&amp;"",Harvest!$L$6:$L$1505,"&gt;="&amp;INT(B352))&gt;0,"Picking","Growing"))))</f>
        <v/>
      </c>
      <c r="K352" s="14">
        <f>IF(OR(NOT(AND(C352&lt;&gt;"",ISNUMBER(B352))),J352="Planned"),"",IF(ISNUMBER(G352),INT(G352),TODAY())-INT(B352))</f>
        <v/>
      </c>
      <c r="L352" s="11">
        <f>IF(AND(B352="",C352="",D352=""),"",IF(NOT(ISNUMBER(B352)),"Needs a date",IF(C352="","Needs a crop",IF(COUNTIF(Crops!$B$6:$B$65,C352)=0,"Not on Crops",IF(AND(D352&lt;&gt;"",COUNTIF(Beds!$B$6:$B$35,D352)=0),"Not on Beds",IF(AND(ISNUMBER(G352),G352&lt;B352),"Cleared before it was planted",""))))))</f>
        <v/>
      </c>
      <c r="M352" s="11">
        <f>IF(OR(L352&lt;&gt;"",D352="",O352=""),"",IF(COUNTIFS(Plantings!$D$6:$D$505,D352,Plantings!$O$6:$O$505,O352,Plantings!$N$6:$N$505,N352-1)&gt;0,"Same family here last year",""))</f>
        <v/>
      </c>
      <c r="N352" s="1">
        <f>IF(ISNUMBER(B352),YEAR(B352),"")</f>
        <v/>
      </c>
      <c r="O352">
        <f>IF(C352="","",IFERROR(INDEX(Crops!$C$6:$C$65,MATCH(C352,Crops!$B$6:$B$65,0))&amp;"",""))</f>
        <v/>
      </c>
      <c r="P352">
        <f>IF(ISNUMBER(B352),INT(B352),0)</f>
        <v/>
      </c>
      <c r="Q352">
        <f>IF(AND(L352="",OR(J352="Growing",J352="Picking")),1,0)</f>
        <v/>
      </c>
      <c r="R352">
        <f>IF(AND(Q352=1,D352&lt;&gt;""),P352*1000+ROW(),0)</f>
        <v/>
      </c>
      <c r="S352">
        <f>IF(AND(AND(C352&lt;&gt;"",ISNUMBER(B352)),L352=""),1,0)</f>
        <v/>
      </c>
    </row>
    <row r="353">
      <c r="A353" s="1" t="n"/>
      <c r="B353" s="17" t="n"/>
      <c r="C353" s="18" t="n"/>
      <c r="D353" s="19" t="n"/>
      <c r="E353" s="19" t="n"/>
      <c r="F353" s="20" t="n"/>
      <c r="G353" s="17" t="n"/>
      <c r="H353" s="21" t="n"/>
      <c r="I353" s="22">
        <f>IF(NOT(AND(C353&lt;&gt;"",ISNUMBER(B353))),"",IF(N(IFERROR(INDEX(Crops!$F$6:$F$65,MATCH(C353,Crops!$B$6:$B$65,0)),0))&gt;0,INT(B353)+N(IFERROR(INDEX(Crops!$F$6:$F$65,MATCH(C353,Crops!$B$6:$B$65,0)),0)),""))</f>
        <v/>
      </c>
      <c r="J353" s="16">
        <f>IF(NOT(AND(C353&lt;&gt;"",ISNUMBER(B353))),"",IF(ISNUMBER(G353),"Done",IF(INT(B353)&gt;TODAY(),"Planned",IF(COUNTIFS(Harvest!$C$6:$C$1505,C353,Harvest!$D$6:$D$1505,D353&amp;"",Harvest!$L$6:$L$1505,"&gt;="&amp;INT(B353))&gt;0,"Picking","Growing"))))</f>
        <v/>
      </c>
      <c r="K353" s="14">
        <f>IF(OR(NOT(AND(C353&lt;&gt;"",ISNUMBER(B353))),J353="Planned"),"",IF(ISNUMBER(G353),INT(G353),TODAY())-INT(B353))</f>
        <v/>
      </c>
      <c r="L353" s="11">
        <f>IF(AND(B353="",C353="",D353=""),"",IF(NOT(ISNUMBER(B353)),"Needs a date",IF(C353="","Needs a crop",IF(COUNTIF(Crops!$B$6:$B$65,C353)=0,"Not on Crops",IF(AND(D353&lt;&gt;"",COUNTIF(Beds!$B$6:$B$35,D353)=0),"Not on Beds",IF(AND(ISNUMBER(G353),G353&lt;B353),"Cleared before it was planted",""))))))</f>
        <v/>
      </c>
      <c r="M353" s="11">
        <f>IF(OR(L353&lt;&gt;"",D353="",O353=""),"",IF(COUNTIFS(Plantings!$D$6:$D$505,D353,Plantings!$O$6:$O$505,O353,Plantings!$N$6:$N$505,N353-1)&gt;0,"Same family here last year",""))</f>
        <v/>
      </c>
      <c r="N353" s="1">
        <f>IF(ISNUMBER(B353),YEAR(B353),"")</f>
        <v/>
      </c>
      <c r="O353">
        <f>IF(C353="","",IFERROR(INDEX(Crops!$C$6:$C$65,MATCH(C353,Crops!$B$6:$B$65,0))&amp;"",""))</f>
        <v/>
      </c>
      <c r="P353">
        <f>IF(ISNUMBER(B353),INT(B353),0)</f>
        <v/>
      </c>
      <c r="Q353">
        <f>IF(AND(L353="",OR(J353="Growing",J353="Picking")),1,0)</f>
        <v/>
      </c>
      <c r="R353">
        <f>IF(AND(Q353=1,D353&lt;&gt;""),P353*1000+ROW(),0)</f>
        <v/>
      </c>
      <c r="S353">
        <f>IF(AND(AND(C353&lt;&gt;"",ISNUMBER(B353)),L353=""),1,0)</f>
        <v/>
      </c>
    </row>
    <row r="354">
      <c r="A354" s="1" t="n"/>
      <c r="B354" s="17" t="n"/>
      <c r="C354" s="18" t="n"/>
      <c r="D354" s="19" t="n"/>
      <c r="E354" s="19" t="n"/>
      <c r="F354" s="20" t="n"/>
      <c r="G354" s="17" t="n"/>
      <c r="H354" s="21" t="n"/>
      <c r="I354" s="22">
        <f>IF(NOT(AND(C354&lt;&gt;"",ISNUMBER(B354))),"",IF(N(IFERROR(INDEX(Crops!$F$6:$F$65,MATCH(C354,Crops!$B$6:$B$65,0)),0))&gt;0,INT(B354)+N(IFERROR(INDEX(Crops!$F$6:$F$65,MATCH(C354,Crops!$B$6:$B$65,0)),0)),""))</f>
        <v/>
      </c>
      <c r="J354" s="16">
        <f>IF(NOT(AND(C354&lt;&gt;"",ISNUMBER(B354))),"",IF(ISNUMBER(G354),"Done",IF(INT(B354)&gt;TODAY(),"Planned",IF(COUNTIFS(Harvest!$C$6:$C$1505,C354,Harvest!$D$6:$D$1505,D354&amp;"",Harvest!$L$6:$L$1505,"&gt;="&amp;INT(B354))&gt;0,"Picking","Growing"))))</f>
        <v/>
      </c>
      <c r="K354" s="14">
        <f>IF(OR(NOT(AND(C354&lt;&gt;"",ISNUMBER(B354))),J354="Planned"),"",IF(ISNUMBER(G354),INT(G354),TODAY())-INT(B354))</f>
        <v/>
      </c>
      <c r="L354" s="11">
        <f>IF(AND(B354="",C354="",D354=""),"",IF(NOT(ISNUMBER(B354)),"Needs a date",IF(C354="","Needs a crop",IF(COUNTIF(Crops!$B$6:$B$65,C354)=0,"Not on Crops",IF(AND(D354&lt;&gt;"",COUNTIF(Beds!$B$6:$B$35,D354)=0),"Not on Beds",IF(AND(ISNUMBER(G354),G354&lt;B354),"Cleared before it was planted",""))))))</f>
        <v/>
      </c>
      <c r="M354" s="11">
        <f>IF(OR(L354&lt;&gt;"",D354="",O354=""),"",IF(COUNTIFS(Plantings!$D$6:$D$505,D354,Plantings!$O$6:$O$505,O354,Plantings!$N$6:$N$505,N354-1)&gt;0,"Same family here last year",""))</f>
        <v/>
      </c>
      <c r="N354" s="1">
        <f>IF(ISNUMBER(B354),YEAR(B354),"")</f>
        <v/>
      </c>
      <c r="O354">
        <f>IF(C354="","",IFERROR(INDEX(Crops!$C$6:$C$65,MATCH(C354,Crops!$B$6:$B$65,0))&amp;"",""))</f>
        <v/>
      </c>
      <c r="P354">
        <f>IF(ISNUMBER(B354),INT(B354),0)</f>
        <v/>
      </c>
      <c r="Q354">
        <f>IF(AND(L354="",OR(J354="Growing",J354="Picking")),1,0)</f>
        <v/>
      </c>
      <c r="R354">
        <f>IF(AND(Q354=1,D354&lt;&gt;""),P354*1000+ROW(),0)</f>
        <v/>
      </c>
      <c r="S354">
        <f>IF(AND(AND(C354&lt;&gt;"",ISNUMBER(B354)),L354=""),1,0)</f>
        <v/>
      </c>
    </row>
    <row r="355">
      <c r="A355" s="1" t="n"/>
      <c r="B355" s="17" t="n"/>
      <c r="C355" s="18" t="n"/>
      <c r="D355" s="19" t="n"/>
      <c r="E355" s="19" t="n"/>
      <c r="F355" s="20" t="n"/>
      <c r="G355" s="17" t="n"/>
      <c r="H355" s="21" t="n"/>
      <c r="I355" s="22">
        <f>IF(NOT(AND(C355&lt;&gt;"",ISNUMBER(B355))),"",IF(N(IFERROR(INDEX(Crops!$F$6:$F$65,MATCH(C355,Crops!$B$6:$B$65,0)),0))&gt;0,INT(B355)+N(IFERROR(INDEX(Crops!$F$6:$F$65,MATCH(C355,Crops!$B$6:$B$65,0)),0)),""))</f>
        <v/>
      </c>
      <c r="J355" s="16">
        <f>IF(NOT(AND(C355&lt;&gt;"",ISNUMBER(B355))),"",IF(ISNUMBER(G355),"Done",IF(INT(B355)&gt;TODAY(),"Planned",IF(COUNTIFS(Harvest!$C$6:$C$1505,C355,Harvest!$D$6:$D$1505,D355&amp;"",Harvest!$L$6:$L$1505,"&gt;="&amp;INT(B355))&gt;0,"Picking","Growing"))))</f>
        <v/>
      </c>
      <c r="K355" s="14">
        <f>IF(OR(NOT(AND(C355&lt;&gt;"",ISNUMBER(B355))),J355="Planned"),"",IF(ISNUMBER(G355),INT(G355),TODAY())-INT(B355))</f>
        <v/>
      </c>
      <c r="L355" s="11">
        <f>IF(AND(B355="",C355="",D355=""),"",IF(NOT(ISNUMBER(B355)),"Needs a date",IF(C355="","Needs a crop",IF(COUNTIF(Crops!$B$6:$B$65,C355)=0,"Not on Crops",IF(AND(D355&lt;&gt;"",COUNTIF(Beds!$B$6:$B$35,D355)=0),"Not on Beds",IF(AND(ISNUMBER(G355),G355&lt;B355),"Cleared before it was planted",""))))))</f>
        <v/>
      </c>
      <c r="M355" s="11">
        <f>IF(OR(L355&lt;&gt;"",D355="",O355=""),"",IF(COUNTIFS(Plantings!$D$6:$D$505,D355,Plantings!$O$6:$O$505,O355,Plantings!$N$6:$N$505,N355-1)&gt;0,"Same family here last year",""))</f>
        <v/>
      </c>
      <c r="N355" s="1">
        <f>IF(ISNUMBER(B355),YEAR(B355),"")</f>
        <v/>
      </c>
      <c r="O355">
        <f>IF(C355="","",IFERROR(INDEX(Crops!$C$6:$C$65,MATCH(C355,Crops!$B$6:$B$65,0))&amp;"",""))</f>
        <v/>
      </c>
      <c r="P355">
        <f>IF(ISNUMBER(B355),INT(B355),0)</f>
        <v/>
      </c>
      <c r="Q355">
        <f>IF(AND(L355="",OR(J355="Growing",J355="Picking")),1,0)</f>
        <v/>
      </c>
      <c r="R355">
        <f>IF(AND(Q355=1,D355&lt;&gt;""),P355*1000+ROW(),0)</f>
        <v/>
      </c>
      <c r="S355">
        <f>IF(AND(AND(C355&lt;&gt;"",ISNUMBER(B355)),L355=""),1,0)</f>
        <v/>
      </c>
    </row>
    <row r="356">
      <c r="A356" s="1" t="n"/>
      <c r="B356" s="17" t="n"/>
      <c r="C356" s="18" t="n"/>
      <c r="D356" s="19" t="n"/>
      <c r="E356" s="19" t="n"/>
      <c r="F356" s="20" t="n"/>
      <c r="G356" s="17" t="n"/>
      <c r="H356" s="21" t="n"/>
      <c r="I356" s="22">
        <f>IF(NOT(AND(C356&lt;&gt;"",ISNUMBER(B356))),"",IF(N(IFERROR(INDEX(Crops!$F$6:$F$65,MATCH(C356,Crops!$B$6:$B$65,0)),0))&gt;0,INT(B356)+N(IFERROR(INDEX(Crops!$F$6:$F$65,MATCH(C356,Crops!$B$6:$B$65,0)),0)),""))</f>
        <v/>
      </c>
      <c r="J356" s="16">
        <f>IF(NOT(AND(C356&lt;&gt;"",ISNUMBER(B356))),"",IF(ISNUMBER(G356),"Done",IF(INT(B356)&gt;TODAY(),"Planned",IF(COUNTIFS(Harvest!$C$6:$C$1505,C356,Harvest!$D$6:$D$1505,D356&amp;"",Harvest!$L$6:$L$1505,"&gt;="&amp;INT(B356))&gt;0,"Picking","Growing"))))</f>
        <v/>
      </c>
      <c r="K356" s="14">
        <f>IF(OR(NOT(AND(C356&lt;&gt;"",ISNUMBER(B356))),J356="Planned"),"",IF(ISNUMBER(G356),INT(G356),TODAY())-INT(B356))</f>
        <v/>
      </c>
      <c r="L356" s="11">
        <f>IF(AND(B356="",C356="",D356=""),"",IF(NOT(ISNUMBER(B356)),"Needs a date",IF(C356="","Needs a crop",IF(COUNTIF(Crops!$B$6:$B$65,C356)=0,"Not on Crops",IF(AND(D356&lt;&gt;"",COUNTIF(Beds!$B$6:$B$35,D356)=0),"Not on Beds",IF(AND(ISNUMBER(G356),G356&lt;B356),"Cleared before it was planted",""))))))</f>
        <v/>
      </c>
      <c r="M356" s="11">
        <f>IF(OR(L356&lt;&gt;"",D356="",O356=""),"",IF(COUNTIFS(Plantings!$D$6:$D$505,D356,Plantings!$O$6:$O$505,O356,Plantings!$N$6:$N$505,N356-1)&gt;0,"Same family here last year",""))</f>
        <v/>
      </c>
      <c r="N356" s="1">
        <f>IF(ISNUMBER(B356),YEAR(B356),"")</f>
        <v/>
      </c>
      <c r="O356">
        <f>IF(C356="","",IFERROR(INDEX(Crops!$C$6:$C$65,MATCH(C356,Crops!$B$6:$B$65,0))&amp;"",""))</f>
        <v/>
      </c>
      <c r="P356">
        <f>IF(ISNUMBER(B356),INT(B356),0)</f>
        <v/>
      </c>
      <c r="Q356">
        <f>IF(AND(L356="",OR(J356="Growing",J356="Picking")),1,0)</f>
        <v/>
      </c>
      <c r="R356">
        <f>IF(AND(Q356=1,D356&lt;&gt;""),P356*1000+ROW(),0)</f>
        <v/>
      </c>
      <c r="S356">
        <f>IF(AND(AND(C356&lt;&gt;"",ISNUMBER(B356)),L356=""),1,0)</f>
        <v/>
      </c>
    </row>
    <row r="357">
      <c r="A357" s="1" t="n"/>
      <c r="B357" s="17" t="n"/>
      <c r="C357" s="18" t="n"/>
      <c r="D357" s="19" t="n"/>
      <c r="E357" s="19" t="n"/>
      <c r="F357" s="20" t="n"/>
      <c r="G357" s="17" t="n"/>
      <c r="H357" s="21" t="n"/>
      <c r="I357" s="22">
        <f>IF(NOT(AND(C357&lt;&gt;"",ISNUMBER(B357))),"",IF(N(IFERROR(INDEX(Crops!$F$6:$F$65,MATCH(C357,Crops!$B$6:$B$65,0)),0))&gt;0,INT(B357)+N(IFERROR(INDEX(Crops!$F$6:$F$65,MATCH(C357,Crops!$B$6:$B$65,0)),0)),""))</f>
        <v/>
      </c>
      <c r="J357" s="16">
        <f>IF(NOT(AND(C357&lt;&gt;"",ISNUMBER(B357))),"",IF(ISNUMBER(G357),"Done",IF(INT(B357)&gt;TODAY(),"Planned",IF(COUNTIFS(Harvest!$C$6:$C$1505,C357,Harvest!$D$6:$D$1505,D357&amp;"",Harvest!$L$6:$L$1505,"&gt;="&amp;INT(B357))&gt;0,"Picking","Growing"))))</f>
        <v/>
      </c>
      <c r="K357" s="14">
        <f>IF(OR(NOT(AND(C357&lt;&gt;"",ISNUMBER(B357))),J357="Planned"),"",IF(ISNUMBER(G357),INT(G357),TODAY())-INT(B357))</f>
        <v/>
      </c>
      <c r="L357" s="11">
        <f>IF(AND(B357="",C357="",D357=""),"",IF(NOT(ISNUMBER(B357)),"Needs a date",IF(C357="","Needs a crop",IF(COUNTIF(Crops!$B$6:$B$65,C357)=0,"Not on Crops",IF(AND(D357&lt;&gt;"",COUNTIF(Beds!$B$6:$B$35,D357)=0),"Not on Beds",IF(AND(ISNUMBER(G357),G357&lt;B357),"Cleared before it was planted",""))))))</f>
        <v/>
      </c>
      <c r="M357" s="11">
        <f>IF(OR(L357&lt;&gt;"",D357="",O357=""),"",IF(COUNTIFS(Plantings!$D$6:$D$505,D357,Plantings!$O$6:$O$505,O357,Plantings!$N$6:$N$505,N357-1)&gt;0,"Same family here last year",""))</f>
        <v/>
      </c>
      <c r="N357" s="1">
        <f>IF(ISNUMBER(B357),YEAR(B357),"")</f>
        <v/>
      </c>
      <c r="O357">
        <f>IF(C357="","",IFERROR(INDEX(Crops!$C$6:$C$65,MATCH(C357,Crops!$B$6:$B$65,0))&amp;"",""))</f>
        <v/>
      </c>
      <c r="P357">
        <f>IF(ISNUMBER(B357),INT(B357),0)</f>
        <v/>
      </c>
      <c r="Q357">
        <f>IF(AND(L357="",OR(J357="Growing",J357="Picking")),1,0)</f>
        <v/>
      </c>
      <c r="R357">
        <f>IF(AND(Q357=1,D357&lt;&gt;""),P357*1000+ROW(),0)</f>
        <v/>
      </c>
      <c r="S357">
        <f>IF(AND(AND(C357&lt;&gt;"",ISNUMBER(B357)),L357=""),1,0)</f>
        <v/>
      </c>
    </row>
    <row r="358">
      <c r="A358" s="1" t="n"/>
      <c r="B358" s="17" t="n"/>
      <c r="C358" s="18" t="n"/>
      <c r="D358" s="19" t="n"/>
      <c r="E358" s="19" t="n"/>
      <c r="F358" s="20" t="n"/>
      <c r="G358" s="17" t="n"/>
      <c r="H358" s="21" t="n"/>
      <c r="I358" s="22">
        <f>IF(NOT(AND(C358&lt;&gt;"",ISNUMBER(B358))),"",IF(N(IFERROR(INDEX(Crops!$F$6:$F$65,MATCH(C358,Crops!$B$6:$B$65,0)),0))&gt;0,INT(B358)+N(IFERROR(INDEX(Crops!$F$6:$F$65,MATCH(C358,Crops!$B$6:$B$65,0)),0)),""))</f>
        <v/>
      </c>
      <c r="J358" s="16">
        <f>IF(NOT(AND(C358&lt;&gt;"",ISNUMBER(B358))),"",IF(ISNUMBER(G358),"Done",IF(INT(B358)&gt;TODAY(),"Planned",IF(COUNTIFS(Harvest!$C$6:$C$1505,C358,Harvest!$D$6:$D$1505,D358&amp;"",Harvest!$L$6:$L$1505,"&gt;="&amp;INT(B358))&gt;0,"Picking","Growing"))))</f>
        <v/>
      </c>
      <c r="K358" s="14">
        <f>IF(OR(NOT(AND(C358&lt;&gt;"",ISNUMBER(B358))),J358="Planned"),"",IF(ISNUMBER(G358),INT(G358),TODAY())-INT(B358))</f>
        <v/>
      </c>
      <c r="L358" s="11">
        <f>IF(AND(B358="",C358="",D358=""),"",IF(NOT(ISNUMBER(B358)),"Needs a date",IF(C358="","Needs a crop",IF(COUNTIF(Crops!$B$6:$B$65,C358)=0,"Not on Crops",IF(AND(D358&lt;&gt;"",COUNTIF(Beds!$B$6:$B$35,D358)=0),"Not on Beds",IF(AND(ISNUMBER(G358),G358&lt;B358),"Cleared before it was planted",""))))))</f>
        <v/>
      </c>
      <c r="M358" s="11">
        <f>IF(OR(L358&lt;&gt;"",D358="",O358=""),"",IF(COUNTIFS(Plantings!$D$6:$D$505,D358,Plantings!$O$6:$O$505,O358,Plantings!$N$6:$N$505,N358-1)&gt;0,"Same family here last year",""))</f>
        <v/>
      </c>
      <c r="N358" s="1">
        <f>IF(ISNUMBER(B358),YEAR(B358),"")</f>
        <v/>
      </c>
      <c r="O358">
        <f>IF(C358="","",IFERROR(INDEX(Crops!$C$6:$C$65,MATCH(C358,Crops!$B$6:$B$65,0))&amp;"",""))</f>
        <v/>
      </c>
      <c r="P358">
        <f>IF(ISNUMBER(B358),INT(B358),0)</f>
        <v/>
      </c>
      <c r="Q358">
        <f>IF(AND(L358="",OR(J358="Growing",J358="Picking")),1,0)</f>
        <v/>
      </c>
      <c r="R358">
        <f>IF(AND(Q358=1,D358&lt;&gt;""),P358*1000+ROW(),0)</f>
        <v/>
      </c>
      <c r="S358">
        <f>IF(AND(AND(C358&lt;&gt;"",ISNUMBER(B358)),L358=""),1,0)</f>
        <v/>
      </c>
    </row>
    <row r="359">
      <c r="A359" s="1" t="n"/>
      <c r="B359" s="17" t="n"/>
      <c r="C359" s="18" t="n"/>
      <c r="D359" s="19" t="n"/>
      <c r="E359" s="19" t="n"/>
      <c r="F359" s="20" t="n"/>
      <c r="G359" s="17" t="n"/>
      <c r="H359" s="21" t="n"/>
      <c r="I359" s="22">
        <f>IF(NOT(AND(C359&lt;&gt;"",ISNUMBER(B359))),"",IF(N(IFERROR(INDEX(Crops!$F$6:$F$65,MATCH(C359,Crops!$B$6:$B$65,0)),0))&gt;0,INT(B359)+N(IFERROR(INDEX(Crops!$F$6:$F$65,MATCH(C359,Crops!$B$6:$B$65,0)),0)),""))</f>
        <v/>
      </c>
      <c r="J359" s="16">
        <f>IF(NOT(AND(C359&lt;&gt;"",ISNUMBER(B359))),"",IF(ISNUMBER(G359),"Done",IF(INT(B359)&gt;TODAY(),"Planned",IF(COUNTIFS(Harvest!$C$6:$C$1505,C359,Harvest!$D$6:$D$1505,D359&amp;"",Harvest!$L$6:$L$1505,"&gt;="&amp;INT(B359))&gt;0,"Picking","Growing"))))</f>
        <v/>
      </c>
      <c r="K359" s="14">
        <f>IF(OR(NOT(AND(C359&lt;&gt;"",ISNUMBER(B359))),J359="Planned"),"",IF(ISNUMBER(G359),INT(G359),TODAY())-INT(B359))</f>
        <v/>
      </c>
      <c r="L359" s="11">
        <f>IF(AND(B359="",C359="",D359=""),"",IF(NOT(ISNUMBER(B359)),"Needs a date",IF(C359="","Needs a crop",IF(COUNTIF(Crops!$B$6:$B$65,C359)=0,"Not on Crops",IF(AND(D359&lt;&gt;"",COUNTIF(Beds!$B$6:$B$35,D359)=0),"Not on Beds",IF(AND(ISNUMBER(G359),G359&lt;B359),"Cleared before it was planted",""))))))</f>
        <v/>
      </c>
      <c r="M359" s="11">
        <f>IF(OR(L359&lt;&gt;"",D359="",O359=""),"",IF(COUNTIFS(Plantings!$D$6:$D$505,D359,Plantings!$O$6:$O$505,O359,Plantings!$N$6:$N$505,N359-1)&gt;0,"Same family here last year",""))</f>
        <v/>
      </c>
      <c r="N359" s="1">
        <f>IF(ISNUMBER(B359),YEAR(B359),"")</f>
        <v/>
      </c>
      <c r="O359">
        <f>IF(C359="","",IFERROR(INDEX(Crops!$C$6:$C$65,MATCH(C359,Crops!$B$6:$B$65,0))&amp;"",""))</f>
        <v/>
      </c>
      <c r="P359">
        <f>IF(ISNUMBER(B359),INT(B359),0)</f>
        <v/>
      </c>
      <c r="Q359">
        <f>IF(AND(L359="",OR(J359="Growing",J359="Picking")),1,0)</f>
        <v/>
      </c>
      <c r="R359">
        <f>IF(AND(Q359=1,D359&lt;&gt;""),P359*1000+ROW(),0)</f>
        <v/>
      </c>
      <c r="S359">
        <f>IF(AND(AND(C359&lt;&gt;"",ISNUMBER(B359)),L359=""),1,0)</f>
        <v/>
      </c>
    </row>
    <row r="360">
      <c r="A360" s="1" t="n"/>
      <c r="B360" s="17" t="n"/>
      <c r="C360" s="18" t="n"/>
      <c r="D360" s="19" t="n"/>
      <c r="E360" s="19" t="n"/>
      <c r="F360" s="20" t="n"/>
      <c r="G360" s="17" t="n"/>
      <c r="H360" s="21" t="n"/>
      <c r="I360" s="22">
        <f>IF(NOT(AND(C360&lt;&gt;"",ISNUMBER(B360))),"",IF(N(IFERROR(INDEX(Crops!$F$6:$F$65,MATCH(C360,Crops!$B$6:$B$65,0)),0))&gt;0,INT(B360)+N(IFERROR(INDEX(Crops!$F$6:$F$65,MATCH(C360,Crops!$B$6:$B$65,0)),0)),""))</f>
        <v/>
      </c>
      <c r="J360" s="16">
        <f>IF(NOT(AND(C360&lt;&gt;"",ISNUMBER(B360))),"",IF(ISNUMBER(G360),"Done",IF(INT(B360)&gt;TODAY(),"Planned",IF(COUNTIFS(Harvest!$C$6:$C$1505,C360,Harvest!$D$6:$D$1505,D360&amp;"",Harvest!$L$6:$L$1505,"&gt;="&amp;INT(B360))&gt;0,"Picking","Growing"))))</f>
        <v/>
      </c>
      <c r="K360" s="14">
        <f>IF(OR(NOT(AND(C360&lt;&gt;"",ISNUMBER(B360))),J360="Planned"),"",IF(ISNUMBER(G360),INT(G360),TODAY())-INT(B360))</f>
        <v/>
      </c>
      <c r="L360" s="11">
        <f>IF(AND(B360="",C360="",D360=""),"",IF(NOT(ISNUMBER(B360)),"Needs a date",IF(C360="","Needs a crop",IF(COUNTIF(Crops!$B$6:$B$65,C360)=0,"Not on Crops",IF(AND(D360&lt;&gt;"",COUNTIF(Beds!$B$6:$B$35,D360)=0),"Not on Beds",IF(AND(ISNUMBER(G360),G360&lt;B360),"Cleared before it was planted",""))))))</f>
        <v/>
      </c>
      <c r="M360" s="11">
        <f>IF(OR(L360&lt;&gt;"",D360="",O360=""),"",IF(COUNTIFS(Plantings!$D$6:$D$505,D360,Plantings!$O$6:$O$505,O360,Plantings!$N$6:$N$505,N360-1)&gt;0,"Same family here last year",""))</f>
        <v/>
      </c>
      <c r="N360" s="1">
        <f>IF(ISNUMBER(B360),YEAR(B360),"")</f>
        <v/>
      </c>
      <c r="O360">
        <f>IF(C360="","",IFERROR(INDEX(Crops!$C$6:$C$65,MATCH(C360,Crops!$B$6:$B$65,0))&amp;"",""))</f>
        <v/>
      </c>
      <c r="P360">
        <f>IF(ISNUMBER(B360),INT(B360),0)</f>
        <v/>
      </c>
      <c r="Q360">
        <f>IF(AND(L360="",OR(J360="Growing",J360="Picking")),1,0)</f>
        <v/>
      </c>
      <c r="R360">
        <f>IF(AND(Q360=1,D360&lt;&gt;""),P360*1000+ROW(),0)</f>
        <v/>
      </c>
      <c r="S360">
        <f>IF(AND(AND(C360&lt;&gt;"",ISNUMBER(B360)),L360=""),1,0)</f>
        <v/>
      </c>
    </row>
    <row r="361">
      <c r="A361" s="1" t="n"/>
      <c r="B361" s="17" t="n"/>
      <c r="C361" s="18" t="n"/>
      <c r="D361" s="19" t="n"/>
      <c r="E361" s="19" t="n"/>
      <c r="F361" s="20" t="n"/>
      <c r="G361" s="17" t="n"/>
      <c r="H361" s="21" t="n"/>
      <c r="I361" s="22">
        <f>IF(NOT(AND(C361&lt;&gt;"",ISNUMBER(B361))),"",IF(N(IFERROR(INDEX(Crops!$F$6:$F$65,MATCH(C361,Crops!$B$6:$B$65,0)),0))&gt;0,INT(B361)+N(IFERROR(INDEX(Crops!$F$6:$F$65,MATCH(C361,Crops!$B$6:$B$65,0)),0)),""))</f>
        <v/>
      </c>
      <c r="J361" s="16">
        <f>IF(NOT(AND(C361&lt;&gt;"",ISNUMBER(B361))),"",IF(ISNUMBER(G361),"Done",IF(INT(B361)&gt;TODAY(),"Planned",IF(COUNTIFS(Harvest!$C$6:$C$1505,C361,Harvest!$D$6:$D$1505,D361&amp;"",Harvest!$L$6:$L$1505,"&gt;="&amp;INT(B361))&gt;0,"Picking","Growing"))))</f>
        <v/>
      </c>
      <c r="K361" s="14">
        <f>IF(OR(NOT(AND(C361&lt;&gt;"",ISNUMBER(B361))),J361="Planned"),"",IF(ISNUMBER(G361),INT(G361),TODAY())-INT(B361))</f>
        <v/>
      </c>
      <c r="L361" s="11">
        <f>IF(AND(B361="",C361="",D361=""),"",IF(NOT(ISNUMBER(B361)),"Needs a date",IF(C361="","Needs a crop",IF(COUNTIF(Crops!$B$6:$B$65,C361)=0,"Not on Crops",IF(AND(D361&lt;&gt;"",COUNTIF(Beds!$B$6:$B$35,D361)=0),"Not on Beds",IF(AND(ISNUMBER(G361),G361&lt;B361),"Cleared before it was planted",""))))))</f>
        <v/>
      </c>
      <c r="M361" s="11">
        <f>IF(OR(L361&lt;&gt;"",D361="",O361=""),"",IF(COUNTIFS(Plantings!$D$6:$D$505,D361,Plantings!$O$6:$O$505,O361,Plantings!$N$6:$N$505,N361-1)&gt;0,"Same family here last year",""))</f>
        <v/>
      </c>
      <c r="N361" s="1">
        <f>IF(ISNUMBER(B361),YEAR(B361),"")</f>
        <v/>
      </c>
      <c r="O361">
        <f>IF(C361="","",IFERROR(INDEX(Crops!$C$6:$C$65,MATCH(C361,Crops!$B$6:$B$65,0))&amp;"",""))</f>
        <v/>
      </c>
      <c r="P361">
        <f>IF(ISNUMBER(B361),INT(B361),0)</f>
        <v/>
      </c>
      <c r="Q361">
        <f>IF(AND(L361="",OR(J361="Growing",J361="Picking")),1,0)</f>
        <v/>
      </c>
      <c r="R361">
        <f>IF(AND(Q361=1,D361&lt;&gt;""),P361*1000+ROW(),0)</f>
        <v/>
      </c>
      <c r="S361">
        <f>IF(AND(AND(C361&lt;&gt;"",ISNUMBER(B361)),L361=""),1,0)</f>
        <v/>
      </c>
    </row>
    <row r="362">
      <c r="A362" s="1" t="n"/>
      <c r="B362" s="17" t="n"/>
      <c r="C362" s="18" t="n"/>
      <c r="D362" s="19" t="n"/>
      <c r="E362" s="19" t="n"/>
      <c r="F362" s="20" t="n"/>
      <c r="G362" s="17" t="n"/>
      <c r="H362" s="21" t="n"/>
      <c r="I362" s="22">
        <f>IF(NOT(AND(C362&lt;&gt;"",ISNUMBER(B362))),"",IF(N(IFERROR(INDEX(Crops!$F$6:$F$65,MATCH(C362,Crops!$B$6:$B$65,0)),0))&gt;0,INT(B362)+N(IFERROR(INDEX(Crops!$F$6:$F$65,MATCH(C362,Crops!$B$6:$B$65,0)),0)),""))</f>
        <v/>
      </c>
      <c r="J362" s="16">
        <f>IF(NOT(AND(C362&lt;&gt;"",ISNUMBER(B362))),"",IF(ISNUMBER(G362),"Done",IF(INT(B362)&gt;TODAY(),"Planned",IF(COUNTIFS(Harvest!$C$6:$C$1505,C362,Harvest!$D$6:$D$1505,D362&amp;"",Harvest!$L$6:$L$1505,"&gt;="&amp;INT(B362))&gt;0,"Picking","Growing"))))</f>
        <v/>
      </c>
      <c r="K362" s="14">
        <f>IF(OR(NOT(AND(C362&lt;&gt;"",ISNUMBER(B362))),J362="Planned"),"",IF(ISNUMBER(G362),INT(G362),TODAY())-INT(B362))</f>
        <v/>
      </c>
      <c r="L362" s="11">
        <f>IF(AND(B362="",C362="",D362=""),"",IF(NOT(ISNUMBER(B362)),"Needs a date",IF(C362="","Needs a crop",IF(COUNTIF(Crops!$B$6:$B$65,C362)=0,"Not on Crops",IF(AND(D362&lt;&gt;"",COUNTIF(Beds!$B$6:$B$35,D362)=0),"Not on Beds",IF(AND(ISNUMBER(G362),G362&lt;B362),"Cleared before it was planted",""))))))</f>
        <v/>
      </c>
      <c r="M362" s="11">
        <f>IF(OR(L362&lt;&gt;"",D362="",O362=""),"",IF(COUNTIFS(Plantings!$D$6:$D$505,D362,Plantings!$O$6:$O$505,O362,Plantings!$N$6:$N$505,N362-1)&gt;0,"Same family here last year",""))</f>
        <v/>
      </c>
      <c r="N362" s="1">
        <f>IF(ISNUMBER(B362),YEAR(B362),"")</f>
        <v/>
      </c>
      <c r="O362">
        <f>IF(C362="","",IFERROR(INDEX(Crops!$C$6:$C$65,MATCH(C362,Crops!$B$6:$B$65,0))&amp;"",""))</f>
        <v/>
      </c>
      <c r="P362">
        <f>IF(ISNUMBER(B362),INT(B362),0)</f>
        <v/>
      </c>
      <c r="Q362">
        <f>IF(AND(L362="",OR(J362="Growing",J362="Picking")),1,0)</f>
        <v/>
      </c>
      <c r="R362">
        <f>IF(AND(Q362=1,D362&lt;&gt;""),P362*1000+ROW(),0)</f>
        <v/>
      </c>
      <c r="S362">
        <f>IF(AND(AND(C362&lt;&gt;"",ISNUMBER(B362)),L362=""),1,0)</f>
        <v/>
      </c>
    </row>
    <row r="363">
      <c r="A363" s="1" t="n"/>
      <c r="B363" s="17" t="n"/>
      <c r="C363" s="18" t="n"/>
      <c r="D363" s="19" t="n"/>
      <c r="E363" s="19" t="n"/>
      <c r="F363" s="20" t="n"/>
      <c r="G363" s="17" t="n"/>
      <c r="H363" s="21" t="n"/>
      <c r="I363" s="22">
        <f>IF(NOT(AND(C363&lt;&gt;"",ISNUMBER(B363))),"",IF(N(IFERROR(INDEX(Crops!$F$6:$F$65,MATCH(C363,Crops!$B$6:$B$65,0)),0))&gt;0,INT(B363)+N(IFERROR(INDEX(Crops!$F$6:$F$65,MATCH(C363,Crops!$B$6:$B$65,0)),0)),""))</f>
        <v/>
      </c>
      <c r="J363" s="16">
        <f>IF(NOT(AND(C363&lt;&gt;"",ISNUMBER(B363))),"",IF(ISNUMBER(G363),"Done",IF(INT(B363)&gt;TODAY(),"Planned",IF(COUNTIFS(Harvest!$C$6:$C$1505,C363,Harvest!$D$6:$D$1505,D363&amp;"",Harvest!$L$6:$L$1505,"&gt;="&amp;INT(B363))&gt;0,"Picking","Growing"))))</f>
        <v/>
      </c>
      <c r="K363" s="14">
        <f>IF(OR(NOT(AND(C363&lt;&gt;"",ISNUMBER(B363))),J363="Planned"),"",IF(ISNUMBER(G363),INT(G363),TODAY())-INT(B363))</f>
        <v/>
      </c>
      <c r="L363" s="11">
        <f>IF(AND(B363="",C363="",D363=""),"",IF(NOT(ISNUMBER(B363)),"Needs a date",IF(C363="","Needs a crop",IF(COUNTIF(Crops!$B$6:$B$65,C363)=0,"Not on Crops",IF(AND(D363&lt;&gt;"",COUNTIF(Beds!$B$6:$B$35,D363)=0),"Not on Beds",IF(AND(ISNUMBER(G363),G363&lt;B363),"Cleared before it was planted",""))))))</f>
        <v/>
      </c>
      <c r="M363" s="11">
        <f>IF(OR(L363&lt;&gt;"",D363="",O363=""),"",IF(COUNTIFS(Plantings!$D$6:$D$505,D363,Plantings!$O$6:$O$505,O363,Plantings!$N$6:$N$505,N363-1)&gt;0,"Same family here last year",""))</f>
        <v/>
      </c>
      <c r="N363" s="1">
        <f>IF(ISNUMBER(B363),YEAR(B363),"")</f>
        <v/>
      </c>
      <c r="O363">
        <f>IF(C363="","",IFERROR(INDEX(Crops!$C$6:$C$65,MATCH(C363,Crops!$B$6:$B$65,0))&amp;"",""))</f>
        <v/>
      </c>
      <c r="P363">
        <f>IF(ISNUMBER(B363),INT(B363),0)</f>
        <v/>
      </c>
      <c r="Q363">
        <f>IF(AND(L363="",OR(J363="Growing",J363="Picking")),1,0)</f>
        <v/>
      </c>
      <c r="R363">
        <f>IF(AND(Q363=1,D363&lt;&gt;""),P363*1000+ROW(),0)</f>
        <v/>
      </c>
      <c r="S363">
        <f>IF(AND(AND(C363&lt;&gt;"",ISNUMBER(B363)),L363=""),1,0)</f>
        <v/>
      </c>
    </row>
    <row r="364">
      <c r="A364" s="1" t="n"/>
      <c r="B364" s="17" t="n"/>
      <c r="C364" s="18" t="n"/>
      <c r="D364" s="19" t="n"/>
      <c r="E364" s="19" t="n"/>
      <c r="F364" s="20" t="n"/>
      <c r="G364" s="17" t="n"/>
      <c r="H364" s="21" t="n"/>
      <c r="I364" s="22">
        <f>IF(NOT(AND(C364&lt;&gt;"",ISNUMBER(B364))),"",IF(N(IFERROR(INDEX(Crops!$F$6:$F$65,MATCH(C364,Crops!$B$6:$B$65,0)),0))&gt;0,INT(B364)+N(IFERROR(INDEX(Crops!$F$6:$F$65,MATCH(C364,Crops!$B$6:$B$65,0)),0)),""))</f>
        <v/>
      </c>
      <c r="J364" s="16">
        <f>IF(NOT(AND(C364&lt;&gt;"",ISNUMBER(B364))),"",IF(ISNUMBER(G364),"Done",IF(INT(B364)&gt;TODAY(),"Planned",IF(COUNTIFS(Harvest!$C$6:$C$1505,C364,Harvest!$D$6:$D$1505,D364&amp;"",Harvest!$L$6:$L$1505,"&gt;="&amp;INT(B364))&gt;0,"Picking","Growing"))))</f>
        <v/>
      </c>
      <c r="K364" s="14">
        <f>IF(OR(NOT(AND(C364&lt;&gt;"",ISNUMBER(B364))),J364="Planned"),"",IF(ISNUMBER(G364),INT(G364),TODAY())-INT(B364))</f>
        <v/>
      </c>
      <c r="L364" s="11">
        <f>IF(AND(B364="",C364="",D364=""),"",IF(NOT(ISNUMBER(B364)),"Needs a date",IF(C364="","Needs a crop",IF(COUNTIF(Crops!$B$6:$B$65,C364)=0,"Not on Crops",IF(AND(D364&lt;&gt;"",COUNTIF(Beds!$B$6:$B$35,D364)=0),"Not on Beds",IF(AND(ISNUMBER(G364),G364&lt;B364),"Cleared before it was planted",""))))))</f>
        <v/>
      </c>
      <c r="M364" s="11">
        <f>IF(OR(L364&lt;&gt;"",D364="",O364=""),"",IF(COUNTIFS(Plantings!$D$6:$D$505,D364,Plantings!$O$6:$O$505,O364,Plantings!$N$6:$N$505,N364-1)&gt;0,"Same family here last year",""))</f>
        <v/>
      </c>
      <c r="N364" s="1">
        <f>IF(ISNUMBER(B364),YEAR(B364),"")</f>
        <v/>
      </c>
      <c r="O364">
        <f>IF(C364="","",IFERROR(INDEX(Crops!$C$6:$C$65,MATCH(C364,Crops!$B$6:$B$65,0))&amp;"",""))</f>
        <v/>
      </c>
      <c r="P364">
        <f>IF(ISNUMBER(B364),INT(B364),0)</f>
        <v/>
      </c>
      <c r="Q364">
        <f>IF(AND(L364="",OR(J364="Growing",J364="Picking")),1,0)</f>
        <v/>
      </c>
      <c r="R364">
        <f>IF(AND(Q364=1,D364&lt;&gt;""),P364*1000+ROW(),0)</f>
        <v/>
      </c>
      <c r="S364">
        <f>IF(AND(AND(C364&lt;&gt;"",ISNUMBER(B364)),L364=""),1,0)</f>
        <v/>
      </c>
    </row>
    <row r="365">
      <c r="A365" s="1" t="n"/>
      <c r="B365" s="17" t="n"/>
      <c r="C365" s="18" t="n"/>
      <c r="D365" s="19" t="n"/>
      <c r="E365" s="19" t="n"/>
      <c r="F365" s="20" t="n"/>
      <c r="G365" s="17" t="n"/>
      <c r="H365" s="21" t="n"/>
      <c r="I365" s="22">
        <f>IF(NOT(AND(C365&lt;&gt;"",ISNUMBER(B365))),"",IF(N(IFERROR(INDEX(Crops!$F$6:$F$65,MATCH(C365,Crops!$B$6:$B$65,0)),0))&gt;0,INT(B365)+N(IFERROR(INDEX(Crops!$F$6:$F$65,MATCH(C365,Crops!$B$6:$B$65,0)),0)),""))</f>
        <v/>
      </c>
      <c r="J365" s="16">
        <f>IF(NOT(AND(C365&lt;&gt;"",ISNUMBER(B365))),"",IF(ISNUMBER(G365),"Done",IF(INT(B365)&gt;TODAY(),"Planned",IF(COUNTIFS(Harvest!$C$6:$C$1505,C365,Harvest!$D$6:$D$1505,D365&amp;"",Harvest!$L$6:$L$1505,"&gt;="&amp;INT(B365))&gt;0,"Picking","Growing"))))</f>
        <v/>
      </c>
      <c r="K365" s="14">
        <f>IF(OR(NOT(AND(C365&lt;&gt;"",ISNUMBER(B365))),J365="Planned"),"",IF(ISNUMBER(G365),INT(G365),TODAY())-INT(B365))</f>
        <v/>
      </c>
      <c r="L365" s="11">
        <f>IF(AND(B365="",C365="",D365=""),"",IF(NOT(ISNUMBER(B365)),"Needs a date",IF(C365="","Needs a crop",IF(COUNTIF(Crops!$B$6:$B$65,C365)=0,"Not on Crops",IF(AND(D365&lt;&gt;"",COUNTIF(Beds!$B$6:$B$35,D365)=0),"Not on Beds",IF(AND(ISNUMBER(G365),G365&lt;B365),"Cleared before it was planted",""))))))</f>
        <v/>
      </c>
      <c r="M365" s="11">
        <f>IF(OR(L365&lt;&gt;"",D365="",O365=""),"",IF(COUNTIFS(Plantings!$D$6:$D$505,D365,Plantings!$O$6:$O$505,O365,Plantings!$N$6:$N$505,N365-1)&gt;0,"Same family here last year",""))</f>
        <v/>
      </c>
      <c r="N365" s="1">
        <f>IF(ISNUMBER(B365),YEAR(B365),"")</f>
        <v/>
      </c>
      <c r="O365">
        <f>IF(C365="","",IFERROR(INDEX(Crops!$C$6:$C$65,MATCH(C365,Crops!$B$6:$B$65,0))&amp;"",""))</f>
        <v/>
      </c>
      <c r="P365">
        <f>IF(ISNUMBER(B365),INT(B365),0)</f>
        <v/>
      </c>
      <c r="Q365">
        <f>IF(AND(L365="",OR(J365="Growing",J365="Picking")),1,0)</f>
        <v/>
      </c>
      <c r="R365">
        <f>IF(AND(Q365=1,D365&lt;&gt;""),P365*1000+ROW(),0)</f>
        <v/>
      </c>
      <c r="S365">
        <f>IF(AND(AND(C365&lt;&gt;"",ISNUMBER(B365)),L365=""),1,0)</f>
        <v/>
      </c>
    </row>
    <row r="366">
      <c r="A366" s="1" t="n"/>
      <c r="B366" s="17" t="n"/>
      <c r="C366" s="18" t="n"/>
      <c r="D366" s="19" t="n"/>
      <c r="E366" s="19" t="n"/>
      <c r="F366" s="20" t="n"/>
      <c r="G366" s="17" t="n"/>
      <c r="H366" s="21" t="n"/>
      <c r="I366" s="22">
        <f>IF(NOT(AND(C366&lt;&gt;"",ISNUMBER(B366))),"",IF(N(IFERROR(INDEX(Crops!$F$6:$F$65,MATCH(C366,Crops!$B$6:$B$65,0)),0))&gt;0,INT(B366)+N(IFERROR(INDEX(Crops!$F$6:$F$65,MATCH(C366,Crops!$B$6:$B$65,0)),0)),""))</f>
        <v/>
      </c>
      <c r="J366" s="16">
        <f>IF(NOT(AND(C366&lt;&gt;"",ISNUMBER(B366))),"",IF(ISNUMBER(G366),"Done",IF(INT(B366)&gt;TODAY(),"Planned",IF(COUNTIFS(Harvest!$C$6:$C$1505,C366,Harvest!$D$6:$D$1505,D366&amp;"",Harvest!$L$6:$L$1505,"&gt;="&amp;INT(B366))&gt;0,"Picking","Growing"))))</f>
        <v/>
      </c>
      <c r="K366" s="14">
        <f>IF(OR(NOT(AND(C366&lt;&gt;"",ISNUMBER(B366))),J366="Planned"),"",IF(ISNUMBER(G366),INT(G366),TODAY())-INT(B366))</f>
        <v/>
      </c>
      <c r="L366" s="11">
        <f>IF(AND(B366="",C366="",D366=""),"",IF(NOT(ISNUMBER(B366)),"Needs a date",IF(C366="","Needs a crop",IF(COUNTIF(Crops!$B$6:$B$65,C366)=0,"Not on Crops",IF(AND(D366&lt;&gt;"",COUNTIF(Beds!$B$6:$B$35,D366)=0),"Not on Beds",IF(AND(ISNUMBER(G366),G366&lt;B366),"Cleared before it was planted",""))))))</f>
        <v/>
      </c>
      <c r="M366" s="11">
        <f>IF(OR(L366&lt;&gt;"",D366="",O366=""),"",IF(COUNTIFS(Plantings!$D$6:$D$505,D366,Plantings!$O$6:$O$505,O366,Plantings!$N$6:$N$505,N366-1)&gt;0,"Same family here last year",""))</f>
        <v/>
      </c>
      <c r="N366" s="1">
        <f>IF(ISNUMBER(B366),YEAR(B366),"")</f>
        <v/>
      </c>
      <c r="O366">
        <f>IF(C366="","",IFERROR(INDEX(Crops!$C$6:$C$65,MATCH(C366,Crops!$B$6:$B$65,0))&amp;"",""))</f>
        <v/>
      </c>
      <c r="P366">
        <f>IF(ISNUMBER(B366),INT(B366),0)</f>
        <v/>
      </c>
      <c r="Q366">
        <f>IF(AND(L366="",OR(J366="Growing",J366="Picking")),1,0)</f>
        <v/>
      </c>
      <c r="R366">
        <f>IF(AND(Q366=1,D366&lt;&gt;""),P366*1000+ROW(),0)</f>
        <v/>
      </c>
      <c r="S366">
        <f>IF(AND(AND(C366&lt;&gt;"",ISNUMBER(B366)),L366=""),1,0)</f>
        <v/>
      </c>
    </row>
    <row r="367">
      <c r="A367" s="1" t="n"/>
      <c r="B367" s="17" t="n"/>
      <c r="C367" s="18" t="n"/>
      <c r="D367" s="19" t="n"/>
      <c r="E367" s="19" t="n"/>
      <c r="F367" s="20" t="n"/>
      <c r="G367" s="17" t="n"/>
      <c r="H367" s="21" t="n"/>
      <c r="I367" s="22">
        <f>IF(NOT(AND(C367&lt;&gt;"",ISNUMBER(B367))),"",IF(N(IFERROR(INDEX(Crops!$F$6:$F$65,MATCH(C367,Crops!$B$6:$B$65,0)),0))&gt;0,INT(B367)+N(IFERROR(INDEX(Crops!$F$6:$F$65,MATCH(C367,Crops!$B$6:$B$65,0)),0)),""))</f>
        <v/>
      </c>
      <c r="J367" s="16">
        <f>IF(NOT(AND(C367&lt;&gt;"",ISNUMBER(B367))),"",IF(ISNUMBER(G367),"Done",IF(INT(B367)&gt;TODAY(),"Planned",IF(COUNTIFS(Harvest!$C$6:$C$1505,C367,Harvest!$D$6:$D$1505,D367&amp;"",Harvest!$L$6:$L$1505,"&gt;="&amp;INT(B367))&gt;0,"Picking","Growing"))))</f>
        <v/>
      </c>
      <c r="K367" s="14">
        <f>IF(OR(NOT(AND(C367&lt;&gt;"",ISNUMBER(B367))),J367="Planned"),"",IF(ISNUMBER(G367),INT(G367),TODAY())-INT(B367))</f>
        <v/>
      </c>
      <c r="L367" s="11">
        <f>IF(AND(B367="",C367="",D367=""),"",IF(NOT(ISNUMBER(B367)),"Needs a date",IF(C367="","Needs a crop",IF(COUNTIF(Crops!$B$6:$B$65,C367)=0,"Not on Crops",IF(AND(D367&lt;&gt;"",COUNTIF(Beds!$B$6:$B$35,D367)=0),"Not on Beds",IF(AND(ISNUMBER(G367),G367&lt;B367),"Cleared before it was planted",""))))))</f>
        <v/>
      </c>
      <c r="M367" s="11">
        <f>IF(OR(L367&lt;&gt;"",D367="",O367=""),"",IF(COUNTIFS(Plantings!$D$6:$D$505,D367,Plantings!$O$6:$O$505,O367,Plantings!$N$6:$N$505,N367-1)&gt;0,"Same family here last year",""))</f>
        <v/>
      </c>
      <c r="N367" s="1">
        <f>IF(ISNUMBER(B367),YEAR(B367),"")</f>
        <v/>
      </c>
      <c r="O367">
        <f>IF(C367="","",IFERROR(INDEX(Crops!$C$6:$C$65,MATCH(C367,Crops!$B$6:$B$65,0))&amp;"",""))</f>
        <v/>
      </c>
      <c r="P367">
        <f>IF(ISNUMBER(B367),INT(B367),0)</f>
        <v/>
      </c>
      <c r="Q367">
        <f>IF(AND(L367="",OR(J367="Growing",J367="Picking")),1,0)</f>
        <v/>
      </c>
      <c r="R367">
        <f>IF(AND(Q367=1,D367&lt;&gt;""),P367*1000+ROW(),0)</f>
        <v/>
      </c>
      <c r="S367">
        <f>IF(AND(AND(C367&lt;&gt;"",ISNUMBER(B367)),L367=""),1,0)</f>
        <v/>
      </c>
    </row>
    <row r="368">
      <c r="A368" s="1" t="n"/>
      <c r="B368" s="17" t="n"/>
      <c r="C368" s="18" t="n"/>
      <c r="D368" s="19" t="n"/>
      <c r="E368" s="19" t="n"/>
      <c r="F368" s="20" t="n"/>
      <c r="G368" s="17" t="n"/>
      <c r="H368" s="21" t="n"/>
      <c r="I368" s="22">
        <f>IF(NOT(AND(C368&lt;&gt;"",ISNUMBER(B368))),"",IF(N(IFERROR(INDEX(Crops!$F$6:$F$65,MATCH(C368,Crops!$B$6:$B$65,0)),0))&gt;0,INT(B368)+N(IFERROR(INDEX(Crops!$F$6:$F$65,MATCH(C368,Crops!$B$6:$B$65,0)),0)),""))</f>
        <v/>
      </c>
      <c r="J368" s="16">
        <f>IF(NOT(AND(C368&lt;&gt;"",ISNUMBER(B368))),"",IF(ISNUMBER(G368),"Done",IF(INT(B368)&gt;TODAY(),"Planned",IF(COUNTIFS(Harvest!$C$6:$C$1505,C368,Harvest!$D$6:$D$1505,D368&amp;"",Harvest!$L$6:$L$1505,"&gt;="&amp;INT(B368))&gt;0,"Picking","Growing"))))</f>
        <v/>
      </c>
      <c r="K368" s="14">
        <f>IF(OR(NOT(AND(C368&lt;&gt;"",ISNUMBER(B368))),J368="Planned"),"",IF(ISNUMBER(G368),INT(G368),TODAY())-INT(B368))</f>
        <v/>
      </c>
      <c r="L368" s="11">
        <f>IF(AND(B368="",C368="",D368=""),"",IF(NOT(ISNUMBER(B368)),"Needs a date",IF(C368="","Needs a crop",IF(COUNTIF(Crops!$B$6:$B$65,C368)=0,"Not on Crops",IF(AND(D368&lt;&gt;"",COUNTIF(Beds!$B$6:$B$35,D368)=0),"Not on Beds",IF(AND(ISNUMBER(G368),G368&lt;B368),"Cleared before it was planted",""))))))</f>
        <v/>
      </c>
      <c r="M368" s="11">
        <f>IF(OR(L368&lt;&gt;"",D368="",O368=""),"",IF(COUNTIFS(Plantings!$D$6:$D$505,D368,Plantings!$O$6:$O$505,O368,Plantings!$N$6:$N$505,N368-1)&gt;0,"Same family here last year",""))</f>
        <v/>
      </c>
      <c r="N368" s="1">
        <f>IF(ISNUMBER(B368),YEAR(B368),"")</f>
        <v/>
      </c>
      <c r="O368">
        <f>IF(C368="","",IFERROR(INDEX(Crops!$C$6:$C$65,MATCH(C368,Crops!$B$6:$B$65,0))&amp;"",""))</f>
        <v/>
      </c>
      <c r="P368">
        <f>IF(ISNUMBER(B368),INT(B368),0)</f>
        <v/>
      </c>
      <c r="Q368">
        <f>IF(AND(L368="",OR(J368="Growing",J368="Picking")),1,0)</f>
        <v/>
      </c>
      <c r="R368">
        <f>IF(AND(Q368=1,D368&lt;&gt;""),P368*1000+ROW(),0)</f>
        <v/>
      </c>
      <c r="S368">
        <f>IF(AND(AND(C368&lt;&gt;"",ISNUMBER(B368)),L368=""),1,0)</f>
        <v/>
      </c>
    </row>
    <row r="369">
      <c r="A369" s="1" t="n"/>
      <c r="B369" s="17" t="n"/>
      <c r="C369" s="18" t="n"/>
      <c r="D369" s="19" t="n"/>
      <c r="E369" s="19" t="n"/>
      <c r="F369" s="20" t="n"/>
      <c r="G369" s="17" t="n"/>
      <c r="H369" s="21" t="n"/>
      <c r="I369" s="22">
        <f>IF(NOT(AND(C369&lt;&gt;"",ISNUMBER(B369))),"",IF(N(IFERROR(INDEX(Crops!$F$6:$F$65,MATCH(C369,Crops!$B$6:$B$65,0)),0))&gt;0,INT(B369)+N(IFERROR(INDEX(Crops!$F$6:$F$65,MATCH(C369,Crops!$B$6:$B$65,0)),0)),""))</f>
        <v/>
      </c>
      <c r="J369" s="16">
        <f>IF(NOT(AND(C369&lt;&gt;"",ISNUMBER(B369))),"",IF(ISNUMBER(G369),"Done",IF(INT(B369)&gt;TODAY(),"Planned",IF(COUNTIFS(Harvest!$C$6:$C$1505,C369,Harvest!$D$6:$D$1505,D369&amp;"",Harvest!$L$6:$L$1505,"&gt;="&amp;INT(B369))&gt;0,"Picking","Growing"))))</f>
        <v/>
      </c>
      <c r="K369" s="14">
        <f>IF(OR(NOT(AND(C369&lt;&gt;"",ISNUMBER(B369))),J369="Planned"),"",IF(ISNUMBER(G369),INT(G369),TODAY())-INT(B369))</f>
        <v/>
      </c>
      <c r="L369" s="11">
        <f>IF(AND(B369="",C369="",D369=""),"",IF(NOT(ISNUMBER(B369)),"Needs a date",IF(C369="","Needs a crop",IF(COUNTIF(Crops!$B$6:$B$65,C369)=0,"Not on Crops",IF(AND(D369&lt;&gt;"",COUNTIF(Beds!$B$6:$B$35,D369)=0),"Not on Beds",IF(AND(ISNUMBER(G369),G369&lt;B369),"Cleared before it was planted",""))))))</f>
        <v/>
      </c>
      <c r="M369" s="11">
        <f>IF(OR(L369&lt;&gt;"",D369="",O369=""),"",IF(COUNTIFS(Plantings!$D$6:$D$505,D369,Plantings!$O$6:$O$505,O369,Plantings!$N$6:$N$505,N369-1)&gt;0,"Same family here last year",""))</f>
        <v/>
      </c>
      <c r="N369" s="1">
        <f>IF(ISNUMBER(B369),YEAR(B369),"")</f>
        <v/>
      </c>
      <c r="O369">
        <f>IF(C369="","",IFERROR(INDEX(Crops!$C$6:$C$65,MATCH(C369,Crops!$B$6:$B$65,0))&amp;"",""))</f>
        <v/>
      </c>
      <c r="P369">
        <f>IF(ISNUMBER(B369),INT(B369),0)</f>
        <v/>
      </c>
      <c r="Q369">
        <f>IF(AND(L369="",OR(J369="Growing",J369="Picking")),1,0)</f>
        <v/>
      </c>
      <c r="R369">
        <f>IF(AND(Q369=1,D369&lt;&gt;""),P369*1000+ROW(),0)</f>
        <v/>
      </c>
      <c r="S369">
        <f>IF(AND(AND(C369&lt;&gt;"",ISNUMBER(B369)),L369=""),1,0)</f>
        <v/>
      </c>
    </row>
    <row r="370">
      <c r="A370" s="1" t="n"/>
      <c r="B370" s="17" t="n"/>
      <c r="C370" s="18" t="n"/>
      <c r="D370" s="19" t="n"/>
      <c r="E370" s="19" t="n"/>
      <c r="F370" s="20" t="n"/>
      <c r="G370" s="17" t="n"/>
      <c r="H370" s="21" t="n"/>
      <c r="I370" s="22">
        <f>IF(NOT(AND(C370&lt;&gt;"",ISNUMBER(B370))),"",IF(N(IFERROR(INDEX(Crops!$F$6:$F$65,MATCH(C370,Crops!$B$6:$B$65,0)),0))&gt;0,INT(B370)+N(IFERROR(INDEX(Crops!$F$6:$F$65,MATCH(C370,Crops!$B$6:$B$65,0)),0)),""))</f>
        <v/>
      </c>
      <c r="J370" s="16">
        <f>IF(NOT(AND(C370&lt;&gt;"",ISNUMBER(B370))),"",IF(ISNUMBER(G370),"Done",IF(INT(B370)&gt;TODAY(),"Planned",IF(COUNTIFS(Harvest!$C$6:$C$1505,C370,Harvest!$D$6:$D$1505,D370&amp;"",Harvest!$L$6:$L$1505,"&gt;="&amp;INT(B370))&gt;0,"Picking","Growing"))))</f>
        <v/>
      </c>
      <c r="K370" s="14">
        <f>IF(OR(NOT(AND(C370&lt;&gt;"",ISNUMBER(B370))),J370="Planned"),"",IF(ISNUMBER(G370),INT(G370),TODAY())-INT(B370))</f>
        <v/>
      </c>
      <c r="L370" s="11">
        <f>IF(AND(B370="",C370="",D370=""),"",IF(NOT(ISNUMBER(B370)),"Needs a date",IF(C370="","Needs a crop",IF(COUNTIF(Crops!$B$6:$B$65,C370)=0,"Not on Crops",IF(AND(D370&lt;&gt;"",COUNTIF(Beds!$B$6:$B$35,D370)=0),"Not on Beds",IF(AND(ISNUMBER(G370),G370&lt;B370),"Cleared before it was planted",""))))))</f>
        <v/>
      </c>
      <c r="M370" s="11">
        <f>IF(OR(L370&lt;&gt;"",D370="",O370=""),"",IF(COUNTIFS(Plantings!$D$6:$D$505,D370,Plantings!$O$6:$O$505,O370,Plantings!$N$6:$N$505,N370-1)&gt;0,"Same family here last year",""))</f>
        <v/>
      </c>
      <c r="N370" s="1">
        <f>IF(ISNUMBER(B370),YEAR(B370),"")</f>
        <v/>
      </c>
      <c r="O370">
        <f>IF(C370="","",IFERROR(INDEX(Crops!$C$6:$C$65,MATCH(C370,Crops!$B$6:$B$65,0))&amp;"",""))</f>
        <v/>
      </c>
      <c r="P370">
        <f>IF(ISNUMBER(B370),INT(B370),0)</f>
        <v/>
      </c>
      <c r="Q370">
        <f>IF(AND(L370="",OR(J370="Growing",J370="Picking")),1,0)</f>
        <v/>
      </c>
      <c r="R370">
        <f>IF(AND(Q370=1,D370&lt;&gt;""),P370*1000+ROW(),0)</f>
        <v/>
      </c>
      <c r="S370">
        <f>IF(AND(AND(C370&lt;&gt;"",ISNUMBER(B370)),L370=""),1,0)</f>
        <v/>
      </c>
    </row>
    <row r="371">
      <c r="A371" s="1" t="n"/>
      <c r="B371" s="17" t="n"/>
      <c r="C371" s="18" t="n"/>
      <c r="D371" s="19" t="n"/>
      <c r="E371" s="19" t="n"/>
      <c r="F371" s="20" t="n"/>
      <c r="G371" s="17" t="n"/>
      <c r="H371" s="21" t="n"/>
      <c r="I371" s="22">
        <f>IF(NOT(AND(C371&lt;&gt;"",ISNUMBER(B371))),"",IF(N(IFERROR(INDEX(Crops!$F$6:$F$65,MATCH(C371,Crops!$B$6:$B$65,0)),0))&gt;0,INT(B371)+N(IFERROR(INDEX(Crops!$F$6:$F$65,MATCH(C371,Crops!$B$6:$B$65,0)),0)),""))</f>
        <v/>
      </c>
      <c r="J371" s="16">
        <f>IF(NOT(AND(C371&lt;&gt;"",ISNUMBER(B371))),"",IF(ISNUMBER(G371),"Done",IF(INT(B371)&gt;TODAY(),"Planned",IF(COUNTIFS(Harvest!$C$6:$C$1505,C371,Harvest!$D$6:$D$1505,D371&amp;"",Harvest!$L$6:$L$1505,"&gt;="&amp;INT(B371))&gt;0,"Picking","Growing"))))</f>
        <v/>
      </c>
      <c r="K371" s="14">
        <f>IF(OR(NOT(AND(C371&lt;&gt;"",ISNUMBER(B371))),J371="Planned"),"",IF(ISNUMBER(G371),INT(G371),TODAY())-INT(B371))</f>
        <v/>
      </c>
      <c r="L371" s="11">
        <f>IF(AND(B371="",C371="",D371=""),"",IF(NOT(ISNUMBER(B371)),"Needs a date",IF(C371="","Needs a crop",IF(COUNTIF(Crops!$B$6:$B$65,C371)=0,"Not on Crops",IF(AND(D371&lt;&gt;"",COUNTIF(Beds!$B$6:$B$35,D371)=0),"Not on Beds",IF(AND(ISNUMBER(G371),G371&lt;B371),"Cleared before it was planted",""))))))</f>
        <v/>
      </c>
      <c r="M371" s="11">
        <f>IF(OR(L371&lt;&gt;"",D371="",O371=""),"",IF(COUNTIFS(Plantings!$D$6:$D$505,D371,Plantings!$O$6:$O$505,O371,Plantings!$N$6:$N$505,N371-1)&gt;0,"Same family here last year",""))</f>
        <v/>
      </c>
      <c r="N371" s="1">
        <f>IF(ISNUMBER(B371),YEAR(B371),"")</f>
        <v/>
      </c>
      <c r="O371">
        <f>IF(C371="","",IFERROR(INDEX(Crops!$C$6:$C$65,MATCH(C371,Crops!$B$6:$B$65,0))&amp;"",""))</f>
        <v/>
      </c>
      <c r="P371">
        <f>IF(ISNUMBER(B371),INT(B371),0)</f>
        <v/>
      </c>
      <c r="Q371">
        <f>IF(AND(L371="",OR(J371="Growing",J371="Picking")),1,0)</f>
        <v/>
      </c>
      <c r="R371">
        <f>IF(AND(Q371=1,D371&lt;&gt;""),P371*1000+ROW(),0)</f>
        <v/>
      </c>
      <c r="S371">
        <f>IF(AND(AND(C371&lt;&gt;"",ISNUMBER(B371)),L371=""),1,0)</f>
        <v/>
      </c>
    </row>
    <row r="372">
      <c r="A372" s="1" t="n"/>
      <c r="B372" s="17" t="n"/>
      <c r="C372" s="18" t="n"/>
      <c r="D372" s="19" t="n"/>
      <c r="E372" s="19" t="n"/>
      <c r="F372" s="20" t="n"/>
      <c r="G372" s="17" t="n"/>
      <c r="H372" s="21" t="n"/>
      <c r="I372" s="22">
        <f>IF(NOT(AND(C372&lt;&gt;"",ISNUMBER(B372))),"",IF(N(IFERROR(INDEX(Crops!$F$6:$F$65,MATCH(C372,Crops!$B$6:$B$65,0)),0))&gt;0,INT(B372)+N(IFERROR(INDEX(Crops!$F$6:$F$65,MATCH(C372,Crops!$B$6:$B$65,0)),0)),""))</f>
        <v/>
      </c>
      <c r="J372" s="16">
        <f>IF(NOT(AND(C372&lt;&gt;"",ISNUMBER(B372))),"",IF(ISNUMBER(G372),"Done",IF(INT(B372)&gt;TODAY(),"Planned",IF(COUNTIFS(Harvest!$C$6:$C$1505,C372,Harvest!$D$6:$D$1505,D372&amp;"",Harvest!$L$6:$L$1505,"&gt;="&amp;INT(B372))&gt;0,"Picking","Growing"))))</f>
        <v/>
      </c>
      <c r="K372" s="14">
        <f>IF(OR(NOT(AND(C372&lt;&gt;"",ISNUMBER(B372))),J372="Planned"),"",IF(ISNUMBER(G372),INT(G372),TODAY())-INT(B372))</f>
        <v/>
      </c>
      <c r="L372" s="11">
        <f>IF(AND(B372="",C372="",D372=""),"",IF(NOT(ISNUMBER(B372)),"Needs a date",IF(C372="","Needs a crop",IF(COUNTIF(Crops!$B$6:$B$65,C372)=0,"Not on Crops",IF(AND(D372&lt;&gt;"",COUNTIF(Beds!$B$6:$B$35,D372)=0),"Not on Beds",IF(AND(ISNUMBER(G372),G372&lt;B372),"Cleared before it was planted",""))))))</f>
        <v/>
      </c>
      <c r="M372" s="11">
        <f>IF(OR(L372&lt;&gt;"",D372="",O372=""),"",IF(COUNTIFS(Plantings!$D$6:$D$505,D372,Plantings!$O$6:$O$505,O372,Plantings!$N$6:$N$505,N372-1)&gt;0,"Same family here last year",""))</f>
        <v/>
      </c>
      <c r="N372" s="1">
        <f>IF(ISNUMBER(B372),YEAR(B372),"")</f>
        <v/>
      </c>
      <c r="O372">
        <f>IF(C372="","",IFERROR(INDEX(Crops!$C$6:$C$65,MATCH(C372,Crops!$B$6:$B$65,0))&amp;"",""))</f>
        <v/>
      </c>
      <c r="P372">
        <f>IF(ISNUMBER(B372),INT(B372),0)</f>
        <v/>
      </c>
      <c r="Q372">
        <f>IF(AND(L372="",OR(J372="Growing",J372="Picking")),1,0)</f>
        <v/>
      </c>
      <c r="R372">
        <f>IF(AND(Q372=1,D372&lt;&gt;""),P372*1000+ROW(),0)</f>
        <v/>
      </c>
      <c r="S372">
        <f>IF(AND(AND(C372&lt;&gt;"",ISNUMBER(B372)),L372=""),1,0)</f>
        <v/>
      </c>
    </row>
    <row r="373">
      <c r="A373" s="1" t="n"/>
      <c r="B373" s="17" t="n"/>
      <c r="C373" s="18" t="n"/>
      <c r="D373" s="19" t="n"/>
      <c r="E373" s="19" t="n"/>
      <c r="F373" s="20" t="n"/>
      <c r="G373" s="17" t="n"/>
      <c r="H373" s="21" t="n"/>
      <c r="I373" s="22">
        <f>IF(NOT(AND(C373&lt;&gt;"",ISNUMBER(B373))),"",IF(N(IFERROR(INDEX(Crops!$F$6:$F$65,MATCH(C373,Crops!$B$6:$B$65,0)),0))&gt;0,INT(B373)+N(IFERROR(INDEX(Crops!$F$6:$F$65,MATCH(C373,Crops!$B$6:$B$65,0)),0)),""))</f>
        <v/>
      </c>
      <c r="J373" s="16">
        <f>IF(NOT(AND(C373&lt;&gt;"",ISNUMBER(B373))),"",IF(ISNUMBER(G373),"Done",IF(INT(B373)&gt;TODAY(),"Planned",IF(COUNTIFS(Harvest!$C$6:$C$1505,C373,Harvest!$D$6:$D$1505,D373&amp;"",Harvest!$L$6:$L$1505,"&gt;="&amp;INT(B373))&gt;0,"Picking","Growing"))))</f>
        <v/>
      </c>
      <c r="K373" s="14">
        <f>IF(OR(NOT(AND(C373&lt;&gt;"",ISNUMBER(B373))),J373="Planned"),"",IF(ISNUMBER(G373),INT(G373),TODAY())-INT(B373))</f>
        <v/>
      </c>
      <c r="L373" s="11">
        <f>IF(AND(B373="",C373="",D373=""),"",IF(NOT(ISNUMBER(B373)),"Needs a date",IF(C373="","Needs a crop",IF(COUNTIF(Crops!$B$6:$B$65,C373)=0,"Not on Crops",IF(AND(D373&lt;&gt;"",COUNTIF(Beds!$B$6:$B$35,D373)=0),"Not on Beds",IF(AND(ISNUMBER(G373),G373&lt;B373),"Cleared before it was planted",""))))))</f>
        <v/>
      </c>
      <c r="M373" s="11">
        <f>IF(OR(L373&lt;&gt;"",D373="",O373=""),"",IF(COUNTIFS(Plantings!$D$6:$D$505,D373,Plantings!$O$6:$O$505,O373,Plantings!$N$6:$N$505,N373-1)&gt;0,"Same family here last year",""))</f>
        <v/>
      </c>
      <c r="N373" s="1">
        <f>IF(ISNUMBER(B373),YEAR(B373),"")</f>
        <v/>
      </c>
      <c r="O373">
        <f>IF(C373="","",IFERROR(INDEX(Crops!$C$6:$C$65,MATCH(C373,Crops!$B$6:$B$65,0))&amp;"",""))</f>
        <v/>
      </c>
      <c r="P373">
        <f>IF(ISNUMBER(B373),INT(B373),0)</f>
        <v/>
      </c>
      <c r="Q373">
        <f>IF(AND(L373="",OR(J373="Growing",J373="Picking")),1,0)</f>
        <v/>
      </c>
      <c r="R373">
        <f>IF(AND(Q373=1,D373&lt;&gt;""),P373*1000+ROW(),0)</f>
        <v/>
      </c>
      <c r="S373">
        <f>IF(AND(AND(C373&lt;&gt;"",ISNUMBER(B373)),L373=""),1,0)</f>
        <v/>
      </c>
    </row>
    <row r="374">
      <c r="A374" s="1" t="n"/>
      <c r="B374" s="17" t="n"/>
      <c r="C374" s="18" t="n"/>
      <c r="D374" s="19" t="n"/>
      <c r="E374" s="19" t="n"/>
      <c r="F374" s="20" t="n"/>
      <c r="G374" s="17" t="n"/>
      <c r="H374" s="21" t="n"/>
      <c r="I374" s="22">
        <f>IF(NOT(AND(C374&lt;&gt;"",ISNUMBER(B374))),"",IF(N(IFERROR(INDEX(Crops!$F$6:$F$65,MATCH(C374,Crops!$B$6:$B$65,0)),0))&gt;0,INT(B374)+N(IFERROR(INDEX(Crops!$F$6:$F$65,MATCH(C374,Crops!$B$6:$B$65,0)),0)),""))</f>
        <v/>
      </c>
      <c r="J374" s="16">
        <f>IF(NOT(AND(C374&lt;&gt;"",ISNUMBER(B374))),"",IF(ISNUMBER(G374),"Done",IF(INT(B374)&gt;TODAY(),"Planned",IF(COUNTIFS(Harvest!$C$6:$C$1505,C374,Harvest!$D$6:$D$1505,D374&amp;"",Harvest!$L$6:$L$1505,"&gt;="&amp;INT(B374))&gt;0,"Picking","Growing"))))</f>
        <v/>
      </c>
      <c r="K374" s="14">
        <f>IF(OR(NOT(AND(C374&lt;&gt;"",ISNUMBER(B374))),J374="Planned"),"",IF(ISNUMBER(G374),INT(G374),TODAY())-INT(B374))</f>
        <v/>
      </c>
      <c r="L374" s="11">
        <f>IF(AND(B374="",C374="",D374=""),"",IF(NOT(ISNUMBER(B374)),"Needs a date",IF(C374="","Needs a crop",IF(COUNTIF(Crops!$B$6:$B$65,C374)=0,"Not on Crops",IF(AND(D374&lt;&gt;"",COUNTIF(Beds!$B$6:$B$35,D374)=0),"Not on Beds",IF(AND(ISNUMBER(G374),G374&lt;B374),"Cleared before it was planted",""))))))</f>
        <v/>
      </c>
      <c r="M374" s="11">
        <f>IF(OR(L374&lt;&gt;"",D374="",O374=""),"",IF(COUNTIFS(Plantings!$D$6:$D$505,D374,Plantings!$O$6:$O$505,O374,Plantings!$N$6:$N$505,N374-1)&gt;0,"Same family here last year",""))</f>
        <v/>
      </c>
      <c r="N374" s="1">
        <f>IF(ISNUMBER(B374),YEAR(B374),"")</f>
        <v/>
      </c>
      <c r="O374">
        <f>IF(C374="","",IFERROR(INDEX(Crops!$C$6:$C$65,MATCH(C374,Crops!$B$6:$B$65,0))&amp;"",""))</f>
        <v/>
      </c>
      <c r="P374">
        <f>IF(ISNUMBER(B374),INT(B374),0)</f>
        <v/>
      </c>
      <c r="Q374">
        <f>IF(AND(L374="",OR(J374="Growing",J374="Picking")),1,0)</f>
        <v/>
      </c>
      <c r="R374">
        <f>IF(AND(Q374=1,D374&lt;&gt;""),P374*1000+ROW(),0)</f>
        <v/>
      </c>
      <c r="S374">
        <f>IF(AND(AND(C374&lt;&gt;"",ISNUMBER(B374)),L374=""),1,0)</f>
        <v/>
      </c>
    </row>
    <row r="375">
      <c r="A375" s="1" t="n"/>
      <c r="B375" s="17" t="n"/>
      <c r="C375" s="18" t="n"/>
      <c r="D375" s="19" t="n"/>
      <c r="E375" s="19" t="n"/>
      <c r="F375" s="20" t="n"/>
      <c r="G375" s="17" t="n"/>
      <c r="H375" s="21" t="n"/>
      <c r="I375" s="22">
        <f>IF(NOT(AND(C375&lt;&gt;"",ISNUMBER(B375))),"",IF(N(IFERROR(INDEX(Crops!$F$6:$F$65,MATCH(C375,Crops!$B$6:$B$65,0)),0))&gt;0,INT(B375)+N(IFERROR(INDEX(Crops!$F$6:$F$65,MATCH(C375,Crops!$B$6:$B$65,0)),0)),""))</f>
        <v/>
      </c>
      <c r="J375" s="16">
        <f>IF(NOT(AND(C375&lt;&gt;"",ISNUMBER(B375))),"",IF(ISNUMBER(G375),"Done",IF(INT(B375)&gt;TODAY(),"Planned",IF(COUNTIFS(Harvest!$C$6:$C$1505,C375,Harvest!$D$6:$D$1505,D375&amp;"",Harvest!$L$6:$L$1505,"&gt;="&amp;INT(B375))&gt;0,"Picking","Growing"))))</f>
        <v/>
      </c>
      <c r="K375" s="14">
        <f>IF(OR(NOT(AND(C375&lt;&gt;"",ISNUMBER(B375))),J375="Planned"),"",IF(ISNUMBER(G375),INT(G375),TODAY())-INT(B375))</f>
        <v/>
      </c>
      <c r="L375" s="11">
        <f>IF(AND(B375="",C375="",D375=""),"",IF(NOT(ISNUMBER(B375)),"Needs a date",IF(C375="","Needs a crop",IF(COUNTIF(Crops!$B$6:$B$65,C375)=0,"Not on Crops",IF(AND(D375&lt;&gt;"",COUNTIF(Beds!$B$6:$B$35,D375)=0),"Not on Beds",IF(AND(ISNUMBER(G375),G375&lt;B375),"Cleared before it was planted",""))))))</f>
        <v/>
      </c>
      <c r="M375" s="11">
        <f>IF(OR(L375&lt;&gt;"",D375="",O375=""),"",IF(COUNTIFS(Plantings!$D$6:$D$505,D375,Plantings!$O$6:$O$505,O375,Plantings!$N$6:$N$505,N375-1)&gt;0,"Same family here last year",""))</f>
        <v/>
      </c>
      <c r="N375" s="1">
        <f>IF(ISNUMBER(B375),YEAR(B375),"")</f>
        <v/>
      </c>
      <c r="O375">
        <f>IF(C375="","",IFERROR(INDEX(Crops!$C$6:$C$65,MATCH(C375,Crops!$B$6:$B$65,0))&amp;"",""))</f>
        <v/>
      </c>
      <c r="P375">
        <f>IF(ISNUMBER(B375),INT(B375),0)</f>
        <v/>
      </c>
      <c r="Q375">
        <f>IF(AND(L375="",OR(J375="Growing",J375="Picking")),1,0)</f>
        <v/>
      </c>
      <c r="R375">
        <f>IF(AND(Q375=1,D375&lt;&gt;""),P375*1000+ROW(),0)</f>
        <v/>
      </c>
      <c r="S375">
        <f>IF(AND(AND(C375&lt;&gt;"",ISNUMBER(B375)),L375=""),1,0)</f>
        <v/>
      </c>
    </row>
    <row r="376">
      <c r="A376" s="1" t="n"/>
      <c r="B376" s="17" t="n"/>
      <c r="C376" s="18" t="n"/>
      <c r="D376" s="19" t="n"/>
      <c r="E376" s="19" t="n"/>
      <c r="F376" s="20" t="n"/>
      <c r="G376" s="17" t="n"/>
      <c r="H376" s="21" t="n"/>
      <c r="I376" s="22">
        <f>IF(NOT(AND(C376&lt;&gt;"",ISNUMBER(B376))),"",IF(N(IFERROR(INDEX(Crops!$F$6:$F$65,MATCH(C376,Crops!$B$6:$B$65,0)),0))&gt;0,INT(B376)+N(IFERROR(INDEX(Crops!$F$6:$F$65,MATCH(C376,Crops!$B$6:$B$65,0)),0)),""))</f>
        <v/>
      </c>
      <c r="J376" s="16">
        <f>IF(NOT(AND(C376&lt;&gt;"",ISNUMBER(B376))),"",IF(ISNUMBER(G376),"Done",IF(INT(B376)&gt;TODAY(),"Planned",IF(COUNTIFS(Harvest!$C$6:$C$1505,C376,Harvest!$D$6:$D$1505,D376&amp;"",Harvest!$L$6:$L$1505,"&gt;="&amp;INT(B376))&gt;0,"Picking","Growing"))))</f>
        <v/>
      </c>
      <c r="K376" s="14">
        <f>IF(OR(NOT(AND(C376&lt;&gt;"",ISNUMBER(B376))),J376="Planned"),"",IF(ISNUMBER(G376),INT(G376),TODAY())-INT(B376))</f>
        <v/>
      </c>
      <c r="L376" s="11">
        <f>IF(AND(B376="",C376="",D376=""),"",IF(NOT(ISNUMBER(B376)),"Needs a date",IF(C376="","Needs a crop",IF(COUNTIF(Crops!$B$6:$B$65,C376)=0,"Not on Crops",IF(AND(D376&lt;&gt;"",COUNTIF(Beds!$B$6:$B$35,D376)=0),"Not on Beds",IF(AND(ISNUMBER(G376),G376&lt;B376),"Cleared before it was planted",""))))))</f>
        <v/>
      </c>
      <c r="M376" s="11">
        <f>IF(OR(L376&lt;&gt;"",D376="",O376=""),"",IF(COUNTIFS(Plantings!$D$6:$D$505,D376,Plantings!$O$6:$O$505,O376,Plantings!$N$6:$N$505,N376-1)&gt;0,"Same family here last year",""))</f>
        <v/>
      </c>
      <c r="N376" s="1">
        <f>IF(ISNUMBER(B376),YEAR(B376),"")</f>
        <v/>
      </c>
      <c r="O376">
        <f>IF(C376="","",IFERROR(INDEX(Crops!$C$6:$C$65,MATCH(C376,Crops!$B$6:$B$65,0))&amp;"",""))</f>
        <v/>
      </c>
      <c r="P376">
        <f>IF(ISNUMBER(B376),INT(B376),0)</f>
        <v/>
      </c>
      <c r="Q376">
        <f>IF(AND(L376="",OR(J376="Growing",J376="Picking")),1,0)</f>
        <v/>
      </c>
      <c r="R376">
        <f>IF(AND(Q376=1,D376&lt;&gt;""),P376*1000+ROW(),0)</f>
        <v/>
      </c>
      <c r="S376">
        <f>IF(AND(AND(C376&lt;&gt;"",ISNUMBER(B376)),L376=""),1,0)</f>
        <v/>
      </c>
    </row>
    <row r="377">
      <c r="A377" s="1" t="n"/>
      <c r="B377" s="17" t="n"/>
      <c r="C377" s="18" t="n"/>
      <c r="D377" s="19" t="n"/>
      <c r="E377" s="19" t="n"/>
      <c r="F377" s="20" t="n"/>
      <c r="G377" s="17" t="n"/>
      <c r="H377" s="21" t="n"/>
      <c r="I377" s="22">
        <f>IF(NOT(AND(C377&lt;&gt;"",ISNUMBER(B377))),"",IF(N(IFERROR(INDEX(Crops!$F$6:$F$65,MATCH(C377,Crops!$B$6:$B$65,0)),0))&gt;0,INT(B377)+N(IFERROR(INDEX(Crops!$F$6:$F$65,MATCH(C377,Crops!$B$6:$B$65,0)),0)),""))</f>
        <v/>
      </c>
      <c r="J377" s="16">
        <f>IF(NOT(AND(C377&lt;&gt;"",ISNUMBER(B377))),"",IF(ISNUMBER(G377),"Done",IF(INT(B377)&gt;TODAY(),"Planned",IF(COUNTIFS(Harvest!$C$6:$C$1505,C377,Harvest!$D$6:$D$1505,D377&amp;"",Harvest!$L$6:$L$1505,"&gt;="&amp;INT(B377))&gt;0,"Picking","Growing"))))</f>
        <v/>
      </c>
      <c r="K377" s="14">
        <f>IF(OR(NOT(AND(C377&lt;&gt;"",ISNUMBER(B377))),J377="Planned"),"",IF(ISNUMBER(G377),INT(G377),TODAY())-INT(B377))</f>
        <v/>
      </c>
      <c r="L377" s="11">
        <f>IF(AND(B377="",C377="",D377=""),"",IF(NOT(ISNUMBER(B377)),"Needs a date",IF(C377="","Needs a crop",IF(COUNTIF(Crops!$B$6:$B$65,C377)=0,"Not on Crops",IF(AND(D377&lt;&gt;"",COUNTIF(Beds!$B$6:$B$35,D377)=0),"Not on Beds",IF(AND(ISNUMBER(G377),G377&lt;B377),"Cleared before it was planted",""))))))</f>
        <v/>
      </c>
      <c r="M377" s="11">
        <f>IF(OR(L377&lt;&gt;"",D377="",O377=""),"",IF(COUNTIFS(Plantings!$D$6:$D$505,D377,Plantings!$O$6:$O$505,O377,Plantings!$N$6:$N$505,N377-1)&gt;0,"Same family here last year",""))</f>
        <v/>
      </c>
      <c r="N377" s="1">
        <f>IF(ISNUMBER(B377),YEAR(B377),"")</f>
        <v/>
      </c>
      <c r="O377">
        <f>IF(C377="","",IFERROR(INDEX(Crops!$C$6:$C$65,MATCH(C377,Crops!$B$6:$B$65,0))&amp;"",""))</f>
        <v/>
      </c>
      <c r="P377">
        <f>IF(ISNUMBER(B377),INT(B377),0)</f>
        <v/>
      </c>
      <c r="Q377">
        <f>IF(AND(L377="",OR(J377="Growing",J377="Picking")),1,0)</f>
        <v/>
      </c>
      <c r="R377">
        <f>IF(AND(Q377=1,D377&lt;&gt;""),P377*1000+ROW(),0)</f>
        <v/>
      </c>
      <c r="S377">
        <f>IF(AND(AND(C377&lt;&gt;"",ISNUMBER(B377)),L377=""),1,0)</f>
        <v/>
      </c>
    </row>
    <row r="378">
      <c r="A378" s="1" t="n"/>
      <c r="B378" s="17" t="n"/>
      <c r="C378" s="18" t="n"/>
      <c r="D378" s="19" t="n"/>
      <c r="E378" s="19" t="n"/>
      <c r="F378" s="20" t="n"/>
      <c r="G378" s="17" t="n"/>
      <c r="H378" s="21" t="n"/>
      <c r="I378" s="22">
        <f>IF(NOT(AND(C378&lt;&gt;"",ISNUMBER(B378))),"",IF(N(IFERROR(INDEX(Crops!$F$6:$F$65,MATCH(C378,Crops!$B$6:$B$65,0)),0))&gt;0,INT(B378)+N(IFERROR(INDEX(Crops!$F$6:$F$65,MATCH(C378,Crops!$B$6:$B$65,0)),0)),""))</f>
        <v/>
      </c>
      <c r="J378" s="16">
        <f>IF(NOT(AND(C378&lt;&gt;"",ISNUMBER(B378))),"",IF(ISNUMBER(G378),"Done",IF(INT(B378)&gt;TODAY(),"Planned",IF(COUNTIFS(Harvest!$C$6:$C$1505,C378,Harvest!$D$6:$D$1505,D378&amp;"",Harvest!$L$6:$L$1505,"&gt;="&amp;INT(B378))&gt;0,"Picking","Growing"))))</f>
        <v/>
      </c>
      <c r="K378" s="14">
        <f>IF(OR(NOT(AND(C378&lt;&gt;"",ISNUMBER(B378))),J378="Planned"),"",IF(ISNUMBER(G378),INT(G378),TODAY())-INT(B378))</f>
        <v/>
      </c>
      <c r="L378" s="11">
        <f>IF(AND(B378="",C378="",D378=""),"",IF(NOT(ISNUMBER(B378)),"Needs a date",IF(C378="","Needs a crop",IF(COUNTIF(Crops!$B$6:$B$65,C378)=0,"Not on Crops",IF(AND(D378&lt;&gt;"",COUNTIF(Beds!$B$6:$B$35,D378)=0),"Not on Beds",IF(AND(ISNUMBER(G378),G378&lt;B378),"Cleared before it was planted",""))))))</f>
        <v/>
      </c>
      <c r="M378" s="11">
        <f>IF(OR(L378&lt;&gt;"",D378="",O378=""),"",IF(COUNTIFS(Plantings!$D$6:$D$505,D378,Plantings!$O$6:$O$505,O378,Plantings!$N$6:$N$505,N378-1)&gt;0,"Same family here last year",""))</f>
        <v/>
      </c>
      <c r="N378" s="1">
        <f>IF(ISNUMBER(B378),YEAR(B378),"")</f>
        <v/>
      </c>
      <c r="O378">
        <f>IF(C378="","",IFERROR(INDEX(Crops!$C$6:$C$65,MATCH(C378,Crops!$B$6:$B$65,0))&amp;"",""))</f>
        <v/>
      </c>
      <c r="P378">
        <f>IF(ISNUMBER(B378),INT(B378),0)</f>
        <v/>
      </c>
      <c r="Q378">
        <f>IF(AND(L378="",OR(J378="Growing",J378="Picking")),1,0)</f>
        <v/>
      </c>
      <c r="R378">
        <f>IF(AND(Q378=1,D378&lt;&gt;""),P378*1000+ROW(),0)</f>
        <v/>
      </c>
      <c r="S378">
        <f>IF(AND(AND(C378&lt;&gt;"",ISNUMBER(B378)),L378=""),1,0)</f>
        <v/>
      </c>
    </row>
    <row r="379">
      <c r="A379" s="1" t="n"/>
      <c r="B379" s="17" t="n"/>
      <c r="C379" s="18" t="n"/>
      <c r="D379" s="19" t="n"/>
      <c r="E379" s="19" t="n"/>
      <c r="F379" s="20" t="n"/>
      <c r="G379" s="17" t="n"/>
      <c r="H379" s="21" t="n"/>
      <c r="I379" s="22">
        <f>IF(NOT(AND(C379&lt;&gt;"",ISNUMBER(B379))),"",IF(N(IFERROR(INDEX(Crops!$F$6:$F$65,MATCH(C379,Crops!$B$6:$B$65,0)),0))&gt;0,INT(B379)+N(IFERROR(INDEX(Crops!$F$6:$F$65,MATCH(C379,Crops!$B$6:$B$65,0)),0)),""))</f>
        <v/>
      </c>
      <c r="J379" s="16">
        <f>IF(NOT(AND(C379&lt;&gt;"",ISNUMBER(B379))),"",IF(ISNUMBER(G379),"Done",IF(INT(B379)&gt;TODAY(),"Planned",IF(COUNTIFS(Harvest!$C$6:$C$1505,C379,Harvest!$D$6:$D$1505,D379&amp;"",Harvest!$L$6:$L$1505,"&gt;="&amp;INT(B379))&gt;0,"Picking","Growing"))))</f>
        <v/>
      </c>
      <c r="K379" s="14">
        <f>IF(OR(NOT(AND(C379&lt;&gt;"",ISNUMBER(B379))),J379="Planned"),"",IF(ISNUMBER(G379),INT(G379),TODAY())-INT(B379))</f>
        <v/>
      </c>
      <c r="L379" s="11">
        <f>IF(AND(B379="",C379="",D379=""),"",IF(NOT(ISNUMBER(B379)),"Needs a date",IF(C379="","Needs a crop",IF(COUNTIF(Crops!$B$6:$B$65,C379)=0,"Not on Crops",IF(AND(D379&lt;&gt;"",COUNTIF(Beds!$B$6:$B$35,D379)=0),"Not on Beds",IF(AND(ISNUMBER(G379),G379&lt;B379),"Cleared before it was planted",""))))))</f>
        <v/>
      </c>
      <c r="M379" s="11">
        <f>IF(OR(L379&lt;&gt;"",D379="",O379=""),"",IF(COUNTIFS(Plantings!$D$6:$D$505,D379,Plantings!$O$6:$O$505,O379,Plantings!$N$6:$N$505,N379-1)&gt;0,"Same family here last year",""))</f>
        <v/>
      </c>
      <c r="N379" s="1">
        <f>IF(ISNUMBER(B379),YEAR(B379),"")</f>
        <v/>
      </c>
      <c r="O379">
        <f>IF(C379="","",IFERROR(INDEX(Crops!$C$6:$C$65,MATCH(C379,Crops!$B$6:$B$65,0))&amp;"",""))</f>
        <v/>
      </c>
      <c r="P379">
        <f>IF(ISNUMBER(B379),INT(B379),0)</f>
        <v/>
      </c>
      <c r="Q379">
        <f>IF(AND(L379="",OR(J379="Growing",J379="Picking")),1,0)</f>
        <v/>
      </c>
      <c r="R379">
        <f>IF(AND(Q379=1,D379&lt;&gt;""),P379*1000+ROW(),0)</f>
        <v/>
      </c>
      <c r="S379">
        <f>IF(AND(AND(C379&lt;&gt;"",ISNUMBER(B379)),L379=""),1,0)</f>
        <v/>
      </c>
    </row>
    <row r="380">
      <c r="A380" s="1" t="n"/>
      <c r="B380" s="17" t="n"/>
      <c r="C380" s="18" t="n"/>
      <c r="D380" s="19" t="n"/>
      <c r="E380" s="19" t="n"/>
      <c r="F380" s="20" t="n"/>
      <c r="G380" s="17" t="n"/>
      <c r="H380" s="21" t="n"/>
      <c r="I380" s="22">
        <f>IF(NOT(AND(C380&lt;&gt;"",ISNUMBER(B380))),"",IF(N(IFERROR(INDEX(Crops!$F$6:$F$65,MATCH(C380,Crops!$B$6:$B$65,0)),0))&gt;0,INT(B380)+N(IFERROR(INDEX(Crops!$F$6:$F$65,MATCH(C380,Crops!$B$6:$B$65,0)),0)),""))</f>
        <v/>
      </c>
      <c r="J380" s="16">
        <f>IF(NOT(AND(C380&lt;&gt;"",ISNUMBER(B380))),"",IF(ISNUMBER(G380),"Done",IF(INT(B380)&gt;TODAY(),"Planned",IF(COUNTIFS(Harvest!$C$6:$C$1505,C380,Harvest!$D$6:$D$1505,D380&amp;"",Harvest!$L$6:$L$1505,"&gt;="&amp;INT(B380))&gt;0,"Picking","Growing"))))</f>
        <v/>
      </c>
      <c r="K380" s="14">
        <f>IF(OR(NOT(AND(C380&lt;&gt;"",ISNUMBER(B380))),J380="Planned"),"",IF(ISNUMBER(G380),INT(G380),TODAY())-INT(B380))</f>
        <v/>
      </c>
      <c r="L380" s="11">
        <f>IF(AND(B380="",C380="",D380=""),"",IF(NOT(ISNUMBER(B380)),"Needs a date",IF(C380="","Needs a crop",IF(COUNTIF(Crops!$B$6:$B$65,C380)=0,"Not on Crops",IF(AND(D380&lt;&gt;"",COUNTIF(Beds!$B$6:$B$35,D380)=0),"Not on Beds",IF(AND(ISNUMBER(G380),G380&lt;B380),"Cleared before it was planted",""))))))</f>
        <v/>
      </c>
      <c r="M380" s="11">
        <f>IF(OR(L380&lt;&gt;"",D380="",O380=""),"",IF(COUNTIFS(Plantings!$D$6:$D$505,D380,Plantings!$O$6:$O$505,O380,Plantings!$N$6:$N$505,N380-1)&gt;0,"Same family here last year",""))</f>
        <v/>
      </c>
      <c r="N380" s="1">
        <f>IF(ISNUMBER(B380),YEAR(B380),"")</f>
        <v/>
      </c>
      <c r="O380">
        <f>IF(C380="","",IFERROR(INDEX(Crops!$C$6:$C$65,MATCH(C380,Crops!$B$6:$B$65,0))&amp;"",""))</f>
        <v/>
      </c>
      <c r="P380">
        <f>IF(ISNUMBER(B380),INT(B380),0)</f>
        <v/>
      </c>
      <c r="Q380">
        <f>IF(AND(L380="",OR(J380="Growing",J380="Picking")),1,0)</f>
        <v/>
      </c>
      <c r="R380">
        <f>IF(AND(Q380=1,D380&lt;&gt;""),P380*1000+ROW(),0)</f>
        <v/>
      </c>
      <c r="S380">
        <f>IF(AND(AND(C380&lt;&gt;"",ISNUMBER(B380)),L380=""),1,0)</f>
        <v/>
      </c>
    </row>
    <row r="381">
      <c r="A381" s="1" t="n"/>
      <c r="B381" s="17" t="n"/>
      <c r="C381" s="18" t="n"/>
      <c r="D381" s="19" t="n"/>
      <c r="E381" s="19" t="n"/>
      <c r="F381" s="20" t="n"/>
      <c r="G381" s="17" t="n"/>
      <c r="H381" s="21" t="n"/>
      <c r="I381" s="22">
        <f>IF(NOT(AND(C381&lt;&gt;"",ISNUMBER(B381))),"",IF(N(IFERROR(INDEX(Crops!$F$6:$F$65,MATCH(C381,Crops!$B$6:$B$65,0)),0))&gt;0,INT(B381)+N(IFERROR(INDEX(Crops!$F$6:$F$65,MATCH(C381,Crops!$B$6:$B$65,0)),0)),""))</f>
        <v/>
      </c>
      <c r="J381" s="16">
        <f>IF(NOT(AND(C381&lt;&gt;"",ISNUMBER(B381))),"",IF(ISNUMBER(G381),"Done",IF(INT(B381)&gt;TODAY(),"Planned",IF(COUNTIFS(Harvest!$C$6:$C$1505,C381,Harvest!$D$6:$D$1505,D381&amp;"",Harvest!$L$6:$L$1505,"&gt;="&amp;INT(B381))&gt;0,"Picking","Growing"))))</f>
        <v/>
      </c>
      <c r="K381" s="14">
        <f>IF(OR(NOT(AND(C381&lt;&gt;"",ISNUMBER(B381))),J381="Planned"),"",IF(ISNUMBER(G381),INT(G381),TODAY())-INT(B381))</f>
        <v/>
      </c>
      <c r="L381" s="11">
        <f>IF(AND(B381="",C381="",D381=""),"",IF(NOT(ISNUMBER(B381)),"Needs a date",IF(C381="","Needs a crop",IF(COUNTIF(Crops!$B$6:$B$65,C381)=0,"Not on Crops",IF(AND(D381&lt;&gt;"",COUNTIF(Beds!$B$6:$B$35,D381)=0),"Not on Beds",IF(AND(ISNUMBER(G381),G381&lt;B381),"Cleared before it was planted",""))))))</f>
        <v/>
      </c>
      <c r="M381" s="11">
        <f>IF(OR(L381&lt;&gt;"",D381="",O381=""),"",IF(COUNTIFS(Plantings!$D$6:$D$505,D381,Plantings!$O$6:$O$505,O381,Plantings!$N$6:$N$505,N381-1)&gt;0,"Same family here last year",""))</f>
        <v/>
      </c>
      <c r="N381" s="1">
        <f>IF(ISNUMBER(B381),YEAR(B381),"")</f>
        <v/>
      </c>
      <c r="O381">
        <f>IF(C381="","",IFERROR(INDEX(Crops!$C$6:$C$65,MATCH(C381,Crops!$B$6:$B$65,0))&amp;"",""))</f>
        <v/>
      </c>
      <c r="P381">
        <f>IF(ISNUMBER(B381),INT(B381),0)</f>
        <v/>
      </c>
      <c r="Q381">
        <f>IF(AND(L381="",OR(J381="Growing",J381="Picking")),1,0)</f>
        <v/>
      </c>
      <c r="R381">
        <f>IF(AND(Q381=1,D381&lt;&gt;""),P381*1000+ROW(),0)</f>
        <v/>
      </c>
      <c r="S381">
        <f>IF(AND(AND(C381&lt;&gt;"",ISNUMBER(B381)),L381=""),1,0)</f>
        <v/>
      </c>
    </row>
    <row r="382">
      <c r="A382" s="1" t="n"/>
      <c r="B382" s="17" t="n"/>
      <c r="C382" s="18" t="n"/>
      <c r="D382" s="19" t="n"/>
      <c r="E382" s="19" t="n"/>
      <c r="F382" s="20" t="n"/>
      <c r="G382" s="17" t="n"/>
      <c r="H382" s="21" t="n"/>
      <c r="I382" s="22">
        <f>IF(NOT(AND(C382&lt;&gt;"",ISNUMBER(B382))),"",IF(N(IFERROR(INDEX(Crops!$F$6:$F$65,MATCH(C382,Crops!$B$6:$B$65,0)),0))&gt;0,INT(B382)+N(IFERROR(INDEX(Crops!$F$6:$F$65,MATCH(C382,Crops!$B$6:$B$65,0)),0)),""))</f>
        <v/>
      </c>
      <c r="J382" s="16">
        <f>IF(NOT(AND(C382&lt;&gt;"",ISNUMBER(B382))),"",IF(ISNUMBER(G382),"Done",IF(INT(B382)&gt;TODAY(),"Planned",IF(COUNTIFS(Harvest!$C$6:$C$1505,C382,Harvest!$D$6:$D$1505,D382&amp;"",Harvest!$L$6:$L$1505,"&gt;="&amp;INT(B382))&gt;0,"Picking","Growing"))))</f>
        <v/>
      </c>
      <c r="K382" s="14">
        <f>IF(OR(NOT(AND(C382&lt;&gt;"",ISNUMBER(B382))),J382="Planned"),"",IF(ISNUMBER(G382),INT(G382),TODAY())-INT(B382))</f>
        <v/>
      </c>
      <c r="L382" s="11">
        <f>IF(AND(B382="",C382="",D382=""),"",IF(NOT(ISNUMBER(B382)),"Needs a date",IF(C382="","Needs a crop",IF(COUNTIF(Crops!$B$6:$B$65,C382)=0,"Not on Crops",IF(AND(D382&lt;&gt;"",COUNTIF(Beds!$B$6:$B$35,D382)=0),"Not on Beds",IF(AND(ISNUMBER(G382),G382&lt;B382),"Cleared before it was planted",""))))))</f>
        <v/>
      </c>
      <c r="M382" s="11">
        <f>IF(OR(L382&lt;&gt;"",D382="",O382=""),"",IF(COUNTIFS(Plantings!$D$6:$D$505,D382,Plantings!$O$6:$O$505,O382,Plantings!$N$6:$N$505,N382-1)&gt;0,"Same family here last year",""))</f>
        <v/>
      </c>
      <c r="N382" s="1">
        <f>IF(ISNUMBER(B382),YEAR(B382),"")</f>
        <v/>
      </c>
      <c r="O382">
        <f>IF(C382="","",IFERROR(INDEX(Crops!$C$6:$C$65,MATCH(C382,Crops!$B$6:$B$65,0))&amp;"",""))</f>
        <v/>
      </c>
      <c r="P382">
        <f>IF(ISNUMBER(B382),INT(B382),0)</f>
        <v/>
      </c>
      <c r="Q382">
        <f>IF(AND(L382="",OR(J382="Growing",J382="Picking")),1,0)</f>
        <v/>
      </c>
      <c r="R382">
        <f>IF(AND(Q382=1,D382&lt;&gt;""),P382*1000+ROW(),0)</f>
        <v/>
      </c>
      <c r="S382">
        <f>IF(AND(AND(C382&lt;&gt;"",ISNUMBER(B382)),L382=""),1,0)</f>
        <v/>
      </c>
    </row>
    <row r="383">
      <c r="A383" s="1" t="n"/>
      <c r="B383" s="17" t="n"/>
      <c r="C383" s="18" t="n"/>
      <c r="D383" s="19" t="n"/>
      <c r="E383" s="19" t="n"/>
      <c r="F383" s="20" t="n"/>
      <c r="G383" s="17" t="n"/>
      <c r="H383" s="21" t="n"/>
      <c r="I383" s="22">
        <f>IF(NOT(AND(C383&lt;&gt;"",ISNUMBER(B383))),"",IF(N(IFERROR(INDEX(Crops!$F$6:$F$65,MATCH(C383,Crops!$B$6:$B$65,0)),0))&gt;0,INT(B383)+N(IFERROR(INDEX(Crops!$F$6:$F$65,MATCH(C383,Crops!$B$6:$B$65,0)),0)),""))</f>
        <v/>
      </c>
      <c r="J383" s="16">
        <f>IF(NOT(AND(C383&lt;&gt;"",ISNUMBER(B383))),"",IF(ISNUMBER(G383),"Done",IF(INT(B383)&gt;TODAY(),"Planned",IF(COUNTIFS(Harvest!$C$6:$C$1505,C383,Harvest!$D$6:$D$1505,D383&amp;"",Harvest!$L$6:$L$1505,"&gt;="&amp;INT(B383))&gt;0,"Picking","Growing"))))</f>
        <v/>
      </c>
      <c r="K383" s="14">
        <f>IF(OR(NOT(AND(C383&lt;&gt;"",ISNUMBER(B383))),J383="Planned"),"",IF(ISNUMBER(G383),INT(G383),TODAY())-INT(B383))</f>
        <v/>
      </c>
      <c r="L383" s="11">
        <f>IF(AND(B383="",C383="",D383=""),"",IF(NOT(ISNUMBER(B383)),"Needs a date",IF(C383="","Needs a crop",IF(COUNTIF(Crops!$B$6:$B$65,C383)=0,"Not on Crops",IF(AND(D383&lt;&gt;"",COUNTIF(Beds!$B$6:$B$35,D383)=0),"Not on Beds",IF(AND(ISNUMBER(G383),G383&lt;B383),"Cleared before it was planted",""))))))</f>
        <v/>
      </c>
      <c r="M383" s="11">
        <f>IF(OR(L383&lt;&gt;"",D383="",O383=""),"",IF(COUNTIFS(Plantings!$D$6:$D$505,D383,Plantings!$O$6:$O$505,O383,Plantings!$N$6:$N$505,N383-1)&gt;0,"Same family here last year",""))</f>
        <v/>
      </c>
      <c r="N383" s="1">
        <f>IF(ISNUMBER(B383),YEAR(B383),"")</f>
        <v/>
      </c>
      <c r="O383">
        <f>IF(C383="","",IFERROR(INDEX(Crops!$C$6:$C$65,MATCH(C383,Crops!$B$6:$B$65,0))&amp;"",""))</f>
        <v/>
      </c>
      <c r="P383">
        <f>IF(ISNUMBER(B383),INT(B383),0)</f>
        <v/>
      </c>
      <c r="Q383">
        <f>IF(AND(L383="",OR(J383="Growing",J383="Picking")),1,0)</f>
        <v/>
      </c>
      <c r="R383">
        <f>IF(AND(Q383=1,D383&lt;&gt;""),P383*1000+ROW(),0)</f>
        <v/>
      </c>
      <c r="S383">
        <f>IF(AND(AND(C383&lt;&gt;"",ISNUMBER(B383)),L383=""),1,0)</f>
        <v/>
      </c>
    </row>
    <row r="384">
      <c r="A384" s="1" t="n"/>
      <c r="B384" s="17" t="n"/>
      <c r="C384" s="18" t="n"/>
      <c r="D384" s="19" t="n"/>
      <c r="E384" s="19" t="n"/>
      <c r="F384" s="20" t="n"/>
      <c r="G384" s="17" t="n"/>
      <c r="H384" s="21" t="n"/>
      <c r="I384" s="22">
        <f>IF(NOT(AND(C384&lt;&gt;"",ISNUMBER(B384))),"",IF(N(IFERROR(INDEX(Crops!$F$6:$F$65,MATCH(C384,Crops!$B$6:$B$65,0)),0))&gt;0,INT(B384)+N(IFERROR(INDEX(Crops!$F$6:$F$65,MATCH(C384,Crops!$B$6:$B$65,0)),0)),""))</f>
        <v/>
      </c>
      <c r="J384" s="16">
        <f>IF(NOT(AND(C384&lt;&gt;"",ISNUMBER(B384))),"",IF(ISNUMBER(G384),"Done",IF(INT(B384)&gt;TODAY(),"Planned",IF(COUNTIFS(Harvest!$C$6:$C$1505,C384,Harvest!$D$6:$D$1505,D384&amp;"",Harvest!$L$6:$L$1505,"&gt;="&amp;INT(B384))&gt;0,"Picking","Growing"))))</f>
        <v/>
      </c>
      <c r="K384" s="14">
        <f>IF(OR(NOT(AND(C384&lt;&gt;"",ISNUMBER(B384))),J384="Planned"),"",IF(ISNUMBER(G384),INT(G384),TODAY())-INT(B384))</f>
        <v/>
      </c>
      <c r="L384" s="11">
        <f>IF(AND(B384="",C384="",D384=""),"",IF(NOT(ISNUMBER(B384)),"Needs a date",IF(C384="","Needs a crop",IF(COUNTIF(Crops!$B$6:$B$65,C384)=0,"Not on Crops",IF(AND(D384&lt;&gt;"",COUNTIF(Beds!$B$6:$B$35,D384)=0),"Not on Beds",IF(AND(ISNUMBER(G384),G384&lt;B384),"Cleared before it was planted",""))))))</f>
        <v/>
      </c>
      <c r="M384" s="11">
        <f>IF(OR(L384&lt;&gt;"",D384="",O384=""),"",IF(COUNTIFS(Plantings!$D$6:$D$505,D384,Plantings!$O$6:$O$505,O384,Plantings!$N$6:$N$505,N384-1)&gt;0,"Same family here last year",""))</f>
        <v/>
      </c>
      <c r="N384" s="1">
        <f>IF(ISNUMBER(B384),YEAR(B384),"")</f>
        <v/>
      </c>
      <c r="O384">
        <f>IF(C384="","",IFERROR(INDEX(Crops!$C$6:$C$65,MATCH(C384,Crops!$B$6:$B$65,0))&amp;"",""))</f>
        <v/>
      </c>
      <c r="P384">
        <f>IF(ISNUMBER(B384),INT(B384),0)</f>
        <v/>
      </c>
      <c r="Q384">
        <f>IF(AND(L384="",OR(J384="Growing",J384="Picking")),1,0)</f>
        <v/>
      </c>
      <c r="R384">
        <f>IF(AND(Q384=1,D384&lt;&gt;""),P384*1000+ROW(),0)</f>
        <v/>
      </c>
      <c r="S384">
        <f>IF(AND(AND(C384&lt;&gt;"",ISNUMBER(B384)),L384=""),1,0)</f>
        <v/>
      </c>
    </row>
    <row r="385">
      <c r="A385" s="1" t="n"/>
      <c r="B385" s="17" t="n"/>
      <c r="C385" s="18" t="n"/>
      <c r="D385" s="19" t="n"/>
      <c r="E385" s="19" t="n"/>
      <c r="F385" s="20" t="n"/>
      <c r="G385" s="17" t="n"/>
      <c r="H385" s="21" t="n"/>
      <c r="I385" s="22">
        <f>IF(NOT(AND(C385&lt;&gt;"",ISNUMBER(B385))),"",IF(N(IFERROR(INDEX(Crops!$F$6:$F$65,MATCH(C385,Crops!$B$6:$B$65,0)),0))&gt;0,INT(B385)+N(IFERROR(INDEX(Crops!$F$6:$F$65,MATCH(C385,Crops!$B$6:$B$65,0)),0)),""))</f>
        <v/>
      </c>
      <c r="J385" s="16">
        <f>IF(NOT(AND(C385&lt;&gt;"",ISNUMBER(B385))),"",IF(ISNUMBER(G385),"Done",IF(INT(B385)&gt;TODAY(),"Planned",IF(COUNTIFS(Harvest!$C$6:$C$1505,C385,Harvest!$D$6:$D$1505,D385&amp;"",Harvest!$L$6:$L$1505,"&gt;="&amp;INT(B385))&gt;0,"Picking","Growing"))))</f>
        <v/>
      </c>
      <c r="K385" s="14">
        <f>IF(OR(NOT(AND(C385&lt;&gt;"",ISNUMBER(B385))),J385="Planned"),"",IF(ISNUMBER(G385),INT(G385),TODAY())-INT(B385))</f>
        <v/>
      </c>
      <c r="L385" s="11">
        <f>IF(AND(B385="",C385="",D385=""),"",IF(NOT(ISNUMBER(B385)),"Needs a date",IF(C385="","Needs a crop",IF(COUNTIF(Crops!$B$6:$B$65,C385)=0,"Not on Crops",IF(AND(D385&lt;&gt;"",COUNTIF(Beds!$B$6:$B$35,D385)=0),"Not on Beds",IF(AND(ISNUMBER(G385),G385&lt;B385),"Cleared before it was planted",""))))))</f>
        <v/>
      </c>
      <c r="M385" s="11">
        <f>IF(OR(L385&lt;&gt;"",D385="",O385=""),"",IF(COUNTIFS(Plantings!$D$6:$D$505,D385,Plantings!$O$6:$O$505,O385,Plantings!$N$6:$N$505,N385-1)&gt;0,"Same family here last year",""))</f>
        <v/>
      </c>
      <c r="N385" s="1">
        <f>IF(ISNUMBER(B385),YEAR(B385),"")</f>
        <v/>
      </c>
      <c r="O385">
        <f>IF(C385="","",IFERROR(INDEX(Crops!$C$6:$C$65,MATCH(C385,Crops!$B$6:$B$65,0))&amp;"",""))</f>
        <v/>
      </c>
      <c r="P385">
        <f>IF(ISNUMBER(B385),INT(B385),0)</f>
        <v/>
      </c>
      <c r="Q385">
        <f>IF(AND(L385="",OR(J385="Growing",J385="Picking")),1,0)</f>
        <v/>
      </c>
      <c r="R385">
        <f>IF(AND(Q385=1,D385&lt;&gt;""),P385*1000+ROW(),0)</f>
        <v/>
      </c>
      <c r="S385">
        <f>IF(AND(AND(C385&lt;&gt;"",ISNUMBER(B385)),L385=""),1,0)</f>
        <v/>
      </c>
    </row>
    <row r="386">
      <c r="A386" s="1" t="n"/>
      <c r="B386" s="17" t="n"/>
      <c r="C386" s="18" t="n"/>
      <c r="D386" s="19" t="n"/>
      <c r="E386" s="19" t="n"/>
      <c r="F386" s="20" t="n"/>
      <c r="G386" s="17" t="n"/>
      <c r="H386" s="21" t="n"/>
      <c r="I386" s="22">
        <f>IF(NOT(AND(C386&lt;&gt;"",ISNUMBER(B386))),"",IF(N(IFERROR(INDEX(Crops!$F$6:$F$65,MATCH(C386,Crops!$B$6:$B$65,0)),0))&gt;0,INT(B386)+N(IFERROR(INDEX(Crops!$F$6:$F$65,MATCH(C386,Crops!$B$6:$B$65,0)),0)),""))</f>
        <v/>
      </c>
      <c r="J386" s="16">
        <f>IF(NOT(AND(C386&lt;&gt;"",ISNUMBER(B386))),"",IF(ISNUMBER(G386),"Done",IF(INT(B386)&gt;TODAY(),"Planned",IF(COUNTIFS(Harvest!$C$6:$C$1505,C386,Harvest!$D$6:$D$1505,D386&amp;"",Harvest!$L$6:$L$1505,"&gt;="&amp;INT(B386))&gt;0,"Picking","Growing"))))</f>
        <v/>
      </c>
      <c r="K386" s="14">
        <f>IF(OR(NOT(AND(C386&lt;&gt;"",ISNUMBER(B386))),J386="Planned"),"",IF(ISNUMBER(G386),INT(G386),TODAY())-INT(B386))</f>
        <v/>
      </c>
      <c r="L386" s="11">
        <f>IF(AND(B386="",C386="",D386=""),"",IF(NOT(ISNUMBER(B386)),"Needs a date",IF(C386="","Needs a crop",IF(COUNTIF(Crops!$B$6:$B$65,C386)=0,"Not on Crops",IF(AND(D386&lt;&gt;"",COUNTIF(Beds!$B$6:$B$35,D386)=0),"Not on Beds",IF(AND(ISNUMBER(G386),G386&lt;B386),"Cleared before it was planted",""))))))</f>
        <v/>
      </c>
      <c r="M386" s="11">
        <f>IF(OR(L386&lt;&gt;"",D386="",O386=""),"",IF(COUNTIFS(Plantings!$D$6:$D$505,D386,Plantings!$O$6:$O$505,O386,Plantings!$N$6:$N$505,N386-1)&gt;0,"Same family here last year",""))</f>
        <v/>
      </c>
      <c r="N386" s="1">
        <f>IF(ISNUMBER(B386),YEAR(B386),"")</f>
        <v/>
      </c>
      <c r="O386">
        <f>IF(C386="","",IFERROR(INDEX(Crops!$C$6:$C$65,MATCH(C386,Crops!$B$6:$B$65,0))&amp;"",""))</f>
        <v/>
      </c>
      <c r="P386">
        <f>IF(ISNUMBER(B386),INT(B386),0)</f>
        <v/>
      </c>
      <c r="Q386">
        <f>IF(AND(L386="",OR(J386="Growing",J386="Picking")),1,0)</f>
        <v/>
      </c>
      <c r="R386">
        <f>IF(AND(Q386=1,D386&lt;&gt;""),P386*1000+ROW(),0)</f>
        <v/>
      </c>
      <c r="S386">
        <f>IF(AND(AND(C386&lt;&gt;"",ISNUMBER(B386)),L386=""),1,0)</f>
        <v/>
      </c>
    </row>
    <row r="387">
      <c r="A387" s="1" t="n"/>
      <c r="B387" s="17" t="n"/>
      <c r="C387" s="18" t="n"/>
      <c r="D387" s="19" t="n"/>
      <c r="E387" s="19" t="n"/>
      <c r="F387" s="20" t="n"/>
      <c r="G387" s="17" t="n"/>
      <c r="H387" s="21" t="n"/>
      <c r="I387" s="22">
        <f>IF(NOT(AND(C387&lt;&gt;"",ISNUMBER(B387))),"",IF(N(IFERROR(INDEX(Crops!$F$6:$F$65,MATCH(C387,Crops!$B$6:$B$65,0)),0))&gt;0,INT(B387)+N(IFERROR(INDEX(Crops!$F$6:$F$65,MATCH(C387,Crops!$B$6:$B$65,0)),0)),""))</f>
        <v/>
      </c>
      <c r="J387" s="16">
        <f>IF(NOT(AND(C387&lt;&gt;"",ISNUMBER(B387))),"",IF(ISNUMBER(G387),"Done",IF(INT(B387)&gt;TODAY(),"Planned",IF(COUNTIFS(Harvest!$C$6:$C$1505,C387,Harvest!$D$6:$D$1505,D387&amp;"",Harvest!$L$6:$L$1505,"&gt;="&amp;INT(B387))&gt;0,"Picking","Growing"))))</f>
        <v/>
      </c>
      <c r="K387" s="14">
        <f>IF(OR(NOT(AND(C387&lt;&gt;"",ISNUMBER(B387))),J387="Planned"),"",IF(ISNUMBER(G387),INT(G387),TODAY())-INT(B387))</f>
        <v/>
      </c>
      <c r="L387" s="11">
        <f>IF(AND(B387="",C387="",D387=""),"",IF(NOT(ISNUMBER(B387)),"Needs a date",IF(C387="","Needs a crop",IF(COUNTIF(Crops!$B$6:$B$65,C387)=0,"Not on Crops",IF(AND(D387&lt;&gt;"",COUNTIF(Beds!$B$6:$B$35,D387)=0),"Not on Beds",IF(AND(ISNUMBER(G387),G387&lt;B387),"Cleared before it was planted",""))))))</f>
        <v/>
      </c>
      <c r="M387" s="11">
        <f>IF(OR(L387&lt;&gt;"",D387="",O387=""),"",IF(COUNTIFS(Plantings!$D$6:$D$505,D387,Plantings!$O$6:$O$505,O387,Plantings!$N$6:$N$505,N387-1)&gt;0,"Same family here last year",""))</f>
        <v/>
      </c>
      <c r="N387" s="1">
        <f>IF(ISNUMBER(B387),YEAR(B387),"")</f>
        <v/>
      </c>
      <c r="O387">
        <f>IF(C387="","",IFERROR(INDEX(Crops!$C$6:$C$65,MATCH(C387,Crops!$B$6:$B$65,0))&amp;"",""))</f>
        <v/>
      </c>
      <c r="P387">
        <f>IF(ISNUMBER(B387),INT(B387),0)</f>
        <v/>
      </c>
      <c r="Q387">
        <f>IF(AND(L387="",OR(J387="Growing",J387="Picking")),1,0)</f>
        <v/>
      </c>
      <c r="R387">
        <f>IF(AND(Q387=1,D387&lt;&gt;""),P387*1000+ROW(),0)</f>
        <v/>
      </c>
      <c r="S387">
        <f>IF(AND(AND(C387&lt;&gt;"",ISNUMBER(B387)),L387=""),1,0)</f>
        <v/>
      </c>
    </row>
    <row r="388">
      <c r="A388" s="1" t="n"/>
      <c r="B388" s="17" t="n"/>
      <c r="C388" s="18" t="n"/>
      <c r="D388" s="19" t="n"/>
      <c r="E388" s="19" t="n"/>
      <c r="F388" s="20" t="n"/>
      <c r="G388" s="17" t="n"/>
      <c r="H388" s="21" t="n"/>
      <c r="I388" s="22">
        <f>IF(NOT(AND(C388&lt;&gt;"",ISNUMBER(B388))),"",IF(N(IFERROR(INDEX(Crops!$F$6:$F$65,MATCH(C388,Crops!$B$6:$B$65,0)),0))&gt;0,INT(B388)+N(IFERROR(INDEX(Crops!$F$6:$F$65,MATCH(C388,Crops!$B$6:$B$65,0)),0)),""))</f>
        <v/>
      </c>
      <c r="J388" s="16">
        <f>IF(NOT(AND(C388&lt;&gt;"",ISNUMBER(B388))),"",IF(ISNUMBER(G388),"Done",IF(INT(B388)&gt;TODAY(),"Planned",IF(COUNTIFS(Harvest!$C$6:$C$1505,C388,Harvest!$D$6:$D$1505,D388&amp;"",Harvest!$L$6:$L$1505,"&gt;="&amp;INT(B388))&gt;0,"Picking","Growing"))))</f>
        <v/>
      </c>
      <c r="K388" s="14">
        <f>IF(OR(NOT(AND(C388&lt;&gt;"",ISNUMBER(B388))),J388="Planned"),"",IF(ISNUMBER(G388),INT(G388),TODAY())-INT(B388))</f>
        <v/>
      </c>
      <c r="L388" s="11">
        <f>IF(AND(B388="",C388="",D388=""),"",IF(NOT(ISNUMBER(B388)),"Needs a date",IF(C388="","Needs a crop",IF(COUNTIF(Crops!$B$6:$B$65,C388)=0,"Not on Crops",IF(AND(D388&lt;&gt;"",COUNTIF(Beds!$B$6:$B$35,D388)=0),"Not on Beds",IF(AND(ISNUMBER(G388),G388&lt;B388),"Cleared before it was planted",""))))))</f>
        <v/>
      </c>
      <c r="M388" s="11">
        <f>IF(OR(L388&lt;&gt;"",D388="",O388=""),"",IF(COUNTIFS(Plantings!$D$6:$D$505,D388,Plantings!$O$6:$O$505,O388,Plantings!$N$6:$N$505,N388-1)&gt;0,"Same family here last year",""))</f>
        <v/>
      </c>
      <c r="N388" s="1">
        <f>IF(ISNUMBER(B388),YEAR(B388),"")</f>
        <v/>
      </c>
      <c r="O388">
        <f>IF(C388="","",IFERROR(INDEX(Crops!$C$6:$C$65,MATCH(C388,Crops!$B$6:$B$65,0))&amp;"",""))</f>
        <v/>
      </c>
      <c r="P388">
        <f>IF(ISNUMBER(B388),INT(B388),0)</f>
        <v/>
      </c>
      <c r="Q388">
        <f>IF(AND(L388="",OR(J388="Growing",J388="Picking")),1,0)</f>
        <v/>
      </c>
      <c r="R388">
        <f>IF(AND(Q388=1,D388&lt;&gt;""),P388*1000+ROW(),0)</f>
        <v/>
      </c>
      <c r="S388">
        <f>IF(AND(AND(C388&lt;&gt;"",ISNUMBER(B388)),L388=""),1,0)</f>
        <v/>
      </c>
    </row>
    <row r="389">
      <c r="A389" s="1" t="n"/>
      <c r="B389" s="17" t="n"/>
      <c r="C389" s="18" t="n"/>
      <c r="D389" s="19" t="n"/>
      <c r="E389" s="19" t="n"/>
      <c r="F389" s="20" t="n"/>
      <c r="G389" s="17" t="n"/>
      <c r="H389" s="21" t="n"/>
      <c r="I389" s="22">
        <f>IF(NOT(AND(C389&lt;&gt;"",ISNUMBER(B389))),"",IF(N(IFERROR(INDEX(Crops!$F$6:$F$65,MATCH(C389,Crops!$B$6:$B$65,0)),0))&gt;0,INT(B389)+N(IFERROR(INDEX(Crops!$F$6:$F$65,MATCH(C389,Crops!$B$6:$B$65,0)),0)),""))</f>
        <v/>
      </c>
      <c r="J389" s="16">
        <f>IF(NOT(AND(C389&lt;&gt;"",ISNUMBER(B389))),"",IF(ISNUMBER(G389),"Done",IF(INT(B389)&gt;TODAY(),"Planned",IF(COUNTIFS(Harvest!$C$6:$C$1505,C389,Harvest!$D$6:$D$1505,D389&amp;"",Harvest!$L$6:$L$1505,"&gt;="&amp;INT(B389))&gt;0,"Picking","Growing"))))</f>
        <v/>
      </c>
      <c r="K389" s="14">
        <f>IF(OR(NOT(AND(C389&lt;&gt;"",ISNUMBER(B389))),J389="Planned"),"",IF(ISNUMBER(G389),INT(G389),TODAY())-INT(B389))</f>
        <v/>
      </c>
      <c r="L389" s="11">
        <f>IF(AND(B389="",C389="",D389=""),"",IF(NOT(ISNUMBER(B389)),"Needs a date",IF(C389="","Needs a crop",IF(COUNTIF(Crops!$B$6:$B$65,C389)=0,"Not on Crops",IF(AND(D389&lt;&gt;"",COUNTIF(Beds!$B$6:$B$35,D389)=0),"Not on Beds",IF(AND(ISNUMBER(G389),G389&lt;B389),"Cleared before it was planted",""))))))</f>
        <v/>
      </c>
      <c r="M389" s="11">
        <f>IF(OR(L389&lt;&gt;"",D389="",O389=""),"",IF(COUNTIFS(Plantings!$D$6:$D$505,D389,Plantings!$O$6:$O$505,O389,Plantings!$N$6:$N$505,N389-1)&gt;0,"Same family here last year",""))</f>
        <v/>
      </c>
      <c r="N389" s="1">
        <f>IF(ISNUMBER(B389),YEAR(B389),"")</f>
        <v/>
      </c>
      <c r="O389">
        <f>IF(C389="","",IFERROR(INDEX(Crops!$C$6:$C$65,MATCH(C389,Crops!$B$6:$B$65,0))&amp;"",""))</f>
        <v/>
      </c>
      <c r="P389">
        <f>IF(ISNUMBER(B389),INT(B389),0)</f>
        <v/>
      </c>
      <c r="Q389">
        <f>IF(AND(L389="",OR(J389="Growing",J389="Picking")),1,0)</f>
        <v/>
      </c>
      <c r="R389">
        <f>IF(AND(Q389=1,D389&lt;&gt;""),P389*1000+ROW(),0)</f>
        <v/>
      </c>
      <c r="S389">
        <f>IF(AND(AND(C389&lt;&gt;"",ISNUMBER(B389)),L389=""),1,0)</f>
        <v/>
      </c>
    </row>
    <row r="390">
      <c r="A390" s="1" t="n"/>
      <c r="B390" s="17" t="n"/>
      <c r="C390" s="18" t="n"/>
      <c r="D390" s="19" t="n"/>
      <c r="E390" s="19" t="n"/>
      <c r="F390" s="20" t="n"/>
      <c r="G390" s="17" t="n"/>
      <c r="H390" s="21" t="n"/>
      <c r="I390" s="22">
        <f>IF(NOT(AND(C390&lt;&gt;"",ISNUMBER(B390))),"",IF(N(IFERROR(INDEX(Crops!$F$6:$F$65,MATCH(C390,Crops!$B$6:$B$65,0)),0))&gt;0,INT(B390)+N(IFERROR(INDEX(Crops!$F$6:$F$65,MATCH(C390,Crops!$B$6:$B$65,0)),0)),""))</f>
        <v/>
      </c>
      <c r="J390" s="16">
        <f>IF(NOT(AND(C390&lt;&gt;"",ISNUMBER(B390))),"",IF(ISNUMBER(G390),"Done",IF(INT(B390)&gt;TODAY(),"Planned",IF(COUNTIFS(Harvest!$C$6:$C$1505,C390,Harvest!$D$6:$D$1505,D390&amp;"",Harvest!$L$6:$L$1505,"&gt;="&amp;INT(B390))&gt;0,"Picking","Growing"))))</f>
        <v/>
      </c>
      <c r="K390" s="14">
        <f>IF(OR(NOT(AND(C390&lt;&gt;"",ISNUMBER(B390))),J390="Planned"),"",IF(ISNUMBER(G390),INT(G390),TODAY())-INT(B390))</f>
        <v/>
      </c>
      <c r="L390" s="11">
        <f>IF(AND(B390="",C390="",D390=""),"",IF(NOT(ISNUMBER(B390)),"Needs a date",IF(C390="","Needs a crop",IF(COUNTIF(Crops!$B$6:$B$65,C390)=0,"Not on Crops",IF(AND(D390&lt;&gt;"",COUNTIF(Beds!$B$6:$B$35,D390)=0),"Not on Beds",IF(AND(ISNUMBER(G390),G390&lt;B390),"Cleared before it was planted",""))))))</f>
        <v/>
      </c>
      <c r="M390" s="11">
        <f>IF(OR(L390&lt;&gt;"",D390="",O390=""),"",IF(COUNTIFS(Plantings!$D$6:$D$505,D390,Plantings!$O$6:$O$505,O390,Plantings!$N$6:$N$505,N390-1)&gt;0,"Same family here last year",""))</f>
        <v/>
      </c>
      <c r="N390" s="1">
        <f>IF(ISNUMBER(B390),YEAR(B390),"")</f>
        <v/>
      </c>
      <c r="O390">
        <f>IF(C390="","",IFERROR(INDEX(Crops!$C$6:$C$65,MATCH(C390,Crops!$B$6:$B$65,0))&amp;"",""))</f>
        <v/>
      </c>
      <c r="P390">
        <f>IF(ISNUMBER(B390),INT(B390),0)</f>
        <v/>
      </c>
      <c r="Q390">
        <f>IF(AND(L390="",OR(J390="Growing",J390="Picking")),1,0)</f>
        <v/>
      </c>
      <c r="R390">
        <f>IF(AND(Q390=1,D390&lt;&gt;""),P390*1000+ROW(),0)</f>
        <v/>
      </c>
      <c r="S390">
        <f>IF(AND(AND(C390&lt;&gt;"",ISNUMBER(B390)),L390=""),1,0)</f>
        <v/>
      </c>
    </row>
    <row r="391">
      <c r="A391" s="1" t="n"/>
      <c r="B391" s="17" t="n"/>
      <c r="C391" s="18" t="n"/>
      <c r="D391" s="19" t="n"/>
      <c r="E391" s="19" t="n"/>
      <c r="F391" s="20" t="n"/>
      <c r="G391" s="17" t="n"/>
      <c r="H391" s="21" t="n"/>
      <c r="I391" s="22">
        <f>IF(NOT(AND(C391&lt;&gt;"",ISNUMBER(B391))),"",IF(N(IFERROR(INDEX(Crops!$F$6:$F$65,MATCH(C391,Crops!$B$6:$B$65,0)),0))&gt;0,INT(B391)+N(IFERROR(INDEX(Crops!$F$6:$F$65,MATCH(C391,Crops!$B$6:$B$65,0)),0)),""))</f>
        <v/>
      </c>
      <c r="J391" s="16">
        <f>IF(NOT(AND(C391&lt;&gt;"",ISNUMBER(B391))),"",IF(ISNUMBER(G391),"Done",IF(INT(B391)&gt;TODAY(),"Planned",IF(COUNTIFS(Harvest!$C$6:$C$1505,C391,Harvest!$D$6:$D$1505,D391&amp;"",Harvest!$L$6:$L$1505,"&gt;="&amp;INT(B391))&gt;0,"Picking","Growing"))))</f>
        <v/>
      </c>
      <c r="K391" s="14">
        <f>IF(OR(NOT(AND(C391&lt;&gt;"",ISNUMBER(B391))),J391="Planned"),"",IF(ISNUMBER(G391),INT(G391),TODAY())-INT(B391))</f>
        <v/>
      </c>
      <c r="L391" s="11">
        <f>IF(AND(B391="",C391="",D391=""),"",IF(NOT(ISNUMBER(B391)),"Needs a date",IF(C391="","Needs a crop",IF(COUNTIF(Crops!$B$6:$B$65,C391)=0,"Not on Crops",IF(AND(D391&lt;&gt;"",COUNTIF(Beds!$B$6:$B$35,D391)=0),"Not on Beds",IF(AND(ISNUMBER(G391),G391&lt;B391),"Cleared before it was planted",""))))))</f>
        <v/>
      </c>
      <c r="M391" s="11">
        <f>IF(OR(L391&lt;&gt;"",D391="",O391=""),"",IF(COUNTIFS(Plantings!$D$6:$D$505,D391,Plantings!$O$6:$O$505,O391,Plantings!$N$6:$N$505,N391-1)&gt;0,"Same family here last year",""))</f>
        <v/>
      </c>
      <c r="N391" s="1">
        <f>IF(ISNUMBER(B391),YEAR(B391),"")</f>
        <v/>
      </c>
      <c r="O391">
        <f>IF(C391="","",IFERROR(INDEX(Crops!$C$6:$C$65,MATCH(C391,Crops!$B$6:$B$65,0))&amp;"",""))</f>
        <v/>
      </c>
      <c r="P391">
        <f>IF(ISNUMBER(B391),INT(B391),0)</f>
        <v/>
      </c>
      <c r="Q391">
        <f>IF(AND(L391="",OR(J391="Growing",J391="Picking")),1,0)</f>
        <v/>
      </c>
      <c r="R391">
        <f>IF(AND(Q391=1,D391&lt;&gt;""),P391*1000+ROW(),0)</f>
        <v/>
      </c>
      <c r="S391">
        <f>IF(AND(AND(C391&lt;&gt;"",ISNUMBER(B391)),L391=""),1,0)</f>
        <v/>
      </c>
    </row>
    <row r="392">
      <c r="A392" s="1" t="n"/>
      <c r="B392" s="17" t="n"/>
      <c r="C392" s="18" t="n"/>
      <c r="D392" s="19" t="n"/>
      <c r="E392" s="19" t="n"/>
      <c r="F392" s="20" t="n"/>
      <c r="G392" s="17" t="n"/>
      <c r="H392" s="21" t="n"/>
      <c r="I392" s="22">
        <f>IF(NOT(AND(C392&lt;&gt;"",ISNUMBER(B392))),"",IF(N(IFERROR(INDEX(Crops!$F$6:$F$65,MATCH(C392,Crops!$B$6:$B$65,0)),0))&gt;0,INT(B392)+N(IFERROR(INDEX(Crops!$F$6:$F$65,MATCH(C392,Crops!$B$6:$B$65,0)),0)),""))</f>
        <v/>
      </c>
      <c r="J392" s="16">
        <f>IF(NOT(AND(C392&lt;&gt;"",ISNUMBER(B392))),"",IF(ISNUMBER(G392),"Done",IF(INT(B392)&gt;TODAY(),"Planned",IF(COUNTIFS(Harvest!$C$6:$C$1505,C392,Harvest!$D$6:$D$1505,D392&amp;"",Harvest!$L$6:$L$1505,"&gt;="&amp;INT(B392))&gt;0,"Picking","Growing"))))</f>
        <v/>
      </c>
      <c r="K392" s="14">
        <f>IF(OR(NOT(AND(C392&lt;&gt;"",ISNUMBER(B392))),J392="Planned"),"",IF(ISNUMBER(G392),INT(G392),TODAY())-INT(B392))</f>
        <v/>
      </c>
      <c r="L392" s="11">
        <f>IF(AND(B392="",C392="",D392=""),"",IF(NOT(ISNUMBER(B392)),"Needs a date",IF(C392="","Needs a crop",IF(COUNTIF(Crops!$B$6:$B$65,C392)=0,"Not on Crops",IF(AND(D392&lt;&gt;"",COUNTIF(Beds!$B$6:$B$35,D392)=0),"Not on Beds",IF(AND(ISNUMBER(G392),G392&lt;B392),"Cleared before it was planted",""))))))</f>
        <v/>
      </c>
      <c r="M392" s="11">
        <f>IF(OR(L392&lt;&gt;"",D392="",O392=""),"",IF(COUNTIFS(Plantings!$D$6:$D$505,D392,Plantings!$O$6:$O$505,O392,Plantings!$N$6:$N$505,N392-1)&gt;0,"Same family here last year",""))</f>
        <v/>
      </c>
      <c r="N392" s="1">
        <f>IF(ISNUMBER(B392),YEAR(B392),"")</f>
        <v/>
      </c>
      <c r="O392">
        <f>IF(C392="","",IFERROR(INDEX(Crops!$C$6:$C$65,MATCH(C392,Crops!$B$6:$B$65,0))&amp;"",""))</f>
        <v/>
      </c>
      <c r="P392">
        <f>IF(ISNUMBER(B392),INT(B392),0)</f>
        <v/>
      </c>
      <c r="Q392">
        <f>IF(AND(L392="",OR(J392="Growing",J392="Picking")),1,0)</f>
        <v/>
      </c>
      <c r="R392">
        <f>IF(AND(Q392=1,D392&lt;&gt;""),P392*1000+ROW(),0)</f>
        <v/>
      </c>
      <c r="S392">
        <f>IF(AND(AND(C392&lt;&gt;"",ISNUMBER(B392)),L392=""),1,0)</f>
        <v/>
      </c>
    </row>
    <row r="393">
      <c r="A393" s="1" t="n"/>
      <c r="B393" s="17" t="n"/>
      <c r="C393" s="18" t="n"/>
      <c r="D393" s="19" t="n"/>
      <c r="E393" s="19" t="n"/>
      <c r="F393" s="20" t="n"/>
      <c r="G393" s="17" t="n"/>
      <c r="H393" s="21" t="n"/>
      <c r="I393" s="22">
        <f>IF(NOT(AND(C393&lt;&gt;"",ISNUMBER(B393))),"",IF(N(IFERROR(INDEX(Crops!$F$6:$F$65,MATCH(C393,Crops!$B$6:$B$65,0)),0))&gt;0,INT(B393)+N(IFERROR(INDEX(Crops!$F$6:$F$65,MATCH(C393,Crops!$B$6:$B$65,0)),0)),""))</f>
        <v/>
      </c>
      <c r="J393" s="16">
        <f>IF(NOT(AND(C393&lt;&gt;"",ISNUMBER(B393))),"",IF(ISNUMBER(G393),"Done",IF(INT(B393)&gt;TODAY(),"Planned",IF(COUNTIFS(Harvest!$C$6:$C$1505,C393,Harvest!$D$6:$D$1505,D393&amp;"",Harvest!$L$6:$L$1505,"&gt;="&amp;INT(B393))&gt;0,"Picking","Growing"))))</f>
        <v/>
      </c>
      <c r="K393" s="14">
        <f>IF(OR(NOT(AND(C393&lt;&gt;"",ISNUMBER(B393))),J393="Planned"),"",IF(ISNUMBER(G393),INT(G393),TODAY())-INT(B393))</f>
        <v/>
      </c>
      <c r="L393" s="11">
        <f>IF(AND(B393="",C393="",D393=""),"",IF(NOT(ISNUMBER(B393)),"Needs a date",IF(C393="","Needs a crop",IF(COUNTIF(Crops!$B$6:$B$65,C393)=0,"Not on Crops",IF(AND(D393&lt;&gt;"",COUNTIF(Beds!$B$6:$B$35,D393)=0),"Not on Beds",IF(AND(ISNUMBER(G393),G393&lt;B393),"Cleared before it was planted",""))))))</f>
        <v/>
      </c>
      <c r="M393" s="11">
        <f>IF(OR(L393&lt;&gt;"",D393="",O393=""),"",IF(COUNTIFS(Plantings!$D$6:$D$505,D393,Plantings!$O$6:$O$505,O393,Plantings!$N$6:$N$505,N393-1)&gt;0,"Same family here last year",""))</f>
        <v/>
      </c>
      <c r="N393" s="1">
        <f>IF(ISNUMBER(B393),YEAR(B393),"")</f>
        <v/>
      </c>
      <c r="O393">
        <f>IF(C393="","",IFERROR(INDEX(Crops!$C$6:$C$65,MATCH(C393,Crops!$B$6:$B$65,0))&amp;"",""))</f>
        <v/>
      </c>
      <c r="P393">
        <f>IF(ISNUMBER(B393),INT(B393),0)</f>
        <v/>
      </c>
      <c r="Q393">
        <f>IF(AND(L393="",OR(J393="Growing",J393="Picking")),1,0)</f>
        <v/>
      </c>
      <c r="R393">
        <f>IF(AND(Q393=1,D393&lt;&gt;""),P393*1000+ROW(),0)</f>
        <v/>
      </c>
      <c r="S393">
        <f>IF(AND(AND(C393&lt;&gt;"",ISNUMBER(B393)),L393=""),1,0)</f>
        <v/>
      </c>
    </row>
    <row r="394">
      <c r="A394" s="1" t="n"/>
      <c r="B394" s="17" t="n"/>
      <c r="C394" s="18" t="n"/>
      <c r="D394" s="19" t="n"/>
      <c r="E394" s="19" t="n"/>
      <c r="F394" s="20" t="n"/>
      <c r="G394" s="17" t="n"/>
      <c r="H394" s="21" t="n"/>
      <c r="I394" s="22">
        <f>IF(NOT(AND(C394&lt;&gt;"",ISNUMBER(B394))),"",IF(N(IFERROR(INDEX(Crops!$F$6:$F$65,MATCH(C394,Crops!$B$6:$B$65,0)),0))&gt;0,INT(B394)+N(IFERROR(INDEX(Crops!$F$6:$F$65,MATCH(C394,Crops!$B$6:$B$65,0)),0)),""))</f>
        <v/>
      </c>
      <c r="J394" s="16">
        <f>IF(NOT(AND(C394&lt;&gt;"",ISNUMBER(B394))),"",IF(ISNUMBER(G394),"Done",IF(INT(B394)&gt;TODAY(),"Planned",IF(COUNTIFS(Harvest!$C$6:$C$1505,C394,Harvest!$D$6:$D$1505,D394&amp;"",Harvest!$L$6:$L$1505,"&gt;="&amp;INT(B394))&gt;0,"Picking","Growing"))))</f>
        <v/>
      </c>
      <c r="K394" s="14">
        <f>IF(OR(NOT(AND(C394&lt;&gt;"",ISNUMBER(B394))),J394="Planned"),"",IF(ISNUMBER(G394),INT(G394),TODAY())-INT(B394))</f>
        <v/>
      </c>
      <c r="L394" s="11">
        <f>IF(AND(B394="",C394="",D394=""),"",IF(NOT(ISNUMBER(B394)),"Needs a date",IF(C394="","Needs a crop",IF(COUNTIF(Crops!$B$6:$B$65,C394)=0,"Not on Crops",IF(AND(D394&lt;&gt;"",COUNTIF(Beds!$B$6:$B$35,D394)=0),"Not on Beds",IF(AND(ISNUMBER(G394),G394&lt;B394),"Cleared before it was planted",""))))))</f>
        <v/>
      </c>
      <c r="M394" s="11">
        <f>IF(OR(L394&lt;&gt;"",D394="",O394=""),"",IF(COUNTIFS(Plantings!$D$6:$D$505,D394,Plantings!$O$6:$O$505,O394,Plantings!$N$6:$N$505,N394-1)&gt;0,"Same family here last year",""))</f>
        <v/>
      </c>
      <c r="N394" s="1">
        <f>IF(ISNUMBER(B394),YEAR(B394),"")</f>
        <v/>
      </c>
      <c r="O394">
        <f>IF(C394="","",IFERROR(INDEX(Crops!$C$6:$C$65,MATCH(C394,Crops!$B$6:$B$65,0))&amp;"",""))</f>
        <v/>
      </c>
      <c r="P394">
        <f>IF(ISNUMBER(B394),INT(B394),0)</f>
        <v/>
      </c>
      <c r="Q394">
        <f>IF(AND(L394="",OR(J394="Growing",J394="Picking")),1,0)</f>
        <v/>
      </c>
      <c r="R394">
        <f>IF(AND(Q394=1,D394&lt;&gt;""),P394*1000+ROW(),0)</f>
        <v/>
      </c>
      <c r="S394">
        <f>IF(AND(AND(C394&lt;&gt;"",ISNUMBER(B394)),L394=""),1,0)</f>
        <v/>
      </c>
    </row>
    <row r="395">
      <c r="A395" s="1" t="n"/>
      <c r="B395" s="17" t="n"/>
      <c r="C395" s="18" t="n"/>
      <c r="D395" s="19" t="n"/>
      <c r="E395" s="19" t="n"/>
      <c r="F395" s="20" t="n"/>
      <c r="G395" s="17" t="n"/>
      <c r="H395" s="21" t="n"/>
      <c r="I395" s="22">
        <f>IF(NOT(AND(C395&lt;&gt;"",ISNUMBER(B395))),"",IF(N(IFERROR(INDEX(Crops!$F$6:$F$65,MATCH(C395,Crops!$B$6:$B$65,0)),0))&gt;0,INT(B395)+N(IFERROR(INDEX(Crops!$F$6:$F$65,MATCH(C395,Crops!$B$6:$B$65,0)),0)),""))</f>
        <v/>
      </c>
      <c r="J395" s="16">
        <f>IF(NOT(AND(C395&lt;&gt;"",ISNUMBER(B395))),"",IF(ISNUMBER(G395),"Done",IF(INT(B395)&gt;TODAY(),"Planned",IF(COUNTIFS(Harvest!$C$6:$C$1505,C395,Harvest!$D$6:$D$1505,D395&amp;"",Harvest!$L$6:$L$1505,"&gt;="&amp;INT(B395))&gt;0,"Picking","Growing"))))</f>
        <v/>
      </c>
      <c r="K395" s="14">
        <f>IF(OR(NOT(AND(C395&lt;&gt;"",ISNUMBER(B395))),J395="Planned"),"",IF(ISNUMBER(G395),INT(G395),TODAY())-INT(B395))</f>
        <v/>
      </c>
      <c r="L395" s="11">
        <f>IF(AND(B395="",C395="",D395=""),"",IF(NOT(ISNUMBER(B395)),"Needs a date",IF(C395="","Needs a crop",IF(COUNTIF(Crops!$B$6:$B$65,C395)=0,"Not on Crops",IF(AND(D395&lt;&gt;"",COUNTIF(Beds!$B$6:$B$35,D395)=0),"Not on Beds",IF(AND(ISNUMBER(G395),G395&lt;B395),"Cleared before it was planted",""))))))</f>
        <v/>
      </c>
      <c r="M395" s="11">
        <f>IF(OR(L395&lt;&gt;"",D395="",O395=""),"",IF(COUNTIFS(Plantings!$D$6:$D$505,D395,Plantings!$O$6:$O$505,O395,Plantings!$N$6:$N$505,N395-1)&gt;0,"Same family here last year",""))</f>
        <v/>
      </c>
      <c r="N395" s="1">
        <f>IF(ISNUMBER(B395),YEAR(B395),"")</f>
        <v/>
      </c>
      <c r="O395">
        <f>IF(C395="","",IFERROR(INDEX(Crops!$C$6:$C$65,MATCH(C395,Crops!$B$6:$B$65,0))&amp;"",""))</f>
        <v/>
      </c>
      <c r="P395">
        <f>IF(ISNUMBER(B395),INT(B395),0)</f>
        <v/>
      </c>
      <c r="Q395">
        <f>IF(AND(L395="",OR(J395="Growing",J395="Picking")),1,0)</f>
        <v/>
      </c>
      <c r="R395">
        <f>IF(AND(Q395=1,D395&lt;&gt;""),P395*1000+ROW(),0)</f>
        <v/>
      </c>
      <c r="S395">
        <f>IF(AND(AND(C395&lt;&gt;"",ISNUMBER(B395)),L395=""),1,0)</f>
        <v/>
      </c>
    </row>
    <row r="396">
      <c r="A396" s="1" t="n"/>
      <c r="B396" s="17" t="n"/>
      <c r="C396" s="18" t="n"/>
      <c r="D396" s="19" t="n"/>
      <c r="E396" s="19" t="n"/>
      <c r="F396" s="20" t="n"/>
      <c r="G396" s="17" t="n"/>
      <c r="H396" s="21" t="n"/>
      <c r="I396" s="22">
        <f>IF(NOT(AND(C396&lt;&gt;"",ISNUMBER(B396))),"",IF(N(IFERROR(INDEX(Crops!$F$6:$F$65,MATCH(C396,Crops!$B$6:$B$65,0)),0))&gt;0,INT(B396)+N(IFERROR(INDEX(Crops!$F$6:$F$65,MATCH(C396,Crops!$B$6:$B$65,0)),0)),""))</f>
        <v/>
      </c>
      <c r="J396" s="16">
        <f>IF(NOT(AND(C396&lt;&gt;"",ISNUMBER(B396))),"",IF(ISNUMBER(G396),"Done",IF(INT(B396)&gt;TODAY(),"Planned",IF(COUNTIFS(Harvest!$C$6:$C$1505,C396,Harvest!$D$6:$D$1505,D396&amp;"",Harvest!$L$6:$L$1505,"&gt;="&amp;INT(B396))&gt;0,"Picking","Growing"))))</f>
        <v/>
      </c>
      <c r="K396" s="14">
        <f>IF(OR(NOT(AND(C396&lt;&gt;"",ISNUMBER(B396))),J396="Planned"),"",IF(ISNUMBER(G396),INT(G396),TODAY())-INT(B396))</f>
        <v/>
      </c>
      <c r="L396" s="11">
        <f>IF(AND(B396="",C396="",D396=""),"",IF(NOT(ISNUMBER(B396)),"Needs a date",IF(C396="","Needs a crop",IF(COUNTIF(Crops!$B$6:$B$65,C396)=0,"Not on Crops",IF(AND(D396&lt;&gt;"",COUNTIF(Beds!$B$6:$B$35,D396)=0),"Not on Beds",IF(AND(ISNUMBER(G396),G396&lt;B396),"Cleared before it was planted",""))))))</f>
        <v/>
      </c>
      <c r="M396" s="11">
        <f>IF(OR(L396&lt;&gt;"",D396="",O396=""),"",IF(COUNTIFS(Plantings!$D$6:$D$505,D396,Plantings!$O$6:$O$505,O396,Plantings!$N$6:$N$505,N396-1)&gt;0,"Same family here last year",""))</f>
        <v/>
      </c>
      <c r="N396" s="1">
        <f>IF(ISNUMBER(B396),YEAR(B396),"")</f>
        <v/>
      </c>
      <c r="O396">
        <f>IF(C396="","",IFERROR(INDEX(Crops!$C$6:$C$65,MATCH(C396,Crops!$B$6:$B$65,0))&amp;"",""))</f>
        <v/>
      </c>
      <c r="P396">
        <f>IF(ISNUMBER(B396),INT(B396),0)</f>
        <v/>
      </c>
      <c r="Q396">
        <f>IF(AND(L396="",OR(J396="Growing",J396="Picking")),1,0)</f>
        <v/>
      </c>
      <c r="R396">
        <f>IF(AND(Q396=1,D396&lt;&gt;""),P396*1000+ROW(),0)</f>
        <v/>
      </c>
      <c r="S396">
        <f>IF(AND(AND(C396&lt;&gt;"",ISNUMBER(B396)),L396=""),1,0)</f>
        <v/>
      </c>
    </row>
    <row r="397">
      <c r="A397" s="1" t="n"/>
      <c r="B397" s="17" t="n"/>
      <c r="C397" s="18" t="n"/>
      <c r="D397" s="19" t="n"/>
      <c r="E397" s="19" t="n"/>
      <c r="F397" s="20" t="n"/>
      <c r="G397" s="17" t="n"/>
      <c r="H397" s="21" t="n"/>
      <c r="I397" s="22">
        <f>IF(NOT(AND(C397&lt;&gt;"",ISNUMBER(B397))),"",IF(N(IFERROR(INDEX(Crops!$F$6:$F$65,MATCH(C397,Crops!$B$6:$B$65,0)),0))&gt;0,INT(B397)+N(IFERROR(INDEX(Crops!$F$6:$F$65,MATCH(C397,Crops!$B$6:$B$65,0)),0)),""))</f>
        <v/>
      </c>
      <c r="J397" s="16">
        <f>IF(NOT(AND(C397&lt;&gt;"",ISNUMBER(B397))),"",IF(ISNUMBER(G397),"Done",IF(INT(B397)&gt;TODAY(),"Planned",IF(COUNTIFS(Harvest!$C$6:$C$1505,C397,Harvest!$D$6:$D$1505,D397&amp;"",Harvest!$L$6:$L$1505,"&gt;="&amp;INT(B397))&gt;0,"Picking","Growing"))))</f>
        <v/>
      </c>
      <c r="K397" s="14">
        <f>IF(OR(NOT(AND(C397&lt;&gt;"",ISNUMBER(B397))),J397="Planned"),"",IF(ISNUMBER(G397),INT(G397),TODAY())-INT(B397))</f>
        <v/>
      </c>
      <c r="L397" s="11">
        <f>IF(AND(B397="",C397="",D397=""),"",IF(NOT(ISNUMBER(B397)),"Needs a date",IF(C397="","Needs a crop",IF(COUNTIF(Crops!$B$6:$B$65,C397)=0,"Not on Crops",IF(AND(D397&lt;&gt;"",COUNTIF(Beds!$B$6:$B$35,D397)=0),"Not on Beds",IF(AND(ISNUMBER(G397),G397&lt;B397),"Cleared before it was planted",""))))))</f>
        <v/>
      </c>
      <c r="M397" s="11">
        <f>IF(OR(L397&lt;&gt;"",D397="",O397=""),"",IF(COUNTIFS(Plantings!$D$6:$D$505,D397,Plantings!$O$6:$O$505,O397,Plantings!$N$6:$N$505,N397-1)&gt;0,"Same family here last year",""))</f>
        <v/>
      </c>
      <c r="N397" s="1">
        <f>IF(ISNUMBER(B397),YEAR(B397),"")</f>
        <v/>
      </c>
      <c r="O397">
        <f>IF(C397="","",IFERROR(INDEX(Crops!$C$6:$C$65,MATCH(C397,Crops!$B$6:$B$65,0))&amp;"",""))</f>
        <v/>
      </c>
      <c r="P397">
        <f>IF(ISNUMBER(B397),INT(B397),0)</f>
        <v/>
      </c>
      <c r="Q397">
        <f>IF(AND(L397="",OR(J397="Growing",J397="Picking")),1,0)</f>
        <v/>
      </c>
      <c r="R397">
        <f>IF(AND(Q397=1,D397&lt;&gt;""),P397*1000+ROW(),0)</f>
        <v/>
      </c>
      <c r="S397">
        <f>IF(AND(AND(C397&lt;&gt;"",ISNUMBER(B397)),L397=""),1,0)</f>
        <v/>
      </c>
    </row>
    <row r="398">
      <c r="A398" s="1" t="n"/>
      <c r="B398" s="17" t="n"/>
      <c r="C398" s="18" t="n"/>
      <c r="D398" s="19" t="n"/>
      <c r="E398" s="19" t="n"/>
      <c r="F398" s="20" t="n"/>
      <c r="G398" s="17" t="n"/>
      <c r="H398" s="21" t="n"/>
      <c r="I398" s="22">
        <f>IF(NOT(AND(C398&lt;&gt;"",ISNUMBER(B398))),"",IF(N(IFERROR(INDEX(Crops!$F$6:$F$65,MATCH(C398,Crops!$B$6:$B$65,0)),0))&gt;0,INT(B398)+N(IFERROR(INDEX(Crops!$F$6:$F$65,MATCH(C398,Crops!$B$6:$B$65,0)),0)),""))</f>
        <v/>
      </c>
      <c r="J398" s="16">
        <f>IF(NOT(AND(C398&lt;&gt;"",ISNUMBER(B398))),"",IF(ISNUMBER(G398),"Done",IF(INT(B398)&gt;TODAY(),"Planned",IF(COUNTIFS(Harvest!$C$6:$C$1505,C398,Harvest!$D$6:$D$1505,D398&amp;"",Harvest!$L$6:$L$1505,"&gt;="&amp;INT(B398))&gt;0,"Picking","Growing"))))</f>
        <v/>
      </c>
      <c r="K398" s="14">
        <f>IF(OR(NOT(AND(C398&lt;&gt;"",ISNUMBER(B398))),J398="Planned"),"",IF(ISNUMBER(G398),INT(G398),TODAY())-INT(B398))</f>
        <v/>
      </c>
      <c r="L398" s="11">
        <f>IF(AND(B398="",C398="",D398=""),"",IF(NOT(ISNUMBER(B398)),"Needs a date",IF(C398="","Needs a crop",IF(COUNTIF(Crops!$B$6:$B$65,C398)=0,"Not on Crops",IF(AND(D398&lt;&gt;"",COUNTIF(Beds!$B$6:$B$35,D398)=0),"Not on Beds",IF(AND(ISNUMBER(G398),G398&lt;B398),"Cleared before it was planted",""))))))</f>
        <v/>
      </c>
      <c r="M398" s="11">
        <f>IF(OR(L398&lt;&gt;"",D398="",O398=""),"",IF(COUNTIFS(Plantings!$D$6:$D$505,D398,Plantings!$O$6:$O$505,O398,Plantings!$N$6:$N$505,N398-1)&gt;0,"Same family here last year",""))</f>
        <v/>
      </c>
      <c r="N398" s="1">
        <f>IF(ISNUMBER(B398),YEAR(B398),"")</f>
        <v/>
      </c>
      <c r="O398">
        <f>IF(C398="","",IFERROR(INDEX(Crops!$C$6:$C$65,MATCH(C398,Crops!$B$6:$B$65,0))&amp;"",""))</f>
        <v/>
      </c>
      <c r="P398">
        <f>IF(ISNUMBER(B398),INT(B398),0)</f>
        <v/>
      </c>
      <c r="Q398">
        <f>IF(AND(L398="",OR(J398="Growing",J398="Picking")),1,0)</f>
        <v/>
      </c>
      <c r="R398">
        <f>IF(AND(Q398=1,D398&lt;&gt;""),P398*1000+ROW(),0)</f>
        <v/>
      </c>
      <c r="S398">
        <f>IF(AND(AND(C398&lt;&gt;"",ISNUMBER(B398)),L398=""),1,0)</f>
        <v/>
      </c>
    </row>
    <row r="399">
      <c r="A399" s="1" t="n"/>
      <c r="B399" s="17" t="n"/>
      <c r="C399" s="18" t="n"/>
      <c r="D399" s="19" t="n"/>
      <c r="E399" s="19" t="n"/>
      <c r="F399" s="20" t="n"/>
      <c r="G399" s="17" t="n"/>
      <c r="H399" s="21" t="n"/>
      <c r="I399" s="22">
        <f>IF(NOT(AND(C399&lt;&gt;"",ISNUMBER(B399))),"",IF(N(IFERROR(INDEX(Crops!$F$6:$F$65,MATCH(C399,Crops!$B$6:$B$65,0)),0))&gt;0,INT(B399)+N(IFERROR(INDEX(Crops!$F$6:$F$65,MATCH(C399,Crops!$B$6:$B$65,0)),0)),""))</f>
        <v/>
      </c>
      <c r="J399" s="16">
        <f>IF(NOT(AND(C399&lt;&gt;"",ISNUMBER(B399))),"",IF(ISNUMBER(G399),"Done",IF(INT(B399)&gt;TODAY(),"Planned",IF(COUNTIFS(Harvest!$C$6:$C$1505,C399,Harvest!$D$6:$D$1505,D399&amp;"",Harvest!$L$6:$L$1505,"&gt;="&amp;INT(B399))&gt;0,"Picking","Growing"))))</f>
        <v/>
      </c>
      <c r="K399" s="14">
        <f>IF(OR(NOT(AND(C399&lt;&gt;"",ISNUMBER(B399))),J399="Planned"),"",IF(ISNUMBER(G399),INT(G399),TODAY())-INT(B399))</f>
        <v/>
      </c>
      <c r="L399" s="11">
        <f>IF(AND(B399="",C399="",D399=""),"",IF(NOT(ISNUMBER(B399)),"Needs a date",IF(C399="","Needs a crop",IF(COUNTIF(Crops!$B$6:$B$65,C399)=0,"Not on Crops",IF(AND(D399&lt;&gt;"",COUNTIF(Beds!$B$6:$B$35,D399)=0),"Not on Beds",IF(AND(ISNUMBER(G399),G399&lt;B399),"Cleared before it was planted",""))))))</f>
        <v/>
      </c>
      <c r="M399" s="11">
        <f>IF(OR(L399&lt;&gt;"",D399="",O399=""),"",IF(COUNTIFS(Plantings!$D$6:$D$505,D399,Plantings!$O$6:$O$505,O399,Plantings!$N$6:$N$505,N399-1)&gt;0,"Same family here last year",""))</f>
        <v/>
      </c>
      <c r="N399" s="1">
        <f>IF(ISNUMBER(B399),YEAR(B399),"")</f>
        <v/>
      </c>
      <c r="O399">
        <f>IF(C399="","",IFERROR(INDEX(Crops!$C$6:$C$65,MATCH(C399,Crops!$B$6:$B$65,0))&amp;"",""))</f>
        <v/>
      </c>
      <c r="P399">
        <f>IF(ISNUMBER(B399),INT(B399),0)</f>
        <v/>
      </c>
      <c r="Q399">
        <f>IF(AND(L399="",OR(J399="Growing",J399="Picking")),1,0)</f>
        <v/>
      </c>
      <c r="R399">
        <f>IF(AND(Q399=1,D399&lt;&gt;""),P399*1000+ROW(),0)</f>
        <v/>
      </c>
      <c r="S399">
        <f>IF(AND(AND(C399&lt;&gt;"",ISNUMBER(B399)),L399=""),1,0)</f>
        <v/>
      </c>
    </row>
    <row r="400">
      <c r="A400" s="1" t="n"/>
      <c r="B400" s="17" t="n"/>
      <c r="C400" s="18" t="n"/>
      <c r="D400" s="19" t="n"/>
      <c r="E400" s="19" t="n"/>
      <c r="F400" s="20" t="n"/>
      <c r="G400" s="17" t="n"/>
      <c r="H400" s="21" t="n"/>
      <c r="I400" s="22">
        <f>IF(NOT(AND(C400&lt;&gt;"",ISNUMBER(B400))),"",IF(N(IFERROR(INDEX(Crops!$F$6:$F$65,MATCH(C400,Crops!$B$6:$B$65,0)),0))&gt;0,INT(B400)+N(IFERROR(INDEX(Crops!$F$6:$F$65,MATCH(C400,Crops!$B$6:$B$65,0)),0)),""))</f>
        <v/>
      </c>
      <c r="J400" s="16">
        <f>IF(NOT(AND(C400&lt;&gt;"",ISNUMBER(B400))),"",IF(ISNUMBER(G400),"Done",IF(INT(B400)&gt;TODAY(),"Planned",IF(COUNTIFS(Harvest!$C$6:$C$1505,C400,Harvest!$D$6:$D$1505,D400&amp;"",Harvest!$L$6:$L$1505,"&gt;="&amp;INT(B400))&gt;0,"Picking","Growing"))))</f>
        <v/>
      </c>
      <c r="K400" s="14">
        <f>IF(OR(NOT(AND(C400&lt;&gt;"",ISNUMBER(B400))),J400="Planned"),"",IF(ISNUMBER(G400),INT(G400),TODAY())-INT(B400))</f>
        <v/>
      </c>
      <c r="L400" s="11">
        <f>IF(AND(B400="",C400="",D400=""),"",IF(NOT(ISNUMBER(B400)),"Needs a date",IF(C400="","Needs a crop",IF(COUNTIF(Crops!$B$6:$B$65,C400)=0,"Not on Crops",IF(AND(D400&lt;&gt;"",COUNTIF(Beds!$B$6:$B$35,D400)=0),"Not on Beds",IF(AND(ISNUMBER(G400),G400&lt;B400),"Cleared before it was planted",""))))))</f>
        <v/>
      </c>
      <c r="M400" s="11">
        <f>IF(OR(L400&lt;&gt;"",D400="",O400=""),"",IF(COUNTIFS(Plantings!$D$6:$D$505,D400,Plantings!$O$6:$O$505,O400,Plantings!$N$6:$N$505,N400-1)&gt;0,"Same family here last year",""))</f>
        <v/>
      </c>
      <c r="N400" s="1">
        <f>IF(ISNUMBER(B400),YEAR(B400),"")</f>
        <v/>
      </c>
      <c r="O400">
        <f>IF(C400="","",IFERROR(INDEX(Crops!$C$6:$C$65,MATCH(C400,Crops!$B$6:$B$65,0))&amp;"",""))</f>
        <v/>
      </c>
      <c r="P400">
        <f>IF(ISNUMBER(B400),INT(B400),0)</f>
        <v/>
      </c>
      <c r="Q400">
        <f>IF(AND(L400="",OR(J400="Growing",J400="Picking")),1,0)</f>
        <v/>
      </c>
      <c r="R400">
        <f>IF(AND(Q400=1,D400&lt;&gt;""),P400*1000+ROW(),0)</f>
        <v/>
      </c>
      <c r="S400">
        <f>IF(AND(AND(C400&lt;&gt;"",ISNUMBER(B400)),L400=""),1,0)</f>
        <v/>
      </c>
    </row>
    <row r="401">
      <c r="A401" s="1" t="n"/>
      <c r="B401" s="17" t="n"/>
      <c r="C401" s="18" t="n"/>
      <c r="D401" s="19" t="n"/>
      <c r="E401" s="19" t="n"/>
      <c r="F401" s="20" t="n"/>
      <c r="G401" s="17" t="n"/>
      <c r="H401" s="21" t="n"/>
      <c r="I401" s="22">
        <f>IF(NOT(AND(C401&lt;&gt;"",ISNUMBER(B401))),"",IF(N(IFERROR(INDEX(Crops!$F$6:$F$65,MATCH(C401,Crops!$B$6:$B$65,0)),0))&gt;0,INT(B401)+N(IFERROR(INDEX(Crops!$F$6:$F$65,MATCH(C401,Crops!$B$6:$B$65,0)),0)),""))</f>
        <v/>
      </c>
      <c r="J401" s="16">
        <f>IF(NOT(AND(C401&lt;&gt;"",ISNUMBER(B401))),"",IF(ISNUMBER(G401),"Done",IF(INT(B401)&gt;TODAY(),"Planned",IF(COUNTIFS(Harvest!$C$6:$C$1505,C401,Harvest!$D$6:$D$1505,D401&amp;"",Harvest!$L$6:$L$1505,"&gt;="&amp;INT(B401))&gt;0,"Picking","Growing"))))</f>
        <v/>
      </c>
      <c r="K401" s="14">
        <f>IF(OR(NOT(AND(C401&lt;&gt;"",ISNUMBER(B401))),J401="Planned"),"",IF(ISNUMBER(G401),INT(G401),TODAY())-INT(B401))</f>
        <v/>
      </c>
      <c r="L401" s="11">
        <f>IF(AND(B401="",C401="",D401=""),"",IF(NOT(ISNUMBER(B401)),"Needs a date",IF(C401="","Needs a crop",IF(COUNTIF(Crops!$B$6:$B$65,C401)=0,"Not on Crops",IF(AND(D401&lt;&gt;"",COUNTIF(Beds!$B$6:$B$35,D401)=0),"Not on Beds",IF(AND(ISNUMBER(G401),G401&lt;B401),"Cleared before it was planted",""))))))</f>
        <v/>
      </c>
      <c r="M401" s="11">
        <f>IF(OR(L401&lt;&gt;"",D401="",O401=""),"",IF(COUNTIFS(Plantings!$D$6:$D$505,D401,Plantings!$O$6:$O$505,O401,Plantings!$N$6:$N$505,N401-1)&gt;0,"Same family here last year",""))</f>
        <v/>
      </c>
      <c r="N401" s="1">
        <f>IF(ISNUMBER(B401),YEAR(B401),"")</f>
        <v/>
      </c>
      <c r="O401">
        <f>IF(C401="","",IFERROR(INDEX(Crops!$C$6:$C$65,MATCH(C401,Crops!$B$6:$B$65,0))&amp;"",""))</f>
        <v/>
      </c>
      <c r="P401">
        <f>IF(ISNUMBER(B401),INT(B401),0)</f>
        <v/>
      </c>
      <c r="Q401">
        <f>IF(AND(L401="",OR(J401="Growing",J401="Picking")),1,0)</f>
        <v/>
      </c>
      <c r="R401">
        <f>IF(AND(Q401=1,D401&lt;&gt;""),P401*1000+ROW(),0)</f>
        <v/>
      </c>
      <c r="S401">
        <f>IF(AND(AND(C401&lt;&gt;"",ISNUMBER(B401)),L401=""),1,0)</f>
        <v/>
      </c>
    </row>
    <row r="402">
      <c r="A402" s="1" t="n"/>
      <c r="B402" s="17" t="n"/>
      <c r="C402" s="18" t="n"/>
      <c r="D402" s="19" t="n"/>
      <c r="E402" s="19" t="n"/>
      <c r="F402" s="20" t="n"/>
      <c r="G402" s="17" t="n"/>
      <c r="H402" s="21" t="n"/>
      <c r="I402" s="22">
        <f>IF(NOT(AND(C402&lt;&gt;"",ISNUMBER(B402))),"",IF(N(IFERROR(INDEX(Crops!$F$6:$F$65,MATCH(C402,Crops!$B$6:$B$65,0)),0))&gt;0,INT(B402)+N(IFERROR(INDEX(Crops!$F$6:$F$65,MATCH(C402,Crops!$B$6:$B$65,0)),0)),""))</f>
        <v/>
      </c>
      <c r="J402" s="16">
        <f>IF(NOT(AND(C402&lt;&gt;"",ISNUMBER(B402))),"",IF(ISNUMBER(G402),"Done",IF(INT(B402)&gt;TODAY(),"Planned",IF(COUNTIFS(Harvest!$C$6:$C$1505,C402,Harvest!$D$6:$D$1505,D402&amp;"",Harvest!$L$6:$L$1505,"&gt;="&amp;INT(B402))&gt;0,"Picking","Growing"))))</f>
        <v/>
      </c>
      <c r="K402" s="14">
        <f>IF(OR(NOT(AND(C402&lt;&gt;"",ISNUMBER(B402))),J402="Planned"),"",IF(ISNUMBER(G402),INT(G402),TODAY())-INT(B402))</f>
        <v/>
      </c>
      <c r="L402" s="11">
        <f>IF(AND(B402="",C402="",D402=""),"",IF(NOT(ISNUMBER(B402)),"Needs a date",IF(C402="","Needs a crop",IF(COUNTIF(Crops!$B$6:$B$65,C402)=0,"Not on Crops",IF(AND(D402&lt;&gt;"",COUNTIF(Beds!$B$6:$B$35,D402)=0),"Not on Beds",IF(AND(ISNUMBER(G402),G402&lt;B402),"Cleared before it was planted",""))))))</f>
        <v/>
      </c>
      <c r="M402" s="11">
        <f>IF(OR(L402&lt;&gt;"",D402="",O402=""),"",IF(COUNTIFS(Plantings!$D$6:$D$505,D402,Plantings!$O$6:$O$505,O402,Plantings!$N$6:$N$505,N402-1)&gt;0,"Same family here last year",""))</f>
        <v/>
      </c>
      <c r="N402" s="1">
        <f>IF(ISNUMBER(B402),YEAR(B402),"")</f>
        <v/>
      </c>
      <c r="O402">
        <f>IF(C402="","",IFERROR(INDEX(Crops!$C$6:$C$65,MATCH(C402,Crops!$B$6:$B$65,0))&amp;"",""))</f>
        <v/>
      </c>
      <c r="P402">
        <f>IF(ISNUMBER(B402),INT(B402),0)</f>
        <v/>
      </c>
      <c r="Q402">
        <f>IF(AND(L402="",OR(J402="Growing",J402="Picking")),1,0)</f>
        <v/>
      </c>
      <c r="R402">
        <f>IF(AND(Q402=1,D402&lt;&gt;""),P402*1000+ROW(),0)</f>
        <v/>
      </c>
      <c r="S402">
        <f>IF(AND(AND(C402&lt;&gt;"",ISNUMBER(B402)),L402=""),1,0)</f>
        <v/>
      </c>
    </row>
    <row r="403">
      <c r="A403" s="1" t="n"/>
      <c r="B403" s="17" t="n"/>
      <c r="C403" s="18" t="n"/>
      <c r="D403" s="19" t="n"/>
      <c r="E403" s="19" t="n"/>
      <c r="F403" s="20" t="n"/>
      <c r="G403" s="17" t="n"/>
      <c r="H403" s="21" t="n"/>
      <c r="I403" s="22">
        <f>IF(NOT(AND(C403&lt;&gt;"",ISNUMBER(B403))),"",IF(N(IFERROR(INDEX(Crops!$F$6:$F$65,MATCH(C403,Crops!$B$6:$B$65,0)),0))&gt;0,INT(B403)+N(IFERROR(INDEX(Crops!$F$6:$F$65,MATCH(C403,Crops!$B$6:$B$65,0)),0)),""))</f>
        <v/>
      </c>
      <c r="J403" s="16">
        <f>IF(NOT(AND(C403&lt;&gt;"",ISNUMBER(B403))),"",IF(ISNUMBER(G403),"Done",IF(INT(B403)&gt;TODAY(),"Planned",IF(COUNTIFS(Harvest!$C$6:$C$1505,C403,Harvest!$D$6:$D$1505,D403&amp;"",Harvest!$L$6:$L$1505,"&gt;="&amp;INT(B403))&gt;0,"Picking","Growing"))))</f>
        <v/>
      </c>
      <c r="K403" s="14">
        <f>IF(OR(NOT(AND(C403&lt;&gt;"",ISNUMBER(B403))),J403="Planned"),"",IF(ISNUMBER(G403),INT(G403),TODAY())-INT(B403))</f>
        <v/>
      </c>
      <c r="L403" s="11">
        <f>IF(AND(B403="",C403="",D403=""),"",IF(NOT(ISNUMBER(B403)),"Needs a date",IF(C403="","Needs a crop",IF(COUNTIF(Crops!$B$6:$B$65,C403)=0,"Not on Crops",IF(AND(D403&lt;&gt;"",COUNTIF(Beds!$B$6:$B$35,D403)=0),"Not on Beds",IF(AND(ISNUMBER(G403),G403&lt;B403),"Cleared before it was planted",""))))))</f>
        <v/>
      </c>
      <c r="M403" s="11">
        <f>IF(OR(L403&lt;&gt;"",D403="",O403=""),"",IF(COUNTIFS(Plantings!$D$6:$D$505,D403,Plantings!$O$6:$O$505,O403,Plantings!$N$6:$N$505,N403-1)&gt;0,"Same family here last year",""))</f>
        <v/>
      </c>
      <c r="N403" s="1">
        <f>IF(ISNUMBER(B403),YEAR(B403),"")</f>
        <v/>
      </c>
      <c r="O403">
        <f>IF(C403="","",IFERROR(INDEX(Crops!$C$6:$C$65,MATCH(C403,Crops!$B$6:$B$65,0))&amp;"",""))</f>
        <v/>
      </c>
      <c r="P403">
        <f>IF(ISNUMBER(B403),INT(B403),0)</f>
        <v/>
      </c>
      <c r="Q403">
        <f>IF(AND(L403="",OR(J403="Growing",J403="Picking")),1,0)</f>
        <v/>
      </c>
      <c r="R403">
        <f>IF(AND(Q403=1,D403&lt;&gt;""),P403*1000+ROW(),0)</f>
        <v/>
      </c>
      <c r="S403">
        <f>IF(AND(AND(C403&lt;&gt;"",ISNUMBER(B403)),L403=""),1,0)</f>
        <v/>
      </c>
    </row>
    <row r="404">
      <c r="A404" s="1" t="n"/>
      <c r="B404" s="17" t="n"/>
      <c r="C404" s="18" t="n"/>
      <c r="D404" s="19" t="n"/>
      <c r="E404" s="19" t="n"/>
      <c r="F404" s="20" t="n"/>
      <c r="G404" s="17" t="n"/>
      <c r="H404" s="21" t="n"/>
      <c r="I404" s="22">
        <f>IF(NOT(AND(C404&lt;&gt;"",ISNUMBER(B404))),"",IF(N(IFERROR(INDEX(Crops!$F$6:$F$65,MATCH(C404,Crops!$B$6:$B$65,0)),0))&gt;0,INT(B404)+N(IFERROR(INDEX(Crops!$F$6:$F$65,MATCH(C404,Crops!$B$6:$B$65,0)),0)),""))</f>
        <v/>
      </c>
      <c r="J404" s="16">
        <f>IF(NOT(AND(C404&lt;&gt;"",ISNUMBER(B404))),"",IF(ISNUMBER(G404),"Done",IF(INT(B404)&gt;TODAY(),"Planned",IF(COUNTIFS(Harvest!$C$6:$C$1505,C404,Harvest!$D$6:$D$1505,D404&amp;"",Harvest!$L$6:$L$1505,"&gt;="&amp;INT(B404))&gt;0,"Picking","Growing"))))</f>
        <v/>
      </c>
      <c r="K404" s="14">
        <f>IF(OR(NOT(AND(C404&lt;&gt;"",ISNUMBER(B404))),J404="Planned"),"",IF(ISNUMBER(G404),INT(G404),TODAY())-INT(B404))</f>
        <v/>
      </c>
      <c r="L404" s="11">
        <f>IF(AND(B404="",C404="",D404=""),"",IF(NOT(ISNUMBER(B404)),"Needs a date",IF(C404="","Needs a crop",IF(COUNTIF(Crops!$B$6:$B$65,C404)=0,"Not on Crops",IF(AND(D404&lt;&gt;"",COUNTIF(Beds!$B$6:$B$35,D404)=0),"Not on Beds",IF(AND(ISNUMBER(G404),G404&lt;B404),"Cleared before it was planted",""))))))</f>
        <v/>
      </c>
      <c r="M404" s="11">
        <f>IF(OR(L404&lt;&gt;"",D404="",O404=""),"",IF(COUNTIFS(Plantings!$D$6:$D$505,D404,Plantings!$O$6:$O$505,O404,Plantings!$N$6:$N$505,N404-1)&gt;0,"Same family here last year",""))</f>
        <v/>
      </c>
      <c r="N404" s="1">
        <f>IF(ISNUMBER(B404),YEAR(B404),"")</f>
        <v/>
      </c>
      <c r="O404">
        <f>IF(C404="","",IFERROR(INDEX(Crops!$C$6:$C$65,MATCH(C404,Crops!$B$6:$B$65,0))&amp;"",""))</f>
        <v/>
      </c>
      <c r="P404">
        <f>IF(ISNUMBER(B404),INT(B404),0)</f>
        <v/>
      </c>
      <c r="Q404">
        <f>IF(AND(L404="",OR(J404="Growing",J404="Picking")),1,0)</f>
        <v/>
      </c>
      <c r="R404">
        <f>IF(AND(Q404=1,D404&lt;&gt;""),P404*1000+ROW(),0)</f>
        <v/>
      </c>
      <c r="S404">
        <f>IF(AND(AND(C404&lt;&gt;"",ISNUMBER(B404)),L404=""),1,0)</f>
        <v/>
      </c>
    </row>
    <row r="405">
      <c r="A405" s="1" t="n"/>
      <c r="B405" s="17" t="n"/>
      <c r="C405" s="18" t="n"/>
      <c r="D405" s="19" t="n"/>
      <c r="E405" s="19" t="n"/>
      <c r="F405" s="20" t="n"/>
      <c r="G405" s="17" t="n"/>
      <c r="H405" s="21" t="n"/>
      <c r="I405" s="22">
        <f>IF(NOT(AND(C405&lt;&gt;"",ISNUMBER(B405))),"",IF(N(IFERROR(INDEX(Crops!$F$6:$F$65,MATCH(C405,Crops!$B$6:$B$65,0)),0))&gt;0,INT(B405)+N(IFERROR(INDEX(Crops!$F$6:$F$65,MATCH(C405,Crops!$B$6:$B$65,0)),0)),""))</f>
        <v/>
      </c>
      <c r="J405" s="16">
        <f>IF(NOT(AND(C405&lt;&gt;"",ISNUMBER(B405))),"",IF(ISNUMBER(G405),"Done",IF(INT(B405)&gt;TODAY(),"Planned",IF(COUNTIFS(Harvest!$C$6:$C$1505,C405,Harvest!$D$6:$D$1505,D405&amp;"",Harvest!$L$6:$L$1505,"&gt;="&amp;INT(B405))&gt;0,"Picking","Growing"))))</f>
        <v/>
      </c>
      <c r="K405" s="14">
        <f>IF(OR(NOT(AND(C405&lt;&gt;"",ISNUMBER(B405))),J405="Planned"),"",IF(ISNUMBER(G405),INT(G405),TODAY())-INT(B405))</f>
        <v/>
      </c>
      <c r="L405" s="11">
        <f>IF(AND(B405="",C405="",D405=""),"",IF(NOT(ISNUMBER(B405)),"Needs a date",IF(C405="","Needs a crop",IF(COUNTIF(Crops!$B$6:$B$65,C405)=0,"Not on Crops",IF(AND(D405&lt;&gt;"",COUNTIF(Beds!$B$6:$B$35,D405)=0),"Not on Beds",IF(AND(ISNUMBER(G405),G405&lt;B405),"Cleared before it was planted",""))))))</f>
        <v/>
      </c>
      <c r="M405" s="11">
        <f>IF(OR(L405&lt;&gt;"",D405="",O405=""),"",IF(COUNTIFS(Plantings!$D$6:$D$505,D405,Plantings!$O$6:$O$505,O405,Plantings!$N$6:$N$505,N405-1)&gt;0,"Same family here last year",""))</f>
        <v/>
      </c>
      <c r="N405" s="1">
        <f>IF(ISNUMBER(B405),YEAR(B405),"")</f>
        <v/>
      </c>
      <c r="O405">
        <f>IF(C405="","",IFERROR(INDEX(Crops!$C$6:$C$65,MATCH(C405,Crops!$B$6:$B$65,0))&amp;"",""))</f>
        <v/>
      </c>
      <c r="P405">
        <f>IF(ISNUMBER(B405),INT(B405),0)</f>
        <v/>
      </c>
      <c r="Q405">
        <f>IF(AND(L405="",OR(J405="Growing",J405="Picking")),1,0)</f>
        <v/>
      </c>
      <c r="R405">
        <f>IF(AND(Q405=1,D405&lt;&gt;""),P405*1000+ROW(),0)</f>
        <v/>
      </c>
      <c r="S405">
        <f>IF(AND(AND(C405&lt;&gt;"",ISNUMBER(B405)),L405=""),1,0)</f>
        <v/>
      </c>
    </row>
    <row r="406">
      <c r="A406" s="1" t="n"/>
      <c r="B406" s="17" t="n"/>
      <c r="C406" s="18" t="n"/>
      <c r="D406" s="19" t="n"/>
      <c r="E406" s="19" t="n"/>
      <c r="F406" s="20" t="n"/>
      <c r="G406" s="17" t="n"/>
      <c r="H406" s="21" t="n"/>
      <c r="I406" s="22">
        <f>IF(NOT(AND(C406&lt;&gt;"",ISNUMBER(B406))),"",IF(N(IFERROR(INDEX(Crops!$F$6:$F$65,MATCH(C406,Crops!$B$6:$B$65,0)),0))&gt;0,INT(B406)+N(IFERROR(INDEX(Crops!$F$6:$F$65,MATCH(C406,Crops!$B$6:$B$65,0)),0)),""))</f>
        <v/>
      </c>
      <c r="J406" s="16">
        <f>IF(NOT(AND(C406&lt;&gt;"",ISNUMBER(B406))),"",IF(ISNUMBER(G406),"Done",IF(INT(B406)&gt;TODAY(),"Planned",IF(COUNTIFS(Harvest!$C$6:$C$1505,C406,Harvest!$D$6:$D$1505,D406&amp;"",Harvest!$L$6:$L$1505,"&gt;="&amp;INT(B406))&gt;0,"Picking","Growing"))))</f>
        <v/>
      </c>
      <c r="K406" s="14">
        <f>IF(OR(NOT(AND(C406&lt;&gt;"",ISNUMBER(B406))),J406="Planned"),"",IF(ISNUMBER(G406),INT(G406),TODAY())-INT(B406))</f>
        <v/>
      </c>
      <c r="L406" s="11">
        <f>IF(AND(B406="",C406="",D406=""),"",IF(NOT(ISNUMBER(B406)),"Needs a date",IF(C406="","Needs a crop",IF(COUNTIF(Crops!$B$6:$B$65,C406)=0,"Not on Crops",IF(AND(D406&lt;&gt;"",COUNTIF(Beds!$B$6:$B$35,D406)=0),"Not on Beds",IF(AND(ISNUMBER(G406),G406&lt;B406),"Cleared before it was planted",""))))))</f>
        <v/>
      </c>
      <c r="M406" s="11">
        <f>IF(OR(L406&lt;&gt;"",D406="",O406=""),"",IF(COUNTIFS(Plantings!$D$6:$D$505,D406,Plantings!$O$6:$O$505,O406,Plantings!$N$6:$N$505,N406-1)&gt;0,"Same family here last year",""))</f>
        <v/>
      </c>
      <c r="N406" s="1">
        <f>IF(ISNUMBER(B406),YEAR(B406),"")</f>
        <v/>
      </c>
      <c r="O406">
        <f>IF(C406="","",IFERROR(INDEX(Crops!$C$6:$C$65,MATCH(C406,Crops!$B$6:$B$65,0))&amp;"",""))</f>
        <v/>
      </c>
      <c r="P406">
        <f>IF(ISNUMBER(B406),INT(B406),0)</f>
        <v/>
      </c>
      <c r="Q406">
        <f>IF(AND(L406="",OR(J406="Growing",J406="Picking")),1,0)</f>
        <v/>
      </c>
      <c r="R406">
        <f>IF(AND(Q406=1,D406&lt;&gt;""),P406*1000+ROW(),0)</f>
        <v/>
      </c>
      <c r="S406">
        <f>IF(AND(AND(C406&lt;&gt;"",ISNUMBER(B406)),L406=""),1,0)</f>
        <v/>
      </c>
    </row>
    <row r="407">
      <c r="A407" s="1" t="n"/>
      <c r="B407" s="17" t="n"/>
      <c r="C407" s="18" t="n"/>
      <c r="D407" s="19" t="n"/>
      <c r="E407" s="19" t="n"/>
      <c r="F407" s="20" t="n"/>
      <c r="G407" s="17" t="n"/>
      <c r="H407" s="21" t="n"/>
      <c r="I407" s="22">
        <f>IF(NOT(AND(C407&lt;&gt;"",ISNUMBER(B407))),"",IF(N(IFERROR(INDEX(Crops!$F$6:$F$65,MATCH(C407,Crops!$B$6:$B$65,0)),0))&gt;0,INT(B407)+N(IFERROR(INDEX(Crops!$F$6:$F$65,MATCH(C407,Crops!$B$6:$B$65,0)),0)),""))</f>
        <v/>
      </c>
      <c r="J407" s="16">
        <f>IF(NOT(AND(C407&lt;&gt;"",ISNUMBER(B407))),"",IF(ISNUMBER(G407),"Done",IF(INT(B407)&gt;TODAY(),"Planned",IF(COUNTIFS(Harvest!$C$6:$C$1505,C407,Harvest!$D$6:$D$1505,D407&amp;"",Harvest!$L$6:$L$1505,"&gt;="&amp;INT(B407))&gt;0,"Picking","Growing"))))</f>
        <v/>
      </c>
      <c r="K407" s="14">
        <f>IF(OR(NOT(AND(C407&lt;&gt;"",ISNUMBER(B407))),J407="Planned"),"",IF(ISNUMBER(G407),INT(G407),TODAY())-INT(B407))</f>
        <v/>
      </c>
      <c r="L407" s="11">
        <f>IF(AND(B407="",C407="",D407=""),"",IF(NOT(ISNUMBER(B407)),"Needs a date",IF(C407="","Needs a crop",IF(COUNTIF(Crops!$B$6:$B$65,C407)=0,"Not on Crops",IF(AND(D407&lt;&gt;"",COUNTIF(Beds!$B$6:$B$35,D407)=0),"Not on Beds",IF(AND(ISNUMBER(G407),G407&lt;B407),"Cleared before it was planted",""))))))</f>
        <v/>
      </c>
      <c r="M407" s="11">
        <f>IF(OR(L407&lt;&gt;"",D407="",O407=""),"",IF(COUNTIFS(Plantings!$D$6:$D$505,D407,Plantings!$O$6:$O$505,O407,Plantings!$N$6:$N$505,N407-1)&gt;0,"Same family here last year",""))</f>
        <v/>
      </c>
      <c r="N407" s="1">
        <f>IF(ISNUMBER(B407),YEAR(B407),"")</f>
        <v/>
      </c>
      <c r="O407">
        <f>IF(C407="","",IFERROR(INDEX(Crops!$C$6:$C$65,MATCH(C407,Crops!$B$6:$B$65,0))&amp;"",""))</f>
        <v/>
      </c>
      <c r="P407">
        <f>IF(ISNUMBER(B407),INT(B407),0)</f>
        <v/>
      </c>
      <c r="Q407">
        <f>IF(AND(L407="",OR(J407="Growing",J407="Picking")),1,0)</f>
        <v/>
      </c>
      <c r="R407">
        <f>IF(AND(Q407=1,D407&lt;&gt;""),P407*1000+ROW(),0)</f>
        <v/>
      </c>
      <c r="S407">
        <f>IF(AND(AND(C407&lt;&gt;"",ISNUMBER(B407)),L407=""),1,0)</f>
        <v/>
      </c>
    </row>
    <row r="408">
      <c r="A408" s="1" t="n"/>
      <c r="B408" s="17" t="n"/>
      <c r="C408" s="18" t="n"/>
      <c r="D408" s="19" t="n"/>
      <c r="E408" s="19" t="n"/>
      <c r="F408" s="20" t="n"/>
      <c r="G408" s="17" t="n"/>
      <c r="H408" s="21" t="n"/>
      <c r="I408" s="22">
        <f>IF(NOT(AND(C408&lt;&gt;"",ISNUMBER(B408))),"",IF(N(IFERROR(INDEX(Crops!$F$6:$F$65,MATCH(C408,Crops!$B$6:$B$65,0)),0))&gt;0,INT(B408)+N(IFERROR(INDEX(Crops!$F$6:$F$65,MATCH(C408,Crops!$B$6:$B$65,0)),0)),""))</f>
        <v/>
      </c>
      <c r="J408" s="16">
        <f>IF(NOT(AND(C408&lt;&gt;"",ISNUMBER(B408))),"",IF(ISNUMBER(G408),"Done",IF(INT(B408)&gt;TODAY(),"Planned",IF(COUNTIFS(Harvest!$C$6:$C$1505,C408,Harvest!$D$6:$D$1505,D408&amp;"",Harvest!$L$6:$L$1505,"&gt;="&amp;INT(B408))&gt;0,"Picking","Growing"))))</f>
        <v/>
      </c>
      <c r="K408" s="14">
        <f>IF(OR(NOT(AND(C408&lt;&gt;"",ISNUMBER(B408))),J408="Planned"),"",IF(ISNUMBER(G408),INT(G408),TODAY())-INT(B408))</f>
        <v/>
      </c>
      <c r="L408" s="11">
        <f>IF(AND(B408="",C408="",D408=""),"",IF(NOT(ISNUMBER(B408)),"Needs a date",IF(C408="","Needs a crop",IF(COUNTIF(Crops!$B$6:$B$65,C408)=0,"Not on Crops",IF(AND(D408&lt;&gt;"",COUNTIF(Beds!$B$6:$B$35,D408)=0),"Not on Beds",IF(AND(ISNUMBER(G408),G408&lt;B408),"Cleared before it was planted",""))))))</f>
        <v/>
      </c>
      <c r="M408" s="11">
        <f>IF(OR(L408&lt;&gt;"",D408="",O408=""),"",IF(COUNTIFS(Plantings!$D$6:$D$505,D408,Plantings!$O$6:$O$505,O408,Plantings!$N$6:$N$505,N408-1)&gt;0,"Same family here last year",""))</f>
        <v/>
      </c>
      <c r="N408" s="1">
        <f>IF(ISNUMBER(B408),YEAR(B408),"")</f>
        <v/>
      </c>
      <c r="O408">
        <f>IF(C408="","",IFERROR(INDEX(Crops!$C$6:$C$65,MATCH(C408,Crops!$B$6:$B$65,0))&amp;"",""))</f>
        <v/>
      </c>
      <c r="P408">
        <f>IF(ISNUMBER(B408),INT(B408),0)</f>
        <v/>
      </c>
      <c r="Q408">
        <f>IF(AND(L408="",OR(J408="Growing",J408="Picking")),1,0)</f>
        <v/>
      </c>
      <c r="R408">
        <f>IF(AND(Q408=1,D408&lt;&gt;""),P408*1000+ROW(),0)</f>
        <v/>
      </c>
      <c r="S408">
        <f>IF(AND(AND(C408&lt;&gt;"",ISNUMBER(B408)),L408=""),1,0)</f>
        <v/>
      </c>
    </row>
    <row r="409">
      <c r="A409" s="1" t="n"/>
      <c r="B409" s="17" t="n"/>
      <c r="C409" s="18" t="n"/>
      <c r="D409" s="19" t="n"/>
      <c r="E409" s="19" t="n"/>
      <c r="F409" s="20" t="n"/>
      <c r="G409" s="17" t="n"/>
      <c r="H409" s="21" t="n"/>
      <c r="I409" s="22">
        <f>IF(NOT(AND(C409&lt;&gt;"",ISNUMBER(B409))),"",IF(N(IFERROR(INDEX(Crops!$F$6:$F$65,MATCH(C409,Crops!$B$6:$B$65,0)),0))&gt;0,INT(B409)+N(IFERROR(INDEX(Crops!$F$6:$F$65,MATCH(C409,Crops!$B$6:$B$65,0)),0)),""))</f>
        <v/>
      </c>
      <c r="J409" s="16">
        <f>IF(NOT(AND(C409&lt;&gt;"",ISNUMBER(B409))),"",IF(ISNUMBER(G409),"Done",IF(INT(B409)&gt;TODAY(),"Planned",IF(COUNTIFS(Harvest!$C$6:$C$1505,C409,Harvest!$D$6:$D$1505,D409&amp;"",Harvest!$L$6:$L$1505,"&gt;="&amp;INT(B409))&gt;0,"Picking","Growing"))))</f>
        <v/>
      </c>
      <c r="K409" s="14">
        <f>IF(OR(NOT(AND(C409&lt;&gt;"",ISNUMBER(B409))),J409="Planned"),"",IF(ISNUMBER(G409),INT(G409),TODAY())-INT(B409))</f>
        <v/>
      </c>
      <c r="L409" s="11">
        <f>IF(AND(B409="",C409="",D409=""),"",IF(NOT(ISNUMBER(B409)),"Needs a date",IF(C409="","Needs a crop",IF(COUNTIF(Crops!$B$6:$B$65,C409)=0,"Not on Crops",IF(AND(D409&lt;&gt;"",COUNTIF(Beds!$B$6:$B$35,D409)=0),"Not on Beds",IF(AND(ISNUMBER(G409),G409&lt;B409),"Cleared before it was planted",""))))))</f>
        <v/>
      </c>
      <c r="M409" s="11">
        <f>IF(OR(L409&lt;&gt;"",D409="",O409=""),"",IF(COUNTIFS(Plantings!$D$6:$D$505,D409,Plantings!$O$6:$O$505,O409,Plantings!$N$6:$N$505,N409-1)&gt;0,"Same family here last year",""))</f>
        <v/>
      </c>
      <c r="N409" s="1">
        <f>IF(ISNUMBER(B409),YEAR(B409),"")</f>
        <v/>
      </c>
      <c r="O409">
        <f>IF(C409="","",IFERROR(INDEX(Crops!$C$6:$C$65,MATCH(C409,Crops!$B$6:$B$65,0))&amp;"",""))</f>
        <v/>
      </c>
      <c r="P409">
        <f>IF(ISNUMBER(B409),INT(B409),0)</f>
        <v/>
      </c>
      <c r="Q409">
        <f>IF(AND(L409="",OR(J409="Growing",J409="Picking")),1,0)</f>
        <v/>
      </c>
      <c r="R409">
        <f>IF(AND(Q409=1,D409&lt;&gt;""),P409*1000+ROW(),0)</f>
        <v/>
      </c>
      <c r="S409">
        <f>IF(AND(AND(C409&lt;&gt;"",ISNUMBER(B409)),L409=""),1,0)</f>
        <v/>
      </c>
    </row>
    <row r="410">
      <c r="A410" s="1" t="n"/>
      <c r="B410" s="17" t="n"/>
      <c r="C410" s="18" t="n"/>
      <c r="D410" s="19" t="n"/>
      <c r="E410" s="19" t="n"/>
      <c r="F410" s="20" t="n"/>
      <c r="G410" s="17" t="n"/>
      <c r="H410" s="21" t="n"/>
      <c r="I410" s="22">
        <f>IF(NOT(AND(C410&lt;&gt;"",ISNUMBER(B410))),"",IF(N(IFERROR(INDEX(Crops!$F$6:$F$65,MATCH(C410,Crops!$B$6:$B$65,0)),0))&gt;0,INT(B410)+N(IFERROR(INDEX(Crops!$F$6:$F$65,MATCH(C410,Crops!$B$6:$B$65,0)),0)),""))</f>
        <v/>
      </c>
      <c r="J410" s="16">
        <f>IF(NOT(AND(C410&lt;&gt;"",ISNUMBER(B410))),"",IF(ISNUMBER(G410),"Done",IF(INT(B410)&gt;TODAY(),"Planned",IF(COUNTIFS(Harvest!$C$6:$C$1505,C410,Harvest!$D$6:$D$1505,D410&amp;"",Harvest!$L$6:$L$1505,"&gt;="&amp;INT(B410))&gt;0,"Picking","Growing"))))</f>
        <v/>
      </c>
      <c r="K410" s="14">
        <f>IF(OR(NOT(AND(C410&lt;&gt;"",ISNUMBER(B410))),J410="Planned"),"",IF(ISNUMBER(G410),INT(G410),TODAY())-INT(B410))</f>
        <v/>
      </c>
      <c r="L410" s="11">
        <f>IF(AND(B410="",C410="",D410=""),"",IF(NOT(ISNUMBER(B410)),"Needs a date",IF(C410="","Needs a crop",IF(COUNTIF(Crops!$B$6:$B$65,C410)=0,"Not on Crops",IF(AND(D410&lt;&gt;"",COUNTIF(Beds!$B$6:$B$35,D410)=0),"Not on Beds",IF(AND(ISNUMBER(G410),G410&lt;B410),"Cleared before it was planted",""))))))</f>
        <v/>
      </c>
      <c r="M410" s="11">
        <f>IF(OR(L410&lt;&gt;"",D410="",O410=""),"",IF(COUNTIFS(Plantings!$D$6:$D$505,D410,Plantings!$O$6:$O$505,O410,Plantings!$N$6:$N$505,N410-1)&gt;0,"Same family here last year",""))</f>
        <v/>
      </c>
      <c r="N410" s="1">
        <f>IF(ISNUMBER(B410),YEAR(B410),"")</f>
        <v/>
      </c>
      <c r="O410">
        <f>IF(C410="","",IFERROR(INDEX(Crops!$C$6:$C$65,MATCH(C410,Crops!$B$6:$B$65,0))&amp;"",""))</f>
        <v/>
      </c>
      <c r="P410">
        <f>IF(ISNUMBER(B410),INT(B410),0)</f>
        <v/>
      </c>
      <c r="Q410">
        <f>IF(AND(L410="",OR(J410="Growing",J410="Picking")),1,0)</f>
        <v/>
      </c>
      <c r="R410">
        <f>IF(AND(Q410=1,D410&lt;&gt;""),P410*1000+ROW(),0)</f>
        <v/>
      </c>
      <c r="S410">
        <f>IF(AND(AND(C410&lt;&gt;"",ISNUMBER(B410)),L410=""),1,0)</f>
        <v/>
      </c>
    </row>
    <row r="411">
      <c r="A411" s="1" t="n"/>
      <c r="B411" s="17" t="n"/>
      <c r="C411" s="18" t="n"/>
      <c r="D411" s="19" t="n"/>
      <c r="E411" s="19" t="n"/>
      <c r="F411" s="20" t="n"/>
      <c r="G411" s="17" t="n"/>
      <c r="H411" s="21" t="n"/>
      <c r="I411" s="22">
        <f>IF(NOT(AND(C411&lt;&gt;"",ISNUMBER(B411))),"",IF(N(IFERROR(INDEX(Crops!$F$6:$F$65,MATCH(C411,Crops!$B$6:$B$65,0)),0))&gt;0,INT(B411)+N(IFERROR(INDEX(Crops!$F$6:$F$65,MATCH(C411,Crops!$B$6:$B$65,0)),0)),""))</f>
        <v/>
      </c>
      <c r="J411" s="16">
        <f>IF(NOT(AND(C411&lt;&gt;"",ISNUMBER(B411))),"",IF(ISNUMBER(G411),"Done",IF(INT(B411)&gt;TODAY(),"Planned",IF(COUNTIFS(Harvest!$C$6:$C$1505,C411,Harvest!$D$6:$D$1505,D411&amp;"",Harvest!$L$6:$L$1505,"&gt;="&amp;INT(B411))&gt;0,"Picking","Growing"))))</f>
        <v/>
      </c>
      <c r="K411" s="14">
        <f>IF(OR(NOT(AND(C411&lt;&gt;"",ISNUMBER(B411))),J411="Planned"),"",IF(ISNUMBER(G411),INT(G411),TODAY())-INT(B411))</f>
        <v/>
      </c>
      <c r="L411" s="11">
        <f>IF(AND(B411="",C411="",D411=""),"",IF(NOT(ISNUMBER(B411)),"Needs a date",IF(C411="","Needs a crop",IF(COUNTIF(Crops!$B$6:$B$65,C411)=0,"Not on Crops",IF(AND(D411&lt;&gt;"",COUNTIF(Beds!$B$6:$B$35,D411)=0),"Not on Beds",IF(AND(ISNUMBER(G411),G411&lt;B411),"Cleared before it was planted",""))))))</f>
        <v/>
      </c>
      <c r="M411" s="11">
        <f>IF(OR(L411&lt;&gt;"",D411="",O411=""),"",IF(COUNTIFS(Plantings!$D$6:$D$505,D411,Plantings!$O$6:$O$505,O411,Plantings!$N$6:$N$505,N411-1)&gt;0,"Same family here last year",""))</f>
        <v/>
      </c>
      <c r="N411" s="1">
        <f>IF(ISNUMBER(B411),YEAR(B411),"")</f>
        <v/>
      </c>
      <c r="O411">
        <f>IF(C411="","",IFERROR(INDEX(Crops!$C$6:$C$65,MATCH(C411,Crops!$B$6:$B$65,0))&amp;"",""))</f>
        <v/>
      </c>
      <c r="P411">
        <f>IF(ISNUMBER(B411),INT(B411),0)</f>
        <v/>
      </c>
      <c r="Q411">
        <f>IF(AND(L411="",OR(J411="Growing",J411="Picking")),1,0)</f>
        <v/>
      </c>
      <c r="R411">
        <f>IF(AND(Q411=1,D411&lt;&gt;""),P411*1000+ROW(),0)</f>
        <v/>
      </c>
      <c r="S411">
        <f>IF(AND(AND(C411&lt;&gt;"",ISNUMBER(B411)),L411=""),1,0)</f>
        <v/>
      </c>
    </row>
    <row r="412">
      <c r="A412" s="1" t="n"/>
      <c r="B412" s="17" t="n"/>
      <c r="C412" s="18" t="n"/>
      <c r="D412" s="19" t="n"/>
      <c r="E412" s="19" t="n"/>
      <c r="F412" s="20" t="n"/>
      <c r="G412" s="17" t="n"/>
      <c r="H412" s="21" t="n"/>
      <c r="I412" s="22">
        <f>IF(NOT(AND(C412&lt;&gt;"",ISNUMBER(B412))),"",IF(N(IFERROR(INDEX(Crops!$F$6:$F$65,MATCH(C412,Crops!$B$6:$B$65,0)),0))&gt;0,INT(B412)+N(IFERROR(INDEX(Crops!$F$6:$F$65,MATCH(C412,Crops!$B$6:$B$65,0)),0)),""))</f>
        <v/>
      </c>
      <c r="J412" s="16">
        <f>IF(NOT(AND(C412&lt;&gt;"",ISNUMBER(B412))),"",IF(ISNUMBER(G412),"Done",IF(INT(B412)&gt;TODAY(),"Planned",IF(COUNTIFS(Harvest!$C$6:$C$1505,C412,Harvest!$D$6:$D$1505,D412&amp;"",Harvest!$L$6:$L$1505,"&gt;="&amp;INT(B412))&gt;0,"Picking","Growing"))))</f>
        <v/>
      </c>
      <c r="K412" s="14">
        <f>IF(OR(NOT(AND(C412&lt;&gt;"",ISNUMBER(B412))),J412="Planned"),"",IF(ISNUMBER(G412),INT(G412),TODAY())-INT(B412))</f>
        <v/>
      </c>
      <c r="L412" s="11">
        <f>IF(AND(B412="",C412="",D412=""),"",IF(NOT(ISNUMBER(B412)),"Needs a date",IF(C412="","Needs a crop",IF(COUNTIF(Crops!$B$6:$B$65,C412)=0,"Not on Crops",IF(AND(D412&lt;&gt;"",COUNTIF(Beds!$B$6:$B$35,D412)=0),"Not on Beds",IF(AND(ISNUMBER(G412),G412&lt;B412),"Cleared before it was planted",""))))))</f>
        <v/>
      </c>
      <c r="M412" s="11">
        <f>IF(OR(L412&lt;&gt;"",D412="",O412=""),"",IF(COUNTIFS(Plantings!$D$6:$D$505,D412,Plantings!$O$6:$O$505,O412,Plantings!$N$6:$N$505,N412-1)&gt;0,"Same family here last year",""))</f>
        <v/>
      </c>
      <c r="N412" s="1">
        <f>IF(ISNUMBER(B412),YEAR(B412),"")</f>
        <v/>
      </c>
      <c r="O412">
        <f>IF(C412="","",IFERROR(INDEX(Crops!$C$6:$C$65,MATCH(C412,Crops!$B$6:$B$65,0))&amp;"",""))</f>
        <v/>
      </c>
      <c r="P412">
        <f>IF(ISNUMBER(B412),INT(B412),0)</f>
        <v/>
      </c>
      <c r="Q412">
        <f>IF(AND(L412="",OR(J412="Growing",J412="Picking")),1,0)</f>
        <v/>
      </c>
      <c r="R412">
        <f>IF(AND(Q412=1,D412&lt;&gt;""),P412*1000+ROW(),0)</f>
        <v/>
      </c>
      <c r="S412">
        <f>IF(AND(AND(C412&lt;&gt;"",ISNUMBER(B412)),L412=""),1,0)</f>
        <v/>
      </c>
    </row>
    <row r="413">
      <c r="A413" s="1" t="n"/>
      <c r="B413" s="17" t="n"/>
      <c r="C413" s="18" t="n"/>
      <c r="D413" s="19" t="n"/>
      <c r="E413" s="19" t="n"/>
      <c r="F413" s="20" t="n"/>
      <c r="G413" s="17" t="n"/>
      <c r="H413" s="21" t="n"/>
      <c r="I413" s="22">
        <f>IF(NOT(AND(C413&lt;&gt;"",ISNUMBER(B413))),"",IF(N(IFERROR(INDEX(Crops!$F$6:$F$65,MATCH(C413,Crops!$B$6:$B$65,0)),0))&gt;0,INT(B413)+N(IFERROR(INDEX(Crops!$F$6:$F$65,MATCH(C413,Crops!$B$6:$B$65,0)),0)),""))</f>
        <v/>
      </c>
      <c r="J413" s="16">
        <f>IF(NOT(AND(C413&lt;&gt;"",ISNUMBER(B413))),"",IF(ISNUMBER(G413),"Done",IF(INT(B413)&gt;TODAY(),"Planned",IF(COUNTIFS(Harvest!$C$6:$C$1505,C413,Harvest!$D$6:$D$1505,D413&amp;"",Harvest!$L$6:$L$1505,"&gt;="&amp;INT(B413))&gt;0,"Picking","Growing"))))</f>
        <v/>
      </c>
      <c r="K413" s="14">
        <f>IF(OR(NOT(AND(C413&lt;&gt;"",ISNUMBER(B413))),J413="Planned"),"",IF(ISNUMBER(G413),INT(G413),TODAY())-INT(B413))</f>
        <v/>
      </c>
      <c r="L413" s="11">
        <f>IF(AND(B413="",C413="",D413=""),"",IF(NOT(ISNUMBER(B413)),"Needs a date",IF(C413="","Needs a crop",IF(COUNTIF(Crops!$B$6:$B$65,C413)=0,"Not on Crops",IF(AND(D413&lt;&gt;"",COUNTIF(Beds!$B$6:$B$35,D413)=0),"Not on Beds",IF(AND(ISNUMBER(G413),G413&lt;B413),"Cleared before it was planted",""))))))</f>
        <v/>
      </c>
      <c r="M413" s="11">
        <f>IF(OR(L413&lt;&gt;"",D413="",O413=""),"",IF(COUNTIFS(Plantings!$D$6:$D$505,D413,Plantings!$O$6:$O$505,O413,Plantings!$N$6:$N$505,N413-1)&gt;0,"Same family here last year",""))</f>
        <v/>
      </c>
      <c r="N413" s="1">
        <f>IF(ISNUMBER(B413),YEAR(B413),"")</f>
        <v/>
      </c>
      <c r="O413">
        <f>IF(C413="","",IFERROR(INDEX(Crops!$C$6:$C$65,MATCH(C413,Crops!$B$6:$B$65,0))&amp;"",""))</f>
        <v/>
      </c>
      <c r="P413">
        <f>IF(ISNUMBER(B413),INT(B413),0)</f>
        <v/>
      </c>
      <c r="Q413">
        <f>IF(AND(L413="",OR(J413="Growing",J413="Picking")),1,0)</f>
        <v/>
      </c>
      <c r="R413">
        <f>IF(AND(Q413=1,D413&lt;&gt;""),P413*1000+ROW(),0)</f>
        <v/>
      </c>
      <c r="S413">
        <f>IF(AND(AND(C413&lt;&gt;"",ISNUMBER(B413)),L413=""),1,0)</f>
        <v/>
      </c>
    </row>
    <row r="414">
      <c r="A414" s="1" t="n"/>
      <c r="B414" s="17" t="n"/>
      <c r="C414" s="18" t="n"/>
      <c r="D414" s="19" t="n"/>
      <c r="E414" s="19" t="n"/>
      <c r="F414" s="20" t="n"/>
      <c r="G414" s="17" t="n"/>
      <c r="H414" s="21" t="n"/>
      <c r="I414" s="22">
        <f>IF(NOT(AND(C414&lt;&gt;"",ISNUMBER(B414))),"",IF(N(IFERROR(INDEX(Crops!$F$6:$F$65,MATCH(C414,Crops!$B$6:$B$65,0)),0))&gt;0,INT(B414)+N(IFERROR(INDEX(Crops!$F$6:$F$65,MATCH(C414,Crops!$B$6:$B$65,0)),0)),""))</f>
        <v/>
      </c>
      <c r="J414" s="16">
        <f>IF(NOT(AND(C414&lt;&gt;"",ISNUMBER(B414))),"",IF(ISNUMBER(G414),"Done",IF(INT(B414)&gt;TODAY(),"Planned",IF(COUNTIFS(Harvest!$C$6:$C$1505,C414,Harvest!$D$6:$D$1505,D414&amp;"",Harvest!$L$6:$L$1505,"&gt;="&amp;INT(B414))&gt;0,"Picking","Growing"))))</f>
        <v/>
      </c>
      <c r="K414" s="14">
        <f>IF(OR(NOT(AND(C414&lt;&gt;"",ISNUMBER(B414))),J414="Planned"),"",IF(ISNUMBER(G414),INT(G414),TODAY())-INT(B414))</f>
        <v/>
      </c>
      <c r="L414" s="11">
        <f>IF(AND(B414="",C414="",D414=""),"",IF(NOT(ISNUMBER(B414)),"Needs a date",IF(C414="","Needs a crop",IF(COUNTIF(Crops!$B$6:$B$65,C414)=0,"Not on Crops",IF(AND(D414&lt;&gt;"",COUNTIF(Beds!$B$6:$B$35,D414)=0),"Not on Beds",IF(AND(ISNUMBER(G414),G414&lt;B414),"Cleared before it was planted",""))))))</f>
        <v/>
      </c>
      <c r="M414" s="11">
        <f>IF(OR(L414&lt;&gt;"",D414="",O414=""),"",IF(COUNTIFS(Plantings!$D$6:$D$505,D414,Plantings!$O$6:$O$505,O414,Plantings!$N$6:$N$505,N414-1)&gt;0,"Same family here last year",""))</f>
        <v/>
      </c>
      <c r="N414" s="1">
        <f>IF(ISNUMBER(B414),YEAR(B414),"")</f>
        <v/>
      </c>
      <c r="O414">
        <f>IF(C414="","",IFERROR(INDEX(Crops!$C$6:$C$65,MATCH(C414,Crops!$B$6:$B$65,0))&amp;"",""))</f>
        <v/>
      </c>
      <c r="P414">
        <f>IF(ISNUMBER(B414),INT(B414),0)</f>
        <v/>
      </c>
      <c r="Q414">
        <f>IF(AND(L414="",OR(J414="Growing",J414="Picking")),1,0)</f>
        <v/>
      </c>
      <c r="R414">
        <f>IF(AND(Q414=1,D414&lt;&gt;""),P414*1000+ROW(),0)</f>
        <v/>
      </c>
      <c r="S414">
        <f>IF(AND(AND(C414&lt;&gt;"",ISNUMBER(B414)),L414=""),1,0)</f>
        <v/>
      </c>
    </row>
    <row r="415">
      <c r="A415" s="1" t="n"/>
      <c r="B415" s="17" t="n"/>
      <c r="C415" s="18" t="n"/>
      <c r="D415" s="19" t="n"/>
      <c r="E415" s="19" t="n"/>
      <c r="F415" s="20" t="n"/>
      <c r="G415" s="17" t="n"/>
      <c r="H415" s="21" t="n"/>
      <c r="I415" s="22">
        <f>IF(NOT(AND(C415&lt;&gt;"",ISNUMBER(B415))),"",IF(N(IFERROR(INDEX(Crops!$F$6:$F$65,MATCH(C415,Crops!$B$6:$B$65,0)),0))&gt;0,INT(B415)+N(IFERROR(INDEX(Crops!$F$6:$F$65,MATCH(C415,Crops!$B$6:$B$65,0)),0)),""))</f>
        <v/>
      </c>
      <c r="J415" s="16">
        <f>IF(NOT(AND(C415&lt;&gt;"",ISNUMBER(B415))),"",IF(ISNUMBER(G415),"Done",IF(INT(B415)&gt;TODAY(),"Planned",IF(COUNTIFS(Harvest!$C$6:$C$1505,C415,Harvest!$D$6:$D$1505,D415&amp;"",Harvest!$L$6:$L$1505,"&gt;="&amp;INT(B415))&gt;0,"Picking","Growing"))))</f>
        <v/>
      </c>
      <c r="K415" s="14">
        <f>IF(OR(NOT(AND(C415&lt;&gt;"",ISNUMBER(B415))),J415="Planned"),"",IF(ISNUMBER(G415),INT(G415),TODAY())-INT(B415))</f>
        <v/>
      </c>
      <c r="L415" s="11">
        <f>IF(AND(B415="",C415="",D415=""),"",IF(NOT(ISNUMBER(B415)),"Needs a date",IF(C415="","Needs a crop",IF(COUNTIF(Crops!$B$6:$B$65,C415)=0,"Not on Crops",IF(AND(D415&lt;&gt;"",COUNTIF(Beds!$B$6:$B$35,D415)=0),"Not on Beds",IF(AND(ISNUMBER(G415),G415&lt;B415),"Cleared before it was planted",""))))))</f>
        <v/>
      </c>
      <c r="M415" s="11">
        <f>IF(OR(L415&lt;&gt;"",D415="",O415=""),"",IF(COUNTIFS(Plantings!$D$6:$D$505,D415,Plantings!$O$6:$O$505,O415,Plantings!$N$6:$N$505,N415-1)&gt;0,"Same family here last year",""))</f>
        <v/>
      </c>
      <c r="N415" s="1">
        <f>IF(ISNUMBER(B415),YEAR(B415),"")</f>
        <v/>
      </c>
      <c r="O415">
        <f>IF(C415="","",IFERROR(INDEX(Crops!$C$6:$C$65,MATCH(C415,Crops!$B$6:$B$65,0))&amp;"",""))</f>
        <v/>
      </c>
      <c r="P415">
        <f>IF(ISNUMBER(B415),INT(B415),0)</f>
        <v/>
      </c>
      <c r="Q415">
        <f>IF(AND(L415="",OR(J415="Growing",J415="Picking")),1,0)</f>
        <v/>
      </c>
      <c r="R415">
        <f>IF(AND(Q415=1,D415&lt;&gt;""),P415*1000+ROW(),0)</f>
        <v/>
      </c>
      <c r="S415">
        <f>IF(AND(AND(C415&lt;&gt;"",ISNUMBER(B415)),L415=""),1,0)</f>
        <v/>
      </c>
    </row>
    <row r="416">
      <c r="A416" s="1" t="n"/>
      <c r="B416" s="17" t="n"/>
      <c r="C416" s="18" t="n"/>
      <c r="D416" s="19" t="n"/>
      <c r="E416" s="19" t="n"/>
      <c r="F416" s="20" t="n"/>
      <c r="G416" s="17" t="n"/>
      <c r="H416" s="21" t="n"/>
      <c r="I416" s="22">
        <f>IF(NOT(AND(C416&lt;&gt;"",ISNUMBER(B416))),"",IF(N(IFERROR(INDEX(Crops!$F$6:$F$65,MATCH(C416,Crops!$B$6:$B$65,0)),0))&gt;0,INT(B416)+N(IFERROR(INDEX(Crops!$F$6:$F$65,MATCH(C416,Crops!$B$6:$B$65,0)),0)),""))</f>
        <v/>
      </c>
      <c r="J416" s="16">
        <f>IF(NOT(AND(C416&lt;&gt;"",ISNUMBER(B416))),"",IF(ISNUMBER(G416),"Done",IF(INT(B416)&gt;TODAY(),"Planned",IF(COUNTIFS(Harvest!$C$6:$C$1505,C416,Harvest!$D$6:$D$1505,D416&amp;"",Harvest!$L$6:$L$1505,"&gt;="&amp;INT(B416))&gt;0,"Picking","Growing"))))</f>
        <v/>
      </c>
      <c r="K416" s="14">
        <f>IF(OR(NOT(AND(C416&lt;&gt;"",ISNUMBER(B416))),J416="Planned"),"",IF(ISNUMBER(G416),INT(G416),TODAY())-INT(B416))</f>
        <v/>
      </c>
      <c r="L416" s="11">
        <f>IF(AND(B416="",C416="",D416=""),"",IF(NOT(ISNUMBER(B416)),"Needs a date",IF(C416="","Needs a crop",IF(COUNTIF(Crops!$B$6:$B$65,C416)=0,"Not on Crops",IF(AND(D416&lt;&gt;"",COUNTIF(Beds!$B$6:$B$35,D416)=0),"Not on Beds",IF(AND(ISNUMBER(G416),G416&lt;B416),"Cleared before it was planted",""))))))</f>
        <v/>
      </c>
      <c r="M416" s="11">
        <f>IF(OR(L416&lt;&gt;"",D416="",O416=""),"",IF(COUNTIFS(Plantings!$D$6:$D$505,D416,Plantings!$O$6:$O$505,O416,Plantings!$N$6:$N$505,N416-1)&gt;0,"Same family here last year",""))</f>
        <v/>
      </c>
      <c r="N416" s="1">
        <f>IF(ISNUMBER(B416),YEAR(B416),"")</f>
        <v/>
      </c>
      <c r="O416">
        <f>IF(C416="","",IFERROR(INDEX(Crops!$C$6:$C$65,MATCH(C416,Crops!$B$6:$B$65,0))&amp;"",""))</f>
        <v/>
      </c>
      <c r="P416">
        <f>IF(ISNUMBER(B416),INT(B416),0)</f>
        <v/>
      </c>
      <c r="Q416">
        <f>IF(AND(L416="",OR(J416="Growing",J416="Picking")),1,0)</f>
        <v/>
      </c>
      <c r="R416">
        <f>IF(AND(Q416=1,D416&lt;&gt;""),P416*1000+ROW(),0)</f>
        <v/>
      </c>
      <c r="S416">
        <f>IF(AND(AND(C416&lt;&gt;"",ISNUMBER(B416)),L416=""),1,0)</f>
        <v/>
      </c>
    </row>
    <row r="417">
      <c r="A417" s="1" t="n"/>
      <c r="B417" s="17" t="n"/>
      <c r="C417" s="18" t="n"/>
      <c r="D417" s="19" t="n"/>
      <c r="E417" s="19" t="n"/>
      <c r="F417" s="20" t="n"/>
      <c r="G417" s="17" t="n"/>
      <c r="H417" s="21" t="n"/>
      <c r="I417" s="22">
        <f>IF(NOT(AND(C417&lt;&gt;"",ISNUMBER(B417))),"",IF(N(IFERROR(INDEX(Crops!$F$6:$F$65,MATCH(C417,Crops!$B$6:$B$65,0)),0))&gt;0,INT(B417)+N(IFERROR(INDEX(Crops!$F$6:$F$65,MATCH(C417,Crops!$B$6:$B$65,0)),0)),""))</f>
        <v/>
      </c>
      <c r="J417" s="16">
        <f>IF(NOT(AND(C417&lt;&gt;"",ISNUMBER(B417))),"",IF(ISNUMBER(G417),"Done",IF(INT(B417)&gt;TODAY(),"Planned",IF(COUNTIFS(Harvest!$C$6:$C$1505,C417,Harvest!$D$6:$D$1505,D417&amp;"",Harvest!$L$6:$L$1505,"&gt;="&amp;INT(B417))&gt;0,"Picking","Growing"))))</f>
        <v/>
      </c>
      <c r="K417" s="14">
        <f>IF(OR(NOT(AND(C417&lt;&gt;"",ISNUMBER(B417))),J417="Planned"),"",IF(ISNUMBER(G417),INT(G417),TODAY())-INT(B417))</f>
        <v/>
      </c>
      <c r="L417" s="11">
        <f>IF(AND(B417="",C417="",D417=""),"",IF(NOT(ISNUMBER(B417)),"Needs a date",IF(C417="","Needs a crop",IF(COUNTIF(Crops!$B$6:$B$65,C417)=0,"Not on Crops",IF(AND(D417&lt;&gt;"",COUNTIF(Beds!$B$6:$B$35,D417)=0),"Not on Beds",IF(AND(ISNUMBER(G417),G417&lt;B417),"Cleared before it was planted",""))))))</f>
        <v/>
      </c>
      <c r="M417" s="11">
        <f>IF(OR(L417&lt;&gt;"",D417="",O417=""),"",IF(COUNTIFS(Plantings!$D$6:$D$505,D417,Plantings!$O$6:$O$505,O417,Plantings!$N$6:$N$505,N417-1)&gt;0,"Same family here last year",""))</f>
        <v/>
      </c>
      <c r="N417" s="1">
        <f>IF(ISNUMBER(B417),YEAR(B417),"")</f>
        <v/>
      </c>
      <c r="O417">
        <f>IF(C417="","",IFERROR(INDEX(Crops!$C$6:$C$65,MATCH(C417,Crops!$B$6:$B$65,0))&amp;"",""))</f>
        <v/>
      </c>
      <c r="P417">
        <f>IF(ISNUMBER(B417),INT(B417),0)</f>
        <v/>
      </c>
      <c r="Q417">
        <f>IF(AND(L417="",OR(J417="Growing",J417="Picking")),1,0)</f>
        <v/>
      </c>
      <c r="R417">
        <f>IF(AND(Q417=1,D417&lt;&gt;""),P417*1000+ROW(),0)</f>
        <v/>
      </c>
      <c r="S417">
        <f>IF(AND(AND(C417&lt;&gt;"",ISNUMBER(B417)),L417=""),1,0)</f>
        <v/>
      </c>
    </row>
    <row r="418">
      <c r="A418" s="1" t="n"/>
      <c r="B418" s="17" t="n"/>
      <c r="C418" s="18" t="n"/>
      <c r="D418" s="19" t="n"/>
      <c r="E418" s="19" t="n"/>
      <c r="F418" s="20" t="n"/>
      <c r="G418" s="17" t="n"/>
      <c r="H418" s="21" t="n"/>
      <c r="I418" s="22">
        <f>IF(NOT(AND(C418&lt;&gt;"",ISNUMBER(B418))),"",IF(N(IFERROR(INDEX(Crops!$F$6:$F$65,MATCH(C418,Crops!$B$6:$B$65,0)),0))&gt;0,INT(B418)+N(IFERROR(INDEX(Crops!$F$6:$F$65,MATCH(C418,Crops!$B$6:$B$65,0)),0)),""))</f>
        <v/>
      </c>
      <c r="J418" s="16">
        <f>IF(NOT(AND(C418&lt;&gt;"",ISNUMBER(B418))),"",IF(ISNUMBER(G418),"Done",IF(INT(B418)&gt;TODAY(),"Planned",IF(COUNTIFS(Harvest!$C$6:$C$1505,C418,Harvest!$D$6:$D$1505,D418&amp;"",Harvest!$L$6:$L$1505,"&gt;="&amp;INT(B418))&gt;0,"Picking","Growing"))))</f>
        <v/>
      </c>
      <c r="K418" s="14">
        <f>IF(OR(NOT(AND(C418&lt;&gt;"",ISNUMBER(B418))),J418="Planned"),"",IF(ISNUMBER(G418),INT(G418),TODAY())-INT(B418))</f>
        <v/>
      </c>
      <c r="L418" s="11">
        <f>IF(AND(B418="",C418="",D418=""),"",IF(NOT(ISNUMBER(B418)),"Needs a date",IF(C418="","Needs a crop",IF(COUNTIF(Crops!$B$6:$B$65,C418)=0,"Not on Crops",IF(AND(D418&lt;&gt;"",COUNTIF(Beds!$B$6:$B$35,D418)=0),"Not on Beds",IF(AND(ISNUMBER(G418),G418&lt;B418),"Cleared before it was planted",""))))))</f>
        <v/>
      </c>
      <c r="M418" s="11">
        <f>IF(OR(L418&lt;&gt;"",D418="",O418=""),"",IF(COUNTIFS(Plantings!$D$6:$D$505,D418,Plantings!$O$6:$O$505,O418,Plantings!$N$6:$N$505,N418-1)&gt;0,"Same family here last year",""))</f>
        <v/>
      </c>
      <c r="N418" s="1">
        <f>IF(ISNUMBER(B418),YEAR(B418),"")</f>
        <v/>
      </c>
      <c r="O418">
        <f>IF(C418="","",IFERROR(INDEX(Crops!$C$6:$C$65,MATCH(C418,Crops!$B$6:$B$65,0))&amp;"",""))</f>
        <v/>
      </c>
      <c r="P418">
        <f>IF(ISNUMBER(B418),INT(B418),0)</f>
        <v/>
      </c>
      <c r="Q418">
        <f>IF(AND(L418="",OR(J418="Growing",J418="Picking")),1,0)</f>
        <v/>
      </c>
      <c r="R418">
        <f>IF(AND(Q418=1,D418&lt;&gt;""),P418*1000+ROW(),0)</f>
        <v/>
      </c>
      <c r="S418">
        <f>IF(AND(AND(C418&lt;&gt;"",ISNUMBER(B418)),L418=""),1,0)</f>
        <v/>
      </c>
    </row>
    <row r="419">
      <c r="A419" s="1" t="n"/>
      <c r="B419" s="17" t="n"/>
      <c r="C419" s="18" t="n"/>
      <c r="D419" s="19" t="n"/>
      <c r="E419" s="19" t="n"/>
      <c r="F419" s="20" t="n"/>
      <c r="G419" s="17" t="n"/>
      <c r="H419" s="21" t="n"/>
      <c r="I419" s="22">
        <f>IF(NOT(AND(C419&lt;&gt;"",ISNUMBER(B419))),"",IF(N(IFERROR(INDEX(Crops!$F$6:$F$65,MATCH(C419,Crops!$B$6:$B$65,0)),0))&gt;0,INT(B419)+N(IFERROR(INDEX(Crops!$F$6:$F$65,MATCH(C419,Crops!$B$6:$B$65,0)),0)),""))</f>
        <v/>
      </c>
      <c r="J419" s="16">
        <f>IF(NOT(AND(C419&lt;&gt;"",ISNUMBER(B419))),"",IF(ISNUMBER(G419),"Done",IF(INT(B419)&gt;TODAY(),"Planned",IF(COUNTIFS(Harvest!$C$6:$C$1505,C419,Harvest!$D$6:$D$1505,D419&amp;"",Harvest!$L$6:$L$1505,"&gt;="&amp;INT(B419))&gt;0,"Picking","Growing"))))</f>
        <v/>
      </c>
      <c r="K419" s="14">
        <f>IF(OR(NOT(AND(C419&lt;&gt;"",ISNUMBER(B419))),J419="Planned"),"",IF(ISNUMBER(G419),INT(G419),TODAY())-INT(B419))</f>
        <v/>
      </c>
      <c r="L419" s="11">
        <f>IF(AND(B419="",C419="",D419=""),"",IF(NOT(ISNUMBER(B419)),"Needs a date",IF(C419="","Needs a crop",IF(COUNTIF(Crops!$B$6:$B$65,C419)=0,"Not on Crops",IF(AND(D419&lt;&gt;"",COUNTIF(Beds!$B$6:$B$35,D419)=0),"Not on Beds",IF(AND(ISNUMBER(G419),G419&lt;B419),"Cleared before it was planted",""))))))</f>
        <v/>
      </c>
      <c r="M419" s="11">
        <f>IF(OR(L419&lt;&gt;"",D419="",O419=""),"",IF(COUNTIFS(Plantings!$D$6:$D$505,D419,Plantings!$O$6:$O$505,O419,Plantings!$N$6:$N$505,N419-1)&gt;0,"Same family here last year",""))</f>
        <v/>
      </c>
      <c r="N419" s="1">
        <f>IF(ISNUMBER(B419),YEAR(B419),"")</f>
        <v/>
      </c>
      <c r="O419">
        <f>IF(C419="","",IFERROR(INDEX(Crops!$C$6:$C$65,MATCH(C419,Crops!$B$6:$B$65,0))&amp;"",""))</f>
        <v/>
      </c>
      <c r="P419">
        <f>IF(ISNUMBER(B419),INT(B419),0)</f>
        <v/>
      </c>
      <c r="Q419">
        <f>IF(AND(L419="",OR(J419="Growing",J419="Picking")),1,0)</f>
        <v/>
      </c>
      <c r="R419">
        <f>IF(AND(Q419=1,D419&lt;&gt;""),P419*1000+ROW(),0)</f>
        <v/>
      </c>
      <c r="S419">
        <f>IF(AND(AND(C419&lt;&gt;"",ISNUMBER(B419)),L419=""),1,0)</f>
        <v/>
      </c>
    </row>
    <row r="420">
      <c r="A420" s="1" t="n"/>
      <c r="B420" s="17" t="n"/>
      <c r="C420" s="18" t="n"/>
      <c r="D420" s="19" t="n"/>
      <c r="E420" s="19" t="n"/>
      <c r="F420" s="20" t="n"/>
      <c r="G420" s="17" t="n"/>
      <c r="H420" s="21" t="n"/>
      <c r="I420" s="22">
        <f>IF(NOT(AND(C420&lt;&gt;"",ISNUMBER(B420))),"",IF(N(IFERROR(INDEX(Crops!$F$6:$F$65,MATCH(C420,Crops!$B$6:$B$65,0)),0))&gt;0,INT(B420)+N(IFERROR(INDEX(Crops!$F$6:$F$65,MATCH(C420,Crops!$B$6:$B$65,0)),0)),""))</f>
        <v/>
      </c>
      <c r="J420" s="16">
        <f>IF(NOT(AND(C420&lt;&gt;"",ISNUMBER(B420))),"",IF(ISNUMBER(G420),"Done",IF(INT(B420)&gt;TODAY(),"Planned",IF(COUNTIFS(Harvest!$C$6:$C$1505,C420,Harvest!$D$6:$D$1505,D420&amp;"",Harvest!$L$6:$L$1505,"&gt;="&amp;INT(B420))&gt;0,"Picking","Growing"))))</f>
        <v/>
      </c>
      <c r="K420" s="14">
        <f>IF(OR(NOT(AND(C420&lt;&gt;"",ISNUMBER(B420))),J420="Planned"),"",IF(ISNUMBER(G420),INT(G420),TODAY())-INT(B420))</f>
        <v/>
      </c>
      <c r="L420" s="11">
        <f>IF(AND(B420="",C420="",D420=""),"",IF(NOT(ISNUMBER(B420)),"Needs a date",IF(C420="","Needs a crop",IF(COUNTIF(Crops!$B$6:$B$65,C420)=0,"Not on Crops",IF(AND(D420&lt;&gt;"",COUNTIF(Beds!$B$6:$B$35,D420)=0),"Not on Beds",IF(AND(ISNUMBER(G420),G420&lt;B420),"Cleared before it was planted",""))))))</f>
        <v/>
      </c>
      <c r="M420" s="11">
        <f>IF(OR(L420&lt;&gt;"",D420="",O420=""),"",IF(COUNTIFS(Plantings!$D$6:$D$505,D420,Plantings!$O$6:$O$505,O420,Plantings!$N$6:$N$505,N420-1)&gt;0,"Same family here last year",""))</f>
        <v/>
      </c>
      <c r="N420" s="1">
        <f>IF(ISNUMBER(B420),YEAR(B420),"")</f>
        <v/>
      </c>
      <c r="O420">
        <f>IF(C420="","",IFERROR(INDEX(Crops!$C$6:$C$65,MATCH(C420,Crops!$B$6:$B$65,0))&amp;"",""))</f>
        <v/>
      </c>
      <c r="P420">
        <f>IF(ISNUMBER(B420),INT(B420),0)</f>
        <v/>
      </c>
      <c r="Q420">
        <f>IF(AND(L420="",OR(J420="Growing",J420="Picking")),1,0)</f>
        <v/>
      </c>
      <c r="R420">
        <f>IF(AND(Q420=1,D420&lt;&gt;""),P420*1000+ROW(),0)</f>
        <v/>
      </c>
      <c r="S420">
        <f>IF(AND(AND(C420&lt;&gt;"",ISNUMBER(B420)),L420=""),1,0)</f>
        <v/>
      </c>
    </row>
    <row r="421">
      <c r="A421" s="1" t="n"/>
      <c r="B421" s="17" t="n"/>
      <c r="C421" s="18" t="n"/>
      <c r="D421" s="19" t="n"/>
      <c r="E421" s="19" t="n"/>
      <c r="F421" s="20" t="n"/>
      <c r="G421" s="17" t="n"/>
      <c r="H421" s="21" t="n"/>
      <c r="I421" s="22">
        <f>IF(NOT(AND(C421&lt;&gt;"",ISNUMBER(B421))),"",IF(N(IFERROR(INDEX(Crops!$F$6:$F$65,MATCH(C421,Crops!$B$6:$B$65,0)),0))&gt;0,INT(B421)+N(IFERROR(INDEX(Crops!$F$6:$F$65,MATCH(C421,Crops!$B$6:$B$65,0)),0)),""))</f>
        <v/>
      </c>
      <c r="J421" s="16">
        <f>IF(NOT(AND(C421&lt;&gt;"",ISNUMBER(B421))),"",IF(ISNUMBER(G421),"Done",IF(INT(B421)&gt;TODAY(),"Planned",IF(COUNTIFS(Harvest!$C$6:$C$1505,C421,Harvest!$D$6:$D$1505,D421&amp;"",Harvest!$L$6:$L$1505,"&gt;="&amp;INT(B421))&gt;0,"Picking","Growing"))))</f>
        <v/>
      </c>
      <c r="K421" s="14">
        <f>IF(OR(NOT(AND(C421&lt;&gt;"",ISNUMBER(B421))),J421="Planned"),"",IF(ISNUMBER(G421),INT(G421),TODAY())-INT(B421))</f>
        <v/>
      </c>
      <c r="L421" s="11">
        <f>IF(AND(B421="",C421="",D421=""),"",IF(NOT(ISNUMBER(B421)),"Needs a date",IF(C421="","Needs a crop",IF(COUNTIF(Crops!$B$6:$B$65,C421)=0,"Not on Crops",IF(AND(D421&lt;&gt;"",COUNTIF(Beds!$B$6:$B$35,D421)=0),"Not on Beds",IF(AND(ISNUMBER(G421),G421&lt;B421),"Cleared before it was planted",""))))))</f>
        <v/>
      </c>
      <c r="M421" s="11">
        <f>IF(OR(L421&lt;&gt;"",D421="",O421=""),"",IF(COUNTIFS(Plantings!$D$6:$D$505,D421,Plantings!$O$6:$O$505,O421,Plantings!$N$6:$N$505,N421-1)&gt;0,"Same family here last year",""))</f>
        <v/>
      </c>
      <c r="N421" s="1">
        <f>IF(ISNUMBER(B421),YEAR(B421),"")</f>
        <v/>
      </c>
      <c r="O421">
        <f>IF(C421="","",IFERROR(INDEX(Crops!$C$6:$C$65,MATCH(C421,Crops!$B$6:$B$65,0))&amp;"",""))</f>
        <v/>
      </c>
      <c r="P421">
        <f>IF(ISNUMBER(B421),INT(B421),0)</f>
        <v/>
      </c>
      <c r="Q421">
        <f>IF(AND(L421="",OR(J421="Growing",J421="Picking")),1,0)</f>
        <v/>
      </c>
      <c r="R421">
        <f>IF(AND(Q421=1,D421&lt;&gt;""),P421*1000+ROW(),0)</f>
        <v/>
      </c>
      <c r="S421">
        <f>IF(AND(AND(C421&lt;&gt;"",ISNUMBER(B421)),L421=""),1,0)</f>
        <v/>
      </c>
    </row>
    <row r="422">
      <c r="A422" s="1" t="n"/>
      <c r="B422" s="17" t="n"/>
      <c r="C422" s="18" t="n"/>
      <c r="D422" s="19" t="n"/>
      <c r="E422" s="19" t="n"/>
      <c r="F422" s="20" t="n"/>
      <c r="G422" s="17" t="n"/>
      <c r="H422" s="21" t="n"/>
      <c r="I422" s="22">
        <f>IF(NOT(AND(C422&lt;&gt;"",ISNUMBER(B422))),"",IF(N(IFERROR(INDEX(Crops!$F$6:$F$65,MATCH(C422,Crops!$B$6:$B$65,0)),0))&gt;0,INT(B422)+N(IFERROR(INDEX(Crops!$F$6:$F$65,MATCH(C422,Crops!$B$6:$B$65,0)),0)),""))</f>
        <v/>
      </c>
      <c r="J422" s="16">
        <f>IF(NOT(AND(C422&lt;&gt;"",ISNUMBER(B422))),"",IF(ISNUMBER(G422),"Done",IF(INT(B422)&gt;TODAY(),"Planned",IF(COUNTIFS(Harvest!$C$6:$C$1505,C422,Harvest!$D$6:$D$1505,D422&amp;"",Harvest!$L$6:$L$1505,"&gt;="&amp;INT(B422))&gt;0,"Picking","Growing"))))</f>
        <v/>
      </c>
      <c r="K422" s="14">
        <f>IF(OR(NOT(AND(C422&lt;&gt;"",ISNUMBER(B422))),J422="Planned"),"",IF(ISNUMBER(G422),INT(G422),TODAY())-INT(B422))</f>
        <v/>
      </c>
      <c r="L422" s="11">
        <f>IF(AND(B422="",C422="",D422=""),"",IF(NOT(ISNUMBER(B422)),"Needs a date",IF(C422="","Needs a crop",IF(COUNTIF(Crops!$B$6:$B$65,C422)=0,"Not on Crops",IF(AND(D422&lt;&gt;"",COUNTIF(Beds!$B$6:$B$35,D422)=0),"Not on Beds",IF(AND(ISNUMBER(G422),G422&lt;B422),"Cleared before it was planted",""))))))</f>
        <v/>
      </c>
      <c r="M422" s="11">
        <f>IF(OR(L422&lt;&gt;"",D422="",O422=""),"",IF(COUNTIFS(Plantings!$D$6:$D$505,D422,Plantings!$O$6:$O$505,O422,Plantings!$N$6:$N$505,N422-1)&gt;0,"Same family here last year",""))</f>
        <v/>
      </c>
      <c r="N422" s="1">
        <f>IF(ISNUMBER(B422),YEAR(B422),"")</f>
        <v/>
      </c>
      <c r="O422">
        <f>IF(C422="","",IFERROR(INDEX(Crops!$C$6:$C$65,MATCH(C422,Crops!$B$6:$B$65,0))&amp;"",""))</f>
        <v/>
      </c>
      <c r="P422">
        <f>IF(ISNUMBER(B422),INT(B422),0)</f>
        <v/>
      </c>
      <c r="Q422">
        <f>IF(AND(L422="",OR(J422="Growing",J422="Picking")),1,0)</f>
        <v/>
      </c>
      <c r="R422">
        <f>IF(AND(Q422=1,D422&lt;&gt;""),P422*1000+ROW(),0)</f>
        <v/>
      </c>
      <c r="S422">
        <f>IF(AND(AND(C422&lt;&gt;"",ISNUMBER(B422)),L422=""),1,0)</f>
        <v/>
      </c>
    </row>
    <row r="423">
      <c r="A423" s="1" t="n"/>
      <c r="B423" s="17" t="n"/>
      <c r="C423" s="18" t="n"/>
      <c r="D423" s="19" t="n"/>
      <c r="E423" s="19" t="n"/>
      <c r="F423" s="20" t="n"/>
      <c r="G423" s="17" t="n"/>
      <c r="H423" s="21" t="n"/>
      <c r="I423" s="22">
        <f>IF(NOT(AND(C423&lt;&gt;"",ISNUMBER(B423))),"",IF(N(IFERROR(INDEX(Crops!$F$6:$F$65,MATCH(C423,Crops!$B$6:$B$65,0)),0))&gt;0,INT(B423)+N(IFERROR(INDEX(Crops!$F$6:$F$65,MATCH(C423,Crops!$B$6:$B$65,0)),0)),""))</f>
        <v/>
      </c>
      <c r="J423" s="16">
        <f>IF(NOT(AND(C423&lt;&gt;"",ISNUMBER(B423))),"",IF(ISNUMBER(G423),"Done",IF(INT(B423)&gt;TODAY(),"Planned",IF(COUNTIFS(Harvest!$C$6:$C$1505,C423,Harvest!$D$6:$D$1505,D423&amp;"",Harvest!$L$6:$L$1505,"&gt;="&amp;INT(B423))&gt;0,"Picking","Growing"))))</f>
        <v/>
      </c>
      <c r="K423" s="14">
        <f>IF(OR(NOT(AND(C423&lt;&gt;"",ISNUMBER(B423))),J423="Planned"),"",IF(ISNUMBER(G423),INT(G423),TODAY())-INT(B423))</f>
        <v/>
      </c>
      <c r="L423" s="11">
        <f>IF(AND(B423="",C423="",D423=""),"",IF(NOT(ISNUMBER(B423)),"Needs a date",IF(C423="","Needs a crop",IF(COUNTIF(Crops!$B$6:$B$65,C423)=0,"Not on Crops",IF(AND(D423&lt;&gt;"",COUNTIF(Beds!$B$6:$B$35,D423)=0),"Not on Beds",IF(AND(ISNUMBER(G423),G423&lt;B423),"Cleared before it was planted",""))))))</f>
        <v/>
      </c>
      <c r="M423" s="11">
        <f>IF(OR(L423&lt;&gt;"",D423="",O423=""),"",IF(COUNTIFS(Plantings!$D$6:$D$505,D423,Plantings!$O$6:$O$505,O423,Plantings!$N$6:$N$505,N423-1)&gt;0,"Same family here last year",""))</f>
        <v/>
      </c>
      <c r="N423" s="1">
        <f>IF(ISNUMBER(B423),YEAR(B423),"")</f>
        <v/>
      </c>
      <c r="O423">
        <f>IF(C423="","",IFERROR(INDEX(Crops!$C$6:$C$65,MATCH(C423,Crops!$B$6:$B$65,0))&amp;"",""))</f>
        <v/>
      </c>
      <c r="P423">
        <f>IF(ISNUMBER(B423),INT(B423),0)</f>
        <v/>
      </c>
      <c r="Q423">
        <f>IF(AND(L423="",OR(J423="Growing",J423="Picking")),1,0)</f>
        <v/>
      </c>
      <c r="R423">
        <f>IF(AND(Q423=1,D423&lt;&gt;""),P423*1000+ROW(),0)</f>
        <v/>
      </c>
      <c r="S423">
        <f>IF(AND(AND(C423&lt;&gt;"",ISNUMBER(B423)),L423=""),1,0)</f>
        <v/>
      </c>
    </row>
    <row r="424">
      <c r="A424" s="1" t="n"/>
      <c r="B424" s="17" t="n"/>
      <c r="C424" s="18" t="n"/>
      <c r="D424" s="19" t="n"/>
      <c r="E424" s="19" t="n"/>
      <c r="F424" s="20" t="n"/>
      <c r="G424" s="17" t="n"/>
      <c r="H424" s="21" t="n"/>
      <c r="I424" s="22">
        <f>IF(NOT(AND(C424&lt;&gt;"",ISNUMBER(B424))),"",IF(N(IFERROR(INDEX(Crops!$F$6:$F$65,MATCH(C424,Crops!$B$6:$B$65,0)),0))&gt;0,INT(B424)+N(IFERROR(INDEX(Crops!$F$6:$F$65,MATCH(C424,Crops!$B$6:$B$65,0)),0)),""))</f>
        <v/>
      </c>
      <c r="J424" s="16">
        <f>IF(NOT(AND(C424&lt;&gt;"",ISNUMBER(B424))),"",IF(ISNUMBER(G424),"Done",IF(INT(B424)&gt;TODAY(),"Planned",IF(COUNTIFS(Harvest!$C$6:$C$1505,C424,Harvest!$D$6:$D$1505,D424&amp;"",Harvest!$L$6:$L$1505,"&gt;="&amp;INT(B424))&gt;0,"Picking","Growing"))))</f>
        <v/>
      </c>
      <c r="K424" s="14">
        <f>IF(OR(NOT(AND(C424&lt;&gt;"",ISNUMBER(B424))),J424="Planned"),"",IF(ISNUMBER(G424),INT(G424),TODAY())-INT(B424))</f>
        <v/>
      </c>
      <c r="L424" s="11">
        <f>IF(AND(B424="",C424="",D424=""),"",IF(NOT(ISNUMBER(B424)),"Needs a date",IF(C424="","Needs a crop",IF(COUNTIF(Crops!$B$6:$B$65,C424)=0,"Not on Crops",IF(AND(D424&lt;&gt;"",COUNTIF(Beds!$B$6:$B$35,D424)=0),"Not on Beds",IF(AND(ISNUMBER(G424),G424&lt;B424),"Cleared before it was planted",""))))))</f>
        <v/>
      </c>
      <c r="M424" s="11">
        <f>IF(OR(L424&lt;&gt;"",D424="",O424=""),"",IF(COUNTIFS(Plantings!$D$6:$D$505,D424,Plantings!$O$6:$O$505,O424,Plantings!$N$6:$N$505,N424-1)&gt;0,"Same family here last year",""))</f>
        <v/>
      </c>
      <c r="N424" s="1">
        <f>IF(ISNUMBER(B424),YEAR(B424),"")</f>
        <v/>
      </c>
      <c r="O424">
        <f>IF(C424="","",IFERROR(INDEX(Crops!$C$6:$C$65,MATCH(C424,Crops!$B$6:$B$65,0))&amp;"",""))</f>
        <v/>
      </c>
      <c r="P424">
        <f>IF(ISNUMBER(B424),INT(B424),0)</f>
        <v/>
      </c>
      <c r="Q424">
        <f>IF(AND(L424="",OR(J424="Growing",J424="Picking")),1,0)</f>
        <v/>
      </c>
      <c r="R424">
        <f>IF(AND(Q424=1,D424&lt;&gt;""),P424*1000+ROW(),0)</f>
        <v/>
      </c>
      <c r="S424">
        <f>IF(AND(AND(C424&lt;&gt;"",ISNUMBER(B424)),L424=""),1,0)</f>
        <v/>
      </c>
    </row>
    <row r="425">
      <c r="A425" s="1" t="n"/>
      <c r="B425" s="17" t="n"/>
      <c r="C425" s="18" t="n"/>
      <c r="D425" s="19" t="n"/>
      <c r="E425" s="19" t="n"/>
      <c r="F425" s="20" t="n"/>
      <c r="G425" s="17" t="n"/>
      <c r="H425" s="21" t="n"/>
      <c r="I425" s="22">
        <f>IF(NOT(AND(C425&lt;&gt;"",ISNUMBER(B425))),"",IF(N(IFERROR(INDEX(Crops!$F$6:$F$65,MATCH(C425,Crops!$B$6:$B$65,0)),0))&gt;0,INT(B425)+N(IFERROR(INDEX(Crops!$F$6:$F$65,MATCH(C425,Crops!$B$6:$B$65,0)),0)),""))</f>
        <v/>
      </c>
      <c r="J425" s="16">
        <f>IF(NOT(AND(C425&lt;&gt;"",ISNUMBER(B425))),"",IF(ISNUMBER(G425),"Done",IF(INT(B425)&gt;TODAY(),"Planned",IF(COUNTIFS(Harvest!$C$6:$C$1505,C425,Harvest!$D$6:$D$1505,D425&amp;"",Harvest!$L$6:$L$1505,"&gt;="&amp;INT(B425))&gt;0,"Picking","Growing"))))</f>
        <v/>
      </c>
      <c r="K425" s="14">
        <f>IF(OR(NOT(AND(C425&lt;&gt;"",ISNUMBER(B425))),J425="Planned"),"",IF(ISNUMBER(G425),INT(G425),TODAY())-INT(B425))</f>
        <v/>
      </c>
      <c r="L425" s="11">
        <f>IF(AND(B425="",C425="",D425=""),"",IF(NOT(ISNUMBER(B425)),"Needs a date",IF(C425="","Needs a crop",IF(COUNTIF(Crops!$B$6:$B$65,C425)=0,"Not on Crops",IF(AND(D425&lt;&gt;"",COUNTIF(Beds!$B$6:$B$35,D425)=0),"Not on Beds",IF(AND(ISNUMBER(G425),G425&lt;B425),"Cleared before it was planted",""))))))</f>
        <v/>
      </c>
      <c r="M425" s="11">
        <f>IF(OR(L425&lt;&gt;"",D425="",O425=""),"",IF(COUNTIFS(Plantings!$D$6:$D$505,D425,Plantings!$O$6:$O$505,O425,Plantings!$N$6:$N$505,N425-1)&gt;0,"Same family here last year",""))</f>
        <v/>
      </c>
      <c r="N425" s="1">
        <f>IF(ISNUMBER(B425),YEAR(B425),"")</f>
        <v/>
      </c>
      <c r="O425">
        <f>IF(C425="","",IFERROR(INDEX(Crops!$C$6:$C$65,MATCH(C425,Crops!$B$6:$B$65,0))&amp;"",""))</f>
        <v/>
      </c>
      <c r="P425">
        <f>IF(ISNUMBER(B425),INT(B425),0)</f>
        <v/>
      </c>
      <c r="Q425">
        <f>IF(AND(L425="",OR(J425="Growing",J425="Picking")),1,0)</f>
        <v/>
      </c>
      <c r="R425">
        <f>IF(AND(Q425=1,D425&lt;&gt;""),P425*1000+ROW(),0)</f>
        <v/>
      </c>
      <c r="S425">
        <f>IF(AND(AND(C425&lt;&gt;"",ISNUMBER(B425)),L425=""),1,0)</f>
        <v/>
      </c>
    </row>
    <row r="426">
      <c r="A426" s="1" t="n"/>
      <c r="B426" s="17" t="n"/>
      <c r="C426" s="18" t="n"/>
      <c r="D426" s="19" t="n"/>
      <c r="E426" s="19" t="n"/>
      <c r="F426" s="20" t="n"/>
      <c r="G426" s="17" t="n"/>
      <c r="H426" s="21" t="n"/>
      <c r="I426" s="22">
        <f>IF(NOT(AND(C426&lt;&gt;"",ISNUMBER(B426))),"",IF(N(IFERROR(INDEX(Crops!$F$6:$F$65,MATCH(C426,Crops!$B$6:$B$65,0)),0))&gt;0,INT(B426)+N(IFERROR(INDEX(Crops!$F$6:$F$65,MATCH(C426,Crops!$B$6:$B$65,0)),0)),""))</f>
        <v/>
      </c>
      <c r="J426" s="16">
        <f>IF(NOT(AND(C426&lt;&gt;"",ISNUMBER(B426))),"",IF(ISNUMBER(G426),"Done",IF(INT(B426)&gt;TODAY(),"Planned",IF(COUNTIFS(Harvest!$C$6:$C$1505,C426,Harvest!$D$6:$D$1505,D426&amp;"",Harvest!$L$6:$L$1505,"&gt;="&amp;INT(B426))&gt;0,"Picking","Growing"))))</f>
        <v/>
      </c>
      <c r="K426" s="14">
        <f>IF(OR(NOT(AND(C426&lt;&gt;"",ISNUMBER(B426))),J426="Planned"),"",IF(ISNUMBER(G426),INT(G426),TODAY())-INT(B426))</f>
        <v/>
      </c>
      <c r="L426" s="11">
        <f>IF(AND(B426="",C426="",D426=""),"",IF(NOT(ISNUMBER(B426)),"Needs a date",IF(C426="","Needs a crop",IF(COUNTIF(Crops!$B$6:$B$65,C426)=0,"Not on Crops",IF(AND(D426&lt;&gt;"",COUNTIF(Beds!$B$6:$B$35,D426)=0),"Not on Beds",IF(AND(ISNUMBER(G426),G426&lt;B426),"Cleared before it was planted",""))))))</f>
        <v/>
      </c>
      <c r="M426" s="11">
        <f>IF(OR(L426&lt;&gt;"",D426="",O426=""),"",IF(COUNTIFS(Plantings!$D$6:$D$505,D426,Plantings!$O$6:$O$505,O426,Plantings!$N$6:$N$505,N426-1)&gt;0,"Same family here last year",""))</f>
        <v/>
      </c>
      <c r="N426" s="1">
        <f>IF(ISNUMBER(B426),YEAR(B426),"")</f>
        <v/>
      </c>
      <c r="O426">
        <f>IF(C426="","",IFERROR(INDEX(Crops!$C$6:$C$65,MATCH(C426,Crops!$B$6:$B$65,0))&amp;"",""))</f>
        <v/>
      </c>
      <c r="P426">
        <f>IF(ISNUMBER(B426),INT(B426),0)</f>
        <v/>
      </c>
      <c r="Q426">
        <f>IF(AND(L426="",OR(J426="Growing",J426="Picking")),1,0)</f>
        <v/>
      </c>
      <c r="R426">
        <f>IF(AND(Q426=1,D426&lt;&gt;""),P426*1000+ROW(),0)</f>
        <v/>
      </c>
      <c r="S426">
        <f>IF(AND(AND(C426&lt;&gt;"",ISNUMBER(B426)),L426=""),1,0)</f>
        <v/>
      </c>
    </row>
    <row r="427">
      <c r="A427" s="1" t="n"/>
      <c r="B427" s="17" t="n"/>
      <c r="C427" s="18" t="n"/>
      <c r="D427" s="19" t="n"/>
      <c r="E427" s="19" t="n"/>
      <c r="F427" s="20" t="n"/>
      <c r="G427" s="17" t="n"/>
      <c r="H427" s="21" t="n"/>
      <c r="I427" s="22">
        <f>IF(NOT(AND(C427&lt;&gt;"",ISNUMBER(B427))),"",IF(N(IFERROR(INDEX(Crops!$F$6:$F$65,MATCH(C427,Crops!$B$6:$B$65,0)),0))&gt;0,INT(B427)+N(IFERROR(INDEX(Crops!$F$6:$F$65,MATCH(C427,Crops!$B$6:$B$65,0)),0)),""))</f>
        <v/>
      </c>
      <c r="J427" s="16">
        <f>IF(NOT(AND(C427&lt;&gt;"",ISNUMBER(B427))),"",IF(ISNUMBER(G427),"Done",IF(INT(B427)&gt;TODAY(),"Planned",IF(COUNTIFS(Harvest!$C$6:$C$1505,C427,Harvest!$D$6:$D$1505,D427&amp;"",Harvest!$L$6:$L$1505,"&gt;="&amp;INT(B427))&gt;0,"Picking","Growing"))))</f>
        <v/>
      </c>
      <c r="K427" s="14">
        <f>IF(OR(NOT(AND(C427&lt;&gt;"",ISNUMBER(B427))),J427="Planned"),"",IF(ISNUMBER(G427),INT(G427),TODAY())-INT(B427))</f>
        <v/>
      </c>
      <c r="L427" s="11">
        <f>IF(AND(B427="",C427="",D427=""),"",IF(NOT(ISNUMBER(B427)),"Needs a date",IF(C427="","Needs a crop",IF(COUNTIF(Crops!$B$6:$B$65,C427)=0,"Not on Crops",IF(AND(D427&lt;&gt;"",COUNTIF(Beds!$B$6:$B$35,D427)=0),"Not on Beds",IF(AND(ISNUMBER(G427),G427&lt;B427),"Cleared before it was planted",""))))))</f>
        <v/>
      </c>
      <c r="M427" s="11">
        <f>IF(OR(L427&lt;&gt;"",D427="",O427=""),"",IF(COUNTIFS(Plantings!$D$6:$D$505,D427,Plantings!$O$6:$O$505,O427,Plantings!$N$6:$N$505,N427-1)&gt;0,"Same family here last year",""))</f>
        <v/>
      </c>
      <c r="N427" s="1">
        <f>IF(ISNUMBER(B427),YEAR(B427),"")</f>
        <v/>
      </c>
      <c r="O427">
        <f>IF(C427="","",IFERROR(INDEX(Crops!$C$6:$C$65,MATCH(C427,Crops!$B$6:$B$65,0))&amp;"",""))</f>
        <v/>
      </c>
      <c r="P427">
        <f>IF(ISNUMBER(B427),INT(B427),0)</f>
        <v/>
      </c>
      <c r="Q427">
        <f>IF(AND(L427="",OR(J427="Growing",J427="Picking")),1,0)</f>
        <v/>
      </c>
      <c r="R427">
        <f>IF(AND(Q427=1,D427&lt;&gt;""),P427*1000+ROW(),0)</f>
        <v/>
      </c>
      <c r="S427">
        <f>IF(AND(AND(C427&lt;&gt;"",ISNUMBER(B427)),L427=""),1,0)</f>
        <v/>
      </c>
    </row>
    <row r="428">
      <c r="A428" s="1" t="n"/>
      <c r="B428" s="17" t="n"/>
      <c r="C428" s="18" t="n"/>
      <c r="D428" s="19" t="n"/>
      <c r="E428" s="19" t="n"/>
      <c r="F428" s="20" t="n"/>
      <c r="G428" s="17" t="n"/>
      <c r="H428" s="21" t="n"/>
      <c r="I428" s="22">
        <f>IF(NOT(AND(C428&lt;&gt;"",ISNUMBER(B428))),"",IF(N(IFERROR(INDEX(Crops!$F$6:$F$65,MATCH(C428,Crops!$B$6:$B$65,0)),0))&gt;0,INT(B428)+N(IFERROR(INDEX(Crops!$F$6:$F$65,MATCH(C428,Crops!$B$6:$B$65,0)),0)),""))</f>
        <v/>
      </c>
      <c r="J428" s="16">
        <f>IF(NOT(AND(C428&lt;&gt;"",ISNUMBER(B428))),"",IF(ISNUMBER(G428),"Done",IF(INT(B428)&gt;TODAY(),"Planned",IF(COUNTIFS(Harvest!$C$6:$C$1505,C428,Harvest!$D$6:$D$1505,D428&amp;"",Harvest!$L$6:$L$1505,"&gt;="&amp;INT(B428))&gt;0,"Picking","Growing"))))</f>
        <v/>
      </c>
      <c r="K428" s="14">
        <f>IF(OR(NOT(AND(C428&lt;&gt;"",ISNUMBER(B428))),J428="Planned"),"",IF(ISNUMBER(G428),INT(G428),TODAY())-INT(B428))</f>
        <v/>
      </c>
      <c r="L428" s="11">
        <f>IF(AND(B428="",C428="",D428=""),"",IF(NOT(ISNUMBER(B428)),"Needs a date",IF(C428="","Needs a crop",IF(COUNTIF(Crops!$B$6:$B$65,C428)=0,"Not on Crops",IF(AND(D428&lt;&gt;"",COUNTIF(Beds!$B$6:$B$35,D428)=0),"Not on Beds",IF(AND(ISNUMBER(G428),G428&lt;B428),"Cleared before it was planted",""))))))</f>
        <v/>
      </c>
      <c r="M428" s="11">
        <f>IF(OR(L428&lt;&gt;"",D428="",O428=""),"",IF(COUNTIFS(Plantings!$D$6:$D$505,D428,Plantings!$O$6:$O$505,O428,Plantings!$N$6:$N$505,N428-1)&gt;0,"Same family here last year",""))</f>
        <v/>
      </c>
      <c r="N428" s="1">
        <f>IF(ISNUMBER(B428),YEAR(B428),"")</f>
        <v/>
      </c>
      <c r="O428">
        <f>IF(C428="","",IFERROR(INDEX(Crops!$C$6:$C$65,MATCH(C428,Crops!$B$6:$B$65,0))&amp;"",""))</f>
        <v/>
      </c>
      <c r="P428">
        <f>IF(ISNUMBER(B428),INT(B428),0)</f>
        <v/>
      </c>
      <c r="Q428">
        <f>IF(AND(L428="",OR(J428="Growing",J428="Picking")),1,0)</f>
        <v/>
      </c>
      <c r="R428">
        <f>IF(AND(Q428=1,D428&lt;&gt;""),P428*1000+ROW(),0)</f>
        <v/>
      </c>
      <c r="S428">
        <f>IF(AND(AND(C428&lt;&gt;"",ISNUMBER(B428)),L428=""),1,0)</f>
        <v/>
      </c>
    </row>
    <row r="429">
      <c r="A429" s="1" t="n"/>
      <c r="B429" s="17" t="n"/>
      <c r="C429" s="18" t="n"/>
      <c r="D429" s="19" t="n"/>
      <c r="E429" s="19" t="n"/>
      <c r="F429" s="20" t="n"/>
      <c r="G429" s="17" t="n"/>
      <c r="H429" s="21" t="n"/>
      <c r="I429" s="22">
        <f>IF(NOT(AND(C429&lt;&gt;"",ISNUMBER(B429))),"",IF(N(IFERROR(INDEX(Crops!$F$6:$F$65,MATCH(C429,Crops!$B$6:$B$65,0)),0))&gt;0,INT(B429)+N(IFERROR(INDEX(Crops!$F$6:$F$65,MATCH(C429,Crops!$B$6:$B$65,0)),0)),""))</f>
        <v/>
      </c>
      <c r="J429" s="16">
        <f>IF(NOT(AND(C429&lt;&gt;"",ISNUMBER(B429))),"",IF(ISNUMBER(G429),"Done",IF(INT(B429)&gt;TODAY(),"Planned",IF(COUNTIFS(Harvest!$C$6:$C$1505,C429,Harvest!$D$6:$D$1505,D429&amp;"",Harvest!$L$6:$L$1505,"&gt;="&amp;INT(B429))&gt;0,"Picking","Growing"))))</f>
        <v/>
      </c>
      <c r="K429" s="14">
        <f>IF(OR(NOT(AND(C429&lt;&gt;"",ISNUMBER(B429))),J429="Planned"),"",IF(ISNUMBER(G429),INT(G429),TODAY())-INT(B429))</f>
        <v/>
      </c>
      <c r="L429" s="11">
        <f>IF(AND(B429="",C429="",D429=""),"",IF(NOT(ISNUMBER(B429)),"Needs a date",IF(C429="","Needs a crop",IF(COUNTIF(Crops!$B$6:$B$65,C429)=0,"Not on Crops",IF(AND(D429&lt;&gt;"",COUNTIF(Beds!$B$6:$B$35,D429)=0),"Not on Beds",IF(AND(ISNUMBER(G429),G429&lt;B429),"Cleared before it was planted",""))))))</f>
        <v/>
      </c>
      <c r="M429" s="11">
        <f>IF(OR(L429&lt;&gt;"",D429="",O429=""),"",IF(COUNTIFS(Plantings!$D$6:$D$505,D429,Plantings!$O$6:$O$505,O429,Plantings!$N$6:$N$505,N429-1)&gt;0,"Same family here last year",""))</f>
        <v/>
      </c>
      <c r="N429" s="1">
        <f>IF(ISNUMBER(B429),YEAR(B429),"")</f>
        <v/>
      </c>
      <c r="O429">
        <f>IF(C429="","",IFERROR(INDEX(Crops!$C$6:$C$65,MATCH(C429,Crops!$B$6:$B$65,0))&amp;"",""))</f>
        <v/>
      </c>
      <c r="P429">
        <f>IF(ISNUMBER(B429),INT(B429),0)</f>
        <v/>
      </c>
      <c r="Q429">
        <f>IF(AND(L429="",OR(J429="Growing",J429="Picking")),1,0)</f>
        <v/>
      </c>
      <c r="R429">
        <f>IF(AND(Q429=1,D429&lt;&gt;""),P429*1000+ROW(),0)</f>
        <v/>
      </c>
      <c r="S429">
        <f>IF(AND(AND(C429&lt;&gt;"",ISNUMBER(B429)),L429=""),1,0)</f>
        <v/>
      </c>
    </row>
    <row r="430">
      <c r="A430" s="1" t="n"/>
      <c r="B430" s="17" t="n"/>
      <c r="C430" s="18" t="n"/>
      <c r="D430" s="19" t="n"/>
      <c r="E430" s="19" t="n"/>
      <c r="F430" s="20" t="n"/>
      <c r="G430" s="17" t="n"/>
      <c r="H430" s="21" t="n"/>
      <c r="I430" s="22">
        <f>IF(NOT(AND(C430&lt;&gt;"",ISNUMBER(B430))),"",IF(N(IFERROR(INDEX(Crops!$F$6:$F$65,MATCH(C430,Crops!$B$6:$B$65,0)),0))&gt;0,INT(B430)+N(IFERROR(INDEX(Crops!$F$6:$F$65,MATCH(C430,Crops!$B$6:$B$65,0)),0)),""))</f>
        <v/>
      </c>
      <c r="J430" s="16">
        <f>IF(NOT(AND(C430&lt;&gt;"",ISNUMBER(B430))),"",IF(ISNUMBER(G430),"Done",IF(INT(B430)&gt;TODAY(),"Planned",IF(COUNTIFS(Harvest!$C$6:$C$1505,C430,Harvest!$D$6:$D$1505,D430&amp;"",Harvest!$L$6:$L$1505,"&gt;="&amp;INT(B430))&gt;0,"Picking","Growing"))))</f>
        <v/>
      </c>
      <c r="K430" s="14">
        <f>IF(OR(NOT(AND(C430&lt;&gt;"",ISNUMBER(B430))),J430="Planned"),"",IF(ISNUMBER(G430),INT(G430),TODAY())-INT(B430))</f>
        <v/>
      </c>
      <c r="L430" s="11">
        <f>IF(AND(B430="",C430="",D430=""),"",IF(NOT(ISNUMBER(B430)),"Needs a date",IF(C430="","Needs a crop",IF(COUNTIF(Crops!$B$6:$B$65,C430)=0,"Not on Crops",IF(AND(D430&lt;&gt;"",COUNTIF(Beds!$B$6:$B$35,D430)=0),"Not on Beds",IF(AND(ISNUMBER(G430),G430&lt;B430),"Cleared before it was planted",""))))))</f>
        <v/>
      </c>
      <c r="M430" s="11">
        <f>IF(OR(L430&lt;&gt;"",D430="",O430=""),"",IF(COUNTIFS(Plantings!$D$6:$D$505,D430,Plantings!$O$6:$O$505,O430,Plantings!$N$6:$N$505,N430-1)&gt;0,"Same family here last year",""))</f>
        <v/>
      </c>
      <c r="N430" s="1">
        <f>IF(ISNUMBER(B430),YEAR(B430),"")</f>
        <v/>
      </c>
      <c r="O430">
        <f>IF(C430="","",IFERROR(INDEX(Crops!$C$6:$C$65,MATCH(C430,Crops!$B$6:$B$65,0))&amp;"",""))</f>
        <v/>
      </c>
      <c r="P430">
        <f>IF(ISNUMBER(B430),INT(B430),0)</f>
        <v/>
      </c>
      <c r="Q430">
        <f>IF(AND(L430="",OR(J430="Growing",J430="Picking")),1,0)</f>
        <v/>
      </c>
      <c r="R430">
        <f>IF(AND(Q430=1,D430&lt;&gt;""),P430*1000+ROW(),0)</f>
        <v/>
      </c>
      <c r="S430">
        <f>IF(AND(AND(C430&lt;&gt;"",ISNUMBER(B430)),L430=""),1,0)</f>
        <v/>
      </c>
    </row>
    <row r="431">
      <c r="A431" s="1" t="n"/>
      <c r="B431" s="17" t="n"/>
      <c r="C431" s="18" t="n"/>
      <c r="D431" s="19" t="n"/>
      <c r="E431" s="19" t="n"/>
      <c r="F431" s="20" t="n"/>
      <c r="G431" s="17" t="n"/>
      <c r="H431" s="21" t="n"/>
      <c r="I431" s="22">
        <f>IF(NOT(AND(C431&lt;&gt;"",ISNUMBER(B431))),"",IF(N(IFERROR(INDEX(Crops!$F$6:$F$65,MATCH(C431,Crops!$B$6:$B$65,0)),0))&gt;0,INT(B431)+N(IFERROR(INDEX(Crops!$F$6:$F$65,MATCH(C431,Crops!$B$6:$B$65,0)),0)),""))</f>
        <v/>
      </c>
      <c r="J431" s="16">
        <f>IF(NOT(AND(C431&lt;&gt;"",ISNUMBER(B431))),"",IF(ISNUMBER(G431),"Done",IF(INT(B431)&gt;TODAY(),"Planned",IF(COUNTIFS(Harvest!$C$6:$C$1505,C431,Harvest!$D$6:$D$1505,D431&amp;"",Harvest!$L$6:$L$1505,"&gt;="&amp;INT(B431))&gt;0,"Picking","Growing"))))</f>
        <v/>
      </c>
      <c r="K431" s="14">
        <f>IF(OR(NOT(AND(C431&lt;&gt;"",ISNUMBER(B431))),J431="Planned"),"",IF(ISNUMBER(G431),INT(G431),TODAY())-INT(B431))</f>
        <v/>
      </c>
      <c r="L431" s="11">
        <f>IF(AND(B431="",C431="",D431=""),"",IF(NOT(ISNUMBER(B431)),"Needs a date",IF(C431="","Needs a crop",IF(COUNTIF(Crops!$B$6:$B$65,C431)=0,"Not on Crops",IF(AND(D431&lt;&gt;"",COUNTIF(Beds!$B$6:$B$35,D431)=0),"Not on Beds",IF(AND(ISNUMBER(G431),G431&lt;B431),"Cleared before it was planted",""))))))</f>
        <v/>
      </c>
      <c r="M431" s="11">
        <f>IF(OR(L431&lt;&gt;"",D431="",O431=""),"",IF(COUNTIFS(Plantings!$D$6:$D$505,D431,Plantings!$O$6:$O$505,O431,Plantings!$N$6:$N$505,N431-1)&gt;0,"Same family here last year",""))</f>
        <v/>
      </c>
      <c r="N431" s="1">
        <f>IF(ISNUMBER(B431),YEAR(B431),"")</f>
        <v/>
      </c>
      <c r="O431">
        <f>IF(C431="","",IFERROR(INDEX(Crops!$C$6:$C$65,MATCH(C431,Crops!$B$6:$B$65,0))&amp;"",""))</f>
        <v/>
      </c>
      <c r="P431">
        <f>IF(ISNUMBER(B431),INT(B431),0)</f>
        <v/>
      </c>
      <c r="Q431">
        <f>IF(AND(L431="",OR(J431="Growing",J431="Picking")),1,0)</f>
        <v/>
      </c>
      <c r="R431">
        <f>IF(AND(Q431=1,D431&lt;&gt;""),P431*1000+ROW(),0)</f>
        <v/>
      </c>
      <c r="S431">
        <f>IF(AND(AND(C431&lt;&gt;"",ISNUMBER(B431)),L431=""),1,0)</f>
        <v/>
      </c>
    </row>
    <row r="432">
      <c r="A432" s="1" t="n"/>
      <c r="B432" s="17" t="n"/>
      <c r="C432" s="18" t="n"/>
      <c r="D432" s="19" t="n"/>
      <c r="E432" s="19" t="n"/>
      <c r="F432" s="20" t="n"/>
      <c r="G432" s="17" t="n"/>
      <c r="H432" s="21" t="n"/>
      <c r="I432" s="22">
        <f>IF(NOT(AND(C432&lt;&gt;"",ISNUMBER(B432))),"",IF(N(IFERROR(INDEX(Crops!$F$6:$F$65,MATCH(C432,Crops!$B$6:$B$65,0)),0))&gt;0,INT(B432)+N(IFERROR(INDEX(Crops!$F$6:$F$65,MATCH(C432,Crops!$B$6:$B$65,0)),0)),""))</f>
        <v/>
      </c>
      <c r="J432" s="16">
        <f>IF(NOT(AND(C432&lt;&gt;"",ISNUMBER(B432))),"",IF(ISNUMBER(G432),"Done",IF(INT(B432)&gt;TODAY(),"Planned",IF(COUNTIFS(Harvest!$C$6:$C$1505,C432,Harvest!$D$6:$D$1505,D432&amp;"",Harvest!$L$6:$L$1505,"&gt;="&amp;INT(B432))&gt;0,"Picking","Growing"))))</f>
        <v/>
      </c>
      <c r="K432" s="14">
        <f>IF(OR(NOT(AND(C432&lt;&gt;"",ISNUMBER(B432))),J432="Planned"),"",IF(ISNUMBER(G432),INT(G432),TODAY())-INT(B432))</f>
        <v/>
      </c>
      <c r="L432" s="11">
        <f>IF(AND(B432="",C432="",D432=""),"",IF(NOT(ISNUMBER(B432)),"Needs a date",IF(C432="","Needs a crop",IF(COUNTIF(Crops!$B$6:$B$65,C432)=0,"Not on Crops",IF(AND(D432&lt;&gt;"",COUNTIF(Beds!$B$6:$B$35,D432)=0),"Not on Beds",IF(AND(ISNUMBER(G432),G432&lt;B432),"Cleared before it was planted",""))))))</f>
        <v/>
      </c>
      <c r="M432" s="11">
        <f>IF(OR(L432&lt;&gt;"",D432="",O432=""),"",IF(COUNTIFS(Plantings!$D$6:$D$505,D432,Plantings!$O$6:$O$505,O432,Plantings!$N$6:$N$505,N432-1)&gt;0,"Same family here last year",""))</f>
        <v/>
      </c>
      <c r="N432" s="1">
        <f>IF(ISNUMBER(B432),YEAR(B432),"")</f>
        <v/>
      </c>
      <c r="O432">
        <f>IF(C432="","",IFERROR(INDEX(Crops!$C$6:$C$65,MATCH(C432,Crops!$B$6:$B$65,0))&amp;"",""))</f>
        <v/>
      </c>
      <c r="P432">
        <f>IF(ISNUMBER(B432),INT(B432),0)</f>
        <v/>
      </c>
      <c r="Q432">
        <f>IF(AND(L432="",OR(J432="Growing",J432="Picking")),1,0)</f>
        <v/>
      </c>
      <c r="R432">
        <f>IF(AND(Q432=1,D432&lt;&gt;""),P432*1000+ROW(),0)</f>
        <v/>
      </c>
      <c r="S432">
        <f>IF(AND(AND(C432&lt;&gt;"",ISNUMBER(B432)),L432=""),1,0)</f>
        <v/>
      </c>
    </row>
    <row r="433">
      <c r="A433" s="1" t="n"/>
      <c r="B433" s="17" t="n"/>
      <c r="C433" s="18" t="n"/>
      <c r="D433" s="19" t="n"/>
      <c r="E433" s="19" t="n"/>
      <c r="F433" s="20" t="n"/>
      <c r="G433" s="17" t="n"/>
      <c r="H433" s="21" t="n"/>
      <c r="I433" s="22">
        <f>IF(NOT(AND(C433&lt;&gt;"",ISNUMBER(B433))),"",IF(N(IFERROR(INDEX(Crops!$F$6:$F$65,MATCH(C433,Crops!$B$6:$B$65,0)),0))&gt;0,INT(B433)+N(IFERROR(INDEX(Crops!$F$6:$F$65,MATCH(C433,Crops!$B$6:$B$65,0)),0)),""))</f>
        <v/>
      </c>
      <c r="J433" s="16">
        <f>IF(NOT(AND(C433&lt;&gt;"",ISNUMBER(B433))),"",IF(ISNUMBER(G433),"Done",IF(INT(B433)&gt;TODAY(),"Planned",IF(COUNTIFS(Harvest!$C$6:$C$1505,C433,Harvest!$D$6:$D$1505,D433&amp;"",Harvest!$L$6:$L$1505,"&gt;="&amp;INT(B433))&gt;0,"Picking","Growing"))))</f>
        <v/>
      </c>
      <c r="K433" s="14">
        <f>IF(OR(NOT(AND(C433&lt;&gt;"",ISNUMBER(B433))),J433="Planned"),"",IF(ISNUMBER(G433),INT(G433),TODAY())-INT(B433))</f>
        <v/>
      </c>
      <c r="L433" s="11">
        <f>IF(AND(B433="",C433="",D433=""),"",IF(NOT(ISNUMBER(B433)),"Needs a date",IF(C433="","Needs a crop",IF(COUNTIF(Crops!$B$6:$B$65,C433)=0,"Not on Crops",IF(AND(D433&lt;&gt;"",COUNTIF(Beds!$B$6:$B$35,D433)=0),"Not on Beds",IF(AND(ISNUMBER(G433),G433&lt;B433),"Cleared before it was planted",""))))))</f>
        <v/>
      </c>
      <c r="M433" s="11">
        <f>IF(OR(L433&lt;&gt;"",D433="",O433=""),"",IF(COUNTIFS(Plantings!$D$6:$D$505,D433,Plantings!$O$6:$O$505,O433,Plantings!$N$6:$N$505,N433-1)&gt;0,"Same family here last year",""))</f>
        <v/>
      </c>
      <c r="N433" s="1">
        <f>IF(ISNUMBER(B433),YEAR(B433),"")</f>
        <v/>
      </c>
      <c r="O433">
        <f>IF(C433="","",IFERROR(INDEX(Crops!$C$6:$C$65,MATCH(C433,Crops!$B$6:$B$65,0))&amp;"",""))</f>
        <v/>
      </c>
      <c r="P433">
        <f>IF(ISNUMBER(B433),INT(B433),0)</f>
        <v/>
      </c>
      <c r="Q433">
        <f>IF(AND(L433="",OR(J433="Growing",J433="Picking")),1,0)</f>
        <v/>
      </c>
      <c r="R433">
        <f>IF(AND(Q433=1,D433&lt;&gt;""),P433*1000+ROW(),0)</f>
        <v/>
      </c>
      <c r="S433">
        <f>IF(AND(AND(C433&lt;&gt;"",ISNUMBER(B433)),L433=""),1,0)</f>
        <v/>
      </c>
    </row>
    <row r="434">
      <c r="A434" s="1" t="n"/>
      <c r="B434" s="17" t="n"/>
      <c r="C434" s="18" t="n"/>
      <c r="D434" s="19" t="n"/>
      <c r="E434" s="19" t="n"/>
      <c r="F434" s="20" t="n"/>
      <c r="G434" s="17" t="n"/>
      <c r="H434" s="21" t="n"/>
      <c r="I434" s="22">
        <f>IF(NOT(AND(C434&lt;&gt;"",ISNUMBER(B434))),"",IF(N(IFERROR(INDEX(Crops!$F$6:$F$65,MATCH(C434,Crops!$B$6:$B$65,0)),0))&gt;0,INT(B434)+N(IFERROR(INDEX(Crops!$F$6:$F$65,MATCH(C434,Crops!$B$6:$B$65,0)),0)),""))</f>
        <v/>
      </c>
      <c r="J434" s="16">
        <f>IF(NOT(AND(C434&lt;&gt;"",ISNUMBER(B434))),"",IF(ISNUMBER(G434),"Done",IF(INT(B434)&gt;TODAY(),"Planned",IF(COUNTIFS(Harvest!$C$6:$C$1505,C434,Harvest!$D$6:$D$1505,D434&amp;"",Harvest!$L$6:$L$1505,"&gt;="&amp;INT(B434))&gt;0,"Picking","Growing"))))</f>
        <v/>
      </c>
      <c r="K434" s="14">
        <f>IF(OR(NOT(AND(C434&lt;&gt;"",ISNUMBER(B434))),J434="Planned"),"",IF(ISNUMBER(G434),INT(G434),TODAY())-INT(B434))</f>
        <v/>
      </c>
      <c r="L434" s="11">
        <f>IF(AND(B434="",C434="",D434=""),"",IF(NOT(ISNUMBER(B434)),"Needs a date",IF(C434="","Needs a crop",IF(COUNTIF(Crops!$B$6:$B$65,C434)=0,"Not on Crops",IF(AND(D434&lt;&gt;"",COUNTIF(Beds!$B$6:$B$35,D434)=0),"Not on Beds",IF(AND(ISNUMBER(G434),G434&lt;B434),"Cleared before it was planted",""))))))</f>
        <v/>
      </c>
      <c r="M434" s="11">
        <f>IF(OR(L434&lt;&gt;"",D434="",O434=""),"",IF(COUNTIFS(Plantings!$D$6:$D$505,D434,Plantings!$O$6:$O$505,O434,Plantings!$N$6:$N$505,N434-1)&gt;0,"Same family here last year",""))</f>
        <v/>
      </c>
      <c r="N434" s="1">
        <f>IF(ISNUMBER(B434),YEAR(B434),"")</f>
        <v/>
      </c>
      <c r="O434">
        <f>IF(C434="","",IFERROR(INDEX(Crops!$C$6:$C$65,MATCH(C434,Crops!$B$6:$B$65,0))&amp;"",""))</f>
        <v/>
      </c>
      <c r="P434">
        <f>IF(ISNUMBER(B434),INT(B434),0)</f>
        <v/>
      </c>
      <c r="Q434">
        <f>IF(AND(L434="",OR(J434="Growing",J434="Picking")),1,0)</f>
        <v/>
      </c>
      <c r="R434">
        <f>IF(AND(Q434=1,D434&lt;&gt;""),P434*1000+ROW(),0)</f>
        <v/>
      </c>
      <c r="S434">
        <f>IF(AND(AND(C434&lt;&gt;"",ISNUMBER(B434)),L434=""),1,0)</f>
        <v/>
      </c>
    </row>
    <row r="435">
      <c r="A435" s="1" t="n"/>
      <c r="B435" s="17" t="n"/>
      <c r="C435" s="18" t="n"/>
      <c r="D435" s="19" t="n"/>
      <c r="E435" s="19" t="n"/>
      <c r="F435" s="20" t="n"/>
      <c r="G435" s="17" t="n"/>
      <c r="H435" s="21" t="n"/>
      <c r="I435" s="22">
        <f>IF(NOT(AND(C435&lt;&gt;"",ISNUMBER(B435))),"",IF(N(IFERROR(INDEX(Crops!$F$6:$F$65,MATCH(C435,Crops!$B$6:$B$65,0)),0))&gt;0,INT(B435)+N(IFERROR(INDEX(Crops!$F$6:$F$65,MATCH(C435,Crops!$B$6:$B$65,0)),0)),""))</f>
        <v/>
      </c>
      <c r="J435" s="16">
        <f>IF(NOT(AND(C435&lt;&gt;"",ISNUMBER(B435))),"",IF(ISNUMBER(G435),"Done",IF(INT(B435)&gt;TODAY(),"Planned",IF(COUNTIFS(Harvest!$C$6:$C$1505,C435,Harvest!$D$6:$D$1505,D435&amp;"",Harvest!$L$6:$L$1505,"&gt;="&amp;INT(B435))&gt;0,"Picking","Growing"))))</f>
        <v/>
      </c>
      <c r="K435" s="14">
        <f>IF(OR(NOT(AND(C435&lt;&gt;"",ISNUMBER(B435))),J435="Planned"),"",IF(ISNUMBER(G435),INT(G435),TODAY())-INT(B435))</f>
        <v/>
      </c>
      <c r="L435" s="11">
        <f>IF(AND(B435="",C435="",D435=""),"",IF(NOT(ISNUMBER(B435)),"Needs a date",IF(C435="","Needs a crop",IF(COUNTIF(Crops!$B$6:$B$65,C435)=0,"Not on Crops",IF(AND(D435&lt;&gt;"",COUNTIF(Beds!$B$6:$B$35,D435)=0),"Not on Beds",IF(AND(ISNUMBER(G435),G435&lt;B435),"Cleared before it was planted",""))))))</f>
        <v/>
      </c>
      <c r="M435" s="11">
        <f>IF(OR(L435&lt;&gt;"",D435="",O435=""),"",IF(COUNTIFS(Plantings!$D$6:$D$505,D435,Plantings!$O$6:$O$505,O435,Plantings!$N$6:$N$505,N435-1)&gt;0,"Same family here last year",""))</f>
        <v/>
      </c>
      <c r="N435" s="1">
        <f>IF(ISNUMBER(B435),YEAR(B435),"")</f>
        <v/>
      </c>
      <c r="O435">
        <f>IF(C435="","",IFERROR(INDEX(Crops!$C$6:$C$65,MATCH(C435,Crops!$B$6:$B$65,0))&amp;"",""))</f>
        <v/>
      </c>
      <c r="P435">
        <f>IF(ISNUMBER(B435),INT(B435),0)</f>
        <v/>
      </c>
      <c r="Q435">
        <f>IF(AND(L435="",OR(J435="Growing",J435="Picking")),1,0)</f>
        <v/>
      </c>
      <c r="R435">
        <f>IF(AND(Q435=1,D435&lt;&gt;""),P435*1000+ROW(),0)</f>
        <v/>
      </c>
      <c r="S435">
        <f>IF(AND(AND(C435&lt;&gt;"",ISNUMBER(B435)),L435=""),1,0)</f>
        <v/>
      </c>
    </row>
    <row r="436">
      <c r="A436" s="1" t="n"/>
      <c r="B436" s="17" t="n"/>
      <c r="C436" s="18" t="n"/>
      <c r="D436" s="19" t="n"/>
      <c r="E436" s="19" t="n"/>
      <c r="F436" s="20" t="n"/>
      <c r="G436" s="17" t="n"/>
      <c r="H436" s="21" t="n"/>
      <c r="I436" s="22">
        <f>IF(NOT(AND(C436&lt;&gt;"",ISNUMBER(B436))),"",IF(N(IFERROR(INDEX(Crops!$F$6:$F$65,MATCH(C436,Crops!$B$6:$B$65,0)),0))&gt;0,INT(B436)+N(IFERROR(INDEX(Crops!$F$6:$F$65,MATCH(C436,Crops!$B$6:$B$65,0)),0)),""))</f>
        <v/>
      </c>
      <c r="J436" s="16">
        <f>IF(NOT(AND(C436&lt;&gt;"",ISNUMBER(B436))),"",IF(ISNUMBER(G436),"Done",IF(INT(B436)&gt;TODAY(),"Planned",IF(COUNTIFS(Harvest!$C$6:$C$1505,C436,Harvest!$D$6:$D$1505,D436&amp;"",Harvest!$L$6:$L$1505,"&gt;="&amp;INT(B436))&gt;0,"Picking","Growing"))))</f>
        <v/>
      </c>
      <c r="K436" s="14">
        <f>IF(OR(NOT(AND(C436&lt;&gt;"",ISNUMBER(B436))),J436="Planned"),"",IF(ISNUMBER(G436),INT(G436),TODAY())-INT(B436))</f>
        <v/>
      </c>
      <c r="L436" s="11">
        <f>IF(AND(B436="",C436="",D436=""),"",IF(NOT(ISNUMBER(B436)),"Needs a date",IF(C436="","Needs a crop",IF(COUNTIF(Crops!$B$6:$B$65,C436)=0,"Not on Crops",IF(AND(D436&lt;&gt;"",COUNTIF(Beds!$B$6:$B$35,D436)=0),"Not on Beds",IF(AND(ISNUMBER(G436),G436&lt;B436),"Cleared before it was planted",""))))))</f>
        <v/>
      </c>
      <c r="M436" s="11">
        <f>IF(OR(L436&lt;&gt;"",D436="",O436=""),"",IF(COUNTIFS(Plantings!$D$6:$D$505,D436,Plantings!$O$6:$O$505,O436,Plantings!$N$6:$N$505,N436-1)&gt;0,"Same family here last year",""))</f>
        <v/>
      </c>
      <c r="N436" s="1">
        <f>IF(ISNUMBER(B436),YEAR(B436),"")</f>
        <v/>
      </c>
      <c r="O436">
        <f>IF(C436="","",IFERROR(INDEX(Crops!$C$6:$C$65,MATCH(C436,Crops!$B$6:$B$65,0))&amp;"",""))</f>
        <v/>
      </c>
      <c r="P436">
        <f>IF(ISNUMBER(B436),INT(B436),0)</f>
        <v/>
      </c>
      <c r="Q436">
        <f>IF(AND(L436="",OR(J436="Growing",J436="Picking")),1,0)</f>
        <v/>
      </c>
      <c r="R436">
        <f>IF(AND(Q436=1,D436&lt;&gt;""),P436*1000+ROW(),0)</f>
        <v/>
      </c>
      <c r="S436">
        <f>IF(AND(AND(C436&lt;&gt;"",ISNUMBER(B436)),L436=""),1,0)</f>
        <v/>
      </c>
    </row>
    <row r="437">
      <c r="A437" s="1" t="n"/>
      <c r="B437" s="17" t="n"/>
      <c r="C437" s="18" t="n"/>
      <c r="D437" s="19" t="n"/>
      <c r="E437" s="19" t="n"/>
      <c r="F437" s="20" t="n"/>
      <c r="G437" s="17" t="n"/>
      <c r="H437" s="21" t="n"/>
      <c r="I437" s="22">
        <f>IF(NOT(AND(C437&lt;&gt;"",ISNUMBER(B437))),"",IF(N(IFERROR(INDEX(Crops!$F$6:$F$65,MATCH(C437,Crops!$B$6:$B$65,0)),0))&gt;0,INT(B437)+N(IFERROR(INDEX(Crops!$F$6:$F$65,MATCH(C437,Crops!$B$6:$B$65,0)),0)),""))</f>
        <v/>
      </c>
      <c r="J437" s="16">
        <f>IF(NOT(AND(C437&lt;&gt;"",ISNUMBER(B437))),"",IF(ISNUMBER(G437),"Done",IF(INT(B437)&gt;TODAY(),"Planned",IF(COUNTIFS(Harvest!$C$6:$C$1505,C437,Harvest!$D$6:$D$1505,D437&amp;"",Harvest!$L$6:$L$1505,"&gt;="&amp;INT(B437))&gt;0,"Picking","Growing"))))</f>
        <v/>
      </c>
      <c r="K437" s="14">
        <f>IF(OR(NOT(AND(C437&lt;&gt;"",ISNUMBER(B437))),J437="Planned"),"",IF(ISNUMBER(G437),INT(G437),TODAY())-INT(B437))</f>
        <v/>
      </c>
      <c r="L437" s="11">
        <f>IF(AND(B437="",C437="",D437=""),"",IF(NOT(ISNUMBER(B437)),"Needs a date",IF(C437="","Needs a crop",IF(COUNTIF(Crops!$B$6:$B$65,C437)=0,"Not on Crops",IF(AND(D437&lt;&gt;"",COUNTIF(Beds!$B$6:$B$35,D437)=0),"Not on Beds",IF(AND(ISNUMBER(G437),G437&lt;B437),"Cleared before it was planted",""))))))</f>
        <v/>
      </c>
      <c r="M437" s="11">
        <f>IF(OR(L437&lt;&gt;"",D437="",O437=""),"",IF(COUNTIFS(Plantings!$D$6:$D$505,D437,Plantings!$O$6:$O$505,O437,Plantings!$N$6:$N$505,N437-1)&gt;0,"Same family here last year",""))</f>
        <v/>
      </c>
      <c r="N437" s="1">
        <f>IF(ISNUMBER(B437),YEAR(B437),"")</f>
        <v/>
      </c>
      <c r="O437">
        <f>IF(C437="","",IFERROR(INDEX(Crops!$C$6:$C$65,MATCH(C437,Crops!$B$6:$B$65,0))&amp;"",""))</f>
        <v/>
      </c>
      <c r="P437">
        <f>IF(ISNUMBER(B437),INT(B437),0)</f>
        <v/>
      </c>
      <c r="Q437">
        <f>IF(AND(L437="",OR(J437="Growing",J437="Picking")),1,0)</f>
        <v/>
      </c>
      <c r="R437">
        <f>IF(AND(Q437=1,D437&lt;&gt;""),P437*1000+ROW(),0)</f>
        <v/>
      </c>
      <c r="S437">
        <f>IF(AND(AND(C437&lt;&gt;"",ISNUMBER(B437)),L437=""),1,0)</f>
        <v/>
      </c>
    </row>
    <row r="438">
      <c r="A438" s="1" t="n"/>
      <c r="B438" s="17" t="n"/>
      <c r="C438" s="18" t="n"/>
      <c r="D438" s="19" t="n"/>
      <c r="E438" s="19" t="n"/>
      <c r="F438" s="20" t="n"/>
      <c r="G438" s="17" t="n"/>
      <c r="H438" s="21" t="n"/>
      <c r="I438" s="22">
        <f>IF(NOT(AND(C438&lt;&gt;"",ISNUMBER(B438))),"",IF(N(IFERROR(INDEX(Crops!$F$6:$F$65,MATCH(C438,Crops!$B$6:$B$65,0)),0))&gt;0,INT(B438)+N(IFERROR(INDEX(Crops!$F$6:$F$65,MATCH(C438,Crops!$B$6:$B$65,0)),0)),""))</f>
        <v/>
      </c>
      <c r="J438" s="16">
        <f>IF(NOT(AND(C438&lt;&gt;"",ISNUMBER(B438))),"",IF(ISNUMBER(G438),"Done",IF(INT(B438)&gt;TODAY(),"Planned",IF(COUNTIFS(Harvest!$C$6:$C$1505,C438,Harvest!$D$6:$D$1505,D438&amp;"",Harvest!$L$6:$L$1505,"&gt;="&amp;INT(B438))&gt;0,"Picking","Growing"))))</f>
        <v/>
      </c>
      <c r="K438" s="14">
        <f>IF(OR(NOT(AND(C438&lt;&gt;"",ISNUMBER(B438))),J438="Planned"),"",IF(ISNUMBER(G438),INT(G438),TODAY())-INT(B438))</f>
        <v/>
      </c>
      <c r="L438" s="11">
        <f>IF(AND(B438="",C438="",D438=""),"",IF(NOT(ISNUMBER(B438)),"Needs a date",IF(C438="","Needs a crop",IF(COUNTIF(Crops!$B$6:$B$65,C438)=0,"Not on Crops",IF(AND(D438&lt;&gt;"",COUNTIF(Beds!$B$6:$B$35,D438)=0),"Not on Beds",IF(AND(ISNUMBER(G438),G438&lt;B438),"Cleared before it was planted",""))))))</f>
        <v/>
      </c>
      <c r="M438" s="11">
        <f>IF(OR(L438&lt;&gt;"",D438="",O438=""),"",IF(COUNTIFS(Plantings!$D$6:$D$505,D438,Plantings!$O$6:$O$505,O438,Plantings!$N$6:$N$505,N438-1)&gt;0,"Same family here last year",""))</f>
        <v/>
      </c>
      <c r="N438" s="1">
        <f>IF(ISNUMBER(B438),YEAR(B438),"")</f>
        <v/>
      </c>
      <c r="O438">
        <f>IF(C438="","",IFERROR(INDEX(Crops!$C$6:$C$65,MATCH(C438,Crops!$B$6:$B$65,0))&amp;"",""))</f>
        <v/>
      </c>
      <c r="P438">
        <f>IF(ISNUMBER(B438),INT(B438),0)</f>
        <v/>
      </c>
      <c r="Q438">
        <f>IF(AND(L438="",OR(J438="Growing",J438="Picking")),1,0)</f>
        <v/>
      </c>
      <c r="R438">
        <f>IF(AND(Q438=1,D438&lt;&gt;""),P438*1000+ROW(),0)</f>
        <v/>
      </c>
      <c r="S438">
        <f>IF(AND(AND(C438&lt;&gt;"",ISNUMBER(B438)),L438=""),1,0)</f>
        <v/>
      </c>
    </row>
    <row r="439">
      <c r="A439" s="1" t="n"/>
      <c r="B439" s="17" t="n"/>
      <c r="C439" s="18" t="n"/>
      <c r="D439" s="19" t="n"/>
      <c r="E439" s="19" t="n"/>
      <c r="F439" s="20" t="n"/>
      <c r="G439" s="17" t="n"/>
      <c r="H439" s="21" t="n"/>
      <c r="I439" s="22">
        <f>IF(NOT(AND(C439&lt;&gt;"",ISNUMBER(B439))),"",IF(N(IFERROR(INDEX(Crops!$F$6:$F$65,MATCH(C439,Crops!$B$6:$B$65,0)),0))&gt;0,INT(B439)+N(IFERROR(INDEX(Crops!$F$6:$F$65,MATCH(C439,Crops!$B$6:$B$65,0)),0)),""))</f>
        <v/>
      </c>
      <c r="J439" s="16">
        <f>IF(NOT(AND(C439&lt;&gt;"",ISNUMBER(B439))),"",IF(ISNUMBER(G439),"Done",IF(INT(B439)&gt;TODAY(),"Planned",IF(COUNTIFS(Harvest!$C$6:$C$1505,C439,Harvest!$D$6:$D$1505,D439&amp;"",Harvest!$L$6:$L$1505,"&gt;="&amp;INT(B439))&gt;0,"Picking","Growing"))))</f>
        <v/>
      </c>
      <c r="K439" s="14">
        <f>IF(OR(NOT(AND(C439&lt;&gt;"",ISNUMBER(B439))),J439="Planned"),"",IF(ISNUMBER(G439),INT(G439),TODAY())-INT(B439))</f>
        <v/>
      </c>
      <c r="L439" s="11">
        <f>IF(AND(B439="",C439="",D439=""),"",IF(NOT(ISNUMBER(B439)),"Needs a date",IF(C439="","Needs a crop",IF(COUNTIF(Crops!$B$6:$B$65,C439)=0,"Not on Crops",IF(AND(D439&lt;&gt;"",COUNTIF(Beds!$B$6:$B$35,D439)=0),"Not on Beds",IF(AND(ISNUMBER(G439),G439&lt;B439),"Cleared before it was planted",""))))))</f>
        <v/>
      </c>
      <c r="M439" s="11">
        <f>IF(OR(L439&lt;&gt;"",D439="",O439=""),"",IF(COUNTIFS(Plantings!$D$6:$D$505,D439,Plantings!$O$6:$O$505,O439,Plantings!$N$6:$N$505,N439-1)&gt;0,"Same family here last year",""))</f>
        <v/>
      </c>
      <c r="N439" s="1">
        <f>IF(ISNUMBER(B439),YEAR(B439),"")</f>
        <v/>
      </c>
      <c r="O439">
        <f>IF(C439="","",IFERROR(INDEX(Crops!$C$6:$C$65,MATCH(C439,Crops!$B$6:$B$65,0))&amp;"",""))</f>
        <v/>
      </c>
      <c r="P439">
        <f>IF(ISNUMBER(B439),INT(B439),0)</f>
        <v/>
      </c>
      <c r="Q439">
        <f>IF(AND(L439="",OR(J439="Growing",J439="Picking")),1,0)</f>
        <v/>
      </c>
      <c r="R439">
        <f>IF(AND(Q439=1,D439&lt;&gt;""),P439*1000+ROW(),0)</f>
        <v/>
      </c>
      <c r="S439">
        <f>IF(AND(AND(C439&lt;&gt;"",ISNUMBER(B439)),L439=""),1,0)</f>
        <v/>
      </c>
    </row>
    <row r="440">
      <c r="A440" s="1" t="n"/>
      <c r="B440" s="17" t="n"/>
      <c r="C440" s="18" t="n"/>
      <c r="D440" s="19" t="n"/>
      <c r="E440" s="19" t="n"/>
      <c r="F440" s="20" t="n"/>
      <c r="G440" s="17" t="n"/>
      <c r="H440" s="21" t="n"/>
      <c r="I440" s="22">
        <f>IF(NOT(AND(C440&lt;&gt;"",ISNUMBER(B440))),"",IF(N(IFERROR(INDEX(Crops!$F$6:$F$65,MATCH(C440,Crops!$B$6:$B$65,0)),0))&gt;0,INT(B440)+N(IFERROR(INDEX(Crops!$F$6:$F$65,MATCH(C440,Crops!$B$6:$B$65,0)),0)),""))</f>
        <v/>
      </c>
      <c r="J440" s="16">
        <f>IF(NOT(AND(C440&lt;&gt;"",ISNUMBER(B440))),"",IF(ISNUMBER(G440),"Done",IF(INT(B440)&gt;TODAY(),"Planned",IF(COUNTIFS(Harvest!$C$6:$C$1505,C440,Harvest!$D$6:$D$1505,D440&amp;"",Harvest!$L$6:$L$1505,"&gt;="&amp;INT(B440))&gt;0,"Picking","Growing"))))</f>
        <v/>
      </c>
      <c r="K440" s="14">
        <f>IF(OR(NOT(AND(C440&lt;&gt;"",ISNUMBER(B440))),J440="Planned"),"",IF(ISNUMBER(G440),INT(G440),TODAY())-INT(B440))</f>
        <v/>
      </c>
      <c r="L440" s="11">
        <f>IF(AND(B440="",C440="",D440=""),"",IF(NOT(ISNUMBER(B440)),"Needs a date",IF(C440="","Needs a crop",IF(COUNTIF(Crops!$B$6:$B$65,C440)=0,"Not on Crops",IF(AND(D440&lt;&gt;"",COUNTIF(Beds!$B$6:$B$35,D440)=0),"Not on Beds",IF(AND(ISNUMBER(G440),G440&lt;B440),"Cleared before it was planted",""))))))</f>
        <v/>
      </c>
      <c r="M440" s="11">
        <f>IF(OR(L440&lt;&gt;"",D440="",O440=""),"",IF(COUNTIFS(Plantings!$D$6:$D$505,D440,Plantings!$O$6:$O$505,O440,Plantings!$N$6:$N$505,N440-1)&gt;0,"Same family here last year",""))</f>
        <v/>
      </c>
      <c r="N440" s="1">
        <f>IF(ISNUMBER(B440),YEAR(B440),"")</f>
        <v/>
      </c>
      <c r="O440">
        <f>IF(C440="","",IFERROR(INDEX(Crops!$C$6:$C$65,MATCH(C440,Crops!$B$6:$B$65,0))&amp;"",""))</f>
        <v/>
      </c>
      <c r="P440">
        <f>IF(ISNUMBER(B440),INT(B440),0)</f>
        <v/>
      </c>
      <c r="Q440">
        <f>IF(AND(L440="",OR(J440="Growing",J440="Picking")),1,0)</f>
        <v/>
      </c>
      <c r="R440">
        <f>IF(AND(Q440=1,D440&lt;&gt;""),P440*1000+ROW(),0)</f>
        <v/>
      </c>
      <c r="S440">
        <f>IF(AND(AND(C440&lt;&gt;"",ISNUMBER(B440)),L440=""),1,0)</f>
        <v/>
      </c>
    </row>
    <row r="441">
      <c r="A441" s="1" t="n"/>
      <c r="B441" s="17" t="n"/>
      <c r="C441" s="18" t="n"/>
      <c r="D441" s="19" t="n"/>
      <c r="E441" s="19" t="n"/>
      <c r="F441" s="20" t="n"/>
      <c r="G441" s="17" t="n"/>
      <c r="H441" s="21" t="n"/>
      <c r="I441" s="22">
        <f>IF(NOT(AND(C441&lt;&gt;"",ISNUMBER(B441))),"",IF(N(IFERROR(INDEX(Crops!$F$6:$F$65,MATCH(C441,Crops!$B$6:$B$65,0)),0))&gt;0,INT(B441)+N(IFERROR(INDEX(Crops!$F$6:$F$65,MATCH(C441,Crops!$B$6:$B$65,0)),0)),""))</f>
        <v/>
      </c>
      <c r="J441" s="16">
        <f>IF(NOT(AND(C441&lt;&gt;"",ISNUMBER(B441))),"",IF(ISNUMBER(G441),"Done",IF(INT(B441)&gt;TODAY(),"Planned",IF(COUNTIFS(Harvest!$C$6:$C$1505,C441,Harvest!$D$6:$D$1505,D441&amp;"",Harvest!$L$6:$L$1505,"&gt;="&amp;INT(B441))&gt;0,"Picking","Growing"))))</f>
        <v/>
      </c>
      <c r="K441" s="14">
        <f>IF(OR(NOT(AND(C441&lt;&gt;"",ISNUMBER(B441))),J441="Planned"),"",IF(ISNUMBER(G441),INT(G441),TODAY())-INT(B441))</f>
        <v/>
      </c>
      <c r="L441" s="11">
        <f>IF(AND(B441="",C441="",D441=""),"",IF(NOT(ISNUMBER(B441)),"Needs a date",IF(C441="","Needs a crop",IF(COUNTIF(Crops!$B$6:$B$65,C441)=0,"Not on Crops",IF(AND(D441&lt;&gt;"",COUNTIF(Beds!$B$6:$B$35,D441)=0),"Not on Beds",IF(AND(ISNUMBER(G441),G441&lt;B441),"Cleared before it was planted",""))))))</f>
        <v/>
      </c>
      <c r="M441" s="11">
        <f>IF(OR(L441&lt;&gt;"",D441="",O441=""),"",IF(COUNTIFS(Plantings!$D$6:$D$505,D441,Plantings!$O$6:$O$505,O441,Plantings!$N$6:$N$505,N441-1)&gt;0,"Same family here last year",""))</f>
        <v/>
      </c>
      <c r="N441" s="1">
        <f>IF(ISNUMBER(B441),YEAR(B441),"")</f>
        <v/>
      </c>
      <c r="O441">
        <f>IF(C441="","",IFERROR(INDEX(Crops!$C$6:$C$65,MATCH(C441,Crops!$B$6:$B$65,0))&amp;"",""))</f>
        <v/>
      </c>
      <c r="P441">
        <f>IF(ISNUMBER(B441),INT(B441),0)</f>
        <v/>
      </c>
      <c r="Q441">
        <f>IF(AND(L441="",OR(J441="Growing",J441="Picking")),1,0)</f>
        <v/>
      </c>
      <c r="R441">
        <f>IF(AND(Q441=1,D441&lt;&gt;""),P441*1000+ROW(),0)</f>
        <v/>
      </c>
      <c r="S441">
        <f>IF(AND(AND(C441&lt;&gt;"",ISNUMBER(B441)),L441=""),1,0)</f>
        <v/>
      </c>
    </row>
    <row r="442">
      <c r="A442" s="1" t="n"/>
      <c r="B442" s="17" t="n"/>
      <c r="C442" s="18" t="n"/>
      <c r="D442" s="19" t="n"/>
      <c r="E442" s="19" t="n"/>
      <c r="F442" s="20" t="n"/>
      <c r="G442" s="17" t="n"/>
      <c r="H442" s="21" t="n"/>
      <c r="I442" s="22">
        <f>IF(NOT(AND(C442&lt;&gt;"",ISNUMBER(B442))),"",IF(N(IFERROR(INDEX(Crops!$F$6:$F$65,MATCH(C442,Crops!$B$6:$B$65,0)),0))&gt;0,INT(B442)+N(IFERROR(INDEX(Crops!$F$6:$F$65,MATCH(C442,Crops!$B$6:$B$65,0)),0)),""))</f>
        <v/>
      </c>
      <c r="J442" s="16">
        <f>IF(NOT(AND(C442&lt;&gt;"",ISNUMBER(B442))),"",IF(ISNUMBER(G442),"Done",IF(INT(B442)&gt;TODAY(),"Planned",IF(COUNTIFS(Harvest!$C$6:$C$1505,C442,Harvest!$D$6:$D$1505,D442&amp;"",Harvest!$L$6:$L$1505,"&gt;="&amp;INT(B442))&gt;0,"Picking","Growing"))))</f>
        <v/>
      </c>
      <c r="K442" s="14">
        <f>IF(OR(NOT(AND(C442&lt;&gt;"",ISNUMBER(B442))),J442="Planned"),"",IF(ISNUMBER(G442),INT(G442),TODAY())-INT(B442))</f>
        <v/>
      </c>
      <c r="L442" s="11">
        <f>IF(AND(B442="",C442="",D442=""),"",IF(NOT(ISNUMBER(B442)),"Needs a date",IF(C442="","Needs a crop",IF(COUNTIF(Crops!$B$6:$B$65,C442)=0,"Not on Crops",IF(AND(D442&lt;&gt;"",COUNTIF(Beds!$B$6:$B$35,D442)=0),"Not on Beds",IF(AND(ISNUMBER(G442),G442&lt;B442),"Cleared before it was planted",""))))))</f>
        <v/>
      </c>
      <c r="M442" s="11">
        <f>IF(OR(L442&lt;&gt;"",D442="",O442=""),"",IF(COUNTIFS(Plantings!$D$6:$D$505,D442,Plantings!$O$6:$O$505,O442,Plantings!$N$6:$N$505,N442-1)&gt;0,"Same family here last year",""))</f>
        <v/>
      </c>
      <c r="N442" s="1">
        <f>IF(ISNUMBER(B442),YEAR(B442),"")</f>
        <v/>
      </c>
      <c r="O442">
        <f>IF(C442="","",IFERROR(INDEX(Crops!$C$6:$C$65,MATCH(C442,Crops!$B$6:$B$65,0))&amp;"",""))</f>
        <v/>
      </c>
      <c r="P442">
        <f>IF(ISNUMBER(B442),INT(B442),0)</f>
        <v/>
      </c>
      <c r="Q442">
        <f>IF(AND(L442="",OR(J442="Growing",J442="Picking")),1,0)</f>
        <v/>
      </c>
      <c r="R442">
        <f>IF(AND(Q442=1,D442&lt;&gt;""),P442*1000+ROW(),0)</f>
        <v/>
      </c>
      <c r="S442">
        <f>IF(AND(AND(C442&lt;&gt;"",ISNUMBER(B442)),L442=""),1,0)</f>
        <v/>
      </c>
    </row>
    <row r="443">
      <c r="A443" s="1" t="n"/>
      <c r="B443" s="17" t="n"/>
      <c r="C443" s="18" t="n"/>
      <c r="D443" s="19" t="n"/>
      <c r="E443" s="19" t="n"/>
      <c r="F443" s="20" t="n"/>
      <c r="G443" s="17" t="n"/>
      <c r="H443" s="21" t="n"/>
      <c r="I443" s="22">
        <f>IF(NOT(AND(C443&lt;&gt;"",ISNUMBER(B443))),"",IF(N(IFERROR(INDEX(Crops!$F$6:$F$65,MATCH(C443,Crops!$B$6:$B$65,0)),0))&gt;0,INT(B443)+N(IFERROR(INDEX(Crops!$F$6:$F$65,MATCH(C443,Crops!$B$6:$B$65,0)),0)),""))</f>
        <v/>
      </c>
      <c r="J443" s="16">
        <f>IF(NOT(AND(C443&lt;&gt;"",ISNUMBER(B443))),"",IF(ISNUMBER(G443),"Done",IF(INT(B443)&gt;TODAY(),"Planned",IF(COUNTIFS(Harvest!$C$6:$C$1505,C443,Harvest!$D$6:$D$1505,D443&amp;"",Harvest!$L$6:$L$1505,"&gt;="&amp;INT(B443))&gt;0,"Picking","Growing"))))</f>
        <v/>
      </c>
      <c r="K443" s="14">
        <f>IF(OR(NOT(AND(C443&lt;&gt;"",ISNUMBER(B443))),J443="Planned"),"",IF(ISNUMBER(G443),INT(G443),TODAY())-INT(B443))</f>
        <v/>
      </c>
      <c r="L443" s="11">
        <f>IF(AND(B443="",C443="",D443=""),"",IF(NOT(ISNUMBER(B443)),"Needs a date",IF(C443="","Needs a crop",IF(COUNTIF(Crops!$B$6:$B$65,C443)=0,"Not on Crops",IF(AND(D443&lt;&gt;"",COUNTIF(Beds!$B$6:$B$35,D443)=0),"Not on Beds",IF(AND(ISNUMBER(G443),G443&lt;B443),"Cleared before it was planted",""))))))</f>
        <v/>
      </c>
      <c r="M443" s="11">
        <f>IF(OR(L443&lt;&gt;"",D443="",O443=""),"",IF(COUNTIFS(Plantings!$D$6:$D$505,D443,Plantings!$O$6:$O$505,O443,Plantings!$N$6:$N$505,N443-1)&gt;0,"Same family here last year",""))</f>
        <v/>
      </c>
      <c r="N443" s="1">
        <f>IF(ISNUMBER(B443),YEAR(B443),"")</f>
        <v/>
      </c>
      <c r="O443">
        <f>IF(C443="","",IFERROR(INDEX(Crops!$C$6:$C$65,MATCH(C443,Crops!$B$6:$B$65,0))&amp;"",""))</f>
        <v/>
      </c>
      <c r="P443">
        <f>IF(ISNUMBER(B443),INT(B443),0)</f>
        <v/>
      </c>
      <c r="Q443">
        <f>IF(AND(L443="",OR(J443="Growing",J443="Picking")),1,0)</f>
        <v/>
      </c>
      <c r="R443">
        <f>IF(AND(Q443=1,D443&lt;&gt;""),P443*1000+ROW(),0)</f>
        <v/>
      </c>
      <c r="S443">
        <f>IF(AND(AND(C443&lt;&gt;"",ISNUMBER(B443)),L443=""),1,0)</f>
        <v/>
      </c>
    </row>
    <row r="444">
      <c r="A444" s="1" t="n"/>
      <c r="B444" s="17" t="n"/>
      <c r="C444" s="18" t="n"/>
      <c r="D444" s="19" t="n"/>
      <c r="E444" s="19" t="n"/>
      <c r="F444" s="20" t="n"/>
      <c r="G444" s="17" t="n"/>
      <c r="H444" s="21" t="n"/>
      <c r="I444" s="22">
        <f>IF(NOT(AND(C444&lt;&gt;"",ISNUMBER(B444))),"",IF(N(IFERROR(INDEX(Crops!$F$6:$F$65,MATCH(C444,Crops!$B$6:$B$65,0)),0))&gt;0,INT(B444)+N(IFERROR(INDEX(Crops!$F$6:$F$65,MATCH(C444,Crops!$B$6:$B$65,0)),0)),""))</f>
        <v/>
      </c>
      <c r="J444" s="16">
        <f>IF(NOT(AND(C444&lt;&gt;"",ISNUMBER(B444))),"",IF(ISNUMBER(G444),"Done",IF(INT(B444)&gt;TODAY(),"Planned",IF(COUNTIFS(Harvest!$C$6:$C$1505,C444,Harvest!$D$6:$D$1505,D444&amp;"",Harvest!$L$6:$L$1505,"&gt;="&amp;INT(B444))&gt;0,"Picking","Growing"))))</f>
        <v/>
      </c>
      <c r="K444" s="14">
        <f>IF(OR(NOT(AND(C444&lt;&gt;"",ISNUMBER(B444))),J444="Planned"),"",IF(ISNUMBER(G444),INT(G444),TODAY())-INT(B444))</f>
        <v/>
      </c>
      <c r="L444" s="11">
        <f>IF(AND(B444="",C444="",D444=""),"",IF(NOT(ISNUMBER(B444)),"Needs a date",IF(C444="","Needs a crop",IF(COUNTIF(Crops!$B$6:$B$65,C444)=0,"Not on Crops",IF(AND(D444&lt;&gt;"",COUNTIF(Beds!$B$6:$B$35,D444)=0),"Not on Beds",IF(AND(ISNUMBER(G444),G444&lt;B444),"Cleared before it was planted",""))))))</f>
        <v/>
      </c>
      <c r="M444" s="11">
        <f>IF(OR(L444&lt;&gt;"",D444="",O444=""),"",IF(COUNTIFS(Plantings!$D$6:$D$505,D444,Plantings!$O$6:$O$505,O444,Plantings!$N$6:$N$505,N444-1)&gt;0,"Same family here last year",""))</f>
        <v/>
      </c>
      <c r="N444" s="1">
        <f>IF(ISNUMBER(B444),YEAR(B444),"")</f>
        <v/>
      </c>
      <c r="O444">
        <f>IF(C444="","",IFERROR(INDEX(Crops!$C$6:$C$65,MATCH(C444,Crops!$B$6:$B$65,0))&amp;"",""))</f>
        <v/>
      </c>
      <c r="P444">
        <f>IF(ISNUMBER(B444),INT(B444),0)</f>
        <v/>
      </c>
      <c r="Q444">
        <f>IF(AND(L444="",OR(J444="Growing",J444="Picking")),1,0)</f>
        <v/>
      </c>
      <c r="R444">
        <f>IF(AND(Q444=1,D444&lt;&gt;""),P444*1000+ROW(),0)</f>
        <v/>
      </c>
      <c r="S444">
        <f>IF(AND(AND(C444&lt;&gt;"",ISNUMBER(B444)),L444=""),1,0)</f>
        <v/>
      </c>
    </row>
    <row r="445">
      <c r="A445" s="1" t="n"/>
      <c r="B445" s="17" t="n"/>
      <c r="C445" s="18" t="n"/>
      <c r="D445" s="19" t="n"/>
      <c r="E445" s="19" t="n"/>
      <c r="F445" s="20" t="n"/>
      <c r="G445" s="17" t="n"/>
      <c r="H445" s="21" t="n"/>
      <c r="I445" s="22">
        <f>IF(NOT(AND(C445&lt;&gt;"",ISNUMBER(B445))),"",IF(N(IFERROR(INDEX(Crops!$F$6:$F$65,MATCH(C445,Crops!$B$6:$B$65,0)),0))&gt;0,INT(B445)+N(IFERROR(INDEX(Crops!$F$6:$F$65,MATCH(C445,Crops!$B$6:$B$65,0)),0)),""))</f>
        <v/>
      </c>
      <c r="J445" s="16">
        <f>IF(NOT(AND(C445&lt;&gt;"",ISNUMBER(B445))),"",IF(ISNUMBER(G445),"Done",IF(INT(B445)&gt;TODAY(),"Planned",IF(COUNTIFS(Harvest!$C$6:$C$1505,C445,Harvest!$D$6:$D$1505,D445&amp;"",Harvest!$L$6:$L$1505,"&gt;="&amp;INT(B445))&gt;0,"Picking","Growing"))))</f>
        <v/>
      </c>
      <c r="K445" s="14">
        <f>IF(OR(NOT(AND(C445&lt;&gt;"",ISNUMBER(B445))),J445="Planned"),"",IF(ISNUMBER(G445),INT(G445),TODAY())-INT(B445))</f>
        <v/>
      </c>
      <c r="L445" s="11">
        <f>IF(AND(B445="",C445="",D445=""),"",IF(NOT(ISNUMBER(B445)),"Needs a date",IF(C445="","Needs a crop",IF(COUNTIF(Crops!$B$6:$B$65,C445)=0,"Not on Crops",IF(AND(D445&lt;&gt;"",COUNTIF(Beds!$B$6:$B$35,D445)=0),"Not on Beds",IF(AND(ISNUMBER(G445),G445&lt;B445),"Cleared before it was planted",""))))))</f>
        <v/>
      </c>
      <c r="M445" s="11">
        <f>IF(OR(L445&lt;&gt;"",D445="",O445=""),"",IF(COUNTIFS(Plantings!$D$6:$D$505,D445,Plantings!$O$6:$O$505,O445,Plantings!$N$6:$N$505,N445-1)&gt;0,"Same family here last year",""))</f>
        <v/>
      </c>
      <c r="N445" s="1">
        <f>IF(ISNUMBER(B445),YEAR(B445),"")</f>
        <v/>
      </c>
      <c r="O445">
        <f>IF(C445="","",IFERROR(INDEX(Crops!$C$6:$C$65,MATCH(C445,Crops!$B$6:$B$65,0))&amp;"",""))</f>
        <v/>
      </c>
      <c r="P445">
        <f>IF(ISNUMBER(B445),INT(B445),0)</f>
        <v/>
      </c>
      <c r="Q445">
        <f>IF(AND(L445="",OR(J445="Growing",J445="Picking")),1,0)</f>
        <v/>
      </c>
      <c r="R445">
        <f>IF(AND(Q445=1,D445&lt;&gt;""),P445*1000+ROW(),0)</f>
        <v/>
      </c>
      <c r="S445">
        <f>IF(AND(AND(C445&lt;&gt;"",ISNUMBER(B445)),L445=""),1,0)</f>
        <v/>
      </c>
    </row>
    <row r="446">
      <c r="A446" s="1" t="n"/>
      <c r="B446" s="17" t="n"/>
      <c r="C446" s="18" t="n"/>
      <c r="D446" s="19" t="n"/>
      <c r="E446" s="19" t="n"/>
      <c r="F446" s="20" t="n"/>
      <c r="G446" s="17" t="n"/>
      <c r="H446" s="21" t="n"/>
      <c r="I446" s="22">
        <f>IF(NOT(AND(C446&lt;&gt;"",ISNUMBER(B446))),"",IF(N(IFERROR(INDEX(Crops!$F$6:$F$65,MATCH(C446,Crops!$B$6:$B$65,0)),0))&gt;0,INT(B446)+N(IFERROR(INDEX(Crops!$F$6:$F$65,MATCH(C446,Crops!$B$6:$B$65,0)),0)),""))</f>
        <v/>
      </c>
      <c r="J446" s="16">
        <f>IF(NOT(AND(C446&lt;&gt;"",ISNUMBER(B446))),"",IF(ISNUMBER(G446),"Done",IF(INT(B446)&gt;TODAY(),"Planned",IF(COUNTIFS(Harvest!$C$6:$C$1505,C446,Harvest!$D$6:$D$1505,D446&amp;"",Harvest!$L$6:$L$1505,"&gt;="&amp;INT(B446))&gt;0,"Picking","Growing"))))</f>
        <v/>
      </c>
      <c r="K446" s="14">
        <f>IF(OR(NOT(AND(C446&lt;&gt;"",ISNUMBER(B446))),J446="Planned"),"",IF(ISNUMBER(G446),INT(G446),TODAY())-INT(B446))</f>
        <v/>
      </c>
      <c r="L446" s="11">
        <f>IF(AND(B446="",C446="",D446=""),"",IF(NOT(ISNUMBER(B446)),"Needs a date",IF(C446="","Needs a crop",IF(COUNTIF(Crops!$B$6:$B$65,C446)=0,"Not on Crops",IF(AND(D446&lt;&gt;"",COUNTIF(Beds!$B$6:$B$35,D446)=0),"Not on Beds",IF(AND(ISNUMBER(G446),G446&lt;B446),"Cleared before it was planted",""))))))</f>
        <v/>
      </c>
      <c r="M446" s="11">
        <f>IF(OR(L446&lt;&gt;"",D446="",O446=""),"",IF(COUNTIFS(Plantings!$D$6:$D$505,D446,Plantings!$O$6:$O$505,O446,Plantings!$N$6:$N$505,N446-1)&gt;0,"Same family here last year",""))</f>
        <v/>
      </c>
      <c r="N446" s="1">
        <f>IF(ISNUMBER(B446),YEAR(B446),"")</f>
        <v/>
      </c>
      <c r="O446">
        <f>IF(C446="","",IFERROR(INDEX(Crops!$C$6:$C$65,MATCH(C446,Crops!$B$6:$B$65,0))&amp;"",""))</f>
        <v/>
      </c>
      <c r="P446">
        <f>IF(ISNUMBER(B446),INT(B446),0)</f>
        <v/>
      </c>
      <c r="Q446">
        <f>IF(AND(L446="",OR(J446="Growing",J446="Picking")),1,0)</f>
        <v/>
      </c>
      <c r="R446">
        <f>IF(AND(Q446=1,D446&lt;&gt;""),P446*1000+ROW(),0)</f>
        <v/>
      </c>
      <c r="S446">
        <f>IF(AND(AND(C446&lt;&gt;"",ISNUMBER(B446)),L446=""),1,0)</f>
        <v/>
      </c>
    </row>
    <row r="447">
      <c r="A447" s="1" t="n"/>
      <c r="B447" s="17" t="n"/>
      <c r="C447" s="18" t="n"/>
      <c r="D447" s="19" t="n"/>
      <c r="E447" s="19" t="n"/>
      <c r="F447" s="20" t="n"/>
      <c r="G447" s="17" t="n"/>
      <c r="H447" s="21" t="n"/>
      <c r="I447" s="22">
        <f>IF(NOT(AND(C447&lt;&gt;"",ISNUMBER(B447))),"",IF(N(IFERROR(INDEX(Crops!$F$6:$F$65,MATCH(C447,Crops!$B$6:$B$65,0)),0))&gt;0,INT(B447)+N(IFERROR(INDEX(Crops!$F$6:$F$65,MATCH(C447,Crops!$B$6:$B$65,0)),0)),""))</f>
        <v/>
      </c>
      <c r="J447" s="16">
        <f>IF(NOT(AND(C447&lt;&gt;"",ISNUMBER(B447))),"",IF(ISNUMBER(G447),"Done",IF(INT(B447)&gt;TODAY(),"Planned",IF(COUNTIFS(Harvest!$C$6:$C$1505,C447,Harvest!$D$6:$D$1505,D447&amp;"",Harvest!$L$6:$L$1505,"&gt;="&amp;INT(B447))&gt;0,"Picking","Growing"))))</f>
        <v/>
      </c>
      <c r="K447" s="14">
        <f>IF(OR(NOT(AND(C447&lt;&gt;"",ISNUMBER(B447))),J447="Planned"),"",IF(ISNUMBER(G447),INT(G447),TODAY())-INT(B447))</f>
        <v/>
      </c>
      <c r="L447" s="11">
        <f>IF(AND(B447="",C447="",D447=""),"",IF(NOT(ISNUMBER(B447)),"Needs a date",IF(C447="","Needs a crop",IF(COUNTIF(Crops!$B$6:$B$65,C447)=0,"Not on Crops",IF(AND(D447&lt;&gt;"",COUNTIF(Beds!$B$6:$B$35,D447)=0),"Not on Beds",IF(AND(ISNUMBER(G447),G447&lt;B447),"Cleared before it was planted",""))))))</f>
        <v/>
      </c>
      <c r="M447" s="11">
        <f>IF(OR(L447&lt;&gt;"",D447="",O447=""),"",IF(COUNTIFS(Plantings!$D$6:$D$505,D447,Plantings!$O$6:$O$505,O447,Plantings!$N$6:$N$505,N447-1)&gt;0,"Same family here last year",""))</f>
        <v/>
      </c>
      <c r="N447" s="1">
        <f>IF(ISNUMBER(B447),YEAR(B447),"")</f>
        <v/>
      </c>
      <c r="O447">
        <f>IF(C447="","",IFERROR(INDEX(Crops!$C$6:$C$65,MATCH(C447,Crops!$B$6:$B$65,0))&amp;"",""))</f>
        <v/>
      </c>
      <c r="P447">
        <f>IF(ISNUMBER(B447),INT(B447),0)</f>
        <v/>
      </c>
      <c r="Q447">
        <f>IF(AND(L447="",OR(J447="Growing",J447="Picking")),1,0)</f>
        <v/>
      </c>
      <c r="R447">
        <f>IF(AND(Q447=1,D447&lt;&gt;""),P447*1000+ROW(),0)</f>
        <v/>
      </c>
      <c r="S447">
        <f>IF(AND(AND(C447&lt;&gt;"",ISNUMBER(B447)),L447=""),1,0)</f>
        <v/>
      </c>
    </row>
    <row r="448">
      <c r="A448" s="1" t="n"/>
      <c r="B448" s="17" t="n"/>
      <c r="C448" s="18" t="n"/>
      <c r="D448" s="19" t="n"/>
      <c r="E448" s="19" t="n"/>
      <c r="F448" s="20" t="n"/>
      <c r="G448" s="17" t="n"/>
      <c r="H448" s="21" t="n"/>
      <c r="I448" s="22">
        <f>IF(NOT(AND(C448&lt;&gt;"",ISNUMBER(B448))),"",IF(N(IFERROR(INDEX(Crops!$F$6:$F$65,MATCH(C448,Crops!$B$6:$B$65,0)),0))&gt;0,INT(B448)+N(IFERROR(INDEX(Crops!$F$6:$F$65,MATCH(C448,Crops!$B$6:$B$65,0)),0)),""))</f>
        <v/>
      </c>
      <c r="J448" s="16">
        <f>IF(NOT(AND(C448&lt;&gt;"",ISNUMBER(B448))),"",IF(ISNUMBER(G448),"Done",IF(INT(B448)&gt;TODAY(),"Planned",IF(COUNTIFS(Harvest!$C$6:$C$1505,C448,Harvest!$D$6:$D$1505,D448&amp;"",Harvest!$L$6:$L$1505,"&gt;="&amp;INT(B448))&gt;0,"Picking","Growing"))))</f>
        <v/>
      </c>
      <c r="K448" s="14">
        <f>IF(OR(NOT(AND(C448&lt;&gt;"",ISNUMBER(B448))),J448="Planned"),"",IF(ISNUMBER(G448),INT(G448),TODAY())-INT(B448))</f>
        <v/>
      </c>
      <c r="L448" s="11">
        <f>IF(AND(B448="",C448="",D448=""),"",IF(NOT(ISNUMBER(B448)),"Needs a date",IF(C448="","Needs a crop",IF(COUNTIF(Crops!$B$6:$B$65,C448)=0,"Not on Crops",IF(AND(D448&lt;&gt;"",COUNTIF(Beds!$B$6:$B$35,D448)=0),"Not on Beds",IF(AND(ISNUMBER(G448),G448&lt;B448),"Cleared before it was planted",""))))))</f>
        <v/>
      </c>
      <c r="M448" s="11">
        <f>IF(OR(L448&lt;&gt;"",D448="",O448=""),"",IF(COUNTIFS(Plantings!$D$6:$D$505,D448,Plantings!$O$6:$O$505,O448,Plantings!$N$6:$N$505,N448-1)&gt;0,"Same family here last year",""))</f>
        <v/>
      </c>
      <c r="N448" s="1">
        <f>IF(ISNUMBER(B448),YEAR(B448),"")</f>
        <v/>
      </c>
      <c r="O448">
        <f>IF(C448="","",IFERROR(INDEX(Crops!$C$6:$C$65,MATCH(C448,Crops!$B$6:$B$65,0))&amp;"",""))</f>
        <v/>
      </c>
      <c r="P448">
        <f>IF(ISNUMBER(B448),INT(B448),0)</f>
        <v/>
      </c>
      <c r="Q448">
        <f>IF(AND(L448="",OR(J448="Growing",J448="Picking")),1,0)</f>
        <v/>
      </c>
      <c r="R448">
        <f>IF(AND(Q448=1,D448&lt;&gt;""),P448*1000+ROW(),0)</f>
        <v/>
      </c>
      <c r="S448">
        <f>IF(AND(AND(C448&lt;&gt;"",ISNUMBER(B448)),L448=""),1,0)</f>
        <v/>
      </c>
    </row>
    <row r="449">
      <c r="A449" s="1" t="n"/>
      <c r="B449" s="17" t="n"/>
      <c r="C449" s="18" t="n"/>
      <c r="D449" s="19" t="n"/>
      <c r="E449" s="19" t="n"/>
      <c r="F449" s="20" t="n"/>
      <c r="G449" s="17" t="n"/>
      <c r="H449" s="21" t="n"/>
      <c r="I449" s="22">
        <f>IF(NOT(AND(C449&lt;&gt;"",ISNUMBER(B449))),"",IF(N(IFERROR(INDEX(Crops!$F$6:$F$65,MATCH(C449,Crops!$B$6:$B$65,0)),0))&gt;0,INT(B449)+N(IFERROR(INDEX(Crops!$F$6:$F$65,MATCH(C449,Crops!$B$6:$B$65,0)),0)),""))</f>
        <v/>
      </c>
      <c r="J449" s="16">
        <f>IF(NOT(AND(C449&lt;&gt;"",ISNUMBER(B449))),"",IF(ISNUMBER(G449),"Done",IF(INT(B449)&gt;TODAY(),"Planned",IF(COUNTIFS(Harvest!$C$6:$C$1505,C449,Harvest!$D$6:$D$1505,D449&amp;"",Harvest!$L$6:$L$1505,"&gt;="&amp;INT(B449))&gt;0,"Picking","Growing"))))</f>
        <v/>
      </c>
      <c r="K449" s="14">
        <f>IF(OR(NOT(AND(C449&lt;&gt;"",ISNUMBER(B449))),J449="Planned"),"",IF(ISNUMBER(G449),INT(G449),TODAY())-INT(B449))</f>
        <v/>
      </c>
      <c r="L449" s="11">
        <f>IF(AND(B449="",C449="",D449=""),"",IF(NOT(ISNUMBER(B449)),"Needs a date",IF(C449="","Needs a crop",IF(COUNTIF(Crops!$B$6:$B$65,C449)=0,"Not on Crops",IF(AND(D449&lt;&gt;"",COUNTIF(Beds!$B$6:$B$35,D449)=0),"Not on Beds",IF(AND(ISNUMBER(G449),G449&lt;B449),"Cleared before it was planted",""))))))</f>
        <v/>
      </c>
      <c r="M449" s="11">
        <f>IF(OR(L449&lt;&gt;"",D449="",O449=""),"",IF(COUNTIFS(Plantings!$D$6:$D$505,D449,Plantings!$O$6:$O$505,O449,Plantings!$N$6:$N$505,N449-1)&gt;0,"Same family here last year",""))</f>
        <v/>
      </c>
      <c r="N449" s="1">
        <f>IF(ISNUMBER(B449),YEAR(B449),"")</f>
        <v/>
      </c>
      <c r="O449">
        <f>IF(C449="","",IFERROR(INDEX(Crops!$C$6:$C$65,MATCH(C449,Crops!$B$6:$B$65,0))&amp;"",""))</f>
        <v/>
      </c>
      <c r="P449">
        <f>IF(ISNUMBER(B449),INT(B449),0)</f>
        <v/>
      </c>
      <c r="Q449">
        <f>IF(AND(L449="",OR(J449="Growing",J449="Picking")),1,0)</f>
        <v/>
      </c>
      <c r="R449">
        <f>IF(AND(Q449=1,D449&lt;&gt;""),P449*1000+ROW(),0)</f>
        <v/>
      </c>
      <c r="S449">
        <f>IF(AND(AND(C449&lt;&gt;"",ISNUMBER(B449)),L449=""),1,0)</f>
        <v/>
      </c>
    </row>
    <row r="450">
      <c r="A450" s="1" t="n"/>
      <c r="B450" s="17" t="n"/>
      <c r="C450" s="18" t="n"/>
      <c r="D450" s="19" t="n"/>
      <c r="E450" s="19" t="n"/>
      <c r="F450" s="20" t="n"/>
      <c r="G450" s="17" t="n"/>
      <c r="H450" s="21" t="n"/>
      <c r="I450" s="22">
        <f>IF(NOT(AND(C450&lt;&gt;"",ISNUMBER(B450))),"",IF(N(IFERROR(INDEX(Crops!$F$6:$F$65,MATCH(C450,Crops!$B$6:$B$65,0)),0))&gt;0,INT(B450)+N(IFERROR(INDEX(Crops!$F$6:$F$65,MATCH(C450,Crops!$B$6:$B$65,0)),0)),""))</f>
        <v/>
      </c>
      <c r="J450" s="16">
        <f>IF(NOT(AND(C450&lt;&gt;"",ISNUMBER(B450))),"",IF(ISNUMBER(G450),"Done",IF(INT(B450)&gt;TODAY(),"Planned",IF(COUNTIFS(Harvest!$C$6:$C$1505,C450,Harvest!$D$6:$D$1505,D450&amp;"",Harvest!$L$6:$L$1505,"&gt;="&amp;INT(B450))&gt;0,"Picking","Growing"))))</f>
        <v/>
      </c>
      <c r="K450" s="14">
        <f>IF(OR(NOT(AND(C450&lt;&gt;"",ISNUMBER(B450))),J450="Planned"),"",IF(ISNUMBER(G450),INT(G450),TODAY())-INT(B450))</f>
        <v/>
      </c>
      <c r="L450" s="11">
        <f>IF(AND(B450="",C450="",D450=""),"",IF(NOT(ISNUMBER(B450)),"Needs a date",IF(C450="","Needs a crop",IF(COUNTIF(Crops!$B$6:$B$65,C450)=0,"Not on Crops",IF(AND(D450&lt;&gt;"",COUNTIF(Beds!$B$6:$B$35,D450)=0),"Not on Beds",IF(AND(ISNUMBER(G450),G450&lt;B450),"Cleared before it was planted",""))))))</f>
        <v/>
      </c>
      <c r="M450" s="11">
        <f>IF(OR(L450&lt;&gt;"",D450="",O450=""),"",IF(COUNTIFS(Plantings!$D$6:$D$505,D450,Plantings!$O$6:$O$505,O450,Plantings!$N$6:$N$505,N450-1)&gt;0,"Same family here last year",""))</f>
        <v/>
      </c>
      <c r="N450" s="1">
        <f>IF(ISNUMBER(B450),YEAR(B450),"")</f>
        <v/>
      </c>
      <c r="O450">
        <f>IF(C450="","",IFERROR(INDEX(Crops!$C$6:$C$65,MATCH(C450,Crops!$B$6:$B$65,0))&amp;"",""))</f>
        <v/>
      </c>
      <c r="P450">
        <f>IF(ISNUMBER(B450),INT(B450),0)</f>
        <v/>
      </c>
      <c r="Q450">
        <f>IF(AND(L450="",OR(J450="Growing",J450="Picking")),1,0)</f>
        <v/>
      </c>
      <c r="R450">
        <f>IF(AND(Q450=1,D450&lt;&gt;""),P450*1000+ROW(),0)</f>
        <v/>
      </c>
      <c r="S450">
        <f>IF(AND(AND(C450&lt;&gt;"",ISNUMBER(B450)),L450=""),1,0)</f>
        <v/>
      </c>
    </row>
    <row r="451">
      <c r="A451" s="1" t="n"/>
      <c r="B451" s="17" t="n"/>
      <c r="C451" s="18" t="n"/>
      <c r="D451" s="19" t="n"/>
      <c r="E451" s="19" t="n"/>
      <c r="F451" s="20" t="n"/>
      <c r="G451" s="17" t="n"/>
      <c r="H451" s="21" t="n"/>
      <c r="I451" s="22">
        <f>IF(NOT(AND(C451&lt;&gt;"",ISNUMBER(B451))),"",IF(N(IFERROR(INDEX(Crops!$F$6:$F$65,MATCH(C451,Crops!$B$6:$B$65,0)),0))&gt;0,INT(B451)+N(IFERROR(INDEX(Crops!$F$6:$F$65,MATCH(C451,Crops!$B$6:$B$65,0)),0)),""))</f>
        <v/>
      </c>
      <c r="J451" s="16">
        <f>IF(NOT(AND(C451&lt;&gt;"",ISNUMBER(B451))),"",IF(ISNUMBER(G451),"Done",IF(INT(B451)&gt;TODAY(),"Planned",IF(COUNTIFS(Harvest!$C$6:$C$1505,C451,Harvest!$D$6:$D$1505,D451&amp;"",Harvest!$L$6:$L$1505,"&gt;="&amp;INT(B451))&gt;0,"Picking","Growing"))))</f>
        <v/>
      </c>
      <c r="K451" s="14">
        <f>IF(OR(NOT(AND(C451&lt;&gt;"",ISNUMBER(B451))),J451="Planned"),"",IF(ISNUMBER(G451),INT(G451),TODAY())-INT(B451))</f>
        <v/>
      </c>
      <c r="L451" s="11">
        <f>IF(AND(B451="",C451="",D451=""),"",IF(NOT(ISNUMBER(B451)),"Needs a date",IF(C451="","Needs a crop",IF(COUNTIF(Crops!$B$6:$B$65,C451)=0,"Not on Crops",IF(AND(D451&lt;&gt;"",COUNTIF(Beds!$B$6:$B$35,D451)=0),"Not on Beds",IF(AND(ISNUMBER(G451),G451&lt;B451),"Cleared before it was planted",""))))))</f>
        <v/>
      </c>
      <c r="M451" s="11">
        <f>IF(OR(L451&lt;&gt;"",D451="",O451=""),"",IF(COUNTIFS(Plantings!$D$6:$D$505,D451,Plantings!$O$6:$O$505,O451,Plantings!$N$6:$N$505,N451-1)&gt;0,"Same family here last year",""))</f>
        <v/>
      </c>
      <c r="N451" s="1">
        <f>IF(ISNUMBER(B451),YEAR(B451),"")</f>
        <v/>
      </c>
      <c r="O451">
        <f>IF(C451="","",IFERROR(INDEX(Crops!$C$6:$C$65,MATCH(C451,Crops!$B$6:$B$65,0))&amp;"",""))</f>
        <v/>
      </c>
      <c r="P451">
        <f>IF(ISNUMBER(B451),INT(B451),0)</f>
        <v/>
      </c>
      <c r="Q451">
        <f>IF(AND(L451="",OR(J451="Growing",J451="Picking")),1,0)</f>
        <v/>
      </c>
      <c r="R451">
        <f>IF(AND(Q451=1,D451&lt;&gt;""),P451*1000+ROW(),0)</f>
        <v/>
      </c>
      <c r="S451">
        <f>IF(AND(AND(C451&lt;&gt;"",ISNUMBER(B451)),L451=""),1,0)</f>
        <v/>
      </c>
    </row>
    <row r="452">
      <c r="A452" s="1" t="n"/>
      <c r="B452" s="17" t="n"/>
      <c r="C452" s="18" t="n"/>
      <c r="D452" s="19" t="n"/>
      <c r="E452" s="19" t="n"/>
      <c r="F452" s="20" t="n"/>
      <c r="G452" s="17" t="n"/>
      <c r="H452" s="21" t="n"/>
      <c r="I452" s="22">
        <f>IF(NOT(AND(C452&lt;&gt;"",ISNUMBER(B452))),"",IF(N(IFERROR(INDEX(Crops!$F$6:$F$65,MATCH(C452,Crops!$B$6:$B$65,0)),0))&gt;0,INT(B452)+N(IFERROR(INDEX(Crops!$F$6:$F$65,MATCH(C452,Crops!$B$6:$B$65,0)),0)),""))</f>
        <v/>
      </c>
      <c r="J452" s="16">
        <f>IF(NOT(AND(C452&lt;&gt;"",ISNUMBER(B452))),"",IF(ISNUMBER(G452),"Done",IF(INT(B452)&gt;TODAY(),"Planned",IF(COUNTIFS(Harvest!$C$6:$C$1505,C452,Harvest!$D$6:$D$1505,D452&amp;"",Harvest!$L$6:$L$1505,"&gt;="&amp;INT(B452))&gt;0,"Picking","Growing"))))</f>
        <v/>
      </c>
      <c r="K452" s="14">
        <f>IF(OR(NOT(AND(C452&lt;&gt;"",ISNUMBER(B452))),J452="Planned"),"",IF(ISNUMBER(G452),INT(G452),TODAY())-INT(B452))</f>
        <v/>
      </c>
      <c r="L452" s="11">
        <f>IF(AND(B452="",C452="",D452=""),"",IF(NOT(ISNUMBER(B452)),"Needs a date",IF(C452="","Needs a crop",IF(COUNTIF(Crops!$B$6:$B$65,C452)=0,"Not on Crops",IF(AND(D452&lt;&gt;"",COUNTIF(Beds!$B$6:$B$35,D452)=0),"Not on Beds",IF(AND(ISNUMBER(G452),G452&lt;B452),"Cleared before it was planted",""))))))</f>
        <v/>
      </c>
      <c r="M452" s="11">
        <f>IF(OR(L452&lt;&gt;"",D452="",O452=""),"",IF(COUNTIFS(Plantings!$D$6:$D$505,D452,Plantings!$O$6:$O$505,O452,Plantings!$N$6:$N$505,N452-1)&gt;0,"Same family here last year",""))</f>
        <v/>
      </c>
      <c r="N452" s="1">
        <f>IF(ISNUMBER(B452),YEAR(B452),"")</f>
        <v/>
      </c>
      <c r="O452">
        <f>IF(C452="","",IFERROR(INDEX(Crops!$C$6:$C$65,MATCH(C452,Crops!$B$6:$B$65,0))&amp;"",""))</f>
        <v/>
      </c>
      <c r="P452">
        <f>IF(ISNUMBER(B452),INT(B452),0)</f>
        <v/>
      </c>
      <c r="Q452">
        <f>IF(AND(L452="",OR(J452="Growing",J452="Picking")),1,0)</f>
        <v/>
      </c>
      <c r="R452">
        <f>IF(AND(Q452=1,D452&lt;&gt;""),P452*1000+ROW(),0)</f>
        <v/>
      </c>
      <c r="S452">
        <f>IF(AND(AND(C452&lt;&gt;"",ISNUMBER(B452)),L452=""),1,0)</f>
        <v/>
      </c>
    </row>
    <row r="453">
      <c r="A453" s="1" t="n"/>
      <c r="B453" s="17" t="n"/>
      <c r="C453" s="18" t="n"/>
      <c r="D453" s="19" t="n"/>
      <c r="E453" s="19" t="n"/>
      <c r="F453" s="20" t="n"/>
      <c r="G453" s="17" t="n"/>
      <c r="H453" s="21" t="n"/>
      <c r="I453" s="22">
        <f>IF(NOT(AND(C453&lt;&gt;"",ISNUMBER(B453))),"",IF(N(IFERROR(INDEX(Crops!$F$6:$F$65,MATCH(C453,Crops!$B$6:$B$65,0)),0))&gt;0,INT(B453)+N(IFERROR(INDEX(Crops!$F$6:$F$65,MATCH(C453,Crops!$B$6:$B$65,0)),0)),""))</f>
        <v/>
      </c>
      <c r="J453" s="16">
        <f>IF(NOT(AND(C453&lt;&gt;"",ISNUMBER(B453))),"",IF(ISNUMBER(G453),"Done",IF(INT(B453)&gt;TODAY(),"Planned",IF(COUNTIFS(Harvest!$C$6:$C$1505,C453,Harvest!$D$6:$D$1505,D453&amp;"",Harvest!$L$6:$L$1505,"&gt;="&amp;INT(B453))&gt;0,"Picking","Growing"))))</f>
        <v/>
      </c>
      <c r="K453" s="14">
        <f>IF(OR(NOT(AND(C453&lt;&gt;"",ISNUMBER(B453))),J453="Planned"),"",IF(ISNUMBER(G453),INT(G453),TODAY())-INT(B453))</f>
        <v/>
      </c>
      <c r="L453" s="11">
        <f>IF(AND(B453="",C453="",D453=""),"",IF(NOT(ISNUMBER(B453)),"Needs a date",IF(C453="","Needs a crop",IF(COUNTIF(Crops!$B$6:$B$65,C453)=0,"Not on Crops",IF(AND(D453&lt;&gt;"",COUNTIF(Beds!$B$6:$B$35,D453)=0),"Not on Beds",IF(AND(ISNUMBER(G453),G453&lt;B453),"Cleared before it was planted",""))))))</f>
        <v/>
      </c>
      <c r="M453" s="11">
        <f>IF(OR(L453&lt;&gt;"",D453="",O453=""),"",IF(COUNTIFS(Plantings!$D$6:$D$505,D453,Plantings!$O$6:$O$505,O453,Plantings!$N$6:$N$505,N453-1)&gt;0,"Same family here last year",""))</f>
        <v/>
      </c>
      <c r="N453" s="1">
        <f>IF(ISNUMBER(B453),YEAR(B453),"")</f>
        <v/>
      </c>
      <c r="O453">
        <f>IF(C453="","",IFERROR(INDEX(Crops!$C$6:$C$65,MATCH(C453,Crops!$B$6:$B$65,0))&amp;"",""))</f>
        <v/>
      </c>
      <c r="P453">
        <f>IF(ISNUMBER(B453),INT(B453),0)</f>
        <v/>
      </c>
      <c r="Q453">
        <f>IF(AND(L453="",OR(J453="Growing",J453="Picking")),1,0)</f>
        <v/>
      </c>
      <c r="R453">
        <f>IF(AND(Q453=1,D453&lt;&gt;""),P453*1000+ROW(),0)</f>
        <v/>
      </c>
      <c r="S453">
        <f>IF(AND(AND(C453&lt;&gt;"",ISNUMBER(B453)),L453=""),1,0)</f>
        <v/>
      </c>
    </row>
    <row r="454">
      <c r="A454" s="1" t="n"/>
      <c r="B454" s="17" t="n"/>
      <c r="C454" s="18" t="n"/>
      <c r="D454" s="19" t="n"/>
      <c r="E454" s="19" t="n"/>
      <c r="F454" s="20" t="n"/>
      <c r="G454" s="17" t="n"/>
      <c r="H454" s="21" t="n"/>
      <c r="I454" s="22">
        <f>IF(NOT(AND(C454&lt;&gt;"",ISNUMBER(B454))),"",IF(N(IFERROR(INDEX(Crops!$F$6:$F$65,MATCH(C454,Crops!$B$6:$B$65,0)),0))&gt;0,INT(B454)+N(IFERROR(INDEX(Crops!$F$6:$F$65,MATCH(C454,Crops!$B$6:$B$65,0)),0)),""))</f>
        <v/>
      </c>
      <c r="J454" s="16">
        <f>IF(NOT(AND(C454&lt;&gt;"",ISNUMBER(B454))),"",IF(ISNUMBER(G454),"Done",IF(INT(B454)&gt;TODAY(),"Planned",IF(COUNTIFS(Harvest!$C$6:$C$1505,C454,Harvest!$D$6:$D$1505,D454&amp;"",Harvest!$L$6:$L$1505,"&gt;="&amp;INT(B454))&gt;0,"Picking","Growing"))))</f>
        <v/>
      </c>
      <c r="K454" s="14">
        <f>IF(OR(NOT(AND(C454&lt;&gt;"",ISNUMBER(B454))),J454="Planned"),"",IF(ISNUMBER(G454),INT(G454),TODAY())-INT(B454))</f>
        <v/>
      </c>
      <c r="L454" s="11">
        <f>IF(AND(B454="",C454="",D454=""),"",IF(NOT(ISNUMBER(B454)),"Needs a date",IF(C454="","Needs a crop",IF(COUNTIF(Crops!$B$6:$B$65,C454)=0,"Not on Crops",IF(AND(D454&lt;&gt;"",COUNTIF(Beds!$B$6:$B$35,D454)=0),"Not on Beds",IF(AND(ISNUMBER(G454),G454&lt;B454),"Cleared before it was planted",""))))))</f>
        <v/>
      </c>
      <c r="M454" s="11">
        <f>IF(OR(L454&lt;&gt;"",D454="",O454=""),"",IF(COUNTIFS(Plantings!$D$6:$D$505,D454,Plantings!$O$6:$O$505,O454,Plantings!$N$6:$N$505,N454-1)&gt;0,"Same family here last year",""))</f>
        <v/>
      </c>
      <c r="N454" s="1">
        <f>IF(ISNUMBER(B454),YEAR(B454),"")</f>
        <v/>
      </c>
      <c r="O454">
        <f>IF(C454="","",IFERROR(INDEX(Crops!$C$6:$C$65,MATCH(C454,Crops!$B$6:$B$65,0))&amp;"",""))</f>
        <v/>
      </c>
      <c r="P454">
        <f>IF(ISNUMBER(B454),INT(B454),0)</f>
        <v/>
      </c>
      <c r="Q454">
        <f>IF(AND(L454="",OR(J454="Growing",J454="Picking")),1,0)</f>
        <v/>
      </c>
      <c r="R454">
        <f>IF(AND(Q454=1,D454&lt;&gt;""),P454*1000+ROW(),0)</f>
        <v/>
      </c>
      <c r="S454">
        <f>IF(AND(AND(C454&lt;&gt;"",ISNUMBER(B454)),L454=""),1,0)</f>
        <v/>
      </c>
    </row>
    <row r="455">
      <c r="A455" s="1" t="n"/>
      <c r="B455" s="17" t="n"/>
      <c r="C455" s="18" t="n"/>
      <c r="D455" s="19" t="n"/>
      <c r="E455" s="19" t="n"/>
      <c r="F455" s="20" t="n"/>
      <c r="G455" s="17" t="n"/>
      <c r="H455" s="21" t="n"/>
      <c r="I455" s="22">
        <f>IF(NOT(AND(C455&lt;&gt;"",ISNUMBER(B455))),"",IF(N(IFERROR(INDEX(Crops!$F$6:$F$65,MATCH(C455,Crops!$B$6:$B$65,0)),0))&gt;0,INT(B455)+N(IFERROR(INDEX(Crops!$F$6:$F$65,MATCH(C455,Crops!$B$6:$B$65,0)),0)),""))</f>
        <v/>
      </c>
      <c r="J455" s="16">
        <f>IF(NOT(AND(C455&lt;&gt;"",ISNUMBER(B455))),"",IF(ISNUMBER(G455),"Done",IF(INT(B455)&gt;TODAY(),"Planned",IF(COUNTIFS(Harvest!$C$6:$C$1505,C455,Harvest!$D$6:$D$1505,D455&amp;"",Harvest!$L$6:$L$1505,"&gt;="&amp;INT(B455))&gt;0,"Picking","Growing"))))</f>
        <v/>
      </c>
      <c r="K455" s="14">
        <f>IF(OR(NOT(AND(C455&lt;&gt;"",ISNUMBER(B455))),J455="Planned"),"",IF(ISNUMBER(G455),INT(G455),TODAY())-INT(B455))</f>
        <v/>
      </c>
      <c r="L455" s="11">
        <f>IF(AND(B455="",C455="",D455=""),"",IF(NOT(ISNUMBER(B455)),"Needs a date",IF(C455="","Needs a crop",IF(COUNTIF(Crops!$B$6:$B$65,C455)=0,"Not on Crops",IF(AND(D455&lt;&gt;"",COUNTIF(Beds!$B$6:$B$35,D455)=0),"Not on Beds",IF(AND(ISNUMBER(G455),G455&lt;B455),"Cleared before it was planted",""))))))</f>
        <v/>
      </c>
      <c r="M455" s="11">
        <f>IF(OR(L455&lt;&gt;"",D455="",O455=""),"",IF(COUNTIFS(Plantings!$D$6:$D$505,D455,Plantings!$O$6:$O$505,O455,Plantings!$N$6:$N$505,N455-1)&gt;0,"Same family here last year",""))</f>
        <v/>
      </c>
      <c r="N455" s="1">
        <f>IF(ISNUMBER(B455),YEAR(B455),"")</f>
        <v/>
      </c>
      <c r="O455">
        <f>IF(C455="","",IFERROR(INDEX(Crops!$C$6:$C$65,MATCH(C455,Crops!$B$6:$B$65,0))&amp;"",""))</f>
        <v/>
      </c>
      <c r="P455">
        <f>IF(ISNUMBER(B455),INT(B455),0)</f>
        <v/>
      </c>
      <c r="Q455">
        <f>IF(AND(L455="",OR(J455="Growing",J455="Picking")),1,0)</f>
        <v/>
      </c>
      <c r="R455">
        <f>IF(AND(Q455=1,D455&lt;&gt;""),P455*1000+ROW(),0)</f>
        <v/>
      </c>
      <c r="S455">
        <f>IF(AND(AND(C455&lt;&gt;"",ISNUMBER(B455)),L455=""),1,0)</f>
        <v/>
      </c>
    </row>
    <row r="456">
      <c r="A456" s="1" t="n"/>
      <c r="B456" s="17" t="n"/>
      <c r="C456" s="18" t="n"/>
      <c r="D456" s="19" t="n"/>
      <c r="E456" s="19" t="n"/>
      <c r="F456" s="20" t="n"/>
      <c r="G456" s="17" t="n"/>
      <c r="H456" s="21" t="n"/>
      <c r="I456" s="22">
        <f>IF(NOT(AND(C456&lt;&gt;"",ISNUMBER(B456))),"",IF(N(IFERROR(INDEX(Crops!$F$6:$F$65,MATCH(C456,Crops!$B$6:$B$65,0)),0))&gt;0,INT(B456)+N(IFERROR(INDEX(Crops!$F$6:$F$65,MATCH(C456,Crops!$B$6:$B$65,0)),0)),""))</f>
        <v/>
      </c>
      <c r="J456" s="16">
        <f>IF(NOT(AND(C456&lt;&gt;"",ISNUMBER(B456))),"",IF(ISNUMBER(G456),"Done",IF(INT(B456)&gt;TODAY(),"Planned",IF(COUNTIFS(Harvest!$C$6:$C$1505,C456,Harvest!$D$6:$D$1505,D456&amp;"",Harvest!$L$6:$L$1505,"&gt;="&amp;INT(B456))&gt;0,"Picking","Growing"))))</f>
        <v/>
      </c>
      <c r="K456" s="14">
        <f>IF(OR(NOT(AND(C456&lt;&gt;"",ISNUMBER(B456))),J456="Planned"),"",IF(ISNUMBER(G456),INT(G456),TODAY())-INT(B456))</f>
        <v/>
      </c>
      <c r="L456" s="11">
        <f>IF(AND(B456="",C456="",D456=""),"",IF(NOT(ISNUMBER(B456)),"Needs a date",IF(C456="","Needs a crop",IF(COUNTIF(Crops!$B$6:$B$65,C456)=0,"Not on Crops",IF(AND(D456&lt;&gt;"",COUNTIF(Beds!$B$6:$B$35,D456)=0),"Not on Beds",IF(AND(ISNUMBER(G456),G456&lt;B456),"Cleared before it was planted",""))))))</f>
        <v/>
      </c>
      <c r="M456" s="11">
        <f>IF(OR(L456&lt;&gt;"",D456="",O456=""),"",IF(COUNTIFS(Plantings!$D$6:$D$505,D456,Plantings!$O$6:$O$505,O456,Plantings!$N$6:$N$505,N456-1)&gt;0,"Same family here last year",""))</f>
        <v/>
      </c>
      <c r="N456" s="1">
        <f>IF(ISNUMBER(B456),YEAR(B456),"")</f>
        <v/>
      </c>
      <c r="O456">
        <f>IF(C456="","",IFERROR(INDEX(Crops!$C$6:$C$65,MATCH(C456,Crops!$B$6:$B$65,0))&amp;"",""))</f>
        <v/>
      </c>
      <c r="P456">
        <f>IF(ISNUMBER(B456),INT(B456),0)</f>
        <v/>
      </c>
      <c r="Q456">
        <f>IF(AND(L456="",OR(J456="Growing",J456="Picking")),1,0)</f>
        <v/>
      </c>
      <c r="R456">
        <f>IF(AND(Q456=1,D456&lt;&gt;""),P456*1000+ROW(),0)</f>
        <v/>
      </c>
      <c r="S456">
        <f>IF(AND(AND(C456&lt;&gt;"",ISNUMBER(B456)),L456=""),1,0)</f>
        <v/>
      </c>
    </row>
    <row r="457">
      <c r="A457" s="1" t="n"/>
      <c r="B457" s="17" t="n"/>
      <c r="C457" s="18" t="n"/>
      <c r="D457" s="19" t="n"/>
      <c r="E457" s="19" t="n"/>
      <c r="F457" s="20" t="n"/>
      <c r="G457" s="17" t="n"/>
      <c r="H457" s="21" t="n"/>
      <c r="I457" s="22">
        <f>IF(NOT(AND(C457&lt;&gt;"",ISNUMBER(B457))),"",IF(N(IFERROR(INDEX(Crops!$F$6:$F$65,MATCH(C457,Crops!$B$6:$B$65,0)),0))&gt;0,INT(B457)+N(IFERROR(INDEX(Crops!$F$6:$F$65,MATCH(C457,Crops!$B$6:$B$65,0)),0)),""))</f>
        <v/>
      </c>
      <c r="J457" s="16">
        <f>IF(NOT(AND(C457&lt;&gt;"",ISNUMBER(B457))),"",IF(ISNUMBER(G457),"Done",IF(INT(B457)&gt;TODAY(),"Planned",IF(COUNTIFS(Harvest!$C$6:$C$1505,C457,Harvest!$D$6:$D$1505,D457&amp;"",Harvest!$L$6:$L$1505,"&gt;="&amp;INT(B457))&gt;0,"Picking","Growing"))))</f>
        <v/>
      </c>
      <c r="K457" s="14">
        <f>IF(OR(NOT(AND(C457&lt;&gt;"",ISNUMBER(B457))),J457="Planned"),"",IF(ISNUMBER(G457),INT(G457),TODAY())-INT(B457))</f>
        <v/>
      </c>
      <c r="L457" s="11">
        <f>IF(AND(B457="",C457="",D457=""),"",IF(NOT(ISNUMBER(B457)),"Needs a date",IF(C457="","Needs a crop",IF(COUNTIF(Crops!$B$6:$B$65,C457)=0,"Not on Crops",IF(AND(D457&lt;&gt;"",COUNTIF(Beds!$B$6:$B$35,D457)=0),"Not on Beds",IF(AND(ISNUMBER(G457),G457&lt;B457),"Cleared before it was planted",""))))))</f>
        <v/>
      </c>
      <c r="M457" s="11">
        <f>IF(OR(L457&lt;&gt;"",D457="",O457=""),"",IF(COUNTIFS(Plantings!$D$6:$D$505,D457,Plantings!$O$6:$O$505,O457,Plantings!$N$6:$N$505,N457-1)&gt;0,"Same family here last year",""))</f>
        <v/>
      </c>
      <c r="N457" s="1">
        <f>IF(ISNUMBER(B457),YEAR(B457),"")</f>
        <v/>
      </c>
      <c r="O457">
        <f>IF(C457="","",IFERROR(INDEX(Crops!$C$6:$C$65,MATCH(C457,Crops!$B$6:$B$65,0))&amp;"",""))</f>
        <v/>
      </c>
      <c r="P457">
        <f>IF(ISNUMBER(B457),INT(B457),0)</f>
        <v/>
      </c>
      <c r="Q457">
        <f>IF(AND(L457="",OR(J457="Growing",J457="Picking")),1,0)</f>
        <v/>
      </c>
      <c r="R457">
        <f>IF(AND(Q457=1,D457&lt;&gt;""),P457*1000+ROW(),0)</f>
        <v/>
      </c>
      <c r="S457">
        <f>IF(AND(AND(C457&lt;&gt;"",ISNUMBER(B457)),L457=""),1,0)</f>
        <v/>
      </c>
    </row>
    <row r="458">
      <c r="A458" s="1" t="n"/>
      <c r="B458" s="17" t="n"/>
      <c r="C458" s="18" t="n"/>
      <c r="D458" s="19" t="n"/>
      <c r="E458" s="19" t="n"/>
      <c r="F458" s="20" t="n"/>
      <c r="G458" s="17" t="n"/>
      <c r="H458" s="21" t="n"/>
      <c r="I458" s="22">
        <f>IF(NOT(AND(C458&lt;&gt;"",ISNUMBER(B458))),"",IF(N(IFERROR(INDEX(Crops!$F$6:$F$65,MATCH(C458,Crops!$B$6:$B$65,0)),0))&gt;0,INT(B458)+N(IFERROR(INDEX(Crops!$F$6:$F$65,MATCH(C458,Crops!$B$6:$B$65,0)),0)),""))</f>
        <v/>
      </c>
      <c r="J458" s="16">
        <f>IF(NOT(AND(C458&lt;&gt;"",ISNUMBER(B458))),"",IF(ISNUMBER(G458),"Done",IF(INT(B458)&gt;TODAY(),"Planned",IF(COUNTIFS(Harvest!$C$6:$C$1505,C458,Harvest!$D$6:$D$1505,D458&amp;"",Harvest!$L$6:$L$1505,"&gt;="&amp;INT(B458))&gt;0,"Picking","Growing"))))</f>
        <v/>
      </c>
      <c r="K458" s="14">
        <f>IF(OR(NOT(AND(C458&lt;&gt;"",ISNUMBER(B458))),J458="Planned"),"",IF(ISNUMBER(G458),INT(G458),TODAY())-INT(B458))</f>
        <v/>
      </c>
      <c r="L458" s="11">
        <f>IF(AND(B458="",C458="",D458=""),"",IF(NOT(ISNUMBER(B458)),"Needs a date",IF(C458="","Needs a crop",IF(COUNTIF(Crops!$B$6:$B$65,C458)=0,"Not on Crops",IF(AND(D458&lt;&gt;"",COUNTIF(Beds!$B$6:$B$35,D458)=0),"Not on Beds",IF(AND(ISNUMBER(G458),G458&lt;B458),"Cleared before it was planted",""))))))</f>
        <v/>
      </c>
      <c r="M458" s="11">
        <f>IF(OR(L458&lt;&gt;"",D458="",O458=""),"",IF(COUNTIFS(Plantings!$D$6:$D$505,D458,Plantings!$O$6:$O$505,O458,Plantings!$N$6:$N$505,N458-1)&gt;0,"Same family here last year",""))</f>
        <v/>
      </c>
      <c r="N458" s="1">
        <f>IF(ISNUMBER(B458),YEAR(B458),"")</f>
        <v/>
      </c>
      <c r="O458">
        <f>IF(C458="","",IFERROR(INDEX(Crops!$C$6:$C$65,MATCH(C458,Crops!$B$6:$B$65,0))&amp;"",""))</f>
        <v/>
      </c>
      <c r="P458">
        <f>IF(ISNUMBER(B458),INT(B458),0)</f>
        <v/>
      </c>
      <c r="Q458">
        <f>IF(AND(L458="",OR(J458="Growing",J458="Picking")),1,0)</f>
        <v/>
      </c>
      <c r="R458">
        <f>IF(AND(Q458=1,D458&lt;&gt;""),P458*1000+ROW(),0)</f>
        <v/>
      </c>
      <c r="S458">
        <f>IF(AND(AND(C458&lt;&gt;"",ISNUMBER(B458)),L458=""),1,0)</f>
        <v/>
      </c>
    </row>
    <row r="459">
      <c r="A459" s="1" t="n"/>
      <c r="B459" s="17" t="n"/>
      <c r="C459" s="18" t="n"/>
      <c r="D459" s="19" t="n"/>
      <c r="E459" s="19" t="n"/>
      <c r="F459" s="20" t="n"/>
      <c r="G459" s="17" t="n"/>
      <c r="H459" s="21" t="n"/>
      <c r="I459" s="22">
        <f>IF(NOT(AND(C459&lt;&gt;"",ISNUMBER(B459))),"",IF(N(IFERROR(INDEX(Crops!$F$6:$F$65,MATCH(C459,Crops!$B$6:$B$65,0)),0))&gt;0,INT(B459)+N(IFERROR(INDEX(Crops!$F$6:$F$65,MATCH(C459,Crops!$B$6:$B$65,0)),0)),""))</f>
        <v/>
      </c>
      <c r="J459" s="16">
        <f>IF(NOT(AND(C459&lt;&gt;"",ISNUMBER(B459))),"",IF(ISNUMBER(G459),"Done",IF(INT(B459)&gt;TODAY(),"Planned",IF(COUNTIFS(Harvest!$C$6:$C$1505,C459,Harvest!$D$6:$D$1505,D459&amp;"",Harvest!$L$6:$L$1505,"&gt;="&amp;INT(B459))&gt;0,"Picking","Growing"))))</f>
        <v/>
      </c>
      <c r="K459" s="14">
        <f>IF(OR(NOT(AND(C459&lt;&gt;"",ISNUMBER(B459))),J459="Planned"),"",IF(ISNUMBER(G459),INT(G459),TODAY())-INT(B459))</f>
        <v/>
      </c>
      <c r="L459" s="11">
        <f>IF(AND(B459="",C459="",D459=""),"",IF(NOT(ISNUMBER(B459)),"Needs a date",IF(C459="","Needs a crop",IF(COUNTIF(Crops!$B$6:$B$65,C459)=0,"Not on Crops",IF(AND(D459&lt;&gt;"",COUNTIF(Beds!$B$6:$B$35,D459)=0),"Not on Beds",IF(AND(ISNUMBER(G459),G459&lt;B459),"Cleared before it was planted",""))))))</f>
        <v/>
      </c>
      <c r="M459" s="11">
        <f>IF(OR(L459&lt;&gt;"",D459="",O459=""),"",IF(COUNTIFS(Plantings!$D$6:$D$505,D459,Plantings!$O$6:$O$505,O459,Plantings!$N$6:$N$505,N459-1)&gt;0,"Same family here last year",""))</f>
        <v/>
      </c>
      <c r="N459" s="1">
        <f>IF(ISNUMBER(B459),YEAR(B459),"")</f>
        <v/>
      </c>
      <c r="O459">
        <f>IF(C459="","",IFERROR(INDEX(Crops!$C$6:$C$65,MATCH(C459,Crops!$B$6:$B$65,0))&amp;"",""))</f>
        <v/>
      </c>
      <c r="P459">
        <f>IF(ISNUMBER(B459),INT(B459),0)</f>
        <v/>
      </c>
      <c r="Q459">
        <f>IF(AND(L459="",OR(J459="Growing",J459="Picking")),1,0)</f>
        <v/>
      </c>
      <c r="R459">
        <f>IF(AND(Q459=1,D459&lt;&gt;""),P459*1000+ROW(),0)</f>
        <v/>
      </c>
      <c r="S459">
        <f>IF(AND(AND(C459&lt;&gt;"",ISNUMBER(B459)),L459=""),1,0)</f>
        <v/>
      </c>
    </row>
    <row r="460">
      <c r="A460" s="1" t="n"/>
      <c r="B460" s="17" t="n"/>
      <c r="C460" s="18" t="n"/>
      <c r="D460" s="19" t="n"/>
      <c r="E460" s="19" t="n"/>
      <c r="F460" s="20" t="n"/>
      <c r="G460" s="17" t="n"/>
      <c r="H460" s="21" t="n"/>
      <c r="I460" s="22">
        <f>IF(NOT(AND(C460&lt;&gt;"",ISNUMBER(B460))),"",IF(N(IFERROR(INDEX(Crops!$F$6:$F$65,MATCH(C460,Crops!$B$6:$B$65,0)),0))&gt;0,INT(B460)+N(IFERROR(INDEX(Crops!$F$6:$F$65,MATCH(C460,Crops!$B$6:$B$65,0)),0)),""))</f>
        <v/>
      </c>
      <c r="J460" s="16">
        <f>IF(NOT(AND(C460&lt;&gt;"",ISNUMBER(B460))),"",IF(ISNUMBER(G460),"Done",IF(INT(B460)&gt;TODAY(),"Planned",IF(COUNTIFS(Harvest!$C$6:$C$1505,C460,Harvest!$D$6:$D$1505,D460&amp;"",Harvest!$L$6:$L$1505,"&gt;="&amp;INT(B460))&gt;0,"Picking","Growing"))))</f>
        <v/>
      </c>
      <c r="K460" s="14">
        <f>IF(OR(NOT(AND(C460&lt;&gt;"",ISNUMBER(B460))),J460="Planned"),"",IF(ISNUMBER(G460),INT(G460),TODAY())-INT(B460))</f>
        <v/>
      </c>
      <c r="L460" s="11">
        <f>IF(AND(B460="",C460="",D460=""),"",IF(NOT(ISNUMBER(B460)),"Needs a date",IF(C460="","Needs a crop",IF(COUNTIF(Crops!$B$6:$B$65,C460)=0,"Not on Crops",IF(AND(D460&lt;&gt;"",COUNTIF(Beds!$B$6:$B$35,D460)=0),"Not on Beds",IF(AND(ISNUMBER(G460),G460&lt;B460),"Cleared before it was planted",""))))))</f>
        <v/>
      </c>
      <c r="M460" s="11">
        <f>IF(OR(L460&lt;&gt;"",D460="",O460=""),"",IF(COUNTIFS(Plantings!$D$6:$D$505,D460,Plantings!$O$6:$O$505,O460,Plantings!$N$6:$N$505,N460-1)&gt;0,"Same family here last year",""))</f>
        <v/>
      </c>
      <c r="N460" s="1">
        <f>IF(ISNUMBER(B460),YEAR(B460),"")</f>
        <v/>
      </c>
      <c r="O460">
        <f>IF(C460="","",IFERROR(INDEX(Crops!$C$6:$C$65,MATCH(C460,Crops!$B$6:$B$65,0))&amp;"",""))</f>
        <v/>
      </c>
      <c r="P460">
        <f>IF(ISNUMBER(B460),INT(B460),0)</f>
        <v/>
      </c>
      <c r="Q460">
        <f>IF(AND(L460="",OR(J460="Growing",J460="Picking")),1,0)</f>
        <v/>
      </c>
      <c r="R460">
        <f>IF(AND(Q460=1,D460&lt;&gt;""),P460*1000+ROW(),0)</f>
        <v/>
      </c>
      <c r="S460">
        <f>IF(AND(AND(C460&lt;&gt;"",ISNUMBER(B460)),L460=""),1,0)</f>
        <v/>
      </c>
    </row>
    <row r="461">
      <c r="A461" s="1" t="n"/>
      <c r="B461" s="17" t="n"/>
      <c r="C461" s="18" t="n"/>
      <c r="D461" s="19" t="n"/>
      <c r="E461" s="19" t="n"/>
      <c r="F461" s="20" t="n"/>
      <c r="G461" s="17" t="n"/>
      <c r="H461" s="21" t="n"/>
      <c r="I461" s="22">
        <f>IF(NOT(AND(C461&lt;&gt;"",ISNUMBER(B461))),"",IF(N(IFERROR(INDEX(Crops!$F$6:$F$65,MATCH(C461,Crops!$B$6:$B$65,0)),0))&gt;0,INT(B461)+N(IFERROR(INDEX(Crops!$F$6:$F$65,MATCH(C461,Crops!$B$6:$B$65,0)),0)),""))</f>
        <v/>
      </c>
      <c r="J461" s="16">
        <f>IF(NOT(AND(C461&lt;&gt;"",ISNUMBER(B461))),"",IF(ISNUMBER(G461),"Done",IF(INT(B461)&gt;TODAY(),"Planned",IF(COUNTIFS(Harvest!$C$6:$C$1505,C461,Harvest!$D$6:$D$1505,D461&amp;"",Harvest!$L$6:$L$1505,"&gt;="&amp;INT(B461))&gt;0,"Picking","Growing"))))</f>
        <v/>
      </c>
      <c r="K461" s="14">
        <f>IF(OR(NOT(AND(C461&lt;&gt;"",ISNUMBER(B461))),J461="Planned"),"",IF(ISNUMBER(G461),INT(G461),TODAY())-INT(B461))</f>
        <v/>
      </c>
      <c r="L461" s="11">
        <f>IF(AND(B461="",C461="",D461=""),"",IF(NOT(ISNUMBER(B461)),"Needs a date",IF(C461="","Needs a crop",IF(COUNTIF(Crops!$B$6:$B$65,C461)=0,"Not on Crops",IF(AND(D461&lt;&gt;"",COUNTIF(Beds!$B$6:$B$35,D461)=0),"Not on Beds",IF(AND(ISNUMBER(G461),G461&lt;B461),"Cleared before it was planted",""))))))</f>
        <v/>
      </c>
      <c r="M461" s="11">
        <f>IF(OR(L461&lt;&gt;"",D461="",O461=""),"",IF(COUNTIFS(Plantings!$D$6:$D$505,D461,Plantings!$O$6:$O$505,O461,Plantings!$N$6:$N$505,N461-1)&gt;0,"Same family here last year",""))</f>
        <v/>
      </c>
      <c r="N461" s="1">
        <f>IF(ISNUMBER(B461),YEAR(B461),"")</f>
        <v/>
      </c>
      <c r="O461">
        <f>IF(C461="","",IFERROR(INDEX(Crops!$C$6:$C$65,MATCH(C461,Crops!$B$6:$B$65,0))&amp;"",""))</f>
        <v/>
      </c>
      <c r="P461">
        <f>IF(ISNUMBER(B461),INT(B461),0)</f>
        <v/>
      </c>
      <c r="Q461">
        <f>IF(AND(L461="",OR(J461="Growing",J461="Picking")),1,0)</f>
        <v/>
      </c>
      <c r="R461">
        <f>IF(AND(Q461=1,D461&lt;&gt;""),P461*1000+ROW(),0)</f>
        <v/>
      </c>
      <c r="S461">
        <f>IF(AND(AND(C461&lt;&gt;"",ISNUMBER(B461)),L461=""),1,0)</f>
        <v/>
      </c>
    </row>
    <row r="462">
      <c r="A462" s="1" t="n"/>
      <c r="B462" s="17" t="n"/>
      <c r="C462" s="18" t="n"/>
      <c r="D462" s="19" t="n"/>
      <c r="E462" s="19" t="n"/>
      <c r="F462" s="20" t="n"/>
      <c r="G462" s="17" t="n"/>
      <c r="H462" s="21" t="n"/>
      <c r="I462" s="22">
        <f>IF(NOT(AND(C462&lt;&gt;"",ISNUMBER(B462))),"",IF(N(IFERROR(INDEX(Crops!$F$6:$F$65,MATCH(C462,Crops!$B$6:$B$65,0)),0))&gt;0,INT(B462)+N(IFERROR(INDEX(Crops!$F$6:$F$65,MATCH(C462,Crops!$B$6:$B$65,0)),0)),""))</f>
        <v/>
      </c>
      <c r="J462" s="16">
        <f>IF(NOT(AND(C462&lt;&gt;"",ISNUMBER(B462))),"",IF(ISNUMBER(G462),"Done",IF(INT(B462)&gt;TODAY(),"Planned",IF(COUNTIFS(Harvest!$C$6:$C$1505,C462,Harvest!$D$6:$D$1505,D462&amp;"",Harvest!$L$6:$L$1505,"&gt;="&amp;INT(B462))&gt;0,"Picking","Growing"))))</f>
        <v/>
      </c>
      <c r="K462" s="14">
        <f>IF(OR(NOT(AND(C462&lt;&gt;"",ISNUMBER(B462))),J462="Planned"),"",IF(ISNUMBER(G462),INT(G462),TODAY())-INT(B462))</f>
        <v/>
      </c>
      <c r="L462" s="11">
        <f>IF(AND(B462="",C462="",D462=""),"",IF(NOT(ISNUMBER(B462)),"Needs a date",IF(C462="","Needs a crop",IF(COUNTIF(Crops!$B$6:$B$65,C462)=0,"Not on Crops",IF(AND(D462&lt;&gt;"",COUNTIF(Beds!$B$6:$B$35,D462)=0),"Not on Beds",IF(AND(ISNUMBER(G462),G462&lt;B462),"Cleared before it was planted",""))))))</f>
        <v/>
      </c>
      <c r="M462" s="11">
        <f>IF(OR(L462&lt;&gt;"",D462="",O462=""),"",IF(COUNTIFS(Plantings!$D$6:$D$505,D462,Plantings!$O$6:$O$505,O462,Plantings!$N$6:$N$505,N462-1)&gt;0,"Same family here last year",""))</f>
        <v/>
      </c>
      <c r="N462" s="1">
        <f>IF(ISNUMBER(B462),YEAR(B462),"")</f>
        <v/>
      </c>
      <c r="O462">
        <f>IF(C462="","",IFERROR(INDEX(Crops!$C$6:$C$65,MATCH(C462,Crops!$B$6:$B$65,0))&amp;"",""))</f>
        <v/>
      </c>
      <c r="P462">
        <f>IF(ISNUMBER(B462),INT(B462),0)</f>
        <v/>
      </c>
      <c r="Q462">
        <f>IF(AND(L462="",OR(J462="Growing",J462="Picking")),1,0)</f>
        <v/>
      </c>
      <c r="R462">
        <f>IF(AND(Q462=1,D462&lt;&gt;""),P462*1000+ROW(),0)</f>
        <v/>
      </c>
      <c r="S462">
        <f>IF(AND(AND(C462&lt;&gt;"",ISNUMBER(B462)),L462=""),1,0)</f>
        <v/>
      </c>
    </row>
    <row r="463">
      <c r="A463" s="1" t="n"/>
      <c r="B463" s="17" t="n"/>
      <c r="C463" s="18" t="n"/>
      <c r="D463" s="19" t="n"/>
      <c r="E463" s="19" t="n"/>
      <c r="F463" s="20" t="n"/>
      <c r="G463" s="17" t="n"/>
      <c r="H463" s="21" t="n"/>
      <c r="I463" s="22">
        <f>IF(NOT(AND(C463&lt;&gt;"",ISNUMBER(B463))),"",IF(N(IFERROR(INDEX(Crops!$F$6:$F$65,MATCH(C463,Crops!$B$6:$B$65,0)),0))&gt;0,INT(B463)+N(IFERROR(INDEX(Crops!$F$6:$F$65,MATCH(C463,Crops!$B$6:$B$65,0)),0)),""))</f>
        <v/>
      </c>
      <c r="J463" s="16">
        <f>IF(NOT(AND(C463&lt;&gt;"",ISNUMBER(B463))),"",IF(ISNUMBER(G463),"Done",IF(INT(B463)&gt;TODAY(),"Planned",IF(COUNTIFS(Harvest!$C$6:$C$1505,C463,Harvest!$D$6:$D$1505,D463&amp;"",Harvest!$L$6:$L$1505,"&gt;="&amp;INT(B463))&gt;0,"Picking","Growing"))))</f>
        <v/>
      </c>
      <c r="K463" s="14">
        <f>IF(OR(NOT(AND(C463&lt;&gt;"",ISNUMBER(B463))),J463="Planned"),"",IF(ISNUMBER(G463),INT(G463),TODAY())-INT(B463))</f>
        <v/>
      </c>
      <c r="L463" s="11">
        <f>IF(AND(B463="",C463="",D463=""),"",IF(NOT(ISNUMBER(B463)),"Needs a date",IF(C463="","Needs a crop",IF(COUNTIF(Crops!$B$6:$B$65,C463)=0,"Not on Crops",IF(AND(D463&lt;&gt;"",COUNTIF(Beds!$B$6:$B$35,D463)=0),"Not on Beds",IF(AND(ISNUMBER(G463),G463&lt;B463),"Cleared before it was planted",""))))))</f>
        <v/>
      </c>
      <c r="M463" s="11">
        <f>IF(OR(L463&lt;&gt;"",D463="",O463=""),"",IF(COUNTIFS(Plantings!$D$6:$D$505,D463,Plantings!$O$6:$O$505,O463,Plantings!$N$6:$N$505,N463-1)&gt;0,"Same family here last year",""))</f>
        <v/>
      </c>
      <c r="N463" s="1">
        <f>IF(ISNUMBER(B463),YEAR(B463),"")</f>
        <v/>
      </c>
      <c r="O463">
        <f>IF(C463="","",IFERROR(INDEX(Crops!$C$6:$C$65,MATCH(C463,Crops!$B$6:$B$65,0))&amp;"",""))</f>
        <v/>
      </c>
      <c r="P463">
        <f>IF(ISNUMBER(B463),INT(B463),0)</f>
        <v/>
      </c>
      <c r="Q463">
        <f>IF(AND(L463="",OR(J463="Growing",J463="Picking")),1,0)</f>
        <v/>
      </c>
      <c r="R463">
        <f>IF(AND(Q463=1,D463&lt;&gt;""),P463*1000+ROW(),0)</f>
        <v/>
      </c>
      <c r="S463">
        <f>IF(AND(AND(C463&lt;&gt;"",ISNUMBER(B463)),L463=""),1,0)</f>
        <v/>
      </c>
    </row>
    <row r="464">
      <c r="A464" s="1" t="n"/>
      <c r="B464" s="17" t="n"/>
      <c r="C464" s="18" t="n"/>
      <c r="D464" s="19" t="n"/>
      <c r="E464" s="19" t="n"/>
      <c r="F464" s="20" t="n"/>
      <c r="G464" s="17" t="n"/>
      <c r="H464" s="21" t="n"/>
      <c r="I464" s="22">
        <f>IF(NOT(AND(C464&lt;&gt;"",ISNUMBER(B464))),"",IF(N(IFERROR(INDEX(Crops!$F$6:$F$65,MATCH(C464,Crops!$B$6:$B$65,0)),0))&gt;0,INT(B464)+N(IFERROR(INDEX(Crops!$F$6:$F$65,MATCH(C464,Crops!$B$6:$B$65,0)),0)),""))</f>
        <v/>
      </c>
      <c r="J464" s="16">
        <f>IF(NOT(AND(C464&lt;&gt;"",ISNUMBER(B464))),"",IF(ISNUMBER(G464),"Done",IF(INT(B464)&gt;TODAY(),"Planned",IF(COUNTIFS(Harvest!$C$6:$C$1505,C464,Harvest!$D$6:$D$1505,D464&amp;"",Harvest!$L$6:$L$1505,"&gt;="&amp;INT(B464))&gt;0,"Picking","Growing"))))</f>
        <v/>
      </c>
      <c r="K464" s="14">
        <f>IF(OR(NOT(AND(C464&lt;&gt;"",ISNUMBER(B464))),J464="Planned"),"",IF(ISNUMBER(G464),INT(G464),TODAY())-INT(B464))</f>
        <v/>
      </c>
      <c r="L464" s="11">
        <f>IF(AND(B464="",C464="",D464=""),"",IF(NOT(ISNUMBER(B464)),"Needs a date",IF(C464="","Needs a crop",IF(COUNTIF(Crops!$B$6:$B$65,C464)=0,"Not on Crops",IF(AND(D464&lt;&gt;"",COUNTIF(Beds!$B$6:$B$35,D464)=0),"Not on Beds",IF(AND(ISNUMBER(G464),G464&lt;B464),"Cleared before it was planted",""))))))</f>
        <v/>
      </c>
      <c r="M464" s="11">
        <f>IF(OR(L464&lt;&gt;"",D464="",O464=""),"",IF(COUNTIFS(Plantings!$D$6:$D$505,D464,Plantings!$O$6:$O$505,O464,Plantings!$N$6:$N$505,N464-1)&gt;0,"Same family here last year",""))</f>
        <v/>
      </c>
      <c r="N464" s="1">
        <f>IF(ISNUMBER(B464),YEAR(B464),"")</f>
        <v/>
      </c>
      <c r="O464">
        <f>IF(C464="","",IFERROR(INDEX(Crops!$C$6:$C$65,MATCH(C464,Crops!$B$6:$B$65,0))&amp;"",""))</f>
        <v/>
      </c>
      <c r="P464">
        <f>IF(ISNUMBER(B464),INT(B464),0)</f>
        <v/>
      </c>
      <c r="Q464">
        <f>IF(AND(L464="",OR(J464="Growing",J464="Picking")),1,0)</f>
        <v/>
      </c>
      <c r="R464">
        <f>IF(AND(Q464=1,D464&lt;&gt;""),P464*1000+ROW(),0)</f>
        <v/>
      </c>
      <c r="S464">
        <f>IF(AND(AND(C464&lt;&gt;"",ISNUMBER(B464)),L464=""),1,0)</f>
        <v/>
      </c>
    </row>
    <row r="465">
      <c r="A465" s="1" t="n"/>
      <c r="B465" s="17" t="n"/>
      <c r="C465" s="18" t="n"/>
      <c r="D465" s="19" t="n"/>
      <c r="E465" s="19" t="n"/>
      <c r="F465" s="20" t="n"/>
      <c r="G465" s="17" t="n"/>
      <c r="H465" s="21" t="n"/>
      <c r="I465" s="22">
        <f>IF(NOT(AND(C465&lt;&gt;"",ISNUMBER(B465))),"",IF(N(IFERROR(INDEX(Crops!$F$6:$F$65,MATCH(C465,Crops!$B$6:$B$65,0)),0))&gt;0,INT(B465)+N(IFERROR(INDEX(Crops!$F$6:$F$65,MATCH(C465,Crops!$B$6:$B$65,0)),0)),""))</f>
        <v/>
      </c>
      <c r="J465" s="16">
        <f>IF(NOT(AND(C465&lt;&gt;"",ISNUMBER(B465))),"",IF(ISNUMBER(G465),"Done",IF(INT(B465)&gt;TODAY(),"Planned",IF(COUNTIFS(Harvest!$C$6:$C$1505,C465,Harvest!$D$6:$D$1505,D465&amp;"",Harvest!$L$6:$L$1505,"&gt;="&amp;INT(B465))&gt;0,"Picking","Growing"))))</f>
        <v/>
      </c>
      <c r="K465" s="14">
        <f>IF(OR(NOT(AND(C465&lt;&gt;"",ISNUMBER(B465))),J465="Planned"),"",IF(ISNUMBER(G465),INT(G465),TODAY())-INT(B465))</f>
        <v/>
      </c>
      <c r="L465" s="11">
        <f>IF(AND(B465="",C465="",D465=""),"",IF(NOT(ISNUMBER(B465)),"Needs a date",IF(C465="","Needs a crop",IF(COUNTIF(Crops!$B$6:$B$65,C465)=0,"Not on Crops",IF(AND(D465&lt;&gt;"",COUNTIF(Beds!$B$6:$B$35,D465)=0),"Not on Beds",IF(AND(ISNUMBER(G465),G465&lt;B465),"Cleared before it was planted",""))))))</f>
        <v/>
      </c>
      <c r="M465" s="11">
        <f>IF(OR(L465&lt;&gt;"",D465="",O465=""),"",IF(COUNTIFS(Plantings!$D$6:$D$505,D465,Plantings!$O$6:$O$505,O465,Plantings!$N$6:$N$505,N465-1)&gt;0,"Same family here last year",""))</f>
        <v/>
      </c>
      <c r="N465" s="1">
        <f>IF(ISNUMBER(B465),YEAR(B465),"")</f>
        <v/>
      </c>
      <c r="O465">
        <f>IF(C465="","",IFERROR(INDEX(Crops!$C$6:$C$65,MATCH(C465,Crops!$B$6:$B$65,0))&amp;"",""))</f>
        <v/>
      </c>
      <c r="P465">
        <f>IF(ISNUMBER(B465),INT(B465),0)</f>
        <v/>
      </c>
      <c r="Q465">
        <f>IF(AND(L465="",OR(J465="Growing",J465="Picking")),1,0)</f>
        <v/>
      </c>
      <c r="R465">
        <f>IF(AND(Q465=1,D465&lt;&gt;""),P465*1000+ROW(),0)</f>
        <v/>
      </c>
      <c r="S465">
        <f>IF(AND(AND(C465&lt;&gt;"",ISNUMBER(B465)),L465=""),1,0)</f>
        <v/>
      </c>
    </row>
    <row r="466">
      <c r="A466" s="1" t="n"/>
      <c r="B466" s="17" t="n"/>
      <c r="C466" s="18" t="n"/>
      <c r="D466" s="19" t="n"/>
      <c r="E466" s="19" t="n"/>
      <c r="F466" s="20" t="n"/>
      <c r="G466" s="17" t="n"/>
      <c r="H466" s="21" t="n"/>
      <c r="I466" s="22">
        <f>IF(NOT(AND(C466&lt;&gt;"",ISNUMBER(B466))),"",IF(N(IFERROR(INDEX(Crops!$F$6:$F$65,MATCH(C466,Crops!$B$6:$B$65,0)),0))&gt;0,INT(B466)+N(IFERROR(INDEX(Crops!$F$6:$F$65,MATCH(C466,Crops!$B$6:$B$65,0)),0)),""))</f>
        <v/>
      </c>
      <c r="J466" s="16">
        <f>IF(NOT(AND(C466&lt;&gt;"",ISNUMBER(B466))),"",IF(ISNUMBER(G466),"Done",IF(INT(B466)&gt;TODAY(),"Planned",IF(COUNTIFS(Harvest!$C$6:$C$1505,C466,Harvest!$D$6:$D$1505,D466&amp;"",Harvest!$L$6:$L$1505,"&gt;="&amp;INT(B466))&gt;0,"Picking","Growing"))))</f>
        <v/>
      </c>
      <c r="K466" s="14">
        <f>IF(OR(NOT(AND(C466&lt;&gt;"",ISNUMBER(B466))),J466="Planned"),"",IF(ISNUMBER(G466),INT(G466),TODAY())-INT(B466))</f>
        <v/>
      </c>
      <c r="L466" s="11">
        <f>IF(AND(B466="",C466="",D466=""),"",IF(NOT(ISNUMBER(B466)),"Needs a date",IF(C466="","Needs a crop",IF(COUNTIF(Crops!$B$6:$B$65,C466)=0,"Not on Crops",IF(AND(D466&lt;&gt;"",COUNTIF(Beds!$B$6:$B$35,D466)=0),"Not on Beds",IF(AND(ISNUMBER(G466),G466&lt;B466),"Cleared before it was planted",""))))))</f>
        <v/>
      </c>
      <c r="M466" s="11">
        <f>IF(OR(L466&lt;&gt;"",D466="",O466=""),"",IF(COUNTIFS(Plantings!$D$6:$D$505,D466,Plantings!$O$6:$O$505,O466,Plantings!$N$6:$N$505,N466-1)&gt;0,"Same family here last year",""))</f>
        <v/>
      </c>
      <c r="N466" s="1">
        <f>IF(ISNUMBER(B466),YEAR(B466),"")</f>
        <v/>
      </c>
      <c r="O466">
        <f>IF(C466="","",IFERROR(INDEX(Crops!$C$6:$C$65,MATCH(C466,Crops!$B$6:$B$65,0))&amp;"",""))</f>
        <v/>
      </c>
      <c r="P466">
        <f>IF(ISNUMBER(B466),INT(B466),0)</f>
        <v/>
      </c>
      <c r="Q466">
        <f>IF(AND(L466="",OR(J466="Growing",J466="Picking")),1,0)</f>
        <v/>
      </c>
      <c r="R466">
        <f>IF(AND(Q466=1,D466&lt;&gt;""),P466*1000+ROW(),0)</f>
        <v/>
      </c>
      <c r="S466">
        <f>IF(AND(AND(C466&lt;&gt;"",ISNUMBER(B466)),L466=""),1,0)</f>
        <v/>
      </c>
    </row>
    <row r="467">
      <c r="A467" s="1" t="n"/>
      <c r="B467" s="17" t="n"/>
      <c r="C467" s="18" t="n"/>
      <c r="D467" s="19" t="n"/>
      <c r="E467" s="19" t="n"/>
      <c r="F467" s="20" t="n"/>
      <c r="G467" s="17" t="n"/>
      <c r="H467" s="21" t="n"/>
      <c r="I467" s="22">
        <f>IF(NOT(AND(C467&lt;&gt;"",ISNUMBER(B467))),"",IF(N(IFERROR(INDEX(Crops!$F$6:$F$65,MATCH(C467,Crops!$B$6:$B$65,0)),0))&gt;0,INT(B467)+N(IFERROR(INDEX(Crops!$F$6:$F$65,MATCH(C467,Crops!$B$6:$B$65,0)),0)),""))</f>
        <v/>
      </c>
      <c r="J467" s="16">
        <f>IF(NOT(AND(C467&lt;&gt;"",ISNUMBER(B467))),"",IF(ISNUMBER(G467),"Done",IF(INT(B467)&gt;TODAY(),"Planned",IF(COUNTIFS(Harvest!$C$6:$C$1505,C467,Harvest!$D$6:$D$1505,D467&amp;"",Harvest!$L$6:$L$1505,"&gt;="&amp;INT(B467))&gt;0,"Picking","Growing"))))</f>
        <v/>
      </c>
      <c r="K467" s="14">
        <f>IF(OR(NOT(AND(C467&lt;&gt;"",ISNUMBER(B467))),J467="Planned"),"",IF(ISNUMBER(G467),INT(G467),TODAY())-INT(B467))</f>
        <v/>
      </c>
      <c r="L467" s="11">
        <f>IF(AND(B467="",C467="",D467=""),"",IF(NOT(ISNUMBER(B467)),"Needs a date",IF(C467="","Needs a crop",IF(COUNTIF(Crops!$B$6:$B$65,C467)=0,"Not on Crops",IF(AND(D467&lt;&gt;"",COUNTIF(Beds!$B$6:$B$35,D467)=0),"Not on Beds",IF(AND(ISNUMBER(G467),G467&lt;B467),"Cleared before it was planted",""))))))</f>
        <v/>
      </c>
      <c r="M467" s="11">
        <f>IF(OR(L467&lt;&gt;"",D467="",O467=""),"",IF(COUNTIFS(Plantings!$D$6:$D$505,D467,Plantings!$O$6:$O$505,O467,Plantings!$N$6:$N$505,N467-1)&gt;0,"Same family here last year",""))</f>
        <v/>
      </c>
      <c r="N467" s="1">
        <f>IF(ISNUMBER(B467),YEAR(B467),"")</f>
        <v/>
      </c>
      <c r="O467">
        <f>IF(C467="","",IFERROR(INDEX(Crops!$C$6:$C$65,MATCH(C467,Crops!$B$6:$B$65,0))&amp;"",""))</f>
        <v/>
      </c>
      <c r="P467">
        <f>IF(ISNUMBER(B467),INT(B467),0)</f>
        <v/>
      </c>
      <c r="Q467">
        <f>IF(AND(L467="",OR(J467="Growing",J467="Picking")),1,0)</f>
        <v/>
      </c>
      <c r="R467">
        <f>IF(AND(Q467=1,D467&lt;&gt;""),P467*1000+ROW(),0)</f>
        <v/>
      </c>
      <c r="S467">
        <f>IF(AND(AND(C467&lt;&gt;"",ISNUMBER(B467)),L467=""),1,0)</f>
        <v/>
      </c>
    </row>
    <row r="468">
      <c r="A468" s="1" t="n"/>
      <c r="B468" s="17" t="n"/>
      <c r="C468" s="18" t="n"/>
      <c r="D468" s="19" t="n"/>
      <c r="E468" s="19" t="n"/>
      <c r="F468" s="20" t="n"/>
      <c r="G468" s="17" t="n"/>
      <c r="H468" s="21" t="n"/>
      <c r="I468" s="22">
        <f>IF(NOT(AND(C468&lt;&gt;"",ISNUMBER(B468))),"",IF(N(IFERROR(INDEX(Crops!$F$6:$F$65,MATCH(C468,Crops!$B$6:$B$65,0)),0))&gt;0,INT(B468)+N(IFERROR(INDEX(Crops!$F$6:$F$65,MATCH(C468,Crops!$B$6:$B$65,0)),0)),""))</f>
        <v/>
      </c>
      <c r="J468" s="16">
        <f>IF(NOT(AND(C468&lt;&gt;"",ISNUMBER(B468))),"",IF(ISNUMBER(G468),"Done",IF(INT(B468)&gt;TODAY(),"Planned",IF(COUNTIFS(Harvest!$C$6:$C$1505,C468,Harvest!$D$6:$D$1505,D468&amp;"",Harvest!$L$6:$L$1505,"&gt;="&amp;INT(B468))&gt;0,"Picking","Growing"))))</f>
        <v/>
      </c>
      <c r="K468" s="14">
        <f>IF(OR(NOT(AND(C468&lt;&gt;"",ISNUMBER(B468))),J468="Planned"),"",IF(ISNUMBER(G468),INT(G468),TODAY())-INT(B468))</f>
        <v/>
      </c>
      <c r="L468" s="11">
        <f>IF(AND(B468="",C468="",D468=""),"",IF(NOT(ISNUMBER(B468)),"Needs a date",IF(C468="","Needs a crop",IF(COUNTIF(Crops!$B$6:$B$65,C468)=0,"Not on Crops",IF(AND(D468&lt;&gt;"",COUNTIF(Beds!$B$6:$B$35,D468)=0),"Not on Beds",IF(AND(ISNUMBER(G468),G468&lt;B468),"Cleared before it was planted",""))))))</f>
        <v/>
      </c>
      <c r="M468" s="11">
        <f>IF(OR(L468&lt;&gt;"",D468="",O468=""),"",IF(COUNTIFS(Plantings!$D$6:$D$505,D468,Plantings!$O$6:$O$505,O468,Plantings!$N$6:$N$505,N468-1)&gt;0,"Same family here last year",""))</f>
        <v/>
      </c>
      <c r="N468" s="1">
        <f>IF(ISNUMBER(B468),YEAR(B468),"")</f>
        <v/>
      </c>
      <c r="O468">
        <f>IF(C468="","",IFERROR(INDEX(Crops!$C$6:$C$65,MATCH(C468,Crops!$B$6:$B$65,0))&amp;"",""))</f>
        <v/>
      </c>
      <c r="P468">
        <f>IF(ISNUMBER(B468),INT(B468),0)</f>
        <v/>
      </c>
      <c r="Q468">
        <f>IF(AND(L468="",OR(J468="Growing",J468="Picking")),1,0)</f>
        <v/>
      </c>
      <c r="R468">
        <f>IF(AND(Q468=1,D468&lt;&gt;""),P468*1000+ROW(),0)</f>
        <v/>
      </c>
      <c r="S468">
        <f>IF(AND(AND(C468&lt;&gt;"",ISNUMBER(B468)),L468=""),1,0)</f>
        <v/>
      </c>
    </row>
    <row r="469">
      <c r="A469" s="1" t="n"/>
      <c r="B469" s="17" t="n"/>
      <c r="C469" s="18" t="n"/>
      <c r="D469" s="19" t="n"/>
      <c r="E469" s="19" t="n"/>
      <c r="F469" s="20" t="n"/>
      <c r="G469" s="17" t="n"/>
      <c r="H469" s="21" t="n"/>
      <c r="I469" s="22">
        <f>IF(NOT(AND(C469&lt;&gt;"",ISNUMBER(B469))),"",IF(N(IFERROR(INDEX(Crops!$F$6:$F$65,MATCH(C469,Crops!$B$6:$B$65,0)),0))&gt;0,INT(B469)+N(IFERROR(INDEX(Crops!$F$6:$F$65,MATCH(C469,Crops!$B$6:$B$65,0)),0)),""))</f>
        <v/>
      </c>
      <c r="J469" s="16">
        <f>IF(NOT(AND(C469&lt;&gt;"",ISNUMBER(B469))),"",IF(ISNUMBER(G469),"Done",IF(INT(B469)&gt;TODAY(),"Planned",IF(COUNTIFS(Harvest!$C$6:$C$1505,C469,Harvest!$D$6:$D$1505,D469&amp;"",Harvest!$L$6:$L$1505,"&gt;="&amp;INT(B469))&gt;0,"Picking","Growing"))))</f>
        <v/>
      </c>
      <c r="K469" s="14">
        <f>IF(OR(NOT(AND(C469&lt;&gt;"",ISNUMBER(B469))),J469="Planned"),"",IF(ISNUMBER(G469),INT(G469),TODAY())-INT(B469))</f>
        <v/>
      </c>
      <c r="L469" s="11">
        <f>IF(AND(B469="",C469="",D469=""),"",IF(NOT(ISNUMBER(B469)),"Needs a date",IF(C469="","Needs a crop",IF(COUNTIF(Crops!$B$6:$B$65,C469)=0,"Not on Crops",IF(AND(D469&lt;&gt;"",COUNTIF(Beds!$B$6:$B$35,D469)=0),"Not on Beds",IF(AND(ISNUMBER(G469),G469&lt;B469),"Cleared before it was planted",""))))))</f>
        <v/>
      </c>
      <c r="M469" s="11">
        <f>IF(OR(L469&lt;&gt;"",D469="",O469=""),"",IF(COUNTIFS(Plantings!$D$6:$D$505,D469,Plantings!$O$6:$O$505,O469,Plantings!$N$6:$N$505,N469-1)&gt;0,"Same family here last year",""))</f>
        <v/>
      </c>
      <c r="N469" s="1">
        <f>IF(ISNUMBER(B469),YEAR(B469),"")</f>
        <v/>
      </c>
      <c r="O469">
        <f>IF(C469="","",IFERROR(INDEX(Crops!$C$6:$C$65,MATCH(C469,Crops!$B$6:$B$65,0))&amp;"",""))</f>
        <v/>
      </c>
      <c r="P469">
        <f>IF(ISNUMBER(B469),INT(B469),0)</f>
        <v/>
      </c>
      <c r="Q469">
        <f>IF(AND(L469="",OR(J469="Growing",J469="Picking")),1,0)</f>
        <v/>
      </c>
      <c r="R469">
        <f>IF(AND(Q469=1,D469&lt;&gt;""),P469*1000+ROW(),0)</f>
        <v/>
      </c>
      <c r="S469">
        <f>IF(AND(AND(C469&lt;&gt;"",ISNUMBER(B469)),L469=""),1,0)</f>
        <v/>
      </c>
    </row>
    <row r="470">
      <c r="A470" s="1" t="n"/>
      <c r="B470" s="17" t="n"/>
      <c r="C470" s="18" t="n"/>
      <c r="D470" s="19" t="n"/>
      <c r="E470" s="19" t="n"/>
      <c r="F470" s="20" t="n"/>
      <c r="G470" s="17" t="n"/>
      <c r="H470" s="21" t="n"/>
      <c r="I470" s="22">
        <f>IF(NOT(AND(C470&lt;&gt;"",ISNUMBER(B470))),"",IF(N(IFERROR(INDEX(Crops!$F$6:$F$65,MATCH(C470,Crops!$B$6:$B$65,0)),0))&gt;0,INT(B470)+N(IFERROR(INDEX(Crops!$F$6:$F$65,MATCH(C470,Crops!$B$6:$B$65,0)),0)),""))</f>
        <v/>
      </c>
      <c r="J470" s="16">
        <f>IF(NOT(AND(C470&lt;&gt;"",ISNUMBER(B470))),"",IF(ISNUMBER(G470),"Done",IF(INT(B470)&gt;TODAY(),"Planned",IF(COUNTIFS(Harvest!$C$6:$C$1505,C470,Harvest!$D$6:$D$1505,D470&amp;"",Harvest!$L$6:$L$1505,"&gt;="&amp;INT(B470))&gt;0,"Picking","Growing"))))</f>
        <v/>
      </c>
      <c r="K470" s="14">
        <f>IF(OR(NOT(AND(C470&lt;&gt;"",ISNUMBER(B470))),J470="Planned"),"",IF(ISNUMBER(G470),INT(G470),TODAY())-INT(B470))</f>
        <v/>
      </c>
      <c r="L470" s="11">
        <f>IF(AND(B470="",C470="",D470=""),"",IF(NOT(ISNUMBER(B470)),"Needs a date",IF(C470="","Needs a crop",IF(COUNTIF(Crops!$B$6:$B$65,C470)=0,"Not on Crops",IF(AND(D470&lt;&gt;"",COUNTIF(Beds!$B$6:$B$35,D470)=0),"Not on Beds",IF(AND(ISNUMBER(G470),G470&lt;B470),"Cleared before it was planted",""))))))</f>
        <v/>
      </c>
      <c r="M470" s="11">
        <f>IF(OR(L470&lt;&gt;"",D470="",O470=""),"",IF(COUNTIFS(Plantings!$D$6:$D$505,D470,Plantings!$O$6:$O$505,O470,Plantings!$N$6:$N$505,N470-1)&gt;0,"Same family here last year",""))</f>
        <v/>
      </c>
      <c r="N470" s="1">
        <f>IF(ISNUMBER(B470),YEAR(B470),"")</f>
        <v/>
      </c>
      <c r="O470">
        <f>IF(C470="","",IFERROR(INDEX(Crops!$C$6:$C$65,MATCH(C470,Crops!$B$6:$B$65,0))&amp;"",""))</f>
        <v/>
      </c>
      <c r="P470">
        <f>IF(ISNUMBER(B470),INT(B470),0)</f>
        <v/>
      </c>
      <c r="Q470">
        <f>IF(AND(L470="",OR(J470="Growing",J470="Picking")),1,0)</f>
        <v/>
      </c>
      <c r="R470">
        <f>IF(AND(Q470=1,D470&lt;&gt;""),P470*1000+ROW(),0)</f>
        <v/>
      </c>
      <c r="S470">
        <f>IF(AND(AND(C470&lt;&gt;"",ISNUMBER(B470)),L470=""),1,0)</f>
        <v/>
      </c>
    </row>
    <row r="471">
      <c r="A471" s="1" t="n"/>
      <c r="B471" s="17" t="n"/>
      <c r="C471" s="18" t="n"/>
      <c r="D471" s="19" t="n"/>
      <c r="E471" s="19" t="n"/>
      <c r="F471" s="20" t="n"/>
      <c r="G471" s="17" t="n"/>
      <c r="H471" s="21" t="n"/>
      <c r="I471" s="22">
        <f>IF(NOT(AND(C471&lt;&gt;"",ISNUMBER(B471))),"",IF(N(IFERROR(INDEX(Crops!$F$6:$F$65,MATCH(C471,Crops!$B$6:$B$65,0)),0))&gt;0,INT(B471)+N(IFERROR(INDEX(Crops!$F$6:$F$65,MATCH(C471,Crops!$B$6:$B$65,0)),0)),""))</f>
        <v/>
      </c>
      <c r="J471" s="16">
        <f>IF(NOT(AND(C471&lt;&gt;"",ISNUMBER(B471))),"",IF(ISNUMBER(G471),"Done",IF(INT(B471)&gt;TODAY(),"Planned",IF(COUNTIFS(Harvest!$C$6:$C$1505,C471,Harvest!$D$6:$D$1505,D471&amp;"",Harvest!$L$6:$L$1505,"&gt;="&amp;INT(B471))&gt;0,"Picking","Growing"))))</f>
        <v/>
      </c>
      <c r="K471" s="14">
        <f>IF(OR(NOT(AND(C471&lt;&gt;"",ISNUMBER(B471))),J471="Planned"),"",IF(ISNUMBER(G471),INT(G471),TODAY())-INT(B471))</f>
        <v/>
      </c>
      <c r="L471" s="11">
        <f>IF(AND(B471="",C471="",D471=""),"",IF(NOT(ISNUMBER(B471)),"Needs a date",IF(C471="","Needs a crop",IF(COUNTIF(Crops!$B$6:$B$65,C471)=0,"Not on Crops",IF(AND(D471&lt;&gt;"",COUNTIF(Beds!$B$6:$B$35,D471)=0),"Not on Beds",IF(AND(ISNUMBER(G471),G471&lt;B471),"Cleared before it was planted",""))))))</f>
        <v/>
      </c>
      <c r="M471" s="11">
        <f>IF(OR(L471&lt;&gt;"",D471="",O471=""),"",IF(COUNTIFS(Plantings!$D$6:$D$505,D471,Plantings!$O$6:$O$505,O471,Plantings!$N$6:$N$505,N471-1)&gt;0,"Same family here last year",""))</f>
        <v/>
      </c>
      <c r="N471" s="1">
        <f>IF(ISNUMBER(B471),YEAR(B471),"")</f>
        <v/>
      </c>
      <c r="O471">
        <f>IF(C471="","",IFERROR(INDEX(Crops!$C$6:$C$65,MATCH(C471,Crops!$B$6:$B$65,0))&amp;"",""))</f>
        <v/>
      </c>
      <c r="P471">
        <f>IF(ISNUMBER(B471),INT(B471),0)</f>
        <v/>
      </c>
      <c r="Q471">
        <f>IF(AND(L471="",OR(J471="Growing",J471="Picking")),1,0)</f>
        <v/>
      </c>
      <c r="R471">
        <f>IF(AND(Q471=1,D471&lt;&gt;""),P471*1000+ROW(),0)</f>
        <v/>
      </c>
      <c r="S471">
        <f>IF(AND(AND(C471&lt;&gt;"",ISNUMBER(B471)),L471=""),1,0)</f>
        <v/>
      </c>
    </row>
    <row r="472">
      <c r="A472" s="1" t="n"/>
      <c r="B472" s="17" t="n"/>
      <c r="C472" s="18" t="n"/>
      <c r="D472" s="19" t="n"/>
      <c r="E472" s="19" t="n"/>
      <c r="F472" s="20" t="n"/>
      <c r="G472" s="17" t="n"/>
      <c r="H472" s="21" t="n"/>
      <c r="I472" s="22">
        <f>IF(NOT(AND(C472&lt;&gt;"",ISNUMBER(B472))),"",IF(N(IFERROR(INDEX(Crops!$F$6:$F$65,MATCH(C472,Crops!$B$6:$B$65,0)),0))&gt;0,INT(B472)+N(IFERROR(INDEX(Crops!$F$6:$F$65,MATCH(C472,Crops!$B$6:$B$65,0)),0)),""))</f>
        <v/>
      </c>
      <c r="J472" s="16">
        <f>IF(NOT(AND(C472&lt;&gt;"",ISNUMBER(B472))),"",IF(ISNUMBER(G472),"Done",IF(INT(B472)&gt;TODAY(),"Planned",IF(COUNTIFS(Harvest!$C$6:$C$1505,C472,Harvest!$D$6:$D$1505,D472&amp;"",Harvest!$L$6:$L$1505,"&gt;="&amp;INT(B472))&gt;0,"Picking","Growing"))))</f>
        <v/>
      </c>
      <c r="K472" s="14">
        <f>IF(OR(NOT(AND(C472&lt;&gt;"",ISNUMBER(B472))),J472="Planned"),"",IF(ISNUMBER(G472),INT(G472),TODAY())-INT(B472))</f>
        <v/>
      </c>
      <c r="L472" s="11">
        <f>IF(AND(B472="",C472="",D472=""),"",IF(NOT(ISNUMBER(B472)),"Needs a date",IF(C472="","Needs a crop",IF(COUNTIF(Crops!$B$6:$B$65,C472)=0,"Not on Crops",IF(AND(D472&lt;&gt;"",COUNTIF(Beds!$B$6:$B$35,D472)=0),"Not on Beds",IF(AND(ISNUMBER(G472),G472&lt;B472),"Cleared before it was planted",""))))))</f>
        <v/>
      </c>
      <c r="M472" s="11">
        <f>IF(OR(L472&lt;&gt;"",D472="",O472=""),"",IF(COUNTIFS(Plantings!$D$6:$D$505,D472,Plantings!$O$6:$O$505,O472,Plantings!$N$6:$N$505,N472-1)&gt;0,"Same family here last year",""))</f>
        <v/>
      </c>
      <c r="N472" s="1">
        <f>IF(ISNUMBER(B472),YEAR(B472),"")</f>
        <v/>
      </c>
      <c r="O472">
        <f>IF(C472="","",IFERROR(INDEX(Crops!$C$6:$C$65,MATCH(C472,Crops!$B$6:$B$65,0))&amp;"",""))</f>
        <v/>
      </c>
      <c r="P472">
        <f>IF(ISNUMBER(B472),INT(B472),0)</f>
        <v/>
      </c>
      <c r="Q472">
        <f>IF(AND(L472="",OR(J472="Growing",J472="Picking")),1,0)</f>
        <v/>
      </c>
      <c r="R472">
        <f>IF(AND(Q472=1,D472&lt;&gt;""),P472*1000+ROW(),0)</f>
        <v/>
      </c>
      <c r="S472">
        <f>IF(AND(AND(C472&lt;&gt;"",ISNUMBER(B472)),L472=""),1,0)</f>
        <v/>
      </c>
    </row>
    <row r="473">
      <c r="A473" s="1" t="n"/>
      <c r="B473" s="17" t="n"/>
      <c r="C473" s="18" t="n"/>
      <c r="D473" s="19" t="n"/>
      <c r="E473" s="19" t="n"/>
      <c r="F473" s="20" t="n"/>
      <c r="G473" s="17" t="n"/>
      <c r="H473" s="21" t="n"/>
      <c r="I473" s="22">
        <f>IF(NOT(AND(C473&lt;&gt;"",ISNUMBER(B473))),"",IF(N(IFERROR(INDEX(Crops!$F$6:$F$65,MATCH(C473,Crops!$B$6:$B$65,0)),0))&gt;0,INT(B473)+N(IFERROR(INDEX(Crops!$F$6:$F$65,MATCH(C473,Crops!$B$6:$B$65,0)),0)),""))</f>
        <v/>
      </c>
      <c r="J473" s="16">
        <f>IF(NOT(AND(C473&lt;&gt;"",ISNUMBER(B473))),"",IF(ISNUMBER(G473),"Done",IF(INT(B473)&gt;TODAY(),"Planned",IF(COUNTIFS(Harvest!$C$6:$C$1505,C473,Harvest!$D$6:$D$1505,D473&amp;"",Harvest!$L$6:$L$1505,"&gt;="&amp;INT(B473))&gt;0,"Picking","Growing"))))</f>
        <v/>
      </c>
      <c r="K473" s="14">
        <f>IF(OR(NOT(AND(C473&lt;&gt;"",ISNUMBER(B473))),J473="Planned"),"",IF(ISNUMBER(G473),INT(G473),TODAY())-INT(B473))</f>
        <v/>
      </c>
      <c r="L473" s="11">
        <f>IF(AND(B473="",C473="",D473=""),"",IF(NOT(ISNUMBER(B473)),"Needs a date",IF(C473="","Needs a crop",IF(COUNTIF(Crops!$B$6:$B$65,C473)=0,"Not on Crops",IF(AND(D473&lt;&gt;"",COUNTIF(Beds!$B$6:$B$35,D473)=0),"Not on Beds",IF(AND(ISNUMBER(G473),G473&lt;B473),"Cleared before it was planted",""))))))</f>
        <v/>
      </c>
      <c r="M473" s="11">
        <f>IF(OR(L473&lt;&gt;"",D473="",O473=""),"",IF(COUNTIFS(Plantings!$D$6:$D$505,D473,Plantings!$O$6:$O$505,O473,Plantings!$N$6:$N$505,N473-1)&gt;0,"Same family here last year",""))</f>
        <v/>
      </c>
      <c r="N473" s="1">
        <f>IF(ISNUMBER(B473),YEAR(B473),"")</f>
        <v/>
      </c>
      <c r="O473">
        <f>IF(C473="","",IFERROR(INDEX(Crops!$C$6:$C$65,MATCH(C473,Crops!$B$6:$B$65,0))&amp;"",""))</f>
        <v/>
      </c>
      <c r="P473">
        <f>IF(ISNUMBER(B473),INT(B473),0)</f>
        <v/>
      </c>
      <c r="Q473">
        <f>IF(AND(L473="",OR(J473="Growing",J473="Picking")),1,0)</f>
        <v/>
      </c>
      <c r="R473">
        <f>IF(AND(Q473=1,D473&lt;&gt;""),P473*1000+ROW(),0)</f>
        <v/>
      </c>
      <c r="S473">
        <f>IF(AND(AND(C473&lt;&gt;"",ISNUMBER(B473)),L473=""),1,0)</f>
        <v/>
      </c>
    </row>
    <row r="474">
      <c r="A474" s="1" t="n"/>
      <c r="B474" s="17" t="n"/>
      <c r="C474" s="18" t="n"/>
      <c r="D474" s="19" t="n"/>
      <c r="E474" s="19" t="n"/>
      <c r="F474" s="20" t="n"/>
      <c r="G474" s="17" t="n"/>
      <c r="H474" s="21" t="n"/>
      <c r="I474" s="22">
        <f>IF(NOT(AND(C474&lt;&gt;"",ISNUMBER(B474))),"",IF(N(IFERROR(INDEX(Crops!$F$6:$F$65,MATCH(C474,Crops!$B$6:$B$65,0)),0))&gt;0,INT(B474)+N(IFERROR(INDEX(Crops!$F$6:$F$65,MATCH(C474,Crops!$B$6:$B$65,0)),0)),""))</f>
        <v/>
      </c>
      <c r="J474" s="16">
        <f>IF(NOT(AND(C474&lt;&gt;"",ISNUMBER(B474))),"",IF(ISNUMBER(G474),"Done",IF(INT(B474)&gt;TODAY(),"Planned",IF(COUNTIFS(Harvest!$C$6:$C$1505,C474,Harvest!$D$6:$D$1505,D474&amp;"",Harvest!$L$6:$L$1505,"&gt;="&amp;INT(B474))&gt;0,"Picking","Growing"))))</f>
        <v/>
      </c>
      <c r="K474" s="14">
        <f>IF(OR(NOT(AND(C474&lt;&gt;"",ISNUMBER(B474))),J474="Planned"),"",IF(ISNUMBER(G474),INT(G474),TODAY())-INT(B474))</f>
        <v/>
      </c>
      <c r="L474" s="11">
        <f>IF(AND(B474="",C474="",D474=""),"",IF(NOT(ISNUMBER(B474)),"Needs a date",IF(C474="","Needs a crop",IF(COUNTIF(Crops!$B$6:$B$65,C474)=0,"Not on Crops",IF(AND(D474&lt;&gt;"",COUNTIF(Beds!$B$6:$B$35,D474)=0),"Not on Beds",IF(AND(ISNUMBER(G474),G474&lt;B474),"Cleared before it was planted",""))))))</f>
        <v/>
      </c>
      <c r="M474" s="11">
        <f>IF(OR(L474&lt;&gt;"",D474="",O474=""),"",IF(COUNTIFS(Plantings!$D$6:$D$505,D474,Plantings!$O$6:$O$505,O474,Plantings!$N$6:$N$505,N474-1)&gt;0,"Same family here last year",""))</f>
        <v/>
      </c>
      <c r="N474" s="1">
        <f>IF(ISNUMBER(B474),YEAR(B474),"")</f>
        <v/>
      </c>
      <c r="O474">
        <f>IF(C474="","",IFERROR(INDEX(Crops!$C$6:$C$65,MATCH(C474,Crops!$B$6:$B$65,0))&amp;"",""))</f>
        <v/>
      </c>
      <c r="P474">
        <f>IF(ISNUMBER(B474),INT(B474),0)</f>
        <v/>
      </c>
      <c r="Q474">
        <f>IF(AND(L474="",OR(J474="Growing",J474="Picking")),1,0)</f>
        <v/>
      </c>
      <c r="R474">
        <f>IF(AND(Q474=1,D474&lt;&gt;""),P474*1000+ROW(),0)</f>
        <v/>
      </c>
      <c r="S474">
        <f>IF(AND(AND(C474&lt;&gt;"",ISNUMBER(B474)),L474=""),1,0)</f>
        <v/>
      </c>
    </row>
    <row r="475">
      <c r="A475" s="1" t="n"/>
      <c r="B475" s="17" t="n"/>
      <c r="C475" s="18" t="n"/>
      <c r="D475" s="19" t="n"/>
      <c r="E475" s="19" t="n"/>
      <c r="F475" s="20" t="n"/>
      <c r="G475" s="17" t="n"/>
      <c r="H475" s="21" t="n"/>
      <c r="I475" s="22">
        <f>IF(NOT(AND(C475&lt;&gt;"",ISNUMBER(B475))),"",IF(N(IFERROR(INDEX(Crops!$F$6:$F$65,MATCH(C475,Crops!$B$6:$B$65,0)),0))&gt;0,INT(B475)+N(IFERROR(INDEX(Crops!$F$6:$F$65,MATCH(C475,Crops!$B$6:$B$65,0)),0)),""))</f>
        <v/>
      </c>
      <c r="J475" s="16">
        <f>IF(NOT(AND(C475&lt;&gt;"",ISNUMBER(B475))),"",IF(ISNUMBER(G475),"Done",IF(INT(B475)&gt;TODAY(),"Planned",IF(COUNTIFS(Harvest!$C$6:$C$1505,C475,Harvest!$D$6:$D$1505,D475&amp;"",Harvest!$L$6:$L$1505,"&gt;="&amp;INT(B475))&gt;0,"Picking","Growing"))))</f>
        <v/>
      </c>
      <c r="K475" s="14">
        <f>IF(OR(NOT(AND(C475&lt;&gt;"",ISNUMBER(B475))),J475="Planned"),"",IF(ISNUMBER(G475),INT(G475),TODAY())-INT(B475))</f>
        <v/>
      </c>
      <c r="L475" s="11">
        <f>IF(AND(B475="",C475="",D475=""),"",IF(NOT(ISNUMBER(B475)),"Needs a date",IF(C475="","Needs a crop",IF(COUNTIF(Crops!$B$6:$B$65,C475)=0,"Not on Crops",IF(AND(D475&lt;&gt;"",COUNTIF(Beds!$B$6:$B$35,D475)=0),"Not on Beds",IF(AND(ISNUMBER(G475),G475&lt;B475),"Cleared before it was planted",""))))))</f>
        <v/>
      </c>
      <c r="M475" s="11">
        <f>IF(OR(L475&lt;&gt;"",D475="",O475=""),"",IF(COUNTIFS(Plantings!$D$6:$D$505,D475,Plantings!$O$6:$O$505,O475,Plantings!$N$6:$N$505,N475-1)&gt;0,"Same family here last year",""))</f>
        <v/>
      </c>
      <c r="N475" s="1">
        <f>IF(ISNUMBER(B475),YEAR(B475),"")</f>
        <v/>
      </c>
      <c r="O475">
        <f>IF(C475="","",IFERROR(INDEX(Crops!$C$6:$C$65,MATCH(C475,Crops!$B$6:$B$65,0))&amp;"",""))</f>
        <v/>
      </c>
      <c r="P475">
        <f>IF(ISNUMBER(B475),INT(B475),0)</f>
        <v/>
      </c>
      <c r="Q475">
        <f>IF(AND(L475="",OR(J475="Growing",J475="Picking")),1,0)</f>
        <v/>
      </c>
      <c r="R475">
        <f>IF(AND(Q475=1,D475&lt;&gt;""),P475*1000+ROW(),0)</f>
        <v/>
      </c>
      <c r="S475">
        <f>IF(AND(AND(C475&lt;&gt;"",ISNUMBER(B475)),L475=""),1,0)</f>
        <v/>
      </c>
    </row>
    <row r="476">
      <c r="A476" s="1" t="n"/>
      <c r="B476" s="17" t="n"/>
      <c r="C476" s="18" t="n"/>
      <c r="D476" s="19" t="n"/>
      <c r="E476" s="19" t="n"/>
      <c r="F476" s="20" t="n"/>
      <c r="G476" s="17" t="n"/>
      <c r="H476" s="21" t="n"/>
      <c r="I476" s="22">
        <f>IF(NOT(AND(C476&lt;&gt;"",ISNUMBER(B476))),"",IF(N(IFERROR(INDEX(Crops!$F$6:$F$65,MATCH(C476,Crops!$B$6:$B$65,0)),0))&gt;0,INT(B476)+N(IFERROR(INDEX(Crops!$F$6:$F$65,MATCH(C476,Crops!$B$6:$B$65,0)),0)),""))</f>
        <v/>
      </c>
      <c r="J476" s="16">
        <f>IF(NOT(AND(C476&lt;&gt;"",ISNUMBER(B476))),"",IF(ISNUMBER(G476),"Done",IF(INT(B476)&gt;TODAY(),"Planned",IF(COUNTIFS(Harvest!$C$6:$C$1505,C476,Harvest!$D$6:$D$1505,D476&amp;"",Harvest!$L$6:$L$1505,"&gt;="&amp;INT(B476))&gt;0,"Picking","Growing"))))</f>
        <v/>
      </c>
      <c r="K476" s="14">
        <f>IF(OR(NOT(AND(C476&lt;&gt;"",ISNUMBER(B476))),J476="Planned"),"",IF(ISNUMBER(G476),INT(G476),TODAY())-INT(B476))</f>
        <v/>
      </c>
      <c r="L476" s="11">
        <f>IF(AND(B476="",C476="",D476=""),"",IF(NOT(ISNUMBER(B476)),"Needs a date",IF(C476="","Needs a crop",IF(COUNTIF(Crops!$B$6:$B$65,C476)=0,"Not on Crops",IF(AND(D476&lt;&gt;"",COUNTIF(Beds!$B$6:$B$35,D476)=0),"Not on Beds",IF(AND(ISNUMBER(G476),G476&lt;B476),"Cleared before it was planted",""))))))</f>
        <v/>
      </c>
      <c r="M476" s="11">
        <f>IF(OR(L476&lt;&gt;"",D476="",O476=""),"",IF(COUNTIFS(Plantings!$D$6:$D$505,D476,Plantings!$O$6:$O$505,O476,Plantings!$N$6:$N$505,N476-1)&gt;0,"Same family here last year",""))</f>
        <v/>
      </c>
      <c r="N476" s="1">
        <f>IF(ISNUMBER(B476),YEAR(B476),"")</f>
        <v/>
      </c>
      <c r="O476">
        <f>IF(C476="","",IFERROR(INDEX(Crops!$C$6:$C$65,MATCH(C476,Crops!$B$6:$B$65,0))&amp;"",""))</f>
        <v/>
      </c>
      <c r="P476">
        <f>IF(ISNUMBER(B476),INT(B476),0)</f>
        <v/>
      </c>
      <c r="Q476">
        <f>IF(AND(L476="",OR(J476="Growing",J476="Picking")),1,0)</f>
        <v/>
      </c>
      <c r="R476">
        <f>IF(AND(Q476=1,D476&lt;&gt;""),P476*1000+ROW(),0)</f>
        <v/>
      </c>
      <c r="S476">
        <f>IF(AND(AND(C476&lt;&gt;"",ISNUMBER(B476)),L476=""),1,0)</f>
        <v/>
      </c>
    </row>
    <row r="477">
      <c r="A477" s="1" t="n"/>
      <c r="B477" s="17" t="n"/>
      <c r="C477" s="18" t="n"/>
      <c r="D477" s="19" t="n"/>
      <c r="E477" s="19" t="n"/>
      <c r="F477" s="20" t="n"/>
      <c r="G477" s="17" t="n"/>
      <c r="H477" s="21" t="n"/>
      <c r="I477" s="22">
        <f>IF(NOT(AND(C477&lt;&gt;"",ISNUMBER(B477))),"",IF(N(IFERROR(INDEX(Crops!$F$6:$F$65,MATCH(C477,Crops!$B$6:$B$65,0)),0))&gt;0,INT(B477)+N(IFERROR(INDEX(Crops!$F$6:$F$65,MATCH(C477,Crops!$B$6:$B$65,0)),0)),""))</f>
        <v/>
      </c>
      <c r="J477" s="16">
        <f>IF(NOT(AND(C477&lt;&gt;"",ISNUMBER(B477))),"",IF(ISNUMBER(G477),"Done",IF(INT(B477)&gt;TODAY(),"Planned",IF(COUNTIFS(Harvest!$C$6:$C$1505,C477,Harvest!$D$6:$D$1505,D477&amp;"",Harvest!$L$6:$L$1505,"&gt;="&amp;INT(B477))&gt;0,"Picking","Growing"))))</f>
        <v/>
      </c>
      <c r="K477" s="14">
        <f>IF(OR(NOT(AND(C477&lt;&gt;"",ISNUMBER(B477))),J477="Planned"),"",IF(ISNUMBER(G477),INT(G477),TODAY())-INT(B477))</f>
        <v/>
      </c>
      <c r="L477" s="11">
        <f>IF(AND(B477="",C477="",D477=""),"",IF(NOT(ISNUMBER(B477)),"Needs a date",IF(C477="","Needs a crop",IF(COUNTIF(Crops!$B$6:$B$65,C477)=0,"Not on Crops",IF(AND(D477&lt;&gt;"",COUNTIF(Beds!$B$6:$B$35,D477)=0),"Not on Beds",IF(AND(ISNUMBER(G477),G477&lt;B477),"Cleared before it was planted",""))))))</f>
        <v/>
      </c>
      <c r="M477" s="11">
        <f>IF(OR(L477&lt;&gt;"",D477="",O477=""),"",IF(COUNTIFS(Plantings!$D$6:$D$505,D477,Plantings!$O$6:$O$505,O477,Plantings!$N$6:$N$505,N477-1)&gt;0,"Same family here last year",""))</f>
        <v/>
      </c>
      <c r="N477" s="1">
        <f>IF(ISNUMBER(B477),YEAR(B477),"")</f>
        <v/>
      </c>
      <c r="O477">
        <f>IF(C477="","",IFERROR(INDEX(Crops!$C$6:$C$65,MATCH(C477,Crops!$B$6:$B$65,0))&amp;"",""))</f>
        <v/>
      </c>
      <c r="P477">
        <f>IF(ISNUMBER(B477),INT(B477),0)</f>
        <v/>
      </c>
      <c r="Q477">
        <f>IF(AND(L477="",OR(J477="Growing",J477="Picking")),1,0)</f>
        <v/>
      </c>
      <c r="R477">
        <f>IF(AND(Q477=1,D477&lt;&gt;""),P477*1000+ROW(),0)</f>
        <v/>
      </c>
      <c r="S477">
        <f>IF(AND(AND(C477&lt;&gt;"",ISNUMBER(B477)),L477=""),1,0)</f>
        <v/>
      </c>
    </row>
    <row r="478">
      <c r="A478" s="1" t="n"/>
      <c r="B478" s="17" t="n"/>
      <c r="C478" s="18" t="n"/>
      <c r="D478" s="19" t="n"/>
      <c r="E478" s="19" t="n"/>
      <c r="F478" s="20" t="n"/>
      <c r="G478" s="17" t="n"/>
      <c r="H478" s="21" t="n"/>
      <c r="I478" s="22">
        <f>IF(NOT(AND(C478&lt;&gt;"",ISNUMBER(B478))),"",IF(N(IFERROR(INDEX(Crops!$F$6:$F$65,MATCH(C478,Crops!$B$6:$B$65,0)),0))&gt;0,INT(B478)+N(IFERROR(INDEX(Crops!$F$6:$F$65,MATCH(C478,Crops!$B$6:$B$65,0)),0)),""))</f>
        <v/>
      </c>
      <c r="J478" s="16">
        <f>IF(NOT(AND(C478&lt;&gt;"",ISNUMBER(B478))),"",IF(ISNUMBER(G478),"Done",IF(INT(B478)&gt;TODAY(),"Planned",IF(COUNTIFS(Harvest!$C$6:$C$1505,C478,Harvest!$D$6:$D$1505,D478&amp;"",Harvest!$L$6:$L$1505,"&gt;="&amp;INT(B478))&gt;0,"Picking","Growing"))))</f>
        <v/>
      </c>
      <c r="K478" s="14">
        <f>IF(OR(NOT(AND(C478&lt;&gt;"",ISNUMBER(B478))),J478="Planned"),"",IF(ISNUMBER(G478),INT(G478),TODAY())-INT(B478))</f>
        <v/>
      </c>
      <c r="L478" s="11">
        <f>IF(AND(B478="",C478="",D478=""),"",IF(NOT(ISNUMBER(B478)),"Needs a date",IF(C478="","Needs a crop",IF(COUNTIF(Crops!$B$6:$B$65,C478)=0,"Not on Crops",IF(AND(D478&lt;&gt;"",COUNTIF(Beds!$B$6:$B$35,D478)=0),"Not on Beds",IF(AND(ISNUMBER(G478),G478&lt;B478),"Cleared before it was planted",""))))))</f>
        <v/>
      </c>
      <c r="M478" s="11">
        <f>IF(OR(L478&lt;&gt;"",D478="",O478=""),"",IF(COUNTIFS(Plantings!$D$6:$D$505,D478,Plantings!$O$6:$O$505,O478,Plantings!$N$6:$N$505,N478-1)&gt;0,"Same family here last year",""))</f>
        <v/>
      </c>
      <c r="N478" s="1">
        <f>IF(ISNUMBER(B478),YEAR(B478),"")</f>
        <v/>
      </c>
      <c r="O478">
        <f>IF(C478="","",IFERROR(INDEX(Crops!$C$6:$C$65,MATCH(C478,Crops!$B$6:$B$65,0))&amp;"",""))</f>
        <v/>
      </c>
      <c r="P478">
        <f>IF(ISNUMBER(B478),INT(B478),0)</f>
        <v/>
      </c>
      <c r="Q478">
        <f>IF(AND(L478="",OR(J478="Growing",J478="Picking")),1,0)</f>
        <v/>
      </c>
      <c r="R478">
        <f>IF(AND(Q478=1,D478&lt;&gt;""),P478*1000+ROW(),0)</f>
        <v/>
      </c>
      <c r="S478">
        <f>IF(AND(AND(C478&lt;&gt;"",ISNUMBER(B478)),L478=""),1,0)</f>
        <v/>
      </c>
    </row>
    <row r="479">
      <c r="A479" s="1" t="n"/>
      <c r="B479" s="17" t="n"/>
      <c r="C479" s="18" t="n"/>
      <c r="D479" s="19" t="n"/>
      <c r="E479" s="19" t="n"/>
      <c r="F479" s="20" t="n"/>
      <c r="G479" s="17" t="n"/>
      <c r="H479" s="21" t="n"/>
      <c r="I479" s="22">
        <f>IF(NOT(AND(C479&lt;&gt;"",ISNUMBER(B479))),"",IF(N(IFERROR(INDEX(Crops!$F$6:$F$65,MATCH(C479,Crops!$B$6:$B$65,0)),0))&gt;0,INT(B479)+N(IFERROR(INDEX(Crops!$F$6:$F$65,MATCH(C479,Crops!$B$6:$B$65,0)),0)),""))</f>
        <v/>
      </c>
      <c r="J479" s="16">
        <f>IF(NOT(AND(C479&lt;&gt;"",ISNUMBER(B479))),"",IF(ISNUMBER(G479),"Done",IF(INT(B479)&gt;TODAY(),"Planned",IF(COUNTIFS(Harvest!$C$6:$C$1505,C479,Harvest!$D$6:$D$1505,D479&amp;"",Harvest!$L$6:$L$1505,"&gt;="&amp;INT(B479))&gt;0,"Picking","Growing"))))</f>
        <v/>
      </c>
      <c r="K479" s="14">
        <f>IF(OR(NOT(AND(C479&lt;&gt;"",ISNUMBER(B479))),J479="Planned"),"",IF(ISNUMBER(G479),INT(G479),TODAY())-INT(B479))</f>
        <v/>
      </c>
      <c r="L479" s="11">
        <f>IF(AND(B479="",C479="",D479=""),"",IF(NOT(ISNUMBER(B479)),"Needs a date",IF(C479="","Needs a crop",IF(COUNTIF(Crops!$B$6:$B$65,C479)=0,"Not on Crops",IF(AND(D479&lt;&gt;"",COUNTIF(Beds!$B$6:$B$35,D479)=0),"Not on Beds",IF(AND(ISNUMBER(G479),G479&lt;B479),"Cleared before it was planted",""))))))</f>
        <v/>
      </c>
      <c r="M479" s="11">
        <f>IF(OR(L479&lt;&gt;"",D479="",O479=""),"",IF(COUNTIFS(Plantings!$D$6:$D$505,D479,Plantings!$O$6:$O$505,O479,Plantings!$N$6:$N$505,N479-1)&gt;0,"Same family here last year",""))</f>
        <v/>
      </c>
      <c r="N479" s="1">
        <f>IF(ISNUMBER(B479),YEAR(B479),"")</f>
        <v/>
      </c>
      <c r="O479">
        <f>IF(C479="","",IFERROR(INDEX(Crops!$C$6:$C$65,MATCH(C479,Crops!$B$6:$B$65,0))&amp;"",""))</f>
        <v/>
      </c>
      <c r="P479">
        <f>IF(ISNUMBER(B479),INT(B479),0)</f>
        <v/>
      </c>
      <c r="Q479">
        <f>IF(AND(L479="",OR(J479="Growing",J479="Picking")),1,0)</f>
        <v/>
      </c>
      <c r="R479">
        <f>IF(AND(Q479=1,D479&lt;&gt;""),P479*1000+ROW(),0)</f>
        <v/>
      </c>
      <c r="S479">
        <f>IF(AND(AND(C479&lt;&gt;"",ISNUMBER(B479)),L479=""),1,0)</f>
        <v/>
      </c>
    </row>
    <row r="480">
      <c r="A480" s="1" t="n"/>
      <c r="B480" s="17" t="n"/>
      <c r="C480" s="18" t="n"/>
      <c r="D480" s="19" t="n"/>
      <c r="E480" s="19" t="n"/>
      <c r="F480" s="20" t="n"/>
      <c r="G480" s="17" t="n"/>
      <c r="H480" s="21" t="n"/>
      <c r="I480" s="22">
        <f>IF(NOT(AND(C480&lt;&gt;"",ISNUMBER(B480))),"",IF(N(IFERROR(INDEX(Crops!$F$6:$F$65,MATCH(C480,Crops!$B$6:$B$65,0)),0))&gt;0,INT(B480)+N(IFERROR(INDEX(Crops!$F$6:$F$65,MATCH(C480,Crops!$B$6:$B$65,0)),0)),""))</f>
        <v/>
      </c>
      <c r="J480" s="16">
        <f>IF(NOT(AND(C480&lt;&gt;"",ISNUMBER(B480))),"",IF(ISNUMBER(G480),"Done",IF(INT(B480)&gt;TODAY(),"Planned",IF(COUNTIFS(Harvest!$C$6:$C$1505,C480,Harvest!$D$6:$D$1505,D480&amp;"",Harvest!$L$6:$L$1505,"&gt;="&amp;INT(B480))&gt;0,"Picking","Growing"))))</f>
        <v/>
      </c>
      <c r="K480" s="14">
        <f>IF(OR(NOT(AND(C480&lt;&gt;"",ISNUMBER(B480))),J480="Planned"),"",IF(ISNUMBER(G480),INT(G480),TODAY())-INT(B480))</f>
        <v/>
      </c>
      <c r="L480" s="11">
        <f>IF(AND(B480="",C480="",D480=""),"",IF(NOT(ISNUMBER(B480)),"Needs a date",IF(C480="","Needs a crop",IF(COUNTIF(Crops!$B$6:$B$65,C480)=0,"Not on Crops",IF(AND(D480&lt;&gt;"",COUNTIF(Beds!$B$6:$B$35,D480)=0),"Not on Beds",IF(AND(ISNUMBER(G480),G480&lt;B480),"Cleared before it was planted",""))))))</f>
        <v/>
      </c>
      <c r="M480" s="11">
        <f>IF(OR(L480&lt;&gt;"",D480="",O480=""),"",IF(COUNTIFS(Plantings!$D$6:$D$505,D480,Plantings!$O$6:$O$505,O480,Plantings!$N$6:$N$505,N480-1)&gt;0,"Same family here last year",""))</f>
        <v/>
      </c>
      <c r="N480" s="1">
        <f>IF(ISNUMBER(B480),YEAR(B480),"")</f>
        <v/>
      </c>
      <c r="O480">
        <f>IF(C480="","",IFERROR(INDEX(Crops!$C$6:$C$65,MATCH(C480,Crops!$B$6:$B$65,0))&amp;"",""))</f>
        <v/>
      </c>
      <c r="P480">
        <f>IF(ISNUMBER(B480),INT(B480),0)</f>
        <v/>
      </c>
      <c r="Q480">
        <f>IF(AND(L480="",OR(J480="Growing",J480="Picking")),1,0)</f>
        <v/>
      </c>
      <c r="R480">
        <f>IF(AND(Q480=1,D480&lt;&gt;""),P480*1000+ROW(),0)</f>
        <v/>
      </c>
      <c r="S480">
        <f>IF(AND(AND(C480&lt;&gt;"",ISNUMBER(B480)),L480=""),1,0)</f>
        <v/>
      </c>
    </row>
    <row r="481">
      <c r="A481" s="1" t="n"/>
      <c r="B481" s="17" t="n"/>
      <c r="C481" s="18" t="n"/>
      <c r="D481" s="19" t="n"/>
      <c r="E481" s="19" t="n"/>
      <c r="F481" s="20" t="n"/>
      <c r="G481" s="17" t="n"/>
      <c r="H481" s="21" t="n"/>
      <c r="I481" s="22">
        <f>IF(NOT(AND(C481&lt;&gt;"",ISNUMBER(B481))),"",IF(N(IFERROR(INDEX(Crops!$F$6:$F$65,MATCH(C481,Crops!$B$6:$B$65,0)),0))&gt;0,INT(B481)+N(IFERROR(INDEX(Crops!$F$6:$F$65,MATCH(C481,Crops!$B$6:$B$65,0)),0)),""))</f>
        <v/>
      </c>
      <c r="J481" s="16">
        <f>IF(NOT(AND(C481&lt;&gt;"",ISNUMBER(B481))),"",IF(ISNUMBER(G481),"Done",IF(INT(B481)&gt;TODAY(),"Planned",IF(COUNTIFS(Harvest!$C$6:$C$1505,C481,Harvest!$D$6:$D$1505,D481&amp;"",Harvest!$L$6:$L$1505,"&gt;="&amp;INT(B481))&gt;0,"Picking","Growing"))))</f>
        <v/>
      </c>
      <c r="K481" s="14">
        <f>IF(OR(NOT(AND(C481&lt;&gt;"",ISNUMBER(B481))),J481="Planned"),"",IF(ISNUMBER(G481),INT(G481),TODAY())-INT(B481))</f>
        <v/>
      </c>
      <c r="L481" s="11">
        <f>IF(AND(B481="",C481="",D481=""),"",IF(NOT(ISNUMBER(B481)),"Needs a date",IF(C481="","Needs a crop",IF(COUNTIF(Crops!$B$6:$B$65,C481)=0,"Not on Crops",IF(AND(D481&lt;&gt;"",COUNTIF(Beds!$B$6:$B$35,D481)=0),"Not on Beds",IF(AND(ISNUMBER(G481),G481&lt;B481),"Cleared before it was planted",""))))))</f>
        <v/>
      </c>
      <c r="M481" s="11">
        <f>IF(OR(L481&lt;&gt;"",D481="",O481=""),"",IF(COUNTIFS(Plantings!$D$6:$D$505,D481,Plantings!$O$6:$O$505,O481,Plantings!$N$6:$N$505,N481-1)&gt;0,"Same family here last year",""))</f>
        <v/>
      </c>
      <c r="N481" s="1">
        <f>IF(ISNUMBER(B481),YEAR(B481),"")</f>
        <v/>
      </c>
      <c r="O481">
        <f>IF(C481="","",IFERROR(INDEX(Crops!$C$6:$C$65,MATCH(C481,Crops!$B$6:$B$65,0))&amp;"",""))</f>
        <v/>
      </c>
      <c r="P481">
        <f>IF(ISNUMBER(B481),INT(B481),0)</f>
        <v/>
      </c>
      <c r="Q481">
        <f>IF(AND(L481="",OR(J481="Growing",J481="Picking")),1,0)</f>
        <v/>
      </c>
      <c r="R481">
        <f>IF(AND(Q481=1,D481&lt;&gt;""),P481*1000+ROW(),0)</f>
        <v/>
      </c>
      <c r="S481">
        <f>IF(AND(AND(C481&lt;&gt;"",ISNUMBER(B481)),L481=""),1,0)</f>
        <v/>
      </c>
    </row>
    <row r="482">
      <c r="A482" s="1" t="n"/>
      <c r="B482" s="17" t="n"/>
      <c r="C482" s="18" t="n"/>
      <c r="D482" s="19" t="n"/>
      <c r="E482" s="19" t="n"/>
      <c r="F482" s="20" t="n"/>
      <c r="G482" s="17" t="n"/>
      <c r="H482" s="21" t="n"/>
      <c r="I482" s="22">
        <f>IF(NOT(AND(C482&lt;&gt;"",ISNUMBER(B482))),"",IF(N(IFERROR(INDEX(Crops!$F$6:$F$65,MATCH(C482,Crops!$B$6:$B$65,0)),0))&gt;0,INT(B482)+N(IFERROR(INDEX(Crops!$F$6:$F$65,MATCH(C482,Crops!$B$6:$B$65,0)),0)),""))</f>
        <v/>
      </c>
      <c r="J482" s="16">
        <f>IF(NOT(AND(C482&lt;&gt;"",ISNUMBER(B482))),"",IF(ISNUMBER(G482),"Done",IF(INT(B482)&gt;TODAY(),"Planned",IF(COUNTIFS(Harvest!$C$6:$C$1505,C482,Harvest!$D$6:$D$1505,D482&amp;"",Harvest!$L$6:$L$1505,"&gt;="&amp;INT(B482))&gt;0,"Picking","Growing"))))</f>
        <v/>
      </c>
      <c r="K482" s="14">
        <f>IF(OR(NOT(AND(C482&lt;&gt;"",ISNUMBER(B482))),J482="Planned"),"",IF(ISNUMBER(G482),INT(G482),TODAY())-INT(B482))</f>
        <v/>
      </c>
      <c r="L482" s="11">
        <f>IF(AND(B482="",C482="",D482=""),"",IF(NOT(ISNUMBER(B482)),"Needs a date",IF(C482="","Needs a crop",IF(COUNTIF(Crops!$B$6:$B$65,C482)=0,"Not on Crops",IF(AND(D482&lt;&gt;"",COUNTIF(Beds!$B$6:$B$35,D482)=0),"Not on Beds",IF(AND(ISNUMBER(G482),G482&lt;B482),"Cleared before it was planted",""))))))</f>
        <v/>
      </c>
      <c r="M482" s="11">
        <f>IF(OR(L482&lt;&gt;"",D482="",O482=""),"",IF(COUNTIFS(Plantings!$D$6:$D$505,D482,Plantings!$O$6:$O$505,O482,Plantings!$N$6:$N$505,N482-1)&gt;0,"Same family here last year",""))</f>
        <v/>
      </c>
      <c r="N482" s="1">
        <f>IF(ISNUMBER(B482),YEAR(B482),"")</f>
        <v/>
      </c>
      <c r="O482">
        <f>IF(C482="","",IFERROR(INDEX(Crops!$C$6:$C$65,MATCH(C482,Crops!$B$6:$B$65,0))&amp;"",""))</f>
        <v/>
      </c>
      <c r="P482">
        <f>IF(ISNUMBER(B482),INT(B482),0)</f>
        <v/>
      </c>
      <c r="Q482">
        <f>IF(AND(L482="",OR(J482="Growing",J482="Picking")),1,0)</f>
        <v/>
      </c>
      <c r="R482">
        <f>IF(AND(Q482=1,D482&lt;&gt;""),P482*1000+ROW(),0)</f>
        <v/>
      </c>
      <c r="S482">
        <f>IF(AND(AND(C482&lt;&gt;"",ISNUMBER(B482)),L482=""),1,0)</f>
        <v/>
      </c>
    </row>
    <row r="483">
      <c r="A483" s="1" t="n"/>
      <c r="B483" s="17" t="n"/>
      <c r="C483" s="18" t="n"/>
      <c r="D483" s="19" t="n"/>
      <c r="E483" s="19" t="n"/>
      <c r="F483" s="20" t="n"/>
      <c r="G483" s="17" t="n"/>
      <c r="H483" s="21" t="n"/>
      <c r="I483" s="22">
        <f>IF(NOT(AND(C483&lt;&gt;"",ISNUMBER(B483))),"",IF(N(IFERROR(INDEX(Crops!$F$6:$F$65,MATCH(C483,Crops!$B$6:$B$65,0)),0))&gt;0,INT(B483)+N(IFERROR(INDEX(Crops!$F$6:$F$65,MATCH(C483,Crops!$B$6:$B$65,0)),0)),""))</f>
        <v/>
      </c>
      <c r="J483" s="16">
        <f>IF(NOT(AND(C483&lt;&gt;"",ISNUMBER(B483))),"",IF(ISNUMBER(G483),"Done",IF(INT(B483)&gt;TODAY(),"Planned",IF(COUNTIFS(Harvest!$C$6:$C$1505,C483,Harvest!$D$6:$D$1505,D483&amp;"",Harvest!$L$6:$L$1505,"&gt;="&amp;INT(B483))&gt;0,"Picking","Growing"))))</f>
        <v/>
      </c>
      <c r="K483" s="14">
        <f>IF(OR(NOT(AND(C483&lt;&gt;"",ISNUMBER(B483))),J483="Planned"),"",IF(ISNUMBER(G483),INT(G483),TODAY())-INT(B483))</f>
        <v/>
      </c>
      <c r="L483" s="11">
        <f>IF(AND(B483="",C483="",D483=""),"",IF(NOT(ISNUMBER(B483)),"Needs a date",IF(C483="","Needs a crop",IF(COUNTIF(Crops!$B$6:$B$65,C483)=0,"Not on Crops",IF(AND(D483&lt;&gt;"",COUNTIF(Beds!$B$6:$B$35,D483)=0),"Not on Beds",IF(AND(ISNUMBER(G483),G483&lt;B483),"Cleared before it was planted",""))))))</f>
        <v/>
      </c>
      <c r="M483" s="11">
        <f>IF(OR(L483&lt;&gt;"",D483="",O483=""),"",IF(COUNTIFS(Plantings!$D$6:$D$505,D483,Plantings!$O$6:$O$505,O483,Plantings!$N$6:$N$505,N483-1)&gt;0,"Same family here last year",""))</f>
        <v/>
      </c>
      <c r="N483" s="1">
        <f>IF(ISNUMBER(B483),YEAR(B483),"")</f>
        <v/>
      </c>
      <c r="O483">
        <f>IF(C483="","",IFERROR(INDEX(Crops!$C$6:$C$65,MATCH(C483,Crops!$B$6:$B$65,0))&amp;"",""))</f>
        <v/>
      </c>
      <c r="P483">
        <f>IF(ISNUMBER(B483),INT(B483),0)</f>
        <v/>
      </c>
      <c r="Q483">
        <f>IF(AND(L483="",OR(J483="Growing",J483="Picking")),1,0)</f>
        <v/>
      </c>
      <c r="R483">
        <f>IF(AND(Q483=1,D483&lt;&gt;""),P483*1000+ROW(),0)</f>
        <v/>
      </c>
      <c r="S483">
        <f>IF(AND(AND(C483&lt;&gt;"",ISNUMBER(B483)),L483=""),1,0)</f>
        <v/>
      </c>
    </row>
    <row r="484">
      <c r="A484" s="1" t="n"/>
      <c r="B484" s="17" t="n"/>
      <c r="C484" s="18" t="n"/>
      <c r="D484" s="19" t="n"/>
      <c r="E484" s="19" t="n"/>
      <c r="F484" s="20" t="n"/>
      <c r="G484" s="17" t="n"/>
      <c r="H484" s="21" t="n"/>
      <c r="I484" s="22">
        <f>IF(NOT(AND(C484&lt;&gt;"",ISNUMBER(B484))),"",IF(N(IFERROR(INDEX(Crops!$F$6:$F$65,MATCH(C484,Crops!$B$6:$B$65,0)),0))&gt;0,INT(B484)+N(IFERROR(INDEX(Crops!$F$6:$F$65,MATCH(C484,Crops!$B$6:$B$65,0)),0)),""))</f>
        <v/>
      </c>
      <c r="J484" s="16">
        <f>IF(NOT(AND(C484&lt;&gt;"",ISNUMBER(B484))),"",IF(ISNUMBER(G484),"Done",IF(INT(B484)&gt;TODAY(),"Planned",IF(COUNTIFS(Harvest!$C$6:$C$1505,C484,Harvest!$D$6:$D$1505,D484&amp;"",Harvest!$L$6:$L$1505,"&gt;="&amp;INT(B484))&gt;0,"Picking","Growing"))))</f>
        <v/>
      </c>
      <c r="K484" s="14">
        <f>IF(OR(NOT(AND(C484&lt;&gt;"",ISNUMBER(B484))),J484="Planned"),"",IF(ISNUMBER(G484),INT(G484),TODAY())-INT(B484))</f>
        <v/>
      </c>
      <c r="L484" s="11">
        <f>IF(AND(B484="",C484="",D484=""),"",IF(NOT(ISNUMBER(B484)),"Needs a date",IF(C484="","Needs a crop",IF(COUNTIF(Crops!$B$6:$B$65,C484)=0,"Not on Crops",IF(AND(D484&lt;&gt;"",COUNTIF(Beds!$B$6:$B$35,D484)=0),"Not on Beds",IF(AND(ISNUMBER(G484),G484&lt;B484),"Cleared before it was planted",""))))))</f>
        <v/>
      </c>
      <c r="M484" s="11">
        <f>IF(OR(L484&lt;&gt;"",D484="",O484=""),"",IF(COUNTIFS(Plantings!$D$6:$D$505,D484,Plantings!$O$6:$O$505,O484,Plantings!$N$6:$N$505,N484-1)&gt;0,"Same family here last year",""))</f>
        <v/>
      </c>
      <c r="N484" s="1">
        <f>IF(ISNUMBER(B484),YEAR(B484),"")</f>
        <v/>
      </c>
      <c r="O484">
        <f>IF(C484="","",IFERROR(INDEX(Crops!$C$6:$C$65,MATCH(C484,Crops!$B$6:$B$65,0))&amp;"",""))</f>
        <v/>
      </c>
      <c r="P484">
        <f>IF(ISNUMBER(B484),INT(B484),0)</f>
        <v/>
      </c>
      <c r="Q484">
        <f>IF(AND(L484="",OR(J484="Growing",J484="Picking")),1,0)</f>
        <v/>
      </c>
      <c r="R484">
        <f>IF(AND(Q484=1,D484&lt;&gt;""),P484*1000+ROW(),0)</f>
        <v/>
      </c>
      <c r="S484">
        <f>IF(AND(AND(C484&lt;&gt;"",ISNUMBER(B484)),L484=""),1,0)</f>
        <v/>
      </c>
    </row>
    <row r="485">
      <c r="A485" s="1" t="n"/>
      <c r="B485" s="17" t="n"/>
      <c r="C485" s="18" t="n"/>
      <c r="D485" s="19" t="n"/>
      <c r="E485" s="19" t="n"/>
      <c r="F485" s="20" t="n"/>
      <c r="G485" s="17" t="n"/>
      <c r="H485" s="21" t="n"/>
      <c r="I485" s="22">
        <f>IF(NOT(AND(C485&lt;&gt;"",ISNUMBER(B485))),"",IF(N(IFERROR(INDEX(Crops!$F$6:$F$65,MATCH(C485,Crops!$B$6:$B$65,0)),0))&gt;0,INT(B485)+N(IFERROR(INDEX(Crops!$F$6:$F$65,MATCH(C485,Crops!$B$6:$B$65,0)),0)),""))</f>
        <v/>
      </c>
      <c r="J485" s="16">
        <f>IF(NOT(AND(C485&lt;&gt;"",ISNUMBER(B485))),"",IF(ISNUMBER(G485),"Done",IF(INT(B485)&gt;TODAY(),"Planned",IF(COUNTIFS(Harvest!$C$6:$C$1505,C485,Harvest!$D$6:$D$1505,D485&amp;"",Harvest!$L$6:$L$1505,"&gt;="&amp;INT(B485))&gt;0,"Picking","Growing"))))</f>
        <v/>
      </c>
      <c r="K485" s="14">
        <f>IF(OR(NOT(AND(C485&lt;&gt;"",ISNUMBER(B485))),J485="Planned"),"",IF(ISNUMBER(G485),INT(G485),TODAY())-INT(B485))</f>
        <v/>
      </c>
      <c r="L485" s="11">
        <f>IF(AND(B485="",C485="",D485=""),"",IF(NOT(ISNUMBER(B485)),"Needs a date",IF(C485="","Needs a crop",IF(COUNTIF(Crops!$B$6:$B$65,C485)=0,"Not on Crops",IF(AND(D485&lt;&gt;"",COUNTIF(Beds!$B$6:$B$35,D485)=0),"Not on Beds",IF(AND(ISNUMBER(G485),G485&lt;B485),"Cleared before it was planted",""))))))</f>
        <v/>
      </c>
      <c r="M485" s="11">
        <f>IF(OR(L485&lt;&gt;"",D485="",O485=""),"",IF(COUNTIFS(Plantings!$D$6:$D$505,D485,Plantings!$O$6:$O$505,O485,Plantings!$N$6:$N$505,N485-1)&gt;0,"Same family here last year",""))</f>
        <v/>
      </c>
      <c r="N485" s="1">
        <f>IF(ISNUMBER(B485),YEAR(B485),"")</f>
        <v/>
      </c>
      <c r="O485">
        <f>IF(C485="","",IFERROR(INDEX(Crops!$C$6:$C$65,MATCH(C485,Crops!$B$6:$B$65,0))&amp;"",""))</f>
        <v/>
      </c>
      <c r="P485">
        <f>IF(ISNUMBER(B485),INT(B485),0)</f>
        <v/>
      </c>
      <c r="Q485">
        <f>IF(AND(L485="",OR(J485="Growing",J485="Picking")),1,0)</f>
        <v/>
      </c>
      <c r="R485">
        <f>IF(AND(Q485=1,D485&lt;&gt;""),P485*1000+ROW(),0)</f>
        <v/>
      </c>
      <c r="S485">
        <f>IF(AND(AND(C485&lt;&gt;"",ISNUMBER(B485)),L485=""),1,0)</f>
        <v/>
      </c>
    </row>
    <row r="486">
      <c r="A486" s="1" t="n"/>
      <c r="B486" s="17" t="n"/>
      <c r="C486" s="18" t="n"/>
      <c r="D486" s="19" t="n"/>
      <c r="E486" s="19" t="n"/>
      <c r="F486" s="20" t="n"/>
      <c r="G486" s="17" t="n"/>
      <c r="H486" s="21" t="n"/>
      <c r="I486" s="22">
        <f>IF(NOT(AND(C486&lt;&gt;"",ISNUMBER(B486))),"",IF(N(IFERROR(INDEX(Crops!$F$6:$F$65,MATCH(C486,Crops!$B$6:$B$65,0)),0))&gt;0,INT(B486)+N(IFERROR(INDEX(Crops!$F$6:$F$65,MATCH(C486,Crops!$B$6:$B$65,0)),0)),""))</f>
        <v/>
      </c>
      <c r="J486" s="16">
        <f>IF(NOT(AND(C486&lt;&gt;"",ISNUMBER(B486))),"",IF(ISNUMBER(G486),"Done",IF(INT(B486)&gt;TODAY(),"Planned",IF(COUNTIFS(Harvest!$C$6:$C$1505,C486,Harvest!$D$6:$D$1505,D486&amp;"",Harvest!$L$6:$L$1505,"&gt;="&amp;INT(B486))&gt;0,"Picking","Growing"))))</f>
        <v/>
      </c>
      <c r="K486" s="14">
        <f>IF(OR(NOT(AND(C486&lt;&gt;"",ISNUMBER(B486))),J486="Planned"),"",IF(ISNUMBER(G486),INT(G486),TODAY())-INT(B486))</f>
        <v/>
      </c>
      <c r="L486" s="11">
        <f>IF(AND(B486="",C486="",D486=""),"",IF(NOT(ISNUMBER(B486)),"Needs a date",IF(C486="","Needs a crop",IF(COUNTIF(Crops!$B$6:$B$65,C486)=0,"Not on Crops",IF(AND(D486&lt;&gt;"",COUNTIF(Beds!$B$6:$B$35,D486)=0),"Not on Beds",IF(AND(ISNUMBER(G486),G486&lt;B486),"Cleared before it was planted",""))))))</f>
        <v/>
      </c>
      <c r="M486" s="11">
        <f>IF(OR(L486&lt;&gt;"",D486="",O486=""),"",IF(COUNTIFS(Plantings!$D$6:$D$505,D486,Plantings!$O$6:$O$505,O486,Plantings!$N$6:$N$505,N486-1)&gt;0,"Same family here last year",""))</f>
        <v/>
      </c>
      <c r="N486" s="1">
        <f>IF(ISNUMBER(B486),YEAR(B486),"")</f>
        <v/>
      </c>
      <c r="O486">
        <f>IF(C486="","",IFERROR(INDEX(Crops!$C$6:$C$65,MATCH(C486,Crops!$B$6:$B$65,0))&amp;"",""))</f>
        <v/>
      </c>
      <c r="P486">
        <f>IF(ISNUMBER(B486),INT(B486),0)</f>
        <v/>
      </c>
      <c r="Q486">
        <f>IF(AND(L486="",OR(J486="Growing",J486="Picking")),1,0)</f>
        <v/>
      </c>
      <c r="R486">
        <f>IF(AND(Q486=1,D486&lt;&gt;""),P486*1000+ROW(),0)</f>
        <v/>
      </c>
      <c r="S486">
        <f>IF(AND(AND(C486&lt;&gt;"",ISNUMBER(B486)),L486=""),1,0)</f>
        <v/>
      </c>
    </row>
    <row r="487">
      <c r="A487" s="1" t="n"/>
      <c r="B487" s="17" t="n"/>
      <c r="C487" s="18" t="n"/>
      <c r="D487" s="19" t="n"/>
      <c r="E487" s="19" t="n"/>
      <c r="F487" s="20" t="n"/>
      <c r="G487" s="17" t="n"/>
      <c r="H487" s="21" t="n"/>
      <c r="I487" s="22">
        <f>IF(NOT(AND(C487&lt;&gt;"",ISNUMBER(B487))),"",IF(N(IFERROR(INDEX(Crops!$F$6:$F$65,MATCH(C487,Crops!$B$6:$B$65,0)),0))&gt;0,INT(B487)+N(IFERROR(INDEX(Crops!$F$6:$F$65,MATCH(C487,Crops!$B$6:$B$65,0)),0)),""))</f>
        <v/>
      </c>
      <c r="J487" s="16">
        <f>IF(NOT(AND(C487&lt;&gt;"",ISNUMBER(B487))),"",IF(ISNUMBER(G487),"Done",IF(INT(B487)&gt;TODAY(),"Planned",IF(COUNTIFS(Harvest!$C$6:$C$1505,C487,Harvest!$D$6:$D$1505,D487&amp;"",Harvest!$L$6:$L$1505,"&gt;="&amp;INT(B487))&gt;0,"Picking","Growing"))))</f>
        <v/>
      </c>
      <c r="K487" s="14">
        <f>IF(OR(NOT(AND(C487&lt;&gt;"",ISNUMBER(B487))),J487="Planned"),"",IF(ISNUMBER(G487),INT(G487),TODAY())-INT(B487))</f>
        <v/>
      </c>
      <c r="L487" s="11">
        <f>IF(AND(B487="",C487="",D487=""),"",IF(NOT(ISNUMBER(B487)),"Needs a date",IF(C487="","Needs a crop",IF(COUNTIF(Crops!$B$6:$B$65,C487)=0,"Not on Crops",IF(AND(D487&lt;&gt;"",COUNTIF(Beds!$B$6:$B$35,D487)=0),"Not on Beds",IF(AND(ISNUMBER(G487),G487&lt;B487),"Cleared before it was planted",""))))))</f>
        <v/>
      </c>
      <c r="M487" s="11">
        <f>IF(OR(L487&lt;&gt;"",D487="",O487=""),"",IF(COUNTIFS(Plantings!$D$6:$D$505,D487,Plantings!$O$6:$O$505,O487,Plantings!$N$6:$N$505,N487-1)&gt;0,"Same family here last year",""))</f>
        <v/>
      </c>
      <c r="N487" s="1">
        <f>IF(ISNUMBER(B487),YEAR(B487),"")</f>
        <v/>
      </c>
      <c r="O487">
        <f>IF(C487="","",IFERROR(INDEX(Crops!$C$6:$C$65,MATCH(C487,Crops!$B$6:$B$65,0))&amp;"",""))</f>
        <v/>
      </c>
      <c r="P487">
        <f>IF(ISNUMBER(B487),INT(B487),0)</f>
        <v/>
      </c>
      <c r="Q487">
        <f>IF(AND(L487="",OR(J487="Growing",J487="Picking")),1,0)</f>
        <v/>
      </c>
      <c r="R487">
        <f>IF(AND(Q487=1,D487&lt;&gt;""),P487*1000+ROW(),0)</f>
        <v/>
      </c>
      <c r="S487">
        <f>IF(AND(AND(C487&lt;&gt;"",ISNUMBER(B487)),L487=""),1,0)</f>
        <v/>
      </c>
    </row>
    <row r="488">
      <c r="A488" s="1" t="n"/>
      <c r="B488" s="17" t="n"/>
      <c r="C488" s="18" t="n"/>
      <c r="D488" s="19" t="n"/>
      <c r="E488" s="19" t="n"/>
      <c r="F488" s="20" t="n"/>
      <c r="G488" s="17" t="n"/>
      <c r="H488" s="21" t="n"/>
      <c r="I488" s="22">
        <f>IF(NOT(AND(C488&lt;&gt;"",ISNUMBER(B488))),"",IF(N(IFERROR(INDEX(Crops!$F$6:$F$65,MATCH(C488,Crops!$B$6:$B$65,0)),0))&gt;0,INT(B488)+N(IFERROR(INDEX(Crops!$F$6:$F$65,MATCH(C488,Crops!$B$6:$B$65,0)),0)),""))</f>
        <v/>
      </c>
      <c r="J488" s="16">
        <f>IF(NOT(AND(C488&lt;&gt;"",ISNUMBER(B488))),"",IF(ISNUMBER(G488),"Done",IF(INT(B488)&gt;TODAY(),"Planned",IF(COUNTIFS(Harvest!$C$6:$C$1505,C488,Harvest!$D$6:$D$1505,D488&amp;"",Harvest!$L$6:$L$1505,"&gt;="&amp;INT(B488))&gt;0,"Picking","Growing"))))</f>
        <v/>
      </c>
      <c r="K488" s="14">
        <f>IF(OR(NOT(AND(C488&lt;&gt;"",ISNUMBER(B488))),J488="Planned"),"",IF(ISNUMBER(G488),INT(G488),TODAY())-INT(B488))</f>
        <v/>
      </c>
      <c r="L488" s="11">
        <f>IF(AND(B488="",C488="",D488=""),"",IF(NOT(ISNUMBER(B488)),"Needs a date",IF(C488="","Needs a crop",IF(COUNTIF(Crops!$B$6:$B$65,C488)=0,"Not on Crops",IF(AND(D488&lt;&gt;"",COUNTIF(Beds!$B$6:$B$35,D488)=0),"Not on Beds",IF(AND(ISNUMBER(G488),G488&lt;B488),"Cleared before it was planted",""))))))</f>
        <v/>
      </c>
      <c r="M488" s="11">
        <f>IF(OR(L488&lt;&gt;"",D488="",O488=""),"",IF(COUNTIFS(Plantings!$D$6:$D$505,D488,Plantings!$O$6:$O$505,O488,Plantings!$N$6:$N$505,N488-1)&gt;0,"Same family here last year",""))</f>
        <v/>
      </c>
      <c r="N488" s="1">
        <f>IF(ISNUMBER(B488),YEAR(B488),"")</f>
        <v/>
      </c>
      <c r="O488">
        <f>IF(C488="","",IFERROR(INDEX(Crops!$C$6:$C$65,MATCH(C488,Crops!$B$6:$B$65,0))&amp;"",""))</f>
        <v/>
      </c>
      <c r="P488">
        <f>IF(ISNUMBER(B488),INT(B488),0)</f>
        <v/>
      </c>
      <c r="Q488">
        <f>IF(AND(L488="",OR(J488="Growing",J488="Picking")),1,0)</f>
        <v/>
      </c>
      <c r="R488">
        <f>IF(AND(Q488=1,D488&lt;&gt;""),P488*1000+ROW(),0)</f>
        <v/>
      </c>
      <c r="S488">
        <f>IF(AND(AND(C488&lt;&gt;"",ISNUMBER(B488)),L488=""),1,0)</f>
        <v/>
      </c>
    </row>
    <row r="489">
      <c r="A489" s="1" t="n"/>
      <c r="B489" s="17" t="n"/>
      <c r="C489" s="18" t="n"/>
      <c r="D489" s="19" t="n"/>
      <c r="E489" s="19" t="n"/>
      <c r="F489" s="20" t="n"/>
      <c r="G489" s="17" t="n"/>
      <c r="H489" s="21" t="n"/>
      <c r="I489" s="22">
        <f>IF(NOT(AND(C489&lt;&gt;"",ISNUMBER(B489))),"",IF(N(IFERROR(INDEX(Crops!$F$6:$F$65,MATCH(C489,Crops!$B$6:$B$65,0)),0))&gt;0,INT(B489)+N(IFERROR(INDEX(Crops!$F$6:$F$65,MATCH(C489,Crops!$B$6:$B$65,0)),0)),""))</f>
        <v/>
      </c>
      <c r="J489" s="16">
        <f>IF(NOT(AND(C489&lt;&gt;"",ISNUMBER(B489))),"",IF(ISNUMBER(G489),"Done",IF(INT(B489)&gt;TODAY(),"Planned",IF(COUNTIFS(Harvest!$C$6:$C$1505,C489,Harvest!$D$6:$D$1505,D489&amp;"",Harvest!$L$6:$L$1505,"&gt;="&amp;INT(B489))&gt;0,"Picking","Growing"))))</f>
        <v/>
      </c>
      <c r="K489" s="14">
        <f>IF(OR(NOT(AND(C489&lt;&gt;"",ISNUMBER(B489))),J489="Planned"),"",IF(ISNUMBER(G489),INT(G489),TODAY())-INT(B489))</f>
        <v/>
      </c>
      <c r="L489" s="11">
        <f>IF(AND(B489="",C489="",D489=""),"",IF(NOT(ISNUMBER(B489)),"Needs a date",IF(C489="","Needs a crop",IF(COUNTIF(Crops!$B$6:$B$65,C489)=0,"Not on Crops",IF(AND(D489&lt;&gt;"",COUNTIF(Beds!$B$6:$B$35,D489)=0),"Not on Beds",IF(AND(ISNUMBER(G489),G489&lt;B489),"Cleared before it was planted",""))))))</f>
        <v/>
      </c>
      <c r="M489" s="11">
        <f>IF(OR(L489&lt;&gt;"",D489="",O489=""),"",IF(COUNTIFS(Plantings!$D$6:$D$505,D489,Plantings!$O$6:$O$505,O489,Plantings!$N$6:$N$505,N489-1)&gt;0,"Same family here last year",""))</f>
        <v/>
      </c>
      <c r="N489" s="1">
        <f>IF(ISNUMBER(B489),YEAR(B489),"")</f>
        <v/>
      </c>
      <c r="O489">
        <f>IF(C489="","",IFERROR(INDEX(Crops!$C$6:$C$65,MATCH(C489,Crops!$B$6:$B$65,0))&amp;"",""))</f>
        <v/>
      </c>
      <c r="P489">
        <f>IF(ISNUMBER(B489),INT(B489),0)</f>
        <v/>
      </c>
      <c r="Q489">
        <f>IF(AND(L489="",OR(J489="Growing",J489="Picking")),1,0)</f>
        <v/>
      </c>
      <c r="R489">
        <f>IF(AND(Q489=1,D489&lt;&gt;""),P489*1000+ROW(),0)</f>
        <v/>
      </c>
      <c r="S489">
        <f>IF(AND(AND(C489&lt;&gt;"",ISNUMBER(B489)),L489=""),1,0)</f>
        <v/>
      </c>
    </row>
    <row r="490">
      <c r="A490" s="1" t="n"/>
      <c r="B490" s="17" t="n"/>
      <c r="C490" s="18" t="n"/>
      <c r="D490" s="19" t="n"/>
      <c r="E490" s="19" t="n"/>
      <c r="F490" s="20" t="n"/>
      <c r="G490" s="17" t="n"/>
      <c r="H490" s="21" t="n"/>
      <c r="I490" s="22">
        <f>IF(NOT(AND(C490&lt;&gt;"",ISNUMBER(B490))),"",IF(N(IFERROR(INDEX(Crops!$F$6:$F$65,MATCH(C490,Crops!$B$6:$B$65,0)),0))&gt;0,INT(B490)+N(IFERROR(INDEX(Crops!$F$6:$F$65,MATCH(C490,Crops!$B$6:$B$65,0)),0)),""))</f>
        <v/>
      </c>
      <c r="J490" s="16">
        <f>IF(NOT(AND(C490&lt;&gt;"",ISNUMBER(B490))),"",IF(ISNUMBER(G490),"Done",IF(INT(B490)&gt;TODAY(),"Planned",IF(COUNTIFS(Harvest!$C$6:$C$1505,C490,Harvest!$D$6:$D$1505,D490&amp;"",Harvest!$L$6:$L$1505,"&gt;="&amp;INT(B490))&gt;0,"Picking","Growing"))))</f>
        <v/>
      </c>
      <c r="K490" s="14">
        <f>IF(OR(NOT(AND(C490&lt;&gt;"",ISNUMBER(B490))),J490="Planned"),"",IF(ISNUMBER(G490),INT(G490),TODAY())-INT(B490))</f>
        <v/>
      </c>
      <c r="L490" s="11">
        <f>IF(AND(B490="",C490="",D490=""),"",IF(NOT(ISNUMBER(B490)),"Needs a date",IF(C490="","Needs a crop",IF(COUNTIF(Crops!$B$6:$B$65,C490)=0,"Not on Crops",IF(AND(D490&lt;&gt;"",COUNTIF(Beds!$B$6:$B$35,D490)=0),"Not on Beds",IF(AND(ISNUMBER(G490),G490&lt;B490),"Cleared before it was planted",""))))))</f>
        <v/>
      </c>
      <c r="M490" s="11">
        <f>IF(OR(L490&lt;&gt;"",D490="",O490=""),"",IF(COUNTIFS(Plantings!$D$6:$D$505,D490,Plantings!$O$6:$O$505,O490,Plantings!$N$6:$N$505,N490-1)&gt;0,"Same family here last year",""))</f>
        <v/>
      </c>
      <c r="N490" s="1">
        <f>IF(ISNUMBER(B490),YEAR(B490),"")</f>
        <v/>
      </c>
      <c r="O490">
        <f>IF(C490="","",IFERROR(INDEX(Crops!$C$6:$C$65,MATCH(C490,Crops!$B$6:$B$65,0))&amp;"",""))</f>
        <v/>
      </c>
      <c r="P490">
        <f>IF(ISNUMBER(B490),INT(B490),0)</f>
        <v/>
      </c>
      <c r="Q490">
        <f>IF(AND(L490="",OR(J490="Growing",J490="Picking")),1,0)</f>
        <v/>
      </c>
      <c r="R490">
        <f>IF(AND(Q490=1,D490&lt;&gt;""),P490*1000+ROW(),0)</f>
        <v/>
      </c>
      <c r="S490">
        <f>IF(AND(AND(C490&lt;&gt;"",ISNUMBER(B490)),L490=""),1,0)</f>
        <v/>
      </c>
    </row>
    <row r="491">
      <c r="A491" s="1" t="n"/>
      <c r="B491" s="17" t="n"/>
      <c r="C491" s="18" t="n"/>
      <c r="D491" s="19" t="n"/>
      <c r="E491" s="19" t="n"/>
      <c r="F491" s="20" t="n"/>
      <c r="G491" s="17" t="n"/>
      <c r="H491" s="21" t="n"/>
      <c r="I491" s="22">
        <f>IF(NOT(AND(C491&lt;&gt;"",ISNUMBER(B491))),"",IF(N(IFERROR(INDEX(Crops!$F$6:$F$65,MATCH(C491,Crops!$B$6:$B$65,0)),0))&gt;0,INT(B491)+N(IFERROR(INDEX(Crops!$F$6:$F$65,MATCH(C491,Crops!$B$6:$B$65,0)),0)),""))</f>
        <v/>
      </c>
      <c r="J491" s="16">
        <f>IF(NOT(AND(C491&lt;&gt;"",ISNUMBER(B491))),"",IF(ISNUMBER(G491),"Done",IF(INT(B491)&gt;TODAY(),"Planned",IF(COUNTIFS(Harvest!$C$6:$C$1505,C491,Harvest!$D$6:$D$1505,D491&amp;"",Harvest!$L$6:$L$1505,"&gt;="&amp;INT(B491))&gt;0,"Picking","Growing"))))</f>
        <v/>
      </c>
      <c r="K491" s="14">
        <f>IF(OR(NOT(AND(C491&lt;&gt;"",ISNUMBER(B491))),J491="Planned"),"",IF(ISNUMBER(G491),INT(G491),TODAY())-INT(B491))</f>
        <v/>
      </c>
      <c r="L491" s="11">
        <f>IF(AND(B491="",C491="",D491=""),"",IF(NOT(ISNUMBER(B491)),"Needs a date",IF(C491="","Needs a crop",IF(COUNTIF(Crops!$B$6:$B$65,C491)=0,"Not on Crops",IF(AND(D491&lt;&gt;"",COUNTIF(Beds!$B$6:$B$35,D491)=0),"Not on Beds",IF(AND(ISNUMBER(G491),G491&lt;B491),"Cleared before it was planted",""))))))</f>
        <v/>
      </c>
      <c r="M491" s="11">
        <f>IF(OR(L491&lt;&gt;"",D491="",O491=""),"",IF(COUNTIFS(Plantings!$D$6:$D$505,D491,Plantings!$O$6:$O$505,O491,Plantings!$N$6:$N$505,N491-1)&gt;0,"Same family here last year",""))</f>
        <v/>
      </c>
      <c r="N491" s="1">
        <f>IF(ISNUMBER(B491),YEAR(B491),"")</f>
        <v/>
      </c>
      <c r="O491">
        <f>IF(C491="","",IFERROR(INDEX(Crops!$C$6:$C$65,MATCH(C491,Crops!$B$6:$B$65,0))&amp;"",""))</f>
        <v/>
      </c>
      <c r="P491">
        <f>IF(ISNUMBER(B491),INT(B491),0)</f>
        <v/>
      </c>
      <c r="Q491">
        <f>IF(AND(L491="",OR(J491="Growing",J491="Picking")),1,0)</f>
        <v/>
      </c>
      <c r="R491">
        <f>IF(AND(Q491=1,D491&lt;&gt;""),P491*1000+ROW(),0)</f>
        <v/>
      </c>
      <c r="S491">
        <f>IF(AND(AND(C491&lt;&gt;"",ISNUMBER(B491)),L491=""),1,0)</f>
        <v/>
      </c>
    </row>
    <row r="492">
      <c r="A492" s="1" t="n"/>
      <c r="B492" s="17" t="n"/>
      <c r="C492" s="18" t="n"/>
      <c r="D492" s="19" t="n"/>
      <c r="E492" s="19" t="n"/>
      <c r="F492" s="20" t="n"/>
      <c r="G492" s="17" t="n"/>
      <c r="H492" s="21" t="n"/>
      <c r="I492" s="22">
        <f>IF(NOT(AND(C492&lt;&gt;"",ISNUMBER(B492))),"",IF(N(IFERROR(INDEX(Crops!$F$6:$F$65,MATCH(C492,Crops!$B$6:$B$65,0)),0))&gt;0,INT(B492)+N(IFERROR(INDEX(Crops!$F$6:$F$65,MATCH(C492,Crops!$B$6:$B$65,0)),0)),""))</f>
        <v/>
      </c>
      <c r="J492" s="16">
        <f>IF(NOT(AND(C492&lt;&gt;"",ISNUMBER(B492))),"",IF(ISNUMBER(G492),"Done",IF(INT(B492)&gt;TODAY(),"Planned",IF(COUNTIFS(Harvest!$C$6:$C$1505,C492,Harvest!$D$6:$D$1505,D492&amp;"",Harvest!$L$6:$L$1505,"&gt;="&amp;INT(B492))&gt;0,"Picking","Growing"))))</f>
        <v/>
      </c>
      <c r="K492" s="14">
        <f>IF(OR(NOT(AND(C492&lt;&gt;"",ISNUMBER(B492))),J492="Planned"),"",IF(ISNUMBER(G492),INT(G492),TODAY())-INT(B492))</f>
        <v/>
      </c>
      <c r="L492" s="11">
        <f>IF(AND(B492="",C492="",D492=""),"",IF(NOT(ISNUMBER(B492)),"Needs a date",IF(C492="","Needs a crop",IF(COUNTIF(Crops!$B$6:$B$65,C492)=0,"Not on Crops",IF(AND(D492&lt;&gt;"",COUNTIF(Beds!$B$6:$B$35,D492)=0),"Not on Beds",IF(AND(ISNUMBER(G492),G492&lt;B492),"Cleared before it was planted",""))))))</f>
        <v/>
      </c>
      <c r="M492" s="11">
        <f>IF(OR(L492&lt;&gt;"",D492="",O492=""),"",IF(COUNTIFS(Plantings!$D$6:$D$505,D492,Plantings!$O$6:$O$505,O492,Plantings!$N$6:$N$505,N492-1)&gt;0,"Same family here last year",""))</f>
        <v/>
      </c>
      <c r="N492" s="1">
        <f>IF(ISNUMBER(B492),YEAR(B492),"")</f>
        <v/>
      </c>
      <c r="O492">
        <f>IF(C492="","",IFERROR(INDEX(Crops!$C$6:$C$65,MATCH(C492,Crops!$B$6:$B$65,0))&amp;"",""))</f>
        <v/>
      </c>
      <c r="P492">
        <f>IF(ISNUMBER(B492),INT(B492),0)</f>
        <v/>
      </c>
      <c r="Q492">
        <f>IF(AND(L492="",OR(J492="Growing",J492="Picking")),1,0)</f>
        <v/>
      </c>
      <c r="R492">
        <f>IF(AND(Q492=1,D492&lt;&gt;""),P492*1000+ROW(),0)</f>
        <v/>
      </c>
      <c r="S492">
        <f>IF(AND(AND(C492&lt;&gt;"",ISNUMBER(B492)),L492=""),1,0)</f>
        <v/>
      </c>
    </row>
    <row r="493">
      <c r="A493" s="1" t="n"/>
      <c r="B493" s="17" t="n"/>
      <c r="C493" s="18" t="n"/>
      <c r="D493" s="19" t="n"/>
      <c r="E493" s="19" t="n"/>
      <c r="F493" s="20" t="n"/>
      <c r="G493" s="17" t="n"/>
      <c r="H493" s="21" t="n"/>
      <c r="I493" s="22">
        <f>IF(NOT(AND(C493&lt;&gt;"",ISNUMBER(B493))),"",IF(N(IFERROR(INDEX(Crops!$F$6:$F$65,MATCH(C493,Crops!$B$6:$B$65,0)),0))&gt;0,INT(B493)+N(IFERROR(INDEX(Crops!$F$6:$F$65,MATCH(C493,Crops!$B$6:$B$65,0)),0)),""))</f>
        <v/>
      </c>
      <c r="J493" s="16">
        <f>IF(NOT(AND(C493&lt;&gt;"",ISNUMBER(B493))),"",IF(ISNUMBER(G493),"Done",IF(INT(B493)&gt;TODAY(),"Planned",IF(COUNTIFS(Harvest!$C$6:$C$1505,C493,Harvest!$D$6:$D$1505,D493&amp;"",Harvest!$L$6:$L$1505,"&gt;="&amp;INT(B493))&gt;0,"Picking","Growing"))))</f>
        <v/>
      </c>
      <c r="K493" s="14">
        <f>IF(OR(NOT(AND(C493&lt;&gt;"",ISNUMBER(B493))),J493="Planned"),"",IF(ISNUMBER(G493),INT(G493),TODAY())-INT(B493))</f>
        <v/>
      </c>
      <c r="L493" s="11">
        <f>IF(AND(B493="",C493="",D493=""),"",IF(NOT(ISNUMBER(B493)),"Needs a date",IF(C493="","Needs a crop",IF(COUNTIF(Crops!$B$6:$B$65,C493)=0,"Not on Crops",IF(AND(D493&lt;&gt;"",COUNTIF(Beds!$B$6:$B$35,D493)=0),"Not on Beds",IF(AND(ISNUMBER(G493),G493&lt;B493),"Cleared before it was planted",""))))))</f>
        <v/>
      </c>
      <c r="M493" s="11">
        <f>IF(OR(L493&lt;&gt;"",D493="",O493=""),"",IF(COUNTIFS(Plantings!$D$6:$D$505,D493,Plantings!$O$6:$O$505,O493,Plantings!$N$6:$N$505,N493-1)&gt;0,"Same family here last year",""))</f>
        <v/>
      </c>
      <c r="N493" s="1">
        <f>IF(ISNUMBER(B493),YEAR(B493),"")</f>
        <v/>
      </c>
      <c r="O493">
        <f>IF(C493="","",IFERROR(INDEX(Crops!$C$6:$C$65,MATCH(C493,Crops!$B$6:$B$65,0))&amp;"",""))</f>
        <v/>
      </c>
      <c r="P493">
        <f>IF(ISNUMBER(B493),INT(B493),0)</f>
        <v/>
      </c>
      <c r="Q493">
        <f>IF(AND(L493="",OR(J493="Growing",J493="Picking")),1,0)</f>
        <v/>
      </c>
      <c r="R493">
        <f>IF(AND(Q493=1,D493&lt;&gt;""),P493*1000+ROW(),0)</f>
        <v/>
      </c>
      <c r="S493">
        <f>IF(AND(AND(C493&lt;&gt;"",ISNUMBER(B493)),L493=""),1,0)</f>
        <v/>
      </c>
    </row>
    <row r="494">
      <c r="A494" s="1" t="n"/>
      <c r="B494" s="17" t="n"/>
      <c r="C494" s="18" t="n"/>
      <c r="D494" s="19" t="n"/>
      <c r="E494" s="19" t="n"/>
      <c r="F494" s="20" t="n"/>
      <c r="G494" s="17" t="n"/>
      <c r="H494" s="21" t="n"/>
      <c r="I494" s="22">
        <f>IF(NOT(AND(C494&lt;&gt;"",ISNUMBER(B494))),"",IF(N(IFERROR(INDEX(Crops!$F$6:$F$65,MATCH(C494,Crops!$B$6:$B$65,0)),0))&gt;0,INT(B494)+N(IFERROR(INDEX(Crops!$F$6:$F$65,MATCH(C494,Crops!$B$6:$B$65,0)),0)),""))</f>
        <v/>
      </c>
      <c r="J494" s="16">
        <f>IF(NOT(AND(C494&lt;&gt;"",ISNUMBER(B494))),"",IF(ISNUMBER(G494),"Done",IF(INT(B494)&gt;TODAY(),"Planned",IF(COUNTIFS(Harvest!$C$6:$C$1505,C494,Harvest!$D$6:$D$1505,D494&amp;"",Harvest!$L$6:$L$1505,"&gt;="&amp;INT(B494))&gt;0,"Picking","Growing"))))</f>
        <v/>
      </c>
      <c r="K494" s="14">
        <f>IF(OR(NOT(AND(C494&lt;&gt;"",ISNUMBER(B494))),J494="Planned"),"",IF(ISNUMBER(G494),INT(G494),TODAY())-INT(B494))</f>
        <v/>
      </c>
      <c r="L494" s="11">
        <f>IF(AND(B494="",C494="",D494=""),"",IF(NOT(ISNUMBER(B494)),"Needs a date",IF(C494="","Needs a crop",IF(COUNTIF(Crops!$B$6:$B$65,C494)=0,"Not on Crops",IF(AND(D494&lt;&gt;"",COUNTIF(Beds!$B$6:$B$35,D494)=0),"Not on Beds",IF(AND(ISNUMBER(G494),G494&lt;B494),"Cleared before it was planted",""))))))</f>
        <v/>
      </c>
      <c r="M494" s="11">
        <f>IF(OR(L494&lt;&gt;"",D494="",O494=""),"",IF(COUNTIFS(Plantings!$D$6:$D$505,D494,Plantings!$O$6:$O$505,O494,Plantings!$N$6:$N$505,N494-1)&gt;0,"Same family here last year",""))</f>
        <v/>
      </c>
      <c r="N494" s="1">
        <f>IF(ISNUMBER(B494),YEAR(B494),"")</f>
        <v/>
      </c>
      <c r="O494">
        <f>IF(C494="","",IFERROR(INDEX(Crops!$C$6:$C$65,MATCH(C494,Crops!$B$6:$B$65,0))&amp;"",""))</f>
        <v/>
      </c>
      <c r="P494">
        <f>IF(ISNUMBER(B494),INT(B494),0)</f>
        <v/>
      </c>
      <c r="Q494">
        <f>IF(AND(L494="",OR(J494="Growing",J494="Picking")),1,0)</f>
        <v/>
      </c>
      <c r="R494">
        <f>IF(AND(Q494=1,D494&lt;&gt;""),P494*1000+ROW(),0)</f>
        <v/>
      </c>
      <c r="S494">
        <f>IF(AND(AND(C494&lt;&gt;"",ISNUMBER(B494)),L494=""),1,0)</f>
        <v/>
      </c>
    </row>
    <row r="495">
      <c r="A495" s="1" t="n"/>
      <c r="B495" s="17" t="n"/>
      <c r="C495" s="18" t="n"/>
      <c r="D495" s="19" t="n"/>
      <c r="E495" s="19" t="n"/>
      <c r="F495" s="20" t="n"/>
      <c r="G495" s="17" t="n"/>
      <c r="H495" s="21" t="n"/>
      <c r="I495" s="22">
        <f>IF(NOT(AND(C495&lt;&gt;"",ISNUMBER(B495))),"",IF(N(IFERROR(INDEX(Crops!$F$6:$F$65,MATCH(C495,Crops!$B$6:$B$65,0)),0))&gt;0,INT(B495)+N(IFERROR(INDEX(Crops!$F$6:$F$65,MATCH(C495,Crops!$B$6:$B$65,0)),0)),""))</f>
        <v/>
      </c>
      <c r="J495" s="16">
        <f>IF(NOT(AND(C495&lt;&gt;"",ISNUMBER(B495))),"",IF(ISNUMBER(G495),"Done",IF(INT(B495)&gt;TODAY(),"Planned",IF(COUNTIFS(Harvest!$C$6:$C$1505,C495,Harvest!$D$6:$D$1505,D495&amp;"",Harvest!$L$6:$L$1505,"&gt;="&amp;INT(B495))&gt;0,"Picking","Growing"))))</f>
        <v/>
      </c>
      <c r="K495" s="14">
        <f>IF(OR(NOT(AND(C495&lt;&gt;"",ISNUMBER(B495))),J495="Planned"),"",IF(ISNUMBER(G495),INT(G495),TODAY())-INT(B495))</f>
        <v/>
      </c>
      <c r="L495" s="11">
        <f>IF(AND(B495="",C495="",D495=""),"",IF(NOT(ISNUMBER(B495)),"Needs a date",IF(C495="","Needs a crop",IF(COUNTIF(Crops!$B$6:$B$65,C495)=0,"Not on Crops",IF(AND(D495&lt;&gt;"",COUNTIF(Beds!$B$6:$B$35,D495)=0),"Not on Beds",IF(AND(ISNUMBER(G495),G495&lt;B495),"Cleared before it was planted",""))))))</f>
        <v/>
      </c>
      <c r="M495" s="11">
        <f>IF(OR(L495&lt;&gt;"",D495="",O495=""),"",IF(COUNTIFS(Plantings!$D$6:$D$505,D495,Plantings!$O$6:$O$505,O495,Plantings!$N$6:$N$505,N495-1)&gt;0,"Same family here last year",""))</f>
        <v/>
      </c>
      <c r="N495" s="1">
        <f>IF(ISNUMBER(B495),YEAR(B495),"")</f>
        <v/>
      </c>
      <c r="O495">
        <f>IF(C495="","",IFERROR(INDEX(Crops!$C$6:$C$65,MATCH(C495,Crops!$B$6:$B$65,0))&amp;"",""))</f>
        <v/>
      </c>
      <c r="P495">
        <f>IF(ISNUMBER(B495),INT(B495),0)</f>
        <v/>
      </c>
      <c r="Q495">
        <f>IF(AND(L495="",OR(J495="Growing",J495="Picking")),1,0)</f>
        <v/>
      </c>
      <c r="R495">
        <f>IF(AND(Q495=1,D495&lt;&gt;""),P495*1000+ROW(),0)</f>
        <v/>
      </c>
      <c r="S495">
        <f>IF(AND(AND(C495&lt;&gt;"",ISNUMBER(B495)),L495=""),1,0)</f>
        <v/>
      </c>
    </row>
    <row r="496">
      <c r="A496" s="1" t="n"/>
      <c r="B496" s="17" t="n"/>
      <c r="C496" s="18" t="n"/>
      <c r="D496" s="19" t="n"/>
      <c r="E496" s="19" t="n"/>
      <c r="F496" s="20" t="n"/>
      <c r="G496" s="17" t="n"/>
      <c r="H496" s="21" t="n"/>
      <c r="I496" s="22">
        <f>IF(NOT(AND(C496&lt;&gt;"",ISNUMBER(B496))),"",IF(N(IFERROR(INDEX(Crops!$F$6:$F$65,MATCH(C496,Crops!$B$6:$B$65,0)),0))&gt;0,INT(B496)+N(IFERROR(INDEX(Crops!$F$6:$F$65,MATCH(C496,Crops!$B$6:$B$65,0)),0)),""))</f>
        <v/>
      </c>
      <c r="J496" s="16">
        <f>IF(NOT(AND(C496&lt;&gt;"",ISNUMBER(B496))),"",IF(ISNUMBER(G496),"Done",IF(INT(B496)&gt;TODAY(),"Planned",IF(COUNTIFS(Harvest!$C$6:$C$1505,C496,Harvest!$D$6:$D$1505,D496&amp;"",Harvest!$L$6:$L$1505,"&gt;="&amp;INT(B496))&gt;0,"Picking","Growing"))))</f>
        <v/>
      </c>
      <c r="K496" s="14">
        <f>IF(OR(NOT(AND(C496&lt;&gt;"",ISNUMBER(B496))),J496="Planned"),"",IF(ISNUMBER(G496),INT(G496),TODAY())-INT(B496))</f>
        <v/>
      </c>
      <c r="L496" s="11">
        <f>IF(AND(B496="",C496="",D496=""),"",IF(NOT(ISNUMBER(B496)),"Needs a date",IF(C496="","Needs a crop",IF(COUNTIF(Crops!$B$6:$B$65,C496)=0,"Not on Crops",IF(AND(D496&lt;&gt;"",COUNTIF(Beds!$B$6:$B$35,D496)=0),"Not on Beds",IF(AND(ISNUMBER(G496),G496&lt;B496),"Cleared before it was planted",""))))))</f>
        <v/>
      </c>
      <c r="M496" s="11">
        <f>IF(OR(L496&lt;&gt;"",D496="",O496=""),"",IF(COUNTIFS(Plantings!$D$6:$D$505,D496,Plantings!$O$6:$O$505,O496,Plantings!$N$6:$N$505,N496-1)&gt;0,"Same family here last year",""))</f>
        <v/>
      </c>
      <c r="N496" s="1">
        <f>IF(ISNUMBER(B496),YEAR(B496),"")</f>
        <v/>
      </c>
      <c r="O496">
        <f>IF(C496="","",IFERROR(INDEX(Crops!$C$6:$C$65,MATCH(C496,Crops!$B$6:$B$65,0))&amp;"",""))</f>
        <v/>
      </c>
      <c r="P496">
        <f>IF(ISNUMBER(B496),INT(B496),0)</f>
        <v/>
      </c>
      <c r="Q496">
        <f>IF(AND(L496="",OR(J496="Growing",J496="Picking")),1,0)</f>
        <v/>
      </c>
      <c r="R496">
        <f>IF(AND(Q496=1,D496&lt;&gt;""),P496*1000+ROW(),0)</f>
        <v/>
      </c>
      <c r="S496">
        <f>IF(AND(AND(C496&lt;&gt;"",ISNUMBER(B496)),L496=""),1,0)</f>
        <v/>
      </c>
    </row>
    <row r="497">
      <c r="A497" s="1" t="n"/>
      <c r="B497" s="17" t="n"/>
      <c r="C497" s="18" t="n"/>
      <c r="D497" s="19" t="n"/>
      <c r="E497" s="19" t="n"/>
      <c r="F497" s="20" t="n"/>
      <c r="G497" s="17" t="n"/>
      <c r="H497" s="21" t="n"/>
      <c r="I497" s="22">
        <f>IF(NOT(AND(C497&lt;&gt;"",ISNUMBER(B497))),"",IF(N(IFERROR(INDEX(Crops!$F$6:$F$65,MATCH(C497,Crops!$B$6:$B$65,0)),0))&gt;0,INT(B497)+N(IFERROR(INDEX(Crops!$F$6:$F$65,MATCH(C497,Crops!$B$6:$B$65,0)),0)),""))</f>
        <v/>
      </c>
      <c r="J497" s="16">
        <f>IF(NOT(AND(C497&lt;&gt;"",ISNUMBER(B497))),"",IF(ISNUMBER(G497),"Done",IF(INT(B497)&gt;TODAY(),"Planned",IF(COUNTIFS(Harvest!$C$6:$C$1505,C497,Harvest!$D$6:$D$1505,D497&amp;"",Harvest!$L$6:$L$1505,"&gt;="&amp;INT(B497))&gt;0,"Picking","Growing"))))</f>
        <v/>
      </c>
      <c r="K497" s="14">
        <f>IF(OR(NOT(AND(C497&lt;&gt;"",ISNUMBER(B497))),J497="Planned"),"",IF(ISNUMBER(G497),INT(G497),TODAY())-INT(B497))</f>
        <v/>
      </c>
      <c r="L497" s="11">
        <f>IF(AND(B497="",C497="",D497=""),"",IF(NOT(ISNUMBER(B497)),"Needs a date",IF(C497="","Needs a crop",IF(COUNTIF(Crops!$B$6:$B$65,C497)=0,"Not on Crops",IF(AND(D497&lt;&gt;"",COUNTIF(Beds!$B$6:$B$35,D497)=0),"Not on Beds",IF(AND(ISNUMBER(G497),G497&lt;B497),"Cleared before it was planted",""))))))</f>
        <v/>
      </c>
      <c r="M497" s="11">
        <f>IF(OR(L497&lt;&gt;"",D497="",O497=""),"",IF(COUNTIFS(Plantings!$D$6:$D$505,D497,Plantings!$O$6:$O$505,O497,Plantings!$N$6:$N$505,N497-1)&gt;0,"Same family here last year",""))</f>
        <v/>
      </c>
      <c r="N497" s="1">
        <f>IF(ISNUMBER(B497),YEAR(B497),"")</f>
        <v/>
      </c>
      <c r="O497">
        <f>IF(C497="","",IFERROR(INDEX(Crops!$C$6:$C$65,MATCH(C497,Crops!$B$6:$B$65,0))&amp;"",""))</f>
        <v/>
      </c>
      <c r="P497">
        <f>IF(ISNUMBER(B497),INT(B497),0)</f>
        <v/>
      </c>
      <c r="Q497">
        <f>IF(AND(L497="",OR(J497="Growing",J497="Picking")),1,0)</f>
        <v/>
      </c>
      <c r="R497">
        <f>IF(AND(Q497=1,D497&lt;&gt;""),P497*1000+ROW(),0)</f>
        <v/>
      </c>
      <c r="S497">
        <f>IF(AND(AND(C497&lt;&gt;"",ISNUMBER(B497)),L497=""),1,0)</f>
        <v/>
      </c>
    </row>
    <row r="498">
      <c r="A498" s="1" t="n"/>
      <c r="B498" s="17" t="n"/>
      <c r="C498" s="18" t="n"/>
      <c r="D498" s="19" t="n"/>
      <c r="E498" s="19" t="n"/>
      <c r="F498" s="20" t="n"/>
      <c r="G498" s="17" t="n"/>
      <c r="H498" s="21" t="n"/>
      <c r="I498" s="22">
        <f>IF(NOT(AND(C498&lt;&gt;"",ISNUMBER(B498))),"",IF(N(IFERROR(INDEX(Crops!$F$6:$F$65,MATCH(C498,Crops!$B$6:$B$65,0)),0))&gt;0,INT(B498)+N(IFERROR(INDEX(Crops!$F$6:$F$65,MATCH(C498,Crops!$B$6:$B$65,0)),0)),""))</f>
        <v/>
      </c>
      <c r="J498" s="16">
        <f>IF(NOT(AND(C498&lt;&gt;"",ISNUMBER(B498))),"",IF(ISNUMBER(G498),"Done",IF(INT(B498)&gt;TODAY(),"Planned",IF(COUNTIFS(Harvest!$C$6:$C$1505,C498,Harvest!$D$6:$D$1505,D498&amp;"",Harvest!$L$6:$L$1505,"&gt;="&amp;INT(B498))&gt;0,"Picking","Growing"))))</f>
        <v/>
      </c>
      <c r="K498" s="14">
        <f>IF(OR(NOT(AND(C498&lt;&gt;"",ISNUMBER(B498))),J498="Planned"),"",IF(ISNUMBER(G498),INT(G498),TODAY())-INT(B498))</f>
        <v/>
      </c>
      <c r="L498" s="11">
        <f>IF(AND(B498="",C498="",D498=""),"",IF(NOT(ISNUMBER(B498)),"Needs a date",IF(C498="","Needs a crop",IF(COUNTIF(Crops!$B$6:$B$65,C498)=0,"Not on Crops",IF(AND(D498&lt;&gt;"",COUNTIF(Beds!$B$6:$B$35,D498)=0),"Not on Beds",IF(AND(ISNUMBER(G498),G498&lt;B498),"Cleared before it was planted",""))))))</f>
        <v/>
      </c>
      <c r="M498" s="11">
        <f>IF(OR(L498&lt;&gt;"",D498="",O498=""),"",IF(COUNTIFS(Plantings!$D$6:$D$505,D498,Plantings!$O$6:$O$505,O498,Plantings!$N$6:$N$505,N498-1)&gt;0,"Same family here last year",""))</f>
        <v/>
      </c>
      <c r="N498" s="1">
        <f>IF(ISNUMBER(B498),YEAR(B498),"")</f>
        <v/>
      </c>
      <c r="O498">
        <f>IF(C498="","",IFERROR(INDEX(Crops!$C$6:$C$65,MATCH(C498,Crops!$B$6:$B$65,0))&amp;"",""))</f>
        <v/>
      </c>
      <c r="P498">
        <f>IF(ISNUMBER(B498),INT(B498),0)</f>
        <v/>
      </c>
      <c r="Q498">
        <f>IF(AND(L498="",OR(J498="Growing",J498="Picking")),1,0)</f>
        <v/>
      </c>
      <c r="R498">
        <f>IF(AND(Q498=1,D498&lt;&gt;""),P498*1000+ROW(),0)</f>
        <v/>
      </c>
      <c r="S498">
        <f>IF(AND(AND(C498&lt;&gt;"",ISNUMBER(B498)),L498=""),1,0)</f>
        <v/>
      </c>
    </row>
    <row r="499">
      <c r="A499" s="1" t="n"/>
      <c r="B499" s="17" t="n"/>
      <c r="C499" s="18" t="n"/>
      <c r="D499" s="19" t="n"/>
      <c r="E499" s="19" t="n"/>
      <c r="F499" s="20" t="n"/>
      <c r="G499" s="17" t="n"/>
      <c r="H499" s="21" t="n"/>
      <c r="I499" s="22">
        <f>IF(NOT(AND(C499&lt;&gt;"",ISNUMBER(B499))),"",IF(N(IFERROR(INDEX(Crops!$F$6:$F$65,MATCH(C499,Crops!$B$6:$B$65,0)),0))&gt;0,INT(B499)+N(IFERROR(INDEX(Crops!$F$6:$F$65,MATCH(C499,Crops!$B$6:$B$65,0)),0)),""))</f>
        <v/>
      </c>
      <c r="J499" s="16">
        <f>IF(NOT(AND(C499&lt;&gt;"",ISNUMBER(B499))),"",IF(ISNUMBER(G499),"Done",IF(INT(B499)&gt;TODAY(),"Planned",IF(COUNTIFS(Harvest!$C$6:$C$1505,C499,Harvest!$D$6:$D$1505,D499&amp;"",Harvest!$L$6:$L$1505,"&gt;="&amp;INT(B499))&gt;0,"Picking","Growing"))))</f>
        <v/>
      </c>
      <c r="K499" s="14">
        <f>IF(OR(NOT(AND(C499&lt;&gt;"",ISNUMBER(B499))),J499="Planned"),"",IF(ISNUMBER(G499),INT(G499),TODAY())-INT(B499))</f>
        <v/>
      </c>
      <c r="L499" s="11">
        <f>IF(AND(B499="",C499="",D499=""),"",IF(NOT(ISNUMBER(B499)),"Needs a date",IF(C499="","Needs a crop",IF(COUNTIF(Crops!$B$6:$B$65,C499)=0,"Not on Crops",IF(AND(D499&lt;&gt;"",COUNTIF(Beds!$B$6:$B$35,D499)=0),"Not on Beds",IF(AND(ISNUMBER(G499),G499&lt;B499),"Cleared before it was planted",""))))))</f>
        <v/>
      </c>
      <c r="M499" s="11">
        <f>IF(OR(L499&lt;&gt;"",D499="",O499=""),"",IF(COUNTIFS(Plantings!$D$6:$D$505,D499,Plantings!$O$6:$O$505,O499,Plantings!$N$6:$N$505,N499-1)&gt;0,"Same family here last year",""))</f>
        <v/>
      </c>
      <c r="N499" s="1">
        <f>IF(ISNUMBER(B499),YEAR(B499),"")</f>
        <v/>
      </c>
      <c r="O499">
        <f>IF(C499="","",IFERROR(INDEX(Crops!$C$6:$C$65,MATCH(C499,Crops!$B$6:$B$65,0))&amp;"",""))</f>
        <v/>
      </c>
      <c r="P499">
        <f>IF(ISNUMBER(B499),INT(B499),0)</f>
        <v/>
      </c>
      <c r="Q499">
        <f>IF(AND(L499="",OR(J499="Growing",J499="Picking")),1,0)</f>
        <v/>
      </c>
      <c r="R499">
        <f>IF(AND(Q499=1,D499&lt;&gt;""),P499*1000+ROW(),0)</f>
        <v/>
      </c>
      <c r="S499">
        <f>IF(AND(AND(C499&lt;&gt;"",ISNUMBER(B499)),L499=""),1,0)</f>
        <v/>
      </c>
    </row>
    <row r="500">
      <c r="A500" s="1" t="n"/>
      <c r="B500" s="17" t="n"/>
      <c r="C500" s="18" t="n"/>
      <c r="D500" s="19" t="n"/>
      <c r="E500" s="19" t="n"/>
      <c r="F500" s="20" t="n"/>
      <c r="G500" s="17" t="n"/>
      <c r="H500" s="21" t="n"/>
      <c r="I500" s="22">
        <f>IF(NOT(AND(C500&lt;&gt;"",ISNUMBER(B500))),"",IF(N(IFERROR(INDEX(Crops!$F$6:$F$65,MATCH(C500,Crops!$B$6:$B$65,0)),0))&gt;0,INT(B500)+N(IFERROR(INDEX(Crops!$F$6:$F$65,MATCH(C500,Crops!$B$6:$B$65,0)),0)),""))</f>
        <v/>
      </c>
      <c r="J500" s="16">
        <f>IF(NOT(AND(C500&lt;&gt;"",ISNUMBER(B500))),"",IF(ISNUMBER(G500),"Done",IF(INT(B500)&gt;TODAY(),"Planned",IF(COUNTIFS(Harvest!$C$6:$C$1505,C500,Harvest!$D$6:$D$1505,D500&amp;"",Harvest!$L$6:$L$1505,"&gt;="&amp;INT(B500))&gt;0,"Picking","Growing"))))</f>
        <v/>
      </c>
      <c r="K500" s="14">
        <f>IF(OR(NOT(AND(C500&lt;&gt;"",ISNUMBER(B500))),J500="Planned"),"",IF(ISNUMBER(G500),INT(G500),TODAY())-INT(B500))</f>
        <v/>
      </c>
      <c r="L500" s="11">
        <f>IF(AND(B500="",C500="",D500=""),"",IF(NOT(ISNUMBER(B500)),"Needs a date",IF(C500="","Needs a crop",IF(COUNTIF(Crops!$B$6:$B$65,C500)=0,"Not on Crops",IF(AND(D500&lt;&gt;"",COUNTIF(Beds!$B$6:$B$35,D500)=0),"Not on Beds",IF(AND(ISNUMBER(G500),G500&lt;B500),"Cleared before it was planted",""))))))</f>
        <v/>
      </c>
      <c r="M500" s="11">
        <f>IF(OR(L500&lt;&gt;"",D500="",O500=""),"",IF(COUNTIFS(Plantings!$D$6:$D$505,D500,Plantings!$O$6:$O$505,O500,Plantings!$N$6:$N$505,N500-1)&gt;0,"Same family here last year",""))</f>
        <v/>
      </c>
      <c r="N500" s="1">
        <f>IF(ISNUMBER(B500),YEAR(B500),"")</f>
        <v/>
      </c>
      <c r="O500">
        <f>IF(C500="","",IFERROR(INDEX(Crops!$C$6:$C$65,MATCH(C500,Crops!$B$6:$B$65,0))&amp;"",""))</f>
        <v/>
      </c>
      <c r="P500">
        <f>IF(ISNUMBER(B500),INT(B500),0)</f>
        <v/>
      </c>
      <c r="Q500">
        <f>IF(AND(L500="",OR(J500="Growing",J500="Picking")),1,0)</f>
        <v/>
      </c>
      <c r="R500">
        <f>IF(AND(Q500=1,D500&lt;&gt;""),P500*1000+ROW(),0)</f>
        <v/>
      </c>
      <c r="S500">
        <f>IF(AND(AND(C500&lt;&gt;"",ISNUMBER(B500)),L500=""),1,0)</f>
        <v/>
      </c>
    </row>
    <row r="501">
      <c r="A501" s="1" t="n"/>
      <c r="B501" s="17" t="n"/>
      <c r="C501" s="18" t="n"/>
      <c r="D501" s="19" t="n"/>
      <c r="E501" s="19" t="n"/>
      <c r="F501" s="20" t="n"/>
      <c r="G501" s="17" t="n"/>
      <c r="H501" s="21" t="n"/>
      <c r="I501" s="22">
        <f>IF(NOT(AND(C501&lt;&gt;"",ISNUMBER(B501))),"",IF(N(IFERROR(INDEX(Crops!$F$6:$F$65,MATCH(C501,Crops!$B$6:$B$65,0)),0))&gt;0,INT(B501)+N(IFERROR(INDEX(Crops!$F$6:$F$65,MATCH(C501,Crops!$B$6:$B$65,0)),0)),""))</f>
        <v/>
      </c>
      <c r="J501" s="16">
        <f>IF(NOT(AND(C501&lt;&gt;"",ISNUMBER(B501))),"",IF(ISNUMBER(G501),"Done",IF(INT(B501)&gt;TODAY(),"Planned",IF(COUNTIFS(Harvest!$C$6:$C$1505,C501,Harvest!$D$6:$D$1505,D501&amp;"",Harvest!$L$6:$L$1505,"&gt;="&amp;INT(B501))&gt;0,"Picking","Growing"))))</f>
        <v/>
      </c>
      <c r="K501" s="14">
        <f>IF(OR(NOT(AND(C501&lt;&gt;"",ISNUMBER(B501))),J501="Planned"),"",IF(ISNUMBER(G501),INT(G501),TODAY())-INT(B501))</f>
        <v/>
      </c>
      <c r="L501" s="11">
        <f>IF(AND(B501="",C501="",D501=""),"",IF(NOT(ISNUMBER(B501)),"Needs a date",IF(C501="","Needs a crop",IF(COUNTIF(Crops!$B$6:$B$65,C501)=0,"Not on Crops",IF(AND(D501&lt;&gt;"",COUNTIF(Beds!$B$6:$B$35,D501)=0),"Not on Beds",IF(AND(ISNUMBER(G501),G501&lt;B501),"Cleared before it was planted",""))))))</f>
        <v/>
      </c>
      <c r="M501" s="11">
        <f>IF(OR(L501&lt;&gt;"",D501="",O501=""),"",IF(COUNTIFS(Plantings!$D$6:$D$505,D501,Plantings!$O$6:$O$505,O501,Plantings!$N$6:$N$505,N501-1)&gt;0,"Same family here last year",""))</f>
        <v/>
      </c>
      <c r="N501" s="1">
        <f>IF(ISNUMBER(B501),YEAR(B501),"")</f>
        <v/>
      </c>
      <c r="O501">
        <f>IF(C501="","",IFERROR(INDEX(Crops!$C$6:$C$65,MATCH(C501,Crops!$B$6:$B$65,0))&amp;"",""))</f>
        <v/>
      </c>
      <c r="P501">
        <f>IF(ISNUMBER(B501),INT(B501),0)</f>
        <v/>
      </c>
      <c r="Q501">
        <f>IF(AND(L501="",OR(J501="Growing",J501="Picking")),1,0)</f>
        <v/>
      </c>
      <c r="R501">
        <f>IF(AND(Q501=1,D501&lt;&gt;""),P501*1000+ROW(),0)</f>
        <v/>
      </c>
      <c r="S501">
        <f>IF(AND(AND(C501&lt;&gt;"",ISNUMBER(B501)),L501=""),1,0)</f>
        <v/>
      </c>
    </row>
    <row r="502">
      <c r="A502" s="1" t="n"/>
      <c r="B502" s="17" t="n"/>
      <c r="C502" s="18" t="n"/>
      <c r="D502" s="19" t="n"/>
      <c r="E502" s="19" t="n"/>
      <c r="F502" s="20" t="n"/>
      <c r="G502" s="17" t="n"/>
      <c r="H502" s="21" t="n"/>
      <c r="I502" s="22">
        <f>IF(NOT(AND(C502&lt;&gt;"",ISNUMBER(B502))),"",IF(N(IFERROR(INDEX(Crops!$F$6:$F$65,MATCH(C502,Crops!$B$6:$B$65,0)),0))&gt;0,INT(B502)+N(IFERROR(INDEX(Crops!$F$6:$F$65,MATCH(C502,Crops!$B$6:$B$65,0)),0)),""))</f>
        <v/>
      </c>
      <c r="J502" s="16">
        <f>IF(NOT(AND(C502&lt;&gt;"",ISNUMBER(B502))),"",IF(ISNUMBER(G502),"Done",IF(INT(B502)&gt;TODAY(),"Planned",IF(COUNTIFS(Harvest!$C$6:$C$1505,C502,Harvest!$D$6:$D$1505,D502&amp;"",Harvest!$L$6:$L$1505,"&gt;="&amp;INT(B502))&gt;0,"Picking","Growing"))))</f>
        <v/>
      </c>
      <c r="K502" s="14">
        <f>IF(OR(NOT(AND(C502&lt;&gt;"",ISNUMBER(B502))),J502="Planned"),"",IF(ISNUMBER(G502),INT(G502),TODAY())-INT(B502))</f>
        <v/>
      </c>
      <c r="L502" s="11">
        <f>IF(AND(B502="",C502="",D502=""),"",IF(NOT(ISNUMBER(B502)),"Needs a date",IF(C502="","Needs a crop",IF(COUNTIF(Crops!$B$6:$B$65,C502)=0,"Not on Crops",IF(AND(D502&lt;&gt;"",COUNTIF(Beds!$B$6:$B$35,D502)=0),"Not on Beds",IF(AND(ISNUMBER(G502),G502&lt;B502),"Cleared before it was planted",""))))))</f>
        <v/>
      </c>
      <c r="M502" s="11">
        <f>IF(OR(L502&lt;&gt;"",D502="",O502=""),"",IF(COUNTIFS(Plantings!$D$6:$D$505,D502,Plantings!$O$6:$O$505,O502,Plantings!$N$6:$N$505,N502-1)&gt;0,"Same family here last year",""))</f>
        <v/>
      </c>
      <c r="N502" s="1">
        <f>IF(ISNUMBER(B502),YEAR(B502),"")</f>
        <v/>
      </c>
      <c r="O502">
        <f>IF(C502="","",IFERROR(INDEX(Crops!$C$6:$C$65,MATCH(C502,Crops!$B$6:$B$65,0))&amp;"",""))</f>
        <v/>
      </c>
      <c r="P502">
        <f>IF(ISNUMBER(B502),INT(B502),0)</f>
        <v/>
      </c>
      <c r="Q502">
        <f>IF(AND(L502="",OR(J502="Growing",J502="Picking")),1,0)</f>
        <v/>
      </c>
      <c r="R502">
        <f>IF(AND(Q502=1,D502&lt;&gt;""),P502*1000+ROW(),0)</f>
        <v/>
      </c>
      <c r="S502">
        <f>IF(AND(AND(C502&lt;&gt;"",ISNUMBER(B502)),L502=""),1,0)</f>
        <v/>
      </c>
    </row>
    <row r="503">
      <c r="A503" s="1" t="n"/>
      <c r="B503" s="17" t="n"/>
      <c r="C503" s="18" t="n"/>
      <c r="D503" s="19" t="n"/>
      <c r="E503" s="19" t="n"/>
      <c r="F503" s="20" t="n"/>
      <c r="G503" s="17" t="n"/>
      <c r="H503" s="21" t="n"/>
      <c r="I503" s="22">
        <f>IF(NOT(AND(C503&lt;&gt;"",ISNUMBER(B503))),"",IF(N(IFERROR(INDEX(Crops!$F$6:$F$65,MATCH(C503,Crops!$B$6:$B$65,0)),0))&gt;0,INT(B503)+N(IFERROR(INDEX(Crops!$F$6:$F$65,MATCH(C503,Crops!$B$6:$B$65,0)),0)),""))</f>
        <v/>
      </c>
      <c r="J503" s="16">
        <f>IF(NOT(AND(C503&lt;&gt;"",ISNUMBER(B503))),"",IF(ISNUMBER(G503),"Done",IF(INT(B503)&gt;TODAY(),"Planned",IF(COUNTIFS(Harvest!$C$6:$C$1505,C503,Harvest!$D$6:$D$1505,D503&amp;"",Harvest!$L$6:$L$1505,"&gt;="&amp;INT(B503))&gt;0,"Picking","Growing"))))</f>
        <v/>
      </c>
      <c r="K503" s="14">
        <f>IF(OR(NOT(AND(C503&lt;&gt;"",ISNUMBER(B503))),J503="Planned"),"",IF(ISNUMBER(G503),INT(G503),TODAY())-INT(B503))</f>
        <v/>
      </c>
      <c r="L503" s="11">
        <f>IF(AND(B503="",C503="",D503=""),"",IF(NOT(ISNUMBER(B503)),"Needs a date",IF(C503="","Needs a crop",IF(COUNTIF(Crops!$B$6:$B$65,C503)=0,"Not on Crops",IF(AND(D503&lt;&gt;"",COUNTIF(Beds!$B$6:$B$35,D503)=0),"Not on Beds",IF(AND(ISNUMBER(G503),G503&lt;B503),"Cleared before it was planted",""))))))</f>
        <v/>
      </c>
      <c r="M503" s="11">
        <f>IF(OR(L503&lt;&gt;"",D503="",O503=""),"",IF(COUNTIFS(Plantings!$D$6:$D$505,D503,Plantings!$O$6:$O$505,O503,Plantings!$N$6:$N$505,N503-1)&gt;0,"Same family here last year",""))</f>
        <v/>
      </c>
      <c r="N503" s="1">
        <f>IF(ISNUMBER(B503),YEAR(B503),"")</f>
        <v/>
      </c>
      <c r="O503">
        <f>IF(C503="","",IFERROR(INDEX(Crops!$C$6:$C$65,MATCH(C503,Crops!$B$6:$B$65,0))&amp;"",""))</f>
        <v/>
      </c>
      <c r="P503">
        <f>IF(ISNUMBER(B503),INT(B503),0)</f>
        <v/>
      </c>
      <c r="Q503">
        <f>IF(AND(L503="",OR(J503="Growing",J503="Picking")),1,0)</f>
        <v/>
      </c>
      <c r="R503">
        <f>IF(AND(Q503=1,D503&lt;&gt;""),P503*1000+ROW(),0)</f>
        <v/>
      </c>
      <c r="S503">
        <f>IF(AND(AND(C503&lt;&gt;"",ISNUMBER(B503)),L503=""),1,0)</f>
        <v/>
      </c>
    </row>
    <row r="504">
      <c r="A504" s="1" t="n"/>
      <c r="B504" s="17" t="n"/>
      <c r="C504" s="18" t="n"/>
      <c r="D504" s="19" t="n"/>
      <c r="E504" s="19" t="n"/>
      <c r="F504" s="20" t="n"/>
      <c r="G504" s="17" t="n"/>
      <c r="H504" s="21" t="n"/>
      <c r="I504" s="22">
        <f>IF(NOT(AND(C504&lt;&gt;"",ISNUMBER(B504))),"",IF(N(IFERROR(INDEX(Crops!$F$6:$F$65,MATCH(C504,Crops!$B$6:$B$65,0)),0))&gt;0,INT(B504)+N(IFERROR(INDEX(Crops!$F$6:$F$65,MATCH(C504,Crops!$B$6:$B$65,0)),0)),""))</f>
        <v/>
      </c>
      <c r="J504" s="16">
        <f>IF(NOT(AND(C504&lt;&gt;"",ISNUMBER(B504))),"",IF(ISNUMBER(G504),"Done",IF(INT(B504)&gt;TODAY(),"Planned",IF(COUNTIFS(Harvest!$C$6:$C$1505,C504,Harvest!$D$6:$D$1505,D504&amp;"",Harvest!$L$6:$L$1505,"&gt;="&amp;INT(B504))&gt;0,"Picking","Growing"))))</f>
        <v/>
      </c>
      <c r="K504" s="14">
        <f>IF(OR(NOT(AND(C504&lt;&gt;"",ISNUMBER(B504))),J504="Planned"),"",IF(ISNUMBER(G504),INT(G504),TODAY())-INT(B504))</f>
        <v/>
      </c>
      <c r="L504" s="11">
        <f>IF(AND(B504="",C504="",D504=""),"",IF(NOT(ISNUMBER(B504)),"Needs a date",IF(C504="","Needs a crop",IF(COUNTIF(Crops!$B$6:$B$65,C504)=0,"Not on Crops",IF(AND(D504&lt;&gt;"",COUNTIF(Beds!$B$6:$B$35,D504)=0),"Not on Beds",IF(AND(ISNUMBER(G504),G504&lt;B504),"Cleared before it was planted",""))))))</f>
        <v/>
      </c>
      <c r="M504" s="11">
        <f>IF(OR(L504&lt;&gt;"",D504="",O504=""),"",IF(COUNTIFS(Plantings!$D$6:$D$505,D504,Plantings!$O$6:$O$505,O504,Plantings!$N$6:$N$505,N504-1)&gt;0,"Same family here last year",""))</f>
        <v/>
      </c>
      <c r="N504" s="1">
        <f>IF(ISNUMBER(B504),YEAR(B504),"")</f>
        <v/>
      </c>
      <c r="O504">
        <f>IF(C504="","",IFERROR(INDEX(Crops!$C$6:$C$65,MATCH(C504,Crops!$B$6:$B$65,0))&amp;"",""))</f>
        <v/>
      </c>
      <c r="P504">
        <f>IF(ISNUMBER(B504),INT(B504),0)</f>
        <v/>
      </c>
      <c r="Q504">
        <f>IF(AND(L504="",OR(J504="Growing",J504="Picking")),1,0)</f>
        <v/>
      </c>
      <c r="R504">
        <f>IF(AND(Q504=1,D504&lt;&gt;""),P504*1000+ROW(),0)</f>
        <v/>
      </c>
      <c r="S504">
        <f>IF(AND(AND(C504&lt;&gt;"",ISNUMBER(B504)),L504=""),1,0)</f>
        <v/>
      </c>
    </row>
    <row r="505">
      <c r="A505" s="1" t="n"/>
      <c r="B505" s="17" t="n"/>
      <c r="C505" s="18" t="n"/>
      <c r="D505" s="19" t="n"/>
      <c r="E505" s="19" t="n"/>
      <c r="F505" s="20" t="n"/>
      <c r="G505" s="17" t="n"/>
      <c r="H505" s="21" t="n"/>
      <c r="I505" s="22">
        <f>IF(NOT(AND(C505&lt;&gt;"",ISNUMBER(B505))),"",IF(N(IFERROR(INDEX(Crops!$F$6:$F$65,MATCH(C505,Crops!$B$6:$B$65,0)),0))&gt;0,INT(B505)+N(IFERROR(INDEX(Crops!$F$6:$F$65,MATCH(C505,Crops!$B$6:$B$65,0)),0)),""))</f>
        <v/>
      </c>
      <c r="J505" s="16">
        <f>IF(NOT(AND(C505&lt;&gt;"",ISNUMBER(B505))),"",IF(ISNUMBER(G505),"Done",IF(INT(B505)&gt;TODAY(),"Planned",IF(COUNTIFS(Harvest!$C$6:$C$1505,C505,Harvest!$D$6:$D$1505,D505&amp;"",Harvest!$L$6:$L$1505,"&gt;="&amp;INT(B505))&gt;0,"Picking","Growing"))))</f>
        <v/>
      </c>
      <c r="K505" s="14">
        <f>IF(OR(NOT(AND(C505&lt;&gt;"",ISNUMBER(B505))),J505="Planned"),"",IF(ISNUMBER(G505),INT(G505),TODAY())-INT(B505))</f>
        <v/>
      </c>
      <c r="L505" s="11">
        <f>IF(AND(B505="",C505="",D505=""),"",IF(NOT(ISNUMBER(B505)),"Needs a date",IF(C505="","Needs a crop",IF(COUNTIF(Crops!$B$6:$B$65,C505)=0,"Not on Crops",IF(AND(D505&lt;&gt;"",COUNTIF(Beds!$B$6:$B$35,D505)=0),"Not on Beds",IF(AND(ISNUMBER(G505),G505&lt;B505),"Cleared before it was planted",""))))))</f>
        <v/>
      </c>
      <c r="M505" s="11">
        <f>IF(OR(L505&lt;&gt;"",D505="",O505=""),"",IF(COUNTIFS(Plantings!$D$6:$D$505,D505,Plantings!$O$6:$O$505,O505,Plantings!$N$6:$N$505,N505-1)&gt;0,"Same family here last year",""))</f>
        <v/>
      </c>
      <c r="N505" s="1">
        <f>IF(ISNUMBER(B505),YEAR(B505),"")</f>
        <v/>
      </c>
      <c r="O505">
        <f>IF(C505="","",IFERROR(INDEX(Crops!$C$6:$C$65,MATCH(C505,Crops!$B$6:$B$65,0))&amp;"",""))</f>
        <v/>
      </c>
      <c r="P505">
        <f>IF(ISNUMBER(B505),INT(B505),0)</f>
        <v/>
      </c>
      <c r="Q505">
        <f>IF(AND(L505="",OR(J505="Growing",J505="Picking")),1,0)</f>
        <v/>
      </c>
      <c r="R505">
        <f>IF(AND(Q505=1,D505&lt;&gt;""),P505*1000+ROW(),0)</f>
        <v/>
      </c>
      <c r="S505">
        <f>IF(AND(AND(C505&lt;&gt;"",ISNUMBER(B505)),L505=""),1,0)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</row>
  </sheetData>
  <conditionalFormatting sqref="L6:L505">
    <cfRule type="expression" priority="1" dxfId="1">
      <formula>L6&lt;&gt;""</formula>
    </cfRule>
  </conditionalFormatting>
  <conditionalFormatting sqref="M6:M505">
    <cfRule type="expression" priority="2" dxfId="0">
      <formula>M6&lt;&gt;""</formula>
    </cfRule>
  </conditionalFormatting>
  <conditionalFormatting sqref="J6:J505">
    <cfRule type="expression" priority="3" dxfId="2">
      <formula>J6="Picking"</formula>
    </cfRule>
    <cfRule type="expression" priority="4" dxfId="3">
      <formula>J6="Growing"</formula>
    </cfRule>
  </conditionalFormatting>
  <dataValidations count="3">
    <dataValidation sqref="C6:C505" showDropDown="0" showInputMessage="0" showErrorMessage="0" allowBlank="1" type="list">
      <formula1>=Crops!$B$6:$B$65</formula1>
    </dataValidation>
    <dataValidation sqref="D6:D505" showDropDown="0" showInputMessage="0" showErrorMessage="0" allowBlank="1" type="list">
      <formula1>=Beds!$B$6:$B$35</formula1>
    </dataValidation>
    <dataValidation sqref="E6:E505" showDropDown="0" showInputMessage="0" showErrorMessage="0" allowBlank="1" type="list">
      <formula1>"Sown inside,Sown outside,Planted out,Bought plants"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6" customWidth="1" min="3" max="3"/>
    <col width="14" customWidth="1" min="4" max="4"/>
    <col width="10" customWidth="1" min="5" max="5"/>
    <col width="24" customWidth="1" min="6" max="6"/>
    <col width="8" customWidth="1" min="7" max="7"/>
    <col width="11" customWidth="1" min="8" max="8"/>
    <col width="20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Harvest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Each time you pick something. It is valued at the shop price on the Crops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8" t="inlineStr">
        <is>
          <t>Date</t>
        </is>
      </c>
      <c r="C5" s="8" t="inlineStr">
        <is>
          <t>Crop</t>
        </is>
      </c>
      <c r="D5" s="8" t="inlineStr">
        <is>
          <t>Bed</t>
        </is>
      </c>
      <c r="E5" s="8" t="inlineStr">
        <is>
          <t>Amount</t>
        </is>
      </c>
      <c r="F5" s="8" t="inlineStr">
        <is>
          <t>Note</t>
        </is>
      </c>
      <c r="G5" s="8" t="inlineStr">
        <is>
          <t>Unit</t>
        </is>
      </c>
      <c r="H5" s="8" t="inlineStr">
        <is>
          <t>Value</t>
        </is>
      </c>
      <c r="I5" s="8" t="inlineStr">
        <is>
          <t>Check</t>
        </is>
      </c>
      <c r="J5" s="1" t="n"/>
    </row>
    <row r="6">
      <c r="A6" s="1" t="n"/>
      <c r="B6" s="17" t="n">
        <v>45853</v>
      </c>
      <c r="C6" s="18" t="inlineStr">
        <is>
          <t>Potatoes</t>
        </is>
      </c>
      <c r="D6" s="19" t="inlineStr">
        <is>
          <t>Bed 2</t>
        </is>
      </c>
      <c r="E6" s="23" t="n">
        <v>3.56</v>
      </c>
      <c r="F6" s="21" t="n"/>
      <c r="G6" s="11">
        <f>IF(C6="","",IFERROR(INDEX(Crops!$D$6:$D$65,MATCH(C6,Crops!$B$6:$B$65,0))&amp;"",""))</f>
        <v/>
      </c>
      <c r="H6" s="12">
        <f>IF(OR(C6="",NOT(ISNUMBER(E6))),"",E6*N(IFERROR(INDEX(Crops!$E$6:$E$65,MATCH(C6,Crops!$B$6:$B$65,0)),0)))</f>
        <v/>
      </c>
      <c r="I6" s="11">
        <f>IF(AND(C6="",E6=""),"",IF(NOT(ISNUMBER(B6)),"Needs a date",IF(C6="","Needs a crop",IF(COUNTIF(Crops!$B$6:$B$65,C6)=0,"Not on Crops",IF(NOT(ISNUMBER(E6)),"Needs the amount",IF(AND(D6&lt;&gt;"",COUNTIF(Beds!$B$6:$B$35,D6)=0),"Not on Beds",""))))))</f>
        <v/>
      </c>
      <c r="J6" s="1">
        <f>IF(ISNUMBER(B6),YEAR(B6),"")</f>
        <v/>
      </c>
      <c r="K6">
        <f>IF(ISNUMBER(B6),YEAR(B6)*100+MONTH(B6),"")</f>
        <v/>
      </c>
      <c r="L6">
        <f>IF(ISNUMBER(B6),INT(B6),0)</f>
        <v/>
      </c>
    </row>
    <row r="7">
      <c r="A7" s="1" t="n"/>
      <c r="B7" s="17" t="n">
        <v>45858</v>
      </c>
      <c r="C7" s="18" t="inlineStr">
        <is>
          <t>Tomatoes</t>
        </is>
      </c>
      <c r="D7" s="19" t="inlineStr">
        <is>
          <t>Bed 1</t>
        </is>
      </c>
      <c r="E7" s="23" t="n">
        <v>0.65</v>
      </c>
      <c r="F7" s="21" t="n"/>
      <c r="G7" s="11">
        <f>IF(C7="","",IFERROR(INDEX(Crops!$D$6:$D$65,MATCH(C7,Crops!$B$6:$B$65,0))&amp;"",""))</f>
        <v/>
      </c>
      <c r="H7" s="12">
        <f>IF(OR(C7="",NOT(ISNUMBER(E7))),"",E7*N(IFERROR(INDEX(Crops!$E$6:$E$65,MATCH(C7,Crops!$B$6:$B$65,0)),0)))</f>
        <v/>
      </c>
      <c r="I7" s="11">
        <f>IF(AND(C7="",E7=""),"",IF(NOT(ISNUMBER(B7)),"Needs a date",IF(C7="","Needs a crop",IF(COUNTIF(Crops!$B$6:$B$65,C7)=0,"Not on Crops",IF(NOT(ISNUMBER(E7)),"Needs the amount",IF(AND(D7&lt;&gt;"",COUNTIF(Beds!$B$6:$B$35,D7)=0),"Not on Beds",""))))))</f>
        <v/>
      </c>
      <c r="J7" s="1">
        <f>IF(ISNUMBER(B7),YEAR(B7),"")</f>
        <v/>
      </c>
      <c r="K7">
        <f>IF(ISNUMBER(B7),YEAR(B7)*100+MONTH(B7),"")</f>
        <v/>
      </c>
      <c r="L7">
        <f>IF(ISNUMBER(B7),INT(B7),0)</f>
        <v/>
      </c>
    </row>
    <row r="8">
      <c r="A8" s="1" t="n"/>
      <c r="B8" s="17" t="n">
        <v>45858</v>
      </c>
      <c r="C8" s="18" t="inlineStr">
        <is>
          <t>Carrots</t>
        </is>
      </c>
      <c r="D8" s="19" t="inlineStr">
        <is>
          <t>Bed 3</t>
        </is>
      </c>
      <c r="E8" s="23" t="n">
        <v>0.97</v>
      </c>
      <c r="F8" s="21" t="n"/>
      <c r="G8" s="11">
        <f>IF(C8="","",IFERROR(INDEX(Crops!$D$6:$D$65,MATCH(C8,Crops!$B$6:$B$65,0))&amp;"",""))</f>
        <v/>
      </c>
      <c r="H8" s="12">
        <f>IF(OR(C8="",NOT(ISNUMBER(E8))),"",E8*N(IFERROR(INDEX(Crops!$E$6:$E$65,MATCH(C8,Crops!$B$6:$B$65,0)),0)))</f>
        <v/>
      </c>
      <c r="I8" s="11">
        <f>IF(AND(C8="",E8=""),"",IF(NOT(ISNUMBER(B8)),"Needs a date",IF(C8="","Needs a crop",IF(COUNTIF(Crops!$B$6:$B$65,C8)=0,"Not on Crops",IF(NOT(ISNUMBER(E8)),"Needs the amount",IF(AND(D8&lt;&gt;"",COUNTIF(Beds!$B$6:$B$35,D8)=0),"Not on Beds",""))))))</f>
        <v/>
      </c>
      <c r="J8" s="1">
        <f>IF(ISNUMBER(B8),YEAR(B8),"")</f>
        <v/>
      </c>
      <c r="K8">
        <f>IF(ISNUMBER(B8),YEAR(B8)*100+MONTH(B8),"")</f>
        <v/>
      </c>
      <c r="L8">
        <f>IF(ISNUMBER(B8),INT(B8),0)</f>
        <v/>
      </c>
    </row>
    <row r="9">
      <c r="A9" s="1" t="n"/>
      <c r="B9" s="17" t="n">
        <v>45861</v>
      </c>
      <c r="C9" s="18" t="inlineStr">
        <is>
          <t>Potatoes</t>
        </is>
      </c>
      <c r="D9" s="19" t="inlineStr">
        <is>
          <t>Bed 2</t>
        </is>
      </c>
      <c r="E9" s="23" t="n">
        <v>3.75</v>
      </c>
      <c r="F9" s="21" t="n"/>
      <c r="G9" s="11">
        <f>IF(C9="","",IFERROR(INDEX(Crops!$D$6:$D$65,MATCH(C9,Crops!$B$6:$B$65,0))&amp;"",""))</f>
        <v/>
      </c>
      <c r="H9" s="12">
        <f>IF(OR(C9="",NOT(ISNUMBER(E9))),"",E9*N(IFERROR(INDEX(Crops!$E$6:$E$65,MATCH(C9,Crops!$B$6:$B$65,0)),0)))</f>
        <v/>
      </c>
      <c r="I9" s="11">
        <f>IF(AND(C9="",E9=""),"",IF(NOT(ISNUMBER(B9)),"Needs a date",IF(C9="","Needs a crop",IF(COUNTIF(Crops!$B$6:$B$65,C9)=0,"Not on Crops",IF(NOT(ISNUMBER(E9)),"Needs the amount",IF(AND(D9&lt;&gt;"",COUNTIF(Beds!$B$6:$B$35,D9)=0),"Not on Beds",""))))))</f>
        <v/>
      </c>
      <c r="J9" s="1">
        <f>IF(ISNUMBER(B9),YEAR(B9),"")</f>
        <v/>
      </c>
      <c r="K9">
        <f>IF(ISNUMBER(B9),YEAR(B9)*100+MONTH(B9),"")</f>
        <v/>
      </c>
      <c r="L9">
        <f>IF(ISNUMBER(B9),INT(B9),0)</f>
        <v/>
      </c>
    </row>
    <row r="10">
      <c r="A10" s="1" t="n"/>
      <c r="B10" s="17" t="n">
        <v>45863</v>
      </c>
      <c r="C10" s="18" t="inlineStr">
        <is>
          <t>Runner beans</t>
        </is>
      </c>
      <c r="D10" s="19" t="inlineStr">
        <is>
          <t>Bed 3</t>
        </is>
      </c>
      <c r="E10" s="23" t="n">
        <v>0.46</v>
      </c>
      <c r="F10" s="21" t="n"/>
      <c r="G10" s="11">
        <f>IF(C10="","",IFERROR(INDEX(Crops!$D$6:$D$65,MATCH(C10,Crops!$B$6:$B$65,0))&amp;"",""))</f>
        <v/>
      </c>
      <c r="H10" s="12">
        <f>IF(OR(C10="",NOT(ISNUMBER(E10))),"",E10*N(IFERROR(INDEX(Crops!$E$6:$E$65,MATCH(C10,Crops!$B$6:$B$65,0)),0)))</f>
        <v/>
      </c>
      <c r="I10" s="11">
        <f>IF(AND(C10="",E10=""),"",IF(NOT(ISNUMBER(B10)),"Needs a date",IF(C10="","Needs a crop",IF(COUNTIF(Crops!$B$6:$B$65,C10)=0,"Not on Crops",IF(NOT(ISNUMBER(E10)),"Needs the amount",IF(AND(D10&lt;&gt;"",COUNTIF(Beds!$B$6:$B$35,D10)=0),"Not on Beds",""))))))</f>
        <v/>
      </c>
      <c r="J10" s="1">
        <f>IF(ISNUMBER(B10),YEAR(B10),"")</f>
        <v/>
      </c>
      <c r="K10">
        <f>IF(ISNUMBER(B10),YEAR(B10)*100+MONTH(B10),"")</f>
        <v/>
      </c>
      <c r="L10">
        <f>IF(ISNUMBER(B10),INT(B10),0)</f>
        <v/>
      </c>
    </row>
    <row r="11">
      <c r="A11" s="1" t="n"/>
      <c r="B11" s="17" t="n">
        <v>45864</v>
      </c>
      <c r="C11" s="18" t="inlineStr">
        <is>
          <t>Tomatoes</t>
        </is>
      </c>
      <c r="D11" s="19" t="inlineStr">
        <is>
          <t>Bed 1</t>
        </is>
      </c>
      <c r="E11" s="23" t="n">
        <v>1.52</v>
      </c>
      <c r="F11" s="21" t="n"/>
      <c r="G11" s="11">
        <f>IF(C11="","",IFERROR(INDEX(Crops!$D$6:$D$65,MATCH(C11,Crops!$B$6:$B$65,0))&amp;"",""))</f>
        <v/>
      </c>
      <c r="H11" s="12">
        <f>IF(OR(C11="",NOT(ISNUMBER(E11))),"",E11*N(IFERROR(INDEX(Crops!$E$6:$E$65,MATCH(C11,Crops!$B$6:$B$65,0)),0)))</f>
        <v/>
      </c>
      <c r="I11" s="11">
        <f>IF(AND(C11="",E11=""),"",IF(NOT(ISNUMBER(B11)),"Needs a date",IF(C11="","Needs a crop",IF(COUNTIF(Crops!$B$6:$B$65,C11)=0,"Not on Crops",IF(NOT(ISNUMBER(E11)),"Needs the amount",IF(AND(D11&lt;&gt;"",COUNTIF(Beds!$B$6:$B$35,D11)=0),"Not on Beds",""))))))</f>
        <v/>
      </c>
      <c r="J11" s="1">
        <f>IF(ISNUMBER(B11),YEAR(B11),"")</f>
        <v/>
      </c>
      <c r="K11">
        <f>IF(ISNUMBER(B11),YEAR(B11)*100+MONTH(B11),"")</f>
        <v/>
      </c>
      <c r="L11">
        <f>IF(ISNUMBER(B11),INT(B11),0)</f>
        <v/>
      </c>
    </row>
    <row r="12">
      <c r="A12" s="1" t="n"/>
      <c r="B12" s="17" t="n">
        <v>45868</v>
      </c>
      <c r="C12" s="18" t="inlineStr">
        <is>
          <t>Runner beans</t>
        </is>
      </c>
      <c r="D12" s="19" t="inlineStr">
        <is>
          <t>Bed 3</t>
        </is>
      </c>
      <c r="E12" s="23" t="n">
        <v>0.53</v>
      </c>
      <c r="F12" s="21" t="n"/>
      <c r="G12" s="11">
        <f>IF(C12="","",IFERROR(INDEX(Crops!$D$6:$D$65,MATCH(C12,Crops!$B$6:$B$65,0))&amp;"",""))</f>
        <v/>
      </c>
      <c r="H12" s="12">
        <f>IF(OR(C12="",NOT(ISNUMBER(E12))),"",E12*N(IFERROR(INDEX(Crops!$E$6:$E$65,MATCH(C12,Crops!$B$6:$B$65,0)),0)))</f>
        <v/>
      </c>
      <c r="I12" s="11">
        <f>IF(AND(C12="",E12=""),"",IF(NOT(ISNUMBER(B12)),"Needs a date",IF(C12="","Needs a crop",IF(COUNTIF(Crops!$B$6:$B$65,C12)=0,"Not on Crops",IF(NOT(ISNUMBER(E12)),"Needs the amount",IF(AND(D12&lt;&gt;"",COUNTIF(Beds!$B$6:$B$35,D12)=0),"Not on Beds",""))))))</f>
        <v/>
      </c>
      <c r="J12" s="1">
        <f>IF(ISNUMBER(B12),YEAR(B12),"")</f>
        <v/>
      </c>
      <c r="K12">
        <f>IF(ISNUMBER(B12),YEAR(B12)*100+MONTH(B12),"")</f>
        <v/>
      </c>
      <c r="L12">
        <f>IF(ISNUMBER(B12),INT(B12),0)</f>
        <v/>
      </c>
    </row>
    <row r="13">
      <c r="A13" s="1" t="n"/>
      <c r="B13" s="17" t="n">
        <v>45869</v>
      </c>
      <c r="C13" s="18" t="inlineStr">
        <is>
          <t>Tomatoes</t>
        </is>
      </c>
      <c r="D13" s="19" t="inlineStr">
        <is>
          <t>Bed 1</t>
        </is>
      </c>
      <c r="E13" s="23" t="n">
        <v>1.04</v>
      </c>
      <c r="F13" s="21" t="n"/>
      <c r="G13" s="11">
        <f>IF(C13="","",IFERROR(INDEX(Crops!$D$6:$D$65,MATCH(C13,Crops!$B$6:$B$65,0))&amp;"",""))</f>
        <v/>
      </c>
      <c r="H13" s="12">
        <f>IF(OR(C13="",NOT(ISNUMBER(E13))),"",E13*N(IFERROR(INDEX(Crops!$E$6:$E$65,MATCH(C13,Crops!$B$6:$B$65,0)),0)))</f>
        <v/>
      </c>
      <c r="I13" s="11">
        <f>IF(AND(C13="",E13=""),"",IF(NOT(ISNUMBER(B13)),"Needs a date",IF(C13="","Needs a crop",IF(COUNTIF(Crops!$B$6:$B$65,C13)=0,"Not on Crops",IF(NOT(ISNUMBER(E13)),"Needs the amount",IF(AND(D13&lt;&gt;"",COUNTIF(Beds!$B$6:$B$35,D13)=0),"Not on Beds",""))))))</f>
        <v/>
      </c>
      <c r="J13" s="1">
        <f>IF(ISNUMBER(B13),YEAR(B13),"")</f>
        <v/>
      </c>
      <c r="K13">
        <f>IF(ISNUMBER(B13),YEAR(B13)*100+MONTH(B13),"")</f>
        <v/>
      </c>
      <c r="L13">
        <f>IF(ISNUMBER(B13),INT(B13),0)</f>
        <v/>
      </c>
    </row>
    <row r="14">
      <c r="A14" s="1" t="n"/>
      <c r="B14" s="17" t="n">
        <v>45870</v>
      </c>
      <c r="C14" s="18" t="inlineStr">
        <is>
          <t>Potatoes</t>
        </is>
      </c>
      <c r="D14" s="19" t="inlineStr">
        <is>
          <t>Bed 2</t>
        </is>
      </c>
      <c r="E14" s="23" t="n">
        <v>2.74</v>
      </c>
      <c r="F14" s="21" t="n"/>
      <c r="G14" s="11">
        <f>IF(C14="","",IFERROR(INDEX(Crops!$D$6:$D$65,MATCH(C14,Crops!$B$6:$B$65,0))&amp;"",""))</f>
        <v/>
      </c>
      <c r="H14" s="12">
        <f>IF(OR(C14="",NOT(ISNUMBER(E14))),"",E14*N(IFERROR(INDEX(Crops!$E$6:$E$65,MATCH(C14,Crops!$B$6:$B$65,0)),0)))</f>
        <v/>
      </c>
      <c r="I14" s="11">
        <f>IF(AND(C14="",E14=""),"",IF(NOT(ISNUMBER(B14)),"Needs a date",IF(C14="","Needs a crop",IF(COUNTIF(Crops!$B$6:$B$65,C14)=0,"Not on Crops",IF(NOT(ISNUMBER(E14)),"Needs the amount",IF(AND(D14&lt;&gt;"",COUNTIF(Beds!$B$6:$B$35,D14)=0),"Not on Beds",""))))))</f>
        <v/>
      </c>
      <c r="J14" s="1">
        <f>IF(ISNUMBER(B14),YEAR(B14),"")</f>
        <v/>
      </c>
      <c r="K14">
        <f>IF(ISNUMBER(B14),YEAR(B14)*100+MONTH(B14),"")</f>
        <v/>
      </c>
      <c r="L14">
        <f>IF(ISNUMBER(B14),INT(B14),0)</f>
        <v/>
      </c>
    </row>
    <row r="15">
      <c r="A15" s="1" t="n"/>
      <c r="B15" s="17" t="n">
        <v>45873</v>
      </c>
      <c r="C15" s="18" t="inlineStr">
        <is>
          <t>Runner beans</t>
        </is>
      </c>
      <c r="D15" s="19" t="inlineStr">
        <is>
          <t>Bed 3</t>
        </is>
      </c>
      <c r="E15" s="23" t="n">
        <v>0.65</v>
      </c>
      <c r="F15" s="21" t="n"/>
      <c r="G15" s="11">
        <f>IF(C15="","",IFERROR(INDEX(Crops!$D$6:$D$65,MATCH(C15,Crops!$B$6:$B$65,0))&amp;"",""))</f>
        <v/>
      </c>
      <c r="H15" s="12">
        <f>IF(OR(C15="",NOT(ISNUMBER(E15))),"",E15*N(IFERROR(INDEX(Crops!$E$6:$E$65,MATCH(C15,Crops!$B$6:$B$65,0)),0)))</f>
        <v/>
      </c>
      <c r="I15" s="11">
        <f>IF(AND(C15="",E15=""),"",IF(NOT(ISNUMBER(B15)),"Needs a date",IF(C15="","Needs a crop",IF(COUNTIF(Crops!$B$6:$B$65,C15)=0,"Not on Crops",IF(NOT(ISNUMBER(E15)),"Needs the amount",IF(AND(D15&lt;&gt;"",COUNTIF(Beds!$B$6:$B$35,D15)=0),"Not on Beds",""))))))</f>
        <v/>
      </c>
      <c r="J15" s="1">
        <f>IF(ISNUMBER(B15),YEAR(B15),"")</f>
        <v/>
      </c>
      <c r="K15">
        <f>IF(ISNUMBER(B15),YEAR(B15)*100+MONTH(B15),"")</f>
        <v/>
      </c>
      <c r="L15">
        <f>IF(ISNUMBER(B15),INT(B15),0)</f>
        <v/>
      </c>
    </row>
    <row r="16">
      <c r="A16" s="1" t="n"/>
      <c r="B16" s="17" t="n">
        <v>45873</v>
      </c>
      <c r="C16" s="18" t="inlineStr">
        <is>
          <t>Carrots</t>
        </is>
      </c>
      <c r="D16" s="19" t="inlineStr">
        <is>
          <t>Bed 3</t>
        </is>
      </c>
      <c r="E16" s="23" t="n">
        <v>0.66</v>
      </c>
      <c r="F16" s="21" t="n"/>
      <c r="G16" s="11">
        <f>IF(C16="","",IFERROR(INDEX(Crops!$D$6:$D$65,MATCH(C16,Crops!$B$6:$B$65,0))&amp;"",""))</f>
        <v/>
      </c>
      <c r="H16" s="12">
        <f>IF(OR(C16="",NOT(ISNUMBER(E16))),"",E16*N(IFERROR(INDEX(Crops!$E$6:$E$65,MATCH(C16,Crops!$B$6:$B$65,0)),0)))</f>
        <v/>
      </c>
      <c r="I16" s="11">
        <f>IF(AND(C16="",E16=""),"",IF(NOT(ISNUMBER(B16)),"Needs a date",IF(C16="","Needs a crop",IF(COUNTIF(Crops!$B$6:$B$65,C16)=0,"Not on Crops",IF(NOT(ISNUMBER(E16)),"Needs the amount",IF(AND(D16&lt;&gt;"",COUNTIF(Beds!$B$6:$B$35,D16)=0),"Not on Beds",""))))))</f>
        <v/>
      </c>
      <c r="J16" s="1">
        <f>IF(ISNUMBER(B16),YEAR(B16),"")</f>
        <v/>
      </c>
      <c r="K16">
        <f>IF(ISNUMBER(B16),YEAR(B16)*100+MONTH(B16),"")</f>
        <v/>
      </c>
      <c r="L16">
        <f>IF(ISNUMBER(B16),INT(B16),0)</f>
        <v/>
      </c>
    </row>
    <row r="17">
      <c r="A17" s="1" t="n"/>
      <c r="B17" s="17" t="n">
        <v>45875</v>
      </c>
      <c r="C17" s="18" t="inlineStr">
        <is>
          <t>Tomatoes</t>
        </is>
      </c>
      <c r="D17" s="19" t="inlineStr">
        <is>
          <t>Bed 1</t>
        </is>
      </c>
      <c r="E17" s="23" t="n">
        <v>1.55</v>
      </c>
      <c r="F17" s="21" t="n"/>
      <c r="G17" s="11">
        <f>IF(C17="","",IFERROR(INDEX(Crops!$D$6:$D$65,MATCH(C17,Crops!$B$6:$B$65,0))&amp;"",""))</f>
        <v/>
      </c>
      <c r="H17" s="12">
        <f>IF(OR(C17="",NOT(ISNUMBER(E17))),"",E17*N(IFERROR(INDEX(Crops!$E$6:$E$65,MATCH(C17,Crops!$B$6:$B$65,0)),0)))</f>
        <v/>
      </c>
      <c r="I17" s="11">
        <f>IF(AND(C17="",E17=""),"",IF(NOT(ISNUMBER(B17)),"Needs a date",IF(C17="","Needs a crop",IF(COUNTIF(Crops!$B$6:$B$65,C17)=0,"Not on Crops",IF(NOT(ISNUMBER(E17)),"Needs the amount",IF(AND(D17&lt;&gt;"",COUNTIF(Beds!$B$6:$B$35,D17)=0),"Not on Beds",""))))))</f>
        <v/>
      </c>
      <c r="J17" s="1">
        <f>IF(ISNUMBER(B17),YEAR(B17),"")</f>
        <v/>
      </c>
      <c r="K17">
        <f>IF(ISNUMBER(B17),YEAR(B17)*100+MONTH(B17),"")</f>
        <v/>
      </c>
      <c r="L17">
        <f>IF(ISNUMBER(B17),INT(B17),0)</f>
        <v/>
      </c>
    </row>
    <row r="18">
      <c r="A18" s="1" t="n"/>
      <c r="B18" s="17" t="n">
        <v>45878</v>
      </c>
      <c r="C18" s="18" t="inlineStr">
        <is>
          <t>Runner beans</t>
        </is>
      </c>
      <c r="D18" s="19" t="inlineStr">
        <is>
          <t>Bed 3</t>
        </is>
      </c>
      <c r="E18" s="23" t="n">
        <v>0.87</v>
      </c>
      <c r="F18" s="21" t="n"/>
      <c r="G18" s="11">
        <f>IF(C18="","",IFERROR(INDEX(Crops!$D$6:$D$65,MATCH(C18,Crops!$B$6:$B$65,0))&amp;"",""))</f>
        <v/>
      </c>
      <c r="H18" s="12">
        <f>IF(OR(C18="",NOT(ISNUMBER(E18))),"",E18*N(IFERROR(INDEX(Crops!$E$6:$E$65,MATCH(C18,Crops!$B$6:$B$65,0)),0)))</f>
        <v/>
      </c>
      <c r="I18" s="11">
        <f>IF(AND(C18="",E18=""),"",IF(NOT(ISNUMBER(B18)),"Needs a date",IF(C18="","Needs a crop",IF(COUNTIF(Crops!$B$6:$B$65,C18)=0,"Not on Crops",IF(NOT(ISNUMBER(E18)),"Needs the amount",IF(AND(D18&lt;&gt;"",COUNTIF(Beds!$B$6:$B$35,D18)=0),"Not on Beds",""))))))</f>
        <v/>
      </c>
      <c r="J18" s="1">
        <f>IF(ISNUMBER(B18),YEAR(B18),"")</f>
        <v/>
      </c>
      <c r="K18">
        <f>IF(ISNUMBER(B18),YEAR(B18)*100+MONTH(B18),"")</f>
        <v/>
      </c>
      <c r="L18">
        <f>IF(ISNUMBER(B18),INT(B18),0)</f>
        <v/>
      </c>
    </row>
    <row r="19">
      <c r="A19" s="1" t="n"/>
      <c r="B19" s="17" t="n">
        <v>45878</v>
      </c>
      <c r="C19" s="18" t="inlineStr">
        <is>
          <t>Potatoes</t>
        </is>
      </c>
      <c r="D19" s="19" t="inlineStr">
        <is>
          <t>Bed 2</t>
        </is>
      </c>
      <c r="E19" s="23" t="n">
        <v>3.34</v>
      </c>
      <c r="F19" s="21" t="n"/>
      <c r="G19" s="11">
        <f>IF(C19="","",IFERROR(INDEX(Crops!$D$6:$D$65,MATCH(C19,Crops!$B$6:$B$65,0))&amp;"",""))</f>
        <v/>
      </c>
      <c r="H19" s="12">
        <f>IF(OR(C19="",NOT(ISNUMBER(E19))),"",E19*N(IFERROR(INDEX(Crops!$E$6:$E$65,MATCH(C19,Crops!$B$6:$B$65,0)),0)))</f>
        <v/>
      </c>
      <c r="I19" s="11">
        <f>IF(AND(C19="",E19=""),"",IF(NOT(ISNUMBER(B19)),"Needs a date",IF(C19="","Needs a crop",IF(COUNTIF(Crops!$B$6:$B$65,C19)=0,"Not on Crops",IF(NOT(ISNUMBER(E19)),"Needs the amount",IF(AND(D19&lt;&gt;"",COUNTIF(Beds!$B$6:$B$35,D19)=0),"Not on Beds",""))))))</f>
        <v/>
      </c>
      <c r="J19" s="1">
        <f>IF(ISNUMBER(B19),YEAR(B19),"")</f>
        <v/>
      </c>
      <c r="K19">
        <f>IF(ISNUMBER(B19),YEAR(B19)*100+MONTH(B19),"")</f>
        <v/>
      </c>
      <c r="L19">
        <f>IF(ISNUMBER(B19),INT(B19),0)</f>
        <v/>
      </c>
    </row>
    <row r="20">
      <c r="A20" s="1" t="n"/>
      <c r="B20" s="17" t="n">
        <v>45880</v>
      </c>
      <c r="C20" s="18" t="inlineStr">
        <is>
          <t>Tomatoes</t>
        </is>
      </c>
      <c r="D20" s="19" t="inlineStr">
        <is>
          <t>Bed 1</t>
        </is>
      </c>
      <c r="E20" s="23" t="n">
        <v>1.32</v>
      </c>
      <c r="F20" s="21" t="n"/>
      <c r="G20" s="11">
        <f>IF(C20="","",IFERROR(INDEX(Crops!$D$6:$D$65,MATCH(C20,Crops!$B$6:$B$65,0))&amp;"",""))</f>
        <v/>
      </c>
      <c r="H20" s="12">
        <f>IF(OR(C20="",NOT(ISNUMBER(E20))),"",E20*N(IFERROR(INDEX(Crops!$E$6:$E$65,MATCH(C20,Crops!$B$6:$B$65,0)),0)))</f>
        <v/>
      </c>
      <c r="I20" s="11">
        <f>IF(AND(C20="",E20=""),"",IF(NOT(ISNUMBER(B20)),"Needs a date",IF(C20="","Needs a crop",IF(COUNTIF(Crops!$B$6:$B$65,C20)=0,"Not on Crops",IF(NOT(ISNUMBER(E20)),"Needs the amount",IF(AND(D20&lt;&gt;"",COUNTIF(Beds!$B$6:$B$35,D20)=0),"Not on Beds",""))))))</f>
        <v/>
      </c>
      <c r="J20" s="1">
        <f>IF(ISNUMBER(B20),YEAR(B20),"")</f>
        <v/>
      </c>
      <c r="K20">
        <f>IF(ISNUMBER(B20),YEAR(B20)*100+MONTH(B20),"")</f>
        <v/>
      </c>
      <c r="L20">
        <f>IF(ISNUMBER(B20),INT(B20),0)</f>
        <v/>
      </c>
    </row>
    <row r="21">
      <c r="A21" s="1" t="n"/>
      <c r="B21" s="17" t="n">
        <v>45883</v>
      </c>
      <c r="C21" s="18" t="inlineStr">
        <is>
          <t>Runner beans</t>
        </is>
      </c>
      <c r="D21" s="19" t="inlineStr">
        <is>
          <t>Bed 3</t>
        </is>
      </c>
      <c r="E21" s="23" t="n">
        <v>0.48</v>
      </c>
      <c r="F21" s="21" t="n"/>
      <c r="G21" s="11">
        <f>IF(C21="","",IFERROR(INDEX(Crops!$D$6:$D$65,MATCH(C21,Crops!$B$6:$B$65,0))&amp;"",""))</f>
        <v/>
      </c>
      <c r="H21" s="12">
        <f>IF(OR(C21="",NOT(ISNUMBER(E21))),"",E21*N(IFERROR(INDEX(Crops!$E$6:$E$65,MATCH(C21,Crops!$B$6:$B$65,0)),0)))</f>
        <v/>
      </c>
      <c r="I21" s="11">
        <f>IF(AND(C21="",E21=""),"",IF(NOT(ISNUMBER(B21)),"Needs a date",IF(C21="","Needs a crop",IF(COUNTIF(Crops!$B$6:$B$65,C21)=0,"Not on Crops",IF(NOT(ISNUMBER(E21)),"Needs the amount",IF(AND(D21&lt;&gt;"",COUNTIF(Beds!$B$6:$B$35,D21)=0),"Not on Beds",""))))))</f>
        <v/>
      </c>
      <c r="J21" s="1">
        <f>IF(ISNUMBER(B21),YEAR(B21),"")</f>
        <v/>
      </c>
      <c r="K21">
        <f>IF(ISNUMBER(B21),YEAR(B21)*100+MONTH(B21),"")</f>
        <v/>
      </c>
      <c r="L21">
        <f>IF(ISNUMBER(B21),INT(B21),0)</f>
        <v/>
      </c>
    </row>
    <row r="22">
      <c r="A22" s="1" t="n"/>
      <c r="B22" s="17" t="n">
        <v>45886</v>
      </c>
      <c r="C22" s="18" t="inlineStr">
        <is>
          <t>Tomatoes</t>
        </is>
      </c>
      <c r="D22" s="19" t="inlineStr">
        <is>
          <t>Bed 1</t>
        </is>
      </c>
      <c r="E22" s="23" t="n">
        <v>0.62</v>
      </c>
      <c r="F22" s="21" t="n"/>
      <c r="G22" s="11">
        <f>IF(C22="","",IFERROR(INDEX(Crops!$D$6:$D$65,MATCH(C22,Crops!$B$6:$B$65,0))&amp;"",""))</f>
        <v/>
      </c>
      <c r="H22" s="12">
        <f>IF(OR(C22="",NOT(ISNUMBER(E22))),"",E22*N(IFERROR(INDEX(Crops!$E$6:$E$65,MATCH(C22,Crops!$B$6:$B$65,0)),0)))</f>
        <v/>
      </c>
      <c r="I22" s="11">
        <f>IF(AND(C22="",E22=""),"",IF(NOT(ISNUMBER(B22)),"Needs a date",IF(C22="","Needs a crop",IF(COUNTIF(Crops!$B$6:$B$65,C22)=0,"Not on Crops",IF(NOT(ISNUMBER(E22)),"Needs the amount",IF(AND(D22&lt;&gt;"",COUNTIF(Beds!$B$6:$B$35,D22)=0),"Not on Beds",""))))))</f>
        <v/>
      </c>
      <c r="J22" s="1">
        <f>IF(ISNUMBER(B22),YEAR(B22),"")</f>
        <v/>
      </c>
      <c r="K22">
        <f>IF(ISNUMBER(B22),YEAR(B22)*100+MONTH(B22),"")</f>
        <v/>
      </c>
      <c r="L22">
        <f>IF(ISNUMBER(B22),INT(B22),0)</f>
        <v/>
      </c>
    </row>
    <row r="23">
      <c r="A23" s="1" t="n"/>
      <c r="B23" s="17" t="n">
        <v>45886</v>
      </c>
      <c r="C23" s="18" t="inlineStr">
        <is>
          <t>Potatoes</t>
        </is>
      </c>
      <c r="D23" s="19" t="inlineStr">
        <is>
          <t>Bed 2</t>
        </is>
      </c>
      <c r="E23" s="23" t="n">
        <v>3.94</v>
      </c>
      <c r="F23" s="21" t="n"/>
      <c r="G23" s="11">
        <f>IF(C23="","",IFERROR(INDEX(Crops!$D$6:$D$65,MATCH(C23,Crops!$B$6:$B$65,0))&amp;"",""))</f>
        <v/>
      </c>
      <c r="H23" s="12">
        <f>IF(OR(C23="",NOT(ISNUMBER(E23))),"",E23*N(IFERROR(INDEX(Crops!$E$6:$E$65,MATCH(C23,Crops!$B$6:$B$65,0)),0)))</f>
        <v/>
      </c>
      <c r="I23" s="11">
        <f>IF(AND(C23="",E23=""),"",IF(NOT(ISNUMBER(B23)),"Needs a date",IF(C23="","Needs a crop",IF(COUNTIF(Crops!$B$6:$B$65,C23)=0,"Not on Crops",IF(NOT(ISNUMBER(E23)),"Needs the amount",IF(AND(D23&lt;&gt;"",COUNTIF(Beds!$B$6:$B$35,D23)=0),"Not on Beds",""))))))</f>
        <v/>
      </c>
      <c r="J23" s="1">
        <f>IF(ISNUMBER(B23),YEAR(B23),"")</f>
        <v/>
      </c>
      <c r="K23">
        <f>IF(ISNUMBER(B23),YEAR(B23)*100+MONTH(B23),"")</f>
        <v/>
      </c>
      <c r="L23">
        <f>IF(ISNUMBER(B23),INT(B23),0)</f>
        <v/>
      </c>
    </row>
    <row r="24">
      <c r="A24" s="1" t="n"/>
      <c r="B24" s="17" t="n">
        <v>45887</v>
      </c>
      <c r="C24" s="18" t="inlineStr">
        <is>
          <t>Carrots</t>
        </is>
      </c>
      <c r="D24" s="19" t="inlineStr">
        <is>
          <t>Bed 3</t>
        </is>
      </c>
      <c r="E24" s="23" t="n">
        <v>0.98</v>
      </c>
      <c r="F24" s="21" t="n"/>
      <c r="G24" s="11">
        <f>IF(C24="","",IFERROR(INDEX(Crops!$D$6:$D$65,MATCH(C24,Crops!$B$6:$B$65,0))&amp;"",""))</f>
        <v/>
      </c>
      <c r="H24" s="12">
        <f>IF(OR(C24="",NOT(ISNUMBER(E24))),"",E24*N(IFERROR(INDEX(Crops!$E$6:$E$65,MATCH(C24,Crops!$B$6:$B$65,0)),0)))</f>
        <v/>
      </c>
      <c r="I24" s="11">
        <f>IF(AND(C24="",E24=""),"",IF(NOT(ISNUMBER(B24)),"Needs a date",IF(C24="","Needs a crop",IF(COUNTIF(Crops!$B$6:$B$65,C24)=0,"Not on Crops",IF(NOT(ISNUMBER(E24)),"Needs the amount",IF(AND(D24&lt;&gt;"",COUNTIF(Beds!$B$6:$B$35,D24)=0),"Not on Beds",""))))))</f>
        <v/>
      </c>
      <c r="J24" s="1">
        <f>IF(ISNUMBER(B24),YEAR(B24),"")</f>
        <v/>
      </c>
      <c r="K24">
        <f>IF(ISNUMBER(B24),YEAR(B24)*100+MONTH(B24),"")</f>
        <v/>
      </c>
      <c r="L24">
        <f>IF(ISNUMBER(B24),INT(B24),0)</f>
        <v/>
      </c>
    </row>
    <row r="25">
      <c r="A25" s="1" t="n"/>
      <c r="B25" s="17" t="n">
        <v>45888</v>
      </c>
      <c r="C25" s="18" t="inlineStr">
        <is>
          <t>Runner beans</t>
        </is>
      </c>
      <c r="D25" s="19" t="inlineStr">
        <is>
          <t>Bed 3</t>
        </is>
      </c>
      <c r="E25" s="23" t="n">
        <v>0.61</v>
      </c>
      <c r="F25" s="21" t="n"/>
      <c r="G25" s="11">
        <f>IF(C25="","",IFERROR(INDEX(Crops!$D$6:$D$65,MATCH(C25,Crops!$B$6:$B$65,0))&amp;"",""))</f>
        <v/>
      </c>
      <c r="H25" s="12">
        <f>IF(OR(C25="",NOT(ISNUMBER(E25))),"",E25*N(IFERROR(INDEX(Crops!$E$6:$E$65,MATCH(C25,Crops!$B$6:$B$65,0)),0)))</f>
        <v/>
      </c>
      <c r="I25" s="11">
        <f>IF(AND(C25="",E25=""),"",IF(NOT(ISNUMBER(B25)),"Needs a date",IF(C25="","Needs a crop",IF(COUNTIF(Crops!$B$6:$B$65,C25)=0,"Not on Crops",IF(NOT(ISNUMBER(E25)),"Needs the amount",IF(AND(D25&lt;&gt;"",COUNTIF(Beds!$B$6:$B$35,D25)=0),"Not on Beds",""))))))</f>
        <v/>
      </c>
      <c r="J25" s="1">
        <f>IF(ISNUMBER(B25),YEAR(B25),"")</f>
        <v/>
      </c>
      <c r="K25">
        <f>IF(ISNUMBER(B25),YEAR(B25)*100+MONTH(B25),"")</f>
        <v/>
      </c>
      <c r="L25">
        <f>IF(ISNUMBER(B25),INT(B25),0)</f>
        <v/>
      </c>
    </row>
    <row r="26">
      <c r="A26" s="1" t="n"/>
      <c r="B26" s="17" t="n">
        <v>45891</v>
      </c>
      <c r="C26" s="18" t="inlineStr">
        <is>
          <t>Tomatoes</t>
        </is>
      </c>
      <c r="D26" s="19" t="inlineStr">
        <is>
          <t>Bed 1</t>
        </is>
      </c>
      <c r="E26" s="23" t="n">
        <v>1.29</v>
      </c>
      <c r="F26" s="21" t="n"/>
      <c r="G26" s="11">
        <f>IF(C26="","",IFERROR(INDEX(Crops!$D$6:$D$65,MATCH(C26,Crops!$B$6:$B$65,0))&amp;"",""))</f>
        <v/>
      </c>
      <c r="H26" s="12">
        <f>IF(OR(C26="",NOT(ISNUMBER(E26))),"",E26*N(IFERROR(INDEX(Crops!$E$6:$E$65,MATCH(C26,Crops!$B$6:$B$65,0)),0)))</f>
        <v/>
      </c>
      <c r="I26" s="11">
        <f>IF(AND(C26="",E26=""),"",IF(NOT(ISNUMBER(B26)),"Needs a date",IF(C26="","Needs a crop",IF(COUNTIF(Crops!$B$6:$B$65,C26)=0,"Not on Crops",IF(NOT(ISNUMBER(E26)),"Needs the amount",IF(AND(D26&lt;&gt;"",COUNTIF(Beds!$B$6:$B$35,D26)=0),"Not on Beds",""))))))</f>
        <v/>
      </c>
      <c r="J26" s="1">
        <f>IF(ISNUMBER(B26),YEAR(B26),"")</f>
        <v/>
      </c>
      <c r="K26">
        <f>IF(ISNUMBER(B26),YEAR(B26)*100+MONTH(B26),"")</f>
        <v/>
      </c>
      <c r="L26">
        <f>IF(ISNUMBER(B26),INT(B26),0)</f>
        <v/>
      </c>
    </row>
    <row r="27">
      <c r="A27" s="1" t="n"/>
      <c r="B27" s="17" t="n">
        <v>45893</v>
      </c>
      <c r="C27" s="18" t="inlineStr">
        <is>
          <t>Runner beans</t>
        </is>
      </c>
      <c r="D27" s="19" t="inlineStr">
        <is>
          <t>Bed 3</t>
        </is>
      </c>
      <c r="E27" s="23" t="n">
        <v>0.89</v>
      </c>
      <c r="F27" s="21" t="n"/>
      <c r="G27" s="11">
        <f>IF(C27="","",IFERROR(INDEX(Crops!$D$6:$D$65,MATCH(C27,Crops!$B$6:$B$65,0))&amp;"",""))</f>
        <v/>
      </c>
      <c r="H27" s="12">
        <f>IF(OR(C27="",NOT(ISNUMBER(E27))),"",E27*N(IFERROR(INDEX(Crops!$E$6:$E$65,MATCH(C27,Crops!$B$6:$B$65,0)),0)))</f>
        <v/>
      </c>
      <c r="I27" s="11">
        <f>IF(AND(C27="",E27=""),"",IF(NOT(ISNUMBER(B27)),"Needs a date",IF(C27="","Needs a crop",IF(COUNTIF(Crops!$B$6:$B$65,C27)=0,"Not on Crops",IF(NOT(ISNUMBER(E27)),"Needs the amount",IF(AND(D27&lt;&gt;"",COUNTIF(Beds!$B$6:$B$35,D27)=0),"Not on Beds",""))))))</f>
        <v/>
      </c>
      <c r="J27" s="1">
        <f>IF(ISNUMBER(B27),YEAR(B27),"")</f>
        <v/>
      </c>
      <c r="K27">
        <f>IF(ISNUMBER(B27),YEAR(B27)*100+MONTH(B27),"")</f>
        <v/>
      </c>
      <c r="L27">
        <f>IF(ISNUMBER(B27),INT(B27),0)</f>
        <v/>
      </c>
    </row>
    <row r="28">
      <c r="A28" s="1" t="n"/>
      <c r="B28" s="17" t="n">
        <v>45894</v>
      </c>
      <c r="C28" s="18" t="inlineStr">
        <is>
          <t>Onions</t>
        </is>
      </c>
      <c r="D28" s="19" t="inlineStr">
        <is>
          <t>Bed 4</t>
        </is>
      </c>
      <c r="E28" s="23" t="n">
        <v>4.66</v>
      </c>
      <c r="F28" s="21" t="n"/>
      <c r="G28" s="11">
        <f>IF(C28="","",IFERROR(INDEX(Crops!$D$6:$D$65,MATCH(C28,Crops!$B$6:$B$65,0))&amp;"",""))</f>
        <v/>
      </c>
      <c r="H28" s="12">
        <f>IF(OR(C28="",NOT(ISNUMBER(E28))),"",E28*N(IFERROR(INDEX(Crops!$E$6:$E$65,MATCH(C28,Crops!$B$6:$B$65,0)),0)))</f>
        <v/>
      </c>
      <c r="I28" s="11">
        <f>IF(AND(C28="",E28=""),"",IF(NOT(ISNUMBER(B28)),"Needs a date",IF(C28="","Needs a crop",IF(COUNTIF(Crops!$B$6:$B$65,C28)=0,"Not on Crops",IF(NOT(ISNUMBER(E28)),"Needs the amount",IF(AND(D28&lt;&gt;"",COUNTIF(Beds!$B$6:$B$35,D28)=0),"Not on Beds",""))))))</f>
        <v/>
      </c>
      <c r="J28" s="1">
        <f>IF(ISNUMBER(B28),YEAR(B28),"")</f>
        <v/>
      </c>
      <c r="K28">
        <f>IF(ISNUMBER(B28),YEAR(B28)*100+MONTH(B28),"")</f>
        <v/>
      </c>
      <c r="L28">
        <f>IF(ISNUMBER(B28),INT(B28),0)</f>
        <v/>
      </c>
    </row>
    <row r="29">
      <c r="A29" s="1" t="n"/>
      <c r="B29" s="17" t="n">
        <v>45897</v>
      </c>
      <c r="C29" s="18" t="inlineStr">
        <is>
          <t>Tomatoes</t>
        </is>
      </c>
      <c r="D29" s="19" t="inlineStr">
        <is>
          <t>Bed 1</t>
        </is>
      </c>
      <c r="E29" s="23" t="n">
        <v>1.62</v>
      </c>
      <c r="F29" s="21" t="n"/>
      <c r="G29" s="11">
        <f>IF(C29="","",IFERROR(INDEX(Crops!$D$6:$D$65,MATCH(C29,Crops!$B$6:$B$65,0))&amp;"",""))</f>
        <v/>
      </c>
      <c r="H29" s="12">
        <f>IF(OR(C29="",NOT(ISNUMBER(E29))),"",E29*N(IFERROR(INDEX(Crops!$E$6:$E$65,MATCH(C29,Crops!$B$6:$B$65,0)),0)))</f>
        <v/>
      </c>
      <c r="I29" s="11">
        <f>IF(AND(C29="",E29=""),"",IF(NOT(ISNUMBER(B29)),"Needs a date",IF(C29="","Needs a crop",IF(COUNTIF(Crops!$B$6:$B$65,C29)=0,"Not on Crops",IF(NOT(ISNUMBER(E29)),"Needs the amount",IF(AND(D29&lt;&gt;"",COUNTIF(Beds!$B$6:$B$35,D29)=0),"Not on Beds",""))))))</f>
        <v/>
      </c>
      <c r="J29" s="1">
        <f>IF(ISNUMBER(B29),YEAR(B29),"")</f>
        <v/>
      </c>
      <c r="K29">
        <f>IF(ISNUMBER(B29),YEAR(B29)*100+MONTH(B29),"")</f>
        <v/>
      </c>
      <c r="L29">
        <f>IF(ISNUMBER(B29),INT(B29),0)</f>
        <v/>
      </c>
    </row>
    <row r="30">
      <c r="A30" s="1" t="n"/>
      <c r="B30" s="17" t="n">
        <v>45897</v>
      </c>
      <c r="C30" s="18" t="inlineStr">
        <is>
          <t>Onions</t>
        </is>
      </c>
      <c r="D30" s="19" t="inlineStr">
        <is>
          <t>Bed 4</t>
        </is>
      </c>
      <c r="E30" s="23" t="n">
        <v>4.49</v>
      </c>
      <c r="F30" s="21" t="n"/>
      <c r="G30" s="11">
        <f>IF(C30="","",IFERROR(INDEX(Crops!$D$6:$D$65,MATCH(C30,Crops!$B$6:$B$65,0))&amp;"",""))</f>
        <v/>
      </c>
      <c r="H30" s="12">
        <f>IF(OR(C30="",NOT(ISNUMBER(E30))),"",E30*N(IFERROR(INDEX(Crops!$E$6:$E$65,MATCH(C30,Crops!$B$6:$B$65,0)),0)))</f>
        <v/>
      </c>
      <c r="I30" s="11">
        <f>IF(AND(C30="",E30=""),"",IF(NOT(ISNUMBER(B30)),"Needs a date",IF(C30="","Needs a crop",IF(COUNTIF(Crops!$B$6:$B$65,C30)=0,"Not on Crops",IF(NOT(ISNUMBER(E30)),"Needs the amount",IF(AND(D30&lt;&gt;"",COUNTIF(Beds!$B$6:$B$35,D30)=0),"Not on Beds",""))))))</f>
        <v/>
      </c>
      <c r="J30" s="1">
        <f>IF(ISNUMBER(B30),YEAR(B30),"")</f>
        <v/>
      </c>
      <c r="K30">
        <f>IF(ISNUMBER(B30),YEAR(B30)*100+MONTH(B30),"")</f>
        <v/>
      </c>
      <c r="L30">
        <f>IF(ISNUMBER(B30),INT(B30),0)</f>
        <v/>
      </c>
    </row>
    <row r="31">
      <c r="A31" s="1" t="n"/>
      <c r="B31" s="17" t="n">
        <v>45900</v>
      </c>
      <c r="C31" s="18" t="inlineStr">
        <is>
          <t>Runner beans</t>
        </is>
      </c>
      <c r="D31" s="19" t="inlineStr">
        <is>
          <t>Bed 3</t>
        </is>
      </c>
      <c r="E31" s="23" t="n">
        <v>0.6899999999999999</v>
      </c>
      <c r="F31" s="21" t="n"/>
      <c r="G31" s="11">
        <f>IF(C31="","",IFERROR(INDEX(Crops!$D$6:$D$65,MATCH(C31,Crops!$B$6:$B$65,0))&amp;"",""))</f>
        <v/>
      </c>
      <c r="H31" s="12">
        <f>IF(OR(C31="",NOT(ISNUMBER(E31))),"",E31*N(IFERROR(INDEX(Crops!$E$6:$E$65,MATCH(C31,Crops!$B$6:$B$65,0)),0)))</f>
        <v/>
      </c>
      <c r="I31" s="11">
        <f>IF(AND(C31="",E31=""),"",IF(NOT(ISNUMBER(B31)),"Needs a date",IF(C31="","Needs a crop",IF(COUNTIF(Crops!$B$6:$B$65,C31)=0,"Not on Crops",IF(NOT(ISNUMBER(E31)),"Needs the amount",IF(AND(D31&lt;&gt;"",COUNTIF(Beds!$B$6:$B$35,D31)=0),"Not on Beds",""))))))</f>
        <v/>
      </c>
      <c r="J31" s="1">
        <f>IF(ISNUMBER(B31),YEAR(B31),"")</f>
        <v/>
      </c>
      <c r="K31">
        <f>IF(ISNUMBER(B31),YEAR(B31)*100+MONTH(B31),"")</f>
        <v/>
      </c>
      <c r="L31">
        <f>IF(ISNUMBER(B31),INT(B31),0)</f>
        <v/>
      </c>
    </row>
    <row r="32">
      <c r="A32" s="1" t="n"/>
      <c r="B32" s="17" t="n">
        <v>45902</v>
      </c>
      <c r="C32" s="18" t="inlineStr">
        <is>
          <t>Carrots</t>
        </is>
      </c>
      <c r="D32" s="19" t="inlineStr">
        <is>
          <t>Bed 3</t>
        </is>
      </c>
      <c r="E32" s="23" t="n">
        <v>0.86</v>
      </c>
      <c r="F32" s="21" t="n"/>
      <c r="G32" s="11">
        <f>IF(C32="","",IFERROR(INDEX(Crops!$D$6:$D$65,MATCH(C32,Crops!$B$6:$B$65,0))&amp;"",""))</f>
        <v/>
      </c>
      <c r="H32" s="12">
        <f>IF(OR(C32="",NOT(ISNUMBER(E32))),"",E32*N(IFERROR(INDEX(Crops!$E$6:$E$65,MATCH(C32,Crops!$B$6:$B$65,0)),0)))</f>
        <v/>
      </c>
      <c r="I32" s="11">
        <f>IF(AND(C32="",E32=""),"",IF(NOT(ISNUMBER(B32)),"Needs a date",IF(C32="","Needs a crop",IF(COUNTIF(Crops!$B$6:$B$65,C32)=0,"Not on Crops",IF(NOT(ISNUMBER(E32)),"Needs the amount",IF(AND(D32&lt;&gt;"",COUNTIF(Beds!$B$6:$B$35,D32)=0),"Not on Beds",""))))))</f>
        <v/>
      </c>
      <c r="J32" s="1">
        <f>IF(ISNUMBER(B32),YEAR(B32),"")</f>
        <v/>
      </c>
      <c r="K32">
        <f>IF(ISNUMBER(B32),YEAR(B32)*100+MONTH(B32),"")</f>
        <v/>
      </c>
      <c r="L32">
        <f>IF(ISNUMBER(B32),INT(B32),0)</f>
        <v/>
      </c>
    </row>
    <row r="33">
      <c r="A33" s="1" t="n"/>
      <c r="B33" s="17" t="n">
        <v>45903</v>
      </c>
      <c r="C33" s="18" t="inlineStr">
        <is>
          <t>Tomatoes</t>
        </is>
      </c>
      <c r="D33" s="19" t="inlineStr">
        <is>
          <t>Bed 1</t>
        </is>
      </c>
      <c r="E33" s="23" t="n">
        <v>1.66</v>
      </c>
      <c r="F33" s="21" t="n"/>
      <c r="G33" s="11">
        <f>IF(C33="","",IFERROR(INDEX(Crops!$D$6:$D$65,MATCH(C33,Crops!$B$6:$B$65,0))&amp;"",""))</f>
        <v/>
      </c>
      <c r="H33" s="12">
        <f>IF(OR(C33="",NOT(ISNUMBER(E33))),"",E33*N(IFERROR(INDEX(Crops!$E$6:$E$65,MATCH(C33,Crops!$B$6:$B$65,0)),0)))</f>
        <v/>
      </c>
      <c r="I33" s="11">
        <f>IF(AND(C33="",E33=""),"",IF(NOT(ISNUMBER(B33)),"Needs a date",IF(C33="","Needs a crop",IF(COUNTIF(Crops!$B$6:$B$65,C33)=0,"Not on Crops",IF(NOT(ISNUMBER(E33)),"Needs the amount",IF(AND(D33&lt;&gt;"",COUNTIF(Beds!$B$6:$B$35,D33)=0),"Not on Beds",""))))))</f>
        <v/>
      </c>
      <c r="J33" s="1">
        <f>IF(ISNUMBER(B33),YEAR(B33),"")</f>
        <v/>
      </c>
      <c r="K33">
        <f>IF(ISNUMBER(B33),YEAR(B33)*100+MONTH(B33),"")</f>
        <v/>
      </c>
      <c r="L33">
        <f>IF(ISNUMBER(B33),INT(B33),0)</f>
        <v/>
      </c>
    </row>
    <row r="34">
      <c r="A34" s="1" t="n"/>
      <c r="B34" s="17" t="n">
        <v>45907</v>
      </c>
      <c r="C34" s="18" t="inlineStr">
        <is>
          <t>Runner beans</t>
        </is>
      </c>
      <c r="D34" s="19" t="inlineStr">
        <is>
          <t>Bed 3</t>
        </is>
      </c>
      <c r="E34" s="23" t="n">
        <v>0.71</v>
      </c>
      <c r="F34" s="21" t="n"/>
      <c r="G34" s="11">
        <f>IF(C34="","",IFERROR(INDEX(Crops!$D$6:$D$65,MATCH(C34,Crops!$B$6:$B$65,0))&amp;"",""))</f>
        <v/>
      </c>
      <c r="H34" s="12">
        <f>IF(OR(C34="",NOT(ISNUMBER(E34))),"",E34*N(IFERROR(INDEX(Crops!$E$6:$E$65,MATCH(C34,Crops!$B$6:$B$65,0)),0)))</f>
        <v/>
      </c>
      <c r="I34" s="11">
        <f>IF(AND(C34="",E34=""),"",IF(NOT(ISNUMBER(B34)),"Needs a date",IF(C34="","Needs a crop",IF(COUNTIF(Crops!$B$6:$B$65,C34)=0,"Not on Crops",IF(NOT(ISNUMBER(E34)),"Needs the amount",IF(AND(D34&lt;&gt;"",COUNTIF(Beds!$B$6:$B$35,D34)=0),"Not on Beds",""))))))</f>
        <v/>
      </c>
      <c r="J34" s="1">
        <f>IF(ISNUMBER(B34),YEAR(B34),"")</f>
        <v/>
      </c>
      <c r="K34">
        <f>IF(ISNUMBER(B34),YEAR(B34)*100+MONTH(B34),"")</f>
        <v/>
      </c>
      <c r="L34">
        <f>IF(ISNUMBER(B34),INT(B34),0)</f>
        <v/>
      </c>
    </row>
    <row r="35">
      <c r="A35" s="1" t="n"/>
      <c r="B35" s="17" t="n">
        <v>45908</v>
      </c>
      <c r="C35" s="18" t="inlineStr">
        <is>
          <t>Tomatoes</t>
        </is>
      </c>
      <c r="D35" s="19" t="inlineStr">
        <is>
          <t>Bed 1</t>
        </is>
      </c>
      <c r="E35" s="23" t="n">
        <v>1.07</v>
      </c>
      <c r="F35" s="21" t="n"/>
      <c r="G35" s="11">
        <f>IF(C35="","",IFERROR(INDEX(Crops!$D$6:$D$65,MATCH(C35,Crops!$B$6:$B$65,0))&amp;"",""))</f>
        <v/>
      </c>
      <c r="H35" s="12">
        <f>IF(OR(C35="",NOT(ISNUMBER(E35))),"",E35*N(IFERROR(INDEX(Crops!$E$6:$E$65,MATCH(C35,Crops!$B$6:$B$65,0)),0)))</f>
        <v/>
      </c>
      <c r="I35" s="11">
        <f>IF(AND(C35="",E35=""),"",IF(NOT(ISNUMBER(B35)),"Needs a date",IF(C35="","Needs a crop",IF(COUNTIF(Crops!$B$6:$B$65,C35)=0,"Not on Crops",IF(NOT(ISNUMBER(E35)),"Needs the amount",IF(AND(D35&lt;&gt;"",COUNTIF(Beds!$B$6:$B$35,D35)=0),"Not on Beds",""))))))</f>
        <v/>
      </c>
      <c r="J35" s="1">
        <f>IF(ISNUMBER(B35),YEAR(B35),"")</f>
        <v/>
      </c>
      <c r="K35">
        <f>IF(ISNUMBER(B35),YEAR(B35)*100+MONTH(B35),"")</f>
        <v/>
      </c>
      <c r="L35">
        <f>IF(ISNUMBER(B35),INT(B35),0)</f>
        <v/>
      </c>
    </row>
    <row r="36">
      <c r="A36" s="1" t="n"/>
      <c r="B36" s="17" t="n">
        <v>45912</v>
      </c>
      <c r="C36" s="18" t="inlineStr">
        <is>
          <t>Tomatoes</t>
        </is>
      </c>
      <c r="D36" s="19" t="inlineStr">
        <is>
          <t>Bed 1</t>
        </is>
      </c>
      <c r="E36" s="23" t="n">
        <v>1.62</v>
      </c>
      <c r="F36" s="21" t="n"/>
      <c r="G36" s="11">
        <f>IF(C36="","",IFERROR(INDEX(Crops!$D$6:$D$65,MATCH(C36,Crops!$B$6:$B$65,0))&amp;"",""))</f>
        <v/>
      </c>
      <c r="H36" s="12">
        <f>IF(OR(C36="",NOT(ISNUMBER(E36))),"",E36*N(IFERROR(INDEX(Crops!$E$6:$E$65,MATCH(C36,Crops!$B$6:$B$65,0)),0)))</f>
        <v/>
      </c>
      <c r="I36" s="11">
        <f>IF(AND(C36="",E36=""),"",IF(NOT(ISNUMBER(B36)),"Needs a date",IF(C36="","Needs a crop",IF(COUNTIF(Crops!$B$6:$B$65,C36)=0,"Not on Crops",IF(NOT(ISNUMBER(E36)),"Needs the amount",IF(AND(D36&lt;&gt;"",COUNTIF(Beds!$B$6:$B$35,D36)=0),"Not on Beds",""))))))</f>
        <v/>
      </c>
      <c r="J36" s="1">
        <f>IF(ISNUMBER(B36),YEAR(B36),"")</f>
        <v/>
      </c>
      <c r="K36">
        <f>IF(ISNUMBER(B36),YEAR(B36)*100+MONTH(B36),"")</f>
        <v/>
      </c>
      <c r="L36">
        <f>IF(ISNUMBER(B36),INT(B36),0)</f>
        <v/>
      </c>
    </row>
    <row r="37">
      <c r="A37" s="1" t="n"/>
      <c r="B37" s="17" t="n">
        <v>45912</v>
      </c>
      <c r="C37" s="18" t="inlineStr">
        <is>
          <t>Runner beans</t>
        </is>
      </c>
      <c r="D37" s="19" t="inlineStr">
        <is>
          <t>Bed 3</t>
        </is>
      </c>
      <c r="E37" s="23" t="n">
        <v>0.8100000000000001</v>
      </c>
      <c r="F37" s="21" t="n"/>
      <c r="G37" s="11">
        <f>IF(C37="","",IFERROR(INDEX(Crops!$D$6:$D$65,MATCH(C37,Crops!$B$6:$B$65,0))&amp;"",""))</f>
        <v/>
      </c>
      <c r="H37" s="12">
        <f>IF(OR(C37="",NOT(ISNUMBER(E37))),"",E37*N(IFERROR(INDEX(Crops!$E$6:$E$65,MATCH(C37,Crops!$B$6:$B$65,0)),0)))</f>
        <v/>
      </c>
      <c r="I37" s="11">
        <f>IF(AND(C37="",E37=""),"",IF(NOT(ISNUMBER(B37)),"Needs a date",IF(C37="","Needs a crop",IF(COUNTIF(Crops!$B$6:$B$65,C37)=0,"Not on Crops",IF(NOT(ISNUMBER(E37)),"Needs the amount",IF(AND(D37&lt;&gt;"",COUNTIF(Beds!$B$6:$B$35,D37)=0),"Not on Beds",""))))))</f>
        <v/>
      </c>
      <c r="J37" s="1">
        <f>IF(ISNUMBER(B37),YEAR(B37),"")</f>
        <v/>
      </c>
      <c r="K37">
        <f>IF(ISNUMBER(B37),YEAR(B37)*100+MONTH(B37),"")</f>
        <v/>
      </c>
      <c r="L37">
        <f>IF(ISNUMBER(B37),INT(B37),0)</f>
        <v/>
      </c>
    </row>
    <row r="38">
      <c r="A38" s="1" t="n"/>
      <c r="B38" s="17" t="n">
        <v>45916</v>
      </c>
      <c r="C38" s="18" t="inlineStr">
        <is>
          <t>Tomatoes</t>
        </is>
      </c>
      <c r="D38" s="19" t="inlineStr">
        <is>
          <t>Bed 1</t>
        </is>
      </c>
      <c r="E38" s="23" t="n">
        <v>1.05</v>
      </c>
      <c r="F38" s="21" t="n"/>
      <c r="G38" s="11">
        <f>IF(C38="","",IFERROR(INDEX(Crops!$D$6:$D$65,MATCH(C38,Crops!$B$6:$B$65,0))&amp;"",""))</f>
        <v/>
      </c>
      <c r="H38" s="12">
        <f>IF(OR(C38="",NOT(ISNUMBER(E38))),"",E38*N(IFERROR(INDEX(Crops!$E$6:$E$65,MATCH(C38,Crops!$B$6:$B$65,0)),0)))</f>
        <v/>
      </c>
      <c r="I38" s="11">
        <f>IF(AND(C38="",E38=""),"",IF(NOT(ISNUMBER(B38)),"Needs a date",IF(C38="","Needs a crop",IF(COUNTIF(Crops!$B$6:$B$65,C38)=0,"Not on Crops",IF(NOT(ISNUMBER(E38)),"Needs the amount",IF(AND(D38&lt;&gt;"",COUNTIF(Beds!$B$6:$B$35,D38)=0),"Not on Beds",""))))))</f>
        <v/>
      </c>
      <c r="J38" s="1">
        <f>IF(ISNUMBER(B38),YEAR(B38),"")</f>
        <v/>
      </c>
      <c r="K38">
        <f>IF(ISNUMBER(B38),YEAR(B38)*100+MONTH(B38),"")</f>
        <v/>
      </c>
      <c r="L38">
        <f>IF(ISNUMBER(B38),INT(B38),0)</f>
        <v/>
      </c>
    </row>
    <row r="39">
      <c r="A39" s="1" t="n"/>
      <c r="B39" s="17" t="n">
        <v>45916</v>
      </c>
      <c r="C39" s="18" t="inlineStr">
        <is>
          <t>Carrots</t>
        </is>
      </c>
      <c r="D39" s="19" t="inlineStr">
        <is>
          <t>Bed 3</t>
        </is>
      </c>
      <c r="E39" s="23" t="n">
        <v>0.48</v>
      </c>
      <c r="F39" s="21" t="n"/>
      <c r="G39" s="11">
        <f>IF(C39="","",IFERROR(INDEX(Crops!$D$6:$D$65,MATCH(C39,Crops!$B$6:$B$65,0))&amp;"",""))</f>
        <v/>
      </c>
      <c r="H39" s="12">
        <f>IF(OR(C39="",NOT(ISNUMBER(E39))),"",E39*N(IFERROR(INDEX(Crops!$E$6:$E$65,MATCH(C39,Crops!$B$6:$B$65,0)),0)))</f>
        <v/>
      </c>
      <c r="I39" s="11">
        <f>IF(AND(C39="",E39=""),"",IF(NOT(ISNUMBER(B39)),"Needs a date",IF(C39="","Needs a crop",IF(COUNTIF(Crops!$B$6:$B$65,C39)=0,"Not on Crops",IF(NOT(ISNUMBER(E39)),"Needs the amount",IF(AND(D39&lt;&gt;"",COUNTIF(Beds!$B$6:$B$35,D39)=0),"Not on Beds",""))))))</f>
        <v/>
      </c>
      <c r="J39" s="1">
        <f>IF(ISNUMBER(B39),YEAR(B39),"")</f>
        <v/>
      </c>
      <c r="K39">
        <f>IF(ISNUMBER(B39),YEAR(B39)*100+MONTH(B39),"")</f>
        <v/>
      </c>
      <c r="L39">
        <f>IF(ISNUMBER(B39),INT(B39),0)</f>
        <v/>
      </c>
    </row>
    <row r="40">
      <c r="A40" s="1" t="n"/>
      <c r="B40" s="17" t="n">
        <v>45918</v>
      </c>
      <c r="C40" s="18" t="inlineStr">
        <is>
          <t>Runner beans</t>
        </is>
      </c>
      <c r="D40" s="19" t="inlineStr">
        <is>
          <t>Bed 3</t>
        </is>
      </c>
      <c r="E40" s="23" t="n">
        <v>0.77</v>
      </c>
      <c r="F40" s="21" t="n"/>
      <c r="G40" s="11">
        <f>IF(C40="","",IFERROR(INDEX(Crops!$D$6:$D$65,MATCH(C40,Crops!$B$6:$B$65,0))&amp;"",""))</f>
        <v/>
      </c>
      <c r="H40" s="12">
        <f>IF(OR(C40="",NOT(ISNUMBER(E40))),"",E40*N(IFERROR(INDEX(Crops!$E$6:$E$65,MATCH(C40,Crops!$B$6:$B$65,0)),0)))</f>
        <v/>
      </c>
      <c r="I40" s="11">
        <f>IF(AND(C40="",E40=""),"",IF(NOT(ISNUMBER(B40)),"Needs a date",IF(C40="","Needs a crop",IF(COUNTIF(Crops!$B$6:$B$65,C40)=0,"Not on Crops",IF(NOT(ISNUMBER(E40)),"Needs the amount",IF(AND(D40&lt;&gt;"",COUNTIF(Beds!$B$6:$B$35,D40)=0),"Not on Beds",""))))))</f>
        <v/>
      </c>
      <c r="J40" s="1">
        <f>IF(ISNUMBER(B40),YEAR(B40),"")</f>
        <v/>
      </c>
      <c r="K40">
        <f>IF(ISNUMBER(B40),YEAR(B40)*100+MONTH(B40),"")</f>
        <v/>
      </c>
      <c r="L40">
        <f>IF(ISNUMBER(B40),INT(B40),0)</f>
        <v/>
      </c>
    </row>
    <row r="41">
      <c r="A41" s="1" t="n"/>
      <c r="B41" s="17" t="n">
        <v>45920</v>
      </c>
      <c r="C41" s="18" t="inlineStr">
        <is>
          <t>Tomatoes</t>
        </is>
      </c>
      <c r="D41" s="19" t="inlineStr">
        <is>
          <t>Bed 1</t>
        </is>
      </c>
      <c r="E41" s="23" t="n">
        <v>0.79</v>
      </c>
      <c r="F41" s="21" t="n"/>
      <c r="G41" s="11">
        <f>IF(C41="","",IFERROR(INDEX(Crops!$D$6:$D$65,MATCH(C41,Crops!$B$6:$B$65,0))&amp;"",""))</f>
        <v/>
      </c>
      <c r="H41" s="12">
        <f>IF(OR(C41="",NOT(ISNUMBER(E41))),"",E41*N(IFERROR(INDEX(Crops!$E$6:$E$65,MATCH(C41,Crops!$B$6:$B$65,0)),0)))</f>
        <v/>
      </c>
      <c r="I41" s="11">
        <f>IF(AND(C41="",E41=""),"",IF(NOT(ISNUMBER(B41)),"Needs a date",IF(C41="","Needs a crop",IF(COUNTIF(Crops!$B$6:$B$65,C41)=0,"Not on Crops",IF(NOT(ISNUMBER(E41)),"Needs the amount",IF(AND(D41&lt;&gt;"",COUNTIF(Beds!$B$6:$B$35,D41)=0),"Not on Beds",""))))))</f>
        <v/>
      </c>
      <c r="J41" s="1">
        <f>IF(ISNUMBER(B41),YEAR(B41),"")</f>
        <v/>
      </c>
      <c r="K41">
        <f>IF(ISNUMBER(B41),YEAR(B41)*100+MONTH(B41),"")</f>
        <v/>
      </c>
      <c r="L41">
        <f>IF(ISNUMBER(B41),INT(B41),0)</f>
        <v/>
      </c>
    </row>
    <row r="42">
      <c r="A42" s="1" t="n"/>
      <c r="B42" s="17" t="n">
        <v>45925</v>
      </c>
      <c r="C42" s="18" t="inlineStr">
        <is>
          <t>Tomatoes</t>
        </is>
      </c>
      <c r="D42" s="19" t="inlineStr">
        <is>
          <t>Bed 1</t>
        </is>
      </c>
      <c r="E42" s="23" t="n">
        <v>0.75</v>
      </c>
      <c r="F42" s="21" t="n"/>
      <c r="G42" s="11">
        <f>IF(C42="","",IFERROR(INDEX(Crops!$D$6:$D$65,MATCH(C42,Crops!$B$6:$B$65,0))&amp;"",""))</f>
        <v/>
      </c>
      <c r="H42" s="12">
        <f>IF(OR(C42="",NOT(ISNUMBER(E42))),"",E42*N(IFERROR(INDEX(Crops!$E$6:$E$65,MATCH(C42,Crops!$B$6:$B$65,0)),0)))</f>
        <v/>
      </c>
      <c r="I42" s="11">
        <f>IF(AND(C42="",E42=""),"",IF(NOT(ISNUMBER(B42)),"Needs a date",IF(C42="","Needs a crop",IF(COUNTIF(Crops!$B$6:$B$65,C42)=0,"Not on Crops",IF(NOT(ISNUMBER(E42)),"Needs the amount",IF(AND(D42&lt;&gt;"",COUNTIF(Beds!$B$6:$B$35,D42)=0),"Not on Beds",""))))))</f>
        <v/>
      </c>
      <c r="J42" s="1">
        <f>IF(ISNUMBER(B42),YEAR(B42),"")</f>
        <v/>
      </c>
      <c r="K42">
        <f>IF(ISNUMBER(B42),YEAR(B42)*100+MONTH(B42),"")</f>
        <v/>
      </c>
      <c r="L42">
        <f>IF(ISNUMBER(B42),INT(B42),0)</f>
        <v/>
      </c>
    </row>
    <row r="43">
      <c r="A43" s="1" t="n"/>
      <c r="B43" s="17" t="n">
        <v>45925</v>
      </c>
      <c r="C43" s="18" t="inlineStr">
        <is>
          <t>Runner beans</t>
        </is>
      </c>
      <c r="D43" s="19" t="inlineStr">
        <is>
          <t>Bed 3</t>
        </is>
      </c>
      <c r="E43" s="23" t="n">
        <v>0.5</v>
      </c>
      <c r="F43" s="21" t="n"/>
      <c r="G43" s="11">
        <f>IF(C43="","",IFERROR(INDEX(Crops!$D$6:$D$65,MATCH(C43,Crops!$B$6:$B$65,0))&amp;"",""))</f>
        <v/>
      </c>
      <c r="H43" s="12">
        <f>IF(OR(C43="",NOT(ISNUMBER(E43))),"",E43*N(IFERROR(INDEX(Crops!$E$6:$E$65,MATCH(C43,Crops!$B$6:$B$65,0)),0)))</f>
        <v/>
      </c>
      <c r="I43" s="11">
        <f>IF(AND(C43="",E43=""),"",IF(NOT(ISNUMBER(B43)),"Needs a date",IF(C43="","Needs a crop",IF(COUNTIF(Crops!$B$6:$B$65,C43)=0,"Not on Crops",IF(NOT(ISNUMBER(E43)),"Needs the amount",IF(AND(D43&lt;&gt;"",COUNTIF(Beds!$B$6:$B$35,D43)=0),"Not on Beds",""))))))</f>
        <v/>
      </c>
      <c r="J43" s="1">
        <f>IF(ISNUMBER(B43),YEAR(B43),"")</f>
        <v/>
      </c>
      <c r="K43">
        <f>IF(ISNUMBER(B43),YEAR(B43)*100+MONTH(B43),"")</f>
        <v/>
      </c>
      <c r="L43">
        <f>IF(ISNUMBER(B43),INT(B43),0)</f>
        <v/>
      </c>
    </row>
    <row r="44">
      <c r="A44" s="1" t="n"/>
      <c r="B44" s="17" t="n">
        <v>45929</v>
      </c>
      <c r="C44" s="18" t="inlineStr">
        <is>
          <t>Carrots</t>
        </is>
      </c>
      <c r="D44" s="19" t="inlineStr">
        <is>
          <t>Bed 3</t>
        </is>
      </c>
      <c r="E44" s="23" t="n">
        <v>0.92</v>
      </c>
      <c r="F44" s="21" t="n"/>
      <c r="G44" s="11">
        <f>IF(C44="","",IFERROR(INDEX(Crops!$D$6:$D$65,MATCH(C44,Crops!$B$6:$B$65,0))&amp;"",""))</f>
        <v/>
      </c>
      <c r="H44" s="12">
        <f>IF(OR(C44="",NOT(ISNUMBER(E44))),"",E44*N(IFERROR(INDEX(Crops!$E$6:$E$65,MATCH(C44,Crops!$B$6:$B$65,0)),0)))</f>
        <v/>
      </c>
      <c r="I44" s="11">
        <f>IF(AND(C44="",E44=""),"",IF(NOT(ISNUMBER(B44)),"Needs a date",IF(C44="","Needs a crop",IF(COUNTIF(Crops!$B$6:$B$65,C44)=0,"Not on Crops",IF(NOT(ISNUMBER(E44)),"Needs the amount",IF(AND(D44&lt;&gt;"",COUNTIF(Beds!$B$6:$B$35,D44)=0),"Not on Beds",""))))))</f>
        <v/>
      </c>
      <c r="J44" s="1">
        <f>IF(ISNUMBER(B44),YEAR(B44),"")</f>
        <v/>
      </c>
      <c r="K44">
        <f>IF(ISNUMBER(B44),YEAR(B44)*100+MONTH(B44),"")</f>
        <v/>
      </c>
      <c r="L44">
        <f>IF(ISNUMBER(B44),INT(B44),0)</f>
        <v/>
      </c>
    </row>
    <row r="45">
      <c r="A45" s="1" t="n"/>
      <c r="B45" s="17" t="n">
        <v>45930</v>
      </c>
      <c r="C45" s="18" t="inlineStr">
        <is>
          <t>Tomatoes</t>
        </is>
      </c>
      <c r="D45" s="19" t="inlineStr">
        <is>
          <t>Bed 1</t>
        </is>
      </c>
      <c r="E45" s="23" t="n">
        <v>1.32</v>
      </c>
      <c r="F45" s="21" t="n"/>
      <c r="G45" s="11">
        <f>IF(C45="","",IFERROR(INDEX(Crops!$D$6:$D$65,MATCH(C45,Crops!$B$6:$B$65,0))&amp;"",""))</f>
        <v/>
      </c>
      <c r="H45" s="12">
        <f>IF(OR(C45="",NOT(ISNUMBER(E45))),"",E45*N(IFERROR(INDEX(Crops!$E$6:$E$65,MATCH(C45,Crops!$B$6:$B$65,0)),0)))</f>
        <v/>
      </c>
      <c r="I45" s="11">
        <f>IF(AND(C45="",E45=""),"",IF(NOT(ISNUMBER(B45)),"Needs a date",IF(C45="","Needs a crop",IF(COUNTIF(Crops!$B$6:$B$65,C45)=0,"Not on Crops",IF(NOT(ISNUMBER(E45)),"Needs the amount",IF(AND(D45&lt;&gt;"",COUNTIF(Beds!$B$6:$B$35,D45)=0),"Not on Beds",""))))))</f>
        <v/>
      </c>
      <c r="J45" s="1">
        <f>IF(ISNUMBER(B45),YEAR(B45),"")</f>
        <v/>
      </c>
      <c r="K45">
        <f>IF(ISNUMBER(B45),YEAR(B45)*100+MONTH(B45),"")</f>
        <v/>
      </c>
      <c r="L45">
        <f>IF(ISNUMBER(B45),INT(B45),0)</f>
        <v/>
      </c>
    </row>
    <row r="46">
      <c r="A46" s="1" t="n"/>
      <c r="B46" s="17" t="n">
        <v>45932</v>
      </c>
      <c r="C46" s="18" t="inlineStr">
        <is>
          <t>Runner beans</t>
        </is>
      </c>
      <c r="D46" s="19" t="inlineStr">
        <is>
          <t>Bed 3</t>
        </is>
      </c>
      <c r="E46" s="23" t="n">
        <v>0.7</v>
      </c>
      <c r="F46" s="21" t="n"/>
      <c r="G46" s="11">
        <f>IF(C46="","",IFERROR(INDEX(Crops!$D$6:$D$65,MATCH(C46,Crops!$B$6:$B$65,0))&amp;"",""))</f>
        <v/>
      </c>
      <c r="H46" s="12">
        <f>IF(OR(C46="",NOT(ISNUMBER(E46))),"",E46*N(IFERROR(INDEX(Crops!$E$6:$E$65,MATCH(C46,Crops!$B$6:$B$65,0)),0)))</f>
        <v/>
      </c>
      <c r="I46" s="11">
        <f>IF(AND(C46="",E46=""),"",IF(NOT(ISNUMBER(B46)),"Needs a date",IF(C46="","Needs a crop",IF(COUNTIF(Crops!$B$6:$B$65,C46)=0,"Not on Crops",IF(NOT(ISNUMBER(E46)),"Needs the amount",IF(AND(D46&lt;&gt;"",COUNTIF(Beds!$B$6:$B$35,D46)=0),"Not on Beds",""))))))</f>
        <v/>
      </c>
      <c r="J46" s="1">
        <f>IF(ISNUMBER(B46),YEAR(B46),"")</f>
        <v/>
      </c>
      <c r="K46">
        <f>IF(ISNUMBER(B46),YEAR(B46)*100+MONTH(B46),"")</f>
        <v/>
      </c>
      <c r="L46">
        <f>IF(ISNUMBER(B46),INT(B46),0)</f>
        <v/>
      </c>
    </row>
    <row r="47">
      <c r="A47" s="1" t="n"/>
      <c r="B47" s="17" t="n">
        <v>45938</v>
      </c>
      <c r="C47" s="18" t="inlineStr">
        <is>
          <t>Runner beans</t>
        </is>
      </c>
      <c r="D47" s="19" t="inlineStr">
        <is>
          <t>Bed 3</t>
        </is>
      </c>
      <c r="E47" s="23" t="n">
        <v>0.4</v>
      </c>
      <c r="F47" s="21" t="n"/>
      <c r="G47" s="11">
        <f>IF(C47="","",IFERROR(INDEX(Crops!$D$6:$D$65,MATCH(C47,Crops!$B$6:$B$65,0))&amp;"",""))</f>
        <v/>
      </c>
      <c r="H47" s="12">
        <f>IF(OR(C47="",NOT(ISNUMBER(E47))),"",E47*N(IFERROR(INDEX(Crops!$E$6:$E$65,MATCH(C47,Crops!$B$6:$B$65,0)),0)))</f>
        <v/>
      </c>
      <c r="I47" s="11">
        <f>IF(AND(C47="",E47=""),"",IF(NOT(ISNUMBER(B47)),"Needs a date",IF(C47="","Needs a crop",IF(COUNTIF(Crops!$B$6:$B$65,C47)=0,"Not on Crops",IF(NOT(ISNUMBER(E47)),"Needs the amount",IF(AND(D47&lt;&gt;"",COUNTIF(Beds!$B$6:$B$35,D47)=0),"Not on Beds",""))))))</f>
        <v/>
      </c>
      <c r="J47" s="1">
        <f>IF(ISNUMBER(B47),YEAR(B47),"")</f>
        <v/>
      </c>
      <c r="K47">
        <f>IF(ISNUMBER(B47),YEAR(B47)*100+MONTH(B47),"")</f>
        <v/>
      </c>
      <c r="L47">
        <f>IF(ISNUMBER(B47),INT(B47),0)</f>
        <v/>
      </c>
    </row>
    <row r="48">
      <c r="A48" s="1" t="n"/>
      <c r="B48" s="17" t="n">
        <v>45944</v>
      </c>
      <c r="C48" s="18" t="inlineStr">
        <is>
          <t>Carrots</t>
        </is>
      </c>
      <c r="D48" s="19" t="inlineStr">
        <is>
          <t>Bed 3</t>
        </is>
      </c>
      <c r="E48" s="23" t="n">
        <v>0.49</v>
      </c>
      <c r="F48" s="21" t="n"/>
      <c r="G48" s="11">
        <f>IF(C48="","",IFERROR(INDEX(Crops!$D$6:$D$65,MATCH(C48,Crops!$B$6:$B$65,0))&amp;"",""))</f>
        <v/>
      </c>
      <c r="H48" s="12">
        <f>IF(OR(C48="",NOT(ISNUMBER(E48))),"",E48*N(IFERROR(INDEX(Crops!$E$6:$E$65,MATCH(C48,Crops!$B$6:$B$65,0)),0)))</f>
        <v/>
      </c>
      <c r="I48" s="11">
        <f>IF(AND(C48="",E48=""),"",IF(NOT(ISNUMBER(B48)),"Needs a date",IF(C48="","Needs a crop",IF(COUNTIF(Crops!$B$6:$B$65,C48)=0,"Not on Crops",IF(NOT(ISNUMBER(E48)),"Needs the amount",IF(AND(D48&lt;&gt;"",COUNTIF(Beds!$B$6:$B$35,D48)=0),"Not on Beds",""))))))</f>
        <v/>
      </c>
      <c r="J48" s="1">
        <f>IF(ISNUMBER(B48),YEAR(B48),"")</f>
        <v/>
      </c>
      <c r="K48">
        <f>IF(ISNUMBER(B48),YEAR(B48)*100+MONTH(B48),"")</f>
        <v/>
      </c>
      <c r="L48">
        <f>IF(ISNUMBER(B48),INT(B48),0)</f>
        <v/>
      </c>
    </row>
    <row r="49">
      <c r="A49" s="1" t="n"/>
      <c r="B49" s="17" t="n">
        <v>45958</v>
      </c>
      <c r="C49" s="18" t="inlineStr">
        <is>
          <t>Carrots</t>
        </is>
      </c>
      <c r="D49" s="19" t="inlineStr">
        <is>
          <t>Bed 3</t>
        </is>
      </c>
      <c r="E49" s="23" t="n">
        <v>0.47</v>
      </c>
      <c r="F49" s="21" t="n"/>
      <c r="G49" s="11">
        <f>IF(C49="","",IFERROR(INDEX(Crops!$D$6:$D$65,MATCH(C49,Crops!$B$6:$B$65,0))&amp;"",""))</f>
        <v/>
      </c>
      <c r="H49" s="12">
        <f>IF(OR(C49="",NOT(ISNUMBER(E49))),"",E49*N(IFERROR(INDEX(Crops!$E$6:$E$65,MATCH(C49,Crops!$B$6:$B$65,0)),0)))</f>
        <v/>
      </c>
      <c r="I49" s="11">
        <f>IF(AND(C49="",E49=""),"",IF(NOT(ISNUMBER(B49)),"Needs a date",IF(C49="","Needs a crop",IF(COUNTIF(Crops!$B$6:$B$65,C49)=0,"Not on Crops",IF(NOT(ISNUMBER(E49)),"Needs the amount",IF(AND(D49&lt;&gt;"",COUNTIF(Beds!$B$6:$B$35,D49)=0),"Not on Beds",""))))))</f>
        <v/>
      </c>
      <c r="J49" s="1">
        <f>IF(ISNUMBER(B49),YEAR(B49),"")</f>
        <v/>
      </c>
      <c r="K49">
        <f>IF(ISNUMBER(B49),YEAR(B49)*100+MONTH(B49),"")</f>
        <v/>
      </c>
      <c r="L49">
        <f>IF(ISNUMBER(B49),INT(B49),0)</f>
        <v/>
      </c>
    </row>
    <row r="50">
      <c r="A50" s="1" t="n"/>
      <c r="B50" s="17" t="n">
        <v>46178</v>
      </c>
      <c r="C50" s="18" t="inlineStr">
        <is>
          <t>Lettuce</t>
        </is>
      </c>
      <c r="D50" s="19" t="inlineStr">
        <is>
          <t>Herb bed</t>
        </is>
      </c>
      <c r="E50" s="23" t="n">
        <v>1</v>
      </c>
      <c r="F50" s="21" t="n"/>
      <c r="G50" s="11">
        <f>IF(C50="","",IFERROR(INDEX(Crops!$D$6:$D$65,MATCH(C50,Crops!$B$6:$B$65,0))&amp;"",""))</f>
        <v/>
      </c>
      <c r="H50" s="12">
        <f>IF(OR(C50="",NOT(ISNUMBER(E50))),"",E50*N(IFERROR(INDEX(Crops!$E$6:$E$65,MATCH(C50,Crops!$B$6:$B$65,0)),0)))</f>
        <v/>
      </c>
      <c r="I50" s="11">
        <f>IF(AND(C50="",E50=""),"",IF(NOT(ISNUMBER(B50)),"Needs a date",IF(C50="","Needs a crop",IF(COUNTIF(Crops!$B$6:$B$65,C50)=0,"Not on Crops",IF(NOT(ISNUMBER(E50)),"Needs the amount",IF(AND(D50&lt;&gt;"",COUNTIF(Beds!$B$6:$B$35,D50)=0),"Not on Beds",""))))))</f>
        <v/>
      </c>
      <c r="J50" s="1">
        <f>IF(ISNUMBER(B50),YEAR(B50),"")</f>
        <v/>
      </c>
      <c r="K50">
        <f>IF(ISNUMBER(B50),YEAR(B50)*100+MONTH(B50),"")</f>
        <v/>
      </c>
      <c r="L50">
        <f>IF(ISNUMBER(B50),INT(B50),0)</f>
        <v/>
      </c>
    </row>
    <row r="51">
      <c r="A51" s="1" t="n"/>
      <c r="B51" s="17" t="n">
        <v>46183</v>
      </c>
      <c r="C51" s="18" t="inlineStr">
        <is>
          <t>Peas</t>
        </is>
      </c>
      <c r="D51" s="19" t="inlineStr">
        <is>
          <t>Bed 1</t>
        </is>
      </c>
      <c r="E51" s="23" t="n">
        <v>0.26</v>
      </c>
      <c r="F51" s="21" t="n"/>
      <c r="G51" s="11">
        <f>IF(C51="","",IFERROR(INDEX(Crops!$D$6:$D$65,MATCH(C51,Crops!$B$6:$B$65,0))&amp;"",""))</f>
        <v/>
      </c>
      <c r="H51" s="12">
        <f>IF(OR(C51="",NOT(ISNUMBER(E51))),"",E51*N(IFERROR(INDEX(Crops!$E$6:$E$65,MATCH(C51,Crops!$B$6:$B$65,0)),0)))</f>
        <v/>
      </c>
      <c r="I51" s="11">
        <f>IF(AND(C51="",E51=""),"",IF(NOT(ISNUMBER(B51)),"Needs a date",IF(C51="","Needs a crop",IF(COUNTIF(Crops!$B$6:$B$65,C51)=0,"Not on Crops",IF(NOT(ISNUMBER(E51)),"Needs the amount",IF(AND(D51&lt;&gt;"",COUNTIF(Beds!$B$6:$B$35,D51)=0),"Not on Beds",""))))))</f>
        <v/>
      </c>
      <c r="J51" s="1">
        <f>IF(ISNUMBER(B51),YEAR(B51),"")</f>
        <v/>
      </c>
      <c r="K51">
        <f>IF(ISNUMBER(B51),YEAR(B51)*100+MONTH(B51),"")</f>
        <v/>
      </c>
      <c r="L51">
        <f>IF(ISNUMBER(B51),INT(B51),0)</f>
        <v/>
      </c>
    </row>
    <row r="52">
      <c r="A52" s="1" t="n"/>
      <c r="B52" s="17" t="n">
        <v>46185</v>
      </c>
      <c r="C52" s="18" t="inlineStr">
        <is>
          <t>Lettuce</t>
        </is>
      </c>
      <c r="D52" s="19" t="inlineStr">
        <is>
          <t>Herb bed</t>
        </is>
      </c>
      <c r="E52" s="23" t="n">
        <v>1</v>
      </c>
      <c r="F52" s="21" t="n"/>
      <c r="G52" s="11">
        <f>IF(C52="","",IFERROR(INDEX(Crops!$D$6:$D$65,MATCH(C52,Crops!$B$6:$B$65,0))&amp;"",""))</f>
        <v/>
      </c>
      <c r="H52" s="12">
        <f>IF(OR(C52="",NOT(ISNUMBER(E52))),"",E52*N(IFERROR(INDEX(Crops!$E$6:$E$65,MATCH(C52,Crops!$B$6:$B$65,0)),0)))</f>
        <v/>
      </c>
      <c r="I52" s="11">
        <f>IF(AND(C52="",E52=""),"",IF(NOT(ISNUMBER(B52)),"Needs a date",IF(C52="","Needs a crop",IF(COUNTIF(Crops!$B$6:$B$65,C52)=0,"Not on Crops",IF(NOT(ISNUMBER(E52)),"Needs the amount",IF(AND(D52&lt;&gt;"",COUNTIF(Beds!$B$6:$B$35,D52)=0),"Not on Beds",""))))))</f>
        <v/>
      </c>
      <c r="J52" s="1">
        <f>IF(ISNUMBER(B52),YEAR(B52),"")</f>
        <v/>
      </c>
      <c r="K52">
        <f>IF(ISNUMBER(B52),YEAR(B52)*100+MONTH(B52),"")</f>
        <v/>
      </c>
      <c r="L52">
        <f>IF(ISNUMBER(B52),INT(B52),0)</f>
        <v/>
      </c>
    </row>
    <row r="53">
      <c r="A53" s="1" t="n"/>
      <c r="B53" s="17" t="n">
        <v>46187</v>
      </c>
      <c r="C53" s="18" t="inlineStr">
        <is>
          <t>Peas</t>
        </is>
      </c>
      <c r="D53" s="19" t="inlineStr">
        <is>
          <t>Bed 1</t>
        </is>
      </c>
      <c r="E53" s="23" t="n">
        <v>0.5600000000000001</v>
      </c>
      <c r="F53" s="21" t="n"/>
      <c r="G53" s="11">
        <f>IF(C53="","",IFERROR(INDEX(Crops!$D$6:$D$65,MATCH(C53,Crops!$B$6:$B$65,0))&amp;"",""))</f>
        <v/>
      </c>
      <c r="H53" s="12">
        <f>IF(OR(C53="",NOT(ISNUMBER(E53))),"",E53*N(IFERROR(INDEX(Crops!$E$6:$E$65,MATCH(C53,Crops!$B$6:$B$65,0)),0)))</f>
        <v/>
      </c>
      <c r="I53" s="11">
        <f>IF(AND(C53="",E53=""),"",IF(NOT(ISNUMBER(B53)),"Needs a date",IF(C53="","Needs a crop",IF(COUNTIF(Crops!$B$6:$B$65,C53)=0,"Not on Crops",IF(NOT(ISNUMBER(E53)),"Needs the amount",IF(AND(D53&lt;&gt;"",COUNTIF(Beds!$B$6:$B$35,D53)=0),"Not on Beds",""))))))</f>
        <v/>
      </c>
      <c r="J53" s="1">
        <f>IF(ISNUMBER(B53),YEAR(B53),"")</f>
        <v/>
      </c>
      <c r="K53">
        <f>IF(ISNUMBER(B53),YEAR(B53)*100+MONTH(B53),"")</f>
        <v/>
      </c>
      <c r="L53">
        <f>IF(ISNUMBER(B53),INT(B53),0)</f>
        <v/>
      </c>
    </row>
    <row r="54">
      <c r="A54" s="1" t="n"/>
      <c r="B54" s="17" t="n">
        <v>46191</v>
      </c>
      <c r="C54" s="18" t="inlineStr">
        <is>
          <t>Peas</t>
        </is>
      </c>
      <c r="D54" s="19" t="inlineStr">
        <is>
          <t>Bed 1</t>
        </is>
      </c>
      <c r="E54" s="23" t="n">
        <v>0.25</v>
      </c>
      <c r="F54" s="21" t="n"/>
      <c r="G54" s="11">
        <f>IF(C54="","",IFERROR(INDEX(Crops!$D$6:$D$65,MATCH(C54,Crops!$B$6:$B$65,0))&amp;"",""))</f>
        <v/>
      </c>
      <c r="H54" s="12">
        <f>IF(OR(C54="",NOT(ISNUMBER(E54))),"",E54*N(IFERROR(INDEX(Crops!$E$6:$E$65,MATCH(C54,Crops!$B$6:$B$65,0)),0)))</f>
        <v/>
      </c>
      <c r="I54" s="11">
        <f>IF(AND(C54="",E54=""),"",IF(NOT(ISNUMBER(B54)),"Needs a date",IF(C54="","Needs a crop",IF(COUNTIF(Crops!$B$6:$B$65,C54)=0,"Not on Crops",IF(NOT(ISNUMBER(E54)),"Needs the amount",IF(AND(D54&lt;&gt;"",COUNTIF(Beds!$B$6:$B$35,D54)=0),"Not on Beds",""))))))</f>
        <v/>
      </c>
      <c r="J54" s="1">
        <f>IF(ISNUMBER(B54),YEAR(B54),"")</f>
        <v/>
      </c>
      <c r="K54">
        <f>IF(ISNUMBER(B54),YEAR(B54)*100+MONTH(B54),"")</f>
        <v/>
      </c>
      <c r="L54">
        <f>IF(ISNUMBER(B54),INT(B54),0)</f>
        <v/>
      </c>
    </row>
    <row r="55">
      <c r="A55" s="1" t="n"/>
      <c r="B55" s="17" t="n">
        <v>46192</v>
      </c>
      <c r="C55" s="18" t="inlineStr">
        <is>
          <t>Lettuce</t>
        </is>
      </c>
      <c r="D55" s="19" t="inlineStr">
        <is>
          <t>Herb bed</t>
        </is>
      </c>
      <c r="E55" s="23" t="n">
        <v>2</v>
      </c>
      <c r="F55" s="21" t="n"/>
      <c r="G55" s="11">
        <f>IF(C55="","",IFERROR(INDEX(Crops!$D$6:$D$65,MATCH(C55,Crops!$B$6:$B$65,0))&amp;"",""))</f>
        <v/>
      </c>
      <c r="H55" s="12">
        <f>IF(OR(C55="",NOT(ISNUMBER(E55))),"",E55*N(IFERROR(INDEX(Crops!$E$6:$E$65,MATCH(C55,Crops!$B$6:$B$65,0)),0)))</f>
        <v/>
      </c>
      <c r="I55" s="11">
        <f>IF(AND(C55="",E55=""),"",IF(NOT(ISNUMBER(B55)),"Needs a date",IF(C55="","Needs a crop",IF(COUNTIF(Crops!$B$6:$B$65,C55)=0,"Not on Crops",IF(NOT(ISNUMBER(E55)),"Needs the amount",IF(AND(D55&lt;&gt;"",COUNTIF(Beds!$B$6:$B$35,D55)=0),"Not on Beds",""))))))</f>
        <v/>
      </c>
      <c r="J55" s="1">
        <f>IF(ISNUMBER(B55),YEAR(B55),"")</f>
        <v/>
      </c>
      <c r="K55">
        <f>IF(ISNUMBER(B55),YEAR(B55)*100+MONTH(B55),"")</f>
        <v/>
      </c>
      <c r="L55">
        <f>IF(ISNUMBER(B55),INT(B55),0)</f>
        <v/>
      </c>
    </row>
    <row r="56">
      <c r="A56" s="1" t="n"/>
      <c r="B56" s="17" t="n">
        <v>46195</v>
      </c>
      <c r="C56" s="18" t="inlineStr">
        <is>
          <t>Peas</t>
        </is>
      </c>
      <c r="D56" s="19" t="inlineStr">
        <is>
          <t>Bed 1</t>
        </is>
      </c>
      <c r="E56" s="23" t="n">
        <v>0.6</v>
      </c>
      <c r="F56" s="21" t="n"/>
      <c r="G56" s="11">
        <f>IF(C56="","",IFERROR(INDEX(Crops!$D$6:$D$65,MATCH(C56,Crops!$B$6:$B$65,0))&amp;"",""))</f>
        <v/>
      </c>
      <c r="H56" s="12">
        <f>IF(OR(C56="",NOT(ISNUMBER(E56))),"",E56*N(IFERROR(INDEX(Crops!$E$6:$E$65,MATCH(C56,Crops!$B$6:$B$65,0)),0)))</f>
        <v/>
      </c>
      <c r="I56" s="11">
        <f>IF(AND(C56="",E56=""),"",IF(NOT(ISNUMBER(B56)),"Needs a date",IF(C56="","Needs a crop",IF(COUNTIF(Crops!$B$6:$B$65,C56)=0,"Not on Crops",IF(NOT(ISNUMBER(E56)),"Needs the amount",IF(AND(D56&lt;&gt;"",COUNTIF(Beds!$B$6:$B$35,D56)=0),"Not on Beds",""))))))</f>
        <v/>
      </c>
      <c r="J56" s="1">
        <f>IF(ISNUMBER(B56),YEAR(B56),"")</f>
        <v/>
      </c>
      <c r="K56">
        <f>IF(ISNUMBER(B56),YEAR(B56)*100+MONTH(B56),"")</f>
        <v/>
      </c>
      <c r="L56">
        <f>IF(ISNUMBER(B56),INT(B56),0)</f>
        <v/>
      </c>
    </row>
    <row r="57">
      <c r="A57" s="1" t="n"/>
      <c r="B57" s="17" t="n">
        <v>46197</v>
      </c>
      <c r="C57" s="18" t="inlineStr">
        <is>
          <t>Lettuce</t>
        </is>
      </c>
      <c r="D57" s="19" t="inlineStr">
        <is>
          <t>Herb bed</t>
        </is>
      </c>
      <c r="E57" s="23" t="n">
        <v>3</v>
      </c>
      <c r="F57" s="21" t="n"/>
      <c r="G57" s="11">
        <f>IF(C57="","",IFERROR(INDEX(Crops!$D$6:$D$65,MATCH(C57,Crops!$B$6:$B$65,0))&amp;"",""))</f>
        <v/>
      </c>
      <c r="H57" s="12">
        <f>IF(OR(C57="",NOT(ISNUMBER(E57))),"",E57*N(IFERROR(INDEX(Crops!$E$6:$E$65,MATCH(C57,Crops!$B$6:$B$65,0)),0)))</f>
        <v/>
      </c>
      <c r="I57" s="11">
        <f>IF(AND(C57="",E57=""),"",IF(NOT(ISNUMBER(B57)),"Needs a date",IF(C57="","Needs a crop",IF(COUNTIF(Crops!$B$6:$B$65,C57)=0,"Not on Crops",IF(NOT(ISNUMBER(E57)),"Needs the amount",IF(AND(D57&lt;&gt;"",COUNTIF(Beds!$B$6:$B$35,D57)=0),"Not on Beds",""))))))</f>
        <v/>
      </c>
      <c r="J57" s="1">
        <f>IF(ISNUMBER(B57),YEAR(B57),"")</f>
        <v/>
      </c>
      <c r="K57">
        <f>IF(ISNUMBER(B57),YEAR(B57)*100+MONTH(B57),"")</f>
        <v/>
      </c>
      <c r="L57">
        <f>IF(ISNUMBER(B57),INT(B57),0)</f>
        <v/>
      </c>
    </row>
    <row r="58">
      <c r="A58" s="1" t="n"/>
      <c r="B58" s="17" t="n">
        <v>46198</v>
      </c>
      <c r="C58" s="18" t="inlineStr">
        <is>
          <t>Basil</t>
        </is>
      </c>
      <c r="D58" s="19" t="inlineStr">
        <is>
          <t>Patio pots</t>
        </is>
      </c>
      <c r="E58" s="23" t="n">
        <v>2</v>
      </c>
      <c r="F58" s="21" t="n"/>
      <c r="G58" s="11">
        <f>IF(C58="","",IFERROR(INDEX(Crops!$D$6:$D$65,MATCH(C58,Crops!$B$6:$B$65,0))&amp;"",""))</f>
        <v/>
      </c>
      <c r="H58" s="12">
        <f>IF(OR(C58="",NOT(ISNUMBER(E58))),"",E58*N(IFERROR(INDEX(Crops!$E$6:$E$65,MATCH(C58,Crops!$B$6:$B$65,0)),0)))</f>
        <v/>
      </c>
      <c r="I58" s="11">
        <f>IF(AND(C58="",E58=""),"",IF(NOT(ISNUMBER(B58)),"Needs a date",IF(C58="","Needs a crop",IF(COUNTIF(Crops!$B$6:$B$65,C58)=0,"Not on Crops",IF(NOT(ISNUMBER(E58)),"Needs the amount",IF(AND(D58&lt;&gt;"",COUNTIF(Beds!$B$6:$B$35,D58)=0),"Not on Beds",""))))))</f>
        <v/>
      </c>
      <c r="J58" s="1">
        <f>IF(ISNUMBER(B58),YEAR(B58),"")</f>
        <v/>
      </c>
      <c r="K58">
        <f>IF(ISNUMBER(B58),YEAR(B58)*100+MONTH(B58),"")</f>
        <v/>
      </c>
      <c r="L58">
        <f>IF(ISNUMBER(B58),INT(B58),0)</f>
        <v/>
      </c>
    </row>
    <row r="59">
      <c r="A59" s="1" t="n"/>
      <c r="B59" s="17" t="n">
        <v>46200</v>
      </c>
      <c r="C59" s="18" t="inlineStr">
        <is>
          <t>Peas</t>
        </is>
      </c>
      <c r="D59" s="19" t="inlineStr">
        <is>
          <t>Bed 1</t>
        </is>
      </c>
      <c r="E59" s="23" t="n">
        <v>0.25</v>
      </c>
      <c r="F59" s="21" t="n"/>
      <c r="G59" s="11">
        <f>IF(C59="","",IFERROR(INDEX(Crops!$D$6:$D$65,MATCH(C59,Crops!$B$6:$B$65,0))&amp;"",""))</f>
        <v/>
      </c>
      <c r="H59" s="12">
        <f>IF(OR(C59="",NOT(ISNUMBER(E59))),"",E59*N(IFERROR(INDEX(Crops!$E$6:$E$65,MATCH(C59,Crops!$B$6:$B$65,0)),0)))</f>
        <v/>
      </c>
      <c r="I59" s="11">
        <f>IF(AND(C59="",E59=""),"",IF(NOT(ISNUMBER(B59)),"Needs a date",IF(C59="","Needs a crop",IF(COUNTIF(Crops!$B$6:$B$65,C59)=0,"Not on Crops",IF(NOT(ISNUMBER(E59)),"Needs the amount",IF(AND(D59&lt;&gt;"",COUNTIF(Beds!$B$6:$B$35,D59)=0),"Not on Beds",""))))))</f>
        <v/>
      </c>
      <c r="J59" s="1">
        <f>IF(ISNUMBER(B59),YEAR(B59),"")</f>
        <v/>
      </c>
      <c r="K59">
        <f>IF(ISNUMBER(B59),YEAR(B59)*100+MONTH(B59),"")</f>
        <v/>
      </c>
      <c r="L59">
        <f>IF(ISNUMBER(B59),INT(B59),0)</f>
        <v/>
      </c>
    </row>
    <row r="60">
      <c r="A60" s="1" t="n"/>
      <c r="B60" s="17" t="n">
        <v>46201</v>
      </c>
      <c r="C60" s="18" t="inlineStr">
        <is>
          <t>Strawberries</t>
        </is>
      </c>
      <c r="D60" s="19" t="inlineStr">
        <is>
          <t>Patio pots</t>
        </is>
      </c>
      <c r="E60" s="23" t="n">
        <v>1.4</v>
      </c>
      <c r="F60" s="21" t="inlineStr">
        <is>
          <t>The first big pick</t>
        </is>
      </c>
      <c r="G60" s="11">
        <f>IF(C60="","",IFERROR(INDEX(Crops!$D$6:$D$65,MATCH(C60,Crops!$B$6:$B$65,0))&amp;"",""))</f>
        <v/>
      </c>
      <c r="H60" s="12">
        <f>IF(OR(C60="",NOT(ISNUMBER(E60))),"",E60*N(IFERROR(INDEX(Crops!$E$6:$E$65,MATCH(C60,Crops!$B$6:$B$65,0)),0)))</f>
        <v/>
      </c>
      <c r="I60" s="11">
        <f>IF(AND(C60="",E60=""),"",IF(NOT(ISNUMBER(B60)),"Needs a date",IF(C60="","Needs a crop",IF(COUNTIF(Crops!$B$6:$B$65,C60)=0,"Not on Crops",IF(NOT(ISNUMBER(E60)),"Needs the amount",IF(AND(D60&lt;&gt;"",COUNTIF(Beds!$B$6:$B$35,D60)=0),"Not on Beds",""))))))</f>
        <v/>
      </c>
      <c r="J60" s="1">
        <f>IF(ISNUMBER(B60),YEAR(B60),"")</f>
        <v/>
      </c>
      <c r="K60">
        <f>IF(ISNUMBER(B60),YEAR(B60)*100+MONTH(B60),"")</f>
        <v/>
      </c>
      <c r="L60">
        <f>IF(ISNUMBER(B60),INT(B60),0)</f>
        <v/>
      </c>
    </row>
    <row r="61">
      <c r="A61" s="1" t="n"/>
      <c r="B61" s="17" t="n">
        <v>46204</v>
      </c>
      <c r="C61" s="18" t="inlineStr">
        <is>
          <t>Garlic</t>
        </is>
      </c>
      <c r="D61" s="19" t="inlineStr">
        <is>
          <t>Bed 3</t>
        </is>
      </c>
      <c r="E61" s="23" t="n">
        <v>23</v>
      </c>
      <c r="F61" s="21" t="n"/>
      <c r="G61" s="11">
        <f>IF(C61="","",IFERROR(INDEX(Crops!$D$6:$D$65,MATCH(C61,Crops!$B$6:$B$65,0))&amp;"",""))</f>
        <v/>
      </c>
      <c r="H61" s="12">
        <f>IF(OR(C61="",NOT(ISNUMBER(E61))),"",E61*N(IFERROR(INDEX(Crops!$E$6:$E$65,MATCH(C61,Crops!$B$6:$B$65,0)),0)))</f>
        <v/>
      </c>
      <c r="I61" s="11">
        <f>IF(AND(C61="",E61=""),"",IF(NOT(ISNUMBER(B61)),"Needs a date",IF(C61="","Needs a crop",IF(COUNTIF(Crops!$B$6:$B$65,C61)=0,"Not on Crops",IF(NOT(ISNUMBER(E61)),"Needs the amount",IF(AND(D61&lt;&gt;"",COUNTIF(Beds!$B$6:$B$35,D61)=0),"Not on Beds",""))))))</f>
        <v/>
      </c>
      <c r="J61" s="1">
        <f>IF(ISNUMBER(B61),YEAR(B61),"")</f>
        <v/>
      </c>
      <c r="K61">
        <f>IF(ISNUMBER(B61),YEAR(B61)*100+MONTH(B61),"")</f>
        <v/>
      </c>
      <c r="L61">
        <f>IF(ISNUMBER(B61),INT(B61),0)</f>
        <v/>
      </c>
    </row>
    <row r="62">
      <c r="A62" s="1" t="n"/>
      <c r="B62" s="17" t="n">
        <v>46204</v>
      </c>
      <c r="C62" s="18" t="inlineStr">
        <is>
          <t>Lettuce</t>
        </is>
      </c>
      <c r="D62" s="19" t="inlineStr">
        <is>
          <t>Herb bed</t>
        </is>
      </c>
      <c r="E62" s="23" t="n">
        <v>2</v>
      </c>
      <c r="F62" s="21" t="n"/>
      <c r="G62" s="11">
        <f>IF(C62="","",IFERROR(INDEX(Crops!$D$6:$D$65,MATCH(C62,Crops!$B$6:$B$65,0))&amp;"",""))</f>
        <v/>
      </c>
      <c r="H62" s="12">
        <f>IF(OR(C62="",NOT(ISNUMBER(E62))),"",E62*N(IFERROR(INDEX(Crops!$E$6:$E$65,MATCH(C62,Crops!$B$6:$B$65,0)),0)))</f>
        <v/>
      </c>
      <c r="I62" s="11">
        <f>IF(AND(C62="",E62=""),"",IF(NOT(ISNUMBER(B62)),"Needs a date",IF(C62="","Needs a crop",IF(COUNTIF(Crops!$B$6:$B$65,C62)=0,"Not on Crops",IF(NOT(ISNUMBER(E62)),"Needs the amount",IF(AND(D62&lt;&gt;"",COUNTIF(Beds!$B$6:$B$35,D62)=0),"Not on Beds",""))))))</f>
        <v/>
      </c>
      <c r="J62" s="1">
        <f>IF(ISNUMBER(B62),YEAR(B62),"")</f>
        <v/>
      </c>
      <c r="K62">
        <f>IF(ISNUMBER(B62),YEAR(B62)*100+MONTH(B62),"")</f>
        <v/>
      </c>
      <c r="L62">
        <f>IF(ISNUMBER(B62),INT(B62),0)</f>
        <v/>
      </c>
    </row>
    <row r="63">
      <c r="A63" s="1" t="n"/>
      <c r="B63" s="17" t="n">
        <v>46206</v>
      </c>
      <c r="C63" s="18" t="inlineStr">
        <is>
          <t>Peas</t>
        </is>
      </c>
      <c r="D63" s="19" t="inlineStr">
        <is>
          <t>Bed 1</t>
        </is>
      </c>
      <c r="E63" s="23" t="n">
        <v>0.4</v>
      </c>
      <c r="F63" s="21" t="n"/>
      <c r="G63" s="11">
        <f>IF(C63="","",IFERROR(INDEX(Crops!$D$6:$D$65,MATCH(C63,Crops!$B$6:$B$65,0))&amp;"",""))</f>
        <v/>
      </c>
      <c r="H63" s="12">
        <f>IF(OR(C63="",NOT(ISNUMBER(E63))),"",E63*N(IFERROR(INDEX(Crops!$E$6:$E$65,MATCH(C63,Crops!$B$6:$B$65,0)),0)))</f>
        <v/>
      </c>
      <c r="I63" s="11">
        <f>IF(AND(C63="",E63=""),"",IF(NOT(ISNUMBER(B63)),"Needs a date",IF(C63="","Needs a crop",IF(COUNTIF(Crops!$B$6:$B$65,C63)=0,"Not on Crops",IF(NOT(ISNUMBER(E63)),"Needs the amount",IF(AND(D63&lt;&gt;"",COUNTIF(Beds!$B$6:$B$35,D63)=0),"Not on Beds",""))))))</f>
        <v/>
      </c>
      <c r="J63" s="1">
        <f>IF(ISNUMBER(B63),YEAR(B63),"")</f>
        <v/>
      </c>
      <c r="K63">
        <f>IF(ISNUMBER(B63),YEAR(B63)*100+MONTH(B63),"")</f>
        <v/>
      </c>
      <c r="L63">
        <f>IF(ISNUMBER(B63),INT(B63),0)</f>
        <v/>
      </c>
    </row>
    <row r="64">
      <c r="A64" s="1" t="n"/>
      <c r="B64" s="17" t="n">
        <v>46206</v>
      </c>
      <c r="C64" s="18" t="inlineStr">
        <is>
          <t>Basil</t>
        </is>
      </c>
      <c r="D64" s="19" t="inlineStr">
        <is>
          <t>Patio pots</t>
        </is>
      </c>
      <c r="E64" s="23" t="n">
        <v>2</v>
      </c>
      <c r="F64" s="21" t="n"/>
      <c r="G64" s="11">
        <f>IF(C64="","",IFERROR(INDEX(Crops!$D$6:$D$65,MATCH(C64,Crops!$B$6:$B$65,0))&amp;"",""))</f>
        <v/>
      </c>
      <c r="H64" s="12">
        <f>IF(OR(C64="",NOT(ISNUMBER(E64))),"",E64*N(IFERROR(INDEX(Crops!$E$6:$E$65,MATCH(C64,Crops!$B$6:$B$65,0)),0)))</f>
        <v/>
      </c>
      <c r="I64" s="11">
        <f>IF(AND(C64="",E64=""),"",IF(NOT(ISNUMBER(B64)),"Needs a date",IF(C64="","Needs a crop",IF(COUNTIF(Crops!$B$6:$B$65,C64)=0,"Not on Crops",IF(NOT(ISNUMBER(E64)),"Needs the amount",IF(AND(D64&lt;&gt;"",COUNTIF(Beds!$B$6:$B$35,D64)=0),"Not on Beds",""))))))</f>
        <v/>
      </c>
      <c r="J64" s="1">
        <f>IF(ISNUMBER(B64),YEAR(B64),"")</f>
        <v/>
      </c>
      <c r="K64">
        <f>IF(ISNUMBER(B64),YEAR(B64)*100+MONTH(B64),"")</f>
        <v/>
      </c>
      <c r="L64">
        <f>IF(ISNUMBER(B64),INT(B64),0)</f>
        <v/>
      </c>
    </row>
    <row r="65">
      <c r="A65" s="1" t="n"/>
      <c r="B65" s="17" t="n">
        <v>46208</v>
      </c>
      <c r="C65" s="18" t="inlineStr">
        <is>
          <t>Garlic</t>
        </is>
      </c>
      <c r="D65" s="19" t="inlineStr">
        <is>
          <t>Bed 3</t>
        </is>
      </c>
      <c r="E65" s="23" t="n">
        <v>24</v>
      </c>
      <c r="F65" s="21" t="n"/>
      <c r="G65" s="11">
        <f>IF(C65="","",IFERROR(INDEX(Crops!$D$6:$D$65,MATCH(C65,Crops!$B$6:$B$65,0))&amp;"",""))</f>
        <v/>
      </c>
      <c r="H65" s="12">
        <f>IF(OR(C65="",NOT(ISNUMBER(E65))),"",E65*N(IFERROR(INDEX(Crops!$E$6:$E$65,MATCH(C65,Crops!$B$6:$B$65,0)),0)))</f>
        <v/>
      </c>
      <c r="I65" s="11">
        <f>IF(AND(C65="",E65=""),"",IF(NOT(ISNUMBER(B65)),"Needs a date",IF(C65="","Needs a crop",IF(COUNTIF(Crops!$B$6:$B$65,C65)=0,"Not on Crops",IF(NOT(ISNUMBER(E65)),"Needs the amount",IF(AND(D65&lt;&gt;"",COUNTIF(Beds!$B$6:$B$35,D65)=0),"Not on Beds",""))))))</f>
        <v/>
      </c>
      <c r="J65" s="1">
        <f>IF(ISNUMBER(B65),YEAR(B65),"")</f>
        <v/>
      </c>
      <c r="K65">
        <f>IF(ISNUMBER(B65),YEAR(B65)*100+MONTH(B65),"")</f>
        <v/>
      </c>
      <c r="L65">
        <f>IF(ISNUMBER(B65),INT(B65),0)</f>
        <v/>
      </c>
    </row>
    <row r="66">
      <c r="A66" s="1" t="n"/>
      <c r="B66" s="17" t="n">
        <v>46210</v>
      </c>
      <c r="C66" s="18" t="inlineStr">
        <is>
          <t>Lettuce</t>
        </is>
      </c>
      <c r="D66" s="19" t="inlineStr">
        <is>
          <t>Herb bed</t>
        </is>
      </c>
      <c r="E66" s="23" t="n">
        <v>3</v>
      </c>
      <c r="F66" s="21" t="n"/>
      <c r="G66" s="11">
        <f>IF(C66="","",IFERROR(INDEX(Crops!$D$6:$D$65,MATCH(C66,Crops!$B$6:$B$65,0))&amp;"",""))</f>
        <v/>
      </c>
      <c r="H66" s="12">
        <f>IF(OR(C66="",NOT(ISNUMBER(E66))),"",E66*N(IFERROR(INDEX(Crops!$E$6:$E$65,MATCH(C66,Crops!$B$6:$B$65,0)),0)))</f>
        <v/>
      </c>
      <c r="I66" s="11">
        <f>IF(AND(C66="",E66=""),"",IF(NOT(ISNUMBER(B66)),"Needs a date",IF(C66="","Needs a crop",IF(COUNTIF(Crops!$B$6:$B$65,C66)=0,"Not on Crops",IF(NOT(ISNUMBER(E66)),"Needs the amount",IF(AND(D66&lt;&gt;"",COUNTIF(Beds!$B$6:$B$35,D66)=0),"Not on Beds",""))))))</f>
        <v/>
      </c>
      <c r="J66" s="1">
        <f>IF(ISNUMBER(B66),YEAR(B66),"")</f>
        <v/>
      </c>
      <c r="K66">
        <f>IF(ISNUMBER(B66),YEAR(B66)*100+MONTH(B66),"")</f>
        <v/>
      </c>
      <c r="L66">
        <f>IF(ISNUMBER(B66),INT(B66),0)</f>
        <v/>
      </c>
    </row>
    <row r="67">
      <c r="A67" s="1" t="n"/>
      <c r="B67" s="17" t="n">
        <v>46211</v>
      </c>
      <c r="C67" s="18" t="inlineStr">
        <is>
          <t>Zucchini</t>
        </is>
      </c>
      <c r="D67" s="19" t="inlineStr">
        <is>
          <t>Bed 3</t>
        </is>
      </c>
      <c r="E67" s="23" t="n">
        <v>0.51</v>
      </c>
      <c r="F67" s="21" t="n"/>
      <c r="G67" s="11">
        <f>IF(C67="","",IFERROR(INDEX(Crops!$D$6:$D$65,MATCH(C67,Crops!$B$6:$B$65,0))&amp;"",""))</f>
        <v/>
      </c>
      <c r="H67" s="12">
        <f>IF(OR(C67="",NOT(ISNUMBER(E67))),"",E67*N(IFERROR(INDEX(Crops!$E$6:$E$65,MATCH(C67,Crops!$B$6:$B$65,0)),0)))</f>
        <v/>
      </c>
      <c r="I67" s="11">
        <f>IF(AND(C67="",E67=""),"",IF(NOT(ISNUMBER(B67)),"Needs a date",IF(C67="","Needs a crop",IF(COUNTIF(Crops!$B$6:$B$65,C67)=0,"Not on Crops",IF(NOT(ISNUMBER(E67)),"Needs the amount",IF(AND(D67&lt;&gt;"",COUNTIF(Beds!$B$6:$B$35,D67)=0),"Not on Beds",""))))))</f>
        <v/>
      </c>
      <c r="J67" s="1">
        <f>IF(ISNUMBER(B67),YEAR(B67),"")</f>
        <v/>
      </c>
      <c r="K67">
        <f>IF(ISNUMBER(B67),YEAR(B67)*100+MONTH(B67),"")</f>
        <v/>
      </c>
      <c r="L67">
        <f>IF(ISNUMBER(B67),INT(B67),0)</f>
        <v/>
      </c>
    </row>
    <row r="68">
      <c r="A68" s="1" t="n"/>
      <c r="B68" s="17" t="n">
        <v>46212</v>
      </c>
      <c r="C68" s="18" t="inlineStr">
        <is>
          <t>Peas</t>
        </is>
      </c>
      <c r="D68" s="19" t="inlineStr">
        <is>
          <t>Bed 1</t>
        </is>
      </c>
      <c r="E68" s="23" t="n">
        <v>0.38</v>
      </c>
      <c r="F68" s="21" t="n"/>
      <c r="G68" s="11">
        <f>IF(C68="","",IFERROR(INDEX(Crops!$D$6:$D$65,MATCH(C68,Crops!$B$6:$B$65,0))&amp;"",""))</f>
        <v/>
      </c>
      <c r="H68" s="12">
        <f>IF(OR(C68="",NOT(ISNUMBER(E68))),"",E68*N(IFERROR(INDEX(Crops!$E$6:$E$65,MATCH(C68,Crops!$B$6:$B$65,0)),0)))</f>
        <v/>
      </c>
      <c r="I68" s="11">
        <f>IF(AND(C68="",E68=""),"",IF(NOT(ISNUMBER(B68)),"Needs a date",IF(C68="","Needs a crop",IF(COUNTIF(Crops!$B$6:$B$65,C68)=0,"Not on Crops",IF(NOT(ISNUMBER(E68)),"Needs the amount",IF(AND(D68&lt;&gt;"",COUNTIF(Beds!$B$6:$B$35,D68)=0),"Not on Beds",""))))))</f>
        <v/>
      </c>
      <c r="J68" s="1">
        <f>IF(ISNUMBER(B68),YEAR(B68),"")</f>
        <v/>
      </c>
      <c r="K68">
        <f>IF(ISNUMBER(B68),YEAR(B68)*100+MONTH(B68),"")</f>
        <v/>
      </c>
      <c r="L68">
        <f>IF(ISNUMBER(B68),INT(B68),0)</f>
        <v/>
      </c>
    </row>
    <row r="69">
      <c r="A69" s="1" t="n"/>
      <c r="B69" s="17" t="n">
        <v>46215</v>
      </c>
      <c r="C69" s="18" t="inlineStr">
        <is>
          <t>Tomatoes</t>
        </is>
      </c>
      <c r="D69" s="19" t="inlineStr">
        <is>
          <t>Greenhouse</t>
        </is>
      </c>
      <c r="E69" s="23" t="n">
        <v>1.9</v>
      </c>
      <c r="F69" s="21" t="n"/>
      <c r="G69" s="11">
        <f>IF(C69="","",IFERROR(INDEX(Crops!$D$6:$D$65,MATCH(C69,Crops!$B$6:$B$65,0))&amp;"",""))</f>
        <v/>
      </c>
      <c r="H69" s="12">
        <f>IF(OR(C69="",NOT(ISNUMBER(E69))),"",E69*N(IFERROR(INDEX(Crops!$E$6:$E$65,MATCH(C69,Crops!$B$6:$B$65,0)),0)))</f>
        <v/>
      </c>
      <c r="I69" s="11">
        <f>IF(AND(C69="",E69=""),"",IF(NOT(ISNUMBER(B69)),"Needs a date",IF(C69="","Needs a crop",IF(COUNTIF(Crops!$B$6:$B$65,C69)=0,"Not on Crops",IF(NOT(ISNUMBER(E69)),"Needs the amount",IF(AND(D69&lt;&gt;"",COUNTIF(Beds!$B$6:$B$35,D69)=0),"Not on Beds",""))))))</f>
        <v/>
      </c>
      <c r="J69" s="1">
        <f>IF(ISNUMBER(B69),YEAR(B69),"")</f>
        <v/>
      </c>
      <c r="K69">
        <f>IF(ISNUMBER(B69),YEAR(B69)*100+MONTH(B69),"")</f>
        <v/>
      </c>
      <c r="L69">
        <f>IF(ISNUMBER(B69),INT(B69),0)</f>
        <v/>
      </c>
    </row>
    <row r="70">
      <c r="A70" s="1" t="n"/>
      <c r="B70" s="17" t="n">
        <v>46215</v>
      </c>
      <c r="C70" s="18" t="inlineStr">
        <is>
          <t>Zucchini</t>
        </is>
      </c>
      <c r="D70" s="19" t="inlineStr">
        <is>
          <t>Bed 3</t>
        </is>
      </c>
      <c r="E70" s="23" t="n">
        <v>1.24</v>
      </c>
      <c r="F70" s="21" t="n"/>
      <c r="G70" s="11">
        <f>IF(C70="","",IFERROR(INDEX(Crops!$D$6:$D$65,MATCH(C70,Crops!$B$6:$B$65,0))&amp;"",""))</f>
        <v/>
      </c>
      <c r="H70" s="12">
        <f>IF(OR(C70="",NOT(ISNUMBER(E70))),"",E70*N(IFERROR(INDEX(Crops!$E$6:$E$65,MATCH(C70,Crops!$B$6:$B$65,0)),0)))</f>
        <v/>
      </c>
      <c r="I70" s="11">
        <f>IF(AND(C70="",E70=""),"",IF(NOT(ISNUMBER(B70)),"Needs a date",IF(C70="","Needs a crop",IF(COUNTIF(Crops!$B$6:$B$65,C70)=0,"Not on Crops",IF(NOT(ISNUMBER(E70)),"Needs the amount",IF(AND(D70&lt;&gt;"",COUNTIF(Beds!$B$6:$B$35,D70)=0),"Not on Beds",""))))))</f>
        <v/>
      </c>
      <c r="J70" s="1">
        <f>IF(ISNUMBER(B70),YEAR(B70),"")</f>
        <v/>
      </c>
      <c r="K70">
        <f>IF(ISNUMBER(B70),YEAR(B70)*100+MONTH(B70),"")</f>
        <v/>
      </c>
      <c r="L70">
        <f>IF(ISNUMBER(B70),INT(B70),0)</f>
        <v/>
      </c>
    </row>
    <row r="71">
      <c r="A71" s="1" t="n"/>
      <c r="B71" s="17" t="n">
        <v>46216</v>
      </c>
      <c r="C71" s="18" t="inlineStr">
        <is>
          <t>Basil</t>
        </is>
      </c>
      <c r="D71" s="19" t="inlineStr">
        <is>
          <t>Patio pots</t>
        </is>
      </c>
      <c r="E71" s="23" t="n">
        <v>2</v>
      </c>
      <c r="F71" s="21" t="n"/>
      <c r="G71" s="11">
        <f>IF(C71="","",IFERROR(INDEX(Crops!$D$6:$D$65,MATCH(C71,Crops!$B$6:$B$65,0))&amp;"",""))</f>
        <v/>
      </c>
      <c r="H71" s="12">
        <f>IF(OR(C71="",NOT(ISNUMBER(E71))),"",E71*N(IFERROR(INDEX(Crops!$E$6:$E$65,MATCH(C71,Crops!$B$6:$B$65,0)),0)))</f>
        <v/>
      </c>
      <c r="I71" s="11">
        <f>IF(AND(C71="",E71=""),"",IF(NOT(ISNUMBER(B71)),"Needs a date",IF(C71="","Needs a crop",IF(COUNTIF(Crops!$B$6:$B$65,C71)=0,"Not on Crops",IF(NOT(ISNUMBER(E71)),"Needs the amount",IF(AND(D71&lt;&gt;"",COUNTIF(Beds!$B$6:$B$35,D71)=0),"Not on Beds",""))))))</f>
        <v/>
      </c>
      <c r="J71" s="1">
        <f>IF(ISNUMBER(B71),YEAR(B71),"")</f>
        <v/>
      </c>
      <c r="K71">
        <f>IF(ISNUMBER(B71),YEAR(B71)*100+MONTH(B71),"")</f>
        <v/>
      </c>
      <c r="L71">
        <f>IF(ISNUMBER(B71),INT(B71),0)</f>
        <v/>
      </c>
    </row>
    <row r="72">
      <c r="A72" s="1" t="n"/>
      <c r="B72" s="17" t="n">
        <v>46217</v>
      </c>
      <c r="C72" s="18" t="inlineStr">
        <is>
          <t>Peas</t>
        </is>
      </c>
      <c r="D72" s="19" t="inlineStr">
        <is>
          <t>Bed 1</t>
        </is>
      </c>
      <c r="E72" s="23" t="n">
        <v>0.54</v>
      </c>
      <c r="F72" s="21" t="n"/>
      <c r="G72" s="11">
        <f>IF(C72="","",IFERROR(INDEX(Crops!$D$6:$D$65,MATCH(C72,Crops!$B$6:$B$65,0))&amp;"",""))</f>
        <v/>
      </c>
      <c r="H72" s="12">
        <f>IF(OR(C72="",NOT(ISNUMBER(E72))),"",E72*N(IFERROR(INDEX(Crops!$E$6:$E$65,MATCH(C72,Crops!$B$6:$B$65,0)),0)))</f>
        <v/>
      </c>
      <c r="I72" s="11">
        <f>IF(AND(C72="",E72=""),"",IF(NOT(ISNUMBER(B72)),"Needs a date",IF(C72="","Needs a crop",IF(COUNTIF(Crops!$B$6:$B$65,C72)=0,"Not on Crops",IF(NOT(ISNUMBER(E72)),"Needs the amount",IF(AND(D72&lt;&gt;"",COUNTIF(Beds!$B$6:$B$35,D72)=0),"Not on Beds",""))))))</f>
        <v/>
      </c>
      <c r="J72" s="1">
        <f>IF(ISNUMBER(B72),YEAR(B72),"")</f>
        <v/>
      </c>
      <c r="K72">
        <f>IF(ISNUMBER(B72),YEAR(B72)*100+MONTH(B72),"")</f>
        <v/>
      </c>
      <c r="L72">
        <f>IF(ISNUMBER(B72),INT(B72),0)</f>
        <v/>
      </c>
    </row>
    <row r="73">
      <c r="A73" s="1" t="n"/>
      <c r="B73" s="17" t="n">
        <v>46218</v>
      </c>
      <c r="C73" s="18" t="inlineStr">
        <is>
          <t>Cucumbers</t>
        </is>
      </c>
      <c r="D73" s="19" t="inlineStr">
        <is>
          <t>Greenhouse</t>
        </is>
      </c>
      <c r="E73" s="23" t="n">
        <v>3</v>
      </c>
      <c r="F73" s="21" t="n"/>
      <c r="G73" s="11">
        <f>IF(C73="","",IFERROR(INDEX(Crops!$D$6:$D$65,MATCH(C73,Crops!$B$6:$B$65,0))&amp;"",""))</f>
        <v/>
      </c>
      <c r="H73" s="12">
        <f>IF(OR(C73="",NOT(ISNUMBER(E73))),"",E73*N(IFERROR(INDEX(Crops!$E$6:$E$65,MATCH(C73,Crops!$B$6:$B$65,0)),0)))</f>
        <v/>
      </c>
      <c r="I73" s="11">
        <f>IF(AND(C73="",E73=""),"",IF(NOT(ISNUMBER(B73)),"Needs a date",IF(C73="","Needs a crop",IF(COUNTIF(Crops!$B$6:$B$65,C73)=0,"Not on Crops",IF(NOT(ISNUMBER(E73)),"Needs the amount",IF(AND(D73&lt;&gt;"",COUNTIF(Beds!$B$6:$B$35,D73)=0),"Not on Beds",""))))))</f>
        <v/>
      </c>
      <c r="J73" s="1">
        <f>IF(ISNUMBER(B73),YEAR(B73),"")</f>
        <v/>
      </c>
      <c r="K73">
        <f>IF(ISNUMBER(B73),YEAR(B73)*100+MONTH(B73),"")</f>
        <v/>
      </c>
      <c r="L73">
        <f>IF(ISNUMBER(B73),INT(B73),0)</f>
        <v/>
      </c>
    </row>
    <row r="74">
      <c r="A74" s="1" t="n"/>
      <c r="B74" s="17" t="n">
        <v>46219</v>
      </c>
      <c r="C74" s="18" t="inlineStr">
        <is>
          <t>Tomatoes</t>
        </is>
      </c>
      <c r="D74" s="19" t="inlineStr">
        <is>
          <t>Greenhouse</t>
        </is>
      </c>
      <c r="E74" s="23" t="n">
        <v>0.88</v>
      </c>
      <c r="F74" s="21" t="n"/>
      <c r="G74" s="11">
        <f>IF(C74="","",IFERROR(INDEX(Crops!$D$6:$D$65,MATCH(C74,Crops!$B$6:$B$65,0))&amp;"",""))</f>
        <v/>
      </c>
      <c r="H74" s="12">
        <f>IF(OR(C74="",NOT(ISNUMBER(E74))),"",E74*N(IFERROR(INDEX(Crops!$E$6:$E$65,MATCH(C74,Crops!$B$6:$B$65,0)),0)))</f>
        <v/>
      </c>
      <c r="I74" s="11">
        <f>IF(AND(C74="",E74=""),"",IF(NOT(ISNUMBER(B74)),"Needs a date",IF(C74="","Needs a crop",IF(COUNTIF(Crops!$B$6:$B$65,C74)=0,"Not on Crops",IF(NOT(ISNUMBER(E74)),"Needs the amount",IF(AND(D74&lt;&gt;"",COUNTIF(Beds!$B$6:$B$35,D74)=0),"Not on Beds",""))))))</f>
        <v/>
      </c>
      <c r="J74" s="1">
        <f>IF(ISNUMBER(B74),YEAR(B74),"")</f>
        <v/>
      </c>
      <c r="K74">
        <f>IF(ISNUMBER(B74),YEAR(B74)*100+MONTH(B74),"")</f>
        <v/>
      </c>
      <c r="L74">
        <f>IF(ISNUMBER(B74),INT(B74),0)</f>
        <v/>
      </c>
    </row>
    <row r="75">
      <c r="A75" s="1" t="n"/>
      <c r="B75" s="17" t="n">
        <v>46219</v>
      </c>
      <c r="C75" s="18" t="inlineStr">
        <is>
          <t>Zucchini</t>
        </is>
      </c>
      <c r="D75" s="19" t="inlineStr">
        <is>
          <t>Bed 3</t>
        </is>
      </c>
      <c r="E75" s="23" t="n">
        <v>1.4</v>
      </c>
      <c r="F75" s="21" t="n"/>
      <c r="G75" s="11">
        <f>IF(C75="","",IFERROR(INDEX(Crops!$D$6:$D$65,MATCH(C75,Crops!$B$6:$B$65,0))&amp;"",""))</f>
        <v/>
      </c>
      <c r="H75" s="12">
        <f>IF(OR(C75="",NOT(ISNUMBER(E75))),"",E75*N(IFERROR(INDEX(Crops!$E$6:$E$65,MATCH(C75,Crops!$B$6:$B$65,0)),0)))</f>
        <v/>
      </c>
      <c r="I75" s="11">
        <f>IF(AND(C75="",E75=""),"",IF(NOT(ISNUMBER(B75)),"Needs a date",IF(C75="","Needs a crop",IF(COUNTIF(Crops!$B$6:$B$65,C75)=0,"Not on Crops",IF(NOT(ISNUMBER(E75)),"Needs the amount",IF(AND(D75&lt;&gt;"",COUNTIF(Beds!$B$6:$B$35,D75)=0),"Not on Beds",""))))))</f>
        <v/>
      </c>
      <c r="J75" s="1">
        <f>IF(ISNUMBER(B75),YEAR(B75),"")</f>
        <v/>
      </c>
      <c r="K75">
        <f>IF(ISNUMBER(B75),YEAR(B75)*100+MONTH(B75),"")</f>
        <v/>
      </c>
      <c r="L75">
        <f>IF(ISNUMBER(B75),INT(B75),0)</f>
        <v/>
      </c>
    </row>
    <row r="76">
      <c r="A76" s="1" t="n"/>
      <c r="B76" s="17" t="n">
        <v>46222</v>
      </c>
      <c r="C76" s="18" t="inlineStr">
        <is>
          <t>Peas</t>
        </is>
      </c>
      <c r="D76" s="19" t="inlineStr">
        <is>
          <t>Bed 1</t>
        </is>
      </c>
      <c r="E76" s="23" t="n">
        <v>0.23</v>
      </c>
      <c r="F76" s="21" t="n"/>
      <c r="G76" s="11">
        <f>IF(C76="","",IFERROR(INDEX(Crops!$D$6:$D$65,MATCH(C76,Crops!$B$6:$B$65,0))&amp;"",""))</f>
        <v/>
      </c>
      <c r="H76" s="12">
        <f>IF(OR(C76="",NOT(ISNUMBER(E76))),"",E76*N(IFERROR(INDEX(Crops!$E$6:$E$65,MATCH(C76,Crops!$B$6:$B$65,0)),0)))</f>
        <v/>
      </c>
      <c r="I76" s="11">
        <f>IF(AND(C76="",E76=""),"",IF(NOT(ISNUMBER(B76)),"Needs a date",IF(C76="","Needs a crop",IF(COUNTIF(Crops!$B$6:$B$65,C76)=0,"Not on Crops",IF(NOT(ISNUMBER(E76)),"Needs the amount",IF(AND(D76&lt;&gt;"",COUNTIF(Beds!$B$6:$B$35,D76)=0),"Not on Beds",""))))))</f>
        <v/>
      </c>
      <c r="J76" s="1">
        <f>IF(ISNUMBER(B76),YEAR(B76),"")</f>
        <v/>
      </c>
      <c r="K76">
        <f>IF(ISNUMBER(B76),YEAR(B76)*100+MONTH(B76),"")</f>
        <v/>
      </c>
      <c r="L76">
        <f>IF(ISNUMBER(B76),INT(B76),0)</f>
        <v/>
      </c>
    </row>
    <row r="77">
      <c r="A77" s="1" t="n"/>
      <c r="B77" s="17" t="n">
        <v>46222</v>
      </c>
      <c r="C77" s="18" t="inlineStr">
        <is>
          <t>Zucchini</t>
        </is>
      </c>
      <c r="D77" s="19" t="inlineStr">
        <is>
          <t>Bed 3</t>
        </is>
      </c>
      <c r="E77" s="23" t="n">
        <v>0.98</v>
      </c>
      <c r="F77" s="21" t="n"/>
      <c r="G77" s="11">
        <f>IF(C77="","",IFERROR(INDEX(Crops!$D$6:$D$65,MATCH(C77,Crops!$B$6:$B$65,0))&amp;"",""))</f>
        <v/>
      </c>
      <c r="H77" s="12">
        <f>IF(OR(C77="",NOT(ISNUMBER(E77))),"",E77*N(IFERROR(INDEX(Crops!$E$6:$E$65,MATCH(C77,Crops!$B$6:$B$65,0)),0)))</f>
        <v/>
      </c>
      <c r="I77" s="11">
        <f>IF(AND(C77="",E77=""),"",IF(NOT(ISNUMBER(B77)),"Needs a date",IF(C77="","Needs a crop",IF(COUNTIF(Crops!$B$6:$B$65,C77)=0,"Not on Crops",IF(NOT(ISNUMBER(E77)),"Needs the amount",IF(AND(D77&lt;&gt;"",COUNTIF(Beds!$B$6:$B$35,D77)=0),"Not on Beds",""))))))</f>
        <v/>
      </c>
      <c r="J77" s="1">
        <f>IF(ISNUMBER(B77),YEAR(B77),"")</f>
        <v/>
      </c>
      <c r="K77">
        <f>IF(ISNUMBER(B77),YEAR(B77)*100+MONTH(B77),"")</f>
        <v/>
      </c>
      <c r="L77">
        <f>IF(ISNUMBER(B77),INT(B77),0)</f>
        <v/>
      </c>
    </row>
    <row r="78">
      <c r="A78" s="1" t="n"/>
      <c r="B78" s="17" t="n">
        <v>46222</v>
      </c>
      <c r="C78" s="18" t="inlineStr">
        <is>
          <t>Cucumbers</t>
        </is>
      </c>
      <c r="D78" s="19" t="inlineStr">
        <is>
          <t>Greenhouse</t>
        </is>
      </c>
      <c r="E78" s="23" t="n">
        <v>3</v>
      </c>
      <c r="F78" s="21" t="n"/>
      <c r="G78" s="11">
        <f>IF(C78="","",IFERROR(INDEX(Crops!$D$6:$D$65,MATCH(C78,Crops!$B$6:$B$65,0))&amp;"",""))</f>
        <v/>
      </c>
      <c r="H78" s="12">
        <f>IF(OR(C78="",NOT(ISNUMBER(E78))),"",E78*N(IFERROR(INDEX(Crops!$E$6:$E$65,MATCH(C78,Crops!$B$6:$B$65,0)),0)))</f>
        <v/>
      </c>
      <c r="I78" s="11">
        <f>IF(AND(C78="",E78=""),"",IF(NOT(ISNUMBER(B78)),"Needs a date",IF(C78="","Needs a crop",IF(COUNTIF(Crops!$B$6:$B$65,C78)=0,"Not on Crops",IF(NOT(ISNUMBER(E78)),"Needs the amount",IF(AND(D78&lt;&gt;"",COUNTIF(Beds!$B$6:$B$35,D78)=0),"Not on Beds",""))))))</f>
        <v/>
      </c>
      <c r="J78" s="1">
        <f>IF(ISNUMBER(B78),YEAR(B78),"")</f>
        <v/>
      </c>
      <c r="K78">
        <f>IF(ISNUMBER(B78),YEAR(B78)*100+MONTH(B78),"")</f>
        <v/>
      </c>
      <c r="L78">
        <f>IF(ISNUMBER(B78),INT(B78),0)</f>
        <v/>
      </c>
    </row>
    <row r="79">
      <c r="A79" s="1" t="n"/>
      <c r="B79" s="17" t="n">
        <v>46223</v>
      </c>
      <c r="C79" s="18" t="inlineStr">
        <is>
          <t>Potatoes</t>
        </is>
      </c>
      <c r="D79" s="19" t="inlineStr">
        <is>
          <t>Bed 4</t>
        </is>
      </c>
      <c r="E79" s="23" t="n">
        <v>3.02</v>
      </c>
      <c r="F79" s="21" t="n"/>
      <c r="G79" s="11">
        <f>IF(C79="","",IFERROR(INDEX(Crops!$D$6:$D$65,MATCH(C79,Crops!$B$6:$B$65,0))&amp;"",""))</f>
        <v/>
      </c>
      <c r="H79" s="12">
        <f>IF(OR(C79="",NOT(ISNUMBER(E79))),"",E79*N(IFERROR(INDEX(Crops!$E$6:$E$65,MATCH(C79,Crops!$B$6:$B$65,0)),0)))</f>
        <v/>
      </c>
      <c r="I79" s="11">
        <f>IF(AND(C79="",E79=""),"",IF(NOT(ISNUMBER(B79)),"Needs a date",IF(C79="","Needs a crop",IF(COUNTIF(Crops!$B$6:$B$65,C79)=0,"Not on Crops",IF(NOT(ISNUMBER(E79)),"Needs the amount",IF(AND(D79&lt;&gt;"",COUNTIF(Beds!$B$6:$B$35,D79)=0),"Not on Beds",""))))))</f>
        <v/>
      </c>
      <c r="J79" s="1">
        <f>IF(ISNUMBER(B79),YEAR(B79),"")</f>
        <v/>
      </c>
      <c r="K79">
        <f>IF(ISNUMBER(B79),YEAR(B79)*100+MONTH(B79),"")</f>
        <v/>
      </c>
      <c r="L79">
        <f>IF(ISNUMBER(B79),INT(B79),0)</f>
        <v/>
      </c>
    </row>
    <row r="80">
      <c r="A80" s="1" t="n"/>
      <c r="B80" s="17" t="n">
        <v>46223</v>
      </c>
      <c r="C80" s="18" t="inlineStr">
        <is>
          <t>Tomatoes</t>
        </is>
      </c>
      <c r="D80" s="19" t="inlineStr">
        <is>
          <t>Greenhouse</t>
        </is>
      </c>
      <c r="E80" s="23" t="n">
        <v>1.35</v>
      </c>
      <c r="F80" s="21" t="n"/>
      <c r="G80" s="11">
        <f>IF(C80="","",IFERROR(INDEX(Crops!$D$6:$D$65,MATCH(C80,Crops!$B$6:$B$65,0))&amp;"",""))</f>
        <v/>
      </c>
      <c r="H80" s="12">
        <f>IF(OR(C80="",NOT(ISNUMBER(E80))),"",E80*N(IFERROR(INDEX(Crops!$E$6:$E$65,MATCH(C80,Crops!$B$6:$B$65,0)),0)))</f>
        <v/>
      </c>
      <c r="I80" s="11">
        <f>IF(AND(C80="",E80=""),"",IF(NOT(ISNUMBER(B80)),"Needs a date",IF(C80="","Needs a crop",IF(COUNTIF(Crops!$B$6:$B$65,C80)=0,"Not on Crops",IF(NOT(ISNUMBER(E80)),"Needs the amount",IF(AND(D80&lt;&gt;"",COUNTIF(Beds!$B$6:$B$35,D80)=0),"Not on Beds",""))))))</f>
        <v/>
      </c>
      <c r="J80" s="1">
        <f>IF(ISNUMBER(B80),YEAR(B80),"")</f>
        <v/>
      </c>
      <c r="K80">
        <f>IF(ISNUMBER(B80),YEAR(B80)*100+MONTH(B80),"")</f>
        <v/>
      </c>
      <c r="L80">
        <f>IF(ISNUMBER(B80),INT(B80),0)</f>
        <v/>
      </c>
    </row>
    <row r="81">
      <c r="A81" s="1" t="n"/>
      <c r="B81" s="17" t="n">
        <v>46225</v>
      </c>
      <c r="C81" s="18" t="inlineStr">
        <is>
          <t>Basil</t>
        </is>
      </c>
      <c r="D81" s="19" t="inlineStr">
        <is>
          <t>Patio pots</t>
        </is>
      </c>
      <c r="E81" s="23" t="n">
        <v>2</v>
      </c>
      <c r="F81" s="21" t="n"/>
      <c r="G81" s="11">
        <f>IF(C81="","",IFERROR(INDEX(Crops!$D$6:$D$65,MATCH(C81,Crops!$B$6:$B$65,0))&amp;"",""))</f>
        <v/>
      </c>
      <c r="H81" s="12">
        <f>IF(OR(C81="",NOT(ISNUMBER(E81))),"",E81*N(IFERROR(INDEX(Crops!$E$6:$E$65,MATCH(C81,Crops!$B$6:$B$65,0)),0)))</f>
        <v/>
      </c>
      <c r="I81" s="11">
        <f>IF(AND(C81="",E81=""),"",IF(NOT(ISNUMBER(B81)),"Needs a date",IF(C81="","Needs a crop",IF(COUNTIF(Crops!$B$6:$B$65,C81)=0,"Not on Crops",IF(NOT(ISNUMBER(E81)),"Needs the amount",IF(AND(D81&lt;&gt;"",COUNTIF(Beds!$B$6:$B$35,D81)=0),"Not on Beds",""))))))</f>
        <v/>
      </c>
      <c r="J81" s="1">
        <f>IF(ISNUMBER(B81),YEAR(B81),"")</f>
        <v/>
      </c>
      <c r="K81">
        <f>IF(ISNUMBER(B81),YEAR(B81)*100+MONTH(B81),"")</f>
        <v/>
      </c>
      <c r="L81">
        <f>IF(ISNUMBER(B81),INT(B81),0)</f>
        <v/>
      </c>
    </row>
    <row r="82">
      <c r="A82" s="1" t="n"/>
      <c r="B82" s="17" t="n">
        <v>46226</v>
      </c>
      <c r="C82" s="18" t="inlineStr">
        <is>
          <t>Tomatoes</t>
        </is>
      </c>
      <c r="D82" s="19" t="inlineStr">
        <is>
          <t>Greenhouse</t>
        </is>
      </c>
      <c r="E82" s="23" t="n">
        <v>0.55</v>
      </c>
      <c r="F82" s="21" t="n"/>
      <c r="G82" s="11">
        <f>IF(C82="","",IFERROR(INDEX(Crops!$D$6:$D$65,MATCH(C82,Crops!$B$6:$B$65,0))&amp;"",""))</f>
        <v/>
      </c>
      <c r="H82" s="12">
        <f>IF(OR(C82="",NOT(ISNUMBER(E82))),"",E82*N(IFERROR(INDEX(Crops!$E$6:$E$65,MATCH(C82,Crops!$B$6:$B$65,0)),0)))</f>
        <v/>
      </c>
      <c r="I82" s="11">
        <f>IF(AND(C82="",E82=""),"",IF(NOT(ISNUMBER(B82)),"Needs a date",IF(C82="","Needs a crop",IF(COUNTIF(Crops!$B$6:$B$65,C82)=0,"Not on Crops",IF(NOT(ISNUMBER(E82)),"Needs the amount",IF(AND(D82&lt;&gt;"",COUNTIF(Beds!$B$6:$B$35,D82)=0),"Not on Beds",""))))))</f>
        <v/>
      </c>
      <c r="J82" s="1">
        <f>IF(ISNUMBER(B82),YEAR(B82),"")</f>
        <v/>
      </c>
      <c r="K82">
        <f>IF(ISNUMBER(B82),YEAR(B82)*100+MONTH(B82),"")</f>
        <v/>
      </c>
      <c r="L82">
        <f>IF(ISNUMBER(B82),INT(B82),0)</f>
        <v/>
      </c>
    </row>
    <row r="83">
      <c r="A83" s="1" t="n"/>
      <c r="B83" s="17" t="n">
        <v>46226</v>
      </c>
      <c r="C83" s="18" t="inlineStr">
        <is>
          <t>Zucchini</t>
        </is>
      </c>
      <c r="D83" s="19" t="inlineStr">
        <is>
          <t>Bed 3</t>
        </is>
      </c>
      <c r="E83" s="23" t="n">
        <v>0.57</v>
      </c>
      <c r="F83" s="21" t="n"/>
      <c r="G83" s="11">
        <f>IF(C83="","",IFERROR(INDEX(Crops!$D$6:$D$65,MATCH(C83,Crops!$B$6:$B$65,0))&amp;"",""))</f>
        <v/>
      </c>
      <c r="H83" s="12">
        <f>IF(OR(C83="",NOT(ISNUMBER(E83))),"",E83*N(IFERROR(INDEX(Crops!$E$6:$E$65,MATCH(C83,Crops!$B$6:$B$65,0)),0)))</f>
        <v/>
      </c>
      <c r="I83" s="11">
        <f>IF(AND(C83="",E83=""),"",IF(NOT(ISNUMBER(B83)),"Needs a date",IF(C83="","Needs a crop",IF(COUNTIF(Crops!$B$6:$B$65,C83)=0,"Not on Crops",IF(NOT(ISNUMBER(E83)),"Needs the amount",IF(AND(D83&lt;&gt;"",COUNTIF(Beds!$B$6:$B$35,D83)=0),"Not on Beds",""))))))</f>
        <v/>
      </c>
      <c r="J83" s="1">
        <f>IF(ISNUMBER(B83),YEAR(B83),"")</f>
        <v/>
      </c>
      <c r="K83">
        <f>IF(ISNUMBER(B83),YEAR(B83)*100+MONTH(B83),"")</f>
        <v/>
      </c>
      <c r="L83">
        <f>IF(ISNUMBER(B83),INT(B83),0)</f>
        <v/>
      </c>
    </row>
    <row r="84">
      <c r="A84" s="1" t="n"/>
      <c r="B84" s="17" t="n">
        <v>46226</v>
      </c>
      <c r="C84" s="18" t="inlineStr">
        <is>
          <t>Cucumbers</t>
        </is>
      </c>
      <c r="D84" s="19" t="inlineStr">
        <is>
          <t>Greenhouse</t>
        </is>
      </c>
      <c r="E84" s="23" t="n">
        <v>1</v>
      </c>
      <c r="F84" s="21" t="n"/>
      <c r="G84" s="11">
        <f>IF(C84="","",IFERROR(INDEX(Crops!$D$6:$D$65,MATCH(C84,Crops!$B$6:$B$65,0))&amp;"",""))</f>
        <v/>
      </c>
      <c r="H84" s="12">
        <f>IF(OR(C84="",NOT(ISNUMBER(E84))),"",E84*N(IFERROR(INDEX(Crops!$E$6:$E$65,MATCH(C84,Crops!$B$6:$B$65,0)),0)))</f>
        <v/>
      </c>
      <c r="I84" s="11">
        <f>IF(AND(C84="",E84=""),"",IF(NOT(ISNUMBER(B84)),"Needs a date",IF(C84="","Needs a crop",IF(COUNTIF(Crops!$B$6:$B$65,C84)=0,"Not on Crops",IF(NOT(ISNUMBER(E84)),"Needs the amount",IF(AND(D84&lt;&gt;"",COUNTIF(Beds!$B$6:$B$35,D84)=0),"Not on Beds",""))))))</f>
        <v/>
      </c>
      <c r="J84" s="1">
        <f>IF(ISNUMBER(B84),YEAR(B84),"")</f>
        <v/>
      </c>
      <c r="K84">
        <f>IF(ISNUMBER(B84),YEAR(B84)*100+MONTH(B84),"")</f>
        <v/>
      </c>
      <c r="L84">
        <f>IF(ISNUMBER(B84),INT(B84),0)</f>
        <v/>
      </c>
    </row>
    <row r="85">
      <c r="A85" s="1" t="n"/>
      <c r="B85" s="17" t="n">
        <v>46228</v>
      </c>
      <c r="C85" s="18" t="inlineStr">
        <is>
          <t>Carrots</t>
        </is>
      </c>
      <c r="D85" s="19" t="inlineStr">
        <is>
          <t>Bed 2</t>
        </is>
      </c>
      <c r="E85" s="23" t="n">
        <v>0.64</v>
      </c>
      <c r="F85" s="21" t="n"/>
      <c r="G85" s="11">
        <f>IF(C85="","",IFERROR(INDEX(Crops!$D$6:$D$65,MATCH(C85,Crops!$B$6:$B$65,0))&amp;"",""))</f>
        <v/>
      </c>
      <c r="H85" s="12">
        <f>IF(OR(C85="",NOT(ISNUMBER(E85))),"",E85*N(IFERROR(INDEX(Crops!$E$6:$E$65,MATCH(C85,Crops!$B$6:$B$65,0)),0)))</f>
        <v/>
      </c>
      <c r="I85" s="11">
        <f>IF(AND(C85="",E85=""),"",IF(NOT(ISNUMBER(B85)),"Needs a date",IF(C85="","Needs a crop",IF(COUNTIF(Crops!$B$6:$B$65,C85)=0,"Not on Crops",IF(NOT(ISNUMBER(E85)),"Needs the amount",IF(AND(D85&lt;&gt;"",COUNTIF(Beds!$B$6:$B$35,D85)=0),"Not on Beds",""))))))</f>
        <v/>
      </c>
      <c r="J85" s="1">
        <f>IF(ISNUMBER(B85),YEAR(B85),"")</f>
        <v/>
      </c>
      <c r="K85">
        <f>IF(ISNUMBER(B85),YEAR(B85)*100+MONTH(B85),"")</f>
        <v/>
      </c>
      <c r="L85">
        <f>IF(ISNUMBER(B85),INT(B85),0)</f>
        <v/>
      </c>
    </row>
    <row r="86">
      <c r="A86" s="1" t="n"/>
      <c r="B86" s="17" t="n">
        <v>46229</v>
      </c>
      <c r="C86" s="18" t="inlineStr">
        <is>
          <t>Zucchini</t>
        </is>
      </c>
      <c r="D86" s="19" t="inlineStr">
        <is>
          <t>Bed 3</t>
        </is>
      </c>
      <c r="E86" s="23" t="n">
        <v>0.41</v>
      </c>
      <c r="F86" s="21" t="n"/>
      <c r="G86" s="11">
        <f>IF(C86="","",IFERROR(INDEX(Crops!$D$6:$D$65,MATCH(C86,Crops!$B$6:$B$65,0))&amp;"",""))</f>
        <v/>
      </c>
      <c r="H86" s="12">
        <f>IF(OR(C86="",NOT(ISNUMBER(E86))),"",E86*N(IFERROR(INDEX(Crops!$E$6:$E$65,MATCH(C86,Crops!$B$6:$B$65,0)),0)))</f>
        <v/>
      </c>
      <c r="I86" s="11">
        <f>IF(AND(C86="",E86=""),"",IF(NOT(ISNUMBER(B86)),"Needs a date",IF(C86="","Needs a crop",IF(COUNTIF(Crops!$B$6:$B$65,C86)=0,"Not on Crops",IF(NOT(ISNUMBER(E86)),"Needs the amount",IF(AND(D86&lt;&gt;"",COUNTIF(Beds!$B$6:$B$35,D86)=0),"Not on Beds",""))))))</f>
        <v/>
      </c>
      <c r="J86" s="1">
        <f>IF(ISNUMBER(B86),YEAR(B86),"")</f>
        <v/>
      </c>
      <c r="K86">
        <f>IF(ISNUMBER(B86),YEAR(B86)*100+MONTH(B86),"")</f>
        <v/>
      </c>
      <c r="L86">
        <f>IF(ISNUMBER(B86),INT(B86),0)</f>
        <v/>
      </c>
    </row>
    <row r="87">
      <c r="A87" s="1" t="n"/>
      <c r="B87" s="17" t="n">
        <v>46230</v>
      </c>
      <c r="C87" s="18" t="inlineStr">
        <is>
          <t>Cucumbers</t>
        </is>
      </c>
      <c r="D87" s="19" t="inlineStr">
        <is>
          <t>Greenhouse</t>
        </is>
      </c>
      <c r="E87" s="23" t="n">
        <v>3</v>
      </c>
      <c r="F87" s="21" t="n"/>
      <c r="G87" s="11">
        <f>IF(C87="","",IFERROR(INDEX(Crops!$D$6:$D$65,MATCH(C87,Crops!$B$6:$B$65,0))&amp;"",""))</f>
        <v/>
      </c>
      <c r="H87" s="12">
        <f>IF(OR(C87="",NOT(ISNUMBER(E87))),"",E87*N(IFERROR(INDEX(Crops!$E$6:$E$65,MATCH(C87,Crops!$B$6:$B$65,0)),0)))</f>
        <v/>
      </c>
      <c r="I87" s="11">
        <f>IF(AND(C87="",E87=""),"",IF(NOT(ISNUMBER(B87)),"Needs a date",IF(C87="","Needs a crop",IF(COUNTIF(Crops!$B$6:$B$65,C87)=0,"Not on Crops",IF(NOT(ISNUMBER(E87)),"Needs the amount",IF(AND(D87&lt;&gt;"",COUNTIF(Beds!$B$6:$B$35,D87)=0),"Not on Beds",""))))))</f>
        <v/>
      </c>
      <c r="J87" s="1">
        <f>IF(ISNUMBER(B87),YEAR(B87),"")</f>
        <v/>
      </c>
      <c r="K87">
        <f>IF(ISNUMBER(B87),YEAR(B87)*100+MONTH(B87),"")</f>
        <v/>
      </c>
      <c r="L87">
        <f>IF(ISNUMBER(B87),INT(B87),0)</f>
        <v/>
      </c>
    </row>
    <row r="88">
      <c r="A88" s="1" t="n"/>
      <c r="B88" s="17" t="n">
        <v>46231</v>
      </c>
      <c r="C88" s="18" t="inlineStr">
        <is>
          <t>Potatoes</t>
        </is>
      </c>
      <c r="D88" s="19" t="inlineStr">
        <is>
          <t>Bed 4</t>
        </is>
      </c>
      <c r="E88" s="23" t="n">
        <v>2.99</v>
      </c>
      <c r="F88" s="21" t="n"/>
      <c r="G88" s="11">
        <f>IF(C88="","",IFERROR(INDEX(Crops!$D$6:$D$65,MATCH(C88,Crops!$B$6:$B$65,0))&amp;"",""))</f>
        <v/>
      </c>
      <c r="H88" s="12">
        <f>IF(OR(C88="",NOT(ISNUMBER(E88))),"",E88*N(IFERROR(INDEX(Crops!$E$6:$E$65,MATCH(C88,Crops!$B$6:$B$65,0)),0)))</f>
        <v/>
      </c>
      <c r="I88" s="11">
        <f>IF(AND(C88="",E88=""),"",IF(NOT(ISNUMBER(B88)),"Needs a date",IF(C88="","Needs a crop",IF(COUNTIF(Crops!$B$6:$B$65,C88)=0,"Not on Crops",IF(NOT(ISNUMBER(E88)),"Needs the amount",IF(AND(D88&lt;&gt;"",COUNTIF(Beds!$B$6:$B$35,D88)=0),"Not on Beds",""))))))</f>
        <v/>
      </c>
      <c r="J88" s="1">
        <f>IF(ISNUMBER(B88),YEAR(B88),"")</f>
        <v/>
      </c>
      <c r="K88">
        <f>IF(ISNUMBER(B88),YEAR(B88)*100+MONTH(B88),"")</f>
        <v/>
      </c>
      <c r="L88">
        <f>IF(ISNUMBER(B88),INT(B88),0)</f>
        <v/>
      </c>
    </row>
    <row r="89">
      <c r="A89" s="1" t="n"/>
      <c r="B89" s="17" t="n">
        <v>46231</v>
      </c>
      <c r="C89" s="18" t="inlineStr">
        <is>
          <t>Tomatoes</t>
        </is>
      </c>
      <c r="D89" s="19" t="inlineStr">
        <is>
          <t>Greenhouse</t>
        </is>
      </c>
      <c r="E89" s="23" t="n">
        <v>1.96</v>
      </c>
      <c r="F89" s="21" t="n"/>
      <c r="G89" s="11">
        <f>IF(C89="","",IFERROR(INDEX(Crops!$D$6:$D$65,MATCH(C89,Crops!$B$6:$B$65,0))&amp;"",""))</f>
        <v/>
      </c>
      <c r="H89" s="12">
        <f>IF(OR(C89="",NOT(ISNUMBER(E89))),"",E89*N(IFERROR(INDEX(Crops!$E$6:$E$65,MATCH(C89,Crops!$B$6:$B$65,0)),0)))</f>
        <v/>
      </c>
      <c r="I89" s="11">
        <f>IF(AND(C89="",E89=""),"",IF(NOT(ISNUMBER(B89)),"Needs a date",IF(C89="","Needs a crop",IF(COUNTIF(Crops!$B$6:$B$65,C89)=0,"Not on Crops",IF(NOT(ISNUMBER(E89)),"Needs the amount",IF(AND(D89&lt;&gt;"",COUNTIF(Beds!$B$6:$B$35,D89)=0),"Not on Beds",""))))))</f>
        <v/>
      </c>
      <c r="J89" s="1">
        <f>IF(ISNUMBER(B89),YEAR(B89),"")</f>
        <v/>
      </c>
      <c r="K89">
        <f>IF(ISNUMBER(B89),YEAR(B89)*100+MONTH(B89),"")</f>
        <v/>
      </c>
      <c r="L89">
        <f>IF(ISNUMBER(B89),INT(B89),0)</f>
        <v/>
      </c>
    </row>
    <row r="90">
      <c r="A90" s="1" t="n"/>
      <c r="B90" s="17" t="n">
        <v>46231</v>
      </c>
      <c r="C90" s="18" t="inlineStr">
        <is>
          <t>Runner beans</t>
        </is>
      </c>
      <c r="D90" s="19" t="inlineStr">
        <is>
          <t>Bed 1</t>
        </is>
      </c>
      <c r="E90" s="23" t="n">
        <v>0.54</v>
      </c>
      <c r="F90" s="21" t="n"/>
      <c r="G90" s="11">
        <f>IF(C90="","",IFERROR(INDEX(Crops!$D$6:$D$65,MATCH(C90,Crops!$B$6:$B$65,0))&amp;"",""))</f>
        <v/>
      </c>
      <c r="H90" s="12">
        <f>IF(OR(C90="",NOT(ISNUMBER(E90))),"",E90*N(IFERROR(INDEX(Crops!$E$6:$E$65,MATCH(C90,Crops!$B$6:$B$65,0)),0)))</f>
        <v/>
      </c>
      <c r="I90" s="11">
        <f>IF(AND(C90="",E90=""),"",IF(NOT(ISNUMBER(B90)),"Needs a date",IF(C90="","Needs a crop",IF(COUNTIF(Crops!$B$6:$B$65,C90)=0,"Not on Crops",IF(NOT(ISNUMBER(E90)),"Needs the amount",IF(AND(D90&lt;&gt;"",COUNTIF(Beds!$B$6:$B$35,D90)=0),"Not on Beds",""))))))</f>
        <v/>
      </c>
      <c r="J90" s="1">
        <f>IF(ISNUMBER(B90),YEAR(B90),"")</f>
        <v/>
      </c>
      <c r="K90">
        <f>IF(ISNUMBER(B90),YEAR(B90)*100+MONTH(B90),"")</f>
        <v/>
      </c>
      <c r="L90">
        <f>IF(ISNUMBER(B90),INT(B90),0)</f>
        <v/>
      </c>
    </row>
    <row r="91">
      <c r="A91" s="1" t="n"/>
      <c r="B91" s="17" t="n">
        <v>46232</v>
      </c>
      <c r="C91" s="18" t="inlineStr">
        <is>
          <t>Zucchini</t>
        </is>
      </c>
      <c r="D91" s="19" t="inlineStr">
        <is>
          <t>Bed 3</t>
        </is>
      </c>
      <c r="E91" s="23" t="n">
        <v>0.97</v>
      </c>
      <c r="F91" s="21" t="n"/>
      <c r="G91" s="11">
        <f>IF(C91="","",IFERROR(INDEX(Crops!$D$6:$D$65,MATCH(C91,Crops!$B$6:$B$65,0))&amp;"",""))</f>
        <v/>
      </c>
      <c r="H91" s="12">
        <f>IF(OR(C91="",NOT(ISNUMBER(E91))),"",E91*N(IFERROR(INDEX(Crops!$E$6:$E$65,MATCH(C91,Crops!$B$6:$B$65,0)),0)))</f>
        <v/>
      </c>
      <c r="I91" s="11">
        <f>IF(AND(C91="",E91=""),"",IF(NOT(ISNUMBER(B91)),"Needs a date",IF(C91="","Needs a crop",IF(COUNTIF(Crops!$B$6:$B$65,C91)=0,"Not on Crops",IF(NOT(ISNUMBER(E91)),"Needs the amount",IF(AND(D91&lt;&gt;"",COUNTIF(Beds!$B$6:$B$35,D91)=0),"Not on Beds",""))))))</f>
        <v/>
      </c>
      <c r="J91" s="1">
        <f>IF(ISNUMBER(B91),YEAR(B91),"")</f>
        <v/>
      </c>
      <c r="K91">
        <f>IF(ISNUMBER(B91),YEAR(B91)*100+MONTH(B91),"")</f>
        <v/>
      </c>
      <c r="L91">
        <f>IF(ISNUMBER(B91),INT(B91),0)</f>
        <v/>
      </c>
    </row>
    <row r="92">
      <c r="A92" s="1" t="n"/>
      <c r="B92" s="17" t="n">
        <v>46233</v>
      </c>
      <c r="C92" s="18" t="inlineStr">
        <is>
          <t>Basil</t>
        </is>
      </c>
      <c r="D92" s="19" t="inlineStr">
        <is>
          <t>Patio pots</t>
        </is>
      </c>
      <c r="E92" s="23" t="n">
        <v>1</v>
      </c>
      <c r="F92" s="21" t="n"/>
      <c r="G92" s="11">
        <f>IF(C92="","",IFERROR(INDEX(Crops!$D$6:$D$65,MATCH(C92,Crops!$B$6:$B$65,0))&amp;"",""))</f>
        <v/>
      </c>
      <c r="H92" s="12">
        <f>IF(OR(C92="",NOT(ISNUMBER(E92))),"",E92*N(IFERROR(INDEX(Crops!$E$6:$E$65,MATCH(C92,Crops!$B$6:$B$65,0)),0)))</f>
        <v/>
      </c>
      <c r="I92" s="11">
        <f>IF(AND(C92="",E92=""),"",IF(NOT(ISNUMBER(B92)),"Needs a date",IF(C92="","Needs a crop",IF(COUNTIF(Crops!$B$6:$B$65,C92)=0,"Not on Crops",IF(NOT(ISNUMBER(E92)),"Needs the amount",IF(AND(D92&lt;&gt;"",COUNTIF(Beds!$B$6:$B$35,D92)=0),"Not on Beds",""))))))</f>
        <v/>
      </c>
      <c r="J92" s="1">
        <f>IF(ISNUMBER(B92),YEAR(B92),"")</f>
        <v/>
      </c>
      <c r="K92">
        <f>IF(ISNUMBER(B92),YEAR(B92)*100+MONTH(B92),"")</f>
        <v/>
      </c>
      <c r="L92">
        <f>IF(ISNUMBER(B92),INT(B92),0)</f>
        <v/>
      </c>
    </row>
    <row r="93">
      <c r="A93" s="1" t="n"/>
      <c r="B93" s="17" t="n">
        <v>46235</v>
      </c>
      <c r="C93" s="18" t="inlineStr">
        <is>
          <t>Runner beans</t>
        </is>
      </c>
      <c r="D93" s="19" t="inlineStr">
        <is>
          <t>Bed 1</t>
        </is>
      </c>
      <c r="E93" s="23" t="n">
        <v>0.93</v>
      </c>
      <c r="F93" s="21" t="n"/>
      <c r="G93" s="11">
        <f>IF(C93="","",IFERROR(INDEX(Crops!$D$6:$D$65,MATCH(C93,Crops!$B$6:$B$65,0))&amp;"",""))</f>
        <v/>
      </c>
      <c r="H93" s="12">
        <f>IF(OR(C93="",NOT(ISNUMBER(E93))),"",E93*N(IFERROR(INDEX(Crops!$E$6:$E$65,MATCH(C93,Crops!$B$6:$B$65,0)),0)))</f>
        <v/>
      </c>
      <c r="I93" s="11">
        <f>IF(AND(C93="",E93=""),"",IF(NOT(ISNUMBER(B93)),"Needs a date",IF(C93="","Needs a crop",IF(COUNTIF(Crops!$B$6:$B$65,C93)=0,"Not on Crops",IF(NOT(ISNUMBER(E93)),"Needs the amount",IF(AND(D93&lt;&gt;"",COUNTIF(Beds!$B$6:$B$35,D93)=0),"Not on Beds",""))))))</f>
        <v/>
      </c>
      <c r="J93" s="1">
        <f>IF(ISNUMBER(B93),YEAR(B93),"")</f>
        <v/>
      </c>
      <c r="K93">
        <f>IF(ISNUMBER(B93),YEAR(B93)*100+MONTH(B93),"")</f>
        <v/>
      </c>
      <c r="L93">
        <f>IF(ISNUMBER(B93),INT(B93),0)</f>
        <v/>
      </c>
    </row>
    <row r="94">
      <c r="A94" s="1" t="n"/>
      <c r="B94" s="17" t="n">
        <v>46236</v>
      </c>
      <c r="C94" s="18" t="inlineStr">
        <is>
          <t>Tomatoes</t>
        </is>
      </c>
      <c r="D94" s="19" t="inlineStr">
        <is>
          <t>Greenhouse</t>
        </is>
      </c>
      <c r="E94" s="23" t="n">
        <v>2.01</v>
      </c>
      <c r="F94" s="21" t="n"/>
      <c r="G94" s="11">
        <f>IF(C94="","",IFERROR(INDEX(Crops!$D$6:$D$65,MATCH(C94,Crops!$B$6:$B$65,0))&amp;"",""))</f>
        <v/>
      </c>
      <c r="H94" s="12">
        <f>IF(OR(C94="",NOT(ISNUMBER(E94))),"",E94*N(IFERROR(INDEX(Crops!$E$6:$E$65,MATCH(C94,Crops!$B$6:$B$65,0)),0)))</f>
        <v/>
      </c>
      <c r="I94" s="11">
        <f>IF(AND(C94="",E94=""),"",IF(NOT(ISNUMBER(B94)),"Needs a date",IF(C94="","Needs a crop",IF(COUNTIF(Crops!$B$6:$B$65,C94)=0,"Not on Crops",IF(NOT(ISNUMBER(E94)),"Needs the amount",IF(AND(D94&lt;&gt;"",COUNTIF(Beds!$B$6:$B$35,D94)=0),"Not on Beds",""))))))</f>
        <v/>
      </c>
      <c r="J94" s="1">
        <f>IF(ISNUMBER(B94),YEAR(B94),"")</f>
        <v/>
      </c>
      <c r="K94">
        <f>IF(ISNUMBER(B94),YEAR(B94)*100+MONTH(B94),"")</f>
        <v/>
      </c>
      <c r="L94">
        <f>IF(ISNUMBER(B94),INT(B94),0)</f>
        <v/>
      </c>
    </row>
    <row r="95">
      <c r="A95" s="1" t="n"/>
      <c r="B95" s="17" t="n">
        <v>46236</v>
      </c>
      <c r="C95" s="18" t="inlineStr">
        <is>
          <t>Cucumbers</t>
        </is>
      </c>
      <c r="D95" s="19" t="inlineStr">
        <is>
          <t>Greenhouse</t>
        </is>
      </c>
      <c r="E95" s="23" t="n">
        <v>3</v>
      </c>
      <c r="F95" s="21" t="n"/>
      <c r="G95" s="11">
        <f>IF(C95="","",IFERROR(INDEX(Crops!$D$6:$D$65,MATCH(C95,Crops!$B$6:$B$65,0))&amp;"",""))</f>
        <v/>
      </c>
      <c r="H95" s="12">
        <f>IF(OR(C95="",NOT(ISNUMBER(E95))),"",E95*N(IFERROR(INDEX(Crops!$E$6:$E$65,MATCH(C95,Crops!$B$6:$B$65,0)),0)))</f>
        <v/>
      </c>
      <c r="I95" s="11">
        <f>IF(AND(C95="",E95=""),"",IF(NOT(ISNUMBER(B95)),"Needs a date",IF(C95="","Needs a crop",IF(COUNTIF(Crops!$B$6:$B$65,C95)=0,"Not on Crops",IF(NOT(ISNUMBER(E95)),"Needs the amount",IF(AND(D95&lt;&gt;"",COUNTIF(Beds!$B$6:$B$35,D95)=0),"Not on Beds",""))))))</f>
        <v/>
      </c>
      <c r="J95" s="1">
        <f>IF(ISNUMBER(B95),YEAR(B95),"")</f>
        <v/>
      </c>
      <c r="K95">
        <f>IF(ISNUMBER(B95),YEAR(B95)*100+MONTH(B95),"")</f>
        <v/>
      </c>
      <c r="L95">
        <f>IF(ISNUMBER(B95),INT(B95),0)</f>
        <v/>
      </c>
    </row>
    <row r="96">
      <c r="A96" s="1" t="n"/>
      <c r="B96" s="17" t="n">
        <v>46237</v>
      </c>
      <c r="C96" s="18" t="inlineStr">
        <is>
          <t>Zucchini</t>
        </is>
      </c>
      <c r="D96" s="19" t="inlineStr">
        <is>
          <t>Bed 3</t>
        </is>
      </c>
      <c r="E96" s="23" t="n">
        <v>0.58</v>
      </c>
      <c r="F96" s="21" t="n"/>
      <c r="G96" s="11">
        <f>IF(C96="","",IFERROR(INDEX(Crops!$D$6:$D$65,MATCH(C96,Crops!$B$6:$B$65,0))&amp;"",""))</f>
        <v/>
      </c>
      <c r="H96" s="12">
        <f>IF(OR(C96="",NOT(ISNUMBER(E96))),"",E96*N(IFERROR(INDEX(Crops!$E$6:$E$65,MATCH(C96,Crops!$B$6:$B$65,0)),0)))</f>
        <v/>
      </c>
      <c r="I96" s="11">
        <f>IF(AND(C96="",E96=""),"",IF(NOT(ISNUMBER(B96)),"Needs a date",IF(C96="","Needs a crop",IF(COUNTIF(Crops!$B$6:$B$65,C96)=0,"Not on Crops",IF(NOT(ISNUMBER(E96)),"Needs the amount",IF(AND(D96&lt;&gt;"",COUNTIF(Beds!$B$6:$B$35,D96)=0),"Not on Beds",""))))))</f>
        <v/>
      </c>
      <c r="J96" s="1">
        <f>IF(ISNUMBER(B96),YEAR(B96),"")</f>
        <v/>
      </c>
      <c r="K96">
        <f>IF(ISNUMBER(B96),YEAR(B96)*100+MONTH(B96),"")</f>
        <v/>
      </c>
      <c r="L96">
        <f>IF(ISNUMBER(B96),INT(B96),0)</f>
        <v/>
      </c>
    </row>
    <row r="97">
      <c r="A97" s="1" t="n"/>
      <c r="B97" s="17" t="n">
        <v>46238</v>
      </c>
      <c r="C97" s="18" t="inlineStr">
        <is>
          <t>Potatoes</t>
        </is>
      </c>
      <c r="D97" s="19" t="inlineStr">
        <is>
          <t>Bed 4</t>
        </is>
      </c>
      <c r="E97" s="23" t="n">
        <v>2.46</v>
      </c>
      <c r="F97" s="21" t="n"/>
      <c r="G97" s="11">
        <f>IF(C97="","",IFERROR(INDEX(Crops!$D$6:$D$65,MATCH(C97,Crops!$B$6:$B$65,0))&amp;"",""))</f>
        <v/>
      </c>
      <c r="H97" s="12">
        <f>IF(OR(C97="",NOT(ISNUMBER(E97))),"",E97*N(IFERROR(INDEX(Crops!$E$6:$E$65,MATCH(C97,Crops!$B$6:$B$65,0)),0)))</f>
        <v/>
      </c>
      <c r="I97" s="11">
        <f>IF(AND(C97="",E97=""),"",IF(NOT(ISNUMBER(B97)),"Needs a date",IF(C97="","Needs a crop",IF(COUNTIF(Crops!$B$6:$B$65,C97)=0,"Not on Crops",IF(NOT(ISNUMBER(E97)),"Needs the amount",IF(AND(D97&lt;&gt;"",COUNTIF(Beds!$B$6:$B$35,D97)=0),"Not on Beds",""))))))</f>
        <v/>
      </c>
      <c r="J97" s="1">
        <f>IF(ISNUMBER(B97),YEAR(B97),"")</f>
        <v/>
      </c>
      <c r="K97">
        <f>IF(ISNUMBER(B97),YEAR(B97)*100+MONTH(B97),"")</f>
        <v/>
      </c>
      <c r="L97">
        <f>IF(ISNUMBER(B97),INT(B97),0)</f>
        <v/>
      </c>
    </row>
    <row r="98">
      <c r="A98" s="1" t="n"/>
      <c r="B98" s="17" t="n">
        <v>46239</v>
      </c>
      <c r="C98" s="18" t="inlineStr">
        <is>
          <t>Runner beans</t>
        </is>
      </c>
      <c r="D98" s="19" t="inlineStr">
        <is>
          <t>Bed 1</t>
        </is>
      </c>
      <c r="E98" s="23" t="n">
        <v>0.41</v>
      </c>
      <c r="F98" s="21" t="n"/>
      <c r="G98" s="11">
        <f>IF(C98="","",IFERROR(INDEX(Crops!$D$6:$D$65,MATCH(C98,Crops!$B$6:$B$65,0))&amp;"",""))</f>
        <v/>
      </c>
      <c r="H98" s="12">
        <f>IF(OR(C98="",NOT(ISNUMBER(E98))),"",E98*N(IFERROR(INDEX(Crops!$E$6:$E$65,MATCH(C98,Crops!$B$6:$B$65,0)),0)))</f>
        <v/>
      </c>
      <c r="I98" s="11">
        <f>IF(AND(C98="",E98=""),"",IF(NOT(ISNUMBER(B98)),"Needs a date",IF(C98="","Needs a crop",IF(COUNTIF(Crops!$B$6:$B$65,C98)=0,"Not on Crops",IF(NOT(ISNUMBER(E98)),"Needs the amount",IF(AND(D98&lt;&gt;"",COUNTIF(Beds!$B$6:$B$35,D98)=0),"Not on Beds",""))))))</f>
        <v/>
      </c>
      <c r="J98" s="1">
        <f>IF(ISNUMBER(B98),YEAR(B98),"")</f>
        <v/>
      </c>
      <c r="K98">
        <f>IF(ISNUMBER(B98),YEAR(B98)*100+MONTH(B98),"")</f>
        <v/>
      </c>
      <c r="L98">
        <f>IF(ISNUMBER(B98),INT(B98),0)</f>
        <v/>
      </c>
    </row>
    <row r="99">
      <c r="A99" s="1" t="n"/>
      <c r="B99" s="17" t="n">
        <v>46240</v>
      </c>
      <c r="C99" s="18" t="inlineStr">
        <is>
          <t>Cucumbers</t>
        </is>
      </c>
      <c r="D99" s="19" t="inlineStr">
        <is>
          <t>Greenhouse</t>
        </is>
      </c>
      <c r="E99" s="23" t="n">
        <v>2</v>
      </c>
      <c r="F99" s="21" t="n"/>
      <c r="G99" s="11">
        <f>IF(C99="","",IFERROR(INDEX(Crops!$D$6:$D$65,MATCH(C99,Crops!$B$6:$B$65,0))&amp;"",""))</f>
        <v/>
      </c>
      <c r="H99" s="12">
        <f>IF(OR(C99="",NOT(ISNUMBER(E99))),"",E99*N(IFERROR(INDEX(Crops!$E$6:$E$65,MATCH(C99,Crops!$B$6:$B$65,0)),0)))</f>
        <v/>
      </c>
      <c r="I99" s="11">
        <f>IF(AND(C99="",E99=""),"",IF(NOT(ISNUMBER(B99)),"Needs a date",IF(C99="","Needs a crop",IF(COUNTIF(Crops!$B$6:$B$65,C99)=0,"Not on Crops",IF(NOT(ISNUMBER(E99)),"Needs the amount",IF(AND(D99&lt;&gt;"",COUNTIF(Beds!$B$6:$B$35,D99)=0),"Not on Beds",""))))))</f>
        <v/>
      </c>
      <c r="J99" s="1">
        <f>IF(ISNUMBER(B99),YEAR(B99),"")</f>
        <v/>
      </c>
      <c r="K99">
        <f>IF(ISNUMBER(B99),YEAR(B99)*100+MONTH(B99),"")</f>
        <v/>
      </c>
      <c r="L99">
        <f>IF(ISNUMBER(B99),INT(B99),0)</f>
        <v/>
      </c>
    </row>
    <row r="100">
      <c r="A100" s="1" t="n"/>
      <c r="B100" s="17" t="n">
        <v>46241</v>
      </c>
      <c r="C100" s="18" t="inlineStr">
        <is>
          <t>Tomatoes</t>
        </is>
      </c>
      <c r="D100" s="19" t="inlineStr">
        <is>
          <t>Greenhouse</t>
        </is>
      </c>
      <c r="E100" s="23" t="n">
        <v>1.96</v>
      </c>
      <c r="F100" s="21" t="n"/>
      <c r="G100" s="11">
        <f>IF(C100="","",IFERROR(INDEX(Crops!$D$6:$D$65,MATCH(C100,Crops!$B$6:$B$65,0))&amp;"",""))</f>
        <v/>
      </c>
      <c r="H100" s="12">
        <f>IF(OR(C100="",NOT(ISNUMBER(E100))),"",E100*N(IFERROR(INDEX(Crops!$E$6:$E$65,MATCH(C100,Crops!$B$6:$B$65,0)),0)))</f>
        <v/>
      </c>
      <c r="I100" s="11">
        <f>IF(AND(C100="",E100=""),"",IF(NOT(ISNUMBER(B100)),"Needs a date",IF(C100="","Needs a crop",IF(COUNTIF(Crops!$B$6:$B$65,C100)=0,"Not on Crops",IF(NOT(ISNUMBER(E100)),"Needs the amount",IF(AND(D100&lt;&gt;"",COUNTIF(Beds!$B$6:$B$35,D100)=0),"Not on Beds",""))))))</f>
        <v/>
      </c>
      <c r="J100" s="1">
        <f>IF(ISNUMBER(B100),YEAR(B100),"")</f>
        <v/>
      </c>
      <c r="K100">
        <f>IF(ISNUMBER(B100),YEAR(B100)*100+MONTH(B100),"")</f>
        <v/>
      </c>
      <c r="L100">
        <f>IF(ISNUMBER(B100),INT(B100),0)</f>
        <v/>
      </c>
    </row>
    <row r="101">
      <c r="A101" s="1" t="n"/>
      <c r="B101" s="17" t="n">
        <v>46241</v>
      </c>
      <c r="C101" s="18" t="inlineStr">
        <is>
          <t>Carrots</t>
        </is>
      </c>
      <c r="D101" s="19" t="inlineStr">
        <is>
          <t>Bed 2</t>
        </is>
      </c>
      <c r="E101" s="23" t="n">
        <v>0.88</v>
      </c>
      <c r="F101" s="21" t="n"/>
      <c r="G101" s="11">
        <f>IF(C101="","",IFERROR(INDEX(Crops!$D$6:$D$65,MATCH(C101,Crops!$B$6:$B$65,0))&amp;"",""))</f>
        <v/>
      </c>
      <c r="H101" s="12">
        <f>IF(OR(C101="",NOT(ISNUMBER(E101))),"",E101*N(IFERROR(INDEX(Crops!$E$6:$E$65,MATCH(C101,Crops!$B$6:$B$65,0)),0)))</f>
        <v/>
      </c>
      <c r="I101" s="11">
        <f>IF(AND(C101="",E101=""),"",IF(NOT(ISNUMBER(B101)),"Needs a date",IF(C101="","Needs a crop",IF(COUNTIF(Crops!$B$6:$B$65,C101)=0,"Not on Crops",IF(NOT(ISNUMBER(E101)),"Needs the amount",IF(AND(D101&lt;&gt;"",COUNTIF(Beds!$B$6:$B$35,D101)=0),"Not on Beds",""))))))</f>
        <v/>
      </c>
      <c r="J101" s="1">
        <f>IF(ISNUMBER(B101),YEAR(B101),"")</f>
        <v/>
      </c>
      <c r="K101">
        <f>IF(ISNUMBER(B101),YEAR(B101)*100+MONTH(B101),"")</f>
        <v/>
      </c>
      <c r="L101">
        <f>IF(ISNUMBER(B101),INT(B101),0)</f>
        <v/>
      </c>
    </row>
    <row r="102">
      <c r="A102" s="1" t="n"/>
      <c r="B102" s="17" t="n">
        <v>46242</v>
      </c>
      <c r="C102" s="18" t="inlineStr">
        <is>
          <t>Zucchini</t>
        </is>
      </c>
      <c r="D102" s="19" t="inlineStr">
        <is>
          <t>Bed 3</t>
        </is>
      </c>
      <c r="E102" s="23" t="n">
        <v>1.2</v>
      </c>
      <c r="F102" s="21" t="n"/>
      <c r="G102" s="11">
        <f>IF(C102="","",IFERROR(INDEX(Crops!$D$6:$D$65,MATCH(C102,Crops!$B$6:$B$65,0))&amp;"",""))</f>
        <v/>
      </c>
      <c r="H102" s="12">
        <f>IF(OR(C102="",NOT(ISNUMBER(E102))),"",E102*N(IFERROR(INDEX(Crops!$E$6:$E$65,MATCH(C102,Crops!$B$6:$B$65,0)),0)))</f>
        <v/>
      </c>
      <c r="I102" s="11">
        <f>IF(AND(C102="",E102=""),"",IF(NOT(ISNUMBER(B102)),"Needs a date",IF(C102="","Needs a crop",IF(COUNTIF(Crops!$B$6:$B$65,C102)=0,"Not on Crops",IF(NOT(ISNUMBER(E102)),"Needs the amount",IF(AND(D102&lt;&gt;"",COUNTIF(Beds!$B$6:$B$35,D102)=0),"Not on Beds",""))))))</f>
        <v/>
      </c>
      <c r="J102" s="1">
        <f>IF(ISNUMBER(B102),YEAR(B102),"")</f>
        <v/>
      </c>
      <c r="K102">
        <f>IF(ISNUMBER(B102),YEAR(B102)*100+MONTH(B102),"")</f>
        <v/>
      </c>
      <c r="L102">
        <f>IF(ISNUMBER(B102),INT(B102),0)</f>
        <v/>
      </c>
    </row>
    <row r="103">
      <c r="A103" s="1" t="n"/>
      <c r="B103" s="17" t="n">
        <v>46242</v>
      </c>
      <c r="C103" s="18" t="inlineStr">
        <is>
          <t>Basil</t>
        </is>
      </c>
      <c r="D103" s="19" t="inlineStr">
        <is>
          <t>Patio pots</t>
        </is>
      </c>
      <c r="E103" s="23" t="n">
        <v>1</v>
      </c>
      <c r="F103" s="21" t="n"/>
      <c r="G103" s="11">
        <f>IF(C103="","",IFERROR(INDEX(Crops!$D$6:$D$65,MATCH(C103,Crops!$B$6:$B$65,0))&amp;"",""))</f>
        <v/>
      </c>
      <c r="H103" s="12">
        <f>IF(OR(C103="",NOT(ISNUMBER(E103))),"",E103*N(IFERROR(INDEX(Crops!$E$6:$E$65,MATCH(C103,Crops!$B$6:$B$65,0)),0)))</f>
        <v/>
      </c>
      <c r="I103" s="11">
        <f>IF(AND(C103="",E103=""),"",IF(NOT(ISNUMBER(B103)),"Needs a date",IF(C103="","Needs a crop",IF(COUNTIF(Crops!$B$6:$B$65,C103)=0,"Not on Crops",IF(NOT(ISNUMBER(E103)),"Needs the amount",IF(AND(D103&lt;&gt;"",COUNTIF(Beds!$B$6:$B$35,D103)=0),"Not on Beds",""))))))</f>
        <v/>
      </c>
      <c r="J103" s="1">
        <f>IF(ISNUMBER(B103),YEAR(B103),"")</f>
        <v/>
      </c>
      <c r="K103">
        <f>IF(ISNUMBER(B103),YEAR(B103)*100+MONTH(B103),"")</f>
        <v/>
      </c>
      <c r="L103">
        <f>IF(ISNUMBER(B103),INT(B103),0)</f>
        <v/>
      </c>
    </row>
    <row r="104">
      <c r="A104" s="1" t="n"/>
      <c r="B104" s="17" t="n">
        <v>46244</v>
      </c>
      <c r="C104" s="18" t="inlineStr">
        <is>
          <t>Tomatoes</t>
        </is>
      </c>
      <c r="D104" s="19" t="inlineStr">
        <is>
          <t>Greenhouse</t>
        </is>
      </c>
      <c r="E104" s="23" t="n">
        <v>1.48</v>
      </c>
      <c r="F104" s="21" t="n"/>
      <c r="G104" s="11">
        <f>IF(C104="","",IFERROR(INDEX(Crops!$D$6:$D$65,MATCH(C104,Crops!$B$6:$B$65,0))&amp;"",""))</f>
        <v/>
      </c>
      <c r="H104" s="12">
        <f>IF(OR(C104="",NOT(ISNUMBER(E104))),"",E104*N(IFERROR(INDEX(Crops!$E$6:$E$65,MATCH(C104,Crops!$B$6:$B$65,0)),0)))</f>
        <v/>
      </c>
      <c r="I104" s="11">
        <f>IF(AND(C104="",E104=""),"",IF(NOT(ISNUMBER(B104)),"Needs a date",IF(C104="","Needs a crop",IF(COUNTIF(Crops!$B$6:$B$65,C104)=0,"Not on Crops",IF(NOT(ISNUMBER(E104)),"Needs the amount",IF(AND(D104&lt;&gt;"",COUNTIF(Beds!$B$6:$B$35,D104)=0),"Not on Beds",""))))))</f>
        <v/>
      </c>
      <c r="J104" s="1">
        <f>IF(ISNUMBER(B104),YEAR(B104),"")</f>
        <v/>
      </c>
      <c r="K104">
        <f>IF(ISNUMBER(B104),YEAR(B104)*100+MONTH(B104),"")</f>
        <v/>
      </c>
      <c r="L104">
        <f>IF(ISNUMBER(B104),INT(B104),0)</f>
        <v/>
      </c>
    </row>
    <row r="105">
      <c r="A105" s="1" t="n"/>
      <c r="B105" s="17" t="n">
        <v>46244</v>
      </c>
      <c r="C105" s="18" t="inlineStr">
        <is>
          <t>Cucumbers</t>
        </is>
      </c>
      <c r="D105" s="19" t="inlineStr">
        <is>
          <t>Greenhouse</t>
        </is>
      </c>
      <c r="E105" s="23" t="n">
        <v>2</v>
      </c>
      <c r="F105" s="21" t="n"/>
      <c r="G105" s="11">
        <f>IF(C105="","",IFERROR(INDEX(Crops!$D$6:$D$65,MATCH(C105,Crops!$B$6:$B$65,0))&amp;"",""))</f>
        <v/>
      </c>
      <c r="H105" s="12">
        <f>IF(OR(C105="",NOT(ISNUMBER(E105))),"",E105*N(IFERROR(INDEX(Crops!$E$6:$E$65,MATCH(C105,Crops!$B$6:$B$65,0)),0)))</f>
        <v/>
      </c>
      <c r="I105" s="11">
        <f>IF(AND(C105="",E105=""),"",IF(NOT(ISNUMBER(B105)),"Needs a date",IF(C105="","Needs a crop",IF(COUNTIF(Crops!$B$6:$B$65,C105)=0,"Not on Crops",IF(NOT(ISNUMBER(E105)),"Needs the amount",IF(AND(D105&lt;&gt;"",COUNTIF(Beds!$B$6:$B$35,D105)=0),"Not on Beds",""))))))</f>
        <v/>
      </c>
      <c r="J105" s="1">
        <f>IF(ISNUMBER(B105),YEAR(B105),"")</f>
        <v/>
      </c>
      <c r="K105">
        <f>IF(ISNUMBER(B105),YEAR(B105)*100+MONTH(B105),"")</f>
        <v/>
      </c>
      <c r="L105">
        <f>IF(ISNUMBER(B105),INT(B105),0)</f>
        <v/>
      </c>
    </row>
    <row r="106">
      <c r="A106" s="1" t="n"/>
      <c r="B106" s="17" t="n">
        <v>46245</v>
      </c>
      <c r="C106" s="18" t="inlineStr">
        <is>
          <t>Potatoes</t>
        </is>
      </c>
      <c r="D106" s="19" t="inlineStr">
        <is>
          <t>Bed 4</t>
        </is>
      </c>
      <c r="E106" s="23" t="n">
        <v>3.96</v>
      </c>
      <c r="F106" s="21" t="n"/>
      <c r="G106" s="11">
        <f>IF(C106="","",IFERROR(INDEX(Crops!$D$6:$D$65,MATCH(C106,Crops!$B$6:$B$65,0))&amp;"",""))</f>
        <v/>
      </c>
      <c r="H106" s="12">
        <f>IF(OR(C106="",NOT(ISNUMBER(E106))),"",E106*N(IFERROR(INDEX(Crops!$E$6:$E$65,MATCH(C106,Crops!$B$6:$B$65,0)),0)))</f>
        <v/>
      </c>
      <c r="I106" s="11">
        <f>IF(AND(C106="",E106=""),"",IF(NOT(ISNUMBER(B106)),"Needs a date",IF(C106="","Needs a crop",IF(COUNTIF(Crops!$B$6:$B$65,C106)=0,"Not on Crops",IF(NOT(ISNUMBER(E106)),"Needs the amount",IF(AND(D106&lt;&gt;"",COUNTIF(Beds!$B$6:$B$35,D106)=0),"Not on Beds",""))))))</f>
        <v/>
      </c>
      <c r="J106" s="1">
        <f>IF(ISNUMBER(B106),YEAR(B106),"")</f>
        <v/>
      </c>
      <c r="K106">
        <f>IF(ISNUMBER(B106),YEAR(B106)*100+MONTH(B106),"")</f>
        <v/>
      </c>
      <c r="L106">
        <f>IF(ISNUMBER(B106),INT(B106),0)</f>
        <v/>
      </c>
    </row>
    <row r="107">
      <c r="A107" s="1" t="n"/>
      <c r="B107" s="17" t="n">
        <v>46245</v>
      </c>
      <c r="C107" s="18" t="inlineStr">
        <is>
          <t>Runner beans</t>
        </is>
      </c>
      <c r="D107" s="19" t="inlineStr">
        <is>
          <t>Bed 1</t>
        </is>
      </c>
      <c r="E107" s="23" t="n">
        <v>1.05</v>
      </c>
      <c r="F107" s="21" t="n"/>
      <c r="G107" s="11">
        <f>IF(C107="","",IFERROR(INDEX(Crops!$D$6:$D$65,MATCH(C107,Crops!$B$6:$B$65,0))&amp;"",""))</f>
        <v/>
      </c>
      <c r="H107" s="12">
        <f>IF(OR(C107="",NOT(ISNUMBER(E107))),"",E107*N(IFERROR(INDEX(Crops!$E$6:$E$65,MATCH(C107,Crops!$B$6:$B$65,0)),0)))</f>
        <v/>
      </c>
      <c r="I107" s="11">
        <f>IF(AND(C107="",E107=""),"",IF(NOT(ISNUMBER(B107)),"Needs a date",IF(C107="","Needs a crop",IF(COUNTIF(Crops!$B$6:$B$65,C107)=0,"Not on Crops",IF(NOT(ISNUMBER(E107)),"Needs the amount",IF(AND(D107&lt;&gt;"",COUNTIF(Beds!$B$6:$B$35,D107)=0),"Not on Beds",""))))))</f>
        <v/>
      </c>
      <c r="J107" s="1">
        <f>IF(ISNUMBER(B107),YEAR(B107),"")</f>
        <v/>
      </c>
      <c r="K107">
        <f>IF(ISNUMBER(B107),YEAR(B107)*100+MONTH(B107),"")</f>
        <v/>
      </c>
      <c r="L107">
        <f>IF(ISNUMBER(B107),INT(B107),0)</f>
        <v/>
      </c>
    </row>
    <row r="108">
      <c r="A108" s="1" t="n"/>
      <c r="B108" s="17" t="n">
        <v>46246</v>
      </c>
      <c r="C108" s="18" t="inlineStr">
        <is>
          <t>Zucchini</t>
        </is>
      </c>
      <c r="D108" s="19" t="inlineStr">
        <is>
          <t>Bed 3</t>
        </is>
      </c>
      <c r="E108" s="23" t="n">
        <v>1.27</v>
      </c>
      <c r="F108" s="21" t="n"/>
      <c r="G108" s="11">
        <f>IF(C108="","",IFERROR(INDEX(Crops!$D$6:$D$65,MATCH(C108,Crops!$B$6:$B$65,0))&amp;"",""))</f>
        <v/>
      </c>
      <c r="H108" s="12">
        <f>IF(OR(C108="",NOT(ISNUMBER(E108))),"",E108*N(IFERROR(INDEX(Crops!$E$6:$E$65,MATCH(C108,Crops!$B$6:$B$65,0)),0)))</f>
        <v/>
      </c>
      <c r="I108" s="11">
        <f>IF(AND(C108="",E108=""),"",IF(NOT(ISNUMBER(B108)),"Needs a date",IF(C108="","Needs a crop",IF(COUNTIF(Crops!$B$6:$B$65,C108)=0,"Not on Crops",IF(NOT(ISNUMBER(E108)),"Needs the amount",IF(AND(D108&lt;&gt;"",COUNTIF(Beds!$B$6:$B$35,D108)=0),"Not on Beds",""))))))</f>
        <v/>
      </c>
      <c r="J108" s="1">
        <f>IF(ISNUMBER(B108),YEAR(B108),"")</f>
        <v/>
      </c>
      <c r="K108">
        <f>IF(ISNUMBER(B108),YEAR(B108)*100+MONTH(B108),"")</f>
        <v/>
      </c>
      <c r="L108">
        <f>IF(ISNUMBER(B108),INT(B108),0)</f>
        <v/>
      </c>
    </row>
    <row r="109">
      <c r="A109" s="1" t="n"/>
      <c r="B109" s="17" t="n">
        <v>46248</v>
      </c>
      <c r="C109" s="18" t="inlineStr">
        <is>
          <t>Tomatoes</t>
        </is>
      </c>
      <c r="D109" s="19" t="inlineStr">
        <is>
          <t>Greenhouse</t>
        </is>
      </c>
      <c r="E109" s="23" t="n">
        <v>0.87</v>
      </c>
      <c r="F109" s="21" t="n"/>
      <c r="G109" s="11">
        <f>IF(C109="","",IFERROR(INDEX(Crops!$D$6:$D$65,MATCH(C109,Crops!$B$6:$B$65,0))&amp;"",""))</f>
        <v/>
      </c>
      <c r="H109" s="12">
        <f>IF(OR(C109="",NOT(ISNUMBER(E109))),"",E109*N(IFERROR(INDEX(Crops!$E$6:$E$65,MATCH(C109,Crops!$B$6:$B$65,0)),0)))</f>
        <v/>
      </c>
      <c r="I109" s="11">
        <f>IF(AND(C109="",E109=""),"",IF(NOT(ISNUMBER(B109)),"Needs a date",IF(C109="","Needs a crop",IF(COUNTIF(Crops!$B$6:$B$65,C109)=0,"Not on Crops",IF(NOT(ISNUMBER(E109)),"Needs the amount",IF(AND(D109&lt;&gt;"",COUNTIF(Beds!$B$6:$B$35,D109)=0),"Not on Beds",""))))))</f>
        <v/>
      </c>
      <c r="J109" s="1">
        <f>IF(ISNUMBER(B109),YEAR(B109),"")</f>
        <v/>
      </c>
      <c r="K109">
        <f>IF(ISNUMBER(B109),YEAR(B109)*100+MONTH(B109),"")</f>
        <v/>
      </c>
      <c r="L109">
        <f>IF(ISNUMBER(B109),INT(B109),0)</f>
        <v/>
      </c>
    </row>
    <row r="110">
      <c r="A110" s="1" t="n"/>
      <c r="B110" s="17" t="n">
        <v>46249</v>
      </c>
      <c r="C110" s="18" t="inlineStr">
        <is>
          <t>Cucumbers</t>
        </is>
      </c>
      <c r="D110" s="19" t="inlineStr">
        <is>
          <t>Greenhouse</t>
        </is>
      </c>
      <c r="E110" s="23" t="n">
        <v>2</v>
      </c>
      <c r="F110" s="21" t="n"/>
      <c r="G110" s="11">
        <f>IF(C110="","",IFERROR(INDEX(Crops!$D$6:$D$65,MATCH(C110,Crops!$B$6:$B$65,0))&amp;"",""))</f>
        <v/>
      </c>
      <c r="H110" s="12">
        <f>IF(OR(C110="",NOT(ISNUMBER(E110))),"",E110*N(IFERROR(INDEX(Crops!$E$6:$E$65,MATCH(C110,Crops!$B$6:$B$65,0)),0)))</f>
        <v/>
      </c>
      <c r="I110" s="11">
        <f>IF(AND(C110="",E110=""),"",IF(NOT(ISNUMBER(B110)),"Needs a date",IF(C110="","Needs a crop",IF(COUNTIF(Crops!$B$6:$B$65,C110)=0,"Not on Crops",IF(NOT(ISNUMBER(E110)),"Needs the amount",IF(AND(D110&lt;&gt;"",COUNTIF(Beds!$B$6:$B$35,D110)=0),"Not on Beds",""))))))</f>
        <v/>
      </c>
      <c r="J110" s="1">
        <f>IF(ISNUMBER(B110),YEAR(B110),"")</f>
        <v/>
      </c>
      <c r="K110">
        <f>IF(ISNUMBER(B110),YEAR(B110)*100+MONTH(B110),"")</f>
        <v/>
      </c>
      <c r="L110">
        <f>IF(ISNUMBER(B110),INT(B110),0)</f>
        <v/>
      </c>
    </row>
    <row r="111">
      <c r="A111" s="1" t="n"/>
      <c r="B111" s="17" t="n">
        <v>46250</v>
      </c>
      <c r="C111" s="18" t="inlineStr">
        <is>
          <t>Zucchini</t>
        </is>
      </c>
      <c r="D111" s="19" t="inlineStr">
        <is>
          <t>Bed 3</t>
        </is>
      </c>
      <c r="E111" s="23" t="n">
        <v>0.77</v>
      </c>
      <c r="F111" s="21" t="n"/>
      <c r="G111" s="11">
        <f>IF(C111="","",IFERROR(INDEX(Crops!$D$6:$D$65,MATCH(C111,Crops!$B$6:$B$65,0))&amp;"",""))</f>
        <v/>
      </c>
      <c r="H111" s="12">
        <f>IF(OR(C111="",NOT(ISNUMBER(E111))),"",E111*N(IFERROR(INDEX(Crops!$E$6:$E$65,MATCH(C111,Crops!$B$6:$B$65,0)),0)))</f>
        <v/>
      </c>
      <c r="I111" s="11">
        <f>IF(AND(C111="",E111=""),"",IF(NOT(ISNUMBER(B111)),"Needs a date",IF(C111="","Needs a crop",IF(COUNTIF(Crops!$B$6:$B$65,C111)=0,"Not on Crops",IF(NOT(ISNUMBER(E111)),"Needs the amount",IF(AND(D111&lt;&gt;"",COUNTIF(Beds!$B$6:$B$35,D111)=0),"Not on Beds",""))))))</f>
        <v/>
      </c>
      <c r="J111" s="1">
        <f>IF(ISNUMBER(B111),YEAR(B111),"")</f>
        <v/>
      </c>
      <c r="K111">
        <f>IF(ISNUMBER(B111),YEAR(B111)*100+MONTH(B111),"")</f>
        <v/>
      </c>
      <c r="L111">
        <f>IF(ISNUMBER(B111),INT(B111),0)</f>
        <v/>
      </c>
    </row>
    <row r="112">
      <c r="A112" s="1" t="n"/>
      <c r="B112" s="17" t="n">
        <v>46251</v>
      </c>
      <c r="C112" s="18" t="inlineStr">
        <is>
          <t>Basil</t>
        </is>
      </c>
      <c r="D112" s="19" t="inlineStr">
        <is>
          <t>Patio pots</t>
        </is>
      </c>
      <c r="E112" s="23" t="n">
        <v>2</v>
      </c>
      <c r="F112" s="21" t="n"/>
      <c r="G112" s="11">
        <f>IF(C112="","",IFERROR(INDEX(Crops!$D$6:$D$65,MATCH(C112,Crops!$B$6:$B$65,0))&amp;"",""))</f>
        <v/>
      </c>
      <c r="H112" s="12">
        <f>IF(OR(C112="",NOT(ISNUMBER(E112))),"",E112*N(IFERROR(INDEX(Crops!$E$6:$E$65,MATCH(C112,Crops!$B$6:$B$65,0)),0)))</f>
        <v/>
      </c>
      <c r="I112" s="11">
        <f>IF(AND(C112="",E112=""),"",IF(NOT(ISNUMBER(B112)),"Needs a date",IF(C112="","Needs a crop",IF(COUNTIF(Crops!$B$6:$B$65,C112)=0,"Not on Crops",IF(NOT(ISNUMBER(E112)),"Needs the amount",IF(AND(D112&lt;&gt;"",COUNTIF(Beds!$B$6:$B$35,D112)=0),"Not on Beds",""))))))</f>
        <v/>
      </c>
      <c r="J112" s="1">
        <f>IF(ISNUMBER(B112),YEAR(B112),"")</f>
        <v/>
      </c>
      <c r="K112">
        <f>IF(ISNUMBER(B112),YEAR(B112)*100+MONTH(B112),"")</f>
        <v/>
      </c>
      <c r="L112">
        <f>IF(ISNUMBER(B112),INT(B112),0)</f>
        <v/>
      </c>
    </row>
    <row r="113">
      <c r="A113" s="1" t="n"/>
      <c r="B113" s="17" t="n">
        <v>46251</v>
      </c>
      <c r="C113" s="18" t="inlineStr">
        <is>
          <t>Runner beans</t>
        </is>
      </c>
      <c r="D113" s="19" t="inlineStr">
        <is>
          <t>Bed 1</t>
        </is>
      </c>
      <c r="E113" s="23" t="n">
        <v>0.71</v>
      </c>
      <c r="F113" s="21" t="n"/>
      <c r="G113" s="11">
        <f>IF(C113="","",IFERROR(INDEX(Crops!$D$6:$D$65,MATCH(C113,Crops!$B$6:$B$65,0))&amp;"",""))</f>
        <v/>
      </c>
      <c r="H113" s="12">
        <f>IF(OR(C113="",NOT(ISNUMBER(E113))),"",E113*N(IFERROR(INDEX(Crops!$E$6:$E$65,MATCH(C113,Crops!$B$6:$B$65,0)),0)))</f>
        <v/>
      </c>
      <c r="I113" s="11">
        <f>IF(AND(C113="",E113=""),"",IF(NOT(ISNUMBER(B113)),"Needs a date",IF(C113="","Needs a crop",IF(COUNTIF(Crops!$B$6:$B$65,C113)=0,"Not on Crops",IF(NOT(ISNUMBER(E113)),"Needs the amount",IF(AND(D113&lt;&gt;"",COUNTIF(Beds!$B$6:$B$35,D113)=0),"Not on Beds",""))))))</f>
        <v/>
      </c>
      <c r="J113" s="1">
        <f>IF(ISNUMBER(B113),YEAR(B113),"")</f>
        <v/>
      </c>
      <c r="K113">
        <f>IF(ISNUMBER(B113),YEAR(B113)*100+MONTH(B113),"")</f>
        <v/>
      </c>
      <c r="L113">
        <f>IF(ISNUMBER(B113),INT(B113),0)</f>
        <v/>
      </c>
    </row>
    <row r="114">
      <c r="A114" s="1" t="n"/>
      <c r="B114" s="17" t="n">
        <v>46252</v>
      </c>
      <c r="C114" s="18" t="inlineStr">
        <is>
          <t>Potatoes</t>
        </is>
      </c>
      <c r="D114" s="19" t="inlineStr">
        <is>
          <t>Bed 4</t>
        </is>
      </c>
      <c r="E114" s="23" t="n">
        <v>3.77</v>
      </c>
      <c r="F114" s="21" t="n"/>
      <c r="G114" s="11">
        <f>IF(C114="","",IFERROR(INDEX(Crops!$D$6:$D$65,MATCH(C114,Crops!$B$6:$B$65,0))&amp;"",""))</f>
        <v/>
      </c>
      <c r="H114" s="12">
        <f>IF(OR(C114="",NOT(ISNUMBER(E114))),"",E114*N(IFERROR(INDEX(Crops!$E$6:$E$65,MATCH(C114,Crops!$B$6:$B$65,0)),0)))</f>
        <v/>
      </c>
      <c r="I114" s="11">
        <f>IF(AND(C114="",E114=""),"",IF(NOT(ISNUMBER(B114)),"Needs a date",IF(C114="","Needs a crop",IF(COUNTIF(Crops!$B$6:$B$65,C114)=0,"Not on Crops",IF(NOT(ISNUMBER(E114)),"Needs the amount",IF(AND(D114&lt;&gt;"",COUNTIF(Beds!$B$6:$B$35,D114)=0),"Not on Beds",""))))))</f>
        <v/>
      </c>
      <c r="J114" s="1">
        <f>IF(ISNUMBER(B114),YEAR(B114),"")</f>
        <v/>
      </c>
      <c r="K114">
        <f>IF(ISNUMBER(B114),YEAR(B114)*100+MONTH(B114),"")</f>
        <v/>
      </c>
      <c r="L114">
        <f>IF(ISNUMBER(B114),INT(B114),0)</f>
        <v/>
      </c>
    </row>
    <row r="115">
      <c r="A115" s="1" t="n"/>
      <c r="B115" s="17" t="n">
        <v>46252</v>
      </c>
      <c r="C115" s="18" t="inlineStr">
        <is>
          <t>Tomatoes</t>
        </is>
      </c>
      <c r="D115" s="19" t="inlineStr">
        <is>
          <t>Greenhouse</t>
        </is>
      </c>
      <c r="E115" s="23" t="n">
        <v>1.8</v>
      </c>
      <c r="F115" s="21" t="n"/>
      <c r="G115" s="11">
        <f>IF(C115="","",IFERROR(INDEX(Crops!$D$6:$D$65,MATCH(C115,Crops!$B$6:$B$65,0))&amp;"",""))</f>
        <v/>
      </c>
      <c r="H115" s="12">
        <f>IF(OR(C115="",NOT(ISNUMBER(E115))),"",E115*N(IFERROR(INDEX(Crops!$E$6:$E$65,MATCH(C115,Crops!$B$6:$B$65,0)),0)))</f>
        <v/>
      </c>
      <c r="I115" s="11">
        <f>IF(AND(C115="",E115=""),"",IF(NOT(ISNUMBER(B115)),"Needs a date",IF(C115="","Needs a crop",IF(COUNTIF(Crops!$B$6:$B$65,C115)=0,"Not on Crops",IF(NOT(ISNUMBER(E115)),"Needs the amount",IF(AND(D115&lt;&gt;"",COUNTIF(Beds!$B$6:$B$35,D115)=0),"Not on Beds",""))))))</f>
        <v/>
      </c>
      <c r="J115" s="1">
        <f>IF(ISNUMBER(B115),YEAR(B115),"")</f>
        <v/>
      </c>
      <c r="K115">
        <f>IF(ISNUMBER(B115),YEAR(B115)*100+MONTH(B115),"")</f>
        <v/>
      </c>
      <c r="L115">
        <f>IF(ISNUMBER(B115),INT(B115),0)</f>
        <v/>
      </c>
    </row>
    <row r="116">
      <c r="A116" s="1" t="n"/>
      <c r="B116" s="17" t="n">
        <v>46252</v>
      </c>
      <c r="C116" s="18" t="inlineStr">
        <is>
          <t>Carrots</t>
        </is>
      </c>
      <c r="D116" s="19" t="inlineStr">
        <is>
          <t>Bed 2</t>
        </is>
      </c>
      <c r="E116" s="23" t="n">
        <v>0.74</v>
      </c>
      <c r="F116" s="21" t="n"/>
      <c r="G116" s="11">
        <f>IF(C116="","",IFERROR(INDEX(Crops!$D$6:$D$65,MATCH(C116,Crops!$B$6:$B$65,0))&amp;"",""))</f>
        <v/>
      </c>
      <c r="H116" s="12">
        <f>IF(OR(C116="",NOT(ISNUMBER(E116))),"",E116*N(IFERROR(INDEX(Crops!$E$6:$E$65,MATCH(C116,Crops!$B$6:$B$65,0)),0)))</f>
        <v/>
      </c>
      <c r="I116" s="11">
        <f>IF(AND(C116="",E116=""),"",IF(NOT(ISNUMBER(B116)),"Needs a date",IF(C116="","Needs a crop",IF(COUNTIF(Crops!$B$6:$B$65,C116)=0,"Not on Crops",IF(NOT(ISNUMBER(E116)),"Needs the amount",IF(AND(D116&lt;&gt;"",COUNTIF(Beds!$B$6:$B$35,D116)=0),"Not on Beds",""))))))</f>
        <v/>
      </c>
      <c r="J116" s="1">
        <f>IF(ISNUMBER(B116),YEAR(B116),"")</f>
        <v/>
      </c>
      <c r="K116">
        <f>IF(ISNUMBER(B116),YEAR(B116)*100+MONTH(B116),"")</f>
        <v/>
      </c>
      <c r="L116">
        <f>IF(ISNUMBER(B116),INT(B116),0)</f>
        <v/>
      </c>
    </row>
    <row r="117">
      <c r="A117" s="1" t="n"/>
      <c r="B117" s="17" t="n">
        <v>46254</v>
      </c>
      <c r="C117" s="18" t="inlineStr">
        <is>
          <t>Cucumbers</t>
        </is>
      </c>
      <c r="D117" s="19" t="inlineStr">
        <is>
          <t>Greenhouse</t>
        </is>
      </c>
      <c r="E117" s="23" t="n">
        <v>1</v>
      </c>
      <c r="F117" s="21" t="n"/>
      <c r="G117" s="11">
        <f>IF(C117="","",IFERROR(INDEX(Crops!$D$6:$D$65,MATCH(C117,Crops!$B$6:$B$65,0))&amp;"",""))</f>
        <v/>
      </c>
      <c r="H117" s="12">
        <f>IF(OR(C117="",NOT(ISNUMBER(E117))),"",E117*N(IFERROR(INDEX(Crops!$E$6:$E$65,MATCH(C117,Crops!$B$6:$B$65,0)),0)))</f>
        <v/>
      </c>
      <c r="I117" s="11">
        <f>IF(AND(C117="",E117=""),"",IF(NOT(ISNUMBER(B117)),"Needs a date",IF(C117="","Needs a crop",IF(COUNTIF(Crops!$B$6:$B$65,C117)=0,"Not on Crops",IF(NOT(ISNUMBER(E117)),"Needs the amount",IF(AND(D117&lt;&gt;"",COUNTIF(Beds!$B$6:$B$35,D117)=0),"Not on Beds",""))))))</f>
        <v/>
      </c>
      <c r="J117" s="1">
        <f>IF(ISNUMBER(B117),YEAR(B117),"")</f>
        <v/>
      </c>
      <c r="K117">
        <f>IF(ISNUMBER(B117),YEAR(B117)*100+MONTH(B117),"")</f>
        <v/>
      </c>
      <c r="L117">
        <f>IF(ISNUMBER(B117),INT(B117),0)</f>
        <v/>
      </c>
    </row>
    <row r="118">
      <c r="A118" s="1" t="n"/>
      <c r="B118" s="17" t="n">
        <v>46254</v>
      </c>
      <c r="C118" s="18" t="inlineStr">
        <is>
          <t>Peppers</t>
        </is>
      </c>
      <c r="D118" s="19" t="inlineStr">
        <is>
          <t>Bed 2</t>
        </is>
      </c>
      <c r="E118" s="23" t="n">
        <v>2</v>
      </c>
      <c r="F118" s="21" t="n"/>
      <c r="G118" s="11">
        <f>IF(C118="","",IFERROR(INDEX(Crops!$D$6:$D$65,MATCH(C118,Crops!$B$6:$B$65,0))&amp;"",""))</f>
        <v/>
      </c>
      <c r="H118" s="12">
        <f>IF(OR(C118="",NOT(ISNUMBER(E118))),"",E118*N(IFERROR(INDEX(Crops!$E$6:$E$65,MATCH(C118,Crops!$B$6:$B$65,0)),0)))</f>
        <v/>
      </c>
      <c r="I118" s="11">
        <f>IF(AND(C118="",E118=""),"",IF(NOT(ISNUMBER(B118)),"Needs a date",IF(C118="","Needs a crop",IF(COUNTIF(Crops!$B$6:$B$65,C118)=0,"Not on Crops",IF(NOT(ISNUMBER(E118)),"Needs the amount",IF(AND(D118&lt;&gt;"",COUNTIF(Beds!$B$6:$B$35,D118)=0),"Not on Beds",""))))))</f>
        <v/>
      </c>
      <c r="J118" s="1">
        <f>IF(ISNUMBER(B118),YEAR(B118),"")</f>
        <v/>
      </c>
      <c r="K118">
        <f>IF(ISNUMBER(B118),YEAR(B118)*100+MONTH(B118),"")</f>
        <v/>
      </c>
      <c r="L118">
        <f>IF(ISNUMBER(B118),INT(B118),0)</f>
        <v/>
      </c>
    </row>
    <row r="119">
      <c r="A119" s="1" t="n"/>
      <c r="B119" s="17" t="n">
        <v>46254</v>
      </c>
      <c r="C119" s="18" t="inlineStr">
        <is>
          <t>Beetroot</t>
        </is>
      </c>
      <c r="D119" s="19" t="inlineStr">
        <is>
          <t>Bed 4</t>
        </is>
      </c>
      <c r="E119" s="23" t="n">
        <v>1</v>
      </c>
      <c r="F119" s="21" t="n"/>
      <c r="G119" s="11">
        <f>IF(C119="","",IFERROR(INDEX(Crops!$D$6:$D$65,MATCH(C119,Crops!$B$6:$B$65,0))&amp;"",""))</f>
        <v/>
      </c>
      <c r="H119" s="12">
        <f>IF(OR(C119="",NOT(ISNUMBER(E119))),"",E119*N(IFERROR(INDEX(Crops!$E$6:$E$65,MATCH(C119,Crops!$B$6:$B$65,0)),0)))</f>
        <v/>
      </c>
      <c r="I119" s="11">
        <f>IF(AND(C119="",E119=""),"",IF(NOT(ISNUMBER(B119)),"Needs a date",IF(C119="","Needs a crop",IF(COUNTIF(Crops!$B$6:$B$65,C119)=0,"Not on Crops",IF(NOT(ISNUMBER(E119)),"Needs the amount",IF(AND(D119&lt;&gt;"",COUNTIF(Beds!$B$6:$B$35,D119)=0),"Not on Beds",""))))))</f>
        <v/>
      </c>
      <c r="J119" s="1">
        <f>IF(ISNUMBER(B119),YEAR(B119),"")</f>
        <v/>
      </c>
      <c r="K119">
        <f>IF(ISNUMBER(B119),YEAR(B119)*100+MONTH(B119),"")</f>
        <v/>
      </c>
      <c r="L119">
        <f>IF(ISNUMBER(B119),INT(B119),0)</f>
        <v/>
      </c>
    </row>
    <row r="120">
      <c r="A120" s="1" t="n"/>
      <c r="B120" s="17" t="n">
        <v>46255</v>
      </c>
      <c r="C120" s="18" t="inlineStr">
        <is>
          <t>Tomatoes</t>
        </is>
      </c>
      <c r="D120" s="19" t="inlineStr">
        <is>
          <t>Greenhouse</t>
        </is>
      </c>
      <c r="E120" s="23" t="n">
        <v>0.92</v>
      </c>
      <c r="F120" s="21" t="n"/>
      <c r="G120" s="11">
        <f>IF(C120="","",IFERROR(INDEX(Crops!$D$6:$D$65,MATCH(C120,Crops!$B$6:$B$65,0))&amp;"",""))</f>
        <v/>
      </c>
      <c r="H120" s="12">
        <f>IF(OR(C120="",NOT(ISNUMBER(E120))),"",E120*N(IFERROR(INDEX(Crops!$E$6:$E$65,MATCH(C120,Crops!$B$6:$B$65,0)),0)))</f>
        <v/>
      </c>
      <c r="I120" s="11">
        <f>IF(AND(C120="",E120=""),"",IF(NOT(ISNUMBER(B120)),"Needs a date",IF(C120="","Needs a crop",IF(COUNTIF(Crops!$B$6:$B$65,C120)=0,"Not on Crops",IF(NOT(ISNUMBER(E120)),"Needs the amount",IF(AND(D120&lt;&gt;"",COUNTIF(Beds!$B$6:$B$35,D120)=0),"Not on Beds",""))))))</f>
        <v/>
      </c>
      <c r="J120" s="1">
        <f>IF(ISNUMBER(B120),YEAR(B120),"")</f>
        <v/>
      </c>
      <c r="K120">
        <f>IF(ISNUMBER(B120),YEAR(B120)*100+MONTH(B120),"")</f>
        <v/>
      </c>
      <c r="L120">
        <f>IF(ISNUMBER(B120),INT(B120),0)</f>
        <v/>
      </c>
    </row>
    <row r="121">
      <c r="A121" s="1" t="n"/>
      <c r="B121" s="17" t="n">
        <v>46255</v>
      </c>
      <c r="C121" s="18" t="inlineStr">
        <is>
          <t>Zucchini</t>
        </is>
      </c>
      <c r="D121" s="19" t="inlineStr">
        <is>
          <t>Bed 3</t>
        </is>
      </c>
      <c r="E121" s="23" t="n">
        <v>1.06</v>
      </c>
      <c r="F121" s="21" t="n"/>
      <c r="G121" s="11">
        <f>IF(C121="","",IFERROR(INDEX(Crops!$D$6:$D$65,MATCH(C121,Crops!$B$6:$B$65,0))&amp;"",""))</f>
        <v/>
      </c>
      <c r="H121" s="12">
        <f>IF(OR(C121="",NOT(ISNUMBER(E121))),"",E121*N(IFERROR(INDEX(Crops!$E$6:$E$65,MATCH(C121,Crops!$B$6:$B$65,0)),0)))</f>
        <v/>
      </c>
      <c r="I121" s="11">
        <f>IF(AND(C121="",E121=""),"",IF(NOT(ISNUMBER(B121)),"Needs a date",IF(C121="","Needs a crop",IF(COUNTIF(Crops!$B$6:$B$65,C121)=0,"Not on Crops",IF(NOT(ISNUMBER(E121)),"Needs the amount",IF(AND(D121&lt;&gt;"",COUNTIF(Beds!$B$6:$B$35,D121)=0),"Not on Beds",""))))))</f>
        <v/>
      </c>
      <c r="J121" s="1">
        <f>IF(ISNUMBER(B121),YEAR(B121),"")</f>
        <v/>
      </c>
      <c r="K121">
        <f>IF(ISNUMBER(B121),YEAR(B121)*100+MONTH(B121),"")</f>
        <v/>
      </c>
      <c r="L121">
        <f>IF(ISNUMBER(B121),INT(B121),0)</f>
        <v/>
      </c>
    </row>
    <row r="122">
      <c r="A122" s="1" t="n"/>
      <c r="B122" s="17" t="n">
        <v>46257</v>
      </c>
      <c r="C122" s="18" t="inlineStr">
        <is>
          <t>Runner beans</t>
        </is>
      </c>
      <c r="D122" s="19" t="inlineStr">
        <is>
          <t>Bed 1</t>
        </is>
      </c>
      <c r="E122" s="23" t="n">
        <v>1.03</v>
      </c>
      <c r="F122" s="21" t="n"/>
      <c r="G122" s="11">
        <f>IF(C122="","",IFERROR(INDEX(Crops!$D$6:$D$65,MATCH(C122,Crops!$B$6:$B$65,0))&amp;"",""))</f>
        <v/>
      </c>
      <c r="H122" s="12">
        <f>IF(OR(C122="",NOT(ISNUMBER(E122))),"",E122*N(IFERROR(INDEX(Crops!$E$6:$E$65,MATCH(C122,Crops!$B$6:$B$65,0)),0)))</f>
        <v/>
      </c>
      <c r="I122" s="11">
        <f>IF(AND(C122="",E122=""),"",IF(NOT(ISNUMBER(B122)),"Needs a date",IF(C122="","Needs a crop",IF(COUNTIF(Crops!$B$6:$B$65,C122)=0,"Not on Crops",IF(NOT(ISNUMBER(E122)),"Needs the amount",IF(AND(D122&lt;&gt;"",COUNTIF(Beds!$B$6:$B$35,D122)=0),"Not on Beds",""))))))</f>
        <v/>
      </c>
      <c r="J122" s="1">
        <f>IF(ISNUMBER(B122),YEAR(B122),"")</f>
        <v/>
      </c>
      <c r="K122">
        <f>IF(ISNUMBER(B122),YEAR(B122)*100+MONTH(B122),"")</f>
        <v/>
      </c>
      <c r="L122">
        <f>IF(ISNUMBER(B122),INT(B122),0)</f>
        <v/>
      </c>
    </row>
    <row r="123">
      <c r="A123" s="1" t="n"/>
      <c r="B123" s="17" t="n">
        <v>46258</v>
      </c>
      <c r="C123" s="18" t="inlineStr">
        <is>
          <t>Tomatoes</t>
        </is>
      </c>
      <c r="D123" s="19" t="inlineStr">
        <is>
          <t>Greenhouse</t>
        </is>
      </c>
      <c r="E123" s="23" t="n">
        <v>1.69</v>
      </c>
      <c r="F123" s="21" t="n"/>
      <c r="G123" s="11">
        <f>IF(C123="","",IFERROR(INDEX(Crops!$D$6:$D$65,MATCH(C123,Crops!$B$6:$B$65,0))&amp;"",""))</f>
        <v/>
      </c>
      <c r="H123" s="12">
        <f>IF(OR(C123="",NOT(ISNUMBER(E123))),"",E123*N(IFERROR(INDEX(Crops!$E$6:$E$65,MATCH(C123,Crops!$B$6:$B$65,0)),0)))</f>
        <v/>
      </c>
      <c r="I123" s="11">
        <f>IF(AND(C123="",E123=""),"",IF(NOT(ISNUMBER(B123)),"Needs a date",IF(C123="","Needs a crop",IF(COUNTIF(Crops!$B$6:$B$65,C123)=0,"Not on Crops",IF(NOT(ISNUMBER(E123)),"Needs the amount",IF(AND(D123&lt;&gt;"",COUNTIF(Beds!$B$6:$B$35,D123)=0),"Not on Beds",""))))))</f>
        <v/>
      </c>
      <c r="J123" s="1">
        <f>IF(ISNUMBER(B123),YEAR(B123),"")</f>
        <v/>
      </c>
      <c r="K123">
        <f>IF(ISNUMBER(B123),YEAR(B123)*100+MONTH(B123),"")</f>
        <v/>
      </c>
      <c r="L123">
        <f>IF(ISNUMBER(B123),INT(B123),0)</f>
        <v/>
      </c>
    </row>
    <row r="124">
      <c r="A124" s="1" t="n"/>
      <c r="B124" s="17" t="n">
        <v>46259</v>
      </c>
      <c r="C124" s="18" t="inlineStr">
        <is>
          <t>Potatoes</t>
        </is>
      </c>
      <c r="D124" s="19" t="inlineStr">
        <is>
          <t>Bed 4</t>
        </is>
      </c>
      <c r="E124" s="23" t="n">
        <v>3.67</v>
      </c>
      <c r="F124" s="21" t="n"/>
      <c r="G124" s="11">
        <f>IF(C124="","",IFERROR(INDEX(Crops!$D$6:$D$65,MATCH(C124,Crops!$B$6:$B$65,0))&amp;"",""))</f>
        <v/>
      </c>
      <c r="H124" s="12">
        <f>IF(OR(C124="",NOT(ISNUMBER(E124))),"",E124*N(IFERROR(INDEX(Crops!$E$6:$E$65,MATCH(C124,Crops!$B$6:$B$65,0)),0)))</f>
        <v/>
      </c>
      <c r="I124" s="11">
        <f>IF(AND(C124="",E124=""),"",IF(NOT(ISNUMBER(B124)),"Needs a date",IF(C124="","Needs a crop",IF(COUNTIF(Crops!$B$6:$B$65,C124)=0,"Not on Crops",IF(NOT(ISNUMBER(E124)),"Needs the amount",IF(AND(D124&lt;&gt;"",COUNTIF(Beds!$B$6:$B$35,D124)=0),"Not on Beds",""))))))</f>
        <v/>
      </c>
      <c r="J124" s="1">
        <f>IF(ISNUMBER(B124),YEAR(B124),"")</f>
        <v/>
      </c>
      <c r="K124">
        <f>IF(ISNUMBER(B124),YEAR(B124)*100+MONTH(B124),"")</f>
        <v/>
      </c>
      <c r="L124">
        <f>IF(ISNUMBER(B124),INT(B124),0)</f>
        <v/>
      </c>
    </row>
    <row r="125">
      <c r="A125" s="1" t="n"/>
      <c r="B125" s="17" t="n">
        <v>46259</v>
      </c>
      <c r="C125" s="18" t="inlineStr">
        <is>
          <t>Cucumbers</t>
        </is>
      </c>
      <c r="D125" s="19" t="inlineStr">
        <is>
          <t>Greenhouse</t>
        </is>
      </c>
      <c r="E125" s="23" t="n">
        <v>2</v>
      </c>
      <c r="F125" s="21" t="n"/>
      <c r="G125" s="11">
        <f>IF(C125="","",IFERROR(INDEX(Crops!$D$6:$D$65,MATCH(C125,Crops!$B$6:$B$65,0))&amp;"",""))</f>
        <v/>
      </c>
      <c r="H125" s="12">
        <f>IF(OR(C125="",NOT(ISNUMBER(E125))),"",E125*N(IFERROR(INDEX(Crops!$E$6:$E$65,MATCH(C125,Crops!$B$6:$B$65,0)),0)))</f>
        <v/>
      </c>
      <c r="I125" s="11">
        <f>IF(AND(C125="",E125=""),"",IF(NOT(ISNUMBER(B125)),"Needs a date",IF(C125="","Needs a crop",IF(COUNTIF(Crops!$B$6:$B$65,C125)=0,"Not on Crops",IF(NOT(ISNUMBER(E125)),"Needs the amount",IF(AND(D125&lt;&gt;"",COUNTIF(Beds!$B$6:$B$35,D125)=0),"Not on Beds",""))))))</f>
        <v/>
      </c>
      <c r="J125" s="1">
        <f>IF(ISNUMBER(B125),YEAR(B125),"")</f>
        <v/>
      </c>
      <c r="K125">
        <f>IF(ISNUMBER(B125),YEAR(B125)*100+MONTH(B125),"")</f>
        <v/>
      </c>
      <c r="L125">
        <f>IF(ISNUMBER(B125),INT(B125),0)</f>
        <v/>
      </c>
    </row>
    <row r="126">
      <c r="A126" s="1" t="n"/>
      <c r="B126" s="17" t="n">
        <v>46260</v>
      </c>
      <c r="C126" s="18" t="inlineStr">
        <is>
          <t>Zucchini</t>
        </is>
      </c>
      <c r="D126" s="19" t="inlineStr">
        <is>
          <t>Bed 3</t>
        </is>
      </c>
      <c r="E126" s="23" t="n">
        <v>1.13</v>
      </c>
      <c r="F126" s="21" t="n"/>
      <c r="G126" s="11">
        <f>IF(C126="","",IFERROR(INDEX(Crops!$D$6:$D$65,MATCH(C126,Crops!$B$6:$B$65,0))&amp;"",""))</f>
        <v/>
      </c>
      <c r="H126" s="12">
        <f>IF(OR(C126="",NOT(ISNUMBER(E126))),"",E126*N(IFERROR(INDEX(Crops!$E$6:$E$65,MATCH(C126,Crops!$B$6:$B$65,0)),0)))</f>
        <v/>
      </c>
      <c r="I126" s="11">
        <f>IF(AND(C126="",E126=""),"",IF(NOT(ISNUMBER(B126)),"Needs a date",IF(C126="","Needs a crop",IF(COUNTIF(Crops!$B$6:$B$65,C126)=0,"Not on Crops",IF(NOT(ISNUMBER(E126)),"Needs the amount",IF(AND(D126&lt;&gt;"",COUNTIF(Beds!$B$6:$B$35,D126)=0),"Not on Beds",""))))))</f>
        <v/>
      </c>
      <c r="J126" s="1">
        <f>IF(ISNUMBER(B126),YEAR(B126),"")</f>
        <v/>
      </c>
      <c r="K126">
        <f>IF(ISNUMBER(B126),YEAR(B126)*100+MONTH(B126),"")</f>
        <v/>
      </c>
      <c r="L126">
        <f>IF(ISNUMBER(B126),INT(B126),0)</f>
        <v/>
      </c>
    </row>
    <row r="127">
      <c r="A127" s="1" t="n"/>
      <c r="B127" s="17" t="n">
        <v>46260</v>
      </c>
      <c r="C127" s="18" t="inlineStr">
        <is>
          <t>Basil</t>
        </is>
      </c>
      <c r="D127" s="19" t="inlineStr">
        <is>
          <t>Patio pots</t>
        </is>
      </c>
      <c r="E127" s="23" t="n">
        <v>1</v>
      </c>
      <c r="F127" s="21" t="n"/>
      <c r="G127" s="11">
        <f>IF(C127="","",IFERROR(INDEX(Crops!$D$6:$D$65,MATCH(C127,Crops!$B$6:$B$65,0))&amp;"",""))</f>
        <v/>
      </c>
      <c r="H127" s="12">
        <f>IF(OR(C127="",NOT(ISNUMBER(E127))),"",E127*N(IFERROR(INDEX(Crops!$E$6:$E$65,MATCH(C127,Crops!$B$6:$B$65,0)),0)))</f>
        <v/>
      </c>
      <c r="I127" s="11">
        <f>IF(AND(C127="",E127=""),"",IF(NOT(ISNUMBER(B127)),"Needs a date",IF(C127="","Needs a crop",IF(COUNTIF(Crops!$B$6:$B$65,C127)=0,"Not on Crops",IF(NOT(ISNUMBER(E127)),"Needs the amount",IF(AND(D127&lt;&gt;"",COUNTIF(Beds!$B$6:$B$35,D127)=0),"Not on Beds",""))))))</f>
        <v/>
      </c>
      <c r="J127" s="1">
        <f>IF(ISNUMBER(B127),YEAR(B127),"")</f>
        <v/>
      </c>
      <c r="K127">
        <f>IF(ISNUMBER(B127),YEAR(B127)*100+MONTH(B127),"")</f>
        <v/>
      </c>
      <c r="L127">
        <f>IF(ISNUMBER(B127),INT(B127),0)</f>
        <v/>
      </c>
    </row>
    <row r="128">
      <c r="A128" s="1" t="n"/>
      <c r="B128" s="17" t="n">
        <v>46260</v>
      </c>
      <c r="C128" s="18" t="inlineStr">
        <is>
          <t>Peppers</t>
        </is>
      </c>
      <c r="D128" s="19" t="inlineStr">
        <is>
          <t>Bed 2</t>
        </is>
      </c>
      <c r="E128" s="23" t="n">
        <v>5</v>
      </c>
      <c r="F128" s="21" t="n"/>
      <c r="G128" s="11">
        <f>IF(C128="","",IFERROR(INDEX(Crops!$D$6:$D$65,MATCH(C128,Crops!$B$6:$B$65,0))&amp;"",""))</f>
        <v/>
      </c>
      <c r="H128" s="12">
        <f>IF(OR(C128="",NOT(ISNUMBER(E128))),"",E128*N(IFERROR(INDEX(Crops!$E$6:$E$65,MATCH(C128,Crops!$B$6:$B$65,0)),0)))</f>
        <v/>
      </c>
      <c r="I128" s="11">
        <f>IF(AND(C128="",E128=""),"",IF(NOT(ISNUMBER(B128)),"Needs a date",IF(C128="","Needs a crop",IF(COUNTIF(Crops!$B$6:$B$65,C128)=0,"Not on Crops",IF(NOT(ISNUMBER(E128)),"Needs the amount",IF(AND(D128&lt;&gt;"",COUNTIF(Beds!$B$6:$B$35,D128)=0),"Not on Beds",""))))))</f>
        <v/>
      </c>
      <c r="J128" s="1">
        <f>IF(ISNUMBER(B128),YEAR(B128),"")</f>
        <v/>
      </c>
      <c r="K128">
        <f>IF(ISNUMBER(B128),YEAR(B128)*100+MONTH(B128),"")</f>
        <v/>
      </c>
      <c r="L128">
        <f>IF(ISNUMBER(B128),INT(B128),0)</f>
        <v/>
      </c>
    </row>
    <row r="129">
      <c r="A129" s="1" t="n"/>
      <c r="B129" s="17" t="n">
        <v>46261</v>
      </c>
      <c r="C129" s="18" t="inlineStr">
        <is>
          <t>Tomatoes</t>
        </is>
      </c>
      <c r="D129" s="19" t="inlineStr">
        <is>
          <t>Greenhouse</t>
        </is>
      </c>
      <c r="E129" s="23" t="n">
        <v>1.46</v>
      </c>
      <c r="F129" s="21" t="n"/>
      <c r="G129" s="11">
        <f>IF(C129="","",IFERROR(INDEX(Crops!$D$6:$D$65,MATCH(C129,Crops!$B$6:$B$65,0))&amp;"",""))</f>
        <v/>
      </c>
      <c r="H129" s="12">
        <f>IF(OR(C129="",NOT(ISNUMBER(E129))),"",E129*N(IFERROR(INDEX(Crops!$E$6:$E$65,MATCH(C129,Crops!$B$6:$B$65,0)),0)))</f>
        <v/>
      </c>
      <c r="I129" s="11">
        <f>IF(AND(C129="",E129=""),"",IF(NOT(ISNUMBER(B129)),"Needs a date",IF(C129="","Needs a crop",IF(COUNTIF(Crops!$B$6:$B$65,C129)=0,"Not on Crops",IF(NOT(ISNUMBER(E129)),"Needs the amount",IF(AND(D129&lt;&gt;"",COUNTIF(Beds!$B$6:$B$35,D129)=0),"Not on Beds",""))))))</f>
        <v/>
      </c>
      <c r="J129" s="1">
        <f>IF(ISNUMBER(B129),YEAR(B129),"")</f>
        <v/>
      </c>
      <c r="K129">
        <f>IF(ISNUMBER(B129),YEAR(B129)*100+MONTH(B129),"")</f>
        <v/>
      </c>
      <c r="L129">
        <f>IF(ISNUMBER(B129),INT(B129),0)</f>
        <v/>
      </c>
    </row>
    <row r="130">
      <c r="A130" s="1" t="n"/>
      <c r="B130" s="17" t="n">
        <v>46262</v>
      </c>
      <c r="C130" s="18" t="inlineStr">
        <is>
          <t>Runner beans</t>
        </is>
      </c>
      <c r="D130" s="19" t="inlineStr">
        <is>
          <t>Bed 1</t>
        </is>
      </c>
      <c r="E130" s="23" t="n">
        <v>1.02</v>
      </c>
      <c r="F130" s="21" t="n"/>
      <c r="G130" s="11">
        <f>IF(C130="","",IFERROR(INDEX(Crops!$D$6:$D$65,MATCH(C130,Crops!$B$6:$B$65,0))&amp;"",""))</f>
        <v/>
      </c>
      <c r="H130" s="12">
        <f>IF(OR(C130="",NOT(ISNUMBER(E130))),"",E130*N(IFERROR(INDEX(Crops!$E$6:$E$65,MATCH(C130,Crops!$B$6:$B$65,0)),0)))</f>
        <v/>
      </c>
      <c r="I130" s="11">
        <f>IF(AND(C130="",E130=""),"",IF(NOT(ISNUMBER(B130)),"Needs a date",IF(C130="","Needs a crop",IF(COUNTIF(Crops!$B$6:$B$65,C130)=0,"Not on Crops",IF(NOT(ISNUMBER(E130)),"Needs the amount",IF(AND(D130&lt;&gt;"",COUNTIF(Beds!$B$6:$B$35,D130)=0),"Not on Beds",""))))))</f>
        <v/>
      </c>
      <c r="J130" s="1">
        <f>IF(ISNUMBER(B130),YEAR(B130),"")</f>
        <v/>
      </c>
      <c r="K130">
        <f>IF(ISNUMBER(B130),YEAR(B130)*100+MONTH(B130),"")</f>
        <v/>
      </c>
      <c r="L130">
        <f>IF(ISNUMBER(B130),INT(B130),0)</f>
        <v/>
      </c>
    </row>
    <row r="131">
      <c r="A131" s="1" t="n"/>
      <c r="B131" s="17" t="n">
        <v>46264</v>
      </c>
      <c r="C131" s="18" t="inlineStr">
        <is>
          <t>Cucumbers</t>
        </is>
      </c>
      <c r="D131" s="19" t="inlineStr">
        <is>
          <t>Greenhouse</t>
        </is>
      </c>
      <c r="E131" s="23" t="n">
        <v>3</v>
      </c>
      <c r="F131" s="21" t="n"/>
      <c r="G131" s="11">
        <f>IF(C131="","",IFERROR(INDEX(Crops!$D$6:$D$65,MATCH(C131,Crops!$B$6:$B$65,0))&amp;"",""))</f>
        <v/>
      </c>
      <c r="H131" s="12">
        <f>IF(OR(C131="",NOT(ISNUMBER(E131))),"",E131*N(IFERROR(INDEX(Crops!$E$6:$E$65,MATCH(C131,Crops!$B$6:$B$65,0)),0)))</f>
        <v/>
      </c>
      <c r="I131" s="11">
        <f>IF(AND(C131="",E131=""),"",IF(NOT(ISNUMBER(B131)),"Needs a date",IF(C131="","Needs a crop",IF(COUNTIF(Crops!$B$6:$B$65,C131)=0,"Not on Crops",IF(NOT(ISNUMBER(E131)),"Needs the amount",IF(AND(D131&lt;&gt;"",COUNTIF(Beds!$B$6:$B$35,D131)=0),"Not on Beds",""))))))</f>
        <v/>
      </c>
      <c r="J131" s="1">
        <f>IF(ISNUMBER(B131),YEAR(B131),"")</f>
        <v/>
      </c>
      <c r="K131">
        <f>IF(ISNUMBER(B131),YEAR(B131)*100+MONTH(B131),"")</f>
        <v/>
      </c>
      <c r="L131">
        <f>IF(ISNUMBER(B131),INT(B131),0)</f>
        <v/>
      </c>
    </row>
    <row r="132">
      <c r="A132" s="1" t="n"/>
      <c r="B132" s="17" t="n">
        <v>46264</v>
      </c>
      <c r="C132" s="18" t="inlineStr">
        <is>
          <t>Carrots</t>
        </is>
      </c>
      <c r="D132" s="19" t="inlineStr">
        <is>
          <t>Bed 2</t>
        </is>
      </c>
      <c r="E132" s="23" t="n">
        <v>0.64</v>
      </c>
      <c r="F132" s="21" t="n"/>
      <c r="G132" s="11">
        <f>IF(C132="","",IFERROR(INDEX(Crops!$D$6:$D$65,MATCH(C132,Crops!$B$6:$B$65,0))&amp;"",""))</f>
        <v/>
      </c>
      <c r="H132" s="12">
        <f>IF(OR(C132="",NOT(ISNUMBER(E132))),"",E132*N(IFERROR(INDEX(Crops!$E$6:$E$65,MATCH(C132,Crops!$B$6:$B$65,0)),0)))</f>
        <v/>
      </c>
      <c r="I132" s="11">
        <f>IF(AND(C132="",E132=""),"",IF(NOT(ISNUMBER(B132)),"Needs a date",IF(C132="","Needs a crop",IF(COUNTIF(Crops!$B$6:$B$65,C132)=0,"Not on Crops",IF(NOT(ISNUMBER(E132)),"Needs the amount",IF(AND(D132&lt;&gt;"",COUNTIF(Beds!$B$6:$B$35,D132)=0),"Not on Beds",""))))))</f>
        <v/>
      </c>
      <c r="J132" s="1">
        <f>IF(ISNUMBER(B132),YEAR(B132),"")</f>
        <v/>
      </c>
      <c r="K132">
        <f>IF(ISNUMBER(B132),YEAR(B132)*100+MONTH(B132),"")</f>
        <v/>
      </c>
      <c r="L132">
        <f>IF(ISNUMBER(B132),INT(B132),0)</f>
        <v/>
      </c>
    </row>
    <row r="133">
      <c r="A133" s="1" t="n"/>
      <c r="B133" s="17" t="n">
        <v>46264</v>
      </c>
      <c r="C133" s="18" t="inlineStr">
        <is>
          <t>Beetroot</t>
        </is>
      </c>
      <c r="D133" s="19" t="inlineStr">
        <is>
          <t>Bed 4</t>
        </is>
      </c>
      <c r="E133" s="23" t="n">
        <v>1</v>
      </c>
      <c r="F133" s="21" t="n"/>
      <c r="G133" s="11">
        <f>IF(C133="","",IFERROR(INDEX(Crops!$D$6:$D$65,MATCH(C133,Crops!$B$6:$B$65,0))&amp;"",""))</f>
        <v/>
      </c>
      <c r="H133" s="12">
        <f>IF(OR(C133="",NOT(ISNUMBER(E133))),"",E133*N(IFERROR(INDEX(Crops!$E$6:$E$65,MATCH(C133,Crops!$B$6:$B$65,0)),0)))</f>
        <v/>
      </c>
      <c r="I133" s="11">
        <f>IF(AND(C133="",E133=""),"",IF(NOT(ISNUMBER(B133)),"Needs a date",IF(C133="","Needs a crop",IF(COUNTIF(Crops!$B$6:$B$65,C133)=0,"Not on Crops",IF(NOT(ISNUMBER(E133)),"Needs the amount",IF(AND(D133&lt;&gt;"",COUNTIF(Beds!$B$6:$B$35,D133)=0),"Not on Beds",""))))))</f>
        <v/>
      </c>
      <c r="J133" s="1">
        <f>IF(ISNUMBER(B133),YEAR(B133),"")</f>
        <v/>
      </c>
      <c r="K133">
        <f>IF(ISNUMBER(B133),YEAR(B133)*100+MONTH(B133),"")</f>
        <v/>
      </c>
      <c r="L133">
        <f>IF(ISNUMBER(B133),INT(B133),0)</f>
        <v/>
      </c>
    </row>
    <row r="134">
      <c r="A134" s="1" t="n"/>
      <c r="B134" s="17" t="n">
        <v>46265</v>
      </c>
      <c r="C134" s="18" t="inlineStr">
        <is>
          <t>Tomatoes</t>
        </is>
      </c>
      <c r="D134" s="19" t="inlineStr">
        <is>
          <t>Greenhouse</t>
        </is>
      </c>
      <c r="E134" s="23" t="n">
        <v>0.84</v>
      </c>
      <c r="F134" s="21" t="n"/>
      <c r="G134" s="11">
        <f>IF(C134="","",IFERROR(INDEX(Crops!$D$6:$D$65,MATCH(C134,Crops!$B$6:$B$65,0))&amp;"",""))</f>
        <v/>
      </c>
      <c r="H134" s="12">
        <f>IF(OR(C134="",NOT(ISNUMBER(E134))),"",E134*N(IFERROR(INDEX(Crops!$E$6:$E$65,MATCH(C134,Crops!$B$6:$B$65,0)),0)))</f>
        <v/>
      </c>
      <c r="I134" s="11">
        <f>IF(AND(C134="",E134=""),"",IF(NOT(ISNUMBER(B134)),"Needs a date",IF(C134="","Needs a crop",IF(COUNTIF(Crops!$B$6:$B$65,C134)=0,"Not on Crops",IF(NOT(ISNUMBER(E134)),"Needs the amount",IF(AND(D134&lt;&gt;"",COUNTIF(Beds!$B$6:$B$35,D134)=0),"Not on Beds",""))))))</f>
        <v/>
      </c>
      <c r="J134" s="1">
        <f>IF(ISNUMBER(B134),YEAR(B134),"")</f>
        <v/>
      </c>
      <c r="K134">
        <f>IF(ISNUMBER(B134),YEAR(B134)*100+MONTH(B134),"")</f>
        <v/>
      </c>
      <c r="L134">
        <f>IF(ISNUMBER(B134),INT(B134),0)</f>
        <v/>
      </c>
    </row>
    <row r="135">
      <c r="A135" s="1" t="n"/>
      <c r="B135" s="17" t="n">
        <v>46265</v>
      </c>
      <c r="C135" s="18" t="inlineStr">
        <is>
          <t>Zucchini</t>
        </is>
      </c>
      <c r="D135" s="19" t="inlineStr">
        <is>
          <t>Bed 3</t>
        </is>
      </c>
      <c r="E135" s="23" t="n">
        <v>0.92</v>
      </c>
      <c r="F135" s="21" t="n"/>
      <c r="G135" s="11">
        <f>IF(C135="","",IFERROR(INDEX(Crops!$D$6:$D$65,MATCH(C135,Crops!$B$6:$B$65,0))&amp;"",""))</f>
        <v/>
      </c>
      <c r="H135" s="12">
        <f>IF(OR(C135="",NOT(ISNUMBER(E135))),"",E135*N(IFERROR(INDEX(Crops!$E$6:$E$65,MATCH(C135,Crops!$B$6:$B$65,0)),0)))</f>
        <v/>
      </c>
      <c r="I135" s="11">
        <f>IF(AND(C135="",E135=""),"",IF(NOT(ISNUMBER(B135)),"Needs a date",IF(C135="","Needs a crop",IF(COUNTIF(Crops!$B$6:$B$65,C135)=0,"Not on Crops",IF(NOT(ISNUMBER(E135)),"Needs the amount",IF(AND(D135&lt;&gt;"",COUNTIF(Beds!$B$6:$B$35,D135)=0),"Not on Beds",""))))))</f>
        <v/>
      </c>
      <c r="J135" s="1">
        <f>IF(ISNUMBER(B135),YEAR(B135),"")</f>
        <v/>
      </c>
      <c r="K135">
        <f>IF(ISNUMBER(B135),YEAR(B135)*100+MONTH(B135),"")</f>
        <v/>
      </c>
      <c r="L135">
        <f>IF(ISNUMBER(B135),INT(B135),0)</f>
        <v/>
      </c>
    </row>
    <row r="136">
      <c r="A136" s="1" t="n"/>
      <c r="B136" s="17" t="n">
        <v>46266</v>
      </c>
      <c r="C136" s="18" t="inlineStr">
        <is>
          <t>Onions</t>
        </is>
      </c>
      <c r="D136" s="19" t="inlineStr">
        <is>
          <t>Bed 2</t>
        </is>
      </c>
      <c r="E136" s="23" t="n">
        <v>4.44</v>
      </c>
      <c r="F136" s="21" t="n"/>
      <c r="G136" s="11">
        <f>IF(C136="","",IFERROR(INDEX(Crops!$D$6:$D$65,MATCH(C136,Crops!$B$6:$B$65,0))&amp;"",""))</f>
        <v/>
      </c>
      <c r="H136" s="12">
        <f>IF(OR(C136="",NOT(ISNUMBER(E136))),"",E136*N(IFERROR(INDEX(Crops!$E$6:$E$65,MATCH(C136,Crops!$B$6:$B$65,0)),0)))</f>
        <v/>
      </c>
      <c r="I136" s="11">
        <f>IF(AND(C136="",E136=""),"",IF(NOT(ISNUMBER(B136)),"Needs a date",IF(C136="","Needs a crop",IF(COUNTIF(Crops!$B$6:$B$65,C136)=0,"Not on Crops",IF(NOT(ISNUMBER(E136)),"Needs the amount",IF(AND(D136&lt;&gt;"",COUNTIF(Beds!$B$6:$B$35,D136)=0),"Not on Beds",""))))))</f>
        <v/>
      </c>
      <c r="J136" s="1">
        <f>IF(ISNUMBER(B136),YEAR(B136),"")</f>
        <v/>
      </c>
      <c r="K136">
        <f>IF(ISNUMBER(B136),YEAR(B136)*100+MONTH(B136),"")</f>
        <v/>
      </c>
      <c r="L136">
        <f>IF(ISNUMBER(B136),INT(B136),0)</f>
        <v/>
      </c>
    </row>
    <row r="137">
      <c r="A137" s="1" t="n"/>
      <c r="B137" s="17" t="n">
        <v>46266</v>
      </c>
      <c r="C137" s="18" t="inlineStr">
        <is>
          <t>Peppers</t>
        </is>
      </c>
      <c r="D137" s="19" t="inlineStr">
        <is>
          <t>Bed 2</t>
        </is>
      </c>
      <c r="E137" s="23" t="n">
        <v>5</v>
      </c>
      <c r="F137" s="21" t="n"/>
      <c r="G137" s="11">
        <f>IF(C137="","",IFERROR(INDEX(Crops!$D$6:$D$65,MATCH(C137,Crops!$B$6:$B$65,0))&amp;"",""))</f>
        <v/>
      </c>
      <c r="H137" s="12">
        <f>IF(OR(C137="",NOT(ISNUMBER(E137))),"",E137*N(IFERROR(INDEX(Crops!$E$6:$E$65,MATCH(C137,Crops!$B$6:$B$65,0)),0)))</f>
        <v/>
      </c>
      <c r="I137" s="11">
        <f>IF(AND(C137="",E137=""),"",IF(NOT(ISNUMBER(B137)),"Needs a date",IF(C137="","Needs a crop",IF(COUNTIF(Crops!$B$6:$B$65,C137)=0,"Not on Crops",IF(NOT(ISNUMBER(E137)),"Needs the amount",IF(AND(D137&lt;&gt;"",COUNTIF(Beds!$B$6:$B$35,D137)=0),"Not on Beds",""))))))</f>
        <v/>
      </c>
      <c r="J137" s="1">
        <f>IF(ISNUMBER(B137),YEAR(B137),"")</f>
        <v/>
      </c>
      <c r="K137">
        <f>IF(ISNUMBER(B137),YEAR(B137)*100+MONTH(B137),"")</f>
        <v/>
      </c>
      <c r="L137">
        <f>IF(ISNUMBER(B137),INT(B137),0)</f>
        <v/>
      </c>
    </row>
    <row r="138">
      <c r="A138" s="1" t="n"/>
      <c r="B138" s="17" t="n">
        <v>46267</v>
      </c>
      <c r="C138" s="18" t="inlineStr">
        <is>
          <t>Runner beans</t>
        </is>
      </c>
      <c r="D138" s="19" t="inlineStr">
        <is>
          <t>Bed 1</t>
        </is>
      </c>
      <c r="E138" s="23" t="n">
        <v>1.03</v>
      </c>
      <c r="F138" s="21" t="n"/>
      <c r="G138" s="11">
        <f>IF(C138="","",IFERROR(INDEX(Crops!$D$6:$D$65,MATCH(C138,Crops!$B$6:$B$65,0))&amp;"",""))</f>
        <v/>
      </c>
      <c r="H138" s="12">
        <f>IF(OR(C138="",NOT(ISNUMBER(E138))),"",E138*N(IFERROR(INDEX(Crops!$E$6:$E$65,MATCH(C138,Crops!$B$6:$B$65,0)),0)))</f>
        <v/>
      </c>
      <c r="I138" s="11">
        <f>IF(AND(C138="",E138=""),"",IF(NOT(ISNUMBER(B138)),"Needs a date",IF(C138="","Needs a crop",IF(COUNTIF(Crops!$B$6:$B$65,C138)=0,"Not on Crops",IF(NOT(ISNUMBER(E138)),"Needs the amount",IF(AND(D138&lt;&gt;"",COUNTIF(Beds!$B$6:$B$35,D138)=0),"Not on Beds",""))))))</f>
        <v/>
      </c>
      <c r="J138" s="1">
        <f>IF(ISNUMBER(B138),YEAR(B138),"")</f>
        <v/>
      </c>
      <c r="K138">
        <f>IF(ISNUMBER(B138),YEAR(B138)*100+MONTH(B138),"")</f>
        <v/>
      </c>
      <c r="L138">
        <f>IF(ISNUMBER(B138),INT(B138),0)</f>
        <v/>
      </c>
    </row>
    <row r="139">
      <c r="A139" s="1" t="n"/>
      <c r="B139" s="17" t="n">
        <v>46269</v>
      </c>
      <c r="C139" s="18" t="inlineStr">
        <is>
          <t>Onions</t>
        </is>
      </c>
      <c r="D139" s="19" t="inlineStr">
        <is>
          <t>Bed 2</t>
        </is>
      </c>
      <c r="E139" s="23" t="n">
        <v>5.55</v>
      </c>
      <c r="F139" s="21" t="n"/>
      <c r="G139" s="11">
        <f>IF(C139="","",IFERROR(INDEX(Crops!$D$6:$D$65,MATCH(C139,Crops!$B$6:$B$65,0))&amp;"",""))</f>
        <v/>
      </c>
      <c r="H139" s="12">
        <f>IF(OR(C139="",NOT(ISNUMBER(E139))),"",E139*N(IFERROR(INDEX(Crops!$E$6:$E$65,MATCH(C139,Crops!$B$6:$B$65,0)),0)))</f>
        <v/>
      </c>
      <c r="I139" s="11">
        <f>IF(AND(C139="",E139=""),"",IF(NOT(ISNUMBER(B139)),"Needs a date",IF(C139="","Needs a crop",IF(COUNTIF(Crops!$B$6:$B$65,C139)=0,"Not on Crops",IF(NOT(ISNUMBER(E139)),"Needs the amount",IF(AND(D139&lt;&gt;"",COUNTIF(Beds!$B$6:$B$35,D139)=0),"Not on Beds",""))))))</f>
        <v/>
      </c>
      <c r="J139" s="1">
        <f>IF(ISNUMBER(B139),YEAR(B139),"")</f>
        <v/>
      </c>
      <c r="K139">
        <f>IF(ISNUMBER(B139),YEAR(B139)*100+MONTH(B139),"")</f>
        <v/>
      </c>
      <c r="L139">
        <f>IF(ISNUMBER(B139),INT(B139),0)</f>
        <v/>
      </c>
    </row>
    <row r="140">
      <c r="A140" s="1" t="n"/>
      <c r="B140" s="17" t="n">
        <v>46269</v>
      </c>
      <c r="C140" s="18" t="inlineStr">
        <is>
          <t>Tomatoes</t>
        </is>
      </c>
      <c r="D140" s="19" t="inlineStr">
        <is>
          <t>Greenhouse</t>
        </is>
      </c>
      <c r="E140" s="23" t="n">
        <v>0.68</v>
      </c>
      <c r="F140" s="21" t="n"/>
      <c r="G140" s="11">
        <f>IF(C140="","",IFERROR(INDEX(Crops!$D$6:$D$65,MATCH(C140,Crops!$B$6:$B$65,0))&amp;"",""))</f>
        <v/>
      </c>
      <c r="H140" s="12">
        <f>IF(OR(C140="",NOT(ISNUMBER(E140))),"",E140*N(IFERROR(INDEX(Crops!$E$6:$E$65,MATCH(C140,Crops!$B$6:$B$65,0)),0)))</f>
        <v/>
      </c>
      <c r="I140" s="11">
        <f>IF(AND(C140="",E140=""),"",IF(NOT(ISNUMBER(B140)),"Needs a date",IF(C140="","Needs a crop",IF(COUNTIF(Crops!$B$6:$B$65,C140)=0,"Not on Crops",IF(NOT(ISNUMBER(E140)),"Needs the amount",IF(AND(D140&lt;&gt;"",COUNTIF(Beds!$B$6:$B$35,D140)=0),"Not on Beds",""))))))</f>
        <v/>
      </c>
      <c r="J140" s="1">
        <f>IF(ISNUMBER(B140),YEAR(B140),"")</f>
        <v/>
      </c>
      <c r="K140">
        <f>IF(ISNUMBER(B140),YEAR(B140)*100+MONTH(B140),"")</f>
        <v/>
      </c>
      <c r="L140">
        <f>IF(ISNUMBER(B140),INT(B140),0)</f>
        <v/>
      </c>
    </row>
    <row r="141">
      <c r="A141" s="1" t="n"/>
      <c r="B141" s="17" t="n">
        <v>46269</v>
      </c>
      <c r="C141" s="18" t="inlineStr">
        <is>
          <t>Cucumbers</t>
        </is>
      </c>
      <c r="D141" s="19" t="inlineStr">
        <is>
          <t>Greenhouse</t>
        </is>
      </c>
      <c r="E141" s="23" t="n">
        <v>2</v>
      </c>
      <c r="F141" s="21" t="n"/>
      <c r="G141" s="11">
        <f>IF(C141="","",IFERROR(INDEX(Crops!$D$6:$D$65,MATCH(C141,Crops!$B$6:$B$65,0))&amp;"",""))</f>
        <v/>
      </c>
      <c r="H141" s="12">
        <f>IF(OR(C141="",NOT(ISNUMBER(E141))),"",E141*N(IFERROR(INDEX(Crops!$E$6:$E$65,MATCH(C141,Crops!$B$6:$B$65,0)),0)))</f>
        <v/>
      </c>
      <c r="I141" s="11">
        <f>IF(AND(C141="",E141=""),"",IF(NOT(ISNUMBER(B141)),"Needs a date",IF(C141="","Needs a crop",IF(COUNTIF(Crops!$B$6:$B$65,C141)=0,"Not on Crops",IF(NOT(ISNUMBER(E141)),"Needs the amount",IF(AND(D141&lt;&gt;"",COUNTIF(Beds!$B$6:$B$35,D141)=0),"Not on Beds",""))))))</f>
        <v/>
      </c>
      <c r="J141" s="1">
        <f>IF(ISNUMBER(B141),YEAR(B141),"")</f>
        <v/>
      </c>
      <c r="K141">
        <f>IF(ISNUMBER(B141),YEAR(B141)*100+MONTH(B141),"")</f>
        <v/>
      </c>
      <c r="L141">
        <f>IF(ISNUMBER(B141),INT(B141),0)</f>
        <v/>
      </c>
    </row>
    <row r="142">
      <c r="A142" s="1" t="n"/>
      <c r="B142" s="17" t="n">
        <v>46270</v>
      </c>
      <c r="C142" s="18" t="inlineStr">
        <is>
          <t>Zucchini</t>
        </is>
      </c>
      <c r="D142" s="19" t="inlineStr">
        <is>
          <t>Bed 3</t>
        </is>
      </c>
      <c r="E142" s="23" t="n">
        <v>0.48</v>
      </c>
      <c r="F142" s="21" t="n"/>
      <c r="G142" s="11">
        <f>IF(C142="","",IFERROR(INDEX(Crops!$D$6:$D$65,MATCH(C142,Crops!$B$6:$B$65,0))&amp;"",""))</f>
        <v/>
      </c>
      <c r="H142" s="12">
        <f>IF(OR(C142="",NOT(ISNUMBER(E142))),"",E142*N(IFERROR(INDEX(Crops!$E$6:$E$65,MATCH(C142,Crops!$B$6:$B$65,0)),0)))</f>
        <v/>
      </c>
      <c r="I142" s="11">
        <f>IF(AND(C142="",E142=""),"",IF(NOT(ISNUMBER(B142)),"Needs a date",IF(C142="","Needs a crop",IF(COUNTIF(Crops!$B$6:$B$65,C142)=0,"Not on Crops",IF(NOT(ISNUMBER(E142)),"Needs the amount",IF(AND(D142&lt;&gt;"",COUNTIF(Beds!$B$6:$B$35,D142)=0),"Not on Beds",""))))))</f>
        <v/>
      </c>
      <c r="J142" s="1">
        <f>IF(ISNUMBER(B142),YEAR(B142),"")</f>
        <v/>
      </c>
      <c r="K142">
        <f>IF(ISNUMBER(B142),YEAR(B142)*100+MONTH(B142),"")</f>
        <v/>
      </c>
      <c r="L142">
        <f>IF(ISNUMBER(B142),INT(B142),0)</f>
        <v/>
      </c>
    </row>
    <row r="143">
      <c r="A143" s="1" t="n"/>
      <c r="B143" s="17" t="n">
        <v>46270</v>
      </c>
      <c r="C143" s="18" t="inlineStr">
        <is>
          <t>Basil</t>
        </is>
      </c>
      <c r="D143" s="19" t="inlineStr">
        <is>
          <t>Patio pots</t>
        </is>
      </c>
      <c r="E143" s="23" t="n">
        <v>2</v>
      </c>
      <c r="F143" s="21" t="n"/>
      <c r="G143" s="11">
        <f>IF(C143="","",IFERROR(INDEX(Crops!$D$6:$D$65,MATCH(C143,Crops!$B$6:$B$65,0))&amp;"",""))</f>
        <v/>
      </c>
      <c r="H143" s="12">
        <f>IF(OR(C143="",NOT(ISNUMBER(E143))),"",E143*N(IFERROR(INDEX(Crops!$E$6:$E$65,MATCH(C143,Crops!$B$6:$B$65,0)),0)))</f>
        <v/>
      </c>
      <c r="I143" s="11">
        <f>IF(AND(C143="",E143=""),"",IF(NOT(ISNUMBER(B143)),"Needs a date",IF(C143="","Needs a crop",IF(COUNTIF(Crops!$B$6:$B$65,C143)=0,"Not on Crops",IF(NOT(ISNUMBER(E143)),"Needs the amount",IF(AND(D143&lt;&gt;"",COUNTIF(Beds!$B$6:$B$35,D143)=0),"Not on Beds",""))))))</f>
        <v/>
      </c>
      <c r="J143" s="1">
        <f>IF(ISNUMBER(B143),YEAR(B143),"")</f>
        <v/>
      </c>
      <c r="K143">
        <f>IF(ISNUMBER(B143),YEAR(B143)*100+MONTH(B143),"")</f>
        <v/>
      </c>
      <c r="L143">
        <f>IF(ISNUMBER(B143),INT(B143),0)</f>
        <v/>
      </c>
    </row>
    <row r="144">
      <c r="A144" s="1" t="n"/>
      <c r="B144" s="17" t="n">
        <v>46270</v>
      </c>
      <c r="C144" s="18" t="inlineStr">
        <is>
          <t>Kale</t>
        </is>
      </c>
      <c r="D144" s="19" t="inlineStr">
        <is>
          <t>Bed 3</t>
        </is>
      </c>
      <c r="E144" s="23" t="n">
        <v>2</v>
      </c>
      <c r="F144" s="21" t="n"/>
      <c r="G144" s="11">
        <f>IF(C144="","",IFERROR(INDEX(Crops!$D$6:$D$65,MATCH(C144,Crops!$B$6:$B$65,0))&amp;"",""))</f>
        <v/>
      </c>
      <c r="H144" s="12">
        <f>IF(OR(C144="",NOT(ISNUMBER(E144))),"",E144*N(IFERROR(INDEX(Crops!$E$6:$E$65,MATCH(C144,Crops!$B$6:$B$65,0)),0)))</f>
        <v/>
      </c>
      <c r="I144" s="11">
        <f>IF(AND(C144="",E144=""),"",IF(NOT(ISNUMBER(B144)),"Needs a date",IF(C144="","Needs a crop",IF(COUNTIF(Crops!$B$6:$B$65,C144)=0,"Not on Crops",IF(NOT(ISNUMBER(E144)),"Needs the amount",IF(AND(D144&lt;&gt;"",COUNTIF(Beds!$B$6:$B$35,D144)=0),"Not on Beds",""))))))</f>
        <v/>
      </c>
      <c r="J144" s="1">
        <f>IF(ISNUMBER(B144),YEAR(B144),"")</f>
        <v/>
      </c>
      <c r="K144">
        <f>IF(ISNUMBER(B144),YEAR(B144)*100+MONTH(B144),"")</f>
        <v/>
      </c>
      <c r="L144">
        <f>IF(ISNUMBER(B144),INT(B144),0)</f>
        <v/>
      </c>
    </row>
    <row r="145">
      <c r="A145" s="1" t="n"/>
      <c r="B145" s="17" t="n">
        <v>46271</v>
      </c>
      <c r="C145" s="18" t="inlineStr">
        <is>
          <t>Runner beans</t>
        </is>
      </c>
      <c r="D145" s="19" t="inlineStr">
        <is>
          <t>Bed 1</t>
        </is>
      </c>
      <c r="E145" s="23" t="n">
        <v>1.09</v>
      </c>
      <c r="F145" s="21" t="n"/>
      <c r="G145" s="11">
        <f>IF(C145="","",IFERROR(INDEX(Crops!$D$6:$D$65,MATCH(C145,Crops!$B$6:$B$65,0))&amp;"",""))</f>
        <v/>
      </c>
      <c r="H145" s="12">
        <f>IF(OR(C145="",NOT(ISNUMBER(E145))),"",E145*N(IFERROR(INDEX(Crops!$E$6:$E$65,MATCH(C145,Crops!$B$6:$B$65,0)),0)))</f>
        <v/>
      </c>
      <c r="I145" s="11">
        <f>IF(AND(C145="",E145=""),"",IF(NOT(ISNUMBER(B145)),"Needs a date",IF(C145="","Needs a crop",IF(COUNTIF(Crops!$B$6:$B$65,C145)=0,"Not on Crops",IF(NOT(ISNUMBER(E145)),"Needs the amount",IF(AND(D145&lt;&gt;"",COUNTIF(Beds!$B$6:$B$35,D145)=0),"Not on Beds",""))))))</f>
        <v/>
      </c>
      <c r="J145" s="1">
        <f>IF(ISNUMBER(B145),YEAR(B145),"")</f>
        <v/>
      </c>
      <c r="K145">
        <f>IF(ISNUMBER(B145),YEAR(B145)*100+MONTH(B145),"")</f>
        <v/>
      </c>
      <c r="L145">
        <f>IF(ISNUMBER(B145),INT(B145),0)</f>
        <v/>
      </c>
    </row>
    <row r="146">
      <c r="A146" s="1" t="n"/>
      <c r="B146" s="17" t="n">
        <v>46272</v>
      </c>
      <c r="C146" s="18" t="inlineStr">
        <is>
          <t>Tomatoes</t>
        </is>
      </c>
      <c r="D146" s="19" t="inlineStr">
        <is>
          <t>Greenhouse</t>
        </is>
      </c>
      <c r="E146" s="23" t="n">
        <v>1.14</v>
      </c>
      <c r="F146" s="21" t="n"/>
      <c r="G146" s="11">
        <f>IF(C146="","",IFERROR(INDEX(Crops!$D$6:$D$65,MATCH(C146,Crops!$B$6:$B$65,0))&amp;"",""))</f>
        <v/>
      </c>
      <c r="H146" s="12">
        <f>IF(OR(C146="",NOT(ISNUMBER(E146))),"",E146*N(IFERROR(INDEX(Crops!$E$6:$E$65,MATCH(C146,Crops!$B$6:$B$65,0)),0)))</f>
        <v/>
      </c>
      <c r="I146" s="11">
        <f>IF(AND(C146="",E146=""),"",IF(NOT(ISNUMBER(B146)),"Needs a date",IF(C146="","Needs a crop",IF(COUNTIF(Crops!$B$6:$B$65,C146)=0,"Not on Crops",IF(NOT(ISNUMBER(E146)),"Needs the amount",IF(AND(D146&lt;&gt;"",COUNTIF(Beds!$B$6:$B$35,D146)=0),"Not on Beds",""))))))</f>
        <v/>
      </c>
      <c r="J146" s="1">
        <f>IF(ISNUMBER(B146),YEAR(B146),"")</f>
        <v/>
      </c>
      <c r="K146">
        <f>IF(ISNUMBER(B146),YEAR(B146)*100+MONTH(B146),"")</f>
        <v/>
      </c>
      <c r="L146">
        <f>IF(ISNUMBER(B146),INT(B146),0)</f>
        <v/>
      </c>
    </row>
    <row r="147">
      <c r="A147" s="1" t="n"/>
      <c r="B147" s="17" t="n">
        <v>46273</v>
      </c>
      <c r="C147" s="18" t="inlineStr">
        <is>
          <t>Cucumbers</t>
        </is>
      </c>
      <c r="D147" s="19" t="inlineStr">
        <is>
          <t>Greenhouse</t>
        </is>
      </c>
      <c r="E147" s="23" t="n">
        <v>1</v>
      </c>
      <c r="F147" s="21" t="n"/>
      <c r="G147" s="11">
        <f>IF(C147="","",IFERROR(INDEX(Crops!$D$6:$D$65,MATCH(C147,Crops!$B$6:$B$65,0))&amp;"",""))</f>
        <v/>
      </c>
      <c r="H147" s="12">
        <f>IF(OR(C147="",NOT(ISNUMBER(E147))),"",E147*N(IFERROR(INDEX(Crops!$E$6:$E$65,MATCH(C147,Crops!$B$6:$B$65,0)),0)))</f>
        <v/>
      </c>
      <c r="I147" s="11">
        <f>IF(AND(C147="",E147=""),"",IF(NOT(ISNUMBER(B147)),"Needs a date",IF(C147="","Needs a crop",IF(COUNTIF(Crops!$B$6:$B$65,C147)=0,"Not on Crops",IF(NOT(ISNUMBER(E147)),"Needs the amount",IF(AND(D147&lt;&gt;"",COUNTIF(Beds!$B$6:$B$35,D147)=0),"Not on Beds",""))))))</f>
        <v/>
      </c>
      <c r="J147" s="1">
        <f>IF(ISNUMBER(B147),YEAR(B147),"")</f>
        <v/>
      </c>
      <c r="K147">
        <f>IF(ISNUMBER(B147),YEAR(B147)*100+MONTH(B147),"")</f>
        <v/>
      </c>
      <c r="L147">
        <f>IF(ISNUMBER(B147),INT(B147),0)</f>
        <v/>
      </c>
    </row>
    <row r="148">
      <c r="A148" s="1" t="n"/>
      <c r="B148" s="17" t="n">
        <v>46274</v>
      </c>
      <c r="C148" s="18" t="inlineStr">
        <is>
          <t>Peppers</t>
        </is>
      </c>
      <c r="D148" s="19" t="inlineStr">
        <is>
          <t>Bed 2</t>
        </is>
      </c>
      <c r="E148" s="23" t="n">
        <v>5</v>
      </c>
      <c r="F148" s="21" t="n"/>
      <c r="G148" s="11">
        <f>IF(C148="","",IFERROR(INDEX(Crops!$D$6:$D$65,MATCH(C148,Crops!$B$6:$B$65,0))&amp;"",""))</f>
        <v/>
      </c>
      <c r="H148" s="12">
        <f>IF(OR(C148="",NOT(ISNUMBER(E148))),"",E148*N(IFERROR(INDEX(Crops!$E$6:$E$65,MATCH(C148,Crops!$B$6:$B$65,0)),0)))</f>
        <v/>
      </c>
      <c r="I148" s="11">
        <f>IF(AND(C148="",E148=""),"",IF(NOT(ISNUMBER(B148)),"Needs a date",IF(C148="","Needs a crop",IF(COUNTIF(Crops!$B$6:$B$65,C148)=0,"Not on Crops",IF(NOT(ISNUMBER(E148)),"Needs the amount",IF(AND(D148&lt;&gt;"",COUNTIF(Beds!$B$6:$B$35,D148)=0),"Not on Beds",""))))))</f>
        <v/>
      </c>
      <c r="J148" s="1">
        <f>IF(ISNUMBER(B148),YEAR(B148),"")</f>
        <v/>
      </c>
      <c r="K148">
        <f>IF(ISNUMBER(B148),YEAR(B148)*100+MONTH(B148),"")</f>
        <v/>
      </c>
      <c r="L148">
        <f>IF(ISNUMBER(B148),INT(B148),0)</f>
        <v/>
      </c>
    </row>
    <row r="149">
      <c r="A149" s="1" t="n"/>
      <c r="B149" s="17" t="n">
        <v>46275</v>
      </c>
      <c r="C149" s="18" t="inlineStr">
        <is>
          <t>Zucchini</t>
        </is>
      </c>
      <c r="D149" s="19" t="inlineStr">
        <is>
          <t>Bed 3</t>
        </is>
      </c>
      <c r="E149" s="23" t="n">
        <v>1.52</v>
      </c>
      <c r="F149" s="21" t="n"/>
      <c r="G149" s="11">
        <f>IF(C149="","",IFERROR(INDEX(Crops!$D$6:$D$65,MATCH(C149,Crops!$B$6:$B$65,0))&amp;"",""))</f>
        <v/>
      </c>
      <c r="H149" s="12">
        <f>IF(OR(C149="",NOT(ISNUMBER(E149))),"",E149*N(IFERROR(INDEX(Crops!$E$6:$E$65,MATCH(C149,Crops!$B$6:$B$65,0)),0)))</f>
        <v/>
      </c>
      <c r="I149" s="11">
        <f>IF(AND(C149="",E149=""),"",IF(NOT(ISNUMBER(B149)),"Needs a date",IF(C149="","Needs a crop",IF(COUNTIF(Crops!$B$6:$B$65,C149)=0,"Not on Crops",IF(NOT(ISNUMBER(E149)),"Needs the amount",IF(AND(D149&lt;&gt;"",COUNTIF(Beds!$B$6:$B$35,D149)=0),"Not on Beds",""))))))</f>
        <v/>
      </c>
      <c r="J149" s="1">
        <f>IF(ISNUMBER(B149),YEAR(B149),"")</f>
        <v/>
      </c>
      <c r="K149">
        <f>IF(ISNUMBER(B149),YEAR(B149)*100+MONTH(B149),"")</f>
        <v/>
      </c>
      <c r="L149">
        <f>IF(ISNUMBER(B149),INT(B149),0)</f>
        <v/>
      </c>
    </row>
    <row r="150">
      <c r="A150" s="1" t="n"/>
      <c r="B150" s="17" t="n">
        <v>46275</v>
      </c>
      <c r="C150" s="18" t="inlineStr">
        <is>
          <t>Runner beans</t>
        </is>
      </c>
      <c r="D150" s="19" t="inlineStr">
        <is>
          <t>Bed 1</t>
        </is>
      </c>
      <c r="E150" s="23" t="n">
        <v>0.97</v>
      </c>
      <c r="F150" s="21" t="n"/>
      <c r="G150" s="11">
        <f>IF(C150="","",IFERROR(INDEX(Crops!$D$6:$D$65,MATCH(C150,Crops!$B$6:$B$65,0))&amp;"",""))</f>
        <v/>
      </c>
      <c r="H150" s="12">
        <f>IF(OR(C150="",NOT(ISNUMBER(E150))),"",E150*N(IFERROR(INDEX(Crops!$E$6:$E$65,MATCH(C150,Crops!$B$6:$B$65,0)),0)))</f>
        <v/>
      </c>
      <c r="I150" s="11">
        <f>IF(AND(C150="",E150=""),"",IF(NOT(ISNUMBER(B150)),"Needs a date",IF(C150="","Needs a crop",IF(COUNTIF(Crops!$B$6:$B$65,C150)=0,"Not on Crops",IF(NOT(ISNUMBER(E150)),"Needs the amount",IF(AND(D150&lt;&gt;"",COUNTIF(Beds!$B$6:$B$35,D150)=0),"Not on Beds",""))))))</f>
        <v/>
      </c>
      <c r="J150" s="1">
        <f>IF(ISNUMBER(B150),YEAR(B150),"")</f>
        <v/>
      </c>
      <c r="K150">
        <f>IF(ISNUMBER(B150),YEAR(B150)*100+MONTH(B150),"")</f>
        <v/>
      </c>
      <c r="L150">
        <f>IF(ISNUMBER(B150),INT(B150),0)</f>
        <v/>
      </c>
    </row>
    <row r="151">
      <c r="A151" s="1" t="n"/>
      <c r="B151" s="17" t="n">
        <v>46275</v>
      </c>
      <c r="C151" s="18" t="inlineStr">
        <is>
          <t>Carrots</t>
        </is>
      </c>
      <c r="D151" s="19" t="inlineStr">
        <is>
          <t>Bed 2</t>
        </is>
      </c>
      <c r="E151" s="23" t="n">
        <v>0.54</v>
      </c>
      <c r="F151" s="21" t="n"/>
      <c r="G151" s="11">
        <f>IF(C151="","",IFERROR(INDEX(Crops!$D$6:$D$65,MATCH(C151,Crops!$B$6:$B$65,0))&amp;"",""))</f>
        <v/>
      </c>
      <c r="H151" s="12">
        <f>IF(OR(C151="",NOT(ISNUMBER(E151))),"",E151*N(IFERROR(INDEX(Crops!$E$6:$E$65,MATCH(C151,Crops!$B$6:$B$65,0)),0)))</f>
        <v/>
      </c>
      <c r="I151" s="11">
        <f>IF(AND(C151="",E151=""),"",IF(NOT(ISNUMBER(B151)),"Needs a date",IF(C151="","Needs a crop",IF(COUNTIF(Crops!$B$6:$B$65,C151)=0,"Not on Crops",IF(NOT(ISNUMBER(E151)),"Needs the amount",IF(AND(D151&lt;&gt;"",COUNTIF(Beds!$B$6:$B$35,D151)=0),"Not on Beds",""))))))</f>
        <v/>
      </c>
      <c r="J151" s="1">
        <f>IF(ISNUMBER(B151),YEAR(B151),"")</f>
        <v/>
      </c>
      <c r="K151">
        <f>IF(ISNUMBER(B151),YEAR(B151)*100+MONTH(B151),"")</f>
        <v/>
      </c>
      <c r="L151">
        <f>IF(ISNUMBER(B151),INT(B151),0)</f>
        <v/>
      </c>
    </row>
    <row r="152">
      <c r="A152" s="1" t="n"/>
      <c r="B152" s="17" t="n">
        <v>46275</v>
      </c>
      <c r="C152" s="18" t="inlineStr">
        <is>
          <t>Beetroot</t>
        </is>
      </c>
      <c r="D152" s="19" t="inlineStr">
        <is>
          <t>Bed 4</t>
        </is>
      </c>
      <c r="E152" s="23" t="n">
        <v>2</v>
      </c>
      <c r="F152" s="21" t="n"/>
      <c r="G152" s="11">
        <f>IF(C152="","",IFERROR(INDEX(Crops!$D$6:$D$65,MATCH(C152,Crops!$B$6:$B$65,0))&amp;"",""))</f>
        <v/>
      </c>
      <c r="H152" s="12">
        <f>IF(OR(C152="",NOT(ISNUMBER(E152))),"",E152*N(IFERROR(INDEX(Crops!$E$6:$E$65,MATCH(C152,Crops!$B$6:$B$65,0)),0)))</f>
        <v/>
      </c>
      <c r="I152" s="11">
        <f>IF(AND(C152="",E152=""),"",IF(NOT(ISNUMBER(B152)),"Needs a date",IF(C152="","Needs a crop",IF(COUNTIF(Crops!$B$6:$B$65,C152)=0,"Not on Crops",IF(NOT(ISNUMBER(E152)),"Needs the amount",IF(AND(D152&lt;&gt;"",COUNTIF(Beds!$B$6:$B$35,D152)=0),"Not on Beds",""))))))</f>
        <v/>
      </c>
      <c r="J152" s="1">
        <f>IF(ISNUMBER(B152),YEAR(B152),"")</f>
        <v/>
      </c>
      <c r="K152">
        <f>IF(ISNUMBER(B152),YEAR(B152)*100+MONTH(B152),"")</f>
        <v/>
      </c>
      <c r="L152">
        <f>IF(ISNUMBER(B152),INT(B152),0)</f>
        <v/>
      </c>
    </row>
    <row r="153">
      <c r="A153" s="1" t="n"/>
      <c r="B153" s="17" t="n">
        <v>46276</v>
      </c>
      <c r="C153" s="18" t="inlineStr">
        <is>
          <t>Tomatoes</t>
        </is>
      </c>
      <c r="D153" s="19" t="inlineStr">
        <is>
          <t>Greenhouse</t>
        </is>
      </c>
      <c r="E153" s="23" t="n">
        <v>1.03</v>
      </c>
      <c r="F153" s="21" t="n"/>
      <c r="G153" s="11">
        <f>IF(C153="","",IFERROR(INDEX(Crops!$D$6:$D$65,MATCH(C153,Crops!$B$6:$B$65,0))&amp;"",""))</f>
        <v/>
      </c>
      <c r="H153" s="12">
        <f>IF(OR(C153="",NOT(ISNUMBER(E153))),"",E153*N(IFERROR(INDEX(Crops!$E$6:$E$65,MATCH(C153,Crops!$B$6:$B$65,0)),0)))</f>
        <v/>
      </c>
      <c r="I153" s="11">
        <f>IF(AND(C153="",E153=""),"",IF(NOT(ISNUMBER(B153)),"Needs a date",IF(C153="","Needs a crop",IF(COUNTIF(Crops!$B$6:$B$65,C153)=0,"Not on Crops",IF(NOT(ISNUMBER(E153)),"Needs the amount",IF(AND(D153&lt;&gt;"",COUNTIF(Beds!$B$6:$B$35,D153)=0),"Not on Beds",""))))))</f>
        <v/>
      </c>
      <c r="J153" s="1">
        <f>IF(ISNUMBER(B153),YEAR(B153),"")</f>
        <v/>
      </c>
      <c r="K153">
        <f>IF(ISNUMBER(B153),YEAR(B153)*100+MONTH(B153),"")</f>
        <v/>
      </c>
      <c r="L153">
        <f>IF(ISNUMBER(B153),INT(B153),0)</f>
        <v/>
      </c>
    </row>
    <row r="154">
      <c r="A154" s="1" t="n"/>
      <c r="B154" s="17" t="n">
        <v>46276</v>
      </c>
      <c r="C154" s="18" t="inlineStr">
        <is>
          <t>Kale</t>
        </is>
      </c>
      <c r="D154" s="19" t="inlineStr">
        <is>
          <t>Bed 3</t>
        </is>
      </c>
      <c r="E154" s="23" t="n">
        <v>1</v>
      </c>
      <c r="F154" s="21" t="n"/>
      <c r="G154" s="11">
        <f>IF(C154="","",IFERROR(INDEX(Crops!$D$6:$D$65,MATCH(C154,Crops!$B$6:$B$65,0))&amp;"",""))</f>
        <v/>
      </c>
      <c r="H154" s="12">
        <f>IF(OR(C154="",NOT(ISNUMBER(E154))),"",E154*N(IFERROR(INDEX(Crops!$E$6:$E$65,MATCH(C154,Crops!$B$6:$B$65,0)),0)))</f>
        <v/>
      </c>
      <c r="I154" s="11">
        <f>IF(AND(C154="",E154=""),"",IF(NOT(ISNUMBER(B154)),"Needs a date",IF(C154="","Needs a crop",IF(COUNTIF(Crops!$B$6:$B$65,C154)=0,"Not on Crops",IF(NOT(ISNUMBER(E154)),"Needs the amount",IF(AND(D154&lt;&gt;"",COUNTIF(Beds!$B$6:$B$35,D154)=0),"Not on Beds",""))))))</f>
        <v/>
      </c>
      <c r="J154" s="1">
        <f>IF(ISNUMBER(B154),YEAR(B154),"")</f>
        <v/>
      </c>
      <c r="K154">
        <f>IF(ISNUMBER(B154),YEAR(B154)*100+MONTH(B154),"")</f>
        <v/>
      </c>
      <c r="L154">
        <f>IF(ISNUMBER(B154),INT(B154),0)</f>
        <v/>
      </c>
    </row>
    <row r="155">
      <c r="A155" s="1" t="n"/>
      <c r="B155" s="17" t="n">
        <v>46278</v>
      </c>
      <c r="C155" s="18" t="inlineStr">
        <is>
          <t>Cucumbers</t>
        </is>
      </c>
      <c r="D155" s="19" t="inlineStr">
        <is>
          <t>Greenhouse</t>
        </is>
      </c>
      <c r="E155" s="23" t="n">
        <v>2</v>
      </c>
      <c r="F155" s="21" t="n"/>
      <c r="G155" s="11">
        <f>IF(C155="","",IFERROR(INDEX(Crops!$D$6:$D$65,MATCH(C155,Crops!$B$6:$B$65,0))&amp;"",""))</f>
        <v/>
      </c>
      <c r="H155" s="12">
        <f>IF(OR(C155="",NOT(ISNUMBER(E155))),"",E155*N(IFERROR(INDEX(Crops!$E$6:$E$65,MATCH(C155,Crops!$B$6:$B$65,0)),0)))</f>
        <v/>
      </c>
      <c r="I155" s="11">
        <f>IF(AND(C155="",E155=""),"",IF(NOT(ISNUMBER(B155)),"Needs a date",IF(C155="","Needs a crop",IF(COUNTIF(Crops!$B$6:$B$65,C155)=0,"Not on Crops",IF(NOT(ISNUMBER(E155)),"Needs the amount",IF(AND(D155&lt;&gt;"",COUNTIF(Beds!$B$6:$B$35,D155)=0),"Not on Beds",""))))))</f>
        <v/>
      </c>
      <c r="J155" s="1">
        <f>IF(ISNUMBER(B155),YEAR(B155),"")</f>
        <v/>
      </c>
      <c r="K155">
        <f>IF(ISNUMBER(B155),YEAR(B155)*100+MONTH(B155),"")</f>
        <v/>
      </c>
      <c r="L155">
        <f>IF(ISNUMBER(B155),INT(B155),0)</f>
        <v/>
      </c>
    </row>
    <row r="156">
      <c r="A156" s="1" t="n"/>
      <c r="B156" s="17" t="n">
        <v>46280</v>
      </c>
      <c r="C156" s="18" t="inlineStr">
        <is>
          <t>Zucchini</t>
        </is>
      </c>
      <c r="D156" s="19" t="inlineStr">
        <is>
          <t>Bed 3</t>
        </is>
      </c>
      <c r="E156" s="23" t="n">
        <v>1.27</v>
      </c>
      <c r="F156" s="21" t="n"/>
      <c r="G156" s="11">
        <f>IF(C156="","",IFERROR(INDEX(Crops!$D$6:$D$65,MATCH(C156,Crops!$B$6:$B$65,0))&amp;"",""))</f>
        <v/>
      </c>
      <c r="H156" s="12">
        <f>IF(OR(C156="",NOT(ISNUMBER(E156))),"",E156*N(IFERROR(INDEX(Crops!$E$6:$E$65,MATCH(C156,Crops!$B$6:$B$65,0)),0)))</f>
        <v/>
      </c>
      <c r="I156" s="11">
        <f>IF(AND(C156="",E156=""),"",IF(NOT(ISNUMBER(B156)),"Needs a date",IF(C156="","Needs a crop",IF(COUNTIF(Crops!$B$6:$B$65,C156)=0,"Not on Crops",IF(NOT(ISNUMBER(E156)),"Needs the amount",IF(AND(D156&lt;&gt;"",COUNTIF(Beds!$B$6:$B$35,D156)=0),"Not on Beds",""))))))</f>
        <v/>
      </c>
      <c r="J156" s="1">
        <f>IF(ISNUMBER(B156),YEAR(B156),"")</f>
        <v/>
      </c>
      <c r="K156">
        <f>IF(ISNUMBER(B156),YEAR(B156)*100+MONTH(B156),"")</f>
        <v/>
      </c>
      <c r="L156">
        <f>IF(ISNUMBER(B156),INT(B156),0)</f>
        <v/>
      </c>
    </row>
    <row r="157">
      <c r="A157" s="1" t="n"/>
      <c r="B157" s="17" t="n">
        <v>46280</v>
      </c>
      <c r="C157" s="18" t="inlineStr">
        <is>
          <t>Basil</t>
        </is>
      </c>
      <c r="D157" s="19" t="inlineStr">
        <is>
          <t>Patio pots</t>
        </is>
      </c>
      <c r="E157" s="23" t="n">
        <v>1</v>
      </c>
      <c r="F157" s="21" t="n"/>
      <c r="G157" s="11">
        <f>IF(C157="","",IFERROR(INDEX(Crops!$D$6:$D$65,MATCH(C157,Crops!$B$6:$B$65,0))&amp;"",""))</f>
        <v/>
      </c>
      <c r="H157" s="12">
        <f>IF(OR(C157="",NOT(ISNUMBER(E157))),"",E157*N(IFERROR(INDEX(Crops!$E$6:$E$65,MATCH(C157,Crops!$B$6:$B$65,0)),0)))</f>
        <v/>
      </c>
      <c r="I157" s="11">
        <f>IF(AND(C157="",E157=""),"",IF(NOT(ISNUMBER(B157)),"Needs a date",IF(C157="","Needs a crop",IF(COUNTIF(Crops!$B$6:$B$65,C157)=0,"Not on Crops",IF(NOT(ISNUMBER(E157)),"Needs the amount",IF(AND(D157&lt;&gt;"",COUNTIF(Beds!$B$6:$B$35,D157)=0),"Not on Beds",""))))))</f>
        <v/>
      </c>
      <c r="J157" s="1">
        <f>IF(ISNUMBER(B157),YEAR(B157),"")</f>
        <v/>
      </c>
      <c r="K157">
        <f>IF(ISNUMBER(B157),YEAR(B157)*100+MONTH(B157),"")</f>
        <v/>
      </c>
      <c r="L157">
        <f>IF(ISNUMBER(B157),INT(B157),0)</f>
        <v/>
      </c>
    </row>
    <row r="158">
      <c r="A158" s="1" t="n"/>
      <c r="B158" s="17" t="n">
        <v>46281</v>
      </c>
      <c r="C158" s="18" t="inlineStr">
        <is>
          <t>Tomatoes</t>
        </is>
      </c>
      <c r="D158" s="19" t="inlineStr">
        <is>
          <t>Greenhouse</t>
        </is>
      </c>
      <c r="E158" s="23" t="n">
        <v>0.73</v>
      </c>
      <c r="F158" s="21" t="n"/>
      <c r="G158" s="11">
        <f>IF(C158="","",IFERROR(INDEX(Crops!$D$6:$D$65,MATCH(C158,Crops!$B$6:$B$65,0))&amp;"",""))</f>
        <v/>
      </c>
      <c r="H158" s="12">
        <f>IF(OR(C158="",NOT(ISNUMBER(E158))),"",E158*N(IFERROR(INDEX(Crops!$E$6:$E$65,MATCH(C158,Crops!$B$6:$B$65,0)),0)))</f>
        <v/>
      </c>
      <c r="I158" s="11">
        <f>IF(AND(C158="",E158=""),"",IF(NOT(ISNUMBER(B158)),"Needs a date",IF(C158="","Needs a crop",IF(COUNTIF(Crops!$B$6:$B$65,C158)=0,"Not on Crops",IF(NOT(ISNUMBER(E158)),"Needs the amount",IF(AND(D158&lt;&gt;"",COUNTIF(Beds!$B$6:$B$35,D158)=0),"Not on Beds",""))))))</f>
        <v/>
      </c>
      <c r="J158" s="1">
        <f>IF(ISNUMBER(B158),YEAR(B158),"")</f>
        <v/>
      </c>
      <c r="K158">
        <f>IF(ISNUMBER(B158),YEAR(B158)*100+MONTH(B158),"")</f>
        <v/>
      </c>
      <c r="L158">
        <f>IF(ISNUMBER(B158),INT(B158),0)</f>
        <v/>
      </c>
    </row>
    <row r="159">
      <c r="A159" s="1" t="n"/>
      <c r="B159" s="17" t="n">
        <v>46281</v>
      </c>
      <c r="C159" s="18" t="inlineStr">
        <is>
          <t>Runner beans</t>
        </is>
      </c>
      <c r="D159" s="19" t="inlineStr">
        <is>
          <t>Bed 1</t>
        </is>
      </c>
      <c r="E159" s="23" t="n">
        <v>0.59</v>
      </c>
      <c r="F159" s="21" t="n"/>
      <c r="G159" s="11">
        <f>IF(C159="","",IFERROR(INDEX(Crops!$D$6:$D$65,MATCH(C159,Crops!$B$6:$B$65,0))&amp;"",""))</f>
        <v/>
      </c>
      <c r="H159" s="12">
        <f>IF(OR(C159="",NOT(ISNUMBER(E159))),"",E159*N(IFERROR(INDEX(Crops!$E$6:$E$65,MATCH(C159,Crops!$B$6:$B$65,0)),0)))</f>
        <v/>
      </c>
      <c r="I159" s="11">
        <f>IF(AND(C159="",E159=""),"",IF(NOT(ISNUMBER(B159)),"Needs a date",IF(C159="","Needs a crop",IF(COUNTIF(Crops!$B$6:$B$65,C159)=0,"Not on Crops",IF(NOT(ISNUMBER(E159)),"Needs the amount",IF(AND(D159&lt;&gt;"",COUNTIF(Beds!$B$6:$B$35,D159)=0),"Not on Beds",""))))))</f>
        <v/>
      </c>
      <c r="J159" s="1">
        <f>IF(ISNUMBER(B159),YEAR(B159),"")</f>
        <v/>
      </c>
      <c r="K159">
        <f>IF(ISNUMBER(B159),YEAR(B159)*100+MONTH(B159),"")</f>
        <v/>
      </c>
      <c r="L159">
        <f>IF(ISNUMBER(B159),INT(B159),0)</f>
        <v/>
      </c>
    </row>
    <row r="160">
      <c r="A160" s="1" t="n"/>
      <c r="B160" s="17" t="n">
        <v>46282</v>
      </c>
      <c r="C160" s="18" t="inlineStr">
        <is>
          <t>Peppers</t>
        </is>
      </c>
      <c r="D160" s="19" t="inlineStr">
        <is>
          <t>Bed 2</t>
        </is>
      </c>
      <c r="E160" s="23" t="n">
        <v>5</v>
      </c>
      <c r="F160" s="21" t="n"/>
      <c r="G160" s="11">
        <f>IF(C160="","",IFERROR(INDEX(Crops!$D$6:$D$65,MATCH(C160,Crops!$B$6:$B$65,0))&amp;"",""))</f>
        <v/>
      </c>
      <c r="H160" s="12">
        <f>IF(OR(C160="",NOT(ISNUMBER(E160))),"",E160*N(IFERROR(INDEX(Crops!$E$6:$E$65,MATCH(C160,Crops!$B$6:$B$65,0)),0)))</f>
        <v/>
      </c>
      <c r="I160" s="11">
        <f>IF(AND(C160="",E160=""),"",IF(NOT(ISNUMBER(B160)),"Needs a date",IF(C160="","Needs a crop",IF(COUNTIF(Crops!$B$6:$B$65,C160)=0,"Not on Crops",IF(NOT(ISNUMBER(E160)),"Needs the amount",IF(AND(D160&lt;&gt;"",COUNTIF(Beds!$B$6:$B$35,D160)=0),"Not on Beds",""))))))</f>
        <v/>
      </c>
      <c r="J160" s="1">
        <f>IF(ISNUMBER(B160),YEAR(B160),"")</f>
        <v/>
      </c>
      <c r="K160">
        <f>IF(ISNUMBER(B160),YEAR(B160)*100+MONTH(B160),"")</f>
        <v/>
      </c>
      <c r="L160">
        <f>IF(ISNUMBER(B160),INT(B160),0)</f>
        <v/>
      </c>
    </row>
    <row r="161">
      <c r="A161" s="1" t="n"/>
      <c r="B161" s="17" t="n">
        <v>46283</v>
      </c>
      <c r="C161" s="18" t="inlineStr">
        <is>
          <t>Zucchini</t>
        </is>
      </c>
      <c r="D161" s="19" t="inlineStr">
        <is>
          <t>Bed 3</t>
        </is>
      </c>
      <c r="E161" s="23" t="n">
        <v>1.13</v>
      </c>
      <c r="F161" s="21" t="n"/>
      <c r="G161" s="11">
        <f>IF(C161="","",IFERROR(INDEX(Crops!$D$6:$D$65,MATCH(C161,Crops!$B$6:$B$65,0))&amp;"",""))</f>
        <v/>
      </c>
      <c r="H161" s="12">
        <f>IF(OR(C161="",NOT(ISNUMBER(E161))),"",E161*N(IFERROR(INDEX(Crops!$E$6:$E$65,MATCH(C161,Crops!$B$6:$B$65,0)),0)))</f>
        <v/>
      </c>
      <c r="I161" s="11">
        <f>IF(AND(C161="",E161=""),"",IF(NOT(ISNUMBER(B161)),"Needs a date",IF(C161="","Needs a crop",IF(COUNTIF(Crops!$B$6:$B$65,C161)=0,"Not on Crops",IF(NOT(ISNUMBER(E161)),"Needs the amount",IF(AND(D161&lt;&gt;"",COUNTIF(Beds!$B$6:$B$35,D161)=0),"Not on Beds",""))))))</f>
        <v/>
      </c>
      <c r="J161" s="1">
        <f>IF(ISNUMBER(B161),YEAR(B161),"")</f>
        <v/>
      </c>
      <c r="K161">
        <f>IF(ISNUMBER(B161),YEAR(B161)*100+MONTH(B161),"")</f>
        <v/>
      </c>
      <c r="L161">
        <f>IF(ISNUMBER(B161),INT(B161),0)</f>
        <v/>
      </c>
    </row>
    <row r="162">
      <c r="A162" s="1" t="n"/>
      <c r="B162" s="17" t="n">
        <v>46283</v>
      </c>
      <c r="C162" s="18" t="inlineStr">
        <is>
          <t>Kale</t>
        </is>
      </c>
      <c r="D162" s="19" t="inlineStr">
        <is>
          <t>Bed 3</t>
        </is>
      </c>
      <c r="E162" s="23" t="n">
        <v>2</v>
      </c>
      <c r="F162" s="21" t="n"/>
      <c r="G162" s="11">
        <f>IF(C162="","",IFERROR(INDEX(Crops!$D$6:$D$65,MATCH(C162,Crops!$B$6:$B$65,0))&amp;"",""))</f>
        <v/>
      </c>
      <c r="H162" s="12">
        <f>IF(OR(C162="",NOT(ISNUMBER(E162))),"",E162*N(IFERROR(INDEX(Crops!$E$6:$E$65,MATCH(C162,Crops!$B$6:$B$65,0)),0)))</f>
        <v/>
      </c>
      <c r="I162" s="11">
        <f>IF(AND(C162="",E162=""),"",IF(NOT(ISNUMBER(B162)),"Needs a date",IF(C162="","Needs a crop",IF(COUNTIF(Crops!$B$6:$B$65,C162)=0,"Not on Crops",IF(NOT(ISNUMBER(E162)),"Needs the amount",IF(AND(D162&lt;&gt;"",COUNTIF(Beds!$B$6:$B$35,D162)=0),"Not on Beds",""))))))</f>
        <v/>
      </c>
      <c r="J162" s="1">
        <f>IF(ISNUMBER(B162),YEAR(B162),"")</f>
        <v/>
      </c>
      <c r="K162">
        <f>IF(ISNUMBER(B162),YEAR(B162)*100+MONTH(B162),"")</f>
        <v/>
      </c>
      <c r="L162">
        <f>IF(ISNUMBER(B162),INT(B162),0)</f>
        <v/>
      </c>
    </row>
    <row r="163">
      <c r="A163" s="1" t="n"/>
      <c r="B163" s="17" t="n">
        <v>46285</v>
      </c>
      <c r="C163" s="18" t="inlineStr">
        <is>
          <t>Runner beans</t>
        </is>
      </c>
      <c r="D163" s="19" t="inlineStr">
        <is>
          <t>Bed 1</t>
        </is>
      </c>
      <c r="E163" s="23" t="n">
        <v>0.97</v>
      </c>
      <c r="F163" s="21" t="n"/>
      <c r="G163" s="11">
        <f>IF(C163="","",IFERROR(INDEX(Crops!$D$6:$D$65,MATCH(C163,Crops!$B$6:$B$65,0))&amp;"",""))</f>
        <v/>
      </c>
      <c r="H163" s="12">
        <f>IF(OR(C163="",NOT(ISNUMBER(E163))),"",E163*N(IFERROR(INDEX(Crops!$E$6:$E$65,MATCH(C163,Crops!$B$6:$B$65,0)),0)))</f>
        <v/>
      </c>
      <c r="I163" s="11">
        <f>IF(AND(C163="",E163=""),"",IF(NOT(ISNUMBER(B163)),"Needs a date",IF(C163="","Needs a crop",IF(COUNTIF(Crops!$B$6:$B$65,C163)=0,"Not on Crops",IF(NOT(ISNUMBER(E163)),"Needs the amount",IF(AND(D163&lt;&gt;"",COUNTIF(Beds!$B$6:$B$35,D163)=0),"Not on Beds",""))))))</f>
        <v/>
      </c>
      <c r="J163" s="1">
        <f>IF(ISNUMBER(B163),YEAR(B163),"")</f>
        <v/>
      </c>
      <c r="K163">
        <f>IF(ISNUMBER(B163),YEAR(B163)*100+MONTH(B163),"")</f>
        <v/>
      </c>
      <c r="L163">
        <f>IF(ISNUMBER(B163),INT(B163),0)</f>
        <v/>
      </c>
    </row>
    <row r="164">
      <c r="A164" s="1" t="n"/>
      <c r="B164" s="17" t="n">
        <v>46285</v>
      </c>
      <c r="C164" s="18" t="inlineStr">
        <is>
          <t>Beetroot</t>
        </is>
      </c>
      <c r="D164" s="19" t="inlineStr">
        <is>
          <t>Bed 4</t>
        </is>
      </c>
      <c r="E164" s="23" t="n">
        <v>1</v>
      </c>
      <c r="F164" s="21" t="n"/>
      <c r="G164" s="11">
        <f>IF(C164="","",IFERROR(INDEX(Crops!$D$6:$D$65,MATCH(C164,Crops!$B$6:$B$65,0))&amp;"",""))</f>
        <v/>
      </c>
      <c r="H164" s="12">
        <f>IF(OR(C164="",NOT(ISNUMBER(E164))),"",E164*N(IFERROR(INDEX(Crops!$E$6:$E$65,MATCH(C164,Crops!$B$6:$B$65,0)),0)))</f>
        <v/>
      </c>
      <c r="I164" s="11">
        <f>IF(AND(C164="",E164=""),"",IF(NOT(ISNUMBER(B164)),"Needs a date",IF(C164="","Needs a crop",IF(COUNTIF(Crops!$B$6:$B$65,C164)=0,"Not on Crops",IF(NOT(ISNUMBER(E164)),"Needs the amount",IF(AND(D164&lt;&gt;"",COUNTIF(Beds!$B$6:$B$35,D164)=0),"Not on Beds",""))))))</f>
        <v/>
      </c>
      <c r="J164" s="1">
        <f>IF(ISNUMBER(B164),YEAR(B164),"")</f>
        <v/>
      </c>
      <c r="K164">
        <f>IF(ISNUMBER(B164),YEAR(B164)*100+MONTH(B164),"")</f>
        <v/>
      </c>
      <c r="L164">
        <f>IF(ISNUMBER(B164),INT(B164),0)</f>
        <v/>
      </c>
    </row>
    <row r="165">
      <c r="A165" s="1" t="n"/>
      <c r="B165" s="17" t="n">
        <v>46285</v>
      </c>
      <c r="C165" s="18" t="inlineStr">
        <is>
          <t>Lettuce</t>
        </is>
      </c>
      <c r="D165" s="19" t="inlineStr">
        <is>
          <t>Herb bed</t>
        </is>
      </c>
      <c r="E165" s="23" t="n">
        <v>2</v>
      </c>
      <c r="F165" s="21" t="n"/>
      <c r="G165" s="11">
        <f>IF(C165="","",IFERROR(INDEX(Crops!$D$6:$D$65,MATCH(C165,Crops!$B$6:$B$65,0))&amp;"",""))</f>
        <v/>
      </c>
      <c r="H165" s="12">
        <f>IF(OR(C165="",NOT(ISNUMBER(E165))),"",E165*N(IFERROR(INDEX(Crops!$E$6:$E$65,MATCH(C165,Crops!$B$6:$B$65,0)),0)))</f>
        <v/>
      </c>
      <c r="I165" s="11">
        <f>IF(AND(C165="",E165=""),"",IF(NOT(ISNUMBER(B165)),"Needs a date",IF(C165="","Needs a crop",IF(COUNTIF(Crops!$B$6:$B$65,C165)=0,"Not on Crops",IF(NOT(ISNUMBER(E165)),"Needs the amount",IF(AND(D165&lt;&gt;"",COUNTIF(Beds!$B$6:$B$35,D165)=0),"Not on Beds",""))))))</f>
        <v/>
      </c>
      <c r="J165" s="1">
        <f>IF(ISNUMBER(B165),YEAR(B165),"")</f>
        <v/>
      </c>
      <c r="K165">
        <f>IF(ISNUMBER(B165),YEAR(B165)*100+MONTH(B165),"")</f>
        <v/>
      </c>
      <c r="L165">
        <f>IF(ISNUMBER(B165),INT(B165),0)</f>
        <v/>
      </c>
    </row>
    <row r="166">
      <c r="A166" s="1" t="n"/>
      <c r="B166" s="17" t="n">
        <v>46286</v>
      </c>
      <c r="C166" s="18" t="inlineStr">
        <is>
          <t>Tomatoes</t>
        </is>
      </c>
      <c r="D166" s="19" t="inlineStr">
        <is>
          <t>Greenhouse</t>
        </is>
      </c>
      <c r="E166" s="23" t="n">
        <v>0.76</v>
      </c>
      <c r="F166" s="21" t="n"/>
      <c r="G166" s="11">
        <f>IF(C166="","",IFERROR(INDEX(Crops!$D$6:$D$65,MATCH(C166,Crops!$B$6:$B$65,0))&amp;"",""))</f>
        <v/>
      </c>
      <c r="H166" s="12">
        <f>IF(OR(C166="",NOT(ISNUMBER(E166))),"",E166*N(IFERROR(INDEX(Crops!$E$6:$E$65,MATCH(C166,Crops!$B$6:$B$65,0)),0)))</f>
        <v/>
      </c>
      <c r="I166" s="11">
        <f>IF(AND(C166="",E166=""),"",IF(NOT(ISNUMBER(B166)),"Needs a date",IF(C166="","Needs a crop",IF(COUNTIF(Crops!$B$6:$B$65,C166)=0,"Not on Crops",IF(NOT(ISNUMBER(E166)),"Needs the amount",IF(AND(D166&lt;&gt;"",COUNTIF(Beds!$B$6:$B$35,D166)=0),"Not on Beds",""))))))</f>
        <v/>
      </c>
      <c r="J166" s="1">
        <f>IF(ISNUMBER(B166),YEAR(B166),"")</f>
        <v/>
      </c>
      <c r="K166">
        <f>IF(ISNUMBER(B166),YEAR(B166)*100+MONTH(B166),"")</f>
        <v/>
      </c>
      <c r="L166">
        <f>IF(ISNUMBER(B166),INT(B166),0)</f>
        <v/>
      </c>
    </row>
    <row r="167">
      <c r="A167" s="1" t="n"/>
      <c r="B167" s="17" t="n">
        <v>46286</v>
      </c>
      <c r="C167" s="18" t="inlineStr">
        <is>
          <t>Zucchini</t>
        </is>
      </c>
      <c r="D167" s="19" t="inlineStr">
        <is>
          <t>Bed 3</t>
        </is>
      </c>
      <c r="E167" s="23" t="n">
        <v>1.18</v>
      </c>
      <c r="F167" s="21" t="n"/>
      <c r="G167" s="11">
        <f>IF(C167="","",IFERROR(INDEX(Crops!$D$6:$D$65,MATCH(C167,Crops!$B$6:$B$65,0))&amp;"",""))</f>
        <v/>
      </c>
      <c r="H167" s="12">
        <f>IF(OR(C167="",NOT(ISNUMBER(E167))),"",E167*N(IFERROR(INDEX(Crops!$E$6:$E$65,MATCH(C167,Crops!$B$6:$B$65,0)),0)))</f>
        <v/>
      </c>
      <c r="I167" s="11">
        <f>IF(AND(C167="",E167=""),"",IF(NOT(ISNUMBER(B167)),"Needs a date",IF(C167="","Needs a crop",IF(COUNTIF(Crops!$B$6:$B$65,C167)=0,"Not on Crops",IF(NOT(ISNUMBER(E167)),"Needs the amount",IF(AND(D167&lt;&gt;"",COUNTIF(Beds!$B$6:$B$35,D167)=0),"Not on Beds",""))))))</f>
        <v/>
      </c>
      <c r="J167" s="1">
        <f>IF(ISNUMBER(B167),YEAR(B167),"")</f>
        <v/>
      </c>
      <c r="K167">
        <f>IF(ISNUMBER(B167),YEAR(B167)*100+MONTH(B167),"")</f>
        <v/>
      </c>
      <c r="L167">
        <f>IF(ISNUMBER(B167),INT(B167),0)</f>
        <v/>
      </c>
    </row>
    <row r="168">
      <c r="A168" s="1" t="n"/>
      <c r="B168" s="17" t="n">
        <v>46288</v>
      </c>
      <c r="C168" s="18" t="inlineStr">
        <is>
          <t>Lettuce</t>
        </is>
      </c>
      <c r="D168" s="19" t="inlineStr">
        <is>
          <t>Herb bed</t>
        </is>
      </c>
      <c r="E168" s="23" t="n">
        <v>1</v>
      </c>
      <c r="F168" s="21" t="n"/>
      <c r="G168" s="11">
        <f>IF(C168="","",IFERROR(INDEX(Crops!$D$6:$D$65,MATCH(C168,Crops!$B$6:$B$65,0))&amp;"",""))</f>
        <v/>
      </c>
      <c r="H168" s="12">
        <f>IF(OR(C168="",NOT(ISNUMBER(E168))),"",E168*N(IFERROR(INDEX(Crops!$E$6:$E$65,MATCH(C168,Crops!$B$6:$B$65,0)),0)))</f>
        <v/>
      </c>
      <c r="I168" s="11">
        <f>IF(AND(C168="",E168=""),"",IF(NOT(ISNUMBER(B168)),"Needs a date",IF(C168="","Needs a crop",IF(COUNTIF(Crops!$B$6:$B$65,C168)=0,"Not on Crops",IF(NOT(ISNUMBER(E168)),"Needs the amount",IF(AND(D168&lt;&gt;"",COUNTIF(Beds!$B$6:$B$35,D168)=0),"Not on Beds",""))))))</f>
        <v/>
      </c>
      <c r="J168" s="1">
        <f>IF(ISNUMBER(B168),YEAR(B168),"")</f>
        <v/>
      </c>
      <c r="K168">
        <f>IF(ISNUMBER(B168),YEAR(B168)*100+MONTH(B168),"")</f>
        <v/>
      </c>
      <c r="L168">
        <f>IF(ISNUMBER(B168),INT(B168),0)</f>
        <v/>
      </c>
    </row>
    <row r="169">
      <c r="A169" s="1" t="n"/>
      <c r="B169" s="17" t="n">
        <v>46289</v>
      </c>
      <c r="C169" s="18" t="inlineStr">
        <is>
          <t>Tomatoes</t>
        </is>
      </c>
      <c r="D169" s="19" t="inlineStr">
        <is>
          <t>Greenhouse</t>
        </is>
      </c>
      <c r="E169" s="23" t="n">
        <v>0.84</v>
      </c>
      <c r="F169" s="21" t="n"/>
      <c r="G169" s="11">
        <f>IF(C169="","",IFERROR(INDEX(Crops!$D$6:$D$65,MATCH(C169,Crops!$B$6:$B$65,0))&amp;"",""))</f>
        <v/>
      </c>
      <c r="H169" s="12">
        <f>IF(OR(C169="",NOT(ISNUMBER(E169))),"",E169*N(IFERROR(INDEX(Crops!$E$6:$E$65,MATCH(C169,Crops!$B$6:$B$65,0)),0)))</f>
        <v/>
      </c>
      <c r="I169" s="11">
        <f>IF(AND(C169="",E169=""),"",IF(NOT(ISNUMBER(B169)),"Needs a date",IF(C169="","Needs a crop",IF(COUNTIF(Crops!$B$6:$B$65,C169)=0,"Not on Crops",IF(NOT(ISNUMBER(E169)),"Needs the amount",IF(AND(D169&lt;&gt;"",COUNTIF(Beds!$B$6:$B$35,D169)=0),"Not on Beds",""))))))</f>
        <v/>
      </c>
      <c r="J169" s="1">
        <f>IF(ISNUMBER(B169),YEAR(B169),"")</f>
        <v/>
      </c>
      <c r="K169">
        <f>IF(ISNUMBER(B169),YEAR(B169)*100+MONTH(B169),"")</f>
        <v/>
      </c>
      <c r="L169">
        <f>IF(ISNUMBER(B169),INT(B169),0)</f>
        <v/>
      </c>
    </row>
    <row r="170">
      <c r="A170" s="1" t="n"/>
      <c r="B170" s="17" t="n">
        <v>46289</v>
      </c>
      <c r="C170" s="18" t="inlineStr">
        <is>
          <t>Kale</t>
        </is>
      </c>
      <c r="D170" s="19" t="inlineStr">
        <is>
          <t>Bed 3</t>
        </is>
      </c>
      <c r="E170" s="23" t="n">
        <v>1</v>
      </c>
      <c r="F170" s="21" t="n"/>
      <c r="G170" s="11">
        <f>IF(C170="","",IFERROR(INDEX(Crops!$D$6:$D$65,MATCH(C170,Crops!$B$6:$B$65,0))&amp;"",""))</f>
        <v/>
      </c>
      <c r="H170" s="12">
        <f>IF(OR(C170="",NOT(ISNUMBER(E170))),"",E170*N(IFERROR(INDEX(Crops!$E$6:$E$65,MATCH(C170,Crops!$B$6:$B$65,0)),0)))</f>
        <v/>
      </c>
      <c r="I170" s="11">
        <f>IF(AND(C170="",E170=""),"",IF(NOT(ISNUMBER(B170)),"Needs a date",IF(C170="","Needs a crop",IF(COUNTIF(Crops!$B$6:$B$65,C170)=0,"Not on Crops",IF(NOT(ISNUMBER(E170)),"Needs the amount",IF(AND(D170&lt;&gt;"",COUNTIF(Beds!$B$6:$B$35,D170)=0),"Not on Beds",""))))))</f>
        <v/>
      </c>
      <c r="J170" s="1">
        <f>IF(ISNUMBER(B170),YEAR(B170),"")</f>
        <v/>
      </c>
      <c r="K170">
        <f>IF(ISNUMBER(B170),YEAR(B170)*100+MONTH(B170),"")</f>
        <v/>
      </c>
      <c r="L170">
        <f>IF(ISNUMBER(B170),INT(B170),0)</f>
        <v/>
      </c>
    </row>
    <row r="171">
      <c r="A171" s="1" t="n"/>
      <c r="B171" s="17" t="n">
        <v>46290</v>
      </c>
      <c r="C171" s="18" t="inlineStr">
        <is>
          <t>Runner beans</t>
        </is>
      </c>
      <c r="D171" s="19" t="inlineStr">
        <is>
          <t>Bed 1</t>
        </is>
      </c>
      <c r="E171" s="23" t="n">
        <v>0.7</v>
      </c>
      <c r="F171" s="21" t="n"/>
      <c r="G171" s="11">
        <f>IF(C171="","",IFERROR(INDEX(Crops!$D$6:$D$65,MATCH(C171,Crops!$B$6:$B$65,0))&amp;"",""))</f>
        <v/>
      </c>
      <c r="H171" s="12">
        <f>IF(OR(C171="",NOT(ISNUMBER(E171))),"",E171*N(IFERROR(INDEX(Crops!$E$6:$E$65,MATCH(C171,Crops!$B$6:$B$65,0)),0)))</f>
        <v/>
      </c>
      <c r="I171" s="11">
        <f>IF(AND(C171="",E171=""),"",IF(NOT(ISNUMBER(B171)),"Needs a date",IF(C171="","Needs a crop",IF(COUNTIF(Crops!$B$6:$B$65,C171)=0,"Not on Crops",IF(NOT(ISNUMBER(E171)),"Needs the amount",IF(AND(D171&lt;&gt;"",COUNTIF(Beds!$B$6:$B$35,D171)=0),"Not on Beds",""))))))</f>
        <v/>
      </c>
      <c r="J171" s="1">
        <f>IF(ISNUMBER(B171),YEAR(B171),"")</f>
        <v/>
      </c>
      <c r="K171">
        <f>IF(ISNUMBER(B171),YEAR(B171)*100+MONTH(B171),"")</f>
        <v/>
      </c>
      <c r="L171">
        <f>IF(ISNUMBER(B171),INT(B171),0)</f>
        <v/>
      </c>
    </row>
    <row r="172">
      <c r="A172" s="1" t="n"/>
      <c r="B172" s="17" t="n"/>
      <c r="C172" s="18" t="n"/>
      <c r="D172" s="19" t="n"/>
      <c r="E172" s="23" t="n"/>
      <c r="F172" s="21" t="n"/>
      <c r="G172" s="11">
        <f>IF(C172="","",IFERROR(INDEX(Crops!$D$6:$D$65,MATCH(C172,Crops!$B$6:$B$65,0))&amp;"",""))</f>
        <v/>
      </c>
      <c r="H172" s="12">
        <f>IF(OR(C172="",NOT(ISNUMBER(E172))),"",E172*N(IFERROR(INDEX(Crops!$E$6:$E$65,MATCH(C172,Crops!$B$6:$B$65,0)),0)))</f>
        <v/>
      </c>
      <c r="I172" s="11">
        <f>IF(AND(C172="",E172=""),"",IF(NOT(ISNUMBER(B172)),"Needs a date",IF(C172="","Needs a crop",IF(COUNTIF(Crops!$B$6:$B$65,C172)=0,"Not on Crops",IF(NOT(ISNUMBER(E172)),"Needs the amount",IF(AND(D172&lt;&gt;"",COUNTIF(Beds!$B$6:$B$35,D172)=0),"Not on Beds",""))))))</f>
        <v/>
      </c>
      <c r="J172" s="1">
        <f>IF(ISNUMBER(B172),YEAR(B172),"")</f>
        <v/>
      </c>
      <c r="K172">
        <f>IF(ISNUMBER(B172),YEAR(B172)*100+MONTH(B172),"")</f>
        <v/>
      </c>
      <c r="L172">
        <f>IF(ISNUMBER(B172),INT(B172),0)</f>
        <v/>
      </c>
    </row>
    <row r="173">
      <c r="A173" s="1" t="n"/>
      <c r="B173" s="17" t="n"/>
      <c r="C173" s="18" t="n"/>
      <c r="D173" s="19" t="n"/>
      <c r="E173" s="23" t="n"/>
      <c r="F173" s="21" t="n"/>
      <c r="G173" s="11">
        <f>IF(C173="","",IFERROR(INDEX(Crops!$D$6:$D$65,MATCH(C173,Crops!$B$6:$B$65,0))&amp;"",""))</f>
        <v/>
      </c>
      <c r="H173" s="12">
        <f>IF(OR(C173="",NOT(ISNUMBER(E173))),"",E173*N(IFERROR(INDEX(Crops!$E$6:$E$65,MATCH(C173,Crops!$B$6:$B$65,0)),0)))</f>
        <v/>
      </c>
      <c r="I173" s="11">
        <f>IF(AND(C173="",E173=""),"",IF(NOT(ISNUMBER(B173)),"Needs a date",IF(C173="","Needs a crop",IF(COUNTIF(Crops!$B$6:$B$65,C173)=0,"Not on Crops",IF(NOT(ISNUMBER(E173)),"Needs the amount",IF(AND(D173&lt;&gt;"",COUNTIF(Beds!$B$6:$B$35,D173)=0),"Not on Beds",""))))))</f>
        <v/>
      </c>
      <c r="J173" s="1">
        <f>IF(ISNUMBER(B173),YEAR(B173),"")</f>
        <v/>
      </c>
      <c r="K173">
        <f>IF(ISNUMBER(B173),YEAR(B173)*100+MONTH(B173),"")</f>
        <v/>
      </c>
      <c r="L173">
        <f>IF(ISNUMBER(B173),INT(B173),0)</f>
        <v/>
      </c>
    </row>
    <row r="174">
      <c r="A174" s="1" t="n"/>
      <c r="B174" s="17" t="n"/>
      <c r="C174" s="18" t="n"/>
      <c r="D174" s="19" t="n"/>
      <c r="E174" s="23" t="n"/>
      <c r="F174" s="21" t="n"/>
      <c r="G174" s="11">
        <f>IF(C174="","",IFERROR(INDEX(Crops!$D$6:$D$65,MATCH(C174,Crops!$B$6:$B$65,0))&amp;"",""))</f>
        <v/>
      </c>
      <c r="H174" s="12">
        <f>IF(OR(C174="",NOT(ISNUMBER(E174))),"",E174*N(IFERROR(INDEX(Crops!$E$6:$E$65,MATCH(C174,Crops!$B$6:$B$65,0)),0)))</f>
        <v/>
      </c>
      <c r="I174" s="11">
        <f>IF(AND(C174="",E174=""),"",IF(NOT(ISNUMBER(B174)),"Needs a date",IF(C174="","Needs a crop",IF(COUNTIF(Crops!$B$6:$B$65,C174)=0,"Not on Crops",IF(NOT(ISNUMBER(E174)),"Needs the amount",IF(AND(D174&lt;&gt;"",COUNTIF(Beds!$B$6:$B$35,D174)=0),"Not on Beds",""))))))</f>
        <v/>
      </c>
      <c r="J174" s="1">
        <f>IF(ISNUMBER(B174),YEAR(B174),"")</f>
        <v/>
      </c>
      <c r="K174">
        <f>IF(ISNUMBER(B174),YEAR(B174)*100+MONTH(B174),"")</f>
        <v/>
      </c>
      <c r="L174">
        <f>IF(ISNUMBER(B174),INT(B174),0)</f>
        <v/>
      </c>
    </row>
    <row r="175">
      <c r="A175" s="1" t="n"/>
      <c r="B175" s="17" t="n"/>
      <c r="C175" s="18" t="n"/>
      <c r="D175" s="19" t="n"/>
      <c r="E175" s="23" t="n"/>
      <c r="F175" s="21" t="n"/>
      <c r="G175" s="11">
        <f>IF(C175="","",IFERROR(INDEX(Crops!$D$6:$D$65,MATCH(C175,Crops!$B$6:$B$65,0))&amp;"",""))</f>
        <v/>
      </c>
      <c r="H175" s="12">
        <f>IF(OR(C175="",NOT(ISNUMBER(E175))),"",E175*N(IFERROR(INDEX(Crops!$E$6:$E$65,MATCH(C175,Crops!$B$6:$B$65,0)),0)))</f>
        <v/>
      </c>
      <c r="I175" s="11">
        <f>IF(AND(C175="",E175=""),"",IF(NOT(ISNUMBER(B175)),"Needs a date",IF(C175="","Needs a crop",IF(COUNTIF(Crops!$B$6:$B$65,C175)=0,"Not on Crops",IF(NOT(ISNUMBER(E175)),"Needs the amount",IF(AND(D175&lt;&gt;"",COUNTIF(Beds!$B$6:$B$35,D175)=0),"Not on Beds",""))))))</f>
        <v/>
      </c>
      <c r="J175" s="1">
        <f>IF(ISNUMBER(B175),YEAR(B175),"")</f>
        <v/>
      </c>
      <c r="K175">
        <f>IF(ISNUMBER(B175),YEAR(B175)*100+MONTH(B175),"")</f>
        <v/>
      </c>
      <c r="L175">
        <f>IF(ISNUMBER(B175),INT(B175),0)</f>
        <v/>
      </c>
    </row>
    <row r="176">
      <c r="A176" s="1" t="n"/>
      <c r="B176" s="17" t="n"/>
      <c r="C176" s="18" t="n"/>
      <c r="D176" s="19" t="n"/>
      <c r="E176" s="23" t="n"/>
      <c r="F176" s="21" t="n"/>
      <c r="G176" s="11">
        <f>IF(C176="","",IFERROR(INDEX(Crops!$D$6:$D$65,MATCH(C176,Crops!$B$6:$B$65,0))&amp;"",""))</f>
        <v/>
      </c>
      <c r="H176" s="12">
        <f>IF(OR(C176="",NOT(ISNUMBER(E176))),"",E176*N(IFERROR(INDEX(Crops!$E$6:$E$65,MATCH(C176,Crops!$B$6:$B$65,0)),0)))</f>
        <v/>
      </c>
      <c r="I176" s="11">
        <f>IF(AND(C176="",E176=""),"",IF(NOT(ISNUMBER(B176)),"Needs a date",IF(C176="","Needs a crop",IF(COUNTIF(Crops!$B$6:$B$65,C176)=0,"Not on Crops",IF(NOT(ISNUMBER(E176)),"Needs the amount",IF(AND(D176&lt;&gt;"",COUNTIF(Beds!$B$6:$B$35,D176)=0),"Not on Beds",""))))))</f>
        <v/>
      </c>
      <c r="J176" s="1">
        <f>IF(ISNUMBER(B176),YEAR(B176),"")</f>
        <v/>
      </c>
      <c r="K176">
        <f>IF(ISNUMBER(B176),YEAR(B176)*100+MONTH(B176),"")</f>
        <v/>
      </c>
      <c r="L176">
        <f>IF(ISNUMBER(B176),INT(B176),0)</f>
        <v/>
      </c>
    </row>
    <row r="177">
      <c r="A177" s="1" t="n"/>
      <c r="B177" s="17" t="n"/>
      <c r="C177" s="18" t="n"/>
      <c r="D177" s="19" t="n"/>
      <c r="E177" s="23" t="n"/>
      <c r="F177" s="21" t="n"/>
      <c r="G177" s="11">
        <f>IF(C177="","",IFERROR(INDEX(Crops!$D$6:$D$65,MATCH(C177,Crops!$B$6:$B$65,0))&amp;"",""))</f>
        <v/>
      </c>
      <c r="H177" s="12">
        <f>IF(OR(C177="",NOT(ISNUMBER(E177))),"",E177*N(IFERROR(INDEX(Crops!$E$6:$E$65,MATCH(C177,Crops!$B$6:$B$65,0)),0)))</f>
        <v/>
      </c>
      <c r="I177" s="11">
        <f>IF(AND(C177="",E177=""),"",IF(NOT(ISNUMBER(B177)),"Needs a date",IF(C177="","Needs a crop",IF(COUNTIF(Crops!$B$6:$B$65,C177)=0,"Not on Crops",IF(NOT(ISNUMBER(E177)),"Needs the amount",IF(AND(D177&lt;&gt;"",COUNTIF(Beds!$B$6:$B$35,D177)=0),"Not on Beds",""))))))</f>
        <v/>
      </c>
      <c r="J177" s="1">
        <f>IF(ISNUMBER(B177),YEAR(B177),"")</f>
        <v/>
      </c>
      <c r="K177">
        <f>IF(ISNUMBER(B177),YEAR(B177)*100+MONTH(B177),"")</f>
        <v/>
      </c>
      <c r="L177">
        <f>IF(ISNUMBER(B177),INT(B177),0)</f>
        <v/>
      </c>
    </row>
    <row r="178">
      <c r="A178" s="1" t="n"/>
      <c r="B178" s="17" t="n"/>
      <c r="C178" s="18" t="n"/>
      <c r="D178" s="19" t="n"/>
      <c r="E178" s="23" t="n"/>
      <c r="F178" s="21" t="n"/>
      <c r="G178" s="11">
        <f>IF(C178="","",IFERROR(INDEX(Crops!$D$6:$D$65,MATCH(C178,Crops!$B$6:$B$65,0))&amp;"",""))</f>
        <v/>
      </c>
      <c r="H178" s="12">
        <f>IF(OR(C178="",NOT(ISNUMBER(E178))),"",E178*N(IFERROR(INDEX(Crops!$E$6:$E$65,MATCH(C178,Crops!$B$6:$B$65,0)),0)))</f>
        <v/>
      </c>
      <c r="I178" s="11">
        <f>IF(AND(C178="",E178=""),"",IF(NOT(ISNUMBER(B178)),"Needs a date",IF(C178="","Needs a crop",IF(COUNTIF(Crops!$B$6:$B$65,C178)=0,"Not on Crops",IF(NOT(ISNUMBER(E178)),"Needs the amount",IF(AND(D178&lt;&gt;"",COUNTIF(Beds!$B$6:$B$35,D178)=0),"Not on Beds",""))))))</f>
        <v/>
      </c>
      <c r="J178" s="1">
        <f>IF(ISNUMBER(B178),YEAR(B178),"")</f>
        <v/>
      </c>
      <c r="K178">
        <f>IF(ISNUMBER(B178),YEAR(B178)*100+MONTH(B178),"")</f>
        <v/>
      </c>
      <c r="L178">
        <f>IF(ISNUMBER(B178),INT(B178),0)</f>
        <v/>
      </c>
    </row>
    <row r="179">
      <c r="A179" s="1" t="n"/>
      <c r="B179" s="17" t="n"/>
      <c r="C179" s="18" t="n"/>
      <c r="D179" s="19" t="n"/>
      <c r="E179" s="23" t="n"/>
      <c r="F179" s="21" t="n"/>
      <c r="G179" s="11">
        <f>IF(C179="","",IFERROR(INDEX(Crops!$D$6:$D$65,MATCH(C179,Crops!$B$6:$B$65,0))&amp;"",""))</f>
        <v/>
      </c>
      <c r="H179" s="12">
        <f>IF(OR(C179="",NOT(ISNUMBER(E179))),"",E179*N(IFERROR(INDEX(Crops!$E$6:$E$65,MATCH(C179,Crops!$B$6:$B$65,0)),0)))</f>
        <v/>
      </c>
      <c r="I179" s="11">
        <f>IF(AND(C179="",E179=""),"",IF(NOT(ISNUMBER(B179)),"Needs a date",IF(C179="","Needs a crop",IF(COUNTIF(Crops!$B$6:$B$65,C179)=0,"Not on Crops",IF(NOT(ISNUMBER(E179)),"Needs the amount",IF(AND(D179&lt;&gt;"",COUNTIF(Beds!$B$6:$B$35,D179)=0),"Not on Beds",""))))))</f>
        <v/>
      </c>
      <c r="J179" s="1">
        <f>IF(ISNUMBER(B179),YEAR(B179),"")</f>
        <v/>
      </c>
      <c r="K179">
        <f>IF(ISNUMBER(B179),YEAR(B179)*100+MONTH(B179),"")</f>
        <v/>
      </c>
      <c r="L179">
        <f>IF(ISNUMBER(B179),INT(B179),0)</f>
        <v/>
      </c>
    </row>
    <row r="180">
      <c r="A180" s="1" t="n"/>
      <c r="B180" s="17" t="n"/>
      <c r="C180" s="18" t="n"/>
      <c r="D180" s="19" t="n"/>
      <c r="E180" s="23" t="n"/>
      <c r="F180" s="21" t="n"/>
      <c r="G180" s="11">
        <f>IF(C180="","",IFERROR(INDEX(Crops!$D$6:$D$65,MATCH(C180,Crops!$B$6:$B$65,0))&amp;"",""))</f>
        <v/>
      </c>
      <c r="H180" s="12">
        <f>IF(OR(C180="",NOT(ISNUMBER(E180))),"",E180*N(IFERROR(INDEX(Crops!$E$6:$E$65,MATCH(C180,Crops!$B$6:$B$65,0)),0)))</f>
        <v/>
      </c>
      <c r="I180" s="11">
        <f>IF(AND(C180="",E180=""),"",IF(NOT(ISNUMBER(B180)),"Needs a date",IF(C180="","Needs a crop",IF(COUNTIF(Crops!$B$6:$B$65,C180)=0,"Not on Crops",IF(NOT(ISNUMBER(E180)),"Needs the amount",IF(AND(D180&lt;&gt;"",COUNTIF(Beds!$B$6:$B$35,D180)=0),"Not on Beds",""))))))</f>
        <v/>
      </c>
      <c r="J180" s="1">
        <f>IF(ISNUMBER(B180),YEAR(B180),"")</f>
        <v/>
      </c>
      <c r="K180">
        <f>IF(ISNUMBER(B180),YEAR(B180)*100+MONTH(B180),"")</f>
        <v/>
      </c>
      <c r="L180">
        <f>IF(ISNUMBER(B180),INT(B180),0)</f>
        <v/>
      </c>
    </row>
    <row r="181">
      <c r="A181" s="1" t="n"/>
      <c r="B181" s="17" t="n"/>
      <c r="C181" s="18" t="n"/>
      <c r="D181" s="19" t="n"/>
      <c r="E181" s="23" t="n"/>
      <c r="F181" s="21" t="n"/>
      <c r="G181" s="11">
        <f>IF(C181="","",IFERROR(INDEX(Crops!$D$6:$D$65,MATCH(C181,Crops!$B$6:$B$65,0))&amp;"",""))</f>
        <v/>
      </c>
      <c r="H181" s="12">
        <f>IF(OR(C181="",NOT(ISNUMBER(E181))),"",E181*N(IFERROR(INDEX(Crops!$E$6:$E$65,MATCH(C181,Crops!$B$6:$B$65,0)),0)))</f>
        <v/>
      </c>
      <c r="I181" s="11">
        <f>IF(AND(C181="",E181=""),"",IF(NOT(ISNUMBER(B181)),"Needs a date",IF(C181="","Needs a crop",IF(COUNTIF(Crops!$B$6:$B$65,C181)=0,"Not on Crops",IF(NOT(ISNUMBER(E181)),"Needs the amount",IF(AND(D181&lt;&gt;"",COUNTIF(Beds!$B$6:$B$35,D181)=0),"Not on Beds",""))))))</f>
        <v/>
      </c>
      <c r="J181" s="1">
        <f>IF(ISNUMBER(B181),YEAR(B181),"")</f>
        <v/>
      </c>
      <c r="K181">
        <f>IF(ISNUMBER(B181),YEAR(B181)*100+MONTH(B181),"")</f>
        <v/>
      </c>
      <c r="L181">
        <f>IF(ISNUMBER(B181),INT(B181),0)</f>
        <v/>
      </c>
    </row>
    <row r="182">
      <c r="A182" s="1" t="n"/>
      <c r="B182" s="17" t="n"/>
      <c r="C182" s="18" t="n"/>
      <c r="D182" s="19" t="n"/>
      <c r="E182" s="23" t="n"/>
      <c r="F182" s="21" t="n"/>
      <c r="G182" s="11">
        <f>IF(C182="","",IFERROR(INDEX(Crops!$D$6:$D$65,MATCH(C182,Crops!$B$6:$B$65,0))&amp;"",""))</f>
        <v/>
      </c>
      <c r="H182" s="12">
        <f>IF(OR(C182="",NOT(ISNUMBER(E182))),"",E182*N(IFERROR(INDEX(Crops!$E$6:$E$65,MATCH(C182,Crops!$B$6:$B$65,0)),0)))</f>
        <v/>
      </c>
      <c r="I182" s="11">
        <f>IF(AND(C182="",E182=""),"",IF(NOT(ISNUMBER(B182)),"Needs a date",IF(C182="","Needs a crop",IF(COUNTIF(Crops!$B$6:$B$65,C182)=0,"Not on Crops",IF(NOT(ISNUMBER(E182)),"Needs the amount",IF(AND(D182&lt;&gt;"",COUNTIF(Beds!$B$6:$B$35,D182)=0),"Not on Beds",""))))))</f>
        <v/>
      </c>
      <c r="J182" s="1">
        <f>IF(ISNUMBER(B182),YEAR(B182),"")</f>
        <v/>
      </c>
      <c r="K182">
        <f>IF(ISNUMBER(B182),YEAR(B182)*100+MONTH(B182),"")</f>
        <v/>
      </c>
      <c r="L182">
        <f>IF(ISNUMBER(B182),INT(B182),0)</f>
        <v/>
      </c>
    </row>
    <row r="183">
      <c r="A183" s="1" t="n"/>
      <c r="B183" s="17" t="n"/>
      <c r="C183" s="18" t="n"/>
      <c r="D183" s="19" t="n"/>
      <c r="E183" s="23" t="n"/>
      <c r="F183" s="21" t="n"/>
      <c r="G183" s="11">
        <f>IF(C183="","",IFERROR(INDEX(Crops!$D$6:$D$65,MATCH(C183,Crops!$B$6:$B$65,0))&amp;"",""))</f>
        <v/>
      </c>
      <c r="H183" s="12">
        <f>IF(OR(C183="",NOT(ISNUMBER(E183))),"",E183*N(IFERROR(INDEX(Crops!$E$6:$E$65,MATCH(C183,Crops!$B$6:$B$65,0)),0)))</f>
        <v/>
      </c>
      <c r="I183" s="11">
        <f>IF(AND(C183="",E183=""),"",IF(NOT(ISNUMBER(B183)),"Needs a date",IF(C183="","Needs a crop",IF(COUNTIF(Crops!$B$6:$B$65,C183)=0,"Not on Crops",IF(NOT(ISNUMBER(E183)),"Needs the amount",IF(AND(D183&lt;&gt;"",COUNTIF(Beds!$B$6:$B$35,D183)=0),"Not on Beds",""))))))</f>
        <v/>
      </c>
      <c r="J183" s="1">
        <f>IF(ISNUMBER(B183),YEAR(B183),"")</f>
        <v/>
      </c>
      <c r="K183">
        <f>IF(ISNUMBER(B183),YEAR(B183)*100+MONTH(B183),"")</f>
        <v/>
      </c>
      <c r="L183">
        <f>IF(ISNUMBER(B183),INT(B183),0)</f>
        <v/>
      </c>
    </row>
    <row r="184">
      <c r="A184" s="1" t="n"/>
      <c r="B184" s="17" t="n"/>
      <c r="C184" s="18" t="n"/>
      <c r="D184" s="19" t="n"/>
      <c r="E184" s="23" t="n"/>
      <c r="F184" s="21" t="n"/>
      <c r="G184" s="11">
        <f>IF(C184="","",IFERROR(INDEX(Crops!$D$6:$D$65,MATCH(C184,Crops!$B$6:$B$65,0))&amp;"",""))</f>
        <v/>
      </c>
      <c r="H184" s="12">
        <f>IF(OR(C184="",NOT(ISNUMBER(E184))),"",E184*N(IFERROR(INDEX(Crops!$E$6:$E$65,MATCH(C184,Crops!$B$6:$B$65,0)),0)))</f>
        <v/>
      </c>
      <c r="I184" s="11">
        <f>IF(AND(C184="",E184=""),"",IF(NOT(ISNUMBER(B184)),"Needs a date",IF(C184="","Needs a crop",IF(COUNTIF(Crops!$B$6:$B$65,C184)=0,"Not on Crops",IF(NOT(ISNUMBER(E184)),"Needs the amount",IF(AND(D184&lt;&gt;"",COUNTIF(Beds!$B$6:$B$35,D184)=0),"Not on Beds",""))))))</f>
        <v/>
      </c>
      <c r="J184" s="1">
        <f>IF(ISNUMBER(B184),YEAR(B184),"")</f>
        <v/>
      </c>
      <c r="K184">
        <f>IF(ISNUMBER(B184),YEAR(B184)*100+MONTH(B184),"")</f>
        <v/>
      </c>
      <c r="L184">
        <f>IF(ISNUMBER(B184),INT(B184),0)</f>
        <v/>
      </c>
    </row>
    <row r="185">
      <c r="A185" s="1" t="n"/>
      <c r="B185" s="17" t="n"/>
      <c r="C185" s="18" t="n"/>
      <c r="D185" s="19" t="n"/>
      <c r="E185" s="23" t="n"/>
      <c r="F185" s="21" t="n"/>
      <c r="G185" s="11">
        <f>IF(C185="","",IFERROR(INDEX(Crops!$D$6:$D$65,MATCH(C185,Crops!$B$6:$B$65,0))&amp;"",""))</f>
        <v/>
      </c>
      <c r="H185" s="12">
        <f>IF(OR(C185="",NOT(ISNUMBER(E185))),"",E185*N(IFERROR(INDEX(Crops!$E$6:$E$65,MATCH(C185,Crops!$B$6:$B$65,0)),0)))</f>
        <v/>
      </c>
      <c r="I185" s="11">
        <f>IF(AND(C185="",E185=""),"",IF(NOT(ISNUMBER(B185)),"Needs a date",IF(C185="","Needs a crop",IF(COUNTIF(Crops!$B$6:$B$65,C185)=0,"Not on Crops",IF(NOT(ISNUMBER(E185)),"Needs the amount",IF(AND(D185&lt;&gt;"",COUNTIF(Beds!$B$6:$B$35,D185)=0),"Not on Beds",""))))))</f>
        <v/>
      </c>
      <c r="J185" s="1">
        <f>IF(ISNUMBER(B185),YEAR(B185),"")</f>
        <v/>
      </c>
      <c r="K185">
        <f>IF(ISNUMBER(B185),YEAR(B185)*100+MONTH(B185),"")</f>
        <v/>
      </c>
      <c r="L185">
        <f>IF(ISNUMBER(B185),INT(B185),0)</f>
        <v/>
      </c>
    </row>
    <row r="186">
      <c r="A186" s="1" t="n"/>
      <c r="B186" s="17" t="n"/>
      <c r="C186" s="18" t="n"/>
      <c r="D186" s="19" t="n"/>
      <c r="E186" s="23" t="n"/>
      <c r="F186" s="21" t="n"/>
      <c r="G186" s="11">
        <f>IF(C186="","",IFERROR(INDEX(Crops!$D$6:$D$65,MATCH(C186,Crops!$B$6:$B$65,0))&amp;"",""))</f>
        <v/>
      </c>
      <c r="H186" s="12">
        <f>IF(OR(C186="",NOT(ISNUMBER(E186))),"",E186*N(IFERROR(INDEX(Crops!$E$6:$E$65,MATCH(C186,Crops!$B$6:$B$65,0)),0)))</f>
        <v/>
      </c>
      <c r="I186" s="11">
        <f>IF(AND(C186="",E186=""),"",IF(NOT(ISNUMBER(B186)),"Needs a date",IF(C186="","Needs a crop",IF(COUNTIF(Crops!$B$6:$B$65,C186)=0,"Not on Crops",IF(NOT(ISNUMBER(E186)),"Needs the amount",IF(AND(D186&lt;&gt;"",COUNTIF(Beds!$B$6:$B$35,D186)=0),"Not on Beds",""))))))</f>
        <v/>
      </c>
      <c r="J186" s="1">
        <f>IF(ISNUMBER(B186),YEAR(B186),"")</f>
        <v/>
      </c>
      <c r="K186">
        <f>IF(ISNUMBER(B186),YEAR(B186)*100+MONTH(B186),"")</f>
        <v/>
      </c>
      <c r="L186">
        <f>IF(ISNUMBER(B186),INT(B186),0)</f>
        <v/>
      </c>
    </row>
    <row r="187">
      <c r="A187" s="1" t="n"/>
      <c r="B187" s="17" t="n"/>
      <c r="C187" s="18" t="n"/>
      <c r="D187" s="19" t="n"/>
      <c r="E187" s="23" t="n"/>
      <c r="F187" s="21" t="n"/>
      <c r="G187" s="11">
        <f>IF(C187="","",IFERROR(INDEX(Crops!$D$6:$D$65,MATCH(C187,Crops!$B$6:$B$65,0))&amp;"",""))</f>
        <v/>
      </c>
      <c r="H187" s="12">
        <f>IF(OR(C187="",NOT(ISNUMBER(E187))),"",E187*N(IFERROR(INDEX(Crops!$E$6:$E$65,MATCH(C187,Crops!$B$6:$B$65,0)),0)))</f>
        <v/>
      </c>
      <c r="I187" s="11">
        <f>IF(AND(C187="",E187=""),"",IF(NOT(ISNUMBER(B187)),"Needs a date",IF(C187="","Needs a crop",IF(COUNTIF(Crops!$B$6:$B$65,C187)=0,"Not on Crops",IF(NOT(ISNUMBER(E187)),"Needs the amount",IF(AND(D187&lt;&gt;"",COUNTIF(Beds!$B$6:$B$35,D187)=0),"Not on Beds",""))))))</f>
        <v/>
      </c>
      <c r="J187" s="1">
        <f>IF(ISNUMBER(B187),YEAR(B187),"")</f>
        <v/>
      </c>
      <c r="K187">
        <f>IF(ISNUMBER(B187),YEAR(B187)*100+MONTH(B187),"")</f>
        <v/>
      </c>
      <c r="L187">
        <f>IF(ISNUMBER(B187),INT(B187),0)</f>
        <v/>
      </c>
    </row>
    <row r="188">
      <c r="A188" s="1" t="n"/>
      <c r="B188" s="17" t="n"/>
      <c r="C188" s="18" t="n"/>
      <c r="D188" s="19" t="n"/>
      <c r="E188" s="23" t="n"/>
      <c r="F188" s="21" t="n"/>
      <c r="G188" s="11">
        <f>IF(C188="","",IFERROR(INDEX(Crops!$D$6:$D$65,MATCH(C188,Crops!$B$6:$B$65,0))&amp;"",""))</f>
        <v/>
      </c>
      <c r="H188" s="12">
        <f>IF(OR(C188="",NOT(ISNUMBER(E188))),"",E188*N(IFERROR(INDEX(Crops!$E$6:$E$65,MATCH(C188,Crops!$B$6:$B$65,0)),0)))</f>
        <v/>
      </c>
      <c r="I188" s="11">
        <f>IF(AND(C188="",E188=""),"",IF(NOT(ISNUMBER(B188)),"Needs a date",IF(C188="","Needs a crop",IF(COUNTIF(Crops!$B$6:$B$65,C188)=0,"Not on Crops",IF(NOT(ISNUMBER(E188)),"Needs the amount",IF(AND(D188&lt;&gt;"",COUNTIF(Beds!$B$6:$B$35,D188)=0),"Not on Beds",""))))))</f>
        <v/>
      </c>
      <c r="J188" s="1">
        <f>IF(ISNUMBER(B188),YEAR(B188),"")</f>
        <v/>
      </c>
      <c r="K188">
        <f>IF(ISNUMBER(B188),YEAR(B188)*100+MONTH(B188),"")</f>
        <v/>
      </c>
      <c r="L188">
        <f>IF(ISNUMBER(B188),INT(B188),0)</f>
        <v/>
      </c>
    </row>
    <row r="189">
      <c r="A189" s="1" t="n"/>
      <c r="B189" s="17" t="n"/>
      <c r="C189" s="18" t="n"/>
      <c r="D189" s="19" t="n"/>
      <c r="E189" s="23" t="n"/>
      <c r="F189" s="21" t="n"/>
      <c r="G189" s="11">
        <f>IF(C189="","",IFERROR(INDEX(Crops!$D$6:$D$65,MATCH(C189,Crops!$B$6:$B$65,0))&amp;"",""))</f>
        <v/>
      </c>
      <c r="H189" s="12">
        <f>IF(OR(C189="",NOT(ISNUMBER(E189))),"",E189*N(IFERROR(INDEX(Crops!$E$6:$E$65,MATCH(C189,Crops!$B$6:$B$65,0)),0)))</f>
        <v/>
      </c>
      <c r="I189" s="11">
        <f>IF(AND(C189="",E189=""),"",IF(NOT(ISNUMBER(B189)),"Needs a date",IF(C189="","Needs a crop",IF(COUNTIF(Crops!$B$6:$B$65,C189)=0,"Not on Crops",IF(NOT(ISNUMBER(E189)),"Needs the amount",IF(AND(D189&lt;&gt;"",COUNTIF(Beds!$B$6:$B$35,D189)=0),"Not on Beds",""))))))</f>
        <v/>
      </c>
      <c r="J189" s="1">
        <f>IF(ISNUMBER(B189),YEAR(B189),"")</f>
        <v/>
      </c>
      <c r="K189">
        <f>IF(ISNUMBER(B189),YEAR(B189)*100+MONTH(B189),"")</f>
        <v/>
      </c>
      <c r="L189">
        <f>IF(ISNUMBER(B189),INT(B189),0)</f>
        <v/>
      </c>
    </row>
    <row r="190">
      <c r="A190" s="1" t="n"/>
      <c r="B190" s="17" t="n"/>
      <c r="C190" s="18" t="n"/>
      <c r="D190" s="19" t="n"/>
      <c r="E190" s="23" t="n"/>
      <c r="F190" s="21" t="n"/>
      <c r="G190" s="11">
        <f>IF(C190="","",IFERROR(INDEX(Crops!$D$6:$D$65,MATCH(C190,Crops!$B$6:$B$65,0))&amp;"",""))</f>
        <v/>
      </c>
      <c r="H190" s="12">
        <f>IF(OR(C190="",NOT(ISNUMBER(E190))),"",E190*N(IFERROR(INDEX(Crops!$E$6:$E$65,MATCH(C190,Crops!$B$6:$B$65,0)),0)))</f>
        <v/>
      </c>
      <c r="I190" s="11">
        <f>IF(AND(C190="",E190=""),"",IF(NOT(ISNUMBER(B190)),"Needs a date",IF(C190="","Needs a crop",IF(COUNTIF(Crops!$B$6:$B$65,C190)=0,"Not on Crops",IF(NOT(ISNUMBER(E190)),"Needs the amount",IF(AND(D190&lt;&gt;"",COUNTIF(Beds!$B$6:$B$35,D190)=0),"Not on Beds",""))))))</f>
        <v/>
      </c>
      <c r="J190" s="1">
        <f>IF(ISNUMBER(B190),YEAR(B190),"")</f>
        <v/>
      </c>
      <c r="K190">
        <f>IF(ISNUMBER(B190),YEAR(B190)*100+MONTH(B190),"")</f>
        <v/>
      </c>
      <c r="L190">
        <f>IF(ISNUMBER(B190),INT(B190),0)</f>
        <v/>
      </c>
    </row>
    <row r="191">
      <c r="A191" s="1" t="n"/>
      <c r="B191" s="17" t="n"/>
      <c r="C191" s="18" t="n"/>
      <c r="D191" s="19" t="n"/>
      <c r="E191" s="23" t="n"/>
      <c r="F191" s="21" t="n"/>
      <c r="G191" s="11">
        <f>IF(C191="","",IFERROR(INDEX(Crops!$D$6:$D$65,MATCH(C191,Crops!$B$6:$B$65,0))&amp;"",""))</f>
        <v/>
      </c>
      <c r="H191" s="12">
        <f>IF(OR(C191="",NOT(ISNUMBER(E191))),"",E191*N(IFERROR(INDEX(Crops!$E$6:$E$65,MATCH(C191,Crops!$B$6:$B$65,0)),0)))</f>
        <v/>
      </c>
      <c r="I191" s="11">
        <f>IF(AND(C191="",E191=""),"",IF(NOT(ISNUMBER(B191)),"Needs a date",IF(C191="","Needs a crop",IF(COUNTIF(Crops!$B$6:$B$65,C191)=0,"Not on Crops",IF(NOT(ISNUMBER(E191)),"Needs the amount",IF(AND(D191&lt;&gt;"",COUNTIF(Beds!$B$6:$B$35,D191)=0),"Not on Beds",""))))))</f>
        <v/>
      </c>
      <c r="J191" s="1">
        <f>IF(ISNUMBER(B191),YEAR(B191),"")</f>
        <v/>
      </c>
      <c r="K191">
        <f>IF(ISNUMBER(B191),YEAR(B191)*100+MONTH(B191),"")</f>
        <v/>
      </c>
      <c r="L191">
        <f>IF(ISNUMBER(B191),INT(B191),0)</f>
        <v/>
      </c>
    </row>
    <row r="192">
      <c r="A192" s="1" t="n"/>
      <c r="B192" s="17" t="n"/>
      <c r="C192" s="18" t="n"/>
      <c r="D192" s="19" t="n"/>
      <c r="E192" s="23" t="n"/>
      <c r="F192" s="21" t="n"/>
      <c r="G192" s="11">
        <f>IF(C192="","",IFERROR(INDEX(Crops!$D$6:$D$65,MATCH(C192,Crops!$B$6:$B$65,0))&amp;"",""))</f>
        <v/>
      </c>
      <c r="H192" s="12">
        <f>IF(OR(C192="",NOT(ISNUMBER(E192))),"",E192*N(IFERROR(INDEX(Crops!$E$6:$E$65,MATCH(C192,Crops!$B$6:$B$65,0)),0)))</f>
        <v/>
      </c>
      <c r="I192" s="11">
        <f>IF(AND(C192="",E192=""),"",IF(NOT(ISNUMBER(B192)),"Needs a date",IF(C192="","Needs a crop",IF(COUNTIF(Crops!$B$6:$B$65,C192)=0,"Not on Crops",IF(NOT(ISNUMBER(E192)),"Needs the amount",IF(AND(D192&lt;&gt;"",COUNTIF(Beds!$B$6:$B$35,D192)=0),"Not on Beds",""))))))</f>
        <v/>
      </c>
      <c r="J192" s="1">
        <f>IF(ISNUMBER(B192),YEAR(B192),"")</f>
        <v/>
      </c>
      <c r="K192">
        <f>IF(ISNUMBER(B192),YEAR(B192)*100+MONTH(B192),"")</f>
        <v/>
      </c>
      <c r="L192">
        <f>IF(ISNUMBER(B192),INT(B192),0)</f>
        <v/>
      </c>
    </row>
    <row r="193">
      <c r="A193" s="1" t="n"/>
      <c r="B193" s="17" t="n"/>
      <c r="C193" s="18" t="n"/>
      <c r="D193" s="19" t="n"/>
      <c r="E193" s="23" t="n"/>
      <c r="F193" s="21" t="n"/>
      <c r="G193" s="11">
        <f>IF(C193="","",IFERROR(INDEX(Crops!$D$6:$D$65,MATCH(C193,Crops!$B$6:$B$65,0))&amp;"",""))</f>
        <v/>
      </c>
      <c r="H193" s="12">
        <f>IF(OR(C193="",NOT(ISNUMBER(E193))),"",E193*N(IFERROR(INDEX(Crops!$E$6:$E$65,MATCH(C193,Crops!$B$6:$B$65,0)),0)))</f>
        <v/>
      </c>
      <c r="I193" s="11">
        <f>IF(AND(C193="",E193=""),"",IF(NOT(ISNUMBER(B193)),"Needs a date",IF(C193="","Needs a crop",IF(COUNTIF(Crops!$B$6:$B$65,C193)=0,"Not on Crops",IF(NOT(ISNUMBER(E193)),"Needs the amount",IF(AND(D193&lt;&gt;"",COUNTIF(Beds!$B$6:$B$35,D193)=0),"Not on Beds",""))))))</f>
        <v/>
      </c>
      <c r="J193" s="1">
        <f>IF(ISNUMBER(B193),YEAR(B193),"")</f>
        <v/>
      </c>
      <c r="K193">
        <f>IF(ISNUMBER(B193),YEAR(B193)*100+MONTH(B193),"")</f>
        <v/>
      </c>
      <c r="L193">
        <f>IF(ISNUMBER(B193),INT(B193),0)</f>
        <v/>
      </c>
    </row>
    <row r="194">
      <c r="A194" s="1" t="n"/>
      <c r="B194" s="17" t="n"/>
      <c r="C194" s="18" t="n"/>
      <c r="D194" s="19" t="n"/>
      <c r="E194" s="23" t="n"/>
      <c r="F194" s="21" t="n"/>
      <c r="G194" s="11">
        <f>IF(C194="","",IFERROR(INDEX(Crops!$D$6:$D$65,MATCH(C194,Crops!$B$6:$B$65,0))&amp;"",""))</f>
        <v/>
      </c>
      <c r="H194" s="12">
        <f>IF(OR(C194="",NOT(ISNUMBER(E194))),"",E194*N(IFERROR(INDEX(Crops!$E$6:$E$65,MATCH(C194,Crops!$B$6:$B$65,0)),0)))</f>
        <v/>
      </c>
      <c r="I194" s="11">
        <f>IF(AND(C194="",E194=""),"",IF(NOT(ISNUMBER(B194)),"Needs a date",IF(C194="","Needs a crop",IF(COUNTIF(Crops!$B$6:$B$65,C194)=0,"Not on Crops",IF(NOT(ISNUMBER(E194)),"Needs the amount",IF(AND(D194&lt;&gt;"",COUNTIF(Beds!$B$6:$B$35,D194)=0),"Not on Beds",""))))))</f>
        <v/>
      </c>
      <c r="J194" s="1">
        <f>IF(ISNUMBER(B194),YEAR(B194),"")</f>
        <v/>
      </c>
      <c r="K194">
        <f>IF(ISNUMBER(B194),YEAR(B194)*100+MONTH(B194),"")</f>
        <v/>
      </c>
      <c r="L194">
        <f>IF(ISNUMBER(B194),INT(B194),0)</f>
        <v/>
      </c>
    </row>
    <row r="195">
      <c r="A195" s="1" t="n"/>
      <c r="B195" s="17" t="n"/>
      <c r="C195" s="18" t="n"/>
      <c r="D195" s="19" t="n"/>
      <c r="E195" s="23" t="n"/>
      <c r="F195" s="21" t="n"/>
      <c r="G195" s="11">
        <f>IF(C195="","",IFERROR(INDEX(Crops!$D$6:$D$65,MATCH(C195,Crops!$B$6:$B$65,0))&amp;"",""))</f>
        <v/>
      </c>
      <c r="H195" s="12">
        <f>IF(OR(C195="",NOT(ISNUMBER(E195))),"",E195*N(IFERROR(INDEX(Crops!$E$6:$E$65,MATCH(C195,Crops!$B$6:$B$65,0)),0)))</f>
        <v/>
      </c>
      <c r="I195" s="11">
        <f>IF(AND(C195="",E195=""),"",IF(NOT(ISNUMBER(B195)),"Needs a date",IF(C195="","Needs a crop",IF(COUNTIF(Crops!$B$6:$B$65,C195)=0,"Not on Crops",IF(NOT(ISNUMBER(E195)),"Needs the amount",IF(AND(D195&lt;&gt;"",COUNTIF(Beds!$B$6:$B$35,D195)=0),"Not on Beds",""))))))</f>
        <v/>
      </c>
      <c r="J195" s="1">
        <f>IF(ISNUMBER(B195),YEAR(B195),"")</f>
        <v/>
      </c>
      <c r="K195">
        <f>IF(ISNUMBER(B195),YEAR(B195)*100+MONTH(B195),"")</f>
        <v/>
      </c>
      <c r="L195">
        <f>IF(ISNUMBER(B195),INT(B195),0)</f>
        <v/>
      </c>
    </row>
    <row r="196">
      <c r="A196" s="1" t="n"/>
      <c r="B196" s="17" t="n"/>
      <c r="C196" s="18" t="n"/>
      <c r="D196" s="19" t="n"/>
      <c r="E196" s="23" t="n"/>
      <c r="F196" s="21" t="n"/>
      <c r="G196" s="11">
        <f>IF(C196="","",IFERROR(INDEX(Crops!$D$6:$D$65,MATCH(C196,Crops!$B$6:$B$65,0))&amp;"",""))</f>
        <v/>
      </c>
      <c r="H196" s="12">
        <f>IF(OR(C196="",NOT(ISNUMBER(E196))),"",E196*N(IFERROR(INDEX(Crops!$E$6:$E$65,MATCH(C196,Crops!$B$6:$B$65,0)),0)))</f>
        <v/>
      </c>
      <c r="I196" s="11">
        <f>IF(AND(C196="",E196=""),"",IF(NOT(ISNUMBER(B196)),"Needs a date",IF(C196="","Needs a crop",IF(COUNTIF(Crops!$B$6:$B$65,C196)=0,"Not on Crops",IF(NOT(ISNUMBER(E196)),"Needs the amount",IF(AND(D196&lt;&gt;"",COUNTIF(Beds!$B$6:$B$35,D196)=0),"Not on Beds",""))))))</f>
        <v/>
      </c>
      <c r="J196" s="1">
        <f>IF(ISNUMBER(B196),YEAR(B196),"")</f>
        <v/>
      </c>
      <c r="K196">
        <f>IF(ISNUMBER(B196),YEAR(B196)*100+MONTH(B196),"")</f>
        <v/>
      </c>
      <c r="L196">
        <f>IF(ISNUMBER(B196),INT(B196),0)</f>
        <v/>
      </c>
    </row>
    <row r="197">
      <c r="A197" s="1" t="n"/>
      <c r="B197" s="17" t="n"/>
      <c r="C197" s="18" t="n"/>
      <c r="D197" s="19" t="n"/>
      <c r="E197" s="23" t="n"/>
      <c r="F197" s="21" t="n"/>
      <c r="G197" s="11">
        <f>IF(C197="","",IFERROR(INDEX(Crops!$D$6:$D$65,MATCH(C197,Crops!$B$6:$B$65,0))&amp;"",""))</f>
        <v/>
      </c>
      <c r="H197" s="12">
        <f>IF(OR(C197="",NOT(ISNUMBER(E197))),"",E197*N(IFERROR(INDEX(Crops!$E$6:$E$65,MATCH(C197,Crops!$B$6:$B$65,0)),0)))</f>
        <v/>
      </c>
      <c r="I197" s="11">
        <f>IF(AND(C197="",E197=""),"",IF(NOT(ISNUMBER(B197)),"Needs a date",IF(C197="","Needs a crop",IF(COUNTIF(Crops!$B$6:$B$65,C197)=0,"Not on Crops",IF(NOT(ISNUMBER(E197)),"Needs the amount",IF(AND(D197&lt;&gt;"",COUNTIF(Beds!$B$6:$B$35,D197)=0),"Not on Beds",""))))))</f>
        <v/>
      </c>
      <c r="J197" s="1">
        <f>IF(ISNUMBER(B197),YEAR(B197),"")</f>
        <v/>
      </c>
      <c r="K197">
        <f>IF(ISNUMBER(B197),YEAR(B197)*100+MONTH(B197),"")</f>
        <v/>
      </c>
      <c r="L197">
        <f>IF(ISNUMBER(B197),INT(B197),0)</f>
        <v/>
      </c>
    </row>
    <row r="198">
      <c r="A198" s="1" t="n"/>
      <c r="B198" s="17" t="n"/>
      <c r="C198" s="18" t="n"/>
      <c r="D198" s="19" t="n"/>
      <c r="E198" s="23" t="n"/>
      <c r="F198" s="21" t="n"/>
      <c r="G198" s="11">
        <f>IF(C198="","",IFERROR(INDEX(Crops!$D$6:$D$65,MATCH(C198,Crops!$B$6:$B$65,0))&amp;"",""))</f>
        <v/>
      </c>
      <c r="H198" s="12">
        <f>IF(OR(C198="",NOT(ISNUMBER(E198))),"",E198*N(IFERROR(INDEX(Crops!$E$6:$E$65,MATCH(C198,Crops!$B$6:$B$65,0)),0)))</f>
        <v/>
      </c>
      <c r="I198" s="11">
        <f>IF(AND(C198="",E198=""),"",IF(NOT(ISNUMBER(B198)),"Needs a date",IF(C198="","Needs a crop",IF(COUNTIF(Crops!$B$6:$B$65,C198)=0,"Not on Crops",IF(NOT(ISNUMBER(E198)),"Needs the amount",IF(AND(D198&lt;&gt;"",COUNTIF(Beds!$B$6:$B$35,D198)=0),"Not on Beds",""))))))</f>
        <v/>
      </c>
      <c r="J198" s="1">
        <f>IF(ISNUMBER(B198),YEAR(B198),"")</f>
        <v/>
      </c>
      <c r="K198">
        <f>IF(ISNUMBER(B198),YEAR(B198)*100+MONTH(B198),"")</f>
        <v/>
      </c>
      <c r="L198">
        <f>IF(ISNUMBER(B198),INT(B198),0)</f>
        <v/>
      </c>
    </row>
    <row r="199">
      <c r="A199" s="1" t="n"/>
      <c r="B199" s="17" t="n"/>
      <c r="C199" s="18" t="n"/>
      <c r="D199" s="19" t="n"/>
      <c r="E199" s="23" t="n"/>
      <c r="F199" s="21" t="n"/>
      <c r="G199" s="11">
        <f>IF(C199="","",IFERROR(INDEX(Crops!$D$6:$D$65,MATCH(C199,Crops!$B$6:$B$65,0))&amp;"",""))</f>
        <v/>
      </c>
      <c r="H199" s="12">
        <f>IF(OR(C199="",NOT(ISNUMBER(E199))),"",E199*N(IFERROR(INDEX(Crops!$E$6:$E$65,MATCH(C199,Crops!$B$6:$B$65,0)),0)))</f>
        <v/>
      </c>
      <c r="I199" s="11">
        <f>IF(AND(C199="",E199=""),"",IF(NOT(ISNUMBER(B199)),"Needs a date",IF(C199="","Needs a crop",IF(COUNTIF(Crops!$B$6:$B$65,C199)=0,"Not on Crops",IF(NOT(ISNUMBER(E199)),"Needs the amount",IF(AND(D199&lt;&gt;"",COUNTIF(Beds!$B$6:$B$35,D199)=0),"Not on Beds",""))))))</f>
        <v/>
      </c>
      <c r="J199" s="1">
        <f>IF(ISNUMBER(B199),YEAR(B199),"")</f>
        <v/>
      </c>
      <c r="K199">
        <f>IF(ISNUMBER(B199),YEAR(B199)*100+MONTH(B199),"")</f>
        <v/>
      </c>
      <c r="L199">
        <f>IF(ISNUMBER(B199),INT(B199),0)</f>
        <v/>
      </c>
    </row>
    <row r="200">
      <c r="A200" s="1" t="n"/>
      <c r="B200" s="17" t="n"/>
      <c r="C200" s="18" t="n"/>
      <c r="D200" s="19" t="n"/>
      <c r="E200" s="23" t="n"/>
      <c r="F200" s="21" t="n"/>
      <c r="G200" s="11">
        <f>IF(C200="","",IFERROR(INDEX(Crops!$D$6:$D$65,MATCH(C200,Crops!$B$6:$B$65,0))&amp;"",""))</f>
        <v/>
      </c>
      <c r="H200" s="12">
        <f>IF(OR(C200="",NOT(ISNUMBER(E200))),"",E200*N(IFERROR(INDEX(Crops!$E$6:$E$65,MATCH(C200,Crops!$B$6:$B$65,0)),0)))</f>
        <v/>
      </c>
      <c r="I200" s="11">
        <f>IF(AND(C200="",E200=""),"",IF(NOT(ISNUMBER(B200)),"Needs a date",IF(C200="","Needs a crop",IF(COUNTIF(Crops!$B$6:$B$65,C200)=0,"Not on Crops",IF(NOT(ISNUMBER(E200)),"Needs the amount",IF(AND(D200&lt;&gt;"",COUNTIF(Beds!$B$6:$B$35,D200)=0),"Not on Beds",""))))))</f>
        <v/>
      </c>
      <c r="J200" s="1">
        <f>IF(ISNUMBER(B200),YEAR(B200),"")</f>
        <v/>
      </c>
      <c r="K200">
        <f>IF(ISNUMBER(B200),YEAR(B200)*100+MONTH(B200),"")</f>
        <v/>
      </c>
      <c r="L200">
        <f>IF(ISNUMBER(B200),INT(B200),0)</f>
        <v/>
      </c>
    </row>
    <row r="201">
      <c r="A201" s="1" t="n"/>
      <c r="B201" s="17" t="n"/>
      <c r="C201" s="18" t="n"/>
      <c r="D201" s="19" t="n"/>
      <c r="E201" s="23" t="n"/>
      <c r="F201" s="21" t="n"/>
      <c r="G201" s="11">
        <f>IF(C201="","",IFERROR(INDEX(Crops!$D$6:$D$65,MATCH(C201,Crops!$B$6:$B$65,0))&amp;"",""))</f>
        <v/>
      </c>
      <c r="H201" s="12">
        <f>IF(OR(C201="",NOT(ISNUMBER(E201))),"",E201*N(IFERROR(INDEX(Crops!$E$6:$E$65,MATCH(C201,Crops!$B$6:$B$65,0)),0)))</f>
        <v/>
      </c>
      <c r="I201" s="11">
        <f>IF(AND(C201="",E201=""),"",IF(NOT(ISNUMBER(B201)),"Needs a date",IF(C201="","Needs a crop",IF(COUNTIF(Crops!$B$6:$B$65,C201)=0,"Not on Crops",IF(NOT(ISNUMBER(E201)),"Needs the amount",IF(AND(D201&lt;&gt;"",COUNTIF(Beds!$B$6:$B$35,D201)=0),"Not on Beds",""))))))</f>
        <v/>
      </c>
      <c r="J201" s="1">
        <f>IF(ISNUMBER(B201),YEAR(B201),"")</f>
        <v/>
      </c>
      <c r="K201">
        <f>IF(ISNUMBER(B201),YEAR(B201)*100+MONTH(B201),"")</f>
        <v/>
      </c>
      <c r="L201">
        <f>IF(ISNUMBER(B201),INT(B201),0)</f>
        <v/>
      </c>
    </row>
    <row r="202">
      <c r="A202" s="1" t="n"/>
      <c r="B202" s="17" t="n"/>
      <c r="C202" s="18" t="n"/>
      <c r="D202" s="19" t="n"/>
      <c r="E202" s="23" t="n"/>
      <c r="F202" s="21" t="n"/>
      <c r="G202" s="11">
        <f>IF(C202="","",IFERROR(INDEX(Crops!$D$6:$D$65,MATCH(C202,Crops!$B$6:$B$65,0))&amp;"",""))</f>
        <v/>
      </c>
      <c r="H202" s="12">
        <f>IF(OR(C202="",NOT(ISNUMBER(E202))),"",E202*N(IFERROR(INDEX(Crops!$E$6:$E$65,MATCH(C202,Crops!$B$6:$B$65,0)),0)))</f>
        <v/>
      </c>
      <c r="I202" s="11">
        <f>IF(AND(C202="",E202=""),"",IF(NOT(ISNUMBER(B202)),"Needs a date",IF(C202="","Needs a crop",IF(COUNTIF(Crops!$B$6:$B$65,C202)=0,"Not on Crops",IF(NOT(ISNUMBER(E202)),"Needs the amount",IF(AND(D202&lt;&gt;"",COUNTIF(Beds!$B$6:$B$35,D202)=0),"Not on Beds",""))))))</f>
        <v/>
      </c>
      <c r="J202" s="1">
        <f>IF(ISNUMBER(B202),YEAR(B202),"")</f>
        <v/>
      </c>
      <c r="K202">
        <f>IF(ISNUMBER(B202),YEAR(B202)*100+MONTH(B202),"")</f>
        <v/>
      </c>
      <c r="L202">
        <f>IF(ISNUMBER(B202),INT(B202),0)</f>
        <v/>
      </c>
    </row>
    <row r="203">
      <c r="A203" s="1" t="n"/>
      <c r="B203" s="17" t="n"/>
      <c r="C203" s="18" t="n"/>
      <c r="D203" s="19" t="n"/>
      <c r="E203" s="23" t="n"/>
      <c r="F203" s="21" t="n"/>
      <c r="G203" s="11">
        <f>IF(C203="","",IFERROR(INDEX(Crops!$D$6:$D$65,MATCH(C203,Crops!$B$6:$B$65,0))&amp;"",""))</f>
        <v/>
      </c>
      <c r="H203" s="12">
        <f>IF(OR(C203="",NOT(ISNUMBER(E203))),"",E203*N(IFERROR(INDEX(Crops!$E$6:$E$65,MATCH(C203,Crops!$B$6:$B$65,0)),0)))</f>
        <v/>
      </c>
      <c r="I203" s="11">
        <f>IF(AND(C203="",E203=""),"",IF(NOT(ISNUMBER(B203)),"Needs a date",IF(C203="","Needs a crop",IF(COUNTIF(Crops!$B$6:$B$65,C203)=0,"Not on Crops",IF(NOT(ISNUMBER(E203)),"Needs the amount",IF(AND(D203&lt;&gt;"",COUNTIF(Beds!$B$6:$B$35,D203)=0),"Not on Beds",""))))))</f>
        <v/>
      </c>
      <c r="J203" s="1">
        <f>IF(ISNUMBER(B203),YEAR(B203),"")</f>
        <v/>
      </c>
      <c r="K203">
        <f>IF(ISNUMBER(B203),YEAR(B203)*100+MONTH(B203),"")</f>
        <v/>
      </c>
      <c r="L203">
        <f>IF(ISNUMBER(B203),INT(B203),0)</f>
        <v/>
      </c>
    </row>
    <row r="204">
      <c r="A204" s="1" t="n"/>
      <c r="B204" s="17" t="n"/>
      <c r="C204" s="18" t="n"/>
      <c r="D204" s="19" t="n"/>
      <c r="E204" s="23" t="n"/>
      <c r="F204" s="21" t="n"/>
      <c r="G204" s="11">
        <f>IF(C204="","",IFERROR(INDEX(Crops!$D$6:$D$65,MATCH(C204,Crops!$B$6:$B$65,0))&amp;"",""))</f>
        <v/>
      </c>
      <c r="H204" s="12">
        <f>IF(OR(C204="",NOT(ISNUMBER(E204))),"",E204*N(IFERROR(INDEX(Crops!$E$6:$E$65,MATCH(C204,Crops!$B$6:$B$65,0)),0)))</f>
        <v/>
      </c>
      <c r="I204" s="11">
        <f>IF(AND(C204="",E204=""),"",IF(NOT(ISNUMBER(B204)),"Needs a date",IF(C204="","Needs a crop",IF(COUNTIF(Crops!$B$6:$B$65,C204)=0,"Not on Crops",IF(NOT(ISNUMBER(E204)),"Needs the amount",IF(AND(D204&lt;&gt;"",COUNTIF(Beds!$B$6:$B$35,D204)=0),"Not on Beds",""))))))</f>
        <v/>
      </c>
      <c r="J204" s="1">
        <f>IF(ISNUMBER(B204),YEAR(B204),"")</f>
        <v/>
      </c>
      <c r="K204">
        <f>IF(ISNUMBER(B204),YEAR(B204)*100+MONTH(B204),"")</f>
        <v/>
      </c>
      <c r="L204">
        <f>IF(ISNUMBER(B204),INT(B204),0)</f>
        <v/>
      </c>
    </row>
    <row r="205">
      <c r="A205" s="1" t="n"/>
      <c r="B205" s="17" t="n"/>
      <c r="C205" s="18" t="n"/>
      <c r="D205" s="19" t="n"/>
      <c r="E205" s="23" t="n"/>
      <c r="F205" s="21" t="n"/>
      <c r="G205" s="11">
        <f>IF(C205="","",IFERROR(INDEX(Crops!$D$6:$D$65,MATCH(C205,Crops!$B$6:$B$65,0))&amp;"",""))</f>
        <v/>
      </c>
      <c r="H205" s="12">
        <f>IF(OR(C205="",NOT(ISNUMBER(E205))),"",E205*N(IFERROR(INDEX(Crops!$E$6:$E$65,MATCH(C205,Crops!$B$6:$B$65,0)),0)))</f>
        <v/>
      </c>
      <c r="I205" s="11">
        <f>IF(AND(C205="",E205=""),"",IF(NOT(ISNUMBER(B205)),"Needs a date",IF(C205="","Needs a crop",IF(COUNTIF(Crops!$B$6:$B$65,C205)=0,"Not on Crops",IF(NOT(ISNUMBER(E205)),"Needs the amount",IF(AND(D205&lt;&gt;"",COUNTIF(Beds!$B$6:$B$35,D205)=0),"Not on Beds",""))))))</f>
        <v/>
      </c>
      <c r="J205" s="1">
        <f>IF(ISNUMBER(B205),YEAR(B205),"")</f>
        <v/>
      </c>
      <c r="K205">
        <f>IF(ISNUMBER(B205),YEAR(B205)*100+MONTH(B205),"")</f>
        <v/>
      </c>
      <c r="L205">
        <f>IF(ISNUMBER(B205),INT(B205),0)</f>
        <v/>
      </c>
    </row>
    <row r="206">
      <c r="A206" s="1" t="n"/>
      <c r="B206" s="17" t="n"/>
      <c r="C206" s="18" t="n"/>
      <c r="D206" s="19" t="n"/>
      <c r="E206" s="23" t="n"/>
      <c r="F206" s="21" t="n"/>
      <c r="G206" s="11">
        <f>IF(C206="","",IFERROR(INDEX(Crops!$D$6:$D$65,MATCH(C206,Crops!$B$6:$B$65,0))&amp;"",""))</f>
        <v/>
      </c>
      <c r="H206" s="12">
        <f>IF(OR(C206="",NOT(ISNUMBER(E206))),"",E206*N(IFERROR(INDEX(Crops!$E$6:$E$65,MATCH(C206,Crops!$B$6:$B$65,0)),0)))</f>
        <v/>
      </c>
      <c r="I206" s="11">
        <f>IF(AND(C206="",E206=""),"",IF(NOT(ISNUMBER(B206)),"Needs a date",IF(C206="","Needs a crop",IF(COUNTIF(Crops!$B$6:$B$65,C206)=0,"Not on Crops",IF(NOT(ISNUMBER(E206)),"Needs the amount",IF(AND(D206&lt;&gt;"",COUNTIF(Beds!$B$6:$B$35,D206)=0),"Not on Beds",""))))))</f>
        <v/>
      </c>
      <c r="J206" s="1">
        <f>IF(ISNUMBER(B206),YEAR(B206),"")</f>
        <v/>
      </c>
      <c r="K206">
        <f>IF(ISNUMBER(B206),YEAR(B206)*100+MONTH(B206),"")</f>
        <v/>
      </c>
      <c r="L206">
        <f>IF(ISNUMBER(B206),INT(B206),0)</f>
        <v/>
      </c>
    </row>
    <row r="207">
      <c r="A207" s="1" t="n"/>
      <c r="B207" s="17" t="n"/>
      <c r="C207" s="18" t="n"/>
      <c r="D207" s="19" t="n"/>
      <c r="E207" s="23" t="n"/>
      <c r="F207" s="21" t="n"/>
      <c r="G207" s="11">
        <f>IF(C207="","",IFERROR(INDEX(Crops!$D$6:$D$65,MATCH(C207,Crops!$B$6:$B$65,0))&amp;"",""))</f>
        <v/>
      </c>
      <c r="H207" s="12">
        <f>IF(OR(C207="",NOT(ISNUMBER(E207))),"",E207*N(IFERROR(INDEX(Crops!$E$6:$E$65,MATCH(C207,Crops!$B$6:$B$65,0)),0)))</f>
        <v/>
      </c>
      <c r="I207" s="11">
        <f>IF(AND(C207="",E207=""),"",IF(NOT(ISNUMBER(B207)),"Needs a date",IF(C207="","Needs a crop",IF(COUNTIF(Crops!$B$6:$B$65,C207)=0,"Not on Crops",IF(NOT(ISNUMBER(E207)),"Needs the amount",IF(AND(D207&lt;&gt;"",COUNTIF(Beds!$B$6:$B$35,D207)=0),"Not on Beds",""))))))</f>
        <v/>
      </c>
      <c r="J207" s="1">
        <f>IF(ISNUMBER(B207),YEAR(B207),"")</f>
        <v/>
      </c>
      <c r="K207">
        <f>IF(ISNUMBER(B207),YEAR(B207)*100+MONTH(B207),"")</f>
        <v/>
      </c>
      <c r="L207">
        <f>IF(ISNUMBER(B207),INT(B207),0)</f>
        <v/>
      </c>
    </row>
    <row r="208">
      <c r="A208" s="1" t="n"/>
      <c r="B208" s="17" t="n"/>
      <c r="C208" s="18" t="n"/>
      <c r="D208" s="19" t="n"/>
      <c r="E208" s="23" t="n"/>
      <c r="F208" s="21" t="n"/>
      <c r="G208" s="11">
        <f>IF(C208="","",IFERROR(INDEX(Crops!$D$6:$D$65,MATCH(C208,Crops!$B$6:$B$65,0))&amp;"",""))</f>
        <v/>
      </c>
      <c r="H208" s="12">
        <f>IF(OR(C208="",NOT(ISNUMBER(E208))),"",E208*N(IFERROR(INDEX(Crops!$E$6:$E$65,MATCH(C208,Crops!$B$6:$B$65,0)),0)))</f>
        <v/>
      </c>
      <c r="I208" s="11">
        <f>IF(AND(C208="",E208=""),"",IF(NOT(ISNUMBER(B208)),"Needs a date",IF(C208="","Needs a crop",IF(COUNTIF(Crops!$B$6:$B$65,C208)=0,"Not on Crops",IF(NOT(ISNUMBER(E208)),"Needs the amount",IF(AND(D208&lt;&gt;"",COUNTIF(Beds!$B$6:$B$35,D208)=0),"Not on Beds",""))))))</f>
        <v/>
      </c>
      <c r="J208" s="1">
        <f>IF(ISNUMBER(B208),YEAR(B208),"")</f>
        <v/>
      </c>
      <c r="K208">
        <f>IF(ISNUMBER(B208),YEAR(B208)*100+MONTH(B208),"")</f>
        <v/>
      </c>
      <c r="L208">
        <f>IF(ISNUMBER(B208),INT(B208),0)</f>
        <v/>
      </c>
    </row>
    <row r="209">
      <c r="A209" s="1" t="n"/>
      <c r="B209" s="17" t="n"/>
      <c r="C209" s="18" t="n"/>
      <c r="D209" s="19" t="n"/>
      <c r="E209" s="23" t="n"/>
      <c r="F209" s="21" t="n"/>
      <c r="G209" s="11">
        <f>IF(C209="","",IFERROR(INDEX(Crops!$D$6:$D$65,MATCH(C209,Crops!$B$6:$B$65,0))&amp;"",""))</f>
        <v/>
      </c>
      <c r="H209" s="12">
        <f>IF(OR(C209="",NOT(ISNUMBER(E209))),"",E209*N(IFERROR(INDEX(Crops!$E$6:$E$65,MATCH(C209,Crops!$B$6:$B$65,0)),0)))</f>
        <v/>
      </c>
      <c r="I209" s="11">
        <f>IF(AND(C209="",E209=""),"",IF(NOT(ISNUMBER(B209)),"Needs a date",IF(C209="","Needs a crop",IF(COUNTIF(Crops!$B$6:$B$65,C209)=0,"Not on Crops",IF(NOT(ISNUMBER(E209)),"Needs the amount",IF(AND(D209&lt;&gt;"",COUNTIF(Beds!$B$6:$B$35,D209)=0),"Not on Beds",""))))))</f>
        <v/>
      </c>
      <c r="J209" s="1">
        <f>IF(ISNUMBER(B209),YEAR(B209),"")</f>
        <v/>
      </c>
      <c r="K209">
        <f>IF(ISNUMBER(B209),YEAR(B209)*100+MONTH(B209),"")</f>
        <v/>
      </c>
      <c r="L209">
        <f>IF(ISNUMBER(B209),INT(B209),0)</f>
        <v/>
      </c>
    </row>
    <row r="210">
      <c r="A210" s="1" t="n"/>
      <c r="B210" s="17" t="n"/>
      <c r="C210" s="18" t="n"/>
      <c r="D210" s="19" t="n"/>
      <c r="E210" s="23" t="n"/>
      <c r="F210" s="21" t="n"/>
      <c r="G210" s="11">
        <f>IF(C210="","",IFERROR(INDEX(Crops!$D$6:$D$65,MATCH(C210,Crops!$B$6:$B$65,0))&amp;"",""))</f>
        <v/>
      </c>
      <c r="H210" s="12">
        <f>IF(OR(C210="",NOT(ISNUMBER(E210))),"",E210*N(IFERROR(INDEX(Crops!$E$6:$E$65,MATCH(C210,Crops!$B$6:$B$65,0)),0)))</f>
        <v/>
      </c>
      <c r="I210" s="11">
        <f>IF(AND(C210="",E210=""),"",IF(NOT(ISNUMBER(B210)),"Needs a date",IF(C210="","Needs a crop",IF(COUNTIF(Crops!$B$6:$B$65,C210)=0,"Not on Crops",IF(NOT(ISNUMBER(E210)),"Needs the amount",IF(AND(D210&lt;&gt;"",COUNTIF(Beds!$B$6:$B$35,D210)=0),"Not on Beds",""))))))</f>
        <v/>
      </c>
      <c r="J210" s="1">
        <f>IF(ISNUMBER(B210),YEAR(B210),"")</f>
        <v/>
      </c>
      <c r="K210">
        <f>IF(ISNUMBER(B210),YEAR(B210)*100+MONTH(B210),"")</f>
        <v/>
      </c>
      <c r="L210">
        <f>IF(ISNUMBER(B210),INT(B210),0)</f>
        <v/>
      </c>
    </row>
    <row r="211">
      <c r="A211" s="1" t="n"/>
      <c r="B211" s="17" t="n"/>
      <c r="C211" s="18" t="n"/>
      <c r="D211" s="19" t="n"/>
      <c r="E211" s="23" t="n"/>
      <c r="F211" s="21" t="n"/>
      <c r="G211" s="11">
        <f>IF(C211="","",IFERROR(INDEX(Crops!$D$6:$D$65,MATCH(C211,Crops!$B$6:$B$65,0))&amp;"",""))</f>
        <v/>
      </c>
      <c r="H211" s="12">
        <f>IF(OR(C211="",NOT(ISNUMBER(E211))),"",E211*N(IFERROR(INDEX(Crops!$E$6:$E$65,MATCH(C211,Crops!$B$6:$B$65,0)),0)))</f>
        <v/>
      </c>
      <c r="I211" s="11">
        <f>IF(AND(C211="",E211=""),"",IF(NOT(ISNUMBER(B211)),"Needs a date",IF(C211="","Needs a crop",IF(COUNTIF(Crops!$B$6:$B$65,C211)=0,"Not on Crops",IF(NOT(ISNUMBER(E211)),"Needs the amount",IF(AND(D211&lt;&gt;"",COUNTIF(Beds!$B$6:$B$35,D211)=0),"Not on Beds",""))))))</f>
        <v/>
      </c>
      <c r="J211" s="1">
        <f>IF(ISNUMBER(B211),YEAR(B211),"")</f>
        <v/>
      </c>
      <c r="K211">
        <f>IF(ISNUMBER(B211),YEAR(B211)*100+MONTH(B211),"")</f>
        <v/>
      </c>
      <c r="L211">
        <f>IF(ISNUMBER(B211),INT(B211),0)</f>
        <v/>
      </c>
    </row>
    <row r="212">
      <c r="A212" s="1" t="n"/>
      <c r="B212" s="17" t="n"/>
      <c r="C212" s="18" t="n"/>
      <c r="D212" s="19" t="n"/>
      <c r="E212" s="23" t="n"/>
      <c r="F212" s="21" t="n"/>
      <c r="G212" s="11">
        <f>IF(C212="","",IFERROR(INDEX(Crops!$D$6:$D$65,MATCH(C212,Crops!$B$6:$B$65,0))&amp;"",""))</f>
        <v/>
      </c>
      <c r="H212" s="12">
        <f>IF(OR(C212="",NOT(ISNUMBER(E212))),"",E212*N(IFERROR(INDEX(Crops!$E$6:$E$65,MATCH(C212,Crops!$B$6:$B$65,0)),0)))</f>
        <v/>
      </c>
      <c r="I212" s="11">
        <f>IF(AND(C212="",E212=""),"",IF(NOT(ISNUMBER(B212)),"Needs a date",IF(C212="","Needs a crop",IF(COUNTIF(Crops!$B$6:$B$65,C212)=0,"Not on Crops",IF(NOT(ISNUMBER(E212)),"Needs the amount",IF(AND(D212&lt;&gt;"",COUNTIF(Beds!$B$6:$B$35,D212)=0),"Not on Beds",""))))))</f>
        <v/>
      </c>
      <c r="J212" s="1">
        <f>IF(ISNUMBER(B212),YEAR(B212),"")</f>
        <v/>
      </c>
      <c r="K212">
        <f>IF(ISNUMBER(B212),YEAR(B212)*100+MONTH(B212),"")</f>
        <v/>
      </c>
      <c r="L212">
        <f>IF(ISNUMBER(B212),INT(B212),0)</f>
        <v/>
      </c>
    </row>
    <row r="213">
      <c r="A213" s="1" t="n"/>
      <c r="B213" s="17" t="n"/>
      <c r="C213" s="18" t="n"/>
      <c r="D213" s="19" t="n"/>
      <c r="E213" s="23" t="n"/>
      <c r="F213" s="21" t="n"/>
      <c r="G213" s="11">
        <f>IF(C213="","",IFERROR(INDEX(Crops!$D$6:$D$65,MATCH(C213,Crops!$B$6:$B$65,0))&amp;"",""))</f>
        <v/>
      </c>
      <c r="H213" s="12">
        <f>IF(OR(C213="",NOT(ISNUMBER(E213))),"",E213*N(IFERROR(INDEX(Crops!$E$6:$E$65,MATCH(C213,Crops!$B$6:$B$65,0)),0)))</f>
        <v/>
      </c>
      <c r="I213" s="11">
        <f>IF(AND(C213="",E213=""),"",IF(NOT(ISNUMBER(B213)),"Needs a date",IF(C213="","Needs a crop",IF(COUNTIF(Crops!$B$6:$B$65,C213)=0,"Not on Crops",IF(NOT(ISNUMBER(E213)),"Needs the amount",IF(AND(D213&lt;&gt;"",COUNTIF(Beds!$B$6:$B$35,D213)=0),"Not on Beds",""))))))</f>
        <v/>
      </c>
      <c r="J213" s="1">
        <f>IF(ISNUMBER(B213),YEAR(B213),"")</f>
        <v/>
      </c>
      <c r="K213">
        <f>IF(ISNUMBER(B213),YEAR(B213)*100+MONTH(B213),"")</f>
        <v/>
      </c>
      <c r="L213">
        <f>IF(ISNUMBER(B213),INT(B213),0)</f>
        <v/>
      </c>
    </row>
    <row r="214">
      <c r="A214" s="1" t="n"/>
      <c r="B214" s="17" t="n"/>
      <c r="C214" s="18" t="n"/>
      <c r="D214" s="19" t="n"/>
      <c r="E214" s="23" t="n"/>
      <c r="F214" s="21" t="n"/>
      <c r="G214" s="11">
        <f>IF(C214="","",IFERROR(INDEX(Crops!$D$6:$D$65,MATCH(C214,Crops!$B$6:$B$65,0))&amp;"",""))</f>
        <v/>
      </c>
      <c r="H214" s="12">
        <f>IF(OR(C214="",NOT(ISNUMBER(E214))),"",E214*N(IFERROR(INDEX(Crops!$E$6:$E$65,MATCH(C214,Crops!$B$6:$B$65,0)),0)))</f>
        <v/>
      </c>
      <c r="I214" s="11">
        <f>IF(AND(C214="",E214=""),"",IF(NOT(ISNUMBER(B214)),"Needs a date",IF(C214="","Needs a crop",IF(COUNTIF(Crops!$B$6:$B$65,C214)=0,"Not on Crops",IF(NOT(ISNUMBER(E214)),"Needs the amount",IF(AND(D214&lt;&gt;"",COUNTIF(Beds!$B$6:$B$35,D214)=0),"Not on Beds",""))))))</f>
        <v/>
      </c>
      <c r="J214" s="1">
        <f>IF(ISNUMBER(B214),YEAR(B214),"")</f>
        <v/>
      </c>
      <c r="K214">
        <f>IF(ISNUMBER(B214),YEAR(B214)*100+MONTH(B214),"")</f>
        <v/>
      </c>
      <c r="L214">
        <f>IF(ISNUMBER(B214),INT(B214),0)</f>
        <v/>
      </c>
    </row>
    <row r="215">
      <c r="A215" s="1" t="n"/>
      <c r="B215" s="17" t="n"/>
      <c r="C215" s="18" t="n"/>
      <c r="D215" s="19" t="n"/>
      <c r="E215" s="23" t="n"/>
      <c r="F215" s="21" t="n"/>
      <c r="G215" s="11">
        <f>IF(C215="","",IFERROR(INDEX(Crops!$D$6:$D$65,MATCH(C215,Crops!$B$6:$B$65,0))&amp;"",""))</f>
        <v/>
      </c>
      <c r="H215" s="12">
        <f>IF(OR(C215="",NOT(ISNUMBER(E215))),"",E215*N(IFERROR(INDEX(Crops!$E$6:$E$65,MATCH(C215,Crops!$B$6:$B$65,0)),0)))</f>
        <v/>
      </c>
      <c r="I215" s="11">
        <f>IF(AND(C215="",E215=""),"",IF(NOT(ISNUMBER(B215)),"Needs a date",IF(C215="","Needs a crop",IF(COUNTIF(Crops!$B$6:$B$65,C215)=0,"Not on Crops",IF(NOT(ISNUMBER(E215)),"Needs the amount",IF(AND(D215&lt;&gt;"",COUNTIF(Beds!$B$6:$B$35,D215)=0),"Not on Beds",""))))))</f>
        <v/>
      </c>
      <c r="J215" s="1">
        <f>IF(ISNUMBER(B215),YEAR(B215),"")</f>
        <v/>
      </c>
      <c r="K215">
        <f>IF(ISNUMBER(B215),YEAR(B215)*100+MONTH(B215),"")</f>
        <v/>
      </c>
      <c r="L215">
        <f>IF(ISNUMBER(B215),INT(B215),0)</f>
        <v/>
      </c>
    </row>
    <row r="216">
      <c r="A216" s="1" t="n"/>
      <c r="B216" s="17" t="n"/>
      <c r="C216" s="18" t="n"/>
      <c r="D216" s="19" t="n"/>
      <c r="E216" s="23" t="n"/>
      <c r="F216" s="21" t="n"/>
      <c r="G216" s="11">
        <f>IF(C216="","",IFERROR(INDEX(Crops!$D$6:$D$65,MATCH(C216,Crops!$B$6:$B$65,0))&amp;"",""))</f>
        <v/>
      </c>
      <c r="H216" s="12">
        <f>IF(OR(C216="",NOT(ISNUMBER(E216))),"",E216*N(IFERROR(INDEX(Crops!$E$6:$E$65,MATCH(C216,Crops!$B$6:$B$65,0)),0)))</f>
        <v/>
      </c>
      <c r="I216" s="11">
        <f>IF(AND(C216="",E216=""),"",IF(NOT(ISNUMBER(B216)),"Needs a date",IF(C216="","Needs a crop",IF(COUNTIF(Crops!$B$6:$B$65,C216)=0,"Not on Crops",IF(NOT(ISNUMBER(E216)),"Needs the amount",IF(AND(D216&lt;&gt;"",COUNTIF(Beds!$B$6:$B$35,D216)=0),"Not on Beds",""))))))</f>
        <v/>
      </c>
      <c r="J216" s="1">
        <f>IF(ISNUMBER(B216),YEAR(B216),"")</f>
        <v/>
      </c>
      <c r="K216">
        <f>IF(ISNUMBER(B216),YEAR(B216)*100+MONTH(B216),"")</f>
        <v/>
      </c>
      <c r="L216">
        <f>IF(ISNUMBER(B216),INT(B216),0)</f>
        <v/>
      </c>
    </row>
    <row r="217">
      <c r="A217" s="1" t="n"/>
      <c r="B217" s="17" t="n"/>
      <c r="C217" s="18" t="n"/>
      <c r="D217" s="19" t="n"/>
      <c r="E217" s="23" t="n"/>
      <c r="F217" s="21" t="n"/>
      <c r="G217" s="11">
        <f>IF(C217="","",IFERROR(INDEX(Crops!$D$6:$D$65,MATCH(C217,Crops!$B$6:$B$65,0))&amp;"",""))</f>
        <v/>
      </c>
      <c r="H217" s="12">
        <f>IF(OR(C217="",NOT(ISNUMBER(E217))),"",E217*N(IFERROR(INDEX(Crops!$E$6:$E$65,MATCH(C217,Crops!$B$6:$B$65,0)),0)))</f>
        <v/>
      </c>
      <c r="I217" s="11">
        <f>IF(AND(C217="",E217=""),"",IF(NOT(ISNUMBER(B217)),"Needs a date",IF(C217="","Needs a crop",IF(COUNTIF(Crops!$B$6:$B$65,C217)=0,"Not on Crops",IF(NOT(ISNUMBER(E217)),"Needs the amount",IF(AND(D217&lt;&gt;"",COUNTIF(Beds!$B$6:$B$35,D217)=0),"Not on Beds",""))))))</f>
        <v/>
      </c>
      <c r="J217" s="1">
        <f>IF(ISNUMBER(B217),YEAR(B217),"")</f>
        <v/>
      </c>
      <c r="K217">
        <f>IF(ISNUMBER(B217),YEAR(B217)*100+MONTH(B217),"")</f>
        <v/>
      </c>
      <c r="L217">
        <f>IF(ISNUMBER(B217),INT(B217),0)</f>
        <v/>
      </c>
    </row>
    <row r="218">
      <c r="A218" s="1" t="n"/>
      <c r="B218" s="17" t="n"/>
      <c r="C218" s="18" t="n"/>
      <c r="D218" s="19" t="n"/>
      <c r="E218" s="23" t="n"/>
      <c r="F218" s="21" t="n"/>
      <c r="G218" s="11">
        <f>IF(C218="","",IFERROR(INDEX(Crops!$D$6:$D$65,MATCH(C218,Crops!$B$6:$B$65,0))&amp;"",""))</f>
        <v/>
      </c>
      <c r="H218" s="12">
        <f>IF(OR(C218="",NOT(ISNUMBER(E218))),"",E218*N(IFERROR(INDEX(Crops!$E$6:$E$65,MATCH(C218,Crops!$B$6:$B$65,0)),0)))</f>
        <v/>
      </c>
      <c r="I218" s="11">
        <f>IF(AND(C218="",E218=""),"",IF(NOT(ISNUMBER(B218)),"Needs a date",IF(C218="","Needs a crop",IF(COUNTIF(Crops!$B$6:$B$65,C218)=0,"Not on Crops",IF(NOT(ISNUMBER(E218)),"Needs the amount",IF(AND(D218&lt;&gt;"",COUNTIF(Beds!$B$6:$B$35,D218)=0),"Not on Beds",""))))))</f>
        <v/>
      </c>
      <c r="J218" s="1">
        <f>IF(ISNUMBER(B218),YEAR(B218),"")</f>
        <v/>
      </c>
      <c r="K218">
        <f>IF(ISNUMBER(B218),YEAR(B218)*100+MONTH(B218),"")</f>
        <v/>
      </c>
      <c r="L218">
        <f>IF(ISNUMBER(B218),INT(B218),0)</f>
        <v/>
      </c>
    </row>
    <row r="219">
      <c r="A219" s="1" t="n"/>
      <c r="B219" s="17" t="n"/>
      <c r="C219" s="18" t="n"/>
      <c r="D219" s="19" t="n"/>
      <c r="E219" s="23" t="n"/>
      <c r="F219" s="21" t="n"/>
      <c r="G219" s="11">
        <f>IF(C219="","",IFERROR(INDEX(Crops!$D$6:$D$65,MATCH(C219,Crops!$B$6:$B$65,0))&amp;"",""))</f>
        <v/>
      </c>
      <c r="H219" s="12">
        <f>IF(OR(C219="",NOT(ISNUMBER(E219))),"",E219*N(IFERROR(INDEX(Crops!$E$6:$E$65,MATCH(C219,Crops!$B$6:$B$65,0)),0)))</f>
        <v/>
      </c>
      <c r="I219" s="11">
        <f>IF(AND(C219="",E219=""),"",IF(NOT(ISNUMBER(B219)),"Needs a date",IF(C219="","Needs a crop",IF(COUNTIF(Crops!$B$6:$B$65,C219)=0,"Not on Crops",IF(NOT(ISNUMBER(E219)),"Needs the amount",IF(AND(D219&lt;&gt;"",COUNTIF(Beds!$B$6:$B$35,D219)=0),"Not on Beds",""))))))</f>
        <v/>
      </c>
      <c r="J219" s="1">
        <f>IF(ISNUMBER(B219),YEAR(B219),"")</f>
        <v/>
      </c>
      <c r="K219">
        <f>IF(ISNUMBER(B219),YEAR(B219)*100+MONTH(B219),"")</f>
        <v/>
      </c>
      <c r="L219">
        <f>IF(ISNUMBER(B219),INT(B219),0)</f>
        <v/>
      </c>
    </row>
    <row r="220">
      <c r="A220" s="1" t="n"/>
      <c r="B220" s="17" t="n"/>
      <c r="C220" s="18" t="n"/>
      <c r="D220" s="19" t="n"/>
      <c r="E220" s="23" t="n"/>
      <c r="F220" s="21" t="n"/>
      <c r="G220" s="11">
        <f>IF(C220="","",IFERROR(INDEX(Crops!$D$6:$D$65,MATCH(C220,Crops!$B$6:$B$65,0))&amp;"",""))</f>
        <v/>
      </c>
      <c r="H220" s="12">
        <f>IF(OR(C220="",NOT(ISNUMBER(E220))),"",E220*N(IFERROR(INDEX(Crops!$E$6:$E$65,MATCH(C220,Crops!$B$6:$B$65,0)),0)))</f>
        <v/>
      </c>
      <c r="I220" s="11">
        <f>IF(AND(C220="",E220=""),"",IF(NOT(ISNUMBER(B220)),"Needs a date",IF(C220="","Needs a crop",IF(COUNTIF(Crops!$B$6:$B$65,C220)=0,"Not on Crops",IF(NOT(ISNUMBER(E220)),"Needs the amount",IF(AND(D220&lt;&gt;"",COUNTIF(Beds!$B$6:$B$35,D220)=0),"Not on Beds",""))))))</f>
        <v/>
      </c>
      <c r="J220" s="1">
        <f>IF(ISNUMBER(B220),YEAR(B220),"")</f>
        <v/>
      </c>
      <c r="K220">
        <f>IF(ISNUMBER(B220),YEAR(B220)*100+MONTH(B220),"")</f>
        <v/>
      </c>
      <c r="L220">
        <f>IF(ISNUMBER(B220),INT(B220),0)</f>
        <v/>
      </c>
    </row>
    <row r="221">
      <c r="A221" s="1" t="n"/>
      <c r="B221" s="17" t="n"/>
      <c r="C221" s="18" t="n"/>
      <c r="D221" s="19" t="n"/>
      <c r="E221" s="23" t="n"/>
      <c r="F221" s="21" t="n"/>
      <c r="G221" s="11">
        <f>IF(C221="","",IFERROR(INDEX(Crops!$D$6:$D$65,MATCH(C221,Crops!$B$6:$B$65,0))&amp;"",""))</f>
        <v/>
      </c>
      <c r="H221" s="12">
        <f>IF(OR(C221="",NOT(ISNUMBER(E221))),"",E221*N(IFERROR(INDEX(Crops!$E$6:$E$65,MATCH(C221,Crops!$B$6:$B$65,0)),0)))</f>
        <v/>
      </c>
      <c r="I221" s="11">
        <f>IF(AND(C221="",E221=""),"",IF(NOT(ISNUMBER(B221)),"Needs a date",IF(C221="","Needs a crop",IF(COUNTIF(Crops!$B$6:$B$65,C221)=0,"Not on Crops",IF(NOT(ISNUMBER(E221)),"Needs the amount",IF(AND(D221&lt;&gt;"",COUNTIF(Beds!$B$6:$B$35,D221)=0),"Not on Beds",""))))))</f>
        <v/>
      </c>
      <c r="J221" s="1">
        <f>IF(ISNUMBER(B221),YEAR(B221),"")</f>
        <v/>
      </c>
      <c r="K221">
        <f>IF(ISNUMBER(B221),YEAR(B221)*100+MONTH(B221),"")</f>
        <v/>
      </c>
      <c r="L221">
        <f>IF(ISNUMBER(B221),INT(B221),0)</f>
        <v/>
      </c>
    </row>
    <row r="222">
      <c r="A222" s="1" t="n"/>
      <c r="B222" s="17" t="n"/>
      <c r="C222" s="18" t="n"/>
      <c r="D222" s="19" t="n"/>
      <c r="E222" s="23" t="n"/>
      <c r="F222" s="21" t="n"/>
      <c r="G222" s="11">
        <f>IF(C222="","",IFERROR(INDEX(Crops!$D$6:$D$65,MATCH(C222,Crops!$B$6:$B$65,0))&amp;"",""))</f>
        <v/>
      </c>
      <c r="H222" s="12">
        <f>IF(OR(C222="",NOT(ISNUMBER(E222))),"",E222*N(IFERROR(INDEX(Crops!$E$6:$E$65,MATCH(C222,Crops!$B$6:$B$65,0)),0)))</f>
        <v/>
      </c>
      <c r="I222" s="11">
        <f>IF(AND(C222="",E222=""),"",IF(NOT(ISNUMBER(B222)),"Needs a date",IF(C222="","Needs a crop",IF(COUNTIF(Crops!$B$6:$B$65,C222)=0,"Not on Crops",IF(NOT(ISNUMBER(E222)),"Needs the amount",IF(AND(D222&lt;&gt;"",COUNTIF(Beds!$B$6:$B$35,D222)=0),"Not on Beds",""))))))</f>
        <v/>
      </c>
      <c r="J222" s="1">
        <f>IF(ISNUMBER(B222),YEAR(B222),"")</f>
        <v/>
      </c>
      <c r="K222">
        <f>IF(ISNUMBER(B222),YEAR(B222)*100+MONTH(B222),"")</f>
        <v/>
      </c>
      <c r="L222">
        <f>IF(ISNUMBER(B222),INT(B222),0)</f>
        <v/>
      </c>
    </row>
    <row r="223">
      <c r="A223" s="1" t="n"/>
      <c r="B223" s="17" t="n"/>
      <c r="C223" s="18" t="n"/>
      <c r="D223" s="19" t="n"/>
      <c r="E223" s="23" t="n"/>
      <c r="F223" s="21" t="n"/>
      <c r="G223" s="11">
        <f>IF(C223="","",IFERROR(INDEX(Crops!$D$6:$D$65,MATCH(C223,Crops!$B$6:$B$65,0))&amp;"",""))</f>
        <v/>
      </c>
      <c r="H223" s="12">
        <f>IF(OR(C223="",NOT(ISNUMBER(E223))),"",E223*N(IFERROR(INDEX(Crops!$E$6:$E$65,MATCH(C223,Crops!$B$6:$B$65,0)),0)))</f>
        <v/>
      </c>
      <c r="I223" s="11">
        <f>IF(AND(C223="",E223=""),"",IF(NOT(ISNUMBER(B223)),"Needs a date",IF(C223="","Needs a crop",IF(COUNTIF(Crops!$B$6:$B$65,C223)=0,"Not on Crops",IF(NOT(ISNUMBER(E223)),"Needs the amount",IF(AND(D223&lt;&gt;"",COUNTIF(Beds!$B$6:$B$35,D223)=0),"Not on Beds",""))))))</f>
        <v/>
      </c>
      <c r="J223" s="1">
        <f>IF(ISNUMBER(B223),YEAR(B223),"")</f>
        <v/>
      </c>
      <c r="K223">
        <f>IF(ISNUMBER(B223),YEAR(B223)*100+MONTH(B223),"")</f>
        <v/>
      </c>
      <c r="L223">
        <f>IF(ISNUMBER(B223),INT(B223),0)</f>
        <v/>
      </c>
    </row>
    <row r="224">
      <c r="A224" s="1" t="n"/>
      <c r="B224" s="17" t="n"/>
      <c r="C224" s="18" t="n"/>
      <c r="D224" s="19" t="n"/>
      <c r="E224" s="23" t="n"/>
      <c r="F224" s="21" t="n"/>
      <c r="G224" s="11">
        <f>IF(C224="","",IFERROR(INDEX(Crops!$D$6:$D$65,MATCH(C224,Crops!$B$6:$B$65,0))&amp;"",""))</f>
        <v/>
      </c>
      <c r="H224" s="12">
        <f>IF(OR(C224="",NOT(ISNUMBER(E224))),"",E224*N(IFERROR(INDEX(Crops!$E$6:$E$65,MATCH(C224,Crops!$B$6:$B$65,0)),0)))</f>
        <v/>
      </c>
      <c r="I224" s="11">
        <f>IF(AND(C224="",E224=""),"",IF(NOT(ISNUMBER(B224)),"Needs a date",IF(C224="","Needs a crop",IF(COUNTIF(Crops!$B$6:$B$65,C224)=0,"Not on Crops",IF(NOT(ISNUMBER(E224)),"Needs the amount",IF(AND(D224&lt;&gt;"",COUNTIF(Beds!$B$6:$B$35,D224)=0),"Not on Beds",""))))))</f>
        <v/>
      </c>
      <c r="J224" s="1">
        <f>IF(ISNUMBER(B224),YEAR(B224),"")</f>
        <v/>
      </c>
      <c r="K224">
        <f>IF(ISNUMBER(B224),YEAR(B224)*100+MONTH(B224),"")</f>
        <v/>
      </c>
      <c r="L224">
        <f>IF(ISNUMBER(B224),INT(B224),0)</f>
        <v/>
      </c>
    </row>
    <row r="225">
      <c r="A225" s="1" t="n"/>
      <c r="B225" s="17" t="n"/>
      <c r="C225" s="18" t="n"/>
      <c r="D225" s="19" t="n"/>
      <c r="E225" s="23" t="n"/>
      <c r="F225" s="21" t="n"/>
      <c r="G225" s="11">
        <f>IF(C225="","",IFERROR(INDEX(Crops!$D$6:$D$65,MATCH(C225,Crops!$B$6:$B$65,0))&amp;"",""))</f>
        <v/>
      </c>
      <c r="H225" s="12">
        <f>IF(OR(C225="",NOT(ISNUMBER(E225))),"",E225*N(IFERROR(INDEX(Crops!$E$6:$E$65,MATCH(C225,Crops!$B$6:$B$65,0)),0)))</f>
        <v/>
      </c>
      <c r="I225" s="11">
        <f>IF(AND(C225="",E225=""),"",IF(NOT(ISNUMBER(B225)),"Needs a date",IF(C225="","Needs a crop",IF(COUNTIF(Crops!$B$6:$B$65,C225)=0,"Not on Crops",IF(NOT(ISNUMBER(E225)),"Needs the amount",IF(AND(D225&lt;&gt;"",COUNTIF(Beds!$B$6:$B$35,D225)=0),"Not on Beds",""))))))</f>
        <v/>
      </c>
      <c r="J225" s="1">
        <f>IF(ISNUMBER(B225),YEAR(B225),"")</f>
        <v/>
      </c>
      <c r="K225">
        <f>IF(ISNUMBER(B225),YEAR(B225)*100+MONTH(B225),"")</f>
        <v/>
      </c>
      <c r="L225">
        <f>IF(ISNUMBER(B225),INT(B225),0)</f>
        <v/>
      </c>
    </row>
    <row r="226">
      <c r="A226" s="1" t="n"/>
      <c r="B226" s="17" t="n"/>
      <c r="C226" s="18" t="n"/>
      <c r="D226" s="19" t="n"/>
      <c r="E226" s="23" t="n"/>
      <c r="F226" s="21" t="n"/>
      <c r="G226" s="11">
        <f>IF(C226="","",IFERROR(INDEX(Crops!$D$6:$D$65,MATCH(C226,Crops!$B$6:$B$65,0))&amp;"",""))</f>
        <v/>
      </c>
      <c r="H226" s="12">
        <f>IF(OR(C226="",NOT(ISNUMBER(E226))),"",E226*N(IFERROR(INDEX(Crops!$E$6:$E$65,MATCH(C226,Crops!$B$6:$B$65,0)),0)))</f>
        <v/>
      </c>
      <c r="I226" s="11">
        <f>IF(AND(C226="",E226=""),"",IF(NOT(ISNUMBER(B226)),"Needs a date",IF(C226="","Needs a crop",IF(COUNTIF(Crops!$B$6:$B$65,C226)=0,"Not on Crops",IF(NOT(ISNUMBER(E226)),"Needs the amount",IF(AND(D226&lt;&gt;"",COUNTIF(Beds!$B$6:$B$35,D226)=0),"Not on Beds",""))))))</f>
        <v/>
      </c>
      <c r="J226" s="1">
        <f>IF(ISNUMBER(B226),YEAR(B226),"")</f>
        <v/>
      </c>
      <c r="K226">
        <f>IF(ISNUMBER(B226),YEAR(B226)*100+MONTH(B226),"")</f>
        <v/>
      </c>
      <c r="L226">
        <f>IF(ISNUMBER(B226),INT(B226),0)</f>
        <v/>
      </c>
    </row>
    <row r="227">
      <c r="A227" s="1" t="n"/>
      <c r="B227" s="17" t="n"/>
      <c r="C227" s="18" t="n"/>
      <c r="D227" s="19" t="n"/>
      <c r="E227" s="23" t="n"/>
      <c r="F227" s="21" t="n"/>
      <c r="G227" s="11">
        <f>IF(C227="","",IFERROR(INDEX(Crops!$D$6:$D$65,MATCH(C227,Crops!$B$6:$B$65,0))&amp;"",""))</f>
        <v/>
      </c>
      <c r="H227" s="12">
        <f>IF(OR(C227="",NOT(ISNUMBER(E227))),"",E227*N(IFERROR(INDEX(Crops!$E$6:$E$65,MATCH(C227,Crops!$B$6:$B$65,0)),0)))</f>
        <v/>
      </c>
      <c r="I227" s="11">
        <f>IF(AND(C227="",E227=""),"",IF(NOT(ISNUMBER(B227)),"Needs a date",IF(C227="","Needs a crop",IF(COUNTIF(Crops!$B$6:$B$65,C227)=0,"Not on Crops",IF(NOT(ISNUMBER(E227)),"Needs the amount",IF(AND(D227&lt;&gt;"",COUNTIF(Beds!$B$6:$B$35,D227)=0),"Not on Beds",""))))))</f>
        <v/>
      </c>
      <c r="J227" s="1">
        <f>IF(ISNUMBER(B227),YEAR(B227),"")</f>
        <v/>
      </c>
      <c r="K227">
        <f>IF(ISNUMBER(B227),YEAR(B227)*100+MONTH(B227),"")</f>
        <v/>
      </c>
      <c r="L227">
        <f>IF(ISNUMBER(B227),INT(B227),0)</f>
        <v/>
      </c>
    </row>
    <row r="228">
      <c r="A228" s="1" t="n"/>
      <c r="B228" s="17" t="n"/>
      <c r="C228" s="18" t="n"/>
      <c r="D228" s="19" t="n"/>
      <c r="E228" s="23" t="n"/>
      <c r="F228" s="21" t="n"/>
      <c r="G228" s="11">
        <f>IF(C228="","",IFERROR(INDEX(Crops!$D$6:$D$65,MATCH(C228,Crops!$B$6:$B$65,0))&amp;"",""))</f>
        <v/>
      </c>
      <c r="H228" s="12">
        <f>IF(OR(C228="",NOT(ISNUMBER(E228))),"",E228*N(IFERROR(INDEX(Crops!$E$6:$E$65,MATCH(C228,Crops!$B$6:$B$65,0)),0)))</f>
        <v/>
      </c>
      <c r="I228" s="11">
        <f>IF(AND(C228="",E228=""),"",IF(NOT(ISNUMBER(B228)),"Needs a date",IF(C228="","Needs a crop",IF(COUNTIF(Crops!$B$6:$B$65,C228)=0,"Not on Crops",IF(NOT(ISNUMBER(E228)),"Needs the amount",IF(AND(D228&lt;&gt;"",COUNTIF(Beds!$B$6:$B$35,D228)=0),"Not on Beds",""))))))</f>
        <v/>
      </c>
      <c r="J228" s="1">
        <f>IF(ISNUMBER(B228),YEAR(B228),"")</f>
        <v/>
      </c>
      <c r="K228">
        <f>IF(ISNUMBER(B228),YEAR(B228)*100+MONTH(B228),"")</f>
        <v/>
      </c>
      <c r="L228">
        <f>IF(ISNUMBER(B228),INT(B228),0)</f>
        <v/>
      </c>
    </row>
    <row r="229">
      <c r="A229" s="1" t="n"/>
      <c r="B229" s="17" t="n"/>
      <c r="C229" s="18" t="n"/>
      <c r="D229" s="19" t="n"/>
      <c r="E229" s="23" t="n"/>
      <c r="F229" s="21" t="n"/>
      <c r="G229" s="11">
        <f>IF(C229="","",IFERROR(INDEX(Crops!$D$6:$D$65,MATCH(C229,Crops!$B$6:$B$65,0))&amp;"",""))</f>
        <v/>
      </c>
      <c r="H229" s="12">
        <f>IF(OR(C229="",NOT(ISNUMBER(E229))),"",E229*N(IFERROR(INDEX(Crops!$E$6:$E$65,MATCH(C229,Crops!$B$6:$B$65,0)),0)))</f>
        <v/>
      </c>
      <c r="I229" s="11">
        <f>IF(AND(C229="",E229=""),"",IF(NOT(ISNUMBER(B229)),"Needs a date",IF(C229="","Needs a crop",IF(COUNTIF(Crops!$B$6:$B$65,C229)=0,"Not on Crops",IF(NOT(ISNUMBER(E229)),"Needs the amount",IF(AND(D229&lt;&gt;"",COUNTIF(Beds!$B$6:$B$35,D229)=0),"Not on Beds",""))))))</f>
        <v/>
      </c>
      <c r="J229" s="1">
        <f>IF(ISNUMBER(B229),YEAR(B229),"")</f>
        <v/>
      </c>
      <c r="K229">
        <f>IF(ISNUMBER(B229),YEAR(B229)*100+MONTH(B229),"")</f>
        <v/>
      </c>
      <c r="L229">
        <f>IF(ISNUMBER(B229),INT(B229),0)</f>
        <v/>
      </c>
    </row>
    <row r="230">
      <c r="A230" s="1" t="n"/>
      <c r="B230" s="17" t="n"/>
      <c r="C230" s="18" t="n"/>
      <c r="D230" s="19" t="n"/>
      <c r="E230" s="23" t="n"/>
      <c r="F230" s="21" t="n"/>
      <c r="G230" s="11">
        <f>IF(C230="","",IFERROR(INDEX(Crops!$D$6:$D$65,MATCH(C230,Crops!$B$6:$B$65,0))&amp;"",""))</f>
        <v/>
      </c>
      <c r="H230" s="12">
        <f>IF(OR(C230="",NOT(ISNUMBER(E230))),"",E230*N(IFERROR(INDEX(Crops!$E$6:$E$65,MATCH(C230,Crops!$B$6:$B$65,0)),0)))</f>
        <v/>
      </c>
      <c r="I230" s="11">
        <f>IF(AND(C230="",E230=""),"",IF(NOT(ISNUMBER(B230)),"Needs a date",IF(C230="","Needs a crop",IF(COUNTIF(Crops!$B$6:$B$65,C230)=0,"Not on Crops",IF(NOT(ISNUMBER(E230)),"Needs the amount",IF(AND(D230&lt;&gt;"",COUNTIF(Beds!$B$6:$B$35,D230)=0),"Not on Beds",""))))))</f>
        <v/>
      </c>
      <c r="J230" s="1">
        <f>IF(ISNUMBER(B230),YEAR(B230),"")</f>
        <v/>
      </c>
      <c r="K230">
        <f>IF(ISNUMBER(B230),YEAR(B230)*100+MONTH(B230),"")</f>
        <v/>
      </c>
      <c r="L230">
        <f>IF(ISNUMBER(B230),INT(B230),0)</f>
        <v/>
      </c>
    </row>
    <row r="231">
      <c r="A231" s="1" t="n"/>
      <c r="B231" s="17" t="n"/>
      <c r="C231" s="18" t="n"/>
      <c r="D231" s="19" t="n"/>
      <c r="E231" s="23" t="n"/>
      <c r="F231" s="21" t="n"/>
      <c r="G231" s="11">
        <f>IF(C231="","",IFERROR(INDEX(Crops!$D$6:$D$65,MATCH(C231,Crops!$B$6:$B$65,0))&amp;"",""))</f>
        <v/>
      </c>
      <c r="H231" s="12">
        <f>IF(OR(C231="",NOT(ISNUMBER(E231))),"",E231*N(IFERROR(INDEX(Crops!$E$6:$E$65,MATCH(C231,Crops!$B$6:$B$65,0)),0)))</f>
        <v/>
      </c>
      <c r="I231" s="11">
        <f>IF(AND(C231="",E231=""),"",IF(NOT(ISNUMBER(B231)),"Needs a date",IF(C231="","Needs a crop",IF(COUNTIF(Crops!$B$6:$B$65,C231)=0,"Not on Crops",IF(NOT(ISNUMBER(E231)),"Needs the amount",IF(AND(D231&lt;&gt;"",COUNTIF(Beds!$B$6:$B$35,D231)=0),"Not on Beds",""))))))</f>
        <v/>
      </c>
      <c r="J231" s="1">
        <f>IF(ISNUMBER(B231),YEAR(B231),"")</f>
        <v/>
      </c>
      <c r="K231">
        <f>IF(ISNUMBER(B231),YEAR(B231)*100+MONTH(B231),"")</f>
        <v/>
      </c>
      <c r="L231">
        <f>IF(ISNUMBER(B231),INT(B231),0)</f>
        <v/>
      </c>
    </row>
    <row r="232">
      <c r="A232" s="1" t="n"/>
      <c r="B232" s="17" t="n"/>
      <c r="C232" s="18" t="n"/>
      <c r="D232" s="19" t="n"/>
      <c r="E232" s="23" t="n"/>
      <c r="F232" s="21" t="n"/>
      <c r="G232" s="11">
        <f>IF(C232="","",IFERROR(INDEX(Crops!$D$6:$D$65,MATCH(C232,Crops!$B$6:$B$65,0))&amp;"",""))</f>
        <v/>
      </c>
      <c r="H232" s="12">
        <f>IF(OR(C232="",NOT(ISNUMBER(E232))),"",E232*N(IFERROR(INDEX(Crops!$E$6:$E$65,MATCH(C232,Crops!$B$6:$B$65,0)),0)))</f>
        <v/>
      </c>
      <c r="I232" s="11">
        <f>IF(AND(C232="",E232=""),"",IF(NOT(ISNUMBER(B232)),"Needs a date",IF(C232="","Needs a crop",IF(COUNTIF(Crops!$B$6:$B$65,C232)=0,"Not on Crops",IF(NOT(ISNUMBER(E232)),"Needs the amount",IF(AND(D232&lt;&gt;"",COUNTIF(Beds!$B$6:$B$35,D232)=0),"Not on Beds",""))))))</f>
        <v/>
      </c>
      <c r="J232" s="1">
        <f>IF(ISNUMBER(B232),YEAR(B232),"")</f>
        <v/>
      </c>
      <c r="K232">
        <f>IF(ISNUMBER(B232),YEAR(B232)*100+MONTH(B232),"")</f>
        <v/>
      </c>
      <c r="L232">
        <f>IF(ISNUMBER(B232),INT(B232),0)</f>
        <v/>
      </c>
    </row>
    <row r="233">
      <c r="A233" s="1" t="n"/>
      <c r="B233" s="17" t="n"/>
      <c r="C233" s="18" t="n"/>
      <c r="D233" s="19" t="n"/>
      <c r="E233" s="23" t="n"/>
      <c r="F233" s="21" t="n"/>
      <c r="G233" s="11">
        <f>IF(C233="","",IFERROR(INDEX(Crops!$D$6:$D$65,MATCH(C233,Crops!$B$6:$B$65,0))&amp;"",""))</f>
        <v/>
      </c>
      <c r="H233" s="12">
        <f>IF(OR(C233="",NOT(ISNUMBER(E233))),"",E233*N(IFERROR(INDEX(Crops!$E$6:$E$65,MATCH(C233,Crops!$B$6:$B$65,0)),0)))</f>
        <v/>
      </c>
      <c r="I233" s="11">
        <f>IF(AND(C233="",E233=""),"",IF(NOT(ISNUMBER(B233)),"Needs a date",IF(C233="","Needs a crop",IF(COUNTIF(Crops!$B$6:$B$65,C233)=0,"Not on Crops",IF(NOT(ISNUMBER(E233)),"Needs the amount",IF(AND(D233&lt;&gt;"",COUNTIF(Beds!$B$6:$B$35,D233)=0),"Not on Beds",""))))))</f>
        <v/>
      </c>
      <c r="J233" s="1">
        <f>IF(ISNUMBER(B233),YEAR(B233),"")</f>
        <v/>
      </c>
      <c r="K233">
        <f>IF(ISNUMBER(B233),YEAR(B233)*100+MONTH(B233),"")</f>
        <v/>
      </c>
      <c r="L233">
        <f>IF(ISNUMBER(B233),INT(B233),0)</f>
        <v/>
      </c>
    </row>
    <row r="234">
      <c r="A234" s="1" t="n"/>
      <c r="B234" s="17" t="n"/>
      <c r="C234" s="18" t="n"/>
      <c r="D234" s="19" t="n"/>
      <c r="E234" s="23" t="n"/>
      <c r="F234" s="21" t="n"/>
      <c r="G234" s="11">
        <f>IF(C234="","",IFERROR(INDEX(Crops!$D$6:$D$65,MATCH(C234,Crops!$B$6:$B$65,0))&amp;"",""))</f>
        <v/>
      </c>
      <c r="H234" s="12">
        <f>IF(OR(C234="",NOT(ISNUMBER(E234))),"",E234*N(IFERROR(INDEX(Crops!$E$6:$E$65,MATCH(C234,Crops!$B$6:$B$65,0)),0)))</f>
        <v/>
      </c>
      <c r="I234" s="11">
        <f>IF(AND(C234="",E234=""),"",IF(NOT(ISNUMBER(B234)),"Needs a date",IF(C234="","Needs a crop",IF(COUNTIF(Crops!$B$6:$B$65,C234)=0,"Not on Crops",IF(NOT(ISNUMBER(E234)),"Needs the amount",IF(AND(D234&lt;&gt;"",COUNTIF(Beds!$B$6:$B$35,D234)=0),"Not on Beds",""))))))</f>
        <v/>
      </c>
      <c r="J234" s="1">
        <f>IF(ISNUMBER(B234),YEAR(B234),"")</f>
        <v/>
      </c>
      <c r="K234">
        <f>IF(ISNUMBER(B234),YEAR(B234)*100+MONTH(B234),"")</f>
        <v/>
      </c>
      <c r="L234">
        <f>IF(ISNUMBER(B234),INT(B234),0)</f>
        <v/>
      </c>
    </row>
    <row r="235">
      <c r="A235" s="1" t="n"/>
      <c r="B235" s="17" t="n"/>
      <c r="C235" s="18" t="n"/>
      <c r="D235" s="19" t="n"/>
      <c r="E235" s="23" t="n"/>
      <c r="F235" s="21" t="n"/>
      <c r="G235" s="11">
        <f>IF(C235="","",IFERROR(INDEX(Crops!$D$6:$D$65,MATCH(C235,Crops!$B$6:$B$65,0))&amp;"",""))</f>
        <v/>
      </c>
      <c r="H235" s="12">
        <f>IF(OR(C235="",NOT(ISNUMBER(E235))),"",E235*N(IFERROR(INDEX(Crops!$E$6:$E$65,MATCH(C235,Crops!$B$6:$B$65,0)),0)))</f>
        <v/>
      </c>
      <c r="I235" s="11">
        <f>IF(AND(C235="",E235=""),"",IF(NOT(ISNUMBER(B235)),"Needs a date",IF(C235="","Needs a crop",IF(COUNTIF(Crops!$B$6:$B$65,C235)=0,"Not on Crops",IF(NOT(ISNUMBER(E235)),"Needs the amount",IF(AND(D235&lt;&gt;"",COUNTIF(Beds!$B$6:$B$35,D235)=0),"Not on Beds",""))))))</f>
        <v/>
      </c>
      <c r="J235" s="1">
        <f>IF(ISNUMBER(B235),YEAR(B235),"")</f>
        <v/>
      </c>
      <c r="K235">
        <f>IF(ISNUMBER(B235),YEAR(B235)*100+MONTH(B235),"")</f>
        <v/>
      </c>
      <c r="L235">
        <f>IF(ISNUMBER(B235),INT(B235),0)</f>
        <v/>
      </c>
    </row>
    <row r="236">
      <c r="A236" s="1" t="n"/>
      <c r="B236" s="17" t="n"/>
      <c r="C236" s="18" t="n"/>
      <c r="D236" s="19" t="n"/>
      <c r="E236" s="23" t="n"/>
      <c r="F236" s="21" t="n"/>
      <c r="G236" s="11">
        <f>IF(C236="","",IFERROR(INDEX(Crops!$D$6:$D$65,MATCH(C236,Crops!$B$6:$B$65,0))&amp;"",""))</f>
        <v/>
      </c>
      <c r="H236" s="12">
        <f>IF(OR(C236="",NOT(ISNUMBER(E236))),"",E236*N(IFERROR(INDEX(Crops!$E$6:$E$65,MATCH(C236,Crops!$B$6:$B$65,0)),0)))</f>
        <v/>
      </c>
      <c r="I236" s="11">
        <f>IF(AND(C236="",E236=""),"",IF(NOT(ISNUMBER(B236)),"Needs a date",IF(C236="","Needs a crop",IF(COUNTIF(Crops!$B$6:$B$65,C236)=0,"Not on Crops",IF(NOT(ISNUMBER(E236)),"Needs the amount",IF(AND(D236&lt;&gt;"",COUNTIF(Beds!$B$6:$B$35,D236)=0),"Not on Beds",""))))))</f>
        <v/>
      </c>
      <c r="J236" s="1">
        <f>IF(ISNUMBER(B236),YEAR(B236),"")</f>
        <v/>
      </c>
      <c r="K236">
        <f>IF(ISNUMBER(B236),YEAR(B236)*100+MONTH(B236),"")</f>
        <v/>
      </c>
      <c r="L236">
        <f>IF(ISNUMBER(B236),INT(B236),0)</f>
        <v/>
      </c>
    </row>
    <row r="237">
      <c r="A237" s="1" t="n"/>
      <c r="B237" s="17" t="n"/>
      <c r="C237" s="18" t="n"/>
      <c r="D237" s="19" t="n"/>
      <c r="E237" s="23" t="n"/>
      <c r="F237" s="21" t="n"/>
      <c r="G237" s="11">
        <f>IF(C237="","",IFERROR(INDEX(Crops!$D$6:$D$65,MATCH(C237,Crops!$B$6:$B$65,0))&amp;"",""))</f>
        <v/>
      </c>
      <c r="H237" s="12">
        <f>IF(OR(C237="",NOT(ISNUMBER(E237))),"",E237*N(IFERROR(INDEX(Crops!$E$6:$E$65,MATCH(C237,Crops!$B$6:$B$65,0)),0)))</f>
        <v/>
      </c>
      <c r="I237" s="11">
        <f>IF(AND(C237="",E237=""),"",IF(NOT(ISNUMBER(B237)),"Needs a date",IF(C237="","Needs a crop",IF(COUNTIF(Crops!$B$6:$B$65,C237)=0,"Not on Crops",IF(NOT(ISNUMBER(E237)),"Needs the amount",IF(AND(D237&lt;&gt;"",COUNTIF(Beds!$B$6:$B$35,D237)=0),"Not on Beds",""))))))</f>
        <v/>
      </c>
      <c r="J237" s="1">
        <f>IF(ISNUMBER(B237),YEAR(B237),"")</f>
        <v/>
      </c>
      <c r="K237">
        <f>IF(ISNUMBER(B237),YEAR(B237)*100+MONTH(B237),"")</f>
        <v/>
      </c>
      <c r="L237">
        <f>IF(ISNUMBER(B237),INT(B237),0)</f>
        <v/>
      </c>
    </row>
    <row r="238">
      <c r="A238" s="1" t="n"/>
      <c r="B238" s="17" t="n"/>
      <c r="C238" s="18" t="n"/>
      <c r="D238" s="19" t="n"/>
      <c r="E238" s="23" t="n"/>
      <c r="F238" s="21" t="n"/>
      <c r="G238" s="11">
        <f>IF(C238="","",IFERROR(INDEX(Crops!$D$6:$D$65,MATCH(C238,Crops!$B$6:$B$65,0))&amp;"",""))</f>
        <v/>
      </c>
      <c r="H238" s="12">
        <f>IF(OR(C238="",NOT(ISNUMBER(E238))),"",E238*N(IFERROR(INDEX(Crops!$E$6:$E$65,MATCH(C238,Crops!$B$6:$B$65,0)),0)))</f>
        <v/>
      </c>
      <c r="I238" s="11">
        <f>IF(AND(C238="",E238=""),"",IF(NOT(ISNUMBER(B238)),"Needs a date",IF(C238="","Needs a crop",IF(COUNTIF(Crops!$B$6:$B$65,C238)=0,"Not on Crops",IF(NOT(ISNUMBER(E238)),"Needs the amount",IF(AND(D238&lt;&gt;"",COUNTIF(Beds!$B$6:$B$35,D238)=0),"Not on Beds",""))))))</f>
        <v/>
      </c>
      <c r="J238" s="1">
        <f>IF(ISNUMBER(B238),YEAR(B238),"")</f>
        <v/>
      </c>
      <c r="K238">
        <f>IF(ISNUMBER(B238),YEAR(B238)*100+MONTH(B238),"")</f>
        <v/>
      </c>
      <c r="L238">
        <f>IF(ISNUMBER(B238),INT(B238),0)</f>
        <v/>
      </c>
    </row>
    <row r="239">
      <c r="A239" s="1" t="n"/>
      <c r="B239" s="17" t="n"/>
      <c r="C239" s="18" t="n"/>
      <c r="D239" s="19" t="n"/>
      <c r="E239" s="23" t="n"/>
      <c r="F239" s="21" t="n"/>
      <c r="G239" s="11">
        <f>IF(C239="","",IFERROR(INDEX(Crops!$D$6:$D$65,MATCH(C239,Crops!$B$6:$B$65,0))&amp;"",""))</f>
        <v/>
      </c>
      <c r="H239" s="12">
        <f>IF(OR(C239="",NOT(ISNUMBER(E239))),"",E239*N(IFERROR(INDEX(Crops!$E$6:$E$65,MATCH(C239,Crops!$B$6:$B$65,0)),0)))</f>
        <v/>
      </c>
      <c r="I239" s="11">
        <f>IF(AND(C239="",E239=""),"",IF(NOT(ISNUMBER(B239)),"Needs a date",IF(C239="","Needs a crop",IF(COUNTIF(Crops!$B$6:$B$65,C239)=0,"Not on Crops",IF(NOT(ISNUMBER(E239)),"Needs the amount",IF(AND(D239&lt;&gt;"",COUNTIF(Beds!$B$6:$B$35,D239)=0),"Not on Beds",""))))))</f>
        <v/>
      </c>
      <c r="J239" s="1">
        <f>IF(ISNUMBER(B239),YEAR(B239),"")</f>
        <v/>
      </c>
      <c r="K239">
        <f>IF(ISNUMBER(B239),YEAR(B239)*100+MONTH(B239),"")</f>
        <v/>
      </c>
      <c r="L239">
        <f>IF(ISNUMBER(B239),INT(B239),0)</f>
        <v/>
      </c>
    </row>
    <row r="240">
      <c r="A240" s="1" t="n"/>
      <c r="B240" s="17" t="n"/>
      <c r="C240" s="18" t="n"/>
      <c r="D240" s="19" t="n"/>
      <c r="E240" s="23" t="n"/>
      <c r="F240" s="21" t="n"/>
      <c r="G240" s="11">
        <f>IF(C240="","",IFERROR(INDEX(Crops!$D$6:$D$65,MATCH(C240,Crops!$B$6:$B$65,0))&amp;"",""))</f>
        <v/>
      </c>
      <c r="H240" s="12">
        <f>IF(OR(C240="",NOT(ISNUMBER(E240))),"",E240*N(IFERROR(INDEX(Crops!$E$6:$E$65,MATCH(C240,Crops!$B$6:$B$65,0)),0)))</f>
        <v/>
      </c>
      <c r="I240" s="11">
        <f>IF(AND(C240="",E240=""),"",IF(NOT(ISNUMBER(B240)),"Needs a date",IF(C240="","Needs a crop",IF(COUNTIF(Crops!$B$6:$B$65,C240)=0,"Not on Crops",IF(NOT(ISNUMBER(E240)),"Needs the amount",IF(AND(D240&lt;&gt;"",COUNTIF(Beds!$B$6:$B$35,D240)=0),"Not on Beds",""))))))</f>
        <v/>
      </c>
      <c r="J240" s="1">
        <f>IF(ISNUMBER(B240),YEAR(B240),"")</f>
        <v/>
      </c>
      <c r="K240">
        <f>IF(ISNUMBER(B240),YEAR(B240)*100+MONTH(B240),"")</f>
        <v/>
      </c>
      <c r="L240">
        <f>IF(ISNUMBER(B240),INT(B240),0)</f>
        <v/>
      </c>
    </row>
    <row r="241">
      <c r="A241" s="1" t="n"/>
      <c r="B241" s="17" t="n"/>
      <c r="C241" s="18" t="n"/>
      <c r="D241" s="19" t="n"/>
      <c r="E241" s="23" t="n"/>
      <c r="F241" s="21" t="n"/>
      <c r="G241" s="11">
        <f>IF(C241="","",IFERROR(INDEX(Crops!$D$6:$D$65,MATCH(C241,Crops!$B$6:$B$65,0))&amp;"",""))</f>
        <v/>
      </c>
      <c r="H241" s="12">
        <f>IF(OR(C241="",NOT(ISNUMBER(E241))),"",E241*N(IFERROR(INDEX(Crops!$E$6:$E$65,MATCH(C241,Crops!$B$6:$B$65,0)),0)))</f>
        <v/>
      </c>
      <c r="I241" s="11">
        <f>IF(AND(C241="",E241=""),"",IF(NOT(ISNUMBER(B241)),"Needs a date",IF(C241="","Needs a crop",IF(COUNTIF(Crops!$B$6:$B$65,C241)=0,"Not on Crops",IF(NOT(ISNUMBER(E241)),"Needs the amount",IF(AND(D241&lt;&gt;"",COUNTIF(Beds!$B$6:$B$35,D241)=0),"Not on Beds",""))))))</f>
        <v/>
      </c>
      <c r="J241" s="1">
        <f>IF(ISNUMBER(B241),YEAR(B241),"")</f>
        <v/>
      </c>
      <c r="K241">
        <f>IF(ISNUMBER(B241),YEAR(B241)*100+MONTH(B241),"")</f>
        <v/>
      </c>
      <c r="L241">
        <f>IF(ISNUMBER(B241),INT(B241),0)</f>
        <v/>
      </c>
    </row>
    <row r="242">
      <c r="A242" s="1" t="n"/>
      <c r="B242" s="17" t="n"/>
      <c r="C242" s="18" t="n"/>
      <c r="D242" s="19" t="n"/>
      <c r="E242" s="23" t="n"/>
      <c r="F242" s="21" t="n"/>
      <c r="G242" s="11">
        <f>IF(C242="","",IFERROR(INDEX(Crops!$D$6:$D$65,MATCH(C242,Crops!$B$6:$B$65,0))&amp;"",""))</f>
        <v/>
      </c>
      <c r="H242" s="12">
        <f>IF(OR(C242="",NOT(ISNUMBER(E242))),"",E242*N(IFERROR(INDEX(Crops!$E$6:$E$65,MATCH(C242,Crops!$B$6:$B$65,0)),0)))</f>
        <v/>
      </c>
      <c r="I242" s="11">
        <f>IF(AND(C242="",E242=""),"",IF(NOT(ISNUMBER(B242)),"Needs a date",IF(C242="","Needs a crop",IF(COUNTIF(Crops!$B$6:$B$65,C242)=0,"Not on Crops",IF(NOT(ISNUMBER(E242)),"Needs the amount",IF(AND(D242&lt;&gt;"",COUNTIF(Beds!$B$6:$B$35,D242)=0),"Not on Beds",""))))))</f>
        <v/>
      </c>
      <c r="J242" s="1">
        <f>IF(ISNUMBER(B242),YEAR(B242),"")</f>
        <v/>
      </c>
      <c r="K242">
        <f>IF(ISNUMBER(B242),YEAR(B242)*100+MONTH(B242),"")</f>
        <v/>
      </c>
      <c r="L242">
        <f>IF(ISNUMBER(B242),INT(B242),0)</f>
        <v/>
      </c>
    </row>
    <row r="243">
      <c r="A243" s="1" t="n"/>
      <c r="B243" s="17" t="n"/>
      <c r="C243" s="18" t="n"/>
      <c r="D243" s="19" t="n"/>
      <c r="E243" s="23" t="n"/>
      <c r="F243" s="21" t="n"/>
      <c r="G243" s="11">
        <f>IF(C243="","",IFERROR(INDEX(Crops!$D$6:$D$65,MATCH(C243,Crops!$B$6:$B$65,0))&amp;"",""))</f>
        <v/>
      </c>
      <c r="H243" s="12">
        <f>IF(OR(C243="",NOT(ISNUMBER(E243))),"",E243*N(IFERROR(INDEX(Crops!$E$6:$E$65,MATCH(C243,Crops!$B$6:$B$65,0)),0)))</f>
        <v/>
      </c>
      <c r="I243" s="11">
        <f>IF(AND(C243="",E243=""),"",IF(NOT(ISNUMBER(B243)),"Needs a date",IF(C243="","Needs a crop",IF(COUNTIF(Crops!$B$6:$B$65,C243)=0,"Not on Crops",IF(NOT(ISNUMBER(E243)),"Needs the amount",IF(AND(D243&lt;&gt;"",COUNTIF(Beds!$B$6:$B$35,D243)=0),"Not on Beds",""))))))</f>
        <v/>
      </c>
      <c r="J243" s="1">
        <f>IF(ISNUMBER(B243),YEAR(B243),"")</f>
        <v/>
      </c>
      <c r="K243">
        <f>IF(ISNUMBER(B243),YEAR(B243)*100+MONTH(B243),"")</f>
        <v/>
      </c>
      <c r="L243">
        <f>IF(ISNUMBER(B243),INT(B243),0)</f>
        <v/>
      </c>
    </row>
    <row r="244">
      <c r="A244" s="1" t="n"/>
      <c r="B244" s="17" t="n"/>
      <c r="C244" s="18" t="n"/>
      <c r="D244" s="19" t="n"/>
      <c r="E244" s="23" t="n"/>
      <c r="F244" s="21" t="n"/>
      <c r="G244" s="11">
        <f>IF(C244="","",IFERROR(INDEX(Crops!$D$6:$D$65,MATCH(C244,Crops!$B$6:$B$65,0))&amp;"",""))</f>
        <v/>
      </c>
      <c r="H244" s="12">
        <f>IF(OR(C244="",NOT(ISNUMBER(E244))),"",E244*N(IFERROR(INDEX(Crops!$E$6:$E$65,MATCH(C244,Crops!$B$6:$B$65,0)),0)))</f>
        <v/>
      </c>
      <c r="I244" s="11">
        <f>IF(AND(C244="",E244=""),"",IF(NOT(ISNUMBER(B244)),"Needs a date",IF(C244="","Needs a crop",IF(COUNTIF(Crops!$B$6:$B$65,C244)=0,"Not on Crops",IF(NOT(ISNUMBER(E244)),"Needs the amount",IF(AND(D244&lt;&gt;"",COUNTIF(Beds!$B$6:$B$35,D244)=0),"Not on Beds",""))))))</f>
        <v/>
      </c>
      <c r="J244" s="1">
        <f>IF(ISNUMBER(B244),YEAR(B244),"")</f>
        <v/>
      </c>
      <c r="K244">
        <f>IF(ISNUMBER(B244),YEAR(B244)*100+MONTH(B244),"")</f>
        <v/>
      </c>
      <c r="L244">
        <f>IF(ISNUMBER(B244),INT(B244),0)</f>
        <v/>
      </c>
    </row>
    <row r="245">
      <c r="A245" s="1" t="n"/>
      <c r="B245" s="17" t="n"/>
      <c r="C245" s="18" t="n"/>
      <c r="D245" s="19" t="n"/>
      <c r="E245" s="23" t="n"/>
      <c r="F245" s="21" t="n"/>
      <c r="G245" s="11">
        <f>IF(C245="","",IFERROR(INDEX(Crops!$D$6:$D$65,MATCH(C245,Crops!$B$6:$B$65,0))&amp;"",""))</f>
        <v/>
      </c>
      <c r="H245" s="12">
        <f>IF(OR(C245="",NOT(ISNUMBER(E245))),"",E245*N(IFERROR(INDEX(Crops!$E$6:$E$65,MATCH(C245,Crops!$B$6:$B$65,0)),0)))</f>
        <v/>
      </c>
      <c r="I245" s="11">
        <f>IF(AND(C245="",E245=""),"",IF(NOT(ISNUMBER(B245)),"Needs a date",IF(C245="","Needs a crop",IF(COUNTIF(Crops!$B$6:$B$65,C245)=0,"Not on Crops",IF(NOT(ISNUMBER(E245)),"Needs the amount",IF(AND(D245&lt;&gt;"",COUNTIF(Beds!$B$6:$B$35,D245)=0),"Not on Beds",""))))))</f>
        <v/>
      </c>
      <c r="J245" s="1">
        <f>IF(ISNUMBER(B245),YEAR(B245),"")</f>
        <v/>
      </c>
      <c r="K245">
        <f>IF(ISNUMBER(B245),YEAR(B245)*100+MONTH(B245),"")</f>
        <v/>
      </c>
      <c r="L245">
        <f>IF(ISNUMBER(B245),INT(B245),0)</f>
        <v/>
      </c>
    </row>
    <row r="246">
      <c r="A246" s="1" t="n"/>
      <c r="B246" s="17" t="n"/>
      <c r="C246" s="18" t="n"/>
      <c r="D246" s="19" t="n"/>
      <c r="E246" s="23" t="n"/>
      <c r="F246" s="21" t="n"/>
      <c r="G246" s="11">
        <f>IF(C246="","",IFERROR(INDEX(Crops!$D$6:$D$65,MATCH(C246,Crops!$B$6:$B$65,0))&amp;"",""))</f>
        <v/>
      </c>
      <c r="H246" s="12">
        <f>IF(OR(C246="",NOT(ISNUMBER(E246))),"",E246*N(IFERROR(INDEX(Crops!$E$6:$E$65,MATCH(C246,Crops!$B$6:$B$65,0)),0)))</f>
        <v/>
      </c>
      <c r="I246" s="11">
        <f>IF(AND(C246="",E246=""),"",IF(NOT(ISNUMBER(B246)),"Needs a date",IF(C246="","Needs a crop",IF(COUNTIF(Crops!$B$6:$B$65,C246)=0,"Not on Crops",IF(NOT(ISNUMBER(E246)),"Needs the amount",IF(AND(D246&lt;&gt;"",COUNTIF(Beds!$B$6:$B$35,D246)=0),"Not on Beds",""))))))</f>
        <v/>
      </c>
      <c r="J246" s="1">
        <f>IF(ISNUMBER(B246),YEAR(B246),"")</f>
        <v/>
      </c>
      <c r="K246">
        <f>IF(ISNUMBER(B246),YEAR(B246)*100+MONTH(B246),"")</f>
        <v/>
      </c>
      <c r="L246">
        <f>IF(ISNUMBER(B246),INT(B246),0)</f>
        <v/>
      </c>
    </row>
    <row r="247">
      <c r="A247" s="1" t="n"/>
      <c r="B247" s="17" t="n"/>
      <c r="C247" s="18" t="n"/>
      <c r="D247" s="19" t="n"/>
      <c r="E247" s="23" t="n"/>
      <c r="F247" s="21" t="n"/>
      <c r="G247" s="11">
        <f>IF(C247="","",IFERROR(INDEX(Crops!$D$6:$D$65,MATCH(C247,Crops!$B$6:$B$65,0))&amp;"",""))</f>
        <v/>
      </c>
      <c r="H247" s="12">
        <f>IF(OR(C247="",NOT(ISNUMBER(E247))),"",E247*N(IFERROR(INDEX(Crops!$E$6:$E$65,MATCH(C247,Crops!$B$6:$B$65,0)),0)))</f>
        <v/>
      </c>
      <c r="I247" s="11">
        <f>IF(AND(C247="",E247=""),"",IF(NOT(ISNUMBER(B247)),"Needs a date",IF(C247="","Needs a crop",IF(COUNTIF(Crops!$B$6:$B$65,C247)=0,"Not on Crops",IF(NOT(ISNUMBER(E247)),"Needs the amount",IF(AND(D247&lt;&gt;"",COUNTIF(Beds!$B$6:$B$35,D247)=0),"Not on Beds",""))))))</f>
        <v/>
      </c>
      <c r="J247" s="1">
        <f>IF(ISNUMBER(B247),YEAR(B247),"")</f>
        <v/>
      </c>
      <c r="K247">
        <f>IF(ISNUMBER(B247),YEAR(B247)*100+MONTH(B247),"")</f>
        <v/>
      </c>
      <c r="L247">
        <f>IF(ISNUMBER(B247),INT(B247),0)</f>
        <v/>
      </c>
    </row>
    <row r="248">
      <c r="A248" s="1" t="n"/>
      <c r="B248" s="17" t="n"/>
      <c r="C248" s="18" t="n"/>
      <c r="D248" s="19" t="n"/>
      <c r="E248" s="23" t="n"/>
      <c r="F248" s="21" t="n"/>
      <c r="G248" s="11">
        <f>IF(C248="","",IFERROR(INDEX(Crops!$D$6:$D$65,MATCH(C248,Crops!$B$6:$B$65,0))&amp;"",""))</f>
        <v/>
      </c>
      <c r="H248" s="12">
        <f>IF(OR(C248="",NOT(ISNUMBER(E248))),"",E248*N(IFERROR(INDEX(Crops!$E$6:$E$65,MATCH(C248,Crops!$B$6:$B$65,0)),0)))</f>
        <v/>
      </c>
      <c r="I248" s="11">
        <f>IF(AND(C248="",E248=""),"",IF(NOT(ISNUMBER(B248)),"Needs a date",IF(C248="","Needs a crop",IF(COUNTIF(Crops!$B$6:$B$65,C248)=0,"Not on Crops",IF(NOT(ISNUMBER(E248)),"Needs the amount",IF(AND(D248&lt;&gt;"",COUNTIF(Beds!$B$6:$B$35,D248)=0),"Not on Beds",""))))))</f>
        <v/>
      </c>
      <c r="J248" s="1">
        <f>IF(ISNUMBER(B248),YEAR(B248),"")</f>
        <v/>
      </c>
      <c r="K248">
        <f>IF(ISNUMBER(B248),YEAR(B248)*100+MONTH(B248),"")</f>
        <v/>
      </c>
      <c r="L248">
        <f>IF(ISNUMBER(B248),INT(B248),0)</f>
        <v/>
      </c>
    </row>
    <row r="249">
      <c r="A249" s="1" t="n"/>
      <c r="B249" s="17" t="n"/>
      <c r="C249" s="18" t="n"/>
      <c r="D249" s="19" t="n"/>
      <c r="E249" s="23" t="n"/>
      <c r="F249" s="21" t="n"/>
      <c r="G249" s="11">
        <f>IF(C249="","",IFERROR(INDEX(Crops!$D$6:$D$65,MATCH(C249,Crops!$B$6:$B$65,0))&amp;"",""))</f>
        <v/>
      </c>
      <c r="H249" s="12">
        <f>IF(OR(C249="",NOT(ISNUMBER(E249))),"",E249*N(IFERROR(INDEX(Crops!$E$6:$E$65,MATCH(C249,Crops!$B$6:$B$65,0)),0)))</f>
        <v/>
      </c>
      <c r="I249" s="11">
        <f>IF(AND(C249="",E249=""),"",IF(NOT(ISNUMBER(B249)),"Needs a date",IF(C249="","Needs a crop",IF(COUNTIF(Crops!$B$6:$B$65,C249)=0,"Not on Crops",IF(NOT(ISNUMBER(E249)),"Needs the amount",IF(AND(D249&lt;&gt;"",COUNTIF(Beds!$B$6:$B$35,D249)=0),"Not on Beds",""))))))</f>
        <v/>
      </c>
      <c r="J249" s="1">
        <f>IF(ISNUMBER(B249),YEAR(B249),"")</f>
        <v/>
      </c>
      <c r="K249">
        <f>IF(ISNUMBER(B249),YEAR(B249)*100+MONTH(B249),"")</f>
        <v/>
      </c>
      <c r="L249">
        <f>IF(ISNUMBER(B249),INT(B249),0)</f>
        <v/>
      </c>
    </row>
    <row r="250">
      <c r="A250" s="1" t="n"/>
      <c r="B250" s="17" t="n"/>
      <c r="C250" s="18" t="n"/>
      <c r="D250" s="19" t="n"/>
      <c r="E250" s="23" t="n"/>
      <c r="F250" s="21" t="n"/>
      <c r="G250" s="11">
        <f>IF(C250="","",IFERROR(INDEX(Crops!$D$6:$D$65,MATCH(C250,Crops!$B$6:$B$65,0))&amp;"",""))</f>
        <v/>
      </c>
      <c r="H250" s="12">
        <f>IF(OR(C250="",NOT(ISNUMBER(E250))),"",E250*N(IFERROR(INDEX(Crops!$E$6:$E$65,MATCH(C250,Crops!$B$6:$B$65,0)),0)))</f>
        <v/>
      </c>
      <c r="I250" s="11">
        <f>IF(AND(C250="",E250=""),"",IF(NOT(ISNUMBER(B250)),"Needs a date",IF(C250="","Needs a crop",IF(COUNTIF(Crops!$B$6:$B$65,C250)=0,"Not on Crops",IF(NOT(ISNUMBER(E250)),"Needs the amount",IF(AND(D250&lt;&gt;"",COUNTIF(Beds!$B$6:$B$35,D250)=0),"Not on Beds",""))))))</f>
        <v/>
      </c>
      <c r="J250" s="1">
        <f>IF(ISNUMBER(B250),YEAR(B250),"")</f>
        <v/>
      </c>
      <c r="K250">
        <f>IF(ISNUMBER(B250),YEAR(B250)*100+MONTH(B250),"")</f>
        <v/>
      </c>
      <c r="L250">
        <f>IF(ISNUMBER(B250),INT(B250),0)</f>
        <v/>
      </c>
    </row>
    <row r="251">
      <c r="A251" s="1" t="n"/>
      <c r="B251" s="17" t="n"/>
      <c r="C251" s="18" t="n"/>
      <c r="D251" s="19" t="n"/>
      <c r="E251" s="23" t="n"/>
      <c r="F251" s="21" t="n"/>
      <c r="G251" s="11">
        <f>IF(C251="","",IFERROR(INDEX(Crops!$D$6:$D$65,MATCH(C251,Crops!$B$6:$B$65,0))&amp;"",""))</f>
        <v/>
      </c>
      <c r="H251" s="12">
        <f>IF(OR(C251="",NOT(ISNUMBER(E251))),"",E251*N(IFERROR(INDEX(Crops!$E$6:$E$65,MATCH(C251,Crops!$B$6:$B$65,0)),0)))</f>
        <v/>
      </c>
      <c r="I251" s="11">
        <f>IF(AND(C251="",E251=""),"",IF(NOT(ISNUMBER(B251)),"Needs a date",IF(C251="","Needs a crop",IF(COUNTIF(Crops!$B$6:$B$65,C251)=0,"Not on Crops",IF(NOT(ISNUMBER(E251)),"Needs the amount",IF(AND(D251&lt;&gt;"",COUNTIF(Beds!$B$6:$B$35,D251)=0),"Not on Beds",""))))))</f>
        <v/>
      </c>
      <c r="J251" s="1">
        <f>IF(ISNUMBER(B251),YEAR(B251),"")</f>
        <v/>
      </c>
      <c r="K251">
        <f>IF(ISNUMBER(B251),YEAR(B251)*100+MONTH(B251),"")</f>
        <v/>
      </c>
      <c r="L251">
        <f>IF(ISNUMBER(B251),INT(B251),0)</f>
        <v/>
      </c>
    </row>
    <row r="252">
      <c r="A252" s="1" t="n"/>
      <c r="B252" s="17" t="n"/>
      <c r="C252" s="18" t="n"/>
      <c r="D252" s="19" t="n"/>
      <c r="E252" s="23" t="n"/>
      <c r="F252" s="21" t="n"/>
      <c r="G252" s="11">
        <f>IF(C252="","",IFERROR(INDEX(Crops!$D$6:$D$65,MATCH(C252,Crops!$B$6:$B$65,0))&amp;"",""))</f>
        <v/>
      </c>
      <c r="H252" s="12">
        <f>IF(OR(C252="",NOT(ISNUMBER(E252))),"",E252*N(IFERROR(INDEX(Crops!$E$6:$E$65,MATCH(C252,Crops!$B$6:$B$65,0)),0)))</f>
        <v/>
      </c>
      <c r="I252" s="11">
        <f>IF(AND(C252="",E252=""),"",IF(NOT(ISNUMBER(B252)),"Needs a date",IF(C252="","Needs a crop",IF(COUNTIF(Crops!$B$6:$B$65,C252)=0,"Not on Crops",IF(NOT(ISNUMBER(E252)),"Needs the amount",IF(AND(D252&lt;&gt;"",COUNTIF(Beds!$B$6:$B$35,D252)=0),"Not on Beds",""))))))</f>
        <v/>
      </c>
      <c r="J252" s="1">
        <f>IF(ISNUMBER(B252),YEAR(B252),"")</f>
        <v/>
      </c>
      <c r="K252">
        <f>IF(ISNUMBER(B252),YEAR(B252)*100+MONTH(B252),"")</f>
        <v/>
      </c>
      <c r="L252">
        <f>IF(ISNUMBER(B252),INT(B252),0)</f>
        <v/>
      </c>
    </row>
    <row r="253">
      <c r="A253" s="1" t="n"/>
      <c r="B253" s="17" t="n"/>
      <c r="C253" s="18" t="n"/>
      <c r="D253" s="19" t="n"/>
      <c r="E253" s="23" t="n"/>
      <c r="F253" s="21" t="n"/>
      <c r="G253" s="11">
        <f>IF(C253="","",IFERROR(INDEX(Crops!$D$6:$D$65,MATCH(C253,Crops!$B$6:$B$65,0))&amp;"",""))</f>
        <v/>
      </c>
      <c r="H253" s="12">
        <f>IF(OR(C253="",NOT(ISNUMBER(E253))),"",E253*N(IFERROR(INDEX(Crops!$E$6:$E$65,MATCH(C253,Crops!$B$6:$B$65,0)),0)))</f>
        <v/>
      </c>
      <c r="I253" s="11">
        <f>IF(AND(C253="",E253=""),"",IF(NOT(ISNUMBER(B253)),"Needs a date",IF(C253="","Needs a crop",IF(COUNTIF(Crops!$B$6:$B$65,C253)=0,"Not on Crops",IF(NOT(ISNUMBER(E253)),"Needs the amount",IF(AND(D253&lt;&gt;"",COUNTIF(Beds!$B$6:$B$35,D253)=0),"Not on Beds",""))))))</f>
        <v/>
      </c>
      <c r="J253" s="1">
        <f>IF(ISNUMBER(B253),YEAR(B253),"")</f>
        <v/>
      </c>
      <c r="K253">
        <f>IF(ISNUMBER(B253),YEAR(B253)*100+MONTH(B253),"")</f>
        <v/>
      </c>
      <c r="L253">
        <f>IF(ISNUMBER(B253),INT(B253),0)</f>
        <v/>
      </c>
    </row>
    <row r="254">
      <c r="A254" s="1" t="n"/>
      <c r="B254" s="17" t="n"/>
      <c r="C254" s="18" t="n"/>
      <c r="D254" s="19" t="n"/>
      <c r="E254" s="23" t="n"/>
      <c r="F254" s="21" t="n"/>
      <c r="G254" s="11">
        <f>IF(C254="","",IFERROR(INDEX(Crops!$D$6:$D$65,MATCH(C254,Crops!$B$6:$B$65,0))&amp;"",""))</f>
        <v/>
      </c>
      <c r="H254" s="12">
        <f>IF(OR(C254="",NOT(ISNUMBER(E254))),"",E254*N(IFERROR(INDEX(Crops!$E$6:$E$65,MATCH(C254,Crops!$B$6:$B$65,0)),0)))</f>
        <v/>
      </c>
      <c r="I254" s="11">
        <f>IF(AND(C254="",E254=""),"",IF(NOT(ISNUMBER(B254)),"Needs a date",IF(C254="","Needs a crop",IF(COUNTIF(Crops!$B$6:$B$65,C254)=0,"Not on Crops",IF(NOT(ISNUMBER(E254)),"Needs the amount",IF(AND(D254&lt;&gt;"",COUNTIF(Beds!$B$6:$B$35,D254)=0),"Not on Beds",""))))))</f>
        <v/>
      </c>
      <c r="J254" s="1">
        <f>IF(ISNUMBER(B254),YEAR(B254),"")</f>
        <v/>
      </c>
      <c r="K254">
        <f>IF(ISNUMBER(B254),YEAR(B254)*100+MONTH(B254),"")</f>
        <v/>
      </c>
      <c r="L254">
        <f>IF(ISNUMBER(B254),INT(B254),0)</f>
        <v/>
      </c>
    </row>
    <row r="255">
      <c r="A255" s="1" t="n"/>
      <c r="B255" s="17" t="n"/>
      <c r="C255" s="18" t="n"/>
      <c r="D255" s="19" t="n"/>
      <c r="E255" s="23" t="n"/>
      <c r="F255" s="21" t="n"/>
      <c r="G255" s="11">
        <f>IF(C255="","",IFERROR(INDEX(Crops!$D$6:$D$65,MATCH(C255,Crops!$B$6:$B$65,0))&amp;"",""))</f>
        <v/>
      </c>
      <c r="H255" s="12">
        <f>IF(OR(C255="",NOT(ISNUMBER(E255))),"",E255*N(IFERROR(INDEX(Crops!$E$6:$E$65,MATCH(C255,Crops!$B$6:$B$65,0)),0)))</f>
        <v/>
      </c>
      <c r="I255" s="11">
        <f>IF(AND(C255="",E255=""),"",IF(NOT(ISNUMBER(B255)),"Needs a date",IF(C255="","Needs a crop",IF(COUNTIF(Crops!$B$6:$B$65,C255)=0,"Not on Crops",IF(NOT(ISNUMBER(E255)),"Needs the amount",IF(AND(D255&lt;&gt;"",COUNTIF(Beds!$B$6:$B$35,D255)=0),"Not on Beds",""))))))</f>
        <v/>
      </c>
      <c r="J255" s="1">
        <f>IF(ISNUMBER(B255),YEAR(B255),"")</f>
        <v/>
      </c>
      <c r="K255">
        <f>IF(ISNUMBER(B255),YEAR(B255)*100+MONTH(B255),"")</f>
        <v/>
      </c>
      <c r="L255">
        <f>IF(ISNUMBER(B255),INT(B255),0)</f>
        <v/>
      </c>
    </row>
    <row r="256">
      <c r="A256" s="1" t="n"/>
      <c r="B256" s="17" t="n"/>
      <c r="C256" s="18" t="n"/>
      <c r="D256" s="19" t="n"/>
      <c r="E256" s="23" t="n"/>
      <c r="F256" s="21" t="n"/>
      <c r="G256" s="11">
        <f>IF(C256="","",IFERROR(INDEX(Crops!$D$6:$D$65,MATCH(C256,Crops!$B$6:$B$65,0))&amp;"",""))</f>
        <v/>
      </c>
      <c r="H256" s="12">
        <f>IF(OR(C256="",NOT(ISNUMBER(E256))),"",E256*N(IFERROR(INDEX(Crops!$E$6:$E$65,MATCH(C256,Crops!$B$6:$B$65,0)),0)))</f>
        <v/>
      </c>
      <c r="I256" s="11">
        <f>IF(AND(C256="",E256=""),"",IF(NOT(ISNUMBER(B256)),"Needs a date",IF(C256="","Needs a crop",IF(COUNTIF(Crops!$B$6:$B$65,C256)=0,"Not on Crops",IF(NOT(ISNUMBER(E256)),"Needs the amount",IF(AND(D256&lt;&gt;"",COUNTIF(Beds!$B$6:$B$35,D256)=0),"Not on Beds",""))))))</f>
        <v/>
      </c>
      <c r="J256" s="1">
        <f>IF(ISNUMBER(B256),YEAR(B256),"")</f>
        <v/>
      </c>
      <c r="K256">
        <f>IF(ISNUMBER(B256),YEAR(B256)*100+MONTH(B256),"")</f>
        <v/>
      </c>
      <c r="L256">
        <f>IF(ISNUMBER(B256),INT(B256),0)</f>
        <v/>
      </c>
    </row>
    <row r="257">
      <c r="A257" s="1" t="n"/>
      <c r="B257" s="17" t="n"/>
      <c r="C257" s="18" t="n"/>
      <c r="D257" s="19" t="n"/>
      <c r="E257" s="23" t="n"/>
      <c r="F257" s="21" t="n"/>
      <c r="G257" s="11">
        <f>IF(C257="","",IFERROR(INDEX(Crops!$D$6:$D$65,MATCH(C257,Crops!$B$6:$B$65,0))&amp;"",""))</f>
        <v/>
      </c>
      <c r="H257" s="12">
        <f>IF(OR(C257="",NOT(ISNUMBER(E257))),"",E257*N(IFERROR(INDEX(Crops!$E$6:$E$65,MATCH(C257,Crops!$B$6:$B$65,0)),0)))</f>
        <v/>
      </c>
      <c r="I257" s="11">
        <f>IF(AND(C257="",E257=""),"",IF(NOT(ISNUMBER(B257)),"Needs a date",IF(C257="","Needs a crop",IF(COUNTIF(Crops!$B$6:$B$65,C257)=0,"Not on Crops",IF(NOT(ISNUMBER(E257)),"Needs the amount",IF(AND(D257&lt;&gt;"",COUNTIF(Beds!$B$6:$B$35,D257)=0),"Not on Beds",""))))))</f>
        <v/>
      </c>
      <c r="J257" s="1">
        <f>IF(ISNUMBER(B257),YEAR(B257),"")</f>
        <v/>
      </c>
      <c r="K257">
        <f>IF(ISNUMBER(B257),YEAR(B257)*100+MONTH(B257),"")</f>
        <v/>
      </c>
      <c r="L257">
        <f>IF(ISNUMBER(B257),INT(B257),0)</f>
        <v/>
      </c>
    </row>
    <row r="258">
      <c r="A258" s="1" t="n"/>
      <c r="B258" s="17" t="n"/>
      <c r="C258" s="18" t="n"/>
      <c r="D258" s="19" t="n"/>
      <c r="E258" s="23" t="n"/>
      <c r="F258" s="21" t="n"/>
      <c r="G258" s="11">
        <f>IF(C258="","",IFERROR(INDEX(Crops!$D$6:$D$65,MATCH(C258,Crops!$B$6:$B$65,0))&amp;"",""))</f>
        <v/>
      </c>
      <c r="H258" s="12">
        <f>IF(OR(C258="",NOT(ISNUMBER(E258))),"",E258*N(IFERROR(INDEX(Crops!$E$6:$E$65,MATCH(C258,Crops!$B$6:$B$65,0)),0)))</f>
        <v/>
      </c>
      <c r="I258" s="11">
        <f>IF(AND(C258="",E258=""),"",IF(NOT(ISNUMBER(B258)),"Needs a date",IF(C258="","Needs a crop",IF(COUNTIF(Crops!$B$6:$B$65,C258)=0,"Not on Crops",IF(NOT(ISNUMBER(E258)),"Needs the amount",IF(AND(D258&lt;&gt;"",COUNTIF(Beds!$B$6:$B$35,D258)=0),"Not on Beds",""))))))</f>
        <v/>
      </c>
      <c r="J258" s="1">
        <f>IF(ISNUMBER(B258),YEAR(B258),"")</f>
        <v/>
      </c>
      <c r="K258">
        <f>IF(ISNUMBER(B258),YEAR(B258)*100+MONTH(B258),"")</f>
        <v/>
      </c>
      <c r="L258">
        <f>IF(ISNUMBER(B258),INT(B258),0)</f>
        <v/>
      </c>
    </row>
    <row r="259">
      <c r="A259" s="1" t="n"/>
      <c r="B259" s="17" t="n"/>
      <c r="C259" s="18" t="n"/>
      <c r="D259" s="19" t="n"/>
      <c r="E259" s="23" t="n"/>
      <c r="F259" s="21" t="n"/>
      <c r="G259" s="11">
        <f>IF(C259="","",IFERROR(INDEX(Crops!$D$6:$D$65,MATCH(C259,Crops!$B$6:$B$65,0))&amp;"",""))</f>
        <v/>
      </c>
      <c r="H259" s="12">
        <f>IF(OR(C259="",NOT(ISNUMBER(E259))),"",E259*N(IFERROR(INDEX(Crops!$E$6:$E$65,MATCH(C259,Crops!$B$6:$B$65,0)),0)))</f>
        <v/>
      </c>
      <c r="I259" s="11">
        <f>IF(AND(C259="",E259=""),"",IF(NOT(ISNUMBER(B259)),"Needs a date",IF(C259="","Needs a crop",IF(COUNTIF(Crops!$B$6:$B$65,C259)=0,"Not on Crops",IF(NOT(ISNUMBER(E259)),"Needs the amount",IF(AND(D259&lt;&gt;"",COUNTIF(Beds!$B$6:$B$35,D259)=0),"Not on Beds",""))))))</f>
        <v/>
      </c>
      <c r="J259" s="1">
        <f>IF(ISNUMBER(B259),YEAR(B259),"")</f>
        <v/>
      </c>
      <c r="K259">
        <f>IF(ISNUMBER(B259),YEAR(B259)*100+MONTH(B259),"")</f>
        <v/>
      </c>
      <c r="L259">
        <f>IF(ISNUMBER(B259),INT(B259),0)</f>
        <v/>
      </c>
    </row>
    <row r="260">
      <c r="A260" s="1" t="n"/>
      <c r="B260" s="17" t="n"/>
      <c r="C260" s="18" t="n"/>
      <c r="D260" s="19" t="n"/>
      <c r="E260" s="23" t="n"/>
      <c r="F260" s="21" t="n"/>
      <c r="G260" s="11">
        <f>IF(C260="","",IFERROR(INDEX(Crops!$D$6:$D$65,MATCH(C260,Crops!$B$6:$B$65,0))&amp;"",""))</f>
        <v/>
      </c>
      <c r="H260" s="12">
        <f>IF(OR(C260="",NOT(ISNUMBER(E260))),"",E260*N(IFERROR(INDEX(Crops!$E$6:$E$65,MATCH(C260,Crops!$B$6:$B$65,0)),0)))</f>
        <v/>
      </c>
      <c r="I260" s="11">
        <f>IF(AND(C260="",E260=""),"",IF(NOT(ISNUMBER(B260)),"Needs a date",IF(C260="","Needs a crop",IF(COUNTIF(Crops!$B$6:$B$65,C260)=0,"Not on Crops",IF(NOT(ISNUMBER(E260)),"Needs the amount",IF(AND(D260&lt;&gt;"",COUNTIF(Beds!$B$6:$B$35,D260)=0),"Not on Beds",""))))))</f>
        <v/>
      </c>
      <c r="J260" s="1">
        <f>IF(ISNUMBER(B260),YEAR(B260),"")</f>
        <v/>
      </c>
      <c r="K260">
        <f>IF(ISNUMBER(B260),YEAR(B260)*100+MONTH(B260),"")</f>
        <v/>
      </c>
      <c r="L260">
        <f>IF(ISNUMBER(B260),INT(B260),0)</f>
        <v/>
      </c>
    </row>
    <row r="261">
      <c r="A261" s="1" t="n"/>
      <c r="B261" s="17" t="n"/>
      <c r="C261" s="18" t="n"/>
      <c r="D261" s="19" t="n"/>
      <c r="E261" s="23" t="n"/>
      <c r="F261" s="21" t="n"/>
      <c r="G261" s="11">
        <f>IF(C261="","",IFERROR(INDEX(Crops!$D$6:$D$65,MATCH(C261,Crops!$B$6:$B$65,0))&amp;"",""))</f>
        <v/>
      </c>
      <c r="H261" s="12">
        <f>IF(OR(C261="",NOT(ISNUMBER(E261))),"",E261*N(IFERROR(INDEX(Crops!$E$6:$E$65,MATCH(C261,Crops!$B$6:$B$65,0)),0)))</f>
        <v/>
      </c>
      <c r="I261" s="11">
        <f>IF(AND(C261="",E261=""),"",IF(NOT(ISNUMBER(B261)),"Needs a date",IF(C261="","Needs a crop",IF(COUNTIF(Crops!$B$6:$B$65,C261)=0,"Not on Crops",IF(NOT(ISNUMBER(E261)),"Needs the amount",IF(AND(D261&lt;&gt;"",COUNTIF(Beds!$B$6:$B$35,D261)=0),"Not on Beds",""))))))</f>
        <v/>
      </c>
      <c r="J261" s="1">
        <f>IF(ISNUMBER(B261),YEAR(B261),"")</f>
        <v/>
      </c>
      <c r="K261">
        <f>IF(ISNUMBER(B261),YEAR(B261)*100+MONTH(B261),"")</f>
        <v/>
      </c>
      <c r="L261">
        <f>IF(ISNUMBER(B261),INT(B261),0)</f>
        <v/>
      </c>
    </row>
    <row r="262">
      <c r="A262" s="1" t="n"/>
      <c r="B262" s="17" t="n"/>
      <c r="C262" s="18" t="n"/>
      <c r="D262" s="19" t="n"/>
      <c r="E262" s="23" t="n"/>
      <c r="F262" s="21" t="n"/>
      <c r="G262" s="11">
        <f>IF(C262="","",IFERROR(INDEX(Crops!$D$6:$D$65,MATCH(C262,Crops!$B$6:$B$65,0))&amp;"",""))</f>
        <v/>
      </c>
      <c r="H262" s="12">
        <f>IF(OR(C262="",NOT(ISNUMBER(E262))),"",E262*N(IFERROR(INDEX(Crops!$E$6:$E$65,MATCH(C262,Crops!$B$6:$B$65,0)),0)))</f>
        <v/>
      </c>
      <c r="I262" s="11">
        <f>IF(AND(C262="",E262=""),"",IF(NOT(ISNUMBER(B262)),"Needs a date",IF(C262="","Needs a crop",IF(COUNTIF(Crops!$B$6:$B$65,C262)=0,"Not on Crops",IF(NOT(ISNUMBER(E262)),"Needs the amount",IF(AND(D262&lt;&gt;"",COUNTIF(Beds!$B$6:$B$35,D262)=0),"Not on Beds",""))))))</f>
        <v/>
      </c>
      <c r="J262" s="1">
        <f>IF(ISNUMBER(B262),YEAR(B262),"")</f>
        <v/>
      </c>
      <c r="K262">
        <f>IF(ISNUMBER(B262),YEAR(B262)*100+MONTH(B262),"")</f>
        <v/>
      </c>
      <c r="L262">
        <f>IF(ISNUMBER(B262),INT(B262),0)</f>
        <v/>
      </c>
    </row>
    <row r="263">
      <c r="A263" s="1" t="n"/>
      <c r="B263" s="17" t="n"/>
      <c r="C263" s="18" t="n"/>
      <c r="D263" s="19" t="n"/>
      <c r="E263" s="23" t="n"/>
      <c r="F263" s="21" t="n"/>
      <c r="G263" s="11">
        <f>IF(C263="","",IFERROR(INDEX(Crops!$D$6:$D$65,MATCH(C263,Crops!$B$6:$B$65,0))&amp;"",""))</f>
        <v/>
      </c>
      <c r="H263" s="12">
        <f>IF(OR(C263="",NOT(ISNUMBER(E263))),"",E263*N(IFERROR(INDEX(Crops!$E$6:$E$65,MATCH(C263,Crops!$B$6:$B$65,0)),0)))</f>
        <v/>
      </c>
      <c r="I263" s="11">
        <f>IF(AND(C263="",E263=""),"",IF(NOT(ISNUMBER(B263)),"Needs a date",IF(C263="","Needs a crop",IF(COUNTIF(Crops!$B$6:$B$65,C263)=0,"Not on Crops",IF(NOT(ISNUMBER(E263)),"Needs the amount",IF(AND(D263&lt;&gt;"",COUNTIF(Beds!$B$6:$B$35,D263)=0),"Not on Beds",""))))))</f>
        <v/>
      </c>
      <c r="J263" s="1">
        <f>IF(ISNUMBER(B263),YEAR(B263),"")</f>
        <v/>
      </c>
      <c r="K263">
        <f>IF(ISNUMBER(B263),YEAR(B263)*100+MONTH(B263),"")</f>
        <v/>
      </c>
      <c r="L263">
        <f>IF(ISNUMBER(B263),INT(B263),0)</f>
        <v/>
      </c>
    </row>
    <row r="264">
      <c r="A264" s="1" t="n"/>
      <c r="B264" s="17" t="n"/>
      <c r="C264" s="18" t="n"/>
      <c r="D264" s="19" t="n"/>
      <c r="E264" s="23" t="n"/>
      <c r="F264" s="21" t="n"/>
      <c r="G264" s="11">
        <f>IF(C264="","",IFERROR(INDEX(Crops!$D$6:$D$65,MATCH(C264,Crops!$B$6:$B$65,0))&amp;"",""))</f>
        <v/>
      </c>
      <c r="H264" s="12">
        <f>IF(OR(C264="",NOT(ISNUMBER(E264))),"",E264*N(IFERROR(INDEX(Crops!$E$6:$E$65,MATCH(C264,Crops!$B$6:$B$65,0)),0)))</f>
        <v/>
      </c>
      <c r="I264" s="11">
        <f>IF(AND(C264="",E264=""),"",IF(NOT(ISNUMBER(B264)),"Needs a date",IF(C264="","Needs a crop",IF(COUNTIF(Crops!$B$6:$B$65,C264)=0,"Not on Crops",IF(NOT(ISNUMBER(E264)),"Needs the amount",IF(AND(D264&lt;&gt;"",COUNTIF(Beds!$B$6:$B$35,D264)=0),"Not on Beds",""))))))</f>
        <v/>
      </c>
      <c r="J264" s="1">
        <f>IF(ISNUMBER(B264),YEAR(B264),"")</f>
        <v/>
      </c>
      <c r="K264">
        <f>IF(ISNUMBER(B264),YEAR(B264)*100+MONTH(B264),"")</f>
        <v/>
      </c>
      <c r="L264">
        <f>IF(ISNUMBER(B264),INT(B264),0)</f>
        <v/>
      </c>
    </row>
    <row r="265">
      <c r="A265" s="1" t="n"/>
      <c r="B265" s="17" t="n"/>
      <c r="C265" s="18" t="n"/>
      <c r="D265" s="19" t="n"/>
      <c r="E265" s="23" t="n"/>
      <c r="F265" s="21" t="n"/>
      <c r="G265" s="11">
        <f>IF(C265="","",IFERROR(INDEX(Crops!$D$6:$D$65,MATCH(C265,Crops!$B$6:$B$65,0))&amp;"",""))</f>
        <v/>
      </c>
      <c r="H265" s="12">
        <f>IF(OR(C265="",NOT(ISNUMBER(E265))),"",E265*N(IFERROR(INDEX(Crops!$E$6:$E$65,MATCH(C265,Crops!$B$6:$B$65,0)),0)))</f>
        <v/>
      </c>
      <c r="I265" s="11">
        <f>IF(AND(C265="",E265=""),"",IF(NOT(ISNUMBER(B265)),"Needs a date",IF(C265="","Needs a crop",IF(COUNTIF(Crops!$B$6:$B$65,C265)=0,"Not on Crops",IF(NOT(ISNUMBER(E265)),"Needs the amount",IF(AND(D265&lt;&gt;"",COUNTIF(Beds!$B$6:$B$35,D265)=0),"Not on Beds",""))))))</f>
        <v/>
      </c>
      <c r="J265" s="1">
        <f>IF(ISNUMBER(B265),YEAR(B265),"")</f>
        <v/>
      </c>
      <c r="K265">
        <f>IF(ISNUMBER(B265),YEAR(B265)*100+MONTH(B265),"")</f>
        <v/>
      </c>
      <c r="L265">
        <f>IF(ISNUMBER(B265),INT(B265),0)</f>
        <v/>
      </c>
    </row>
    <row r="266">
      <c r="A266" s="1" t="n"/>
      <c r="B266" s="17" t="n"/>
      <c r="C266" s="18" t="n"/>
      <c r="D266" s="19" t="n"/>
      <c r="E266" s="23" t="n"/>
      <c r="F266" s="21" t="n"/>
      <c r="G266" s="11">
        <f>IF(C266="","",IFERROR(INDEX(Crops!$D$6:$D$65,MATCH(C266,Crops!$B$6:$B$65,0))&amp;"",""))</f>
        <v/>
      </c>
      <c r="H266" s="12">
        <f>IF(OR(C266="",NOT(ISNUMBER(E266))),"",E266*N(IFERROR(INDEX(Crops!$E$6:$E$65,MATCH(C266,Crops!$B$6:$B$65,0)),0)))</f>
        <v/>
      </c>
      <c r="I266" s="11">
        <f>IF(AND(C266="",E266=""),"",IF(NOT(ISNUMBER(B266)),"Needs a date",IF(C266="","Needs a crop",IF(COUNTIF(Crops!$B$6:$B$65,C266)=0,"Not on Crops",IF(NOT(ISNUMBER(E266)),"Needs the amount",IF(AND(D266&lt;&gt;"",COUNTIF(Beds!$B$6:$B$35,D266)=0),"Not on Beds",""))))))</f>
        <v/>
      </c>
      <c r="J266" s="1">
        <f>IF(ISNUMBER(B266),YEAR(B266),"")</f>
        <v/>
      </c>
      <c r="K266">
        <f>IF(ISNUMBER(B266),YEAR(B266)*100+MONTH(B266),"")</f>
        <v/>
      </c>
      <c r="L266">
        <f>IF(ISNUMBER(B266),INT(B266),0)</f>
        <v/>
      </c>
    </row>
    <row r="267">
      <c r="A267" s="1" t="n"/>
      <c r="B267" s="17" t="n"/>
      <c r="C267" s="18" t="n"/>
      <c r="D267" s="19" t="n"/>
      <c r="E267" s="23" t="n"/>
      <c r="F267" s="21" t="n"/>
      <c r="G267" s="11">
        <f>IF(C267="","",IFERROR(INDEX(Crops!$D$6:$D$65,MATCH(C267,Crops!$B$6:$B$65,0))&amp;"",""))</f>
        <v/>
      </c>
      <c r="H267" s="12">
        <f>IF(OR(C267="",NOT(ISNUMBER(E267))),"",E267*N(IFERROR(INDEX(Crops!$E$6:$E$65,MATCH(C267,Crops!$B$6:$B$65,0)),0)))</f>
        <v/>
      </c>
      <c r="I267" s="11">
        <f>IF(AND(C267="",E267=""),"",IF(NOT(ISNUMBER(B267)),"Needs a date",IF(C267="","Needs a crop",IF(COUNTIF(Crops!$B$6:$B$65,C267)=0,"Not on Crops",IF(NOT(ISNUMBER(E267)),"Needs the amount",IF(AND(D267&lt;&gt;"",COUNTIF(Beds!$B$6:$B$35,D267)=0),"Not on Beds",""))))))</f>
        <v/>
      </c>
      <c r="J267" s="1">
        <f>IF(ISNUMBER(B267),YEAR(B267),"")</f>
        <v/>
      </c>
      <c r="K267">
        <f>IF(ISNUMBER(B267),YEAR(B267)*100+MONTH(B267),"")</f>
        <v/>
      </c>
      <c r="L267">
        <f>IF(ISNUMBER(B267),INT(B267),0)</f>
        <v/>
      </c>
    </row>
    <row r="268">
      <c r="A268" s="1" t="n"/>
      <c r="B268" s="17" t="n"/>
      <c r="C268" s="18" t="n"/>
      <c r="D268" s="19" t="n"/>
      <c r="E268" s="23" t="n"/>
      <c r="F268" s="21" t="n"/>
      <c r="G268" s="11">
        <f>IF(C268="","",IFERROR(INDEX(Crops!$D$6:$D$65,MATCH(C268,Crops!$B$6:$B$65,0))&amp;"",""))</f>
        <v/>
      </c>
      <c r="H268" s="12">
        <f>IF(OR(C268="",NOT(ISNUMBER(E268))),"",E268*N(IFERROR(INDEX(Crops!$E$6:$E$65,MATCH(C268,Crops!$B$6:$B$65,0)),0)))</f>
        <v/>
      </c>
      <c r="I268" s="11">
        <f>IF(AND(C268="",E268=""),"",IF(NOT(ISNUMBER(B268)),"Needs a date",IF(C268="","Needs a crop",IF(COUNTIF(Crops!$B$6:$B$65,C268)=0,"Not on Crops",IF(NOT(ISNUMBER(E268)),"Needs the amount",IF(AND(D268&lt;&gt;"",COUNTIF(Beds!$B$6:$B$35,D268)=0),"Not on Beds",""))))))</f>
        <v/>
      </c>
      <c r="J268" s="1">
        <f>IF(ISNUMBER(B268),YEAR(B268),"")</f>
        <v/>
      </c>
      <c r="K268">
        <f>IF(ISNUMBER(B268),YEAR(B268)*100+MONTH(B268),"")</f>
        <v/>
      </c>
      <c r="L268">
        <f>IF(ISNUMBER(B268),INT(B268),0)</f>
        <v/>
      </c>
    </row>
    <row r="269">
      <c r="A269" s="1" t="n"/>
      <c r="B269" s="17" t="n"/>
      <c r="C269" s="18" t="n"/>
      <c r="D269" s="19" t="n"/>
      <c r="E269" s="23" t="n"/>
      <c r="F269" s="21" t="n"/>
      <c r="G269" s="11">
        <f>IF(C269="","",IFERROR(INDEX(Crops!$D$6:$D$65,MATCH(C269,Crops!$B$6:$B$65,0))&amp;"",""))</f>
        <v/>
      </c>
      <c r="H269" s="12">
        <f>IF(OR(C269="",NOT(ISNUMBER(E269))),"",E269*N(IFERROR(INDEX(Crops!$E$6:$E$65,MATCH(C269,Crops!$B$6:$B$65,0)),0)))</f>
        <v/>
      </c>
      <c r="I269" s="11">
        <f>IF(AND(C269="",E269=""),"",IF(NOT(ISNUMBER(B269)),"Needs a date",IF(C269="","Needs a crop",IF(COUNTIF(Crops!$B$6:$B$65,C269)=0,"Not on Crops",IF(NOT(ISNUMBER(E269)),"Needs the amount",IF(AND(D269&lt;&gt;"",COUNTIF(Beds!$B$6:$B$35,D269)=0),"Not on Beds",""))))))</f>
        <v/>
      </c>
      <c r="J269" s="1">
        <f>IF(ISNUMBER(B269),YEAR(B269),"")</f>
        <v/>
      </c>
      <c r="K269">
        <f>IF(ISNUMBER(B269),YEAR(B269)*100+MONTH(B269),"")</f>
        <v/>
      </c>
      <c r="L269">
        <f>IF(ISNUMBER(B269),INT(B269),0)</f>
        <v/>
      </c>
    </row>
    <row r="270">
      <c r="A270" s="1" t="n"/>
      <c r="B270" s="17" t="n"/>
      <c r="C270" s="18" t="n"/>
      <c r="D270" s="19" t="n"/>
      <c r="E270" s="23" t="n"/>
      <c r="F270" s="21" t="n"/>
      <c r="G270" s="11">
        <f>IF(C270="","",IFERROR(INDEX(Crops!$D$6:$D$65,MATCH(C270,Crops!$B$6:$B$65,0))&amp;"",""))</f>
        <v/>
      </c>
      <c r="H270" s="12">
        <f>IF(OR(C270="",NOT(ISNUMBER(E270))),"",E270*N(IFERROR(INDEX(Crops!$E$6:$E$65,MATCH(C270,Crops!$B$6:$B$65,0)),0)))</f>
        <v/>
      </c>
      <c r="I270" s="11">
        <f>IF(AND(C270="",E270=""),"",IF(NOT(ISNUMBER(B270)),"Needs a date",IF(C270="","Needs a crop",IF(COUNTIF(Crops!$B$6:$B$65,C270)=0,"Not on Crops",IF(NOT(ISNUMBER(E270)),"Needs the amount",IF(AND(D270&lt;&gt;"",COUNTIF(Beds!$B$6:$B$35,D270)=0),"Not on Beds",""))))))</f>
        <v/>
      </c>
      <c r="J270" s="1">
        <f>IF(ISNUMBER(B270),YEAR(B270),"")</f>
        <v/>
      </c>
      <c r="K270">
        <f>IF(ISNUMBER(B270),YEAR(B270)*100+MONTH(B270),"")</f>
        <v/>
      </c>
      <c r="L270">
        <f>IF(ISNUMBER(B270),INT(B270),0)</f>
        <v/>
      </c>
    </row>
    <row r="271">
      <c r="A271" s="1" t="n"/>
      <c r="B271" s="17" t="n"/>
      <c r="C271" s="18" t="n"/>
      <c r="D271" s="19" t="n"/>
      <c r="E271" s="23" t="n"/>
      <c r="F271" s="21" t="n"/>
      <c r="G271" s="11">
        <f>IF(C271="","",IFERROR(INDEX(Crops!$D$6:$D$65,MATCH(C271,Crops!$B$6:$B$65,0))&amp;"",""))</f>
        <v/>
      </c>
      <c r="H271" s="12">
        <f>IF(OR(C271="",NOT(ISNUMBER(E271))),"",E271*N(IFERROR(INDEX(Crops!$E$6:$E$65,MATCH(C271,Crops!$B$6:$B$65,0)),0)))</f>
        <v/>
      </c>
      <c r="I271" s="11">
        <f>IF(AND(C271="",E271=""),"",IF(NOT(ISNUMBER(B271)),"Needs a date",IF(C271="","Needs a crop",IF(COUNTIF(Crops!$B$6:$B$65,C271)=0,"Not on Crops",IF(NOT(ISNUMBER(E271)),"Needs the amount",IF(AND(D271&lt;&gt;"",COUNTIF(Beds!$B$6:$B$35,D271)=0),"Not on Beds",""))))))</f>
        <v/>
      </c>
      <c r="J271" s="1">
        <f>IF(ISNUMBER(B271),YEAR(B271),"")</f>
        <v/>
      </c>
      <c r="K271">
        <f>IF(ISNUMBER(B271),YEAR(B271)*100+MONTH(B271),"")</f>
        <v/>
      </c>
      <c r="L271">
        <f>IF(ISNUMBER(B271),INT(B271),0)</f>
        <v/>
      </c>
    </row>
    <row r="272">
      <c r="A272" s="1" t="n"/>
      <c r="B272" s="17" t="n"/>
      <c r="C272" s="18" t="n"/>
      <c r="D272" s="19" t="n"/>
      <c r="E272" s="23" t="n"/>
      <c r="F272" s="21" t="n"/>
      <c r="G272" s="11">
        <f>IF(C272="","",IFERROR(INDEX(Crops!$D$6:$D$65,MATCH(C272,Crops!$B$6:$B$65,0))&amp;"",""))</f>
        <v/>
      </c>
      <c r="H272" s="12">
        <f>IF(OR(C272="",NOT(ISNUMBER(E272))),"",E272*N(IFERROR(INDEX(Crops!$E$6:$E$65,MATCH(C272,Crops!$B$6:$B$65,0)),0)))</f>
        <v/>
      </c>
      <c r="I272" s="11">
        <f>IF(AND(C272="",E272=""),"",IF(NOT(ISNUMBER(B272)),"Needs a date",IF(C272="","Needs a crop",IF(COUNTIF(Crops!$B$6:$B$65,C272)=0,"Not on Crops",IF(NOT(ISNUMBER(E272)),"Needs the amount",IF(AND(D272&lt;&gt;"",COUNTIF(Beds!$B$6:$B$35,D272)=0),"Not on Beds",""))))))</f>
        <v/>
      </c>
      <c r="J272" s="1">
        <f>IF(ISNUMBER(B272),YEAR(B272),"")</f>
        <v/>
      </c>
      <c r="K272">
        <f>IF(ISNUMBER(B272),YEAR(B272)*100+MONTH(B272),"")</f>
        <v/>
      </c>
      <c r="L272">
        <f>IF(ISNUMBER(B272),INT(B272),0)</f>
        <v/>
      </c>
    </row>
    <row r="273">
      <c r="A273" s="1" t="n"/>
      <c r="B273" s="17" t="n"/>
      <c r="C273" s="18" t="n"/>
      <c r="D273" s="19" t="n"/>
      <c r="E273" s="23" t="n"/>
      <c r="F273" s="21" t="n"/>
      <c r="G273" s="11">
        <f>IF(C273="","",IFERROR(INDEX(Crops!$D$6:$D$65,MATCH(C273,Crops!$B$6:$B$65,0))&amp;"",""))</f>
        <v/>
      </c>
      <c r="H273" s="12">
        <f>IF(OR(C273="",NOT(ISNUMBER(E273))),"",E273*N(IFERROR(INDEX(Crops!$E$6:$E$65,MATCH(C273,Crops!$B$6:$B$65,0)),0)))</f>
        <v/>
      </c>
      <c r="I273" s="11">
        <f>IF(AND(C273="",E273=""),"",IF(NOT(ISNUMBER(B273)),"Needs a date",IF(C273="","Needs a crop",IF(COUNTIF(Crops!$B$6:$B$65,C273)=0,"Not on Crops",IF(NOT(ISNUMBER(E273)),"Needs the amount",IF(AND(D273&lt;&gt;"",COUNTIF(Beds!$B$6:$B$35,D273)=0),"Not on Beds",""))))))</f>
        <v/>
      </c>
      <c r="J273" s="1">
        <f>IF(ISNUMBER(B273),YEAR(B273),"")</f>
        <v/>
      </c>
      <c r="K273">
        <f>IF(ISNUMBER(B273),YEAR(B273)*100+MONTH(B273),"")</f>
        <v/>
      </c>
      <c r="L273">
        <f>IF(ISNUMBER(B273),INT(B273),0)</f>
        <v/>
      </c>
    </row>
    <row r="274">
      <c r="A274" s="1" t="n"/>
      <c r="B274" s="17" t="n"/>
      <c r="C274" s="18" t="n"/>
      <c r="D274" s="19" t="n"/>
      <c r="E274" s="23" t="n"/>
      <c r="F274" s="21" t="n"/>
      <c r="G274" s="11">
        <f>IF(C274="","",IFERROR(INDEX(Crops!$D$6:$D$65,MATCH(C274,Crops!$B$6:$B$65,0))&amp;"",""))</f>
        <v/>
      </c>
      <c r="H274" s="12">
        <f>IF(OR(C274="",NOT(ISNUMBER(E274))),"",E274*N(IFERROR(INDEX(Crops!$E$6:$E$65,MATCH(C274,Crops!$B$6:$B$65,0)),0)))</f>
        <v/>
      </c>
      <c r="I274" s="11">
        <f>IF(AND(C274="",E274=""),"",IF(NOT(ISNUMBER(B274)),"Needs a date",IF(C274="","Needs a crop",IF(COUNTIF(Crops!$B$6:$B$65,C274)=0,"Not on Crops",IF(NOT(ISNUMBER(E274)),"Needs the amount",IF(AND(D274&lt;&gt;"",COUNTIF(Beds!$B$6:$B$35,D274)=0),"Not on Beds",""))))))</f>
        <v/>
      </c>
      <c r="J274" s="1">
        <f>IF(ISNUMBER(B274),YEAR(B274),"")</f>
        <v/>
      </c>
      <c r="K274">
        <f>IF(ISNUMBER(B274),YEAR(B274)*100+MONTH(B274),"")</f>
        <v/>
      </c>
      <c r="L274">
        <f>IF(ISNUMBER(B274),INT(B274),0)</f>
        <v/>
      </c>
    </row>
    <row r="275">
      <c r="A275" s="1" t="n"/>
      <c r="B275" s="17" t="n"/>
      <c r="C275" s="18" t="n"/>
      <c r="D275" s="19" t="n"/>
      <c r="E275" s="23" t="n"/>
      <c r="F275" s="21" t="n"/>
      <c r="G275" s="11">
        <f>IF(C275="","",IFERROR(INDEX(Crops!$D$6:$D$65,MATCH(C275,Crops!$B$6:$B$65,0))&amp;"",""))</f>
        <v/>
      </c>
      <c r="H275" s="12">
        <f>IF(OR(C275="",NOT(ISNUMBER(E275))),"",E275*N(IFERROR(INDEX(Crops!$E$6:$E$65,MATCH(C275,Crops!$B$6:$B$65,0)),0)))</f>
        <v/>
      </c>
      <c r="I275" s="11">
        <f>IF(AND(C275="",E275=""),"",IF(NOT(ISNUMBER(B275)),"Needs a date",IF(C275="","Needs a crop",IF(COUNTIF(Crops!$B$6:$B$65,C275)=0,"Not on Crops",IF(NOT(ISNUMBER(E275)),"Needs the amount",IF(AND(D275&lt;&gt;"",COUNTIF(Beds!$B$6:$B$35,D275)=0),"Not on Beds",""))))))</f>
        <v/>
      </c>
      <c r="J275" s="1">
        <f>IF(ISNUMBER(B275),YEAR(B275),"")</f>
        <v/>
      </c>
      <c r="K275">
        <f>IF(ISNUMBER(B275),YEAR(B275)*100+MONTH(B275),"")</f>
        <v/>
      </c>
      <c r="L275">
        <f>IF(ISNUMBER(B275),INT(B275),0)</f>
        <v/>
      </c>
    </row>
    <row r="276">
      <c r="A276" s="1" t="n"/>
      <c r="B276" s="17" t="n"/>
      <c r="C276" s="18" t="n"/>
      <c r="D276" s="19" t="n"/>
      <c r="E276" s="23" t="n"/>
      <c r="F276" s="21" t="n"/>
      <c r="G276" s="11">
        <f>IF(C276="","",IFERROR(INDEX(Crops!$D$6:$D$65,MATCH(C276,Crops!$B$6:$B$65,0))&amp;"",""))</f>
        <v/>
      </c>
      <c r="H276" s="12">
        <f>IF(OR(C276="",NOT(ISNUMBER(E276))),"",E276*N(IFERROR(INDEX(Crops!$E$6:$E$65,MATCH(C276,Crops!$B$6:$B$65,0)),0)))</f>
        <v/>
      </c>
      <c r="I276" s="11">
        <f>IF(AND(C276="",E276=""),"",IF(NOT(ISNUMBER(B276)),"Needs a date",IF(C276="","Needs a crop",IF(COUNTIF(Crops!$B$6:$B$65,C276)=0,"Not on Crops",IF(NOT(ISNUMBER(E276)),"Needs the amount",IF(AND(D276&lt;&gt;"",COUNTIF(Beds!$B$6:$B$35,D276)=0),"Not on Beds",""))))))</f>
        <v/>
      </c>
      <c r="J276" s="1">
        <f>IF(ISNUMBER(B276),YEAR(B276),"")</f>
        <v/>
      </c>
      <c r="K276">
        <f>IF(ISNUMBER(B276),YEAR(B276)*100+MONTH(B276),"")</f>
        <v/>
      </c>
      <c r="L276">
        <f>IF(ISNUMBER(B276),INT(B276),0)</f>
        <v/>
      </c>
    </row>
    <row r="277">
      <c r="A277" s="1" t="n"/>
      <c r="B277" s="17" t="n"/>
      <c r="C277" s="18" t="n"/>
      <c r="D277" s="19" t="n"/>
      <c r="E277" s="23" t="n"/>
      <c r="F277" s="21" t="n"/>
      <c r="G277" s="11">
        <f>IF(C277="","",IFERROR(INDEX(Crops!$D$6:$D$65,MATCH(C277,Crops!$B$6:$B$65,0))&amp;"",""))</f>
        <v/>
      </c>
      <c r="H277" s="12">
        <f>IF(OR(C277="",NOT(ISNUMBER(E277))),"",E277*N(IFERROR(INDEX(Crops!$E$6:$E$65,MATCH(C277,Crops!$B$6:$B$65,0)),0)))</f>
        <v/>
      </c>
      <c r="I277" s="11">
        <f>IF(AND(C277="",E277=""),"",IF(NOT(ISNUMBER(B277)),"Needs a date",IF(C277="","Needs a crop",IF(COUNTIF(Crops!$B$6:$B$65,C277)=0,"Not on Crops",IF(NOT(ISNUMBER(E277)),"Needs the amount",IF(AND(D277&lt;&gt;"",COUNTIF(Beds!$B$6:$B$35,D277)=0),"Not on Beds",""))))))</f>
        <v/>
      </c>
      <c r="J277" s="1">
        <f>IF(ISNUMBER(B277),YEAR(B277),"")</f>
        <v/>
      </c>
      <c r="K277">
        <f>IF(ISNUMBER(B277),YEAR(B277)*100+MONTH(B277),"")</f>
        <v/>
      </c>
      <c r="L277">
        <f>IF(ISNUMBER(B277),INT(B277),0)</f>
        <v/>
      </c>
    </row>
    <row r="278">
      <c r="A278" s="1" t="n"/>
      <c r="B278" s="17" t="n"/>
      <c r="C278" s="18" t="n"/>
      <c r="D278" s="19" t="n"/>
      <c r="E278" s="23" t="n"/>
      <c r="F278" s="21" t="n"/>
      <c r="G278" s="11">
        <f>IF(C278="","",IFERROR(INDEX(Crops!$D$6:$D$65,MATCH(C278,Crops!$B$6:$B$65,0))&amp;"",""))</f>
        <v/>
      </c>
      <c r="H278" s="12">
        <f>IF(OR(C278="",NOT(ISNUMBER(E278))),"",E278*N(IFERROR(INDEX(Crops!$E$6:$E$65,MATCH(C278,Crops!$B$6:$B$65,0)),0)))</f>
        <v/>
      </c>
      <c r="I278" s="11">
        <f>IF(AND(C278="",E278=""),"",IF(NOT(ISNUMBER(B278)),"Needs a date",IF(C278="","Needs a crop",IF(COUNTIF(Crops!$B$6:$B$65,C278)=0,"Not on Crops",IF(NOT(ISNUMBER(E278)),"Needs the amount",IF(AND(D278&lt;&gt;"",COUNTIF(Beds!$B$6:$B$35,D278)=0),"Not on Beds",""))))))</f>
        <v/>
      </c>
      <c r="J278" s="1">
        <f>IF(ISNUMBER(B278),YEAR(B278),"")</f>
        <v/>
      </c>
      <c r="K278">
        <f>IF(ISNUMBER(B278),YEAR(B278)*100+MONTH(B278),"")</f>
        <v/>
      </c>
      <c r="L278">
        <f>IF(ISNUMBER(B278),INT(B278),0)</f>
        <v/>
      </c>
    </row>
    <row r="279">
      <c r="A279" s="1" t="n"/>
      <c r="B279" s="17" t="n"/>
      <c r="C279" s="18" t="n"/>
      <c r="D279" s="19" t="n"/>
      <c r="E279" s="23" t="n"/>
      <c r="F279" s="21" t="n"/>
      <c r="G279" s="11">
        <f>IF(C279="","",IFERROR(INDEX(Crops!$D$6:$D$65,MATCH(C279,Crops!$B$6:$B$65,0))&amp;"",""))</f>
        <v/>
      </c>
      <c r="H279" s="12">
        <f>IF(OR(C279="",NOT(ISNUMBER(E279))),"",E279*N(IFERROR(INDEX(Crops!$E$6:$E$65,MATCH(C279,Crops!$B$6:$B$65,0)),0)))</f>
        <v/>
      </c>
      <c r="I279" s="11">
        <f>IF(AND(C279="",E279=""),"",IF(NOT(ISNUMBER(B279)),"Needs a date",IF(C279="","Needs a crop",IF(COUNTIF(Crops!$B$6:$B$65,C279)=0,"Not on Crops",IF(NOT(ISNUMBER(E279)),"Needs the amount",IF(AND(D279&lt;&gt;"",COUNTIF(Beds!$B$6:$B$35,D279)=0),"Not on Beds",""))))))</f>
        <v/>
      </c>
      <c r="J279" s="1">
        <f>IF(ISNUMBER(B279),YEAR(B279),"")</f>
        <v/>
      </c>
      <c r="K279">
        <f>IF(ISNUMBER(B279),YEAR(B279)*100+MONTH(B279),"")</f>
        <v/>
      </c>
      <c r="L279">
        <f>IF(ISNUMBER(B279),INT(B279),0)</f>
        <v/>
      </c>
    </row>
    <row r="280">
      <c r="A280" s="1" t="n"/>
      <c r="B280" s="17" t="n"/>
      <c r="C280" s="18" t="n"/>
      <c r="D280" s="19" t="n"/>
      <c r="E280" s="23" t="n"/>
      <c r="F280" s="21" t="n"/>
      <c r="G280" s="11">
        <f>IF(C280="","",IFERROR(INDEX(Crops!$D$6:$D$65,MATCH(C280,Crops!$B$6:$B$65,0))&amp;"",""))</f>
        <v/>
      </c>
      <c r="H280" s="12">
        <f>IF(OR(C280="",NOT(ISNUMBER(E280))),"",E280*N(IFERROR(INDEX(Crops!$E$6:$E$65,MATCH(C280,Crops!$B$6:$B$65,0)),0)))</f>
        <v/>
      </c>
      <c r="I280" s="11">
        <f>IF(AND(C280="",E280=""),"",IF(NOT(ISNUMBER(B280)),"Needs a date",IF(C280="","Needs a crop",IF(COUNTIF(Crops!$B$6:$B$65,C280)=0,"Not on Crops",IF(NOT(ISNUMBER(E280)),"Needs the amount",IF(AND(D280&lt;&gt;"",COUNTIF(Beds!$B$6:$B$35,D280)=0),"Not on Beds",""))))))</f>
        <v/>
      </c>
      <c r="J280" s="1">
        <f>IF(ISNUMBER(B280),YEAR(B280),"")</f>
        <v/>
      </c>
      <c r="K280">
        <f>IF(ISNUMBER(B280),YEAR(B280)*100+MONTH(B280),"")</f>
        <v/>
      </c>
      <c r="L280">
        <f>IF(ISNUMBER(B280),INT(B280),0)</f>
        <v/>
      </c>
    </row>
    <row r="281">
      <c r="A281" s="1" t="n"/>
      <c r="B281" s="17" t="n"/>
      <c r="C281" s="18" t="n"/>
      <c r="D281" s="19" t="n"/>
      <c r="E281" s="23" t="n"/>
      <c r="F281" s="21" t="n"/>
      <c r="G281" s="11">
        <f>IF(C281="","",IFERROR(INDEX(Crops!$D$6:$D$65,MATCH(C281,Crops!$B$6:$B$65,0))&amp;"",""))</f>
        <v/>
      </c>
      <c r="H281" s="12">
        <f>IF(OR(C281="",NOT(ISNUMBER(E281))),"",E281*N(IFERROR(INDEX(Crops!$E$6:$E$65,MATCH(C281,Crops!$B$6:$B$65,0)),0)))</f>
        <v/>
      </c>
      <c r="I281" s="11">
        <f>IF(AND(C281="",E281=""),"",IF(NOT(ISNUMBER(B281)),"Needs a date",IF(C281="","Needs a crop",IF(COUNTIF(Crops!$B$6:$B$65,C281)=0,"Not on Crops",IF(NOT(ISNUMBER(E281)),"Needs the amount",IF(AND(D281&lt;&gt;"",COUNTIF(Beds!$B$6:$B$35,D281)=0),"Not on Beds",""))))))</f>
        <v/>
      </c>
      <c r="J281" s="1">
        <f>IF(ISNUMBER(B281),YEAR(B281),"")</f>
        <v/>
      </c>
      <c r="K281">
        <f>IF(ISNUMBER(B281),YEAR(B281)*100+MONTH(B281),"")</f>
        <v/>
      </c>
      <c r="L281">
        <f>IF(ISNUMBER(B281),INT(B281),0)</f>
        <v/>
      </c>
    </row>
    <row r="282">
      <c r="A282" s="1" t="n"/>
      <c r="B282" s="17" t="n"/>
      <c r="C282" s="18" t="n"/>
      <c r="D282" s="19" t="n"/>
      <c r="E282" s="23" t="n"/>
      <c r="F282" s="21" t="n"/>
      <c r="G282" s="11">
        <f>IF(C282="","",IFERROR(INDEX(Crops!$D$6:$D$65,MATCH(C282,Crops!$B$6:$B$65,0))&amp;"",""))</f>
        <v/>
      </c>
      <c r="H282" s="12">
        <f>IF(OR(C282="",NOT(ISNUMBER(E282))),"",E282*N(IFERROR(INDEX(Crops!$E$6:$E$65,MATCH(C282,Crops!$B$6:$B$65,0)),0)))</f>
        <v/>
      </c>
      <c r="I282" s="11">
        <f>IF(AND(C282="",E282=""),"",IF(NOT(ISNUMBER(B282)),"Needs a date",IF(C282="","Needs a crop",IF(COUNTIF(Crops!$B$6:$B$65,C282)=0,"Not on Crops",IF(NOT(ISNUMBER(E282)),"Needs the amount",IF(AND(D282&lt;&gt;"",COUNTIF(Beds!$B$6:$B$35,D282)=0),"Not on Beds",""))))))</f>
        <v/>
      </c>
      <c r="J282" s="1">
        <f>IF(ISNUMBER(B282),YEAR(B282),"")</f>
        <v/>
      </c>
      <c r="K282">
        <f>IF(ISNUMBER(B282),YEAR(B282)*100+MONTH(B282),"")</f>
        <v/>
      </c>
      <c r="L282">
        <f>IF(ISNUMBER(B282),INT(B282),0)</f>
        <v/>
      </c>
    </row>
    <row r="283">
      <c r="A283" s="1" t="n"/>
      <c r="B283" s="17" t="n"/>
      <c r="C283" s="18" t="n"/>
      <c r="D283" s="19" t="n"/>
      <c r="E283" s="23" t="n"/>
      <c r="F283" s="21" t="n"/>
      <c r="G283" s="11">
        <f>IF(C283="","",IFERROR(INDEX(Crops!$D$6:$D$65,MATCH(C283,Crops!$B$6:$B$65,0))&amp;"",""))</f>
        <v/>
      </c>
      <c r="H283" s="12">
        <f>IF(OR(C283="",NOT(ISNUMBER(E283))),"",E283*N(IFERROR(INDEX(Crops!$E$6:$E$65,MATCH(C283,Crops!$B$6:$B$65,0)),0)))</f>
        <v/>
      </c>
      <c r="I283" s="11">
        <f>IF(AND(C283="",E283=""),"",IF(NOT(ISNUMBER(B283)),"Needs a date",IF(C283="","Needs a crop",IF(COUNTIF(Crops!$B$6:$B$65,C283)=0,"Not on Crops",IF(NOT(ISNUMBER(E283)),"Needs the amount",IF(AND(D283&lt;&gt;"",COUNTIF(Beds!$B$6:$B$35,D283)=0),"Not on Beds",""))))))</f>
        <v/>
      </c>
      <c r="J283" s="1">
        <f>IF(ISNUMBER(B283),YEAR(B283),"")</f>
        <v/>
      </c>
      <c r="K283">
        <f>IF(ISNUMBER(B283),YEAR(B283)*100+MONTH(B283),"")</f>
        <v/>
      </c>
      <c r="L283">
        <f>IF(ISNUMBER(B283),INT(B283),0)</f>
        <v/>
      </c>
    </row>
    <row r="284">
      <c r="A284" s="1" t="n"/>
      <c r="B284" s="17" t="n"/>
      <c r="C284" s="18" t="n"/>
      <c r="D284" s="19" t="n"/>
      <c r="E284" s="23" t="n"/>
      <c r="F284" s="21" t="n"/>
      <c r="G284" s="11">
        <f>IF(C284="","",IFERROR(INDEX(Crops!$D$6:$D$65,MATCH(C284,Crops!$B$6:$B$65,0))&amp;"",""))</f>
        <v/>
      </c>
      <c r="H284" s="12">
        <f>IF(OR(C284="",NOT(ISNUMBER(E284))),"",E284*N(IFERROR(INDEX(Crops!$E$6:$E$65,MATCH(C284,Crops!$B$6:$B$65,0)),0)))</f>
        <v/>
      </c>
      <c r="I284" s="11">
        <f>IF(AND(C284="",E284=""),"",IF(NOT(ISNUMBER(B284)),"Needs a date",IF(C284="","Needs a crop",IF(COUNTIF(Crops!$B$6:$B$65,C284)=0,"Not on Crops",IF(NOT(ISNUMBER(E284)),"Needs the amount",IF(AND(D284&lt;&gt;"",COUNTIF(Beds!$B$6:$B$35,D284)=0),"Not on Beds",""))))))</f>
        <v/>
      </c>
      <c r="J284" s="1">
        <f>IF(ISNUMBER(B284),YEAR(B284),"")</f>
        <v/>
      </c>
      <c r="K284">
        <f>IF(ISNUMBER(B284),YEAR(B284)*100+MONTH(B284),"")</f>
        <v/>
      </c>
      <c r="L284">
        <f>IF(ISNUMBER(B284),INT(B284),0)</f>
        <v/>
      </c>
    </row>
    <row r="285">
      <c r="A285" s="1" t="n"/>
      <c r="B285" s="17" t="n"/>
      <c r="C285" s="18" t="n"/>
      <c r="D285" s="19" t="n"/>
      <c r="E285" s="23" t="n"/>
      <c r="F285" s="21" t="n"/>
      <c r="G285" s="11">
        <f>IF(C285="","",IFERROR(INDEX(Crops!$D$6:$D$65,MATCH(C285,Crops!$B$6:$B$65,0))&amp;"",""))</f>
        <v/>
      </c>
      <c r="H285" s="12">
        <f>IF(OR(C285="",NOT(ISNUMBER(E285))),"",E285*N(IFERROR(INDEX(Crops!$E$6:$E$65,MATCH(C285,Crops!$B$6:$B$65,0)),0)))</f>
        <v/>
      </c>
      <c r="I285" s="11">
        <f>IF(AND(C285="",E285=""),"",IF(NOT(ISNUMBER(B285)),"Needs a date",IF(C285="","Needs a crop",IF(COUNTIF(Crops!$B$6:$B$65,C285)=0,"Not on Crops",IF(NOT(ISNUMBER(E285)),"Needs the amount",IF(AND(D285&lt;&gt;"",COUNTIF(Beds!$B$6:$B$35,D285)=0),"Not on Beds",""))))))</f>
        <v/>
      </c>
      <c r="J285" s="1">
        <f>IF(ISNUMBER(B285),YEAR(B285),"")</f>
        <v/>
      </c>
      <c r="K285">
        <f>IF(ISNUMBER(B285),YEAR(B285)*100+MONTH(B285),"")</f>
        <v/>
      </c>
      <c r="L285">
        <f>IF(ISNUMBER(B285),INT(B285),0)</f>
        <v/>
      </c>
    </row>
    <row r="286">
      <c r="A286" s="1" t="n"/>
      <c r="B286" s="17" t="n"/>
      <c r="C286" s="18" t="n"/>
      <c r="D286" s="19" t="n"/>
      <c r="E286" s="23" t="n"/>
      <c r="F286" s="21" t="n"/>
      <c r="G286" s="11">
        <f>IF(C286="","",IFERROR(INDEX(Crops!$D$6:$D$65,MATCH(C286,Crops!$B$6:$B$65,0))&amp;"",""))</f>
        <v/>
      </c>
      <c r="H286" s="12">
        <f>IF(OR(C286="",NOT(ISNUMBER(E286))),"",E286*N(IFERROR(INDEX(Crops!$E$6:$E$65,MATCH(C286,Crops!$B$6:$B$65,0)),0)))</f>
        <v/>
      </c>
      <c r="I286" s="11">
        <f>IF(AND(C286="",E286=""),"",IF(NOT(ISNUMBER(B286)),"Needs a date",IF(C286="","Needs a crop",IF(COUNTIF(Crops!$B$6:$B$65,C286)=0,"Not on Crops",IF(NOT(ISNUMBER(E286)),"Needs the amount",IF(AND(D286&lt;&gt;"",COUNTIF(Beds!$B$6:$B$35,D286)=0),"Not on Beds",""))))))</f>
        <v/>
      </c>
      <c r="J286" s="1">
        <f>IF(ISNUMBER(B286),YEAR(B286),"")</f>
        <v/>
      </c>
      <c r="K286">
        <f>IF(ISNUMBER(B286),YEAR(B286)*100+MONTH(B286),"")</f>
        <v/>
      </c>
      <c r="L286">
        <f>IF(ISNUMBER(B286),INT(B286),0)</f>
        <v/>
      </c>
    </row>
    <row r="287">
      <c r="A287" s="1" t="n"/>
      <c r="B287" s="17" t="n"/>
      <c r="C287" s="18" t="n"/>
      <c r="D287" s="19" t="n"/>
      <c r="E287" s="23" t="n"/>
      <c r="F287" s="21" t="n"/>
      <c r="G287" s="11">
        <f>IF(C287="","",IFERROR(INDEX(Crops!$D$6:$D$65,MATCH(C287,Crops!$B$6:$B$65,0))&amp;"",""))</f>
        <v/>
      </c>
      <c r="H287" s="12">
        <f>IF(OR(C287="",NOT(ISNUMBER(E287))),"",E287*N(IFERROR(INDEX(Crops!$E$6:$E$65,MATCH(C287,Crops!$B$6:$B$65,0)),0)))</f>
        <v/>
      </c>
      <c r="I287" s="11">
        <f>IF(AND(C287="",E287=""),"",IF(NOT(ISNUMBER(B287)),"Needs a date",IF(C287="","Needs a crop",IF(COUNTIF(Crops!$B$6:$B$65,C287)=0,"Not on Crops",IF(NOT(ISNUMBER(E287)),"Needs the amount",IF(AND(D287&lt;&gt;"",COUNTIF(Beds!$B$6:$B$35,D287)=0),"Not on Beds",""))))))</f>
        <v/>
      </c>
      <c r="J287" s="1">
        <f>IF(ISNUMBER(B287),YEAR(B287),"")</f>
        <v/>
      </c>
      <c r="K287">
        <f>IF(ISNUMBER(B287),YEAR(B287)*100+MONTH(B287),"")</f>
        <v/>
      </c>
      <c r="L287">
        <f>IF(ISNUMBER(B287),INT(B287),0)</f>
        <v/>
      </c>
    </row>
    <row r="288">
      <c r="A288" s="1" t="n"/>
      <c r="B288" s="17" t="n"/>
      <c r="C288" s="18" t="n"/>
      <c r="D288" s="19" t="n"/>
      <c r="E288" s="23" t="n"/>
      <c r="F288" s="21" t="n"/>
      <c r="G288" s="11">
        <f>IF(C288="","",IFERROR(INDEX(Crops!$D$6:$D$65,MATCH(C288,Crops!$B$6:$B$65,0))&amp;"",""))</f>
        <v/>
      </c>
      <c r="H288" s="12">
        <f>IF(OR(C288="",NOT(ISNUMBER(E288))),"",E288*N(IFERROR(INDEX(Crops!$E$6:$E$65,MATCH(C288,Crops!$B$6:$B$65,0)),0)))</f>
        <v/>
      </c>
      <c r="I288" s="11">
        <f>IF(AND(C288="",E288=""),"",IF(NOT(ISNUMBER(B288)),"Needs a date",IF(C288="","Needs a crop",IF(COUNTIF(Crops!$B$6:$B$65,C288)=0,"Not on Crops",IF(NOT(ISNUMBER(E288)),"Needs the amount",IF(AND(D288&lt;&gt;"",COUNTIF(Beds!$B$6:$B$35,D288)=0),"Not on Beds",""))))))</f>
        <v/>
      </c>
      <c r="J288" s="1">
        <f>IF(ISNUMBER(B288),YEAR(B288),"")</f>
        <v/>
      </c>
      <c r="K288">
        <f>IF(ISNUMBER(B288),YEAR(B288)*100+MONTH(B288),"")</f>
        <v/>
      </c>
      <c r="L288">
        <f>IF(ISNUMBER(B288),INT(B288),0)</f>
        <v/>
      </c>
    </row>
    <row r="289">
      <c r="A289" s="1" t="n"/>
      <c r="B289" s="17" t="n"/>
      <c r="C289" s="18" t="n"/>
      <c r="D289" s="19" t="n"/>
      <c r="E289" s="23" t="n"/>
      <c r="F289" s="21" t="n"/>
      <c r="G289" s="11">
        <f>IF(C289="","",IFERROR(INDEX(Crops!$D$6:$D$65,MATCH(C289,Crops!$B$6:$B$65,0))&amp;"",""))</f>
        <v/>
      </c>
      <c r="H289" s="12">
        <f>IF(OR(C289="",NOT(ISNUMBER(E289))),"",E289*N(IFERROR(INDEX(Crops!$E$6:$E$65,MATCH(C289,Crops!$B$6:$B$65,0)),0)))</f>
        <v/>
      </c>
      <c r="I289" s="11">
        <f>IF(AND(C289="",E289=""),"",IF(NOT(ISNUMBER(B289)),"Needs a date",IF(C289="","Needs a crop",IF(COUNTIF(Crops!$B$6:$B$65,C289)=0,"Not on Crops",IF(NOT(ISNUMBER(E289)),"Needs the amount",IF(AND(D289&lt;&gt;"",COUNTIF(Beds!$B$6:$B$35,D289)=0),"Not on Beds",""))))))</f>
        <v/>
      </c>
      <c r="J289" s="1">
        <f>IF(ISNUMBER(B289),YEAR(B289),"")</f>
        <v/>
      </c>
      <c r="K289">
        <f>IF(ISNUMBER(B289),YEAR(B289)*100+MONTH(B289),"")</f>
        <v/>
      </c>
      <c r="L289">
        <f>IF(ISNUMBER(B289),INT(B289),0)</f>
        <v/>
      </c>
    </row>
    <row r="290">
      <c r="A290" s="1" t="n"/>
      <c r="B290" s="17" t="n"/>
      <c r="C290" s="18" t="n"/>
      <c r="D290" s="19" t="n"/>
      <c r="E290" s="23" t="n"/>
      <c r="F290" s="21" t="n"/>
      <c r="G290" s="11">
        <f>IF(C290="","",IFERROR(INDEX(Crops!$D$6:$D$65,MATCH(C290,Crops!$B$6:$B$65,0))&amp;"",""))</f>
        <v/>
      </c>
      <c r="H290" s="12">
        <f>IF(OR(C290="",NOT(ISNUMBER(E290))),"",E290*N(IFERROR(INDEX(Crops!$E$6:$E$65,MATCH(C290,Crops!$B$6:$B$65,0)),0)))</f>
        <v/>
      </c>
      <c r="I290" s="11">
        <f>IF(AND(C290="",E290=""),"",IF(NOT(ISNUMBER(B290)),"Needs a date",IF(C290="","Needs a crop",IF(COUNTIF(Crops!$B$6:$B$65,C290)=0,"Not on Crops",IF(NOT(ISNUMBER(E290)),"Needs the amount",IF(AND(D290&lt;&gt;"",COUNTIF(Beds!$B$6:$B$35,D290)=0),"Not on Beds",""))))))</f>
        <v/>
      </c>
      <c r="J290" s="1">
        <f>IF(ISNUMBER(B290),YEAR(B290),"")</f>
        <v/>
      </c>
      <c r="K290">
        <f>IF(ISNUMBER(B290),YEAR(B290)*100+MONTH(B290),"")</f>
        <v/>
      </c>
      <c r="L290">
        <f>IF(ISNUMBER(B290),INT(B290),0)</f>
        <v/>
      </c>
    </row>
    <row r="291">
      <c r="A291" s="1" t="n"/>
      <c r="B291" s="17" t="n"/>
      <c r="C291" s="18" t="n"/>
      <c r="D291" s="19" t="n"/>
      <c r="E291" s="23" t="n"/>
      <c r="F291" s="21" t="n"/>
      <c r="G291" s="11">
        <f>IF(C291="","",IFERROR(INDEX(Crops!$D$6:$D$65,MATCH(C291,Crops!$B$6:$B$65,0))&amp;"",""))</f>
        <v/>
      </c>
      <c r="H291" s="12">
        <f>IF(OR(C291="",NOT(ISNUMBER(E291))),"",E291*N(IFERROR(INDEX(Crops!$E$6:$E$65,MATCH(C291,Crops!$B$6:$B$65,0)),0)))</f>
        <v/>
      </c>
      <c r="I291" s="11">
        <f>IF(AND(C291="",E291=""),"",IF(NOT(ISNUMBER(B291)),"Needs a date",IF(C291="","Needs a crop",IF(COUNTIF(Crops!$B$6:$B$65,C291)=0,"Not on Crops",IF(NOT(ISNUMBER(E291)),"Needs the amount",IF(AND(D291&lt;&gt;"",COUNTIF(Beds!$B$6:$B$35,D291)=0),"Not on Beds",""))))))</f>
        <v/>
      </c>
      <c r="J291" s="1">
        <f>IF(ISNUMBER(B291),YEAR(B291),"")</f>
        <v/>
      </c>
      <c r="K291">
        <f>IF(ISNUMBER(B291),YEAR(B291)*100+MONTH(B291),"")</f>
        <v/>
      </c>
      <c r="L291">
        <f>IF(ISNUMBER(B291),INT(B291),0)</f>
        <v/>
      </c>
    </row>
    <row r="292">
      <c r="A292" s="1" t="n"/>
      <c r="B292" s="17" t="n"/>
      <c r="C292" s="18" t="n"/>
      <c r="D292" s="19" t="n"/>
      <c r="E292" s="23" t="n"/>
      <c r="F292" s="21" t="n"/>
      <c r="G292" s="11">
        <f>IF(C292="","",IFERROR(INDEX(Crops!$D$6:$D$65,MATCH(C292,Crops!$B$6:$B$65,0))&amp;"",""))</f>
        <v/>
      </c>
      <c r="H292" s="12">
        <f>IF(OR(C292="",NOT(ISNUMBER(E292))),"",E292*N(IFERROR(INDEX(Crops!$E$6:$E$65,MATCH(C292,Crops!$B$6:$B$65,0)),0)))</f>
        <v/>
      </c>
      <c r="I292" s="11">
        <f>IF(AND(C292="",E292=""),"",IF(NOT(ISNUMBER(B292)),"Needs a date",IF(C292="","Needs a crop",IF(COUNTIF(Crops!$B$6:$B$65,C292)=0,"Not on Crops",IF(NOT(ISNUMBER(E292)),"Needs the amount",IF(AND(D292&lt;&gt;"",COUNTIF(Beds!$B$6:$B$35,D292)=0),"Not on Beds",""))))))</f>
        <v/>
      </c>
      <c r="J292" s="1">
        <f>IF(ISNUMBER(B292),YEAR(B292),"")</f>
        <v/>
      </c>
      <c r="K292">
        <f>IF(ISNUMBER(B292),YEAR(B292)*100+MONTH(B292),"")</f>
        <v/>
      </c>
      <c r="L292">
        <f>IF(ISNUMBER(B292),INT(B292),0)</f>
        <v/>
      </c>
    </row>
    <row r="293">
      <c r="A293" s="1" t="n"/>
      <c r="B293" s="17" t="n"/>
      <c r="C293" s="18" t="n"/>
      <c r="D293" s="19" t="n"/>
      <c r="E293" s="23" t="n"/>
      <c r="F293" s="21" t="n"/>
      <c r="G293" s="11">
        <f>IF(C293="","",IFERROR(INDEX(Crops!$D$6:$D$65,MATCH(C293,Crops!$B$6:$B$65,0))&amp;"",""))</f>
        <v/>
      </c>
      <c r="H293" s="12">
        <f>IF(OR(C293="",NOT(ISNUMBER(E293))),"",E293*N(IFERROR(INDEX(Crops!$E$6:$E$65,MATCH(C293,Crops!$B$6:$B$65,0)),0)))</f>
        <v/>
      </c>
      <c r="I293" s="11">
        <f>IF(AND(C293="",E293=""),"",IF(NOT(ISNUMBER(B293)),"Needs a date",IF(C293="","Needs a crop",IF(COUNTIF(Crops!$B$6:$B$65,C293)=0,"Not on Crops",IF(NOT(ISNUMBER(E293)),"Needs the amount",IF(AND(D293&lt;&gt;"",COUNTIF(Beds!$B$6:$B$35,D293)=0),"Not on Beds",""))))))</f>
        <v/>
      </c>
      <c r="J293" s="1">
        <f>IF(ISNUMBER(B293),YEAR(B293),"")</f>
        <v/>
      </c>
      <c r="K293">
        <f>IF(ISNUMBER(B293),YEAR(B293)*100+MONTH(B293),"")</f>
        <v/>
      </c>
      <c r="L293">
        <f>IF(ISNUMBER(B293),INT(B293),0)</f>
        <v/>
      </c>
    </row>
    <row r="294">
      <c r="A294" s="1" t="n"/>
      <c r="B294" s="17" t="n"/>
      <c r="C294" s="18" t="n"/>
      <c r="D294" s="19" t="n"/>
      <c r="E294" s="23" t="n"/>
      <c r="F294" s="21" t="n"/>
      <c r="G294" s="11">
        <f>IF(C294="","",IFERROR(INDEX(Crops!$D$6:$D$65,MATCH(C294,Crops!$B$6:$B$65,0))&amp;"",""))</f>
        <v/>
      </c>
      <c r="H294" s="12">
        <f>IF(OR(C294="",NOT(ISNUMBER(E294))),"",E294*N(IFERROR(INDEX(Crops!$E$6:$E$65,MATCH(C294,Crops!$B$6:$B$65,0)),0)))</f>
        <v/>
      </c>
      <c r="I294" s="11">
        <f>IF(AND(C294="",E294=""),"",IF(NOT(ISNUMBER(B294)),"Needs a date",IF(C294="","Needs a crop",IF(COUNTIF(Crops!$B$6:$B$65,C294)=0,"Not on Crops",IF(NOT(ISNUMBER(E294)),"Needs the amount",IF(AND(D294&lt;&gt;"",COUNTIF(Beds!$B$6:$B$35,D294)=0),"Not on Beds",""))))))</f>
        <v/>
      </c>
      <c r="J294" s="1">
        <f>IF(ISNUMBER(B294),YEAR(B294),"")</f>
        <v/>
      </c>
      <c r="K294">
        <f>IF(ISNUMBER(B294),YEAR(B294)*100+MONTH(B294),"")</f>
        <v/>
      </c>
      <c r="L294">
        <f>IF(ISNUMBER(B294),INT(B294),0)</f>
        <v/>
      </c>
    </row>
    <row r="295">
      <c r="A295" s="1" t="n"/>
      <c r="B295" s="17" t="n"/>
      <c r="C295" s="18" t="n"/>
      <c r="D295" s="19" t="n"/>
      <c r="E295" s="23" t="n"/>
      <c r="F295" s="21" t="n"/>
      <c r="G295" s="11">
        <f>IF(C295="","",IFERROR(INDEX(Crops!$D$6:$D$65,MATCH(C295,Crops!$B$6:$B$65,0))&amp;"",""))</f>
        <v/>
      </c>
      <c r="H295" s="12">
        <f>IF(OR(C295="",NOT(ISNUMBER(E295))),"",E295*N(IFERROR(INDEX(Crops!$E$6:$E$65,MATCH(C295,Crops!$B$6:$B$65,0)),0)))</f>
        <v/>
      </c>
      <c r="I295" s="11">
        <f>IF(AND(C295="",E295=""),"",IF(NOT(ISNUMBER(B295)),"Needs a date",IF(C295="","Needs a crop",IF(COUNTIF(Crops!$B$6:$B$65,C295)=0,"Not on Crops",IF(NOT(ISNUMBER(E295)),"Needs the amount",IF(AND(D295&lt;&gt;"",COUNTIF(Beds!$B$6:$B$35,D295)=0),"Not on Beds",""))))))</f>
        <v/>
      </c>
      <c r="J295" s="1">
        <f>IF(ISNUMBER(B295),YEAR(B295),"")</f>
        <v/>
      </c>
      <c r="K295">
        <f>IF(ISNUMBER(B295),YEAR(B295)*100+MONTH(B295),"")</f>
        <v/>
      </c>
      <c r="L295">
        <f>IF(ISNUMBER(B295),INT(B295),0)</f>
        <v/>
      </c>
    </row>
    <row r="296">
      <c r="A296" s="1" t="n"/>
      <c r="B296" s="17" t="n"/>
      <c r="C296" s="18" t="n"/>
      <c r="D296" s="19" t="n"/>
      <c r="E296" s="23" t="n"/>
      <c r="F296" s="21" t="n"/>
      <c r="G296" s="11">
        <f>IF(C296="","",IFERROR(INDEX(Crops!$D$6:$D$65,MATCH(C296,Crops!$B$6:$B$65,0))&amp;"",""))</f>
        <v/>
      </c>
      <c r="H296" s="12">
        <f>IF(OR(C296="",NOT(ISNUMBER(E296))),"",E296*N(IFERROR(INDEX(Crops!$E$6:$E$65,MATCH(C296,Crops!$B$6:$B$65,0)),0)))</f>
        <v/>
      </c>
      <c r="I296" s="11">
        <f>IF(AND(C296="",E296=""),"",IF(NOT(ISNUMBER(B296)),"Needs a date",IF(C296="","Needs a crop",IF(COUNTIF(Crops!$B$6:$B$65,C296)=0,"Not on Crops",IF(NOT(ISNUMBER(E296)),"Needs the amount",IF(AND(D296&lt;&gt;"",COUNTIF(Beds!$B$6:$B$35,D296)=0),"Not on Beds",""))))))</f>
        <v/>
      </c>
      <c r="J296" s="1">
        <f>IF(ISNUMBER(B296),YEAR(B296),"")</f>
        <v/>
      </c>
      <c r="K296">
        <f>IF(ISNUMBER(B296),YEAR(B296)*100+MONTH(B296),"")</f>
        <v/>
      </c>
      <c r="L296">
        <f>IF(ISNUMBER(B296),INT(B296),0)</f>
        <v/>
      </c>
    </row>
    <row r="297">
      <c r="A297" s="1" t="n"/>
      <c r="B297" s="17" t="n"/>
      <c r="C297" s="18" t="n"/>
      <c r="D297" s="19" t="n"/>
      <c r="E297" s="23" t="n"/>
      <c r="F297" s="21" t="n"/>
      <c r="G297" s="11">
        <f>IF(C297="","",IFERROR(INDEX(Crops!$D$6:$D$65,MATCH(C297,Crops!$B$6:$B$65,0))&amp;"",""))</f>
        <v/>
      </c>
      <c r="H297" s="12">
        <f>IF(OR(C297="",NOT(ISNUMBER(E297))),"",E297*N(IFERROR(INDEX(Crops!$E$6:$E$65,MATCH(C297,Crops!$B$6:$B$65,0)),0)))</f>
        <v/>
      </c>
      <c r="I297" s="11">
        <f>IF(AND(C297="",E297=""),"",IF(NOT(ISNUMBER(B297)),"Needs a date",IF(C297="","Needs a crop",IF(COUNTIF(Crops!$B$6:$B$65,C297)=0,"Not on Crops",IF(NOT(ISNUMBER(E297)),"Needs the amount",IF(AND(D297&lt;&gt;"",COUNTIF(Beds!$B$6:$B$35,D297)=0),"Not on Beds",""))))))</f>
        <v/>
      </c>
      <c r="J297" s="1">
        <f>IF(ISNUMBER(B297),YEAR(B297),"")</f>
        <v/>
      </c>
      <c r="K297">
        <f>IF(ISNUMBER(B297),YEAR(B297)*100+MONTH(B297),"")</f>
        <v/>
      </c>
      <c r="L297">
        <f>IF(ISNUMBER(B297),INT(B297),0)</f>
        <v/>
      </c>
    </row>
    <row r="298">
      <c r="A298" s="1" t="n"/>
      <c r="B298" s="17" t="n"/>
      <c r="C298" s="18" t="n"/>
      <c r="D298" s="19" t="n"/>
      <c r="E298" s="23" t="n"/>
      <c r="F298" s="21" t="n"/>
      <c r="G298" s="11">
        <f>IF(C298="","",IFERROR(INDEX(Crops!$D$6:$D$65,MATCH(C298,Crops!$B$6:$B$65,0))&amp;"",""))</f>
        <v/>
      </c>
      <c r="H298" s="12">
        <f>IF(OR(C298="",NOT(ISNUMBER(E298))),"",E298*N(IFERROR(INDEX(Crops!$E$6:$E$65,MATCH(C298,Crops!$B$6:$B$65,0)),0)))</f>
        <v/>
      </c>
      <c r="I298" s="11">
        <f>IF(AND(C298="",E298=""),"",IF(NOT(ISNUMBER(B298)),"Needs a date",IF(C298="","Needs a crop",IF(COUNTIF(Crops!$B$6:$B$65,C298)=0,"Not on Crops",IF(NOT(ISNUMBER(E298)),"Needs the amount",IF(AND(D298&lt;&gt;"",COUNTIF(Beds!$B$6:$B$35,D298)=0),"Not on Beds",""))))))</f>
        <v/>
      </c>
      <c r="J298" s="1">
        <f>IF(ISNUMBER(B298),YEAR(B298),"")</f>
        <v/>
      </c>
      <c r="K298">
        <f>IF(ISNUMBER(B298),YEAR(B298)*100+MONTH(B298),"")</f>
        <v/>
      </c>
      <c r="L298">
        <f>IF(ISNUMBER(B298),INT(B298),0)</f>
        <v/>
      </c>
    </row>
    <row r="299">
      <c r="A299" s="1" t="n"/>
      <c r="B299" s="17" t="n"/>
      <c r="C299" s="18" t="n"/>
      <c r="D299" s="19" t="n"/>
      <c r="E299" s="23" t="n"/>
      <c r="F299" s="21" t="n"/>
      <c r="G299" s="11">
        <f>IF(C299="","",IFERROR(INDEX(Crops!$D$6:$D$65,MATCH(C299,Crops!$B$6:$B$65,0))&amp;"",""))</f>
        <v/>
      </c>
      <c r="H299" s="12">
        <f>IF(OR(C299="",NOT(ISNUMBER(E299))),"",E299*N(IFERROR(INDEX(Crops!$E$6:$E$65,MATCH(C299,Crops!$B$6:$B$65,0)),0)))</f>
        <v/>
      </c>
      <c r="I299" s="11">
        <f>IF(AND(C299="",E299=""),"",IF(NOT(ISNUMBER(B299)),"Needs a date",IF(C299="","Needs a crop",IF(COUNTIF(Crops!$B$6:$B$65,C299)=0,"Not on Crops",IF(NOT(ISNUMBER(E299)),"Needs the amount",IF(AND(D299&lt;&gt;"",COUNTIF(Beds!$B$6:$B$35,D299)=0),"Not on Beds",""))))))</f>
        <v/>
      </c>
      <c r="J299" s="1">
        <f>IF(ISNUMBER(B299),YEAR(B299),"")</f>
        <v/>
      </c>
      <c r="K299">
        <f>IF(ISNUMBER(B299),YEAR(B299)*100+MONTH(B299),"")</f>
        <v/>
      </c>
      <c r="L299">
        <f>IF(ISNUMBER(B299),INT(B299),0)</f>
        <v/>
      </c>
    </row>
    <row r="300">
      <c r="A300" s="1" t="n"/>
      <c r="B300" s="17" t="n"/>
      <c r="C300" s="18" t="n"/>
      <c r="D300" s="19" t="n"/>
      <c r="E300" s="23" t="n"/>
      <c r="F300" s="21" t="n"/>
      <c r="G300" s="11">
        <f>IF(C300="","",IFERROR(INDEX(Crops!$D$6:$D$65,MATCH(C300,Crops!$B$6:$B$65,0))&amp;"",""))</f>
        <v/>
      </c>
      <c r="H300" s="12">
        <f>IF(OR(C300="",NOT(ISNUMBER(E300))),"",E300*N(IFERROR(INDEX(Crops!$E$6:$E$65,MATCH(C300,Crops!$B$6:$B$65,0)),0)))</f>
        <v/>
      </c>
      <c r="I300" s="11">
        <f>IF(AND(C300="",E300=""),"",IF(NOT(ISNUMBER(B300)),"Needs a date",IF(C300="","Needs a crop",IF(COUNTIF(Crops!$B$6:$B$65,C300)=0,"Not on Crops",IF(NOT(ISNUMBER(E300)),"Needs the amount",IF(AND(D300&lt;&gt;"",COUNTIF(Beds!$B$6:$B$35,D300)=0),"Not on Beds",""))))))</f>
        <v/>
      </c>
      <c r="J300" s="1">
        <f>IF(ISNUMBER(B300),YEAR(B300),"")</f>
        <v/>
      </c>
      <c r="K300">
        <f>IF(ISNUMBER(B300),YEAR(B300)*100+MONTH(B300),"")</f>
        <v/>
      </c>
      <c r="L300">
        <f>IF(ISNUMBER(B300),INT(B300),0)</f>
        <v/>
      </c>
    </row>
    <row r="301">
      <c r="A301" s="1" t="n"/>
      <c r="B301" s="17" t="n"/>
      <c r="C301" s="18" t="n"/>
      <c r="D301" s="19" t="n"/>
      <c r="E301" s="23" t="n"/>
      <c r="F301" s="21" t="n"/>
      <c r="G301" s="11">
        <f>IF(C301="","",IFERROR(INDEX(Crops!$D$6:$D$65,MATCH(C301,Crops!$B$6:$B$65,0))&amp;"",""))</f>
        <v/>
      </c>
      <c r="H301" s="12">
        <f>IF(OR(C301="",NOT(ISNUMBER(E301))),"",E301*N(IFERROR(INDEX(Crops!$E$6:$E$65,MATCH(C301,Crops!$B$6:$B$65,0)),0)))</f>
        <v/>
      </c>
      <c r="I301" s="11">
        <f>IF(AND(C301="",E301=""),"",IF(NOT(ISNUMBER(B301)),"Needs a date",IF(C301="","Needs a crop",IF(COUNTIF(Crops!$B$6:$B$65,C301)=0,"Not on Crops",IF(NOT(ISNUMBER(E301)),"Needs the amount",IF(AND(D301&lt;&gt;"",COUNTIF(Beds!$B$6:$B$35,D301)=0),"Not on Beds",""))))))</f>
        <v/>
      </c>
      <c r="J301" s="1">
        <f>IF(ISNUMBER(B301),YEAR(B301),"")</f>
        <v/>
      </c>
      <c r="K301">
        <f>IF(ISNUMBER(B301),YEAR(B301)*100+MONTH(B301),"")</f>
        <v/>
      </c>
      <c r="L301">
        <f>IF(ISNUMBER(B301),INT(B301),0)</f>
        <v/>
      </c>
    </row>
    <row r="302">
      <c r="A302" s="1" t="n"/>
      <c r="B302" s="17" t="n"/>
      <c r="C302" s="18" t="n"/>
      <c r="D302" s="19" t="n"/>
      <c r="E302" s="23" t="n"/>
      <c r="F302" s="21" t="n"/>
      <c r="G302" s="11">
        <f>IF(C302="","",IFERROR(INDEX(Crops!$D$6:$D$65,MATCH(C302,Crops!$B$6:$B$65,0))&amp;"",""))</f>
        <v/>
      </c>
      <c r="H302" s="12">
        <f>IF(OR(C302="",NOT(ISNUMBER(E302))),"",E302*N(IFERROR(INDEX(Crops!$E$6:$E$65,MATCH(C302,Crops!$B$6:$B$65,0)),0)))</f>
        <v/>
      </c>
      <c r="I302" s="11">
        <f>IF(AND(C302="",E302=""),"",IF(NOT(ISNUMBER(B302)),"Needs a date",IF(C302="","Needs a crop",IF(COUNTIF(Crops!$B$6:$B$65,C302)=0,"Not on Crops",IF(NOT(ISNUMBER(E302)),"Needs the amount",IF(AND(D302&lt;&gt;"",COUNTIF(Beds!$B$6:$B$35,D302)=0),"Not on Beds",""))))))</f>
        <v/>
      </c>
      <c r="J302" s="1">
        <f>IF(ISNUMBER(B302),YEAR(B302),"")</f>
        <v/>
      </c>
      <c r="K302">
        <f>IF(ISNUMBER(B302),YEAR(B302)*100+MONTH(B302),"")</f>
        <v/>
      </c>
      <c r="L302">
        <f>IF(ISNUMBER(B302),INT(B302),0)</f>
        <v/>
      </c>
    </row>
    <row r="303">
      <c r="A303" s="1" t="n"/>
      <c r="B303" s="17" t="n"/>
      <c r="C303" s="18" t="n"/>
      <c r="D303" s="19" t="n"/>
      <c r="E303" s="23" t="n"/>
      <c r="F303" s="21" t="n"/>
      <c r="G303" s="11">
        <f>IF(C303="","",IFERROR(INDEX(Crops!$D$6:$D$65,MATCH(C303,Crops!$B$6:$B$65,0))&amp;"",""))</f>
        <v/>
      </c>
      <c r="H303" s="12">
        <f>IF(OR(C303="",NOT(ISNUMBER(E303))),"",E303*N(IFERROR(INDEX(Crops!$E$6:$E$65,MATCH(C303,Crops!$B$6:$B$65,0)),0)))</f>
        <v/>
      </c>
      <c r="I303" s="11">
        <f>IF(AND(C303="",E303=""),"",IF(NOT(ISNUMBER(B303)),"Needs a date",IF(C303="","Needs a crop",IF(COUNTIF(Crops!$B$6:$B$65,C303)=0,"Not on Crops",IF(NOT(ISNUMBER(E303)),"Needs the amount",IF(AND(D303&lt;&gt;"",COUNTIF(Beds!$B$6:$B$35,D303)=0),"Not on Beds",""))))))</f>
        <v/>
      </c>
      <c r="J303" s="1">
        <f>IF(ISNUMBER(B303),YEAR(B303),"")</f>
        <v/>
      </c>
      <c r="K303">
        <f>IF(ISNUMBER(B303),YEAR(B303)*100+MONTH(B303),"")</f>
        <v/>
      </c>
      <c r="L303">
        <f>IF(ISNUMBER(B303),INT(B303),0)</f>
        <v/>
      </c>
    </row>
    <row r="304">
      <c r="A304" s="1" t="n"/>
      <c r="B304" s="17" t="n"/>
      <c r="C304" s="18" t="n"/>
      <c r="D304" s="19" t="n"/>
      <c r="E304" s="23" t="n"/>
      <c r="F304" s="21" t="n"/>
      <c r="G304" s="11">
        <f>IF(C304="","",IFERROR(INDEX(Crops!$D$6:$D$65,MATCH(C304,Crops!$B$6:$B$65,0))&amp;"",""))</f>
        <v/>
      </c>
      <c r="H304" s="12">
        <f>IF(OR(C304="",NOT(ISNUMBER(E304))),"",E304*N(IFERROR(INDEX(Crops!$E$6:$E$65,MATCH(C304,Crops!$B$6:$B$65,0)),0)))</f>
        <v/>
      </c>
      <c r="I304" s="11">
        <f>IF(AND(C304="",E304=""),"",IF(NOT(ISNUMBER(B304)),"Needs a date",IF(C304="","Needs a crop",IF(COUNTIF(Crops!$B$6:$B$65,C304)=0,"Not on Crops",IF(NOT(ISNUMBER(E304)),"Needs the amount",IF(AND(D304&lt;&gt;"",COUNTIF(Beds!$B$6:$B$35,D304)=0),"Not on Beds",""))))))</f>
        <v/>
      </c>
      <c r="J304" s="1">
        <f>IF(ISNUMBER(B304),YEAR(B304),"")</f>
        <v/>
      </c>
      <c r="K304">
        <f>IF(ISNUMBER(B304),YEAR(B304)*100+MONTH(B304),"")</f>
        <v/>
      </c>
      <c r="L304">
        <f>IF(ISNUMBER(B304),INT(B304),0)</f>
        <v/>
      </c>
    </row>
    <row r="305">
      <c r="A305" s="1" t="n"/>
      <c r="B305" s="17" t="n"/>
      <c r="C305" s="18" t="n"/>
      <c r="D305" s="19" t="n"/>
      <c r="E305" s="23" t="n"/>
      <c r="F305" s="21" t="n"/>
      <c r="G305" s="11">
        <f>IF(C305="","",IFERROR(INDEX(Crops!$D$6:$D$65,MATCH(C305,Crops!$B$6:$B$65,0))&amp;"",""))</f>
        <v/>
      </c>
      <c r="H305" s="12">
        <f>IF(OR(C305="",NOT(ISNUMBER(E305))),"",E305*N(IFERROR(INDEX(Crops!$E$6:$E$65,MATCH(C305,Crops!$B$6:$B$65,0)),0)))</f>
        <v/>
      </c>
      <c r="I305" s="11">
        <f>IF(AND(C305="",E305=""),"",IF(NOT(ISNUMBER(B305)),"Needs a date",IF(C305="","Needs a crop",IF(COUNTIF(Crops!$B$6:$B$65,C305)=0,"Not on Crops",IF(NOT(ISNUMBER(E305)),"Needs the amount",IF(AND(D305&lt;&gt;"",COUNTIF(Beds!$B$6:$B$35,D305)=0),"Not on Beds",""))))))</f>
        <v/>
      </c>
      <c r="J305" s="1">
        <f>IF(ISNUMBER(B305),YEAR(B305),"")</f>
        <v/>
      </c>
      <c r="K305">
        <f>IF(ISNUMBER(B305),YEAR(B305)*100+MONTH(B305),"")</f>
        <v/>
      </c>
      <c r="L305">
        <f>IF(ISNUMBER(B305),INT(B305),0)</f>
        <v/>
      </c>
    </row>
    <row r="306">
      <c r="A306" s="1" t="n"/>
      <c r="B306" s="17" t="n"/>
      <c r="C306" s="18" t="n"/>
      <c r="D306" s="19" t="n"/>
      <c r="E306" s="23" t="n"/>
      <c r="F306" s="21" t="n"/>
      <c r="G306" s="11">
        <f>IF(C306="","",IFERROR(INDEX(Crops!$D$6:$D$65,MATCH(C306,Crops!$B$6:$B$65,0))&amp;"",""))</f>
        <v/>
      </c>
      <c r="H306" s="12">
        <f>IF(OR(C306="",NOT(ISNUMBER(E306))),"",E306*N(IFERROR(INDEX(Crops!$E$6:$E$65,MATCH(C306,Crops!$B$6:$B$65,0)),0)))</f>
        <v/>
      </c>
      <c r="I306" s="11">
        <f>IF(AND(C306="",E306=""),"",IF(NOT(ISNUMBER(B306)),"Needs a date",IF(C306="","Needs a crop",IF(COUNTIF(Crops!$B$6:$B$65,C306)=0,"Not on Crops",IF(NOT(ISNUMBER(E306)),"Needs the amount",IF(AND(D306&lt;&gt;"",COUNTIF(Beds!$B$6:$B$35,D306)=0),"Not on Beds",""))))))</f>
        <v/>
      </c>
      <c r="J306" s="1">
        <f>IF(ISNUMBER(B306),YEAR(B306),"")</f>
        <v/>
      </c>
      <c r="K306">
        <f>IF(ISNUMBER(B306),YEAR(B306)*100+MONTH(B306),"")</f>
        <v/>
      </c>
      <c r="L306">
        <f>IF(ISNUMBER(B306),INT(B306),0)</f>
        <v/>
      </c>
    </row>
    <row r="307">
      <c r="A307" s="1" t="n"/>
      <c r="B307" s="17" t="n"/>
      <c r="C307" s="18" t="n"/>
      <c r="D307" s="19" t="n"/>
      <c r="E307" s="23" t="n"/>
      <c r="F307" s="21" t="n"/>
      <c r="G307" s="11">
        <f>IF(C307="","",IFERROR(INDEX(Crops!$D$6:$D$65,MATCH(C307,Crops!$B$6:$B$65,0))&amp;"",""))</f>
        <v/>
      </c>
      <c r="H307" s="12">
        <f>IF(OR(C307="",NOT(ISNUMBER(E307))),"",E307*N(IFERROR(INDEX(Crops!$E$6:$E$65,MATCH(C307,Crops!$B$6:$B$65,0)),0)))</f>
        <v/>
      </c>
      <c r="I307" s="11">
        <f>IF(AND(C307="",E307=""),"",IF(NOT(ISNUMBER(B307)),"Needs a date",IF(C307="","Needs a crop",IF(COUNTIF(Crops!$B$6:$B$65,C307)=0,"Not on Crops",IF(NOT(ISNUMBER(E307)),"Needs the amount",IF(AND(D307&lt;&gt;"",COUNTIF(Beds!$B$6:$B$35,D307)=0),"Not on Beds",""))))))</f>
        <v/>
      </c>
      <c r="J307" s="1">
        <f>IF(ISNUMBER(B307),YEAR(B307),"")</f>
        <v/>
      </c>
      <c r="K307">
        <f>IF(ISNUMBER(B307),YEAR(B307)*100+MONTH(B307),"")</f>
        <v/>
      </c>
      <c r="L307">
        <f>IF(ISNUMBER(B307),INT(B307),0)</f>
        <v/>
      </c>
    </row>
    <row r="308">
      <c r="A308" s="1" t="n"/>
      <c r="B308" s="17" t="n"/>
      <c r="C308" s="18" t="n"/>
      <c r="D308" s="19" t="n"/>
      <c r="E308" s="23" t="n"/>
      <c r="F308" s="21" t="n"/>
      <c r="G308" s="11">
        <f>IF(C308="","",IFERROR(INDEX(Crops!$D$6:$D$65,MATCH(C308,Crops!$B$6:$B$65,0))&amp;"",""))</f>
        <v/>
      </c>
      <c r="H308" s="12">
        <f>IF(OR(C308="",NOT(ISNUMBER(E308))),"",E308*N(IFERROR(INDEX(Crops!$E$6:$E$65,MATCH(C308,Crops!$B$6:$B$65,0)),0)))</f>
        <v/>
      </c>
      <c r="I308" s="11">
        <f>IF(AND(C308="",E308=""),"",IF(NOT(ISNUMBER(B308)),"Needs a date",IF(C308="","Needs a crop",IF(COUNTIF(Crops!$B$6:$B$65,C308)=0,"Not on Crops",IF(NOT(ISNUMBER(E308)),"Needs the amount",IF(AND(D308&lt;&gt;"",COUNTIF(Beds!$B$6:$B$35,D308)=0),"Not on Beds",""))))))</f>
        <v/>
      </c>
      <c r="J308" s="1">
        <f>IF(ISNUMBER(B308),YEAR(B308),"")</f>
        <v/>
      </c>
      <c r="K308">
        <f>IF(ISNUMBER(B308),YEAR(B308)*100+MONTH(B308),"")</f>
        <v/>
      </c>
      <c r="L308">
        <f>IF(ISNUMBER(B308),INT(B308),0)</f>
        <v/>
      </c>
    </row>
    <row r="309">
      <c r="A309" s="1" t="n"/>
      <c r="B309" s="17" t="n"/>
      <c r="C309" s="18" t="n"/>
      <c r="D309" s="19" t="n"/>
      <c r="E309" s="23" t="n"/>
      <c r="F309" s="21" t="n"/>
      <c r="G309" s="11">
        <f>IF(C309="","",IFERROR(INDEX(Crops!$D$6:$D$65,MATCH(C309,Crops!$B$6:$B$65,0))&amp;"",""))</f>
        <v/>
      </c>
      <c r="H309" s="12">
        <f>IF(OR(C309="",NOT(ISNUMBER(E309))),"",E309*N(IFERROR(INDEX(Crops!$E$6:$E$65,MATCH(C309,Crops!$B$6:$B$65,0)),0)))</f>
        <v/>
      </c>
      <c r="I309" s="11">
        <f>IF(AND(C309="",E309=""),"",IF(NOT(ISNUMBER(B309)),"Needs a date",IF(C309="","Needs a crop",IF(COUNTIF(Crops!$B$6:$B$65,C309)=0,"Not on Crops",IF(NOT(ISNUMBER(E309)),"Needs the amount",IF(AND(D309&lt;&gt;"",COUNTIF(Beds!$B$6:$B$35,D309)=0),"Not on Beds",""))))))</f>
        <v/>
      </c>
      <c r="J309" s="1">
        <f>IF(ISNUMBER(B309),YEAR(B309),"")</f>
        <v/>
      </c>
      <c r="K309">
        <f>IF(ISNUMBER(B309),YEAR(B309)*100+MONTH(B309),"")</f>
        <v/>
      </c>
      <c r="L309">
        <f>IF(ISNUMBER(B309),INT(B309),0)</f>
        <v/>
      </c>
    </row>
    <row r="310">
      <c r="A310" s="1" t="n"/>
      <c r="B310" s="17" t="n"/>
      <c r="C310" s="18" t="n"/>
      <c r="D310" s="19" t="n"/>
      <c r="E310" s="23" t="n"/>
      <c r="F310" s="21" t="n"/>
      <c r="G310" s="11">
        <f>IF(C310="","",IFERROR(INDEX(Crops!$D$6:$D$65,MATCH(C310,Crops!$B$6:$B$65,0))&amp;"",""))</f>
        <v/>
      </c>
      <c r="H310" s="12">
        <f>IF(OR(C310="",NOT(ISNUMBER(E310))),"",E310*N(IFERROR(INDEX(Crops!$E$6:$E$65,MATCH(C310,Crops!$B$6:$B$65,0)),0)))</f>
        <v/>
      </c>
      <c r="I310" s="11">
        <f>IF(AND(C310="",E310=""),"",IF(NOT(ISNUMBER(B310)),"Needs a date",IF(C310="","Needs a crop",IF(COUNTIF(Crops!$B$6:$B$65,C310)=0,"Not on Crops",IF(NOT(ISNUMBER(E310)),"Needs the amount",IF(AND(D310&lt;&gt;"",COUNTIF(Beds!$B$6:$B$35,D310)=0),"Not on Beds",""))))))</f>
        <v/>
      </c>
      <c r="J310" s="1">
        <f>IF(ISNUMBER(B310),YEAR(B310),"")</f>
        <v/>
      </c>
      <c r="K310">
        <f>IF(ISNUMBER(B310),YEAR(B310)*100+MONTH(B310),"")</f>
        <v/>
      </c>
      <c r="L310">
        <f>IF(ISNUMBER(B310),INT(B310),0)</f>
        <v/>
      </c>
    </row>
    <row r="311">
      <c r="A311" s="1" t="n"/>
      <c r="B311" s="17" t="n"/>
      <c r="C311" s="18" t="n"/>
      <c r="D311" s="19" t="n"/>
      <c r="E311" s="23" t="n"/>
      <c r="F311" s="21" t="n"/>
      <c r="G311" s="11">
        <f>IF(C311="","",IFERROR(INDEX(Crops!$D$6:$D$65,MATCH(C311,Crops!$B$6:$B$65,0))&amp;"",""))</f>
        <v/>
      </c>
      <c r="H311" s="12">
        <f>IF(OR(C311="",NOT(ISNUMBER(E311))),"",E311*N(IFERROR(INDEX(Crops!$E$6:$E$65,MATCH(C311,Crops!$B$6:$B$65,0)),0)))</f>
        <v/>
      </c>
      <c r="I311" s="11">
        <f>IF(AND(C311="",E311=""),"",IF(NOT(ISNUMBER(B311)),"Needs a date",IF(C311="","Needs a crop",IF(COUNTIF(Crops!$B$6:$B$65,C311)=0,"Not on Crops",IF(NOT(ISNUMBER(E311)),"Needs the amount",IF(AND(D311&lt;&gt;"",COUNTIF(Beds!$B$6:$B$35,D311)=0),"Not on Beds",""))))))</f>
        <v/>
      </c>
      <c r="J311" s="1">
        <f>IF(ISNUMBER(B311),YEAR(B311),"")</f>
        <v/>
      </c>
      <c r="K311">
        <f>IF(ISNUMBER(B311),YEAR(B311)*100+MONTH(B311),"")</f>
        <v/>
      </c>
      <c r="L311">
        <f>IF(ISNUMBER(B311),INT(B311),0)</f>
        <v/>
      </c>
    </row>
    <row r="312">
      <c r="A312" s="1" t="n"/>
      <c r="B312" s="17" t="n"/>
      <c r="C312" s="18" t="n"/>
      <c r="D312" s="19" t="n"/>
      <c r="E312" s="23" t="n"/>
      <c r="F312" s="21" t="n"/>
      <c r="G312" s="11">
        <f>IF(C312="","",IFERROR(INDEX(Crops!$D$6:$D$65,MATCH(C312,Crops!$B$6:$B$65,0))&amp;"",""))</f>
        <v/>
      </c>
      <c r="H312" s="12">
        <f>IF(OR(C312="",NOT(ISNUMBER(E312))),"",E312*N(IFERROR(INDEX(Crops!$E$6:$E$65,MATCH(C312,Crops!$B$6:$B$65,0)),0)))</f>
        <v/>
      </c>
      <c r="I312" s="11">
        <f>IF(AND(C312="",E312=""),"",IF(NOT(ISNUMBER(B312)),"Needs a date",IF(C312="","Needs a crop",IF(COUNTIF(Crops!$B$6:$B$65,C312)=0,"Not on Crops",IF(NOT(ISNUMBER(E312)),"Needs the amount",IF(AND(D312&lt;&gt;"",COUNTIF(Beds!$B$6:$B$35,D312)=0),"Not on Beds",""))))))</f>
        <v/>
      </c>
      <c r="J312" s="1">
        <f>IF(ISNUMBER(B312),YEAR(B312),"")</f>
        <v/>
      </c>
      <c r="K312">
        <f>IF(ISNUMBER(B312),YEAR(B312)*100+MONTH(B312),"")</f>
        <v/>
      </c>
      <c r="L312">
        <f>IF(ISNUMBER(B312),INT(B312),0)</f>
        <v/>
      </c>
    </row>
    <row r="313">
      <c r="A313" s="1" t="n"/>
      <c r="B313" s="17" t="n"/>
      <c r="C313" s="18" t="n"/>
      <c r="D313" s="19" t="n"/>
      <c r="E313" s="23" t="n"/>
      <c r="F313" s="21" t="n"/>
      <c r="G313" s="11">
        <f>IF(C313="","",IFERROR(INDEX(Crops!$D$6:$D$65,MATCH(C313,Crops!$B$6:$B$65,0))&amp;"",""))</f>
        <v/>
      </c>
      <c r="H313" s="12">
        <f>IF(OR(C313="",NOT(ISNUMBER(E313))),"",E313*N(IFERROR(INDEX(Crops!$E$6:$E$65,MATCH(C313,Crops!$B$6:$B$65,0)),0)))</f>
        <v/>
      </c>
      <c r="I313" s="11">
        <f>IF(AND(C313="",E313=""),"",IF(NOT(ISNUMBER(B313)),"Needs a date",IF(C313="","Needs a crop",IF(COUNTIF(Crops!$B$6:$B$65,C313)=0,"Not on Crops",IF(NOT(ISNUMBER(E313)),"Needs the amount",IF(AND(D313&lt;&gt;"",COUNTIF(Beds!$B$6:$B$35,D313)=0),"Not on Beds",""))))))</f>
        <v/>
      </c>
      <c r="J313" s="1">
        <f>IF(ISNUMBER(B313),YEAR(B313),"")</f>
        <v/>
      </c>
      <c r="K313">
        <f>IF(ISNUMBER(B313),YEAR(B313)*100+MONTH(B313),"")</f>
        <v/>
      </c>
      <c r="L313">
        <f>IF(ISNUMBER(B313),INT(B313),0)</f>
        <v/>
      </c>
    </row>
    <row r="314">
      <c r="A314" s="1" t="n"/>
      <c r="B314" s="17" t="n"/>
      <c r="C314" s="18" t="n"/>
      <c r="D314" s="19" t="n"/>
      <c r="E314" s="23" t="n"/>
      <c r="F314" s="21" t="n"/>
      <c r="G314" s="11">
        <f>IF(C314="","",IFERROR(INDEX(Crops!$D$6:$D$65,MATCH(C314,Crops!$B$6:$B$65,0))&amp;"",""))</f>
        <v/>
      </c>
      <c r="H314" s="12">
        <f>IF(OR(C314="",NOT(ISNUMBER(E314))),"",E314*N(IFERROR(INDEX(Crops!$E$6:$E$65,MATCH(C314,Crops!$B$6:$B$65,0)),0)))</f>
        <v/>
      </c>
      <c r="I314" s="11">
        <f>IF(AND(C314="",E314=""),"",IF(NOT(ISNUMBER(B314)),"Needs a date",IF(C314="","Needs a crop",IF(COUNTIF(Crops!$B$6:$B$65,C314)=0,"Not on Crops",IF(NOT(ISNUMBER(E314)),"Needs the amount",IF(AND(D314&lt;&gt;"",COUNTIF(Beds!$B$6:$B$35,D314)=0),"Not on Beds",""))))))</f>
        <v/>
      </c>
      <c r="J314" s="1">
        <f>IF(ISNUMBER(B314),YEAR(B314),"")</f>
        <v/>
      </c>
      <c r="K314">
        <f>IF(ISNUMBER(B314),YEAR(B314)*100+MONTH(B314),"")</f>
        <v/>
      </c>
      <c r="L314">
        <f>IF(ISNUMBER(B314),INT(B314),0)</f>
        <v/>
      </c>
    </row>
    <row r="315">
      <c r="A315" s="1" t="n"/>
      <c r="B315" s="17" t="n"/>
      <c r="C315" s="18" t="n"/>
      <c r="D315" s="19" t="n"/>
      <c r="E315" s="23" t="n"/>
      <c r="F315" s="21" t="n"/>
      <c r="G315" s="11">
        <f>IF(C315="","",IFERROR(INDEX(Crops!$D$6:$D$65,MATCH(C315,Crops!$B$6:$B$65,0))&amp;"",""))</f>
        <v/>
      </c>
      <c r="H315" s="12">
        <f>IF(OR(C315="",NOT(ISNUMBER(E315))),"",E315*N(IFERROR(INDEX(Crops!$E$6:$E$65,MATCH(C315,Crops!$B$6:$B$65,0)),0)))</f>
        <v/>
      </c>
      <c r="I315" s="11">
        <f>IF(AND(C315="",E315=""),"",IF(NOT(ISNUMBER(B315)),"Needs a date",IF(C315="","Needs a crop",IF(COUNTIF(Crops!$B$6:$B$65,C315)=0,"Not on Crops",IF(NOT(ISNUMBER(E315)),"Needs the amount",IF(AND(D315&lt;&gt;"",COUNTIF(Beds!$B$6:$B$35,D315)=0),"Not on Beds",""))))))</f>
        <v/>
      </c>
      <c r="J315" s="1">
        <f>IF(ISNUMBER(B315),YEAR(B315),"")</f>
        <v/>
      </c>
      <c r="K315">
        <f>IF(ISNUMBER(B315),YEAR(B315)*100+MONTH(B315),"")</f>
        <v/>
      </c>
      <c r="L315">
        <f>IF(ISNUMBER(B315),INT(B315),0)</f>
        <v/>
      </c>
    </row>
    <row r="316">
      <c r="A316" s="1" t="n"/>
      <c r="B316" s="17" t="n"/>
      <c r="C316" s="18" t="n"/>
      <c r="D316" s="19" t="n"/>
      <c r="E316" s="23" t="n"/>
      <c r="F316" s="21" t="n"/>
      <c r="G316" s="11">
        <f>IF(C316="","",IFERROR(INDEX(Crops!$D$6:$D$65,MATCH(C316,Crops!$B$6:$B$65,0))&amp;"",""))</f>
        <v/>
      </c>
      <c r="H316" s="12">
        <f>IF(OR(C316="",NOT(ISNUMBER(E316))),"",E316*N(IFERROR(INDEX(Crops!$E$6:$E$65,MATCH(C316,Crops!$B$6:$B$65,0)),0)))</f>
        <v/>
      </c>
      <c r="I316" s="11">
        <f>IF(AND(C316="",E316=""),"",IF(NOT(ISNUMBER(B316)),"Needs a date",IF(C316="","Needs a crop",IF(COUNTIF(Crops!$B$6:$B$65,C316)=0,"Not on Crops",IF(NOT(ISNUMBER(E316)),"Needs the amount",IF(AND(D316&lt;&gt;"",COUNTIF(Beds!$B$6:$B$35,D316)=0),"Not on Beds",""))))))</f>
        <v/>
      </c>
      <c r="J316" s="1">
        <f>IF(ISNUMBER(B316),YEAR(B316),"")</f>
        <v/>
      </c>
      <c r="K316">
        <f>IF(ISNUMBER(B316),YEAR(B316)*100+MONTH(B316),"")</f>
        <v/>
      </c>
      <c r="L316">
        <f>IF(ISNUMBER(B316),INT(B316),0)</f>
        <v/>
      </c>
    </row>
    <row r="317">
      <c r="A317" s="1" t="n"/>
      <c r="B317" s="17" t="n"/>
      <c r="C317" s="18" t="n"/>
      <c r="D317" s="19" t="n"/>
      <c r="E317" s="23" t="n"/>
      <c r="F317" s="21" t="n"/>
      <c r="G317" s="11">
        <f>IF(C317="","",IFERROR(INDEX(Crops!$D$6:$D$65,MATCH(C317,Crops!$B$6:$B$65,0))&amp;"",""))</f>
        <v/>
      </c>
      <c r="H317" s="12">
        <f>IF(OR(C317="",NOT(ISNUMBER(E317))),"",E317*N(IFERROR(INDEX(Crops!$E$6:$E$65,MATCH(C317,Crops!$B$6:$B$65,0)),0)))</f>
        <v/>
      </c>
      <c r="I317" s="11">
        <f>IF(AND(C317="",E317=""),"",IF(NOT(ISNUMBER(B317)),"Needs a date",IF(C317="","Needs a crop",IF(COUNTIF(Crops!$B$6:$B$65,C317)=0,"Not on Crops",IF(NOT(ISNUMBER(E317)),"Needs the amount",IF(AND(D317&lt;&gt;"",COUNTIF(Beds!$B$6:$B$35,D317)=0),"Not on Beds",""))))))</f>
        <v/>
      </c>
      <c r="J317" s="1">
        <f>IF(ISNUMBER(B317),YEAR(B317),"")</f>
        <v/>
      </c>
      <c r="K317">
        <f>IF(ISNUMBER(B317),YEAR(B317)*100+MONTH(B317),"")</f>
        <v/>
      </c>
      <c r="L317">
        <f>IF(ISNUMBER(B317),INT(B317),0)</f>
        <v/>
      </c>
    </row>
    <row r="318">
      <c r="A318" s="1" t="n"/>
      <c r="B318" s="17" t="n"/>
      <c r="C318" s="18" t="n"/>
      <c r="D318" s="19" t="n"/>
      <c r="E318" s="23" t="n"/>
      <c r="F318" s="21" t="n"/>
      <c r="G318" s="11">
        <f>IF(C318="","",IFERROR(INDEX(Crops!$D$6:$D$65,MATCH(C318,Crops!$B$6:$B$65,0))&amp;"",""))</f>
        <v/>
      </c>
      <c r="H318" s="12">
        <f>IF(OR(C318="",NOT(ISNUMBER(E318))),"",E318*N(IFERROR(INDEX(Crops!$E$6:$E$65,MATCH(C318,Crops!$B$6:$B$65,0)),0)))</f>
        <v/>
      </c>
      <c r="I318" s="11">
        <f>IF(AND(C318="",E318=""),"",IF(NOT(ISNUMBER(B318)),"Needs a date",IF(C318="","Needs a crop",IF(COUNTIF(Crops!$B$6:$B$65,C318)=0,"Not on Crops",IF(NOT(ISNUMBER(E318)),"Needs the amount",IF(AND(D318&lt;&gt;"",COUNTIF(Beds!$B$6:$B$35,D318)=0),"Not on Beds",""))))))</f>
        <v/>
      </c>
      <c r="J318" s="1">
        <f>IF(ISNUMBER(B318),YEAR(B318),"")</f>
        <v/>
      </c>
      <c r="K318">
        <f>IF(ISNUMBER(B318),YEAR(B318)*100+MONTH(B318),"")</f>
        <v/>
      </c>
      <c r="L318">
        <f>IF(ISNUMBER(B318),INT(B318),0)</f>
        <v/>
      </c>
    </row>
    <row r="319">
      <c r="A319" s="1" t="n"/>
      <c r="B319" s="17" t="n"/>
      <c r="C319" s="18" t="n"/>
      <c r="D319" s="19" t="n"/>
      <c r="E319" s="23" t="n"/>
      <c r="F319" s="21" t="n"/>
      <c r="G319" s="11">
        <f>IF(C319="","",IFERROR(INDEX(Crops!$D$6:$D$65,MATCH(C319,Crops!$B$6:$B$65,0))&amp;"",""))</f>
        <v/>
      </c>
      <c r="H319" s="12">
        <f>IF(OR(C319="",NOT(ISNUMBER(E319))),"",E319*N(IFERROR(INDEX(Crops!$E$6:$E$65,MATCH(C319,Crops!$B$6:$B$65,0)),0)))</f>
        <v/>
      </c>
      <c r="I319" s="11">
        <f>IF(AND(C319="",E319=""),"",IF(NOT(ISNUMBER(B319)),"Needs a date",IF(C319="","Needs a crop",IF(COUNTIF(Crops!$B$6:$B$65,C319)=0,"Not on Crops",IF(NOT(ISNUMBER(E319)),"Needs the amount",IF(AND(D319&lt;&gt;"",COUNTIF(Beds!$B$6:$B$35,D319)=0),"Not on Beds",""))))))</f>
        <v/>
      </c>
      <c r="J319" s="1">
        <f>IF(ISNUMBER(B319),YEAR(B319),"")</f>
        <v/>
      </c>
      <c r="K319">
        <f>IF(ISNUMBER(B319),YEAR(B319)*100+MONTH(B319),"")</f>
        <v/>
      </c>
      <c r="L319">
        <f>IF(ISNUMBER(B319),INT(B319),0)</f>
        <v/>
      </c>
    </row>
    <row r="320">
      <c r="A320" s="1" t="n"/>
      <c r="B320" s="17" t="n"/>
      <c r="C320" s="18" t="n"/>
      <c r="D320" s="19" t="n"/>
      <c r="E320" s="23" t="n"/>
      <c r="F320" s="21" t="n"/>
      <c r="G320" s="11">
        <f>IF(C320="","",IFERROR(INDEX(Crops!$D$6:$D$65,MATCH(C320,Crops!$B$6:$B$65,0))&amp;"",""))</f>
        <v/>
      </c>
      <c r="H320" s="12">
        <f>IF(OR(C320="",NOT(ISNUMBER(E320))),"",E320*N(IFERROR(INDEX(Crops!$E$6:$E$65,MATCH(C320,Crops!$B$6:$B$65,0)),0)))</f>
        <v/>
      </c>
      <c r="I320" s="11">
        <f>IF(AND(C320="",E320=""),"",IF(NOT(ISNUMBER(B320)),"Needs a date",IF(C320="","Needs a crop",IF(COUNTIF(Crops!$B$6:$B$65,C320)=0,"Not on Crops",IF(NOT(ISNUMBER(E320)),"Needs the amount",IF(AND(D320&lt;&gt;"",COUNTIF(Beds!$B$6:$B$35,D320)=0),"Not on Beds",""))))))</f>
        <v/>
      </c>
      <c r="J320" s="1">
        <f>IF(ISNUMBER(B320),YEAR(B320),"")</f>
        <v/>
      </c>
      <c r="K320">
        <f>IF(ISNUMBER(B320),YEAR(B320)*100+MONTH(B320),"")</f>
        <v/>
      </c>
      <c r="L320">
        <f>IF(ISNUMBER(B320),INT(B320),0)</f>
        <v/>
      </c>
    </row>
    <row r="321">
      <c r="A321" s="1" t="n"/>
      <c r="B321" s="17" t="n"/>
      <c r="C321" s="18" t="n"/>
      <c r="D321" s="19" t="n"/>
      <c r="E321" s="23" t="n"/>
      <c r="F321" s="21" t="n"/>
      <c r="G321" s="11">
        <f>IF(C321="","",IFERROR(INDEX(Crops!$D$6:$D$65,MATCH(C321,Crops!$B$6:$B$65,0))&amp;"",""))</f>
        <v/>
      </c>
      <c r="H321" s="12">
        <f>IF(OR(C321="",NOT(ISNUMBER(E321))),"",E321*N(IFERROR(INDEX(Crops!$E$6:$E$65,MATCH(C321,Crops!$B$6:$B$65,0)),0)))</f>
        <v/>
      </c>
      <c r="I321" s="11">
        <f>IF(AND(C321="",E321=""),"",IF(NOT(ISNUMBER(B321)),"Needs a date",IF(C321="","Needs a crop",IF(COUNTIF(Crops!$B$6:$B$65,C321)=0,"Not on Crops",IF(NOT(ISNUMBER(E321)),"Needs the amount",IF(AND(D321&lt;&gt;"",COUNTIF(Beds!$B$6:$B$35,D321)=0),"Not on Beds",""))))))</f>
        <v/>
      </c>
      <c r="J321" s="1">
        <f>IF(ISNUMBER(B321),YEAR(B321),"")</f>
        <v/>
      </c>
      <c r="K321">
        <f>IF(ISNUMBER(B321),YEAR(B321)*100+MONTH(B321),"")</f>
        <v/>
      </c>
      <c r="L321">
        <f>IF(ISNUMBER(B321),INT(B321),0)</f>
        <v/>
      </c>
    </row>
    <row r="322">
      <c r="A322" s="1" t="n"/>
      <c r="B322" s="17" t="n"/>
      <c r="C322" s="18" t="n"/>
      <c r="D322" s="19" t="n"/>
      <c r="E322" s="23" t="n"/>
      <c r="F322" s="21" t="n"/>
      <c r="G322" s="11">
        <f>IF(C322="","",IFERROR(INDEX(Crops!$D$6:$D$65,MATCH(C322,Crops!$B$6:$B$65,0))&amp;"",""))</f>
        <v/>
      </c>
      <c r="H322" s="12">
        <f>IF(OR(C322="",NOT(ISNUMBER(E322))),"",E322*N(IFERROR(INDEX(Crops!$E$6:$E$65,MATCH(C322,Crops!$B$6:$B$65,0)),0)))</f>
        <v/>
      </c>
      <c r="I322" s="11">
        <f>IF(AND(C322="",E322=""),"",IF(NOT(ISNUMBER(B322)),"Needs a date",IF(C322="","Needs a crop",IF(COUNTIF(Crops!$B$6:$B$65,C322)=0,"Not on Crops",IF(NOT(ISNUMBER(E322)),"Needs the amount",IF(AND(D322&lt;&gt;"",COUNTIF(Beds!$B$6:$B$35,D322)=0),"Not on Beds",""))))))</f>
        <v/>
      </c>
      <c r="J322" s="1">
        <f>IF(ISNUMBER(B322),YEAR(B322),"")</f>
        <v/>
      </c>
      <c r="K322">
        <f>IF(ISNUMBER(B322),YEAR(B322)*100+MONTH(B322),"")</f>
        <v/>
      </c>
      <c r="L322">
        <f>IF(ISNUMBER(B322),INT(B322),0)</f>
        <v/>
      </c>
    </row>
    <row r="323">
      <c r="A323" s="1" t="n"/>
      <c r="B323" s="17" t="n"/>
      <c r="C323" s="18" t="n"/>
      <c r="D323" s="19" t="n"/>
      <c r="E323" s="23" t="n"/>
      <c r="F323" s="21" t="n"/>
      <c r="G323" s="11">
        <f>IF(C323="","",IFERROR(INDEX(Crops!$D$6:$D$65,MATCH(C323,Crops!$B$6:$B$65,0))&amp;"",""))</f>
        <v/>
      </c>
      <c r="H323" s="12">
        <f>IF(OR(C323="",NOT(ISNUMBER(E323))),"",E323*N(IFERROR(INDEX(Crops!$E$6:$E$65,MATCH(C323,Crops!$B$6:$B$65,0)),0)))</f>
        <v/>
      </c>
      <c r="I323" s="11">
        <f>IF(AND(C323="",E323=""),"",IF(NOT(ISNUMBER(B323)),"Needs a date",IF(C323="","Needs a crop",IF(COUNTIF(Crops!$B$6:$B$65,C323)=0,"Not on Crops",IF(NOT(ISNUMBER(E323)),"Needs the amount",IF(AND(D323&lt;&gt;"",COUNTIF(Beds!$B$6:$B$35,D323)=0),"Not on Beds",""))))))</f>
        <v/>
      </c>
      <c r="J323" s="1">
        <f>IF(ISNUMBER(B323),YEAR(B323),"")</f>
        <v/>
      </c>
      <c r="K323">
        <f>IF(ISNUMBER(B323),YEAR(B323)*100+MONTH(B323),"")</f>
        <v/>
      </c>
      <c r="L323">
        <f>IF(ISNUMBER(B323),INT(B323),0)</f>
        <v/>
      </c>
    </row>
    <row r="324">
      <c r="A324" s="1" t="n"/>
      <c r="B324" s="17" t="n"/>
      <c r="C324" s="18" t="n"/>
      <c r="D324" s="19" t="n"/>
      <c r="E324" s="23" t="n"/>
      <c r="F324" s="21" t="n"/>
      <c r="G324" s="11">
        <f>IF(C324="","",IFERROR(INDEX(Crops!$D$6:$D$65,MATCH(C324,Crops!$B$6:$B$65,0))&amp;"",""))</f>
        <v/>
      </c>
      <c r="H324" s="12">
        <f>IF(OR(C324="",NOT(ISNUMBER(E324))),"",E324*N(IFERROR(INDEX(Crops!$E$6:$E$65,MATCH(C324,Crops!$B$6:$B$65,0)),0)))</f>
        <v/>
      </c>
      <c r="I324" s="11">
        <f>IF(AND(C324="",E324=""),"",IF(NOT(ISNUMBER(B324)),"Needs a date",IF(C324="","Needs a crop",IF(COUNTIF(Crops!$B$6:$B$65,C324)=0,"Not on Crops",IF(NOT(ISNUMBER(E324)),"Needs the amount",IF(AND(D324&lt;&gt;"",COUNTIF(Beds!$B$6:$B$35,D324)=0),"Not on Beds",""))))))</f>
        <v/>
      </c>
      <c r="J324" s="1">
        <f>IF(ISNUMBER(B324),YEAR(B324),"")</f>
        <v/>
      </c>
      <c r="K324">
        <f>IF(ISNUMBER(B324),YEAR(B324)*100+MONTH(B324),"")</f>
        <v/>
      </c>
      <c r="L324">
        <f>IF(ISNUMBER(B324),INT(B324),0)</f>
        <v/>
      </c>
    </row>
    <row r="325">
      <c r="A325" s="1" t="n"/>
      <c r="B325" s="17" t="n"/>
      <c r="C325" s="18" t="n"/>
      <c r="D325" s="19" t="n"/>
      <c r="E325" s="23" t="n"/>
      <c r="F325" s="21" t="n"/>
      <c r="G325" s="11">
        <f>IF(C325="","",IFERROR(INDEX(Crops!$D$6:$D$65,MATCH(C325,Crops!$B$6:$B$65,0))&amp;"",""))</f>
        <v/>
      </c>
      <c r="H325" s="12">
        <f>IF(OR(C325="",NOT(ISNUMBER(E325))),"",E325*N(IFERROR(INDEX(Crops!$E$6:$E$65,MATCH(C325,Crops!$B$6:$B$65,0)),0)))</f>
        <v/>
      </c>
      <c r="I325" s="11">
        <f>IF(AND(C325="",E325=""),"",IF(NOT(ISNUMBER(B325)),"Needs a date",IF(C325="","Needs a crop",IF(COUNTIF(Crops!$B$6:$B$65,C325)=0,"Not on Crops",IF(NOT(ISNUMBER(E325)),"Needs the amount",IF(AND(D325&lt;&gt;"",COUNTIF(Beds!$B$6:$B$35,D325)=0),"Not on Beds",""))))))</f>
        <v/>
      </c>
      <c r="J325" s="1">
        <f>IF(ISNUMBER(B325),YEAR(B325),"")</f>
        <v/>
      </c>
      <c r="K325">
        <f>IF(ISNUMBER(B325),YEAR(B325)*100+MONTH(B325),"")</f>
        <v/>
      </c>
      <c r="L325">
        <f>IF(ISNUMBER(B325),INT(B325),0)</f>
        <v/>
      </c>
    </row>
    <row r="326">
      <c r="A326" s="1" t="n"/>
      <c r="B326" s="17" t="n"/>
      <c r="C326" s="18" t="n"/>
      <c r="D326" s="19" t="n"/>
      <c r="E326" s="23" t="n"/>
      <c r="F326" s="21" t="n"/>
      <c r="G326" s="11">
        <f>IF(C326="","",IFERROR(INDEX(Crops!$D$6:$D$65,MATCH(C326,Crops!$B$6:$B$65,0))&amp;"",""))</f>
        <v/>
      </c>
      <c r="H326" s="12">
        <f>IF(OR(C326="",NOT(ISNUMBER(E326))),"",E326*N(IFERROR(INDEX(Crops!$E$6:$E$65,MATCH(C326,Crops!$B$6:$B$65,0)),0)))</f>
        <v/>
      </c>
      <c r="I326" s="11">
        <f>IF(AND(C326="",E326=""),"",IF(NOT(ISNUMBER(B326)),"Needs a date",IF(C326="","Needs a crop",IF(COUNTIF(Crops!$B$6:$B$65,C326)=0,"Not on Crops",IF(NOT(ISNUMBER(E326)),"Needs the amount",IF(AND(D326&lt;&gt;"",COUNTIF(Beds!$B$6:$B$35,D326)=0),"Not on Beds",""))))))</f>
        <v/>
      </c>
      <c r="J326" s="1">
        <f>IF(ISNUMBER(B326),YEAR(B326),"")</f>
        <v/>
      </c>
      <c r="K326">
        <f>IF(ISNUMBER(B326),YEAR(B326)*100+MONTH(B326),"")</f>
        <v/>
      </c>
      <c r="L326">
        <f>IF(ISNUMBER(B326),INT(B326),0)</f>
        <v/>
      </c>
    </row>
    <row r="327">
      <c r="A327" s="1" t="n"/>
      <c r="B327" s="17" t="n"/>
      <c r="C327" s="18" t="n"/>
      <c r="D327" s="19" t="n"/>
      <c r="E327" s="23" t="n"/>
      <c r="F327" s="21" t="n"/>
      <c r="G327" s="11">
        <f>IF(C327="","",IFERROR(INDEX(Crops!$D$6:$D$65,MATCH(C327,Crops!$B$6:$B$65,0))&amp;"",""))</f>
        <v/>
      </c>
      <c r="H327" s="12">
        <f>IF(OR(C327="",NOT(ISNUMBER(E327))),"",E327*N(IFERROR(INDEX(Crops!$E$6:$E$65,MATCH(C327,Crops!$B$6:$B$65,0)),0)))</f>
        <v/>
      </c>
      <c r="I327" s="11">
        <f>IF(AND(C327="",E327=""),"",IF(NOT(ISNUMBER(B327)),"Needs a date",IF(C327="","Needs a crop",IF(COUNTIF(Crops!$B$6:$B$65,C327)=0,"Not on Crops",IF(NOT(ISNUMBER(E327)),"Needs the amount",IF(AND(D327&lt;&gt;"",COUNTIF(Beds!$B$6:$B$35,D327)=0),"Not on Beds",""))))))</f>
        <v/>
      </c>
      <c r="J327" s="1">
        <f>IF(ISNUMBER(B327),YEAR(B327),"")</f>
        <v/>
      </c>
      <c r="K327">
        <f>IF(ISNUMBER(B327),YEAR(B327)*100+MONTH(B327),"")</f>
        <v/>
      </c>
      <c r="L327">
        <f>IF(ISNUMBER(B327),INT(B327),0)</f>
        <v/>
      </c>
    </row>
    <row r="328">
      <c r="A328" s="1" t="n"/>
      <c r="B328" s="17" t="n"/>
      <c r="C328" s="18" t="n"/>
      <c r="D328" s="19" t="n"/>
      <c r="E328" s="23" t="n"/>
      <c r="F328" s="21" t="n"/>
      <c r="G328" s="11">
        <f>IF(C328="","",IFERROR(INDEX(Crops!$D$6:$D$65,MATCH(C328,Crops!$B$6:$B$65,0))&amp;"",""))</f>
        <v/>
      </c>
      <c r="H328" s="12">
        <f>IF(OR(C328="",NOT(ISNUMBER(E328))),"",E328*N(IFERROR(INDEX(Crops!$E$6:$E$65,MATCH(C328,Crops!$B$6:$B$65,0)),0)))</f>
        <v/>
      </c>
      <c r="I328" s="11">
        <f>IF(AND(C328="",E328=""),"",IF(NOT(ISNUMBER(B328)),"Needs a date",IF(C328="","Needs a crop",IF(COUNTIF(Crops!$B$6:$B$65,C328)=0,"Not on Crops",IF(NOT(ISNUMBER(E328)),"Needs the amount",IF(AND(D328&lt;&gt;"",COUNTIF(Beds!$B$6:$B$35,D328)=0),"Not on Beds",""))))))</f>
        <v/>
      </c>
      <c r="J328" s="1">
        <f>IF(ISNUMBER(B328),YEAR(B328),"")</f>
        <v/>
      </c>
      <c r="K328">
        <f>IF(ISNUMBER(B328),YEAR(B328)*100+MONTH(B328),"")</f>
        <v/>
      </c>
      <c r="L328">
        <f>IF(ISNUMBER(B328),INT(B328),0)</f>
        <v/>
      </c>
    </row>
    <row r="329">
      <c r="A329" s="1" t="n"/>
      <c r="B329" s="17" t="n"/>
      <c r="C329" s="18" t="n"/>
      <c r="D329" s="19" t="n"/>
      <c r="E329" s="23" t="n"/>
      <c r="F329" s="21" t="n"/>
      <c r="G329" s="11">
        <f>IF(C329="","",IFERROR(INDEX(Crops!$D$6:$D$65,MATCH(C329,Crops!$B$6:$B$65,0))&amp;"",""))</f>
        <v/>
      </c>
      <c r="H329" s="12">
        <f>IF(OR(C329="",NOT(ISNUMBER(E329))),"",E329*N(IFERROR(INDEX(Crops!$E$6:$E$65,MATCH(C329,Crops!$B$6:$B$65,0)),0)))</f>
        <v/>
      </c>
      <c r="I329" s="11">
        <f>IF(AND(C329="",E329=""),"",IF(NOT(ISNUMBER(B329)),"Needs a date",IF(C329="","Needs a crop",IF(COUNTIF(Crops!$B$6:$B$65,C329)=0,"Not on Crops",IF(NOT(ISNUMBER(E329)),"Needs the amount",IF(AND(D329&lt;&gt;"",COUNTIF(Beds!$B$6:$B$35,D329)=0),"Not on Beds",""))))))</f>
        <v/>
      </c>
      <c r="J329" s="1">
        <f>IF(ISNUMBER(B329),YEAR(B329),"")</f>
        <v/>
      </c>
      <c r="K329">
        <f>IF(ISNUMBER(B329),YEAR(B329)*100+MONTH(B329),"")</f>
        <v/>
      </c>
      <c r="L329">
        <f>IF(ISNUMBER(B329),INT(B329),0)</f>
        <v/>
      </c>
    </row>
    <row r="330">
      <c r="A330" s="1" t="n"/>
      <c r="B330" s="17" t="n"/>
      <c r="C330" s="18" t="n"/>
      <c r="D330" s="19" t="n"/>
      <c r="E330" s="23" t="n"/>
      <c r="F330" s="21" t="n"/>
      <c r="G330" s="11">
        <f>IF(C330="","",IFERROR(INDEX(Crops!$D$6:$D$65,MATCH(C330,Crops!$B$6:$B$65,0))&amp;"",""))</f>
        <v/>
      </c>
      <c r="H330" s="12">
        <f>IF(OR(C330="",NOT(ISNUMBER(E330))),"",E330*N(IFERROR(INDEX(Crops!$E$6:$E$65,MATCH(C330,Crops!$B$6:$B$65,0)),0)))</f>
        <v/>
      </c>
      <c r="I330" s="11">
        <f>IF(AND(C330="",E330=""),"",IF(NOT(ISNUMBER(B330)),"Needs a date",IF(C330="","Needs a crop",IF(COUNTIF(Crops!$B$6:$B$65,C330)=0,"Not on Crops",IF(NOT(ISNUMBER(E330)),"Needs the amount",IF(AND(D330&lt;&gt;"",COUNTIF(Beds!$B$6:$B$35,D330)=0),"Not on Beds",""))))))</f>
        <v/>
      </c>
      <c r="J330" s="1">
        <f>IF(ISNUMBER(B330),YEAR(B330),"")</f>
        <v/>
      </c>
      <c r="K330">
        <f>IF(ISNUMBER(B330),YEAR(B330)*100+MONTH(B330),"")</f>
        <v/>
      </c>
      <c r="L330">
        <f>IF(ISNUMBER(B330),INT(B330),0)</f>
        <v/>
      </c>
    </row>
    <row r="331">
      <c r="A331" s="1" t="n"/>
      <c r="B331" s="17" t="n"/>
      <c r="C331" s="18" t="n"/>
      <c r="D331" s="19" t="n"/>
      <c r="E331" s="23" t="n"/>
      <c r="F331" s="21" t="n"/>
      <c r="G331" s="11">
        <f>IF(C331="","",IFERROR(INDEX(Crops!$D$6:$D$65,MATCH(C331,Crops!$B$6:$B$65,0))&amp;"",""))</f>
        <v/>
      </c>
      <c r="H331" s="12">
        <f>IF(OR(C331="",NOT(ISNUMBER(E331))),"",E331*N(IFERROR(INDEX(Crops!$E$6:$E$65,MATCH(C331,Crops!$B$6:$B$65,0)),0)))</f>
        <v/>
      </c>
      <c r="I331" s="11">
        <f>IF(AND(C331="",E331=""),"",IF(NOT(ISNUMBER(B331)),"Needs a date",IF(C331="","Needs a crop",IF(COUNTIF(Crops!$B$6:$B$65,C331)=0,"Not on Crops",IF(NOT(ISNUMBER(E331)),"Needs the amount",IF(AND(D331&lt;&gt;"",COUNTIF(Beds!$B$6:$B$35,D331)=0),"Not on Beds",""))))))</f>
        <v/>
      </c>
      <c r="J331" s="1">
        <f>IF(ISNUMBER(B331),YEAR(B331),"")</f>
        <v/>
      </c>
      <c r="K331">
        <f>IF(ISNUMBER(B331),YEAR(B331)*100+MONTH(B331),"")</f>
        <v/>
      </c>
      <c r="L331">
        <f>IF(ISNUMBER(B331),INT(B331),0)</f>
        <v/>
      </c>
    </row>
    <row r="332">
      <c r="A332" s="1" t="n"/>
      <c r="B332" s="17" t="n"/>
      <c r="C332" s="18" t="n"/>
      <c r="D332" s="19" t="n"/>
      <c r="E332" s="23" t="n"/>
      <c r="F332" s="21" t="n"/>
      <c r="G332" s="11">
        <f>IF(C332="","",IFERROR(INDEX(Crops!$D$6:$D$65,MATCH(C332,Crops!$B$6:$B$65,0))&amp;"",""))</f>
        <v/>
      </c>
      <c r="H332" s="12">
        <f>IF(OR(C332="",NOT(ISNUMBER(E332))),"",E332*N(IFERROR(INDEX(Crops!$E$6:$E$65,MATCH(C332,Crops!$B$6:$B$65,0)),0)))</f>
        <v/>
      </c>
      <c r="I332" s="11">
        <f>IF(AND(C332="",E332=""),"",IF(NOT(ISNUMBER(B332)),"Needs a date",IF(C332="","Needs a crop",IF(COUNTIF(Crops!$B$6:$B$65,C332)=0,"Not on Crops",IF(NOT(ISNUMBER(E332)),"Needs the amount",IF(AND(D332&lt;&gt;"",COUNTIF(Beds!$B$6:$B$35,D332)=0),"Not on Beds",""))))))</f>
        <v/>
      </c>
      <c r="J332" s="1">
        <f>IF(ISNUMBER(B332),YEAR(B332),"")</f>
        <v/>
      </c>
      <c r="K332">
        <f>IF(ISNUMBER(B332),YEAR(B332)*100+MONTH(B332),"")</f>
        <v/>
      </c>
      <c r="L332">
        <f>IF(ISNUMBER(B332),INT(B332),0)</f>
        <v/>
      </c>
    </row>
    <row r="333">
      <c r="A333" s="1" t="n"/>
      <c r="B333" s="17" t="n"/>
      <c r="C333" s="18" t="n"/>
      <c r="D333" s="19" t="n"/>
      <c r="E333" s="23" t="n"/>
      <c r="F333" s="21" t="n"/>
      <c r="G333" s="11">
        <f>IF(C333="","",IFERROR(INDEX(Crops!$D$6:$D$65,MATCH(C333,Crops!$B$6:$B$65,0))&amp;"",""))</f>
        <v/>
      </c>
      <c r="H333" s="12">
        <f>IF(OR(C333="",NOT(ISNUMBER(E333))),"",E333*N(IFERROR(INDEX(Crops!$E$6:$E$65,MATCH(C333,Crops!$B$6:$B$65,0)),0)))</f>
        <v/>
      </c>
      <c r="I333" s="11">
        <f>IF(AND(C333="",E333=""),"",IF(NOT(ISNUMBER(B333)),"Needs a date",IF(C333="","Needs a crop",IF(COUNTIF(Crops!$B$6:$B$65,C333)=0,"Not on Crops",IF(NOT(ISNUMBER(E333)),"Needs the amount",IF(AND(D333&lt;&gt;"",COUNTIF(Beds!$B$6:$B$35,D333)=0),"Not on Beds",""))))))</f>
        <v/>
      </c>
      <c r="J333" s="1">
        <f>IF(ISNUMBER(B333),YEAR(B333),"")</f>
        <v/>
      </c>
      <c r="K333">
        <f>IF(ISNUMBER(B333),YEAR(B333)*100+MONTH(B333),"")</f>
        <v/>
      </c>
      <c r="L333">
        <f>IF(ISNUMBER(B333),INT(B333),0)</f>
        <v/>
      </c>
    </row>
    <row r="334">
      <c r="A334" s="1" t="n"/>
      <c r="B334" s="17" t="n"/>
      <c r="C334" s="18" t="n"/>
      <c r="D334" s="19" t="n"/>
      <c r="E334" s="23" t="n"/>
      <c r="F334" s="21" t="n"/>
      <c r="G334" s="11">
        <f>IF(C334="","",IFERROR(INDEX(Crops!$D$6:$D$65,MATCH(C334,Crops!$B$6:$B$65,0))&amp;"",""))</f>
        <v/>
      </c>
      <c r="H334" s="12">
        <f>IF(OR(C334="",NOT(ISNUMBER(E334))),"",E334*N(IFERROR(INDEX(Crops!$E$6:$E$65,MATCH(C334,Crops!$B$6:$B$65,0)),0)))</f>
        <v/>
      </c>
      <c r="I334" s="11">
        <f>IF(AND(C334="",E334=""),"",IF(NOT(ISNUMBER(B334)),"Needs a date",IF(C334="","Needs a crop",IF(COUNTIF(Crops!$B$6:$B$65,C334)=0,"Not on Crops",IF(NOT(ISNUMBER(E334)),"Needs the amount",IF(AND(D334&lt;&gt;"",COUNTIF(Beds!$B$6:$B$35,D334)=0),"Not on Beds",""))))))</f>
        <v/>
      </c>
      <c r="J334" s="1">
        <f>IF(ISNUMBER(B334),YEAR(B334),"")</f>
        <v/>
      </c>
      <c r="K334">
        <f>IF(ISNUMBER(B334),YEAR(B334)*100+MONTH(B334),"")</f>
        <v/>
      </c>
      <c r="L334">
        <f>IF(ISNUMBER(B334),INT(B334),0)</f>
        <v/>
      </c>
    </row>
    <row r="335">
      <c r="A335" s="1" t="n"/>
      <c r="B335" s="17" t="n"/>
      <c r="C335" s="18" t="n"/>
      <c r="D335" s="19" t="n"/>
      <c r="E335" s="23" t="n"/>
      <c r="F335" s="21" t="n"/>
      <c r="G335" s="11">
        <f>IF(C335="","",IFERROR(INDEX(Crops!$D$6:$D$65,MATCH(C335,Crops!$B$6:$B$65,0))&amp;"",""))</f>
        <v/>
      </c>
      <c r="H335" s="12">
        <f>IF(OR(C335="",NOT(ISNUMBER(E335))),"",E335*N(IFERROR(INDEX(Crops!$E$6:$E$65,MATCH(C335,Crops!$B$6:$B$65,0)),0)))</f>
        <v/>
      </c>
      <c r="I335" s="11">
        <f>IF(AND(C335="",E335=""),"",IF(NOT(ISNUMBER(B335)),"Needs a date",IF(C335="","Needs a crop",IF(COUNTIF(Crops!$B$6:$B$65,C335)=0,"Not on Crops",IF(NOT(ISNUMBER(E335)),"Needs the amount",IF(AND(D335&lt;&gt;"",COUNTIF(Beds!$B$6:$B$35,D335)=0),"Not on Beds",""))))))</f>
        <v/>
      </c>
      <c r="J335" s="1">
        <f>IF(ISNUMBER(B335),YEAR(B335),"")</f>
        <v/>
      </c>
      <c r="K335">
        <f>IF(ISNUMBER(B335),YEAR(B335)*100+MONTH(B335),"")</f>
        <v/>
      </c>
      <c r="L335">
        <f>IF(ISNUMBER(B335),INT(B335),0)</f>
        <v/>
      </c>
    </row>
    <row r="336">
      <c r="A336" s="1" t="n"/>
      <c r="B336" s="17" t="n"/>
      <c r="C336" s="18" t="n"/>
      <c r="D336" s="19" t="n"/>
      <c r="E336" s="23" t="n"/>
      <c r="F336" s="21" t="n"/>
      <c r="G336" s="11">
        <f>IF(C336="","",IFERROR(INDEX(Crops!$D$6:$D$65,MATCH(C336,Crops!$B$6:$B$65,0))&amp;"",""))</f>
        <v/>
      </c>
      <c r="H336" s="12">
        <f>IF(OR(C336="",NOT(ISNUMBER(E336))),"",E336*N(IFERROR(INDEX(Crops!$E$6:$E$65,MATCH(C336,Crops!$B$6:$B$65,0)),0)))</f>
        <v/>
      </c>
      <c r="I336" s="11">
        <f>IF(AND(C336="",E336=""),"",IF(NOT(ISNUMBER(B336)),"Needs a date",IF(C336="","Needs a crop",IF(COUNTIF(Crops!$B$6:$B$65,C336)=0,"Not on Crops",IF(NOT(ISNUMBER(E336)),"Needs the amount",IF(AND(D336&lt;&gt;"",COUNTIF(Beds!$B$6:$B$35,D336)=0),"Not on Beds",""))))))</f>
        <v/>
      </c>
      <c r="J336" s="1">
        <f>IF(ISNUMBER(B336),YEAR(B336),"")</f>
        <v/>
      </c>
      <c r="K336">
        <f>IF(ISNUMBER(B336),YEAR(B336)*100+MONTH(B336),"")</f>
        <v/>
      </c>
      <c r="L336">
        <f>IF(ISNUMBER(B336),INT(B336),0)</f>
        <v/>
      </c>
    </row>
    <row r="337">
      <c r="A337" s="1" t="n"/>
      <c r="B337" s="17" t="n"/>
      <c r="C337" s="18" t="n"/>
      <c r="D337" s="19" t="n"/>
      <c r="E337" s="23" t="n"/>
      <c r="F337" s="21" t="n"/>
      <c r="G337" s="11">
        <f>IF(C337="","",IFERROR(INDEX(Crops!$D$6:$D$65,MATCH(C337,Crops!$B$6:$B$65,0))&amp;"",""))</f>
        <v/>
      </c>
      <c r="H337" s="12">
        <f>IF(OR(C337="",NOT(ISNUMBER(E337))),"",E337*N(IFERROR(INDEX(Crops!$E$6:$E$65,MATCH(C337,Crops!$B$6:$B$65,0)),0)))</f>
        <v/>
      </c>
      <c r="I337" s="11">
        <f>IF(AND(C337="",E337=""),"",IF(NOT(ISNUMBER(B337)),"Needs a date",IF(C337="","Needs a crop",IF(COUNTIF(Crops!$B$6:$B$65,C337)=0,"Not on Crops",IF(NOT(ISNUMBER(E337)),"Needs the amount",IF(AND(D337&lt;&gt;"",COUNTIF(Beds!$B$6:$B$35,D337)=0),"Not on Beds",""))))))</f>
        <v/>
      </c>
      <c r="J337" s="1">
        <f>IF(ISNUMBER(B337),YEAR(B337),"")</f>
        <v/>
      </c>
      <c r="K337">
        <f>IF(ISNUMBER(B337),YEAR(B337)*100+MONTH(B337),"")</f>
        <v/>
      </c>
      <c r="L337">
        <f>IF(ISNUMBER(B337),INT(B337),0)</f>
        <v/>
      </c>
    </row>
    <row r="338">
      <c r="A338" s="1" t="n"/>
      <c r="B338" s="17" t="n"/>
      <c r="C338" s="18" t="n"/>
      <c r="D338" s="19" t="n"/>
      <c r="E338" s="23" t="n"/>
      <c r="F338" s="21" t="n"/>
      <c r="G338" s="11">
        <f>IF(C338="","",IFERROR(INDEX(Crops!$D$6:$D$65,MATCH(C338,Crops!$B$6:$B$65,0))&amp;"",""))</f>
        <v/>
      </c>
      <c r="H338" s="12">
        <f>IF(OR(C338="",NOT(ISNUMBER(E338))),"",E338*N(IFERROR(INDEX(Crops!$E$6:$E$65,MATCH(C338,Crops!$B$6:$B$65,0)),0)))</f>
        <v/>
      </c>
      <c r="I338" s="11">
        <f>IF(AND(C338="",E338=""),"",IF(NOT(ISNUMBER(B338)),"Needs a date",IF(C338="","Needs a crop",IF(COUNTIF(Crops!$B$6:$B$65,C338)=0,"Not on Crops",IF(NOT(ISNUMBER(E338)),"Needs the amount",IF(AND(D338&lt;&gt;"",COUNTIF(Beds!$B$6:$B$35,D338)=0),"Not on Beds",""))))))</f>
        <v/>
      </c>
      <c r="J338" s="1">
        <f>IF(ISNUMBER(B338),YEAR(B338),"")</f>
        <v/>
      </c>
      <c r="K338">
        <f>IF(ISNUMBER(B338),YEAR(B338)*100+MONTH(B338),"")</f>
        <v/>
      </c>
      <c r="L338">
        <f>IF(ISNUMBER(B338),INT(B338),0)</f>
        <v/>
      </c>
    </row>
    <row r="339">
      <c r="A339" s="1" t="n"/>
      <c r="B339" s="17" t="n"/>
      <c r="C339" s="18" t="n"/>
      <c r="D339" s="19" t="n"/>
      <c r="E339" s="23" t="n"/>
      <c r="F339" s="21" t="n"/>
      <c r="G339" s="11">
        <f>IF(C339="","",IFERROR(INDEX(Crops!$D$6:$D$65,MATCH(C339,Crops!$B$6:$B$65,0))&amp;"",""))</f>
        <v/>
      </c>
      <c r="H339" s="12">
        <f>IF(OR(C339="",NOT(ISNUMBER(E339))),"",E339*N(IFERROR(INDEX(Crops!$E$6:$E$65,MATCH(C339,Crops!$B$6:$B$65,0)),0)))</f>
        <v/>
      </c>
      <c r="I339" s="11">
        <f>IF(AND(C339="",E339=""),"",IF(NOT(ISNUMBER(B339)),"Needs a date",IF(C339="","Needs a crop",IF(COUNTIF(Crops!$B$6:$B$65,C339)=0,"Not on Crops",IF(NOT(ISNUMBER(E339)),"Needs the amount",IF(AND(D339&lt;&gt;"",COUNTIF(Beds!$B$6:$B$35,D339)=0),"Not on Beds",""))))))</f>
        <v/>
      </c>
      <c r="J339" s="1">
        <f>IF(ISNUMBER(B339),YEAR(B339),"")</f>
        <v/>
      </c>
      <c r="K339">
        <f>IF(ISNUMBER(B339),YEAR(B339)*100+MONTH(B339),"")</f>
        <v/>
      </c>
      <c r="L339">
        <f>IF(ISNUMBER(B339),INT(B339),0)</f>
        <v/>
      </c>
    </row>
    <row r="340">
      <c r="A340" s="1" t="n"/>
      <c r="B340" s="17" t="n"/>
      <c r="C340" s="18" t="n"/>
      <c r="D340" s="19" t="n"/>
      <c r="E340" s="23" t="n"/>
      <c r="F340" s="21" t="n"/>
      <c r="G340" s="11">
        <f>IF(C340="","",IFERROR(INDEX(Crops!$D$6:$D$65,MATCH(C340,Crops!$B$6:$B$65,0))&amp;"",""))</f>
        <v/>
      </c>
      <c r="H340" s="12">
        <f>IF(OR(C340="",NOT(ISNUMBER(E340))),"",E340*N(IFERROR(INDEX(Crops!$E$6:$E$65,MATCH(C340,Crops!$B$6:$B$65,0)),0)))</f>
        <v/>
      </c>
      <c r="I340" s="11">
        <f>IF(AND(C340="",E340=""),"",IF(NOT(ISNUMBER(B340)),"Needs a date",IF(C340="","Needs a crop",IF(COUNTIF(Crops!$B$6:$B$65,C340)=0,"Not on Crops",IF(NOT(ISNUMBER(E340)),"Needs the amount",IF(AND(D340&lt;&gt;"",COUNTIF(Beds!$B$6:$B$35,D340)=0),"Not on Beds",""))))))</f>
        <v/>
      </c>
      <c r="J340" s="1">
        <f>IF(ISNUMBER(B340),YEAR(B340),"")</f>
        <v/>
      </c>
      <c r="K340">
        <f>IF(ISNUMBER(B340),YEAR(B340)*100+MONTH(B340),"")</f>
        <v/>
      </c>
      <c r="L340">
        <f>IF(ISNUMBER(B340),INT(B340),0)</f>
        <v/>
      </c>
    </row>
    <row r="341">
      <c r="A341" s="1" t="n"/>
      <c r="B341" s="17" t="n"/>
      <c r="C341" s="18" t="n"/>
      <c r="D341" s="19" t="n"/>
      <c r="E341" s="23" t="n"/>
      <c r="F341" s="21" t="n"/>
      <c r="G341" s="11">
        <f>IF(C341="","",IFERROR(INDEX(Crops!$D$6:$D$65,MATCH(C341,Crops!$B$6:$B$65,0))&amp;"",""))</f>
        <v/>
      </c>
      <c r="H341" s="12">
        <f>IF(OR(C341="",NOT(ISNUMBER(E341))),"",E341*N(IFERROR(INDEX(Crops!$E$6:$E$65,MATCH(C341,Crops!$B$6:$B$65,0)),0)))</f>
        <v/>
      </c>
      <c r="I341" s="11">
        <f>IF(AND(C341="",E341=""),"",IF(NOT(ISNUMBER(B341)),"Needs a date",IF(C341="","Needs a crop",IF(COUNTIF(Crops!$B$6:$B$65,C341)=0,"Not on Crops",IF(NOT(ISNUMBER(E341)),"Needs the amount",IF(AND(D341&lt;&gt;"",COUNTIF(Beds!$B$6:$B$35,D341)=0),"Not on Beds",""))))))</f>
        <v/>
      </c>
      <c r="J341" s="1">
        <f>IF(ISNUMBER(B341),YEAR(B341),"")</f>
        <v/>
      </c>
      <c r="K341">
        <f>IF(ISNUMBER(B341),YEAR(B341)*100+MONTH(B341),"")</f>
        <v/>
      </c>
      <c r="L341">
        <f>IF(ISNUMBER(B341),INT(B341),0)</f>
        <v/>
      </c>
    </row>
    <row r="342">
      <c r="A342" s="1" t="n"/>
      <c r="B342" s="17" t="n"/>
      <c r="C342" s="18" t="n"/>
      <c r="D342" s="19" t="n"/>
      <c r="E342" s="23" t="n"/>
      <c r="F342" s="21" t="n"/>
      <c r="G342" s="11">
        <f>IF(C342="","",IFERROR(INDEX(Crops!$D$6:$D$65,MATCH(C342,Crops!$B$6:$B$65,0))&amp;"",""))</f>
        <v/>
      </c>
      <c r="H342" s="12">
        <f>IF(OR(C342="",NOT(ISNUMBER(E342))),"",E342*N(IFERROR(INDEX(Crops!$E$6:$E$65,MATCH(C342,Crops!$B$6:$B$65,0)),0)))</f>
        <v/>
      </c>
      <c r="I342" s="11">
        <f>IF(AND(C342="",E342=""),"",IF(NOT(ISNUMBER(B342)),"Needs a date",IF(C342="","Needs a crop",IF(COUNTIF(Crops!$B$6:$B$65,C342)=0,"Not on Crops",IF(NOT(ISNUMBER(E342)),"Needs the amount",IF(AND(D342&lt;&gt;"",COUNTIF(Beds!$B$6:$B$35,D342)=0),"Not on Beds",""))))))</f>
        <v/>
      </c>
      <c r="J342" s="1">
        <f>IF(ISNUMBER(B342),YEAR(B342),"")</f>
        <v/>
      </c>
      <c r="K342">
        <f>IF(ISNUMBER(B342),YEAR(B342)*100+MONTH(B342),"")</f>
        <v/>
      </c>
      <c r="L342">
        <f>IF(ISNUMBER(B342),INT(B342),0)</f>
        <v/>
      </c>
    </row>
    <row r="343">
      <c r="A343" s="1" t="n"/>
      <c r="B343" s="17" t="n"/>
      <c r="C343" s="18" t="n"/>
      <c r="D343" s="19" t="n"/>
      <c r="E343" s="23" t="n"/>
      <c r="F343" s="21" t="n"/>
      <c r="G343" s="11">
        <f>IF(C343="","",IFERROR(INDEX(Crops!$D$6:$D$65,MATCH(C343,Crops!$B$6:$B$65,0))&amp;"",""))</f>
        <v/>
      </c>
      <c r="H343" s="12">
        <f>IF(OR(C343="",NOT(ISNUMBER(E343))),"",E343*N(IFERROR(INDEX(Crops!$E$6:$E$65,MATCH(C343,Crops!$B$6:$B$65,0)),0)))</f>
        <v/>
      </c>
      <c r="I343" s="11">
        <f>IF(AND(C343="",E343=""),"",IF(NOT(ISNUMBER(B343)),"Needs a date",IF(C343="","Needs a crop",IF(COUNTIF(Crops!$B$6:$B$65,C343)=0,"Not on Crops",IF(NOT(ISNUMBER(E343)),"Needs the amount",IF(AND(D343&lt;&gt;"",COUNTIF(Beds!$B$6:$B$35,D343)=0),"Not on Beds",""))))))</f>
        <v/>
      </c>
      <c r="J343" s="1">
        <f>IF(ISNUMBER(B343),YEAR(B343),"")</f>
        <v/>
      </c>
      <c r="K343">
        <f>IF(ISNUMBER(B343),YEAR(B343)*100+MONTH(B343),"")</f>
        <v/>
      </c>
      <c r="L343">
        <f>IF(ISNUMBER(B343),INT(B343),0)</f>
        <v/>
      </c>
    </row>
    <row r="344">
      <c r="A344" s="1" t="n"/>
      <c r="B344" s="17" t="n"/>
      <c r="C344" s="18" t="n"/>
      <c r="D344" s="19" t="n"/>
      <c r="E344" s="23" t="n"/>
      <c r="F344" s="21" t="n"/>
      <c r="G344" s="11">
        <f>IF(C344="","",IFERROR(INDEX(Crops!$D$6:$D$65,MATCH(C344,Crops!$B$6:$B$65,0))&amp;"",""))</f>
        <v/>
      </c>
      <c r="H344" s="12">
        <f>IF(OR(C344="",NOT(ISNUMBER(E344))),"",E344*N(IFERROR(INDEX(Crops!$E$6:$E$65,MATCH(C344,Crops!$B$6:$B$65,0)),0)))</f>
        <v/>
      </c>
      <c r="I344" s="11">
        <f>IF(AND(C344="",E344=""),"",IF(NOT(ISNUMBER(B344)),"Needs a date",IF(C344="","Needs a crop",IF(COUNTIF(Crops!$B$6:$B$65,C344)=0,"Not on Crops",IF(NOT(ISNUMBER(E344)),"Needs the amount",IF(AND(D344&lt;&gt;"",COUNTIF(Beds!$B$6:$B$35,D344)=0),"Not on Beds",""))))))</f>
        <v/>
      </c>
      <c r="J344" s="1">
        <f>IF(ISNUMBER(B344),YEAR(B344),"")</f>
        <v/>
      </c>
      <c r="K344">
        <f>IF(ISNUMBER(B344),YEAR(B344)*100+MONTH(B344),"")</f>
        <v/>
      </c>
      <c r="L344">
        <f>IF(ISNUMBER(B344),INT(B344),0)</f>
        <v/>
      </c>
    </row>
    <row r="345">
      <c r="A345" s="1" t="n"/>
      <c r="B345" s="17" t="n"/>
      <c r="C345" s="18" t="n"/>
      <c r="D345" s="19" t="n"/>
      <c r="E345" s="23" t="n"/>
      <c r="F345" s="21" t="n"/>
      <c r="G345" s="11">
        <f>IF(C345="","",IFERROR(INDEX(Crops!$D$6:$D$65,MATCH(C345,Crops!$B$6:$B$65,0))&amp;"",""))</f>
        <v/>
      </c>
      <c r="H345" s="12">
        <f>IF(OR(C345="",NOT(ISNUMBER(E345))),"",E345*N(IFERROR(INDEX(Crops!$E$6:$E$65,MATCH(C345,Crops!$B$6:$B$65,0)),0)))</f>
        <v/>
      </c>
      <c r="I345" s="11">
        <f>IF(AND(C345="",E345=""),"",IF(NOT(ISNUMBER(B345)),"Needs a date",IF(C345="","Needs a crop",IF(COUNTIF(Crops!$B$6:$B$65,C345)=0,"Not on Crops",IF(NOT(ISNUMBER(E345)),"Needs the amount",IF(AND(D345&lt;&gt;"",COUNTIF(Beds!$B$6:$B$35,D345)=0),"Not on Beds",""))))))</f>
        <v/>
      </c>
      <c r="J345" s="1">
        <f>IF(ISNUMBER(B345),YEAR(B345),"")</f>
        <v/>
      </c>
      <c r="K345">
        <f>IF(ISNUMBER(B345),YEAR(B345)*100+MONTH(B345),"")</f>
        <v/>
      </c>
      <c r="L345">
        <f>IF(ISNUMBER(B345),INT(B345),0)</f>
        <v/>
      </c>
    </row>
    <row r="346">
      <c r="A346" s="1" t="n"/>
      <c r="B346" s="17" t="n"/>
      <c r="C346" s="18" t="n"/>
      <c r="D346" s="19" t="n"/>
      <c r="E346" s="23" t="n"/>
      <c r="F346" s="21" t="n"/>
      <c r="G346" s="11">
        <f>IF(C346="","",IFERROR(INDEX(Crops!$D$6:$D$65,MATCH(C346,Crops!$B$6:$B$65,0))&amp;"",""))</f>
        <v/>
      </c>
      <c r="H346" s="12">
        <f>IF(OR(C346="",NOT(ISNUMBER(E346))),"",E346*N(IFERROR(INDEX(Crops!$E$6:$E$65,MATCH(C346,Crops!$B$6:$B$65,0)),0)))</f>
        <v/>
      </c>
      <c r="I346" s="11">
        <f>IF(AND(C346="",E346=""),"",IF(NOT(ISNUMBER(B346)),"Needs a date",IF(C346="","Needs a crop",IF(COUNTIF(Crops!$B$6:$B$65,C346)=0,"Not on Crops",IF(NOT(ISNUMBER(E346)),"Needs the amount",IF(AND(D346&lt;&gt;"",COUNTIF(Beds!$B$6:$B$35,D346)=0),"Not on Beds",""))))))</f>
        <v/>
      </c>
      <c r="J346" s="1">
        <f>IF(ISNUMBER(B346),YEAR(B346),"")</f>
        <v/>
      </c>
      <c r="K346">
        <f>IF(ISNUMBER(B346),YEAR(B346)*100+MONTH(B346),"")</f>
        <v/>
      </c>
      <c r="L346">
        <f>IF(ISNUMBER(B346),INT(B346),0)</f>
        <v/>
      </c>
    </row>
    <row r="347">
      <c r="A347" s="1" t="n"/>
      <c r="B347" s="17" t="n"/>
      <c r="C347" s="18" t="n"/>
      <c r="D347" s="19" t="n"/>
      <c r="E347" s="23" t="n"/>
      <c r="F347" s="21" t="n"/>
      <c r="G347" s="11">
        <f>IF(C347="","",IFERROR(INDEX(Crops!$D$6:$D$65,MATCH(C347,Crops!$B$6:$B$65,0))&amp;"",""))</f>
        <v/>
      </c>
      <c r="H347" s="12">
        <f>IF(OR(C347="",NOT(ISNUMBER(E347))),"",E347*N(IFERROR(INDEX(Crops!$E$6:$E$65,MATCH(C347,Crops!$B$6:$B$65,0)),0)))</f>
        <v/>
      </c>
      <c r="I347" s="11">
        <f>IF(AND(C347="",E347=""),"",IF(NOT(ISNUMBER(B347)),"Needs a date",IF(C347="","Needs a crop",IF(COUNTIF(Crops!$B$6:$B$65,C347)=0,"Not on Crops",IF(NOT(ISNUMBER(E347)),"Needs the amount",IF(AND(D347&lt;&gt;"",COUNTIF(Beds!$B$6:$B$35,D347)=0),"Not on Beds",""))))))</f>
        <v/>
      </c>
      <c r="J347" s="1">
        <f>IF(ISNUMBER(B347),YEAR(B347),"")</f>
        <v/>
      </c>
      <c r="K347">
        <f>IF(ISNUMBER(B347),YEAR(B347)*100+MONTH(B347),"")</f>
        <v/>
      </c>
      <c r="L347">
        <f>IF(ISNUMBER(B347),INT(B347),0)</f>
        <v/>
      </c>
    </row>
    <row r="348">
      <c r="A348" s="1" t="n"/>
      <c r="B348" s="17" t="n"/>
      <c r="C348" s="18" t="n"/>
      <c r="D348" s="19" t="n"/>
      <c r="E348" s="23" t="n"/>
      <c r="F348" s="21" t="n"/>
      <c r="G348" s="11">
        <f>IF(C348="","",IFERROR(INDEX(Crops!$D$6:$D$65,MATCH(C348,Crops!$B$6:$B$65,0))&amp;"",""))</f>
        <v/>
      </c>
      <c r="H348" s="12">
        <f>IF(OR(C348="",NOT(ISNUMBER(E348))),"",E348*N(IFERROR(INDEX(Crops!$E$6:$E$65,MATCH(C348,Crops!$B$6:$B$65,0)),0)))</f>
        <v/>
      </c>
      <c r="I348" s="11">
        <f>IF(AND(C348="",E348=""),"",IF(NOT(ISNUMBER(B348)),"Needs a date",IF(C348="","Needs a crop",IF(COUNTIF(Crops!$B$6:$B$65,C348)=0,"Not on Crops",IF(NOT(ISNUMBER(E348)),"Needs the amount",IF(AND(D348&lt;&gt;"",COUNTIF(Beds!$B$6:$B$35,D348)=0),"Not on Beds",""))))))</f>
        <v/>
      </c>
      <c r="J348" s="1">
        <f>IF(ISNUMBER(B348),YEAR(B348),"")</f>
        <v/>
      </c>
      <c r="K348">
        <f>IF(ISNUMBER(B348),YEAR(B348)*100+MONTH(B348),"")</f>
        <v/>
      </c>
      <c r="L348">
        <f>IF(ISNUMBER(B348),INT(B348),0)</f>
        <v/>
      </c>
    </row>
    <row r="349">
      <c r="A349" s="1" t="n"/>
      <c r="B349" s="17" t="n"/>
      <c r="C349" s="18" t="n"/>
      <c r="D349" s="19" t="n"/>
      <c r="E349" s="23" t="n"/>
      <c r="F349" s="21" t="n"/>
      <c r="G349" s="11">
        <f>IF(C349="","",IFERROR(INDEX(Crops!$D$6:$D$65,MATCH(C349,Crops!$B$6:$B$65,0))&amp;"",""))</f>
        <v/>
      </c>
      <c r="H349" s="12">
        <f>IF(OR(C349="",NOT(ISNUMBER(E349))),"",E349*N(IFERROR(INDEX(Crops!$E$6:$E$65,MATCH(C349,Crops!$B$6:$B$65,0)),0)))</f>
        <v/>
      </c>
      <c r="I349" s="11">
        <f>IF(AND(C349="",E349=""),"",IF(NOT(ISNUMBER(B349)),"Needs a date",IF(C349="","Needs a crop",IF(COUNTIF(Crops!$B$6:$B$65,C349)=0,"Not on Crops",IF(NOT(ISNUMBER(E349)),"Needs the amount",IF(AND(D349&lt;&gt;"",COUNTIF(Beds!$B$6:$B$35,D349)=0),"Not on Beds",""))))))</f>
        <v/>
      </c>
      <c r="J349" s="1">
        <f>IF(ISNUMBER(B349),YEAR(B349),"")</f>
        <v/>
      </c>
      <c r="K349">
        <f>IF(ISNUMBER(B349),YEAR(B349)*100+MONTH(B349),"")</f>
        <v/>
      </c>
      <c r="L349">
        <f>IF(ISNUMBER(B349),INT(B349),0)</f>
        <v/>
      </c>
    </row>
    <row r="350">
      <c r="A350" s="1" t="n"/>
      <c r="B350" s="17" t="n"/>
      <c r="C350" s="18" t="n"/>
      <c r="D350" s="19" t="n"/>
      <c r="E350" s="23" t="n"/>
      <c r="F350" s="21" t="n"/>
      <c r="G350" s="11">
        <f>IF(C350="","",IFERROR(INDEX(Crops!$D$6:$D$65,MATCH(C350,Crops!$B$6:$B$65,0))&amp;"",""))</f>
        <v/>
      </c>
      <c r="H350" s="12">
        <f>IF(OR(C350="",NOT(ISNUMBER(E350))),"",E350*N(IFERROR(INDEX(Crops!$E$6:$E$65,MATCH(C350,Crops!$B$6:$B$65,0)),0)))</f>
        <v/>
      </c>
      <c r="I350" s="11">
        <f>IF(AND(C350="",E350=""),"",IF(NOT(ISNUMBER(B350)),"Needs a date",IF(C350="","Needs a crop",IF(COUNTIF(Crops!$B$6:$B$65,C350)=0,"Not on Crops",IF(NOT(ISNUMBER(E350)),"Needs the amount",IF(AND(D350&lt;&gt;"",COUNTIF(Beds!$B$6:$B$35,D350)=0),"Not on Beds",""))))))</f>
        <v/>
      </c>
      <c r="J350" s="1">
        <f>IF(ISNUMBER(B350),YEAR(B350),"")</f>
        <v/>
      </c>
      <c r="K350">
        <f>IF(ISNUMBER(B350),YEAR(B350)*100+MONTH(B350),"")</f>
        <v/>
      </c>
      <c r="L350">
        <f>IF(ISNUMBER(B350),INT(B350),0)</f>
        <v/>
      </c>
    </row>
    <row r="351">
      <c r="A351" s="1" t="n"/>
      <c r="B351" s="17" t="n"/>
      <c r="C351" s="18" t="n"/>
      <c r="D351" s="19" t="n"/>
      <c r="E351" s="23" t="n"/>
      <c r="F351" s="21" t="n"/>
      <c r="G351" s="11">
        <f>IF(C351="","",IFERROR(INDEX(Crops!$D$6:$D$65,MATCH(C351,Crops!$B$6:$B$65,0))&amp;"",""))</f>
        <v/>
      </c>
      <c r="H351" s="12">
        <f>IF(OR(C351="",NOT(ISNUMBER(E351))),"",E351*N(IFERROR(INDEX(Crops!$E$6:$E$65,MATCH(C351,Crops!$B$6:$B$65,0)),0)))</f>
        <v/>
      </c>
      <c r="I351" s="11">
        <f>IF(AND(C351="",E351=""),"",IF(NOT(ISNUMBER(B351)),"Needs a date",IF(C351="","Needs a crop",IF(COUNTIF(Crops!$B$6:$B$65,C351)=0,"Not on Crops",IF(NOT(ISNUMBER(E351)),"Needs the amount",IF(AND(D351&lt;&gt;"",COUNTIF(Beds!$B$6:$B$35,D351)=0),"Not on Beds",""))))))</f>
        <v/>
      </c>
      <c r="J351" s="1">
        <f>IF(ISNUMBER(B351),YEAR(B351),"")</f>
        <v/>
      </c>
      <c r="K351">
        <f>IF(ISNUMBER(B351),YEAR(B351)*100+MONTH(B351),"")</f>
        <v/>
      </c>
      <c r="L351">
        <f>IF(ISNUMBER(B351),INT(B351),0)</f>
        <v/>
      </c>
    </row>
    <row r="352">
      <c r="A352" s="1" t="n"/>
      <c r="B352" s="17" t="n"/>
      <c r="C352" s="18" t="n"/>
      <c r="D352" s="19" t="n"/>
      <c r="E352" s="23" t="n"/>
      <c r="F352" s="21" t="n"/>
      <c r="G352" s="11">
        <f>IF(C352="","",IFERROR(INDEX(Crops!$D$6:$D$65,MATCH(C352,Crops!$B$6:$B$65,0))&amp;"",""))</f>
        <v/>
      </c>
      <c r="H352" s="12">
        <f>IF(OR(C352="",NOT(ISNUMBER(E352))),"",E352*N(IFERROR(INDEX(Crops!$E$6:$E$65,MATCH(C352,Crops!$B$6:$B$65,0)),0)))</f>
        <v/>
      </c>
      <c r="I352" s="11">
        <f>IF(AND(C352="",E352=""),"",IF(NOT(ISNUMBER(B352)),"Needs a date",IF(C352="","Needs a crop",IF(COUNTIF(Crops!$B$6:$B$65,C352)=0,"Not on Crops",IF(NOT(ISNUMBER(E352)),"Needs the amount",IF(AND(D352&lt;&gt;"",COUNTIF(Beds!$B$6:$B$35,D352)=0),"Not on Beds",""))))))</f>
        <v/>
      </c>
      <c r="J352" s="1">
        <f>IF(ISNUMBER(B352),YEAR(B352),"")</f>
        <v/>
      </c>
      <c r="K352">
        <f>IF(ISNUMBER(B352),YEAR(B352)*100+MONTH(B352),"")</f>
        <v/>
      </c>
      <c r="L352">
        <f>IF(ISNUMBER(B352),INT(B352),0)</f>
        <v/>
      </c>
    </row>
    <row r="353">
      <c r="A353" s="1" t="n"/>
      <c r="B353" s="17" t="n"/>
      <c r="C353" s="18" t="n"/>
      <c r="D353" s="19" t="n"/>
      <c r="E353" s="23" t="n"/>
      <c r="F353" s="21" t="n"/>
      <c r="G353" s="11">
        <f>IF(C353="","",IFERROR(INDEX(Crops!$D$6:$D$65,MATCH(C353,Crops!$B$6:$B$65,0))&amp;"",""))</f>
        <v/>
      </c>
      <c r="H353" s="12">
        <f>IF(OR(C353="",NOT(ISNUMBER(E353))),"",E353*N(IFERROR(INDEX(Crops!$E$6:$E$65,MATCH(C353,Crops!$B$6:$B$65,0)),0)))</f>
        <v/>
      </c>
      <c r="I353" s="11">
        <f>IF(AND(C353="",E353=""),"",IF(NOT(ISNUMBER(B353)),"Needs a date",IF(C353="","Needs a crop",IF(COUNTIF(Crops!$B$6:$B$65,C353)=0,"Not on Crops",IF(NOT(ISNUMBER(E353)),"Needs the amount",IF(AND(D353&lt;&gt;"",COUNTIF(Beds!$B$6:$B$35,D353)=0),"Not on Beds",""))))))</f>
        <v/>
      </c>
      <c r="J353" s="1">
        <f>IF(ISNUMBER(B353),YEAR(B353),"")</f>
        <v/>
      </c>
      <c r="K353">
        <f>IF(ISNUMBER(B353),YEAR(B353)*100+MONTH(B353),"")</f>
        <v/>
      </c>
      <c r="L353">
        <f>IF(ISNUMBER(B353),INT(B353),0)</f>
        <v/>
      </c>
    </row>
    <row r="354">
      <c r="A354" s="1" t="n"/>
      <c r="B354" s="17" t="n"/>
      <c r="C354" s="18" t="n"/>
      <c r="D354" s="19" t="n"/>
      <c r="E354" s="23" t="n"/>
      <c r="F354" s="21" t="n"/>
      <c r="G354" s="11">
        <f>IF(C354="","",IFERROR(INDEX(Crops!$D$6:$D$65,MATCH(C354,Crops!$B$6:$B$65,0))&amp;"",""))</f>
        <v/>
      </c>
      <c r="H354" s="12">
        <f>IF(OR(C354="",NOT(ISNUMBER(E354))),"",E354*N(IFERROR(INDEX(Crops!$E$6:$E$65,MATCH(C354,Crops!$B$6:$B$65,0)),0)))</f>
        <v/>
      </c>
      <c r="I354" s="11">
        <f>IF(AND(C354="",E354=""),"",IF(NOT(ISNUMBER(B354)),"Needs a date",IF(C354="","Needs a crop",IF(COUNTIF(Crops!$B$6:$B$65,C354)=0,"Not on Crops",IF(NOT(ISNUMBER(E354)),"Needs the amount",IF(AND(D354&lt;&gt;"",COUNTIF(Beds!$B$6:$B$35,D354)=0),"Not on Beds",""))))))</f>
        <v/>
      </c>
      <c r="J354" s="1">
        <f>IF(ISNUMBER(B354),YEAR(B354),"")</f>
        <v/>
      </c>
      <c r="K354">
        <f>IF(ISNUMBER(B354),YEAR(B354)*100+MONTH(B354),"")</f>
        <v/>
      </c>
      <c r="L354">
        <f>IF(ISNUMBER(B354),INT(B354),0)</f>
        <v/>
      </c>
    </row>
    <row r="355">
      <c r="A355" s="1" t="n"/>
      <c r="B355" s="17" t="n"/>
      <c r="C355" s="18" t="n"/>
      <c r="D355" s="19" t="n"/>
      <c r="E355" s="23" t="n"/>
      <c r="F355" s="21" t="n"/>
      <c r="G355" s="11">
        <f>IF(C355="","",IFERROR(INDEX(Crops!$D$6:$D$65,MATCH(C355,Crops!$B$6:$B$65,0))&amp;"",""))</f>
        <v/>
      </c>
      <c r="H355" s="12">
        <f>IF(OR(C355="",NOT(ISNUMBER(E355))),"",E355*N(IFERROR(INDEX(Crops!$E$6:$E$65,MATCH(C355,Crops!$B$6:$B$65,0)),0)))</f>
        <v/>
      </c>
      <c r="I355" s="11">
        <f>IF(AND(C355="",E355=""),"",IF(NOT(ISNUMBER(B355)),"Needs a date",IF(C355="","Needs a crop",IF(COUNTIF(Crops!$B$6:$B$65,C355)=0,"Not on Crops",IF(NOT(ISNUMBER(E355)),"Needs the amount",IF(AND(D355&lt;&gt;"",COUNTIF(Beds!$B$6:$B$35,D355)=0),"Not on Beds",""))))))</f>
        <v/>
      </c>
      <c r="J355" s="1">
        <f>IF(ISNUMBER(B355),YEAR(B355),"")</f>
        <v/>
      </c>
      <c r="K355">
        <f>IF(ISNUMBER(B355),YEAR(B355)*100+MONTH(B355),"")</f>
        <v/>
      </c>
      <c r="L355">
        <f>IF(ISNUMBER(B355),INT(B355),0)</f>
        <v/>
      </c>
    </row>
    <row r="356">
      <c r="A356" s="1" t="n"/>
      <c r="B356" s="17" t="n"/>
      <c r="C356" s="18" t="n"/>
      <c r="D356" s="19" t="n"/>
      <c r="E356" s="23" t="n"/>
      <c r="F356" s="21" t="n"/>
      <c r="G356" s="11">
        <f>IF(C356="","",IFERROR(INDEX(Crops!$D$6:$D$65,MATCH(C356,Crops!$B$6:$B$65,0))&amp;"",""))</f>
        <v/>
      </c>
      <c r="H356" s="12">
        <f>IF(OR(C356="",NOT(ISNUMBER(E356))),"",E356*N(IFERROR(INDEX(Crops!$E$6:$E$65,MATCH(C356,Crops!$B$6:$B$65,0)),0)))</f>
        <v/>
      </c>
      <c r="I356" s="11">
        <f>IF(AND(C356="",E356=""),"",IF(NOT(ISNUMBER(B356)),"Needs a date",IF(C356="","Needs a crop",IF(COUNTIF(Crops!$B$6:$B$65,C356)=0,"Not on Crops",IF(NOT(ISNUMBER(E356)),"Needs the amount",IF(AND(D356&lt;&gt;"",COUNTIF(Beds!$B$6:$B$35,D356)=0),"Not on Beds",""))))))</f>
        <v/>
      </c>
      <c r="J356" s="1">
        <f>IF(ISNUMBER(B356),YEAR(B356),"")</f>
        <v/>
      </c>
      <c r="K356">
        <f>IF(ISNUMBER(B356),YEAR(B356)*100+MONTH(B356),"")</f>
        <v/>
      </c>
      <c r="L356">
        <f>IF(ISNUMBER(B356),INT(B356),0)</f>
        <v/>
      </c>
    </row>
    <row r="357">
      <c r="A357" s="1" t="n"/>
      <c r="B357" s="17" t="n"/>
      <c r="C357" s="18" t="n"/>
      <c r="D357" s="19" t="n"/>
      <c r="E357" s="23" t="n"/>
      <c r="F357" s="21" t="n"/>
      <c r="G357" s="11">
        <f>IF(C357="","",IFERROR(INDEX(Crops!$D$6:$D$65,MATCH(C357,Crops!$B$6:$B$65,0))&amp;"",""))</f>
        <v/>
      </c>
      <c r="H357" s="12">
        <f>IF(OR(C357="",NOT(ISNUMBER(E357))),"",E357*N(IFERROR(INDEX(Crops!$E$6:$E$65,MATCH(C357,Crops!$B$6:$B$65,0)),0)))</f>
        <v/>
      </c>
      <c r="I357" s="11">
        <f>IF(AND(C357="",E357=""),"",IF(NOT(ISNUMBER(B357)),"Needs a date",IF(C357="","Needs a crop",IF(COUNTIF(Crops!$B$6:$B$65,C357)=0,"Not on Crops",IF(NOT(ISNUMBER(E357)),"Needs the amount",IF(AND(D357&lt;&gt;"",COUNTIF(Beds!$B$6:$B$35,D357)=0),"Not on Beds",""))))))</f>
        <v/>
      </c>
      <c r="J357" s="1">
        <f>IF(ISNUMBER(B357),YEAR(B357),"")</f>
        <v/>
      </c>
      <c r="K357">
        <f>IF(ISNUMBER(B357),YEAR(B357)*100+MONTH(B357),"")</f>
        <v/>
      </c>
      <c r="L357">
        <f>IF(ISNUMBER(B357),INT(B357),0)</f>
        <v/>
      </c>
    </row>
    <row r="358">
      <c r="A358" s="1" t="n"/>
      <c r="B358" s="17" t="n"/>
      <c r="C358" s="18" t="n"/>
      <c r="D358" s="19" t="n"/>
      <c r="E358" s="23" t="n"/>
      <c r="F358" s="21" t="n"/>
      <c r="G358" s="11">
        <f>IF(C358="","",IFERROR(INDEX(Crops!$D$6:$D$65,MATCH(C358,Crops!$B$6:$B$65,0))&amp;"",""))</f>
        <v/>
      </c>
      <c r="H358" s="12">
        <f>IF(OR(C358="",NOT(ISNUMBER(E358))),"",E358*N(IFERROR(INDEX(Crops!$E$6:$E$65,MATCH(C358,Crops!$B$6:$B$65,0)),0)))</f>
        <v/>
      </c>
      <c r="I358" s="11">
        <f>IF(AND(C358="",E358=""),"",IF(NOT(ISNUMBER(B358)),"Needs a date",IF(C358="","Needs a crop",IF(COUNTIF(Crops!$B$6:$B$65,C358)=0,"Not on Crops",IF(NOT(ISNUMBER(E358)),"Needs the amount",IF(AND(D358&lt;&gt;"",COUNTIF(Beds!$B$6:$B$35,D358)=0),"Not on Beds",""))))))</f>
        <v/>
      </c>
      <c r="J358" s="1">
        <f>IF(ISNUMBER(B358),YEAR(B358),"")</f>
        <v/>
      </c>
      <c r="K358">
        <f>IF(ISNUMBER(B358),YEAR(B358)*100+MONTH(B358),"")</f>
        <v/>
      </c>
      <c r="L358">
        <f>IF(ISNUMBER(B358),INT(B358),0)</f>
        <v/>
      </c>
    </row>
    <row r="359">
      <c r="A359" s="1" t="n"/>
      <c r="B359" s="17" t="n"/>
      <c r="C359" s="18" t="n"/>
      <c r="D359" s="19" t="n"/>
      <c r="E359" s="23" t="n"/>
      <c r="F359" s="21" t="n"/>
      <c r="G359" s="11">
        <f>IF(C359="","",IFERROR(INDEX(Crops!$D$6:$D$65,MATCH(C359,Crops!$B$6:$B$65,0))&amp;"",""))</f>
        <v/>
      </c>
      <c r="H359" s="12">
        <f>IF(OR(C359="",NOT(ISNUMBER(E359))),"",E359*N(IFERROR(INDEX(Crops!$E$6:$E$65,MATCH(C359,Crops!$B$6:$B$65,0)),0)))</f>
        <v/>
      </c>
      <c r="I359" s="11">
        <f>IF(AND(C359="",E359=""),"",IF(NOT(ISNUMBER(B359)),"Needs a date",IF(C359="","Needs a crop",IF(COUNTIF(Crops!$B$6:$B$65,C359)=0,"Not on Crops",IF(NOT(ISNUMBER(E359)),"Needs the amount",IF(AND(D359&lt;&gt;"",COUNTIF(Beds!$B$6:$B$35,D359)=0),"Not on Beds",""))))))</f>
        <v/>
      </c>
      <c r="J359" s="1">
        <f>IF(ISNUMBER(B359),YEAR(B359),"")</f>
        <v/>
      </c>
      <c r="K359">
        <f>IF(ISNUMBER(B359),YEAR(B359)*100+MONTH(B359),"")</f>
        <v/>
      </c>
      <c r="L359">
        <f>IF(ISNUMBER(B359),INT(B359),0)</f>
        <v/>
      </c>
    </row>
    <row r="360">
      <c r="A360" s="1" t="n"/>
      <c r="B360" s="17" t="n"/>
      <c r="C360" s="18" t="n"/>
      <c r="D360" s="19" t="n"/>
      <c r="E360" s="23" t="n"/>
      <c r="F360" s="21" t="n"/>
      <c r="G360" s="11">
        <f>IF(C360="","",IFERROR(INDEX(Crops!$D$6:$D$65,MATCH(C360,Crops!$B$6:$B$65,0))&amp;"",""))</f>
        <v/>
      </c>
      <c r="H360" s="12">
        <f>IF(OR(C360="",NOT(ISNUMBER(E360))),"",E360*N(IFERROR(INDEX(Crops!$E$6:$E$65,MATCH(C360,Crops!$B$6:$B$65,0)),0)))</f>
        <v/>
      </c>
      <c r="I360" s="11">
        <f>IF(AND(C360="",E360=""),"",IF(NOT(ISNUMBER(B360)),"Needs a date",IF(C360="","Needs a crop",IF(COUNTIF(Crops!$B$6:$B$65,C360)=0,"Not on Crops",IF(NOT(ISNUMBER(E360)),"Needs the amount",IF(AND(D360&lt;&gt;"",COUNTIF(Beds!$B$6:$B$35,D360)=0),"Not on Beds",""))))))</f>
        <v/>
      </c>
      <c r="J360" s="1">
        <f>IF(ISNUMBER(B360),YEAR(B360),"")</f>
        <v/>
      </c>
      <c r="K360">
        <f>IF(ISNUMBER(B360),YEAR(B360)*100+MONTH(B360),"")</f>
        <v/>
      </c>
      <c r="L360">
        <f>IF(ISNUMBER(B360),INT(B360),0)</f>
        <v/>
      </c>
    </row>
    <row r="361">
      <c r="A361" s="1" t="n"/>
      <c r="B361" s="17" t="n"/>
      <c r="C361" s="18" t="n"/>
      <c r="D361" s="19" t="n"/>
      <c r="E361" s="23" t="n"/>
      <c r="F361" s="21" t="n"/>
      <c r="G361" s="11">
        <f>IF(C361="","",IFERROR(INDEX(Crops!$D$6:$D$65,MATCH(C361,Crops!$B$6:$B$65,0))&amp;"",""))</f>
        <v/>
      </c>
      <c r="H361" s="12">
        <f>IF(OR(C361="",NOT(ISNUMBER(E361))),"",E361*N(IFERROR(INDEX(Crops!$E$6:$E$65,MATCH(C361,Crops!$B$6:$B$65,0)),0)))</f>
        <v/>
      </c>
      <c r="I361" s="11">
        <f>IF(AND(C361="",E361=""),"",IF(NOT(ISNUMBER(B361)),"Needs a date",IF(C361="","Needs a crop",IF(COUNTIF(Crops!$B$6:$B$65,C361)=0,"Not on Crops",IF(NOT(ISNUMBER(E361)),"Needs the amount",IF(AND(D361&lt;&gt;"",COUNTIF(Beds!$B$6:$B$35,D361)=0),"Not on Beds",""))))))</f>
        <v/>
      </c>
      <c r="J361" s="1">
        <f>IF(ISNUMBER(B361),YEAR(B361),"")</f>
        <v/>
      </c>
      <c r="K361">
        <f>IF(ISNUMBER(B361),YEAR(B361)*100+MONTH(B361),"")</f>
        <v/>
      </c>
      <c r="L361">
        <f>IF(ISNUMBER(B361),INT(B361),0)</f>
        <v/>
      </c>
    </row>
    <row r="362">
      <c r="A362" s="1" t="n"/>
      <c r="B362" s="17" t="n"/>
      <c r="C362" s="18" t="n"/>
      <c r="D362" s="19" t="n"/>
      <c r="E362" s="23" t="n"/>
      <c r="F362" s="21" t="n"/>
      <c r="G362" s="11">
        <f>IF(C362="","",IFERROR(INDEX(Crops!$D$6:$D$65,MATCH(C362,Crops!$B$6:$B$65,0))&amp;"",""))</f>
        <v/>
      </c>
      <c r="H362" s="12">
        <f>IF(OR(C362="",NOT(ISNUMBER(E362))),"",E362*N(IFERROR(INDEX(Crops!$E$6:$E$65,MATCH(C362,Crops!$B$6:$B$65,0)),0)))</f>
        <v/>
      </c>
      <c r="I362" s="11">
        <f>IF(AND(C362="",E362=""),"",IF(NOT(ISNUMBER(B362)),"Needs a date",IF(C362="","Needs a crop",IF(COUNTIF(Crops!$B$6:$B$65,C362)=0,"Not on Crops",IF(NOT(ISNUMBER(E362)),"Needs the amount",IF(AND(D362&lt;&gt;"",COUNTIF(Beds!$B$6:$B$35,D362)=0),"Not on Beds",""))))))</f>
        <v/>
      </c>
      <c r="J362" s="1">
        <f>IF(ISNUMBER(B362),YEAR(B362),"")</f>
        <v/>
      </c>
      <c r="K362">
        <f>IF(ISNUMBER(B362),YEAR(B362)*100+MONTH(B362),"")</f>
        <v/>
      </c>
      <c r="L362">
        <f>IF(ISNUMBER(B362),INT(B362),0)</f>
        <v/>
      </c>
    </row>
    <row r="363">
      <c r="A363" s="1" t="n"/>
      <c r="B363" s="17" t="n"/>
      <c r="C363" s="18" t="n"/>
      <c r="D363" s="19" t="n"/>
      <c r="E363" s="23" t="n"/>
      <c r="F363" s="21" t="n"/>
      <c r="G363" s="11">
        <f>IF(C363="","",IFERROR(INDEX(Crops!$D$6:$D$65,MATCH(C363,Crops!$B$6:$B$65,0))&amp;"",""))</f>
        <v/>
      </c>
      <c r="H363" s="12">
        <f>IF(OR(C363="",NOT(ISNUMBER(E363))),"",E363*N(IFERROR(INDEX(Crops!$E$6:$E$65,MATCH(C363,Crops!$B$6:$B$65,0)),0)))</f>
        <v/>
      </c>
      <c r="I363" s="11">
        <f>IF(AND(C363="",E363=""),"",IF(NOT(ISNUMBER(B363)),"Needs a date",IF(C363="","Needs a crop",IF(COUNTIF(Crops!$B$6:$B$65,C363)=0,"Not on Crops",IF(NOT(ISNUMBER(E363)),"Needs the amount",IF(AND(D363&lt;&gt;"",COUNTIF(Beds!$B$6:$B$35,D363)=0),"Not on Beds",""))))))</f>
        <v/>
      </c>
      <c r="J363" s="1">
        <f>IF(ISNUMBER(B363),YEAR(B363),"")</f>
        <v/>
      </c>
      <c r="K363">
        <f>IF(ISNUMBER(B363),YEAR(B363)*100+MONTH(B363),"")</f>
        <v/>
      </c>
      <c r="L363">
        <f>IF(ISNUMBER(B363),INT(B363),0)</f>
        <v/>
      </c>
    </row>
    <row r="364">
      <c r="A364" s="1" t="n"/>
      <c r="B364" s="17" t="n"/>
      <c r="C364" s="18" t="n"/>
      <c r="D364" s="19" t="n"/>
      <c r="E364" s="23" t="n"/>
      <c r="F364" s="21" t="n"/>
      <c r="G364" s="11">
        <f>IF(C364="","",IFERROR(INDEX(Crops!$D$6:$D$65,MATCH(C364,Crops!$B$6:$B$65,0))&amp;"",""))</f>
        <v/>
      </c>
      <c r="H364" s="12">
        <f>IF(OR(C364="",NOT(ISNUMBER(E364))),"",E364*N(IFERROR(INDEX(Crops!$E$6:$E$65,MATCH(C364,Crops!$B$6:$B$65,0)),0)))</f>
        <v/>
      </c>
      <c r="I364" s="11">
        <f>IF(AND(C364="",E364=""),"",IF(NOT(ISNUMBER(B364)),"Needs a date",IF(C364="","Needs a crop",IF(COUNTIF(Crops!$B$6:$B$65,C364)=0,"Not on Crops",IF(NOT(ISNUMBER(E364)),"Needs the amount",IF(AND(D364&lt;&gt;"",COUNTIF(Beds!$B$6:$B$35,D364)=0),"Not on Beds",""))))))</f>
        <v/>
      </c>
      <c r="J364" s="1">
        <f>IF(ISNUMBER(B364),YEAR(B364),"")</f>
        <v/>
      </c>
      <c r="K364">
        <f>IF(ISNUMBER(B364),YEAR(B364)*100+MONTH(B364),"")</f>
        <v/>
      </c>
      <c r="L364">
        <f>IF(ISNUMBER(B364),INT(B364),0)</f>
        <v/>
      </c>
    </row>
    <row r="365">
      <c r="A365" s="1" t="n"/>
      <c r="B365" s="17" t="n"/>
      <c r="C365" s="18" t="n"/>
      <c r="D365" s="19" t="n"/>
      <c r="E365" s="23" t="n"/>
      <c r="F365" s="21" t="n"/>
      <c r="G365" s="11">
        <f>IF(C365="","",IFERROR(INDEX(Crops!$D$6:$D$65,MATCH(C365,Crops!$B$6:$B$65,0))&amp;"",""))</f>
        <v/>
      </c>
      <c r="H365" s="12">
        <f>IF(OR(C365="",NOT(ISNUMBER(E365))),"",E365*N(IFERROR(INDEX(Crops!$E$6:$E$65,MATCH(C365,Crops!$B$6:$B$65,0)),0)))</f>
        <v/>
      </c>
      <c r="I365" s="11">
        <f>IF(AND(C365="",E365=""),"",IF(NOT(ISNUMBER(B365)),"Needs a date",IF(C365="","Needs a crop",IF(COUNTIF(Crops!$B$6:$B$65,C365)=0,"Not on Crops",IF(NOT(ISNUMBER(E365)),"Needs the amount",IF(AND(D365&lt;&gt;"",COUNTIF(Beds!$B$6:$B$35,D365)=0),"Not on Beds",""))))))</f>
        <v/>
      </c>
      <c r="J365" s="1">
        <f>IF(ISNUMBER(B365),YEAR(B365),"")</f>
        <v/>
      </c>
      <c r="K365">
        <f>IF(ISNUMBER(B365),YEAR(B365)*100+MONTH(B365),"")</f>
        <v/>
      </c>
      <c r="L365">
        <f>IF(ISNUMBER(B365),INT(B365),0)</f>
        <v/>
      </c>
    </row>
    <row r="366">
      <c r="A366" s="1" t="n"/>
      <c r="B366" s="17" t="n"/>
      <c r="C366" s="18" t="n"/>
      <c r="D366" s="19" t="n"/>
      <c r="E366" s="23" t="n"/>
      <c r="F366" s="21" t="n"/>
      <c r="G366" s="11">
        <f>IF(C366="","",IFERROR(INDEX(Crops!$D$6:$D$65,MATCH(C366,Crops!$B$6:$B$65,0))&amp;"",""))</f>
        <v/>
      </c>
      <c r="H366" s="12">
        <f>IF(OR(C366="",NOT(ISNUMBER(E366))),"",E366*N(IFERROR(INDEX(Crops!$E$6:$E$65,MATCH(C366,Crops!$B$6:$B$65,0)),0)))</f>
        <v/>
      </c>
      <c r="I366" s="11">
        <f>IF(AND(C366="",E366=""),"",IF(NOT(ISNUMBER(B366)),"Needs a date",IF(C366="","Needs a crop",IF(COUNTIF(Crops!$B$6:$B$65,C366)=0,"Not on Crops",IF(NOT(ISNUMBER(E366)),"Needs the amount",IF(AND(D366&lt;&gt;"",COUNTIF(Beds!$B$6:$B$35,D366)=0),"Not on Beds",""))))))</f>
        <v/>
      </c>
      <c r="J366" s="1">
        <f>IF(ISNUMBER(B366),YEAR(B366),"")</f>
        <v/>
      </c>
      <c r="K366">
        <f>IF(ISNUMBER(B366),YEAR(B366)*100+MONTH(B366),"")</f>
        <v/>
      </c>
      <c r="L366">
        <f>IF(ISNUMBER(B366),INT(B366),0)</f>
        <v/>
      </c>
    </row>
    <row r="367">
      <c r="A367" s="1" t="n"/>
      <c r="B367" s="17" t="n"/>
      <c r="C367" s="18" t="n"/>
      <c r="D367" s="19" t="n"/>
      <c r="E367" s="23" t="n"/>
      <c r="F367" s="21" t="n"/>
      <c r="G367" s="11">
        <f>IF(C367="","",IFERROR(INDEX(Crops!$D$6:$D$65,MATCH(C367,Crops!$B$6:$B$65,0))&amp;"",""))</f>
        <v/>
      </c>
      <c r="H367" s="12">
        <f>IF(OR(C367="",NOT(ISNUMBER(E367))),"",E367*N(IFERROR(INDEX(Crops!$E$6:$E$65,MATCH(C367,Crops!$B$6:$B$65,0)),0)))</f>
        <v/>
      </c>
      <c r="I367" s="11">
        <f>IF(AND(C367="",E367=""),"",IF(NOT(ISNUMBER(B367)),"Needs a date",IF(C367="","Needs a crop",IF(COUNTIF(Crops!$B$6:$B$65,C367)=0,"Not on Crops",IF(NOT(ISNUMBER(E367)),"Needs the amount",IF(AND(D367&lt;&gt;"",COUNTIF(Beds!$B$6:$B$35,D367)=0),"Not on Beds",""))))))</f>
        <v/>
      </c>
      <c r="J367" s="1">
        <f>IF(ISNUMBER(B367),YEAR(B367),"")</f>
        <v/>
      </c>
      <c r="K367">
        <f>IF(ISNUMBER(B367),YEAR(B367)*100+MONTH(B367),"")</f>
        <v/>
      </c>
      <c r="L367">
        <f>IF(ISNUMBER(B367),INT(B367),0)</f>
        <v/>
      </c>
    </row>
    <row r="368">
      <c r="A368" s="1" t="n"/>
      <c r="B368" s="17" t="n"/>
      <c r="C368" s="18" t="n"/>
      <c r="D368" s="19" t="n"/>
      <c r="E368" s="23" t="n"/>
      <c r="F368" s="21" t="n"/>
      <c r="G368" s="11">
        <f>IF(C368="","",IFERROR(INDEX(Crops!$D$6:$D$65,MATCH(C368,Crops!$B$6:$B$65,0))&amp;"",""))</f>
        <v/>
      </c>
      <c r="H368" s="12">
        <f>IF(OR(C368="",NOT(ISNUMBER(E368))),"",E368*N(IFERROR(INDEX(Crops!$E$6:$E$65,MATCH(C368,Crops!$B$6:$B$65,0)),0)))</f>
        <v/>
      </c>
      <c r="I368" s="11">
        <f>IF(AND(C368="",E368=""),"",IF(NOT(ISNUMBER(B368)),"Needs a date",IF(C368="","Needs a crop",IF(COUNTIF(Crops!$B$6:$B$65,C368)=0,"Not on Crops",IF(NOT(ISNUMBER(E368)),"Needs the amount",IF(AND(D368&lt;&gt;"",COUNTIF(Beds!$B$6:$B$35,D368)=0),"Not on Beds",""))))))</f>
        <v/>
      </c>
      <c r="J368" s="1">
        <f>IF(ISNUMBER(B368),YEAR(B368),"")</f>
        <v/>
      </c>
      <c r="K368">
        <f>IF(ISNUMBER(B368),YEAR(B368)*100+MONTH(B368),"")</f>
        <v/>
      </c>
      <c r="L368">
        <f>IF(ISNUMBER(B368),INT(B368),0)</f>
        <v/>
      </c>
    </row>
    <row r="369">
      <c r="A369" s="1" t="n"/>
      <c r="B369" s="17" t="n"/>
      <c r="C369" s="18" t="n"/>
      <c r="D369" s="19" t="n"/>
      <c r="E369" s="23" t="n"/>
      <c r="F369" s="21" t="n"/>
      <c r="G369" s="11">
        <f>IF(C369="","",IFERROR(INDEX(Crops!$D$6:$D$65,MATCH(C369,Crops!$B$6:$B$65,0))&amp;"",""))</f>
        <v/>
      </c>
      <c r="H369" s="12">
        <f>IF(OR(C369="",NOT(ISNUMBER(E369))),"",E369*N(IFERROR(INDEX(Crops!$E$6:$E$65,MATCH(C369,Crops!$B$6:$B$65,0)),0)))</f>
        <v/>
      </c>
      <c r="I369" s="11">
        <f>IF(AND(C369="",E369=""),"",IF(NOT(ISNUMBER(B369)),"Needs a date",IF(C369="","Needs a crop",IF(COUNTIF(Crops!$B$6:$B$65,C369)=0,"Not on Crops",IF(NOT(ISNUMBER(E369)),"Needs the amount",IF(AND(D369&lt;&gt;"",COUNTIF(Beds!$B$6:$B$35,D369)=0),"Not on Beds",""))))))</f>
        <v/>
      </c>
      <c r="J369" s="1">
        <f>IF(ISNUMBER(B369),YEAR(B369),"")</f>
        <v/>
      </c>
      <c r="K369">
        <f>IF(ISNUMBER(B369),YEAR(B369)*100+MONTH(B369),"")</f>
        <v/>
      </c>
      <c r="L369">
        <f>IF(ISNUMBER(B369),INT(B369),0)</f>
        <v/>
      </c>
    </row>
    <row r="370">
      <c r="A370" s="1" t="n"/>
      <c r="B370" s="17" t="n"/>
      <c r="C370" s="18" t="n"/>
      <c r="D370" s="19" t="n"/>
      <c r="E370" s="23" t="n"/>
      <c r="F370" s="21" t="n"/>
      <c r="G370" s="11">
        <f>IF(C370="","",IFERROR(INDEX(Crops!$D$6:$D$65,MATCH(C370,Crops!$B$6:$B$65,0))&amp;"",""))</f>
        <v/>
      </c>
      <c r="H370" s="12">
        <f>IF(OR(C370="",NOT(ISNUMBER(E370))),"",E370*N(IFERROR(INDEX(Crops!$E$6:$E$65,MATCH(C370,Crops!$B$6:$B$65,0)),0)))</f>
        <v/>
      </c>
      <c r="I370" s="11">
        <f>IF(AND(C370="",E370=""),"",IF(NOT(ISNUMBER(B370)),"Needs a date",IF(C370="","Needs a crop",IF(COUNTIF(Crops!$B$6:$B$65,C370)=0,"Not on Crops",IF(NOT(ISNUMBER(E370)),"Needs the amount",IF(AND(D370&lt;&gt;"",COUNTIF(Beds!$B$6:$B$35,D370)=0),"Not on Beds",""))))))</f>
        <v/>
      </c>
      <c r="J370" s="1">
        <f>IF(ISNUMBER(B370),YEAR(B370),"")</f>
        <v/>
      </c>
      <c r="K370">
        <f>IF(ISNUMBER(B370),YEAR(B370)*100+MONTH(B370),"")</f>
        <v/>
      </c>
      <c r="L370">
        <f>IF(ISNUMBER(B370),INT(B370),0)</f>
        <v/>
      </c>
    </row>
    <row r="371">
      <c r="A371" s="1" t="n"/>
      <c r="B371" s="17" t="n"/>
      <c r="C371" s="18" t="n"/>
      <c r="D371" s="19" t="n"/>
      <c r="E371" s="23" t="n"/>
      <c r="F371" s="21" t="n"/>
      <c r="G371" s="11">
        <f>IF(C371="","",IFERROR(INDEX(Crops!$D$6:$D$65,MATCH(C371,Crops!$B$6:$B$65,0))&amp;"",""))</f>
        <v/>
      </c>
      <c r="H371" s="12">
        <f>IF(OR(C371="",NOT(ISNUMBER(E371))),"",E371*N(IFERROR(INDEX(Crops!$E$6:$E$65,MATCH(C371,Crops!$B$6:$B$65,0)),0)))</f>
        <v/>
      </c>
      <c r="I371" s="11">
        <f>IF(AND(C371="",E371=""),"",IF(NOT(ISNUMBER(B371)),"Needs a date",IF(C371="","Needs a crop",IF(COUNTIF(Crops!$B$6:$B$65,C371)=0,"Not on Crops",IF(NOT(ISNUMBER(E371)),"Needs the amount",IF(AND(D371&lt;&gt;"",COUNTIF(Beds!$B$6:$B$35,D371)=0),"Not on Beds",""))))))</f>
        <v/>
      </c>
      <c r="J371" s="1">
        <f>IF(ISNUMBER(B371),YEAR(B371),"")</f>
        <v/>
      </c>
      <c r="K371">
        <f>IF(ISNUMBER(B371),YEAR(B371)*100+MONTH(B371),"")</f>
        <v/>
      </c>
      <c r="L371">
        <f>IF(ISNUMBER(B371),INT(B371),0)</f>
        <v/>
      </c>
    </row>
    <row r="372">
      <c r="A372" s="1" t="n"/>
      <c r="B372" s="17" t="n"/>
      <c r="C372" s="18" t="n"/>
      <c r="D372" s="19" t="n"/>
      <c r="E372" s="23" t="n"/>
      <c r="F372" s="21" t="n"/>
      <c r="G372" s="11">
        <f>IF(C372="","",IFERROR(INDEX(Crops!$D$6:$D$65,MATCH(C372,Crops!$B$6:$B$65,0))&amp;"",""))</f>
        <v/>
      </c>
      <c r="H372" s="12">
        <f>IF(OR(C372="",NOT(ISNUMBER(E372))),"",E372*N(IFERROR(INDEX(Crops!$E$6:$E$65,MATCH(C372,Crops!$B$6:$B$65,0)),0)))</f>
        <v/>
      </c>
      <c r="I372" s="11">
        <f>IF(AND(C372="",E372=""),"",IF(NOT(ISNUMBER(B372)),"Needs a date",IF(C372="","Needs a crop",IF(COUNTIF(Crops!$B$6:$B$65,C372)=0,"Not on Crops",IF(NOT(ISNUMBER(E372)),"Needs the amount",IF(AND(D372&lt;&gt;"",COUNTIF(Beds!$B$6:$B$35,D372)=0),"Not on Beds",""))))))</f>
        <v/>
      </c>
      <c r="J372" s="1">
        <f>IF(ISNUMBER(B372),YEAR(B372),"")</f>
        <v/>
      </c>
      <c r="K372">
        <f>IF(ISNUMBER(B372),YEAR(B372)*100+MONTH(B372),"")</f>
        <v/>
      </c>
      <c r="L372">
        <f>IF(ISNUMBER(B372),INT(B372),0)</f>
        <v/>
      </c>
    </row>
    <row r="373">
      <c r="A373" s="1" t="n"/>
      <c r="B373" s="17" t="n"/>
      <c r="C373" s="18" t="n"/>
      <c r="D373" s="19" t="n"/>
      <c r="E373" s="23" t="n"/>
      <c r="F373" s="21" t="n"/>
      <c r="G373" s="11">
        <f>IF(C373="","",IFERROR(INDEX(Crops!$D$6:$D$65,MATCH(C373,Crops!$B$6:$B$65,0))&amp;"",""))</f>
        <v/>
      </c>
      <c r="H373" s="12">
        <f>IF(OR(C373="",NOT(ISNUMBER(E373))),"",E373*N(IFERROR(INDEX(Crops!$E$6:$E$65,MATCH(C373,Crops!$B$6:$B$65,0)),0)))</f>
        <v/>
      </c>
      <c r="I373" s="11">
        <f>IF(AND(C373="",E373=""),"",IF(NOT(ISNUMBER(B373)),"Needs a date",IF(C373="","Needs a crop",IF(COUNTIF(Crops!$B$6:$B$65,C373)=0,"Not on Crops",IF(NOT(ISNUMBER(E373)),"Needs the amount",IF(AND(D373&lt;&gt;"",COUNTIF(Beds!$B$6:$B$35,D373)=0),"Not on Beds",""))))))</f>
        <v/>
      </c>
      <c r="J373" s="1">
        <f>IF(ISNUMBER(B373),YEAR(B373),"")</f>
        <v/>
      </c>
      <c r="K373">
        <f>IF(ISNUMBER(B373),YEAR(B373)*100+MONTH(B373),"")</f>
        <v/>
      </c>
      <c r="L373">
        <f>IF(ISNUMBER(B373),INT(B373),0)</f>
        <v/>
      </c>
    </row>
    <row r="374">
      <c r="A374" s="1" t="n"/>
      <c r="B374" s="17" t="n"/>
      <c r="C374" s="18" t="n"/>
      <c r="D374" s="19" t="n"/>
      <c r="E374" s="23" t="n"/>
      <c r="F374" s="21" t="n"/>
      <c r="G374" s="11">
        <f>IF(C374="","",IFERROR(INDEX(Crops!$D$6:$D$65,MATCH(C374,Crops!$B$6:$B$65,0))&amp;"",""))</f>
        <v/>
      </c>
      <c r="H374" s="12">
        <f>IF(OR(C374="",NOT(ISNUMBER(E374))),"",E374*N(IFERROR(INDEX(Crops!$E$6:$E$65,MATCH(C374,Crops!$B$6:$B$65,0)),0)))</f>
        <v/>
      </c>
      <c r="I374" s="11">
        <f>IF(AND(C374="",E374=""),"",IF(NOT(ISNUMBER(B374)),"Needs a date",IF(C374="","Needs a crop",IF(COUNTIF(Crops!$B$6:$B$65,C374)=0,"Not on Crops",IF(NOT(ISNUMBER(E374)),"Needs the amount",IF(AND(D374&lt;&gt;"",COUNTIF(Beds!$B$6:$B$35,D374)=0),"Not on Beds",""))))))</f>
        <v/>
      </c>
      <c r="J374" s="1">
        <f>IF(ISNUMBER(B374),YEAR(B374),"")</f>
        <v/>
      </c>
      <c r="K374">
        <f>IF(ISNUMBER(B374),YEAR(B374)*100+MONTH(B374),"")</f>
        <v/>
      </c>
      <c r="L374">
        <f>IF(ISNUMBER(B374),INT(B374),0)</f>
        <v/>
      </c>
    </row>
    <row r="375">
      <c r="A375" s="1" t="n"/>
      <c r="B375" s="17" t="n"/>
      <c r="C375" s="18" t="n"/>
      <c r="D375" s="19" t="n"/>
      <c r="E375" s="23" t="n"/>
      <c r="F375" s="21" t="n"/>
      <c r="G375" s="11">
        <f>IF(C375="","",IFERROR(INDEX(Crops!$D$6:$D$65,MATCH(C375,Crops!$B$6:$B$65,0))&amp;"",""))</f>
        <v/>
      </c>
      <c r="H375" s="12">
        <f>IF(OR(C375="",NOT(ISNUMBER(E375))),"",E375*N(IFERROR(INDEX(Crops!$E$6:$E$65,MATCH(C375,Crops!$B$6:$B$65,0)),0)))</f>
        <v/>
      </c>
      <c r="I375" s="11">
        <f>IF(AND(C375="",E375=""),"",IF(NOT(ISNUMBER(B375)),"Needs a date",IF(C375="","Needs a crop",IF(COUNTIF(Crops!$B$6:$B$65,C375)=0,"Not on Crops",IF(NOT(ISNUMBER(E375)),"Needs the amount",IF(AND(D375&lt;&gt;"",COUNTIF(Beds!$B$6:$B$35,D375)=0),"Not on Beds",""))))))</f>
        <v/>
      </c>
      <c r="J375" s="1">
        <f>IF(ISNUMBER(B375),YEAR(B375),"")</f>
        <v/>
      </c>
      <c r="K375">
        <f>IF(ISNUMBER(B375),YEAR(B375)*100+MONTH(B375),"")</f>
        <v/>
      </c>
      <c r="L375">
        <f>IF(ISNUMBER(B375),INT(B375),0)</f>
        <v/>
      </c>
    </row>
    <row r="376">
      <c r="A376" s="1" t="n"/>
      <c r="B376" s="17" t="n"/>
      <c r="C376" s="18" t="n"/>
      <c r="D376" s="19" t="n"/>
      <c r="E376" s="23" t="n"/>
      <c r="F376" s="21" t="n"/>
      <c r="G376" s="11">
        <f>IF(C376="","",IFERROR(INDEX(Crops!$D$6:$D$65,MATCH(C376,Crops!$B$6:$B$65,0))&amp;"",""))</f>
        <v/>
      </c>
      <c r="H376" s="12">
        <f>IF(OR(C376="",NOT(ISNUMBER(E376))),"",E376*N(IFERROR(INDEX(Crops!$E$6:$E$65,MATCH(C376,Crops!$B$6:$B$65,0)),0)))</f>
        <v/>
      </c>
      <c r="I376" s="11">
        <f>IF(AND(C376="",E376=""),"",IF(NOT(ISNUMBER(B376)),"Needs a date",IF(C376="","Needs a crop",IF(COUNTIF(Crops!$B$6:$B$65,C376)=0,"Not on Crops",IF(NOT(ISNUMBER(E376)),"Needs the amount",IF(AND(D376&lt;&gt;"",COUNTIF(Beds!$B$6:$B$35,D376)=0),"Not on Beds",""))))))</f>
        <v/>
      </c>
      <c r="J376" s="1">
        <f>IF(ISNUMBER(B376),YEAR(B376),"")</f>
        <v/>
      </c>
      <c r="K376">
        <f>IF(ISNUMBER(B376),YEAR(B376)*100+MONTH(B376),"")</f>
        <v/>
      </c>
      <c r="L376">
        <f>IF(ISNUMBER(B376),INT(B376),0)</f>
        <v/>
      </c>
    </row>
    <row r="377">
      <c r="A377" s="1" t="n"/>
      <c r="B377" s="17" t="n"/>
      <c r="C377" s="18" t="n"/>
      <c r="D377" s="19" t="n"/>
      <c r="E377" s="23" t="n"/>
      <c r="F377" s="21" t="n"/>
      <c r="G377" s="11">
        <f>IF(C377="","",IFERROR(INDEX(Crops!$D$6:$D$65,MATCH(C377,Crops!$B$6:$B$65,0))&amp;"",""))</f>
        <v/>
      </c>
      <c r="H377" s="12">
        <f>IF(OR(C377="",NOT(ISNUMBER(E377))),"",E377*N(IFERROR(INDEX(Crops!$E$6:$E$65,MATCH(C377,Crops!$B$6:$B$65,0)),0)))</f>
        <v/>
      </c>
      <c r="I377" s="11">
        <f>IF(AND(C377="",E377=""),"",IF(NOT(ISNUMBER(B377)),"Needs a date",IF(C377="","Needs a crop",IF(COUNTIF(Crops!$B$6:$B$65,C377)=0,"Not on Crops",IF(NOT(ISNUMBER(E377)),"Needs the amount",IF(AND(D377&lt;&gt;"",COUNTIF(Beds!$B$6:$B$35,D377)=0),"Not on Beds",""))))))</f>
        <v/>
      </c>
      <c r="J377" s="1">
        <f>IF(ISNUMBER(B377),YEAR(B377),"")</f>
        <v/>
      </c>
      <c r="K377">
        <f>IF(ISNUMBER(B377),YEAR(B377)*100+MONTH(B377),"")</f>
        <v/>
      </c>
      <c r="L377">
        <f>IF(ISNUMBER(B377),INT(B377),0)</f>
        <v/>
      </c>
    </row>
    <row r="378">
      <c r="A378" s="1" t="n"/>
      <c r="B378" s="17" t="n"/>
      <c r="C378" s="18" t="n"/>
      <c r="D378" s="19" t="n"/>
      <c r="E378" s="23" t="n"/>
      <c r="F378" s="21" t="n"/>
      <c r="G378" s="11">
        <f>IF(C378="","",IFERROR(INDEX(Crops!$D$6:$D$65,MATCH(C378,Crops!$B$6:$B$65,0))&amp;"",""))</f>
        <v/>
      </c>
      <c r="H378" s="12">
        <f>IF(OR(C378="",NOT(ISNUMBER(E378))),"",E378*N(IFERROR(INDEX(Crops!$E$6:$E$65,MATCH(C378,Crops!$B$6:$B$65,0)),0)))</f>
        <v/>
      </c>
      <c r="I378" s="11">
        <f>IF(AND(C378="",E378=""),"",IF(NOT(ISNUMBER(B378)),"Needs a date",IF(C378="","Needs a crop",IF(COUNTIF(Crops!$B$6:$B$65,C378)=0,"Not on Crops",IF(NOT(ISNUMBER(E378)),"Needs the amount",IF(AND(D378&lt;&gt;"",COUNTIF(Beds!$B$6:$B$35,D378)=0),"Not on Beds",""))))))</f>
        <v/>
      </c>
      <c r="J378" s="1">
        <f>IF(ISNUMBER(B378),YEAR(B378),"")</f>
        <v/>
      </c>
      <c r="K378">
        <f>IF(ISNUMBER(B378),YEAR(B378)*100+MONTH(B378),"")</f>
        <v/>
      </c>
      <c r="L378">
        <f>IF(ISNUMBER(B378),INT(B378),0)</f>
        <v/>
      </c>
    </row>
    <row r="379">
      <c r="A379" s="1" t="n"/>
      <c r="B379" s="17" t="n"/>
      <c r="C379" s="18" t="n"/>
      <c r="D379" s="19" t="n"/>
      <c r="E379" s="23" t="n"/>
      <c r="F379" s="21" t="n"/>
      <c r="G379" s="11">
        <f>IF(C379="","",IFERROR(INDEX(Crops!$D$6:$D$65,MATCH(C379,Crops!$B$6:$B$65,0))&amp;"",""))</f>
        <v/>
      </c>
      <c r="H379" s="12">
        <f>IF(OR(C379="",NOT(ISNUMBER(E379))),"",E379*N(IFERROR(INDEX(Crops!$E$6:$E$65,MATCH(C379,Crops!$B$6:$B$65,0)),0)))</f>
        <v/>
      </c>
      <c r="I379" s="11">
        <f>IF(AND(C379="",E379=""),"",IF(NOT(ISNUMBER(B379)),"Needs a date",IF(C379="","Needs a crop",IF(COUNTIF(Crops!$B$6:$B$65,C379)=0,"Not on Crops",IF(NOT(ISNUMBER(E379)),"Needs the amount",IF(AND(D379&lt;&gt;"",COUNTIF(Beds!$B$6:$B$35,D379)=0),"Not on Beds",""))))))</f>
        <v/>
      </c>
      <c r="J379" s="1">
        <f>IF(ISNUMBER(B379),YEAR(B379),"")</f>
        <v/>
      </c>
      <c r="K379">
        <f>IF(ISNUMBER(B379),YEAR(B379)*100+MONTH(B379),"")</f>
        <v/>
      </c>
      <c r="L379">
        <f>IF(ISNUMBER(B379),INT(B379),0)</f>
        <v/>
      </c>
    </row>
    <row r="380">
      <c r="A380" s="1" t="n"/>
      <c r="B380" s="17" t="n"/>
      <c r="C380" s="18" t="n"/>
      <c r="D380" s="19" t="n"/>
      <c r="E380" s="23" t="n"/>
      <c r="F380" s="21" t="n"/>
      <c r="G380" s="11">
        <f>IF(C380="","",IFERROR(INDEX(Crops!$D$6:$D$65,MATCH(C380,Crops!$B$6:$B$65,0))&amp;"",""))</f>
        <v/>
      </c>
      <c r="H380" s="12">
        <f>IF(OR(C380="",NOT(ISNUMBER(E380))),"",E380*N(IFERROR(INDEX(Crops!$E$6:$E$65,MATCH(C380,Crops!$B$6:$B$65,0)),0)))</f>
        <v/>
      </c>
      <c r="I380" s="11">
        <f>IF(AND(C380="",E380=""),"",IF(NOT(ISNUMBER(B380)),"Needs a date",IF(C380="","Needs a crop",IF(COUNTIF(Crops!$B$6:$B$65,C380)=0,"Not on Crops",IF(NOT(ISNUMBER(E380)),"Needs the amount",IF(AND(D380&lt;&gt;"",COUNTIF(Beds!$B$6:$B$35,D380)=0),"Not on Beds",""))))))</f>
        <v/>
      </c>
      <c r="J380" s="1">
        <f>IF(ISNUMBER(B380),YEAR(B380),"")</f>
        <v/>
      </c>
      <c r="K380">
        <f>IF(ISNUMBER(B380),YEAR(B380)*100+MONTH(B380),"")</f>
        <v/>
      </c>
      <c r="L380">
        <f>IF(ISNUMBER(B380),INT(B380),0)</f>
        <v/>
      </c>
    </row>
    <row r="381">
      <c r="A381" s="1" t="n"/>
      <c r="B381" s="17" t="n"/>
      <c r="C381" s="18" t="n"/>
      <c r="D381" s="19" t="n"/>
      <c r="E381" s="23" t="n"/>
      <c r="F381" s="21" t="n"/>
      <c r="G381" s="11">
        <f>IF(C381="","",IFERROR(INDEX(Crops!$D$6:$D$65,MATCH(C381,Crops!$B$6:$B$65,0))&amp;"",""))</f>
        <v/>
      </c>
      <c r="H381" s="12">
        <f>IF(OR(C381="",NOT(ISNUMBER(E381))),"",E381*N(IFERROR(INDEX(Crops!$E$6:$E$65,MATCH(C381,Crops!$B$6:$B$65,0)),0)))</f>
        <v/>
      </c>
      <c r="I381" s="11">
        <f>IF(AND(C381="",E381=""),"",IF(NOT(ISNUMBER(B381)),"Needs a date",IF(C381="","Needs a crop",IF(COUNTIF(Crops!$B$6:$B$65,C381)=0,"Not on Crops",IF(NOT(ISNUMBER(E381)),"Needs the amount",IF(AND(D381&lt;&gt;"",COUNTIF(Beds!$B$6:$B$35,D381)=0),"Not on Beds",""))))))</f>
        <v/>
      </c>
      <c r="J381" s="1">
        <f>IF(ISNUMBER(B381),YEAR(B381),"")</f>
        <v/>
      </c>
      <c r="K381">
        <f>IF(ISNUMBER(B381),YEAR(B381)*100+MONTH(B381),"")</f>
        <v/>
      </c>
      <c r="L381">
        <f>IF(ISNUMBER(B381),INT(B381),0)</f>
        <v/>
      </c>
    </row>
    <row r="382">
      <c r="A382" s="1" t="n"/>
      <c r="B382" s="17" t="n"/>
      <c r="C382" s="18" t="n"/>
      <c r="D382" s="19" t="n"/>
      <c r="E382" s="23" t="n"/>
      <c r="F382" s="21" t="n"/>
      <c r="G382" s="11">
        <f>IF(C382="","",IFERROR(INDEX(Crops!$D$6:$D$65,MATCH(C382,Crops!$B$6:$B$65,0))&amp;"",""))</f>
        <v/>
      </c>
      <c r="H382" s="12">
        <f>IF(OR(C382="",NOT(ISNUMBER(E382))),"",E382*N(IFERROR(INDEX(Crops!$E$6:$E$65,MATCH(C382,Crops!$B$6:$B$65,0)),0)))</f>
        <v/>
      </c>
      <c r="I382" s="11">
        <f>IF(AND(C382="",E382=""),"",IF(NOT(ISNUMBER(B382)),"Needs a date",IF(C382="","Needs a crop",IF(COUNTIF(Crops!$B$6:$B$65,C382)=0,"Not on Crops",IF(NOT(ISNUMBER(E382)),"Needs the amount",IF(AND(D382&lt;&gt;"",COUNTIF(Beds!$B$6:$B$35,D382)=0),"Not on Beds",""))))))</f>
        <v/>
      </c>
      <c r="J382" s="1">
        <f>IF(ISNUMBER(B382),YEAR(B382),"")</f>
        <v/>
      </c>
      <c r="K382">
        <f>IF(ISNUMBER(B382),YEAR(B382)*100+MONTH(B382),"")</f>
        <v/>
      </c>
      <c r="L382">
        <f>IF(ISNUMBER(B382),INT(B382),0)</f>
        <v/>
      </c>
    </row>
    <row r="383">
      <c r="A383" s="1" t="n"/>
      <c r="B383" s="17" t="n"/>
      <c r="C383" s="18" t="n"/>
      <c r="D383" s="19" t="n"/>
      <c r="E383" s="23" t="n"/>
      <c r="F383" s="21" t="n"/>
      <c r="G383" s="11">
        <f>IF(C383="","",IFERROR(INDEX(Crops!$D$6:$D$65,MATCH(C383,Crops!$B$6:$B$65,0))&amp;"",""))</f>
        <v/>
      </c>
      <c r="H383" s="12">
        <f>IF(OR(C383="",NOT(ISNUMBER(E383))),"",E383*N(IFERROR(INDEX(Crops!$E$6:$E$65,MATCH(C383,Crops!$B$6:$B$65,0)),0)))</f>
        <v/>
      </c>
      <c r="I383" s="11">
        <f>IF(AND(C383="",E383=""),"",IF(NOT(ISNUMBER(B383)),"Needs a date",IF(C383="","Needs a crop",IF(COUNTIF(Crops!$B$6:$B$65,C383)=0,"Not on Crops",IF(NOT(ISNUMBER(E383)),"Needs the amount",IF(AND(D383&lt;&gt;"",COUNTIF(Beds!$B$6:$B$35,D383)=0),"Not on Beds",""))))))</f>
        <v/>
      </c>
      <c r="J383" s="1">
        <f>IF(ISNUMBER(B383),YEAR(B383),"")</f>
        <v/>
      </c>
      <c r="K383">
        <f>IF(ISNUMBER(B383),YEAR(B383)*100+MONTH(B383),"")</f>
        <v/>
      </c>
      <c r="L383">
        <f>IF(ISNUMBER(B383),INT(B383),0)</f>
        <v/>
      </c>
    </row>
    <row r="384">
      <c r="A384" s="1" t="n"/>
      <c r="B384" s="17" t="n"/>
      <c r="C384" s="18" t="n"/>
      <c r="D384" s="19" t="n"/>
      <c r="E384" s="23" t="n"/>
      <c r="F384" s="21" t="n"/>
      <c r="G384" s="11">
        <f>IF(C384="","",IFERROR(INDEX(Crops!$D$6:$D$65,MATCH(C384,Crops!$B$6:$B$65,0))&amp;"",""))</f>
        <v/>
      </c>
      <c r="H384" s="12">
        <f>IF(OR(C384="",NOT(ISNUMBER(E384))),"",E384*N(IFERROR(INDEX(Crops!$E$6:$E$65,MATCH(C384,Crops!$B$6:$B$65,0)),0)))</f>
        <v/>
      </c>
      <c r="I384" s="11">
        <f>IF(AND(C384="",E384=""),"",IF(NOT(ISNUMBER(B384)),"Needs a date",IF(C384="","Needs a crop",IF(COUNTIF(Crops!$B$6:$B$65,C384)=0,"Not on Crops",IF(NOT(ISNUMBER(E384)),"Needs the amount",IF(AND(D384&lt;&gt;"",COUNTIF(Beds!$B$6:$B$35,D384)=0),"Not on Beds",""))))))</f>
        <v/>
      </c>
      <c r="J384" s="1">
        <f>IF(ISNUMBER(B384),YEAR(B384),"")</f>
        <v/>
      </c>
      <c r="K384">
        <f>IF(ISNUMBER(B384),YEAR(B384)*100+MONTH(B384),"")</f>
        <v/>
      </c>
      <c r="L384">
        <f>IF(ISNUMBER(B384),INT(B384),0)</f>
        <v/>
      </c>
    </row>
    <row r="385">
      <c r="A385" s="1" t="n"/>
      <c r="B385" s="17" t="n"/>
      <c r="C385" s="18" t="n"/>
      <c r="D385" s="19" t="n"/>
      <c r="E385" s="23" t="n"/>
      <c r="F385" s="21" t="n"/>
      <c r="G385" s="11">
        <f>IF(C385="","",IFERROR(INDEX(Crops!$D$6:$D$65,MATCH(C385,Crops!$B$6:$B$65,0))&amp;"",""))</f>
        <v/>
      </c>
      <c r="H385" s="12">
        <f>IF(OR(C385="",NOT(ISNUMBER(E385))),"",E385*N(IFERROR(INDEX(Crops!$E$6:$E$65,MATCH(C385,Crops!$B$6:$B$65,0)),0)))</f>
        <v/>
      </c>
      <c r="I385" s="11">
        <f>IF(AND(C385="",E385=""),"",IF(NOT(ISNUMBER(B385)),"Needs a date",IF(C385="","Needs a crop",IF(COUNTIF(Crops!$B$6:$B$65,C385)=0,"Not on Crops",IF(NOT(ISNUMBER(E385)),"Needs the amount",IF(AND(D385&lt;&gt;"",COUNTIF(Beds!$B$6:$B$35,D385)=0),"Not on Beds",""))))))</f>
        <v/>
      </c>
      <c r="J385" s="1">
        <f>IF(ISNUMBER(B385),YEAR(B385),"")</f>
        <v/>
      </c>
      <c r="K385">
        <f>IF(ISNUMBER(B385),YEAR(B385)*100+MONTH(B385),"")</f>
        <v/>
      </c>
      <c r="L385">
        <f>IF(ISNUMBER(B385),INT(B385),0)</f>
        <v/>
      </c>
    </row>
    <row r="386">
      <c r="A386" s="1" t="n"/>
      <c r="B386" s="17" t="n"/>
      <c r="C386" s="18" t="n"/>
      <c r="D386" s="19" t="n"/>
      <c r="E386" s="23" t="n"/>
      <c r="F386" s="21" t="n"/>
      <c r="G386" s="11">
        <f>IF(C386="","",IFERROR(INDEX(Crops!$D$6:$D$65,MATCH(C386,Crops!$B$6:$B$65,0))&amp;"",""))</f>
        <v/>
      </c>
      <c r="H386" s="12">
        <f>IF(OR(C386="",NOT(ISNUMBER(E386))),"",E386*N(IFERROR(INDEX(Crops!$E$6:$E$65,MATCH(C386,Crops!$B$6:$B$65,0)),0)))</f>
        <v/>
      </c>
      <c r="I386" s="11">
        <f>IF(AND(C386="",E386=""),"",IF(NOT(ISNUMBER(B386)),"Needs a date",IF(C386="","Needs a crop",IF(COUNTIF(Crops!$B$6:$B$65,C386)=0,"Not on Crops",IF(NOT(ISNUMBER(E386)),"Needs the amount",IF(AND(D386&lt;&gt;"",COUNTIF(Beds!$B$6:$B$35,D386)=0),"Not on Beds",""))))))</f>
        <v/>
      </c>
      <c r="J386" s="1">
        <f>IF(ISNUMBER(B386),YEAR(B386),"")</f>
        <v/>
      </c>
      <c r="K386">
        <f>IF(ISNUMBER(B386),YEAR(B386)*100+MONTH(B386),"")</f>
        <v/>
      </c>
      <c r="L386">
        <f>IF(ISNUMBER(B386),INT(B386),0)</f>
        <v/>
      </c>
    </row>
    <row r="387">
      <c r="A387" s="1" t="n"/>
      <c r="B387" s="17" t="n"/>
      <c r="C387" s="18" t="n"/>
      <c r="D387" s="19" t="n"/>
      <c r="E387" s="23" t="n"/>
      <c r="F387" s="21" t="n"/>
      <c r="G387" s="11">
        <f>IF(C387="","",IFERROR(INDEX(Crops!$D$6:$D$65,MATCH(C387,Crops!$B$6:$B$65,0))&amp;"",""))</f>
        <v/>
      </c>
      <c r="H387" s="12">
        <f>IF(OR(C387="",NOT(ISNUMBER(E387))),"",E387*N(IFERROR(INDEX(Crops!$E$6:$E$65,MATCH(C387,Crops!$B$6:$B$65,0)),0)))</f>
        <v/>
      </c>
      <c r="I387" s="11">
        <f>IF(AND(C387="",E387=""),"",IF(NOT(ISNUMBER(B387)),"Needs a date",IF(C387="","Needs a crop",IF(COUNTIF(Crops!$B$6:$B$65,C387)=0,"Not on Crops",IF(NOT(ISNUMBER(E387)),"Needs the amount",IF(AND(D387&lt;&gt;"",COUNTIF(Beds!$B$6:$B$35,D387)=0),"Not on Beds",""))))))</f>
        <v/>
      </c>
      <c r="J387" s="1">
        <f>IF(ISNUMBER(B387),YEAR(B387),"")</f>
        <v/>
      </c>
      <c r="K387">
        <f>IF(ISNUMBER(B387),YEAR(B387)*100+MONTH(B387),"")</f>
        <v/>
      </c>
      <c r="L387">
        <f>IF(ISNUMBER(B387),INT(B387),0)</f>
        <v/>
      </c>
    </row>
    <row r="388">
      <c r="A388" s="1" t="n"/>
      <c r="B388" s="17" t="n"/>
      <c r="C388" s="18" t="n"/>
      <c r="D388" s="19" t="n"/>
      <c r="E388" s="23" t="n"/>
      <c r="F388" s="21" t="n"/>
      <c r="G388" s="11">
        <f>IF(C388="","",IFERROR(INDEX(Crops!$D$6:$D$65,MATCH(C388,Crops!$B$6:$B$65,0))&amp;"",""))</f>
        <v/>
      </c>
      <c r="H388" s="12">
        <f>IF(OR(C388="",NOT(ISNUMBER(E388))),"",E388*N(IFERROR(INDEX(Crops!$E$6:$E$65,MATCH(C388,Crops!$B$6:$B$65,0)),0)))</f>
        <v/>
      </c>
      <c r="I388" s="11">
        <f>IF(AND(C388="",E388=""),"",IF(NOT(ISNUMBER(B388)),"Needs a date",IF(C388="","Needs a crop",IF(COUNTIF(Crops!$B$6:$B$65,C388)=0,"Not on Crops",IF(NOT(ISNUMBER(E388)),"Needs the amount",IF(AND(D388&lt;&gt;"",COUNTIF(Beds!$B$6:$B$35,D388)=0),"Not on Beds",""))))))</f>
        <v/>
      </c>
      <c r="J388" s="1">
        <f>IF(ISNUMBER(B388),YEAR(B388),"")</f>
        <v/>
      </c>
      <c r="K388">
        <f>IF(ISNUMBER(B388),YEAR(B388)*100+MONTH(B388),"")</f>
        <v/>
      </c>
      <c r="L388">
        <f>IF(ISNUMBER(B388),INT(B388),0)</f>
        <v/>
      </c>
    </row>
    <row r="389">
      <c r="A389" s="1" t="n"/>
      <c r="B389" s="17" t="n"/>
      <c r="C389" s="18" t="n"/>
      <c r="D389" s="19" t="n"/>
      <c r="E389" s="23" t="n"/>
      <c r="F389" s="21" t="n"/>
      <c r="G389" s="11">
        <f>IF(C389="","",IFERROR(INDEX(Crops!$D$6:$D$65,MATCH(C389,Crops!$B$6:$B$65,0))&amp;"",""))</f>
        <v/>
      </c>
      <c r="H389" s="12">
        <f>IF(OR(C389="",NOT(ISNUMBER(E389))),"",E389*N(IFERROR(INDEX(Crops!$E$6:$E$65,MATCH(C389,Crops!$B$6:$B$65,0)),0)))</f>
        <v/>
      </c>
      <c r="I389" s="11">
        <f>IF(AND(C389="",E389=""),"",IF(NOT(ISNUMBER(B389)),"Needs a date",IF(C389="","Needs a crop",IF(COUNTIF(Crops!$B$6:$B$65,C389)=0,"Not on Crops",IF(NOT(ISNUMBER(E389)),"Needs the amount",IF(AND(D389&lt;&gt;"",COUNTIF(Beds!$B$6:$B$35,D389)=0),"Not on Beds",""))))))</f>
        <v/>
      </c>
      <c r="J389" s="1">
        <f>IF(ISNUMBER(B389),YEAR(B389),"")</f>
        <v/>
      </c>
      <c r="K389">
        <f>IF(ISNUMBER(B389),YEAR(B389)*100+MONTH(B389),"")</f>
        <v/>
      </c>
      <c r="L389">
        <f>IF(ISNUMBER(B389),INT(B389),0)</f>
        <v/>
      </c>
    </row>
    <row r="390">
      <c r="A390" s="1" t="n"/>
      <c r="B390" s="17" t="n"/>
      <c r="C390" s="18" t="n"/>
      <c r="D390" s="19" t="n"/>
      <c r="E390" s="23" t="n"/>
      <c r="F390" s="21" t="n"/>
      <c r="G390" s="11">
        <f>IF(C390="","",IFERROR(INDEX(Crops!$D$6:$D$65,MATCH(C390,Crops!$B$6:$B$65,0))&amp;"",""))</f>
        <v/>
      </c>
      <c r="H390" s="12">
        <f>IF(OR(C390="",NOT(ISNUMBER(E390))),"",E390*N(IFERROR(INDEX(Crops!$E$6:$E$65,MATCH(C390,Crops!$B$6:$B$65,0)),0)))</f>
        <v/>
      </c>
      <c r="I390" s="11">
        <f>IF(AND(C390="",E390=""),"",IF(NOT(ISNUMBER(B390)),"Needs a date",IF(C390="","Needs a crop",IF(COUNTIF(Crops!$B$6:$B$65,C390)=0,"Not on Crops",IF(NOT(ISNUMBER(E390)),"Needs the amount",IF(AND(D390&lt;&gt;"",COUNTIF(Beds!$B$6:$B$35,D390)=0),"Not on Beds",""))))))</f>
        <v/>
      </c>
      <c r="J390" s="1">
        <f>IF(ISNUMBER(B390),YEAR(B390),"")</f>
        <v/>
      </c>
      <c r="K390">
        <f>IF(ISNUMBER(B390),YEAR(B390)*100+MONTH(B390),"")</f>
        <v/>
      </c>
      <c r="L390">
        <f>IF(ISNUMBER(B390),INT(B390),0)</f>
        <v/>
      </c>
    </row>
    <row r="391">
      <c r="A391" s="1" t="n"/>
      <c r="B391" s="17" t="n"/>
      <c r="C391" s="18" t="n"/>
      <c r="D391" s="19" t="n"/>
      <c r="E391" s="23" t="n"/>
      <c r="F391" s="21" t="n"/>
      <c r="G391" s="11">
        <f>IF(C391="","",IFERROR(INDEX(Crops!$D$6:$D$65,MATCH(C391,Crops!$B$6:$B$65,0))&amp;"",""))</f>
        <v/>
      </c>
      <c r="H391" s="12">
        <f>IF(OR(C391="",NOT(ISNUMBER(E391))),"",E391*N(IFERROR(INDEX(Crops!$E$6:$E$65,MATCH(C391,Crops!$B$6:$B$65,0)),0)))</f>
        <v/>
      </c>
      <c r="I391" s="11">
        <f>IF(AND(C391="",E391=""),"",IF(NOT(ISNUMBER(B391)),"Needs a date",IF(C391="","Needs a crop",IF(COUNTIF(Crops!$B$6:$B$65,C391)=0,"Not on Crops",IF(NOT(ISNUMBER(E391)),"Needs the amount",IF(AND(D391&lt;&gt;"",COUNTIF(Beds!$B$6:$B$35,D391)=0),"Not on Beds",""))))))</f>
        <v/>
      </c>
      <c r="J391" s="1">
        <f>IF(ISNUMBER(B391),YEAR(B391),"")</f>
        <v/>
      </c>
      <c r="K391">
        <f>IF(ISNUMBER(B391),YEAR(B391)*100+MONTH(B391),"")</f>
        <v/>
      </c>
      <c r="L391">
        <f>IF(ISNUMBER(B391),INT(B391),0)</f>
        <v/>
      </c>
    </row>
    <row r="392">
      <c r="A392" s="1" t="n"/>
      <c r="B392" s="17" t="n"/>
      <c r="C392" s="18" t="n"/>
      <c r="D392" s="19" t="n"/>
      <c r="E392" s="23" t="n"/>
      <c r="F392" s="21" t="n"/>
      <c r="G392" s="11">
        <f>IF(C392="","",IFERROR(INDEX(Crops!$D$6:$D$65,MATCH(C392,Crops!$B$6:$B$65,0))&amp;"",""))</f>
        <v/>
      </c>
      <c r="H392" s="12">
        <f>IF(OR(C392="",NOT(ISNUMBER(E392))),"",E392*N(IFERROR(INDEX(Crops!$E$6:$E$65,MATCH(C392,Crops!$B$6:$B$65,0)),0)))</f>
        <v/>
      </c>
      <c r="I392" s="11">
        <f>IF(AND(C392="",E392=""),"",IF(NOT(ISNUMBER(B392)),"Needs a date",IF(C392="","Needs a crop",IF(COUNTIF(Crops!$B$6:$B$65,C392)=0,"Not on Crops",IF(NOT(ISNUMBER(E392)),"Needs the amount",IF(AND(D392&lt;&gt;"",COUNTIF(Beds!$B$6:$B$35,D392)=0),"Not on Beds",""))))))</f>
        <v/>
      </c>
      <c r="J392" s="1">
        <f>IF(ISNUMBER(B392),YEAR(B392),"")</f>
        <v/>
      </c>
      <c r="K392">
        <f>IF(ISNUMBER(B392),YEAR(B392)*100+MONTH(B392),"")</f>
        <v/>
      </c>
      <c r="L392">
        <f>IF(ISNUMBER(B392),INT(B392),0)</f>
        <v/>
      </c>
    </row>
    <row r="393">
      <c r="A393" s="1" t="n"/>
      <c r="B393" s="17" t="n"/>
      <c r="C393" s="18" t="n"/>
      <c r="D393" s="19" t="n"/>
      <c r="E393" s="23" t="n"/>
      <c r="F393" s="21" t="n"/>
      <c r="G393" s="11">
        <f>IF(C393="","",IFERROR(INDEX(Crops!$D$6:$D$65,MATCH(C393,Crops!$B$6:$B$65,0))&amp;"",""))</f>
        <v/>
      </c>
      <c r="H393" s="12">
        <f>IF(OR(C393="",NOT(ISNUMBER(E393))),"",E393*N(IFERROR(INDEX(Crops!$E$6:$E$65,MATCH(C393,Crops!$B$6:$B$65,0)),0)))</f>
        <v/>
      </c>
      <c r="I393" s="11">
        <f>IF(AND(C393="",E393=""),"",IF(NOT(ISNUMBER(B393)),"Needs a date",IF(C393="","Needs a crop",IF(COUNTIF(Crops!$B$6:$B$65,C393)=0,"Not on Crops",IF(NOT(ISNUMBER(E393)),"Needs the amount",IF(AND(D393&lt;&gt;"",COUNTIF(Beds!$B$6:$B$35,D393)=0),"Not on Beds",""))))))</f>
        <v/>
      </c>
      <c r="J393" s="1">
        <f>IF(ISNUMBER(B393),YEAR(B393),"")</f>
        <v/>
      </c>
      <c r="K393">
        <f>IF(ISNUMBER(B393),YEAR(B393)*100+MONTH(B393),"")</f>
        <v/>
      </c>
      <c r="L393">
        <f>IF(ISNUMBER(B393),INT(B393),0)</f>
        <v/>
      </c>
    </row>
    <row r="394">
      <c r="A394" s="1" t="n"/>
      <c r="B394" s="17" t="n"/>
      <c r="C394" s="18" t="n"/>
      <c r="D394" s="19" t="n"/>
      <c r="E394" s="23" t="n"/>
      <c r="F394" s="21" t="n"/>
      <c r="G394" s="11">
        <f>IF(C394="","",IFERROR(INDEX(Crops!$D$6:$D$65,MATCH(C394,Crops!$B$6:$B$65,0))&amp;"",""))</f>
        <v/>
      </c>
      <c r="H394" s="12">
        <f>IF(OR(C394="",NOT(ISNUMBER(E394))),"",E394*N(IFERROR(INDEX(Crops!$E$6:$E$65,MATCH(C394,Crops!$B$6:$B$65,0)),0)))</f>
        <v/>
      </c>
      <c r="I394" s="11">
        <f>IF(AND(C394="",E394=""),"",IF(NOT(ISNUMBER(B394)),"Needs a date",IF(C394="","Needs a crop",IF(COUNTIF(Crops!$B$6:$B$65,C394)=0,"Not on Crops",IF(NOT(ISNUMBER(E394)),"Needs the amount",IF(AND(D394&lt;&gt;"",COUNTIF(Beds!$B$6:$B$35,D394)=0),"Not on Beds",""))))))</f>
        <v/>
      </c>
      <c r="J394" s="1">
        <f>IF(ISNUMBER(B394),YEAR(B394),"")</f>
        <v/>
      </c>
      <c r="K394">
        <f>IF(ISNUMBER(B394),YEAR(B394)*100+MONTH(B394),"")</f>
        <v/>
      </c>
      <c r="L394">
        <f>IF(ISNUMBER(B394),INT(B394),0)</f>
        <v/>
      </c>
    </row>
    <row r="395">
      <c r="A395" s="1" t="n"/>
      <c r="B395" s="17" t="n"/>
      <c r="C395" s="18" t="n"/>
      <c r="D395" s="19" t="n"/>
      <c r="E395" s="23" t="n"/>
      <c r="F395" s="21" t="n"/>
      <c r="G395" s="11">
        <f>IF(C395="","",IFERROR(INDEX(Crops!$D$6:$D$65,MATCH(C395,Crops!$B$6:$B$65,0))&amp;"",""))</f>
        <v/>
      </c>
      <c r="H395" s="12">
        <f>IF(OR(C395="",NOT(ISNUMBER(E395))),"",E395*N(IFERROR(INDEX(Crops!$E$6:$E$65,MATCH(C395,Crops!$B$6:$B$65,0)),0)))</f>
        <v/>
      </c>
      <c r="I395" s="11">
        <f>IF(AND(C395="",E395=""),"",IF(NOT(ISNUMBER(B395)),"Needs a date",IF(C395="","Needs a crop",IF(COUNTIF(Crops!$B$6:$B$65,C395)=0,"Not on Crops",IF(NOT(ISNUMBER(E395)),"Needs the amount",IF(AND(D395&lt;&gt;"",COUNTIF(Beds!$B$6:$B$35,D395)=0),"Not on Beds",""))))))</f>
        <v/>
      </c>
      <c r="J395" s="1">
        <f>IF(ISNUMBER(B395),YEAR(B395),"")</f>
        <v/>
      </c>
      <c r="K395">
        <f>IF(ISNUMBER(B395),YEAR(B395)*100+MONTH(B395),"")</f>
        <v/>
      </c>
      <c r="L395">
        <f>IF(ISNUMBER(B395),INT(B395),0)</f>
        <v/>
      </c>
    </row>
    <row r="396">
      <c r="A396" s="1" t="n"/>
      <c r="B396" s="17" t="n"/>
      <c r="C396" s="18" t="n"/>
      <c r="D396" s="19" t="n"/>
      <c r="E396" s="23" t="n"/>
      <c r="F396" s="21" t="n"/>
      <c r="G396" s="11">
        <f>IF(C396="","",IFERROR(INDEX(Crops!$D$6:$D$65,MATCH(C396,Crops!$B$6:$B$65,0))&amp;"",""))</f>
        <v/>
      </c>
      <c r="H396" s="12">
        <f>IF(OR(C396="",NOT(ISNUMBER(E396))),"",E396*N(IFERROR(INDEX(Crops!$E$6:$E$65,MATCH(C396,Crops!$B$6:$B$65,0)),0)))</f>
        <v/>
      </c>
      <c r="I396" s="11">
        <f>IF(AND(C396="",E396=""),"",IF(NOT(ISNUMBER(B396)),"Needs a date",IF(C396="","Needs a crop",IF(COUNTIF(Crops!$B$6:$B$65,C396)=0,"Not on Crops",IF(NOT(ISNUMBER(E396)),"Needs the amount",IF(AND(D396&lt;&gt;"",COUNTIF(Beds!$B$6:$B$35,D396)=0),"Not on Beds",""))))))</f>
        <v/>
      </c>
      <c r="J396" s="1">
        <f>IF(ISNUMBER(B396),YEAR(B396),"")</f>
        <v/>
      </c>
      <c r="K396">
        <f>IF(ISNUMBER(B396),YEAR(B396)*100+MONTH(B396),"")</f>
        <v/>
      </c>
      <c r="L396">
        <f>IF(ISNUMBER(B396),INT(B396),0)</f>
        <v/>
      </c>
    </row>
    <row r="397">
      <c r="A397" s="1" t="n"/>
      <c r="B397" s="17" t="n"/>
      <c r="C397" s="18" t="n"/>
      <c r="D397" s="19" t="n"/>
      <c r="E397" s="23" t="n"/>
      <c r="F397" s="21" t="n"/>
      <c r="G397" s="11">
        <f>IF(C397="","",IFERROR(INDEX(Crops!$D$6:$D$65,MATCH(C397,Crops!$B$6:$B$65,0))&amp;"",""))</f>
        <v/>
      </c>
      <c r="H397" s="12">
        <f>IF(OR(C397="",NOT(ISNUMBER(E397))),"",E397*N(IFERROR(INDEX(Crops!$E$6:$E$65,MATCH(C397,Crops!$B$6:$B$65,0)),0)))</f>
        <v/>
      </c>
      <c r="I397" s="11">
        <f>IF(AND(C397="",E397=""),"",IF(NOT(ISNUMBER(B397)),"Needs a date",IF(C397="","Needs a crop",IF(COUNTIF(Crops!$B$6:$B$65,C397)=0,"Not on Crops",IF(NOT(ISNUMBER(E397)),"Needs the amount",IF(AND(D397&lt;&gt;"",COUNTIF(Beds!$B$6:$B$35,D397)=0),"Not on Beds",""))))))</f>
        <v/>
      </c>
      <c r="J397" s="1">
        <f>IF(ISNUMBER(B397),YEAR(B397),"")</f>
        <v/>
      </c>
      <c r="K397">
        <f>IF(ISNUMBER(B397),YEAR(B397)*100+MONTH(B397),"")</f>
        <v/>
      </c>
      <c r="L397">
        <f>IF(ISNUMBER(B397),INT(B397),0)</f>
        <v/>
      </c>
    </row>
    <row r="398">
      <c r="A398" s="1" t="n"/>
      <c r="B398" s="17" t="n"/>
      <c r="C398" s="18" t="n"/>
      <c r="D398" s="19" t="n"/>
      <c r="E398" s="23" t="n"/>
      <c r="F398" s="21" t="n"/>
      <c r="G398" s="11">
        <f>IF(C398="","",IFERROR(INDEX(Crops!$D$6:$D$65,MATCH(C398,Crops!$B$6:$B$65,0))&amp;"",""))</f>
        <v/>
      </c>
      <c r="H398" s="12">
        <f>IF(OR(C398="",NOT(ISNUMBER(E398))),"",E398*N(IFERROR(INDEX(Crops!$E$6:$E$65,MATCH(C398,Crops!$B$6:$B$65,0)),0)))</f>
        <v/>
      </c>
      <c r="I398" s="11">
        <f>IF(AND(C398="",E398=""),"",IF(NOT(ISNUMBER(B398)),"Needs a date",IF(C398="","Needs a crop",IF(COUNTIF(Crops!$B$6:$B$65,C398)=0,"Not on Crops",IF(NOT(ISNUMBER(E398)),"Needs the amount",IF(AND(D398&lt;&gt;"",COUNTIF(Beds!$B$6:$B$35,D398)=0),"Not on Beds",""))))))</f>
        <v/>
      </c>
      <c r="J398" s="1">
        <f>IF(ISNUMBER(B398),YEAR(B398),"")</f>
        <v/>
      </c>
      <c r="K398">
        <f>IF(ISNUMBER(B398),YEAR(B398)*100+MONTH(B398),"")</f>
        <v/>
      </c>
      <c r="L398">
        <f>IF(ISNUMBER(B398),INT(B398),0)</f>
        <v/>
      </c>
    </row>
    <row r="399">
      <c r="A399" s="1" t="n"/>
      <c r="B399" s="17" t="n"/>
      <c r="C399" s="18" t="n"/>
      <c r="D399" s="19" t="n"/>
      <c r="E399" s="23" t="n"/>
      <c r="F399" s="21" t="n"/>
      <c r="G399" s="11">
        <f>IF(C399="","",IFERROR(INDEX(Crops!$D$6:$D$65,MATCH(C399,Crops!$B$6:$B$65,0))&amp;"",""))</f>
        <v/>
      </c>
      <c r="H399" s="12">
        <f>IF(OR(C399="",NOT(ISNUMBER(E399))),"",E399*N(IFERROR(INDEX(Crops!$E$6:$E$65,MATCH(C399,Crops!$B$6:$B$65,0)),0)))</f>
        <v/>
      </c>
      <c r="I399" s="11">
        <f>IF(AND(C399="",E399=""),"",IF(NOT(ISNUMBER(B399)),"Needs a date",IF(C399="","Needs a crop",IF(COUNTIF(Crops!$B$6:$B$65,C399)=0,"Not on Crops",IF(NOT(ISNUMBER(E399)),"Needs the amount",IF(AND(D399&lt;&gt;"",COUNTIF(Beds!$B$6:$B$35,D399)=0),"Not on Beds",""))))))</f>
        <v/>
      </c>
      <c r="J399" s="1">
        <f>IF(ISNUMBER(B399),YEAR(B399),"")</f>
        <v/>
      </c>
      <c r="K399">
        <f>IF(ISNUMBER(B399),YEAR(B399)*100+MONTH(B399),"")</f>
        <v/>
      </c>
      <c r="L399">
        <f>IF(ISNUMBER(B399),INT(B399),0)</f>
        <v/>
      </c>
    </row>
    <row r="400">
      <c r="A400" s="1" t="n"/>
      <c r="B400" s="17" t="n"/>
      <c r="C400" s="18" t="n"/>
      <c r="D400" s="19" t="n"/>
      <c r="E400" s="23" t="n"/>
      <c r="F400" s="21" t="n"/>
      <c r="G400" s="11">
        <f>IF(C400="","",IFERROR(INDEX(Crops!$D$6:$D$65,MATCH(C400,Crops!$B$6:$B$65,0))&amp;"",""))</f>
        <v/>
      </c>
      <c r="H400" s="12">
        <f>IF(OR(C400="",NOT(ISNUMBER(E400))),"",E400*N(IFERROR(INDEX(Crops!$E$6:$E$65,MATCH(C400,Crops!$B$6:$B$65,0)),0)))</f>
        <v/>
      </c>
      <c r="I400" s="11">
        <f>IF(AND(C400="",E400=""),"",IF(NOT(ISNUMBER(B400)),"Needs a date",IF(C400="","Needs a crop",IF(COUNTIF(Crops!$B$6:$B$65,C400)=0,"Not on Crops",IF(NOT(ISNUMBER(E400)),"Needs the amount",IF(AND(D400&lt;&gt;"",COUNTIF(Beds!$B$6:$B$35,D400)=0),"Not on Beds",""))))))</f>
        <v/>
      </c>
      <c r="J400" s="1">
        <f>IF(ISNUMBER(B400),YEAR(B400),"")</f>
        <v/>
      </c>
      <c r="K400">
        <f>IF(ISNUMBER(B400),YEAR(B400)*100+MONTH(B400),"")</f>
        <v/>
      </c>
      <c r="L400">
        <f>IF(ISNUMBER(B400),INT(B400),0)</f>
        <v/>
      </c>
    </row>
    <row r="401">
      <c r="A401" s="1" t="n"/>
      <c r="B401" s="17" t="n"/>
      <c r="C401" s="18" t="n"/>
      <c r="D401" s="19" t="n"/>
      <c r="E401" s="23" t="n"/>
      <c r="F401" s="21" t="n"/>
      <c r="G401" s="11">
        <f>IF(C401="","",IFERROR(INDEX(Crops!$D$6:$D$65,MATCH(C401,Crops!$B$6:$B$65,0))&amp;"",""))</f>
        <v/>
      </c>
      <c r="H401" s="12">
        <f>IF(OR(C401="",NOT(ISNUMBER(E401))),"",E401*N(IFERROR(INDEX(Crops!$E$6:$E$65,MATCH(C401,Crops!$B$6:$B$65,0)),0)))</f>
        <v/>
      </c>
      <c r="I401" s="11">
        <f>IF(AND(C401="",E401=""),"",IF(NOT(ISNUMBER(B401)),"Needs a date",IF(C401="","Needs a crop",IF(COUNTIF(Crops!$B$6:$B$65,C401)=0,"Not on Crops",IF(NOT(ISNUMBER(E401)),"Needs the amount",IF(AND(D401&lt;&gt;"",COUNTIF(Beds!$B$6:$B$35,D401)=0),"Not on Beds",""))))))</f>
        <v/>
      </c>
      <c r="J401" s="1">
        <f>IF(ISNUMBER(B401),YEAR(B401),"")</f>
        <v/>
      </c>
      <c r="K401">
        <f>IF(ISNUMBER(B401),YEAR(B401)*100+MONTH(B401),"")</f>
        <v/>
      </c>
      <c r="L401">
        <f>IF(ISNUMBER(B401),INT(B401),0)</f>
        <v/>
      </c>
    </row>
    <row r="402">
      <c r="A402" s="1" t="n"/>
      <c r="B402" s="17" t="n"/>
      <c r="C402" s="18" t="n"/>
      <c r="D402" s="19" t="n"/>
      <c r="E402" s="23" t="n"/>
      <c r="F402" s="21" t="n"/>
      <c r="G402" s="11">
        <f>IF(C402="","",IFERROR(INDEX(Crops!$D$6:$D$65,MATCH(C402,Crops!$B$6:$B$65,0))&amp;"",""))</f>
        <v/>
      </c>
      <c r="H402" s="12">
        <f>IF(OR(C402="",NOT(ISNUMBER(E402))),"",E402*N(IFERROR(INDEX(Crops!$E$6:$E$65,MATCH(C402,Crops!$B$6:$B$65,0)),0)))</f>
        <v/>
      </c>
      <c r="I402" s="11">
        <f>IF(AND(C402="",E402=""),"",IF(NOT(ISNUMBER(B402)),"Needs a date",IF(C402="","Needs a crop",IF(COUNTIF(Crops!$B$6:$B$65,C402)=0,"Not on Crops",IF(NOT(ISNUMBER(E402)),"Needs the amount",IF(AND(D402&lt;&gt;"",COUNTIF(Beds!$B$6:$B$35,D402)=0),"Not on Beds",""))))))</f>
        <v/>
      </c>
      <c r="J402" s="1">
        <f>IF(ISNUMBER(B402),YEAR(B402),"")</f>
        <v/>
      </c>
      <c r="K402">
        <f>IF(ISNUMBER(B402),YEAR(B402)*100+MONTH(B402),"")</f>
        <v/>
      </c>
      <c r="L402">
        <f>IF(ISNUMBER(B402),INT(B402),0)</f>
        <v/>
      </c>
    </row>
    <row r="403">
      <c r="A403" s="1" t="n"/>
      <c r="B403" s="17" t="n"/>
      <c r="C403" s="18" t="n"/>
      <c r="D403" s="19" t="n"/>
      <c r="E403" s="23" t="n"/>
      <c r="F403" s="21" t="n"/>
      <c r="G403" s="11">
        <f>IF(C403="","",IFERROR(INDEX(Crops!$D$6:$D$65,MATCH(C403,Crops!$B$6:$B$65,0))&amp;"",""))</f>
        <v/>
      </c>
      <c r="H403" s="12">
        <f>IF(OR(C403="",NOT(ISNUMBER(E403))),"",E403*N(IFERROR(INDEX(Crops!$E$6:$E$65,MATCH(C403,Crops!$B$6:$B$65,0)),0)))</f>
        <v/>
      </c>
      <c r="I403" s="11">
        <f>IF(AND(C403="",E403=""),"",IF(NOT(ISNUMBER(B403)),"Needs a date",IF(C403="","Needs a crop",IF(COUNTIF(Crops!$B$6:$B$65,C403)=0,"Not on Crops",IF(NOT(ISNUMBER(E403)),"Needs the amount",IF(AND(D403&lt;&gt;"",COUNTIF(Beds!$B$6:$B$35,D403)=0),"Not on Beds",""))))))</f>
        <v/>
      </c>
      <c r="J403" s="1">
        <f>IF(ISNUMBER(B403),YEAR(B403),"")</f>
        <v/>
      </c>
      <c r="K403">
        <f>IF(ISNUMBER(B403),YEAR(B403)*100+MONTH(B403),"")</f>
        <v/>
      </c>
      <c r="L403">
        <f>IF(ISNUMBER(B403),INT(B403),0)</f>
        <v/>
      </c>
    </row>
    <row r="404">
      <c r="A404" s="1" t="n"/>
      <c r="B404" s="17" t="n"/>
      <c r="C404" s="18" t="n"/>
      <c r="D404" s="19" t="n"/>
      <c r="E404" s="23" t="n"/>
      <c r="F404" s="21" t="n"/>
      <c r="G404" s="11">
        <f>IF(C404="","",IFERROR(INDEX(Crops!$D$6:$D$65,MATCH(C404,Crops!$B$6:$B$65,0))&amp;"",""))</f>
        <v/>
      </c>
      <c r="H404" s="12">
        <f>IF(OR(C404="",NOT(ISNUMBER(E404))),"",E404*N(IFERROR(INDEX(Crops!$E$6:$E$65,MATCH(C404,Crops!$B$6:$B$65,0)),0)))</f>
        <v/>
      </c>
      <c r="I404" s="11">
        <f>IF(AND(C404="",E404=""),"",IF(NOT(ISNUMBER(B404)),"Needs a date",IF(C404="","Needs a crop",IF(COUNTIF(Crops!$B$6:$B$65,C404)=0,"Not on Crops",IF(NOT(ISNUMBER(E404)),"Needs the amount",IF(AND(D404&lt;&gt;"",COUNTIF(Beds!$B$6:$B$35,D404)=0),"Not on Beds",""))))))</f>
        <v/>
      </c>
      <c r="J404" s="1">
        <f>IF(ISNUMBER(B404),YEAR(B404),"")</f>
        <v/>
      </c>
      <c r="K404">
        <f>IF(ISNUMBER(B404),YEAR(B404)*100+MONTH(B404),"")</f>
        <v/>
      </c>
      <c r="L404">
        <f>IF(ISNUMBER(B404),INT(B404),0)</f>
        <v/>
      </c>
    </row>
    <row r="405">
      <c r="A405" s="1" t="n"/>
      <c r="B405" s="17" t="n"/>
      <c r="C405" s="18" t="n"/>
      <c r="D405" s="19" t="n"/>
      <c r="E405" s="23" t="n"/>
      <c r="F405" s="21" t="n"/>
      <c r="G405" s="11">
        <f>IF(C405="","",IFERROR(INDEX(Crops!$D$6:$D$65,MATCH(C405,Crops!$B$6:$B$65,0))&amp;"",""))</f>
        <v/>
      </c>
      <c r="H405" s="12">
        <f>IF(OR(C405="",NOT(ISNUMBER(E405))),"",E405*N(IFERROR(INDEX(Crops!$E$6:$E$65,MATCH(C405,Crops!$B$6:$B$65,0)),0)))</f>
        <v/>
      </c>
      <c r="I405" s="11">
        <f>IF(AND(C405="",E405=""),"",IF(NOT(ISNUMBER(B405)),"Needs a date",IF(C405="","Needs a crop",IF(COUNTIF(Crops!$B$6:$B$65,C405)=0,"Not on Crops",IF(NOT(ISNUMBER(E405)),"Needs the amount",IF(AND(D405&lt;&gt;"",COUNTIF(Beds!$B$6:$B$35,D405)=0),"Not on Beds",""))))))</f>
        <v/>
      </c>
      <c r="J405" s="1">
        <f>IF(ISNUMBER(B405),YEAR(B405),"")</f>
        <v/>
      </c>
      <c r="K405">
        <f>IF(ISNUMBER(B405),YEAR(B405)*100+MONTH(B405),"")</f>
        <v/>
      </c>
      <c r="L405">
        <f>IF(ISNUMBER(B405),INT(B405),0)</f>
        <v/>
      </c>
    </row>
    <row r="406">
      <c r="A406" s="1" t="n"/>
      <c r="B406" s="17" t="n"/>
      <c r="C406" s="18" t="n"/>
      <c r="D406" s="19" t="n"/>
      <c r="E406" s="23" t="n"/>
      <c r="F406" s="21" t="n"/>
      <c r="G406" s="11">
        <f>IF(C406="","",IFERROR(INDEX(Crops!$D$6:$D$65,MATCH(C406,Crops!$B$6:$B$65,0))&amp;"",""))</f>
        <v/>
      </c>
      <c r="H406" s="12">
        <f>IF(OR(C406="",NOT(ISNUMBER(E406))),"",E406*N(IFERROR(INDEX(Crops!$E$6:$E$65,MATCH(C406,Crops!$B$6:$B$65,0)),0)))</f>
        <v/>
      </c>
      <c r="I406" s="11">
        <f>IF(AND(C406="",E406=""),"",IF(NOT(ISNUMBER(B406)),"Needs a date",IF(C406="","Needs a crop",IF(COUNTIF(Crops!$B$6:$B$65,C406)=0,"Not on Crops",IF(NOT(ISNUMBER(E406)),"Needs the amount",IF(AND(D406&lt;&gt;"",COUNTIF(Beds!$B$6:$B$35,D406)=0),"Not on Beds",""))))))</f>
        <v/>
      </c>
      <c r="J406" s="1">
        <f>IF(ISNUMBER(B406),YEAR(B406),"")</f>
        <v/>
      </c>
      <c r="K406">
        <f>IF(ISNUMBER(B406),YEAR(B406)*100+MONTH(B406),"")</f>
        <v/>
      </c>
      <c r="L406">
        <f>IF(ISNUMBER(B406),INT(B406),0)</f>
        <v/>
      </c>
    </row>
    <row r="407">
      <c r="A407" s="1" t="n"/>
      <c r="B407" s="17" t="n"/>
      <c r="C407" s="18" t="n"/>
      <c r="D407" s="19" t="n"/>
      <c r="E407" s="23" t="n"/>
      <c r="F407" s="21" t="n"/>
      <c r="G407" s="11">
        <f>IF(C407="","",IFERROR(INDEX(Crops!$D$6:$D$65,MATCH(C407,Crops!$B$6:$B$65,0))&amp;"",""))</f>
        <v/>
      </c>
      <c r="H407" s="12">
        <f>IF(OR(C407="",NOT(ISNUMBER(E407))),"",E407*N(IFERROR(INDEX(Crops!$E$6:$E$65,MATCH(C407,Crops!$B$6:$B$65,0)),0)))</f>
        <v/>
      </c>
      <c r="I407" s="11">
        <f>IF(AND(C407="",E407=""),"",IF(NOT(ISNUMBER(B407)),"Needs a date",IF(C407="","Needs a crop",IF(COUNTIF(Crops!$B$6:$B$65,C407)=0,"Not on Crops",IF(NOT(ISNUMBER(E407)),"Needs the amount",IF(AND(D407&lt;&gt;"",COUNTIF(Beds!$B$6:$B$35,D407)=0),"Not on Beds",""))))))</f>
        <v/>
      </c>
      <c r="J407" s="1">
        <f>IF(ISNUMBER(B407),YEAR(B407),"")</f>
        <v/>
      </c>
      <c r="K407">
        <f>IF(ISNUMBER(B407),YEAR(B407)*100+MONTH(B407),"")</f>
        <v/>
      </c>
      <c r="L407">
        <f>IF(ISNUMBER(B407),INT(B407),0)</f>
        <v/>
      </c>
    </row>
    <row r="408">
      <c r="A408" s="1" t="n"/>
      <c r="B408" s="17" t="n"/>
      <c r="C408" s="18" t="n"/>
      <c r="D408" s="19" t="n"/>
      <c r="E408" s="23" t="n"/>
      <c r="F408" s="21" t="n"/>
      <c r="G408" s="11">
        <f>IF(C408="","",IFERROR(INDEX(Crops!$D$6:$D$65,MATCH(C408,Crops!$B$6:$B$65,0))&amp;"",""))</f>
        <v/>
      </c>
      <c r="H408" s="12">
        <f>IF(OR(C408="",NOT(ISNUMBER(E408))),"",E408*N(IFERROR(INDEX(Crops!$E$6:$E$65,MATCH(C408,Crops!$B$6:$B$65,0)),0)))</f>
        <v/>
      </c>
      <c r="I408" s="11">
        <f>IF(AND(C408="",E408=""),"",IF(NOT(ISNUMBER(B408)),"Needs a date",IF(C408="","Needs a crop",IF(COUNTIF(Crops!$B$6:$B$65,C408)=0,"Not on Crops",IF(NOT(ISNUMBER(E408)),"Needs the amount",IF(AND(D408&lt;&gt;"",COUNTIF(Beds!$B$6:$B$35,D408)=0),"Not on Beds",""))))))</f>
        <v/>
      </c>
      <c r="J408" s="1">
        <f>IF(ISNUMBER(B408),YEAR(B408),"")</f>
        <v/>
      </c>
      <c r="K408">
        <f>IF(ISNUMBER(B408),YEAR(B408)*100+MONTH(B408),"")</f>
        <v/>
      </c>
      <c r="L408">
        <f>IF(ISNUMBER(B408),INT(B408),0)</f>
        <v/>
      </c>
    </row>
    <row r="409">
      <c r="A409" s="1" t="n"/>
      <c r="B409" s="17" t="n"/>
      <c r="C409" s="18" t="n"/>
      <c r="D409" s="19" t="n"/>
      <c r="E409" s="23" t="n"/>
      <c r="F409" s="21" t="n"/>
      <c r="G409" s="11">
        <f>IF(C409="","",IFERROR(INDEX(Crops!$D$6:$D$65,MATCH(C409,Crops!$B$6:$B$65,0))&amp;"",""))</f>
        <v/>
      </c>
      <c r="H409" s="12">
        <f>IF(OR(C409="",NOT(ISNUMBER(E409))),"",E409*N(IFERROR(INDEX(Crops!$E$6:$E$65,MATCH(C409,Crops!$B$6:$B$65,0)),0)))</f>
        <v/>
      </c>
      <c r="I409" s="11">
        <f>IF(AND(C409="",E409=""),"",IF(NOT(ISNUMBER(B409)),"Needs a date",IF(C409="","Needs a crop",IF(COUNTIF(Crops!$B$6:$B$65,C409)=0,"Not on Crops",IF(NOT(ISNUMBER(E409)),"Needs the amount",IF(AND(D409&lt;&gt;"",COUNTIF(Beds!$B$6:$B$35,D409)=0),"Not on Beds",""))))))</f>
        <v/>
      </c>
      <c r="J409" s="1">
        <f>IF(ISNUMBER(B409),YEAR(B409),"")</f>
        <v/>
      </c>
      <c r="K409">
        <f>IF(ISNUMBER(B409),YEAR(B409)*100+MONTH(B409),"")</f>
        <v/>
      </c>
      <c r="L409">
        <f>IF(ISNUMBER(B409),INT(B409),0)</f>
        <v/>
      </c>
    </row>
    <row r="410">
      <c r="A410" s="1" t="n"/>
      <c r="B410" s="17" t="n"/>
      <c r="C410" s="18" t="n"/>
      <c r="D410" s="19" t="n"/>
      <c r="E410" s="23" t="n"/>
      <c r="F410" s="21" t="n"/>
      <c r="G410" s="11">
        <f>IF(C410="","",IFERROR(INDEX(Crops!$D$6:$D$65,MATCH(C410,Crops!$B$6:$B$65,0))&amp;"",""))</f>
        <v/>
      </c>
      <c r="H410" s="12">
        <f>IF(OR(C410="",NOT(ISNUMBER(E410))),"",E410*N(IFERROR(INDEX(Crops!$E$6:$E$65,MATCH(C410,Crops!$B$6:$B$65,0)),0)))</f>
        <v/>
      </c>
      <c r="I410" s="11">
        <f>IF(AND(C410="",E410=""),"",IF(NOT(ISNUMBER(B410)),"Needs a date",IF(C410="","Needs a crop",IF(COUNTIF(Crops!$B$6:$B$65,C410)=0,"Not on Crops",IF(NOT(ISNUMBER(E410)),"Needs the amount",IF(AND(D410&lt;&gt;"",COUNTIF(Beds!$B$6:$B$35,D410)=0),"Not on Beds",""))))))</f>
        <v/>
      </c>
      <c r="J410" s="1">
        <f>IF(ISNUMBER(B410),YEAR(B410),"")</f>
        <v/>
      </c>
      <c r="K410">
        <f>IF(ISNUMBER(B410),YEAR(B410)*100+MONTH(B410),"")</f>
        <v/>
      </c>
      <c r="L410">
        <f>IF(ISNUMBER(B410),INT(B410),0)</f>
        <v/>
      </c>
    </row>
    <row r="411">
      <c r="A411" s="1" t="n"/>
      <c r="B411" s="17" t="n"/>
      <c r="C411" s="18" t="n"/>
      <c r="D411" s="19" t="n"/>
      <c r="E411" s="23" t="n"/>
      <c r="F411" s="21" t="n"/>
      <c r="G411" s="11">
        <f>IF(C411="","",IFERROR(INDEX(Crops!$D$6:$D$65,MATCH(C411,Crops!$B$6:$B$65,0))&amp;"",""))</f>
        <v/>
      </c>
      <c r="H411" s="12">
        <f>IF(OR(C411="",NOT(ISNUMBER(E411))),"",E411*N(IFERROR(INDEX(Crops!$E$6:$E$65,MATCH(C411,Crops!$B$6:$B$65,0)),0)))</f>
        <v/>
      </c>
      <c r="I411" s="11">
        <f>IF(AND(C411="",E411=""),"",IF(NOT(ISNUMBER(B411)),"Needs a date",IF(C411="","Needs a crop",IF(COUNTIF(Crops!$B$6:$B$65,C411)=0,"Not on Crops",IF(NOT(ISNUMBER(E411)),"Needs the amount",IF(AND(D411&lt;&gt;"",COUNTIF(Beds!$B$6:$B$35,D411)=0),"Not on Beds",""))))))</f>
        <v/>
      </c>
      <c r="J411" s="1">
        <f>IF(ISNUMBER(B411),YEAR(B411),"")</f>
        <v/>
      </c>
      <c r="K411">
        <f>IF(ISNUMBER(B411),YEAR(B411)*100+MONTH(B411),"")</f>
        <v/>
      </c>
      <c r="L411">
        <f>IF(ISNUMBER(B411),INT(B411),0)</f>
        <v/>
      </c>
    </row>
    <row r="412">
      <c r="A412" s="1" t="n"/>
      <c r="B412" s="17" t="n"/>
      <c r="C412" s="18" t="n"/>
      <c r="D412" s="19" t="n"/>
      <c r="E412" s="23" t="n"/>
      <c r="F412" s="21" t="n"/>
      <c r="G412" s="11">
        <f>IF(C412="","",IFERROR(INDEX(Crops!$D$6:$D$65,MATCH(C412,Crops!$B$6:$B$65,0))&amp;"",""))</f>
        <v/>
      </c>
      <c r="H412" s="12">
        <f>IF(OR(C412="",NOT(ISNUMBER(E412))),"",E412*N(IFERROR(INDEX(Crops!$E$6:$E$65,MATCH(C412,Crops!$B$6:$B$65,0)),0)))</f>
        <v/>
      </c>
      <c r="I412" s="11">
        <f>IF(AND(C412="",E412=""),"",IF(NOT(ISNUMBER(B412)),"Needs a date",IF(C412="","Needs a crop",IF(COUNTIF(Crops!$B$6:$B$65,C412)=0,"Not on Crops",IF(NOT(ISNUMBER(E412)),"Needs the amount",IF(AND(D412&lt;&gt;"",COUNTIF(Beds!$B$6:$B$35,D412)=0),"Not on Beds",""))))))</f>
        <v/>
      </c>
      <c r="J412" s="1">
        <f>IF(ISNUMBER(B412),YEAR(B412),"")</f>
        <v/>
      </c>
      <c r="K412">
        <f>IF(ISNUMBER(B412),YEAR(B412)*100+MONTH(B412),"")</f>
        <v/>
      </c>
      <c r="L412">
        <f>IF(ISNUMBER(B412),INT(B412),0)</f>
        <v/>
      </c>
    </row>
    <row r="413">
      <c r="A413" s="1" t="n"/>
      <c r="B413" s="17" t="n"/>
      <c r="C413" s="18" t="n"/>
      <c r="D413" s="19" t="n"/>
      <c r="E413" s="23" t="n"/>
      <c r="F413" s="21" t="n"/>
      <c r="G413" s="11">
        <f>IF(C413="","",IFERROR(INDEX(Crops!$D$6:$D$65,MATCH(C413,Crops!$B$6:$B$65,0))&amp;"",""))</f>
        <v/>
      </c>
      <c r="H413" s="12">
        <f>IF(OR(C413="",NOT(ISNUMBER(E413))),"",E413*N(IFERROR(INDEX(Crops!$E$6:$E$65,MATCH(C413,Crops!$B$6:$B$65,0)),0)))</f>
        <v/>
      </c>
      <c r="I413" s="11">
        <f>IF(AND(C413="",E413=""),"",IF(NOT(ISNUMBER(B413)),"Needs a date",IF(C413="","Needs a crop",IF(COUNTIF(Crops!$B$6:$B$65,C413)=0,"Not on Crops",IF(NOT(ISNUMBER(E413)),"Needs the amount",IF(AND(D413&lt;&gt;"",COUNTIF(Beds!$B$6:$B$35,D413)=0),"Not on Beds",""))))))</f>
        <v/>
      </c>
      <c r="J413" s="1">
        <f>IF(ISNUMBER(B413),YEAR(B413),"")</f>
        <v/>
      </c>
      <c r="K413">
        <f>IF(ISNUMBER(B413),YEAR(B413)*100+MONTH(B413),"")</f>
        <v/>
      </c>
      <c r="L413">
        <f>IF(ISNUMBER(B413),INT(B413),0)</f>
        <v/>
      </c>
    </row>
    <row r="414">
      <c r="A414" s="1" t="n"/>
      <c r="B414" s="17" t="n"/>
      <c r="C414" s="18" t="n"/>
      <c r="D414" s="19" t="n"/>
      <c r="E414" s="23" t="n"/>
      <c r="F414" s="21" t="n"/>
      <c r="G414" s="11">
        <f>IF(C414="","",IFERROR(INDEX(Crops!$D$6:$D$65,MATCH(C414,Crops!$B$6:$B$65,0))&amp;"",""))</f>
        <v/>
      </c>
      <c r="H414" s="12">
        <f>IF(OR(C414="",NOT(ISNUMBER(E414))),"",E414*N(IFERROR(INDEX(Crops!$E$6:$E$65,MATCH(C414,Crops!$B$6:$B$65,0)),0)))</f>
        <v/>
      </c>
      <c r="I414" s="11">
        <f>IF(AND(C414="",E414=""),"",IF(NOT(ISNUMBER(B414)),"Needs a date",IF(C414="","Needs a crop",IF(COUNTIF(Crops!$B$6:$B$65,C414)=0,"Not on Crops",IF(NOT(ISNUMBER(E414)),"Needs the amount",IF(AND(D414&lt;&gt;"",COUNTIF(Beds!$B$6:$B$35,D414)=0),"Not on Beds",""))))))</f>
        <v/>
      </c>
      <c r="J414" s="1">
        <f>IF(ISNUMBER(B414),YEAR(B414),"")</f>
        <v/>
      </c>
      <c r="K414">
        <f>IF(ISNUMBER(B414),YEAR(B414)*100+MONTH(B414),"")</f>
        <v/>
      </c>
      <c r="L414">
        <f>IF(ISNUMBER(B414),INT(B414),0)</f>
        <v/>
      </c>
    </row>
    <row r="415">
      <c r="A415" s="1" t="n"/>
      <c r="B415" s="17" t="n"/>
      <c r="C415" s="18" t="n"/>
      <c r="D415" s="19" t="n"/>
      <c r="E415" s="23" t="n"/>
      <c r="F415" s="21" t="n"/>
      <c r="G415" s="11">
        <f>IF(C415="","",IFERROR(INDEX(Crops!$D$6:$D$65,MATCH(C415,Crops!$B$6:$B$65,0))&amp;"",""))</f>
        <v/>
      </c>
      <c r="H415" s="12">
        <f>IF(OR(C415="",NOT(ISNUMBER(E415))),"",E415*N(IFERROR(INDEX(Crops!$E$6:$E$65,MATCH(C415,Crops!$B$6:$B$65,0)),0)))</f>
        <v/>
      </c>
      <c r="I415" s="11">
        <f>IF(AND(C415="",E415=""),"",IF(NOT(ISNUMBER(B415)),"Needs a date",IF(C415="","Needs a crop",IF(COUNTIF(Crops!$B$6:$B$65,C415)=0,"Not on Crops",IF(NOT(ISNUMBER(E415)),"Needs the amount",IF(AND(D415&lt;&gt;"",COUNTIF(Beds!$B$6:$B$35,D415)=0),"Not on Beds",""))))))</f>
        <v/>
      </c>
      <c r="J415" s="1">
        <f>IF(ISNUMBER(B415),YEAR(B415),"")</f>
        <v/>
      </c>
      <c r="K415">
        <f>IF(ISNUMBER(B415),YEAR(B415)*100+MONTH(B415),"")</f>
        <v/>
      </c>
      <c r="L415">
        <f>IF(ISNUMBER(B415),INT(B415),0)</f>
        <v/>
      </c>
    </row>
    <row r="416">
      <c r="A416" s="1" t="n"/>
      <c r="B416" s="17" t="n"/>
      <c r="C416" s="18" t="n"/>
      <c r="D416" s="19" t="n"/>
      <c r="E416" s="23" t="n"/>
      <c r="F416" s="21" t="n"/>
      <c r="G416" s="11">
        <f>IF(C416="","",IFERROR(INDEX(Crops!$D$6:$D$65,MATCH(C416,Crops!$B$6:$B$65,0))&amp;"",""))</f>
        <v/>
      </c>
      <c r="H416" s="12">
        <f>IF(OR(C416="",NOT(ISNUMBER(E416))),"",E416*N(IFERROR(INDEX(Crops!$E$6:$E$65,MATCH(C416,Crops!$B$6:$B$65,0)),0)))</f>
        <v/>
      </c>
      <c r="I416" s="11">
        <f>IF(AND(C416="",E416=""),"",IF(NOT(ISNUMBER(B416)),"Needs a date",IF(C416="","Needs a crop",IF(COUNTIF(Crops!$B$6:$B$65,C416)=0,"Not on Crops",IF(NOT(ISNUMBER(E416)),"Needs the amount",IF(AND(D416&lt;&gt;"",COUNTIF(Beds!$B$6:$B$35,D416)=0),"Not on Beds",""))))))</f>
        <v/>
      </c>
      <c r="J416" s="1">
        <f>IF(ISNUMBER(B416),YEAR(B416),"")</f>
        <v/>
      </c>
      <c r="K416">
        <f>IF(ISNUMBER(B416),YEAR(B416)*100+MONTH(B416),"")</f>
        <v/>
      </c>
      <c r="L416">
        <f>IF(ISNUMBER(B416),INT(B416),0)</f>
        <v/>
      </c>
    </row>
    <row r="417">
      <c r="A417" s="1" t="n"/>
      <c r="B417" s="17" t="n"/>
      <c r="C417" s="18" t="n"/>
      <c r="D417" s="19" t="n"/>
      <c r="E417" s="23" t="n"/>
      <c r="F417" s="21" t="n"/>
      <c r="G417" s="11">
        <f>IF(C417="","",IFERROR(INDEX(Crops!$D$6:$D$65,MATCH(C417,Crops!$B$6:$B$65,0))&amp;"",""))</f>
        <v/>
      </c>
      <c r="H417" s="12">
        <f>IF(OR(C417="",NOT(ISNUMBER(E417))),"",E417*N(IFERROR(INDEX(Crops!$E$6:$E$65,MATCH(C417,Crops!$B$6:$B$65,0)),0)))</f>
        <v/>
      </c>
      <c r="I417" s="11">
        <f>IF(AND(C417="",E417=""),"",IF(NOT(ISNUMBER(B417)),"Needs a date",IF(C417="","Needs a crop",IF(COUNTIF(Crops!$B$6:$B$65,C417)=0,"Not on Crops",IF(NOT(ISNUMBER(E417)),"Needs the amount",IF(AND(D417&lt;&gt;"",COUNTIF(Beds!$B$6:$B$35,D417)=0),"Not on Beds",""))))))</f>
        <v/>
      </c>
      <c r="J417" s="1">
        <f>IF(ISNUMBER(B417),YEAR(B417),"")</f>
        <v/>
      </c>
      <c r="K417">
        <f>IF(ISNUMBER(B417),YEAR(B417)*100+MONTH(B417),"")</f>
        <v/>
      </c>
      <c r="L417">
        <f>IF(ISNUMBER(B417),INT(B417),0)</f>
        <v/>
      </c>
    </row>
    <row r="418">
      <c r="A418" s="1" t="n"/>
      <c r="B418" s="17" t="n"/>
      <c r="C418" s="18" t="n"/>
      <c r="D418" s="19" t="n"/>
      <c r="E418" s="23" t="n"/>
      <c r="F418" s="21" t="n"/>
      <c r="G418" s="11">
        <f>IF(C418="","",IFERROR(INDEX(Crops!$D$6:$D$65,MATCH(C418,Crops!$B$6:$B$65,0))&amp;"",""))</f>
        <v/>
      </c>
      <c r="H418" s="12">
        <f>IF(OR(C418="",NOT(ISNUMBER(E418))),"",E418*N(IFERROR(INDEX(Crops!$E$6:$E$65,MATCH(C418,Crops!$B$6:$B$65,0)),0)))</f>
        <v/>
      </c>
      <c r="I418" s="11">
        <f>IF(AND(C418="",E418=""),"",IF(NOT(ISNUMBER(B418)),"Needs a date",IF(C418="","Needs a crop",IF(COUNTIF(Crops!$B$6:$B$65,C418)=0,"Not on Crops",IF(NOT(ISNUMBER(E418)),"Needs the amount",IF(AND(D418&lt;&gt;"",COUNTIF(Beds!$B$6:$B$35,D418)=0),"Not on Beds",""))))))</f>
        <v/>
      </c>
      <c r="J418" s="1">
        <f>IF(ISNUMBER(B418),YEAR(B418),"")</f>
        <v/>
      </c>
      <c r="K418">
        <f>IF(ISNUMBER(B418),YEAR(B418)*100+MONTH(B418),"")</f>
        <v/>
      </c>
      <c r="L418">
        <f>IF(ISNUMBER(B418),INT(B418),0)</f>
        <v/>
      </c>
    </row>
    <row r="419">
      <c r="A419" s="1" t="n"/>
      <c r="B419" s="17" t="n"/>
      <c r="C419" s="18" t="n"/>
      <c r="D419" s="19" t="n"/>
      <c r="E419" s="23" t="n"/>
      <c r="F419" s="21" t="n"/>
      <c r="G419" s="11">
        <f>IF(C419="","",IFERROR(INDEX(Crops!$D$6:$D$65,MATCH(C419,Crops!$B$6:$B$65,0))&amp;"",""))</f>
        <v/>
      </c>
      <c r="H419" s="12">
        <f>IF(OR(C419="",NOT(ISNUMBER(E419))),"",E419*N(IFERROR(INDEX(Crops!$E$6:$E$65,MATCH(C419,Crops!$B$6:$B$65,0)),0)))</f>
        <v/>
      </c>
      <c r="I419" s="11">
        <f>IF(AND(C419="",E419=""),"",IF(NOT(ISNUMBER(B419)),"Needs a date",IF(C419="","Needs a crop",IF(COUNTIF(Crops!$B$6:$B$65,C419)=0,"Not on Crops",IF(NOT(ISNUMBER(E419)),"Needs the amount",IF(AND(D419&lt;&gt;"",COUNTIF(Beds!$B$6:$B$35,D419)=0),"Not on Beds",""))))))</f>
        <v/>
      </c>
      <c r="J419" s="1">
        <f>IF(ISNUMBER(B419),YEAR(B419),"")</f>
        <v/>
      </c>
      <c r="K419">
        <f>IF(ISNUMBER(B419),YEAR(B419)*100+MONTH(B419),"")</f>
        <v/>
      </c>
      <c r="L419">
        <f>IF(ISNUMBER(B419),INT(B419),0)</f>
        <v/>
      </c>
    </row>
    <row r="420">
      <c r="A420" s="1" t="n"/>
      <c r="B420" s="17" t="n"/>
      <c r="C420" s="18" t="n"/>
      <c r="D420" s="19" t="n"/>
      <c r="E420" s="23" t="n"/>
      <c r="F420" s="21" t="n"/>
      <c r="G420" s="11">
        <f>IF(C420="","",IFERROR(INDEX(Crops!$D$6:$D$65,MATCH(C420,Crops!$B$6:$B$65,0))&amp;"",""))</f>
        <v/>
      </c>
      <c r="H420" s="12">
        <f>IF(OR(C420="",NOT(ISNUMBER(E420))),"",E420*N(IFERROR(INDEX(Crops!$E$6:$E$65,MATCH(C420,Crops!$B$6:$B$65,0)),0)))</f>
        <v/>
      </c>
      <c r="I420" s="11">
        <f>IF(AND(C420="",E420=""),"",IF(NOT(ISNUMBER(B420)),"Needs a date",IF(C420="","Needs a crop",IF(COUNTIF(Crops!$B$6:$B$65,C420)=0,"Not on Crops",IF(NOT(ISNUMBER(E420)),"Needs the amount",IF(AND(D420&lt;&gt;"",COUNTIF(Beds!$B$6:$B$35,D420)=0),"Not on Beds",""))))))</f>
        <v/>
      </c>
      <c r="J420" s="1">
        <f>IF(ISNUMBER(B420),YEAR(B420),"")</f>
        <v/>
      </c>
      <c r="K420">
        <f>IF(ISNUMBER(B420),YEAR(B420)*100+MONTH(B420),"")</f>
        <v/>
      </c>
      <c r="L420">
        <f>IF(ISNUMBER(B420),INT(B420),0)</f>
        <v/>
      </c>
    </row>
    <row r="421">
      <c r="A421" s="1" t="n"/>
      <c r="B421" s="17" t="n"/>
      <c r="C421" s="18" t="n"/>
      <c r="D421" s="19" t="n"/>
      <c r="E421" s="23" t="n"/>
      <c r="F421" s="21" t="n"/>
      <c r="G421" s="11">
        <f>IF(C421="","",IFERROR(INDEX(Crops!$D$6:$D$65,MATCH(C421,Crops!$B$6:$B$65,0))&amp;"",""))</f>
        <v/>
      </c>
      <c r="H421" s="12">
        <f>IF(OR(C421="",NOT(ISNUMBER(E421))),"",E421*N(IFERROR(INDEX(Crops!$E$6:$E$65,MATCH(C421,Crops!$B$6:$B$65,0)),0)))</f>
        <v/>
      </c>
      <c r="I421" s="11">
        <f>IF(AND(C421="",E421=""),"",IF(NOT(ISNUMBER(B421)),"Needs a date",IF(C421="","Needs a crop",IF(COUNTIF(Crops!$B$6:$B$65,C421)=0,"Not on Crops",IF(NOT(ISNUMBER(E421)),"Needs the amount",IF(AND(D421&lt;&gt;"",COUNTIF(Beds!$B$6:$B$35,D421)=0),"Not on Beds",""))))))</f>
        <v/>
      </c>
      <c r="J421" s="1">
        <f>IF(ISNUMBER(B421),YEAR(B421),"")</f>
        <v/>
      </c>
      <c r="K421">
        <f>IF(ISNUMBER(B421),YEAR(B421)*100+MONTH(B421),"")</f>
        <v/>
      </c>
      <c r="L421">
        <f>IF(ISNUMBER(B421),INT(B421),0)</f>
        <v/>
      </c>
    </row>
    <row r="422">
      <c r="A422" s="1" t="n"/>
      <c r="B422" s="17" t="n"/>
      <c r="C422" s="18" t="n"/>
      <c r="D422" s="19" t="n"/>
      <c r="E422" s="23" t="n"/>
      <c r="F422" s="21" t="n"/>
      <c r="G422" s="11">
        <f>IF(C422="","",IFERROR(INDEX(Crops!$D$6:$D$65,MATCH(C422,Crops!$B$6:$B$65,0))&amp;"",""))</f>
        <v/>
      </c>
      <c r="H422" s="12">
        <f>IF(OR(C422="",NOT(ISNUMBER(E422))),"",E422*N(IFERROR(INDEX(Crops!$E$6:$E$65,MATCH(C422,Crops!$B$6:$B$65,0)),0)))</f>
        <v/>
      </c>
      <c r="I422" s="11">
        <f>IF(AND(C422="",E422=""),"",IF(NOT(ISNUMBER(B422)),"Needs a date",IF(C422="","Needs a crop",IF(COUNTIF(Crops!$B$6:$B$65,C422)=0,"Not on Crops",IF(NOT(ISNUMBER(E422)),"Needs the amount",IF(AND(D422&lt;&gt;"",COUNTIF(Beds!$B$6:$B$35,D422)=0),"Not on Beds",""))))))</f>
        <v/>
      </c>
      <c r="J422" s="1">
        <f>IF(ISNUMBER(B422),YEAR(B422),"")</f>
        <v/>
      </c>
      <c r="K422">
        <f>IF(ISNUMBER(B422),YEAR(B422)*100+MONTH(B422),"")</f>
        <v/>
      </c>
      <c r="L422">
        <f>IF(ISNUMBER(B422),INT(B422),0)</f>
        <v/>
      </c>
    </row>
    <row r="423">
      <c r="A423" s="1" t="n"/>
      <c r="B423" s="17" t="n"/>
      <c r="C423" s="18" t="n"/>
      <c r="D423" s="19" t="n"/>
      <c r="E423" s="23" t="n"/>
      <c r="F423" s="21" t="n"/>
      <c r="G423" s="11">
        <f>IF(C423="","",IFERROR(INDEX(Crops!$D$6:$D$65,MATCH(C423,Crops!$B$6:$B$65,0))&amp;"",""))</f>
        <v/>
      </c>
      <c r="H423" s="12">
        <f>IF(OR(C423="",NOT(ISNUMBER(E423))),"",E423*N(IFERROR(INDEX(Crops!$E$6:$E$65,MATCH(C423,Crops!$B$6:$B$65,0)),0)))</f>
        <v/>
      </c>
      <c r="I423" s="11">
        <f>IF(AND(C423="",E423=""),"",IF(NOT(ISNUMBER(B423)),"Needs a date",IF(C423="","Needs a crop",IF(COUNTIF(Crops!$B$6:$B$65,C423)=0,"Not on Crops",IF(NOT(ISNUMBER(E423)),"Needs the amount",IF(AND(D423&lt;&gt;"",COUNTIF(Beds!$B$6:$B$35,D423)=0),"Not on Beds",""))))))</f>
        <v/>
      </c>
      <c r="J423" s="1">
        <f>IF(ISNUMBER(B423),YEAR(B423),"")</f>
        <v/>
      </c>
      <c r="K423">
        <f>IF(ISNUMBER(B423),YEAR(B423)*100+MONTH(B423),"")</f>
        <v/>
      </c>
      <c r="L423">
        <f>IF(ISNUMBER(B423),INT(B423),0)</f>
        <v/>
      </c>
    </row>
    <row r="424">
      <c r="A424" s="1" t="n"/>
      <c r="B424" s="17" t="n"/>
      <c r="C424" s="18" t="n"/>
      <c r="D424" s="19" t="n"/>
      <c r="E424" s="23" t="n"/>
      <c r="F424" s="21" t="n"/>
      <c r="G424" s="11">
        <f>IF(C424="","",IFERROR(INDEX(Crops!$D$6:$D$65,MATCH(C424,Crops!$B$6:$B$65,0))&amp;"",""))</f>
        <v/>
      </c>
      <c r="H424" s="12">
        <f>IF(OR(C424="",NOT(ISNUMBER(E424))),"",E424*N(IFERROR(INDEX(Crops!$E$6:$E$65,MATCH(C424,Crops!$B$6:$B$65,0)),0)))</f>
        <v/>
      </c>
      <c r="I424" s="11">
        <f>IF(AND(C424="",E424=""),"",IF(NOT(ISNUMBER(B424)),"Needs a date",IF(C424="","Needs a crop",IF(COUNTIF(Crops!$B$6:$B$65,C424)=0,"Not on Crops",IF(NOT(ISNUMBER(E424)),"Needs the amount",IF(AND(D424&lt;&gt;"",COUNTIF(Beds!$B$6:$B$35,D424)=0),"Not on Beds",""))))))</f>
        <v/>
      </c>
      <c r="J424" s="1">
        <f>IF(ISNUMBER(B424),YEAR(B424),"")</f>
        <v/>
      </c>
      <c r="K424">
        <f>IF(ISNUMBER(B424),YEAR(B424)*100+MONTH(B424),"")</f>
        <v/>
      </c>
      <c r="L424">
        <f>IF(ISNUMBER(B424),INT(B424),0)</f>
        <v/>
      </c>
    </row>
    <row r="425">
      <c r="A425" s="1" t="n"/>
      <c r="B425" s="17" t="n"/>
      <c r="C425" s="18" t="n"/>
      <c r="D425" s="19" t="n"/>
      <c r="E425" s="23" t="n"/>
      <c r="F425" s="21" t="n"/>
      <c r="G425" s="11">
        <f>IF(C425="","",IFERROR(INDEX(Crops!$D$6:$D$65,MATCH(C425,Crops!$B$6:$B$65,0))&amp;"",""))</f>
        <v/>
      </c>
      <c r="H425" s="12">
        <f>IF(OR(C425="",NOT(ISNUMBER(E425))),"",E425*N(IFERROR(INDEX(Crops!$E$6:$E$65,MATCH(C425,Crops!$B$6:$B$65,0)),0)))</f>
        <v/>
      </c>
      <c r="I425" s="11">
        <f>IF(AND(C425="",E425=""),"",IF(NOT(ISNUMBER(B425)),"Needs a date",IF(C425="","Needs a crop",IF(COUNTIF(Crops!$B$6:$B$65,C425)=0,"Not on Crops",IF(NOT(ISNUMBER(E425)),"Needs the amount",IF(AND(D425&lt;&gt;"",COUNTIF(Beds!$B$6:$B$35,D425)=0),"Not on Beds",""))))))</f>
        <v/>
      </c>
      <c r="J425" s="1">
        <f>IF(ISNUMBER(B425),YEAR(B425),"")</f>
        <v/>
      </c>
      <c r="K425">
        <f>IF(ISNUMBER(B425),YEAR(B425)*100+MONTH(B425),"")</f>
        <v/>
      </c>
      <c r="L425">
        <f>IF(ISNUMBER(B425),INT(B425),0)</f>
        <v/>
      </c>
    </row>
    <row r="426">
      <c r="A426" s="1" t="n"/>
      <c r="B426" s="17" t="n"/>
      <c r="C426" s="18" t="n"/>
      <c r="D426" s="19" t="n"/>
      <c r="E426" s="23" t="n"/>
      <c r="F426" s="21" t="n"/>
      <c r="G426" s="11">
        <f>IF(C426="","",IFERROR(INDEX(Crops!$D$6:$D$65,MATCH(C426,Crops!$B$6:$B$65,0))&amp;"",""))</f>
        <v/>
      </c>
      <c r="H426" s="12">
        <f>IF(OR(C426="",NOT(ISNUMBER(E426))),"",E426*N(IFERROR(INDEX(Crops!$E$6:$E$65,MATCH(C426,Crops!$B$6:$B$65,0)),0)))</f>
        <v/>
      </c>
      <c r="I426" s="11">
        <f>IF(AND(C426="",E426=""),"",IF(NOT(ISNUMBER(B426)),"Needs a date",IF(C426="","Needs a crop",IF(COUNTIF(Crops!$B$6:$B$65,C426)=0,"Not on Crops",IF(NOT(ISNUMBER(E426)),"Needs the amount",IF(AND(D426&lt;&gt;"",COUNTIF(Beds!$B$6:$B$35,D426)=0),"Not on Beds",""))))))</f>
        <v/>
      </c>
      <c r="J426" s="1">
        <f>IF(ISNUMBER(B426),YEAR(B426),"")</f>
        <v/>
      </c>
      <c r="K426">
        <f>IF(ISNUMBER(B426),YEAR(B426)*100+MONTH(B426),"")</f>
        <v/>
      </c>
      <c r="L426">
        <f>IF(ISNUMBER(B426),INT(B426),0)</f>
        <v/>
      </c>
    </row>
    <row r="427">
      <c r="A427" s="1" t="n"/>
      <c r="B427" s="17" t="n"/>
      <c r="C427" s="18" t="n"/>
      <c r="D427" s="19" t="n"/>
      <c r="E427" s="23" t="n"/>
      <c r="F427" s="21" t="n"/>
      <c r="G427" s="11">
        <f>IF(C427="","",IFERROR(INDEX(Crops!$D$6:$D$65,MATCH(C427,Crops!$B$6:$B$65,0))&amp;"",""))</f>
        <v/>
      </c>
      <c r="H427" s="12">
        <f>IF(OR(C427="",NOT(ISNUMBER(E427))),"",E427*N(IFERROR(INDEX(Crops!$E$6:$E$65,MATCH(C427,Crops!$B$6:$B$65,0)),0)))</f>
        <v/>
      </c>
      <c r="I427" s="11">
        <f>IF(AND(C427="",E427=""),"",IF(NOT(ISNUMBER(B427)),"Needs a date",IF(C427="","Needs a crop",IF(COUNTIF(Crops!$B$6:$B$65,C427)=0,"Not on Crops",IF(NOT(ISNUMBER(E427)),"Needs the amount",IF(AND(D427&lt;&gt;"",COUNTIF(Beds!$B$6:$B$35,D427)=0),"Not on Beds",""))))))</f>
        <v/>
      </c>
      <c r="J427" s="1">
        <f>IF(ISNUMBER(B427),YEAR(B427),"")</f>
        <v/>
      </c>
      <c r="K427">
        <f>IF(ISNUMBER(B427),YEAR(B427)*100+MONTH(B427),"")</f>
        <v/>
      </c>
      <c r="L427">
        <f>IF(ISNUMBER(B427),INT(B427),0)</f>
        <v/>
      </c>
    </row>
    <row r="428">
      <c r="A428" s="1" t="n"/>
      <c r="B428" s="17" t="n"/>
      <c r="C428" s="18" t="n"/>
      <c r="D428" s="19" t="n"/>
      <c r="E428" s="23" t="n"/>
      <c r="F428" s="21" t="n"/>
      <c r="G428" s="11">
        <f>IF(C428="","",IFERROR(INDEX(Crops!$D$6:$D$65,MATCH(C428,Crops!$B$6:$B$65,0))&amp;"",""))</f>
        <v/>
      </c>
      <c r="H428" s="12">
        <f>IF(OR(C428="",NOT(ISNUMBER(E428))),"",E428*N(IFERROR(INDEX(Crops!$E$6:$E$65,MATCH(C428,Crops!$B$6:$B$65,0)),0)))</f>
        <v/>
      </c>
      <c r="I428" s="11">
        <f>IF(AND(C428="",E428=""),"",IF(NOT(ISNUMBER(B428)),"Needs a date",IF(C428="","Needs a crop",IF(COUNTIF(Crops!$B$6:$B$65,C428)=0,"Not on Crops",IF(NOT(ISNUMBER(E428)),"Needs the amount",IF(AND(D428&lt;&gt;"",COUNTIF(Beds!$B$6:$B$35,D428)=0),"Not on Beds",""))))))</f>
        <v/>
      </c>
      <c r="J428" s="1">
        <f>IF(ISNUMBER(B428),YEAR(B428),"")</f>
        <v/>
      </c>
      <c r="K428">
        <f>IF(ISNUMBER(B428),YEAR(B428)*100+MONTH(B428),"")</f>
        <v/>
      </c>
      <c r="L428">
        <f>IF(ISNUMBER(B428),INT(B428),0)</f>
        <v/>
      </c>
    </row>
    <row r="429">
      <c r="A429" s="1" t="n"/>
      <c r="B429" s="17" t="n"/>
      <c r="C429" s="18" t="n"/>
      <c r="D429" s="19" t="n"/>
      <c r="E429" s="23" t="n"/>
      <c r="F429" s="21" t="n"/>
      <c r="G429" s="11">
        <f>IF(C429="","",IFERROR(INDEX(Crops!$D$6:$D$65,MATCH(C429,Crops!$B$6:$B$65,0))&amp;"",""))</f>
        <v/>
      </c>
      <c r="H429" s="12">
        <f>IF(OR(C429="",NOT(ISNUMBER(E429))),"",E429*N(IFERROR(INDEX(Crops!$E$6:$E$65,MATCH(C429,Crops!$B$6:$B$65,0)),0)))</f>
        <v/>
      </c>
      <c r="I429" s="11">
        <f>IF(AND(C429="",E429=""),"",IF(NOT(ISNUMBER(B429)),"Needs a date",IF(C429="","Needs a crop",IF(COUNTIF(Crops!$B$6:$B$65,C429)=0,"Not on Crops",IF(NOT(ISNUMBER(E429)),"Needs the amount",IF(AND(D429&lt;&gt;"",COUNTIF(Beds!$B$6:$B$35,D429)=0),"Not on Beds",""))))))</f>
        <v/>
      </c>
      <c r="J429" s="1">
        <f>IF(ISNUMBER(B429),YEAR(B429),"")</f>
        <v/>
      </c>
      <c r="K429">
        <f>IF(ISNUMBER(B429),YEAR(B429)*100+MONTH(B429),"")</f>
        <v/>
      </c>
      <c r="L429">
        <f>IF(ISNUMBER(B429),INT(B429),0)</f>
        <v/>
      </c>
    </row>
    <row r="430">
      <c r="A430" s="1" t="n"/>
      <c r="B430" s="17" t="n"/>
      <c r="C430" s="18" t="n"/>
      <c r="D430" s="19" t="n"/>
      <c r="E430" s="23" t="n"/>
      <c r="F430" s="21" t="n"/>
      <c r="G430" s="11">
        <f>IF(C430="","",IFERROR(INDEX(Crops!$D$6:$D$65,MATCH(C430,Crops!$B$6:$B$65,0))&amp;"",""))</f>
        <v/>
      </c>
      <c r="H430" s="12">
        <f>IF(OR(C430="",NOT(ISNUMBER(E430))),"",E430*N(IFERROR(INDEX(Crops!$E$6:$E$65,MATCH(C430,Crops!$B$6:$B$65,0)),0)))</f>
        <v/>
      </c>
      <c r="I430" s="11">
        <f>IF(AND(C430="",E430=""),"",IF(NOT(ISNUMBER(B430)),"Needs a date",IF(C430="","Needs a crop",IF(COUNTIF(Crops!$B$6:$B$65,C430)=0,"Not on Crops",IF(NOT(ISNUMBER(E430)),"Needs the amount",IF(AND(D430&lt;&gt;"",COUNTIF(Beds!$B$6:$B$35,D430)=0),"Not on Beds",""))))))</f>
        <v/>
      </c>
      <c r="J430" s="1">
        <f>IF(ISNUMBER(B430),YEAR(B430),"")</f>
        <v/>
      </c>
      <c r="K430">
        <f>IF(ISNUMBER(B430),YEAR(B430)*100+MONTH(B430),"")</f>
        <v/>
      </c>
      <c r="L430">
        <f>IF(ISNUMBER(B430),INT(B430),0)</f>
        <v/>
      </c>
    </row>
    <row r="431">
      <c r="A431" s="1" t="n"/>
      <c r="B431" s="17" t="n"/>
      <c r="C431" s="18" t="n"/>
      <c r="D431" s="19" t="n"/>
      <c r="E431" s="23" t="n"/>
      <c r="F431" s="21" t="n"/>
      <c r="G431" s="11">
        <f>IF(C431="","",IFERROR(INDEX(Crops!$D$6:$D$65,MATCH(C431,Crops!$B$6:$B$65,0))&amp;"",""))</f>
        <v/>
      </c>
      <c r="H431" s="12">
        <f>IF(OR(C431="",NOT(ISNUMBER(E431))),"",E431*N(IFERROR(INDEX(Crops!$E$6:$E$65,MATCH(C431,Crops!$B$6:$B$65,0)),0)))</f>
        <v/>
      </c>
      <c r="I431" s="11">
        <f>IF(AND(C431="",E431=""),"",IF(NOT(ISNUMBER(B431)),"Needs a date",IF(C431="","Needs a crop",IF(COUNTIF(Crops!$B$6:$B$65,C431)=0,"Not on Crops",IF(NOT(ISNUMBER(E431)),"Needs the amount",IF(AND(D431&lt;&gt;"",COUNTIF(Beds!$B$6:$B$35,D431)=0),"Not on Beds",""))))))</f>
        <v/>
      </c>
      <c r="J431" s="1">
        <f>IF(ISNUMBER(B431),YEAR(B431),"")</f>
        <v/>
      </c>
      <c r="K431">
        <f>IF(ISNUMBER(B431),YEAR(B431)*100+MONTH(B431),"")</f>
        <v/>
      </c>
      <c r="L431">
        <f>IF(ISNUMBER(B431),INT(B431),0)</f>
        <v/>
      </c>
    </row>
    <row r="432">
      <c r="A432" s="1" t="n"/>
      <c r="B432" s="17" t="n"/>
      <c r="C432" s="18" t="n"/>
      <c r="D432" s="19" t="n"/>
      <c r="E432" s="23" t="n"/>
      <c r="F432" s="21" t="n"/>
      <c r="G432" s="11">
        <f>IF(C432="","",IFERROR(INDEX(Crops!$D$6:$D$65,MATCH(C432,Crops!$B$6:$B$65,0))&amp;"",""))</f>
        <v/>
      </c>
      <c r="H432" s="12">
        <f>IF(OR(C432="",NOT(ISNUMBER(E432))),"",E432*N(IFERROR(INDEX(Crops!$E$6:$E$65,MATCH(C432,Crops!$B$6:$B$65,0)),0)))</f>
        <v/>
      </c>
      <c r="I432" s="11">
        <f>IF(AND(C432="",E432=""),"",IF(NOT(ISNUMBER(B432)),"Needs a date",IF(C432="","Needs a crop",IF(COUNTIF(Crops!$B$6:$B$65,C432)=0,"Not on Crops",IF(NOT(ISNUMBER(E432)),"Needs the amount",IF(AND(D432&lt;&gt;"",COUNTIF(Beds!$B$6:$B$35,D432)=0),"Not on Beds",""))))))</f>
        <v/>
      </c>
      <c r="J432" s="1">
        <f>IF(ISNUMBER(B432),YEAR(B432),"")</f>
        <v/>
      </c>
      <c r="K432">
        <f>IF(ISNUMBER(B432),YEAR(B432)*100+MONTH(B432),"")</f>
        <v/>
      </c>
      <c r="L432">
        <f>IF(ISNUMBER(B432),INT(B432),0)</f>
        <v/>
      </c>
    </row>
    <row r="433">
      <c r="A433" s="1" t="n"/>
      <c r="B433" s="17" t="n"/>
      <c r="C433" s="18" t="n"/>
      <c r="D433" s="19" t="n"/>
      <c r="E433" s="23" t="n"/>
      <c r="F433" s="21" t="n"/>
      <c r="G433" s="11">
        <f>IF(C433="","",IFERROR(INDEX(Crops!$D$6:$D$65,MATCH(C433,Crops!$B$6:$B$65,0))&amp;"",""))</f>
        <v/>
      </c>
      <c r="H433" s="12">
        <f>IF(OR(C433="",NOT(ISNUMBER(E433))),"",E433*N(IFERROR(INDEX(Crops!$E$6:$E$65,MATCH(C433,Crops!$B$6:$B$65,0)),0)))</f>
        <v/>
      </c>
      <c r="I433" s="11">
        <f>IF(AND(C433="",E433=""),"",IF(NOT(ISNUMBER(B433)),"Needs a date",IF(C433="","Needs a crop",IF(COUNTIF(Crops!$B$6:$B$65,C433)=0,"Not on Crops",IF(NOT(ISNUMBER(E433)),"Needs the amount",IF(AND(D433&lt;&gt;"",COUNTIF(Beds!$B$6:$B$35,D433)=0),"Not on Beds",""))))))</f>
        <v/>
      </c>
      <c r="J433" s="1">
        <f>IF(ISNUMBER(B433),YEAR(B433),"")</f>
        <v/>
      </c>
      <c r="K433">
        <f>IF(ISNUMBER(B433),YEAR(B433)*100+MONTH(B433),"")</f>
        <v/>
      </c>
      <c r="L433">
        <f>IF(ISNUMBER(B433),INT(B433),0)</f>
        <v/>
      </c>
    </row>
    <row r="434">
      <c r="A434" s="1" t="n"/>
      <c r="B434" s="17" t="n"/>
      <c r="C434" s="18" t="n"/>
      <c r="D434" s="19" t="n"/>
      <c r="E434" s="23" t="n"/>
      <c r="F434" s="21" t="n"/>
      <c r="G434" s="11">
        <f>IF(C434="","",IFERROR(INDEX(Crops!$D$6:$D$65,MATCH(C434,Crops!$B$6:$B$65,0))&amp;"",""))</f>
        <v/>
      </c>
      <c r="H434" s="12">
        <f>IF(OR(C434="",NOT(ISNUMBER(E434))),"",E434*N(IFERROR(INDEX(Crops!$E$6:$E$65,MATCH(C434,Crops!$B$6:$B$65,0)),0)))</f>
        <v/>
      </c>
      <c r="I434" s="11">
        <f>IF(AND(C434="",E434=""),"",IF(NOT(ISNUMBER(B434)),"Needs a date",IF(C434="","Needs a crop",IF(COUNTIF(Crops!$B$6:$B$65,C434)=0,"Not on Crops",IF(NOT(ISNUMBER(E434)),"Needs the amount",IF(AND(D434&lt;&gt;"",COUNTIF(Beds!$B$6:$B$35,D434)=0),"Not on Beds",""))))))</f>
        <v/>
      </c>
      <c r="J434" s="1">
        <f>IF(ISNUMBER(B434),YEAR(B434),"")</f>
        <v/>
      </c>
      <c r="K434">
        <f>IF(ISNUMBER(B434),YEAR(B434)*100+MONTH(B434),"")</f>
        <v/>
      </c>
      <c r="L434">
        <f>IF(ISNUMBER(B434),INT(B434),0)</f>
        <v/>
      </c>
    </row>
    <row r="435">
      <c r="A435" s="1" t="n"/>
      <c r="B435" s="17" t="n"/>
      <c r="C435" s="18" t="n"/>
      <c r="D435" s="19" t="n"/>
      <c r="E435" s="23" t="n"/>
      <c r="F435" s="21" t="n"/>
      <c r="G435" s="11">
        <f>IF(C435="","",IFERROR(INDEX(Crops!$D$6:$D$65,MATCH(C435,Crops!$B$6:$B$65,0))&amp;"",""))</f>
        <v/>
      </c>
      <c r="H435" s="12">
        <f>IF(OR(C435="",NOT(ISNUMBER(E435))),"",E435*N(IFERROR(INDEX(Crops!$E$6:$E$65,MATCH(C435,Crops!$B$6:$B$65,0)),0)))</f>
        <v/>
      </c>
      <c r="I435" s="11">
        <f>IF(AND(C435="",E435=""),"",IF(NOT(ISNUMBER(B435)),"Needs a date",IF(C435="","Needs a crop",IF(COUNTIF(Crops!$B$6:$B$65,C435)=0,"Not on Crops",IF(NOT(ISNUMBER(E435)),"Needs the amount",IF(AND(D435&lt;&gt;"",COUNTIF(Beds!$B$6:$B$35,D435)=0),"Not on Beds",""))))))</f>
        <v/>
      </c>
      <c r="J435" s="1">
        <f>IF(ISNUMBER(B435),YEAR(B435),"")</f>
        <v/>
      </c>
      <c r="K435">
        <f>IF(ISNUMBER(B435),YEAR(B435)*100+MONTH(B435),"")</f>
        <v/>
      </c>
      <c r="L435">
        <f>IF(ISNUMBER(B435),INT(B435),0)</f>
        <v/>
      </c>
    </row>
    <row r="436">
      <c r="A436" s="1" t="n"/>
      <c r="B436" s="17" t="n"/>
      <c r="C436" s="18" t="n"/>
      <c r="D436" s="19" t="n"/>
      <c r="E436" s="23" t="n"/>
      <c r="F436" s="21" t="n"/>
      <c r="G436" s="11">
        <f>IF(C436="","",IFERROR(INDEX(Crops!$D$6:$D$65,MATCH(C436,Crops!$B$6:$B$65,0))&amp;"",""))</f>
        <v/>
      </c>
      <c r="H436" s="12">
        <f>IF(OR(C436="",NOT(ISNUMBER(E436))),"",E436*N(IFERROR(INDEX(Crops!$E$6:$E$65,MATCH(C436,Crops!$B$6:$B$65,0)),0)))</f>
        <v/>
      </c>
      <c r="I436" s="11">
        <f>IF(AND(C436="",E436=""),"",IF(NOT(ISNUMBER(B436)),"Needs a date",IF(C436="","Needs a crop",IF(COUNTIF(Crops!$B$6:$B$65,C436)=0,"Not on Crops",IF(NOT(ISNUMBER(E436)),"Needs the amount",IF(AND(D436&lt;&gt;"",COUNTIF(Beds!$B$6:$B$35,D436)=0),"Not on Beds",""))))))</f>
        <v/>
      </c>
      <c r="J436" s="1">
        <f>IF(ISNUMBER(B436),YEAR(B436),"")</f>
        <v/>
      </c>
      <c r="K436">
        <f>IF(ISNUMBER(B436),YEAR(B436)*100+MONTH(B436),"")</f>
        <v/>
      </c>
      <c r="L436">
        <f>IF(ISNUMBER(B436),INT(B436),0)</f>
        <v/>
      </c>
    </row>
    <row r="437">
      <c r="A437" s="1" t="n"/>
      <c r="B437" s="17" t="n"/>
      <c r="C437" s="18" t="n"/>
      <c r="D437" s="19" t="n"/>
      <c r="E437" s="23" t="n"/>
      <c r="F437" s="21" t="n"/>
      <c r="G437" s="11">
        <f>IF(C437="","",IFERROR(INDEX(Crops!$D$6:$D$65,MATCH(C437,Crops!$B$6:$B$65,0))&amp;"",""))</f>
        <v/>
      </c>
      <c r="H437" s="12">
        <f>IF(OR(C437="",NOT(ISNUMBER(E437))),"",E437*N(IFERROR(INDEX(Crops!$E$6:$E$65,MATCH(C437,Crops!$B$6:$B$65,0)),0)))</f>
        <v/>
      </c>
      <c r="I437" s="11">
        <f>IF(AND(C437="",E437=""),"",IF(NOT(ISNUMBER(B437)),"Needs a date",IF(C437="","Needs a crop",IF(COUNTIF(Crops!$B$6:$B$65,C437)=0,"Not on Crops",IF(NOT(ISNUMBER(E437)),"Needs the amount",IF(AND(D437&lt;&gt;"",COUNTIF(Beds!$B$6:$B$35,D437)=0),"Not on Beds",""))))))</f>
        <v/>
      </c>
      <c r="J437" s="1">
        <f>IF(ISNUMBER(B437),YEAR(B437),"")</f>
        <v/>
      </c>
      <c r="K437">
        <f>IF(ISNUMBER(B437),YEAR(B437)*100+MONTH(B437),"")</f>
        <v/>
      </c>
      <c r="L437">
        <f>IF(ISNUMBER(B437),INT(B437),0)</f>
        <v/>
      </c>
    </row>
    <row r="438">
      <c r="A438" s="1" t="n"/>
      <c r="B438" s="17" t="n"/>
      <c r="C438" s="18" t="n"/>
      <c r="D438" s="19" t="n"/>
      <c r="E438" s="23" t="n"/>
      <c r="F438" s="21" t="n"/>
      <c r="G438" s="11">
        <f>IF(C438="","",IFERROR(INDEX(Crops!$D$6:$D$65,MATCH(C438,Crops!$B$6:$B$65,0))&amp;"",""))</f>
        <v/>
      </c>
      <c r="H438" s="12">
        <f>IF(OR(C438="",NOT(ISNUMBER(E438))),"",E438*N(IFERROR(INDEX(Crops!$E$6:$E$65,MATCH(C438,Crops!$B$6:$B$65,0)),0)))</f>
        <v/>
      </c>
      <c r="I438" s="11">
        <f>IF(AND(C438="",E438=""),"",IF(NOT(ISNUMBER(B438)),"Needs a date",IF(C438="","Needs a crop",IF(COUNTIF(Crops!$B$6:$B$65,C438)=0,"Not on Crops",IF(NOT(ISNUMBER(E438)),"Needs the amount",IF(AND(D438&lt;&gt;"",COUNTIF(Beds!$B$6:$B$35,D438)=0),"Not on Beds",""))))))</f>
        <v/>
      </c>
      <c r="J438" s="1">
        <f>IF(ISNUMBER(B438),YEAR(B438),"")</f>
        <v/>
      </c>
      <c r="K438">
        <f>IF(ISNUMBER(B438),YEAR(B438)*100+MONTH(B438),"")</f>
        <v/>
      </c>
      <c r="L438">
        <f>IF(ISNUMBER(B438),INT(B438),0)</f>
        <v/>
      </c>
    </row>
    <row r="439">
      <c r="A439" s="1" t="n"/>
      <c r="B439" s="17" t="n"/>
      <c r="C439" s="18" t="n"/>
      <c r="D439" s="19" t="n"/>
      <c r="E439" s="23" t="n"/>
      <c r="F439" s="21" t="n"/>
      <c r="G439" s="11">
        <f>IF(C439="","",IFERROR(INDEX(Crops!$D$6:$D$65,MATCH(C439,Crops!$B$6:$B$65,0))&amp;"",""))</f>
        <v/>
      </c>
      <c r="H439" s="12">
        <f>IF(OR(C439="",NOT(ISNUMBER(E439))),"",E439*N(IFERROR(INDEX(Crops!$E$6:$E$65,MATCH(C439,Crops!$B$6:$B$65,0)),0)))</f>
        <v/>
      </c>
      <c r="I439" s="11">
        <f>IF(AND(C439="",E439=""),"",IF(NOT(ISNUMBER(B439)),"Needs a date",IF(C439="","Needs a crop",IF(COUNTIF(Crops!$B$6:$B$65,C439)=0,"Not on Crops",IF(NOT(ISNUMBER(E439)),"Needs the amount",IF(AND(D439&lt;&gt;"",COUNTIF(Beds!$B$6:$B$35,D439)=0),"Not on Beds",""))))))</f>
        <v/>
      </c>
      <c r="J439" s="1">
        <f>IF(ISNUMBER(B439),YEAR(B439),"")</f>
        <v/>
      </c>
      <c r="K439">
        <f>IF(ISNUMBER(B439),YEAR(B439)*100+MONTH(B439),"")</f>
        <v/>
      </c>
      <c r="L439">
        <f>IF(ISNUMBER(B439),INT(B439),0)</f>
        <v/>
      </c>
    </row>
    <row r="440">
      <c r="A440" s="1" t="n"/>
      <c r="B440" s="17" t="n"/>
      <c r="C440" s="18" t="n"/>
      <c r="D440" s="19" t="n"/>
      <c r="E440" s="23" t="n"/>
      <c r="F440" s="21" t="n"/>
      <c r="G440" s="11">
        <f>IF(C440="","",IFERROR(INDEX(Crops!$D$6:$D$65,MATCH(C440,Crops!$B$6:$B$65,0))&amp;"",""))</f>
        <v/>
      </c>
      <c r="H440" s="12">
        <f>IF(OR(C440="",NOT(ISNUMBER(E440))),"",E440*N(IFERROR(INDEX(Crops!$E$6:$E$65,MATCH(C440,Crops!$B$6:$B$65,0)),0)))</f>
        <v/>
      </c>
      <c r="I440" s="11">
        <f>IF(AND(C440="",E440=""),"",IF(NOT(ISNUMBER(B440)),"Needs a date",IF(C440="","Needs a crop",IF(COUNTIF(Crops!$B$6:$B$65,C440)=0,"Not on Crops",IF(NOT(ISNUMBER(E440)),"Needs the amount",IF(AND(D440&lt;&gt;"",COUNTIF(Beds!$B$6:$B$35,D440)=0),"Not on Beds",""))))))</f>
        <v/>
      </c>
      <c r="J440" s="1">
        <f>IF(ISNUMBER(B440),YEAR(B440),"")</f>
        <v/>
      </c>
      <c r="K440">
        <f>IF(ISNUMBER(B440),YEAR(B440)*100+MONTH(B440),"")</f>
        <v/>
      </c>
      <c r="L440">
        <f>IF(ISNUMBER(B440),INT(B440),0)</f>
        <v/>
      </c>
    </row>
    <row r="441">
      <c r="A441" s="1" t="n"/>
      <c r="B441" s="17" t="n"/>
      <c r="C441" s="18" t="n"/>
      <c r="D441" s="19" t="n"/>
      <c r="E441" s="23" t="n"/>
      <c r="F441" s="21" t="n"/>
      <c r="G441" s="11">
        <f>IF(C441="","",IFERROR(INDEX(Crops!$D$6:$D$65,MATCH(C441,Crops!$B$6:$B$65,0))&amp;"",""))</f>
        <v/>
      </c>
      <c r="H441" s="12">
        <f>IF(OR(C441="",NOT(ISNUMBER(E441))),"",E441*N(IFERROR(INDEX(Crops!$E$6:$E$65,MATCH(C441,Crops!$B$6:$B$65,0)),0)))</f>
        <v/>
      </c>
      <c r="I441" s="11">
        <f>IF(AND(C441="",E441=""),"",IF(NOT(ISNUMBER(B441)),"Needs a date",IF(C441="","Needs a crop",IF(COUNTIF(Crops!$B$6:$B$65,C441)=0,"Not on Crops",IF(NOT(ISNUMBER(E441)),"Needs the amount",IF(AND(D441&lt;&gt;"",COUNTIF(Beds!$B$6:$B$35,D441)=0),"Not on Beds",""))))))</f>
        <v/>
      </c>
      <c r="J441" s="1">
        <f>IF(ISNUMBER(B441),YEAR(B441),"")</f>
        <v/>
      </c>
      <c r="K441">
        <f>IF(ISNUMBER(B441),YEAR(B441)*100+MONTH(B441),"")</f>
        <v/>
      </c>
      <c r="L441">
        <f>IF(ISNUMBER(B441),INT(B441),0)</f>
        <v/>
      </c>
    </row>
    <row r="442">
      <c r="A442" s="1" t="n"/>
      <c r="B442" s="17" t="n"/>
      <c r="C442" s="18" t="n"/>
      <c r="D442" s="19" t="n"/>
      <c r="E442" s="23" t="n"/>
      <c r="F442" s="21" t="n"/>
      <c r="G442" s="11">
        <f>IF(C442="","",IFERROR(INDEX(Crops!$D$6:$D$65,MATCH(C442,Crops!$B$6:$B$65,0))&amp;"",""))</f>
        <v/>
      </c>
      <c r="H442" s="12">
        <f>IF(OR(C442="",NOT(ISNUMBER(E442))),"",E442*N(IFERROR(INDEX(Crops!$E$6:$E$65,MATCH(C442,Crops!$B$6:$B$65,0)),0)))</f>
        <v/>
      </c>
      <c r="I442" s="11">
        <f>IF(AND(C442="",E442=""),"",IF(NOT(ISNUMBER(B442)),"Needs a date",IF(C442="","Needs a crop",IF(COUNTIF(Crops!$B$6:$B$65,C442)=0,"Not on Crops",IF(NOT(ISNUMBER(E442)),"Needs the amount",IF(AND(D442&lt;&gt;"",COUNTIF(Beds!$B$6:$B$35,D442)=0),"Not on Beds",""))))))</f>
        <v/>
      </c>
      <c r="J442" s="1">
        <f>IF(ISNUMBER(B442),YEAR(B442),"")</f>
        <v/>
      </c>
      <c r="K442">
        <f>IF(ISNUMBER(B442),YEAR(B442)*100+MONTH(B442),"")</f>
        <v/>
      </c>
      <c r="L442">
        <f>IF(ISNUMBER(B442),INT(B442),0)</f>
        <v/>
      </c>
    </row>
    <row r="443">
      <c r="A443" s="1" t="n"/>
      <c r="B443" s="17" t="n"/>
      <c r="C443" s="18" t="n"/>
      <c r="D443" s="19" t="n"/>
      <c r="E443" s="23" t="n"/>
      <c r="F443" s="21" t="n"/>
      <c r="G443" s="11">
        <f>IF(C443="","",IFERROR(INDEX(Crops!$D$6:$D$65,MATCH(C443,Crops!$B$6:$B$65,0))&amp;"",""))</f>
        <v/>
      </c>
      <c r="H443" s="12">
        <f>IF(OR(C443="",NOT(ISNUMBER(E443))),"",E443*N(IFERROR(INDEX(Crops!$E$6:$E$65,MATCH(C443,Crops!$B$6:$B$65,0)),0)))</f>
        <v/>
      </c>
      <c r="I443" s="11">
        <f>IF(AND(C443="",E443=""),"",IF(NOT(ISNUMBER(B443)),"Needs a date",IF(C443="","Needs a crop",IF(COUNTIF(Crops!$B$6:$B$65,C443)=0,"Not on Crops",IF(NOT(ISNUMBER(E443)),"Needs the amount",IF(AND(D443&lt;&gt;"",COUNTIF(Beds!$B$6:$B$35,D443)=0),"Not on Beds",""))))))</f>
        <v/>
      </c>
      <c r="J443" s="1">
        <f>IF(ISNUMBER(B443),YEAR(B443),"")</f>
        <v/>
      </c>
      <c r="K443">
        <f>IF(ISNUMBER(B443),YEAR(B443)*100+MONTH(B443),"")</f>
        <v/>
      </c>
      <c r="L443">
        <f>IF(ISNUMBER(B443),INT(B443),0)</f>
        <v/>
      </c>
    </row>
    <row r="444">
      <c r="A444" s="1" t="n"/>
      <c r="B444" s="17" t="n"/>
      <c r="C444" s="18" t="n"/>
      <c r="D444" s="19" t="n"/>
      <c r="E444" s="23" t="n"/>
      <c r="F444" s="21" t="n"/>
      <c r="G444" s="11">
        <f>IF(C444="","",IFERROR(INDEX(Crops!$D$6:$D$65,MATCH(C444,Crops!$B$6:$B$65,0))&amp;"",""))</f>
        <v/>
      </c>
      <c r="H444" s="12">
        <f>IF(OR(C444="",NOT(ISNUMBER(E444))),"",E444*N(IFERROR(INDEX(Crops!$E$6:$E$65,MATCH(C444,Crops!$B$6:$B$65,0)),0)))</f>
        <v/>
      </c>
      <c r="I444" s="11">
        <f>IF(AND(C444="",E444=""),"",IF(NOT(ISNUMBER(B444)),"Needs a date",IF(C444="","Needs a crop",IF(COUNTIF(Crops!$B$6:$B$65,C444)=0,"Not on Crops",IF(NOT(ISNUMBER(E444)),"Needs the amount",IF(AND(D444&lt;&gt;"",COUNTIF(Beds!$B$6:$B$35,D444)=0),"Not on Beds",""))))))</f>
        <v/>
      </c>
      <c r="J444" s="1">
        <f>IF(ISNUMBER(B444),YEAR(B444),"")</f>
        <v/>
      </c>
      <c r="K444">
        <f>IF(ISNUMBER(B444),YEAR(B444)*100+MONTH(B444),"")</f>
        <v/>
      </c>
      <c r="L444">
        <f>IF(ISNUMBER(B444),INT(B444),0)</f>
        <v/>
      </c>
    </row>
    <row r="445">
      <c r="A445" s="1" t="n"/>
      <c r="B445" s="17" t="n"/>
      <c r="C445" s="18" t="n"/>
      <c r="D445" s="19" t="n"/>
      <c r="E445" s="23" t="n"/>
      <c r="F445" s="21" t="n"/>
      <c r="G445" s="11">
        <f>IF(C445="","",IFERROR(INDEX(Crops!$D$6:$D$65,MATCH(C445,Crops!$B$6:$B$65,0))&amp;"",""))</f>
        <v/>
      </c>
      <c r="H445" s="12">
        <f>IF(OR(C445="",NOT(ISNUMBER(E445))),"",E445*N(IFERROR(INDEX(Crops!$E$6:$E$65,MATCH(C445,Crops!$B$6:$B$65,0)),0)))</f>
        <v/>
      </c>
      <c r="I445" s="11">
        <f>IF(AND(C445="",E445=""),"",IF(NOT(ISNUMBER(B445)),"Needs a date",IF(C445="","Needs a crop",IF(COUNTIF(Crops!$B$6:$B$65,C445)=0,"Not on Crops",IF(NOT(ISNUMBER(E445)),"Needs the amount",IF(AND(D445&lt;&gt;"",COUNTIF(Beds!$B$6:$B$35,D445)=0),"Not on Beds",""))))))</f>
        <v/>
      </c>
      <c r="J445" s="1">
        <f>IF(ISNUMBER(B445),YEAR(B445),"")</f>
        <v/>
      </c>
      <c r="K445">
        <f>IF(ISNUMBER(B445),YEAR(B445)*100+MONTH(B445),"")</f>
        <v/>
      </c>
      <c r="L445">
        <f>IF(ISNUMBER(B445),INT(B445),0)</f>
        <v/>
      </c>
    </row>
    <row r="446">
      <c r="A446" s="1" t="n"/>
      <c r="B446" s="17" t="n"/>
      <c r="C446" s="18" t="n"/>
      <c r="D446" s="19" t="n"/>
      <c r="E446" s="23" t="n"/>
      <c r="F446" s="21" t="n"/>
      <c r="G446" s="11">
        <f>IF(C446="","",IFERROR(INDEX(Crops!$D$6:$D$65,MATCH(C446,Crops!$B$6:$B$65,0))&amp;"",""))</f>
        <v/>
      </c>
      <c r="H446" s="12">
        <f>IF(OR(C446="",NOT(ISNUMBER(E446))),"",E446*N(IFERROR(INDEX(Crops!$E$6:$E$65,MATCH(C446,Crops!$B$6:$B$65,0)),0)))</f>
        <v/>
      </c>
      <c r="I446" s="11">
        <f>IF(AND(C446="",E446=""),"",IF(NOT(ISNUMBER(B446)),"Needs a date",IF(C446="","Needs a crop",IF(COUNTIF(Crops!$B$6:$B$65,C446)=0,"Not on Crops",IF(NOT(ISNUMBER(E446)),"Needs the amount",IF(AND(D446&lt;&gt;"",COUNTIF(Beds!$B$6:$B$35,D446)=0),"Not on Beds",""))))))</f>
        <v/>
      </c>
      <c r="J446" s="1">
        <f>IF(ISNUMBER(B446),YEAR(B446),"")</f>
        <v/>
      </c>
      <c r="K446">
        <f>IF(ISNUMBER(B446),YEAR(B446)*100+MONTH(B446),"")</f>
        <v/>
      </c>
      <c r="L446">
        <f>IF(ISNUMBER(B446),INT(B446),0)</f>
        <v/>
      </c>
    </row>
    <row r="447">
      <c r="A447" s="1" t="n"/>
      <c r="B447" s="17" t="n"/>
      <c r="C447" s="18" t="n"/>
      <c r="D447" s="19" t="n"/>
      <c r="E447" s="23" t="n"/>
      <c r="F447" s="21" t="n"/>
      <c r="G447" s="11">
        <f>IF(C447="","",IFERROR(INDEX(Crops!$D$6:$D$65,MATCH(C447,Crops!$B$6:$B$65,0))&amp;"",""))</f>
        <v/>
      </c>
      <c r="H447" s="12">
        <f>IF(OR(C447="",NOT(ISNUMBER(E447))),"",E447*N(IFERROR(INDEX(Crops!$E$6:$E$65,MATCH(C447,Crops!$B$6:$B$65,0)),0)))</f>
        <v/>
      </c>
      <c r="I447" s="11">
        <f>IF(AND(C447="",E447=""),"",IF(NOT(ISNUMBER(B447)),"Needs a date",IF(C447="","Needs a crop",IF(COUNTIF(Crops!$B$6:$B$65,C447)=0,"Not on Crops",IF(NOT(ISNUMBER(E447)),"Needs the amount",IF(AND(D447&lt;&gt;"",COUNTIF(Beds!$B$6:$B$35,D447)=0),"Not on Beds",""))))))</f>
        <v/>
      </c>
      <c r="J447" s="1">
        <f>IF(ISNUMBER(B447),YEAR(B447),"")</f>
        <v/>
      </c>
      <c r="K447">
        <f>IF(ISNUMBER(B447),YEAR(B447)*100+MONTH(B447),"")</f>
        <v/>
      </c>
      <c r="L447">
        <f>IF(ISNUMBER(B447),INT(B447),0)</f>
        <v/>
      </c>
    </row>
    <row r="448">
      <c r="A448" s="1" t="n"/>
      <c r="B448" s="17" t="n"/>
      <c r="C448" s="18" t="n"/>
      <c r="D448" s="19" t="n"/>
      <c r="E448" s="23" t="n"/>
      <c r="F448" s="21" t="n"/>
      <c r="G448" s="11">
        <f>IF(C448="","",IFERROR(INDEX(Crops!$D$6:$D$65,MATCH(C448,Crops!$B$6:$B$65,0))&amp;"",""))</f>
        <v/>
      </c>
      <c r="H448" s="12">
        <f>IF(OR(C448="",NOT(ISNUMBER(E448))),"",E448*N(IFERROR(INDEX(Crops!$E$6:$E$65,MATCH(C448,Crops!$B$6:$B$65,0)),0)))</f>
        <v/>
      </c>
      <c r="I448" s="11">
        <f>IF(AND(C448="",E448=""),"",IF(NOT(ISNUMBER(B448)),"Needs a date",IF(C448="","Needs a crop",IF(COUNTIF(Crops!$B$6:$B$65,C448)=0,"Not on Crops",IF(NOT(ISNUMBER(E448)),"Needs the amount",IF(AND(D448&lt;&gt;"",COUNTIF(Beds!$B$6:$B$35,D448)=0),"Not on Beds",""))))))</f>
        <v/>
      </c>
      <c r="J448" s="1">
        <f>IF(ISNUMBER(B448),YEAR(B448),"")</f>
        <v/>
      </c>
      <c r="K448">
        <f>IF(ISNUMBER(B448),YEAR(B448)*100+MONTH(B448),"")</f>
        <v/>
      </c>
      <c r="L448">
        <f>IF(ISNUMBER(B448),INT(B448),0)</f>
        <v/>
      </c>
    </row>
    <row r="449">
      <c r="A449" s="1" t="n"/>
      <c r="B449" s="17" t="n"/>
      <c r="C449" s="18" t="n"/>
      <c r="D449" s="19" t="n"/>
      <c r="E449" s="23" t="n"/>
      <c r="F449" s="21" t="n"/>
      <c r="G449" s="11">
        <f>IF(C449="","",IFERROR(INDEX(Crops!$D$6:$D$65,MATCH(C449,Crops!$B$6:$B$65,0))&amp;"",""))</f>
        <v/>
      </c>
      <c r="H449" s="12">
        <f>IF(OR(C449="",NOT(ISNUMBER(E449))),"",E449*N(IFERROR(INDEX(Crops!$E$6:$E$65,MATCH(C449,Crops!$B$6:$B$65,0)),0)))</f>
        <v/>
      </c>
      <c r="I449" s="11">
        <f>IF(AND(C449="",E449=""),"",IF(NOT(ISNUMBER(B449)),"Needs a date",IF(C449="","Needs a crop",IF(COUNTIF(Crops!$B$6:$B$65,C449)=0,"Not on Crops",IF(NOT(ISNUMBER(E449)),"Needs the amount",IF(AND(D449&lt;&gt;"",COUNTIF(Beds!$B$6:$B$35,D449)=0),"Not on Beds",""))))))</f>
        <v/>
      </c>
      <c r="J449" s="1">
        <f>IF(ISNUMBER(B449),YEAR(B449),"")</f>
        <v/>
      </c>
      <c r="K449">
        <f>IF(ISNUMBER(B449),YEAR(B449)*100+MONTH(B449),"")</f>
        <v/>
      </c>
      <c r="L449">
        <f>IF(ISNUMBER(B449),INT(B449),0)</f>
        <v/>
      </c>
    </row>
    <row r="450">
      <c r="A450" s="1" t="n"/>
      <c r="B450" s="17" t="n"/>
      <c r="C450" s="18" t="n"/>
      <c r="D450" s="19" t="n"/>
      <c r="E450" s="23" t="n"/>
      <c r="F450" s="21" t="n"/>
      <c r="G450" s="11">
        <f>IF(C450="","",IFERROR(INDEX(Crops!$D$6:$D$65,MATCH(C450,Crops!$B$6:$B$65,0))&amp;"",""))</f>
        <v/>
      </c>
      <c r="H450" s="12">
        <f>IF(OR(C450="",NOT(ISNUMBER(E450))),"",E450*N(IFERROR(INDEX(Crops!$E$6:$E$65,MATCH(C450,Crops!$B$6:$B$65,0)),0)))</f>
        <v/>
      </c>
      <c r="I450" s="11">
        <f>IF(AND(C450="",E450=""),"",IF(NOT(ISNUMBER(B450)),"Needs a date",IF(C450="","Needs a crop",IF(COUNTIF(Crops!$B$6:$B$65,C450)=0,"Not on Crops",IF(NOT(ISNUMBER(E450)),"Needs the amount",IF(AND(D450&lt;&gt;"",COUNTIF(Beds!$B$6:$B$35,D450)=0),"Not on Beds",""))))))</f>
        <v/>
      </c>
      <c r="J450" s="1">
        <f>IF(ISNUMBER(B450),YEAR(B450),"")</f>
        <v/>
      </c>
      <c r="K450">
        <f>IF(ISNUMBER(B450),YEAR(B450)*100+MONTH(B450),"")</f>
        <v/>
      </c>
      <c r="L450">
        <f>IF(ISNUMBER(B450),INT(B450),0)</f>
        <v/>
      </c>
    </row>
    <row r="451">
      <c r="A451" s="1" t="n"/>
      <c r="B451" s="17" t="n"/>
      <c r="C451" s="18" t="n"/>
      <c r="D451" s="19" t="n"/>
      <c r="E451" s="23" t="n"/>
      <c r="F451" s="21" t="n"/>
      <c r="G451" s="11">
        <f>IF(C451="","",IFERROR(INDEX(Crops!$D$6:$D$65,MATCH(C451,Crops!$B$6:$B$65,0))&amp;"",""))</f>
        <v/>
      </c>
      <c r="H451" s="12">
        <f>IF(OR(C451="",NOT(ISNUMBER(E451))),"",E451*N(IFERROR(INDEX(Crops!$E$6:$E$65,MATCH(C451,Crops!$B$6:$B$65,0)),0)))</f>
        <v/>
      </c>
      <c r="I451" s="11">
        <f>IF(AND(C451="",E451=""),"",IF(NOT(ISNUMBER(B451)),"Needs a date",IF(C451="","Needs a crop",IF(COUNTIF(Crops!$B$6:$B$65,C451)=0,"Not on Crops",IF(NOT(ISNUMBER(E451)),"Needs the amount",IF(AND(D451&lt;&gt;"",COUNTIF(Beds!$B$6:$B$35,D451)=0),"Not on Beds",""))))))</f>
        <v/>
      </c>
      <c r="J451" s="1">
        <f>IF(ISNUMBER(B451),YEAR(B451),"")</f>
        <v/>
      </c>
      <c r="K451">
        <f>IF(ISNUMBER(B451),YEAR(B451)*100+MONTH(B451),"")</f>
        <v/>
      </c>
      <c r="L451">
        <f>IF(ISNUMBER(B451),INT(B451),0)</f>
        <v/>
      </c>
    </row>
    <row r="452">
      <c r="A452" s="1" t="n"/>
      <c r="B452" s="17" t="n"/>
      <c r="C452" s="18" t="n"/>
      <c r="D452" s="19" t="n"/>
      <c r="E452" s="23" t="n"/>
      <c r="F452" s="21" t="n"/>
      <c r="G452" s="11">
        <f>IF(C452="","",IFERROR(INDEX(Crops!$D$6:$D$65,MATCH(C452,Crops!$B$6:$B$65,0))&amp;"",""))</f>
        <v/>
      </c>
      <c r="H452" s="12">
        <f>IF(OR(C452="",NOT(ISNUMBER(E452))),"",E452*N(IFERROR(INDEX(Crops!$E$6:$E$65,MATCH(C452,Crops!$B$6:$B$65,0)),0)))</f>
        <v/>
      </c>
      <c r="I452" s="11">
        <f>IF(AND(C452="",E452=""),"",IF(NOT(ISNUMBER(B452)),"Needs a date",IF(C452="","Needs a crop",IF(COUNTIF(Crops!$B$6:$B$65,C452)=0,"Not on Crops",IF(NOT(ISNUMBER(E452)),"Needs the amount",IF(AND(D452&lt;&gt;"",COUNTIF(Beds!$B$6:$B$35,D452)=0),"Not on Beds",""))))))</f>
        <v/>
      </c>
      <c r="J452" s="1">
        <f>IF(ISNUMBER(B452),YEAR(B452),"")</f>
        <v/>
      </c>
      <c r="K452">
        <f>IF(ISNUMBER(B452),YEAR(B452)*100+MONTH(B452),"")</f>
        <v/>
      </c>
      <c r="L452">
        <f>IF(ISNUMBER(B452),INT(B452),0)</f>
        <v/>
      </c>
    </row>
    <row r="453">
      <c r="A453" s="1" t="n"/>
      <c r="B453" s="17" t="n"/>
      <c r="C453" s="18" t="n"/>
      <c r="D453" s="19" t="n"/>
      <c r="E453" s="23" t="n"/>
      <c r="F453" s="21" t="n"/>
      <c r="G453" s="11">
        <f>IF(C453="","",IFERROR(INDEX(Crops!$D$6:$D$65,MATCH(C453,Crops!$B$6:$B$65,0))&amp;"",""))</f>
        <v/>
      </c>
      <c r="H453" s="12">
        <f>IF(OR(C453="",NOT(ISNUMBER(E453))),"",E453*N(IFERROR(INDEX(Crops!$E$6:$E$65,MATCH(C453,Crops!$B$6:$B$65,0)),0)))</f>
        <v/>
      </c>
      <c r="I453" s="11">
        <f>IF(AND(C453="",E453=""),"",IF(NOT(ISNUMBER(B453)),"Needs a date",IF(C453="","Needs a crop",IF(COUNTIF(Crops!$B$6:$B$65,C453)=0,"Not on Crops",IF(NOT(ISNUMBER(E453)),"Needs the amount",IF(AND(D453&lt;&gt;"",COUNTIF(Beds!$B$6:$B$35,D453)=0),"Not on Beds",""))))))</f>
        <v/>
      </c>
      <c r="J453" s="1">
        <f>IF(ISNUMBER(B453),YEAR(B453),"")</f>
        <v/>
      </c>
      <c r="K453">
        <f>IF(ISNUMBER(B453),YEAR(B453)*100+MONTH(B453),"")</f>
        <v/>
      </c>
      <c r="L453">
        <f>IF(ISNUMBER(B453),INT(B453),0)</f>
        <v/>
      </c>
    </row>
    <row r="454">
      <c r="A454" s="1" t="n"/>
      <c r="B454" s="17" t="n"/>
      <c r="C454" s="18" t="n"/>
      <c r="D454" s="19" t="n"/>
      <c r="E454" s="23" t="n"/>
      <c r="F454" s="21" t="n"/>
      <c r="G454" s="11">
        <f>IF(C454="","",IFERROR(INDEX(Crops!$D$6:$D$65,MATCH(C454,Crops!$B$6:$B$65,0))&amp;"",""))</f>
        <v/>
      </c>
      <c r="H454" s="12">
        <f>IF(OR(C454="",NOT(ISNUMBER(E454))),"",E454*N(IFERROR(INDEX(Crops!$E$6:$E$65,MATCH(C454,Crops!$B$6:$B$65,0)),0)))</f>
        <v/>
      </c>
      <c r="I454" s="11">
        <f>IF(AND(C454="",E454=""),"",IF(NOT(ISNUMBER(B454)),"Needs a date",IF(C454="","Needs a crop",IF(COUNTIF(Crops!$B$6:$B$65,C454)=0,"Not on Crops",IF(NOT(ISNUMBER(E454)),"Needs the amount",IF(AND(D454&lt;&gt;"",COUNTIF(Beds!$B$6:$B$35,D454)=0),"Not on Beds",""))))))</f>
        <v/>
      </c>
      <c r="J454" s="1">
        <f>IF(ISNUMBER(B454),YEAR(B454),"")</f>
        <v/>
      </c>
      <c r="K454">
        <f>IF(ISNUMBER(B454),YEAR(B454)*100+MONTH(B454),"")</f>
        <v/>
      </c>
      <c r="L454">
        <f>IF(ISNUMBER(B454),INT(B454),0)</f>
        <v/>
      </c>
    </row>
    <row r="455">
      <c r="A455" s="1" t="n"/>
      <c r="B455" s="17" t="n"/>
      <c r="C455" s="18" t="n"/>
      <c r="D455" s="19" t="n"/>
      <c r="E455" s="23" t="n"/>
      <c r="F455" s="21" t="n"/>
      <c r="G455" s="11">
        <f>IF(C455="","",IFERROR(INDEX(Crops!$D$6:$D$65,MATCH(C455,Crops!$B$6:$B$65,0))&amp;"",""))</f>
        <v/>
      </c>
      <c r="H455" s="12">
        <f>IF(OR(C455="",NOT(ISNUMBER(E455))),"",E455*N(IFERROR(INDEX(Crops!$E$6:$E$65,MATCH(C455,Crops!$B$6:$B$65,0)),0)))</f>
        <v/>
      </c>
      <c r="I455" s="11">
        <f>IF(AND(C455="",E455=""),"",IF(NOT(ISNUMBER(B455)),"Needs a date",IF(C455="","Needs a crop",IF(COUNTIF(Crops!$B$6:$B$65,C455)=0,"Not on Crops",IF(NOT(ISNUMBER(E455)),"Needs the amount",IF(AND(D455&lt;&gt;"",COUNTIF(Beds!$B$6:$B$35,D455)=0),"Not on Beds",""))))))</f>
        <v/>
      </c>
      <c r="J455" s="1">
        <f>IF(ISNUMBER(B455),YEAR(B455),"")</f>
        <v/>
      </c>
      <c r="K455">
        <f>IF(ISNUMBER(B455),YEAR(B455)*100+MONTH(B455),"")</f>
        <v/>
      </c>
      <c r="L455">
        <f>IF(ISNUMBER(B455),INT(B455),0)</f>
        <v/>
      </c>
    </row>
    <row r="456">
      <c r="A456" s="1" t="n"/>
      <c r="B456" s="17" t="n"/>
      <c r="C456" s="18" t="n"/>
      <c r="D456" s="19" t="n"/>
      <c r="E456" s="23" t="n"/>
      <c r="F456" s="21" t="n"/>
      <c r="G456" s="11">
        <f>IF(C456="","",IFERROR(INDEX(Crops!$D$6:$D$65,MATCH(C456,Crops!$B$6:$B$65,0))&amp;"",""))</f>
        <v/>
      </c>
      <c r="H456" s="12">
        <f>IF(OR(C456="",NOT(ISNUMBER(E456))),"",E456*N(IFERROR(INDEX(Crops!$E$6:$E$65,MATCH(C456,Crops!$B$6:$B$65,0)),0)))</f>
        <v/>
      </c>
      <c r="I456" s="11">
        <f>IF(AND(C456="",E456=""),"",IF(NOT(ISNUMBER(B456)),"Needs a date",IF(C456="","Needs a crop",IF(COUNTIF(Crops!$B$6:$B$65,C456)=0,"Not on Crops",IF(NOT(ISNUMBER(E456)),"Needs the amount",IF(AND(D456&lt;&gt;"",COUNTIF(Beds!$B$6:$B$35,D456)=0),"Not on Beds",""))))))</f>
        <v/>
      </c>
      <c r="J456" s="1">
        <f>IF(ISNUMBER(B456),YEAR(B456),"")</f>
        <v/>
      </c>
      <c r="K456">
        <f>IF(ISNUMBER(B456),YEAR(B456)*100+MONTH(B456),"")</f>
        <v/>
      </c>
      <c r="L456">
        <f>IF(ISNUMBER(B456),INT(B456),0)</f>
        <v/>
      </c>
    </row>
    <row r="457">
      <c r="A457" s="1" t="n"/>
      <c r="B457" s="17" t="n"/>
      <c r="C457" s="18" t="n"/>
      <c r="D457" s="19" t="n"/>
      <c r="E457" s="23" t="n"/>
      <c r="F457" s="21" t="n"/>
      <c r="G457" s="11">
        <f>IF(C457="","",IFERROR(INDEX(Crops!$D$6:$D$65,MATCH(C457,Crops!$B$6:$B$65,0))&amp;"",""))</f>
        <v/>
      </c>
      <c r="H457" s="12">
        <f>IF(OR(C457="",NOT(ISNUMBER(E457))),"",E457*N(IFERROR(INDEX(Crops!$E$6:$E$65,MATCH(C457,Crops!$B$6:$B$65,0)),0)))</f>
        <v/>
      </c>
      <c r="I457" s="11">
        <f>IF(AND(C457="",E457=""),"",IF(NOT(ISNUMBER(B457)),"Needs a date",IF(C457="","Needs a crop",IF(COUNTIF(Crops!$B$6:$B$65,C457)=0,"Not on Crops",IF(NOT(ISNUMBER(E457)),"Needs the amount",IF(AND(D457&lt;&gt;"",COUNTIF(Beds!$B$6:$B$35,D457)=0),"Not on Beds",""))))))</f>
        <v/>
      </c>
      <c r="J457" s="1">
        <f>IF(ISNUMBER(B457),YEAR(B457),"")</f>
        <v/>
      </c>
      <c r="K457">
        <f>IF(ISNUMBER(B457),YEAR(B457)*100+MONTH(B457),"")</f>
        <v/>
      </c>
      <c r="L457">
        <f>IF(ISNUMBER(B457),INT(B457),0)</f>
        <v/>
      </c>
    </row>
    <row r="458">
      <c r="A458" s="1" t="n"/>
      <c r="B458" s="17" t="n"/>
      <c r="C458" s="18" t="n"/>
      <c r="D458" s="19" t="n"/>
      <c r="E458" s="23" t="n"/>
      <c r="F458" s="21" t="n"/>
      <c r="G458" s="11">
        <f>IF(C458="","",IFERROR(INDEX(Crops!$D$6:$D$65,MATCH(C458,Crops!$B$6:$B$65,0))&amp;"",""))</f>
        <v/>
      </c>
      <c r="H458" s="12">
        <f>IF(OR(C458="",NOT(ISNUMBER(E458))),"",E458*N(IFERROR(INDEX(Crops!$E$6:$E$65,MATCH(C458,Crops!$B$6:$B$65,0)),0)))</f>
        <v/>
      </c>
      <c r="I458" s="11">
        <f>IF(AND(C458="",E458=""),"",IF(NOT(ISNUMBER(B458)),"Needs a date",IF(C458="","Needs a crop",IF(COUNTIF(Crops!$B$6:$B$65,C458)=0,"Not on Crops",IF(NOT(ISNUMBER(E458)),"Needs the amount",IF(AND(D458&lt;&gt;"",COUNTIF(Beds!$B$6:$B$35,D458)=0),"Not on Beds",""))))))</f>
        <v/>
      </c>
      <c r="J458" s="1">
        <f>IF(ISNUMBER(B458),YEAR(B458),"")</f>
        <v/>
      </c>
      <c r="K458">
        <f>IF(ISNUMBER(B458),YEAR(B458)*100+MONTH(B458),"")</f>
        <v/>
      </c>
      <c r="L458">
        <f>IF(ISNUMBER(B458),INT(B458),0)</f>
        <v/>
      </c>
    </row>
    <row r="459">
      <c r="A459" s="1" t="n"/>
      <c r="B459" s="17" t="n"/>
      <c r="C459" s="18" t="n"/>
      <c r="D459" s="19" t="n"/>
      <c r="E459" s="23" t="n"/>
      <c r="F459" s="21" t="n"/>
      <c r="G459" s="11">
        <f>IF(C459="","",IFERROR(INDEX(Crops!$D$6:$D$65,MATCH(C459,Crops!$B$6:$B$65,0))&amp;"",""))</f>
        <v/>
      </c>
      <c r="H459" s="12">
        <f>IF(OR(C459="",NOT(ISNUMBER(E459))),"",E459*N(IFERROR(INDEX(Crops!$E$6:$E$65,MATCH(C459,Crops!$B$6:$B$65,0)),0)))</f>
        <v/>
      </c>
      <c r="I459" s="11">
        <f>IF(AND(C459="",E459=""),"",IF(NOT(ISNUMBER(B459)),"Needs a date",IF(C459="","Needs a crop",IF(COUNTIF(Crops!$B$6:$B$65,C459)=0,"Not on Crops",IF(NOT(ISNUMBER(E459)),"Needs the amount",IF(AND(D459&lt;&gt;"",COUNTIF(Beds!$B$6:$B$35,D459)=0),"Not on Beds",""))))))</f>
        <v/>
      </c>
      <c r="J459" s="1">
        <f>IF(ISNUMBER(B459),YEAR(B459),"")</f>
        <v/>
      </c>
      <c r="K459">
        <f>IF(ISNUMBER(B459),YEAR(B459)*100+MONTH(B459),"")</f>
        <v/>
      </c>
      <c r="L459">
        <f>IF(ISNUMBER(B459),INT(B459),0)</f>
        <v/>
      </c>
    </row>
    <row r="460">
      <c r="A460" s="1" t="n"/>
      <c r="B460" s="17" t="n"/>
      <c r="C460" s="18" t="n"/>
      <c r="D460" s="19" t="n"/>
      <c r="E460" s="23" t="n"/>
      <c r="F460" s="21" t="n"/>
      <c r="G460" s="11">
        <f>IF(C460="","",IFERROR(INDEX(Crops!$D$6:$D$65,MATCH(C460,Crops!$B$6:$B$65,0))&amp;"",""))</f>
        <v/>
      </c>
      <c r="H460" s="12">
        <f>IF(OR(C460="",NOT(ISNUMBER(E460))),"",E460*N(IFERROR(INDEX(Crops!$E$6:$E$65,MATCH(C460,Crops!$B$6:$B$65,0)),0)))</f>
        <v/>
      </c>
      <c r="I460" s="11">
        <f>IF(AND(C460="",E460=""),"",IF(NOT(ISNUMBER(B460)),"Needs a date",IF(C460="","Needs a crop",IF(COUNTIF(Crops!$B$6:$B$65,C460)=0,"Not on Crops",IF(NOT(ISNUMBER(E460)),"Needs the amount",IF(AND(D460&lt;&gt;"",COUNTIF(Beds!$B$6:$B$35,D460)=0),"Not on Beds",""))))))</f>
        <v/>
      </c>
      <c r="J460" s="1">
        <f>IF(ISNUMBER(B460),YEAR(B460),"")</f>
        <v/>
      </c>
      <c r="K460">
        <f>IF(ISNUMBER(B460),YEAR(B460)*100+MONTH(B460),"")</f>
        <v/>
      </c>
      <c r="L460">
        <f>IF(ISNUMBER(B460),INT(B460),0)</f>
        <v/>
      </c>
    </row>
    <row r="461">
      <c r="A461" s="1" t="n"/>
      <c r="B461" s="17" t="n"/>
      <c r="C461" s="18" t="n"/>
      <c r="D461" s="19" t="n"/>
      <c r="E461" s="23" t="n"/>
      <c r="F461" s="21" t="n"/>
      <c r="G461" s="11">
        <f>IF(C461="","",IFERROR(INDEX(Crops!$D$6:$D$65,MATCH(C461,Crops!$B$6:$B$65,0))&amp;"",""))</f>
        <v/>
      </c>
      <c r="H461" s="12">
        <f>IF(OR(C461="",NOT(ISNUMBER(E461))),"",E461*N(IFERROR(INDEX(Crops!$E$6:$E$65,MATCH(C461,Crops!$B$6:$B$65,0)),0)))</f>
        <v/>
      </c>
      <c r="I461" s="11">
        <f>IF(AND(C461="",E461=""),"",IF(NOT(ISNUMBER(B461)),"Needs a date",IF(C461="","Needs a crop",IF(COUNTIF(Crops!$B$6:$B$65,C461)=0,"Not on Crops",IF(NOT(ISNUMBER(E461)),"Needs the amount",IF(AND(D461&lt;&gt;"",COUNTIF(Beds!$B$6:$B$35,D461)=0),"Not on Beds",""))))))</f>
        <v/>
      </c>
      <c r="J461" s="1">
        <f>IF(ISNUMBER(B461),YEAR(B461),"")</f>
        <v/>
      </c>
      <c r="K461">
        <f>IF(ISNUMBER(B461),YEAR(B461)*100+MONTH(B461),"")</f>
        <v/>
      </c>
      <c r="L461">
        <f>IF(ISNUMBER(B461),INT(B461),0)</f>
        <v/>
      </c>
    </row>
    <row r="462">
      <c r="A462" s="1" t="n"/>
      <c r="B462" s="17" t="n"/>
      <c r="C462" s="18" t="n"/>
      <c r="D462" s="19" t="n"/>
      <c r="E462" s="23" t="n"/>
      <c r="F462" s="21" t="n"/>
      <c r="G462" s="11">
        <f>IF(C462="","",IFERROR(INDEX(Crops!$D$6:$D$65,MATCH(C462,Crops!$B$6:$B$65,0))&amp;"",""))</f>
        <v/>
      </c>
      <c r="H462" s="12">
        <f>IF(OR(C462="",NOT(ISNUMBER(E462))),"",E462*N(IFERROR(INDEX(Crops!$E$6:$E$65,MATCH(C462,Crops!$B$6:$B$65,0)),0)))</f>
        <v/>
      </c>
      <c r="I462" s="11">
        <f>IF(AND(C462="",E462=""),"",IF(NOT(ISNUMBER(B462)),"Needs a date",IF(C462="","Needs a crop",IF(COUNTIF(Crops!$B$6:$B$65,C462)=0,"Not on Crops",IF(NOT(ISNUMBER(E462)),"Needs the amount",IF(AND(D462&lt;&gt;"",COUNTIF(Beds!$B$6:$B$35,D462)=0),"Not on Beds",""))))))</f>
        <v/>
      </c>
      <c r="J462" s="1">
        <f>IF(ISNUMBER(B462),YEAR(B462),"")</f>
        <v/>
      </c>
      <c r="K462">
        <f>IF(ISNUMBER(B462),YEAR(B462)*100+MONTH(B462),"")</f>
        <v/>
      </c>
      <c r="L462">
        <f>IF(ISNUMBER(B462),INT(B462),0)</f>
        <v/>
      </c>
    </row>
    <row r="463">
      <c r="A463" s="1" t="n"/>
      <c r="B463" s="17" t="n"/>
      <c r="C463" s="18" t="n"/>
      <c r="D463" s="19" t="n"/>
      <c r="E463" s="23" t="n"/>
      <c r="F463" s="21" t="n"/>
      <c r="G463" s="11">
        <f>IF(C463="","",IFERROR(INDEX(Crops!$D$6:$D$65,MATCH(C463,Crops!$B$6:$B$65,0))&amp;"",""))</f>
        <v/>
      </c>
      <c r="H463" s="12">
        <f>IF(OR(C463="",NOT(ISNUMBER(E463))),"",E463*N(IFERROR(INDEX(Crops!$E$6:$E$65,MATCH(C463,Crops!$B$6:$B$65,0)),0)))</f>
        <v/>
      </c>
      <c r="I463" s="11">
        <f>IF(AND(C463="",E463=""),"",IF(NOT(ISNUMBER(B463)),"Needs a date",IF(C463="","Needs a crop",IF(COUNTIF(Crops!$B$6:$B$65,C463)=0,"Not on Crops",IF(NOT(ISNUMBER(E463)),"Needs the amount",IF(AND(D463&lt;&gt;"",COUNTIF(Beds!$B$6:$B$35,D463)=0),"Not on Beds",""))))))</f>
        <v/>
      </c>
      <c r="J463" s="1">
        <f>IF(ISNUMBER(B463),YEAR(B463),"")</f>
        <v/>
      </c>
      <c r="K463">
        <f>IF(ISNUMBER(B463),YEAR(B463)*100+MONTH(B463),"")</f>
        <v/>
      </c>
      <c r="L463">
        <f>IF(ISNUMBER(B463),INT(B463),0)</f>
        <v/>
      </c>
    </row>
    <row r="464">
      <c r="A464" s="1" t="n"/>
      <c r="B464" s="17" t="n"/>
      <c r="C464" s="18" t="n"/>
      <c r="D464" s="19" t="n"/>
      <c r="E464" s="23" t="n"/>
      <c r="F464" s="21" t="n"/>
      <c r="G464" s="11">
        <f>IF(C464="","",IFERROR(INDEX(Crops!$D$6:$D$65,MATCH(C464,Crops!$B$6:$B$65,0))&amp;"",""))</f>
        <v/>
      </c>
      <c r="H464" s="12">
        <f>IF(OR(C464="",NOT(ISNUMBER(E464))),"",E464*N(IFERROR(INDEX(Crops!$E$6:$E$65,MATCH(C464,Crops!$B$6:$B$65,0)),0)))</f>
        <v/>
      </c>
      <c r="I464" s="11">
        <f>IF(AND(C464="",E464=""),"",IF(NOT(ISNUMBER(B464)),"Needs a date",IF(C464="","Needs a crop",IF(COUNTIF(Crops!$B$6:$B$65,C464)=0,"Not on Crops",IF(NOT(ISNUMBER(E464)),"Needs the amount",IF(AND(D464&lt;&gt;"",COUNTIF(Beds!$B$6:$B$35,D464)=0),"Not on Beds",""))))))</f>
        <v/>
      </c>
      <c r="J464" s="1">
        <f>IF(ISNUMBER(B464),YEAR(B464),"")</f>
        <v/>
      </c>
      <c r="K464">
        <f>IF(ISNUMBER(B464),YEAR(B464)*100+MONTH(B464),"")</f>
        <v/>
      </c>
      <c r="L464">
        <f>IF(ISNUMBER(B464),INT(B464),0)</f>
        <v/>
      </c>
    </row>
    <row r="465">
      <c r="A465" s="1" t="n"/>
      <c r="B465" s="17" t="n"/>
      <c r="C465" s="18" t="n"/>
      <c r="D465" s="19" t="n"/>
      <c r="E465" s="23" t="n"/>
      <c r="F465" s="21" t="n"/>
      <c r="G465" s="11">
        <f>IF(C465="","",IFERROR(INDEX(Crops!$D$6:$D$65,MATCH(C465,Crops!$B$6:$B$65,0))&amp;"",""))</f>
        <v/>
      </c>
      <c r="H465" s="12">
        <f>IF(OR(C465="",NOT(ISNUMBER(E465))),"",E465*N(IFERROR(INDEX(Crops!$E$6:$E$65,MATCH(C465,Crops!$B$6:$B$65,0)),0)))</f>
        <v/>
      </c>
      <c r="I465" s="11">
        <f>IF(AND(C465="",E465=""),"",IF(NOT(ISNUMBER(B465)),"Needs a date",IF(C465="","Needs a crop",IF(COUNTIF(Crops!$B$6:$B$65,C465)=0,"Not on Crops",IF(NOT(ISNUMBER(E465)),"Needs the amount",IF(AND(D465&lt;&gt;"",COUNTIF(Beds!$B$6:$B$35,D465)=0),"Not on Beds",""))))))</f>
        <v/>
      </c>
      <c r="J465" s="1">
        <f>IF(ISNUMBER(B465),YEAR(B465),"")</f>
        <v/>
      </c>
      <c r="K465">
        <f>IF(ISNUMBER(B465),YEAR(B465)*100+MONTH(B465),"")</f>
        <v/>
      </c>
      <c r="L465">
        <f>IF(ISNUMBER(B465),INT(B465),0)</f>
        <v/>
      </c>
    </row>
    <row r="466">
      <c r="A466" s="1" t="n"/>
      <c r="B466" s="17" t="n"/>
      <c r="C466" s="18" t="n"/>
      <c r="D466" s="19" t="n"/>
      <c r="E466" s="23" t="n"/>
      <c r="F466" s="21" t="n"/>
      <c r="G466" s="11">
        <f>IF(C466="","",IFERROR(INDEX(Crops!$D$6:$D$65,MATCH(C466,Crops!$B$6:$B$65,0))&amp;"",""))</f>
        <v/>
      </c>
      <c r="H466" s="12">
        <f>IF(OR(C466="",NOT(ISNUMBER(E466))),"",E466*N(IFERROR(INDEX(Crops!$E$6:$E$65,MATCH(C466,Crops!$B$6:$B$65,0)),0)))</f>
        <v/>
      </c>
      <c r="I466" s="11">
        <f>IF(AND(C466="",E466=""),"",IF(NOT(ISNUMBER(B466)),"Needs a date",IF(C466="","Needs a crop",IF(COUNTIF(Crops!$B$6:$B$65,C466)=0,"Not on Crops",IF(NOT(ISNUMBER(E466)),"Needs the amount",IF(AND(D466&lt;&gt;"",COUNTIF(Beds!$B$6:$B$35,D466)=0),"Not on Beds",""))))))</f>
        <v/>
      </c>
      <c r="J466" s="1">
        <f>IF(ISNUMBER(B466),YEAR(B466),"")</f>
        <v/>
      </c>
      <c r="K466">
        <f>IF(ISNUMBER(B466),YEAR(B466)*100+MONTH(B466),"")</f>
        <v/>
      </c>
      <c r="L466">
        <f>IF(ISNUMBER(B466),INT(B466),0)</f>
        <v/>
      </c>
    </row>
    <row r="467">
      <c r="A467" s="1" t="n"/>
      <c r="B467" s="17" t="n"/>
      <c r="C467" s="18" t="n"/>
      <c r="D467" s="19" t="n"/>
      <c r="E467" s="23" t="n"/>
      <c r="F467" s="21" t="n"/>
      <c r="G467" s="11">
        <f>IF(C467="","",IFERROR(INDEX(Crops!$D$6:$D$65,MATCH(C467,Crops!$B$6:$B$65,0))&amp;"",""))</f>
        <v/>
      </c>
      <c r="H467" s="12">
        <f>IF(OR(C467="",NOT(ISNUMBER(E467))),"",E467*N(IFERROR(INDEX(Crops!$E$6:$E$65,MATCH(C467,Crops!$B$6:$B$65,0)),0)))</f>
        <v/>
      </c>
      <c r="I467" s="11">
        <f>IF(AND(C467="",E467=""),"",IF(NOT(ISNUMBER(B467)),"Needs a date",IF(C467="","Needs a crop",IF(COUNTIF(Crops!$B$6:$B$65,C467)=0,"Not on Crops",IF(NOT(ISNUMBER(E467)),"Needs the amount",IF(AND(D467&lt;&gt;"",COUNTIF(Beds!$B$6:$B$35,D467)=0),"Not on Beds",""))))))</f>
        <v/>
      </c>
      <c r="J467" s="1">
        <f>IF(ISNUMBER(B467),YEAR(B467),"")</f>
        <v/>
      </c>
      <c r="K467">
        <f>IF(ISNUMBER(B467),YEAR(B467)*100+MONTH(B467),"")</f>
        <v/>
      </c>
      <c r="L467">
        <f>IF(ISNUMBER(B467),INT(B467),0)</f>
        <v/>
      </c>
    </row>
    <row r="468">
      <c r="A468" s="1" t="n"/>
      <c r="B468" s="17" t="n"/>
      <c r="C468" s="18" t="n"/>
      <c r="D468" s="19" t="n"/>
      <c r="E468" s="23" t="n"/>
      <c r="F468" s="21" t="n"/>
      <c r="G468" s="11">
        <f>IF(C468="","",IFERROR(INDEX(Crops!$D$6:$D$65,MATCH(C468,Crops!$B$6:$B$65,0))&amp;"",""))</f>
        <v/>
      </c>
      <c r="H468" s="12">
        <f>IF(OR(C468="",NOT(ISNUMBER(E468))),"",E468*N(IFERROR(INDEX(Crops!$E$6:$E$65,MATCH(C468,Crops!$B$6:$B$65,0)),0)))</f>
        <v/>
      </c>
      <c r="I468" s="11">
        <f>IF(AND(C468="",E468=""),"",IF(NOT(ISNUMBER(B468)),"Needs a date",IF(C468="","Needs a crop",IF(COUNTIF(Crops!$B$6:$B$65,C468)=0,"Not on Crops",IF(NOT(ISNUMBER(E468)),"Needs the amount",IF(AND(D468&lt;&gt;"",COUNTIF(Beds!$B$6:$B$35,D468)=0),"Not on Beds",""))))))</f>
        <v/>
      </c>
      <c r="J468" s="1">
        <f>IF(ISNUMBER(B468),YEAR(B468),"")</f>
        <v/>
      </c>
      <c r="K468">
        <f>IF(ISNUMBER(B468),YEAR(B468)*100+MONTH(B468),"")</f>
        <v/>
      </c>
      <c r="L468">
        <f>IF(ISNUMBER(B468),INT(B468),0)</f>
        <v/>
      </c>
    </row>
    <row r="469">
      <c r="A469" s="1" t="n"/>
      <c r="B469" s="17" t="n"/>
      <c r="C469" s="18" t="n"/>
      <c r="D469" s="19" t="n"/>
      <c r="E469" s="23" t="n"/>
      <c r="F469" s="21" t="n"/>
      <c r="G469" s="11">
        <f>IF(C469="","",IFERROR(INDEX(Crops!$D$6:$D$65,MATCH(C469,Crops!$B$6:$B$65,0))&amp;"",""))</f>
        <v/>
      </c>
      <c r="H469" s="12">
        <f>IF(OR(C469="",NOT(ISNUMBER(E469))),"",E469*N(IFERROR(INDEX(Crops!$E$6:$E$65,MATCH(C469,Crops!$B$6:$B$65,0)),0)))</f>
        <v/>
      </c>
      <c r="I469" s="11">
        <f>IF(AND(C469="",E469=""),"",IF(NOT(ISNUMBER(B469)),"Needs a date",IF(C469="","Needs a crop",IF(COUNTIF(Crops!$B$6:$B$65,C469)=0,"Not on Crops",IF(NOT(ISNUMBER(E469)),"Needs the amount",IF(AND(D469&lt;&gt;"",COUNTIF(Beds!$B$6:$B$35,D469)=0),"Not on Beds",""))))))</f>
        <v/>
      </c>
      <c r="J469" s="1">
        <f>IF(ISNUMBER(B469),YEAR(B469),"")</f>
        <v/>
      </c>
      <c r="K469">
        <f>IF(ISNUMBER(B469),YEAR(B469)*100+MONTH(B469),"")</f>
        <v/>
      </c>
      <c r="L469">
        <f>IF(ISNUMBER(B469),INT(B469),0)</f>
        <v/>
      </c>
    </row>
    <row r="470">
      <c r="A470" s="1" t="n"/>
      <c r="B470" s="17" t="n"/>
      <c r="C470" s="18" t="n"/>
      <c r="D470" s="19" t="n"/>
      <c r="E470" s="23" t="n"/>
      <c r="F470" s="21" t="n"/>
      <c r="G470" s="11">
        <f>IF(C470="","",IFERROR(INDEX(Crops!$D$6:$D$65,MATCH(C470,Crops!$B$6:$B$65,0))&amp;"",""))</f>
        <v/>
      </c>
      <c r="H470" s="12">
        <f>IF(OR(C470="",NOT(ISNUMBER(E470))),"",E470*N(IFERROR(INDEX(Crops!$E$6:$E$65,MATCH(C470,Crops!$B$6:$B$65,0)),0)))</f>
        <v/>
      </c>
      <c r="I470" s="11">
        <f>IF(AND(C470="",E470=""),"",IF(NOT(ISNUMBER(B470)),"Needs a date",IF(C470="","Needs a crop",IF(COUNTIF(Crops!$B$6:$B$65,C470)=0,"Not on Crops",IF(NOT(ISNUMBER(E470)),"Needs the amount",IF(AND(D470&lt;&gt;"",COUNTIF(Beds!$B$6:$B$35,D470)=0),"Not on Beds",""))))))</f>
        <v/>
      </c>
      <c r="J470" s="1">
        <f>IF(ISNUMBER(B470),YEAR(B470),"")</f>
        <v/>
      </c>
      <c r="K470">
        <f>IF(ISNUMBER(B470),YEAR(B470)*100+MONTH(B470),"")</f>
        <v/>
      </c>
      <c r="L470">
        <f>IF(ISNUMBER(B470),INT(B470),0)</f>
        <v/>
      </c>
    </row>
    <row r="471">
      <c r="A471" s="1" t="n"/>
      <c r="B471" s="17" t="n"/>
      <c r="C471" s="18" t="n"/>
      <c r="D471" s="19" t="n"/>
      <c r="E471" s="23" t="n"/>
      <c r="F471" s="21" t="n"/>
      <c r="G471" s="11">
        <f>IF(C471="","",IFERROR(INDEX(Crops!$D$6:$D$65,MATCH(C471,Crops!$B$6:$B$65,0))&amp;"",""))</f>
        <v/>
      </c>
      <c r="H471" s="12">
        <f>IF(OR(C471="",NOT(ISNUMBER(E471))),"",E471*N(IFERROR(INDEX(Crops!$E$6:$E$65,MATCH(C471,Crops!$B$6:$B$65,0)),0)))</f>
        <v/>
      </c>
      <c r="I471" s="11">
        <f>IF(AND(C471="",E471=""),"",IF(NOT(ISNUMBER(B471)),"Needs a date",IF(C471="","Needs a crop",IF(COUNTIF(Crops!$B$6:$B$65,C471)=0,"Not on Crops",IF(NOT(ISNUMBER(E471)),"Needs the amount",IF(AND(D471&lt;&gt;"",COUNTIF(Beds!$B$6:$B$35,D471)=0),"Not on Beds",""))))))</f>
        <v/>
      </c>
      <c r="J471" s="1">
        <f>IF(ISNUMBER(B471),YEAR(B471),"")</f>
        <v/>
      </c>
      <c r="K471">
        <f>IF(ISNUMBER(B471),YEAR(B471)*100+MONTH(B471),"")</f>
        <v/>
      </c>
      <c r="L471">
        <f>IF(ISNUMBER(B471),INT(B471),0)</f>
        <v/>
      </c>
    </row>
    <row r="472">
      <c r="A472" s="1" t="n"/>
      <c r="B472" s="17" t="n"/>
      <c r="C472" s="18" t="n"/>
      <c r="D472" s="19" t="n"/>
      <c r="E472" s="23" t="n"/>
      <c r="F472" s="21" t="n"/>
      <c r="G472" s="11">
        <f>IF(C472="","",IFERROR(INDEX(Crops!$D$6:$D$65,MATCH(C472,Crops!$B$6:$B$65,0))&amp;"",""))</f>
        <v/>
      </c>
      <c r="H472" s="12">
        <f>IF(OR(C472="",NOT(ISNUMBER(E472))),"",E472*N(IFERROR(INDEX(Crops!$E$6:$E$65,MATCH(C472,Crops!$B$6:$B$65,0)),0)))</f>
        <v/>
      </c>
      <c r="I472" s="11">
        <f>IF(AND(C472="",E472=""),"",IF(NOT(ISNUMBER(B472)),"Needs a date",IF(C472="","Needs a crop",IF(COUNTIF(Crops!$B$6:$B$65,C472)=0,"Not on Crops",IF(NOT(ISNUMBER(E472)),"Needs the amount",IF(AND(D472&lt;&gt;"",COUNTIF(Beds!$B$6:$B$35,D472)=0),"Not on Beds",""))))))</f>
        <v/>
      </c>
      <c r="J472" s="1">
        <f>IF(ISNUMBER(B472),YEAR(B472),"")</f>
        <v/>
      </c>
      <c r="K472">
        <f>IF(ISNUMBER(B472),YEAR(B472)*100+MONTH(B472),"")</f>
        <v/>
      </c>
      <c r="L472">
        <f>IF(ISNUMBER(B472),INT(B472),0)</f>
        <v/>
      </c>
    </row>
    <row r="473">
      <c r="A473" s="1" t="n"/>
      <c r="B473" s="17" t="n"/>
      <c r="C473" s="18" t="n"/>
      <c r="D473" s="19" t="n"/>
      <c r="E473" s="23" t="n"/>
      <c r="F473" s="21" t="n"/>
      <c r="G473" s="11">
        <f>IF(C473="","",IFERROR(INDEX(Crops!$D$6:$D$65,MATCH(C473,Crops!$B$6:$B$65,0))&amp;"",""))</f>
        <v/>
      </c>
      <c r="H473" s="12">
        <f>IF(OR(C473="",NOT(ISNUMBER(E473))),"",E473*N(IFERROR(INDEX(Crops!$E$6:$E$65,MATCH(C473,Crops!$B$6:$B$65,0)),0)))</f>
        <v/>
      </c>
      <c r="I473" s="11">
        <f>IF(AND(C473="",E473=""),"",IF(NOT(ISNUMBER(B473)),"Needs a date",IF(C473="","Needs a crop",IF(COUNTIF(Crops!$B$6:$B$65,C473)=0,"Not on Crops",IF(NOT(ISNUMBER(E473)),"Needs the amount",IF(AND(D473&lt;&gt;"",COUNTIF(Beds!$B$6:$B$35,D473)=0),"Not on Beds",""))))))</f>
        <v/>
      </c>
      <c r="J473" s="1">
        <f>IF(ISNUMBER(B473),YEAR(B473),"")</f>
        <v/>
      </c>
      <c r="K473">
        <f>IF(ISNUMBER(B473),YEAR(B473)*100+MONTH(B473),"")</f>
        <v/>
      </c>
      <c r="L473">
        <f>IF(ISNUMBER(B473),INT(B473),0)</f>
        <v/>
      </c>
    </row>
    <row r="474">
      <c r="A474" s="1" t="n"/>
      <c r="B474" s="17" t="n"/>
      <c r="C474" s="18" t="n"/>
      <c r="D474" s="19" t="n"/>
      <c r="E474" s="23" t="n"/>
      <c r="F474" s="21" t="n"/>
      <c r="G474" s="11">
        <f>IF(C474="","",IFERROR(INDEX(Crops!$D$6:$D$65,MATCH(C474,Crops!$B$6:$B$65,0))&amp;"",""))</f>
        <v/>
      </c>
      <c r="H474" s="12">
        <f>IF(OR(C474="",NOT(ISNUMBER(E474))),"",E474*N(IFERROR(INDEX(Crops!$E$6:$E$65,MATCH(C474,Crops!$B$6:$B$65,0)),0)))</f>
        <v/>
      </c>
      <c r="I474" s="11">
        <f>IF(AND(C474="",E474=""),"",IF(NOT(ISNUMBER(B474)),"Needs a date",IF(C474="","Needs a crop",IF(COUNTIF(Crops!$B$6:$B$65,C474)=0,"Not on Crops",IF(NOT(ISNUMBER(E474)),"Needs the amount",IF(AND(D474&lt;&gt;"",COUNTIF(Beds!$B$6:$B$35,D474)=0),"Not on Beds",""))))))</f>
        <v/>
      </c>
      <c r="J474" s="1">
        <f>IF(ISNUMBER(B474),YEAR(B474),"")</f>
        <v/>
      </c>
      <c r="K474">
        <f>IF(ISNUMBER(B474),YEAR(B474)*100+MONTH(B474),"")</f>
        <v/>
      </c>
      <c r="L474">
        <f>IF(ISNUMBER(B474),INT(B474),0)</f>
        <v/>
      </c>
    </row>
    <row r="475">
      <c r="A475" s="1" t="n"/>
      <c r="B475" s="17" t="n"/>
      <c r="C475" s="18" t="n"/>
      <c r="D475" s="19" t="n"/>
      <c r="E475" s="23" t="n"/>
      <c r="F475" s="21" t="n"/>
      <c r="G475" s="11">
        <f>IF(C475="","",IFERROR(INDEX(Crops!$D$6:$D$65,MATCH(C475,Crops!$B$6:$B$65,0))&amp;"",""))</f>
        <v/>
      </c>
      <c r="H475" s="12">
        <f>IF(OR(C475="",NOT(ISNUMBER(E475))),"",E475*N(IFERROR(INDEX(Crops!$E$6:$E$65,MATCH(C475,Crops!$B$6:$B$65,0)),0)))</f>
        <v/>
      </c>
      <c r="I475" s="11">
        <f>IF(AND(C475="",E475=""),"",IF(NOT(ISNUMBER(B475)),"Needs a date",IF(C475="","Needs a crop",IF(COUNTIF(Crops!$B$6:$B$65,C475)=0,"Not on Crops",IF(NOT(ISNUMBER(E475)),"Needs the amount",IF(AND(D475&lt;&gt;"",COUNTIF(Beds!$B$6:$B$35,D475)=0),"Not on Beds",""))))))</f>
        <v/>
      </c>
      <c r="J475" s="1">
        <f>IF(ISNUMBER(B475),YEAR(B475),"")</f>
        <v/>
      </c>
      <c r="K475">
        <f>IF(ISNUMBER(B475),YEAR(B475)*100+MONTH(B475),"")</f>
        <v/>
      </c>
      <c r="L475">
        <f>IF(ISNUMBER(B475),INT(B475),0)</f>
        <v/>
      </c>
    </row>
    <row r="476">
      <c r="A476" s="1" t="n"/>
      <c r="B476" s="17" t="n"/>
      <c r="C476" s="18" t="n"/>
      <c r="D476" s="19" t="n"/>
      <c r="E476" s="23" t="n"/>
      <c r="F476" s="21" t="n"/>
      <c r="G476" s="11">
        <f>IF(C476="","",IFERROR(INDEX(Crops!$D$6:$D$65,MATCH(C476,Crops!$B$6:$B$65,0))&amp;"",""))</f>
        <v/>
      </c>
      <c r="H476" s="12">
        <f>IF(OR(C476="",NOT(ISNUMBER(E476))),"",E476*N(IFERROR(INDEX(Crops!$E$6:$E$65,MATCH(C476,Crops!$B$6:$B$65,0)),0)))</f>
        <v/>
      </c>
      <c r="I476" s="11">
        <f>IF(AND(C476="",E476=""),"",IF(NOT(ISNUMBER(B476)),"Needs a date",IF(C476="","Needs a crop",IF(COUNTIF(Crops!$B$6:$B$65,C476)=0,"Not on Crops",IF(NOT(ISNUMBER(E476)),"Needs the amount",IF(AND(D476&lt;&gt;"",COUNTIF(Beds!$B$6:$B$35,D476)=0),"Not on Beds",""))))))</f>
        <v/>
      </c>
      <c r="J476" s="1">
        <f>IF(ISNUMBER(B476),YEAR(B476),"")</f>
        <v/>
      </c>
      <c r="K476">
        <f>IF(ISNUMBER(B476),YEAR(B476)*100+MONTH(B476),"")</f>
        <v/>
      </c>
      <c r="L476">
        <f>IF(ISNUMBER(B476),INT(B476),0)</f>
        <v/>
      </c>
    </row>
    <row r="477">
      <c r="A477" s="1" t="n"/>
      <c r="B477" s="17" t="n"/>
      <c r="C477" s="18" t="n"/>
      <c r="D477" s="19" t="n"/>
      <c r="E477" s="23" t="n"/>
      <c r="F477" s="21" t="n"/>
      <c r="G477" s="11">
        <f>IF(C477="","",IFERROR(INDEX(Crops!$D$6:$D$65,MATCH(C477,Crops!$B$6:$B$65,0))&amp;"",""))</f>
        <v/>
      </c>
      <c r="H477" s="12">
        <f>IF(OR(C477="",NOT(ISNUMBER(E477))),"",E477*N(IFERROR(INDEX(Crops!$E$6:$E$65,MATCH(C477,Crops!$B$6:$B$65,0)),0)))</f>
        <v/>
      </c>
      <c r="I477" s="11">
        <f>IF(AND(C477="",E477=""),"",IF(NOT(ISNUMBER(B477)),"Needs a date",IF(C477="","Needs a crop",IF(COUNTIF(Crops!$B$6:$B$65,C477)=0,"Not on Crops",IF(NOT(ISNUMBER(E477)),"Needs the amount",IF(AND(D477&lt;&gt;"",COUNTIF(Beds!$B$6:$B$35,D477)=0),"Not on Beds",""))))))</f>
        <v/>
      </c>
      <c r="J477" s="1">
        <f>IF(ISNUMBER(B477),YEAR(B477),"")</f>
        <v/>
      </c>
      <c r="K477">
        <f>IF(ISNUMBER(B477),YEAR(B477)*100+MONTH(B477),"")</f>
        <v/>
      </c>
      <c r="L477">
        <f>IF(ISNUMBER(B477),INT(B477),0)</f>
        <v/>
      </c>
    </row>
    <row r="478">
      <c r="A478" s="1" t="n"/>
      <c r="B478" s="17" t="n"/>
      <c r="C478" s="18" t="n"/>
      <c r="D478" s="19" t="n"/>
      <c r="E478" s="23" t="n"/>
      <c r="F478" s="21" t="n"/>
      <c r="G478" s="11">
        <f>IF(C478="","",IFERROR(INDEX(Crops!$D$6:$D$65,MATCH(C478,Crops!$B$6:$B$65,0))&amp;"",""))</f>
        <v/>
      </c>
      <c r="H478" s="12">
        <f>IF(OR(C478="",NOT(ISNUMBER(E478))),"",E478*N(IFERROR(INDEX(Crops!$E$6:$E$65,MATCH(C478,Crops!$B$6:$B$65,0)),0)))</f>
        <v/>
      </c>
      <c r="I478" s="11">
        <f>IF(AND(C478="",E478=""),"",IF(NOT(ISNUMBER(B478)),"Needs a date",IF(C478="","Needs a crop",IF(COUNTIF(Crops!$B$6:$B$65,C478)=0,"Not on Crops",IF(NOT(ISNUMBER(E478)),"Needs the amount",IF(AND(D478&lt;&gt;"",COUNTIF(Beds!$B$6:$B$35,D478)=0),"Not on Beds",""))))))</f>
        <v/>
      </c>
      <c r="J478" s="1">
        <f>IF(ISNUMBER(B478),YEAR(B478),"")</f>
        <v/>
      </c>
      <c r="K478">
        <f>IF(ISNUMBER(B478),YEAR(B478)*100+MONTH(B478),"")</f>
        <v/>
      </c>
      <c r="L478">
        <f>IF(ISNUMBER(B478),INT(B478),0)</f>
        <v/>
      </c>
    </row>
    <row r="479">
      <c r="A479" s="1" t="n"/>
      <c r="B479" s="17" t="n"/>
      <c r="C479" s="18" t="n"/>
      <c r="D479" s="19" t="n"/>
      <c r="E479" s="23" t="n"/>
      <c r="F479" s="21" t="n"/>
      <c r="G479" s="11">
        <f>IF(C479="","",IFERROR(INDEX(Crops!$D$6:$D$65,MATCH(C479,Crops!$B$6:$B$65,0))&amp;"",""))</f>
        <v/>
      </c>
      <c r="H479" s="12">
        <f>IF(OR(C479="",NOT(ISNUMBER(E479))),"",E479*N(IFERROR(INDEX(Crops!$E$6:$E$65,MATCH(C479,Crops!$B$6:$B$65,0)),0)))</f>
        <v/>
      </c>
      <c r="I479" s="11">
        <f>IF(AND(C479="",E479=""),"",IF(NOT(ISNUMBER(B479)),"Needs a date",IF(C479="","Needs a crop",IF(COUNTIF(Crops!$B$6:$B$65,C479)=0,"Not on Crops",IF(NOT(ISNUMBER(E479)),"Needs the amount",IF(AND(D479&lt;&gt;"",COUNTIF(Beds!$B$6:$B$35,D479)=0),"Not on Beds",""))))))</f>
        <v/>
      </c>
      <c r="J479" s="1">
        <f>IF(ISNUMBER(B479),YEAR(B479),"")</f>
        <v/>
      </c>
      <c r="K479">
        <f>IF(ISNUMBER(B479),YEAR(B479)*100+MONTH(B479),"")</f>
        <v/>
      </c>
      <c r="L479">
        <f>IF(ISNUMBER(B479),INT(B479),0)</f>
        <v/>
      </c>
    </row>
    <row r="480">
      <c r="A480" s="1" t="n"/>
      <c r="B480" s="17" t="n"/>
      <c r="C480" s="18" t="n"/>
      <c r="D480" s="19" t="n"/>
      <c r="E480" s="23" t="n"/>
      <c r="F480" s="21" t="n"/>
      <c r="G480" s="11">
        <f>IF(C480="","",IFERROR(INDEX(Crops!$D$6:$D$65,MATCH(C480,Crops!$B$6:$B$65,0))&amp;"",""))</f>
        <v/>
      </c>
      <c r="H480" s="12">
        <f>IF(OR(C480="",NOT(ISNUMBER(E480))),"",E480*N(IFERROR(INDEX(Crops!$E$6:$E$65,MATCH(C480,Crops!$B$6:$B$65,0)),0)))</f>
        <v/>
      </c>
      <c r="I480" s="11">
        <f>IF(AND(C480="",E480=""),"",IF(NOT(ISNUMBER(B480)),"Needs a date",IF(C480="","Needs a crop",IF(COUNTIF(Crops!$B$6:$B$65,C480)=0,"Not on Crops",IF(NOT(ISNUMBER(E480)),"Needs the amount",IF(AND(D480&lt;&gt;"",COUNTIF(Beds!$B$6:$B$35,D480)=0),"Not on Beds",""))))))</f>
        <v/>
      </c>
      <c r="J480" s="1">
        <f>IF(ISNUMBER(B480),YEAR(B480),"")</f>
        <v/>
      </c>
      <c r="K480">
        <f>IF(ISNUMBER(B480),YEAR(B480)*100+MONTH(B480),"")</f>
        <v/>
      </c>
      <c r="L480">
        <f>IF(ISNUMBER(B480),INT(B480),0)</f>
        <v/>
      </c>
    </row>
    <row r="481">
      <c r="A481" s="1" t="n"/>
      <c r="B481" s="17" t="n"/>
      <c r="C481" s="18" t="n"/>
      <c r="D481" s="19" t="n"/>
      <c r="E481" s="23" t="n"/>
      <c r="F481" s="21" t="n"/>
      <c r="G481" s="11">
        <f>IF(C481="","",IFERROR(INDEX(Crops!$D$6:$D$65,MATCH(C481,Crops!$B$6:$B$65,0))&amp;"",""))</f>
        <v/>
      </c>
      <c r="H481" s="12">
        <f>IF(OR(C481="",NOT(ISNUMBER(E481))),"",E481*N(IFERROR(INDEX(Crops!$E$6:$E$65,MATCH(C481,Crops!$B$6:$B$65,0)),0)))</f>
        <v/>
      </c>
      <c r="I481" s="11">
        <f>IF(AND(C481="",E481=""),"",IF(NOT(ISNUMBER(B481)),"Needs a date",IF(C481="","Needs a crop",IF(COUNTIF(Crops!$B$6:$B$65,C481)=0,"Not on Crops",IF(NOT(ISNUMBER(E481)),"Needs the amount",IF(AND(D481&lt;&gt;"",COUNTIF(Beds!$B$6:$B$35,D481)=0),"Not on Beds",""))))))</f>
        <v/>
      </c>
      <c r="J481" s="1">
        <f>IF(ISNUMBER(B481),YEAR(B481),"")</f>
        <v/>
      </c>
      <c r="K481">
        <f>IF(ISNUMBER(B481),YEAR(B481)*100+MONTH(B481),"")</f>
        <v/>
      </c>
      <c r="L481">
        <f>IF(ISNUMBER(B481),INT(B481),0)</f>
        <v/>
      </c>
    </row>
    <row r="482">
      <c r="A482" s="1" t="n"/>
      <c r="B482" s="17" t="n"/>
      <c r="C482" s="18" t="n"/>
      <c r="D482" s="19" t="n"/>
      <c r="E482" s="23" t="n"/>
      <c r="F482" s="21" t="n"/>
      <c r="G482" s="11">
        <f>IF(C482="","",IFERROR(INDEX(Crops!$D$6:$D$65,MATCH(C482,Crops!$B$6:$B$65,0))&amp;"",""))</f>
        <v/>
      </c>
      <c r="H482" s="12">
        <f>IF(OR(C482="",NOT(ISNUMBER(E482))),"",E482*N(IFERROR(INDEX(Crops!$E$6:$E$65,MATCH(C482,Crops!$B$6:$B$65,0)),0)))</f>
        <v/>
      </c>
      <c r="I482" s="11">
        <f>IF(AND(C482="",E482=""),"",IF(NOT(ISNUMBER(B482)),"Needs a date",IF(C482="","Needs a crop",IF(COUNTIF(Crops!$B$6:$B$65,C482)=0,"Not on Crops",IF(NOT(ISNUMBER(E482)),"Needs the amount",IF(AND(D482&lt;&gt;"",COUNTIF(Beds!$B$6:$B$35,D482)=0),"Not on Beds",""))))))</f>
        <v/>
      </c>
      <c r="J482" s="1">
        <f>IF(ISNUMBER(B482),YEAR(B482),"")</f>
        <v/>
      </c>
      <c r="K482">
        <f>IF(ISNUMBER(B482),YEAR(B482)*100+MONTH(B482),"")</f>
        <v/>
      </c>
      <c r="L482">
        <f>IF(ISNUMBER(B482),INT(B482),0)</f>
        <v/>
      </c>
    </row>
    <row r="483">
      <c r="A483" s="1" t="n"/>
      <c r="B483" s="17" t="n"/>
      <c r="C483" s="18" t="n"/>
      <c r="D483" s="19" t="n"/>
      <c r="E483" s="23" t="n"/>
      <c r="F483" s="21" t="n"/>
      <c r="G483" s="11">
        <f>IF(C483="","",IFERROR(INDEX(Crops!$D$6:$D$65,MATCH(C483,Crops!$B$6:$B$65,0))&amp;"",""))</f>
        <v/>
      </c>
      <c r="H483" s="12">
        <f>IF(OR(C483="",NOT(ISNUMBER(E483))),"",E483*N(IFERROR(INDEX(Crops!$E$6:$E$65,MATCH(C483,Crops!$B$6:$B$65,0)),0)))</f>
        <v/>
      </c>
      <c r="I483" s="11">
        <f>IF(AND(C483="",E483=""),"",IF(NOT(ISNUMBER(B483)),"Needs a date",IF(C483="","Needs a crop",IF(COUNTIF(Crops!$B$6:$B$65,C483)=0,"Not on Crops",IF(NOT(ISNUMBER(E483)),"Needs the amount",IF(AND(D483&lt;&gt;"",COUNTIF(Beds!$B$6:$B$35,D483)=0),"Not on Beds",""))))))</f>
        <v/>
      </c>
      <c r="J483" s="1">
        <f>IF(ISNUMBER(B483),YEAR(B483),"")</f>
        <v/>
      </c>
      <c r="K483">
        <f>IF(ISNUMBER(B483),YEAR(B483)*100+MONTH(B483),"")</f>
        <v/>
      </c>
      <c r="L483">
        <f>IF(ISNUMBER(B483),INT(B483),0)</f>
        <v/>
      </c>
    </row>
    <row r="484">
      <c r="A484" s="1" t="n"/>
      <c r="B484" s="17" t="n"/>
      <c r="C484" s="18" t="n"/>
      <c r="D484" s="19" t="n"/>
      <c r="E484" s="23" t="n"/>
      <c r="F484" s="21" t="n"/>
      <c r="G484" s="11">
        <f>IF(C484="","",IFERROR(INDEX(Crops!$D$6:$D$65,MATCH(C484,Crops!$B$6:$B$65,0))&amp;"",""))</f>
        <v/>
      </c>
      <c r="H484" s="12">
        <f>IF(OR(C484="",NOT(ISNUMBER(E484))),"",E484*N(IFERROR(INDEX(Crops!$E$6:$E$65,MATCH(C484,Crops!$B$6:$B$65,0)),0)))</f>
        <v/>
      </c>
      <c r="I484" s="11">
        <f>IF(AND(C484="",E484=""),"",IF(NOT(ISNUMBER(B484)),"Needs a date",IF(C484="","Needs a crop",IF(COUNTIF(Crops!$B$6:$B$65,C484)=0,"Not on Crops",IF(NOT(ISNUMBER(E484)),"Needs the amount",IF(AND(D484&lt;&gt;"",COUNTIF(Beds!$B$6:$B$35,D484)=0),"Not on Beds",""))))))</f>
        <v/>
      </c>
      <c r="J484" s="1">
        <f>IF(ISNUMBER(B484),YEAR(B484),"")</f>
        <v/>
      </c>
      <c r="K484">
        <f>IF(ISNUMBER(B484),YEAR(B484)*100+MONTH(B484),"")</f>
        <v/>
      </c>
      <c r="L484">
        <f>IF(ISNUMBER(B484),INT(B484),0)</f>
        <v/>
      </c>
    </row>
    <row r="485">
      <c r="A485" s="1" t="n"/>
      <c r="B485" s="17" t="n"/>
      <c r="C485" s="18" t="n"/>
      <c r="D485" s="19" t="n"/>
      <c r="E485" s="23" t="n"/>
      <c r="F485" s="21" t="n"/>
      <c r="G485" s="11">
        <f>IF(C485="","",IFERROR(INDEX(Crops!$D$6:$D$65,MATCH(C485,Crops!$B$6:$B$65,0))&amp;"",""))</f>
        <v/>
      </c>
      <c r="H485" s="12">
        <f>IF(OR(C485="",NOT(ISNUMBER(E485))),"",E485*N(IFERROR(INDEX(Crops!$E$6:$E$65,MATCH(C485,Crops!$B$6:$B$65,0)),0)))</f>
        <v/>
      </c>
      <c r="I485" s="11">
        <f>IF(AND(C485="",E485=""),"",IF(NOT(ISNUMBER(B485)),"Needs a date",IF(C485="","Needs a crop",IF(COUNTIF(Crops!$B$6:$B$65,C485)=0,"Not on Crops",IF(NOT(ISNUMBER(E485)),"Needs the amount",IF(AND(D485&lt;&gt;"",COUNTIF(Beds!$B$6:$B$35,D485)=0),"Not on Beds",""))))))</f>
        <v/>
      </c>
      <c r="J485" s="1">
        <f>IF(ISNUMBER(B485),YEAR(B485),"")</f>
        <v/>
      </c>
      <c r="K485">
        <f>IF(ISNUMBER(B485),YEAR(B485)*100+MONTH(B485),"")</f>
        <v/>
      </c>
      <c r="L485">
        <f>IF(ISNUMBER(B485),INT(B485),0)</f>
        <v/>
      </c>
    </row>
    <row r="486">
      <c r="A486" s="1" t="n"/>
      <c r="B486" s="17" t="n"/>
      <c r="C486" s="18" t="n"/>
      <c r="D486" s="19" t="n"/>
      <c r="E486" s="23" t="n"/>
      <c r="F486" s="21" t="n"/>
      <c r="G486" s="11">
        <f>IF(C486="","",IFERROR(INDEX(Crops!$D$6:$D$65,MATCH(C486,Crops!$B$6:$B$65,0))&amp;"",""))</f>
        <v/>
      </c>
      <c r="H486" s="12">
        <f>IF(OR(C486="",NOT(ISNUMBER(E486))),"",E486*N(IFERROR(INDEX(Crops!$E$6:$E$65,MATCH(C486,Crops!$B$6:$B$65,0)),0)))</f>
        <v/>
      </c>
      <c r="I486" s="11">
        <f>IF(AND(C486="",E486=""),"",IF(NOT(ISNUMBER(B486)),"Needs a date",IF(C486="","Needs a crop",IF(COUNTIF(Crops!$B$6:$B$65,C486)=0,"Not on Crops",IF(NOT(ISNUMBER(E486)),"Needs the amount",IF(AND(D486&lt;&gt;"",COUNTIF(Beds!$B$6:$B$35,D486)=0),"Not on Beds",""))))))</f>
        <v/>
      </c>
      <c r="J486" s="1">
        <f>IF(ISNUMBER(B486),YEAR(B486),"")</f>
        <v/>
      </c>
      <c r="K486">
        <f>IF(ISNUMBER(B486),YEAR(B486)*100+MONTH(B486),"")</f>
        <v/>
      </c>
      <c r="L486">
        <f>IF(ISNUMBER(B486),INT(B486),0)</f>
        <v/>
      </c>
    </row>
    <row r="487">
      <c r="A487" s="1" t="n"/>
      <c r="B487" s="17" t="n"/>
      <c r="C487" s="18" t="n"/>
      <c r="D487" s="19" t="n"/>
      <c r="E487" s="23" t="n"/>
      <c r="F487" s="21" t="n"/>
      <c r="G487" s="11">
        <f>IF(C487="","",IFERROR(INDEX(Crops!$D$6:$D$65,MATCH(C487,Crops!$B$6:$B$65,0))&amp;"",""))</f>
        <v/>
      </c>
      <c r="H487" s="12">
        <f>IF(OR(C487="",NOT(ISNUMBER(E487))),"",E487*N(IFERROR(INDEX(Crops!$E$6:$E$65,MATCH(C487,Crops!$B$6:$B$65,0)),0)))</f>
        <v/>
      </c>
      <c r="I487" s="11">
        <f>IF(AND(C487="",E487=""),"",IF(NOT(ISNUMBER(B487)),"Needs a date",IF(C487="","Needs a crop",IF(COUNTIF(Crops!$B$6:$B$65,C487)=0,"Not on Crops",IF(NOT(ISNUMBER(E487)),"Needs the amount",IF(AND(D487&lt;&gt;"",COUNTIF(Beds!$B$6:$B$35,D487)=0),"Not on Beds",""))))))</f>
        <v/>
      </c>
      <c r="J487" s="1">
        <f>IF(ISNUMBER(B487),YEAR(B487),"")</f>
        <v/>
      </c>
      <c r="K487">
        <f>IF(ISNUMBER(B487),YEAR(B487)*100+MONTH(B487),"")</f>
        <v/>
      </c>
      <c r="L487">
        <f>IF(ISNUMBER(B487),INT(B487),0)</f>
        <v/>
      </c>
    </row>
    <row r="488">
      <c r="A488" s="1" t="n"/>
      <c r="B488" s="17" t="n"/>
      <c r="C488" s="18" t="n"/>
      <c r="D488" s="19" t="n"/>
      <c r="E488" s="23" t="n"/>
      <c r="F488" s="21" t="n"/>
      <c r="G488" s="11">
        <f>IF(C488="","",IFERROR(INDEX(Crops!$D$6:$D$65,MATCH(C488,Crops!$B$6:$B$65,0))&amp;"",""))</f>
        <v/>
      </c>
      <c r="H488" s="12">
        <f>IF(OR(C488="",NOT(ISNUMBER(E488))),"",E488*N(IFERROR(INDEX(Crops!$E$6:$E$65,MATCH(C488,Crops!$B$6:$B$65,0)),0)))</f>
        <v/>
      </c>
      <c r="I488" s="11">
        <f>IF(AND(C488="",E488=""),"",IF(NOT(ISNUMBER(B488)),"Needs a date",IF(C488="","Needs a crop",IF(COUNTIF(Crops!$B$6:$B$65,C488)=0,"Not on Crops",IF(NOT(ISNUMBER(E488)),"Needs the amount",IF(AND(D488&lt;&gt;"",COUNTIF(Beds!$B$6:$B$35,D488)=0),"Not on Beds",""))))))</f>
        <v/>
      </c>
      <c r="J488" s="1">
        <f>IF(ISNUMBER(B488),YEAR(B488),"")</f>
        <v/>
      </c>
      <c r="K488">
        <f>IF(ISNUMBER(B488),YEAR(B488)*100+MONTH(B488),"")</f>
        <v/>
      </c>
      <c r="L488">
        <f>IF(ISNUMBER(B488),INT(B488),0)</f>
        <v/>
      </c>
    </row>
    <row r="489">
      <c r="A489" s="1" t="n"/>
      <c r="B489" s="17" t="n"/>
      <c r="C489" s="18" t="n"/>
      <c r="D489" s="19" t="n"/>
      <c r="E489" s="23" t="n"/>
      <c r="F489" s="21" t="n"/>
      <c r="G489" s="11">
        <f>IF(C489="","",IFERROR(INDEX(Crops!$D$6:$D$65,MATCH(C489,Crops!$B$6:$B$65,0))&amp;"",""))</f>
        <v/>
      </c>
      <c r="H489" s="12">
        <f>IF(OR(C489="",NOT(ISNUMBER(E489))),"",E489*N(IFERROR(INDEX(Crops!$E$6:$E$65,MATCH(C489,Crops!$B$6:$B$65,0)),0)))</f>
        <v/>
      </c>
      <c r="I489" s="11">
        <f>IF(AND(C489="",E489=""),"",IF(NOT(ISNUMBER(B489)),"Needs a date",IF(C489="","Needs a crop",IF(COUNTIF(Crops!$B$6:$B$65,C489)=0,"Not on Crops",IF(NOT(ISNUMBER(E489)),"Needs the amount",IF(AND(D489&lt;&gt;"",COUNTIF(Beds!$B$6:$B$35,D489)=0),"Not on Beds",""))))))</f>
        <v/>
      </c>
      <c r="J489" s="1">
        <f>IF(ISNUMBER(B489),YEAR(B489),"")</f>
        <v/>
      </c>
      <c r="K489">
        <f>IF(ISNUMBER(B489),YEAR(B489)*100+MONTH(B489),"")</f>
        <v/>
      </c>
      <c r="L489">
        <f>IF(ISNUMBER(B489),INT(B489),0)</f>
        <v/>
      </c>
    </row>
    <row r="490">
      <c r="A490" s="1" t="n"/>
      <c r="B490" s="17" t="n"/>
      <c r="C490" s="18" t="n"/>
      <c r="D490" s="19" t="n"/>
      <c r="E490" s="23" t="n"/>
      <c r="F490" s="21" t="n"/>
      <c r="G490" s="11">
        <f>IF(C490="","",IFERROR(INDEX(Crops!$D$6:$D$65,MATCH(C490,Crops!$B$6:$B$65,0))&amp;"",""))</f>
        <v/>
      </c>
      <c r="H490" s="12">
        <f>IF(OR(C490="",NOT(ISNUMBER(E490))),"",E490*N(IFERROR(INDEX(Crops!$E$6:$E$65,MATCH(C490,Crops!$B$6:$B$65,0)),0)))</f>
        <v/>
      </c>
      <c r="I490" s="11">
        <f>IF(AND(C490="",E490=""),"",IF(NOT(ISNUMBER(B490)),"Needs a date",IF(C490="","Needs a crop",IF(COUNTIF(Crops!$B$6:$B$65,C490)=0,"Not on Crops",IF(NOT(ISNUMBER(E490)),"Needs the amount",IF(AND(D490&lt;&gt;"",COUNTIF(Beds!$B$6:$B$35,D490)=0),"Not on Beds",""))))))</f>
        <v/>
      </c>
      <c r="J490" s="1">
        <f>IF(ISNUMBER(B490),YEAR(B490),"")</f>
        <v/>
      </c>
      <c r="K490">
        <f>IF(ISNUMBER(B490),YEAR(B490)*100+MONTH(B490),"")</f>
        <v/>
      </c>
      <c r="L490">
        <f>IF(ISNUMBER(B490),INT(B490),0)</f>
        <v/>
      </c>
    </row>
    <row r="491">
      <c r="A491" s="1" t="n"/>
      <c r="B491" s="17" t="n"/>
      <c r="C491" s="18" t="n"/>
      <c r="D491" s="19" t="n"/>
      <c r="E491" s="23" t="n"/>
      <c r="F491" s="21" t="n"/>
      <c r="G491" s="11">
        <f>IF(C491="","",IFERROR(INDEX(Crops!$D$6:$D$65,MATCH(C491,Crops!$B$6:$B$65,0))&amp;"",""))</f>
        <v/>
      </c>
      <c r="H491" s="12">
        <f>IF(OR(C491="",NOT(ISNUMBER(E491))),"",E491*N(IFERROR(INDEX(Crops!$E$6:$E$65,MATCH(C491,Crops!$B$6:$B$65,0)),0)))</f>
        <v/>
      </c>
      <c r="I491" s="11">
        <f>IF(AND(C491="",E491=""),"",IF(NOT(ISNUMBER(B491)),"Needs a date",IF(C491="","Needs a crop",IF(COUNTIF(Crops!$B$6:$B$65,C491)=0,"Not on Crops",IF(NOT(ISNUMBER(E491)),"Needs the amount",IF(AND(D491&lt;&gt;"",COUNTIF(Beds!$B$6:$B$35,D491)=0),"Not on Beds",""))))))</f>
        <v/>
      </c>
      <c r="J491" s="1">
        <f>IF(ISNUMBER(B491),YEAR(B491),"")</f>
        <v/>
      </c>
      <c r="K491">
        <f>IF(ISNUMBER(B491),YEAR(B491)*100+MONTH(B491),"")</f>
        <v/>
      </c>
      <c r="L491">
        <f>IF(ISNUMBER(B491),INT(B491),0)</f>
        <v/>
      </c>
    </row>
    <row r="492">
      <c r="A492" s="1" t="n"/>
      <c r="B492" s="17" t="n"/>
      <c r="C492" s="18" t="n"/>
      <c r="D492" s="19" t="n"/>
      <c r="E492" s="23" t="n"/>
      <c r="F492" s="21" t="n"/>
      <c r="G492" s="11">
        <f>IF(C492="","",IFERROR(INDEX(Crops!$D$6:$D$65,MATCH(C492,Crops!$B$6:$B$65,0))&amp;"",""))</f>
        <v/>
      </c>
      <c r="H492" s="12">
        <f>IF(OR(C492="",NOT(ISNUMBER(E492))),"",E492*N(IFERROR(INDEX(Crops!$E$6:$E$65,MATCH(C492,Crops!$B$6:$B$65,0)),0)))</f>
        <v/>
      </c>
      <c r="I492" s="11">
        <f>IF(AND(C492="",E492=""),"",IF(NOT(ISNUMBER(B492)),"Needs a date",IF(C492="","Needs a crop",IF(COUNTIF(Crops!$B$6:$B$65,C492)=0,"Not on Crops",IF(NOT(ISNUMBER(E492)),"Needs the amount",IF(AND(D492&lt;&gt;"",COUNTIF(Beds!$B$6:$B$35,D492)=0),"Not on Beds",""))))))</f>
        <v/>
      </c>
      <c r="J492" s="1">
        <f>IF(ISNUMBER(B492),YEAR(B492),"")</f>
        <v/>
      </c>
      <c r="K492">
        <f>IF(ISNUMBER(B492),YEAR(B492)*100+MONTH(B492),"")</f>
        <v/>
      </c>
      <c r="L492">
        <f>IF(ISNUMBER(B492),INT(B492),0)</f>
        <v/>
      </c>
    </row>
    <row r="493">
      <c r="A493" s="1" t="n"/>
      <c r="B493" s="17" t="n"/>
      <c r="C493" s="18" t="n"/>
      <c r="D493" s="19" t="n"/>
      <c r="E493" s="23" t="n"/>
      <c r="F493" s="21" t="n"/>
      <c r="G493" s="11">
        <f>IF(C493="","",IFERROR(INDEX(Crops!$D$6:$D$65,MATCH(C493,Crops!$B$6:$B$65,0))&amp;"",""))</f>
        <v/>
      </c>
      <c r="H493" s="12">
        <f>IF(OR(C493="",NOT(ISNUMBER(E493))),"",E493*N(IFERROR(INDEX(Crops!$E$6:$E$65,MATCH(C493,Crops!$B$6:$B$65,0)),0)))</f>
        <v/>
      </c>
      <c r="I493" s="11">
        <f>IF(AND(C493="",E493=""),"",IF(NOT(ISNUMBER(B493)),"Needs a date",IF(C493="","Needs a crop",IF(COUNTIF(Crops!$B$6:$B$65,C493)=0,"Not on Crops",IF(NOT(ISNUMBER(E493)),"Needs the amount",IF(AND(D493&lt;&gt;"",COUNTIF(Beds!$B$6:$B$35,D493)=0),"Not on Beds",""))))))</f>
        <v/>
      </c>
      <c r="J493" s="1">
        <f>IF(ISNUMBER(B493),YEAR(B493),"")</f>
        <v/>
      </c>
      <c r="K493">
        <f>IF(ISNUMBER(B493),YEAR(B493)*100+MONTH(B493),"")</f>
        <v/>
      </c>
      <c r="L493">
        <f>IF(ISNUMBER(B493),INT(B493),0)</f>
        <v/>
      </c>
    </row>
    <row r="494">
      <c r="A494" s="1" t="n"/>
      <c r="B494" s="17" t="n"/>
      <c r="C494" s="18" t="n"/>
      <c r="D494" s="19" t="n"/>
      <c r="E494" s="23" t="n"/>
      <c r="F494" s="21" t="n"/>
      <c r="G494" s="11">
        <f>IF(C494="","",IFERROR(INDEX(Crops!$D$6:$D$65,MATCH(C494,Crops!$B$6:$B$65,0))&amp;"",""))</f>
        <v/>
      </c>
      <c r="H494" s="12">
        <f>IF(OR(C494="",NOT(ISNUMBER(E494))),"",E494*N(IFERROR(INDEX(Crops!$E$6:$E$65,MATCH(C494,Crops!$B$6:$B$65,0)),0)))</f>
        <v/>
      </c>
      <c r="I494" s="11">
        <f>IF(AND(C494="",E494=""),"",IF(NOT(ISNUMBER(B494)),"Needs a date",IF(C494="","Needs a crop",IF(COUNTIF(Crops!$B$6:$B$65,C494)=0,"Not on Crops",IF(NOT(ISNUMBER(E494)),"Needs the amount",IF(AND(D494&lt;&gt;"",COUNTIF(Beds!$B$6:$B$35,D494)=0),"Not on Beds",""))))))</f>
        <v/>
      </c>
      <c r="J494" s="1">
        <f>IF(ISNUMBER(B494),YEAR(B494),"")</f>
        <v/>
      </c>
      <c r="K494">
        <f>IF(ISNUMBER(B494),YEAR(B494)*100+MONTH(B494),"")</f>
        <v/>
      </c>
      <c r="L494">
        <f>IF(ISNUMBER(B494),INT(B494),0)</f>
        <v/>
      </c>
    </row>
    <row r="495">
      <c r="A495" s="1" t="n"/>
      <c r="B495" s="17" t="n"/>
      <c r="C495" s="18" t="n"/>
      <c r="D495" s="19" t="n"/>
      <c r="E495" s="23" t="n"/>
      <c r="F495" s="21" t="n"/>
      <c r="G495" s="11">
        <f>IF(C495="","",IFERROR(INDEX(Crops!$D$6:$D$65,MATCH(C495,Crops!$B$6:$B$65,0))&amp;"",""))</f>
        <v/>
      </c>
      <c r="H495" s="12">
        <f>IF(OR(C495="",NOT(ISNUMBER(E495))),"",E495*N(IFERROR(INDEX(Crops!$E$6:$E$65,MATCH(C495,Crops!$B$6:$B$65,0)),0)))</f>
        <v/>
      </c>
      <c r="I495" s="11">
        <f>IF(AND(C495="",E495=""),"",IF(NOT(ISNUMBER(B495)),"Needs a date",IF(C495="","Needs a crop",IF(COUNTIF(Crops!$B$6:$B$65,C495)=0,"Not on Crops",IF(NOT(ISNUMBER(E495)),"Needs the amount",IF(AND(D495&lt;&gt;"",COUNTIF(Beds!$B$6:$B$35,D495)=0),"Not on Beds",""))))))</f>
        <v/>
      </c>
      <c r="J495" s="1">
        <f>IF(ISNUMBER(B495),YEAR(B495),"")</f>
        <v/>
      </c>
      <c r="K495">
        <f>IF(ISNUMBER(B495),YEAR(B495)*100+MONTH(B495),"")</f>
        <v/>
      </c>
      <c r="L495">
        <f>IF(ISNUMBER(B495),INT(B495),0)</f>
        <v/>
      </c>
    </row>
    <row r="496">
      <c r="A496" s="1" t="n"/>
      <c r="B496" s="17" t="n"/>
      <c r="C496" s="18" t="n"/>
      <c r="D496" s="19" t="n"/>
      <c r="E496" s="23" t="n"/>
      <c r="F496" s="21" t="n"/>
      <c r="G496" s="11">
        <f>IF(C496="","",IFERROR(INDEX(Crops!$D$6:$D$65,MATCH(C496,Crops!$B$6:$B$65,0))&amp;"",""))</f>
        <v/>
      </c>
      <c r="H496" s="12">
        <f>IF(OR(C496="",NOT(ISNUMBER(E496))),"",E496*N(IFERROR(INDEX(Crops!$E$6:$E$65,MATCH(C496,Crops!$B$6:$B$65,0)),0)))</f>
        <v/>
      </c>
      <c r="I496" s="11">
        <f>IF(AND(C496="",E496=""),"",IF(NOT(ISNUMBER(B496)),"Needs a date",IF(C496="","Needs a crop",IF(COUNTIF(Crops!$B$6:$B$65,C496)=0,"Not on Crops",IF(NOT(ISNUMBER(E496)),"Needs the amount",IF(AND(D496&lt;&gt;"",COUNTIF(Beds!$B$6:$B$35,D496)=0),"Not on Beds",""))))))</f>
        <v/>
      </c>
      <c r="J496" s="1">
        <f>IF(ISNUMBER(B496),YEAR(B496),"")</f>
        <v/>
      </c>
      <c r="K496">
        <f>IF(ISNUMBER(B496),YEAR(B496)*100+MONTH(B496),"")</f>
        <v/>
      </c>
      <c r="L496">
        <f>IF(ISNUMBER(B496),INT(B496),0)</f>
        <v/>
      </c>
    </row>
    <row r="497">
      <c r="A497" s="1" t="n"/>
      <c r="B497" s="17" t="n"/>
      <c r="C497" s="18" t="n"/>
      <c r="D497" s="19" t="n"/>
      <c r="E497" s="23" t="n"/>
      <c r="F497" s="21" t="n"/>
      <c r="G497" s="11">
        <f>IF(C497="","",IFERROR(INDEX(Crops!$D$6:$D$65,MATCH(C497,Crops!$B$6:$B$65,0))&amp;"",""))</f>
        <v/>
      </c>
      <c r="H497" s="12">
        <f>IF(OR(C497="",NOT(ISNUMBER(E497))),"",E497*N(IFERROR(INDEX(Crops!$E$6:$E$65,MATCH(C497,Crops!$B$6:$B$65,0)),0)))</f>
        <v/>
      </c>
      <c r="I497" s="11">
        <f>IF(AND(C497="",E497=""),"",IF(NOT(ISNUMBER(B497)),"Needs a date",IF(C497="","Needs a crop",IF(COUNTIF(Crops!$B$6:$B$65,C497)=0,"Not on Crops",IF(NOT(ISNUMBER(E497)),"Needs the amount",IF(AND(D497&lt;&gt;"",COUNTIF(Beds!$B$6:$B$35,D497)=0),"Not on Beds",""))))))</f>
        <v/>
      </c>
      <c r="J497" s="1">
        <f>IF(ISNUMBER(B497),YEAR(B497),"")</f>
        <v/>
      </c>
      <c r="K497">
        <f>IF(ISNUMBER(B497),YEAR(B497)*100+MONTH(B497),"")</f>
        <v/>
      </c>
      <c r="L497">
        <f>IF(ISNUMBER(B497),INT(B497),0)</f>
        <v/>
      </c>
    </row>
    <row r="498">
      <c r="A498" s="1" t="n"/>
      <c r="B498" s="17" t="n"/>
      <c r="C498" s="18" t="n"/>
      <c r="D498" s="19" t="n"/>
      <c r="E498" s="23" t="n"/>
      <c r="F498" s="21" t="n"/>
      <c r="G498" s="11">
        <f>IF(C498="","",IFERROR(INDEX(Crops!$D$6:$D$65,MATCH(C498,Crops!$B$6:$B$65,0))&amp;"",""))</f>
        <v/>
      </c>
      <c r="H498" s="12">
        <f>IF(OR(C498="",NOT(ISNUMBER(E498))),"",E498*N(IFERROR(INDEX(Crops!$E$6:$E$65,MATCH(C498,Crops!$B$6:$B$65,0)),0)))</f>
        <v/>
      </c>
      <c r="I498" s="11">
        <f>IF(AND(C498="",E498=""),"",IF(NOT(ISNUMBER(B498)),"Needs a date",IF(C498="","Needs a crop",IF(COUNTIF(Crops!$B$6:$B$65,C498)=0,"Not on Crops",IF(NOT(ISNUMBER(E498)),"Needs the amount",IF(AND(D498&lt;&gt;"",COUNTIF(Beds!$B$6:$B$35,D498)=0),"Not on Beds",""))))))</f>
        <v/>
      </c>
      <c r="J498" s="1">
        <f>IF(ISNUMBER(B498),YEAR(B498),"")</f>
        <v/>
      </c>
      <c r="K498">
        <f>IF(ISNUMBER(B498),YEAR(B498)*100+MONTH(B498),"")</f>
        <v/>
      </c>
      <c r="L498">
        <f>IF(ISNUMBER(B498),INT(B498),0)</f>
        <v/>
      </c>
    </row>
    <row r="499">
      <c r="A499" s="1" t="n"/>
      <c r="B499" s="17" t="n"/>
      <c r="C499" s="18" t="n"/>
      <c r="D499" s="19" t="n"/>
      <c r="E499" s="23" t="n"/>
      <c r="F499" s="21" t="n"/>
      <c r="G499" s="11">
        <f>IF(C499="","",IFERROR(INDEX(Crops!$D$6:$D$65,MATCH(C499,Crops!$B$6:$B$65,0))&amp;"",""))</f>
        <v/>
      </c>
      <c r="H499" s="12">
        <f>IF(OR(C499="",NOT(ISNUMBER(E499))),"",E499*N(IFERROR(INDEX(Crops!$E$6:$E$65,MATCH(C499,Crops!$B$6:$B$65,0)),0)))</f>
        <v/>
      </c>
      <c r="I499" s="11">
        <f>IF(AND(C499="",E499=""),"",IF(NOT(ISNUMBER(B499)),"Needs a date",IF(C499="","Needs a crop",IF(COUNTIF(Crops!$B$6:$B$65,C499)=0,"Not on Crops",IF(NOT(ISNUMBER(E499)),"Needs the amount",IF(AND(D499&lt;&gt;"",COUNTIF(Beds!$B$6:$B$35,D499)=0),"Not on Beds",""))))))</f>
        <v/>
      </c>
      <c r="J499" s="1">
        <f>IF(ISNUMBER(B499),YEAR(B499),"")</f>
        <v/>
      </c>
      <c r="K499">
        <f>IF(ISNUMBER(B499),YEAR(B499)*100+MONTH(B499),"")</f>
        <v/>
      </c>
      <c r="L499">
        <f>IF(ISNUMBER(B499),INT(B499),0)</f>
        <v/>
      </c>
    </row>
    <row r="500">
      <c r="A500" s="1" t="n"/>
      <c r="B500" s="17" t="n"/>
      <c r="C500" s="18" t="n"/>
      <c r="D500" s="19" t="n"/>
      <c r="E500" s="23" t="n"/>
      <c r="F500" s="21" t="n"/>
      <c r="G500" s="11">
        <f>IF(C500="","",IFERROR(INDEX(Crops!$D$6:$D$65,MATCH(C500,Crops!$B$6:$B$65,0))&amp;"",""))</f>
        <v/>
      </c>
      <c r="H500" s="12">
        <f>IF(OR(C500="",NOT(ISNUMBER(E500))),"",E500*N(IFERROR(INDEX(Crops!$E$6:$E$65,MATCH(C500,Crops!$B$6:$B$65,0)),0)))</f>
        <v/>
      </c>
      <c r="I500" s="11">
        <f>IF(AND(C500="",E500=""),"",IF(NOT(ISNUMBER(B500)),"Needs a date",IF(C500="","Needs a crop",IF(COUNTIF(Crops!$B$6:$B$65,C500)=0,"Not on Crops",IF(NOT(ISNUMBER(E500)),"Needs the amount",IF(AND(D500&lt;&gt;"",COUNTIF(Beds!$B$6:$B$35,D500)=0),"Not on Beds",""))))))</f>
        <v/>
      </c>
      <c r="J500" s="1">
        <f>IF(ISNUMBER(B500),YEAR(B500),"")</f>
        <v/>
      </c>
      <c r="K500">
        <f>IF(ISNUMBER(B500),YEAR(B500)*100+MONTH(B500),"")</f>
        <v/>
      </c>
      <c r="L500">
        <f>IF(ISNUMBER(B500),INT(B500),0)</f>
        <v/>
      </c>
    </row>
    <row r="501">
      <c r="A501" s="1" t="n"/>
      <c r="B501" s="17" t="n"/>
      <c r="C501" s="18" t="n"/>
      <c r="D501" s="19" t="n"/>
      <c r="E501" s="23" t="n"/>
      <c r="F501" s="21" t="n"/>
      <c r="G501" s="11">
        <f>IF(C501="","",IFERROR(INDEX(Crops!$D$6:$D$65,MATCH(C501,Crops!$B$6:$B$65,0))&amp;"",""))</f>
        <v/>
      </c>
      <c r="H501" s="12">
        <f>IF(OR(C501="",NOT(ISNUMBER(E501))),"",E501*N(IFERROR(INDEX(Crops!$E$6:$E$65,MATCH(C501,Crops!$B$6:$B$65,0)),0)))</f>
        <v/>
      </c>
      <c r="I501" s="11">
        <f>IF(AND(C501="",E501=""),"",IF(NOT(ISNUMBER(B501)),"Needs a date",IF(C501="","Needs a crop",IF(COUNTIF(Crops!$B$6:$B$65,C501)=0,"Not on Crops",IF(NOT(ISNUMBER(E501)),"Needs the amount",IF(AND(D501&lt;&gt;"",COUNTIF(Beds!$B$6:$B$35,D501)=0),"Not on Beds",""))))))</f>
        <v/>
      </c>
      <c r="J501" s="1">
        <f>IF(ISNUMBER(B501),YEAR(B501),"")</f>
        <v/>
      </c>
      <c r="K501">
        <f>IF(ISNUMBER(B501),YEAR(B501)*100+MONTH(B501),"")</f>
        <v/>
      </c>
      <c r="L501">
        <f>IF(ISNUMBER(B501),INT(B501),0)</f>
        <v/>
      </c>
    </row>
    <row r="502">
      <c r="A502" s="1" t="n"/>
      <c r="B502" s="17" t="n"/>
      <c r="C502" s="18" t="n"/>
      <c r="D502" s="19" t="n"/>
      <c r="E502" s="23" t="n"/>
      <c r="F502" s="21" t="n"/>
      <c r="G502" s="11">
        <f>IF(C502="","",IFERROR(INDEX(Crops!$D$6:$D$65,MATCH(C502,Crops!$B$6:$B$65,0))&amp;"",""))</f>
        <v/>
      </c>
      <c r="H502" s="12">
        <f>IF(OR(C502="",NOT(ISNUMBER(E502))),"",E502*N(IFERROR(INDEX(Crops!$E$6:$E$65,MATCH(C502,Crops!$B$6:$B$65,0)),0)))</f>
        <v/>
      </c>
      <c r="I502" s="11">
        <f>IF(AND(C502="",E502=""),"",IF(NOT(ISNUMBER(B502)),"Needs a date",IF(C502="","Needs a crop",IF(COUNTIF(Crops!$B$6:$B$65,C502)=0,"Not on Crops",IF(NOT(ISNUMBER(E502)),"Needs the amount",IF(AND(D502&lt;&gt;"",COUNTIF(Beds!$B$6:$B$35,D502)=0),"Not on Beds",""))))))</f>
        <v/>
      </c>
      <c r="J502" s="1">
        <f>IF(ISNUMBER(B502),YEAR(B502),"")</f>
        <v/>
      </c>
      <c r="K502">
        <f>IF(ISNUMBER(B502),YEAR(B502)*100+MONTH(B502),"")</f>
        <v/>
      </c>
      <c r="L502">
        <f>IF(ISNUMBER(B502),INT(B502),0)</f>
        <v/>
      </c>
    </row>
    <row r="503">
      <c r="A503" s="1" t="n"/>
      <c r="B503" s="17" t="n"/>
      <c r="C503" s="18" t="n"/>
      <c r="D503" s="19" t="n"/>
      <c r="E503" s="23" t="n"/>
      <c r="F503" s="21" t="n"/>
      <c r="G503" s="11">
        <f>IF(C503="","",IFERROR(INDEX(Crops!$D$6:$D$65,MATCH(C503,Crops!$B$6:$B$65,0))&amp;"",""))</f>
        <v/>
      </c>
      <c r="H503" s="12">
        <f>IF(OR(C503="",NOT(ISNUMBER(E503))),"",E503*N(IFERROR(INDEX(Crops!$E$6:$E$65,MATCH(C503,Crops!$B$6:$B$65,0)),0)))</f>
        <v/>
      </c>
      <c r="I503" s="11">
        <f>IF(AND(C503="",E503=""),"",IF(NOT(ISNUMBER(B503)),"Needs a date",IF(C503="","Needs a crop",IF(COUNTIF(Crops!$B$6:$B$65,C503)=0,"Not on Crops",IF(NOT(ISNUMBER(E503)),"Needs the amount",IF(AND(D503&lt;&gt;"",COUNTIF(Beds!$B$6:$B$35,D503)=0),"Not on Beds",""))))))</f>
        <v/>
      </c>
      <c r="J503" s="1">
        <f>IF(ISNUMBER(B503),YEAR(B503),"")</f>
        <v/>
      </c>
      <c r="K503">
        <f>IF(ISNUMBER(B503),YEAR(B503)*100+MONTH(B503),"")</f>
        <v/>
      </c>
      <c r="L503">
        <f>IF(ISNUMBER(B503),INT(B503),0)</f>
        <v/>
      </c>
    </row>
    <row r="504">
      <c r="A504" s="1" t="n"/>
      <c r="B504" s="17" t="n"/>
      <c r="C504" s="18" t="n"/>
      <c r="D504" s="19" t="n"/>
      <c r="E504" s="23" t="n"/>
      <c r="F504" s="21" t="n"/>
      <c r="G504" s="11">
        <f>IF(C504="","",IFERROR(INDEX(Crops!$D$6:$D$65,MATCH(C504,Crops!$B$6:$B$65,0))&amp;"",""))</f>
        <v/>
      </c>
      <c r="H504" s="12">
        <f>IF(OR(C504="",NOT(ISNUMBER(E504))),"",E504*N(IFERROR(INDEX(Crops!$E$6:$E$65,MATCH(C504,Crops!$B$6:$B$65,0)),0)))</f>
        <v/>
      </c>
      <c r="I504" s="11">
        <f>IF(AND(C504="",E504=""),"",IF(NOT(ISNUMBER(B504)),"Needs a date",IF(C504="","Needs a crop",IF(COUNTIF(Crops!$B$6:$B$65,C504)=0,"Not on Crops",IF(NOT(ISNUMBER(E504)),"Needs the amount",IF(AND(D504&lt;&gt;"",COUNTIF(Beds!$B$6:$B$35,D504)=0),"Not on Beds",""))))))</f>
        <v/>
      </c>
      <c r="J504" s="1">
        <f>IF(ISNUMBER(B504),YEAR(B504),"")</f>
        <v/>
      </c>
      <c r="K504">
        <f>IF(ISNUMBER(B504),YEAR(B504)*100+MONTH(B504),"")</f>
        <v/>
      </c>
      <c r="L504">
        <f>IF(ISNUMBER(B504),INT(B504),0)</f>
        <v/>
      </c>
    </row>
    <row r="505">
      <c r="A505" s="1" t="n"/>
      <c r="B505" s="17" t="n"/>
      <c r="C505" s="18" t="n"/>
      <c r="D505" s="19" t="n"/>
      <c r="E505" s="23" t="n"/>
      <c r="F505" s="21" t="n"/>
      <c r="G505" s="11">
        <f>IF(C505="","",IFERROR(INDEX(Crops!$D$6:$D$65,MATCH(C505,Crops!$B$6:$B$65,0))&amp;"",""))</f>
        <v/>
      </c>
      <c r="H505" s="12">
        <f>IF(OR(C505="",NOT(ISNUMBER(E505))),"",E505*N(IFERROR(INDEX(Crops!$E$6:$E$65,MATCH(C505,Crops!$B$6:$B$65,0)),0)))</f>
        <v/>
      </c>
      <c r="I505" s="11">
        <f>IF(AND(C505="",E505=""),"",IF(NOT(ISNUMBER(B505)),"Needs a date",IF(C505="","Needs a crop",IF(COUNTIF(Crops!$B$6:$B$65,C505)=0,"Not on Crops",IF(NOT(ISNUMBER(E505)),"Needs the amount",IF(AND(D505&lt;&gt;"",COUNTIF(Beds!$B$6:$B$35,D505)=0),"Not on Beds",""))))))</f>
        <v/>
      </c>
      <c r="J505" s="1">
        <f>IF(ISNUMBER(B505),YEAR(B505),"")</f>
        <v/>
      </c>
      <c r="K505">
        <f>IF(ISNUMBER(B505),YEAR(B505)*100+MONTH(B505),"")</f>
        <v/>
      </c>
      <c r="L505">
        <f>IF(ISNUMBER(B505),INT(B505),0)</f>
        <v/>
      </c>
    </row>
    <row r="506">
      <c r="A506" s="1" t="n"/>
      <c r="B506" s="17" t="n"/>
      <c r="C506" s="18" t="n"/>
      <c r="D506" s="19" t="n"/>
      <c r="E506" s="23" t="n"/>
      <c r="F506" s="21" t="n"/>
      <c r="G506" s="11">
        <f>IF(C506="","",IFERROR(INDEX(Crops!$D$6:$D$65,MATCH(C506,Crops!$B$6:$B$65,0))&amp;"",""))</f>
        <v/>
      </c>
      <c r="H506" s="12">
        <f>IF(OR(C506="",NOT(ISNUMBER(E506))),"",E506*N(IFERROR(INDEX(Crops!$E$6:$E$65,MATCH(C506,Crops!$B$6:$B$65,0)),0)))</f>
        <v/>
      </c>
      <c r="I506" s="11">
        <f>IF(AND(C506="",E506=""),"",IF(NOT(ISNUMBER(B506)),"Needs a date",IF(C506="","Needs a crop",IF(COUNTIF(Crops!$B$6:$B$65,C506)=0,"Not on Crops",IF(NOT(ISNUMBER(E506)),"Needs the amount",IF(AND(D506&lt;&gt;"",COUNTIF(Beds!$B$6:$B$35,D506)=0),"Not on Beds",""))))))</f>
        <v/>
      </c>
      <c r="J506" s="1">
        <f>IF(ISNUMBER(B506),YEAR(B506),"")</f>
        <v/>
      </c>
      <c r="K506">
        <f>IF(ISNUMBER(B506),YEAR(B506)*100+MONTH(B506),"")</f>
        <v/>
      </c>
      <c r="L506">
        <f>IF(ISNUMBER(B506),INT(B506),0)</f>
        <v/>
      </c>
    </row>
    <row r="507">
      <c r="A507" s="1" t="n"/>
      <c r="B507" s="17" t="n"/>
      <c r="C507" s="18" t="n"/>
      <c r="D507" s="19" t="n"/>
      <c r="E507" s="23" t="n"/>
      <c r="F507" s="21" t="n"/>
      <c r="G507" s="11">
        <f>IF(C507="","",IFERROR(INDEX(Crops!$D$6:$D$65,MATCH(C507,Crops!$B$6:$B$65,0))&amp;"",""))</f>
        <v/>
      </c>
      <c r="H507" s="12">
        <f>IF(OR(C507="",NOT(ISNUMBER(E507))),"",E507*N(IFERROR(INDEX(Crops!$E$6:$E$65,MATCH(C507,Crops!$B$6:$B$65,0)),0)))</f>
        <v/>
      </c>
      <c r="I507" s="11">
        <f>IF(AND(C507="",E507=""),"",IF(NOT(ISNUMBER(B507)),"Needs a date",IF(C507="","Needs a crop",IF(COUNTIF(Crops!$B$6:$B$65,C507)=0,"Not on Crops",IF(NOT(ISNUMBER(E507)),"Needs the amount",IF(AND(D507&lt;&gt;"",COUNTIF(Beds!$B$6:$B$35,D507)=0),"Not on Beds",""))))))</f>
        <v/>
      </c>
      <c r="J507" s="1">
        <f>IF(ISNUMBER(B507),YEAR(B507),"")</f>
        <v/>
      </c>
      <c r="K507">
        <f>IF(ISNUMBER(B507),YEAR(B507)*100+MONTH(B507),"")</f>
        <v/>
      </c>
      <c r="L507">
        <f>IF(ISNUMBER(B507),INT(B507),0)</f>
        <v/>
      </c>
    </row>
    <row r="508">
      <c r="A508" s="1" t="n"/>
      <c r="B508" s="17" t="n"/>
      <c r="C508" s="18" t="n"/>
      <c r="D508" s="19" t="n"/>
      <c r="E508" s="23" t="n"/>
      <c r="F508" s="21" t="n"/>
      <c r="G508" s="11">
        <f>IF(C508="","",IFERROR(INDEX(Crops!$D$6:$D$65,MATCH(C508,Crops!$B$6:$B$65,0))&amp;"",""))</f>
        <v/>
      </c>
      <c r="H508" s="12">
        <f>IF(OR(C508="",NOT(ISNUMBER(E508))),"",E508*N(IFERROR(INDEX(Crops!$E$6:$E$65,MATCH(C508,Crops!$B$6:$B$65,0)),0)))</f>
        <v/>
      </c>
      <c r="I508" s="11">
        <f>IF(AND(C508="",E508=""),"",IF(NOT(ISNUMBER(B508)),"Needs a date",IF(C508="","Needs a crop",IF(COUNTIF(Crops!$B$6:$B$65,C508)=0,"Not on Crops",IF(NOT(ISNUMBER(E508)),"Needs the amount",IF(AND(D508&lt;&gt;"",COUNTIF(Beds!$B$6:$B$35,D508)=0),"Not on Beds",""))))))</f>
        <v/>
      </c>
      <c r="J508" s="1">
        <f>IF(ISNUMBER(B508),YEAR(B508),"")</f>
        <v/>
      </c>
      <c r="K508">
        <f>IF(ISNUMBER(B508),YEAR(B508)*100+MONTH(B508),"")</f>
        <v/>
      </c>
      <c r="L508">
        <f>IF(ISNUMBER(B508),INT(B508),0)</f>
        <v/>
      </c>
    </row>
    <row r="509">
      <c r="A509" s="1" t="n"/>
      <c r="B509" s="17" t="n"/>
      <c r="C509" s="18" t="n"/>
      <c r="D509" s="19" t="n"/>
      <c r="E509" s="23" t="n"/>
      <c r="F509" s="21" t="n"/>
      <c r="G509" s="11">
        <f>IF(C509="","",IFERROR(INDEX(Crops!$D$6:$D$65,MATCH(C509,Crops!$B$6:$B$65,0))&amp;"",""))</f>
        <v/>
      </c>
      <c r="H509" s="12">
        <f>IF(OR(C509="",NOT(ISNUMBER(E509))),"",E509*N(IFERROR(INDEX(Crops!$E$6:$E$65,MATCH(C509,Crops!$B$6:$B$65,0)),0)))</f>
        <v/>
      </c>
      <c r="I509" s="11">
        <f>IF(AND(C509="",E509=""),"",IF(NOT(ISNUMBER(B509)),"Needs a date",IF(C509="","Needs a crop",IF(COUNTIF(Crops!$B$6:$B$65,C509)=0,"Not on Crops",IF(NOT(ISNUMBER(E509)),"Needs the amount",IF(AND(D509&lt;&gt;"",COUNTIF(Beds!$B$6:$B$35,D509)=0),"Not on Beds",""))))))</f>
        <v/>
      </c>
      <c r="J509" s="1">
        <f>IF(ISNUMBER(B509),YEAR(B509),"")</f>
        <v/>
      </c>
      <c r="K509">
        <f>IF(ISNUMBER(B509),YEAR(B509)*100+MONTH(B509),"")</f>
        <v/>
      </c>
      <c r="L509">
        <f>IF(ISNUMBER(B509),INT(B509),0)</f>
        <v/>
      </c>
    </row>
    <row r="510">
      <c r="A510" s="1" t="n"/>
      <c r="B510" s="17" t="n"/>
      <c r="C510" s="18" t="n"/>
      <c r="D510" s="19" t="n"/>
      <c r="E510" s="23" t="n"/>
      <c r="F510" s="21" t="n"/>
      <c r="G510" s="11">
        <f>IF(C510="","",IFERROR(INDEX(Crops!$D$6:$D$65,MATCH(C510,Crops!$B$6:$B$65,0))&amp;"",""))</f>
        <v/>
      </c>
      <c r="H510" s="12">
        <f>IF(OR(C510="",NOT(ISNUMBER(E510))),"",E510*N(IFERROR(INDEX(Crops!$E$6:$E$65,MATCH(C510,Crops!$B$6:$B$65,0)),0)))</f>
        <v/>
      </c>
      <c r="I510" s="11">
        <f>IF(AND(C510="",E510=""),"",IF(NOT(ISNUMBER(B510)),"Needs a date",IF(C510="","Needs a crop",IF(COUNTIF(Crops!$B$6:$B$65,C510)=0,"Not on Crops",IF(NOT(ISNUMBER(E510)),"Needs the amount",IF(AND(D510&lt;&gt;"",COUNTIF(Beds!$B$6:$B$35,D510)=0),"Not on Beds",""))))))</f>
        <v/>
      </c>
      <c r="J510" s="1">
        <f>IF(ISNUMBER(B510),YEAR(B510),"")</f>
        <v/>
      </c>
      <c r="K510">
        <f>IF(ISNUMBER(B510),YEAR(B510)*100+MONTH(B510),"")</f>
        <v/>
      </c>
      <c r="L510">
        <f>IF(ISNUMBER(B510),INT(B510),0)</f>
        <v/>
      </c>
    </row>
    <row r="511">
      <c r="A511" s="1" t="n"/>
      <c r="B511" s="17" t="n"/>
      <c r="C511" s="18" t="n"/>
      <c r="D511" s="19" t="n"/>
      <c r="E511" s="23" t="n"/>
      <c r="F511" s="21" t="n"/>
      <c r="G511" s="11">
        <f>IF(C511="","",IFERROR(INDEX(Crops!$D$6:$D$65,MATCH(C511,Crops!$B$6:$B$65,0))&amp;"",""))</f>
        <v/>
      </c>
      <c r="H511" s="12">
        <f>IF(OR(C511="",NOT(ISNUMBER(E511))),"",E511*N(IFERROR(INDEX(Crops!$E$6:$E$65,MATCH(C511,Crops!$B$6:$B$65,0)),0)))</f>
        <v/>
      </c>
      <c r="I511" s="11">
        <f>IF(AND(C511="",E511=""),"",IF(NOT(ISNUMBER(B511)),"Needs a date",IF(C511="","Needs a crop",IF(COUNTIF(Crops!$B$6:$B$65,C511)=0,"Not on Crops",IF(NOT(ISNUMBER(E511)),"Needs the amount",IF(AND(D511&lt;&gt;"",COUNTIF(Beds!$B$6:$B$35,D511)=0),"Not on Beds",""))))))</f>
        <v/>
      </c>
      <c r="J511" s="1">
        <f>IF(ISNUMBER(B511),YEAR(B511),"")</f>
        <v/>
      </c>
      <c r="K511">
        <f>IF(ISNUMBER(B511),YEAR(B511)*100+MONTH(B511),"")</f>
        <v/>
      </c>
      <c r="L511">
        <f>IF(ISNUMBER(B511),INT(B511),0)</f>
        <v/>
      </c>
    </row>
    <row r="512">
      <c r="A512" s="1" t="n"/>
      <c r="B512" s="17" t="n"/>
      <c r="C512" s="18" t="n"/>
      <c r="D512" s="19" t="n"/>
      <c r="E512" s="23" t="n"/>
      <c r="F512" s="21" t="n"/>
      <c r="G512" s="11">
        <f>IF(C512="","",IFERROR(INDEX(Crops!$D$6:$D$65,MATCH(C512,Crops!$B$6:$B$65,0))&amp;"",""))</f>
        <v/>
      </c>
      <c r="H512" s="12">
        <f>IF(OR(C512="",NOT(ISNUMBER(E512))),"",E512*N(IFERROR(INDEX(Crops!$E$6:$E$65,MATCH(C512,Crops!$B$6:$B$65,0)),0)))</f>
        <v/>
      </c>
      <c r="I512" s="11">
        <f>IF(AND(C512="",E512=""),"",IF(NOT(ISNUMBER(B512)),"Needs a date",IF(C512="","Needs a crop",IF(COUNTIF(Crops!$B$6:$B$65,C512)=0,"Not on Crops",IF(NOT(ISNUMBER(E512)),"Needs the amount",IF(AND(D512&lt;&gt;"",COUNTIF(Beds!$B$6:$B$35,D512)=0),"Not on Beds",""))))))</f>
        <v/>
      </c>
      <c r="J512" s="1">
        <f>IF(ISNUMBER(B512),YEAR(B512),"")</f>
        <v/>
      </c>
      <c r="K512">
        <f>IF(ISNUMBER(B512),YEAR(B512)*100+MONTH(B512),"")</f>
        <v/>
      </c>
      <c r="L512">
        <f>IF(ISNUMBER(B512),INT(B512),0)</f>
        <v/>
      </c>
    </row>
    <row r="513">
      <c r="A513" s="1" t="n"/>
      <c r="B513" s="17" t="n"/>
      <c r="C513" s="18" t="n"/>
      <c r="D513" s="19" t="n"/>
      <c r="E513" s="23" t="n"/>
      <c r="F513" s="21" t="n"/>
      <c r="G513" s="11">
        <f>IF(C513="","",IFERROR(INDEX(Crops!$D$6:$D$65,MATCH(C513,Crops!$B$6:$B$65,0))&amp;"",""))</f>
        <v/>
      </c>
      <c r="H513" s="12">
        <f>IF(OR(C513="",NOT(ISNUMBER(E513))),"",E513*N(IFERROR(INDEX(Crops!$E$6:$E$65,MATCH(C513,Crops!$B$6:$B$65,0)),0)))</f>
        <v/>
      </c>
      <c r="I513" s="11">
        <f>IF(AND(C513="",E513=""),"",IF(NOT(ISNUMBER(B513)),"Needs a date",IF(C513="","Needs a crop",IF(COUNTIF(Crops!$B$6:$B$65,C513)=0,"Not on Crops",IF(NOT(ISNUMBER(E513)),"Needs the amount",IF(AND(D513&lt;&gt;"",COUNTIF(Beds!$B$6:$B$35,D513)=0),"Not on Beds",""))))))</f>
        <v/>
      </c>
      <c r="J513" s="1">
        <f>IF(ISNUMBER(B513),YEAR(B513),"")</f>
        <v/>
      </c>
      <c r="K513">
        <f>IF(ISNUMBER(B513),YEAR(B513)*100+MONTH(B513),"")</f>
        <v/>
      </c>
      <c r="L513">
        <f>IF(ISNUMBER(B513),INT(B513),0)</f>
        <v/>
      </c>
    </row>
    <row r="514">
      <c r="A514" s="1" t="n"/>
      <c r="B514" s="17" t="n"/>
      <c r="C514" s="18" t="n"/>
      <c r="D514" s="19" t="n"/>
      <c r="E514" s="23" t="n"/>
      <c r="F514" s="21" t="n"/>
      <c r="G514" s="11">
        <f>IF(C514="","",IFERROR(INDEX(Crops!$D$6:$D$65,MATCH(C514,Crops!$B$6:$B$65,0))&amp;"",""))</f>
        <v/>
      </c>
      <c r="H514" s="12">
        <f>IF(OR(C514="",NOT(ISNUMBER(E514))),"",E514*N(IFERROR(INDEX(Crops!$E$6:$E$65,MATCH(C514,Crops!$B$6:$B$65,0)),0)))</f>
        <v/>
      </c>
      <c r="I514" s="11">
        <f>IF(AND(C514="",E514=""),"",IF(NOT(ISNUMBER(B514)),"Needs a date",IF(C514="","Needs a crop",IF(COUNTIF(Crops!$B$6:$B$65,C514)=0,"Not on Crops",IF(NOT(ISNUMBER(E514)),"Needs the amount",IF(AND(D514&lt;&gt;"",COUNTIF(Beds!$B$6:$B$35,D514)=0),"Not on Beds",""))))))</f>
        <v/>
      </c>
      <c r="J514" s="1">
        <f>IF(ISNUMBER(B514),YEAR(B514),"")</f>
        <v/>
      </c>
      <c r="K514">
        <f>IF(ISNUMBER(B514),YEAR(B514)*100+MONTH(B514),"")</f>
        <v/>
      </c>
      <c r="L514">
        <f>IF(ISNUMBER(B514),INT(B514),0)</f>
        <v/>
      </c>
    </row>
    <row r="515">
      <c r="A515" s="1" t="n"/>
      <c r="B515" s="17" t="n"/>
      <c r="C515" s="18" t="n"/>
      <c r="D515" s="19" t="n"/>
      <c r="E515" s="23" t="n"/>
      <c r="F515" s="21" t="n"/>
      <c r="G515" s="11">
        <f>IF(C515="","",IFERROR(INDEX(Crops!$D$6:$D$65,MATCH(C515,Crops!$B$6:$B$65,0))&amp;"",""))</f>
        <v/>
      </c>
      <c r="H515" s="12">
        <f>IF(OR(C515="",NOT(ISNUMBER(E515))),"",E515*N(IFERROR(INDEX(Crops!$E$6:$E$65,MATCH(C515,Crops!$B$6:$B$65,0)),0)))</f>
        <v/>
      </c>
      <c r="I515" s="11">
        <f>IF(AND(C515="",E515=""),"",IF(NOT(ISNUMBER(B515)),"Needs a date",IF(C515="","Needs a crop",IF(COUNTIF(Crops!$B$6:$B$65,C515)=0,"Not on Crops",IF(NOT(ISNUMBER(E515)),"Needs the amount",IF(AND(D515&lt;&gt;"",COUNTIF(Beds!$B$6:$B$35,D515)=0),"Not on Beds",""))))))</f>
        <v/>
      </c>
      <c r="J515" s="1">
        <f>IF(ISNUMBER(B515),YEAR(B515),"")</f>
        <v/>
      </c>
      <c r="K515">
        <f>IF(ISNUMBER(B515),YEAR(B515)*100+MONTH(B515),"")</f>
        <v/>
      </c>
      <c r="L515">
        <f>IF(ISNUMBER(B515),INT(B515),0)</f>
        <v/>
      </c>
    </row>
    <row r="516">
      <c r="A516" s="1" t="n"/>
      <c r="B516" s="17" t="n"/>
      <c r="C516" s="18" t="n"/>
      <c r="D516" s="19" t="n"/>
      <c r="E516" s="23" t="n"/>
      <c r="F516" s="21" t="n"/>
      <c r="G516" s="11">
        <f>IF(C516="","",IFERROR(INDEX(Crops!$D$6:$D$65,MATCH(C516,Crops!$B$6:$B$65,0))&amp;"",""))</f>
        <v/>
      </c>
      <c r="H516" s="12">
        <f>IF(OR(C516="",NOT(ISNUMBER(E516))),"",E516*N(IFERROR(INDEX(Crops!$E$6:$E$65,MATCH(C516,Crops!$B$6:$B$65,0)),0)))</f>
        <v/>
      </c>
      <c r="I516" s="11">
        <f>IF(AND(C516="",E516=""),"",IF(NOT(ISNUMBER(B516)),"Needs a date",IF(C516="","Needs a crop",IF(COUNTIF(Crops!$B$6:$B$65,C516)=0,"Not on Crops",IF(NOT(ISNUMBER(E516)),"Needs the amount",IF(AND(D516&lt;&gt;"",COUNTIF(Beds!$B$6:$B$35,D516)=0),"Not on Beds",""))))))</f>
        <v/>
      </c>
      <c r="J516" s="1">
        <f>IF(ISNUMBER(B516),YEAR(B516),"")</f>
        <v/>
      </c>
      <c r="K516">
        <f>IF(ISNUMBER(B516),YEAR(B516)*100+MONTH(B516),"")</f>
        <v/>
      </c>
      <c r="L516">
        <f>IF(ISNUMBER(B516),INT(B516),0)</f>
        <v/>
      </c>
    </row>
    <row r="517">
      <c r="A517" s="1" t="n"/>
      <c r="B517" s="17" t="n"/>
      <c r="C517" s="18" t="n"/>
      <c r="D517" s="19" t="n"/>
      <c r="E517" s="23" t="n"/>
      <c r="F517" s="21" t="n"/>
      <c r="G517" s="11">
        <f>IF(C517="","",IFERROR(INDEX(Crops!$D$6:$D$65,MATCH(C517,Crops!$B$6:$B$65,0))&amp;"",""))</f>
        <v/>
      </c>
      <c r="H517" s="12">
        <f>IF(OR(C517="",NOT(ISNUMBER(E517))),"",E517*N(IFERROR(INDEX(Crops!$E$6:$E$65,MATCH(C517,Crops!$B$6:$B$65,0)),0)))</f>
        <v/>
      </c>
      <c r="I517" s="11">
        <f>IF(AND(C517="",E517=""),"",IF(NOT(ISNUMBER(B517)),"Needs a date",IF(C517="","Needs a crop",IF(COUNTIF(Crops!$B$6:$B$65,C517)=0,"Not on Crops",IF(NOT(ISNUMBER(E517)),"Needs the amount",IF(AND(D517&lt;&gt;"",COUNTIF(Beds!$B$6:$B$35,D517)=0),"Not on Beds",""))))))</f>
        <v/>
      </c>
      <c r="J517" s="1">
        <f>IF(ISNUMBER(B517),YEAR(B517),"")</f>
        <v/>
      </c>
      <c r="K517">
        <f>IF(ISNUMBER(B517),YEAR(B517)*100+MONTH(B517),"")</f>
        <v/>
      </c>
      <c r="L517">
        <f>IF(ISNUMBER(B517),INT(B517),0)</f>
        <v/>
      </c>
    </row>
    <row r="518">
      <c r="A518" s="1" t="n"/>
      <c r="B518" s="17" t="n"/>
      <c r="C518" s="18" t="n"/>
      <c r="D518" s="19" t="n"/>
      <c r="E518" s="23" t="n"/>
      <c r="F518" s="21" t="n"/>
      <c r="G518" s="11">
        <f>IF(C518="","",IFERROR(INDEX(Crops!$D$6:$D$65,MATCH(C518,Crops!$B$6:$B$65,0))&amp;"",""))</f>
        <v/>
      </c>
      <c r="H518" s="12">
        <f>IF(OR(C518="",NOT(ISNUMBER(E518))),"",E518*N(IFERROR(INDEX(Crops!$E$6:$E$65,MATCH(C518,Crops!$B$6:$B$65,0)),0)))</f>
        <v/>
      </c>
      <c r="I518" s="11">
        <f>IF(AND(C518="",E518=""),"",IF(NOT(ISNUMBER(B518)),"Needs a date",IF(C518="","Needs a crop",IF(COUNTIF(Crops!$B$6:$B$65,C518)=0,"Not on Crops",IF(NOT(ISNUMBER(E518)),"Needs the amount",IF(AND(D518&lt;&gt;"",COUNTIF(Beds!$B$6:$B$35,D518)=0),"Not on Beds",""))))))</f>
        <v/>
      </c>
      <c r="J518" s="1">
        <f>IF(ISNUMBER(B518),YEAR(B518),"")</f>
        <v/>
      </c>
      <c r="K518">
        <f>IF(ISNUMBER(B518),YEAR(B518)*100+MONTH(B518),"")</f>
        <v/>
      </c>
      <c r="L518">
        <f>IF(ISNUMBER(B518),INT(B518),0)</f>
        <v/>
      </c>
    </row>
    <row r="519">
      <c r="A519" s="1" t="n"/>
      <c r="B519" s="17" t="n"/>
      <c r="C519" s="18" t="n"/>
      <c r="D519" s="19" t="n"/>
      <c r="E519" s="23" t="n"/>
      <c r="F519" s="21" t="n"/>
      <c r="G519" s="11">
        <f>IF(C519="","",IFERROR(INDEX(Crops!$D$6:$D$65,MATCH(C519,Crops!$B$6:$B$65,0))&amp;"",""))</f>
        <v/>
      </c>
      <c r="H519" s="12">
        <f>IF(OR(C519="",NOT(ISNUMBER(E519))),"",E519*N(IFERROR(INDEX(Crops!$E$6:$E$65,MATCH(C519,Crops!$B$6:$B$65,0)),0)))</f>
        <v/>
      </c>
      <c r="I519" s="11">
        <f>IF(AND(C519="",E519=""),"",IF(NOT(ISNUMBER(B519)),"Needs a date",IF(C519="","Needs a crop",IF(COUNTIF(Crops!$B$6:$B$65,C519)=0,"Not on Crops",IF(NOT(ISNUMBER(E519)),"Needs the amount",IF(AND(D519&lt;&gt;"",COUNTIF(Beds!$B$6:$B$35,D519)=0),"Not on Beds",""))))))</f>
        <v/>
      </c>
      <c r="J519" s="1">
        <f>IF(ISNUMBER(B519),YEAR(B519),"")</f>
        <v/>
      </c>
      <c r="K519">
        <f>IF(ISNUMBER(B519),YEAR(B519)*100+MONTH(B519),"")</f>
        <v/>
      </c>
      <c r="L519">
        <f>IF(ISNUMBER(B519),INT(B519),0)</f>
        <v/>
      </c>
    </row>
    <row r="520">
      <c r="A520" s="1" t="n"/>
      <c r="B520" s="17" t="n"/>
      <c r="C520" s="18" t="n"/>
      <c r="D520" s="19" t="n"/>
      <c r="E520" s="23" t="n"/>
      <c r="F520" s="21" t="n"/>
      <c r="G520" s="11">
        <f>IF(C520="","",IFERROR(INDEX(Crops!$D$6:$D$65,MATCH(C520,Crops!$B$6:$B$65,0))&amp;"",""))</f>
        <v/>
      </c>
      <c r="H520" s="12">
        <f>IF(OR(C520="",NOT(ISNUMBER(E520))),"",E520*N(IFERROR(INDEX(Crops!$E$6:$E$65,MATCH(C520,Crops!$B$6:$B$65,0)),0)))</f>
        <v/>
      </c>
      <c r="I520" s="11">
        <f>IF(AND(C520="",E520=""),"",IF(NOT(ISNUMBER(B520)),"Needs a date",IF(C520="","Needs a crop",IF(COUNTIF(Crops!$B$6:$B$65,C520)=0,"Not on Crops",IF(NOT(ISNUMBER(E520)),"Needs the amount",IF(AND(D520&lt;&gt;"",COUNTIF(Beds!$B$6:$B$35,D520)=0),"Not on Beds",""))))))</f>
        <v/>
      </c>
      <c r="J520" s="1">
        <f>IF(ISNUMBER(B520),YEAR(B520),"")</f>
        <v/>
      </c>
      <c r="K520">
        <f>IF(ISNUMBER(B520),YEAR(B520)*100+MONTH(B520),"")</f>
        <v/>
      </c>
      <c r="L520">
        <f>IF(ISNUMBER(B520),INT(B520),0)</f>
        <v/>
      </c>
    </row>
    <row r="521">
      <c r="A521" s="1" t="n"/>
      <c r="B521" s="17" t="n"/>
      <c r="C521" s="18" t="n"/>
      <c r="D521" s="19" t="n"/>
      <c r="E521" s="23" t="n"/>
      <c r="F521" s="21" t="n"/>
      <c r="G521" s="11">
        <f>IF(C521="","",IFERROR(INDEX(Crops!$D$6:$D$65,MATCH(C521,Crops!$B$6:$B$65,0))&amp;"",""))</f>
        <v/>
      </c>
      <c r="H521" s="12">
        <f>IF(OR(C521="",NOT(ISNUMBER(E521))),"",E521*N(IFERROR(INDEX(Crops!$E$6:$E$65,MATCH(C521,Crops!$B$6:$B$65,0)),0)))</f>
        <v/>
      </c>
      <c r="I521" s="11">
        <f>IF(AND(C521="",E521=""),"",IF(NOT(ISNUMBER(B521)),"Needs a date",IF(C521="","Needs a crop",IF(COUNTIF(Crops!$B$6:$B$65,C521)=0,"Not on Crops",IF(NOT(ISNUMBER(E521)),"Needs the amount",IF(AND(D521&lt;&gt;"",COUNTIF(Beds!$B$6:$B$35,D521)=0),"Not on Beds",""))))))</f>
        <v/>
      </c>
      <c r="J521" s="1">
        <f>IF(ISNUMBER(B521),YEAR(B521),"")</f>
        <v/>
      </c>
      <c r="K521">
        <f>IF(ISNUMBER(B521),YEAR(B521)*100+MONTH(B521),"")</f>
        <v/>
      </c>
      <c r="L521">
        <f>IF(ISNUMBER(B521),INT(B521),0)</f>
        <v/>
      </c>
    </row>
    <row r="522">
      <c r="A522" s="1" t="n"/>
      <c r="B522" s="17" t="n"/>
      <c r="C522" s="18" t="n"/>
      <c r="D522" s="19" t="n"/>
      <c r="E522" s="23" t="n"/>
      <c r="F522" s="21" t="n"/>
      <c r="G522" s="11">
        <f>IF(C522="","",IFERROR(INDEX(Crops!$D$6:$D$65,MATCH(C522,Crops!$B$6:$B$65,0))&amp;"",""))</f>
        <v/>
      </c>
      <c r="H522" s="12">
        <f>IF(OR(C522="",NOT(ISNUMBER(E522))),"",E522*N(IFERROR(INDEX(Crops!$E$6:$E$65,MATCH(C522,Crops!$B$6:$B$65,0)),0)))</f>
        <v/>
      </c>
      <c r="I522" s="11">
        <f>IF(AND(C522="",E522=""),"",IF(NOT(ISNUMBER(B522)),"Needs a date",IF(C522="","Needs a crop",IF(COUNTIF(Crops!$B$6:$B$65,C522)=0,"Not on Crops",IF(NOT(ISNUMBER(E522)),"Needs the amount",IF(AND(D522&lt;&gt;"",COUNTIF(Beds!$B$6:$B$35,D522)=0),"Not on Beds",""))))))</f>
        <v/>
      </c>
      <c r="J522" s="1">
        <f>IF(ISNUMBER(B522),YEAR(B522),"")</f>
        <v/>
      </c>
      <c r="K522">
        <f>IF(ISNUMBER(B522),YEAR(B522)*100+MONTH(B522),"")</f>
        <v/>
      </c>
      <c r="L522">
        <f>IF(ISNUMBER(B522),INT(B522),0)</f>
        <v/>
      </c>
    </row>
    <row r="523">
      <c r="A523" s="1" t="n"/>
      <c r="B523" s="17" t="n"/>
      <c r="C523" s="18" t="n"/>
      <c r="D523" s="19" t="n"/>
      <c r="E523" s="23" t="n"/>
      <c r="F523" s="21" t="n"/>
      <c r="G523" s="11">
        <f>IF(C523="","",IFERROR(INDEX(Crops!$D$6:$D$65,MATCH(C523,Crops!$B$6:$B$65,0))&amp;"",""))</f>
        <v/>
      </c>
      <c r="H523" s="12">
        <f>IF(OR(C523="",NOT(ISNUMBER(E523))),"",E523*N(IFERROR(INDEX(Crops!$E$6:$E$65,MATCH(C523,Crops!$B$6:$B$65,0)),0)))</f>
        <v/>
      </c>
      <c r="I523" s="11">
        <f>IF(AND(C523="",E523=""),"",IF(NOT(ISNUMBER(B523)),"Needs a date",IF(C523="","Needs a crop",IF(COUNTIF(Crops!$B$6:$B$65,C523)=0,"Not on Crops",IF(NOT(ISNUMBER(E523)),"Needs the amount",IF(AND(D523&lt;&gt;"",COUNTIF(Beds!$B$6:$B$35,D523)=0),"Not on Beds",""))))))</f>
        <v/>
      </c>
      <c r="J523" s="1">
        <f>IF(ISNUMBER(B523),YEAR(B523),"")</f>
        <v/>
      </c>
      <c r="K523">
        <f>IF(ISNUMBER(B523),YEAR(B523)*100+MONTH(B523),"")</f>
        <v/>
      </c>
      <c r="L523">
        <f>IF(ISNUMBER(B523),INT(B523),0)</f>
        <v/>
      </c>
    </row>
    <row r="524">
      <c r="A524" s="1" t="n"/>
      <c r="B524" s="17" t="n"/>
      <c r="C524" s="18" t="n"/>
      <c r="D524" s="19" t="n"/>
      <c r="E524" s="23" t="n"/>
      <c r="F524" s="21" t="n"/>
      <c r="G524" s="11">
        <f>IF(C524="","",IFERROR(INDEX(Crops!$D$6:$D$65,MATCH(C524,Crops!$B$6:$B$65,0))&amp;"",""))</f>
        <v/>
      </c>
      <c r="H524" s="12">
        <f>IF(OR(C524="",NOT(ISNUMBER(E524))),"",E524*N(IFERROR(INDEX(Crops!$E$6:$E$65,MATCH(C524,Crops!$B$6:$B$65,0)),0)))</f>
        <v/>
      </c>
      <c r="I524" s="11">
        <f>IF(AND(C524="",E524=""),"",IF(NOT(ISNUMBER(B524)),"Needs a date",IF(C524="","Needs a crop",IF(COUNTIF(Crops!$B$6:$B$65,C524)=0,"Not on Crops",IF(NOT(ISNUMBER(E524)),"Needs the amount",IF(AND(D524&lt;&gt;"",COUNTIF(Beds!$B$6:$B$35,D524)=0),"Not on Beds",""))))))</f>
        <v/>
      </c>
      <c r="J524" s="1">
        <f>IF(ISNUMBER(B524),YEAR(B524),"")</f>
        <v/>
      </c>
      <c r="K524">
        <f>IF(ISNUMBER(B524),YEAR(B524)*100+MONTH(B524),"")</f>
        <v/>
      </c>
      <c r="L524">
        <f>IF(ISNUMBER(B524),INT(B524),0)</f>
        <v/>
      </c>
    </row>
    <row r="525">
      <c r="A525" s="1" t="n"/>
      <c r="B525" s="17" t="n"/>
      <c r="C525" s="18" t="n"/>
      <c r="D525" s="19" t="n"/>
      <c r="E525" s="23" t="n"/>
      <c r="F525" s="21" t="n"/>
      <c r="G525" s="11">
        <f>IF(C525="","",IFERROR(INDEX(Crops!$D$6:$D$65,MATCH(C525,Crops!$B$6:$B$65,0))&amp;"",""))</f>
        <v/>
      </c>
      <c r="H525" s="12">
        <f>IF(OR(C525="",NOT(ISNUMBER(E525))),"",E525*N(IFERROR(INDEX(Crops!$E$6:$E$65,MATCH(C525,Crops!$B$6:$B$65,0)),0)))</f>
        <v/>
      </c>
      <c r="I525" s="11">
        <f>IF(AND(C525="",E525=""),"",IF(NOT(ISNUMBER(B525)),"Needs a date",IF(C525="","Needs a crop",IF(COUNTIF(Crops!$B$6:$B$65,C525)=0,"Not on Crops",IF(NOT(ISNUMBER(E525)),"Needs the amount",IF(AND(D525&lt;&gt;"",COUNTIF(Beds!$B$6:$B$35,D525)=0),"Not on Beds",""))))))</f>
        <v/>
      </c>
      <c r="J525" s="1">
        <f>IF(ISNUMBER(B525),YEAR(B525),"")</f>
        <v/>
      </c>
      <c r="K525">
        <f>IF(ISNUMBER(B525),YEAR(B525)*100+MONTH(B525),"")</f>
        <v/>
      </c>
      <c r="L525">
        <f>IF(ISNUMBER(B525),INT(B525),0)</f>
        <v/>
      </c>
    </row>
    <row r="526">
      <c r="A526" s="1" t="n"/>
      <c r="B526" s="17" t="n"/>
      <c r="C526" s="18" t="n"/>
      <c r="D526" s="19" t="n"/>
      <c r="E526" s="23" t="n"/>
      <c r="F526" s="21" t="n"/>
      <c r="G526" s="11">
        <f>IF(C526="","",IFERROR(INDEX(Crops!$D$6:$D$65,MATCH(C526,Crops!$B$6:$B$65,0))&amp;"",""))</f>
        <v/>
      </c>
      <c r="H526" s="12">
        <f>IF(OR(C526="",NOT(ISNUMBER(E526))),"",E526*N(IFERROR(INDEX(Crops!$E$6:$E$65,MATCH(C526,Crops!$B$6:$B$65,0)),0)))</f>
        <v/>
      </c>
      <c r="I526" s="11">
        <f>IF(AND(C526="",E526=""),"",IF(NOT(ISNUMBER(B526)),"Needs a date",IF(C526="","Needs a crop",IF(COUNTIF(Crops!$B$6:$B$65,C526)=0,"Not on Crops",IF(NOT(ISNUMBER(E526)),"Needs the amount",IF(AND(D526&lt;&gt;"",COUNTIF(Beds!$B$6:$B$35,D526)=0),"Not on Beds",""))))))</f>
        <v/>
      </c>
      <c r="J526" s="1">
        <f>IF(ISNUMBER(B526),YEAR(B526),"")</f>
        <v/>
      </c>
      <c r="K526">
        <f>IF(ISNUMBER(B526),YEAR(B526)*100+MONTH(B526),"")</f>
        <v/>
      </c>
      <c r="L526">
        <f>IF(ISNUMBER(B526),INT(B526),0)</f>
        <v/>
      </c>
    </row>
    <row r="527">
      <c r="A527" s="1" t="n"/>
      <c r="B527" s="17" t="n"/>
      <c r="C527" s="18" t="n"/>
      <c r="D527" s="19" t="n"/>
      <c r="E527" s="23" t="n"/>
      <c r="F527" s="21" t="n"/>
      <c r="G527" s="11">
        <f>IF(C527="","",IFERROR(INDEX(Crops!$D$6:$D$65,MATCH(C527,Crops!$B$6:$B$65,0))&amp;"",""))</f>
        <v/>
      </c>
      <c r="H527" s="12">
        <f>IF(OR(C527="",NOT(ISNUMBER(E527))),"",E527*N(IFERROR(INDEX(Crops!$E$6:$E$65,MATCH(C527,Crops!$B$6:$B$65,0)),0)))</f>
        <v/>
      </c>
      <c r="I527" s="11">
        <f>IF(AND(C527="",E527=""),"",IF(NOT(ISNUMBER(B527)),"Needs a date",IF(C527="","Needs a crop",IF(COUNTIF(Crops!$B$6:$B$65,C527)=0,"Not on Crops",IF(NOT(ISNUMBER(E527)),"Needs the amount",IF(AND(D527&lt;&gt;"",COUNTIF(Beds!$B$6:$B$35,D527)=0),"Not on Beds",""))))))</f>
        <v/>
      </c>
      <c r="J527" s="1">
        <f>IF(ISNUMBER(B527),YEAR(B527),"")</f>
        <v/>
      </c>
      <c r="K527">
        <f>IF(ISNUMBER(B527),YEAR(B527)*100+MONTH(B527),"")</f>
        <v/>
      </c>
      <c r="L527">
        <f>IF(ISNUMBER(B527),INT(B527),0)</f>
        <v/>
      </c>
    </row>
    <row r="528">
      <c r="A528" s="1" t="n"/>
      <c r="B528" s="17" t="n"/>
      <c r="C528" s="18" t="n"/>
      <c r="D528" s="19" t="n"/>
      <c r="E528" s="23" t="n"/>
      <c r="F528" s="21" t="n"/>
      <c r="G528" s="11">
        <f>IF(C528="","",IFERROR(INDEX(Crops!$D$6:$D$65,MATCH(C528,Crops!$B$6:$B$65,0))&amp;"",""))</f>
        <v/>
      </c>
      <c r="H528" s="12">
        <f>IF(OR(C528="",NOT(ISNUMBER(E528))),"",E528*N(IFERROR(INDEX(Crops!$E$6:$E$65,MATCH(C528,Crops!$B$6:$B$65,0)),0)))</f>
        <v/>
      </c>
      <c r="I528" s="11">
        <f>IF(AND(C528="",E528=""),"",IF(NOT(ISNUMBER(B528)),"Needs a date",IF(C528="","Needs a crop",IF(COUNTIF(Crops!$B$6:$B$65,C528)=0,"Not on Crops",IF(NOT(ISNUMBER(E528)),"Needs the amount",IF(AND(D528&lt;&gt;"",COUNTIF(Beds!$B$6:$B$35,D528)=0),"Not on Beds",""))))))</f>
        <v/>
      </c>
      <c r="J528" s="1">
        <f>IF(ISNUMBER(B528),YEAR(B528),"")</f>
        <v/>
      </c>
      <c r="K528">
        <f>IF(ISNUMBER(B528),YEAR(B528)*100+MONTH(B528),"")</f>
        <v/>
      </c>
      <c r="L528">
        <f>IF(ISNUMBER(B528),INT(B528),0)</f>
        <v/>
      </c>
    </row>
    <row r="529">
      <c r="A529" s="1" t="n"/>
      <c r="B529" s="17" t="n"/>
      <c r="C529" s="18" t="n"/>
      <c r="D529" s="19" t="n"/>
      <c r="E529" s="23" t="n"/>
      <c r="F529" s="21" t="n"/>
      <c r="G529" s="11">
        <f>IF(C529="","",IFERROR(INDEX(Crops!$D$6:$D$65,MATCH(C529,Crops!$B$6:$B$65,0))&amp;"",""))</f>
        <v/>
      </c>
      <c r="H529" s="12">
        <f>IF(OR(C529="",NOT(ISNUMBER(E529))),"",E529*N(IFERROR(INDEX(Crops!$E$6:$E$65,MATCH(C529,Crops!$B$6:$B$65,0)),0)))</f>
        <v/>
      </c>
      <c r="I529" s="11">
        <f>IF(AND(C529="",E529=""),"",IF(NOT(ISNUMBER(B529)),"Needs a date",IF(C529="","Needs a crop",IF(COUNTIF(Crops!$B$6:$B$65,C529)=0,"Not on Crops",IF(NOT(ISNUMBER(E529)),"Needs the amount",IF(AND(D529&lt;&gt;"",COUNTIF(Beds!$B$6:$B$35,D529)=0),"Not on Beds",""))))))</f>
        <v/>
      </c>
      <c r="J529" s="1">
        <f>IF(ISNUMBER(B529),YEAR(B529),"")</f>
        <v/>
      </c>
      <c r="K529">
        <f>IF(ISNUMBER(B529),YEAR(B529)*100+MONTH(B529),"")</f>
        <v/>
      </c>
      <c r="L529">
        <f>IF(ISNUMBER(B529),INT(B529),0)</f>
        <v/>
      </c>
    </row>
    <row r="530">
      <c r="A530" s="1" t="n"/>
      <c r="B530" s="17" t="n"/>
      <c r="C530" s="18" t="n"/>
      <c r="D530" s="19" t="n"/>
      <c r="E530" s="23" t="n"/>
      <c r="F530" s="21" t="n"/>
      <c r="G530" s="11">
        <f>IF(C530="","",IFERROR(INDEX(Crops!$D$6:$D$65,MATCH(C530,Crops!$B$6:$B$65,0))&amp;"",""))</f>
        <v/>
      </c>
      <c r="H530" s="12">
        <f>IF(OR(C530="",NOT(ISNUMBER(E530))),"",E530*N(IFERROR(INDEX(Crops!$E$6:$E$65,MATCH(C530,Crops!$B$6:$B$65,0)),0)))</f>
        <v/>
      </c>
      <c r="I530" s="11">
        <f>IF(AND(C530="",E530=""),"",IF(NOT(ISNUMBER(B530)),"Needs a date",IF(C530="","Needs a crop",IF(COUNTIF(Crops!$B$6:$B$65,C530)=0,"Not on Crops",IF(NOT(ISNUMBER(E530)),"Needs the amount",IF(AND(D530&lt;&gt;"",COUNTIF(Beds!$B$6:$B$35,D530)=0),"Not on Beds",""))))))</f>
        <v/>
      </c>
      <c r="J530" s="1">
        <f>IF(ISNUMBER(B530),YEAR(B530),"")</f>
        <v/>
      </c>
      <c r="K530">
        <f>IF(ISNUMBER(B530),YEAR(B530)*100+MONTH(B530),"")</f>
        <v/>
      </c>
      <c r="L530">
        <f>IF(ISNUMBER(B530),INT(B530),0)</f>
        <v/>
      </c>
    </row>
    <row r="531">
      <c r="A531" s="1" t="n"/>
      <c r="B531" s="17" t="n"/>
      <c r="C531" s="18" t="n"/>
      <c r="D531" s="19" t="n"/>
      <c r="E531" s="23" t="n"/>
      <c r="F531" s="21" t="n"/>
      <c r="G531" s="11">
        <f>IF(C531="","",IFERROR(INDEX(Crops!$D$6:$D$65,MATCH(C531,Crops!$B$6:$B$65,0))&amp;"",""))</f>
        <v/>
      </c>
      <c r="H531" s="12">
        <f>IF(OR(C531="",NOT(ISNUMBER(E531))),"",E531*N(IFERROR(INDEX(Crops!$E$6:$E$65,MATCH(C531,Crops!$B$6:$B$65,0)),0)))</f>
        <v/>
      </c>
      <c r="I531" s="11">
        <f>IF(AND(C531="",E531=""),"",IF(NOT(ISNUMBER(B531)),"Needs a date",IF(C531="","Needs a crop",IF(COUNTIF(Crops!$B$6:$B$65,C531)=0,"Not on Crops",IF(NOT(ISNUMBER(E531)),"Needs the amount",IF(AND(D531&lt;&gt;"",COUNTIF(Beds!$B$6:$B$35,D531)=0),"Not on Beds",""))))))</f>
        <v/>
      </c>
      <c r="J531" s="1">
        <f>IF(ISNUMBER(B531),YEAR(B531),"")</f>
        <v/>
      </c>
      <c r="K531">
        <f>IF(ISNUMBER(B531),YEAR(B531)*100+MONTH(B531),"")</f>
        <v/>
      </c>
      <c r="L531">
        <f>IF(ISNUMBER(B531),INT(B531),0)</f>
        <v/>
      </c>
    </row>
    <row r="532">
      <c r="A532" s="1" t="n"/>
      <c r="B532" s="17" t="n"/>
      <c r="C532" s="18" t="n"/>
      <c r="D532" s="19" t="n"/>
      <c r="E532" s="23" t="n"/>
      <c r="F532" s="21" t="n"/>
      <c r="G532" s="11">
        <f>IF(C532="","",IFERROR(INDEX(Crops!$D$6:$D$65,MATCH(C532,Crops!$B$6:$B$65,0))&amp;"",""))</f>
        <v/>
      </c>
      <c r="H532" s="12">
        <f>IF(OR(C532="",NOT(ISNUMBER(E532))),"",E532*N(IFERROR(INDEX(Crops!$E$6:$E$65,MATCH(C532,Crops!$B$6:$B$65,0)),0)))</f>
        <v/>
      </c>
      <c r="I532" s="11">
        <f>IF(AND(C532="",E532=""),"",IF(NOT(ISNUMBER(B532)),"Needs a date",IF(C532="","Needs a crop",IF(COUNTIF(Crops!$B$6:$B$65,C532)=0,"Not on Crops",IF(NOT(ISNUMBER(E532)),"Needs the amount",IF(AND(D532&lt;&gt;"",COUNTIF(Beds!$B$6:$B$35,D532)=0),"Not on Beds",""))))))</f>
        <v/>
      </c>
      <c r="J532" s="1">
        <f>IF(ISNUMBER(B532),YEAR(B532),"")</f>
        <v/>
      </c>
      <c r="K532">
        <f>IF(ISNUMBER(B532),YEAR(B532)*100+MONTH(B532),"")</f>
        <v/>
      </c>
      <c r="L532">
        <f>IF(ISNUMBER(B532),INT(B532),0)</f>
        <v/>
      </c>
    </row>
    <row r="533">
      <c r="A533" s="1" t="n"/>
      <c r="B533" s="17" t="n"/>
      <c r="C533" s="18" t="n"/>
      <c r="D533" s="19" t="n"/>
      <c r="E533" s="23" t="n"/>
      <c r="F533" s="21" t="n"/>
      <c r="G533" s="11">
        <f>IF(C533="","",IFERROR(INDEX(Crops!$D$6:$D$65,MATCH(C533,Crops!$B$6:$B$65,0))&amp;"",""))</f>
        <v/>
      </c>
      <c r="H533" s="12">
        <f>IF(OR(C533="",NOT(ISNUMBER(E533))),"",E533*N(IFERROR(INDEX(Crops!$E$6:$E$65,MATCH(C533,Crops!$B$6:$B$65,0)),0)))</f>
        <v/>
      </c>
      <c r="I533" s="11">
        <f>IF(AND(C533="",E533=""),"",IF(NOT(ISNUMBER(B533)),"Needs a date",IF(C533="","Needs a crop",IF(COUNTIF(Crops!$B$6:$B$65,C533)=0,"Not on Crops",IF(NOT(ISNUMBER(E533)),"Needs the amount",IF(AND(D533&lt;&gt;"",COUNTIF(Beds!$B$6:$B$35,D533)=0),"Not on Beds",""))))))</f>
        <v/>
      </c>
      <c r="J533" s="1">
        <f>IF(ISNUMBER(B533),YEAR(B533),"")</f>
        <v/>
      </c>
      <c r="K533">
        <f>IF(ISNUMBER(B533),YEAR(B533)*100+MONTH(B533),"")</f>
        <v/>
      </c>
      <c r="L533">
        <f>IF(ISNUMBER(B533),INT(B533),0)</f>
        <v/>
      </c>
    </row>
    <row r="534">
      <c r="A534" s="1" t="n"/>
      <c r="B534" s="17" t="n"/>
      <c r="C534" s="18" t="n"/>
      <c r="D534" s="19" t="n"/>
      <c r="E534" s="23" t="n"/>
      <c r="F534" s="21" t="n"/>
      <c r="G534" s="11">
        <f>IF(C534="","",IFERROR(INDEX(Crops!$D$6:$D$65,MATCH(C534,Crops!$B$6:$B$65,0))&amp;"",""))</f>
        <v/>
      </c>
      <c r="H534" s="12">
        <f>IF(OR(C534="",NOT(ISNUMBER(E534))),"",E534*N(IFERROR(INDEX(Crops!$E$6:$E$65,MATCH(C534,Crops!$B$6:$B$65,0)),0)))</f>
        <v/>
      </c>
      <c r="I534" s="11">
        <f>IF(AND(C534="",E534=""),"",IF(NOT(ISNUMBER(B534)),"Needs a date",IF(C534="","Needs a crop",IF(COUNTIF(Crops!$B$6:$B$65,C534)=0,"Not on Crops",IF(NOT(ISNUMBER(E534)),"Needs the amount",IF(AND(D534&lt;&gt;"",COUNTIF(Beds!$B$6:$B$35,D534)=0),"Not on Beds",""))))))</f>
        <v/>
      </c>
      <c r="J534" s="1">
        <f>IF(ISNUMBER(B534),YEAR(B534),"")</f>
        <v/>
      </c>
      <c r="K534">
        <f>IF(ISNUMBER(B534),YEAR(B534)*100+MONTH(B534),"")</f>
        <v/>
      </c>
      <c r="L534">
        <f>IF(ISNUMBER(B534),INT(B534),0)</f>
        <v/>
      </c>
    </row>
    <row r="535">
      <c r="A535" s="1" t="n"/>
      <c r="B535" s="17" t="n"/>
      <c r="C535" s="18" t="n"/>
      <c r="D535" s="19" t="n"/>
      <c r="E535" s="23" t="n"/>
      <c r="F535" s="21" t="n"/>
      <c r="G535" s="11">
        <f>IF(C535="","",IFERROR(INDEX(Crops!$D$6:$D$65,MATCH(C535,Crops!$B$6:$B$65,0))&amp;"",""))</f>
        <v/>
      </c>
      <c r="H535" s="12">
        <f>IF(OR(C535="",NOT(ISNUMBER(E535))),"",E535*N(IFERROR(INDEX(Crops!$E$6:$E$65,MATCH(C535,Crops!$B$6:$B$65,0)),0)))</f>
        <v/>
      </c>
      <c r="I535" s="11">
        <f>IF(AND(C535="",E535=""),"",IF(NOT(ISNUMBER(B535)),"Needs a date",IF(C535="","Needs a crop",IF(COUNTIF(Crops!$B$6:$B$65,C535)=0,"Not on Crops",IF(NOT(ISNUMBER(E535)),"Needs the amount",IF(AND(D535&lt;&gt;"",COUNTIF(Beds!$B$6:$B$35,D535)=0),"Not on Beds",""))))))</f>
        <v/>
      </c>
      <c r="J535" s="1">
        <f>IF(ISNUMBER(B535),YEAR(B535),"")</f>
        <v/>
      </c>
      <c r="K535">
        <f>IF(ISNUMBER(B535),YEAR(B535)*100+MONTH(B535),"")</f>
        <v/>
      </c>
      <c r="L535">
        <f>IF(ISNUMBER(B535),INT(B535),0)</f>
        <v/>
      </c>
    </row>
    <row r="536">
      <c r="A536" s="1" t="n"/>
      <c r="B536" s="17" t="n"/>
      <c r="C536" s="18" t="n"/>
      <c r="D536" s="19" t="n"/>
      <c r="E536" s="23" t="n"/>
      <c r="F536" s="21" t="n"/>
      <c r="G536" s="11">
        <f>IF(C536="","",IFERROR(INDEX(Crops!$D$6:$D$65,MATCH(C536,Crops!$B$6:$B$65,0))&amp;"",""))</f>
        <v/>
      </c>
      <c r="H536" s="12">
        <f>IF(OR(C536="",NOT(ISNUMBER(E536))),"",E536*N(IFERROR(INDEX(Crops!$E$6:$E$65,MATCH(C536,Crops!$B$6:$B$65,0)),0)))</f>
        <v/>
      </c>
      <c r="I536" s="11">
        <f>IF(AND(C536="",E536=""),"",IF(NOT(ISNUMBER(B536)),"Needs a date",IF(C536="","Needs a crop",IF(COUNTIF(Crops!$B$6:$B$65,C536)=0,"Not on Crops",IF(NOT(ISNUMBER(E536)),"Needs the amount",IF(AND(D536&lt;&gt;"",COUNTIF(Beds!$B$6:$B$35,D536)=0),"Not on Beds",""))))))</f>
        <v/>
      </c>
      <c r="J536" s="1">
        <f>IF(ISNUMBER(B536),YEAR(B536),"")</f>
        <v/>
      </c>
      <c r="K536">
        <f>IF(ISNUMBER(B536),YEAR(B536)*100+MONTH(B536),"")</f>
        <v/>
      </c>
      <c r="L536">
        <f>IF(ISNUMBER(B536),INT(B536),0)</f>
        <v/>
      </c>
    </row>
    <row r="537">
      <c r="A537" s="1" t="n"/>
      <c r="B537" s="17" t="n"/>
      <c r="C537" s="18" t="n"/>
      <c r="D537" s="19" t="n"/>
      <c r="E537" s="23" t="n"/>
      <c r="F537" s="21" t="n"/>
      <c r="G537" s="11">
        <f>IF(C537="","",IFERROR(INDEX(Crops!$D$6:$D$65,MATCH(C537,Crops!$B$6:$B$65,0))&amp;"",""))</f>
        <v/>
      </c>
      <c r="H537" s="12">
        <f>IF(OR(C537="",NOT(ISNUMBER(E537))),"",E537*N(IFERROR(INDEX(Crops!$E$6:$E$65,MATCH(C537,Crops!$B$6:$B$65,0)),0)))</f>
        <v/>
      </c>
      <c r="I537" s="11">
        <f>IF(AND(C537="",E537=""),"",IF(NOT(ISNUMBER(B537)),"Needs a date",IF(C537="","Needs a crop",IF(COUNTIF(Crops!$B$6:$B$65,C537)=0,"Not on Crops",IF(NOT(ISNUMBER(E537)),"Needs the amount",IF(AND(D537&lt;&gt;"",COUNTIF(Beds!$B$6:$B$35,D537)=0),"Not on Beds",""))))))</f>
        <v/>
      </c>
      <c r="J537" s="1">
        <f>IF(ISNUMBER(B537),YEAR(B537),"")</f>
        <v/>
      </c>
      <c r="K537">
        <f>IF(ISNUMBER(B537),YEAR(B537)*100+MONTH(B537),"")</f>
        <v/>
      </c>
      <c r="L537">
        <f>IF(ISNUMBER(B537),INT(B537),0)</f>
        <v/>
      </c>
    </row>
    <row r="538">
      <c r="A538" s="1" t="n"/>
      <c r="B538" s="17" t="n"/>
      <c r="C538" s="18" t="n"/>
      <c r="D538" s="19" t="n"/>
      <c r="E538" s="23" t="n"/>
      <c r="F538" s="21" t="n"/>
      <c r="G538" s="11">
        <f>IF(C538="","",IFERROR(INDEX(Crops!$D$6:$D$65,MATCH(C538,Crops!$B$6:$B$65,0))&amp;"",""))</f>
        <v/>
      </c>
      <c r="H538" s="12">
        <f>IF(OR(C538="",NOT(ISNUMBER(E538))),"",E538*N(IFERROR(INDEX(Crops!$E$6:$E$65,MATCH(C538,Crops!$B$6:$B$65,0)),0)))</f>
        <v/>
      </c>
      <c r="I538" s="11">
        <f>IF(AND(C538="",E538=""),"",IF(NOT(ISNUMBER(B538)),"Needs a date",IF(C538="","Needs a crop",IF(COUNTIF(Crops!$B$6:$B$65,C538)=0,"Not on Crops",IF(NOT(ISNUMBER(E538)),"Needs the amount",IF(AND(D538&lt;&gt;"",COUNTIF(Beds!$B$6:$B$35,D538)=0),"Not on Beds",""))))))</f>
        <v/>
      </c>
      <c r="J538" s="1">
        <f>IF(ISNUMBER(B538),YEAR(B538),"")</f>
        <v/>
      </c>
      <c r="K538">
        <f>IF(ISNUMBER(B538),YEAR(B538)*100+MONTH(B538),"")</f>
        <v/>
      </c>
      <c r="L538">
        <f>IF(ISNUMBER(B538),INT(B538),0)</f>
        <v/>
      </c>
    </row>
    <row r="539">
      <c r="A539" s="1" t="n"/>
      <c r="B539" s="17" t="n"/>
      <c r="C539" s="18" t="n"/>
      <c r="D539" s="19" t="n"/>
      <c r="E539" s="23" t="n"/>
      <c r="F539" s="21" t="n"/>
      <c r="G539" s="11">
        <f>IF(C539="","",IFERROR(INDEX(Crops!$D$6:$D$65,MATCH(C539,Crops!$B$6:$B$65,0))&amp;"",""))</f>
        <v/>
      </c>
      <c r="H539" s="12">
        <f>IF(OR(C539="",NOT(ISNUMBER(E539))),"",E539*N(IFERROR(INDEX(Crops!$E$6:$E$65,MATCH(C539,Crops!$B$6:$B$65,0)),0)))</f>
        <v/>
      </c>
      <c r="I539" s="11">
        <f>IF(AND(C539="",E539=""),"",IF(NOT(ISNUMBER(B539)),"Needs a date",IF(C539="","Needs a crop",IF(COUNTIF(Crops!$B$6:$B$65,C539)=0,"Not on Crops",IF(NOT(ISNUMBER(E539)),"Needs the amount",IF(AND(D539&lt;&gt;"",COUNTIF(Beds!$B$6:$B$35,D539)=0),"Not on Beds",""))))))</f>
        <v/>
      </c>
      <c r="J539" s="1">
        <f>IF(ISNUMBER(B539),YEAR(B539),"")</f>
        <v/>
      </c>
      <c r="K539">
        <f>IF(ISNUMBER(B539),YEAR(B539)*100+MONTH(B539),"")</f>
        <v/>
      </c>
      <c r="L539">
        <f>IF(ISNUMBER(B539),INT(B539),0)</f>
        <v/>
      </c>
    </row>
    <row r="540">
      <c r="A540" s="1" t="n"/>
      <c r="B540" s="17" t="n"/>
      <c r="C540" s="18" t="n"/>
      <c r="D540" s="19" t="n"/>
      <c r="E540" s="23" t="n"/>
      <c r="F540" s="21" t="n"/>
      <c r="G540" s="11">
        <f>IF(C540="","",IFERROR(INDEX(Crops!$D$6:$D$65,MATCH(C540,Crops!$B$6:$B$65,0))&amp;"",""))</f>
        <v/>
      </c>
      <c r="H540" s="12">
        <f>IF(OR(C540="",NOT(ISNUMBER(E540))),"",E540*N(IFERROR(INDEX(Crops!$E$6:$E$65,MATCH(C540,Crops!$B$6:$B$65,0)),0)))</f>
        <v/>
      </c>
      <c r="I540" s="11">
        <f>IF(AND(C540="",E540=""),"",IF(NOT(ISNUMBER(B540)),"Needs a date",IF(C540="","Needs a crop",IF(COUNTIF(Crops!$B$6:$B$65,C540)=0,"Not on Crops",IF(NOT(ISNUMBER(E540)),"Needs the amount",IF(AND(D540&lt;&gt;"",COUNTIF(Beds!$B$6:$B$35,D540)=0),"Not on Beds",""))))))</f>
        <v/>
      </c>
      <c r="J540" s="1">
        <f>IF(ISNUMBER(B540),YEAR(B540),"")</f>
        <v/>
      </c>
      <c r="K540">
        <f>IF(ISNUMBER(B540),YEAR(B540)*100+MONTH(B540),"")</f>
        <v/>
      </c>
      <c r="L540">
        <f>IF(ISNUMBER(B540),INT(B540),0)</f>
        <v/>
      </c>
    </row>
    <row r="541">
      <c r="A541" s="1" t="n"/>
      <c r="B541" s="17" t="n"/>
      <c r="C541" s="18" t="n"/>
      <c r="D541" s="19" t="n"/>
      <c r="E541" s="23" t="n"/>
      <c r="F541" s="21" t="n"/>
      <c r="G541" s="11">
        <f>IF(C541="","",IFERROR(INDEX(Crops!$D$6:$D$65,MATCH(C541,Crops!$B$6:$B$65,0))&amp;"",""))</f>
        <v/>
      </c>
      <c r="H541" s="12">
        <f>IF(OR(C541="",NOT(ISNUMBER(E541))),"",E541*N(IFERROR(INDEX(Crops!$E$6:$E$65,MATCH(C541,Crops!$B$6:$B$65,0)),0)))</f>
        <v/>
      </c>
      <c r="I541" s="11">
        <f>IF(AND(C541="",E541=""),"",IF(NOT(ISNUMBER(B541)),"Needs a date",IF(C541="","Needs a crop",IF(COUNTIF(Crops!$B$6:$B$65,C541)=0,"Not on Crops",IF(NOT(ISNUMBER(E541)),"Needs the amount",IF(AND(D541&lt;&gt;"",COUNTIF(Beds!$B$6:$B$35,D541)=0),"Not on Beds",""))))))</f>
        <v/>
      </c>
      <c r="J541" s="1">
        <f>IF(ISNUMBER(B541),YEAR(B541),"")</f>
        <v/>
      </c>
      <c r="K541">
        <f>IF(ISNUMBER(B541),YEAR(B541)*100+MONTH(B541),"")</f>
        <v/>
      </c>
      <c r="L541">
        <f>IF(ISNUMBER(B541),INT(B541),0)</f>
        <v/>
      </c>
    </row>
    <row r="542">
      <c r="A542" s="1" t="n"/>
      <c r="B542" s="17" t="n"/>
      <c r="C542" s="18" t="n"/>
      <c r="D542" s="19" t="n"/>
      <c r="E542" s="23" t="n"/>
      <c r="F542" s="21" t="n"/>
      <c r="G542" s="11">
        <f>IF(C542="","",IFERROR(INDEX(Crops!$D$6:$D$65,MATCH(C542,Crops!$B$6:$B$65,0))&amp;"",""))</f>
        <v/>
      </c>
      <c r="H542" s="12">
        <f>IF(OR(C542="",NOT(ISNUMBER(E542))),"",E542*N(IFERROR(INDEX(Crops!$E$6:$E$65,MATCH(C542,Crops!$B$6:$B$65,0)),0)))</f>
        <v/>
      </c>
      <c r="I542" s="11">
        <f>IF(AND(C542="",E542=""),"",IF(NOT(ISNUMBER(B542)),"Needs a date",IF(C542="","Needs a crop",IF(COUNTIF(Crops!$B$6:$B$65,C542)=0,"Not on Crops",IF(NOT(ISNUMBER(E542)),"Needs the amount",IF(AND(D542&lt;&gt;"",COUNTIF(Beds!$B$6:$B$35,D542)=0),"Not on Beds",""))))))</f>
        <v/>
      </c>
      <c r="J542" s="1">
        <f>IF(ISNUMBER(B542),YEAR(B542),"")</f>
        <v/>
      </c>
      <c r="K542">
        <f>IF(ISNUMBER(B542),YEAR(B542)*100+MONTH(B542),"")</f>
        <v/>
      </c>
      <c r="L542">
        <f>IF(ISNUMBER(B542),INT(B542),0)</f>
        <v/>
      </c>
    </row>
    <row r="543">
      <c r="A543" s="1" t="n"/>
      <c r="B543" s="17" t="n"/>
      <c r="C543" s="18" t="n"/>
      <c r="D543" s="19" t="n"/>
      <c r="E543" s="23" t="n"/>
      <c r="F543" s="21" t="n"/>
      <c r="G543" s="11">
        <f>IF(C543="","",IFERROR(INDEX(Crops!$D$6:$D$65,MATCH(C543,Crops!$B$6:$B$65,0))&amp;"",""))</f>
        <v/>
      </c>
      <c r="H543" s="12">
        <f>IF(OR(C543="",NOT(ISNUMBER(E543))),"",E543*N(IFERROR(INDEX(Crops!$E$6:$E$65,MATCH(C543,Crops!$B$6:$B$65,0)),0)))</f>
        <v/>
      </c>
      <c r="I543" s="11">
        <f>IF(AND(C543="",E543=""),"",IF(NOT(ISNUMBER(B543)),"Needs a date",IF(C543="","Needs a crop",IF(COUNTIF(Crops!$B$6:$B$65,C543)=0,"Not on Crops",IF(NOT(ISNUMBER(E543)),"Needs the amount",IF(AND(D543&lt;&gt;"",COUNTIF(Beds!$B$6:$B$35,D543)=0),"Not on Beds",""))))))</f>
        <v/>
      </c>
      <c r="J543" s="1">
        <f>IF(ISNUMBER(B543),YEAR(B543),"")</f>
        <v/>
      </c>
      <c r="K543">
        <f>IF(ISNUMBER(B543),YEAR(B543)*100+MONTH(B543),"")</f>
        <v/>
      </c>
      <c r="L543">
        <f>IF(ISNUMBER(B543),INT(B543),0)</f>
        <v/>
      </c>
    </row>
    <row r="544">
      <c r="A544" s="1" t="n"/>
      <c r="B544" s="17" t="n"/>
      <c r="C544" s="18" t="n"/>
      <c r="D544" s="19" t="n"/>
      <c r="E544" s="23" t="n"/>
      <c r="F544" s="21" t="n"/>
      <c r="G544" s="11">
        <f>IF(C544="","",IFERROR(INDEX(Crops!$D$6:$D$65,MATCH(C544,Crops!$B$6:$B$65,0))&amp;"",""))</f>
        <v/>
      </c>
      <c r="H544" s="12">
        <f>IF(OR(C544="",NOT(ISNUMBER(E544))),"",E544*N(IFERROR(INDEX(Crops!$E$6:$E$65,MATCH(C544,Crops!$B$6:$B$65,0)),0)))</f>
        <v/>
      </c>
      <c r="I544" s="11">
        <f>IF(AND(C544="",E544=""),"",IF(NOT(ISNUMBER(B544)),"Needs a date",IF(C544="","Needs a crop",IF(COUNTIF(Crops!$B$6:$B$65,C544)=0,"Not on Crops",IF(NOT(ISNUMBER(E544)),"Needs the amount",IF(AND(D544&lt;&gt;"",COUNTIF(Beds!$B$6:$B$35,D544)=0),"Not on Beds",""))))))</f>
        <v/>
      </c>
      <c r="J544" s="1">
        <f>IF(ISNUMBER(B544),YEAR(B544),"")</f>
        <v/>
      </c>
      <c r="K544">
        <f>IF(ISNUMBER(B544),YEAR(B544)*100+MONTH(B544),"")</f>
        <v/>
      </c>
      <c r="L544">
        <f>IF(ISNUMBER(B544),INT(B544),0)</f>
        <v/>
      </c>
    </row>
    <row r="545">
      <c r="A545" s="1" t="n"/>
      <c r="B545" s="17" t="n"/>
      <c r="C545" s="18" t="n"/>
      <c r="D545" s="19" t="n"/>
      <c r="E545" s="23" t="n"/>
      <c r="F545" s="21" t="n"/>
      <c r="G545" s="11">
        <f>IF(C545="","",IFERROR(INDEX(Crops!$D$6:$D$65,MATCH(C545,Crops!$B$6:$B$65,0))&amp;"",""))</f>
        <v/>
      </c>
      <c r="H545" s="12">
        <f>IF(OR(C545="",NOT(ISNUMBER(E545))),"",E545*N(IFERROR(INDEX(Crops!$E$6:$E$65,MATCH(C545,Crops!$B$6:$B$65,0)),0)))</f>
        <v/>
      </c>
      <c r="I545" s="11">
        <f>IF(AND(C545="",E545=""),"",IF(NOT(ISNUMBER(B545)),"Needs a date",IF(C545="","Needs a crop",IF(COUNTIF(Crops!$B$6:$B$65,C545)=0,"Not on Crops",IF(NOT(ISNUMBER(E545)),"Needs the amount",IF(AND(D545&lt;&gt;"",COUNTIF(Beds!$B$6:$B$35,D545)=0),"Not on Beds",""))))))</f>
        <v/>
      </c>
      <c r="J545" s="1">
        <f>IF(ISNUMBER(B545),YEAR(B545),"")</f>
        <v/>
      </c>
      <c r="K545">
        <f>IF(ISNUMBER(B545),YEAR(B545)*100+MONTH(B545),"")</f>
        <v/>
      </c>
      <c r="L545">
        <f>IF(ISNUMBER(B545),INT(B545),0)</f>
        <v/>
      </c>
    </row>
    <row r="546">
      <c r="A546" s="1" t="n"/>
      <c r="B546" s="17" t="n"/>
      <c r="C546" s="18" t="n"/>
      <c r="D546" s="19" t="n"/>
      <c r="E546" s="23" t="n"/>
      <c r="F546" s="21" t="n"/>
      <c r="G546" s="11">
        <f>IF(C546="","",IFERROR(INDEX(Crops!$D$6:$D$65,MATCH(C546,Crops!$B$6:$B$65,0))&amp;"",""))</f>
        <v/>
      </c>
      <c r="H546" s="12">
        <f>IF(OR(C546="",NOT(ISNUMBER(E546))),"",E546*N(IFERROR(INDEX(Crops!$E$6:$E$65,MATCH(C546,Crops!$B$6:$B$65,0)),0)))</f>
        <v/>
      </c>
      <c r="I546" s="11">
        <f>IF(AND(C546="",E546=""),"",IF(NOT(ISNUMBER(B546)),"Needs a date",IF(C546="","Needs a crop",IF(COUNTIF(Crops!$B$6:$B$65,C546)=0,"Not on Crops",IF(NOT(ISNUMBER(E546)),"Needs the amount",IF(AND(D546&lt;&gt;"",COUNTIF(Beds!$B$6:$B$35,D546)=0),"Not on Beds",""))))))</f>
        <v/>
      </c>
      <c r="J546" s="1">
        <f>IF(ISNUMBER(B546),YEAR(B546),"")</f>
        <v/>
      </c>
      <c r="K546">
        <f>IF(ISNUMBER(B546),YEAR(B546)*100+MONTH(B546),"")</f>
        <v/>
      </c>
      <c r="L546">
        <f>IF(ISNUMBER(B546),INT(B546),0)</f>
        <v/>
      </c>
    </row>
    <row r="547">
      <c r="A547" s="1" t="n"/>
      <c r="B547" s="17" t="n"/>
      <c r="C547" s="18" t="n"/>
      <c r="D547" s="19" t="n"/>
      <c r="E547" s="23" t="n"/>
      <c r="F547" s="21" t="n"/>
      <c r="G547" s="11">
        <f>IF(C547="","",IFERROR(INDEX(Crops!$D$6:$D$65,MATCH(C547,Crops!$B$6:$B$65,0))&amp;"",""))</f>
        <v/>
      </c>
      <c r="H547" s="12">
        <f>IF(OR(C547="",NOT(ISNUMBER(E547))),"",E547*N(IFERROR(INDEX(Crops!$E$6:$E$65,MATCH(C547,Crops!$B$6:$B$65,0)),0)))</f>
        <v/>
      </c>
      <c r="I547" s="11">
        <f>IF(AND(C547="",E547=""),"",IF(NOT(ISNUMBER(B547)),"Needs a date",IF(C547="","Needs a crop",IF(COUNTIF(Crops!$B$6:$B$65,C547)=0,"Not on Crops",IF(NOT(ISNUMBER(E547)),"Needs the amount",IF(AND(D547&lt;&gt;"",COUNTIF(Beds!$B$6:$B$35,D547)=0),"Not on Beds",""))))))</f>
        <v/>
      </c>
      <c r="J547" s="1">
        <f>IF(ISNUMBER(B547),YEAR(B547),"")</f>
        <v/>
      </c>
      <c r="K547">
        <f>IF(ISNUMBER(B547),YEAR(B547)*100+MONTH(B547),"")</f>
        <v/>
      </c>
      <c r="L547">
        <f>IF(ISNUMBER(B547),INT(B547),0)</f>
        <v/>
      </c>
    </row>
    <row r="548">
      <c r="A548" s="1" t="n"/>
      <c r="B548" s="17" t="n"/>
      <c r="C548" s="18" t="n"/>
      <c r="D548" s="19" t="n"/>
      <c r="E548" s="23" t="n"/>
      <c r="F548" s="21" t="n"/>
      <c r="G548" s="11">
        <f>IF(C548="","",IFERROR(INDEX(Crops!$D$6:$D$65,MATCH(C548,Crops!$B$6:$B$65,0))&amp;"",""))</f>
        <v/>
      </c>
      <c r="H548" s="12">
        <f>IF(OR(C548="",NOT(ISNUMBER(E548))),"",E548*N(IFERROR(INDEX(Crops!$E$6:$E$65,MATCH(C548,Crops!$B$6:$B$65,0)),0)))</f>
        <v/>
      </c>
      <c r="I548" s="11">
        <f>IF(AND(C548="",E548=""),"",IF(NOT(ISNUMBER(B548)),"Needs a date",IF(C548="","Needs a crop",IF(COUNTIF(Crops!$B$6:$B$65,C548)=0,"Not on Crops",IF(NOT(ISNUMBER(E548)),"Needs the amount",IF(AND(D548&lt;&gt;"",COUNTIF(Beds!$B$6:$B$35,D548)=0),"Not on Beds",""))))))</f>
        <v/>
      </c>
      <c r="J548" s="1">
        <f>IF(ISNUMBER(B548),YEAR(B548),"")</f>
        <v/>
      </c>
      <c r="K548">
        <f>IF(ISNUMBER(B548),YEAR(B548)*100+MONTH(B548),"")</f>
        <v/>
      </c>
      <c r="L548">
        <f>IF(ISNUMBER(B548),INT(B548),0)</f>
        <v/>
      </c>
    </row>
    <row r="549">
      <c r="A549" s="1" t="n"/>
      <c r="B549" s="17" t="n"/>
      <c r="C549" s="18" t="n"/>
      <c r="D549" s="19" t="n"/>
      <c r="E549" s="23" t="n"/>
      <c r="F549" s="21" t="n"/>
      <c r="G549" s="11">
        <f>IF(C549="","",IFERROR(INDEX(Crops!$D$6:$D$65,MATCH(C549,Crops!$B$6:$B$65,0))&amp;"",""))</f>
        <v/>
      </c>
      <c r="H549" s="12">
        <f>IF(OR(C549="",NOT(ISNUMBER(E549))),"",E549*N(IFERROR(INDEX(Crops!$E$6:$E$65,MATCH(C549,Crops!$B$6:$B$65,0)),0)))</f>
        <v/>
      </c>
      <c r="I549" s="11">
        <f>IF(AND(C549="",E549=""),"",IF(NOT(ISNUMBER(B549)),"Needs a date",IF(C549="","Needs a crop",IF(COUNTIF(Crops!$B$6:$B$65,C549)=0,"Not on Crops",IF(NOT(ISNUMBER(E549)),"Needs the amount",IF(AND(D549&lt;&gt;"",COUNTIF(Beds!$B$6:$B$35,D549)=0),"Not on Beds",""))))))</f>
        <v/>
      </c>
      <c r="J549" s="1">
        <f>IF(ISNUMBER(B549),YEAR(B549),"")</f>
        <v/>
      </c>
      <c r="K549">
        <f>IF(ISNUMBER(B549),YEAR(B549)*100+MONTH(B549),"")</f>
        <v/>
      </c>
      <c r="L549">
        <f>IF(ISNUMBER(B549),INT(B549),0)</f>
        <v/>
      </c>
    </row>
    <row r="550">
      <c r="A550" s="1" t="n"/>
      <c r="B550" s="17" t="n"/>
      <c r="C550" s="18" t="n"/>
      <c r="D550" s="19" t="n"/>
      <c r="E550" s="23" t="n"/>
      <c r="F550" s="21" t="n"/>
      <c r="G550" s="11">
        <f>IF(C550="","",IFERROR(INDEX(Crops!$D$6:$D$65,MATCH(C550,Crops!$B$6:$B$65,0))&amp;"",""))</f>
        <v/>
      </c>
      <c r="H550" s="12">
        <f>IF(OR(C550="",NOT(ISNUMBER(E550))),"",E550*N(IFERROR(INDEX(Crops!$E$6:$E$65,MATCH(C550,Crops!$B$6:$B$65,0)),0)))</f>
        <v/>
      </c>
      <c r="I550" s="11">
        <f>IF(AND(C550="",E550=""),"",IF(NOT(ISNUMBER(B550)),"Needs a date",IF(C550="","Needs a crop",IF(COUNTIF(Crops!$B$6:$B$65,C550)=0,"Not on Crops",IF(NOT(ISNUMBER(E550)),"Needs the amount",IF(AND(D550&lt;&gt;"",COUNTIF(Beds!$B$6:$B$35,D550)=0),"Not on Beds",""))))))</f>
        <v/>
      </c>
      <c r="J550" s="1">
        <f>IF(ISNUMBER(B550),YEAR(B550),"")</f>
        <v/>
      </c>
      <c r="K550">
        <f>IF(ISNUMBER(B550),YEAR(B550)*100+MONTH(B550),"")</f>
        <v/>
      </c>
      <c r="L550">
        <f>IF(ISNUMBER(B550),INT(B550),0)</f>
        <v/>
      </c>
    </row>
    <row r="551">
      <c r="A551" s="1" t="n"/>
      <c r="B551" s="17" t="n"/>
      <c r="C551" s="18" t="n"/>
      <c r="D551" s="19" t="n"/>
      <c r="E551" s="23" t="n"/>
      <c r="F551" s="21" t="n"/>
      <c r="G551" s="11">
        <f>IF(C551="","",IFERROR(INDEX(Crops!$D$6:$D$65,MATCH(C551,Crops!$B$6:$B$65,0))&amp;"",""))</f>
        <v/>
      </c>
      <c r="H551" s="12">
        <f>IF(OR(C551="",NOT(ISNUMBER(E551))),"",E551*N(IFERROR(INDEX(Crops!$E$6:$E$65,MATCH(C551,Crops!$B$6:$B$65,0)),0)))</f>
        <v/>
      </c>
      <c r="I551" s="11">
        <f>IF(AND(C551="",E551=""),"",IF(NOT(ISNUMBER(B551)),"Needs a date",IF(C551="","Needs a crop",IF(COUNTIF(Crops!$B$6:$B$65,C551)=0,"Not on Crops",IF(NOT(ISNUMBER(E551)),"Needs the amount",IF(AND(D551&lt;&gt;"",COUNTIF(Beds!$B$6:$B$35,D551)=0),"Not on Beds",""))))))</f>
        <v/>
      </c>
      <c r="J551" s="1">
        <f>IF(ISNUMBER(B551),YEAR(B551),"")</f>
        <v/>
      </c>
      <c r="K551">
        <f>IF(ISNUMBER(B551),YEAR(B551)*100+MONTH(B551),"")</f>
        <v/>
      </c>
      <c r="L551">
        <f>IF(ISNUMBER(B551),INT(B551),0)</f>
        <v/>
      </c>
    </row>
    <row r="552">
      <c r="A552" s="1" t="n"/>
      <c r="B552" s="17" t="n"/>
      <c r="C552" s="18" t="n"/>
      <c r="D552" s="19" t="n"/>
      <c r="E552" s="23" t="n"/>
      <c r="F552" s="21" t="n"/>
      <c r="G552" s="11">
        <f>IF(C552="","",IFERROR(INDEX(Crops!$D$6:$D$65,MATCH(C552,Crops!$B$6:$B$65,0))&amp;"",""))</f>
        <v/>
      </c>
      <c r="H552" s="12">
        <f>IF(OR(C552="",NOT(ISNUMBER(E552))),"",E552*N(IFERROR(INDEX(Crops!$E$6:$E$65,MATCH(C552,Crops!$B$6:$B$65,0)),0)))</f>
        <v/>
      </c>
      <c r="I552" s="11">
        <f>IF(AND(C552="",E552=""),"",IF(NOT(ISNUMBER(B552)),"Needs a date",IF(C552="","Needs a crop",IF(COUNTIF(Crops!$B$6:$B$65,C552)=0,"Not on Crops",IF(NOT(ISNUMBER(E552)),"Needs the amount",IF(AND(D552&lt;&gt;"",COUNTIF(Beds!$B$6:$B$35,D552)=0),"Not on Beds",""))))))</f>
        <v/>
      </c>
      <c r="J552" s="1">
        <f>IF(ISNUMBER(B552),YEAR(B552),"")</f>
        <v/>
      </c>
      <c r="K552">
        <f>IF(ISNUMBER(B552),YEAR(B552)*100+MONTH(B552),"")</f>
        <v/>
      </c>
      <c r="L552">
        <f>IF(ISNUMBER(B552),INT(B552),0)</f>
        <v/>
      </c>
    </row>
    <row r="553">
      <c r="A553" s="1" t="n"/>
      <c r="B553" s="17" t="n"/>
      <c r="C553" s="18" t="n"/>
      <c r="D553" s="19" t="n"/>
      <c r="E553" s="23" t="n"/>
      <c r="F553" s="21" t="n"/>
      <c r="G553" s="11">
        <f>IF(C553="","",IFERROR(INDEX(Crops!$D$6:$D$65,MATCH(C553,Crops!$B$6:$B$65,0))&amp;"",""))</f>
        <v/>
      </c>
      <c r="H553" s="12">
        <f>IF(OR(C553="",NOT(ISNUMBER(E553))),"",E553*N(IFERROR(INDEX(Crops!$E$6:$E$65,MATCH(C553,Crops!$B$6:$B$65,0)),0)))</f>
        <v/>
      </c>
      <c r="I553" s="11">
        <f>IF(AND(C553="",E553=""),"",IF(NOT(ISNUMBER(B553)),"Needs a date",IF(C553="","Needs a crop",IF(COUNTIF(Crops!$B$6:$B$65,C553)=0,"Not on Crops",IF(NOT(ISNUMBER(E553)),"Needs the amount",IF(AND(D553&lt;&gt;"",COUNTIF(Beds!$B$6:$B$35,D553)=0),"Not on Beds",""))))))</f>
        <v/>
      </c>
      <c r="J553" s="1">
        <f>IF(ISNUMBER(B553),YEAR(B553),"")</f>
        <v/>
      </c>
      <c r="K553">
        <f>IF(ISNUMBER(B553),YEAR(B553)*100+MONTH(B553),"")</f>
        <v/>
      </c>
      <c r="L553">
        <f>IF(ISNUMBER(B553),INT(B553),0)</f>
        <v/>
      </c>
    </row>
    <row r="554">
      <c r="A554" s="1" t="n"/>
      <c r="B554" s="17" t="n"/>
      <c r="C554" s="18" t="n"/>
      <c r="D554" s="19" t="n"/>
      <c r="E554" s="23" t="n"/>
      <c r="F554" s="21" t="n"/>
      <c r="G554" s="11">
        <f>IF(C554="","",IFERROR(INDEX(Crops!$D$6:$D$65,MATCH(C554,Crops!$B$6:$B$65,0))&amp;"",""))</f>
        <v/>
      </c>
      <c r="H554" s="12">
        <f>IF(OR(C554="",NOT(ISNUMBER(E554))),"",E554*N(IFERROR(INDEX(Crops!$E$6:$E$65,MATCH(C554,Crops!$B$6:$B$65,0)),0)))</f>
        <v/>
      </c>
      <c r="I554" s="11">
        <f>IF(AND(C554="",E554=""),"",IF(NOT(ISNUMBER(B554)),"Needs a date",IF(C554="","Needs a crop",IF(COUNTIF(Crops!$B$6:$B$65,C554)=0,"Not on Crops",IF(NOT(ISNUMBER(E554)),"Needs the amount",IF(AND(D554&lt;&gt;"",COUNTIF(Beds!$B$6:$B$35,D554)=0),"Not on Beds",""))))))</f>
        <v/>
      </c>
      <c r="J554" s="1">
        <f>IF(ISNUMBER(B554),YEAR(B554),"")</f>
        <v/>
      </c>
      <c r="K554">
        <f>IF(ISNUMBER(B554),YEAR(B554)*100+MONTH(B554),"")</f>
        <v/>
      </c>
      <c r="L554">
        <f>IF(ISNUMBER(B554),INT(B554),0)</f>
        <v/>
      </c>
    </row>
    <row r="555">
      <c r="A555" s="1" t="n"/>
      <c r="B555" s="17" t="n"/>
      <c r="C555" s="18" t="n"/>
      <c r="D555" s="19" t="n"/>
      <c r="E555" s="23" t="n"/>
      <c r="F555" s="21" t="n"/>
      <c r="G555" s="11">
        <f>IF(C555="","",IFERROR(INDEX(Crops!$D$6:$D$65,MATCH(C555,Crops!$B$6:$B$65,0))&amp;"",""))</f>
        <v/>
      </c>
      <c r="H555" s="12">
        <f>IF(OR(C555="",NOT(ISNUMBER(E555))),"",E555*N(IFERROR(INDEX(Crops!$E$6:$E$65,MATCH(C555,Crops!$B$6:$B$65,0)),0)))</f>
        <v/>
      </c>
      <c r="I555" s="11">
        <f>IF(AND(C555="",E555=""),"",IF(NOT(ISNUMBER(B555)),"Needs a date",IF(C555="","Needs a crop",IF(COUNTIF(Crops!$B$6:$B$65,C555)=0,"Not on Crops",IF(NOT(ISNUMBER(E555)),"Needs the amount",IF(AND(D555&lt;&gt;"",COUNTIF(Beds!$B$6:$B$35,D555)=0),"Not on Beds",""))))))</f>
        <v/>
      </c>
      <c r="J555" s="1">
        <f>IF(ISNUMBER(B555),YEAR(B555),"")</f>
        <v/>
      </c>
      <c r="K555">
        <f>IF(ISNUMBER(B555),YEAR(B555)*100+MONTH(B555),"")</f>
        <v/>
      </c>
      <c r="L555">
        <f>IF(ISNUMBER(B555),INT(B555),0)</f>
        <v/>
      </c>
    </row>
    <row r="556">
      <c r="A556" s="1" t="n"/>
      <c r="B556" s="17" t="n"/>
      <c r="C556" s="18" t="n"/>
      <c r="D556" s="19" t="n"/>
      <c r="E556" s="23" t="n"/>
      <c r="F556" s="21" t="n"/>
      <c r="G556" s="11">
        <f>IF(C556="","",IFERROR(INDEX(Crops!$D$6:$D$65,MATCH(C556,Crops!$B$6:$B$65,0))&amp;"",""))</f>
        <v/>
      </c>
      <c r="H556" s="12">
        <f>IF(OR(C556="",NOT(ISNUMBER(E556))),"",E556*N(IFERROR(INDEX(Crops!$E$6:$E$65,MATCH(C556,Crops!$B$6:$B$65,0)),0)))</f>
        <v/>
      </c>
      <c r="I556" s="11">
        <f>IF(AND(C556="",E556=""),"",IF(NOT(ISNUMBER(B556)),"Needs a date",IF(C556="","Needs a crop",IF(COUNTIF(Crops!$B$6:$B$65,C556)=0,"Not on Crops",IF(NOT(ISNUMBER(E556)),"Needs the amount",IF(AND(D556&lt;&gt;"",COUNTIF(Beds!$B$6:$B$35,D556)=0),"Not on Beds",""))))))</f>
        <v/>
      </c>
      <c r="J556" s="1">
        <f>IF(ISNUMBER(B556),YEAR(B556),"")</f>
        <v/>
      </c>
      <c r="K556">
        <f>IF(ISNUMBER(B556),YEAR(B556)*100+MONTH(B556),"")</f>
        <v/>
      </c>
      <c r="L556">
        <f>IF(ISNUMBER(B556),INT(B556),0)</f>
        <v/>
      </c>
    </row>
    <row r="557">
      <c r="A557" s="1" t="n"/>
      <c r="B557" s="17" t="n"/>
      <c r="C557" s="18" t="n"/>
      <c r="D557" s="19" t="n"/>
      <c r="E557" s="23" t="n"/>
      <c r="F557" s="21" t="n"/>
      <c r="G557" s="11">
        <f>IF(C557="","",IFERROR(INDEX(Crops!$D$6:$D$65,MATCH(C557,Crops!$B$6:$B$65,0))&amp;"",""))</f>
        <v/>
      </c>
      <c r="H557" s="12">
        <f>IF(OR(C557="",NOT(ISNUMBER(E557))),"",E557*N(IFERROR(INDEX(Crops!$E$6:$E$65,MATCH(C557,Crops!$B$6:$B$65,0)),0)))</f>
        <v/>
      </c>
      <c r="I557" s="11">
        <f>IF(AND(C557="",E557=""),"",IF(NOT(ISNUMBER(B557)),"Needs a date",IF(C557="","Needs a crop",IF(COUNTIF(Crops!$B$6:$B$65,C557)=0,"Not on Crops",IF(NOT(ISNUMBER(E557)),"Needs the amount",IF(AND(D557&lt;&gt;"",COUNTIF(Beds!$B$6:$B$35,D557)=0),"Not on Beds",""))))))</f>
        <v/>
      </c>
      <c r="J557" s="1">
        <f>IF(ISNUMBER(B557),YEAR(B557),"")</f>
        <v/>
      </c>
      <c r="K557">
        <f>IF(ISNUMBER(B557),YEAR(B557)*100+MONTH(B557),"")</f>
        <v/>
      </c>
      <c r="L557">
        <f>IF(ISNUMBER(B557),INT(B557),0)</f>
        <v/>
      </c>
    </row>
    <row r="558">
      <c r="A558" s="1" t="n"/>
      <c r="B558" s="17" t="n"/>
      <c r="C558" s="18" t="n"/>
      <c r="D558" s="19" t="n"/>
      <c r="E558" s="23" t="n"/>
      <c r="F558" s="21" t="n"/>
      <c r="G558" s="11">
        <f>IF(C558="","",IFERROR(INDEX(Crops!$D$6:$D$65,MATCH(C558,Crops!$B$6:$B$65,0))&amp;"",""))</f>
        <v/>
      </c>
      <c r="H558" s="12">
        <f>IF(OR(C558="",NOT(ISNUMBER(E558))),"",E558*N(IFERROR(INDEX(Crops!$E$6:$E$65,MATCH(C558,Crops!$B$6:$B$65,0)),0)))</f>
        <v/>
      </c>
      <c r="I558" s="11">
        <f>IF(AND(C558="",E558=""),"",IF(NOT(ISNUMBER(B558)),"Needs a date",IF(C558="","Needs a crop",IF(COUNTIF(Crops!$B$6:$B$65,C558)=0,"Not on Crops",IF(NOT(ISNUMBER(E558)),"Needs the amount",IF(AND(D558&lt;&gt;"",COUNTIF(Beds!$B$6:$B$35,D558)=0),"Not on Beds",""))))))</f>
        <v/>
      </c>
      <c r="J558" s="1">
        <f>IF(ISNUMBER(B558),YEAR(B558),"")</f>
        <v/>
      </c>
      <c r="K558">
        <f>IF(ISNUMBER(B558),YEAR(B558)*100+MONTH(B558),"")</f>
        <v/>
      </c>
      <c r="L558">
        <f>IF(ISNUMBER(B558),INT(B558),0)</f>
        <v/>
      </c>
    </row>
    <row r="559">
      <c r="A559" s="1" t="n"/>
      <c r="B559" s="17" t="n"/>
      <c r="C559" s="18" t="n"/>
      <c r="D559" s="19" t="n"/>
      <c r="E559" s="23" t="n"/>
      <c r="F559" s="21" t="n"/>
      <c r="G559" s="11">
        <f>IF(C559="","",IFERROR(INDEX(Crops!$D$6:$D$65,MATCH(C559,Crops!$B$6:$B$65,0))&amp;"",""))</f>
        <v/>
      </c>
      <c r="H559" s="12">
        <f>IF(OR(C559="",NOT(ISNUMBER(E559))),"",E559*N(IFERROR(INDEX(Crops!$E$6:$E$65,MATCH(C559,Crops!$B$6:$B$65,0)),0)))</f>
        <v/>
      </c>
      <c r="I559" s="11">
        <f>IF(AND(C559="",E559=""),"",IF(NOT(ISNUMBER(B559)),"Needs a date",IF(C559="","Needs a crop",IF(COUNTIF(Crops!$B$6:$B$65,C559)=0,"Not on Crops",IF(NOT(ISNUMBER(E559)),"Needs the amount",IF(AND(D559&lt;&gt;"",COUNTIF(Beds!$B$6:$B$35,D559)=0),"Not on Beds",""))))))</f>
        <v/>
      </c>
      <c r="J559" s="1">
        <f>IF(ISNUMBER(B559),YEAR(B559),"")</f>
        <v/>
      </c>
      <c r="K559">
        <f>IF(ISNUMBER(B559),YEAR(B559)*100+MONTH(B559),"")</f>
        <v/>
      </c>
      <c r="L559">
        <f>IF(ISNUMBER(B559),INT(B559),0)</f>
        <v/>
      </c>
    </row>
    <row r="560">
      <c r="A560" s="1" t="n"/>
      <c r="B560" s="17" t="n"/>
      <c r="C560" s="18" t="n"/>
      <c r="D560" s="19" t="n"/>
      <c r="E560" s="23" t="n"/>
      <c r="F560" s="21" t="n"/>
      <c r="G560" s="11">
        <f>IF(C560="","",IFERROR(INDEX(Crops!$D$6:$D$65,MATCH(C560,Crops!$B$6:$B$65,0))&amp;"",""))</f>
        <v/>
      </c>
      <c r="H560" s="12">
        <f>IF(OR(C560="",NOT(ISNUMBER(E560))),"",E560*N(IFERROR(INDEX(Crops!$E$6:$E$65,MATCH(C560,Crops!$B$6:$B$65,0)),0)))</f>
        <v/>
      </c>
      <c r="I560" s="11">
        <f>IF(AND(C560="",E560=""),"",IF(NOT(ISNUMBER(B560)),"Needs a date",IF(C560="","Needs a crop",IF(COUNTIF(Crops!$B$6:$B$65,C560)=0,"Not on Crops",IF(NOT(ISNUMBER(E560)),"Needs the amount",IF(AND(D560&lt;&gt;"",COUNTIF(Beds!$B$6:$B$35,D560)=0),"Not on Beds",""))))))</f>
        <v/>
      </c>
      <c r="J560" s="1">
        <f>IF(ISNUMBER(B560),YEAR(B560),"")</f>
        <v/>
      </c>
      <c r="K560">
        <f>IF(ISNUMBER(B560),YEAR(B560)*100+MONTH(B560),"")</f>
        <v/>
      </c>
      <c r="L560">
        <f>IF(ISNUMBER(B560),INT(B560),0)</f>
        <v/>
      </c>
    </row>
    <row r="561">
      <c r="A561" s="1" t="n"/>
      <c r="B561" s="17" t="n"/>
      <c r="C561" s="18" t="n"/>
      <c r="D561" s="19" t="n"/>
      <c r="E561" s="23" t="n"/>
      <c r="F561" s="21" t="n"/>
      <c r="G561" s="11">
        <f>IF(C561="","",IFERROR(INDEX(Crops!$D$6:$D$65,MATCH(C561,Crops!$B$6:$B$65,0))&amp;"",""))</f>
        <v/>
      </c>
      <c r="H561" s="12">
        <f>IF(OR(C561="",NOT(ISNUMBER(E561))),"",E561*N(IFERROR(INDEX(Crops!$E$6:$E$65,MATCH(C561,Crops!$B$6:$B$65,0)),0)))</f>
        <v/>
      </c>
      <c r="I561" s="11">
        <f>IF(AND(C561="",E561=""),"",IF(NOT(ISNUMBER(B561)),"Needs a date",IF(C561="","Needs a crop",IF(COUNTIF(Crops!$B$6:$B$65,C561)=0,"Not on Crops",IF(NOT(ISNUMBER(E561)),"Needs the amount",IF(AND(D561&lt;&gt;"",COUNTIF(Beds!$B$6:$B$35,D561)=0),"Not on Beds",""))))))</f>
        <v/>
      </c>
      <c r="J561" s="1">
        <f>IF(ISNUMBER(B561),YEAR(B561),"")</f>
        <v/>
      </c>
      <c r="K561">
        <f>IF(ISNUMBER(B561),YEAR(B561)*100+MONTH(B561),"")</f>
        <v/>
      </c>
      <c r="L561">
        <f>IF(ISNUMBER(B561),INT(B561),0)</f>
        <v/>
      </c>
    </row>
    <row r="562">
      <c r="A562" s="1" t="n"/>
      <c r="B562" s="17" t="n"/>
      <c r="C562" s="18" t="n"/>
      <c r="D562" s="19" t="n"/>
      <c r="E562" s="23" t="n"/>
      <c r="F562" s="21" t="n"/>
      <c r="G562" s="11">
        <f>IF(C562="","",IFERROR(INDEX(Crops!$D$6:$D$65,MATCH(C562,Crops!$B$6:$B$65,0))&amp;"",""))</f>
        <v/>
      </c>
      <c r="H562" s="12">
        <f>IF(OR(C562="",NOT(ISNUMBER(E562))),"",E562*N(IFERROR(INDEX(Crops!$E$6:$E$65,MATCH(C562,Crops!$B$6:$B$65,0)),0)))</f>
        <v/>
      </c>
      <c r="I562" s="11">
        <f>IF(AND(C562="",E562=""),"",IF(NOT(ISNUMBER(B562)),"Needs a date",IF(C562="","Needs a crop",IF(COUNTIF(Crops!$B$6:$B$65,C562)=0,"Not on Crops",IF(NOT(ISNUMBER(E562)),"Needs the amount",IF(AND(D562&lt;&gt;"",COUNTIF(Beds!$B$6:$B$35,D562)=0),"Not on Beds",""))))))</f>
        <v/>
      </c>
      <c r="J562" s="1">
        <f>IF(ISNUMBER(B562),YEAR(B562),"")</f>
        <v/>
      </c>
      <c r="K562">
        <f>IF(ISNUMBER(B562),YEAR(B562)*100+MONTH(B562),"")</f>
        <v/>
      </c>
      <c r="L562">
        <f>IF(ISNUMBER(B562),INT(B562),0)</f>
        <v/>
      </c>
    </row>
    <row r="563">
      <c r="A563" s="1" t="n"/>
      <c r="B563" s="17" t="n"/>
      <c r="C563" s="18" t="n"/>
      <c r="D563" s="19" t="n"/>
      <c r="E563" s="23" t="n"/>
      <c r="F563" s="21" t="n"/>
      <c r="G563" s="11">
        <f>IF(C563="","",IFERROR(INDEX(Crops!$D$6:$D$65,MATCH(C563,Crops!$B$6:$B$65,0))&amp;"",""))</f>
        <v/>
      </c>
      <c r="H563" s="12">
        <f>IF(OR(C563="",NOT(ISNUMBER(E563))),"",E563*N(IFERROR(INDEX(Crops!$E$6:$E$65,MATCH(C563,Crops!$B$6:$B$65,0)),0)))</f>
        <v/>
      </c>
      <c r="I563" s="11">
        <f>IF(AND(C563="",E563=""),"",IF(NOT(ISNUMBER(B563)),"Needs a date",IF(C563="","Needs a crop",IF(COUNTIF(Crops!$B$6:$B$65,C563)=0,"Not on Crops",IF(NOT(ISNUMBER(E563)),"Needs the amount",IF(AND(D563&lt;&gt;"",COUNTIF(Beds!$B$6:$B$35,D563)=0),"Not on Beds",""))))))</f>
        <v/>
      </c>
      <c r="J563" s="1">
        <f>IF(ISNUMBER(B563),YEAR(B563),"")</f>
        <v/>
      </c>
      <c r="K563">
        <f>IF(ISNUMBER(B563),YEAR(B563)*100+MONTH(B563),"")</f>
        <v/>
      </c>
      <c r="L563">
        <f>IF(ISNUMBER(B563),INT(B563),0)</f>
        <v/>
      </c>
    </row>
    <row r="564">
      <c r="A564" s="1" t="n"/>
      <c r="B564" s="17" t="n"/>
      <c r="C564" s="18" t="n"/>
      <c r="D564" s="19" t="n"/>
      <c r="E564" s="23" t="n"/>
      <c r="F564" s="21" t="n"/>
      <c r="G564" s="11">
        <f>IF(C564="","",IFERROR(INDEX(Crops!$D$6:$D$65,MATCH(C564,Crops!$B$6:$B$65,0))&amp;"",""))</f>
        <v/>
      </c>
      <c r="H564" s="12">
        <f>IF(OR(C564="",NOT(ISNUMBER(E564))),"",E564*N(IFERROR(INDEX(Crops!$E$6:$E$65,MATCH(C564,Crops!$B$6:$B$65,0)),0)))</f>
        <v/>
      </c>
      <c r="I564" s="11">
        <f>IF(AND(C564="",E564=""),"",IF(NOT(ISNUMBER(B564)),"Needs a date",IF(C564="","Needs a crop",IF(COUNTIF(Crops!$B$6:$B$65,C564)=0,"Not on Crops",IF(NOT(ISNUMBER(E564)),"Needs the amount",IF(AND(D564&lt;&gt;"",COUNTIF(Beds!$B$6:$B$35,D564)=0),"Not on Beds",""))))))</f>
        <v/>
      </c>
      <c r="J564" s="1">
        <f>IF(ISNUMBER(B564),YEAR(B564),"")</f>
        <v/>
      </c>
      <c r="K564">
        <f>IF(ISNUMBER(B564),YEAR(B564)*100+MONTH(B564),"")</f>
        <v/>
      </c>
      <c r="L564">
        <f>IF(ISNUMBER(B564),INT(B564),0)</f>
        <v/>
      </c>
    </row>
    <row r="565">
      <c r="A565" s="1" t="n"/>
      <c r="B565" s="17" t="n"/>
      <c r="C565" s="18" t="n"/>
      <c r="D565" s="19" t="n"/>
      <c r="E565" s="23" t="n"/>
      <c r="F565" s="21" t="n"/>
      <c r="G565" s="11">
        <f>IF(C565="","",IFERROR(INDEX(Crops!$D$6:$D$65,MATCH(C565,Crops!$B$6:$B$65,0))&amp;"",""))</f>
        <v/>
      </c>
      <c r="H565" s="12">
        <f>IF(OR(C565="",NOT(ISNUMBER(E565))),"",E565*N(IFERROR(INDEX(Crops!$E$6:$E$65,MATCH(C565,Crops!$B$6:$B$65,0)),0)))</f>
        <v/>
      </c>
      <c r="I565" s="11">
        <f>IF(AND(C565="",E565=""),"",IF(NOT(ISNUMBER(B565)),"Needs a date",IF(C565="","Needs a crop",IF(COUNTIF(Crops!$B$6:$B$65,C565)=0,"Not on Crops",IF(NOT(ISNUMBER(E565)),"Needs the amount",IF(AND(D565&lt;&gt;"",COUNTIF(Beds!$B$6:$B$35,D565)=0),"Not on Beds",""))))))</f>
        <v/>
      </c>
      <c r="J565" s="1">
        <f>IF(ISNUMBER(B565),YEAR(B565),"")</f>
        <v/>
      </c>
      <c r="K565">
        <f>IF(ISNUMBER(B565),YEAR(B565)*100+MONTH(B565),"")</f>
        <v/>
      </c>
      <c r="L565">
        <f>IF(ISNUMBER(B565),INT(B565),0)</f>
        <v/>
      </c>
    </row>
    <row r="566">
      <c r="A566" s="1" t="n"/>
      <c r="B566" s="17" t="n"/>
      <c r="C566" s="18" t="n"/>
      <c r="D566" s="19" t="n"/>
      <c r="E566" s="23" t="n"/>
      <c r="F566" s="21" t="n"/>
      <c r="G566" s="11">
        <f>IF(C566="","",IFERROR(INDEX(Crops!$D$6:$D$65,MATCH(C566,Crops!$B$6:$B$65,0))&amp;"",""))</f>
        <v/>
      </c>
      <c r="H566" s="12">
        <f>IF(OR(C566="",NOT(ISNUMBER(E566))),"",E566*N(IFERROR(INDEX(Crops!$E$6:$E$65,MATCH(C566,Crops!$B$6:$B$65,0)),0)))</f>
        <v/>
      </c>
      <c r="I566" s="11">
        <f>IF(AND(C566="",E566=""),"",IF(NOT(ISNUMBER(B566)),"Needs a date",IF(C566="","Needs a crop",IF(COUNTIF(Crops!$B$6:$B$65,C566)=0,"Not on Crops",IF(NOT(ISNUMBER(E566)),"Needs the amount",IF(AND(D566&lt;&gt;"",COUNTIF(Beds!$B$6:$B$35,D566)=0),"Not on Beds",""))))))</f>
        <v/>
      </c>
      <c r="J566" s="1">
        <f>IF(ISNUMBER(B566),YEAR(B566),"")</f>
        <v/>
      </c>
      <c r="K566">
        <f>IF(ISNUMBER(B566),YEAR(B566)*100+MONTH(B566),"")</f>
        <v/>
      </c>
      <c r="L566">
        <f>IF(ISNUMBER(B566),INT(B566),0)</f>
        <v/>
      </c>
    </row>
    <row r="567">
      <c r="A567" s="1" t="n"/>
      <c r="B567" s="17" t="n"/>
      <c r="C567" s="18" t="n"/>
      <c r="D567" s="19" t="n"/>
      <c r="E567" s="23" t="n"/>
      <c r="F567" s="21" t="n"/>
      <c r="G567" s="11">
        <f>IF(C567="","",IFERROR(INDEX(Crops!$D$6:$D$65,MATCH(C567,Crops!$B$6:$B$65,0))&amp;"",""))</f>
        <v/>
      </c>
      <c r="H567" s="12">
        <f>IF(OR(C567="",NOT(ISNUMBER(E567))),"",E567*N(IFERROR(INDEX(Crops!$E$6:$E$65,MATCH(C567,Crops!$B$6:$B$65,0)),0)))</f>
        <v/>
      </c>
      <c r="I567" s="11">
        <f>IF(AND(C567="",E567=""),"",IF(NOT(ISNUMBER(B567)),"Needs a date",IF(C567="","Needs a crop",IF(COUNTIF(Crops!$B$6:$B$65,C567)=0,"Not on Crops",IF(NOT(ISNUMBER(E567)),"Needs the amount",IF(AND(D567&lt;&gt;"",COUNTIF(Beds!$B$6:$B$35,D567)=0),"Not on Beds",""))))))</f>
        <v/>
      </c>
      <c r="J567" s="1">
        <f>IF(ISNUMBER(B567),YEAR(B567),"")</f>
        <v/>
      </c>
      <c r="K567">
        <f>IF(ISNUMBER(B567),YEAR(B567)*100+MONTH(B567),"")</f>
        <v/>
      </c>
      <c r="L567">
        <f>IF(ISNUMBER(B567),INT(B567),0)</f>
        <v/>
      </c>
    </row>
    <row r="568">
      <c r="A568" s="1" t="n"/>
      <c r="B568" s="17" t="n"/>
      <c r="C568" s="18" t="n"/>
      <c r="D568" s="19" t="n"/>
      <c r="E568" s="23" t="n"/>
      <c r="F568" s="21" t="n"/>
      <c r="G568" s="11">
        <f>IF(C568="","",IFERROR(INDEX(Crops!$D$6:$D$65,MATCH(C568,Crops!$B$6:$B$65,0))&amp;"",""))</f>
        <v/>
      </c>
      <c r="H568" s="12">
        <f>IF(OR(C568="",NOT(ISNUMBER(E568))),"",E568*N(IFERROR(INDEX(Crops!$E$6:$E$65,MATCH(C568,Crops!$B$6:$B$65,0)),0)))</f>
        <v/>
      </c>
      <c r="I568" s="11">
        <f>IF(AND(C568="",E568=""),"",IF(NOT(ISNUMBER(B568)),"Needs a date",IF(C568="","Needs a crop",IF(COUNTIF(Crops!$B$6:$B$65,C568)=0,"Not on Crops",IF(NOT(ISNUMBER(E568)),"Needs the amount",IF(AND(D568&lt;&gt;"",COUNTIF(Beds!$B$6:$B$35,D568)=0),"Not on Beds",""))))))</f>
        <v/>
      </c>
      <c r="J568" s="1">
        <f>IF(ISNUMBER(B568),YEAR(B568),"")</f>
        <v/>
      </c>
      <c r="K568">
        <f>IF(ISNUMBER(B568),YEAR(B568)*100+MONTH(B568),"")</f>
        <v/>
      </c>
      <c r="L568">
        <f>IF(ISNUMBER(B568),INT(B568),0)</f>
        <v/>
      </c>
    </row>
    <row r="569">
      <c r="A569" s="1" t="n"/>
      <c r="B569" s="17" t="n"/>
      <c r="C569" s="18" t="n"/>
      <c r="D569" s="19" t="n"/>
      <c r="E569" s="23" t="n"/>
      <c r="F569" s="21" t="n"/>
      <c r="G569" s="11">
        <f>IF(C569="","",IFERROR(INDEX(Crops!$D$6:$D$65,MATCH(C569,Crops!$B$6:$B$65,0))&amp;"",""))</f>
        <v/>
      </c>
      <c r="H569" s="12">
        <f>IF(OR(C569="",NOT(ISNUMBER(E569))),"",E569*N(IFERROR(INDEX(Crops!$E$6:$E$65,MATCH(C569,Crops!$B$6:$B$65,0)),0)))</f>
        <v/>
      </c>
      <c r="I569" s="11">
        <f>IF(AND(C569="",E569=""),"",IF(NOT(ISNUMBER(B569)),"Needs a date",IF(C569="","Needs a crop",IF(COUNTIF(Crops!$B$6:$B$65,C569)=0,"Not on Crops",IF(NOT(ISNUMBER(E569)),"Needs the amount",IF(AND(D569&lt;&gt;"",COUNTIF(Beds!$B$6:$B$35,D569)=0),"Not on Beds",""))))))</f>
        <v/>
      </c>
      <c r="J569" s="1">
        <f>IF(ISNUMBER(B569),YEAR(B569),"")</f>
        <v/>
      </c>
      <c r="K569">
        <f>IF(ISNUMBER(B569),YEAR(B569)*100+MONTH(B569),"")</f>
        <v/>
      </c>
      <c r="L569">
        <f>IF(ISNUMBER(B569),INT(B569),0)</f>
        <v/>
      </c>
    </row>
    <row r="570">
      <c r="A570" s="1" t="n"/>
      <c r="B570" s="17" t="n"/>
      <c r="C570" s="18" t="n"/>
      <c r="D570" s="19" t="n"/>
      <c r="E570" s="23" t="n"/>
      <c r="F570" s="21" t="n"/>
      <c r="G570" s="11">
        <f>IF(C570="","",IFERROR(INDEX(Crops!$D$6:$D$65,MATCH(C570,Crops!$B$6:$B$65,0))&amp;"",""))</f>
        <v/>
      </c>
      <c r="H570" s="12">
        <f>IF(OR(C570="",NOT(ISNUMBER(E570))),"",E570*N(IFERROR(INDEX(Crops!$E$6:$E$65,MATCH(C570,Crops!$B$6:$B$65,0)),0)))</f>
        <v/>
      </c>
      <c r="I570" s="11">
        <f>IF(AND(C570="",E570=""),"",IF(NOT(ISNUMBER(B570)),"Needs a date",IF(C570="","Needs a crop",IF(COUNTIF(Crops!$B$6:$B$65,C570)=0,"Not on Crops",IF(NOT(ISNUMBER(E570)),"Needs the amount",IF(AND(D570&lt;&gt;"",COUNTIF(Beds!$B$6:$B$35,D570)=0),"Not on Beds",""))))))</f>
        <v/>
      </c>
      <c r="J570" s="1">
        <f>IF(ISNUMBER(B570),YEAR(B570),"")</f>
        <v/>
      </c>
      <c r="K570">
        <f>IF(ISNUMBER(B570),YEAR(B570)*100+MONTH(B570),"")</f>
        <v/>
      </c>
      <c r="L570">
        <f>IF(ISNUMBER(B570),INT(B570),0)</f>
        <v/>
      </c>
    </row>
    <row r="571">
      <c r="A571" s="1" t="n"/>
      <c r="B571" s="17" t="n"/>
      <c r="C571" s="18" t="n"/>
      <c r="D571" s="19" t="n"/>
      <c r="E571" s="23" t="n"/>
      <c r="F571" s="21" t="n"/>
      <c r="G571" s="11">
        <f>IF(C571="","",IFERROR(INDEX(Crops!$D$6:$D$65,MATCH(C571,Crops!$B$6:$B$65,0))&amp;"",""))</f>
        <v/>
      </c>
      <c r="H571" s="12">
        <f>IF(OR(C571="",NOT(ISNUMBER(E571))),"",E571*N(IFERROR(INDEX(Crops!$E$6:$E$65,MATCH(C571,Crops!$B$6:$B$65,0)),0)))</f>
        <v/>
      </c>
      <c r="I571" s="11">
        <f>IF(AND(C571="",E571=""),"",IF(NOT(ISNUMBER(B571)),"Needs a date",IF(C571="","Needs a crop",IF(COUNTIF(Crops!$B$6:$B$65,C571)=0,"Not on Crops",IF(NOT(ISNUMBER(E571)),"Needs the amount",IF(AND(D571&lt;&gt;"",COUNTIF(Beds!$B$6:$B$35,D571)=0),"Not on Beds",""))))))</f>
        <v/>
      </c>
      <c r="J571" s="1">
        <f>IF(ISNUMBER(B571),YEAR(B571),"")</f>
        <v/>
      </c>
      <c r="K571">
        <f>IF(ISNUMBER(B571),YEAR(B571)*100+MONTH(B571),"")</f>
        <v/>
      </c>
      <c r="L571">
        <f>IF(ISNUMBER(B571),INT(B571),0)</f>
        <v/>
      </c>
    </row>
    <row r="572">
      <c r="A572" s="1" t="n"/>
      <c r="B572" s="17" t="n"/>
      <c r="C572" s="18" t="n"/>
      <c r="D572" s="19" t="n"/>
      <c r="E572" s="23" t="n"/>
      <c r="F572" s="21" t="n"/>
      <c r="G572" s="11">
        <f>IF(C572="","",IFERROR(INDEX(Crops!$D$6:$D$65,MATCH(C572,Crops!$B$6:$B$65,0))&amp;"",""))</f>
        <v/>
      </c>
      <c r="H572" s="12">
        <f>IF(OR(C572="",NOT(ISNUMBER(E572))),"",E572*N(IFERROR(INDEX(Crops!$E$6:$E$65,MATCH(C572,Crops!$B$6:$B$65,0)),0)))</f>
        <v/>
      </c>
      <c r="I572" s="11">
        <f>IF(AND(C572="",E572=""),"",IF(NOT(ISNUMBER(B572)),"Needs a date",IF(C572="","Needs a crop",IF(COUNTIF(Crops!$B$6:$B$65,C572)=0,"Not on Crops",IF(NOT(ISNUMBER(E572)),"Needs the amount",IF(AND(D572&lt;&gt;"",COUNTIF(Beds!$B$6:$B$35,D572)=0),"Not on Beds",""))))))</f>
        <v/>
      </c>
      <c r="J572" s="1">
        <f>IF(ISNUMBER(B572),YEAR(B572),"")</f>
        <v/>
      </c>
      <c r="K572">
        <f>IF(ISNUMBER(B572),YEAR(B572)*100+MONTH(B572),"")</f>
        <v/>
      </c>
      <c r="L572">
        <f>IF(ISNUMBER(B572),INT(B572),0)</f>
        <v/>
      </c>
    </row>
    <row r="573">
      <c r="A573" s="1" t="n"/>
      <c r="B573" s="17" t="n"/>
      <c r="C573" s="18" t="n"/>
      <c r="D573" s="19" t="n"/>
      <c r="E573" s="23" t="n"/>
      <c r="F573" s="21" t="n"/>
      <c r="G573" s="11">
        <f>IF(C573="","",IFERROR(INDEX(Crops!$D$6:$D$65,MATCH(C573,Crops!$B$6:$B$65,0))&amp;"",""))</f>
        <v/>
      </c>
      <c r="H573" s="12">
        <f>IF(OR(C573="",NOT(ISNUMBER(E573))),"",E573*N(IFERROR(INDEX(Crops!$E$6:$E$65,MATCH(C573,Crops!$B$6:$B$65,0)),0)))</f>
        <v/>
      </c>
      <c r="I573" s="11">
        <f>IF(AND(C573="",E573=""),"",IF(NOT(ISNUMBER(B573)),"Needs a date",IF(C573="","Needs a crop",IF(COUNTIF(Crops!$B$6:$B$65,C573)=0,"Not on Crops",IF(NOT(ISNUMBER(E573)),"Needs the amount",IF(AND(D573&lt;&gt;"",COUNTIF(Beds!$B$6:$B$35,D573)=0),"Not on Beds",""))))))</f>
        <v/>
      </c>
      <c r="J573" s="1">
        <f>IF(ISNUMBER(B573),YEAR(B573),"")</f>
        <v/>
      </c>
      <c r="K573">
        <f>IF(ISNUMBER(B573),YEAR(B573)*100+MONTH(B573),"")</f>
        <v/>
      </c>
      <c r="L573">
        <f>IF(ISNUMBER(B573),INT(B573),0)</f>
        <v/>
      </c>
    </row>
    <row r="574">
      <c r="A574" s="1" t="n"/>
      <c r="B574" s="17" t="n"/>
      <c r="C574" s="18" t="n"/>
      <c r="D574" s="19" t="n"/>
      <c r="E574" s="23" t="n"/>
      <c r="F574" s="21" t="n"/>
      <c r="G574" s="11">
        <f>IF(C574="","",IFERROR(INDEX(Crops!$D$6:$D$65,MATCH(C574,Crops!$B$6:$B$65,0))&amp;"",""))</f>
        <v/>
      </c>
      <c r="H574" s="12">
        <f>IF(OR(C574="",NOT(ISNUMBER(E574))),"",E574*N(IFERROR(INDEX(Crops!$E$6:$E$65,MATCH(C574,Crops!$B$6:$B$65,0)),0)))</f>
        <v/>
      </c>
      <c r="I574" s="11">
        <f>IF(AND(C574="",E574=""),"",IF(NOT(ISNUMBER(B574)),"Needs a date",IF(C574="","Needs a crop",IF(COUNTIF(Crops!$B$6:$B$65,C574)=0,"Not on Crops",IF(NOT(ISNUMBER(E574)),"Needs the amount",IF(AND(D574&lt;&gt;"",COUNTIF(Beds!$B$6:$B$35,D574)=0),"Not on Beds",""))))))</f>
        <v/>
      </c>
      <c r="J574" s="1">
        <f>IF(ISNUMBER(B574),YEAR(B574),"")</f>
        <v/>
      </c>
      <c r="K574">
        <f>IF(ISNUMBER(B574),YEAR(B574)*100+MONTH(B574),"")</f>
        <v/>
      </c>
      <c r="L574">
        <f>IF(ISNUMBER(B574),INT(B574),0)</f>
        <v/>
      </c>
    </row>
    <row r="575">
      <c r="A575" s="1" t="n"/>
      <c r="B575" s="17" t="n"/>
      <c r="C575" s="18" t="n"/>
      <c r="D575" s="19" t="n"/>
      <c r="E575" s="23" t="n"/>
      <c r="F575" s="21" t="n"/>
      <c r="G575" s="11">
        <f>IF(C575="","",IFERROR(INDEX(Crops!$D$6:$D$65,MATCH(C575,Crops!$B$6:$B$65,0))&amp;"",""))</f>
        <v/>
      </c>
      <c r="H575" s="12">
        <f>IF(OR(C575="",NOT(ISNUMBER(E575))),"",E575*N(IFERROR(INDEX(Crops!$E$6:$E$65,MATCH(C575,Crops!$B$6:$B$65,0)),0)))</f>
        <v/>
      </c>
      <c r="I575" s="11">
        <f>IF(AND(C575="",E575=""),"",IF(NOT(ISNUMBER(B575)),"Needs a date",IF(C575="","Needs a crop",IF(COUNTIF(Crops!$B$6:$B$65,C575)=0,"Not on Crops",IF(NOT(ISNUMBER(E575)),"Needs the amount",IF(AND(D575&lt;&gt;"",COUNTIF(Beds!$B$6:$B$35,D575)=0),"Not on Beds",""))))))</f>
        <v/>
      </c>
      <c r="J575" s="1">
        <f>IF(ISNUMBER(B575),YEAR(B575),"")</f>
        <v/>
      </c>
      <c r="K575">
        <f>IF(ISNUMBER(B575),YEAR(B575)*100+MONTH(B575),"")</f>
        <v/>
      </c>
      <c r="L575">
        <f>IF(ISNUMBER(B575),INT(B575),0)</f>
        <v/>
      </c>
    </row>
    <row r="576">
      <c r="A576" s="1" t="n"/>
      <c r="B576" s="17" t="n"/>
      <c r="C576" s="18" t="n"/>
      <c r="D576" s="19" t="n"/>
      <c r="E576" s="23" t="n"/>
      <c r="F576" s="21" t="n"/>
      <c r="G576" s="11">
        <f>IF(C576="","",IFERROR(INDEX(Crops!$D$6:$D$65,MATCH(C576,Crops!$B$6:$B$65,0))&amp;"",""))</f>
        <v/>
      </c>
      <c r="H576" s="12">
        <f>IF(OR(C576="",NOT(ISNUMBER(E576))),"",E576*N(IFERROR(INDEX(Crops!$E$6:$E$65,MATCH(C576,Crops!$B$6:$B$65,0)),0)))</f>
        <v/>
      </c>
      <c r="I576" s="11">
        <f>IF(AND(C576="",E576=""),"",IF(NOT(ISNUMBER(B576)),"Needs a date",IF(C576="","Needs a crop",IF(COUNTIF(Crops!$B$6:$B$65,C576)=0,"Not on Crops",IF(NOT(ISNUMBER(E576)),"Needs the amount",IF(AND(D576&lt;&gt;"",COUNTIF(Beds!$B$6:$B$35,D576)=0),"Not on Beds",""))))))</f>
        <v/>
      </c>
      <c r="J576" s="1">
        <f>IF(ISNUMBER(B576),YEAR(B576),"")</f>
        <v/>
      </c>
      <c r="K576">
        <f>IF(ISNUMBER(B576),YEAR(B576)*100+MONTH(B576),"")</f>
        <v/>
      </c>
      <c r="L576">
        <f>IF(ISNUMBER(B576),INT(B576),0)</f>
        <v/>
      </c>
    </row>
    <row r="577">
      <c r="A577" s="1" t="n"/>
      <c r="B577" s="17" t="n"/>
      <c r="C577" s="18" t="n"/>
      <c r="D577" s="19" t="n"/>
      <c r="E577" s="23" t="n"/>
      <c r="F577" s="21" t="n"/>
      <c r="G577" s="11">
        <f>IF(C577="","",IFERROR(INDEX(Crops!$D$6:$D$65,MATCH(C577,Crops!$B$6:$B$65,0))&amp;"",""))</f>
        <v/>
      </c>
      <c r="H577" s="12">
        <f>IF(OR(C577="",NOT(ISNUMBER(E577))),"",E577*N(IFERROR(INDEX(Crops!$E$6:$E$65,MATCH(C577,Crops!$B$6:$B$65,0)),0)))</f>
        <v/>
      </c>
      <c r="I577" s="11">
        <f>IF(AND(C577="",E577=""),"",IF(NOT(ISNUMBER(B577)),"Needs a date",IF(C577="","Needs a crop",IF(COUNTIF(Crops!$B$6:$B$65,C577)=0,"Not on Crops",IF(NOT(ISNUMBER(E577)),"Needs the amount",IF(AND(D577&lt;&gt;"",COUNTIF(Beds!$B$6:$B$35,D577)=0),"Not on Beds",""))))))</f>
        <v/>
      </c>
      <c r="J577" s="1">
        <f>IF(ISNUMBER(B577),YEAR(B577),"")</f>
        <v/>
      </c>
      <c r="K577">
        <f>IF(ISNUMBER(B577),YEAR(B577)*100+MONTH(B577),"")</f>
        <v/>
      </c>
      <c r="L577">
        <f>IF(ISNUMBER(B577),INT(B577),0)</f>
        <v/>
      </c>
    </row>
    <row r="578">
      <c r="A578" s="1" t="n"/>
      <c r="B578" s="17" t="n"/>
      <c r="C578" s="18" t="n"/>
      <c r="D578" s="19" t="n"/>
      <c r="E578" s="23" t="n"/>
      <c r="F578" s="21" t="n"/>
      <c r="G578" s="11">
        <f>IF(C578="","",IFERROR(INDEX(Crops!$D$6:$D$65,MATCH(C578,Crops!$B$6:$B$65,0))&amp;"",""))</f>
        <v/>
      </c>
      <c r="H578" s="12">
        <f>IF(OR(C578="",NOT(ISNUMBER(E578))),"",E578*N(IFERROR(INDEX(Crops!$E$6:$E$65,MATCH(C578,Crops!$B$6:$B$65,0)),0)))</f>
        <v/>
      </c>
      <c r="I578" s="11">
        <f>IF(AND(C578="",E578=""),"",IF(NOT(ISNUMBER(B578)),"Needs a date",IF(C578="","Needs a crop",IF(COUNTIF(Crops!$B$6:$B$65,C578)=0,"Not on Crops",IF(NOT(ISNUMBER(E578)),"Needs the amount",IF(AND(D578&lt;&gt;"",COUNTIF(Beds!$B$6:$B$35,D578)=0),"Not on Beds",""))))))</f>
        <v/>
      </c>
      <c r="J578" s="1">
        <f>IF(ISNUMBER(B578),YEAR(B578),"")</f>
        <v/>
      </c>
      <c r="K578">
        <f>IF(ISNUMBER(B578),YEAR(B578)*100+MONTH(B578),"")</f>
        <v/>
      </c>
      <c r="L578">
        <f>IF(ISNUMBER(B578),INT(B578),0)</f>
        <v/>
      </c>
    </row>
    <row r="579">
      <c r="A579" s="1" t="n"/>
      <c r="B579" s="17" t="n"/>
      <c r="C579" s="18" t="n"/>
      <c r="D579" s="19" t="n"/>
      <c r="E579" s="23" t="n"/>
      <c r="F579" s="21" t="n"/>
      <c r="G579" s="11">
        <f>IF(C579="","",IFERROR(INDEX(Crops!$D$6:$D$65,MATCH(C579,Crops!$B$6:$B$65,0))&amp;"",""))</f>
        <v/>
      </c>
      <c r="H579" s="12">
        <f>IF(OR(C579="",NOT(ISNUMBER(E579))),"",E579*N(IFERROR(INDEX(Crops!$E$6:$E$65,MATCH(C579,Crops!$B$6:$B$65,0)),0)))</f>
        <v/>
      </c>
      <c r="I579" s="11">
        <f>IF(AND(C579="",E579=""),"",IF(NOT(ISNUMBER(B579)),"Needs a date",IF(C579="","Needs a crop",IF(COUNTIF(Crops!$B$6:$B$65,C579)=0,"Not on Crops",IF(NOT(ISNUMBER(E579)),"Needs the amount",IF(AND(D579&lt;&gt;"",COUNTIF(Beds!$B$6:$B$35,D579)=0),"Not on Beds",""))))))</f>
        <v/>
      </c>
      <c r="J579" s="1">
        <f>IF(ISNUMBER(B579),YEAR(B579),"")</f>
        <v/>
      </c>
      <c r="K579">
        <f>IF(ISNUMBER(B579),YEAR(B579)*100+MONTH(B579),"")</f>
        <v/>
      </c>
      <c r="L579">
        <f>IF(ISNUMBER(B579),INT(B579),0)</f>
        <v/>
      </c>
    </row>
    <row r="580">
      <c r="A580" s="1" t="n"/>
      <c r="B580" s="17" t="n"/>
      <c r="C580" s="18" t="n"/>
      <c r="D580" s="19" t="n"/>
      <c r="E580" s="23" t="n"/>
      <c r="F580" s="21" t="n"/>
      <c r="G580" s="11">
        <f>IF(C580="","",IFERROR(INDEX(Crops!$D$6:$D$65,MATCH(C580,Crops!$B$6:$B$65,0))&amp;"",""))</f>
        <v/>
      </c>
      <c r="H580" s="12">
        <f>IF(OR(C580="",NOT(ISNUMBER(E580))),"",E580*N(IFERROR(INDEX(Crops!$E$6:$E$65,MATCH(C580,Crops!$B$6:$B$65,0)),0)))</f>
        <v/>
      </c>
      <c r="I580" s="11">
        <f>IF(AND(C580="",E580=""),"",IF(NOT(ISNUMBER(B580)),"Needs a date",IF(C580="","Needs a crop",IF(COUNTIF(Crops!$B$6:$B$65,C580)=0,"Not on Crops",IF(NOT(ISNUMBER(E580)),"Needs the amount",IF(AND(D580&lt;&gt;"",COUNTIF(Beds!$B$6:$B$35,D580)=0),"Not on Beds",""))))))</f>
        <v/>
      </c>
      <c r="J580" s="1">
        <f>IF(ISNUMBER(B580),YEAR(B580),"")</f>
        <v/>
      </c>
      <c r="K580">
        <f>IF(ISNUMBER(B580),YEAR(B580)*100+MONTH(B580),"")</f>
        <v/>
      </c>
      <c r="L580">
        <f>IF(ISNUMBER(B580),INT(B580),0)</f>
        <v/>
      </c>
    </row>
    <row r="581">
      <c r="A581" s="1" t="n"/>
      <c r="B581" s="17" t="n"/>
      <c r="C581" s="18" t="n"/>
      <c r="D581" s="19" t="n"/>
      <c r="E581" s="23" t="n"/>
      <c r="F581" s="21" t="n"/>
      <c r="G581" s="11">
        <f>IF(C581="","",IFERROR(INDEX(Crops!$D$6:$D$65,MATCH(C581,Crops!$B$6:$B$65,0))&amp;"",""))</f>
        <v/>
      </c>
      <c r="H581" s="12">
        <f>IF(OR(C581="",NOT(ISNUMBER(E581))),"",E581*N(IFERROR(INDEX(Crops!$E$6:$E$65,MATCH(C581,Crops!$B$6:$B$65,0)),0)))</f>
        <v/>
      </c>
      <c r="I581" s="11">
        <f>IF(AND(C581="",E581=""),"",IF(NOT(ISNUMBER(B581)),"Needs a date",IF(C581="","Needs a crop",IF(COUNTIF(Crops!$B$6:$B$65,C581)=0,"Not on Crops",IF(NOT(ISNUMBER(E581)),"Needs the amount",IF(AND(D581&lt;&gt;"",COUNTIF(Beds!$B$6:$B$35,D581)=0),"Not on Beds",""))))))</f>
        <v/>
      </c>
      <c r="J581" s="1">
        <f>IF(ISNUMBER(B581),YEAR(B581),"")</f>
        <v/>
      </c>
      <c r="K581">
        <f>IF(ISNUMBER(B581),YEAR(B581)*100+MONTH(B581),"")</f>
        <v/>
      </c>
      <c r="L581">
        <f>IF(ISNUMBER(B581),INT(B581),0)</f>
        <v/>
      </c>
    </row>
    <row r="582">
      <c r="A582" s="1" t="n"/>
      <c r="B582" s="17" t="n"/>
      <c r="C582" s="18" t="n"/>
      <c r="D582" s="19" t="n"/>
      <c r="E582" s="23" t="n"/>
      <c r="F582" s="21" t="n"/>
      <c r="G582" s="11">
        <f>IF(C582="","",IFERROR(INDEX(Crops!$D$6:$D$65,MATCH(C582,Crops!$B$6:$B$65,0))&amp;"",""))</f>
        <v/>
      </c>
      <c r="H582" s="12">
        <f>IF(OR(C582="",NOT(ISNUMBER(E582))),"",E582*N(IFERROR(INDEX(Crops!$E$6:$E$65,MATCH(C582,Crops!$B$6:$B$65,0)),0)))</f>
        <v/>
      </c>
      <c r="I582" s="11">
        <f>IF(AND(C582="",E582=""),"",IF(NOT(ISNUMBER(B582)),"Needs a date",IF(C582="","Needs a crop",IF(COUNTIF(Crops!$B$6:$B$65,C582)=0,"Not on Crops",IF(NOT(ISNUMBER(E582)),"Needs the amount",IF(AND(D582&lt;&gt;"",COUNTIF(Beds!$B$6:$B$35,D582)=0),"Not on Beds",""))))))</f>
        <v/>
      </c>
      <c r="J582" s="1">
        <f>IF(ISNUMBER(B582),YEAR(B582),"")</f>
        <v/>
      </c>
      <c r="K582">
        <f>IF(ISNUMBER(B582),YEAR(B582)*100+MONTH(B582),"")</f>
        <v/>
      </c>
      <c r="L582">
        <f>IF(ISNUMBER(B582),INT(B582),0)</f>
        <v/>
      </c>
    </row>
    <row r="583">
      <c r="A583" s="1" t="n"/>
      <c r="B583" s="17" t="n"/>
      <c r="C583" s="18" t="n"/>
      <c r="D583" s="19" t="n"/>
      <c r="E583" s="23" t="n"/>
      <c r="F583" s="21" t="n"/>
      <c r="G583" s="11">
        <f>IF(C583="","",IFERROR(INDEX(Crops!$D$6:$D$65,MATCH(C583,Crops!$B$6:$B$65,0))&amp;"",""))</f>
        <v/>
      </c>
      <c r="H583" s="12">
        <f>IF(OR(C583="",NOT(ISNUMBER(E583))),"",E583*N(IFERROR(INDEX(Crops!$E$6:$E$65,MATCH(C583,Crops!$B$6:$B$65,0)),0)))</f>
        <v/>
      </c>
      <c r="I583" s="11">
        <f>IF(AND(C583="",E583=""),"",IF(NOT(ISNUMBER(B583)),"Needs a date",IF(C583="","Needs a crop",IF(COUNTIF(Crops!$B$6:$B$65,C583)=0,"Not on Crops",IF(NOT(ISNUMBER(E583)),"Needs the amount",IF(AND(D583&lt;&gt;"",COUNTIF(Beds!$B$6:$B$35,D583)=0),"Not on Beds",""))))))</f>
        <v/>
      </c>
      <c r="J583" s="1">
        <f>IF(ISNUMBER(B583),YEAR(B583),"")</f>
        <v/>
      </c>
      <c r="K583">
        <f>IF(ISNUMBER(B583),YEAR(B583)*100+MONTH(B583),"")</f>
        <v/>
      </c>
      <c r="L583">
        <f>IF(ISNUMBER(B583),INT(B583),0)</f>
        <v/>
      </c>
    </row>
    <row r="584">
      <c r="A584" s="1" t="n"/>
      <c r="B584" s="17" t="n"/>
      <c r="C584" s="18" t="n"/>
      <c r="D584" s="19" t="n"/>
      <c r="E584" s="23" t="n"/>
      <c r="F584" s="21" t="n"/>
      <c r="G584" s="11">
        <f>IF(C584="","",IFERROR(INDEX(Crops!$D$6:$D$65,MATCH(C584,Crops!$B$6:$B$65,0))&amp;"",""))</f>
        <v/>
      </c>
      <c r="H584" s="12">
        <f>IF(OR(C584="",NOT(ISNUMBER(E584))),"",E584*N(IFERROR(INDEX(Crops!$E$6:$E$65,MATCH(C584,Crops!$B$6:$B$65,0)),0)))</f>
        <v/>
      </c>
      <c r="I584" s="11">
        <f>IF(AND(C584="",E584=""),"",IF(NOT(ISNUMBER(B584)),"Needs a date",IF(C584="","Needs a crop",IF(COUNTIF(Crops!$B$6:$B$65,C584)=0,"Not on Crops",IF(NOT(ISNUMBER(E584)),"Needs the amount",IF(AND(D584&lt;&gt;"",COUNTIF(Beds!$B$6:$B$35,D584)=0),"Not on Beds",""))))))</f>
        <v/>
      </c>
      <c r="J584" s="1">
        <f>IF(ISNUMBER(B584),YEAR(B584),"")</f>
        <v/>
      </c>
      <c r="K584">
        <f>IF(ISNUMBER(B584),YEAR(B584)*100+MONTH(B584),"")</f>
        <v/>
      </c>
      <c r="L584">
        <f>IF(ISNUMBER(B584),INT(B584),0)</f>
        <v/>
      </c>
    </row>
    <row r="585">
      <c r="A585" s="1" t="n"/>
      <c r="B585" s="17" t="n"/>
      <c r="C585" s="18" t="n"/>
      <c r="D585" s="19" t="n"/>
      <c r="E585" s="23" t="n"/>
      <c r="F585" s="21" t="n"/>
      <c r="G585" s="11">
        <f>IF(C585="","",IFERROR(INDEX(Crops!$D$6:$D$65,MATCH(C585,Crops!$B$6:$B$65,0))&amp;"",""))</f>
        <v/>
      </c>
      <c r="H585" s="12">
        <f>IF(OR(C585="",NOT(ISNUMBER(E585))),"",E585*N(IFERROR(INDEX(Crops!$E$6:$E$65,MATCH(C585,Crops!$B$6:$B$65,0)),0)))</f>
        <v/>
      </c>
      <c r="I585" s="11">
        <f>IF(AND(C585="",E585=""),"",IF(NOT(ISNUMBER(B585)),"Needs a date",IF(C585="","Needs a crop",IF(COUNTIF(Crops!$B$6:$B$65,C585)=0,"Not on Crops",IF(NOT(ISNUMBER(E585)),"Needs the amount",IF(AND(D585&lt;&gt;"",COUNTIF(Beds!$B$6:$B$35,D585)=0),"Not on Beds",""))))))</f>
        <v/>
      </c>
      <c r="J585" s="1">
        <f>IF(ISNUMBER(B585),YEAR(B585),"")</f>
        <v/>
      </c>
      <c r="K585">
        <f>IF(ISNUMBER(B585),YEAR(B585)*100+MONTH(B585),"")</f>
        <v/>
      </c>
      <c r="L585">
        <f>IF(ISNUMBER(B585),INT(B585),0)</f>
        <v/>
      </c>
    </row>
    <row r="586">
      <c r="A586" s="1" t="n"/>
      <c r="B586" s="17" t="n"/>
      <c r="C586" s="18" t="n"/>
      <c r="D586" s="19" t="n"/>
      <c r="E586" s="23" t="n"/>
      <c r="F586" s="21" t="n"/>
      <c r="G586" s="11">
        <f>IF(C586="","",IFERROR(INDEX(Crops!$D$6:$D$65,MATCH(C586,Crops!$B$6:$B$65,0))&amp;"",""))</f>
        <v/>
      </c>
      <c r="H586" s="12">
        <f>IF(OR(C586="",NOT(ISNUMBER(E586))),"",E586*N(IFERROR(INDEX(Crops!$E$6:$E$65,MATCH(C586,Crops!$B$6:$B$65,0)),0)))</f>
        <v/>
      </c>
      <c r="I586" s="11">
        <f>IF(AND(C586="",E586=""),"",IF(NOT(ISNUMBER(B586)),"Needs a date",IF(C586="","Needs a crop",IF(COUNTIF(Crops!$B$6:$B$65,C586)=0,"Not on Crops",IF(NOT(ISNUMBER(E586)),"Needs the amount",IF(AND(D586&lt;&gt;"",COUNTIF(Beds!$B$6:$B$35,D586)=0),"Not on Beds",""))))))</f>
        <v/>
      </c>
      <c r="J586" s="1">
        <f>IF(ISNUMBER(B586),YEAR(B586),"")</f>
        <v/>
      </c>
      <c r="K586">
        <f>IF(ISNUMBER(B586),YEAR(B586)*100+MONTH(B586),"")</f>
        <v/>
      </c>
      <c r="L586">
        <f>IF(ISNUMBER(B586),INT(B586),0)</f>
        <v/>
      </c>
    </row>
    <row r="587">
      <c r="A587" s="1" t="n"/>
      <c r="B587" s="17" t="n"/>
      <c r="C587" s="18" t="n"/>
      <c r="D587" s="19" t="n"/>
      <c r="E587" s="23" t="n"/>
      <c r="F587" s="21" t="n"/>
      <c r="G587" s="11">
        <f>IF(C587="","",IFERROR(INDEX(Crops!$D$6:$D$65,MATCH(C587,Crops!$B$6:$B$65,0))&amp;"",""))</f>
        <v/>
      </c>
      <c r="H587" s="12">
        <f>IF(OR(C587="",NOT(ISNUMBER(E587))),"",E587*N(IFERROR(INDEX(Crops!$E$6:$E$65,MATCH(C587,Crops!$B$6:$B$65,0)),0)))</f>
        <v/>
      </c>
      <c r="I587" s="11">
        <f>IF(AND(C587="",E587=""),"",IF(NOT(ISNUMBER(B587)),"Needs a date",IF(C587="","Needs a crop",IF(COUNTIF(Crops!$B$6:$B$65,C587)=0,"Not on Crops",IF(NOT(ISNUMBER(E587)),"Needs the amount",IF(AND(D587&lt;&gt;"",COUNTIF(Beds!$B$6:$B$35,D587)=0),"Not on Beds",""))))))</f>
        <v/>
      </c>
      <c r="J587" s="1">
        <f>IF(ISNUMBER(B587),YEAR(B587),"")</f>
        <v/>
      </c>
      <c r="K587">
        <f>IF(ISNUMBER(B587),YEAR(B587)*100+MONTH(B587),"")</f>
        <v/>
      </c>
      <c r="L587">
        <f>IF(ISNUMBER(B587),INT(B587),0)</f>
        <v/>
      </c>
    </row>
    <row r="588">
      <c r="A588" s="1" t="n"/>
      <c r="B588" s="17" t="n"/>
      <c r="C588" s="18" t="n"/>
      <c r="D588" s="19" t="n"/>
      <c r="E588" s="23" t="n"/>
      <c r="F588" s="21" t="n"/>
      <c r="G588" s="11">
        <f>IF(C588="","",IFERROR(INDEX(Crops!$D$6:$D$65,MATCH(C588,Crops!$B$6:$B$65,0))&amp;"",""))</f>
        <v/>
      </c>
      <c r="H588" s="12">
        <f>IF(OR(C588="",NOT(ISNUMBER(E588))),"",E588*N(IFERROR(INDEX(Crops!$E$6:$E$65,MATCH(C588,Crops!$B$6:$B$65,0)),0)))</f>
        <v/>
      </c>
      <c r="I588" s="11">
        <f>IF(AND(C588="",E588=""),"",IF(NOT(ISNUMBER(B588)),"Needs a date",IF(C588="","Needs a crop",IF(COUNTIF(Crops!$B$6:$B$65,C588)=0,"Not on Crops",IF(NOT(ISNUMBER(E588)),"Needs the amount",IF(AND(D588&lt;&gt;"",COUNTIF(Beds!$B$6:$B$35,D588)=0),"Not on Beds",""))))))</f>
        <v/>
      </c>
      <c r="J588" s="1">
        <f>IF(ISNUMBER(B588),YEAR(B588),"")</f>
        <v/>
      </c>
      <c r="K588">
        <f>IF(ISNUMBER(B588),YEAR(B588)*100+MONTH(B588),"")</f>
        <v/>
      </c>
      <c r="L588">
        <f>IF(ISNUMBER(B588),INT(B588),0)</f>
        <v/>
      </c>
    </row>
    <row r="589">
      <c r="A589" s="1" t="n"/>
      <c r="B589" s="17" t="n"/>
      <c r="C589" s="18" t="n"/>
      <c r="D589" s="19" t="n"/>
      <c r="E589" s="23" t="n"/>
      <c r="F589" s="21" t="n"/>
      <c r="G589" s="11">
        <f>IF(C589="","",IFERROR(INDEX(Crops!$D$6:$D$65,MATCH(C589,Crops!$B$6:$B$65,0))&amp;"",""))</f>
        <v/>
      </c>
      <c r="H589" s="12">
        <f>IF(OR(C589="",NOT(ISNUMBER(E589))),"",E589*N(IFERROR(INDEX(Crops!$E$6:$E$65,MATCH(C589,Crops!$B$6:$B$65,0)),0)))</f>
        <v/>
      </c>
      <c r="I589" s="11">
        <f>IF(AND(C589="",E589=""),"",IF(NOT(ISNUMBER(B589)),"Needs a date",IF(C589="","Needs a crop",IF(COUNTIF(Crops!$B$6:$B$65,C589)=0,"Not on Crops",IF(NOT(ISNUMBER(E589)),"Needs the amount",IF(AND(D589&lt;&gt;"",COUNTIF(Beds!$B$6:$B$35,D589)=0),"Not on Beds",""))))))</f>
        <v/>
      </c>
      <c r="J589" s="1">
        <f>IF(ISNUMBER(B589),YEAR(B589),"")</f>
        <v/>
      </c>
      <c r="K589">
        <f>IF(ISNUMBER(B589),YEAR(B589)*100+MONTH(B589),"")</f>
        <v/>
      </c>
      <c r="L589">
        <f>IF(ISNUMBER(B589),INT(B589),0)</f>
        <v/>
      </c>
    </row>
    <row r="590">
      <c r="A590" s="1" t="n"/>
      <c r="B590" s="17" t="n"/>
      <c r="C590" s="18" t="n"/>
      <c r="D590" s="19" t="n"/>
      <c r="E590" s="23" t="n"/>
      <c r="F590" s="21" t="n"/>
      <c r="G590" s="11">
        <f>IF(C590="","",IFERROR(INDEX(Crops!$D$6:$D$65,MATCH(C590,Crops!$B$6:$B$65,0))&amp;"",""))</f>
        <v/>
      </c>
      <c r="H590" s="12">
        <f>IF(OR(C590="",NOT(ISNUMBER(E590))),"",E590*N(IFERROR(INDEX(Crops!$E$6:$E$65,MATCH(C590,Crops!$B$6:$B$65,0)),0)))</f>
        <v/>
      </c>
      <c r="I590" s="11">
        <f>IF(AND(C590="",E590=""),"",IF(NOT(ISNUMBER(B590)),"Needs a date",IF(C590="","Needs a crop",IF(COUNTIF(Crops!$B$6:$B$65,C590)=0,"Not on Crops",IF(NOT(ISNUMBER(E590)),"Needs the amount",IF(AND(D590&lt;&gt;"",COUNTIF(Beds!$B$6:$B$35,D590)=0),"Not on Beds",""))))))</f>
        <v/>
      </c>
      <c r="J590" s="1">
        <f>IF(ISNUMBER(B590),YEAR(B590),"")</f>
        <v/>
      </c>
      <c r="K590">
        <f>IF(ISNUMBER(B590),YEAR(B590)*100+MONTH(B590),"")</f>
        <v/>
      </c>
      <c r="L590">
        <f>IF(ISNUMBER(B590),INT(B590),0)</f>
        <v/>
      </c>
    </row>
    <row r="591">
      <c r="A591" s="1" t="n"/>
      <c r="B591" s="17" t="n"/>
      <c r="C591" s="18" t="n"/>
      <c r="D591" s="19" t="n"/>
      <c r="E591" s="23" t="n"/>
      <c r="F591" s="21" t="n"/>
      <c r="G591" s="11">
        <f>IF(C591="","",IFERROR(INDEX(Crops!$D$6:$D$65,MATCH(C591,Crops!$B$6:$B$65,0))&amp;"",""))</f>
        <v/>
      </c>
      <c r="H591" s="12">
        <f>IF(OR(C591="",NOT(ISNUMBER(E591))),"",E591*N(IFERROR(INDEX(Crops!$E$6:$E$65,MATCH(C591,Crops!$B$6:$B$65,0)),0)))</f>
        <v/>
      </c>
      <c r="I591" s="11">
        <f>IF(AND(C591="",E591=""),"",IF(NOT(ISNUMBER(B591)),"Needs a date",IF(C591="","Needs a crop",IF(COUNTIF(Crops!$B$6:$B$65,C591)=0,"Not on Crops",IF(NOT(ISNUMBER(E591)),"Needs the amount",IF(AND(D591&lt;&gt;"",COUNTIF(Beds!$B$6:$B$35,D591)=0),"Not on Beds",""))))))</f>
        <v/>
      </c>
      <c r="J591" s="1">
        <f>IF(ISNUMBER(B591),YEAR(B591),"")</f>
        <v/>
      </c>
      <c r="K591">
        <f>IF(ISNUMBER(B591),YEAR(B591)*100+MONTH(B591),"")</f>
        <v/>
      </c>
      <c r="L591">
        <f>IF(ISNUMBER(B591),INT(B591),0)</f>
        <v/>
      </c>
    </row>
    <row r="592">
      <c r="A592" s="1" t="n"/>
      <c r="B592" s="17" t="n"/>
      <c r="C592" s="18" t="n"/>
      <c r="D592" s="19" t="n"/>
      <c r="E592" s="23" t="n"/>
      <c r="F592" s="21" t="n"/>
      <c r="G592" s="11">
        <f>IF(C592="","",IFERROR(INDEX(Crops!$D$6:$D$65,MATCH(C592,Crops!$B$6:$B$65,0))&amp;"",""))</f>
        <v/>
      </c>
      <c r="H592" s="12">
        <f>IF(OR(C592="",NOT(ISNUMBER(E592))),"",E592*N(IFERROR(INDEX(Crops!$E$6:$E$65,MATCH(C592,Crops!$B$6:$B$65,0)),0)))</f>
        <v/>
      </c>
      <c r="I592" s="11">
        <f>IF(AND(C592="",E592=""),"",IF(NOT(ISNUMBER(B592)),"Needs a date",IF(C592="","Needs a crop",IF(COUNTIF(Crops!$B$6:$B$65,C592)=0,"Not on Crops",IF(NOT(ISNUMBER(E592)),"Needs the amount",IF(AND(D592&lt;&gt;"",COUNTIF(Beds!$B$6:$B$35,D592)=0),"Not on Beds",""))))))</f>
        <v/>
      </c>
      <c r="J592" s="1">
        <f>IF(ISNUMBER(B592),YEAR(B592),"")</f>
        <v/>
      </c>
      <c r="K592">
        <f>IF(ISNUMBER(B592),YEAR(B592)*100+MONTH(B592),"")</f>
        <v/>
      </c>
      <c r="L592">
        <f>IF(ISNUMBER(B592),INT(B592),0)</f>
        <v/>
      </c>
    </row>
    <row r="593">
      <c r="A593" s="1" t="n"/>
      <c r="B593" s="17" t="n"/>
      <c r="C593" s="18" t="n"/>
      <c r="D593" s="19" t="n"/>
      <c r="E593" s="23" t="n"/>
      <c r="F593" s="21" t="n"/>
      <c r="G593" s="11">
        <f>IF(C593="","",IFERROR(INDEX(Crops!$D$6:$D$65,MATCH(C593,Crops!$B$6:$B$65,0))&amp;"",""))</f>
        <v/>
      </c>
      <c r="H593" s="12">
        <f>IF(OR(C593="",NOT(ISNUMBER(E593))),"",E593*N(IFERROR(INDEX(Crops!$E$6:$E$65,MATCH(C593,Crops!$B$6:$B$65,0)),0)))</f>
        <v/>
      </c>
      <c r="I593" s="11">
        <f>IF(AND(C593="",E593=""),"",IF(NOT(ISNUMBER(B593)),"Needs a date",IF(C593="","Needs a crop",IF(COUNTIF(Crops!$B$6:$B$65,C593)=0,"Not on Crops",IF(NOT(ISNUMBER(E593)),"Needs the amount",IF(AND(D593&lt;&gt;"",COUNTIF(Beds!$B$6:$B$35,D593)=0),"Not on Beds",""))))))</f>
        <v/>
      </c>
      <c r="J593" s="1">
        <f>IF(ISNUMBER(B593),YEAR(B593),"")</f>
        <v/>
      </c>
      <c r="K593">
        <f>IF(ISNUMBER(B593),YEAR(B593)*100+MONTH(B593),"")</f>
        <v/>
      </c>
      <c r="L593">
        <f>IF(ISNUMBER(B593),INT(B593),0)</f>
        <v/>
      </c>
    </row>
    <row r="594">
      <c r="A594" s="1" t="n"/>
      <c r="B594" s="17" t="n"/>
      <c r="C594" s="18" t="n"/>
      <c r="D594" s="19" t="n"/>
      <c r="E594" s="23" t="n"/>
      <c r="F594" s="21" t="n"/>
      <c r="G594" s="11">
        <f>IF(C594="","",IFERROR(INDEX(Crops!$D$6:$D$65,MATCH(C594,Crops!$B$6:$B$65,0))&amp;"",""))</f>
        <v/>
      </c>
      <c r="H594" s="12">
        <f>IF(OR(C594="",NOT(ISNUMBER(E594))),"",E594*N(IFERROR(INDEX(Crops!$E$6:$E$65,MATCH(C594,Crops!$B$6:$B$65,0)),0)))</f>
        <v/>
      </c>
      <c r="I594" s="11">
        <f>IF(AND(C594="",E594=""),"",IF(NOT(ISNUMBER(B594)),"Needs a date",IF(C594="","Needs a crop",IF(COUNTIF(Crops!$B$6:$B$65,C594)=0,"Not on Crops",IF(NOT(ISNUMBER(E594)),"Needs the amount",IF(AND(D594&lt;&gt;"",COUNTIF(Beds!$B$6:$B$35,D594)=0),"Not on Beds",""))))))</f>
        <v/>
      </c>
      <c r="J594" s="1">
        <f>IF(ISNUMBER(B594),YEAR(B594),"")</f>
        <v/>
      </c>
      <c r="K594">
        <f>IF(ISNUMBER(B594),YEAR(B594)*100+MONTH(B594),"")</f>
        <v/>
      </c>
      <c r="L594">
        <f>IF(ISNUMBER(B594),INT(B594),0)</f>
        <v/>
      </c>
    </row>
    <row r="595">
      <c r="A595" s="1" t="n"/>
      <c r="B595" s="17" t="n"/>
      <c r="C595" s="18" t="n"/>
      <c r="D595" s="19" t="n"/>
      <c r="E595" s="23" t="n"/>
      <c r="F595" s="21" t="n"/>
      <c r="G595" s="11">
        <f>IF(C595="","",IFERROR(INDEX(Crops!$D$6:$D$65,MATCH(C595,Crops!$B$6:$B$65,0))&amp;"",""))</f>
        <v/>
      </c>
      <c r="H595" s="12">
        <f>IF(OR(C595="",NOT(ISNUMBER(E595))),"",E595*N(IFERROR(INDEX(Crops!$E$6:$E$65,MATCH(C595,Crops!$B$6:$B$65,0)),0)))</f>
        <v/>
      </c>
      <c r="I595" s="11">
        <f>IF(AND(C595="",E595=""),"",IF(NOT(ISNUMBER(B595)),"Needs a date",IF(C595="","Needs a crop",IF(COUNTIF(Crops!$B$6:$B$65,C595)=0,"Not on Crops",IF(NOT(ISNUMBER(E595)),"Needs the amount",IF(AND(D595&lt;&gt;"",COUNTIF(Beds!$B$6:$B$35,D595)=0),"Not on Beds",""))))))</f>
        <v/>
      </c>
      <c r="J595" s="1">
        <f>IF(ISNUMBER(B595),YEAR(B595),"")</f>
        <v/>
      </c>
      <c r="K595">
        <f>IF(ISNUMBER(B595),YEAR(B595)*100+MONTH(B595),"")</f>
        <v/>
      </c>
      <c r="L595">
        <f>IF(ISNUMBER(B595),INT(B595),0)</f>
        <v/>
      </c>
    </row>
    <row r="596">
      <c r="A596" s="1" t="n"/>
      <c r="B596" s="17" t="n"/>
      <c r="C596" s="18" t="n"/>
      <c r="D596" s="19" t="n"/>
      <c r="E596" s="23" t="n"/>
      <c r="F596" s="21" t="n"/>
      <c r="G596" s="11">
        <f>IF(C596="","",IFERROR(INDEX(Crops!$D$6:$D$65,MATCH(C596,Crops!$B$6:$B$65,0))&amp;"",""))</f>
        <v/>
      </c>
      <c r="H596" s="12">
        <f>IF(OR(C596="",NOT(ISNUMBER(E596))),"",E596*N(IFERROR(INDEX(Crops!$E$6:$E$65,MATCH(C596,Crops!$B$6:$B$65,0)),0)))</f>
        <v/>
      </c>
      <c r="I596" s="11">
        <f>IF(AND(C596="",E596=""),"",IF(NOT(ISNUMBER(B596)),"Needs a date",IF(C596="","Needs a crop",IF(COUNTIF(Crops!$B$6:$B$65,C596)=0,"Not on Crops",IF(NOT(ISNUMBER(E596)),"Needs the amount",IF(AND(D596&lt;&gt;"",COUNTIF(Beds!$B$6:$B$35,D596)=0),"Not on Beds",""))))))</f>
        <v/>
      </c>
      <c r="J596" s="1">
        <f>IF(ISNUMBER(B596),YEAR(B596),"")</f>
        <v/>
      </c>
      <c r="K596">
        <f>IF(ISNUMBER(B596),YEAR(B596)*100+MONTH(B596),"")</f>
        <v/>
      </c>
      <c r="L596">
        <f>IF(ISNUMBER(B596),INT(B596),0)</f>
        <v/>
      </c>
    </row>
    <row r="597">
      <c r="A597" s="1" t="n"/>
      <c r="B597" s="17" t="n"/>
      <c r="C597" s="18" t="n"/>
      <c r="D597" s="19" t="n"/>
      <c r="E597" s="23" t="n"/>
      <c r="F597" s="21" t="n"/>
      <c r="G597" s="11">
        <f>IF(C597="","",IFERROR(INDEX(Crops!$D$6:$D$65,MATCH(C597,Crops!$B$6:$B$65,0))&amp;"",""))</f>
        <v/>
      </c>
      <c r="H597" s="12">
        <f>IF(OR(C597="",NOT(ISNUMBER(E597))),"",E597*N(IFERROR(INDEX(Crops!$E$6:$E$65,MATCH(C597,Crops!$B$6:$B$65,0)),0)))</f>
        <v/>
      </c>
      <c r="I597" s="11">
        <f>IF(AND(C597="",E597=""),"",IF(NOT(ISNUMBER(B597)),"Needs a date",IF(C597="","Needs a crop",IF(COUNTIF(Crops!$B$6:$B$65,C597)=0,"Not on Crops",IF(NOT(ISNUMBER(E597)),"Needs the amount",IF(AND(D597&lt;&gt;"",COUNTIF(Beds!$B$6:$B$35,D597)=0),"Not on Beds",""))))))</f>
        <v/>
      </c>
      <c r="J597" s="1">
        <f>IF(ISNUMBER(B597),YEAR(B597),"")</f>
        <v/>
      </c>
      <c r="K597">
        <f>IF(ISNUMBER(B597),YEAR(B597)*100+MONTH(B597),"")</f>
        <v/>
      </c>
      <c r="L597">
        <f>IF(ISNUMBER(B597),INT(B597),0)</f>
        <v/>
      </c>
    </row>
    <row r="598">
      <c r="A598" s="1" t="n"/>
      <c r="B598" s="17" t="n"/>
      <c r="C598" s="18" t="n"/>
      <c r="D598" s="19" t="n"/>
      <c r="E598" s="23" t="n"/>
      <c r="F598" s="21" t="n"/>
      <c r="G598" s="11">
        <f>IF(C598="","",IFERROR(INDEX(Crops!$D$6:$D$65,MATCH(C598,Crops!$B$6:$B$65,0))&amp;"",""))</f>
        <v/>
      </c>
      <c r="H598" s="12">
        <f>IF(OR(C598="",NOT(ISNUMBER(E598))),"",E598*N(IFERROR(INDEX(Crops!$E$6:$E$65,MATCH(C598,Crops!$B$6:$B$65,0)),0)))</f>
        <v/>
      </c>
      <c r="I598" s="11">
        <f>IF(AND(C598="",E598=""),"",IF(NOT(ISNUMBER(B598)),"Needs a date",IF(C598="","Needs a crop",IF(COUNTIF(Crops!$B$6:$B$65,C598)=0,"Not on Crops",IF(NOT(ISNUMBER(E598)),"Needs the amount",IF(AND(D598&lt;&gt;"",COUNTIF(Beds!$B$6:$B$35,D598)=0),"Not on Beds",""))))))</f>
        <v/>
      </c>
      <c r="J598" s="1">
        <f>IF(ISNUMBER(B598),YEAR(B598),"")</f>
        <v/>
      </c>
      <c r="K598">
        <f>IF(ISNUMBER(B598),YEAR(B598)*100+MONTH(B598),"")</f>
        <v/>
      </c>
      <c r="L598">
        <f>IF(ISNUMBER(B598),INT(B598),0)</f>
        <v/>
      </c>
    </row>
    <row r="599">
      <c r="A599" s="1" t="n"/>
      <c r="B599" s="17" t="n"/>
      <c r="C599" s="18" t="n"/>
      <c r="D599" s="19" t="n"/>
      <c r="E599" s="23" t="n"/>
      <c r="F599" s="21" t="n"/>
      <c r="G599" s="11">
        <f>IF(C599="","",IFERROR(INDEX(Crops!$D$6:$D$65,MATCH(C599,Crops!$B$6:$B$65,0))&amp;"",""))</f>
        <v/>
      </c>
      <c r="H599" s="12">
        <f>IF(OR(C599="",NOT(ISNUMBER(E599))),"",E599*N(IFERROR(INDEX(Crops!$E$6:$E$65,MATCH(C599,Crops!$B$6:$B$65,0)),0)))</f>
        <v/>
      </c>
      <c r="I599" s="11">
        <f>IF(AND(C599="",E599=""),"",IF(NOT(ISNUMBER(B599)),"Needs a date",IF(C599="","Needs a crop",IF(COUNTIF(Crops!$B$6:$B$65,C599)=0,"Not on Crops",IF(NOT(ISNUMBER(E599)),"Needs the amount",IF(AND(D599&lt;&gt;"",COUNTIF(Beds!$B$6:$B$35,D599)=0),"Not on Beds",""))))))</f>
        <v/>
      </c>
      <c r="J599" s="1">
        <f>IF(ISNUMBER(B599),YEAR(B599),"")</f>
        <v/>
      </c>
      <c r="K599">
        <f>IF(ISNUMBER(B599),YEAR(B599)*100+MONTH(B599),"")</f>
        <v/>
      </c>
      <c r="L599">
        <f>IF(ISNUMBER(B599),INT(B599),0)</f>
        <v/>
      </c>
    </row>
    <row r="600">
      <c r="A600" s="1" t="n"/>
      <c r="B600" s="17" t="n"/>
      <c r="C600" s="18" t="n"/>
      <c r="D600" s="19" t="n"/>
      <c r="E600" s="23" t="n"/>
      <c r="F600" s="21" t="n"/>
      <c r="G600" s="11">
        <f>IF(C600="","",IFERROR(INDEX(Crops!$D$6:$D$65,MATCH(C600,Crops!$B$6:$B$65,0))&amp;"",""))</f>
        <v/>
      </c>
      <c r="H600" s="12">
        <f>IF(OR(C600="",NOT(ISNUMBER(E600))),"",E600*N(IFERROR(INDEX(Crops!$E$6:$E$65,MATCH(C600,Crops!$B$6:$B$65,0)),0)))</f>
        <v/>
      </c>
      <c r="I600" s="11">
        <f>IF(AND(C600="",E600=""),"",IF(NOT(ISNUMBER(B600)),"Needs a date",IF(C600="","Needs a crop",IF(COUNTIF(Crops!$B$6:$B$65,C600)=0,"Not on Crops",IF(NOT(ISNUMBER(E600)),"Needs the amount",IF(AND(D600&lt;&gt;"",COUNTIF(Beds!$B$6:$B$35,D600)=0),"Not on Beds",""))))))</f>
        <v/>
      </c>
      <c r="J600" s="1">
        <f>IF(ISNUMBER(B600),YEAR(B600),"")</f>
        <v/>
      </c>
      <c r="K600">
        <f>IF(ISNUMBER(B600),YEAR(B600)*100+MONTH(B600),"")</f>
        <v/>
      </c>
      <c r="L600">
        <f>IF(ISNUMBER(B600),INT(B600),0)</f>
        <v/>
      </c>
    </row>
    <row r="601">
      <c r="A601" s="1" t="n"/>
      <c r="B601" s="17" t="n"/>
      <c r="C601" s="18" t="n"/>
      <c r="D601" s="19" t="n"/>
      <c r="E601" s="23" t="n"/>
      <c r="F601" s="21" t="n"/>
      <c r="G601" s="11">
        <f>IF(C601="","",IFERROR(INDEX(Crops!$D$6:$D$65,MATCH(C601,Crops!$B$6:$B$65,0))&amp;"",""))</f>
        <v/>
      </c>
      <c r="H601" s="12">
        <f>IF(OR(C601="",NOT(ISNUMBER(E601))),"",E601*N(IFERROR(INDEX(Crops!$E$6:$E$65,MATCH(C601,Crops!$B$6:$B$65,0)),0)))</f>
        <v/>
      </c>
      <c r="I601" s="11">
        <f>IF(AND(C601="",E601=""),"",IF(NOT(ISNUMBER(B601)),"Needs a date",IF(C601="","Needs a crop",IF(COUNTIF(Crops!$B$6:$B$65,C601)=0,"Not on Crops",IF(NOT(ISNUMBER(E601)),"Needs the amount",IF(AND(D601&lt;&gt;"",COUNTIF(Beds!$B$6:$B$35,D601)=0),"Not on Beds",""))))))</f>
        <v/>
      </c>
      <c r="J601" s="1">
        <f>IF(ISNUMBER(B601),YEAR(B601),"")</f>
        <v/>
      </c>
      <c r="K601">
        <f>IF(ISNUMBER(B601),YEAR(B601)*100+MONTH(B601),"")</f>
        <v/>
      </c>
      <c r="L601">
        <f>IF(ISNUMBER(B601),INT(B601),0)</f>
        <v/>
      </c>
    </row>
    <row r="602">
      <c r="A602" s="1" t="n"/>
      <c r="B602" s="17" t="n"/>
      <c r="C602" s="18" t="n"/>
      <c r="D602" s="19" t="n"/>
      <c r="E602" s="23" t="n"/>
      <c r="F602" s="21" t="n"/>
      <c r="G602" s="11">
        <f>IF(C602="","",IFERROR(INDEX(Crops!$D$6:$D$65,MATCH(C602,Crops!$B$6:$B$65,0))&amp;"",""))</f>
        <v/>
      </c>
      <c r="H602" s="12">
        <f>IF(OR(C602="",NOT(ISNUMBER(E602))),"",E602*N(IFERROR(INDEX(Crops!$E$6:$E$65,MATCH(C602,Crops!$B$6:$B$65,0)),0)))</f>
        <v/>
      </c>
      <c r="I602" s="11">
        <f>IF(AND(C602="",E602=""),"",IF(NOT(ISNUMBER(B602)),"Needs a date",IF(C602="","Needs a crop",IF(COUNTIF(Crops!$B$6:$B$65,C602)=0,"Not on Crops",IF(NOT(ISNUMBER(E602)),"Needs the amount",IF(AND(D602&lt;&gt;"",COUNTIF(Beds!$B$6:$B$35,D602)=0),"Not on Beds",""))))))</f>
        <v/>
      </c>
      <c r="J602" s="1">
        <f>IF(ISNUMBER(B602),YEAR(B602),"")</f>
        <v/>
      </c>
      <c r="K602">
        <f>IF(ISNUMBER(B602),YEAR(B602)*100+MONTH(B602),"")</f>
        <v/>
      </c>
      <c r="L602">
        <f>IF(ISNUMBER(B602),INT(B602),0)</f>
        <v/>
      </c>
    </row>
    <row r="603">
      <c r="A603" s="1" t="n"/>
      <c r="B603" s="17" t="n"/>
      <c r="C603" s="18" t="n"/>
      <c r="D603" s="19" t="n"/>
      <c r="E603" s="23" t="n"/>
      <c r="F603" s="21" t="n"/>
      <c r="G603" s="11">
        <f>IF(C603="","",IFERROR(INDEX(Crops!$D$6:$D$65,MATCH(C603,Crops!$B$6:$B$65,0))&amp;"",""))</f>
        <v/>
      </c>
      <c r="H603" s="12">
        <f>IF(OR(C603="",NOT(ISNUMBER(E603))),"",E603*N(IFERROR(INDEX(Crops!$E$6:$E$65,MATCH(C603,Crops!$B$6:$B$65,0)),0)))</f>
        <v/>
      </c>
      <c r="I603" s="11">
        <f>IF(AND(C603="",E603=""),"",IF(NOT(ISNUMBER(B603)),"Needs a date",IF(C603="","Needs a crop",IF(COUNTIF(Crops!$B$6:$B$65,C603)=0,"Not on Crops",IF(NOT(ISNUMBER(E603)),"Needs the amount",IF(AND(D603&lt;&gt;"",COUNTIF(Beds!$B$6:$B$35,D603)=0),"Not on Beds",""))))))</f>
        <v/>
      </c>
      <c r="J603" s="1">
        <f>IF(ISNUMBER(B603),YEAR(B603),"")</f>
        <v/>
      </c>
      <c r="K603">
        <f>IF(ISNUMBER(B603),YEAR(B603)*100+MONTH(B603),"")</f>
        <v/>
      </c>
      <c r="L603">
        <f>IF(ISNUMBER(B603),INT(B603),0)</f>
        <v/>
      </c>
    </row>
    <row r="604">
      <c r="A604" s="1" t="n"/>
      <c r="B604" s="17" t="n"/>
      <c r="C604" s="18" t="n"/>
      <c r="D604" s="19" t="n"/>
      <c r="E604" s="23" t="n"/>
      <c r="F604" s="21" t="n"/>
      <c r="G604" s="11">
        <f>IF(C604="","",IFERROR(INDEX(Crops!$D$6:$D$65,MATCH(C604,Crops!$B$6:$B$65,0))&amp;"",""))</f>
        <v/>
      </c>
      <c r="H604" s="12">
        <f>IF(OR(C604="",NOT(ISNUMBER(E604))),"",E604*N(IFERROR(INDEX(Crops!$E$6:$E$65,MATCH(C604,Crops!$B$6:$B$65,0)),0)))</f>
        <v/>
      </c>
      <c r="I604" s="11">
        <f>IF(AND(C604="",E604=""),"",IF(NOT(ISNUMBER(B604)),"Needs a date",IF(C604="","Needs a crop",IF(COUNTIF(Crops!$B$6:$B$65,C604)=0,"Not on Crops",IF(NOT(ISNUMBER(E604)),"Needs the amount",IF(AND(D604&lt;&gt;"",COUNTIF(Beds!$B$6:$B$35,D604)=0),"Not on Beds",""))))))</f>
        <v/>
      </c>
      <c r="J604" s="1">
        <f>IF(ISNUMBER(B604),YEAR(B604),"")</f>
        <v/>
      </c>
      <c r="K604">
        <f>IF(ISNUMBER(B604),YEAR(B604)*100+MONTH(B604),"")</f>
        <v/>
      </c>
      <c r="L604">
        <f>IF(ISNUMBER(B604),INT(B604),0)</f>
        <v/>
      </c>
    </row>
    <row r="605">
      <c r="A605" s="1" t="n"/>
      <c r="B605" s="17" t="n"/>
      <c r="C605" s="18" t="n"/>
      <c r="D605" s="19" t="n"/>
      <c r="E605" s="23" t="n"/>
      <c r="F605" s="21" t="n"/>
      <c r="G605" s="11">
        <f>IF(C605="","",IFERROR(INDEX(Crops!$D$6:$D$65,MATCH(C605,Crops!$B$6:$B$65,0))&amp;"",""))</f>
        <v/>
      </c>
      <c r="H605" s="12">
        <f>IF(OR(C605="",NOT(ISNUMBER(E605))),"",E605*N(IFERROR(INDEX(Crops!$E$6:$E$65,MATCH(C605,Crops!$B$6:$B$65,0)),0)))</f>
        <v/>
      </c>
      <c r="I605" s="11">
        <f>IF(AND(C605="",E605=""),"",IF(NOT(ISNUMBER(B605)),"Needs a date",IF(C605="","Needs a crop",IF(COUNTIF(Crops!$B$6:$B$65,C605)=0,"Not on Crops",IF(NOT(ISNUMBER(E605)),"Needs the amount",IF(AND(D605&lt;&gt;"",COUNTIF(Beds!$B$6:$B$35,D605)=0),"Not on Beds",""))))))</f>
        <v/>
      </c>
      <c r="J605" s="1">
        <f>IF(ISNUMBER(B605),YEAR(B605),"")</f>
        <v/>
      </c>
      <c r="K605">
        <f>IF(ISNUMBER(B605),YEAR(B605)*100+MONTH(B605),"")</f>
        <v/>
      </c>
      <c r="L605">
        <f>IF(ISNUMBER(B605),INT(B605),0)</f>
        <v/>
      </c>
    </row>
    <row r="606">
      <c r="A606" s="1" t="n"/>
      <c r="B606" s="17" t="n"/>
      <c r="C606" s="18" t="n"/>
      <c r="D606" s="19" t="n"/>
      <c r="E606" s="23" t="n"/>
      <c r="F606" s="21" t="n"/>
      <c r="G606" s="11">
        <f>IF(C606="","",IFERROR(INDEX(Crops!$D$6:$D$65,MATCH(C606,Crops!$B$6:$B$65,0))&amp;"",""))</f>
        <v/>
      </c>
      <c r="H606" s="12">
        <f>IF(OR(C606="",NOT(ISNUMBER(E606))),"",E606*N(IFERROR(INDEX(Crops!$E$6:$E$65,MATCH(C606,Crops!$B$6:$B$65,0)),0)))</f>
        <v/>
      </c>
      <c r="I606" s="11">
        <f>IF(AND(C606="",E606=""),"",IF(NOT(ISNUMBER(B606)),"Needs a date",IF(C606="","Needs a crop",IF(COUNTIF(Crops!$B$6:$B$65,C606)=0,"Not on Crops",IF(NOT(ISNUMBER(E606)),"Needs the amount",IF(AND(D606&lt;&gt;"",COUNTIF(Beds!$B$6:$B$35,D606)=0),"Not on Beds",""))))))</f>
        <v/>
      </c>
      <c r="J606" s="1">
        <f>IF(ISNUMBER(B606),YEAR(B606),"")</f>
        <v/>
      </c>
      <c r="K606">
        <f>IF(ISNUMBER(B606),YEAR(B606)*100+MONTH(B606),"")</f>
        <v/>
      </c>
      <c r="L606">
        <f>IF(ISNUMBER(B606),INT(B606),0)</f>
        <v/>
      </c>
    </row>
    <row r="607">
      <c r="A607" s="1" t="n"/>
      <c r="B607" s="17" t="n"/>
      <c r="C607" s="18" t="n"/>
      <c r="D607" s="19" t="n"/>
      <c r="E607" s="23" t="n"/>
      <c r="F607" s="21" t="n"/>
      <c r="G607" s="11">
        <f>IF(C607="","",IFERROR(INDEX(Crops!$D$6:$D$65,MATCH(C607,Crops!$B$6:$B$65,0))&amp;"",""))</f>
        <v/>
      </c>
      <c r="H607" s="12">
        <f>IF(OR(C607="",NOT(ISNUMBER(E607))),"",E607*N(IFERROR(INDEX(Crops!$E$6:$E$65,MATCH(C607,Crops!$B$6:$B$65,0)),0)))</f>
        <v/>
      </c>
      <c r="I607" s="11">
        <f>IF(AND(C607="",E607=""),"",IF(NOT(ISNUMBER(B607)),"Needs a date",IF(C607="","Needs a crop",IF(COUNTIF(Crops!$B$6:$B$65,C607)=0,"Not on Crops",IF(NOT(ISNUMBER(E607)),"Needs the amount",IF(AND(D607&lt;&gt;"",COUNTIF(Beds!$B$6:$B$35,D607)=0),"Not on Beds",""))))))</f>
        <v/>
      </c>
      <c r="J607" s="1">
        <f>IF(ISNUMBER(B607),YEAR(B607),"")</f>
        <v/>
      </c>
      <c r="K607">
        <f>IF(ISNUMBER(B607),YEAR(B607)*100+MONTH(B607),"")</f>
        <v/>
      </c>
      <c r="L607">
        <f>IF(ISNUMBER(B607),INT(B607),0)</f>
        <v/>
      </c>
    </row>
    <row r="608">
      <c r="A608" s="1" t="n"/>
      <c r="B608" s="17" t="n"/>
      <c r="C608" s="18" t="n"/>
      <c r="D608" s="19" t="n"/>
      <c r="E608" s="23" t="n"/>
      <c r="F608" s="21" t="n"/>
      <c r="G608" s="11">
        <f>IF(C608="","",IFERROR(INDEX(Crops!$D$6:$D$65,MATCH(C608,Crops!$B$6:$B$65,0))&amp;"",""))</f>
        <v/>
      </c>
      <c r="H608" s="12">
        <f>IF(OR(C608="",NOT(ISNUMBER(E608))),"",E608*N(IFERROR(INDEX(Crops!$E$6:$E$65,MATCH(C608,Crops!$B$6:$B$65,0)),0)))</f>
        <v/>
      </c>
      <c r="I608" s="11">
        <f>IF(AND(C608="",E608=""),"",IF(NOT(ISNUMBER(B608)),"Needs a date",IF(C608="","Needs a crop",IF(COUNTIF(Crops!$B$6:$B$65,C608)=0,"Not on Crops",IF(NOT(ISNUMBER(E608)),"Needs the amount",IF(AND(D608&lt;&gt;"",COUNTIF(Beds!$B$6:$B$35,D608)=0),"Not on Beds",""))))))</f>
        <v/>
      </c>
      <c r="J608" s="1">
        <f>IF(ISNUMBER(B608),YEAR(B608),"")</f>
        <v/>
      </c>
      <c r="K608">
        <f>IF(ISNUMBER(B608),YEAR(B608)*100+MONTH(B608),"")</f>
        <v/>
      </c>
      <c r="L608">
        <f>IF(ISNUMBER(B608),INT(B608),0)</f>
        <v/>
      </c>
    </row>
    <row r="609">
      <c r="A609" s="1" t="n"/>
      <c r="B609" s="17" t="n"/>
      <c r="C609" s="18" t="n"/>
      <c r="D609" s="19" t="n"/>
      <c r="E609" s="23" t="n"/>
      <c r="F609" s="21" t="n"/>
      <c r="G609" s="11">
        <f>IF(C609="","",IFERROR(INDEX(Crops!$D$6:$D$65,MATCH(C609,Crops!$B$6:$B$65,0))&amp;"",""))</f>
        <v/>
      </c>
      <c r="H609" s="12">
        <f>IF(OR(C609="",NOT(ISNUMBER(E609))),"",E609*N(IFERROR(INDEX(Crops!$E$6:$E$65,MATCH(C609,Crops!$B$6:$B$65,0)),0)))</f>
        <v/>
      </c>
      <c r="I609" s="11">
        <f>IF(AND(C609="",E609=""),"",IF(NOT(ISNUMBER(B609)),"Needs a date",IF(C609="","Needs a crop",IF(COUNTIF(Crops!$B$6:$B$65,C609)=0,"Not on Crops",IF(NOT(ISNUMBER(E609)),"Needs the amount",IF(AND(D609&lt;&gt;"",COUNTIF(Beds!$B$6:$B$35,D609)=0),"Not on Beds",""))))))</f>
        <v/>
      </c>
      <c r="J609" s="1">
        <f>IF(ISNUMBER(B609),YEAR(B609),"")</f>
        <v/>
      </c>
      <c r="K609">
        <f>IF(ISNUMBER(B609),YEAR(B609)*100+MONTH(B609),"")</f>
        <v/>
      </c>
      <c r="L609">
        <f>IF(ISNUMBER(B609),INT(B609),0)</f>
        <v/>
      </c>
    </row>
    <row r="610">
      <c r="A610" s="1" t="n"/>
      <c r="B610" s="17" t="n"/>
      <c r="C610" s="18" t="n"/>
      <c r="D610" s="19" t="n"/>
      <c r="E610" s="23" t="n"/>
      <c r="F610" s="21" t="n"/>
      <c r="G610" s="11">
        <f>IF(C610="","",IFERROR(INDEX(Crops!$D$6:$D$65,MATCH(C610,Crops!$B$6:$B$65,0))&amp;"",""))</f>
        <v/>
      </c>
      <c r="H610" s="12">
        <f>IF(OR(C610="",NOT(ISNUMBER(E610))),"",E610*N(IFERROR(INDEX(Crops!$E$6:$E$65,MATCH(C610,Crops!$B$6:$B$65,0)),0)))</f>
        <v/>
      </c>
      <c r="I610" s="11">
        <f>IF(AND(C610="",E610=""),"",IF(NOT(ISNUMBER(B610)),"Needs a date",IF(C610="","Needs a crop",IF(COUNTIF(Crops!$B$6:$B$65,C610)=0,"Not on Crops",IF(NOT(ISNUMBER(E610)),"Needs the amount",IF(AND(D610&lt;&gt;"",COUNTIF(Beds!$B$6:$B$35,D610)=0),"Not on Beds",""))))))</f>
        <v/>
      </c>
      <c r="J610" s="1">
        <f>IF(ISNUMBER(B610),YEAR(B610),"")</f>
        <v/>
      </c>
      <c r="K610">
        <f>IF(ISNUMBER(B610),YEAR(B610)*100+MONTH(B610),"")</f>
        <v/>
      </c>
      <c r="L610">
        <f>IF(ISNUMBER(B610),INT(B610),0)</f>
        <v/>
      </c>
    </row>
    <row r="611">
      <c r="A611" s="1" t="n"/>
      <c r="B611" s="17" t="n"/>
      <c r="C611" s="18" t="n"/>
      <c r="D611" s="19" t="n"/>
      <c r="E611" s="23" t="n"/>
      <c r="F611" s="21" t="n"/>
      <c r="G611" s="11">
        <f>IF(C611="","",IFERROR(INDEX(Crops!$D$6:$D$65,MATCH(C611,Crops!$B$6:$B$65,0))&amp;"",""))</f>
        <v/>
      </c>
      <c r="H611" s="12">
        <f>IF(OR(C611="",NOT(ISNUMBER(E611))),"",E611*N(IFERROR(INDEX(Crops!$E$6:$E$65,MATCH(C611,Crops!$B$6:$B$65,0)),0)))</f>
        <v/>
      </c>
      <c r="I611" s="11">
        <f>IF(AND(C611="",E611=""),"",IF(NOT(ISNUMBER(B611)),"Needs a date",IF(C611="","Needs a crop",IF(COUNTIF(Crops!$B$6:$B$65,C611)=0,"Not on Crops",IF(NOT(ISNUMBER(E611)),"Needs the amount",IF(AND(D611&lt;&gt;"",COUNTIF(Beds!$B$6:$B$35,D611)=0),"Not on Beds",""))))))</f>
        <v/>
      </c>
      <c r="J611" s="1">
        <f>IF(ISNUMBER(B611),YEAR(B611),"")</f>
        <v/>
      </c>
      <c r="K611">
        <f>IF(ISNUMBER(B611),YEAR(B611)*100+MONTH(B611),"")</f>
        <v/>
      </c>
      <c r="L611">
        <f>IF(ISNUMBER(B611),INT(B611),0)</f>
        <v/>
      </c>
    </row>
    <row r="612">
      <c r="A612" s="1" t="n"/>
      <c r="B612" s="17" t="n"/>
      <c r="C612" s="18" t="n"/>
      <c r="D612" s="19" t="n"/>
      <c r="E612" s="23" t="n"/>
      <c r="F612" s="21" t="n"/>
      <c r="G612" s="11">
        <f>IF(C612="","",IFERROR(INDEX(Crops!$D$6:$D$65,MATCH(C612,Crops!$B$6:$B$65,0))&amp;"",""))</f>
        <v/>
      </c>
      <c r="H612" s="12">
        <f>IF(OR(C612="",NOT(ISNUMBER(E612))),"",E612*N(IFERROR(INDEX(Crops!$E$6:$E$65,MATCH(C612,Crops!$B$6:$B$65,0)),0)))</f>
        <v/>
      </c>
      <c r="I612" s="11">
        <f>IF(AND(C612="",E612=""),"",IF(NOT(ISNUMBER(B612)),"Needs a date",IF(C612="","Needs a crop",IF(COUNTIF(Crops!$B$6:$B$65,C612)=0,"Not on Crops",IF(NOT(ISNUMBER(E612)),"Needs the amount",IF(AND(D612&lt;&gt;"",COUNTIF(Beds!$B$6:$B$35,D612)=0),"Not on Beds",""))))))</f>
        <v/>
      </c>
      <c r="J612" s="1">
        <f>IF(ISNUMBER(B612),YEAR(B612),"")</f>
        <v/>
      </c>
      <c r="K612">
        <f>IF(ISNUMBER(B612),YEAR(B612)*100+MONTH(B612),"")</f>
        <v/>
      </c>
      <c r="L612">
        <f>IF(ISNUMBER(B612),INT(B612),0)</f>
        <v/>
      </c>
    </row>
    <row r="613">
      <c r="A613" s="1" t="n"/>
      <c r="B613" s="17" t="n"/>
      <c r="C613" s="18" t="n"/>
      <c r="D613" s="19" t="n"/>
      <c r="E613" s="23" t="n"/>
      <c r="F613" s="21" t="n"/>
      <c r="G613" s="11">
        <f>IF(C613="","",IFERROR(INDEX(Crops!$D$6:$D$65,MATCH(C613,Crops!$B$6:$B$65,0))&amp;"",""))</f>
        <v/>
      </c>
      <c r="H613" s="12">
        <f>IF(OR(C613="",NOT(ISNUMBER(E613))),"",E613*N(IFERROR(INDEX(Crops!$E$6:$E$65,MATCH(C613,Crops!$B$6:$B$65,0)),0)))</f>
        <v/>
      </c>
      <c r="I613" s="11">
        <f>IF(AND(C613="",E613=""),"",IF(NOT(ISNUMBER(B613)),"Needs a date",IF(C613="","Needs a crop",IF(COUNTIF(Crops!$B$6:$B$65,C613)=0,"Not on Crops",IF(NOT(ISNUMBER(E613)),"Needs the amount",IF(AND(D613&lt;&gt;"",COUNTIF(Beds!$B$6:$B$35,D613)=0),"Not on Beds",""))))))</f>
        <v/>
      </c>
      <c r="J613" s="1">
        <f>IF(ISNUMBER(B613),YEAR(B613),"")</f>
        <v/>
      </c>
      <c r="K613">
        <f>IF(ISNUMBER(B613),YEAR(B613)*100+MONTH(B613),"")</f>
        <v/>
      </c>
      <c r="L613">
        <f>IF(ISNUMBER(B613),INT(B613),0)</f>
        <v/>
      </c>
    </row>
    <row r="614">
      <c r="A614" s="1" t="n"/>
      <c r="B614" s="17" t="n"/>
      <c r="C614" s="18" t="n"/>
      <c r="D614" s="19" t="n"/>
      <c r="E614" s="23" t="n"/>
      <c r="F614" s="21" t="n"/>
      <c r="G614" s="11">
        <f>IF(C614="","",IFERROR(INDEX(Crops!$D$6:$D$65,MATCH(C614,Crops!$B$6:$B$65,0))&amp;"",""))</f>
        <v/>
      </c>
      <c r="H614" s="12">
        <f>IF(OR(C614="",NOT(ISNUMBER(E614))),"",E614*N(IFERROR(INDEX(Crops!$E$6:$E$65,MATCH(C614,Crops!$B$6:$B$65,0)),0)))</f>
        <v/>
      </c>
      <c r="I614" s="11">
        <f>IF(AND(C614="",E614=""),"",IF(NOT(ISNUMBER(B614)),"Needs a date",IF(C614="","Needs a crop",IF(COUNTIF(Crops!$B$6:$B$65,C614)=0,"Not on Crops",IF(NOT(ISNUMBER(E614)),"Needs the amount",IF(AND(D614&lt;&gt;"",COUNTIF(Beds!$B$6:$B$35,D614)=0),"Not on Beds",""))))))</f>
        <v/>
      </c>
      <c r="J614" s="1">
        <f>IF(ISNUMBER(B614),YEAR(B614),"")</f>
        <v/>
      </c>
      <c r="K614">
        <f>IF(ISNUMBER(B614),YEAR(B614)*100+MONTH(B614),"")</f>
        <v/>
      </c>
      <c r="L614">
        <f>IF(ISNUMBER(B614),INT(B614),0)</f>
        <v/>
      </c>
    </row>
    <row r="615">
      <c r="A615" s="1" t="n"/>
      <c r="B615" s="17" t="n"/>
      <c r="C615" s="18" t="n"/>
      <c r="D615" s="19" t="n"/>
      <c r="E615" s="23" t="n"/>
      <c r="F615" s="21" t="n"/>
      <c r="G615" s="11">
        <f>IF(C615="","",IFERROR(INDEX(Crops!$D$6:$D$65,MATCH(C615,Crops!$B$6:$B$65,0))&amp;"",""))</f>
        <v/>
      </c>
      <c r="H615" s="12">
        <f>IF(OR(C615="",NOT(ISNUMBER(E615))),"",E615*N(IFERROR(INDEX(Crops!$E$6:$E$65,MATCH(C615,Crops!$B$6:$B$65,0)),0)))</f>
        <v/>
      </c>
      <c r="I615" s="11">
        <f>IF(AND(C615="",E615=""),"",IF(NOT(ISNUMBER(B615)),"Needs a date",IF(C615="","Needs a crop",IF(COUNTIF(Crops!$B$6:$B$65,C615)=0,"Not on Crops",IF(NOT(ISNUMBER(E615)),"Needs the amount",IF(AND(D615&lt;&gt;"",COUNTIF(Beds!$B$6:$B$35,D615)=0),"Not on Beds",""))))))</f>
        <v/>
      </c>
      <c r="J615" s="1">
        <f>IF(ISNUMBER(B615),YEAR(B615),"")</f>
        <v/>
      </c>
      <c r="K615">
        <f>IF(ISNUMBER(B615),YEAR(B615)*100+MONTH(B615),"")</f>
        <v/>
      </c>
      <c r="L615">
        <f>IF(ISNUMBER(B615),INT(B615),0)</f>
        <v/>
      </c>
    </row>
    <row r="616">
      <c r="A616" s="1" t="n"/>
      <c r="B616" s="17" t="n"/>
      <c r="C616" s="18" t="n"/>
      <c r="D616" s="19" t="n"/>
      <c r="E616" s="23" t="n"/>
      <c r="F616" s="21" t="n"/>
      <c r="G616" s="11">
        <f>IF(C616="","",IFERROR(INDEX(Crops!$D$6:$D$65,MATCH(C616,Crops!$B$6:$B$65,0))&amp;"",""))</f>
        <v/>
      </c>
      <c r="H616" s="12">
        <f>IF(OR(C616="",NOT(ISNUMBER(E616))),"",E616*N(IFERROR(INDEX(Crops!$E$6:$E$65,MATCH(C616,Crops!$B$6:$B$65,0)),0)))</f>
        <v/>
      </c>
      <c r="I616" s="11">
        <f>IF(AND(C616="",E616=""),"",IF(NOT(ISNUMBER(B616)),"Needs a date",IF(C616="","Needs a crop",IF(COUNTIF(Crops!$B$6:$B$65,C616)=0,"Not on Crops",IF(NOT(ISNUMBER(E616)),"Needs the amount",IF(AND(D616&lt;&gt;"",COUNTIF(Beds!$B$6:$B$35,D616)=0),"Not on Beds",""))))))</f>
        <v/>
      </c>
      <c r="J616" s="1">
        <f>IF(ISNUMBER(B616),YEAR(B616),"")</f>
        <v/>
      </c>
      <c r="K616">
        <f>IF(ISNUMBER(B616),YEAR(B616)*100+MONTH(B616),"")</f>
        <v/>
      </c>
      <c r="L616">
        <f>IF(ISNUMBER(B616),INT(B616),0)</f>
        <v/>
      </c>
    </row>
    <row r="617">
      <c r="A617" s="1" t="n"/>
      <c r="B617" s="17" t="n"/>
      <c r="C617" s="18" t="n"/>
      <c r="D617" s="19" t="n"/>
      <c r="E617" s="23" t="n"/>
      <c r="F617" s="21" t="n"/>
      <c r="G617" s="11">
        <f>IF(C617="","",IFERROR(INDEX(Crops!$D$6:$D$65,MATCH(C617,Crops!$B$6:$B$65,0))&amp;"",""))</f>
        <v/>
      </c>
      <c r="H617" s="12">
        <f>IF(OR(C617="",NOT(ISNUMBER(E617))),"",E617*N(IFERROR(INDEX(Crops!$E$6:$E$65,MATCH(C617,Crops!$B$6:$B$65,0)),0)))</f>
        <v/>
      </c>
      <c r="I617" s="11">
        <f>IF(AND(C617="",E617=""),"",IF(NOT(ISNUMBER(B617)),"Needs a date",IF(C617="","Needs a crop",IF(COUNTIF(Crops!$B$6:$B$65,C617)=0,"Not on Crops",IF(NOT(ISNUMBER(E617)),"Needs the amount",IF(AND(D617&lt;&gt;"",COUNTIF(Beds!$B$6:$B$35,D617)=0),"Not on Beds",""))))))</f>
        <v/>
      </c>
      <c r="J617" s="1">
        <f>IF(ISNUMBER(B617),YEAR(B617),"")</f>
        <v/>
      </c>
      <c r="K617">
        <f>IF(ISNUMBER(B617),YEAR(B617)*100+MONTH(B617),"")</f>
        <v/>
      </c>
      <c r="L617">
        <f>IF(ISNUMBER(B617),INT(B617),0)</f>
        <v/>
      </c>
    </row>
    <row r="618">
      <c r="A618" s="1" t="n"/>
      <c r="B618" s="17" t="n"/>
      <c r="C618" s="18" t="n"/>
      <c r="D618" s="19" t="n"/>
      <c r="E618" s="23" t="n"/>
      <c r="F618" s="21" t="n"/>
      <c r="G618" s="11">
        <f>IF(C618="","",IFERROR(INDEX(Crops!$D$6:$D$65,MATCH(C618,Crops!$B$6:$B$65,0))&amp;"",""))</f>
        <v/>
      </c>
      <c r="H618" s="12">
        <f>IF(OR(C618="",NOT(ISNUMBER(E618))),"",E618*N(IFERROR(INDEX(Crops!$E$6:$E$65,MATCH(C618,Crops!$B$6:$B$65,0)),0)))</f>
        <v/>
      </c>
      <c r="I618" s="11">
        <f>IF(AND(C618="",E618=""),"",IF(NOT(ISNUMBER(B618)),"Needs a date",IF(C618="","Needs a crop",IF(COUNTIF(Crops!$B$6:$B$65,C618)=0,"Not on Crops",IF(NOT(ISNUMBER(E618)),"Needs the amount",IF(AND(D618&lt;&gt;"",COUNTIF(Beds!$B$6:$B$35,D618)=0),"Not on Beds",""))))))</f>
        <v/>
      </c>
      <c r="J618" s="1">
        <f>IF(ISNUMBER(B618),YEAR(B618),"")</f>
        <v/>
      </c>
      <c r="K618">
        <f>IF(ISNUMBER(B618),YEAR(B618)*100+MONTH(B618),"")</f>
        <v/>
      </c>
      <c r="L618">
        <f>IF(ISNUMBER(B618),INT(B618),0)</f>
        <v/>
      </c>
    </row>
    <row r="619">
      <c r="A619" s="1" t="n"/>
      <c r="B619" s="17" t="n"/>
      <c r="C619" s="18" t="n"/>
      <c r="D619" s="19" t="n"/>
      <c r="E619" s="23" t="n"/>
      <c r="F619" s="21" t="n"/>
      <c r="G619" s="11">
        <f>IF(C619="","",IFERROR(INDEX(Crops!$D$6:$D$65,MATCH(C619,Crops!$B$6:$B$65,0))&amp;"",""))</f>
        <v/>
      </c>
      <c r="H619" s="12">
        <f>IF(OR(C619="",NOT(ISNUMBER(E619))),"",E619*N(IFERROR(INDEX(Crops!$E$6:$E$65,MATCH(C619,Crops!$B$6:$B$65,0)),0)))</f>
        <v/>
      </c>
      <c r="I619" s="11">
        <f>IF(AND(C619="",E619=""),"",IF(NOT(ISNUMBER(B619)),"Needs a date",IF(C619="","Needs a crop",IF(COUNTIF(Crops!$B$6:$B$65,C619)=0,"Not on Crops",IF(NOT(ISNUMBER(E619)),"Needs the amount",IF(AND(D619&lt;&gt;"",COUNTIF(Beds!$B$6:$B$35,D619)=0),"Not on Beds",""))))))</f>
        <v/>
      </c>
      <c r="J619" s="1">
        <f>IF(ISNUMBER(B619),YEAR(B619),"")</f>
        <v/>
      </c>
      <c r="K619">
        <f>IF(ISNUMBER(B619),YEAR(B619)*100+MONTH(B619),"")</f>
        <v/>
      </c>
      <c r="L619">
        <f>IF(ISNUMBER(B619),INT(B619),0)</f>
        <v/>
      </c>
    </row>
    <row r="620">
      <c r="A620" s="1" t="n"/>
      <c r="B620" s="17" t="n"/>
      <c r="C620" s="18" t="n"/>
      <c r="D620" s="19" t="n"/>
      <c r="E620" s="23" t="n"/>
      <c r="F620" s="21" t="n"/>
      <c r="G620" s="11">
        <f>IF(C620="","",IFERROR(INDEX(Crops!$D$6:$D$65,MATCH(C620,Crops!$B$6:$B$65,0))&amp;"",""))</f>
        <v/>
      </c>
      <c r="H620" s="12">
        <f>IF(OR(C620="",NOT(ISNUMBER(E620))),"",E620*N(IFERROR(INDEX(Crops!$E$6:$E$65,MATCH(C620,Crops!$B$6:$B$65,0)),0)))</f>
        <v/>
      </c>
      <c r="I620" s="11">
        <f>IF(AND(C620="",E620=""),"",IF(NOT(ISNUMBER(B620)),"Needs a date",IF(C620="","Needs a crop",IF(COUNTIF(Crops!$B$6:$B$65,C620)=0,"Not on Crops",IF(NOT(ISNUMBER(E620)),"Needs the amount",IF(AND(D620&lt;&gt;"",COUNTIF(Beds!$B$6:$B$35,D620)=0),"Not on Beds",""))))))</f>
        <v/>
      </c>
      <c r="J620" s="1">
        <f>IF(ISNUMBER(B620),YEAR(B620),"")</f>
        <v/>
      </c>
      <c r="K620">
        <f>IF(ISNUMBER(B620),YEAR(B620)*100+MONTH(B620),"")</f>
        <v/>
      </c>
      <c r="L620">
        <f>IF(ISNUMBER(B620),INT(B620),0)</f>
        <v/>
      </c>
    </row>
    <row r="621">
      <c r="A621" s="1" t="n"/>
      <c r="B621" s="17" t="n"/>
      <c r="C621" s="18" t="n"/>
      <c r="D621" s="19" t="n"/>
      <c r="E621" s="23" t="n"/>
      <c r="F621" s="21" t="n"/>
      <c r="G621" s="11">
        <f>IF(C621="","",IFERROR(INDEX(Crops!$D$6:$D$65,MATCH(C621,Crops!$B$6:$B$65,0))&amp;"",""))</f>
        <v/>
      </c>
      <c r="H621" s="12">
        <f>IF(OR(C621="",NOT(ISNUMBER(E621))),"",E621*N(IFERROR(INDEX(Crops!$E$6:$E$65,MATCH(C621,Crops!$B$6:$B$65,0)),0)))</f>
        <v/>
      </c>
      <c r="I621" s="11">
        <f>IF(AND(C621="",E621=""),"",IF(NOT(ISNUMBER(B621)),"Needs a date",IF(C621="","Needs a crop",IF(COUNTIF(Crops!$B$6:$B$65,C621)=0,"Not on Crops",IF(NOT(ISNUMBER(E621)),"Needs the amount",IF(AND(D621&lt;&gt;"",COUNTIF(Beds!$B$6:$B$35,D621)=0),"Not on Beds",""))))))</f>
        <v/>
      </c>
      <c r="J621" s="1">
        <f>IF(ISNUMBER(B621),YEAR(B621),"")</f>
        <v/>
      </c>
      <c r="K621">
        <f>IF(ISNUMBER(B621),YEAR(B621)*100+MONTH(B621),"")</f>
        <v/>
      </c>
      <c r="L621">
        <f>IF(ISNUMBER(B621),INT(B621),0)</f>
        <v/>
      </c>
    </row>
    <row r="622">
      <c r="A622" s="1" t="n"/>
      <c r="B622" s="17" t="n"/>
      <c r="C622" s="18" t="n"/>
      <c r="D622" s="19" t="n"/>
      <c r="E622" s="23" t="n"/>
      <c r="F622" s="21" t="n"/>
      <c r="G622" s="11">
        <f>IF(C622="","",IFERROR(INDEX(Crops!$D$6:$D$65,MATCH(C622,Crops!$B$6:$B$65,0))&amp;"",""))</f>
        <v/>
      </c>
      <c r="H622" s="12">
        <f>IF(OR(C622="",NOT(ISNUMBER(E622))),"",E622*N(IFERROR(INDEX(Crops!$E$6:$E$65,MATCH(C622,Crops!$B$6:$B$65,0)),0)))</f>
        <v/>
      </c>
      <c r="I622" s="11">
        <f>IF(AND(C622="",E622=""),"",IF(NOT(ISNUMBER(B622)),"Needs a date",IF(C622="","Needs a crop",IF(COUNTIF(Crops!$B$6:$B$65,C622)=0,"Not on Crops",IF(NOT(ISNUMBER(E622)),"Needs the amount",IF(AND(D622&lt;&gt;"",COUNTIF(Beds!$B$6:$B$35,D622)=0),"Not on Beds",""))))))</f>
        <v/>
      </c>
      <c r="J622" s="1">
        <f>IF(ISNUMBER(B622),YEAR(B622),"")</f>
        <v/>
      </c>
      <c r="K622">
        <f>IF(ISNUMBER(B622),YEAR(B622)*100+MONTH(B622),"")</f>
        <v/>
      </c>
      <c r="L622">
        <f>IF(ISNUMBER(B622),INT(B622),0)</f>
        <v/>
      </c>
    </row>
    <row r="623">
      <c r="A623" s="1" t="n"/>
      <c r="B623" s="17" t="n"/>
      <c r="C623" s="18" t="n"/>
      <c r="D623" s="19" t="n"/>
      <c r="E623" s="23" t="n"/>
      <c r="F623" s="21" t="n"/>
      <c r="G623" s="11">
        <f>IF(C623="","",IFERROR(INDEX(Crops!$D$6:$D$65,MATCH(C623,Crops!$B$6:$B$65,0))&amp;"",""))</f>
        <v/>
      </c>
      <c r="H623" s="12">
        <f>IF(OR(C623="",NOT(ISNUMBER(E623))),"",E623*N(IFERROR(INDEX(Crops!$E$6:$E$65,MATCH(C623,Crops!$B$6:$B$65,0)),0)))</f>
        <v/>
      </c>
      <c r="I623" s="11">
        <f>IF(AND(C623="",E623=""),"",IF(NOT(ISNUMBER(B623)),"Needs a date",IF(C623="","Needs a crop",IF(COUNTIF(Crops!$B$6:$B$65,C623)=0,"Not on Crops",IF(NOT(ISNUMBER(E623)),"Needs the amount",IF(AND(D623&lt;&gt;"",COUNTIF(Beds!$B$6:$B$35,D623)=0),"Not on Beds",""))))))</f>
        <v/>
      </c>
      <c r="J623" s="1">
        <f>IF(ISNUMBER(B623),YEAR(B623),"")</f>
        <v/>
      </c>
      <c r="K623">
        <f>IF(ISNUMBER(B623),YEAR(B623)*100+MONTH(B623),"")</f>
        <v/>
      </c>
      <c r="L623">
        <f>IF(ISNUMBER(B623),INT(B623),0)</f>
        <v/>
      </c>
    </row>
    <row r="624">
      <c r="A624" s="1" t="n"/>
      <c r="B624" s="17" t="n"/>
      <c r="C624" s="18" t="n"/>
      <c r="D624" s="19" t="n"/>
      <c r="E624" s="23" t="n"/>
      <c r="F624" s="21" t="n"/>
      <c r="G624" s="11">
        <f>IF(C624="","",IFERROR(INDEX(Crops!$D$6:$D$65,MATCH(C624,Crops!$B$6:$B$65,0))&amp;"",""))</f>
        <v/>
      </c>
      <c r="H624" s="12">
        <f>IF(OR(C624="",NOT(ISNUMBER(E624))),"",E624*N(IFERROR(INDEX(Crops!$E$6:$E$65,MATCH(C624,Crops!$B$6:$B$65,0)),0)))</f>
        <v/>
      </c>
      <c r="I624" s="11">
        <f>IF(AND(C624="",E624=""),"",IF(NOT(ISNUMBER(B624)),"Needs a date",IF(C624="","Needs a crop",IF(COUNTIF(Crops!$B$6:$B$65,C624)=0,"Not on Crops",IF(NOT(ISNUMBER(E624)),"Needs the amount",IF(AND(D624&lt;&gt;"",COUNTIF(Beds!$B$6:$B$35,D624)=0),"Not on Beds",""))))))</f>
        <v/>
      </c>
      <c r="J624" s="1">
        <f>IF(ISNUMBER(B624),YEAR(B624),"")</f>
        <v/>
      </c>
      <c r="K624">
        <f>IF(ISNUMBER(B624),YEAR(B624)*100+MONTH(B624),"")</f>
        <v/>
      </c>
      <c r="L624">
        <f>IF(ISNUMBER(B624),INT(B624),0)</f>
        <v/>
      </c>
    </row>
    <row r="625">
      <c r="A625" s="1" t="n"/>
      <c r="B625" s="17" t="n"/>
      <c r="C625" s="18" t="n"/>
      <c r="D625" s="19" t="n"/>
      <c r="E625" s="23" t="n"/>
      <c r="F625" s="21" t="n"/>
      <c r="G625" s="11">
        <f>IF(C625="","",IFERROR(INDEX(Crops!$D$6:$D$65,MATCH(C625,Crops!$B$6:$B$65,0))&amp;"",""))</f>
        <v/>
      </c>
      <c r="H625" s="12">
        <f>IF(OR(C625="",NOT(ISNUMBER(E625))),"",E625*N(IFERROR(INDEX(Crops!$E$6:$E$65,MATCH(C625,Crops!$B$6:$B$65,0)),0)))</f>
        <v/>
      </c>
      <c r="I625" s="11">
        <f>IF(AND(C625="",E625=""),"",IF(NOT(ISNUMBER(B625)),"Needs a date",IF(C625="","Needs a crop",IF(COUNTIF(Crops!$B$6:$B$65,C625)=0,"Not on Crops",IF(NOT(ISNUMBER(E625)),"Needs the amount",IF(AND(D625&lt;&gt;"",COUNTIF(Beds!$B$6:$B$35,D625)=0),"Not on Beds",""))))))</f>
        <v/>
      </c>
      <c r="J625" s="1">
        <f>IF(ISNUMBER(B625),YEAR(B625),"")</f>
        <v/>
      </c>
      <c r="K625">
        <f>IF(ISNUMBER(B625),YEAR(B625)*100+MONTH(B625),"")</f>
        <v/>
      </c>
      <c r="L625">
        <f>IF(ISNUMBER(B625),INT(B625),0)</f>
        <v/>
      </c>
    </row>
    <row r="626">
      <c r="A626" s="1" t="n"/>
      <c r="B626" s="17" t="n"/>
      <c r="C626" s="18" t="n"/>
      <c r="D626" s="19" t="n"/>
      <c r="E626" s="23" t="n"/>
      <c r="F626" s="21" t="n"/>
      <c r="G626" s="11">
        <f>IF(C626="","",IFERROR(INDEX(Crops!$D$6:$D$65,MATCH(C626,Crops!$B$6:$B$65,0))&amp;"",""))</f>
        <v/>
      </c>
      <c r="H626" s="12">
        <f>IF(OR(C626="",NOT(ISNUMBER(E626))),"",E626*N(IFERROR(INDEX(Crops!$E$6:$E$65,MATCH(C626,Crops!$B$6:$B$65,0)),0)))</f>
        <v/>
      </c>
      <c r="I626" s="11">
        <f>IF(AND(C626="",E626=""),"",IF(NOT(ISNUMBER(B626)),"Needs a date",IF(C626="","Needs a crop",IF(COUNTIF(Crops!$B$6:$B$65,C626)=0,"Not on Crops",IF(NOT(ISNUMBER(E626)),"Needs the amount",IF(AND(D626&lt;&gt;"",COUNTIF(Beds!$B$6:$B$35,D626)=0),"Not on Beds",""))))))</f>
        <v/>
      </c>
      <c r="J626" s="1">
        <f>IF(ISNUMBER(B626),YEAR(B626),"")</f>
        <v/>
      </c>
      <c r="K626">
        <f>IF(ISNUMBER(B626),YEAR(B626)*100+MONTH(B626),"")</f>
        <v/>
      </c>
      <c r="L626">
        <f>IF(ISNUMBER(B626),INT(B626),0)</f>
        <v/>
      </c>
    </row>
    <row r="627">
      <c r="A627" s="1" t="n"/>
      <c r="B627" s="17" t="n"/>
      <c r="C627" s="18" t="n"/>
      <c r="D627" s="19" t="n"/>
      <c r="E627" s="23" t="n"/>
      <c r="F627" s="21" t="n"/>
      <c r="G627" s="11">
        <f>IF(C627="","",IFERROR(INDEX(Crops!$D$6:$D$65,MATCH(C627,Crops!$B$6:$B$65,0))&amp;"",""))</f>
        <v/>
      </c>
      <c r="H627" s="12">
        <f>IF(OR(C627="",NOT(ISNUMBER(E627))),"",E627*N(IFERROR(INDEX(Crops!$E$6:$E$65,MATCH(C627,Crops!$B$6:$B$65,0)),0)))</f>
        <v/>
      </c>
      <c r="I627" s="11">
        <f>IF(AND(C627="",E627=""),"",IF(NOT(ISNUMBER(B627)),"Needs a date",IF(C627="","Needs a crop",IF(COUNTIF(Crops!$B$6:$B$65,C627)=0,"Not on Crops",IF(NOT(ISNUMBER(E627)),"Needs the amount",IF(AND(D627&lt;&gt;"",COUNTIF(Beds!$B$6:$B$35,D627)=0),"Not on Beds",""))))))</f>
        <v/>
      </c>
      <c r="J627" s="1">
        <f>IF(ISNUMBER(B627),YEAR(B627),"")</f>
        <v/>
      </c>
      <c r="K627">
        <f>IF(ISNUMBER(B627),YEAR(B627)*100+MONTH(B627),"")</f>
        <v/>
      </c>
      <c r="L627">
        <f>IF(ISNUMBER(B627),INT(B627),0)</f>
        <v/>
      </c>
    </row>
    <row r="628">
      <c r="A628" s="1" t="n"/>
      <c r="B628" s="17" t="n"/>
      <c r="C628" s="18" t="n"/>
      <c r="D628" s="19" t="n"/>
      <c r="E628" s="23" t="n"/>
      <c r="F628" s="21" t="n"/>
      <c r="G628" s="11">
        <f>IF(C628="","",IFERROR(INDEX(Crops!$D$6:$D$65,MATCH(C628,Crops!$B$6:$B$65,0))&amp;"",""))</f>
        <v/>
      </c>
      <c r="H628" s="12">
        <f>IF(OR(C628="",NOT(ISNUMBER(E628))),"",E628*N(IFERROR(INDEX(Crops!$E$6:$E$65,MATCH(C628,Crops!$B$6:$B$65,0)),0)))</f>
        <v/>
      </c>
      <c r="I628" s="11">
        <f>IF(AND(C628="",E628=""),"",IF(NOT(ISNUMBER(B628)),"Needs a date",IF(C628="","Needs a crop",IF(COUNTIF(Crops!$B$6:$B$65,C628)=0,"Not on Crops",IF(NOT(ISNUMBER(E628)),"Needs the amount",IF(AND(D628&lt;&gt;"",COUNTIF(Beds!$B$6:$B$35,D628)=0),"Not on Beds",""))))))</f>
        <v/>
      </c>
      <c r="J628" s="1">
        <f>IF(ISNUMBER(B628),YEAR(B628),"")</f>
        <v/>
      </c>
      <c r="K628">
        <f>IF(ISNUMBER(B628),YEAR(B628)*100+MONTH(B628),"")</f>
        <v/>
      </c>
      <c r="L628">
        <f>IF(ISNUMBER(B628),INT(B628),0)</f>
        <v/>
      </c>
    </row>
    <row r="629">
      <c r="A629" s="1" t="n"/>
      <c r="B629" s="17" t="n"/>
      <c r="C629" s="18" t="n"/>
      <c r="D629" s="19" t="n"/>
      <c r="E629" s="23" t="n"/>
      <c r="F629" s="21" t="n"/>
      <c r="G629" s="11">
        <f>IF(C629="","",IFERROR(INDEX(Crops!$D$6:$D$65,MATCH(C629,Crops!$B$6:$B$65,0))&amp;"",""))</f>
        <v/>
      </c>
      <c r="H629" s="12">
        <f>IF(OR(C629="",NOT(ISNUMBER(E629))),"",E629*N(IFERROR(INDEX(Crops!$E$6:$E$65,MATCH(C629,Crops!$B$6:$B$65,0)),0)))</f>
        <v/>
      </c>
      <c r="I629" s="11">
        <f>IF(AND(C629="",E629=""),"",IF(NOT(ISNUMBER(B629)),"Needs a date",IF(C629="","Needs a crop",IF(COUNTIF(Crops!$B$6:$B$65,C629)=0,"Not on Crops",IF(NOT(ISNUMBER(E629)),"Needs the amount",IF(AND(D629&lt;&gt;"",COUNTIF(Beds!$B$6:$B$35,D629)=0),"Not on Beds",""))))))</f>
        <v/>
      </c>
      <c r="J629" s="1">
        <f>IF(ISNUMBER(B629),YEAR(B629),"")</f>
        <v/>
      </c>
      <c r="K629">
        <f>IF(ISNUMBER(B629),YEAR(B629)*100+MONTH(B629),"")</f>
        <v/>
      </c>
      <c r="L629">
        <f>IF(ISNUMBER(B629),INT(B629),0)</f>
        <v/>
      </c>
    </row>
    <row r="630">
      <c r="A630" s="1" t="n"/>
      <c r="B630" s="17" t="n"/>
      <c r="C630" s="18" t="n"/>
      <c r="D630" s="19" t="n"/>
      <c r="E630" s="23" t="n"/>
      <c r="F630" s="21" t="n"/>
      <c r="G630" s="11">
        <f>IF(C630="","",IFERROR(INDEX(Crops!$D$6:$D$65,MATCH(C630,Crops!$B$6:$B$65,0))&amp;"",""))</f>
        <v/>
      </c>
      <c r="H630" s="12">
        <f>IF(OR(C630="",NOT(ISNUMBER(E630))),"",E630*N(IFERROR(INDEX(Crops!$E$6:$E$65,MATCH(C630,Crops!$B$6:$B$65,0)),0)))</f>
        <v/>
      </c>
      <c r="I630" s="11">
        <f>IF(AND(C630="",E630=""),"",IF(NOT(ISNUMBER(B630)),"Needs a date",IF(C630="","Needs a crop",IF(COUNTIF(Crops!$B$6:$B$65,C630)=0,"Not on Crops",IF(NOT(ISNUMBER(E630)),"Needs the amount",IF(AND(D630&lt;&gt;"",COUNTIF(Beds!$B$6:$B$35,D630)=0),"Not on Beds",""))))))</f>
        <v/>
      </c>
      <c r="J630" s="1">
        <f>IF(ISNUMBER(B630),YEAR(B630),"")</f>
        <v/>
      </c>
      <c r="K630">
        <f>IF(ISNUMBER(B630),YEAR(B630)*100+MONTH(B630),"")</f>
        <v/>
      </c>
      <c r="L630">
        <f>IF(ISNUMBER(B630),INT(B630),0)</f>
        <v/>
      </c>
    </row>
    <row r="631">
      <c r="A631" s="1" t="n"/>
      <c r="B631" s="17" t="n"/>
      <c r="C631" s="18" t="n"/>
      <c r="D631" s="19" t="n"/>
      <c r="E631" s="23" t="n"/>
      <c r="F631" s="21" t="n"/>
      <c r="G631" s="11">
        <f>IF(C631="","",IFERROR(INDEX(Crops!$D$6:$D$65,MATCH(C631,Crops!$B$6:$B$65,0))&amp;"",""))</f>
        <v/>
      </c>
      <c r="H631" s="12">
        <f>IF(OR(C631="",NOT(ISNUMBER(E631))),"",E631*N(IFERROR(INDEX(Crops!$E$6:$E$65,MATCH(C631,Crops!$B$6:$B$65,0)),0)))</f>
        <v/>
      </c>
      <c r="I631" s="11">
        <f>IF(AND(C631="",E631=""),"",IF(NOT(ISNUMBER(B631)),"Needs a date",IF(C631="","Needs a crop",IF(COUNTIF(Crops!$B$6:$B$65,C631)=0,"Not on Crops",IF(NOT(ISNUMBER(E631)),"Needs the amount",IF(AND(D631&lt;&gt;"",COUNTIF(Beds!$B$6:$B$35,D631)=0),"Not on Beds",""))))))</f>
        <v/>
      </c>
      <c r="J631" s="1">
        <f>IF(ISNUMBER(B631),YEAR(B631),"")</f>
        <v/>
      </c>
      <c r="K631">
        <f>IF(ISNUMBER(B631),YEAR(B631)*100+MONTH(B631),"")</f>
        <v/>
      </c>
      <c r="L631">
        <f>IF(ISNUMBER(B631),INT(B631),0)</f>
        <v/>
      </c>
    </row>
    <row r="632">
      <c r="A632" s="1" t="n"/>
      <c r="B632" s="17" t="n"/>
      <c r="C632" s="18" t="n"/>
      <c r="D632" s="19" t="n"/>
      <c r="E632" s="23" t="n"/>
      <c r="F632" s="21" t="n"/>
      <c r="G632" s="11">
        <f>IF(C632="","",IFERROR(INDEX(Crops!$D$6:$D$65,MATCH(C632,Crops!$B$6:$B$65,0))&amp;"",""))</f>
        <v/>
      </c>
      <c r="H632" s="12">
        <f>IF(OR(C632="",NOT(ISNUMBER(E632))),"",E632*N(IFERROR(INDEX(Crops!$E$6:$E$65,MATCH(C632,Crops!$B$6:$B$65,0)),0)))</f>
        <v/>
      </c>
      <c r="I632" s="11">
        <f>IF(AND(C632="",E632=""),"",IF(NOT(ISNUMBER(B632)),"Needs a date",IF(C632="","Needs a crop",IF(COUNTIF(Crops!$B$6:$B$65,C632)=0,"Not on Crops",IF(NOT(ISNUMBER(E632)),"Needs the amount",IF(AND(D632&lt;&gt;"",COUNTIF(Beds!$B$6:$B$35,D632)=0),"Not on Beds",""))))))</f>
        <v/>
      </c>
      <c r="J632" s="1">
        <f>IF(ISNUMBER(B632),YEAR(B632),"")</f>
        <v/>
      </c>
      <c r="K632">
        <f>IF(ISNUMBER(B632),YEAR(B632)*100+MONTH(B632),"")</f>
        <v/>
      </c>
      <c r="L632">
        <f>IF(ISNUMBER(B632),INT(B632),0)</f>
        <v/>
      </c>
    </row>
    <row r="633">
      <c r="A633" s="1" t="n"/>
      <c r="B633" s="17" t="n"/>
      <c r="C633" s="18" t="n"/>
      <c r="D633" s="19" t="n"/>
      <c r="E633" s="23" t="n"/>
      <c r="F633" s="21" t="n"/>
      <c r="G633" s="11">
        <f>IF(C633="","",IFERROR(INDEX(Crops!$D$6:$D$65,MATCH(C633,Crops!$B$6:$B$65,0))&amp;"",""))</f>
        <v/>
      </c>
      <c r="H633" s="12">
        <f>IF(OR(C633="",NOT(ISNUMBER(E633))),"",E633*N(IFERROR(INDEX(Crops!$E$6:$E$65,MATCH(C633,Crops!$B$6:$B$65,0)),0)))</f>
        <v/>
      </c>
      <c r="I633" s="11">
        <f>IF(AND(C633="",E633=""),"",IF(NOT(ISNUMBER(B633)),"Needs a date",IF(C633="","Needs a crop",IF(COUNTIF(Crops!$B$6:$B$65,C633)=0,"Not on Crops",IF(NOT(ISNUMBER(E633)),"Needs the amount",IF(AND(D633&lt;&gt;"",COUNTIF(Beds!$B$6:$B$35,D633)=0),"Not on Beds",""))))))</f>
        <v/>
      </c>
      <c r="J633" s="1">
        <f>IF(ISNUMBER(B633),YEAR(B633),"")</f>
        <v/>
      </c>
      <c r="K633">
        <f>IF(ISNUMBER(B633),YEAR(B633)*100+MONTH(B633),"")</f>
        <v/>
      </c>
      <c r="L633">
        <f>IF(ISNUMBER(B633),INT(B633),0)</f>
        <v/>
      </c>
    </row>
    <row r="634">
      <c r="A634" s="1" t="n"/>
      <c r="B634" s="17" t="n"/>
      <c r="C634" s="18" t="n"/>
      <c r="D634" s="19" t="n"/>
      <c r="E634" s="23" t="n"/>
      <c r="F634" s="21" t="n"/>
      <c r="G634" s="11">
        <f>IF(C634="","",IFERROR(INDEX(Crops!$D$6:$D$65,MATCH(C634,Crops!$B$6:$B$65,0))&amp;"",""))</f>
        <v/>
      </c>
      <c r="H634" s="12">
        <f>IF(OR(C634="",NOT(ISNUMBER(E634))),"",E634*N(IFERROR(INDEX(Crops!$E$6:$E$65,MATCH(C634,Crops!$B$6:$B$65,0)),0)))</f>
        <v/>
      </c>
      <c r="I634" s="11">
        <f>IF(AND(C634="",E634=""),"",IF(NOT(ISNUMBER(B634)),"Needs a date",IF(C634="","Needs a crop",IF(COUNTIF(Crops!$B$6:$B$65,C634)=0,"Not on Crops",IF(NOT(ISNUMBER(E634)),"Needs the amount",IF(AND(D634&lt;&gt;"",COUNTIF(Beds!$B$6:$B$35,D634)=0),"Not on Beds",""))))))</f>
        <v/>
      </c>
      <c r="J634" s="1">
        <f>IF(ISNUMBER(B634),YEAR(B634),"")</f>
        <v/>
      </c>
      <c r="K634">
        <f>IF(ISNUMBER(B634),YEAR(B634)*100+MONTH(B634),"")</f>
        <v/>
      </c>
      <c r="L634">
        <f>IF(ISNUMBER(B634),INT(B634),0)</f>
        <v/>
      </c>
    </row>
    <row r="635">
      <c r="A635" s="1" t="n"/>
      <c r="B635" s="17" t="n"/>
      <c r="C635" s="18" t="n"/>
      <c r="D635" s="19" t="n"/>
      <c r="E635" s="23" t="n"/>
      <c r="F635" s="21" t="n"/>
      <c r="G635" s="11">
        <f>IF(C635="","",IFERROR(INDEX(Crops!$D$6:$D$65,MATCH(C635,Crops!$B$6:$B$65,0))&amp;"",""))</f>
        <v/>
      </c>
      <c r="H635" s="12">
        <f>IF(OR(C635="",NOT(ISNUMBER(E635))),"",E635*N(IFERROR(INDEX(Crops!$E$6:$E$65,MATCH(C635,Crops!$B$6:$B$65,0)),0)))</f>
        <v/>
      </c>
      <c r="I635" s="11">
        <f>IF(AND(C635="",E635=""),"",IF(NOT(ISNUMBER(B635)),"Needs a date",IF(C635="","Needs a crop",IF(COUNTIF(Crops!$B$6:$B$65,C635)=0,"Not on Crops",IF(NOT(ISNUMBER(E635)),"Needs the amount",IF(AND(D635&lt;&gt;"",COUNTIF(Beds!$B$6:$B$35,D635)=0),"Not on Beds",""))))))</f>
        <v/>
      </c>
      <c r="J635" s="1">
        <f>IF(ISNUMBER(B635),YEAR(B635),"")</f>
        <v/>
      </c>
      <c r="K635">
        <f>IF(ISNUMBER(B635),YEAR(B635)*100+MONTH(B635),"")</f>
        <v/>
      </c>
      <c r="L635">
        <f>IF(ISNUMBER(B635),INT(B635),0)</f>
        <v/>
      </c>
    </row>
    <row r="636">
      <c r="A636" s="1" t="n"/>
      <c r="B636" s="17" t="n"/>
      <c r="C636" s="18" t="n"/>
      <c r="D636" s="19" t="n"/>
      <c r="E636" s="23" t="n"/>
      <c r="F636" s="21" t="n"/>
      <c r="G636" s="11">
        <f>IF(C636="","",IFERROR(INDEX(Crops!$D$6:$D$65,MATCH(C636,Crops!$B$6:$B$65,0))&amp;"",""))</f>
        <v/>
      </c>
      <c r="H636" s="12">
        <f>IF(OR(C636="",NOT(ISNUMBER(E636))),"",E636*N(IFERROR(INDEX(Crops!$E$6:$E$65,MATCH(C636,Crops!$B$6:$B$65,0)),0)))</f>
        <v/>
      </c>
      <c r="I636" s="11">
        <f>IF(AND(C636="",E636=""),"",IF(NOT(ISNUMBER(B636)),"Needs a date",IF(C636="","Needs a crop",IF(COUNTIF(Crops!$B$6:$B$65,C636)=0,"Not on Crops",IF(NOT(ISNUMBER(E636)),"Needs the amount",IF(AND(D636&lt;&gt;"",COUNTIF(Beds!$B$6:$B$35,D636)=0),"Not on Beds",""))))))</f>
        <v/>
      </c>
      <c r="J636" s="1">
        <f>IF(ISNUMBER(B636),YEAR(B636),"")</f>
        <v/>
      </c>
      <c r="K636">
        <f>IF(ISNUMBER(B636),YEAR(B636)*100+MONTH(B636),"")</f>
        <v/>
      </c>
      <c r="L636">
        <f>IF(ISNUMBER(B636),INT(B636),0)</f>
        <v/>
      </c>
    </row>
    <row r="637">
      <c r="A637" s="1" t="n"/>
      <c r="B637" s="17" t="n"/>
      <c r="C637" s="18" t="n"/>
      <c r="D637" s="19" t="n"/>
      <c r="E637" s="23" t="n"/>
      <c r="F637" s="21" t="n"/>
      <c r="G637" s="11">
        <f>IF(C637="","",IFERROR(INDEX(Crops!$D$6:$D$65,MATCH(C637,Crops!$B$6:$B$65,0))&amp;"",""))</f>
        <v/>
      </c>
      <c r="H637" s="12">
        <f>IF(OR(C637="",NOT(ISNUMBER(E637))),"",E637*N(IFERROR(INDEX(Crops!$E$6:$E$65,MATCH(C637,Crops!$B$6:$B$65,0)),0)))</f>
        <v/>
      </c>
      <c r="I637" s="11">
        <f>IF(AND(C637="",E637=""),"",IF(NOT(ISNUMBER(B637)),"Needs a date",IF(C637="","Needs a crop",IF(COUNTIF(Crops!$B$6:$B$65,C637)=0,"Not on Crops",IF(NOT(ISNUMBER(E637)),"Needs the amount",IF(AND(D637&lt;&gt;"",COUNTIF(Beds!$B$6:$B$35,D637)=0),"Not on Beds",""))))))</f>
        <v/>
      </c>
      <c r="J637" s="1">
        <f>IF(ISNUMBER(B637),YEAR(B637),"")</f>
        <v/>
      </c>
      <c r="K637">
        <f>IF(ISNUMBER(B637),YEAR(B637)*100+MONTH(B637),"")</f>
        <v/>
      </c>
      <c r="L637">
        <f>IF(ISNUMBER(B637),INT(B637),0)</f>
        <v/>
      </c>
    </row>
    <row r="638">
      <c r="A638" s="1" t="n"/>
      <c r="B638" s="17" t="n"/>
      <c r="C638" s="18" t="n"/>
      <c r="D638" s="19" t="n"/>
      <c r="E638" s="23" t="n"/>
      <c r="F638" s="21" t="n"/>
      <c r="G638" s="11">
        <f>IF(C638="","",IFERROR(INDEX(Crops!$D$6:$D$65,MATCH(C638,Crops!$B$6:$B$65,0))&amp;"",""))</f>
        <v/>
      </c>
      <c r="H638" s="12">
        <f>IF(OR(C638="",NOT(ISNUMBER(E638))),"",E638*N(IFERROR(INDEX(Crops!$E$6:$E$65,MATCH(C638,Crops!$B$6:$B$65,0)),0)))</f>
        <v/>
      </c>
      <c r="I638" s="11">
        <f>IF(AND(C638="",E638=""),"",IF(NOT(ISNUMBER(B638)),"Needs a date",IF(C638="","Needs a crop",IF(COUNTIF(Crops!$B$6:$B$65,C638)=0,"Not on Crops",IF(NOT(ISNUMBER(E638)),"Needs the amount",IF(AND(D638&lt;&gt;"",COUNTIF(Beds!$B$6:$B$35,D638)=0),"Not on Beds",""))))))</f>
        <v/>
      </c>
      <c r="J638" s="1">
        <f>IF(ISNUMBER(B638),YEAR(B638),"")</f>
        <v/>
      </c>
      <c r="K638">
        <f>IF(ISNUMBER(B638),YEAR(B638)*100+MONTH(B638),"")</f>
        <v/>
      </c>
      <c r="L638">
        <f>IF(ISNUMBER(B638),INT(B638),0)</f>
        <v/>
      </c>
    </row>
    <row r="639">
      <c r="A639" s="1" t="n"/>
      <c r="B639" s="17" t="n"/>
      <c r="C639" s="18" t="n"/>
      <c r="D639" s="19" t="n"/>
      <c r="E639" s="23" t="n"/>
      <c r="F639" s="21" t="n"/>
      <c r="G639" s="11">
        <f>IF(C639="","",IFERROR(INDEX(Crops!$D$6:$D$65,MATCH(C639,Crops!$B$6:$B$65,0))&amp;"",""))</f>
        <v/>
      </c>
      <c r="H639" s="12">
        <f>IF(OR(C639="",NOT(ISNUMBER(E639))),"",E639*N(IFERROR(INDEX(Crops!$E$6:$E$65,MATCH(C639,Crops!$B$6:$B$65,0)),0)))</f>
        <v/>
      </c>
      <c r="I639" s="11">
        <f>IF(AND(C639="",E639=""),"",IF(NOT(ISNUMBER(B639)),"Needs a date",IF(C639="","Needs a crop",IF(COUNTIF(Crops!$B$6:$B$65,C639)=0,"Not on Crops",IF(NOT(ISNUMBER(E639)),"Needs the amount",IF(AND(D639&lt;&gt;"",COUNTIF(Beds!$B$6:$B$35,D639)=0),"Not on Beds",""))))))</f>
        <v/>
      </c>
      <c r="J639" s="1">
        <f>IF(ISNUMBER(B639),YEAR(B639),"")</f>
        <v/>
      </c>
      <c r="K639">
        <f>IF(ISNUMBER(B639),YEAR(B639)*100+MONTH(B639),"")</f>
        <v/>
      </c>
      <c r="L639">
        <f>IF(ISNUMBER(B639),INT(B639),0)</f>
        <v/>
      </c>
    </row>
    <row r="640">
      <c r="A640" s="1" t="n"/>
      <c r="B640" s="17" t="n"/>
      <c r="C640" s="18" t="n"/>
      <c r="D640" s="19" t="n"/>
      <c r="E640" s="23" t="n"/>
      <c r="F640" s="21" t="n"/>
      <c r="G640" s="11">
        <f>IF(C640="","",IFERROR(INDEX(Crops!$D$6:$D$65,MATCH(C640,Crops!$B$6:$B$65,0))&amp;"",""))</f>
        <v/>
      </c>
      <c r="H640" s="12">
        <f>IF(OR(C640="",NOT(ISNUMBER(E640))),"",E640*N(IFERROR(INDEX(Crops!$E$6:$E$65,MATCH(C640,Crops!$B$6:$B$65,0)),0)))</f>
        <v/>
      </c>
      <c r="I640" s="11">
        <f>IF(AND(C640="",E640=""),"",IF(NOT(ISNUMBER(B640)),"Needs a date",IF(C640="","Needs a crop",IF(COUNTIF(Crops!$B$6:$B$65,C640)=0,"Not on Crops",IF(NOT(ISNUMBER(E640)),"Needs the amount",IF(AND(D640&lt;&gt;"",COUNTIF(Beds!$B$6:$B$35,D640)=0),"Not on Beds",""))))))</f>
        <v/>
      </c>
      <c r="J640" s="1">
        <f>IF(ISNUMBER(B640),YEAR(B640),"")</f>
        <v/>
      </c>
      <c r="K640">
        <f>IF(ISNUMBER(B640),YEAR(B640)*100+MONTH(B640),"")</f>
        <v/>
      </c>
      <c r="L640">
        <f>IF(ISNUMBER(B640),INT(B640),0)</f>
        <v/>
      </c>
    </row>
    <row r="641">
      <c r="A641" s="1" t="n"/>
      <c r="B641" s="17" t="n"/>
      <c r="C641" s="18" t="n"/>
      <c r="D641" s="19" t="n"/>
      <c r="E641" s="23" t="n"/>
      <c r="F641" s="21" t="n"/>
      <c r="G641" s="11">
        <f>IF(C641="","",IFERROR(INDEX(Crops!$D$6:$D$65,MATCH(C641,Crops!$B$6:$B$65,0))&amp;"",""))</f>
        <v/>
      </c>
      <c r="H641" s="12">
        <f>IF(OR(C641="",NOT(ISNUMBER(E641))),"",E641*N(IFERROR(INDEX(Crops!$E$6:$E$65,MATCH(C641,Crops!$B$6:$B$65,0)),0)))</f>
        <v/>
      </c>
      <c r="I641" s="11">
        <f>IF(AND(C641="",E641=""),"",IF(NOT(ISNUMBER(B641)),"Needs a date",IF(C641="","Needs a crop",IF(COUNTIF(Crops!$B$6:$B$65,C641)=0,"Not on Crops",IF(NOT(ISNUMBER(E641)),"Needs the amount",IF(AND(D641&lt;&gt;"",COUNTIF(Beds!$B$6:$B$35,D641)=0),"Not on Beds",""))))))</f>
        <v/>
      </c>
      <c r="J641" s="1">
        <f>IF(ISNUMBER(B641),YEAR(B641),"")</f>
        <v/>
      </c>
      <c r="K641">
        <f>IF(ISNUMBER(B641),YEAR(B641)*100+MONTH(B641),"")</f>
        <v/>
      </c>
      <c r="L641">
        <f>IF(ISNUMBER(B641),INT(B641),0)</f>
        <v/>
      </c>
    </row>
    <row r="642">
      <c r="A642" s="1" t="n"/>
      <c r="B642" s="17" t="n"/>
      <c r="C642" s="18" t="n"/>
      <c r="D642" s="19" t="n"/>
      <c r="E642" s="23" t="n"/>
      <c r="F642" s="21" t="n"/>
      <c r="G642" s="11">
        <f>IF(C642="","",IFERROR(INDEX(Crops!$D$6:$D$65,MATCH(C642,Crops!$B$6:$B$65,0))&amp;"",""))</f>
        <v/>
      </c>
      <c r="H642" s="12">
        <f>IF(OR(C642="",NOT(ISNUMBER(E642))),"",E642*N(IFERROR(INDEX(Crops!$E$6:$E$65,MATCH(C642,Crops!$B$6:$B$65,0)),0)))</f>
        <v/>
      </c>
      <c r="I642" s="11">
        <f>IF(AND(C642="",E642=""),"",IF(NOT(ISNUMBER(B642)),"Needs a date",IF(C642="","Needs a crop",IF(COUNTIF(Crops!$B$6:$B$65,C642)=0,"Not on Crops",IF(NOT(ISNUMBER(E642)),"Needs the amount",IF(AND(D642&lt;&gt;"",COUNTIF(Beds!$B$6:$B$35,D642)=0),"Not on Beds",""))))))</f>
        <v/>
      </c>
      <c r="J642" s="1">
        <f>IF(ISNUMBER(B642),YEAR(B642),"")</f>
        <v/>
      </c>
      <c r="K642">
        <f>IF(ISNUMBER(B642),YEAR(B642)*100+MONTH(B642),"")</f>
        <v/>
      </c>
      <c r="L642">
        <f>IF(ISNUMBER(B642),INT(B642),0)</f>
        <v/>
      </c>
    </row>
    <row r="643">
      <c r="A643" s="1" t="n"/>
      <c r="B643" s="17" t="n"/>
      <c r="C643" s="18" t="n"/>
      <c r="D643" s="19" t="n"/>
      <c r="E643" s="23" t="n"/>
      <c r="F643" s="21" t="n"/>
      <c r="G643" s="11">
        <f>IF(C643="","",IFERROR(INDEX(Crops!$D$6:$D$65,MATCH(C643,Crops!$B$6:$B$65,0))&amp;"",""))</f>
        <v/>
      </c>
      <c r="H643" s="12">
        <f>IF(OR(C643="",NOT(ISNUMBER(E643))),"",E643*N(IFERROR(INDEX(Crops!$E$6:$E$65,MATCH(C643,Crops!$B$6:$B$65,0)),0)))</f>
        <v/>
      </c>
      <c r="I643" s="11">
        <f>IF(AND(C643="",E643=""),"",IF(NOT(ISNUMBER(B643)),"Needs a date",IF(C643="","Needs a crop",IF(COUNTIF(Crops!$B$6:$B$65,C643)=0,"Not on Crops",IF(NOT(ISNUMBER(E643)),"Needs the amount",IF(AND(D643&lt;&gt;"",COUNTIF(Beds!$B$6:$B$35,D643)=0),"Not on Beds",""))))))</f>
        <v/>
      </c>
      <c r="J643" s="1">
        <f>IF(ISNUMBER(B643),YEAR(B643),"")</f>
        <v/>
      </c>
      <c r="K643">
        <f>IF(ISNUMBER(B643),YEAR(B643)*100+MONTH(B643),"")</f>
        <v/>
      </c>
      <c r="L643">
        <f>IF(ISNUMBER(B643),INT(B643),0)</f>
        <v/>
      </c>
    </row>
    <row r="644">
      <c r="A644" s="1" t="n"/>
      <c r="B644" s="17" t="n"/>
      <c r="C644" s="18" t="n"/>
      <c r="D644" s="19" t="n"/>
      <c r="E644" s="23" t="n"/>
      <c r="F644" s="21" t="n"/>
      <c r="G644" s="11">
        <f>IF(C644="","",IFERROR(INDEX(Crops!$D$6:$D$65,MATCH(C644,Crops!$B$6:$B$65,0))&amp;"",""))</f>
        <v/>
      </c>
      <c r="H644" s="12">
        <f>IF(OR(C644="",NOT(ISNUMBER(E644))),"",E644*N(IFERROR(INDEX(Crops!$E$6:$E$65,MATCH(C644,Crops!$B$6:$B$65,0)),0)))</f>
        <v/>
      </c>
      <c r="I644" s="11">
        <f>IF(AND(C644="",E644=""),"",IF(NOT(ISNUMBER(B644)),"Needs a date",IF(C644="","Needs a crop",IF(COUNTIF(Crops!$B$6:$B$65,C644)=0,"Not on Crops",IF(NOT(ISNUMBER(E644)),"Needs the amount",IF(AND(D644&lt;&gt;"",COUNTIF(Beds!$B$6:$B$35,D644)=0),"Not on Beds",""))))))</f>
        <v/>
      </c>
      <c r="J644" s="1">
        <f>IF(ISNUMBER(B644),YEAR(B644),"")</f>
        <v/>
      </c>
      <c r="K644">
        <f>IF(ISNUMBER(B644),YEAR(B644)*100+MONTH(B644),"")</f>
        <v/>
      </c>
      <c r="L644">
        <f>IF(ISNUMBER(B644),INT(B644),0)</f>
        <v/>
      </c>
    </row>
    <row r="645">
      <c r="A645" s="1" t="n"/>
      <c r="B645" s="17" t="n"/>
      <c r="C645" s="18" t="n"/>
      <c r="D645" s="19" t="n"/>
      <c r="E645" s="23" t="n"/>
      <c r="F645" s="21" t="n"/>
      <c r="G645" s="11">
        <f>IF(C645="","",IFERROR(INDEX(Crops!$D$6:$D$65,MATCH(C645,Crops!$B$6:$B$65,0))&amp;"",""))</f>
        <v/>
      </c>
      <c r="H645" s="12">
        <f>IF(OR(C645="",NOT(ISNUMBER(E645))),"",E645*N(IFERROR(INDEX(Crops!$E$6:$E$65,MATCH(C645,Crops!$B$6:$B$65,0)),0)))</f>
        <v/>
      </c>
      <c r="I645" s="11">
        <f>IF(AND(C645="",E645=""),"",IF(NOT(ISNUMBER(B645)),"Needs a date",IF(C645="","Needs a crop",IF(COUNTIF(Crops!$B$6:$B$65,C645)=0,"Not on Crops",IF(NOT(ISNUMBER(E645)),"Needs the amount",IF(AND(D645&lt;&gt;"",COUNTIF(Beds!$B$6:$B$35,D645)=0),"Not on Beds",""))))))</f>
        <v/>
      </c>
      <c r="J645" s="1">
        <f>IF(ISNUMBER(B645),YEAR(B645),"")</f>
        <v/>
      </c>
      <c r="K645">
        <f>IF(ISNUMBER(B645),YEAR(B645)*100+MONTH(B645),"")</f>
        <v/>
      </c>
      <c r="L645">
        <f>IF(ISNUMBER(B645),INT(B645),0)</f>
        <v/>
      </c>
    </row>
    <row r="646">
      <c r="A646" s="1" t="n"/>
      <c r="B646" s="17" t="n"/>
      <c r="C646" s="18" t="n"/>
      <c r="D646" s="19" t="n"/>
      <c r="E646" s="23" t="n"/>
      <c r="F646" s="21" t="n"/>
      <c r="G646" s="11">
        <f>IF(C646="","",IFERROR(INDEX(Crops!$D$6:$D$65,MATCH(C646,Crops!$B$6:$B$65,0))&amp;"",""))</f>
        <v/>
      </c>
      <c r="H646" s="12">
        <f>IF(OR(C646="",NOT(ISNUMBER(E646))),"",E646*N(IFERROR(INDEX(Crops!$E$6:$E$65,MATCH(C646,Crops!$B$6:$B$65,0)),0)))</f>
        <v/>
      </c>
      <c r="I646" s="11">
        <f>IF(AND(C646="",E646=""),"",IF(NOT(ISNUMBER(B646)),"Needs a date",IF(C646="","Needs a crop",IF(COUNTIF(Crops!$B$6:$B$65,C646)=0,"Not on Crops",IF(NOT(ISNUMBER(E646)),"Needs the amount",IF(AND(D646&lt;&gt;"",COUNTIF(Beds!$B$6:$B$35,D646)=0),"Not on Beds",""))))))</f>
        <v/>
      </c>
      <c r="J646" s="1">
        <f>IF(ISNUMBER(B646),YEAR(B646),"")</f>
        <v/>
      </c>
      <c r="K646">
        <f>IF(ISNUMBER(B646),YEAR(B646)*100+MONTH(B646),"")</f>
        <v/>
      </c>
      <c r="L646">
        <f>IF(ISNUMBER(B646),INT(B646),0)</f>
        <v/>
      </c>
    </row>
    <row r="647">
      <c r="A647" s="1" t="n"/>
      <c r="B647" s="17" t="n"/>
      <c r="C647" s="18" t="n"/>
      <c r="D647" s="19" t="n"/>
      <c r="E647" s="23" t="n"/>
      <c r="F647" s="21" t="n"/>
      <c r="G647" s="11">
        <f>IF(C647="","",IFERROR(INDEX(Crops!$D$6:$D$65,MATCH(C647,Crops!$B$6:$B$65,0))&amp;"",""))</f>
        <v/>
      </c>
      <c r="H647" s="12">
        <f>IF(OR(C647="",NOT(ISNUMBER(E647))),"",E647*N(IFERROR(INDEX(Crops!$E$6:$E$65,MATCH(C647,Crops!$B$6:$B$65,0)),0)))</f>
        <v/>
      </c>
      <c r="I647" s="11">
        <f>IF(AND(C647="",E647=""),"",IF(NOT(ISNUMBER(B647)),"Needs a date",IF(C647="","Needs a crop",IF(COUNTIF(Crops!$B$6:$B$65,C647)=0,"Not on Crops",IF(NOT(ISNUMBER(E647)),"Needs the amount",IF(AND(D647&lt;&gt;"",COUNTIF(Beds!$B$6:$B$35,D647)=0),"Not on Beds",""))))))</f>
        <v/>
      </c>
      <c r="J647" s="1">
        <f>IF(ISNUMBER(B647),YEAR(B647),"")</f>
        <v/>
      </c>
      <c r="K647">
        <f>IF(ISNUMBER(B647),YEAR(B647)*100+MONTH(B647),"")</f>
        <v/>
      </c>
      <c r="L647">
        <f>IF(ISNUMBER(B647),INT(B647),0)</f>
        <v/>
      </c>
    </row>
    <row r="648">
      <c r="A648" s="1" t="n"/>
      <c r="B648" s="17" t="n"/>
      <c r="C648" s="18" t="n"/>
      <c r="D648" s="19" t="n"/>
      <c r="E648" s="23" t="n"/>
      <c r="F648" s="21" t="n"/>
      <c r="G648" s="11">
        <f>IF(C648="","",IFERROR(INDEX(Crops!$D$6:$D$65,MATCH(C648,Crops!$B$6:$B$65,0))&amp;"",""))</f>
        <v/>
      </c>
      <c r="H648" s="12">
        <f>IF(OR(C648="",NOT(ISNUMBER(E648))),"",E648*N(IFERROR(INDEX(Crops!$E$6:$E$65,MATCH(C648,Crops!$B$6:$B$65,0)),0)))</f>
        <v/>
      </c>
      <c r="I648" s="11">
        <f>IF(AND(C648="",E648=""),"",IF(NOT(ISNUMBER(B648)),"Needs a date",IF(C648="","Needs a crop",IF(COUNTIF(Crops!$B$6:$B$65,C648)=0,"Not on Crops",IF(NOT(ISNUMBER(E648)),"Needs the amount",IF(AND(D648&lt;&gt;"",COUNTIF(Beds!$B$6:$B$35,D648)=0),"Not on Beds",""))))))</f>
        <v/>
      </c>
      <c r="J648" s="1">
        <f>IF(ISNUMBER(B648),YEAR(B648),"")</f>
        <v/>
      </c>
      <c r="K648">
        <f>IF(ISNUMBER(B648),YEAR(B648)*100+MONTH(B648),"")</f>
        <v/>
      </c>
      <c r="L648">
        <f>IF(ISNUMBER(B648),INT(B648),0)</f>
        <v/>
      </c>
    </row>
    <row r="649">
      <c r="A649" s="1" t="n"/>
      <c r="B649" s="17" t="n"/>
      <c r="C649" s="18" t="n"/>
      <c r="D649" s="19" t="n"/>
      <c r="E649" s="23" t="n"/>
      <c r="F649" s="21" t="n"/>
      <c r="G649" s="11">
        <f>IF(C649="","",IFERROR(INDEX(Crops!$D$6:$D$65,MATCH(C649,Crops!$B$6:$B$65,0))&amp;"",""))</f>
        <v/>
      </c>
      <c r="H649" s="12">
        <f>IF(OR(C649="",NOT(ISNUMBER(E649))),"",E649*N(IFERROR(INDEX(Crops!$E$6:$E$65,MATCH(C649,Crops!$B$6:$B$65,0)),0)))</f>
        <v/>
      </c>
      <c r="I649" s="11">
        <f>IF(AND(C649="",E649=""),"",IF(NOT(ISNUMBER(B649)),"Needs a date",IF(C649="","Needs a crop",IF(COUNTIF(Crops!$B$6:$B$65,C649)=0,"Not on Crops",IF(NOT(ISNUMBER(E649)),"Needs the amount",IF(AND(D649&lt;&gt;"",COUNTIF(Beds!$B$6:$B$35,D649)=0),"Not on Beds",""))))))</f>
        <v/>
      </c>
      <c r="J649" s="1">
        <f>IF(ISNUMBER(B649),YEAR(B649),"")</f>
        <v/>
      </c>
      <c r="K649">
        <f>IF(ISNUMBER(B649),YEAR(B649)*100+MONTH(B649),"")</f>
        <v/>
      </c>
      <c r="L649">
        <f>IF(ISNUMBER(B649),INT(B649),0)</f>
        <v/>
      </c>
    </row>
    <row r="650">
      <c r="A650" s="1" t="n"/>
      <c r="B650" s="17" t="n"/>
      <c r="C650" s="18" t="n"/>
      <c r="D650" s="19" t="n"/>
      <c r="E650" s="23" t="n"/>
      <c r="F650" s="21" t="n"/>
      <c r="G650" s="11">
        <f>IF(C650="","",IFERROR(INDEX(Crops!$D$6:$D$65,MATCH(C650,Crops!$B$6:$B$65,0))&amp;"",""))</f>
        <v/>
      </c>
      <c r="H650" s="12">
        <f>IF(OR(C650="",NOT(ISNUMBER(E650))),"",E650*N(IFERROR(INDEX(Crops!$E$6:$E$65,MATCH(C650,Crops!$B$6:$B$65,0)),0)))</f>
        <v/>
      </c>
      <c r="I650" s="11">
        <f>IF(AND(C650="",E650=""),"",IF(NOT(ISNUMBER(B650)),"Needs a date",IF(C650="","Needs a crop",IF(COUNTIF(Crops!$B$6:$B$65,C650)=0,"Not on Crops",IF(NOT(ISNUMBER(E650)),"Needs the amount",IF(AND(D650&lt;&gt;"",COUNTIF(Beds!$B$6:$B$35,D650)=0),"Not on Beds",""))))))</f>
        <v/>
      </c>
      <c r="J650" s="1">
        <f>IF(ISNUMBER(B650),YEAR(B650),"")</f>
        <v/>
      </c>
      <c r="K650">
        <f>IF(ISNUMBER(B650),YEAR(B650)*100+MONTH(B650),"")</f>
        <v/>
      </c>
      <c r="L650">
        <f>IF(ISNUMBER(B650),INT(B650),0)</f>
        <v/>
      </c>
    </row>
    <row r="651">
      <c r="A651" s="1" t="n"/>
      <c r="B651" s="17" t="n"/>
      <c r="C651" s="18" t="n"/>
      <c r="D651" s="19" t="n"/>
      <c r="E651" s="23" t="n"/>
      <c r="F651" s="21" t="n"/>
      <c r="G651" s="11">
        <f>IF(C651="","",IFERROR(INDEX(Crops!$D$6:$D$65,MATCH(C651,Crops!$B$6:$B$65,0))&amp;"",""))</f>
        <v/>
      </c>
      <c r="H651" s="12">
        <f>IF(OR(C651="",NOT(ISNUMBER(E651))),"",E651*N(IFERROR(INDEX(Crops!$E$6:$E$65,MATCH(C651,Crops!$B$6:$B$65,0)),0)))</f>
        <v/>
      </c>
      <c r="I651" s="11">
        <f>IF(AND(C651="",E651=""),"",IF(NOT(ISNUMBER(B651)),"Needs a date",IF(C651="","Needs a crop",IF(COUNTIF(Crops!$B$6:$B$65,C651)=0,"Not on Crops",IF(NOT(ISNUMBER(E651)),"Needs the amount",IF(AND(D651&lt;&gt;"",COUNTIF(Beds!$B$6:$B$35,D651)=0),"Not on Beds",""))))))</f>
        <v/>
      </c>
      <c r="J651" s="1">
        <f>IF(ISNUMBER(B651),YEAR(B651),"")</f>
        <v/>
      </c>
      <c r="K651">
        <f>IF(ISNUMBER(B651),YEAR(B651)*100+MONTH(B651),"")</f>
        <v/>
      </c>
      <c r="L651">
        <f>IF(ISNUMBER(B651),INT(B651),0)</f>
        <v/>
      </c>
    </row>
    <row r="652">
      <c r="A652" s="1" t="n"/>
      <c r="B652" s="17" t="n"/>
      <c r="C652" s="18" t="n"/>
      <c r="D652" s="19" t="n"/>
      <c r="E652" s="23" t="n"/>
      <c r="F652" s="21" t="n"/>
      <c r="G652" s="11">
        <f>IF(C652="","",IFERROR(INDEX(Crops!$D$6:$D$65,MATCH(C652,Crops!$B$6:$B$65,0))&amp;"",""))</f>
        <v/>
      </c>
      <c r="H652" s="12">
        <f>IF(OR(C652="",NOT(ISNUMBER(E652))),"",E652*N(IFERROR(INDEX(Crops!$E$6:$E$65,MATCH(C652,Crops!$B$6:$B$65,0)),0)))</f>
        <v/>
      </c>
      <c r="I652" s="11">
        <f>IF(AND(C652="",E652=""),"",IF(NOT(ISNUMBER(B652)),"Needs a date",IF(C652="","Needs a crop",IF(COUNTIF(Crops!$B$6:$B$65,C652)=0,"Not on Crops",IF(NOT(ISNUMBER(E652)),"Needs the amount",IF(AND(D652&lt;&gt;"",COUNTIF(Beds!$B$6:$B$35,D652)=0),"Not on Beds",""))))))</f>
        <v/>
      </c>
      <c r="J652" s="1">
        <f>IF(ISNUMBER(B652),YEAR(B652),"")</f>
        <v/>
      </c>
      <c r="K652">
        <f>IF(ISNUMBER(B652),YEAR(B652)*100+MONTH(B652),"")</f>
        <v/>
      </c>
      <c r="L652">
        <f>IF(ISNUMBER(B652),INT(B652),0)</f>
        <v/>
      </c>
    </row>
    <row r="653">
      <c r="A653" s="1" t="n"/>
      <c r="B653" s="17" t="n"/>
      <c r="C653" s="18" t="n"/>
      <c r="D653" s="19" t="n"/>
      <c r="E653" s="23" t="n"/>
      <c r="F653" s="21" t="n"/>
      <c r="G653" s="11">
        <f>IF(C653="","",IFERROR(INDEX(Crops!$D$6:$D$65,MATCH(C653,Crops!$B$6:$B$65,0))&amp;"",""))</f>
        <v/>
      </c>
      <c r="H653" s="12">
        <f>IF(OR(C653="",NOT(ISNUMBER(E653))),"",E653*N(IFERROR(INDEX(Crops!$E$6:$E$65,MATCH(C653,Crops!$B$6:$B$65,0)),0)))</f>
        <v/>
      </c>
      <c r="I653" s="11">
        <f>IF(AND(C653="",E653=""),"",IF(NOT(ISNUMBER(B653)),"Needs a date",IF(C653="","Needs a crop",IF(COUNTIF(Crops!$B$6:$B$65,C653)=0,"Not on Crops",IF(NOT(ISNUMBER(E653)),"Needs the amount",IF(AND(D653&lt;&gt;"",COUNTIF(Beds!$B$6:$B$35,D653)=0),"Not on Beds",""))))))</f>
        <v/>
      </c>
      <c r="J653" s="1">
        <f>IF(ISNUMBER(B653),YEAR(B653),"")</f>
        <v/>
      </c>
      <c r="K653">
        <f>IF(ISNUMBER(B653),YEAR(B653)*100+MONTH(B653),"")</f>
        <v/>
      </c>
      <c r="L653">
        <f>IF(ISNUMBER(B653),INT(B653),0)</f>
        <v/>
      </c>
    </row>
    <row r="654">
      <c r="A654" s="1" t="n"/>
      <c r="B654" s="17" t="n"/>
      <c r="C654" s="18" t="n"/>
      <c r="D654" s="19" t="n"/>
      <c r="E654" s="23" t="n"/>
      <c r="F654" s="21" t="n"/>
      <c r="G654" s="11">
        <f>IF(C654="","",IFERROR(INDEX(Crops!$D$6:$D$65,MATCH(C654,Crops!$B$6:$B$65,0))&amp;"",""))</f>
        <v/>
      </c>
      <c r="H654" s="12">
        <f>IF(OR(C654="",NOT(ISNUMBER(E654))),"",E654*N(IFERROR(INDEX(Crops!$E$6:$E$65,MATCH(C654,Crops!$B$6:$B$65,0)),0)))</f>
        <v/>
      </c>
      <c r="I654" s="11">
        <f>IF(AND(C654="",E654=""),"",IF(NOT(ISNUMBER(B654)),"Needs a date",IF(C654="","Needs a crop",IF(COUNTIF(Crops!$B$6:$B$65,C654)=0,"Not on Crops",IF(NOT(ISNUMBER(E654)),"Needs the amount",IF(AND(D654&lt;&gt;"",COUNTIF(Beds!$B$6:$B$35,D654)=0),"Not on Beds",""))))))</f>
        <v/>
      </c>
      <c r="J654" s="1">
        <f>IF(ISNUMBER(B654),YEAR(B654),"")</f>
        <v/>
      </c>
      <c r="K654">
        <f>IF(ISNUMBER(B654),YEAR(B654)*100+MONTH(B654),"")</f>
        <v/>
      </c>
      <c r="L654">
        <f>IF(ISNUMBER(B654),INT(B654),0)</f>
        <v/>
      </c>
    </row>
    <row r="655">
      <c r="A655" s="1" t="n"/>
      <c r="B655" s="17" t="n"/>
      <c r="C655" s="18" t="n"/>
      <c r="D655" s="19" t="n"/>
      <c r="E655" s="23" t="n"/>
      <c r="F655" s="21" t="n"/>
      <c r="G655" s="11">
        <f>IF(C655="","",IFERROR(INDEX(Crops!$D$6:$D$65,MATCH(C655,Crops!$B$6:$B$65,0))&amp;"",""))</f>
        <v/>
      </c>
      <c r="H655" s="12">
        <f>IF(OR(C655="",NOT(ISNUMBER(E655))),"",E655*N(IFERROR(INDEX(Crops!$E$6:$E$65,MATCH(C655,Crops!$B$6:$B$65,0)),0)))</f>
        <v/>
      </c>
      <c r="I655" s="11">
        <f>IF(AND(C655="",E655=""),"",IF(NOT(ISNUMBER(B655)),"Needs a date",IF(C655="","Needs a crop",IF(COUNTIF(Crops!$B$6:$B$65,C655)=0,"Not on Crops",IF(NOT(ISNUMBER(E655)),"Needs the amount",IF(AND(D655&lt;&gt;"",COUNTIF(Beds!$B$6:$B$35,D655)=0),"Not on Beds",""))))))</f>
        <v/>
      </c>
      <c r="J655" s="1">
        <f>IF(ISNUMBER(B655),YEAR(B655),"")</f>
        <v/>
      </c>
      <c r="K655">
        <f>IF(ISNUMBER(B655),YEAR(B655)*100+MONTH(B655),"")</f>
        <v/>
      </c>
      <c r="L655">
        <f>IF(ISNUMBER(B655),INT(B655),0)</f>
        <v/>
      </c>
    </row>
    <row r="656">
      <c r="A656" s="1" t="n"/>
      <c r="B656" s="17" t="n"/>
      <c r="C656" s="18" t="n"/>
      <c r="D656" s="19" t="n"/>
      <c r="E656" s="23" t="n"/>
      <c r="F656" s="21" t="n"/>
      <c r="G656" s="11">
        <f>IF(C656="","",IFERROR(INDEX(Crops!$D$6:$D$65,MATCH(C656,Crops!$B$6:$B$65,0))&amp;"",""))</f>
        <v/>
      </c>
      <c r="H656" s="12">
        <f>IF(OR(C656="",NOT(ISNUMBER(E656))),"",E656*N(IFERROR(INDEX(Crops!$E$6:$E$65,MATCH(C656,Crops!$B$6:$B$65,0)),0)))</f>
        <v/>
      </c>
      <c r="I656" s="11">
        <f>IF(AND(C656="",E656=""),"",IF(NOT(ISNUMBER(B656)),"Needs a date",IF(C656="","Needs a crop",IF(COUNTIF(Crops!$B$6:$B$65,C656)=0,"Not on Crops",IF(NOT(ISNUMBER(E656)),"Needs the amount",IF(AND(D656&lt;&gt;"",COUNTIF(Beds!$B$6:$B$35,D656)=0),"Not on Beds",""))))))</f>
        <v/>
      </c>
      <c r="J656" s="1">
        <f>IF(ISNUMBER(B656),YEAR(B656),"")</f>
        <v/>
      </c>
      <c r="K656">
        <f>IF(ISNUMBER(B656),YEAR(B656)*100+MONTH(B656),"")</f>
        <v/>
      </c>
      <c r="L656">
        <f>IF(ISNUMBER(B656),INT(B656),0)</f>
        <v/>
      </c>
    </row>
    <row r="657">
      <c r="A657" s="1" t="n"/>
      <c r="B657" s="17" t="n"/>
      <c r="C657" s="18" t="n"/>
      <c r="D657" s="19" t="n"/>
      <c r="E657" s="23" t="n"/>
      <c r="F657" s="21" t="n"/>
      <c r="G657" s="11">
        <f>IF(C657="","",IFERROR(INDEX(Crops!$D$6:$D$65,MATCH(C657,Crops!$B$6:$B$65,0))&amp;"",""))</f>
        <v/>
      </c>
      <c r="H657" s="12">
        <f>IF(OR(C657="",NOT(ISNUMBER(E657))),"",E657*N(IFERROR(INDEX(Crops!$E$6:$E$65,MATCH(C657,Crops!$B$6:$B$65,0)),0)))</f>
        <v/>
      </c>
      <c r="I657" s="11">
        <f>IF(AND(C657="",E657=""),"",IF(NOT(ISNUMBER(B657)),"Needs a date",IF(C657="","Needs a crop",IF(COUNTIF(Crops!$B$6:$B$65,C657)=0,"Not on Crops",IF(NOT(ISNUMBER(E657)),"Needs the amount",IF(AND(D657&lt;&gt;"",COUNTIF(Beds!$B$6:$B$35,D657)=0),"Not on Beds",""))))))</f>
        <v/>
      </c>
      <c r="J657" s="1">
        <f>IF(ISNUMBER(B657),YEAR(B657),"")</f>
        <v/>
      </c>
      <c r="K657">
        <f>IF(ISNUMBER(B657),YEAR(B657)*100+MONTH(B657),"")</f>
        <v/>
      </c>
      <c r="L657">
        <f>IF(ISNUMBER(B657),INT(B657),0)</f>
        <v/>
      </c>
    </row>
    <row r="658">
      <c r="A658" s="1" t="n"/>
      <c r="B658" s="17" t="n"/>
      <c r="C658" s="18" t="n"/>
      <c r="D658" s="19" t="n"/>
      <c r="E658" s="23" t="n"/>
      <c r="F658" s="21" t="n"/>
      <c r="G658" s="11">
        <f>IF(C658="","",IFERROR(INDEX(Crops!$D$6:$D$65,MATCH(C658,Crops!$B$6:$B$65,0))&amp;"",""))</f>
        <v/>
      </c>
      <c r="H658" s="12">
        <f>IF(OR(C658="",NOT(ISNUMBER(E658))),"",E658*N(IFERROR(INDEX(Crops!$E$6:$E$65,MATCH(C658,Crops!$B$6:$B$65,0)),0)))</f>
        <v/>
      </c>
      <c r="I658" s="11">
        <f>IF(AND(C658="",E658=""),"",IF(NOT(ISNUMBER(B658)),"Needs a date",IF(C658="","Needs a crop",IF(COUNTIF(Crops!$B$6:$B$65,C658)=0,"Not on Crops",IF(NOT(ISNUMBER(E658)),"Needs the amount",IF(AND(D658&lt;&gt;"",COUNTIF(Beds!$B$6:$B$35,D658)=0),"Not on Beds",""))))))</f>
        <v/>
      </c>
      <c r="J658" s="1">
        <f>IF(ISNUMBER(B658),YEAR(B658),"")</f>
        <v/>
      </c>
      <c r="K658">
        <f>IF(ISNUMBER(B658),YEAR(B658)*100+MONTH(B658),"")</f>
        <v/>
      </c>
      <c r="L658">
        <f>IF(ISNUMBER(B658),INT(B658),0)</f>
        <v/>
      </c>
    </row>
    <row r="659">
      <c r="A659" s="1" t="n"/>
      <c r="B659" s="17" t="n"/>
      <c r="C659" s="18" t="n"/>
      <c r="D659" s="19" t="n"/>
      <c r="E659" s="23" t="n"/>
      <c r="F659" s="21" t="n"/>
      <c r="G659" s="11">
        <f>IF(C659="","",IFERROR(INDEX(Crops!$D$6:$D$65,MATCH(C659,Crops!$B$6:$B$65,0))&amp;"",""))</f>
        <v/>
      </c>
      <c r="H659" s="12">
        <f>IF(OR(C659="",NOT(ISNUMBER(E659))),"",E659*N(IFERROR(INDEX(Crops!$E$6:$E$65,MATCH(C659,Crops!$B$6:$B$65,0)),0)))</f>
        <v/>
      </c>
      <c r="I659" s="11">
        <f>IF(AND(C659="",E659=""),"",IF(NOT(ISNUMBER(B659)),"Needs a date",IF(C659="","Needs a crop",IF(COUNTIF(Crops!$B$6:$B$65,C659)=0,"Not on Crops",IF(NOT(ISNUMBER(E659)),"Needs the amount",IF(AND(D659&lt;&gt;"",COUNTIF(Beds!$B$6:$B$35,D659)=0),"Not on Beds",""))))))</f>
        <v/>
      </c>
      <c r="J659" s="1">
        <f>IF(ISNUMBER(B659),YEAR(B659),"")</f>
        <v/>
      </c>
      <c r="K659">
        <f>IF(ISNUMBER(B659),YEAR(B659)*100+MONTH(B659),"")</f>
        <v/>
      </c>
      <c r="L659">
        <f>IF(ISNUMBER(B659),INT(B659),0)</f>
        <v/>
      </c>
    </row>
    <row r="660">
      <c r="A660" s="1" t="n"/>
      <c r="B660" s="17" t="n"/>
      <c r="C660" s="18" t="n"/>
      <c r="D660" s="19" t="n"/>
      <c r="E660" s="23" t="n"/>
      <c r="F660" s="21" t="n"/>
      <c r="G660" s="11">
        <f>IF(C660="","",IFERROR(INDEX(Crops!$D$6:$D$65,MATCH(C660,Crops!$B$6:$B$65,0))&amp;"",""))</f>
        <v/>
      </c>
      <c r="H660" s="12">
        <f>IF(OR(C660="",NOT(ISNUMBER(E660))),"",E660*N(IFERROR(INDEX(Crops!$E$6:$E$65,MATCH(C660,Crops!$B$6:$B$65,0)),0)))</f>
        <v/>
      </c>
      <c r="I660" s="11">
        <f>IF(AND(C660="",E660=""),"",IF(NOT(ISNUMBER(B660)),"Needs a date",IF(C660="","Needs a crop",IF(COUNTIF(Crops!$B$6:$B$65,C660)=0,"Not on Crops",IF(NOT(ISNUMBER(E660)),"Needs the amount",IF(AND(D660&lt;&gt;"",COUNTIF(Beds!$B$6:$B$35,D660)=0),"Not on Beds",""))))))</f>
        <v/>
      </c>
      <c r="J660" s="1">
        <f>IF(ISNUMBER(B660),YEAR(B660),"")</f>
        <v/>
      </c>
      <c r="K660">
        <f>IF(ISNUMBER(B660),YEAR(B660)*100+MONTH(B660),"")</f>
        <v/>
      </c>
      <c r="L660">
        <f>IF(ISNUMBER(B660),INT(B660),0)</f>
        <v/>
      </c>
    </row>
    <row r="661">
      <c r="A661" s="1" t="n"/>
      <c r="B661" s="17" t="n"/>
      <c r="C661" s="18" t="n"/>
      <c r="D661" s="19" t="n"/>
      <c r="E661" s="23" t="n"/>
      <c r="F661" s="21" t="n"/>
      <c r="G661" s="11">
        <f>IF(C661="","",IFERROR(INDEX(Crops!$D$6:$D$65,MATCH(C661,Crops!$B$6:$B$65,0))&amp;"",""))</f>
        <v/>
      </c>
      <c r="H661" s="12">
        <f>IF(OR(C661="",NOT(ISNUMBER(E661))),"",E661*N(IFERROR(INDEX(Crops!$E$6:$E$65,MATCH(C661,Crops!$B$6:$B$65,0)),0)))</f>
        <v/>
      </c>
      <c r="I661" s="11">
        <f>IF(AND(C661="",E661=""),"",IF(NOT(ISNUMBER(B661)),"Needs a date",IF(C661="","Needs a crop",IF(COUNTIF(Crops!$B$6:$B$65,C661)=0,"Not on Crops",IF(NOT(ISNUMBER(E661)),"Needs the amount",IF(AND(D661&lt;&gt;"",COUNTIF(Beds!$B$6:$B$35,D661)=0),"Not on Beds",""))))))</f>
        <v/>
      </c>
      <c r="J661" s="1">
        <f>IF(ISNUMBER(B661),YEAR(B661),"")</f>
        <v/>
      </c>
      <c r="K661">
        <f>IF(ISNUMBER(B661),YEAR(B661)*100+MONTH(B661),"")</f>
        <v/>
      </c>
      <c r="L661">
        <f>IF(ISNUMBER(B661),INT(B661),0)</f>
        <v/>
      </c>
    </row>
    <row r="662">
      <c r="A662" s="1" t="n"/>
      <c r="B662" s="17" t="n"/>
      <c r="C662" s="18" t="n"/>
      <c r="D662" s="19" t="n"/>
      <c r="E662" s="23" t="n"/>
      <c r="F662" s="21" t="n"/>
      <c r="G662" s="11">
        <f>IF(C662="","",IFERROR(INDEX(Crops!$D$6:$D$65,MATCH(C662,Crops!$B$6:$B$65,0))&amp;"",""))</f>
        <v/>
      </c>
      <c r="H662" s="12">
        <f>IF(OR(C662="",NOT(ISNUMBER(E662))),"",E662*N(IFERROR(INDEX(Crops!$E$6:$E$65,MATCH(C662,Crops!$B$6:$B$65,0)),0)))</f>
        <v/>
      </c>
      <c r="I662" s="11">
        <f>IF(AND(C662="",E662=""),"",IF(NOT(ISNUMBER(B662)),"Needs a date",IF(C662="","Needs a crop",IF(COUNTIF(Crops!$B$6:$B$65,C662)=0,"Not on Crops",IF(NOT(ISNUMBER(E662)),"Needs the amount",IF(AND(D662&lt;&gt;"",COUNTIF(Beds!$B$6:$B$35,D662)=0),"Not on Beds",""))))))</f>
        <v/>
      </c>
      <c r="J662" s="1">
        <f>IF(ISNUMBER(B662),YEAR(B662),"")</f>
        <v/>
      </c>
      <c r="K662">
        <f>IF(ISNUMBER(B662),YEAR(B662)*100+MONTH(B662),"")</f>
        <v/>
      </c>
      <c r="L662">
        <f>IF(ISNUMBER(B662),INT(B662),0)</f>
        <v/>
      </c>
    </row>
    <row r="663">
      <c r="A663" s="1" t="n"/>
      <c r="B663" s="17" t="n"/>
      <c r="C663" s="18" t="n"/>
      <c r="D663" s="19" t="n"/>
      <c r="E663" s="23" t="n"/>
      <c r="F663" s="21" t="n"/>
      <c r="G663" s="11">
        <f>IF(C663="","",IFERROR(INDEX(Crops!$D$6:$D$65,MATCH(C663,Crops!$B$6:$B$65,0))&amp;"",""))</f>
        <v/>
      </c>
      <c r="H663" s="12">
        <f>IF(OR(C663="",NOT(ISNUMBER(E663))),"",E663*N(IFERROR(INDEX(Crops!$E$6:$E$65,MATCH(C663,Crops!$B$6:$B$65,0)),0)))</f>
        <v/>
      </c>
      <c r="I663" s="11">
        <f>IF(AND(C663="",E663=""),"",IF(NOT(ISNUMBER(B663)),"Needs a date",IF(C663="","Needs a crop",IF(COUNTIF(Crops!$B$6:$B$65,C663)=0,"Not on Crops",IF(NOT(ISNUMBER(E663)),"Needs the amount",IF(AND(D663&lt;&gt;"",COUNTIF(Beds!$B$6:$B$35,D663)=0),"Not on Beds",""))))))</f>
        <v/>
      </c>
      <c r="J663" s="1">
        <f>IF(ISNUMBER(B663),YEAR(B663),"")</f>
        <v/>
      </c>
      <c r="K663">
        <f>IF(ISNUMBER(B663),YEAR(B663)*100+MONTH(B663),"")</f>
        <v/>
      </c>
      <c r="L663">
        <f>IF(ISNUMBER(B663),INT(B663),0)</f>
        <v/>
      </c>
    </row>
    <row r="664">
      <c r="A664" s="1" t="n"/>
      <c r="B664" s="17" t="n"/>
      <c r="C664" s="18" t="n"/>
      <c r="D664" s="19" t="n"/>
      <c r="E664" s="23" t="n"/>
      <c r="F664" s="21" t="n"/>
      <c r="G664" s="11">
        <f>IF(C664="","",IFERROR(INDEX(Crops!$D$6:$D$65,MATCH(C664,Crops!$B$6:$B$65,0))&amp;"",""))</f>
        <v/>
      </c>
      <c r="H664" s="12">
        <f>IF(OR(C664="",NOT(ISNUMBER(E664))),"",E664*N(IFERROR(INDEX(Crops!$E$6:$E$65,MATCH(C664,Crops!$B$6:$B$65,0)),0)))</f>
        <v/>
      </c>
      <c r="I664" s="11">
        <f>IF(AND(C664="",E664=""),"",IF(NOT(ISNUMBER(B664)),"Needs a date",IF(C664="","Needs a crop",IF(COUNTIF(Crops!$B$6:$B$65,C664)=0,"Not on Crops",IF(NOT(ISNUMBER(E664)),"Needs the amount",IF(AND(D664&lt;&gt;"",COUNTIF(Beds!$B$6:$B$35,D664)=0),"Not on Beds",""))))))</f>
        <v/>
      </c>
      <c r="J664" s="1">
        <f>IF(ISNUMBER(B664),YEAR(B664),"")</f>
        <v/>
      </c>
      <c r="K664">
        <f>IF(ISNUMBER(B664),YEAR(B664)*100+MONTH(B664),"")</f>
        <v/>
      </c>
      <c r="L664">
        <f>IF(ISNUMBER(B664),INT(B664),0)</f>
        <v/>
      </c>
    </row>
    <row r="665">
      <c r="A665" s="1" t="n"/>
      <c r="B665" s="17" t="n"/>
      <c r="C665" s="18" t="n"/>
      <c r="D665" s="19" t="n"/>
      <c r="E665" s="23" t="n"/>
      <c r="F665" s="21" t="n"/>
      <c r="G665" s="11">
        <f>IF(C665="","",IFERROR(INDEX(Crops!$D$6:$D$65,MATCH(C665,Crops!$B$6:$B$65,0))&amp;"",""))</f>
        <v/>
      </c>
      <c r="H665" s="12">
        <f>IF(OR(C665="",NOT(ISNUMBER(E665))),"",E665*N(IFERROR(INDEX(Crops!$E$6:$E$65,MATCH(C665,Crops!$B$6:$B$65,0)),0)))</f>
        <v/>
      </c>
      <c r="I665" s="11">
        <f>IF(AND(C665="",E665=""),"",IF(NOT(ISNUMBER(B665)),"Needs a date",IF(C665="","Needs a crop",IF(COUNTIF(Crops!$B$6:$B$65,C665)=0,"Not on Crops",IF(NOT(ISNUMBER(E665)),"Needs the amount",IF(AND(D665&lt;&gt;"",COUNTIF(Beds!$B$6:$B$35,D665)=0),"Not on Beds",""))))))</f>
        <v/>
      </c>
      <c r="J665" s="1">
        <f>IF(ISNUMBER(B665),YEAR(B665),"")</f>
        <v/>
      </c>
      <c r="K665">
        <f>IF(ISNUMBER(B665),YEAR(B665)*100+MONTH(B665),"")</f>
        <v/>
      </c>
      <c r="L665">
        <f>IF(ISNUMBER(B665),INT(B665),0)</f>
        <v/>
      </c>
    </row>
    <row r="666">
      <c r="A666" s="1" t="n"/>
      <c r="B666" s="17" t="n"/>
      <c r="C666" s="18" t="n"/>
      <c r="D666" s="19" t="n"/>
      <c r="E666" s="23" t="n"/>
      <c r="F666" s="21" t="n"/>
      <c r="G666" s="11">
        <f>IF(C666="","",IFERROR(INDEX(Crops!$D$6:$D$65,MATCH(C666,Crops!$B$6:$B$65,0))&amp;"",""))</f>
        <v/>
      </c>
      <c r="H666" s="12">
        <f>IF(OR(C666="",NOT(ISNUMBER(E666))),"",E666*N(IFERROR(INDEX(Crops!$E$6:$E$65,MATCH(C666,Crops!$B$6:$B$65,0)),0)))</f>
        <v/>
      </c>
      <c r="I666" s="11">
        <f>IF(AND(C666="",E666=""),"",IF(NOT(ISNUMBER(B666)),"Needs a date",IF(C666="","Needs a crop",IF(COUNTIF(Crops!$B$6:$B$65,C666)=0,"Not on Crops",IF(NOT(ISNUMBER(E666)),"Needs the amount",IF(AND(D666&lt;&gt;"",COUNTIF(Beds!$B$6:$B$35,D666)=0),"Not on Beds",""))))))</f>
        <v/>
      </c>
      <c r="J666" s="1">
        <f>IF(ISNUMBER(B666),YEAR(B666),"")</f>
        <v/>
      </c>
      <c r="K666">
        <f>IF(ISNUMBER(B666),YEAR(B666)*100+MONTH(B666),"")</f>
        <v/>
      </c>
      <c r="L666">
        <f>IF(ISNUMBER(B666),INT(B666),0)</f>
        <v/>
      </c>
    </row>
    <row r="667">
      <c r="A667" s="1" t="n"/>
      <c r="B667" s="17" t="n"/>
      <c r="C667" s="18" t="n"/>
      <c r="D667" s="19" t="n"/>
      <c r="E667" s="23" t="n"/>
      <c r="F667" s="21" t="n"/>
      <c r="G667" s="11">
        <f>IF(C667="","",IFERROR(INDEX(Crops!$D$6:$D$65,MATCH(C667,Crops!$B$6:$B$65,0))&amp;"",""))</f>
        <v/>
      </c>
      <c r="H667" s="12">
        <f>IF(OR(C667="",NOT(ISNUMBER(E667))),"",E667*N(IFERROR(INDEX(Crops!$E$6:$E$65,MATCH(C667,Crops!$B$6:$B$65,0)),0)))</f>
        <v/>
      </c>
      <c r="I667" s="11">
        <f>IF(AND(C667="",E667=""),"",IF(NOT(ISNUMBER(B667)),"Needs a date",IF(C667="","Needs a crop",IF(COUNTIF(Crops!$B$6:$B$65,C667)=0,"Not on Crops",IF(NOT(ISNUMBER(E667)),"Needs the amount",IF(AND(D667&lt;&gt;"",COUNTIF(Beds!$B$6:$B$35,D667)=0),"Not on Beds",""))))))</f>
        <v/>
      </c>
      <c r="J667" s="1">
        <f>IF(ISNUMBER(B667),YEAR(B667),"")</f>
        <v/>
      </c>
      <c r="K667">
        <f>IF(ISNUMBER(B667),YEAR(B667)*100+MONTH(B667),"")</f>
        <v/>
      </c>
      <c r="L667">
        <f>IF(ISNUMBER(B667),INT(B667),0)</f>
        <v/>
      </c>
    </row>
    <row r="668">
      <c r="A668" s="1" t="n"/>
      <c r="B668" s="17" t="n"/>
      <c r="C668" s="18" t="n"/>
      <c r="D668" s="19" t="n"/>
      <c r="E668" s="23" t="n"/>
      <c r="F668" s="21" t="n"/>
      <c r="G668" s="11">
        <f>IF(C668="","",IFERROR(INDEX(Crops!$D$6:$D$65,MATCH(C668,Crops!$B$6:$B$65,0))&amp;"",""))</f>
        <v/>
      </c>
      <c r="H668" s="12">
        <f>IF(OR(C668="",NOT(ISNUMBER(E668))),"",E668*N(IFERROR(INDEX(Crops!$E$6:$E$65,MATCH(C668,Crops!$B$6:$B$65,0)),0)))</f>
        <v/>
      </c>
      <c r="I668" s="11">
        <f>IF(AND(C668="",E668=""),"",IF(NOT(ISNUMBER(B668)),"Needs a date",IF(C668="","Needs a crop",IF(COUNTIF(Crops!$B$6:$B$65,C668)=0,"Not on Crops",IF(NOT(ISNUMBER(E668)),"Needs the amount",IF(AND(D668&lt;&gt;"",COUNTIF(Beds!$B$6:$B$35,D668)=0),"Not on Beds",""))))))</f>
        <v/>
      </c>
      <c r="J668" s="1">
        <f>IF(ISNUMBER(B668),YEAR(B668),"")</f>
        <v/>
      </c>
      <c r="K668">
        <f>IF(ISNUMBER(B668),YEAR(B668)*100+MONTH(B668),"")</f>
        <v/>
      </c>
      <c r="L668">
        <f>IF(ISNUMBER(B668),INT(B668),0)</f>
        <v/>
      </c>
    </row>
    <row r="669">
      <c r="A669" s="1" t="n"/>
      <c r="B669" s="17" t="n"/>
      <c r="C669" s="18" t="n"/>
      <c r="D669" s="19" t="n"/>
      <c r="E669" s="23" t="n"/>
      <c r="F669" s="21" t="n"/>
      <c r="G669" s="11">
        <f>IF(C669="","",IFERROR(INDEX(Crops!$D$6:$D$65,MATCH(C669,Crops!$B$6:$B$65,0))&amp;"",""))</f>
        <v/>
      </c>
      <c r="H669" s="12">
        <f>IF(OR(C669="",NOT(ISNUMBER(E669))),"",E669*N(IFERROR(INDEX(Crops!$E$6:$E$65,MATCH(C669,Crops!$B$6:$B$65,0)),0)))</f>
        <v/>
      </c>
      <c r="I669" s="11">
        <f>IF(AND(C669="",E669=""),"",IF(NOT(ISNUMBER(B669)),"Needs a date",IF(C669="","Needs a crop",IF(COUNTIF(Crops!$B$6:$B$65,C669)=0,"Not on Crops",IF(NOT(ISNUMBER(E669)),"Needs the amount",IF(AND(D669&lt;&gt;"",COUNTIF(Beds!$B$6:$B$35,D669)=0),"Not on Beds",""))))))</f>
        <v/>
      </c>
      <c r="J669" s="1">
        <f>IF(ISNUMBER(B669),YEAR(B669),"")</f>
        <v/>
      </c>
      <c r="K669">
        <f>IF(ISNUMBER(B669),YEAR(B669)*100+MONTH(B669),"")</f>
        <v/>
      </c>
      <c r="L669">
        <f>IF(ISNUMBER(B669),INT(B669),0)</f>
        <v/>
      </c>
    </row>
    <row r="670">
      <c r="A670" s="1" t="n"/>
      <c r="B670" s="17" t="n"/>
      <c r="C670" s="18" t="n"/>
      <c r="D670" s="19" t="n"/>
      <c r="E670" s="23" t="n"/>
      <c r="F670" s="21" t="n"/>
      <c r="G670" s="11">
        <f>IF(C670="","",IFERROR(INDEX(Crops!$D$6:$D$65,MATCH(C670,Crops!$B$6:$B$65,0))&amp;"",""))</f>
        <v/>
      </c>
      <c r="H670" s="12">
        <f>IF(OR(C670="",NOT(ISNUMBER(E670))),"",E670*N(IFERROR(INDEX(Crops!$E$6:$E$65,MATCH(C670,Crops!$B$6:$B$65,0)),0)))</f>
        <v/>
      </c>
      <c r="I670" s="11">
        <f>IF(AND(C670="",E670=""),"",IF(NOT(ISNUMBER(B670)),"Needs a date",IF(C670="","Needs a crop",IF(COUNTIF(Crops!$B$6:$B$65,C670)=0,"Not on Crops",IF(NOT(ISNUMBER(E670)),"Needs the amount",IF(AND(D670&lt;&gt;"",COUNTIF(Beds!$B$6:$B$35,D670)=0),"Not on Beds",""))))))</f>
        <v/>
      </c>
      <c r="J670" s="1">
        <f>IF(ISNUMBER(B670),YEAR(B670),"")</f>
        <v/>
      </c>
      <c r="K670">
        <f>IF(ISNUMBER(B670),YEAR(B670)*100+MONTH(B670),"")</f>
        <v/>
      </c>
      <c r="L670">
        <f>IF(ISNUMBER(B670),INT(B670),0)</f>
        <v/>
      </c>
    </row>
    <row r="671">
      <c r="A671" s="1" t="n"/>
      <c r="B671" s="17" t="n"/>
      <c r="C671" s="18" t="n"/>
      <c r="D671" s="19" t="n"/>
      <c r="E671" s="23" t="n"/>
      <c r="F671" s="21" t="n"/>
      <c r="G671" s="11">
        <f>IF(C671="","",IFERROR(INDEX(Crops!$D$6:$D$65,MATCH(C671,Crops!$B$6:$B$65,0))&amp;"",""))</f>
        <v/>
      </c>
      <c r="H671" s="12">
        <f>IF(OR(C671="",NOT(ISNUMBER(E671))),"",E671*N(IFERROR(INDEX(Crops!$E$6:$E$65,MATCH(C671,Crops!$B$6:$B$65,0)),0)))</f>
        <v/>
      </c>
      <c r="I671" s="11">
        <f>IF(AND(C671="",E671=""),"",IF(NOT(ISNUMBER(B671)),"Needs a date",IF(C671="","Needs a crop",IF(COUNTIF(Crops!$B$6:$B$65,C671)=0,"Not on Crops",IF(NOT(ISNUMBER(E671)),"Needs the amount",IF(AND(D671&lt;&gt;"",COUNTIF(Beds!$B$6:$B$35,D671)=0),"Not on Beds",""))))))</f>
        <v/>
      </c>
      <c r="J671" s="1">
        <f>IF(ISNUMBER(B671),YEAR(B671),"")</f>
        <v/>
      </c>
      <c r="K671">
        <f>IF(ISNUMBER(B671),YEAR(B671)*100+MONTH(B671),"")</f>
        <v/>
      </c>
      <c r="L671">
        <f>IF(ISNUMBER(B671),INT(B671),0)</f>
        <v/>
      </c>
    </row>
    <row r="672">
      <c r="A672" s="1" t="n"/>
      <c r="B672" s="17" t="n"/>
      <c r="C672" s="18" t="n"/>
      <c r="D672" s="19" t="n"/>
      <c r="E672" s="23" t="n"/>
      <c r="F672" s="21" t="n"/>
      <c r="G672" s="11">
        <f>IF(C672="","",IFERROR(INDEX(Crops!$D$6:$D$65,MATCH(C672,Crops!$B$6:$B$65,0))&amp;"",""))</f>
        <v/>
      </c>
      <c r="H672" s="12">
        <f>IF(OR(C672="",NOT(ISNUMBER(E672))),"",E672*N(IFERROR(INDEX(Crops!$E$6:$E$65,MATCH(C672,Crops!$B$6:$B$65,0)),0)))</f>
        <v/>
      </c>
      <c r="I672" s="11">
        <f>IF(AND(C672="",E672=""),"",IF(NOT(ISNUMBER(B672)),"Needs a date",IF(C672="","Needs a crop",IF(COUNTIF(Crops!$B$6:$B$65,C672)=0,"Not on Crops",IF(NOT(ISNUMBER(E672)),"Needs the amount",IF(AND(D672&lt;&gt;"",COUNTIF(Beds!$B$6:$B$35,D672)=0),"Not on Beds",""))))))</f>
        <v/>
      </c>
      <c r="J672" s="1">
        <f>IF(ISNUMBER(B672),YEAR(B672),"")</f>
        <v/>
      </c>
      <c r="K672">
        <f>IF(ISNUMBER(B672),YEAR(B672)*100+MONTH(B672),"")</f>
        <v/>
      </c>
      <c r="L672">
        <f>IF(ISNUMBER(B672),INT(B672),0)</f>
        <v/>
      </c>
    </row>
    <row r="673">
      <c r="A673" s="1" t="n"/>
      <c r="B673" s="17" t="n"/>
      <c r="C673" s="18" t="n"/>
      <c r="D673" s="19" t="n"/>
      <c r="E673" s="23" t="n"/>
      <c r="F673" s="21" t="n"/>
      <c r="G673" s="11">
        <f>IF(C673="","",IFERROR(INDEX(Crops!$D$6:$D$65,MATCH(C673,Crops!$B$6:$B$65,0))&amp;"",""))</f>
        <v/>
      </c>
      <c r="H673" s="12">
        <f>IF(OR(C673="",NOT(ISNUMBER(E673))),"",E673*N(IFERROR(INDEX(Crops!$E$6:$E$65,MATCH(C673,Crops!$B$6:$B$65,0)),0)))</f>
        <v/>
      </c>
      <c r="I673" s="11">
        <f>IF(AND(C673="",E673=""),"",IF(NOT(ISNUMBER(B673)),"Needs a date",IF(C673="","Needs a crop",IF(COUNTIF(Crops!$B$6:$B$65,C673)=0,"Not on Crops",IF(NOT(ISNUMBER(E673)),"Needs the amount",IF(AND(D673&lt;&gt;"",COUNTIF(Beds!$B$6:$B$35,D673)=0),"Not on Beds",""))))))</f>
        <v/>
      </c>
      <c r="J673" s="1">
        <f>IF(ISNUMBER(B673),YEAR(B673),"")</f>
        <v/>
      </c>
      <c r="K673">
        <f>IF(ISNUMBER(B673),YEAR(B673)*100+MONTH(B673),"")</f>
        <v/>
      </c>
      <c r="L673">
        <f>IF(ISNUMBER(B673),INT(B673),0)</f>
        <v/>
      </c>
    </row>
    <row r="674">
      <c r="A674" s="1" t="n"/>
      <c r="B674" s="17" t="n"/>
      <c r="C674" s="18" t="n"/>
      <c r="D674" s="19" t="n"/>
      <c r="E674" s="23" t="n"/>
      <c r="F674" s="21" t="n"/>
      <c r="G674" s="11">
        <f>IF(C674="","",IFERROR(INDEX(Crops!$D$6:$D$65,MATCH(C674,Crops!$B$6:$B$65,0))&amp;"",""))</f>
        <v/>
      </c>
      <c r="H674" s="12">
        <f>IF(OR(C674="",NOT(ISNUMBER(E674))),"",E674*N(IFERROR(INDEX(Crops!$E$6:$E$65,MATCH(C674,Crops!$B$6:$B$65,0)),0)))</f>
        <v/>
      </c>
      <c r="I674" s="11">
        <f>IF(AND(C674="",E674=""),"",IF(NOT(ISNUMBER(B674)),"Needs a date",IF(C674="","Needs a crop",IF(COUNTIF(Crops!$B$6:$B$65,C674)=0,"Not on Crops",IF(NOT(ISNUMBER(E674)),"Needs the amount",IF(AND(D674&lt;&gt;"",COUNTIF(Beds!$B$6:$B$35,D674)=0),"Not on Beds",""))))))</f>
        <v/>
      </c>
      <c r="J674" s="1">
        <f>IF(ISNUMBER(B674),YEAR(B674),"")</f>
        <v/>
      </c>
      <c r="K674">
        <f>IF(ISNUMBER(B674),YEAR(B674)*100+MONTH(B674),"")</f>
        <v/>
      </c>
      <c r="L674">
        <f>IF(ISNUMBER(B674),INT(B674),0)</f>
        <v/>
      </c>
    </row>
    <row r="675">
      <c r="A675" s="1" t="n"/>
      <c r="B675" s="17" t="n"/>
      <c r="C675" s="18" t="n"/>
      <c r="D675" s="19" t="n"/>
      <c r="E675" s="23" t="n"/>
      <c r="F675" s="21" t="n"/>
      <c r="G675" s="11">
        <f>IF(C675="","",IFERROR(INDEX(Crops!$D$6:$D$65,MATCH(C675,Crops!$B$6:$B$65,0))&amp;"",""))</f>
        <v/>
      </c>
      <c r="H675" s="12">
        <f>IF(OR(C675="",NOT(ISNUMBER(E675))),"",E675*N(IFERROR(INDEX(Crops!$E$6:$E$65,MATCH(C675,Crops!$B$6:$B$65,0)),0)))</f>
        <v/>
      </c>
      <c r="I675" s="11">
        <f>IF(AND(C675="",E675=""),"",IF(NOT(ISNUMBER(B675)),"Needs a date",IF(C675="","Needs a crop",IF(COUNTIF(Crops!$B$6:$B$65,C675)=0,"Not on Crops",IF(NOT(ISNUMBER(E675)),"Needs the amount",IF(AND(D675&lt;&gt;"",COUNTIF(Beds!$B$6:$B$35,D675)=0),"Not on Beds",""))))))</f>
        <v/>
      </c>
      <c r="J675" s="1">
        <f>IF(ISNUMBER(B675),YEAR(B675),"")</f>
        <v/>
      </c>
      <c r="K675">
        <f>IF(ISNUMBER(B675),YEAR(B675)*100+MONTH(B675),"")</f>
        <v/>
      </c>
      <c r="L675">
        <f>IF(ISNUMBER(B675),INT(B675),0)</f>
        <v/>
      </c>
    </row>
    <row r="676">
      <c r="A676" s="1" t="n"/>
      <c r="B676" s="17" t="n"/>
      <c r="C676" s="18" t="n"/>
      <c r="D676" s="19" t="n"/>
      <c r="E676" s="23" t="n"/>
      <c r="F676" s="21" t="n"/>
      <c r="G676" s="11">
        <f>IF(C676="","",IFERROR(INDEX(Crops!$D$6:$D$65,MATCH(C676,Crops!$B$6:$B$65,0))&amp;"",""))</f>
        <v/>
      </c>
      <c r="H676" s="12">
        <f>IF(OR(C676="",NOT(ISNUMBER(E676))),"",E676*N(IFERROR(INDEX(Crops!$E$6:$E$65,MATCH(C676,Crops!$B$6:$B$65,0)),0)))</f>
        <v/>
      </c>
      <c r="I676" s="11">
        <f>IF(AND(C676="",E676=""),"",IF(NOT(ISNUMBER(B676)),"Needs a date",IF(C676="","Needs a crop",IF(COUNTIF(Crops!$B$6:$B$65,C676)=0,"Not on Crops",IF(NOT(ISNUMBER(E676)),"Needs the amount",IF(AND(D676&lt;&gt;"",COUNTIF(Beds!$B$6:$B$35,D676)=0),"Not on Beds",""))))))</f>
        <v/>
      </c>
      <c r="J676" s="1">
        <f>IF(ISNUMBER(B676),YEAR(B676),"")</f>
        <v/>
      </c>
      <c r="K676">
        <f>IF(ISNUMBER(B676),YEAR(B676)*100+MONTH(B676),"")</f>
        <v/>
      </c>
      <c r="L676">
        <f>IF(ISNUMBER(B676),INT(B676),0)</f>
        <v/>
      </c>
    </row>
    <row r="677">
      <c r="A677" s="1" t="n"/>
      <c r="B677" s="17" t="n"/>
      <c r="C677" s="18" t="n"/>
      <c r="D677" s="19" t="n"/>
      <c r="E677" s="23" t="n"/>
      <c r="F677" s="21" t="n"/>
      <c r="G677" s="11">
        <f>IF(C677="","",IFERROR(INDEX(Crops!$D$6:$D$65,MATCH(C677,Crops!$B$6:$B$65,0))&amp;"",""))</f>
        <v/>
      </c>
      <c r="H677" s="12">
        <f>IF(OR(C677="",NOT(ISNUMBER(E677))),"",E677*N(IFERROR(INDEX(Crops!$E$6:$E$65,MATCH(C677,Crops!$B$6:$B$65,0)),0)))</f>
        <v/>
      </c>
      <c r="I677" s="11">
        <f>IF(AND(C677="",E677=""),"",IF(NOT(ISNUMBER(B677)),"Needs a date",IF(C677="","Needs a crop",IF(COUNTIF(Crops!$B$6:$B$65,C677)=0,"Not on Crops",IF(NOT(ISNUMBER(E677)),"Needs the amount",IF(AND(D677&lt;&gt;"",COUNTIF(Beds!$B$6:$B$35,D677)=0),"Not on Beds",""))))))</f>
        <v/>
      </c>
      <c r="J677" s="1">
        <f>IF(ISNUMBER(B677),YEAR(B677),"")</f>
        <v/>
      </c>
      <c r="K677">
        <f>IF(ISNUMBER(B677),YEAR(B677)*100+MONTH(B677),"")</f>
        <v/>
      </c>
      <c r="L677">
        <f>IF(ISNUMBER(B677),INT(B677),0)</f>
        <v/>
      </c>
    </row>
    <row r="678">
      <c r="A678" s="1" t="n"/>
      <c r="B678" s="17" t="n"/>
      <c r="C678" s="18" t="n"/>
      <c r="D678" s="19" t="n"/>
      <c r="E678" s="23" t="n"/>
      <c r="F678" s="21" t="n"/>
      <c r="G678" s="11">
        <f>IF(C678="","",IFERROR(INDEX(Crops!$D$6:$D$65,MATCH(C678,Crops!$B$6:$B$65,0))&amp;"",""))</f>
        <v/>
      </c>
      <c r="H678" s="12">
        <f>IF(OR(C678="",NOT(ISNUMBER(E678))),"",E678*N(IFERROR(INDEX(Crops!$E$6:$E$65,MATCH(C678,Crops!$B$6:$B$65,0)),0)))</f>
        <v/>
      </c>
      <c r="I678" s="11">
        <f>IF(AND(C678="",E678=""),"",IF(NOT(ISNUMBER(B678)),"Needs a date",IF(C678="","Needs a crop",IF(COUNTIF(Crops!$B$6:$B$65,C678)=0,"Not on Crops",IF(NOT(ISNUMBER(E678)),"Needs the amount",IF(AND(D678&lt;&gt;"",COUNTIF(Beds!$B$6:$B$35,D678)=0),"Not on Beds",""))))))</f>
        <v/>
      </c>
      <c r="J678" s="1">
        <f>IF(ISNUMBER(B678),YEAR(B678),"")</f>
        <v/>
      </c>
      <c r="K678">
        <f>IF(ISNUMBER(B678),YEAR(B678)*100+MONTH(B678),"")</f>
        <v/>
      </c>
      <c r="L678">
        <f>IF(ISNUMBER(B678),INT(B678),0)</f>
        <v/>
      </c>
    </row>
    <row r="679">
      <c r="A679" s="1" t="n"/>
      <c r="B679" s="17" t="n"/>
      <c r="C679" s="18" t="n"/>
      <c r="D679" s="19" t="n"/>
      <c r="E679" s="23" t="n"/>
      <c r="F679" s="21" t="n"/>
      <c r="G679" s="11">
        <f>IF(C679="","",IFERROR(INDEX(Crops!$D$6:$D$65,MATCH(C679,Crops!$B$6:$B$65,0))&amp;"",""))</f>
        <v/>
      </c>
      <c r="H679" s="12">
        <f>IF(OR(C679="",NOT(ISNUMBER(E679))),"",E679*N(IFERROR(INDEX(Crops!$E$6:$E$65,MATCH(C679,Crops!$B$6:$B$65,0)),0)))</f>
        <v/>
      </c>
      <c r="I679" s="11">
        <f>IF(AND(C679="",E679=""),"",IF(NOT(ISNUMBER(B679)),"Needs a date",IF(C679="","Needs a crop",IF(COUNTIF(Crops!$B$6:$B$65,C679)=0,"Not on Crops",IF(NOT(ISNUMBER(E679)),"Needs the amount",IF(AND(D679&lt;&gt;"",COUNTIF(Beds!$B$6:$B$35,D679)=0),"Not on Beds",""))))))</f>
        <v/>
      </c>
      <c r="J679" s="1">
        <f>IF(ISNUMBER(B679),YEAR(B679),"")</f>
        <v/>
      </c>
      <c r="K679">
        <f>IF(ISNUMBER(B679),YEAR(B679)*100+MONTH(B679),"")</f>
        <v/>
      </c>
      <c r="L679">
        <f>IF(ISNUMBER(B679),INT(B679),0)</f>
        <v/>
      </c>
    </row>
    <row r="680">
      <c r="A680" s="1" t="n"/>
      <c r="B680" s="17" t="n"/>
      <c r="C680" s="18" t="n"/>
      <c r="D680" s="19" t="n"/>
      <c r="E680" s="23" t="n"/>
      <c r="F680" s="21" t="n"/>
      <c r="G680" s="11">
        <f>IF(C680="","",IFERROR(INDEX(Crops!$D$6:$D$65,MATCH(C680,Crops!$B$6:$B$65,0))&amp;"",""))</f>
        <v/>
      </c>
      <c r="H680" s="12">
        <f>IF(OR(C680="",NOT(ISNUMBER(E680))),"",E680*N(IFERROR(INDEX(Crops!$E$6:$E$65,MATCH(C680,Crops!$B$6:$B$65,0)),0)))</f>
        <v/>
      </c>
      <c r="I680" s="11">
        <f>IF(AND(C680="",E680=""),"",IF(NOT(ISNUMBER(B680)),"Needs a date",IF(C680="","Needs a crop",IF(COUNTIF(Crops!$B$6:$B$65,C680)=0,"Not on Crops",IF(NOT(ISNUMBER(E680)),"Needs the amount",IF(AND(D680&lt;&gt;"",COUNTIF(Beds!$B$6:$B$35,D680)=0),"Not on Beds",""))))))</f>
        <v/>
      </c>
      <c r="J680" s="1">
        <f>IF(ISNUMBER(B680),YEAR(B680),"")</f>
        <v/>
      </c>
      <c r="K680">
        <f>IF(ISNUMBER(B680),YEAR(B680)*100+MONTH(B680),"")</f>
        <v/>
      </c>
      <c r="L680">
        <f>IF(ISNUMBER(B680),INT(B680),0)</f>
        <v/>
      </c>
    </row>
    <row r="681">
      <c r="A681" s="1" t="n"/>
      <c r="B681" s="17" t="n"/>
      <c r="C681" s="18" t="n"/>
      <c r="D681" s="19" t="n"/>
      <c r="E681" s="23" t="n"/>
      <c r="F681" s="21" t="n"/>
      <c r="G681" s="11">
        <f>IF(C681="","",IFERROR(INDEX(Crops!$D$6:$D$65,MATCH(C681,Crops!$B$6:$B$65,0))&amp;"",""))</f>
        <v/>
      </c>
      <c r="H681" s="12">
        <f>IF(OR(C681="",NOT(ISNUMBER(E681))),"",E681*N(IFERROR(INDEX(Crops!$E$6:$E$65,MATCH(C681,Crops!$B$6:$B$65,0)),0)))</f>
        <v/>
      </c>
      <c r="I681" s="11">
        <f>IF(AND(C681="",E681=""),"",IF(NOT(ISNUMBER(B681)),"Needs a date",IF(C681="","Needs a crop",IF(COUNTIF(Crops!$B$6:$B$65,C681)=0,"Not on Crops",IF(NOT(ISNUMBER(E681)),"Needs the amount",IF(AND(D681&lt;&gt;"",COUNTIF(Beds!$B$6:$B$35,D681)=0),"Not on Beds",""))))))</f>
        <v/>
      </c>
      <c r="J681" s="1">
        <f>IF(ISNUMBER(B681),YEAR(B681),"")</f>
        <v/>
      </c>
      <c r="K681">
        <f>IF(ISNUMBER(B681),YEAR(B681)*100+MONTH(B681),"")</f>
        <v/>
      </c>
      <c r="L681">
        <f>IF(ISNUMBER(B681),INT(B681),0)</f>
        <v/>
      </c>
    </row>
    <row r="682">
      <c r="A682" s="1" t="n"/>
      <c r="B682" s="17" t="n"/>
      <c r="C682" s="18" t="n"/>
      <c r="D682" s="19" t="n"/>
      <c r="E682" s="23" t="n"/>
      <c r="F682" s="21" t="n"/>
      <c r="G682" s="11">
        <f>IF(C682="","",IFERROR(INDEX(Crops!$D$6:$D$65,MATCH(C682,Crops!$B$6:$B$65,0))&amp;"",""))</f>
        <v/>
      </c>
      <c r="H682" s="12">
        <f>IF(OR(C682="",NOT(ISNUMBER(E682))),"",E682*N(IFERROR(INDEX(Crops!$E$6:$E$65,MATCH(C682,Crops!$B$6:$B$65,0)),0)))</f>
        <v/>
      </c>
      <c r="I682" s="11">
        <f>IF(AND(C682="",E682=""),"",IF(NOT(ISNUMBER(B682)),"Needs a date",IF(C682="","Needs a crop",IF(COUNTIF(Crops!$B$6:$B$65,C682)=0,"Not on Crops",IF(NOT(ISNUMBER(E682)),"Needs the amount",IF(AND(D682&lt;&gt;"",COUNTIF(Beds!$B$6:$B$35,D682)=0),"Not on Beds",""))))))</f>
        <v/>
      </c>
      <c r="J682" s="1">
        <f>IF(ISNUMBER(B682),YEAR(B682),"")</f>
        <v/>
      </c>
      <c r="K682">
        <f>IF(ISNUMBER(B682),YEAR(B682)*100+MONTH(B682),"")</f>
        <v/>
      </c>
      <c r="L682">
        <f>IF(ISNUMBER(B682),INT(B682),0)</f>
        <v/>
      </c>
    </row>
    <row r="683">
      <c r="A683" s="1" t="n"/>
      <c r="B683" s="17" t="n"/>
      <c r="C683" s="18" t="n"/>
      <c r="D683" s="19" t="n"/>
      <c r="E683" s="23" t="n"/>
      <c r="F683" s="21" t="n"/>
      <c r="G683" s="11">
        <f>IF(C683="","",IFERROR(INDEX(Crops!$D$6:$D$65,MATCH(C683,Crops!$B$6:$B$65,0))&amp;"",""))</f>
        <v/>
      </c>
      <c r="H683" s="12">
        <f>IF(OR(C683="",NOT(ISNUMBER(E683))),"",E683*N(IFERROR(INDEX(Crops!$E$6:$E$65,MATCH(C683,Crops!$B$6:$B$65,0)),0)))</f>
        <v/>
      </c>
      <c r="I683" s="11">
        <f>IF(AND(C683="",E683=""),"",IF(NOT(ISNUMBER(B683)),"Needs a date",IF(C683="","Needs a crop",IF(COUNTIF(Crops!$B$6:$B$65,C683)=0,"Not on Crops",IF(NOT(ISNUMBER(E683)),"Needs the amount",IF(AND(D683&lt;&gt;"",COUNTIF(Beds!$B$6:$B$35,D683)=0),"Not on Beds",""))))))</f>
        <v/>
      </c>
      <c r="J683" s="1">
        <f>IF(ISNUMBER(B683),YEAR(B683),"")</f>
        <v/>
      </c>
      <c r="K683">
        <f>IF(ISNUMBER(B683),YEAR(B683)*100+MONTH(B683),"")</f>
        <v/>
      </c>
      <c r="L683">
        <f>IF(ISNUMBER(B683),INT(B683),0)</f>
        <v/>
      </c>
    </row>
    <row r="684">
      <c r="A684" s="1" t="n"/>
      <c r="B684" s="17" t="n"/>
      <c r="C684" s="18" t="n"/>
      <c r="D684" s="19" t="n"/>
      <c r="E684" s="23" t="n"/>
      <c r="F684" s="21" t="n"/>
      <c r="G684" s="11">
        <f>IF(C684="","",IFERROR(INDEX(Crops!$D$6:$D$65,MATCH(C684,Crops!$B$6:$B$65,0))&amp;"",""))</f>
        <v/>
      </c>
      <c r="H684" s="12">
        <f>IF(OR(C684="",NOT(ISNUMBER(E684))),"",E684*N(IFERROR(INDEX(Crops!$E$6:$E$65,MATCH(C684,Crops!$B$6:$B$65,0)),0)))</f>
        <v/>
      </c>
      <c r="I684" s="11">
        <f>IF(AND(C684="",E684=""),"",IF(NOT(ISNUMBER(B684)),"Needs a date",IF(C684="","Needs a crop",IF(COUNTIF(Crops!$B$6:$B$65,C684)=0,"Not on Crops",IF(NOT(ISNUMBER(E684)),"Needs the amount",IF(AND(D684&lt;&gt;"",COUNTIF(Beds!$B$6:$B$35,D684)=0),"Not on Beds",""))))))</f>
        <v/>
      </c>
      <c r="J684" s="1">
        <f>IF(ISNUMBER(B684),YEAR(B684),"")</f>
        <v/>
      </c>
      <c r="K684">
        <f>IF(ISNUMBER(B684),YEAR(B684)*100+MONTH(B684),"")</f>
        <v/>
      </c>
      <c r="L684">
        <f>IF(ISNUMBER(B684),INT(B684),0)</f>
        <v/>
      </c>
    </row>
    <row r="685">
      <c r="A685" s="1" t="n"/>
      <c r="B685" s="17" t="n"/>
      <c r="C685" s="18" t="n"/>
      <c r="D685" s="19" t="n"/>
      <c r="E685" s="23" t="n"/>
      <c r="F685" s="21" t="n"/>
      <c r="G685" s="11">
        <f>IF(C685="","",IFERROR(INDEX(Crops!$D$6:$D$65,MATCH(C685,Crops!$B$6:$B$65,0))&amp;"",""))</f>
        <v/>
      </c>
      <c r="H685" s="12">
        <f>IF(OR(C685="",NOT(ISNUMBER(E685))),"",E685*N(IFERROR(INDEX(Crops!$E$6:$E$65,MATCH(C685,Crops!$B$6:$B$65,0)),0)))</f>
        <v/>
      </c>
      <c r="I685" s="11">
        <f>IF(AND(C685="",E685=""),"",IF(NOT(ISNUMBER(B685)),"Needs a date",IF(C685="","Needs a crop",IF(COUNTIF(Crops!$B$6:$B$65,C685)=0,"Not on Crops",IF(NOT(ISNUMBER(E685)),"Needs the amount",IF(AND(D685&lt;&gt;"",COUNTIF(Beds!$B$6:$B$35,D685)=0),"Not on Beds",""))))))</f>
        <v/>
      </c>
      <c r="J685" s="1">
        <f>IF(ISNUMBER(B685),YEAR(B685),"")</f>
        <v/>
      </c>
      <c r="K685">
        <f>IF(ISNUMBER(B685),YEAR(B685)*100+MONTH(B685),"")</f>
        <v/>
      </c>
      <c r="L685">
        <f>IF(ISNUMBER(B685),INT(B685),0)</f>
        <v/>
      </c>
    </row>
    <row r="686">
      <c r="A686" s="1" t="n"/>
      <c r="B686" s="17" t="n"/>
      <c r="C686" s="18" t="n"/>
      <c r="D686" s="19" t="n"/>
      <c r="E686" s="23" t="n"/>
      <c r="F686" s="21" t="n"/>
      <c r="G686" s="11">
        <f>IF(C686="","",IFERROR(INDEX(Crops!$D$6:$D$65,MATCH(C686,Crops!$B$6:$B$65,0))&amp;"",""))</f>
        <v/>
      </c>
      <c r="H686" s="12">
        <f>IF(OR(C686="",NOT(ISNUMBER(E686))),"",E686*N(IFERROR(INDEX(Crops!$E$6:$E$65,MATCH(C686,Crops!$B$6:$B$65,0)),0)))</f>
        <v/>
      </c>
      <c r="I686" s="11">
        <f>IF(AND(C686="",E686=""),"",IF(NOT(ISNUMBER(B686)),"Needs a date",IF(C686="","Needs a crop",IF(COUNTIF(Crops!$B$6:$B$65,C686)=0,"Not on Crops",IF(NOT(ISNUMBER(E686)),"Needs the amount",IF(AND(D686&lt;&gt;"",COUNTIF(Beds!$B$6:$B$35,D686)=0),"Not on Beds",""))))))</f>
        <v/>
      </c>
      <c r="J686" s="1">
        <f>IF(ISNUMBER(B686),YEAR(B686),"")</f>
        <v/>
      </c>
      <c r="K686">
        <f>IF(ISNUMBER(B686),YEAR(B686)*100+MONTH(B686),"")</f>
        <v/>
      </c>
      <c r="L686">
        <f>IF(ISNUMBER(B686),INT(B686),0)</f>
        <v/>
      </c>
    </row>
    <row r="687">
      <c r="A687" s="1" t="n"/>
      <c r="B687" s="17" t="n"/>
      <c r="C687" s="18" t="n"/>
      <c r="D687" s="19" t="n"/>
      <c r="E687" s="23" t="n"/>
      <c r="F687" s="21" t="n"/>
      <c r="G687" s="11">
        <f>IF(C687="","",IFERROR(INDEX(Crops!$D$6:$D$65,MATCH(C687,Crops!$B$6:$B$65,0))&amp;"",""))</f>
        <v/>
      </c>
      <c r="H687" s="12">
        <f>IF(OR(C687="",NOT(ISNUMBER(E687))),"",E687*N(IFERROR(INDEX(Crops!$E$6:$E$65,MATCH(C687,Crops!$B$6:$B$65,0)),0)))</f>
        <v/>
      </c>
      <c r="I687" s="11">
        <f>IF(AND(C687="",E687=""),"",IF(NOT(ISNUMBER(B687)),"Needs a date",IF(C687="","Needs a crop",IF(COUNTIF(Crops!$B$6:$B$65,C687)=0,"Not on Crops",IF(NOT(ISNUMBER(E687)),"Needs the amount",IF(AND(D687&lt;&gt;"",COUNTIF(Beds!$B$6:$B$35,D687)=0),"Not on Beds",""))))))</f>
        <v/>
      </c>
      <c r="J687" s="1">
        <f>IF(ISNUMBER(B687),YEAR(B687),"")</f>
        <v/>
      </c>
      <c r="K687">
        <f>IF(ISNUMBER(B687),YEAR(B687)*100+MONTH(B687),"")</f>
        <v/>
      </c>
      <c r="L687">
        <f>IF(ISNUMBER(B687),INT(B687),0)</f>
        <v/>
      </c>
    </row>
    <row r="688">
      <c r="A688" s="1" t="n"/>
      <c r="B688" s="17" t="n"/>
      <c r="C688" s="18" t="n"/>
      <c r="D688" s="19" t="n"/>
      <c r="E688" s="23" t="n"/>
      <c r="F688" s="21" t="n"/>
      <c r="G688" s="11">
        <f>IF(C688="","",IFERROR(INDEX(Crops!$D$6:$D$65,MATCH(C688,Crops!$B$6:$B$65,0))&amp;"",""))</f>
        <v/>
      </c>
      <c r="H688" s="12">
        <f>IF(OR(C688="",NOT(ISNUMBER(E688))),"",E688*N(IFERROR(INDEX(Crops!$E$6:$E$65,MATCH(C688,Crops!$B$6:$B$65,0)),0)))</f>
        <v/>
      </c>
      <c r="I688" s="11">
        <f>IF(AND(C688="",E688=""),"",IF(NOT(ISNUMBER(B688)),"Needs a date",IF(C688="","Needs a crop",IF(COUNTIF(Crops!$B$6:$B$65,C688)=0,"Not on Crops",IF(NOT(ISNUMBER(E688)),"Needs the amount",IF(AND(D688&lt;&gt;"",COUNTIF(Beds!$B$6:$B$35,D688)=0),"Not on Beds",""))))))</f>
        <v/>
      </c>
      <c r="J688" s="1">
        <f>IF(ISNUMBER(B688),YEAR(B688),"")</f>
        <v/>
      </c>
      <c r="K688">
        <f>IF(ISNUMBER(B688),YEAR(B688)*100+MONTH(B688),"")</f>
        <v/>
      </c>
      <c r="L688">
        <f>IF(ISNUMBER(B688),INT(B688),0)</f>
        <v/>
      </c>
    </row>
    <row r="689">
      <c r="A689" s="1" t="n"/>
      <c r="B689" s="17" t="n"/>
      <c r="C689" s="18" t="n"/>
      <c r="D689" s="19" t="n"/>
      <c r="E689" s="23" t="n"/>
      <c r="F689" s="21" t="n"/>
      <c r="G689" s="11">
        <f>IF(C689="","",IFERROR(INDEX(Crops!$D$6:$D$65,MATCH(C689,Crops!$B$6:$B$65,0))&amp;"",""))</f>
        <v/>
      </c>
      <c r="H689" s="12">
        <f>IF(OR(C689="",NOT(ISNUMBER(E689))),"",E689*N(IFERROR(INDEX(Crops!$E$6:$E$65,MATCH(C689,Crops!$B$6:$B$65,0)),0)))</f>
        <v/>
      </c>
      <c r="I689" s="11">
        <f>IF(AND(C689="",E689=""),"",IF(NOT(ISNUMBER(B689)),"Needs a date",IF(C689="","Needs a crop",IF(COUNTIF(Crops!$B$6:$B$65,C689)=0,"Not on Crops",IF(NOT(ISNUMBER(E689)),"Needs the amount",IF(AND(D689&lt;&gt;"",COUNTIF(Beds!$B$6:$B$35,D689)=0),"Not on Beds",""))))))</f>
        <v/>
      </c>
      <c r="J689" s="1">
        <f>IF(ISNUMBER(B689),YEAR(B689),"")</f>
        <v/>
      </c>
      <c r="K689">
        <f>IF(ISNUMBER(B689),YEAR(B689)*100+MONTH(B689),"")</f>
        <v/>
      </c>
      <c r="L689">
        <f>IF(ISNUMBER(B689),INT(B689),0)</f>
        <v/>
      </c>
    </row>
    <row r="690">
      <c r="A690" s="1" t="n"/>
      <c r="B690" s="17" t="n"/>
      <c r="C690" s="18" t="n"/>
      <c r="D690" s="19" t="n"/>
      <c r="E690" s="23" t="n"/>
      <c r="F690" s="21" t="n"/>
      <c r="G690" s="11">
        <f>IF(C690="","",IFERROR(INDEX(Crops!$D$6:$D$65,MATCH(C690,Crops!$B$6:$B$65,0))&amp;"",""))</f>
        <v/>
      </c>
      <c r="H690" s="12">
        <f>IF(OR(C690="",NOT(ISNUMBER(E690))),"",E690*N(IFERROR(INDEX(Crops!$E$6:$E$65,MATCH(C690,Crops!$B$6:$B$65,0)),0)))</f>
        <v/>
      </c>
      <c r="I690" s="11">
        <f>IF(AND(C690="",E690=""),"",IF(NOT(ISNUMBER(B690)),"Needs a date",IF(C690="","Needs a crop",IF(COUNTIF(Crops!$B$6:$B$65,C690)=0,"Not on Crops",IF(NOT(ISNUMBER(E690)),"Needs the amount",IF(AND(D690&lt;&gt;"",COUNTIF(Beds!$B$6:$B$35,D690)=0),"Not on Beds",""))))))</f>
        <v/>
      </c>
      <c r="J690" s="1">
        <f>IF(ISNUMBER(B690),YEAR(B690),"")</f>
        <v/>
      </c>
      <c r="K690">
        <f>IF(ISNUMBER(B690),YEAR(B690)*100+MONTH(B690),"")</f>
        <v/>
      </c>
      <c r="L690">
        <f>IF(ISNUMBER(B690),INT(B690),0)</f>
        <v/>
      </c>
    </row>
    <row r="691">
      <c r="A691" s="1" t="n"/>
      <c r="B691" s="17" t="n"/>
      <c r="C691" s="18" t="n"/>
      <c r="D691" s="19" t="n"/>
      <c r="E691" s="23" t="n"/>
      <c r="F691" s="21" t="n"/>
      <c r="G691" s="11">
        <f>IF(C691="","",IFERROR(INDEX(Crops!$D$6:$D$65,MATCH(C691,Crops!$B$6:$B$65,0))&amp;"",""))</f>
        <v/>
      </c>
      <c r="H691" s="12">
        <f>IF(OR(C691="",NOT(ISNUMBER(E691))),"",E691*N(IFERROR(INDEX(Crops!$E$6:$E$65,MATCH(C691,Crops!$B$6:$B$65,0)),0)))</f>
        <v/>
      </c>
      <c r="I691" s="11">
        <f>IF(AND(C691="",E691=""),"",IF(NOT(ISNUMBER(B691)),"Needs a date",IF(C691="","Needs a crop",IF(COUNTIF(Crops!$B$6:$B$65,C691)=0,"Not on Crops",IF(NOT(ISNUMBER(E691)),"Needs the amount",IF(AND(D691&lt;&gt;"",COUNTIF(Beds!$B$6:$B$35,D691)=0),"Not on Beds",""))))))</f>
        <v/>
      </c>
      <c r="J691" s="1">
        <f>IF(ISNUMBER(B691),YEAR(B691),"")</f>
        <v/>
      </c>
      <c r="K691">
        <f>IF(ISNUMBER(B691),YEAR(B691)*100+MONTH(B691),"")</f>
        <v/>
      </c>
      <c r="L691">
        <f>IF(ISNUMBER(B691),INT(B691),0)</f>
        <v/>
      </c>
    </row>
    <row r="692">
      <c r="A692" s="1" t="n"/>
      <c r="B692" s="17" t="n"/>
      <c r="C692" s="18" t="n"/>
      <c r="D692" s="19" t="n"/>
      <c r="E692" s="23" t="n"/>
      <c r="F692" s="21" t="n"/>
      <c r="G692" s="11">
        <f>IF(C692="","",IFERROR(INDEX(Crops!$D$6:$D$65,MATCH(C692,Crops!$B$6:$B$65,0))&amp;"",""))</f>
        <v/>
      </c>
      <c r="H692" s="12">
        <f>IF(OR(C692="",NOT(ISNUMBER(E692))),"",E692*N(IFERROR(INDEX(Crops!$E$6:$E$65,MATCH(C692,Crops!$B$6:$B$65,0)),0)))</f>
        <v/>
      </c>
      <c r="I692" s="11">
        <f>IF(AND(C692="",E692=""),"",IF(NOT(ISNUMBER(B692)),"Needs a date",IF(C692="","Needs a crop",IF(COUNTIF(Crops!$B$6:$B$65,C692)=0,"Not on Crops",IF(NOT(ISNUMBER(E692)),"Needs the amount",IF(AND(D692&lt;&gt;"",COUNTIF(Beds!$B$6:$B$35,D692)=0),"Not on Beds",""))))))</f>
        <v/>
      </c>
      <c r="J692" s="1">
        <f>IF(ISNUMBER(B692),YEAR(B692),"")</f>
        <v/>
      </c>
      <c r="K692">
        <f>IF(ISNUMBER(B692),YEAR(B692)*100+MONTH(B692),"")</f>
        <v/>
      </c>
      <c r="L692">
        <f>IF(ISNUMBER(B692),INT(B692),0)</f>
        <v/>
      </c>
    </row>
    <row r="693">
      <c r="A693" s="1" t="n"/>
      <c r="B693" s="17" t="n"/>
      <c r="C693" s="18" t="n"/>
      <c r="D693" s="19" t="n"/>
      <c r="E693" s="23" t="n"/>
      <c r="F693" s="21" t="n"/>
      <c r="G693" s="11">
        <f>IF(C693="","",IFERROR(INDEX(Crops!$D$6:$D$65,MATCH(C693,Crops!$B$6:$B$65,0))&amp;"",""))</f>
        <v/>
      </c>
      <c r="H693" s="12">
        <f>IF(OR(C693="",NOT(ISNUMBER(E693))),"",E693*N(IFERROR(INDEX(Crops!$E$6:$E$65,MATCH(C693,Crops!$B$6:$B$65,0)),0)))</f>
        <v/>
      </c>
      <c r="I693" s="11">
        <f>IF(AND(C693="",E693=""),"",IF(NOT(ISNUMBER(B693)),"Needs a date",IF(C693="","Needs a crop",IF(COUNTIF(Crops!$B$6:$B$65,C693)=0,"Not on Crops",IF(NOT(ISNUMBER(E693)),"Needs the amount",IF(AND(D693&lt;&gt;"",COUNTIF(Beds!$B$6:$B$35,D693)=0),"Not on Beds",""))))))</f>
        <v/>
      </c>
      <c r="J693" s="1">
        <f>IF(ISNUMBER(B693),YEAR(B693),"")</f>
        <v/>
      </c>
      <c r="K693">
        <f>IF(ISNUMBER(B693),YEAR(B693)*100+MONTH(B693),"")</f>
        <v/>
      </c>
      <c r="L693">
        <f>IF(ISNUMBER(B693),INT(B693),0)</f>
        <v/>
      </c>
    </row>
    <row r="694">
      <c r="A694" s="1" t="n"/>
      <c r="B694" s="17" t="n"/>
      <c r="C694" s="18" t="n"/>
      <c r="D694" s="19" t="n"/>
      <c r="E694" s="23" t="n"/>
      <c r="F694" s="21" t="n"/>
      <c r="G694" s="11">
        <f>IF(C694="","",IFERROR(INDEX(Crops!$D$6:$D$65,MATCH(C694,Crops!$B$6:$B$65,0))&amp;"",""))</f>
        <v/>
      </c>
      <c r="H694" s="12">
        <f>IF(OR(C694="",NOT(ISNUMBER(E694))),"",E694*N(IFERROR(INDEX(Crops!$E$6:$E$65,MATCH(C694,Crops!$B$6:$B$65,0)),0)))</f>
        <v/>
      </c>
      <c r="I694" s="11">
        <f>IF(AND(C694="",E694=""),"",IF(NOT(ISNUMBER(B694)),"Needs a date",IF(C694="","Needs a crop",IF(COUNTIF(Crops!$B$6:$B$65,C694)=0,"Not on Crops",IF(NOT(ISNUMBER(E694)),"Needs the amount",IF(AND(D694&lt;&gt;"",COUNTIF(Beds!$B$6:$B$35,D694)=0),"Not on Beds",""))))))</f>
        <v/>
      </c>
      <c r="J694" s="1">
        <f>IF(ISNUMBER(B694),YEAR(B694),"")</f>
        <v/>
      </c>
      <c r="K694">
        <f>IF(ISNUMBER(B694),YEAR(B694)*100+MONTH(B694),"")</f>
        <v/>
      </c>
      <c r="L694">
        <f>IF(ISNUMBER(B694),INT(B694),0)</f>
        <v/>
      </c>
    </row>
    <row r="695">
      <c r="A695" s="1" t="n"/>
      <c r="B695" s="17" t="n"/>
      <c r="C695" s="18" t="n"/>
      <c r="D695" s="19" t="n"/>
      <c r="E695" s="23" t="n"/>
      <c r="F695" s="21" t="n"/>
      <c r="G695" s="11">
        <f>IF(C695="","",IFERROR(INDEX(Crops!$D$6:$D$65,MATCH(C695,Crops!$B$6:$B$65,0))&amp;"",""))</f>
        <v/>
      </c>
      <c r="H695" s="12">
        <f>IF(OR(C695="",NOT(ISNUMBER(E695))),"",E695*N(IFERROR(INDEX(Crops!$E$6:$E$65,MATCH(C695,Crops!$B$6:$B$65,0)),0)))</f>
        <v/>
      </c>
      <c r="I695" s="11">
        <f>IF(AND(C695="",E695=""),"",IF(NOT(ISNUMBER(B695)),"Needs a date",IF(C695="","Needs a crop",IF(COUNTIF(Crops!$B$6:$B$65,C695)=0,"Not on Crops",IF(NOT(ISNUMBER(E695)),"Needs the amount",IF(AND(D695&lt;&gt;"",COUNTIF(Beds!$B$6:$B$35,D695)=0),"Not on Beds",""))))))</f>
        <v/>
      </c>
      <c r="J695" s="1">
        <f>IF(ISNUMBER(B695),YEAR(B695),"")</f>
        <v/>
      </c>
      <c r="K695">
        <f>IF(ISNUMBER(B695),YEAR(B695)*100+MONTH(B695),"")</f>
        <v/>
      </c>
      <c r="L695">
        <f>IF(ISNUMBER(B695),INT(B695),0)</f>
        <v/>
      </c>
    </row>
    <row r="696">
      <c r="A696" s="1" t="n"/>
      <c r="B696" s="17" t="n"/>
      <c r="C696" s="18" t="n"/>
      <c r="D696" s="19" t="n"/>
      <c r="E696" s="23" t="n"/>
      <c r="F696" s="21" t="n"/>
      <c r="G696" s="11">
        <f>IF(C696="","",IFERROR(INDEX(Crops!$D$6:$D$65,MATCH(C696,Crops!$B$6:$B$65,0))&amp;"",""))</f>
        <v/>
      </c>
      <c r="H696" s="12">
        <f>IF(OR(C696="",NOT(ISNUMBER(E696))),"",E696*N(IFERROR(INDEX(Crops!$E$6:$E$65,MATCH(C696,Crops!$B$6:$B$65,0)),0)))</f>
        <v/>
      </c>
      <c r="I696" s="11">
        <f>IF(AND(C696="",E696=""),"",IF(NOT(ISNUMBER(B696)),"Needs a date",IF(C696="","Needs a crop",IF(COUNTIF(Crops!$B$6:$B$65,C696)=0,"Not on Crops",IF(NOT(ISNUMBER(E696)),"Needs the amount",IF(AND(D696&lt;&gt;"",COUNTIF(Beds!$B$6:$B$35,D696)=0),"Not on Beds",""))))))</f>
        <v/>
      </c>
      <c r="J696" s="1">
        <f>IF(ISNUMBER(B696),YEAR(B696),"")</f>
        <v/>
      </c>
      <c r="K696">
        <f>IF(ISNUMBER(B696),YEAR(B696)*100+MONTH(B696),"")</f>
        <v/>
      </c>
      <c r="L696">
        <f>IF(ISNUMBER(B696),INT(B696),0)</f>
        <v/>
      </c>
    </row>
    <row r="697">
      <c r="A697" s="1" t="n"/>
      <c r="B697" s="17" t="n"/>
      <c r="C697" s="18" t="n"/>
      <c r="D697" s="19" t="n"/>
      <c r="E697" s="23" t="n"/>
      <c r="F697" s="21" t="n"/>
      <c r="G697" s="11">
        <f>IF(C697="","",IFERROR(INDEX(Crops!$D$6:$D$65,MATCH(C697,Crops!$B$6:$B$65,0))&amp;"",""))</f>
        <v/>
      </c>
      <c r="H697" s="12">
        <f>IF(OR(C697="",NOT(ISNUMBER(E697))),"",E697*N(IFERROR(INDEX(Crops!$E$6:$E$65,MATCH(C697,Crops!$B$6:$B$65,0)),0)))</f>
        <v/>
      </c>
      <c r="I697" s="11">
        <f>IF(AND(C697="",E697=""),"",IF(NOT(ISNUMBER(B697)),"Needs a date",IF(C697="","Needs a crop",IF(COUNTIF(Crops!$B$6:$B$65,C697)=0,"Not on Crops",IF(NOT(ISNUMBER(E697)),"Needs the amount",IF(AND(D697&lt;&gt;"",COUNTIF(Beds!$B$6:$B$35,D697)=0),"Not on Beds",""))))))</f>
        <v/>
      </c>
      <c r="J697" s="1">
        <f>IF(ISNUMBER(B697),YEAR(B697),"")</f>
        <v/>
      </c>
      <c r="K697">
        <f>IF(ISNUMBER(B697),YEAR(B697)*100+MONTH(B697),"")</f>
        <v/>
      </c>
      <c r="L697">
        <f>IF(ISNUMBER(B697),INT(B697),0)</f>
        <v/>
      </c>
    </row>
    <row r="698">
      <c r="A698" s="1" t="n"/>
      <c r="B698" s="17" t="n"/>
      <c r="C698" s="18" t="n"/>
      <c r="D698" s="19" t="n"/>
      <c r="E698" s="23" t="n"/>
      <c r="F698" s="21" t="n"/>
      <c r="G698" s="11">
        <f>IF(C698="","",IFERROR(INDEX(Crops!$D$6:$D$65,MATCH(C698,Crops!$B$6:$B$65,0))&amp;"",""))</f>
        <v/>
      </c>
      <c r="H698" s="12">
        <f>IF(OR(C698="",NOT(ISNUMBER(E698))),"",E698*N(IFERROR(INDEX(Crops!$E$6:$E$65,MATCH(C698,Crops!$B$6:$B$65,0)),0)))</f>
        <v/>
      </c>
      <c r="I698" s="11">
        <f>IF(AND(C698="",E698=""),"",IF(NOT(ISNUMBER(B698)),"Needs a date",IF(C698="","Needs a crop",IF(COUNTIF(Crops!$B$6:$B$65,C698)=0,"Not on Crops",IF(NOT(ISNUMBER(E698)),"Needs the amount",IF(AND(D698&lt;&gt;"",COUNTIF(Beds!$B$6:$B$35,D698)=0),"Not on Beds",""))))))</f>
        <v/>
      </c>
      <c r="J698" s="1">
        <f>IF(ISNUMBER(B698),YEAR(B698),"")</f>
        <v/>
      </c>
      <c r="K698">
        <f>IF(ISNUMBER(B698),YEAR(B698)*100+MONTH(B698),"")</f>
        <v/>
      </c>
      <c r="L698">
        <f>IF(ISNUMBER(B698),INT(B698),0)</f>
        <v/>
      </c>
    </row>
    <row r="699">
      <c r="A699" s="1" t="n"/>
      <c r="B699" s="17" t="n"/>
      <c r="C699" s="18" t="n"/>
      <c r="D699" s="19" t="n"/>
      <c r="E699" s="23" t="n"/>
      <c r="F699" s="21" t="n"/>
      <c r="G699" s="11">
        <f>IF(C699="","",IFERROR(INDEX(Crops!$D$6:$D$65,MATCH(C699,Crops!$B$6:$B$65,0))&amp;"",""))</f>
        <v/>
      </c>
      <c r="H699" s="12">
        <f>IF(OR(C699="",NOT(ISNUMBER(E699))),"",E699*N(IFERROR(INDEX(Crops!$E$6:$E$65,MATCH(C699,Crops!$B$6:$B$65,0)),0)))</f>
        <v/>
      </c>
      <c r="I699" s="11">
        <f>IF(AND(C699="",E699=""),"",IF(NOT(ISNUMBER(B699)),"Needs a date",IF(C699="","Needs a crop",IF(COUNTIF(Crops!$B$6:$B$65,C699)=0,"Not on Crops",IF(NOT(ISNUMBER(E699)),"Needs the amount",IF(AND(D699&lt;&gt;"",COUNTIF(Beds!$B$6:$B$35,D699)=0),"Not on Beds",""))))))</f>
        <v/>
      </c>
      <c r="J699" s="1">
        <f>IF(ISNUMBER(B699),YEAR(B699),"")</f>
        <v/>
      </c>
      <c r="K699">
        <f>IF(ISNUMBER(B699),YEAR(B699)*100+MONTH(B699),"")</f>
        <v/>
      </c>
      <c r="L699">
        <f>IF(ISNUMBER(B699),INT(B699),0)</f>
        <v/>
      </c>
    </row>
    <row r="700">
      <c r="A700" s="1" t="n"/>
      <c r="B700" s="17" t="n"/>
      <c r="C700" s="18" t="n"/>
      <c r="D700" s="19" t="n"/>
      <c r="E700" s="23" t="n"/>
      <c r="F700" s="21" t="n"/>
      <c r="G700" s="11">
        <f>IF(C700="","",IFERROR(INDEX(Crops!$D$6:$D$65,MATCH(C700,Crops!$B$6:$B$65,0))&amp;"",""))</f>
        <v/>
      </c>
      <c r="H700" s="12">
        <f>IF(OR(C700="",NOT(ISNUMBER(E700))),"",E700*N(IFERROR(INDEX(Crops!$E$6:$E$65,MATCH(C700,Crops!$B$6:$B$65,0)),0)))</f>
        <v/>
      </c>
      <c r="I700" s="11">
        <f>IF(AND(C700="",E700=""),"",IF(NOT(ISNUMBER(B700)),"Needs a date",IF(C700="","Needs a crop",IF(COUNTIF(Crops!$B$6:$B$65,C700)=0,"Not on Crops",IF(NOT(ISNUMBER(E700)),"Needs the amount",IF(AND(D700&lt;&gt;"",COUNTIF(Beds!$B$6:$B$35,D700)=0),"Not on Beds",""))))))</f>
        <v/>
      </c>
      <c r="J700" s="1">
        <f>IF(ISNUMBER(B700),YEAR(B700),"")</f>
        <v/>
      </c>
      <c r="K700">
        <f>IF(ISNUMBER(B700),YEAR(B700)*100+MONTH(B700),"")</f>
        <v/>
      </c>
      <c r="L700">
        <f>IF(ISNUMBER(B700),INT(B700),0)</f>
        <v/>
      </c>
    </row>
    <row r="701">
      <c r="A701" s="1" t="n"/>
      <c r="B701" s="17" t="n"/>
      <c r="C701" s="18" t="n"/>
      <c r="D701" s="19" t="n"/>
      <c r="E701" s="23" t="n"/>
      <c r="F701" s="21" t="n"/>
      <c r="G701" s="11">
        <f>IF(C701="","",IFERROR(INDEX(Crops!$D$6:$D$65,MATCH(C701,Crops!$B$6:$B$65,0))&amp;"",""))</f>
        <v/>
      </c>
      <c r="H701" s="12">
        <f>IF(OR(C701="",NOT(ISNUMBER(E701))),"",E701*N(IFERROR(INDEX(Crops!$E$6:$E$65,MATCH(C701,Crops!$B$6:$B$65,0)),0)))</f>
        <v/>
      </c>
      <c r="I701" s="11">
        <f>IF(AND(C701="",E701=""),"",IF(NOT(ISNUMBER(B701)),"Needs a date",IF(C701="","Needs a crop",IF(COUNTIF(Crops!$B$6:$B$65,C701)=0,"Not on Crops",IF(NOT(ISNUMBER(E701)),"Needs the amount",IF(AND(D701&lt;&gt;"",COUNTIF(Beds!$B$6:$B$35,D701)=0),"Not on Beds",""))))))</f>
        <v/>
      </c>
      <c r="J701" s="1">
        <f>IF(ISNUMBER(B701),YEAR(B701),"")</f>
        <v/>
      </c>
      <c r="K701">
        <f>IF(ISNUMBER(B701),YEAR(B701)*100+MONTH(B701),"")</f>
        <v/>
      </c>
      <c r="L701">
        <f>IF(ISNUMBER(B701),INT(B701),0)</f>
        <v/>
      </c>
    </row>
    <row r="702">
      <c r="A702" s="1" t="n"/>
      <c r="B702" s="17" t="n"/>
      <c r="C702" s="18" t="n"/>
      <c r="D702" s="19" t="n"/>
      <c r="E702" s="23" t="n"/>
      <c r="F702" s="21" t="n"/>
      <c r="G702" s="11">
        <f>IF(C702="","",IFERROR(INDEX(Crops!$D$6:$D$65,MATCH(C702,Crops!$B$6:$B$65,0))&amp;"",""))</f>
        <v/>
      </c>
      <c r="H702" s="12">
        <f>IF(OR(C702="",NOT(ISNUMBER(E702))),"",E702*N(IFERROR(INDEX(Crops!$E$6:$E$65,MATCH(C702,Crops!$B$6:$B$65,0)),0)))</f>
        <v/>
      </c>
      <c r="I702" s="11">
        <f>IF(AND(C702="",E702=""),"",IF(NOT(ISNUMBER(B702)),"Needs a date",IF(C702="","Needs a crop",IF(COUNTIF(Crops!$B$6:$B$65,C702)=0,"Not on Crops",IF(NOT(ISNUMBER(E702)),"Needs the amount",IF(AND(D702&lt;&gt;"",COUNTIF(Beds!$B$6:$B$35,D702)=0),"Not on Beds",""))))))</f>
        <v/>
      </c>
      <c r="J702" s="1">
        <f>IF(ISNUMBER(B702),YEAR(B702),"")</f>
        <v/>
      </c>
      <c r="K702">
        <f>IF(ISNUMBER(B702),YEAR(B702)*100+MONTH(B702),"")</f>
        <v/>
      </c>
      <c r="L702">
        <f>IF(ISNUMBER(B702),INT(B702),0)</f>
        <v/>
      </c>
    </row>
    <row r="703">
      <c r="A703" s="1" t="n"/>
      <c r="B703" s="17" t="n"/>
      <c r="C703" s="18" t="n"/>
      <c r="D703" s="19" t="n"/>
      <c r="E703" s="23" t="n"/>
      <c r="F703" s="21" t="n"/>
      <c r="G703" s="11">
        <f>IF(C703="","",IFERROR(INDEX(Crops!$D$6:$D$65,MATCH(C703,Crops!$B$6:$B$65,0))&amp;"",""))</f>
        <v/>
      </c>
      <c r="H703" s="12">
        <f>IF(OR(C703="",NOT(ISNUMBER(E703))),"",E703*N(IFERROR(INDEX(Crops!$E$6:$E$65,MATCH(C703,Crops!$B$6:$B$65,0)),0)))</f>
        <v/>
      </c>
      <c r="I703" s="11">
        <f>IF(AND(C703="",E703=""),"",IF(NOT(ISNUMBER(B703)),"Needs a date",IF(C703="","Needs a crop",IF(COUNTIF(Crops!$B$6:$B$65,C703)=0,"Not on Crops",IF(NOT(ISNUMBER(E703)),"Needs the amount",IF(AND(D703&lt;&gt;"",COUNTIF(Beds!$B$6:$B$35,D703)=0),"Not on Beds",""))))))</f>
        <v/>
      </c>
      <c r="J703" s="1">
        <f>IF(ISNUMBER(B703),YEAR(B703),"")</f>
        <v/>
      </c>
      <c r="K703">
        <f>IF(ISNUMBER(B703),YEAR(B703)*100+MONTH(B703),"")</f>
        <v/>
      </c>
      <c r="L703">
        <f>IF(ISNUMBER(B703),INT(B703),0)</f>
        <v/>
      </c>
    </row>
    <row r="704">
      <c r="A704" s="1" t="n"/>
      <c r="B704" s="17" t="n"/>
      <c r="C704" s="18" t="n"/>
      <c r="D704" s="19" t="n"/>
      <c r="E704" s="23" t="n"/>
      <c r="F704" s="21" t="n"/>
      <c r="G704" s="11">
        <f>IF(C704="","",IFERROR(INDEX(Crops!$D$6:$D$65,MATCH(C704,Crops!$B$6:$B$65,0))&amp;"",""))</f>
        <v/>
      </c>
      <c r="H704" s="12">
        <f>IF(OR(C704="",NOT(ISNUMBER(E704))),"",E704*N(IFERROR(INDEX(Crops!$E$6:$E$65,MATCH(C704,Crops!$B$6:$B$65,0)),0)))</f>
        <v/>
      </c>
      <c r="I704" s="11">
        <f>IF(AND(C704="",E704=""),"",IF(NOT(ISNUMBER(B704)),"Needs a date",IF(C704="","Needs a crop",IF(COUNTIF(Crops!$B$6:$B$65,C704)=0,"Not on Crops",IF(NOT(ISNUMBER(E704)),"Needs the amount",IF(AND(D704&lt;&gt;"",COUNTIF(Beds!$B$6:$B$35,D704)=0),"Not on Beds",""))))))</f>
        <v/>
      </c>
      <c r="J704" s="1">
        <f>IF(ISNUMBER(B704),YEAR(B704),"")</f>
        <v/>
      </c>
      <c r="K704">
        <f>IF(ISNUMBER(B704),YEAR(B704)*100+MONTH(B704),"")</f>
        <v/>
      </c>
      <c r="L704">
        <f>IF(ISNUMBER(B704),INT(B704),0)</f>
        <v/>
      </c>
    </row>
    <row r="705">
      <c r="A705" s="1" t="n"/>
      <c r="B705" s="17" t="n"/>
      <c r="C705" s="18" t="n"/>
      <c r="D705" s="19" t="n"/>
      <c r="E705" s="23" t="n"/>
      <c r="F705" s="21" t="n"/>
      <c r="G705" s="11">
        <f>IF(C705="","",IFERROR(INDEX(Crops!$D$6:$D$65,MATCH(C705,Crops!$B$6:$B$65,0))&amp;"",""))</f>
        <v/>
      </c>
      <c r="H705" s="12">
        <f>IF(OR(C705="",NOT(ISNUMBER(E705))),"",E705*N(IFERROR(INDEX(Crops!$E$6:$E$65,MATCH(C705,Crops!$B$6:$B$65,0)),0)))</f>
        <v/>
      </c>
      <c r="I705" s="11">
        <f>IF(AND(C705="",E705=""),"",IF(NOT(ISNUMBER(B705)),"Needs a date",IF(C705="","Needs a crop",IF(COUNTIF(Crops!$B$6:$B$65,C705)=0,"Not on Crops",IF(NOT(ISNUMBER(E705)),"Needs the amount",IF(AND(D705&lt;&gt;"",COUNTIF(Beds!$B$6:$B$35,D705)=0),"Not on Beds",""))))))</f>
        <v/>
      </c>
      <c r="J705" s="1">
        <f>IF(ISNUMBER(B705),YEAR(B705),"")</f>
        <v/>
      </c>
      <c r="K705">
        <f>IF(ISNUMBER(B705),YEAR(B705)*100+MONTH(B705),"")</f>
        <v/>
      </c>
      <c r="L705">
        <f>IF(ISNUMBER(B705),INT(B705),0)</f>
        <v/>
      </c>
    </row>
    <row r="706">
      <c r="A706" s="1" t="n"/>
      <c r="B706" s="17" t="n"/>
      <c r="C706" s="18" t="n"/>
      <c r="D706" s="19" t="n"/>
      <c r="E706" s="23" t="n"/>
      <c r="F706" s="21" t="n"/>
      <c r="G706" s="11">
        <f>IF(C706="","",IFERROR(INDEX(Crops!$D$6:$D$65,MATCH(C706,Crops!$B$6:$B$65,0))&amp;"",""))</f>
        <v/>
      </c>
      <c r="H706" s="12">
        <f>IF(OR(C706="",NOT(ISNUMBER(E706))),"",E706*N(IFERROR(INDEX(Crops!$E$6:$E$65,MATCH(C706,Crops!$B$6:$B$65,0)),0)))</f>
        <v/>
      </c>
      <c r="I706" s="11">
        <f>IF(AND(C706="",E706=""),"",IF(NOT(ISNUMBER(B706)),"Needs a date",IF(C706="","Needs a crop",IF(COUNTIF(Crops!$B$6:$B$65,C706)=0,"Not on Crops",IF(NOT(ISNUMBER(E706)),"Needs the amount",IF(AND(D706&lt;&gt;"",COUNTIF(Beds!$B$6:$B$35,D706)=0),"Not on Beds",""))))))</f>
        <v/>
      </c>
      <c r="J706" s="1">
        <f>IF(ISNUMBER(B706),YEAR(B706),"")</f>
        <v/>
      </c>
      <c r="K706">
        <f>IF(ISNUMBER(B706),YEAR(B706)*100+MONTH(B706),"")</f>
        <v/>
      </c>
      <c r="L706">
        <f>IF(ISNUMBER(B706),INT(B706),0)</f>
        <v/>
      </c>
    </row>
    <row r="707">
      <c r="A707" s="1" t="n"/>
      <c r="B707" s="17" t="n"/>
      <c r="C707" s="18" t="n"/>
      <c r="D707" s="19" t="n"/>
      <c r="E707" s="23" t="n"/>
      <c r="F707" s="21" t="n"/>
      <c r="G707" s="11">
        <f>IF(C707="","",IFERROR(INDEX(Crops!$D$6:$D$65,MATCH(C707,Crops!$B$6:$B$65,0))&amp;"",""))</f>
        <v/>
      </c>
      <c r="H707" s="12">
        <f>IF(OR(C707="",NOT(ISNUMBER(E707))),"",E707*N(IFERROR(INDEX(Crops!$E$6:$E$65,MATCH(C707,Crops!$B$6:$B$65,0)),0)))</f>
        <v/>
      </c>
      <c r="I707" s="11">
        <f>IF(AND(C707="",E707=""),"",IF(NOT(ISNUMBER(B707)),"Needs a date",IF(C707="","Needs a crop",IF(COUNTIF(Crops!$B$6:$B$65,C707)=0,"Not on Crops",IF(NOT(ISNUMBER(E707)),"Needs the amount",IF(AND(D707&lt;&gt;"",COUNTIF(Beds!$B$6:$B$35,D707)=0),"Not on Beds",""))))))</f>
        <v/>
      </c>
      <c r="J707" s="1">
        <f>IF(ISNUMBER(B707),YEAR(B707),"")</f>
        <v/>
      </c>
      <c r="K707">
        <f>IF(ISNUMBER(B707),YEAR(B707)*100+MONTH(B707),"")</f>
        <v/>
      </c>
      <c r="L707">
        <f>IF(ISNUMBER(B707),INT(B707),0)</f>
        <v/>
      </c>
    </row>
    <row r="708">
      <c r="A708" s="1" t="n"/>
      <c r="B708" s="17" t="n"/>
      <c r="C708" s="18" t="n"/>
      <c r="D708" s="19" t="n"/>
      <c r="E708" s="23" t="n"/>
      <c r="F708" s="21" t="n"/>
      <c r="G708" s="11">
        <f>IF(C708="","",IFERROR(INDEX(Crops!$D$6:$D$65,MATCH(C708,Crops!$B$6:$B$65,0))&amp;"",""))</f>
        <v/>
      </c>
      <c r="H708" s="12">
        <f>IF(OR(C708="",NOT(ISNUMBER(E708))),"",E708*N(IFERROR(INDEX(Crops!$E$6:$E$65,MATCH(C708,Crops!$B$6:$B$65,0)),0)))</f>
        <v/>
      </c>
      <c r="I708" s="11">
        <f>IF(AND(C708="",E708=""),"",IF(NOT(ISNUMBER(B708)),"Needs a date",IF(C708="","Needs a crop",IF(COUNTIF(Crops!$B$6:$B$65,C708)=0,"Not on Crops",IF(NOT(ISNUMBER(E708)),"Needs the amount",IF(AND(D708&lt;&gt;"",COUNTIF(Beds!$B$6:$B$35,D708)=0),"Not on Beds",""))))))</f>
        <v/>
      </c>
      <c r="J708" s="1">
        <f>IF(ISNUMBER(B708),YEAR(B708),"")</f>
        <v/>
      </c>
      <c r="K708">
        <f>IF(ISNUMBER(B708),YEAR(B708)*100+MONTH(B708),"")</f>
        <v/>
      </c>
      <c r="L708">
        <f>IF(ISNUMBER(B708),INT(B708),0)</f>
        <v/>
      </c>
    </row>
    <row r="709">
      <c r="A709" s="1" t="n"/>
      <c r="B709" s="17" t="n"/>
      <c r="C709" s="18" t="n"/>
      <c r="D709" s="19" t="n"/>
      <c r="E709" s="23" t="n"/>
      <c r="F709" s="21" t="n"/>
      <c r="G709" s="11">
        <f>IF(C709="","",IFERROR(INDEX(Crops!$D$6:$D$65,MATCH(C709,Crops!$B$6:$B$65,0))&amp;"",""))</f>
        <v/>
      </c>
      <c r="H709" s="12">
        <f>IF(OR(C709="",NOT(ISNUMBER(E709))),"",E709*N(IFERROR(INDEX(Crops!$E$6:$E$65,MATCH(C709,Crops!$B$6:$B$65,0)),0)))</f>
        <v/>
      </c>
      <c r="I709" s="11">
        <f>IF(AND(C709="",E709=""),"",IF(NOT(ISNUMBER(B709)),"Needs a date",IF(C709="","Needs a crop",IF(COUNTIF(Crops!$B$6:$B$65,C709)=0,"Not on Crops",IF(NOT(ISNUMBER(E709)),"Needs the amount",IF(AND(D709&lt;&gt;"",COUNTIF(Beds!$B$6:$B$35,D709)=0),"Not on Beds",""))))))</f>
        <v/>
      </c>
      <c r="J709" s="1">
        <f>IF(ISNUMBER(B709),YEAR(B709),"")</f>
        <v/>
      </c>
      <c r="K709">
        <f>IF(ISNUMBER(B709),YEAR(B709)*100+MONTH(B709),"")</f>
        <v/>
      </c>
      <c r="L709">
        <f>IF(ISNUMBER(B709),INT(B709),0)</f>
        <v/>
      </c>
    </row>
    <row r="710">
      <c r="A710" s="1" t="n"/>
      <c r="B710" s="17" t="n"/>
      <c r="C710" s="18" t="n"/>
      <c r="D710" s="19" t="n"/>
      <c r="E710" s="23" t="n"/>
      <c r="F710" s="21" t="n"/>
      <c r="G710" s="11">
        <f>IF(C710="","",IFERROR(INDEX(Crops!$D$6:$D$65,MATCH(C710,Crops!$B$6:$B$65,0))&amp;"",""))</f>
        <v/>
      </c>
      <c r="H710" s="12">
        <f>IF(OR(C710="",NOT(ISNUMBER(E710))),"",E710*N(IFERROR(INDEX(Crops!$E$6:$E$65,MATCH(C710,Crops!$B$6:$B$65,0)),0)))</f>
        <v/>
      </c>
      <c r="I710" s="11">
        <f>IF(AND(C710="",E710=""),"",IF(NOT(ISNUMBER(B710)),"Needs a date",IF(C710="","Needs a crop",IF(COUNTIF(Crops!$B$6:$B$65,C710)=0,"Not on Crops",IF(NOT(ISNUMBER(E710)),"Needs the amount",IF(AND(D710&lt;&gt;"",COUNTIF(Beds!$B$6:$B$35,D710)=0),"Not on Beds",""))))))</f>
        <v/>
      </c>
      <c r="J710" s="1">
        <f>IF(ISNUMBER(B710),YEAR(B710),"")</f>
        <v/>
      </c>
      <c r="K710">
        <f>IF(ISNUMBER(B710),YEAR(B710)*100+MONTH(B710),"")</f>
        <v/>
      </c>
      <c r="L710">
        <f>IF(ISNUMBER(B710),INT(B710),0)</f>
        <v/>
      </c>
    </row>
    <row r="711">
      <c r="A711" s="1" t="n"/>
      <c r="B711" s="17" t="n"/>
      <c r="C711" s="18" t="n"/>
      <c r="D711" s="19" t="n"/>
      <c r="E711" s="23" t="n"/>
      <c r="F711" s="21" t="n"/>
      <c r="G711" s="11">
        <f>IF(C711="","",IFERROR(INDEX(Crops!$D$6:$D$65,MATCH(C711,Crops!$B$6:$B$65,0))&amp;"",""))</f>
        <v/>
      </c>
      <c r="H711" s="12">
        <f>IF(OR(C711="",NOT(ISNUMBER(E711))),"",E711*N(IFERROR(INDEX(Crops!$E$6:$E$65,MATCH(C711,Crops!$B$6:$B$65,0)),0)))</f>
        <v/>
      </c>
      <c r="I711" s="11">
        <f>IF(AND(C711="",E711=""),"",IF(NOT(ISNUMBER(B711)),"Needs a date",IF(C711="","Needs a crop",IF(COUNTIF(Crops!$B$6:$B$65,C711)=0,"Not on Crops",IF(NOT(ISNUMBER(E711)),"Needs the amount",IF(AND(D711&lt;&gt;"",COUNTIF(Beds!$B$6:$B$35,D711)=0),"Not on Beds",""))))))</f>
        <v/>
      </c>
      <c r="J711" s="1">
        <f>IF(ISNUMBER(B711),YEAR(B711),"")</f>
        <v/>
      </c>
      <c r="K711">
        <f>IF(ISNUMBER(B711),YEAR(B711)*100+MONTH(B711),"")</f>
        <v/>
      </c>
      <c r="L711">
        <f>IF(ISNUMBER(B711),INT(B711),0)</f>
        <v/>
      </c>
    </row>
    <row r="712">
      <c r="A712" s="1" t="n"/>
      <c r="B712" s="17" t="n"/>
      <c r="C712" s="18" t="n"/>
      <c r="D712" s="19" t="n"/>
      <c r="E712" s="23" t="n"/>
      <c r="F712" s="21" t="n"/>
      <c r="G712" s="11">
        <f>IF(C712="","",IFERROR(INDEX(Crops!$D$6:$D$65,MATCH(C712,Crops!$B$6:$B$65,0))&amp;"",""))</f>
        <v/>
      </c>
      <c r="H712" s="12">
        <f>IF(OR(C712="",NOT(ISNUMBER(E712))),"",E712*N(IFERROR(INDEX(Crops!$E$6:$E$65,MATCH(C712,Crops!$B$6:$B$65,0)),0)))</f>
        <v/>
      </c>
      <c r="I712" s="11">
        <f>IF(AND(C712="",E712=""),"",IF(NOT(ISNUMBER(B712)),"Needs a date",IF(C712="","Needs a crop",IF(COUNTIF(Crops!$B$6:$B$65,C712)=0,"Not on Crops",IF(NOT(ISNUMBER(E712)),"Needs the amount",IF(AND(D712&lt;&gt;"",COUNTIF(Beds!$B$6:$B$35,D712)=0),"Not on Beds",""))))))</f>
        <v/>
      </c>
      <c r="J712" s="1">
        <f>IF(ISNUMBER(B712),YEAR(B712),"")</f>
        <v/>
      </c>
      <c r="K712">
        <f>IF(ISNUMBER(B712),YEAR(B712)*100+MONTH(B712),"")</f>
        <v/>
      </c>
      <c r="L712">
        <f>IF(ISNUMBER(B712),INT(B712),0)</f>
        <v/>
      </c>
    </row>
    <row r="713">
      <c r="A713" s="1" t="n"/>
      <c r="B713" s="17" t="n"/>
      <c r="C713" s="18" t="n"/>
      <c r="D713" s="19" t="n"/>
      <c r="E713" s="23" t="n"/>
      <c r="F713" s="21" t="n"/>
      <c r="G713" s="11">
        <f>IF(C713="","",IFERROR(INDEX(Crops!$D$6:$D$65,MATCH(C713,Crops!$B$6:$B$65,0))&amp;"",""))</f>
        <v/>
      </c>
      <c r="H713" s="12">
        <f>IF(OR(C713="",NOT(ISNUMBER(E713))),"",E713*N(IFERROR(INDEX(Crops!$E$6:$E$65,MATCH(C713,Crops!$B$6:$B$65,0)),0)))</f>
        <v/>
      </c>
      <c r="I713" s="11">
        <f>IF(AND(C713="",E713=""),"",IF(NOT(ISNUMBER(B713)),"Needs a date",IF(C713="","Needs a crop",IF(COUNTIF(Crops!$B$6:$B$65,C713)=0,"Not on Crops",IF(NOT(ISNUMBER(E713)),"Needs the amount",IF(AND(D713&lt;&gt;"",COUNTIF(Beds!$B$6:$B$35,D713)=0),"Not on Beds",""))))))</f>
        <v/>
      </c>
      <c r="J713" s="1">
        <f>IF(ISNUMBER(B713),YEAR(B713),"")</f>
        <v/>
      </c>
      <c r="K713">
        <f>IF(ISNUMBER(B713),YEAR(B713)*100+MONTH(B713),"")</f>
        <v/>
      </c>
      <c r="L713">
        <f>IF(ISNUMBER(B713),INT(B713),0)</f>
        <v/>
      </c>
    </row>
    <row r="714">
      <c r="A714" s="1" t="n"/>
      <c r="B714" s="17" t="n"/>
      <c r="C714" s="18" t="n"/>
      <c r="D714" s="19" t="n"/>
      <c r="E714" s="23" t="n"/>
      <c r="F714" s="21" t="n"/>
      <c r="G714" s="11">
        <f>IF(C714="","",IFERROR(INDEX(Crops!$D$6:$D$65,MATCH(C714,Crops!$B$6:$B$65,0))&amp;"",""))</f>
        <v/>
      </c>
      <c r="H714" s="12">
        <f>IF(OR(C714="",NOT(ISNUMBER(E714))),"",E714*N(IFERROR(INDEX(Crops!$E$6:$E$65,MATCH(C714,Crops!$B$6:$B$65,0)),0)))</f>
        <v/>
      </c>
      <c r="I714" s="11">
        <f>IF(AND(C714="",E714=""),"",IF(NOT(ISNUMBER(B714)),"Needs a date",IF(C714="","Needs a crop",IF(COUNTIF(Crops!$B$6:$B$65,C714)=0,"Not on Crops",IF(NOT(ISNUMBER(E714)),"Needs the amount",IF(AND(D714&lt;&gt;"",COUNTIF(Beds!$B$6:$B$35,D714)=0),"Not on Beds",""))))))</f>
        <v/>
      </c>
      <c r="J714" s="1">
        <f>IF(ISNUMBER(B714),YEAR(B714),"")</f>
        <v/>
      </c>
      <c r="K714">
        <f>IF(ISNUMBER(B714),YEAR(B714)*100+MONTH(B714),"")</f>
        <v/>
      </c>
      <c r="L714">
        <f>IF(ISNUMBER(B714),INT(B714),0)</f>
        <v/>
      </c>
    </row>
    <row r="715">
      <c r="A715" s="1" t="n"/>
      <c r="B715" s="17" t="n"/>
      <c r="C715" s="18" t="n"/>
      <c r="D715" s="19" t="n"/>
      <c r="E715" s="23" t="n"/>
      <c r="F715" s="21" t="n"/>
      <c r="G715" s="11">
        <f>IF(C715="","",IFERROR(INDEX(Crops!$D$6:$D$65,MATCH(C715,Crops!$B$6:$B$65,0))&amp;"",""))</f>
        <v/>
      </c>
      <c r="H715" s="12">
        <f>IF(OR(C715="",NOT(ISNUMBER(E715))),"",E715*N(IFERROR(INDEX(Crops!$E$6:$E$65,MATCH(C715,Crops!$B$6:$B$65,0)),0)))</f>
        <v/>
      </c>
      <c r="I715" s="11">
        <f>IF(AND(C715="",E715=""),"",IF(NOT(ISNUMBER(B715)),"Needs a date",IF(C715="","Needs a crop",IF(COUNTIF(Crops!$B$6:$B$65,C715)=0,"Not on Crops",IF(NOT(ISNUMBER(E715)),"Needs the amount",IF(AND(D715&lt;&gt;"",COUNTIF(Beds!$B$6:$B$35,D715)=0),"Not on Beds",""))))))</f>
        <v/>
      </c>
      <c r="J715" s="1">
        <f>IF(ISNUMBER(B715),YEAR(B715),"")</f>
        <v/>
      </c>
      <c r="K715">
        <f>IF(ISNUMBER(B715),YEAR(B715)*100+MONTH(B715),"")</f>
        <v/>
      </c>
      <c r="L715">
        <f>IF(ISNUMBER(B715),INT(B715),0)</f>
        <v/>
      </c>
    </row>
    <row r="716">
      <c r="A716" s="1" t="n"/>
      <c r="B716" s="17" t="n"/>
      <c r="C716" s="18" t="n"/>
      <c r="D716" s="19" t="n"/>
      <c r="E716" s="23" t="n"/>
      <c r="F716" s="21" t="n"/>
      <c r="G716" s="11">
        <f>IF(C716="","",IFERROR(INDEX(Crops!$D$6:$D$65,MATCH(C716,Crops!$B$6:$B$65,0))&amp;"",""))</f>
        <v/>
      </c>
      <c r="H716" s="12">
        <f>IF(OR(C716="",NOT(ISNUMBER(E716))),"",E716*N(IFERROR(INDEX(Crops!$E$6:$E$65,MATCH(C716,Crops!$B$6:$B$65,0)),0)))</f>
        <v/>
      </c>
      <c r="I716" s="11">
        <f>IF(AND(C716="",E716=""),"",IF(NOT(ISNUMBER(B716)),"Needs a date",IF(C716="","Needs a crop",IF(COUNTIF(Crops!$B$6:$B$65,C716)=0,"Not on Crops",IF(NOT(ISNUMBER(E716)),"Needs the amount",IF(AND(D716&lt;&gt;"",COUNTIF(Beds!$B$6:$B$35,D716)=0),"Not on Beds",""))))))</f>
        <v/>
      </c>
      <c r="J716" s="1">
        <f>IF(ISNUMBER(B716),YEAR(B716),"")</f>
        <v/>
      </c>
      <c r="K716">
        <f>IF(ISNUMBER(B716),YEAR(B716)*100+MONTH(B716),"")</f>
        <v/>
      </c>
      <c r="L716">
        <f>IF(ISNUMBER(B716),INT(B716),0)</f>
        <v/>
      </c>
    </row>
    <row r="717">
      <c r="A717" s="1" t="n"/>
      <c r="B717" s="17" t="n"/>
      <c r="C717" s="18" t="n"/>
      <c r="D717" s="19" t="n"/>
      <c r="E717" s="23" t="n"/>
      <c r="F717" s="21" t="n"/>
      <c r="G717" s="11">
        <f>IF(C717="","",IFERROR(INDEX(Crops!$D$6:$D$65,MATCH(C717,Crops!$B$6:$B$65,0))&amp;"",""))</f>
        <v/>
      </c>
      <c r="H717" s="12">
        <f>IF(OR(C717="",NOT(ISNUMBER(E717))),"",E717*N(IFERROR(INDEX(Crops!$E$6:$E$65,MATCH(C717,Crops!$B$6:$B$65,0)),0)))</f>
        <v/>
      </c>
      <c r="I717" s="11">
        <f>IF(AND(C717="",E717=""),"",IF(NOT(ISNUMBER(B717)),"Needs a date",IF(C717="","Needs a crop",IF(COUNTIF(Crops!$B$6:$B$65,C717)=0,"Not on Crops",IF(NOT(ISNUMBER(E717)),"Needs the amount",IF(AND(D717&lt;&gt;"",COUNTIF(Beds!$B$6:$B$35,D717)=0),"Not on Beds",""))))))</f>
        <v/>
      </c>
      <c r="J717" s="1">
        <f>IF(ISNUMBER(B717),YEAR(B717),"")</f>
        <v/>
      </c>
      <c r="K717">
        <f>IF(ISNUMBER(B717),YEAR(B717)*100+MONTH(B717),"")</f>
        <v/>
      </c>
      <c r="L717">
        <f>IF(ISNUMBER(B717),INT(B717),0)</f>
        <v/>
      </c>
    </row>
    <row r="718">
      <c r="A718" s="1" t="n"/>
      <c r="B718" s="17" t="n"/>
      <c r="C718" s="18" t="n"/>
      <c r="D718" s="19" t="n"/>
      <c r="E718" s="23" t="n"/>
      <c r="F718" s="21" t="n"/>
      <c r="G718" s="11">
        <f>IF(C718="","",IFERROR(INDEX(Crops!$D$6:$D$65,MATCH(C718,Crops!$B$6:$B$65,0))&amp;"",""))</f>
        <v/>
      </c>
      <c r="H718" s="12">
        <f>IF(OR(C718="",NOT(ISNUMBER(E718))),"",E718*N(IFERROR(INDEX(Crops!$E$6:$E$65,MATCH(C718,Crops!$B$6:$B$65,0)),0)))</f>
        <v/>
      </c>
      <c r="I718" s="11">
        <f>IF(AND(C718="",E718=""),"",IF(NOT(ISNUMBER(B718)),"Needs a date",IF(C718="","Needs a crop",IF(COUNTIF(Crops!$B$6:$B$65,C718)=0,"Not on Crops",IF(NOT(ISNUMBER(E718)),"Needs the amount",IF(AND(D718&lt;&gt;"",COUNTIF(Beds!$B$6:$B$35,D718)=0),"Not on Beds",""))))))</f>
        <v/>
      </c>
      <c r="J718" s="1">
        <f>IF(ISNUMBER(B718),YEAR(B718),"")</f>
        <v/>
      </c>
      <c r="K718">
        <f>IF(ISNUMBER(B718),YEAR(B718)*100+MONTH(B718),"")</f>
        <v/>
      </c>
      <c r="L718">
        <f>IF(ISNUMBER(B718),INT(B718),0)</f>
        <v/>
      </c>
    </row>
    <row r="719">
      <c r="A719" s="1" t="n"/>
      <c r="B719" s="17" t="n"/>
      <c r="C719" s="18" t="n"/>
      <c r="D719" s="19" t="n"/>
      <c r="E719" s="23" t="n"/>
      <c r="F719" s="21" t="n"/>
      <c r="G719" s="11">
        <f>IF(C719="","",IFERROR(INDEX(Crops!$D$6:$D$65,MATCH(C719,Crops!$B$6:$B$65,0))&amp;"",""))</f>
        <v/>
      </c>
      <c r="H719" s="12">
        <f>IF(OR(C719="",NOT(ISNUMBER(E719))),"",E719*N(IFERROR(INDEX(Crops!$E$6:$E$65,MATCH(C719,Crops!$B$6:$B$65,0)),0)))</f>
        <v/>
      </c>
      <c r="I719" s="11">
        <f>IF(AND(C719="",E719=""),"",IF(NOT(ISNUMBER(B719)),"Needs a date",IF(C719="","Needs a crop",IF(COUNTIF(Crops!$B$6:$B$65,C719)=0,"Not on Crops",IF(NOT(ISNUMBER(E719)),"Needs the amount",IF(AND(D719&lt;&gt;"",COUNTIF(Beds!$B$6:$B$35,D719)=0),"Not on Beds",""))))))</f>
        <v/>
      </c>
      <c r="J719" s="1">
        <f>IF(ISNUMBER(B719),YEAR(B719),"")</f>
        <v/>
      </c>
      <c r="K719">
        <f>IF(ISNUMBER(B719),YEAR(B719)*100+MONTH(B719),"")</f>
        <v/>
      </c>
      <c r="L719">
        <f>IF(ISNUMBER(B719),INT(B719),0)</f>
        <v/>
      </c>
    </row>
    <row r="720">
      <c r="A720" s="1" t="n"/>
      <c r="B720" s="17" t="n"/>
      <c r="C720" s="18" t="n"/>
      <c r="D720" s="19" t="n"/>
      <c r="E720" s="23" t="n"/>
      <c r="F720" s="21" t="n"/>
      <c r="G720" s="11">
        <f>IF(C720="","",IFERROR(INDEX(Crops!$D$6:$D$65,MATCH(C720,Crops!$B$6:$B$65,0))&amp;"",""))</f>
        <v/>
      </c>
      <c r="H720" s="12">
        <f>IF(OR(C720="",NOT(ISNUMBER(E720))),"",E720*N(IFERROR(INDEX(Crops!$E$6:$E$65,MATCH(C720,Crops!$B$6:$B$65,0)),0)))</f>
        <v/>
      </c>
      <c r="I720" s="11">
        <f>IF(AND(C720="",E720=""),"",IF(NOT(ISNUMBER(B720)),"Needs a date",IF(C720="","Needs a crop",IF(COUNTIF(Crops!$B$6:$B$65,C720)=0,"Not on Crops",IF(NOT(ISNUMBER(E720)),"Needs the amount",IF(AND(D720&lt;&gt;"",COUNTIF(Beds!$B$6:$B$35,D720)=0),"Not on Beds",""))))))</f>
        <v/>
      </c>
      <c r="J720" s="1">
        <f>IF(ISNUMBER(B720),YEAR(B720),"")</f>
        <v/>
      </c>
      <c r="K720">
        <f>IF(ISNUMBER(B720),YEAR(B720)*100+MONTH(B720),"")</f>
        <v/>
      </c>
      <c r="L720">
        <f>IF(ISNUMBER(B720),INT(B720),0)</f>
        <v/>
      </c>
    </row>
    <row r="721">
      <c r="A721" s="1" t="n"/>
      <c r="B721" s="17" t="n"/>
      <c r="C721" s="18" t="n"/>
      <c r="D721" s="19" t="n"/>
      <c r="E721" s="23" t="n"/>
      <c r="F721" s="21" t="n"/>
      <c r="G721" s="11">
        <f>IF(C721="","",IFERROR(INDEX(Crops!$D$6:$D$65,MATCH(C721,Crops!$B$6:$B$65,0))&amp;"",""))</f>
        <v/>
      </c>
      <c r="H721" s="12">
        <f>IF(OR(C721="",NOT(ISNUMBER(E721))),"",E721*N(IFERROR(INDEX(Crops!$E$6:$E$65,MATCH(C721,Crops!$B$6:$B$65,0)),0)))</f>
        <v/>
      </c>
      <c r="I721" s="11">
        <f>IF(AND(C721="",E721=""),"",IF(NOT(ISNUMBER(B721)),"Needs a date",IF(C721="","Needs a crop",IF(COUNTIF(Crops!$B$6:$B$65,C721)=0,"Not on Crops",IF(NOT(ISNUMBER(E721)),"Needs the amount",IF(AND(D721&lt;&gt;"",COUNTIF(Beds!$B$6:$B$35,D721)=0),"Not on Beds",""))))))</f>
        <v/>
      </c>
      <c r="J721" s="1">
        <f>IF(ISNUMBER(B721),YEAR(B721),"")</f>
        <v/>
      </c>
      <c r="K721">
        <f>IF(ISNUMBER(B721),YEAR(B721)*100+MONTH(B721),"")</f>
        <v/>
      </c>
      <c r="L721">
        <f>IF(ISNUMBER(B721),INT(B721),0)</f>
        <v/>
      </c>
    </row>
    <row r="722">
      <c r="A722" s="1" t="n"/>
      <c r="B722" s="17" t="n"/>
      <c r="C722" s="18" t="n"/>
      <c r="D722" s="19" t="n"/>
      <c r="E722" s="23" t="n"/>
      <c r="F722" s="21" t="n"/>
      <c r="G722" s="11">
        <f>IF(C722="","",IFERROR(INDEX(Crops!$D$6:$D$65,MATCH(C722,Crops!$B$6:$B$65,0))&amp;"",""))</f>
        <v/>
      </c>
      <c r="H722" s="12">
        <f>IF(OR(C722="",NOT(ISNUMBER(E722))),"",E722*N(IFERROR(INDEX(Crops!$E$6:$E$65,MATCH(C722,Crops!$B$6:$B$65,0)),0)))</f>
        <v/>
      </c>
      <c r="I722" s="11">
        <f>IF(AND(C722="",E722=""),"",IF(NOT(ISNUMBER(B722)),"Needs a date",IF(C722="","Needs a crop",IF(COUNTIF(Crops!$B$6:$B$65,C722)=0,"Not on Crops",IF(NOT(ISNUMBER(E722)),"Needs the amount",IF(AND(D722&lt;&gt;"",COUNTIF(Beds!$B$6:$B$35,D722)=0),"Not on Beds",""))))))</f>
        <v/>
      </c>
      <c r="J722" s="1">
        <f>IF(ISNUMBER(B722),YEAR(B722),"")</f>
        <v/>
      </c>
      <c r="K722">
        <f>IF(ISNUMBER(B722),YEAR(B722)*100+MONTH(B722),"")</f>
        <v/>
      </c>
      <c r="L722">
        <f>IF(ISNUMBER(B722),INT(B722),0)</f>
        <v/>
      </c>
    </row>
    <row r="723">
      <c r="A723" s="1" t="n"/>
      <c r="B723" s="17" t="n"/>
      <c r="C723" s="18" t="n"/>
      <c r="D723" s="19" t="n"/>
      <c r="E723" s="23" t="n"/>
      <c r="F723" s="21" t="n"/>
      <c r="G723" s="11">
        <f>IF(C723="","",IFERROR(INDEX(Crops!$D$6:$D$65,MATCH(C723,Crops!$B$6:$B$65,0))&amp;"",""))</f>
        <v/>
      </c>
      <c r="H723" s="12">
        <f>IF(OR(C723="",NOT(ISNUMBER(E723))),"",E723*N(IFERROR(INDEX(Crops!$E$6:$E$65,MATCH(C723,Crops!$B$6:$B$65,0)),0)))</f>
        <v/>
      </c>
      <c r="I723" s="11">
        <f>IF(AND(C723="",E723=""),"",IF(NOT(ISNUMBER(B723)),"Needs a date",IF(C723="","Needs a crop",IF(COUNTIF(Crops!$B$6:$B$65,C723)=0,"Not on Crops",IF(NOT(ISNUMBER(E723)),"Needs the amount",IF(AND(D723&lt;&gt;"",COUNTIF(Beds!$B$6:$B$35,D723)=0),"Not on Beds",""))))))</f>
        <v/>
      </c>
      <c r="J723" s="1">
        <f>IF(ISNUMBER(B723),YEAR(B723),"")</f>
        <v/>
      </c>
      <c r="K723">
        <f>IF(ISNUMBER(B723),YEAR(B723)*100+MONTH(B723),"")</f>
        <v/>
      </c>
      <c r="L723">
        <f>IF(ISNUMBER(B723),INT(B723),0)</f>
        <v/>
      </c>
    </row>
    <row r="724">
      <c r="A724" s="1" t="n"/>
      <c r="B724" s="17" t="n"/>
      <c r="C724" s="18" t="n"/>
      <c r="D724" s="19" t="n"/>
      <c r="E724" s="23" t="n"/>
      <c r="F724" s="21" t="n"/>
      <c r="G724" s="11">
        <f>IF(C724="","",IFERROR(INDEX(Crops!$D$6:$D$65,MATCH(C724,Crops!$B$6:$B$65,0))&amp;"",""))</f>
        <v/>
      </c>
      <c r="H724" s="12">
        <f>IF(OR(C724="",NOT(ISNUMBER(E724))),"",E724*N(IFERROR(INDEX(Crops!$E$6:$E$65,MATCH(C724,Crops!$B$6:$B$65,0)),0)))</f>
        <v/>
      </c>
      <c r="I724" s="11">
        <f>IF(AND(C724="",E724=""),"",IF(NOT(ISNUMBER(B724)),"Needs a date",IF(C724="","Needs a crop",IF(COUNTIF(Crops!$B$6:$B$65,C724)=0,"Not on Crops",IF(NOT(ISNUMBER(E724)),"Needs the amount",IF(AND(D724&lt;&gt;"",COUNTIF(Beds!$B$6:$B$35,D724)=0),"Not on Beds",""))))))</f>
        <v/>
      </c>
      <c r="J724" s="1">
        <f>IF(ISNUMBER(B724),YEAR(B724),"")</f>
        <v/>
      </c>
      <c r="K724">
        <f>IF(ISNUMBER(B724),YEAR(B724)*100+MONTH(B724),"")</f>
        <v/>
      </c>
      <c r="L724">
        <f>IF(ISNUMBER(B724),INT(B724),0)</f>
        <v/>
      </c>
    </row>
    <row r="725">
      <c r="A725" s="1" t="n"/>
      <c r="B725" s="17" t="n"/>
      <c r="C725" s="18" t="n"/>
      <c r="D725" s="19" t="n"/>
      <c r="E725" s="23" t="n"/>
      <c r="F725" s="21" t="n"/>
      <c r="G725" s="11">
        <f>IF(C725="","",IFERROR(INDEX(Crops!$D$6:$D$65,MATCH(C725,Crops!$B$6:$B$65,0))&amp;"",""))</f>
        <v/>
      </c>
      <c r="H725" s="12">
        <f>IF(OR(C725="",NOT(ISNUMBER(E725))),"",E725*N(IFERROR(INDEX(Crops!$E$6:$E$65,MATCH(C725,Crops!$B$6:$B$65,0)),0)))</f>
        <v/>
      </c>
      <c r="I725" s="11">
        <f>IF(AND(C725="",E725=""),"",IF(NOT(ISNUMBER(B725)),"Needs a date",IF(C725="","Needs a crop",IF(COUNTIF(Crops!$B$6:$B$65,C725)=0,"Not on Crops",IF(NOT(ISNUMBER(E725)),"Needs the amount",IF(AND(D725&lt;&gt;"",COUNTIF(Beds!$B$6:$B$35,D725)=0),"Not on Beds",""))))))</f>
        <v/>
      </c>
      <c r="J725" s="1">
        <f>IF(ISNUMBER(B725),YEAR(B725),"")</f>
        <v/>
      </c>
      <c r="K725">
        <f>IF(ISNUMBER(B725),YEAR(B725)*100+MONTH(B725),"")</f>
        <v/>
      </c>
      <c r="L725">
        <f>IF(ISNUMBER(B725),INT(B725),0)</f>
        <v/>
      </c>
    </row>
    <row r="726">
      <c r="A726" s="1" t="n"/>
      <c r="B726" s="17" t="n"/>
      <c r="C726" s="18" t="n"/>
      <c r="D726" s="19" t="n"/>
      <c r="E726" s="23" t="n"/>
      <c r="F726" s="21" t="n"/>
      <c r="G726" s="11">
        <f>IF(C726="","",IFERROR(INDEX(Crops!$D$6:$D$65,MATCH(C726,Crops!$B$6:$B$65,0))&amp;"",""))</f>
        <v/>
      </c>
      <c r="H726" s="12">
        <f>IF(OR(C726="",NOT(ISNUMBER(E726))),"",E726*N(IFERROR(INDEX(Crops!$E$6:$E$65,MATCH(C726,Crops!$B$6:$B$65,0)),0)))</f>
        <v/>
      </c>
      <c r="I726" s="11">
        <f>IF(AND(C726="",E726=""),"",IF(NOT(ISNUMBER(B726)),"Needs a date",IF(C726="","Needs a crop",IF(COUNTIF(Crops!$B$6:$B$65,C726)=0,"Not on Crops",IF(NOT(ISNUMBER(E726)),"Needs the amount",IF(AND(D726&lt;&gt;"",COUNTIF(Beds!$B$6:$B$35,D726)=0),"Not on Beds",""))))))</f>
        <v/>
      </c>
      <c r="J726" s="1">
        <f>IF(ISNUMBER(B726),YEAR(B726),"")</f>
        <v/>
      </c>
      <c r="K726">
        <f>IF(ISNUMBER(B726),YEAR(B726)*100+MONTH(B726),"")</f>
        <v/>
      </c>
      <c r="L726">
        <f>IF(ISNUMBER(B726),INT(B726),0)</f>
        <v/>
      </c>
    </row>
    <row r="727">
      <c r="A727" s="1" t="n"/>
      <c r="B727" s="17" t="n"/>
      <c r="C727" s="18" t="n"/>
      <c r="D727" s="19" t="n"/>
      <c r="E727" s="23" t="n"/>
      <c r="F727" s="21" t="n"/>
      <c r="G727" s="11">
        <f>IF(C727="","",IFERROR(INDEX(Crops!$D$6:$D$65,MATCH(C727,Crops!$B$6:$B$65,0))&amp;"",""))</f>
        <v/>
      </c>
      <c r="H727" s="12">
        <f>IF(OR(C727="",NOT(ISNUMBER(E727))),"",E727*N(IFERROR(INDEX(Crops!$E$6:$E$65,MATCH(C727,Crops!$B$6:$B$65,0)),0)))</f>
        <v/>
      </c>
      <c r="I727" s="11">
        <f>IF(AND(C727="",E727=""),"",IF(NOT(ISNUMBER(B727)),"Needs a date",IF(C727="","Needs a crop",IF(COUNTIF(Crops!$B$6:$B$65,C727)=0,"Not on Crops",IF(NOT(ISNUMBER(E727)),"Needs the amount",IF(AND(D727&lt;&gt;"",COUNTIF(Beds!$B$6:$B$35,D727)=0),"Not on Beds",""))))))</f>
        <v/>
      </c>
      <c r="J727" s="1">
        <f>IF(ISNUMBER(B727),YEAR(B727),"")</f>
        <v/>
      </c>
      <c r="K727">
        <f>IF(ISNUMBER(B727),YEAR(B727)*100+MONTH(B727),"")</f>
        <v/>
      </c>
      <c r="L727">
        <f>IF(ISNUMBER(B727),INT(B727),0)</f>
        <v/>
      </c>
    </row>
    <row r="728">
      <c r="A728" s="1" t="n"/>
      <c r="B728" s="17" t="n"/>
      <c r="C728" s="18" t="n"/>
      <c r="D728" s="19" t="n"/>
      <c r="E728" s="23" t="n"/>
      <c r="F728" s="21" t="n"/>
      <c r="G728" s="11">
        <f>IF(C728="","",IFERROR(INDEX(Crops!$D$6:$D$65,MATCH(C728,Crops!$B$6:$B$65,0))&amp;"",""))</f>
        <v/>
      </c>
      <c r="H728" s="12">
        <f>IF(OR(C728="",NOT(ISNUMBER(E728))),"",E728*N(IFERROR(INDEX(Crops!$E$6:$E$65,MATCH(C728,Crops!$B$6:$B$65,0)),0)))</f>
        <v/>
      </c>
      <c r="I728" s="11">
        <f>IF(AND(C728="",E728=""),"",IF(NOT(ISNUMBER(B728)),"Needs a date",IF(C728="","Needs a crop",IF(COUNTIF(Crops!$B$6:$B$65,C728)=0,"Not on Crops",IF(NOT(ISNUMBER(E728)),"Needs the amount",IF(AND(D728&lt;&gt;"",COUNTIF(Beds!$B$6:$B$35,D728)=0),"Not on Beds",""))))))</f>
        <v/>
      </c>
      <c r="J728" s="1">
        <f>IF(ISNUMBER(B728),YEAR(B728),"")</f>
        <v/>
      </c>
      <c r="K728">
        <f>IF(ISNUMBER(B728),YEAR(B728)*100+MONTH(B728),"")</f>
        <v/>
      </c>
      <c r="L728">
        <f>IF(ISNUMBER(B728),INT(B728),0)</f>
        <v/>
      </c>
    </row>
    <row r="729">
      <c r="A729" s="1" t="n"/>
      <c r="B729" s="17" t="n"/>
      <c r="C729" s="18" t="n"/>
      <c r="D729" s="19" t="n"/>
      <c r="E729" s="23" t="n"/>
      <c r="F729" s="21" t="n"/>
      <c r="G729" s="11">
        <f>IF(C729="","",IFERROR(INDEX(Crops!$D$6:$D$65,MATCH(C729,Crops!$B$6:$B$65,0))&amp;"",""))</f>
        <v/>
      </c>
      <c r="H729" s="12">
        <f>IF(OR(C729="",NOT(ISNUMBER(E729))),"",E729*N(IFERROR(INDEX(Crops!$E$6:$E$65,MATCH(C729,Crops!$B$6:$B$65,0)),0)))</f>
        <v/>
      </c>
      <c r="I729" s="11">
        <f>IF(AND(C729="",E729=""),"",IF(NOT(ISNUMBER(B729)),"Needs a date",IF(C729="","Needs a crop",IF(COUNTIF(Crops!$B$6:$B$65,C729)=0,"Not on Crops",IF(NOT(ISNUMBER(E729)),"Needs the amount",IF(AND(D729&lt;&gt;"",COUNTIF(Beds!$B$6:$B$35,D729)=0),"Not on Beds",""))))))</f>
        <v/>
      </c>
      <c r="J729" s="1">
        <f>IF(ISNUMBER(B729),YEAR(B729),"")</f>
        <v/>
      </c>
      <c r="K729">
        <f>IF(ISNUMBER(B729),YEAR(B729)*100+MONTH(B729),"")</f>
        <v/>
      </c>
      <c r="L729">
        <f>IF(ISNUMBER(B729),INT(B729),0)</f>
        <v/>
      </c>
    </row>
    <row r="730">
      <c r="A730" s="1" t="n"/>
      <c r="B730" s="17" t="n"/>
      <c r="C730" s="18" t="n"/>
      <c r="D730" s="19" t="n"/>
      <c r="E730" s="23" t="n"/>
      <c r="F730" s="21" t="n"/>
      <c r="G730" s="11">
        <f>IF(C730="","",IFERROR(INDEX(Crops!$D$6:$D$65,MATCH(C730,Crops!$B$6:$B$65,0))&amp;"",""))</f>
        <v/>
      </c>
      <c r="H730" s="12">
        <f>IF(OR(C730="",NOT(ISNUMBER(E730))),"",E730*N(IFERROR(INDEX(Crops!$E$6:$E$65,MATCH(C730,Crops!$B$6:$B$65,0)),0)))</f>
        <v/>
      </c>
      <c r="I730" s="11">
        <f>IF(AND(C730="",E730=""),"",IF(NOT(ISNUMBER(B730)),"Needs a date",IF(C730="","Needs a crop",IF(COUNTIF(Crops!$B$6:$B$65,C730)=0,"Not on Crops",IF(NOT(ISNUMBER(E730)),"Needs the amount",IF(AND(D730&lt;&gt;"",COUNTIF(Beds!$B$6:$B$35,D730)=0),"Not on Beds",""))))))</f>
        <v/>
      </c>
      <c r="J730" s="1">
        <f>IF(ISNUMBER(B730),YEAR(B730),"")</f>
        <v/>
      </c>
      <c r="K730">
        <f>IF(ISNUMBER(B730),YEAR(B730)*100+MONTH(B730),"")</f>
        <v/>
      </c>
      <c r="L730">
        <f>IF(ISNUMBER(B730),INT(B730),0)</f>
        <v/>
      </c>
    </row>
    <row r="731">
      <c r="A731" s="1" t="n"/>
      <c r="B731" s="17" t="n"/>
      <c r="C731" s="18" t="n"/>
      <c r="D731" s="19" t="n"/>
      <c r="E731" s="23" t="n"/>
      <c r="F731" s="21" t="n"/>
      <c r="G731" s="11">
        <f>IF(C731="","",IFERROR(INDEX(Crops!$D$6:$D$65,MATCH(C731,Crops!$B$6:$B$65,0))&amp;"",""))</f>
        <v/>
      </c>
      <c r="H731" s="12">
        <f>IF(OR(C731="",NOT(ISNUMBER(E731))),"",E731*N(IFERROR(INDEX(Crops!$E$6:$E$65,MATCH(C731,Crops!$B$6:$B$65,0)),0)))</f>
        <v/>
      </c>
      <c r="I731" s="11">
        <f>IF(AND(C731="",E731=""),"",IF(NOT(ISNUMBER(B731)),"Needs a date",IF(C731="","Needs a crop",IF(COUNTIF(Crops!$B$6:$B$65,C731)=0,"Not on Crops",IF(NOT(ISNUMBER(E731)),"Needs the amount",IF(AND(D731&lt;&gt;"",COUNTIF(Beds!$B$6:$B$35,D731)=0),"Not on Beds",""))))))</f>
        <v/>
      </c>
      <c r="J731" s="1">
        <f>IF(ISNUMBER(B731),YEAR(B731),"")</f>
        <v/>
      </c>
      <c r="K731">
        <f>IF(ISNUMBER(B731),YEAR(B731)*100+MONTH(B731),"")</f>
        <v/>
      </c>
      <c r="L731">
        <f>IF(ISNUMBER(B731),INT(B731),0)</f>
        <v/>
      </c>
    </row>
    <row r="732">
      <c r="A732" s="1" t="n"/>
      <c r="B732" s="17" t="n"/>
      <c r="C732" s="18" t="n"/>
      <c r="D732" s="19" t="n"/>
      <c r="E732" s="23" t="n"/>
      <c r="F732" s="21" t="n"/>
      <c r="G732" s="11">
        <f>IF(C732="","",IFERROR(INDEX(Crops!$D$6:$D$65,MATCH(C732,Crops!$B$6:$B$65,0))&amp;"",""))</f>
        <v/>
      </c>
      <c r="H732" s="12">
        <f>IF(OR(C732="",NOT(ISNUMBER(E732))),"",E732*N(IFERROR(INDEX(Crops!$E$6:$E$65,MATCH(C732,Crops!$B$6:$B$65,0)),0)))</f>
        <v/>
      </c>
      <c r="I732" s="11">
        <f>IF(AND(C732="",E732=""),"",IF(NOT(ISNUMBER(B732)),"Needs a date",IF(C732="","Needs a crop",IF(COUNTIF(Crops!$B$6:$B$65,C732)=0,"Not on Crops",IF(NOT(ISNUMBER(E732)),"Needs the amount",IF(AND(D732&lt;&gt;"",COUNTIF(Beds!$B$6:$B$35,D732)=0),"Not on Beds",""))))))</f>
        <v/>
      </c>
      <c r="J732" s="1">
        <f>IF(ISNUMBER(B732),YEAR(B732),"")</f>
        <v/>
      </c>
      <c r="K732">
        <f>IF(ISNUMBER(B732),YEAR(B732)*100+MONTH(B732),"")</f>
        <v/>
      </c>
      <c r="L732">
        <f>IF(ISNUMBER(B732),INT(B732),0)</f>
        <v/>
      </c>
    </row>
    <row r="733">
      <c r="A733" s="1" t="n"/>
      <c r="B733" s="17" t="n"/>
      <c r="C733" s="18" t="n"/>
      <c r="D733" s="19" t="n"/>
      <c r="E733" s="23" t="n"/>
      <c r="F733" s="21" t="n"/>
      <c r="G733" s="11">
        <f>IF(C733="","",IFERROR(INDEX(Crops!$D$6:$D$65,MATCH(C733,Crops!$B$6:$B$65,0))&amp;"",""))</f>
        <v/>
      </c>
      <c r="H733" s="12">
        <f>IF(OR(C733="",NOT(ISNUMBER(E733))),"",E733*N(IFERROR(INDEX(Crops!$E$6:$E$65,MATCH(C733,Crops!$B$6:$B$65,0)),0)))</f>
        <v/>
      </c>
      <c r="I733" s="11">
        <f>IF(AND(C733="",E733=""),"",IF(NOT(ISNUMBER(B733)),"Needs a date",IF(C733="","Needs a crop",IF(COUNTIF(Crops!$B$6:$B$65,C733)=0,"Not on Crops",IF(NOT(ISNUMBER(E733)),"Needs the amount",IF(AND(D733&lt;&gt;"",COUNTIF(Beds!$B$6:$B$35,D733)=0),"Not on Beds",""))))))</f>
        <v/>
      </c>
      <c r="J733" s="1">
        <f>IF(ISNUMBER(B733),YEAR(B733),"")</f>
        <v/>
      </c>
      <c r="K733">
        <f>IF(ISNUMBER(B733),YEAR(B733)*100+MONTH(B733),"")</f>
        <v/>
      </c>
      <c r="L733">
        <f>IF(ISNUMBER(B733),INT(B733),0)</f>
        <v/>
      </c>
    </row>
    <row r="734">
      <c r="A734" s="1" t="n"/>
      <c r="B734" s="17" t="n"/>
      <c r="C734" s="18" t="n"/>
      <c r="D734" s="19" t="n"/>
      <c r="E734" s="23" t="n"/>
      <c r="F734" s="21" t="n"/>
      <c r="G734" s="11">
        <f>IF(C734="","",IFERROR(INDEX(Crops!$D$6:$D$65,MATCH(C734,Crops!$B$6:$B$65,0))&amp;"",""))</f>
        <v/>
      </c>
      <c r="H734" s="12">
        <f>IF(OR(C734="",NOT(ISNUMBER(E734))),"",E734*N(IFERROR(INDEX(Crops!$E$6:$E$65,MATCH(C734,Crops!$B$6:$B$65,0)),0)))</f>
        <v/>
      </c>
      <c r="I734" s="11">
        <f>IF(AND(C734="",E734=""),"",IF(NOT(ISNUMBER(B734)),"Needs a date",IF(C734="","Needs a crop",IF(COUNTIF(Crops!$B$6:$B$65,C734)=0,"Not on Crops",IF(NOT(ISNUMBER(E734)),"Needs the amount",IF(AND(D734&lt;&gt;"",COUNTIF(Beds!$B$6:$B$35,D734)=0),"Not on Beds",""))))))</f>
        <v/>
      </c>
      <c r="J734" s="1">
        <f>IF(ISNUMBER(B734),YEAR(B734),"")</f>
        <v/>
      </c>
      <c r="K734">
        <f>IF(ISNUMBER(B734),YEAR(B734)*100+MONTH(B734),"")</f>
        <v/>
      </c>
      <c r="L734">
        <f>IF(ISNUMBER(B734),INT(B734),0)</f>
        <v/>
      </c>
    </row>
    <row r="735">
      <c r="A735" s="1" t="n"/>
      <c r="B735" s="17" t="n"/>
      <c r="C735" s="18" t="n"/>
      <c r="D735" s="19" t="n"/>
      <c r="E735" s="23" t="n"/>
      <c r="F735" s="21" t="n"/>
      <c r="G735" s="11">
        <f>IF(C735="","",IFERROR(INDEX(Crops!$D$6:$D$65,MATCH(C735,Crops!$B$6:$B$65,0))&amp;"",""))</f>
        <v/>
      </c>
      <c r="H735" s="12">
        <f>IF(OR(C735="",NOT(ISNUMBER(E735))),"",E735*N(IFERROR(INDEX(Crops!$E$6:$E$65,MATCH(C735,Crops!$B$6:$B$65,0)),0)))</f>
        <v/>
      </c>
      <c r="I735" s="11">
        <f>IF(AND(C735="",E735=""),"",IF(NOT(ISNUMBER(B735)),"Needs a date",IF(C735="","Needs a crop",IF(COUNTIF(Crops!$B$6:$B$65,C735)=0,"Not on Crops",IF(NOT(ISNUMBER(E735)),"Needs the amount",IF(AND(D735&lt;&gt;"",COUNTIF(Beds!$B$6:$B$35,D735)=0),"Not on Beds",""))))))</f>
        <v/>
      </c>
      <c r="J735" s="1">
        <f>IF(ISNUMBER(B735),YEAR(B735),"")</f>
        <v/>
      </c>
      <c r="K735">
        <f>IF(ISNUMBER(B735),YEAR(B735)*100+MONTH(B735),"")</f>
        <v/>
      </c>
      <c r="L735">
        <f>IF(ISNUMBER(B735),INT(B735),0)</f>
        <v/>
      </c>
    </row>
    <row r="736">
      <c r="A736" s="1" t="n"/>
      <c r="B736" s="17" t="n"/>
      <c r="C736" s="18" t="n"/>
      <c r="D736" s="19" t="n"/>
      <c r="E736" s="23" t="n"/>
      <c r="F736" s="21" t="n"/>
      <c r="G736" s="11">
        <f>IF(C736="","",IFERROR(INDEX(Crops!$D$6:$D$65,MATCH(C736,Crops!$B$6:$B$65,0))&amp;"",""))</f>
        <v/>
      </c>
      <c r="H736" s="12">
        <f>IF(OR(C736="",NOT(ISNUMBER(E736))),"",E736*N(IFERROR(INDEX(Crops!$E$6:$E$65,MATCH(C736,Crops!$B$6:$B$65,0)),0)))</f>
        <v/>
      </c>
      <c r="I736" s="11">
        <f>IF(AND(C736="",E736=""),"",IF(NOT(ISNUMBER(B736)),"Needs a date",IF(C736="","Needs a crop",IF(COUNTIF(Crops!$B$6:$B$65,C736)=0,"Not on Crops",IF(NOT(ISNUMBER(E736)),"Needs the amount",IF(AND(D736&lt;&gt;"",COUNTIF(Beds!$B$6:$B$35,D736)=0),"Not on Beds",""))))))</f>
        <v/>
      </c>
      <c r="J736" s="1">
        <f>IF(ISNUMBER(B736),YEAR(B736),"")</f>
        <v/>
      </c>
      <c r="K736">
        <f>IF(ISNUMBER(B736),YEAR(B736)*100+MONTH(B736),"")</f>
        <v/>
      </c>
      <c r="L736">
        <f>IF(ISNUMBER(B736),INT(B736),0)</f>
        <v/>
      </c>
    </row>
    <row r="737">
      <c r="A737" s="1" t="n"/>
      <c r="B737" s="17" t="n"/>
      <c r="C737" s="18" t="n"/>
      <c r="D737" s="19" t="n"/>
      <c r="E737" s="23" t="n"/>
      <c r="F737" s="21" t="n"/>
      <c r="G737" s="11">
        <f>IF(C737="","",IFERROR(INDEX(Crops!$D$6:$D$65,MATCH(C737,Crops!$B$6:$B$65,0))&amp;"",""))</f>
        <v/>
      </c>
      <c r="H737" s="12">
        <f>IF(OR(C737="",NOT(ISNUMBER(E737))),"",E737*N(IFERROR(INDEX(Crops!$E$6:$E$65,MATCH(C737,Crops!$B$6:$B$65,0)),0)))</f>
        <v/>
      </c>
      <c r="I737" s="11">
        <f>IF(AND(C737="",E737=""),"",IF(NOT(ISNUMBER(B737)),"Needs a date",IF(C737="","Needs a crop",IF(COUNTIF(Crops!$B$6:$B$65,C737)=0,"Not on Crops",IF(NOT(ISNUMBER(E737)),"Needs the amount",IF(AND(D737&lt;&gt;"",COUNTIF(Beds!$B$6:$B$35,D737)=0),"Not on Beds",""))))))</f>
        <v/>
      </c>
      <c r="J737" s="1">
        <f>IF(ISNUMBER(B737),YEAR(B737),"")</f>
        <v/>
      </c>
      <c r="K737">
        <f>IF(ISNUMBER(B737),YEAR(B737)*100+MONTH(B737),"")</f>
        <v/>
      </c>
      <c r="L737">
        <f>IF(ISNUMBER(B737),INT(B737),0)</f>
        <v/>
      </c>
    </row>
    <row r="738">
      <c r="A738" s="1" t="n"/>
      <c r="B738" s="17" t="n"/>
      <c r="C738" s="18" t="n"/>
      <c r="D738" s="19" t="n"/>
      <c r="E738" s="23" t="n"/>
      <c r="F738" s="21" t="n"/>
      <c r="G738" s="11">
        <f>IF(C738="","",IFERROR(INDEX(Crops!$D$6:$D$65,MATCH(C738,Crops!$B$6:$B$65,0))&amp;"",""))</f>
        <v/>
      </c>
      <c r="H738" s="12">
        <f>IF(OR(C738="",NOT(ISNUMBER(E738))),"",E738*N(IFERROR(INDEX(Crops!$E$6:$E$65,MATCH(C738,Crops!$B$6:$B$65,0)),0)))</f>
        <v/>
      </c>
      <c r="I738" s="11">
        <f>IF(AND(C738="",E738=""),"",IF(NOT(ISNUMBER(B738)),"Needs a date",IF(C738="","Needs a crop",IF(COUNTIF(Crops!$B$6:$B$65,C738)=0,"Not on Crops",IF(NOT(ISNUMBER(E738)),"Needs the amount",IF(AND(D738&lt;&gt;"",COUNTIF(Beds!$B$6:$B$35,D738)=0),"Not on Beds",""))))))</f>
        <v/>
      </c>
      <c r="J738" s="1">
        <f>IF(ISNUMBER(B738),YEAR(B738),"")</f>
        <v/>
      </c>
      <c r="K738">
        <f>IF(ISNUMBER(B738),YEAR(B738)*100+MONTH(B738),"")</f>
        <v/>
      </c>
      <c r="L738">
        <f>IF(ISNUMBER(B738),INT(B738),0)</f>
        <v/>
      </c>
    </row>
    <row r="739">
      <c r="A739" s="1" t="n"/>
      <c r="B739" s="17" t="n"/>
      <c r="C739" s="18" t="n"/>
      <c r="D739" s="19" t="n"/>
      <c r="E739" s="23" t="n"/>
      <c r="F739" s="21" t="n"/>
      <c r="G739" s="11">
        <f>IF(C739="","",IFERROR(INDEX(Crops!$D$6:$D$65,MATCH(C739,Crops!$B$6:$B$65,0))&amp;"",""))</f>
        <v/>
      </c>
      <c r="H739" s="12">
        <f>IF(OR(C739="",NOT(ISNUMBER(E739))),"",E739*N(IFERROR(INDEX(Crops!$E$6:$E$65,MATCH(C739,Crops!$B$6:$B$65,0)),0)))</f>
        <v/>
      </c>
      <c r="I739" s="11">
        <f>IF(AND(C739="",E739=""),"",IF(NOT(ISNUMBER(B739)),"Needs a date",IF(C739="","Needs a crop",IF(COUNTIF(Crops!$B$6:$B$65,C739)=0,"Not on Crops",IF(NOT(ISNUMBER(E739)),"Needs the amount",IF(AND(D739&lt;&gt;"",COUNTIF(Beds!$B$6:$B$35,D739)=0),"Not on Beds",""))))))</f>
        <v/>
      </c>
      <c r="J739" s="1">
        <f>IF(ISNUMBER(B739),YEAR(B739),"")</f>
        <v/>
      </c>
      <c r="K739">
        <f>IF(ISNUMBER(B739),YEAR(B739)*100+MONTH(B739),"")</f>
        <v/>
      </c>
      <c r="L739">
        <f>IF(ISNUMBER(B739),INT(B739),0)</f>
        <v/>
      </c>
    </row>
    <row r="740">
      <c r="A740" s="1" t="n"/>
      <c r="B740" s="17" t="n"/>
      <c r="C740" s="18" t="n"/>
      <c r="D740" s="19" t="n"/>
      <c r="E740" s="23" t="n"/>
      <c r="F740" s="21" t="n"/>
      <c r="G740" s="11">
        <f>IF(C740="","",IFERROR(INDEX(Crops!$D$6:$D$65,MATCH(C740,Crops!$B$6:$B$65,0))&amp;"",""))</f>
        <v/>
      </c>
      <c r="H740" s="12">
        <f>IF(OR(C740="",NOT(ISNUMBER(E740))),"",E740*N(IFERROR(INDEX(Crops!$E$6:$E$65,MATCH(C740,Crops!$B$6:$B$65,0)),0)))</f>
        <v/>
      </c>
      <c r="I740" s="11">
        <f>IF(AND(C740="",E740=""),"",IF(NOT(ISNUMBER(B740)),"Needs a date",IF(C740="","Needs a crop",IF(COUNTIF(Crops!$B$6:$B$65,C740)=0,"Not on Crops",IF(NOT(ISNUMBER(E740)),"Needs the amount",IF(AND(D740&lt;&gt;"",COUNTIF(Beds!$B$6:$B$35,D740)=0),"Not on Beds",""))))))</f>
        <v/>
      </c>
      <c r="J740" s="1">
        <f>IF(ISNUMBER(B740),YEAR(B740),"")</f>
        <v/>
      </c>
      <c r="K740">
        <f>IF(ISNUMBER(B740),YEAR(B740)*100+MONTH(B740),"")</f>
        <v/>
      </c>
      <c r="L740">
        <f>IF(ISNUMBER(B740),INT(B740),0)</f>
        <v/>
      </c>
    </row>
    <row r="741">
      <c r="A741" s="1" t="n"/>
      <c r="B741" s="17" t="n"/>
      <c r="C741" s="18" t="n"/>
      <c r="D741" s="19" t="n"/>
      <c r="E741" s="23" t="n"/>
      <c r="F741" s="21" t="n"/>
      <c r="G741" s="11">
        <f>IF(C741="","",IFERROR(INDEX(Crops!$D$6:$D$65,MATCH(C741,Crops!$B$6:$B$65,0))&amp;"",""))</f>
        <v/>
      </c>
      <c r="H741" s="12">
        <f>IF(OR(C741="",NOT(ISNUMBER(E741))),"",E741*N(IFERROR(INDEX(Crops!$E$6:$E$65,MATCH(C741,Crops!$B$6:$B$65,0)),0)))</f>
        <v/>
      </c>
      <c r="I741" s="11">
        <f>IF(AND(C741="",E741=""),"",IF(NOT(ISNUMBER(B741)),"Needs a date",IF(C741="","Needs a crop",IF(COUNTIF(Crops!$B$6:$B$65,C741)=0,"Not on Crops",IF(NOT(ISNUMBER(E741)),"Needs the amount",IF(AND(D741&lt;&gt;"",COUNTIF(Beds!$B$6:$B$35,D741)=0),"Not on Beds",""))))))</f>
        <v/>
      </c>
      <c r="J741" s="1">
        <f>IF(ISNUMBER(B741),YEAR(B741),"")</f>
        <v/>
      </c>
      <c r="K741">
        <f>IF(ISNUMBER(B741),YEAR(B741)*100+MONTH(B741),"")</f>
        <v/>
      </c>
      <c r="L741">
        <f>IF(ISNUMBER(B741),INT(B741),0)</f>
        <v/>
      </c>
    </row>
    <row r="742">
      <c r="A742" s="1" t="n"/>
      <c r="B742" s="17" t="n"/>
      <c r="C742" s="18" t="n"/>
      <c r="D742" s="19" t="n"/>
      <c r="E742" s="23" t="n"/>
      <c r="F742" s="21" t="n"/>
      <c r="G742" s="11">
        <f>IF(C742="","",IFERROR(INDEX(Crops!$D$6:$D$65,MATCH(C742,Crops!$B$6:$B$65,0))&amp;"",""))</f>
        <v/>
      </c>
      <c r="H742" s="12">
        <f>IF(OR(C742="",NOT(ISNUMBER(E742))),"",E742*N(IFERROR(INDEX(Crops!$E$6:$E$65,MATCH(C742,Crops!$B$6:$B$65,0)),0)))</f>
        <v/>
      </c>
      <c r="I742" s="11">
        <f>IF(AND(C742="",E742=""),"",IF(NOT(ISNUMBER(B742)),"Needs a date",IF(C742="","Needs a crop",IF(COUNTIF(Crops!$B$6:$B$65,C742)=0,"Not on Crops",IF(NOT(ISNUMBER(E742)),"Needs the amount",IF(AND(D742&lt;&gt;"",COUNTIF(Beds!$B$6:$B$35,D742)=0),"Not on Beds",""))))))</f>
        <v/>
      </c>
      <c r="J742" s="1">
        <f>IF(ISNUMBER(B742),YEAR(B742),"")</f>
        <v/>
      </c>
      <c r="K742">
        <f>IF(ISNUMBER(B742),YEAR(B742)*100+MONTH(B742),"")</f>
        <v/>
      </c>
      <c r="L742">
        <f>IF(ISNUMBER(B742),INT(B742),0)</f>
        <v/>
      </c>
    </row>
    <row r="743">
      <c r="A743" s="1" t="n"/>
      <c r="B743" s="17" t="n"/>
      <c r="C743" s="18" t="n"/>
      <c r="D743" s="19" t="n"/>
      <c r="E743" s="23" t="n"/>
      <c r="F743" s="21" t="n"/>
      <c r="G743" s="11">
        <f>IF(C743="","",IFERROR(INDEX(Crops!$D$6:$D$65,MATCH(C743,Crops!$B$6:$B$65,0))&amp;"",""))</f>
        <v/>
      </c>
      <c r="H743" s="12">
        <f>IF(OR(C743="",NOT(ISNUMBER(E743))),"",E743*N(IFERROR(INDEX(Crops!$E$6:$E$65,MATCH(C743,Crops!$B$6:$B$65,0)),0)))</f>
        <v/>
      </c>
      <c r="I743" s="11">
        <f>IF(AND(C743="",E743=""),"",IF(NOT(ISNUMBER(B743)),"Needs a date",IF(C743="","Needs a crop",IF(COUNTIF(Crops!$B$6:$B$65,C743)=0,"Not on Crops",IF(NOT(ISNUMBER(E743)),"Needs the amount",IF(AND(D743&lt;&gt;"",COUNTIF(Beds!$B$6:$B$35,D743)=0),"Not on Beds",""))))))</f>
        <v/>
      </c>
      <c r="J743" s="1">
        <f>IF(ISNUMBER(B743),YEAR(B743),"")</f>
        <v/>
      </c>
      <c r="K743">
        <f>IF(ISNUMBER(B743),YEAR(B743)*100+MONTH(B743),"")</f>
        <v/>
      </c>
      <c r="L743">
        <f>IF(ISNUMBER(B743),INT(B743),0)</f>
        <v/>
      </c>
    </row>
    <row r="744">
      <c r="A744" s="1" t="n"/>
      <c r="B744" s="17" t="n"/>
      <c r="C744" s="18" t="n"/>
      <c r="D744" s="19" t="n"/>
      <c r="E744" s="23" t="n"/>
      <c r="F744" s="21" t="n"/>
      <c r="G744" s="11">
        <f>IF(C744="","",IFERROR(INDEX(Crops!$D$6:$D$65,MATCH(C744,Crops!$B$6:$B$65,0))&amp;"",""))</f>
        <v/>
      </c>
      <c r="H744" s="12">
        <f>IF(OR(C744="",NOT(ISNUMBER(E744))),"",E744*N(IFERROR(INDEX(Crops!$E$6:$E$65,MATCH(C744,Crops!$B$6:$B$65,0)),0)))</f>
        <v/>
      </c>
      <c r="I744" s="11">
        <f>IF(AND(C744="",E744=""),"",IF(NOT(ISNUMBER(B744)),"Needs a date",IF(C744="","Needs a crop",IF(COUNTIF(Crops!$B$6:$B$65,C744)=0,"Not on Crops",IF(NOT(ISNUMBER(E744)),"Needs the amount",IF(AND(D744&lt;&gt;"",COUNTIF(Beds!$B$6:$B$35,D744)=0),"Not on Beds",""))))))</f>
        <v/>
      </c>
      <c r="J744" s="1">
        <f>IF(ISNUMBER(B744),YEAR(B744),"")</f>
        <v/>
      </c>
      <c r="K744">
        <f>IF(ISNUMBER(B744),YEAR(B744)*100+MONTH(B744),"")</f>
        <v/>
      </c>
      <c r="L744">
        <f>IF(ISNUMBER(B744),INT(B744),0)</f>
        <v/>
      </c>
    </row>
    <row r="745">
      <c r="A745" s="1" t="n"/>
      <c r="B745" s="17" t="n"/>
      <c r="C745" s="18" t="n"/>
      <c r="D745" s="19" t="n"/>
      <c r="E745" s="23" t="n"/>
      <c r="F745" s="21" t="n"/>
      <c r="G745" s="11">
        <f>IF(C745="","",IFERROR(INDEX(Crops!$D$6:$D$65,MATCH(C745,Crops!$B$6:$B$65,0))&amp;"",""))</f>
        <v/>
      </c>
      <c r="H745" s="12">
        <f>IF(OR(C745="",NOT(ISNUMBER(E745))),"",E745*N(IFERROR(INDEX(Crops!$E$6:$E$65,MATCH(C745,Crops!$B$6:$B$65,0)),0)))</f>
        <v/>
      </c>
      <c r="I745" s="11">
        <f>IF(AND(C745="",E745=""),"",IF(NOT(ISNUMBER(B745)),"Needs a date",IF(C745="","Needs a crop",IF(COUNTIF(Crops!$B$6:$B$65,C745)=0,"Not on Crops",IF(NOT(ISNUMBER(E745)),"Needs the amount",IF(AND(D745&lt;&gt;"",COUNTIF(Beds!$B$6:$B$35,D745)=0),"Not on Beds",""))))))</f>
        <v/>
      </c>
      <c r="J745" s="1">
        <f>IF(ISNUMBER(B745),YEAR(B745),"")</f>
        <v/>
      </c>
      <c r="K745">
        <f>IF(ISNUMBER(B745),YEAR(B745)*100+MONTH(B745),"")</f>
        <v/>
      </c>
      <c r="L745">
        <f>IF(ISNUMBER(B745),INT(B745),0)</f>
        <v/>
      </c>
    </row>
    <row r="746">
      <c r="A746" s="1" t="n"/>
      <c r="B746" s="17" t="n"/>
      <c r="C746" s="18" t="n"/>
      <c r="D746" s="19" t="n"/>
      <c r="E746" s="23" t="n"/>
      <c r="F746" s="21" t="n"/>
      <c r="G746" s="11">
        <f>IF(C746="","",IFERROR(INDEX(Crops!$D$6:$D$65,MATCH(C746,Crops!$B$6:$B$65,0))&amp;"",""))</f>
        <v/>
      </c>
      <c r="H746" s="12">
        <f>IF(OR(C746="",NOT(ISNUMBER(E746))),"",E746*N(IFERROR(INDEX(Crops!$E$6:$E$65,MATCH(C746,Crops!$B$6:$B$65,0)),0)))</f>
        <v/>
      </c>
      <c r="I746" s="11">
        <f>IF(AND(C746="",E746=""),"",IF(NOT(ISNUMBER(B746)),"Needs a date",IF(C746="","Needs a crop",IF(COUNTIF(Crops!$B$6:$B$65,C746)=0,"Not on Crops",IF(NOT(ISNUMBER(E746)),"Needs the amount",IF(AND(D746&lt;&gt;"",COUNTIF(Beds!$B$6:$B$35,D746)=0),"Not on Beds",""))))))</f>
        <v/>
      </c>
      <c r="J746" s="1">
        <f>IF(ISNUMBER(B746),YEAR(B746),"")</f>
        <v/>
      </c>
      <c r="K746">
        <f>IF(ISNUMBER(B746),YEAR(B746)*100+MONTH(B746),"")</f>
        <v/>
      </c>
      <c r="L746">
        <f>IF(ISNUMBER(B746),INT(B746),0)</f>
        <v/>
      </c>
    </row>
    <row r="747">
      <c r="A747" s="1" t="n"/>
      <c r="B747" s="17" t="n"/>
      <c r="C747" s="18" t="n"/>
      <c r="D747" s="19" t="n"/>
      <c r="E747" s="23" t="n"/>
      <c r="F747" s="21" t="n"/>
      <c r="G747" s="11">
        <f>IF(C747="","",IFERROR(INDEX(Crops!$D$6:$D$65,MATCH(C747,Crops!$B$6:$B$65,0))&amp;"",""))</f>
        <v/>
      </c>
      <c r="H747" s="12">
        <f>IF(OR(C747="",NOT(ISNUMBER(E747))),"",E747*N(IFERROR(INDEX(Crops!$E$6:$E$65,MATCH(C747,Crops!$B$6:$B$65,0)),0)))</f>
        <v/>
      </c>
      <c r="I747" s="11">
        <f>IF(AND(C747="",E747=""),"",IF(NOT(ISNUMBER(B747)),"Needs a date",IF(C747="","Needs a crop",IF(COUNTIF(Crops!$B$6:$B$65,C747)=0,"Not on Crops",IF(NOT(ISNUMBER(E747)),"Needs the amount",IF(AND(D747&lt;&gt;"",COUNTIF(Beds!$B$6:$B$35,D747)=0),"Not on Beds",""))))))</f>
        <v/>
      </c>
      <c r="J747" s="1">
        <f>IF(ISNUMBER(B747),YEAR(B747),"")</f>
        <v/>
      </c>
      <c r="K747">
        <f>IF(ISNUMBER(B747),YEAR(B747)*100+MONTH(B747),"")</f>
        <v/>
      </c>
      <c r="L747">
        <f>IF(ISNUMBER(B747),INT(B747),0)</f>
        <v/>
      </c>
    </row>
    <row r="748">
      <c r="A748" s="1" t="n"/>
      <c r="B748" s="17" t="n"/>
      <c r="C748" s="18" t="n"/>
      <c r="D748" s="19" t="n"/>
      <c r="E748" s="23" t="n"/>
      <c r="F748" s="21" t="n"/>
      <c r="G748" s="11">
        <f>IF(C748="","",IFERROR(INDEX(Crops!$D$6:$D$65,MATCH(C748,Crops!$B$6:$B$65,0))&amp;"",""))</f>
        <v/>
      </c>
      <c r="H748" s="12">
        <f>IF(OR(C748="",NOT(ISNUMBER(E748))),"",E748*N(IFERROR(INDEX(Crops!$E$6:$E$65,MATCH(C748,Crops!$B$6:$B$65,0)),0)))</f>
        <v/>
      </c>
      <c r="I748" s="11">
        <f>IF(AND(C748="",E748=""),"",IF(NOT(ISNUMBER(B748)),"Needs a date",IF(C748="","Needs a crop",IF(COUNTIF(Crops!$B$6:$B$65,C748)=0,"Not on Crops",IF(NOT(ISNUMBER(E748)),"Needs the amount",IF(AND(D748&lt;&gt;"",COUNTIF(Beds!$B$6:$B$35,D748)=0),"Not on Beds",""))))))</f>
        <v/>
      </c>
      <c r="J748" s="1">
        <f>IF(ISNUMBER(B748),YEAR(B748),"")</f>
        <v/>
      </c>
      <c r="K748">
        <f>IF(ISNUMBER(B748),YEAR(B748)*100+MONTH(B748),"")</f>
        <v/>
      </c>
      <c r="L748">
        <f>IF(ISNUMBER(B748),INT(B748),0)</f>
        <v/>
      </c>
    </row>
    <row r="749">
      <c r="A749" s="1" t="n"/>
      <c r="B749" s="17" t="n"/>
      <c r="C749" s="18" t="n"/>
      <c r="D749" s="19" t="n"/>
      <c r="E749" s="23" t="n"/>
      <c r="F749" s="21" t="n"/>
      <c r="G749" s="11">
        <f>IF(C749="","",IFERROR(INDEX(Crops!$D$6:$D$65,MATCH(C749,Crops!$B$6:$B$65,0))&amp;"",""))</f>
        <v/>
      </c>
      <c r="H749" s="12">
        <f>IF(OR(C749="",NOT(ISNUMBER(E749))),"",E749*N(IFERROR(INDEX(Crops!$E$6:$E$65,MATCH(C749,Crops!$B$6:$B$65,0)),0)))</f>
        <v/>
      </c>
      <c r="I749" s="11">
        <f>IF(AND(C749="",E749=""),"",IF(NOT(ISNUMBER(B749)),"Needs a date",IF(C749="","Needs a crop",IF(COUNTIF(Crops!$B$6:$B$65,C749)=0,"Not on Crops",IF(NOT(ISNUMBER(E749)),"Needs the amount",IF(AND(D749&lt;&gt;"",COUNTIF(Beds!$B$6:$B$35,D749)=0),"Not on Beds",""))))))</f>
        <v/>
      </c>
      <c r="J749" s="1">
        <f>IF(ISNUMBER(B749),YEAR(B749),"")</f>
        <v/>
      </c>
      <c r="K749">
        <f>IF(ISNUMBER(B749),YEAR(B749)*100+MONTH(B749),"")</f>
        <v/>
      </c>
      <c r="L749">
        <f>IF(ISNUMBER(B749),INT(B749),0)</f>
        <v/>
      </c>
    </row>
    <row r="750">
      <c r="A750" s="1" t="n"/>
      <c r="B750" s="17" t="n"/>
      <c r="C750" s="18" t="n"/>
      <c r="D750" s="19" t="n"/>
      <c r="E750" s="23" t="n"/>
      <c r="F750" s="21" t="n"/>
      <c r="G750" s="11">
        <f>IF(C750="","",IFERROR(INDEX(Crops!$D$6:$D$65,MATCH(C750,Crops!$B$6:$B$65,0))&amp;"",""))</f>
        <v/>
      </c>
      <c r="H750" s="12">
        <f>IF(OR(C750="",NOT(ISNUMBER(E750))),"",E750*N(IFERROR(INDEX(Crops!$E$6:$E$65,MATCH(C750,Crops!$B$6:$B$65,0)),0)))</f>
        <v/>
      </c>
      <c r="I750" s="11">
        <f>IF(AND(C750="",E750=""),"",IF(NOT(ISNUMBER(B750)),"Needs a date",IF(C750="","Needs a crop",IF(COUNTIF(Crops!$B$6:$B$65,C750)=0,"Not on Crops",IF(NOT(ISNUMBER(E750)),"Needs the amount",IF(AND(D750&lt;&gt;"",COUNTIF(Beds!$B$6:$B$35,D750)=0),"Not on Beds",""))))))</f>
        <v/>
      </c>
      <c r="J750" s="1">
        <f>IF(ISNUMBER(B750),YEAR(B750),"")</f>
        <v/>
      </c>
      <c r="K750">
        <f>IF(ISNUMBER(B750),YEAR(B750)*100+MONTH(B750),"")</f>
        <v/>
      </c>
      <c r="L750">
        <f>IF(ISNUMBER(B750),INT(B750),0)</f>
        <v/>
      </c>
    </row>
    <row r="751">
      <c r="A751" s="1" t="n"/>
      <c r="B751" s="17" t="n"/>
      <c r="C751" s="18" t="n"/>
      <c r="D751" s="19" t="n"/>
      <c r="E751" s="23" t="n"/>
      <c r="F751" s="21" t="n"/>
      <c r="G751" s="11">
        <f>IF(C751="","",IFERROR(INDEX(Crops!$D$6:$D$65,MATCH(C751,Crops!$B$6:$B$65,0))&amp;"",""))</f>
        <v/>
      </c>
      <c r="H751" s="12">
        <f>IF(OR(C751="",NOT(ISNUMBER(E751))),"",E751*N(IFERROR(INDEX(Crops!$E$6:$E$65,MATCH(C751,Crops!$B$6:$B$65,0)),0)))</f>
        <v/>
      </c>
      <c r="I751" s="11">
        <f>IF(AND(C751="",E751=""),"",IF(NOT(ISNUMBER(B751)),"Needs a date",IF(C751="","Needs a crop",IF(COUNTIF(Crops!$B$6:$B$65,C751)=0,"Not on Crops",IF(NOT(ISNUMBER(E751)),"Needs the amount",IF(AND(D751&lt;&gt;"",COUNTIF(Beds!$B$6:$B$35,D751)=0),"Not on Beds",""))))))</f>
        <v/>
      </c>
      <c r="J751" s="1">
        <f>IF(ISNUMBER(B751),YEAR(B751),"")</f>
        <v/>
      </c>
      <c r="K751">
        <f>IF(ISNUMBER(B751),YEAR(B751)*100+MONTH(B751),"")</f>
        <v/>
      </c>
      <c r="L751">
        <f>IF(ISNUMBER(B751),INT(B751),0)</f>
        <v/>
      </c>
    </row>
    <row r="752">
      <c r="A752" s="1" t="n"/>
      <c r="B752" s="17" t="n"/>
      <c r="C752" s="18" t="n"/>
      <c r="D752" s="19" t="n"/>
      <c r="E752" s="23" t="n"/>
      <c r="F752" s="21" t="n"/>
      <c r="G752" s="11">
        <f>IF(C752="","",IFERROR(INDEX(Crops!$D$6:$D$65,MATCH(C752,Crops!$B$6:$B$65,0))&amp;"",""))</f>
        <v/>
      </c>
      <c r="H752" s="12">
        <f>IF(OR(C752="",NOT(ISNUMBER(E752))),"",E752*N(IFERROR(INDEX(Crops!$E$6:$E$65,MATCH(C752,Crops!$B$6:$B$65,0)),0)))</f>
        <v/>
      </c>
      <c r="I752" s="11">
        <f>IF(AND(C752="",E752=""),"",IF(NOT(ISNUMBER(B752)),"Needs a date",IF(C752="","Needs a crop",IF(COUNTIF(Crops!$B$6:$B$65,C752)=0,"Not on Crops",IF(NOT(ISNUMBER(E752)),"Needs the amount",IF(AND(D752&lt;&gt;"",COUNTIF(Beds!$B$6:$B$35,D752)=0),"Not on Beds",""))))))</f>
        <v/>
      </c>
      <c r="J752" s="1">
        <f>IF(ISNUMBER(B752),YEAR(B752),"")</f>
        <v/>
      </c>
      <c r="K752">
        <f>IF(ISNUMBER(B752),YEAR(B752)*100+MONTH(B752),"")</f>
        <v/>
      </c>
      <c r="L752">
        <f>IF(ISNUMBER(B752),INT(B752),0)</f>
        <v/>
      </c>
    </row>
    <row r="753">
      <c r="A753" s="1" t="n"/>
      <c r="B753" s="17" t="n"/>
      <c r="C753" s="18" t="n"/>
      <c r="D753" s="19" t="n"/>
      <c r="E753" s="23" t="n"/>
      <c r="F753" s="21" t="n"/>
      <c r="G753" s="11">
        <f>IF(C753="","",IFERROR(INDEX(Crops!$D$6:$D$65,MATCH(C753,Crops!$B$6:$B$65,0))&amp;"",""))</f>
        <v/>
      </c>
      <c r="H753" s="12">
        <f>IF(OR(C753="",NOT(ISNUMBER(E753))),"",E753*N(IFERROR(INDEX(Crops!$E$6:$E$65,MATCH(C753,Crops!$B$6:$B$65,0)),0)))</f>
        <v/>
      </c>
      <c r="I753" s="11">
        <f>IF(AND(C753="",E753=""),"",IF(NOT(ISNUMBER(B753)),"Needs a date",IF(C753="","Needs a crop",IF(COUNTIF(Crops!$B$6:$B$65,C753)=0,"Not on Crops",IF(NOT(ISNUMBER(E753)),"Needs the amount",IF(AND(D753&lt;&gt;"",COUNTIF(Beds!$B$6:$B$35,D753)=0),"Not on Beds",""))))))</f>
        <v/>
      </c>
      <c r="J753" s="1">
        <f>IF(ISNUMBER(B753),YEAR(B753),"")</f>
        <v/>
      </c>
      <c r="K753">
        <f>IF(ISNUMBER(B753),YEAR(B753)*100+MONTH(B753),"")</f>
        <v/>
      </c>
      <c r="L753">
        <f>IF(ISNUMBER(B753),INT(B753),0)</f>
        <v/>
      </c>
    </row>
    <row r="754">
      <c r="A754" s="1" t="n"/>
      <c r="B754" s="17" t="n"/>
      <c r="C754" s="18" t="n"/>
      <c r="D754" s="19" t="n"/>
      <c r="E754" s="23" t="n"/>
      <c r="F754" s="21" t="n"/>
      <c r="G754" s="11">
        <f>IF(C754="","",IFERROR(INDEX(Crops!$D$6:$D$65,MATCH(C754,Crops!$B$6:$B$65,0))&amp;"",""))</f>
        <v/>
      </c>
      <c r="H754" s="12">
        <f>IF(OR(C754="",NOT(ISNUMBER(E754))),"",E754*N(IFERROR(INDEX(Crops!$E$6:$E$65,MATCH(C754,Crops!$B$6:$B$65,0)),0)))</f>
        <v/>
      </c>
      <c r="I754" s="11">
        <f>IF(AND(C754="",E754=""),"",IF(NOT(ISNUMBER(B754)),"Needs a date",IF(C754="","Needs a crop",IF(COUNTIF(Crops!$B$6:$B$65,C754)=0,"Not on Crops",IF(NOT(ISNUMBER(E754)),"Needs the amount",IF(AND(D754&lt;&gt;"",COUNTIF(Beds!$B$6:$B$35,D754)=0),"Not on Beds",""))))))</f>
        <v/>
      </c>
      <c r="J754" s="1">
        <f>IF(ISNUMBER(B754),YEAR(B754),"")</f>
        <v/>
      </c>
      <c r="K754">
        <f>IF(ISNUMBER(B754),YEAR(B754)*100+MONTH(B754),"")</f>
        <v/>
      </c>
      <c r="L754">
        <f>IF(ISNUMBER(B754),INT(B754),0)</f>
        <v/>
      </c>
    </row>
    <row r="755">
      <c r="A755" s="1" t="n"/>
      <c r="B755" s="17" t="n"/>
      <c r="C755" s="18" t="n"/>
      <c r="D755" s="19" t="n"/>
      <c r="E755" s="23" t="n"/>
      <c r="F755" s="21" t="n"/>
      <c r="G755" s="11">
        <f>IF(C755="","",IFERROR(INDEX(Crops!$D$6:$D$65,MATCH(C755,Crops!$B$6:$B$65,0))&amp;"",""))</f>
        <v/>
      </c>
      <c r="H755" s="12">
        <f>IF(OR(C755="",NOT(ISNUMBER(E755))),"",E755*N(IFERROR(INDEX(Crops!$E$6:$E$65,MATCH(C755,Crops!$B$6:$B$65,0)),0)))</f>
        <v/>
      </c>
      <c r="I755" s="11">
        <f>IF(AND(C755="",E755=""),"",IF(NOT(ISNUMBER(B755)),"Needs a date",IF(C755="","Needs a crop",IF(COUNTIF(Crops!$B$6:$B$65,C755)=0,"Not on Crops",IF(NOT(ISNUMBER(E755)),"Needs the amount",IF(AND(D755&lt;&gt;"",COUNTIF(Beds!$B$6:$B$35,D755)=0),"Not on Beds",""))))))</f>
        <v/>
      </c>
      <c r="J755" s="1">
        <f>IF(ISNUMBER(B755),YEAR(B755),"")</f>
        <v/>
      </c>
      <c r="K755">
        <f>IF(ISNUMBER(B755),YEAR(B755)*100+MONTH(B755),"")</f>
        <v/>
      </c>
      <c r="L755">
        <f>IF(ISNUMBER(B755),INT(B755),0)</f>
        <v/>
      </c>
    </row>
    <row r="756">
      <c r="A756" s="1" t="n"/>
      <c r="B756" s="17" t="n"/>
      <c r="C756" s="18" t="n"/>
      <c r="D756" s="19" t="n"/>
      <c r="E756" s="23" t="n"/>
      <c r="F756" s="21" t="n"/>
      <c r="G756" s="11">
        <f>IF(C756="","",IFERROR(INDEX(Crops!$D$6:$D$65,MATCH(C756,Crops!$B$6:$B$65,0))&amp;"",""))</f>
        <v/>
      </c>
      <c r="H756" s="12">
        <f>IF(OR(C756="",NOT(ISNUMBER(E756))),"",E756*N(IFERROR(INDEX(Crops!$E$6:$E$65,MATCH(C756,Crops!$B$6:$B$65,0)),0)))</f>
        <v/>
      </c>
      <c r="I756" s="11">
        <f>IF(AND(C756="",E756=""),"",IF(NOT(ISNUMBER(B756)),"Needs a date",IF(C756="","Needs a crop",IF(COUNTIF(Crops!$B$6:$B$65,C756)=0,"Not on Crops",IF(NOT(ISNUMBER(E756)),"Needs the amount",IF(AND(D756&lt;&gt;"",COUNTIF(Beds!$B$6:$B$35,D756)=0),"Not on Beds",""))))))</f>
        <v/>
      </c>
      <c r="J756" s="1">
        <f>IF(ISNUMBER(B756),YEAR(B756),"")</f>
        <v/>
      </c>
      <c r="K756">
        <f>IF(ISNUMBER(B756),YEAR(B756)*100+MONTH(B756),"")</f>
        <v/>
      </c>
      <c r="L756">
        <f>IF(ISNUMBER(B756),INT(B756),0)</f>
        <v/>
      </c>
    </row>
    <row r="757">
      <c r="A757" s="1" t="n"/>
      <c r="B757" s="17" t="n"/>
      <c r="C757" s="18" t="n"/>
      <c r="D757" s="19" t="n"/>
      <c r="E757" s="23" t="n"/>
      <c r="F757" s="21" t="n"/>
      <c r="G757" s="11">
        <f>IF(C757="","",IFERROR(INDEX(Crops!$D$6:$D$65,MATCH(C757,Crops!$B$6:$B$65,0))&amp;"",""))</f>
        <v/>
      </c>
      <c r="H757" s="12">
        <f>IF(OR(C757="",NOT(ISNUMBER(E757))),"",E757*N(IFERROR(INDEX(Crops!$E$6:$E$65,MATCH(C757,Crops!$B$6:$B$65,0)),0)))</f>
        <v/>
      </c>
      <c r="I757" s="11">
        <f>IF(AND(C757="",E757=""),"",IF(NOT(ISNUMBER(B757)),"Needs a date",IF(C757="","Needs a crop",IF(COUNTIF(Crops!$B$6:$B$65,C757)=0,"Not on Crops",IF(NOT(ISNUMBER(E757)),"Needs the amount",IF(AND(D757&lt;&gt;"",COUNTIF(Beds!$B$6:$B$35,D757)=0),"Not on Beds",""))))))</f>
        <v/>
      </c>
      <c r="J757" s="1">
        <f>IF(ISNUMBER(B757),YEAR(B757),"")</f>
        <v/>
      </c>
      <c r="K757">
        <f>IF(ISNUMBER(B757),YEAR(B757)*100+MONTH(B757),"")</f>
        <v/>
      </c>
      <c r="L757">
        <f>IF(ISNUMBER(B757),INT(B757),0)</f>
        <v/>
      </c>
    </row>
    <row r="758">
      <c r="A758" s="1" t="n"/>
      <c r="B758" s="17" t="n"/>
      <c r="C758" s="18" t="n"/>
      <c r="D758" s="19" t="n"/>
      <c r="E758" s="23" t="n"/>
      <c r="F758" s="21" t="n"/>
      <c r="G758" s="11">
        <f>IF(C758="","",IFERROR(INDEX(Crops!$D$6:$D$65,MATCH(C758,Crops!$B$6:$B$65,0))&amp;"",""))</f>
        <v/>
      </c>
      <c r="H758" s="12">
        <f>IF(OR(C758="",NOT(ISNUMBER(E758))),"",E758*N(IFERROR(INDEX(Crops!$E$6:$E$65,MATCH(C758,Crops!$B$6:$B$65,0)),0)))</f>
        <v/>
      </c>
      <c r="I758" s="11">
        <f>IF(AND(C758="",E758=""),"",IF(NOT(ISNUMBER(B758)),"Needs a date",IF(C758="","Needs a crop",IF(COUNTIF(Crops!$B$6:$B$65,C758)=0,"Not on Crops",IF(NOT(ISNUMBER(E758)),"Needs the amount",IF(AND(D758&lt;&gt;"",COUNTIF(Beds!$B$6:$B$35,D758)=0),"Not on Beds",""))))))</f>
        <v/>
      </c>
      <c r="J758" s="1">
        <f>IF(ISNUMBER(B758),YEAR(B758),"")</f>
        <v/>
      </c>
      <c r="K758">
        <f>IF(ISNUMBER(B758),YEAR(B758)*100+MONTH(B758),"")</f>
        <v/>
      </c>
      <c r="L758">
        <f>IF(ISNUMBER(B758),INT(B758),0)</f>
        <v/>
      </c>
    </row>
    <row r="759">
      <c r="A759" s="1" t="n"/>
      <c r="B759" s="17" t="n"/>
      <c r="C759" s="18" t="n"/>
      <c r="D759" s="19" t="n"/>
      <c r="E759" s="23" t="n"/>
      <c r="F759" s="21" t="n"/>
      <c r="G759" s="11">
        <f>IF(C759="","",IFERROR(INDEX(Crops!$D$6:$D$65,MATCH(C759,Crops!$B$6:$B$65,0))&amp;"",""))</f>
        <v/>
      </c>
      <c r="H759" s="12">
        <f>IF(OR(C759="",NOT(ISNUMBER(E759))),"",E759*N(IFERROR(INDEX(Crops!$E$6:$E$65,MATCH(C759,Crops!$B$6:$B$65,0)),0)))</f>
        <v/>
      </c>
      <c r="I759" s="11">
        <f>IF(AND(C759="",E759=""),"",IF(NOT(ISNUMBER(B759)),"Needs a date",IF(C759="","Needs a crop",IF(COUNTIF(Crops!$B$6:$B$65,C759)=0,"Not on Crops",IF(NOT(ISNUMBER(E759)),"Needs the amount",IF(AND(D759&lt;&gt;"",COUNTIF(Beds!$B$6:$B$35,D759)=0),"Not on Beds",""))))))</f>
        <v/>
      </c>
      <c r="J759" s="1">
        <f>IF(ISNUMBER(B759),YEAR(B759),"")</f>
        <v/>
      </c>
      <c r="K759">
        <f>IF(ISNUMBER(B759),YEAR(B759)*100+MONTH(B759),"")</f>
        <v/>
      </c>
      <c r="L759">
        <f>IF(ISNUMBER(B759),INT(B759),0)</f>
        <v/>
      </c>
    </row>
    <row r="760">
      <c r="A760" s="1" t="n"/>
      <c r="B760" s="17" t="n"/>
      <c r="C760" s="18" t="n"/>
      <c r="D760" s="19" t="n"/>
      <c r="E760" s="23" t="n"/>
      <c r="F760" s="21" t="n"/>
      <c r="G760" s="11">
        <f>IF(C760="","",IFERROR(INDEX(Crops!$D$6:$D$65,MATCH(C760,Crops!$B$6:$B$65,0))&amp;"",""))</f>
        <v/>
      </c>
      <c r="H760" s="12">
        <f>IF(OR(C760="",NOT(ISNUMBER(E760))),"",E760*N(IFERROR(INDEX(Crops!$E$6:$E$65,MATCH(C760,Crops!$B$6:$B$65,0)),0)))</f>
        <v/>
      </c>
      <c r="I760" s="11">
        <f>IF(AND(C760="",E760=""),"",IF(NOT(ISNUMBER(B760)),"Needs a date",IF(C760="","Needs a crop",IF(COUNTIF(Crops!$B$6:$B$65,C760)=0,"Not on Crops",IF(NOT(ISNUMBER(E760)),"Needs the amount",IF(AND(D760&lt;&gt;"",COUNTIF(Beds!$B$6:$B$35,D760)=0),"Not on Beds",""))))))</f>
        <v/>
      </c>
      <c r="J760" s="1">
        <f>IF(ISNUMBER(B760),YEAR(B760),"")</f>
        <v/>
      </c>
      <c r="K760">
        <f>IF(ISNUMBER(B760),YEAR(B760)*100+MONTH(B760),"")</f>
        <v/>
      </c>
      <c r="L760">
        <f>IF(ISNUMBER(B760),INT(B760),0)</f>
        <v/>
      </c>
    </row>
    <row r="761">
      <c r="A761" s="1" t="n"/>
      <c r="B761" s="17" t="n"/>
      <c r="C761" s="18" t="n"/>
      <c r="D761" s="19" t="n"/>
      <c r="E761" s="23" t="n"/>
      <c r="F761" s="21" t="n"/>
      <c r="G761" s="11">
        <f>IF(C761="","",IFERROR(INDEX(Crops!$D$6:$D$65,MATCH(C761,Crops!$B$6:$B$65,0))&amp;"",""))</f>
        <v/>
      </c>
      <c r="H761" s="12">
        <f>IF(OR(C761="",NOT(ISNUMBER(E761))),"",E761*N(IFERROR(INDEX(Crops!$E$6:$E$65,MATCH(C761,Crops!$B$6:$B$65,0)),0)))</f>
        <v/>
      </c>
      <c r="I761" s="11">
        <f>IF(AND(C761="",E761=""),"",IF(NOT(ISNUMBER(B761)),"Needs a date",IF(C761="","Needs a crop",IF(COUNTIF(Crops!$B$6:$B$65,C761)=0,"Not on Crops",IF(NOT(ISNUMBER(E761)),"Needs the amount",IF(AND(D761&lt;&gt;"",COUNTIF(Beds!$B$6:$B$35,D761)=0),"Not on Beds",""))))))</f>
        <v/>
      </c>
      <c r="J761" s="1">
        <f>IF(ISNUMBER(B761),YEAR(B761),"")</f>
        <v/>
      </c>
      <c r="K761">
        <f>IF(ISNUMBER(B761),YEAR(B761)*100+MONTH(B761),"")</f>
        <v/>
      </c>
      <c r="L761">
        <f>IF(ISNUMBER(B761),INT(B761),0)</f>
        <v/>
      </c>
    </row>
    <row r="762">
      <c r="A762" s="1" t="n"/>
      <c r="B762" s="17" t="n"/>
      <c r="C762" s="18" t="n"/>
      <c r="D762" s="19" t="n"/>
      <c r="E762" s="23" t="n"/>
      <c r="F762" s="21" t="n"/>
      <c r="G762" s="11">
        <f>IF(C762="","",IFERROR(INDEX(Crops!$D$6:$D$65,MATCH(C762,Crops!$B$6:$B$65,0))&amp;"",""))</f>
        <v/>
      </c>
      <c r="H762" s="12">
        <f>IF(OR(C762="",NOT(ISNUMBER(E762))),"",E762*N(IFERROR(INDEX(Crops!$E$6:$E$65,MATCH(C762,Crops!$B$6:$B$65,0)),0)))</f>
        <v/>
      </c>
      <c r="I762" s="11">
        <f>IF(AND(C762="",E762=""),"",IF(NOT(ISNUMBER(B762)),"Needs a date",IF(C762="","Needs a crop",IF(COUNTIF(Crops!$B$6:$B$65,C762)=0,"Not on Crops",IF(NOT(ISNUMBER(E762)),"Needs the amount",IF(AND(D762&lt;&gt;"",COUNTIF(Beds!$B$6:$B$35,D762)=0),"Not on Beds",""))))))</f>
        <v/>
      </c>
      <c r="J762" s="1">
        <f>IF(ISNUMBER(B762),YEAR(B762),"")</f>
        <v/>
      </c>
      <c r="K762">
        <f>IF(ISNUMBER(B762),YEAR(B762)*100+MONTH(B762),"")</f>
        <v/>
      </c>
      <c r="L762">
        <f>IF(ISNUMBER(B762),INT(B762),0)</f>
        <v/>
      </c>
    </row>
    <row r="763">
      <c r="A763" s="1" t="n"/>
      <c r="B763" s="17" t="n"/>
      <c r="C763" s="18" t="n"/>
      <c r="D763" s="19" t="n"/>
      <c r="E763" s="23" t="n"/>
      <c r="F763" s="21" t="n"/>
      <c r="G763" s="11">
        <f>IF(C763="","",IFERROR(INDEX(Crops!$D$6:$D$65,MATCH(C763,Crops!$B$6:$B$65,0))&amp;"",""))</f>
        <v/>
      </c>
      <c r="H763" s="12">
        <f>IF(OR(C763="",NOT(ISNUMBER(E763))),"",E763*N(IFERROR(INDEX(Crops!$E$6:$E$65,MATCH(C763,Crops!$B$6:$B$65,0)),0)))</f>
        <v/>
      </c>
      <c r="I763" s="11">
        <f>IF(AND(C763="",E763=""),"",IF(NOT(ISNUMBER(B763)),"Needs a date",IF(C763="","Needs a crop",IF(COUNTIF(Crops!$B$6:$B$65,C763)=0,"Not on Crops",IF(NOT(ISNUMBER(E763)),"Needs the amount",IF(AND(D763&lt;&gt;"",COUNTIF(Beds!$B$6:$B$35,D763)=0),"Not on Beds",""))))))</f>
        <v/>
      </c>
      <c r="J763" s="1">
        <f>IF(ISNUMBER(B763),YEAR(B763),"")</f>
        <v/>
      </c>
      <c r="K763">
        <f>IF(ISNUMBER(B763),YEAR(B763)*100+MONTH(B763),"")</f>
        <v/>
      </c>
      <c r="L763">
        <f>IF(ISNUMBER(B763),INT(B763),0)</f>
        <v/>
      </c>
    </row>
    <row r="764">
      <c r="A764" s="1" t="n"/>
      <c r="B764" s="17" t="n"/>
      <c r="C764" s="18" t="n"/>
      <c r="D764" s="19" t="n"/>
      <c r="E764" s="23" t="n"/>
      <c r="F764" s="21" t="n"/>
      <c r="G764" s="11">
        <f>IF(C764="","",IFERROR(INDEX(Crops!$D$6:$D$65,MATCH(C764,Crops!$B$6:$B$65,0))&amp;"",""))</f>
        <v/>
      </c>
      <c r="H764" s="12">
        <f>IF(OR(C764="",NOT(ISNUMBER(E764))),"",E764*N(IFERROR(INDEX(Crops!$E$6:$E$65,MATCH(C764,Crops!$B$6:$B$65,0)),0)))</f>
        <v/>
      </c>
      <c r="I764" s="11">
        <f>IF(AND(C764="",E764=""),"",IF(NOT(ISNUMBER(B764)),"Needs a date",IF(C764="","Needs a crop",IF(COUNTIF(Crops!$B$6:$B$65,C764)=0,"Not on Crops",IF(NOT(ISNUMBER(E764)),"Needs the amount",IF(AND(D764&lt;&gt;"",COUNTIF(Beds!$B$6:$B$35,D764)=0),"Not on Beds",""))))))</f>
        <v/>
      </c>
      <c r="J764" s="1">
        <f>IF(ISNUMBER(B764),YEAR(B764),"")</f>
        <v/>
      </c>
      <c r="K764">
        <f>IF(ISNUMBER(B764),YEAR(B764)*100+MONTH(B764),"")</f>
        <v/>
      </c>
      <c r="L764">
        <f>IF(ISNUMBER(B764),INT(B764),0)</f>
        <v/>
      </c>
    </row>
    <row r="765">
      <c r="A765" s="1" t="n"/>
      <c r="B765" s="17" t="n"/>
      <c r="C765" s="18" t="n"/>
      <c r="D765" s="19" t="n"/>
      <c r="E765" s="23" t="n"/>
      <c r="F765" s="21" t="n"/>
      <c r="G765" s="11">
        <f>IF(C765="","",IFERROR(INDEX(Crops!$D$6:$D$65,MATCH(C765,Crops!$B$6:$B$65,0))&amp;"",""))</f>
        <v/>
      </c>
      <c r="H765" s="12">
        <f>IF(OR(C765="",NOT(ISNUMBER(E765))),"",E765*N(IFERROR(INDEX(Crops!$E$6:$E$65,MATCH(C765,Crops!$B$6:$B$65,0)),0)))</f>
        <v/>
      </c>
      <c r="I765" s="11">
        <f>IF(AND(C765="",E765=""),"",IF(NOT(ISNUMBER(B765)),"Needs a date",IF(C765="","Needs a crop",IF(COUNTIF(Crops!$B$6:$B$65,C765)=0,"Not on Crops",IF(NOT(ISNUMBER(E765)),"Needs the amount",IF(AND(D765&lt;&gt;"",COUNTIF(Beds!$B$6:$B$35,D765)=0),"Not on Beds",""))))))</f>
        <v/>
      </c>
      <c r="J765" s="1">
        <f>IF(ISNUMBER(B765),YEAR(B765),"")</f>
        <v/>
      </c>
      <c r="K765">
        <f>IF(ISNUMBER(B765),YEAR(B765)*100+MONTH(B765),"")</f>
        <v/>
      </c>
      <c r="L765">
        <f>IF(ISNUMBER(B765),INT(B765),0)</f>
        <v/>
      </c>
    </row>
    <row r="766">
      <c r="A766" s="1" t="n"/>
      <c r="B766" s="17" t="n"/>
      <c r="C766" s="18" t="n"/>
      <c r="D766" s="19" t="n"/>
      <c r="E766" s="23" t="n"/>
      <c r="F766" s="21" t="n"/>
      <c r="G766" s="11">
        <f>IF(C766="","",IFERROR(INDEX(Crops!$D$6:$D$65,MATCH(C766,Crops!$B$6:$B$65,0))&amp;"",""))</f>
        <v/>
      </c>
      <c r="H766" s="12">
        <f>IF(OR(C766="",NOT(ISNUMBER(E766))),"",E766*N(IFERROR(INDEX(Crops!$E$6:$E$65,MATCH(C766,Crops!$B$6:$B$65,0)),0)))</f>
        <v/>
      </c>
      <c r="I766" s="11">
        <f>IF(AND(C766="",E766=""),"",IF(NOT(ISNUMBER(B766)),"Needs a date",IF(C766="","Needs a crop",IF(COUNTIF(Crops!$B$6:$B$65,C766)=0,"Not on Crops",IF(NOT(ISNUMBER(E766)),"Needs the amount",IF(AND(D766&lt;&gt;"",COUNTIF(Beds!$B$6:$B$35,D766)=0),"Not on Beds",""))))))</f>
        <v/>
      </c>
      <c r="J766" s="1">
        <f>IF(ISNUMBER(B766),YEAR(B766),"")</f>
        <v/>
      </c>
      <c r="K766">
        <f>IF(ISNUMBER(B766),YEAR(B766)*100+MONTH(B766),"")</f>
        <v/>
      </c>
      <c r="L766">
        <f>IF(ISNUMBER(B766),INT(B766),0)</f>
        <v/>
      </c>
    </row>
    <row r="767">
      <c r="A767" s="1" t="n"/>
      <c r="B767" s="17" t="n"/>
      <c r="C767" s="18" t="n"/>
      <c r="D767" s="19" t="n"/>
      <c r="E767" s="23" t="n"/>
      <c r="F767" s="21" t="n"/>
      <c r="G767" s="11">
        <f>IF(C767="","",IFERROR(INDEX(Crops!$D$6:$D$65,MATCH(C767,Crops!$B$6:$B$65,0))&amp;"",""))</f>
        <v/>
      </c>
      <c r="H767" s="12">
        <f>IF(OR(C767="",NOT(ISNUMBER(E767))),"",E767*N(IFERROR(INDEX(Crops!$E$6:$E$65,MATCH(C767,Crops!$B$6:$B$65,0)),0)))</f>
        <v/>
      </c>
      <c r="I767" s="11">
        <f>IF(AND(C767="",E767=""),"",IF(NOT(ISNUMBER(B767)),"Needs a date",IF(C767="","Needs a crop",IF(COUNTIF(Crops!$B$6:$B$65,C767)=0,"Not on Crops",IF(NOT(ISNUMBER(E767)),"Needs the amount",IF(AND(D767&lt;&gt;"",COUNTIF(Beds!$B$6:$B$35,D767)=0),"Not on Beds",""))))))</f>
        <v/>
      </c>
      <c r="J767" s="1">
        <f>IF(ISNUMBER(B767),YEAR(B767),"")</f>
        <v/>
      </c>
      <c r="K767">
        <f>IF(ISNUMBER(B767),YEAR(B767)*100+MONTH(B767),"")</f>
        <v/>
      </c>
      <c r="L767">
        <f>IF(ISNUMBER(B767),INT(B767),0)</f>
        <v/>
      </c>
    </row>
    <row r="768">
      <c r="A768" s="1" t="n"/>
      <c r="B768" s="17" t="n"/>
      <c r="C768" s="18" t="n"/>
      <c r="D768" s="19" t="n"/>
      <c r="E768" s="23" t="n"/>
      <c r="F768" s="21" t="n"/>
      <c r="G768" s="11">
        <f>IF(C768="","",IFERROR(INDEX(Crops!$D$6:$D$65,MATCH(C768,Crops!$B$6:$B$65,0))&amp;"",""))</f>
        <v/>
      </c>
      <c r="H768" s="12">
        <f>IF(OR(C768="",NOT(ISNUMBER(E768))),"",E768*N(IFERROR(INDEX(Crops!$E$6:$E$65,MATCH(C768,Crops!$B$6:$B$65,0)),0)))</f>
        <v/>
      </c>
      <c r="I768" s="11">
        <f>IF(AND(C768="",E768=""),"",IF(NOT(ISNUMBER(B768)),"Needs a date",IF(C768="","Needs a crop",IF(COUNTIF(Crops!$B$6:$B$65,C768)=0,"Not on Crops",IF(NOT(ISNUMBER(E768)),"Needs the amount",IF(AND(D768&lt;&gt;"",COUNTIF(Beds!$B$6:$B$35,D768)=0),"Not on Beds",""))))))</f>
        <v/>
      </c>
      <c r="J768" s="1">
        <f>IF(ISNUMBER(B768),YEAR(B768),"")</f>
        <v/>
      </c>
      <c r="K768">
        <f>IF(ISNUMBER(B768),YEAR(B768)*100+MONTH(B768),"")</f>
        <v/>
      </c>
      <c r="L768">
        <f>IF(ISNUMBER(B768),INT(B768),0)</f>
        <v/>
      </c>
    </row>
    <row r="769">
      <c r="A769" s="1" t="n"/>
      <c r="B769" s="17" t="n"/>
      <c r="C769" s="18" t="n"/>
      <c r="D769" s="19" t="n"/>
      <c r="E769" s="23" t="n"/>
      <c r="F769" s="21" t="n"/>
      <c r="G769" s="11">
        <f>IF(C769="","",IFERROR(INDEX(Crops!$D$6:$D$65,MATCH(C769,Crops!$B$6:$B$65,0))&amp;"",""))</f>
        <v/>
      </c>
      <c r="H769" s="12">
        <f>IF(OR(C769="",NOT(ISNUMBER(E769))),"",E769*N(IFERROR(INDEX(Crops!$E$6:$E$65,MATCH(C769,Crops!$B$6:$B$65,0)),0)))</f>
        <v/>
      </c>
      <c r="I769" s="11">
        <f>IF(AND(C769="",E769=""),"",IF(NOT(ISNUMBER(B769)),"Needs a date",IF(C769="","Needs a crop",IF(COUNTIF(Crops!$B$6:$B$65,C769)=0,"Not on Crops",IF(NOT(ISNUMBER(E769)),"Needs the amount",IF(AND(D769&lt;&gt;"",COUNTIF(Beds!$B$6:$B$35,D769)=0),"Not on Beds",""))))))</f>
        <v/>
      </c>
      <c r="J769" s="1">
        <f>IF(ISNUMBER(B769),YEAR(B769),"")</f>
        <v/>
      </c>
      <c r="K769">
        <f>IF(ISNUMBER(B769),YEAR(B769)*100+MONTH(B769),"")</f>
        <v/>
      </c>
      <c r="L769">
        <f>IF(ISNUMBER(B769),INT(B769),0)</f>
        <v/>
      </c>
    </row>
    <row r="770">
      <c r="A770" s="1" t="n"/>
      <c r="B770" s="17" t="n"/>
      <c r="C770" s="18" t="n"/>
      <c r="D770" s="19" t="n"/>
      <c r="E770" s="23" t="n"/>
      <c r="F770" s="21" t="n"/>
      <c r="G770" s="11">
        <f>IF(C770="","",IFERROR(INDEX(Crops!$D$6:$D$65,MATCH(C770,Crops!$B$6:$B$65,0))&amp;"",""))</f>
        <v/>
      </c>
      <c r="H770" s="12">
        <f>IF(OR(C770="",NOT(ISNUMBER(E770))),"",E770*N(IFERROR(INDEX(Crops!$E$6:$E$65,MATCH(C770,Crops!$B$6:$B$65,0)),0)))</f>
        <v/>
      </c>
      <c r="I770" s="11">
        <f>IF(AND(C770="",E770=""),"",IF(NOT(ISNUMBER(B770)),"Needs a date",IF(C770="","Needs a crop",IF(COUNTIF(Crops!$B$6:$B$65,C770)=0,"Not on Crops",IF(NOT(ISNUMBER(E770)),"Needs the amount",IF(AND(D770&lt;&gt;"",COUNTIF(Beds!$B$6:$B$35,D770)=0),"Not on Beds",""))))))</f>
        <v/>
      </c>
      <c r="J770" s="1">
        <f>IF(ISNUMBER(B770),YEAR(B770),"")</f>
        <v/>
      </c>
      <c r="K770">
        <f>IF(ISNUMBER(B770),YEAR(B770)*100+MONTH(B770),"")</f>
        <v/>
      </c>
      <c r="L770">
        <f>IF(ISNUMBER(B770),INT(B770),0)</f>
        <v/>
      </c>
    </row>
    <row r="771">
      <c r="A771" s="1" t="n"/>
      <c r="B771" s="17" t="n"/>
      <c r="C771" s="18" t="n"/>
      <c r="D771" s="19" t="n"/>
      <c r="E771" s="23" t="n"/>
      <c r="F771" s="21" t="n"/>
      <c r="G771" s="11">
        <f>IF(C771="","",IFERROR(INDEX(Crops!$D$6:$D$65,MATCH(C771,Crops!$B$6:$B$65,0))&amp;"",""))</f>
        <v/>
      </c>
      <c r="H771" s="12">
        <f>IF(OR(C771="",NOT(ISNUMBER(E771))),"",E771*N(IFERROR(INDEX(Crops!$E$6:$E$65,MATCH(C771,Crops!$B$6:$B$65,0)),0)))</f>
        <v/>
      </c>
      <c r="I771" s="11">
        <f>IF(AND(C771="",E771=""),"",IF(NOT(ISNUMBER(B771)),"Needs a date",IF(C771="","Needs a crop",IF(COUNTIF(Crops!$B$6:$B$65,C771)=0,"Not on Crops",IF(NOT(ISNUMBER(E771)),"Needs the amount",IF(AND(D771&lt;&gt;"",COUNTIF(Beds!$B$6:$B$35,D771)=0),"Not on Beds",""))))))</f>
        <v/>
      </c>
      <c r="J771" s="1">
        <f>IF(ISNUMBER(B771),YEAR(B771),"")</f>
        <v/>
      </c>
      <c r="K771">
        <f>IF(ISNUMBER(B771),YEAR(B771)*100+MONTH(B771),"")</f>
        <v/>
      </c>
      <c r="L771">
        <f>IF(ISNUMBER(B771),INT(B771),0)</f>
        <v/>
      </c>
    </row>
    <row r="772">
      <c r="A772" s="1" t="n"/>
      <c r="B772" s="17" t="n"/>
      <c r="C772" s="18" t="n"/>
      <c r="D772" s="19" t="n"/>
      <c r="E772" s="23" t="n"/>
      <c r="F772" s="21" t="n"/>
      <c r="G772" s="11">
        <f>IF(C772="","",IFERROR(INDEX(Crops!$D$6:$D$65,MATCH(C772,Crops!$B$6:$B$65,0))&amp;"",""))</f>
        <v/>
      </c>
      <c r="H772" s="12">
        <f>IF(OR(C772="",NOT(ISNUMBER(E772))),"",E772*N(IFERROR(INDEX(Crops!$E$6:$E$65,MATCH(C772,Crops!$B$6:$B$65,0)),0)))</f>
        <v/>
      </c>
      <c r="I772" s="11">
        <f>IF(AND(C772="",E772=""),"",IF(NOT(ISNUMBER(B772)),"Needs a date",IF(C772="","Needs a crop",IF(COUNTIF(Crops!$B$6:$B$65,C772)=0,"Not on Crops",IF(NOT(ISNUMBER(E772)),"Needs the amount",IF(AND(D772&lt;&gt;"",COUNTIF(Beds!$B$6:$B$35,D772)=0),"Not on Beds",""))))))</f>
        <v/>
      </c>
      <c r="J772" s="1">
        <f>IF(ISNUMBER(B772),YEAR(B772),"")</f>
        <v/>
      </c>
      <c r="K772">
        <f>IF(ISNUMBER(B772),YEAR(B772)*100+MONTH(B772),"")</f>
        <v/>
      </c>
      <c r="L772">
        <f>IF(ISNUMBER(B772),INT(B772),0)</f>
        <v/>
      </c>
    </row>
    <row r="773">
      <c r="A773" s="1" t="n"/>
      <c r="B773" s="17" t="n"/>
      <c r="C773" s="18" t="n"/>
      <c r="D773" s="19" t="n"/>
      <c r="E773" s="23" t="n"/>
      <c r="F773" s="21" t="n"/>
      <c r="G773" s="11">
        <f>IF(C773="","",IFERROR(INDEX(Crops!$D$6:$D$65,MATCH(C773,Crops!$B$6:$B$65,0))&amp;"",""))</f>
        <v/>
      </c>
      <c r="H773" s="12">
        <f>IF(OR(C773="",NOT(ISNUMBER(E773))),"",E773*N(IFERROR(INDEX(Crops!$E$6:$E$65,MATCH(C773,Crops!$B$6:$B$65,0)),0)))</f>
        <v/>
      </c>
      <c r="I773" s="11">
        <f>IF(AND(C773="",E773=""),"",IF(NOT(ISNUMBER(B773)),"Needs a date",IF(C773="","Needs a crop",IF(COUNTIF(Crops!$B$6:$B$65,C773)=0,"Not on Crops",IF(NOT(ISNUMBER(E773)),"Needs the amount",IF(AND(D773&lt;&gt;"",COUNTIF(Beds!$B$6:$B$35,D773)=0),"Not on Beds",""))))))</f>
        <v/>
      </c>
      <c r="J773" s="1">
        <f>IF(ISNUMBER(B773),YEAR(B773),"")</f>
        <v/>
      </c>
      <c r="K773">
        <f>IF(ISNUMBER(B773),YEAR(B773)*100+MONTH(B773),"")</f>
        <v/>
      </c>
      <c r="L773">
        <f>IF(ISNUMBER(B773),INT(B773),0)</f>
        <v/>
      </c>
    </row>
    <row r="774">
      <c r="A774" s="1" t="n"/>
      <c r="B774" s="17" t="n"/>
      <c r="C774" s="18" t="n"/>
      <c r="D774" s="19" t="n"/>
      <c r="E774" s="23" t="n"/>
      <c r="F774" s="21" t="n"/>
      <c r="G774" s="11">
        <f>IF(C774="","",IFERROR(INDEX(Crops!$D$6:$D$65,MATCH(C774,Crops!$B$6:$B$65,0))&amp;"",""))</f>
        <v/>
      </c>
      <c r="H774" s="12">
        <f>IF(OR(C774="",NOT(ISNUMBER(E774))),"",E774*N(IFERROR(INDEX(Crops!$E$6:$E$65,MATCH(C774,Crops!$B$6:$B$65,0)),0)))</f>
        <v/>
      </c>
      <c r="I774" s="11">
        <f>IF(AND(C774="",E774=""),"",IF(NOT(ISNUMBER(B774)),"Needs a date",IF(C774="","Needs a crop",IF(COUNTIF(Crops!$B$6:$B$65,C774)=0,"Not on Crops",IF(NOT(ISNUMBER(E774)),"Needs the amount",IF(AND(D774&lt;&gt;"",COUNTIF(Beds!$B$6:$B$35,D774)=0),"Not on Beds",""))))))</f>
        <v/>
      </c>
      <c r="J774" s="1">
        <f>IF(ISNUMBER(B774),YEAR(B774),"")</f>
        <v/>
      </c>
      <c r="K774">
        <f>IF(ISNUMBER(B774),YEAR(B774)*100+MONTH(B774),"")</f>
        <v/>
      </c>
      <c r="L774">
        <f>IF(ISNUMBER(B774),INT(B774),0)</f>
        <v/>
      </c>
    </row>
    <row r="775">
      <c r="A775" s="1" t="n"/>
      <c r="B775" s="17" t="n"/>
      <c r="C775" s="18" t="n"/>
      <c r="D775" s="19" t="n"/>
      <c r="E775" s="23" t="n"/>
      <c r="F775" s="21" t="n"/>
      <c r="G775" s="11">
        <f>IF(C775="","",IFERROR(INDEX(Crops!$D$6:$D$65,MATCH(C775,Crops!$B$6:$B$65,0))&amp;"",""))</f>
        <v/>
      </c>
      <c r="H775" s="12">
        <f>IF(OR(C775="",NOT(ISNUMBER(E775))),"",E775*N(IFERROR(INDEX(Crops!$E$6:$E$65,MATCH(C775,Crops!$B$6:$B$65,0)),0)))</f>
        <v/>
      </c>
      <c r="I775" s="11">
        <f>IF(AND(C775="",E775=""),"",IF(NOT(ISNUMBER(B775)),"Needs a date",IF(C775="","Needs a crop",IF(COUNTIF(Crops!$B$6:$B$65,C775)=0,"Not on Crops",IF(NOT(ISNUMBER(E775)),"Needs the amount",IF(AND(D775&lt;&gt;"",COUNTIF(Beds!$B$6:$B$35,D775)=0),"Not on Beds",""))))))</f>
        <v/>
      </c>
      <c r="J775" s="1">
        <f>IF(ISNUMBER(B775),YEAR(B775),"")</f>
        <v/>
      </c>
      <c r="K775">
        <f>IF(ISNUMBER(B775),YEAR(B775)*100+MONTH(B775),"")</f>
        <v/>
      </c>
      <c r="L775">
        <f>IF(ISNUMBER(B775),INT(B775),0)</f>
        <v/>
      </c>
    </row>
    <row r="776">
      <c r="A776" s="1" t="n"/>
      <c r="B776" s="17" t="n"/>
      <c r="C776" s="18" t="n"/>
      <c r="D776" s="19" t="n"/>
      <c r="E776" s="23" t="n"/>
      <c r="F776" s="21" t="n"/>
      <c r="G776" s="11">
        <f>IF(C776="","",IFERROR(INDEX(Crops!$D$6:$D$65,MATCH(C776,Crops!$B$6:$B$65,0))&amp;"",""))</f>
        <v/>
      </c>
      <c r="H776" s="12">
        <f>IF(OR(C776="",NOT(ISNUMBER(E776))),"",E776*N(IFERROR(INDEX(Crops!$E$6:$E$65,MATCH(C776,Crops!$B$6:$B$65,0)),0)))</f>
        <v/>
      </c>
      <c r="I776" s="11">
        <f>IF(AND(C776="",E776=""),"",IF(NOT(ISNUMBER(B776)),"Needs a date",IF(C776="","Needs a crop",IF(COUNTIF(Crops!$B$6:$B$65,C776)=0,"Not on Crops",IF(NOT(ISNUMBER(E776)),"Needs the amount",IF(AND(D776&lt;&gt;"",COUNTIF(Beds!$B$6:$B$35,D776)=0),"Not on Beds",""))))))</f>
        <v/>
      </c>
      <c r="J776" s="1">
        <f>IF(ISNUMBER(B776),YEAR(B776),"")</f>
        <v/>
      </c>
      <c r="K776">
        <f>IF(ISNUMBER(B776),YEAR(B776)*100+MONTH(B776),"")</f>
        <v/>
      </c>
      <c r="L776">
        <f>IF(ISNUMBER(B776),INT(B776),0)</f>
        <v/>
      </c>
    </row>
    <row r="777">
      <c r="A777" s="1" t="n"/>
      <c r="B777" s="17" t="n"/>
      <c r="C777" s="18" t="n"/>
      <c r="D777" s="19" t="n"/>
      <c r="E777" s="23" t="n"/>
      <c r="F777" s="21" t="n"/>
      <c r="G777" s="11">
        <f>IF(C777="","",IFERROR(INDEX(Crops!$D$6:$D$65,MATCH(C777,Crops!$B$6:$B$65,0))&amp;"",""))</f>
        <v/>
      </c>
      <c r="H777" s="12">
        <f>IF(OR(C777="",NOT(ISNUMBER(E777))),"",E777*N(IFERROR(INDEX(Crops!$E$6:$E$65,MATCH(C777,Crops!$B$6:$B$65,0)),0)))</f>
        <v/>
      </c>
      <c r="I777" s="11">
        <f>IF(AND(C777="",E777=""),"",IF(NOT(ISNUMBER(B777)),"Needs a date",IF(C777="","Needs a crop",IF(COUNTIF(Crops!$B$6:$B$65,C777)=0,"Not on Crops",IF(NOT(ISNUMBER(E777)),"Needs the amount",IF(AND(D777&lt;&gt;"",COUNTIF(Beds!$B$6:$B$35,D777)=0),"Not on Beds",""))))))</f>
        <v/>
      </c>
      <c r="J777" s="1">
        <f>IF(ISNUMBER(B777),YEAR(B777),"")</f>
        <v/>
      </c>
      <c r="K777">
        <f>IF(ISNUMBER(B777),YEAR(B777)*100+MONTH(B777),"")</f>
        <v/>
      </c>
      <c r="L777">
        <f>IF(ISNUMBER(B777),INT(B777),0)</f>
        <v/>
      </c>
    </row>
    <row r="778">
      <c r="A778" s="1" t="n"/>
      <c r="B778" s="17" t="n"/>
      <c r="C778" s="18" t="n"/>
      <c r="D778" s="19" t="n"/>
      <c r="E778" s="23" t="n"/>
      <c r="F778" s="21" t="n"/>
      <c r="G778" s="11">
        <f>IF(C778="","",IFERROR(INDEX(Crops!$D$6:$D$65,MATCH(C778,Crops!$B$6:$B$65,0))&amp;"",""))</f>
        <v/>
      </c>
      <c r="H778" s="12">
        <f>IF(OR(C778="",NOT(ISNUMBER(E778))),"",E778*N(IFERROR(INDEX(Crops!$E$6:$E$65,MATCH(C778,Crops!$B$6:$B$65,0)),0)))</f>
        <v/>
      </c>
      <c r="I778" s="11">
        <f>IF(AND(C778="",E778=""),"",IF(NOT(ISNUMBER(B778)),"Needs a date",IF(C778="","Needs a crop",IF(COUNTIF(Crops!$B$6:$B$65,C778)=0,"Not on Crops",IF(NOT(ISNUMBER(E778)),"Needs the amount",IF(AND(D778&lt;&gt;"",COUNTIF(Beds!$B$6:$B$35,D778)=0),"Not on Beds",""))))))</f>
        <v/>
      </c>
      <c r="J778" s="1">
        <f>IF(ISNUMBER(B778),YEAR(B778),"")</f>
        <v/>
      </c>
      <c r="K778">
        <f>IF(ISNUMBER(B778),YEAR(B778)*100+MONTH(B778),"")</f>
        <v/>
      </c>
      <c r="L778">
        <f>IF(ISNUMBER(B778),INT(B778),0)</f>
        <v/>
      </c>
    </row>
    <row r="779">
      <c r="A779" s="1" t="n"/>
      <c r="B779" s="17" t="n"/>
      <c r="C779" s="18" t="n"/>
      <c r="D779" s="19" t="n"/>
      <c r="E779" s="23" t="n"/>
      <c r="F779" s="21" t="n"/>
      <c r="G779" s="11">
        <f>IF(C779="","",IFERROR(INDEX(Crops!$D$6:$D$65,MATCH(C779,Crops!$B$6:$B$65,0))&amp;"",""))</f>
        <v/>
      </c>
      <c r="H779" s="12">
        <f>IF(OR(C779="",NOT(ISNUMBER(E779))),"",E779*N(IFERROR(INDEX(Crops!$E$6:$E$65,MATCH(C779,Crops!$B$6:$B$65,0)),0)))</f>
        <v/>
      </c>
      <c r="I779" s="11">
        <f>IF(AND(C779="",E779=""),"",IF(NOT(ISNUMBER(B779)),"Needs a date",IF(C779="","Needs a crop",IF(COUNTIF(Crops!$B$6:$B$65,C779)=0,"Not on Crops",IF(NOT(ISNUMBER(E779)),"Needs the amount",IF(AND(D779&lt;&gt;"",COUNTIF(Beds!$B$6:$B$35,D779)=0),"Not on Beds",""))))))</f>
        <v/>
      </c>
      <c r="J779" s="1">
        <f>IF(ISNUMBER(B779),YEAR(B779),"")</f>
        <v/>
      </c>
      <c r="K779">
        <f>IF(ISNUMBER(B779),YEAR(B779)*100+MONTH(B779),"")</f>
        <v/>
      </c>
      <c r="L779">
        <f>IF(ISNUMBER(B779),INT(B779),0)</f>
        <v/>
      </c>
    </row>
    <row r="780">
      <c r="A780" s="1" t="n"/>
      <c r="B780" s="17" t="n"/>
      <c r="C780" s="18" t="n"/>
      <c r="D780" s="19" t="n"/>
      <c r="E780" s="23" t="n"/>
      <c r="F780" s="21" t="n"/>
      <c r="G780" s="11">
        <f>IF(C780="","",IFERROR(INDEX(Crops!$D$6:$D$65,MATCH(C780,Crops!$B$6:$B$65,0))&amp;"",""))</f>
        <v/>
      </c>
      <c r="H780" s="12">
        <f>IF(OR(C780="",NOT(ISNUMBER(E780))),"",E780*N(IFERROR(INDEX(Crops!$E$6:$E$65,MATCH(C780,Crops!$B$6:$B$65,0)),0)))</f>
        <v/>
      </c>
      <c r="I780" s="11">
        <f>IF(AND(C780="",E780=""),"",IF(NOT(ISNUMBER(B780)),"Needs a date",IF(C780="","Needs a crop",IF(COUNTIF(Crops!$B$6:$B$65,C780)=0,"Not on Crops",IF(NOT(ISNUMBER(E780)),"Needs the amount",IF(AND(D780&lt;&gt;"",COUNTIF(Beds!$B$6:$B$35,D780)=0),"Not on Beds",""))))))</f>
        <v/>
      </c>
      <c r="J780" s="1">
        <f>IF(ISNUMBER(B780),YEAR(B780),"")</f>
        <v/>
      </c>
      <c r="K780">
        <f>IF(ISNUMBER(B780),YEAR(B780)*100+MONTH(B780),"")</f>
        <v/>
      </c>
      <c r="L780">
        <f>IF(ISNUMBER(B780),INT(B780),0)</f>
        <v/>
      </c>
    </row>
    <row r="781">
      <c r="A781" s="1" t="n"/>
      <c r="B781" s="17" t="n"/>
      <c r="C781" s="18" t="n"/>
      <c r="D781" s="19" t="n"/>
      <c r="E781" s="23" t="n"/>
      <c r="F781" s="21" t="n"/>
      <c r="G781" s="11">
        <f>IF(C781="","",IFERROR(INDEX(Crops!$D$6:$D$65,MATCH(C781,Crops!$B$6:$B$65,0))&amp;"",""))</f>
        <v/>
      </c>
      <c r="H781" s="12">
        <f>IF(OR(C781="",NOT(ISNUMBER(E781))),"",E781*N(IFERROR(INDEX(Crops!$E$6:$E$65,MATCH(C781,Crops!$B$6:$B$65,0)),0)))</f>
        <v/>
      </c>
      <c r="I781" s="11">
        <f>IF(AND(C781="",E781=""),"",IF(NOT(ISNUMBER(B781)),"Needs a date",IF(C781="","Needs a crop",IF(COUNTIF(Crops!$B$6:$B$65,C781)=0,"Not on Crops",IF(NOT(ISNUMBER(E781)),"Needs the amount",IF(AND(D781&lt;&gt;"",COUNTIF(Beds!$B$6:$B$35,D781)=0),"Not on Beds",""))))))</f>
        <v/>
      </c>
      <c r="J781" s="1">
        <f>IF(ISNUMBER(B781),YEAR(B781),"")</f>
        <v/>
      </c>
      <c r="K781">
        <f>IF(ISNUMBER(B781),YEAR(B781)*100+MONTH(B781),"")</f>
        <v/>
      </c>
      <c r="L781">
        <f>IF(ISNUMBER(B781),INT(B781),0)</f>
        <v/>
      </c>
    </row>
    <row r="782">
      <c r="A782" s="1" t="n"/>
      <c r="B782" s="17" t="n"/>
      <c r="C782" s="18" t="n"/>
      <c r="D782" s="19" t="n"/>
      <c r="E782" s="23" t="n"/>
      <c r="F782" s="21" t="n"/>
      <c r="G782" s="11">
        <f>IF(C782="","",IFERROR(INDEX(Crops!$D$6:$D$65,MATCH(C782,Crops!$B$6:$B$65,0))&amp;"",""))</f>
        <v/>
      </c>
      <c r="H782" s="12">
        <f>IF(OR(C782="",NOT(ISNUMBER(E782))),"",E782*N(IFERROR(INDEX(Crops!$E$6:$E$65,MATCH(C782,Crops!$B$6:$B$65,0)),0)))</f>
        <v/>
      </c>
      <c r="I782" s="11">
        <f>IF(AND(C782="",E782=""),"",IF(NOT(ISNUMBER(B782)),"Needs a date",IF(C782="","Needs a crop",IF(COUNTIF(Crops!$B$6:$B$65,C782)=0,"Not on Crops",IF(NOT(ISNUMBER(E782)),"Needs the amount",IF(AND(D782&lt;&gt;"",COUNTIF(Beds!$B$6:$B$35,D782)=0),"Not on Beds",""))))))</f>
        <v/>
      </c>
      <c r="J782" s="1">
        <f>IF(ISNUMBER(B782),YEAR(B782),"")</f>
        <v/>
      </c>
      <c r="K782">
        <f>IF(ISNUMBER(B782),YEAR(B782)*100+MONTH(B782),"")</f>
        <v/>
      </c>
      <c r="L782">
        <f>IF(ISNUMBER(B782),INT(B782),0)</f>
        <v/>
      </c>
    </row>
    <row r="783">
      <c r="A783" s="1" t="n"/>
      <c r="B783" s="17" t="n"/>
      <c r="C783" s="18" t="n"/>
      <c r="D783" s="19" t="n"/>
      <c r="E783" s="23" t="n"/>
      <c r="F783" s="21" t="n"/>
      <c r="G783" s="11">
        <f>IF(C783="","",IFERROR(INDEX(Crops!$D$6:$D$65,MATCH(C783,Crops!$B$6:$B$65,0))&amp;"",""))</f>
        <v/>
      </c>
      <c r="H783" s="12">
        <f>IF(OR(C783="",NOT(ISNUMBER(E783))),"",E783*N(IFERROR(INDEX(Crops!$E$6:$E$65,MATCH(C783,Crops!$B$6:$B$65,0)),0)))</f>
        <v/>
      </c>
      <c r="I783" s="11">
        <f>IF(AND(C783="",E783=""),"",IF(NOT(ISNUMBER(B783)),"Needs a date",IF(C783="","Needs a crop",IF(COUNTIF(Crops!$B$6:$B$65,C783)=0,"Not on Crops",IF(NOT(ISNUMBER(E783)),"Needs the amount",IF(AND(D783&lt;&gt;"",COUNTIF(Beds!$B$6:$B$35,D783)=0),"Not on Beds",""))))))</f>
        <v/>
      </c>
      <c r="J783" s="1">
        <f>IF(ISNUMBER(B783),YEAR(B783),"")</f>
        <v/>
      </c>
      <c r="K783">
        <f>IF(ISNUMBER(B783),YEAR(B783)*100+MONTH(B783),"")</f>
        <v/>
      </c>
      <c r="L783">
        <f>IF(ISNUMBER(B783),INT(B783),0)</f>
        <v/>
      </c>
    </row>
    <row r="784">
      <c r="A784" s="1" t="n"/>
      <c r="B784" s="17" t="n"/>
      <c r="C784" s="18" t="n"/>
      <c r="D784" s="19" t="n"/>
      <c r="E784" s="23" t="n"/>
      <c r="F784" s="21" t="n"/>
      <c r="G784" s="11">
        <f>IF(C784="","",IFERROR(INDEX(Crops!$D$6:$D$65,MATCH(C784,Crops!$B$6:$B$65,0))&amp;"",""))</f>
        <v/>
      </c>
      <c r="H784" s="12">
        <f>IF(OR(C784="",NOT(ISNUMBER(E784))),"",E784*N(IFERROR(INDEX(Crops!$E$6:$E$65,MATCH(C784,Crops!$B$6:$B$65,0)),0)))</f>
        <v/>
      </c>
      <c r="I784" s="11">
        <f>IF(AND(C784="",E784=""),"",IF(NOT(ISNUMBER(B784)),"Needs a date",IF(C784="","Needs a crop",IF(COUNTIF(Crops!$B$6:$B$65,C784)=0,"Not on Crops",IF(NOT(ISNUMBER(E784)),"Needs the amount",IF(AND(D784&lt;&gt;"",COUNTIF(Beds!$B$6:$B$35,D784)=0),"Not on Beds",""))))))</f>
        <v/>
      </c>
      <c r="J784" s="1">
        <f>IF(ISNUMBER(B784),YEAR(B784),"")</f>
        <v/>
      </c>
      <c r="K784">
        <f>IF(ISNUMBER(B784),YEAR(B784)*100+MONTH(B784),"")</f>
        <v/>
      </c>
      <c r="L784">
        <f>IF(ISNUMBER(B784),INT(B784),0)</f>
        <v/>
      </c>
    </row>
    <row r="785">
      <c r="A785" s="1" t="n"/>
      <c r="B785" s="17" t="n"/>
      <c r="C785" s="18" t="n"/>
      <c r="D785" s="19" t="n"/>
      <c r="E785" s="23" t="n"/>
      <c r="F785" s="21" t="n"/>
      <c r="G785" s="11">
        <f>IF(C785="","",IFERROR(INDEX(Crops!$D$6:$D$65,MATCH(C785,Crops!$B$6:$B$65,0))&amp;"",""))</f>
        <v/>
      </c>
      <c r="H785" s="12">
        <f>IF(OR(C785="",NOT(ISNUMBER(E785))),"",E785*N(IFERROR(INDEX(Crops!$E$6:$E$65,MATCH(C785,Crops!$B$6:$B$65,0)),0)))</f>
        <v/>
      </c>
      <c r="I785" s="11">
        <f>IF(AND(C785="",E785=""),"",IF(NOT(ISNUMBER(B785)),"Needs a date",IF(C785="","Needs a crop",IF(COUNTIF(Crops!$B$6:$B$65,C785)=0,"Not on Crops",IF(NOT(ISNUMBER(E785)),"Needs the amount",IF(AND(D785&lt;&gt;"",COUNTIF(Beds!$B$6:$B$35,D785)=0),"Not on Beds",""))))))</f>
        <v/>
      </c>
      <c r="J785" s="1">
        <f>IF(ISNUMBER(B785),YEAR(B785),"")</f>
        <v/>
      </c>
      <c r="K785">
        <f>IF(ISNUMBER(B785),YEAR(B785)*100+MONTH(B785),"")</f>
        <v/>
      </c>
      <c r="L785">
        <f>IF(ISNUMBER(B785),INT(B785),0)</f>
        <v/>
      </c>
    </row>
    <row r="786">
      <c r="A786" s="1" t="n"/>
      <c r="B786" s="17" t="n"/>
      <c r="C786" s="18" t="n"/>
      <c r="D786" s="19" t="n"/>
      <c r="E786" s="23" t="n"/>
      <c r="F786" s="21" t="n"/>
      <c r="G786" s="11">
        <f>IF(C786="","",IFERROR(INDEX(Crops!$D$6:$D$65,MATCH(C786,Crops!$B$6:$B$65,0))&amp;"",""))</f>
        <v/>
      </c>
      <c r="H786" s="12">
        <f>IF(OR(C786="",NOT(ISNUMBER(E786))),"",E786*N(IFERROR(INDEX(Crops!$E$6:$E$65,MATCH(C786,Crops!$B$6:$B$65,0)),0)))</f>
        <v/>
      </c>
      <c r="I786" s="11">
        <f>IF(AND(C786="",E786=""),"",IF(NOT(ISNUMBER(B786)),"Needs a date",IF(C786="","Needs a crop",IF(COUNTIF(Crops!$B$6:$B$65,C786)=0,"Not on Crops",IF(NOT(ISNUMBER(E786)),"Needs the amount",IF(AND(D786&lt;&gt;"",COUNTIF(Beds!$B$6:$B$35,D786)=0),"Not on Beds",""))))))</f>
        <v/>
      </c>
      <c r="J786" s="1">
        <f>IF(ISNUMBER(B786),YEAR(B786),"")</f>
        <v/>
      </c>
      <c r="K786">
        <f>IF(ISNUMBER(B786),YEAR(B786)*100+MONTH(B786),"")</f>
        <v/>
      </c>
      <c r="L786">
        <f>IF(ISNUMBER(B786),INT(B786),0)</f>
        <v/>
      </c>
    </row>
    <row r="787">
      <c r="A787" s="1" t="n"/>
      <c r="B787" s="17" t="n"/>
      <c r="C787" s="18" t="n"/>
      <c r="D787" s="19" t="n"/>
      <c r="E787" s="23" t="n"/>
      <c r="F787" s="21" t="n"/>
      <c r="G787" s="11">
        <f>IF(C787="","",IFERROR(INDEX(Crops!$D$6:$D$65,MATCH(C787,Crops!$B$6:$B$65,0))&amp;"",""))</f>
        <v/>
      </c>
      <c r="H787" s="12">
        <f>IF(OR(C787="",NOT(ISNUMBER(E787))),"",E787*N(IFERROR(INDEX(Crops!$E$6:$E$65,MATCH(C787,Crops!$B$6:$B$65,0)),0)))</f>
        <v/>
      </c>
      <c r="I787" s="11">
        <f>IF(AND(C787="",E787=""),"",IF(NOT(ISNUMBER(B787)),"Needs a date",IF(C787="","Needs a crop",IF(COUNTIF(Crops!$B$6:$B$65,C787)=0,"Not on Crops",IF(NOT(ISNUMBER(E787)),"Needs the amount",IF(AND(D787&lt;&gt;"",COUNTIF(Beds!$B$6:$B$35,D787)=0),"Not on Beds",""))))))</f>
        <v/>
      </c>
      <c r="J787" s="1">
        <f>IF(ISNUMBER(B787),YEAR(B787),"")</f>
        <v/>
      </c>
      <c r="K787">
        <f>IF(ISNUMBER(B787),YEAR(B787)*100+MONTH(B787),"")</f>
        <v/>
      </c>
      <c r="L787">
        <f>IF(ISNUMBER(B787),INT(B787),0)</f>
        <v/>
      </c>
    </row>
    <row r="788">
      <c r="A788" s="1" t="n"/>
      <c r="B788" s="17" t="n"/>
      <c r="C788" s="18" t="n"/>
      <c r="D788" s="19" t="n"/>
      <c r="E788" s="23" t="n"/>
      <c r="F788" s="21" t="n"/>
      <c r="G788" s="11">
        <f>IF(C788="","",IFERROR(INDEX(Crops!$D$6:$D$65,MATCH(C788,Crops!$B$6:$B$65,0))&amp;"",""))</f>
        <v/>
      </c>
      <c r="H788" s="12">
        <f>IF(OR(C788="",NOT(ISNUMBER(E788))),"",E788*N(IFERROR(INDEX(Crops!$E$6:$E$65,MATCH(C788,Crops!$B$6:$B$65,0)),0)))</f>
        <v/>
      </c>
      <c r="I788" s="11">
        <f>IF(AND(C788="",E788=""),"",IF(NOT(ISNUMBER(B788)),"Needs a date",IF(C788="","Needs a crop",IF(COUNTIF(Crops!$B$6:$B$65,C788)=0,"Not on Crops",IF(NOT(ISNUMBER(E788)),"Needs the amount",IF(AND(D788&lt;&gt;"",COUNTIF(Beds!$B$6:$B$35,D788)=0),"Not on Beds",""))))))</f>
        <v/>
      </c>
      <c r="J788" s="1">
        <f>IF(ISNUMBER(B788),YEAR(B788),"")</f>
        <v/>
      </c>
      <c r="K788">
        <f>IF(ISNUMBER(B788),YEAR(B788)*100+MONTH(B788),"")</f>
        <v/>
      </c>
      <c r="L788">
        <f>IF(ISNUMBER(B788),INT(B788),0)</f>
        <v/>
      </c>
    </row>
    <row r="789">
      <c r="A789" s="1" t="n"/>
      <c r="B789" s="17" t="n"/>
      <c r="C789" s="18" t="n"/>
      <c r="D789" s="19" t="n"/>
      <c r="E789" s="23" t="n"/>
      <c r="F789" s="21" t="n"/>
      <c r="G789" s="11">
        <f>IF(C789="","",IFERROR(INDEX(Crops!$D$6:$D$65,MATCH(C789,Crops!$B$6:$B$65,0))&amp;"",""))</f>
        <v/>
      </c>
      <c r="H789" s="12">
        <f>IF(OR(C789="",NOT(ISNUMBER(E789))),"",E789*N(IFERROR(INDEX(Crops!$E$6:$E$65,MATCH(C789,Crops!$B$6:$B$65,0)),0)))</f>
        <v/>
      </c>
      <c r="I789" s="11">
        <f>IF(AND(C789="",E789=""),"",IF(NOT(ISNUMBER(B789)),"Needs a date",IF(C789="","Needs a crop",IF(COUNTIF(Crops!$B$6:$B$65,C789)=0,"Not on Crops",IF(NOT(ISNUMBER(E789)),"Needs the amount",IF(AND(D789&lt;&gt;"",COUNTIF(Beds!$B$6:$B$35,D789)=0),"Not on Beds",""))))))</f>
        <v/>
      </c>
      <c r="J789" s="1">
        <f>IF(ISNUMBER(B789),YEAR(B789),"")</f>
        <v/>
      </c>
      <c r="K789">
        <f>IF(ISNUMBER(B789),YEAR(B789)*100+MONTH(B789),"")</f>
        <v/>
      </c>
      <c r="L789">
        <f>IF(ISNUMBER(B789),INT(B789),0)</f>
        <v/>
      </c>
    </row>
    <row r="790">
      <c r="A790" s="1" t="n"/>
      <c r="B790" s="17" t="n"/>
      <c r="C790" s="18" t="n"/>
      <c r="D790" s="19" t="n"/>
      <c r="E790" s="23" t="n"/>
      <c r="F790" s="21" t="n"/>
      <c r="G790" s="11">
        <f>IF(C790="","",IFERROR(INDEX(Crops!$D$6:$D$65,MATCH(C790,Crops!$B$6:$B$65,0))&amp;"",""))</f>
        <v/>
      </c>
      <c r="H790" s="12">
        <f>IF(OR(C790="",NOT(ISNUMBER(E790))),"",E790*N(IFERROR(INDEX(Crops!$E$6:$E$65,MATCH(C790,Crops!$B$6:$B$65,0)),0)))</f>
        <v/>
      </c>
      <c r="I790" s="11">
        <f>IF(AND(C790="",E790=""),"",IF(NOT(ISNUMBER(B790)),"Needs a date",IF(C790="","Needs a crop",IF(COUNTIF(Crops!$B$6:$B$65,C790)=0,"Not on Crops",IF(NOT(ISNUMBER(E790)),"Needs the amount",IF(AND(D790&lt;&gt;"",COUNTIF(Beds!$B$6:$B$35,D790)=0),"Not on Beds",""))))))</f>
        <v/>
      </c>
      <c r="J790" s="1">
        <f>IF(ISNUMBER(B790),YEAR(B790),"")</f>
        <v/>
      </c>
      <c r="K790">
        <f>IF(ISNUMBER(B790),YEAR(B790)*100+MONTH(B790),"")</f>
        <v/>
      </c>
      <c r="L790">
        <f>IF(ISNUMBER(B790),INT(B790),0)</f>
        <v/>
      </c>
    </row>
    <row r="791">
      <c r="A791" s="1" t="n"/>
      <c r="B791" s="17" t="n"/>
      <c r="C791" s="18" t="n"/>
      <c r="D791" s="19" t="n"/>
      <c r="E791" s="23" t="n"/>
      <c r="F791" s="21" t="n"/>
      <c r="G791" s="11">
        <f>IF(C791="","",IFERROR(INDEX(Crops!$D$6:$D$65,MATCH(C791,Crops!$B$6:$B$65,0))&amp;"",""))</f>
        <v/>
      </c>
      <c r="H791" s="12">
        <f>IF(OR(C791="",NOT(ISNUMBER(E791))),"",E791*N(IFERROR(INDEX(Crops!$E$6:$E$65,MATCH(C791,Crops!$B$6:$B$65,0)),0)))</f>
        <v/>
      </c>
      <c r="I791" s="11">
        <f>IF(AND(C791="",E791=""),"",IF(NOT(ISNUMBER(B791)),"Needs a date",IF(C791="","Needs a crop",IF(COUNTIF(Crops!$B$6:$B$65,C791)=0,"Not on Crops",IF(NOT(ISNUMBER(E791)),"Needs the amount",IF(AND(D791&lt;&gt;"",COUNTIF(Beds!$B$6:$B$35,D791)=0),"Not on Beds",""))))))</f>
        <v/>
      </c>
      <c r="J791" s="1">
        <f>IF(ISNUMBER(B791),YEAR(B791),"")</f>
        <v/>
      </c>
      <c r="K791">
        <f>IF(ISNUMBER(B791),YEAR(B791)*100+MONTH(B791),"")</f>
        <v/>
      </c>
      <c r="L791">
        <f>IF(ISNUMBER(B791),INT(B791),0)</f>
        <v/>
      </c>
    </row>
    <row r="792">
      <c r="A792" s="1" t="n"/>
      <c r="B792" s="17" t="n"/>
      <c r="C792" s="18" t="n"/>
      <c r="D792" s="19" t="n"/>
      <c r="E792" s="23" t="n"/>
      <c r="F792" s="21" t="n"/>
      <c r="G792" s="11">
        <f>IF(C792="","",IFERROR(INDEX(Crops!$D$6:$D$65,MATCH(C792,Crops!$B$6:$B$65,0))&amp;"",""))</f>
        <v/>
      </c>
      <c r="H792" s="12">
        <f>IF(OR(C792="",NOT(ISNUMBER(E792))),"",E792*N(IFERROR(INDEX(Crops!$E$6:$E$65,MATCH(C792,Crops!$B$6:$B$65,0)),0)))</f>
        <v/>
      </c>
      <c r="I792" s="11">
        <f>IF(AND(C792="",E792=""),"",IF(NOT(ISNUMBER(B792)),"Needs a date",IF(C792="","Needs a crop",IF(COUNTIF(Crops!$B$6:$B$65,C792)=0,"Not on Crops",IF(NOT(ISNUMBER(E792)),"Needs the amount",IF(AND(D792&lt;&gt;"",COUNTIF(Beds!$B$6:$B$35,D792)=0),"Not on Beds",""))))))</f>
        <v/>
      </c>
      <c r="J792" s="1">
        <f>IF(ISNUMBER(B792),YEAR(B792),"")</f>
        <v/>
      </c>
      <c r="K792">
        <f>IF(ISNUMBER(B792),YEAR(B792)*100+MONTH(B792),"")</f>
        <v/>
      </c>
      <c r="L792">
        <f>IF(ISNUMBER(B792),INT(B792),0)</f>
        <v/>
      </c>
    </row>
    <row r="793">
      <c r="A793" s="1" t="n"/>
      <c r="B793" s="17" t="n"/>
      <c r="C793" s="18" t="n"/>
      <c r="D793" s="19" t="n"/>
      <c r="E793" s="23" t="n"/>
      <c r="F793" s="21" t="n"/>
      <c r="G793" s="11">
        <f>IF(C793="","",IFERROR(INDEX(Crops!$D$6:$D$65,MATCH(C793,Crops!$B$6:$B$65,0))&amp;"",""))</f>
        <v/>
      </c>
      <c r="H793" s="12">
        <f>IF(OR(C793="",NOT(ISNUMBER(E793))),"",E793*N(IFERROR(INDEX(Crops!$E$6:$E$65,MATCH(C793,Crops!$B$6:$B$65,0)),0)))</f>
        <v/>
      </c>
      <c r="I793" s="11">
        <f>IF(AND(C793="",E793=""),"",IF(NOT(ISNUMBER(B793)),"Needs a date",IF(C793="","Needs a crop",IF(COUNTIF(Crops!$B$6:$B$65,C793)=0,"Not on Crops",IF(NOT(ISNUMBER(E793)),"Needs the amount",IF(AND(D793&lt;&gt;"",COUNTIF(Beds!$B$6:$B$35,D793)=0),"Not on Beds",""))))))</f>
        <v/>
      </c>
      <c r="J793" s="1">
        <f>IF(ISNUMBER(B793),YEAR(B793),"")</f>
        <v/>
      </c>
      <c r="K793">
        <f>IF(ISNUMBER(B793),YEAR(B793)*100+MONTH(B793),"")</f>
        <v/>
      </c>
      <c r="L793">
        <f>IF(ISNUMBER(B793),INT(B793),0)</f>
        <v/>
      </c>
    </row>
    <row r="794">
      <c r="A794" s="1" t="n"/>
      <c r="B794" s="17" t="n"/>
      <c r="C794" s="18" t="n"/>
      <c r="D794" s="19" t="n"/>
      <c r="E794" s="23" t="n"/>
      <c r="F794" s="21" t="n"/>
      <c r="G794" s="11">
        <f>IF(C794="","",IFERROR(INDEX(Crops!$D$6:$D$65,MATCH(C794,Crops!$B$6:$B$65,0))&amp;"",""))</f>
        <v/>
      </c>
      <c r="H794" s="12">
        <f>IF(OR(C794="",NOT(ISNUMBER(E794))),"",E794*N(IFERROR(INDEX(Crops!$E$6:$E$65,MATCH(C794,Crops!$B$6:$B$65,0)),0)))</f>
        <v/>
      </c>
      <c r="I794" s="11">
        <f>IF(AND(C794="",E794=""),"",IF(NOT(ISNUMBER(B794)),"Needs a date",IF(C794="","Needs a crop",IF(COUNTIF(Crops!$B$6:$B$65,C794)=0,"Not on Crops",IF(NOT(ISNUMBER(E794)),"Needs the amount",IF(AND(D794&lt;&gt;"",COUNTIF(Beds!$B$6:$B$35,D794)=0),"Not on Beds",""))))))</f>
        <v/>
      </c>
      <c r="J794" s="1">
        <f>IF(ISNUMBER(B794),YEAR(B794),"")</f>
        <v/>
      </c>
      <c r="K794">
        <f>IF(ISNUMBER(B794),YEAR(B794)*100+MONTH(B794),"")</f>
        <v/>
      </c>
      <c r="L794">
        <f>IF(ISNUMBER(B794),INT(B794),0)</f>
        <v/>
      </c>
    </row>
    <row r="795">
      <c r="A795" s="1" t="n"/>
      <c r="B795" s="17" t="n"/>
      <c r="C795" s="18" t="n"/>
      <c r="D795" s="19" t="n"/>
      <c r="E795" s="23" t="n"/>
      <c r="F795" s="21" t="n"/>
      <c r="G795" s="11">
        <f>IF(C795="","",IFERROR(INDEX(Crops!$D$6:$D$65,MATCH(C795,Crops!$B$6:$B$65,0))&amp;"",""))</f>
        <v/>
      </c>
      <c r="H795" s="12">
        <f>IF(OR(C795="",NOT(ISNUMBER(E795))),"",E795*N(IFERROR(INDEX(Crops!$E$6:$E$65,MATCH(C795,Crops!$B$6:$B$65,0)),0)))</f>
        <v/>
      </c>
      <c r="I795" s="11">
        <f>IF(AND(C795="",E795=""),"",IF(NOT(ISNUMBER(B795)),"Needs a date",IF(C795="","Needs a crop",IF(COUNTIF(Crops!$B$6:$B$65,C795)=0,"Not on Crops",IF(NOT(ISNUMBER(E795)),"Needs the amount",IF(AND(D795&lt;&gt;"",COUNTIF(Beds!$B$6:$B$35,D795)=0),"Not on Beds",""))))))</f>
        <v/>
      </c>
      <c r="J795" s="1">
        <f>IF(ISNUMBER(B795),YEAR(B795),"")</f>
        <v/>
      </c>
      <c r="K795">
        <f>IF(ISNUMBER(B795),YEAR(B795)*100+MONTH(B795),"")</f>
        <v/>
      </c>
      <c r="L795">
        <f>IF(ISNUMBER(B795),INT(B795),0)</f>
        <v/>
      </c>
    </row>
    <row r="796">
      <c r="A796" s="1" t="n"/>
      <c r="B796" s="17" t="n"/>
      <c r="C796" s="18" t="n"/>
      <c r="D796" s="19" t="n"/>
      <c r="E796" s="23" t="n"/>
      <c r="F796" s="21" t="n"/>
      <c r="G796" s="11">
        <f>IF(C796="","",IFERROR(INDEX(Crops!$D$6:$D$65,MATCH(C796,Crops!$B$6:$B$65,0))&amp;"",""))</f>
        <v/>
      </c>
      <c r="H796" s="12">
        <f>IF(OR(C796="",NOT(ISNUMBER(E796))),"",E796*N(IFERROR(INDEX(Crops!$E$6:$E$65,MATCH(C796,Crops!$B$6:$B$65,0)),0)))</f>
        <v/>
      </c>
      <c r="I796" s="11">
        <f>IF(AND(C796="",E796=""),"",IF(NOT(ISNUMBER(B796)),"Needs a date",IF(C796="","Needs a crop",IF(COUNTIF(Crops!$B$6:$B$65,C796)=0,"Not on Crops",IF(NOT(ISNUMBER(E796)),"Needs the amount",IF(AND(D796&lt;&gt;"",COUNTIF(Beds!$B$6:$B$35,D796)=0),"Not on Beds",""))))))</f>
        <v/>
      </c>
      <c r="J796" s="1">
        <f>IF(ISNUMBER(B796),YEAR(B796),"")</f>
        <v/>
      </c>
      <c r="K796">
        <f>IF(ISNUMBER(B796),YEAR(B796)*100+MONTH(B796),"")</f>
        <v/>
      </c>
      <c r="L796">
        <f>IF(ISNUMBER(B796),INT(B796),0)</f>
        <v/>
      </c>
    </row>
    <row r="797">
      <c r="A797" s="1" t="n"/>
      <c r="B797" s="17" t="n"/>
      <c r="C797" s="18" t="n"/>
      <c r="D797" s="19" t="n"/>
      <c r="E797" s="23" t="n"/>
      <c r="F797" s="21" t="n"/>
      <c r="G797" s="11">
        <f>IF(C797="","",IFERROR(INDEX(Crops!$D$6:$D$65,MATCH(C797,Crops!$B$6:$B$65,0))&amp;"",""))</f>
        <v/>
      </c>
      <c r="H797" s="12">
        <f>IF(OR(C797="",NOT(ISNUMBER(E797))),"",E797*N(IFERROR(INDEX(Crops!$E$6:$E$65,MATCH(C797,Crops!$B$6:$B$65,0)),0)))</f>
        <v/>
      </c>
      <c r="I797" s="11">
        <f>IF(AND(C797="",E797=""),"",IF(NOT(ISNUMBER(B797)),"Needs a date",IF(C797="","Needs a crop",IF(COUNTIF(Crops!$B$6:$B$65,C797)=0,"Not on Crops",IF(NOT(ISNUMBER(E797)),"Needs the amount",IF(AND(D797&lt;&gt;"",COUNTIF(Beds!$B$6:$B$35,D797)=0),"Not on Beds",""))))))</f>
        <v/>
      </c>
      <c r="J797" s="1">
        <f>IF(ISNUMBER(B797),YEAR(B797),"")</f>
        <v/>
      </c>
      <c r="K797">
        <f>IF(ISNUMBER(B797),YEAR(B797)*100+MONTH(B797),"")</f>
        <v/>
      </c>
      <c r="L797">
        <f>IF(ISNUMBER(B797),INT(B797),0)</f>
        <v/>
      </c>
    </row>
    <row r="798">
      <c r="A798" s="1" t="n"/>
      <c r="B798" s="17" t="n"/>
      <c r="C798" s="18" t="n"/>
      <c r="D798" s="19" t="n"/>
      <c r="E798" s="23" t="n"/>
      <c r="F798" s="21" t="n"/>
      <c r="G798" s="11">
        <f>IF(C798="","",IFERROR(INDEX(Crops!$D$6:$D$65,MATCH(C798,Crops!$B$6:$B$65,0))&amp;"",""))</f>
        <v/>
      </c>
      <c r="H798" s="12">
        <f>IF(OR(C798="",NOT(ISNUMBER(E798))),"",E798*N(IFERROR(INDEX(Crops!$E$6:$E$65,MATCH(C798,Crops!$B$6:$B$65,0)),0)))</f>
        <v/>
      </c>
      <c r="I798" s="11">
        <f>IF(AND(C798="",E798=""),"",IF(NOT(ISNUMBER(B798)),"Needs a date",IF(C798="","Needs a crop",IF(COUNTIF(Crops!$B$6:$B$65,C798)=0,"Not on Crops",IF(NOT(ISNUMBER(E798)),"Needs the amount",IF(AND(D798&lt;&gt;"",COUNTIF(Beds!$B$6:$B$35,D798)=0),"Not on Beds",""))))))</f>
        <v/>
      </c>
      <c r="J798" s="1">
        <f>IF(ISNUMBER(B798),YEAR(B798),"")</f>
        <v/>
      </c>
      <c r="K798">
        <f>IF(ISNUMBER(B798),YEAR(B798)*100+MONTH(B798),"")</f>
        <v/>
      </c>
      <c r="L798">
        <f>IF(ISNUMBER(B798),INT(B798),0)</f>
        <v/>
      </c>
    </row>
    <row r="799">
      <c r="A799" s="1" t="n"/>
      <c r="B799" s="17" t="n"/>
      <c r="C799" s="18" t="n"/>
      <c r="D799" s="19" t="n"/>
      <c r="E799" s="23" t="n"/>
      <c r="F799" s="21" t="n"/>
      <c r="G799" s="11">
        <f>IF(C799="","",IFERROR(INDEX(Crops!$D$6:$D$65,MATCH(C799,Crops!$B$6:$B$65,0))&amp;"",""))</f>
        <v/>
      </c>
      <c r="H799" s="12">
        <f>IF(OR(C799="",NOT(ISNUMBER(E799))),"",E799*N(IFERROR(INDEX(Crops!$E$6:$E$65,MATCH(C799,Crops!$B$6:$B$65,0)),0)))</f>
        <v/>
      </c>
      <c r="I799" s="11">
        <f>IF(AND(C799="",E799=""),"",IF(NOT(ISNUMBER(B799)),"Needs a date",IF(C799="","Needs a crop",IF(COUNTIF(Crops!$B$6:$B$65,C799)=0,"Not on Crops",IF(NOT(ISNUMBER(E799)),"Needs the amount",IF(AND(D799&lt;&gt;"",COUNTIF(Beds!$B$6:$B$35,D799)=0),"Not on Beds",""))))))</f>
        <v/>
      </c>
      <c r="J799" s="1">
        <f>IF(ISNUMBER(B799),YEAR(B799),"")</f>
        <v/>
      </c>
      <c r="K799">
        <f>IF(ISNUMBER(B799),YEAR(B799)*100+MONTH(B799),"")</f>
        <v/>
      </c>
      <c r="L799">
        <f>IF(ISNUMBER(B799),INT(B799),0)</f>
        <v/>
      </c>
    </row>
    <row r="800">
      <c r="A800" s="1" t="n"/>
      <c r="B800" s="17" t="n"/>
      <c r="C800" s="18" t="n"/>
      <c r="D800" s="19" t="n"/>
      <c r="E800" s="23" t="n"/>
      <c r="F800" s="21" t="n"/>
      <c r="G800" s="11">
        <f>IF(C800="","",IFERROR(INDEX(Crops!$D$6:$D$65,MATCH(C800,Crops!$B$6:$B$65,0))&amp;"",""))</f>
        <v/>
      </c>
      <c r="H800" s="12">
        <f>IF(OR(C800="",NOT(ISNUMBER(E800))),"",E800*N(IFERROR(INDEX(Crops!$E$6:$E$65,MATCH(C800,Crops!$B$6:$B$65,0)),0)))</f>
        <v/>
      </c>
      <c r="I800" s="11">
        <f>IF(AND(C800="",E800=""),"",IF(NOT(ISNUMBER(B800)),"Needs a date",IF(C800="","Needs a crop",IF(COUNTIF(Crops!$B$6:$B$65,C800)=0,"Not on Crops",IF(NOT(ISNUMBER(E800)),"Needs the amount",IF(AND(D800&lt;&gt;"",COUNTIF(Beds!$B$6:$B$35,D800)=0),"Not on Beds",""))))))</f>
        <v/>
      </c>
      <c r="J800" s="1">
        <f>IF(ISNUMBER(B800),YEAR(B800),"")</f>
        <v/>
      </c>
      <c r="K800">
        <f>IF(ISNUMBER(B800),YEAR(B800)*100+MONTH(B800),"")</f>
        <v/>
      </c>
      <c r="L800">
        <f>IF(ISNUMBER(B800),INT(B800),0)</f>
        <v/>
      </c>
    </row>
    <row r="801">
      <c r="A801" s="1" t="n"/>
      <c r="B801" s="17" t="n"/>
      <c r="C801" s="18" t="n"/>
      <c r="D801" s="19" t="n"/>
      <c r="E801" s="23" t="n"/>
      <c r="F801" s="21" t="n"/>
      <c r="G801" s="11">
        <f>IF(C801="","",IFERROR(INDEX(Crops!$D$6:$D$65,MATCH(C801,Crops!$B$6:$B$65,0))&amp;"",""))</f>
        <v/>
      </c>
      <c r="H801" s="12">
        <f>IF(OR(C801="",NOT(ISNUMBER(E801))),"",E801*N(IFERROR(INDEX(Crops!$E$6:$E$65,MATCH(C801,Crops!$B$6:$B$65,0)),0)))</f>
        <v/>
      </c>
      <c r="I801" s="11">
        <f>IF(AND(C801="",E801=""),"",IF(NOT(ISNUMBER(B801)),"Needs a date",IF(C801="","Needs a crop",IF(COUNTIF(Crops!$B$6:$B$65,C801)=0,"Not on Crops",IF(NOT(ISNUMBER(E801)),"Needs the amount",IF(AND(D801&lt;&gt;"",COUNTIF(Beds!$B$6:$B$35,D801)=0),"Not on Beds",""))))))</f>
        <v/>
      </c>
      <c r="J801" s="1">
        <f>IF(ISNUMBER(B801),YEAR(B801),"")</f>
        <v/>
      </c>
      <c r="K801">
        <f>IF(ISNUMBER(B801),YEAR(B801)*100+MONTH(B801),"")</f>
        <v/>
      </c>
      <c r="L801">
        <f>IF(ISNUMBER(B801),INT(B801),0)</f>
        <v/>
      </c>
    </row>
    <row r="802">
      <c r="A802" s="1" t="n"/>
      <c r="B802" s="17" t="n"/>
      <c r="C802" s="18" t="n"/>
      <c r="D802" s="19" t="n"/>
      <c r="E802" s="23" t="n"/>
      <c r="F802" s="21" t="n"/>
      <c r="G802" s="11">
        <f>IF(C802="","",IFERROR(INDEX(Crops!$D$6:$D$65,MATCH(C802,Crops!$B$6:$B$65,0))&amp;"",""))</f>
        <v/>
      </c>
      <c r="H802" s="12">
        <f>IF(OR(C802="",NOT(ISNUMBER(E802))),"",E802*N(IFERROR(INDEX(Crops!$E$6:$E$65,MATCH(C802,Crops!$B$6:$B$65,0)),0)))</f>
        <v/>
      </c>
      <c r="I802" s="11">
        <f>IF(AND(C802="",E802=""),"",IF(NOT(ISNUMBER(B802)),"Needs a date",IF(C802="","Needs a crop",IF(COUNTIF(Crops!$B$6:$B$65,C802)=0,"Not on Crops",IF(NOT(ISNUMBER(E802)),"Needs the amount",IF(AND(D802&lt;&gt;"",COUNTIF(Beds!$B$6:$B$35,D802)=0),"Not on Beds",""))))))</f>
        <v/>
      </c>
      <c r="J802" s="1">
        <f>IF(ISNUMBER(B802),YEAR(B802),"")</f>
        <v/>
      </c>
      <c r="K802">
        <f>IF(ISNUMBER(B802),YEAR(B802)*100+MONTH(B802),"")</f>
        <v/>
      </c>
      <c r="L802">
        <f>IF(ISNUMBER(B802),INT(B802),0)</f>
        <v/>
      </c>
    </row>
    <row r="803">
      <c r="A803" s="1" t="n"/>
      <c r="B803" s="17" t="n"/>
      <c r="C803" s="18" t="n"/>
      <c r="D803" s="19" t="n"/>
      <c r="E803" s="23" t="n"/>
      <c r="F803" s="21" t="n"/>
      <c r="G803" s="11">
        <f>IF(C803="","",IFERROR(INDEX(Crops!$D$6:$D$65,MATCH(C803,Crops!$B$6:$B$65,0))&amp;"",""))</f>
        <v/>
      </c>
      <c r="H803" s="12">
        <f>IF(OR(C803="",NOT(ISNUMBER(E803))),"",E803*N(IFERROR(INDEX(Crops!$E$6:$E$65,MATCH(C803,Crops!$B$6:$B$65,0)),0)))</f>
        <v/>
      </c>
      <c r="I803" s="11">
        <f>IF(AND(C803="",E803=""),"",IF(NOT(ISNUMBER(B803)),"Needs a date",IF(C803="","Needs a crop",IF(COUNTIF(Crops!$B$6:$B$65,C803)=0,"Not on Crops",IF(NOT(ISNUMBER(E803)),"Needs the amount",IF(AND(D803&lt;&gt;"",COUNTIF(Beds!$B$6:$B$35,D803)=0),"Not on Beds",""))))))</f>
        <v/>
      </c>
      <c r="J803" s="1">
        <f>IF(ISNUMBER(B803),YEAR(B803),"")</f>
        <v/>
      </c>
      <c r="K803">
        <f>IF(ISNUMBER(B803),YEAR(B803)*100+MONTH(B803),"")</f>
        <v/>
      </c>
      <c r="L803">
        <f>IF(ISNUMBER(B803),INT(B803),0)</f>
        <v/>
      </c>
    </row>
    <row r="804">
      <c r="A804" s="1" t="n"/>
      <c r="B804" s="17" t="n"/>
      <c r="C804" s="18" t="n"/>
      <c r="D804" s="19" t="n"/>
      <c r="E804" s="23" t="n"/>
      <c r="F804" s="21" t="n"/>
      <c r="G804" s="11">
        <f>IF(C804="","",IFERROR(INDEX(Crops!$D$6:$D$65,MATCH(C804,Crops!$B$6:$B$65,0))&amp;"",""))</f>
        <v/>
      </c>
      <c r="H804" s="12">
        <f>IF(OR(C804="",NOT(ISNUMBER(E804))),"",E804*N(IFERROR(INDEX(Crops!$E$6:$E$65,MATCH(C804,Crops!$B$6:$B$65,0)),0)))</f>
        <v/>
      </c>
      <c r="I804" s="11">
        <f>IF(AND(C804="",E804=""),"",IF(NOT(ISNUMBER(B804)),"Needs a date",IF(C804="","Needs a crop",IF(COUNTIF(Crops!$B$6:$B$65,C804)=0,"Not on Crops",IF(NOT(ISNUMBER(E804)),"Needs the amount",IF(AND(D804&lt;&gt;"",COUNTIF(Beds!$B$6:$B$35,D804)=0),"Not on Beds",""))))))</f>
        <v/>
      </c>
      <c r="J804" s="1">
        <f>IF(ISNUMBER(B804),YEAR(B804),"")</f>
        <v/>
      </c>
      <c r="K804">
        <f>IF(ISNUMBER(B804),YEAR(B804)*100+MONTH(B804),"")</f>
        <v/>
      </c>
      <c r="L804">
        <f>IF(ISNUMBER(B804),INT(B804),0)</f>
        <v/>
      </c>
    </row>
    <row r="805">
      <c r="A805" s="1" t="n"/>
      <c r="B805" s="17" t="n"/>
      <c r="C805" s="18" t="n"/>
      <c r="D805" s="19" t="n"/>
      <c r="E805" s="23" t="n"/>
      <c r="F805" s="21" t="n"/>
      <c r="G805" s="11">
        <f>IF(C805="","",IFERROR(INDEX(Crops!$D$6:$D$65,MATCH(C805,Crops!$B$6:$B$65,0))&amp;"",""))</f>
        <v/>
      </c>
      <c r="H805" s="12">
        <f>IF(OR(C805="",NOT(ISNUMBER(E805))),"",E805*N(IFERROR(INDEX(Crops!$E$6:$E$65,MATCH(C805,Crops!$B$6:$B$65,0)),0)))</f>
        <v/>
      </c>
      <c r="I805" s="11">
        <f>IF(AND(C805="",E805=""),"",IF(NOT(ISNUMBER(B805)),"Needs a date",IF(C805="","Needs a crop",IF(COUNTIF(Crops!$B$6:$B$65,C805)=0,"Not on Crops",IF(NOT(ISNUMBER(E805)),"Needs the amount",IF(AND(D805&lt;&gt;"",COUNTIF(Beds!$B$6:$B$35,D805)=0),"Not on Beds",""))))))</f>
        <v/>
      </c>
      <c r="J805" s="1">
        <f>IF(ISNUMBER(B805),YEAR(B805),"")</f>
        <v/>
      </c>
      <c r="K805">
        <f>IF(ISNUMBER(B805),YEAR(B805)*100+MONTH(B805),"")</f>
        <v/>
      </c>
      <c r="L805">
        <f>IF(ISNUMBER(B805),INT(B805),0)</f>
        <v/>
      </c>
    </row>
    <row r="806">
      <c r="A806" s="1" t="n"/>
      <c r="B806" s="17" t="n"/>
      <c r="C806" s="18" t="n"/>
      <c r="D806" s="19" t="n"/>
      <c r="E806" s="23" t="n"/>
      <c r="F806" s="21" t="n"/>
      <c r="G806" s="11">
        <f>IF(C806="","",IFERROR(INDEX(Crops!$D$6:$D$65,MATCH(C806,Crops!$B$6:$B$65,0))&amp;"",""))</f>
        <v/>
      </c>
      <c r="H806" s="12">
        <f>IF(OR(C806="",NOT(ISNUMBER(E806))),"",E806*N(IFERROR(INDEX(Crops!$E$6:$E$65,MATCH(C806,Crops!$B$6:$B$65,0)),0)))</f>
        <v/>
      </c>
      <c r="I806" s="11">
        <f>IF(AND(C806="",E806=""),"",IF(NOT(ISNUMBER(B806)),"Needs a date",IF(C806="","Needs a crop",IF(COUNTIF(Crops!$B$6:$B$65,C806)=0,"Not on Crops",IF(NOT(ISNUMBER(E806)),"Needs the amount",IF(AND(D806&lt;&gt;"",COUNTIF(Beds!$B$6:$B$35,D806)=0),"Not on Beds",""))))))</f>
        <v/>
      </c>
      <c r="J806" s="1">
        <f>IF(ISNUMBER(B806),YEAR(B806),"")</f>
        <v/>
      </c>
      <c r="K806">
        <f>IF(ISNUMBER(B806),YEAR(B806)*100+MONTH(B806),"")</f>
        <v/>
      </c>
      <c r="L806">
        <f>IF(ISNUMBER(B806),INT(B806),0)</f>
        <v/>
      </c>
    </row>
    <row r="807">
      <c r="A807" s="1" t="n"/>
      <c r="B807" s="17" t="n"/>
      <c r="C807" s="18" t="n"/>
      <c r="D807" s="19" t="n"/>
      <c r="E807" s="23" t="n"/>
      <c r="F807" s="21" t="n"/>
      <c r="G807" s="11">
        <f>IF(C807="","",IFERROR(INDEX(Crops!$D$6:$D$65,MATCH(C807,Crops!$B$6:$B$65,0))&amp;"",""))</f>
        <v/>
      </c>
      <c r="H807" s="12">
        <f>IF(OR(C807="",NOT(ISNUMBER(E807))),"",E807*N(IFERROR(INDEX(Crops!$E$6:$E$65,MATCH(C807,Crops!$B$6:$B$65,0)),0)))</f>
        <v/>
      </c>
      <c r="I807" s="11">
        <f>IF(AND(C807="",E807=""),"",IF(NOT(ISNUMBER(B807)),"Needs a date",IF(C807="","Needs a crop",IF(COUNTIF(Crops!$B$6:$B$65,C807)=0,"Not on Crops",IF(NOT(ISNUMBER(E807)),"Needs the amount",IF(AND(D807&lt;&gt;"",COUNTIF(Beds!$B$6:$B$35,D807)=0),"Not on Beds",""))))))</f>
        <v/>
      </c>
      <c r="J807" s="1">
        <f>IF(ISNUMBER(B807),YEAR(B807),"")</f>
        <v/>
      </c>
      <c r="K807">
        <f>IF(ISNUMBER(B807),YEAR(B807)*100+MONTH(B807),"")</f>
        <v/>
      </c>
      <c r="L807">
        <f>IF(ISNUMBER(B807),INT(B807),0)</f>
        <v/>
      </c>
    </row>
    <row r="808">
      <c r="A808" s="1" t="n"/>
      <c r="B808" s="17" t="n"/>
      <c r="C808" s="18" t="n"/>
      <c r="D808" s="19" t="n"/>
      <c r="E808" s="23" t="n"/>
      <c r="F808" s="21" t="n"/>
      <c r="G808" s="11">
        <f>IF(C808="","",IFERROR(INDEX(Crops!$D$6:$D$65,MATCH(C808,Crops!$B$6:$B$65,0))&amp;"",""))</f>
        <v/>
      </c>
      <c r="H808" s="12">
        <f>IF(OR(C808="",NOT(ISNUMBER(E808))),"",E808*N(IFERROR(INDEX(Crops!$E$6:$E$65,MATCH(C808,Crops!$B$6:$B$65,0)),0)))</f>
        <v/>
      </c>
      <c r="I808" s="11">
        <f>IF(AND(C808="",E808=""),"",IF(NOT(ISNUMBER(B808)),"Needs a date",IF(C808="","Needs a crop",IF(COUNTIF(Crops!$B$6:$B$65,C808)=0,"Not on Crops",IF(NOT(ISNUMBER(E808)),"Needs the amount",IF(AND(D808&lt;&gt;"",COUNTIF(Beds!$B$6:$B$35,D808)=0),"Not on Beds",""))))))</f>
        <v/>
      </c>
      <c r="J808" s="1">
        <f>IF(ISNUMBER(B808),YEAR(B808),"")</f>
        <v/>
      </c>
      <c r="K808">
        <f>IF(ISNUMBER(B808),YEAR(B808)*100+MONTH(B808),"")</f>
        <v/>
      </c>
      <c r="L808">
        <f>IF(ISNUMBER(B808),INT(B808),0)</f>
        <v/>
      </c>
    </row>
    <row r="809">
      <c r="A809" s="1" t="n"/>
      <c r="B809" s="17" t="n"/>
      <c r="C809" s="18" t="n"/>
      <c r="D809" s="19" t="n"/>
      <c r="E809" s="23" t="n"/>
      <c r="F809" s="21" t="n"/>
      <c r="G809" s="11">
        <f>IF(C809="","",IFERROR(INDEX(Crops!$D$6:$D$65,MATCH(C809,Crops!$B$6:$B$65,0))&amp;"",""))</f>
        <v/>
      </c>
      <c r="H809" s="12">
        <f>IF(OR(C809="",NOT(ISNUMBER(E809))),"",E809*N(IFERROR(INDEX(Crops!$E$6:$E$65,MATCH(C809,Crops!$B$6:$B$65,0)),0)))</f>
        <v/>
      </c>
      <c r="I809" s="11">
        <f>IF(AND(C809="",E809=""),"",IF(NOT(ISNUMBER(B809)),"Needs a date",IF(C809="","Needs a crop",IF(COUNTIF(Crops!$B$6:$B$65,C809)=0,"Not on Crops",IF(NOT(ISNUMBER(E809)),"Needs the amount",IF(AND(D809&lt;&gt;"",COUNTIF(Beds!$B$6:$B$35,D809)=0),"Not on Beds",""))))))</f>
        <v/>
      </c>
      <c r="J809" s="1">
        <f>IF(ISNUMBER(B809),YEAR(B809),"")</f>
        <v/>
      </c>
      <c r="K809">
        <f>IF(ISNUMBER(B809),YEAR(B809)*100+MONTH(B809),"")</f>
        <v/>
      </c>
      <c r="L809">
        <f>IF(ISNUMBER(B809),INT(B809),0)</f>
        <v/>
      </c>
    </row>
    <row r="810">
      <c r="A810" s="1" t="n"/>
      <c r="B810" s="17" t="n"/>
      <c r="C810" s="18" t="n"/>
      <c r="D810" s="19" t="n"/>
      <c r="E810" s="23" t="n"/>
      <c r="F810" s="21" t="n"/>
      <c r="G810" s="11">
        <f>IF(C810="","",IFERROR(INDEX(Crops!$D$6:$D$65,MATCH(C810,Crops!$B$6:$B$65,0))&amp;"",""))</f>
        <v/>
      </c>
      <c r="H810" s="12">
        <f>IF(OR(C810="",NOT(ISNUMBER(E810))),"",E810*N(IFERROR(INDEX(Crops!$E$6:$E$65,MATCH(C810,Crops!$B$6:$B$65,0)),0)))</f>
        <v/>
      </c>
      <c r="I810" s="11">
        <f>IF(AND(C810="",E810=""),"",IF(NOT(ISNUMBER(B810)),"Needs a date",IF(C810="","Needs a crop",IF(COUNTIF(Crops!$B$6:$B$65,C810)=0,"Not on Crops",IF(NOT(ISNUMBER(E810)),"Needs the amount",IF(AND(D810&lt;&gt;"",COUNTIF(Beds!$B$6:$B$35,D810)=0),"Not on Beds",""))))))</f>
        <v/>
      </c>
      <c r="J810" s="1">
        <f>IF(ISNUMBER(B810),YEAR(B810),"")</f>
        <v/>
      </c>
      <c r="K810">
        <f>IF(ISNUMBER(B810),YEAR(B810)*100+MONTH(B810),"")</f>
        <v/>
      </c>
      <c r="L810">
        <f>IF(ISNUMBER(B810),INT(B810),0)</f>
        <v/>
      </c>
    </row>
    <row r="811">
      <c r="A811" s="1" t="n"/>
      <c r="B811" s="17" t="n"/>
      <c r="C811" s="18" t="n"/>
      <c r="D811" s="19" t="n"/>
      <c r="E811" s="23" t="n"/>
      <c r="F811" s="21" t="n"/>
      <c r="G811" s="11">
        <f>IF(C811="","",IFERROR(INDEX(Crops!$D$6:$D$65,MATCH(C811,Crops!$B$6:$B$65,0))&amp;"",""))</f>
        <v/>
      </c>
      <c r="H811" s="12">
        <f>IF(OR(C811="",NOT(ISNUMBER(E811))),"",E811*N(IFERROR(INDEX(Crops!$E$6:$E$65,MATCH(C811,Crops!$B$6:$B$65,0)),0)))</f>
        <v/>
      </c>
      <c r="I811" s="11">
        <f>IF(AND(C811="",E811=""),"",IF(NOT(ISNUMBER(B811)),"Needs a date",IF(C811="","Needs a crop",IF(COUNTIF(Crops!$B$6:$B$65,C811)=0,"Not on Crops",IF(NOT(ISNUMBER(E811)),"Needs the amount",IF(AND(D811&lt;&gt;"",COUNTIF(Beds!$B$6:$B$35,D811)=0),"Not on Beds",""))))))</f>
        <v/>
      </c>
      <c r="J811" s="1">
        <f>IF(ISNUMBER(B811),YEAR(B811),"")</f>
        <v/>
      </c>
      <c r="K811">
        <f>IF(ISNUMBER(B811),YEAR(B811)*100+MONTH(B811),"")</f>
        <v/>
      </c>
      <c r="L811">
        <f>IF(ISNUMBER(B811),INT(B811),0)</f>
        <v/>
      </c>
    </row>
    <row r="812">
      <c r="A812" s="1" t="n"/>
      <c r="B812" s="17" t="n"/>
      <c r="C812" s="18" t="n"/>
      <c r="D812" s="19" t="n"/>
      <c r="E812" s="23" t="n"/>
      <c r="F812" s="21" t="n"/>
      <c r="G812" s="11">
        <f>IF(C812="","",IFERROR(INDEX(Crops!$D$6:$D$65,MATCH(C812,Crops!$B$6:$B$65,0))&amp;"",""))</f>
        <v/>
      </c>
      <c r="H812" s="12">
        <f>IF(OR(C812="",NOT(ISNUMBER(E812))),"",E812*N(IFERROR(INDEX(Crops!$E$6:$E$65,MATCH(C812,Crops!$B$6:$B$65,0)),0)))</f>
        <v/>
      </c>
      <c r="I812" s="11">
        <f>IF(AND(C812="",E812=""),"",IF(NOT(ISNUMBER(B812)),"Needs a date",IF(C812="","Needs a crop",IF(COUNTIF(Crops!$B$6:$B$65,C812)=0,"Not on Crops",IF(NOT(ISNUMBER(E812)),"Needs the amount",IF(AND(D812&lt;&gt;"",COUNTIF(Beds!$B$6:$B$35,D812)=0),"Not on Beds",""))))))</f>
        <v/>
      </c>
      <c r="J812" s="1">
        <f>IF(ISNUMBER(B812),YEAR(B812),"")</f>
        <v/>
      </c>
      <c r="K812">
        <f>IF(ISNUMBER(B812),YEAR(B812)*100+MONTH(B812),"")</f>
        <v/>
      </c>
      <c r="L812">
        <f>IF(ISNUMBER(B812),INT(B812),0)</f>
        <v/>
      </c>
    </row>
    <row r="813">
      <c r="A813" s="1" t="n"/>
      <c r="B813" s="17" t="n"/>
      <c r="C813" s="18" t="n"/>
      <c r="D813" s="19" t="n"/>
      <c r="E813" s="23" t="n"/>
      <c r="F813" s="21" t="n"/>
      <c r="G813" s="11">
        <f>IF(C813="","",IFERROR(INDEX(Crops!$D$6:$D$65,MATCH(C813,Crops!$B$6:$B$65,0))&amp;"",""))</f>
        <v/>
      </c>
      <c r="H813" s="12">
        <f>IF(OR(C813="",NOT(ISNUMBER(E813))),"",E813*N(IFERROR(INDEX(Crops!$E$6:$E$65,MATCH(C813,Crops!$B$6:$B$65,0)),0)))</f>
        <v/>
      </c>
      <c r="I813" s="11">
        <f>IF(AND(C813="",E813=""),"",IF(NOT(ISNUMBER(B813)),"Needs a date",IF(C813="","Needs a crop",IF(COUNTIF(Crops!$B$6:$B$65,C813)=0,"Not on Crops",IF(NOT(ISNUMBER(E813)),"Needs the amount",IF(AND(D813&lt;&gt;"",COUNTIF(Beds!$B$6:$B$35,D813)=0),"Not on Beds",""))))))</f>
        <v/>
      </c>
      <c r="J813" s="1">
        <f>IF(ISNUMBER(B813),YEAR(B813),"")</f>
        <v/>
      </c>
      <c r="K813">
        <f>IF(ISNUMBER(B813),YEAR(B813)*100+MONTH(B813),"")</f>
        <v/>
      </c>
      <c r="L813">
        <f>IF(ISNUMBER(B813),INT(B813),0)</f>
        <v/>
      </c>
    </row>
    <row r="814">
      <c r="A814" s="1" t="n"/>
      <c r="B814" s="17" t="n"/>
      <c r="C814" s="18" t="n"/>
      <c r="D814" s="19" t="n"/>
      <c r="E814" s="23" t="n"/>
      <c r="F814" s="21" t="n"/>
      <c r="G814" s="11">
        <f>IF(C814="","",IFERROR(INDEX(Crops!$D$6:$D$65,MATCH(C814,Crops!$B$6:$B$65,0))&amp;"",""))</f>
        <v/>
      </c>
      <c r="H814" s="12">
        <f>IF(OR(C814="",NOT(ISNUMBER(E814))),"",E814*N(IFERROR(INDEX(Crops!$E$6:$E$65,MATCH(C814,Crops!$B$6:$B$65,0)),0)))</f>
        <v/>
      </c>
      <c r="I814" s="11">
        <f>IF(AND(C814="",E814=""),"",IF(NOT(ISNUMBER(B814)),"Needs a date",IF(C814="","Needs a crop",IF(COUNTIF(Crops!$B$6:$B$65,C814)=0,"Not on Crops",IF(NOT(ISNUMBER(E814)),"Needs the amount",IF(AND(D814&lt;&gt;"",COUNTIF(Beds!$B$6:$B$35,D814)=0),"Not on Beds",""))))))</f>
        <v/>
      </c>
      <c r="J814" s="1">
        <f>IF(ISNUMBER(B814),YEAR(B814),"")</f>
        <v/>
      </c>
      <c r="K814">
        <f>IF(ISNUMBER(B814),YEAR(B814)*100+MONTH(B814),"")</f>
        <v/>
      </c>
      <c r="L814">
        <f>IF(ISNUMBER(B814),INT(B814),0)</f>
        <v/>
      </c>
    </row>
    <row r="815">
      <c r="A815" s="1" t="n"/>
      <c r="B815" s="17" t="n"/>
      <c r="C815" s="18" t="n"/>
      <c r="D815" s="19" t="n"/>
      <c r="E815" s="23" t="n"/>
      <c r="F815" s="21" t="n"/>
      <c r="G815" s="11">
        <f>IF(C815="","",IFERROR(INDEX(Crops!$D$6:$D$65,MATCH(C815,Crops!$B$6:$B$65,0))&amp;"",""))</f>
        <v/>
      </c>
      <c r="H815" s="12">
        <f>IF(OR(C815="",NOT(ISNUMBER(E815))),"",E815*N(IFERROR(INDEX(Crops!$E$6:$E$65,MATCH(C815,Crops!$B$6:$B$65,0)),0)))</f>
        <v/>
      </c>
      <c r="I815" s="11">
        <f>IF(AND(C815="",E815=""),"",IF(NOT(ISNUMBER(B815)),"Needs a date",IF(C815="","Needs a crop",IF(COUNTIF(Crops!$B$6:$B$65,C815)=0,"Not on Crops",IF(NOT(ISNUMBER(E815)),"Needs the amount",IF(AND(D815&lt;&gt;"",COUNTIF(Beds!$B$6:$B$35,D815)=0),"Not on Beds",""))))))</f>
        <v/>
      </c>
      <c r="J815" s="1">
        <f>IF(ISNUMBER(B815),YEAR(B815),"")</f>
        <v/>
      </c>
      <c r="K815">
        <f>IF(ISNUMBER(B815),YEAR(B815)*100+MONTH(B815),"")</f>
        <v/>
      </c>
      <c r="L815">
        <f>IF(ISNUMBER(B815),INT(B815),0)</f>
        <v/>
      </c>
    </row>
    <row r="816">
      <c r="A816" s="1" t="n"/>
      <c r="B816" s="17" t="n"/>
      <c r="C816" s="18" t="n"/>
      <c r="D816" s="19" t="n"/>
      <c r="E816" s="23" t="n"/>
      <c r="F816" s="21" t="n"/>
      <c r="G816" s="11">
        <f>IF(C816="","",IFERROR(INDEX(Crops!$D$6:$D$65,MATCH(C816,Crops!$B$6:$B$65,0))&amp;"",""))</f>
        <v/>
      </c>
      <c r="H816" s="12">
        <f>IF(OR(C816="",NOT(ISNUMBER(E816))),"",E816*N(IFERROR(INDEX(Crops!$E$6:$E$65,MATCH(C816,Crops!$B$6:$B$65,0)),0)))</f>
        <v/>
      </c>
      <c r="I816" s="11">
        <f>IF(AND(C816="",E816=""),"",IF(NOT(ISNUMBER(B816)),"Needs a date",IF(C816="","Needs a crop",IF(COUNTIF(Crops!$B$6:$B$65,C816)=0,"Not on Crops",IF(NOT(ISNUMBER(E816)),"Needs the amount",IF(AND(D816&lt;&gt;"",COUNTIF(Beds!$B$6:$B$35,D816)=0),"Not on Beds",""))))))</f>
        <v/>
      </c>
      <c r="J816" s="1">
        <f>IF(ISNUMBER(B816),YEAR(B816),"")</f>
        <v/>
      </c>
      <c r="K816">
        <f>IF(ISNUMBER(B816),YEAR(B816)*100+MONTH(B816),"")</f>
        <v/>
      </c>
      <c r="L816">
        <f>IF(ISNUMBER(B816),INT(B816),0)</f>
        <v/>
      </c>
    </row>
    <row r="817">
      <c r="A817" s="1" t="n"/>
      <c r="B817" s="17" t="n"/>
      <c r="C817" s="18" t="n"/>
      <c r="D817" s="19" t="n"/>
      <c r="E817" s="23" t="n"/>
      <c r="F817" s="21" t="n"/>
      <c r="G817" s="11">
        <f>IF(C817="","",IFERROR(INDEX(Crops!$D$6:$D$65,MATCH(C817,Crops!$B$6:$B$65,0))&amp;"",""))</f>
        <v/>
      </c>
      <c r="H817" s="12">
        <f>IF(OR(C817="",NOT(ISNUMBER(E817))),"",E817*N(IFERROR(INDEX(Crops!$E$6:$E$65,MATCH(C817,Crops!$B$6:$B$65,0)),0)))</f>
        <v/>
      </c>
      <c r="I817" s="11">
        <f>IF(AND(C817="",E817=""),"",IF(NOT(ISNUMBER(B817)),"Needs a date",IF(C817="","Needs a crop",IF(COUNTIF(Crops!$B$6:$B$65,C817)=0,"Not on Crops",IF(NOT(ISNUMBER(E817)),"Needs the amount",IF(AND(D817&lt;&gt;"",COUNTIF(Beds!$B$6:$B$35,D817)=0),"Not on Beds",""))))))</f>
        <v/>
      </c>
      <c r="J817" s="1">
        <f>IF(ISNUMBER(B817),YEAR(B817),"")</f>
        <v/>
      </c>
      <c r="K817">
        <f>IF(ISNUMBER(B817),YEAR(B817)*100+MONTH(B817),"")</f>
        <v/>
      </c>
      <c r="L817">
        <f>IF(ISNUMBER(B817),INT(B817),0)</f>
        <v/>
      </c>
    </row>
    <row r="818">
      <c r="A818" s="1" t="n"/>
      <c r="B818" s="17" t="n"/>
      <c r="C818" s="18" t="n"/>
      <c r="D818" s="19" t="n"/>
      <c r="E818" s="23" t="n"/>
      <c r="F818" s="21" t="n"/>
      <c r="G818" s="11">
        <f>IF(C818="","",IFERROR(INDEX(Crops!$D$6:$D$65,MATCH(C818,Crops!$B$6:$B$65,0))&amp;"",""))</f>
        <v/>
      </c>
      <c r="H818" s="12">
        <f>IF(OR(C818="",NOT(ISNUMBER(E818))),"",E818*N(IFERROR(INDEX(Crops!$E$6:$E$65,MATCH(C818,Crops!$B$6:$B$65,0)),0)))</f>
        <v/>
      </c>
      <c r="I818" s="11">
        <f>IF(AND(C818="",E818=""),"",IF(NOT(ISNUMBER(B818)),"Needs a date",IF(C818="","Needs a crop",IF(COUNTIF(Crops!$B$6:$B$65,C818)=0,"Not on Crops",IF(NOT(ISNUMBER(E818)),"Needs the amount",IF(AND(D818&lt;&gt;"",COUNTIF(Beds!$B$6:$B$35,D818)=0),"Not on Beds",""))))))</f>
        <v/>
      </c>
      <c r="J818" s="1">
        <f>IF(ISNUMBER(B818),YEAR(B818),"")</f>
        <v/>
      </c>
      <c r="K818">
        <f>IF(ISNUMBER(B818),YEAR(B818)*100+MONTH(B818),"")</f>
        <v/>
      </c>
      <c r="L818">
        <f>IF(ISNUMBER(B818),INT(B818),0)</f>
        <v/>
      </c>
    </row>
    <row r="819">
      <c r="A819" s="1" t="n"/>
      <c r="B819" s="17" t="n"/>
      <c r="C819" s="18" t="n"/>
      <c r="D819" s="19" t="n"/>
      <c r="E819" s="23" t="n"/>
      <c r="F819" s="21" t="n"/>
      <c r="G819" s="11">
        <f>IF(C819="","",IFERROR(INDEX(Crops!$D$6:$D$65,MATCH(C819,Crops!$B$6:$B$65,0))&amp;"",""))</f>
        <v/>
      </c>
      <c r="H819" s="12">
        <f>IF(OR(C819="",NOT(ISNUMBER(E819))),"",E819*N(IFERROR(INDEX(Crops!$E$6:$E$65,MATCH(C819,Crops!$B$6:$B$65,0)),0)))</f>
        <v/>
      </c>
      <c r="I819" s="11">
        <f>IF(AND(C819="",E819=""),"",IF(NOT(ISNUMBER(B819)),"Needs a date",IF(C819="","Needs a crop",IF(COUNTIF(Crops!$B$6:$B$65,C819)=0,"Not on Crops",IF(NOT(ISNUMBER(E819)),"Needs the amount",IF(AND(D819&lt;&gt;"",COUNTIF(Beds!$B$6:$B$35,D819)=0),"Not on Beds",""))))))</f>
        <v/>
      </c>
      <c r="J819" s="1">
        <f>IF(ISNUMBER(B819),YEAR(B819),"")</f>
        <v/>
      </c>
      <c r="K819">
        <f>IF(ISNUMBER(B819),YEAR(B819)*100+MONTH(B819),"")</f>
        <v/>
      </c>
      <c r="L819">
        <f>IF(ISNUMBER(B819),INT(B819),0)</f>
        <v/>
      </c>
    </row>
    <row r="820">
      <c r="A820" s="1" t="n"/>
      <c r="B820" s="17" t="n"/>
      <c r="C820" s="18" t="n"/>
      <c r="D820" s="19" t="n"/>
      <c r="E820" s="23" t="n"/>
      <c r="F820" s="21" t="n"/>
      <c r="G820" s="11">
        <f>IF(C820="","",IFERROR(INDEX(Crops!$D$6:$D$65,MATCH(C820,Crops!$B$6:$B$65,0))&amp;"",""))</f>
        <v/>
      </c>
      <c r="H820" s="12">
        <f>IF(OR(C820="",NOT(ISNUMBER(E820))),"",E820*N(IFERROR(INDEX(Crops!$E$6:$E$65,MATCH(C820,Crops!$B$6:$B$65,0)),0)))</f>
        <v/>
      </c>
      <c r="I820" s="11">
        <f>IF(AND(C820="",E820=""),"",IF(NOT(ISNUMBER(B820)),"Needs a date",IF(C820="","Needs a crop",IF(COUNTIF(Crops!$B$6:$B$65,C820)=0,"Not on Crops",IF(NOT(ISNUMBER(E820)),"Needs the amount",IF(AND(D820&lt;&gt;"",COUNTIF(Beds!$B$6:$B$35,D820)=0),"Not on Beds",""))))))</f>
        <v/>
      </c>
      <c r="J820" s="1">
        <f>IF(ISNUMBER(B820),YEAR(B820),"")</f>
        <v/>
      </c>
      <c r="K820">
        <f>IF(ISNUMBER(B820),YEAR(B820)*100+MONTH(B820),"")</f>
        <v/>
      </c>
      <c r="L820">
        <f>IF(ISNUMBER(B820),INT(B820),0)</f>
        <v/>
      </c>
    </row>
    <row r="821">
      <c r="A821" s="1" t="n"/>
      <c r="B821" s="17" t="n"/>
      <c r="C821" s="18" t="n"/>
      <c r="D821" s="19" t="n"/>
      <c r="E821" s="23" t="n"/>
      <c r="F821" s="21" t="n"/>
      <c r="G821" s="11">
        <f>IF(C821="","",IFERROR(INDEX(Crops!$D$6:$D$65,MATCH(C821,Crops!$B$6:$B$65,0))&amp;"",""))</f>
        <v/>
      </c>
      <c r="H821" s="12">
        <f>IF(OR(C821="",NOT(ISNUMBER(E821))),"",E821*N(IFERROR(INDEX(Crops!$E$6:$E$65,MATCH(C821,Crops!$B$6:$B$65,0)),0)))</f>
        <v/>
      </c>
      <c r="I821" s="11">
        <f>IF(AND(C821="",E821=""),"",IF(NOT(ISNUMBER(B821)),"Needs a date",IF(C821="","Needs a crop",IF(COUNTIF(Crops!$B$6:$B$65,C821)=0,"Not on Crops",IF(NOT(ISNUMBER(E821)),"Needs the amount",IF(AND(D821&lt;&gt;"",COUNTIF(Beds!$B$6:$B$35,D821)=0),"Not on Beds",""))))))</f>
        <v/>
      </c>
      <c r="J821" s="1">
        <f>IF(ISNUMBER(B821),YEAR(B821),"")</f>
        <v/>
      </c>
      <c r="K821">
        <f>IF(ISNUMBER(B821),YEAR(B821)*100+MONTH(B821),"")</f>
        <v/>
      </c>
      <c r="L821">
        <f>IF(ISNUMBER(B821),INT(B821),0)</f>
        <v/>
      </c>
    </row>
    <row r="822">
      <c r="A822" s="1" t="n"/>
      <c r="B822" s="17" t="n"/>
      <c r="C822" s="18" t="n"/>
      <c r="D822" s="19" t="n"/>
      <c r="E822" s="23" t="n"/>
      <c r="F822" s="21" t="n"/>
      <c r="G822" s="11">
        <f>IF(C822="","",IFERROR(INDEX(Crops!$D$6:$D$65,MATCH(C822,Crops!$B$6:$B$65,0))&amp;"",""))</f>
        <v/>
      </c>
      <c r="H822" s="12">
        <f>IF(OR(C822="",NOT(ISNUMBER(E822))),"",E822*N(IFERROR(INDEX(Crops!$E$6:$E$65,MATCH(C822,Crops!$B$6:$B$65,0)),0)))</f>
        <v/>
      </c>
      <c r="I822" s="11">
        <f>IF(AND(C822="",E822=""),"",IF(NOT(ISNUMBER(B822)),"Needs a date",IF(C822="","Needs a crop",IF(COUNTIF(Crops!$B$6:$B$65,C822)=0,"Not on Crops",IF(NOT(ISNUMBER(E822)),"Needs the amount",IF(AND(D822&lt;&gt;"",COUNTIF(Beds!$B$6:$B$35,D822)=0),"Not on Beds",""))))))</f>
        <v/>
      </c>
      <c r="J822" s="1">
        <f>IF(ISNUMBER(B822),YEAR(B822),"")</f>
        <v/>
      </c>
      <c r="K822">
        <f>IF(ISNUMBER(B822),YEAR(B822)*100+MONTH(B822),"")</f>
        <v/>
      </c>
      <c r="L822">
        <f>IF(ISNUMBER(B822),INT(B822),0)</f>
        <v/>
      </c>
    </row>
    <row r="823">
      <c r="A823" s="1" t="n"/>
      <c r="B823" s="17" t="n"/>
      <c r="C823" s="18" t="n"/>
      <c r="D823" s="19" t="n"/>
      <c r="E823" s="23" t="n"/>
      <c r="F823" s="21" t="n"/>
      <c r="G823" s="11">
        <f>IF(C823="","",IFERROR(INDEX(Crops!$D$6:$D$65,MATCH(C823,Crops!$B$6:$B$65,0))&amp;"",""))</f>
        <v/>
      </c>
      <c r="H823" s="12">
        <f>IF(OR(C823="",NOT(ISNUMBER(E823))),"",E823*N(IFERROR(INDEX(Crops!$E$6:$E$65,MATCH(C823,Crops!$B$6:$B$65,0)),0)))</f>
        <v/>
      </c>
      <c r="I823" s="11">
        <f>IF(AND(C823="",E823=""),"",IF(NOT(ISNUMBER(B823)),"Needs a date",IF(C823="","Needs a crop",IF(COUNTIF(Crops!$B$6:$B$65,C823)=0,"Not on Crops",IF(NOT(ISNUMBER(E823)),"Needs the amount",IF(AND(D823&lt;&gt;"",COUNTIF(Beds!$B$6:$B$35,D823)=0),"Not on Beds",""))))))</f>
        <v/>
      </c>
      <c r="J823" s="1">
        <f>IF(ISNUMBER(B823),YEAR(B823),"")</f>
        <v/>
      </c>
      <c r="K823">
        <f>IF(ISNUMBER(B823),YEAR(B823)*100+MONTH(B823),"")</f>
        <v/>
      </c>
      <c r="L823">
        <f>IF(ISNUMBER(B823),INT(B823),0)</f>
        <v/>
      </c>
    </row>
    <row r="824">
      <c r="A824" s="1" t="n"/>
      <c r="B824" s="17" t="n"/>
      <c r="C824" s="18" t="n"/>
      <c r="D824" s="19" t="n"/>
      <c r="E824" s="23" t="n"/>
      <c r="F824" s="21" t="n"/>
      <c r="G824" s="11">
        <f>IF(C824="","",IFERROR(INDEX(Crops!$D$6:$D$65,MATCH(C824,Crops!$B$6:$B$65,0))&amp;"",""))</f>
        <v/>
      </c>
      <c r="H824" s="12">
        <f>IF(OR(C824="",NOT(ISNUMBER(E824))),"",E824*N(IFERROR(INDEX(Crops!$E$6:$E$65,MATCH(C824,Crops!$B$6:$B$65,0)),0)))</f>
        <v/>
      </c>
      <c r="I824" s="11">
        <f>IF(AND(C824="",E824=""),"",IF(NOT(ISNUMBER(B824)),"Needs a date",IF(C824="","Needs a crop",IF(COUNTIF(Crops!$B$6:$B$65,C824)=0,"Not on Crops",IF(NOT(ISNUMBER(E824)),"Needs the amount",IF(AND(D824&lt;&gt;"",COUNTIF(Beds!$B$6:$B$35,D824)=0),"Not on Beds",""))))))</f>
        <v/>
      </c>
      <c r="J824" s="1">
        <f>IF(ISNUMBER(B824),YEAR(B824),"")</f>
        <v/>
      </c>
      <c r="K824">
        <f>IF(ISNUMBER(B824),YEAR(B824)*100+MONTH(B824),"")</f>
        <v/>
      </c>
      <c r="L824">
        <f>IF(ISNUMBER(B824),INT(B824),0)</f>
        <v/>
      </c>
    </row>
    <row r="825">
      <c r="A825" s="1" t="n"/>
      <c r="B825" s="17" t="n"/>
      <c r="C825" s="18" t="n"/>
      <c r="D825" s="19" t="n"/>
      <c r="E825" s="23" t="n"/>
      <c r="F825" s="21" t="n"/>
      <c r="G825" s="11">
        <f>IF(C825="","",IFERROR(INDEX(Crops!$D$6:$D$65,MATCH(C825,Crops!$B$6:$B$65,0))&amp;"",""))</f>
        <v/>
      </c>
      <c r="H825" s="12">
        <f>IF(OR(C825="",NOT(ISNUMBER(E825))),"",E825*N(IFERROR(INDEX(Crops!$E$6:$E$65,MATCH(C825,Crops!$B$6:$B$65,0)),0)))</f>
        <v/>
      </c>
      <c r="I825" s="11">
        <f>IF(AND(C825="",E825=""),"",IF(NOT(ISNUMBER(B825)),"Needs a date",IF(C825="","Needs a crop",IF(COUNTIF(Crops!$B$6:$B$65,C825)=0,"Not on Crops",IF(NOT(ISNUMBER(E825)),"Needs the amount",IF(AND(D825&lt;&gt;"",COUNTIF(Beds!$B$6:$B$35,D825)=0),"Not on Beds",""))))))</f>
        <v/>
      </c>
      <c r="J825" s="1">
        <f>IF(ISNUMBER(B825),YEAR(B825),"")</f>
        <v/>
      </c>
      <c r="K825">
        <f>IF(ISNUMBER(B825),YEAR(B825)*100+MONTH(B825),"")</f>
        <v/>
      </c>
      <c r="L825">
        <f>IF(ISNUMBER(B825),INT(B825),0)</f>
        <v/>
      </c>
    </row>
    <row r="826">
      <c r="A826" s="1" t="n"/>
      <c r="B826" s="17" t="n"/>
      <c r="C826" s="18" t="n"/>
      <c r="D826" s="19" t="n"/>
      <c r="E826" s="23" t="n"/>
      <c r="F826" s="21" t="n"/>
      <c r="G826" s="11">
        <f>IF(C826="","",IFERROR(INDEX(Crops!$D$6:$D$65,MATCH(C826,Crops!$B$6:$B$65,0))&amp;"",""))</f>
        <v/>
      </c>
      <c r="H826" s="12">
        <f>IF(OR(C826="",NOT(ISNUMBER(E826))),"",E826*N(IFERROR(INDEX(Crops!$E$6:$E$65,MATCH(C826,Crops!$B$6:$B$65,0)),0)))</f>
        <v/>
      </c>
      <c r="I826" s="11">
        <f>IF(AND(C826="",E826=""),"",IF(NOT(ISNUMBER(B826)),"Needs a date",IF(C826="","Needs a crop",IF(COUNTIF(Crops!$B$6:$B$65,C826)=0,"Not on Crops",IF(NOT(ISNUMBER(E826)),"Needs the amount",IF(AND(D826&lt;&gt;"",COUNTIF(Beds!$B$6:$B$35,D826)=0),"Not on Beds",""))))))</f>
        <v/>
      </c>
      <c r="J826" s="1">
        <f>IF(ISNUMBER(B826),YEAR(B826),"")</f>
        <v/>
      </c>
      <c r="K826">
        <f>IF(ISNUMBER(B826),YEAR(B826)*100+MONTH(B826),"")</f>
        <v/>
      </c>
      <c r="L826">
        <f>IF(ISNUMBER(B826),INT(B826),0)</f>
        <v/>
      </c>
    </row>
    <row r="827">
      <c r="A827" s="1" t="n"/>
      <c r="B827" s="17" t="n"/>
      <c r="C827" s="18" t="n"/>
      <c r="D827" s="19" t="n"/>
      <c r="E827" s="23" t="n"/>
      <c r="F827" s="21" t="n"/>
      <c r="G827" s="11">
        <f>IF(C827="","",IFERROR(INDEX(Crops!$D$6:$D$65,MATCH(C827,Crops!$B$6:$B$65,0))&amp;"",""))</f>
        <v/>
      </c>
      <c r="H827" s="12">
        <f>IF(OR(C827="",NOT(ISNUMBER(E827))),"",E827*N(IFERROR(INDEX(Crops!$E$6:$E$65,MATCH(C827,Crops!$B$6:$B$65,0)),0)))</f>
        <v/>
      </c>
      <c r="I827" s="11">
        <f>IF(AND(C827="",E827=""),"",IF(NOT(ISNUMBER(B827)),"Needs a date",IF(C827="","Needs a crop",IF(COUNTIF(Crops!$B$6:$B$65,C827)=0,"Not on Crops",IF(NOT(ISNUMBER(E827)),"Needs the amount",IF(AND(D827&lt;&gt;"",COUNTIF(Beds!$B$6:$B$35,D827)=0),"Not on Beds",""))))))</f>
        <v/>
      </c>
      <c r="J827" s="1">
        <f>IF(ISNUMBER(B827),YEAR(B827),"")</f>
        <v/>
      </c>
      <c r="K827">
        <f>IF(ISNUMBER(B827),YEAR(B827)*100+MONTH(B827),"")</f>
        <v/>
      </c>
      <c r="L827">
        <f>IF(ISNUMBER(B827),INT(B827),0)</f>
        <v/>
      </c>
    </row>
    <row r="828">
      <c r="A828" s="1" t="n"/>
      <c r="B828" s="17" t="n"/>
      <c r="C828" s="18" t="n"/>
      <c r="D828" s="19" t="n"/>
      <c r="E828" s="23" t="n"/>
      <c r="F828" s="21" t="n"/>
      <c r="G828" s="11">
        <f>IF(C828="","",IFERROR(INDEX(Crops!$D$6:$D$65,MATCH(C828,Crops!$B$6:$B$65,0))&amp;"",""))</f>
        <v/>
      </c>
      <c r="H828" s="12">
        <f>IF(OR(C828="",NOT(ISNUMBER(E828))),"",E828*N(IFERROR(INDEX(Crops!$E$6:$E$65,MATCH(C828,Crops!$B$6:$B$65,0)),0)))</f>
        <v/>
      </c>
      <c r="I828" s="11">
        <f>IF(AND(C828="",E828=""),"",IF(NOT(ISNUMBER(B828)),"Needs a date",IF(C828="","Needs a crop",IF(COUNTIF(Crops!$B$6:$B$65,C828)=0,"Not on Crops",IF(NOT(ISNUMBER(E828)),"Needs the amount",IF(AND(D828&lt;&gt;"",COUNTIF(Beds!$B$6:$B$35,D828)=0),"Not on Beds",""))))))</f>
        <v/>
      </c>
      <c r="J828" s="1">
        <f>IF(ISNUMBER(B828),YEAR(B828),"")</f>
        <v/>
      </c>
      <c r="K828">
        <f>IF(ISNUMBER(B828),YEAR(B828)*100+MONTH(B828),"")</f>
        <v/>
      </c>
      <c r="L828">
        <f>IF(ISNUMBER(B828),INT(B828),0)</f>
        <v/>
      </c>
    </row>
    <row r="829">
      <c r="A829" s="1" t="n"/>
      <c r="B829" s="17" t="n"/>
      <c r="C829" s="18" t="n"/>
      <c r="D829" s="19" t="n"/>
      <c r="E829" s="23" t="n"/>
      <c r="F829" s="21" t="n"/>
      <c r="G829" s="11">
        <f>IF(C829="","",IFERROR(INDEX(Crops!$D$6:$D$65,MATCH(C829,Crops!$B$6:$B$65,0))&amp;"",""))</f>
        <v/>
      </c>
      <c r="H829" s="12">
        <f>IF(OR(C829="",NOT(ISNUMBER(E829))),"",E829*N(IFERROR(INDEX(Crops!$E$6:$E$65,MATCH(C829,Crops!$B$6:$B$65,0)),0)))</f>
        <v/>
      </c>
      <c r="I829" s="11">
        <f>IF(AND(C829="",E829=""),"",IF(NOT(ISNUMBER(B829)),"Needs a date",IF(C829="","Needs a crop",IF(COUNTIF(Crops!$B$6:$B$65,C829)=0,"Not on Crops",IF(NOT(ISNUMBER(E829)),"Needs the amount",IF(AND(D829&lt;&gt;"",COUNTIF(Beds!$B$6:$B$35,D829)=0),"Not on Beds",""))))))</f>
        <v/>
      </c>
      <c r="J829" s="1">
        <f>IF(ISNUMBER(B829),YEAR(B829),"")</f>
        <v/>
      </c>
      <c r="K829">
        <f>IF(ISNUMBER(B829),YEAR(B829)*100+MONTH(B829),"")</f>
        <v/>
      </c>
      <c r="L829">
        <f>IF(ISNUMBER(B829),INT(B829),0)</f>
        <v/>
      </c>
    </row>
    <row r="830">
      <c r="A830" s="1" t="n"/>
      <c r="B830" s="17" t="n"/>
      <c r="C830" s="18" t="n"/>
      <c r="D830" s="19" t="n"/>
      <c r="E830" s="23" t="n"/>
      <c r="F830" s="21" t="n"/>
      <c r="G830" s="11">
        <f>IF(C830="","",IFERROR(INDEX(Crops!$D$6:$D$65,MATCH(C830,Crops!$B$6:$B$65,0))&amp;"",""))</f>
        <v/>
      </c>
      <c r="H830" s="12">
        <f>IF(OR(C830="",NOT(ISNUMBER(E830))),"",E830*N(IFERROR(INDEX(Crops!$E$6:$E$65,MATCH(C830,Crops!$B$6:$B$65,0)),0)))</f>
        <v/>
      </c>
      <c r="I830" s="11">
        <f>IF(AND(C830="",E830=""),"",IF(NOT(ISNUMBER(B830)),"Needs a date",IF(C830="","Needs a crop",IF(COUNTIF(Crops!$B$6:$B$65,C830)=0,"Not on Crops",IF(NOT(ISNUMBER(E830)),"Needs the amount",IF(AND(D830&lt;&gt;"",COUNTIF(Beds!$B$6:$B$35,D830)=0),"Not on Beds",""))))))</f>
        <v/>
      </c>
      <c r="J830" s="1">
        <f>IF(ISNUMBER(B830),YEAR(B830),"")</f>
        <v/>
      </c>
      <c r="K830">
        <f>IF(ISNUMBER(B830),YEAR(B830)*100+MONTH(B830),"")</f>
        <v/>
      </c>
      <c r="L830">
        <f>IF(ISNUMBER(B830),INT(B830),0)</f>
        <v/>
      </c>
    </row>
    <row r="831">
      <c r="A831" s="1" t="n"/>
      <c r="B831" s="17" t="n"/>
      <c r="C831" s="18" t="n"/>
      <c r="D831" s="19" t="n"/>
      <c r="E831" s="23" t="n"/>
      <c r="F831" s="21" t="n"/>
      <c r="G831" s="11">
        <f>IF(C831="","",IFERROR(INDEX(Crops!$D$6:$D$65,MATCH(C831,Crops!$B$6:$B$65,0))&amp;"",""))</f>
        <v/>
      </c>
      <c r="H831" s="12">
        <f>IF(OR(C831="",NOT(ISNUMBER(E831))),"",E831*N(IFERROR(INDEX(Crops!$E$6:$E$65,MATCH(C831,Crops!$B$6:$B$65,0)),0)))</f>
        <v/>
      </c>
      <c r="I831" s="11">
        <f>IF(AND(C831="",E831=""),"",IF(NOT(ISNUMBER(B831)),"Needs a date",IF(C831="","Needs a crop",IF(COUNTIF(Crops!$B$6:$B$65,C831)=0,"Not on Crops",IF(NOT(ISNUMBER(E831)),"Needs the amount",IF(AND(D831&lt;&gt;"",COUNTIF(Beds!$B$6:$B$35,D831)=0),"Not on Beds",""))))))</f>
        <v/>
      </c>
      <c r="J831" s="1">
        <f>IF(ISNUMBER(B831),YEAR(B831),"")</f>
        <v/>
      </c>
      <c r="K831">
        <f>IF(ISNUMBER(B831),YEAR(B831)*100+MONTH(B831),"")</f>
        <v/>
      </c>
      <c r="L831">
        <f>IF(ISNUMBER(B831),INT(B831),0)</f>
        <v/>
      </c>
    </row>
    <row r="832">
      <c r="A832" s="1" t="n"/>
      <c r="B832" s="17" t="n"/>
      <c r="C832" s="18" t="n"/>
      <c r="D832" s="19" t="n"/>
      <c r="E832" s="23" t="n"/>
      <c r="F832" s="21" t="n"/>
      <c r="G832" s="11">
        <f>IF(C832="","",IFERROR(INDEX(Crops!$D$6:$D$65,MATCH(C832,Crops!$B$6:$B$65,0))&amp;"",""))</f>
        <v/>
      </c>
      <c r="H832" s="12">
        <f>IF(OR(C832="",NOT(ISNUMBER(E832))),"",E832*N(IFERROR(INDEX(Crops!$E$6:$E$65,MATCH(C832,Crops!$B$6:$B$65,0)),0)))</f>
        <v/>
      </c>
      <c r="I832" s="11">
        <f>IF(AND(C832="",E832=""),"",IF(NOT(ISNUMBER(B832)),"Needs a date",IF(C832="","Needs a crop",IF(COUNTIF(Crops!$B$6:$B$65,C832)=0,"Not on Crops",IF(NOT(ISNUMBER(E832)),"Needs the amount",IF(AND(D832&lt;&gt;"",COUNTIF(Beds!$B$6:$B$35,D832)=0),"Not on Beds",""))))))</f>
        <v/>
      </c>
      <c r="J832" s="1">
        <f>IF(ISNUMBER(B832),YEAR(B832),"")</f>
        <v/>
      </c>
      <c r="K832">
        <f>IF(ISNUMBER(B832),YEAR(B832)*100+MONTH(B832),"")</f>
        <v/>
      </c>
      <c r="L832">
        <f>IF(ISNUMBER(B832),INT(B832),0)</f>
        <v/>
      </c>
    </row>
    <row r="833">
      <c r="A833" s="1" t="n"/>
      <c r="B833" s="17" t="n"/>
      <c r="C833" s="18" t="n"/>
      <c r="D833" s="19" t="n"/>
      <c r="E833" s="23" t="n"/>
      <c r="F833" s="21" t="n"/>
      <c r="G833" s="11">
        <f>IF(C833="","",IFERROR(INDEX(Crops!$D$6:$D$65,MATCH(C833,Crops!$B$6:$B$65,0))&amp;"",""))</f>
        <v/>
      </c>
      <c r="H833" s="12">
        <f>IF(OR(C833="",NOT(ISNUMBER(E833))),"",E833*N(IFERROR(INDEX(Crops!$E$6:$E$65,MATCH(C833,Crops!$B$6:$B$65,0)),0)))</f>
        <v/>
      </c>
      <c r="I833" s="11">
        <f>IF(AND(C833="",E833=""),"",IF(NOT(ISNUMBER(B833)),"Needs a date",IF(C833="","Needs a crop",IF(COUNTIF(Crops!$B$6:$B$65,C833)=0,"Not on Crops",IF(NOT(ISNUMBER(E833)),"Needs the amount",IF(AND(D833&lt;&gt;"",COUNTIF(Beds!$B$6:$B$35,D833)=0),"Not on Beds",""))))))</f>
        <v/>
      </c>
      <c r="J833" s="1">
        <f>IF(ISNUMBER(B833),YEAR(B833),"")</f>
        <v/>
      </c>
      <c r="K833">
        <f>IF(ISNUMBER(B833),YEAR(B833)*100+MONTH(B833),"")</f>
        <v/>
      </c>
      <c r="L833">
        <f>IF(ISNUMBER(B833),INT(B833),0)</f>
        <v/>
      </c>
    </row>
    <row r="834">
      <c r="A834" s="1" t="n"/>
      <c r="B834" s="17" t="n"/>
      <c r="C834" s="18" t="n"/>
      <c r="D834" s="19" t="n"/>
      <c r="E834" s="23" t="n"/>
      <c r="F834" s="21" t="n"/>
      <c r="G834" s="11">
        <f>IF(C834="","",IFERROR(INDEX(Crops!$D$6:$D$65,MATCH(C834,Crops!$B$6:$B$65,0))&amp;"",""))</f>
        <v/>
      </c>
      <c r="H834" s="12">
        <f>IF(OR(C834="",NOT(ISNUMBER(E834))),"",E834*N(IFERROR(INDEX(Crops!$E$6:$E$65,MATCH(C834,Crops!$B$6:$B$65,0)),0)))</f>
        <v/>
      </c>
      <c r="I834" s="11">
        <f>IF(AND(C834="",E834=""),"",IF(NOT(ISNUMBER(B834)),"Needs a date",IF(C834="","Needs a crop",IF(COUNTIF(Crops!$B$6:$B$65,C834)=0,"Not on Crops",IF(NOT(ISNUMBER(E834)),"Needs the amount",IF(AND(D834&lt;&gt;"",COUNTIF(Beds!$B$6:$B$35,D834)=0),"Not on Beds",""))))))</f>
        <v/>
      </c>
      <c r="J834" s="1">
        <f>IF(ISNUMBER(B834),YEAR(B834),"")</f>
        <v/>
      </c>
      <c r="K834">
        <f>IF(ISNUMBER(B834),YEAR(B834)*100+MONTH(B834),"")</f>
        <v/>
      </c>
      <c r="L834">
        <f>IF(ISNUMBER(B834),INT(B834),0)</f>
        <v/>
      </c>
    </row>
    <row r="835">
      <c r="A835" s="1" t="n"/>
      <c r="B835" s="17" t="n"/>
      <c r="C835" s="18" t="n"/>
      <c r="D835" s="19" t="n"/>
      <c r="E835" s="23" t="n"/>
      <c r="F835" s="21" t="n"/>
      <c r="G835" s="11">
        <f>IF(C835="","",IFERROR(INDEX(Crops!$D$6:$D$65,MATCH(C835,Crops!$B$6:$B$65,0))&amp;"",""))</f>
        <v/>
      </c>
      <c r="H835" s="12">
        <f>IF(OR(C835="",NOT(ISNUMBER(E835))),"",E835*N(IFERROR(INDEX(Crops!$E$6:$E$65,MATCH(C835,Crops!$B$6:$B$65,0)),0)))</f>
        <v/>
      </c>
      <c r="I835" s="11">
        <f>IF(AND(C835="",E835=""),"",IF(NOT(ISNUMBER(B835)),"Needs a date",IF(C835="","Needs a crop",IF(COUNTIF(Crops!$B$6:$B$65,C835)=0,"Not on Crops",IF(NOT(ISNUMBER(E835)),"Needs the amount",IF(AND(D835&lt;&gt;"",COUNTIF(Beds!$B$6:$B$35,D835)=0),"Not on Beds",""))))))</f>
        <v/>
      </c>
      <c r="J835" s="1">
        <f>IF(ISNUMBER(B835),YEAR(B835),"")</f>
        <v/>
      </c>
      <c r="K835">
        <f>IF(ISNUMBER(B835),YEAR(B835)*100+MONTH(B835),"")</f>
        <v/>
      </c>
      <c r="L835">
        <f>IF(ISNUMBER(B835),INT(B835),0)</f>
        <v/>
      </c>
    </row>
    <row r="836">
      <c r="A836" s="1" t="n"/>
      <c r="B836" s="17" t="n"/>
      <c r="C836" s="18" t="n"/>
      <c r="D836" s="19" t="n"/>
      <c r="E836" s="23" t="n"/>
      <c r="F836" s="21" t="n"/>
      <c r="G836" s="11">
        <f>IF(C836="","",IFERROR(INDEX(Crops!$D$6:$D$65,MATCH(C836,Crops!$B$6:$B$65,0))&amp;"",""))</f>
        <v/>
      </c>
      <c r="H836" s="12">
        <f>IF(OR(C836="",NOT(ISNUMBER(E836))),"",E836*N(IFERROR(INDEX(Crops!$E$6:$E$65,MATCH(C836,Crops!$B$6:$B$65,0)),0)))</f>
        <v/>
      </c>
      <c r="I836" s="11">
        <f>IF(AND(C836="",E836=""),"",IF(NOT(ISNUMBER(B836)),"Needs a date",IF(C836="","Needs a crop",IF(COUNTIF(Crops!$B$6:$B$65,C836)=0,"Not on Crops",IF(NOT(ISNUMBER(E836)),"Needs the amount",IF(AND(D836&lt;&gt;"",COUNTIF(Beds!$B$6:$B$35,D836)=0),"Not on Beds",""))))))</f>
        <v/>
      </c>
      <c r="J836" s="1">
        <f>IF(ISNUMBER(B836),YEAR(B836),"")</f>
        <v/>
      </c>
      <c r="K836">
        <f>IF(ISNUMBER(B836),YEAR(B836)*100+MONTH(B836),"")</f>
        <v/>
      </c>
      <c r="L836">
        <f>IF(ISNUMBER(B836),INT(B836),0)</f>
        <v/>
      </c>
    </row>
    <row r="837">
      <c r="A837" s="1" t="n"/>
      <c r="B837" s="17" t="n"/>
      <c r="C837" s="18" t="n"/>
      <c r="D837" s="19" t="n"/>
      <c r="E837" s="23" t="n"/>
      <c r="F837" s="21" t="n"/>
      <c r="G837" s="11">
        <f>IF(C837="","",IFERROR(INDEX(Crops!$D$6:$D$65,MATCH(C837,Crops!$B$6:$B$65,0))&amp;"",""))</f>
        <v/>
      </c>
      <c r="H837" s="12">
        <f>IF(OR(C837="",NOT(ISNUMBER(E837))),"",E837*N(IFERROR(INDEX(Crops!$E$6:$E$65,MATCH(C837,Crops!$B$6:$B$65,0)),0)))</f>
        <v/>
      </c>
      <c r="I837" s="11">
        <f>IF(AND(C837="",E837=""),"",IF(NOT(ISNUMBER(B837)),"Needs a date",IF(C837="","Needs a crop",IF(COUNTIF(Crops!$B$6:$B$65,C837)=0,"Not on Crops",IF(NOT(ISNUMBER(E837)),"Needs the amount",IF(AND(D837&lt;&gt;"",COUNTIF(Beds!$B$6:$B$35,D837)=0),"Not on Beds",""))))))</f>
        <v/>
      </c>
      <c r="J837" s="1">
        <f>IF(ISNUMBER(B837),YEAR(B837),"")</f>
        <v/>
      </c>
      <c r="K837">
        <f>IF(ISNUMBER(B837),YEAR(B837)*100+MONTH(B837),"")</f>
        <v/>
      </c>
      <c r="L837">
        <f>IF(ISNUMBER(B837),INT(B837),0)</f>
        <v/>
      </c>
    </row>
    <row r="838">
      <c r="A838" s="1" t="n"/>
      <c r="B838" s="17" t="n"/>
      <c r="C838" s="18" t="n"/>
      <c r="D838" s="19" t="n"/>
      <c r="E838" s="23" t="n"/>
      <c r="F838" s="21" t="n"/>
      <c r="G838" s="11">
        <f>IF(C838="","",IFERROR(INDEX(Crops!$D$6:$D$65,MATCH(C838,Crops!$B$6:$B$65,0))&amp;"",""))</f>
        <v/>
      </c>
      <c r="H838" s="12">
        <f>IF(OR(C838="",NOT(ISNUMBER(E838))),"",E838*N(IFERROR(INDEX(Crops!$E$6:$E$65,MATCH(C838,Crops!$B$6:$B$65,0)),0)))</f>
        <v/>
      </c>
      <c r="I838" s="11">
        <f>IF(AND(C838="",E838=""),"",IF(NOT(ISNUMBER(B838)),"Needs a date",IF(C838="","Needs a crop",IF(COUNTIF(Crops!$B$6:$B$65,C838)=0,"Not on Crops",IF(NOT(ISNUMBER(E838)),"Needs the amount",IF(AND(D838&lt;&gt;"",COUNTIF(Beds!$B$6:$B$35,D838)=0),"Not on Beds",""))))))</f>
        <v/>
      </c>
      <c r="J838" s="1">
        <f>IF(ISNUMBER(B838),YEAR(B838),"")</f>
        <v/>
      </c>
      <c r="K838">
        <f>IF(ISNUMBER(B838),YEAR(B838)*100+MONTH(B838),"")</f>
        <v/>
      </c>
      <c r="L838">
        <f>IF(ISNUMBER(B838),INT(B838),0)</f>
        <v/>
      </c>
    </row>
    <row r="839">
      <c r="A839" s="1" t="n"/>
      <c r="B839" s="17" t="n"/>
      <c r="C839" s="18" t="n"/>
      <c r="D839" s="19" t="n"/>
      <c r="E839" s="23" t="n"/>
      <c r="F839" s="21" t="n"/>
      <c r="G839" s="11">
        <f>IF(C839="","",IFERROR(INDEX(Crops!$D$6:$D$65,MATCH(C839,Crops!$B$6:$B$65,0))&amp;"",""))</f>
        <v/>
      </c>
      <c r="H839" s="12">
        <f>IF(OR(C839="",NOT(ISNUMBER(E839))),"",E839*N(IFERROR(INDEX(Crops!$E$6:$E$65,MATCH(C839,Crops!$B$6:$B$65,0)),0)))</f>
        <v/>
      </c>
      <c r="I839" s="11">
        <f>IF(AND(C839="",E839=""),"",IF(NOT(ISNUMBER(B839)),"Needs a date",IF(C839="","Needs a crop",IF(COUNTIF(Crops!$B$6:$B$65,C839)=0,"Not on Crops",IF(NOT(ISNUMBER(E839)),"Needs the amount",IF(AND(D839&lt;&gt;"",COUNTIF(Beds!$B$6:$B$35,D839)=0),"Not on Beds",""))))))</f>
        <v/>
      </c>
      <c r="J839" s="1">
        <f>IF(ISNUMBER(B839),YEAR(B839),"")</f>
        <v/>
      </c>
      <c r="K839">
        <f>IF(ISNUMBER(B839),YEAR(B839)*100+MONTH(B839),"")</f>
        <v/>
      </c>
      <c r="L839">
        <f>IF(ISNUMBER(B839),INT(B839),0)</f>
        <v/>
      </c>
    </row>
    <row r="840">
      <c r="A840" s="1" t="n"/>
      <c r="B840" s="17" t="n"/>
      <c r="C840" s="18" t="n"/>
      <c r="D840" s="19" t="n"/>
      <c r="E840" s="23" t="n"/>
      <c r="F840" s="21" t="n"/>
      <c r="G840" s="11">
        <f>IF(C840="","",IFERROR(INDEX(Crops!$D$6:$D$65,MATCH(C840,Crops!$B$6:$B$65,0))&amp;"",""))</f>
        <v/>
      </c>
      <c r="H840" s="12">
        <f>IF(OR(C840="",NOT(ISNUMBER(E840))),"",E840*N(IFERROR(INDEX(Crops!$E$6:$E$65,MATCH(C840,Crops!$B$6:$B$65,0)),0)))</f>
        <v/>
      </c>
      <c r="I840" s="11">
        <f>IF(AND(C840="",E840=""),"",IF(NOT(ISNUMBER(B840)),"Needs a date",IF(C840="","Needs a crop",IF(COUNTIF(Crops!$B$6:$B$65,C840)=0,"Not on Crops",IF(NOT(ISNUMBER(E840)),"Needs the amount",IF(AND(D840&lt;&gt;"",COUNTIF(Beds!$B$6:$B$35,D840)=0),"Not on Beds",""))))))</f>
        <v/>
      </c>
      <c r="J840" s="1">
        <f>IF(ISNUMBER(B840),YEAR(B840),"")</f>
        <v/>
      </c>
      <c r="K840">
        <f>IF(ISNUMBER(B840),YEAR(B840)*100+MONTH(B840),"")</f>
        <v/>
      </c>
      <c r="L840">
        <f>IF(ISNUMBER(B840),INT(B840),0)</f>
        <v/>
      </c>
    </row>
    <row r="841">
      <c r="A841" s="1" t="n"/>
      <c r="B841" s="17" t="n"/>
      <c r="C841" s="18" t="n"/>
      <c r="D841" s="19" t="n"/>
      <c r="E841" s="23" t="n"/>
      <c r="F841" s="21" t="n"/>
      <c r="G841" s="11">
        <f>IF(C841="","",IFERROR(INDEX(Crops!$D$6:$D$65,MATCH(C841,Crops!$B$6:$B$65,0))&amp;"",""))</f>
        <v/>
      </c>
      <c r="H841" s="12">
        <f>IF(OR(C841="",NOT(ISNUMBER(E841))),"",E841*N(IFERROR(INDEX(Crops!$E$6:$E$65,MATCH(C841,Crops!$B$6:$B$65,0)),0)))</f>
        <v/>
      </c>
      <c r="I841" s="11">
        <f>IF(AND(C841="",E841=""),"",IF(NOT(ISNUMBER(B841)),"Needs a date",IF(C841="","Needs a crop",IF(COUNTIF(Crops!$B$6:$B$65,C841)=0,"Not on Crops",IF(NOT(ISNUMBER(E841)),"Needs the amount",IF(AND(D841&lt;&gt;"",COUNTIF(Beds!$B$6:$B$35,D841)=0),"Not on Beds",""))))))</f>
        <v/>
      </c>
      <c r="J841" s="1">
        <f>IF(ISNUMBER(B841),YEAR(B841),"")</f>
        <v/>
      </c>
      <c r="K841">
        <f>IF(ISNUMBER(B841),YEAR(B841)*100+MONTH(B841),"")</f>
        <v/>
      </c>
      <c r="L841">
        <f>IF(ISNUMBER(B841),INT(B841),0)</f>
        <v/>
      </c>
    </row>
    <row r="842">
      <c r="A842" s="1" t="n"/>
      <c r="B842" s="17" t="n"/>
      <c r="C842" s="18" t="n"/>
      <c r="D842" s="19" t="n"/>
      <c r="E842" s="23" t="n"/>
      <c r="F842" s="21" t="n"/>
      <c r="G842" s="11">
        <f>IF(C842="","",IFERROR(INDEX(Crops!$D$6:$D$65,MATCH(C842,Crops!$B$6:$B$65,0))&amp;"",""))</f>
        <v/>
      </c>
      <c r="H842" s="12">
        <f>IF(OR(C842="",NOT(ISNUMBER(E842))),"",E842*N(IFERROR(INDEX(Crops!$E$6:$E$65,MATCH(C842,Crops!$B$6:$B$65,0)),0)))</f>
        <v/>
      </c>
      <c r="I842" s="11">
        <f>IF(AND(C842="",E842=""),"",IF(NOT(ISNUMBER(B842)),"Needs a date",IF(C842="","Needs a crop",IF(COUNTIF(Crops!$B$6:$B$65,C842)=0,"Not on Crops",IF(NOT(ISNUMBER(E842)),"Needs the amount",IF(AND(D842&lt;&gt;"",COUNTIF(Beds!$B$6:$B$35,D842)=0),"Not on Beds",""))))))</f>
        <v/>
      </c>
      <c r="J842" s="1">
        <f>IF(ISNUMBER(B842),YEAR(B842),"")</f>
        <v/>
      </c>
      <c r="K842">
        <f>IF(ISNUMBER(B842),YEAR(B842)*100+MONTH(B842),"")</f>
        <v/>
      </c>
      <c r="L842">
        <f>IF(ISNUMBER(B842),INT(B842),0)</f>
        <v/>
      </c>
    </row>
    <row r="843">
      <c r="A843" s="1" t="n"/>
      <c r="B843" s="17" t="n"/>
      <c r="C843" s="18" t="n"/>
      <c r="D843" s="19" t="n"/>
      <c r="E843" s="23" t="n"/>
      <c r="F843" s="21" t="n"/>
      <c r="G843" s="11">
        <f>IF(C843="","",IFERROR(INDEX(Crops!$D$6:$D$65,MATCH(C843,Crops!$B$6:$B$65,0))&amp;"",""))</f>
        <v/>
      </c>
      <c r="H843" s="12">
        <f>IF(OR(C843="",NOT(ISNUMBER(E843))),"",E843*N(IFERROR(INDEX(Crops!$E$6:$E$65,MATCH(C843,Crops!$B$6:$B$65,0)),0)))</f>
        <v/>
      </c>
      <c r="I843" s="11">
        <f>IF(AND(C843="",E843=""),"",IF(NOT(ISNUMBER(B843)),"Needs a date",IF(C843="","Needs a crop",IF(COUNTIF(Crops!$B$6:$B$65,C843)=0,"Not on Crops",IF(NOT(ISNUMBER(E843)),"Needs the amount",IF(AND(D843&lt;&gt;"",COUNTIF(Beds!$B$6:$B$35,D843)=0),"Not on Beds",""))))))</f>
        <v/>
      </c>
      <c r="J843" s="1">
        <f>IF(ISNUMBER(B843),YEAR(B843),"")</f>
        <v/>
      </c>
      <c r="K843">
        <f>IF(ISNUMBER(B843),YEAR(B843)*100+MONTH(B843),"")</f>
        <v/>
      </c>
      <c r="L843">
        <f>IF(ISNUMBER(B843),INT(B843),0)</f>
        <v/>
      </c>
    </row>
    <row r="844">
      <c r="A844" s="1" t="n"/>
      <c r="B844" s="17" t="n"/>
      <c r="C844" s="18" t="n"/>
      <c r="D844" s="19" t="n"/>
      <c r="E844" s="23" t="n"/>
      <c r="F844" s="21" t="n"/>
      <c r="G844" s="11">
        <f>IF(C844="","",IFERROR(INDEX(Crops!$D$6:$D$65,MATCH(C844,Crops!$B$6:$B$65,0))&amp;"",""))</f>
        <v/>
      </c>
      <c r="H844" s="12">
        <f>IF(OR(C844="",NOT(ISNUMBER(E844))),"",E844*N(IFERROR(INDEX(Crops!$E$6:$E$65,MATCH(C844,Crops!$B$6:$B$65,0)),0)))</f>
        <v/>
      </c>
      <c r="I844" s="11">
        <f>IF(AND(C844="",E844=""),"",IF(NOT(ISNUMBER(B844)),"Needs a date",IF(C844="","Needs a crop",IF(COUNTIF(Crops!$B$6:$B$65,C844)=0,"Not on Crops",IF(NOT(ISNUMBER(E844)),"Needs the amount",IF(AND(D844&lt;&gt;"",COUNTIF(Beds!$B$6:$B$35,D844)=0),"Not on Beds",""))))))</f>
        <v/>
      </c>
      <c r="J844" s="1">
        <f>IF(ISNUMBER(B844),YEAR(B844),"")</f>
        <v/>
      </c>
      <c r="K844">
        <f>IF(ISNUMBER(B844),YEAR(B844)*100+MONTH(B844),"")</f>
        <v/>
      </c>
      <c r="L844">
        <f>IF(ISNUMBER(B844),INT(B844),0)</f>
        <v/>
      </c>
    </row>
    <row r="845">
      <c r="A845" s="1" t="n"/>
      <c r="B845" s="17" t="n"/>
      <c r="C845" s="18" t="n"/>
      <c r="D845" s="19" t="n"/>
      <c r="E845" s="23" t="n"/>
      <c r="F845" s="21" t="n"/>
      <c r="G845" s="11">
        <f>IF(C845="","",IFERROR(INDEX(Crops!$D$6:$D$65,MATCH(C845,Crops!$B$6:$B$65,0))&amp;"",""))</f>
        <v/>
      </c>
      <c r="H845" s="12">
        <f>IF(OR(C845="",NOT(ISNUMBER(E845))),"",E845*N(IFERROR(INDEX(Crops!$E$6:$E$65,MATCH(C845,Crops!$B$6:$B$65,0)),0)))</f>
        <v/>
      </c>
      <c r="I845" s="11">
        <f>IF(AND(C845="",E845=""),"",IF(NOT(ISNUMBER(B845)),"Needs a date",IF(C845="","Needs a crop",IF(COUNTIF(Crops!$B$6:$B$65,C845)=0,"Not on Crops",IF(NOT(ISNUMBER(E845)),"Needs the amount",IF(AND(D845&lt;&gt;"",COUNTIF(Beds!$B$6:$B$35,D845)=0),"Not on Beds",""))))))</f>
        <v/>
      </c>
      <c r="J845" s="1">
        <f>IF(ISNUMBER(B845),YEAR(B845),"")</f>
        <v/>
      </c>
      <c r="K845">
        <f>IF(ISNUMBER(B845),YEAR(B845)*100+MONTH(B845),"")</f>
        <v/>
      </c>
      <c r="L845">
        <f>IF(ISNUMBER(B845),INT(B845),0)</f>
        <v/>
      </c>
    </row>
    <row r="846">
      <c r="A846" s="1" t="n"/>
      <c r="B846" s="17" t="n"/>
      <c r="C846" s="18" t="n"/>
      <c r="D846" s="19" t="n"/>
      <c r="E846" s="23" t="n"/>
      <c r="F846" s="21" t="n"/>
      <c r="G846" s="11">
        <f>IF(C846="","",IFERROR(INDEX(Crops!$D$6:$D$65,MATCH(C846,Crops!$B$6:$B$65,0))&amp;"",""))</f>
        <v/>
      </c>
      <c r="H846" s="12">
        <f>IF(OR(C846="",NOT(ISNUMBER(E846))),"",E846*N(IFERROR(INDEX(Crops!$E$6:$E$65,MATCH(C846,Crops!$B$6:$B$65,0)),0)))</f>
        <v/>
      </c>
      <c r="I846" s="11">
        <f>IF(AND(C846="",E846=""),"",IF(NOT(ISNUMBER(B846)),"Needs a date",IF(C846="","Needs a crop",IF(COUNTIF(Crops!$B$6:$B$65,C846)=0,"Not on Crops",IF(NOT(ISNUMBER(E846)),"Needs the amount",IF(AND(D846&lt;&gt;"",COUNTIF(Beds!$B$6:$B$35,D846)=0),"Not on Beds",""))))))</f>
        <v/>
      </c>
      <c r="J846" s="1">
        <f>IF(ISNUMBER(B846),YEAR(B846),"")</f>
        <v/>
      </c>
      <c r="K846">
        <f>IF(ISNUMBER(B846),YEAR(B846)*100+MONTH(B846),"")</f>
        <v/>
      </c>
      <c r="L846">
        <f>IF(ISNUMBER(B846),INT(B846),0)</f>
        <v/>
      </c>
    </row>
    <row r="847">
      <c r="A847" s="1" t="n"/>
      <c r="B847" s="17" t="n"/>
      <c r="C847" s="18" t="n"/>
      <c r="D847" s="19" t="n"/>
      <c r="E847" s="23" t="n"/>
      <c r="F847" s="21" t="n"/>
      <c r="G847" s="11">
        <f>IF(C847="","",IFERROR(INDEX(Crops!$D$6:$D$65,MATCH(C847,Crops!$B$6:$B$65,0))&amp;"",""))</f>
        <v/>
      </c>
      <c r="H847" s="12">
        <f>IF(OR(C847="",NOT(ISNUMBER(E847))),"",E847*N(IFERROR(INDEX(Crops!$E$6:$E$65,MATCH(C847,Crops!$B$6:$B$65,0)),0)))</f>
        <v/>
      </c>
      <c r="I847" s="11">
        <f>IF(AND(C847="",E847=""),"",IF(NOT(ISNUMBER(B847)),"Needs a date",IF(C847="","Needs a crop",IF(COUNTIF(Crops!$B$6:$B$65,C847)=0,"Not on Crops",IF(NOT(ISNUMBER(E847)),"Needs the amount",IF(AND(D847&lt;&gt;"",COUNTIF(Beds!$B$6:$B$35,D847)=0),"Not on Beds",""))))))</f>
        <v/>
      </c>
      <c r="J847" s="1">
        <f>IF(ISNUMBER(B847),YEAR(B847),"")</f>
        <v/>
      </c>
      <c r="K847">
        <f>IF(ISNUMBER(B847),YEAR(B847)*100+MONTH(B847),"")</f>
        <v/>
      </c>
      <c r="L847">
        <f>IF(ISNUMBER(B847),INT(B847),0)</f>
        <v/>
      </c>
    </row>
    <row r="848">
      <c r="A848" s="1" t="n"/>
      <c r="B848" s="17" t="n"/>
      <c r="C848" s="18" t="n"/>
      <c r="D848" s="19" t="n"/>
      <c r="E848" s="23" t="n"/>
      <c r="F848" s="21" t="n"/>
      <c r="G848" s="11">
        <f>IF(C848="","",IFERROR(INDEX(Crops!$D$6:$D$65,MATCH(C848,Crops!$B$6:$B$65,0))&amp;"",""))</f>
        <v/>
      </c>
      <c r="H848" s="12">
        <f>IF(OR(C848="",NOT(ISNUMBER(E848))),"",E848*N(IFERROR(INDEX(Crops!$E$6:$E$65,MATCH(C848,Crops!$B$6:$B$65,0)),0)))</f>
        <v/>
      </c>
      <c r="I848" s="11">
        <f>IF(AND(C848="",E848=""),"",IF(NOT(ISNUMBER(B848)),"Needs a date",IF(C848="","Needs a crop",IF(COUNTIF(Crops!$B$6:$B$65,C848)=0,"Not on Crops",IF(NOT(ISNUMBER(E848)),"Needs the amount",IF(AND(D848&lt;&gt;"",COUNTIF(Beds!$B$6:$B$35,D848)=0),"Not on Beds",""))))))</f>
        <v/>
      </c>
      <c r="J848" s="1">
        <f>IF(ISNUMBER(B848),YEAR(B848),"")</f>
        <v/>
      </c>
      <c r="K848">
        <f>IF(ISNUMBER(B848),YEAR(B848)*100+MONTH(B848),"")</f>
        <v/>
      </c>
      <c r="L848">
        <f>IF(ISNUMBER(B848),INT(B848),0)</f>
        <v/>
      </c>
    </row>
    <row r="849">
      <c r="A849" s="1" t="n"/>
      <c r="B849" s="17" t="n"/>
      <c r="C849" s="18" t="n"/>
      <c r="D849" s="19" t="n"/>
      <c r="E849" s="23" t="n"/>
      <c r="F849" s="21" t="n"/>
      <c r="G849" s="11">
        <f>IF(C849="","",IFERROR(INDEX(Crops!$D$6:$D$65,MATCH(C849,Crops!$B$6:$B$65,0))&amp;"",""))</f>
        <v/>
      </c>
      <c r="H849" s="12">
        <f>IF(OR(C849="",NOT(ISNUMBER(E849))),"",E849*N(IFERROR(INDEX(Crops!$E$6:$E$65,MATCH(C849,Crops!$B$6:$B$65,0)),0)))</f>
        <v/>
      </c>
      <c r="I849" s="11">
        <f>IF(AND(C849="",E849=""),"",IF(NOT(ISNUMBER(B849)),"Needs a date",IF(C849="","Needs a crop",IF(COUNTIF(Crops!$B$6:$B$65,C849)=0,"Not on Crops",IF(NOT(ISNUMBER(E849)),"Needs the amount",IF(AND(D849&lt;&gt;"",COUNTIF(Beds!$B$6:$B$35,D849)=0),"Not on Beds",""))))))</f>
        <v/>
      </c>
      <c r="J849" s="1">
        <f>IF(ISNUMBER(B849),YEAR(B849),"")</f>
        <v/>
      </c>
      <c r="K849">
        <f>IF(ISNUMBER(B849),YEAR(B849)*100+MONTH(B849),"")</f>
        <v/>
      </c>
      <c r="L849">
        <f>IF(ISNUMBER(B849),INT(B849),0)</f>
        <v/>
      </c>
    </row>
    <row r="850">
      <c r="A850" s="1" t="n"/>
      <c r="B850" s="17" t="n"/>
      <c r="C850" s="18" t="n"/>
      <c r="D850" s="19" t="n"/>
      <c r="E850" s="23" t="n"/>
      <c r="F850" s="21" t="n"/>
      <c r="G850" s="11">
        <f>IF(C850="","",IFERROR(INDEX(Crops!$D$6:$D$65,MATCH(C850,Crops!$B$6:$B$65,0))&amp;"",""))</f>
        <v/>
      </c>
      <c r="H850" s="12">
        <f>IF(OR(C850="",NOT(ISNUMBER(E850))),"",E850*N(IFERROR(INDEX(Crops!$E$6:$E$65,MATCH(C850,Crops!$B$6:$B$65,0)),0)))</f>
        <v/>
      </c>
      <c r="I850" s="11">
        <f>IF(AND(C850="",E850=""),"",IF(NOT(ISNUMBER(B850)),"Needs a date",IF(C850="","Needs a crop",IF(COUNTIF(Crops!$B$6:$B$65,C850)=0,"Not on Crops",IF(NOT(ISNUMBER(E850)),"Needs the amount",IF(AND(D850&lt;&gt;"",COUNTIF(Beds!$B$6:$B$35,D850)=0),"Not on Beds",""))))))</f>
        <v/>
      </c>
      <c r="J850" s="1">
        <f>IF(ISNUMBER(B850),YEAR(B850),"")</f>
        <v/>
      </c>
      <c r="K850">
        <f>IF(ISNUMBER(B850),YEAR(B850)*100+MONTH(B850),"")</f>
        <v/>
      </c>
      <c r="L850">
        <f>IF(ISNUMBER(B850),INT(B850),0)</f>
        <v/>
      </c>
    </row>
    <row r="851">
      <c r="A851" s="1" t="n"/>
      <c r="B851" s="17" t="n"/>
      <c r="C851" s="18" t="n"/>
      <c r="D851" s="19" t="n"/>
      <c r="E851" s="23" t="n"/>
      <c r="F851" s="21" t="n"/>
      <c r="G851" s="11">
        <f>IF(C851="","",IFERROR(INDEX(Crops!$D$6:$D$65,MATCH(C851,Crops!$B$6:$B$65,0))&amp;"",""))</f>
        <v/>
      </c>
      <c r="H851" s="12">
        <f>IF(OR(C851="",NOT(ISNUMBER(E851))),"",E851*N(IFERROR(INDEX(Crops!$E$6:$E$65,MATCH(C851,Crops!$B$6:$B$65,0)),0)))</f>
        <v/>
      </c>
      <c r="I851" s="11">
        <f>IF(AND(C851="",E851=""),"",IF(NOT(ISNUMBER(B851)),"Needs a date",IF(C851="","Needs a crop",IF(COUNTIF(Crops!$B$6:$B$65,C851)=0,"Not on Crops",IF(NOT(ISNUMBER(E851)),"Needs the amount",IF(AND(D851&lt;&gt;"",COUNTIF(Beds!$B$6:$B$35,D851)=0),"Not on Beds",""))))))</f>
        <v/>
      </c>
      <c r="J851" s="1">
        <f>IF(ISNUMBER(B851),YEAR(B851),"")</f>
        <v/>
      </c>
      <c r="K851">
        <f>IF(ISNUMBER(B851),YEAR(B851)*100+MONTH(B851),"")</f>
        <v/>
      </c>
      <c r="L851">
        <f>IF(ISNUMBER(B851),INT(B851),0)</f>
        <v/>
      </c>
    </row>
    <row r="852">
      <c r="A852" s="1" t="n"/>
      <c r="B852" s="17" t="n"/>
      <c r="C852" s="18" t="n"/>
      <c r="D852" s="19" t="n"/>
      <c r="E852" s="23" t="n"/>
      <c r="F852" s="21" t="n"/>
      <c r="G852" s="11">
        <f>IF(C852="","",IFERROR(INDEX(Crops!$D$6:$D$65,MATCH(C852,Crops!$B$6:$B$65,0))&amp;"",""))</f>
        <v/>
      </c>
      <c r="H852" s="12">
        <f>IF(OR(C852="",NOT(ISNUMBER(E852))),"",E852*N(IFERROR(INDEX(Crops!$E$6:$E$65,MATCH(C852,Crops!$B$6:$B$65,0)),0)))</f>
        <v/>
      </c>
      <c r="I852" s="11">
        <f>IF(AND(C852="",E852=""),"",IF(NOT(ISNUMBER(B852)),"Needs a date",IF(C852="","Needs a crop",IF(COUNTIF(Crops!$B$6:$B$65,C852)=0,"Not on Crops",IF(NOT(ISNUMBER(E852)),"Needs the amount",IF(AND(D852&lt;&gt;"",COUNTIF(Beds!$B$6:$B$35,D852)=0),"Not on Beds",""))))))</f>
        <v/>
      </c>
      <c r="J852" s="1">
        <f>IF(ISNUMBER(B852),YEAR(B852),"")</f>
        <v/>
      </c>
      <c r="K852">
        <f>IF(ISNUMBER(B852),YEAR(B852)*100+MONTH(B852),"")</f>
        <v/>
      </c>
      <c r="L852">
        <f>IF(ISNUMBER(B852),INT(B852),0)</f>
        <v/>
      </c>
    </row>
    <row r="853">
      <c r="A853" s="1" t="n"/>
      <c r="B853" s="17" t="n"/>
      <c r="C853" s="18" t="n"/>
      <c r="D853" s="19" t="n"/>
      <c r="E853" s="23" t="n"/>
      <c r="F853" s="21" t="n"/>
      <c r="G853" s="11">
        <f>IF(C853="","",IFERROR(INDEX(Crops!$D$6:$D$65,MATCH(C853,Crops!$B$6:$B$65,0))&amp;"",""))</f>
        <v/>
      </c>
      <c r="H853" s="12">
        <f>IF(OR(C853="",NOT(ISNUMBER(E853))),"",E853*N(IFERROR(INDEX(Crops!$E$6:$E$65,MATCH(C853,Crops!$B$6:$B$65,0)),0)))</f>
        <v/>
      </c>
      <c r="I853" s="11">
        <f>IF(AND(C853="",E853=""),"",IF(NOT(ISNUMBER(B853)),"Needs a date",IF(C853="","Needs a crop",IF(COUNTIF(Crops!$B$6:$B$65,C853)=0,"Not on Crops",IF(NOT(ISNUMBER(E853)),"Needs the amount",IF(AND(D853&lt;&gt;"",COUNTIF(Beds!$B$6:$B$35,D853)=0),"Not on Beds",""))))))</f>
        <v/>
      </c>
      <c r="J853" s="1">
        <f>IF(ISNUMBER(B853),YEAR(B853),"")</f>
        <v/>
      </c>
      <c r="K853">
        <f>IF(ISNUMBER(B853),YEAR(B853)*100+MONTH(B853),"")</f>
        <v/>
      </c>
      <c r="L853">
        <f>IF(ISNUMBER(B853),INT(B853),0)</f>
        <v/>
      </c>
    </row>
    <row r="854">
      <c r="A854" s="1" t="n"/>
      <c r="B854" s="17" t="n"/>
      <c r="C854" s="18" t="n"/>
      <c r="D854" s="19" t="n"/>
      <c r="E854" s="23" t="n"/>
      <c r="F854" s="21" t="n"/>
      <c r="G854" s="11">
        <f>IF(C854="","",IFERROR(INDEX(Crops!$D$6:$D$65,MATCH(C854,Crops!$B$6:$B$65,0))&amp;"",""))</f>
        <v/>
      </c>
      <c r="H854" s="12">
        <f>IF(OR(C854="",NOT(ISNUMBER(E854))),"",E854*N(IFERROR(INDEX(Crops!$E$6:$E$65,MATCH(C854,Crops!$B$6:$B$65,0)),0)))</f>
        <v/>
      </c>
      <c r="I854" s="11">
        <f>IF(AND(C854="",E854=""),"",IF(NOT(ISNUMBER(B854)),"Needs a date",IF(C854="","Needs a crop",IF(COUNTIF(Crops!$B$6:$B$65,C854)=0,"Not on Crops",IF(NOT(ISNUMBER(E854)),"Needs the amount",IF(AND(D854&lt;&gt;"",COUNTIF(Beds!$B$6:$B$35,D854)=0),"Not on Beds",""))))))</f>
        <v/>
      </c>
      <c r="J854" s="1">
        <f>IF(ISNUMBER(B854),YEAR(B854),"")</f>
        <v/>
      </c>
      <c r="K854">
        <f>IF(ISNUMBER(B854),YEAR(B854)*100+MONTH(B854),"")</f>
        <v/>
      </c>
      <c r="L854">
        <f>IF(ISNUMBER(B854),INT(B854),0)</f>
        <v/>
      </c>
    </row>
    <row r="855">
      <c r="A855" s="1" t="n"/>
      <c r="B855" s="17" t="n"/>
      <c r="C855" s="18" t="n"/>
      <c r="D855" s="19" t="n"/>
      <c r="E855" s="23" t="n"/>
      <c r="F855" s="21" t="n"/>
      <c r="G855" s="11">
        <f>IF(C855="","",IFERROR(INDEX(Crops!$D$6:$D$65,MATCH(C855,Crops!$B$6:$B$65,0))&amp;"",""))</f>
        <v/>
      </c>
      <c r="H855" s="12">
        <f>IF(OR(C855="",NOT(ISNUMBER(E855))),"",E855*N(IFERROR(INDEX(Crops!$E$6:$E$65,MATCH(C855,Crops!$B$6:$B$65,0)),0)))</f>
        <v/>
      </c>
      <c r="I855" s="11">
        <f>IF(AND(C855="",E855=""),"",IF(NOT(ISNUMBER(B855)),"Needs a date",IF(C855="","Needs a crop",IF(COUNTIF(Crops!$B$6:$B$65,C855)=0,"Not on Crops",IF(NOT(ISNUMBER(E855)),"Needs the amount",IF(AND(D855&lt;&gt;"",COUNTIF(Beds!$B$6:$B$35,D855)=0),"Not on Beds",""))))))</f>
        <v/>
      </c>
      <c r="J855" s="1">
        <f>IF(ISNUMBER(B855),YEAR(B855),"")</f>
        <v/>
      </c>
      <c r="K855">
        <f>IF(ISNUMBER(B855),YEAR(B855)*100+MONTH(B855),"")</f>
        <v/>
      </c>
      <c r="L855">
        <f>IF(ISNUMBER(B855),INT(B855),0)</f>
        <v/>
      </c>
    </row>
    <row r="856">
      <c r="A856" s="1" t="n"/>
      <c r="B856" s="17" t="n"/>
      <c r="C856" s="18" t="n"/>
      <c r="D856" s="19" t="n"/>
      <c r="E856" s="23" t="n"/>
      <c r="F856" s="21" t="n"/>
      <c r="G856" s="11">
        <f>IF(C856="","",IFERROR(INDEX(Crops!$D$6:$D$65,MATCH(C856,Crops!$B$6:$B$65,0))&amp;"",""))</f>
        <v/>
      </c>
      <c r="H856" s="12">
        <f>IF(OR(C856="",NOT(ISNUMBER(E856))),"",E856*N(IFERROR(INDEX(Crops!$E$6:$E$65,MATCH(C856,Crops!$B$6:$B$65,0)),0)))</f>
        <v/>
      </c>
      <c r="I856" s="11">
        <f>IF(AND(C856="",E856=""),"",IF(NOT(ISNUMBER(B856)),"Needs a date",IF(C856="","Needs a crop",IF(COUNTIF(Crops!$B$6:$B$65,C856)=0,"Not on Crops",IF(NOT(ISNUMBER(E856)),"Needs the amount",IF(AND(D856&lt;&gt;"",COUNTIF(Beds!$B$6:$B$35,D856)=0),"Not on Beds",""))))))</f>
        <v/>
      </c>
      <c r="J856" s="1">
        <f>IF(ISNUMBER(B856),YEAR(B856),"")</f>
        <v/>
      </c>
      <c r="K856">
        <f>IF(ISNUMBER(B856),YEAR(B856)*100+MONTH(B856),"")</f>
        <v/>
      </c>
      <c r="L856">
        <f>IF(ISNUMBER(B856),INT(B856),0)</f>
        <v/>
      </c>
    </row>
    <row r="857">
      <c r="A857" s="1" t="n"/>
      <c r="B857" s="17" t="n"/>
      <c r="C857" s="18" t="n"/>
      <c r="D857" s="19" t="n"/>
      <c r="E857" s="23" t="n"/>
      <c r="F857" s="21" t="n"/>
      <c r="G857" s="11">
        <f>IF(C857="","",IFERROR(INDEX(Crops!$D$6:$D$65,MATCH(C857,Crops!$B$6:$B$65,0))&amp;"",""))</f>
        <v/>
      </c>
      <c r="H857" s="12">
        <f>IF(OR(C857="",NOT(ISNUMBER(E857))),"",E857*N(IFERROR(INDEX(Crops!$E$6:$E$65,MATCH(C857,Crops!$B$6:$B$65,0)),0)))</f>
        <v/>
      </c>
      <c r="I857" s="11">
        <f>IF(AND(C857="",E857=""),"",IF(NOT(ISNUMBER(B857)),"Needs a date",IF(C857="","Needs a crop",IF(COUNTIF(Crops!$B$6:$B$65,C857)=0,"Not on Crops",IF(NOT(ISNUMBER(E857)),"Needs the amount",IF(AND(D857&lt;&gt;"",COUNTIF(Beds!$B$6:$B$35,D857)=0),"Not on Beds",""))))))</f>
        <v/>
      </c>
      <c r="J857" s="1">
        <f>IF(ISNUMBER(B857),YEAR(B857),"")</f>
        <v/>
      </c>
      <c r="K857">
        <f>IF(ISNUMBER(B857),YEAR(B857)*100+MONTH(B857),"")</f>
        <v/>
      </c>
      <c r="L857">
        <f>IF(ISNUMBER(B857),INT(B857),0)</f>
        <v/>
      </c>
    </row>
    <row r="858">
      <c r="A858" s="1" t="n"/>
      <c r="B858" s="17" t="n"/>
      <c r="C858" s="18" t="n"/>
      <c r="D858" s="19" t="n"/>
      <c r="E858" s="23" t="n"/>
      <c r="F858" s="21" t="n"/>
      <c r="G858" s="11">
        <f>IF(C858="","",IFERROR(INDEX(Crops!$D$6:$D$65,MATCH(C858,Crops!$B$6:$B$65,0))&amp;"",""))</f>
        <v/>
      </c>
      <c r="H858" s="12">
        <f>IF(OR(C858="",NOT(ISNUMBER(E858))),"",E858*N(IFERROR(INDEX(Crops!$E$6:$E$65,MATCH(C858,Crops!$B$6:$B$65,0)),0)))</f>
        <v/>
      </c>
      <c r="I858" s="11">
        <f>IF(AND(C858="",E858=""),"",IF(NOT(ISNUMBER(B858)),"Needs a date",IF(C858="","Needs a crop",IF(COUNTIF(Crops!$B$6:$B$65,C858)=0,"Not on Crops",IF(NOT(ISNUMBER(E858)),"Needs the amount",IF(AND(D858&lt;&gt;"",COUNTIF(Beds!$B$6:$B$35,D858)=0),"Not on Beds",""))))))</f>
        <v/>
      </c>
      <c r="J858" s="1">
        <f>IF(ISNUMBER(B858),YEAR(B858),"")</f>
        <v/>
      </c>
      <c r="K858">
        <f>IF(ISNUMBER(B858),YEAR(B858)*100+MONTH(B858),"")</f>
        <v/>
      </c>
      <c r="L858">
        <f>IF(ISNUMBER(B858),INT(B858),0)</f>
        <v/>
      </c>
    </row>
    <row r="859">
      <c r="A859" s="1" t="n"/>
      <c r="B859" s="17" t="n"/>
      <c r="C859" s="18" t="n"/>
      <c r="D859" s="19" t="n"/>
      <c r="E859" s="23" t="n"/>
      <c r="F859" s="21" t="n"/>
      <c r="G859" s="11">
        <f>IF(C859="","",IFERROR(INDEX(Crops!$D$6:$D$65,MATCH(C859,Crops!$B$6:$B$65,0))&amp;"",""))</f>
        <v/>
      </c>
      <c r="H859" s="12">
        <f>IF(OR(C859="",NOT(ISNUMBER(E859))),"",E859*N(IFERROR(INDEX(Crops!$E$6:$E$65,MATCH(C859,Crops!$B$6:$B$65,0)),0)))</f>
        <v/>
      </c>
      <c r="I859" s="11">
        <f>IF(AND(C859="",E859=""),"",IF(NOT(ISNUMBER(B859)),"Needs a date",IF(C859="","Needs a crop",IF(COUNTIF(Crops!$B$6:$B$65,C859)=0,"Not on Crops",IF(NOT(ISNUMBER(E859)),"Needs the amount",IF(AND(D859&lt;&gt;"",COUNTIF(Beds!$B$6:$B$35,D859)=0),"Not on Beds",""))))))</f>
        <v/>
      </c>
      <c r="J859" s="1">
        <f>IF(ISNUMBER(B859),YEAR(B859),"")</f>
        <v/>
      </c>
      <c r="K859">
        <f>IF(ISNUMBER(B859),YEAR(B859)*100+MONTH(B859),"")</f>
        <v/>
      </c>
      <c r="L859">
        <f>IF(ISNUMBER(B859),INT(B859),0)</f>
        <v/>
      </c>
    </row>
    <row r="860">
      <c r="A860" s="1" t="n"/>
      <c r="B860" s="17" t="n"/>
      <c r="C860" s="18" t="n"/>
      <c r="D860" s="19" t="n"/>
      <c r="E860" s="23" t="n"/>
      <c r="F860" s="21" t="n"/>
      <c r="G860" s="11">
        <f>IF(C860="","",IFERROR(INDEX(Crops!$D$6:$D$65,MATCH(C860,Crops!$B$6:$B$65,0))&amp;"",""))</f>
        <v/>
      </c>
      <c r="H860" s="12">
        <f>IF(OR(C860="",NOT(ISNUMBER(E860))),"",E860*N(IFERROR(INDEX(Crops!$E$6:$E$65,MATCH(C860,Crops!$B$6:$B$65,0)),0)))</f>
        <v/>
      </c>
      <c r="I860" s="11">
        <f>IF(AND(C860="",E860=""),"",IF(NOT(ISNUMBER(B860)),"Needs a date",IF(C860="","Needs a crop",IF(COUNTIF(Crops!$B$6:$B$65,C860)=0,"Not on Crops",IF(NOT(ISNUMBER(E860)),"Needs the amount",IF(AND(D860&lt;&gt;"",COUNTIF(Beds!$B$6:$B$35,D860)=0),"Not on Beds",""))))))</f>
        <v/>
      </c>
      <c r="J860" s="1">
        <f>IF(ISNUMBER(B860),YEAR(B860),"")</f>
        <v/>
      </c>
      <c r="K860">
        <f>IF(ISNUMBER(B860),YEAR(B860)*100+MONTH(B860),"")</f>
        <v/>
      </c>
      <c r="L860">
        <f>IF(ISNUMBER(B860),INT(B860),0)</f>
        <v/>
      </c>
    </row>
    <row r="861">
      <c r="A861" s="1" t="n"/>
      <c r="B861" s="17" t="n"/>
      <c r="C861" s="18" t="n"/>
      <c r="D861" s="19" t="n"/>
      <c r="E861" s="23" t="n"/>
      <c r="F861" s="21" t="n"/>
      <c r="G861" s="11">
        <f>IF(C861="","",IFERROR(INDEX(Crops!$D$6:$D$65,MATCH(C861,Crops!$B$6:$B$65,0))&amp;"",""))</f>
        <v/>
      </c>
      <c r="H861" s="12">
        <f>IF(OR(C861="",NOT(ISNUMBER(E861))),"",E861*N(IFERROR(INDEX(Crops!$E$6:$E$65,MATCH(C861,Crops!$B$6:$B$65,0)),0)))</f>
        <v/>
      </c>
      <c r="I861" s="11">
        <f>IF(AND(C861="",E861=""),"",IF(NOT(ISNUMBER(B861)),"Needs a date",IF(C861="","Needs a crop",IF(COUNTIF(Crops!$B$6:$B$65,C861)=0,"Not on Crops",IF(NOT(ISNUMBER(E861)),"Needs the amount",IF(AND(D861&lt;&gt;"",COUNTIF(Beds!$B$6:$B$35,D861)=0),"Not on Beds",""))))))</f>
        <v/>
      </c>
      <c r="J861" s="1">
        <f>IF(ISNUMBER(B861),YEAR(B861),"")</f>
        <v/>
      </c>
      <c r="K861">
        <f>IF(ISNUMBER(B861),YEAR(B861)*100+MONTH(B861),"")</f>
        <v/>
      </c>
      <c r="L861">
        <f>IF(ISNUMBER(B861),INT(B861),0)</f>
        <v/>
      </c>
    </row>
    <row r="862">
      <c r="A862" s="1" t="n"/>
      <c r="B862" s="17" t="n"/>
      <c r="C862" s="18" t="n"/>
      <c r="D862" s="19" t="n"/>
      <c r="E862" s="23" t="n"/>
      <c r="F862" s="21" t="n"/>
      <c r="G862" s="11">
        <f>IF(C862="","",IFERROR(INDEX(Crops!$D$6:$D$65,MATCH(C862,Crops!$B$6:$B$65,0))&amp;"",""))</f>
        <v/>
      </c>
      <c r="H862" s="12">
        <f>IF(OR(C862="",NOT(ISNUMBER(E862))),"",E862*N(IFERROR(INDEX(Crops!$E$6:$E$65,MATCH(C862,Crops!$B$6:$B$65,0)),0)))</f>
        <v/>
      </c>
      <c r="I862" s="11">
        <f>IF(AND(C862="",E862=""),"",IF(NOT(ISNUMBER(B862)),"Needs a date",IF(C862="","Needs a crop",IF(COUNTIF(Crops!$B$6:$B$65,C862)=0,"Not on Crops",IF(NOT(ISNUMBER(E862)),"Needs the amount",IF(AND(D862&lt;&gt;"",COUNTIF(Beds!$B$6:$B$35,D862)=0),"Not on Beds",""))))))</f>
        <v/>
      </c>
      <c r="J862" s="1">
        <f>IF(ISNUMBER(B862),YEAR(B862),"")</f>
        <v/>
      </c>
      <c r="K862">
        <f>IF(ISNUMBER(B862),YEAR(B862)*100+MONTH(B862),"")</f>
        <v/>
      </c>
      <c r="L862">
        <f>IF(ISNUMBER(B862),INT(B862),0)</f>
        <v/>
      </c>
    </row>
    <row r="863">
      <c r="A863" s="1" t="n"/>
      <c r="B863" s="17" t="n"/>
      <c r="C863" s="18" t="n"/>
      <c r="D863" s="19" t="n"/>
      <c r="E863" s="23" t="n"/>
      <c r="F863" s="21" t="n"/>
      <c r="G863" s="11">
        <f>IF(C863="","",IFERROR(INDEX(Crops!$D$6:$D$65,MATCH(C863,Crops!$B$6:$B$65,0))&amp;"",""))</f>
        <v/>
      </c>
      <c r="H863" s="12">
        <f>IF(OR(C863="",NOT(ISNUMBER(E863))),"",E863*N(IFERROR(INDEX(Crops!$E$6:$E$65,MATCH(C863,Crops!$B$6:$B$65,0)),0)))</f>
        <v/>
      </c>
      <c r="I863" s="11">
        <f>IF(AND(C863="",E863=""),"",IF(NOT(ISNUMBER(B863)),"Needs a date",IF(C863="","Needs a crop",IF(COUNTIF(Crops!$B$6:$B$65,C863)=0,"Not on Crops",IF(NOT(ISNUMBER(E863)),"Needs the amount",IF(AND(D863&lt;&gt;"",COUNTIF(Beds!$B$6:$B$35,D863)=0),"Not on Beds",""))))))</f>
        <v/>
      </c>
      <c r="J863" s="1">
        <f>IF(ISNUMBER(B863),YEAR(B863),"")</f>
        <v/>
      </c>
      <c r="K863">
        <f>IF(ISNUMBER(B863),YEAR(B863)*100+MONTH(B863),"")</f>
        <v/>
      </c>
      <c r="L863">
        <f>IF(ISNUMBER(B863),INT(B863),0)</f>
        <v/>
      </c>
    </row>
    <row r="864">
      <c r="A864" s="1" t="n"/>
      <c r="B864" s="17" t="n"/>
      <c r="C864" s="18" t="n"/>
      <c r="D864" s="19" t="n"/>
      <c r="E864" s="23" t="n"/>
      <c r="F864" s="21" t="n"/>
      <c r="G864" s="11">
        <f>IF(C864="","",IFERROR(INDEX(Crops!$D$6:$D$65,MATCH(C864,Crops!$B$6:$B$65,0))&amp;"",""))</f>
        <v/>
      </c>
      <c r="H864" s="12">
        <f>IF(OR(C864="",NOT(ISNUMBER(E864))),"",E864*N(IFERROR(INDEX(Crops!$E$6:$E$65,MATCH(C864,Crops!$B$6:$B$65,0)),0)))</f>
        <v/>
      </c>
      <c r="I864" s="11">
        <f>IF(AND(C864="",E864=""),"",IF(NOT(ISNUMBER(B864)),"Needs a date",IF(C864="","Needs a crop",IF(COUNTIF(Crops!$B$6:$B$65,C864)=0,"Not on Crops",IF(NOT(ISNUMBER(E864)),"Needs the amount",IF(AND(D864&lt;&gt;"",COUNTIF(Beds!$B$6:$B$35,D864)=0),"Not on Beds",""))))))</f>
        <v/>
      </c>
      <c r="J864" s="1">
        <f>IF(ISNUMBER(B864),YEAR(B864),"")</f>
        <v/>
      </c>
      <c r="K864">
        <f>IF(ISNUMBER(B864),YEAR(B864)*100+MONTH(B864),"")</f>
        <v/>
      </c>
      <c r="L864">
        <f>IF(ISNUMBER(B864),INT(B864),0)</f>
        <v/>
      </c>
    </row>
    <row r="865">
      <c r="A865" s="1" t="n"/>
      <c r="B865" s="17" t="n"/>
      <c r="C865" s="18" t="n"/>
      <c r="D865" s="19" t="n"/>
      <c r="E865" s="23" t="n"/>
      <c r="F865" s="21" t="n"/>
      <c r="G865" s="11">
        <f>IF(C865="","",IFERROR(INDEX(Crops!$D$6:$D$65,MATCH(C865,Crops!$B$6:$B$65,0))&amp;"",""))</f>
        <v/>
      </c>
      <c r="H865" s="12">
        <f>IF(OR(C865="",NOT(ISNUMBER(E865))),"",E865*N(IFERROR(INDEX(Crops!$E$6:$E$65,MATCH(C865,Crops!$B$6:$B$65,0)),0)))</f>
        <v/>
      </c>
      <c r="I865" s="11">
        <f>IF(AND(C865="",E865=""),"",IF(NOT(ISNUMBER(B865)),"Needs a date",IF(C865="","Needs a crop",IF(COUNTIF(Crops!$B$6:$B$65,C865)=0,"Not on Crops",IF(NOT(ISNUMBER(E865)),"Needs the amount",IF(AND(D865&lt;&gt;"",COUNTIF(Beds!$B$6:$B$35,D865)=0),"Not on Beds",""))))))</f>
        <v/>
      </c>
      <c r="J865" s="1">
        <f>IF(ISNUMBER(B865),YEAR(B865),"")</f>
        <v/>
      </c>
      <c r="K865">
        <f>IF(ISNUMBER(B865),YEAR(B865)*100+MONTH(B865),"")</f>
        <v/>
      </c>
      <c r="L865">
        <f>IF(ISNUMBER(B865),INT(B865),0)</f>
        <v/>
      </c>
    </row>
    <row r="866">
      <c r="A866" s="1" t="n"/>
      <c r="B866" s="17" t="n"/>
      <c r="C866" s="18" t="n"/>
      <c r="D866" s="19" t="n"/>
      <c r="E866" s="23" t="n"/>
      <c r="F866" s="21" t="n"/>
      <c r="G866" s="11">
        <f>IF(C866="","",IFERROR(INDEX(Crops!$D$6:$D$65,MATCH(C866,Crops!$B$6:$B$65,0))&amp;"",""))</f>
        <v/>
      </c>
      <c r="H866" s="12">
        <f>IF(OR(C866="",NOT(ISNUMBER(E866))),"",E866*N(IFERROR(INDEX(Crops!$E$6:$E$65,MATCH(C866,Crops!$B$6:$B$65,0)),0)))</f>
        <v/>
      </c>
      <c r="I866" s="11">
        <f>IF(AND(C866="",E866=""),"",IF(NOT(ISNUMBER(B866)),"Needs a date",IF(C866="","Needs a crop",IF(COUNTIF(Crops!$B$6:$B$65,C866)=0,"Not on Crops",IF(NOT(ISNUMBER(E866)),"Needs the amount",IF(AND(D866&lt;&gt;"",COUNTIF(Beds!$B$6:$B$35,D866)=0),"Not on Beds",""))))))</f>
        <v/>
      </c>
      <c r="J866" s="1">
        <f>IF(ISNUMBER(B866),YEAR(B866),"")</f>
        <v/>
      </c>
      <c r="K866">
        <f>IF(ISNUMBER(B866),YEAR(B866)*100+MONTH(B866),"")</f>
        <v/>
      </c>
      <c r="L866">
        <f>IF(ISNUMBER(B866),INT(B866),0)</f>
        <v/>
      </c>
    </row>
    <row r="867">
      <c r="A867" s="1" t="n"/>
      <c r="B867" s="17" t="n"/>
      <c r="C867" s="18" t="n"/>
      <c r="D867" s="19" t="n"/>
      <c r="E867" s="23" t="n"/>
      <c r="F867" s="21" t="n"/>
      <c r="G867" s="11">
        <f>IF(C867="","",IFERROR(INDEX(Crops!$D$6:$D$65,MATCH(C867,Crops!$B$6:$B$65,0))&amp;"",""))</f>
        <v/>
      </c>
      <c r="H867" s="12">
        <f>IF(OR(C867="",NOT(ISNUMBER(E867))),"",E867*N(IFERROR(INDEX(Crops!$E$6:$E$65,MATCH(C867,Crops!$B$6:$B$65,0)),0)))</f>
        <v/>
      </c>
      <c r="I867" s="11">
        <f>IF(AND(C867="",E867=""),"",IF(NOT(ISNUMBER(B867)),"Needs a date",IF(C867="","Needs a crop",IF(COUNTIF(Crops!$B$6:$B$65,C867)=0,"Not on Crops",IF(NOT(ISNUMBER(E867)),"Needs the amount",IF(AND(D867&lt;&gt;"",COUNTIF(Beds!$B$6:$B$35,D867)=0),"Not on Beds",""))))))</f>
        <v/>
      </c>
      <c r="J867" s="1">
        <f>IF(ISNUMBER(B867),YEAR(B867),"")</f>
        <v/>
      </c>
      <c r="K867">
        <f>IF(ISNUMBER(B867),YEAR(B867)*100+MONTH(B867),"")</f>
        <v/>
      </c>
      <c r="L867">
        <f>IF(ISNUMBER(B867),INT(B867),0)</f>
        <v/>
      </c>
    </row>
    <row r="868">
      <c r="A868" s="1" t="n"/>
      <c r="B868" s="17" t="n"/>
      <c r="C868" s="18" t="n"/>
      <c r="D868" s="19" t="n"/>
      <c r="E868" s="23" t="n"/>
      <c r="F868" s="21" t="n"/>
      <c r="G868" s="11">
        <f>IF(C868="","",IFERROR(INDEX(Crops!$D$6:$D$65,MATCH(C868,Crops!$B$6:$B$65,0))&amp;"",""))</f>
        <v/>
      </c>
      <c r="H868" s="12">
        <f>IF(OR(C868="",NOT(ISNUMBER(E868))),"",E868*N(IFERROR(INDEX(Crops!$E$6:$E$65,MATCH(C868,Crops!$B$6:$B$65,0)),0)))</f>
        <v/>
      </c>
      <c r="I868" s="11">
        <f>IF(AND(C868="",E868=""),"",IF(NOT(ISNUMBER(B868)),"Needs a date",IF(C868="","Needs a crop",IF(COUNTIF(Crops!$B$6:$B$65,C868)=0,"Not on Crops",IF(NOT(ISNUMBER(E868)),"Needs the amount",IF(AND(D868&lt;&gt;"",COUNTIF(Beds!$B$6:$B$35,D868)=0),"Not on Beds",""))))))</f>
        <v/>
      </c>
      <c r="J868" s="1">
        <f>IF(ISNUMBER(B868),YEAR(B868),"")</f>
        <v/>
      </c>
      <c r="K868">
        <f>IF(ISNUMBER(B868),YEAR(B868)*100+MONTH(B868),"")</f>
        <v/>
      </c>
      <c r="L868">
        <f>IF(ISNUMBER(B868),INT(B868),0)</f>
        <v/>
      </c>
    </row>
    <row r="869">
      <c r="A869" s="1" t="n"/>
      <c r="B869" s="17" t="n"/>
      <c r="C869" s="18" t="n"/>
      <c r="D869" s="19" t="n"/>
      <c r="E869" s="23" t="n"/>
      <c r="F869" s="21" t="n"/>
      <c r="G869" s="11">
        <f>IF(C869="","",IFERROR(INDEX(Crops!$D$6:$D$65,MATCH(C869,Crops!$B$6:$B$65,0))&amp;"",""))</f>
        <v/>
      </c>
      <c r="H869" s="12">
        <f>IF(OR(C869="",NOT(ISNUMBER(E869))),"",E869*N(IFERROR(INDEX(Crops!$E$6:$E$65,MATCH(C869,Crops!$B$6:$B$65,0)),0)))</f>
        <v/>
      </c>
      <c r="I869" s="11">
        <f>IF(AND(C869="",E869=""),"",IF(NOT(ISNUMBER(B869)),"Needs a date",IF(C869="","Needs a crop",IF(COUNTIF(Crops!$B$6:$B$65,C869)=0,"Not on Crops",IF(NOT(ISNUMBER(E869)),"Needs the amount",IF(AND(D869&lt;&gt;"",COUNTIF(Beds!$B$6:$B$35,D869)=0),"Not on Beds",""))))))</f>
        <v/>
      </c>
      <c r="J869" s="1">
        <f>IF(ISNUMBER(B869),YEAR(B869),"")</f>
        <v/>
      </c>
      <c r="K869">
        <f>IF(ISNUMBER(B869),YEAR(B869)*100+MONTH(B869),"")</f>
        <v/>
      </c>
      <c r="L869">
        <f>IF(ISNUMBER(B869),INT(B869),0)</f>
        <v/>
      </c>
    </row>
    <row r="870">
      <c r="A870" s="1" t="n"/>
      <c r="B870" s="17" t="n"/>
      <c r="C870" s="18" t="n"/>
      <c r="D870" s="19" t="n"/>
      <c r="E870" s="23" t="n"/>
      <c r="F870" s="21" t="n"/>
      <c r="G870" s="11">
        <f>IF(C870="","",IFERROR(INDEX(Crops!$D$6:$D$65,MATCH(C870,Crops!$B$6:$B$65,0))&amp;"",""))</f>
        <v/>
      </c>
      <c r="H870" s="12">
        <f>IF(OR(C870="",NOT(ISNUMBER(E870))),"",E870*N(IFERROR(INDEX(Crops!$E$6:$E$65,MATCH(C870,Crops!$B$6:$B$65,0)),0)))</f>
        <v/>
      </c>
      <c r="I870" s="11">
        <f>IF(AND(C870="",E870=""),"",IF(NOT(ISNUMBER(B870)),"Needs a date",IF(C870="","Needs a crop",IF(COUNTIF(Crops!$B$6:$B$65,C870)=0,"Not on Crops",IF(NOT(ISNUMBER(E870)),"Needs the amount",IF(AND(D870&lt;&gt;"",COUNTIF(Beds!$B$6:$B$35,D870)=0),"Not on Beds",""))))))</f>
        <v/>
      </c>
      <c r="J870" s="1">
        <f>IF(ISNUMBER(B870),YEAR(B870),"")</f>
        <v/>
      </c>
      <c r="K870">
        <f>IF(ISNUMBER(B870),YEAR(B870)*100+MONTH(B870),"")</f>
        <v/>
      </c>
      <c r="L870">
        <f>IF(ISNUMBER(B870),INT(B870),0)</f>
        <v/>
      </c>
    </row>
    <row r="871">
      <c r="A871" s="1" t="n"/>
      <c r="B871" s="17" t="n"/>
      <c r="C871" s="18" t="n"/>
      <c r="D871" s="19" t="n"/>
      <c r="E871" s="23" t="n"/>
      <c r="F871" s="21" t="n"/>
      <c r="G871" s="11">
        <f>IF(C871="","",IFERROR(INDEX(Crops!$D$6:$D$65,MATCH(C871,Crops!$B$6:$B$65,0))&amp;"",""))</f>
        <v/>
      </c>
      <c r="H871" s="12">
        <f>IF(OR(C871="",NOT(ISNUMBER(E871))),"",E871*N(IFERROR(INDEX(Crops!$E$6:$E$65,MATCH(C871,Crops!$B$6:$B$65,0)),0)))</f>
        <v/>
      </c>
      <c r="I871" s="11">
        <f>IF(AND(C871="",E871=""),"",IF(NOT(ISNUMBER(B871)),"Needs a date",IF(C871="","Needs a crop",IF(COUNTIF(Crops!$B$6:$B$65,C871)=0,"Not on Crops",IF(NOT(ISNUMBER(E871)),"Needs the amount",IF(AND(D871&lt;&gt;"",COUNTIF(Beds!$B$6:$B$35,D871)=0),"Not on Beds",""))))))</f>
        <v/>
      </c>
      <c r="J871" s="1">
        <f>IF(ISNUMBER(B871),YEAR(B871),"")</f>
        <v/>
      </c>
      <c r="K871">
        <f>IF(ISNUMBER(B871),YEAR(B871)*100+MONTH(B871),"")</f>
        <v/>
      </c>
      <c r="L871">
        <f>IF(ISNUMBER(B871),INT(B871),0)</f>
        <v/>
      </c>
    </row>
    <row r="872">
      <c r="A872" s="1" t="n"/>
      <c r="B872" s="17" t="n"/>
      <c r="C872" s="18" t="n"/>
      <c r="D872" s="19" t="n"/>
      <c r="E872" s="23" t="n"/>
      <c r="F872" s="21" t="n"/>
      <c r="G872" s="11">
        <f>IF(C872="","",IFERROR(INDEX(Crops!$D$6:$D$65,MATCH(C872,Crops!$B$6:$B$65,0))&amp;"",""))</f>
        <v/>
      </c>
      <c r="H872" s="12">
        <f>IF(OR(C872="",NOT(ISNUMBER(E872))),"",E872*N(IFERROR(INDEX(Crops!$E$6:$E$65,MATCH(C872,Crops!$B$6:$B$65,0)),0)))</f>
        <v/>
      </c>
      <c r="I872" s="11">
        <f>IF(AND(C872="",E872=""),"",IF(NOT(ISNUMBER(B872)),"Needs a date",IF(C872="","Needs a crop",IF(COUNTIF(Crops!$B$6:$B$65,C872)=0,"Not on Crops",IF(NOT(ISNUMBER(E872)),"Needs the amount",IF(AND(D872&lt;&gt;"",COUNTIF(Beds!$B$6:$B$35,D872)=0),"Not on Beds",""))))))</f>
        <v/>
      </c>
      <c r="J872" s="1">
        <f>IF(ISNUMBER(B872),YEAR(B872),"")</f>
        <v/>
      </c>
      <c r="K872">
        <f>IF(ISNUMBER(B872),YEAR(B872)*100+MONTH(B872),"")</f>
        <v/>
      </c>
      <c r="L872">
        <f>IF(ISNUMBER(B872),INT(B872),0)</f>
        <v/>
      </c>
    </row>
    <row r="873">
      <c r="A873" s="1" t="n"/>
      <c r="B873" s="17" t="n"/>
      <c r="C873" s="18" t="n"/>
      <c r="D873" s="19" t="n"/>
      <c r="E873" s="23" t="n"/>
      <c r="F873" s="21" t="n"/>
      <c r="G873" s="11">
        <f>IF(C873="","",IFERROR(INDEX(Crops!$D$6:$D$65,MATCH(C873,Crops!$B$6:$B$65,0))&amp;"",""))</f>
        <v/>
      </c>
      <c r="H873" s="12">
        <f>IF(OR(C873="",NOT(ISNUMBER(E873))),"",E873*N(IFERROR(INDEX(Crops!$E$6:$E$65,MATCH(C873,Crops!$B$6:$B$65,0)),0)))</f>
        <v/>
      </c>
      <c r="I873" s="11">
        <f>IF(AND(C873="",E873=""),"",IF(NOT(ISNUMBER(B873)),"Needs a date",IF(C873="","Needs a crop",IF(COUNTIF(Crops!$B$6:$B$65,C873)=0,"Not on Crops",IF(NOT(ISNUMBER(E873)),"Needs the amount",IF(AND(D873&lt;&gt;"",COUNTIF(Beds!$B$6:$B$35,D873)=0),"Not on Beds",""))))))</f>
        <v/>
      </c>
      <c r="J873" s="1">
        <f>IF(ISNUMBER(B873),YEAR(B873),"")</f>
        <v/>
      </c>
      <c r="K873">
        <f>IF(ISNUMBER(B873),YEAR(B873)*100+MONTH(B873),"")</f>
        <v/>
      </c>
      <c r="L873">
        <f>IF(ISNUMBER(B873),INT(B873),0)</f>
        <v/>
      </c>
    </row>
    <row r="874">
      <c r="A874" s="1" t="n"/>
      <c r="B874" s="17" t="n"/>
      <c r="C874" s="18" t="n"/>
      <c r="D874" s="19" t="n"/>
      <c r="E874" s="23" t="n"/>
      <c r="F874" s="21" t="n"/>
      <c r="G874" s="11">
        <f>IF(C874="","",IFERROR(INDEX(Crops!$D$6:$D$65,MATCH(C874,Crops!$B$6:$B$65,0))&amp;"",""))</f>
        <v/>
      </c>
      <c r="H874" s="12">
        <f>IF(OR(C874="",NOT(ISNUMBER(E874))),"",E874*N(IFERROR(INDEX(Crops!$E$6:$E$65,MATCH(C874,Crops!$B$6:$B$65,0)),0)))</f>
        <v/>
      </c>
      <c r="I874" s="11">
        <f>IF(AND(C874="",E874=""),"",IF(NOT(ISNUMBER(B874)),"Needs a date",IF(C874="","Needs a crop",IF(COUNTIF(Crops!$B$6:$B$65,C874)=0,"Not on Crops",IF(NOT(ISNUMBER(E874)),"Needs the amount",IF(AND(D874&lt;&gt;"",COUNTIF(Beds!$B$6:$B$35,D874)=0),"Not on Beds",""))))))</f>
        <v/>
      </c>
      <c r="J874" s="1">
        <f>IF(ISNUMBER(B874),YEAR(B874),"")</f>
        <v/>
      </c>
      <c r="K874">
        <f>IF(ISNUMBER(B874),YEAR(B874)*100+MONTH(B874),"")</f>
        <v/>
      </c>
      <c r="L874">
        <f>IF(ISNUMBER(B874),INT(B874),0)</f>
        <v/>
      </c>
    </row>
    <row r="875">
      <c r="A875" s="1" t="n"/>
      <c r="B875" s="17" t="n"/>
      <c r="C875" s="18" t="n"/>
      <c r="D875" s="19" t="n"/>
      <c r="E875" s="23" t="n"/>
      <c r="F875" s="21" t="n"/>
      <c r="G875" s="11">
        <f>IF(C875="","",IFERROR(INDEX(Crops!$D$6:$D$65,MATCH(C875,Crops!$B$6:$B$65,0))&amp;"",""))</f>
        <v/>
      </c>
      <c r="H875" s="12">
        <f>IF(OR(C875="",NOT(ISNUMBER(E875))),"",E875*N(IFERROR(INDEX(Crops!$E$6:$E$65,MATCH(C875,Crops!$B$6:$B$65,0)),0)))</f>
        <v/>
      </c>
      <c r="I875" s="11">
        <f>IF(AND(C875="",E875=""),"",IF(NOT(ISNUMBER(B875)),"Needs a date",IF(C875="","Needs a crop",IF(COUNTIF(Crops!$B$6:$B$65,C875)=0,"Not on Crops",IF(NOT(ISNUMBER(E875)),"Needs the amount",IF(AND(D875&lt;&gt;"",COUNTIF(Beds!$B$6:$B$35,D875)=0),"Not on Beds",""))))))</f>
        <v/>
      </c>
      <c r="J875" s="1">
        <f>IF(ISNUMBER(B875),YEAR(B875),"")</f>
        <v/>
      </c>
      <c r="K875">
        <f>IF(ISNUMBER(B875),YEAR(B875)*100+MONTH(B875),"")</f>
        <v/>
      </c>
      <c r="L875">
        <f>IF(ISNUMBER(B875),INT(B875),0)</f>
        <v/>
      </c>
    </row>
    <row r="876">
      <c r="A876" s="1" t="n"/>
      <c r="B876" s="17" t="n"/>
      <c r="C876" s="18" t="n"/>
      <c r="D876" s="19" t="n"/>
      <c r="E876" s="23" t="n"/>
      <c r="F876" s="21" t="n"/>
      <c r="G876" s="11">
        <f>IF(C876="","",IFERROR(INDEX(Crops!$D$6:$D$65,MATCH(C876,Crops!$B$6:$B$65,0))&amp;"",""))</f>
        <v/>
      </c>
      <c r="H876" s="12">
        <f>IF(OR(C876="",NOT(ISNUMBER(E876))),"",E876*N(IFERROR(INDEX(Crops!$E$6:$E$65,MATCH(C876,Crops!$B$6:$B$65,0)),0)))</f>
        <v/>
      </c>
      <c r="I876" s="11">
        <f>IF(AND(C876="",E876=""),"",IF(NOT(ISNUMBER(B876)),"Needs a date",IF(C876="","Needs a crop",IF(COUNTIF(Crops!$B$6:$B$65,C876)=0,"Not on Crops",IF(NOT(ISNUMBER(E876)),"Needs the amount",IF(AND(D876&lt;&gt;"",COUNTIF(Beds!$B$6:$B$35,D876)=0),"Not on Beds",""))))))</f>
        <v/>
      </c>
      <c r="J876" s="1">
        <f>IF(ISNUMBER(B876),YEAR(B876),"")</f>
        <v/>
      </c>
      <c r="K876">
        <f>IF(ISNUMBER(B876),YEAR(B876)*100+MONTH(B876),"")</f>
        <v/>
      </c>
      <c r="L876">
        <f>IF(ISNUMBER(B876),INT(B876),0)</f>
        <v/>
      </c>
    </row>
    <row r="877">
      <c r="A877" s="1" t="n"/>
      <c r="B877" s="17" t="n"/>
      <c r="C877" s="18" t="n"/>
      <c r="D877" s="19" t="n"/>
      <c r="E877" s="23" t="n"/>
      <c r="F877" s="21" t="n"/>
      <c r="G877" s="11">
        <f>IF(C877="","",IFERROR(INDEX(Crops!$D$6:$D$65,MATCH(C877,Crops!$B$6:$B$65,0))&amp;"",""))</f>
        <v/>
      </c>
      <c r="H877" s="12">
        <f>IF(OR(C877="",NOT(ISNUMBER(E877))),"",E877*N(IFERROR(INDEX(Crops!$E$6:$E$65,MATCH(C877,Crops!$B$6:$B$65,0)),0)))</f>
        <v/>
      </c>
      <c r="I877" s="11">
        <f>IF(AND(C877="",E877=""),"",IF(NOT(ISNUMBER(B877)),"Needs a date",IF(C877="","Needs a crop",IF(COUNTIF(Crops!$B$6:$B$65,C877)=0,"Not on Crops",IF(NOT(ISNUMBER(E877)),"Needs the amount",IF(AND(D877&lt;&gt;"",COUNTIF(Beds!$B$6:$B$35,D877)=0),"Not on Beds",""))))))</f>
        <v/>
      </c>
      <c r="J877" s="1">
        <f>IF(ISNUMBER(B877),YEAR(B877),"")</f>
        <v/>
      </c>
      <c r="K877">
        <f>IF(ISNUMBER(B877),YEAR(B877)*100+MONTH(B877),"")</f>
        <v/>
      </c>
      <c r="L877">
        <f>IF(ISNUMBER(B877),INT(B877),0)</f>
        <v/>
      </c>
    </row>
    <row r="878">
      <c r="A878" s="1" t="n"/>
      <c r="B878" s="17" t="n"/>
      <c r="C878" s="18" t="n"/>
      <c r="D878" s="19" t="n"/>
      <c r="E878" s="23" t="n"/>
      <c r="F878" s="21" t="n"/>
      <c r="G878" s="11">
        <f>IF(C878="","",IFERROR(INDEX(Crops!$D$6:$D$65,MATCH(C878,Crops!$B$6:$B$65,0))&amp;"",""))</f>
        <v/>
      </c>
      <c r="H878" s="12">
        <f>IF(OR(C878="",NOT(ISNUMBER(E878))),"",E878*N(IFERROR(INDEX(Crops!$E$6:$E$65,MATCH(C878,Crops!$B$6:$B$65,0)),0)))</f>
        <v/>
      </c>
      <c r="I878" s="11">
        <f>IF(AND(C878="",E878=""),"",IF(NOT(ISNUMBER(B878)),"Needs a date",IF(C878="","Needs a crop",IF(COUNTIF(Crops!$B$6:$B$65,C878)=0,"Not on Crops",IF(NOT(ISNUMBER(E878)),"Needs the amount",IF(AND(D878&lt;&gt;"",COUNTIF(Beds!$B$6:$B$35,D878)=0),"Not on Beds",""))))))</f>
        <v/>
      </c>
      <c r="J878" s="1">
        <f>IF(ISNUMBER(B878),YEAR(B878),"")</f>
        <v/>
      </c>
      <c r="K878">
        <f>IF(ISNUMBER(B878),YEAR(B878)*100+MONTH(B878),"")</f>
        <v/>
      </c>
      <c r="L878">
        <f>IF(ISNUMBER(B878),INT(B878),0)</f>
        <v/>
      </c>
    </row>
    <row r="879">
      <c r="A879" s="1" t="n"/>
      <c r="B879" s="17" t="n"/>
      <c r="C879" s="18" t="n"/>
      <c r="D879" s="19" t="n"/>
      <c r="E879" s="23" t="n"/>
      <c r="F879" s="21" t="n"/>
      <c r="G879" s="11">
        <f>IF(C879="","",IFERROR(INDEX(Crops!$D$6:$D$65,MATCH(C879,Crops!$B$6:$B$65,0))&amp;"",""))</f>
        <v/>
      </c>
      <c r="H879" s="12">
        <f>IF(OR(C879="",NOT(ISNUMBER(E879))),"",E879*N(IFERROR(INDEX(Crops!$E$6:$E$65,MATCH(C879,Crops!$B$6:$B$65,0)),0)))</f>
        <v/>
      </c>
      <c r="I879" s="11">
        <f>IF(AND(C879="",E879=""),"",IF(NOT(ISNUMBER(B879)),"Needs a date",IF(C879="","Needs a crop",IF(COUNTIF(Crops!$B$6:$B$65,C879)=0,"Not on Crops",IF(NOT(ISNUMBER(E879)),"Needs the amount",IF(AND(D879&lt;&gt;"",COUNTIF(Beds!$B$6:$B$35,D879)=0),"Not on Beds",""))))))</f>
        <v/>
      </c>
      <c r="J879" s="1">
        <f>IF(ISNUMBER(B879),YEAR(B879),"")</f>
        <v/>
      </c>
      <c r="K879">
        <f>IF(ISNUMBER(B879),YEAR(B879)*100+MONTH(B879),"")</f>
        <v/>
      </c>
      <c r="L879">
        <f>IF(ISNUMBER(B879),INT(B879),0)</f>
        <v/>
      </c>
    </row>
    <row r="880">
      <c r="A880" s="1" t="n"/>
      <c r="B880" s="17" t="n"/>
      <c r="C880" s="18" t="n"/>
      <c r="D880" s="19" t="n"/>
      <c r="E880" s="23" t="n"/>
      <c r="F880" s="21" t="n"/>
      <c r="G880" s="11">
        <f>IF(C880="","",IFERROR(INDEX(Crops!$D$6:$D$65,MATCH(C880,Crops!$B$6:$B$65,0))&amp;"",""))</f>
        <v/>
      </c>
      <c r="H880" s="12">
        <f>IF(OR(C880="",NOT(ISNUMBER(E880))),"",E880*N(IFERROR(INDEX(Crops!$E$6:$E$65,MATCH(C880,Crops!$B$6:$B$65,0)),0)))</f>
        <v/>
      </c>
      <c r="I880" s="11">
        <f>IF(AND(C880="",E880=""),"",IF(NOT(ISNUMBER(B880)),"Needs a date",IF(C880="","Needs a crop",IF(COUNTIF(Crops!$B$6:$B$65,C880)=0,"Not on Crops",IF(NOT(ISNUMBER(E880)),"Needs the amount",IF(AND(D880&lt;&gt;"",COUNTIF(Beds!$B$6:$B$35,D880)=0),"Not on Beds",""))))))</f>
        <v/>
      </c>
      <c r="J880" s="1">
        <f>IF(ISNUMBER(B880),YEAR(B880),"")</f>
        <v/>
      </c>
      <c r="K880">
        <f>IF(ISNUMBER(B880),YEAR(B880)*100+MONTH(B880),"")</f>
        <v/>
      </c>
      <c r="L880">
        <f>IF(ISNUMBER(B880),INT(B880),0)</f>
        <v/>
      </c>
    </row>
    <row r="881">
      <c r="A881" s="1" t="n"/>
      <c r="B881" s="17" t="n"/>
      <c r="C881" s="18" t="n"/>
      <c r="D881" s="19" t="n"/>
      <c r="E881" s="23" t="n"/>
      <c r="F881" s="21" t="n"/>
      <c r="G881" s="11">
        <f>IF(C881="","",IFERROR(INDEX(Crops!$D$6:$D$65,MATCH(C881,Crops!$B$6:$B$65,0))&amp;"",""))</f>
        <v/>
      </c>
      <c r="H881" s="12">
        <f>IF(OR(C881="",NOT(ISNUMBER(E881))),"",E881*N(IFERROR(INDEX(Crops!$E$6:$E$65,MATCH(C881,Crops!$B$6:$B$65,0)),0)))</f>
        <v/>
      </c>
      <c r="I881" s="11">
        <f>IF(AND(C881="",E881=""),"",IF(NOT(ISNUMBER(B881)),"Needs a date",IF(C881="","Needs a crop",IF(COUNTIF(Crops!$B$6:$B$65,C881)=0,"Not on Crops",IF(NOT(ISNUMBER(E881)),"Needs the amount",IF(AND(D881&lt;&gt;"",COUNTIF(Beds!$B$6:$B$35,D881)=0),"Not on Beds",""))))))</f>
        <v/>
      </c>
      <c r="J881" s="1">
        <f>IF(ISNUMBER(B881),YEAR(B881),"")</f>
        <v/>
      </c>
      <c r="K881">
        <f>IF(ISNUMBER(B881),YEAR(B881)*100+MONTH(B881),"")</f>
        <v/>
      </c>
      <c r="L881">
        <f>IF(ISNUMBER(B881),INT(B881),0)</f>
        <v/>
      </c>
    </row>
    <row r="882">
      <c r="A882" s="1" t="n"/>
      <c r="B882" s="17" t="n"/>
      <c r="C882" s="18" t="n"/>
      <c r="D882" s="19" t="n"/>
      <c r="E882" s="23" t="n"/>
      <c r="F882" s="21" t="n"/>
      <c r="G882" s="11">
        <f>IF(C882="","",IFERROR(INDEX(Crops!$D$6:$D$65,MATCH(C882,Crops!$B$6:$B$65,0))&amp;"",""))</f>
        <v/>
      </c>
      <c r="H882" s="12">
        <f>IF(OR(C882="",NOT(ISNUMBER(E882))),"",E882*N(IFERROR(INDEX(Crops!$E$6:$E$65,MATCH(C882,Crops!$B$6:$B$65,0)),0)))</f>
        <v/>
      </c>
      <c r="I882" s="11">
        <f>IF(AND(C882="",E882=""),"",IF(NOT(ISNUMBER(B882)),"Needs a date",IF(C882="","Needs a crop",IF(COUNTIF(Crops!$B$6:$B$65,C882)=0,"Not on Crops",IF(NOT(ISNUMBER(E882)),"Needs the amount",IF(AND(D882&lt;&gt;"",COUNTIF(Beds!$B$6:$B$35,D882)=0),"Not on Beds",""))))))</f>
        <v/>
      </c>
      <c r="J882" s="1">
        <f>IF(ISNUMBER(B882),YEAR(B882),"")</f>
        <v/>
      </c>
      <c r="K882">
        <f>IF(ISNUMBER(B882),YEAR(B882)*100+MONTH(B882),"")</f>
        <v/>
      </c>
      <c r="L882">
        <f>IF(ISNUMBER(B882),INT(B882),0)</f>
        <v/>
      </c>
    </row>
    <row r="883">
      <c r="A883" s="1" t="n"/>
      <c r="B883" s="17" t="n"/>
      <c r="C883" s="18" t="n"/>
      <c r="D883" s="19" t="n"/>
      <c r="E883" s="23" t="n"/>
      <c r="F883" s="21" t="n"/>
      <c r="G883" s="11">
        <f>IF(C883="","",IFERROR(INDEX(Crops!$D$6:$D$65,MATCH(C883,Crops!$B$6:$B$65,0))&amp;"",""))</f>
        <v/>
      </c>
      <c r="H883" s="12">
        <f>IF(OR(C883="",NOT(ISNUMBER(E883))),"",E883*N(IFERROR(INDEX(Crops!$E$6:$E$65,MATCH(C883,Crops!$B$6:$B$65,0)),0)))</f>
        <v/>
      </c>
      <c r="I883" s="11">
        <f>IF(AND(C883="",E883=""),"",IF(NOT(ISNUMBER(B883)),"Needs a date",IF(C883="","Needs a crop",IF(COUNTIF(Crops!$B$6:$B$65,C883)=0,"Not on Crops",IF(NOT(ISNUMBER(E883)),"Needs the amount",IF(AND(D883&lt;&gt;"",COUNTIF(Beds!$B$6:$B$35,D883)=0),"Not on Beds",""))))))</f>
        <v/>
      </c>
      <c r="J883" s="1">
        <f>IF(ISNUMBER(B883),YEAR(B883),"")</f>
        <v/>
      </c>
      <c r="K883">
        <f>IF(ISNUMBER(B883),YEAR(B883)*100+MONTH(B883),"")</f>
        <v/>
      </c>
      <c r="L883">
        <f>IF(ISNUMBER(B883),INT(B883),0)</f>
        <v/>
      </c>
    </row>
    <row r="884">
      <c r="A884" s="1" t="n"/>
      <c r="B884" s="17" t="n"/>
      <c r="C884" s="18" t="n"/>
      <c r="D884" s="19" t="n"/>
      <c r="E884" s="23" t="n"/>
      <c r="F884" s="21" t="n"/>
      <c r="G884" s="11">
        <f>IF(C884="","",IFERROR(INDEX(Crops!$D$6:$D$65,MATCH(C884,Crops!$B$6:$B$65,0))&amp;"",""))</f>
        <v/>
      </c>
      <c r="H884" s="12">
        <f>IF(OR(C884="",NOT(ISNUMBER(E884))),"",E884*N(IFERROR(INDEX(Crops!$E$6:$E$65,MATCH(C884,Crops!$B$6:$B$65,0)),0)))</f>
        <v/>
      </c>
      <c r="I884" s="11">
        <f>IF(AND(C884="",E884=""),"",IF(NOT(ISNUMBER(B884)),"Needs a date",IF(C884="","Needs a crop",IF(COUNTIF(Crops!$B$6:$B$65,C884)=0,"Not on Crops",IF(NOT(ISNUMBER(E884)),"Needs the amount",IF(AND(D884&lt;&gt;"",COUNTIF(Beds!$B$6:$B$35,D884)=0),"Not on Beds",""))))))</f>
        <v/>
      </c>
      <c r="J884" s="1">
        <f>IF(ISNUMBER(B884),YEAR(B884),"")</f>
        <v/>
      </c>
      <c r="K884">
        <f>IF(ISNUMBER(B884),YEAR(B884)*100+MONTH(B884),"")</f>
        <v/>
      </c>
      <c r="L884">
        <f>IF(ISNUMBER(B884),INT(B884),0)</f>
        <v/>
      </c>
    </row>
    <row r="885">
      <c r="A885" s="1" t="n"/>
      <c r="B885" s="17" t="n"/>
      <c r="C885" s="18" t="n"/>
      <c r="D885" s="19" t="n"/>
      <c r="E885" s="23" t="n"/>
      <c r="F885" s="21" t="n"/>
      <c r="G885" s="11">
        <f>IF(C885="","",IFERROR(INDEX(Crops!$D$6:$D$65,MATCH(C885,Crops!$B$6:$B$65,0))&amp;"",""))</f>
        <v/>
      </c>
      <c r="H885" s="12">
        <f>IF(OR(C885="",NOT(ISNUMBER(E885))),"",E885*N(IFERROR(INDEX(Crops!$E$6:$E$65,MATCH(C885,Crops!$B$6:$B$65,0)),0)))</f>
        <v/>
      </c>
      <c r="I885" s="11">
        <f>IF(AND(C885="",E885=""),"",IF(NOT(ISNUMBER(B885)),"Needs a date",IF(C885="","Needs a crop",IF(COUNTIF(Crops!$B$6:$B$65,C885)=0,"Not on Crops",IF(NOT(ISNUMBER(E885)),"Needs the amount",IF(AND(D885&lt;&gt;"",COUNTIF(Beds!$B$6:$B$35,D885)=0),"Not on Beds",""))))))</f>
        <v/>
      </c>
      <c r="J885" s="1">
        <f>IF(ISNUMBER(B885),YEAR(B885),"")</f>
        <v/>
      </c>
      <c r="K885">
        <f>IF(ISNUMBER(B885),YEAR(B885)*100+MONTH(B885),"")</f>
        <v/>
      </c>
      <c r="L885">
        <f>IF(ISNUMBER(B885),INT(B885),0)</f>
        <v/>
      </c>
    </row>
    <row r="886">
      <c r="A886" s="1" t="n"/>
      <c r="B886" s="17" t="n"/>
      <c r="C886" s="18" t="n"/>
      <c r="D886" s="19" t="n"/>
      <c r="E886" s="23" t="n"/>
      <c r="F886" s="21" t="n"/>
      <c r="G886" s="11">
        <f>IF(C886="","",IFERROR(INDEX(Crops!$D$6:$D$65,MATCH(C886,Crops!$B$6:$B$65,0))&amp;"",""))</f>
        <v/>
      </c>
      <c r="H886" s="12">
        <f>IF(OR(C886="",NOT(ISNUMBER(E886))),"",E886*N(IFERROR(INDEX(Crops!$E$6:$E$65,MATCH(C886,Crops!$B$6:$B$65,0)),0)))</f>
        <v/>
      </c>
      <c r="I886" s="11">
        <f>IF(AND(C886="",E886=""),"",IF(NOT(ISNUMBER(B886)),"Needs a date",IF(C886="","Needs a crop",IF(COUNTIF(Crops!$B$6:$B$65,C886)=0,"Not on Crops",IF(NOT(ISNUMBER(E886)),"Needs the amount",IF(AND(D886&lt;&gt;"",COUNTIF(Beds!$B$6:$B$35,D886)=0),"Not on Beds",""))))))</f>
        <v/>
      </c>
      <c r="J886" s="1">
        <f>IF(ISNUMBER(B886),YEAR(B886),"")</f>
        <v/>
      </c>
      <c r="K886">
        <f>IF(ISNUMBER(B886),YEAR(B886)*100+MONTH(B886),"")</f>
        <v/>
      </c>
      <c r="L886">
        <f>IF(ISNUMBER(B886),INT(B886),0)</f>
        <v/>
      </c>
    </row>
    <row r="887">
      <c r="A887" s="1" t="n"/>
      <c r="B887" s="17" t="n"/>
      <c r="C887" s="18" t="n"/>
      <c r="D887" s="19" t="n"/>
      <c r="E887" s="23" t="n"/>
      <c r="F887" s="21" t="n"/>
      <c r="G887" s="11">
        <f>IF(C887="","",IFERROR(INDEX(Crops!$D$6:$D$65,MATCH(C887,Crops!$B$6:$B$65,0))&amp;"",""))</f>
        <v/>
      </c>
      <c r="H887" s="12">
        <f>IF(OR(C887="",NOT(ISNUMBER(E887))),"",E887*N(IFERROR(INDEX(Crops!$E$6:$E$65,MATCH(C887,Crops!$B$6:$B$65,0)),0)))</f>
        <v/>
      </c>
      <c r="I887" s="11">
        <f>IF(AND(C887="",E887=""),"",IF(NOT(ISNUMBER(B887)),"Needs a date",IF(C887="","Needs a crop",IF(COUNTIF(Crops!$B$6:$B$65,C887)=0,"Not on Crops",IF(NOT(ISNUMBER(E887)),"Needs the amount",IF(AND(D887&lt;&gt;"",COUNTIF(Beds!$B$6:$B$35,D887)=0),"Not on Beds",""))))))</f>
        <v/>
      </c>
      <c r="J887" s="1">
        <f>IF(ISNUMBER(B887),YEAR(B887),"")</f>
        <v/>
      </c>
      <c r="K887">
        <f>IF(ISNUMBER(B887),YEAR(B887)*100+MONTH(B887),"")</f>
        <v/>
      </c>
      <c r="L887">
        <f>IF(ISNUMBER(B887),INT(B887),0)</f>
        <v/>
      </c>
    </row>
    <row r="888">
      <c r="A888" s="1" t="n"/>
      <c r="B888" s="17" t="n"/>
      <c r="C888" s="18" t="n"/>
      <c r="D888" s="19" t="n"/>
      <c r="E888" s="23" t="n"/>
      <c r="F888" s="21" t="n"/>
      <c r="G888" s="11">
        <f>IF(C888="","",IFERROR(INDEX(Crops!$D$6:$D$65,MATCH(C888,Crops!$B$6:$B$65,0))&amp;"",""))</f>
        <v/>
      </c>
      <c r="H888" s="12">
        <f>IF(OR(C888="",NOT(ISNUMBER(E888))),"",E888*N(IFERROR(INDEX(Crops!$E$6:$E$65,MATCH(C888,Crops!$B$6:$B$65,0)),0)))</f>
        <v/>
      </c>
      <c r="I888" s="11">
        <f>IF(AND(C888="",E888=""),"",IF(NOT(ISNUMBER(B888)),"Needs a date",IF(C888="","Needs a crop",IF(COUNTIF(Crops!$B$6:$B$65,C888)=0,"Not on Crops",IF(NOT(ISNUMBER(E888)),"Needs the amount",IF(AND(D888&lt;&gt;"",COUNTIF(Beds!$B$6:$B$35,D888)=0),"Not on Beds",""))))))</f>
        <v/>
      </c>
      <c r="J888" s="1">
        <f>IF(ISNUMBER(B888),YEAR(B888),"")</f>
        <v/>
      </c>
      <c r="K888">
        <f>IF(ISNUMBER(B888),YEAR(B888)*100+MONTH(B888),"")</f>
        <v/>
      </c>
      <c r="L888">
        <f>IF(ISNUMBER(B888),INT(B888),0)</f>
        <v/>
      </c>
    </row>
    <row r="889">
      <c r="A889" s="1" t="n"/>
      <c r="B889" s="17" t="n"/>
      <c r="C889" s="18" t="n"/>
      <c r="D889" s="19" t="n"/>
      <c r="E889" s="23" t="n"/>
      <c r="F889" s="21" t="n"/>
      <c r="G889" s="11">
        <f>IF(C889="","",IFERROR(INDEX(Crops!$D$6:$D$65,MATCH(C889,Crops!$B$6:$B$65,0))&amp;"",""))</f>
        <v/>
      </c>
      <c r="H889" s="12">
        <f>IF(OR(C889="",NOT(ISNUMBER(E889))),"",E889*N(IFERROR(INDEX(Crops!$E$6:$E$65,MATCH(C889,Crops!$B$6:$B$65,0)),0)))</f>
        <v/>
      </c>
      <c r="I889" s="11">
        <f>IF(AND(C889="",E889=""),"",IF(NOT(ISNUMBER(B889)),"Needs a date",IF(C889="","Needs a crop",IF(COUNTIF(Crops!$B$6:$B$65,C889)=0,"Not on Crops",IF(NOT(ISNUMBER(E889)),"Needs the amount",IF(AND(D889&lt;&gt;"",COUNTIF(Beds!$B$6:$B$35,D889)=0),"Not on Beds",""))))))</f>
        <v/>
      </c>
      <c r="J889" s="1">
        <f>IF(ISNUMBER(B889),YEAR(B889),"")</f>
        <v/>
      </c>
      <c r="K889">
        <f>IF(ISNUMBER(B889),YEAR(B889)*100+MONTH(B889),"")</f>
        <v/>
      </c>
      <c r="L889">
        <f>IF(ISNUMBER(B889),INT(B889),0)</f>
        <v/>
      </c>
    </row>
    <row r="890">
      <c r="A890" s="1" t="n"/>
      <c r="B890" s="17" t="n"/>
      <c r="C890" s="18" t="n"/>
      <c r="D890" s="19" t="n"/>
      <c r="E890" s="23" t="n"/>
      <c r="F890" s="21" t="n"/>
      <c r="G890" s="11">
        <f>IF(C890="","",IFERROR(INDEX(Crops!$D$6:$D$65,MATCH(C890,Crops!$B$6:$B$65,0))&amp;"",""))</f>
        <v/>
      </c>
      <c r="H890" s="12">
        <f>IF(OR(C890="",NOT(ISNUMBER(E890))),"",E890*N(IFERROR(INDEX(Crops!$E$6:$E$65,MATCH(C890,Crops!$B$6:$B$65,0)),0)))</f>
        <v/>
      </c>
      <c r="I890" s="11">
        <f>IF(AND(C890="",E890=""),"",IF(NOT(ISNUMBER(B890)),"Needs a date",IF(C890="","Needs a crop",IF(COUNTIF(Crops!$B$6:$B$65,C890)=0,"Not on Crops",IF(NOT(ISNUMBER(E890)),"Needs the amount",IF(AND(D890&lt;&gt;"",COUNTIF(Beds!$B$6:$B$35,D890)=0),"Not on Beds",""))))))</f>
        <v/>
      </c>
      <c r="J890" s="1">
        <f>IF(ISNUMBER(B890),YEAR(B890),"")</f>
        <v/>
      </c>
      <c r="K890">
        <f>IF(ISNUMBER(B890),YEAR(B890)*100+MONTH(B890),"")</f>
        <v/>
      </c>
      <c r="L890">
        <f>IF(ISNUMBER(B890),INT(B890),0)</f>
        <v/>
      </c>
    </row>
    <row r="891">
      <c r="A891" s="1" t="n"/>
      <c r="B891" s="17" t="n"/>
      <c r="C891" s="18" t="n"/>
      <c r="D891" s="19" t="n"/>
      <c r="E891" s="23" t="n"/>
      <c r="F891" s="21" t="n"/>
      <c r="G891" s="11">
        <f>IF(C891="","",IFERROR(INDEX(Crops!$D$6:$D$65,MATCH(C891,Crops!$B$6:$B$65,0))&amp;"",""))</f>
        <v/>
      </c>
      <c r="H891" s="12">
        <f>IF(OR(C891="",NOT(ISNUMBER(E891))),"",E891*N(IFERROR(INDEX(Crops!$E$6:$E$65,MATCH(C891,Crops!$B$6:$B$65,0)),0)))</f>
        <v/>
      </c>
      <c r="I891" s="11">
        <f>IF(AND(C891="",E891=""),"",IF(NOT(ISNUMBER(B891)),"Needs a date",IF(C891="","Needs a crop",IF(COUNTIF(Crops!$B$6:$B$65,C891)=0,"Not on Crops",IF(NOT(ISNUMBER(E891)),"Needs the amount",IF(AND(D891&lt;&gt;"",COUNTIF(Beds!$B$6:$B$35,D891)=0),"Not on Beds",""))))))</f>
        <v/>
      </c>
      <c r="J891" s="1">
        <f>IF(ISNUMBER(B891),YEAR(B891),"")</f>
        <v/>
      </c>
      <c r="K891">
        <f>IF(ISNUMBER(B891),YEAR(B891)*100+MONTH(B891),"")</f>
        <v/>
      </c>
      <c r="L891">
        <f>IF(ISNUMBER(B891),INT(B891),0)</f>
        <v/>
      </c>
    </row>
    <row r="892">
      <c r="A892" s="1" t="n"/>
      <c r="B892" s="17" t="n"/>
      <c r="C892" s="18" t="n"/>
      <c r="D892" s="19" t="n"/>
      <c r="E892" s="23" t="n"/>
      <c r="F892" s="21" t="n"/>
      <c r="G892" s="11">
        <f>IF(C892="","",IFERROR(INDEX(Crops!$D$6:$D$65,MATCH(C892,Crops!$B$6:$B$65,0))&amp;"",""))</f>
        <v/>
      </c>
      <c r="H892" s="12">
        <f>IF(OR(C892="",NOT(ISNUMBER(E892))),"",E892*N(IFERROR(INDEX(Crops!$E$6:$E$65,MATCH(C892,Crops!$B$6:$B$65,0)),0)))</f>
        <v/>
      </c>
      <c r="I892" s="11">
        <f>IF(AND(C892="",E892=""),"",IF(NOT(ISNUMBER(B892)),"Needs a date",IF(C892="","Needs a crop",IF(COUNTIF(Crops!$B$6:$B$65,C892)=0,"Not on Crops",IF(NOT(ISNUMBER(E892)),"Needs the amount",IF(AND(D892&lt;&gt;"",COUNTIF(Beds!$B$6:$B$35,D892)=0),"Not on Beds",""))))))</f>
        <v/>
      </c>
      <c r="J892" s="1">
        <f>IF(ISNUMBER(B892),YEAR(B892),"")</f>
        <v/>
      </c>
      <c r="K892">
        <f>IF(ISNUMBER(B892),YEAR(B892)*100+MONTH(B892),"")</f>
        <v/>
      </c>
      <c r="L892">
        <f>IF(ISNUMBER(B892),INT(B892),0)</f>
        <v/>
      </c>
    </row>
    <row r="893">
      <c r="A893" s="1" t="n"/>
      <c r="B893" s="17" t="n"/>
      <c r="C893" s="18" t="n"/>
      <c r="D893" s="19" t="n"/>
      <c r="E893" s="23" t="n"/>
      <c r="F893" s="21" t="n"/>
      <c r="G893" s="11">
        <f>IF(C893="","",IFERROR(INDEX(Crops!$D$6:$D$65,MATCH(C893,Crops!$B$6:$B$65,0))&amp;"",""))</f>
        <v/>
      </c>
      <c r="H893" s="12">
        <f>IF(OR(C893="",NOT(ISNUMBER(E893))),"",E893*N(IFERROR(INDEX(Crops!$E$6:$E$65,MATCH(C893,Crops!$B$6:$B$65,0)),0)))</f>
        <v/>
      </c>
      <c r="I893" s="11">
        <f>IF(AND(C893="",E893=""),"",IF(NOT(ISNUMBER(B893)),"Needs a date",IF(C893="","Needs a crop",IF(COUNTIF(Crops!$B$6:$B$65,C893)=0,"Not on Crops",IF(NOT(ISNUMBER(E893)),"Needs the amount",IF(AND(D893&lt;&gt;"",COUNTIF(Beds!$B$6:$B$35,D893)=0),"Not on Beds",""))))))</f>
        <v/>
      </c>
      <c r="J893" s="1">
        <f>IF(ISNUMBER(B893),YEAR(B893),"")</f>
        <v/>
      </c>
      <c r="K893">
        <f>IF(ISNUMBER(B893),YEAR(B893)*100+MONTH(B893),"")</f>
        <v/>
      </c>
      <c r="L893">
        <f>IF(ISNUMBER(B893),INT(B893),0)</f>
        <v/>
      </c>
    </row>
    <row r="894">
      <c r="A894" s="1" t="n"/>
      <c r="B894" s="17" t="n"/>
      <c r="C894" s="18" t="n"/>
      <c r="D894" s="19" t="n"/>
      <c r="E894" s="23" t="n"/>
      <c r="F894" s="21" t="n"/>
      <c r="G894" s="11">
        <f>IF(C894="","",IFERROR(INDEX(Crops!$D$6:$D$65,MATCH(C894,Crops!$B$6:$B$65,0))&amp;"",""))</f>
        <v/>
      </c>
      <c r="H894" s="12">
        <f>IF(OR(C894="",NOT(ISNUMBER(E894))),"",E894*N(IFERROR(INDEX(Crops!$E$6:$E$65,MATCH(C894,Crops!$B$6:$B$65,0)),0)))</f>
        <v/>
      </c>
      <c r="I894" s="11">
        <f>IF(AND(C894="",E894=""),"",IF(NOT(ISNUMBER(B894)),"Needs a date",IF(C894="","Needs a crop",IF(COUNTIF(Crops!$B$6:$B$65,C894)=0,"Not on Crops",IF(NOT(ISNUMBER(E894)),"Needs the amount",IF(AND(D894&lt;&gt;"",COUNTIF(Beds!$B$6:$B$35,D894)=0),"Not on Beds",""))))))</f>
        <v/>
      </c>
      <c r="J894" s="1">
        <f>IF(ISNUMBER(B894),YEAR(B894),"")</f>
        <v/>
      </c>
      <c r="K894">
        <f>IF(ISNUMBER(B894),YEAR(B894)*100+MONTH(B894),"")</f>
        <v/>
      </c>
      <c r="L894">
        <f>IF(ISNUMBER(B894),INT(B894),0)</f>
        <v/>
      </c>
    </row>
    <row r="895">
      <c r="A895" s="1" t="n"/>
      <c r="B895" s="17" t="n"/>
      <c r="C895" s="18" t="n"/>
      <c r="D895" s="19" t="n"/>
      <c r="E895" s="23" t="n"/>
      <c r="F895" s="21" t="n"/>
      <c r="G895" s="11">
        <f>IF(C895="","",IFERROR(INDEX(Crops!$D$6:$D$65,MATCH(C895,Crops!$B$6:$B$65,0))&amp;"",""))</f>
        <v/>
      </c>
      <c r="H895" s="12">
        <f>IF(OR(C895="",NOT(ISNUMBER(E895))),"",E895*N(IFERROR(INDEX(Crops!$E$6:$E$65,MATCH(C895,Crops!$B$6:$B$65,0)),0)))</f>
        <v/>
      </c>
      <c r="I895" s="11">
        <f>IF(AND(C895="",E895=""),"",IF(NOT(ISNUMBER(B895)),"Needs a date",IF(C895="","Needs a crop",IF(COUNTIF(Crops!$B$6:$B$65,C895)=0,"Not on Crops",IF(NOT(ISNUMBER(E895)),"Needs the amount",IF(AND(D895&lt;&gt;"",COUNTIF(Beds!$B$6:$B$35,D895)=0),"Not on Beds",""))))))</f>
        <v/>
      </c>
      <c r="J895" s="1">
        <f>IF(ISNUMBER(B895),YEAR(B895),"")</f>
        <v/>
      </c>
      <c r="K895">
        <f>IF(ISNUMBER(B895),YEAR(B895)*100+MONTH(B895),"")</f>
        <v/>
      </c>
      <c r="L895">
        <f>IF(ISNUMBER(B895),INT(B895),0)</f>
        <v/>
      </c>
    </row>
    <row r="896">
      <c r="A896" s="1" t="n"/>
      <c r="B896" s="17" t="n"/>
      <c r="C896" s="18" t="n"/>
      <c r="D896" s="19" t="n"/>
      <c r="E896" s="23" t="n"/>
      <c r="F896" s="21" t="n"/>
      <c r="G896" s="11">
        <f>IF(C896="","",IFERROR(INDEX(Crops!$D$6:$D$65,MATCH(C896,Crops!$B$6:$B$65,0))&amp;"",""))</f>
        <v/>
      </c>
      <c r="H896" s="12">
        <f>IF(OR(C896="",NOT(ISNUMBER(E896))),"",E896*N(IFERROR(INDEX(Crops!$E$6:$E$65,MATCH(C896,Crops!$B$6:$B$65,0)),0)))</f>
        <v/>
      </c>
      <c r="I896" s="11">
        <f>IF(AND(C896="",E896=""),"",IF(NOT(ISNUMBER(B896)),"Needs a date",IF(C896="","Needs a crop",IF(COUNTIF(Crops!$B$6:$B$65,C896)=0,"Not on Crops",IF(NOT(ISNUMBER(E896)),"Needs the amount",IF(AND(D896&lt;&gt;"",COUNTIF(Beds!$B$6:$B$35,D896)=0),"Not on Beds",""))))))</f>
        <v/>
      </c>
      <c r="J896" s="1">
        <f>IF(ISNUMBER(B896),YEAR(B896),"")</f>
        <v/>
      </c>
      <c r="K896">
        <f>IF(ISNUMBER(B896),YEAR(B896)*100+MONTH(B896),"")</f>
        <v/>
      </c>
      <c r="L896">
        <f>IF(ISNUMBER(B896),INT(B896),0)</f>
        <v/>
      </c>
    </row>
    <row r="897">
      <c r="A897" s="1" t="n"/>
      <c r="B897" s="17" t="n"/>
      <c r="C897" s="18" t="n"/>
      <c r="D897" s="19" t="n"/>
      <c r="E897" s="23" t="n"/>
      <c r="F897" s="21" t="n"/>
      <c r="G897" s="11">
        <f>IF(C897="","",IFERROR(INDEX(Crops!$D$6:$D$65,MATCH(C897,Crops!$B$6:$B$65,0))&amp;"",""))</f>
        <v/>
      </c>
      <c r="H897" s="12">
        <f>IF(OR(C897="",NOT(ISNUMBER(E897))),"",E897*N(IFERROR(INDEX(Crops!$E$6:$E$65,MATCH(C897,Crops!$B$6:$B$65,0)),0)))</f>
        <v/>
      </c>
      <c r="I897" s="11">
        <f>IF(AND(C897="",E897=""),"",IF(NOT(ISNUMBER(B897)),"Needs a date",IF(C897="","Needs a crop",IF(COUNTIF(Crops!$B$6:$B$65,C897)=0,"Not on Crops",IF(NOT(ISNUMBER(E897)),"Needs the amount",IF(AND(D897&lt;&gt;"",COUNTIF(Beds!$B$6:$B$35,D897)=0),"Not on Beds",""))))))</f>
        <v/>
      </c>
      <c r="J897" s="1">
        <f>IF(ISNUMBER(B897),YEAR(B897),"")</f>
        <v/>
      </c>
      <c r="K897">
        <f>IF(ISNUMBER(B897),YEAR(B897)*100+MONTH(B897),"")</f>
        <v/>
      </c>
      <c r="L897">
        <f>IF(ISNUMBER(B897),INT(B897),0)</f>
        <v/>
      </c>
    </row>
    <row r="898">
      <c r="A898" s="1" t="n"/>
      <c r="B898" s="17" t="n"/>
      <c r="C898" s="18" t="n"/>
      <c r="D898" s="19" t="n"/>
      <c r="E898" s="23" t="n"/>
      <c r="F898" s="21" t="n"/>
      <c r="G898" s="11">
        <f>IF(C898="","",IFERROR(INDEX(Crops!$D$6:$D$65,MATCH(C898,Crops!$B$6:$B$65,0))&amp;"",""))</f>
        <v/>
      </c>
      <c r="H898" s="12">
        <f>IF(OR(C898="",NOT(ISNUMBER(E898))),"",E898*N(IFERROR(INDEX(Crops!$E$6:$E$65,MATCH(C898,Crops!$B$6:$B$65,0)),0)))</f>
        <v/>
      </c>
      <c r="I898" s="11">
        <f>IF(AND(C898="",E898=""),"",IF(NOT(ISNUMBER(B898)),"Needs a date",IF(C898="","Needs a crop",IF(COUNTIF(Crops!$B$6:$B$65,C898)=0,"Not on Crops",IF(NOT(ISNUMBER(E898)),"Needs the amount",IF(AND(D898&lt;&gt;"",COUNTIF(Beds!$B$6:$B$35,D898)=0),"Not on Beds",""))))))</f>
        <v/>
      </c>
      <c r="J898" s="1">
        <f>IF(ISNUMBER(B898),YEAR(B898),"")</f>
        <v/>
      </c>
      <c r="K898">
        <f>IF(ISNUMBER(B898),YEAR(B898)*100+MONTH(B898),"")</f>
        <v/>
      </c>
      <c r="L898">
        <f>IF(ISNUMBER(B898),INT(B898),0)</f>
        <v/>
      </c>
    </row>
    <row r="899">
      <c r="A899" s="1" t="n"/>
      <c r="B899" s="17" t="n"/>
      <c r="C899" s="18" t="n"/>
      <c r="D899" s="19" t="n"/>
      <c r="E899" s="23" t="n"/>
      <c r="F899" s="21" t="n"/>
      <c r="G899" s="11">
        <f>IF(C899="","",IFERROR(INDEX(Crops!$D$6:$D$65,MATCH(C899,Crops!$B$6:$B$65,0))&amp;"",""))</f>
        <v/>
      </c>
      <c r="H899" s="12">
        <f>IF(OR(C899="",NOT(ISNUMBER(E899))),"",E899*N(IFERROR(INDEX(Crops!$E$6:$E$65,MATCH(C899,Crops!$B$6:$B$65,0)),0)))</f>
        <v/>
      </c>
      <c r="I899" s="11">
        <f>IF(AND(C899="",E899=""),"",IF(NOT(ISNUMBER(B899)),"Needs a date",IF(C899="","Needs a crop",IF(COUNTIF(Crops!$B$6:$B$65,C899)=0,"Not on Crops",IF(NOT(ISNUMBER(E899)),"Needs the amount",IF(AND(D899&lt;&gt;"",COUNTIF(Beds!$B$6:$B$35,D899)=0),"Not on Beds",""))))))</f>
        <v/>
      </c>
      <c r="J899" s="1">
        <f>IF(ISNUMBER(B899),YEAR(B899),"")</f>
        <v/>
      </c>
      <c r="K899">
        <f>IF(ISNUMBER(B899),YEAR(B899)*100+MONTH(B899),"")</f>
        <v/>
      </c>
      <c r="L899">
        <f>IF(ISNUMBER(B899),INT(B899),0)</f>
        <v/>
      </c>
    </row>
    <row r="900">
      <c r="A900" s="1" t="n"/>
      <c r="B900" s="17" t="n"/>
      <c r="C900" s="18" t="n"/>
      <c r="D900" s="19" t="n"/>
      <c r="E900" s="23" t="n"/>
      <c r="F900" s="21" t="n"/>
      <c r="G900" s="11">
        <f>IF(C900="","",IFERROR(INDEX(Crops!$D$6:$D$65,MATCH(C900,Crops!$B$6:$B$65,0))&amp;"",""))</f>
        <v/>
      </c>
      <c r="H900" s="12">
        <f>IF(OR(C900="",NOT(ISNUMBER(E900))),"",E900*N(IFERROR(INDEX(Crops!$E$6:$E$65,MATCH(C900,Crops!$B$6:$B$65,0)),0)))</f>
        <v/>
      </c>
      <c r="I900" s="11">
        <f>IF(AND(C900="",E900=""),"",IF(NOT(ISNUMBER(B900)),"Needs a date",IF(C900="","Needs a crop",IF(COUNTIF(Crops!$B$6:$B$65,C900)=0,"Not on Crops",IF(NOT(ISNUMBER(E900)),"Needs the amount",IF(AND(D900&lt;&gt;"",COUNTIF(Beds!$B$6:$B$35,D900)=0),"Not on Beds",""))))))</f>
        <v/>
      </c>
      <c r="J900" s="1">
        <f>IF(ISNUMBER(B900),YEAR(B900),"")</f>
        <v/>
      </c>
      <c r="K900">
        <f>IF(ISNUMBER(B900),YEAR(B900)*100+MONTH(B900),"")</f>
        <v/>
      </c>
      <c r="L900">
        <f>IF(ISNUMBER(B900),INT(B900),0)</f>
        <v/>
      </c>
    </row>
    <row r="901">
      <c r="A901" s="1" t="n"/>
      <c r="B901" s="17" t="n"/>
      <c r="C901" s="18" t="n"/>
      <c r="D901" s="19" t="n"/>
      <c r="E901" s="23" t="n"/>
      <c r="F901" s="21" t="n"/>
      <c r="G901" s="11">
        <f>IF(C901="","",IFERROR(INDEX(Crops!$D$6:$D$65,MATCH(C901,Crops!$B$6:$B$65,0))&amp;"",""))</f>
        <v/>
      </c>
      <c r="H901" s="12">
        <f>IF(OR(C901="",NOT(ISNUMBER(E901))),"",E901*N(IFERROR(INDEX(Crops!$E$6:$E$65,MATCH(C901,Crops!$B$6:$B$65,0)),0)))</f>
        <v/>
      </c>
      <c r="I901" s="11">
        <f>IF(AND(C901="",E901=""),"",IF(NOT(ISNUMBER(B901)),"Needs a date",IF(C901="","Needs a crop",IF(COUNTIF(Crops!$B$6:$B$65,C901)=0,"Not on Crops",IF(NOT(ISNUMBER(E901)),"Needs the amount",IF(AND(D901&lt;&gt;"",COUNTIF(Beds!$B$6:$B$35,D901)=0),"Not on Beds",""))))))</f>
        <v/>
      </c>
      <c r="J901" s="1">
        <f>IF(ISNUMBER(B901),YEAR(B901),"")</f>
        <v/>
      </c>
      <c r="K901">
        <f>IF(ISNUMBER(B901),YEAR(B901)*100+MONTH(B901),"")</f>
        <v/>
      </c>
      <c r="L901">
        <f>IF(ISNUMBER(B901),INT(B901),0)</f>
        <v/>
      </c>
    </row>
    <row r="902">
      <c r="A902" s="1" t="n"/>
      <c r="B902" s="17" t="n"/>
      <c r="C902" s="18" t="n"/>
      <c r="D902" s="19" t="n"/>
      <c r="E902" s="23" t="n"/>
      <c r="F902" s="21" t="n"/>
      <c r="G902" s="11">
        <f>IF(C902="","",IFERROR(INDEX(Crops!$D$6:$D$65,MATCH(C902,Crops!$B$6:$B$65,0))&amp;"",""))</f>
        <v/>
      </c>
      <c r="H902" s="12">
        <f>IF(OR(C902="",NOT(ISNUMBER(E902))),"",E902*N(IFERROR(INDEX(Crops!$E$6:$E$65,MATCH(C902,Crops!$B$6:$B$65,0)),0)))</f>
        <v/>
      </c>
      <c r="I902" s="11">
        <f>IF(AND(C902="",E902=""),"",IF(NOT(ISNUMBER(B902)),"Needs a date",IF(C902="","Needs a crop",IF(COUNTIF(Crops!$B$6:$B$65,C902)=0,"Not on Crops",IF(NOT(ISNUMBER(E902)),"Needs the amount",IF(AND(D902&lt;&gt;"",COUNTIF(Beds!$B$6:$B$35,D902)=0),"Not on Beds",""))))))</f>
        <v/>
      </c>
      <c r="J902" s="1">
        <f>IF(ISNUMBER(B902),YEAR(B902),"")</f>
        <v/>
      </c>
      <c r="K902">
        <f>IF(ISNUMBER(B902),YEAR(B902)*100+MONTH(B902),"")</f>
        <v/>
      </c>
      <c r="L902">
        <f>IF(ISNUMBER(B902),INT(B902),0)</f>
        <v/>
      </c>
    </row>
    <row r="903">
      <c r="A903" s="1" t="n"/>
      <c r="B903" s="17" t="n"/>
      <c r="C903" s="18" t="n"/>
      <c r="D903" s="19" t="n"/>
      <c r="E903" s="23" t="n"/>
      <c r="F903" s="21" t="n"/>
      <c r="G903" s="11">
        <f>IF(C903="","",IFERROR(INDEX(Crops!$D$6:$D$65,MATCH(C903,Crops!$B$6:$B$65,0))&amp;"",""))</f>
        <v/>
      </c>
      <c r="H903" s="12">
        <f>IF(OR(C903="",NOT(ISNUMBER(E903))),"",E903*N(IFERROR(INDEX(Crops!$E$6:$E$65,MATCH(C903,Crops!$B$6:$B$65,0)),0)))</f>
        <v/>
      </c>
      <c r="I903" s="11">
        <f>IF(AND(C903="",E903=""),"",IF(NOT(ISNUMBER(B903)),"Needs a date",IF(C903="","Needs a crop",IF(COUNTIF(Crops!$B$6:$B$65,C903)=0,"Not on Crops",IF(NOT(ISNUMBER(E903)),"Needs the amount",IF(AND(D903&lt;&gt;"",COUNTIF(Beds!$B$6:$B$35,D903)=0),"Not on Beds",""))))))</f>
        <v/>
      </c>
      <c r="J903" s="1">
        <f>IF(ISNUMBER(B903),YEAR(B903),"")</f>
        <v/>
      </c>
      <c r="K903">
        <f>IF(ISNUMBER(B903),YEAR(B903)*100+MONTH(B903),"")</f>
        <v/>
      </c>
      <c r="L903">
        <f>IF(ISNUMBER(B903),INT(B903),0)</f>
        <v/>
      </c>
    </row>
    <row r="904">
      <c r="A904" s="1" t="n"/>
      <c r="B904" s="17" t="n"/>
      <c r="C904" s="18" t="n"/>
      <c r="D904" s="19" t="n"/>
      <c r="E904" s="23" t="n"/>
      <c r="F904" s="21" t="n"/>
      <c r="G904" s="11">
        <f>IF(C904="","",IFERROR(INDEX(Crops!$D$6:$D$65,MATCH(C904,Crops!$B$6:$B$65,0))&amp;"",""))</f>
        <v/>
      </c>
      <c r="H904" s="12">
        <f>IF(OR(C904="",NOT(ISNUMBER(E904))),"",E904*N(IFERROR(INDEX(Crops!$E$6:$E$65,MATCH(C904,Crops!$B$6:$B$65,0)),0)))</f>
        <v/>
      </c>
      <c r="I904" s="11">
        <f>IF(AND(C904="",E904=""),"",IF(NOT(ISNUMBER(B904)),"Needs a date",IF(C904="","Needs a crop",IF(COUNTIF(Crops!$B$6:$B$65,C904)=0,"Not on Crops",IF(NOT(ISNUMBER(E904)),"Needs the amount",IF(AND(D904&lt;&gt;"",COUNTIF(Beds!$B$6:$B$35,D904)=0),"Not on Beds",""))))))</f>
        <v/>
      </c>
      <c r="J904" s="1">
        <f>IF(ISNUMBER(B904),YEAR(B904),"")</f>
        <v/>
      </c>
      <c r="K904">
        <f>IF(ISNUMBER(B904),YEAR(B904)*100+MONTH(B904),"")</f>
        <v/>
      </c>
      <c r="L904">
        <f>IF(ISNUMBER(B904),INT(B904),0)</f>
        <v/>
      </c>
    </row>
    <row r="905">
      <c r="A905" s="1" t="n"/>
      <c r="B905" s="17" t="n"/>
      <c r="C905" s="18" t="n"/>
      <c r="D905" s="19" t="n"/>
      <c r="E905" s="23" t="n"/>
      <c r="F905" s="21" t="n"/>
      <c r="G905" s="11">
        <f>IF(C905="","",IFERROR(INDEX(Crops!$D$6:$D$65,MATCH(C905,Crops!$B$6:$B$65,0))&amp;"",""))</f>
        <v/>
      </c>
      <c r="H905" s="12">
        <f>IF(OR(C905="",NOT(ISNUMBER(E905))),"",E905*N(IFERROR(INDEX(Crops!$E$6:$E$65,MATCH(C905,Crops!$B$6:$B$65,0)),0)))</f>
        <v/>
      </c>
      <c r="I905" s="11">
        <f>IF(AND(C905="",E905=""),"",IF(NOT(ISNUMBER(B905)),"Needs a date",IF(C905="","Needs a crop",IF(COUNTIF(Crops!$B$6:$B$65,C905)=0,"Not on Crops",IF(NOT(ISNUMBER(E905)),"Needs the amount",IF(AND(D905&lt;&gt;"",COUNTIF(Beds!$B$6:$B$35,D905)=0),"Not on Beds",""))))))</f>
        <v/>
      </c>
      <c r="J905" s="1">
        <f>IF(ISNUMBER(B905),YEAR(B905),"")</f>
        <v/>
      </c>
      <c r="K905">
        <f>IF(ISNUMBER(B905),YEAR(B905)*100+MONTH(B905),"")</f>
        <v/>
      </c>
      <c r="L905">
        <f>IF(ISNUMBER(B905),INT(B905),0)</f>
        <v/>
      </c>
    </row>
    <row r="906">
      <c r="A906" s="1" t="n"/>
      <c r="B906" s="17" t="n"/>
      <c r="C906" s="18" t="n"/>
      <c r="D906" s="19" t="n"/>
      <c r="E906" s="23" t="n"/>
      <c r="F906" s="21" t="n"/>
      <c r="G906" s="11">
        <f>IF(C906="","",IFERROR(INDEX(Crops!$D$6:$D$65,MATCH(C906,Crops!$B$6:$B$65,0))&amp;"",""))</f>
        <v/>
      </c>
      <c r="H906" s="12">
        <f>IF(OR(C906="",NOT(ISNUMBER(E906))),"",E906*N(IFERROR(INDEX(Crops!$E$6:$E$65,MATCH(C906,Crops!$B$6:$B$65,0)),0)))</f>
        <v/>
      </c>
      <c r="I906" s="11">
        <f>IF(AND(C906="",E906=""),"",IF(NOT(ISNUMBER(B906)),"Needs a date",IF(C906="","Needs a crop",IF(COUNTIF(Crops!$B$6:$B$65,C906)=0,"Not on Crops",IF(NOT(ISNUMBER(E906)),"Needs the amount",IF(AND(D906&lt;&gt;"",COUNTIF(Beds!$B$6:$B$35,D906)=0),"Not on Beds",""))))))</f>
        <v/>
      </c>
      <c r="J906" s="1">
        <f>IF(ISNUMBER(B906),YEAR(B906),"")</f>
        <v/>
      </c>
      <c r="K906">
        <f>IF(ISNUMBER(B906),YEAR(B906)*100+MONTH(B906),"")</f>
        <v/>
      </c>
      <c r="L906">
        <f>IF(ISNUMBER(B906),INT(B906),0)</f>
        <v/>
      </c>
    </row>
    <row r="907">
      <c r="A907" s="1" t="n"/>
      <c r="B907" s="17" t="n"/>
      <c r="C907" s="18" t="n"/>
      <c r="D907" s="19" t="n"/>
      <c r="E907" s="23" t="n"/>
      <c r="F907" s="21" t="n"/>
      <c r="G907" s="11">
        <f>IF(C907="","",IFERROR(INDEX(Crops!$D$6:$D$65,MATCH(C907,Crops!$B$6:$B$65,0))&amp;"",""))</f>
        <v/>
      </c>
      <c r="H907" s="12">
        <f>IF(OR(C907="",NOT(ISNUMBER(E907))),"",E907*N(IFERROR(INDEX(Crops!$E$6:$E$65,MATCH(C907,Crops!$B$6:$B$65,0)),0)))</f>
        <v/>
      </c>
      <c r="I907" s="11">
        <f>IF(AND(C907="",E907=""),"",IF(NOT(ISNUMBER(B907)),"Needs a date",IF(C907="","Needs a crop",IF(COUNTIF(Crops!$B$6:$B$65,C907)=0,"Not on Crops",IF(NOT(ISNUMBER(E907)),"Needs the amount",IF(AND(D907&lt;&gt;"",COUNTIF(Beds!$B$6:$B$35,D907)=0),"Not on Beds",""))))))</f>
        <v/>
      </c>
      <c r="J907" s="1">
        <f>IF(ISNUMBER(B907),YEAR(B907),"")</f>
        <v/>
      </c>
      <c r="K907">
        <f>IF(ISNUMBER(B907),YEAR(B907)*100+MONTH(B907),"")</f>
        <v/>
      </c>
      <c r="L907">
        <f>IF(ISNUMBER(B907),INT(B907),0)</f>
        <v/>
      </c>
    </row>
    <row r="908">
      <c r="A908" s="1" t="n"/>
      <c r="B908" s="17" t="n"/>
      <c r="C908" s="18" t="n"/>
      <c r="D908" s="19" t="n"/>
      <c r="E908" s="23" t="n"/>
      <c r="F908" s="21" t="n"/>
      <c r="G908" s="11">
        <f>IF(C908="","",IFERROR(INDEX(Crops!$D$6:$D$65,MATCH(C908,Crops!$B$6:$B$65,0))&amp;"",""))</f>
        <v/>
      </c>
      <c r="H908" s="12">
        <f>IF(OR(C908="",NOT(ISNUMBER(E908))),"",E908*N(IFERROR(INDEX(Crops!$E$6:$E$65,MATCH(C908,Crops!$B$6:$B$65,0)),0)))</f>
        <v/>
      </c>
      <c r="I908" s="11">
        <f>IF(AND(C908="",E908=""),"",IF(NOT(ISNUMBER(B908)),"Needs a date",IF(C908="","Needs a crop",IF(COUNTIF(Crops!$B$6:$B$65,C908)=0,"Not on Crops",IF(NOT(ISNUMBER(E908)),"Needs the amount",IF(AND(D908&lt;&gt;"",COUNTIF(Beds!$B$6:$B$35,D908)=0),"Not on Beds",""))))))</f>
        <v/>
      </c>
      <c r="J908" s="1">
        <f>IF(ISNUMBER(B908),YEAR(B908),"")</f>
        <v/>
      </c>
      <c r="K908">
        <f>IF(ISNUMBER(B908),YEAR(B908)*100+MONTH(B908),"")</f>
        <v/>
      </c>
      <c r="L908">
        <f>IF(ISNUMBER(B908),INT(B908),0)</f>
        <v/>
      </c>
    </row>
    <row r="909">
      <c r="A909" s="1" t="n"/>
      <c r="B909" s="17" t="n"/>
      <c r="C909" s="18" t="n"/>
      <c r="D909" s="19" t="n"/>
      <c r="E909" s="23" t="n"/>
      <c r="F909" s="21" t="n"/>
      <c r="G909" s="11">
        <f>IF(C909="","",IFERROR(INDEX(Crops!$D$6:$D$65,MATCH(C909,Crops!$B$6:$B$65,0))&amp;"",""))</f>
        <v/>
      </c>
      <c r="H909" s="12">
        <f>IF(OR(C909="",NOT(ISNUMBER(E909))),"",E909*N(IFERROR(INDEX(Crops!$E$6:$E$65,MATCH(C909,Crops!$B$6:$B$65,0)),0)))</f>
        <v/>
      </c>
      <c r="I909" s="11">
        <f>IF(AND(C909="",E909=""),"",IF(NOT(ISNUMBER(B909)),"Needs a date",IF(C909="","Needs a crop",IF(COUNTIF(Crops!$B$6:$B$65,C909)=0,"Not on Crops",IF(NOT(ISNUMBER(E909)),"Needs the amount",IF(AND(D909&lt;&gt;"",COUNTIF(Beds!$B$6:$B$35,D909)=0),"Not on Beds",""))))))</f>
        <v/>
      </c>
      <c r="J909" s="1">
        <f>IF(ISNUMBER(B909),YEAR(B909),"")</f>
        <v/>
      </c>
      <c r="K909">
        <f>IF(ISNUMBER(B909),YEAR(B909)*100+MONTH(B909),"")</f>
        <v/>
      </c>
      <c r="L909">
        <f>IF(ISNUMBER(B909),INT(B909),0)</f>
        <v/>
      </c>
    </row>
    <row r="910">
      <c r="A910" s="1" t="n"/>
      <c r="B910" s="17" t="n"/>
      <c r="C910" s="18" t="n"/>
      <c r="D910" s="19" t="n"/>
      <c r="E910" s="23" t="n"/>
      <c r="F910" s="21" t="n"/>
      <c r="G910" s="11">
        <f>IF(C910="","",IFERROR(INDEX(Crops!$D$6:$D$65,MATCH(C910,Crops!$B$6:$B$65,0))&amp;"",""))</f>
        <v/>
      </c>
      <c r="H910" s="12">
        <f>IF(OR(C910="",NOT(ISNUMBER(E910))),"",E910*N(IFERROR(INDEX(Crops!$E$6:$E$65,MATCH(C910,Crops!$B$6:$B$65,0)),0)))</f>
        <v/>
      </c>
      <c r="I910" s="11">
        <f>IF(AND(C910="",E910=""),"",IF(NOT(ISNUMBER(B910)),"Needs a date",IF(C910="","Needs a crop",IF(COUNTIF(Crops!$B$6:$B$65,C910)=0,"Not on Crops",IF(NOT(ISNUMBER(E910)),"Needs the amount",IF(AND(D910&lt;&gt;"",COUNTIF(Beds!$B$6:$B$35,D910)=0),"Not on Beds",""))))))</f>
        <v/>
      </c>
      <c r="J910" s="1">
        <f>IF(ISNUMBER(B910),YEAR(B910),"")</f>
        <v/>
      </c>
      <c r="K910">
        <f>IF(ISNUMBER(B910),YEAR(B910)*100+MONTH(B910),"")</f>
        <v/>
      </c>
      <c r="L910">
        <f>IF(ISNUMBER(B910),INT(B910),0)</f>
        <v/>
      </c>
    </row>
    <row r="911">
      <c r="A911" s="1" t="n"/>
      <c r="B911" s="17" t="n"/>
      <c r="C911" s="18" t="n"/>
      <c r="D911" s="19" t="n"/>
      <c r="E911" s="23" t="n"/>
      <c r="F911" s="21" t="n"/>
      <c r="G911" s="11">
        <f>IF(C911="","",IFERROR(INDEX(Crops!$D$6:$D$65,MATCH(C911,Crops!$B$6:$B$65,0))&amp;"",""))</f>
        <v/>
      </c>
      <c r="H911" s="12">
        <f>IF(OR(C911="",NOT(ISNUMBER(E911))),"",E911*N(IFERROR(INDEX(Crops!$E$6:$E$65,MATCH(C911,Crops!$B$6:$B$65,0)),0)))</f>
        <v/>
      </c>
      <c r="I911" s="11">
        <f>IF(AND(C911="",E911=""),"",IF(NOT(ISNUMBER(B911)),"Needs a date",IF(C911="","Needs a crop",IF(COUNTIF(Crops!$B$6:$B$65,C911)=0,"Not on Crops",IF(NOT(ISNUMBER(E911)),"Needs the amount",IF(AND(D911&lt;&gt;"",COUNTIF(Beds!$B$6:$B$35,D911)=0),"Not on Beds",""))))))</f>
        <v/>
      </c>
      <c r="J911" s="1">
        <f>IF(ISNUMBER(B911),YEAR(B911),"")</f>
        <v/>
      </c>
      <c r="K911">
        <f>IF(ISNUMBER(B911),YEAR(B911)*100+MONTH(B911),"")</f>
        <v/>
      </c>
      <c r="L911">
        <f>IF(ISNUMBER(B911),INT(B911),0)</f>
        <v/>
      </c>
    </row>
    <row r="912">
      <c r="A912" s="1" t="n"/>
      <c r="B912" s="17" t="n"/>
      <c r="C912" s="18" t="n"/>
      <c r="D912" s="19" t="n"/>
      <c r="E912" s="23" t="n"/>
      <c r="F912" s="21" t="n"/>
      <c r="G912" s="11">
        <f>IF(C912="","",IFERROR(INDEX(Crops!$D$6:$D$65,MATCH(C912,Crops!$B$6:$B$65,0))&amp;"",""))</f>
        <v/>
      </c>
      <c r="H912" s="12">
        <f>IF(OR(C912="",NOT(ISNUMBER(E912))),"",E912*N(IFERROR(INDEX(Crops!$E$6:$E$65,MATCH(C912,Crops!$B$6:$B$65,0)),0)))</f>
        <v/>
      </c>
      <c r="I912" s="11">
        <f>IF(AND(C912="",E912=""),"",IF(NOT(ISNUMBER(B912)),"Needs a date",IF(C912="","Needs a crop",IF(COUNTIF(Crops!$B$6:$B$65,C912)=0,"Not on Crops",IF(NOT(ISNUMBER(E912)),"Needs the amount",IF(AND(D912&lt;&gt;"",COUNTIF(Beds!$B$6:$B$35,D912)=0),"Not on Beds",""))))))</f>
        <v/>
      </c>
      <c r="J912" s="1">
        <f>IF(ISNUMBER(B912),YEAR(B912),"")</f>
        <v/>
      </c>
      <c r="K912">
        <f>IF(ISNUMBER(B912),YEAR(B912)*100+MONTH(B912),"")</f>
        <v/>
      </c>
      <c r="L912">
        <f>IF(ISNUMBER(B912),INT(B912),0)</f>
        <v/>
      </c>
    </row>
    <row r="913">
      <c r="A913" s="1" t="n"/>
      <c r="B913" s="17" t="n"/>
      <c r="C913" s="18" t="n"/>
      <c r="D913" s="19" t="n"/>
      <c r="E913" s="23" t="n"/>
      <c r="F913" s="21" t="n"/>
      <c r="G913" s="11">
        <f>IF(C913="","",IFERROR(INDEX(Crops!$D$6:$D$65,MATCH(C913,Crops!$B$6:$B$65,0))&amp;"",""))</f>
        <v/>
      </c>
      <c r="H913" s="12">
        <f>IF(OR(C913="",NOT(ISNUMBER(E913))),"",E913*N(IFERROR(INDEX(Crops!$E$6:$E$65,MATCH(C913,Crops!$B$6:$B$65,0)),0)))</f>
        <v/>
      </c>
      <c r="I913" s="11">
        <f>IF(AND(C913="",E913=""),"",IF(NOT(ISNUMBER(B913)),"Needs a date",IF(C913="","Needs a crop",IF(COUNTIF(Crops!$B$6:$B$65,C913)=0,"Not on Crops",IF(NOT(ISNUMBER(E913)),"Needs the amount",IF(AND(D913&lt;&gt;"",COUNTIF(Beds!$B$6:$B$35,D913)=0),"Not on Beds",""))))))</f>
        <v/>
      </c>
      <c r="J913" s="1">
        <f>IF(ISNUMBER(B913),YEAR(B913),"")</f>
        <v/>
      </c>
      <c r="K913">
        <f>IF(ISNUMBER(B913),YEAR(B913)*100+MONTH(B913),"")</f>
        <v/>
      </c>
      <c r="L913">
        <f>IF(ISNUMBER(B913),INT(B913),0)</f>
        <v/>
      </c>
    </row>
    <row r="914">
      <c r="A914" s="1" t="n"/>
      <c r="B914" s="17" t="n"/>
      <c r="C914" s="18" t="n"/>
      <c r="D914" s="19" t="n"/>
      <c r="E914" s="23" t="n"/>
      <c r="F914" s="21" t="n"/>
      <c r="G914" s="11">
        <f>IF(C914="","",IFERROR(INDEX(Crops!$D$6:$D$65,MATCH(C914,Crops!$B$6:$B$65,0))&amp;"",""))</f>
        <v/>
      </c>
      <c r="H914" s="12">
        <f>IF(OR(C914="",NOT(ISNUMBER(E914))),"",E914*N(IFERROR(INDEX(Crops!$E$6:$E$65,MATCH(C914,Crops!$B$6:$B$65,0)),0)))</f>
        <v/>
      </c>
      <c r="I914" s="11">
        <f>IF(AND(C914="",E914=""),"",IF(NOT(ISNUMBER(B914)),"Needs a date",IF(C914="","Needs a crop",IF(COUNTIF(Crops!$B$6:$B$65,C914)=0,"Not on Crops",IF(NOT(ISNUMBER(E914)),"Needs the amount",IF(AND(D914&lt;&gt;"",COUNTIF(Beds!$B$6:$B$35,D914)=0),"Not on Beds",""))))))</f>
        <v/>
      </c>
      <c r="J914" s="1">
        <f>IF(ISNUMBER(B914),YEAR(B914),"")</f>
        <v/>
      </c>
      <c r="K914">
        <f>IF(ISNUMBER(B914),YEAR(B914)*100+MONTH(B914),"")</f>
        <v/>
      </c>
      <c r="L914">
        <f>IF(ISNUMBER(B914),INT(B914),0)</f>
        <v/>
      </c>
    </row>
    <row r="915">
      <c r="A915" s="1" t="n"/>
      <c r="B915" s="17" t="n"/>
      <c r="C915" s="18" t="n"/>
      <c r="D915" s="19" t="n"/>
      <c r="E915" s="23" t="n"/>
      <c r="F915" s="21" t="n"/>
      <c r="G915" s="11">
        <f>IF(C915="","",IFERROR(INDEX(Crops!$D$6:$D$65,MATCH(C915,Crops!$B$6:$B$65,0))&amp;"",""))</f>
        <v/>
      </c>
      <c r="H915" s="12">
        <f>IF(OR(C915="",NOT(ISNUMBER(E915))),"",E915*N(IFERROR(INDEX(Crops!$E$6:$E$65,MATCH(C915,Crops!$B$6:$B$65,0)),0)))</f>
        <v/>
      </c>
      <c r="I915" s="11">
        <f>IF(AND(C915="",E915=""),"",IF(NOT(ISNUMBER(B915)),"Needs a date",IF(C915="","Needs a crop",IF(COUNTIF(Crops!$B$6:$B$65,C915)=0,"Not on Crops",IF(NOT(ISNUMBER(E915)),"Needs the amount",IF(AND(D915&lt;&gt;"",COUNTIF(Beds!$B$6:$B$35,D915)=0),"Not on Beds",""))))))</f>
        <v/>
      </c>
      <c r="J915" s="1">
        <f>IF(ISNUMBER(B915),YEAR(B915),"")</f>
        <v/>
      </c>
      <c r="K915">
        <f>IF(ISNUMBER(B915),YEAR(B915)*100+MONTH(B915),"")</f>
        <v/>
      </c>
      <c r="L915">
        <f>IF(ISNUMBER(B915),INT(B915),0)</f>
        <v/>
      </c>
    </row>
    <row r="916">
      <c r="A916" s="1" t="n"/>
      <c r="B916" s="17" t="n"/>
      <c r="C916" s="18" t="n"/>
      <c r="D916" s="19" t="n"/>
      <c r="E916" s="23" t="n"/>
      <c r="F916" s="21" t="n"/>
      <c r="G916" s="11">
        <f>IF(C916="","",IFERROR(INDEX(Crops!$D$6:$D$65,MATCH(C916,Crops!$B$6:$B$65,0))&amp;"",""))</f>
        <v/>
      </c>
      <c r="H916" s="12">
        <f>IF(OR(C916="",NOT(ISNUMBER(E916))),"",E916*N(IFERROR(INDEX(Crops!$E$6:$E$65,MATCH(C916,Crops!$B$6:$B$65,0)),0)))</f>
        <v/>
      </c>
      <c r="I916" s="11">
        <f>IF(AND(C916="",E916=""),"",IF(NOT(ISNUMBER(B916)),"Needs a date",IF(C916="","Needs a crop",IF(COUNTIF(Crops!$B$6:$B$65,C916)=0,"Not on Crops",IF(NOT(ISNUMBER(E916)),"Needs the amount",IF(AND(D916&lt;&gt;"",COUNTIF(Beds!$B$6:$B$35,D916)=0),"Not on Beds",""))))))</f>
        <v/>
      </c>
      <c r="J916" s="1">
        <f>IF(ISNUMBER(B916),YEAR(B916),"")</f>
        <v/>
      </c>
      <c r="K916">
        <f>IF(ISNUMBER(B916),YEAR(B916)*100+MONTH(B916),"")</f>
        <v/>
      </c>
      <c r="L916">
        <f>IF(ISNUMBER(B916),INT(B916),0)</f>
        <v/>
      </c>
    </row>
    <row r="917">
      <c r="A917" s="1" t="n"/>
      <c r="B917" s="17" t="n"/>
      <c r="C917" s="18" t="n"/>
      <c r="D917" s="19" t="n"/>
      <c r="E917" s="23" t="n"/>
      <c r="F917" s="21" t="n"/>
      <c r="G917" s="11">
        <f>IF(C917="","",IFERROR(INDEX(Crops!$D$6:$D$65,MATCH(C917,Crops!$B$6:$B$65,0))&amp;"",""))</f>
        <v/>
      </c>
      <c r="H917" s="12">
        <f>IF(OR(C917="",NOT(ISNUMBER(E917))),"",E917*N(IFERROR(INDEX(Crops!$E$6:$E$65,MATCH(C917,Crops!$B$6:$B$65,0)),0)))</f>
        <v/>
      </c>
      <c r="I917" s="11">
        <f>IF(AND(C917="",E917=""),"",IF(NOT(ISNUMBER(B917)),"Needs a date",IF(C917="","Needs a crop",IF(COUNTIF(Crops!$B$6:$B$65,C917)=0,"Not on Crops",IF(NOT(ISNUMBER(E917)),"Needs the amount",IF(AND(D917&lt;&gt;"",COUNTIF(Beds!$B$6:$B$35,D917)=0),"Not on Beds",""))))))</f>
        <v/>
      </c>
      <c r="J917" s="1">
        <f>IF(ISNUMBER(B917),YEAR(B917),"")</f>
        <v/>
      </c>
      <c r="K917">
        <f>IF(ISNUMBER(B917),YEAR(B917)*100+MONTH(B917),"")</f>
        <v/>
      </c>
      <c r="L917">
        <f>IF(ISNUMBER(B917),INT(B917),0)</f>
        <v/>
      </c>
    </row>
    <row r="918">
      <c r="A918" s="1" t="n"/>
      <c r="B918" s="17" t="n"/>
      <c r="C918" s="18" t="n"/>
      <c r="D918" s="19" t="n"/>
      <c r="E918" s="23" t="n"/>
      <c r="F918" s="21" t="n"/>
      <c r="G918" s="11">
        <f>IF(C918="","",IFERROR(INDEX(Crops!$D$6:$D$65,MATCH(C918,Crops!$B$6:$B$65,0))&amp;"",""))</f>
        <v/>
      </c>
      <c r="H918" s="12">
        <f>IF(OR(C918="",NOT(ISNUMBER(E918))),"",E918*N(IFERROR(INDEX(Crops!$E$6:$E$65,MATCH(C918,Crops!$B$6:$B$65,0)),0)))</f>
        <v/>
      </c>
      <c r="I918" s="11">
        <f>IF(AND(C918="",E918=""),"",IF(NOT(ISNUMBER(B918)),"Needs a date",IF(C918="","Needs a crop",IF(COUNTIF(Crops!$B$6:$B$65,C918)=0,"Not on Crops",IF(NOT(ISNUMBER(E918)),"Needs the amount",IF(AND(D918&lt;&gt;"",COUNTIF(Beds!$B$6:$B$35,D918)=0),"Not on Beds",""))))))</f>
        <v/>
      </c>
      <c r="J918" s="1">
        <f>IF(ISNUMBER(B918),YEAR(B918),"")</f>
        <v/>
      </c>
      <c r="K918">
        <f>IF(ISNUMBER(B918),YEAR(B918)*100+MONTH(B918),"")</f>
        <v/>
      </c>
      <c r="L918">
        <f>IF(ISNUMBER(B918),INT(B918),0)</f>
        <v/>
      </c>
    </row>
    <row r="919">
      <c r="A919" s="1" t="n"/>
      <c r="B919" s="17" t="n"/>
      <c r="C919" s="18" t="n"/>
      <c r="D919" s="19" t="n"/>
      <c r="E919" s="23" t="n"/>
      <c r="F919" s="21" t="n"/>
      <c r="G919" s="11">
        <f>IF(C919="","",IFERROR(INDEX(Crops!$D$6:$D$65,MATCH(C919,Crops!$B$6:$B$65,0))&amp;"",""))</f>
        <v/>
      </c>
      <c r="H919" s="12">
        <f>IF(OR(C919="",NOT(ISNUMBER(E919))),"",E919*N(IFERROR(INDEX(Crops!$E$6:$E$65,MATCH(C919,Crops!$B$6:$B$65,0)),0)))</f>
        <v/>
      </c>
      <c r="I919" s="11">
        <f>IF(AND(C919="",E919=""),"",IF(NOT(ISNUMBER(B919)),"Needs a date",IF(C919="","Needs a crop",IF(COUNTIF(Crops!$B$6:$B$65,C919)=0,"Not on Crops",IF(NOT(ISNUMBER(E919)),"Needs the amount",IF(AND(D919&lt;&gt;"",COUNTIF(Beds!$B$6:$B$35,D919)=0),"Not on Beds",""))))))</f>
        <v/>
      </c>
      <c r="J919" s="1">
        <f>IF(ISNUMBER(B919),YEAR(B919),"")</f>
        <v/>
      </c>
      <c r="K919">
        <f>IF(ISNUMBER(B919),YEAR(B919)*100+MONTH(B919),"")</f>
        <v/>
      </c>
      <c r="L919">
        <f>IF(ISNUMBER(B919),INT(B919),0)</f>
        <v/>
      </c>
    </row>
    <row r="920">
      <c r="A920" s="1" t="n"/>
      <c r="B920" s="17" t="n"/>
      <c r="C920" s="18" t="n"/>
      <c r="D920" s="19" t="n"/>
      <c r="E920" s="23" t="n"/>
      <c r="F920" s="21" t="n"/>
      <c r="G920" s="11">
        <f>IF(C920="","",IFERROR(INDEX(Crops!$D$6:$D$65,MATCH(C920,Crops!$B$6:$B$65,0))&amp;"",""))</f>
        <v/>
      </c>
      <c r="H920" s="12">
        <f>IF(OR(C920="",NOT(ISNUMBER(E920))),"",E920*N(IFERROR(INDEX(Crops!$E$6:$E$65,MATCH(C920,Crops!$B$6:$B$65,0)),0)))</f>
        <v/>
      </c>
      <c r="I920" s="11">
        <f>IF(AND(C920="",E920=""),"",IF(NOT(ISNUMBER(B920)),"Needs a date",IF(C920="","Needs a crop",IF(COUNTIF(Crops!$B$6:$B$65,C920)=0,"Not on Crops",IF(NOT(ISNUMBER(E920)),"Needs the amount",IF(AND(D920&lt;&gt;"",COUNTIF(Beds!$B$6:$B$35,D920)=0),"Not on Beds",""))))))</f>
        <v/>
      </c>
      <c r="J920" s="1">
        <f>IF(ISNUMBER(B920),YEAR(B920),"")</f>
        <v/>
      </c>
      <c r="K920">
        <f>IF(ISNUMBER(B920),YEAR(B920)*100+MONTH(B920),"")</f>
        <v/>
      </c>
      <c r="L920">
        <f>IF(ISNUMBER(B920),INT(B920),0)</f>
        <v/>
      </c>
    </row>
    <row r="921">
      <c r="A921" s="1" t="n"/>
      <c r="B921" s="17" t="n"/>
      <c r="C921" s="18" t="n"/>
      <c r="D921" s="19" t="n"/>
      <c r="E921" s="23" t="n"/>
      <c r="F921" s="21" t="n"/>
      <c r="G921" s="11">
        <f>IF(C921="","",IFERROR(INDEX(Crops!$D$6:$D$65,MATCH(C921,Crops!$B$6:$B$65,0))&amp;"",""))</f>
        <v/>
      </c>
      <c r="H921" s="12">
        <f>IF(OR(C921="",NOT(ISNUMBER(E921))),"",E921*N(IFERROR(INDEX(Crops!$E$6:$E$65,MATCH(C921,Crops!$B$6:$B$65,0)),0)))</f>
        <v/>
      </c>
      <c r="I921" s="11">
        <f>IF(AND(C921="",E921=""),"",IF(NOT(ISNUMBER(B921)),"Needs a date",IF(C921="","Needs a crop",IF(COUNTIF(Crops!$B$6:$B$65,C921)=0,"Not on Crops",IF(NOT(ISNUMBER(E921)),"Needs the amount",IF(AND(D921&lt;&gt;"",COUNTIF(Beds!$B$6:$B$35,D921)=0),"Not on Beds",""))))))</f>
        <v/>
      </c>
      <c r="J921" s="1">
        <f>IF(ISNUMBER(B921),YEAR(B921),"")</f>
        <v/>
      </c>
      <c r="K921">
        <f>IF(ISNUMBER(B921),YEAR(B921)*100+MONTH(B921),"")</f>
        <v/>
      </c>
      <c r="L921">
        <f>IF(ISNUMBER(B921),INT(B921),0)</f>
        <v/>
      </c>
    </row>
    <row r="922">
      <c r="A922" s="1" t="n"/>
      <c r="B922" s="17" t="n"/>
      <c r="C922" s="18" t="n"/>
      <c r="D922" s="19" t="n"/>
      <c r="E922" s="23" t="n"/>
      <c r="F922" s="21" t="n"/>
      <c r="G922" s="11">
        <f>IF(C922="","",IFERROR(INDEX(Crops!$D$6:$D$65,MATCH(C922,Crops!$B$6:$B$65,0))&amp;"",""))</f>
        <v/>
      </c>
      <c r="H922" s="12">
        <f>IF(OR(C922="",NOT(ISNUMBER(E922))),"",E922*N(IFERROR(INDEX(Crops!$E$6:$E$65,MATCH(C922,Crops!$B$6:$B$65,0)),0)))</f>
        <v/>
      </c>
      <c r="I922" s="11">
        <f>IF(AND(C922="",E922=""),"",IF(NOT(ISNUMBER(B922)),"Needs a date",IF(C922="","Needs a crop",IF(COUNTIF(Crops!$B$6:$B$65,C922)=0,"Not on Crops",IF(NOT(ISNUMBER(E922)),"Needs the amount",IF(AND(D922&lt;&gt;"",COUNTIF(Beds!$B$6:$B$35,D922)=0),"Not on Beds",""))))))</f>
        <v/>
      </c>
      <c r="J922" s="1">
        <f>IF(ISNUMBER(B922),YEAR(B922),"")</f>
        <v/>
      </c>
      <c r="K922">
        <f>IF(ISNUMBER(B922),YEAR(B922)*100+MONTH(B922),"")</f>
        <v/>
      </c>
      <c r="L922">
        <f>IF(ISNUMBER(B922),INT(B922),0)</f>
        <v/>
      </c>
    </row>
    <row r="923">
      <c r="A923" s="1" t="n"/>
      <c r="B923" s="17" t="n"/>
      <c r="C923" s="18" t="n"/>
      <c r="D923" s="19" t="n"/>
      <c r="E923" s="23" t="n"/>
      <c r="F923" s="21" t="n"/>
      <c r="G923" s="11">
        <f>IF(C923="","",IFERROR(INDEX(Crops!$D$6:$D$65,MATCH(C923,Crops!$B$6:$B$65,0))&amp;"",""))</f>
        <v/>
      </c>
      <c r="H923" s="12">
        <f>IF(OR(C923="",NOT(ISNUMBER(E923))),"",E923*N(IFERROR(INDEX(Crops!$E$6:$E$65,MATCH(C923,Crops!$B$6:$B$65,0)),0)))</f>
        <v/>
      </c>
      <c r="I923" s="11">
        <f>IF(AND(C923="",E923=""),"",IF(NOT(ISNUMBER(B923)),"Needs a date",IF(C923="","Needs a crop",IF(COUNTIF(Crops!$B$6:$B$65,C923)=0,"Not on Crops",IF(NOT(ISNUMBER(E923)),"Needs the amount",IF(AND(D923&lt;&gt;"",COUNTIF(Beds!$B$6:$B$35,D923)=0),"Not on Beds",""))))))</f>
        <v/>
      </c>
      <c r="J923" s="1">
        <f>IF(ISNUMBER(B923),YEAR(B923),"")</f>
        <v/>
      </c>
      <c r="K923">
        <f>IF(ISNUMBER(B923),YEAR(B923)*100+MONTH(B923),"")</f>
        <v/>
      </c>
      <c r="L923">
        <f>IF(ISNUMBER(B923),INT(B923),0)</f>
        <v/>
      </c>
    </row>
    <row r="924">
      <c r="A924" s="1" t="n"/>
      <c r="B924" s="17" t="n"/>
      <c r="C924" s="18" t="n"/>
      <c r="D924" s="19" t="n"/>
      <c r="E924" s="23" t="n"/>
      <c r="F924" s="21" t="n"/>
      <c r="G924" s="11">
        <f>IF(C924="","",IFERROR(INDEX(Crops!$D$6:$D$65,MATCH(C924,Crops!$B$6:$B$65,0))&amp;"",""))</f>
        <v/>
      </c>
      <c r="H924" s="12">
        <f>IF(OR(C924="",NOT(ISNUMBER(E924))),"",E924*N(IFERROR(INDEX(Crops!$E$6:$E$65,MATCH(C924,Crops!$B$6:$B$65,0)),0)))</f>
        <v/>
      </c>
      <c r="I924" s="11">
        <f>IF(AND(C924="",E924=""),"",IF(NOT(ISNUMBER(B924)),"Needs a date",IF(C924="","Needs a crop",IF(COUNTIF(Crops!$B$6:$B$65,C924)=0,"Not on Crops",IF(NOT(ISNUMBER(E924)),"Needs the amount",IF(AND(D924&lt;&gt;"",COUNTIF(Beds!$B$6:$B$35,D924)=0),"Not on Beds",""))))))</f>
        <v/>
      </c>
      <c r="J924" s="1">
        <f>IF(ISNUMBER(B924),YEAR(B924),"")</f>
        <v/>
      </c>
      <c r="K924">
        <f>IF(ISNUMBER(B924),YEAR(B924)*100+MONTH(B924),"")</f>
        <v/>
      </c>
      <c r="L924">
        <f>IF(ISNUMBER(B924),INT(B924),0)</f>
        <v/>
      </c>
    </row>
    <row r="925">
      <c r="A925" s="1" t="n"/>
      <c r="B925" s="17" t="n"/>
      <c r="C925" s="18" t="n"/>
      <c r="D925" s="19" t="n"/>
      <c r="E925" s="23" t="n"/>
      <c r="F925" s="21" t="n"/>
      <c r="G925" s="11">
        <f>IF(C925="","",IFERROR(INDEX(Crops!$D$6:$D$65,MATCH(C925,Crops!$B$6:$B$65,0))&amp;"",""))</f>
        <v/>
      </c>
      <c r="H925" s="12">
        <f>IF(OR(C925="",NOT(ISNUMBER(E925))),"",E925*N(IFERROR(INDEX(Crops!$E$6:$E$65,MATCH(C925,Crops!$B$6:$B$65,0)),0)))</f>
        <v/>
      </c>
      <c r="I925" s="11">
        <f>IF(AND(C925="",E925=""),"",IF(NOT(ISNUMBER(B925)),"Needs a date",IF(C925="","Needs a crop",IF(COUNTIF(Crops!$B$6:$B$65,C925)=0,"Not on Crops",IF(NOT(ISNUMBER(E925)),"Needs the amount",IF(AND(D925&lt;&gt;"",COUNTIF(Beds!$B$6:$B$35,D925)=0),"Not on Beds",""))))))</f>
        <v/>
      </c>
      <c r="J925" s="1">
        <f>IF(ISNUMBER(B925),YEAR(B925),"")</f>
        <v/>
      </c>
      <c r="K925">
        <f>IF(ISNUMBER(B925),YEAR(B925)*100+MONTH(B925),"")</f>
        <v/>
      </c>
      <c r="L925">
        <f>IF(ISNUMBER(B925),INT(B925),0)</f>
        <v/>
      </c>
    </row>
    <row r="926">
      <c r="A926" s="1" t="n"/>
      <c r="B926" s="17" t="n"/>
      <c r="C926" s="18" t="n"/>
      <c r="D926" s="19" t="n"/>
      <c r="E926" s="23" t="n"/>
      <c r="F926" s="21" t="n"/>
      <c r="G926" s="11">
        <f>IF(C926="","",IFERROR(INDEX(Crops!$D$6:$D$65,MATCH(C926,Crops!$B$6:$B$65,0))&amp;"",""))</f>
        <v/>
      </c>
      <c r="H926" s="12">
        <f>IF(OR(C926="",NOT(ISNUMBER(E926))),"",E926*N(IFERROR(INDEX(Crops!$E$6:$E$65,MATCH(C926,Crops!$B$6:$B$65,0)),0)))</f>
        <v/>
      </c>
      <c r="I926" s="11">
        <f>IF(AND(C926="",E926=""),"",IF(NOT(ISNUMBER(B926)),"Needs a date",IF(C926="","Needs a crop",IF(COUNTIF(Crops!$B$6:$B$65,C926)=0,"Not on Crops",IF(NOT(ISNUMBER(E926)),"Needs the amount",IF(AND(D926&lt;&gt;"",COUNTIF(Beds!$B$6:$B$35,D926)=0),"Not on Beds",""))))))</f>
        <v/>
      </c>
      <c r="J926" s="1">
        <f>IF(ISNUMBER(B926),YEAR(B926),"")</f>
        <v/>
      </c>
      <c r="K926">
        <f>IF(ISNUMBER(B926),YEAR(B926)*100+MONTH(B926),"")</f>
        <v/>
      </c>
      <c r="L926">
        <f>IF(ISNUMBER(B926),INT(B926),0)</f>
        <v/>
      </c>
    </row>
    <row r="927">
      <c r="A927" s="1" t="n"/>
      <c r="B927" s="17" t="n"/>
      <c r="C927" s="18" t="n"/>
      <c r="D927" s="19" t="n"/>
      <c r="E927" s="23" t="n"/>
      <c r="F927" s="21" t="n"/>
      <c r="G927" s="11">
        <f>IF(C927="","",IFERROR(INDEX(Crops!$D$6:$D$65,MATCH(C927,Crops!$B$6:$B$65,0))&amp;"",""))</f>
        <v/>
      </c>
      <c r="H927" s="12">
        <f>IF(OR(C927="",NOT(ISNUMBER(E927))),"",E927*N(IFERROR(INDEX(Crops!$E$6:$E$65,MATCH(C927,Crops!$B$6:$B$65,0)),0)))</f>
        <v/>
      </c>
      <c r="I927" s="11">
        <f>IF(AND(C927="",E927=""),"",IF(NOT(ISNUMBER(B927)),"Needs a date",IF(C927="","Needs a crop",IF(COUNTIF(Crops!$B$6:$B$65,C927)=0,"Not on Crops",IF(NOT(ISNUMBER(E927)),"Needs the amount",IF(AND(D927&lt;&gt;"",COUNTIF(Beds!$B$6:$B$35,D927)=0),"Not on Beds",""))))))</f>
        <v/>
      </c>
      <c r="J927" s="1">
        <f>IF(ISNUMBER(B927),YEAR(B927),"")</f>
        <v/>
      </c>
      <c r="K927">
        <f>IF(ISNUMBER(B927),YEAR(B927)*100+MONTH(B927),"")</f>
        <v/>
      </c>
      <c r="L927">
        <f>IF(ISNUMBER(B927),INT(B927),0)</f>
        <v/>
      </c>
    </row>
    <row r="928">
      <c r="A928" s="1" t="n"/>
      <c r="B928" s="17" t="n"/>
      <c r="C928" s="18" t="n"/>
      <c r="D928" s="19" t="n"/>
      <c r="E928" s="23" t="n"/>
      <c r="F928" s="21" t="n"/>
      <c r="G928" s="11">
        <f>IF(C928="","",IFERROR(INDEX(Crops!$D$6:$D$65,MATCH(C928,Crops!$B$6:$B$65,0))&amp;"",""))</f>
        <v/>
      </c>
      <c r="H928" s="12">
        <f>IF(OR(C928="",NOT(ISNUMBER(E928))),"",E928*N(IFERROR(INDEX(Crops!$E$6:$E$65,MATCH(C928,Crops!$B$6:$B$65,0)),0)))</f>
        <v/>
      </c>
      <c r="I928" s="11">
        <f>IF(AND(C928="",E928=""),"",IF(NOT(ISNUMBER(B928)),"Needs a date",IF(C928="","Needs a crop",IF(COUNTIF(Crops!$B$6:$B$65,C928)=0,"Not on Crops",IF(NOT(ISNUMBER(E928)),"Needs the amount",IF(AND(D928&lt;&gt;"",COUNTIF(Beds!$B$6:$B$35,D928)=0),"Not on Beds",""))))))</f>
        <v/>
      </c>
      <c r="J928" s="1">
        <f>IF(ISNUMBER(B928),YEAR(B928),"")</f>
        <v/>
      </c>
      <c r="K928">
        <f>IF(ISNUMBER(B928),YEAR(B928)*100+MONTH(B928),"")</f>
        <v/>
      </c>
      <c r="L928">
        <f>IF(ISNUMBER(B928),INT(B928),0)</f>
        <v/>
      </c>
    </row>
    <row r="929">
      <c r="A929" s="1" t="n"/>
      <c r="B929" s="17" t="n"/>
      <c r="C929" s="18" t="n"/>
      <c r="D929" s="19" t="n"/>
      <c r="E929" s="23" t="n"/>
      <c r="F929" s="21" t="n"/>
      <c r="G929" s="11">
        <f>IF(C929="","",IFERROR(INDEX(Crops!$D$6:$D$65,MATCH(C929,Crops!$B$6:$B$65,0))&amp;"",""))</f>
        <v/>
      </c>
      <c r="H929" s="12">
        <f>IF(OR(C929="",NOT(ISNUMBER(E929))),"",E929*N(IFERROR(INDEX(Crops!$E$6:$E$65,MATCH(C929,Crops!$B$6:$B$65,0)),0)))</f>
        <v/>
      </c>
      <c r="I929" s="11">
        <f>IF(AND(C929="",E929=""),"",IF(NOT(ISNUMBER(B929)),"Needs a date",IF(C929="","Needs a crop",IF(COUNTIF(Crops!$B$6:$B$65,C929)=0,"Not on Crops",IF(NOT(ISNUMBER(E929)),"Needs the amount",IF(AND(D929&lt;&gt;"",COUNTIF(Beds!$B$6:$B$35,D929)=0),"Not on Beds",""))))))</f>
        <v/>
      </c>
      <c r="J929" s="1">
        <f>IF(ISNUMBER(B929),YEAR(B929),"")</f>
        <v/>
      </c>
      <c r="K929">
        <f>IF(ISNUMBER(B929),YEAR(B929)*100+MONTH(B929),"")</f>
        <v/>
      </c>
      <c r="L929">
        <f>IF(ISNUMBER(B929),INT(B929),0)</f>
        <v/>
      </c>
    </row>
    <row r="930">
      <c r="A930" s="1" t="n"/>
      <c r="B930" s="17" t="n"/>
      <c r="C930" s="18" t="n"/>
      <c r="D930" s="19" t="n"/>
      <c r="E930" s="23" t="n"/>
      <c r="F930" s="21" t="n"/>
      <c r="G930" s="11">
        <f>IF(C930="","",IFERROR(INDEX(Crops!$D$6:$D$65,MATCH(C930,Crops!$B$6:$B$65,0))&amp;"",""))</f>
        <v/>
      </c>
      <c r="H930" s="12">
        <f>IF(OR(C930="",NOT(ISNUMBER(E930))),"",E930*N(IFERROR(INDEX(Crops!$E$6:$E$65,MATCH(C930,Crops!$B$6:$B$65,0)),0)))</f>
        <v/>
      </c>
      <c r="I930" s="11">
        <f>IF(AND(C930="",E930=""),"",IF(NOT(ISNUMBER(B930)),"Needs a date",IF(C930="","Needs a crop",IF(COUNTIF(Crops!$B$6:$B$65,C930)=0,"Not on Crops",IF(NOT(ISNUMBER(E930)),"Needs the amount",IF(AND(D930&lt;&gt;"",COUNTIF(Beds!$B$6:$B$35,D930)=0),"Not on Beds",""))))))</f>
        <v/>
      </c>
      <c r="J930" s="1">
        <f>IF(ISNUMBER(B930),YEAR(B930),"")</f>
        <v/>
      </c>
      <c r="K930">
        <f>IF(ISNUMBER(B930),YEAR(B930)*100+MONTH(B930),"")</f>
        <v/>
      </c>
      <c r="L930">
        <f>IF(ISNUMBER(B930),INT(B930),0)</f>
        <v/>
      </c>
    </row>
    <row r="931">
      <c r="A931" s="1" t="n"/>
      <c r="B931" s="17" t="n"/>
      <c r="C931" s="18" t="n"/>
      <c r="D931" s="19" t="n"/>
      <c r="E931" s="23" t="n"/>
      <c r="F931" s="21" t="n"/>
      <c r="G931" s="11">
        <f>IF(C931="","",IFERROR(INDEX(Crops!$D$6:$D$65,MATCH(C931,Crops!$B$6:$B$65,0))&amp;"",""))</f>
        <v/>
      </c>
      <c r="H931" s="12">
        <f>IF(OR(C931="",NOT(ISNUMBER(E931))),"",E931*N(IFERROR(INDEX(Crops!$E$6:$E$65,MATCH(C931,Crops!$B$6:$B$65,0)),0)))</f>
        <v/>
      </c>
      <c r="I931" s="11">
        <f>IF(AND(C931="",E931=""),"",IF(NOT(ISNUMBER(B931)),"Needs a date",IF(C931="","Needs a crop",IF(COUNTIF(Crops!$B$6:$B$65,C931)=0,"Not on Crops",IF(NOT(ISNUMBER(E931)),"Needs the amount",IF(AND(D931&lt;&gt;"",COUNTIF(Beds!$B$6:$B$35,D931)=0),"Not on Beds",""))))))</f>
        <v/>
      </c>
      <c r="J931" s="1">
        <f>IF(ISNUMBER(B931),YEAR(B931),"")</f>
        <v/>
      </c>
      <c r="K931">
        <f>IF(ISNUMBER(B931),YEAR(B931)*100+MONTH(B931),"")</f>
        <v/>
      </c>
      <c r="L931">
        <f>IF(ISNUMBER(B931),INT(B931),0)</f>
        <v/>
      </c>
    </row>
    <row r="932">
      <c r="A932" s="1" t="n"/>
      <c r="B932" s="17" t="n"/>
      <c r="C932" s="18" t="n"/>
      <c r="D932" s="19" t="n"/>
      <c r="E932" s="23" t="n"/>
      <c r="F932" s="21" t="n"/>
      <c r="G932" s="11">
        <f>IF(C932="","",IFERROR(INDEX(Crops!$D$6:$D$65,MATCH(C932,Crops!$B$6:$B$65,0))&amp;"",""))</f>
        <v/>
      </c>
      <c r="H932" s="12">
        <f>IF(OR(C932="",NOT(ISNUMBER(E932))),"",E932*N(IFERROR(INDEX(Crops!$E$6:$E$65,MATCH(C932,Crops!$B$6:$B$65,0)),0)))</f>
        <v/>
      </c>
      <c r="I932" s="11">
        <f>IF(AND(C932="",E932=""),"",IF(NOT(ISNUMBER(B932)),"Needs a date",IF(C932="","Needs a crop",IF(COUNTIF(Crops!$B$6:$B$65,C932)=0,"Not on Crops",IF(NOT(ISNUMBER(E932)),"Needs the amount",IF(AND(D932&lt;&gt;"",COUNTIF(Beds!$B$6:$B$35,D932)=0),"Not on Beds",""))))))</f>
        <v/>
      </c>
      <c r="J932" s="1">
        <f>IF(ISNUMBER(B932),YEAR(B932),"")</f>
        <v/>
      </c>
      <c r="K932">
        <f>IF(ISNUMBER(B932),YEAR(B932)*100+MONTH(B932),"")</f>
        <v/>
      </c>
      <c r="L932">
        <f>IF(ISNUMBER(B932),INT(B932),0)</f>
        <v/>
      </c>
    </row>
    <row r="933">
      <c r="A933" s="1" t="n"/>
      <c r="B933" s="17" t="n"/>
      <c r="C933" s="18" t="n"/>
      <c r="D933" s="19" t="n"/>
      <c r="E933" s="23" t="n"/>
      <c r="F933" s="21" t="n"/>
      <c r="G933" s="11">
        <f>IF(C933="","",IFERROR(INDEX(Crops!$D$6:$D$65,MATCH(C933,Crops!$B$6:$B$65,0))&amp;"",""))</f>
        <v/>
      </c>
      <c r="H933" s="12">
        <f>IF(OR(C933="",NOT(ISNUMBER(E933))),"",E933*N(IFERROR(INDEX(Crops!$E$6:$E$65,MATCH(C933,Crops!$B$6:$B$65,0)),0)))</f>
        <v/>
      </c>
      <c r="I933" s="11">
        <f>IF(AND(C933="",E933=""),"",IF(NOT(ISNUMBER(B933)),"Needs a date",IF(C933="","Needs a crop",IF(COUNTIF(Crops!$B$6:$B$65,C933)=0,"Not on Crops",IF(NOT(ISNUMBER(E933)),"Needs the amount",IF(AND(D933&lt;&gt;"",COUNTIF(Beds!$B$6:$B$35,D933)=0),"Not on Beds",""))))))</f>
        <v/>
      </c>
      <c r="J933" s="1">
        <f>IF(ISNUMBER(B933),YEAR(B933),"")</f>
        <v/>
      </c>
      <c r="K933">
        <f>IF(ISNUMBER(B933),YEAR(B933)*100+MONTH(B933),"")</f>
        <v/>
      </c>
      <c r="L933">
        <f>IF(ISNUMBER(B933),INT(B933),0)</f>
        <v/>
      </c>
    </row>
    <row r="934">
      <c r="A934" s="1" t="n"/>
      <c r="B934" s="17" t="n"/>
      <c r="C934" s="18" t="n"/>
      <c r="D934" s="19" t="n"/>
      <c r="E934" s="23" t="n"/>
      <c r="F934" s="21" t="n"/>
      <c r="G934" s="11">
        <f>IF(C934="","",IFERROR(INDEX(Crops!$D$6:$D$65,MATCH(C934,Crops!$B$6:$B$65,0))&amp;"",""))</f>
        <v/>
      </c>
      <c r="H934" s="12">
        <f>IF(OR(C934="",NOT(ISNUMBER(E934))),"",E934*N(IFERROR(INDEX(Crops!$E$6:$E$65,MATCH(C934,Crops!$B$6:$B$65,0)),0)))</f>
        <v/>
      </c>
      <c r="I934" s="11">
        <f>IF(AND(C934="",E934=""),"",IF(NOT(ISNUMBER(B934)),"Needs a date",IF(C934="","Needs a crop",IF(COUNTIF(Crops!$B$6:$B$65,C934)=0,"Not on Crops",IF(NOT(ISNUMBER(E934)),"Needs the amount",IF(AND(D934&lt;&gt;"",COUNTIF(Beds!$B$6:$B$35,D934)=0),"Not on Beds",""))))))</f>
        <v/>
      </c>
      <c r="J934" s="1">
        <f>IF(ISNUMBER(B934),YEAR(B934),"")</f>
        <v/>
      </c>
      <c r="K934">
        <f>IF(ISNUMBER(B934),YEAR(B934)*100+MONTH(B934),"")</f>
        <v/>
      </c>
      <c r="L934">
        <f>IF(ISNUMBER(B934),INT(B934),0)</f>
        <v/>
      </c>
    </row>
    <row r="935">
      <c r="A935" s="1" t="n"/>
      <c r="B935" s="17" t="n"/>
      <c r="C935" s="18" t="n"/>
      <c r="D935" s="19" t="n"/>
      <c r="E935" s="23" t="n"/>
      <c r="F935" s="21" t="n"/>
      <c r="G935" s="11">
        <f>IF(C935="","",IFERROR(INDEX(Crops!$D$6:$D$65,MATCH(C935,Crops!$B$6:$B$65,0))&amp;"",""))</f>
        <v/>
      </c>
      <c r="H935" s="12">
        <f>IF(OR(C935="",NOT(ISNUMBER(E935))),"",E935*N(IFERROR(INDEX(Crops!$E$6:$E$65,MATCH(C935,Crops!$B$6:$B$65,0)),0)))</f>
        <v/>
      </c>
      <c r="I935" s="11">
        <f>IF(AND(C935="",E935=""),"",IF(NOT(ISNUMBER(B935)),"Needs a date",IF(C935="","Needs a crop",IF(COUNTIF(Crops!$B$6:$B$65,C935)=0,"Not on Crops",IF(NOT(ISNUMBER(E935)),"Needs the amount",IF(AND(D935&lt;&gt;"",COUNTIF(Beds!$B$6:$B$35,D935)=0),"Not on Beds",""))))))</f>
        <v/>
      </c>
      <c r="J935" s="1">
        <f>IF(ISNUMBER(B935),YEAR(B935),"")</f>
        <v/>
      </c>
      <c r="K935">
        <f>IF(ISNUMBER(B935),YEAR(B935)*100+MONTH(B935),"")</f>
        <v/>
      </c>
      <c r="L935">
        <f>IF(ISNUMBER(B935),INT(B935),0)</f>
        <v/>
      </c>
    </row>
    <row r="936">
      <c r="A936" s="1" t="n"/>
      <c r="B936" s="17" t="n"/>
      <c r="C936" s="18" t="n"/>
      <c r="D936" s="19" t="n"/>
      <c r="E936" s="23" t="n"/>
      <c r="F936" s="21" t="n"/>
      <c r="G936" s="11">
        <f>IF(C936="","",IFERROR(INDEX(Crops!$D$6:$D$65,MATCH(C936,Crops!$B$6:$B$65,0))&amp;"",""))</f>
        <v/>
      </c>
      <c r="H936" s="12">
        <f>IF(OR(C936="",NOT(ISNUMBER(E936))),"",E936*N(IFERROR(INDEX(Crops!$E$6:$E$65,MATCH(C936,Crops!$B$6:$B$65,0)),0)))</f>
        <v/>
      </c>
      <c r="I936" s="11">
        <f>IF(AND(C936="",E936=""),"",IF(NOT(ISNUMBER(B936)),"Needs a date",IF(C936="","Needs a crop",IF(COUNTIF(Crops!$B$6:$B$65,C936)=0,"Not on Crops",IF(NOT(ISNUMBER(E936)),"Needs the amount",IF(AND(D936&lt;&gt;"",COUNTIF(Beds!$B$6:$B$35,D936)=0),"Not on Beds",""))))))</f>
        <v/>
      </c>
      <c r="J936" s="1">
        <f>IF(ISNUMBER(B936),YEAR(B936),"")</f>
        <v/>
      </c>
      <c r="K936">
        <f>IF(ISNUMBER(B936),YEAR(B936)*100+MONTH(B936),"")</f>
        <v/>
      </c>
      <c r="L936">
        <f>IF(ISNUMBER(B936),INT(B936),0)</f>
        <v/>
      </c>
    </row>
    <row r="937">
      <c r="A937" s="1" t="n"/>
      <c r="B937" s="17" t="n"/>
      <c r="C937" s="18" t="n"/>
      <c r="D937" s="19" t="n"/>
      <c r="E937" s="23" t="n"/>
      <c r="F937" s="21" t="n"/>
      <c r="G937" s="11">
        <f>IF(C937="","",IFERROR(INDEX(Crops!$D$6:$D$65,MATCH(C937,Crops!$B$6:$B$65,0))&amp;"",""))</f>
        <v/>
      </c>
      <c r="H937" s="12">
        <f>IF(OR(C937="",NOT(ISNUMBER(E937))),"",E937*N(IFERROR(INDEX(Crops!$E$6:$E$65,MATCH(C937,Crops!$B$6:$B$65,0)),0)))</f>
        <v/>
      </c>
      <c r="I937" s="11">
        <f>IF(AND(C937="",E937=""),"",IF(NOT(ISNUMBER(B937)),"Needs a date",IF(C937="","Needs a crop",IF(COUNTIF(Crops!$B$6:$B$65,C937)=0,"Not on Crops",IF(NOT(ISNUMBER(E937)),"Needs the amount",IF(AND(D937&lt;&gt;"",COUNTIF(Beds!$B$6:$B$35,D937)=0),"Not on Beds",""))))))</f>
        <v/>
      </c>
      <c r="J937" s="1">
        <f>IF(ISNUMBER(B937),YEAR(B937),"")</f>
        <v/>
      </c>
      <c r="K937">
        <f>IF(ISNUMBER(B937),YEAR(B937)*100+MONTH(B937),"")</f>
        <v/>
      </c>
      <c r="L937">
        <f>IF(ISNUMBER(B937),INT(B937),0)</f>
        <v/>
      </c>
    </row>
    <row r="938">
      <c r="A938" s="1" t="n"/>
      <c r="B938" s="17" t="n"/>
      <c r="C938" s="18" t="n"/>
      <c r="D938" s="19" t="n"/>
      <c r="E938" s="23" t="n"/>
      <c r="F938" s="21" t="n"/>
      <c r="G938" s="11">
        <f>IF(C938="","",IFERROR(INDEX(Crops!$D$6:$D$65,MATCH(C938,Crops!$B$6:$B$65,0))&amp;"",""))</f>
        <v/>
      </c>
      <c r="H938" s="12">
        <f>IF(OR(C938="",NOT(ISNUMBER(E938))),"",E938*N(IFERROR(INDEX(Crops!$E$6:$E$65,MATCH(C938,Crops!$B$6:$B$65,0)),0)))</f>
        <v/>
      </c>
      <c r="I938" s="11">
        <f>IF(AND(C938="",E938=""),"",IF(NOT(ISNUMBER(B938)),"Needs a date",IF(C938="","Needs a crop",IF(COUNTIF(Crops!$B$6:$B$65,C938)=0,"Not on Crops",IF(NOT(ISNUMBER(E938)),"Needs the amount",IF(AND(D938&lt;&gt;"",COUNTIF(Beds!$B$6:$B$35,D938)=0),"Not on Beds",""))))))</f>
        <v/>
      </c>
      <c r="J938" s="1">
        <f>IF(ISNUMBER(B938),YEAR(B938),"")</f>
        <v/>
      </c>
      <c r="K938">
        <f>IF(ISNUMBER(B938),YEAR(B938)*100+MONTH(B938),"")</f>
        <v/>
      </c>
      <c r="L938">
        <f>IF(ISNUMBER(B938),INT(B938),0)</f>
        <v/>
      </c>
    </row>
    <row r="939">
      <c r="A939" s="1" t="n"/>
      <c r="B939" s="17" t="n"/>
      <c r="C939" s="18" t="n"/>
      <c r="D939" s="19" t="n"/>
      <c r="E939" s="23" t="n"/>
      <c r="F939" s="21" t="n"/>
      <c r="G939" s="11">
        <f>IF(C939="","",IFERROR(INDEX(Crops!$D$6:$D$65,MATCH(C939,Crops!$B$6:$B$65,0))&amp;"",""))</f>
        <v/>
      </c>
      <c r="H939" s="12">
        <f>IF(OR(C939="",NOT(ISNUMBER(E939))),"",E939*N(IFERROR(INDEX(Crops!$E$6:$E$65,MATCH(C939,Crops!$B$6:$B$65,0)),0)))</f>
        <v/>
      </c>
      <c r="I939" s="11">
        <f>IF(AND(C939="",E939=""),"",IF(NOT(ISNUMBER(B939)),"Needs a date",IF(C939="","Needs a crop",IF(COUNTIF(Crops!$B$6:$B$65,C939)=0,"Not on Crops",IF(NOT(ISNUMBER(E939)),"Needs the amount",IF(AND(D939&lt;&gt;"",COUNTIF(Beds!$B$6:$B$35,D939)=0),"Not on Beds",""))))))</f>
        <v/>
      </c>
      <c r="J939" s="1">
        <f>IF(ISNUMBER(B939),YEAR(B939),"")</f>
        <v/>
      </c>
      <c r="K939">
        <f>IF(ISNUMBER(B939),YEAR(B939)*100+MONTH(B939),"")</f>
        <v/>
      </c>
      <c r="L939">
        <f>IF(ISNUMBER(B939),INT(B939),0)</f>
        <v/>
      </c>
    </row>
    <row r="940">
      <c r="A940" s="1" t="n"/>
      <c r="B940" s="17" t="n"/>
      <c r="C940" s="18" t="n"/>
      <c r="D940" s="19" t="n"/>
      <c r="E940" s="23" t="n"/>
      <c r="F940" s="21" t="n"/>
      <c r="G940" s="11">
        <f>IF(C940="","",IFERROR(INDEX(Crops!$D$6:$D$65,MATCH(C940,Crops!$B$6:$B$65,0))&amp;"",""))</f>
        <v/>
      </c>
      <c r="H940" s="12">
        <f>IF(OR(C940="",NOT(ISNUMBER(E940))),"",E940*N(IFERROR(INDEX(Crops!$E$6:$E$65,MATCH(C940,Crops!$B$6:$B$65,0)),0)))</f>
        <v/>
      </c>
      <c r="I940" s="11">
        <f>IF(AND(C940="",E940=""),"",IF(NOT(ISNUMBER(B940)),"Needs a date",IF(C940="","Needs a crop",IF(COUNTIF(Crops!$B$6:$B$65,C940)=0,"Not on Crops",IF(NOT(ISNUMBER(E940)),"Needs the amount",IF(AND(D940&lt;&gt;"",COUNTIF(Beds!$B$6:$B$35,D940)=0),"Not on Beds",""))))))</f>
        <v/>
      </c>
      <c r="J940" s="1">
        <f>IF(ISNUMBER(B940),YEAR(B940),"")</f>
        <v/>
      </c>
      <c r="K940">
        <f>IF(ISNUMBER(B940),YEAR(B940)*100+MONTH(B940),"")</f>
        <v/>
      </c>
      <c r="L940">
        <f>IF(ISNUMBER(B940),INT(B940),0)</f>
        <v/>
      </c>
    </row>
    <row r="941">
      <c r="A941" s="1" t="n"/>
      <c r="B941" s="17" t="n"/>
      <c r="C941" s="18" t="n"/>
      <c r="D941" s="19" t="n"/>
      <c r="E941" s="23" t="n"/>
      <c r="F941" s="21" t="n"/>
      <c r="G941" s="11">
        <f>IF(C941="","",IFERROR(INDEX(Crops!$D$6:$D$65,MATCH(C941,Crops!$B$6:$B$65,0))&amp;"",""))</f>
        <v/>
      </c>
      <c r="H941" s="12">
        <f>IF(OR(C941="",NOT(ISNUMBER(E941))),"",E941*N(IFERROR(INDEX(Crops!$E$6:$E$65,MATCH(C941,Crops!$B$6:$B$65,0)),0)))</f>
        <v/>
      </c>
      <c r="I941" s="11">
        <f>IF(AND(C941="",E941=""),"",IF(NOT(ISNUMBER(B941)),"Needs a date",IF(C941="","Needs a crop",IF(COUNTIF(Crops!$B$6:$B$65,C941)=0,"Not on Crops",IF(NOT(ISNUMBER(E941)),"Needs the amount",IF(AND(D941&lt;&gt;"",COUNTIF(Beds!$B$6:$B$35,D941)=0),"Not on Beds",""))))))</f>
        <v/>
      </c>
      <c r="J941" s="1">
        <f>IF(ISNUMBER(B941),YEAR(B941),"")</f>
        <v/>
      </c>
      <c r="K941">
        <f>IF(ISNUMBER(B941),YEAR(B941)*100+MONTH(B941),"")</f>
        <v/>
      </c>
      <c r="L941">
        <f>IF(ISNUMBER(B941),INT(B941),0)</f>
        <v/>
      </c>
    </row>
    <row r="942">
      <c r="A942" s="1" t="n"/>
      <c r="B942" s="17" t="n"/>
      <c r="C942" s="18" t="n"/>
      <c r="D942" s="19" t="n"/>
      <c r="E942" s="23" t="n"/>
      <c r="F942" s="21" t="n"/>
      <c r="G942" s="11">
        <f>IF(C942="","",IFERROR(INDEX(Crops!$D$6:$D$65,MATCH(C942,Crops!$B$6:$B$65,0))&amp;"",""))</f>
        <v/>
      </c>
      <c r="H942" s="12">
        <f>IF(OR(C942="",NOT(ISNUMBER(E942))),"",E942*N(IFERROR(INDEX(Crops!$E$6:$E$65,MATCH(C942,Crops!$B$6:$B$65,0)),0)))</f>
        <v/>
      </c>
      <c r="I942" s="11">
        <f>IF(AND(C942="",E942=""),"",IF(NOT(ISNUMBER(B942)),"Needs a date",IF(C942="","Needs a crop",IF(COUNTIF(Crops!$B$6:$B$65,C942)=0,"Not on Crops",IF(NOT(ISNUMBER(E942)),"Needs the amount",IF(AND(D942&lt;&gt;"",COUNTIF(Beds!$B$6:$B$35,D942)=0),"Not on Beds",""))))))</f>
        <v/>
      </c>
      <c r="J942" s="1">
        <f>IF(ISNUMBER(B942),YEAR(B942),"")</f>
        <v/>
      </c>
      <c r="K942">
        <f>IF(ISNUMBER(B942),YEAR(B942)*100+MONTH(B942),"")</f>
        <v/>
      </c>
      <c r="L942">
        <f>IF(ISNUMBER(B942),INT(B942),0)</f>
        <v/>
      </c>
    </row>
    <row r="943">
      <c r="A943" s="1" t="n"/>
      <c r="B943" s="17" t="n"/>
      <c r="C943" s="18" t="n"/>
      <c r="D943" s="19" t="n"/>
      <c r="E943" s="23" t="n"/>
      <c r="F943" s="21" t="n"/>
      <c r="G943" s="11">
        <f>IF(C943="","",IFERROR(INDEX(Crops!$D$6:$D$65,MATCH(C943,Crops!$B$6:$B$65,0))&amp;"",""))</f>
        <v/>
      </c>
      <c r="H943" s="12">
        <f>IF(OR(C943="",NOT(ISNUMBER(E943))),"",E943*N(IFERROR(INDEX(Crops!$E$6:$E$65,MATCH(C943,Crops!$B$6:$B$65,0)),0)))</f>
        <v/>
      </c>
      <c r="I943" s="11">
        <f>IF(AND(C943="",E943=""),"",IF(NOT(ISNUMBER(B943)),"Needs a date",IF(C943="","Needs a crop",IF(COUNTIF(Crops!$B$6:$B$65,C943)=0,"Not on Crops",IF(NOT(ISNUMBER(E943)),"Needs the amount",IF(AND(D943&lt;&gt;"",COUNTIF(Beds!$B$6:$B$35,D943)=0),"Not on Beds",""))))))</f>
        <v/>
      </c>
      <c r="J943" s="1">
        <f>IF(ISNUMBER(B943),YEAR(B943),"")</f>
        <v/>
      </c>
      <c r="K943">
        <f>IF(ISNUMBER(B943),YEAR(B943)*100+MONTH(B943),"")</f>
        <v/>
      </c>
      <c r="L943">
        <f>IF(ISNUMBER(B943),INT(B943),0)</f>
        <v/>
      </c>
    </row>
    <row r="944">
      <c r="A944" s="1" t="n"/>
      <c r="B944" s="17" t="n"/>
      <c r="C944" s="18" t="n"/>
      <c r="D944" s="19" t="n"/>
      <c r="E944" s="23" t="n"/>
      <c r="F944" s="21" t="n"/>
      <c r="G944" s="11">
        <f>IF(C944="","",IFERROR(INDEX(Crops!$D$6:$D$65,MATCH(C944,Crops!$B$6:$B$65,0))&amp;"",""))</f>
        <v/>
      </c>
      <c r="H944" s="12">
        <f>IF(OR(C944="",NOT(ISNUMBER(E944))),"",E944*N(IFERROR(INDEX(Crops!$E$6:$E$65,MATCH(C944,Crops!$B$6:$B$65,0)),0)))</f>
        <v/>
      </c>
      <c r="I944" s="11">
        <f>IF(AND(C944="",E944=""),"",IF(NOT(ISNUMBER(B944)),"Needs a date",IF(C944="","Needs a crop",IF(COUNTIF(Crops!$B$6:$B$65,C944)=0,"Not on Crops",IF(NOT(ISNUMBER(E944)),"Needs the amount",IF(AND(D944&lt;&gt;"",COUNTIF(Beds!$B$6:$B$35,D944)=0),"Not on Beds",""))))))</f>
        <v/>
      </c>
      <c r="J944" s="1">
        <f>IF(ISNUMBER(B944),YEAR(B944),"")</f>
        <v/>
      </c>
      <c r="K944">
        <f>IF(ISNUMBER(B944),YEAR(B944)*100+MONTH(B944),"")</f>
        <v/>
      </c>
      <c r="L944">
        <f>IF(ISNUMBER(B944),INT(B944),0)</f>
        <v/>
      </c>
    </row>
    <row r="945">
      <c r="A945" s="1" t="n"/>
      <c r="B945" s="17" t="n"/>
      <c r="C945" s="18" t="n"/>
      <c r="D945" s="19" t="n"/>
      <c r="E945" s="23" t="n"/>
      <c r="F945" s="21" t="n"/>
      <c r="G945" s="11">
        <f>IF(C945="","",IFERROR(INDEX(Crops!$D$6:$D$65,MATCH(C945,Crops!$B$6:$B$65,0))&amp;"",""))</f>
        <v/>
      </c>
      <c r="H945" s="12">
        <f>IF(OR(C945="",NOT(ISNUMBER(E945))),"",E945*N(IFERROR(INDEX(Crops!$E$6:$E$65,MATCH(C945,Crops!$B$6:$B$65,0)),0)))</f>
        <v/>
      </c>
      <c r="I945" s="11">
        <f>IF(AND(C945="",E945=""),"",IF(NOT(ISNUMBER(B945)),"Needs a date",IF(C945="","Needs a crop",IF(COUNTIF(Crops!$B$6:$B$65,C945)=0,"Not on Crops",IF(NOT(ISNUMBER(E945)),"Needs the amount",IF(AND(D945&lt;&gt;"",COUNTIF(Beds!$B$6:$B$35,D945)=0),"Not on Beds",""))))))</f>
        <v/>
      </c>
      <c r="J945" s="1">
        <f>IF(ISNUMBER(B945),YEAR(B945),"")</f>
        <v/>
      </c>
      <c r="K945">
        <f>IF(ISNUMBER(B945),YEAR(B945)*100+MONTH(B945),"")</f>
        <v/>
      </c>
      <c r="L945">
        <f>IF(ISNUMBER(B945),INT(B945),0)</f>
        <v/>
      </c>
    </row>
    <row r="946">
      <c r="A946" s="1" t="n"/>
      <c r="B946" s="17" t="n"/>
      <c r="C946" s="18" t="n"/>
      <c r="D946" s="19" t="n"/>
      <c r="E946" s="23" t="n"/>
      <c r="F946" s="21" t="n"/>
      <c r="G946" s="11">
        <f>IF(C946="","",IFERROR(INDEX(Crops!$D$6:$D$65,MATCH(C946,Crops!$B$6:$B$65,0))&amp;"",""))</f>
        <v/>
      </c>
      <c r="H946" s="12">
        <f>IF(OR(C946="",NOT(ISNUMBER(E946))),"",E946*N(IFERROR(INDEX(Crops!$E$6:$E$65,MATCH(C946,Crops!$B$6:$B$65,0)),0)))</f>
        <v/>
      </c>
      <c r="I946" s="11">
        <f>IF(AND(C946="",E946=""),"",IF(NOT(ISNUMBER(B946)),"Needs a date",IF(C946="","Needs a crop",IF(COUNTIF(Crops!$B$6:$B$65,C946)=0,"Not on Crops",IF(NOT(ISNUMBER(E946)),"Needs the amount",IF(AND(D946&lt;&gt;"",COUNTIF(Beds!$B$6:$B$35,D946)=0),"Not on Beds",""))))))</f>
        <v/>
      </c>
      <c r="J946" s="1">
        <f>IF(ISNUMBER(B946),YEAR(B946),"")</f>
        <v/>
      </c>
      <c r="K946">
        <f>IF(ISNUMBER(B946),YEAR(B946)*100+MONTH(B946),"")</f>
        <v/>
      </c>
      <c r="L946">
        <f>IF(ISNUMBER(B946),INT(B946),0)</f>
        <v/>
      </c>
    </row>
    <row r="947">
      <c r="A947" s="1" t="n"/>
      <c r="B947" s="17" t="n"/>
      <c r="C947" s="18" t="n"/>
      <c r="D947" s="19" t="n"/>
      <c r="E947" s="23" t="n"/>
      <c r="F947" s="21" t="n"/>
      <c r="G947" s="11">
        <f>IF(C947="","",IFERROR(INDEX(Crops!$D$6:$D$65,MATCH(C947,Crops!$B$6:$B$65,0))&amp;"",""))</f>
        <v/>
      </c>
      <c r="H947" s="12">
        <f>IF(OR(C947="",NOT(ISNUMBER(E947))),"",E947*N(IFERROR(INDEX(Crops!$E$6:$E$65,MATCH(C947,Crops!$B$6:$B$65,0)),0)))</f>
        <v/>
      </c>
      <c r="I947" s="11">
        <f>IF(AND(C947="",E947=""),"",IF(NOT(ISNUMBER(B947)),"Needs a date",IF(C947="","Needs a crop",IF(COUNTIF(Crops!$B$6:$B$65,C947)=0,"Not on Crops",IF(NOT(ISNUMBER(E947)),"Needs the amount",IF(AND(D947&lt;&gt;"",COUNTIF(Beds!$B$6:$B$35,D947)=0),"Not on Beds",""))))))</f>
        <v/>
      </c>
      <c r="J947" s="1">
        <f>IF(ISNUMBER(B947),YEAR(B947),"")</f>
        <v/>
      </c>
      <c r="K947">
        <f>IF(ISNUMBER(B947),YEAR(B947)*100+MONTH(B947),"")</f>
        <v/>
      </c>
      <c r="L947">
        <f>IF(ISNUMBER(B947),INT(B947),0)</f>
        <v/>
      </c>
    </row>
    <row r="948">
      <c r="A948" s="1" t="n"/>
      <c r="B948" s="17" t="n"/>
      <c r="C948" s="18" t="n"/>
      <c r="D948" s="19" t="n"/>
      <c r="E948" s="23" t="n"/>
      <c r="F948" s="21" t="n"/>
      <c r="G948" s="11">
        <f>IF(C948="","",IFERROR(INDEX(Crops!$D$6:$D$65,MATCH(C948,Crops!$B$6:$B$65,0))&amp;"",""))</f>
        <v/>
      </c>
      <c r="H948" s="12">
        <f>IF(OR(C948="",NOT(ISNUMBER(E948))),"",E948*N(IFERROR(INDEX(Crops!$E$6:$E$65,MATCH(C948,Crops!$B$6:$B$65,0)),0)))</f>
        <v/>
      </c>
      <c r="I948" s="11">
        <f>IF(AND(C948="",E948=""),"",IF(NOT(ISNUMBER(B948)),"Needs a date",IF(C948="","Needs a crop",IF(COUNTIF(Crops!$B$6:$B$65,C948)=0,"Not on Crops",IF(NOT(ISNUMBER(E948)),"Needs the amount",IF(AND(D948&lt;&gt;"",COUNTIF(Beds!$B$6:$B$35,D948)=0),"Not on Beds",""))))))</f>
        <v/>
      </c>
      <c r="J948" s="1">
        <f>IF(ISNUMBER(B948),YEAR(B948),"")</f>
        <v/>
      </c>
      <c r="K948">
        <f>IF(ISNUMBER(B948),YEAR(B948)*100+MONTH(B948),"")</f>
        <v/>
      </c>
      <c r="L948">
        <f>IF(ISNUMBER(B948),INT(B948),0)</f>
        <v/>
      </c>
    </row>
    <row r="949">
      <c r="A949" s="1" t="n"/>
      <c r="B949" s="17" t="n"/>
      <c r="C949" s="18" t="n"/>
      <c r="D949" s="19" t="n"/>
      <c r="E949" s="23" t="n"/>
      <c r="F949" s="21" t="n"/>
      <c r="G949" s="11">
        <f>IF(C949="","",IFERROR(INDEX(Crops!$D$6:$D$65,MATCH(C949,Crops!$B$6:$B$65,0))&amp;"",""))</f>
        <v/>
      </c>
      <c r="H949" s="12">
        <f>IF(OR(C949="",NOT(ISNUMBER(E949))),"",E949*N(IFERROR(INDEX(Crops!$E$6:$E$65,MATCH(C949,Crops!$B$6:$B$65,0)),0)))</f>
        <v/>
      </c>
      <c r="I949" s="11">
        <f>IF(AND(C949="",E949=""),"",IF(NOT(ISNUMBER(B949)),"Needs a date",IF(C949="","Needs a crop",IF(COUNTIF(Crops!$B$6:$B$65,C949)=0,"Not on Crops",IF(NOT(ISNUMBER(E949)),"Needs the amount",IF(AND(D949&lt;&gt;"",COUNTIF(Beds!$B$6:$B$35,D949)=0),"Not on Beds",""))))))</f>
        <v/>
      </c>
      <c r="J949" s="1">
        <f>IF(ISNUMBER(B949),YEAR(B949),"")</f>
        <v/>
      </c>
      <c r="K949">
        <f>IF(ISNUMBER(B949),YEAR(B949)*100+MONTH(B949),"")</f>
        <v/>
      </c>
      <c r="L949">
        <f>IF(ISNUMBER(B949),INT(B949),0)</f>
        <v/>
      </c>
    </row>
    <row r="950">
      <c r="A950" s="1" t="n"/>
      <c r="B950" s="17" t="n"/>
      <c r="C950" s="18" t="n"/>
      <c r="D950" s="19" t="n"/>
      <c r="E950" s="23" t="n"/>
      <c r="F950" s="21" t="n"/>
      <c r="G950" s="11">
        <f>IF(C950="","",IFERROR(INDEX(Crops!$D$6:$D$65,MATCH(C950,Crops!$B$6:$B$65,0))&amp;"",""))</f>
        <v/>
      </c>
      <c r="H950" s="12">
        <f>IF(OR(C950="",NOT(ISNUMBER(E950))),"",E950*N(IFERROR(INDEX(Crops!$E$6:$E$65,MATCH(C950,Crops!$B$6:$B$65,0)),0)))</f>
        <v/>
      </c>
      <c r="I950" s="11">
        <f>IF(AND(C950="",E950=""),"",IF(NOT(ISNUMBER(B950)),"Needs a date",IF(C950="","Needs a crop",IF(COUNTIF(Crops!$B$6:$B$65,C950)=0,"Not on Crops",IF(NOT(ISNUMBER(E950)),"Needs the amount",IF(AND(D950&lt;&gt;"",COUNTIF(Beds!$B$6:$B$35,D950)=0),"Not on Beds",""))))))</f>
        <v/>
      </c>
      <c r="J950" s="1">
        <f>IF(ISNUMBER(B950),YEAR(B950),"")</f>
        <v/>
      </c>
      <c r="K950">
        <f>IF(ISNUMBER(B950),YEAR(B950)*100+MONTH(B950),"")</f>
        <v/>
      </c>
      <c r="L950">
        <f>IF(ISNUMBER(B950),INT(B950),0)</f>
        <v/>
      </c>
    </row>
    <row r="951">
      <c r="A951" s="1" t="n"/>
      <c r="B951" s="17" t="n"/>
      <c r="C951" s="18" t="n"/>
      <c r="D951" s="19" t="n"/>
      <c r="E951" s="23" t="n"/>
      <c r="F951" s="21" t="n"/>
      <c r="G951" s="11">
        <f>IF(C951="","",IFERROR(INDEX(Crops!$D$6:$D$65,MATCH(C951,Crops!$B$6:$B$65,0))&amp;"",""))</f>
        <v/>
      </c>
      <c r="H951" s="12">
        <f>IF(OR(C951="",NOT(ISNUMBER(E951))),"",E951*N(IFERROR(INDEX(Crops!$E$6:$E$65,MATCH(C951,Crops!$B$6:$B$65,0)),0)))</f>
        <v/>
      </c>
      <c r="I951" s="11">
        <f>IF(AND(C951="",E951=""),"",IF(NOT(ISNUMBER(B951)),"Needs a date",IF(C951="","Needs a crop",IF(COUNTIF(Crops!$B$6:$B$65,C951)=0,"Not on Crops",IF(NOT(ISNUMBER(E951)),"Needs the amount",IF(AND(D951&lt;&gt;"",COUNTIF(Beds!$B$6:$B$35,D951)=0),"Not on Beds",""))))))</f>
        <v/>
      </c>
      <c r="J951" s="1">
        <f>IF(ISNUMBER(B951),YEAR(B951),"")</f>
        <v/>
      </c>
      <c r="K951">
        <f>IF(ISNUMBER(B951),YEAR(B951)*100+MONTH(B951),"")</f>
        <v/>
      </c>
      <c r="L951">
        <f>IF(ISNUMBER(B951),INT(B951),0)</f>
        <v/>
      </c>
    </row>
    <row r="952">
      <c r="A952" s="1" t="n"/>
      <c r="B952" s="17" t="n"/>
      <c r="C952" s="18" t="n"/>
      <c r="D952" s="19" t="n"/>
      <c r="E952" s="23" t="n"/>
      <c r="F952" s="21" t="n"/>
      <c r="G952" s="11">
        <f>IF(C952="","",IFERROR(INDEX(Crops!$D$6:$D$65,MATCH(C952,Crops!$B$6:$B$65,0))&amp;"",""))</f>
        <v/>
      </c>
      <c r="H952" s="12">
        <f>IF(OR(C952="",NOT(ISNUMBER(E952))),"",E952*N(IFERROR(INDEX(Crops!$E$6:$E$65,MATCH(C952,Crops!$B$6:$B$65,0)),0)))</f>
        <v/>
      </c>
      <c r="I952" s="11">
        <f>IF(AND(C952="",E952=""),"",IF(NOT(ISNUMBER(B952)),"Needs a date",IF(C952="","Needs a crop",IF(COUNTIF(Crops!$B$6:$B$65,C952)=0,"Not on Crops",IF(NOT(ISNUMBER(E952)),"Needs the amount",IF(AND(D952&lt;&gt;"",COUNTIF(Beds!$B$6:$B$35,D952)=0),"Not on Beds",""))))))</f>
        <v/>
      </c>
      <c r="J952" s="1">
        <f>IF(ISNUMBER(B952),YEAR(B952),"")</f>
        <v/>
      </c>
      <c r="K952">
        <f>IF(ISNUMBER(B952),YEAR(B952)*100+MONTH(B952),"")</f>
        <v/>
      </c>
      <c r="L952">
        <f>IF(ISNUMBER(B952),INT(B952),0)</f>
        <v/>
      </c>
    </row>
    <row r="953">
      <c r="A953" s="1" t="n"/>
      <c r="B953" s="17" t="n"/>
      <c r="C953" s="18" t="n"/>
      <c r="D953" s="19" t="n"/>
      <c r="E953" s="23" t="n"/>
      <c r="F953" s="21" t="n"/>
      <c r="G953" s="11">
        <f>IF(C953="","",IFERROR(INDEX(Crops!$D$6:$D$65,MATCH(C953,Crops!$B$6:$B$65,0))&amp;"",""))</f>
        <v/>
      </c>
      <c r="H953" s="12">
        <f>IF(OR(C953="",NOT(ISNUMBER(E953))),"",E953*N(IFERROR(INDEX(Crops!$E$6:$E$65,MATCH(C953,Crops!$B$6:$B$65,0)),0)))</f>
        <v/>
      </c>
      <c r="I953" s="11">
        <f>IF(AND(C953="",E953=""),"",IF(NOT(ISNUMBER(B953)),"Needs a date",IF(C953="","Needs a crop",IF(COUNTIF(Crops!$B$6:$B$65,C953)=0,"Not on Crops",IF(NOT(ISNUMBER(E953)),"Needs the amount",IF(AND(D953&lt;&gt;"",COUNTIF(Beds!$B$6:$B$35,D953)=0),"Not on Beds",""))))))</f>
        <v/>
      </c>
      <c r="J953" s="1">
        <f>IF(ISNUMBER(B953),YEAR(B953),"")</f>
        <v/>
      </c>
      <c r="K953">
        <f>IF(ISNUMBER(B953),YEAR(B953)*100+MONTH(B953),"")</f>
        <v/>
      </c>
      <c r="L953">
        <f>IF(ISNUMBER(B953),INT(B953),0)</f>
        <v/>
      </c>
    </row>
    <row r="954">
      <c r="A954" s="1" t="n"/>
      <c r="B954" s="17" t="n"/>
      <c r="C954" s="18" t="n"/>
      <c r="D954" s="19" t="n"/>
      <c r="E954" s="23" t="n"/>
      <c r="F954" s="21" t="n"/>
      <c r="G954" s="11">
        <f>IF(C954="","",IFERROR(INDEX(Crops!$D$6:$D$65,MATCH(C954,Crops!$B$6:$B$65,0))&amp;"",""))</f>
        <v/>
      </c>
      <c r="H954" s="12">
        <f>IF(OR(C954="",NOT(ISNUMBER(E954))),"",E954*N(IFERROR(INDEX(Crops!$E$6:$E$65,MATCH(C954,Crops!$B$6:$B$65,0)),0)))</f>
        <v/>
      </c>
      <c r="I954" s="11">
        <f>IF(AND(C954="",E954=""),"",IF(NOT(ISNUMBER(B954)),"Needs a date",IF(C954="","Needs a crop",IF(COUNTIF(Crops!$B$6:$B$65,C954)=0,"Not on Crops",IF(NOT(ISNUMBER(E954)),"Needs the amount",IF(AND(D954&lt;&gt;"",COUNTIF(Beds!$B$6:$B$35,D954)=0),"Not on Beds",""))))))</f>
        <v/>
      </c>
      <c r="J954" s="1">
        <f>IF(ISNUMBER(B954),YEAR(B954),"")</f>
        <v/>
      </c>
      <c r="K954">
        <f>IF(ISNUMBER(B954),YEAR(B954)*100+MONTH(B954),"")</f>
        <v/>
      </c>
      <c r="L954">
        <f>IF(ISNUMBER(B954),INT(B954),0)</f>
        <v/>
      </c>
    </row>
    <row r="955">
      <c r="A955" s="1" t="n"/>
      <c r="B955" s="17" t="n"/>
      <c r="C955" s="18" t="n"/>
      <c r="D955" s="19" t="n"/>
      <c r="E955" s="23" t="n"/>
      <c r="F955" s="21" t="n"/>
      <c r="G955" s="11">
        <f>IF(C955="","",IFERROR(INDEX(Crops!$D$6:$D$65,MATCH(C955,Crops!$B$6:$B$65,0))&amp;"",""))</f>
        <v/>
      </c>
      <c r="H955" s="12">
        <f>IF(OR(C955="",NOT(ISNUMBER(E955))),"",E955*N(IFERROR(INDEX(Crops!$E$6:$E$65,MATCH(C955,Crops!$B$6:$B$65,0)),0)))</f>
        <v/>
      </c>
      <c r="I955" s="11">
        <f>IF(AND(C955="",E955=""),"",IF(NOT(ISNUMBER(B955)),"Needs a date",IF(C955="","Needs a crop",IF(COUNTIF(Crops!$B$6:$B$65,C955)=0,"Not on Crops",IF(NOT(ISNUMBER(E955)),"Needs the amount",IF(AND(D955&lt;&gt;"",COUNTIF(Beds!$B$6:$B$35,D955)=0),"Not on Beds",""))))))</f>
        <v/>
      </c>
      <c r="J955" s="1">
        <f>IF(ISNUMBER(B955),YEAR(B955),"")</f>
        <v/>
      </c>
      <c r="K955">
        <f>IF(ISNUMBER(B955),YEAR(B955)*100+MONTH(B955),"")</f>
        <v/>
      </c>
      <c r="L955">
        <f>IF(ISNUMBER(B955),INT(B955),0)</f>
        <v/>
      </c>
    </row>
    <row r="956">
      <c r="A956" s="1" t="n"/>
      <c r="B956" s="17" t="n"/>
      <c r="C956" s="18" t="n"/>
      <c r="D956" s="19" t="n"/>
      <c r="E956" s="23" t="n"/>
      <c r="F956" s="21" t="n"/>
      <c r="G956" s="11">
        <f>IF(C956="","",IFERROR(INDEX(Crops!$D$6:$D$65,MATCH(C956,Crops!$B$6:$B$65,0))&amp;"",""))</f>
        <v/>
      </c>
      <c r="H956" s="12">
        <f>IF(OR(C956="",NOT(ISNUMBER(E956))),"",E956*N(IFERROR(INDEX(Crops!$E$6:$E$65,MATCH(C956,Crops!$B$6:$B$65,0)),0)))</f>
        <v/>
      </c>
      <c r="I956" s="11">
        <f>IF(AND(C956="",E956=""),"",IF(NOT(ISNUMBER(B956)),"Needs a date",IF(C956="","Needs a crop",IF(COUNTIF(Crops!$B$6:$B$65,C956)=0,"Not on Crops",IF(NOT(ISNUMBER(E956)),"Needs the amount",IF(AND(D956&lt;&gt;"",COUNTIF(Beds!$B$6:$B$35,D956)=0),"Not on Beds",""))))))</f>
        <v/>
      </c>
      <c r="J956" s="1">
        <f>IF(ISNUMBER(B956),YEAR(B956),"")</f>
        <v/>
      </c>
      <c r="K956">
        <f>IF(ISNUMBER(B956),YEAR(B956)*100+MONTH(B956),"")</f>
        <v/>
      </c>
      <c r="L956">
        <f>IF(ISNUMBER(B956),INT(B956),0)</f>
        <v/>
      </c>
    </row>
    <row r="957">
      <c r="A957" s="1" t="n"/>
      <c r="B957" s="17" t="n"/>
      <c r="C957" s="18" t="n"/>
      <c r="D957" s="19" t="n"/>
      <c r="E957" s="23" t="n"/>
      <c r="F957" s="21" t="n"/>
      <c r="G957" s="11">
        <f>IF(C957="","",IFERROR(INDEX(Crops!$D$6:$D$65,MATCH(C957,Crops!$B$6:$B$65,0))&amp;"",""))</f>
        <v/>
      </c>
      <c r="H957" s="12">
        <f>IF(OR(C957="",NOT(ISNUMBER(E957))),"",E957*N(IFERROR(INDEX(Crops!$E$6:$E$65,MATCH(C957,Crops!$B$6:$B$65,0)),0)))</f>
        <v/>
      </c>
      <c r="I957" s="11">
        <f>IF(AND(C957="",E957=""),"",IF(NOT(ISNUMBER(B957)),"Needs a date",IF(C957="","Needs a crop",IF(COUNTIF(Crops!$B$6:$B$65,C957)=0,"Not on Crops",IF(NOT(ISNUMBER(E957)),"Needs the amount",IF(AND(D957&lt;&gt;"",COUNTIF(Beds!$B$6:$B$35,D957)=0),"Not on Beds",""))))))</f>
        <v/>
      </c>
      <c r="J957" s="1">
        <f>IF(ISNUMBER(B957),YEAR(B957),"")</f>
        <v/>
      </c>
      <c r="K957">
        <f>IF(ISNUMBER(B957),YEAR(B957)*100+MONTH(B957),"")</f>
        <v/>
      </c>
      <c r="L957">
        <f>IF(ISNUMBER(B957),INT(B957),0)</f>
        <v/>
      </c>
    </row>
    <row r="958">
      <c r="A958" s="1" t="n"/>
      <c r="B958" s="17" t="n"/>
      <c r="C958" s="18" t="n"/>
      <c r="D958" s="19" t="n"/>
      <c r="E958" s="23" t="n"/>
      <c r="F958" s="21" t="n"/>
      <c r="G958" s="11">
        <f>IF(C958="","",IFERROR(INDEX(Crops!$D$6:$D$65,MATCH(C958,Crops!$B$6:$B$65,0))&amp;"",""))</f>
        <v/>
      </c>
      <c r="H958" s="12">
        <f>IF(OR(C958="",NOT(ISNUMBER(E958))),"",E958*N(IFERROR(INDEX(Crops!$E$6:$E$65,MATCH(C958,Crops!$B$6:$B$65,0)),0)))</f>
        <v/>
      </c>
      <c r="I958" s="11">
        <f>IF(AND(C958="",E958=""),"",IF(NOT(ISNUMBER(B958)),"Needs a date",IF(C958="","Needs a crop",IF(COUNTIF(Crops!$B$6:$B$65,C958)=0,"Not on Crops",IF(NOT(ISNUMBER(E958)),"Needs the amount",IF(AND(D958&lt;&gt;"",COUNTIF(Beds!$B$6:$B$35,D958)=0),"Not on Beds",""))))))</f>
        <v/>
      </c>
      <c r="J958" s="1">
        <f>IF(ISNUMBER(B958),YEAR(B958),"")</f>
        <v/>
      </c>
      <c r="K958">
        <f>IF(ISNUMBER(B958),YEAR(B958)*100+MONTH(B958),"")</f>
        <v/>
      </c>
      <c r="L958">
        <f>IF(ISNUMBER(B958),INT(B958),0)</f>
        <v/>
      </c>
    </row>
    <row r="959">
      <c r="A959" s="1" t="n"/>
      <c r="B959" s="17" t="n"/>
      <c r="C959" s="18" t="n"/>
      <c r="D959" s="19" t="n"/>
      <c r="E959" s="23" t="n"/>
      <c r="F959" s="21" t="n"/>
      <c r="G959" s="11">
        <f>IF(C959="","",IFERROR(INDEX(Crops!$D$6:$D$65,MATCH(C959,Crops!$B$6:$B$65,0))&amp;"",""))</f>
        <v/>
      </c>
      <c r="H959" s="12">
        <f>IF(OR(C959="",NOT(ISNUMBER(E959))),"",E959*N(IFERROR(INDEX(Crops!$E$6:$E$65,MATCH(C959,Crops!$B$6:$B$65,0)),0)))</f>
        <v/>
      </c>
      <c r="I959" s="11">
        <f>IF(AND(C959="",E959=""),"",IF(NOT(ISNUMBER(B959)),"Needs a date",IF(C959="","Needs a crop",IF(COUNTIF(Crops!$B$6:$B$65,C959)=0,"Not on Crops",IF(NOT(ISNUMBER(E959)),"Needs the amount",IF(AND(D959&lt;&gt;"",COUNTIF(Beds!$B$6:$B$35,D959)=0),"Not on Beds",""))))))</f>
        <v/>
      </c>
      <c r="J959" s="1">
        <f>IF(ISNUMBER(B959),YEAR(B959),"")</f>
        <v/>
      </c>
      <c r="K959">
        <f>IF(ISNUMBER(B959),YEAR(B959)*100+MONTH(B959),"")</f>
        <v/>
      </c>
      <c r="L959">
        <f>IF(ISNUMBER(B959),INT(B959),0)</f>
        <v/>
      </c>
    </row>
    <row r="960">
      <c r="A960" s="1" t="n"/>
      <c r="B960" s="17" t="n"/>
      <c r="C960" s="18" t="n"/>
      <c r="D960" s="19" t="n"/>
      <c r="E960" s="23" t="n"/>
      <c r="F960" s="21" t="n"/>
      <c r="G960" s="11">
        <f>IF(C960="","",IFERROR(INDEX(Crops!$D$6:$D$65,MATCH(C960,Crops!$B$6:$B$65,0))&amp;"",""))</f>
        <v/>
      </c>
      <c r="H960" s="12">
        <f>IF(OR(C960="",NOT(ISNUMBER(E960))),"",E960*N(IFERROR(INDEX(Crops!$E$6:$E$65,MATCH(C960,Crops!$B$6:$B$65,0)),0)))</f>
        <v/>
      </c>
      <c r="I960" s="11">
        <f>IF(AND(C960="",E960=""),"",IF(NOT(ISNUMBER(B960)),"Needs a date",IF(C960="","Needs a crop",IF(COUNTIF(Crops!$B$6:$B$65,C960)=0,"Not on Crops",IF(NOT(ISNUMBER(E960)),"Needs the amount",IF(AND(D960&lt;&gt;"",COUNTIF(Beds!$B$6:$B$35,D960)=0),"Not on Beds",""))))))</f>
        <v/>
      </c>
      <c r="J960" s="1">
        <f>IF(ISNUMBER(B960),YEAR(B960),"")</f>
        <v/>
      </c>
      <c r="K960">
        <f>IF(ISNUMBER(B960),YEAR(B960)*100+MONTH(B960),"")</f>
        <v/>
      </c>
      <c r="L960">
        <f>IF(ISNUMBER(B960),INT(B960),0)</f>
        <v/>
      </c>
    </row>
    <row r="961">
      <c r="A961" s="1" t="n"/>
      <c r="B961" s="17" t="n"/>
      <c r="C961" s="18" t="n"/>
      <c r="D961" s="19" t="n"/>
      <c r="E961" s="23" t="n"/>
      <c r="F961" s="21" t="n"/>
      <c r="G961" s="11">
        <f>IF(C961="","",IFERROR(INDEX(Crops!$D$6:$D$65,MATCH(C961,Crops!$B$6:$B$65,0))&amp;"",""))</f>
        <v/>
      </c>
      <c r="H961" s="12">
        <f>IF(OR(C961="",NOT(ISNUMBER(E961))),"",E961*N(IFERROR(INDEX(Crops!$E$6:$E$65,MATCH(C961,Crops!$B$6:$B$65,0)),0)))</f>
        <v/>
      </c>
      <c r="I961" s="11">
        <f>IF(AND(C961="",E961=""),"",IF(NOT(ISNUMBER(B961)),"Needs a date",IF(C961="","Needs a crop",IF(COUNTIF(Crops!$B$6:$B$65,C961)=0,"Not on Crops",IF(NOT(ISNUMBER(E961)),"Needs the amount",IF(AND(D961&lt;&gt;"",COUNTIF(Beds!$B$6:$B$35,D961)=0),"Not on Beds",""))))))</f>
        <v/>
      </c>
      <c r="J961" s="1">
        <f>IF(ISNUMBER(B961),YEAR(B961),"")</f>
        <v/>
      </c>
      <c r="K961">
        <f>IF(ISNUMBER(B961),YEAR(B961)*100+MONTH(B961),"")</f>
        <v/>
      </c>
      <c r="L961">
        <f>IF(ISNUMBER(B961),INT(B961),0)</f>
        <v/>
      </c>
    </row>
    <row r="962">
      <c r="A962" s="1" t="n"/>
      <c r="B962" s="17" t="n"/>
      <c r="C962" s="18" t="n"/>
      <c r="D962" s="19" t="n"/>
      <c r="E962" s="23" t="n"/>
      <c r="F962" s="21" t="n"/>
      <c r="G962" s="11">
        <f>IF(C962="","",IFERROR(INDEX(Crops!$D$6:$D$65,MATCH(C962,Crops!$B$6:$B$65,0))&amp;"",""))</f>
        <v/>
      </c>
      <c r="H962" s="12">
        <f>IF(OR(C962="",NOT(ISNUMBER(E962))),"",E962*N(IFERROR(INDEX(Crops!$E$6:$E$65,MATCH(C962,Crops!$B$6:$B$65,0)),0)))</f>
        <v/>
      </c>
      <c r="I962" s="11">
        <f>IF(AND(C962="",E962=""),"",IF(NOT(ISNUMBER(B962)),"Needs a date",IF(C962="","Needs a crop",IF(COUNTIF(Crops!$B$6:$B$65,C962)=0,"Not on Crops",IF(NOT(ISNUMBER(E962)),"Needs the amount",IF(AND(D962&lt;&gt;"",COUNTIF(Beds!$B$6:$B$35,D962)=0),"Not on Beds",""))))))</f>
        <v/>
      </c>
      <c r="J962" s="1">
        <f>IF(ISNUMBER(B962),YEAR(B962),"")</f>
        <v/>
      </c>
      <c r="K962">
        <f>IF(ISNUMBER(B962),YEAR(B962)*100+MONTH(B962),"")</f>
        <v/>
      </c>
      <c r="L962">
        <f>IF(ISNUMBER(B962),INT(B962),0)</f>
        <v/>
      </c>
    </row>
    <row r="963">
      <c r="A963" s="1" t="n"/>
      <c r="B963" s="17" t="n"/>
      <c r="C963" s="18" t="n"/>
      <c r="D963" s="19" t="n"/>
      <c r="E963" s="23" t="n"/>
      <c r="F963" s="21" t="n"/>
      <c r="G963" s="11">
        <f>IF(C963="","",IFERROR(INDEX(Crops!$D$6:$D$65,MATCH(C963,Crops!$B$6:$B$65,0))&amp;"",""))</f>
        <v/>
      </c>
      <c r="H963" s="12">
        <f>IF(OR(C963="",NOT(ISNUMBER(E963))),"",E963*N(IFERROR(INDEX(Crops!$E$6:$E$65,MATCH(C963,Crops!$B$6:$B$65,0)),0)))</f>
        <v/>
      </c>
      <c r="I963" s="11">
        <f>IF(AND(C963="",E963=""),"",IF(NOT(ISNUMBER(B963)),"Needs a date",IF(C963="","Needs a crop",IF(COUNTIF(Crops!$B$6:$B$65,C963)=0,"Not on Crops",IF(NOT(ISNUMBER(E963)),"Needs the amount",IF(AND(D963&lt;&gt;"",COUNTIF(Beds!$B$6:$B$35,D963)=0),"Not on Beds",""))))))</f>
        <v/>
      </c>
      <c r="J963" s="1">
        <f>IF(ISNUMBER(B963),YEAR(B963),"")</f>
        <v/>
      </c>
      <c r="K963">
        <f>IF(ISNUMBER(B963),YEAR(B963)*100+MONTH(B963),"")</f>
        <v/>
      </c>
      <c r="L963">
        <f>IF(ISNUMBER(B963),INT(B963),0)</f>
        <v/>
      </c>
    </row>
    <row r="964">
      <c r="A964" s="1" t="n"/>
      <c r="B964" s="17" t="n"/>
      <c r="C964" s="18" t="n"/>
      <c r="D964" s="19" t="n"/>
      <c r="E964" s="23" t="n"/>
      <c r="F964" s="21" t="n"/>
      <c r="G964" s="11">
        <f>IF(C964="","",IFERROR(INDEX(Crops!$D$6:$D$65,MATCH(C964,Crops!$B$6:$B$65,0))&amp;"",""))</f>
        <v/>
      </c>
      <c r="H964" s="12">
        <f>IF(OR(C964="",NOT(ISNUMBER(E964))),"",E964*N(IFERROR(INDEX(Crops!$E$6:$E$65,MATCH(C964,Crops!$B$6:$B$65,0)),0)))</f>
        <v/>
      </c>
      <c r="I964" s="11">
        <f>IF(AND(C964="",E964=""),"",IF(NOT(ISNUMBER(B964)),"Needs a date",IF(C964="","Needs a crop",IF(COUNTIF(Crops!$B$6:$B$65,C964)=0,"Not on Crops",IF(NOT(ISNUMBER(E964)),"Needs the amount",IF(AND(D964&lt;&gt;"",COUNTIF(Beds!$B$6:$B$35,D964)=0),"Not on Beds",""))))))</f>
        <v/>
      </c>
      <c r="J964" s="1">
        <f>IF(ISNUMBER(B964),YEAR(B964),"")</f>
        <v/>
      </c>
      <c r="K964">
        <f>IF(ISNUMBER(B964),YEAR(B964)*100+MONTH(B964),"")</f>
        <v/>
      </c>
      <c r="L964">
        <f>IF(ISNUMBER(B964),INT(B964),0)</f>
        <v/>
      </c>
    </row>
    <row r="965">
      <c r="A965" s="1" t="n"/>
      <c r="B965" s="17" t="n"/>
      <c r="C965" s="18" t="n"/>
      <c r="D965" s="19" t="n"/>
      <c r="E965" s="23" t="n"/>
      <c r="F965" s="21" t="n"/>
      <c r="G965" s="11">
        <f>IF(C965="","",IFERROR(INDEX(Crops!$D$6:$D$65,MATCH(C965,Crops!$B$6:$B$65,0))&amp;"",""))</f>
        <v/>
      </c>
      <c r="H965" s="12">
        <f>IF(OR(C965="",NOT(ISNUMBER(E965))),"",E965*N(IFERROR(INDEX(Crops!$E$6:$E$65,MATCH(C965,Crops!$B$6:$B$65,0)),0)))</f>
        <v/>
      </c>
      <c r="I965" s="11">
        <f>IF(AND(C965="",E965=""),"",IF(NOT(ISNUMBER(B965)),"Needs a date",IF(C965="","Needs a crop",IF(COUNTIF(Crops!$B$6:$B$65,C965)=0,"Not on Crops",IF(NOT(ISNUMBER(E965)),"Needs the amount",IF(AND(D965&lt;&gt;"",COUNTIF(Beds!$B$6:$B$35,D965)=0),"Not on Beds",""))))))</f>
        <v/>
      </c>
      <c r="J965" s="1">
        <f>IF(ISNUMBER(B965),YEAR(B965),"")</f>
        <v/>
      </c>
      <c r="K965">
        <f>IF(ISNUMBER(B965),YEAR(B965)*100+MONTH(B965),"")</f>
        <v/>
      </c>
      <c r="L965">
        <f>IF(ISNUMBER(B965),INT(B965),0)</f>
        <v/>
      </c>
    </row>
    <row r="966">
      <c r="A966" s="1" t="n"/>
      <c r="B966" s="17" t="n"/>
      <c r="C966" s="18" t="n"/>
      <c r="D966" s="19" t="n"/>
      <c r="E966" s="23" t="n"/>
      <c r="F966" s="21" t="n"/>
      <c r="G966" s="11">
        <f>IF(C966="","",IFERROR(INDEX(Crops!$D$6:$D$65,MATCH(C966,Crops!$B$6:$B$65,0))&amp;"",""))</f>
        <v/>
      </c>
      <c r="H966" s="12">
        <f>IF(OR(C966="",NOT(ISNUMBER(E966))),"",E966*N(IFERROR(INDEX(Crops!$E$6:$E$65,MATCH(C966,Crops!$B$6:$B$65,0)),0)))</f>
        <v/>
      </c>
      <c r="I966" s="11">
        <f>IF(AND(C966="",E966=""),"",IF(NOT(ISNUMBER(B966)),"Needs a date",IF(C966="","Needs a crop",IF(COUNTIF(Crops!$B$6:$B$65,C966)=0,"Not on Crops",IF(NOT(ISNUMBER(E966)),"Needs the amount",IF(AND(D966&lt;&gt;"",COUNTIF(Beds!$B$6:$B$35,D966)=0),"Not on Beds",""))))))</f>
        <v/>
      </c>
      <c r="J966" s="1">
        <f>IF(ISNUMBER(B966),YEAR(B966),"")</f>
        <v/>
      </c>
      <c r="K966">
        <f>IF(ISNUMBER(B966),YEAR(B966)*100+MONTH(B966),"")</f>
        <v/>
      </c>
      <c r="L966">
        <f>IF(ISNUMBER(B966),INT(B966),0)</f>
        <v/>
      </c>
    </row>
    <row r="967">
      <c r="A967" s="1" t="n"/>
      <c r="B967" s="17" t="n"/>
      <c r="C967" s="18" t="n"/>
      <c r="D967" s="19" t="n"/>
      <c r="E967" s="23" t="n"/>
      <c r="F967" s="21" t="n"/>
      <c r="G967" s="11">
        <f>IF(C967="","",IFERROR(INDEX(Crops!$D$6:$D$65,MATCH(C967,Crops!$B$6:$B$65,0))&amp;"",""))</f>
        <v/>
      </c>
      <c r="H967" s="12">
        <f>IF(OR(C967="",NOT(ISNUMBER(E967))),"",E967*N(IFERROR(INDEX(Crops!$E$6:$E$65,MATCH(C967,Crops!$B$6:$B$65,0)),0)))</f>
        <v/>
      </c>
      <c r="I967" s="11">
        <f>IF(AND(C967="",E967=""),"",IF(NOT(ISNUMBER(B967)),"Needs a date",IF(C967="","Needs a crop",IF(COUNTIF(Crops!$B$6:$B$65,C967)=0,"Not on Crops",IF(NOT(ISNUMBER(E967)),"Needs the amount",IF(AND(D967&lt;&gt;"",COUNTIF(Beds!$B$6:$B$35,D967)=0),"Not on Beds",""))))))</f>
        <v/>
      </c>
      <c r="J967" s="1">
        <f>IF(ISNUMBER(B967),YEAR(B967),"")</f>
        <v/>
      </c>
      <c r="K967">
        <f>IF(ISNUMBER(B967),YEAR(B967)*100+MONTH(B967),"")</f>
        <v/>
      </c>
      <c r="L967">
        <f>IF(ISNUMBER(B967),INT(B967),0)</f>
        <v/>
      </c>
    </row>
    <row r="968">
      <c r="A968" s="1" t="n"/>
      <c r="B968" s="17" t="n"/>
      <c r="C968" s="18" t="n"/>
      <c r="D968" s="19" t="n"/>
      <c r="E968" s="23" t="n"/>
      <c r="F968" s="21" t="n"/>
      <c r="G968" s="11">
        <f>IF(C968="","",IFERROR(INDEX(Crops!$D$6:$D$65,MATCH(C968,Crops!$B$6:$B$65,0))&amp;"",""))</f>
        <v/>
      </c>
      <c r="H968" s="12">
        <f>IF(OR(C968="",NOT(ISNUMBER(E968))),"",E968*N(IFERROR(INDEX(Crops!$E$6:$E$65,MATCH(C968,Crops!$B$6:$B$65,0)),0)))</f>
        <v/>
      </c>
      <c r="I968" s="11">
        <f>IF(AND(C968="",E968=""),"",IF(NOT(ISNUMBER(B968)),"Needs a date",IF(C968="","Needs a crop",IF(COUNTIF(Crops!$B$6:$B$65,C968)=0,"Not on Crops",IF(NOT(ISNUMBER(E968)),"Needs the amount",IF(AND(D968&lt;&gt;"",COUNTIF(Beds!$B$6:$B$35,D968)=0),"Not on Beds",""))))))</f>
        <v/>
      </c>
      <c r="J968" s="1">
        <f>IF(ISNUMBER(B968),YEAR(B968),"")</f>
        <v/>
      </c>
      <c r="K968">
        <f>IF(ISNUMBER(B968),YEAR(B968)*100+MONTH(B968),"")</f>
        <v/>
      </c>
      <c r="L968">
        <f>IF(ISNUMBER(B968),INT(B968),0)</f>
        <v/>
      </c>
    </row>
    <row r="969">
      <c r="A969" s="1" t="n"/>
      <c r="B969" s="17" t="n"/>
      <c r="C969" s="18" t="n"/>
      <c r="D969" s="19" t="n"/>
      <c r="E969" s="23" t="n"/>
      <c r="F969" s="21" t="n"/>
      <c r="G969" s="11">
        <f>IF(C969="","",IFERROR(INDEX(Crops!$D$6:$D$65,MATCH(C969,Crops!$B$6:$B$65,0))&amp;"",""))</f>
        <v/>
      </c>
      <c r="H969" s="12">
        <f>IF(OR(C969="",NOT(ISNUMBER(E969))),"",E969*N(IFERROR(INDEX(Crops!$E$6:$E$65,MATCH(C969,Crops!$B$6:$B$65,0)),0)))</f>
        <v/>
      </c>
      <c r="I969" s="11">
        <f>IF(AND(C969="",E969=""),"",IF(NOT(ISNUMBER(B969)),"Needs a date",IF(C969="","Needs a crop",IF(COUNTIF(Crops!$B$6:$B$65,C969)=0,"Not on Crops",IF(NOT(ISNUMBER(E969)),"Needs the amount",IF(AND(D969&lt;&gt;"",COUNTIF(Beds!$B$6:$B$35,D969)=0),"Not on Beds",""))))))</f>
        <v/>
      </c>
      <c r="J969" s="1">
        <f>IF(ISNUMBER(B969),YEAR(B969),"")</f>
        <v/>
      </c>
      <c r="K969">
        <f>IF(ISNUMBER(B969),YEAR(B969)*100+MONTH(B969),"")</f>
        <v/>
      </c>
      <c r="L969">
        <f>IF(ISNUMBER(B969),INT(B969),0)</f>
        <v/>
      </c>
    </row>
    <row r="970">
      <c r="A970" s="1" t="n"/>
      <c r="B970" s="17" t="n"/>
      <c r="C970" s="18" t="n"/>
      <c r="D970" s="19" t="n"/>
      <c r="E970" s="23" t="n"/>
      <c r="F970" s="21" t="n"/>
      <c r="G970" s="11">
        <f>IF(C970="","",IFERROR(INDEX(Crops!$D$6:$D$65,MATCH(C970,Crops!$B$6:$B$65,0))&amp;"",""))</f>
        <v/>
      </c>
      <c r="H970" s="12">
        <f>IF(OR(C970="",NOT(ISNUMBER(E970))),"",E970*N(IFERROR(INDEX(Crops!$E$6:$E$65,MATCH(C970,Crops!$B$6:$B$65,0)),0)))</f>
        <v/>
      </c>
      <c r="I970" s="11">
        <f>IF(AND(C970="",E970=""),"",IF(NOT(ISNUMBER(B970)),"Needs a date",IF(C970="","Needs a crop",IF(COUNTIF(Crops!$B$6:$B$65,C970)=0,"Not on Crops",IF(NOT(ISNUMBER(E970)),"Needs the amount",IF(AND(D970&lt;&gt;"",COUNTIF(Beds!$B$6:$B$35,D970)=0),"Not on Beds",""))))))</f>
        <v/>
      </c>
      <c r="J970" s="1">
        <f>IF(ISNUMBER(B970),YEAR(B970),"")</f>
        <v/>
      </c>
      <c r="K970">
        <f>IF(ISNUMBER(B970),YEAR(B970)*100+MONTH(B970),"")</f>
        <v/>
      </c>
      <c r="L970">
        <f>IF(ISNUMBER(B970),INT(B970),0)</f>
        <v/>
      </c>
    </row>
    <row r="971">
      <c r="A971" s="1" t="n"/>
      <c r="B971" s="17" t="n"/>
      <c r="C971" s="18" t="n"/>
      <c r="D971" s="19" t="n"/>
      <c r="E971" s="23" t="n"/>
      <c r="F971" s="21" t="n"/>
      <c r="G971" s="11">
        <f>IF(C971="","",IFERROR(INDEX(Crops!$D$6:$D$65,MATCH(C971,Crops!$B$6:$B$65,0))&amp;"",""))</f>
        <v/>
      </c>
      <c r="H971" s="12">
        <f>IF(OR(C971="",NOT(ISNUMBER(E971))),"",E971*N(IFERROR(INDEX(Crops!$E$6:$E$65,MATCH(C971,Crops!$B$6:$B$65,0)),0)))</f>
        <v/>
      </c>
      <c r="I971" s="11">
        <f>IF(AND(C971="",E971=""),"",IF(NOT(ISNUMBER(B971)),"Needs a date",IF(C971="","Needs a crop",IF(COUNTIF(Crops!$B$6:$B$65,C971)=0,"Not on Crops",IF(NOT(ISNUMBER(E971)),"Needs the amount",IF(AND(D971&lt;&gt;"",COUNTIF(Beds!$B$6:$B$35,D971)=0),"Not on Beds",""))))))</f>
        <v/>
      </c>
      <c r="J971" s="1">
        <f>IF(ISNUMBER(B971),YEAR(B971),"")</f>
        <v/>
      </c>
      <c r="K971">
        <f>IF(ISNUMBER(B971),YEAR(B971)*100+MONTH(B971),"")</f>
        <v/>
      </c>
      <c r="L971">
        <f>IF(ISNUMBER(B971),INT(B971),0)</f>
        <v/>
      </c>
    </row>
    <row r="972">
      <c r="A972" s="1" t="n"/>
      <c r="B972" s="17" t="n"/>
      <c r="C972" s="18" t="n"/>
      <c r="D972" s="19" t="n"/>
      <c r="E972" s="23" t="n"/>
      <c r="F972" s="21" t="n"/>
      <c r="G972" s="11">
        <f>IF(C972="","",IFERROR(INDEX(Crops!$D$6:$D$65,MATCH(C972,Crops!$B$6:$B$65,0))&amp;"",""))</f>
        <v/>
      </c>
      <c r="H972" s="12">
        <f>IF(OR(C972="",NOT(ISNUMBER(E972))),"",E972*N(IFERROR(INDEX(Crops!$E$6:$E$65,MATCH(C972,Crops!$B$6:$B$65,0)),0)))</f>
        <v/>
      </c>
      <c r="I972" s="11">
        <f>IF(AND(C972="",E972=""),"",IF(NOT(ISNUMBER(B972)),"Needs a date",IF(C972="","Needs a crop",IF(COUNTIF(Crops!$B$6:$B$65,C972)=0,"Not on Crops",IF(NOT(ISNUMBER(E972)),"Needs the amount",IF(AND(D972&lt;&gt;"",COUNTIF(Beds!$B$6:$B$35,D972)=0),"Not on Beds",""))))))</f>
        <v/>
      </c>
      <c r="J972" s="1">
        <f>IF(ISNUMBER(B972),YEAR(B972),"")</f>
        <v/>
      </c>
      <c r="K972">
        <f>IF(ISNUMBER(B972),YEAR(B972)*100+MONTH(B972),"")</f>
        <v/>
      </c>
      <c r="L972">
        <f>IF(ISNUMBER(B972),INT(B972),0)</f>
        <v/>
      </c>
    </row>
    <row r="973">
      <c r="A973" s="1" t="n"/>
      <c r="B973" s="17" t="n"/>
      <c r="C973" s="18" t="n"/>
      <c r="D973" s="19" t="n"/>
      <c r="E973" s="23" t="n"/>
      <c r="F973" s="21" t="n"/>
      <c r="G973" s="11">
        <f>IF(C973="","",IFERROR(INDEX(Crops!$D$6:$D$65,MATCH(C973,Crops!$B$6:$B$65,0))&amp;"",""))</f>
        <v/>
      </c>
      <c r="H973" s="12">
        <f>IF(OR(C973="",NOT(ISNUMBER(E973))),"",E973*N(IFERROR(INDEX(Crops!$E$6:$E$65,MATCH(C973,Crops!$B$6:$B$65,0)),0)))</f>
        <v/>
      </c>
      <c r="I973" s="11">
        <f>IF(AND(C973="",E973=""),"",IF(NOT(ISNUMBER(B973)),"Needs a date",IF(C973="","Needs a crop",IF(COUNTIF(Crops!$B$6:$B$65,C973)=0,"Not on Crops",IF(NOT(ISNUMBER(E973)),"Needs the amount",IF(AND(D973&lt;&gt;"",COUNTIF(Beds!$B$6:$B$35,D973)=0),"Not on Beds",""))))))</f>
        <v/>
      </c>
      <c r="J973" s="1">
        <f>IF(ISNUMBER(B973),YEAR(B973),"")</f>
        <v/>
      </c>
      <c r="K973">
        <f>IF(ISNUMBER(B973),YEAR(B973)*100+MONTH(B973),"")</f>
        <v/>
      </c>
      <c r="L973">
        <f>IF(ISNUMBER(B973),INT(B973),0)</f>
        <v/>
      </c>
    </row>
    <row r="974">
      <c r="A974" s="1" t="n"/>
      <c r="B974" s="17" t="n"/>
      <c r="C974" s="18" t="n"/>
      <c r="D974" s="19" t="n"/>
      <c r="E974" s="23" t="n"/>
      <c r="F974" s="21" t="n"/>
      <c r="G974" s="11">
        <f>IF(C974="","",IFERROR(INDEX(Crops!$D$6:$D$65,MATCH(C974,Crops!$B$6:$B$65,0))&amp;"",""))</f>
        <v/>
      </c>
      <c r="H974" s="12">
        <f>IF(OR(C974="",NOT(ISNUMBER(E974))),"",E974*N(IFERROR(INDEX(Crops!$E$6:$E$65,MATCH(C974,Crops!$B$6:$B$65,0)),0)))</f>
        <v/>
      </c>
      <c r="I974" s="11">
        <f>IF(AND(C974="",E974=""),"",IF(NOT(ISNUMBER(B974)),"Needs a date",IF(C974="","Needs a crop",IF(COUNTIF(Crops!$B$6:$B$65,C974)=0,"Not on Crops",IF(NOT(ISNUMBER(E974)),"Needs the amount",IF(AND(D974&lt;&gt;"",COUNTIF(Beds!$B$6:$B$35,D974)=0),"Not on Beds",""))))))</f>
        <v/>
      </c>
      <c r="J974" s="1">
        <f>IF(ISNUMBER(B974),YEAR(B974),"")</f>
        <v/>
      </c>
      <c r="K974">
        <f>IF(ISNUMBER(B974),YEAR(B974)*100+MONTH(B974),"")</f>
        <v/>
      </c>
      <c r="L974">
        <f>IF(ISNUMBER(B974),INT(B974),0)</f>
        <v/>
      </c>
    </row>
    <row r="975">
      <c r="A975" s="1" t="n"/>
      <c r="B975" s="17" t="n"/>
      <c r="C975" s="18" t="n"/>
      <c r="D975" s="19" t="n"/>
      <c r="E975" s="23" t="n"/>
      <c r="F975" s="21" t="n"/>
      <c r="G975" s="11">
        <f>IF(C975="","",IFERROR(INDEX(Crops!$D$6:$D$65,MATCH(C975,Crops!$B$6:$B$65,0))&amp;"",""))</f>
        <v/>
      </c>
      <c r="H975" s="12">
        <f>IF(OR(C975="",NOT(ISNUMBER(E975))),"",E975*N(IFERROR(INDEX(Crops!$E$6:$E$65,MATCH(C975,Crops!$B$6:$B$65,0)),0)))</f>
        <v/>
      </c>
      <c r="I975" s="11">
        <f>IF(AND(C975="",E975=""),"",IF(NOT(ISNUMBER(B975)),"Needs a date",IF(C975="","Needs a crop",IF(COUNTIF(Crops!$B$6:$B$65,C975)=0,"Not on Crops",IF(NOT(ISNUMBER(E975)),"Needs the amount",IF(AND(D975&lt;&gt;"",COUNTIF(Beds!$B$6:$B$35,D975)=0),"Not on Beds",""))))))</f>
        <v/>
      </c>
      <c r="J975" s="1">
        <f>IF(ISNUMBER(B975),YEAR(B975),"")</f>
        <v/>
      </c>
      <c r="K975">
        <f>IF(ISNUMBER(B975),YEAR(B975)*100+MONTH(B975),"")</f>
        <v/>
      </c>
      <c r="L975">
        <f>IF(ISNUMBER(B975),INT(B975),0)</f>
        <v/>
      </c>
    </row>
    <row r="976">
      <c r="A976" s="1" t="n"/>
      <c r="B976" s="17" t="n"/>
      <c r="C976" s="18" t="n"/>
      <c r="D976" s="19" t="n"/>
      <c r="E976" s="23" t="n"/>
      <c r="F976" s="21" t="n"/>
      <c r="G976" s="11">
        <f>IF(C976="","",IFERROR(INDEX(Crops!$D$6:$D$65,MATCH(C976,Crops!$B$6:$B$65,0))&amp;"",""))</f>
        <v/>
      </c>
      <c r="H976" s="12">
        <f>IF(OR(C976="",NOT(ISNUMBER(E976))),"",E976*N(IFERROR(INDEX(Crops!$E$6:$E$65,MATCH(C976,Crops!$B$6:$B$65,0)),0)))</f>
        <v/>
      </c>
      <c r="I976" s="11">
        <f>IF(AND(C976="",E976=""),"",IF(NOT(ISNUMBER(B976)),"Needs a date",IF(C976="","Needs a crop",IF(COUNTIF(Crops!$B$6:$B$65,C976)=0,"Not on Crops",IF(NOT(ISNUMBER(E976)),"Needs the amount",IF(AND(D976&lt;&gt;"",COUNTIF(Beds!$B$6:$B$35,D976)=0),"Not on Beds",""))))))</f>
        <v/>
      </c>
      <c r="J976" s="1">
        <f>IF(ISNUMBER(B976),YEAR(B976),"")</f>
        <v/>
      </c>
      <c r="K976">
        <f>IF(ISNUMBER(B976),YEAR(B976)*100+MONTH(B976),"")</f>
        <v/>
      </c>
      <c r="L976">
        <f>IF(ISNUMBER(B976),INT(B976),0)</f>
        <v/>
      </c>
    </row>
    <row r="977">
      <c r="A977" s="1" t="n"/>
      <c r="B977" s="17" t="n"/>
      <c r="C977" s="18" t="n"/>
      <c r="D977" s="19" t="n"/>
      <c r="E977" s="23" t="n"/>
      <c r="F977" s="21" t="n"/>
      <c r="G977" s="11">
        <f>IF(C977="","",IFERROR(INDEX(Crops!$D$6:$D$65,MATCH(C977,Crops!$B$6:$B$65,0))&amp;"",""))</f>
        <v/>
      </c>
      <c r="H977" s="12">
        <f>IF(OR(C977="",NOT(ISNUMBER(E977))),"",E977*N(IFERROR(INDEX(Crops!$E$6:$E$65,MATCH(C977,Crops!$B$6:$B$65,0)),0)))</f>
        <v/>
      </c>
      <c r="I977" s="11">
        <f>IF(AND(C977="",E977=""),"",IF(NOT(ISNUMBER(B977)),"Needs a date",IF(C977="","Needs a crop",IF(COUNTIF(Crops!$B$6:$B$65,C977)=0,"Not on Crops",IF(NOT(ISNUMBER(E977)),"Needs the amount",IF(AND(D977&lt;&gt;"",COUNTIF(Beds!$B$6:$B$35,D977)=0),"Not on Beds",""))))))</f>
        <v/>
      </c>
      <c r="J977" s="1">
        <f>IF(ISNUMBER(B977),YEAR(B977),"")</f>
        <v/>
      </c>
      <c r="K977">
        <f>IF(ISNUMBER(B977),YEAR(B977)*100+MONTH(B977),"")</f>
        <v/>
      </c>
      <c r="L977">
        <f>IF(ISNUMBER(B977),INT(B977),0)</f>
        <v/>
      </c>
    </row>
    <row r="978">
      <c r="A978" s="1" t="n"/>
      <c r="B978" s="17" t="n"/>
      <c r="C978" s="18" t="n"/>
      <c r="D978" s="19" t="n"/>
      <c r="E978" s="23" t="n"/>
      <c r="F978" s="21" t="n"/>
      <c r="G978" s="11">
        <f>IF(C978="","",IFERROR(INDEX(Crops!$D$6:$D$65,MATCH(C978,Crops!$B$6:$B$65,0))&amp;"",""))</f>
        <v/>
      </c>
      <c r="H978" s="12">
        <f>IF(OR(C978="",NOT(ISNUMBER(E978))),"",E978*N(IFERROR(INDEX(Crops!$E$6:$E$65,MATCH(C978,Crops!$B$6:$B$65,0)),0)))</f>
        <v/>
      </c>
      <c r="I978" s="11">
        <f>IF(AND(C978="",E978=""),"",IF(NOT(ISNUMBER(B978)),"Needs a date",IF(C978="","Needs a crop",IF(COUNTIF(Crops!$B$6:$B$65,C978)=0,"Not on Crops",IF(NOT(ISNUMBER(E978)),"Needs the amount",IF(AND(D978&lt;&gt;"",COUNTIF(Beds!$B$6:$B$35,D978)=0),"Not on Beds",""))))))</f>
        <v/>
      </c>
      <c r="J978" s="1">
        <f>IF(ISNUMBER(B978),YEAR(B978),"")</f>
        <v/>
      </c>
      <c r="K978">
        <f>IF(ISNUMBER(B978),YEAR(B978)*100+MONTH(B978),"")</f>
        <v/>
      </c>
      <c r="L978">
        <f>IF(ISNUMBER(B978),INT(B978),0)</f>
        <v/>
      </c>
    </row>
    <row r="979">
      <c r="A979" s="1" t="n"/>
      <c r="B979" s="17" t="n"/>
      <c r="C979" s="18" t="n"/>
      <c r="D979" s="19" t="n"/>
      <c r="E979" s="23" t="n"/>
      <c r="F979" s="21" t="n"/>
      <c r="G979" s="11">
        <f>IF(C979="","",IFERROR(INDEX(Crops!$D$6:$D$65,MATCH(C979,Crops!$B$6:$B$65,0))&amp;"",""))</f>
        <v/>
      </c>
      <c r="H979" s="12">
        <f>IF(OR(C979="",NOT(ISNUMBER(E979))),"",E979*N(IFERROR(INDEX(Crops!$E$6:$E$65,MATCH(C979,Crops!$B$6:$B$65,0)),0)))</f>
        <v/>
      </c>
      <c r="I979" s="11">
        <f>IF(AND(C979="",E979=""),"",IF(NOT(ISNUMBER(B979)),"Needs a date",IF(C979="","Needs a crop",IF(COUNTIF(Crops!$B$6:$B$65,C979)=0,"Not on Crops",IF(NOT(ISNUMBER(E979)),"Needs the amount",IF(AND(D979&lt;&gt;"",COUNTIF(Beds!$B$6:$B$35,D979)=0),"Not on Beds",""))))))</f>
        <v/>
      </c>
      <c r="J979" s="1">
        <f>IF(ISNUMBER(B979),YEAR(B979),"")</f>
        <v/>
      </c>
      <c r="K979">
        <f>IF(ISNUMBER(B979),YEAR(B979)*100+MONTH(B979),"")</f>
        <v/>
      </c>
      <c r="L979">
        <f>IF(ISNUMBER(B979),INT(B979),0)</f>
        <v/>
      </c>
    </row>
    <row r="980">
      <c r="A980" s="1" t="n"/>
      <c r="B980" s="17" t="n"/>
      <c r="C980" s="18" t="n"/>
      <c r="D980" s="19" t="n"/>
      <c r="E980" s="23" t="n"/>
      <c r="F980" s="21" t="n"/>
      <c r="G980" s="11">
        <f>IF(C980="","",IFERROR(INDEX(Crops!$D$6:$D$65,MATCH(C980,Crops!$B$6:$B$65,0))&amp;"",""))</f>
        <v/>
      </c>
      <c r="H980" s="12">
        <f>IF(OR(C980="",NOT(ISNUMBER(E980))),"",E980*N(IFERROR(INDEX(Crops!$E$6:$E$65,MATCH(C980,Crops!$B$6:$B$65,0)),0)))</f>
        <v/>
      </c>
      <c r="I980" s="11">
        <f>IF(AND(C980="",E980=""),"",IF(NOT(ISNUMBER(B980)),"Needs a date",IF(C980="","Needs a crop",IF(COUNTIF(Crops!$B$6:$B$65,C980)=0,"Not on Crops",IF(NOT(ISNUMBER(E980)),"Needs the amount",IF(AND(D980&lt;&gt;"",COUNTIF(Beds!$B$6:$B$35,D980)=0),"Not on Beds",""))))))</f>
        <v/>
      </c>
      <c r="J980" s="1">
        <f>IF(ISNUMBER(B980),YEAR(B980),"")</f>
        <v/>
      </c>
      <c r="K980">
        <f>IF(ISNUMBER(B980),YEAR(B980)*100+MONTH(B980),"")</f>
        <v/>
      </c>
      <c r="L980">
        <f>IF(ISNUMBER(B980),INT(B980),0)</f>
        <v/>
      </c>
    </row>
    <row r="981">
      <c r="A981" s="1" t="n"/>
      <c r="B981" s="17" t="n"/>
      <c r="C981" s="18" t="n"/>
      <c r="D981" s="19" t="n"/>
      <c r="E981" s="23" t="n"/>
      <c r="F981" s="21" t="n"/>
      <c r="G981" s="11">
        <f>IF(C981="","",IFERROR(INDEX(Crops!$D$6:$D$65,MATCH(C981,Crops!$B$6:$B$65,0))&amp;"",""))</f>
        <v/>
      </c>
      <c r="H981" s="12">
        <f>IF(OR(C981="",NOT(ISNUMBER(E981))),"",E981*N(IFERROR(INDEX(Crops!$E$6:$E$65,MATCH(C981,Crops!$B$6:$B$65,0)),0)))</f>
        <v/>
      </c>
      <c r="I981" s="11">
        <f>IF(AND(C981="",E981=""),"",IF(NOT(ISNUMBER(B981)),"Needs a date",IF(C981="","Needs a crop",IF(COUNTIF(Crops!$B$6:$B$65,C981)=0,"Not on Crops",IF(NOT(ISNUMBER(E981)),"Needs the amount",IF(AND(D981&lt;&gt;"",COUNTIF(Beds!$B$6:$B$35,D981)=0),"Not on Beds",""))))))</f>
        <v/>
      </c>
      <c r="J981" s="1">
        <f>IF(ISNUMBER(B981),YEAR(B981),"")</f>
        <v/>
      </c>
      <c r="K981">
        <f>IF(ISNUMBER(B981),YEAR(B981)*100+MONTH(B981),"")</f>
        <v/>
      </c>
      <c r="L981">
        <f>IF(ISNUMBER(B981),INT(B981),0)</f>
        <v/>
      </c>
    </row>
    <row r="982">
      <c r="A982" s="1" t="n"/>
      <c r="B982" s="17" t="n"/>
      <c r="C982" s="18" t="n"/>
      <c r="D982" s="19" t="n"/>
      <c r="E982" s="23" t="n"/>
      <c r="F982" s="21" t="n"/>
      <c r="G982" s="11">
        <f>IF(C982="","",IFERROR(INDEX(Crops!$D$6:$D$65,MATCH(C982,Crops!$B$6:$B$65,0))&amp;"",""))</f>
        <v/>
      </c>
      <c r="H982" s="12">
        <f>IF(OR(C982="",NOT(ISNUMBER(E982))),"",E982*N(IFERROR(INDEX(Crops!$E$6:$E$65,MATCH(C982,Crops!$B$6:$B$65,0)),0)))</f>
        <v/>
      </c>
      <c r="I982" s="11">
        <f>IF(AND(C982="",E982=""),"",IF(NOT(ISNUMBER(B982)),"Needs a date",IF(C982="","Needs a crop",IF(COUNTIF(Crops!$B$6:$B$65,C982)=0,"Not on Crops",IF(NOT(ISNUMBER(E982)),"Needs the amount",IF(AND(D982&lt;&gt;"",COUNTIF(Beds!$B$6:$B$35,D982)=0),"Not on Beds",""))))))</f>
        <v/>
      </c>
      <c r="J982" s="1">
        <f>IF(ISNUMBER(B982),YEAR(B982),"")</f>
        <v/>
      </c>
      <c r="K982">
        <f>IF(ISNUMBER(B982),YEAR(B982)*100+MONTH(B982),"")</f>
        <v/>
      </c>
      <c r="L982">
        <f>IF(ISNUMBER(B982),INT(B982),0)</f>
        <v/>
      </c>
    </row>
    <row r="983">
      <c r="A983" s="1" t="n"/>
      <c r="B983" s="17" t="n"/>
      <c r="C983" s="18" t="n"/>
      <c r="D983" s="19" t="n"/>
      <c r="E983" s="23" t="n"/>
      <c r="F983" s="21" t="n"/>
      <c r="G983" s="11">
        <f>IF(C983="","",IFERROR(INDEX(Crops!$D$6:$D$65,MATCH(C983,Crops!$B$6:$B$65,0))&amp;"",""))</f>
        <v/>
      </c>
      <c r="H983" s="12">
        <f>IF(OR(C983="",NOT(ISNUMBER(E983))),"",E983*N(IFERROR(INDEX(Crops!$E$6:$E$65,MATCH(C983,Crops!$B$6:$B$65,0)),0)))</f>
        <v/>
      </c>
      <c r="I983" s="11">
        <f>IF(AND(C983="",E983=""),"",IF(NOT(ISNUMBER(B983)),"Needs a date",IF(C983="","Needs a crop",IF(COUNTIF(Crops!$B$6:$B$65,C983)=0,"Not on Crops",IF(NOT(ISNUMBER(E983)),"Needs the amount",IF(AND(D983&lt;&gt;"",COUNTIF(Beds!$B$6:$B$35,D983)=0),"Not on Beds",""))))))</f>
        <v/>
      </c>
      <c r="J983" s="1">
        <f>IF(ISNUMBER(B983),YEAR(B983),"")</f>
        <v/>
      </c>
      <c r="K983">
        <f>IF(ISNUMBER(B983),YEAR(B983)*100+MONTH(B983),"")</f>
        <v/>
      </c>
      <c r="L983">
        <f>IF(ISNUMBER(B983),INT(B983),0)</f>
        <v/>
      </c>
    </row>
    <row r="984">
      <c r="A984" s="1" t="n"/>
      <c r="B984" s="17" t="n"/>
      <c r="C984" s="18" t="n"/>
      <c r="D984" s="19" t="n"/>
      <c r="E984" s="23" t="n"/>
      <c r="F984" s="21" t="n"/>
      <c r="G984" s="11">
        <f>IF(C984="","",IFERROR(INDEX(Crops!$D$6:$D$65,MATCH(C984,Crops!$B$6:$B$65,0))&amp;"",""))</f>
        <v/>
      </c>
      <c r="H984" s="12">
        <f>IF(OR(C984="",NOT(ISNUMBER(E984))),"",E984*N(IFERROR(INDEX(Crops!$E$6:$E$65,MATCH(C984,Crops!$B$6:$B$65,0)),0)))</f>
        <v/>
      </c>
      <c r="I984" s="11">
        <f>IF(AND(C984="",E984=""),"",IF(NOT(ISNUMBER(B984)),"Needs a date",IF(C984="","Needs a crop",IF(COUNTIF(Crops!$B$6:$B$65,C984)=0,"Not on Crops",IF(NOT(ISNUMBER(E984)),"Needs the amount",IF(AND(D984&lt;&gt;"",COUNTIF(Beds!$B$6:$B$35,D984)=0),"Not on Beds",""))))))</f>
        <v/>
      </c>
      <c r="J984" s="1">
        <f>IF(ISNUMBER(B984),YEAR(B984),"")</f>
        <v/>
      </c>
      <c r="K984">
        <f>IF(ISNUMBER(B984),YEAR(B984)*100+MONTH(B984),"")</f>
        <v/>
      </c>
      <c r="L984">
        <f>IF(ISNUMBER(B984),INT(B984),0)</f>
        <v/>
      </c>
    </row>
    <row r="985">
      <c r="A985" s="1" t="n"/>
      <c r="B985" s="17" t="n"/>
      <c r="C985" s="18" t="n"/>
      <c r="D985" s="19" t="n"/>
      <c r="E985" s="23" t="n"/>
      <c r="F985" s="21" t="n"/>
      <c r="G985" s="11">
        <f>IF(C985="","",IFERROR(INDEX(Crops!$D$6:$D$65,MATCH(C985,Crops!$B$6:$B$65,0))&amp;"",""))</f>
        <v/>
      </c>
      <c r="H985" s="12">
        <f>IF(OR(C985="",NOT(ISNUMBER(E985))),"",E985*N(IFERROR(INDEX(Crops!$E$6:$E$65,MATCH(C985,Crops!$B$6:$B$65,0)),0)))</f>
        <v/>
      </c>
      <c r="I985" s="11">
        <f>IF(AND(C985="",E985=""),"",IF(NOT(ISNUMBER(B985)),"Needs a date",IF(C985="","Needs a crop",IF(COUNTIF(Crops!$B$6:$B$65,C985)=0,"Not on Crops",IF(NOT(ISNUMBER(E985)),"Needs the amount",IF(AND(D985&lt;&gt;"",COUNTIF(Beds!$B$6:$B$35,D985)=0),"Not on Beds",""))))))</f>
        <v/>
      </c>
      <c r="J985" s="1">
        <f>IF(ISNUMBER(B985),YEAR(B985),"")</f>
        <v/>
      </c>
      <c r="K985">
        <f>IF(ISNUMBER(B985),YEAR(B985)*100+MONTH(B985),"")</f>
        <v/>
      </c>
      <c r="L985">
        <f>IF(ISNUMBER(B985),INT(B985),0)</f>
        <v/>
      </c>
    </row>
    <row r="986">
      <c r="A986" s="1" t="n"/>
      <c r="B986" s="17" t="n"/>
      <c r="C986" s="18" t="n"/>
      <c r="D986" s="19" t="n"/>
      <c r="E986" s="23" t="n"/>
      <c r="F986" s="21" t="n"/>
      <c r="G986" s="11">
        <f>IF(C986="","",IFERROR(INDEX(Crops!$D$6:$D$65,MATCH(C986,Crops!$B$6:$B$65,0))&amp;"",""))</f>
        <v/>
      </c>
      <c r="H986" s="12">
        <f>IF(OR(C986="",NOT(ISNUMBER(E986))),"",E986*N(IFERROR(INDEX(Crops!$E$6:$E$65,MATCH(C986,Crops!$B$6:$B$65,0)),0)))</f>
        <v/>
      </c>
      <c r="I986" s="11">
        <f>IF(AND(C986="",E986=""),"",IF(NOT(ISNUMBER(B986)),"Needs a date",IF(C986="","Needs a crop",IF(COUNTIF(Crops!$B$6:$B$65,C986)=0,"Not on Crops",IF(NOT(ISNUMBER(E986)),"Needs the amount",IF(AND(D986&lt;&gt;"",COUNTIF(Beds!$B$6:$B$35,D986)=0),"Not on Beds",""))))))</f>
        <v/>
      </c>
      <c r="J986" s="1">
        <f>IF(ISNUMBER(B986),YEAR(B986),"")</f>
        <v/>
      </c>
      <c r="K986">
        <f>IF(ISNUMBER(B986),YEAR(B986)*100+MONTH(B986),"")</f>
        <v/>
      </c>
      <c r="L986">
        <f>IF(ISNUMBER(B986),INT(B986),0)</f>
        <v/>
      </c>
    </row>
    <row r="987">
      <c r="A987" s="1" t="n"/>
      <c r="B987" s="17" t="n"/>
      <c r="C987" s="18" t="n"/>
      <c r="D987" s="19" t="n"/>
      <c r="E987" s="23" t="n"/>
      <c r="F987" s="21" t="n"/>
      <c r="G987" s="11">
        <f>IF(C987="","",IFERROR(INDEX(Crops!$D$6:$D$65,MATCH(C987,Crops!$B$6:$B$65,0))&amp;"",""))</f>
        <v/>
      </c>
      <c r="H987" s="12">
        <f>IF(OR(C987="",NOT(ISNUMBER(E987))),"",E987*N(IFERROR(INDEX(Crops!$E$6:$E$65,MATCH(C987,Crops!$B$6:$B$65,0)),0)))</f>
        <v/>
      </c>
      <c r="I987" s="11">
        <f>IF(AND(C987="",E987=""),"",IF(NOT(ISNUMBER(B987)),"Needs a date",IF(C987="","Needs a crop",IF(COUNTIF(Crops!$B$6:$B$65,C987)=0,"Not on Crops",IF(NOT(ISNUMBER(E987)),"Needs the amount",IF(AND(D987&lt;&gt;"",COUNTIF(Beds!$B$6:$B$35,D987)=0),"Not on Beds",""))))))</f>
        <v/>
      </c>
      <c r="J987" s="1">
        <f>IF(ISNUMBER(B987),YEAR(B987),"")</f>
        <v/>
      </c>
      <c r="K987">
        <f>IF(ISNUMBER(B987),YEAR(B987)*100+MONTH(B987),"")</f>
        <v/>
      </c>
      <c r="L987">
        <f>IF(ISNUMBER(B987),INT(B987),0)</f>
        <v/>
      </c>
    </row>
    <row r="988">
      <c r="A988" s="1" t="n"/>
      <c r="B988" s="17" t="n"/>
      <c r="C988" s="18" t="n"/>
      <c r="D988" s="19" t="n"/>
      <c r="E988" s="23" t="n"/>
      <c r="F988" s="21" t="n"/>
      <c r="G988" s="11">
        <f>IF(C988="","",IFERROR(INDEX(Crops!$D$6:$D$65,MATCH(C988,Crops!$B$6:$B$65,0))&amp;"",""))</f>
        <v/>
      </c>
      <c r="H988" s="12">
        <f>IF(OR(C988="",NOT(ISNUMBER(E988))),"",E988*N(IFERROR(INDEX(Crops!$E$6:$E$65,MATCH(C988,Crops!$B$6:$B$65,0)),0)))</f>
        <v/>
      </c>
      <c r="I988" s="11">
        <f>IF(AND(C988="",E988=""),"",IF(NOT(ISNUMBER(B988)),"Needs a date",IF(C988="","Needs a crop",IF(COUNTIF(Crops!$B$6:$B$65,C988)=0,"Not on Crops",IF(NOT(ISNUMBER(E988)),"Needs the amount",IF(AND(D988&lt;&gt;"",COUNTIF(Beds!$B$6:$B$35,D988)=0),"Not on Beds",""))))))</f>
        <v/>
      </c>
      <c r="J988" s="1">
        <f>IF(ISNUMBER(B988),YEAR(B988),"")</f>
        <v/>
      </c>
      <c r="K988">
        <f>IF(ISNUMBER(B988),YEAR(B988)*100+MONTH(B988),"")</f>
        <v/>
      </c>
      <c r="L988">
        <f>IF(ISNUMBER(B988),INT(B988),0)</f>
        <v/>
      </c>
    </row>
    <row r="989">
      <c r="A989" s="1" t="n"/>
      <c r="B989" s="17" t="n"/>
      <c r="C989" s="18" t="n"/>
      <c r="D989" s="19" t="n"/>
      <c r="E989" s="23" t="n"/>
      <c r="F989" s="21" t="n"/>
      <c r="G989" s="11">
        <f>IF(C989="","",IFERROR(INDEX(Crops!$D$6:$D$65,MATCH(C989,Crops!$B$6:$B$65,0))&amp;"",""))</f>
        <v/>
      </c>
      <c r="H989" s="12">
        <f>IF(OR(C989="",NOT(ISNUMBER(E989))),"",E989*N(IFERROR(INDEX(Crops!$E$6:$E$65,MATCH(C989,Crops!$B$6:$B$65,0)),0)))</f>
        <v/>
      </c>
      <c r="I989" s="11">
        <f>IF(AND(C989="",E989=""),"",IF(NOT(ISNUMBER(B989)),"Needs a date",IF(C989="","Needs a crop",IF(COUNTIF(Crops!$B$6:$B$65,C989)=0,"Not on Crops",IF(NOT(ISNUMBER(E989)),"Needs the amount",IF(AND(D989&lt;&gt;"",COUNTIF(Beds!$B$6:$B$35,D989)=0),"Not on Beds",""))))))</f>
        <v/>
      </c>
      <c r="J989" s="1">
        <f>IF(ISNUMBER(B989),YEAR(B989),"")</f>
        <v/>
      </c>
      <c r="K989">
        <f>IF(ISNUMBER(B989),YEAR(B989)*100+MONTH(B989),"")</f>
        <v/>
      </c>
      <c r="L989">
        <f>IF(ISNUMBER(B989),INT(B989),0)</f>
        <v/>
      </c>
    </row>
    <row r="990">
      <c r="A990" s="1" t="n"/>
      <c r="B990" s="17" t="n"/>
      <c r="C990" s="18" t="n"/>
      <c r="D990" s="19" t="n"/>
      <c r="E990" s="23" t="n"/>
      <c r="F990" s="21" t="n"/>
      <c r="G990" s="11">
        <f>IF(C990="","",IFERROR(INDEX(Crops!$D$6:$D$65,MATCH(C990,Crops!$B$6:$B$65,0))&amp;"",""))</f>
        <v/>
      </c>
      <c r="H990" s="12">
        <f>IF(OR(C990="",NOT(ISNUMBER(E990))),"",E990*N(IFERROR(INDEX(Crops!$E$6:$E$65,MATCH(C990,Crops!$B$6:$B$65,0)),0)))</f>
        <v/>
      </c>
      <c r="I990" s="11">
        <f>IF(AND(C990="",E990=""),"",IF(NOT(ISNUMBER(B990)),"Needs a date",IF(C990="","Needs a crop",IF(COUNTIF(Crops!$B$6:$B$65,C990)=0,"Not on Crops",IF(NOT(ISNUMBER(E990)),"Needs the amount",IF(AND(D990&lt;&gt;"",COUNTIF(Beds!$B$6:$B$35,D990)=0),"Not on Beds",""))))))</f>
        <v/>
      </c>
      <c r="J990" s="1">
        <f>IF(ISNUMBER(B990),YEAR(B990),"")</f>
        <v/>
      </c>
      <c r="K990">
        <f>IF(ISNUMBER(B990),YEAR(B990)*100+MONTH(B990),"")</f>
        <v/>
      </c>
      <c r="L990">
        <f>IF(ISNUMBER(B990),INT(B990),0)</f>
        <v/>
      </c>
    </row>
    <row r="991">
      <c r="A991" s="1" t="n"/>
      <c r="B991" s="17" t="n"/>
      <c r="C991" s="18" t="n"/>
      <c r="D991" s="19" t="n"/>
      <c r="E991" s="23" t="n"/>
      <c r="F991" s="21" t="n"/>
      <c r="G991" s="11">
        <f>IF(C991="","",IFERROR(INDEX(Crops!$D$6:$D$65,MATCH(C991,Crops!$B$6:$B$65,0))&amp;"",""))</f>
        <v/>
      </c>
      <c r="H991" s="12">
        <f>IF(OR(C991="",NOT(ISNUMBER(E991))),"",E991*N(IFERROR(INDEX(Crops!$E$6:$E$65,MATCH(C991,Crops!$B$6:$B$65,0)),0)))</f>
        <v/>
      </c>
      <c r="I991" s="11">
        <f>IF(AND(C991="",E991=""),"",IF(NOT(ISNUMBER(B991)),"Needs a date",IF(C991="","Needs a crop",IF(COUNTIF(Crops!$B$6:$B$65,C991)=0,"Not on Crops",IF(NOT(ISNUMBER(E991)),"Needs the amount",IF(AND(D991&lt;&gt;"",COUNTIF(Beds!$B$6:$B$35,D991)=0),"Not on Beds",""))))))</f>
        <v/>
      </c>
      <c r="J991" s="1">
        <f>IF(ISNUMBER(B991),YEAR(B991),"")</f>
        <v/>
      </c>
      <c r="K991">
        <f>IF(ISNUMBER(B991),YEAR(B991)*100+MONTH(B991),"")</f>
        <v/>
      </c>
      <c r="L991">
        <f>IF(ISNUMBER(B991),INT(B991),0)</f>
        <v/>
      </c>
    </row>
    <row r="992">
      <c r="A992" s="1" t="n"/>
      <c r="B992" s="17" t="n"/>
      <c r="C992" s="18" t="n"/>
      <c r="D992" s="19" t="n"/>
      <c r="E992" s="23" t="n"/>
      <c r="F992" s="21" t="n"/>
      <c r="G992" s="11">
        <f>IF(C992="","",IFERROR(INDEX(Crops!$D$6:$D$65,MATCH(C992,Crops!$B$6:$B$65,0))&amp;"",""))</f>
        <v/>
      </c>
      <c r="H992" s="12">
        <f>IF(OR(C992="",NOT(ISNUMBER(E992))),"",E992*N(IFERROR(INDEX(Crops!$E$6:$E$65,MATCH(C992,Crops!$B$6:$B$65,0)),0)))</f>
        <v/>
      </c>
      <c r="I992" s="11">
        <f>IF(AND(C992="",E992=""),"",IF(NOT(ISNUMBER(B992)),"Needs a date",IF(C992="","Needs a crop",IF(COUNTIF(Crops!$B$6:$B$65,C992)=0,"Not on Crops",IF(NOT(ISNUMBER(E992)),"Needs the amount",IF(AND(D992&lt;&gt;"",COUNTIF(Beds!$B$6:$B$35,D992)=0),"Not on Beds",""))))))</f>
        <v/>
      </c>
      <c r="J992" s="1">
        <f>IF(ISNUMBER(B992),YEAR(B992),"")</f>
        <v/>
      </c>
      <c r="K992">
        <f>IF(ISNUMBER(B992),YEAR(B992)*100+MONTH(B992),"")</f>
        <v/>
      </c>
      <c r="L992">
        <f>IF(ISNUMBER(B992),INT(B992),0)</f>
        <v/>
      </c>
    </row>
    <row r="993">
      <c r="A993" s="1" t="n"/>
      <c r="B993" s="17" t="n"/>
      <c r="C993" s="18" t="n"/>
      <c r="D993" s="19" t="n"/>
      <c r="E993" s="23" t="n"/>
      <c r="F993" s="21" t="n"/>
      <c r="G993" s="11">
        <f>IF(C993="","",IFERROR(INDEX(Crops!$D$6:$D$65,MATCH(C993,Crops!$B$6:$B$65,0))&amp;"",""))</f>
        <v/>
      </c>
      <c r="H993" s="12">
        <f>IF(OR(C993="",NOT(ISNUMBER(E993))),"",E993*N(IFERROR(INDEX(Crops!$E$6:$E$65,MATCH(C993,Crops!$B$6:$B$65,0)),0)))</f>
        <v/>
      </c>
      <c r="I993" s="11">
        <f>IF(AND(C993="",E993=""),"",IF(NOT(ISNUMBER(B993)),"Needs a date",IF(C993="","Needs a crop",IF(COUNTIF(Crops!$B$6:$B$65,C993)=0,"Not on Crops",IF(NOT(ISNUMBER(E993)),"Needs the amount",IF(AND(D993&lt;&gt;"",COUNTIF(Beds!$B$6:$B$35,D993)=0),"Not on Beds",""))))))</f>
        <v/>
      </c>
      <c r="J993" s="1">
        <f>IF(ISNUMBER(B993),YEAR(B993),"")</f>
        <v/>
      </c>
      <c r="K993">
        <f>IF(ISNUMBER(B993),YEAR(B993)*100+MONTH(B993),"")</f>
        <v/>
      </c>
      <c r="L993">
        <f>IF(ISNUMBER(B993),INT(B993),0)</f>
        <v/>
      </c>
    </row>
    <row r="994">
      <c r="A994" s="1" t="n"/>
      <c r="B994" s="17" t="n"/>
      <c r="C994" s="18" t="n"/>
      <c r="D994" s="19" t="n"/>
      <c r="E994" s="23" t="n"/>
      <c r="F994" s="21" t="n"/>
      <c r="G994" s="11">
        <f>IF(C994="","",IFERROR(INDEX(Crops!$D$6:$D$65,MATCH(C994,Crops!$B$6:$B$65,0))&amp;"",""))</f>
        <v/>
      </c>
      <c r="H994" s="12">
        <f>IF(OR(C994="",NOT(ISNUMBER(E994))),"",E994*N(IFERROR(INDEX(Crops!$E$6:$E$65,MATCH(C994,Crops!$B$6:$B$65,0)),0)))</f>
        <v/>
      </c>
      <c r="I994" s="11">
        <f>IF(AND(C994="",E994=""),"",IF(NOT(ISNUMBER(B994)),"Needs a date",IF(C994="","Needs a crop",IF(COUNTIF(Crops!$B$6:$B$65,C994)=0,"Not on Crops",IF(NOT(ISNUMBER(E994)),"Needs the amount",IF(AND(D994&lt;&gt;"",COUNTIF(Beds!$B$6:$B$35,D994)=0),"Not on Beds",""))))))</f>
        <v/>
      </c>
      <c r="J994" s="1">
        <f>IF(ISNUMBER(B994),YEAR(B994),"")</f>
        <v/>
      </c>
      <c r="K994">
        <f>IF(ISNUMBER(B994),YEAR(B994)*100+MONTH(B994),"")</f>
        <v/>
      </c>
      <c r="L994">
        <f>IF(ISNUMBER(B994),INT(B994),0)</f>
        <v/>
      </c>
    </row>
    <row r="995">
      <c r="A995" s="1" t="n"/>
      <c r="B995" s="17" t="n"/>
      <c r="C995" s="18" t="n"/>
      <c r="D995" s="19" t="n"/>
      <c r="E995" s="23" t="n"/>
      <c r="F995" s="21" t="n"/>
      <c r="G995" s="11">
        <f>IF(C995="","",IFERROR(INDEX(Crops!$D$6:$D$65,MATCH(C995,Crops!$B$6:$B$65,0))&amp;"",""))</f>
        <v/>
      </c>
      <c r="H995" s="12">
        <f>IF(OR(C995="",NOT(ISNUMBER(E995))),"",E995*N(IFERROR(INDEX(Crops!$E$6:$E$65,MATCH(C995,Crops!$B$6:$B$65,0)),0)))</f>
        <v/>
      </c>
      <c r="I995" s="11">
        <f>IF(AND(C995="",E995=""),"",IF(NOT(ISNUMBER(B995)),"Needs a date",IF(C995="","Needs a crop",IF(COUNTIF(Crops!$B$6:$B$65,C995)=0,"Not on Crops",IF(NOT(ISNUMBER(E995)),"Needs the amount",IF(AND(D995&lt;&gt;"",COUNTIF(Beds!$B$6:$B$35,D995)=0),"Not on Beds",""))))))</f>
        <v/>
      </c>
      <c r="J995" s="1">
        <f>IF(ISNUMBER(B995),YEAR(B995),"")</f>
        <v/>
      </c>
      <c r="K995">
        <f>IF(ISNUMBER(B995),YEAR(B995)*100+MONTH(B995),"")</f>
        <v/>
      </c>
      <c r="L995">
        <f>IF(ISNUMBER(B995),INT(B995),0)</f>
        <v/>
      </c>
    </row>
    <row r="996">
      <c r="A996" s="1" t="n"/>
      <c r="B996" s="17" t="n"/>
      <c r="C996" s="18" t="n"/>
      <c r="D996" s="19" t="n"/>
      <c r="E996" s="23" t="n"/>
      <c r="F996" s="21" t="n"/>
      <c r="G996" s="11">
        <f>IF(C996="","",IFERROR(INDEX(Crops!$D$6:$D$65,MATCH(C996,Crops!$B$6:$B$65,0))&amp;"",""))</f>
        <v/>
      </c>
      <c r="H996" s="12">
        <f>IF(OR(C996="",NOT(ISNUMBER(E996))),"",E996*N(IFERROR(INDEX(Crops!$E$6:$E$65,MATCH(C996,Crops!$B$6:$B$65,0)),0)))</f>
        <v/>
      </c>
      <c r="I996" s="11">
        <f>IF(AND(C996="",E996=""),"",IF(NOT(ISNUMBER(B996)),"Needs a date",IF(C996="","Needs a crop",IF(COUNTIF(Crops!$B$6:$B$65,C996)=0,"Not on Crops",IF(NOT(ISNUMBER(E996)),"Needs the amount",IF(AND(D996&lt;&gt;"",COUNTIF(Beds!$B$6:$B$35,D996)=0),"Not on Beds",""))))))</f>
        <v/>
      </c>
      <c r="J996" s="1">
        <f>IF(ISNUMBER(B996),YEAR(B996),"")</f>
        <v/>
      </c>
      <c r="K996">
        <f>IF(ISNUMBER(B996),YEAR(B996)*100+MONTH(B996),"")</f>
        <v/>
      </c>
      <c r="L996">
        <f>IF(ISNUMBER(B996),INT(B996),0)</f>
        <v/>
      </c>
    </row>
    <row r="997">
      <c r="A997" s="1" t="n"/>
      <c r="B997" s="17" t="n"/>
      <c r="C997" s="18" t="n"/>
      <c r="D997" s="19" t="n"/>
      <c r="E997" s="23" t="n"/>
      <c r="F997" s="21" t="n"/>
      <c r="G997" s="11">
        <f>IF(C997="","",IFERROR(INDEX(Crops!$D$6:$D$65,MATCH(C997,Crops!$B$6:$B$65,0))&amp;"",""))</f>
        <v/>
      </c>
      <c r="H997" s="12">
        <f>IF(OR(C997="",NOT(ISNUMBER(E997))),"",E997*N(IFERROR(INDEX(Crops!$E$6:$E$65,MATCH(C997,Crops!$B$6:$B$65,0)),0)))</f>
        <v/>
      </c>
      <c r="I997" s="11">
        <f>IF(AND(C997="",E997=""),"",IF(NOT(ISNUMBER(B997)),"Needs a date",IF(C997="","Needs a crop",IF(COUNTIF(Crops!$B$6:$B$65,C997)=0,"Not on Crops",IF(NOT(ISNUMBER(E997)),"Needs the amount",IF(AND(D997&lt;&gt;"",COUNTIF(Beds!$B$6:$B$35,D997)=0),"Not on Beds",""))))))</f>
        <v/>
      </c>
      <c r="J997" s="1">
        <f>IF(ISNUMBER(B997),YEAR(B997),"")</f>
        <v/>
      </c>
      <c r="K997">
        <f>IF(ISNUMBER(B997),YEAR(B997)*100+MONTH(B997),"")</f>
        <v/>
      </c>
      <c r="L997">
        <f>IF(ISNUMBER(B997),INT(B997),0)</f>
        <v/>
      </c>
    </row>
    <row r="998">
      <c r="A998" s="1" t="n"/>
      <c r="B998" s="17" t="n"/>
      <c r="C998" s="18" t="n"/>
      <c r="D998" s="19" t="n"/>
      <c r="E998" s="23" t="n"/>
      <c r="F998" s="21" t="n"/>
      <c r="G998" s="11">
        <f>IF(C998="","",IFERROR(INDEX(Crops!$D$6:$D$65,MATCH(C998,Crops!$B$6:$B$65,0))&amp;"",""))</f>
        <v/>
      </c>
      <c r="H998" s="12">
        <f>IF(OR(C998="",NOT(ISNUMBER(E998))),"",E998*N(IFERROR(INDEX(Crops!$E$6:$E$65,MATCH(C998,Crops!$B$6:$B$65,0)),0)))</f>
        <v/>
      </c>
      <c r="I998" s="11">
        <f>IF(AND(C998="",E998=""),"",IF(NOT(ISNUMBER(B998)),"Needs a date",IF(C998="","Needs a crop",IF(COUNTIF(Crops!$B$6:$B$65,C998)=0,"Not on Crops",IF(NOT(ISNUMBER(E998)),"Needs the amount",IF(AND(D998&lt;&gt;"",COUNTIF(Beds!$B$6:$B$35,D998)=0),"Not on Beds",""))))))</f>
        <v/>
      </c>
      <c r="J998" s="1">
        <f>IF(ISNUMBER(B998),YEAR(B998),"")</f>
        <v/>
      </c>
      <c r="K998">
        <f>IF(ISNUMBER(B998),YEAR(B998)*100+MONTH(B998),"")</f>
        <v/>
      </c>
      <c r="L998">
        <f>IF(ISNUMBER(B998),INT(B998),0)</f>
        <v/>
      </c>
    </row>
    <row r="999">
      <c r="A999" s="1" t="n"/>
      <c r="B999" s="17" t="n"/>
      <c r="C999" s="18" t="n"/>
      <c r="D999" s="19" t="n"/>
      <c r="E999" s="23" t="n"/>
      <c r="F999" s="21" t="n"/>
      <c r="G999" s="11">
        <f>IF(C999="","",IFERROR(INDEX(Crops!$D$6:$D$65,MATCH(C999,Crops!$B$6:$B$65,0))&amp;"",""))</f>
        <v/>
      </c>
      <c r="H999" s="12">
        <f>IF(OR(C999="",NOT(ISNUMBER(E999))),"",E999*N(IFERROR(INDEX(Crops!$E$6:$E$65,MATCH(C999,Crops!$B$6:$B$65,0)),0)))</f>
        <v/>
      </c>
      <c r="I999" s="11">
        <f>IF(AND(C999="",E999=""),"",IF(NOT(ISNUMBER(B999)),"Needs a date",IF(C999="","Needs a crop",IF(COUNTIF(Crops!$B$6:$B$65,C999)=0,"Not on Crops",IF(NOT(ISNUMBER(E999)),"Needs the amount",IF(AND(D999&lt;&gt;"",COUNTIF(Beds!$B$6:$B$35,D999)=0),"Not on Beds",""))))))</f>
        <v/>
      </c>
      <c r="J999" s="1">
        <f>IF(ISNUMBER(B999),YEAR(B999),"")</f>
        <v/>
      </c>
      <c r="K999">
        <f>IF(ISNUMBER(B999),YEAR(B999)*100+MONTH(B999),"")</f>
        <v/>
      </c>
      <c r="L999">
        <f>IF(ISNUMBER(B999),INT(B999),0)</f>
        <v/>
      </c>
    </row>
    <row r="1000">
      <c r="A1000" s="1" t="n"/>
      <c r="B1000" s="17" t="n"/>
      <c r="C1000" s="18" t="n"/>
      <c r="D1000" s="19" t="n"/>
      <c r="E1000" s="23" t="n"/>
      <c r="F1000" s="21" t="n"/>
      <c r="G1000" s="11">
        <f>IF(C1000="","",IFERROR(INDEX(Crops!$D$6:$D$65,MATCH(C1000,Crops!$B$6:$B$65,0))&amp;"",""))</f>
        <v/>
      </c>
      <c r="H1000" s="12">
        <f>IF(OR(C1000="",NOT(ISNUMBER(E1000))),"",E1000*N(IFERROR(INDEX(Crops!$E$6:$E$65,MATCH(C1000,Crops!$B$6:$B$65,0)),0)))</f>
        <v/>
      </c>
      <c r="I1000" s="11">
        <f>IF(AND(C1000="",E1000=""),"",IF(NOT(ISNUMBER(B1000)),"Needs a date",IF(C1000="","Needs a crop",IF(COUNTIF(Crops!$B$6:$B$65,C1000)=0,"Not on Crops",IF(NOT(ISNUMBER(E1000)),"Needs the amount",IF(AND(D1000&lt;&gt;"",COUNTIF(Beds!$B$6:$B$35,D1000)=0),"Not on Beds",""))))))</f>
        <v/>
      </c>
      <c r="J1000" s="1">
        <f>IF(ISNUMBER(B1000),YEAR(B1000),"")</f>
        <v/>
      </c>
      <c r="K1000">
        <f>IF(ISNUMBER(B1000),YEAR(B1000)*100+MONTH(B1000),"")</f>
        <v/>
      </c>
      <c r="L1000">
        <f>IF(ISNUMBER(B1000),INT(B1000),0)</f>
        <v/>
      </c>
    </row>
    <row r="1001">
      <c r="A1001" s="1" t="n"/>
      <c r="B1001" s="17" t="n"/>
      <c r="C1001" s="18" t="n"/>
      <c r="D1001" s="19" t="n"/>
      <c r="E1001" s="23" t="n"/>
      <c r="F1001" s="21" t="n"/>
      <c r="G1001" s="11">
        <f>IF(C1001="","",IFERROR(INDEX(Crops!$D$6:$D$65,MATCH(C1001,Crops!$B$6:$B$65,0))&amp;"",""))</f>
        <v/>
      </c>
      <c r="H1001" s="12">
        <f>IF(OR(C1001="",NOT(ISNUMBER(E1001))),"",E1001*N(IFERROR(INDEX(Crops!$E$6:$E$65,MATCH(C1001,Crops!$B$6:$B$65,0)),0)))</f>
        <v/>
      </c>
      <c r="I1001" s="11">
        <f>IF(AND(C1001="",E1001=""),"",IF(NOT(ISNUMBER(B1001)),"Needs a date",IF(C1001="","Needs a crop",IF(COUNTIF(Crops!$B$6:$B$65,C1001)=0,"Not on Crops",IF(NOT(ISNUMBER(E1001)),"Needs the amount",IF(AND(D1001&lt;&gt;"",COUNTIF(Beds!$B$6:$B$35,D1001)=0),"Not on Beds",""))))))</f>
        <v/>
      </c>
      <c r="J1001" s="1">
        <f>IF(ISNUMBER(B1001),YEAR(B1001),"")</f>
        <v/>
      </c>
      <c r="K1001">
        <f>IF(ISNUMBER(B1001),YEAR(B1001)*100+MONTH(B1001),"")</f>
        <v/>
      </c>
      <c r="L1001">
        <f>IF(ISNUMBER(B1001),INT(B1001),0)</f>
        <v/>
      </c>
    </row>
    <row r="1002">
      <c r="A1002" s="1" t="n"/>
      <c r="B1002" s="17" t="n"/>
      <c r="C1002" s="18" t="n"/>
      <c r="D1002" s="19" t="n"/>
      <c r="E1002" s="23" t="n"/>
      <c r="F1002" s="21" t="n"/>
      <c r="G1002" s="11">
        <f>IF(C1002="","",IFERROR(INDEX(Crops!$D$6:$D$65,MATCH(C1002,Crops!$B$6:$B$65,0))&amp;"",""))</f>
        <v/>
      </c>
      <c r="H1002" s="12">
        <f>IF(OR(C1002="",NOT(ISNUMBER(E1002))),"",E1002*N(IFERROR(INDEX(Crops!$E$6:$E$65,MATCH(C1002,Crops!$B$6:$B$65,0)),0)))</f>
        <v/>
      </c>
      <c r="I1002" s="11">
        <f>IF(AND(C1002="",E1002=""),"",IF(NOT(ISNUMBER(B1002)),"Needs a date",IF(C1002="","Needs a crop",IF(COUNTIF(Crops!$B$6:$B$65,C1002)=0,"Not on Crops",IF(NOT(ISNUMBER(E1002)),"Needs the amount",IF(AND(D1002&lt;&gt;"",COUNTIF(Beds!$B$6:$B$35,D1002)=0),"Not on Beds",""))))))</f>
        <v/>
      </c>
      <c r="J1002" s="1">
        <f>IF(ISNUMBER(B1002),YEAR(B1002),"")</f>
        <v/>
      </c>
      <c r="K1002">
        <f>IF(ISNUMBER(B1002),YEAR(B1002)*100+MONTH(B1002),"")</f>
        <v/>
      </c>
      <c r="L1002">
        <f>IF(ISNUMBER(B1002),INT(B1002),0)</f>
        <v/>
      </c>
    </row>
    <row r="1003">
      <c r="A1003" s="1" t="n"/>
      <c r="B1003" s="17" t="n"/>
      <c r="C1003" s="18" t="n"/>
      <c r="D1003" s="19" t="n"/>
      <c r="E1003" s="23" t="n"/>
      <c r="F1003" s="21" t="n"/>
      <c r="G1003" s="11">
        <f>IF(C1003="","",IFERROR(INDEX(Crops!$D$6:$D$65,MATCH(C1003,Crops!$B$6:$B$65,0))&amp;"",""))</f>
        <v/>
      </c>
      <c r="H1003" s="12">
        <f>IF(OR(C1003="",NOT(ISNUMBER(E1003))),"",E1003*N(IFERROR(INDEX(Crops!$E$6:$E$65,MATCH(C1003,Crops!$B$6:$B$65,0)),0)))</f>
        <v/>
      </c>
      <c r="I1003" s="11">
        <f>IF(AND(C1003="",E1003=""),"",IF(NOT(ISNUMBER(B1003)),"Needs a date",IF(C1003="","Needs a crop",IF(COUNTIF(Crops!$B$6:$B$65,C1003)=0,"Not on Crops",IF(NOT(ISNUMBER(E1003)),"Needs the amount",IF(AND(D1003&lt;&gt;"",COUNTIF(Beds!$B$6:$B$35,D1003)=0),"Not on Beds",""))))))</f>
        <v/>
      </c>
      <c r="J1003" s="1">
        <f>IF(ISNUMBER(B1003),YEAR(B1003),"")</f>
        <v/>
      </c>
      <c r="K1003">
        <f>IF(ISNUMBER(B1003),YEAR(B1003)*100+MONTH(B1003),"")</f>
        <v/>
      </c>
      <c r="L1003">
        <f>IF(ISNUMBER(B1003),INT(B1003),0)</f>
        <v/>
      </c>
    </row>
    <row r="1004">
      <c r="A1004" s="1" t="n"/>
      <c r="B1004" s="17" t="n"/>
      <c r="C1004" s="18" t="n"/>
      <c r="D1004" s="19" t="n"/>
      <c r="E1004" s="23" t="n"/>
      <c r="F1004" s="21" t="n"/>
      <c r="G1004" s="11">
        <f>IF(C1004="","",IFERROR(INDEX(Crops!$D$6:$D$65,MATCH(C1004,Crops!$B$6:$B$65,0))&amp;"",""))</f>
        <v/>
      </c>
      <c r="H1004" s="12">
        <f>IF(OR(C1004="",NOT(ISNUMBER(E1004))),"",E1004*N(IFERROR(INDEX(Crops!$E$6:$E$65,MATCH(C1004,Crops!$B$6:$B$65,0)),0)))</f>
        <v/>
      </c>
      <c r="I1004" s="11">
        <f>IF(AND(C1004="",E1004=""),"",IF(NOT(ISNUMBER(B1004)),"Needs a date",IF(C1004="","Needs a crop",IF(COUNTIF(Crops!$B$6:$B$65,C1004)=0,"Not on Crops",IF(NOT(ISNUMBER(E1004)),"Needs the amount",IF(AND(D1004&lt;&gt;"",COUNTIF(Beds!$B$6:$B$35,D1004)=0),"Not on Beds",""))))))</f>
        <v/>
      </c>
      <c r="J1004" s="1">
        <f>IF(ISNUMBER(B1004),YEAR(B1004),"")</f>
        <v/>
      </c>
      <c r="K1004">
        <f>IF(ISNUMBER(B1004),YEAR(B1004)*100+MONTH(B1004),"")</f>
        <v/>
      </c>
      <c r="L1004">
        <f>IF(ISNUMBER(B1004),INT(B1004),0)</f>
        <v/>
      </c>
    </row>
    <row r="1005">
      <c r="A1005" s="1" t="n"/>
      <c r="B1005" s="17" t="n"/>
      <c r="C1005" s="18" t="n"/>
      <c r="D1005" s="19" t="n"/>
      <c r="E1005" s="23" t="n"/>
      <c r="F1005" s="21" t="n"/>
      <c r="G1005" s="11">
        <f>IF(C1005="","",IFERROR(INDEX(Crops!$D$6:$D$65,MATCH(C1005,Crops!$B$6:$B$65,0))&amp;"",""))</f>
        <v/>
      </c>
      <c r="H1005" s="12">
        <f>IF(OR(C1005="",NOT(ISNUMBER(E1005))),"",E1005*N(IFERROR(INDEX(Crops!$E$6:$E$65,MATCH(C1005,Crops!$B$6:$B$65,0)),0)))</f>
        <v/>
      </c>
      <c r="I1005" s="11">
        <f>IF(AND(C1005="",E1005=""),"",IF(NOT(ISNUMBER(B1005)),"Needs a date",IF(C1005="","Needs a crop",IF(COUNTIF(Crops!$B$6:$B$65,C1005)=0,"Not on Crops",IF(NOT(ISNUMBER(E1005)),"Needs the amount",IF(AND(D1005&lt;&gt;"",COUNTIF(Beds!$B$6:$B$35,D1005)=0),"Not on Beds",""))))))</f>
        <v/>
      </c>
      <c r="J1005" s="1">
        <f>IF(ISNUMBER(B1005),YEAR(B1005),"")</f>
        <v/>
      </c>
      <c r="K1005">
        <f>IF(ISNUMBER(B1005),YEAR(B1005)*100+MONTH(B1005),"")</f>
        <v/>
      </c>
      <c r="L1005">
        <f>IF(ISNUMBER(B1005),INT(B1005),0)</f>
        <v/>
      </c>
    </row>
    <row r="1006">
      <c r="A1006" s="1" t="n"/>
      <c r="B1006" s="17" t="n"/>
      <c r="C1006" s="18" t="n"/>
      <c r="D1006" s="19" t="n"/>
      <c r="E1006" s="23" t="n"/>
      <c r="F1006" s="21" t="n"/>
      <c r="G1006" s="11">
        <f>IF(C1006="","",IFERROR(INDEX(Crops!$D$6:$D$65,MATCH(C1006,Crops!$B$6:$B$65,0))&amp;"",""))</f>
        <v/>
      </c>
      <c r="H1006" s="12">
        <f>IF(OR(C1006="",NOT(ISNUMBER(E1006))),"",E1006*N(IFERROR(INDEX(Crops!$E$6:$E$65,MATCH(C1006,Crops!$B$6:$B$65,0)),0)))</f>
        <v/>
      </c>
      <c r="I1006" s="11">
        <f>IF(AND(C1006="",E1006=""),"",IF(NOT(ISNUMBER(B1006)),"Needs a date",IF(C1006="","Needs a crop",IF(COUNTIF(Crops!$B$6:$B$65,C1006)=0,"Not on Crops",IF(NOT(ISNUMBER(E1006)),"Needs the amount",IF(AND(D1006&lt;&gt;"",COUNTIF(Beds!$B$6:$B$35,D1006)=0),"Not on Beds",""))))))</f>
        <v/>
      </c>
      <c r="J1006" s="1">
        <f>IF(ISNUMBER(B1006),YEAR(B1006),"")</f>
        <v/>
      </c>
      <c r="K1006">
        <f>IF(ISNUMBER(B1006),YEAR(B1006)*100+MONTH(B1006),"")</f>
        <v/>
      </c>
      <c r="L1006">
        <f>IF(ISNUMBER(B1006),INT(B1006),0)</f>
        <v/>
      </c>
    </row>
    <row r="1007">
      <c r="A1007" s="1" t="n"/>
      <c r="B1007" s="17" t="n"/>
      <c r="C1007" s="18" t="n"/>
      <c r="D1007" s="19" t="n"/>
      <c r="E1007" s="23" t="n"/>
      <c r="F1007" s="21" t="n"/>
      <c r="G1007" s="11">
        <f>IF(C1007="","",IFERROR(INDEX(Crops!$D$6:$D$65,MATCH(C1007,Crops!$B$6:$B$65,0))&amp;"",""))</f>
        <v/>
      </c>
      <c r="H1007" s="12">
        <f>IF(OR(C1007="",NOT(ISNUMBER(E1007))),"",E1007*N(IFERROR(INDEX(Crops!$E$6:$E$65,MATCH(C1007,Crops!$B$6:$B$65,0)),0)))</f>
        <v/>
      </c>
      <c r="I1007" s="11">
        <f>IF(AND(C1007="",E1007=""),"",IF(NOT(ISNUMBER(B1007)),"Needs a date",IF(C1007="","Needs a crop",IF(COUNTIF(Crops!$B$6:$B$65,C1007)=0,"Not on Crops",IF(NOT(ISNUMBER(E1007)),"Needs the amount",IF(AND(D1007&lt;&gt;"",COUNTIF(Beds!$B$6:$B$35,D1007)=0),"Not on Beds",""))))))</f>
        <v/>
      </c>
      <c r="J1007" s="1">
        <f>IF(ISNUMBER(B1007),YEAR(B1007),"")</f>
        <v/>
      </c>
      <c r="K1007">
        <f>IF(ISNUMBER(B1007),YEAR(B1007)*100+MONTH(B1007),"")</f>
        <v/>
      </c>
      <c r="L1007">
        <f>IF(ISNUMBER(B1007),INT(B1007),0)</f>
        <v/>
      </c>
    </row>
    <row r="1008">
      <c r="A1008" s="1" t="n"/>
      <c r="B1008" s="17" t="n"/>
      <c r="C1008" s="18" t="n"/>
      <c r="D1008" s="19" t="n"/>
      <c r="E1008" s="23" t="n"/>
      <c r="F1008" s="21" t="n"/>
      <c r="G1008" s="11">
        <f>IF(C1008="","",IFERROR(INDEX(Crops!$D$6:$D$65,MATCH(C1008,Crops!$B$6:$B$65,0))&amp;"",""))</f>
        <v/>
      </c>
      <c r="H1008" s="12">
        <f>IF(OR(C1008="",NOT(ISNUMBER(E1008))),"",E1008*N(IFERROR(INDEX(Crops!$E$6:$E$65,MATCH(C1008,Crops!$B$6:$B$65,0)),0)))</f>
        <v/>
      </c>
      <c r="I1008" s="11">
        <f>IF(AND(C1008="",E1008=""),"",IF(NOT(ISNUMBER(B1008)),"Needs a date",IF(C1008="","Needs a crop",IF(COUNTIF(Crops!$B$6:$B$65,C1008)=0,"Not on Crops",IF(NOT(ISNUMBER(E1008)),"Needs the amount",IF(AND(D1008&lt;&gt;"",COUNTIF(Beds!$B$6:$B$35,D1008)=0),"Not on Beds",""))))))</f>
        <v/>
      </c>
      <c r="J1008" s="1">
        <f>IF(ISNUMBER(B1008),YEAR(B1008),"")</f>
        <v/>
      </c>
      <c r="K1008">
        <f>IF(ISNUMBER(B1008),YEAR(B1008)*100+MONTH(B1008),"")</f>
        <v/>
      </c>
      <c r="L1008">
        <f>IF(ISNUMBER(B1008),INT(B1008),0)</f>
        <v/>
      </c>
    </row>
    <row r="1009">
      <c r="A1009" s="1" t="n"/>
      <c r="B1009" s="17" t="n"/>
      <c r="C1009" s="18" t="n"/>
      <c r="D1009" s="19" t="n"/>
      <c r="E1009" s="23" t="n"/>
      <c r="F1009" s="21" t="n"/>
      <c r="G1009" s="11">
        <f>IF(C1009="","",IFERROR(INDEX(Crops!$D$6:$D$65,MATCH(C1009,Crops!$B$6:$B$65,0))&amp;"",""))</f>
        <v/>
      </c>
      <c r="H1009" s="12">
        <f>IF(OR(C1009="",NOT(ISNUMBER(E1009))),"",E1009*N(IFERROR(INDEX(Crops!$E$6:$E$65,MATCH(C1009,Crops!$B$6:$B$65,0)),0)))</f>
        <v/>
      </c>
      <c r="I1009" s="11">
        <f>IF(AND(C1009="",E1009=""),"",IF(NOT(ISNUMBER(B1009)),"Needs a date",IF(C1009="","Needs a crop",IF(COUNTIF(Crops!$B$6:$B$65,C1009)=0,"Not on Crops",IF(NOT(ISNUMBER(E1009)),"Needs the amount",IF(AND(D1009&lt;&gt;"",COUNTIF(Beds!$B$6:$B$35,D1009)=0),"Not on Beds",""))))))</f>
        <v/>
      </c>
      <c r="J1009" s="1">
        <f>IF(ISNUMBER(B1009),YEAR(B1009),"")</f>
        <v/>
      </c>
      <c r="K1009">
        <f>IF(ISNUMBER(B1009),YEAR(B1009)*100+MONTH(B1009),"")</f>
        <v/>
      </c>
      <c r="L1009">
        <f>IF(ISNUMBER(B1009),INT(B1009),0)</f>
        <v/>
      </c>
    </row>
    <row r="1010">
      <c r="A1010" s="1" t="n"/>
      <c r="B1010" s="17" t="n"/>
      <c r="C1010" s="18" t="n"/>
      <c r="D1010" s="19" t="n"/>
      <c r="E1010" s="23" t="n"/>
      <c r="F1010" s="21" t="n"/>
      <c r="G1010" s="11">
        <f>IF(C1010="","",IFERROR(INDEX(Crops!$D$6:$D$65,MATCH(C1010,Crops!$B$6:$B$65,0))&amp;"",""))</f>
        <v/>
      </c>
      <c r="H1010" s="12">
        <f>IF(OR(C1010="",NOT(ISNUMBER(E1010))),"",E1010*N(IFERROR(INDEX(Crops!$E$6:$E$65,MATCH(C1010,Crops!$B$6:$B$65,0)),0)))</f>
        <v/>
      </c>
      <c r="I1010" s="11">
        <f>IF(AND(C1010="",E1010=""),"",IF(NOT(ISNUMBER(B1010)),"Needs a date",IF(C1010="","Needs a crop",IF(COUNTIF(Crops!$B$6:$B$65,C1010)=0,"Not on Crops",IF(NOT(ISNUMBER(E1010)),"Needs the amount",IF(AND(D1010&lt;&gt;"",COUNTIF(Beds!$B$6:$B$35,D1010)=0),"Not on Beds",""))))))</f>
        <v/>
      </c>
      <c r="J1010" s="1">
        <f>IF(ISNUMBER(B1010),YEAR(B1010),"")</f>
        <v/>
      </c>
      <c r="K1010">
        <f>IF(ISNUMBER(B1010),YEAR(B1010)*100+MONTH(B1010),"")</f>
        <v/>
      </c>
      <c r="L1010">
        <f>IF(ISNUMBER(B1010),INT(B1010),0)</f>
        <v/>
      </c>
    </row>
    <row r="1011">
      <c r="A1011" s="1" t="n"/>
      <c r="B1011" s="17" t="n"/>
      <c r="C1011" s="18" t="n"/>
      <c r="D1011" s="19" t="n"/>
      <c r="E1011" s="23" t="n"/>
      <c r="F1011" s="21" t="n"/>
      <c r="G1011" s="11">
        <f>IF(C1011="","",IFERROR(INDEX(Crops!$D$6:$D$65,MATCH(C1011,Crops!$B$6:$B$65,0))&amp;"",""))</f>
        <v/>
      </c>
      <c r="H1011" s="12">
        <f>IF(OR(C1011="",NOT(ISNUMBER(E1011))),"",E1011*N(IFERROR(INDEX(Crops!$E$6:$E$65,MATCH(C1011,Crops!$B$6:$B$65,0)),0)))</f>
        <v/>
      </c>
      <c r="I1011" s="11">
        <f>IF(AND(C1011="",E1011=""),"",IF(NOT(ISNUMBER(B1011)),"Needs a date",IF(C1011="","Needs a crop",IF(COUNTIF(Crops!$B$6:$B$65,C1011)=0,"Not on Crops",IF(NOT(ISNUMBER(E1011)),"Needs the amount",IF(AND(D1011&lt;&gt;"",COUNTIF(Beds!$B$6:$B$35,D1011)=0),"Not on Beds",""))))))</f>
        <v/>
      </c>
      <c r="J1011" s="1">
        <f>IF(ISNUMBER(B1011),YEAR(B1011),"")</f>
        <v/>
      </c>
      <c r="K1011">
        <f>IF(ISNUMBER(B1011),YEAR(B1011)*100+MONTH(B1011),"")</f>
        <v/>
      </c>
      <c r="L1011">
        <f>IF(ISNUMBER(B1011),INT(B1011),0)</f>
        <v/>
      </c>
    </row>
    <row r="1012">
      <c r="A1012" s="1" t="n"/>
      <c r="B1012" s="17" t="n"/>
      <c r="C1012" s="18" t="n"/>
      <c r="D1012" s="19" t="n"/>
      <c r="E1012" s="23" t="n"/>
      <c r="F1012" s="21" t="n"/>
      <c r="G1012" s="11">
        <f>IF(C1012="","",IFERROR(INDEX(Crops!$D$6:$D$65,MATCH(C1012,Crops!$B$6:$B$65,0))&amp;"",""))</f>
        <v/>
      </c>
      <c r="H1012" s="12">
        <f>IF(OR(C1012="",NOT(ISNUMBER(E1012))),"",E1012*N(IFERROR(INDEX(Crops!$E$6:$E$65,MATCH(C1012,Crops!$B$6:$B$65,0)),0)))</f>
        <v/>
      </c>
      <c r="I1012" s="11">
        <f>IF(AND(C1012="",E1012=""),"",IF(NOT(ISNUMBER(B1012)),"Needs a date",IF(C1012="","Needs a crop",IF(COUNTIF(Crops!$B$6:$B$65,C1012)=0,"Not on Crops",IF(NOT(ISNUMBER(E1012)),"Needs the amount",IF(AND(D1012&lt;&gt;"",COUNTIF(Beds!$B$6:$B$35,D1012)=0),"Not on Beds",""))))))</f>
        <v/>
      </c>
      <c r="J1012" s="1">
        <f>IF(ISNUMBER(B1012),YEAR(B1012),"")</f>
        <v/>
      </c>
      <c r="K1012">
        <f>IF(ISNUMBER(B1012),YEAR(B1012)*100+MONTH(B1012),"")</f>
        <v/>
      </c>
      <c r="L1012">
        <f>IF(ISNUMBER(B1012),INT(B1012),0)</f>
        <v/>
      </c>
    </row>
    <row r="1013">
      <c r="A1013" s="1" t="n"/>
      <c r="B1013" s="17" t="n"/>
      <c r="C1013" s="18" t="n"/>
      <c r="D1013" s="19" t="n"/>
      <c r="E1013" s="23" t="n"/>
      <c r="F1013" s="21" t="n"/>
      <c r="G1013" s="11">
        <f>IF(C1013="","",IFERROR(INDEX(Crops!$D$6:$D$65,MATCH(C1013,Crops!$B$6:$B$65,0))&amp;"",""))</f>
        <v/>
      </c>
      <c r="H1013" s="12">
        <f>IF(OR(C1013="",NOT(ISNUMBER(E1013))),"",E1013*N(IFERROR(INDEX(Crops!$E$6:$E$65,MATCH(C1013,Crops!$B$6:$B$65,0)),0)))</f>
        <v/>
      </c>
      <c r="I1013" s="11">
        <f>IF(AND(C1013="",E1013=""),"",IF(NOT(ISNUMBER(B1013)),"Needs a date",IF(C1013="","Needs a crop",IF(COUNTIF(Crops!$B$6:$B$65,C1013)=0,"Not on Crops",IF(NOT(ISNUMBER(E1013)),"Needs the amount",IF(AND(D1013&lt;&gt;"",COUNTIF(Beds!$B$6:$B$35,D1013)=0),"Not on Beds",""))))))</f>
        <v/>
      </c>
      <c r="J1013" s="1">
        <f>IF(ISNUMBER(B1013),YEAR(B1013),"")</f>
        <v/>
      </c>
      <c r="K1013">
        <f>IF(ISNUMBER(B1013),YEAR(B1013)*100+MONTH(B1013),"")</f>
        <v/>
      </c>
      <c r="L1013">
        <f>IF(ISNUMBER(B1013),INT(B1013),0)</f>
        <v/>
      </c>
    </row>
    <row r="1014">
      <c r="A1014" s="1" t="n"/>
      <c r="B1014" s="17" t="n"/>
      <c r="C1014" s="18" t="n"/>
      <c r="D1014" s="19" t="n"/>
      <c r="E1014" s="23" t="n"/>
      <c r="F1014" s="21" t="n"/>
      <c r="G1014" s="11">
        <f>IF(C1014="","",IFERROR(INDEX(Crops!$D$6:$D$65,MATCH(C1014,Crops!$B$6:$B$65,0))&amp;"",""))</f>
        <v/>
      </c>
      <c r="H1014" s="12">
        <f>IF(OR(C1014="",NOT(ISNUMBER(E1014))),"",E1014*N(IFERROR(INDEX(Crops!$E$6:$E$65,MATCH(C1014,Crops!$B$6:$B$65,0)),0)))</f>
        <v/>
      </c>
      <c r="I1014" s="11">
        <f>IF(AND(C1014="",E1014=""),"",IF(NOT(ISNUMBER(B1014)),"Needs a date",IF(C1014="","Needs a crop",IF(COUNTIF(Crops!$B$6:$B$65,C1014)=0,"Not on Crops",IF(NOT(ISNUMBER(E1014)),"Needs the amount",IF(AND(D1014&lt;&gt;"",COUNTIF(Beds!$B$6:$B$35,D1014)=0),"Not on Beds",""))))))</f>
        <v/>
      </c>
      <c r="J1014" s="1">
        <f>IF(ISNUMBER(B1014),YEAR(B1014),"")</f>
        <v/>
      </c>
      <c r="K1014">
        <f>IF(ISNUMBER(B1014),YEAR(B1014)*100+MONTH(B1014),"")</f>
        <v/>
      </c>
      <c r="L1014">
        <f>IF(ISNUMBER(B1014),INT(B1014),0)</f>
        <v/>
      </c>
    </row>
    <row r="1015">
      <c r="A1015" s="1" t="n"/>
      <c r="B1015" s="17" t="n"/>
      <c r="C1015" s="18" t="n"/>
      <c r="D1015" s="19" t="n"/>
      <c r="E1015" s="23" t="n"/>
      <c r="F1015" s="21" t="n"/>
      <c r="G1015" s="11">
        <f>IF(C1015="","",IFERROR(INDEX(Crops!$D$6:$D$65,MATCH(C1015,Crops!$B$6:$B$65,0))&amp;"",""))</f>
        <v/>
      </c>
      <c r="H1015" s="12">
        <f>IF(OR(C1015="",NOT(ISNUMBER(E1015))),"",E1015*N(IFERROR(INDEX(Crops!$E$6:$E$65,MATCH(C1015,Crops!$B$6:$B$65,0)),0)))</f>
        <v/>
      </c>
      <c r="I1015" s="11">
        <f>IF(AND(C1015="",E1015=""),"",IF(NOT(ISNUMBER(B1015)),"Needs a date",IF(C1015="","Needs a crop",IF(COUNTIF(Crops!$B$6:$B$65,C1015)=0,"Not on Crops",IF(NOT(ISNUMBER(E1015)),"Needs the amount",IF(AND(D1015&lt;&gt;"",COUNTIF(Beds!$B$6:$B$35,D1015)=0),"Not on Beds",""))))))</f>
        <v/>
      </c>
      <c r="J1015" s="1">
        <f>IF(ISNUMBER(B1015),YEAR(B1015),"")</f>
        <v/>
      </c>
      <c r="K1015">
        <f>IF(ISNUMBER(B1015),YEAR(B1015)*100+MONTH(B1015),"")</f>
        <v/>
      </c>
      <c r="L1015">
        <f>IF(ISNUMBER(B1015),INT(B1015),0)</f>
        <v/>
      </c>
    </row>
    <row r="1016">
      <c r="A1016" s="1" t="n"/>
      <c r="B1016" s="17" t="n"/>
      <c r="C1016" s="18" t="n"/>
      <c r="D1016" s="19" t="n"/>
      <c r="E1016" s="23" t="n"/>
      <c r="F1016" s="21" t="n"/>
      <c r="G1016" s="11">
        <f>IF(C1016="","",IFERROR(INDEX(Crops!$D$6:$D$65,MATCH(C1016,Crops!$B$6:$B$65,0))&amp;"",""))</f>
        <v/>
      </c>
      <c r="H1016" s="12">
        <f>IF(OR(C1016="",NOT(ISNUMBER(E1016))),"",E1016*N(IFERROR(INDEX(Crops!$E$6:$E$65,MATCH(C1016,Crops!$B$6:$B$65,0)),0)))</f>
        <v/>
      </c>
      <c r="I1016" s="11">
        <f>IF(AND(C1016="",E1016=""),"",IF(NOT(ISNUMBER(B1016)),"Needs a date",IF(C1016="","Needs a crop",IF(COUNTIF(Crops!$B$6:$B$65,C1016)=0,"Not on Crops",IF(NOT(ISNUMBER(E1016)),"Needs the amount",IF(AND(D1016&lt;&gt;"",COUNTIF(Beds!$B$6:$B$35,D1016)=0),"Not on Beds",""))))))</f>
        <v/>
      </c>
      <c r="J1016" s="1">
        <f>IF(ISNUMBER(B1016),YEAR(B1016),"")</f>
        <v/>
      </c>
      <c r="K1016">
        <f>IF(ISNUMBER(B1016),YEAR(B1016)*100+MONTH(B1016),"")</f>
        <v/>
      </c>
      <c r="L1016">
        <f>IF(ISNUMBER(B1016),INT(B1016),0)</f>
        <v/>
      </c>
    </row>
    <row r="1017">
      <c r="A1017" s="1" t="n"/>
      <c r="B1017" s="17" t="n"/>
      <c r="C1017" s="18" t="n"/>
      <c r="D1017" s="19" t="n"/>
      <c r="E1017" s="23" t="n"/>
      <c r="F1017" s="21" t="n"/>
      <c r="G1017" s="11">
        <f>IF(C1017="","",IFERROR(INDEX(Crops!$D$6:$D$65,MATCH(C1017,Crops!$B$6:$B$65,0))&amp;"",""))</f>
        <v/>
      </c>
      <c r="H1017" s="12">
        <f>IF(OR(C1017="",NOT(ISNUMBER(E1017))),"",E1017*N(IFERROR(INDEX(Crops!$E$6:$E$65,MATCH(C1017,Crops!$B$6:$B$65,0)),0)))</f>
        <v/>
      </c>
      <c r="I1017" s="11">
        <f>IF(AND(C1017="",E1017=""),"",IF(NOT(ISNUMBER(B1017)),"Needs a date",IF(C1017="","Needs a crop",IF(COUNTIF(Crops!$B$6:$B$65,C1017)=0,"Not on Crops",IF(NOT(ISNUMBER(E1017)),"Needs the amount",IF(AND(D1017&lt;&gt;"",COUNTIF(Beds!$B$6:$B$35,D1017)=0),"Not on Beds",""))))))</f>
        <v/>
      </c>
      <c r="J1017" s="1">
        <f>IF(ISNUMBER(B1017),YEAR(B1017),"")</f>
        <v/>
      </c>
      <c r="K1017">
        <f>IF(ISNUMBER(B1017),YEAR(B1017)*100+MONTH(B1017),"")</f>
        <v/>
      </c>
      <c r="L1017">
        <f>IF(ISNUMBER(B1017),INT(B1017),0)</f>
        <v/>
      </c>
    </row>
    <row r="1018">
      <c r="A1018" s="1" t="n"/>
      <c r="B1018" s="17" t="n"/>
      <c r="C1018" s="18" t="n"/>
      <c r="D1018" s="19" t="n"/>
      <c r="E1018" s="23" t="n"/>
      <c r="F1018" s="21" t="n"/>
      <c r="G1018" s="11">
        <f>IF(C1018="","",IFERROR(INDEX(Crops!$D$6:$D$65,MATCH(C1018,Crops!$B$6:$B$65,0))&amp;"",""))</f>
        <v/>
      </c>
      <c r="H1018" s="12">
        <f>IF(OR(C1018="",NOT(ISNUMBER(E1018))),"",E1018*N(IFERROR(INDEX(Crops!$E$6:$E$65,MATCH(C1018,Crops!$B$6:$B$65,0)),0)))</f>
        <v/>
      </c>
      <c r="I1018" s="11">
        <f>IF(AND(C1018="",E1018=""),"",IF(NOT(ISNUMBER(B1018)),"Needs a date",IF(C1018="","Needs a crop",IF(COUNTIF(Crops!$B$6:$B$65,C1018)=0,"Not on Crops",IF(NOT(ISNUMBER(E1018)),"Needs the amount",IF(AND(D1018&lt;&gt;"",COUNTIF(Beds!$B$6:$B$35,D1018)=0),"Not on Beds",""))))))</f>
        <v/>
      </c>
      <c r="J1018" s="1">
        <f>IF(ISNUMBER(B1018),YEAR(B1018),"")</f>
        <v/>
      </c>
      <c r="K1018">
        <f>IF(ISNUMBER(B1018),YEAR(B1018)*100+MONTH(B1018),"")</f>
        <v/>
      </c>
      <c r="L1018">
        <f>IF(ISNUMBER(B1018),INT(B1018),0)</f>
        <v/>
      </c>
    </row>
    <row r="1019">
      <c r="A1019" s="1" t="n"/>
      <c r="B1019" s="17" t="n"/>
      <c r="C1019" s="18" t="n"/>
      <c r="D1019" s="19" t="n"/>
      <c r="E1019" s="23" t="n"/>
      <c r="F1019" s="21" t="n"/>
      <c r="G1019" s="11">
        <f>IF(C1019="","",IFERROR(INDEX(Crops!$D$6:$D$65,MATCH(C1019,Crops!$B$6:$B$65,0))&amp;"",""))</f>
        <v/>
      </c>
      <c r="H1019" s="12">
        <f>IF(OR(C1019="",NOT(ISNUMBER(E1019))),"",E1019*N(IFERROR(INDEX(Crops!$E$6:$E$65,MATCH(C1019,Crops!$B$6:$B$65,0)),0)))</f>
        <v/>
      </c>
      <c r="I1019" s="11">
        <f>IF(AND(C1019="",E1019=""),"",IF(NOT(ISNUMBER(B1019)),"Needs a date",IF(C1019="","Needs a crop",IF(COUNTIF(Crops!$B$6:$B$65,C1019)=0,"Not on Crops",IF(NOT(ISNUMBER(E1019)),"Needs the amount",IF(AND(D1019&lt;&gt;"",COUNTIF(Beds!$B$6:$B$35,D1019)=0),"Not on Beds",""))))))</f>
        <v/>
      </c>
      <c r="J1019" s="1">
        <f>IF(ISNUMBER(B1019),YEAR(B1019),"")</f>
        <v/>
      </c>
      <c r="K1019">
        <f>IF(ISNUMBER(B1019),YEAR(B1019)*100+MONTH(B1019),"")</f>
        <v/>
      </c>
      <c r="L1019">
        <f>IF(ISNUMBER(B1019),INT(B1019),0)</f>
        <v/>
      </c>
    </row>
    <row r="1020">
      <c r="A1020" s="1" t="n"/>
      <c r="B1020" s="17" t="n"/>
      <c r="C1020" s="18" t="n"/>
      <c r="D1020" s="19" t="n"/>
      <c r="E1020" s="23" t="n"/>
      <c r="F1020" s="21" t="n"/>
      <c r="G1020" s="11">
        <f>IF(C1020="","",IFERROR(INDEX(Crops!$D$6:$D$65,MATCH(C1020,Crops!$B$6:$B$65,0))&amp;"",""))</f>
        <v/>
      </c>
      <c r="H1020" s="12">
        <f>IF(OR(C1020="",NOT(ISNUMBER(E1020))),"",E1020*N(IFERROR(INDEX(Crops!$E$6:$E$65,MATCH(C1020,Crops!$B$6:$B$65,0)),0)))</f>
        <v/>
      </c>
      <c r="I1020" s="11">
        <f>IF(AND(C1020="",E1020=""),"",IF(NOT(ISNUMBER(B1020)),"Needs a date",IF(C1020="","Needs a crop",IF(COUNTIF(Crops!$B$6:$B$65,C1020)=0,"Not on Crops",IF(NOT(ISNUMBER(E1020)),"Needs the amount",IF(AND(D1020&lt;&gt;"",COUNTIF(Beds!$B$6:$B$35,D1020)=0),"Not on Beds",""))))))</f>
        <v/>
      </c>
      <c r="J1020" s="1">
        <f>IF(ISNUMBER(B1020),YEAR(B1020),"")</f>
        <v/>
      </c>
      <c r="K1020">
        <f>IF(ISNUMBER(B1020),YEAR(B1020)*100+MONTH(B1020),"")</f>
        <v/>
      </c>
      <c r="L1020">
        <f>IF(ISNUMBER(B1020),INT(B1020),0)</f>
        <v/>
      </c>
    </row>
    <row r="1021">
      <c r="A1021" s="1" t="n"/>
      <c r="B1021" s="17" t="n"/>
      <c r="C1021" s="18" t="n"/>
      <c r="D1021" s="19" t="n"/>
      <c r="E1021" s="23" t="n"/>
      <c r="F1021" s="21" t="n"/>
      <c r="G1021" s="11">
        <f>IF(C1021="","",IFERROR(INDEX(Crops!$D$6:$D$65,MATCH(C1021,Crops!$B$6:$B$65,0))&amp;"",""))</f>
        <v/>
      </c>
      <c r="H1021" s="12">
        <f>IF(OR(C1021="",NOT(ISNUMBER(E1021))),"",E1021*N(IFERROR(INDEX(Crops!$E$6:$E$65,MATCH(C1021,Crops!$B$6:$B$65,0)),0)))</f>
        <v/>
      </c>
      <c r="I1021" s="11">
        <f>IF(AND(C1021="",E1021=""),"",IF(NOT(ISNUMBER(B1021)),"Needs a date",IF(C1021="","Needs a crop",IF(COUNTIF(Crops!$B$6:$B$65,C1021)=0,"Not on Crops",IF(NOT(ISNUMBER(E1021)),"Needs the amount",IF(AND(D1021&lt;&gt;"",COUNTIF(Beds!$B$6:$B$35,D1021)=0),"Not on Beds",""))))))</f>
        <v/>
      </c>
      <c r="J1021" s="1">
        <f>IF(ISNUMBER(B1021),YEAR(B1021),"")</f>
        <v/>
      </c>
      <c r="K1021">
        <f>IF(ISNUMBER(B1021),YEAR(B1021)*100+MONTH(B1021),"")</f>
        <v/>
      </c>
      <c r="L1021">
        <f>IF(ISNUMBER(B1021),INT(B1021),0)</f>
        <v/>
      </c>
    </row>
    <row r="1022">
      <c r="A1022" s="1" t="n"/>
      <c r="B1022" s="17" t="n"/>
      <c r="C1022" s="18" t="n"/>
      <c r="D1022" s="19" t="n"/>
      <c r="E1022" s="23" t="n"/>
      <c r="F1022" s="21" t="n"/>
      <c r="G1022" s="11">
        <f>IF(C1022="","",IFERROR(INDEX(Crops!$D$6:$D$65,MATCH(C1022,Crops!$B$6:$B$65,0))&amp;"",""))</f>
        <v/>
      </c>
      <c r="H1022" s="12">
        <f>IF(OR(C1022="",NOT(ISNUMBER(E1022))),"",E1022*N(IFERROR(INDEX(Crops!$E$6:$E$65,MATCH(C1022,Crops!$B$6:$B$65,0)),0)))</f>
        <v/>
      </c>
      <c r="I1022" s="11">
        <f>IF(AND(C1022="",E1022=""),"",IF(NOT(ISNUMBER(B1022)),"Needs a date",IF(C1022="","Needs a crop",IF(COUNTIF(Crops!$B$6:$B$65,C1022)=0,"Not on Crops",IF(NOT(ISNUMBER(E1022)),"Needs the amount",IF(AND(D1022&lt;&gt;"",COUNTIF(Beds!$B$6:$B$35,D1022)=0),"Not on Beds",""))))))</f>
        <v/>
      </c>
      <c r="J1022" s="1">
        <f>IF(ISNUMBER(B1022),YEAR(B1022),"")</f>
        <v/>
      </c>
      <c r="K1022">
        <f>IF(ISNUMBER(B1022),YEAR(B1022)*100+MONTH(B1022),"")</f>
        <v/>
      </c>
      <c r="L1022">
        <f>IF(ISNUMBER(B1022),INT(B1022),0)</f>
        <v/>
      </c>
    </row>
    <row r="1023">
      <c r="A1023" s="1" t="n"/>
      <c r="B1023" s="17" t="n"/>
      <c r="C1023" s="18" t="n"/>
      <c r="D1023" s="19" t="n"/>
      <c r="E1023" s="23" t="n"/>
      <c r="F1023" s="21" t="n"/>
      <c r="G1023" s="11">
        <f>IF(C1023="","",IFERROR(INDEX(Crops!$D$6:$D$65,MATCH(C1023,Crops!$B$6:$B$65,0))&amp;"",""))</f>
        <v/>
      </c>
      <c r="H1023" s="12">
        <f>IF(OR(C1023="",NOT(ISNUMBER(E1023))),"",E1023*N(IFERROR(INDEX(Crops!$E$6:$E$65,MATCH(C1023,Crops!$B$6:$B$65,0)),0)))</f>
        <v/>
      </c>
      <c r="I1023" s="11">
        <f>IF(AND(C1023="",E1023=""),"",IF(NOT(ISNUMBER(B1023)),"Needs a date",IF(C1023="","Needs a crop",IF(COUNTIF(Crops!$B$6:$B$65,C1023)=0,"Not on Crops",IF(NOT(ISNUMBER(E1023)),"Needs the amount",IF(AND(D1023&lt;&gt;"",COUNTIF(Beds!$B$6:$B$35,D1023)=0),"Not on Beds",""))))))</f>
        <v/>
      </c>
      <c r="J1023" s="1">
        <f>IF(ISNUMBER(B1023),YEAR(B1023),"")</f>
        <v/>
      </c>
      <c r="K1023">
        <f>IF(ISNUMBER(B1023),YEAR(B1023)*100+MONTH(B1023),"")</f>
        <v/>
      </c>
      <c r="L1023">
        <f>IF(ISNUMBER(B1023),INT(B1023),0)</f>
        <v/>
      </c>
    </row>
    <row r="1024">
      <c r="A1024" s="1" t="n"/>
      <c r="B1024" s="17" t="n"/>
      <c r="C1024" s="18" t="n"/>
      <c r="D1024" s="19" t="n"/>
      <c r="E1024" s="23" t="n"/>
      <c r="F1024" s="21" t="n"/>
      <c r="G1024" s="11">
        <f>IF(C1024="","",IFERROR(INDEX(Crops!$D$6:$D$65,MATCH(C1024,Crops!$B$6:$B$65,0))&amp;"",""))</f>
        <v/>
      </c>
      <c r="H1024" s="12">
        <f>IF(OR(C1024="",NOT(ISNUMBER(E1024))),"",E1024*N(IFERROR(INDEX(Crops!$E$6:$E$65,MATCH(C1024,Crops!$B$6:$B$65,0)),0)))</f>
        <v/>
      </c>
      <c r="I1024" s="11">
        <f>IF(AND(C1024="",E1024=""),"",IF(NOT(ISNUMBER(B1024)),"Needs a date",IF(C1024="","Needs a crop",IF(COUNTIF(Crops!$B$6:$B$65,C1024)=0,"Not on Crops",IF(NOT(ISNUMBER(E1024)),"Needs the amount",IF(AND(D1024&lt;&gt;"",COUNTIF(Beds!$B$6:$B$35,D1024)=0),"Not on Beds",""))))))</f>
        <v/>
      </c>
      <c r="J1024" s="1">
        <f>IF(ISNUMBER(B1024),YEAR(B1024),"")</f>
        <v/>
      </c>
      <c r="K1024">
        <f>IF(ISNUMBER(B1024),YEAR(B1024)*100+MONTH(B1024),"")</f>
        <v/>
      </c>
      <c r="L1024">
        <f>IF(ISNUMBER(B1024),INT(B1024),0)</f>
        <v/>
      </c>
    </row>
    <row r="1025">
      <c r="A1025" s="1" t="n"/>
      <c r="B1025" s="17" t="n"/>
      <c r="C1025" s="18" t="n"/>
      <c r="D1025" s="19" t="n"/>
      <c r="E1025" s="23" t="n"/>
      <c r="F1025" s="21" t="n"/>
      <c r="G1025" s="11">
        <f>IF(C1025="","",IFERROR(INDEX(Crops!$D$6:$D$65,MATCH(C1025,Crops!$B$6:$B$65,0))&amp;"",""))</f>
        <v/>
      </c>
      <c r="H1025" s="12">
        <f>IF(OR(C1025="",NOT(ISNUMBER(E1025))),"",E1025*N(IFERROR(INDEX(Crops!$E$6:$E$65,MATCH(C1025,Crops!$B$6:$B$65,0)),0)))</f>
        <v/>
      </c>
      <c r="I1025" s="11">
        <f>IF(AND(C1025="",E1025=""),"",IF(NOT(ISNUMBER(B1025)),"Needs a date",IF(C1025="","Needs a crop",IF(COUNTIF(Crops!$B$6:$B$65,C1025)=0,"Not on Crops",IF(NOT(ISNUMBER(E1025)),"Needs the amount",IF(AND(D1025&lt;&gt;"",COUNTIF(Beds!$B$6:$B$35,D1025)=0),"Not on Beds",""))))))</f>
        <v/>
      </c>
      <c r="J1025" s="1">
        <f>IF(ISNUMBER(B1025),YEAR(B1025),"")</f>
        <v/>
      </c>
      <c r="K1025">
        <f>IF(ISNUMBER(B1025),YEAR(B1025)*100+MONTH(B1025),"")</f>
        <v/>
      </c>
      <c r="L1025">
        <f>IF(ISNUMBER(B1025),INT(B1025),0)</f>
        <v/>
      </c>
    </row>
    <row r="1026">
      <c r="A1026" s="1" t="n"/>
      <c r="B1026" s="17" t="n"/>
      <c r="C1026" s="18" t="n"/>
      <c r="D1026" s="19" t="n"/>
      <c r="E1026" s="23" t="n"/>
      <c r="F1026" s="21" t="n"/>
      <c r="G1026" s="11">
        <f>IF(C1026="","",IFERROR(INDEX(Crops!$D$6:$D$65,MATCH(C1026,Crops!$B$6:$B$65,0))&amp;"",""))</f>
        <v/>
      </c>
      <c r="H1026" s="12">
        <f>IF(OR(C1026="",NOT(ISNUMBER(E1026))),"",E1026*N(IFERROR(INDEX(Crops!$E$6:$E$65,MATCH(C1026,Crops!$B$6:$B$65,0)),0)))</f>
        <v/>
      </c>
      <c r="I1026" s="11">
        <f>IF(AND(C1026="",E1026=""),"",IF(NOT(ISNUMBER(B1026)),"Needs a date",IF(C1026="","Needs a crop",IF(COUNTIF(Crops!$B$6:$B$65,C1026)=0,"Not on Crops",IF(NOT(ISNUMBER(E1026)),"Needs the amount",IF(AND(D1026&lt;&gt;"",COUNTIF(Beds!$B$6:$B$35,D1026)=0),"Not on Beds",""))))))</f>
        <v/>
      </c>
      <c r="J1026" s="1">
        <f>IF(ISNUMBER(B1026),YEAR(B1026),"")</f>
        <v/>
      </c>
      <c r="K1026">
        <f>IF(ISNUMBER(B1026),YEAR(B1026)*100+MONTH(B1026),"")</f>
        <v/>
      </c>
      <c r="L1026">
        <f>IF(ISNUMBER(B1026),INT(B1026),0)</f>
        <v/>
      </c>
    </row>
    <row r="1027">
      <c r="A1027" s="1" t="n"/>
      <c r="B1027" s="17" t="n"/>
      <c r="C1027" s="18" t="n"/>
      <c r="D1027" s="19" t="n"/>
      <c r="E1027" s="23" t="n"/>
      <c r="F1027" s="21" t="n"/>
      <c r="G1027" s="11">
        <f>IF(C1027="","",IFERROR(INDEX(Crops!$D$6:$D$65,MATCH(C1027,Crops!$B$6:$B$65,0))&amp;"",""))</f>
        <v/>
      </c>
      <c r="H1027" s="12">
        <f>IF(OR(C1027="",NOT(ISNUMBER(E1027))),"",E1027*N(IFERROR(INDEX(Crops!$E$6:$E$65,MATCH(C1027,Crops!$B$6:$B$65,0)),0)))</f>
        <v/>
      </c>
      <c r="I1027" s="11">
        <f>IF(AND(C1027="",E1027=""),"",IF(NOT(ISNUMBER(B1027)),"Needs a date",IF(C1027="","Needs a crop",IF(COUNTIF(Crops!$B$6:$B$65,C1027)=0,"Not on Crops",IF(NOT(ISNUMBER(E1027)),"Needs the amount",IF(AND(D1027&lt;&gt;"",COUNTIF(Beds!$B$6:$B$35,D1027)=0),"Not on Beds",""))))))</f>
        <v/>
      </c>
      <c r="J1027" s="1">
        <f>IF(ISNUMBER(B1027),YEAR(B1027),"")</f>
        <v/>
      </c>
      <c r="K1027">
        <f>IF(ISNUMBER(B1027),YEAR(B1027)*100+MONTH(B1027),"")</f>
        <v/>
      </c>
      <c r="L1027">
        <f>IF(ISNUMBER(B1027),INT(B1027),0)</f>
        <v/>
      </c>
    </row>
    <row r="1028">
      <c r="A1028" s="1" t="n"/>
      <c r="B1028" s="17" t="n"/>
      <c r="C1028" s="18" t="n"/>
      <c r="D1028" s="19" t="n"/>
      <c r="E1028" s="23" t="n"/>
      <c r="F1028" s="21" t="n"/>
      <c r="G1028" s="11">
        <f>IF(C1028="","",IFERROR(INDEX(Crops!$D$6:$D$65,MATCH(C1028,Crops!$B$6:$B$65,0))&amp;"",""))</f>
        <v/>
      </c>
      <c r="H1028" s="12">
        <f>IF(OR(C1028="",NOT(ISNUMBER(E1028))),"",E1028*N(IFERROR(INDEX(Crops!$E$6:$E$65,MATCH(C1028,Crops!$B$6:$B$65,0)),0)))</f>
        <v/>
      </c>
      <c r="I1028" s="11">
        <f>IF(AND(C1028="",E1028=""),"",IF(NOT(ISNUMBER(B1028)),"Needs a date",IF(C1028="","Needs a crop",IF(COUNTIF(Crops!$B$6:$B$65,C1028)=0,"Not on Crops",IF(NOT(ISNUMBER(E1028)),"Needs the amount",IF(AND(D1028&lt;&gt;"",COUNTIF(Beds!$B$6:$B$35,D1028)=0),"Not on Beds",""))))))</f>
        <v/>
      </c>
      <c r="J1028" s="1">
        <f>IF(ISNUMBER(B1028),YEAR(B1028),"")</f>
        <v/>
      </c>
      <c r="K1028">
        <f>IF(ISNUMBER(B1028),YEAR(B1028)*100+MONTH(B1028),"")</f>
        <v/>
      </c>
      <c r="L1028">
        <f>IF(ISNUMBER(B1028),INT(B1028),0)</f>
        <v/>
      </c>
    </row>
    <row r="1029">
      <c r="A1029" s="1" t="n"/>
      <c r="B1029" s="17" t="n"/>
      <c r="C1029" s="18" t="n"/>
      <c r="D1029" s="19" t="n"/>
      <c r="E1029" s="23" t="n"/>
      <c r="F1029" s="21" t="n"/>
      <c r="G1029" s="11">
        <f>IF(C1029="","",IFERROR(INDEX(Crops!$D$6:$D$65,MATCH(C1029,Crops!$B$6:$B$65,0))&amp;"",""))</f>
        <v/>
      </c>
      <c r="H1029" s="12">
        <f>IF(OR(C1029="",NOT(ISNUMBER(E1029))),"",E1029*N(IFERROR(INDEX(Crops!$E$6:$E$65,MATCH(C1029,Crops!$B$6:$B$65,0)),0)))</f>
        <v/>
      </c>
      <c r="I1029" s="11">
        <f>IF(AND(C1029="",E1029=""),"",IF(NOT(ISNUMBER(B1029)),"Needs a date",IF(C1029="","Needs a crop",IF(COUNTIF(Crops!$B$6:$B$65,C1029)=0,"Not on Crops",IF(NOT(ISNUMBER(E1029)),"Needs the amount",IF(AND(D1029&lt;&gt;"",COUNTIF(Beds!$B$6:$B$35,D1029)=0),"Not on Beds",""))))))</f>
        <v/>
      </c>
      <c r="J1029" s="1">
        <f>IF(ISNUMBER(B1029),YEAR(B1029),"")</f>
        <v/>
      </c>
      <c r="K1029">
        <f>IF(ISNUMBER(B1029),YEAR(B1029)*100+MONTH(B1029),"")</f>
        <v/>
      </c>
      <c r="L1029">
        <f>IF(ISNUMBER(B1029),INT(B1029),0)</f>
        <v/>
      </c>
    </row>
    <row r="1030">
      <c r="A1030" s="1" t="n"/>
      <c r="B1030" s="17" t="n"/>
      <c r="C1030" s="18" t="n"/>
      <c r="D1030" s="19" t="n"/>
      <c r="E1030" s="23" t="n"/>
      <c r="F1030" s="21" t="n"/>
      <c r="G1030" s="11">
        <f>IF(C1030="","",IFERROR(INDEX(Crops!$D$6:$D$65,MATCH(C1030,Crops!$B$6:$B$65,0))&amp;"",""))</f>
        <v/>
      </c>
      <c r="H1030" s="12">
        <f>IF(OR(C1030="",NOT(ISNUMBER(E1030))),"",E1030*N(IFERROR(INDEX(Crops!$E$6:$E$65,MATCH(C1030,Crops!$B$6:$B$65,0)),0)))</f>
        <v/>
      </c>
      <c r="I1030" s="11">
        <f>IF(AND(C1030="",E1030=""),"",IF(NOT(ISNUMBER(B1030)),"Needs a date",IF(C1030="","Needs a crop",IF(COUNTIF(Crops!$B$6:$B$65,C1030)=0,"Not on Crops",IF(NOT(ISNUMBER(E1030)),"Needs the amount",IF(AND(D1030&lt;&gt;"",COUNTIF(Beds!$B$6:$B$35,D1030)=0),"Not on Beds",""))))))</f>
        <v/>
      </c>
      <c r="J1030" s="1">
        <f>IF(ISNUMBER(B1030),YEAR(B1030),"")</f>
        <v/>
      </c>
      <c r="K1030">
        <f>IF(ISNUMBER(B1030),YEAR(B1030)*100+MONTH(B1030),"")</f>
        <v/>
      </c>
      <c r="L1030">
        <f>IF(ISNUMBER(B1030),INT(B1030),0)</f>
        <v/>
      </c>
    </row>
    <row r="1031">
      <c r="A1031" s="1" t="n"/>
      <c r="B1031" s="17" t="n"/>
      <c r="C1031" s="18" t="n"/>
      <c r="D1031" s="19" t="n"/>
      <c r="E1031" s="23" t="n"/>
      <c r="F1031" s="21" t="n"/>
      <c r="G1031" s="11">
        <f>IF(C1031="","",IFERROR(INDEX(Crops!$D$6:$D$65,MATCH(C1031,Crops!$B$6:$B$65,0))&amp;"",""))</f>
        <v/>
      </c>
      <c r="H1031" s="12">
        <f>IF(OR(C1031="",NOT(ISNUMBER(E1031))),"",E1031*N(IFERROR(INDEX(Crops!$E$6:$E$65,MATCH(C1031,Crops!$B$6:$B$65,0)),0)))</f>
        <v/>
      </c>
      <c r="I1031" s="11">
        <f>IF(AND(C1031="",E1031=""),"",IF(NOT(ISNUMBER(B1031)),"Needs a date",IF(C1031="","Needs a crop",IF(COUNTIF(Crops!$B$6:$B$65,C1031)=0,"Not on Crops",IF(NOT(ISNUMBER(E1031)),"Needs the amount",IF(AND(D1031&lt;&gt;"",COUNTIF(Beds!$B$6:$B$35,D1031)=0),"Not on Beds",""))))))</f>
        <v/>
      </c>
      <c r="J1031" s="1">
        <f>IF(ISNUMBER(B1031),YEAR(B1031),"")</f>
        <v/>
      </c>
      <c r="K1031">
        <f>IF(ISNUMBER(B1031),YEAR(B1031)*100+MONTH(B1031),"")</f>
        <v/>
      </c>
      <c r="L1031">
        <f>IF(ISNUMBER(B1031),INT(B1031),0)</f>
        <v/>
      </c>
    </row>
    <row r="1032">
      <c r="A1032" s="1" t="n"/>
      <c r="B1032" s="17" t="n"/>
      <c r="C1032" s="18" t="n"/>
      <c r="D1032" s="19" t="n"/>
      <c r="E1032" s="23" t="n"/>
      <c r="F1032" s="21" t="n"/>
      <c r="G1032" s="11">
        <f>IF(C1032="","",IFERROR(INDEX(Crops!$D$6:$D$65,MATCH(C1032,Crops!$B$6:$B$65,0))&amp;"",""))</f>
        <v/>
      </c>
      <c r="H1032" s="12">
        <f>IF(OR(C1032="",NOT(ISNUMBER(E1032))),"",E1032*N(IFERROR(INDEX(Crops!$E$6:$E$65,MATCH(C1032,Crops!$B$6:$B$65,0)),0)))</f>
        <v/>
      </c>
      <c r="I1032" s="11">
        <f>IF(AND(C1032="",E1032=""),"",IF(NOT(ISNUMBER(B1032)),"Needs a date",IF(C1032="","Needs a crop",IF(COUNTIF(Crops!$B$6:$B$65,C1032)=0,"Not on Crops",IF(NOT(ISNUMBER(E1032)),"Needs the amount",IF(AND(D1032&lt;&gt;"",COUNTIF(Beds!$B$6:$B$35,D1032)=0),"Not on Beds",""))))))</f>
        <v/>
      </c>
      <c r="J1032" s="1">
        <f>IF(ISNUMBER(B1032),YEAR(B1032),"")</f>
        <v/>
      </c>
      <c r="K1032">
        <f>IF(ISNUMBER(B1032),YEAR(B1032)*100+MONTH(B1032),"")</f>
        <v/>
      </c>
      <c r="L1032">
        <f>IF(ISNUMBER(B1032),INT(B1032),0)</f>
        <v/>
      </c>
    </row>
    <row r="1033">
      <c r="A1033" s="1" t="n"/>
      <c r="B1033" s="17" t="n"/>
      <c r="C1033" s="18" t="n"/>
      <c r="D1033" s="19" t="n"/>
      <c r="E1033" s="23" t="n"/>
      <c r="F1033" s="21" t="n"/>
      <c r="G1033" s="11">
        <f>IF(C1033="","",IFERROR(INDEX(Crops!$D$6:$D$65,MATCH(C1033,Crops!$B$6:$B$65,0))&amp;"",""))</f>
        <v/>
      </c>
      <c r="H1033" s="12">
        <f>IF(OR(C1033="",NOT(ISNUMBER(E1033))),"",E1033*N(IFERROR(INDEX(Crops!$E$6:$E$65,MATCH(C1033,Crops!$B$6:$B$65,0)),0)))</f>
        <v/>
      </c>
      <c r="I1033" s="11">
        <f>IF(AND(C1033="",E1033=""),"",IF(NOT(ISNUMBER(B1033)),"Needs a date",IF(C1033="","Needs a crop",IF(COUNTIF(Crops!$B$6:$B$65,C1033)=0,"Not on Crops",IF(NOT(ISNUMBER(E1033)),"Needs the amount",IF(AND(D1033&lt;&gt;"",COUNTIF(Beds!$B$6:$B$35,D1033)=0),"Not on Beds",""))))))</f>
        <v/>
      </c>
      <c r="J1033" s="1">
        <f>IF(ISNUMBER(B1033),YEAR(B1033),"")</f>
        <v/>
      </c>
      <c r="K1033">
        <f>IF(ISNUMBER(B1033),YEAR(B1033)*100+MONTH(B1033),"")</f>
        <v/>
      </c>
      <c r="L1033">
        <f>IF(ISNUMBER(B1033),INT(B1033),0)</f>
        <v/>
      </c>
    </row>
    <row r="1034">
      <c r="A1034" s="1" t="n"/>
      <c r="B1034" s="17" t="n"/>
      <c r="C1034" s="18" t="n"/>
      <c r="D1034" s="19" t="n"/>
      <c r="E1034" s="23" t="n"/>
      <c r="F1034" s="21" t="n"/>
      <c r="G1034" s="11">
        <f>IF(C1034="","",IFERROR(INDEX(Crops!$D$6:$D$65,MATCH(C1034,Crops!$B$6:$B$65,0))&amp;"",""))</f>
        <v/>
      </c>
      <c r="H1034" s="12">
        <f>IF(OR(C1034="",NOT(ISNUMBER(E1034))),"",E1034*N(IFERROR(INDEX(Crops!$E$6:$E$65,MATCH(C1034,Crops!$B$6:$B$65,0)),0)))</f>
        <v/>
      </c>
      <c r="I1034" s="11">
        <f>IF(AND(C1034="",E1034=""),"",IF(NOT(ISNUMBER(B1034)),"Needs a date",IF(C1034="","Needs a crop",IF(COUNTIF(Crops!$B$6:$B$65,C1034)=0,"Not on Crops",IF(NOT(ISNUMBER(E1034)),"Needs the amount",IF(AND(D1034&lt;&gt;"",COUNTIF(Beds!$B$6:$B$35,D1034)=0),"Not on Beds",""))))))</f>
        <v/>
      </c>
      <c r="J1034" s="1">
        <f>IF(ISNUMBER(B1034),YEAR(B1034),"")</f>
        <v/>
      </c>
      <c r="K1034">
        <f>IF(ISNUMBER(B1034),YEAR(B1034)*100+MONTH(B1034),"")</f>
        <v/>
      </c>
      <c r="L1034">
        <f>IF(ISNUMBER(B1034),INT(B1034),0)</f>
        <v/>
      </c>
    </row>
    <row r="1035">
      <c r="A1035" s="1" t="n"/>
      <c r="B1035" s="17" t="n"/>
      <c r="C1035" s="18" t="n"/>
      <c r="D1035" s="19" t="n"/>
      <c r="E1035" s="23" t="n"/>
      <c r="F1035" s="21" t="n"/>
      <c r="G1035" s="11">
        <f>IF(C1035="","",IFERROR(INDEX(Crops!$D$6:$D$65,MATCH(C1035,Crops!$B$6:$B$65,0))&amp;"",""))</f>
        <v/>
      </c>
      <c r="H1035" s="12">
        <f>IF(OR(C1035="",NOT(ISNUMBER(E1035))),"",E1035*N(IFERROR(INDEX(Crops!$E$6:$E$65,MATCH(C1035,Crops!$B$6:$B$65,0)),0)))</f>
        <v/>
      </c>
      <c r="I1035" s="11">
        <f>IF(AND(C1035="",E1035=""),"",IF(NOT(ISNUMBER(B1035)),"Needs a date",IF(C1035="","Needs a crop",IF(COUNTIF(Crops!$B$6:$B$65,C1035)=0,"Not on Crops",IF(NOT(ISNUMBER(E1035)),"Needs the amount",IF(AND(D1035&lt;&gt;"",COUNTIF(Beds!$B$6:$B$35,D1035)=0),"Not on Beds",""))))))</f>
        <v/>
      </c>
      <c r="J1035" s="1">
        <f>IF(ISNUMBER(B1035),YEAR(B1035),"")</f>
        <v/>
      </c>
      <c r="K1035">
        <f>IF(ISNUMBER(B1035),YEAR(B1035)*100+MONTH(B1035),"")</f>
        <v/>
      </c>
      <c r="L1035">
        <f>IF(ISNUMBER(B1035),INT(B1035),0)</f>
        <v/>
      </c>
    </row>
    <row r="1036">
      <c r="A1036" s="1" t="n"/>
      <c r="B1036" s="17" t="n"/>
      <c r="C1036" s="18" t="n"/>
      <c r="D1036" s="19" t="n"/>
      <c r="E1036" s="23" t="n"/>
      <c r="F1036" s="21" t="n"/>
      <c r="G1036" s="11">
        <f>IF(C1036="","",IFERROR(INDEX(Crops!$D$6:$D$65,MATCH(C1036,Crops!$B$6:$B$65,0))&amp;"",""))</f>
        <v/>
      </c>
      <c r="H1036" s="12">
        <f>IF(OR(C1036="",NOT(ISNUMBER(E1036))),"",E1036*N(IFERROR(INDEX(Crops!$E$6:$E$65,MATCH(C1036,Crops!$B$6:$B$65,0)),0)))</f>
        <v/>
      </c>
      <c r="I1036" s="11">
        <f>IF(AND(C1036="",E1036=""),"",IF(NOT(ISNUMBER(B1036)),"Needs a date",IF(C1036="","Needs a crop",IF(COUNTIF(Crops!$B$6:$B$65,C1036)=0,"Not on Crops",IF(NOT(ISNUMBER(E1036)),"Needs the amount",IF(AND(D1036&lt;&gt;"",COUNTIF(Beds!$B$6:$B$35,D1036)=0),"Not on Beds",""))))))</f>
        <v/>
      </c>
      <c r="J1036" s="1">
        <f>IF(ISNUMBER(B1036),YEAR(B1036),"")</f>
        <v/>
      </c>
      <c r="K1036">
        <f>IF(ISNUMBER(B1036),YEAR(B1036)*100+MONTH(B1036),"")</f>
        <v/>
      </c>
      <c r="L1036">
        <f>IF(ISNUMBER(B1036),INT(B1036),0)</f>
        <v/>
      </c>
    </row>
    <row r="1037">
      <c r="A1037" s="1" t="n"/>
      <c r="B1037" s="17" t="n"/>
      <c r="C1037" s="18" t="n"/>
      <c r="D1037" s="19" t="n"/>
      <c r="E1037" s="23" t="n"/>
      <c r="F1037" s="21" t="n"/>
      <c r="G1037" s="11">
        <f>IF(C1037="","",IFERROR(INDEX(Crops!$D$6:$D$65,MATCH(C1037,Crops!$B$6:$B$65,0))&amp;"",""))</f>
        <v/>
      </c>
      <c r="H1037" s="12">
        <f>IF(OR(C1037="",NOT(ISNUMBER(E1037))),"",E1037*N(IFERROR(INDEX(Crops!$E$6:$E$65,MATCH(C1037,Crops!$B$6:$B$65,0)),0)))</f>
        <v/>
      </c>
      <c r="I1037" s="11">
        <f>IF(AND(C1037="",E1037=""),"",IF(NOT(ISNUMBER(B1037)),"Needs a date",IF(C1037="","Needs a crop",IF(COUNTIF(Crops!$B$6:$B$65,C1037)=0,"Not on Crops",IF(NOT(ISNUMBER(E1037)),"Needs the amount",IF(AND(D1037&lt;&gt;"",COUNTIF(Beds!$B$6:$B$35,D1037)=0),"Not on Beds",""))))))</f>
        <v/>
      </c>
      <c r="J1037" s="1">
        <f>IF(ISNUMBER(B1037),YEAR(B1037),"")</f>
        <v/>
      </c>
      <c r="K1037">
        <f>IF(ISNUMBER(B1037),YEAR(B1037)*100+MONTH(B1037),"")</f>
        <v/>
      </c>
      <c r="L1037">
        <f>IF(ISNUMBER(B1037),INT(B1037),0)</f>
        <v/>
      </c>
    </row>
    <row r="1038">
      <c r="A1038" s="1" t="n"/>
      <c r="B1038" s="17" t="n"/>
      <c r="C1038" s="18" t="n"/>
      <c r="D1038" s="19" t="n"/>
      <c r="E1038" s="23" t="n"/>
      <c r="F1038" s="21" t="n"/>
      <c r="G1038" s="11">
        <f>IF(C1038="","",IFERROR(INDEX(Crops!$D$6:$D$65,MATCH(C1038,Crops!$B$6:$B$65,0))&amp;"",""))</f>
        <v/>
      </c>
      <c r="H1038" s="12">
        <f>IF(OR(C1038="",NOT(ISNUMBER(E1038))),"",E1038*N(IFERROR(INDEX(Crops!$E$6:$E$65,MATCH(C1038,Crops!$B$6:$B$65,0)),0)))</f>
        <v/>
      </c>
      <c r="I1038" s="11">
        <f>IF(AND(C1038="",E1038=""),"",IF(NOT(ISNUMBER(B1038)),"Needs a date",IF(C1038="","Needs a crop",IF(COUNTIF(Crops!$B$6:$B$65,C1038)=0,"Not on Crops",IF(NOT(ISNUMBER(E1038)),"Needs the amount",IF(AND(D1038&lt;&gt;"",COUNTIF(Beds!$B$6:$B$35,D1038)=0),"Not on Beds",""))))))</f>
        <v/>
      </c>
      <c r="J1038" s="1">
        <f>IF(ISNUMBER(B1038),YEAR(B1038),"")</f>
        <v/>
      </c>
      <c r="K1038">
        <f>IF(ISNUMBER(B1038),YEAR(B1038)*100+MONTH(B1038),"")</f>
        <v/>
      </c>
      <c r="L1038">
        <f>IF(ISNUMBER(B1038),INT(B1038),0)</f>
        <v/>
      </c>
    </row>
    <row r="1039">
      <c r="A1039" s="1" t="n"/>
      <c r="B1039" s="17" t="n"/>
      <c r="C1039" s="18" t="n"/>
      <c r="D1039" s="19" t="n"/>
      <c r="E1039" s="23" t="n"/>
      <c r="F1039" s="21" t="n"/>
      <c r="G1039" s="11">
        <f>IF(C1039="","",IFERROR(INDEX(Crops!$D$6:$D$65,MATCH(C1039,Crops!$B$6:$B$65,0))&amp;"",""))</f>
        <v/>
      </c>
      <c r="H1039" s="12">
        <f>IF(OR(C1039="",NOT(ISNUMBER(E1039))),"",E1039*N(IFERROR(INDEX(Crops!$E$6:$E$65,MATCH(C1039,Crops!$B$6:$B$65,0)),0)))</f>
        <v/>
      </c>
      <c r="I1039" s="11">
        <f>IF(AND(C1039="",E1039=""),"",IF(NOT(ISNUMBER(B1039)),"Needs a date",IF(C1039="","Needs a crop",IF(COUNTIF(Crops!$B$6:$B$65,C1039)=0,"Not on Crops",IF(NOT(ISNUMBER(E1039)),"Needs the amount",IF(AND(D1039&lt;&gt;"",COUNTIF(Beds!$B$6:$B$35,D1039)=0),"Not on Beds",""))))))</f>
        <v/>
      </c>
      <c r="J1039" s="1">
        <f>IF(ISNUMBER(B1039),YEAR(B1039),"")</f>
        <v/>
      </c>
      <c r="K1039">
        <f>IF(ISNUMBER(B1039),YEAR(B1039)*100+MONTH(B1039),"")</f>
        <v/>
      </c>
      <c r="L1039">
        <f>IF(ISNUMBER(B1039),INT(B1039),0)</f>
        <v/>
      </c>
    </row>
    <row r="1040">
      <c r="A1040" s="1" t="n"/>
      <c r="B1040" s="17" t="n"/>
      <c r="C1040" s="18" t="n"/>
      <c r="D1040" s="19" t="n"/>
      <c r="E1040" s="23" t="n"/>
      <c r="F1040" s="21" t="n"/>
      <c r="G1040" s="11">
        <f>IF(C1040="","",IFERROR(INDEX(Crops!$D$6:$D$65,MATCH(C1040,Crops!$B$6:$B$65,0))&amp;"",""))</f>
        <v/>
      </c>
      <c r="H1040" s="12">
        <f>IF(OR(C1040="",NOT(ISNUMBER(E1040))),"",E1040*N(IFERROR(INDEX(Crops!$E$6:$E$65,MATCH(C1040,Crops!$B$6:$B$65,0)),0)))</f>
        <v/>
      </c>
      <c r="I1040" s="11">
        <f>IF(AND(C1040="",E1040=""),"",IF(NOT(ISNUMBER(B1040)),"Needs a date",IF(C1040="","Needs a crop",IF(COUNTIF(Crops!$B$6:$B$65,C1040)=0,"Not on Crops",IF(NOT(ISNUMBER(E1040)),"Needs the amount",IF(AND(D1040&lt;&gt;"",COUNTIF(Beds!$B$6:$B$35,D1040)=0),"Not on Beds",""))))))</f>
        <v/>
      </c>
      <c r="J1040" s="1">
        <f>IF(ISNUMBER(B1040),YEAR(B1040),"")</f>
        <v/>
      </c>
      <c r="K1040">
        <f>IF(ISNUMBER(B1040),YEAR(B1040)*100+MONTH(B1040),"")</f>
        <v/>
      </c>
      <c r="L1040">
        <f>IF(ISNUMBER(B1040),INT(B1040),0)</f>
        <v/>
      </c>
    </row>
    <row r="1041">
      <c r="A1041" s="1" t="n"/>
      <c r="B1041" s="17" t="n"/>
      <c r="C1041" s="18" t="n"/>
      <c r="D1041" s="19" t="n"/>
      <c r="E1041" s="23" t="n"/>
      <c r="F1041" s="21" t="n"/>
      <c r="G1041" s="11">
        <f>IF(C1041="","",IFERROR(INDEX(Crops!$D$6:$D$65,MATCH(C1041,Crops!$B$6:$B$65,0))&amp;"",""))</f>
        <v/>
      </c>
      <c r="H1041" s="12">
        <f>IF(OR(C1041="",NOT(ISNUMBER(E1041))),"",E1041*N(IFERROR(INDEX(Crops!$E$6:$E$65,MATCH(C1041,Crops!$B$6:$B$65,0)),0)))</f>
        <v/>
      </c>
      <c r="I1041" s="11">
        <f>IF(AND(C1041="",E1041=""),"",IF(NOT(ISNUMBER(B1041)),"Needs a date",IF(C1041="","Needs a crop",IF(COUNTIF(Crops!$B$6:$B$65,C1041)=0,"Not on Crops",IF(NOT(ISNUMBER(E1041)),"Needs the amount",IF(AND(D1041&lt;&gt;"",COUNTIF(Beds!$B$6:$B$35,D1041)=0),"Not on Beds",""))))))</f>
        <v/>
      </c>
      <c r="J1041" s="1">
        <f>IF(ISNUMBER(B1041),YEAR(B1041),"")</f>
        <v/>
      </c>
      <c r="K1041">
        <f>IF(ISNUMBER(B1041),YEAR(B1041)*100+MONTH(B1041),"")</f>
        <v/>
      </c>
      <c r="L1041">
        <f>IF(ISNUMBER(B1041),INT(B1041),0)</f>
        <v/>
      </c>
    </row>
    <row r="1042">
      <c r="A1042" s="1" t="n"/>
      <c r="B1042" s="17" t="n"/>
      <c r="C1042" s="18" t="n"/>
      <c r="D1042" s="19" t="n"/>
      <c r="E1042" s="23" t="n"/>
      <c r="F1042" s="21" t="n"/>
      <c r="G1042" s="11">
        <f>IF(C1042="","",IFERROR(INDEX(Crops!$D$6:$D$65,MATCH(C1042,Crops!$B$6:$B$65,0))&amp;"",""))</f>
        <v/>
      </c>
      <c r="H1042" s="12">
        <f>IF(OR(C1042="",NOT(ISNUMBER(E1042))),"",E1042*N(IFERROR(INDEX(Crops!$E$6:$E$65,MATCH(C1042,Crops!$B$6:$B$65,0)),0)))</f>
        <v/>
      </c>
      <c r="I1042" s="11">
        <f>IF(AND(C1042="",E1042=""),"",IF(NOT(ISNUMBER(B1042)),"Needs a date",IF(C1042="","Needs a crop",IF(COUNTIF(Crops!$B$6:$B$65,C1042)=0,"Not on Crops",IF(NOT(ISNUMBER(E1042)),"Needs the amount",IF(AND(D1042&lt;&gt;"",COUNTIF(Beds!$B$6:$B$35,D1042)=0),"Not on Beds",""))))))</f>
        <v/>
      </c>
      <c r="J1042" s="1">
        <f>IF(ISNUMBER(B1042),YEAR(B1042),"")</f>
        <v/>
      </c>
      <c r="K1042">
        <f>IF(ISNUMBER(B1042),YEAR(B1042)*100+MONTH(B1042),"")</f>
        <v/>
      </c>
      <c r="L1042">
        <f>IF(ISNUMBER(B1042),INT(B1042),0)</f>
        <v/>
      </c>
    </row>
    <row r="1043">
      <c r="A1043" s="1" t="n"/>
      <c r="B1043" s="17" t="n"/>
      <c r="C1043" s="18" t="n"/>
      <c r="D1043" s="19" t="n"/>
      <c r="E1043" s="23" t="n"/>
      <c r="F1043" s="21" t="n"/>
      <c r="G1043" s="11">
        <f>IF(C1043="","",IFERROR(INDEX(Crops!$D$6:$D$65,MATCH(C1043,Crops!$B$6:$B$65,0))&amp;"",""))</f>
        <v/>
      </c>
      <c r="H1043" s="12">
        <f>IF(OR(C1043="",NOT(ISNUMBER(E1043))),"",E1043*N(IFERROR(INDEX(Crops!$E$6:$E$65,MATCH(C1043,Crops!$B$6:$B$65,0)),0)))</f>
        <v/>
      </c>
      <c r="I1043" s="11">
        <f>IF(AND(C1043="",E1043=""),"",IF(NOT(ISNUMBER(B1043)),"Needs a date",IF(C1043="","Needs a crop",IF(COUNTIF(Crops!$B$6:$B$65,C1043)=0,"Not on Crops",IF(NOT(ISNUMBER(E1043)),"Needs the amount",IF(AND(D1043&lt;&gt;"",COUNTIF(Beds!$B$6:$B$35,D1043)=0),"Not on Beds",""))))))</f>
        <v/>
      </c>
      <c r="J1043" s="1">
        <f>IF(ISNUMBER(B1043),YEAR(B1043),"")</f>
        <v/>
      </c>
      <c r="K1043">
        <f>IF(ISNUMBER(B1043),YEAR(B1043)*100+MONTH(B1043),"")</f>
        <v/>
      </c>
      <c r="L1043">
        <f>IF(ISNUMBER(B1043),INT(B1043),0)</f>
        <v/>
      </c>
    </row>
    <row r="1044">
      <c r="A1044" s="1" t="n"/>
      <c r="B1044" s="17" t="n"/>
      <c r="C1044" s="18" t="n"/>
      <c r="D1044" s="19" t="n"/>
      <c r="E1044" s="23" t="n"/>
      <c r="F1044" s="21" t="n"/>
      <c r="G1044" s="11">
        <f>IF(C1044="","",IFERROR(INDEX(Crops!$D$6:$D$65,MATCH(C1044,Crops!$B$6:$B$65,0))&amp;"",""))</f>
        <v/>
      </c>
      <c r="H1044" s="12">
        <f>IF(OR(C1044="",NOT(ISNUMBER(E1044))),"",E1044*N(IFERROR(INDEX(Crops!$E$6:$E$65,MATCH(C1044,Crops!$B$6:$B$65,0)),0)))</f>
        <v/>
      </c>
      <c r="I1044" s="11">
        <f>IF(AND(C1044="",E1044=""),"",IF(NOT(ISNUMBER(B1044)),"Needs a date",IF(C1044="","Needs a crop",IF(COUNTIF(Crops!$B$6:$B$65,C1044)=0,"Not on Crops",IF(NOT(ISNUMBER(E1044)),"Needs the amount",IF(AND(D1044&lt;&gt;"",COUNTIF(Beds!$B$6:$B$35,D1044)=0),"Not on Beds",""))))))</f>
        <v/>
      </c>
      <c r="J1044" s="1">
        <f>IF(ISNUMBER(B1044),YEAR(B1044),"")</f>
        <v/>
      </c>
      <c r="K1044">
        <f>IF(ISNUMBER(B1044),YEAR(B1044)*100+MONTH(B1044),"")</f>
        <v/>
      </c>
      <c r="L1044">
        <f>IF(ISNUMBER(B1044),INT(B1044),0)</f>
        <v/>
      </c>
    </row>
    <row r="1045">
      <c r="A1045" s="1" t="n"/>
      <c r="B1045" s="17" t="n"/>
      <c r="C1045" s="18" t="n"/>
      <c r="D1045" s="19" t="n"/>
      <c r="E1045" s="23" t="n"/>
      <c r="F1045" s="21" t="n"/>
      <c r="G1045" s="11">
        <f>IF(C1045="","",IFERROR(INDEX(Crops!$D$6:$D$65,MATCH(C1045,Crops!$B$6:$B$65,0))&amp;"",""))</f>
        <v/>
      </c>
      <c r="H1045" s="12">
        <f>IF(OR(C1045="",NOT(ISNUMBER(E1045))),"",E1045*N(IFERROR(INDEX(Crops!$E$6:$E$65,MATCH(C1045,Crops!$B$6:$B$65,0)),0)))</f>
        <v/>
      </c>
      <c r="I1045" s="11">
        <f>IF(AND(C1045="",E1045=""),"",IF(NOT(ISNUMBER(B1045)),"Needs a date",IF(C1045="","Needs a crop",IF(COUNTIF(Crops!$B$6:$B$65,C1045)=0,"Not on Crops",IF(NOT(ISNUMBER(E1045)),"Needs the amount",IF(AND(D1045&lt;&gt;"",COUNTIF(Beds!$B$6:$B$35,D1045)=0),"Not on Beds",""))))))</f>
        <v/>
      </c>
      <c r="J1045" s="1">
        <f>IF(ISNUMBER(B1045),YEAR(B1045),"")</f>
        <v/>
      </c>
      <c r="K1045">
        <f>IF(ISNUMBER(B1045),YEAR(B1045)*100+MONTH(B1045),"")</f>
        <v/>
      </c>
      <c r="L1045">
        <f>IF(ISNUMBER(B1045),INT(B1045),0)</f>
        <v/>
      </c>
    </row>
    <row r="1046">
      <c r="A1046" s="1" t="n"/>
      <c r="B1046" s="17" t="n"/>
      <c r="C1046" s="18" t="n"/>
      <c r="D1046" s="19" t="n"/>
      <c r="E1046" s="23" t="n"/>
      <c r="F1046" s="21" t="n"/>
      <c r="G1046" s="11">
        <f>IF(C1046="","",IFERROR(INDEX(Crops!$D$6:$D$65,MATCH(C1046,Crops!$B$6:$B$65,0))&amp;"",""))</f>
        <v/>
      </c>
      <c r="H1046" s="12">
        <f>IF(OR(C1046="",NOT(ISNUMBER(E1046))),"",E1046*N(IFERROR(INDEX(Crops!$E$6:$E$65,MATCH(C1046,Crops!$B$6:$B$65,0)),0)))</f>
        <v/>
      </c>
      <c r="I1046" s="11">
        <f>IF(AND(C1046="",E1046=""),"",IF(NOT(ISNUMBER(B1046)),"Needs a date",IF(C1046="","Needs a crop",IF(COUNTIF(Crops!$B$6:$B$65,C1046)=0,"Not on Crops",IF(NOT(ISNUMBER(E1046)),"Needs the amount",IF(AND(D1046&lt;&gt;"",COUNTIF(Beds!$B$6:$B$35,D1046)=0),"Not on Beds",""))))))</f>
        <v/>
      </c>
      <c r="J1046" s="1">
        <f>IF(ISNUMBER(B1046),YEAR(B1046),"")</f>
        <v/>
      </c>
      <c r="K1046">
        <f>IF(ISNUMBER(B1046),YEAR(B1046)*100+MONTH(B1046),"")</f>
        <v/>
      </c>
      <c r="L1046">
        <f>IF(ISNUMBER(B1046),INT(B1046),0)</f>
        <v/>
      </c>
    </row>
    <row r="1047">
      <c r="A1047" s="1" t="n"/>
      <c r="B1047" s="17" t="n"/>
      <c r="C1047" s="18" t="n"/>
      <c r="D1047" s="19" t="n"/>
      <c r="E1047" s="23" t="n"/>
      <c r="F1047" s="21" t="n"/>
      <c r="G1047" s="11">
        <f>IF(C1047="","",IFERROR(INDEX(Crops!$D$6:$D$65,MATCH(C1047,Crops!$B$6:$B$65,0))&amp;"",""))</f>
        <v/>
      </c>
      <c r="H1047" s="12">
        <f>IF(OR(C1047="",NOT(ISNUMBER(E1047))),"",E1047*N(IFERROR(INDEX(Crops!$E$6:$E$65,MATCH(C1047,Crops!$B$6:$B$65,0)),0)))</f>
        <v/>
      </c>
      <c r="I1047" s="11">
        <f>IF(AND(C1047="",E1047=""),"",IF(NOT(ISNUMBER(B1047)),"Needs a date",IF(C1047="","Needs a crop",IF(COUNTIF(Crops!$B$6:$B$65,C1047)=0,"Not on Crops",IF(NOT(ISNUMBER(E1047)),"Needs the amount",IF(AND(D1047&lt;&gt;"",COUNTIF(Beds!$B$6:$B$35,D1047)=0),"Not on Beds",""))))))</f>
        <v/>
      </c>
      <c r="J1047" s="1">
        <f>IF(ISNUMBER(B1047),YEAR(B1047),"")</f>
        <v/>
      </c>
      <c r="K1047">
        <f>IF(ISNUMBER(B1047),YEAR(B1047)*100+MONTH(B1047),"")</f>
        <v/>
      </c>
      <c r="L1047">
        <f>IF(ISNUMBER(B1047),INT(B1047),0)</f>
        <v/>
      </c>
    </row>
    <row r="1048">
      <c r="A1048" s="1" t="n"/>
      <c r="B1048" s="17" t="n"/>
      <c r="C1048" s="18" t="n"/>
      <c r="D1048" s="19" t="n"/>
      <c r="E1048" s="23" t="n"/>
      <c r="F1048" s="21" t="n"/>
      <c r="G1048" s="11">
        <f>IF(C1048="","",IFERROR(INDEX(Crops!$D$6:$D$65,MATCH(C1048,Crops!$B$6:$B$65,0))&amp;"",""))</f>
        <v/>
      </c>
      <c r="H1048" s="12">
        <f>IF(OR(C1048="",NOT(ISNUMBER(E1048))),"",E1048*N(IFERROR(INDEX(Crops!$E$6:$E$65,MATCH(C1048,Crops!$B$6:$B$65,0)),0)))</f>
        <v/>
      </c>
      <c r="I1048" s="11">
        <f>IF(AND(C1048="",E1048=""),"",IF(NOT(ISNUMBER(B1048)),"Needs a date",IF(C1048="","Needs a crop",IF(COUNTIF(Crops!$B$6:$B$65,C1048)=0,"Not on Crops",IF(NOT(ISNUMBER(E1048)),"Needs the amount",IF(AND(D1048&lt;&gt;"",COUNTIF(Beds!$B$6:$B$35,D1048)=0),"Not on Beds",""))))))</f>
        <v/>
      </c>
      <c r="J1048" s="1">
        <f>IF(ISNUMBER(B1048),YEAR(B1048),"")</f>
        <v/>
      </c>
      <c r="K1048">
        <f>IF(ISNUMBER(B1048),YEAR(B1048)*100+MONTH(B1048),"")</f>
        <v/>
      </c>
      <c r="L1048">
        <f>IF(ISNUMBER(B1048),INT(B1048),0)</f>
        <v/>
      </c>
    </row>
    <row r="1049">
      <c r="A1049" s="1" t="n"/>
      <c r="B1049" s="17" t="n"/>
      <c r="C1049" s="18" t="n"/>
      <c r="D1049" s="19" t="n"/>
      <c r="E1049" s="23" t="n"/>
      <c r="F1049" s="21" t="n"/>
      <c r="G1049" s="11">
        <f>IF(C1049="","",IFERROR(INDEX(Crops!$D$6:$D$65,MATCH(C1049,Crops!$B$6:$B$65,0))&amp;"",""))</f>
        <v/>
      </c>
      <c r="H1049" s="12">
        <f>IF(OR(C1049="",NOT(ISNUMBER(E1049))),"",E1049*N(IFERROR(INDEX(Crops!$E$6:$E$65,MATCH(C1049,Crops!$B$6:$B$65,0)),0)))</f>
        <v/>
      </c>
      <c r="I1049" s="11">
        <f>IF(AND(C1049="",E1049=""),"",IF(NOT(ISNUMBER(B1049)),"Needs a date",IF(C1049="","Needs a crop",IF(COUNTIF(Crops!$B$6:$B$65,C1049)=0,"Not on Crops",IF(NOT(ISNUMBER(E1049)),"Needs the amount",IF(AND(D1049&lt;&gt;"",COUNTIF(Beds!$B$6:$B$35,D1049)=0),"Not on Beds",""))))))</f>
        <v/>
      </c>
      <c r="J1049" s="1">
        <f>IF(ISNUMBER(B1049),YEAR(B1049),"")</f>
        <v/>
      </c>
      <c r="K1049">
        <f>IF(ISNUMBER(B1049),YEAR(B1049)*100+MONTH(B1049),"")</f>
        <v/>
      </c>
      <c r="L1049">
        <f>IF(ISNUMBER(B1049),INT(B1049),0)</f>
        <v/>
      </c>
    </row>
    <row r="1050">
      <c r="A1050" s="1" t="n"/>
      <c r="B1050" s="17" t="n"/>
      <c r="C1050" s="18" t="n"/>
      <c r="D1050" s="19" t="n"/>
      <c r="E1050" s="23" t="n"/>
      <c r="F1050" s="21" t="n"/>
      <c r="G1050" s="11">
        <f>IF(C1050="","",IFERROR(INDEX(Crops!$D$6:$D$65,MATCH(C1050,Crops!$B$6:$B$65,0))&amp;"",""))</f>
        <v/>
      </c>
      <c r="H1050" s="12">
        <f>IF(OR(C1050="",NOT(ISNUMBER(E1050))),"",E1050*N(IFERROR(INDEX(Crops!$E$6:$E$65,MATCH(C1050,Crops!$B$6:$B$65,0)),0)))</f>
        <v/>
      </c>
      <c r="I1050" s="11">
        <f>IF(AND(C1050="",E1050=""),"",IF(NOT(ISNUMBER(B1050)),"Needs a date",IF(C1050="","Needs a crop",IF(COUNTIF(Crops!$B$6:$B$65,C1050)=0,"Not on Crops",IF(NOT(ISNUMBER(E1050)),"Needs the amount",IF(AND(D1050&lt;&gt;"",COUNTIF(Beds!$B$6:$B$35,D1050)=0),"Not on Beds",""))))))</f>
        <v/>
      </c>
      <c r="J1050" s="1">
        <f>IF(ISNUMBER(B1050),YEAR(B1050),"")</f>
        <v/>
      </c>
      <c r="K1050">
        <f>IF(ISNUMBER(B1050),YEAR(B1050)*100+MONTH(B1050),"")</f>
        <v/>
      </c>
      <c r="L1050">
        <f>IF(ISNUMBER(B1050),INT(B1050),0)</f>
        <v/>
      </c>
    </row>
    <row r="1051">
      <c r="A1051" s="1" t="n"/>
      <c r="B1051" s="17" t="n"/>
      <c r="C1051" s="18" t="n"/>
      <c r="D1051" s="19" t="n"/>
      <c r="E1051" s="23" t="n"/>
      <c r="F1051" s="21" t="n"/>
      <c r="G1051" s="11">
        <f>IF(C1051="","",IFERROR(INDEX(Crops!$D$6:$D$65,MATCH(C1051,Crops!$B$6:$B$65,0))&amp;"",""))</f>
        <v/>
      </c>
      <c r="H1051" s="12">
        <f>IF(OR(C1051="",NOT(ISNUMBER(E1051))),"",E1051*N(IFERROR(INDEX(Crops!$E$6:$E$65,MATCH(C1051,Crops!$B$6:$B$65,0)),0)))</f>
        <v/>
      </c>
      <c r="I1051" s="11">
        <f>IF(AND(C1051="",E1051=""),"",IF(NOT(ISNUMBER(B1051)),"Needs a date",IF(C1051="","Needs a crop",IF(COUNTIF(Crops!$B$6:$B$65,C1051)=0,"Not on Crops",IF(NOT(ISNUMBER(E1051)),"Needs the amount",IF(AND(D1051&lt;&gt;"",COUNTIF(Beds!$B$6:$B$35,D1051)=0),"Not on Beds",""))))))</f>
        <v/>
      </c>
      <c r="J1051" s="1">
        <f>IF(ISNUMBER(B1051),YEAR(B1051),"")</f>
        <v/>
      </c>
      <c r="K1051">
        <f>IF(ISNUMBER(B1051),YEAR(B1051)*100+MONTH(B1051),"")</f>
        <v/>
      </c>
      <c r="L1051">
        <f>IF(ISNUMBER(B1051),INT(B1051),0)</f>
        <v/>
      </c>
    </row>
    <row r="1052">
      <c r="A1052" s="1" t="n"/>
      <c r="B1052" s="17" t="n"/>
      <c r="C1052" s="18" t="n"/>
      <c r="D1052" s="19" t="n"/>
      <c r="E1052" s="23" t="n"/>
      <c r="F1052" s="21" t="n"/>
      <c r="G1052" s="11">
        <f>IF(C1052="","",IFERROR(INDEX(Crops!$D$6:$D$65,MATCH(C1052,Crops!$B$6:$B$65,0))&amp;"",""))</f>
        <v/>
      </c>
      <c r="H1052" s="12">
        <f>IF(OR(C1052="",NOT(ISNUMBER(E1052))),"",E1052*N(IFERROR(INDEX(Crops!$E$6:$E$65,MATCH(C1052,Crops!$B$6:$B$65,0)),0)))</f>
        <v/>
      </c>
      <c r="I1052" s="11">
        <f>IF(AND(C1052="",E1052=""),"",IF(NOT(ISNUMBER(B1052)),"Needs a date",IF(C1052="","Needs a crop",IF(COUNTIF(Crops!$B$6:$B$65,C1052)=0,"Not on Crops",IF(NOT(ISNUMBER(E1052)),"Needs the amount",IF(AND(D1052&lt;&gt;"",COUNTIF(Beds!$B$6:$B$35,D1052)=0),"Not on Beds",""))))))</f>
        <v/>
      </c>
      <c r="J1052" s="1">
        <f>IF(ISNUMBER(B1052),YEAR(B1052),"")</f>
        <v/>
      </c>
      <c r="K1052">
        <f>IF(ISNUMBER(B1052),YEAR(B1052)*100+MONTH(B1052),"")</f>
        <v/>
      </c>
      <c r="L1052">
        <f>IF(ISNUMBER(B1052),INT(B1052),0)</f>
        <v/>
      </c>
    </row>
    <row r="1053">
      <c r="A1053" s="1" t="n"/>
      <c r="B1053" s="17" t="n"/>
      <c r="C1053" s="18" t="n"/>
      <c r="D1053" s="19" t="n"/>
      <c r="E1053" s="23" t="n"/>
      <c r="F1053" s="21" t="n"/>
      <c r="G1053" s="11">
        <f>IF(C1053="","",IFERROR(INDEX(Crops!$D$6:$D$65,MATCH(C1053,Crops!$B$6:$B$65,0))&amp;"",""))</f>
        <v/>
      </c>
      <c r="H1053" s="12">
        <f>IF(OR(C1053="",NOT(ISNUMBER(E1053))),"",E1053*N(IFERROR(INDEX(Crops!$E$6:$E$65,MATCH(C1053,Crops!$B$6:$B$65,0)),0)))</f>
        <v/>
      </c>
      <c r="I1053" s="11">
        <f>IF(AND(C1053="",E1053=""),"",IF(NOT(ISNUMBER(B1053)),"Needs a date",IF(C1053="","Needs a crop",IF(COUNTIF(Crops!$B$6:$B$65,C1053)=0,"Not on Crops",IF(NOT(ISNUMBER(E1053)),"Needs the amount",IF(AND(D1053&lt;&gt;"",COUNTIF(Beds!$B$6:$B$35,D1053)=0),"Not on Beds",""))))))</f>
        <v/>
      </c>
      <c r="J1053" s="1">
        <f>IF(ISNUMBER(B1053),YEAR(B1053),"")</f>
        <v/>
      </c>
      <c r="K1053">
        <f>IF(ISNUMBER(B1053),YEAR(B1053)*100+MONTH(B1053),"")</f>
        <v/>
      </c>
      <c r="L1053">
        <f>IF(ISNUMBER(B1053),INT(B1053),0)</f>
        <v/>
      </c>
    </row>
    <row r="1054">
      <c r="A1054" s="1" t="n"/>
      <c r="B1054" s="17" t="n"/>
      <c r="C1054" s="18" t="n"/>
      <c r="D1054" s="19" t="n"/>
      <c r="E1054" s="23" t="n"/>
      <c r="F1054" s="21" t="n"/>
      <c r="G1054" s="11">
        <f>IF(C1054="","",IFERROR(INDEX(Crops!$D$6:$D$65,MATCH(C1054,Crops!$B$6:$B$65,0))&amp;"",""))</f>
        <v/>
      </c>
      <c r="H1054" s="12">
        <f>IF(OR(C1054="",NOT(ISNUMBER(E1054))),"",E1054*N(IFERROR(INDEX(Crops!$E$6:$E$65,MATCH(C1054,Crops!$B$6:$B$65,0)),0)))</f>
        <v/>
      </c>
      <c r="I1054" s="11">
        <f>IF(AND(C1054="",E1054=""),"",IF(NOT(ISNUMBER(B1054)),"Needs a date",IF(C1054="","Needs a crop",IF(COUNTIF(Crops!$B$6:$B$65,C1054)=0,"Not on Crops",IF(NOT(ISNUMBER(E1054)),"Needs the amount",IF(AND(D1054&lt;&gt;"",COUNTIF(Beds!$B$6:$B$35,D1054)=0),"Not on Beds",""))))))</f>
        <v/>
      </c>
      <c r="J1054" s="1">
        <f>IF(ISNUMBER(B1054),YEAR(B1054),"")</f>
        <v/>
      </c>
      <c r="K1054">
        <f>IF(ISNUMBER(B1054),YEAR(B1054)*100+MONTH(B1054),"")</f>
        <v/>
      </c>
      <c r="L1054">
        <f>IF(ISNUMBER(B1054),INT(B1054),0)</f>
        <v/>
      </c>
    </row>
    <row r="1055">
      <c r="A1055" s="1" t="n"/>
      <c r="B1055" s="17" t="n"/>
      <c r="C1055" s="18" t="n"/>
      <c r="D1055" s="19" t="n"/>
      <c r="E1055" s="23" t="n"/>
      <c r="F1055" s="21" t="n"/>
      <c r="G1055" s="11">
        <f>IF(C1055="","",IFERROR(INDEX(Crops!$D$6:$D$65,MATCH(C1055,Crops!$B$6:$B$65,0))&amp;"",""))</f>
        <v/>
      </c>
      <c r="H1055" s="12">
        <f>IF(OR(C1055="",NOT(ISNUMBER(E1055))),"",E1055*N(IFERROR(INDEX(Crops!$E$6:$E$65,MATCH(C1055,Crops!$B$6:$B$65,0)),0)))</f>
        <v/>
      </c>
      <c r="I1055" s="11">
        <f>IF(AND(C1055="",E1055=""),"",IF(NOT(ISNUMBER(B1055)),"Needs a date",IF(C1055="","Needs a crop",IF(COUNTIF(Crops!$B$6:$B$65,C1055)=0,"Not on Crops",IF(NOT(ISNUMBER(E1055)),"Needs the amount",IF(AND(D1055&lt;&gt;"",COUNTIF(Beds!$B$6:$B$35,D1055)=0),"Not on Beds",""))))))</f>
        <v/>
      </c>
      <c r="J1055" s="1">
        <f>IF(ISNUMBER(B1055),YEAR(B1055),"")</f>
        <v/>
      </c>
      <c r="K1055">
        <f>IF(ISNUMBER(B1055),YEAR(B1055)*100+MONTH(B1055),"")</f>
        <v/>
      </c>
      <c r="L1055">
        <f>IF(ISNUMBER(B1055),INT(B1055),0)</f>
        <v/>
      </c>
    </row>
    <row r="1056">
      <c r="A1056" s="1" t="n"/>
      <c r="B1056" s="17" t="n"/>
      <c r="C1056" s="18" t="n"/>
      <c r="D1056" s="19" t="n"/>
      <c r="E1056" s="23" t="n"/>
      <c r="F1056" s="21" t="n"/>
      <c r="G1056" s="11">
        <f>IF(C1056="","",IFERROR(INDEX(Crops!$D$6:$D$65,MATCH(C1056,Crops!$B$6:$B$65,0))&amp;"",""))</f>
        <v/>
      </c>
      <c r="H1056" s="12">
        <f>IF(OR(C1056="",NOT(ISNUMBER(E1056))),"",E1056*N(IFERROR(INDEX(Crops!$E$6:$E$65,MATCH(C1056,Crops!$B$6:$B$65,0)),0)))</f>
        <v/>
      </c>
      <c r="I1056" s="11">
        <f>IF(AND(C1056="",E1056=""),"",IF(NOT(ISNUMBER(B1056)),"Needs a date",IF(C1056="","Needs a crop",IF(COUNTIF(Crops!$B$6:$B$65,C1056)=0,"Not on Crops",IF(NOT(ISNUMBER(E1056)),"Needs the amount",IF(AND(D1056&lt;&gt;"",COUNTIF(Beds!$B$6:$B$35,D1056)=0),"Not on Beds",""))))))</f>
        <v/>
      </c>
      <c r="J1056" s="1">
        <f>IF(ISNUMBER(B1056),YEAR(B1056),"")</f>
        <v/>
      </c>
      <c r="K1056">
        <f>IF(ISNUMBER(B1056),YEAR(B1056)*100+MONTH(B1056),"")</f>
        <v/>
      </c>
      <c r="L1056">
        <f>IF(ISNUMBER(B1056),INT(B1056),0)</f>
        <v/>
      </c>
    </row>
    <row r="1057">
      <c r="A1057" s="1" t="n"/>
      <c r="B1057" s="17" t="n"/>
      <c r="C1057" s="18" t="n"/>
      <c r="D1057" s="19" t="n"/>
      <c r="E1057" s="23" t="n"/>
      <c r="F1057" s="21" t="n"/>
      <c r="G1057" s="11">
        <f>IF(C1057="","",IFERROR(INDEX(Crops!$D$6:$D$65,MATCH(C1057,Crops!$B$6:$B$65,0))&amp;"",""))</f>
        <v/>
      </c>
      <c r="H1057" s="12">
        <f>IF(OR(C1057="",NOT(ISNUMBER(E1057))),"",E1057*N(IFERROR(INDEX(Crops!$E$6:$E$65,MATCH(C1057,Crops!$B$6:$B$65,0)),0)))</f>
        <v/>
      </c>
      <c r="I1057" s="11">
        <f>IF(AND(C1057="",E1057=""),"",IF(NOT(ISNUMBER(B1057)),"Needs a date",IF(C1057="","Needs a crop",IF(COUNTIF(Crops!$B$6:$B$65,C1057)=0,"Not on Crops",IF(NOT(ISNUMBER(E1057)),"Needs the amount",IF(AND(D1057&lt;&gt;"",COUNTIF(Beds!$B$6:$B$35,D1057)=0),"Not on Beds",""))))))</f>
        <v/>
      </c>
      <c r="J1057" s="1">
        <f>IF(ISNUMBER(B1057),YEAR(B1057),"")</f>
        <v/>
      </c>
      <c r="K1057">
        <f>IF(ISNUMBER(B1057),YEAR(B1057)*100+MONTH(B1057),"")</f>
        <v/>
      </c>
      <c r="L1057">
        <f>IF(ISNUMBER(B1057),INT(B1057),0)</f>
        <v/>
      </c>
    </row>
    <row r="1058">
      <c r="A1058" s="1" t="n"/>
      <c r="B1058" s="17" t="n"/>
      <c r="C1058" s="18" t="n"/>
      <c r="D1058" s="19" t="n"/>
      <c r="E1058" s="23" t="n"/>
      <c r="F1058" s="21" t="n"/>
      <c r="G1058" s="11">
        <f>IF(C1058="","",IFERROR(INDEX(Crops!$D$6:$D$65,MATCH(C1058,Crops!$B$6:$B$65,0))&amp;"",""))</f>
        <v/>
      </c>
      <c r="H1058" s="12">
        <f>IF(OR(C1058="",NOT(ISNUMBER(E1058))),"",E1058*N(IFERROR(INDEX(Crops!$E$6:$E$65,MATCH(C1058,Crops!$B$6:$B$65,0)),0)))</f>
        <v/>
      </c>
      <c r="I1058" s="11">
        <f>IF(AND(C1058="",E1058=""),"",IF(NOT(ISNUMBER(B1058)),"Needs a date",IF(C1058="","Needs a crop",IF(COUNTIF(Crops!$B$6:$B$65,C1058)=0,"Not on Crops",IF(NOT(ISNUMBER(E1058)),"Needs the amount",IF(AND(D1058&lt;&gt;"",COUNTIF(Beds!$B$6:$B$35,D1058)=0),"Not on Beds",""))))))</f>
        <v/>
      </c>
      <c r="J1058" s="1">
        <f>IF(ISNUMBER(B1058),YEAR(B1058),"")</f>
        <v/>
      </c>
      <c r="K1058">
        <f>IF(ISNUMBER(B1058),YEAR(B1058)*100+MONTH(B1058),"")</f>
        <v/>
      </c>
      <c r="L1058">
        <f>IF(ISNUMBER(B1058),INT(B1058),0)</f>
        <v/>
      </c>
    </row>
    <row r="1059">
      <c r="A1059" s="1" t="n"/>
      <c r="B1059" s="17" t="n"/>
      <c r="C1059" s="18" t="n"/>
      <c r="D1059" s="19" t="n"/>
      <c r="E1059" s="23" t="n"/>
      <c r="F1059" s="21" t="n"/>
      <c r="G1059" s="11">
        <f>IF(C1059="","",IFERROR(INDEX(Crops!$D$6:$D$65,MATCH(C1059,Crops!$B$6:$B$65,0))&amp;"",""))</f>
        <v/>
      </c>
      <c r="H1059" s="12">
        <f>IF(OR(C1059="",NOT(ISNUMBER(E1059))),"",E1059*N(IFERROR(INDEX(Crops!$E$6:$E$65,MATCH(C1059,Crops!$B$6:$B$65,0)),0)))</f>
        <v/>
      </c>
      <c r="I1059" s="11">
        <f>IF(AND(C1059="",E1059=""),"",IF(NOT(ISNUMBER(B1059)),"Needs a date",IF(C1059="","Needs a crop",IF(COUNTIF(Crops!$B$6:$B$65,C1059)=0,"Not on Crops",IF(NOT(ISNUMBER(E1059)),"Needs the amount",IF(AND(D1059&lt;&gt;"",COUNTIF(Beds!$B$6:$B$35,D1059)=0),"Not on Beds",""))))))</f>
        <v/>
      </c>
      <c r="J1059" s="1">
        <f>IF(ISNUMBER(B1059),YEAR(B1059),"")</f>
        <v/>
      </c>
      <c r="K1059">
        <f>IF(ISNUMBER(B1059),YEAR(B1059)*100+MONTH(B1059),"")</f>
        <v/>
      </c>
      <c r="L1059">
        <f>IF(ISNUMBER(B1059),INT(B1059),0)</f>
        <v/>
      </c>
    </row>
    <row r="1060">
      <c r="A1060" s="1" t="n"/>
      <c r="B1060" s="17" t="n"/>
      <c r="C1060" s="18" t="n"/>
      <c r="D1060" s="19" t="n"/>
      <c r="E1060" s="23" t="n"/>
      <c r="F1060" s="21" t="n"/>
      <c r="G1060" s="11">
        <f>IF(C1060="","",IFERROR(INDEX(Crops!$D$6:$D$65,MATCH(C1060,Crops!$B$6:$B$65,0))&amp;"",""))</f>
        <v/>
      </c>
      <c r="H1060" s="12">
        <f>IF(OR(C1060="",NOT(ISNUMBER(E1060))),"",E1060*N(IFERROR(INDEX(Crops!$E$6:$E$65,MATCH(C1060,Crops!$B$6:$B$65,0)),0)))</f>
        <v/>
      </c>
      <c r="I1060" s="11">
        <f>IF(AND(C1060="",E1060=""),"",IF(NOT(ISNUMBER(B1060)),"Needs a date",IF(C1060="","Needs a crop",IF(COUNTIF(Crops!$B$6:$B$65,C1060)=0,"Not on Crops",IF(NOT(ISNUMBER(E1060)),"Needs the amount",IF(AND(D1060&lt;&gt;"",COUNTIF(Beds!$B$6:$B$35,D1060)=0),"Not on Beds",""))))))</f>
        <v/>
      </c>
      <c r="J1060" s="1">
        <f>IF(ISNUMBER(B1060),YEAR(B1060),"")</f>
        <v/>
      </c>
      <c r="K1060">
        <f>IF(ISNUMBER(B1060),YEAR(B1060)*100+MONTH(B1060),"")</f>
        <v/>
      </c>
      <c r="L1060">
        <f>IF(ISNUMBER(B1060),INT(B1060),0)</f>
        <v/>
      </c>
    </row>
    <row r="1061">
      <c r="A1061" s="1" t="n"/>
      <c r="B1061" s="17" t="n"/>
      <c r="C1061" s="18" t="n"/>
      <c r="D1061" s="19" t="n"/>
      <c r="E1061" s="23" t="n"/>
      <c r="F1061" s="21" t="n"/>
      <c r="G1061" s="11">
        <f>IF(C1061="","",IFERROR(INDEX(Crops!$D$6:$D$65,MATCH(C1061,Crops!$B$6:$B$65,0))&amp;"",""))</f>
        <v/>
      </c>
      <c r="H1061" s="12">
        <f>IF(OR(C1061="",NOT(ISNUMBER(E1061))),"",E1061*N(IFERROR(INDEX(Crops!$E$6:$E$65,MATCH(C1061,Crops!$B$6:$B$65,0)),0)))</f>
        <v/>
      </c>
      <c r="I1061" s="11">
        <f>IF(AND(C1061="",E1061=""),"",IF(NOT(ISNUMBER(B1061)),"Needs a date",IF(C1061="","Needs a crop",IF(COUNTIF(Crops!$B$6:$B$65,C1061)=0,"Not on Crops",IF(NOT(ISNUMBER(E1061)),"Needs the amount",IF(AND(D1061&lt;&gt;"",COUNTIF(Beds!$B$6:$B$35,D1061)=0),"Not on Beds",""))))))</f>
        <v/>
      </c>
      <c r="J1061" s="1">
        <f>IF(ISNUMBER(B1061),YEAR(B1061),"")</f>
        <v/>
      </c>
      <c r="K1061">
        <f>IF(ISNUMBER(B1061),YEAR(B1061)*100+MONTH(B1061),"")</f>
        <v/>
      </c>
      <c r="L1061">
        <f>IF(ISNUMBER(B1061),INT(B1061),0)</f>
        <v/>
      </c>
    </row>
    <row r="1062">
      <c r="A1062" s="1" t="n"/>
      <c r="B1062" s="17" t="n"/>
      <c r="C1062" s="18" t="n"/>
      <c r="D1062" s="19" t="n"/>
      <c r="E1062" s="23" t="n"/>
      <c r="F1062" s="21" t="n"/>
      <c r="G1062" s="11">
        <f>IF(C1062="","",IFERROR(INDEX(Crops!$D$6:$D$65,MATCH(C1062,Crops!$B$6:$B$65,0))&amp;"",""))</f>
        <v/>
      </c>
      <c r="H1062" s="12">
        <f>IF(OR(C1062="",NOT(ISNUMBER(E1062))),"",E1062*N(IFERROR(INDEX(Crops!$E$6:$E$65,MATCH(C1062,Crops!$B$6:$B$65,0)),0)))</f>
        <v/>
      </c>
      <c r="I1062" s="11">
        <f>IF(AND(C1062="",E1062=""),"",IF(NOT(ISNUMBER(B1062)),"Needs a date",IF(C1062="","Needs a crop",IF(COUNTIF(Crops!$B$6:$B$65,C1062)=0,"Not on Crops",IF(NOT(ISNUMBER(E1062)),"Needs the amount",IF(AND(D1062&lt;&gt;"",COUNTIF(Beds!$B$6:$B$35,D1062)=0),"Not on Beds",""))))))</f>
        <v/>
      </c>
      <c r="J1062" s="1">
        <f>IF(ISNUMBER(B1062),YEAR(B1062),"")</f>
        <v/>
      </c>
      <c r="K1062">
        <f>IF(ISNUMBER(B1062),YEAR(B1062)*100+MONTH(B1062),"")</f>
        <v/>
      </c>
      <c r="L1062">
        <f>IF(ISNUMBER(B1062),INT(B1062),0)</f>
        <v/>
      </c>
    </row>
    <row r="1063">
      <c r="A1063" s="1" t="n"/>
      <c r="B1063" s="17" t="n"/>
      <c r="C1063" s="18" t="n"/>
      <c r="D1063" s="19" t="n"/>
      <c r="E1063" s="23" t="n"/>
      <c r="F1063" s="21" t="n"/>
      <c r="G1063" s="11">
        <f>IF(C1063="","",IFERROR(INDEX(Crops!$D$6:$D$65,MATCH(C1063,Crops!$B$6:$B$65,0))&amp;"",""))</f>
        <v/>
      </c>
      <c r="H1063" s="12">
        <f>IF(OR(C1063="",NOT(ISNUMBER(E1063))),"",E1063*N(IFERROR(INDEX(Crops!$E$6:$E$65,MATCH(C1063,Crops!$B$6:$B$65,0)),0)))</f>
        <v/>
      </c>
      <c r="I1063" s="11">
        <f>IF(AND(C1063="",E1063=""),"",IF(NOT(ISNUMBER(B1063)),"Needs a date",IF(C1063="","Needs a crop",IF(COUNTIF(Crops!$B$6:$B$65,C1063)=0,"Not on Crops",IF(NOT(ISNUMBER(E1063)),"Needs the amount",IF(AND(D1063&lt;&gt;"",COUNTIF(Beds!$B$6:$B$35,D1063)=0),"Not on Beds",""))))))</f>
        <v/>
      </c>
      <c r="J1063" s="1">
        <f>IF(ISNUMBER(B1063),YEAR(B1063),"")</f>
        <v/>
      </c>
      <c r="K1063">
        <f>IF(ISNUMBER(B1063),YEAR(B1063)*100+MONTH(B1063),"")</f>
        <v/>
      </c>
      <c r="L1063">
        <f>IF(ISNUMBER(B1063),INT(B1063),0)</f>
        <v/>
      </c>
    </row>
    <row r="1064">
      <c r="A1064" s="1" t="n"/>
      <c r="B1064" s="17" t="n"/>
      <c r="C1064" s="18" t="n"/>
      <c r="D1064" s="19" t="n"/>
      <c r="E1064" s="23" t="n"/>
      <c r="F1064" s="21" t="n"/>
      <c r="G1064" s="11">
        <f>IF(C1064="","",IFERROR(INDEX(Crops!$D$6:$D$65,MATCH(C1064,Crops!$B$6:$B$65,0))&amp;"",""))</f>
        <v/>
      </c>
      <c r="H1064" s="12">
        <f>IF(OR(C1064="",NOT(ISNUMBER(E1064))),"",E1064*N(IFERROR(INDEX(Crops!$E$6:$E$65,MATCH(C1064,Crops!$B$6:$B$65,0)),0)))</f>
        <v/>
      </c>
      <c r="I1064" s="11">
        <f>IF(AND(C1064="",E1064=""),"",IF(NOT(ISNUMBER(B1064)),"Needs a date",IF(C1064="","Needs a crop",IF(COUNTIF(Crops!$B$6:$B$65,C1064)=0,"Not on Crops",IF(NOT(ISNUMBER(E1064)),"Needs the amount",IF(AND(D1064&lt;&gt;"",COUNTIF(Beds!$B$6:$B$35,D1064)=0),"Not on Beds",""))))))</f>
        <v/>
      </c>
      <c r="J1064" s="1">
        <f>IF(ISNUMBER(B1064),YEAR(B1064),"")</f>
        <v/>
      </c>
      <c r="K1064">
        <f>IF(ISNUMBER(B1064),YEAR(B1064)*100+MONTH(B1064),"")</f>
        <v/>
      </c>
      <c r="L1064">
        <f>IF(ISNUMBER(B1064),INT(B1064),0)</f>
        <v/>
      </c>
    </row>
    <row r="1065">
      <c r="A1065" s="1" t="n"/>
      <c r="B1065" s="17" t="n"/>
      <c r="C1065" s="18" t="n"/>
      <c r="D1065" s="19" t="n"/>
      <c r="E1065" s="23" t="n"/>
      <c r="F1065" s="21" t="n"/>
      <c r="G1065" s="11">
        <f>IF(C1065="","",IFERROR(INDEX(Crops!$D$6:$D$65,MATCH(C1065,Crops!$B$6:$B$65,0))&amp;"",""))</f>
        <v/>
      </c>
      <c r="H1065" s="12">
        <f>IF(OR(C1065="",NOT(ISNUMBER(E1065))),"",E1065*N(IFERROR(INDEX(Crops!$E$6:$E$65,MATCH(C1065,Crops!$B$6:$B$65,0)),0)))</f>
        <v/>
      </c>
      <c r="I1065" s="11">
        <f>IF(AND(C1065="",E1065=""),"",IF(NOT(ISNUMBER(B1065)),"Needs a date",IF(C1065="","Needs a crop",IF(COUNTIF(Crops!$B$6:$B$65,C1065)=0,"Not on Crops",IF(NOT(ISNUMBER(E1065)),"Needs the amount",IF(AND(D1065&lt;&gt;"",COUNTIF(Beds!$B$6:$B$35,D1065)=0),"Not on Beds",""))))))</f>
        <v/>
      </c>
      <c r="J1065" s="1">
        <f>IF(ISNUMBER(B1065),YEAR(B1065),"")</f>
        <v/>
      </c>
      <c r="K1065">
        <f>IF(ISNUMBER(B1065),YEAR(B1065)*100+MONTH(B1065),"")</f>
        <v/>
      </c>
      <c r="L1065">
        <f>IF(ISNUMBER(B1065),INT(B1065),0)</f>
        <v/>
      </c>
    </row>
    <row r="1066">
      <c r="A1066" s="1" t="n"/>
      <c r="B1066" s="17" t="n"/>
      <c r="C1066" s="18" t="n"/>
      <c r="D1066" s="19" t="n"/>
      <c r="E1066" s="23" t="n"/>
      <c r="F1066" s="21" t="n"/>
      <c r="G1066" s="11">
        <f>IF(C1066="","",IFERROR(INDEX(Crops!$D$6:$D$65,MATCH(C1066,Crops!$B$6:$B$65,0))&amp;"",""))</f>
        <v/>
      </c>
      <c r="H1066" s="12">
        <f>IF(OR(C1066="",NOT(ISNUMBER(E1066))),"",E1066*N(IFERROR(INDEX(Crops!$E$6:$E$65,MATCH(C1066,Crops!$B$6:$B$65,0)),0)))</f>
        <v/>
      </c>
      <c r="I1066" s="11">
        <f>IF(AND(C1066="",E1066=""),"",IF(NOT(ISNUMBER(B1066)),"Needs a date",IF(C1066="","Needs a crop",IF(COUNTIF(Crops!$B$6:$B$65,C1066)=0,"Not on Crops",IF(NOT(ISNUMBER(E1066)),"Needs the amount",IF(AND(D1066&lt;&gt;"",COUNTIF(Beds!$B$6:$B$35,D1066)=0),"Not on Beds",""))))))</f>
        <v/>
      </c>
      <c r="J1066" s="1">
        <f>IF(ISNUMBER(B1066),YEAR(B1066),"")</f>
        <v/>
      </c>
      <c r="K1066">
        <f>IF(ISNUMBER(B1066),YEAR(B1066)*100+MONTH(B1066),"")</f>
        <v/>
      </c>
      <c r="L1066">
        <f>IF(ISNUMBER(B1066),INT(B1066),0)</f>
        <v/>
      </c>
    </row>
    <row r="1067">
      <c r="A1067" s="1" t="n"/>
      <c r="B1067" s="17" t="n"/>
      <c r="C1067" s="18" t="n"/>
      <c r="D1067" s="19" t="n"/>
      <c r="E1067" s="23" t="n"/>
      <c r="F1067" s="21" t="n"/>
      <c r="G1067" s="11">
        <f>IF(C1067="","",IFERROR(INDEX(Crops!$D$6:$D$65,MATCH(C1067,Crops!$B$6:$B$65,0))&amp;"",""))</f>
        <v/>
      </c>
      <c r="H1067" s="12">
        <f>IF(OR(C1067="",NOT(ISNUMBER(E1067))),"",E1067*N(IFERROR(INDEX(Crops!$E$6:$E$65,MATCH(C1067,Crops!$B$6:$B$65,0)),0)))</f>
        <v/>
      </c>
      <c r="I1067" s="11">
        <f>IF(AND(C1067="",E1067=""),"",IF(NOT(ISNUMBER(B1067)),"Needs a date",IF(C1067="","Needs a crop",IF(COUNTIF(Crops!$B$6:$B$65,C1067)=0,"Not on Crops",IF(NOT(ISNUMBER(E1067)),"Needs the amount",IF(AND(D1067&lt;&gt;"",COUNTIF(Beds!$B$6:$B$35,D1067)=0),"Not on Beds",""))))))</f>
        <v/>
      </c>
      <c r="J1067" s="1">
        <f>IF(ISNUMBER(B1067),YEAR(B1067),"")</f>
        <v/>
      </c>
      <c r="K1067">
        <f>IF(ISNUMBER(B1067),YEAR(B1067)*100+MONTH(B1067),"")</f>
        <v/>
      </c>
      <c r="L1067">
        <f>IF(ISNUMBER(B1067),INT(B1067),0)</f>
        <v/>
      </c>
    </row>
    <row r="1068">
      <c r="A1068" s="1" t="n"/>
      <c r="B1068" s="17" t="n"/>
      <c r="C1068" s="18" t="n"/>
      <c r="D1068" s="19" t="n"/>
      <c r="E1068" s="23" t="n"/>
      <c r="F1068" s="21" t="n"/>
      <c r="G1068" s="11">
        <f>IF(C1068="","",IFERROR(INDEX(Crops!$D$6:$D$65,MATCH(C1068,Crops!$B$6:$B$65,0))&amp;"",""))</f>
        <v/>
      </c>
      <c r="H1068" s="12">
        <f>IF(OR(C1068="",NOT(ISNUMBER(E1068))),"",E1068*N(IFERROR(INDEX(Crops!$E$6:$E$65,MATCH(C1068,Crops!$B$6:$B$65,0)),0)))</f>
        <v/>
      </c>
      <c r="I1068" s="11">
        <f>IF(AND(C1068="",E1068=""),"",IF(NOT(ISNUMBER(B1068)),"Needs a date",IF(C1068="","Needs a crop",IF(COUNTIF(Crops!$B$6:$B$65,C1068)=0,"Not on Crops",IF(NOT(ISNUMBER(E1068)),"Needs the amount",IF(AND(D1068&lt;&gt;"",COUNTIF(Beds!$B$6:$B$35,D1068)=0),"Not on Beds",""))))))</f>
        <v/>
      </c>
      <c r="J1068" s="1">
        <f>IF(ISNUMBER(B1068),YEAR(B1068),"")</f>
        <v/>
      </c>
      <c r="K1068">
        <f>IF(ISNUMBER(B1068),YEAR(B1068)*100+MONTH(B1068),"")</f>
        <v/>
      </c>
      <c r="L1068">
        <f>IF(ISNUMBER(B1068),INT(B1068),0)</f>
        <v/>
      </c>
    </row>
    <row r="1069">
      <c r="A1069" s="1" t="n"/>
      <c r="B1069" s="17" t="n"/>
      <c r="C1069" s="18" t="n"/>
      <c r="D1069" s="19" t="n"/>
      <c r="E1069" s="23" t="n"/>
      <c r="F1069" s="21" t="n"/>
      <c r="G1069" s="11">
        <f>IF(C1069="","",IFERROR(INDEX(Crops!$D$6:$D$65,MATCH(C1069,Crops!$B$6:$B$65,0))&amp;"",""))</f>
        <v/>
      </c>
      <c r="H1069" s="12">
        <f>IF(OR(C1069="",NOT(ISNUMBER(E1069))),"",E1069*N(IFERROR(INDEX(Crops!$E$6:$E$65,MATCH(C1069,Crops!$B$6:$B$65,0)),0)))</f>
        <v/>
      </c>
      <c r="I1069" s="11">
        <f>IF(AND(C1069="",E1069=""),"",IF(NOT(ISNUMBER(B1069)),"Needs a date",IF(C1069="","Needs a crop",IF(COUNTIF(Crops!$B$6:$B$65,C1069)=0,"Not on Crops",IF(NOT(ISNUMBER(E1069)),"Needs the amount",IF(AND(D1069&lt;&gt;"",COUNTIF(Beds!$B$6:$B$35,D1069)=0),"Not on Beds",""))))))</f>
        <v/>
      </c>
      <c r="J1069" s="1">
        <f>IF(ISNUMBER(B1069),YEAR(B1069),"")</f>
        <v/>
      </c>
      <c r="K1069">
        <f>IF(ISNUMBER(B1069),YEAR(B1069)*100+MONTH(B1069),"")</f>
        <v/>
      </c>
      <c r="L1069">
        <f>IF(ISNUMBER(B1069),INT(B1069),0)</f>
        <v/>
      </c>
    </row>
    <row r="1070">
      <c r="A1070" s="1" t="n"/>
      <c r="B1070" s="17" t="n"/>
      <c r="C1070" s="18" t="n"/>
      <c r="D1070" s="19" t="n"/>
      <c r="E1070" s="23" t="n"/>
      <c r="F1070" s="21" t="n"/>
      <c r="G1070" s="11">
        <f>IF(C1070="","",IFERROR(INDEX(Crops!$D$6:$D$65,MATCH(C1070,Crops!$B$6:$B$65,0))&amp;"",""))</f>
        <v/>
      </c>
      <c r="H1070" s="12">
        <f>IF(OR(C1070="",NOT(ISNUMBER(E1070))),"",E1070*N(IFERROR(INDEX(Crops!$E$6:$E$65,MATCH(C1070,Crops!$B$6:$B$65,0)),0)))</f>
        <v/>
      </c>
      <c r="I1070" s="11">
        <f>IF(AND(C1070="",E1070=""),"",IF(NOT(ISNUMBER(B1070)),"Needs a date",IF(C1070="","Needs a crop",IF(COUNTIF(Crops!$B$6:$B$65,C1070)=0,"Not on Crops",IF(NOT(ISNUMBER(E1070)),"Needs the amount",IF(AND(D1070&lt;&gt;"",COUNTIF(Beds!$B$6:$B$35,D1070)=0),"Not on Beds",""))))))</f>
        <v/>
      </c>
      <c r="J1070" s="1">
        <f>IF(ISNUMBER(B1070),YEAR(B1070),"")</f>
        <v/>
      </c>
      <c r="K1070">
        <f>IF(ISNUMBER(B1070),YEAR(B1070)*100+MONTH(B1070),"")</f>
        <v/>
      </c>
      <c r="L1070">
        <f>IF(ISNUMBER(B1070),INT(B1070),0)</f>
        <v/>
      </c>
    </row>
    <row r="1071">
      <c r="A1071" s="1" t="n"/>
      <c r="B1071" s="17" t="n"/>
      <c r="C1071" s="18" t="n"/>
      <c r="D1071" s="19" t="n"/>
      <c r="E1071" s="23" t="n"/>
      <c r="F1071" s="21" t="n"/>
      <c r="G1071" s="11">
        <f>IF(C1071="","",IFERROR(INDEX(Crops!$D$6:$D$65,MATCH(C1071,Crops!$B$6:$B$65,0))&amp;"",""))</f>
        <v/>
      </c>
      <c r="H1071" s="12">
        <f>IF(OR(C1071="",NOT(ISNUMBER(E1071))),"",E1071*N(IFERROR(INDEX(Crops!$E$6:$E$65,MATCH(C1071,Crops!$B$6:$B$65,0)),0)))</f>
        <v/>
      </c>
      <c r="I1071" s="11">
        <f>IF(AND(C1071="",E1071=""),"",IF(NOT(ISNUMBER(B1071)),"Needs a date",IF(C1071="","Needs a crop",IF(COUNTIF(Crops!$B$6:$B$65,C1071)=0,"Not on Crops",IF(NOT(ISNUMBER(E1071)),"Needs the amount",IF(AND(D1071&lt;&gt;"",COUNTIF(Beds!$B$6:$B$35,D1071)=0),"Not on Beds",""))))))</f>
        <v/>
      </c>
      <c r="J1071" s="1">
        <f>IF(ISNUMBER(B1071),YEAR(B1071),"")</f>
        <v/>
      </c>
      <c r="K1071">
        <f>IF(ISNUMBER(B1071),YEAR(B1071)*100+MONTH(B1071),"")</f>
        <v/>
      </c>
      <c r="L1071">
        <f>IF(ISNUMBER(B1071),INT(B1071),0)</f>
        <v/>
      </c>
    </row>
    <row r="1072">
      <c r="A1072" s="1" t="n"/>
      <c r="B1072" s="17" t="n"/>
      <c r="C1072" s="18" t="n"/>
      <c r="D1072" s="19" t="n"/>
      <c r="E1072" s="23" t="n"/>
      <c r="F1072" s="21" t="n"/>
      <c r="G1072" s="11">
        <f>IF(C1072="","",IFERROR(INDEX(Crops!$D$6:$D$65,MATCH(C1072,Crops!$B$6:$B$65,0))&amp;"",""))</f>
        <v/>
      </c>
      <c r="H1072" s="12">
        <f>IF(OR(C1072="",NOT(ISNUMBER(E1072))),"",E1072*N(IFERROR(INDEX(Crops!$E$6:$E$65,MATCH(C1072,Crops!$B$6:$B$65,0)),0)))</f>
        <v/>
      </c>
      <c r="I1072" s="11">
        <f>IF(AND(C1072="",E1072=""),"",IF(NOT(ISNUMBER(B1072)),"Needs a date",IF(C1072="","Needs a crop",IF(COUNTIF(Crops!$B$6:$B$65,C1072)=0,"Not on Crops",IF(NOT(ISNUMBER(E1072)),"Needs the amount",IF(AND(D1072&lt;&gt;"",COUNTIF(Beds!$B$6:$B$35,D1072)=0),"Not on Beds",""))))))</f>
        <v/>
      </c>
      <c r="J1072" s="1">
        <f>IF(ISNUMBER(B1072),YEAR(B1072),"")</f>
        <v/>
      </c>
      <c r="K1072">
        <f>IF(ISNUMBER(B1072),YEAR(B1072)*100+MONTH(B1072),"")</f>
        <v/>
      </c>
      <c r="L1072">
        <f>IF(ISNUMBER(B1072),INT(B1072),0)</f>
        <v/>
      </c>
    </row>
    <row r="1073">
      <c r="A1073" s="1" t="n"/>
      <c r="B1073" s="17" t="n"/>
      <c r="C1073" s="18" t="n"/>
      <c r="D1073" s="19" t="n"/>
      <c r="E1073" s="23" t="n"/>
      <c r="F1073" s="21" t="n"/>
      <c r="G1073" s="11">
        <f>IF(C1073="","",IFERROR(INDEX(Crops!$D$6:$D$65,MATCH(C1073,Crops!$B$6:$B$65,0))&amp;"",""))</f>
        <v/>
      </c>
      <c r="H1073" s="12">
        <f>IF(OR(C1073="",NOT(ISNUMBER(E1073))),"",E1073*N(IFERROR(INDEX(Crops!$E$6:$E$65,MATCH(C1073,Crops!$B$6:$B$65,0)),0)))</f>
        <v/>
      </c>
      <c r="I1073" s="11">
        <f>IF(AND(C1073="",E1073=""),"",IF(NOT(ISNUMBER(B1073)),"Needs a date",IF(C1073="","Needs a crop",IF(COUNTIF(Crops!$B$6:$B$65,C1073)=0,"Not on Crops",IF(NOT(ISNUMBER(E1073)),"Needs the amount",IF(AND(D1073&lt;&gt;"",COUNTIF(Beds!$B$6:$B$35,D1073)=0),"Not on Beds",""))))))</f>
        <v/>
      </c>
      <c r="J1073" s="1">
        <f>IF(ISNUMBER(B1073),YEAR(B1073),"")</f>
        <v/>
      </c>
      <c r="K1073">
        <f>IF(ISNUMBER(B1073),YEAR(B1073)*100+MONTH(B1073),"")</f>
        <v/>
      </c>
      <c r="L1073">
        <f>IF(ISNUMBER(B1073),INT(B1073),0)</f>
        <v/>
      </c>
    </row>
    <row r="1074">
      <c r="A1074" s="1" t="n"/>
      <c r="B1074" s="17" t="n"/>
      <c r="C1074" s="18" t="n"/>
      <c r="D1074" s="19" t="n"/>
      <c r="E1074" s="23" t="n"/>
      <c r="F1074" s="21" t="n"/>
      <c r="G1074" s="11">
        <f>IF(C1074="","",IFERROR(INDEX(Crops!$D$6:$D$65,MATCH(C1074,Crops!$B$6:$B$65,0))&amp;"",""))</f>
        <v/>
      </c>
      <c r="H1074" s="12">
        <f>IF(OR(C1074="",NOT(ISNUMBER(E1074))),"",E1074*N(IFERROR(INDEX(Crops!$E$6:$E$65,MATCH(C1074,Crops!$B$6:$B$65,0)),0)))</f>
        <v/>
      </c>
      <c r="I1074" s="11">
        <f>IF(AND(C1074="",E1074=""),"",IF(NOT(ISNUMBER(B1074)),"Needs a date",IF(C1074="","Needs a crop",IF(COUNTIF(Crops!$B$6:$B$65,C1074)=0,"Not on Crops",IF(NOT(ISNUMBER(E1074)),"Needs the amount",IF(AND(D1074&lt;&gt;"",COUNTIF(Beds!$B$6:$B$35,D1074)=0),"Not on Beds",""))))))</f>
        <v/>
      </c>
      <c r="J1074" s="1">
        <f>IF(ISNUMBER(B1074),YEAR(B1074),"")</f>
        <v/>
      </c>
      <c r="K1074">
        <f>IF(ISNUMBER(B1074),YEAR(B1074)*100+MONTH(B1074),"")</f>
        <v/>
      </c>
      <c r="L1074">
        <f>IF(ISNUMBER(B1074),INT(B1074),0)</f>
        <v/>
      </c>
    </row>
    <row r="1075">
      <c r="A1075" s="1" t="n"/>
      <c r="B1075" s="17" t="n"/>
      <c r="C1075" s="18" t="n"/>
      <c r="D1075" s="19" t="n"/>
      <c r="E1075" s="23" t="n"/>
      <c r="F1075" s="21" t="n"/>
      <c r="G1075" s="11">
        <f>IF(C1075="","",IFERROR(INDEX(Crops!$D$6:$D$65,MATCH(C1075,Crops!$B$6:$B$65,0))&amp;"",""))</f>
        <v/>
      </c>
      <c r="H1075" s="12">
        <f>IF(OR(C1075="",NOT(ISNUMBER(E1075))),"",E1075*N(IFERROR(INDEX(Crops!$E$6:$E$65,MATCH(C1075,Crops!$B$6:$B$65,0)),0)))</f>
        <v/>
      </c>
      <c r="I1075" s="11">
        <f>IF(AND(C1075="",E1075=""),"",IF(NOT(ISNUMBER(B1075)),"Needs a date",IF(C1075="","Needs a crop",IF(COUNTIF(Crops!$B$6:$B$65,C1075)=0,"Not on Crops",IF(NOT(ISNUMBER(E1075)),"Needs the amount",IF(AND(D1075&lt;&gt;"",COUNTIF(Beds!$B$6:$B$35,D1075)=0),"Not on Beds",""))))))</f>
        <v/>
      </c>
      <c r="J1075" s="1">
        <f>IF(ISNUMBER(B1075),YEAR(B1075),"")</f>
        <v/>
      </c>
      <c r="K1075">
        <f>IF(ISNUMBER(B1075),YEAR(B1075)*100+MONTH(B1075),"")</f>
        <v/>
      </c>
      <c r="L1075">
        <f>IF(ISNUMBER(B1075),INT(B1075),0)</f>
        <v/>
      </c>
    </row>
    <row r="1076">
      <c r="A1076" s="1" t="n"/>
      <c r="B1076" s="17" t="n"/>
      <c r="C1076" s="18" t="n"/>
      <c r="D1076" s="19" t="n"/>
      <c r="E1076" s="23" t="n"/>
      <c r="F1076" s="21" t="n"/>
      <c r="G1076" s="11">
        <f>IF(C1076="","",IFERROR(INDEX(Crops!$D$6:$D$65,MATCH(C1076,Crops!$B$6:$B$65,0))&amp;"",""))</f>
        <v/>
      </c>
      <c r="H1076" s="12">
        <f>IF(OR(C1076="",NOT(ISNUMBER(E1076))),"",E1076*N(IFERROR(INDEX(Crops!$E$6:$E$65,MATCH(C1076,Crops!$B$6:$B$65,0)),0)))</f>
        <v/>
      </c>
      <c r="I1076" s="11">
        <f>IF(AND(C1076="",E1076=""),"",IF(NOT(ISNUMBER(B1076)),"Needs a date",IF(C1076="","Needs a crop",IF(COUNTIF(Crops!$B$6:$B$65,C1076)=0,"Not on Crops",IF(NOT(ISNUMBER(E1076)),"Needs the amount",IF(AND(D1076&lt;&gt;"",COUNTIF(Beds!$B$6:$B$35,D1076)=0),"Not on Beds",""))))))</f>
        <v/>
      </c>
      <c r="J1076" s="1">
        <f>IF(ISNUMBER(B1076),YEAR(B1076),"")</f>
        <v/>
      </c>
      <c r="K1076">
        <f>IF(ISNUMBER(B1076),YEAR(B1076)*100+MONTH(B1076),"")</f>
        <v/>
      </c>
      <c r="L1076">
        <f>IF(ISNUMBER(B1076),INT(B1076),0)</f>
        <v/>
      </c>
    </row>
    <row r="1077">
      <c r="A1077" s="1" t="n"/>
      <c r="B1077" s="17" t="n"/>
      <c r="C1077" s="18" t="n"/>
      <c r="D1077" s="19" t="n"/>
      <c r="E1077" s="23" t="n"/>
      <c r="F1077" s="21" t="n"/>
      <c r="G1077" s="11">
        <f>IF(C1077="","",IFERROR(INDEX(Crops!$D$6:$D$65,MATCH(C1077,Crops!$B$6:$B$65,0))&amp;"",""))</f>
        <v/>
      </c>
      <c r="H1077" s="12">
        <f>IF(OR(C1077="",NOT(ISNUMBER(E1077))),"",E1077*N(IFERROR(INDEX(Crops!$E$6:$E$65,MATCH(C1077,Crops!$B$6:$B$65,0)),0)))</f>
        <v/>
      </c>
      <c r="I1077" s="11">
        <f>IF(AND(C1077="",E1077=""),"",IF(NOT(ISNUMBER(B1077)),"Needs a date",IF(C1077="","Needs a crop",IF(COUNTIF(Crops!$B$6:$B$65,C1077)=0,"Not on Crops",IF(NOT(ISNUMBER(E1077)),"Needs the amount",IF(AND(D1077&lt;&gt;"",COUNTIF(Beds!$B$6:$B$35,D1077)=0),"Not on Beds",""))))))</f>
        <v/>
      </c>
      <c r="J1077" s="1">
        <f>IF(ISNUMBER(B1077),YEAR(B1077),"")</f>
        <v/>
      </c>
      <c r="K1077">
        <f>IF(ISNUMBER(B1077),YEAR(B1077)*100+MONTH(B1077),"")</f>
        <v/>
      </c>
      <c r="L1077">
        <f>IF(ISNUMBER(B1077),INT(B1077),0)</f>
        <v/>
      </c>
    </row>
    <row r="1078">
      <c r="A1078" s="1" t="n"/>
      <c r="B1078" s="17" t="n"/>
      <c r="C1078" s="18" t="n"/>
      <c r="D1078" s="19" t="n"/>
      <c r="E1078" s="23" t="n"/>
      <c r="F1078" s="21" t="n"/>
      <c r="G1078" s="11">
        <f>IF(C1078="","",IFERROR(INDEX(Crops!$D$6:$D$65,MATCH(C1078,Crops!$B$6:$B$65,0))&amp;"",""))</f>
        <v/>
      </c>
      <c r="H1078" s="12">
        <f>IF(OR(C1078="",NOT(ISNUMBER(E1078))),"",E1078*N(IFERROR(INDEX(Crops!$E$6:$E$65,MATCH(C1078,Crops!$B$6:$B$65,0)),0)))</f>
        <v/>
      </c>
      <c r="I1078" s="11">
        <f>IF(AND(C1078="",E1078=""),"",IF(NOT(ISNUMBER(B1078)),"Needs a date",IF(C1078="","Needs a crop",IF(COUNTIF(Crops!$B$6:$B$65,C1078)=0,"Not on Crops",IF(NOT(ISNUMBER(E1078)),"Needs the amount",IF(AND(D1078&lt;&gt;"",COUNTIF(Beds!$B$6:$B$35,D1078)=0),"Not on Beds",""))))))</f>
        <v/>
      </c>
      <c r="J1078" s="1">
        <f>IF(ISNUMBER(B1078),YEAR(B1078),"")</f>
        <v/>
      </c>
      <c r="K1078">
        <f>IF(ISNUMBER(B1078),YEAR(B1078)*100+MONTH(B1078),"")</f>
        <v/>
      </c>
      <c r="L1078">
        <f>IF(ISNUMBER(B1078),INT(B1078),0)</f>
        <v/>
      </c>
    </row>
    <row r="1079">
      <c r="A1079" s="1" t="n"/>
      <c r="B1079" s="17" t="n"/>
      <c r="C1079" s="18" t="n"/>
      <c r="D1079" s="19" t="n"/>
      <c r="E1079" s="23" t="n"/>
      <c r="F1079" s="21" t="n"/>
      <c r="G1079" s="11">
        <f>IF(C1079="","",IFERROR(INDEX(Crops!$D$6:$D$65,MATCH(C1079,Crops!$B$6:$B$65,0))&amp;"",""))</f>
        <v/>
      </c>
      <c r="H1079" s="12">
        <f>IF(OR(C1079="",NOT(ISNUMBER(E1079))),"",E1079*N(IFERROR(INDEX(Crops!$E$6:$E$65,MATCH(C1079,Crops!$B$6:$B$65,0)),0)))</f>
        <v/>
      </c>
      <c r="I1079" s="11">
        <f>IF(AND(C1079="",E1079=""),"",IF(NOT(ISNUMBER(B1079)),"Needs a date",IF(C1079="","Needs a crop",IF(COUNTIF(Crops!$B$6:$B$65,C1079)=0,"Not on Crops",IF(NOT(ISNUMBER(E1079)),"Needs the amount",IF(AND(D1079&lt;&gt;"",COUNTIF(Beds!$B$6:$B$35,D1079)=0),"Not on Beds",""))))))</f>
        <v/>
      </c>
      <c r="J1079" s="1">
        <f>IF(ISNUMBER(B1079),YEAR(B1079),"")</f>
        <v/>
      </c>
      <c r="K1079">
        <f>IF(ISNUMBER(B1079),YEAR(B1079)*100+MONTH(B1079),"")</f>
        <v/>
      </c>
      <c r="L1079">
        <f>IF(ISNUMBER(B1079),INT(B1079),0)</f>
        <v/>
      </c>
    </row>
    <row r="1080">
      <c r="A1080" s="1" t="n"/>
      <c r="B1080" s="17" t="n"/>
      <c r="C1080" s="18" t="n"/>
      <c r="D1080" s="19" t="n"/>
      <c r="E1080" s="23" t="n"/>
      <c r="F1080" s="21" t="n"/>
      <c r="G1080" s="11">
        <f>IF(C1080="","",IFERROR(INDEX(Crops!$D$6:$D$65,MATCH(C1080,Crops!$B$6:$B$65,0))&amp;"",""))</f>
        <v/>
      </c>
      <c r="H1080" s="12">
        <f>IF(OR(C1080="",NOT(ISNUMBER(E1080))),"",E1080*N(IFERROR(INDEX(Crops!$E$6:$E$65,MATCH(C1080,Crops!$B$6:$B$65,0)),0)))</f>
        <v/>
      </c>
      <c r="I1080" s="11">
        <f>IF(AND(C1080="",E1080=""),"",IF(NOT(ISNUMBER(B1080)),"Needs a date",IF(C1080="","Needs a crop",IF(COUNTIF(Crops!$B$6:$B$65,C1080)=0,"Not on Crops",IF(NOT(ISNUMBER(E1080)),"Needs the amount",IF(AND(D1080&lt;&gt;"",COUNTIF(Beds!$B$6:$B$35,D1080)=0),"Not on Beds",""))))))</f>
        <v/>
      </c>
      <c r="J1080" s="1">
        <f>IF(ISNUMBER(B1080),YEAR(B1080),"")</f>
        <v/>
      </c>
      <c r="K1080">
        <f>IF(ISNUMBER(B1080),YEAR(B1080)*100+MONTH(B1080),"")</f>
        <v/>
      </c>
      <c r="L1080">
        <f>IF(ISNUMBER(B1080),INT(B1080),0)</f>
        <v/>
      </c>
    </row>
    <row r="1081">
      <c r="A1081" s="1" t="n"/>
      <c r="B1081" s="17" t="n"/>
      <c r="C1081" s="18" t="n"/>
      <c r="D1081" s="19" t="n"/>
      <c r="E1081" s="23" t="n"/>
      <c r="F1081" s="21" t="n"/>
      <c r="G1081" s="11">
        <f>IF(C1081="","",IFERROR(INDEX(Crops!$D$6:$D$65,MATCH(C1081,Crops!$B$6:$B$65,0))&amp;"",""))</f>
        <v/>
      </c>
      <c r="H1081" s="12">
        <f>IF(OR(C1081="",NOT(ISNUMBER(E1081))),"",E1081*N(IFERROR(INDEX(Crops!$E$6:$E$65,MATCH(C1081,Crops!$B$6:$B$65,0)),0)))</f>
        <v/>
      </c>
      <c r="I1081" s="11">
        <f>IF(AND(C1081="",E1081=""),"",IF(NOT(ISNUMBER(B1081)),"Needs a date",IF(C1081="","Needs a crop",IF(COUNTIF(Crops!$B$6:$B$65,C1081)=0,"Not on Crops",IF(NOT(ISNUMBER(E1081)),"Needs the amount",IF(AND(D1081&lt;&gt;"",COUNTIF(Beds!$B$6:$B$35,D1081)=0),"Not on Beds",""))))))</f>
        <v/>
      </c>
      <c r="J1081" s="1">
        <f>IF(ISNUMBER(B1081),YEAR(B1081),"")</f>
        <v/>
      </c>
      <c r="K1081">
        <f>IF(ISNUMBER(B1081),YEAR(B1081)*100+MONTH(B1081),"")</f>
        <v/>
      </c>
      <c r="L1081">
        <f>IF(ISNUMBER(B1081),INT(B1081),0)</f>
        <v/>
      </c>
    </row>
    <row r="1082">
      <c r="A1082" s="1" t="n"/>
      <c r="B1082" s="17" t="n"/>
      <c r="C1082" s="18" t="n"/>
      <c r="D1082" s="19" t="n"/>
      <c r="E1082" s="23" t="n"/>
      <c r="F1082" s="21" t="n"/>
      <c r="G1082" s="11">
        <f>IF(C1082="","",IFERROR(INDEX(Crops!$D$6:$D$65,MATCH(C1082,Crops!$B$6:$B$65,0))&amp;"",""))</f>
        <v/>
      </c>
      <c r="H1082" s="12">
        <f>IF(OR(C1082="",NOT(ISNUMBER(E1082))),"",E1082*N(IFERROR(INDEX(Crops!$E$6:$E$65,MATCH(C1082,Crops!$B$6:$B$65,0)),0)))</f>
        <v/>
      </c>
      <c r="I1082" s="11">
        <f>IF(AND(C1082="",E1082=""),"",IF(NOT(ISNUMBER(B1082)),"Needs a date",IF(C1082="","Needs a crop",IF(COUNTIF(Crops!$B$6:$B$65,C1082)=0,"Not on Crops",IF(NOT(ISNUMBER(E1082)),"Needs the amount",IF(AND(D1082&lt;&gt;"",COUNTIF(Beds!$B$6:$B$35,D1082)=0),"Not on Beds",""))))))</f>
        <v/>
      </c>
      <c r="J1082" s="1">
        <f>IF(ISNUMBER(B1082),YEAR(B1082),"")</f>
        <v/>
      </c>
      <c r="K1082">
        <f>IF(ISNUMBER(B1082),YEAR(B1082)*100+MONTH(B1082),"")</f>
        <v/>
      </c>
      <c r="L1082">
        <f>IF(ISNUMBER(B1082),INT(B1082),0)</f>
        <v/>
      </c>
    </row>
    <row r="1083">
      <c r="A1083" s="1" t="n"/>
      <c r="B1083" s="17" t="n"/>
      <c r="C1083" s="18" t="n"/>
      <c r="D1083" s="19" t="n"/>
      <c r="E1083" s="23" t="n"/>
      <c r="F1083" s="21" t="n"/>
      <c r="G1083" s="11">
        <f>IF(C1083="","",IFERROR(INDEX(Crops!$D$6:$D$65,MATCH(C1083,Crops!$B$6:$B$65,0))&amp;"",""))</f>
        <v/>
      </c>
      <c r="H1083" s="12">
        <f>IF(OR(C1083="",NOT(ISNUMBER(E1083))),"",E1083*N(IFERROR(INDEX(Crops!$E$6:$E$65,MATCH(C1083,Crops!$B$6:$B$65,0)),0)))</f>
        <v/>
      </c>
      <c r="I1083" s="11">
        <f>IF(AND(C1083="",E1083=""),"",IF(NOT(ISNUMBER(B1083)),"Needs a date",IF(C1083="","Needs a crop",IF(COUNTIF(Crops!$B$6:$B$65,C1083)=0,"Not on Crops",IF(NOT(ISNUMBER(E1083)),"Needs the amount",IF(AND(D1083&lt;&gt;"",COUNTIF(Beds!$B$6:$B$35,D1083)=0),"Not on Beds",""))))))</f>
        <v/>
      </c>
      <c r="J1083" s="1">
        <f>IF(ISNUMBER(B1083),YEAR(B1083),"")</f>
        <v/>
      </c>
      <c r="K1083">
        <f>IF(ISNUMBER(B1083),YEAR(B1083)*100+MONTH(B1083),"")</f>
        <v/>
      </c>
      <c r="L1083">
        <f>IF(ISNUMBER(B1083),INT(B1083),0)</f>
        <v/>
      </c>
    </row>
    <row r="1084">
      <c r="A1084" s="1" t="n"/>
      <c r="B1084" s="17" t="n"/>
      <c r="C1084" s="18" t="n"/>
      <c r="D1084" s="19" t="n"/>
      <c r="E1084" s="23" t="n"/>
      <c r="F1084" s="21" t="n"/>
      <c r="G1084" s="11">
        <f>IF(C1084="","",IFERROR(INDEX(Crops!$D$6:$D$65,MATCH(C1084,Crops!$B$6:$B$65,0))&amp;"",""))</f>
        <v/>
      </c>
      <c r="H1084" s="12">
        <f>IF(OR(C1084="",NOT(ISNUMBER(E1084))),"",E1084*N(IFERROR(INDEX(Crops!$E$6:$E$65,MATCH(C1084,Crops!$B$6:$B$65,0)),0)))</f>
        <v/>
      </c>
      <c r="I1084" s="11">
        <f>IF(AND(C1084="",E1084=""),"",IF(NOT(ISNUMBER(B1084)),"Needs a date",IF(C1084="","Needs a crop",IF(COUNTIF(Crops!$B$6:$B$65,C1084)=0,"Not on Crops",IF(NOT(ISNUMBER(E1084)),"Needs the amount",IF(AND(D1084&lt;&gt;"",COUNTIF(Beds!$B$6:$B$35,D1084)=0),"Not on Beds",""))))))</f>
        <v/>
      </c>
      <c r="J1084" s="1">
        <f>IF(ISNUMBER(B1084),YEAR(B1084),"")</f>
        <v/>
      </c>
      <c r="K1084">
        <f>IF(ISNUMBER(B1084),YEAR(B1084)*100+MONTH(B1084),"")</f>
        <v/>
      </c>
      <c r="L1084">
        <f>IF(ISNUMBER(B1084),INT(B1084),0)</f>
        <v/>
      </c>
    </row>
    <row r="1085">
      <c r="A1085" s="1" t="n"/>
      <c r="B1085" s="17" t="n"/>
      <c r="C1085" s="18" t="n"/>
      <c r="D1085" s="19" t="n"/>
      <c r="E1085" s="23" t="n"/>
      <c r="F1085" s="21" t="n"/>
      <c r="G1085" s="11">
        <f>IF(C1085="","",IFERROR(INDEX(Crops!$D$6:$D$65,MATCH(C1085,Crops!$B$6:$B$65,0))&amp;"",""))</f>
        <v/>
      </c>
      <c r="H1085" s="12">
        <f>IF(OR(C1085="",NOT(ISNUMBER(E1085))),"",E1085*N(IFERROR(INDEX(Crops!$E$6:$E$65,MATCH(C1085,Crops!$B$6:$B$65,0)),0)))</f>
        <v/>
      </c>
      <c r="I1085" s="11">
        <f>IF(AND(C1085="",E1085=""),"",IF(NOT(ISNUMBER(B1085)),"Needs a date",IF(C1085="","Needs a crop",IF(COUNTIF(Crops!$B$6:$B$65,C1085)=0,"Not on Crops",IF(NOT(ISNUMBER(E1085)),"Needs the amount",IF(AND(D1085&lt;&gt;"",COUNTIF(Beds!$B$6:$B$35,D1085)=0),"Not on Beds",""))))))</f>
        <v/>
      </c>
      <c r="J1085" s="1">
        <f>IF(ISNUMBER(B1085),YEAR(B1085),"")</f>
        <v/>
      </c>
      <c r="K1085">
        <f>IF(ISNUMBER(B1085),YEAR(B1085)*100+MONTH(B1085),"")</f>
        <v/>
      </c>
      <c r="L1085">
        <f>IF(ISNUMBER(B1085),INT(B1085),0)</f>
        <v/>
      </c>
    </row>
    <row r="1086">
      <c r="A1086" s="1" t="n"/>
      <c r="B1086" s="17" t="n"/>
      <c r="C1086" s="18" t="n"/>
      <c r="D1086" s="19" t="n"/>
      <c r="E1086" s="23" t="n"/>
      <c r="F1086" s="21" t="n"/>
      <c r="G1086" s="11">
        <f>IF(C1086="","",IFERROR(INDEX(Crops!$D$6:$D$65,MATCH(C1086,Crops!$B$6:$B$65,0))&amp;"",""))</f>
        <v/>
      </c>
      <c r="H1086" s="12">
        <f>IF(OR(C1086="",NOT(ISNUMBER(E1086))),"",E1086*N(IFERROR(INDEX(Crops!$E$6:$E$65,MATCH(C1086,Crops!$B$6:$B$65,0)),0)))</f>
        <v/>
      </c>
      <c r="I1086" s="11">
        <f>IF(AND(C1086="",E1086=""),"",IF(NOT(ISNUMBER(B1086)),"Needs a date",IF(C1086="","Needs a crop",IF(COUNTIF(Crops!$B$6:$B$65,C1086)=0,"Not on Crops",IF(NOT(ISNUMBER(E1086)),"Needs the amount",IF(AND(D1086&lt;&gt;"",COUNTIF(Beds!$B$6:$B$35,D1086)=0),"Not on Beds",""))))))</f>
        <v/>
      </c>
      <c r="J1086" s="1">
        <f>IF(ISNUMBER(B1086),YEAR(B1086),"")</f>
        <v/>
      </c>
      <c r="K1086">
        <f>IF(ISNUMBER(B1086),YEAR(B1086)*100+MONTH(B1086),"")</f>
        <v/>
      </c>
      <c r="L1086">
        <f>IF(ISNUMBER(B1086),INT(B1086),0)</f>
        <v/>
      </c>
    </row>
    <row r="1087">
      <c r="A1087" s="1" t="n"/>
      <c r="B1087" s="17" t="n"/>
      <c r="C1087" s="18" t="n"/>
      <c r="D1087" s="19" t="n"/>
      <c r="E1087" s="23" t="n"/>
      <c r="F1087" s="21" t="n"/>
      <c r="G1087" s="11">
        <f>IF(C1087="","",IFERROR(INDEX(Crops!$D$6:$D$65,MATCH(C1087,Crops!$B$6:$B$65,0))&amp;"",""))</f>
        <v/>
      </c>
      <c r="H1087" s="12">
        <f>IF(OR(C1087="",NOT(ISNUMBER(E1087))),"",E1087*N(IFERROR(INDEX(Crops!$E$6:$E$65,MATCH(C1087,Crops!$B$6:$B$65,0)),0)))</f>
        <v/>
      </c>
      <c r="I1087" s="11">
        <f>IF(AND(C1087="",E1087=""),"",IF(NOT(ISNUMBER(B1087)),"Needs a date",IF(C1087="","Needs a crop",IF(COUNTIF(Crops!$B$6:$B$65,C1087)=0,"Not on Crops",IF(NOT(ISNUMBER(E1087)),"Needs the amount",IF(AND(D1087&lt;&gt;"",COUNTIF(Beds!$B$6:$B$35,D1087)=0),"Not on Beds",""))))))</f>
        <v/>
      </c>
      <c r="J1087" s="1">
        <f>IF(ISNUMBER(B1087),YEAR(B1087),"")</f>
        <v/>
      </c>
      <c r="K1087">
        <f>IF(ISNUMBER(B1087),YEAR(B1087)*100+MONTH(B1087),"")</f>
        <v/>
      </c>
      <c r="L1087">
        <f>IF(ISNUMBER(B1087),INT(B1087),0)</f>
        <v/>
      </c>
    </row>
    <row r="1088">
      <c r="A1088" s="1" t="n"/>
      <c r="B1088" s="17" t="n"/>
      <c r="C1088" s="18" t="n"/>
      <c r="D1088" s="19" t="n"/>
      <c r="E1088" s="23" t="n"/>
      <c r="F1088" s="21" t="n"/>
      <c r="G1088" s="11">
        <f>IF(C1088="","",IFERROR(INDEX(Crops!$D$6:$D$65,MATCH(C1088,Crops!$B$6:$B$65,0))&amp;"",""))</f>
        <v/>
      </c>
      <c r="H1088" s="12">
        <f>IF(OR(C1088="",NOT(ISNUMBER(E1088))),"",E1088*N(IFERROR(INDEX(Crops!$E$6:$E$65,MATCH(C1088,Crops!$B$6:$B$65,0)),0)))</f>
        <v/>
      </c>
      <c r="I1088" s="11">
        <f>IF(AND(C1088="",E1088=""),"",IF(NOT(ISNUMBER(B1088)),"Needs a date",IF(C1088="","Needs a crop",IF(COUNTIF(Crops!$B$6:$B$65,C1088)=0,"Not on Crops",IF(NOT(ISNUMBER(E1088)),"Needs the amount",IF(AND(D1088&lt;&gt;"",COUNTIF(Beds!$B$6:$B$35,D1088)=0),"Not on Beds",""))))))</f>
        <v/>
      </c>
      <c r="J1088" s="1">
        <f>IF(ISNUMBER(B1088),YEAR(B1088),"")</f>
        <v/>
      </c>
      <c r="K1088">
        <f>IF(ISNUMBER(B1088),YEAR(B1088)*100+MONTH(B1088),"")</f>
        <v/>
      </c>
      <c r="L1088">
        <f>IF(ISNUMBER(B1088),INT(B1088),0)</f>
        <v/>
      </c>
    </row>
    <row r="1089">
      <c r="A1089" s="1" t="n"/>
      <c r="B1089" s="17" t="n"/>
      <c r="C1089" s="18" t="n"/>
      <c r="D1089" s="19" t="n"/>
      <c r="E1089" s="23" t="n"/>
      <c r="F1089" s="21" t="n"/>
      <c r="G1089" s="11">
        <f>IF(C1089="","",IFERROR(INDEX(Crops!$D$6:$D$65,MATCH(C1089,Crops!$B$6:$B$65,0))&amp;"",""))</f>
        <v/>
      </c>
      <c r="H1089" s="12">
        <f>IF(OR(C1089="",NOT(ISNUMBER(E1089))),"",E1089*N(IFERROR(INDEX(Crops!$E$6:$E$65,MATCH(C1089,Crops!$B$6:$B$65,0)),0)))</f>
        <v/>
      </c>
      <c r="I1089" s="11">
        <f>IF(AND(C1089="",E1089=""),"",IF(NOT(ISNUMBER(B1089)),"Needs a date",IF(C1089="","Needs a crop",IF(COUNTIF(Crops!$B$6:$B$65,C1089)=0,"Not on Crops",IF(NOT(ISNUMBER(E1089)),"Needs the amount",IF(AND(D1089&lt;&gt;"",COUNTIF(Beds!$B$6:$B$35,D1089)=0),"Not on Beds",""))))))</f>
        <v/>
      </c>
      <c r="J1089" s="1">
        <f>IF(ISNUMBER(B1089),YEAR(B1089),"")</f>
        <v/>
      </c>
      <c r="K1089">
        <f>IF(ISNUMBER(B1089),YEAR(B1089)*100+MONTH(B1089),"")</f>
        <v/>
      </c>
      <c r="L1089">
        <f>IF(ISNUMBER(B1089),INT(B1089),0)</f>
        <v/>
      </c>
    </row>
    <row r="1090">
      <c r="A1090" s="1" t="n"/>
      <c r="B1090" s="17" t="n"/>
      <c r="C1090" s="18" t="n"/>
      <c r="D1090" s="19" t="n"/>
      <c r="E1090" s="23" t="n"/>
      <c r="F1090" s="21" t="n"/>
      <c r="G1090" s="11">
        <f>IF(C1090="","",IFERROR(INDEX(Crops!$D$6:$D$65,MATCH(C1090,Crops!$B$6:$B$65,0))&amp;"",""))</f>
        <v/>
      </c>
      <c r="H1090" s="12">
        <f>IF(OR(C1090="",NOT(ISNUMBER(E1090))),"",E1090*N(IFERROR(INDEX(Crops!$E$6:$E$65,MATCH(C1090,Crops!$B$6:$B$65,0)),0)))</f>
        <v/>
      </c>
      <c r="I1090" s="11">
        <f>IF(AND(C1090="",E1090=""),"",IF(NOT(ISNUMBER(B1090)),"Needs a date",IF(C1090="","Needs a crop",IF(COUNTIF(Crops!$B$6:$B$65,C1090)=0,"Not on Crops",IF(NOT(ISNUMBER(E1090)),"Needs the amount",IF(AND(D1090&lt;&gt;"",COUNTIF(Beds!$B$6:$B$35,D1090)=0),"Not on Beds",""))))))</f>
        <v/>
      </c>
      <c r="J1090" s="1">
        <f>IF(ISNUMBER(B1090),YEAR(B1090),"")</f>
        <v/>
      </c>
      <c r="K1090">
        <f>IF(ISNUMBER(B1090),YEAR(B1090)*100+MONTH(B1090),"")</f>
        <v/>
      </c>
      <c r="L1090">
        <f>IF(ISNUMBER(B1090),INT(B1090),0)</f>
        <v/>
      </c>
    </row>
    <row r="1091">
      <c r="A1091" s="1" t="n"/>
      <c r="B1091" s="17" t="n"/>
      <c r="C1091" s="18" t="n"/>
      <c r="D1091" s="19" t="n"/>
      <c r="E1091" s="23" t="n"/>
      <c r="F1091" s="21" t="n"/>
      <c r="G1091" s="11">
        <f>IF(C1091="","",IFERROR(INDEX(Crops!$D$6:$D$65,MATCH(C1091,Crops!$B$6:$B$65,0))&amp;"",""))</f>
        <v/>
      </c>
      <c r="H1091" s="12">
        <f>IF(OR(C1091="",NOT(ISNUMBER(E1091))),"",E1091*N(IFERROR(INDEX(Crops!$E$6:$E$65,MATCH(C1091,Crops!$B$6:$B$65,0)),0)))</f>
        <v/>
      </c>
      <c r="I1091" s="11">
        <f>IF(AND(C1091="",E1091=""),"",IF(NOT(ISNUMBER(B1091)),"Needs a date",IF(C1091="","Needs a crop",IF(COUNTIF(Crops!$B$6:$B$65,C1091)=0,"Not on Crops",IF(NOT(ISNUMBER(E1091)),"Needs the amount",IF(AND(D1091&lt;&gt;"",COUNTIF(Beds!$B$6:$B$35,D1091)=0),"Not on Beds",""))))))</f>
        <v/>
      </c>
      <c r="J1091" s="1">
        <f>IF(ISNUMBER(B1091),YEAR(B1091),"")</f>
        <v/>
      </c>
      <c r="K1091">
        <f>IF(ISNUMBER(B1091),YEAR(B1091)*100+MONTH(B1091),"")</f>
        <v/>
      </c>
      <c r="L1091">
        <f>IF(ISNUMBER(B1091),INT(B1091),0)</f>
        <v/>
      </c>
    </row>
    <row r="1092">
      <c r="A1092" s="1" t="n"/>
      <c r="B1092" s="17" t="n"/>
      <c r="C1092" s="18" t="n"/>
      <c r="D1092" s="19" t="n"/>
      <c r="E1092" s="23" t="n"/>
      <c r="F1092" s="21" t="n"/>
      <c r="G1092" s="11">
        <f>IF(C1092="","",IFERROR(INDEX(Crops!$D$6:$D$65,MATCH(C1092,Crops!$B$6:$B$65,0))&amp;"",""))</f>
        <v/>
      </c>
      <c r="H1092" s="12">
        <f>IF(OR(C1092="",NOT(ISNUMBER(E1092))),"",E1092*N(IFERROR(INDEX(Crops!$E$6:$E$65,MATCH(C1092,Crops!$B$6:$B$65,0)),0)))</f>
        <v/>
      </c>
      <c r="I1092" s="11">
        <f>IF(AND(C1092="",E1092=""),"",IF(NOT(ISNUMBER(B1092)),"Needs a date",IF(C1092="","Needs a crop",IF(COUNTIF(Crops!$B$6:$B$65,C1092)=0,"Not on Crops",IF(NOT(ISNUMBER(E1092)),"Needs the amount",IF(AND(D1092&lt;&gt;"",COUNTIF(Beds!$B$6:$B$35,D1092)=0),"Not on Beds",""))))))</f>
        <v/>
      </c>
      <c r="J1092" s="1">
        <f>IF(ISNUMBER(B1092),YEAR(B1092),"")</f>
        <v/>
      </c>
      <c r="K1092">
        <f>IF(ISNUMBER(B1092),YEAR(B1092)*100+MONTH(B1092),"")</f>
        <v/>
      </c>
      <c r="L1092">
        <f>IF(ISNUMBER(B1092),INT(B1092),0)</f>
        <v/>
      </c>
    </row>
    <row r="1093">
      <c r="A1093" s="1" t="n"/>
      <c r="B1093" s="17" t="n"/>
      <c r="C1093" s="18" t="n"/>
      <c r="D1093" s="19" t="n"/>
      <c r="E1093" s="23" t="n"/>
      <c r="F1093" s="21" t="n"/>
      <c r="G1093" s="11">
        <f>IF(C1093="","",IFERROR(INDEX(Crops!$D$6:$D$65,MATCH(C1093,Crops!$B$6:$B$65,0))&amp;"",""))</f>
        <v/>
      </c>
      <c r="H1093" s="12">
        <f>IF(OR(C1093="",NOT(ISNUMBER(E1093))),"",E1093*N(IFERROR(INDEX(Crops!$E$6:$E$65,MATCH(C1093,Crops!$B$6:$B$65,0)),0)))</f>
        <v/>
      </c>
      <c r="I1093" s="11">
        <f>IF(AND(C1093="",E1093=""),"",IF(NOT(ISNUMBER(B1093)),"Needs a date",IF(C1093="","Needs a crop",IF(COUNTIF(Crops!$B$6:$B$65,C1093)=0,"Not on Crops",IF(NOT(ISNUMBER(E1093)),"Needs the amount",IF(AND(D1093&lt;&gt;"",COUNTIF(Beds!$B$6:$B$35,D1093)=0),"Not on Beds",""))))))</f>
        <v/>
      </c>
      <c r="J1093" s="1">
        <f>IF(ISNUMBER(B1093),YEAR(B1093),"")</f>
        <v/>
      </c>
      <c r="K1093">
        <f>IF(ISNUMBER(B1093),YEAR(B1093)*100+MONTH(B1093),"")</f>
        <v/>
      </c>
      <c r="L1093">
        <f>IF(ISNUMBER(B1093),INT(B1093),0)</f>
        <v/>
      </c>
    </row>
    <row r="1094">
      <c r="A1094" s="1" t="n"/>
      <c r="B1094" s="17" t="n"/>
      <c r="C1094" s="18" t="n"/>
      <c r="D1094" s="19" t="n"/>
      <c r="E1094" s="23" t="n"/>
      <c r="F1094" s="21" t="n"/>
      <c r="G1094" s="11">
        <f>IF(C1094="","",IFERROR(INDEX(Crops!$D$6:$D$65,MATCH(C1094,Crops!$B$6:$B$65,0))&amp;"",""))</f>
        <v/>
      </c>
      <c r="H1094" s="12">
        <f>IF(OR(C1094="",NOT(ISNUMBER(E1094))),"",E1094*N(IFERROR(INDEX(Crops!$E$6:$E$65,MATCH(C1094,Crops!$B$6:$B$65,0)),0)))</f>
        <v/>
      </c>
      <c r="I1094" s="11">
        <f>IF(AND(C1094="",E1094=""),"",IF(NOT(ISNUMBER(B1094)),"Needs a date",IF(C1094="","Needs a crop",IF(COUNTIF(Crops!$B$6:$B$65,C1094)=0,"Not on Crops",IF(NOT(ISNUMBER(E1094)),"Needs the amount",IF(AND(D1094&lt;&gt;"",COUNTIF(Beds!$B$6:$B$35,D1094)=0),"Not on Beds",""))))))</f>
        <v/>
      </c>
      <c r="J1094" s="1">
        <f>IF(ISNUMBER(B1094),YEAR(B1094),"")</f>
        <v/>
      </c>
      <c r="K1094">
        <f>IF(ISNUMBER(B1094),YEAR(B1094)*100+MONTH(B1094),"")</f>
        <v/>
      </c>
      <c r="L1094">
        <f>IF(ISNUMBER(B1094),INT(B1094),0)</f>
        <v/>
      </c>
    </row>
    <row r="1095">
      <c r="A1095" s="1" t="n"/>
      <c r="B1095" s="17" t="n"/>
      <c r="C1095" s="18" t="n"/>
      <c r="D1095" s="19" t="n"/>
      <c r="E1095" s="23" t="n"/>
      <c r="F1095" s="21" t="n"/>
      <c r="G1095" s="11">
        <f>IF(C1095="","",IFERROR(INDEX(Crops!$D$6:$D$65,MATCH(C1095,Crops!$B$6:$B$65,0))&amp;"",""))</f>
        <v/>
      </c>
      <c r="H1095" s="12">
        <f>IF(OR(C1095="",NOT(ISNUMBER(E1095))),"",E1095*N(IFERROR(INDEX(Crops!$E$6:$E$65,MATCH(C1095,Crops!$B$6:$B$65,0)),0)))</f>
        <v/>
      </c>
      <c r="I1095" s="11">
        <f>IF(AND(C1095="",E1095=""),"",IF(NOT(ISNUMBER(B1095)),"Needs a date",IF(C1095="","Needs a crop",IF(COUNTIF(Crops!$B$6:$B$65,C1095)=0,"Not on Crops",IF(NOT(ISNUMBER(E1095)),"Needs the amount",IF(AND(D1095&lt;&gt;"",COUNTIF(Beds!$B$6:$B$35,D1095)=0),"Not on Beds",""))))))</f>
        <v/>
      </c>
      <c r="J1095" s="1">
        <f>IF(ISNUMBER(B1095),YEAR(B1095),"")</f>
        <v/>
      </c>
      <c r="K1095">
        <f>IF(ISNUMBER(B1095),YEAR(B1095)*100+MONTH(B1095),"")</f>
        <v/>
      </c>
      <c r="L1095">
        <f>IF(ISNUMBER(B1095),INT(B1095),0)</f>
        <v/>
      </c>
    </row>
    <row r="1096">
      <c r="A1096" s="1" t="n"/>
      <c r="B1096" s="17" t="n"/>
      <c r="C1096" s="18" t="n"/>
      <c r="D1096" s="19" t="n"/>
      <c r="E1096" s="23" t="n"/>
      <c r="F1096" s="21" t="n"/>
      <c r="G1096" s="11">
        <f>IF(C1096="","",IFERROR(INDEX(Crops!$D$6:$D$65,MATCH(C1096,Crops!$B$6:$B$65,0))&amp;"",""))</f>
        <v/>
      </c>
      <c r="H1096" s="12">
        <f>IF(OR(C1096="",NOT(ISNUMBER(E1096))),"",E1096*N(IFERROR(INDEX(Crops!$E$6:$E$65,MATCH(C1096,Crops!$B$6:$B$65,0)),0)))</f>
        <v/>
      </c>
      <c r="I1096" s="11">
        <f>IF(AND(C1096="",E1096=""),"",IF(NOT(ISNUMBER(B1096)),"Needs a date",IF(C1096="","Needs a crop",IF(COUNTIF(Crops!$B$6:$B$65,C1096)=0,"Not on Crops",IF(NOT(ISNUMBER(E1096)),"Needs the amount",IF(AND(D1096&lt;&gt;"",COUNTIF(Beds!$B$6:$B$35,D1096)=0),"Not on Beds",""))))))</f>
        <v/>
      </c>
      <c r="J1096" s="1">
        <f>IF(ISNUMBER(B1096),YEAR(B1096),"")</f>
        <v/>
      </c>
      <c r="K1096">
        <f>IF(ISNUMBER(B1096),YEAR(B1096)*100+MONTH(B1096),"")</f>
        <v/>
      </c>
      <c r="L1096">
        <f>IF(ISNUMBER(B1096),INT(B1096),0)</f>
        <v/>
      </c>
    </row>
    <row r="1097">
      <c r="A1097" s="1" t="n"/>
      <c r="B1097" s="17" t="n"/>
      <c r="C1097" s="18" t="n"/>
      <c r="D1097" s="19" t="n"/>
      <c r="E1097" s="23" t="n"/>
      <c r="F1097" s="21" t="n"/>
      <c r="G1097" s="11">
        <f>IF(C1097="","",IFERROR(INDEX(Crops!$D$6:$D$65,MATCH(C1097,Crops!$B$6:$B$65,0))&amp;"",""))</f>
        <v/>
      </c>
      <c r="H1097" s="12">
        <f>IF(OR(C1097="",NOT(ISNUMBER(E1097))),"",E1097*N(IFERROR(INDEX(Crops!$E$6:$E$65,MATCH(C1097,Crops!$B$6:$B$65,0)),0)))</f>
        <v/>
      </c>
      <c r="I1097" s="11">
        <f>IF(AND(C1097="",E1097=""),"",IF(NOT(ISNUMBER(B1097)),"Needs a date",IF(C1097="","Needs a crop",IF(COUNTIF(Crops!$B$6:$B$65,C1097)=0,"Not on Crops",IF(NOT(ISNUMBER(E1097)),"Needs the amount",IF(AND(D1097&lt;&gt;"",COUNTIF(Beds!$B$6:$B$35,D1097)=0),"Not on Beds",""))))))</f>
        <v/>
      </c>
      <c r="J1097" s="1">
        <f>IF(ISNUMBER(B1097),YEAR(B1097),"")</f>
        <v/>
      </c>
      <c r="K1097">
        <f>IF(ISNUMBER(B1097),YEAR(B1097)*100+MONTH(B1097),"")</f>
        <v/>
      </c>
      <c r="L1097">
        <f>IF(ISNUMBER(B1097),INT(B1097),0)</f>
        <v/>
      </c>
    </row>
    <row r="1098">
      <c r="A1098" s="1" t="n"/>
      <c r="B1098" s="17" t="n"/>
      <c r="C1098" s="18" t="n"/>
      <c r="D1098" s="19" t="n"/>
      <c r="E1098" s="23" t="n"/>
      <c r="F1098" s="21" t="n"/>
      <c r="G1098" s="11">
        <f>IF(C1098="","",IFERROR(INDEX(Crops!$D$6:$D$65,MATCH(C1098,Crops!$B$6:$B$65,0))&amp;"",""))</f>
        <v/>
      </c>
      <c r="H1098" s="12">
        <f>IF(OR(C1098="",NOT(ISNUMBER(E1098))),"",E1098*N(IFERROR(INDEX(Crops!$E$6:$E$65,MATCH(C1098,Crops!$B$6:$B$65,0)),0)))</f>
        <v/>
      </c>
      <c r="I1098" s="11">
        <f>IF(AND(C1098="",E1098=""),"",IF(NOT(ISNUMBER(B1098)),"Needs a date",IF(C1098="","Needs a crop",IF(COUNTIF(Crops!$B$6:$B$65,C1098)=0,"Not on Crops",IF(NOT(ISNUMBER(E1098)),"Needs the amount",IF(AND(D1098&lt;&gt;"",COUNTIF(Beds!$B$6:$B$35,D1098)=0),"Not on Beds",""))))))</f>
        <v/>
      </c>
      <c r="J1098" s="1">
        <f>IF(ISNUMBER(B1098),YEAR(B1098),"")</f>
        <v/>
      </c>
      <c r="K1098">
        <f>IF(ISNUMBER(B1098),YEAR(B1098)*100+MONTH(B1098),"")</f>
        <v/>
      </c>
      <c r="L1098">
        <f>IF(ISNUMBER(B1098),INT(B1098),0)</f>
        <v/>
      </c>
    </row>
    <row r="1099">
      <c r="A1099" s="1" t="n"/>
      <c r="B1099" s="17" t="n"/>
      <c r="C1099" s="18" t="n"/>
      <c r="D1099" s="19" t="n"/>
      <c r="E1099" s="23" t="n"/>
      <c r="F1099" s="21" t="n"/>
      <c r="G1099" s="11">
        <f>IF(C1099="","",IFERROR(INDEX(Crops!$D$6:$D$65,MATCH(C1099,Crops!$B$6:$B$65,0))&amp;"",""))</f>
        <v/>
      </c>
      <c r="H1099" s="12">
        <f>IF(OR(C1099="",NOT(ISNUMBER(E1099))),"",E1099*N(IFERROR(INDEX(Crops!$E$6:$E$65,MATCH(C1099,Crops!$B$6:$B$65,0)),0)))</f>
        <v/>
      </c>
      <c r="I1099" s="11">
        <f>IF(AND(C1099="",E1099=""),"",IF(NOT(ISNUMBER(B1099)),"Needs a date",IF(C1099="","Needs a crop",IF(COUNTIF(Crops!$B$6:$B$65,C1099)=0,"Not on Crops",IF(NOT(ISNUMBER(E1099)),"Needs the amount",IF(AND(D1099&lt;&gt;"",COUNTIF(Beds!$B$6:$B$35,D1099)=0),"Not on Beds",""))))))</f>
        <v/>
      </c>
      <c r="J1099" s="1">
        <f>IF(ISNUMBER(B1099),YEAR(B1099),"")</f>
        <v/>
      </c>
      <c r="K1099">
        <f>IF(ISNUMBER(B1099),YEAR(B1099)*100+MONTH(B1099),"")</f>
        <v/>
      </c>
      <c r="L1099">
        <f>IF(ISNUMBER(B1099),INT(B1099),0)</f>
        <v/>
      </c>
    </row>
    <row r="1100">
      <c r="A1100" s="1" t="n"/>
      <c r="B1100" s="17" t="n"/>
      <c r="C1100" s="18" t="n"/>
      <c r="D1100" s="19" t="n"/>
      <c r="E1100" s="23" t="n"/>
      <c r="F1100" s="21" t="n"/>
      <c r="G1100" s="11">
        <f>IF(C1100="","",IFERROR(INDEX(Crops!$D$6:$D$65,MATCH(C1100,Crops!$B$6:$B$65,0))&amp;"",""))</f>
        <v/>
      </c>
      <c r="H1100" s="12">
        <f>IF(OR(C1100="",NOT(ISNUMBER(E1100))),"",E1100*N(IFERROR(INDEX(Crops!$E$6:$E$65,MATCH(C1100,Crops!$B$6:$B$65,0)),0)))</f>
        <v/>
      </c>
      <c r="I1100" s="11">
        <f>IF(AND(C1100="",E1100=""),"",IF(NOT(ISNUMBER(B1100)),"Needs a date",IF(C1100="","Needs a crop",IF(COUNTIF(Crops!$B$6:$B$65,C1100)=0,"Not on Crops",IF(NOT(ISNUMBER(E1100)),"Needs the amount",IF(AND(D1100&lt;&gt;"",COUNTIF(Beds!$B$6:$B$35,D1100)=0),"Not on Beds",""))))))</f>
        <v/>
      </c>
      <c r="J1100" s="1">
        <f>IF(ISNUMBER(B1100),YEAR(B1100),"")</f>
        <v/>
      </c>
      <c r="K1100">
        <f>IF(ISNUMBER(B1100),YEAR(B1100)*100+MONTH(B1100),"")</f>
        <v/>
      </c>
      <c r="L1100">
        <f>IF(ISNUMBER(B1100),INT(B1100),0)</f>
        <v/>
      </c>
    </row>
    <row r="1101">
      <c r="A1101" s="1" t="n"/>
      <c r="B1101" s="17" t="n"/>
      <c r="C1101" s="18" t="n"/>
      <c r="D1101" s="19" t="n"/>
      <c r="E1101" s="23" t="n"/>
      <c r="F1101" s="21" t="n"/>
      <c r="G1101" s="11">
        <f>IF(C1101="","",IFERROR(INDEX(Crops!$D$6:$D$65,MATCH(C1101,Crops!$B$6:$B$65,0))&amp;"",""))</f>
        <v/>
      </c>
      <c r="H1101" s="12">
        <f>IF(OR(C1101="",NOT(ISNUMBER(E1101))),"",E1101*N(IFERROR(INDEX(Crops!$E$6:$E$65,MATCH(C1101,Crops!$B$6:$B$65,0)),0)))</f>
        <v/>
      </c>
      <c r="I1101" s="11">
        <f>IF(AND(C1101="",E1101=""),"",IF(NOT(ISNUMBER(B1101)),"Needs a date",IF(C1101="","Needs a crop",IF(COUNTIF(Crops!$B$6:$B$65,C1101)=0,"Not on Crops",IF(NOT(ISNUMBER(E1101)),"Needs the amount",IF(AND(D1101&lt;&gt;"",COUNTIF(Beds!$B$6:$B$35,D1101)=0),"Not on Beds",""))))))</f>
        <v/>
      </c>
      <c r="J1101" s="1">
        <f>IF(ISNUMBER(B1101),YEAR(B1101),"")</f>
        <v/>
      </c>
      <c r="K1101">
        <f>IF(ISNUMBER(B1101),YEAR(B1101)*100+MONTH(B1101),"")</f>
        <v/>
      </c>
      <c r="L1101">
        <f>IF(ISNUMBER(B1101),INT(B1101),0)</f>
        <v/>
      </c>
    </row>
    <row r="1102">
      <c r="A1102" s="1" t="n"/>
      <c r="B1102" s="17" t="n"/>
      <c r="C1102" s="18" t="n"/>
      <c r="D1102" s="19" t="n"/>
      <c r="E1102" s="23" t="n"/>
      <c r="F1102" s="21" t="n"/>
      <c r="G1102" s="11">
        <f>IF(C1102="","",IFERROR(INDEX(Crops!$D$6:$D$65,MATCH(C1102,Crops!$B$6:$B$65,0))&amp;"",""))</f>
        <v/>
      </c>
      <c r="H1102" s="12">
        <f>IF(OR(C1102="",NOT(ISNUMBER(E1102))),"",E1102*N(IFERROR(INDEX(Crops!$E$6:$E$65,MATCH(C1102,Crops!$B$6:$B$65,0)),0)))</f>
        <v/>
      </c>
      <c r="I1102" s="11">
        <f>IF(AND(C1102="",E1102=""),"",IF(NOT(ISNUMBER(B1102)),"Needs a date",IF(C1102="","Needs a crop",IF(COUNTIF(Crops!$B$6:$B$65,C1102)=0,"Not on Crops",IF(NOT(ISNUMBER(E1102)),"Needs the amount",IF(AND(D1102&lt;&gt;"",COUNTIF(Beds!$B$6:$B$35,D1102)=0),"Not on Beds",""))))))</f>
        <v/>
      </c>
      <c r="J1102" s="1">
        <f>IF(ISNUMBER(B1102),YEAR(B1102),"")</f>
        <v/>
      </c>
      <c r="K1102">
        <f>IF(ISNUMBER(B1102),YEAR(B1102)*100+MONTH(B1102),"")</f>
        <v/>
      </c>
      <c r="L1102">
        <f>IF(ISNUMBER(B1102),INT(B1102),0)</f>
        <v/>
      </c>
    </row>
    <row r="1103">
      <c r="A1103" s="1" t="n"/>
      <c r="B1103" s="17" t="n"/>
      <c r="C1103" s="18" t="n"/>
      <c r="D1103" s="19" t="n"/>
      <c r="E1103" s="23" t="n"/>
      <c r="F1103" s="21" t="n"/>
      <c r="G1103" s="11">
        <f>IF(C1103="","",IFERROR(INDEX(Crops!$D$6:$D$65,MATCH(C1103,Crops!$B$6:$B$65,0))&amp;"",""))</f>
        <v/>
      </c>
      <c r="H1103" s="12">
        <f>IF(OR(C1103="",NOT(ISNUMBER(E1103))),"",E1103*N(IFERROR(INDEX(Crops!$E$6:$E$65,MATCH(C1103,Crops!$B$6:$B$65,0)),0)))</f>
        <v/>
      </c>
      <c r="I1103" s="11">
        <f>IF(AND(C1103="",E1103=""),"",IF(NOT(ISNUMBER(B1103)),"Needs a date",IF(C1103="","Needs a crop",IF(COUNTIF(Crops!$B$6:$B$65,C1103)=0,"Not on Crops",IF(NOT(ISNUMBER(E1103)),"Needs the amount",IF(AND(D1103&lt;&gt;"",COUNTIF(Beds!$B$6:$B$35,D1103)=0),"Not on Beds",""))))))</f>
        <v/>
      </c>
      <c r="J1103" s="1">
        <f>IF(ISNUMBER(B1103),YEAR(B1103),"")</f>
        <v/>
      </c>
      <c r="K1103">
        <f>IF(ISNUMBER(B1103),YEAR(B1103)*100+MONTH(B1103),"")</f>
        <v/>
      </c>
      <c r="L1103">
        <f>IF(ISNUMBER(B1103),INT(B1103),0)</f>
        <v/>
      </c>
    </row>
    <row r="1104">
      <c r="A1104" s="1" t="n"/>
      <c r="B1104" s="17" t="n"/>
      <c r="C1104" s="18" t="n"/>
      <c r="D1104" s="19" t="n"/>
      <c r="E1104" s="23" t="n"/>
      <c r="F1104" s="21" t="n"/>
      <c r="G1104" s="11">
        <f>IF(C1104="","",IFERROR(INDEX(Crops!$D$6:$D$65,MATCH(C1104,Crops!$B$6:$B$65,0))&amp;"",""))</f>
        <v/>
      </c>
      <c r="H1104" s="12">
        <f>IF(OR(C1104="",NOT(ISNUMBER(E1104))),"",E1104*N(IFERROR(INDEX(Crops!$E$6:$E$65,MATCH(C1104,Crops!$B$6:$B$65,0)),0)))</f>
        <v/>
      </c>
      <c r="I1104" s="11">
        <f>IF(AND(C1104="",E1104=""),"",IF(NOT(ISNUMBER(B1104)),"Needs a date",IF(C1104="","Needs a crop",IF(COUNTIF(Crops!$B$6:$B$65,C1104)=0,"Not on Crops",IF(NOT(ISNUMBER(E1104)),"Needs the amount",IF(AND(D1104&lt;&gt;"",COUNTIF(Beds!$B$6:$B$35,D1104)=0),"Not on Beds",""))))))</f>
        <v/>
      </c>
      <c r="J1104" s="1">
        <f>IF(ISNUMBER(B1104),YEAR(B1104),"")</f>
        <v/>
      </c>
      <c r="K1104">
        <f>IF(ISNUMBER(B1104),YEAR(B1104)*100+MONTH(B1104),"")</f>
        <v/>
      </c>
      <c r="L1104">
        <f>IF(ISNUMBER(B1104),INT(B1104),0)</f>
        <v/>
      </c>
    </row>
    <row r="1105">
      <c r="A1105" s="1" t="n"/>
      <c r="B1105" s="17" t="n"/>
      <c r="C1105" s="18" t="n"/>
      <c r="D1105" s="19" t="n"/>
      <c r="E1105" s="23" t="n"/>
      <c r="F1105" s="21" t="n"/>
      <c r="G1105" s="11">
        <f>IF(C1105="","",IFERROR(INDEX(Crops!$D$6:$D$65,MATCH(C1105,Crops!$B$6:$B$65,0))&amp;"",""))</f>
        <v/>
      </c>
      <c r="H1105" s="12">
        <f>IF(OR(C1105="",NOT(ISNUMBER(E1105))),"",E1105*N(IFERROR(INDEX(Crops!$E$6:$E$65,MATCH(C1105,Crops!$B$6:$B$65,0)),0)))</f>
        <v/>
      </c>
      <c r="I1105" s="11">
        <f>IF(AND(C1105="",E1105=""),"",IF(NOT(ISNUMBER(B1105)),"Needs a date",IF(C1105="","Needs a crop",IF(COUNTIF(Crops!$B$6:$B$65,C1105)=0,"Not on Crops",IF(NOT(ISNUMBER(E1105)),"Needs the amount",IF(AND(D1105&lt;&gt;"",COUNTIF(Beds!$B$6:$B$35,D1105)=0),"Not on Beds",""))))))</f>
        <v/>
      </c>
      <c r="J1105" s="1">
        <f>IF(ISNUMBER(B1105),YEAR(B1105),"")</f>
        <v/>
      </c>
      <c r="K1105">
        <f>IF(ISNUMBER(B1105),YEAR(B1105)*100+MONTH(B1105),"")</f>
        <v/>
      </c>
      <c r="L1105">
        <f>IF(ISNUMBER(B1105),INT(B1105),0)</f>
        <v/>
      </c>
    </row>
    <row r="1106">
      <c r="A1106" s="1" t="n"/>
      <c r="B1106" s="17" t="n"/>
      <c r="C1106" s="18" t="n"/>
      <c r="D1106" s="19" t="n"/>
      <c r="E1106" s="23" t="n"/>
      <c r="F1106" s="21" t="n"/>
      <c r="G1106" s="11">
        <f>IF(C1106="","",IFERROR(INDEX(Crops!$D$6:$D$65,MATCH(C1106,Crops!$B$6:$B$65,0))&amp;"",""))</f>
        <v/>
      </c>
      <c r="H1106" s="12">
        <f>IF(OR(C1106="",NOT(ISNUMBER(E1106))),"",E1106*N(IFERROR(INDEX(Crops!$E$6:$E$65,MATCH(C1106,Crops!$B$6:$B$65,0)),0)))</f>
        <v/>
      </c>
      <c r="I1106" s="11">
        <f>IF(AND(C1106="",E1106=""),"",IF(NOT(ISNUMBER(B1106)),"Needs a date",IF(C1106="","Needs a crop",IF(COUNTIF(Crops!$B$6:$B$65,C1106)=0,"Not on Crops",IF(NOT(ISNUMBER(E1106)),"Needs the amount",IF(AND(D1106&lt;&gt;"",COUNTIF(Beds!$B$6:$B$35,D1106)=0),"Not on Beds",""))))))</f>
        <v/>
      </c>
      <c r="J1106" s="1">
        <f>IF(ISNUMBER(B1106),YEAR(B1106),"")</f>
        <v/>
      </c>
      <c r="K1106">
        <f>IF(ISNUMBER(B1106),YEAR(B1106)*100+MONTH(B1106),"")</f>
        <v/>
      </c>
      <c r="L1106">
        <f>IF(ISNUMBER(B1106),INT(B1106),0)</f>
        <v/>
      </c>
    </row>
    <row r="1107">
      <c r="A1107" s="1" t="n"/>
      <c r="B1107" s="17" t="n"/>
      <c r="C1107" s="18" t="n"/>
      <c r="D1107" s="19" t="n"/>
      <c r="E1107" s="23" t="n"/>
      <c r="F1107" s="21" t="n"/>
      <c r="G1107" s="11">
        <f>IF(C1107="","",IFERROR(INDEX(Crops!$D$6:$D$65,MATCH(C1107,Crops!$B$6:$B$65,0))&amp;"",""))</f>
        <v/>
      </c>
      <c r="H1107" s="12">
        <f>IF(OR(C1107="",NOT(ISNUMBER(E1107))),"",E1107*N(IFERROR(INDEX(Crops!$E$6:$E$65,MATCH(C1107,Crops!$B$6:$B$65,0)),0)))</f>
        <v/>
      </c>
      <c r="I1107" s="11">
        <f>IF(AND(C1107="",E1107=""),"",IF(NOT(ISNUMBER(B1107)),"Needs a date",IF(C1107="","Needs a crop",IF(COUNTIF(Crops!$B$6:$B$65,C1107)=0,"Not on Crops",IF(NOT(ISNUMBER(E1107)),"Needs the amount",IF(AND(D1107&lt;&gt;"",COUNTIF(Beds!$B$6:$B$35,D1107)=0),"Not on Beds",""))))))</f>
        <v/>
      </c>
      <c r="J1107" s="1">
        <f>IF(ISNUMBER(B1107),YEAR(B1107),"")</f>
        <v/>
      </c>
      <c r="K1107">
        <f>IF(ISNUMBER(B1107),YEAR(B1107)*100+MONTH(B1107),"")</f>
        <v/>
      </c>
      <c r="L1107">
        <f>IF(ISNUMBER(B1107),INT(B1107),0)</f>
        <v/>
      </c>
    </row>
    <row r="1108">
      <c r="A1108" s="1" t="n"/>
      <c r="B1108" s="17" t="n"/>
      <c r="C1108" s="18" t="n"/>
      <c r="D1108" s="19" t="n"/>
      <c r="E1108" s="23" t="n"/>
      <c r="F1108" s="21" t="n"/>
      <c r="G1108" s="11">
        <f>IF(C1108="","",IFERROR(INDEX(Crops!$D$6:$D$65,MATCH(C1108,Crops!$B$6:$B$65,0))&amp;"",""))</f>
        <v/>
      </c>
      <c r="H1108" s="12">
        <f>IF(OR(C1108="",NOT(ISNUMBER(E1108))),"",E1108*N(IFERROR(INDEX(Crops!$E$6:$E$65,MATCH(C1108,Crops!$B$6:$B$65,0)),0)))</f>
        <v/>
      </c>
      <c r="I1108" s="11">
        <f>IF(AND(C1108="",E1108=""),"",IF(NOT(ISNUMBER(B1108)),"Needs a date",IF(C1108="","Needs a crop",IF(COUNTIF(Crops!$B$6:$B$65,C1108)=0,"Not on Crops",IF(NOT(ISNUMBER(E1108)),"Needs the amount",IF(AND(D1108&lt;&gt;"",COUNTIF(Beds!$B$6:$B$35,D1108)=0),"Not on Beds",""))))))</f>
        <v/>
      </c>
      <c r="J1108" s="1">
        <f>IF(ISNUMBER(B1108),YEAR(B1108),"")</f>
        <v/>
      </c>
      <c r="K1108">
        <f>IF(ISNUMBER(B1108),YEAR(B1108)*100+MONTH(B1108),"")</f>
        <v/>
      </c>
      <c r="L1108">
        <f>IF(ISNUMBER(B1108),INT(B1108),0)</f>
        <v/>
      </c>
    </row>
    <row r="1109">
      <c r="A1109" s="1" t="n"/>
      <c r="B1109" s="17" t="n"/>
      <c r="C1109" s="18" t="n"/>
      <c r="D1109" s="19" t="n"/>
      <c r="E1109" s="23" t="n"/>
      <c r="F1109" s="21" t="n"/>
      <c r="G1109" s="11">
        <f>IF(C1109="","",IFERROR(INDEX(Crops!$D$6:$D$65,MATCH(C1109,Crops!$B$6:$B$65,0))&amp;"",""))</f>
        <v/>
      </c>
      <c r="H1109" s="12">
        <f>IF(OR(C1109="",NOT(ISNUMBER(E1109))),"",E1109*N(IFERROR(INDEX(Crops!$E$6:$E$65,MATCH(C1109,Crops!$B$6:$B$65,0)),0)))</f>
        <v/>
      </c>
      <c r="I1109" s="11">
        <f>IF(AND(C1109="",E1109=""),"",IF(NOT(ISNUMBER(B1109)),"Needs a date",IF(C1109="","Needs a crop",IF(COUNTIF(Crops!$B$6:$B$65,C1109)=0,"Not on Crops",IF(NOT(ISNUMBER(E1109)),"Needs the amount",IF(AND(D1109&lt;&gt;"",COUNTIF(Beds!$B$6:$B$35,D1109)=0),"Not on Beds",""))))))</f>
        <v/>
      </c>
      <c r="J1109" s="1">
        <f>IF(ISNUMBER(B1109),YEAR(B1109),"")</f>
        <v/>
      </c>
      <c r="K1109">
        <f>IF(ISNUMBER(B1109),YEAR(B1109)*100+MONTH(B1109),"")</f>
        <v/>
      </c>
      <c r="L1109">
        <f>IF(ISNUMBER(B1109),INT(B1109),0)</f>
        <v/>
      </c>
    </row>
    <row r="1110">
      <c r="A1110" s="1" t="n"/>
      <c r="B1110" s="17" t="n"/>
      <c r="C1110" s="18" t="n"/>
      <c r="D1110" s="19" t="n"/>
      <c r="E1110" s="23" t="n"/>
      <c r="F1110" s="21" t="n"/>
      <c r="G1110" s="11">
        <f>IF(C1110="","",IFERROR(INDEX(Crops!$D$6:$D$65,MATCH(C1110,Crops!$B$6:$B$65,0))&amp;"",""))</f>
        <v/>
      </c>
      <c r="H1110" s="12">
        <f>IF(OR(C1110="",NOT(ISNUMBER(E1110))),"",E1110*N(IFERROR(INDEX(Crops!$E$6:$E$65,MATCH(C1110,Crops!$B$6:$B$65,0)),0)))</f>
        <v/>
      </c>
      <c r="I1110" s="11">
        <f>IF(AND(C1110="",E1110=""),"",IF(NOT(ISNUMBER(B1110)),"Needs a date",IF(C1110="","Needs a crop",IF(COUNTIF(Crops!$B$6:$B$65,C1110)=0,"Not on Crops",IF(NOT(ISNUMBER(E1110)),"Needs the amount",IF(AND(D1110&lt;&gt;"",COUNTIF(Beds!$B$6:$B$35,D1110)=0),"Not on Beds",""))))))</f>
        <v/>
      </c>
      <c r="J1110" s="1">
        <f>IF(ISNUMBER(B1110),YEAR(B1110),"")</f>
        <v/>
      </c>
      <c r="K1110">
        <f>IF(ISNUMBER(B1110),YEAR(B1110)*100+MONTH(B1110),"")</f>
        <v/>
      </c>
      <c r="L1110">
        <f>IF(ISNUMBER(B1110),INT(B1110),0)</f>
        <v/>
      </c>
    </row>
    <row r="1111">
      <c r="A1111" s="1" t="n"/>
      <c r="B1111" s="17" t="n"/>
      <c r="C1111" s="18" t="n"/>
      <c r="D1111" s="19" t="n"/>
      <c r="E1111" s="23" t="n"/>
      <c r="F1111" s="21" t="n"/>
      <c r="G1111" s="11">
        <f>IF(C1111="","",IFERROR(INDEX(Crops!$D$6:$D$65,MATCH(C1111,Crops!$B$6:$B$65,0))&amp;"",""))</f>
        <v/>
      </c>
      <c r="H1111" s="12">
        <f>IF(OR(C1111="",NOT(ISNUMBER(E1111))),"",E1111*N(IFERROR(INDEX(Crops!$E$6:$E$65,MATCH(C1111,Crops!$B$6:$B$65,0)),0)))</f>
        <v/>
      </c>
      <c r="I1111" s="11">
        <f>IF(AND(C1111="",E1111=""),"",IF(NOT(ISNUMBER(B1111)),"Needs a date",IF(C1111="","Needs a crop",IF(COUNTIF(Crops!$B$6:$B$65,C1111)=0,"Not on Crops",IF(NOT(ISNUMBER(E1111)),"Needs the amount",IF(AND(D1111&lt;&gt;"",COUNTIF(Beds!$B$6:$B$35,D1111)=0),"Not on Beds",""))))))</f>
        <v/>
      </c>
      <c r="J1111" s="1">
        <f>IF(ISNUMBER(B1111),YEAR(B1111),"")</f>
        <v/>
      </c>
      <c r="K1111">
        <f>IF(ISNUMBER(B1111),YEAR(B1111)*100+MONTH(B1111),"")</f>
        <v/>
      </c>
      <c r="L1111">
        <f>IF(ISNUMBER(B1111),INT(B1111),0)</f>
        <v/>
      </c>
    </row>
    <row r="1112">
      <c r="A1112" s="1" t="n"/>
      <c r="B1112" s="17" t="n"/>
      <c r="C1112" s="18" t="n"/>
      <c r="D1112" s="19" t="n"/>
      <c r="E1112" s="23" t="n"/>
      <c r="F1112" s="21" t="n"/>
      <c r="G1112" s="11">
        <f>IF(C1112="","",IFERROR(INDEX(Crops!$D$6:$D$65,MATCH(C1112,Crops!$B$6:$B$65,0))&amp;"",""))</f>
        <v/>
      </c>
      <c r="H1112" s="12">
        <f>IF(OR(C1112="",NOT(ISNUMBER(E1112))),"",E1112*N(IFERROR(INDEX(Crops!$E$6:$E$65,MATCH(C1112,Crops!$B$6:$B$65,0)),0)))</f>
        <v/>
      </c>
      <c r="I1112" s="11">
        <f>IF(AND(C1112="",E1112=""),"",IF(NOT(ISNUMBER(B1112)),"Needs a date",IF(C1112="","Needs a crop",IF(COUNTIF(Crops!$B$6:$B$65,C1112)=0,"Not on Crops",IF(NOT(ISNUMBER(E1112)),"Needs the amount",IF(AND(D1112&lt;&gt;"",COUNTIF(Beds!$B$6:$B$35,D1112)=0),"Not on Beds",""))))))</f>
        <v/>
      </c>
      <c r="J1112" s="1">
        <f>IF(ISNUMBER(B1112),YEAR(B1112),"")</f>
        <v/>
      </c>
      <c r="K1112">
        <f>IF(ISNUMBER(B1112),YEAR(B1112)*100+MONTH(B1112),"")</f>
        <v/>
      </c>
      <c r="L1112">
        <f>IF(ISNUMBER(B1112),INT(B1112),0)</f>
        <v/>
      </c>
    </row>
    <row r="1113">
      <c r="A1113" s="1" t="n"/>
      <c r="B1113" s="17" t="n"/>
      <c r="C1113" s="18" t="n"/>
      <c r="D1113" s="19" t="n"/>
      <c r="E1113" s="23" t="n"/>
      <c r="F1113" s="21" t="n"/>
      <c r="G1113" s="11">
        <f>IF(C1113="","",IFERROR(INDEX(Crops!$D$6:$D$65,MATCH(C1113,Crops!$B$6:$B$65,0))&amp;"",""))</f>
        <v/>
      </c>
      <c r="H1113" s="12">
        <f>IF(OR(C1113="",NOT(ISNUMBER(E1113))),"",E1113*N(IFERROR(INDEX(Crops!$E$6:$E$65,MATCH(C1113,Crops!$B$6:$B$65,0)),0)))</f>
        <v/>
      </c>
      <c r="I1113" s="11">
        <f>IF(AND(C1113="",E1113=""),"",IF(NOT(ISNUMBER(B1113)),"Needs a date",IF(C1113="","Needs a crop",IF(COUNTIF(Crops!$B$6:$B$65,C1113)=0,"Not on Crops",IF(NOT(ISNUMBER(E1113)),"Needs the amount",IF(AND(D1113&lt;&gt;"",COUNTIF(Beds!$B$6:$B$35,D1113)=0),"Not on Beds",""))))))</f>
        <v/>
      </c>
      <c r="J1113" s="1">
        <f>IF(ISNUMBER(B1113),YEAR(B1113),"")</f>
        <v/>
      </c>
      <c r="K1113">
        <f>IF(ISNUMBER(B1113),YEAR(B1113)*100+MONTH(B1113),"")</f>
        <v/>
      </c>
      <c r="L1113">
        <f>IF(ISNUMBER(B1113),INT(B1113),0)</f>
        <v/>
      </c>
    </row>
    <row r="1114">
      <c r="A1114" s="1" t="n"/>
      <c r="B1114" s="17" t="n"/>
      <c r="C1114" s="18" t="n"/>
      <c r="D1114" s="19" t="n"/>
      <c r="E1114" s="23" t="n"/>
      <c r="F1114" s="21" t="n"/>
      <c r="G1114" s="11">
        <f>IF(C1114="","",IFERROR(INDEX(Crops!$D$6:$D$65,MATCH(C1114,Crops!$B$6:$B$65,0))&amp;"",""))</f>
        <v/>
      </c>
      <c r="H1114" s="12">
        <f>IF(OR(C1114="",NOT(ISNUMBER(E1114))),"",E1114*N(IFERROR(INDEX(Crops!$E$6:$E$65,MATCH(C1114,Crops!$B$6:$B$65,0)),0)))</f>
        <v/>
      </c>
      <c r="I1114" s="11">
        <f>IF(AND(C1114="",E1114=""),"",IF(NOT(ISNUMBER(B1114)),"Needs a date",IF(C1114="","Needs a crop",IF(COUNTIF(Crops!$B$6:$B$65,C1114)=0,"Not on Crops",IF(NOT(ISNUMBER(E1114)),"Needs the amount",IF(AND(D1114&lt;&gt;"",COUNTIF(Beds!$B$6:$B$35,D1114)=0),"Not on Beds",""))))))</f>
        <v/>
      </c>
      <c r="J1114" s="1">
        <f>IF(ISNUMBER(B1114),YEAR(B1114),"")</f>
        <v/>
      </c>
      <c r="K1114">
        <f>IF(ISNUMBER(B1114),YEAR(B1114)*100+MONTH(B1114),"")</f>
        <v/>
      </c>
      <c r="L1114">
        <f>IF(ISNUMBER(B1114),INT(B1114),0)</f>
        <v/>
      </c>
    </row>
    <row r="1115">
      <c r="A1115" s="1" t="n"/>
      <c r="B1115" s="17" t="n"/>
      <c r="C1115" s="18" t="n"/>
      <c r="D1115" s="19" t="n"/>
      <c r="E1115" s="23" t="n"/>
      <c r="F1115" s="21" t="n"/>
      <c r="G1115" s="11">
        <f>IF(C1115="","",IFERROR(INDEX(Crops!$D$6:$D$65,MATCH(C1115,Crops!$B$6:$B$65,0))&amp;"",""))</f>
        <v/>
      </c>
      <c r="H1115" s="12">
        <f>IF(OR(C1115="",NOT(ISNUMBER(E1115))),"",E1115*N(IFERROR(INDEX(Crops!$E$6:$E$65,MATCH(C1115,Crops!$B$6:$B$65,0)),0)))</f>
        <v/>
      </c>
      <c r="I1115" s="11">
        <f>IF(AND(C1115="",E1115=""),"",IF(NOT(ISNUMBER(B1115)),"Needs a date",IF(C1115="","Needs a crop",IF(COUNTIF(Crops!$B$6:$B$65,C1115)=0,"Not on Crops",IF(NOT(ISNUMBER(E1115)),"Needs the amount",IF(AND(D1115&lt;&gt;"",COUNTIF(Beds!$B$6:$B$35,D1115)=0),"Not on Beds",""))))))</f>
        <v/>
      </c>
      <c r="J1115" s="1">
        <f>IF(ISNUMBER(B1115),YEAR(B1115),"")</f>
        <v/>
      </c>
      <c r="K1115">
        <f>IF(ISNUMBER(B1115),YEAR(B1115)*100+MONTH(B1115),"")</f>
        <v/>
      </c>
      <c r="L1115">
        <f>IF(ISNUMBER(B1115),INT(B1115),0)</f>
        <v/>
      </c>
    </row>
    <row r="1116">
      <c r="A1116" s="1" t="n"/>
      <c r="B1116" s="17" t="n"/>
      <c r="C1116" s="18" t="n"/>
      <c r="D1116" s="19" t="n"/>
      <c r="E1116" s="23" t="n"/>
      <c r="F1116" s="21" t="n"/>
      <c r="G1116" s="11">
        <f>IF(C1116="","",IFERROR(INDEX(Crops!$D$6:$D$65,MATCH(C1116,Crops!$B$6:$B$65,0))&amp;"",""))</f>
        <v/>
      </c>
      <c r="H1116" s="12">
        <f>IF(OR(C1116="",NOT(ISNUMBER(E1116))),"",E1116*N(IFERROR(INDEX(Crops!$E$6:$E$65,MATCH(C1116,Crops!$B$6:$B$65,0)),0)))</f>
        <v/>
      </c>
      <c r="I1116" s="11">
        <f>IF(AND(C1116="",E1116=""),"",IF(NOT(ISNUMBER(B1116)),"Needs a date",IF(C1116="","Needs a crop",IF(COUNTIF(Crops!$B$6:$B$65,C1116)=0,"Not on Crops",IF(NOT(ISNUMBER(E1116)),"Needs the amount",IF(AND(D1116&lt;&gt;"",COUNTIF(Beds!$B$6:$B$35,D1116)=0),"Not on Beds",""))))))</f>
        <v/>
      </c>
      <c r="J1116" s="1">
        <f>IF(ISNUMBER(B1116),YEAR(B1116),"")</f>
        <v/>
      </c>
      <c r="K1116">
        <f>IF(ISNUMBER(B1116),YEAR(B1116)*100+MONTH(B1116),"")</f>
        <v/>
      </c>
      <c r="L1116">
        <f>IF(ISNUMBER(B1116),INT(B1116),0)</f>
        <v/>
      </c>
    </row>
    <row r="1117">
      <c r="A1117" s="1" t="n"/>
      <c r="B1117" s="17" t="n"/>
      <c r="C1117" s="18" t="n"/>
      <c r="D1117" s="19" t="n"/>
      <c r="E1117" s="23" t="n"/>
      <c r="F1117" s="21" t="n"/>
      <c r="G1117" s="11">
        <f>IF(C1117="","",IFERROR(INDEX(Crops!$D$6:$D$65,MATCH(C1117,Crops!$B$6:$B$65,0))&amp;"",""))</f>
        <v/>
      </c>
      <c r="H1117" s="12">
        <f>IF(OR(C1117="",NOT(ISNUMBER(E1117))),"",E1117*N(IFERROR(INDEX(Crops!$E$6:$E$65,MATCH(C1117,Crops!$B$6:$B$65,0)),0)))</f>
        <v/>
      </c>
      <c r="I1117" s="11">
        <f>IF(AND(C1117="",E1117=""),"",IF(NOT(ISNUMBER(B1117)),"Needs a date",IF(C1117="","Needs a crop",IF(COUNTIF(Crops!$B$6:$B$65,C1117)=0,"Not on Crops",IF(NOT(ISNUMBER(E1117)),"Needs the amount",IF(AND(D1117&lt;&gt;"",COUNTIF(Beds!$B$6:$B$35,D1117)=0),"Not on Beds",""))))))</f>
        <v/>
      </c>
      <c r="J1117" s="1">
        <f>IF(ISNUMBER(B1117),YEAR(B1117),"")</f>
        <v/>
      </c>
      <c r="K1117">
        <f>IF(ISNUMBER(B1117),YEAR(B1117)*100+MONTH(B1117),"")</f>
        <v/>
      </c>
      <c r="L1117">
        <f>IF(ISNUMBER(B1117),INT(B1117),0)</f>
        <v/>
      </c>
    </row>
    <row r="1118">
      <c r="A1118" s="1" t="n"/>
      <c r="B1118" s="17" t="n"/>
      <c r="C1118" s="18" t="n"/>
      <c r="D1118" s="19" t="n"/>
      <c r="E1118" s="23" t="n"/>
      <c r="F1118" s="21" t="n"/>
      <c r="G1118" s="11">
        <f>IF(C1118="","",IFERROR(INDEX(Crops!$D$6:$D$65,MATCH(C1118,Crops!$B$6:$B$65,0))&amp;"",""))</f>
        <v/>
      </c>
      <c r="H1118" s="12">
        <f>IF(OR(C1118="",NOT(ISNUMBER(E1118))),"",E1118*N(IFERROR(INDEX(Crops!$E$6:$E$65,MATCH(C1118,Crops!$B$6:$B$65,0)),0)))</f>
        <v/>
      </c>
      <c r="I1118" s="11">
        <f>IF(AND(C1118="",E1118=""),"",IF(NOT(ISNUMBER(B1118)),"Needs a date",IF(C1118="","Needs a crop",IF(COUNTIF(Crops!$B$6:$B$65,C1118)=0,"Not on Crops",IF(NOT(ISNUMBER(E1118)),"Needs the amount",IF(AND(D1118&lt;&gt;"",COUNTIF(Beds!$B$6:$B$35,D1118)=0),"Not on Beds",""))))))</f>
        <v/>
      </c>
      <c r="J1118" s="1">
        <f>IF(ISNUMBER(B1118),YEAR(B1118),"")</f>
        <v/>
      </c>
      <c r="K1118">
        <f>IF(ISNUMBER(B1118),YEAR(B1118)*100+MONTH(B1118),"")</f>
        <v/>
      </c>
      <c r="L1118">
        <f>IF(ISNUMBER(B1118),INT(B1118),0)</f>
        <v/>
      </c>
    </row>
    <row r="1119">
      <c r="A1119" s="1" t="n"/>
      <c r="B1119" s="17" t="n"/>
      <c r="C1119" s="18" t="n"/>
      <c r="D1119" s="19" t="n"/>
      <c r="E1119" s="23" t="n"/>
      <c r="F1119" s="21" t="n"/>
      <c r="G1119" s="11">
        <f>IF(C1119="","",IFERROR(INDEX(Crops!$D$6:$D$65,MATCH(C1119,Crops!$B$6:$B$65,0))&amp;"",""))</f>
        <v/>
      </c>
      <c r="H1119" s="12">
        <f>IF(OR(C1119="",NOT(ISNUMBER(E1119))),"",E1119*N(IFERROR(INDEX(Crops!$E$6:$E$65,MATCH(C1119,Crops!$B$6:$B$65,0)),0)))</f>
        <v/>
      </c>
      <c r="I1119" s="11">
        <f>IF(AND(C1119="",E1119=""),"",IF(NOT(ISNUMBER(B1119)),"Needs a date",IF(C1119="","Needs a crop",IF(COUNTIF(Crops!$B$6:$B$65,C1119)=0,"Not on Crops",IF(NOT(ISNUMBER(E1119)),"Needs the amount",IF(AND(D1119&lt;&gt;"",COUNTIF(Beds!$B$6:$B$35,D1119)=0),"Not on Beds",""))))))</f>
        <v/>
      </c>
      <c r="J1119" s="1">
        <f>IF(ISNUMBER(B1119),YEAR(B1119),"")</f>
        <v/>
      </c>
      <c r="K1119">
        <f>IF(ISNUMBER(B1119),YEAR(B1119)*100+MONTH(B1119),"")</f>
        <v/>
      </c>
      <c r="L1119">
        <f>IF(ISNUMBER(B1119),INT(B1119),0)</f>
        <v/>
      </c>
    </row>
    <row r="1120">
      <c r="A1120" s="1" t="n"/>
      <c r="B1120" s="17" t="n"/>
      <c r="C1120" s="18" t="n"/>
      <c r="D1120" s="19" t="n"/>
      <c r="E1120" s="23" t="n"/>
      <c r="F1120" s="21" t="n"/>
      <c r="G1120" s="11">
        <f>IF(C1120="","",IFERROR(INDEX(Crops!$D$6:$D$65,MATCH(C1120,Crops!$B$6:$B$65,0))&amp;"",""))</f>
        <v/>
      </c>
      <c r="H1120" s="12">
        <f>IF(OR(C1120="",NOT(ISNUMBER(E1120))),"",E1120*N(IFERROR(INDEX(Crops!$E$6:$E$65,MATCH(C1120,Crops!$B$6:$B$65,0)),0)))</f>
        <v/>
      </c>
      <c r="I1120" s="11">
        <f>IF(AND(C1120="",E1120=""),"",IF(NOT(ISNUMBER(B1120)),"Needs a date",IF(C1120="","Needs a crop",IF(COUNTIF(Crops!$B$6:$B$65,C1120)=0,"Not on Crops",IF(NOT(ISNUMBER(E1120)),"Needs the amount",IF(AND(D1120&lt;&gt;"",COUNTIF(Beds!$B$6:$B$35,D1120)=0),"Not on Beds",""))))))</f>
        <v/>
      </c>
      <c r="J1120" s="1">
        <f>IF(ISNUMBER(B1120),YEAR(B1120),"")</f>
        <v/>
      </c>
      <c r="K1120">
        <f>IF(ISNUMBER(B1120),YEAR(B1120)*100+MONTH(B1120),"")</f>
        <v/>
      </c>
      <c r="L1120">
        <f>IF(ISNUMBER(B1120),INT(B1120),0)</f>
        <v/>
      </c>
    </row>
    <row r="1121">
      <c r="A1121" s="1" t="n"/>
      <c r="B1121" s="17" t="n"/>
      <c r="C1121" s="18" t="n"/>
      <c r="D1121" s="19" t="n"/>
      <c r="E1121" s="23" t="n"/>
      <c r="F1121" s="21" t="n"/>
      <c r="G1121" s="11">
        <f>IF(C1121="","",IFERROR(INDEX(Crops!$D$6:$D$65,MATCH(C1121,Crops!$B$6:$B$65,0))&amp;"",""))</f>
        <v/>
      </c>
      <c r="H1121" s="12">
        <f>IF(OR(C1121="",NOT(ISNUMBER(E1121))),"",E1121*N(IFERROR(INDEX(Crops!$E$6:$E$65,MATCH(C1121,Crops!$B$6:$B$65,0)),0)))</f>
        <v/>
      </c>
      <c r="I1121" s="11">
        <f>IF(AND(C1121="",E1121=""),"",IF(NOT(ISNUMBER(B1121)),"Needs a date",IF(C1121="","Needs a crop",IF(COUNTIF(Crops!$B$6:$B$65,C1121)=0,"Not on Crops",IF(NOT(ISNUMBER(E1121)),"Needs the amount",IF(AND(D1121&lt;&gt;"",COUNTIF(Beds!$B$6:$B$35,D1121)=0),"Not on Beds",""))))))</f>
        <v/>
      </c>
      <c r="J1121" s="1">
        <f>IF(ISNUMBER(B1121),YEAR(B1121),"")</f>
        <v/>
      </c>
      <c r="K1121">
        <f>IF(ISNUMBER(B1121),YEAR(B1121)*100+MONTH(B1121),"")</f>
        <v/>
      </c>
      <c r="L1121">
        <f>IF(ISNUMBER(B1121),INT(B1121),0)</f>
        <v/>
      </c>
    </row>
    <row r="1122">
      <c r="A1122" s="1" t="n"/>
      <c r="B1122" s="17" t="n"/>
      <c r="C1122" s="18" t="n"/>
      <c r="D1122" s="19" t="n"/>
      <c r="E1122" s="23" t="n"/>
      <c r="F1122" s="21" t="n"/>
      <c r="G1122" s="11">
        <f>IF(C1122="","",IFERROR(INDEX(Crops!$D$6:$D$65,MATCH(C1122,Crops!$B$6:$B$65,0))&amp;"",""))</f>
        <v/>
      </c>
      <c r="H1122" s="12">
        <f>IF(OR(C1122="",NOT(ISNUMBER(E1122))),"",E1122*N(IFERROR(INDEX(Crops!$E$6:$E$65,MATCH(C1122,Crops!$B$6:$B$65,0)),0)))</f>
        <v/>
      </c>
      <c r="I1122" s="11">
        <f>IF(AND(C1122="",E1122=""),"",IF(NOT(ISNUMBER(B1122)),"Needs a date",IF(C1122="","Needs a crop",IF(COUNTIF(Crops!$B$6:$B$65,C1122)=0,"Not on Crops",IF(NOT(ISNUMBER(E1122)),"Needs the amount",IF(AND(D1122&lt;&gt;"",COUNTIF(Beds!$B$6:$B$35,D1122)=0),"Not on Beds",""))))))</f>
        <v/>
      </c>
      <c r="J1122" s="1">
        <f>IF(ISNUMBER(B1122),YEAR(B1122),"")</f>
        <v/>
      </c>
      <c r="K1122">
        <f>IF(ISNUMBER(B1122),YEAR(B1122)*100+MONTH(B1122),"")</f>
        <v/>
      </c>
      <c r="L1122">
        <f>IF(ISNUMBER(B1122),INT(B1122),0)</f>
        <v/>
      </c>
    </row>
    <row r="1123">
      <c r="A1123" s="1" t="n"/>
      <c r="B1123" s="17" t="n"/>
      <c r="C1123" s="18" t="n"/>
      <c r="D1123" s="19" t="n"/>
      <c r="E1123" s="23" t="n"/>
      <c r="F1123" s="21" t="n"/>
      <c r="G1123" s="11">
        <f>IF(C1123="","",IFERROR(INDEX(Crops!$D$6:$D$65,MATCH(C1123,Crops!$B$6:$B$65,0))&amp;"",""))</f>
        <v/>
      </c>
      <c r="H1123" s="12">
        <f>IF(OR(C1123="",NOT(ISNUMBER(E1123))),"",E1123*N(IFERROR(INDEX(Crops!$E$6:$E$65,MATCH(C1123,Crops!$B$6:$B$65,0)),0)))</f>
        <v/>
      </c>
      <c r="I1123" s="11">
        <f>IF(AND(C1123="",E1123=""),"",IF(NOT(ISNUMBER(B1123)),"Needs a date",IF(C1123="","Needs a crop",IF(COUNTIF(Crops!$B$6:$B$65,C1123)=0,"Not on Crops",IF(NOT(ISNUMBER(E1123)),"Needs the amount",IF(AND(D1123&lt;&gt;"",COUNTIF(Beds!$B$6:$B$35,D1123)=0),"Not on Beds",""))))))</f>
        <v/>
      </c>
      <c r="J1123" s="1">
        <f>IF(ISNUMBER(B1123),YEAR(B1123),"")</f>
        <v/>
      </c>
      <c r="K1123">
        <f>IF(ISNUMBER(B1123),YEAR(B1123)*100+MONTH(B1123),"")</f>
        <v/>
      </c>
      <c r="L1123">
        <f>IF(ISNUMBER(B1123),INT(B1123),0)</f>
        <v/>
      </c>
    </row>
    <row r="1124">
      <c r="A1124" s="1" t="n"/>
      <c r="B1124" s="17" t="n"/>
      <c r="C1124" s="18" t="n"/>
      <c r="D1124" s="19" t="n"/>
      <c r="E1124" s="23" t="n"/>
      <c r="F1124" s="21" t="n"/>
      <c r="G1124" s="11">
        <f>IF(C1124="","",IFERROR(INDEX(Crops!$D$6:$D$65,MATCH(C1124,Crops!$B$6:$B$65,0))&amp;"",""))</f>
        <v/>
      </c>
      <c r="H1124" s="12">
        <f>IF(OR(C1124="",NOT(ISNUMBER(E1124))),"",E1124*N(IFERROR(INDEX(Crops!$E$6:$E$65,MATCH(C1124,Crops!$B$6:$B$65,0)),0)))</f>
        <v/>
      </c>
      <c r="I1124" s="11">
        <f>IF(AND(C1124="",E1124=""),"",IF(NOT(ISNUMBER(B1124)),"Needs a date",IF(C1124="","Needs a crop",IF(COUNTIF(Crops!$B$6:$B$65,C1124)=0,"Not on Crops",IF(NOT(ISNUMBER(E1124)),"Needs the amount",IF(AND(D1124&lt;&gt;"",COUNTIF(Beds!$B$6:$B$35,D1124)=0),"Not on Beds",""))))))</f>
        <v/>
      </c>
      <c r="J1124" s="1">
        <f>IF(ISNUMBER(B1124),YEAR(B1124),"")</f>
        <v/>
      </c>
      <c r="K1124">
        <f>IF(ISNUMBER(B1124),YEAR(B1124)*100+MONTH(B1124),"")</f>
        <v/>
      </c>
      <c r="L1124">
        <f>IF(ISNUMBER(B1124),INT(B1124),0)</f>
        <v/>
      </c>
    </row>
    <row r="1125">
      <c r="A1125" s="1" t="n"/>
      <c r="B1125" s="17" t="n"/>
      <c r="C1125" s="18" t="n"/>
      <c r="D1125" s="19" t="n"/>
      <c r="E1125" s="23" t="n"/>
      <c r="F1125" s="21" t="n"/>
      <c r="G1125" s="11">
        <f>IF(C1125="","",IFERROR(INDEX(Crops!$D$6:$D$65,MATCH(C1125,Crops!$B$6:$B$65,0))&amp;"",""))</f>
        <v/>
      </c>
      <c r="H1125" s="12">
        <f>IF(OR(C1125="",NOT(ISNUMBER(E1125))),"",E1125*N(IFERROR(INDEX(Crops!$E$6:$E$65,MATCH(C1125,Crops!$B$6:$B$65,0)),0)))</f>
        <v/>
      </c>
      <c r="I1125" s="11">
        <f>IF(AND(C1125="",E1125=""),"",IF(NOT(ISNUMBER(B1125)),"Needs a date",IF(C1125="","Needs a crop",IF(COUNTIF(Crops!$B$6:$B$65,C1125)=0,"Not on Crops",IF(NOT(ISNUMBER(E1125)),"Needs the amount",IF(AND(D1125&lt;&gt;"",COUNTIF(Beds!$B$6:$B$35,D1125)=0),"Not on Beds",""))))))</f>
        <v/>
      </c>
      <c r="J1125" s="1">
        <f>IF(ISNUMBER(B1125),YEAR(B1125),"")</f>
        <v/>
      </c>
      <c r="K1125">
        <f>IF(ISNUMBER(B1125),YEAR(B1125)*100+MONTH(B1125),"")</f>
        <v/>
      </c>
      <c r="L1125">
        <f>IF(ISNUMBER(B1125),INT(B1125),0)</f>
        <v/>
      </c>
    </row>
    <row r="1126">
      <c r="A1126" s="1" t="n"/>
      <c r="B1126" s="17" t="n"/>
      <c r="C1126" s="18" t="n"/>
      <c r="D1126" s="19" t="n"/>
      <c r="E1126" s="23" t="n"/>
      <c r="F1126" s="21" t="n"/>
      <c r="G1126" s="11">
        <f>IF(C1126="","",IFERROR(INDEX(Crops!$D$6:$D$65,MATCH(C1126,Crops!$B$6:$B$65,0))&amp;"",""))</f>
        <v/>
      </c>
      <c r="H1126" s="12">
        <f>IF(OR(C1126="",NOT(ISNUMBER(E1126))),"",E1126*N(IFERROR(INDEX(Crops!$E$6:$E$65,MATCH(C1126,Crops!$B$6:$B$65,0)),0)))</f>
        <v/>
      </c>
      <c r="I1126" s="11">
        <f>IF(AND(C1126="",E1126=""),"",IF(NOT(ISNUMBER(B1126)),"Needs a date",IF(C1126="","Needs a crop",IF(COUNTIF(Crops!$B$6:$B$65,C1126)=0,"Not on Crops",IF(NOT(ISNUMBER(E1126)),"Needs the amount",IF(AND(D1126&lt;&gt;"",COUNTIF(Beds!$B$6:$B$35,D1126)=0),"Not on Beds",""))))))</f>
        <v/>
      </c>
      <c r="J1126" s="1">
        <f>IF(ISNUMBER(B1126),YEAR(B1126),"")</f>
        <v/>
      </c>
      <c r="K1126">
        <f>IF(ISNUMBER(B1126),YEAR(B1126)*100+MONTH(B1126),"")</f>
        <v/>
      </c>
      <c r="L1126">
        <f>IF(ISNUMBER(B1126),INT(B1126),0)</f>
        <v/>
      </c>
    </row>
    <row r="1127">
      <c r="A1127" s="1" t="n"/>
      <c r="B1127" s="17" t="n"/>
      <c r="C1127" s="18" t="n"/>
      <c r="D1127" s="19" t="n"/>
      <c r="E1127" s="23" t="n"/>
      <c r="F1127" s="21" t="n"/>
      <c r="G1127" s="11">
        <f>IF(C1127="","",IFERROR(INDEX(Crops!$D$6:$D$65,MATCH(C1127,Crops!$B$6:$B$65,0))&amp;"",""))</f>
        <v/>
      </c>
      <c r="H1127" s="12">
        <f>IF(OR(C1127="",NOT(ISNUMBER(E1127))),"",E1127*N(IFERROR(INDEX(Crops!$E$6:$E$65,MATCH(C1127,Crops!$B$6:$B$65,0)),0)))</f>
        <v/>
      </c>
      <c r="I1127" s="11">
        <f>IF(AND(C1127="",E1127=""),"",IF(NOT(ISNUMBER(B1127)),"Needs a date",IF(C1127="","Needs a crop",IF(COUNTIF(Crops!$B$6:$B$65,C1127)=0,"Not on Crops",IF(NOT(ISNUMBER(E1127)),"Needs the amount",IF(AND(D1127&lt;&gt;"",COUNTIF(Beds!$B$6:$B$35,D1127)=0),"Not on Beds",""))))))</f>
        <v/>
      </c>
      <c r="J1127" s="1">
        <f>IF(ISNUMBER(B1127),YEAR(B1127),"")</f>
        <v/>
      </c>
      <c r="K1127">
        <f>IF(ISNUMBER(B1127),YEAR(B1127)*100+MONTH(B1127),"")</f>
        <v/>
      </c>
      <c r="L1127">
        <f>IF(ISNUMBER(B1127),INT(B1127),0)</f>
        <v/>
      </c>
    </row>
    <row r="1128">
      <c r="A1128" s="1" t="n"/>
      <c r="B1128" s="17" t="n"/>
      <c r="C1128" s="18" t="n"/>
      <c r="D1128" s="19" t="n"/>
      <c r="E1128" s="23" t="n"/>
      <c r="F1128" s="21" t="n"/>
      <c r="G1128" s="11">
        <f>IF(C1128="","",IFERROR(INDEX(Crops!$D$6:$D$65,MATCH(C1128,Crops!$B$6:$B$65,0))&amp;"",""))</f>
        <v/>
      </c>
      <c r="H1128" s="12">
        <f>IF(OR(C1128="",NOT(ISNUMBER(E1128))),"",E1128*N(IFERROR(INDEX(Crops!$E$6:$E$65,MATCH(C1128,Crops!$B$6:$B$65,0)),0)))</f>
        <v/>
      </c>
      <c r="I1128" s="11">
        <f>IF(AND(C1128="",E1128=""),"",IF(NOT(ISNUMBER(B1128)),"Needs a date",IF(C1128="","Needs a crop",IF(COUNTIF(Crops!$B$6:$B$65,C1128)=0,"Not on Crops",IF(NOT(ISNUMBER(E1128)),"Needs the amount",IF(AND(D1128&lt;&gt;"",COUNTIF(Beds!$B$6:$B$35,D1128)=0),"Not on Beds",""))))))</f>
        <v/>
      </c>
      <c r="J1128" s="1">
        <f>IF(ISNUMBER(B1128),YEAR(B1128),"")</f>
        <v/>
      </c>
      <c r="K1128">
        <f>IF(ISNUMBER(B1128),YEAR(B1128)*100+MONTH(B1128),"")</f>
        <v/>
      </c>
      <c r="L1128">
        <f>IF(ISNUMBER(B1128),INT(B1128),0)</f>
        <v/>
      </c>
    </row>
    <row r="1129">
      <c r="A1129" s="1" t="n"/>
      <c r="B1129" s="17" t="n"/>
      <c r="C1129" s="18" t="n"/>
      <c r="D1129" s="19" t="n"/>
      <c r="E1129" s="23" t="n"/>
      <c r="F1129" s="21" t="n"/>
      <c r="G1129" s="11">
        <f>IF(C1129="","",IFERROR(INDEX(Crops!$D$6:$D$65,MATCH(C1129,Crops!$B$6:$B$65,0))&amp;"",""))</f>
        <v/>
      </c>
      <c r="H1129" s="12">
        <f>IF(OR(C1129="",NOT(ISNUMBER(E1129))),"",E1129*N(IFERROR(INDEX(Crops!$E$6:$E$65,MATCH(C1129,Crops!$B$6:$B$65,0)),0)))</f>
        <v/>
      </c>
      <c r="I1129" s="11">
        <f>IF(AND(C1129="",E1129=""),"",IF(NOT(ISNUMBER(B1129)),"Needs a date",IF(C1129="","Needs a crop",IF(COUNTIF(Crops!$B$6:$B$65,C1129)=0,"Not on Crops",IF(NOT(ISNUMBER(E1129)),"Needs the amount",IF(AND(D1129&lt;&gt;"",COUNTIF(Beds!$B$6:$B$35,D1129)=0),"Not on Beds",""))))))</f>
        <v/>
      </c>
      <c r="J1129" s="1">
        <f>IF(ISNUMBER(B1129),YEAR(B1129),"")</f>
        <v/>
      </c>
      <c r="K1129">
        <f>IF(ISNUMBER(B1129),YEAR(B1129)*100+MONTH(B1129),"")</f>
        <v/>
      </c>
      <c r="L1129">
        <f>IF(ISNUMBER(B1129),INT(B1129),0)</f>
        <v/>
      </c>
    </row>
    <row r="1130">
      <c r="A1130" s="1" t="n"/>
      <c r="B1130" s="17" t="n"/>
      <c r="C1130" s="18" t="n"/>
      <c r="D1130" s="19" t="n"/>
      <c r="E1130" s="23" t="n"/>
      <c r="F1130" s="21" t="n"/>
      <c r="G1130" s="11">
        <f>IF(C1130="","",IFERROR(INDEX(Crops!$D$6:$D$65,MATCH(C1130,Crops!$B$6:$B$65,0))&amp;"",""))</f>
        <v/>
      </c>
      <c r="H1130" s="12">
        <f>IF(OR(C1130="",NOT(ISNUMBER(E1130))),"",E1130*N(IFERROR(INDEX(Crops!$E$6:$E$65,MATCH(C1130,Crops!$B$6:$B$65,0)),0)))</f>
        <v/>
      </c>
      <c r="I1130" s="11">
        <f>IF(AND(C1130="",E1130=""),"",IF(NOT(ISNUMBER(B1130)),"Needs a date",IF(C1130="","Needs a crop",IF(COUNTIF(Crops!$B$6:$B$65,C1130)=0,"Not on Crops",IF(NOT(ISNUMBER(E1130)),"Needs the amount",IF(AND(D1130&lt;&gt;"",COUNTIF(Beds!$B$6:$B$35,D1130)=0),"Not on Beds",""))))))</f>
        <v/>
      </c>
      <c r="J1130" s="1">
        <f>IF(ISNUMBER(B1130),YEAR(B1130),"")</f>
        <v/>
      </c>
      <c r="K1130">
        <f>IF(ISNUMBER(B1130),YEAR(B1130)*100+MONTH(B1130),"")</f>
        <v/>
      </c>
      <c r="L1130">
        <f>IF(ISNUMBER(B1130),INT(B1130),0)</f>
        <v/>
      </c>
    </row>
    <row r="1131">
      <c r="A1131" s="1" t="n"/>
      <c r="B1131" s="17" t="n"/>
      <c r="C1131" s="18" t="n"/>
      <c r="D1131" s="19" t="n"/>
      <c r="E1131" s="23" t="n"/>
      <c r="F1131" s="21" t="n"/>
      <c r="G1131" s="11">
        <f>IF(C1131="","",IFERROR(INDEX(Crops!$D$6:$D$65,MATCH(C1131,Crops!$B$6:$B$65,0))&amp;"",""))</f>
        <v/>
      </c>
      <c r="H1131" s="12">
        <f>IF(OR(C1131="",NOT(ISNUMBER(E1131))),"",E1131*N(IFERROR(INDEX(Crops!$E$6:$E$65,MATCH(C1131,Crops!$B$6:$B$65,0)),0)))</f>
        <v/>
      </c>
      <c r="I1131" s="11">
        <f>IF(AND(C1131="",E1131=""),"",IF(NOT(ISNUMBER(B1131)),"Needs a date",IF(C1131="","Needs a crop",IF(COUNTIF(Crops!$B$6:$B$65,C1131)=0,"Not on Crops",IF(NOT(ISNUMBER(E1131)),"Needs the amount",IF(AND(D1131&lt;&gt;"",COUNTIF(Beds!$B$6:$B$35,D1131)=0),"Not on Beds",""))))))</f>
        <v/>
      </c>
      <c r="J1131" s="1">
        <f>IF(ISNUMBER(B1131),YEAR(B1131),"")</f>
        <v/>
      </c>
      <c r="K1131">
        <f>IF(ISNUMBER(B1131),YEAR(B1131)*100+MONTH(B1131),"")</f>
        <v/>
      </c>
      <c r="L1131">
        <f>IF(ISNUMBER(B1131),INT(B1131),0)</f>
        <v/>
      </c>
    </row>
    <row r="1132">
      <c r="A1132" s="1" t="n"/>
      <c r="B1132" s="17" t="n"/>
      <c r="C1132" s="18" t="n"/>
      <c r="D1132" s="19" t="n"/>
      <c r="E1132" s="23" t="n"/>
      <c r="F1132" s="21" t="n"/>
      <c r="G1132" s="11">
        <f>IF(C1132="","",IFERROR(INDEX(Crops!$D$6:$D$65,MATCH(C1132,Crops!$B$6:$B$65,0))&amp;"",""))</f>
        <v/>
      </c>
      <c r="H1132" s="12">
        <f>IF(OR(C1132="",NOT(ISNUMBER(E1132))),"",E1132*N(IFERROR(INDEX(Crops!$E$6:$E$65,MATCH(C1132,Crops!$B$6:$B$65,0)),0)))</f>
        <v/>
      </c>
      <c r="I1132" s="11">
        <f>IF(AND(C1132="",E1132=""),"",IF(NOT(ISNUMBER(B1132)),"Needs a date",IF(C1132="","Needs a crop",IF(COUNTIF(Crops!$B$6:$B$65,C1132)=0,"Not on Crops",IF(NOT(ISNUMBER(E1132)),"Needs the amount",IF(AND(D1132&lt;&gt;"",COUNTIF(Beds!$B$6:$B$35,D1132)=0),"Not on Beds",""))))))</f>
        <v/>
      </c>
      <c r="J1132" s="1">
        <f>IF(ISNUMBER(B1132),YEAR(B1132),"")</f>
        <v/>
      </c>
      <c r="K1132">
        <f>IF(ISNUMBER(B1132),YEAR(B1132)*100+MONTH(B1132),"")</f>
        <v/>
      </c>
      <c r="L1132">
        <f>IF(ISNUMBER(B1132),INT(B1132),0)</f>
        <v/>
      </c>
    </row>
    <row r="1133">
      <c r="A1133" s="1" t="n"/>
      <c r="B1133" s="17" t="n"/>
      <c r="C1133" s="18" t="n"/>
      <c r="D1133" s="19" t="n"/>
      <c r="E1133" s="23" t="n"/>
      <c r="F1133" s="21" t="n"/>
      <c r="G1133" s="11">
        <f>IF(C1133="","",IFERROR(INDEX(Crops!$D$6:$D$65,MATCH(C1133,Crops!$B$6:$B$65,0))&amp;"",""))</f>
        <v/>
      </c>
      <c r="H1133" s="12">
        <f>IF(OR(C1133="",NOT(ISNUMBER(E1133))),"",E1133*N(IFERROR(INDEX(Crops!$E$6:$E$65,MATCH(C1133,Crops!$B$6:$B$65,0)),0)))</f>
        <v/>
      </c>
      <c r="I1133" s="11">
        <f>IF(AND(C1133="",E1133=""),"",IF(NOT(ISNUMBER(B1133)),"Needs a date",IF(C1133="","Needs a crop",IF(COUNTIF(Crops!$B$6:$B$65,C1133)=0,"Not on Crops",IF(NOT(ISNUMBER(E1133)),"Needs the amount",IF(AND(D1133&lt;&gt;"",COUNTIF(Beds!$B$6:$B$35,D1133)=0),"Not on Beds",""))))))</f>
        <v/>
      </c>
      <c r="J1133" s="1">
        <f>IF(ISNUMBER(B1133),YEAR(B1133),"")</f>
        <v/>
      </c>
      <c r="K1133">
        <f>IF(ISNUMBER(B1133),YEAR(B1133)*100+MONTH(B1133),"")</f>
        <v/>
      </c>
      <c r="L1133">
        <f>IF(ISNUMBER(B1133),INT(B1133),0)</f>
        <v/>
      </c>
    </row>
    <row r="1134">
      <c r="A1134" s="1" t="n"/>
      <c r="B1134" s="17" t="n"/>
      <c r="C1134" s="18" t="n"/>
      <c r="D1134" s="19" t="n"/>
      <c r="E1134" s="23" t="n"/>
      <c r="F1134" s="21" t="n"/>
      <c r="G1134" s="11">
        <f>IF(C1134="","",IFERROR(INDEX(Crops!$D$6:$D$65,MATCH(C1134,Crops!$B$6:$B$65,0))&amp;"",""))</f>
        <v/>
      </c>
      <c r="H1134" s="12">
        <f>IF(OR(C1134="",NOT(ISNUMBER(E1134))),"",E1134*N(IFERROR(INDEX(Crops!$E$6:$E$65,MATCH(C1134,Crops!$B$6:$B$65,0)),0)))</f>
        <v/>
      </c>
      <c r="I1134" s="11">
        <f>IF(AND(C1134="",E1134=""),"",IF(NOT(ISNUMBER(B1134)),"Needs a date",IF(C1134="","Needs a crop",IF(COUNTIF(Crops!$B$6:$B$65,C1134)=0,"Not on Crops",IF(NOT(ISNUMBER(E1134)),"Needs the amount",IF(AND(D1134&lt;&gt;"",COUNTIF(Beds!$B$6:$B$35,D1134)=0),"Not on Beds",""))))))</f>
        <v/>
      </c>
      <c r="J1134" s="1">
        <f>IF(ISNUMBER(B1134),YEAR(B1134),"")</f>
        <v/>
      </c>
      <c r="K1134">
        <f>IF(ISNUMBER(B1134),YEAR(B1134)*100+MONTH(B1134),"")</f>
        <v/>
      </c>
      <c r="L1134">
        <f>IF(ISNUMBER(B1134),INT(B1134),0)</f>
        <v/>
      </c>
    </row>
    <row r="1135">
      <c r="A1135" s="1" t="n"/>
      <c r="B1135" s="17" t="n"/>
      <c r="C1135" s="18" t="n"/>
      <c r="D1135" s="19" t="n"/>
      <c r="E1135" s="23" t="n"/>
      <c r="F1135" s="21" t="n"/>
      <c r="G1135" s="11">
        <f>IF(C1135="","",IFERROR(INDEX(Crops!$D$6:$D$65,MATCH(C1135,Crops!$B$6:$B$65,0))&amp;"",""))</f>
        <v/>
      </c>
      <c r="H1135" s="12">
        <f>IF(OR(C1135="",NOT(ISNUMBER(E1135))),"",E1135*N(IFERROR(INDEX(Crops!$E$6:$E$65,MATCH(C1135,Crops!$B$6:$B$65,0)),0)))</f>
        <v/>
      </c>
      <c r="I1135" s="11">
        <f>IF(AND(C1135="",E1135=""),"",IF(NOT(ISNUMBER(B1135)),"Needs a date",IF(C1135="","Needs a crop",IF(COUNTIF(Crops!$B$6:$B$65,C1135)=0,"Not on Crops",IF(NOT(ISNUMBER(E1135)),"Needs the amount",IF(AND(D1135&lt;&gt;"",COUNTIF(Beds!$B$6:$B$35,D1135)=0),"Not on Beds",""))))))</f>
        <v/>
      </c>
      <c r="J1135" s="1">
        <f>IF(ISNUMBER(B1135),YEAR(B1135),"")</f>
        <v/>
      </c>
      <c r="K1135">
        <f>IF(ISNUMBER(B1135),YEAR(B1135)*100+MONTH(B1135),"")</f>
        <v/>
      </c>
      <c r="L1135">
        <f>IF(ISNUMBER(B1135),INT(B1135),0)</f>
        <v/>
      </c>
    </row>
    <row r="1136">
      <c r="A1136" s="1" t="n"/>
      <c r="B1136" s="17" t="n"/>
      <c r="C1136" s="18" t="n"/>
      <c r="D1136" s="19" t="n"/>
      <c r="E1136" s="23" t="n"/>
      <c r="F1136" s="21" t="n"/>
      <c r="G1136" s="11">
        <f>IF(C1136="","",IFERROR(INDEX(Crops!$D$6:$D$65,MATCH(C1136,Crops!$B$6:$B$65,0))&amp;"",""))</f>
        <v/>
      </c>
      <c r="H1136" s="12">
        <f>IF(OR(C1136="",NOT(ISNUMBER(E1136))),"",E1136*N(IFERROR(INDEX(Crops!$E$6:$E$65,MATCH(C1136,Crops!$B$6:$B$65,0)),0)))</f>
        <v/>
      </c>
      <c r="I1136" s="11">
        <f>IF(AND(C1136="",E1136=""),"",IF(NOT(ISNUMBER(B1136)),"Needs a date",IF(C1136="","Needs a crop",IF(COUNTIF(Crops!$B$6:$B$65,C1136)=0,"Not on Crops",IF(NOT(ISNUMBER(E1136)),"Needs the amount",IF(AND(D1136&lt;&gt;"",COUNTIF(Beds!$B$6:$B$35,D1136)=0),"Not on Beds",""))))))</f>
        <v/>
      </c>
      <c r="J1136" s="1">
        <f>IF(ISNUMBER(B1136),YEAR(B1136),"")</f>
        <v/>
      </c>
      <c r="K1136">
        <f>IF(ISNUMBER(B1136),YEAR(B1136)*100+MONTH(B1136),"")</f>
        <v/>
      </c>
      <c r="L1136">
        <f>IF(ISNUMBER(B1136),INT(B1136),0)</f>
        <v/>
      </c>
    </row>
    <row r="1137">
      <c r="A1137" s="1" t="n"/>
      <c r="B1137" s="17" t="n"/>
      <c r="C1137" s="18" t="n"/>
      <c r="D1137" s="19" t="n"/>
      <c r="E1137" s="23" t="n"/>
      <c r="F1137" s="21" t="n"/>
      <c r="G1137" s="11">
        <f>IF(C1137="","",IFERROR(INDEX(Crops!$D$6:$D$65,MATCH(C1137,Crops!$B$6:$B$65,0))&amp;"",""))</f>
        <v/>
      </c>
      <c r="H1137" s="12">
        <f>IF(OR(C1137="",NOT(ISNUMBER(E1137))),"",E1137*N(IFERROR(INDEX(Crops!$E$6:$E$65,MATCH(C1137,Crops!$B$6:$B$65,0)),0)))</f>
        <v/>
      </c>
      <c r="I1137" s="11">
        <f>IF(AND(C1137="",E1137=""),"",IF(NOT(ISNUMBER(B1137)),"Needs a date",IF(C1137="","Needs a crop",IF(COUNTIF(Crops!$B$6:$B$65,C1137)=0,"Not on Crops",IF(NOT(ISNUMBER(E1137)),"Needs the amount",IF(AND(D1137&lt;&gt;"",COUNTIF(Beds!$B$6:$B$35,D1137)=0),"Not on Beds",""))))))</f>
        <v/>
      </c>
      <c r="J1137" s="1">
        <f>IF(ISNUMBER(B1137),YEAR(B1137),"")</f>
        <v/>
      </c>
      <c r="K1137">
        <f>IF(ISNUMBER(B1137),YEAR(B1137)*100+MONTH(B1137),"")</f>
        <v/>
      </c>
      <c r="L1137">
        <f>IF(ISNUMBER(B1137),INT(B1137),0)</f>
        <v/>
      </c>
    </row>
    <row r="1138">
      <c r="A1138" s="1" t="n"/>
      <c r="B1138" s="17" t="n"/>
      <c r="C1138" s="18" t="n"/>
      <c r="D1138" s="19" t="n"/>
      <c r="E1138" s="23" t="n"/>
      <c r="F1138" s="21" t="n"/>
      <c r="G1138" s="11">
        <f>IF(C1138="","",IFERROR(INDEX(Crops!$D$6:$D$65,MATCH(C1138,Crops!$B$6:$B$65,0))&amp;"",""))</f>
        <v/>
      </c>
      <c r="H1138" s="12">
        <f>IF(OR(C1138="",NOT(ISNUMBER(E1138))),"",E1138*N(IFERROR(INDEX(Crops!$E$6:$E$65,MATCH(C1138,Crops!$B$6:$B$65,0)),0)))</f>
        <v/>
      </c>
      <c r="I1138" s="11">
        <f>IF(AND(C1138="",E1138=""),"",IF(NOT(ISNUMBER(B1138)),"Needs a date",IF(C1138="","Needs a crop",IF(COUNTIF(Crops!$B$6:$B$65,C1138)=0,"Not on Crops",IF(NOT(ISNUMBER(E1138)),"Needs the amount",IF(AND(D1138&lt;&gt;"",COUNTIF(Beds!$B$6:$B$35,D1138)=0),"Not on Beds",""))))))</f>
        <v/>
      </c>
      <c r="J1138" s="1">
        <f>IF(ISNUMBER(B1138),YEAR(B1138),"")</f>
        <v/>
      </c>
      <c r="K1138">
        <f>IF(ISNUMBER(B1138),YEAR(B1138)*100+MONTH(B1138),"")</f>
        <v/>
      </c>
      <c r="L1138">
        <f>IF(ISNUMBER(B1138),INT(B1138),0)</f>
        <v/>
      </c>
    </row>
    <row r="1139">
      <c r="A1139" s="1" t="n"/>
      <c r="B1139" s="17" t="n"/>
      <c r="C1139" s="18" t="n"/>
      <c r="D1139" s="19" t="n"/>
      <c r="E1139" s="23" t="n"/>
      <c r="F1139" s="21" t="n"/>
      <c r="G1139" s="11">
        <f>IF(C1139="","",IFERROR(INDEX(Crops!$D$6:$D$65,MATCH(C1139,Crops!$B$6:$B$65,0))&amp;"",""))</f>
        <v/>
      </c>
      <c r="H1139" s="12">
        <f>IF(OR(C1139="",NOT(ISNUMBER(E1139))),"",E1139*N(IFERROR(INDEX(Crops!$E$6:$E$65,MATCH(C1139,Crops!$B$6:$B$65,0)),0)))</f>
        <v/>
      </c>
      <c r="I1139" s="11">
        <f>IF(AND(C1139="",E1139=""),"",IF(NOT(ISNUMBER(B1139)),"Needs a date",IF(C1139="","Needs a crop",IF(COUNTIF(Crops!$B$6:$B$65,C1139)=0,"Not on Crops",IF(NOT(ISNUMBER(E1139)),"Needs the amount",IF(AND(D1139&lt;&gt;"",COUNTIF(Beds!$B$6:$B$35,D1139)=0),"Not on Beds",""))))))</f>
        <v/>
      </c>
      <c r="J1139" s="1">
        <f>IF(ISNUMBER(B1139),YEAR(B1139),"")</f>
        <v/>
      </c>
      <c r="K1139">
        <f>IF(ISNUMBER(B1139),YEAR(B1139)*100+MONTH(B1139),"")</f>
        <v/>
      </c>
      <c r="L1139">
        <f>IF(ISNUMBER(B1139),INT(B1139),0)</f>
        <v/>
      </c>
    </row>
    <row r="1140">
      <c r="A1140" s="1" t="n"/>
      <c r="B1140" s="17" t="n"/>
      <c r="C1140" s="18" t="n"/>
      <c r="D1140" s="19" t="n"/>
      <c r="E1140" s="23" t="n"/>
      <c r="F1140" s="21" t="n"/>
      <c r="G1140" s="11">
        <f>IF(C1140="","",IFERROR(INDEX(Crops!$D$6:$D$65,MATCH(C1140,Crops!$B$6:$B$65,0))&amp;"",""))</f>
        <v/>
      </c>
      <c r="H1140" s="12">
        <f>IF(OR(C1140="",NOT(ISNUMBER(E1140))),"",E1140*N(IFERROR(INDEX(Crops!$E$6:$E$65,MATCH(C1140,Crops!$B$6:$B$65,0)),0)))</f>
        <v/>
      </c>
      <c r="I1140" s="11">
        <f>IF(AND(C1140="",E1140=""),"",IF(NOT(ISNUMBER(B1140)),"Needs a date",IF(C1140="","Needs a crop",IF(COUNTIF(Crops!$B$6:$B$65,C1140)=0,"Not on Crops",IF(NOT(ISNUMBER(E1140)),"Needs the amount",IF(AND(D1140&lt;&gt;"",COUNTIF(Beds!$B$6:$B$35,D1140)=0),"Not on Beds",""))))))</f>
        <v/>
      </c>
      <c r="J1140" s="1">
        <f>IF(ISNUMBER(B1140),YEAR(B1140),"")</f>
        <v/>
      </c>
      <c r="K1140">
        <f>IF(ISNUMBER(B1140),YEAR(B1140)*100+MONTH(B1140),"")</f>
        <v/>
      </c>
      <c r="L1140">
        <f>IF(ISNUMBER(B1140),INT(B1140),0)</f>
        <v/>
      </c>
    </row>
    <row r="1141">
      <c r="A1141" s="1" t="n"/>
      <c r="B1141" s="17" t="n"/>
      <c r="C1141" s="18" t="n"/>
      <c r="D1141" s="19" t="n"/>
      <c r="E1141" s="23" t="n"/>
      <c r="F1141" s="21" t="n"/>
      <c r="G1141" s="11">
        <f>IF(C1141="","",IFERROR(INDEX(Crops!$D$6:$D$65,MATCH(C1141,Crops!$B$6:$B$65,0))&amp;"",""))</f>
        <v/>
      </c>
      <c r="H1141" s="12">
        <f>IF(OR(C1141="",NOT(ISNUMBER(E1141))),"",E1141*N(IFERROR(INDEX(Crops!$E$6:$E$65,MATCH(C1141,Crops!$B$6:$B$65,0)),0)))</f>
        <v/>
      </c>
      <c r="I1141" s="11">
        <f>IF(AND(C1141="",E1141=""),"",IF(NOT(ISNUMBER(B1141)),"Needs a date",IF(C1141="","Needs a crop",IF(COUNTIF(Crops!$B$6:$B$65,C1141)=0,"Not on Crops",IF(NOT(ISNUMBER(E1141)),"Needs the amount",IF(AND(D1141&lt;&gt;"",COUNTIF(Beds!$B$6:$B$35,D1141)=0),"Not on Beds",""))))))</f>
        <v/>
      </c>
      <c r="J1141" s="1">
        <f>IF(ISNUMBER(B1141),YEAR(B1141),"")</f>
        <v/>
      </c>
      <c r="K1141">
        <f>IF(ISNUMBER(B1141),YEAR(B1141)*100+MONTH(B1141),"")</f>
        <v/>
      </c>
      <c r="L1141">
        <f>IF(ISNUMBER(B1141),INT(B1141),0)</f>
        <v/>
      </c>
    </row>
    <row r="1142">
      <c r="A1142" s="1" t="n"/>
      <c r="B1142" s="17" t="n"/>
      <c r="C1142" s="18" t="n"/>
      <c r="D1142" s="19" t="n"/>
      <c r="E1142" s="23" t="n"/>
      <c r="F1142" s="21" t="n"/>
      <c r="G1142" s="11">
        <f>IF(C1142="","",IFERROR(INDEX(Crops!$D$6:$D$65,MATCH(C1142,Crops!$B$6:$B$65,0))&amp;"",""))</f>
        <v/>
      </c>
      <c r="H1142" s="12">
        <f>IF(OR(C1142="",NOT(ISNUMBER(E1142))),"",E1142*N(IFERROR(INDEX(Crops!$E$6:$E$65,MATCH(C1142,Crops!$B$6:$B$65,0)),0)))</f>
        <v/>
      </c>
      <c r="I1142" s="11">
        <f>IF(AND(C1142="",E1142=""),"",IF(NOT(ISNUMBER(B1142)),"Needs a date",IF(C1142="","Needs a crop",IF(COUNTIF(Crops!$B$6:$B$65,C1142)=0,"Not on Crops",IF(NOT(ISNUMBER(E1142)),"Needs the amount",IF(AND(D1142&lt;&gt;"",COUNTIF(Beds!$B$6:$B$35,D1142)=0),"Not on Beds",""))))))</f>
        <v/>
      </c>
      <c r="J1142" s="1">
        <f>IF(ISNUMBER(B1142),YEAR(B1142),"")</f>
        <v/>
      </c>
      <c r="K1142">
        <f>IF(ISNUMBER(B1142),YEAR(B1142)*100+MONTH(B1142),"")</f>
        <v/>
      </c>
      <c r="L1142">
        <f>IF(ISNUMBER(B1142),INT(B1142),0)</f>
        <v/>
      </c>
    </row>
    <row r="1143">
      <c r="A1143" s="1" t="n"/>
      <c r="B1143" s="17" t="n"/>
      <c r="C1143" s="18" t="n"/>
      <c r="D1143" s="19" t="n"/>
      <c r="E1143" s="23" t="n"/>
      <c r="F1143" s="21" t="n"/>
      <c r="G1143" s="11">
        <f>IF(C1143="","",IFERROR(INDEX(Crops!$D$6:$D$65,MATCH(C1143,Crops!$B$6:$B$65,0))&amp;"",""))</f>
        <v/>
      </c>
      <c r="H1143" s="12">
        <f>IF(OR(C1143="",NOT(ISNUMBER(E1143))),"",E1143*N(IFERROR(INDEX(Crops!$E$6:$E$65,MATCH(C1143,Crops!$B$6:$B$65,0)),0)))</f>
        <v/>
      </c>
      <c r="I1143" s="11">
        <f>IF(AND(C1143="",E1143=""),"",IF(NOT(ISNUMBER(B1143)),"Needs a date",IF(C1143="","Needs a crop",IF(COUNTIF(Crops!$B$6:$B$65,C1143)=0,"Not on Crops",IF(NOT(ISNUMBER(E1143)),"Needs the amount",IF(AND(D1143&lt;&gt;"",COUNTIF(Beds!$B$6:$B$35,D1143)=0),"Not on Beds",""))))))</f>
        <v/>
      </c>
      <c r="J1143" s="1">
        <f>IF(ISNUMBER(B1143),YEAR(B1143),"")</f>
        <v/>
      </c>
      <c r="K1143">
        <f>IF(ISNUMBER(B1143),YEAR(B1143)*100+MONTH(B1143),"")</f>
        <v/>
      </c>
      <c r="L1143">
        <f>IF(ISNUMBER(B1143),INT(B1143),0)</f>
        <v/>
      </c>
    </row>
    <row r="1144">
      <c r="A1144" s="1" t="n"/>
      <c r="B1144" s="17" t="n"/>
      <c r="C1144" s="18" t="n"/>
      <c r="D1144" s="19" t="n"/>
      <c r="E1144" s="23" t="n"/>
      <c r="F1144" s="21" t="n"/>
      <c r="G1144" s="11">
        <f>IF(C1144="","",IFERROR(INDEX(Crops!$D$6:$D$65,MATCH(C1144,Crops!$B$6:$B$65,0))&amp;"",""))</f>
        <v/>
      </c>
      <c r="H1144" s="12">
        <f>IF(OR(C1144="",NOT(ISNUMBER(E1144))),"",E1144*N(IFERROR(INDEX(Crops!$E$6:$E$65,MATCH(C1144,Crops!$B$6:$B$65,0)),0)))</f>
        <v/>
      </c>
      <c r="I1144" s="11">
        <f>IF(AND(C1144="",E1144=""),"",IF(NOT(ISNUMBER(B1144)),"Needs a date",IF(C1144="","Needs a crop",IF(COUNTIF(Crops!$B$6:$B$65,C1144)=0,"Not on Crops",IF(NOT(ISNUMBER(E1144)),"Needs the amount",IF(AND(D1144&lt;&gt;"",COUNTIF(Beds!$B$6:$B$35,D1144)=0),"Not on Beds",""))))))</f>
        <v/>
      </c>
      <c r="J1144" s="1">
        <f>IF(ISNUMBER(B1144),YEAR(B1144),"")</f>
        <v/>
      </c>
      <c r="K1144">
        <f>IF(ISNUMBER(B1144),YEAR(B1144)*100+MONTH(B1144),"")</f>
        <v/>
      </c>
      <c r="L1144">
        <f>IF(ISNUMBER(B1144),INT(B1144),0)</f>
        <v/>
      </c>
    </row>
    <row r="1145">
      <c r="A1145" s="1" t="n"/>
      <c r="B1145" s="17" t="n"/>
      <c r="C1145" s="18" t="n"/>
      <c r="D1145" s="19" t="n"/>
      <c r="E1145" s="23" t="n"/>
      <c r="F1145" s="21" t="n"/>
      <c r="G1145" s="11">
        <f>IF(C1145="","",IFERROR(INDEX(Crops!$D$6:$D$65,MATCH(C1145,Crops!$B$6:$B$65,0))&amp;"",""))</f>
        <v/>
      </c>
      <c r="H1145" s="12">
        <f>IF(OR(C1145="",NOT(ISNUMBER(E1145))),"",E1145*N(IFERROR(INDEX(Crops!$E$6:$E$65,MATCH(C1145,Crops!$B$6:$B$65,0)),0)))</f>
        <v/>
      </c>
      <c r="I1145" s="11">
        <f>IF(AND(C1145="",E1145=""),"",IF(NOT(ISNUMBER(B1145)),"Needs a date",IF(C1145="","Needs a crop",IF(COUNTIF(Crops!$B$6:$B$65,C1145)=0,"Not on Crops",IF(NOT(ISNUMBER(E1145)),"Needs the amount",IF(AND(D1145&lt;&gt;"",COUNTIF(Beds!$B$6:$B$35,D1145)=0),"Not on Beds",""))))))</f>
        <v/>
      </c>
      <c r="J1145" s="1">
        <f>IF(ISNUMBER(B1145),YEAR(B1145),"")</f>
        <v/>
      </c>
      <c r="K1145">
        <f>IF(ISNUMBER(B1145),YEAR(B1145)*100+MONTH(B1145),"")</f>
        <v/>
      </c>
      <c r="L1145">
        <f>IF(ISNUMBER(B1145),INT(B1145),0)</f>
        <v/>
      </c>
    </row>
    <row r="1146">
      <c r="A1146" s="1" t="n"/>
      <c r="B1146" s="17" t="n"/>
      <c r="C1146" s="18" t="n"/>
      <c r="D1146" s="19" t="n"/>
      <c r="E1146" s="23" t="n"/>
      <c r="F1146" s="21" t="n"/>
      <c r="G1146" s="11">
        <f>IF(C1146="","",IFERROR(INDEX(Crops!$D$6:$D$65,MATCH(C1146,Crops!$B$6:$B$65,0))&amp;"",""))</f>
        <v/>
      </c>
      <c r="H1146" s="12">
        <f>IF(OR(C1146="",NOT(ISNUMBER(E1146))),"",E1146*N(IFERROR(INDEX(Crops!$E$6:$E$65,MATCH(C1146,Crops!$B$6:$B$65,0)),0)))</f>
        <v/>
      </c>
      <c r="I1146" s="11">
        <f>IF(AND(C1146="",E1146=""),"",IF(NOT(ISNUMBER(B1146)),"Needs a date",IF(C1146="","Needs a crop",IF(COUNTIF(Crops!$B$6:$B$65,C1146)=0,"Not on Crops",IF(NOT(ISNUMBER(E1146)),"Needs the amount",IF(AND(D1146&lt;&gt;"",COUNTIF(Beds!$B$6:$B$35,D1146)=0),"Not on Beds",""))))))</f>
        <v/>
      </c>
      <c r="J1146" s="1">
        <f>IF(ISNUMBER(B1146),YEAR(B1146),"")</f>
        <v/>
      </c>
      <c r="K1146">
        <f>IF(ISNUMBER(B1146),YEAR(B1146)*100+MONTH(B1146),"")</f>
        <v/>
      </c>
      <c r="L1146">
        <f>IF(ISNUMBER(B1146),INT(B1146),0)</f>
        <v/>
      </c>
    </row>
    <row r="1147">
      <c r="A1147" s="1" t="n"/>
      <c r="B1147" s="17" t="n"/>
      <c r="C1147" s="18" t="n"/>
      <c r="D1147" s="19" t="n"/>
      <c r="E1147" s="23" t="n"/>
      <c r="F1147" s="21" t="n"/>
      <c r="G1147" s="11">
        <f>IF(C1147="","",IFERROR(INDEX(Crops!$D$6:$D$65,MATCH(C1147,Crops!$B$6:$B$65,0))&amp;"",""))</f>
        <v/>
      </c>
      <c r="H1147" s="12">
        <f>IF(OR(C1147="",NOT(ISNUMBER(E1147))),"",E1147*N(IFERROR(INDEX(Crops!$E$6:$E$65,MATCH(C1147,Crops!$B$6:$B$65,0)),0)))</f>
        <v/>
      </c>
      <c r="I1147" s="11">
        <f>IF(AND(C1147="",E1147=""),"",IF(NOT(ISNUMBER(B1147)),"Needs a date",IF(C1147="","Needs a crop",IF(COUNTIF(Crops!$B$6:$B$65,C1147)=0,"Not on Crops",IF(NOT(ISNUMBER(E1147)),"Needs the amount",IF(AND(D1147&lt;&gt;"",COUNTIF(Beds!$B$6:$B$35,D1147)=0),"Not on Beds",""))))))</f>
        <v/>
      </c>
      <c r="J1147" s="1">
        <f>IF(ISNUMBER(B1147),YEAR(B1147),"")</f>
        <v/>
      </c>
      <c r="K1147">
        <f>IF(ISNUMBER(B1147),YEAR(B1147)*100+MONTH(B1147),"")</f>
        <v/>
      </c>
      <c r="L1147">
        <f>IF(ISNUMBER(B1147),INT(B1147),0)</f>
        <v/>
      </c>
    </row>
    <row r="1148">
      <c r="A1148" s="1" t="n"/>
      <c r="B1148" s="17" t="n"/>
      <c r="C1148" s="18" t="n"/>
      <c r="D1148" s="19" t="n"/>
      <c r="E1148" s="23" t="n"/>
      <c r="F1148" s="21" t="n"/>
      <c r="G1148" s="11">
        <f>IF(C1148="","",IFERROR(INDEX(Crops!$D$6:$D$65,MATCH(C1148,Crops!$B$6:$B$65,0))&amp;"",""))</f>
        <v/>
      </c>
      <c r="H1148" s="12">
        <f>IF(OR(C1148="",NOT(ISNUMBER(E1148))),"",E1148*N(IFERROR(INDEX(Crops!$E$6:$E$65,MATCH(C1148,Crops!$B$6:$B$65,0)),0)))</f>
        <v/>
      </c>
      <c r="I1148" s="11">
        <f>IF(AND(C1148="",E1148=""),"",IF(NOT(ISNUMBER(B1148)),"Needs a date",IF(C1148="","Needs a crop",IF(COUNTIF(Crops!$B$6:$B$65,C1148)=0,"Not on Crops",IF(NOT(ISNUMBER(E1148)),"Needs the amount",IF(AND(D1148&lt;&gt;"",COUNTIF(Beds!$B$6:$B$35,D1148)=0),"Not on Beds",""))))))</f>
        <v/>
      </c>
      <c r="J1148" s="1">
        <f>IF(ISNUMBER(B1148),YEAR(B1148),"")</f>
        <v/>
      </c>
      <c r="K1148">
        <f>IF(ISNUMBER(B1148),YEAR(B1148)*100+MONTH(B1148),"")</f>
        <v/>
      </c>
      <c r="L1148">
        <f>IF(ISNUMBER(B1148),INT(B1148),0)</f>
        <v/>
      </c>
    </row>
    <row r="1149">
      <c r="A1149" s="1" t="n"/>
      <c r="B1149" s="17" t="n"/>
      <c r="C1149" s="18" t="n"/>
      <c r="D1149" s="19" t="n"/>
      <c r="E1149" s="23" t="n"/>
      <c r="F1149" s="21" t="n"/>
      <c r="G1149" s="11">
        <f>IF(C1149="","",IFERROR(INDEX(Crops!$D$6:$D$65,MATCH(C1149,Crops!$B$6:$B$65,0))&amp;"",""))</f>
        <v/>
      </c>
      <c r="H1149" s="12">
        <f>IF(OR(C1149="",NOT(ISNUMBER(E1149))),"",E1149*N(IFERROR(INDEX(Crops!$E$6:$E$65,MATCH(C1149,Crops!$B$6:$B$65,0)),0)))</f>
        <v/>
      </c>
      <c r="I1149" s="11">
        <f>IF(AND(C1149="",E1149=""),"",IF(NOT(ISNUMBER(B1149)),"Needs a date",IF(C1149="","Needs a crop",IF(COUNTIF(Crops!$B$6:$B$65,C1149)=0,"Not on Crops",IF(NOT(ISNUMBER(E1149)),"Needs the amount",IF(AND(D1149&lt;&gt;"",COUNTIF(Beds!$B$6:$B$35,D1149)=0),"Not on Beds",""))))))</f>
        <v/>
      </c>
      <c r="J1149" s="1">
        <f>IF(ISNUMBER(B1149),YEAR(B1149),"")</f>
        <v/>
      </c>
      <c r="K1149">
        <f>IF(ISNUMBER(B1149),YEAR(B1149)*100+MONTH(B1149),"")</f>
        <v/>
      </c>
      <c r="L1149">
        <f>IF(ISNUMBER(B1149),INT(B1149),0)</f>
        <v/>
      </c>
    </row>
    <row r="1150">
      <c r="A1150" s="1" t="n"/>
      <c r="B1150" s="17" t="n"/>
      <c r="C1150" s="18" t="n"/>
      <c r="D1150" s="19" t="n"/>
      <c r="E1150" s="23" t="n"/>
      <c r="F1150" s="21" t="n"/>
      <c r="G1150" s="11">
        <f>IF(C1150="","",IFERROR(INDEX(Crops!$D$6:$D$65,MATCH(C1150,Crops!$B$6:$B$65,0))&amp;"",""))</f>
        <v/>
      </c>
      <c r="H1150" s="12">
        <f>IF(OR(C1150="",NOT(ISNUMBER(E1150))),"",E1150*N(IFERROR(INDEX(Crops!$E$6:$E$65,MATCH(C1150,Crops!$B$6:$B$65,0)),0)))</f>
        <v/>
      </c>
      <c r="I1150" s="11">
        <f>IF(AND(C1150="",E1150=""),"",IF(NOT(ISNUMBER(B1150)),"Needs a date",IF(C1150="","Needs a crop",IF(COUNTIF(Crops!$B$6:$B$65,C1150)=0,"Not on Crops",IF(NOT(ISNUMBER(E1150)),"Needs the amount",IF(AND(D1150&lt;&gt;"",COUNTIF(Beds!$B$6:$B$35,D1150)=0),"Not on Beds",""))))))</f>
        <v/>
      </c>
      <c r="J1150" s="1">
        <f>IF(ISNUMBER(B1150),YEAR(B1150),"")</f>
        <v/>
      </c>
      <c r="K1150">
        <f>IF(ISNUMBER(B1150),YEAR(B1150)*100+MONTH(B1150),"")</f>
        <v/>
      </c>
      <c r="L1150">
        <f>IF(ISNUMBER(B1150),INT(B1150),0)</f>
        <v/>
      </c>
    </row>
    <row r="1151">
      <c r="A1151" s="1" t="n"/>
      <c r="B1151" s="17" t="n"/>
      <c r="C1151" s="18" t="n"/>
      <c r="D1151" s="19" t="n"/>
      <c r="E1151" s="23" t="n"/>
      <c r="F1151" s="21" t="n"/>
      <c r="G1151" s="11">
        <f>IF(C1151="","",IFERROR(INDEX(Crops!$D$6:$D$65,MATCH(C1151,Crops!$B$6:$B$65,0))&amp;"",""))</f>
        <v/>
      </c>
      <c r="H1151" s="12">
        <f>IF(OR(C1151="",NOT(ISNUMBER(E1151))),"",E1151*N(IFERROR(INDEX(Crops!$E$6:$E$65,MATCH(C1151,Crops!$B$6:$B$65,0)),0)))</f>
        <v/>
      </c>
      <c r="I1151" s="11">
        <f>IF(AND(C1151="",E1151=""),"",IF(NOT(ISNUMBER(B1151)),"Needs a date",IF(C1151="","Needs a crop",IF(COUNTIF(Crops!$B$6:$B$65,C1151)=0,"Not on Crops",IF(NOT(ISNUMBER(E1151)),"Needs the amount",IF(AND(D1151&lt;&gt;"",COUNTIF(Beds!$B$6:$B$35,D1151)=0),"Not on Beds",""))))))</f>
        <v/>
      </c>
      <c r="J1151" s="1">
        <f>IF(ISNUMBER(B1151),YEAR(B1151),"")</f>
        <v/>
      </c>
      <c r="K1151">
        <f>IF(ISNUMBER(B1151),YEAR(B1151)*100+MONTH(B1151),"")</f>
        <v/>
      </c>
      <c r="L1151">
        <f>IF(ISNUMBER(B1151),INT(B1151),0)</f>
        <v/>
      </c>
    </row>
    <row r="1152">
      <c r="A1152" s="1" t="n"/>
      <c r="B1152" s="17" t="n"/>
      <c r="C1152" s="18" t="n"/>
      <c r="D1152" s="19" t="n"/>
      <c r="E1152" s="23" t="n"/>
      <c r="F1152" s="21" t="n"/>
      <c r="G1152" s="11">
        <f>IF(C1152="","",IFERROR(INDEX(Crops!$D$6:$D$65,MATCH(C1152,Crops!$B$6:$B$65,0))&amp;"",""))</f>
        <v/>
      </c>
      <c r="H1152" s="12">
        <f>IF(OR(C1152="",NOT(ISNUMBER(E1152))),"",E1152*N(IFERROR(INDEX(Crops!$E$6:$E$65,MATCH(C1152,Crops!$B$6:$B$65,0)),0)))</f>
        <v/>
      </c>
      <c r="I1152" s="11">
        <f>IF(AND(C1152="",E1152=""),"",IF(NOT(ISNUMBER(B1152)),"Needs a date",IF(C1152="","Needs a crop",IF(COUNTIF(Crops!$B$6:$B$65,C1152)=0,"Not on Crops",IF(NOT(ISNUMBER(E1152)),"Needs the amount",IF(AND(D1152&lt;&gt;"",COUNTIF(Beds!$B$6:$B$35,D1152)=0),"Not on Beds",""))))))</f>
        <v/>
      </c>
      <c r="J1152" s="1">
        <f>IF(ISNUMBER(B1152),YEAR(B1152),"")</f>
        <v/>
      </c>
      <c r="K1152">
        <f>IF(ISNUMBER(B1152),YEAR(B1152)*100+MONTH(B1152),"")</f>
        <v/>
      </c>
      <c r="L1152">
        <f>IF(ISNUMBER(B1152),INT(B1152),0)</f>
        <v/>
      </c>
    </row>
    <row r="1153">
      <c r="A1153" s="1" t="n"/>
      <c r="B1153" s="17" t="n"/>
      <c r="C1153" s="18" t="n"/>
      <c r="D1153" s="19" t="n"/>
      <c r="E1153" s="23" t="n"/>
      <c r="F1153" s="21" t="n"/>
      <c r="G1153" s="11">
        <f>IF(C1153="","",IFERROR(INDEX(Crops!$D$6:$D$65,MATCH(C1153,Crops!$B$6:$B$65,0))&amp;"",""))</f>
        <v/>
      </c>
      <c r="H1153" s="12">
        <f>IF(OR(C1153="",NOT(ISNUMBER(E1153))),"",E1153*N(IFERROR(INDEX(Crops!$E$6:$E$65,MATCH(C1153,Crops!$B$6:$B$65,0)),0)))</f>
        <v/>
      </c>
      <c r="I1153" s="11">
        <f>IF(AND(C1153="",E1153=""),"",IF(NOT(ISNUMBER(B1153)),"Needs a date",IF(C1153="","Needs a crop",IF(COUNTIF(Crops!$B$6:$B$65,C1153)=0,"Not on Crops",IF(NOT(ISNUMBER(E1153)),"Needs the amount",IF(AND(D1153&lt;&gt;"",COUNTIF(Beds!$B$6:$B$35,D1153)=0),"Not on Beds",""))))))</f>
        <v/>
      </c>
      <c r="J1153" s="1">
        <f>IF(ISNUMBER(B1153),YEAR(B1153),"")</f>
        <v/>
      </c>
      <c r="K1153">
        <f>IF(ISNUMBER(B1153),YEAR(B1153)*100+MONTH(B1153),"")</f>
        <v/>
      </c>
      <c r="L1153">
        <f>IF(ISNUMBER(B1153),INT(B1153),0)</f>
        <v/>
      </c>
    </row>
    <row r="1154">
      <c r="A1154" s="1" t="n"/>
      <c r="B1154" s="17" t="n"/>
      <c r="C1154" s="18" t="n"/>
      <c r="D1154" s="19" t="n"/>
      <c r="E1154" s="23" t="n"/>
      <c r="F1154" s="21" t="n"/>
      <c r="G1154" s="11">
        <f>IF(C1154="","",IFERROR(INDEX(Crops!$D$6:$D$65,MATCH(C1154,Crops!$B$6:$B$65,0))&amp;"",""))</f>
        <v/>
      </c>
      <c r="H1154" s="12">
        <f>IF(OR(C1154="",NOT(ISNUMBER(E1154))),"",E1154*N(IFERROR(INDEX(Crops!$E$6:$E$65,MATCH(C1154,Crops!$B$6:$B$65,0)),0)))</f>
        <v/>
      </c>
      <c r="I1154" s="11">
        <f>IF(AND(C1154="",E1154=""),"",IF(NOT(ISNUMBER(B1154)),"Needs a date",IF(C1154="","Needs a crop",IF(COUNTIF(Crops!$B$6:$B$65,C1154)=0,"Not on Crops",IF(NOT(ISNUMBER(E1154)),"Needs the amount",IF(AND(D1154&lt;&gt;"",COUNTIF(Beds!$B$6:$B$35,D1154)=0),"Not on Beds",""))))))</f>
        <v/>
      </c>
      <c r="J1154" s="1">
        <f>IF(ISNUMBER(B1154),YEAR(B1154),"")</f>
        <v/>
      </c>
      <c r="K1154">
        <f>IF(ISNUMBER(B1154),YEAR(B1154)*100+MONTH(B1154),"")</f>
        <v/>
      </c>
      <c r="L1154">
        <f>IF(ISNUMBER(B1154),INT(B1154),0)</f>
        <v/>
      </c>
    </row>
    <row r="1155">
      <c r="A1155" s="1" t="n"/>
      <c r="B1155" s="17" t="n"/>
      <c r="C1155" s="18" t="n"/>
      <c r="D1155" s="19" t="n"/>
      <c r="E1155" s="23" t="n"/>
      <c r="F1155" s="21" t="n"/>
      <c r="G1155" s="11">
        <f>IF(C1155="","",IFERROR(INDEX(Crops!$D$6:$D$65,MATCH(C1155,Crops!$B$6:$B$65,0))&amp;"",""))</f>
        <v/>
      </c>
      <c r="H1155" s="12">
        <f>IF(OR(C1155="",NOT(ISNUMBER(E1155))),"",E1155*N(IFERROR(INDEX(Crops!$E$6:$E$65,MATCH(C1155,Crops!$B$6:$B$65,0)),0)))</f>
        <v/>
      </c>
      <c r="I1155" s="11">
        <f>IF(AND(C1155="",E1155=""),"",IF(NOT(ISNUMBER(B1155)),"Needs a date",IF(C1155="","Needs a crop",IF(COUNTIF(Crops!$B$6:$B$65,C1155)=0,"Not on Crops",IF(NOT(ISNUMBER(E1155)),"Needs the amount",IF(AND(D1155&lt;&gt;"",COUNTIF(Beds!$B$6:$B$35,D1155)=0),"Not on Beds",""))))))</f>
        <v/>
      </c>
      <c r="J1155" s="1">
        <f>IF(ISNUMBER(B1155),YEAR(B1155),"")</f>
        <v/>
      </c>
      <c r="K1155">
        <f>IF(ISNUMBER(B1155),YEAR(B1155)*100+MONTH(B1155),"")</f>
        <v/>
      </c>
      <c r="L1155">
        <f>IF(ISNUMBER(B1155),INT(B1155),0)</f>
        <v/>
      </c>
    </row>
    <row r="1156">
      <c r="A1156" s="1" t="n"/>
      <c r="B1156" s="17" t="n"/>
      <c r="C1156" s="18" t="n"/>
      <c r="D1156" s="19" t="n"/>
      <c r="E1156" s="23" t="n"/>
      <c r="F1156" s="21" t="n"/>
      <c r="G1156" s="11">
        <f>IF(C1156="","",IFERROR(INDEX(Crops!$D$6:$D$65,MATCH(C1156,Crops!$B$6:$B$65,0))&amp;"",""))</f>
        <v/>
      </c>
      <c r="H1156" s="12">
        <f>IF(OR(C1156="",NOT(ISNUMBER(E1156))),"",E1156*N(IFERROR(INDEX(Crops!$E$6:$E$65,MATCH(C1156,Crops!$B$6:$B$65,0)),0)))</f>
        <v/>
      </c>
      <c r="I1156" s="11">
        <f>IF(AND(C1156="",E1156=""),"",IF(NOT(ISNUMBER(B1156)),"Needs a date",IF(C1156="","Needs a crop",IF(COUNTIF(Crops!$B$6:$B$65,C1156)=0,"Not on Crops",IF(NOT(ISNUMBER(E1156)),"Needs the amount",IF(AND(D1156&lt;&gt;"",COUNTIF(Beds!$B$6:$B$35,D1156)=0),"Not on Beds",""))))))</f>
        <v/>
      </c>
      <c r="J1156" s="1">
        <f>IF(ISNUMBER(B1156),YEAR(B1156),"")</f>
        <v/>
      </c>
      <c r="K1156">
        <f>IF(ISNUMBER(B1156),YEAR(B1156)*100+MONTH(B1156),"")</f>
        <v/>
      </c>
      <c r="L1156">
        <f>IF(ISNUMBER(B1156),INT(B1156),0)</f>
        <v/>
      </c>
    </row>
    <row r="1157">
      <c r="A1157" s="1" t="n"/>
      <c r="B1157" s="17" t="n"/>
      <c r="C1157" s="18" t="n"/>
      <c r="D1157" s="19" t="n"/>
      <c r="E1157" s="23" t="n"/>
      <c r="F1157" s="21" t="n"/>
      <c r="G1157" s="11">
        <f>IF(C1157="","",IFERROR(INDEX(Crops!$D$6:$D$65,MATCH(C1157,Crops!$B$6:$B$65,0))&amp;"",""))</f>
        <v/>
      </c>
      <c r="H1157" s="12">
        <f>IF(OR(C1157="",NOT(ISNUMBER(E1157))),"",E1157*N(IFERROR(INDEX(Crops!$E$6:$E$65,MATCH(C1157,Crops!$B$6:$B$65,0)),0)))</f>
        <v/>
      </c>
      <c r="I1157" s="11">
        <f>IF(AND(C1157="",E1157=""),"",IF(NOT(ISNUMBER(B1157)),"Needs a date",IF(C1157="","Needs a crop",IF(COUNTIF(Crops!$B$6:$B$65,C1157)=0,"Not on Crops",IF(NOT(ISNUMBER(E1157)),"Needs the amount",IF(AND(D1157&lt;&gt;"",COUNTIF(Beds!$B$6:$B$35,D1157)=0),"Not on Beds",""))))))</f>
        <v/>
      </c>
      <c r="J1157" s="1">
        <f>IF(ISNUMBER(B1157),YEAR(B1157),"")</f>
        <v/>
      </c>
      <c r="K1157">
        <f>IF(ISNUMBER(B1157),YEAR(B1157)*100+MONTH(B1157),"")</f>
        <v/>
      </c>
      <c r="L1157">
        <f>IF(ISNUMBER(B1157),INT(B1157),0)</f>
        <v/>
      </c>
    </row>
    <row r="1158">
      <c r="A1158" s="1" t="n"/>
      <c r="B1158" s="17" t="n"/>
      <c r="C1158" s="18" t="n"/>
      <c r="D1158" s="19" t="n"/>
      <c r="E1158" s="23" t="n"/>
      <c r="F1158" s="21" t="n"/>
      <c r="G1158" s="11">
        <f>IF(C1158="","",IFERROR(INDEX(Crops!$D$6:$D$65,MATCH(C1158,Crops!$B$6:$B$65,0))&amp;"",""))</f>
        <v/>
      </c>
      <c r="H1158" s="12">
        <f>IF(OR(C1158="",NOT(ISNUMBER(E1158))),"",E1158*N(IFERROR(INDEX(Crops!$E$6:$E$65,MATCH(C1158,Crops!$B$6:$B$65,0)),0)))</f>
        <v/>
      </c>
      <c r="I1158" s="11">
        <f>IF(AND(C1158="",E1158=""),"",IF(NOT(ISNUMBER(B1158)),"Needs a date",IF(C1158="","Needs a crop",IF(COUNTIF(Crops!$B$6:$B$65,C1158)=0,"Not on Crops",IF(NOT(ISNUMBER(E1158)),"Needs the amount",IF(AND(D1158&lt;&gt;"",COUNTIF(Beds!$B$6:$B$35,D1158)=0),"Not on Beds",""))))))</f>
        <v/>
      </c>
      <c r="J1158" s="1">
        <f>IF(ISNUMBER(B1158),YEAR(B1158),"")</f>
        <v/>
      </c>
      <c r="K1158">
        <f>IF(ISNUMBER(B1158),YEAR(B1158)*100+MONTH(B1158),"")</f>
        <v/>
      </c>
      <c r="L1158">
        <f>IF(ISNUMBER(B1158),INT(B1158),0)</f>
        <v/>
      </c>
    </row>
    <row r="1159">
      <c r="A1159" s="1" t="n"/>
      <c r="B1159" s="17" t="n"/>
      <c r="C1159" s="18" t="n"/>
      <c r="D1159" s="19" t="n"/>
      <c r="E1159" s="23" t="n"/>
      <c r="F1159" s="21" t="n"/>
      <c r="G1159" s="11">
        <f>IF(C1159="","",IFERROR(INDEX(Crops!$D$6:$D$65,MATCH(C1159,Crops!$B$6:$B$65,0))&amp;"",""))</f>
        <v/>
      </c>
      <c r="H1159" s="12">
        <f>IF(OR(C1159="",NOT(ISNUMBER(E1159))),"",E1159*N(IFERROR(INDEX(Crops!$E$6:$E$65,MATCH(C1159,Crops!$B$6:$B$65,0)),0)))</f>
        <v/>
      </c>
      <c r="I1159" s="11">
        <f>IF(AND(C1159="",E1159=""),"",IF(NOT(ISNUMBER(B1159)),"Needs a date",IF(C1159="","Needs a crop",IF(COUNTIF(Crops!$B$6:$B$65,C1159)=0,"Not on Crops",IF(NOT(ISNUMBER(E1159)),"Needs the amount",IF(AND(D1159&lt;&gt;"",COUNTIF(Beds!$B$6:$B$35,D1159)=0),"Not on Beds",""))))))</f>
        <v/>
      </c>
      <c r="J1159" s="1">
        <f>IF(ISNUMBER(B1159),YEAR(B1159),"")</f>
        <v/>
      </c>
      <c r="K1159">
        <f>IF(ISNUMBER(B1159),YEAR(B1159)*100+MONTH(B1159),"")</f>
        <v/>
      </c>
      <c r="L1159">
        <f>IF(ISNUMBER(B1159),INT(B1159),0)</f>
        <v/>
      </c>
    </row>
    <row r="1160">
      <c r="A1160" s="1" t="n"/>
      <c r="B1160" s="17" t="n"/>
      <c r="C1160" s="18" t="n"/>
      <c r="D1160" s="19" t="n"/>
      <c r="E1160" s="23" t="n"/>
      <c r="F1160" s="21" t="n"/>
      <c r="G1160" s="11">
        <f>IF(C1160="","",IFERROR(INDEX(Crops!$D$6:$D$65,MATCH(C1160,Crops!$B$6:$B$65,0))&amp;"",""))</f>
        <v/>
      </c>
      <c r="H1160" s="12">
        <f>IF(OR(C1160="",NOT(ISNUMBER(E1160))),"",E1160*N(IFERROR(INDEX(Crops!$E$6:$E$65,MATCH(C1160,Crops!$B$6:$B$65,0)),0)))</f>
        <v/>
      </c>
      <c r="I1160" s="11">
        <f>IF(AND(C1160="",E1160=""),"",IF(NOT(ISNUMBER(B1160)),"Needs a date",IF(C1160="","Needs a crop",IF(COUNTIF(Crops!$B$6:$B$65,C1160)=0,"Not on Crops",IF(NOT(ISNUMBER(E1160)),"Needs the amount",IF(AND(D1160&lt;&gt;"",COUNTIF(Beds!$B$6:$B$35,D1160)=0),"Not on Beds",""))))))</f>
        <v/>
      </c>
      <c r="J1160" s="1">
        <f>IF(ISNUMBER(B1160),YEAR(B1160),"")</f>
        <v/>
      </c>
      <c r="K1160">
        <f>IF(ISNUMBER(B1160),YEAR(B1160)*100+MONTH(B1160),"")</f>
        <v/>
      </c>
      <c r="L1160">
        <f>IF(ISNUMBER(B1160),INT(B1160),0)</f>
        <v/>
      </c>
    </row>
    <row r="1161">
      <c r="A1161" s="1" t="n"/>
      <c r="B1161" s="17" t="n"/>
      <c r="C1161" s="18" t="n"/>
      <c r="D1161" s="19" t="n"/>
      <c r="E1161" s="23" t="n"/>
      <c r="F1161" s="21" t="n"/>
      <c r="G1161" s="11">
        <f>IF(C1161="","",IFERROR(INDEX(Crops!$D$6:$D$65,MATCH(C1161,Crops!$B$6:$B$65,0))&amp;"",""))</f>
        <v/>
      </c>
      <c r="H1161" s="12">
        <f>IF(OR(C1161="",NOT(ISNUMBER(E1161))),"",E1161*N(IFERROR(INDEX(Crops!$E$6:$E$65,MATCH(C1161,Crops!$B$6:$B$65,0)),0)))</f>
        <v/>
      </c>
      <c r="I1161" s="11">
        <f>IF(AND(C1161="",E1161=""),"",IF(NOT(ISNUMBER(B1161)),"Needs a date",IF(C1161="","Needs a crop",IF(COUNTIF(Crops!$B$6:$B$65,C1161)=0,"Not on Crops",IF(NOT(ISNUMBER(E1161)),"Needs the amount",IF(AND(D1161&lt;&gt;"",COUNTIF(Beds!$B$6:$B$35,D1161)=0),"Not on Beds",""))))))</f>
        <v/>
      </c>
      <c r="J1161" s="1">
        <f>IF(ISNUMBER(B1161),YEAR(B1161),"")</f>
        <v/>
      </c>
      <c r="K1161">
        <f>IF(ISNUMBER(B1161),YEAR(B1161)*100+MONTH(B1161),"")</f>
        <v/>
      </c>
      <c r="L1161">
        <f>IF(ISNUMBER(B1161),INT(B1161),0)</f>
        <v/>
      </c>
    </row>
    <row r="1162">
      <c r="A1162" s="1" t="n"/>
      <c r="B1162" s="17" t="n"/>
      <c r="C1162" s="18" t="n"/>
      <c r="D1162" s="19" t="n"/>
      <c r="E1162" s="23" t="n"/>
      <c r="F1162" s="21" t="n"/>
      <c r="G1162" s="11">
        <f>IF(C1162="","",IFERROR(INDEX(Crops!$D$6:$D$65,MATCH(C1162,Crops!$B$6:$B$65,0))&amp;"",""))</f>
        <v/>
      </c>
      <c r="H1162" s="12">
        <f>IF(OR(C1162="",NOT(ISNUMBER(E1162))),"",E1162*N(IFERROR(INDEX(Crops!$E$6:$E$65,MATCH(C1162,Crops!$B$6:$B$65,0)),0)))</f>
        <v/>
      </c>
      <c r="I1162" s="11">
        <f>IF(AND(C1162="",E1162=""),"",IF(NOT(ISNUMBER(B1162)),"Needs a date",IF(C1162="","Needs a crop",IF(COUNTIF(Crops!$B$6:$B$65,C1162)=0,"Not on Crops",IF(NOT(ISNUMBER(E1162)),"Needs the amount",IF(AND(D1162&lt;&gt;"",COUNTIF(Beds!$B$6:$B$35,D1162)=0),"Not on Beds",""))))))</f>
        <v/>
      </c>
      <c r="J1162" s="1">
        <f>IF(ISNUMBER(B1162),YEAR(B1162),"")</f>
        <v/>
      </c>
      <c r="K1162">
        <f>IF(ISNUMBER(B1162),YEAR(B1162)*100+MONTH(B1162),"")</f>
        <v/>
      </c>
      <c r="L1162">
        <f>IF(ISNUMBER(B1162),INT(B1162),0)</f>
        <v/>
      </c>
    </row>
    <row r="1163">
      <c r="A1163" s="1" t="n"/>
      <c r="B1163" s="17" t="n"/>
      <c r="C1163" s="18" t="n"/>
      <c r="D1163" s="19" t="n"/>
      <c r="E1163" s="23" t="n"/>
      <c r="F1163" s="21" t="n"/>
      <c r="G1163" s="11">
        <f>IF(C1163="","",IFERROR(INDEX(Crops!$D$6:$D$65,MATCH(C1163,Crops!$B$6:$B$65,0))&amp;"",""))</f>
        <v/>
      </c>
      <c r="H1163" s="12">
        <f>IF(OR(C1163="",NOT(ISNUMBER(E1163))),"",E1163*N(IFERROR(INDEX(Crops!$E$6:$E$65,MATCH(C1163,Crops!$B$6:$B$65,0)),0)))</f>
        <v/>
      </c>
      <c r="I1163" s="11">
        <f>IF(AND(C1163="",E1163=""),"",IF(NOT(ISNUMBER(B1163)),"Needs a date",IF(C1163="","Needs a crop",IF(COUNTIF(Crops!$B$6:$B$65,C1163)=0,"Not on Crops",IF(NOT(ISNUMBER(E1163)),"Needs the amount",IF(AND(D1163&lt;&gt;"",COUNTIF(Beds!$B$6:$B$35,D1163)=0),"Not on Beds",""))))))</f>
        <v/>
      </c>
      <c r="J1163" s="1">
        <f>IF(ISNUMBER(B1163),YEAR(B1163),"")</f>
        <v/>
      </c>
      <c r="K1163">
        <f>IF(ISNUMBER(B1163),YEAR(B1163)*100+MONTH(B1163),"")</f>
        <v/>
      </c>
      <c r="L1163">
        <f>IF(ISNUMBER(B1163),INT(B1163),0)</f>
        <v/>
      </c>
    </row>
    <row r="1164">
      <c r="A1164" s="1" t="n"/>
      <c r="B1164" s="17" t="n"/>
      <c r="C1164" s="18" t="n"/>
      <c r="D1164" s="19" t="n"/>
      <c r="E1164" s="23" t="n"/>
      <c r="F1164" s="21" t="n"/>
      <c r="G1164" s="11">
        <f>IF(C1164="","",IFERROR(INDEX(Crops!$D$6:$D$65,MATCH(C1164,Crops!$B$6:$B$65,0))&amp;"",""))</f>
        <v/>
      </c>
      <c r="H1164" s="12">
        <f>IF(OR(C1164="",NOT(ISNUMBER(E1164))),"",E1164*N(IFERROR(INDEX(Crops!$E$6:$E$65,MATCH(C1164,Crops!$B$6:$B$65,0)),0)))</f>
        <v/>
      </c>
      <c r="I1164" s="11">
        <f>IF(AND(C1164="",E1164=""),"",IF(NOT(ISNUMBER(B1164)),"Needs a date",IF(C1164="","Needs a crop",IF(COUNTIF(Crops!$B$6:$B$65,C1164)=0,"Not on Crops",IF(NOT(ISNUMBER(E1164)),"Needs the amount",IF(AND(D1164&lt;&gt;"",COUNTIF(Beds!$B$6:$B$35,D1164)=0),"Not on Beds",""))))))</f>
        <v/>
      </c>
      <c r="J1164" s="1">
        <f>IF(ISNUMBER(B1164),YEAR(B1164),"")</f>
        <v/>
      </c>
      <c r="K1164">
        <f>IF(ISNUMBER(B1164),YEAR(B1164)*100+MONTH(B1164),"")</f>
        <v/>
      </c>
      <c r="L1164">
        <f>IF(ISNUMBER(B1164),INT(B1164),0)</f>
        <v/>
      </c>
    </row>
    <row r="1165">
      <c r="A1165" s="1" t="n"/>
      <c r="B1165" s="17" t="n"/>
      <c r="C1165" s="18" t="n"/>
      <c r="D1165" s="19" t="n"/>
      <c r="E1165" s="23" t="n"/>
      <c r="F1165" s="21" t="n"/>
      <c r="G1165" s="11">
        <f>IF(C1165="","",IFERROR(INDEX(Crops!$D$6:$D$65,MATCH(C1165,Crops!$B$6:$B$65,0))&amp;"",""))</f>
        <v/>
      </c>
      <c r="H1165" s="12">
        <f>IF(OR(C1165="",NOT(ISNUMBER(E1165))),"",E1165*N(IFERROR(INDEX(Crops!$E$6:$E$65,MATCH(C1165,Crops!$B$6:$B$65,0)),0)))</f>
        <v/>
      </c>
      <c r="I1165" s="11">
        <f>IF(AND(C1165="",E1165=""),"",IF(NOT(ISNUMBER(B1165)),"Needs a date",IF(C1165="","Needs a crop",IF(COUNTIF(Crops!$B$6:$B$65,C1165)=0,"Not on Crops",IF(NOT(ISNUMBER(E1165)),"Needs the amount",IF(AND(D1165&lt;&gt;"",COUNTIF(Beds!$B$6:$B$35,D1165)=0),"Not on Beds",""))))))</f>
        <v/>
      </c>
      <c r="J1165" s="1">
        <f>IF(ISNUMBER(B1165),YEAR(B1165),"")</f>
        <v/>
      </c>
      <c r="K1165">
        <f>IF(ISNUMBER(B1165),YEAR(B1165)*100+MONTH(B1165),"")</f>
        <v/>
      </c>
      <c r="L1165">
        <f>IF(ISNUMBER(B1165),INT(B1165),0)</f>
        <v/>
      </c>
    </row>
    <row r="1166">
      <c r="A1166" s="1" t="n"/>
      <c r="B1166" s="17" t="n"/>
      <c r="C1166" s="18" t="n"/>
      <c r="D1166" s="19" t="n"/>
      <c r="E1166" s="23" t="n"/>
      <c r="F1166" s="21" t="n"/>
      <c r="G1166" s="11">
        <f>IF(C1166="","",IFERROR(INDEX(Crops!$D$6:$D$65,MATCH(C1166,Crops!$B$6:$B$65,0))&amp;"",""))</f>
        <v/>
      </c>
      <c r="H1166" s="12">
        <f>IF(OR(C1166="",NOT(ISNUMBER(E1166))),"",E1166*N(IFERROR(INDEX(Crops!$E$6:$E$65,MATCH(C1166,Crops!$B$6:$B$65,0)),0)))</f>
        <v/>
      </c>
      <c r="I1166" s="11">
        <f>IF(AND(C1166="",E1166=""),"",IF(NOT(ISNUMBER(B1166)),"Needs a date",IF(C1166="","Needs a crop",IF(COUNTIF(Crops!$B$6:$B$65,C1166)=0,"Not on Crops",IF(NOT(ISNUMBER(E1166)),"Needs the amount",IF(AND(D1166&lt;&gt;"",COUNTIF(Beds!$B$6:$B$35,D1166)=0),"Not on Beds",""))))))</f>
        <v/>
      </c>
      <c r="J1166" s="1">
        <f>IF(ISNUMBER(B1166),YEAR(B1166),"")</f>
        <v/>
      </c>
      <c r="K1166">
        <f>IF(ISNUMBER(B1166),YEAR(B1166)*100+MONTH(B1166),"")</f>
        <v/>
      </c>
      <c r="L1166">
        <f>IF(ISNUMBER(B1166),INT(B1166),0)</f>
        <v/>
      </c>
    </row>
    <row r="1167">
      <c r="A1167" s="1" t="n"/>
      <c r="B1167" s="17" t="n"/>
      <c r="C1167" s="18" t="n"/>
      <c r="D1167" s="19" t="n"/>
      <c r="E1167" s="23" t="n"/>
      <c r="F1167" s="21" t="n"/>
      <c r="G1167" s="11">
        <f>IF(C1167="","",IFERROR(INDEX(Crops!$D$6:$D$65,MATCH(C1167,Crops!$B$6:$B$65,0))&amp;"",""))</f>
        <v/>
      </c>
      <c r="H1167" s="12">
        <f>IF(OR(C1167="",NOT(ISNUMBER(E1167))),"",E1167*N(IFERROR(INDEX(Crops!$E$6:$E$65,MATCH(C1167,Crops!$B$6:$B$65,0)),0)))</f>
        <v/>
      </c>
      <c r="I1167" s="11">
        <f>IF(AND(C1167="",E1167=""),"",IF(NOT(ISNUMBER(B1167)),"Needs a date",IF(C1167="","Needs a crop",IF(COUNTIF(Crops!$B$6:$B$65,C1167)=0,"Not on Crops",IF(NOT(ISNUMBER(E1167)),"Needs the amount",IF(AND(D1167&lt;&gt;"",COUNTIF(Beds!$B$6:$B$35,D1167)=0),"Not on Beds",""))))))</f>
        <v/>
      </c>
      <c r="J1167" s="1">
        <f>IF(ISNUMBER(B1167),YEAR(B1167),"")</f>
        <v/>
      </c>
      <c r="K1167">
        <f>IF(ISNUMBER(B1167),YEAR(B1167)*100+MONTH(B1167),"")</f>
        <v/>
      </c>
      <c r="L1167">
        <f>IF(ISNUMBER(B1167),INT(B1167),0)</f>
        <v/>
      </c>
    </row>
    <row r="1168">
      <c r="A1168" s="1" t="n"/>
      <c r="B1168" s="17" t="n"/>
      <c r="C1168" s="18" t="n"/>
      <c r="D1168" s="19" t="n"/>
      <c r="E1168" s="23" t="n"/>
      <c r="F1168" s="21" t="n"/>
      <c r="G1168" s="11">
        <f>IF(C1168="","",IFERROR(INDEX(Crops!$D$6:$D$65,MATCH(C1168,Crops!$B$6:$B$65,0))&amp;"",""))</f>
        <v/>
      </c>
      <c r="H1168" s="12">
        <f>IF(OR(C1168="",NOT(ISNUMBER(E1168))),"",E1168*N(IFERROR(INDEX(Crops!$E$6:$E$65,MATCH(C1168,Crops!$B$6:$B$65,0)),0)))</f>
        <v/>
      </c>
      <c r="I1168" s="11">
        <f>IF(AND(C1168="",E1168=""),"",IF(NOT(ISNUMBER(B1168)),"Needs a date",IF(C1168="","Needs a crop",IF(COUNTIF(Crops!$B$6:$B$65,C1168)=0,"Not on Crops",IF(NOT(ISNUMBER(E1168)),"Needs the amount",IF(AND(D1168&lt;&gt;"",COUNTIF(Beds!$B$6:$B$35,D1168)=0),"Not on Beds",""))))))</f>
        <v/>
      </c>
      <c r="J1168" s="1">
        <f>IF(ISNUMBER(B1168),YEAR(B1168),"")</f>
        <v/>
      </c>
      <c r="K1168">
        <f>IF(ISNUMBER(B1168),YEAR(B1168)*100+MONTH(B1168),"")</f>
        <v/>
      </c>
      <c r="L1168">
        <f>IF(ISNUMBER(B1168),INT(B1168),0)</f>
        <v/>
      </c>
    </row>
    <row r="1169">
      <c r="A1169" s="1" t="n"/>
      <c r="B1169" s="17" t="n"/>
      <c r="C1169" s="18" t="n"/>
      <c r="D1169" s="19" t="n"/>
      <c r="E1169" s="23" t="n"/>
      <c r="F1169" s="21" t="n"/>
      <c r="G1169" s="11">
        <f>IF(C1169="","",IFERROR(INDEX(Crops!$D$6:$D$65,MATCH(C1169,Crops!$B$6:$B$65,0))&amp;"",""))</f>
        <v/>
      </c>
      <c r="H1169" s="12">
        <f>IF(OR(C1169="",NOT(ISNUMBER(E1169))),"",E1169*N(IFERROR(INDEX(Crops!$E$6:$E$65,MATCH(C1169,Crops!$B$6:$B$65,0)),0)))</f>
        <v/>
      </c>
      <c r="I1169" s="11">
        <f>IF(AND(C1169="",E1169=""),"",IF(NOT(ISNUMBER(B1169)),"Needs a date",IF(C1169="","Needs a crop",IF(COUNTIF(Crops!$B$6:$B$65,C1169)=0,"Not on Crops",IF(NOT(ISNUMBER(E1169)),"Needs the amount",IF(AND(D1169&lt;&gt;"",COUNTIF(Beds!$B$6:$B$35,D1169)=0),"Not on Beds",""))))))</f>
        <v/>
      </c>
      <c r="J1169" s="1">
        <f>IF(ISNUMBER(B1169),YEAR(B1169),"")</f>
        <v/>
      </c>
      <c r="K1169">
        <f>IF(ISNUMBER(B1169),YEAR(B1169)*100+MONTH(B1169),"")</f>
        <v/>
      </c>
      <c r="L1169">
        <f>IF(ISNUMBER(B1169),INT(B1169),0)</f>
        <v/>
      </c>
    </row>
    <row r="1170">
      <c r="A1170" s="1" t="n"/>
      <c r="B1170" s="17" t="n"/>
      <c r="C1170" s="18" t="n"/>
      <c r="D1170" s="19" t="n"/>
      <c r="E1170" s="23" t="n"/>
      <c r="F1170" s="21" t="n"/>
      <c r="G1170" s="11">
        <f>IF(C1170="","",IFERROR(INDEX(Crops!$D$6:$D$65,MATCH(C1170,Crops!$B$6:$B$65,0))&amp;"",""))</f>
        <v/>
      </c>
      <c r="H1170" s="12">
        <f>IF(OR(C1170="",NOT(ISNUMBER(E1170))),"",E1170*N(IFERROR(INDEX(Crops!$E$6:$E$65,MATCH(C1170,Crops!$B$6:$B$65,0)),0)))</f>
        <v/>
      </c>
      <c r="I1170" s="11">
        <f>IF(AND(C1170="",E1170=""),"",IF(NOT(ISNUMBER(B1170)),"Needs a date",IF(C1170="","Needs a crop",IF(COUNTIF(Crops!$B$6:$B$65,C1170)=0,"Not on Crops",IF(NOT(ISNUMBER(E1170)),"Needs the amount",IF(AND(D1170&lt;&gt;"",COUNTIF(Beds!$B$6:$B$35,D1170)=0),"Not on Beds",""))))))</f>
        <v/>
      </c>
      <c r="J1170" s="1">
        <f>IF(ISNUMBER(B1170),YEAR(B1170),"")</f>
        <v/>
      </c>
      <c r="K1170">
        <f>IF(ISNUMBER(B1170),YEAR(B1170)*100+MONTH(B1170),"")</f>
        <v/>
      </c>
      <c r="L1170">
        <f>IF(ISNUMBER(B1170),INT(B1170),0)</f>
        <v/>
      </c>
    </row>
    <row r="1171">
      <c r="A1171" s="1" t="n"/>
      <c r="B1171" s="17" t="n"/>
      <c r="C1171" s="18" t="n"/>
      <c r="D1171" s="19" t="n"/>
      <c r="E1171" s="23" t="n"/>
      <c r="F1171" s="21" t="n"/>
      <c r="G1171" s="11">
        <f>IF(C1171="","",IFERROR(INDEX(Crops!$D$6:$D$65,MATCH(C1171,Crops!$B$6:$B$65,0))&amp;"",""))</f>
        <v/>
      </c>
      <c r="H1171" s="12">
        <f>IF(OR(C1171="",NOT(ISNUMBER(E1171))),"",E1171*N(IFERROR(INDEX(Crops!$E$6:$E$65,MATCH(C1171,Crops!$B$6:$B$65,0)),0)))</f>
        <v/>
      </c>
      <c r="I1171" s="11">
        <f>IF(AND(C1171="",E1171=""),"",IF(NOT(ISNUMBER(B1171)),"Needs a date",IF(C1171="","Needs a crop",IF(COUNTIF(Crops!$B$6:$B$65,C1171)=0,"Not on Crops",IF(NOT(ISNUMBER(E1171)),"Needs the amount",IF(AND(D1171&lt;&gt;"",COUNTIF(Beds!$B$6:$B$35,D1171)=0),"Not on Beds",""))))))</f>
        <v/>
      </c>
      <c r="J1171" s="1">
        <f>IF(ISNUMBER(B1171),YEAR(B1171),"")</f>
        <v/>
      </c>
      <c r="K1171">
        <f>IF(ISNUMBER(B1171),YEAR(B1171)*100+MONTH(B1171),"")</f>
        <v/>
      </c>
      <c r="L1171">
        <f>IF(ISNUMBER(B1171),INT(B1171),0)</f>
        <v/>
      </c>
    </row>
    <row r="1172">
      <c r="A1172" s="1" t="n"/>
      <c r="B1172" s="17" t="n"/>
      <c r="C1172" s="18" t="n"/>
      <c r="D1172" s="19" t="n"/>
      <c r="E1172" s="23" t="n"/>
      <c r="F1172" s="21" t="n"/>
      <c r="G1172" s="11">
        <f>IF(C1172="","",IFERROR(INDEX(Crops!$D$6:$D$65,MATCH(C1172,Crops!$B$6:$B$65,0))&amp;"",""))</f>
        <v/>
      </c>
      <c r="H1172" s="12">
        <f>IF(OR(C1172="",NOT(ISNUMBER(E1172))),"",E1172*N(IFERROR(INDEX(Crops!$E$6:$E$65,MATCH(C1172,Crops!$B$6:$B$65,0)),0)))</f>
        <v/>
      </c>
      <c r="I1172" s="11">
        <f>IF(AND(C1172="",E1172=""),"",IF(NOT(ISNUMBER(B1172)),"Needs a date",IF(C1172="","Needs a crop",IF(COUNTIF(Crops!$B$6:$B$65,C1172)=0,"Not on Crops",IF(NOT(ISNUMBER(E1172)),"Needs the amount",IF(AND(D1172&lt;&gt;"",COUNTIF(Beds!$B$6:$B$35,D1172)=0),"Not on Beds",""))))))</f>
        <v/>
      </c>
      <c r="J1172" s="1">
        <f>IF(ISNUMBER(B1172),YEAR(B1172),"")</f>
        <v/>
      </c>
      <c r="K1172">
        <f>IF(ISNUMBER(B1172),YEAR(B1172)*100+MONTH(B1172),"")</f>
        <v/>
      </c>
      <c r="L1172">
        <f>IF(ISNUMBER(B1172),INT(B1172),0)</f>
        <v/>
      </c>
    </row>
    <row r="1173">
      <c r="A1173" s="1" t="n"/>
      <c r="B1173" s="17" t="n"/>
      <c r="C1173" s="18" t="n"/>
      <c r="D1173" s="19" t="n"/>
      <c r="E1173" s="23" t="n"/>
      <c r="F1173" s="21" t="n"/>
      <c r="G1173" s="11">
        <f>IF(C1173="","",IFERROR(INDEX(Crops!$D$6:$D$65,MATCH(C1173,Crops!$B$6:$B$65,0))&amp;"",""))</f>
        <v/>
      </c>
      <c r="H1173" s="12">
        <f>IF(OR(C1173="",NOT(ISNUMBER(E1173))),"",E1173*N(IFERROR(INDEX(Crops!$E$6:$E$65,MATCH(C1173,Crops!$B$6:$B$65,0)),0)))</f>
        <v/>
      </c>
      <c r="I1173" s="11">
        <f>IF(AND(C1173="",E1173=""),"",IF(NOT(ISNUMBER(B1173)),"Needs a date",IF(C1173="","Needs a crop",IF(COUNTIF(Crops!$B$6:$B$65,C1173)=0,"Not on Crops",IF(NOT(ISNUMBER(E1173)),"Needs the amount",IF(AND(D1173&lt;&gt;"",COUNTIF(Beds!$B$6:$B$35,D1173)=0),"Not on Beds",""))))))</f>
        <v/>
      </c>
      <c r="J1173" s="1">
        <f>IF(ISNUMBER(B1173),YEAR(B1173),"")</f>
        <v/>
      </c>
      <c r="K1173">
        <f>IF(ISNUMBER(B1173),YEAR(B1173)*100+MONTH(B1173),"")</f>
        <v/>
      </c>
      <c r="L1173">
        <f>IF(ISNUMBER(B1173),INT(B1173),0)</f>
        <v/>
      </c>
    </row>
    <row r="1174">
      <c r="A1174" s="1" t="n"/>
      <c r="B1174" s="17" t="n"/>
      <c r="C1174" s="18" t="n"/>
      <c r="D1174" s="19" t="n"/>
      <c r="E1174" s="23" t="n"/>
      <c r="F1174" s="21" t="n"/>
      <c r="G1174" s="11">
        <f>IF(C1174="","",IFERROR(INDEX(Crops!$D$6:$D$65,MATCH(C1174,Crops!$B$6:$B$65,0))&amp;"",""))</f>
        <v/>
      </c>
      <c r="H1174" s="12">
        <f>IF(OR(C1174="",NOT(ISNUMBER(E1174))),"",E1174*N(IFERROR(INDEX(Crops!$E$6:$E$65,MATCH(C1174,Crops!$B$6:$B$65,0)),0)))</f>
        <v/>
      </c>
      <c r="I1174" s="11">
        <f>IF(AND(C1174="",E1174=""),"",IF(NOT(ISNUMBER(B1174)),"Needs a date",IF(C1174="","Needs a crop",IF(COUNTIF(Crops!$B$6:$B$65,C1174)=0,"Not on Crops",IF(NOT(ISNUMBER(E1174)),"Needs the amount",IF(AND(D1174&lt;&gt;"",COUNTIF(Beds!$B$6:$B$35,D1174)=0),"Not on Beds",""))))))</f>
        <v/>
      </c>
      <c r="J1174" s="1">
        <f>IF(ISNUMBER(B1174),YEAR(B1174),"")</f>
        <v/>
      </c>
      <c r="K1174">
        <f>IF(ISNUMBER(B1174),YEAR(B1174)*100+MONTH(B1174),"")</f>
        <v/>
      </c>
      <c r="L1174">
        <f>IF(ISNUMBER(B1174),INT(B1174),0)</f>
        <v/>
      </c>
    </row>
    <row r="1175">
      <c r="A1175" s="1" t="n"/>
      <c r="B1175" s="17" t="n"/>
      <c r="C1175" s="18" t="n"/>
      <c r="D1175" s="19" t="n"/>
      <c r="E1175" s="23" t="n"/>
      <c r="F1175" s="21" t="n"/>
      <c r="G1175" s="11">
        <f>IF(C1175="","",IFERROR(INDEX(Crops!$D$6:$D$65,MATCH(C1175,Crops!$B$6:$B$65,0))&amp;"",""))</f>
        <v/>
      </c>
      <c r="H1175" s="12">
        <f>IF(OR(C1175="",NOT(ISNUMBER(E1175))),"",E1175*N(IFERROR(INDEX(Crops!$E$6:$E$65,MATCH(C1175,Crops!$B$6:$B$65,0)),0)))</f>
        <v/>
      </c>
      <c r="I1175" s="11">
        <f>IF(AND(C1175="",E1175=""),"",IF(NOT(ISNUMBER(B1175)),"Needs a date",IF(C1175="","Needs a crop",IF(COUNTIF(Crops!$B$6:$B$65,C1175)=0,"Not on Crops",IF(NOT(ISNUMBER(E1175)),"Needs the amount",IF(AND(D1175&lt;&gt;"",COUNTIF(Beds!$B$6:$B$35,D1175)=0),"Not on Beds",""))))))</f>
        <v/>
      </c>
      <c r="J1175" s="1">
        <f>IF(ISNUMBER(B1175),YEAR(B1175),"")</f>
        <v/>
      </c>
      <c r="K1175">
        <f>IF(ISNUMBER(B1175),YEAR(B1175)*100+MONTH(B1175),"")</f>
        <v/>
      </c>
      <c r="L1175">
        <f>IF(ISNUMBER(B1175),INT(B1175),0)</f>
        <v/>
      </c>
    </row>
    <row r="1176">
      <c r="A1176" s="1" t="n"/>
      <c r="B1176" s="17" t="n"/>
      <c r="C1176" s="18" t="n"/>
      <c r="D1176" s="19" t="n"/>
      <c r="E1176" s="23" t="n"/>
      <c r="F1176" s="21" t="n"/>
      <c r="G1176" s="11">
        <f>IF(C1176="","",IFERROR(INDEX(Crops!$D$6:$D$65,MATCH(C1176,Crops!$B$6:$B$65,0))&amp;"",""))</f>
        <v/>
      </c>
      <c r="H1176" s="12">
        <f>IF(OR(C1176="",NOT(ISNUMBER(E1176))),"",E1176*N(IFERROR(INDEX(Crops!$E$6:$E$65,MATCH(C1176,Crops!$B$6:$B$65,0)),0)))</f>
        <v/>
      </c>
      <c r="I1176" s="11">
        <f>IF(AND(C1176="",E1176=""),"",IF(NOT(ISNUMBER(B1176)),"Needs a date",IF(C1176="","Needs a crop",IF(COUNTIF(Crops!$B$6:$B$65,C1176)=0,"Not on Crops",IF(NOT(ISNUMBER(E1176)),"Needs the amount",IF(AND(D1176&lt;&gt;"",COUNTIF(Beds!$B$6:$B$35,D1176)=0),"Not on Beds",""))))))</f>
        <v/>
      </c>
      <c r="J1176" s="1">
        <f>IF(ISNUMBER(B1176),YEAR(B1176),"")</f>
        <v/>
      </c>
      <c r="K1176">
        <f>IF(ISNUMBER(B1176),YEAR(B1176)*100+MONTH(B1176),"")</f>
        <v/>
      </c>
      <c r="L1176">
        <f>IF(ISNUMBER(B1176),INT(B1176),0)</f>
        <v/>
      </c>
    </row>
    <row r="1177">
      <c r="A1177" s="1" t="n"/>
      <c r="B1177" s="17" t="n"/>
      <c r="C1177" s="18" t="n"/>
      <c r="D1177" s="19" t="n"/>
      <c r="E1177" s="23" t="n"/>
      <c r="F1177" s="21" t="n"/>
      <c r="G1177" s="11">
        <f>IF(C1177="","",IFERROR(INDEX(Crops!$D$6:$D$65,MATCH(C1177,Crops!$B$6:$B$65,0))&amp;"",""))</f>
        <v/>
      </c>
      <c r="H1177" s="12">
        <f>IF(OR(C1177="",NOT(ISNUMBER(E1177))),"",E1177*N(IFERROR(INDEX(Crops!$E$6:$E$65,MATCH(C1177,Crops!$B$6:$B$65,0)),0)))</f>
        <v/>
      </c>
      <c r="I1177" s="11">
        <f>IF(AND(C1177="",E1177=""),"",IF(NOT(ISNUMBER(B1177)),"Needs a date",IF(C1177="","Needs a crop",IF(COUNTIF(Crops!$B$6:$B$65,C1177)=0,"Not on Crops",IF(NOT(ISNUMBER(E1177)),"Needs the amount",IF(AND(D1177&lt;&gt;"",COUNTIF(Beds!$B$6:$B$35,D1177)=0),"Not on Beds",""))))))</f>
        <v/>
      </c>
      <c r="J1177" s="1">
        <f>IF(ISNUMBER(B1177),YEAR(B1177),"")</f>
        <v/>
      </c>
      <c r="K1177">
        <f>IF(ISNUMBER(B1177),YEAR(B1177)*100+MONTH(B1177),"")</f>
        <v/>
      </c>
      <c r="L1177">
        <f>IF(ISNUMBER(B1177),INT(B1177),0)</f>
        <v/>
      </c>
    </row>
    <row r="1178">
      <c r="A1178" s="1" t="n"/>
      <c r="B1178" s="17" t="n"/>
      <c r="C1178" s="18" t="n"/>
      <c r="D1178" s="19" t="n"/>
      <c r="E1178" s="23" t="n"/>
      <c r="F1178" s="21" t="n"/>
      <c r="G1178" s="11">
        <f>IF(C1178="","",IFERROR(INDEX(Crops!$D$6:$D$65,MATCH(C1178,Crops!$B$6:$B$65,0))&amp;"",""))</f>
        <v/>
      </c>
      <c r="H1178" s="12">
        <f>IF(OR(C1178="",NOT(ISNUMBER(E1178))),"",E1178*N(IFERROR(INDEX(Crops!$E$6:$E$65,MATCH(C1178,Crops!$B$6:$B$65,0)),0)))</f>
        <v/>
      </c>
      <c r="I1178" s="11">
        <f>IF(AND(C1178="",E1178=""),"",IF(NOT(ISNUMBER(B1178)),"Needs a date",IF(C1178="","Needs a crop",IF(COUNTIF(Crops!$B$6:$B$65,C1178)=0,"Not on Crops",IF(NOT(ISNUMBER(E1178)),"Needs the amount",IF(AND(D1178&lt;&gt;"",COUNTIF(Beds!$B$6:$B$35,D1178)=0),"Not on Beds",""))))))</f>
        <v/>
      </c>
      <c r="J1178" s="1">
        <f>IF(ISNUMBER(B1178),YEAR(B1178),"")</f>
        <v/>
      </c>
      <c r="K1178">
        <f>IF(ISNUMBER(B1178),YEAR(B1178)*100+MONTH(B1178),"")</f>
        <v/>
      </c>
      <c r="L1178">
        <f>IF(ISNUMBER(B1178),INT(B1178),0)</f>
        <v/>
      </c>
    </row>
    <row r="1179">
      <c r="A1179" s="1" t="n"/>
      <c r="B1179" s="17" t="n"/>
      <c r="C1179" s="18" t="n"/>
      <c r="D1179" s="19" t="n"/>
      <c r="E1179" s="23" t="n"/>
      <c r="F1179" s="21" t="n"/>
      <c r="G1179" s="11">
        <f>IF(C1179="","",IFERROR(INDEX(Crops!$D$6:$D$65,MATCH(C1179,Crops!$B$6:$B$65,0))&amp;"",""))</f>
        <v/>
      </c>
      <c r="H1179" s="12">
        <f>IF(OR(C1179="",NOT(ISNUMBER(E1179))),"",E1179*N(IFERROR(INDEX(Crops!$E$6:$E$65,MATCH(C1179,Crops!$B$6:$B$65,0)),0)))</f>
        <v/>
      </c>
      <c r="I1179" s="11">
        <f>IF(AND(C1179="",E1179=""),"",IF(NOT(ISNUMBER(B1179)),"Needs a date",IF(C1179="","Needs a crop",IF(COUNTIF(Crops!$B$6:$B$65,C1179)=0,"Not on Crops",IF(NOT(ISNUMBER(E1179)),"Needs the amount",IF(AND(D1179&lt;&gt;"",COUNTIF(Beds!$B$6:$B$35,D1179)=0),"Not on Beds",""))))))</f>
        <v/>
      </c>
      <c r="J1179" s="1">
        <f>IF(ISNUMBER(B1179),YEAR(B1179),"")</f>
        <v/>
      </c>
      <c r="K1179">
        <f>IF(ISNUMBER(B1179),YEAR(B1179)*100+MONTH(B1179),"")</f>
        <v/>
      </c>
      <c r="L1179">
        <f>IF(ISNUMBER(B1179),INT(B1179),0)</f>
        <v/>
      </c>
    </row>
    <row r="1180">
      <c r="A1180" s="1" t="n"/>
      <c r="B1180" s="17" t="n"/>
      <c r="C1180" s="18" t="n"/>
      <c r="D1180" s="19" t="n"/>
      <c r="E1180" s="23" t="n"/>
      <c r="F1180" s="21" t="n"/>
      <c r="G1180" s="11">
        <f>IF(C1180="","",IFERROR(INDEX(Crops!$D$6:$D$65,MATCH(C1180,Crops!$B$6:$B$65,0))&amp;"",""))</f>
        <v/>
      </c>
      <c r="H1180" s="12">
        <f>IF(OR(C1180="",NOT(ISNUMBER(E1180))),"",E1180*N(IFERROR(INDEX(Crops!$E$6:$E$65,MATCH(C1180,Crops!$B$6:$B$65,0)),0)))</f>
        <v/>
      </c>
      <c r="I1180" s="11">
        <f>IF(AND(C1180="",E1180=""),"",IF(NOT(ISNUMBER(B1180)),"Needs a date",IF(C1180="","Needs a crop",IF(COUNTIF(Crops!$B$6:$B$65,C1180)=0,"Not on Crops",IF(NOT(ISNUMBER(E1180)),"Needs the amount",IF(AND(D1180&lt;&gt;"",COUNTIF(Beds!$B$6:$B$35,D1180)=0),"Not on Beds",""))))))</f>
        <v/>
      </c>
      <c r="J1180" s="1">
        <f>IF(ISNUMBER(B1180),YEAR(B1180),"")</f>
        <v/>
      </c>
      <c r="K1180">
        <f>IF(ISNUMBER(B1180),YEAR(B1180)*100+MONTH(B1180),"")</f>
        <v/>
      </c>
      <c r="L1180">
        <f>IF(ISNUMBER(B1180),INT(B1180),0)</f>
        <v/>
      </c>
    </row>
    <row r="1181">
      <c r="A1181" s="1" t="n"/>
      <c r="B1181" s="17" t="n"/>
      <c r="C1181" s="18" t="n"/>
      <c r="D1181" s="19" t="n"/>
      <c r="E1181" s="23" t="n"/>
      <c r="F1181" s="21" t="n"/>
      <c r="G1181" s="11">
        <f>IF(C1181="","",IFERROR(INDEX(Crops!$D$6:$D$65,MATCH(C1181,Crops!$B$6:$B$65,0))&amp;"",""))</f>
        <v/>
      </c>
      <c r="H1181" s="12">
        <f>IF(OR(C1181="",NOT(ISNUMBER(E1181))),"",E1181*N(IFERROR(INDEX(Crops!$E$6:$E$65,MATCH(C1181,Crops!$B$6:$B$65,0)),0)))</f>
        <v/>
      </c>
      <c r="I1181" s="11">
        <f>IF(AND(C1181="",E1181=""),"",IF(NOT(ISNUMBER(B1181)),"Needs a date",IF(C1181="","Needs a crop",IF(COUNTIF(Crops!$B$6:$B$65,C1181)=0,"Not on Crops",IF(NOT(ISNUMBER(E1181)),"Needs the amount",IF(AND(D1181&lt;&gt;"",COUNTIF(Beds!$B$6:$B$35,D1181)=0),"Not on Beds",""))))))</f>
        <v/>
      </c>
      <c r="J1181" s="1">
        <f>IF(ISNUMBER(B1181),YEAR(B1181),"")</f>
        <v/>
      </c>
      <c r="K1181">
        <f>IF(ISNUMBER(B1181),YEAR(B1181)*100+MONTH(B1181),"")</f>
        <v/>
      </c>
      <c r="L1181">
        <f>IF(ISNUMBER(B1181),INT(B1181),0)</f>
        <v/>
      </c>
    </row>
    <row r="1182">
      <c r="A1182" s="1" t="n"/>
      <c r="B1182" s="17" t="n"/>
      <c r="C1182" s="18" t="n"/>
      <c r="D1182" s="19" t="n"/>
      <c r="E1182" s="23" t="n"/>
      <c r="F1182" s="21" t="n"/>
      <c r="G1182" s="11">
        <f>IF(C1182="","",IFERROR(INDEX(Crops!$D$6:$D$65,MATCH(C1182,Crops!$B$6:$B$65,0))&amp;"",""))</f>
        <v/>
      </c>
      <c r="H1182" s="12">
        <f>IF(OR(C1182="",NOT(ISNUMBER(E1182))),"",E1182*N(IFERROR(INDEX(Crops!$E$6:$E$65,MATCH(C1182,Crops!$B$6:$B$65,0)),0)))</f>
        <v/>
      </c>
      <c r="I1182" s="11">
        <f>IF(AND(C1182="",E1182=""),"",IF(NOT(ISNUMBER(B1182)),"Needs a date",IF(C1182="","Needs a crop",IF(COUNTIF(Crops!$B$6:$B$65,C1182)=0,"Not on Crops",IF(NOT(ISNUMBER(E1182)),"Needs the amount",IF(AND(D1182&lt;&gt;"",COUNTIF(Beds!$B$6:$B$35,D1182)=0),"Not on Beds",""))))))</f>
        <v/>
      </c>
      <c r="J1182" s="1">
        <f>IF(ISNUMBER(B1182),YEAR(B1182),"")</f>
        <v/>
      </c>
      <c r="K1182">
        <f>IF(ISNUMBER(B1182),YEAR(B1182)*100+MONTH(B1182),"")</f>
        <v/>
      </c>
      <c r="L1182">
        <f>IF(ISNUMBER(B1182),INT(B1182),0)</f>
        <v/>
      </c>
    </row>
    <row r="1183">
      <c r="A1183" s="1" t="n"/>
      <c r="B1183" s="17" t="n"/>
      <c r="C1183" s="18" t="n"/>
      <c r="D1183" s="19" t="n"/>
      <c r="E1183" s="23" t="n"/>
      <c r="F1183" s="21" t="n"/>
      <c r="G1183" s="11">
        <f>IF(C1183="","",IFERROR(INDEX(Crops!$D$6:$D$65,MATCH(C1183,Crops!$B$6:$B$65,0))&amp;"",""))</f>
        <v/>
      </c>
      <c r="H1183" s="12">
        <f>IF(OR(C1183="",NOT(ISNUMBER(E1183))),"",E1183*N(IFERROR(INDEX(Crops!$E$6:$E$65,MATCH(C1183,Crops!$B$6:$B$65,0)),0)))</f>
        <v/>
      </c>
      <c r="I1183" s="11">
        <f>IF(AND(C1183="",E1183=""),"",IF(NOT(ISNUMBER(B1183)),"Needs a date",IF(C1183="","Needs a crop",IF(COUNTIF(Crops!$B$6:$B$65,C1183)=0,"Not on Crops",IF(NOT(ISNUMBER(E1183)),"Needs the amount",IF(AND(D1183&lt;&gt;"",COUNTIF(Beds!$B$6:$B$35,D1183)=0),"Not on Beds",""))))))</f>
        <v/>
      </c>
      <c r="J1183" s="1">
        <f>IF(ISNUMBER(B1183),YEAR(B1183),"")</f>
        <v/>
      </c>
      <c r="K1183">
        <f>IF(ISNUMBER(B1183),YEAR(B1183)*100+MONTH(B1183),"")</f>
        <v/>
      </c>
      <c r="L1183">
        <f>IF(ISNUMBER(B1183),INT(B1183),0)</f>
        <v/>
      </c>
    </row>
    <row r="1184">
      <c r="A1184" s="1" t="n"/>
      <c r="B1184" s="17" t="n"/>
      <c r="C1184" s="18" t="n"/>
      <c r="D1184" s="19" t="n"/>
      <c r="E1184" s="23" t="n"/>
      <c r="F1184" s="21" t="n"/>
      <c r="G1184" s="11">
        <f>IF(C1184="","",IFERROR(INDEX(Crops!$D$6:$D$65,MATCH(C1184,Crops!$B$6:$B$65,0))&amp;"",""))</f>
        <v/>
      </c>
      <c r="H1184" s="12">
        <f>IF(OR(C1184="",NOT(ISNUMBER(E1184))),"",E1184*N(IFERROR(INDEX(Crops!$E$6:$E$65,MATCH(C1184,Crops!$B$6:$B$65,0)),0)))</f>
        <v/>
      </c>
      <c r="I1184" s="11">
        <f>IF(AND(C1184="",E1184=""),"",IF(NOT(ISNUMBER(B1184)),"Needs a date",IF(C1184="","Needs a crop",IF(COUNTIF(Crops!$B$6:$B$65,C1184)=0,"Not on Crops",IF(NOT(ISNUMBER(E1184)),"Needs the amount",IF(AND(D1184&lt;&gt;"",COUNTIF(Beds!$B$6:$B$35,D1184)=0),"Not on Beds",""))))))</f>
        <v/>
      </c>
      <c r="J1184" s="1">
        <f>IF(ISNUMBER(B1184),YEAR(B1184),"")</f>
        <v/>
      </c>
      <c r="K1184">
        <f>IF(ISNUMBER(B1184),YEAR(B1184)*100+MONTH(B1184),"")</f>
        <v/>
      </c>
      <c r="L1184">
        <f>IF(ISNUMBER(B1184),INT(B1184),0)</f>
        <v/>
      </c>
    </row>
    <row r="1185">
      <c r="A1185" s="1" t="n"/>
      <c r="B1185" s="17" t="n"/>
      <c r="C1185" s="18" t="n"/>
      <c r="D1185" s="19" t="n"/>
      <c r="E1185" s="23" t="n"/>
      <c r="F1185" s="21" t="n"/>
      <c r="G1185" s="11">
        <f>IF(C1185="","",IFERROR(INDEX(Crops!$D$6:$D$65,MATCH(C1185,Crops!$B$6:$B$65,0))&amp;"",""))</f>
        <v/>
      </c>
      <c r="H1185" s="12">
        <f>IF(OR(C1185="",NOT(ISNUMBER(E1185))),"",E1185*N(IFERROR(INDEX(Crops!$E$6:$E$65,MATCH(C1185,Crops!$B$6:$B$65,0)),0)))</f>
        <v/>
      </c>
      <c r="I1185" s="11">
        <f>IF(AND(C1185="",E1185=""),"",IF(NOT(ISNUMBER(B1185)),"Needs a date",IF(C1185="","Needs a crop",IF(COUNTIF(Crops!$B$6:$B$65,C1185)=0,"Not on Crops",IF(NOT(ISNUMBER(E1185)),"Needs the amount",IF(AND(D1185&lt;&gt;"",COUNTIF(Beds!$B$6:$B$35,D1185)=0),"Not on Beds",""))))))</f>
        <v/>
      </c>
      <c r="J1185" s="1">
        <f>IF(ISNUMBER(B1185),YEAR(B1185),"")</f>
        <v/>
      </c>
      <c r="K1185">
        <f>IF(ISNUMBER(B1185),YEAR(B1185)*100+MONTH(B1185),"")</f>
        <v/>
      </c>
      <c r="L1185">
        <f>IF(ISNUMBER(B1185),INT(B1185),0)</f>
        <v/>
      </c>
    </row>
    <row r="1186">
      <c r="A1186" s="1" t="n"/>
      <c r="B1186" s="17" t="n"/>
      <c r="C1186" s="18" t="n"/>
      <c r="D1186" s="19" t="n"/>
      <c r="E1186" s="23" t="n"/>
      <c r="F1186" s="21" t="n"/>
      <c r="G1186" s="11">
        <f>IF(C1186="","",IFERROR(INDEX(Crops!$D$6:$D$65,MATCH(C1186,Crops!$B$6:$B$65,0))&amp;"",""))</f>
        <v/>
      </c>
      <c r="H1186" s="12">
        <f>IF(OR(C1186="",NOT(ISNUMBER(E1186))),"",E1186*N(IFERROR(INDEX(Crops!$E$6:$E$65,MATCH(C1186,Crops!$B$6:$B$65,0)),0)))</f>
        <v/>
      </c>
      <c r="I1186" s="11">
        <f>IF(AND(C1186="",E1186=""),"",IF(NOT(ISNUMBER(B1186)),"Needs a date",IF(C1186="","Needs a crop",IF(COUNTIF(Crops!$B$6:$B$65,C1186)=0,"Not on Crops",IF(NOT(ISNUMBER(E1186)),"Needs the amount",IF(AND(D1186&lt;&gt;"",COUNTIF(Beds!$B$6:$B$35,D1186)=0),"Not on Beds",""))))))</f>
        <v/>
      </c>
      <c r="J1186" s="1">
        <f>IF(ISNUMBER(B1186),YEAR(B1186),"")</f>
        <v/>
      </c>
      <c r="K1186">
        <f>IF(ISNUMBER(B1186),YEAR(B1186)*100+MONTH(B1186),"")</f>
        <v/>
      </c>
      <c r="L1186">
        <f>IF(ISNUMBER(B1186),INT(B1186),0)</f>
        <v/>
      </c>
    </row>
    <row r="1187">
      <c r="A1187" s="1" t="n"/>
      <c r="B1187" s="17" t="n"/>
      <c r="C1187" s="18" t="n"/>
      <c r="D1187" s="19" t="n"/>
      <c r="E1187" s="23" t="n"/>
      <c r="F1187" s="21" t="n"/>
      <c r="G1187" s="11">
        <f>IF(C1187="","",IFERROR(INDEX(Crops!$D$6:$D$65,MATCH(C1187,Crops!$B$6:$B$65,0))&amp;"",""))</f>
        <v/>
      </c>
      <c r="H1187" s="12">
        <f>IF(OR(C1187="",NOT(ISNUMBER(E1187))),"",E1187*N(IFERROR(INDEX(Crops!$E$6:$E$65,MATCH(C1187,Crops!$B$6:$B$65,0)),0)))</f>
        <v/>
      </c>
      <c r="I1187" s="11">
        <f>IF(AND(C1187="",E1187=""),"",IF(NOT(ISNUMBER(B1187)),"Needs a date",IF(C1187="","Needs a crop",IF(COUNTIF(Crops!$B$6:$B$65,C1187)=0,"Not on Crops",IF(NOT(ISNUMBER(E1187)),"Needs the amount",IF(AND(D1187&lt;&gt;"",COUNTIF(Beds!$B$6:$B$35,D1187)=0),"Not on Beds",""))))))</f>
        <v/>
      </c>
      <c r="J1187" s="1">
        <f>IF(ISNUMBER(B1187),YEAR(B1187),"")</f>
        <v/>
      </c>
      <c r="K1187">
        <f>IF(ISNUMBER(B1187),YEAR(B1187)*100+MONTH(B1187),"")</f>
        <v/>
      </c>
      <c r="L1187">
        <f>IF(ISNUMBER(B1187),INT(B1187),0)</f>
        <v/>
      </c>
    </row>
    <row r="1188">
      <c r="A1188" s="1" t="n"/>
      <c r="B1188" s="17" t="n"/>
      <c r="C1188" s="18" t="n"/>
      <c r="D1188" s="19" t="n"/>
      <c r="E1188" s="23" t="n"/>
      <c r="F1188" s="21" t="n"/>
      <c r="G1188" s="11">
        <f>IF(C1188="","",IFERROR(INDEX(Crops!$D$6:$D$65,MATCH(C1188,Crops!$B$6:$B$65,0))&amp;"",""))</f>
        <v/>
      </c>
      <c r="H1188" s="12">
        <f>IF(OR(C1188="",NOT(ISNUMBER(E1188))),"",E1188*N(IFERROR(INDEX(Crops!$E$6:$E$65,MATCH(C1188,Crops!$B$6:$B$65,0)),0)))</f>
        <v/>
      </c>
      <c r="I1188" s="11">
        <f>IF(AND(C1188="",E1188=""),"",IF(NOT(ISNUMBER(B1188)),"Needs a date",IF(C1188="","Needs a crop",IF(COUNTIF(Crops!$B$6:$B$65,C1188)=0,"Not on Crops",IF(NOT(ISNUMBER(E1188)),"Needs the amount",IF(AND(D1188&lt;&gt;"",COUNTIF(Beds!$B$6:$B$35,D1188)=0),"Not on Beds",""))))))</f>
        <v/>
      </c>
      <c r="J1188" s="1">
        <f>IF(ISNUMBER(B1188),YEAR(B1188),"")</f>
        <v/>
      </c>
      <c r="K1188">
        <f>IF(ISNUMBER(B1188),YEAR(B1188)*100+MONTH(B1188),"")</f>
        <v/>
      </c>
      <c r="L1188">
        <f>IF(ISNUMBER(B1188),INT(B1188),0)</f>
        <v/>
      </c>
    </row>
    <row r="1189">
      <c r="A1189" s="1" t="n"/>
      <c r="B1189" s="17" t="n"/>
      <c r="C1189" s="18" t="n"/>
      <c r="D1189" s="19" t="n"/>
      <c r="E1189" s="23" t="n"/>
      <c r="F1189" s="21" t="n"/>
      <c r="G1189" s="11">
        <f>IF(C1189="","",IFERROR(INDEX(Crops!$D$6:$D$65,MATCH(C1189,Crops!$B$6:$B$65,0))&amp;"",""))</f>
        <v/>
      </c>
      <c r="H1189" s="12">
        <f>IF(OR(C1189="",NOT(ISNUMBER(E1189))),"",E1189*N(IFERROR(INDEX(Crops!$E$6:$E$65,MATCH(C1189,Crops!$B$6:$B$65,0)),0)))</f>
        <v/>
      </c>
      <c r="I1189" s="11">
        <f>IF(AND(C1189="",E1189=""),"",IF(NOT(ISNUMBER(B1189)),"Needs a date",IF(C1189="","Needs a crop",IF(COUNTIF(Crops!$B$6:$B$65,C1189)=0,"Not on Crops",IF(NOT(ISNUMBER(E1189)),"Needs the amount",IF(AND(D1189&lt;&gt;"",COUNTIF(Beds!$B$6:$B$35,D1189)=0),"Not on Beds",""))))))</f>
        <v/>
      </c>
      <c r="J1189" s="1">
        <f>IF(ISNUMBER(B1189),YEAR(B1189),"")</f>
        <v/>
      </c>
      <c r="K1189">
        <f>IF(ISNUMBER(B1189),YEAR(B1189)*100+MONTH(B1189),"")</f>
        <v/>
      </c>
      <c r="L1189">
        <f>IF(ISNUMBER(B1189),INT(B1189),0)</f>
        <v/>
      </c>
    </row>
    <row r="1190">
      <c r="A1190" s="1" t="n"/>
      <c r="B1190" s="17" t="n"/>
      <c r="C1190" s="18" t="n"/>
      <c r="D1190" s="19" t="n"/>
      <c r="E1190" s="23" t="n"/>
      <c r="F1190" s="21" t="n"/>
      <c r="G1190" s="11">
        <f>IF(C1190="","",IFERROR(INDEX(Crops!$D$6:$D$65,MATCH(C1190,Crops!$B$6:$B$65,0))&amp;"",""))</f>
        <v/>
      </c>
      <c r="H1190" s="12">
        <f>IF(OR(C1190="",NOT(ISNUMBER(E1190))),"",E1190*N(IFERROR(INDEX(Crops!$E$6:$E$65,MATCH(C1190,Crops!$B$6:$B$65,0)),0)))</f>
        <v/>
      </c>
      <c r="I1190" s="11">
        <f>IF(AND(C1190="",E1190=""),"",IF(NOT(ISNUMBER(B1190)),"Needs a date",IF(C1190="","Needs a crop",IF(COUNTIF(Crops!$B$6:$B$65,C1190)=0,"Not on Crops",IF(NOT(ISNUMBER(E1190)),"Needs the amount",IF(AND(D1190&lt;&gt;"",COUNTIF(Beds!$B$6:$B$35,D1190)=0),"Not on Beds",""))))))</f>
        <v/>
      </c>
      <c r="J1190" s="1">
        <f>IF(ISNUMBER(B1190),YEAR(B1190),"")</f>
        <v/>
      </c>
      <c r="K1190">
        <f>IF(ISNUMBER(B1190),YEAR(B1190)*100+MONTH(B1190),"")</f>
        <v/>
      </c>
      <c r="L1190">
        <f>IF(ISNUMBER(B1190),INT(B1190),0)</f>
        <v/>
      </c>
    </row>
    <row r="1191">
      <c r="A1191" s="1" t="n"/>
      <c r="B1191" s="17" t="n"/>
      <c r="C1191" s="18" t="n"/>
      <c r="D1191" s="19" t="n"/>
      <c r="E1191" s="23" t="n"/>
      <c r="F1191" s="21" t="n"/>
      <c r="G1191" s="11">
        <f>IF(C1191="","",IFERROR(INDEX(Crops!$D$6:$D$65,MATCH(C1191,Crops!$B$6:$B$65,0))&amp;"",""))</f>
        <v/>
      </c>
      <c r="H1191" s="12">
        <f>IF(OR(C1191="",NOT(ISNUMBER(E1191))),"",E1191*N(IFERROR(INDEX(Crops!$E$6:$E$65,MATCH(C1191,Crops!$B$6:$B$65,0)),0)))</f>
        <v/>
      </c>
      <c r="I1191" s="11">
        <f>IF(AND(C1191="",E1191=""),"",IF(NOT(ISNUMBER(B1191)),"Needs a date",IF(C1191="","Needs a crop",IF(COUNTIF(Crops!$B$6:$B$65,C1191)=0,"Not on Crops",IF(NOT(ISNUMBER(E1191)),"Needs the amount",IF(AND(D1191&lt;&gt;"",COUNTIF(Beds!$B$6:$B$35,D1191)=0),"Not on Beds",""))))))</f>
        <v/>
      </c>
      <c r="J1191" s="1">
        <f>IF(ISNUMBER(B1191),YEAR(B1191),"")</f>
        <v/>
      </c>
      <c r="K1191">
        <f>IF(ISNUMBER(B1191),YEAR(B1191)*100+MONTH(B1191),"")</f>
        <v/>
      </c>
      <c r="L1191">
        <f>IF(ISNUMBER(B1191),INT(B1191),0)</f>
        <v/>
      </c>
    </row>
    <row r="1192">
      <c r="A1192" s="1" t="n"/>
      <c r="B1192" s="17" t="n"/>
      <c r="C1192" s="18" t="n"/>
      <c r="D1192" s="19" t="n"/>
      <c r="E1192" s="23" t="n"/>
      <c r="F1192" s="21" t="n"/>
      <c r="G1192" s="11">
        <f>IF(C1192="","",IFERROR(INDEX(Crops!$D$6:$D$65,MATCH(C1192,Crops!$B$6:$B$65,0))&amp;"",""))</f>
        <v/>
      </c>
      <c r="H1192" s="12">
        <f>IF(OR(C1192="",NOT(ISNUMBER(E1192))),"",E1192*N(IFERROR(INDEX(Crops!$E$6:$E$65,MATCH(C1192,Crops!$B$6:$B$65,0)),0)))</f>
        <v/>
      </c>
      <c r="I1192" s="11">
        <f>IF(AND(C1192="",E1192=""),"",IF(NOT(ISNUMBER(B1192)),"Needs a date",IF(C1192="","Needs a crop",IF(COUNTIF(Crops!$B$6:$B$65,C1192)=0,"Not on Crops",IF(NOT(ISNUMBER(E1192)),"Needs the amount",IF(AND(D1192&lt;&gt;"",COUNTIF(Beds!$B$6:$B$35,D1192)=0),"Not on Beds",""))))))</f>
        <v/>
      </c>
      <c r="J1192" s="1">
        <f>IF(ISNUMBER(B1192),YEAR(B1192),"")</f>
        <v/>
      </c>
      <c r="K1192">
        <f>IF(ISNUMBER(B1192),YEAR(B1192)*100+MONTH(B1192),"")</f>
        <v/>
      </c>
      <c r="L1192">
        <f>IF(ISNUMBER(B1192),INT(B1192),0)</f>
        <v/>
      </c>
    </row>
    <row r="1193">
      <c r="A1193" s="1" t="n"/>
      <c r="B1193" s="17" t="n"/>
      <c r="C1193" s="18" t="n"/>
      <c r="D1193" s="19" t="n"/>
      <c r="E1193" s="23" t="n"/>
      <c r="F1193" s="21" t="n"/>
      <c r="G1193" s="11">
        <f>IF(C1193="","",IFERROR(INDEX(Crops!$D$6:$D$65,MATCH(C1193,Crops!$B$6:$B$65,0))&amp;"",""))</f>
        <v/>
      </c>
      <c r="H1193" s="12">
        <f>IF(OR(C1193="",NOT(ISNUMBER(E1193))),"",E1193*N(IFERROR(INDEX(Crops!$E$6:$E$65,MATCH(C1193,Crops!$B$6:$B$65,0)),0)))</f>
        <v/>
      </c>
      <c r="I1193" s="11">
        <f>IF(AND(C1193="",E1193=""),"",IF(NOT(ISNUMBER(B1193)),"Needs a date",IF(C1193="","Needs a crop",IF(COUNTIF(Crops!$B$6:$B$65,C1193)=0,"Not on Crops",IF(NOT(ISNUMBER(E1193)),"Needs the amount",IF(AND(D1193&lt;&gt;"",COUNTIF(Beds!$B$6:$B$35,D1193)=0),"Not on Beds",""))))))</f>
        <v/>
      </c>
      <c r="J1193" s="1">
        <f>IF(ISNUMBER(B1193),YEAR(B1193),"")</f>
        <v/>
      </c>
      <c r="K1193">
        <f>IF(ISNUMBER(B1193),YEAR(B1193)*100+MONTH(B1193),"")</f>
        <v/>
      </c>
      <c r="L1193">
        <f>IF(ISNUMBER(B1193),INT(B1193),0)</f>
        <v/>
      </c>
    </row>
    <row r="1194">
      <c r="A1194" s="1" t="n"/>
      <c r="B1194" s="17" t="n"/>
      <c r="C1194" s="18" t="n"/>
      <c r="D1194" s="19" t="n"/>
      <c r="E1194" s="23" t="n"/>
      <c r="F1194" s="21" t="n"/>
      <c r="G1194" s="11">
        <f>IF(C1194="","",IFERROR(INDEX(Crops!$D$6:$D$65,MATCH(C1194,Crops!$B$6:$B$65,0))&amp;"",""))</f>
        <v/>
      </c>
      <c r="H1194" s="12">
        <f>IF(OR(C1194="",NOT(ISNUMBER(E1194))),"",E1194*N(IFERROR(INDEX(Crops!$E$6:$E$65,MATCH(C1194,Crops!$B$6:$B$65,0)),0)))</f>
        <v/>
      </c>
      <c r="I1194" s="11">
        <f>IF(AND(C1194="",E1194=""),"",IF(NOT(ISNUMBER(B1194)),"Needs a date",IF(C1194="","Needs a crop",IF(COUNTIF(Crops!$B$6:$B$65,C1194)=0,"Not on Crops",IF(NOT(ISNUMBER(E1194)),"Needs the amount",IF(AND(D1194&lt;&gt;"",COUNTIF(Beds!$B$6:$B$35,D1194)=0),"Not on Beds",""))))))</f>
        <v/>
      </c>
      <c r="J1194" s="1">
        <f>IF(ISNUMBER(B1194),YEAR(B1194),"")</f>
        <v/>
      </c>
      <c r="K1194">
        <f>IF(ISNUMBER(B1194),YEAR(B1194)*100+MONTH(B1194),"")</f>
        <v/>
      </c>
      <c r="L1194">
        <f>IF(ISNUMBER(B1194),INT(B1194),0)</f>
        <v/>
      </c>
    </row>
    <row r="1195">
      <c r="A1195" s="1" t="n"/>
      <c r="B1195" s="17" t="n"/>
      <c r="C1195" s="18" t="n"/>
      <c r="D1195" s="19" t="n"/>
      <c r="E1195" s="23" t="n"/>
      <c r="F1195" s="21" t="n"/>
      <c r="G1195" s="11">
        <f>IF(C1195="","",IFERROR(INDEX(Crops!$D$6:$D$65,MATCH(C1195,Crops!$B$6:$B$65,0))&amp;"",""))</f>
        <v/>
      </c>
      <c r="H1195" s="12">
        <f>IF(OR(C1195="",NOT(ISNUMBER(E1195))),"",E1195*N(IFERROR(INDEX(Crops!$E$6:$E$65,MATCH(C1195,Crops!$B$6:$B$65,0)),0)))</f>
        <v/>
      </c>
      <c r="I1195" s="11">
        <f>IF(AND(C1195="",E1195=""),"",IF(NOT(ISNUMBER(B1195)),"Needs a date",IF(C1195="","Needs a crop",IF(COUNTIF(Crops!$B$6:$B$65,C1195)=0,"Not on Crops",IF(NOT(ISNUMBER(E1195)),"Needs the amount",IF(AND(D1195&lt;&gt;"",COUNTIF(Beds!$B$6:$B$35,D1195)=0),"Not on Beds",""))))))</f>
        <v/>
      </c>
      <c r="J1195" s="1">
        <f>IF(ISNUMBER(B1195),YEAR(B1195),"")</f>
        <v/>
      </c>
      <c r="K1195">
        <f>IF(ISNUMBER(B1195),YEAR(B1195)*100+MONTH(B1195),"")</f>
        <v/>
      </c>
      <c r="L1195">
        <f>IF(ISNUMBER(B1195),INT(B1195),0)</f>
        <v/>
      </c>
    </row>
    <row r="1196">
      <c r="A1196" s="1" t="n"/>
      <c r="B1196" s="17" t="n"/>
      <c r="C1196" s="18" t="n"/>
      <c r="D1196" s="19" t="n"/>
      <c r="E1196" s="23" t="n"/>
      <c r="F1196" s="21" t="n"/>
      <c r="G1196" s="11">
        <f>IF(C1196="","",IFERROR(INDEX(Crops!$D$6:$D$65,MATCH(C1196,Crops!$B$6:$B$65,0))&amp;"",""))</f>
        <v/>
      </c>
      <c r="H1196" s="12">
        <f>IF(OR(C1196="",NOT(ISNUMBER(E1196))),"",E1196*N(IFERROR(INDEX(Crops!$E$6:$E$65,MATCH(C1196,Crops!$B$6:$B$65,0)),0)))</f>
        <v/>
      </c>
      <c r="I1196" s="11">
        <f>IF(AND(C1196="",E1196=""),"",IF(NOT(ISNUMBER(B1196)),"Needs a date",IF(C1196="","Needs a crop",IF(COUNTIF(Crops!$B$6:$B$65,C1196)=0,"Not on Crops",IF(NOT(ISNUMBER(E1196)),"Needs the amount",IF(AND(D1196&lt;&gt;"",COUNTIF(Beds!$B$6:$B$35,D1196)=0),"Not on Beds",""))))))</f>
        <v/>
      </c>
      <c r="J1196" s="1">
        <f>IF(ISNUMBER(B1196),YEAR(B1196),"")</f>
        <v/>
      </c>
      <c r="K1196">
        <f>IF(ISNUMBER(B1196),YEAR(B1196)*100+MONTH(B1196),"")</f>
        <v/>
      </c>
      <c r="L1196">
        <f>IF(ISNUMBER(B1196),INT(B1196),0)</f>
        <v/>
      </c>
    </row>
    <row r="1197">
      <c r="A1197" s="1" t="n"/>
      <c r="B1197" s="17" t="n"/>
      <c r="C1197" s="18" t="n"/>
      <c r="D1197" s="19" t="n"/>
      <c r="E1197" s="23" t="n"/>
      <c r="F1197" s="21" t="n"/>
      <c r="G1197" s="11">
        <f>IF(C1197="","",IFERROR(INDEX(Crops!$D$6:$D$65,MATCH(C1197,Crops!$B$6:$B$65,0))&amp;"",""))</f>
        <v/>
      </c>
      <c r="H1197" s="12">
        <f>IF(OR(C1197="",NOT(ISNUMBER(E1197))),"",E1197*N(IFERROR(INDEX(Crops!$E$6:$E$65,MATCH(C1197,Crops!$B$6:$B$65,0)),0)))</f>
        <v/>
      </c>
      <c r="I1197" s="11">
        <f>IF(AND(C1197="",E1197=""),"",IF(NOT(ISNUMBER(B1197)),"Needs a date",IF(C1197="","Needs a crop",IF(COUNTIF(Crops!$B$6:$B$65,C1197)=0,"Not on Crops",IF(NOT(ISNUMBER(E1197)),"Needs the amount",IF(AND(D1197&lt;&gt;"",COUNTIF(Beds!$B$6:$B$35,D1197)=0),"Not on Beds",""))))))</f>
        <v/>
      </c>
      <c r="J1197" s="1">
        <f>IF(ISNUMBER(B1197),YEAR(B1197),"")</f>
        <v/>
      </c>
      <c r="K1197">
        <f>IF(ISNUMBER(B1197),YEAR(B1197)*100+MONTH(B1197),"")</f>
        <v/>
      </c>
      <c r="L1197">
        <f>IF(ISNUMBER(B1197),INT(B1197),0)</f>
        <v/>
      </c>
    </row>
    <row r="1198">
      <c r="A1198" s="1" t="n"/>
      <c r="B1198" s="17" t="n"/>
      <c r="C1198" s="18" t="n"/>
      <c r="D1198" s="19" t="n"/>
      <c r="E1198" s="23" t="n"/>
      <c r="F1198" s="21" t="n"/>
      <c r="G1198" s="11">
        <f>IF(C1198="","",IFERROR(INDEX(Crops!$D$6:$D$65,MATCH(C1198,Crops!$B$6:$B$65,0))&amp;"",""))</f>
        <v/>
      </c>
      <c r="H1198" s="12">
        <f>IF(OR(C1198="",NOT(ISNUMBER(E1198))),"",E1198*N(IFERROR(INDEX(Crops!$E$6:$E$65,MATCH(C1198,Crops!$B$6:$B$65,0)),0)))</f>
        <v/>
      </c>
      <c r="I1198" s="11">
        <f>IF(AND(C1198="",E1198=""),"",IF(NOT(ISNUMBER(B1198)),"Needs a date",IF(C1198="","Needs a crop",IF(COUNTIF(Crops!$B$6:$B$65,C1198)=0,"Not on Crops",IF(NOT(ISNUMBER(E1198)),"Needs the amount",IF(AND(D1198&lt;&gt;"",COUNTIF(Beds!$B$6:$B$35,D1198)=0),"Not on Beds",""))))))</f>
        <v/>
      </c>
      <c r="J1198" s="1">
        <f>IF(ISNUMBER(B1198),YEAR(B1198),"")</f>
        <v/>
      </c>
      <c r="K1198">
        <f>IF(ISNUMBER(B1198),YEAR(B1198)*100+MONTH(B1198),"")</f>
        <v/>
      </c>
      <c r="L1198">
        <f>IF(ISNUMBER(B1198),INT(B1198),0)</f>
        <v/>
      </c>
    </row>
    <row r="1199">
      <c r="A1199" s="1" t="n"/>
      <c r="B1199" s="17" t="n"/>
      <c r="C1199" s="18" t="n"/>
      <c r="D1199" s="19" t="n"/>
      <c r="E1199" s="23" t="n"/>
      <c r="F1199" s="21" t="n"/>
      <c r="G1199" s="11">
        <f>IF(C1199="","",IFERROR(INDEX(Crops!$D$6:$D$65,MATCH(C1199,Crops!$B$6:$B$65,0))&amp;"",""))</f>
        <v/>
      </c>
      <c r="H1199" s="12">
        <f>IF(OR(C1199="",NOT(ISNUMBER(E1199))),"",E1199*N(IFERROR(INDEX(Crops!$E$6:$E$65,MATCH(C1199,Crops!$B$6:$B$65,0)),0)))</f>
        <v/>
      </c>
      <c r="I1199" s="11">
        <f>IF(AND(C1199="",E1199=""),"",IF(NOT(ISNUMBER(B1199)),"Needs a date",IF(C1199="","Needs a crop",IF(COUNTIF(Crops!$B$6:$B$65,C1199)=0,"Not on Crops",IF(NOT(ISNUMBER(E1199)),"Needs the amount",IF(AND(D1199&lt;&gt;"",COUNTIF(Beds!$B$6:$B$35,D1199)=0),"Not on Beds",""))))))</f>
        <v/>
      </c>
      <c r="J1199" s="1">
        <f>IF(ISNUMBER(B1199),YEAR(B1199),"")</f>
        <v/>
      </c>
      <c r="K1199">
        <f>IF(ISNUMBER(B1199),YEAR(B1199)*100+MONTH(B1199),"")</f>
        <v/>
      </c>
      <c r="L1199">
        <f>IF(ISNUMBER(B1199),INT(B1199),0)</f>
        <v/>
      </c>
    </row>
    <row r="1200">
      <c r="A1200" s="1" t="n"/>
      <c r="B1200" s="17" t="n"/>
      <c r="C1200" s="18" t="n"/>
      <c r="D1200" s="19" t="n"/>
      <c r="E1200" s="23" t="n"/>
      <c r="F1200" s="21" t="n"/>
      <c r="G1200" s="11">
        <f>IF(C1200="","",IFERROR(INDEX(Crops!$D$6:$D$65,MATCH(C1200,Crops!$B$6:$B$65,0))&amp;"",""))</f>
        <v/>
      </c>
      <c r="H1200" s="12">
        <f>IF(OR(C1200="",NOT(ISNUMBER(E1200))),"",E1200*N(IFERROR(INDEX(Crops!$E$6:$E$65,MATCH(C1200,Crops!$B$6:$B$65,0)),0)))</f>
        <v/>
      </c>
      <c r="I1200" s="11">
        <f>IF(AND(C1200="",E1200=""),"",IF(NOT(ISNUMBER(B1200)),"Needs a date",IF(C1200="","Needs a crop",IF(COUNTIF(Crops!$B$6:$B$65,C1200)=0,"Not on Crops",IF(NOT(ISNUMBER(E1200)),"Needs the amount",IF(AND(D1200&lt;&gt;"",COUNTIF(Beds!$B$6:$B$35,D1200)=0),"Not on Beds",""))))))</f>
        <v/>
      </c>
      <c r="J1200" s="1">
        <f>IF(ISNUMBER(B1200),YEAR(B1200),"")</f>
        <v/>
      </c>
      <c r="K1200">
        <f>IF(ISNUMBER(B1200),YEAR(B1200)*100+MONTH(B1200),"")</f>
        <v/>
      </c>
      <c r="L1200">
        <f>IF(ISNUMBER(B1200),INT(B1200),0)</f>
        <v/>
      </c>
    </row>
    <row r="1201">
      <c r="A1201" s="1" t="n"/>
      <c r="B1201" s="17" t="n"/>
      <c r="C1201" s="18" t="n"/>
      <c r="D1201" s="19" t="n"/>
      <c r="E1201" s="23" t="n"/>
      <c r="F1201" s="21" t="n"/>
      <c r="G1201" s="11">
        <f>IF(C1201="","",IFERROR(INDEX(Crops!$D$6:$D$65,MATCH(C1201,Crops!$B$6:$B$65,0))&amp;"",""))</f>
        <v/>
      </c>
      <c r="H1201" s="12">
        <f>IF(OR(C1201="",NOT(ISNUMBER(E1201))),"",E1201*N(IFERROR(INDEX(Crops!$E$6:$E$65,MATCH(C1201,Crops!$B$6:$B$65,0)),0)))</f>
        <v/>
      </c>
      <c r="I1201" s="11">
        <f>IF(AND(C1201="",E1201=""),"",IF(NOT(ISNUMBER(B1201)),"Needs a date",IF(C1201="","Needs a crop",IF(COUNTIF(Crops!$B$6:$B$65,C1201)=0,"Not on Crops",IF(NOT(ISNUMBER(E1201)),"Needs the amount",IF(AND(D1201&lt;&gt;"",COUNTIF(Beds!$B$6:$B$35,D1201)=0),"Not on Beds",""))))))</f>
        <v/>
      </c>
      <c r="J1201" s="1">
        <f>IF(ISNUMBER(B1201),YEAR(B1201),"")</f>
        <v/>
      </c>
      <c r="K1201">
        <f>IF(ISNUMBER(B1201),YEAR(B1201)*100+MONTH(B1201),"")</f>
        <v/>
      </c>
      <c r="L1201">
        <f>IF(ISNUMBER(B1201),INT(B1201),0)</f>
        <v/>
      </c>
    </row>
    <row r="1202">
      <c r="A1202" s="1" t="n"/>
      <c r="B1202" s="17" t="n"/>
      <c r="C1202" s="18" t="n"/>
      <c r="D1202" s="19" t="n"/>
      <c r="E1202" s="23" t="n"/>
      <c r="F1202" s="21" t="n"/>
      <c r="G1202" s="11">
        <f>IF(C1202="","",IFERROR(INDEX(Crops!$D$6:$D$65,MATCH(C1202,Crops!$B$6:$B$65,0))&amp;"",""))</f>
        <v/>
      </c>
      <c r="H1202" s="12">
        <f>IF(OR(C1202="",NOT(ISNUMBER(E1202))),"",E1202*N(IFERROR(INDEX(Crops!$E$6:$E$65,MATCH(C1202,Crops!$B$6:$B$65,0)),0)))</f>
        <v/>
      </c>
      <c r="I1202" s="11">
        <f>IF(AND(C1202="",E1202=""),"",IF(NOT(ISNUMBER(B1202)),"Needs a date",IF(C1202="","Needs a crop",IF(COUNTIF(Crops!$B$6:$B$65,C1202)=0,"Not on Crops",IF(NOT(ISNUMBER(E1202)),"Needs the amount",IF(AND(D1202&lt;&gt;"",COUNTIF(Beds!$B$6:$B$35,D1202)=0),"Not on Beds",""))))))</f>
        <v/>
      </c>
      <c r="J1202" s="1">
        <f>IF(ISNUMBER(B1202),YEAR(B1202),"")</f>
        <v/>
      </c>
      <c r="K1202">
        <f>IF(ISNUMBER(B1202),YEAR(B1202)*100+MONTH(B1202),"")</f>
        <v/>
      </c>
      <c r="L1202">
        <f>IF(ISNUMBER(B1202),INT(B1202),0)</f>
        <v/>
      </c>
    </row>
    <row r="1203">
      <c r="A1203" s="1" t="n"/>
      <c r="B1203" s="17" t="n"/>
      <c r="C1203" s="18" t="n"/>
      <c r="D1203" s="19" t="n"/>
      <c r="E1203" s="23" t="n"/>
      <c r="F1203" s="21" t="n"/>
      <c r="G1203" s="11">
        <f>IF(C1203="","",IFERROR(INDEX(Crops!$D$6:$D$65,MATCH(C1203,Crops!$B$6:$B$65,0))&amp;"",""))</f>
        <v/>
      </c>
      <c r="H1203" s="12">
        <f>IF(OR(C1203="",NOT(ISNUMBER(E1203))),"",E1203*N(IFERROR(INDEX(Crops!$E$6:$E$65,MATCH(C1203,Crops!$B$6:$B$65,0)),0)))</f>
        <v/>
      </c>
      <c r="I1203" s="11">
        <f>IF(AND(C1203="",E1203=""),"",IF(NOT(ISNUMBER(B1203)),"Needs a date",IF(C1203="","Needs a crop",IF(COUNTIF(Crops!$B$6:$B$65,C1203)=0,"Not on Crops",IF(NOT(ISNUMBER(E1203)),"Needs the amount",IF(AND(D1203&lt;&gt;"",COUNTIF(Beds!$B$6:$B$35,D1203)=0),"Not on Beds",""))))))</f>
        <v/>
      </c>
      <c r="J1203" s="1">
        <f>IF(ISNUMBER(B1203),YEAR(B1203),"")</f>
        <v/>
      </c>
      <c r="K1203">
        <f>IF(ISNUMBER(B1203),YEAR(B1203)*100+MONTH(B1203),"")</f>
        <v/>
      </c>
      <c r="L1203">
        <f>IF(ISNUMBER(B1203),INT(B1203),0)</f>
        <v/>
      </c>
    </row>
    <row r="1204">
      <c r="A1204" s="1" t="n"/>
      <c r="B1204" s="17" t="n"/>
      <c r="C1204" s="18" t="n"/>
      <c r="D1204" s="19" t="n"/>
      <c r="E1204" s="23" t="n"/>
      <c r="F1204" s="21" t="n"/>
      <c r="G1204" s="11">
        <f>IF(C1204="","",IFERROR(INDEX(Crops!$D$6:$D$65,MATCH(C1204,Crops!$B$6:$B$65,0))&amp;"",""))</f>
        <v/>
      </c>
      <c r="H1204" s="12">
        <f>IF(OR(C1204="",NOT(ISNUMBER(E1204))),"",E1204*N(IFERROR(INDEX(Crops!$E$6:$E$65,MATCH(C1204,Crops!$B$6:$B$65,0)),0)))</f>
        <v/>
      </c>
      <c r="I1204" s="11">
        <f>IF(AND(C1204="",E1204=""),"",IF(NOT(ISNUMBER(B1204)),"Needs a date",IF(C1204="","Needs a crop",IF(COUNTIF(Crops!$B$6:$B$65,C1204)=0,"Not on Crops",IF(NOT(ISNUMBER(E1204)),"Needs the amount",IF(AND(D1204&lt;&gt;"",COUNTIF(Beds!$B$6:$B$35,D1204)=0),"Not on Beds",""))))))</f>
        <v/>
      </c>
      <c r="J1204" s="1">
        <f>IF(ISNUMBER(B1204),YEAR(B1204),"")</f>
        <v/>
      </c>
      <c r="K1204">
        <f>IF(ISNUMBER(B1204),YEAR(B1204)*100+MONTH(B1204),"")</f>
        <v/>
      </c>
      <c r="L1204">
        <f>IF(ISNUMBER(B1204),INT(B1204),0)</f>
        <v/>
      </c>
    </row>
    <row r="1205">
      <c r="A1205" s="1" t="n"/>
      <c r="B1205" s="17" t="n"/>
      <c r="C1205" s="18" t="n"/>
      <c r="D1205" s="19" t="n"/>
      <c r="E1205" s="23" t="n"/>
      <c r="F1205" s="21" t="n"/>
      <c r="G1205" s="11">
        <f>IF(C1205="","",IFERROR(INDEX(Crops!$D$6:$D$65,MATCH(C1205,Crops!$B$6:$B$65,0))&amp;"",""))</f>
        <v/>
      </c>
      <c r="H1205" s="12">
        <f>IF(OR(C1205="",NOT(ISNUMBER(E1205))),"",E1205*N(IFERROR(INDEX(Crops!$E$6:$E$65,MATCH(C1205,Crops!$B$6:$B$65,0)),0)))</f>
        <v/>
      </c>
      <c r="I1205" s="11">
        <f>IF(AND(C1205="",E1205=""),"",IF(NOT(ISNUMBER(B1205)),"Needs a date",IF(C1205="","Needs a crop",IF(COUNTIF(Crops!$B$6:$B$65,C1205)=0,"Not on Crops",IF(NOT(ISNUMBER(E1205)),"Needs the amount",IF(AND(D1205&lt;&gt;"",COUNTIF(Beds!$B$6:$B$35,D1205)=0),"Not on Beds",""))))))</f>
        <v/>
      </c>
      <c r="J1205" s="1">
        <f>IF(ISNUMBER(B1205),YEAR(B1205),"")</f>
        <v/>
      </c>
      <c r="K1205">
        <f>IF(ISNUMBER(B1205),YEAR(B1205)*100+MONTH(B1205),"")</f>
        <v/>
      </c>
      <c r="L1205">
        <f>IF(ISNUMBER(B1205),INT(B1205),0)</f>
        <v/>
      </c>
    </row>
    <row r="1206">
      <c r="A1206" s="1" t="n"/>
      <c r="B1206" s="17" t="n"/>
      <c r="C1206" s="18" t="n"/>
      <c r="D1206" s="19" t="n"/>
      <c r="E1206" s="23" t="n"/>
      <c r="F1206" s="21" t="n"/>
      <c r="G1206" s="11">
        <f>IF(C1206="","",IFERROR(INDEX(Crops!$D$6:$D$65,MATCH(C1206,Crops!$B$6:$B$65,0))&amp;"",""))</f>
        <v/>
      </c>
      <c r="H1206" s="12">
        <f>IF(OR(C1206="",NOT(ISNUMBER(E1206))),"",E1206*N(IFERROR(INDEX(Crops!$E$6:$E$65,MATCH(C1206,Crops!$B$6:$B$65,0)),0)))</f>
        <v/>
      </c>
      <c r="I1206" s="11">
        <f>IF(AND(C1206="",E1206=""),"",IF(NOT(ISNUMBER(B1206)),"Needs a date",IF(C1206="","Needs a crop",IF(COUNTIF(Crops!$B$6:$B$65,C1206)=0,"Not on Crops",IF(NOT(ISNUMBER(E1206)),"Needs the amount",IF(AND(D1206&lt;&gt;"",COUNTIF(Beds!$B$6:$B$35,D1206)=0),"Not on Beds",""))))))</f>
        <v/>
      </c>
      <c r="J1206" s="1">
        <f>IF(ISNUMBER(B1206),YEAR(B1206),"")</f>
        <v/>
      </c>
      <c r="K1206">
        <f>IF(ISNUMBER(B1206),YEAR(B1206)*100+MONTH(B1206),"")</f>
        <v/>
      </c>
      <c r="L1206">
        <f>IF(ISNUMBER(B1206),INT(B1206),0)</f>
        <v/>
      </c>
    </row>
    <row r="1207">
      <c r="A1207" s="1" t="n"/>
      <c r="B1207" s="17" t="n"/>
      <c r="C1207" s="18" t="n"/>
      <c r="D1207" s="19" t="n"/>
      <c r="E1207" s="23" t="n"/>
      <c r="F1207" s="21" t="n"/>
      <c r="G1207" s="11">
        <f>IF(C1207="","",IFERROR(INDEX(Crops!$D$6:$D$65,MATCH(C1207,Crops!$B$6:$B$65,0))&amp;"",""))</f>
        <v/>
      </c>
      <c r="H1207" s="12">
        <f>IF(OR(C1207="",NOT(ISNUMBER(E1207))),"",E1207*N(IFERROR(INDEX(Crops!$E$6:$E$65,MATCH(C1207,Crops!$B$6:$B$65,0)),0)))</f>
        <v/>
      </c>
      <c r="I1207" s="11">
        <f>IF(AND(C1207="",E1207=""),"",IF(NOT(ISNUMBER(B1207)),"Needs a date",IF(C1207="","Needs a crop",IF(COUNTIF(Crops!$B$6:$B$65,C1207)=0,"Not on Crops",IF(NOT(ISNUMBER(E1207)),"Needs the amount",IF(AND(D1207&lt;&gt;"",COUNTIF(Beds!$B$6:$B$35,D1207)=0),"Not on Beds",""))))))</f>
        <v/>
      </c>
      <c r="J1207" s="1">
        <f>IF(ISNUMBER(B1207),YEAR(B1207),"")</f>
        <v/>
      </c>
      <c r="K1207">
        <f>IF(ISNUMBER(B1207),YEAR(B1207)*100+MONTH(B1207),"")</f>
        <v/>
      </c>
      <c r="L1207">
        <f>IF(ISNUMBER(B1207),INT(B1207),0)</f>
        <v/>
      </c>
    </row>
    <row r="1208">
      <c r="A1208" s="1" t="n"/>
      <c r="B1208" s="17" t="n"/>
      <c r="C1208" s="18" t="n"/>
      <c r="D1208" s="19" t="n"/>
      <c r="E1208" s="23" t="n"/>
      <c r="F1208" s="21" t="n"/>
      <c r="G1208" s="11">
        <f>IF(C1208="","",IFERROR(INDEX(Crops!$D$6:$D$65,MATCH(C1208,Crops!$B$6:$B$65,0))&amp;"",""))</f>
        <v/>
      </c>
      <c r="H1208" s="12">
        <f>IF(OR(C1208="",NOT(ISNUMBER(E1208))),"",E1208*N(IFERROR(INDEX(Crops!$E$6:$E$65,MATCH(C1208,Crops!$B$6:$B$65,0)),0)))</f>
        <v/>
      </c>
      <c r="I1208" s="11">
        <f>IF(AND(C1208="",E1208=""),"",IF(NOT(ISNUMBER(B1208)),"Needs a date",IF(C1208="","Needs a crop",IF(COUNTIF(Crops!$B$6:$B$65,C1208)=0,"Not on Crops",IF(NOT(ISNUMBER(E1208)),"Needs the amount",IF(AND(D1208&lt;&gt;"",COUNTIF(Beds!$B$6:$B$35,D1208)=0),"Not on Beds",""))))))</f>
        <v/>
      </c>
      <c r="J1208" s="1">
        <f>IF(ISNUMBER(B1208),YEAR(B1208),"")</f>
        <v/>
      </c>
      <c r="K1208">
        <f>IF(ISNUMBER(B1208),YEAR(B1208)*100+MONTH(B1208),"")</f>
        <v/>
      </c>
      <c r="L1208">
        <f>IF(ISNUMBER(B1208),INT(B1208),0)</f>
        <v/>
      </c>
    </row>
    <row r="1209">
      <c r="A1209" s="1" t="n"/>
      <c r="B1209" s="17" t="n"/>
      <c r="C1209" s="18" t="n"/>
      <c r="D1209" s="19" t="n"/>
      <c r="E1209" s="23" t="n"/>
      <c r="F1209" s="21" t="n"/>
      <c r="G1209" s="11">
        <f>IF(C1209="","",IFERROR(INDEX(Crops!$D$6:$D$65,MATCH(C1209,Crops!$B$6:$B$65,0))&amp;"",""))</f>
        <v/>
      </c>
      <c r="H1209" s="12">
        <f>IF(OR(C1209="",NOT(ISNUMBER(E1209))),"",E1209*N(IFERROR(INDEX(Crops!$E$6:$E$65,MATCH(C1209,Crops!$B$6:$B$65,0)),0)))</f>
        <v/>
      </c>
      <c r="I1209" s="11">
        <f>IF(AND(C1209="",E1209=""),"",IF(NOT(ISNUMBER(B1209)),"Needs a date",IF(C1209="","Needs a crop",IF(COUNTIF(Crops!$B$6:$B$65,C1209)=0,"Not on Crops",IF(NOT(ISNUMBER(E1209)),"Needs the amount",IF(AND(D1209&lt;&gt;"",COUNTIF(Beds!$B$6:$B$35,D1209)=0),"Not on Beds",""))))))</f>
        <v/>
      </c>
      <c r="J1209" s="1">
        <f>IF(ISNUMBER(B1209),YEAR(B1209),"")</f>
        <v/>
      </c>
      <c r="K1209">
        <f>IF(ISNUMBER(B1209),YEAR(B1209)*100+MONTH(B1209),"")</f>
        <v/>
      </c>
      <c r="L1209">
        <f>IF(ISNUMBER(B1209),INT(B1209),0)</f>
        <v/>
      </c>
    </row>
    <row r="1210">
      <c r="A1210" s="1" t="n"/>
      <c r="B1210" s="17" t="n"/>
      <c r="C1210" s="18" t="n"/>
      <c r="D1210" s="19" t="n"/>
      <c r="E1210" s="23" t="n"/>
      <c r="F1210" s="21" t="n"/>
      <c r="G1210" s="11">
        <f>IF(C1210="","",IFERROR(INDEX(Crops!$D$6:$D$65,MATCH(C1210,Crops!$B$6:$B$65,0))&amp;"",""))</f>
        <v/>
      </c>
      <c r="H1210" s="12">
        <f>IF(OR(C1210="",NOT(ISNUMBER(E1210))),"",E1210*N(IFERROR(INDEX(Crops!$E$6:$E$65,MATCH(C1210,Crops!$B$6:$B$65,0)),0)))</f>
        <v/>
      </c>
      <c r="I1210" s="11">
        <f>IF(AND(C1210="",E1210=""),"",IF(NOT(ISNUMBER(B1210)),"Needs a date",IF(C1210="","Needs a crop",IF(COUNTIF(Crops!$B$6:$B$65,C1210)=0,"Not on Crops",IF(NOT(ISNUMBER(E1210)),"Needs the amount",IF(AND(D1210&lt;&gt;"",COUNTIF(Beds!$B$6:$B$35,D1210)=0),"Not on Beds",""))))))</f>
        <v/>
      </c>
      <c r="J1210" s="1">
        <f>IF(ISNUMBER(B1210),YEAR(B1210),"")</f>
        <v/>
      </c>
      <c r="K1210">
        <f>IF(ISNUMBER(B1210),YEAR(B1210)*100+MONTH(B1210),"")</f>
        <v/>
      </c>
      <c r="L1210">
        <f>IF(ISNUMBER(B1210),INT(B1210),0)</f>
        <v/>
      </c>
    </row>
    <row r="1211">
      <c r="A1211" s="1" t="n"/>
      <c r="B1211" s="17" t="n"/>
      <c r="C1211" s="18" t="n"/>
      <c r="D1211" s="19" t="n"/>
      <c r="E1211" s="23" t="n"/>
      <c r="F1211" s="21" t="n"/>
      <c r="G1211" s="11">
        <f>IF(C1211="","",IFERROR(INDEX(Crops!$D$6:$D$65,MATCH(C1211,Crops!$B$6:$B$65,0))&amp;"",""))</f>
        <v/>
      </c>
      <c r="H1211" s="12">
        <f>IF(OR(C1211="",NOT(ISNUMBER(E1211))),"",E1211*N(IFERROR(INDEX(Crops!$E$6:$E$65,MATCH(C1211,Crops!$B$6:$B$65,0)),0)))</f>
        <v/>
      </c>
      <c r="I1211" s="11">
        <f>IF(AND(C1211="",E1211=""),"",IF(NOT(ISNUMBER(B1211)),"Needs a date",IF(C1211="","Needs a crop",IF(COUNTIF(Crops!$B$6:$B$65,C1211)=0,"Not on Crops",IF(NOT(ISNUMBER(E1211)),"Needs the amount",IF(AND(D1211&lt;&gt;"",COUNTIF(Beds!$B$6:$B$35,D1211)=0),"Not on Beds",""))))))</f>
        <v/>
      </c>
      <c r="J1211" s="1">
        <f>IF(ISNUMBER(B1211),YEAR(B1211),"")</f>
        <v/>
      </c>
      <c r="K1211">
        <f>IF(ISNUMBER(B1211),YEAR(B1211)*100+MONTH(B1211),"")</f>
        <v/>
      </c>
      <c r="L1211">
        <f>IF(ISNUMBER(B1211),INT(B1211),0)</f>
        <v/>
      </c>
    </row>
    <row r="1212">
      <c r="A1212" s="1" t="n"/>
      <c r="B1212" s="17" t="n"/>
      <c r="C1212" s="18" t="n"/>
      <c r="D1212" s="19" t="n"/>
      <c r="E1212" s="23" t="n"/>
      <c r="F1212" s="21" t="n"/>
      <c r="G1212" s="11">
        <f>IF(C1212="","",IFERROR(INDEX(Crops!$D$6:$D$65,MATCH(C1212,Crops!$B$6:$B$65,0))&amp;"",""))</f>
        <v/>
      </c>
      <c r="H1212" s="12">
        <f>IF(OR(C1212="",NOT(ISNUMBER(E1212))),"",E1212*N(IFERROR(INDEX(Crops!$E$6:$E$65,MATCH(C1212,Crops!$B$6:$B$65,0)),0)))</f>
        <v/>
      </c>
      <c r="I1212" s="11">
        <f>IF(AND(C1212="",E1212=""),"",IF(NOT(ISNUMBER(B1212)),"Needs a date",IF(C1212="","Needs a crop",IF(COUNTIF(Crops!$B$6:$B$65,C1212)=0,"Not on Crops",IF(NOT(ISNUMBER(E1212)),"Needs the amount",IF(AND(D1212&lt;&gt;"",COUNTIF(Beds!$B$6:$B$35,D1212)=0),"Not on Beds",""))))))</f>
        <v/>
      </c>
      <c r="J1212" s="1">
        <f>IF(ISNUMBER(B1212),YEAR(B1212),"")</f>
        <v/>
      </c>
      <c r="K1212">
        <f>IF(ISNUMBER(B1212),YEAR(B1212)*100+MONTH(B1212),"")</f>
        <v/>
      </c>
      <c r="L1212">
        <f>IF(ISNUMBER(B1212),INT(B1212),0)</f>
        <v/>
      </c>
    </row>
    <row r="1213">
      <c r="A1213" s="1" t="n"/>
      <c r="B1213" s="17" t="n"/>
      <c r="C1213" s="18" t="n"/>
      <c r="D1213" s="19" t="n"/>
      <c r="E1213" s="23" t="n"/>
      <c r="F1213" s="21" t="n"/>
      <c r="G1213" s="11">
        <f>IF(C1213="","",IFERROR(INDEX(Crops!$D$6:$D$65,MATCH(C1213,Crops!$B$6:$B$65,0))&amp;"",""))</f>
        <v/>
      </c>
      <c r="H1213" s="12">
        <f>IF(OR(C1213="",NOT(ISNUMBER(E1213))),"",E1213*N(IFERROR(INDEX(Crops!$E$6:$E$65,MATCH(C1213,Crops!$B$6:$B$65,0)),0)))</f>
        <v/>
      </c>
      <c r="I1213" s="11">
        <f>IF(AND(C1213="",E1213=""),"",IF(NOT(ISNUMBER(B1213)),"Needs a date",IF(C1213="","Needs a crop",IF(COUNTIF(Crops!$B$6:$B$65,C1213)=0,"Not on Crops",IF(NOT(ISNUMBER(E1213)),"Needs the amount",IF(AND(D1213&lt;&gt;"",COUNTIF(Beds!$B$6:$B$35,D1213)=0),"Not on Beds",""))))))</f>
        <v/>
      </c>
      <c r="J1213" s="1">
        <f>IF(ISNUMBER(B1213),YEAR(B1213),"")</f>
        <v/>
      </c>
      <c r="K1213">
        <f>IF(ISNUMBER(B1213),YEAR(B1213)*100+MONTH(B1213),"")</f>
        <v/>
      </c>
      <c r="L1213">
        <f>IF(ISNUMBER(B1213),INT(B1213),0)</f>
        <v/>
      </c>
    </row>
    <row r="1214">
      <c r="A1214" s="1" t="n"/>
      <c r="B1214" s="17" t="n"/>
      <c r="C1214" s="18" t="n"/>
      <c r="D1214" s="19" t="n"/>
      <c r="E1214" s="23" t="n"/>
      <c r="F1214" s="21" t="n"/>
      <c r="G1214" s="11">
        <f>IF(C1214="","",IFERROR(INDEX(Crops!$D$6:$D$65,MATCH(C1214,Crops!$B$6:$B$65,0))&amp;"",""))</f>
        <v/>
      </c>
      <c r="H1214" s="12">
        <f>IF(OR(C1214="",NOT(ISNUMBER(E1214))),"",E1214*N(IFERROR(INDEX(Crops!$E$6:$E$65,MATCH(C1214,Crops!$B$6:$B$65,0)),0)))</f>
        <v/>
      </c>
      <c r="I1214" s="11">
        <f>IF(AND(C1214="",E1214=""),"",IF(NOT(ISNUMBER(B1214)),"Needs a date",IF(C1214="","Needs a crop",IF(COUNTIF(Crops!$B$6:$B$65,C1214)=0,"Not on Crops",IF(NOT(ISNUMBER(E1214)),"Needs the amount",IF(AND(D1214&lt;&gt;"",COUNTIF(Beds!$B$6:$B$35,D1214)=0),"Not on Beds",""))))))</f>
        <v/>
      </c>
      <c r="J1214" s="1">
        <f>IF(ISNUMBER(B1214),YEAR(B1214),"")</f>
        <v/>
      </c>
      <c r="K1214">
        <f>IF(ISNUMBER(B1214),YEAR(B1214)*100+MONTH(B1214),"")</f>
        <v/>
      </c>
      <c r="L1214">
        <f>IF(ISNUMBER(B1214),INT(B1214),0)</f>
        <v/>
      </c>
    </row>
    <row r="1215">
      <c r="A1215" s="1" t="n"/>
      <c r="B1215" s="17" t="n"/>
      <c r="C1215" s="18" t="n"/>
      <c r="D1215" s="19" t="n"/>
      <c r="E1215" s="23" t="n"/>
      <c r="F1215" s="21" t="n"/>
      <c r="G1215" s="11">
        <f>IF(C1215="","",IFERROR(INDEX(Crops!$D$6:$D$65,MATCH(C1215,Crops!$B$6:$B$65,0))&amp;"",""))</f>
        <v/>
      </c>
      <c r="H1215" s="12">
        <f>IF(OR(C1215="",NOT(ISNUMBER(E1215))),"",E1215*N(IFERROR(INDEX(Crops!$E$6:$E$65,MATCH(C1215,Crops!$B$6:$B$65,0)),0)))</f>
        <v/>
      </c>
      <c r="I1215" s="11">
        <f>IF(AND(C1215="",E1215=""),"",IF(NOT(ISNUMBER(B1215)),"Needs a date",IF(C1215="","Needs a crop",IF(COUNTIF(Crops!$B$6:$B$65,C1215)=0,"Not on Crops",IF(NOT(ISNUMBER(E1215)),"Needs the amount",IF(AND(D1215&lt;&gt;"",COUNTIF(Beds!$B$6:$B$35,D1215)=0),"Not on Beds",""))))))</f>
        <v/>
      </c>
      <c r="J1215" s="1">
        <f>IF(ISNUMBER(B1215),YEAR(B1215),"")</f>
        <v/>
      </c>
      <c r="K1215">
        <f>IF(ISNUMBER(B1215),YEAR(B1215)*100+MONTH(B1215),"")</f>
        <v/>
      </c>
      <c r="L1215">
        <f>IF(ISNUMBER(B1215),INT(B1215),0)</f>
        <v/>
      </c>
    </row>
    <row r="1216">
      <c r="A1216" s="1" t="n"/>
      <c r="B1216" s="17" t="n"/>
      <c r="C1216" s="18" t="n"/>
      <c r="D1216" s="19" t="n"/>
      <c r="E1216" s="23" t="n"/>
      <c r="F1216" s="21" t="n"/>
      <c r="G1216" s="11">
        <f>IF(C1216="","",IFERROR(INDEX(Crops!$D$6:$D$65,MATCH(C1216,Crops!$B$6:$B$65,0))&amp;"",""))</f>
        <v/>
      </c>
      <c r="H1216" s="12">
        <f>IF(OR(C1216="",NOT(ISNUMBER(E1216))),"",E1216*N(IFERROR(INDEX(Crops!$E$6:$E$65,MATCH(C1216,Crops!$B$6:$B$65,0)),0)))</f>
        <v/>
      </c>
      <c r="I1216" s="11">
        <f>IF(AND(C1216="",E1216=""),"",IF(NOT(ISNUMBER(B1216)),"Needs a date",IF(C1216="","Needs a crop",IF(COUNTIF(Crops!$B$6:$B$65,C1216)=0,"Not on Crops",IF(NOT(ISNUMBER(E1216)),"Needs the amount",IF(AND(D1216&lt;&gt;"",COUNTIF(Beds!$B$6:$B$35,D1216)=0),"Not on Beds",""))))))</f>
        <v/>
      </c>
      <c r="J1216" s="1">
        <f>IF(ISNUMBER(B1216),YEAR(B1216),"")</f>
        <v/>
      </c>
      <c r="K1216">
        <f>IF(ISNUMBER(B1216),YEAR(B1216)*100+MONTH(B1216),"")</f>
        <v/>
      </c>
      <c r="L1216">
        <f>IF(ISNUMBER(B1216),INT(B1216),0)</f>
        <v/>
      </c>
    </row>
    <row r="1217">
      <c r="A1217" s="1" t="n"/>
      <c r="B1217" s="17" t="n"/>
      <c r="C1217" s="18" t="n"/>
      <c r="D1217" s="19" t="n"/>
      <c r="E1217" s="23" t="n"/>
      <c r="F1217" s="21" t="n"/>
      <c r="G1217" s="11">
        <f>IF(C1217="","",IFERROR(INDEX(Crops!$D$6:$D$65,MATCH(C1217,Crops!$B$6:$B$65,0))&amp;"",""))</f>
        <v/>
      </c>
      <c r="H1217" s="12">
        <f>IF(OR(C1217="",NOT(ISNUMBER(E1217))),"",E1217*N(IFERROR(INDEX(Crops!$E$6:$E$65,MATCH(C1217,Crops!$B$6:$B$65,0)),0)))</f>
        <v/>
      </c>
      <c r="I1217" s="11">
        <f>IF(AND(C1217="",E1217=""),"",IF(NOT(ISNUMBER(B1217)),"Needs a date",IF(C1217="","Needs a crop",IF(COUNTIF(Crops!$B$6:$B$65,C1217)=0,"Not on Crops",IF(NOT(ISNUMBER(E1217)),"Needs the amount",IF(AND(D1217&lt;&gt;"",COUNTIF(Beds!$B$6:$B$35,D1217)=0),"Not on Beds",""))))))</f>
        <v/>
      </c>
      <c r="J1217" s="1">
        <f>IF(ISNUMBER(B1217),YEAR(B1217),"")</f>
        <v/>
      </c>
      <c r="K1217">
        <f>IF(ISNUMBER(B1217),YEAR(B1217)*100+MONTH(B1217),"")</f>
        <v/>
      </c>
      <c r="L1217">
        <f>IF(ISNUMBER(B1217),INT(B1217),0)</f>
        <v/>
      </c>
    </row>
    <row r="1218">
      <c r="A1218" s="1" t="n"/>
      <c r="B1218" s="17" t="n"/>
      <c r="C1218" s="18" t="n"/>
      <c r="D1218" s="19" t="n"/>
      <c r="E1218" s="23" t="n"/>
      <c r="F1218" s="21" t="n"/>
      <c r="G1218" s="11">
        <f>IF(C1218="","",IFERROR(INDEX(Crops!$D$6:$D$65,MATCH(C1218,Crops!$B$6:$B$65,0))&amp;"",""))</f>
        <v/>
      </c>
      <c r="H1218" s="12">
        <f>IF(OR(C1218="",NOT(ISNUMBER(E1218))),"",E1218*N(IFERROR(INDEX(Crops!$E$6:$E$65,MATCH(C1218,Crops!$B$6:$B$65,0)),0)))</f>
        <v/>
      </c>
      <c r="I1218" s="11">
        <f>IF(AND(C1218="",E1218=""),"",IF(NOT(ISNUMBER(B1218)),"Needs a date",IF(C1218="","Needs a crop",IF(COUNTIF(Crops!$B$6:$B$65,C1218)=0,"Not on Crops",IF(NOT(ISNUMBER(E1218)),"Needs the amount",IF(AND(D1218&lt;&gt;"",COUNTIF(Beds!$B$6:$B$35,D1218)=0),"Not on Beds",""))))))</f>
        <v/>
      </c>
      <c r="J1218" s="1">
        <f>IF(ISNUMBER(B1218),YEAR(B1218),"")</f>
        <v/>
      </c>
      <c r="K1218">
        <f>IF(ISNUMBER(B1218),YEAR(B1218)*100+MONTH(B1218),"")</f>
        <v/>
      </c>
      <c r="L1218">
        <f>IF(ISNUMBER(B1218),INT(B1218),0)</f>
        <v/>
      </c>
    </row>
    <row r="1219">
      <c r="A1219" s="1" t="n"/>
      <c r="B1219" s="17" t="n"/>
      <c r="C1219" s="18" t="n"/>
      <c r="D1219" s="19" t="n"/>
      <c r="E1219" s="23" t="n"/>
      <c r="F1219" s="21" t="n"/>
      <c r="G1219" s="11">
        <f>IF(C1219="","",IFERROR(INDEX(Crops!$D$6:$D$65,MATCH(C1219,Crops!$B$6:$B$65,0))&amp;"",""))</f>
        <v/>
      </c>
      <c r="H1219" s="12">
        <f>IF(OR(C1219="",NOT(ISNUMBER(E1219))),"",E1219*N(IFERROR(INDEX(Crops!$E$6:$E$65,MATCH(C1219,Crops!$B$6:$B$65,0)),0)))</f>
        <v/>
      </c>
      <c r="I1219" s="11">
        <f>IF(AND(C1219="",E1219=""),"",IF(NOT(ISNUMBER(B1219)),"Needs a date",IF(C1219="","Needs a crop",IF(COUNTIF(Crops!$B$6:$B$65,C1219)=0,"Not on Crops",IF(NOT(ISNUMBER(E1219)),"Needs the amount",IF(AND(D1219&lt;&gt;"",COUNTIF(Beds!$B$6:$B$35,D1219)=0),"Not on Beds",""))))))</f>
        <v/>
      </c>
      <c r="J1219" s="1">
        <f>IF(ISNUMBER(B1219),YEAR(B1219),"")</f>
        <v/>
      </c>
      <c r="K1219">
        <f>IF(ISNUMBER(B1219),YEAR(B1219)*100+MONTH(B1219),"")</f>
        <v/>
      </c>
      <c r="L1219">
        <f>IF(ISNUMBER(B1219),INT(B1219),0)</f>
        <v/>
      </c>
    </row>
    <row r="1220">
      <c r="A1220" s="1" t="n"/>
      <c r="B1220" s="17" t="n"/>
      <c r="C1220" s="18" t="n"/>
      <c r="D1220" s="19" t="n"/>
      <c r="E1220" s="23" t="n"/>
      <c r="F1220" s="21" t="n"/>
      <c r="G1220" s="11">
        <f>IF(C1220="","",IFERROR(INDEX(Crops!$D$6:$D$65,MATCH(C1220,Crops!$B$6:$B$65,0))&amp;"",""))</f>
        <v/>
      </c>
      <c r="H1220" s="12">
        <f>IF(OR(C1220="",NOT(ISNUMBER(E1220))),"",E1220*N(IFERROR(INDEX(Crops!$E$6:$E$65,MATCH(C1220,Crops!$B$6:$B$65,0)),0)))</f>
        <v/>
      </c>
      <c r="I1220" s="11">
        <f>IF(AND(C1220="",E1220=""),"",IF(NOT(ISNUMBER(B1220)),"Needs a date",IF(C1220="","Needs a crop",IF(COUNTIF(Crops!$B$6:$B$65,C1220)=0,"Not on Crops",IF(NOT(ISNUMBER(E1220)),"Needs the amount",IF(AND(D1220&lt;&gt;"",COUNTIF(Beds!$B$6:$B$35,D1220)=0),"Not on Beds",""))))))</f>
        <v/>
      </c>
      <c r="J1220" s="1">
        <f>IF(ISNUMBER(B1220),YEAR(B1220),"")</f>
        <v/>
      </c>
      <c r="K1220">
        <f>IF(ISNUMBER(B1220),YEAR(B1220)*100+MONTH(B1220),"")</f>
        <v/>
      </c>
      <c r="L1220">
        <f>IF(ISNUMBER(B1220),INT(B1220),0)</f>
        <v/>
      </c>
    </row>
    <row r="1221">
      <c r="A1221" s="1" t="n"/>
      <c r="B1221" s="17" t="n"/>
      <c r="C1221" s="18" t="n"/>
      <c r="D1221" s="19" t="n"/>
      <c r="E1221" s="23" t="n"/>
      <c r="F1221" s="21" t="n"/>
      <c r="G1221" s="11">
        <f>IF(C1221="","",IFERROR(INDEX(Crops!$D$6:$D$65,MATCH(C1221,Crops!$B$6:$B$65,0))&amp;"",""))</f>
        <v/>
      </c>
      <c r="H1221" s="12">
        <f>IF(OR(C1221="",NOT(ISNUMBER(E1221))),"",E1221*N(IFERROR(INDEX(Crops!$E$6:$E$65,MATCH(C1221,Crops!$B$6:$B$65,0)),0)))</f>
        <v/>
      </c>
      <c r="I1221" s="11">
        <f>IF(AND(C1221="",E1221=""),"",IF(NOT(ISNUMBER(B1221)),"Needs a date",IF(C1221="","Needs a crop",IF(COUNTIF(Crops!$B$6:$B$65,C1221)=0,"Not on Crops",IF(NOT(ISNUMBER(E1221)),"Needs the amount",IF(AND(D1221&lt;&gt;"",COUNTIF(Beds!$B$6:$B$35,D1221)=0),"Not on Beds",""))))))</f>
        <v/>
      </c>
      <c r="J1221" s="1">
        <f>IF(ISNUMBER(B1221),YEAR(B1221),"")</f>
        <v/>
      </c>
      <c r="K1221">
        <f>IF(ISNUMBER(B1221),YEAR(B1221)*100+MONTH(B1221),"")</f>
        <v/>
      </c>
      <c r="L1221">
        <f>IF(ISNUMBER(B1221),INT(B1221),0)</f>
        <v/>
      </c>
    </row>
    <row r="1222">
      <c r="A1222" s="1" t="n"/>
      <c r="B1222" s="17" t="n"/>
      <c r="C1222" s="18" t="n"/>
      <c r="D1222" s="19" t="n"/>
      <c r="E1222" s="23" t="n"/>
      <c r="F1222" s="21" t="n"/>
      <c r="G1222" s="11">
        <f>IF(C1222="","",IFERROR(INDEX(Crops!$D$6:$D$65,MATCH(C1222,Crops!$B$6:$B$65,0))&amp;"",""))</f>
        <v/>
      </c>
      <c r="H1222" s="12">
        <f>IF(OR(C1222="",NOT(ISNUMBER(E1222))),"",E1222*N(IFERROR(INDEX(Crops!$E$6:$E$65,MATCH(C1222,Crops!$B$6:$B$65,0)),0)))</f>
        <v/>
      </c>
      <c r="I1222" s="11">
        <f>IF(AND(C1222="",E1222=""),"",IF(NOT(ISNUMBER(B1222)),"Needs a date",IF(C1222="","Needs a crop",IF(COUNTIF(Crops!$B$6:$B$65,C1222)=0,"Not on Crops",IF(NOT(ISNUMBER(E1222)),"Needs the amount",IF(AND(D1222&lt;&gt;"",COUNTIF(Beds!$B$6:$B$35,D1222)=0),"Not on Beds",""))))))</f>
        <v/>
      </c>
      <c r="J1222" s="1">
        <f>IF(ISNUMBER(B1222),YEAR(B1222),"")</f>
        <v/>
      </c>
      <c r="K1222">
        <f>IF(ISNUMBER(B1222),YEAR(B1222)*100+MONTH(B1222),"")</f>
        <v/>
      </c>
      <c r="L1222">
        <f>IF(ISNUMBER(B1222),INT(B1222),0)</f>
        <v/>
      </c>
    </row>
    <row r="1223">
      <c r="A1223" s="1" t="n"/>
      <c r="B1223" s="17" t="n"/>
      <c r="C1223" s="18" t="n"/>
      <c r="D1223" s="19" t="n"/>
      <c r="E1223" s="23" t="n"/>
      <c r="F1223" s="21" t="n"/>
      <c r="G1223" s="11">
        <f>IF(C1223="","",IFERROR(INDEX(Crops!$D$6:$D$65,MATCH(C1223,Crops!$B$6:$B$65,0))&amp;"",""))</f>
        <v/>
      </c>
      <c r="H1223" s="12">
        <f>IF(OR(C1223="",NOT(ISNUMBER(E1223))),"",E1223*N(IFERROR(INDEX(Crops!$E$6:$E$65,MATCH(C1223,Crops!$B$6:$B$65,0)),0)))</f>
        <v/>
      </c>
      <c r="I1223" s="11">
        <f>IF(AND(C1223="",E1223=""),"",IF(NOT(ISNUMBER(B1223)),"Needs a date",IF(C1223="","Needs a crop",IF(COUNTIF(Crops!$B$6:$B$65,C1223)=0,"Not on Crops",IF(NOT(ISNUMBER(E1223)),"Needs the amount",IF(AND(D1223&lt;&gt;"",COUNTIF(Beds!$B$6:$B$35,D1223)=0),"Not on Beds",""))))))</f>
        <v/>
      </c>
      <c r="J1223" s="1">
        <f>IF(ISNUMBER(B1223),YEAR(B1223),"")</f>
        <v/>
      </c>
      <c r="K1223">
        <f>IF(ISNUMBER(B1223),YEAR(B1223)*100+MONTH(B1223),"")</f>
        <v/>
      </c>
      <c r="L1223">
        <f>IF(ISNUMBER(B1223),INT(B1223),0)</f>
        <v/>
      </c>
    </row>
    <row r="1224">
      <c r="A1224" s="1" t="n"/>
      <c r="B1224" s="17" t="n"/>
      <c r="C1224" s="18" t="n"/>
      <c r="D1224" s="19" t="n"/>
      <c r="E1224" s="23" t="n"/>
      <c r="F1224" s="21" t="n"/>
      <c r="G1224" s="11">
        <f>IF(C1224="","",IFERROR(INDEX(Crops!$D$6:$D$65,MATCH(C1224,Crops!$B$6:$B$65,0))&amp;"",""))</f>
        <v/>
      </c>
      <c r="H1224" s="12">
        <f>IF(OR(C1224="",NOT(ISNUMBER(E1224))),"",E1224*N(IFERROR(INDEX(Crops!$E$6:$E$65,MATCH(C1224,Crops!$B$6:$B$65,0)),0)))</f>
        <v/>
      </c>
      <c r="I1224" s="11">
        <f>IF(AND(C1224="",E1224=""),"",IF(NOT(ISNUMBER(B1224)),"Needs a date",IF(C1224="","Needs a crop",IF(COUNTIF(Crops!$B$6:$B$65,C1224)=0,"Not on Crops",IF(NOT(ISNUMBER(E1224)),"Needs the amount",IF(AND(D1224&lt;&gt;"",COUNTIF(Beds!$B$6:$B$35,D1224)=0),"Not on Beds",""))))))</f>
        <v/>
      </c>
      <c r="J1224" s="1">
        <f>IF(ISNUMBER(B1224),YEAR(B1224),"")</f>
        <v/>
      </c>
      <c r="K1224">
        <f>IF(ISNUMBER(B1224),YEAR(B1224)*100+MONTH(B1224),"")</f>
        <v/>
      </c>
      <c r="L1224">
        <f>IF(ISNUMBER(B1224),INT(B1224),0)</f>
        <v/>
      </c>
    </row>
    <row r="1225">
      <c r="A1225" s="1" t="n"/>
      <c r="B1225" s="17" t="n"/>
      <c r="C1225" s="18" t="n"/>
      <c r="D1225" s="19" t="n"/>
      <c r="E1225" s="23" t="n"/>
      <c r="F1225" s="21" t="n"/>
      <c r="G1225" s="11">
        <f>IF(C1225="","",IFERROR(INDEX(Crops!$D$6:$D$65,MATCH(C1225,Crops!$B$6:$B$65,0))&amp;"",""))</f>
        <v/>
      </c>
      <c r="H1225" s="12">
        <f>IF(OR(C1225="",NOT(ISNUMBER(E1225))),"",E1225*N(IFERROR(INDEX(Crops!$E$6:$E$65,MATCH(C1225,Crops!$B$6:$B$65,0)),0)))</f>
        <v/>
      </c>
      <c r="I1225" s="11">
        <f>IF(AND(C1225="",E1225=""),"",IF(NOT(ISNUMBER(B1225)),"Needs a date",IF(C1225="","Needs a crop",IF(COUNTIF(Crops!$B$6:$B$65,C1225)=0,"Not on Crops",IF(NOT(ISNUMBER(E1225)),"Needs the amount",IF(AND(D1225&lt;&gt;"",COUNTIF(Beds!$B$6:$B$35,D1225)=0),"Not on Beds",""))))))</f>
        <v/>
      </c>
      <c r="J1225" s="1">
        <f>IF(ISNUMBER(B1225),YEAR(B1225),"")</f>
        <v/>
      </c>
      <c r="K1225">
        <f>IF(ISNUMBER(B1225),YEAR(B1225)*100+MONTH(B1225),"")</f>
        <v/>
      </c>
      <c r="L1225">
        <f>IF(ISNUMBER(B1225),INT(B1225),0)</f>
        <v/>
      </c>
    </row>
    <row r="1226">
      <c r="A1226" s="1" t="n"/>
      <c r="B1226" s="17" t="n"/>
      <c r="C1226" s="18" t="n"/>
      <c r="D1226" s="19" t="n"/>
      <c r="E1226" s="23" t="n"/>
      <c r="F1226" s="21" t="n"/>
      <c r="G1226" s="11">
        <f>IF(C1226="","",IFERROR(INDEX(Crops!$D$6:$D$65,MATCH(C1226,Crops!$B$6:$B$65,0))&amp;"",""))</f>
        <v/>
      </c>
      <c r="H1226" s="12">
        <f>IF(OR(C1226="",NOT(ISNUMBER(E1226))),"",E1226*N(IFERROR(INDEX(Crops!$E$6:$E$65,MATCH(C1226,Crops!$B$6:$B$65,0)),0)))</f>
        <v/>
      </c>
      <c r="I1226" s="11">
        <f>IF(AND(C1226="",E1226=""),"",IF(NOT(ISNUMBER(B1226)),"Needs a date",IF(C1226="","Needs a crop",IF(COUNTIF(Crops!$B$6:$B$65,C1226)=0,"Not on Crops",IF(NOT(ISNUMBER(E1226)),"Needs the amount",IF(AND(D1226&lt;&gt;"",COUNTIF(Beds!$B$6:$B$35,D1226)=0),"Not on Beds",""))))))</f>
        <v/>
      </c>
      <c r="J1226" s="1">
        <f>IF(ISNUMBER(B1226),YEAR(B1226),"")</f>
        <v/>
      </c>
      <c r="K1226">
        <f>IF(ISNUMBER(B1226),YEAR(B1226)*100+MONTH(B1226),"")</f>
        <v/>
      </c>
      <c r="L1226">
        <f>IF(ISNUMBER(B1226),INT(B1226),0)</f>
        <v/>
      </c>
    </row>
    <row r="1227">
      <c r="A1227" s="1" t="n"/>
      <c r="B1227" s="17" t="n"/>
      <c r="C1227" s="18" t="n"/>
      <c r="D1227" s="19" t="n"/>
      <c r="E1227" s="23" t="n"/>
      <c r="F1227" s="21" t="n"/>
      <c r="G1227" s="11">
        <f>IF(C1227="","",IFERROR(INDEX(Crops!$D$6:$D$65,MATCH(C1227,Crops!$B$6:$B$65,0))&amp;"",""))</f>
        <v/>
      </c>
      <c r="H1227" s="12">
        <f>IF(OR(C1227="",NOT(ISNUMBER(E1227))),"",E1227*N(IFERROR(INDEX(Crops!$E$6:$E$65,MATCH(C1227,Crops!$B$6:$B$65,0)),0)))</f>
        <v/>
      </c>
      <c r="I1227" s="11">
        <f>IF(AND(C1227="",E1227=""),"",IF(NOT(ISNUMBER(B1227)),"Needs a date",IF(C1227="","Needs a crop",IF(COUNTIF(Crops!$B$6:$B$65,C1227)=0,"Not on Crops",IF(NOT(ISNUMBER(E1227)),"Needs the amount",IF(AND(D1227&lt;&gt;"",COUNTIF(Beds!$B$6:$B$35,D1227)=0),"Not on Beds",""))))))</f>
        <v/>
      </c>
      <c r="J1227" s="1">
        <f>IF(ISNUMBER(B1227),YEAR(B1227),"")</f>
        <v/>
      </c>
      <c r="K1227">
        <f>IF(ISNUMBER(B1227),YEAR(B1227)*100+MONTH(B1227),"")</f>
        <v/>
      </c>
      <c r="L1227">
        <f>IF(ISNUMBER(B1227),INT(B1227),0)</f>
        <v/>
      </c>
    </row>
    <row r="1228">
      <c r="A1228" s="1" t="n"/>
      <c r="B1228" s="17" t="n"/>
      <c r="C1228" s="18" t="n"/>
      <c r="D1228" s="19" t="n"/>
      <c r="E1228" s="23" t="n"/>
      <c r="F1228" s="21" t="n"/>
      <c r="G1228" s="11">
        <f>IF(C1228="","",IFERROR(INDEX(Crops!$D$6:$D$65,MATCH(C1228,Crops!$B$6:$B$65,0))&amp;"",""))</f>
        <v/>
      </c>
      <c r="H1228" s="12">
        <f>IF(OR(C1228="",NOT(ISNUMBER(E1228))),"",E1228*N(IFERROR(INDEX(Crops!$E$6:$E$65,MATCH(C1228,Crops!$B$6:$B$65,0)),0)))</f>
        <v/>
      </c>
      <c r="I1228" s="11">
        <f>IF(AND(C1228="",E1228=""),"",IF(NOT(ISNUMBER(B1228)),"Needs a date",IF(C1228="","Needs a crop",IF(COUNTIF(Crops!$B$6:$B$65,C1228)=0,"Not on Crops",IF(NOT(ISNUMBER(E1228)),"Needs the amount",IF(AND(D1228&lt;&gt;"",COUNTIF(Beds!$B$6:$B$35,D1228)=0),"Not on Beds",""))))))</f>
        <v/>
      </c>
      <c r="J1228" s="1">
        <f>IF(ISNUMBER(B1228),YEAR(B1228),"")</f>
        <v/>
      </c>
      <c r="K1228">
        <f>IF(ISNUMBER(B1228),YEAR(B1228)*100+MONTH(B1228),"")</f>
        <v/>
      </c>
      <c r="L1228">
        <f>IF(ISNUMBER(B1228),INT(B1228),0)</f>
        <v/>
      </c>
    </row>
    <row r="1229">
      <c r="A1229" s="1" t="n"/>
      <c r="B1229" s="17" t="n"/>
      <c r="C1229" s="18" t="n"/>
      <c r="D1229" s="19" t="n"/>
      <c r="E1229" s="23" t="n"/>
      <c r="F1229" s="21" t="n"/>
      <c r="G1229" s="11">
        <f>IF(C1229="","",IFERROR(INDEX(Crops!$D$6:$D$65,MATCH(C1229,Crops!$B$6:$B$65,0))&amp;"",""))</f>
        <v/>
      </c>
      <c r="H1229" s="12">
        <f>IF(OR(C1229="",NOT(ISNUMBER(E1229))),"",E1229*N(IFERROR(INDEX(Crops!$E$6:$E$65,MATCH(C1229,Crops!$B$6:$B$65,0)),0)))</f>
        <v/>
      </c>
      <c r="I1229" s="11">
        <f>IF(AND(C1229="",E1229=""),"",IF(NOT(ISNUMBER(B1229)),"Needs a date",IF(C1229="","Needs a crop",IF(COUNTIF(Crops!$B$6:$B$65,C1229)=0,"Not on Crops",IF(NOT(ISNUMBER(E1229)),"Needs the amount",IF(AND(D1229&lt;&gt;"",COUNTIF(Beds!$B$6:$B$35,D1229)=0),"Not on Beds",""))))))</f>
        <v/>
      </c>
      <c r="J1229" s="1">
        <f>IF(ISNUMBER(B1229),YEAR(B1229),"")</f>
        <v/>
      </c>
      <c r="K1229">
        <f>IF(ISNUMBER(B1229),YEAR(B1229)*100+MONTH(B1229),"")</f>
        <v/>
      </c>
      <c r="L1229">
        <f>IF(ISNUMBER(B1229),INT(B1229),0)</f>
        <v/>
      </c>
    </row>
    <row r="1230">
      <c r="A1230" s="1" t="n"/>
      <c r="B1230" s="17" t="n"/>
      <c r="C1230" s="18" t="n"/>
      <c r="D1230" s="19" t="n"/>
      <c r="E1230" s="23" t="n"/>
      <c r="F1230" s="21" t="n"/>
      <c r="G1230" s="11">
        <f>IF(C1230="","",IFERROR(INDEX(Crops!$D$6:$D$65,MATCH(C1230,Crops!$B$6:$B$65,0))&amp;"",""))</f>
        <v/>
      </c>
      <c r="H1230" s="12">
        <f>IF(OR(C1230="",NOT(ISNUMBER(E1230))),"",E1230*N(IFERROR(INDEX(Crops!$E$6:$E$65,MATCH(C1230,Crops!$B$6:$B$65,0)),0)))</f>
        <v/>
      </c>
      <c r="I1230" s="11">
        <f>IF(AND(C1230="",E1230=""),"",IF(NOT(ISNUMBER(B1230)),"Needs a date",IF(C1230="","Needs a crop",IF(COUNTIF(Crops!$B$6:$B$65,C1230)=0,"Not on Crops",IF(NOT(ISNUMBER(E1230)),"Needs the amount",IF(AND(D1230&lt;&gt;"",COUNTIF(Beds!$B$6:$B$35,D1230)=0),"Not on Beds",""))))))</f>
        <v/>
      </c>
      <c r="J1230" s="1">
        <f>IF(ISNUMBER(B1230),YEAR(B1230),"")</f>
        <v/>
      </c>
      <c r="K1230">
        <f>IF(ISNUMBER(B1230),YEAR(B1230)*100+MONTH(B1230),"")</f>
        <v/>
      </c>
      <c r="L1230">
        <f>IF(ISNUMBER(B1230),INT(B1230),0)</f>
        <v/>
      </c>
    </row>
    <row r="1231">
      <c r="A1231" s="1" t="n"/>
      <c r="B1231" s="17" t="n"/>
      <c r="C1231" s="18" t="n"/>
      <c r="D1231" s="19" t="n"/>
      <c r="E1231" s="23" t="n"/>
      <c r="F1231" s="21" t="n"/>
      <c r="G1231" s="11">
        <f>IF(C1231="","",IFERROR(INDEX(Crops!$D$6:$D$65,MATCH(C1231,Crops!$B$6:$B$65,0))&amp;"",""))</f>
        <v/>
      </c>
      <c r="H1231" s="12">
        <f>IF(OR(C1231="",NOT(ISNUMBER(E1231))),"",E1231*N(IFERROR(INDEX(Crops!$E$6:$E$65,MATCH(C1231,Crops!$B$6:$B$65,0)),0)))</f>
        <v/>
      </c>
      <c r="I1231" s="11">
        <f>IF(AND(C1231="",E1231=""),"",IF(NOT(ISNUMBER(B1231)),"Needs a date",IF(C1231="","Needs a crop",IF(COUNTIF(Crops!$B$6:$B$65,C1231)=0,"Not on Crops",IF(NOT(ISNUMBER(E1231)),"Needs the amount",IF(AND(D1231&lt;&gt;"",COUNTIF(Beds!$B$6:$B$35,D1231)=0),"Not on Beds",""))))))</f>
        <v/>
      </c>
      <c r="J1231" s="1">
        <f>IF(ISNUMBER(B1231),YEAR(B1231),"")</f>
        <v/>
      </c>
      <c r="K1231">
        <f>IF(ISNUMBER(B1231),YEAR(B1231)*100+MONTH(B1231),"")</f>
        <v/>
      </c>
      <c r="L1231">
        <f>IF(ISNUMBER(B1231),INT(B1231),0)</f>
        <v/>
      </c>
    </row>
    <row r="1232">
      <c r="A1232" s="1" t="n"/>
      <c r="B1232" s="17" t="n"/>
      <c r="C1232" s="18" t="n"/>
      <c r="D1232" s="19" t="n"/>
      <c r="E1232" s="23" t="n"/>
      <c r="F1232" s="21" t="n"/>
      <c r="G1232" s="11">
        <f>IF(C1232="","",IFERROR(INDEX(Crops!$D$6:$D$65,MATCH(C1232,Crops!$B$6:$B$65,0))&amp;"",""))</f>
        <v/>
      </c>
      <c r="H1232" s="12">
        <f>IF(OR(C1232="",NOT(ISNUMBER(E1232))),"",E1232*N(IFERROR(INDEX(Crops!$E$6:$E$65,MATCH(C1232,Crops!$B$6:$B$65,0)),0)))</f>
        <v/>
      </c>
      <c r="I1232" s="11">
        <f>IF(AND(C1232="",E1232=""),"",IF(NOT(ISNUMBER(B1232)),"Needs a date",IF(C1232="","Needs a crop",IF(COUNTIF(Crops!$B$6:$B$65,C1232)=0,"Not on Crops",IF(NOT(ISNUMBER(E1232)),"Needs the amount",IF(AND(D1232&lt;&gt;"",COUNTIF(Beds!$B$6:$B$35,D1232)=0),"Not on Beds",""))))))</f>
        <v/>
      </c>
      <c r="J1232" s="1">
        <f>IF(ISNUMBER(B1232),YEAR(B1232),"")</f>
        <v/>
      </c>
      <c r="K1232">
        <f>IF(ISNUMBER(B1232),YEAR(B1232)*100+MONTH(B1232),"")</f>
        <v/>
      </c>
      <c r="L1232">
        <f>IF(ISNUMBER(B1232),INT(B1232),0)</f>
        <v/>
      </c>
    </row>
    <row r="1233">
      <c r="A1233" s="1" t="n"/>
      <c r="B1233" s="17" t="n"/>
      <c r="C1233" s="18" t="n"/>
      <c r="D1233" s="19" t="n"/>
      <c r="E1233" s="23" t="n"/>
      <c r="F1233" s="21" t="n"/>
      <c r="G1233" s="11">
        <f>IF(C1233="","",IFERROR(INDEX(Crops!$D$6:$D$65,MATCH(C1233,Crops!$B$6:$B$65,0))&amp;"",""))</f>
        <v/>
      </c>
      <c r="H1233" s="12">
        <f>IF(OR(C1233="",NOT(ISNUMBER(E1233))),"",E1233*N(IFERROR(INDEX(Crops!$E$6:$E$65,MATCH(C1233,Crops!$B$6:$B$65,0)),0)))</f>
        <v/>
      </c>
      <c r="I1233" s="11">
        <f>IF(AND(C1233="",E1233=""),"",IF(NOT(ISNUMBER(B1233)),"Needs a date",IF(C1233="","Needs a crop",IF(COUNTIF(Crops!$B$6:$B$65,C1233)=0,"Not on Crops",IF(NOT(ISNUMBER(E1233)),"Needs the amount",IF(AND(D1233&lt;&gt;"",COUNTIF(Beds!$B$6:$B$35,D1233)=0),"Not on Beds",""))))))</f>
        <v/>
      </c>
      <c r="J1233" s="1">
        <f>IF(ISNUMBER(B1233),YEAR(B1233),"")</f>
        <v/>
      </c>
      <c r="K1233">
        <f>IF(ISNUMBER(B1233),YEAR(B1233)*100+MONTH(B1233),"")</f>
        <v/>
      </c>
      <c r="L1233">
        <f>IF(ISNUMBER(B1233),INT(B1233),0)</f>
        <v/>
      </c>
    </row>
    <row r="1234">
      <c r="A1234" s="1" t="n"/>
      <c r="B1234" s="17" t="n"/>
      <c r="C1234" s="18" t="n"/>
      <c r="D1234" s="19" t="n"/>
      <c r="E1234" s="23" t="n"/>
      <c r="F1234" s="21" t="n"/>
      <c r="G1234" s="11">
        <f>IF(C1234="","",IFERROR(INDEX(Crops!$D$6:$D$65,MATCH(C1234,Crops!$B$6:$B$65,0))&amp;"",""))</f>
        <v/>
      </c>
      <c r="H1234" s="12">
        <f>IF(OR(C1234="",NOT(ISNUMBER(E1234))),"",E1234*N(IFERROR(INDEX(Crops!$E$6:$E$65,MATCH(C1234,Crops!$B$6:$B$65,0)),0)))</f>
        <v/>
      </c>
      <c r="I1234" s="11">
        <f>IF(AND(C1234="",E1234=""),"",IF(NOT(ISNUMBER(B1234)),"Needs a date",IF(C1234="","Needs a crop",IF(COUNTIF(Crops!$B$6:$B$65,C1234)=0,"Not on Crops",IF(NOT(ISNUMBER(E1234)),"Needs the amount",IF(AND(D1234&lt;&gt;"",COUNTIF(Beds!$B$6:$B$35,D1234)=0),"Not on Beds",""))))))</f>
        <v/>
      </c>
      <c r="J1234" s="1">
        <f>IF(ISNUMBER(B1234),YEAR(B1234),"")</f>
        <v/>
      </c>
      <c r="K1234">
        <f>IF(ISNUMBER(B1234),YEAR(B1234)*100+MONTH(B1234),"")</f>
        <v/>
      </c>
      <c r="L1234">
        <f>IF(ISNUMBER(B1234),INT(B1234),0)</f>
        <v/>
      </c>
    </row>
    <row r="1235">
      <c r="A1235" s="1" t="n"/>
      <c r="B1235" s="17" t="n"/>
      <c r="C1235" s="18" t="n"/>
      <c r="D1235" s="19" t="n"/>
      <c r="E1235" s="23" t="n"/>
      <c r="F1235" s="21" t="n"/>
      <c r="G1235" s="11">
        <f>IF(C1235="","",IFERROR(INDEX(Crops!$D$6:$D$65,MATCH(C1235,Crops!$B$6:$B$65,0))&amp;"",""))</f>
        <v/>
      </c>
      <c r="H1235" s="12">
        <f>IF(OR(C1235="",NOT(ISNUMBER(E1235))),"",E1235*N(IFERROR(INDEX(Crops!$E$6:$E$65,MATCH(C1235,Crops!$B$6:$B$65,0)),0)))</f>
        <v/>
      </c>
      <c r="I1235" s="11">
        <f>IF(AND(C1235="",E1235=""),"",IF(NOT(ISNUMBER(B1235)),"Needs a date",IF(C1235="","Needs a crop",IF(COUNTIF(Crops!$B$6:$B$65,C1235)=0,"Not on Crops",IF(NOT(ISNUMBER(E1235)),"Needs the amount",IF(AND(D1235&lt;&gt;"",COUNTIF(Beds!$B$6:$B$35,D1235)=0),"Not on Beds",""))))))</f>
        <v/>
      </c>
      <c r="J1235" s="1">
        <f>IF(ISNUMBER(B1235),YEAR(B1235),"")</f>
        <v/>
      </c>
      <c r="K1235">
        <f>IF(ISNUMBER(B1235),YEAR(B1235)*100+MONTH(B1235),"")</f>
        <v/>
      </c>
      <c r="L1235">
        <f>IF(ISNUMBER(B1235),INT(B1235),0)</f>
        <v/>
      </c>
    </row>
    <row r="1236">
      <c r="A1236" s="1" t="n"/>
      <c r="B1236" s="17" t="n"/>
      <c r="C1236" s="18" t="n"/>
      <c r="D1236" s="19" t="n"/>
      <c r="E1236" s="23" t="n"/>
      <c r="F1236" s="21" t="n"/>
      <c r="G1236" s="11">
        <f>IF(C1236="","",IFERROR(INDEX(Crops!$D$6:$D$65,MATCH(C1236,Crops!$B$6:$B$65,0))&amp;"",""))</f>
        <v/>
      </c>
      <c r="H1236" s="12">
        <f>IF(OR(C1236="",NOT(ISNUMBER(E1236))),"",E1236*N(IFERROR(INDEX(Crops!$E$6:$E$65,MATCH(C1236,Crops!$B$6:$B$65,0)),0)))</f>
        <v/>
      </c>
      <c r="I1236" s="11">
        <f>IF(AND(C1236="",E1236=""),"",IF(NOT(ISNUMBER(B1236)),"Needs a date",IF(C1236="","Needs a crop",IF(COUNTIF(Crops!$B$6:$B$65,C1236)=0,"Not on Crops",IF(NOT(ISNUMBER(E1236)),"Needs the amount",IF(AND(D1236&lt;&gt;"",COUNTIF(Beds!$B$6:$B$35,D1236)=0),"Not on Beds",""))))))</f>
        <v/>
      </c>
      <c r="J1236" s="1">
        <f>IF(ISNUMBER(B1236),YEAR(B1236),"")</f>
        <v/>
      </c>
      <c r="K1236">
        <f>IF(ISNUMBER(B1236),YEAR(B1236)*100+MONTH(B1236),"")</f>
        <v/>
      </c>
      <c r="L1236">
        <f>IF(ISNUMBER(B1236),INT(B1236),0)</f>
        <v/>
      </c>
    </row>
    <row r="1237">
      <c r="A1237" s="1" t="n"/>
      <c r="B1237" s="17" t="n"/>
      <c r="C1237" s="18" t="n"/>
      <c r="D1237" s="19" t="n"/>
      <c r="E1237" s="23" t="n"/>
      <c r="F1237" s="21" t="n"/>
      <c r="G1237" s="11">
        <f>IF(C1237="","",IFERROR(INDEX(Crops!$D$6:$D$65,MATCH(C1237,Crops!$B$6:$B$65,0))&amp;"",""))</f>
        <v/>
      </c>
      <c r="H1237" s="12">
        <f>IF(OR(C1237="",NOT(ISNUMBER(E1237))),"",E1237*N(IFERROR(INDEX(Crops!$E$6:$E$65,MATCH(C1237,Crops!$B$6:$B$65,0)),0)))</f>
        <v/>
      </c>
      <c r="I1237" s="11">
        <f>IF(AND(C1237="",E1237=""),"",IF(NOT(ISNUMBER(B1237)),"Needs a date",IF(C1237="","Needs a crop",IF(COUNTIF(Crops!$B$6:$B$65,C1237)=0,"Not on Crops",IF(NOT(ISNUMBER(E1237)),"Needs the amount",IF(AND(D1237&lt;&gt;"",COUNTIF(Beds!$B$6:$B$35,D1237)=0),"Not on Beds",""))))))</f>
        <v/>
      </c>
      <c r="J1237" s="1">
        <f>IF(ISNUMBER(B1237),YEAR(B1237),"")</f>
        <v/>
      </c>
      <c r="K1237">
        <f>IF(ISNUMBER(B1237),YEAR(B1237)*100+MONTH(B1237),"")</f>
        <v/>
      </c>
      <c r="L1237">
        <f>IF(ISNUMBER(B1237),INT(B1237),0)</f>
        <v/>
      </c>
    </row>
    <row r="1238">
      <c r="A1238" s="1" t="n"/>
      <c r="B1238" s="17" t="n"/>
      <c r="C1238" s="18" t="n"/>
      <c r="D1238" s="19" t="n"/>
      <c r="E1238" s="23" t="n"/>
      <c r="F1238" s="21" t="n"/>
      <c r="G1238" s="11">
        <f>IF(C1238="","",IFERROR(INDEX(Crops!$D$6:$D$65,MATCH(C1238,Crops!$B$6:$B$65,0))&amp;"",""))</f>
        <v/>
      </c>
      <c r="H1238" s="12">
        <f>IF(OR(C1238="",NOT(ISNUMBER(E1238))),"",E1238*N(IFERROR(INDEX(Crops!$E$6:$E$65,MATCH(C1238,Crops!$B$6:$B$65,0)),0)))</f>
        <v/>
      </c>
      <c r="I1238" s="11">
        <f>IF(AND(C1238="",E1238=""),"",IF(NOT(ISNUMBER(B1238)),"Needs a date",IF(C1238="","Needs a crop",IF(COUNTIF(Crops!$B$6:$B$65,C1238)=0,"Not on Crops",IF(NOT(ISNUMBER(E1238)),"Needs the amount",IF(AND(D1238&lt;&gt;"",COUNTIF(Beds!$B$6:$B$35,D1238)=0),"Not on Beds",""))))))</f>
        <v/>
      </c>
      <c r="J1238" s="1">
        <f>IF(ISNUMBER(B1238),YEAR(B1238),"")</f>
        <v/>
      </c>
      <c r="K1238">
        <f>IF(ISNUMBER(B1238),YEAR(B1238)*100+MONTH(B1238),"")</f>
        <v/>
      </c>
      <c r="L1238">
        <f>IF(ISNUMBER(B1238),INT(B1238),0)</f>
        <v/>
      </c>
    </row>
    <row r="1239">
      <c r="A1239" s="1" t="n"/>
      <c r="B1239" s="17" t="n"/>
      <c r="C1239" s="18" t="n"/>
      <c r="D1239" s="19" t="n"/>
      <c r="E1239" s="23" t="n"/>
      <c r="F1239" s="21" t="n"/>
      <c r="G1239" s="11">
        <f>IF(C1239="","",IFERROR(INDEX(Crops!$D$6:$D$65,MATCH(C1239,Crops!$B$6:$B$65,0))&amp;"",""))</f>
        <v/>
      </c>
      <c r="H1239" s="12">
        <f>IF(OR(C1239="",NOT(ISNUMBER(E1239))),"",E1239*N(IFERROR(INDEX(Crops!$E$6:$E$65,MATCH(C1239,Crops!$B$6:$B$65,0)),0)))</f>
        <v/>
      </c>
      <c r="I1239" s="11">
        <f>IF(AND(C1239="",E1239=""),"",IF(NOT(ISNUMBER(B1239)),"Needs a date",IF(C1239="","Needs a crop",IF(COUNTIF(Crops!$B$6:$B$65,C1239)=0,"Not on Crops",IF(NOT(ISNUMBER(E1239)),"Needs the amount",IF(AND(D1239&lt;&gt;"",COUNTIF(Beds!$B$6:$B$35,D1239)=0),"Not on Beds",""))))))</f>
        <v/>
      </c>
      <c r="J1239" s="1">
        <f>IF(ISNUMBER(B1239),YEAR(B1239),"")</f>
        <v/>
      </c>
      <c r="K1239">
        <f>IF(ISNUMBER(B1239),YEAR(B1239)*100+MONTH(B1239),"")</f>
        <v/>
      </c>
      <c r="L1239">
        <f>IF(ISNUMBER(B1239),INT(B1239),0)</f>
        <v/>
      </c>
    </row>
    <row r="1240">
      <c r="A1240" s="1" t="n"/>
      <c r="B1240" s="17" t="n"/>
      <c r="C1240" s="18" t="n"/>
      <c r="D1240" s="19" t="n"/>
      <c r="E1240" s="23" t="n"/>
      <c r="F1240" s="21" t="n"/>
      <c r="G1240" s="11">
        <f>IF(C1240="","",IFERROR(INDEX(Crops!$D$6:$D$65,MATCH(C1240,Crops!$B$6:$B$65,0))&amp;"",""))</f>
        <v/>
      </c>
      <c r="H1240" s="12">
        <f>IF(OR(C1240="",NOT(ISNUMBER(E1240))),"",E1240*N(IFERROR(INDEX(Crops!$E$6:$E$65,MATCH(C1240,Crops!$B$6:$B$65,0)),0)))</f>
        <v/>
      </c>
      <c r="I1240" s="11">
        <f>IF(AND(C1240="",E1240=""),"",IF(NOT(ISNUMBER(B1240)),"Needs a date",IF(C1240="","Needs a crop",IF(COUNTIF(Crops!$B$6:$B$65,C1240)=0,"Not on Crops",IF(NOT(ISNUMBER(E1240)),"Needs the amount",IF(AND(D1240&lt;&gt;"",COUNTIF(Beds!$B$6:$B$35,D1240)=0),"Not on Beds",""))))))</f>
        <v/>
      </c>
      <c r="J1240" s="1">
        <f>IF(ISNUMBER(B1240),YEAR(B1240),"")</f>
        <v/>
      </c>
      <c r="K1240">
        <f>IF(ISNUMBER(B1240),YEAR(B1240)*100+MONTH(B1240),"")</f>
        <v/>
      </c>
      <c r="L1240">
        <f>IF(ISNUMBER(B1240),INT(B1240),0)</f>
        <v/>
      </c>
    </row>
    <row r="1241">
      <c r="A1241" s="1" t="n"/>
      <c r="B1241" s="17" t="n"/>
      <c r="C1241" s="18" t="n"/>
      <c r="D1241" s="19" t="n"/>
      <c r="E1241" s="23" t="n"/>
      <c r="F1241" s="21" t="n"/>
      <c r="G1241" s="11">
        <f>IF(C1241="","",IFERROR(INDEX(Crops!$D$6:$D$65,MATCH(C1241,Crops!$B$6:$B$65,0))&amp;"",""))</f>
        <v/>
      </c>
      <c r="H1241" s="12">
        <f>IF(OR(C1241="",NOT(ISNUMBER(E1241))),"",E1241*N(IFERROR(INDEX(Crops!$E$6:$E$65,MATCH(C1241,Crops!$B$6:$B$65,0)),0)))</f>
        <v/>
      </c>
      <c r="I1241" s="11">
        <f>IF(AND(C1241="",E1241=""),"",IF(NOT(ISNUMBER(B1241)),"Needs a date",IF(C1241="","Needs a crop",IF(COUNTIF(Crops!$B$6:$B$65,C1241)=0,"Not on Crops",IF(NOT(ISNUMBER(E1241)),"Needs the amount",IF(AND(D1241&lt;&gt;"",COUNTIF(Beds!$B$6:$B$35,D1241)=0),"Not on Beds",""))))))</f>
        <v/>
      </c>
      <c r="J1241" s="1">
        <f>IF(ISNUMBER(B1241),YEAR(B1241),"")</f>
        <v/>
      </c>
      <c r="K1241">
        <f>IF(ISNUMBER(B1241),YEAR(B1241)*100+MONTH(B1241),"")</f>
        <v/>
      </c>
      <c r="L1241">
        <f>IF(ISNUMBER(B1241),INT(B1241),0)</f>
        <v/>
      </c>
    </row>
    <row r="1242">
      <c r="A1242" s="1" t="n"/>
      <c r="B1242" s="17" t="n"/>
      <c r="C1242" s="18" t="n"/>
      <c r="D1242" s="19" t="n"/>
      <c r="E1242" s="23" t="n"/>
      <c r="F1242" s="21" t="n"/>
      <c r="G1242" s="11">
        <f>IF(C1242="","",IFERROR(INDEX(Crops!$D$6:$D$65,MATCH(C1242,Crops!$B$6:$B$65,0))&amp;"",""))</f>
        <v/>
      </c>
      <c r="H1242" s="12">
        <f>IF(OR(C1242="",NOT(ISNUMBER(E1242))),"",E1242*N(IFERROR(INDEX(Crops!$E$6:$E$65,MATCH(C1242,Crops!$B$6:$B$65,0)),0)))</f>
        <v/>
      </c>
      <c r="I1242" s="11">
        <f>IF(AND(C1242="",E1242=""),"",IF(NOT(ISNUMBER(B1242)),"Needs a date",IF(C1242="","Needs a crop",IF(COUNTIF(Crops!$B$6:$B$65,C1242)=0,"Not on Crops",IF(NOT(ISNUMBER(E1242)),"Needs the amount",IF(AND(D1242&lt;&gt;"",COUNTIF(Beds!$B$6:$B$35,D1242)=0),"Not on Beds",""))))))</f>
        <v/>
      </c>
      <c r="J1242" s="1">
        <f>IF(ISNUMBER(B1242),YEAR(B1242),"")</f>
        <v/>
      </c>
      <c r="K1242">
        <f>IF(ISNUMBER(B1242),YEAR(B1242)*100+MONTH(B1242),"")</f>
        <v/>
      </c>
      <c r="L1242">
        <f>IF(ISNUMBER(B1242),INT(B1242),0)</f>
        <v/>
      </c>
    </row>
    <row r="1243">
      <c r="A1243" s="1" t="n"/>
      <c r="B1243" s="17" t="n"/>
      <c r="C1243" s="18" t="n"/>
      <c r="D1243" s="19" t="n"/>
      <c r="E1243" s="23" t="n"/>
      <c r="F1243" s="21" t="n"/>
      <c r="G1243" s="11">
        <f>IF(C1243="","",IFERROR(INDEX(Crops!$D$6:$D$65,MATCH(C1243,Crops!$B$6:$B$65,0))&amp;"",""))</f>
        <v/>
      </c>
      <c r="H1243" s="12">
        <f>IF(OR(C1243="",NOT(ISNUMBER(E1243))),"",E1243*N(IFERROR(INDEX(Crops!$E$6:$E$65,MATCH(C1243,Crops!$B$6:$B$65,0)),0)))</f>
        <v/>
      </c>
      <c r="I1243" s="11">
        <f>IF(AND(C1243="",E1243=""),"",IF(NOT(ISNUMBER(B1243)),"Needs a date",IF(C1243="","Needs a crop",IF(COUNTIF(Crops!$B$6:$B$65,C1243)=0,"Not on Crops",IF(NOT(ISNUMBER(E1243)),"Needs the amount",IF(AND(D1243&lt;&gt;"",COUNTIF(Beds!$B$6:$B$35,D1243)=0),"Not on Beds",""))))))</f>
        <v/>
      </c>
      <c r="J1243" s="1">
        <f>IF(ISNUMBER(B1243),YEAR(B1243),"")</f>
        <v/>
      </c>
      <c r="K1243">
        <f>IF(ISNUMBER(B1243),YEAR(B1243)*100+MONTH(B1243),"")</f>
        <v/>
      </c>
      <c r="L1243">
        <f>IF(ISNUMBER(B1243),INT(B1243),0)</f>
        <v/>
      </c>
    </row>
    <row r="1244">
      <c r="A1244" s="1" t="n"/>
      <c r="B1244" s="17" t="n"/>
      <c r="C1244" s="18" t="n"/>
      <c r="D1244" s="19" t="n"/>
      <c r="E1244" s="23" t="n"/>
      <c r="F1244" s="21" t="n"/>
      <c r="G1244" s="11">
        <f>IF(C1244="","",IFERROR(INDEX(Crops!$D$6:$D$65,MATCH(C1244,Crops!$B$6:$B$65,0))&amp;"",""))</f>
        <v/>
      </c>
      <c r="H1244" s="12">
        <f>IF(OR(C1244="",NOT(ISNUMBER(E1244))),"",E1244*N(IFERROR(INDEX(Crops!$E$6:$E$65,MATCH(C1244,Crops!$B$6:$B$65,0)),0)))</f>
        <v/>
      </c>
      <c r="I1244" s="11">
        <f>IF(AND(C1244="",E1244=""),"",IF(NOT(ISNUMBER(B1244)),"Needs a date",IF(C1244="","Needs a crop",IF(COUNTIF(Crops!$B$6:$B$65,C1244)=0,"Not on Crops",IF(NOT(ISNUMBER(E1244)),"Needs the amount",IF(AND(D1244&lt;&gt;"",COUNTIF(Beds!$B$6:$B$35,D1244)=0),"Not on Beds",""))))))</f>
        <v/>
      </c>
      <c r="J1244" s="1">
        <f>IF(ISNUMBER(B1244),YEAR(B1244),"")</f>
        <v/>
      </c>
      <c r="K1244">
        <f>IF(ISNUMBER(B1244),YEAR(B1244)*100+MONTH(B1244),"")</f>
        <v/>
      </c>
      <c r="L1244">
        <f>IF(ISNUMBER(B1244),INT(B1244),0)</f>
        <v/>
      </c>
    </row>
    <row r="1245">
      <c r="A1245" s="1" t="n"/>
      <c r="B1245" s="17" t="n"/>
      <c r="C1245" s="18" t="n"/>
      <c r="D1245" s="19" t="n"/>
      <c r="E1245" s="23" t="n"/>
      <c r="F1245" s="21" t="n"/>
      <c r="G1245" s="11">
        <f>IF(C1245="","",IFERROR(INDEX(Crops!$D$6:$D$65,MATCH(C1245,Crops!$B$6:$B$65,0))&amp;"",""))</f>
        <v/>
      </c>
      <c r="H1245" s="12">
        <f>IF(OR(C1245="",NOT(ISNUMBER(E1245))),"",E1245*N(IFERROR(INDEX(Crops!$E$6:$E$65,MATCH(C1245,Crops!$B$6:$B$65,0)),0)))</f>
        <v/>
      </c>
      <c r="I1245" s="11">
        <f>IF(AND(C1245="",E1245=""),"",IF(NOT(ISNUMBER(B1245)),"Needs a date",IF(C1245="","Needs a crop",IF(COUNTIF(Crops!$B$6:$B$65,C1245)=0,"Not on Crops",IF(NOT(ISNUMBER(E1245)),"Needs the amount",IF(AND(D1245&lt;&gt;"",COUNTIF(Beds!$B$6:$B$35,D1245)=0),"Not on Beds",""))))))</f>
        <v/>
      </c>
      <c r="J1245" s="1">
        <f>IF(ISNUMBER(B1245),YEAR(B1245),"")</f>
        <v/>
      </c>
      <c r="K1245">
        <f>IF(ISNUMBER(B1245),YEAR(B1245)*100+MONTH(B1245),"")</f>
        <v/>
      </c>
      <c r="L1245">
        <f>IF(ISNUMBER(B1245),INT(B1245),0)</f>
        <v/>
      </c>
    </row>
    <row r="1246">
      <c r="A1246" s="1" t="n"/>
      <c r="B1246" s="17" t="n"/>
      <c r="C1246" s="18" t="n"/>
      <c r="D1246" s="19" t="n"/>
      <c r="E1246" s="23" t="n"/>
      <c r="F1246" s="21" t="n"/>
      <c r="G1246" s="11">
        <f>IF(C1246="","",IFERROR(INDEX(Crops!$D$6:$D$65,MATCH(C1246,Crops!$B$6:$B$65,0))&amp;"",""))</f>
        <v/>
      </c>
      <c r="H1246" s="12">
        <f>IF(OR(C1246="",NOT(ISNUMBER(E1246))),"",E1246*N(IFERROR(INDEX(Crops!$E$6:$E$65,MATCH(C1246,Crops!$B$6:$B$65,0)),0)))</f>
        <v/>
      </c>
      <c r="I1246" s="11">
        <f>IF(AND(C1246="",E1246=""),"",IF(NOT(ISNUMBER(B1246)),"Needs a date",IF(C1246="","Needs a crop",IF(COUNTIF(Crops!$B$6:$B$65,C1246)=0,"Not on Crops",IF(NOT(ISNUMBER(E1246)),"Needs the amount",IF(AND(D1246&lt;&gt;"",COUNTIF(Beds!$B$6:$B$35,D1246)=0),"Not on Beds",""))))))</f>
        <v/>
      </c>
      <c r="J1246" s="1">
        <f>IF(ISNUMBER(B1246),YEAR(B1246),"")</f>
        <v/>
      </c>
      <c r="K1246">
        <f>IF(ISNUMBER(B1246),YEAR(B1246)*100+MONTH(B1246),"")</f>
        <v/>
      </c>
      <c r="L1246">
        <f>IF(ISNUMBER(B1246),INT(B1246),0)</f>
        <v/>
      </c>
    </row>
    <row r="1247">
      <c r="A1247" s="1" t="n"/>
      <c r="B1247" s="17" t="n"/>
      <c r="C1247" s="18" t="n"/>
      <c r="D1247" s="19" t="n"/>
      <c r="E1247" s="23" t="n"/>
      <c r="F1247" s="21" t="n"/>
      <c r="G1247" s="11">
        <f>IF(C1247="","",IFERROR(INDEX(Crops!$D$6:$D$65,MATCH(C1247,Crops!$B$6:$B$65,0))&amp;"",""))</f>
        <v/>
      </c>
      <c r="H1247" s="12">
        <f>IF(OR(C1247="",NOT(ISNUMBER(E1247))),"",E1247*N(IFERROR(INDEX(Crops!$E$6:$E$65,MATCH(C1247,Crops!$B$6:$B$65,0)),0)))</f>
        <v/>
      </c>
      <c r="I1247" s="11">
        <f>IF(AND(C1247="",E1247=""),"",IF(NOT(ISNUMBER(B1247)),"Needs a date",IF(C1247="","Needs a crop",IF(COUNTIF(Crops!$B$6:$B$65,C1247)=0,"Not on Crops",IF(NOT(ISNUMBER(E1247)),"Needs the amount",IF(AND(D1247&lt;&gt;"",COUNTIF(Beds!$B$6:$B$35,D1247)=0),"Not on Beds",""))))))</f>
        <v/>
      </c>
      <c r="J1247" s="1">
        <f>IF(ISNUMBER(B1247),YEAR(B1247),"")</f>
        <v/>
      </c>
      <c r="K1247">
        <f>IF(ISNUMBER(B1247),YEAR(B1247)*100+MONTH(B1247),"")</f>
        <v/>
      </c>
      <c r="L1247">
        <f>IF(ISNUMBER(B1247),INT(B1247),0)</f>
        <v/>
      </c>
    </row>
    <row r="1248">
      <c r="A1248" s="1" t="n"/>
      <c r="B1248" s="17" t="n"/>
      <c r="C1248" s="18" t="n"/>
      <c r="D1248" s="19" t="n"/>
      <c r="E1248" s="23" t="n"/>
      <c r="F1248" s="21" t="n"/>
      <c r="G1248" s="11">
        <f>IF(C1248="","",IFERROR(INDEX(Crops!$D$6:$D$65,MATCH(C1248,Crops!$B$6:$B$65,0))&amp;"",""))</f>
        <v/>
      </c>
      <c r="H1248" s="12">
        <f>IF(OR(C1248="",NOT(ISNUMBER(E1248))),"",E1248*N(IFERROR(INDEX(Crops!$E$6:$E$65,MATCH(C1248,Crops!$B$6:$B$65,0)),0)))</f>
        <v/>
      </c>
      <c r="I1248" s="11">
        <f>IF(AND(C1248="",E1248=""),"",IF(NOT(ISNUMBER(B1248)),"Needs a date",IF(C1248="","Needs a crop",IF(COUNTIF(Crops!$B$6:$B$65,C1248)=0,"Not on Crops",IF(NOT(ISNUMBER(E1248)),"Needs the amount",IF(AND(D1248&lt;&gt;"",COUNTIF(Beds!$B$6:$B$35,D1248)=0),"Not on Beds",""))))))</f>
        <v/>
      </c>
      <c r="J1248" s="1">
        <f>IF(ISNUMBER(B1248),YEAR(B1248),"")</f>
        <v/>
      </c>
      <c r="K1248">
        <f>IF(ISNUMBER(B1248),YEAR(B1248)*100+MONTH(B1248),"")</f>
        <v/>
      </c>
      <c r="L1248">
        <f>IF(ISNUMBER(B1248),INT(B1248),0)</f>
        <v/>
      </c>
    </row>
    <row r="1249">
      <c r="A1249" s="1" t="n"/>
      <c r="B1249" s="17" t="n"/>
      <c r="C1249" s="18" t="n"/>
      <c r="D1249" s="19" t="n"/>
      <c r="E1249" s="23" t="n"/>
      <c r="F1249" s="21" t="n"/>
      <c r="G1249" s="11">
        <f>IF(C1249="","",IFERROR(INDEX(Crops!$D$6:$D$65,MATCH(C1249,Crops!$B$6:$B$65,0))&amp;"",""))</f>
        <v/>
      </c>
      <c r="H1249" s="12">
        <f>IF(OR(C1249="",NOT(ISNUMBER(E1249))),"",E1249*N(IFERROR(INDEX(Crops!$E$6:$E$65,MATCH(C1249,Crops!$B$6:$B$65,0)),0)))</f>
        <v/>
      </c>
      <c r="I1249" s="11">
        <f>IF(AND(C1249="",E1249=""),"",IF(NOT(ISNUMBER(B1249)),"Needs a date",IF(C1249="","Needs a crop",IF(COUNTIF(Crops!$B$6:$B$65,C1249)=0,"Not on Crops",IF(NOT(ISNUMBER(E1249)),"Needs the amount",IF(AND(D1249&lt;&gt;"",COUNTIF(Beds!$B$6:$B$35,D1249)=0),"Not on Beds",""))))))</f>
        <v/>
      </c>
      <c r="J1249" s="1">
        <f>IF(ISNUMBER(B1249),YEAR(B1249),"")</f>
        <v/>
      </c>
      <c r="K1249">
        <f>IF(ISNUMBER(B1249),YEAR(B1249)*100+MONTH(B1249),"")</f>
        <v/>
      </c>
      <c r="L1249">
        <f>IF(ISNUMBER(B1249),INT(B1249),0)</f>
        <v/>
      </c>
    </row>
    <row r="1250">
      <c r="A1250" s="1" t="n"/>
      <c r="B1250" s="17" t="n"/>
      <c r="C1250" s="18" t="n"/>
      <c r="D1250" s="19" t="n"/>
      <c r="E1250" s="23" t="n"/>
      <c r="F1250" s="21" t="n"/>
      <c r="G1250" s="11">
        <f>IF(C1250="","",IFERROR(INDEX(Crops!$D$6:$D$65,MATCH(C1250,Crops!$B$6:$B$65,0))&amp;"",""))</f>
        <v/>
      </c>
      <c r="H1250" s="12">
        <f>IF(OR(C1250="",NOT(ISNUMBER(E1250))),"",E1250*N(IFERROR(INDEX(Crops!$E$6:$E$65,MATCH(C1250,Crops!$B$6:$B$65,0)),0)))</f>
        <v/>
      </c>
      <c r="I1250" s="11">
        <f>IF(AND(C1250="",E1250=""),"",IF(NOT(ISNUMBER(B1250)),"Needs a date",IF(C1250="","Needs a crop",IF(COUNTIF(Crops!$B$6:$B$65,C1250)=0,"Not on Crops",IF(NOT(ISNUMBER(E1250)),"Needs the amount",IF(AND(D1250&lt;&gt;"",COUNTIF(Beds!$B$6:$B$35,D1250)=0),"Not on Beds",""))))))</f>
        <v/>
      </c>
      <c r="J1250" s="1">
        <f>IF(ISNUMBER(B1250),YEAR(B1250),"")</f>
        <v/>
      </c>
      <c r="K1250">
        <f>IF(ISNUMBER(B1250),YEAR(B1250)*100+MONTH(B1250),"")</f>
        <v/>
      </c>
      <c r="L1250">
        <f>IF(ISNUMBER(B1250),INT(B1250),0)</f>
        <v/>
      </c>
    </row>
    <row r="1251">
      <c r="A1251" s="1" t="n"/>
      <c r="B1251" s="17" t="n"/>
      <c r="C1251" s="18" t="n"/>
      <c r="D1251" s="19" t="n"/>
      <c r="E1251" s="23" t="n"/>
      <c r="F1251" s="21" t="n"/>
      <c r="G1251" s="11">
        <f>IF(C1251="","",IFERROR(INDEX(Crops!$D$6:$D$65,MATCH(C1251,Crops!$B$6:$B$65,0))&amp;"",""))</f>
        <v/>
      </c>
      <c r="H1251" s="12">
        <f>IF(OR(C1251="",NOT(ISNUMBER(E1251))),"",E1251*N(IFERROR(INDEX(Crops!$E$6:$E$65,MATCH(C1251,Crops!$B$6:$B$65,0)),0)))</f>
        <v/>
      </c>
      <c r="I1251" s="11">
        <f>IF(AND(C1251="",E1251=""),"",IF(NOT(ISNUMBER(B1251)),"Needs a date",IF(C1251="","Needs a crop",IF(COUNTIF(Crops!$B$6:$B$65,C1251)=0,"Not on Crops",IF(NOT(ISNUMBER(E1251)),"Needs the amount",IF(AND(D1251&lt;&gt;"",COUNTIF(Beds!$B$6:$B$35,D1251)=0),"Not on Beds",""))))))</f>
        <v/>
      </c>
      <c r="J1251" s="1">
        <f>IF(ISNUMBER(B1251),YEAR(B1251),"")</f>
        <v/>
      </c>
      <c r="K1251">
        <f>IF(ISNUMBER(B1251),YEAR(B1251)*100+MONTH(B1251),"")</f>
        <v/>
      </c>
      <c r="L1251">
        <f>IF(ISNUMBER(B1251),INT(B1251),0)</f>
        <v/>
      </c>
    </row>
    <row r="1252">
      <c r="A1252" s="1" t="n"/>
      <c r="B1252" s="17" t="n"/>
      <c r="C1252" s="18" t="n"/>
      <c r="D1252" s="19" t="n"/>
      <c r="E1252" s="23" t="n"/>
      <c r="F1252" s="21" t="n"/>
      <c r="G1252" s="11">
        <f>IF(C1252="","",IFERROR(INDEX(Crops!$D$6:$D$65,MATCH(C1252,Crops!$B$6:$B$65,0))&amp;"",""))</f>
        <v/>
      </c>
      <c r="H1252" s="12">
        <f>IF(OR(C1252="",NOT(ISNUMBER(E1252))),"",E1252*N(IFERROR(INDEX(Crops!$E$6:$E$65,MATCH(C1252,Crops!$B$6:$B$65,0)),0)))</f>
        <v/>
      </c>
      <c r="I1252" s="11">
        <f>IF(AND(C1252="",E1252=""),"",IF(NOT(ISNUMBER(B1252)),"Needs a date",IF(C1252="","Needs a crop",IF(COUNTIF(Crops!$B$6:$B$65,C1252)=0,"Not on Crops",IF(NOT(ISNUMBER(E1252)),"Needs the amount",IF(AND(D1252&lt;&gt;"",COUNTIF(Beds!$B$6:$B$35,D1252)=0),"Not on Beds",""))))))</f>
        <v/>
      </c>
      <c r="J1252" s="1">
        <f>IF(ISNUMBER(B1252),YEAR(B1252),"")</f>
        <v/>
      </c>
      <c r="K1252">
        <f>IF(ISNUMBER(B1252),YEAR(B1252)*100+MONTH(B1252),"")</f>
        <v/>
      </c>
      <c r="L1252">
        <f>IF(ISNUMBER(B1252),INT(B1252),0)</f>
        <v/>
      </c>
    </row>
    <row r="1253">
      <c r="A1253" s="1" t="n"/>
      <c r="B1253" s="17" t="n"/>
      <c r="C1253" s="18" t="n"/>
      <c r="D1253" s="19" t="n"/>
      <c r="E1253" s="23" t="n"/>
      <c r="F1253" s="21" t="n"/>
      <c r="G1253" s="11">
        <f>IF(C1253="","",IFERROR(INDEX(Crops!$D$6:$D$65,MATCH(C1253,Crops!$B$6:$B$65,0))&amp;"",""))</f>
        <v/>
      </c>
      <c r="H1253" s="12">
        <f>IF(OR(C1253="",NOT(ISNUMBER(E1253))),"",E1253*N(IFERROR(INDEX(Crops!$E$6:$E$65,MATCH(C1253,Crops!$B$6:$B$65,0)),0)))</f>
        <v/>
      </c>
      <c r="I1253" s="11">
        <f>IF(AND(C1253="",E1253=""),"",IF(NOT(ISNUMBER(B1253)),"Needs a date",IF(C1253="","Needs a crop",IF(COUNTIF(Crops!$B$6:$B$65,C1253)=0,"Not on Crops",IF(NOT(ISNUMBER(E1253)),"Needs the amount",IF(AND(D1253&lt;&gt;"",COUNTIF(Beds!$B$6:$B$35,D1253)=0),"Not on Beds",""))))))</f>
        <v/>
      </c>
      <c r="J1253" s="1">
        <f>IF(ISNUMBER(B1253),YEAR(B1253),"")</f>
        <v/>
      </c>
      <c r="K1253">
        <f>IF(ISNUMBER(B1253),YEAR(B1253)*100+MONTH(B1253),"")</f>
        <v/>
      </c>
      <c r="L1253">
        <f>IF(ISNUMBER(B1253),INT(B1253),0)</f>
        <v/>
      </c>
    </row>
    <row r="1254">
      <c r="A1254" s="1" t="n"/>
      <c r="B1254" s="17" t="n"/>
      <c r="C1254" s="18" t="n"/>
      <c r="D1254" s="19" t="n"/>
      <c r="E1254" s="23" t="n"/>
      <c r="F1254" s="21" t="n"/>
      <c r="G1254" s="11">
        <f>IF(C1254="","",IFERROR(INDEX(Crops!$D$6:$D$65,MATCH(C1254,Crops!$B$6:$B$65,0))&amp;"",""))</f>
        <v/>
      </c>
      <c r="H1254" s="12">
        <f>IF(OR(C1254="",NOT(ISNUMBER(E1254))),"",E1254*N(IFERROR(INDEX(Crops!$E$6:$E$65,MATCH(C1254,Crops!$B$6:$B$65,0)),0)))</f>
        <v/>
      </c>
      <c r="I1254" s="11">
        <f>IF(AND(C1254="",E1254=""),"",IF(NOT(ISNUMBER(B1254)),"Needs a date",IF(C1254="","Needs a crop",IF(COUNTIF(Crops!$B$6:$B$65,C1254)=0,"Not on Crops",IF(NOT(ISNUMBER(E1254)),"Needs the amount",IF(AND(D1254&lt;&gt;"",COUNTIF(Beds!$B$6:$B$35,D1254)=0),"Not on Beds",""))))))</f>
        <v/>
      </c>
      <c r="J1254" s="1">
        <f>IF(ISNUMBER(B1254),YEAR(B1254),"")</f>
        <v/>
      </c>
      <c r="K1254">
        <f>IF(ISNUMBER(B1254),YEAR(B1254)*100+MONTH(B1254),"")</f>
        <v/>
      </c>
      <c r="L1254">
        <f>IF(ISNUMBER(B1254),INT(B1254),0)</f>
        <v/>
      </c>
    </row>
    <row r="1255">
      <c r="A1255" s="1" t="n"/>
      <c r="B1255" s="17" t="n"/>
      <c r="C1255" s="18" t="n"/>
      <c r="D1255" s="19" t="n"/>
      <c r="E1255" s="23" t="n"/>
      <c r="F1255" s="21" t="n"/>
      <c r="G1255" s="11">
        <f>IF(C1255="","",IFERROR(INDEX(Crops!$D$6:$D$65,MATCH(C1255,Crops!$B$6:$B$65,0))&amp;"",""))</f>
        <v/>
      </c>
      <c r="H1255" s="12">
        <f>IF(OR(C1255="",NOT(ISNUMBER(E1255))),"",E1255*N(IFERROR(INDEX(Crops!$E$6:$E$65,MATCH(C1255,Crops!$B$6:$B$65,0)),0)))</f>
        <v/>
      </c>
      <c r="I1255" s="11">
        <f>IF(AND(C1255="",E1255=""),"",IF(NOT(ISNUMBER(B1255)),"Needs a date",IF(C1255="","Needs a crop",IF(COUNTIF(Crops!$B$6:$B$65,C1255)=0,"Not on Crops",IF(NOT(ISNUMBER(E1255)),"Needs the amount",IF(AND(D1255&lt;&gt;"",COUNTIF(Beds!$B$6:$B$35,D1255)=0),"Not on Beds",""))))))</f>
        <v/>
      </c>
      <c r="J1255" s="1">
        <f>IF(ISNUMBER(B1255),YEAR(B1255),"")</f>
        <v/>
      </c>
      <c r="K1255">
        <f>IF(ISNUMBER(B1255),YEAR(B1255)*100+MONTH(B1255),"")</f>
        <v/>
      </c>
      <c r="L1255">
        <f>IF(ISNUMBER(B1255),INT(B1255),0)</f>
        <v/>
      </c>
    </row>
    <row r="1256">
      <c r="A1256" s="1" t="n"/>
      <c r="B1256" s="17" t="n"/>
      <c r="C1256" s="18" t="n"/>
      <c r="D1256" s="19" t="n"/>
      <c r="E1256" s="23" t="n"/>
      <c r="F1256" s="21" t="n"/>
      <c r="G1256" s="11">
        <f>IF(C1256="","",IFERROR(INDEX(Crops!$D$6:$D$65,MATCH(C1256,Crops!$B$6:$B$65,0))&amp;"",""))</f>
        <v/>
      </c>
      <c r="H1256" s="12">
        <f>IF(OR(C1256="",NOT(ISNUMBER(E1256))),"",E1256*N(IFERROR(INDEX(Crops!$E$6:$E$65,MATCH(C1256,Crops!$B$6:$B$65,0)),0)))</f>
        <v/>
      </c>
      <c r="I1256" s="11">
        <f>IF(AND(C1256="",E1256=""),"",IF(NOT(ISNUMBER(B1256)),"Needs a date",IF(C1256="","Needs a crop",IF(COUNTIF(Crops!$B$6:$B$65,C1256)=0,"Not on Crops",IF(NOT(ISNUMBER(E1256)),"Needs the amount",IF(AND(D1256&lt;&gt;"",COUNTIF(Beds!$B$6:$B$35,D1256)=0),"Not on Beds",""))))))</f>
        <v/>
      </c>
      <c r="J1256" s="1">
        <f>IF(ISNUMBER(B1256),YEAR(B1256),"")</f>
        <v/>
      </c>
      <c r="K1256">
        <f>IF(ISNUMBER(B1256),YEAR(B1256)*100+MONTH(B1256),"")</f>
        <v/>
      </c>
      <c r="L1256">
        <f>IF(ISNUMBER(B1256),INT(B1256),0)</f>
        <v/>
      </c>
    </row>
    <row r="1257">
      <c r="A1257" s="1" t="n"/>
      <c r="B1257" s="17" t="n"/>
      <c r="C1257" s="18" t="n"/>
      <c r="D1257" s="19" t="n"/>
      <c r="E1257" s="23" t="n"/>
      <c r="F1257" s="21" t="n"/>
      <c r="G1257" s="11">
        <f>IF(C1257="","",IFERROR(INDEX(Crops!$D$6:$D$65,MATCH(C1257,Crops!$B$6:$B$65,0))&amp;"",""))</f>
        <v/>
      </c>
      <c r="H1257" s="12">
        <f>IF(OR(C1257="",NOT(ISNUMBER(E1257))),"",E1257*N(IFERROR(INDEX(Crops!$E$6:$E$65,MATCH(C1257,Crops!$B$6:$B$65,0)),0)))</f>
        <v/>
      </c>
      <c r="I1257" s="11">
        <f>IF(AND(C1257="",E1257=""),"",IF(NOT(ISNUMBER(B1257)),"Needs a date",IF(C1257="","Needs a crop",IF(COUNTIF(Crops!$B$6:$B$65,C1257)=0,"Not on Crops",IF(NOT(ISNUMBER(E1257)),"Needs the amount",IF(AND(D1257&lt;&gt;"",COUNTIF(Beds!$B$6:$B$35,D1257)=0),"Not on Beds",""))))))</f>
        <v/>
      </c>
      <c r="J1257" s="1">
        <f>IF(ISNUMBER(B1257),YEAR(B1257),"")</f>
        <v/>
      </c>
      <c r="K1257">
        <f>IF(ISNUMBER(B1257),YEAR(B1257)*100+MONTH(B1257),"")</f>
        <v/>
      </c>
      <c r="L1257">
        <f>IF(ISNUMBER(B1257),INT(B1257),0)</f>
        <v/>
      </c>
    </row>
    <row r="1258">
      <c r="A1258" s="1" t="n"/>
      <c r="B1258" s="17" t="n"/>
      <c r="C1258" s="18" t="n"/>
      <c r="D1258" s="19" t="n"/>
      <c r="E1258" s="23" t="n"/>
      <c r="F1258" s="21" t="n"/>
      <c r="G1258" s="11">
        <f>IF(C1258="","",IFERROR(INDEX(Crops!$D$6:$D$65,MATCH(C1258,Crops!$B$6:$B$65,0))&amp;"",""))</f>
        <v/>
      </c>
      <c r="H1258" s="12">
        <f>IF(OR(C1258="",NOT(ISNUMBER(E1258))),"",E1258*N(IFERROR(INDEX(Crops!$E$6:$E$65,MATCH(C1258,Crops!$B$6:$B$65,0)),0)))</f>
        <v/>
      </c>
      <c r="I1258" s="11">
        <f>IF(AND(C1258="",E1258=""),"",IF(NOT(ISNUMBER(B1258)),"Needs a date",IF(C1258="","Needs a crop",IF(COUNTIF(Crops!$B$6:$B$65,C1258)=0,"Not on Crops",IF(NOT(ISNUMBER(E1258)),"Needs the amount",IF(AND(D1258&lt;&gt;"",COUNTIF(Beds!$B$6:$B$35,D1258)=0),"Not on Beds",""))))))</f>
        <v/>
      </c>
      <c r="J1258" s="1">
        <f>IF(ISNUMBER(B1258),YEAR(B1258),"")</f>
        <v/>
      </c>
      <c r="K1258">
        <f>IF(ISNUMBER(B1258),YEAR(B1258)*100+MONTH(B1258),"")</f>
        <v/>
      </c>
      <c r="L1258">
        <f>IF(ISNUMBER(B1258),INT(B1258),0)</f>
        <v/>
      </c>
    </row>
    <row r="1259">
      <c r="A1259" s="1" t="n"/>
      <c r="B1259" s="17" t="n"/>
      <c r="C1259" s="18" t="n"/>
      <c r="D1259" s="19" t="n"/>
      <c r="E1259" s="23" t="n"/>
      <c r="F1259" s="21" t="n"/>
      <c r="G1259" s="11">
        <f>IF(C1259="","",IFERROR(INDEX(Crops!$D$6:$D$65,MATCH(C1259,Crops!$B$6:$B$65,0))&amp;"",""))</f>
        <v/>
      </c>
      <c r="H1259" s="12">
        <f>IF(OR(C1259="",NOT(ISNUMBER(E1259))),"",E1259*N(IFERROR(INDEX(Crops!$E$6:$E$65,MATCH(C1259,Crops!$B$6:$B$65,0)),0)))</f>
        <v/>
      </c>
      <c r="I1259" s="11">
        <f>IF(AND(C1259="",E1259=""),"",IF(NOT(ISNUMBER(B1259)),"Needs a date",IF(C1259="","Needs a crop",IF(COUNTIF(Crops!$B$6:$B$65,C1259)=0,"Not on Crops",IF(NOT(ISNUMBER(E1259)),"Needs the amount",IF(AND(D1259&lt;&gt;"",COUNTIF(Beds!$B$6:$B$35,D1259)=0),"Not on Beds",""))))))</f>
        <v/>
      </c>
      <c r="J1259" s="1">
        <f>IF(ISNUMBER(B1259),YEAR(B1259),"")</f>
        <v/>
      </c>
      <c r="K1259">
        <f>IF(ISNUMBER(B1259),YEAR(B1259)*100+MONTH(B1259),"")</f>
        <v/>
      </c>
      <c r="L1259">
        <f>IF(ISNUMBER(B1259),INT(B1259),0)</f>
        <v/>
      </c>
    </row>
    <row r="1260">
      <c r="A1260" s="1" t="n"/>
      <c r="B1260" s="17" t="n"/>
      <c r="C1260" s="18" t="n"/>
      <c r="D1260" s="19" t="n"/>
      <c r="E1260" s="23" t="n"/>
      <c r="F1260" s="21" t="n"/>
      <c r="G1260" s="11">
        <f>IF(C1260="","",IFERROR(INDEX(Crops!$D$6:$D$65,MATCH(C1260,Crops!$B$6:$B$65,0))&amp;"",""))</f>
        <v/>
      </c>
      <c r="H1260" s="12">
        <f>IF(OR(C1260="",NOT(ISNUMBER(E1260))),"",E1260*N(IFERROR(INDEX(Crops!$E$6:$E$65,MATCH(C1260,Crops!$B$6:$B$65,0)),0)))</f>
        <v/>
      </c>
      <c r="I1260" s="11">
        <f>IF(AND(C1260="",E1260=""),"",IF(NOT(ISNUMBER(B1260)),"Needs a date",IF(C1260="","Needs a crop",IF(COUNTIF(Crops!$B$6:$B$65,C1260)=0,"Not on Crops",IF(NOT(ISNUMBER(E1260)),"Needs the amount",IF(AND(D1260&lt;&gt;"",COUNTIF(Beds!$B$6:$B$35,D1260)=0),"Not on Beds",""))))))</f>
        <v/>
      </c>
      <c r="J1260" s="1">
        <f>IF(ISNUMBER(B1260),YEAR(B1260),"")</f>
        <v/>
      </c>
      <c r="K1260">
        <f>IF(ISNUMBER(B1260),YEAR(B1260)*100+MONTH(B1260),"")</f>
        <v/>
      </c>
      <c r="L1260">
        <f>IF(ISNUMBER(B1260),INT(B1260),0)</f>
        <v/>
      </c>
    </row>
    <row r="1261">
      <c r="A1261" s="1" t="n"/>
      <c r="B1261" s="17" t="n"/>
      <c r="C1261" s="18" t="n"/>
      <c r="D1261" s="19" t="n"/>
      <c r="E1261" s="23" t="n"/>
      <c r="F1261" s="21" t="n"/>
      <c r="G1261" s="11">
        <f>IF(C1261="","",IFERROR(INDEX(Crops!$D$6:$D$65,MATCH(C1261,Crops!$B$6:$B$65,0))&amp;"",""))</f>
        <v/>
      </c>
      <c r="H1261" s="12">
        <f>IF(OR(C1261="",NOT(ISNUMBER(E1261))),"",E1261*N(IFERROR(INDEX(Crops!$E$6:$E$65,MATCH(C1261,Crops!$B$6:$B$65,0)),0)))</f>
        <v/>
      </c>
      <c r="I1261" s="11">
        <f>IF(AND(C1261="",E1261=""),"",IF(NOT(ISNUMBER(B1261)),"Needs a date",IF(C1261="","Needs a crop",IF(COUNTIF(Crops!$B$6:$B$65,C1261)=0,"Not on Crops",IF(NOT(ISNUMBER(E1261)),"Needs the amount",IF(AND(D1261&lt;&gt;"",COUNTIF(Beds!$B$6:$B$35,D1261)=0),"Not on Beds",""))))))</f>
        <v/>
      </c>
      <c r="J1261" s="1">
        <f>IF(ISNUMBER(B1261),YEAR(B1261),"")</f>
        <v/>
      </c>
      <c r="K1261">
        <f>IF(ISNUMBER(B1261),YEAR(B1261)*100+MONTH(B1261),"")</f>
        <v/>
      </c>
      <c r="L1261">
        <f>IF(ISNUMBER(B1261),INT(B1261),0)</f>
        <v/>
      </c>
    </row>
    <row r="1262">
      <c r="A1262" s="1" t="n"/>
      <c r="B1262" s="17" t="n"/>
      <c r="C1262" s="18" t="n"/>
      <c r="D1262" s="19" t="n"/>
      <c r="E1262" s="23" t="n"/>
      <c r="F1262" s="21" t="n"/>
      <c r="G1262" s="11">
        <f>IF(C1262="","",IFERROR(INDEX(Crops!$D$6:$D$65,MATCH(C1262,Crops!$B$6:$B$65,0))&amp;"",""))</f>
        <v/>
      </c>
      <c r="H1262" s="12">
        <f>IF(OR(C1262="",NOT(ISNUMBER(E1262))),"",E1262*N(IFERROR(INDEX(Crops!$E$6:$E$65,MATCH(C1262,Crops!$B$6:$B$65,0)),0)))</f>
        <v/>
      </c>
      <c r="I1262" s="11">
        <f>IF(AND(C1262="",E1262=""),"",IF(NOT(ISNUMBER(B1262)),"Needs a date",IF(C1262="","Needs a crop",IF(COUNTIF(Crops!$B$6:$B$65,C1262)=0,"Not on Crops",IF(NOT(ISNUMBER(E1262)),"Needs the amount",IF(AND(D1262&lt;&gt;"",COUNTIF(Beds!$B$6:$B$35,D1262)=0),"Not on Beds",""))))))</f>
        <v/>
      </c>
      <c r="J1262" s="1">
        <f>IF(ISNUMBER(B1262),YEAR(B1262),"")</f>
        <v/>
      </c>
      <c r="K1262">
        <f>IF(ISNUMBER(B1262),YEAR(B1262)*100+MONTH(B1262),"")</f>
        <v/>
      </c>
      <c r="L1262">
        <f>IF(ISNUMBER(B1262),INT(B1262),0)</f>
        <v/>
      </c>
    </row>
    <row r="1263">
      <c r="A1263" s="1" t="n"/>
      <c r="B1263" s="17" t="n"/>
      <c r="C1263" s="18" t="n"/>
      <c r="D1263" s="19" t="n"/>
      <c r="E1263" s="23" t="n"/>
      <c r="F1263" s="21" t="n"/>
      <c r="G1263" s="11">
        <f>IF(C1263="","",IFERROR(INDEX(Crops!$D$6:$D$65,MATCH(C1263,Crops!$B$6:$B$65,0))&amp;"",""))</f>
        <v/>
      </c>
      <c r="H1263" s="12">
        <f>IF(OR(C1263="",NOT(ISNUMBER(E1263))),"",E1263*N(IFERROR(INDEX(Crops!$E$6:$E$65,MATCH(C1263,Crops!$B$6:$B$65,0)),0)))</f>
        <v/>
      </c>
      <c r="I1263" s="11">
        <f>IF(AND(C1263="",E1263=""),"",IF(NOT(ISNUMBER(B1263)),"Needs a date",IF(C1263="","Needs a crop",IF(COUNTIF(Crops!$B$6:$B$65,C1263)=0,"Not on Crops",IF(NOT(ISNUMBER(E1263)),"Needs the amount",IF(AND(D1263&lt;&gt;"",COUNTIF(Beds!$B$6:$B$35,D1263)=0),"Not on Beds",""))))))</f>
        <v/>
      </c>
      <c r="J1263" s="1">
        <f>IF(ISNUMBER(B1263),YEAR(B1263),"")</f>
        <v/>
      </c>
      <c r="K1263">
        <f>IF(ISNUMBER(B1263),YEAR(B1263)*100+MONTH(B1263),"")</f>
        <v/>
      </c>
      <c r="L1263">
        <f>IF(ISNUMBER(B1263),INT(B1263),0)</f>
        <v/>
      </c>
    </row>
    <row r="1264">
      <c r="A1264" s="1" t="n"/>
      <c r="B1264" s="17" t="n"/>
      <c r="C1264" s="18" t="n"/>
      <c r="D1264" s="19" t="n"/>
      <c r="E1264" s="23" t="n"/>
      <c r="F1264" s="21" t="n"/>
      <c r="G1264" s="11">
        <f>IF(C1264="","",IFERROR(INDEX(Crops!$D$6:$D$65,MATCH(C1264,Crops!$B$6:$B$65,0))&amp;"",""))</f>
        <v/>
      </c>
      <c r="H1264" s="12">
        <f>IF(OR(C1264="",NOT(ISNUMBER(E1264))),"",E1264*N(IFERROR(INDEX(Crops!$E$6:$E$65,MATCH(C1264,Crops!$B$6:$B$65,0)),0)))</f>
        <v/>
      </c>
      <c r="I1264" s="11">
        <f>IF(AND(C1264="",E1264=""),"",IF(NOT(ISNUMBER(B1264)),"Needs a date",IF(C1264="","Needs a crop",IF(COUNTIF(Crops!$B$6:$B$65,C1264)=0,"Not on Crops",IF(NOT(ISNUMBER(E1264)),"Needs the amount",IF(AND(D1264&lt;&gt;"",COUNTIF(Beds!$B$6:$B$35,D1264)=0),"Not on Beds",""))))))</f>
        <v/>
      </c>
      <c r="J1264" s="1">
        <f>IF(ISNUMBER(B1264),YEAR(B1264),"")</f>
        <v/>
      </c>
      <c r="K1264">
        <f>IF(ISNUMBER(B1264),YEAR(B1264)*100+MONTH(B1264),"")</f>
        <v/>
      </c>
      <c r="L1264">
        <f>IF(ISNUMBER(B1264),INT(B1264),0)</f>
        <v/>
      </c>
    </row>
    <row r="1265">
      <c r="A1265" s="1" t="n"/>
      <c r="B1265" s="17" t="n"/>
      <c r="C1265" s="18" t="n"/>
      <c r="D1265" s="19" t="n"/>
      <c r="E1265" s="23" t="n"/>
      <c r="F1265" s="21" t="n"/>
      <c r="G1265" s="11">
        <f>IF(C1265="","",IFERROR(INDEX(Crops!$D$6:$D$65,MATCH(C1265,Crops!$B$6:$B$65,0))&amp;"",""))</f>
        <v/>
      </c>
      <c r="H1265" s="12">
        <f>IF(OR(C1265="",NOT(ISNUMBER(E1265))),"",E1265*N(IFERROR(INDEX(Crops!$E$6:$E$65,MATCH(C1265,Crops!$B$6:$B$65,0)),0)))</f>
        <v/>
      </c>
      <c r="I1265" s="11">
        <f>IF(AND(C1265="",E1265=""),"",IF(NOT(ISNUMBER(B1265)),"Needs a date",IF(C1265="","Needs a crop",IF(COUNTIF(Crops!$B$6:$B$65,C1265)=0,"Not on Crops",IF(NOT(ISNUMBER(E1265)),"Needs the amount",IF(AND(D1265&lt;&gt;"",COUNTIF(Beds!$B$6:$B$35,D1265)=0),"Not on Beds",""))))))</f>
        <v/>
      </c>
      <c r="J1265" s="1">
        <f>IF(ISNUMBER(B1265),YEAR(B1265),"")</f>
        <v/>
      </c>
      <c r="K1265">
        <f>IF(ISNUMBER(B1265),YEAR(B1265)*100+MONTH(B1265),"")</f>
        <v/>
      </c>
      <c r="L1265">
        <f>IF(ISNUMBER(B1265),INT(B1265),0)</f>
        <v/>
      </c>
    </row>
    <row r="1266">
      <c r="A1266" s="1" t="n"/>
      <c r="B1266" s="17" t="n"/>
      <c r="C1266" s="18" t="n"/>
      <c r="D1266" s="19" t="n"/>
      <c r="E1266" s="23" t="n"/>
      <c r="F1266" s="21" t="n"/>
      <c r="G1266" s="11">
        <f>IF(C1266="","",IFERROR(INDEX(Crops!$D$6:$D$65,MATCH(C1266,Crops!$B$6:$B$65,0))&amp;"",""))</f>
        <v/>
      </c>
      <c r="H1266" s="12">
        <f>IF(OR(C1266="",NOT(ISNUMBER(E1266))),"",E1266*N(IFERROR(INDEX(Crops!$E$6:$E$65,MATCH(C1266,Crops!$B$6:$B$65,0)),0)))</f>
        <v/>
      </c>
      <c r="I1266" s="11">
        <f>IF(AND(C1266="",E1266=""),"",IF(NOT(ISNUMBER(B1266)),"Needs a date",IF(C1266="","Needs a crop",IF(COUNTIF(Crops!$B$6:$B$65,C1266)=0,"Not on Crops",IF(NOT(ISNUMBER(E1266)),"Needs the amount",IF(AND(D1266&lt;&gt;"",COUNTIF(Beds!$B$6:$B$35,D1266)=0),"Not on Beds",""))))))</f>
        <v/>
      </c>
      <c r="J1266" s="1">
        <f>IF(ISNUMBER(B1266),YEAR(B1266),"")</f>
        <v/>
      </c>
      <c r="K1266">
        <f>IF(ISNUMBER(B1266),YEAR(B1266)*100+MONTH(B1266),"")</f>
        <v/>
      </c>
      <c r="L1266">
        <f>IF(ISNUMBER(B1266),INT(B1266),0)</f>
        <v/>
      </c>
    </row>
    <row r="1267">
      <c r="A1267" s="1" t="n"/>
      <c r="B1267" s="17" t="n"/>
      <c r="C1267" s="18" t="n"/>
      <c r="D1267" s="19" t="n"/>
      <c r="E1267" s="23" t="n"/>
      <c r="F1267" s="21" t="n"/>
      <c r="G1267" s="11">
        <f>IF(C1267="","",IFERROR(INDEX(Crops!$D$6:$D$65,MATCH(C1267,Crops!$B$6:$B$65,0))&amp;"",""))</f>
        <v/>
      </c>
      <c r="H1267" s="12">
        <f>IF(OR(C1267="",NOT(ISNUMBER(E1267))),"",E1267*N(IFERROR(INDEX(Crops!$E$6:$E$65,MATCH(C1267,Crops!$B$6:$B$65,0)),0)))</f>
        <v/>
      </c>
      <c r="I1267" s="11">
        <f>IF(AND(C1267="",E1267=""),"",IF(NOT(ISNUMBER(B1267)),"Needs a date",IF(C1267="","Needs a crop",IF(COUNTIF(Crops!$B$6:$B$65,C1267)=0,"Not on Crops",IF(NOT(ISNUMBER(E1267)),"Needs the amount",IF(AND(D1267&lt;&gt;"",COUNTIF(Beds!$B$6:$B$35,D1267)=0),"Not on Beds",""))))))</f>
        <v/>
      </c>
      <c r="J1267" s="1">
        <f>IF(ISNUMBER(B1267),YEAR(B1267),"")</f>
        <v/>
      </c>
      <c r="K1267">
        <f>IF(ISNUMBER(B1267),YEAR(B1267)*100+MONTH(B1267),"")</f>
        <v/>
      </c>
      <c r="L1267">
        <f>IF(ISNUMBER(B1267),INT(B1267),0)</f>
        <v/>
      </c>
    </row>
    <row r="1268">
      <c r="A1268" s="1" t="n"/>
      <c r="B1268" s="17" t="n"/>
      <c r="C1268" s="18" t="n"/>
      <c r="D1268" s="19" t="n"/>
      <c r="E1268" s="23" t="n"/>
      <c r="F1268" s="21" t="n"/>
      <c r="G1268" s="11">
        <f>IF(C1268="","",IFERROR(INDEX(Crops!$D$6:$D$65,MATCH(C1268,Crops!$B$6:$B$65,0))&amp;"",""))</f>
        <v/>
      </c>
      <c r="H1268" s="12">
        <f>IF(OR(C1268="",NOT(ISNUMBER(E1268))),"",E1268*N(IFERROR(INDEX(Crops!$E$6:$E$65,MATCH(C1268,Crops!$B$6:$B$65,0)),0)))</f>
        <v/>
      </c>
      <c r="I1268" s="11">
        <f>IF(AND(C1268="",E1268=""),"",IF(NOT(ISNUMBER(B1268)),"Needs a date",IF(C1268="","Needs a crop",IF(COUNTIF(Crops!$B$6:$B$65,C1268)=0,"Not on Crops",IF(NOT(ISNUMBER(E1268)),"Needs the amount",IF(AND(D1268&lt;&gt;"",COUNTIF(Beds!$B$6:$B$35,D1268)=0),"Not on Beds",""))))))</f>
        <v/>
      </c>
      <c r="J1268" s="1">
        <f>IF(ISNUMBER(B1268),YEAR(B1268),"")</f>
        <v/>
      </c>
      <c r="K1268">
        <f>IF(ISNUMBER(B1268),YEAR(B1268)*100+MONTH(B1268),"")</f>
        <v/>
      </c>
      <c r="L1268">
        <f>IF(ISNUMBER(B1268),INT(B1268),0)</f>
        <v/>
      </c>
    </row>
    <row r="1269">
      <c r="A1269" s="1" t="n"/>
      <c r="B1269" s="17" t="n"/>
      <c r="C1269" s="18" t="n"/>
      <c r="D1269" s="19" t="n"/>
      <c r="E1269" s="23" t="n"/>
      <c r="F1269" s="21" t="n"/>
      <c r="G1269" s="11">
        <f>IF(C1269="","",IFERROR(INDEX(Crops!$D$6:$D$65,MATCH(C1269,Crops!$B$6:$B$65,0))&amp;"",""))</f>
        <v/>
      </c>
      <c r="H1269" s="12">
        <f>IF(OR(C1269="",NOT(ISNUMBER(E1269))),"",E1269*N(IFERROR(INDEX(Crops!$E$6:$E$65,MATCH(C1269,Crops!$B$6:$B$65,0)),0)))</f>
        <v/>
      </c>
      <c r="I1269" s="11">
        <f>IF(AND(C1269="",E1269=""),"",IF(NOT(ISNUMBER(B1269)),"Needs a date",IF(C1269="","Needs a crop",IF(COUNTIF(Crops!$B$6:$B$65,C1269)=0,"Not on Crops",IF(NOT(ISNUMBER(E1269)),"Needs the amount",IF(AND(D1269&lt;&gt;"",COUNTIF(Beds!$B$6:$B$35,D1269)=0),"Not on Beds",""))))))</f>
        <v/>
      </c>
      <c r="J1269" s="1">
        <f>IF(ISNUMBER(B1269),YEAR(B1269),"")</f>
        <v/>
      </c>
      <c r="K1269">
        <f>IF(ISNUMBER(B1269),YEAR(B1269)*100+MONTH(B1269),"")</f>
        <v/>
      </c>
      <c r="L1269">
        <f>IF(ISNUMBER(B1269),INT(B1269),0)</f>
        <v/>
      </c>
    </row>
    <row r="1270">
      <c r="A1270" s="1" t="n"/>
      <c r="B1270" s="17" t="n"/>
      <c r="C1270" s="18" t="n"/>
      <c r="D1270" s="19" t="n"/>
      <c r="E1270" s="23" t="n"/>
      <c r="F1270" s="21" t="n"/>
      <c r="G1270" s="11">
        <f>IF(C1270="","",IFERROR(INDEX(Crops!$D$6:$D$65,MATCH(C1270,Crops!$B$6:$B$65,0))&amp;"",""))</f>
        <v/>
      </c>
      <c r="H1270" s="12">
        <f>IF(OR(C1270="",NOT(ISNUMBER(E1270))),"",E1270*N(IFERROR(INDEX(Crops!$E$6:$E$65,MATCH(C1270,Crops!$B$6:$B$65,0)),0)))</f>
        <v/>
      </c>
      <c r="I1270" s="11">
        <f>IF(AND(C1270="",E1270=""),"",IF(NOT(ISNUMBER(B1270)),"Needs a date",IF(C1270="","Needs a crop",IF(COUNTIF(Crops!$B$6:$B$65,C1270)=0,"Not on Crops",IF(NOT(ISNUMBER(E1270)),"Needs the amount",IF(AND(D1270&lt;&gt;"",COUNTIF(Beds!$B$6:$B$35,D1270)=0),"Not on Beds",""))))))</f>
        <v/>
      </c>
      <c r="J1270" s="1">
        <f>IF(ISNUMBER(B1270),YEAR(B1270),"")</f>
        <v/>
      </c>
      <c r="K1270">
        <f>IF(ISNUMBER(B1270),YEAR(B1270)*100+MONTH(B1270),"")</f>
        <v/>
      </c>
      <c r="L1270">
        <f>IF(ISNUMBER(B1270),INT(B1270),0)</f>
        <v/>
      </c>
    </row>
    <row r="1271">
      <c r="A1271" s="1" t="n"/>
      <c r="B1271" s="17" t="n"/>
      <c r="C1271" s="18" t="n"/>
      <c r="D1271" s="19" t="n"/>
      <c r="E1271" s="23" t="n"/>
      <c r="F1271" s="21" t="n"/>
      <c r="G1271" s="11">
        <f>IF(C1271="","",IFERROR(INDEX(Crops!$D$6:$D$65,MATCH(C1271,Crops!$B$6:$B$65,0))&amp;"",""))</f>
        <v/>
      </c>
      <c r="H1271" s="12">
        <f>IF(OR(C1271="",NOT(ISNUMBER(E1271))),"",E1271*N(IFERROR(INDEX(Crops!$E$6:$E$65,MATCH(C1271,Crops!$B$6:$B$65,0)),0)))</f>
        <v/>
      </c>
      <c r="I1271" s="11">
        <f>IF(AND(C1271="",E1271=""),"",IF(NOT(ISNUMBER(B1271)),"Needs a date",IF(C1271="","Needs a crop",IF(COUNTIF(Crops!$B$6:$B$65,C1271)=0,"Not on Crops",IF(NOT(ISNUMBER(E1271)),"Needs the amount",IF(AND(D1271&lt;&gt;"",COUNTIF(Beds!$B$6:$B$35,D1271)=0),"Not on Beds",""))))))</f>
        <v/>
      </c>
      <c r="J1271" s="1">
        <f>IF(ISNUMBER(B1271),YEAR(B1271),"")</f>
        <v/>
      </c>
      <c r="K1271">
        <f>IF(ISNUMBER(B1271),YEAR(B1271)*100+MONTH(B1271),"")</f>
        <v/>
      </c>
      <c r="L1271">
        <f>IF(ISNUMBER(B1271),INT(B1271),0)</f>
        <v/>
      </c>
    </row>
    <row r="1272">
      <c r="A1272" s="1" t="n"/>
      <c r="B1272" s="17" t="n"/>
      <c r="C1272" s="18" t="n"/>
      <c r="D1272" s="19" t="n"/>
      <c r="E1272" s="23" t="n"/>
      <c r="F1272" s="21" t="n"/>
      <c r="G1272" s="11">
        <f>IF(C1272="","",IFERROR(INDEX(Crops!$D$6:$D$65,MATCH(C1272,Crops!$B$6:$B$65,0))&amp;"",""))</f>
        <v/>
      </c>
      <c r="H1272" s="12">
        <f>IF(OR(C1272="",NOT(ISNUMBER(E1272))),"",E1272*N(IFERROR(INDEX(Crops!$E$6:$E$65,MATCH(C1272,Crops!$B$6:$B$65,0)),0)))</f>
        <v/>
      </c>
      <c r="I1272" s="11">
        <f>IF(AND(C1272="",E1272=""),"",IF(NOT(ISNUMBER(B1272)),"Needs a date",IF(C1272="","Needs a crop",IF(COUNTIF(Crops!$B$6:$B$65,C1272)=0,"Not on Crops",IF(NOT(ISNUMBER(E1272)),"Needs the amount",IF(AND(D1272&lt;&gt;"",COUNTIF(Beds!$B$6:$B$35,D1272)=0),"Not on Beds",""))))))</f>
        <v/>
      </c>
      <c r="J1272" s="1">
        <f>IF(ISNUMBER(B1272),YEAR(B1272),"")</f>
        <v/>
      </c>
      <c r="K1272">
        <f>IF(ISNUMBER(B1272),YEAR(B1272)*100+MONTH(B1272),"")</f>
        <v/>
      </c>
      <c r="L1272">
        <f>IF(ISNUMBER(B1272),INT(B1272),0)</f>
        <v/>
      </c>
    </row>
    <row r="1273">
      <c r="A1273" s="1" t="n"/>
      <c r="B1273" s="17" t="n"/>
      <c r="C1273" s="18" t="n"/>
      <c r="D1273" s="19" t="n"/>
      <c r="E1273" s="23" t="n"/>
      <c r="F1273" s="21" t="n"/>
      <c r="G1273" s="11">
        <f>IF(C1273="","",IFERROR(INDEX(Crops!$D$6:$D$65,MATCH(C1273,Crops!$B$6:$B$65,0))&amp;"",""))</f>
        <v/>
      </c>
      <c r="H1273" s="12">
        <f>IF(OR(C1273="",NOT(ISNUMBER(E1273))),"",E1273*N(IFERROR(INDEX(Crops!$E$6:$E$65,MATCH(C1273,Crops!$B$6:$B$65,0)),0)))</f>
        <v/>
      </c>
      <c r="I1273" s="11">
        <f>IF(AND(C1273="",E1273=""),"",IF(NOT(ISNUMBER(B1273)),"Needs a date",IF(C1273="","Needs a crop",IF(COUNTIF(Crops!$B$6:$B$65,C1273)=0,"Not on Crops",IF(NOT(ISNUMBER(E1273)),"Needs the amount",IF(AND(D1273&lt;&gt;"",COUNTIF(Beds!$B$6:$B$35,D1273)=0),"Not on Beds",""))))))</f>
        <v/>
      </c>
      <c r="J1273" s="1">
        <f>IF(ISNUMBER(B1273),YEAR(B1273),"")</f>
        <v/>
      </c>
      <c r="K1273">
        <f>IF(ISNUMBER(B1273),YEAR(B1273)*100+MONTH(B1273),"")</f>
        <v/>
      </c>
      <c r="L1273">
        <f>IF(ISNUMBER(B1273),INT(B1273),0)</f>
        <v/>
      </c>
    </row>
    <row r="1274">
      <c r="A1274" s="1" t="n"/>
      <c r="B1274" s="17" t="n"/>
      <c r="C1274" s="18" t="n"/>
      <c r="D1274" s="19" t="n"/>
      <c r="E1274" s="23" t="n"/>
      <c r="F1274" s="21" t="n"/>
      <c r="G1274" s="11">
        <f>IF(C1274="","",IFERROR(INDEX(Crops!$D$6:$D$65,MATCH(C1274,Crops!$B$6:$B$65,0))&amp;"",""))</f>
        <v/>
      </c>
      <c r="H1274" s="12">
        <f>IF(OR(C1274="",NOT(ISNUMBER(E1274))),"",E1274*N(IFERROR(INDEX(Crops!$E$6:$E$65,MATCH(C1274,Crops!$B$6:$B$65,0)),0)))</f>
        <v/>
      </c>
      <c r="I1274" s="11">
        <f>IF(AND(C1274="",E1274=""),"",IF(NOT(ISNUMBER(B1274)),"Needs a date",IF(C1274="","Needs a crop",IF(COUNTIF(Crops!$B$6:$B$65,C1274)=0,"Not on Crops",IF(NOT(ISNUMBER(E1274)),"Needs the amount",IF(AND(D1274&lt;&gt;"",COUNTIF(Beds!$B$6:$B$35,D1274)=0),"Not on Beds",""))))))</f>
        <v/>
      </c>
      <c r="J1274" s="1">
        <f>IF(ISNUMBER(B1274),YEAR(B1274),"")</f>
        <v/>
      </c>
      <c r="K1274">
        <f>IF(ISNUMBER(B1274),YEAR(B1274)*100+MONTH(B1274),"")</f>
        <v/>
      </c>
      <c r="L1274">
        <f>IF(ISNUMBER(B1274),INT(B1274),0)</f>
        <v/>
      </c>
    </row>
    <row r="1275">
      <c r="A1275" s="1" t="n"/>
      <c r="B1275" s="17" t="n"/>
      <c r="C1275" s="18" t="n"/>
      <c r="D1275" s="19" t="n"/>
      <c r="E1275" s="23" t="n"/>
      <c r="F1275" s="21" t="n"/>
      <c r="G1275" s="11">
        <f>IF(C1275="","",IFERROR(INDEX(Crops!$D$6:$D$65,MATCH(C1275,Crops!$B$6:$B$65,0))&amp;"",""))</f>
        <v/>
      </c>
      <c r="H1275" s="12">
        <f>IF(OR(C1275="",NOT(ISNUMBER(E1275))),"",E1275*N(IFERROR(INDEX(Crops!$E$6:$E$65,MATCH(C1275,Crops!$B$6:$B$65,0)),0)))</f>
        <v/>
      </c>
      <c r="I1275" s="11">
        <f>IF(AND(C1275="",E1275=""),"",IF(NOT(ISNUMBER(B1275)),"Needs a date",IF(C1275="","Needs a crop",IF(COUNTIF(Crops!$B$6:$B$65,C1275)=0,"Not on Crops",IF(NOT(ISNUMBER(E1275)),"Needs the amount",IF(AND(D1275&lt;&gt;"",COUNTIF(Beds!$B$6:$B$35,D1275)=0),"Not on Beds",""))))))</f>
        <v/>
      </c>
      <c r="J1275" s="1">
        <f>IF(ISNUMBER(B1275),YEAR(B1275),"")</f>
        <v/>
      </c>
      <c r="K1275">
        <f>IF(ISNUMBER(B1275),YEAR(B1275)*100+MONTH(B1275),"")</f>
        <v/>
      </c>
      <c r="L1275">
        <f>IF(ISNUMBER(B1275),INT(B1275),0)</f>
        <v/>
      </c>
    </row>
    <row r="1276">
      <c r="A1276" s="1" t="n"/>
      <c r="B1276" s="17" t="n"/>
      <c r="C1276" s="18" t="n"/>
      <c r="D1276" s="19" t="n"/>
      <c r="E1276" s="23" t="n"/>
      <c r="F1276" s="21" t="n"/>
      <c r="G1276" s="11">
        <f>IF(C1276="","",IFERROR(INDEX(Crops!$D$6:$D$65,MATCH(C1276,Crops!$B$6:$B$65,0))&amp;"",""))</f>
        <v/>
      </c>
      <c r="H1276" s="12">
        <f>IF(OR(C1276="",NOT(ISNUMBER(E1276))),"",E1276*N(IFERROR(INDEX(Crops!$E$6:$E$65,MATCH(C1276,Crops!$B$6:$B$65,0)),0)))</f>
        <v/>
      </c>
      <c r="I1276" s="11">
        <f>IF(AND(C1276="",E1276=""),"",IF(NOT(ISNUMBER(B1276)),"Needs a date",IF(C1276="","Needs a crop",IF(COUNTIF(Crops!$B$6:$B$65,C1276)=0,"Not on Crops",IF(NOT(ISNUMBER(E1276)),"Needs the amount",IF(AND(D1276&lt;&gt;"",COUNTIF(Beds!$B$6:$B$35,D1276)=0),"Not on Beds",""))))))</f>
        <v/>
      </c>
      <c r="J1276" s="1">
        <f>IF(ISNUMBER(B1276),YEAR(B1276),"")</f>
        <v/>
      </c>
      <c r="K1276">
        <f>IF(ISNUMBER(B1276),YEAR(B1276)*100+MONTH(B1276),"")</f>
        <v/>
      </c>
      <c r="L1276">
        <f>IF(ISNUMBER(B1276),INT(B1276),0)</f>
        <v/>
      </c>
    </row>
    <row r="1277">
      <c r="A1277" s="1" t="n"/>
      <c r="B1277" s="17" t="n"/>
      <c r="C1277" s="18" t="n"/>
      <c r="D1277" s="19" t="n"/>
      <c r="E1277" s="23" t="n"/>
      <c r="F1277" s="21" t="n"/>
      <c r="G1277" s="11">
        <f>IF(C1277="","",IFERROR(INDEX(Crops!$D$6:$D$65,MATCH(C1277,Crops!$B$6:$B$65,0))&amp;"",""))</f>
        <v/>
      </c>
      <c r="H1277" s="12">
        <f>IF(OR(C1277="",NOT(ISNUMBER(E1277))),"",E1277*N(IFERROR(INDEX(Crops!$E$6:$E$65,MATCH(C1277,Crops!$B$6:$B$65,0)),0)))</f>
        <v/>
      </c>
      <c r="I1277" s="11">
        <f>IF(AND(C1277="",E1277=""),"",IF(NOT(ISNUMBER(B1277)),"Needs a date",IF(C1277="","Needs a crop",IF(COUNTIF(Crops!$B$6:$B$65,C1277)=0,"Not on Crops",IF(NOT(ISNUMBER(E1277)),"Needs the amount",IF(AND(D1277&lt;&gt;"",COUNTIF(Beds!$B$6:$B$35,D1277)=0),"Not on Beds",""))))))</f>
        <v/>
      </c>
      <c r="J1277" s="1">
        <f>IF(ISNUMBER(B1277),YEAR(B1277),"")</f>
        <v/>
      </c>
      <c r="K1277">
        <f>IF(ISNUMBER(B1277),YEAR(B1277)*100+MONTH(B1277),"")</f>
        <v/>
      </c>
      <c r="L1277">
        <f>IF(ISNUMBER(B1277),INT(B1277),0)</f>
        <v/>
      </c>
    </row>
    <row r="1278">
      <c r="A1278" s="1" t="n"/>
      <c r="B1278" s="17" t="n"/>
      <c r="C1278" s="18" t="n"/>
      <c r="D1278" s="19" t="n"/>
      <c r="E1278" s="23" t="n"/>
      <c r="F1278" s="21" t="n"/>
      <c r="G1278" s="11">
        <f>IF(C1278="","",IFERROR(INDEX(Crops!$D$6:$D$65,MATCH(C1278,Crops!$B$6:$B$65,0))&amp;"",""))</f>
        <v/>
      </c>
      <c r="H1278" s="12">
        <f>IF(OR(C1278="",NOT(ISNUMBER(E1278))),"",E1278*N(IFERROR(INDEX(Crops!$E$6:$E$65,MATCH(C1278,Crops!$B$6:$B$65,0)),0)))</f>
        <v/>
      </c>
      <c r="I1278" s="11">
        <f>IF(AND(C1278="",E1278=""),"",IF(NOT(ISNUMBER(B1278)),"Needs a date",IF(C1278="","Needs a crop",IF(COUNTIF(Crops!$B$6:$B$65,C1278)=0,"Not on Crops",IF(NOT(ISNUMBER(E1278)),"Needs the amount",IF(AND(D1278&lt;&gt;"",COUNTIF(Beds!$B$6:$B$35,D1278)=0),"Not on Beds",""))))))</f>
        <v/>
      </c>
      <c r="J1278" s="1">
        <f>IF(ISNUMBER(B1278),YEAR(B1278),"")</f>
        <v/>
      </c>
      <c r="K1278">
        <f>IF(ISNUMBER(B1278),YEAR(B1278)*100+MONTH(B1278),"")</f>
        <v/>
      </c>
      <c r="L1278">
        <f>IF(ISNUMBER(B1278),INT(B1278),0)</f>
        <v/>
      </c>
    </row>
    <row r="1279">
      <c r="A1279" s="1" t="n"/>
      <c r="B1279" s="17" t="n"/>
      <c r="C1279" s="18" t="n"/>
      <c r="D1279" s="19" t="n"/>
      <c r="E1279" s="23" t="n"/>
      <c r="F1279" s="21" t="n"/>
      <c r="G1279" s="11">
        <f>IF(C1279="","",IFERROR(INDEX(Crops!$D$6:$D$65,MATCH(C1279,Crops!$B$6:$B$65,0))&amp;"",""))</f>
        <v/>
      </c>
      <c r="H1279" s="12">
        <f>IF(OR(C1279="",NOT(ISNUMBER(E1279))),"",E1279*N(IFERROR(INDEX(Crops!$E$6:$E$65,MATCH(C1279,Crops!$B$6:$B$65,0)),0)))</f>
        <v/>
      </c>
      <c r="I1279" s="11">
        <f>IF(AND(C1279="",E1279=""),"",IF(NOT(ISNUMBER(B1279)),"Needs a date",IF(C1279="","Needs a crop",IF(COUNTIF(Crops!$B$6:$B$65,C1279)=0,"Not on Crops",IF(NOT(ISNUMBER(E1279)),"Needs the amount",IF(AND(D1279&lt;&gt;"",COUNTIF(Beds!$B$6:$B$35,D1279)=0),"Not on Beds",""))))))</f>
        <v/>
      </c>
      <c r="J1279" s="1">
        <f>IF(ISNUMBER(B1279),YEAR(B1279),"")</f>
        <v/>
      </c>
      <c r="K1279">
        <f>IF(ISNUMBER(B1279),YEAR(B1279)*100+MONTH(B1279),"")</f>
        <v/>
      </c>
      <c r="L1279">
        <f>IF(ISNUMBER(B1279),INT(B1279),0)</f>
        <v/>
      </c>
    </row>
    <row r="1280">
      <c r="A1280" s="1" t="n"/>
      <c r="B1280" s="17" t="n"/>
      <c r="C1280" s="18" t="n"/>
      <c r="D1280" s="19" t="n"/>
      <c r="E1280" s="23" t="n"/>
      <c r="F1280" s="21" t="n"/>
      <c r="G1280" s="11">
        <f>IF(C1280="","",IFERROR(INDEX(Crops!$D$6:$D$65,MATCH(C1280,Crops!$B$6:$B$65,0))&amp;"",""))</f>
        <v/>
      </c>
      <c r="H1280" s="12">
        <f>IF(OR(C1280="",NOT(ISNUMBER(E1280))),"",E1280*N(IFERROR(INDEX(Crops!$E$6:$E$65,MATCH(C1280,Crops!$B$6:$B$65,0)),0)))</f>
        <v/>
      </c>
      <c r="I1280" s="11">
        <f>IF(AND(C1280="",E1280=""),"",IF(NOT(ISNUMBER(B1280)),"Needs a date",IF(C1280="","Needs a crop",IF(COUNTIF(Crops!$B$6:$B$65,C1280)=0,"Not on Crops",IF(NOT(ISNUMBER(E1280)),"Needs the amount",IF(AND(D1280&lt;&gt;"",COUNTIF(Beds!$B$6:$B$35,D1280)=0),"Not on Beds",""))))))</f>
        <v/>
      </c>
      <c r="J1280" s="1">
        <f>IF(ISNUMBER(B1280),YEAR(B1280),"")</f>
        <v/>
      </c>
      <c r="K1280">
        <f>IF(ISNUMBER(B1280),YEAR(B1280)*100+MONTH(B1280),"")</f>
        <v/>
      </c>
      <c r="L1280">
        <f>IF(ISNUMBER(B1280),INT(B1280),0)</f>
        <v/>
      </c>
    </row>
    <row r="1281">
      <c r="A1281" s="1" t="n"/>
      <c r="B1281" s="17" t="n"/>
      <c r="C1281" s="18" t="n"/>
      <c r="D1281" s="19" t="n"/>
      <c r="E1281" s="23" t="n"/>
      <c r="F1281" s="21" t="n"/>
      <c r="G1281" s="11">
        <f>IF(C1281="","",IFERROR(INDEX(Crops!$D$6:$D$65,MATCH(C1281,Crops!$B$6:$B$65,0))&amp;"",""))</f>
        <v/>
      </c>
      <c r="H1281" s="12">
        <f>IF(OR(C1281="",NOT(ISNUMBER(E1281))),"",E1281*N(IFERROR(INDEX(Crops!$E$6:$E$65,MATCH(C1281,Crops!$B$6:$B$65,0)),0)))</f>
        <v/>
      </c>
      <c r="I1281" s="11">
        <f>IF(AND(C1281="",E1281=""),"",IF(NOT(ISNUMBER(B1281)),"Needs a date",IF(C1281="","Needs a crop",IF(COUNTIF(Crops!$B$6:$B$65,C1281)=0,"Not on Crops",IF(NOT(ISNUMBER(E1281)),"Needs the amount",IF(AND(D1281&lt;&gt;"",COUNTIF(Beds!$B$6:$B$35,D1281)=0),"Not on Beds",""))))))</f>
        <v/>
      </c>
      <c r="J1281" s="1">
        <f>IF(ISNUMBER(B1281),YEAR(B1281),"")</f>
        <v/>
      </c>
      <c r="K1281">
        <f>IF(ISNUMBER(B1281),YEAR(B1281)*100+MONTH(B1281),"")</f>
        <v/>
      </c>
      <c r="L1281">
        <f>IF(ISNUMBER(B1281),INT(B1281),0)</f>
        <v/>
      </c>
    </row>
    <row r="1282">
      <c r="A1282" s="1" t="n"/>
      <c r="B1282" s="17" t="n"/>
      <c r="C1282" s="18" t="n"/>
      <c r="D1282" s="19" t="n"/>
      <c r="E1282" s="23" t="n"/>
      <c r="F1282" s="21" t="n"/>
      <c r="G1282" s="11">
        <f>IF(C1282="","",IFERROR(INDEX(Crops!$D$6:$D$65,MATCH(C1282,Crops!$B$6:$B$65,0))&amp;"",""))</f>
        <v/>
      </c>
      <c r="H1282" s="12">
        <f>IF(OR(C1282="",NOT(ISNUMBER(E1282))),"",E1282*N(IFERROR(INDEX(Crops!$E$6:$E$65,MATCH(C1282,Crops!$B$6:$B$65,0)),0)))</f>
        <v/>
      </c>
      <c r="I1282" s="11">
        <f>IF(AND(C1282="",E1282=""),"",IF(NOT(ISNUMBER(B1282)),"Needs a date",IF(C1282="","Needs a crop",IF(COUNTIF(Crops!$B$6:$B$65,C1282)=0,"Not on Crops",IF(NOT(ISNUMBER(E1282)),"Needs the amount",IF(AND(D1282&lt;&gt;"",COUNTIF(Beds!$B$6:$B$35,D1282)=0),"Not on Beds",""))))))</f>
        <v/>
      </c>
      <c r="J1282" s="1">
        <f>IF(ISNUMBER(B1282),YEAR(B1282),"")</f>
        <v/>
      </c>
      <c r="K1282">
        <f>IF(ISNUMBER(B1282),YEAR(B1282)*100+MONTH(B1282),"")</f>
        <v/>
      </c>
      <c r="L1282">
        <f>IF(ISNUMBER(B1282),INT(B1282),0)</f>
        <v/>
      </c>
    </row>
    <row r="1283">
      <c r="A1283" s="1" t="n"/>
      <c r="B1283" s="17" t="n"/>
      <c r="C1283" s="18" t="n"/>
      <c r="D1283" s="19" t="n"/>
      <c r="E1283" s="23" t="n"/>
      <c r="F1283" s="21" t="n"/>
      <c r="G1283" s="11">
        <f>IF(C1283="","",IFERROR(INDEX(Crops!$D$6:$D$65,MATCH(C1283,Crops!$B$6:$B$65,0))&amp;"",""))</f>
        <v/>
      </c>
      <c r="H1283" s="12">
        <f>IF(OR(C1283="",NOT(ISNUMBER(E1283))),"",E1283*N(IFERROR(INDEX(Crops!$E$6:$E$65,MATCH(C1283,Crops!$B$6:$B$65,0)),0)))</f>
        <v/>
      </c>
      <c r="I1283" s="11">
        <f>IF(AND(C1283="",E1283=""),"",IF(NOT(ISNUMBER(B1283)),"Needs a date",IF(C1283="","Needs a crop",IF(COUNTIF(Crops!$B$6:$B$65,C1283)=0,"Not on Crops",IF(NOT(ISNUMBER(E1283)),"Needs the amount",IF(AND(D1283&lt;&gt;"",COUNTIF(Beds!$B$6:$B$35,D1283)=0),"Not on Beds",""))))))</f>
        <v/>
      </c>
      <c r="J1283" s="1">
        <f>IF(ISNUMBER(B1283),YEAR(B1283),"")</f>
        <v/>
      </c>
      <c r="K1283">
        <f>IF(ISNUMBER(B1283),YEAR(B1283)*100+MONTH(B1283),"")</f>
        <v/>
      </c>
      <c r="L1283">
        <f>IF(ISNUMBER(B1283),INT(B1283),0)</f>
        <v/>
      </c>
    </row>
    <row r="1284">
      <c r="A1284" s="1" t="n"/>
      <c r="B1284" s="17" t="n"/>
      <c r="C1284" s="18" t="n"/>
      <c r="D1284" s="19" t="n"/>
      <c r="E1284" s="23" t="n"/>
      <c r="F1284" s="21" t="n"/>
      <c r="G1284" s="11">
        <f>IF(C1284="","",IFERROR(INDEX(Crops!$D$6:$D$65,MATCH(C1284,Crops!$B$6:$B$65,0))&amp;"",""))</f>
        <v/>
      </c>
      <c r="H1284" s="12">
        <f>IF(OR(C1284="",NOT(ISNUMBER(E1284))),"",E1284*N(IFERROR(INDEX(Crops!$E$6:$E$65,MATCH(C1284,Crops!$B$6:$B$65,0)),0)))</f>
        <v/>
      </c>
      <c r="I1284" s="11">
        <f>IF(AND(C1284="",E1284=""),"",IF(NOT(ISNUMBER(B1284)),"Needs a date",IF(C1284="","Needs a crop",IF(COUNTIF(Crops!$B$6:$B$65,C1284)=0,"Not on Crops",IF(NOT(ISNUMBER(E1284)),"Needs the amount",IF(AND(D1284&lt;&gt;"",COUNTIF(Beds!$B$6:$B$35,D1284)=0),"Not on Beds",""))))))</f>
        <v/>
      </c>
      <c r="J1284" s="1">
        <f>IF(ISNUMBER(B1284),YEAR(B1284),"")</f>
        <v/>
      </c>
      <c r="K1284">
        <f>IF(ISNUMBER(B1284),YEAR(B1284)*100+MONTH(B1284),"")</f>
        <v/>
      </c>
      <c r="L1284">
        <f>IF(ISNUMBER(B1284),INT(B1284),0)</f>
        <v/>
      </c>
    </row>
    <row r="1285">
      <c r="A1285" s="1" t="n"/>
      <c r="B1285" s="17" t="n"/>
      <c r="C1285" s="18" t="n"/>
      <c r="D1285" s="19" t="n"/>
      <c r="E1285" s="23" t="n"/>
      <c r="F1285" s="21" t="n"/>
      <c r="G1285" s="11">
        <f>IF(C1285="","",IFERROR(INDEX(Crops!$D$6:$D$65,MATCH(C1285,Crops!$B$6:$B$65,0))&amp;"",""))</f>
        <v/>
      </c>
      <c r="H1285" s="12">
        <f>IF(OR(C1285="",NOT(ISNUMBER(E1285))),"",E1285*N(IFERROR(INDEX(Crops!$E$6:$E$65,MATCH(C1285,Crops!$B$6:$B$65,0)),0)))</f>
        <v/>
      </c>
      <c r="I1285" s="11">
        <f>IF(AND(C1285="",E1285=""),"",IF(NOT(ISNUMBER(B1285)),"Needs a date",IF(C1285="","Needs a crop",IF(COUNTIF(Crops!$B$6:$B$65,C1285)=0,"Not on Crops",IF(NOT(ISNUMBER(E1285)),"Needs the amount",IF(AND(D1285&lt;&gt;"",COUNTIF(Beds!$B$6:$B$35,D1285)=0),"Not on Beds",""))))))</f>
        <v/>
      </c>
      <c r="J1285" s="1">
        <f>IF(ISNUMBER(B1285),YEAR(B1285),"")</f>
        <v/>
      </c>
      <c r="K1285">
        <f>IF(ISNUMBER(B1285),YEAR(B1285)*100+MONTH(B1285),"")</f>
        <v/>
      </c>
      <c r="L1285">
        <f>IF(ISNUMBER(B1285),INT(B1285),0)</f>
        <v/>
      </c>
    </row>
    <row r="1286">
      <c r="A1286" s="1" t="n"/>
      <c r="B1286" s="17" t="n"/>
      <c r="C1286" s="18" t="n"/>
      <c r="D1286" s="19" t="n"/>
      <c r="E1286" s="23" t="n"/>
      <c r="F1286" s="21" t="n"/>
      <c r="G1286" s="11">
        <f>IF(C1286="","",IFERROR(INDEX(Crops!$D$6:$D$65,MATCH(C1286,Crops!$B$6:$B$65,0))&amp;"",""))</f>
        <v/>
      </c>
      <c r="H1286" s="12">
        <f>IF(OR(C1286="",NOT(ISNUMBER(E1286))),"",E1286*N(IFERROR(INDEX(Crops!$E$6:$E$65,MATCH(C1286,Crops!$B$6:$B$65,0)),0)))</f>
        <v/>
      </c>
      <c r="I1286" s="11">
        <f>IF(AND(C1286="",E1286=""),"",IF(NOT(ISNUMBER(B1286)),"Needs a date",IF(C1286="","Needs a crop",IF(COUNTIF(Crops!$B$6:$B$65,C1286)=0,"Not on Crops",IF(NOT(ISNUMBER(E1286)),"Needs the amount",IF(AND(D1286&lt;&gt;"",COUNTIF(Beds!$B$6:$B$35,D1286)=0),"Not on Beds",""))))))</f>
        <v/>
      </c>
      <c r="J1286" s="1">
        <f>IF(ISNUMBER(B1286),YEAR(B1286),"")</f>
        <v/>
      </c>
      <c r="K1286">
        <f>IF(ISNUMBER(B1286),YEAR(B1286)*100+MONTH(B1286),"")</f>
        <v/>
      </c>
      <c r="L1286">
        <f>IF(ISNUMBER(B1286),INT(B1286),0)</f>
        <v/>
      </c>
    </row>
    <row r="1287">
      <c r="A1287" s="1" t="n"/>
      <c r="B1287" s="17" t="n"/>
      <c r="C1287" s="18" t="n"/>
      <c r="D1287" s="19" t="n"/>
      <c r="E1287" s="23" t="n"/>
      <c r="F1287" s="21" t="n"/>
      <c r="G1287" s="11">
        <f>IF(C1287="","",IFERROR(INDEX(Crops!$D$6:$D$65,MATCH(C1287,Crops!$B$6:$B$65,0))&amp;"",""))</f>
        <v/>
      </c>
      <c r="H1287" s="12">
        <f>IF(OR(C1287="",NOT(ISNUMBER(E1287))),"",E1287*N(IFERROR(INDEX(Crops!$E$6:$E$65,MATCH(C1287,Crops!$B$6:$B$65,0)),0)))</f>
        <v/>
      </c>
      <c r="I1287" s="11">
        <f>IF(AND(C1287="",E1287=""),"",IF(NOT(ISNUMBER(B1287)),"Needs a date",IF(C1287="","Needs a crop",IF(COUNTIF(Crops!$B$6:$B$65,C1287)=0,"Not on Crops",IF(NOT(ISNUMBER(E1287)),"Needs the amount",IF(AND(D1287&lt;&gt;"",COUNTIF(Beds!$B$6:$B$35,D1287)=0),"Not on Beds",""))))))</f>
        <v/>
      </c>
      <c r="J1287" s="1">
        <f>IF(ISNUMBER(B1287),YEAR(B1287),"")</f>
        <v/>
      </c>
      <c r="K1287">
        <f>IF(ISNUMBER(B1287),YEAR(B1287)*100+MONTH(B1287),"")</f>
        <v/>
      </c>
      <c r="L1287">
        <f>IF(ISNUMBER(B1287),INT(B1287),0)</f>
        <v/>
      </c>
    </row>
    <row r="1288">
      <c r="A1288" s="1" t="n"/>
      <c r="B1288" s="17" t="n"/>
      <c r="C1288" s="18" t="n"/>
      <c r="D1288" s="19" t="n"/>
      <c r="E1288" s="23" t="n"/>
      <c r="F1288" s="21" t="n"/>
      <c r="G1288" s="11">
        <f>IF(C1288="","",IFERROR(INDEX(Crops!$D$6:$D$65,MATCH(C1288,Crops!$B$6:$B$65,0))&amp;"",""))</f>
        <v/>
      </c>
      <c r="H1288" s="12">
        <f>IF(OR(C1288="",NOT(ISNUMBER(E1288))),"",E1288*N(IFERROR(INDEX(Crops!$E$6:$E$65,MATCH(C1288,Crops!$B$6:$B$65,0)),0)))</f>
        <v/>
      </c>
      <c r="I1288" s="11">
        <f>IF(AND(C1288="",E1288=""),"",IF(NOT(ISNUMBER(B1288)),"Needs a date",IF(C1288="","Needs a crop",IF(COUNTIF(Crops!$B$6:$B$65,C1288)=0,"Not on Crops",IF(NOT(ISNUMBER(E1288)),"Needs the amount",IF(AND(D1288&lt;&gt;"",COUNTIF(Beds!$B$6:$B$35,D1288)=0),"Not on Beds",""))))))</f>
        <v/>
      </c>
      <c r="J1288" s="1">
        <f>IF(ISNUMBER(B1288),YEAR(B1288),"")</f>
        <v/>
      </c>
      <c r="K1288">
        <f>IF(ISNUMBER(B1288),YEAR(B1288)*100+MONTH(B1288),"")</f>
        <v/>
      </c>
      <c r="L1288">
        <f>IF(ISNUMBER(B1288),INT(B1288),0)</f>
        <v/>
      </c>
    </row>
    <row r="1289">
      <c r="A1289" s="1" t="n"/>
      <c r="B1289" s="17" t="n"/>
      <c r="C1289" s="18" t="n"/>
      <c r="D1289" s="19" t="n"/>
      <c r="E1289" s="23" t="n"/>
      <c r="F1289" s="21" t="n"/>
      <c r="G1289" s="11">
        <f>IF(C1289="","",IFERROR(INDEX(Crops!$D$6:$D$65,MATCH(C1289,Crops!$B$6:$B$65,0))&amp;"",""))</f>
        <v/>
      </c>
      <c r="H1289" s="12">
        <f>IF(OR(C1289="",NOT(ISNUMBER(E1289))),"",E1289*N(IFERROR(INDEX(Crops!$E$6:$E$65,MATCH(C1289,Crops!$B$6:$B$65,0)),0)))</f>
        <v/>
      </c>
      <c r="I1289" s="11">
        <f>IF(AND(C1289="",E1289=""),"",IF(NOT(ISNUMBER(B1289)),"Needs a date",IF(C1289="","Needs a crop",IF(COUNTIF(Crops!$B$6:$B$65,C1289)=0,"Not on Crops",IF(NOT(ISNUMBER(E1289)),"Needs the amount",IF(AND(D1289&lt;&gt;"",COUNTIF(Beds!$B$6:$B$35,D1289)=0),"Not on Beds",""))))))</f>
        <v/>
      </c>
      <c r="J1289" s="1">
        <f>IF(ISNUMBER(B1289),YEAR(B1289),"")</f>
        <v/>
      </c>
      <c r="K1289">
        <f>IF(ISNUMBER(B1289),YEAR(B1289)*100+MONTH(B1289),"")</f>
        <v/>
      </c>
      <c r="L1289">
        <f>IF(ISNUMBER(B1289),INT(B1289),0)</f>
        <v/>
      </c>
    </row>
    <row r="1290">
      <c r="A1290" s="1" t="n"/>
      <c r="B1290" s="17" t="n"/>
      <c r="C1290" s="18" t="n"/>
      <c r="D1290" s="19" t="n"/>
      <c r="E1290" s="23" t="n"/>
      <c r="F1290" s="21" t="n"/>
      <c r="G1290" s="11">
        <f>IF(C1290="","",IFERROR(INDEX(Crops!$D$6:$D$65,MATCH(C1290,Crops!$B$6:$B$65,0))&amp;"",""))</f>
        <v/>
      </c>
      <c r="H1290" s="12">
        <f>IF(OR(C1290="",NOT(ISNUMBER(E1290))),"",E1290*N(IFERROR(INDEX(Crops!$E$6:$E$65,MATCH(C1290,Crops!$B$6:$B$65,0)),0)))</f>
        <v/>
      </c>
      <c r="I1290" s="11">
        <f>IF(AND(C1290="",E1290=""),"",IF(NOT(ISNUMBER(B1290)),"Needs a date",IF(C1290="","Needs a crop",IF(COUNTIF(Crops!$B$6:$B$65,C1290)=0,"Not on Crops",IF(NOT(ISNUMBER(E1290)),"Needs the amount",IF(AND(D1290&lt;&gt;"",COUNTIF(Beds!$B$6:$B$35,D1290)=0),"Not on Beds",""))))))</f>
        <v/>
      </c>
      <c r="J1290" s="1">
        <f>IF(ISNUMBER(B1290),YEAR(B1290),"")</f>
        <v/>
      </c>
      <c r="K1290">
        <f>IF(ISNUMBER(B1290),YEAR(B1290)*100+MONTH(B1290),"")</f>
        <v/>
      </c>
      <c r="L1290">
        <f>IF(ISNUMBER(B1290),INT(B1290),0)</f>
        <v/>
      </c>
    </row>
    <row r="1291">
      <c r="A1291" s="1" t="n"/>
      <c r="B1291" s="17" t="n"/>
      <c r="C1291" s="18" t="n"/>
      <c r="D1291" s="19" t="n"/>
      <c r="E1291" s="23" t="n"/>
      <c r="F1291" s="21" t="n"/>
      <c r="G1291" s="11">
        <f>IF(C1291="","",IFERROR(INDEX(Crops!$D$6:$D$65,MATCH(C1291,Crops!$B$6:$B$65,0))&amp;"",""))</f>
        <v/>
      </c>
      <c r="H1291" s="12">
        <f>IF(OR(C1291="",NOT(ISNUMBER(E1291))),"",E1291*N(IFERROR(INDEX(Crops!$E$6:$E$65,MATCH(C1291,Crops!$B$6:$B$65,0)),0)))</f>
        <v/>
      </c>
      <c r="I1291" s="11">
        <f>IF(AND(C1291="",E1291=""),"",IF(NOT(ISNUMBER(B1291)),"Needs a date",IF(C1291="","Needs a crop",IF(COUNTIF(Crops!$B$6:$B$65,C1291)=0,"Not on Crops",IF(NOT(ISNUMBER(E1291)),"Needs the amount",IF(AND(D1291&lt;&gt;"",COUNTIF(Beds!$B$6:$B$35,D1291)=0),"Not on Beds",""))))))</f>
        <v/>
      </c>
      <c r="J1291" s="1">
        <f>IF(ISNUMBER(B1291),YEAR(B1291),"")</f>
        <v/>
      </c>
      <c r="K1291">
        <f>IF(ISNUMBER(B1291),YEAR(B1291)*100+MONTH(B1291),"")</f>
        <v/>
      </c>
      <c r="L1291">
        <f>IF(ISNUMBER(B1291),INT(B1291),0)</f>
        <v/>
      </c>
    </row>
    <row r="1292">
      <c r="A1292" s="1" t="n"/>
      <c r="B1292" s="17" t="n"/>
      <c r="C1292" s="18" t="n"/>
      <c r="D1292" s="19" t="n"/>
      <c r="E1292" s="23" t="n"/>
      <c r="F1292" s="21" t="n"/>
      <c r="G1292" s="11">
        <f>IF(C1292="","",IFERROR(INDEX(Crops!$D$6:$D$65,MATCH(C1292,Crops!$B$6:$B$65,0))&amp;"",""))</f>
        <v/>
      </c>
      <c r="H1292" s="12">
        <f>IF(OR(C1292="",NOT(ISNUMBER(E1292))),"",E1292*N(IFERROR(INDEX(Crops!$E$6:$E$65,MATCH(C1292,Crops!$B$6:$B$65,0)),0)))</f>
        <v/>
      </c>
      <c r="I1292" s="11">
        <f>IF(AND(C1292="",E1292=""),"",IF(NOT(ISNUMBER(B1292)),"Needs a date",IF(C1292="","Needs a crop",IF(COUNTIF(Crops!$B$6:$B$65,C1292)=0,"Not on Crops",IF(NOT(ISNUMBER(E1292)),"Needs the amount",IF(AND(D1292&lt;&gt;"",COUNTIF(Beds!$B$6:$B$35,D1292)=0),"Not on Beds",""))))))</f>
        <v/>
      </c>
      <c r="J1292" s="1">
        <f>IF(ISNUMBER(B1292),YEAR(B1292),"")</f>
        <v/>
      </c>
      <c r="K1292">
        <f>IF(ISNUMBER(B1292),YEAR(B1292)*100+MONTH(B1292),"")</f>
        <v/>
      </c>
      <c r="L1292">
        <f>IF(ISNUMBER(B1292),INT(B1292),0)</f>
        <v/>
      </c>
    </row>
    <row r="1293">
      <c r="A1293" s="1" t="n"/>
      <c r="B1293" s="17" t="n"/>
      <c r="C1293" s="18" t="n"/>
      <c r="D1293" s="19" t="n"/>
      <c r="E1293" s="23" t="n"/>
      <c r="F1293" s="21" t="n"/>
      <c r="G1293" s="11">
        <f>IF(C1293="","",IFERROR(INDEX(Crops!$D$6:$D$65,MATCH(C1293,Crops!$B$6:$B$65,0))&amp;"",""))</f>
        <v/>
      </c>
      <c r="H1293" s="12">
        <f>IF(OR(C1293="",NOT(ISNUMBER(E1293))),"",E1293*N(IFERROR(INDEX(Crops!$E$6:$E$65,MATCH(C1293,Crops!$B$6:$B$65,0)),0)))</f>
        <v/>
      </c>
      <c r="I1293" s="11">
        <f>IF(AND(C1293="",E1293=""),"",IF(NOT(ISNUMBER(B1293)),"Needs a date",IF(C1293="","Needs a crop",IF(COUNTIF(Crops!$B$6:$B$65,C1293)=0,"Not on Crops",IF(NOT(ISNUMBER(E1293)),"Needs the amount",IF(AND(D1293&lt;&gt;"",COUNTIF(Beds!$B$6:$B$35,D1293)=0),"Not on Beds",""))))))</f>
        <v/>
      </c>
      <c r="J1293" s="1">
        <f>IF(ISNUMBER(B1293),YEAR(B1293),"")</f>
        <v/>
      </c>
      <c r="K1293">
        <f>IF(ISNUMBER(B1293),YEAR(B1293)*100+MONTH(B1293),"")</f>
        <v/>
      </c>
      <c r="L1293">
        <f>IF(ISNUMBER(B1293),INT(B1293),0)</f>
        <v/>
      </c>
    </row>
    <row r="1294">
      <c r="A1294" s="1" t="n"/>
      <c r="B1294" s="17" t="n"/>
      <c r="C1294" s="18" t="n"/>
      <c r="D1294" s="19" t="n"/>
      <c r="E1294" s="23" t="n"/>
      <c r="F1294" s="21" t="n"/>
      <c r="G1294" s="11">
        <f>IF(C1294="","",IFERROR(INDEX(Crops!$D$6:$D$65,MATCH(C1294,Crops!$B$6:$B$65,0))&amp;"",""))</f>
        <v/>
      </c>
      <c r="H1294" s="12">
        <f>IF(OR(C1294="",NOT(ISNUMBER(E1294))),"",E1294*N(IFERROR(INDEX(Crops!$E$6:$E$65,MATCH(C1294,Crops!$B$6:$B$65,0)),0)))</f>
        <v/>
      </c>
      <c r="I1294" s="11">
        <f>IF(AND(C1294="",E1294=""),"",IF(NOT(ISNUMBER(B1294)),"Needs a date",IF(C1294="","Needs a crop",IF(COUNTIF(Crops!$B$6:$B$65,C1294)=0,"Not on Crops",IF(NOT(ISNUMBER(E1294)),"Needs the amount",IF(AND(D1294&lt;&gt;"",COUNTIF(Beds!$B$6:$B$35,D1294)=0),"Not on Beds",""))))))</f>
        <v/>
      </c>
      <c r="J1294" s="1">
        <f>IF(ISNUMBER(B1294),YEAR(B1294),"")</f>
        <v/>
      </c>
      <c r="K1294">
        <f>IF(ISNUMBER(B1294),YEAR(B1294)*100+MONTH(B1294),"")</f>
        <v/>
      </c>
      <c r="L1294">
        <f>IF(ISNUMBER(B1294),INT(B1294),0)</f>
        <v/>
      </c>
    </row>
    <row r="1295">
      <c r="A1295" s="1" t="n"/>
      <c r="B1295" s="17" t="n"/>
      <c r="C1295" s="18" t="n"/>
      <c r="D1295" s="19" t="n"/>
      <c r="E1295" s="23" t="n"/>
      <c r="F1295" s="21" t="n"/>
      <c r="G1295" s="11">
        <f>IF(C1295="","",IFERROR(INDEX(Crops!$D$6:$D$65,MATCH(C1295,Crops!$B$6:$B$65,0))&amp;"",""))</f>
        <v/>
      </c>
      <c r="H1295" s="12">
        <f>IF(OR(C1295="",NOT(ISNUMBER(E1295))),"",E1295*N(IFERROR(INDEX(Crops!$E$6:$E$65,MATCH(C1295,Crops!$B$6:$B$65,0)),0)))</f>
        <v/>
      </c>
      <c r="I1295" s="11">
        <f>IF(AND(C1295="",E1295=""),"",IF(NOT(ISNUMBER(B1295)),"Needs a date",IF(C1295="","Needs a crop",IF(COUNTIF(Crops!$B$6:$B$65,C1295)=0,"Not on Crops",IF(NOT(ISNUMBER(E1295)),"Needs the amount",IF(AND(D1295&lt;&gt;"",COUNTIF(Beds!$B$6:$B$35,D1295)=0),"Not on Beds",""))))))</f>
        <v/>
      </c>
      <c r="J1295" s="1">
        <f>IF(ISNUMBER(B1295),YEAR(B1295),"")</f>
        <v/>
      </c>
      <c r="K1295">
        <f>IF(ISNUMBER(B1295),YEAR(B1295)*100+MONTH(B1295),"")</f>
        <v/>
      </c>
      <c r="L1295">
        <f>IF(ISNUMBER(B1295),INT(B1295),0)</f>
        <v/>
      </c>
    </row>
    <row r="1296">
      <c r="A1296" s="1" t="n"/>
      <c r="B1296" s="17" t="n"/>
      <c r="C1296" s="18" t="n"/>
      <c r="D1296" s="19" t="n"/>
      <c r="E1296" s="23" t="n"/>
      <c r="F1296" s="21" t="n"/>
      <c r="G1296" s="11">
        <f>IF(C1296="","",IFERROR(INDEX(Crops!$D$6:$D$65,MATCH(C1296,Crops!$B$6:$B$65,0))&amp;"",""))</f>
        <v/>
      </c>
      <c r="H1296" s="12">
        <f>IF(OR(C1296="",NOT(ISNUMBER(E1296))),"",E1296*N(IFERROR(INDEX(Crops!$E$6:$E$65,MATCH(C1296,Crops!$B$6:$B$65,0)),0)))</f>
        <v/>
      </c>
      <c r="I1296" s="11">
        <f>IF(AND(C1296="",E1296=""),"",IF(NOT(ISNUMBER(B1296)),"Needs a date",IF(C1296="","Needs a crop",IF(COUNTIF(Crops!$B$6:$B$65,C1296)=0,"Not on Crops",IF(NOT(ISNUMBER(E1296)),"Needs the amount",IF(AND(D1296&lt;&gt;"",COUNTIF(Beds!$B$6:$B$35,D1296)=0),"Not on Beds",""))))))</f>
        <v/>
      </c>
      <c r="J1296" s="1">
        <f>IF(ISNUMBER(B1296),YEAR(B1296),"")</f>
        <v/>
      </c>
      <c r="K1296">
        <f>IF(ISNUMBER(B1296),YEAR(B1296)*100+MONTH(B1296),"")</f>
        <v/>
      </c>
      <c r="L1296">
        <f>IF(ISNUMBER(B1296),INT(B1296),0)</f>
        <v/>
      </c>
    </row>
    <row r="1297">
      <c r="A1297" s="1" t="n"/>
      <c r="B1297" s="17" t="n"/>
      <c r="C1297" s="18" t="n"/>
      <c r="D1297" s="19" t="n"/>
      <c r="E1297" s="23" t="n"/>
      <c r="F1297" s="21" t="n"/>
      <c r="G1297" s="11">
        <f>IF(C1297="","",IFERROR(INDEX(Crops!$D$6:$D$65,MATCH(C1297,Crops!$B$6:$B$65,0))&amp;"",""))</f>
        <v/>
      </c>
      <c r="H1297" s="12">
        <f>IF(OR(C1297="",NOT(ISNUMBER(E1297))),"",E1297*N(IFERROR(INDEX(Crops!$E$6:$E$65,MATCH(C1297,Crops!$B$6:$B$65,0)),0)))</f>
        <v/>
      </c>
      <c r="I1297" s="11">
        <f>IF(AND(C1297="",E1297=""),"",IF(NOT(ISNUMBER(B1297)),"Needs a date",IF(C1297="","Needs a crop",IF(COUNTIF(Crops!$B$6:$B$65,C1297)=0,"Not on Crops",IF(NOT(ISNUMBER(E1297)),"Needs the amount",IF(AND(D1297&lt;&gt;"",COUNTIF(Beds!$B$6:$B$35,D1297)=0),"Not on Beds",""))))))</f>
        <v/>
      </c>
      <c r="J1297" s="1">
        <f>IF(ISNUMBER(B1297),YEAR(B1297),"")</f>
        <v/>
      </c>
      <c r="K1297">
        <f>IF(ISNUMBER(B1297),YEAR(B1297)*100+MONTH(B1297),"")</f>
        <v/>
      </c>
      <c r="L1297">
        <f>IF(ISNUMBER(B1297),INT(B1297),0)</f>
        <v/>
      </c>
    </row>
    <row r="1298">
      <c r="A1298" s="1" t="n"/>
      <c r="B1298" s="17" t="n"/>
      <c r="C1298" s="18" t="n"/>
      <c r="D1298" s="19" t="n"/>
      <c r="E1298" s="23" t="n"/>
      <c r="F1298" s="21" t="n"/>
      <c r="G1298" s="11">
        <f>IF(C1298="","",IFERROR(INDEX(Crops!$D$6:$D$65,MATCH(C1298,Crops!$B$6:$B$65,0))&amp;"",""))</f>
        <v/>
      </c>
      <c r="H1298" s="12">
        <f>IF(OR(C1298="",NOT(ISNUMBER(E1298))),"",E1298*N(IFERROR(INDEX(Crops!$E$6:$E$65,MATCH(C1298,Crops!$B$6:$B$65,0)),0)))</f>
        <v/>
      </c>
      <c r="I1298" s="11">
        <f>IF(AND(C1298="",E1298=""),"",IF(NOT(ISNUMBER(B1298)),"Needs a date",IF(C1298="","Needs a crop",IF(COUNTIF(Crops!$B$6:$B$65,C1298)=0,"Not on Crops",IF(NOT(ISNUMBER(E1298)),"Needs the amount",IF(AND(D1298&lt;&gt;"",COUNTIF(Beds!$B$6:$B$35,D1298)=0),"Not on Beds",""))))))</f>
        <v/>
      </c>
      <c r="J1298" s="1">
        <f>IF(ISNUMBER(B1298),YEAR(B1298),"")</f>
        <v/>
      </c>
      <c r="K1298">
        <f>IF(ISNUMBER(B1298),YEAR(B1298)*100+MONTH(B1298),"")</f>
        <v/>
      </c>
      <c r="L1298">
        <f>IF(ISNUMBER(B1298),INT(B1298),0)</f>
        <v/>
      </c>
    </row>
    <row r="1299">
      <c r="A1299" s="1" t="n"/>
      <c r="B1299" s="17" t="n"/>
      <c r="C1299" s="18" t="n"/>
      <c r="D1299" s="19" t="n"/>
      <c r="E1299" s="23" t="n"/>
      <c r="F1299" s="21" t="n"/>
      <c r="G1299" s="11">
        <f>IF(C1299="","",IFERROR(INDEX(Crops!$D$6:$D$65,MATCH(C1299,Crops!$B$6:$B$65,0))&amp;"",""))</f>
        <v/>
      </c>
      <c r="H1299" s="12">
        <f>IF(OR(C1299="",NOT(ISNUMBER(E1299))),"",E1299*N(IFERROR(INDEX(Crops!$E$6:$E$65,MATCH(C1299,Crops!$B$6:$B$65,0)),0)))</f>
        <v/>
      </c>
      <c r="I1299" s="11">
        <f>IF(AND(C1299="",E1299=""),"",IF(NOT(ISNUMBER(B1299)),"Needs a date",IF(C1299="","Needs a crop",IF(COUNTIF(Crops!$B$6:$B$65,C1299)=0,"Not on Crops",IF(NOT(ISNUMBER(E1299)),"Needs the amount",IF(AND(D1299&lt;&gt;"",COUNTIF(Beds!$B$6:$B$35,D1299)=0),"Not on Beds",""))))))</f>
        <v/>
      </c>
      <c r="J1299" s="1">
        <f>IF(ISNUMBER(B1299),YEAR(B1299),"")</f>
        <v/>
      </c>
      <c r="K1299">
        <f>IF(ISNUMBER(B1299),YEAR(B1299)*100+MONTH(B1299),"")</f>
        <v/>
      </c>
      <c r="L1299">
        <f>IF(ISNUMBER(B1299),INT(B1299),0)</f>
        <v/>
      </c>
    </row>
    <row r="1300">
      <c r="A1300" s="1" t="n"/>
      <c r="B1300" s="17" t="n"/>
      <c r="C1300" s="18" t="n"/>
      <c r="D1300" s="19" t="n"/>
      <c r="E1300" s="23" t="n"/>
      <c r="F1300" s="21" t="n"/>
      <c r="G1300" s="11">
        <f>IF(C1300="","",IFERROR(INDEX(Crops!$D$6:$D$65,MATCH(C1300,Crops!$B$6:$B$65,0))&amp;"",""))</f>
        <v/>
      </c>
      <c r="H1300" s="12">
        <f>IF(OR(C1300="",NOT(ISNUMBER(E1300))),"",E1300*N(IFERROR(INDEX(Crops!$E$6:$E$65,MATCH(C1300,Crops!$B$6:$B$65,0)),0)))</f>
        <v/>
      </c>
      <c r="I1300" s="11">
        <f>IF(AND(C1300="",E1300=""),"",IF(NOT(ISNUMBER(B1300)),"Needs a date",IF(C1300="","Needs a crop",IF(COUNTIF(Crops!$B$6:$B$65,C1300)=0,"Not on Crops",IF(NOT(ISNUMBER(E1300)),"Needs the amount",IF(AND(D1300&lt;&gt;"",COUNTIF(Beds!$B$6:$B$35,D1300)=0),"Not on Beds",""))))))</f>
        <v/>
      </c>
      <c r="J1300" s="1">
        <f>IF(ISNUMBER(B1300),YEAR(B1300),"")</f>
        <v/>
      </c>
      <c r="K1300">
        <f>IF(ISNUMBER(B1300),YEAR(B1300)*100+MONTH(B1300),"")</f>
        <v/>
      </c>
      <c r="L1300">
        <f>IF(ISNUMBER(B1300),INT(B1300),0)</f>
        <v/>
      </c>
    </row>
    <row r="1301">
      <c r="A1301" s="1" t="n"/>
      <c r="B1301" s="17" t="n"/>
      <c r="C1301" s="18" t="n"/>
      <c r="D1301" s="19" t="n"/>
      <c r="E1301" s="23" t="n"/>
      <c r="F1301" s="21" t="n"/>
      <c r="G1301" s="11">
        <f>IF(C1301="","",IFERROR(INDEX(Crops!$D$6:$D$65,MATCH(C1301,Crops!$B$6:$B$65,0))&amp;"",""))</f>
        <v/>
      </c>
      <c r="H1301" s="12">
        <f>IF(OR(C1301="",NOT(ISNUMBER(E1301))),"",E1301*N(IFERROR(INDEX(Crops!$E$6:$E$65,MATCH(C1301,Crops!$B$6:$B$65,0)),0)))</f>
        <v/>
      </c>
      <c r="I1301" s="11">
        <f>IF(AND(C1301="",E1301=""),"",IF(NOT(ISNUMBER(B1301)),"Needs a date",IF(C1301="","Needs a crop",IF(COUNTIF(Crops!$B$6:$B$65,C1301)=0,"Not on Crops",IF(NOT(ISNUMBER(E1301)),"Needs the amount",IF(AND(D1301&lt;&gt;"",COUNTIF(Beds!$B$6:$B$35,D1301)=0),"Not on Beds",""))))))</f>
        <v/>
      </c>
      <c r="J1301" s="1">
        <f>IF(ISNUMBER(B1301),YEAR(B1301),"")</f>
        <v/>
      </c>
      <c r="K1301">
        <f>IF(ISNUMBER(B1301),YEAR(B1301)*100+MONTH(B1301),"")</f>
        <v/>
      </c>
      <c r="L1301">
        <f>IF(ISNUMBER(B1301),INT(B1301),0)</f>
        <v/>
      </c>
    </row>
    <row r="1302">
      <c r="A1302" s="1" t="n"/>
      <c r="B1302" s="17" t="n"/>
      <c r="C1302" s="18" t="n"/>
      <c r="D1302" s="19" t="n"/>
      <c r="E1302" s="23" t="n"/>
      <c r="F1302" s="21" t="n"/>
      <c r="G1302" s="11">
        <f>IF(C1302="","",IFERROR(INDEX(Crops!$D$6:$D$65,MATCH(C1302,Crops!$B$6:$B$65,0))&amp;"",""))</f>
        <v/>
      </c>
      <c r="H1302" s="12">
        <f>IF(OR(C1302="",NOT(ISNUMBER(E1302))),"",E1302*N(IFERROR(INDEX(Crops!$E$6:$E$65,MATCH(C1302,Crops!$B$6:$B$65,0)),0)))</f>
        <v/>
      </c>
      <c r="I1302" s="11">
        <f>IF(AND(C1302="",E1302=""),"",IF(NOT(ISNUMBER(B1302)),"Needs a date",IF(C1302="","Needs a crop",IF(COUNTIF(Crops!$B$6:$B$65,C1302)=0,"Not on Crops",IF(NOT(ISNUMBER(E1302)),"Needs the amount",IF(AND(D1302&lt;&gt;"",COUNTIF(Beds!$B$6:$B$35,D1302)=0),"Not on Beds",""))))))</f>
        <v/>
      </c>
      <c r="J1302" s="1">
        <f>IF(ISNUMBER(B1302),YEAR(B1302),"")</f>
        <v/>
      </c>
      <c r="K1302">
        <f>IF(ISNUMBER(B1302),YEAR(B1302)*100+MONTH(B1302),"")</f>
        <v/>
      </c>
      <c r="L1302">
        <f>IF(ISNUMBER(B1302),INT(B1302),0)</f>
        <v/>
      </c>
    </row>
    <row r="1303">
      <c r="A1303" s="1" t="n"/>
      <c r="B1303" s="17" t="n"/>
      <c r="C1303" s="18" t="n"/>
      <c r="D1303" s="19" t="n"/>
      <c r="E1303" s="23" t="n"/>
      <c r="F1303" s="21" t="n"/>
      <c r="G1303" s="11">
        <f>IF(C1303="","",IFERROR(INDEX(Crops!$D$6:$D$65,MATCH(C1303,Crops!$B$6:$B$65,0))&amp;"",""))</f>
        <v/>
      </c>
      <c r="H1303" s="12">
        <f>IF(OR(C1303="",NOT(ISNUMBER(E1303))),"",E1303*N(IFERROR(INDEX(Crops!$E$6:$E$65,MATCH(C1303,Crops!$B$6:$B$65,0)),0)))</f>
        <v/>
      </c>
      <c r="I1303" s="11">
        <f>IF(AND(C1303="",E1303=""),"",IF(NOT(ISNUMBER(B1303)),"Needs a date",IF(C1303="","Needs a crop",IF(COUNTIF(Crops!$B$6:$B$65,C1303)=0,"Not on Crops",IF(NOT(ISNUMBER(E1303)),"Needs the amount",IF(AND(D1303&lt;&gt;"",COUNTIF(Beds!$B$6:$B$35,D1303)=0),"Not on Beds",""))))))</f>
        <v/>
      </c>
      <c r="J1303" s="1">
        <f>IF(ISNUMBER(B1303),YEAR(B1303),"")</f>
        <v/>
      </c>
      <c r="K1303">
        <f>IF(ISNUMBER(B1303),YEAR(B1303)*100+MONTH(B1303),"")</f>
        <v/>
      </c>
      <c r="L1303">
        <f>IF(ISNUMBER(B1303),INT(B1303),0)</f>
        <v/>
      </c>
    </row>
    <row r="1304">
      <c r="A1304" s="1" t="n"/>
      <c r="B1304" s="17" t="n"/>
      <c r="C1304" s="18" t="n"/>
      <c r="D1304" s="19" t="n"/>
      <c r="E1304" s="23" t="n"/>
      <c r="F1304" s="21" t="n"/>
      <c r="G1304" s="11">
        <f>IF(C1304="","",IFERROR(INDEX(Crops!$D$6:$D$65,MATCH(C1304,Crops!$B$6:$B$65,0))&amp;"",""))</f>
        <v/>
      </c>
      <c r="H1304" s="12">
        <f>IF(OR(C1304="",NOT(ISNUMBER(E1304))),"",E1304*N(IFERROR(INDEX(Crops!$E$6:$E$65,MATCH(C1304,Crops!$B$6:$B$65,0)),0)))</f>
        <v/>
      </c>
      <c r="I1304" s="11">
        <f>IF(AND(C1304="",E1304=""),"",IF(NOT(ISNUMBER(B1304)),"Needs a date",IF(C1304="","Needs a crop",IF(COUNTIF(Crops!$B$6:$B$65,C1304)=0,"Not on Crops",IF(NOT(ISNUMBER(E1304)),"Needs the amount",IF(AND(D1304&lt;&gt;"",COUNTIF(Beds!$B$6:$B$35,D1304)=0),"Not on Beds",""))))))</f>
        <v/>
      </c>
      <c r="J1304" s="1">
        <f>IF(ISNUMBER(B1304),YEAR(B1304),"")</f>
        <v/>
      </c>
      <c r="K1304">
        <f>IF(ISNUMBER(B1304),YEAR(B1304)*100+MONTH(B1304),"")</f>
        <v/>
      </c>
      <c r="L1304">
        <f>IF(ISNUMBER(B1304),INT(B1304),0)</f>
        <v/>
      </c>
    </row>
    <row r="1305">
      <c r="A1305" s="1" t="n"/>
      <c r="B1305" s="17" t="n"/>
      <c r="C1305" s="18" t="n"/>
      <c r="D1305" s="19" t="n"/>
      <c r="E1305" s="23" t="n"/>
      <c r="F1305" s="21" t="n"/>
      <c r="G1305" s="11">
        <f>IF(C1305="","",IFERROR(INDEX(Crops!$D$6:$D$65,MATCH(C1305,Crops!$B$6:$B$65,0))&amp;"",""))</f>
        <v/>
      </c>
      <c r="H1305" s="12">
        <f>IF(OR(C1305="",NOT(ISNUMBER(E1305))),"",E1305*N(IFERROR(INDEX(Crops!$E$6:$E$65,MATCH(C1305,Crops!$B$6:$B$65,0)),0)))</f>
        <v/>
      </c>
      <c r="I1305" s="11">
        <f>IF(AND(C1305="",E1305=""),"",IF(NOT(ISNUMBER(B1305)),"Needs a date",IF(C1305="","Needs a crop",IF(COUNTIF(Crops!$B$6:$B$65,C1305)=0,"Not on Crops",IF(NOT(ISNUMBER(E1305)),"Needs the amount",IF(AND(D1305&lt;&gt;"",COUNTIF(Beds!$B$6:$B$35,D1305)=0),"Not on Beds",""))))))</f>
        <v/>
      </c>
      <c r="J1305" s="1">
        <f>IF(ISNUMBER(B1305),YEAR(B1305),"")</f>
        <v/>
      </c>
      <c r="K1305">
        <f>IF(ISNUMBER(B1305),YEAR(B1305)*100+MONTH(B1305),"")</f>
        <v/>
      </c>
      <c r="L1305">
        <f>IF(ISNUMBER(B1305),INT(B1305),0)</f>
        <v/>
      </c>
    </row>
    <row r="1306">
      <c r="A1306" s="1" t="n"/>
      <c r="B1306" s="17" t="n"/>
      <c r="C1306" s="18" t="n"/>
      <c r="D1306" s="19" t="n"/>
      <c r="E1306" s="23" t="n"/>
      <c r="F1306" s="21" t="n"/>
      <c r="G1306" s="11">
        <f>IF(C1306="","",IFERROR(INDEX(Crops!$D$6:$D$65,MATCH(C1306,Crops!$B$6:$B$65,0))&amp;"",""))</f>
        <v/>
      </c>
      <c r="H1306" s="12">
        <f>IF(OR(C1306="",NOT(ISNUMBER(E1306))),"",E1306*N(IFERROR(INDEX(Crops!$E$6:$E$65,MATCH(C1306,Crops!$B$6:$B$65,0)),0)))</f>
        <v/>
      </c>
      <c r="I1306" s="11">
        <f>IF(AND(C1306="",E1306=""),"",IF(NOT(ISNUMBER(B1306)),"Needs a date",IF(C1306="","Needs a crop",IF(COUNTIF(Crops!$B$6:$B$65,C1306)=0,"Not on Crops",IF(NOT(ISNUMBER(E1306)),"Needs the amount",IF(AND(D1306&lt;&gt;"",COUNTIF(Beds!$B$6:$B$35,D1306)=0),"Not on Beds",""))))))</f>
        <v/>
      </c>
      <c r="J1306" s="1">
        <f>IF(ISNUMBER(B1306),YEAR(B1306),"")</f>
        <v/>
      </c>
      <c r="K1306">
        <f>IF(ISNUMBER(B1306),YEAR(B1306)*100+MONTH(B1306),"")</f>
        <v/>
      </c>
      <c r="L1306">
        <f>IF(ISNUMBER(B1306),INT(B1306),0)</f>
        <v/>
      </c>
    </row>
    <row r="1307">
      <c r="A1307" s="1" t="n"/>
      <c r="B1307" s="17" t="n"/>
      <c r="C1307" s="18" t="n"/>
      <c r="D1307" s="19" t="n"/>
      <c r="E1307" s="23" t="n"/>
      <c r="F1307" s="21" t="n"/>
      <c r="G1307" s="11">
        <f>IF(C1307="","",IFERROR(INDEX(Crops!$D$6:$D$65,MATCH(C1307,Crops!$B$6:$B$65,0))&amp;"",""))</f>
        <v/>
      </c>
      <c r="H1307" s="12">
        <f>IF(OR(C1307="",NOT(ISNUMBER(E1307))),"",E1307*N(IFERROR(INDEX(Crops!$E$6:$E$65,MATCH(C1307,Crops!$B$6:$B$65,0)),0)))</f>
        <v/>
      </c>
      <c r="I1307" s="11">
        <f>IF(AND(C1307="",E1307=""),"",IF(NOT(ISNUMBER(B1307)),"Needs a date",IF(C1307="","Needs a crop",IF(COUNTIF(Crops!$B$6:$B$65,C1307)=0,"Not on Crops",IF(NOT(ISNUMBER(E1307)),"Needs the amount",IF(AND(D1307&lt;&gt;"",COUNTIF(Beds!$B$6:$B$35,D1307)=0),"Not on Beds",""))))))</f>
        <v/>
      </c>
      <c r="J1307" s="1">
        <f>IF(ISNUMBER(B1307),YEAR(B1307),"")</f>
        <v/>
      </c>
      <c r="K1307">
        <f>IF(ISNUMBER(B1307),YEAR(B1307)*100+MONTH(B1307),"")</f>
        <v/>
      </c>
      <c r="L1307">
        <f>IF(ISNUMBER(B1307),INT(B1307),0)</f>
        <v/>
      </c>
    </row>
    <row r="1308">
      <c r="A1308" s="1" t="n"/>
      <c r="B1308" s="17" t="n"/>
      <c r="C1308" s="18" t="n"/>
      <c r="D1308" s="19" t="n"/>
      <c r="E1308" s="23" t="n"/>
      <c r="F1308" s="21" t="n"/>
      <c r="G1308" s="11">
        <f>IF(C1308="","",IFERROR(INDEX(Crops!$D$6:$D$65,MATCH(C1308,Crops!$B$6:$B$65,0))&amp;"",""))</f>
        <v/>
      </c>
      <c r="H1308" s="12">
        <f>IF(OR(C1308="",NOT(ISNUMBER(E1308))),"",E1308*N(IFERROR(INDEX(Crops!$E$6:$E$65,MATCH(C1308,Crops!$B$6:$B$65,0)),0)))</f>
        <v/>
      </c>
      <c r="I1308" s="11">
        <f>IF(AND(C1308="",E1308=""),"",IF(NOT(ISNUMBER(B1308)),"Needs a date",IF(C1308="","Needs a crop",IF(COUNTIF(Crops!$B$6:$B$65,C1308)=0,"Not on Crops",IF(NOT(ISNUMBER(E1308)),"Needs the amount",IF(AND(D1308&lt;&gt;"",COUNTIF(Beds!$B$6:$B$35,D1308)=0),"Not on Beds",""))))))</f>
        <v/>
      </c>
      <c r="J1308" s="1">
        <f>IF(ISNUMBER(B1308),YEAR(B1308),"")</f>
        <v/>
      </c>
      <c r="K1308">
        <f>IF(ISNUMBER(B1308),YEAR(B1308)*100+MONTH(B1308),"")</f>
        <v/>
      </c>
      <c r="L1308">
        <f>IF(ISNUMBER(B1308),INT(B1308),0)</f>
        <v/>
      </c>
    </row>
    <row r="1309">
      <c r="A1309" s="1" t="n"/>
      <c r="B1309" s="17" t="n"/>
      <c r="C1309" s="18" t="n"/>
      <c r="D1309" s="19" t="n"/>
      <c r="E1309" s="23" t="n"/>
      <c r="F1309" s="21" t="n"/>
      <c r="G1309" s="11">
        <f>IF(C1309="","",IFERROR(INDEX(Crops!$D$6:$D$65,MATCH(C1309,Crops!$B$6:$B$65,0))&amp;"",""))</f>
        <v/>
      </c>
      <c r="H1309" s="12">
        <f>IF(OR(C1309="",NOT(ISNUMBER(E1309))),"",E1309*N(IFERROR(INDEX(Crops!$E$6:$E$65,MATCH(C1309,Crops!$B$6:$B$65,0)),0)))</f>
        <v/>
      </c>
      <c r="I1309" s="11">
        <f>IF(AND(C1309="",E1309=""),"",IF(NOT(ISNUMBER(B1309)),"Needs a date",IF(C1309="","Needs a crop",IF(COUNTIF(Crops!$B$6:$B$65,C1309)=0,"Not on Crops",IF(NOT(ISNUMBER(E1309)),"Needs the amount",IF(AND(D1309&lt;&gt;"",COUNTIF(Beds!$B$6:$B$35,D1309)=0),"Not on Beds",""))))))</f>
        <v/>
      </c>
      <c r="J1309" s="1">
        <f>IF(ISNUMBER(B1309),YEAR(B1309),"")</f>
        <v/>
      </c>
      <c r="K1309">
        <f>IF(ISNUMBER(B1309),YEAR(B1309)*100+MONTH(B1309),"")</f>
        <v/>
      </c>
      <c r="L1309">
        <f>IF(ISNUMBER(B1309),INT(B1309),0)</f>
        <v/>
      </c>
    </row>
    <row r="1310">
      <c r="A1310" s="1" t="n"/>
      <c r="B1310" s="17" t="n"/>
      <c r="C1310" s="18" t="n"/>
      <c r="D1310" s="19" t="n"/>
      <c r="E1310" s="23" t="n"/>
      <c r="F1310" s="21" t="n"/>
      <c r="G1310" s="11">
        <f>IF(C1310="","",IFERROR(INDEX(Crops!$D$6:$D$65,MATCH(C1310,Crops!$B$6:$B$65,0))&amp;"",""))</f>
        <v/>
      </c>
      <c r="H1310" s="12">
        <f>IF(OR(C1310="",NOT(ISNUMBER(E1310))),"",E1310*N(IFERROR(INDEX(Crops!$E$6:$E$65,MATCH(C1310,Crops!$B$6:$B$65,0)),0)))</f>
        <v/>
      </c>
      <c r="I1310" s="11">
        <f>IF(AND(C1310="",E1310=""),"",IF(NOT(ISNUMBER(B1310)),"Needs a date",IF(C1310="","Needs a crop",IF(COUNTIF(Crops!$B$6:$B$65,C1310)=0,"Not on Crops",IF(NOT(ISNUMBER(E1310)),"Needs the amount",IF(AND(D1310&lt;&gt;"",COUNTIF(Beds!$B$6:$B$35,D1310)=0),"Not on Beds",""))))))</f>
        <v/>
      </c>
      <c r="J1310" s="1">
        <f>IF(ISNUMBER(B1310),YEAR(B1310),"")</f>
        <v/>
      </c>
      <c r="K1310">
        <f>IF(ISNUMBER(B1310),YEAR(B1310)*100+MONTH(B1310),"")</f>
        <v/>
      </c>
      <c r="L1310">
        <f>IF(ISNUMBER(B1310),INT(B1310),0)</f>
        <v/>
      </c>
    </row>
    <row r="1311">
      <c r="A1311" s="1" t="n"/>
      <c r="B1311" s="17" t="n"/>
      <c r="C1311" s="18" t="n"/>
      <c r="D1311" s="19" t="n"/>
      <c r="E1311" s="23" t="n"/>
      <c r="F1311" s="21" t="n"/>
      <c r="G1311" s="11">
        <f>IF(C1311="","",IFERROR(INDEX(Crops!$D$6:$D$65,MATCH(C1311,Crops!$B$6:$B$65,0))&amp;"",""))</f>
        <v/>
      </c>
      <c r="H1311" s="12">
        <f>IF(OR(C1311="",NOT(ISNUMBER(E1311))),"",E1311*N(IFERROR(INDEX(Crops!$E$6:$E$65,MATCH(C1311,Crops!$B$6:$B$65,0)),0)))</f>
        <v/>
      </c>
      <c r="I1311" s="11">
        <f>IF(AND(C1311="",E1311=""),"",IF(NOT(ISNUMBER(B1311)),"Needs a date",IF(C1311="","Needs a crop",IF(COUNTIF(Crops!$B$6:$B$65,C1311)=0,"Not on Crops",IF(NOT(ISNUMBER(E1311)),"Needs the amount",IF(AND(D1311&lt;&gt;"",COUNTIF(Beds!$B$6:$B$35,D1311)=0),"Not on Beds",""))))))</f>
        <v/>
      </c>
      <c r="J1311" s="1">
        <f>IF(ISNUMBER(B1311),YEAR(B1311),"")</f>
        <v/>
      </c>
      <c r="K1311">
        <f>IF(ISNUMBER(B1311),YEAR(B1311)*100+MONTH(B1311),"")</f>
        <v/>
      </c>
      <c r="L1311">
        <f>IF(ISNUMBER(B1311),INT(B1311),0)</f>
        <v/>
      </c>
    </row>
    <row r="1312">
      <c r="A1312" s="1" t="n"/>
      <c r="B1312" s="17" t="n"/>
      <c r="C1312" s="18" t="n"/>
      <c r="D1312" s="19" t="n"/>
      <c r="E1312" s="23" t="n"/>
      <c r="F1312" s="21" t="n"/>
      <c r="G1312" s="11">
        <f>IF(C1312="","",IFERROR(INDEX(Crops!$D$6:$D$65,MATCH(C1312,Crops!$B$6:$B$65,0))&amp;"",""))</f>
        <v/>
      </c>
      <c r="H1312" s="12">
        <f>IF(OR(C1312="",NOT(ISNUMBER(E1312))),"",E1312*N(IFERROR(INDEX(Crops!$E$6:$E$65,MATCH(C1312,Crops!$B$6:$B$65,0)),0)))</f>
        <v/>
      </c>
      <c r="I1312" s="11">
        <f>IF(AND(C1312="",E1312=""),"",IF(NOT(ISNUMBER(B1312)),"Needs a date",IF(C1312="","Needs a crop",IF(COUNTIF(Crops!$B$6:$B$65,C1312)=0,"Not on Crops",IF(NOT(ISNUMBER(E1312)),"Needs the amount",IF(AND(D1312&lt;&gt;"",COUNTIF(Beds!$B$6:$B$35,D1312)=0),"Not on Beds",""))))))</f>
        <v/>
      </c>
      <c r="J1312" s="1">
        <f>IF(ISNUMBER(B1312),YEAR(B1312),"")</f>
        <v/>
      </c>
      <c r="K1312">
        <f>IF(ISNUMBER(B1312),YEAR(B1312)*100+MONTH(B1312),"")</f>
        <v/>
      </c>
      <c r="L1312">
        <f>IF(ISNUMBER(B1312),INT(B1312),0)</f>
        <v/>
      </c>
    </row>
    <row r="1313">
      <c r="A1313" s="1" t="n"/>
      <c r="B1313" s="17" t="n"/>
      <c r="C1313" s="18" t="n"/>
      <c r="D1313" s="19" t="n"/>
      <c r="E1313" s="23" t="n"/>
      <c r="F1313" s="21" t="n"/>
      <c r="G1313" s="11">
        <f>IF(C1313="","",IFERROR(INDEX(Crops!$D$6:$D$65,MATCH(C1313,Crops!$B$6:$B$65,0))&amp;"",""))</f>
        <v/>
      </c>
      <c r="H1313" s="12">
        <f>IF(OR(C1313="",NOT(ISNUMBER(E1313))),"",E1313*N(IFERROR(INDEX(Crops!$E$6:$E$65,MATCH(C1313,Crops!$B$6:$B$65,0)),0)))</f>
        <v/>
      </c>
      <c r="I1313" s="11">
        <f>IF(AND(C1313="",E1313=""),"",IF(NOT(ISNUMBER(B1313)),"Needs a date",IF(C1313="","Needs a crop",IF(COUNTIF(Crops!$B$6:$B$65,C1313)=0,"Not on Crops",IF(NOT(ISNUMBER(E1313)),"Needs the amount",IF(AND(D1313&lt;&gt;"",COUNTIF(Beds!$B$6:$B$35,D1313)=0),"Not on Beds",""))))))</f>
        <v/>
      </c>
      <c r="J1313" s="1">
        <f>IF(ISNUMBER(B1313),YEAR(B1313),"")</f>
        <v/>
      </c>
      <c r="K1313">
        <f>IF(ISNUMBER(B1313),YEAR(B1313)*100+MONTH(B1313),"")</f>
        <v/>
      </c>
      <c r="L1313">
        <f>IF(ISNUMBER(B1313),INT(B1313),0)</f>
        <v/>
      </c>
    </row>
    <row r="1314">
      <c r="A1314" s="1" t="n"/>
      <c r="B1314" s="17" t="n"/>
      <c r="C1314" s="18" t="n"/>
      <c r="D1314" s="19" t="n"/>
      <c r="E1314" s="23" t="n"/>
      <c r="F1314" s="21" t="n"/>
      <c r="G1314" s="11">
        <f>IF(C1314="","",IFERROR(INDEX(Crops!$D$6:$D$65,MATCH(C1314,Crops!$B$6:$B$65,0))&amp;"",""))</f>
        <v/>
      </c>
      <c r="H1314" s="12">
        <f>IF(OR(C1314="",NOT(ISNUMBER(E1314))),"",E1314*N(IFERROR(INDEX(Crops!$E$6:$E$65,MATCH(C1314,Crops!$B$6:$B$65,0)),0)))</f>
        <v/>
      </c>
      <c r="I1314" s="11">
        <f>IF(AND(C1314="",E1314=""),"",IF(NOT(ISNUMBER(B1314)),"Needs a date",IF(C1314="","Needs a crop",IF(COUNTIF(Crops!$B$6:$B$65,C1314)=0,"Not on Crops",IF(NOT(ISNUMBER(E1314)),"Needs the amount",IF(AND(D1314&lt;&gt;"",COUNTIF(Beds!$B$6:$B$35,D1314)=0),"Not on Beds",""))))))</f>
        <v/>
      </c>
      <c r="J1314" s="1">
        <f>IF(ISNUMBER(B1314),YEAR(B1314),"")</f>
        <v/>
      </c>
      <c r="K1314">
        <f>IF(ISNUMBER(B1314),YEAR(B1314)*100+MONTH(B1314),"")</f>
        <v/>
      </c>
      <c r="L1314">
        <f>IF(ISNUMBER(B1314),INT(B1314),0)</f>
        <v/>
      </c>
    </row>
    <row r="1315">
      <c r="A1315" s="1" t="n"/>
      <c r="B1315" s="17" t="n"/>
      <c r="C1315" s="18" t="n"/>
      <c r="D1315" s="19" t="n"/>
      <c r="E1315" s="23" t="n"/>
      <c r="F1315" s="21" t="n"/>
      <c r="G1315" s="11">
        <f>IF(C1315="","",IFERROR(INDEX(Crops!$D$6:$D$65,MATCH(C1315,Crops!$B$6:$B$65,0))&amp;"",""))</f>
        <v/>
      </c>
      <c r="H1315" s="12">
        <f>IF(OR(C1315="",NOT(ISNUMBER(E1315))),"",E1315*N(IFERROR(INDEX(Crops!$E$6:$E$65,MATCH(C1315,Crops!$B$6:$B$65,0)),0)))</f>
        <v/>
      </c>
      <c r="I1315" s="11">
        <f>IF(AND(C1315="",E1315=""),"",IF(NOT(ISNUMBER(B1315)),"Needs a date",IF(C1315="","Needs a crop",IF(COUNTIF(Crops!$B$6:$B$65,C1315)=0,"Not on Crops",IF(NOT(ISNUMBER(E1315)),"Needs the amount",IF(AND(D1315&lt;&gt;"",COUNTIF(Beds!$B$6:$B$35,D1315)=0),"Not on Beds",""))))))</f>
        <v/>
      </c>
      <c r="J1315" s="1">
        <f>IF(ISNUMBER(B1315),YEAR(B1315),"")</f>
        <v/>
      </c>
      <c r="K1315">
        <f>IF(ISNUMBER(B1315),YEAR(B1315)*100+MONTH(B1315),"")</f>
        <v/>
      </c>
      <c r="L1315">
        <f>IF(ISNUMBER(B1315),INT(B1315),0)</f>
        <v/>
      </c>
    </row>
    <row r="1316">
      <c r="A1316" s="1" t="n"/>
      <c r="B1316" s="17" t="n"/>
      <c r="C1316" s="18" t="n"/>
      <c r="D1316" s="19" t="n"/>
      <c r="E1316" s="23" t="n"/>
      <c r="F1316" s="21" t="n"/>
      <c r="G1316" s="11">
        <f>IF(C1316="","",IFERROR(INDEX(Crops!$D$6:$D$65,MATCH(C1316,Crops!$B$6:$B$65,0))&amp;"",""))</f>
        <v/>
      </c>
      <c r="H1316" s="12">
        <f>IF(OR(C1316="",NOT(ISNUMBER(E1316))),"",E1316*N(IFERROR(INDEX(Crops!$E$6:$E$65,MATCH(C1316,Crops!$B$6:$B$65,0)),0)))</f>
        <v/>
      </c>
      <c r="I1316" s="11">
        <f>IF(AND(C1316="",E1316=""),"",IF(NOT(ISNUMBER(B1316)),"Needs a date",IF(C1316="","Needs a crop",IF(COUNTIF(Crops!$B$6:$B$65,C1316)=0,"Not on Crops",IF(NOT(ISNUMBER(E1316)),"Needs the amount",IF(AND(D1316&lt;&gt;"",COUNTIF(Beds!$B$6:$B$35,D1316)=0),"Not on Beds",""))))))</f>
        <v/>
      </c>
      <c r="J1316" s="1">
        <f>IF(ISNUMBER(B1316),YEAR(B1316),"")</f>
        <v/>
      </c>
      <c r="K1316">
        <f>IF(ISNUMBER(B1316),YEAR(B1316)*100+MONTH(B1316),"")</f>
        <v/>
      </c>
      <c r="L1316">
        <f>IF(ISNUMBER(B1316),INT(B1316),0)</f>
        <v/>
      </c>
    </row>
    <row r="1317">
      <c r="A1317" s="1" t="n"/>
      <c r="B1317" s="17" t="n"/>
      <c r="C1317" s="18" t="n"/>
      <c r="D1317" s="19" t="n"/>
      <c r="E1317" s="23" t="n"/>
      <c r="F1317" s="21" t="n"/>
      <c r="G1317" s="11">
        <f>IF(C1317="","",IFERROR(INDEX(Crops!$D$6:$D$65,MATCH(C1317,Crops!$B$6:$B$65,0))&amp;"",""))</f>
        <v/>
      </c>
      <c r="H1317" s="12">
        <f>IF(OR(C1317="",NOT(ISNUMBER(E1317))),"",E1317*N(IFERROR(INDEX(Crops!$E$6:$E$65,MATCH(C1317,Crops!$B$6:$B$65,0)),0)))</f>
        <v/>
      </c>
      <c r="I1317" s="11">
        <f>IF(AND(C1317="",E1317=""),"",IF(NOT(ISNUMBER(B1317)),"Needs a date",IF(C1317="","Needs a crop",IF(COUNTIF(Crops!$B$6:$B$65,C1317)=0,"Not on Crops",IF(NOT(ISNUMBER(E1317)),"Needs the amount",IF(AND(D1317&lt;&gt;"",COUNTIF(Beds!$B$6:$B$35,D1317)=0),"Not on Beds",""))))))</f>
        <v/>
      </c>
      <c r="J1317" s="1">
        <f>IF(ISNUMBER(B1317),YEAR(B1317),"")</f>
        <v/>
      </c>
      <c r="K1317">
        <f>IF(ISNUMBER(B1317),YEAR(B1317)*100+MONTH(B1317),"")</f>
        <v/>
      </c>
      <c r="L1317">
        <f>IF(ISNUMBER(B1317),INT(B1317),0)</f>
        <v/>
      </c>
    </row>
    <row r="1318">
      <c r="A1318" s="1" t="n"/>
      <c r="B1318" s="17" t="n"/>
      <c r="C1318" s="18" t="n"/>
      <c r="D1318" s="19" t="n"/>
      <c r="E1318" s="23" t="n"/>
      <c r="F1318" s="21" t="n"/>
      <c r="G1318" s="11">
        <f>IF(C1318="","",IFERROR(INDEX(Crops!$D$6:$D$65,MATCH(C1318,Crops!$B$6:$B$65,0))&amp;"",""))</f>
        <v/>
      </c>
      <c r="H1318" s="12">
        <f>IF(OR(C1318="",NOT(ISNUMBER(E1318))),"",E1318*N(IFERROR(INDEX(Crops!$E$6:$E$65,MATCH(C1318,Crops!$B$6:$B$65,0)),0)))</f>
        <v/>
      </c>
      <c r="I1318" s="11">
        <f>IF(AND(C1318="",E1318=""),"",IF(NOT(ISNUMBER(B1318)),"Needs a date",IF(C1318="","Needs a crop",IF(COUNTIF(Crops!$B$6:$B$65,C1318)=0,"Not on Crops",IF(NOT(ISNUMBER(E1318)),"Needs the amount",IF(AND(D1318&lt;&gt;"",COUNTIF(Beds!$B$6:$B$35,D1318)=0),"Not on Beds",""))))))</f>
        <v/>
      </c>
      <c r="J1318" s="1">
        <f>IF(ISNUMBER(B1318),YEAR(B1318),"")</f>
        <v/>
      </c>
      <c r="K1318">
        <f>IF(ISNUMBER(B1318),YEAR(B1318)*100+MONTH(B1318),"")</f>
        <v/>
      </c>
      <c r="L1318">
        <f>IF(ISNUMBER(B1318),INT(B1318),0)</f>
        <v/>
      </c>
    </row>
    <row r="1319">
      <c r="A1319" s="1" t="n"/>
      <c r="B1319" s="17" t="n"/>
      <c r="C1319" s="18" t="n"/>
      <c r="D1319" s="19" t="n"/>
      <c r="E1319" s="23" t="n"/>
      <c r="F1319" s="21" t="n"/>
      <c r="G1319" s="11">
        <f>IF(C1319="","",IFERROR(INDEX(Crops!$D$6:$D$65,MATCH(C1319,Crops!$B$6:$B$65,0))&amp;"",""))</f>
        <v/>
      </c>
      <c r="H1319" s="12">
        <f>IF(OR(C1319="",NOT(ISNUMBER(E1319))),"",E1319*N(IFERROR(INDEX(Crops!$E$6:$E$65,MATCH(C1319,Crops!$B$6:$B$65,0)),0)))</f>
        <v/>
      </c>
      <c r="I1319" s="11">
        <f>IF(AND(C1319="",E1319=""),"",IF(NOT(ISNUMBER(B1319)),"Needs a date",IF(C1319="","Needs a crop",IF(COUNTIF(Crops!$B$6:$B$65,C1319)=0,"Not on Crops",IF(NOT(ISNUMBER(E1319)),"Needs the amount",IF(AND(D1319&lt;&gt;"",COUNTIF(Beds!$B$6:$B$35,D1319)=0),"Not on Beds",""))))))</f>
        <v/>
      </c>
      <c r="J1319" s="1">
        <f>IF(ISNUMBER(B1319),YEAR(B1319),"")</f>
        <v/>
      </c>
      <c r="K1319">
        <f>IF(ISNUMBER(B1319),YEAR(B1319)*100+MONTH(B1319),"")</f>
        <v/>
      </c>
      <c r="L1319">
        <f>IF(ISNUMBER(B1319),INT(B1319),0)</f>
        <v/>
      </c>
    </row>
    <row r="1320">
      <c r="A1320" s="1" t="n"/>
      <c r="B1320" s="17" t="n"/>
      <c r="C1320" s="18" t="n"/>
      <c r="D1320" s="19" t="n"/>
      <c r="E1320" s="23" t="n"/>
      <c r="F1320" s="21" t="n"/>
      <c r="G1320" s="11">
        <f>IF(C1320="","",IFERROR(INDEX(Crops!$D$6:$D$65,MATCH(C1320,Crops!$B$6:$B$65,0))&amp;"",""))</f>
        <v/>
      </c>
      <c r="H1320" s="12">
        <f>IF(OR(C1320="",NOT(ISNUMBER(E1320))),"",E1320*N(IFERROR(INDEX(Crops!$E$6:$E$65,MATCH(C1320,Crops!$B$6:$B$65,0)),0)))</f>
        <v/>
      </c>
      <c r="I1320" s="11">
        <f>IF(AND(C1320="",E1320=""),"",IF(NOT(ISNUMBER(B1320)),"Needs a date",IF(C1320="","Needs a crop",IF(COUNTIF(Crops!$B$6:$B$65,C1320)=0,"Not on Crops",IF(NOT(ISNUMBER(E1320)),"Needs the amount",IF(AND(D1320&lt;&gt;"",COUNTIF(Beds!$B$6:$B$35,D1320)=0),"Not on Beds",""))))))</f>
        <v/>
      </c>
      <c r="J1320" s="1">
        <f>IF(ISNUMBER(B1320),YEAR(B1320),"")</f>
        <v/>
      </c>
      <c r="K1320">
        <f>IF(ISNUMBER(B1320),YEAR(B1320)*100+MONTH(B1320),"")</f>
        <v/>
      </c>
      <c r="L1320">
        <f>IF(ISNUMBER(B1320),INT(B1320),0)</f>
        <v/>
      </c>
    </row>
    <row r="1321">
      <c r="A1321" s="1" t="n"/>
      <c r="B1321" s="17" t="n"/>
      <c r="C1321" s="18" t="n"/>
      <c r="D1321" s="19" t="n"/>
      <c r="E1321" s="23" t="n"/>
      <c r="F1321" s="21" t="n"/>
      <c r="G1321" s="11">
        <f>IF(C1321="","",IFERROR(INDEX(Crops!$D$6:$D$65,MATCH(C1321,Crops!$B$6:$B$65,0))&amp;"",""))</f>
        <v/>
      </c>
      <c r="H1321" s="12">
        <f>IF(OR(C1321="",NOT(ISNUMBER(E1321))),"",E1321*N(IFERROR(INDEX(Crops!$E$6:$E$65,MATCH(C1321,Crops!$B$6:$B$65,0)),0)))</f>
        <v/>
      </c>
      <c r="I1321" s="11">
        <f>IF(AND(C1321="",E1321=""),"",IF(NOT(ISNUMBER(B1321)),"Needs a date",IF(C1321="","Needs a crop",IF(COUNTIF(Crops!$B$6:$B$65,C1321)=0,"Not on Crops",IF(NOT(ISNUMBER(E1321)),"Needs the amount",IF(AND(D1321&lt;&gt;"",COUNTIF(Beds!$B$6:$B$35,D1321)=0),"Not on Beds",""))))))</f>
        <v/>
      </c>
      <c r="J1321" s="1">
        <f>IF(ISNUMBER(B1321),YEAR(B1321),"")</f>
        <v/>
      </c>
      <c r="K1321">
        <f>IF(ISNUMBER(B1321),YEAR(B1321)*100+MONTH(B1321),"")</f>
        <v/>
      </c>
      <c r="L1321">
        <f>IF(ISNUMBER(B1321),INT(B1321),0)</f>
        <v/>
      </c>
    </row>
    <row r="1322">
      <c r="A1322" s="1" t="n"/>
      <c r="B1322" s="17" t="n"/>
      <c r="C1322" s="18" t="n"/>
      <c r="D1322" s="19" t="n"/>
      <c r="E1322" s="23" t="n"/>
      <c r="F1322" s="21" t="n"/>
      <c r="G1322" s="11">
        <f>IF(C1322="","",IFERROR(INDEX(Crops!$D$6:$D$65,MATCH(C1322,Crops!$B$6:$B$65,0))&amp;"",""))</f>
        <v/>
      </c>
      <c r="H1322" s="12">
        <f>IF(OR(C1322="",NOT(ISNUMBER(E1322))),"",E1322*N(IFERROR(INDEX(Crops!$E$6:$E$65,MATCH(C1322,Crops!$B$6:$B$65,0)),0)))</f>
        <v/>
      </c>
      <c r="I1322" s="11">
        <f>IF(AND(C1322="",E1322=""),"",IF(NOT(ISNUMBER(B1322)),"Needs a date",IF(C1322="","Needs a crop",IF(COUNTIF(Crops!$B$6:$B$65,C1322)=0,"Not on Crops",IF(NOT(ISNUMBER(E1322)),"Needs the amount",IF(AND(D1322&lt;&gt;"",COUNTIF(Beds!$B$6:$B$35,D1322)=0),"Not on Beds",""))))))</f>
        <v/>
      </c>
      <c r="J1322" s="1">
        <f>IF(ISNUMBER(B1322),YEAR(B1322),"")</f>
        <v/>
      </c>
      <c r="K1322">
        <f>IF(ISNUMBER(B1322),YEAR(B1322)*100+MONTH(B1322),"")</f>
        <v/>
      </c>
      <c r="L1322">
        <f>IF(ISNUMBER(B1322),INT(B1322),0)</f>
        <v/>
      </c>
    </row>
    <row r="1323">
      <c r="A1323" s="1" t="n"/>
      <c r="B1323" s="17" t="n"/>
      <c r="C1323" s="18" t="n"/>
      <c r="D1323" s="19" t="n"/>
      <c r="E1323" s="23" t="n"/>
      <c r="F1323" s="21" t="n"/>
      <c r="G1323" s="11">
        <f>IF(C1323="","",IFERROR(INDEX(Crops!$D$6:$D$65,MATCH(C1323,Crops!$B$6:$B$65,0))&amp;"",""))</f>
        <v/>
      </c>
      <c r="H1323" s="12">
        <f>IF(OR(C1323="",NOT(ISNUMBER(E1323))),"",E1323*N(IFERROR(INDEX(Crops!$E$6:$E$65,MATCH(C1323,Crops!$B$6:$B$65,0)),0)))</f>
        <v/>
      </c>
      <c r="I1323" s="11">
        <f>IF(AND(C1323="",E1323=""),"",IF(NOT(ISNUMBER(B1323)),"Needs a date",IF(C1323="","Needs a crop",IF(COUNTIF(Crops!$B$6:$B$65,C1323)=0,"Not on Crops",IF(NOT(ISNUMBER(E1323)),"Needs the amount",IF(AND(D1323&lt;&gt;"",COUNTIF(Beds!$B$6:$B$35,D1323)=0),"Not on Beds",""))))))</f>
        <v/>
      </c>
      <c r="J1323" s="1">
        <f>IF(ISNUMBER(B1323),YEAR(B1323),"")</f>
        <v/>
      </c>
      <c r="K1323">
        <f>IF(ISNUMBER(B1323),YEAR(B1323)*100+MONTH(B1323),"")</f>
        <v/>
      </c>
      <c r="L1323">
        <f>IF(ISNUMBER(B1323),INT(B1323),0)</f>
        <v/>
      </c>
    </row>
    <row r="1324">
      <c r="A1324" s="1" t="n"/>
      <c r="B1324" s="17" t="n"/>
      <c r="C1324" s="18" t="n"/>
      <c r="D1324" s="19" t="n"/>
      <c r="E1324" s="23" t="n"/>
      <c r="F1324" s="21" t="n"/>
      <c r="G1324" s="11">
        <f>IF(C1324="","",IFERROR(INDEX(Crops!$D$6:$D$65,MATCH(C1324,Crops!$B$6:$B$65,0))&amp;"",""))</f>
        <v/>
      </c>
      <c r="H1324" s="12">
        <f>IF(OR(C1324="",NOT(ISNUMBER(E1324))),"",E1324*N(IFERROR(INDEX(Crops!$E$6:$E$65,MATCH(C1324,Crops!$B$6:$B$65,0)),0)))</f>
        <v/>
      </c>
      <c r="I1324" s="11">
        <f>IF(AND(C1324="",E1324=""),"",IF(NOT(ISNUMBER(B1324)),"Needs a date",IF(C1324="","Needs a crop",IF(COUNTIF(Crops!$B$6:$B$65,C1324)=0,"Not on Crops",IF(NOT(ISNUMBER(E1324)),"Needs the amount",IF(AND(D1324&lt;&gt;"",COUNTIF(Beds!$B$6:$B$35,D1324)=0),"Not on Beds",""))))))</f>
        <v/>
      </c>
      <c r="J1324" s="1">
        <f>IF(ISNUMBER(B1324),YEAR(B1324),"")</f>
        <v/>
      </c>
      <c r="K1324">
        <f>IF(ISNUMBER(B1324),YEAR(B1324)*100+MONTH(B1324),"")</f>
        <v/>
      </c>
      <c r="L1324">
        <f>IF(ISNUMBER(B1324),INT(B1324),0)</f>
        <v/>
      </c>
    </row>
    <row r="1325">
      <c r="A1325" s="1" t="n"/>
      <c r="B1325" s="17" t="n"/>
      <c r="C1325" s="18" t="n"/>
      <c r="D1325" s="19" t="n"/>
      <c r="E1325" s="23" t="n"/>
      <c r="F1325" s="21" t="n"/>
      <c r="G1325" s="11">
        <f>IF(C1325="","",IFERROR(INDEX(Crops!$D$6:$D$65,MATCH(C1325,Crops!$B$6:$B$65,0))&amp;"",""))</f>
        <v/>
      </c>
      <c r="H1325" s="12">
        <f>IF(OR(C1325="",NOT(ISNUMBER(E1325))),"",E1325*N(IFERROR(INDEX(Crops!$E$6:$E$65,MATCH(C1325,Crops!$B$6:$B$65,0)),0)))</f>
        <v/>
      </c>
      <c r="I1325" s="11">
        <f>IF(AND(C1325="",E1325=""),"",IF(NOT(ISNUMBER(B1325)),"Needs a date",IF(C1325="","Needs a crop",IF(COUNTIF(Crops!$B$6:$B$65,C1325)=0,"Not on Crops",IF(NOT(ISNUMBER(E1325)),"Needs the amount",IF(AND(D1325&lt;&gt;"",COUNTIF(Beds!$B$6:$B$35,D1325)=0),"Not on Beds",""))))))</f>
        <v/>
      </c>
      <c r="J1325" s="1">
        <f>IF(ISNUMBER(B1325),YEAR(B1325),"")</f>
        <v/>
      </c>
      <c r="K1325">
        <f>IF(ISNUMBER(B1325),YEAR(B1325)*100+MONTH(B1325),"")</f>
        <v/>
      </c>
      <c r="L1325">
        <f>IF(ISNUMBER(B1325),INT(B1325),0)</f>
        <v/>
      </c>
    </row>
    <row r="1326">
      <c r="A1326" s="1" t="n"/>
      <c r="B1326" s="17" t="n"/>
      <c r="C1326" s="18" t="n"/>
      <c r="D1326" s="19" t="n"/>
      <c r="E1326" s="23" t="n"/>
      <c r="F1326" s="21" t="n"/>
      <c r="G1326" s="11">
        <f>IF(C1326="","",IFERROR(INDEX(Crops!$D$6:$D$65,MATCH(C1326,Crops!$B$6:$B$65,0))&amp;"",""))</f>
        <v/>
      </c>
      <c r="H1326" s="12">
        <f>IF(OR(C1326="",NOT(ISNUMBER(E1326))),"",E1326*N(IFERROR(INDEX(Crops!$E$6:$E$65,MATCH(C1326,Crops!$B$6:$B$65,0)),0)))</f>
        <v/>
      </c>
      <c r="I1326" s="11">
        <f>IF(AND(C1326="",E1326=""),"",IF(NOT(ISNUMBER(B1326)),"Needs a date",IF(C1326="","Needs a crop",IF(COUNTIF(Crops!$B$6:$B$65,C1326)=0,"Not on Crops",IF(NOT(ISNUMBER(E1326)),"Needs the amount",IF(AND(D1326&lt;&gt;"",COUNTIF(Beds!$B$6:$B$35,D1326)=0),"Not on Beds",""))))))</f>
        <v/>
      </c>
      <c r="J1326" s="1">
        <f>IF(ISNUMBER(B1326),YEAR(B1326),"")</f>
        <v/>
      </c>
      <c r="K1326">
        <f>IF(ISNUMBER(B1326),YEAR(B1326)*100+MONTH(B1326),"")</f>
        <v/>
      </c>
      <c r="L1326">
        <f>IF(ISNUMBER(B1326),INT(B1326),0)</f>
        <v/>
      </c>
    </row>
    <row r="1327">
      <c r="A1327" s="1" t="n"/>
      <c r="B1327" s="17" t="n"/>
      <c r="C1327" s="18" t="n"/>
      <c r="D1327" s="19" t="n"/>
      <c r="E1327" s="23" t="n"/>
      <c r="F1327" s="21" t="n"/>
      <c r="G1327" s="11">
        <f>IF(C1327="","",IFERROR(INDEX(Crops!$D$6:$D$65,MATCH(C1327,Crops!$B$6:$B$65,0))&amp;"",""))</f>
        <v/>
      </c>
      <c r="H1327" s="12">
        <f>IF(OR(C1327="",NOT(ISNUMBER(E1327))),"",E1327*N(IFERROR(INDEX(Crops!$E$6:$E$65,MATCH(C1327,Crops!$B$6:$B$65,0)),0)))</f>
        <v/>
      </c>
      <c r="I1327" s="11">
        <f>IF(AND(C1327="",E1327=""),"",IF(NOT(ISNUMBER(B1327)),"Needs a date",IF(C1327="","Needs a crop",IF(COUNTIF(Crops!$B$6:$B$65,C1327)=0,"Not on Crops",IF(NOT(ISNUMBER(E1327)),"Needs the amount",IF(AND(D1327&lt;&gt;"",COUNTIF(Beds!$B$6:$B$35,D1327)=0),"Not on Beds",""))))))</f>
        <v/>
      </c>
      <c r="J1327" s="1">
        <f>IF(ISNUMBER(B1327),YEAR(B1327),"")</f>
        <v/>
      </c>
      <c r="K1327">
        <f>IF(ISNUMBER(B1327),YEAR(B1327)*100+MONTH(B1327),"")</f>
        <v/>
      </c>
      <c r="L1327">
        <f>IF(ISNUMBER(B1327),INT(B1327),0)</f>
        <v/>
      </c>
    </row>
    <row r="1328">
      <c r="A1328" s="1" t="n"/>
      <c r="B1328" s="17" t="n"/>
      <c r="C1328" s="18" t="n"/>
      <c r="D1328" s="19" t="n"/>
      <c r="E1328" s="23" t="n"/>
      <c r="F1328" s="21" t="n"/>
      <c r="G1328" s="11">
        <f>IF(C1328="","",IFERROR(INDEX(Crops!$D$6:$D$65,MATCH(C1328,Crops!$B$6:$B$65,0))&amp;"",""))</f>
        <v/>
      </c>
      <c r="H1328" s="12">
        <f>IF(OR(C1328="",NOT(ISNUMBER(E1328))),"",E1328*N(IFERROR(INDEX(Crops!$E$6:$E$65,MATCH(C1328,Crops!$B$6:$B$65,0)),0)))</f>
        <v/>
      </c>
      <c r="I1328" s="11">
        <f>IF(AND(C1328="",E1328=""),"",IF(NOT(ISNUMBER(B1328)),"Needs a date",IF(C1328="","Needs a crop",IF(COUNTIF(Crops!$B$6:$B$65,C1328)=0,"Not on Crops",IF(NOT(ISNUMBER(E1328)),"Needs the amount",IF(AND(D1328&lt;&gt;"",COUNTIF(Beds!$B$6:$B$35,D1328)=0),"Not on Beds",""))))))</f>
        <v/>
      </c>
      <c r="J1328" s="1">
        <f>IF(ISNUMBER(B1328),YEAR(B1328),"")</f>
        <v/>
      </c>
      <c r="K1328">
        <f>IF(ISNUMBER(B1328),YEAR(B1328)*100+MONTH(B1328),"")</f>
        <v/>
      </c>
      <c r="L1328">
        <f>IF(ISNUMBER(B1328),INT(B1328),0)</f>
        <v/>
      </c>
    </row>
    <row r="1329">
      <c r="A1329" s="1" t="n"/>
      <c r="B1329" s="17" t="n"/>
      <c r="C1329" s="18" t="n"/>
      <c r="D1329" s="19" t="n"/>
      <c r="E1329" s="23" t="n"/>
      <c r="F1329" s="21" t="n"/>
      <c r="G1329" s="11">
        <f>IF(C1329="","",IFERROR(INDEX(Crops!$D$6:$D$65,MATCH(C1329,Crops!$B$6:$B$65,0))&amp;"",""))</f>
        <v/>
      </c>
      <c r="H1329" s="12">
        <f>IF(OR(C1329="",NOT(ISNUMBER(E1329))),"",E1329*N(IFERROR(INDEX(Crops!$E$6:$E$65,MATCH(C1329,Crops!$B$6:$B$65,0)),0)))</f>
        <v/>
      </c>
      <c r="I1329" s="11">
        <f>IF(AND(C1329="",E1329=""),"",IF(NOT(ISNUMBER(B1329)),"Needs a date",IF(C1329="","Needs a crop",IF(COUNTIF(Crops!$B$6:$B$65,C1329)=0,"Not on Crops",IF(NOT(ISNUMBER(E1329)),"Needs the amount",IF(AND(D1329&lt;&gt;"",COUNTIF(Beds!$B$6:$B$35,D1329)=0),"Not on Beds",""))))))</f>
        <v/>
      </c>
      <c r="J1329" s="1">
        <f>IF(ISNUMBER(B1329),YEAR(B1329),"")</f>
        <v/>
      </c>
      <c r="K1329">
        <f>IF(ISNUMBER(B1329),YEAR(B1329)*100+MONTH(B1329),"")</f>
        <v/>
      </c>
      <c r="L1329">
        <f>IF(ISNUMBER(B1329),INT(B1329),0)</f>
        <v/>
      </c>
    </row>
    <row r="1330">
      <c r="A1330" s="1" t="n"/>
      <c r="B1330" s="17" t="n"/>
      <c r="C1330" s="18" t="n"/>
      <c r="D1330" s="19" t="n"/>
      <c r="E1330" s="23" t="n"/>
      <c r="F1330" s="21" t="n"/>
      <c r="G1330" s="11">
        <f>IF(C1330="","",IFERROR(INDEX(Crops!$D$6:$D$65,MATCH(C1330,Crops!$B$6:$B$65,0))&amp;"",""))</f>
        <v/>
      </c>
      <c r="H1330" s="12">
        <f>IF(OR(C1330="",NOT(ISNUMBER(E1330))),"",E1330*N(IFERROR(INDEX(Crops!$E$6:$E$65,MATCH(C1330,Crops!$B$6:$B$65,0)),0)))</f>
        <v/>
      </c>
      <c r="I1330" s="11">
        <f>IF(AND(C1330="",E1330=""),"",IF(NOT(ISNUMBER(B1330)),"Needs a date",IF(C1330="","Needs a crop",IF(COUNTIF(Crops!$B$6:$B$65,C1330)=0,"Not on Crops",IF(NOT(ISNUMBER(E1330)),"Needs the amount",IF(AND(D1330&lt;&gt;"",COUNTIF(Beds!$B$6:$B$35,D1330)=0),"Not on Beds",""))))))</f>
        <v/>
      </c>
      <c r="J1330" s="1">
        <f>IF(ISNUMBER(B1330),YEAR(B1330),"")</f>
        <v/>
      </c>
      <c r="K1330">
        <f>IF(ISNUMBER(B1330),YEAR(B1330)*100+MONTH(B1330),"")</f>
        <v/>
      </c>
      <c r="L1330">
        <f>IF(ISNUMBER(B1330),INT(B1330),0)</f>
        <v/>
      </c>
    </row>
    <row r="1331">
      <c r="A1331" s="1" t="n"/>
      <c r="B1331" s="17" t="n"/>
      <c r="C1331" s="18" t="n"/>
      <c r="D1331" s="19" t="n"/>
      <c r="E1331" s="23" t="n"/>
      <c r="F1331" s="21" t="n"/>
      <c r="G1331" s="11">
        <f>IF(C1331="","",IFERROR(INDEX(Crops!$D$6:$D$65,MATCH(C1331,Crops!$B$6:$B$65,0))&amp;"",""))</f>
        <v/>
      </c>
      <c r="H1331" s="12">
        <f>IF(OR(C1331="",NOT(ISNUMBER(E1331))),"",E1331*N(IFERROR(INDEX(Crops!$E$6:$E$65,MATCH(C1331,Crops!$B$6:$B$65,0)),0)))</f>
        <v/>
      </c>
      <c r="I1331" s="11">
        <f>IF(AND(C1331="",E1331=""),"",IF(NOT(ISNUMBER(B1331)),"Needs a date",IF(C1331="","Needs a crop",IF(COUNTIF(Crops!$B$6:$B$65,C1331)=0,"Not on Crops",IF(NOT(ISNUMBER(E1331)),"Needs the amount",IF(AND(D1331&lt;&gt;"",COUNTIF(Beds!$B$6:$B$35,D1331)=0),"Not on Beds",""))))))</f>
        <v/>
      </c>
      <c r="J1331" s="1">
        <f>IF(ISNUMBER(B1331),YEAR(B1331),"")</f>
        <v/>
      </c>
      <c r="K1331">
        <f>IF(ISNUMBER(B1331),YEAR(B1331)*100+MONTH(B1331),"")</f>
        <v/>
      </c>
      <c r="L1331">
        <f>IF(ISNUMBER(B1331),INT(B1331),0)</f>
        <v/>
      </c>
    </row>
    <row r="1332">
      <c r="A1332" s="1" t="n"/>
      <c r="B1332" s="17" t="n"/>
      <c r="C1332" s="18" t="n"/>
      <c r="D1332" s="19" t="n"/>
      <c r="E1332" s="23" t="n"/>
      <c r="F1332" s="21" t="n"/>
      <c r="G1332" s="11">
        <f>IF(C1332="","",IFERROR(INDEX(Crops!$D$6:$D$65,MATCH(C1332,Crops!$B$6:$B$65,0))&amp;"",""))</f>
        <v/>
      </c>
      <c r="H1332" s="12">
        <f>IF(OR(C1332="",NOT(ISNUMBER(E1332))),"",E1332*N(IFERROR(INDEX(Crops!$E$6:$E$65,MATCH(C1332,Crops!$B$6:$B$65,0)),0)))</f>
        <v/>
      </c>
      <c r="I1332" s="11">
        <f>IF(AND(C1332="",E1332=""),"",IF(NOT(ISNUMBER(B1332)),"Needs a date",IF(C1332="","Needs a crop",IF(COUNTIF(Crops!$B$6:$B$65,C1332)=0,"Not on Crops",IF(NOT(ISNUMBER(E1332)),"Needs the amount",IF(AND(D1332&lt;&gt;"",COUNTIF(Beds!$B$6:$B$35,D1332)=0),"Not on Beds",""))))))</f>
        <v/>
      </c>
      <c r="J1332" s="1">
        <f>IF(ISNUMBER(B1332),YEAR(B1332),"")</f>
        <v/>
      </c>
      <c r="K1332">
        <f>IF(ISNUMBER(B1332),YEAR(B1332)*100+MONTH(B1332),"")</f>
        <v/>
      </c>
      <c r="L1332">
        <f>IF(ISNUMBER(B1332),INT(B1332),0)</f>
        <v/>
      </c>
    </row>
    <row r="1333">
      <c r="A1333" s="1" t="n"/>
      <c r="B1333" s="17" t="n"/>
      <c r="C1333" s="18" t="n"/>
      <c r="D1333" s="19" t="n"/>
      <c r="E1333" s="23" t="n"/>
      <c r="F1333" s="21" t="n"/>
      <c r="G1333" s="11">
        <f>IF(C1333="","",IFERROR(INDEX(Crops!$D$6:$D$65,MATCH(C1333,Crops!$B$6:$B$65,0))&amp;"",""))</f>
        <v/>
      </c>
      <c r="H1333" s="12">
        <f>IF(OR(C1333="",NOT(ISNUMBER(E1333))),"",E1333*N(IFERROR(INDEX(Crops!$E$6:$E$65,MATCH(C1333,Crops!$B$6:$B$65,0)),0)))</f>
        <v/>
      </c>
      <c r="I1333" s="11">
        <f>IF(AND(C1333="",E1333=""),"",IF(NOT(ISNUMBER(B1333)),"Needs a date",IF(C1333="","Needs a crop",IF(COUNTIF(Crops!$B$6:$B$65,C1333)=0,"Not on Crops",IF(NOT(ISNUMBER(E1333)),"Needs the amount",IF(AND(D1333&lt;&gt;"",COUNTIF(Beds!$B$6:$B$35,D1333)=0),"Not on Beds",""))))))</f>
        <v/>
      </c>
      <c r="J1333" s="1">
        <f>IF(ISNUMBER(B1333),YEAR(B1333),"")</f>
        <v/>
      </c>
      <c r="K1333">
        <f>IF(ISNUMBER(B1333),YEAR(B1333)*100+MONTH(B1333),"")</f>
        <v/>
      </c>
      <c r="L1333">
        <f>IF(ISNUMBER(B1333),INT(B1333),0)</f>
        <v/>
      </c>
    </row>
    <row r="1334">
      <c r="A1334" s="1" t="n"/>
      <c r="B1334" s="17" t="n"/>
      <c r="C1334" s="18" t="n"/>
      <c r="D1334" s="19" t="n"/>
      <c r="E1334" s="23" t="n"/>
      <c r="F1334" s="21" t="n"/>
      <c r="G1334" s="11">
        <f>IF(C1334="","",IFERROR(INDEX(Crops!$D$6:$D$65,MATCH(C1334,Crops!$B$6:$B$65,0))&amp;"",""))</f>
        <v/>
      </c>
      <c r="H1334" s="12">
        <f>IF(OR(C1334="",NOT(ISNUMBER(E1334))),"",E1334*N(IFERROR(INDEX(Crops!$E$6:$E$65,MATCH(C1334,Crops!$B$6:$B$65,0)),0)))</f>
        <v/>
      </c>
      <c r="I1334" s="11">
        <f>IF(AND(C1334="",E1334=""),"",IF(NOT(ISNUMBER(B1334)),"Needs a date",IF(C1334="","Needs a crop",IF(COUNTIF(Crops!$B$6:$B$65,C1334)=0,"Not on Crops",IF(NOT(ISNUMBER(E1334)),"Needs the amount",IF(AND(D1334&lt;&gt;"",COUNTIF(Beds!$B$6:$B$35,D1334)=0),"Not on Beds",""))))))</f>
        <v/>
      </c>
      <c r="J1334" s="1">
        <f>IF(ISNUMBER(B1334),YEAR(B1334),"")</f>
        <v/>
      </c>
      <c r="K1334">
        <f>IF(ISNUMBER(B1334),YEAR(B1334)*100+MONTH(B1334),"")</f>
        <v/>
      </c>
      <c r="L1334">
        <f>IF(ISNUMBER(B1334),INT(B1334),0)</f>
        <v/>
      </c>
    </row>
    <row r="1335">
      <c r="A1335" s="1" t="n"/>
      <c r="B1335" s="17" t="n"/>
      <c r="C1335" s="18" t="n"/>
      <c r="D1335" s="19" t="n"/>
      <c r="E1335" s="23" t="n"/>
      <c r="F1335" s="21" t="n"/>
      <c r="G1335" s="11">
        <f>IF(C1335="","",IFERROR(INDEX(Crops!$D$6:$D$65,MATCH(C1335,Crops!$B$6:$B$65,0))&amp;"",""))</f>
        <v/>
      </c>
      <c r="H1335" s="12">
        <f>IF(OR(C1335="",NOT(ISNUMBER(E1335))),"",E1335*N(IFERROR(INDEX(Crops!$E$6:$E$65,MATCH(C1335,Crops!$B$6:$B$65,0)),0)))</f>
        <v/>
      </c>
      <c r="I1335" s="11">
        <f>IF(AND(C1335="",E1335=""),"",IF(NOT(ISNUMBER(B1335)),"Needs a date",IF(C1335="","Needs a crop",IF(COUNTIF(Crops!$B$6:$B$65,C1335)=0,"Not on Crops",IF(NOT(ISNUMBER(E1335)),"Needs the amount",IF(AND(D1335&lt;&gt;"",COUNTIF(Beds!$B$6:$B$35,D1335)=0),"Not on Beds",""))))))</f>
        <v/>
      </c>
      <c r="J1335" s="1">
        <f>IF(ISNUMBER(B1335),YEAR(B1335),"")</f>
        <v/>
      </c>
      <c r="K1335">
        <f>IF(ISNUMBER(B1335),YEAR(B1335)*100+MONTH(B1335),"")</f>
        <v/>
      </c>
      <c r="L1335">
        <f>IF(ISNUMBER(B1335),INT(B1335),0)</f>
        <v/>
      </c>
    </row>
    <row r="1336">
      <c r="A1336" s="1" t="n"/>
      <c r="B1336" s="17" t="n"/>
      <c r="C1336" s="18" t="n"/>
      <c r="D1336" s="19" t="n"/>
      <c r="E1336" s="23" t="n"/>
      <c r="F1336" s="21" t="n"/>
      <c r="G1336" s="11">
        <f>IF(C1336="","",IFERROR(INDEX(Crops!$D$6:$D$65,MATCH(C1336,Crops!$B$6:$B$65,0))&amp;"",""))</f>
        <v/>
      </c>
      <c r="H1336" s="12">
        <f>IF(OR(C1336="",NOT(ISNUMBER(E1336))),"",E1336*N(IFERROR(INDEX(Crops!$E$6:$E$65,MATCH(C1336,Crops!$B$6:$B$65,0)),0)))</f>
        <v/>
      </c>
      <c r="I1336" s="11">
        <f>IF(AND(C1336="",E1336=""),"",IF(NOT(ISNUMBER(B1336)),"Needs a date",IF(C1336="","Needs a crop",IF(COUNTIF(Crops!$B$6:$B$65,C1336)=0,"Not on Crops",IF(NOT(ISNUMBER(E1336)),"Needs the amount",IF(AND(D1336&lt;&gt;"",COUNTIF(Beds!$B$6:$B$35,D1336)=0),"Not on Beds",""))))))</f>
        <v/>
      </c>
      <c r="J1336" s="1">
        <f>IF(ISNUMBER(B1336),YEAR(B1336),"")</f>
        <v/>
      </c>
      <c r="K1336">
        <f>IF(ISNUMBER(B1336),YEAR(B1336)*100+MONTH(B1336),"")</f>
        <v/>
      </c>
      <c r="L1336">
        <f>IF(ISNUMBER(B1336),INT(B1336),0)</f>
        <v/>
      </c>
    </row>
    <row r="1337">
      <c r="A1337" s="1" t="n"/>
      <c r="B1337" s="17" t="n"/>
      <c r="C1337" s="18" t="n"/>
      <c r="D1337" s="19" t="n"/>
      <c r="E1337" s="23" t="n"/>
      <c r="F1337" s="21" t="n"/>
      <c r="G1337" s="11">
        <f>IF(C1337="","",IFERROR(INDEX(Crops!$D$6:$D$65,MATCH(C1337,Crops!$B$6:$B$65,0))&amp;"",""))</f>
        <v/>
      </c>
      <c r="H1337" s="12">
        <f>IF(OR(C1337="",NOT(ISNUMBER(E1337))),"",E1337*N(IFERROR(INDEX(Crops!$E$6:$E$65,MATCH(C1337,Crops!$B$6:$B$65,0)),0)))</f>
        <v/>
      </c>
      <c r="I1337" s="11">
        <f>IF(AND(C1337="",E1337=""),"",IF(NOT(ISNUMBER(B1337)),"Needs a date",IF(C1337="","Needs a crop",IF(COUNTIF(Crops!$B$6:$B$65,C1337)=0,"Not on Crops",IF(NOT(ISNUMBER(E1337)),"Needs the amount",IF(AND(D1337&lt;&gt;"",COUNTIF(Beds!$B$6:$B$35,D1337)=0),"Not on Beds",""))))))</f>
        <v/>
      </c>
      <c r="J1337" s="1">
        <f>IF(ISNUMBER(B1337),YEAR(B1337),"")</f>
        <v/>
      </c>
      <c r="K1337">
        <f>IF(ISNUMBER(B1337),YEAR(B1337)*100+MONTH(B1337),"")</f>
        <v/>
      </c>
      <c r="L1337">
        <f>IF(ISNUMBER(B1337),INT(B1337),0)</f>
        <v/>
      </c>
    </row>
    <row r="1338">
      <c r="A1338" s="1" t="n"/>
      <c r="B1338" s="17" t="n"/>
      <c r="C1338" s="18" t="n"/>
      <c r="D1338" s="19" t="n"/>
      <c r="E1338" s="23" t="n"/>
      <c r="F1338" s="21" t="n"/>
      <c r="G1338" s="11">
        <f>IF(C1338="","",IFERROR(INDEX(Crops!$D$6:$D$65,MATCH(C1338,Crops!$B$6:$B$65,0))&amp;"",""))</f>
        <v/>
      </c>
      <c r="H1338" s="12">
        <f>IF(OR(C1338="",NOT(ISNUMBER(E1338))),"",E1338*N(IFERROR(INDEX(Crops!$E$6:$E$65,MATCH(C1338,Crops!$B$6:$B$65,0)),0)))</f>
        <v/>
      </c>
      <c r="I1338" s="11">
        <f>IF(AND(C1338="",E1338=""),"",IF(NOT(ISNUMBER(B1338)),"Needs a date",IF(C1338="","Needs a crop",IF(COUNTIF(Crops!$B$6:$B$65,C1338)=0,"Not on Crops",IF(NOT(ISNUMBER(E1338)),"Needs the amount",IF(AND(D1338&lt;&gt;"",COUNTIF(Beds!$B$6:$B$35,D1338)=0),"Not on Beds",""))))))</f>
        <v/>
      </c>
      <c r="J1338" s="1">
        <f>IF(ISNUMBER(B1338),YEAR(B1338),"")</f>
        <v/>
      </c>
      <c r="K1338">
        <f>IF(ISNUMBER(B1338),YEAR(B1338)*100+MONTH(B1338),"")</f>
        <v/>
      </c>
      <c r="L1338">
        <f>IF(ISNUMBER(B1338),INT(B1338),0)</f>
        <v/>
      </c>
    </row>
    <row r="1339">
      <c r="A1339" s="1" t="n"/>
      <c r="B1339" s="17" t="n"/>
      <c r="C1339" s="18" t="n"/>
      <c r="D1339" s="19" t="n"/>
      <c r="E1339" s="23" t="n"/>
      <c r="F1339" s="21" t="n"/>
      <c r="G1339" s="11">
        <f>IF(C1339="","",IFERROR(INDEX(Crops!$D$6:$D$65,MATCH(C1339,Crops!$B$6:$B$65,0))&amp;"",""))</f>
        <v/>
      </c>
      <c r="H1339" s="12">
        <f>IF(OR(C1339="",NOT(ISNUMBER(E1339))),"",E1339*N(IFERROR(INDEX(Crops!$E$6:$E$65,MATCH(C1339,Crops!$B$6:$B$65,0)),0)))</f>
        <v/>
      </c>
      <c r="I1339" s="11">
        <f>IF(AND(C1339="",E1339=""),"",IF(NOT(ISNUMBER(B1339)),"Needs a date",IF(C1339="","Needs a crop",IF(COUNTIF(Crops!$B$6:$B$65,C1339)=0,"Not on Crops",IF(NOT(ISNUMBER(E1339)),"Needs the amount",IF(AND(D1339&lt;&gt;"",COUNTIF(Beds!$B$6:$B$35,D1339)=0),"Not on Beds",""))))))</f>
        <v/>
      </c>
      <c r="J1339" s="1">
        <f>IF(ISNUMBER(B1339),YEAR(B1339),"")</f>
        <v/>
      </c>
      <c r="K1339">
        <f>IF(ISNUMBER(B1339),YEAR(B1339)*100+MONTH(B1339),"")</f>
        <v/>
      </c>
      <c r="L1339">
        <f>IF(ISNUMBER(B1339),INT(B1339),0)</f>
        <v/>
      </c>
    </row>
    <row r="1340">
      <c r="A1340" s="1" t="n"/>
      <c r="B1340" s="17" t="n"/>
      <c r="C1340" s="18" t="n"/>
      <c r="D1340" s="19" t="n"/>
      <c r="E1340" s="23" t="n"/>
      <c r="F1340" s="21" t="n"/>
      <c r="G1340" s="11">
        <f>IF(C1340="","",IFERROR(INDEX(Crops!$D$6:$D$65,MATCH(C1340,Crops!$B$6:$B$65,0))&amp;"",""))</f>
        <v/>
      </c>
      <c r="H1340" s="12">
        <f>IF(OR(C1340="",NOT(ISNUMBER(E1340))),"",E1340*N(IFERROR(INDEX(Crops!$E$6:$E$65,MATCH(C1340,Crops!$B$6:$B$65,0)),0)))</f>
        <v/>
      </c>
      <c r="I1340" s="11">
        <f>IF(AND(C1340="",E1340=""),"",IF(NOT(ISNUMBER(B1340)),"Needs a date",IF(C1340="","Needs a crop",IF(COUNTIF(Crops!$B$6:$B$65,C1340)=0,"Not on Crops",IF(NOT(ISNUMBER(E1340)),"Needs the amount",IF(AND(D1340&lt;&gt;"",COUNTIF(Beds!$B$6:$B$35,D1340)=0),"Not on Beds",""))))))</f>
        <v/>
      </c>
      <c r="J1340" s="1">
        <f>IF(ISNUMBER(B1340),YEAR(B1340),"")</f>
        <v/>
      </c>
      <c r="K1340">
        <f>IF(ISNUMBER(B1340),YEAR(B1340)*100+MONTH(B1340),"")</f>
        <v/>
      </c>
      <c r="L1340">
        <f>IF(ISNUMBER(B1340),INT(B1340),0)</f>
        <v/>
      </c>
    </row>
    <row r="1341">
      <c r="A1341" s="1" t="n"/>
      <c r="B1341" s="17" t="n"/>
      <c r="C1341" s="18" t="n"/>
      <c r="D1341" s="19" t="n"/>
      <c r="E1341" s="23" t="n"/>
      <c r="F1341" s="21" t="n"/>
      <c r="G1341" s="11">
        <f>IF(C1341="","",IFERROR(INDEX(Crops!$D$6:$D$65,MATCH(C1341,Crops!$B$6:$B$65,0))&amp;"",""))</f>
        <v/>
      </c>
      <c r="H1341" s="12">
        <f>IF(OR(C1341="",NOT(ISNUMBER(E1341))),"",E1341*N(IFERROR(INDEX(Crops!$E$6:$E$65,MATCH(C1341,Crops!$B$6:$B$65,0)),0)))</f>
        <v/>
      </c>
      <c r="I1341" s="11">
        <f>IF(AND(C1341="",E1341=""),"",IF(NOT(ISNUMBER(B1341)),"Needs a date",IF(C1341="","Needs a crop",IF(COUNTIF(Crops!$B$6:$B$65,C1341)=0,"Not on Crops",IF(NOT(ISNUMBER(E1341)),"Needs the amount",IF(AND(D1341&lt;&gt;"",COUNTIF(Beds!$B$6:$B$35,D1341)=0),"Not on Beds",""))))))</f>
        <v/>
      </c>
      <c r="J1341" s="1">
        <f>IF(ISNUMBER(B1341),YEAR(B1341),"")</f>
        <v/>
      </c>
      <c r="K1341">
        <f>IF(ISNUMBER(B1341),YEAR(B1341)*100+MONTH(B1341),"")</f>
        <v/>
      </c>
      <c r="L1341">
        <f>IF(ISNUMBER(B1341),INT(B1341),0)</f>
        <v/>
      </c>
    </row>
    <row r="1342">
      <c r="A1342" s="1" t="n"/>
      <c r="B1342" s="17" t="n"/>
      <c r="C1342" s="18" t="n"/>
      <c r="D1342" s="19" t="n"/>
      <c r="E1342" s="23" t="n"/>
      <c r="F1342" s="21" t="n"/>
      <c r="G1342" s="11">
        <f>IF(C1342="","",IFERROR(INDEX(Crops!$D$6:$D$65,MATCH(C1342,Crops!$B$6:$B$65,0))&amp;"",""))</f>
        <v/>
      </c>
      <c r="H1342" s="12">
        <f>IF(OR(C1342="",NOT(ISNUMBER(E1342))),"",E1342*N(IFERROR(INDEX(Crops!$E$6:$E$65,MATCH(C1342,Crops!$B$6:$B$65,0)),0)))</f>
        <v/>
      </c>
      <c r="I1342" s="11">
        <f>IF(AND(C1342="",E1342=""),"",IF(NOT(ISNUMBER(B1342)),"Needs a date",IF(C1342="","Needs a crop",IF(COUNTIF(Crops!$B$6:$B$65,C1342)=0,"Not on Crops",IF(NOT(ISNUMBER(E1342)),"Needs the amount",IF(AND(D1342&lt;&gt;"",COUNTIF(Beds!$B$6:$B$35,D1342)=0),"Not on Beds",""))))))</f>
        <v/>
      </c>
      <c r="J1342" s="1">
        <f>IF(ISNUMBER(B1342),YEAR(B1342),"")</f>
        <v/>
      </c>
      <c r="K1342">
        <f>IF(ISNUMBER(B1342),YEAR(B1342)*100+MONTH(B1342),"")</f>
        <v/>
      </c>
      <c r="L1342">
        <f>IF(ISNUMBER(B1342),INT(B1342),0)</f>
        <v/>
      </c>
    </row>
    <row r="1343">
      <c r="A1343" s="1" t="n"/>
      <c r="B1343" s="17" t="n"/>
      <c r="C1343" s="18" t="n"/>
      <c r="D1343" s="19" t="n"/>
      <c r="E1343" s="23" t="n"/>
      <c r="F1343" s="21" t="n"/>
      <c r="G1343" s="11">
        <f>IF(C1343="","",IFERROR(INDEX(Crops!$D$6:$D$65,MATCH(C1343,Crops!$B$6:$B$65,0))&amp;"",""))</f>
        <v/>
      </c>
      <c r="H1343" s="12">
        <f>IF(OR(C1343="",NOT(ISNUMBER(E1343))),"",E1343*N(IFERROR(INDEX(Crops!$E$6:$E$65,MATCH(C1343,Crops!$B$6:$B$65,0)),0)))</f>
        <v/>
      </c>
      <c r="I1343" s="11">
        <f>IF(AND(C1343="",E1343=""),"",IF(NOT(ISNUMBER(B1343)),"Needs a date",IF(C1343="","Needs a crop",IF(COUNTIF(Crops!$B$6:$B$65,C1343)=0,"Not on Crops",IF(NOT(ISNUMBER(E1343)),"Needs the amount",IF(AND(D1343&lt;&gt;"",COUNTIF(Beds!$B$6:$B$35,D1343)=0),"Not on Beds",""))))))</f>
        <v/>
      </c>
      <c r="J1343" s="1">
        <f>IF(ISNUMBER(B1343),YEAR(B1343),"")</f>
        <v/>
      </c>
      <c r="K1343">
        <f>IF(ISNUMBER(B1343),YEAR(B1343)*100+MONTH(B1343),"")</f>
        <v/>
      </c>
      <c r="L1343">
        <f>IF(ISNUMBER(B1343),INT(B1343),0)</f>
        <v/>
      </c>
    </row>
    <row r="1344">
      <c r="A1344" s="1" t="n"/>
      <c r="B1344" s="17" t="n"/>
      <c r="C1344" s="18" t="n"/>
      <c r="D1344" s="19" t="n"/>
      <c r="E1344" s="23" t="n"/>
      <c r="F1344" s="21" t="n"/>
      <c r="G1344" s="11">
        <f>IF(C1344="","",IFERROR(INDEX(Crops!$D$6:$D$65,MATCH(C1344,Crops!$B$6:$B$65,0))&amp;"",""))</f>
        <v/>
      </c>
      <c r="H1344" s="12">
        <f>IF(OR(C1344="",NOT(ISNUMBER(E1344))),"",E1344*N(IFERROR(INDEX(Crops!$E$6:$E$65,MATCH(C1344,Crops!$B$6:$B$65,0)),0)))</f>
        <v/>
      </c>
      <c r="I1344" s="11">
        <f>IF(AND(C1344="",E1344=""),"",IF(NOT(ISNUMBER(B1344)),"Needs a date",IF(C1344="","Needs a crop",IF(COUNTIF(Crops!$B$6:$B$65,C1344)=0,"Not on Crops",IF(NOT(ISNUMBER(E1344)),"Needs the amount",IF(AND(D1344&lt;&gt;"",COUNTIF(Beds!$B$6:$B$35,D1344)=0),"Not on Beds",""))))))</f>
        <v/>
      </c>
      <c r="J1344" s="1">
        <f>IF(ISNUMBER(B1344),YEAR(B1344),"")</f>
        <v/>
      </c>
      <c r="K1344">
        <f>IF(ISNUMBER(B1344),YEAR(B1344)*100+MONTH(B1344),"")</f>
        <v/>
      </c>
      <c r="L1344">
        <f>IF(ISNUMBER(B1344),INT(B1344),0)</f>
        <v/>
      </c>
    </row>
    <row r="1345">
      <c r="A1345" s="1" t="n"/>
      <c r="B1345" s="17" t="n"/>
      <c r="C1345" s="18" t="n"/>
      <c r="D1345" s="19" t="n"/>
      <c r="E1345" s="23" t="n"/>
      <c r="F1345" s="21" t="n"/>
      <c r="G1345" s="11">
        <f>IF(C1345="","",IFERROR(INDEX(Crops!$D$6:$D$65,MATCH(C1345,Crops!$B$6:$B$65,0))&amp;"",""))</f>
        <v/>
      </c>
      <c r="H1345" s="12">
        <f>IF(OR(C1345="",NOT(ISNUMBER(E1345))),"",E1345*N(IFERROR(INDEX(Crops!$E$6:$E$65,MATCH(C1345,Crops!$B$6:$B$65,0)),0)))</f>
        <v/>
      </c>
      <c r="I1345" s="11">
        <f>IF(AND(C1345="",E1345=""),"",IF(NOT(ISNUMBER(B1345)),"Needs a date",IF(C1345="","Needs a crop",IF(COUNTIF(Crops!$B$6:$B$65,C1345)=0,"Not on Crops",IF(NOT(ISNUMBER(E1345)),"Needs the amount",IF(AND(D1345&lt;&gt;"",COUNTIF(Beds!$B$6:$B$35,D1345)=0),"Not on Beds",""))))))</f>
        <v/>
      </c>
      <c r="J1345" s="1">
        <f>IF(ISNUMBER(B1345),YEAR(B1345),"")</f>
        <v/>
      </c>
      <c r="K1345">
        <f>IF(ISNUMBER(B1345),YEAR(B1345)*100+MONTH(B1345),"")</f>
        <v/>
      </c>
      <c r="L1345">
        <f>IF(ISNUMBER(B1345),INT(B1345),0)</f>
        <v/>
      </c>
    </row>
    <row r="1346">
      <c r="A1346" s="1" t="n"/>
      <c r="B1346" s="17" t="n"/>
      <c r="C1346" s="18" t="n"/>
      <c r="D1346" s="19" t="n"/>
      <c r="E1346" s="23" t="n"/>
      <c r="F1346" s="21" t="n"/>
      <c r="G1346" s="11">
        <f>IF(C1346="","",IFERROR(INDEX(Crops!$D$6:$D$65,MATCH(C1346,Crops!$B$6:$B$65,0))&amp;"",""))</f>
        <v/>
      </c>
      <c r="H1346" s="12">
        <f>IF(OR(C1346="",NOT(ISNUMBER(E1346))),"",E1346*N(IFERROR(INDEX(Crops!$E$6:$E$65,MATCH(C1346,Crops!$B$6:$B$65,0)),0)))</f>
        <v/>
      </c>
      <c r="I1346" s="11">
        <f>IF(AND(C1346="",E1346=""),"",IF(NOT(ISNUMBER(B1346)),"Needs a date",IF(C1346="","Needs a crop",IF(COUNTIF(Crops!$B$6:$B$65,C1346)=0,"Not on Crops",IF(NOT(ISNUMBER(E1346)),"Needs the amount",IF(AND(D1346&lt;&gt;"",COUNTIF(Beds!$B$6:$B$35,D1346)=0),"Not on Beds",""))))))</f>
        <v/>
      </c>
      <c r="J1346" s="1">
        <f>IF(ISNUMBER(B1346),YEAR(B1346),"")</f>
        <v/>
      </c>
      <c r="K1346">
        <f>IF(ISNUMBER(B1346),YEAR(B1346)*100+MONTH(B1346),"")</f>
        <v/>
      </c>
      <c r="L1346">
        <f>IF(ISNUMBER(B1346),INT(B1346),0)</f>
        <v/>
      </c>
    </row>
    <row r="1347">
      <c r="A1347" s="1" t="n"/>
      <c r="B1347" s="17" t="n"/>
      <c r="C1347" s="18" t="n"/>
      <c r="D1347" s="19" t="n"/>
      <c r="E1347" s="23" t="n"/>
      <c r="F1347" s="21" t="n"/>
      <c r="G1347" s="11">
        <f>IF(C1347="","",IFERROR(INDEX(Crops!$D$6:$D$65,MATCH(C1347,Crops!$B$6:$B$65,0))&amp;"",""))</f>
        <v/>
      </c>
      <c r="H1347" s="12">
        <f>IF(OR(C1347="",NOT(ISNUMBER(E1347))),"",E1347*N(IFERROR(INDEX(Crops!$E$6:$E$65,MATCH(C1347,Crops!$B$6:$B$65,0)),0)))</f>
        <v/>
      </c>
      <c r="I1347" s="11">
        <f>IF(AND(C1347="",E1347=""),"",IF(NOT(ISNUMBER(B1347)),"Needs a date",IF(C1347="","Needs a crop",IF(COUNTIF(Crops!$B$6:$B$65,C1347)=0,"Not on Crops",IF(NOT(ISNUMBER(E1347)),"Needs the amount",IF(AND(D1347&lt;&gt;"",COUNTIF(Beds!$B$6:$B$35,D1347)=0),"Not on Beds",""))))))</f>
        <v/>
      </c>
      <c r="J1347" s="1">
        <f>IF(ISNUMBER(B1347),YEAR(B1347),"")</f>
        <v/>
      </c>
      <c r="K1347">
        <f>IF(ISNUMBER(B1347),YEAR(B1347)*100+MONTH(B1347),"")</f>
        <v/>
      </c>
      <c r="L1347">
        <f>IF(ISNUMBER(B1347),INT(B1347),0)</f>
        <v/>
      </c>
    </row>
    <row r="1348">
      <c r="A1348" s="1" t="n"/>
      <c r="B1348" s="17" t="n"/>
      <c r="C1348" s="18" t="n"/>
      <c r="D1348" s="19" t="n"/>
      <c r="E1348" s="23" t="n"/>
      <c r="F1348" s="21" t="n"/>
      <c r="G1348" s="11">
        <f>IF(C1348="","",IFERROR(INDEX(Crops!$D$6:$D$65,MATCH(C1348,Crops!$B$6:$B$65,0))&amp;"",""))</f>
        <v/>
      </c>
      <c r="H1348" s="12">
        <f>IF(OR(C1348="",NOT(ISNUMBER(E1348))),"",E1348*N(IFERROR(INDEX(Crops!$E$6:$E$65,MATCH(C1348,Crops!$B$6:$B$65,0)),0)))</f>
        <v/>
      </c>
      <c r="I1348" s="11">
        <f>IF(AND(C1348="",E1348=""),"",IF(NOT(ISNUMBER(B1348)),"Needs a date",IF(C1348="","Needs a crop",IF(COUNTIF(Crops!$B$6:$B$65,C1348)=0,"Not on Crops",IF(NOT(ISNUMBER(E1348)),"Needs the amount",IF(AND(D1348&lt;&gt;"",COUNTIF(Beds!$B$6:$B$35,D1348)=0),"Not on Beds",""))))))</f>
        <v/>
      </c>
      <c r="J1348" s="1">
        <f>IF(ISNUMBER(B1348),YEAR(B1348),"")</f>
        <v/>
      </c>
      <c r="K1348">
        <f>IF(ISNUMBER(B1348),YEAR(B1348)*100+MONTH(B1348),"")</f>
        <v/>
      </c>
      <c r="L1348">
        <f>IF(ISNUMBER(B1348),INT(B1348),0)</f>
        <v/>
      </c>
    </row>
    <row r="1349">
      <c r="A1349" s="1" t="n"/>
      <c r="B1349" s="17" t="n"/>
      <c r="C1349" s="18" t="n"/>
      <c r="D1349" s="19" t="n"/>
      <c r="E1349" s="23" t="n"/>
      <c r="F1349" s="21" t="n"/>
      <c r="G1349" s="11">
        <f>IF(C1349="","",IFERROR(INDEX(Crops!$D$6:$D$65,MATCH(C1349,Crops!$B$6:$B$65,0))&amp;"",""))</f>
        <v/>
      </c>
      <c r="H1349" s="12">
        <f>IF(OR(C1349="",NOT(ISNUMBER(E1349))),"",E1349*N(IFERROR(INDEX(Crops!$E$6:$E$65,MATCH(C1349,Crops!$B$6:$B$65,0)),0)))</f>
        <v/>
      </c>
      <c r="I1349" s="11">
        <f>IF(AND(C1349="",E1349=""),"",IF(NOT(ISNUMBER(B1349)),"Needs a date",IF(C1349="","Needs a crop",IF(COUNTIF(Crops!$B$6:$B$65,C1349)=0,"Not on Crops",IF(NOT(ISNUMBER(E1349)),"Needs the amount",IF(AND(D1349&lt;&gt;"",COUNTIF(Beds!$B$6:$B$35,D1349)=0),"Not on Beds",""))))))</f>
        <v/>
      </c>
      <c r="J1349" s="1">
        <f>IF(ISNUMBER(B1349),YEAR(B1349),"")</f>
        <v/>
      </c>
      <c r="K1349">
        <f>IF(ISNUMBER(B1349),YEAR(B1349)*100+MONTH(B1349),"")</f>
        <v/>
      </c>
      <c r="L1349">
        <f>IF(ISNUMBER(B1349),INT(B1349),0)</f>
        <v/>
      </c>
    </row>
    <row r="1350">
      <c r="A1350" s="1" t="n"/>
      <c r="B1350" s="17" t="n"/>
      <c r="C1350" s="18" t="n"/>
      <c r="D1350" s="19" t="n"/>
      <c r="E1350" s="23" t="n"/>
      <c r="F1350" s="21" t="n"/>
      <c r="G1350" s="11">
        <f>IF(C1350="","",IFERROR(INDEX(Crops!$D$6:$D$65,MATCH(C1350,Crops!$B$6:$B$65,0))&amp;"",""))</f>
        <v/>
      </c>
      <c r="H1350" s="12">
        <f>IF(OR(C1350="",NOT(ISNUMBER(E1350))),"",E1350*N(IFERROR(INDEX(Crops!$E$6:$E$65,MATCH(C1350,Crops!$B$6:$B$65,0)),0)))</f>
        <v/>
      </c>
      <c r="I1350" s="11">
        <f>IF(AND(C1350="",E1350=""),"",IF(NOT(ISNUMBER(B1350)),"Needs a date",IF(C1350="","Needs a crop",IF(COUNTIF(Crops!$B$6:$B$65,C1350)=0,"Not on Crops",IF(NOT(ISNUMBER(E1350)),"Needs the amount",IF(AND(D1350&lt;&gt;"",COUNTIF(Beds!$B$6:$B$35,D1350)=0),"Not on Beds",""))))))</f>
        <v/>
      </c>
      <c r="J1350" s="1">
        <f>IF(ISNUMBER(B1350),YEAR(B1350),"")</f>
        <v/>
      </c>
      <c r="K1350">
        <f>IF(ISNUMBER(B1350),YEAR(B1350)*100+MONTH(B1350),"")</f>
        <v/>
      </c>
      <c r="L1350">
        <f>IF(ISNUMBER(B1350),INT(B1350),0)</f>
        <v/>
      </c>
    </row>
    <row r="1351">
      <c r="A1351" s="1" t="n"/>
      <c r="B1351" s="17" t="n"/>
      <c r="C1351" s="18" t="n"/>
      <c r="D1351" s="19" t="n"/>
      <c r="E1351" s="23" t="n"/>
      <c r="F1351" s="21" t="n"/>
      <c r="G1351" s="11">
        <f>IF(C1351="","",IFERROR(INDEX(Crops!$D$6:$D$65,MATCH(C1351,Crops!$B$6:$B$65,0))&amp;"",""))</f>
        <v/>
      </c>
      <c r="H1351" s="12">
        <f>IF(OR(C1351="",NOT(ISNUMBER(E1351))),"",E1351*N(IFERROR(INDEX(Crops!$E$6:$E$65,MATCH(C1351,Crops!$B$6:$B$65,0)),0)))</f>
        <v/>
      </c>
      <c r="I1351" s="11">
        <f>IF(AND(C1351="",E1351=""),"",IF(NOT(ISNUMBER(B1351)),"Needs a date",IF(C1351="","Needs a crop",IF(COUNTIF(Crops!$B$6:$B$65,C1351)=0,"Not on Crops",IF(NOT(ISNUMBER(E1351)),"Needs the amount",IF(AND(D1351&lt;&gt;"",COUNTIF(Beds!$B$6:$B$35,D1351)=0),"Not on Beds",""))))))</f>
        <v/>
      </c>
      <c r="J1351" s="1">
        <f>IF(ISNUMBER(B1351),YEAR(B1351),"")</f>
        <v/>
      </c>
      <c r="K1351">
        <f>IF(ISNUMBER(B1351),YEAR(B1351)*100+MONTH(B1351),"")</f>
        <v/>
      </c>
      <c r="L1351">
        <f>IF(ISNUMBER(B1351),INT(B1351),0)</f>
        <v/>
      </c>
    </row>
    <row r="1352">
      <c r="A1352" s="1" t="n"/>
      <c r="B1352" s="17" t="n"/>
      <c r="C1352" s="18" t="n"/>
      <c r="D1352" s="19" t="n"/>
      <c r="E1352" s="23" t="n"/>
      <c r="F1352" s="21" t="n"/>
      <c r="G1352" s="11">
        <f>IF(C1352="","",IFERROR(INDEX(Crops!$D$6:$D$65,MATCH(C1352,Crops!$B$6:$B$65,0))&amp;"",""))</f>
        <v/>
      </c>
      <c r="H1352" s="12">
        <f>IF(OR(C1352="",NOT(ISNUMBER(E1352))),"",E1352*N(IFERROR(INDEX(Crops!$E$6:$E$65,MATCH(C1352,Crops!$B$6:$B$65,0)),0)))</f>
        <v/>
      </c>
      <c r="I1352" s="11">
        <f>IF(AND(C1352="",E1352=""),"",IF(NOT(ISNUMBER(B1352)),"Needs a date",IF(C1352="","Needs a crop",IF(COUNTIF(Crops!$B$6:$B$65,C1352)=0,"Not on Crops",IF(NOT(ISNUMBER(E1352)),"Needs the amount",IF(AND(D1352&lt;&gt;"",COUNTIF(Beds!$B$6:$B$35,D1352)=0),"Not on Beds",""))))))</f>
        <v/>
      </c>
      <c r="J1352" s="1">
        <f>IF(ISNUMBER(B1352),YEAR(B1352),"")</f>
        <v/>
      </c>
      <c r="K1352">
        <f>IF(ISNUMBER(B1352),YEAR(B1352)*100+MONTH(B1352),"")</f>
        <v/>
      </c>
      <c r="L1352">
        <f>IF(ISNUMBER(B1352),INT(B1352),0)</f>
        <v/>
      </c>
    </row>
    <row r="1353">
      <c r="A1353" s="1" t="n"/>
      <c r="B1353" s="17" t="n"/>
      <c r="C1353" s="18" t="n"/>
      <c r="D1353" s="19" t="n"/>
      <c r="E1353" s="23" t="n"/>
      <c r="F1353" s="21" t="n"/>
      <c r="G1353" s="11">
        <f>IF(C1353="","",IFERROR(INDEX(Crops!$D$6:$D$65,MATCH(C1353,Crops!$B$6:$B$65,0))&amp;"",""))</f>
        <v/>
      </c>
      <c r="H1353" s="12">
        <f>IF(OR(C1353="",NOT(ISNUMBER(E1353))),"",E1353*N(IFERROR(INDEX(Crops!$E$6:$E$65,MATCH(C1353,Crops!$B$6:$B$65,0)),0)))</f>
        <v/>
      </c>
      <c r="I1353" s="11">
        <f>IF(AND(C1353="",E1353=""),"",IF(NOT(ISNUMBER(B1353)),"Needs a date",IF(C1353="","Needs a crop",IF(COUNTIF(Crops!$B$6:$B$65,C1353)=0,"Not on Crops",IF(NOT(ISNUMBER(E1353)),"Needs the amount",IF(AND(D1353&lt;&gt;"",COUNTIF(Beds!$B$6:$B$35,D1353)=0),"Not on Beds",""))))))</f>
        <v/>
      </c>
      <c r="J1353" s="1">
        <f>IF(ISNUMBER(B1353),YEAR(B1353),"")</f>
        <v/>
      </c>
      <c r="K1353">
        <f>IF(ISNUMBER(B1353),YEAR(B1353)*100+MONTH(B1353),"")</f>
        <v/>
      </c>
      <c r="L1353">
        <f>IF(ISNUMBER(B1353),INT(B1353),0)</f>
        <v/>
      </c>
    </row>
    <row r="1354">
      <c r="A1354" s="1" t="n"/>
      <c r="B1354" s="17" t="n"/>
      <c r="C1354" s="18" t="n"/>
      <c r="D1354" s="19" t="n"/>
      <c r="E1354" s="23" t="n"/>
      <c r="F1354" s="21" t="n"/>
      <c r="G1354" s="11">
        <f>IF(C1354="","",IFERROR(INDEX(Crops!$D$6:$D$65,MATCH(C1354,Crops!$B$6:$B$65,0))&amp;"",""))</f>
        <v/>
      </c>
      <c r="H1354" s="12">
        <f>IF(OR(C1354="",NOT(ISNUMBER(E1354))),"",E1354*N(IFERROR(INDEX(Crops!$E$6:$E$65,MATCH(C1354,Crops!$B$6:$B$65,0)),0)))</f>
        <v/>
      </c>
      <c r="I1354" s="11">
        <f>IF(AND(C1354="",E1354=""),"",IF(NOT(ISNUMBER(B1354)),"Needs a date",IF(C1354="","Needs a crop",IF(COUNTIF(Crops!$B$6:$B$65,C1354)=0,"Not on Crops",IF(NOT(ISNUMBER(E1354)),"Needs the amount",IF(AND(D1354&lt;&gt;"",COUNTIF(Beds!$B$6:$B$35,D1354)=0),"Not on Beds",""))))))</f>
        <v/>
      </c>
      <c r="J1354" s="1">
        <f>IF(ISNUMBER(B1354),YEAR(B1354),"")</f>
        <v/>
      </c>
      <c r="K1354">
        <f>IF(ISNUMBER(B1354),YEAR(B1354)*100+MONTH(B1354),"")</f>
        <v/>
      </c>
      <c r="L1354">
        <f>IF(ISNUMBER(B1354),INT(B1354),0)</f>
        <v/>
      </c>
    </row>
    <row r="1355">
      <c r="A1355" s="1" t="n"/>
      <c r="B1355" s="17" t="n"/>
      <c r="C1355" s="18" t="n"/>
      <c r="D1355" s="19" t="n"/>
      <c r="E1355" s="23" t="n"/>
      <c r="F1355" s="21" t="n"/>
      <c r="G1355" s="11">
        <f>IF(C1355="","",IFERROR(INDEX(Crops!$D$6:$D$65,MATCH(C1355,Crops!$B$6:$B$65,0))&amp;"",""))</f>
        <v/>
      </c>
      <c r="H1355" s="12">
        <f>IF(OR(C1355="",NOT(ISNUMBER(E1355))),"",E1355*N(IFERROR(INDEX(Crops!$E$6:$E$65,MATCH(C1355,Crops!$B$6:$B$65,0)),0)))</f>
        <v/>
      </c>
      <c r="I1355" s="11">
        <f>IF(AND(C1355="",E1355=""),"",IF(NOT(ISNUMBER(B1355)),"Needs a date",IF(C1355="","Needs a crop",IF(COUNTIF(Crops!$B$6:$B$65,C1355)=0,"Not on Crops",IF(NOT(ISNUMBER(E1355)),"Needs the amount",IF(AND(D1355&lt;&gt;"",COUNTIF(Beds!$B$6:$B$35,D1355)=0),"Not on Beds",""))))))</f>
        <v/>
      </c>
      <c r="J1355" s="1">
        <f>IF(ISNUMBER(B1355),YEAR(B1355),"")</f>
        <v/>
      </c>
      <c r="K1355">
        <f>IF(ISNUMBER(B1355),YEAR(B1355)*100+MONTH(B1355),"")</f>
        <v/>
      </c>
      <c r="L1355">
        <f>IF(ISNUMBER(B1355),INT(B1355),0)</f>
        <v/>
      </c>
    </row>
    <row r="1356">
      <c r="A1356" s="1" t="n"/>
      <c r="B1356" s="17" t="n"/>
      <c r="C1356" s="18" t="n"/>
      <c r="D1356" s="19" t="n"/>
      <c r="E1356" s="23" t="n"/>
      <c r="F1356" s="21" t="n"/>
      <c r="G1356" s="11">
        <f>IF(C1356="","",IFERROR(INDEX(Crops!$D$6:$D$65,MATCH(C1356,Crops!$B$6:$B$65,0))&amp;"",""))</f>
        <v/>
      </c>
      <c r="H1356" s="12">
        <f>IF(OR(C1356="",NOT(ISNUMBER(E1356))),"",E1356*N(IFERROR(INDEX(Crops!$E$6:$E$65,MATCH(C1356,Crops!$B$6:$B$65,0)),0)))</f>
        <v/>
      </c>
      <c r="I1356" s="11">
        <f>IF(AND(C1356="",E1356=""),"",IF(NOT(ISNUMBER(B1356)),"Needs a date",IF(C1356="","Needs a crop",IF(COUNTIF(Crops!$B$6:$B$65,C1356)=0,"Not on Crops",IF(NOT(ISNUMBER(E1356)),"Needs the amount",IF(AND(D1356&lt;&gt;"",COUNTIF(Beds!$B$6:$B$35,D1356)=0),"Not on Beds",""))))))</f>
        <v/>
      </c>
      <c r="J1356" s="1">
        <f>IF(ISNUMBER(B1356),YEAR(B1356),"")</f>
        <v/>
      </c>
      <c r="K1356">
        <f>IF(ISNUMBER(B1356),YEAR(B1356)*100+MONTH(B1356),"")</f>
        <v/>
      </c>
      <c r="L1356">
        <f>IF(ISNUMBER(B1356),INT(B1356),0)</f>
        <v/>
      </c>
    </row>
    <row r="1357">
      <c r="A1357" s="1" t="n"/>
      <c r="B1357" s="17" t="n"/>
      <c r="C1357" s="18" t="n"/>
      <c r="D1357" s="19" t="n"/>
      <c r="E1357" s="23" t="n"/>
      <c r="F1357" s="21" t="n"/>
      <c r="G1357" s="11">
        <f>IF(C1357="","",IFERROR(INDEX(Crops!$D$6:$D$65,MATCH(C1357,Crops!$B$6:$B$65,0))&amp;"",""))</f>
        <v/>
      </c>
      <c r="H1357" s="12">
        <f>IF(OR(C1357="",NOT(ISNUMBER(E1357))),"",E1357*N(IFERROR(INDEX(Crops!$E$6:$E$65,MATCH(C1357,Crops!$B$6:$B$65,0)),0)))</f>
        <v/>
      </c>
      <c r="I1357" s="11">
        <f>IF(AND(C1357="",E1357=""),"",IF(NOT(ISNUMBER(B1357)),"Needs a date",IF(C1357="","Needs a crop",IF(COUNTIF(Crops!$B$6:$B$65,C1357)=0,"Not on Crops",IF(NOT(ISNUMBER(E1357)),"Needs the amount",IF(AND(D1357&lt;&gt;"",COUNTIF(Beds!$B$6:$B$35,D1357)=0),"Not on Beds",""))))))</f>
        <v/>
      </c>
      <c r="J1357" s="1">
        <f>IF(ISNUMBER(B1357),YEAR(B1357),"")</f>
        <v/>
      </c>
      <c r="K1357">
        <f>IF(ISNUMBER(B1357),YEAR(B1357)*100+MONTH(B1357),"")</f>
        <v/>
      </c>
      <c r="L1357">
        <f>IF(ISNUMBER(B1357),INT(B1357),0)</f>
        <v/>
      </c>
    </row>
    <row r="1358">
      <c r="A1358" s="1" t="n"/>
      <c r="B1358" s="17" t="n"/>
      <c r="C1358" s="18" t="n"/>
      <c r="D1358" s="19" t="n"/>
      <c r="E1358" s="23" t="n"/>
      <c r="F1358" s="21" t="n"/>
      <c r="G1358" s="11">
        <f>IF(C1358="","",IFERROR(INDEX(Crops!$D$6:$D$65,MATCH(C1358,Crops!$B$6:$B$65,0))&amp;"",""))</f>
        <v/>
      </c>
      <c r="H1358" s="12">
        <f>IF(OR(C1358="",NOT(ISNUMBER(E1358))),"",E1358*N(IFERROR(INDEX(Crops!$E$6:$E$65,MATCH(C1358,Crops!$B$6:$B$65,0)),0)))</f>
        <v/>
      </c>
      <c r="I1358" s="11">
        <f>IF(AND(C1358="",E1358=""),"",IF(NOT(ISNUMBER(B1358)),"Needs a date",IF(C1358="","Needs a crop",IF(COUNTIF(Crops!$B$6:$B$65,C1358)=0,"Not on Crops",IF(NOT(ISNUMBER(E1358)),"Needs the amount",IF(AND(D1358&lt;&gt;"",COUNTIF(Beds!$B$6:$B$35,D1358)=0),"Not on Beds",""))))))</f>
        <v/>
      </c>
      <c r="J1358" s="1">
        <f>IF(ISNUMBER(B1358),YEAR(B1358),"")</f>
        <v/>
      </c>
      <c r="K1358">
        <f>IF(ISNUMBER(B1358),YEAR(B1358)*100+MONTH(B1358),"")</f>
        <v/>
      </c>
      <c r="L1358">
        <f>IF(ISNUMBER(B1358),INT(B1358),0)</f>
        <v/>
      </c>
    </row>
    <row r="1359">
      <c r="A1359" s="1" t="n"/>
      <c r="B1359" s="17" t="n"/>
      <c r="C1359" s="18" t="n"/>
      <c r="D1359" s="19" t="n"/>
      <c r="E1359" s="23" t="n"/>
      <c r="F1359" s="21" t="n"/>
      <c r="G1359" s="11">
        <f>IF(C1359="","",IFERROR(INDEX(Crops!$D$6:$D$65,MATCH(C1359,Crops!$B$6:$B$65,0))&amp;"",""))</f>
        <v/>
      </c>
      <c r="H1359" s="12">
        <f>IF(OR(C1359="",NOT(ISNUMBER(E1359))),"",E1359*N(IFERROR(INDEX(Crops!$E$6:$E$65,MATCH(C1359,Crops!$B$6:$B$65,0)),0)))</f>
        <v/>
      </c>
      <c r="I1359" s="11">
        <f>IF(AND(C1359="",E1359=""),"",IF(NOT(ISNUMBER(B1359)),"Needs a date",IF(C1359="","Needs a crop",IF(COUNTIF(Crops!$B$6:$B$65,C1359)=0,"Not on Crops",IF(NOT(ISNUMBER(E1359)),"Needs the amount",IF(AND(D1359&lt;&gt;"",COUNTIF(Beds!$B$6:$B$35,D1359)=0),"Not on Beds",""))))))</f>
        <v/>
      </c>
      <c r="J1359" s="1">
        <f>IF(ISNUMBER(B1359),YEAR(B1359),"")</f>
        <v/>
      </c>
      <c r="K1359">
        <f>IF(ISNUMBER(B1359),YEAR(B1359)*100+MONTH(B1359),"")</f>
        <v/>
      </c>
      <c r="L1359">
        <f>IF(ISNUMBER(B1359),INT(B1359),0)</f>
        <v/>
      </c>
    </row>
    <row r="1360">
      <c r="A1360" s="1" t="n"/>
      <c r="B1360" s="17" t="n"/>
      <c r="C1360" s="18" t="n"/>
      <c r="D1360" s="19" t="n"/>
      <c r="E1360" s="23" t="n"/>
      <c r="F1360" s="21" t="n"/>
      <c r="G1360" s="11">
        <f>IF(C1360="","",IFERROR(INDEX(Crops!$D$6:$D$65,MATCH(C1360,Crops!$B$6:$B$65,0))&amp;"",""))</f>
        <v/>
      </c>
      <c r="H1360" s="12">
        <f>IF(OR(C1360="",NOT(ISNUMBER(E1360))),"",E1360*N(IFERROR(INDEX(Crops!$E$6:$E$65,MATCH(C1360,Crops!$B$6:$B$65,0)),0)))</f>
        <v/>
      </c>
      <c r="I1360" s="11">
        <f>IF(AND(C1360="",E1360=""),"",IF(NOT(ISNUMBER(B1360)),"Needs a date",IF(C1360="","Needs a crop",IF(COUNTIF(Crops!$B$6:$B$65,C1360)=0,"Not on Crops",IF(NOT(ISNUMBER(E1360)),"Needs the amount",IF(AND(D1360&lt;&gt;"",COUNTIF(Beds!$B$6:$B$35,D1360)=0),"Not on Beds",""))))))</f>
        <v/>
      </c>
      <c r="J1360" s="1">
        <f>IF(ISNUMBER(B1360),YEAR(B1360),"")</f>
        <v/>
      </c>
      <c r="K1360">
        <f>IF(ISNUMBER(B1360),YEAR(B1360)*100+MONTH(B1360),"")</f>
        <v/>
      </c>
      <c r="L1360">
        <f>IF(ISNUMBER(B1360),INT(B1360),0)</f>
        <v/>
      </c>
    </row>
    <row r="1361">
      <c r="A1361" s="1" t="n"/>
      <c r="B1361" s="17" t="n"/>
      <c r="C1361" s="18" t="n"/>
      <c r="D1361" s="19" t="n"/>
      <c r="E1361" s="23" t="n"/>
      <c r="F1361" s="21" t="n"/>
      <c r="G1361" s="11">
        <f>IF(C1361="","",IFERROR(INDEX(Crops!$D$6:$D$65,MATCH(C1361,Crops!$B$6:$B$65,0))&amp;"",""))</f>
        <v/>
      </c>
      <c r="H1361" s="12">
        <f>IF(OR(C1361="",NOT(ISNUMBER(E1361))),"",E1361*N(IFERROR(INDEX(Crops!$E$6:$E$65,MATCH(C1361,Crops!$B$6:$B$65,0)),0)))</f>
        <v/>
      </c>
      <c r="I1361" s="11">
        <f>IF(AND(C1361="",E1361=""),"",IF(NOT(ISNUMBER(B1361)),"Needs a date",IF(C1361="","Needs a crop",IF(COUNTIF(Crops!$B$6:$B$65,C1361)=0,"Not on Crops",IF(NOT(ISNUMBER(E1361)),"Needs the amount",IF(AND(D1361&lt;&gt;"",COUNTIF(Beds!$B$6:$B$35,D1361)=0),"Not on Beds",""))))))</f>
        <v/>
      </c>
      <c r="J1361" s="1">
        <f>IF(ISNUMBER(B1361),YEAR(B1361),"")</f>
        <v/>
      </c>
      <c r="K1361">
        <f>IF(ISNUMBER(B1361),YEAR(B1361)*100+MONTH(B1361),"")</f>
        <v/>
      </c>
      <c r="L1361">
        <f>IF(ISNUMBER(B1361),INT(B1361),0)</f>
        <v/>
      </c>
    </row>
    <row r="1362">
      <c r="A1362" s="1" t="n"/>
      <c r="B1362" s="17" t="n"/>
      <c r="C1362" s="18" t="n"/>
      <c r="D1362" s="19" t="n"/>
      <c r="E1362" s="23" t="n"/>
      <c r="F1362" s="21" t="n"/>
      <c r="G1362" s="11">
        <f>IF(C1362="","",IFERROR(INDEX(Crops!$D$6:$D$65,MATCH(C1362,Crops!$B$6:$B$65,0))&amp;"",""))</f>
        <v/>
      </c>
      <c r="H1362" s="12">
        <f>IF(OR(C1362="",NOT(ISNUMBER(E1362))),"",E1362*N(IFERROR(INDEX(Crops!$E$6:$E$65,MATCH(C1362,Crops!$B$6:$B$65,0)),0)))</f>
        <v/>
      </c>
      <c r="I1362" s="11">
        <f>IF(AND(C1362="",E1362=""),"",IF(NOT(ISNUMBER(B1362)),"Needs a date",IF(C1362="","Needs a crop",IF(COUNTIF(Crops!$B$6:$B$65,C1362)=0,"Not on Crops",IF(NOT(ISNUMBER(E1362)),"Needs the amount",IF(AND(D1362&lt;&gt;"",COUNTIF(Beds!$B$6:$B$35,D1362)=0),"Not on Beds",""))))))</f>
        <v/>
      </c>
      <c r="J1362" s="1">
        <f>IF(ISNUMBER(B1362),YEAR(B1362),"")</f>
        <v/>
      </c>
      <c r="K1362">
        <f>IF(ISNUMBER(B1362),YEAR(B1362)*100+MONTH(B1362),"")</f>
        <v/>
      </c>
      <c r="L1362">
        <f>IF(ISNUMBER(B1362),INT(B1362),0)</f>
        <v/>
      </c>
    </row>
    <row r="1363">
      <c r="A1363" s="1" t="n"/>
      <c r="B1363" s="17" t="n"/>
      <c r="C1363" s="18" t="n"/>
      <c r="D1363" s="19" t="n"/>
      <c r="E1363" s="23" t="n"/>
      <c r="F1363" s="21" t="n"/>
      <c r="G1363" s="11">
        <f>IF(C1363="","",IFERROR(INDEX(Crops!$D$6:$D$65,MATCH(C1363,Crops!$B$6:$B$65,0))&amp;"",""))</f>
        <v/>
      </c>
      <c r="H1363" s="12">
        <f>IF(OR(C1363="",NOT(ISNUMBER(E1363))),"",E1363*N(IFERROR(INDEX(Crops!$E$6:$E$65,MATCH(C1363,Crops!$B$6:$B$65,0)),0)))</f>
        <v/>
      </c>
      <c r="I1363" s="11">
        <f>IF(AND(C1363="",E1363=""),"",IF(NOT(ISNUMBER(B1363)),"Needs a date",IF(C1363="","Needs a crop",IF(COUNTIF(Crops!$B$6:$B$65,C1363)=0,"Not on Crops",IF(NOT(ISNUMBER(E1363)),"Needs the amount",IF(AND(D1363&lt;&gt;"",COUNTIF(Beds!$B$6:$B$35,D1363)=0),"Not on Beds",""))))))</f>
        <v/>
      </c>
      <c r="J1363" s="1">
        <f>IF(ISNUMBER(B1363),YEAR(B1363),"")</f>
        <v/>
      </c>
      <c r="K1363">
        <f>IF(ISNUMBER(B1363),YEAR(B1363)*100+MONTH(B1363),"")</f>
        <v/>
      </c>
      <c r="L1363">
        <f>IF(ISNUMBER(B1363),INT(B1363),0)</f>
        <v/>
      </c>
    </row>
    <row r="1364">
      <c r="A1364" s="1" t="n"/>
      <c r="B1364" s="17" t="n"/>
      <c r="C1364" s="18" t="n"/>
      <c r="D1364" s="19" t="n"/>
      <c r="E1364" s="23" t="n"/>
      <c r="F1364" s="21" t="n"/>
      <c r="G1364" s="11">
        <f>IF(C1364="","",IFERROR(INDEX(Crops!$D$6:$D$65,MATCH(C1364,Crops!$B$6:$B$65,0))&amp;"",""))</f>
        <v/>
      </c>
      <c r="H1364" s="12">
        <f>IF(OR(C1364="",NOT(ISNUMBER(E1364))),"",E1364*N(IFERROR(INDEX(Crops!$E$6:$E$65,MATCH(C1364,Crops!$B$6:$B$65,0)),0)))</f>
        <v/>
      </c>
      <c r="I1364" s="11">
        <f>IF(AND(C1364="",E1364=""),"",IF(NOT(ISNUMBER(B1364)),"Needs a date",IF(C1364="","Needs a crop",IF(COUNTIF(Crops!$B$6:$B$65,C1364)=0,"Not on Crops",IF(NOT(ISNUMBER(E1364)),"Needs the amount",IF(AND(D1364&lt;&gt;"",COUNTIF(Beds!$B$6:$B$35,D1364)=0),"Not on Beds",""))))))</f>
        <v/>
      </c>
      <c r="J1364" s="1">
        <f>IF(ISNUMBER(B1364),YEAR(B1364),"")</f>
        <v/>
      </c>
      <c r="K1364">
        <f>IF(ISNUMBER(B1364),YEAR(B1364)*100+MONTH(B1364),"")</f>
        <v/>
      </c>
      <c r="L1364">
        <f>IF(ISNUMBER(B1364),INT(B1364),0)</f>
        <v/>
      </c>
    </row>
    <row r="1365">
      <c r="A1365" s="1" t="n"/>
      <c r="B1365" s="17" t="n"/>
      <c r="C1365" s="18" t="n"/>
      <c r="D1365" s="19" t="n"/>
      <c r="E1365" s="23" t="n"/>
      <c r="F1365" s="21" t="n"/>
      <c r="G1365" s="11">
        <f>IF(C1365="","",IFERROR(INDEX(Crops!$D$6:$D$65,MATCH(C1365,Crops!$B$6:$B$65,0))&amp;"",""))</f>
        <v/>
      </c>
      <c r="H1365" s="12">
        <f>IF(OR(C1365="",NOT(ISNUMBER(E1365))),"",E1365*N(IFERROR(INDEX(Crops!$E$6:$E$65,MATCH(C1365,Crops!$B$6:$B$65,0)),0)))</f>
        <v/>
      </c>
      <c r="I1365" s="11">
        <f>IF(AND(C1365="",E1365=""),"",IF(NOT(ISNUMBER(B1365)),"Needs a date",IF(C1365="","Needs a crop",IF(COUNTIF(Crops!$B$6:$B$65,C1365)=0,"Not on Crops",IF(NOT(ISNUMBER(E1365)),"Needs the amount",IF(AND(D1365&lt;&gt;"",COUNTIF(Beds!$B$6:$B$35,D1365)=0),"Not on Beds",""))))))</f>
        <v/>
      </c>
      <c r="J1365" s="1">
        <f>IF(ISNUMBER(B1365),YEAR(B1365),"")</f>
        <v/>
      </c>
      <c r="K1365">
        <f>IF(ISNUMBER(B1365),YEAR(B1365)*100+MONTH(B1365),"")</f>
        <v/>
      </c>
      <c r="L1365">
        <f>IF(ISNUMBER(B1365),INT(B1365),0)</f>
        <v/>
      </c>
    </row>
    <row r="1366">
      <c r="A1366" s="1" t="n"/>
      <c r="B1366" s="17" t="n"/>
      <c r="C1366" s="18" t="n"/>
      <c r="D1366" s="19" t="n"/>
      <c r="E1366" s="23" t="n"/>
      <c r="F1366" s="21" t="n"/>
      <c r="G1366" s="11">
        <f>IF(C1366="","",IFERROR(INDEX(Crops!$D$6:$D$65,MATCH(C1366,Crops!$B$6:$B$65,0))&amp;"",""))</f>
        <v/>
      </c>
      <c r="H1366" s="12">
        <f>IF(OR(C1366="",NOT(ISNUMBER(E1366))),"",E1366*N(IFERROR(INDEX(Crops!$E$6:$E$65,MATCH(C1366,Crops!$B$6:$B$65,0)),0)))</f>
        <v/>
      </c>
      <c r="I1366" s="11">
        <f>IF(AND(C1366="",E1366=""),"",IF(NOT(ISNUMBER(B1366)),"Needs a date",IF(C1366="","Needs a crop",IF(COUNTIF(Crops!$B$6:$B$65,C1366)=0,"Not on Crops",IF(NOT(ISNUMBER(E1366)),"Needs the amount",IF(AND(D1366&lt;&gt;"",COUNTIF(Beds!$B$6:$B$35,D1366)=0),"Not on Beds",""))))))</f>
        <v/>
      </c>
      <c r="J1366" s="1">
        <f>IF(ISNUMBER(B1366),YEAR(B1366),"")</f>
        <v/>
      </c>
      <c r="K1366">
        <f>IF(ISNUMBER(B1366),YEAR(B1366)*100+MONTH(B1366),"")</f>
        <v/>
      </c>
      <c r="L1366">
        <f>IF(ISNUMBER(B1366),INT(B1366),0)</f>
        <v/>
      </c>
    </row>
    <row r="1367">
      <c r="A1367" s="1" t="n"/>
      <c r="B1367" s="17" t="n"/>
      <c r="C1367" s="18" t="n"/>
      <c r="D1367" s="19" t="n"/>
      <c r="E1367" s="23" t="n"/>
      <c r="F1367" s="21" t="n"/>
      <c r="G1367" s="11">
        <f>IF(C1367="","",IFERROR(INDEX(Crops!$D$6:$D$65,MATCH(C1367,Crops!$B$6:$B$65,0))&amp;"",""))</f>
        <v/>
      </c>
      <c r="H1367" s="12">
        <f>IF(OR(C1367="",NOT(ISNUMBER(E1367))),"",E1367*N(IFERROR(INDEX(Crops!$E$6:$E$65,MATCH(C1367,Crops!$B$6:$B$65,0)),0)))</f>
        <v/>
      </c>
      <c r="I1367" s="11">
        <f>IF(AND(C1367="",E1367=""),"",IF(NOT(ISNUMBER(B1367)),"Needs a date",IF(C1367="","Needs a crop",IF(COUNTIF(Crops!$B$6:$B$65,C1367)=0,"Not on Crops",IF(NOT(ISNUMBER(E1367)),"Needs the amount",IF(AND(D1367&lt;&gt;"",COUNTIF(Beds!$B$6:$B$35,D1367)=0),"Not on Beds",""))))))</f>
        <v/>
      </c>
      <c r="J1367" s="1">
        <f>IF(ISNUMBER(B1367),YEAR(B1367),"")</f>
        <v/>
      </c>
      <c r="K1367">
        <f>IF(ISNUMBER(B1367),YEAR(B1367)*100+MONTH(B1367),"")</f>
        <v/>
      </c>
      <c r="L1367">
        <f>IF(ISNUMBER(B1367),INT(B1367),0)</f>
        <v/>
      </c>
    </row>
    <row r="1368">
      <c r="A1368" s="1" t="n"/>
      <c r="B1368" s="17" t="n"/>
      <c r="C1368" s="18" t="n"/>
      <c r="D1368" s="19" t="n"/>
      <c r="E1368" s="23" t="n"/>
      <c r="F1368" s="21" t="n"/>
      <c r="G1368" s="11">
        <f>IF(C1368="","",IFERROR(INDEX(Crops!$D$6:$D$65,MATCH(C1368,Crops!$B$6:$B$65,0))&amp;"",""))</f>
        <v/>
      </c>
      <c r="H1368" s="12">
        <f>IF(OR(C1368="",NOT(ISNUMBER(E1368))),"",E1368*N(IFERROR(INDEX(Crops!$E$6:$E$65,MATCH(C1368,Crops!$B$6:$B$65,0)),0)))</f>
        <v/>
      </c>
      <c r="I1368" s="11">
        <f>IF(AND(C1368="",E1368=""),"",IF(NOT(ISNUMBER(B1368)),"Needs a date",IF(C1368="","Needs a crop",IF(COUNTIF(Crops!$B$6:$B$65,C1368)=0,"Not on Crops",IF(NOT(ISNUMBER(E1368)),"Needs the amount",IF(AND(D1368&lt;&gt;"",COUNTIF(Beds!$B$6:$B$35,D1368)=0),"Not on Beds",""))))))</f>
        <v/>
      </c>
      <c r="J1368" s="1">
        <f>IF(ISNUMBER(B1368),YEAR(B1368),"")</f>
        <v/>
      </c>
      <c r="K1368">
        <f>IF(ISNUMBER(B1368),YEAR(B1368)*100+MONTH(B1368),"")</f>
        <v/>
      </c>
      <c r="L1368">
        <f>IF(ISNUMBER(B1368),INT(B1368),0)</f>
        <v/>
      </c>
    </row>
    <row r="1369">
      <c r="A1369" s="1" t="n"/>
      <c r="B1369" s="17" t="n"/>
      <c r="C1369" s="18" t="n"/>
      <c r="D1369" s="19" t="n"/>
      <c r="E1369" s="23" t="n"/>
      <c r="F1369" s="21" t="n"/>
      <c r="G1369" s="11">
        <f>IF(C1369="","",IFERROR(INDEX(Crops!$D$6:$D$65,MATCH(C1369,Crops!$B$6:$B$65,0))&amp;"",""))</f>
        <v/>
      </c>
      <c r="H1369" s="12">
        <f>IF(OR(C1369="",NOT(ISNUMBER(E1369))),"",E1369*N(IFERROR(INDEX(Crops!$E$6:$E$65,MATCH(C1369,Crops!$B$6:$B$65,0)),0)))</f>
        <v/>
      </c>
      <c r="I1369" s="11">
        <f>IF(AND(C1369="",E1369=""),"",IF(NOT(ISNUMBER(B1369)),"Needs a date",IF(C1369="","Needs a crop",IF(COUNTIF(Crops!$B$6:$B$65,C1369)=0,"Not on Crops",IF(NOT(ISNUMBER(E1369)),"Needs the amount",IF(AND(D1369&lt;&gt;"",COUNTIF(Beds!$B$6:$B$35,D1369)=0),"Not on Beds",""))))))</f>
        <v/>
      </c>
      <c r="J1369" s="1">
        <f>IF(ISNUMBER(B1369),YEAR(B1369),"")</f>
        <v/>
      </c>
      <c r="K1369">
        <f>IF(ISNUMBER(B1369),YEAR(B1369)*100+MONTH(B1369),"")</f>
        <v/>
      </c>
      <c r="L1369">
        <f>IF(ISNUMBER(B1369),INT(B1369),0)</f>
        <v/>
      </c>
    </row>
    <row r="1370">
      <c r="A1370" s="1" t="n"/>
      <c r="B1370" s="17" t="n"/>
      <c r="C1370" s="18" t="n"/>
      <c r="D1370" s="19" t="n"/>
      <c r="E1370" s="23" t="n"/>
      <c r="F1370" s="21" t="n"/>
      <c r="G1370" s="11">
        <f>IF(C1370="","",IFERROR(INDEX(Crops!$D$6:$D$65,MATCH(C1370,Crops!$B$6:$B$65,0))&amp;"",""))</f>
        <v/>
      </c>
      <c r="H1370" s="12">
        <f>IF(OR(C1370="",NOT(ISNUMBER(E1370))),"",E1370*N(IFERROR(INDEX(Crops!$E$6:$E$65,MATCH(C1370,Crops!$B$6:$B$65,0)),0)))</f>
        <v/>
      </c>
      <c r="I1370" s="11">
        <f>IF(AND(C1370="",E1370=""),"",IF(NOT(ISNUMBER(B1370)),"Needs a date",IF(C1370="","Needs a crop",IF(COUNTIF(Crops!$B$6:$B$65,C1370)=0,"Not on Crops",IF(NOT(ISNUMBER(E1370)),"Needs the amount",IF(AND(D1370&lt;&gt;"",COUNTIF(Beds!$B$6:$B$35,D1370)=0),"Not on Beds",""))))))</f>
        <v/>
      </c>
      <c r="J1370" s="1">
        <f>IF(ISNUMBER(B1370),YEAR(B1370),"")</f>
        <v/>
      </c>
      <c r="K1370">
        <f>IF(ISNUMBER(B1370),YEAR(B1370)*100+MONTH(B1370),"")</f>
        <v/>
      </c>
      <c r="L1370">
        <f>IF(ISNUMBER(B1370),INT(B1370),0)</f>
        <v/>
      </c>
    </row>
    <row r="1371">
      <c r="A1371" s="1" t="n"/>
      <c r="B1371" s="17" t="n"/>
      <c r="C1371" s="18" t="n"/>
      <c r="D1371" s="19" t="n"/>
      <c r="E1371" s="23" t="n"/>
      <c r="F1371" s="21" t="n"/>
      <c r="G1371" s="11">
        <f>IF(C1371="","",IFERROR(INDEX(Crops!$D$6:$D$65,MATCH(C1371,Crops!$B$6:$B$65,0))&amp;"",""))</f>
        <v/>
      </c>
      <c r="H1371" s="12">
        <f>IF(OR(C1371="",NOT(ISNUMBER(E1371))),"",E1371*N(IFERROR(INDEX(Crops!$E$6:$E$65,MATCH(C1371,Crops!$B$6:$B$65,0)),0)))</f>
        <v/>
      </c>
      <c r="I1371" s="11">
        <f>IF(AND(C1371="",E1371=""),"",IF(NOT(ISNUMBER(B1371)),"Needs a date",IF(C1371="","Needs a crop",IF(COUNTIF(Crops!$B$6:$B$65,C1371)=0,"Not on Crops",IF(NOT(ISNUMBER(E1371)),"Needs the amount",IF(AND(D1371&lt;&gt;"",COUNTIF(Beds!$B$6:$B$35,D1371)=0),"Not on Beds",""))))))</f>
        <v/>
      </c>
      <c r="J1371" s="1">
        <f>IF(ISNUMBER(B1371),YEAR(B1371),"")</f>
        <v/>
      </c>
      <c r="K1371">
        <f>IF(ISNUMBER(B1371),YEAR(B1371)*100+MONTH(B1371),"")</f>
        <v/>
      </c>
      <c r="L1371">
        <f>IF(ISNUMBER(B1371),INT(B1371),0)</f>
        <v/>
      </c>
    </row>
    <row r="1372">
      <c r="A1372" s="1" t="n"/>
      <c r="B1372" s="17" t="n"/>
      <c r="C1372" s="18" t="n"/>
      <c r="D1372" s="19" t="n"/>
      <c r="E1372" s="23" t="n"/>
      <c r="F1372" s="21" t="n"/>
      <c r="G1372" s="11">
        <f>IF(C1372="","",IFERROR(INDEX(Crops!$D$6:$D$65,MATCH(C1372,Crops!$B$6:$B$65,0))&amp;"",""))</f>
        <v/>
      </c>
      <c r="H1372" s="12">
        <f>IF(OR(C1372="",NOT(ISNUMBER(E1372))),"",E1372*N(IFERROR(INDEX(Crops!$E$6:$E$65,MATCH(C1372,Crops!$B$6:$B$65,0)),0)))</f>
        <v/>
      </c>
      <c r="I1372" s="11">
        <f>IF(AND(C1372="",E1372=""),"",IF(NOT(ISNUMBER(B1372)),"Needs a date",IF(C1372="","Needs a crop",IF(COUNTIF(Crops!$B$6:$B$65,C1372)=0,"Not on Crops",IF(NOT(ISNUMBER(E1372)),"Needs the amount",IF(AND(D1372&lt;&gt;"",COUNTIF(Beds!$B$6:$B$35,D1372)=0),"Not on Beds",""))))))</f>
        <v/>
      </c>
      <c r="J1372" s="1">
        <f>IF(ISNUMBER(B1372),YEAR(B1372),"")</f>
        <v/>
      </c>
      <c r="K1372">
        <f>IF(ISNUMBER(B1372),YEAR(B1372)*100+MONTH(B1372),"")</f>
        <v/>
      </c>
      <c r="L1372">
        <f>IF(ISNUMBER(B1372),INT(B1372),0)</f>
        <v/>
      </c>
    </row>
    <row r="1373">
      <c r="A1373" s="1" t="n"/>
      <c r="B1373" s="17" t="n"/>
      <c r="C1373" s="18" t="n"/>
      <c r="D1373" s="19" t="n"/>
      <c r="E1373" s="23" t="n"/>
      <c r="F1373" s="21" t="n"/>
      <c r="G1373" s="11">
        <f>IF(C1373="","",IFERROR(INDEX(Crops!$D$6:$D$65,MATCH(C1373,Crops!$B$6:$B$65,0))&amp;"",""))</f>
        <v/>
      </c>
      <c r="H1373" s="12">
        <f>IF(OR(C1373="",NOT(ISNUMBER(E1373))),"",E1373*N(IFERROR(INDEX(Crops!$E$6:$E$65,MATCH(C1373,Crops!$B$6:$B$65,0)),0)))</f>
        <v/>
      </c>
      <c r="I1373" s="11">
        <f>IF(AND(C1373="",E1373=""),"",IF(NOT(ISNUMBER(B1373)),"Needs a date",IF(C1373="","Needs a crop",IF(COUNTIF(Crops!$B$6:$B$65,C1373)=0,"Not on Crops",IF(NOT(ISNUMBER(E1373)),"Needs the amount",IF(AND(D1373&lt;&gt;"",COUNTIF(Beds!$B$6:$B$35,D1373)=0),"Not on Beds",""))))))</f>
        <v/>
      </c>
      <c r="J1373" s="1">
        <f>IF(ISNUMBER(B1373),YEAR(B1373),"")</f>
        <v/>
      </c>
      <c r="K1373">
        <f>IF(ISNUMBER(B1373),YEAR(B1373)*100+MONTH(B1373),"")</f>
        <v/>
      </c>
      <c r="L1373">
        <f>IF(ISNUMBER(B1373),INT(B1373),0)</f>
        <v/>
      </c>
    </row>
    <row r="1374">
      <c r="A1374" s="1" t="n"/>
      <c r="B1374" s="17" t="n"/>
      <c r="C1374" s="18" t="n"/>
      <c r="D1374" s="19" t="n"/>
      <c r="E1374" s="23" t="n"/>
      <c r="F1374" s="21" t="n"/>
      <c r="G1374" s="11">
        <f>IF(C1374="","",IFERROR(INDEX(Crops!$D$6:$D$65,MATCH(C1374,Crops!$B$6:$B$65,0))&amp;"",""))</f>
        <v/>
      </c>
      <c r="H1374" s="12">
        <f>IF(OR(C1374="",NOT(ISNUMBER(E1374))),"",E1374*N(IFERROR(INDEX(Crops!$E$6:$E$65,MATCH(C1374,Crops!$B$6:$B$65,0)),0)))</f>
        <v/>
      </c>
      <c r="I1374" s="11">
        <f>IF(AND(C1374="",E1374=""),"",IF(NOT(ISNUMBER(B1374)),"Needs a date",IF(C1374="","Needs a crop",IF(COUNTIF(Crops!$B$6:$B$65,C1374)=0,"Not on Crops",IF(NOT(ISNUMBER(E1374)),"Needs the amount",IF(AND(D1374&lt;&gt;"",COUNTIF(Beds!$B$6:$B$35,D1374)=0),"Not on Beds",""))))))</f>
        <v/>
      </c>
      <c r="J1374" s="1">
        <f>IF(ISNUMBER(B1374),YEAR(B1374),"")</f>
        <v/>
      </c>
      <c r="K1374">
        <f>IF(ISNUMBER(B1374),YEAR(B1374)*100+MONTH(B1374),"")</f>
        <v/>
      </c>
      <c r="L1374">
        <f>IF(ISNUMBER(B1374),INT(B1374),0)</f>
        <v/>
      </c>
    </row>
    <row r="1375">
      <c r="A1375" s="1" t="n"/>
      <c r="B1375" s="17" t="n"/>
      <c r="C1375" s="18" t="n"/>
      <c r="D1375" s="19" t="n"/>
      <c r="E1375" s="23" t="n"/>
      <c r="F1375" s="21" t="n"/>
      <c r="G1375" s="11">
        <f>IF(C1375="","",IFERROR(INDEX(Crops!$D$6:$D$65,MATCH(C1375,Crops!$B$6:$B$65,0))&amp;"",""))</f>
        <v/>
      </c>
      <c r="H1375" s="12">
        <f>IF(OR(C1375="",NOT(ISNUMBER(E1375))),"",E1375*N(IFERROR(INDEX(Crops!$E$6:$E$65,MATCH(C1375,Crops!$B$6:$B$65,0)),0)))</f>
        <v/>
      </c>
      <c r="I1375" s="11">
        <f>IF(AND(C1375="",E1375=""),"",IF(NOT(ISNUMBER(B1375)),"Needs a date",IF(C1375="","Needs a crop",IF(COUNTIF(Crops!$B$6:$B$65,C1375)=0,"Not on Crops",IF(NOT(ISNUMBER(E1375)),"Needs the amount",IF(AND(D1375&lt;&gt;"",COUNTIF(Beds!$B$6:$B$35,D1375)=0),"Not on Beds",""))))))</f>
        <v/>
      </c>
      <c r="J1375" s="1">
        <f>IF(ISNUMBER(B1375),YEAR(B1375),"")</f>
        <v/>
      </c>
      <c r="K1375">
        <f>IF(ISNUMBER(B1375),YEAR(B1375)*100+MONTH(B1375),"")</f>
        <v/>
      </c>
      <c r="L1375">
        <f>IF(ISNUMBER(B1375),INT(B1375),0)</f>
        <v/>
      </c>
    </row>
    <row r="1376">
      <c r="A1376" s="1" t="n"/>
      <c r="B1376" s="17" t="n"/>
      <c r="C1376" s="18" t="n"/>
      <c r="D1376" s="19" t="n"/>
      <c r="E1376" s="23" t="n"/>
      <c r="F1376" s="21" t="n"/>
      <c r="G1376" s="11">
        <f>IF(C1376="","",IFERROR(INDEX(Crops!$D$6:$D$65,MATCH(C1376,Crops!$B$6:$B$65,0))&amp;"",""))</f>
        <v/>
      </c>
      <c r="H1376" s="12">
        <f>IF(OR(C1376="",NOT(ISNUMBER(E1376))),"",E1376*N(IFERROR(INDEX(Crops!$E$6:$E$65,MATCH(C1376,Crops!$B$6:$B$65,0)),0)))</f>
        <v/>
      </c>
      <c r="I1376" s="11">
        <f>IF(AND(C1376="",E1376=""),"",IF(NOT(ISNUMBER(B1376)),"Needs a date",IF(C1376="","Needs a crop",IF(COUNTIF(Crops!$B$6:$B$65,C1376)=0,"Not on Crops",IF(NOT(ISNUMBER(E1376)),"Needs the amount",IF(AND(D1376&lt;&gt;"",COUNTIF(Beds!$B$6:$B$35,D1376)=0),"Not on Beds",""))))))</f>
        <v/>
      </c>
      <c r="J1376" s="1">
        <f>IF(ISNUMBER(B1376),YEAR(B1376),"")</f>
        <v/>
      </c>
      <c r="K1376">
        <f>IF(ISNUMBER(B1376),YEAR(B1376)*100+MONTH(B1376),"")</f>
        <v/>
      </c>
      <c r="L1376">
        <f>IF(ISNUMBER(B1376),INT(B1376),0)</f>
        <v/>
      </c>
    </row>
    <row r="1377">
      <c r="A1377" s="1" t="n"/>
      <c r="B1377" s="17" t="n"/>
      <c r="C1377" s="18" t="n"/>
      <c r="D1377" s="19" t="n"/>
      <c r="E1377" s="23" t="n"/>
      <c r="F1377" s="21" t="n"/>
      <c r="G1377" s="11">
        <f>IF(C1377="","",IFERROR(INDEX(Crops!$D$6:$D$65,MATCH(C1377,Crops!$B$6:$B$65,0))&amp;"",""))</f>
        <v/>
      </c>
      <c r="H1377" s="12">
        <f>IF(OR(C1377="",NOT(ISNUMBER(E1377))),"",E1377*N(IFERROR(INDEX(Crops!$E$6:$E$65,MATCH(C1377,Crops!$B$6:$B$65,0)),0)))</f>
        <v/>
      </c>
      <c r="I1377" s="11">
        <f>IF(AND(C1377="",E1377=""),"",IF(NOT(ISNUMBER(B1377)),"Needs a date",IF(C1377="","Needs a crop",IF(COUNTIF(Crops!$B$6:$B$65,C1377)=0,"Not on Crops",IF(NOT(ISNUMBER(E1377)),"Needs the amount",IF(AND(D1377&lt;&gt;"",COUNTIF(Beds!$B$6:$B$35,D1377)=0),"Not on Beds",""))))))</f>
        <v/>
      </c>
      <c r="J1377" s="1">
        <f>IF(ISNUMBER(B1377),YEAR(B1377),"")</f>
        <v/>
      </c>
      <c r="K1377">
        <f>IF(ISNUMBER(B1377),YEAR(B1377)*100+MONTH(B1377),"")</f>
        <v/>
      </c>
      <c r="L1377">
        <f>IF(ISNUMBER(B1377),INT(B1377),0)</f>
        <v/>
      </c>
    </row>
    <row r="1378">
      <c r="A1378" s="1" t="n"/>
      <c r="B1378" s="17" t="n"/>
      <c r="C1378" s="18" t="n"/>
      <c r="D1378" s="19" t="n"/>
      <c r="E1378" s="23" t="n"/>
      <c r="F1378" s="21" t="n"/>
      <c r="G1378" s="11">
        <f>IF(C1378="","",IFERROR(INDEX(Crops!$D$6:$D$65,MATCH(C1378,Crops!$B$6:$B$65,0))&amp;"",""))</f>
        <v/>
      </c>
      <c r="H1378" s="12">
        <f>IF(OR(C1378="",NOT(ISNUMBER(E1378))),"",E1378*N(IFERROR(INDEX(Crops!$E$6:$E$65,MATCH(C1378,Crops!$B$6:$B$65,0)),0)))</f>
        <v/>
      </c>
      <c r="I1378" s="11">
        <f>IF(AND(C1378="",E1378=""),"",IF(NOT(ISNUMBER(B1378)),"Needs a date",IF(C1378="","Needs a crop",IF(COUNTIF(Crops!$B$6:$B$65,C1378)=0,"Not on Crops",IF(NOT(ISNUMBER(E1378)),"Needs the amount",IF(AND(D1378&lt;&gt;"",COUNTIF(Beds!$B$6:$B$35,D1378)=0),"Not on Beds",""))))))</f>
        <v/>
      </c>
      <c r="J1378" s="1">
        <f>IF(ISNUMBER(B1378),YEAR(B1378),"")</f>
        <v/>
      </c>
      <c r="K1378">
        <f>IF(ISNUMBER(B1378),YEAR(B1378)*100+MONTH(B1378),"")</f>
        <v/>
      </c>
      <c r="L1378">
        <f>IF(ISNUMBER(B1378),INT(B1378),0)</f>
        <v/>
      </c>
    </row>
    <row r="1379">
      <c r="A1379" s="1" t="n"/>
      <c r="B1379" s="17" t="n"/>
      <c r="C1379" s="18" t="n"/>
      <c r="D1379" s="19" t="n"/>
      <c r="E1379" s="23" t="n"/>
      <c r="F1379" s="21" t="n"/>
      <c r="G1379" s="11">
        <f>IF(C1379="","",IFERROR(INDEX(Crops!$D$6:$D$65,MATCH(C1379,Crops!$B$6:$B$65,0))&amp;"",""))</f>
        <v/>
      </c>
      <c r="H1379" s="12">
        <f>IF(OR(C1379="",NOT(ISNUMBER(E1379))),"",E1379*N(IFERROR(INDEX(Crops!$E$6:$E$65,MATCH(C1379,Crops!$B$6:$B$65,0)),0)))</f>
        <v/>
      </c>
      <c r="I1379" s="11">
        <f>IF(AND(C1379="",E1379=""),"",IF(NOT(ISNUMBER(B1379)),"Needs a date",IF(C1379="","Needs a crop",IF(COUNTIF(Crops!$B$6:$B$65,C1379)=0,"Not on Crops",IF(NOT(ISNUMBER(E1379)),"Needs the amount",IF(AND(D1379&lt;&gt;"",COUNTIF(Beds!$B$6:$B$35,D1379)=0),"Not on Beds",""))))))</f>
        <v/>
      </c>
      <c r="J1379" s="1">
        <f>IF(ISNUMBER(B1379),YEAR(B1379),"")</f>
        <v/>
      </c>
      <c r="K1379">
        <f>IF(ISNUMBER(B1379),YEAR(B1379)*100+MONTH(B1379),"")</f>
        <v/>
      </c>
      <c r="L1379">
        <f>IF(ISNUMBER(B1379),INT(B1379),0)</f>
        <v/>
      </c>
    </row>
    <row r="1380">
      <c r="A1380" s="1" t="n"/>
      <c r="B1380" s="17" t="n"/>
      <c r="C1380" s="18" t="n"/>
      <c r="D1380" s="19" t="n"/>
      <c r="E1380" s="23" t="n"/>
      <c r="F1380" s="21" t="n"/>
      <c r="G1380" s="11">
        <f>IF(C1380="","",IFERROR(INDEX(Crops!$D$6:$D$65,MATCH(C1380,Crops!$B$6:$B$65,0))&amp;"",""))</f>
        <v/>
      </c>
      <c r="H1380" s="12">
        <f>IF(OR(C1380="",NOT(ISNUMBER(E1380))),"",E1380*N(IFERROR(INDEX(Crops!$E$6:$E$65,MATCH(C1380,Crops!$B$6:$B$65,0)),0)))</f>
        <v/>
      </c>
      <c r="I1380" s="11">
        <f>IF(AND(C1380="",E1380=""),"",IF(NOT(ISNUMBER(B1380)),"Needs a date",IF(C1380="","Needs a crop",IF(COUNTIF(Crops!$B$6:$B$65,C1380)=0,"Not on Crops",IF(NOT(ISNUMBER(E1380)),"Needs the amount",IF(AND(D1380&lt;&gt;"",COUNTIF(Beds!$B$6:$B$35,D1380)=0),"Not on Beds",""))))))</f>
        <v/>
      </c>
      <c r="J1380" s="1">
        <f>IF(ISNUMBER(B1380),YEAR(B1380),"")</f>
        <v/>
      </c>
      <c r="K1380">
        <f>IF(ISNUMBER(B1380),YEAR(B1380)*100+MONTH(B1380),"")</f>
        <v/>
      </c>
      <c r="L1380">
        <f>IF(ISNUMBER(B1380),INT(B1380),0)</f>
        <v/>
      </c>
    </row>
    <row r="1381">
      <c r="A1381" s="1" t="n"/>
      <c r="B1381" s="17" t="n"/>
      <c r="C1381" s="18" t="n"/>
      <c r="D1381" s="19" t="n"/>
      <c r="E1381" s="23" t="n"/>
      <c r="F1381" s="21" t="n"/>
      <c r="G1381" s="11">
        <f>IF(C1381="","",IFERROR(INDEX(Crops!$D$6:$D$65,MATCH(C1381,Crops!$B$6:$B$65,0))&amp;"",""))</f>
        <v/>
      </c>
      <c r="H1381" s="12">
        <f>IF(OR(C1381="",NOT(ISNUMBER(E1381))),"",E1381*N(IFERROR(INDEX(Crops!$E$6:$E$65,MATCH(C1381,Crops!$B$6:$B$65,0)),0)))</f>
        <v/>
      </c>
      <c r="I1381" s="11">
        <f>IF(AND(C1381="",E1381=""),"",IF(NOT(ISNUMBER(B1381)),"Needs a date",IF(C1381="","Needs a crop",IF(COUNTIF(Crops!$B$6:$B$65,C1381)=0,"Not on Crops",IF(NOT(ISNUMBER(E1381)),"Needs the amount",IF(AND(D1381&lt;&gt;"",COUNTIF(Beds!$B$6:$B$35,D1381)=0),"Not on Beds",""))))))</f>
        <v/>
      </c>
      <c r="J1381" s="1">
        <f>IF(ISNUMBER(B1381),YEAR(B1381),"")</f>
        <v/>
      </c>
      <c r="K1381">
        <f>IF(ISNUMBER(B1381),YEAR(B1381)*100+MONTH(B1381),"")</f>
        <v/>
      </c>
      <c r="L1381">
        <f>IF(ISNUMBER(B1381),INT(B1381),0)</f>
        <v/>
      </c>
    </row>
    <row r="1382">
      <c r="A1382" s="1" t="n"/>
      <c r="B1382" s="17" t="n"/>
      <c r="C1382" s="18" t="n"/>
      <c r="D1382" s="19" t="n"/>
      <c r="E1382" s="23" t="n"/>
      <c r="F1382" s="21" t="n"/>
      <c r="G1382" s="11">
        <f>IF(C1382="","",IFERROR(INDEX(Crops!$D$6:$D$65,MATCH(C1382,Crops!$B$6:$B$65,0))&amp;"",""))</f>
        <v/>
      </c>
      <c r="H1382" s="12">
        <f>IF(OR(C1382="",NOT(ISNUMBER(E1382))),"",E1382*N(IFERROR(INDEX(Crops!$E$6:$E$65,MATCH(C1382,Crops!$B$6:$B$65,0)),0)))</f>
        <v/>
      </c>
      <c r="I1382" s="11">
        <f>IF(AND(C1382="",E1382=""),"",IF(NOT(ISNUMBER(B1382)),"Needs a date",IF(C1382="","Needs a crop",IF(COUNTIF(Crops!$B$6:$B$65,C1382)=0,"Not on Crops",IF(NOT(ISNUMBER(E1382)),"Needs the amount",IF(AND(D1382&lt;&gt;"",COUNTIF(Beds!$B$6:$B$35,D1382)=0),"Not on Beds",""))))))</f>
        <v/>
      </c>
      <c r="J1382" s="1">
        <f>IF(ISNUMBER(B1382),YEAR(B1382),"")</f>
        <v/>
      </c>
      <c r="K1382">
        <f>IF(ISNUMBER(B1382),YEAR(B1382)*100+MONTH(B1382),"")</f>
        <v/>
      </c>
      <c r="L1382">
        <f>IF(ISNUMBER(B1382),INT(B1382),0)</f>
        <v/>
      </c>
    </row>
    <row r="1383">
      <c r="A1383" s="1" t="n"/>
      <c r="B1383" s="17" t="n"/>
      <c r="C1383" s="18" t="n"/>
      <c r="D1383" s="19" t="n"/>
      <c r="E1383" s="23" t="n"/>
      <c r="F1383" s="21" t="n"/>
      <c r="G1383" s="11">
        <f>IF(C1383="","",IFERROR(INDEX(Crops!$D$6:$D$65,MATCH(C1383,Crops!$B$6:$B$65,0))&amp;"",""))</f>
        <v/>
      </c>
      <c r="H1383" s="12">
        <f>IF(OR(C1383="",NOT(ISNUMBER(E1383))),"",E1383*N(IFERROR(INDEX(Crops!$E$6:$E$65,MATCH(C1383,Crops!$B$6:$B$65,0)),0)))</f>
        <v/>
      </c>
      <c r="I1383" s="11">
        <f>IF(AND(C1383="",E1383=""),"",IF(NOT(ISNUMBER(B1383)),"Needs a date",IF(C1383="","Needs a crop",IF(COUNTIF(Crops!$B$6:$B$65,C1383)=0,"Not on Crops",IF(NOT(ISNUMBER(E1383)),"Needs the amount",IF(AND(D1383&lt;&gt;"",COUNTIF(Beds!$B$6:$B$35,D1383)=0),"Not on Beds",""))))))</f>
        <v/>
      </c>
      <c r="J1383" s="1">
        <f>IF(ISNUMBER(B1383),YEAR(B1383),"")</f>
        <v/>
      </c>
      <c r="K1383">
        <f>IF(ISNUMBER(B1383),YEAR(B1383)*100+MONTH(B1383),"")</f>
        <v/>
      </c>
      <c r="L1383">
        <f>IF(ISNUMBER(B1383),INT(B1383),0)</f>
        <v/>
      </c>
    </row>
    <row r="1384">
      <c r="A1384" s="1" t="n"/>
      <c r="B1384" s="17" t="n"/>
      <c r="C1384" s="18" t="n"/>
      <c r="D1384" s="19" t="n"/>
      <c r="E1384" s="23" t="n"/>
      <c r="F1384" s="21" t="n"/>
      <c r="G1384" s="11">
        <f>IF(C1384="","",IFERROR(INDEX(Crops!$D$6:$D$65,MATCH(C1384,Crops!$B$6:$B$65,0))&amp;"",""))</f>
        <v/>
      </c>
      <c r="H1384" s="12">
        <f>IF(OR(C1384="",NOT(ISNUMBER(E1384))),"",E1384*N(IFERROR(INDEX(Crops!$E$6:$E$65,MATCH(C1384,Crops!$B$6:$B$65,0)),0)))</f>
        <v/>
      </c>
      <c r="I1384" s="11">
        <f>IF(AND(C1384="",E1384=""),"",IF(NOT(ISNUMBER(B1384)),"Needs a date",IF(C1384="","Needs a crop",IF(COUNTIF(Crops!$B$6:$B$65,C1384)=0,"Not on Crops",IF(NOT(ISNUMBER(E1384)),"Needs the amount",IF(AND(D1384&lt;&gt;"",COUNTIF(Beds!$B$6:$B$35,D1384)=0),"Not on Beds",""))))))</f>
        <v/>
      </c>
      <c r="J1384" s="1">
        <f>IF(ISNUMBER(B1384),YEAR(B1384),"")</f>
        <v/>
      </c>
      <c r="K1384">
        <f>IF(ISNUMBER(B1384),YEAR(B1384)*100+MONTH(B1384),"")</f>
        <v/>
      </c>
      <c r="L1384">
        <f>IF(ISNUMBER(B1384),INT(B1384),0)</f>
        <v/>
      </c>
    </row>
    <row r="1385">
      <c r="A1385" s="1" t="n"/>
      <c r="B1385" s="17" t="n"/>
      <c r="C1385" s="18" t="n"/>
      <c r="D1385" s="19" t="n"/>
      <c r="E1385" s="23" t="n"/>
      <c r="F1385" s="21" t="n"/>
      <c r="G1385" s="11">
        <f>IF(C1385="","",IFERROR(INDEX(Crops!$D$6:$D$65,MATCH(C1385,Crops!$B$6:$B$65,0))&amp;"",""))</f>
        <v/>
      </c>
      <c r="H1385" s="12">
        <f>IF(OR(C1385="",NOT(ISNUMBER(E1385))),"",E1385*N(IFERROR(INDEX(Crops!$E$6:$E$65,MATCH(C1385,Crops!$B$6:$B$65,0)),0)))</f>
        <v/>
      </c>
      <c r="I1385" s="11">
        <f>IF(AND(C1385="",E1385=""),"",IF(NOT(ISNUMBER(B1385)),"Needs a date",IF(C1385="","Needs a crop",IF(COUNTIF(Crops!$B$6:$B$65,C1385)=0,"Not on Crops",IF(NOT(ISNUMBER(E1385)),"Needs the amount",IF(AND(D1385&lt;&gt;"",COUNTIF(Beds!$B$6:$B$35,D1385)=0),"Not on Beds",""))))))</f>
        <v/>
      </c>
      <c r="J1385" s="1">
        <f>IF(ISNUMBER(B1385),YEAR(B1385),"")</f>
        <v/>
      </c>
      <c r="K1385">
        <f>IF(ISNUMBER(B1385),YEAR(B1385)*100+MONTH(B1385),"")</f>
        <v/>
      </c>
      <c r="L1385">
        <f>IF(ISNUMBER(B1385),INT(B1385),0)</f>
        <v/>
      </c>
    </row>
    <row r="1386">
      <c r="A1386" s="1" t="n"/>
      <c r="B1386" s="17" t="n"/>
      <c r="C1386" s="18" t="n"/>
      <c r="D1386" s="19" t="n"/>
      <c r="E1386" s="23" t="n"/>
      <c r="F1386" s="21" t="n"/>
      <c r="G1386" s="11">
        <f>IF(C1386="","",IFERROR(INDEX(Crops!$D$6:$D$65,MATCH(C1386,Crops!$B$6:$B$65,0))&amp;"",""))</f>
        <v/>
      </c>
      <c r="H1386" s="12">
        <f>IF(OR(C1386="",NOT(ISNUMBER(E1386))),"",E1386*N(IFERROR(INDEX(Crops!$E$6:$E$65,MATCH(C1386,Crops!$B$6:$B$65,0)),0)))</f>
        <v/>
      </c>
      <c r="I1386" s="11">
        <f>IF(AND(C1386="",E1386=""),"",IF(NOT(ISNUMBER(B1386)),"Needs a date",IF(C1386="","Needs a crop",IF(COUNTIF(Crops!$B$6:$B$65,C1386)=0,"Not on Crops",IF(NOT(ISNUMBER(E1386)),"Needs the amount",IF(AND(D1386&lt;&gt;"",COUNTIF(Beds!$B$6:$B$35,D1386)=0),"Not on Beds",""))))))</f>
        <v/>
      </c>
      <c r="J1386" s="1">
        <f>IF(ISNUMBER(B1386),YEAR(B1386),"")</f>
        <v/>
      </c>
      <c r="K1386">
        <f>IF(ISNUMBER(B1386),YEAR(B1386)*100+MONTH(B1386),"")</f>
        <v/>
      </c>
      <c r="L1386">
        <f>IF(ISNUMBER(B1386),INT(B1386),0)</f>
        <v/>
      </c>
    </row>
    <row r="1387">
      <c r="A1387" s="1" t="n"/>
      <c r="B1387" s="17" t="n"/>
      <c r="C1387" s="18" t="n"/>
      <c r="D1387" s="19" t="n"/>
      <c r="E1387" s="23" t="n"/>
      <c r="F1387" s="21" t="n"/>
      <c r="G1387" s="11">
        <f>IF(C1387="","",IFERROR(INDEX(Crops!$D$6:$D$65,MATCH(C1387,Crops!$B$6:$B$65,0))&amp;"",""))</f>
        <v/>
      </c>
      <c r="H1387" s="12">
        <f>IF(OR(C1387="",NOT(ISNUMBER(E1387))),"",E1387*N(IFERROR(INDEX(Crops!$E$6:$E$65,MATCH(C1387,Crops!$B$6:$B$65,0)),0)))</f>
        <v/>
      </c>
      <c r="I1387" s="11">
        <f>IF(AND(C1387="",E1387=""),"",IF(NOT(ISNUMBER(B1387)),"Needs a date",IF(C1387="","Needs a crop",IF(COUNTIF(Crops!$B$6:$B$65,C1387)=0,"Not on Crops",IF(NOT(ISNUMBER(E1387)),"Needs the amount",IF(AND(D1387&lt;&gt;"",COUNTIF(Beds!$B$6:$B$35,D1387)=0),"Not on Beds",""))))))</f>
        <v/>
      </c>
      <c r="J1387" s="1">
        <f>IF(ISNUMBER(B1387),YEAR(B1387),"")</f>
        <v/>
      </c>
      <c r="K1387">
        <f>IF(ISNUMBER(B1387),YEAR(B1387)*100+MONTH(B1387),"")</f>
        <v/>
      </c>
      <c r="L1387">
        <f>IF(ISNUMBER(B1387),INT(B1387),0)</f>
        <v/>
      </c>
    </row>
    <row r="1388">
      <c r="A1388" s="1" t="n"/>
      <c r="B1388" s="17" t="n"/>
      <c r="C1388" s="18" t="n"/>
      <c r="D1388" s="19" t="n"/>
      <c r="E1388" s="23" t="n"/>
      <c r="F1388" s="21" t="n"/>
      <c r="G1388" s="11">
        <f>IF(C1388="","",IFERROR(INDEX(Crops!$D$6:$D$65,MATCH(C1388,Crops!$B$6:$B$65,0))&amp;"",""))</f>
        <v/>
      </c>
      <c r="H1388" s="12">
        <f>IF(OR(C1388="",NOT(ISNUMBER(E1388))),"",E1388*N(IFERROR(INDEX(Crops!$E$6:$E$65,MATCH(C1388,Crops!$B$6:$B$65,0)),0)))</f>
        <v/>
      </c>
      <c r="I1388" s="11">
        <f>IF(AND(C1388="",E1388=""),"",IF(NOT(ISNUMBER(B1388)),"Needs a date",IF(C1388="","Needs a crop",IF(COUNTIF(Crops!$B$6:$B$65,C1388)=0,"Not on Crops",IF(NOT(ISNUMBER(E1388)),"Needs the amount",IF(AND(D1388&lt;&gt;"",COUNTIF(Beds!$B$6:$B$35,D1388)=0),"Not on Beds",""))))))</f>
        <v/>
      </c>
      <c r="J1388" s="1">
        <f>IF(ISNUMBER(B1388),YEAR(B1388),"")</f>
        <v/>
      </c>
      <c r="K1388">
        <f>IF(ISNUMBER(B1388),YEAR(B1388)*100+MONTH(B1388),"")</f>
        <v/>
      </c>
      <c r="L1388">
        <f>IF(ISNUMBER(B1388),INT(B1388),0)</f>
        <v/>
      </c>
    </row>
    <row r="1389">
      <c r="A1389" s="1" t="n"/>
      <c r="B1389" s="17" t="n"/>
      <c r="C1389" s="18" t="n"/>
      <c r="D1389" s="19" t="n"/>
      <c r="E1389" s="23" t="n"/>
      <c r="F1389" s="21" t="n"/>
      <c r="G1389" s="11">
        <f>IF(C1389="","",IFERROR(INDEX(Crops!$D$6:$D$65,MATCH(C1389,Crops!$B$6:$B$65,0))&amp;"",""))</f>
        <v/>
      </c>
      <c r="H1389" s="12">
        <f>IF(OR(C1389="",NOT(ISNUMBER(E1389))),"",E1389*N(IFERROR(INDEX(Crops!$E$6:$E$65,MATCH(C1389,Crops!$B$6:$B$65,0)),0)))</f>
        <v/>
      </c>
      <c r="I1389" s="11">
        <f>IF(AND(C1389="",E1389=""),"",IF(NOT(ISNUMBER(B1389)),"Needs a date",IF(C1389="","Needs a crop",IF(COUNTIF(Crops!$B$6:$B$65,C1389)=0,"Not on Crops",IF(NOT(ISNUMBER(E1389)),"Needs the amount",IF(AND(D1389&lt;&gt;"",COUNTIF(Beds!$B$6:$B$35,D1389)=0),"Not on Beds",""))))))</f>
        <v/>
      </c>
      <c r="J1389" s="1">
        <f>IF(ISNUMBER(B1389),YEAR(B1389),"")</f>
        <v/>
      </c>
      <c r="K1389">
        <f>IF(ISNUMBER(B1389),YEAR(B1389)*100+MONTH(B1389),"")</f>
        <v/>
      </c>
      <c r="L1389">
        <f>IF(ISNUMBER(B1389),INT(B1389),0)</f>
        <v/>
      </c>
    </row>
    <row r="1390">
      <c r="A1390" s="1" t="n"/>
      <c r="B1390" s="17" t="n"/>
      <c r="C1390" s="18" t="n"/>
      <c r="D1390" s="19" t="n"/>
      <c r="E1390" s="23" t="n"/>
      <c r="F1390" s="21" t="n"/>
      <c r="G1390" s="11">
        <f>IF(C1390="","",IFERROR(INDEX(Crops!$D$6:$D$65,MATCH(C1390,Crops!$B$6:$B$65,0))&amp;"",""))</f>
        <v/>
      </c>
      <c r="H1390" s="12">
        <f>IF(OR(C1390="",NOT(ISNUMBER(E1390))),"",E1390*N(IFERROR(INDEX(Crops!$E$6:$E$65,MATCH(C1390,Crops!$B$6:$B$65,0)),0)))</f>
        <v/>
      </c>
      <c r="I1390" s="11">
        <f>IF(AND(C1390="",E1390=""),"",IF(NOT(ISNUMBER(B1390)),"Needs a date",IF(C1390="","Needs a crop",IF(COUNTIF(Crops!$B$6:$B$65,C1390)=0,"Not on Crops",IF(NOT(ISNUMBER(E1390)),"Needs the amount",IF(AND(D1390&lt;&gt;"",COUNTIF(Beds!$B$6:$B$35,D1390)=0),"Not on Beds",""))))))</f>
        <v/>
      </c>
      <c r="J1390" s="1">
        <f>IF(ISNUMBER(B1390),YEAR(B1390),"")</f>
        <v/>
      </c>
      <c r="K1390">
        <f>IF(ISNUMBER(B1390),YEAR(B1390)*100+MONTH(B1390),"")</f>
        <v/>
      </c>
      <c r="L1390">
        <f>IF(ISNUMBER(B1390),INT(B1390),0)</f>
        <v/>
      </c>
    </row>
    <row r="1391">
      <c r="A1391" s="1" t="n"/>
      <c r="B1391" s="17" t="n"/>
      <c r="C1391" s="18" t="n"/>
      <c r="D1391" s="19" t="n"/>
      <c r="E1391" s="23" t="n"/>
      <c r="F1391" s="21" t="n"/>
      <c r="G1391" s="11">
        <f>IF(C1391="","",IFERROR(INDEX(Crops!$D$6:$D$65,MATCH(C1391,Crops!$B$6:$B$65,0))&amp;"",""))</f>
        <v/>
      </c>
      <c r="H1391" s="12">
        <f>IF(OR(C1391="",NOT(ISNUMBER(E1391))),"",E1391*N(IFERROR(INDEX(Crops!$E$6:$E$65,MATCH(C1391,Crops!$B$6:$B$65,0)),0)))</f>
        <v/>
      </c>
      <c r="I1391" s="11">
        <f>IF(AND(C1391="",E1391=""),"",IF(NOT(ISNUMBER(B1391)),"Needs a date",IF(C1391="","Needs a crop",IF(COUNTIF(Crops!$B$6:$B$65,C1391)=0,"Not on Crops",IF(NOT(ISNUMBER(E1391)),"Needs the amount",IF(AND(D1391&lt;&gt;"",COUNTIF(Beds!$B$6:$B$35,D1391)=0),"Not on Beds",""))))))</f>
        <v/>
      </c>
      <c r="J1391" s="1">
        <f>IF(ISNUMBER(B1391),YEAR(B1391),"")</f>
        <v/>
      </c>
      <c r="K1391">
        <f>IF(ISNUMBER(B1391),YEAR(B1391)*100+MONTH(B1391),"")</f>
        <v/>
      </c>
      <c r="L1391">
        <f>IF(ISNUMBER(B1391),INT(B1391),0)</f>
        <v/>
      </c>
    </row>
    <row r="1392">
      <c r="A1392" s="1" t="n"/>
      <c r="B1392" s="17" t="n"/>
      <c r="C1392" s="18" t="n"/>
      <c r="D1392" s="19" t="n"/>
      <c r="E1392" s="23" t="n"/>
      <c r="F1392" s="21" t="n"/>
      <c r="G1392" s="11">
        <f>IF(C1392="","",IFERROR(INDEX(Crops!$D$6:$D$65,MATCH(C1392,Crops!$B$6:$B$65,0))&amp;"",""))</f>
        <v/>
      </c>
      <c r="H1392" s="12">
        <f>IF(OR(C1392="",NOT(ISNUMBER(E1392))),"",E1392*N(IFERROR(INDEX(Crops!$E$6:$E$65,MATCH(C1392,Crops!$B$6:$B$65,0)),0)))</f>
        <v/>
      </c>
      <c r="I1392" s="11">
        <f>IF(AND(C1392="",E1392=""),"",IF(NOT(ISNUMBER(B1392)),"Needs a date",IF(C1392="","Needs a crop",IF(COUNTIF(Crops!$B$6:$B$65,C1392)=0,"Not on Crops",IF(NOT(ISNUMBER(E1392)),"Needs the amount",IF(AND(D1392&lt;&gt;"",COUNTIF(Beds!$B$6:$B$35,D1392)=0),"Not on Beds",""))))))</f>
        <v/>
      </c>
      <c r="J1392" s="1">
        <f>IF(ISNUMBER(B1392),YEAR(B1392),"")</f>
        <v/>
      </c>
      <c r="K1392">
        <f>IF(ISNUMBER(B1392),YEAR(B1392)*100+MONTH(B1392),"")</f>
        <v/>
      </c>
      <c r="L1392">
        <f>IF(ISNUMBER(B1392),INT(B1392),0)</f>
        <v/>
      </c>
    </row>
    <row r="1393">
      <c r="A1393" s="1" t="n"/>
      <c r="B1393" s="17" t="n"/>
      <c r="C1393" s="18" t="n"/>
      <c r="D1393" s="19" t="n"/>
      <c r="E1393" s="23" t="n"/>
      <c r="F1393" s="21" t="n"/>
      <c r="G1393" s="11">
        <f>IF(C1393="","",IFERROR(INDEX(Crops!$D$6:$D$65,MATCH(C1393,Crops!$B$6:$B$65,0))&amp;"",""))</f>
        <v/>
      </c>
      <c r="H1393" s="12">
        <f>IF(OR(C1393="",NOT(ISNUMBER(E1393))),"",E1393*N(IFERROR(INDEX(Crops!$E$6:$E$65,MATCH(C1393,Crops!$B$6:$B$65,0)),0)))</f>
        <v/>
      </c>
      <c r="I1393" s="11">
        <f>IF(AND(C1393="",E1393=""),"",IF(NOT(ISNUMBER(B1393)),"Needs a date",IF(C1393="","Needs a crop",IF(COUNTIF(Crops!$B$6:$B$65,C1393)=0,"Not on Crops",IF(NOT(ISNUMBER(E1393)),"Needs the amount",IF(AND(D1393&lt;&gt;"",COUNTIF(Beds!$B$6:$B$35,D1393)=0),"Not on Beds",""))))))</f>
        <v/>
      </c>
      <c r="J1393" s="1">
        <f>IF(ISNUMBER(B1393),YEAR(B1393),"")</f>
        <v/>
      </c>
      <c r="K1393">
        <f>IF(ISNUMBER(B1393),YEAR(B1393)*100+MONTH(B1393),"")</f>
        <v/>
      </c>
      <c r="L1393">
        <f>IF(ISNUMBER(B1393),INT(B1393),0)</f>
        <v/>
      </c>
    </row>
    <row r="1394">
      <c r="A1394" s="1" t="n"/>
      <c r="B1394" s="17" t="n"/>
      <c r="C1394" s="18" t="n"/>
      <c r="D1394" s="19" t="n"/>
      <c r="E1394" s="23" t="n"/>
      <c r="F1394" s="21" t="n"/>
      <c r="G1394" s="11">
        <f>IF(C1394="","",IFERROR(INDEX(Crops!$D$6:$D$65,MATCH(C1394,Crops!$B$6:$B$65,0))&amp;"",""))</f>
        <v/>
      </c>
      <c r="H1394" s="12">
        <f>IF(OR(C1394="",NOT(ISNUMBER(E1394))),"",E1394*N(IFERROR(INDEX(Crops!$E$6:$E$65,MATCH(C1394,Crops!$B$6:$B$65,0)),0)))</f>
        <v/>
      </c>
      <c r="I1394" s="11">
        <f>IF(AND(C1394="",E1394=""),"",IF(NOT(ISNUMBER(B1394)),"Needs a date",IF(C1394="","Needs a crop",IF(COUNTIF(Crops!$B$6:$B$65,C1394)=0,"Not on Crops",IF(NOT(ISNUMBER(E1394)),"Needs the amount",IF(AND(D1394&lt;&gt;"",COUNTIF(Beds!$B$6:$B$35,D1394)=0),"Not on Beds",""))))))</f>
        <v/>
      </c>
      <c r="J1394" s="1">
        <f>IF(ISNUMBER(B1394),YEAR(B1394),"")</f>
        <v/>
      </c>
      <c r="K1394">
        <f>IF(ISNUMBER(B1394),YEAR(B1394)*100+MONTH(B1394),"")</f>
        <v/>
      </c>
      <c r="L1394">
        <f>IF(ISNUMBER(B1394),INT(B1394),0)</f>
        <v/>
      </c>
    </row>
    <row r="1395">
      <c r="A1395" s="1" t="n"/>
      <c r="B1395" s="17" t="n"/>
      <c r="C1395" s="18" t="n"/>
      <c r="D1395" s="19" t="n"/>
      <c r="E1395" s="23" t="n"/>
      <c r="F1395" s="21" t="n"/>
      <c r="G1395" s="11">
        <f>IF(C1395="","",IFERROR(INDEX(Crops!$D$6:$D$65,MATCH(C1395,Crops!$B$6:$B$65,0))&amp;"",""))</f>
        <v/>
      </c>
      <c r="H1395" s="12">
        <f>IF(OR(C1395="",NOT(ISNUMBER(E1395))),"",E1395*N(IFERROR(INDEX(Crops!$E$6:$E$65,MATCH(C1395,Crops!$B$6:$B$65,0)),0)))</f>
        <v/>
      </c>
      <c r="I1395" s="11">
        <f>IF(AND(C1395="",E1395=""),"",IF(NOT(ISNUMBER(B1395)),"Needs a date",IF(C1395="","Needs a crop",IF(COUNTIF(Crops!$B$6:$B$65,C1395)=0,"Not on Crops",IF(NOT(ISNUMBER(E1395)),"Needs the amount",IF(AND(D1395&lt;&gt;"",COUNTIF(Beds!$B$6:$B$35,D1395)=0),"Not on Beds",""))))))</f>
        <v/>
      </c>
      <c r="J1395" s="1">
        <f>IF(ISNUMBER(B1395),YEAR(B1395),"")</f>
        <v/>
      </c>
      <c r="K1395">
        <f>IF(ISNUMBER(B1395),YEAR(B1395)*100+MONTH(B1395),"")</f>
        <v/>
      </c>
      <c r="L1395">
        <f>IF(ISNUMBER(B1395),INT(B1395),0)</f>
        <v/>
      </c>
    </row>
    <row r="1396">
      <c r="A1396" s="1" t="n"/>
      <c r="B1396" s="17" t="n"/>
      <c r="C1396" s="18" t="n"/>
      <c r="D1396" s="19" t="n"/>
      <c r="E1396" s="23" t="n"/>
      <c r="F1396" s="21" t="n"/>
      <c r="G1396" s="11">
        <f>IF(C1396="","",IFERROR(INDEX(Crops!$D$6:$D$65,MATCH(C1396,Crops!$B$6:$B$65,0))&amp;"",""))</f>
        <v/>
      </c>
      <c r="H1396" s="12">
        <f>IF(OR(C1396="",NOT(ISNUMBER(E1396))),"",E1396*N(IFERROR(INDEX(Crops!$E$6:$E$65,MATCH(C1396,Crops!$B$6:$B$65,0)),0)))</f>
        <v/>
      </c>
      <c r="I1396" s="11">
        <f>IF(AND(C1396="",E1396=""),"",IF(NOT(ISNUMBER(B1396)),"Needs a date",IF(C1396="","Needs a crop",IF(COUNTIF(Crops!$B$6:$B$65,C1396)=0,"Not on Crops",IF(NOT(ISNUMBER(E1396)),"Needs the amount",IF(AND(D1396&lt;&gt;"",COUNTIF(Beds!$B$6:$B$35,D1396)=0),"Not on Beds",""))))))</f>
        <v/>
      </c>
      <c r="J1396" s="1">
        <f>IF(ISNUMBER(B1396),YEAR(B1396),"")</f>
        <v/>
      </c>
      <c r="K1396">
        <f>IF(ISNUMBER(B1396),YEAR(B1396)*100+MONTH(B1396),"")</f>
        <v/>
      </c>
      <c r="L1396">
        <f>IF(ISNUMBER(B1396),INT(B1396),0)</f>
        <v/>
      </c>
    </row>
    <row r="1397">
      <c r="A1397" s="1" t="n"/>
      <c r="B1397" s="17" t="n"/>
      <c r="C1397" s="18" t="n"/>
      <c r="D1397" s="19" t="n"/>
      <c r="E1397" s="23" t="n"/>
      <c r="F1397" s="21" t="n"/>
      <c r="G1397" s="11">
        <f>IF(C1397="","",IFERROR(INDEX(Crops!$D$6:$D$65,MATCH(C1397,Crops!$B$6:$B$65,0))&amp;"",""))</f>
        <v/>
      </c>
      <c r="H1397" s="12">
        <f>IF(OR(C1397="",NOT(ISNUMBER(E1397))),"",E1397*N(IFERROR(INDEX(Crops!$E$6:$E$65,MATCH(C1397,Crops!$B$6:$B$65,0)),0)))</f>
        <v/>
      </c>
      <c r="I1397" s="11">
        <f>IF(AND(C1397="",E1397=""),"",IF(NOT(ISNUMBER(B1397)),"Needs a date",IF(C1397="","Needs a crop",IF(COUNTIF(Crops!$B$6:$B$65,C1397)=0,"Not on Crops",IF(NOT(ISNUMBER(E1397)),"Needs the amount",IF(AND(D1397&lt;&gt;"",COUNTIF(Beds!$B$6:$B$35,D1397)=0),"Not on Beds",""))))))</f>
        <v/>
      </c>
      <c r="J1397" s="1">
        <f>IF(ISNUMBER(B1397),YEAR(B1397),"")</f>
        <v/>
      </c>
      <c r="K1397">
        <f>IF(ISNUMBER(B1397),YEAR(B1397)*100+MONTH(B1397),"")</f>
        <v/>
      </c>
      <c r="L1397">
        <f>IF(ISNUMBER(B1397),INT(B1397),0)</f>
        <v/>
      </c>
    </row>
    <row r="1398">
      <c r="A1398" s="1" t="n"/>
      <c r="B1398" s="17" t="n"/>
      <c r="C1398" s="18" t="n"/>
      <c r="D1398" s="19" t="n"/>
      <c r="E1398" s="23" t="n"/>
      <c r="F1398" s="21" t="n"/>
      <c r="G1398" s="11">
        <f>IF(C1398="","",IFERROR(INDEX(Crops!$D$6:$D$65,MATCH(C1398,Crops!$B$6:$B$65,0))&amp;"",""))</f>
        <v/>
      </c>
      <c r="H1398" s="12">
        <f>IF(OR(C1398="",NOT(ISNUMBER(E1398))),"",E1398*N(IFERROR(INDEX(Crops!$E$6:$E$65,MATCH(C1398,Crops!$B$6:$B$65,0)),0)))</f>
        <v/>
      </c>
      <c r="I1398" s="11">
        <f>IF(AND(C1398="",E1398=""),"",IF(NOT(ISNUMBER(B1398)),"Needs a date",IF(C1398="","Needs a crop",IF(COUNTIF(Crops!$B$6:$B$65,C1398)=0,"Not on Crops",IF(NOT(ISNUMBER(E1398)),"Needs the amount",IF(AND(D1398&lt;&gt;"",COUNTIF(Beds!$B$6:$B$35,D1398)=0),"Not on Beds",""))))))</f>
        <v/>
      </c>
      <c r="J1398" s="1">
        <f>IF(ISNUMBER(B1398),YEAR(B1398),"")</f>
        <v/>
      </c>
      <c r="K1398">
        <f>IF(ISNUMBER(B1398),YEAR(B1398)*100+MONTH(B1398),"")</f>
        <v/>
      </c>
      <c r="L1398">
        <f>IF(ISNUMBER(B1398),INT(B1398),0)</f>
        <v/>
      </c>
    </row>
    <row r="1399">
      <c r="A1399" s="1" t="n"/>
      <c r="B1399" s="17" t="n"/>
      <c r="C1399" s="18" t="n"/>
      <c r="D1399" s="19" t="n"/>
      <c r="E1399" s="23" t="n"/>
      <c r="F1399" s="21" t="n"/>
      <c r="G1399" s="11">
        <f>IF(C1399="","",IFERROR(INDEX(Crops!$D$6:$D$65,MATCH(C1399,Crops!$B$6:$B$65,0))&amp;"",""))</f>
        <v/>
      </c>
      <c r="H1399" s="12">
        <f>IF(OR(C1399="",NOT(ISNUMBER(E1399))),"",E1399*N(IFERROR(INDEX(Crops!$E$6:$E$65,MATCH(C1399,Crops!$B$6:$B$65,0)),0)))</f>
        <v/>
      </c>
      <c r="I1399" s="11">
        <f>IF(AND(C1399="",E1399=""),"",IF(NOT(ISNUMBER(B1399)),"Needs a date",IF(C1399="","Needs a crop",IF(COUNTIF(Crops!$B$6:$B$65,C1399)=0,"Not on Crops",IF(NOT(ISNUMBER(E1399)),"Needs the amount",IF(AND(D1399&lt;&gt;"",COUNTIF(Beds!$B$6:$B$35,D1399)=0),"Not on Beds",""))))))</f>
        <v/>
      </c>
      <c r="J1399" s="1">
        <f>IF(ISNUMBER(B1399),YEAR(B1399),"")</f>
        <v/>
      </c>
      <c r="K1399">
        <f>IF(ISNUMBER(B1399),YEAR(B1399)*100+MONTH(B1399),"")</f>
        <v/>
      </c>
      <c r="L1399">
        <f>IF(ISNUMBER(B1399),INT(B1399),0)</f>
        <v/>
      </c>
    </row>
    <row r="1400">
      <c r="A1400" s="1" t="n"/>
      <c r="B1400" s="17" t="n"/>
      <c r="C1400" s="18" t="n"/>
      <c r="D1400" s="19" t="n"/>
      <c r="E1400" s="23" t="n"/>
      <c r="F1400" s="21" t="n"/>
      <c r="G1400" s="11">
        <f>IF(C1400="","",IFERROR(INDEX(Crops!$D$6:$D$65,MATCH(C1400,Crops!$B$6:$B$65,0))&amp;"",""))</f>
        <v/>
      </c>
      <c r="H1400" s="12">
        <f>IF(OR(C1400="",NOT(ISNUMBER(E1400))),"",E1400*N(IFERROR(INDEX(Crops!$E$6:$E$65,MATCH(C1400,Crops!$B$6:$B$65,0)),0)))</f>
        <v/>
      </c>
      <c r="I1400" s="11">
        <f>IF(AND(C1400="",E1400=""),"",IF(NOT(ISNUMBER(B1400)),"Needs a date",IF(C1400="","Needs a crop",IF(COUNTIF(Crops!$B$6:$B$65,C1400)=0,"Not on Crops",IF(NOT(ISNUMBER(E1400)),"Needs the amount",IF(AND(D1400&lt;&gt;"",COUNTIF(Beds!$B$6:$B$35,D1400)=0),"Not on Beds",""))))))</f>
        <v/>
      </c>
      <c r="J1400" s="1">
        <f>IF(ISNUMBER(B1400),YEAR(B1400),"")</f>
        <v/>
      </c>
      <c r="K1400">
        <f>IF(ISNUMBER(B1400),YEAR(B1400)*100+MONTH(B1400),"")</f>
        <v/>
      </c>
      <c r="L1400">
        <f>IF(ISNUMBER(B1400),INT(B1400),0)</f>
        <v/>
      </c>
    </row>
    <row r="1401">
      <c r="A1401" s="1" t="n"/>
      <c r="B1401" s="17" t="n"/>
      <c r="C1401" s="18" t="n"/>
      <c r="D1401" s="19" t="n"/>
      <c r="E1401" s="23" t="n"/>
      <c r="F1401" s="21" t="n"/>
      <c r="G1401" s="11">
        <f>IF(C1401="","",IFERROR(INDEX(Crops!$D$6:$D$65,MATCH(C1401,Crops!$B$6:$B$65,0))&amp;"",""))</f>
        <v/>
      </c>
      <c r="H1401" s="12">
        <f>IF(OR(C1401="",NOT(ISNUMBER(E1401))),"",E1401*N(IFERROR(INDEX(Crops!$E$6:$E$65,MATCH(C1401,Crops!$B$6:$B$65,0)),0)))</f>
        <v/>
      </c>
      <c r="I1401" s="11">
        <f>IF(AND(C1401="",E1401=""),"",IF(NOT(ISNUMBER(B1401)),"Needs a date",IF(C1401="","Needs a crop",IF(COUNTIF(Crops!$B$6:$B$65,C1401)=0,"Not on Crops",IF(NOT(ISNUMBER(E1401)),"Needs the amount",IF(AND(D1401&lt;&gt;"",COUNTIF(Beds!$B$6:$B$35,D1401)=0),"Not on Beds",""))))))</f>
        <v/>
      </c>
      <c r="J1401" s="1">
        <f>IF(ISNUMBER(B1401),YEAR(B1401),"")</f>
        <v/>
      </c>
      <c r="K1401">
        <f>IF(ISNUMBER(B1401),YEAR(B1401)*100+MONTH(B1401),"")</f>
        <v/>
      </c>
      <c r="L1401">
        <f>IF(ISNUMBER(B1401),INT(B1401),0)</f>
        <v/>
      </c>
    </row>
    <row r="1402">
      <c r="A1402" s="1" t="n"/>
      <c r="B1402" s="17" t="n"/>
      <c r="C1402" s="18" t="n"/>
      <c r="D1402" s="19" t="n"/>
      <c r="E1402" s="23" t="n"/>
      <c r="F1402" s="21" t="n"/>
      <c r="G1402" s="11">
        <f>IF(C1402="","",IFERROR(INDEX(Crops!$D$6:$D$65,MATCH(C1402,Crops!$B$6:$B$65,0))&amp;"",""))</f>
        <v/>
      </c>
      <c r="H1402" s="12">
        <f>IF(OR(C1402="",NOT(ISNUMBER(E1402))),"",E1402*N(IFERROR(INDEX(Crops!$E$6:$E$65,MATCH(C1402,Crops!$B$6:$B$65,0)),0)))</f>
        <v/>
      </c>
      <c r="I1402" s="11">
        <f>IF(AND(C1402="",E1402=""),"",IF(NOT(ISNUMBER(B1402)),"Needs a date",IF(C1402="","Needs a crop",IF(COUNTIF(Crops!$B$6:$B$65,C1402)=0,"Not on Crops",IF(NOT(ISNUMBER(E1402)),"Needs the amount",IF(AND(D1402&lt;&gt;"",COUNTIF(Beds!$B$6:$B$35,D1402)=0),"Not on Beds",""))))))</f>
        <v/>
      </c>
      <c r="J1402" s="1">
        <f>IF(ISNUMBER(B1402),YEAR(B1402),"")</f>
        <v/>
      </c>
      <c r="K1402">
        <f>IF(ISNUMBER(B1402),YEAR(B1402)*100+MONTH(B1402),"")</f>
        <v/>
      </c>
      <c r="L1402">
        <f>IF(ISNUMBER(B1402),INT(B1402),0)</f>
        <v/>
      </c>
    </row>
    <row r="1403">
      <c r="A1403" s="1" t="n"/>
      <c r="B1403" s="17" t="n"/>
      <c r="C1403" s="18" t="n"/>
      <c r="D1403" s="19" t="n"/>
      <c r="E1403" s="23" t="n"/>
      <c r="F1403" s="21" t="n"/>
      <c r="G1403" s="11">
        <f>IF(C1403="","",IFERROR(INDEX(Crops!$D$6:$D$65,MATCH(C1403,Crops!$B$6:$B$65,0))&amp;"",""))</f>
        <v/>
      </c>
      <c r="H1403" s="12">
        <f>IF(OR(C1403="",NOT(ISNUMBER(E1403))),"",E1403*N(IFERROR(INDEX(Crops!$E$6:$E$65,MATCH(C1403,Crops!$B$6:$B$65,0)),0)))</f>
        <v/>
      </c>
      <c r="I1403" s="11">
        <f>IF(AND(C1403="",E1403=""),"",IF(NOT(ISNUMBER(B1403)),"Needs a date",IF(C1403="","Needs a crop",IF(COUNTIF(Crops!$B$6:$B$65,C1403)=0,"Not on Crops",IF(NOT(ISNUMBER(E1403)),"Needs the amount",IF(AND(D1403&lt;&gt;"",COUNTIF(Beds!$B$6:$B$35,D1403)=0),"Not on Beds",""))))))</f>
        <v/>
      </c>
      <c r="J1403" s="1">
        <f>IF(ISNUMBER(B1403),YEAR(B1403),"")</f>
        <v/>
      </c>
      <c r="K1403">
        <f>IF(ISNUMBER(B1403),YEAR(B1403)*100+MONTH(B1403),"")</f>
        <v/>
      </c>
      <c r="L1403">
        <f>IF(ISNUMBER(B1403),INT(B1403),0)</f>
        <v/>
      </c>
    </row>
    <row r="1404">
      <c r="A1404" s="1" t="n"/>
      <c r="B1404" s="17" t="n"/>
      <c r="C1404" s="18" t="n"/>
      <c r="D1404" s="19" t="n"/>
      <c r="E1404" s="23" t="n"/>
      <c r="F1404" s="21" t="n"/>
      <c r="G1404" s="11">
        <f>IF(C1404="","",IFERROR(INDEX(Crops!$D$6:$D$65,MATCH(C1404,Crops!$B$6:$B$65,0))&amp;"",""))</f>
        <v/>
      </c>
      <c r="H1404" s="12">
        <f>IF(OR(C1404="",NOT(ISNUMBER(E1404))),"",E1404*N(IFERROR(INDEX(Crops!$E$6:$E$65,MATCH(C1404,Crops!$B$6:$B$65,0)),0)))</f>
        <v/>
      </c>
      <c r="I1404" s="11">
        <f>IF(AND(C1404="",E1404=""),"",IF(NOT(ISNUMBER(B1404)),"Needs a date",IF(C1404="","Needs a crop",IF(COUNTIF(Crops!$B$6:$B$65,C1404)=0,"Not on Crops",IF(NOT(ISNUMBER(E1404)),"Needs the amount",IF(AND(D1404&lt;&gt;"",COUNTIF(Beds!$B$6:$B$35,D1404)=0),"Not on Beds",""))))))</f>
        <v/>
      </c>
      <c r="J1404" s="1">
        <f>IF(ISNUMBER(B1404),YEAR(B1404),"")</f>
        <v/>
      </c>
      <c r="K1404">
        <f>IF(ISNUMBER(B1404),YEAR(B1404)*100+MONTH(B1404),"")</f>
        <v/>
      </c>
      <c r="L1404">
        <f>IF(ISNUMBER(B1404),INT(B1404),0)</f>
        <v/>
      </c>
    </row>
    <row r="1405">
      <c r="A1405" s="1" t="n"/>
      <c r="B1405" s="17" t="n"/>
      <c r="C1405" s="18" t="n"/>
      <c r="D1405" s="19" t="n"/>
      <c r="E1405" s="23" t="n"/>
      <c r="F1405" s="21" t="n"/>
      <c r="G1405" s="11">
        <f>IF(C1405="","",IFERROR(INDEX(Crops!$D$6:$D$65,MATCH(C1405,Crops!$B$6:$B$65,0))&amp;"",""))</f>
        <v/>
      </c>
      <c r="H1405" s="12">
        <f>IF(OR(C1405="",NOT(ISNUMBER(E1405))),"",E1405*N(IFERROR(INDEX(Crops!$E$6:$E$65,MATCH(C1405,Crops!$B$6:$B$65,0)),0)))</f>
        <v/>
      </c>
      <c r="I1405" s="11">
        <f>IF(AND(C1405="",E1405=""),"",IF(NOT(ISNUMBER(B1405)),"Needs a date",IF(C1405="","Needs a crop",IF(COUNTIF(Crops!$B$6:$B$65,C1405)=0,"Not on Crops",IF(NOT(ISNUMBER(E1405)),"Needs the amount",IF(AND(D1405&lt;&gt;"",COUNTIF(Beds!$B$6:$B$35,D1405)=0),"Not on Beds",""))))))</f>
        <v/>
      </c>
      <c r="J1405" s="1">
        <f>IF(ISNUMBER(B1405),YEAR(B1405),"")</f>
        <v/>
      </c>
      <c r="K1405">
        <f>IF(ISNUMBER(B1405),YEAR(B1405)*100+MONTH(B1405),"")</f>
        <v/>
      </c>
      <c r="L1405">
        <f>IF(ISNUMBER(B1405),INT(B1405),0)</f>
        <v/>
      </c>
    </row>
    <row r="1406">
      <c r="A1406" s="1" t="n"/>
      <c r="B1406" s="17" t="n"/>
      <c r="C1406" s="18" t="n"/>
      <c r="D1406" s="19" t="n"/>
      <c r="E1406" s="23" t="n"/>
      <c r="F1406" s="21" t="n"/>
      <c r="G1406" s="11">
        <f>IF(C1406="","",IFERROR(INDEX(Crops!$D$6:$D$65,MATCH(C1406,Crops!$B$6:$B$65,0))&amp;"",""))</f>
        <v/>
      </c>
      <c r="H1406" s="12">
        <f>IF(OR(C1406="",NOT(ISNUMBER(E1406))),"",E1406*N(IFERROR(INDEX(Crops!$E$6:$E$65,MATCH(C1406,Crops!$B$6:$B$65,0)),0)))</f>
        <v/>
      </c>
      <c r="I1406" s="11">
        <f>IF(AND(C1406="",E1406=""),"",IF(NOT(ISNUMBER(B1406)),"Needs a date",IF(C1406="","Needs a crop",IF(COUNTIF(Crops!$B$6:$B$65,C1406)=0,"Not on Crops",IF(NOT(ISNUMBER(E1406)),"Needs the amount",IF(AND(D1406&lt;&gt;"",COUNTIF(Beds!$B$6:$B$35,D1406)=0),"Not on Beds",""))))))</f>
        <v/>
      </c>
      <c r="J1406" s="1">
        <f>IF(ISNUMBER(B1406),YEAR(B1406),"")</f>
        <v/>
      </c>
      <c r="K1406">
        <f>IF(ISNUMBER(B1406),YEAR(B1406)*100+MONTH(B1406),"")</f>
        <v/>
      </c>
      <c r="L1406">
        <f>IF(ISNUMBER(B1406),INT(B1406),0)</f>
        <v/>
      </c>
    </row>
    <row r="1407">
      <c r="A1407" s="1" t="n"/>
      <c r="B1407" s="17" t="n"/>
      <c r="C1407" s="18" t="n"/>
      <c r="D1407" s="19" t="n"/>
      <c r="E1407" s="23" t="n"/>
      <c r="F1407" s="21" t="n"/>
      <c r="G1407" s="11">
        <f>IF(C1407="","",IFERROR(INDEX(Crops!$D$6:$D$65,MATCH(C1407,Crops!$B$6:$B$65,0))&amp;"",""))</f>
        <v/>
      </c>
      <c r="H1407" s="12">
        <f>IF(OR(C1407="",NOT(ISNUMBER(E1407))),"",E1407*N(IFERROR(INDEX(Crops!$E$6:$E$65,MATCH(C1407,Crops!$B$6:$B$65,0)),0)))</f>
        <v/>
      </c>
      <c r="I1407" s="11">
        <f>IF(AND(C1407="",E1407=""),"",IF(NOT(ISNUMBER(B1407)),"Needs a date",IF(C1407="","Needs a crop",IF(COUNTIF(Crops!$B$6:$B$65,C1407)=0,"Not on Crops",IF(NOT(ISNUMBER(E1407)),"Needs the amount",IF(AND(D1407&lt;&gt;"",COUNTIF(Beds!$B$6:$B$35,D1407)=0),"Not on Beds",""))))))</f>
        <v/>
      </c>
      <c r="J1407" s="1">
        <f>IF(ISNUMBER(B1407),YEAR(B1407),"")</f>
        <v/>
      </c>
      <c r="K1407">
        <f>IF(ISNUMBER(B1407),YEAR(B1407)*100+MONTH(B1407),"")</f>
        <v/>
      </c>
      <c r="L1407">
        <f>IF(ISNUMBER(B1407),INT(B1407),0)</f>
        <v/>
      </c>
    </row>
    <row r="1408">
      <c r="A1408" s="1" t="n"/>
      <c r="B1408" s="17" t="n"/>
      <c r="C1408" s="18" t="n"/>
      <c r="D1408" s="19" t="n"/>
      <c r="E1408" s="23" t="n"/>
      <c r="F1408" s="21" t="n"/>
      <c r="G1408" s="11">
        <f>IF(C1408="","",IFERROR(INDEX(Crops!$D$6:$D$65,MATCH(C1408,Crops!$B$6:$B$65,0))&amp;"",""))</f>
        <v/>
      </c>
      <c r="H1408" s="12">
        <f>IF(OR(C1408="",NOT(ISNUMBER(E1408))),"",E1408*N(IFERROR(INDEX(Crops!$E$6:$E$65,MATCH(C1408,Crops!$B$6:$B$65,0)),0)))</f>
        <v/>
      </c>
      <c r="I1408" s="11">
        <f>IF(AND(C1408="",E1408=""),"",IF(NOT(ISNUMBER(B1408)),"Needs a date",IF(C1408="","Needs a crop",IF(COUNTIF(Crops!$B$6:$B$65,C1408)=0,"Not on Crops",IF(NOT(ISNUMBER(E1408)),"Needs the amount",IF(AND(D1408&lt;&gt;"",COUNTIF(Beds!$B$6:$B$35,D1408)=0),"Not on Beds",""))))))</f>
        <v/>
      </c>
      <c r="J1408" s="1">
        <f>IF(ISNUMBER(B1408),YEAR(B1408),"")</f>
        <v/>
      </c>
      <c r="K1408">
        <f>IF(ISNUMBER(B1408),YEAR(B1408)*100+MONTH(B1408),"")</f>
        <v/>
      </c>
      <c r="L1408">
        <f>IF(ISNUMBER(B1408),INT(B1408),0)</f>
        <v/>
      </c>
    </row>
    <row r="1409">
      <c r="A1409" s="1" t="n"/>
      <c r="B1409" s="17" t="n"/>
      <c r="C1409" s="18" t="n"/>
      <c r="D1409" s="19" t="n"/>
      <c r="E1409" s="23" t="n"/>
      <c r="F1409" s="21" t="n"/>
      <c r="G1409" s="11">
        <f>IF(C1409="","",IFERROR(INDEX(Crops!$D$6:$D$65,MATCH(C1409,Crops!$B$6:$B$65,0))&amp;"",""))</f>
        <v/>
      </c>
      <c r="H1409" s="12">
        <f>IF(OR(C1409="",NOT(ISNUMBER(E1409))),"",E1409*N(IFERROR(INDEX(Crops!$E$6:$E$65,MATCH(C1409,Crops!$B$6:$B$65,0)),0)))</f>
        <v/>
      </c>
      <c r="I1409" s="11">
        <f>IF(AND(C1409="",E1409=""),"",IF(NOT(ISNUMBER(B1409)),"Needs a date",IF(C1409="","Needs a crop",IF(COUNTIF(Crops!$B$6:$B$65,C1409)=0,"Not on Crops",IF(NOT(ISNUMBER(E1409)),"Needs the amount",IF(AND(D1409&lt;&gt;"",COUNTIF(Beds!$B$6:$B$35,D1409)=0),"Not on Beds",""))))))</f>
        <v/>
      </c>
      <c r="J1409" s="1">
        <f>IF(ISNUMBER(B1409),YEAR(B1409),"")</f>
        <v/>
      </c>
      <c r="K1409">
        <f>IF(ISNUMBER(B1409),YEAR(B1409)*100+MONTH(B1409),"")</f>
        <v/>
      </c>
      <c r="L1409">
        <f>IF(ISNUMBER(B1409),INT(B1409),0)</f>
        <v/>
      </c>
    </row>
    <row r="1410">
      <c r="A1410" s="1" t="n"/>
      <c r="B1410" s="17" t="n"/>
      <c r="C1410" s="18" t="n"/>
      <c r="D1410" s="19" t="n"/>
      <c r="E1410" s="23" t="n"/>
      <c r="F1410" s="21" t="n"/>
      <c r="G1410" s="11">
        <f>IF(C1410="","",IFERROR(INDEX(Crops!$D$6:$D$65,MATCH(C1410,Crops!$B$6:$B$65,0))&amp;"",""))</f>
        <v/>
      </c>
      <c r="H1410" s="12">
        <f>IF(OR(C1410="",NOT(ISNUMBER(E1410))),"",E1410*N(IFERROR(INDEX(Crops!$E$6:$E$65,MATCH(C1410,Crops!$B$6:$B$65,0)),0)))</f>
        <v/>
      </c>
      <c r="I1410" s="11">
        <f>IF(AND(C1410="",E1410=""),"",IF(NOT(ISNUMBER(B1410)),"Needs a date",IF(C1410="","Needs a crop",IF(COUNTIF(Crops!$B$6:$B$65,C1410)=0,"Not on Crops",IF(NOT(ISNUMBER(E1410)),"Needs the amount",IF(AND(D1410&lt;&gt;"",COUNTIF(Beds!$B$6:$B$35,D1410)=0),"Not on Beds",""))))))</f>
        <v/>
      </c>
      <c r="J1410" s="1">
        <f>IF(ISNUMBER(B1410),YEAR(B1410),"")</f>
        <v/>
      </c>
      <c r="K1410">
        <f>IF(ISNUMBER(B1410),YEAR(B1410)*100+MONTH(B1410),"")</f>
        <v/>
      </c>
      <c r="L1410">
        <f>IF(ISNUMBER(B1410),INT(B1410),0)</f>
        <v/>
      </c>
    </row>
    <row r="1411">
      <c r="A1411" s="1" t="n"/>
      <c r="B1411" s="17" t="n"/>
      <c r="C1411" s="18" t="n"/>
      <c r="D1411" s="19" t="n"/>
      <c r="E1411" s="23" t="n"/>
      <c r="F1411" s="21" t="n"/>
      <c r="G1411" s="11">
        <f>IF(C1411="","",IFERROR(INDEX(Crops!$D$6:$D$65,MATCH(C1411,Crops!$B$6:$B$65,0))&amp;"",""))</f>
        <v/>
      </c>
      <c r="H1411" s="12">
        <f>IF(OR(C1411="",NOT(ISNUMBER(E1411))),"",E1411*N(IFERROR(INDEX(Crops!$E$6:$E$65,MATCH(C1411,Crops!$B$6:$B$65,0)),0)))</f>
        <v/>
      </c>
      <c r="I1411" s="11">
        <f>IF(AND(C1411="",E1411=""),"",IF(NOT(ISNUMBER(B1411)),"Needs a date",IF(C1411="","Needs a crop",IF(COUNTIF(Crops!$B$6:$B$65,C1411)=0,"Not on Crops",IF(NOT(ISNUMBER(E1411)),"Needs the amount",IF(AND(D1411&lt;&gt;"",COUNTIF(Beds!$B$6:$B$35,D1411)=0),"Not on Beds",""))))))</f>
        <v/>
      </c>
      <c r="J1411" s="1">
        <f>IF(ISNUMBER(B1411),YEAR(B1411),"")</f>
        <v/>
      </c>
      <c r="K1411">
        <f>IF(ISNUMBER(B1411),YEAR(B1411)*100+MONTH(B1411),"")</f>
        <v/>
      </c>
      <c r="L1411">
        <f>IF(ISNUMBER(B1411),INT(B1411),0)</f>
        <v/>
      </c>
    </row>
    <row r="1412">
      <c r="A1412" s="1" t="n"/>
      <c r="B1412" s="17" t="n"/>
      <c r="C1412" s="18" t="n"/>
      <c r="D1412" s="19" t="n"/>
      <c r="E1412" s="23" t="n"/>
      <c r="F1412" s="21" t="n"/>
      <c r="G1412" s="11">
        <f>IF(C1412="","",IFERROR(INDEX(Crops!$D$6:$D$65,MATCH(C1412,Crops!$B$6:$B$65,0))&amp;"",""))</f>
        <v/>
      </c>
      <c r="H1412" s="12">
        <f>IF(OR(C1412="",NOT(ISNUMBER(E1412))),"",E1412*N(IFERROR(INDEX(Crops!$E$6:$E$65,MATCH(C1412,Crops!$B$6:$B$65,0)),0)))</f>
        <v/>
      </c>
      <c r="I1412" s="11">
        <f>IF(AND(C1412="",E1412=""),"",IF(NOT(ISNUMBER(B1412)),"Needs a date",IF(C1412="","Needs a crop",IF(COUNTIF(Crops!$B$6:$B$65,C1412)=0,"Not on Crops",IF(NOT(ISNUMBER(E1412)),"Needs the amount",IF(AND(D1412&lt;&gt;"",COUNTIF(Beds!$B$6:$B$35,D1412)=0),"Not on Beds",""))))))</f>
        <v/>
      </c>
      <c r="J1412" s="1">
        <f>IF(ISNUMBER(B1412),YEAR(B1412),"")</f>
        <v/>
      </c>
      <c r="K1412">
        <f>IF(ISNUMBER(B1412),YEAR(B1412)*100+MONTH(B1412),"")</f>
        <v/>
      </c>
      <c r="L1412">
        <f>IF(ISNUMBER(B1412),INT(B1412),0)</f>
        <v/>
      </c>
    </row>
    <row r="1413">
      <c r="A1413" s="1" t="n"/>
      <c r="B1413" s="17" t="n"/>
      <c r="C1413" s="18" t="n"/>
      <c r="D1413" s="19" t="n"/>
      <c r="E1413" s="23" t="n"/>
      <c r="F1413" s="21" t="n"/>
      <c r="G1413" s="11">
        <f>IF(C1413="","",IFERROR(INDEX(Crops!$D$6:$D$65,MATCH(C1413,Crops!$B$6:$B$65,0))&amp;"",""))</f>
        <v/>
      </c>
      <c r="H1413" s="12">
        <f>IF(OR(C1413="",NOT(ISNUMBER(E1413))),"",E1413*N(IFERROR(INDEX(Crops!$E$6:$E$65,MATCH(C1413,Crops!$B$6:$B$65,0)),0)))</f>
        <v/>
      </c>
      <c r="I1413" s="11">
        <f>IF(AND(C1413="",E1413=""),"",IF(NOT(ISNUMBER(B1413)),"Needs a date",IF(C1413="","Needs a crop",IF(COUNTIF(Crops!$B$6:$B$65,C1413)=0,"Not on Crops",IF(NOT(ISNUMBER(E1413)),"Needs the amount",IF(AND(D1413&lt;&gt;"",COUNTIF(Beds!$B$6:$B$35,D1413)=0),"Not on Beds",""))))))</f>
        <v/>
      </c>
      <c r="J1413" s="1">
        <f>IF(ISNUMBER(B1413),YEAR(B1413),"")</f>
        <v/>
      </c>
      <c r="K1413">
        <f>IF(ISNUMBER(B1413),YEAR(B1413)*100+MONTH(B1413),"")</f>
        <v/>
      </c>
      <c r="L1413">
        <f>IF(ISNUMBER(B1413),INT(B1413),0)</f>
        <v/>
      </c>
    </row>
    <row r="1414">
      <c r="A1414" s="1" t="n"/>
      <c r="B1414" s="17" t="n"/>
      <c r="C1414" s="18" t="n"/>
      <c r="D1414" s="19" t="n"/>
      <c r="E1414" s="23" t="n"/>
      <c r="F1414" s="21" t="n"/>
      <c r="G1414" s="11">
        <f>IF(C1414="","",IFERROR(INDEX(Crops!$D$6:$D$65,MATCH(C1414,Crops!$B$6:$B$65,0))&amp;"",""))</f>
        <v/>
      </c>
      <c r="H1414" s="12">
        <f>IF(OR(C1414="",NOT(ISNUMBER(E1414))),"",E1414*N(IFERROR(INDEX(Crops!$E$6:$E$65,MATCH(C1414,Crops!$B$6:$B$65,0)),0)))</f>
        <v/>
      </c>
      <c r="I1414" s="11">
        <f>IF(AND(C1414="",E1414=""),"",IF(NOT(ISNUMBER(B1414)),"Needs a date",IF(C1414="","Needs a crop",IF(COUNTIF(Crops!$B$6:$B$65,C1414)=0,"Not on Crops",IF(NOT(ISNUMBER(E1414)),"Needs the amount",IF(AND(D1414&lt;&gt;"",COUNTIF(Beds!$B$6:$B$35,D1414)=0),"Not on Beds",""))))))</f>
        <v/>
      </c>
      <c r="J1414" s="1">
        <f>IF(ISNUMBER(B1414),YEAR(B1414),"")</f>
        <v/>
      </c>
      <c r="K1414">
        <f>IF(ISNUMBER(B1414),YEAR(B1414)*100+MONTH(B1414),"")</f>
        <v/>
      </c>
      <c r="L1414">
        <f>IF(ISNUMBER(B1414),INT(B1414),0)</f>
        <v/>
      </c>
    </row>
    <row r="1415">
      <c r="A1415" s="1" t="n"/>
      <c r="B1415" s="17" t="n"/>
      <c r="C1415" s="18" t="n"/>
      <c r="D1415" s="19" t="n"/>
      <c r="E1415" s="23" t="n"/>
      <c r="F1415" s="21" t="n"/>
      <c r="G1415" s="11">
        <f>IF(C1415="","",IFERROR(INDEX(Crops!$D$6:$D$65,MATCH(C1415,Crops!$B$6:$B$65,0))&amp;"",""))</f>
        <v/>
      </c>
      <c r="H1415" s="12">
        <f>IF(OR(C1415="",NOT(ISNUMBER(E1415))),"",E1415*N(IFERROR(INDEX(Crops!$E$6:$E$65,MATCH(C1415,Crops!$B$6:$B$65,0)),0)))</f>
        <v/>
      </c>
      <c r="I1415" s="11">
        <f>IF(AND(C1415="",E1415=""),"",IF(NOT(ISNUMBER(B1415)),"Needs a date",IF(C1415="","Needs a crop",IF(COUNTIF(Crops!$B$6:$B$65,C1415)=0,"Not on Crops",IF(NOT(ISNUMBER(E1415)),"Needs the amount",IF(AND(D1415&lt;&gt;"",COUNTIF(Beds!$B$6:$B$35,D1415)=0),"Not on Beds",""))))))</f>
        <v/>
      </c>
      <c r="J1415" s="1">
        <f>IF(ISNUMBER(B1415),YEAR(B1415),"")</f>
        <v/>
      </c>
      <c r="K1415">
        <f>IF(ISNUMBER(B1415),YEAR(B1415)*100+MONTH(B1415),"")</f>
        <v/>
      </c>
      <c r="L1415">
        <f>IF(ISNUMBER(B1415),INT(B1415),0)</f>
        <v/>
      </c>
    </row>
    <row r="1416">
      <c r="A1416" s="1" t="n"/>
      <c r="B1416" s="17" t="n"/>
      <c r="C1416" s="18" t="n"/>
      <c r="D1416" s="19" t="n"/>
      <c r="E1416" s="23" t="n"/>
      <c r="F1416" s="21" t="n"/>
      <c r="G1416" s="11">
        <f>IF(C1416="","",IFERROR(INDEX(Crops!$D$6:$D$65,MATCH(C1416,Crops!$B$6:$B$65,0))&amp;"",""))</f>
        <v/>
      </c>
      <c r="H1416" s="12">
        <f>IF(OR(C1416="",NOT(ISNUMBER(E1416))),"",E1416*N(IFERROR(INDEX(Crops!$E$6:$E$65,MATCH(C1416,Crops!$B$6:$B$65,0)),0)))</f>
        <v/>
      </c>
      <c r="I1416" s="11">
        <f>IF(AND(C1416="",E1416=""),"",IF(NOT(ISNUMBER(B1416)),"Needs a date",IF(C1416="","Needs a crop",IF(COUNTIF(Crops!$B$6:$B$65,C1416)=0,"Not on Crops",IF(NOT(ISNUMBER(E1416)),"Needs the amount",IF(AND(D1416&lt;&gt;"",COUNTIF(Beds!$B$6:$B$35,D1416)=0),"Not on Beds",""))))))</f>
        <v/>
      </c>
      <c r="J1416" s="1">
        <f>IF(ISNUMBER(B1416),YEAR(B1416),"")</f>
        <v/>
      </c>
      <c r="K1416">
        <f>IF(ISNUMBER(B1416),YEAR(B1416)*100+MONTH(B1416),"")</f>
        <v/>
      </c>
      <c r="L1416">
        <f>IF(ISNUMBER(B1416),INT(B1416),0)</f>
        <v/>
      </c>
    </row>
    <row r="1417">
      <c r="A1417" s="1" t="n"/>
      <c r="B1417" s="17" t="n"/>
      <c r="C1417" s="18" t="n"/>
      <c r="D1417" s="19" t="n"/>
      <c r="E1417" s="23" t="n"/>
      <c r="F1417" s="21" t="n"/>
      <c r="G1417" s="11">
        <f>IF(C1417="","",IFERROR(INDEX(Crops!$D$6:$D$65,MATCH(C1417,Crops!$B$6:$B$65,0))&amp;"",""))</f>
        <v/>
      </c>
      <c r="H1417" s="12">
        <f>IF(OR(C1417="",NOT(ISNUMBER(E1417))),"",E1417*N(IFERROR(INDEX(Crops!$E$6:$E$65,MATCH(C1417,Crops!$B$6:$B$65,0)),0)))</f>
        <v/>
      </c>
      <c r="I1417" s="11">
        <f>IF(AND(C1417="",E1417=""),"",IF(NOT(ISNUMBER(B1417)),"Needs a date",IF(C1417="","Needs a crop",IF(COUNTIF(Crops!$B$6:$B$65,C1417)=0,"Not on Crops",IF(NOT(ISNUMBER(E1417)),"Needs the amount",IF(AND(D1417&lt;&gt;"",COUNTIF(Beds!$B$6:$B$35,D1417)=0),"Not on Beds",""))))))</f>
        <v/>
      </c>
      <c r="J1417" s="1">
        <f>IF(ISNUMBER(B1417),YEAR(B1417),"")</f>
        <v/>
      </c>
      <c r="K1417">
        <f>IF(ISNUMBER(B1417),YEAR(B1417)*100+MONTH(B1417),"")</f>
        <v/>
      </c>
      <c r="L1417">
        <f>IF(ISNUMBER(B1417),INT(B1417),0)</f>
        <v/>
      </c>
    </row>
    <row r="1418">
      <c r="A1418" s="1" t="n"/>
      <c r="B1418" s="17" t="n"/>
      <c r="C1418" s="18" t="n"/>
      <c r="D1418" s="19" t="n"/>
      <c r="E1418" s="23" t="n"/>
      <c r="F1418" s="21" t="n"/>
      <c r="G1418" s="11">
        <f>IF(C1418="","",IFERROR(INDEX(Crops!$D$6:$D$65,MATCH(C1418,Crops!$B$6:$B$65,0))&amp;"",""))</f>
        <v/>
      </c>
      <c r="H1418" s="12">
        <f>IF(OR(C1418="",NOT(ISNUMBER(E1418))),"",E1418*N(IFERROR(INDEX(Crops!$E$6:$E$65,MATCH(C1418,Crops!$B$6:$B$65,0)),0)))</f>
        <v/>
      </c>
      <c r="I1418" s="11">
        <f>IF(AND(C1418="",E1418=""),"",IF(NOT(ISNUMBER(B1418)),"Needs a date",IF(C1418="","Needs a crop",IF(COUNTIF(Crops!$B$6:$B$65,C1418)=0,"Not on Crops",IF(NOT(ISNUMBER(E1418)),"Needs the amount",IF(AND(D1418&lt;&gt;"",COUNTIF(Beds!$B$6:$B$35,D1418)=0),"Not on Beds",""))))))</f>
        <v/>
      </c>
      <c r="J1418" s="1">
        <f>IF(ISNUMBER(B1418),YEAR(B1418),"")</f>
        <v/>
      </c>
      <c r="K1418">
        <f>IF(ISNUMBER(B1418),YEAR(B1418)*100+MONTH(B1418),"")</f>
        <v/>
      </c>
      <c r="L1418">
        <f>IF(ISNUMBER(B1418),INT(B1418),0)</f>
        <v/>
      </c>
    </row>
    <row r="1419">
      <c r="A1419" s="1" t="n"/>
      <c r="B1419" s="17" t="n"/>
      <c r="C1419" s="18" t="n"/>
      <c r="D1419" s="19" t="n"/>
      <c r="E1419" s="23" t="n"/>
      <c r="F1419" s="21" t="n"/>
      <c r="G1419" s="11">
        <f>IF(C1419="","",IFERROR(INDEX(Crops!$D$6:$D$65,MATCH(C1419,Crops!$B$6:$B$65,0))&amp;"",""))</f>
        <v/>
      </c>
      <c r="H1419" s="12">
        <f>IF(OR(C1419="",NOT(ISNUMBER(E1419))),"",E1419*N(IFERROR(INDEX(Crops!$E$6:$E$65,MATCH(C1419,Crops!$B$6:$B$65,0)),0)))</f>
        <v/>
      </c>
      <c r="I1419" s="11">
        <f>IF(AND(C1419="",E1419=""),"",IF(NOT(ISNUMBER(B1419)),"Needs a date",IF(C1419="","Needs a crop",IF(COUNTIF(Crops!$B$6:$B$65,C1419)=0,"Not on Crops",IF(NOT(ISNUMBER(E1419)),"Needs the amount",IF(AND(D1419&lt;&gt;"",COUNTIF(Beds!$B$6:$B$35,D1419)=0),"Not on Beds",""))))))</f>
        <v/>
      </c>
      <c r="J1419" s="1">
        <f>IF(ISNUMBER(B1419),YEAR(B1419),"")</f>
        <v/>
      </c>
      <c r="K1419">
        <f>IF(ISNUMBER(B1419),YEAR(B1419)*100+MONTH(B1419),"")</f>
        <v/>
      </c>
      <c r="L1419">
        <f>IF(ISNUMBER(B1419),INT(B1419),0)</f>
        <v/>
      </c>
    </row>
    <row r="1420">
      <c r="A1420" s="1" t="n"/>
      <c r="B1420" s="17" t="n"/>
      <c r="C1420" s="18" t="n"/>
      <c r="D1420" s="19" t="n"/>
      <c r="E1420" s="23" t="n"/>
      <c r="F1420" s="21" t="n"/>
      <c r="G1420" s="11">
        <f>IF(C1420="","",IFERROR(INDEX(Crops!$D$6:$D$65,MATCH(C1420,Crops!$B$6:$B$65,0))&amp;"",""))</f>
        <v/>
      </c>
      <c r="H1420" s="12">
        <f>IF(OR(C1420="",NOT(ISNUMBER(E1420))),"",E1420*N(IFERROR(INDEX(Crops!$E$6:$E$65,MATCH(C1420,Crops!$B$6:$B$65,0)),0)))</f>
        <v/>
      </c>
      <c r="I1420" s="11">
        <f>IF(AND(C1420="",E1420=""),"",IF(NOT(ISNUMBER(B1420)),"Needs a date",IF(C1420="","Needs a crop",IF(COUNTIF(Crops!$B$6:$B$65,C1420)=0,"Not on Crops",IF(NOT(ISNUMBER(E1420)),"Needs the amount",IF(AND(D1420&lt;&gt;"",COUNTIF(Beds!$B$6:$B$35,D1420)=0),"Not on Beds",""))))))</f>
        <v/>
      </c>
      <c r="J1420" s="1">
        <f>IF(ISNUMBER(B1420),YEAR(B1420),"")</f>
        <v/>
      </c>
      <c r="K1420">
        <f>IF(ISNUMBER(B1420),YEAR(B1420)*100+MONTH(B1420),"")</f>
        <v/>
      </c>
      <c r="L1420">
        <f>IF(ISNUMBER(B1420),INT(B1420),0)</f>
        <v/>
      </c>
    </row>
    <row r="1421">
      <c r="A1421" s="1" t="n"/>
      <c r="B1421" s="17" t="n"/>
      <c r="C1421" s="18" t="n"/>
      <c r="D1421" s="19" t="n"/>
      <c r="E1421" s="23" t="n"/>
      <c r="F1421" s="21" t="n"/>
      <c r="G1421" s="11">
        <f>IF(C1421="","",IFERROR(INDEX(Crops!$D$6:$D$65,MATCH(C1421,Crops!$B$6:$B$65,0))&amp;"",""))</f>
        <v/>
      </c>
      <c r="H1421" s="12">
        <f>IF(OR(C1421="",NOT(ISNUMBER(E1421))),"",E1421*N(IFERROR(INDEX(Crops!$E$6:$E$65,MATCH(C1421,Crops!$B$6:$B$65,0)),0)))</f>
        <v/>
      </c>
      <c r="I1421" s="11">
        <f>IF(AND(C1421="",E1421=""),"",IF(NOT(ISNUMBER(B1421)),"Needs a date",IF(C1421="","Needs a crop",IF(COUNTIF(Crops!$B$6:$B$65,C1421)=0,"Not on Crops",IF(NOT(ISNUMBER(E1421)),"Needs the amount",IF(AND(D1421&lt;&gt;"",COUNTIF(Beds!$B$6:$B$35,D1421)=0),"Not on Beds",""))))))</f>
        <v/>
      </c>
      <c r="J1421" s="1">
        <f>IF(ISNUMBER(B1421),YEAR(B1421),"")</f>
        <v/>
      </c>
      <c r="K1421">
        <f>IF(ISNUMBER(B1421),YEAR(B1421)*100+MONTH(B1421),"")</f>
        <v/>
      </c>
      <c r="L1421">
        <f>IF(ISNUMBER(B1421),INT(B1421),0)</f>
        <v/>
      </c>
    </row>
    <row r="1422">
      <c r="A1422" s="1" t="n"/>
      <c r="B1422" s="17" t="n"/>
      <c r="C1422" s="18" t="n"/>
      <c r="D1422" s="19" t="n"/>
      <c r="E1422" s="23" t="n"/>
      <c r="F1422" s="21" t="n"/>
      <c r="G1422" s="11">
        <f>IF(C1422="","",IFERROR(INDEX(Crops!$D$6:$D$65,MATCH(C1422,Crops!$B$6:$B$65,0))&amp;"",""))</f>
        <v/>
      </c>
      <c r="H1422" s="12">
        <f>IF(OR(C1422="",NOT(ISNUMBER(E1422))),"",E1422*N(IFERROR(INDEX(Crops!$E$6:$E$65,MATCH(C1422,Crops!$B$6:$B$65,0)),0)))</f>
        <v/>
      </c>
      <c r="I1422" s="11">
        <f>IF(AND(C1422="",E1422=""),"",IF(NOT(ISNUMBER(B1422)),"Needs a date",IF(C1422="","Needs a crop",IF(COUNTIF(Crops!$B$6:$B$65,C1422)=0,"Not on Crops",IF(NOT(ISNUMBER(E1422)),"Needs the amount",IF(AND(D1422&lt;&gt;"",COUNTIF(Beds!$B$6:$B$35,D1422)=0),"Not on Beds",""))))))</f>
        <v/>
      </c>
      <c r="J1422" s="1">
        <f>IF(ISNUMBER(B1422),YEAR(B1422),"")</f>
        <v/>
      </c>
      <c r="K1422">
        <f>IF(ISNUMBER(B1422),YEAR(B1422)*100+MONTH(B1422),"")</f>
        <v/>
      </c>
      <c r="L1422">
        <f>IF(ISNUMBER(B1422),INT(B1422),0)</f>
        <v/>
      </c>
    </row>
    <row r="1423">
      <c r="A1423" s="1" t="n"/>
      <c r="B1423" s="17" t="n"/>
      <c r="C1423" s="18" t="n"/>
      <c r="D1423" s="19" t="n"/>
      <c r="E1423" s="23" t="n"/>
      <c r="F1423" s="21" t="n"/>
      <c r="G1423" s="11">
        <f>IF(C1423="","",IFERROR(INDEX(Crops!$D$6:$D$65,MATCH(C1423,Crops!$B$6:$B$65,0))&amp;"",""))</f>
        <v/>
      </c>
      <c r="H1423" s="12">
        <f>IF(OR(C1423="",NOT(ISNUMBER(E1423))),"",E1423*N(IFERROR(INDEX(Crops!$E$6:$E$65,MATCH(C1423,Crops!$B$6:$B$65,0)),0)))</f>
        <v/>
      </c>
      <c r="I1423" s="11">
        <f>IF(AND(C1423="",E1423=""),"",IF(NOT(ISNUMBER(B1423)),"Needs a date",IF(C1423="","Needs a crop",IF(COUNTIF(Crops!$B$6:$B$65,C1423)=0,"Not on Crops",IF(NOT(ISNUMBER(E1423)),"Needs the amount",IF(AND(D1423&lt;&gt;"",COUNTIF(Beds!$B$6:$B$35,D1423)=0),"Not on Beds",""))))))</f>
        <v/>
      </c>
      <c r="J1423" s="1">
        <f>IF(ISNUMBER(B1423),YEAR(B1423),"")</f>
        <v/>
      </c>
      <c r="K1423">
        <f>IF(ISNUMBER(B1423),YEAR(B1423)*100+MONTH(B1423),"")</f>
        <v/>
      </c>
      <c r="L1423">
        <f>IF(ISNUMBER(B1423),INT(B1423),0)</f>
        <v/>
      </c>
    </row>
    <row r="1424">
      <c r="A1424" s="1" t="n"/>
      <c r="B1424" s="17" t="n"/>
      <c r="C1424" s="18" t="n"/>
      <c r="D1424" s="19" t="n"/>
      <c r="E1424" s="23" t="n"/>
      <c r="F1424" s="21" t="n"/>
      <c r="G1424" s="11">
        <f>IF(C1424="","",IFERROR(INDEX(Crops!$D$6:$D$65,MATCH(C1424,Crops!$B$6:$B$65,0))&amp;"",""))</f>
        <v/>
      </c>
      <c r="H1424" s="12">
        <f>IF(OR(C1424="",NOT(ISNUMBER(E1424))),"",E1424*N(IFERROR(INDEX(Crops!$E$6:$E$65,MATCH(C1424,Crops!$B$6:$B$65,0)),0)))</f>
        <v/>
      </c>
      <c r="I1424" s="11">
        <f>IF(AND(C1424="",E1424=""),"",IF(NOT(ISNUMBER(B1424)),"Needs a date",IF(C1424="","Needs a crop",IF(COUNTIF(Crops!$B$6:$B$65,C1424)=0,"Not on Crops",IF(NOT(ISNUMBER(E1424)),"Needs the amount",IF(AND(D1424&lt;&gt;"",COUNTIF(Beds!$B$6:$B$35,D1424)=0),"Not on Beds",""))))))</f>
        <v/>
      </c>
      <c r="J1424" s="1">
        <f>IF(ISNUMBER(B1424),YEAR(B1424),"")</f>
        <v/>
      </c>
      <c r="K1424">
        <f>IF(ISNUMBER(B1424),YEAR(B1424)*100+MONTH(B1424),"")</f>
        <v/>
      </c>
      <c r="L1424">
        <f>IF(ISNUMBER(B1424),INT(B1424),0)</f>
        <v/>
      </c>
    </row>
    <row r="1425">
      <c r="A1425" s="1" t="n"/>
      <c r="B1425" s="17" t="n"/>
      <c r="C1425" s="18" t="n"/>
      <c r="D1425" s="19" t="n"/>
      <c r="E1425" s="23" t="n"/>
      <c r="F1425" s="21" t="n"/>
      <c r="G1425" s="11">
        <f>IF(C1425="","",IFERROR(INDEX(Crops!$D$6:$D$65,MATCH(C1425,Crops!$B$6:$B$65,0))&amp;"",""))</f>
        <v/>
      </c>
      <c r="H1425" s="12">
        <f>IF(OR(C1425="",NOT(ISNUMBER(E1425))),"",E1425*N(IFERROR(INDEX(Crops!$E$6:$E$65,MATCH(C1425,Crops!$B$6:$B$65,0)),0)))</f>
        <v/>
      </c>
      <c r="I1425" s="11">
        <f>IF(AND(C1425="",E1425=""),"",IF(NOT(ISNUMBER(B1425)),"Needs a date",IF(C1425="","Needs a crop",IF(COUNTIF(Crops!$B$6:$B$65,C1425)=0,"Not on Crops",IF(NOT(ISNUMBER(E1425)),"Needs the amount",IF(AND(D1425&lt;&gt;"",COUNTIF(Beds!$B$6:$B$35,D1425)=0),"Not on Beds",""))))))</f>
        <v/>
      </c>
      <c r="J1425" s="1">
        <f>IF(ISNUMBER(B1425),YEAR(B1425),"")</f>
        <v/>
      </c>
      <c r="K1425">
        <f>IF(ISNUMBER(B1425),YEAR(B1425)*100+MONTH(B1425),"")</f>
        <v/>
      </c>
      <c r="L1425">
        <f>IF(ISNUMBER(B1425),INT(B1425),0)</f>
        <v/>
      </c>
    </row>
    <row r="1426">
      <c r="A1426" s="1" t="n"/>
      <c r="B1426" s="17" t="n"/>
      <c r="C1426" s="18" t="n"/>
      <c r="D1426" s="19" t="n"/>
      <c r="E1426" s="23" t="n"/>
      <c r="F1426" s="21" t="n"/>
      <c r="G1426" s="11">
        <f>IF(C1426="","",IFERROR(INDEX(Crops!$D$6:$D$65,MATCH(C1426,Crops!$B$6:$B$65,0))&amp;"",""))</f>
        <v/>
      </c>
      <c r="H1426" s="12">
        <f>IF(OR(C1426="",NOT(ISNUMBER(E1426))),"",E1426*N(IFERROR(INDEX(Crops!$E$6:$E$65,MATCH(C1426,Crops!$B$6:$B$65,0)),0)))</f>
        <v/>
      </c>
      <c r="I1426" s="11">
        <f>IF(AND(C1426="",E1426=""),"",IF(NOT(ISNUMBER(B1426)),"Needs a date",IF(C1426="","Needs a crop",IF(COUNTIF(Crops!$B$6:$B$65,C1426)=0,"Not on Crops",IF(NOT(ISNUMBER(E1426)),"Needs the amount",IF(AND(D1426&lt;&gt;"",COUNTIF(Beds!$B$6:$B$35,D1426)=0),"Not on Beds",""))))))</f>
        <v/>
      </c>
      <c r="J1426" s="1">
        <f>IF(ISNUMBER(B1426),YEAR(B1426),"")</f>
        <v/>
      </c>
      <c r="K1426">
        <f>IF(ISNUMBER(B1426),YEAR(B1426)*100+MONTH(B1426),"")</f>
        <v/>
      </c>
      <c r="L1426">
        <f>IF(ISNUMBER(B1426),INT(B1426),0)</f>
        <v/>
      </c>
    </row>
    <row r="1427">
      <c r="A1427" s="1" t="n"/>
      <c r="B1427" s="17" t="n"/>
      <c r="C1427" s="18" t="n"/>
      <c r="D1427" s="19" t="n"/>
      <c r="E1427" s="23" t="n"/>
      <c r="F1427" s="21" t="n"/>
      <c r="G1427" s="11">
        <f>IF(C1427="","",IFERROR(INDEX(Crops!$D$6:$D$65,MATCH(C1427,Crops!$B$6:$B$65,0))&amp;"",""))</f>
        <v/>
      </c>
      <c r="H1427" s="12">
        <f>IF(OR(C1427="",NOT(ISNUMBER(E1427))),"",E1427*N(IFERROR(INDEX(Crops!$E$6:$E$65,MATCH(C1427,Crops!$B$6:$B$65,0)),0)))</f>
        <v/>
      </c>
      <c r="I1427" s="11">
        <f>IF(AND(C1427="",E1427=""),"",IF(NOT(ISNUMBER(B1427)),"Needs a date",IF(C1427="","Needs a crop",IF(COUNTIF(Crops!$B$6:$B$65,C1427)=0,"Not on Crops",IF(NOT(ISNUMBER(E1427)),"Needs the amount",IF(AND(D1427&lt;&gt;"",COUNTIF(Beds!$B$6:$B$35,D1427)=0),"Not on Beds",""))))))</f>
        <v/>
      </c>
      <c r="J1427" s="1">
        <f>IF(ISNUMBER(B1427),YEAR(B1427),"")</f>
        <v/>
      </c>
      <c r="K1427">
        <f>IF(ISNUMBER(B1427),YEAR(B1427)*100+MONTH(B1427),"")</f>
        <v/>
      </c>
      <c r="L1427">
        <f>IF(ISNUMBER(B1427),INT(B1427),0)</f>
        <v/>
      </c>
    </row>
    <row r="1428">
      <c r="A1428" s="1" t="n"/>
      <c r="B1428" s="17" t="n"/>
      <c r="C1428" s="18" t="n"/>
      <c r="D1428" s="19" t="n"/>
      <c r="E1428" s="23" t="n"/>
      <c r="F1428" s="21" t="n"/>
      <c r="G1428" s="11">
        <f>IF(C1428="","",IFERROR(INDEX(Crops!$D$6:$D$65,MATCH(C1428,Crops!$B$6:$B$65,0))&amp;"",""))</f>
        <v/>
      </c>
      <c r="H1428" s="12">
        <f>IF(OR(C1428="",NOT(ISNUMBER(E1428))),"",E1428*N(IFERROR(INDEX(Crops!$E$6:$E$65,MATCH(C1428,Crops!$B$6:$B$65,0)),0)))</f>
        <v/>
      </c>
      <c r="I1428" s="11">
        <f>IF(AND(C1428="",E1428=""),"",IF(NOT(ISNUMBER(B1428)),"Needs a date",IF(C1428="","Needs a crop",IF(COUNTIF(Crops!$B$6:$B$65,C1428)=0,"Not on Crops",IF(NOT(ISNUMBER(E1428)),"Needs the amount",IF(AND(D1428&lt;&gt;"",COUNTIF(Beds!$B$6:$B$35,D1428)=0),"Not on Beds",""))))))</f>
        <v/>
      </c>
      <c r="J1428" s="1">
        <f>IF(ISNUMBER(B1428),YEAR(B1428),"")</f>
        <v/>
      </c>
      <c r="K1428">
        <f>IF(ISNUMBER(B1428),YEAR(B1428)*100+MONTH(B1428),"")</f>
        <v/>
      </c>
      <c r="L1428">
        <f>IF(ISNUMBER(B1428),INT(B1428),0)</f>
        <v/>
      </c>
    </row>
    <row r="1429">
      <c r="A1429" s="1" t="n"/>
      <c r="B1429" s="17" t="n"/>
      <c r="C1429" s="18" t="n"/>
      <c r="D1429" s="19" t="n"/>
      <c r="E1429" s="23" t="n"/>
      <c r="F1429" s="21" t="n"/>
      <c r="G1429" s="11">
        <f>IF(C1429="","",IFERROR(INDEX(Crops!$D$6:$D$65,MATCH(C1429,Crops!$B$6:$B$65,0))&amp;"",""))</f>
        <v/>
      </c>
      <c r="H1429" s="12">
        <f>IF(OR(C1429="",NOT(ISNUMBER(E1429))),"",E1429*N(IFERROR(INDEX(Crops!$E$6:$E$65,MATCH(C1429,Crops!$B$6:$B$65,0)),0)))</f>
        <v/>
      </c>
      <c r="I1429" s="11">
        <f>IF(AND(C1429="",E1429=""),"",IF(NOT(ISNUMBER(B1429)),"Needs a date",IF(C1429="","Needs a crop",IF(COUNTIF(Crops!$B$6:$B$65,C1429)=0,"Not on Crops",IF(NOT(ISNUMBER(E1429)),"Needs the amount",IF(AND(D1429&lt;&gt;"",COUNTIF(Beds!$B$6:$B$35,D1429)=0),"Not on Beds",""))))))</f>
        <v/>
      </c>
      <c r="J1429" s="1">
        <f>IF(ISNUMBER(B1429),YEAR(B1429),"")</f>
        <v/>
      </c>
      <c r="K1429">
        <f>IF(ISNUMBER(B1429),YEAR(B1429)*100+MONTH(B1429),"")</f>
        <v/>
      </c>
      <c r="L1429">
        <f>IF(ISNUMBER(B1429),INT(B1429),0)</f>
        <v/>
      </c>
    </row>
    <row r="1430">
      <c r="A1430" s="1" t="n"/>
      <c r="B1430" s="17" t="n"/>
      <c r="C1430" s="18" t="n"/>
      <c r="D1430" s="19" t="n"/>
      <c r="E1430" s="23" t="n"/>
      <c r="F1430" s="21" t="n"/>
      <c r="G1430" s="11">
        <f>IF(C1430="","",IFERROR(INDEX(Crops!$D$6:$D$65,MATCH(C1430,Crops!$B$6:$B$65,0))&amp;"",""))</f>
        <v/>
      </c>
      <c r="H1430" s="12">
        <f>IF(OR(C1430="",NOT(ISNUMBER(E1430))),"",E1430*N(IFERROR(INDEX(Crops!$E$6:$E$65,MATCH(C1430,Crops!$B$6:$B$65,0)),0)))</f>
        <v/>
      </c>
      <c r="I1430" s="11">
        <f>IF(AND(C1430="",E1430=""),"",IF(NOT(ISNUMBER(B1430)),"Needs a date",IF(C1430="","Needs a crop",IF(COUNTIF(Crops!$B$6:$B$65,C1430)=0,"Not on Crops",IF(NOT(ISNUMBER(E1430)),"Needs the amount",IF(AND(D1430&lt;&gt;"",COUNTIF(Beds!$B$6:$B$35,D1430)=0),"Not on Beds",""))))))</f>
        <v/>
      </c>
      <c r="J1430" s="1">
        <f>IF(ISNUMBER(B1430),YEAR(B1430),"")</f>
        <v/>
      </c>
      <c r="K1430">
        <f>IF(ISNUMBER(B1430),YEAR(B1430)*100+MONTH(B1430),"")</f>
        <v/>
      </c>
      <c r="L1430">
        <f>IF(ISNUMBER(B1430),INT(B1430),0)</f>
        <v/>
      </c>
    </row>
    <row r="1431">
      <c r="A1431" s="1" t="n"/>
      <c r="B1431" s="17" t="n"/>
      <c r="C1431" s="18" t="n"/>
      <c r="D1431" s="19" t="n"/>
      <c r="E1431" s="23" t="n"/>
      <c r="F1431" s="21" t="n"/>
      <c r="G1431" s="11">
        <f>IF(C1431="","",IFERROR(INDEX(Crops!$D$6:$D$65,MATCH(C1431,Crops!$B$6:$B$65,0))&amp;"",""))</f>
        <v/>
      </c>
      <c r="H1431" s="12">
        <f>IF(OR(C1431="",NOT(ISNUMBER(E1431))),"",E1431*N(IFERROR(INDEX(Crops!$E$6:$E$65,MATCH(C1431,Crops!$B$6:$B$65,0)),0)))</f>
        <v/>
      </c>
      <c r="I1431" s="11">
        <f>IF(AND(C1431="",E1431=""),"",IF(NOT(ISNUMBER(B1431)),"Needs a date",IF(C1431="","Needs a crop",IF(COUNTIF(Crops!$B$6:$B$65,C1431)=0,"Not on Crops",IF(NOT(ISNUMBER(E1431)),"Needs the amount",IF(AND(D1431&lt;&gt;"",COUNTIF(Beds!$B$6:$B$35,D1431)=0),"Not on Beds",""))))))</f>
        <v/>
      </c>
      <c r="J1431" s="1">
        <f>IF(ISNUMBER(B1431),YEAR(B1431),"")</f>
        <v/>
      </c>
      <c r="K1431">
        <f>IF(ISNUMBER(B1431),YEAR(B1431)*100+MONTH(B1431),"")</f>
        <v/>
      </c>
      <c r="L1431">
        <f>IF(ISNUMBER(B1431),INT(B1431),0)</f>
        <v/>
      </c>
    </row>
    <row r="1432">
      <c r="A1432" s="1" t="n"/>
      <c r="B1432" s="17" t="n"/>
      <c r="C1432" s="18" t="n"/>
      <c r="D1432" s="19" t="n"/>
      <c r="E1432" s="23" t="n"/>
      <c r="F1432" s="21" t="n"/>
      <c r="G1432" s="11">
        <f>IF(C1432="","",IFERROR(INDEX(Crops!$D$6:$D$65,MATCH(C1432,Crops!$B$6:$B$65,0))&amp;"",""))</f>
        <v/>
      </c>
      <c r="H1432" s="12">
        <f>IF(OR(C1432="",NOT(ISNUMBER(E1432))),"",E1432*N(IFERROR(INDEX(Crops!$E$6:$E$65,MATCH(C1432,Crops!$B$6:$B$65,0)),0)))</f>
        <v/>
      </c>
      <c r="I1432" s="11">
        <f>IF(AND(C1432="",E1432=""),"",IF(NOT(ISNUMBER(B1432)),"Needs a date",IF(C1432="","Needs a crop",IF(COUNTIF(Crops!$B$6:$B$65,C1432)=0,"Not on Crops",IF(NOT(ISNUMBER(E1432)),"Needs the amount",IF(AND(D1432&lt;&gt;"",COUNTIF(Beds!$B$6:$B$35,D1432)=0),"Not on Beds",""))))))</f>
        <v/>
      </c>
      <c r="J1432" s="1">
        <f>IF(ISNUMBER(B1432),YEAR(B1432),"")</f>
        <v/>
      </c>
      <c r="K1432">
        <f>IF(ISNUMBER(B1432),YEAR(B1432)*100+MONTH(B1432),"")</f>
        <v/>
      </c>
      <c r="L1432">
        <f>IF(ISNUMBER(B1432),INT(B1432),0)</f>
        <v/>
      </c>
    </row>
    <row r="1433">
      <c r="A1433" s="1" t="n"/>
      <c r="B1433" s="17" t="n"/>
      <c r="C1433" s="18" t="n"/>
      <c r="D1433" s="19" t="n"/>
      <c r="E1433" s="23" t="n"/>
      <c r="F1433" s="21" t="n"/>
      <c r="G1433" s="11">
        <f>IF(C1433="","",IFERROR(INDEX(Crops!$D$6:$D$65,MATCH(C1433,Crops!$B$6:$B$65,0))&amp;"",""))</f>
        <v/>
      </c>
      <c r="H1433" s="12">
        <f>IF(OR(C1433="",NOT(ISNUMBER(E1433))),"",E1433*N(IFERROR(INDEX(Crops!$E$6:$E$65,MATCH(C1433,Crops!$B$6:$B$65,0)),0)))</f>
        <v/>
      </c>
      <c r="I1433" s="11">
        <f>IF(AND(C1433="",E1433=""),"",IF(NOT(ISNUMBER(B1433)),"Needs a date",IF(C1433="","Needs a crop",IF(COUNTIF(Crops!$B$6:$B$65,C1433)=0,"Not on Crops",IF(NOT(ISNUMBER(E1433)),"Needs the amount",IF(AND(D1433&lt;&gt;"",COUNTIF(Beds!$B$6:$B$35,D1433)=0),"Not on Beds",""))))))</f>
        <v/>
      </c>
      <c r="J1433" s="1">
        <f>IF(ISNUMBER(B1433),YEAR(B1433),"")</f>
        <v/>
      </c>
      <c r="K1433">
        <f>IF(ISNUMBER(B1433),YEAR(B1433)*100+MONTH(B1433),"")</f>
        <v/>
      </c>
      <c r="L1433">
        <f>IF(ISNUMBER(B1433),INT(B1433),0)</f>
        <v/>
      </c>
    </row>
    <row r="1434">
      <c r="A1434" s="1" t="n"/>
      <c r="B1434" s="17" t="n"/>
      <c r="C1434" s="18" t="n"/>
      <c r="D1434" s="19" t="n"/>
      <c r="E1434" s="23" t="n"/>
      <c r="F1434" s="21" t="n"/>
      <c r="G1434" s="11">
        <f>IF(C1434="","",IFERROR(INDEX(Crops!$D$6:$D$65,MATCH(C1434,Crops!$B$6:$B$65,0))&amp;"",""))</f>
        <v/>
      </c>
      <c r="H1434" s="12">
        <f>IF(OR(C1434="",NOT(ISNUMBER(E1434))),"",E1434*N(IFERROR(INDEX(Crops!$E$6:$E$65,MATCH(C1434,Crops!$B$6:$B$65,0)),0)))</f>
        <v/>
      </c>
      <c r="I1434" s="11">
        <f>IF(AND(C1434="",E1434=""),"",IF(NOT(ISNUMBER(B1434)),"Needs a date",IF(C1434="","Needs a crop",IF(COUNTIF(Crops!$B$6:$B$65,C1434)=0,"Not on Crops",IF(NOT(ISNUMBER(E1434)),"Needs the amount",IF(AND(D1434&lt;&gt;"",COUNTIF(Beds!$B$6:$B$35,D1434)=0),"Not on Beds",""))))))</f>
        <v/>
      </c>
      <c r="J1434" s="1">
        <f>IF(ISNUMBER(B1434),YEAR(B1434),"")</f>
        <v/>
      </c>
      <c r="K1434">
        <f>IF(ISNUMBER(B1434),YEAR(B1434)*100+MONTH(B1434),"")</f>
        <v/>
      </c>
      <c r="L1434">
        <f>IF(ISNUMBER(B1434),INT(B1434),0)</f>
        <v/>
      </c>
    </row>
    <row r="1435">
      <c r="A1435" s="1" t="n"/>
      <c r="B1435" s="17" t="n"/>
      <c r="C1435" s="18" t="n"/>
      <c r="D1435" s="19" t="n"/>
      <c r="E1435" s="23" t="n"/>
      <c r="F1435" s="21" t="n"/>
      <c r="G1435" s="11">
        <f>IF(C1435="","",IFERROR(INDEX(Crops!$D$6:$D$65,MATCH(C1435,Crops!$B$6:$B$65,0))&amp;"",""))</f>
        <v/>
      </c>
      <c r="H1435" s="12">
        <f>IF(OR(C1435="",NOT(ISNUMBER(E1435))),"",E1435*N(IFERROR(INDEX(Crops!$E$6:$E$65,MATCH(C1435,Crops!$B$6:$B$65,0)),0)))</f>
        <v/>
      </c>
      <c r="I1435" s="11">
        <f>IF(AND(C1435="",E1435=""),"",IF(NOT(ISNUMBER(B1435)),"Needs a date",IF(C1435="","Needs a crop",IF(COUNTIF(Crops!$B$6:$B$65,C1435)=0,"Not on Crops",IF(NOT(ISNUMBER(E1435)),"Needs the amount",IF(AND(D1435&lt;&gt;"",COUNTIF(Beds!$B$6:$B$35,D1435)=0),"Not on Beds",""))))))</f>
        <v/>
      </c>
      <c r="J1435" s="1">
        <f>IF(ISNUMBER(B1435),YEAR(B1435),"")</f>
        <v/>
      </c>
      <c r="K1435">
        <f>IF(ISNUMBER(B1435),YEAR(B1435)*100+MONTH(B1435),"")</f>
        <v/>
      </c>
      <c r="L1435">
        <f>IF(ISNUMBER(B1435),INT(B1435),0)</f>
        <v/>
      </c>
    </row>
    <row r="1436">
      <c r="A1436" s="1" t="n"/>
      <c r="B1436" s="17" t="n"/>
      <c r="C1436" s="18" t="n"/>
      <c r="D1436" s="19" t="n"/>
      <c r="E1436" s="23" t="n"/>
      <c r="F1436" s="21" t="n"/>
      <c r="G1436" s="11">
        <f>IF(C1436="","",IFERROR(INDEX(Crops!$D$6:$D$65,MATCH(C1436,Crops!$B$6:$B$65,0))&amp;"",""))</f>
        <v/>
      </c>
      <c r="H1436" s="12">
        <f>IF(OR(C1436="",NOT(ISNUMBER(E1436))),"",E1436*N(IFERROR(INDEX(Crops!$E$6:$E$65,MATCH(C1436,Crops!$B$6:$B$65,0)),0)))</f>
        <v/>
      </c>
      <c r="I1436" s="11">
        <f>IF(AND(C1436="",E1436=""),"",IF(NOT(ISNUMBER(B1436)),"Needs a date",IF(C1436="","Needs a crop",IF(COUNTIF(Crops!$B$6:$B$65,C1436)=0,"Not on Crops",IF(NOT(ISNUMBER(E1436)),"Needs the amount",IF(AND(D1436&lt;&gt;"",COUNTIF(Beds!$B$6:$B$35,D1436)=0),"Not on Beds",""))))))</f>
        <v/>
      </c>
      <c r="J1436" s="1">
        <f>IF(ISNUMBER(B1436),YEAR(B1436),"")</f>
        <v/>
      </c>
      <c r="K1436">
        <f>IF(ISNUMBER(B1436),YEAR(B1436)*100+MONTH(B1436),"")</f>
        <v/>
      </c>
      <c r="L1436">
        <f>IF(ISNUMBER(B1436),INT(B1436),0)</f>
        <v/>
      </c>
    </row>
    <row r="1437">
      <c r="A1437" s="1" t="n"/>
      <c r="B1437" s="17" t="n"/>
      <c r="C1437" s="18" t="n"/>
      <c r="D1437" s="19" t="n"/>
      <c r="E1437" s="23" t="n"/>
      <c r="F1437" s="21" t="n"/>
      <c r="G1437" s="11">
        <f>IF(C1437="","",IFERROR(INDEX(Crops!$D$6:$D$65,MATCH(C1437,Crops!$B$6:$B$65,0))&amp;"",""))</f>
        <v/>
      </c>
      <c r="H1437" s="12">
        <f>IF(OR(C1437="",NOT(ISNUMBER(E1437))),"",E1437*N(IFERROR(INDEX(Crops!$E$6:$E$65,MATCH(C1437,Crops!$B$6:$B$65,0)),0)))</f>
        <v/>
      </c>
      <c r="I1437" s="11">
        <f>IF(AND(C1437="",E1437=""),"",IF(NOT(ISNUMBER(B1437)),"Needs a date",IF(C1437="","Needs a crop",IF(COUNTIF(Crops!$B$6:$B$65,C1437)=0,"Not on Crops",IF(NOT(ISNUMBER(E1437)),"Needs the amount",IF(AND(D1437&lt;&gt;"",COUNTIF(Beds!$B$6:$B$35,D1437)=0),"Not on Beds",""))))))</f>
        <v/>
      </c>
      <c r="J1437" s="1">
        <f>IF(ISNUMBER(B1437),YEAR(B1437),"")</f>
        <v/>
      </c>
      <c r="K1437">
        <f>IF(ISNUMBER(B1437),YEAR(B1437)*100+MONTH(B1437),"")</f>
        <v/>
      </c>
      <c r="L1437">
        <f>IF(ISNUMBER(B1437),INT(B1437),0)</f>
        <v/>
      </c>
    </row>
    <row r="1438">
      <c r="A1438" s="1" t="n"/>
      <c r="B1438" s="17" t="n"/>
      <c r="C1438" s="18" t="n"/>
      <c r="D1438" s="19" t="n"/>
      <c r="E1438" s="23" t="n"/>
      <c r="F1438" s="21" t="n"/>
      <c r="G1438" s="11">
        <f>IF(C1438="","",IFERROR(INDEX(Crops!$D$6:$D$65,MATCH(C1438,Crops!$B$6:$B$65,0))&amp;"",""))</f>
        <v/>
      </c>
      <c r="H1438" s="12">
        <f>IF(OR(C1438="",NOT(ISNUMBER(E1438))),"",E1438*N(IFERROR(INDEX(Crops!$E$6:$E$65,MATCH(C1438,Crops!$B$6:$B$65,0)),0)))</f>
        <v/>
      </c>
      <c r="I1438" s="11">
        <f>IF(AND(C1438="",E1438=""),"",IF(NOT(ISNUMBER(B1438)),"Needs a date",IF(C1438="","Needs a crop",IF(COUNTIF(Crops!$B$6:$B$65,C1438)=0,"Not on Crops",IF(NOT(ISNUMBER(E1438)),"Needs the amount",IF(AND(D1438&lt;&gt;"",COUNTIF(Beds!$B$6:$B$35,D1438)=0),"Not on Beds",""))))))</f>
        <v/>
      </c>
      <c r="J1438" s="1">
        <f>IF(ISNUMBER(B1438),YEAR(B1438),"")</f>
        <v/>
      </c>
      <c r="K1438">
        <f>IF(ISNUMBER(B1438),YEAR(B1438)*100+MONTH(B1438),"")</f>
        <v/>
      </c>
      <c r="L1438">
        <f>IF(ISNUMBER(B1438),INT(B1438),0)</f>
        <v/>
      </c>
    </row>
    <row r="1439">
      <c r="A1439" s="1" t="n"/>
      <c r="B1439" s="17" t="n"/>
      <c r="C1439" s="18" t="n"/>
      <c r="D1439" s="19" t="n"/>
      <c r="E1439" s="23" t="n"/>
      <c r="F1439" s="21" t="n"/>
      <c r="G1439" s="11">
        <f>IF(C1439="","",IFERROR(INDEX(Crops!$D$6:$D$65,MATCH(C1439,Crops!$B$6:$B$65,0))&amp;"",""))</f>
        <v/>
      </c>
      <c r="H1439" s="12">
        <f>IF(OR(C1439="",NOT(ISNUMBER(E1439))),"",E1439*N(IFERROR(INDEX(Crops!$E$6:$E$65,MATCH(C1439,Crops!$B$6:$B$65,0)),0)))</f>
        <v/>
      </c>
      <c r="I1439" s="11">
        <f>IF(AND(C1439="",E1439=""),"",IF(NOT(ISNUMBER(B1439)),"Needs a date",IF(C1439="","Needs a crop",IF(COUNTIF(Crops!$B$6:$B$65,C1439)=0,"Not on Crops",IF(NOT(ISNUMBER(E1439)),"Needs the amount",IF(AND(D1439&lt;&gt;"",COUNTIF(Beds!$B$6:$B$35,D1439)=0),"Not on Beds",""))))))</f>
        <v/>
      </c>
      <c r="J1439" s="1">
        <f>IF(ISNUMBER(B1439),YEAR(B1439),"")</f>
        <v/>
      </c>
      <c r="K1439">
        <f>IF(ISNUMBER(B1439),YEAR(B1439)*100+MONTH(B1439),"")</f>
        <v/>
      </c>
      <c r="L1439">
        <f>IF(ISNUMBER(B1439),INT(B1439),0)</f>
        <v/>
      </c>
    </row>
    <row r="1440">
      <c r="A1440" s="1" t="n"/>
      <c r="B1440" s="17" t="n"/>
      <c r="C1440" s="18" t="n"/>
      <c r="D1440" s="19" t="n"/>
      <c r="E1440" s="23" t="n"/>
      <c r="F1440" s="21" t="n"/>
      <c r="G1440" s="11">
        <f>IF(C1440="","",IFERROR(INDEX(Crops!$D$6:$D$65,MATCH(C1440,Crops!$B$6:$B$65,0))&amp;"",""))</f>
        <v/>
      </c>
      <c r="H1440" s="12">
        <f>IF(OR(C1440="",NOT(ISNUMBER(E1440))),"",E1440*N(IFERROR(INDEX(Crops!$E$6:$E$65,MATCH(C1440,Crops!$B$6:$B$65,0)),0)))</f>
        <v/>
      </c>
      <c r="I1440" s="11">
        <f>IF(AND(C1440="",E1440=""),"",IF(NOT(ISNUMBER(B1440)),"Needs a date",IF(C1440="","Needs a crop",IF(COUNTIF(Crops!$B$6:$B$65,C1440)=0,"Not on Crops",IF(NOT(ISNUMBER(E1440)),"Needs the amount",IF(AND(D1440&lt;&gt;"",COUNTIF(Beds!$B$6:$B$35,D1440)=0),"Not on Beds",""))))))</f>
        <v/>
      </c>
      <c r="J1440" s="1">
        <f>IF(ISNUMBER(B1440),YEAR(B1440),"")</f>
        <v/>
      </c>
      <c r="K1440">
        <f>IF(ISNUMBER(B1440),YEAR(B1440)*100+MONTH(B1440),"")</f>
        <v/>
      </c>
      <c r="L1440">
        <f>IF(ISNUMBER(B1440),INT(B1440),0)</f>
        <v/>
      </c>
    </row>
    <row r="1441">
      <c r="A1441" s="1" t="n"/>
      <c r="B1441" s="17" t="n"/>
      <c r="C1441" s="18" t="n"/>
      <c r="D1441" s="19" t="n"/>
      <c r="E1441" s="23" t="n"/>
      <c r="F1441" s="21" t="n"/>
      <c r="G1441" s="11">
        <f>IF(C1441="","",IFERROR(INDEX(Crops!$D$6:$D$65,MATCH(C1441,Crops!$B$6:$B$65,0))&amp;"",""))</f>
        <v/>
      </c>
      <c r="H1441" s="12">
        <f>IF(OR(C1441="",NOT(ISNUMBER(E1441))),"",E1441*N(IFERROR(INDEX(Crops!$E$6:$E$65,MATCH(C1441,Crops!$B$6:$B$65,0)),0)))</f>
        <v/>
      </c>
      <c r="I1441" s="11">
        <f>IF(AND(C1441="",E1441=""),"",IF(NOT(ISNUMBER(B1441)),"Needs a date",IF(C1441="","Needs a crop",IF(COUNTIF(Crops!$B$6:$B$65,C1441)=0,"Not on Crops",IF(NOT(ISNUMBER(E1441)),"Needs the amount",IF(AND(D1441&lt;&gt;"",COUNTIF(Beds!$B$6:$B$35,D1441)=0),"Not on Beds",""))))))</f>
        <v/>
      </c>
      <c r="J1441" s="1">
        <f>IF(ISNUMBER(B1441),YEAR(B1441),"")</f>
        <v/>
      </c>
      <c r="K1441">
        <f>IF(ISNUMBER(B1441),YEAR(B1441)*100+MONTH(B1441),"")</f>
        <v/>
      </c>
      <c r="L1441">
        <f>IF(ISNUMBER(B1441),INT(B1441),0)</f>
        <v/>
      </c>
    </row>
    <row r="1442">
      <c r="A1442" s="1" t="n"/>
      <c r="B1442" s="17" t="n"/>
      <c r="C1442" s="18" t="n"/>
      <c r="D1442" s="19" t="n"/>
      <c r="E1442" s="23" t="n"/>
      <c r="F1442" s="21" t="n"/>
      <c r="G1442" s="11">
        <f>IF(C1442="","",IFERROR(INDEX(Crops!$D$6:$D$65,MATCH(C1442,Crops!$B$6:$B$65,0))&amp;"",""))</f>
        <v/>
      </c>
      <c r="H1442" s="12">
        <f>IF(OR(C1442="",NOT(ISNUMBER(E1442))),"",E1442*N(IFERROR(INDEX(Crops!$E$6:$E$65,MATCH(C1442,Crops!$B$6:$B$65,0)),0)))</f>
        <v/>
      </c>
      <c r="I1442" s="11">
        <f>IF(AND(C1442="",E1442=""),"",IF(NOT(ISNUMBER(B1442)),"Needs a date",IF(C1442="","Needs a crop",IF(COUNTIF(Crops!$B$6:$B$65,C1442)=0,"Not on Crops",IF(NOT(ISNUMBER(E1442)),"Needs the amount",IF(AND(D1442&lt;&gt;"",COUNTIF(Beds!$B$6:$B$35,D1442)=0),"Not on Beds",""))))))</f>
        <v/>
      </c>
      <c r="J1442" s="1">
        <f>IF(ISNUMBER(B1442),YEAR(B1442),"")</f>
        <v/>
      </c>
      <c r="K1442">
        <f>IF(ISNUMBER(B1442),YEAR(B1442)*100+MONTH(B1442),"")</f>
        <v/>
      </c>
      <c r="L1442">
        <f>IF(ISNUMBER(B1442),INT(B1442),0)</f>
        <v/>
      </c>
    </row>
    <row r="1443">
      <c r="A1443" s="1" t="n"/>
      <c r="B1443" s="17" t="n"/>
      <c r="C1443" s="18" t="n"/>
      <c r="D1443" s="19" t="n"/>
      <c r="E1443" s="23" t="n"/>
      <c r="F1443" s="21" t="n"/>
      <c r="G1443" s="11">
        <f>IF(C1443="","",IFERROR(INDEX(Crops!$D$6:$D$65,MATCH(C1443,Crops!$B$6:$B$65,0))&amp;"",""))</f>
        <v/>
      </c>
      <c r="H1443" s="12">
        <f>IF(OR(C1443="",NOT(ISNUMBER(E1443))),"",E1443*N(IFERROR(INDEX(Crops!$E$6:$E$65,MATCH(C1443,Crops!$B$6:$B$65,0)),0)))</f>
        <v/>
      </c>
      <c r="I1443" s="11">
        <f>IF(AND(C1443="",E1443=""),"",IF(NOT(ISNUMBER(B1443)),"Needs a date",IF(C1443="","Needs a crop",IF(COUNTIF(Crops!$B$6:$B$65,C1443)=0,"Not on Crops",IF(NOT(ISNUMBER(E1443)),"Needs the amount",IF(AND(D1443&lt;&gt;"",COUNTIF(Beds!$B$6:$B$35,D1443)=0),"Not on Beds",""))))))</f>
        <v/>
      </c>
      <c r="J1443" s="1">
        <f>IF(ISNUMBER(B1443),YEAR(B1443),"")</f>
        <v/>
      </c>
      <c r="K1443">
        <f>IF(ISNUMBER(B1443),YEAR(B1443)*100+MONTH(B1443),"")</f>
        <v/>
      </c>
      <c r="L1443">
        <f>IF(ISNUMBER(B1443),INT(B1443),0)</f>
        <v/>
      </c>
    </row>
    <row r="1444">
      <c r="A1444" s="1" t="n"/>
      <c r="B1444" s="17" t="n"/>
      <c r="C1444" s="18" t="n"/>
      <c r="D1444" s="19" t="n"/>
      <c r="E1444" s="23" t="n"/>
      <c r="F1444" s="21" t="n"/>
      <c r="G1444" s="11">
        <f>IF(C1444="","",IFERROR(INDEX(Crops!$D$6:$D$65,MATCH(C1444,Crops!$B$6:$B$65,0))&amp;"",""))</f>
        <v/>
      </c>
      <c r="H1444" s="12">
        <f>IF(OR(C1444="",NOT(ISNUMBER(E1444))),"",E1444*N(IFERROR(INDEX(Crops!$E$6:$E$65,MATCH(C1444,Crops!$B$6:$B$65,0)),0)))</f>
        <v/>
      </c>
      <c r="I1444" s="11">
        <f>IF(AND(C1444="",E1444=""),"",IF(NOT(ISNUMBER(B1444)),"Needs a date",IF(C1444="","Needs a crop",IF(COUNTIF(Crops!$B$6:$B$65,C1444)=0,"Not on Crops",IF(NOT(ISNUMBER(E1444)),"Needs the amount",IF(AND(D1444&lt;&gt;"",COUNTIF(Beds!$B$6:$B$35,D1444)=0),"Not on Beds",""))))))</f>
        <v/>
      </c>
      <c r="J1444" s="1">
        <f>IF(ISNUMBER(B1444),YEAR(B1444),"")</f>
        <v/>
      </c>
      <c r="K1444">
        <f>IF(ISNUMBER(B1444),YEAR(B1444)*100+MONTH(B1444),"")</f>
        <v/>
      </c>
      <c r="L1444">
        <f>IF(ISNUMBER(B1444),INT(B1444),0)</f>
        <v/>
      </c>
    </row>
    <row r="1445">
      <c r="A1445" s="1" t="n"/>
      <c r="B1445" s="17" t="n"/>
      <c r="C1445" s="18" t="n"/>
      <c r="D1445" s="19" t="n"/>
      <c r="E1445" s="23" t="n"/>
      <c r="F1445" s="21" t="n"/>
      <c r="G1445" s="11">
        <f>IF(C1445="","",IFERROR(INDEX(Crops!$D$6:$D$65,MATCH(C1445,Crops!$B$6:$B$65,0))&amp;"",""))</f>
        <v/>
      </c>
      <c r="H1445" s="12">
        <f>IF(OR(C1445="",NOT(ISNUMBER(E1445))),"",E1445*N(IFERROR(INDEX(Crops!$E$6:$E$65,MATCH(C1445,Crops!$B$6:$B$65,0)),0)))</f>
        <v/>
      </c>
      <c r="I1445" s="11">
        <f>IF(AND(C1445="",E1445=""),"",IF(NOT(ISNUMBER(B1445)),"Needs a date",IF(C1445="","Needs a crop",IF(COUNTIF(Crops!$B$6:$B$65,C1445)=0,"Not on Crops",IF(NOT(ISNUMBER(E1445)),"Needs the amount",IF(AND(D1445&lt;&gt;"",COUNTIF(Beds!$B$6:$B$35,D1445)=0),"Not on Beds",""))))))</f>
        <v/>
      </c>
      <c r="J1445" s="1">
        <f>IF(ISNUMBER(B1445),YEAR(B1445),"")</f>
        <v/>
      </c>
      <c r="K1445">
        <f>IF(ISNUMBER(B1445),YEAR(B1445)*100+MONTH(B1445),"")</f>
        <v/>
      </c>
      <c r="L1445">
        <f>IF(ISNUMBER(B1445),INT(B1445),0)</f>
        <v/>
      </c>
    </row>
    <row r="1446">
      <c r="A1446" s="1" t="n"/>
      <c r="B1446" s="17" t="n"/>
      <c r="C1446" s="18" t="n"/>
      <c r="D1446" s="19" t="n"/>
      <c r="E1446" s="23" t="n"/>
      <c r="F1446" s="21" t="n"/>
      <c r="G1446" s="11">
        <f>IF(C1446="","",IFERROR(INDEX(Crops!$D$6:$D$65,MATCH(C1446,Crops!$B$6:$B$65,0))&amp;"",""))</f>
        <v/>
      </c>
      <c r="H1446" s="12">
        <f>IF(OR(C1446="",NOT(ISNUMBER(E1446))),"",E1446*N(IFERROR(INDEX(Crops!$E$6:$E$65,MATCH(C1446,Crops!$B$6:$B$65,0)),0)))</f>
        <v/>
      </c>
      <c r="I1446" s="11">
        <f>IF(AND(C1446="",E1446=""),"",IF(NOT(ISNUMBER(B1446)),"Needs a date",IF(C1446="","Needs a crop",IF(COUNTIF(Crops!$B$6:$B$65,C1446)=0,"Not on Crops",IF(NOT(ISNUMBER(E1446)),"Needs the amount",IF(AND(D1446&lt;&gt;"",COUNTIF(Beds!$B$6:$B$35,D1446)=0),"Not on Beds",""))))))</f>
        <v/>
      </c>
      <c r="J1446" s="1">
        <f>IF(ISNUMBER(B1446),YEAR(B1446),"")</f>
        <v/>
      </c>
      <c r="K1446">
        <f>IF(ISNUMBER(B1446),YEAR(B1446)*100+MONTH(B1446),"")</f>
        <v/>
      </c>
      <c r="L1446">
        <f>IF(ISNUMBER(B1446),INT(B1446),0)</f>
        <v/>
      </c>
    </row>
    <row r="1447">
      <c r="A1447" s="1" t="n"/>
      <c r="B1447" s="17" t="n"/>
      <c r="C1447" s="18" t="n"/>
      <c r="D1447" s="19" t="n"/>
      <c r="E1447" s="23" t="n"/>
      <c r="F1447" s="21" t="n"/>
      <c r="G1447" s="11">
        <f>IF(C1447="","",IFERROR(INDEX(Crops!$D$6:$D$65,MATCH(C1447,Crops!$B$6:$B$65,0))&amp;"",""))</f>
        <v/>
      </c>
      <c r="H1447" s="12">
        <f>IF(OR(C1447="",NOT(ISNUMBER(E1447))),"",E1447*N(IFERROR(INDEX(Crops!$E$6:$E$65,MATCH(C1447,Crops!$B$6:$B$65,0)),0)))</f>
        <v/>
      </c>
      <c r="I1447" s="11">
        <f>IF(AND(C1447="",E1447=""),"",IF(NOT(ISNUMBER(B1447)),"Needs a date",IF(C1447="","Needs a crop",IF(COUNTIF(Crops!$B$6:$B$65,C1447)=0,"Not on Crops",IF(NOT(ISNUMBER(E1447)),"Needs the amount",IF(AND(D1447&lt;&gt;"",COUNTIF(Beds!$B$6:$B$35,D1447)=0),"Not on Beds",""))))))</f>
        <v/>
      </c>
      <c r="J1447" s="1">
        <f>IF(ISNUMBER(B1447),YEAR(B1447),"")</f>
        <v/>
      </c>
      <c r="K1447">
        <f>IF(ISNUMBER(B1447),YEAR(B1447)*100+MONTH(B1447),"")</f>
        <v/>
      </c>
      <c r="L1447">
        <f>IF(ISNUMBER(B1447),INT(B1447),0)</f>
        <v/>
      </c>
    </row>
    <row r="1448">
      <c r="A1448" s="1" t="n"/>
      <c r="B1448" s="17" t="n"/>
      <c r="C1448" s="18" t="n"/>
      <c r="D1448" s="19" t="n"/>
      <c r="E1448" s="23" t="n"/>
      <c r="F1448" s="21" t="n"/>
      <c r="G1448" s="11">
        <f>IF(C1448="","",IFERROR(INDEX(Crops!$D$6:$D$65,MATCH(C1448,Crops!$B$6:$B$65,0))&amp;"",""))</f>
        <v/>
      </c>
      <c r="H1448" s="12">
        <f>IF(OR(C1448="",NOT(ISNUMBER(E1448))),"",E1448*N(IFERROR(INDEX(Crops!$E$6:$E$65,MATCH(C1448,Crops!$B$6:$B$65,0)),0)))</f>
        <v/>
      </c>
      <c r="I1448" s="11">
        <f>IF(AND(C1448="",E1448=""),"",IF(NOT(ISNUMBER(B1448)),"Needs a date",IF(C1448="","Needs a crop",IF(COUNTIF(Crops!$B$6:$B$65,C1448)=0,"Not on Crops",IF(NOT(ISNUMBER(E1448)),"Needs the amount",IF(AND(D1448&lt;&gt;"",COUNTIF(Beds!$B$6:$B$35,D1448)=0),"Not on Beds",""))))))</f>
        <v/>
      </c>
      <c r="J1448" s="1">
        <f>IF(ISNUMBER(B1448),YEAR(B1448),"")</f>
        <v/>
      </c>
      <c r="K1448">
        <f>IF(ISNUMBER(B1448),YEAR(B1448)*100+MONTH(B1448),"")</f>
        <v/>
      </c>
      <c r="L1448">
        <f>IF(ISNUMBER(B1448),INT(B1448),0)</f>
        <v/>
      </c>
    </row>
    <row r="1449">
      <c r="A1449" s="1" t="n"/>
      <c r="B1449" s="17" t="n"/>
      <c r="C1449" s="18" t="n"/>
      <c r="D1449" s="19" t="n"/>
      <c r="E1449" s="23" t="n"/>
      <c r="F1449" s="21" t="n"/>
      <c r="G1449" s="11">
        <f>IF(C1449="","",IFERROR(INDEX(Crops!$D$6:$D$65,MATCH(C1449,Crops!$B$6:$B$65,0))&amp;"",""))</f>
        <v/>
      </c>
      <c r="H1449" s="12">
        <f>IF(OR(C1449="",NOT(ISNUMBER(E1449))),"",E1449*N(IFERROR(INDEX(Crops!$E$6:$E$65,MATCH(C1449,Crops!$B$6:$B$65,0)),0)))</f>
        <v/>
      </c>
      <c r="I1449" s="11">
        <f>IF(AND(C1449="",E1449=""),"",IF(NOT(ISNUMBER(B1449)),"Needs a date",IF(C1449="","Needs a crop",IF(COUNTIF(Crops!$B$6:$B$65,C1449)=0,"Not on Crops",IF(NOT(ISNUMBER(E1449)),"Needs the amount",IF(AND(D1449&lt;&gt;"",COUNTIF(Beds!$B$6:$B$35,D1449)=0),"Not on Beds",""))))))</f>
        <v/>
      </c>
      <c r="J1449" s="1">
        <f>IF(ISNUMBER(B1449),YEAR(B1449),"")</f>
        <v/>
      </c>
      <c r="K1449">
        <f>IF(ISNUMBER(B1449),YEAR(B1449)*100+MONTH(B1449),"")</f>
        <v/>
      </c>
      <c r="L1449">
        <f>IF(ISNUMBER(B1449),INT(B1449),0)</f>
        <v/>
      </c>
    </row>
    <row r="1450">
      <c r="A1450" s="1" t="n"/>
      <c r="B1450" s="17" t="n"/>
      <c r="C1450" s="18" t="n"/>
      <c r="D1450" s="19" t="n"/>
      <c r="E1450" s="23" t="n"/>
      <c r="F1450" s="21" t="n"/>
      <c r="G1450" s="11">
        <f>IF(C1450="","",IFERROR(INDEX(Crops!$D$6:$D$65,MATCH(C1450,Crops!$B$6:$B$65,0))&amp;"",""))</f>
        <v/>
      </c>
      <c r="H1450" s="12">
        <f>IF(OR(C1450="",NOT(ISNUMBER(E1450))),"",E1450*N(IFERROR(INDEX(Crops!$E$6:$E$65,MATCH(C1450,Crops!$B$6:$B$65,0)),0)))</f>
        <v/>
      </c>
      <c r="I1450" s="11">
        <f>IF(AND(C1450="",E1450=""),"",IF(NOT(ISNUMBER(B1450)),"Needs a date",IF(C1450="","Needs a crop",IF(COUNTIF(Crops!$B$6:$B$65,C1450)=0,"Not on Crops",IF(NOT(ISNUMBER(E1450)),"Needs the amount",IF(AND(D1450&lt;&gt;"",COUNTIF(Beds!$B$6:$B$35,D1450)=0),"Not on Beds",""))))))</f>
        <v/>
      </c>
      <c r="J1450" s="1">
        <f>IF(ISNUMBER(B1450),YEAR(B1450),"")</f>
        <v/>
      </c>
      <c r="K1450">
        <f>IF(ISNUMBER(B1450),YEAR(B1450)*100+MONTH(B1450),"")</f>
        <v/>
      </c>
      <c r="L1450">
        <f>IF(ISNUMBER(B1450),INT(B1450),0)</f>
        <v/>
      </c>
    </row>
    <row r="1451">
      <c r="A1451" s="1" t="n"/>
      <c r="B1451" s="17" t="n"/>
      <c r="C1451" s="18" t="n"/>
      <c r="D1451" s="19" t="n"/>
      <c r="E1451" s="23" t="n"/>
      <c r="F1451" s="21" t="n"/>
      <c r="G1451" s="11">
        <f>IF(C1451="","",IFERROR(INDEX(Crops!$D$6:$D$65,MATCH(C1451,Crops!$B$6:$B$65,0))&amp;"",""))</f>
        <v/>
      </c>
      <c r="H1451" s="12">
        <f>IF(OR(C1451="",NOT(ISNUMBER(E1451))),"",E1451*N(IFERROR(INDEX(Crops!$E$6:$E$65,MATCH(C1451,Crops!$B$6:$B$65,0)),0)))</f>
        <v/>
      </c>
      <c r="I1451" s="11">
        <f>IF(AND(C1451="",E1451=""),"",IF(NOT(ISNUMBER(B1451)),"Needs a date",IF(C1451="","Needs a crop",IF(COUNTIF(Crops!$B$6:$B$65,C1451)=0,"Not on Crops",IF(NOT(ISNUMBER(E1451)),"Needs the amount",IF(AND(D1451&lt;&gt;"",COUNTIF(Beds!$B$6:$B$35,D1451)=0),"Not on Beds",""))))))</f>
        <v/>
      </c>
      <c r="J1451" s="1">
        <f>IF(ISNUMBER(B1451),YEAR(B1451),"")</f>
        <v/>
      </c>
      <c r="K1451">
        <f>IF(ISNUMBER(B1451),YEAR(B1451)*100+MONTH(B1451),"")</f>
        <v/>
      </c>
      <c r="L1451">
        <f>IF(ISNUMBER(B1451),INT(B1451),0)</f>
        <v/>
      </c>
    </row>
    <row r="1452">
      <c r="A1452" s="1" t="n"/>
      <c r="B1452" s="17" t="n"/>
      <c r="C1452" s="18" t="n"/>
      <c r="D1452" s="19" t="n"/>
      <c r="E1452" s="23" t="n"/>
      <c r="F1452" s="21" t="n"/>
      <c r="G1452" s="11">
        <f>IF(C1452="","",IFERROR(INDEX(Crops!$D$6:$D$65,MATCH(C1452,Crops!$B$6:$B$65,0))&amp;"",""))</f>
        <v/>
      </c>
      <c r="H1452" s="12">
        <f>IF(OR(C1452="",NOT(ISNUMBER(E1452))),"",E1452*N(IFERROR(INDEX(Crops!$E$6:$E$65,MATCH(C1452,Crops!$B$6:$B$65,0)),0)))</f>
        <v/>
      </c>
      <c r="I1452" s="11">
        <f>IF(AND(C1452="",E1452=""),"",IF(NOT(ISNUMBER(B1452)),"Needs a date",IF(C1452="","Needs a crop",IF(COUNTIF(Crops!$B$6:$B$65,C1452)=0,"Not on Crops",IF(NOT(ISNUMBER(E1452)),"Needs the amount",IF(AND(D1452&lt;&gt;"",COUNTIF(Beds!$B$6:$B$35,D1452)=0),"Not on Beds",""))))))</f>
        <v/>
      </c>
      <c r="J1452" s="1">
        <f>IF(ISNUMBER(B1452),YEAR(B1452),"")</f>
        <v/>
      </c>
      <c r="K1452">
        <f>IF(ISNUMBER(B1452),YEAR(B1452)*100+MONTH(B1452),"")</f>
        <v/>
      </c>
      <c r="L1452">
        <f>IF(ISNUMBER(B1452),INT(B1452),0)</f>
        <v/>
      </c>
    </row>
    <row r="1453">
      <c r="A1453" s="1" t="n"/>
      <c r="B1453" s="17" t="n"/>
      <c r="C1453" s="18" t="n"/>
      <c r="D1453" s="19" t="n"/>
      <c r="E1453" s="23" t="n"/>
      <c r="F1453" s="21" t="n"/>
      <c r="G1453" s="11">
        <f>IF(C1453="","",IFERROR(INDEX(Crops!$D$6:$D$65,MATCH(C1453,Crops!$B$6:$B$65,0))&amp;"",""))</f>
        <v/>
      </c>
      <c r="H1453" s="12">
        <f>IF(OR(C1453="",NOT(ISNUMBER(E1453))),"",E1453*N(IFERROR(INDEX(Crops!$E$6:$E$65,MATCH(C1453,Crops!$B$6:$B$65,0)),0)))</f>
        <v/>
      </c>
      <c r="I1453" s="11">
        <f>IF(AND(C1453="",E1453=""),"",IF(NOT(ISNUMBER(B1453)),"Needs a date",IF(C1453="","Needs a crop",IF(COUNTIF(Crops!$B$6:$B$65,C1453)=0,"Not on Crops",IF(NOT(ISNUMBER(E1453)),"Needs the amount",IF(AND(D1453&lt;&gt;"",COUNTIF(Beds!$B$6:$B$35,D1453)=0),"Not on Beds",""))))))</f>
        <v/>
      </c>
      <c r="J1453" s="1">
        <f>IF(ISNUMBER(B1453),YEAR(B1453),"")</f>
        <v/>
      </c>
      <c r="K1453">
        <f>IF(ISNUMBER(B1453),YEAR(B1453)*100+MONTH(B1453),"")</f>
        <v/>
      </c>
      <c r="L1453">
        <f>IF(ISNUMBER(B1453),INT(B1453),0)</f>
        <v/>
      </c>
    </row>
    <row r="1454">
      <c r="A1454" s="1" t="n"/>
      <c r="B1454" s="17" t="n"/>
      <c r="C1454" s="18" t="n"/>
      <c r="D1454" s="19" t="n"/>
      <c r="E1454" s="23" t="n"/>
      <c r="F1454" s="21" t="n"/>
      <c r="G1454" s="11">
        <f>IF(C1454="","",IFERROR(INDEX(Crops!$D$6:$D$65,MATCH(C1454,Crops!$B$6:$B$65,0))&amp;"",""))</f>
        <v/>
      </c>
      <c r="H1454" s="12">
        <f>IF(OR(C1454="",NOT(ISNUMBER(E1454))),"",E1454*N(IFERROR(INDEX(Crops!$E$6:$E$65,MATCH(C1454,Crops!$B$6:$B$65,0)),0)))</f>
        <v/>
      </c>
      <c r="I1454" s="11">
        <f>IF(AND(C1454="",E1454=""),"",IF(NOT(ISNUMBER(B1454)),"Needs a date",IF(C1454="","Needs a crop",IF(COUNTIF(Crops!$B$6:$B$65,C1454)=0,"Not on Crops",IF(NOT(ISNUMBER(E1454)),"Needs the amount",IF(AND(D1454&lt;&gt;"",COUNTIF(Beds!$B$6:$B$35,D1454)=0),"Not on Beds",""))))))</f>
        <v/>
      </c>
      <c r="J1454" s="1">
        <f>IF(ISNUMBER(B1454),YEAR(B1454),"")</f>
        <v/>
      </c>
      <c r="K1454">
        <f>IF(ISNUMBER(B1454),YEAR(B1454)*100+MONTH(B1454),"")</f>
        <v/>
      </c>
      <c r="L1454">
        <f>IF(ISNUMBER(B1454),INT(B1454),0)</f>
        <v/>
      </c>
    </row>
    <row r="1455">
      <c r="A1455" s="1" t="n"/>
      <c r="B1455" s="17" t="n"/>
      <c r="C1455" s="18" t="n"/>
      <c r="D1455" s="19" t="n"/>
      <c r="E1455" s="23" t="n"/>
      <c r="F1455" s="21" t="n"/>
      <c r="G1455" s="11">
        <f>IF(C1455="","",IFERROR(INDEX(Crops!$D$6:$D$65,MATCH(C1455,Crops!$B$6:$B$65,0))&amp;"",""))</f>
        <v/>
      </c>
      <c r="H1455" s="12">
        <f>IF(OR(C1455="",NOT(ISNUMBER(E1455))),"",E1455*N(IFERROR(INDEX(Crops!$E$6:$E$65,MATCH(C1455,Crops!$B$6:$B$65,0)),0)))</f>
        <v/>
      </c>
      <c r="I1455" s="11">
        <f>IF(AND(C1455="",E1455=""),"",IF(NOT(ISNUMBER(B1455)),"Needs a date",IF(C1455="","Needs a crop",IF(COUNTIF(Crops!$B$6:$B$65,C1455)=0,"Not on Crops",IF(NOT(ISNUMBER(E1455)),"Needs the amount",IF(AND(D1455&lt;&gt;"",COUNTIF(Beds!$B$6:$B$35,D1455)=0),"Not on Beds",""))))))</f>
        <v/>
      </c>
      <c r="J1455" s="1">
        <f>IF(ISNUMBER(B1455),YEAR(B1455),"")</f>
        <v/>
      </c>
      <c r="K1455">
        <f>IF(ISNUMBER(B1455),YEAR(B1455)*100+MONTH(B1455),"")</f>
        <v/>
      </c>
      <c r="L1455">
        <f>IF(ISNUMBER(B1455),INT(B1455),0)</f>
        <v/>
      </c>
    </row>
    <row r="1456">
      <c r="A1456" s="1" t="n"/>
      <c r="B1456" s="17" t="n"/>
      <c r="C1456" s="18" t="n"/>
      <c r="D1456" s="19" t="n"/>
      <c r="E1456" s="23" t="n"/>
      <c r="F1456" s="21" t="n"/>
      <c r="G1456" s="11">
        <f>IF(C1456="","",IFERROR(INDEX(Crops!$D$6:$D$65,MATCH(C1456,Crops!$B$6:$B$65,0))&amp;"",""))</f>
        <v/>
      </c>
      <c r="H1456" s="12">
        <f>IF(OR(C1456="",NOT(ISNUMBER(E1456))),"",E1456*N(IFERROR(INDEX(Crops!$E$6:$E$65,MATCH(C1456,Crops!$B$6:$B$65,0)),0)))</f>
        <v/>
      </c>
      <c r="I1456" s="11">
        <f>IF(AND(C1456="",E1456=""),"",IF(NOT(ISNUMBER(B1456)),"Needs a date",IF(C1456="","Needs a crop",IF(COUNTIF(Crops!$B$6:$B$65,C1456)=0,"Not on Crops",IF(NOT(ISNUMBER(E1456)),"Needs the amount",IF(AND(D1456&lt;&gt;"",COUNTIF(Beds!$B$6:$B$35,D1456)=0),"Not on Beds",""))))))</f>
        <v/>
      </c>
      <c r="J1456" s="1">
        <f>IF(ISNUMBER(B1456),YEAR(B1456),"")</f>
        <v/>
      </c>
      <c r="K1456">
        <f>IF(ISNUMBER(B1456),YEAR(B1456)*100+MONTH(B1456),"")</f>
        <v/>
      </c>
      <c r="L1456">
        <f>IF(ISNUMBER(B1456),INT(B1456),0)</f>
        <v/>
      </c>
    </row>
    <row r="1457">
      <c r="A1457" s="1" t="n"/>
      <c r="B1457" s="17" t="n"/>
      <c r="C1457" s="18" t="n"/>
      <c r="D1457" s="19" t="n"/>
      <c r="E1457" s="23" t="n"/>
      <c r="F1457" s="21" t="n"/>
      <c r="G1457" s="11">
        <f>IF(C1457="","",IFERROR(INDEX(Crops!$D$6:$D$65,MATCH(C1457,Crops!$B$6:$B$65,0))&amp;"",""))</f>
        <v/>
      </c>
      <c r="H1457" s="12">
        <f>IF(OR(C1457="",NOT(ISNUMBER(E1457))),"",E1457*N(IFERROR(INDEX(Crops!$E$6:$E$65,MATCH(C1457,Crops!$B$6:$B$65,0)),0)))</f>
        <v/>
      </c>
      <c r="I1457" s="11">
        <f>IF(AND(C1457="",E1457=""),"",IF(NOT(ISNUMBER(B1457)),"Needs a date",IF(C1457="","Needs a crop",IF(COUNTIF(Crops!$B$6:$B$65,C1457)=0,"Not on Crops",IF(NOT(ISNUMBER(E1457)),"Needs the amount",IF(AND(D1457&lt;&gt;"",COUNTIF(Beds!$B$6:$B$35,D1457)=0),"Not on Beds",""))))))</f>
        <v/>
      </c>
      <c r="J1457" s="1">
        <f>IF(ISNUMBER(B1457),YEAR(B1457),"")</f>
        <v/>
      </c>
      <c r="K1457">
        <f>IF(ISNUMBER(B1457),YEAR(B1457)*100+MONTH(B1457),"")</f>
        <v/>
      </c>
      <c r="L1457">
        <f>IF(ISNUMBER(B1457),INT(B1457),0)</f>
        <v/>
      </c>
    </row>
    <row r="1458">
      <c r="A1458" s="1" t="n"/>
      <c r="B1458" s="17" t="n"/>
      <c r="C1458" s="18" t="n"/>
      <c r="D1458" s="19" t="n"/>
      <c r="E1458" s="23" t="n"/>
      <c r="F1458" s="21" t="n"/>
      <c r="G1458" s="11">
        <f>IF(C1458="","",IFERROR(INDEX(Crops!$D$6:$D$65,MATCH(C1458,Crops!$B$6:$B$65,0))&amp;"",""))</f>
        <v/>
      </c>
      <c r="H1458" s="12">
        <f>IF(OR(C1458="",NOT(ISNUMBER(E1458))),"",E1458*N(IFERROR(INDEX(Crops!$E$6:$E$65,MATCH(C1458,Crops!$B$6:$B$65,0)),0)))</f>
        <v/>
      </c>
      <c r="I1458" s="11">
        <f>IF(AND(C1458="",E1458=""),"",IF(NOT(ISNUMBER(B1458)),"Needs a date",IF(C1458="","Needs a crop",IF(COUNTIF(Crops!$B$6:$B$65,C1458)=0,"Not on Crops",IF(NOT(ISNUMBER(E1458)),"Needs the amount",IF(AND(D1458&lt;&gt;"",COUNTIF(Beds!$B$6:$B$35,D1458)=0),"Not on Beds",""))))))</f>
        <v/>
      </c>
      <c r="J1458" s="1">
        <f>IF(ISNUMBER(B1458),YEAR(B1458),"")</f>
        <v/>
      </c>
      <c r="K1458">
        <f>IF(ISNUMBER(B1458),YEAR(B1458)*100+MONTH(B1458),"")</f>
        <v/>
      </c>
      <c r="L1458">
        <f>IF(ISNUMBER(B1458),INT(B1458),0)</f>
        <v/>
      </c>
    </row>
    <row r="1459">
      <c r="A1459" s="1" t="n"/>
      <c r="B1459" s="17" t="n"/>
      <c r="C1459" s="18" t="n"/>
      <c r="D1459" s="19" t="n"/>
      <c r="E1459" s="23" t="n"/>
      <c r="F1459" s="21" t="n"/>
      <c r="G1459" s="11">
        <f>IF(C1459="","",IFERROR(INDEX(Crops!$D$6:$D$65,MATCH(C1459,Crops!$B$6:$B$65,0))&amp;"",""))</f>
        <v/>
      </c>
      <c r="H1459" s="12">
        <f>IF(OR(C1459="",NOT(ISNUMBER(E1459))),"",E1459*N(IFERROR(INDEX(Crops!$E$6:$E$65,MATCH(C1459,Crops!$B$6:$B$65,0)),0)))</f>
        <v/>
      </c>
      <c r="I1459" s="11">
        <f>IF(AND(C1459="",E1459=""),"",IF(NOT(ISNUMBER(B1459)),"Needs a date",IF(C1459="","Needs a crop",IF(COUNTIF(Crops!$B$6:$B$65,C1459)=0,"Not on Crops",IF(NOT(ISNUMBER(E1459)),"Needs the amount",IF(AND(D1459&lt;&gt;"",COUNTIF(Beds!$B$6:$B$35,D1459)=0),"Not on Beds",""))))))</f>
        <v/>
      </c>
      <c r="J1459" s="1">
        <f>IF(ISNUMBER(B1459),YEAR(B1459),"")</f>
        <v/>
      </c>
      <c r="K1459">
        <f>IF(ISNUMBER(B1459),YEAR(B1459)*100+MONTH(B1459),"")</f>
        <v/>
      </c>
      <c r="L1459">
        <f>IF(ISNUMBER(B1459),INT(B1459),0)</f>
        <v/>
      </c>
    </row>
    <row r="1460">
      <c r="A1460" s="1" t="n"/>
      <c r="B1460" s="17" t="n"/>
      <c r="C1460" s="18" t="n"/>
      <c r="D1460" s="19" t="n"/>
      <c r="E1460" s="23" t="n"/>
      <c r="F1460" s="21" t="n"/>
      <c r="G1460" s="11">
        <f>IF(C1460="","",IFERROR(INDEX(Crops!$D$6:$D$65,MATCH(C1460,Crops!$B$6:$B$65,0))&amp;"",""))</f>
        <v/>
      </c>
      <c r="H1460" s="12">
        <f>IF(OR(C1460="",NOT(ISNUMBER(E1460))),"",E1460*N(IFERROR(INDEX(Crops!$E$6:$E$65,MATCH(C1460,Crops!$B$6:$B$65,0)),0)))</f>
        <v/>
      </c>
      <c r="I1460" s="11">
        <f>IF(AND(C1460="",E1460=""),"",IF(NOT(ISNUMBER(B1460)),"Needs a date",IF(C1460="","Needs a crop",IF(COUNTIF(Crops!$B$6:$B$65,C1460)=0,"Not on Crops",IF(NOT(ISNUMBER(E1460)),"Needs the amount",IF(AND(D1460&lt;&gt;"",COUNTIF(Beds!$B$6:$B$35,D1460)=0),"Not on Beds",""))))))</f>
        <v/>
      </c>
      <c r="J1460" s="1">
        <f>IF(ISNUMBER(B1460),YEAR(B1460),"")</f>
        <v/>
      </c>
      <c r="K1460">
        <f>IF(ISNUMBER(B1460),YEAR(B1460)*100+MONTH(B1460),"")</f>
        <v/>
      </c>
      <c r="L1460">
        <f>IF(ISNUMBER(B1460),INT(B1460),0)</f>
        <v/>
      </c>
    </row>
    <row r="1461">
      <c r="A1461" s="1" t="n"/>
      <c r="B1461" s="17" t="n"/>
      <c r="C1461" s="18" t="n"/>
      <c r="D1461" s="19" t="n"/>
      <c r="E1461" s="23" t="n"/>
      <c r="F1461" s="21" t="n"/>
      <c r="G1461" s="11">
        <f>IF(C1461="","",IFERROR(INDEX(Crops!$D$6:$D$65,MATCH(C1461,Crops!$B$6:$B$65,0))&amp;"",""))</f>
        <v/>
      </c>
      <c r="H1461" s="12">
        <f>IF(OR(C1461="",NOT(ISNUMBER(E1461))),"",E1461*N(IFERROR(INDEX(Crops!$E$6:$E$65,MATCH(C1461,Crops!$B$6:$B$65,0)),0)))</f>
        <v/>
      </c>
      <c r="I1461" s="11">
        <f>IF(AND(C1461="",E1461=""),"",IF(NOT(ISNUMBER(B1461)),"Needs a date",IF(C1461="","Needs a crop",IF(COUNTIF(Crops!$B$6:$B$65,C1461)=0,"Not on Crops",IF(NOT(ISNUMBER(E1461)),"Needs the amount",IF(AND(D1461&lt;&gt;"",COUNTIF(Beds!$B$6:$B$35,D1461)=0),"Not on Beds",""))))))</f>
        <v/>
      </c>
      <c r="J1461" s="1">
        <f>IF(ISNUMBER(B1461),YEAR(B1461),"")</f>
        <v/>
      </c>
      <c r="K1461">
        <f>IF(ISNUMBER(B1461),YEAR(B1461)*100+MONTH(B1461),"")</f>
        <v/>
      </c>
      <c r="L1461">
        <f>IF(ISNUMBER(B1461),INT(B1461),0)</f>
        <v/>
      </c>
    </row>
    <row r="1462">
      <c r="A1462" s="1" t="n"/>
      <c r="B1462" s="17" t="n"/>
      <c r="C1462" s="18" t="n"/>
      <c r="D1462" s="19" t="n"/>
      <c r="E1462" s="23" t="n"/>
      <c r="F1462" s="21" t="n"/>
      <c r="G1462" s="11">
        <f>IF(C1462="","",IFERROR(INDEX(Crops!$D$6:$D$65,MATCH(C1462,Crops!$B$6:$B$65,0))&amp;"",""))</f>
        <v/>
      </c>
      <c r="H1462" s="12">
        <f>IF(OR(C1462="",NOT(ISNUMBER(E1462))),"",E1462*N(IFERROR(INDEX(Crops!$E$6:$E$65,MATCH(C1462,Crops!$B$6:$B$65,0)),0)))</f>
        <v/>
      </c>
      <c r="I1462" s="11">
        <f>IF(AND(C1462="",E1462=""),"",IF(NOT(ISNUMBER(B1462)),"Needs a date",IF(C1462="","Needs a crop",IF(COUNTIF(Crops!$B$6:$B$65,C1462)=0,"Not on Crops",IF(NOT(ISNUMBER(E1462)),"Needs the amount",IF(AND(D1462&lt;&gt;"",COUNTIF(Beds!$B$6:$B$35,D1462)=0),"Not on Beds",""))))))</f>
        <v/>
      </c>
      <c r="J1462" s="1">
        <f>IF(ISNUMBER(B1462),YEAR(B1462),"")</f>
        <v/>
      </c>
      <c r="K1462">
        <f>IF(ISNUMBER(B1462),YEAR(B1462)*100+MONTH(B1462),"")</f>
        <v/>
      </c>
      <c r="L1462">
        <f>IF(ISNUMBER(B1462),INT(B1462),0)</f>
        <v/>
      </c>
    </row>
    <row r="1463">
      <c r="A1463" s="1" t="n"/>
      <c r="B1463" s="17" t="n"/>
      <c r="C1463" s="18" t="n"/>
      <c r="D1463" s="19" t="n"/>
      <c r="E1463" s="23" t="n"/>
      <c r="F1463" s="21" t="n"/>
      <c r="G1463" s="11">
        <f>IF(C1463="","",IFERROR(INDEX(Crops!$D$6:$D$65,MATCH(C1463,Crops!$B$6:$B$65,0))&amp;"",""))</f>
        <v/>
      </c>
      <c r="H1463" s="12">
        <f>IF(OR(C1463="",NOT(ISNUMBER(E1463))),"",E1463*N(IFERROR(INDEX(Crops!$E$6:$E$65,MATCH(C1463,Crops!$B$6:$B$65,0)),0)))</f>
        <v/>
      </c>
      <c r="I1463" s="11">
        <f>IF(AND(C1463="",E1463=""),"",IF(NOT(ISNUMBER(B1463)),"Needs a date",IF(C1463="","Needs a crop",IF(COUNTIF(Crops!$B$6:$B$65,C1463)=0,"Not on Crops",IF(NOT(ISNUMBER(E1463)),"Needs the amount",IF(AND(D1463&lt;&gt;"",COUNTIF(Beds!$B$6:$B$35,D1463)=0),"Not on Beds",""))))))</f>
        <v/>
      </c>
      <c r="J1463" s="1">
        <f>IF(ISNUMBER(B1463),YEAR(B1463),"")</f>
        <v/>
      </c>
      <c r="K1463">
        <f>IF(ISNUMBER(B1463),YEAR(B1463)*100+MONTH(B1463),"")</f>
        <v/>
      </c>
      <c r="L1463">
        <f>IF(ISNUMBER(B1463),INT(B1463),0)</f>
        <v/>
      </c>
    </row>
    <row r="1464">
      <c r="A1464" s="1" t="n"/>
      <c r="B1464" s="17" t="n"/>
      <c r="C1464" s="18" t="n"/>
      <c r="D1464" s="19" t="n"/>
      <c r="E1464" s="23" t="n"/>
      <c r="F1464" s="21" t="n"/>
      <c r="G1464" s="11">
        <f>IF(C1464="","",IFERROR(INDEX(Crops!$D$6:$D$65,MATCH(C1464,Crops!$B$6:$B$65,0))&amp;"",""))</f>
        <v/>
      </c>
      <c r="H1464" s="12">
        <f>IF(OR(C1464="",NOT(ISNUMBER(E1464))),"",E1464*N(IFERROR(INDEX(Crops!$E$6:$E$65,MATCH(C1464,Crops!$B$6:$B$65,0)),0)))</f>
        <v/>
      </c>
      <c r="I1464" s="11">
        <f>IF(AND(C1464="",E1464=""),"",IF(NOT(ISNUMBER(B1464)),"Needs a date",IF(C1464="","Needs a crop",IF(COUNTIF(Crops!$B$6:$B$65,C1464)=0,"Not on Crops",IF(NOT(ISNUMBER(E1464)),"Needs the amount",IF(AND(D1464&lt;&gt;"",COUNTIF(Beds!$B$6:$B$35,D1464)=0),"Not on Beds",""))))))</f>
        <v/>
      </c>
      <c r="J1464" s="1">
        <f>IF(ISNUMBER(B1464),YEAR(B1464),"")</f>
        <v/>
      </c>
      <c r="K1464">
        <f>IF(ISNUMBER(B1464),YEAR(B1464)*100+MONTH(B1464),"")</f>
        <v/>
      </c>
      <c r="L1464">
        <f>IF(ISNUMBER(B1464),INT(B1464),0)</f>
        <v/>
      </c>
    </row>
    <row r="1465">
      <c r="A1465" s="1" t="n"/>
      <c r="B1465" s="17" t="n"/>
      <c r="C1465" s="18" t="n"/>
      <c r="D1465" s="19" t="n"/>
      <c r="E1465" s="23" t="n"/>
      <c r="F1465" s="21" t="n"/>
      <c r="G1465" s="11">
        <f>IF(C1465="","",IFERROR(INDEX(Crops!$D$6:$D$65,MATCH(C1465,Crops!$B$6:$B$65,0))&amp;"",""))</f>
        <v/>
      </c>
      <c r="H1465" s="12">
        <f>IF(OR(C1465="",NOT(ISNUMBER(E1465))),"",E1465*N(IFERROR(INDEX(Crops!$E$6:$E$65,MATCH(C1465,Crops!$B$6:$B$65,0)),0)))</f>
        <v/>
      </c>
      <c r="I1465" s="11">
        <f>IF(AND(C1465="",E1465=""),"",IF(NOT(ISNUMBER(B1465)),"Needs a date",IF(C1465="","Needs a crop",IF(COUNTIF(Crops!$B$6:$B$65,C1465)=0,"Not on Crops",IF(NOT(ISNUMBER(E1465)),"Needs the amount",IF(AND(D1465&lt;&gt;"",COUNTIF(Beds!$B$6:$B$35,D1465)=0),"Not on Beds",""))))))</f>
        <v/>
      </c>
      <c r="J1465" s="1">
        <f>IF(ISNUMBER(B1465),YEAR(B1465),"")</f>
        <v/>
      </c>
      <c r="K1465">
        <f>IF(ISNUMBER(B1465),YEAR(B1465)*100+MONTH(B1465),"")</f>
        <v/>
      </c>
      <c r="L1465">
        <f>IF(ISNUMBER(B1465),INT(B1465),0)</f>
        <v/>
      </c>
    </row>
    <row r="1466">
      <c r="A1466" s="1" t="n"/>
      <c r="B1466" s="17" t="n"/>
      <c r="C1466" s="18" t="n"/>
      <c r="D1466" s="19" t="n"/>
      <c r="E1466" s="23" t="n"/>
      <c r="F1466" s="21" t="n"/>
      <c r="G1466" s="11">
        <f>IF(C1466="","",IFERROR(INDEX(Crops!$D$6:$D$65,MATCH(C1466,Crops!$B$6:$B$65,0))&amp;"",""))</f>
        <v/>
      </c>
      <c r="H1466" s="12">
        <f>IF(OR(C1466="",NOT(ISNUMBER(E1466))),"",E1466*N(IFERROR(INDEX(Crops!$E$6:$E$65,MATCH(C1466,Crops!$B$6:$B$65,0)),0)))</f>
        <v/>
      </c>
      <c r="I1466" s="11">
        <f>IF(AND(C1466="",E1466=""),"",IF(NOT(ISNUMBER(B1466)),"Needs a date",IF(C1466="","Needs a crop",IF(COUNTIF(Crops!$B$6:$B$65,C1466)=0,"Not on Crops",IF(NOT(ISNUMBER(E1466)),"Needs the amount",IF(AND(D1466&lt;&gt;"",COUNTIF(Beds!$B$6:$B$35,D1466)=0),"Not on Beds",""))))))</f>
        <v/>
      </c>
      <c r="J1466" s="1">
        <f>IF(ISNUMBER(B1466),YEAR(B1466),"")</f>
        <v/>
      </c>
      <c r="K1466">
        <f>IF(ISNUMBER(B1466),YEAR(B1466)*100+MONTH(B1466),"")</f>
        <v/>
      </c>
      <c r="L1466">
        <f>IF(ISNUMBER(B1466),INT(B1466),0)</f>
        <v/>
      </c>
    </row>
    <row r="1467">
      <c r="A1467" s="1" t="n"/>
      <c r="B1467" s="17" t="n"/>
      <c r="C1467" s="18" t="n"/>
      <c r="D1467" s="19" t="n"/>
      <c r="E1467" s="23" t="n"/>
      <c r="F1467" s="21" t="n"/>
      <c r="G1467" s="11">
        <f>IF(C1467="","",IFERROR(INDEX(Crops!$D$6:$D$65,MATCH(C1467,Crops!$B$6:$B$65,0))&amp;"",""))</f>
        <v/>
      </c>
      <c r="H1467" s="12">
        <f>IF(OR(C1467="",NOT(ISNUMBER(E1467))),"",E1467*N(IFERROR(INDEX(Crops!$E$6:$E$65,MATCH(C1467,Crops!$B$6:$B$65,0)),0)))</f>
        <v/>
      </c>
      <c r="I1467" s="11">
        <f>IF(AND(C1467="",E1467=""),"",IF(NOT(ISNUMBER(B1467)),"Needs a date",IF(C1467="","Needs a crop",IF(COUNTIF(Crops!$B$6:$B$65,C1467)=0,"Not on Crops",IF(NOT(ISNUMBER(E1467)),"Needs the amount",IF(AND(D1467&lt;&gt;"",COUNTIF(Beds!$B$6:$B$35,D1467)=0),"Not on Beds",""))))))</f>
        <v/>
      </c>
      <c r="J1467" s="1">
        <f>IF(ISNUMBER(B1467),YEAR(B1467),"")</f>
        <v/>
      </c>
      <c r="K1467">
        <f>IF(ISNUMBER(B1467),YEAR(B1467)*100+MONTH(B1467),"")</f>
        <v/>
      </c>
      <c r="L1467">
        <f>IF(ISNUMBER(B1467),INT(B1467),0)</f>
        <v/>
      </c>
    </row>
    <row r="1468">
      <c r="A1468" s="1" t="n"/>
      <c r="B1468" s="17" t="n"/>
      <c r="C1468" s="18" t="n"/>
      <c r="D1468" s="19" t="n"/>
      <c r="E1468" s="23" t="n"/>
      <c r="F1468" s="21" t="n"/>
      <c r="G1468" s="11">
        <f>IF(C1468="","",IFERROR(INDEX(Crops!$D$6:$D$65,MATCH(C1468,Crops!$B$6:$B$65,0))&amp;"",""))</f>
        <v/>
      </c>
      <c r="H1468" s="12">
        <f>IF(OR(C1468="",NOT(ISNUMBER(E1468))),"",E1468*N(IFERROR(INDEX(Crops!$E$6:$E$65,MATCH(C1468,Crops!$B$6:$B$65,0)),0)))</f>
        <v/>
      </c>
      <c r="I1468" s="11">
        <f>IF(AND(C1468="",E1468=""),"",IF(NOT(ISNUMBER(B1468)),"Needs a date",IF(C1468="","Needs a crop",IF(COUNTIF(Crops!$B$6:$B$65,C1468)=0,"Not on Crops",IF(NOT(ISNUMBER(E1468)),"Needs the amount",IF(AND(D1468&lt;&gt;"",COUNTIF(Beds!$B$6:$B$35,D1468)=0),"Not on Beds",""))))))</f>
        <v/>
      </c>
      <c r="J1468" s="1">
        <f>IF(ISNUMBER(B1468),YEAR(B1468),"")</f>
        <v/>
      </c>
      <c r="K1468">
        <f>IF(ISNUMBER(B1468),YEAR(B1468)*100+MONTH(B1468),"")</f>
        <v/>
      </c>
      <c r="L1468">
        <f>IF(ISNUMBER(B1468),INT(B1468),0)</f>
        <v/>
      </c>
    </row>
    <row r="1469">
      <c r="A1469" s="1" t="n"/>
      <c r="B1469" s="17" t="n"/>
      <c r="C1469" s="18" t="n"/>
      <c r="D1469" s="19" t="n"/>
      <c r="E1469" s="23" t="n"/>
      <c r="F1469" s="21" t="n"/>
      <c r="G1469" s="11">
        <f>IF(C1469="","",IFERROR(INDEX(Crops!$D$6:$D$65,MATCH(C1469,Crops!$B$6:$B$65,0))&amp;"",""))</f>
        <v/>
      </c>
      <c r="H1469" s="12">
        <f>IF(OR(C1469="",NOT(ISNUMBER(E1469))),"",E1469*N(IFERROR(INDEX(Crops!$E$6:$E$65,MATCH(C1469,Crops!$B$6:$B$65,0)),0)))</f>
        <v/>
      </c>
      <c r="I1469" s="11">
        <f>IF(AND(C1469="",E1469=""),"",IF(NOT(ISNUMBER(B1469)),"Needs a date",IF(C1469="","Needs a crop",IF(COUNTIF(Crops!$B$6:$B$65,C1469)=0,"Not on Crops",IF(NOT(ISNUMBER(E1469)),"Needs the amount",IF(AND(D1469&lt;&gt;"",COUNTIF(Beds!$B$6:$B$35,D1469)=0),"Not on Beds",""))))))</f>
        <v/>
      </c>
      <c r="J1469" s="1">
        <f>IF(ISNUMBER(B1469),YEAR(B1469),"")</f>
        <v/>
      </c>
      <c r="K1469">
        <f>IF(ISNUMBER(B1469),YEAR(B1469)*100+MONTH(B1469),"")</f>
        <v/>
      </c>
      <c r="L1469">
        <f>IF(ISNUMBER(B1469),INT(B1469),0)</f>
        <v/>
      </c>
    </row>
    <row r="1470">
      <c r="A1470" s="1" t="n"/>
      <c r="B1470" s="17" t="n"/>
      <c r="C1470" s="18" t="n"/>
      <c r="D1470" s="19" t="n"/>
      <c r="E1470" s="23" t="n"/>
      <c r="F1470" s="21" t="n"/>
      <c r="G1470" s="11">
        <f>IF(C1470="","",IFERROR(INDEX(Crops!$D$6:$D$65,MATCH(C1470,Crops!$B$6:$B$65,0))&amp;"",""))</f>
        <v/>
      </c>
      <c r="H1470" s="12">
        <f>IF(OR(C1470="",NOT(ISNUMBER(E1470))),"",E1470*N(IFERROR(INDEX(Crops!$E$6:$E$65,MATCH(C1470,Crops!$B$6:$B$65,0)),0)))</f>
        <v/>
      </c>
      <c r="I1470" s="11">
        <f>IF(AND(C1470="",E1470=""),"",IF(NOT(ISNUMBER(B1470)),"Needs a date",IF(C1470="","Needs a crop",IF(COUNTIF(Crops!$B$6:$B$65,C1470)=0,"Not on Crops",IF(NOT(ISNUMBER(E1470)),"Needs the amount",IF(AND(D1470&lt;&gt;"",COUNTIF(Beds!$B$6:$B$35,D1470)=0),"Not on Beds",""))))))</f>
        <v/>
      </c>
      <c r="J1470" s="1">
        <f>IF(ISNUMBER(B1470),YEAR(B1470),"")</f>
        <v/>
      </c>
      <c r="K1470">
        <f>IF(ISNUMBER(B1470),YEAR(B1470)*100+MONTH(B1470),"")</f>
        <v/>
      </c>
      <c r="L1470">
        <f>IF(ISNUMBER(B1470),INT(B1470),0)</f>
        <v/>
      </c>
    </row>
    <row r="1471">
      <c r="A1471" s="1" t="n"/>
      <c r="B1471" s="17" t="n"/>
      <c r="C1471" s="18" t="n"/>
      <c r="D1471" s="19" t="n"/>
      <c r="E1471" s="23" t="n"/>
      <c r="F1471" s="21" t="n"/>
      <c r="G1471" s="11">
        <f>IF(C1471="","",IFERROR(INDEX(Crops!$D$6:$D$65,MATCH(C1471,Crops!$B$6:$B$65,0))&amp;"",""))</f>
        <v/>
      </c>
      <c r="H1471" s="12">
        <f>IF(OR(C1471="",NOT(ISNUMBER(E1471))),"",E1471*N(IFERROR(INDEX(Crops!$E$6:$E$65,MATCH(C1471,Crops!$B$6:$B$65,0)),0)))</f>
        <v/>
      </c>
      <c r="I1471" s="11">
        <f>IF(AND(C1471="",E1471=""),"",IF(NOT(ISNUMBER(B1471)),"Needs a date",IF(C1471="","Needs a crop",IF(COUNTIF(Crops!$B$6:$B$65,C1471)=0,"Not on Crops",IF(NOT(ISNUMBER(E1471)),"Needs the amount",IF(AND(D1471&lt;&gt;"",COUNTIF(Beds!$B$6:$B$35,D1471)=0),"Not on Beds",""))))))</f>
        <v/>
      </c>
      <c r="J1471" s="1">
        <f>IF(ISNUMBER(B1471),YEAR(B1471),"")</f>
        <v/>
      </c>
      <c r="K1471">
        <f>IF(ISNUMBER(B1471),YEAR(B1471)*100+MONTH(B1471),"")</f>
        <v/>
      </c>
      <c r="L1471">
        <f>IF(ISNUMBER(B1471),INT(B1471),0)</f>
        <v/>
      </c>
    </row>
    <row r="1472">
      <c r="A1472" s="1" t="n"/>
      <c r="B1472" s="17" t="n"/>
      <c r="C1472" s="18" t="n"/>
      <c r="D1472" s="19" t="n"/>
      <c r="E1472" s="23" t="n"/>
      <c r="F1472" s="21" t="n"/>
      <c r="G1472" s="11">
        <f>IF(C1472="","",IFERROR(INDEX(Crops!$D$6:$D$65,MATCH(C1472,Crops!$B$6:$B$65,0))&amp;"",""))</f>
        <v/>
      </c>
      <c r="H1472" s="12">
        <f>IF(OR(C1472="",NOT(ISNUMBER(E1472))),"",E1472*N(IFERROR(INDEX(Crops!$E$6:$E$65,MATCH(C1472,Crops!$B$6:$B$65,0)),0)))</f>
        <v/>
      </c>
      <c r="I1472" s="11">
        <f>IF(AND(C1472="",E1472=""),"",IF(NOT(ISNUMBER(B1472)),"Needs a date",IF(C1472="","Needs a crop",IF(COUNTIF(Crops!$B$6:$B$65,C1472)=0,"Not on Crops",IF(NOT(ISNUMBER(E1472)),"Needs the amount",IF(AND(D1472&lt;&gt;"",COUNTIF(Beds!$B$6:$B$35,D1472)=0),"Not on Beds",""))))))</f>
        <v/>
      </c>
      <c r="J1472" s="1">
        <f>IF(ISNUMBER(B1472),YEAR(B1472),"")</f>
        <v/>
      </c>
      <c r="K1472">
        <f>IF(ISNUMBER(B1472),YEAR(B1472)*100+MONTH(B1472),"")</f>
        <v/>
      </c>
      <c r="L1472">
        <f>IF(ISNUMBER(B1472),INT(B1472),0)</f>
        <v/>
      </c>
    </row>
    <row r="1473">
      <c r="A1473" s="1" t="n"/>
      <c r="B1473" s="17" t="n"/>
      <c r="C1473" s="18" t="n"/>
      <c r="D1473" s="19" t="n"/>
      <c r="E1473" s="23" t="n"/>
      <c r="F1473" s="21" t="n"/>
      <c r="G1473" s="11">
        <f>IF(C1473="","",IFERROR(INDEX(Crops!$D$6:$D$65,MATCH(C1473,Crops!$B$6:$B$65,0))&amp;"",""))</f>
        <v/>
      </c>
      <c r="H1473" s="12">
        <f>IF(OR(C1473="",NOT(ISNUMBER(E1473))),"",E1473*N(IFERROR(INDEX(Crops!$E$6:$E$65,MATCH(C1473,Crops!$B$6:$B$65,0)),0)))</f>
        <v/>
      </c>
      <c r="I1473" s="11">
        <f>IF(AND(C1473="",E1473=""),"",IF(NOT(ISNUMBER(B1473)),"Needs a date",IF(C1473="","Needs a crop",IF(COUNTIF(Crops!$B$6:$B$65,C1473)=0,"Not on Crops",IF(NOT(ISNUMBER(E1473)),"Needs the amount",IF(AND(D1473&lt;&gt;"",COUNTIF(Beds!$B$6:$B$35,D1473)=0),"Not on Beds",""))))))</f>
        <v/>
      </c>
      <c r="J1473" s="1">
        <f>IF(ISNUMBER(B1473),YEAR(B1473),"")</f>
        <v/>
      </c>
      <c r="K1473">
        <f>IF(ISNUMBER(B1473),YEAR(B1473)*100+MONTH(B1473),"")</f>
        <v/>
      </c>
      <c r="L1473">
        <f>IF(ISNUMBER(B1473),INT(B1473),0)</f>
        <v/>
      </c>
    </row>
    <row r="1474">
      <c r="A1474" s="1" t="n"/>
      <c r="B1474" s="17" t="n"/>
      <c r="C1474" s="18" t="n"/>
      <c r="D1474" s="19" t="n"/>
      <c r="E1474" s="23" t="n"/>
      <c r="F1474" s="21" t="n"/>
      <c r="G1474" s="11">
        <f>IF(C1474="","",IFERROR(INDEX(Crops!$D$6:$D$65,MATCH(C1474,Crops!$B$6:$B$65,0))&amp;"",""))</f>
        <v/>
      </c>
      <c r="H1474" s="12">
        <f>IF(OR(C1474="",NOT(ISNUMBER(E1474))),"",E1474*N(IFERROR(INDEX(Crops!$E$6:$E$65,MATCH(C1474,Crops!$B$6:$B$65,0)),0)))</f>
        <v/>
      </c>
      <c r="I1474" s="11">
        <f>IF(AND(C1474="",E1474=""),"",IF(NOT(ISNUMBER(B1474)),"Needs a date",IF(C1474="","Needs a crop",IF(COUNTIF(Crops!$B$6:$B$65,C1474)=0,"Not on Crops",IF(NOT(ISNUMBER(E1474)),"Needs the amount",IF(AND(D1474&lt;&gt;"",COUNTIF(Beds!$B$6:$B$35,D1474)=0),"Not on Beds",""))))))</f>
        <v/>
      </c>
      <c r="J1474" s="1">
        <f>IF(ISNUMBER(B1474),YEAR(B1474),"")</f>
        <v/>
      </c>
      <c r="K1474">
        <f>IF(ISNUMBER(B1474),YEAR(B1474)*100+MONTH(B1474),"")</f>
        <v/>
      </c>
      <c r="L1474">
        <f>IF(ISNUMBER(B1474),INT(B1474),0)</f>
        <v/>
      </c>
    </row>
    <row r="1475">
      <c r="A1475" s="1" t="n"/>
      <c r="B1475" s="17" t="n"/>
      <c r="C1475" s="18" t="n"/>
      <c r="D1475" s="19" t="n"/>
      <c r="E1475" s="23" t="n"/>
      <c r="F1475" s="21" t="n"/>
      <c r="G1475" s="11">
        <f>IF(C1475="","",IFERROR(INDEX(Crops!$D$6:$D$65,MATCH(C1475,Crops!$B$6:$B$65,0))&amp;"",""))</f>
        <v/>
      </c>
      <c r="H1475" s="12">
        <f>IF(OR(C1475="",NOT(ISNUMBER(E1475))),"",E1475*N(IFERROR(INDEX(Crops!$E$6:$E$65,MATCH(C1475,Crops!$B$6:$B$65,0)),0)))</f>
        <v/>
      </c>
      <c r="I1475" s="11">
        <f>IF(AND(C1475="",E1475=""),"",IF(NOT(ISNUMBER(B1475)),"Needs a date",IF(C1475="","Needs a crop",IF(COUNTIF(Crops!$B$6:$B$65,C1475)=0,"Not on Crops",IF(NOT(ISNUMBER(E1475)),"Needs the amount",IF(AND(D1475&lt;&gt;"",COUNTIF(Beds!$B$6:$B$35,D1475)=0),"Not on Beds",""))))))</f>
        <v/>
      </c>
      <c r="J1475" s="1">
        <f>IF(ISNUMBER(B1475),YEAR(B1475),"")</f>
        <v/>
      </c>
      <c r="K1475">
        <f>IF(ISNUMBER(B1475),YEAR(B1475)*100+MONTH(B1475),"")</f>
        <v/>
      </c>
      <c r="L1475">
        <f>IF(ISNUMBER(B1475),INT(B1475),0)</f>
        <v/>
      </c>
    </row>
    <row r="1476">
      <c r="A1476" s="1" t="n"/>
      <c r="B1476" s="17" t="n"/>
      <c r="C1476" s="18" t="n"/>
      <c r="D1476" s="19" t="n"/>
      <c r="E1476" s="23" t="n"/>
      <c r="F1476" s="21" t="n"/>
      <c r="G1476" s="11">
        <f>IF(C1476="","",IFERROR(INDEX(Crops!$D$6:$D$65,MATCH(C1476,Crops!$B$6:$B$65,0))&amp;"",""))</f>
        <v/>
      </c>
      <c r="H1476" s="12">
        <f>IF(OR(C1476="",NOT(ISNUMBER(E1476))),"",E1476*N(IFERROR(INDEX(Crops!$E$6:$E$65,MATCH(C1476,Crops!$B$6:$B$65,0)),0)))</f>
        <v/>
      </c>
      <c r="I1476" s="11">
        <f>IF(AND(C1476="",E1476=""),"",IF(NOT(ISNUMBER(B1476)),"Needs a date",IF(C1476="","Needs a crop",IF(COUNTIF(Crops!$B$6:$B$65,C1476)=0,"Not on Crops",IF(NOT(ISNUMBER(E1476)),"Needs the amount",IF(AND(D1476&lt;&gt;"",COUNTIF(Beds!$B$6:$B$35,D1476)=0),"Not on Beds",""))))))</f>
        <v/>
      </c>
      <c r="J1476" s="1">
        <f>IF(ISNUMBER(B1476),YEAR(B1476),"")</f>
        <v/>
      </c>
      <c r="K1476">
        <f>IF(ISNUMBER(B1476),YEAR(B1476)*100+MONTH(B1476),"")</f>
        <v/>
      </c>
      <c r="L1476">
        <f>IF(ISNUMBER(B1476),INT(B1476),0)</f>
        <v/>
      </c>
    </row>
    <row r="1477">
      <c r="A1477" s="1" t="n"/>
      <c r="B1477" s="17" t="n"/>
      <c r="C1477" s="18" t="n"/>
      <c r="D1477" s="19" t="n"/>
      <c r="E1477" s="23" t="n"/>
      <c r="F1477" s="21" t="n"/>
      <c r="G1477" s="11">
        <f>IF(C1477="","",IFERROR(INDEX(Crops!$D$6:$D$65,MATCH(C1477,Crops!$B$6:$B$65,0))&amp;"",""))</f>
        <v/>
      </c>
      <c r="H1477" s="12">
        <f>IF(OR(C1477="",NOT(ISNUMBER(E1477))),"",E1477*N(IFERROR(INDEX(Crops!$E$6:$E$65,MATCH(C1477,Crops!$B$6:$B$65,0)),0)))</f>
        <v/>
      </c>
      <c r="I1477" s="11">
        <f>IF(AND(C1477="",E1477=""),"",IF(NOT(ISNUMBER(B1477)),"Needs a date",IF(C1477="","Needs a crop",IF(COUNTIF(Crops!$B$6:$B$65,C1477)=0,"Not on Crops",IF(NOT(ISNUMBER(E1477)),"Needs the amount",IF(AND(D1477&lt;&gt;"",COUNTIF(Beds!$B$6:$B$35,D1477)=0),"Not on Beds",""))))))</f>
        <v/>
      </c>
      <c r="J1477" s="1">
        <f>IF(ISNUMBER(B1477),YEAR(B1477),"")</f>
        <v/>
      </c>
      <c r="K1477">
        <f>IF(ISNUMBER(B1477),YEAR(B1477)*100+MONTH(B1477),"")</f>
        <v/>
      </c>
      <c r="L1477">
        <f>IF(ISNUMBER(B1477),INT(B1477),0)</f>
        <v/>
      </c>
    </row>
    <row r="1478">
      <c r="A1478" s="1" t="n"/>
      <c r="B1478" s="17" t="n"/>
      <c r="C1478" s="18" t="n"/>
      <c r="D1478" s="19" t="n"/>
      <c r="E1478" s="23" t="n"/>
      <c r="F1478" s="21" t="n"/>
      <c r="G1478" s="11">
        <f>IF(C1478="","",IFERROR(INDEX(Crops!$D$6:$D$65,MATCH(C1478,Crops!$B$6:$B$65,0))&amp;"",""))</f>
        <v/>
      </c>
      <c r="H1478" s="12">
        <f>IF(OR(C1478="",NOT(ISNUMBER(E1478))),"",E1478*N(IFERROR(INDEX(Crops!$E$6:$E$65,MATCH(C1478,Crops!$B$6:$B$65,0)),0)))</f>
        <v/>
      </c>
      <c r="I1478" s="11">
        <f>IF(AND(C1478="",E1478=""),"",IF(NOT(ISNUMBER(B1478)),"Needs a date",IF(C1478="","Needs a crop",IF(COUNTIF(Crops!$B$6:$B$65,C1478)=0,"Not on Crops",IF(NOT(ISNUMBER(E1478)),"Needs the amount",IF(AND(D1478&lt;&gt;"",COUNTIF(Beds!$B$6:$B$35,D1478)=0),"Not on Beds",""))))))</f>
        <v/>
      </c>
      <c r="J1478" s="1">
        <f>IF(ISNUMBER(B1478),YEAR(B1478),"")</f>
        <v/>
      </c>
      <c r="K1478">
        <f>IF(ISNUMBER(B1478),YEAR(B1478)*100+MONTH(B1478),"")</f>
        <v/>
      </c>
      <c r="L1478">
        <f>IF(ISNUMBER(B1478),INT(B1478),0)</f>
        <v/>
      </c>
    </row>
    <row r="1479">
      <c r="A1479" s="1" t="n"/>
      <c r="B1479" s="17" t="n"/>
      <c r="C1479" s="18" t="n"/>
      <c r="D1479" s="19" t="n"/>
      <c r="E1479" s="23" t="n"/>
      <c r="F1479" s="21" t="n"/>
      <c r="G1479" s="11">
        <f>IF(C1479="","",IFERROR(INDEX(Crops!$D$6:$D$65,MATCH(C1479,Crops!$B$6:$B$65,0))&amp;"",""))</f>
        <v/>
      </c>
      <c r="H1479" s="12">
        <f>IF(OR(C1479="",NOT(ISNUMBER(E1479))),"",E1479*N(IFERROR(INDEX(Crops!$E$6:$E$65,MATCH(C1479,Crops!$B$6:$B$65,0)),0)))</f>
        <v/>
      </c>
      <c r="I1479" s="11">
        <f>IF(AND(C1479="",E1479=""),"",IF(NOT(ISNUMBER(B1479)),"Needs a date",IF(C1479="","Needs a crop",IF(COUNTIF(Crops!$B$6:$B$65,C1479)=0,"Not on Crops",IF(NOT(ISNUMBER(E1479)),"Needs the amount",IF(AND(D1479&lt;&gt;"",COUNTIF(Beds!$B$6:$B$35,D1479)=0),"Not on Beds",""))))))</f>
        <v/>
      </c>
      <c r="J1479" s="1">
        <f>IF(ISNUMBER(B1479),YEAR(B1479),"")</f>
        <v/>
      </c>
      <c r="K1479">
        <f>IF(ISNUMBER(B1479),YEAR(B1479)*100+MONTH(B1479),"")</f>
        <v/>
      </c>
      <c r="L1479">
        <f>IF(ISNUMBER(B1479),INT(B1479),0)</f>
        <v/>
      </c>
    </row>
    <row r="1480">
      <c r="A1480" s="1" t="n"/>
      <c r="B1480" s="17" t="n"/>
      <c r="C1480" s="18" t="n"/>
      <c r="D1480" s="19" t="n"/>
      <c r="E1480" s="23" t="n"/>
      <c r="F1480" s="21" t="n"/>
      <c r="G1480" s="11">
        <f>IF(C1480="","",IFERROR(INDEX(Crops!$D$6:$D$65,MATCH(C1480,Crops!$B$6:$B$65,0))&amp;"",""))</f>
        <v/>
      </c>
      <c r="H1480" s="12">
        <f>IF(OR(C1480="",NOT(ISNUMBER(E1480))),"",E1480*N(IFERROR(INDEX(Crops!$E$6:$E$65,MATCH(C1480,Crops!$B$6:$B$65,0)),0)))</f>
        <v/>
      </c>
      <c r="I1480" s="11">
        <f>IF(AND(C1480="",E1480=""),"",IF(NOT(ISNUMBER(B1480)),"Needs a date",IF(C1480="","Needs a crop",IF(COUNTIF(Crops!$B$6:$B$65,C1480)=0,"Not on Crops",IF(NOT(ISNUMBER(E1480)),"Needs the amount",IF(AND(D1480&lt;&gt;"",COUNTIF(Beds!$B$6:$B$35,D1480)=0),"Not on Beds",""))))))</f>
        <v/>
      </c>
      <c r="J1480" s="1">
        <f>IF(ISNUMBER(B1480),YEAR(B1480),"")</f>
        <v/>
      </c>
      <c r="K1480">
        <f>IF(ISNUMBER(B1480),YEAR(B1480)*100+MONTH(B1480),"")</f>
        <v/>
      </c>
      <c r="L1480">
        <f>IF(ISNUMBER(B1480),INT(B1480),0)</f>
        <v/>
      </c>
    </row>
    <row r="1481">
      <c r="A1481" s="1" t="n"/>
      <c r="B1481" s="17" t="n"/>
      <c r="C1481" s="18" t="n"/>
      <c r="D1481" s="19" t="n"/>
      <c r="E1481" s="23" t="n"/>
      <c r="F1481" s="21" t="n"/>
      <c r="G1481" s="11">
        <f>IF(C1481="","",IFERROR(INDEX(Crops!$D$6:$D$65,MATCH(C1481,Crops!$B$6:$B$65,0))&amp;"",""))</f>
        <v/>
      </c>
      <c r="H1481" s="12">
        <f>IF(OR(C1481="",NOT(ISNUMBER(E1481))),"",E1481*N(IFERROR(INDEX(Crops!$E$6:$E$65,MATCH(C1481,Crops!$B$6:$B$65,0)),0)))</f>
        <v/>
      </c>
      <c r="I1481" s="11">
        <f>IF(AND(C1481="",E1481=""),"",IF(NOT(ISNUMBER(B1481)),"Needs a date",IF(C1481="","Needs a crop",IF(COUNTIF(Crops!$B$6:$B$65,C1481)=0,"Not on Crops",IF(NOT(ISNUMBER(E1481)),"Needs the amount",IF(AND(D1481&lt;&gt;"",COUNTIF(Beds!$B$6:$B$35,D1481)=0),"Not on Beds",""))))))</f>
        <v/>
      </c>
      <c r="J1481" s="1">
        <f>IF(ISNUMBER(B1481),YEAR(B1481),"")</f>
        <v/>
      </c>
      <c r="K1481">
        <f>IF(ISNUMBER(B1481),YEAR(B1481)*100+MONTH(B1481),"")</f>
        <v/>
      </c>
      <c r="L1481">
        <f>IF(ISNUMBER(B1481),INT(B1481),0)</f>
        <v/>
      </c>
    </row>
    <row r="1482">
      <c r="A1482" s="1" t="n"/>
      <c r="B1482" s="17" t="n"/>
      <c r="C1482" s="18" t="n"/>
      <c r="D1482" s="19" t="n"/>
      <c r="E1482" s="23" t="n"/>
      <c r="F1482" s="21" t="n"/>
      <c r="G1482" s="11">
        <f>IF(C1482="","",IFERROR(INDEX(Crops!$D$6:$D$65,MATCH(C1482,Crops!$B$6:$B$65,0))&amp;"",""))</f>
        <v/>
      </c>
      <c r="H1482" s="12">
        <f>IF(OR(C1482="",NOT(ISNUMBER(E1482))),"",E1482*N(IFERROR(INDEX(Crops!$E$6:$E$65,MATCH(C1482,Crops!$B$6:$B$65,0)),0)))</f>
        <v/>
      </c>
      <c r="I1482" s="11">
        <f>IF(AND(C1482="",E1482=""),"",IF(NOT(ISNUMBER(B1482)),"Needs a date",IF(C1482="","Needs a crop",IF(COUNTIF(Crops!$B$6:$B$65,C1482)=0,"Not on Crops",IF(NOT(ISNUMBER(E1482)),"Needs the amount",IF(AND(D1482&lt;&gt;"",COUNTIF(Beds!$B$6:$B$35,D1482)=0),"Not on Beds",""))))))</f>
        <v/>
      </c>
      <c r="J1482" s="1">
        <f>IF(ISNUMBER(B1482),YEAR(B1482),"")</f>
        <v/>
      </c>
      <c r="K1482">
        <f>IF(ISNUMBER(B1482),YEAR(B1482)*100+MONTH(B1482),"")</f>
        <v/>
      </c>
      <c r="L1482">
        <f>IF(ISNUMBER(B1482),INT(B1482),0)</f>
        <v/>
      </c>
    </row>
    <row r="1483">
      <c r="A1483" s="1" t="n"/>
      <c r="B1483" s="17" t="n"/>
      <c r="C1483" s="18" t="n"/>
      <c r="D1483" s="19" t="n"/>
      <c r="E1483" s="23" t="n"/>
      <c r="F1483" s="21" t="n"/>
      <c r="G1483" s="11">
        <f>IF(C1483="","",IFERROR(INDEX(Crops!$D$6:$D$65,MATCH(C1483,Crops!$B$6:$B$65,0))&amp;"",""))</f>
        <v/>
      </c>
      <c r="H1483" s="12">
        <f>IF(OR(C1483="",NOT(ISNUMBER(E1483))),"",E1483*N(IFERROR(INDEX(Crops!$E$6:$E$65,MATCH(C1483,Crops!$B$6:$B$65,0)),0)))</f>
        <v/>
      </c>
      <c r="I1483" s="11">
        <f>IF(AND(C1483="",E1483=""),"",IF(NOT(ISNUMBER(B1483)),"Needs a date",IF(C1483="","Needs a crop",IF(COUNTIF(Crops!$B$6:$B$65,C1483)=0,"Not on Crops",IF(NOT(ISNUMBER(E1483)),"Needs the amount",IF(AND(D1483&lt;&gt;"",COUNTIF(Beds!$B$6:$B$35,D1483)=0),"Not on Beds",""))))))</f>
        <v/>
      </c>
      <c r="J1483" s="1">
        <f>IF(ISNUMBER(B1483),YEAR(B1483),"")</f>
        <v/>
      </c>
      <c r="K1483">
        <f>IF(ISNUMBER(B1483),YEAR(B1483)*100+MONTH(B1483),"")</f>
        <v/>
      </c>
      <c r="L1483">
        <f>IF(ISNUMBER(B1483),INT(B1483),0)</f>
        <v/>
      </c>
    </row>
    <row r="1484">
      <c r="A1484" s="1" t="n"/>
      <c r="B1484" s="17" t="n"/>
      <c r="C1484" s="18" t="n"/>
      <c r="D1484" s="19" t="n"/>
      <c r="E1484" s="23" t="n"/>
      <c r="F1484" s="21" t="n"/>
      <c r="G1484" s="11">
        <f>IF(C1484="","",IFERROR(INDEX(Crops!$D$6:$D$65,MATCH(C1484,Crops!$B$6:$B$65,0))&amp;"",""))</f>
        <v/>
      </c>
      <c r="H1484" s="12">
        <f>IF(OR(C1484="",NOT(ISNUMBER(E1484))),"",E1484*N(IFERROR(INDEX(Crops!$E$6:$E$65,MATCH(C1484,Crops!$B$6:$B$65,0)),0)))</f>
        <v/>
      </c>
      <c r="I1484" s="11">
        <f>IF(AND(C1484="",E1484=""),"",IF(NOT(ISNUMBER(B1484)),"Needs a date",IF(C1484="","Needs a crop",IF(COUNTIF(Crops!$B$6:$B$65,C1484)=0,"Not on Crops",IF(NOT(ISNUMBER(E1484)),"Needs the amount",IF(AND(D1484&lt;&gt;"",COUNTIF(Beds!$B$6:$B$35,D1484)=0),"Not on Beds",""))))))</f>
        <v/>
      </c>
      <c r="J1484" s="1">
        <f>IF(ISNUMBER(B1484),YEAR(B1484),"")</f>
        <v/>
      </c>
      <c r="K1484">
        <f>IF(ISNUMBER(B1484),YEAR(B1484)*100+MONTH(B1484),"")</f>
        <v/>
      </c>
      <c r="L1484">
        <f>IF(ISNUMBER(B1484),INT(B1484),0)</f>
        <v/>
      </c>
    </row>
    <row r="1485">
      <c r="A1485" s="1" t="n"/>
      <c r="B1485" s="17" t="n"/>
      <c r="C1485" s="18" t="n"/>
      <c r="D1485" s="19" t="n"/>
      <c r="E1485" s="23" t="n"/>
      <c r="F1485" s="21" t="n"/>
      <c r="G1485" s="11">
        <f>IF(C1485="","",IFERROR(INDEX(Crops!$D$6:$D$65,MATCH(C1485,Crops!$B$6:$B$65,0))&amp;"",""))</f>
        <v/>
      </c>
      <c r="H1485" s="12">
        <f>IF(OR(C1485="",NOT(ISNUMBER(E1485))),"",E1485*N(IFERROR(INDEX(Crops!$E$6:$E$65,MATCH(C1485,Crops!$B$6:$B$65,0)),0)))</f>
        <v/>
      </c>
      <c r="I1485" s="11">
        <f>IF(AND(C1485="",E1485=""),"",IF(NOT(ISNUMBER(B1485)),"Needs a date",IF(C1485="","Needs a crop",IF(COUNTIF(Crops!$B$6:$B$65,C1485)=0,"Not on Crops",IF(NOT(ISNUMBER(E1485)),"Needs the amount",IF(AND(D1485&lt;&gt;"",COUNTIF(Beds!$B$6:$B$35,D1485)=0),"Not on Beds",""))))))</f>
        <v/>
      </c>
      <c r="J1485" s="1">
        <f>IF(ISNUMBER(B1485),YEAR(B1485),"")</f>
        <v/>
      </c>
      <c r="K1485">
        <f>IF(ISNUMBER(B1485),YEAR(B1485)*100+MONTH(B1485),"")</f>
        <v/>
      </c>
      <c r="L1485">
        <f>IF(ISNUMBER(B1485),INT(B1485),0)</f>
        <v/>
      </c>
    </row>
    <row r="1486">
      <c r="A1486" s="1" t="n"/>
      <c r="B1486" s="17" t="n"/>
      <c r="C1486" s="18" t="n"/>
      <c r="D1486" s="19" t="n"/>
      <c r="E1486" s="23" t="n"/>
      <c r="F1486" s="21" t="n"/>
      <c r="G1486" s="11">
        <f>IF(C1486="","",IFERROR(INDEX(Crops!$D$6:$D$65,MATCH(C1486,Crops!$B$6:$B$65,0))&amp;"",""))</f>
        <v/>
      </c>
      <c r="H1486" s="12">
        <f>IF(OR(C1486="",NOT(ISNUMBER(E1486))),"",E1486*N(IFERROR(INDEX(Crops!$E$6:$E$65,MATCH(C1486,Crops!$B$6:$B$65,0)),0)))</f>
        <v/>
      </c>
      <c r="I1486" s="11">
        <f>IF(AND(C1486="",E1486=""),"",IF(NOT(ISNUMBER(B1486)),"Needs a date",IF(C1486="","Needs a crop",IF(COUNTIF(Crops!$B$6:$B$65,C1486)=0,"Not on Crops",IF(NOT(ISNUMBER(E1486)),"Needs the amount",IF(AND(D1486&lt;&gt;"",COUNTIF(Beds!$B$6:$B$35,D1486)=0),"Not on Beds",""))))))</f>
        <v/>
      </c>
      <c r="J1486" s="1">
        <f>IF(ISNUMBER(B1486),YEAR(B1486),"")</f>
        <v/>
      </c>
      <c r="K1486">
        <f>IF(ISNUMBER(B1486),YEAR(B1486)*100+MONTH(B1486),"")</f>
        <v/>
      </c>
      <c r="L1486">
        <f>IF(ISNUMBER(B1486),INT(B1486),0)</f>
        <v/>
      </c>
    </row>
    <row r="1487">
      <c r="A1487" s="1" t="n"/>
      <c r="B1487" s="17" t="n"/>
      <c r="C1487" s="18" t="n"/>
      <c r="D1487" s="19" t="n"/>
      <c r="E1487" s="23" t="n"/>
      <c r="F1487" s="21" t="n"/>
      <c r="G1487" s="11">
        <f>IF(C1487="","",IFERROR(INDEX(Crops!$D$6:$D$65,MATCH(C1487,Crops!$B$6:$B$65,0))&amp;"",""))</f>
        <v/>
      </c>
      <c r="H1487" s="12">
        <f>IF(OR(C1487="",NOT(ISNUMBER(E1487))),"",E1487*N(IFERROR(INDEX(Crops!$E$6:$E$65,MATCH(C1487,Crops!$B$6:$B$65,0)),0)))</f>
        <v/>
      </c>
      <c r="I1487" s="11">
        <f>IF(AND(C1487="",E1487=""),"",IF(NOT(ISNUMBER(B1487)),"Needs a date",IF(C1487="","Needs a crop",IF(COUNTIF(Crops!$B$6:$B$65,C1487)=0,"Not on Crops",IF(NOT(ISNUMBER(E1487)),"Needs the amount",IF(AND(D1487&lt;&gt;"",COUNTIF(Beds!$B$6:$B$35,D1487)=0),"Not on Beds",""))))))</f>
        <v/>
      </c>
      <c r="J1487" s="1">
        <f>IF(ISNUMBER(B1487),YEAR(B1487),"")</f>
        <v/>
      </c>
      <c r="K1487">
        <f>IF(ISNUMBER(B1487),YEAR(B1487)*100+MONTH(B1487),"")</f>
        <v/>
      </c>
      <c r="L1487">
        <f>IF(ISNUMBER(B1487),INT(B1487),0)</f>
        <v/>
      </c>
    </row>
    <row r="1488">
      <c r="A1488" s="1" t="n"/>
      <c r="B1488" s="17" t="n"/>
      <c r="C1488" s="18" t="n"/>
      <c r="D1488" s="19" t="n"/>
      <c r="E1488" s="23" t="n"/>
      <c r="F1488" s="21" t="n"/>
      <c r="G1488" s="11">
        <f>IF(C1488="","",IFERROR(INDEX(Crops!$D$6:$D$65,MATCH(C1488,Crops!$B$6:$B$65,0))&amp;"",""))</f>
        <v/>
      </c>
      <c r="H1488" s="12">
        <f>IF(OR(C1488="",NOT(ISNUMBER(E1488))),"",E1488*N(IFERROR(INDEX(Crops!$E$6:$E$65,MATCH(C1488,Crops!$B$6:$B$65,0)),0)))</f>
        <v/>
      </c>
      <c r="I1488" s="11">
        <f>IF(AND(C1488="",E1488=""),"",IF(NOT(ISNUMBER(B1488)),"Needs a date",IF(C1488="","Needs a crop",IF(COUNTIF(Crops!$B$6:$B$65,C1488)=0,"Not on Crops",IF(NOT(ISNUMBER(E1488)),"Needs the amount",IF(AND(D1488&lt;&gt;"",COUNTIF(Beds!$B$6:$B$35,D1488)=0),"Not on Beds",""))))))</f>
        <v/>
      </c>
      <c r="J1488" s="1">
        <f>IF(ISNUMBER(B1488),YEAR(B1488),"")</f>
        <v/>
      </c>
      <c r="K1488">
        <f>IF(ISNUMBER(B1488),YEAR(B1488)*100+MONTH(B1488),"")</f>
        <v/>
      </c>
      <c r="L1488">
        <f>IF(ISNUMBER(B1488),INT(B1488),0)</f>
        <v/>
      </c>
    </row>
    <row r="1489">
      <c r="A1489" s="1" t="n"/>
      <c r="B1489" s="17" t="n"/>
      <c r="C1489" s="18" t="n"/>
      <c r="D1489" s="19" t="n"/>
      <c r="E1489" s="23" t="n"/>
      <c r="F1489" s="21" t="n"/>
      <c r="G1489" s="11">
        <f>IF(C1489="","",IFERROR(INDEX(Crops!$D$6:$D$65,MATCH(C1489,Crops!$B$6:$B$65,0))&amp;"",""))</f>
        <v/>
      </c>
      <c r="H1489" s="12">
        <f>IF(OR(C1489="",NOT(ISNUMBER(E1489))),"",E1489*N(IFERROR(INDEX(Crops!$E$6:$E$65,MATCH(C1489,Crops!$B$6:$B$65,0)),0)))</f>
        <v/>
      </c>
      <c r="I1489" s="11">
        <f>IF(AND(C1489="",E1489=""),"",IF(NOT(ISNUMBER(B1489)),"Needs a date",IF(C1489="","Needs a crop",IF(COUNTIF(Crops!$B$6:$B$65,C1489)=0,"Not on Crops",IF(NOT(ISNUMBER(E1489)),"Needs the amount",IF(AND(D1489&lt;&gt;"",COUNTIF(Beds!$B$6:$B$35,D1489)=0),"Not on Beds",""))))))</f>
        <v/>
      </c>
      <c r="J1489" s="1">
        <f>IF(ISNUMBER(B1489),YEAR(B1489),"")</f>
        <v/>
      </c>
      <c r="K1489">
        <f>IF(ISNUMBER(B1489),YEAR(B1489)*100+MONTH(B1489),"")</f>
        <v/>
      </c>
      <c r="L1489">
        <f>IF(ISNUMBER(B1489),INT(B1489),0)</f>
        <v/>
      </c>
    </row>
    <row r="1490">
      <c r="A1490" s="1" t="n"/>
      <c r="B1490" s="17" t="n"/>
      <c r="C1490" s="18" t="n"/>
      <c r="D1490" s="19" t="n"/>
      <c r="E1490" s="23" t="n"/>
      <c r="F1490" s="21" t="n"/>
      <c r="G1490" s="11">
        <f>IF(C1490="","",IFERROR(INDEX(Crops!$D$6:$D$65,MATCH(C1490,Crops!$B$6:$B$65,0))&amp;"",""))</f>
        <v/>
      </c>
      <c r="H1490" s="12">
        <f>IF(OR(C1490="",NOT(ISNUMBER(E1490))),"",E1490*N(IFERROR(INDEX(Crops!$E$6:$E$65,MATCH(C1490,Crops!$B$6:$B$65,0)),0)))</f>
        <v/>
      </c>
      <c r="I1490" s="11">
        <f>IF(AND(C1490="",E1490=""),"",IF(NOT(ISNUMBER(B1490)),"Needs a date",IF(C1490="","Needs a crop",IF(COUNTIF(Crops!$B$6:$B$65,C1490)=0,"Not on Crops",IF(NOT(ISNUMBER(E1490)),"Needs the amount",IF(AND(D1490&lt;&gt;"",COUNTIF(Beds!$B$6:$B$35,D1490)=0),"Not on Beds",""))))))</f>
        <v/>
      </c>
      <c r="J1490" s="1">
        <f>IF(ISNUMBER(B1490),YEAR(B1490),"")</f>
        <v/>
      </c>
      <c r="K1490">
        <f>IF(ISNUMBER(B1490),YEAR(B1490)*100+MONTH(B1490),"")</f>
        <v/>
      </c>
      <c r="L1490">
        <f>IF(ISNUMBER(B1490),INT(B1490),0)</f>
        <v/>
      </c>
    </row>
    <row r="1491">
      <c r="A1491" s="1" t="n"/>
      <c r="B1491" s="17" t="n"/>
      <c r="C1491" s="18" t="n"/>
      <c r="D1491" s="19" t="n"/>
      <c r="E1491" s="23" t="n"/>
      <c r="F1491" s="21" t="n"/>
      <c r="G1491" s="11">
        <f>IF(C1491="","",IFERROR(INDEX(Crops!$D$6:$D$65,MATCH(C1491,Crops!$B$6:$B$65,0))&amp;"",""))</f>
        <v/>
      </c>
      <c r="H1491" s="12">
        <f>IF(OR(C1491="",NOT(ISNUMBER(E1491))),"",E1491*N(IFERROR(INDEX(Crops!$E$6:$E$65,MATCH(C1491,Crops!$B$6:$B$65,0)),0)))</f>
        <v/>
      </c>
      <c r="I1491" s="11">
        <f>IF(AND(C1491="",E1491=""),"",IF(NOT(ISNUMBER(B1491)),"Needs a date",IF(C1491="","Needs a crop",IF(COUNTIF(Crops!$B$6:$B$65,C1491)=0,"Not on Crops",IF(NOT(ISNUMBER(E1491)),"Needs the amount",IF(AND(D1491&lt;&gt;"",COUNTIF(Beds!$B$6:$B$35,D1491)=0),"Not on Beds",""))))))</f>
        <v/>
      </c>
      <c r="J1491" s="1">
        <f>IF(ISNUMBER(B1491),YEAR(B1491),"")</f>
        <v/>
      </c>
      <c r="K1491">
        <f>IF(ISNUMBER(B1491),YEAR(B1491)*100+MONTH(B1491),"")</f>
        <v/>
      </c>
      <c r="L1491">
        <f>IF(ISNUMBER(B1491),INT(B1491),0)</f>
        <v/>
      </c>
    </row>
    <row r="1492">
      <c r="A1492" s="1" t="n"/>
      <c r="B1492" s="17" t="n"/>
      <c r="C1492" s="18" t="n"/>
      <c r="D1492" s="19" t="n"/>
      <c r="E1492" s="23" t="n"/>
      <c r="F1492" s="21" t="n"/>
      <c r="G1492" s="11">
        <f>IF(C1492="","",IFERROR(INDEX(Crops!$D$6:$D$65,MATCH(C1492,Crops!$B$6:$B$65,0))&amp;"",""))</f>
        <v/>
      </c>
      <c r="H1492" s="12">
        <f>IF(OR(C1492="",NOT(ISNUMBER(E1492))),"",E1492*N(IFERROR(INDEX(Crops!$E$6:$E$65,MATCH(C1492,Crops!$B$6:$B$65,0)),0)))</f>
        <v/>
      </c>
      <c r="I1492" s="11">
        <f>IF(AND(C1492="",E1492=""),"",IF(NOT(ISNUMBER(B1492)),"Needs a date",IF(C1492="","Needs a crop",IF(COUNTIF(Crops!$B$6:$B$65,C1492)=0,"Not on Crops",IF(NOT(ISNUMBER(E1492)),"Needs the amount",IF(AND(D1492&lt;&gt;"",COUNTIF(Beds!$B$6:$B$35,D1492)=0),"Not on Beds",""))))))</f>
        <v/>
      </c>
      <c r="J1492" s="1">
        <f>IF(ISNUMBER(B1492),YEAR(B1492),"")</f>
        <v/>
      </c>
      <c r="K1492">
        <f>IF(ISNUMBER(B1492),YEAR(B1492)*100+MONTH(B1492),"")</f>
        <v/>
      </c>
      <c r="L1492">
        <f>IF(ISNUMBER(B1492),INT(B1492),0)</f>
        <v/>
      </c>
    </row>
    <row r="1493">
      <c r="A1493" s="1" t="n"/>
      <c r="B1493" s="17" t="n"/>
      <c r="C1493" s="18" t="n"/>
      <c r="D1493" s="19" t="n"/>
      <c r="E1493" s="23" t="n"/>
      <c r="F1493" s="21" t="n"/>
      <c r="G1493" s="11">
        <f>IF(C1493="","",IFERROR(INDEX(Crops!$D$6:$D$65,MATCH(C1493,Crops!$B$6:$B$65,0))&amp;"",""))</f>
        <v/>
      </c>
      <c r="H1493" s="12">
        <f>IF(OR(C1493="",NOT(ISNUMBER(E1493))),"",E1493*N(IFERROR(INDEX(Crops!$E$6:$E$65,MATCH(C1493,Crops!$B$6:$B$65,0)),0)))</f>
        <v/>
      </c>
      <c r="I1493" s="11">
        <f>IF(AND(C1493="",E1493=""),"",IF(NOT(ISNUMBER(B1493)),"Needs a date",IF(C1493="","Needs a crop",IF(COUNTIF(Crops!$B$6:$B$65,C1493)=0,"Not on Crops",IF(NOT(ISNUMBER(E1493)),"Needs the amount",IF(AND(D1493&lt;&gt;"",COUNTIF(Beds!$B$6:$B$35,D1493)=0),"Not on Beds",""))))))</f>
        <v/>
      </c>
      <c r="J1493" s="1">
        <f>IF(ISNUMBER(B1493),YEAR(B1493),"")</f>
        <v/>
      </c>
      <c r="K1493">
        <f>IF(ISNUMBER(B1493),YEAR(B1493)*100+MONTH(B1493),"")</f>
        <v/>
      </c>
      <c r="L1493">
        <f>IF(ISNUMBER(B1493),INT(B1493),0)</f>
        <v/>
      </c>
    </row>
    <row r="1494">
      <c r="A1494" s="1" t="n"/>
      <c r="B1494" s="17" t="n"/>
      <c r="C1494" s="18" t="n"/>
      <c r="D1494" s="19" t="n"/>
      <c r="E1494" s="23" t="n"/>
      <c r="F1494" s="21" t="n"/>
      <c r="G1494" s="11">
        <f>IF(C1494="","",IFERROR(INDEX(Crops!$D$6:$D$65,MATCH(C1494,Crops!$B$6:$B$65,0))&amp;"",""))</f>
        <v/>
      </c>
      <c r="H1494" s="12">
        <f>IF(OR(C1494="",NOT(ISNUMBER(E1494))),"",E1494*N(IFERROR(INDEX(Crops!$E$6:$E$65,MATCH(C1494,Crops!$B$6:$B$65,0)),0)))</f>
        <v/>
      </c>
      <c r="I1494" s="11">
        <f>IF(AND(C1494="",E1494=""),"",IF(NOT(ISNUMBER(B1494)),"Needs a date",IF(C1494="","Needs a crop",IF(COUNTIF(Crops!$B$6:$B$65,C1494)=0,"Not on Crops",IF(NOT(ISNUMBER(E1494)),"Needs the amount",IF(AND(D1494&lt;&gt;"",COUNTIF(Beds!$B$6:$B$35,D1494)=0),"Not on Beds",""))))))</f>
        <v/>
      </c>
      <c r="J1494" s="1">
        <f>IF(ISNUMBER(B1494),YEAR(B1494),"")</f>
        <v/>
      </c>
      <c r="K1494">
        <f>IF(ISNUMBER(B1494),YEAR(B1494)*100+MONTH(B1494),"")</f>
        <v/>
      </c>
      <c r="L1494">
        <f>IF(ISNUMBER(B1494),INT(B1494),0)</f>
        <v/>
      </c>
    </row>
    <row r="1495">
      <c r="A1495" s="1" t="n"/>
      <c r="B1495" s="17" t="n"/>
      <c r="C1495" s="18" t="n"/>
      <c r="D1495" s="19" t="n"/>
      <c r="E1495" s="23" t="n"/>
      <c r="F1495" s="21" t="n"/>
      <c r="G1495" s="11">
        <f>IF(C1495="","",IFERROR(INDEX(Crops!$D$6:$D$65,MATCH(C1495,Crops!$B$6:$B$65,0))&amp;"",""))</f>
        <v/>
      </c>
      <c r="H1495" s="12">
        <f>IF(OR(C1495="",NOT(ISNUMBER(E1495))),"",E1495*N(IFERROR(INDEX(Crops!$E$6:$E$65,MATCH(C1495,Crops!$B$6:$B$65,0)),0)))</f>
        <v/>
      </c>
      <c r="I1495" s="11">
        <f>IF(AND(C1495="",E1495=""),"",IF(NOT(ISNUMBER(B1495)),"Needs a date",IF(C1495="","Needs a crop",IF(COUNTIF(Crops!$B$6:$B$65,C1495)=0,"Not on Crops",IF(NOT(ISNUMBER(E1495)),"Needs the amount",IF(AND(D1495&lt;&gt;"",COUNTIF(Beds!$B$6:$B$35,D1495)=0),"Not on Beds",""))))))</f>
        <v/>
      </c>
      <c r="J1495" s="1">
        <f>IF(ISNUMBER(B1495),YEAR(B1495),"")</f>
        <v/>
      </c>
      <c r="K1495">
        <f>IF(ISNUMBER(B1495),YEAR(B1495)*100+MONTH(B1495),"")</f>
        <v/>
      </c>
      <c r="L1495">
        <f>IF(ISNUMBER(B1495),INT(B1495),0)</f>
        <v/>
      </c>
    </row>
    <row r="1496">
      <c r="A1496" s="1" t="n"/>
      <c r="B1496" s="17" t="n"/>
      <c r="C1496" s="18" t="n"/>
      <c r="D1496" s="19" t="n"/>
      <c r="E1496" s="23" t="n"/>
      <c r="F1496" s="21" t="n"/>
      <c r="G1496" s="11">
        <f>IF(C1496="","",IFERROR(INDEX(Crops!$D$6:$D$65,MATCH(C1496,Crops!$B$6:$B$65,0))&amp;"",""))</f>
        <v/>
      </c>
      <c r="H1496" s="12">
        <f>IF(OR(C1496="",NOT(ISNUMBER(E1496))),"",E1496*N(IFERROR(INDEX(Crops!$E$6:$E$65,MATCH(C1496,Crops!$B$6:$B$65,0)),0)))</f>
        <v/>
      </c>
      <c r="I1496" s="11">
        <f>IF(AND(C1496="",E1496=""),"",IF(NOT(ISNUMBER(B1496)),"Needs a date",IF(C1496="","Needs a crop",IF(COUNTIF(Crops!$B$6:$B$65,C1496)=0,"Not on Crops",IF(NOT(ISNUMBER(E1496)),"Needs the amount",IF(AND(D1496&lt;&gt;"",COUNTIF(Beds!$B$6:$B$35,D1496)=0),"Not on Beds",""))))))</f>
        <v/>
      </c>
      <c r="J1496" s="1">
        <f>IF(ISNUMBER(B1496),YEAR(B1496),"")</f>
        <v/>
      </c>
      <c r="K1496">
        <f>IF(ISNUMBER(B1496),YEAR(B1496)*100+MONTH(B1496),"")</f>
        <v/>
      </c>
      <c r="L1496">
        <f>IF(ISNUMBER(B1496),INT(B1496),0)</f>
        <v/>
      </c>
    </row>
    <row r="1497">
      <c r="A1497" s="1" t="n"/>
      <c r="B1497" s="17" t="n"/>
      <c r="C1497" s="18" t="n"/>
      <c r="D1497" s="19" t="n"/>
      <c r="E1497" s="23" t="n"/>
      <c r="F1497" s="21" t="n"/>
      <c r="G1497" s="11">
        <f>IF(C1497="","",IFERROR(INDEX(Crops!$D$6:$D$65,MATCH(C1497,Crops!$B$6:$B$65,0))&amp;"",""))</f>
        <v/>
      </c>
      <c r="H1497" s="12">
        <f>IF(OR(C1497="",NOT(ISNUMBER(E1497))),"",E1497*N(IFERROR(INDEX(Crops!$E$6:$E$65,MATCH(C1497,Crops!$B$6:$B$65,0)),0)))</f>
        <v/>
      </c>
      <c r="I1497" s="11">
        <f>IF(AND(C1497="",E1497=""),"",IF(NOT(ISNUMBER(B1497)),"Needs a date",IF(C1497="","Needs a crop",IF(COUNTIF(Crops!$B$6:$B$65,C1497)=0,"Not on Crops",IF(NOT(ISNUMBER(E1497)),"Needs the amount",IF(AND(D1497&lt;&gt;"",COUNTIF(Beds!$B$6:$B$35,D1497)=0),"Not on Beds",""))))))</f>
        <v/>
      </c>
      <c r="J1497" s="1">
        <f>IF(ISNUMBER(B1497),YEAR(B1497),"")</f>
        <v/>
      </c>
      <c r="K1497">
        <f>IF(ISNUMBER(B1497),YEAR(B1497)*100+MONTH(B1497),"")</f>
        <v/>
      </c>
      <c r="L1497">
        <f>IF(ISNUMBER(B1497),INT(B1497),0)</f>
        <v/>
      </c>
    </row>
    <row r="1498">
      <c r="A1498" s="1" t="n"/>
      <c r="B1498" s="17" t="n"/>
      <c r="C1498" s="18" t="n"/>
      <c r="D1498" s="19" t="n"/>
      <c r="E1498" s="23" t="n"/>
      <c r="F1498" s="21" t="n"/>
      <c r="G1498" s="11">
        <f>IF(C1498="","",IFERROR(INDEX(Crops!$D$6:$D$65,MATCH(C1498,Crops!$B$6:$B$65,0))&amp;"",""))</f>
        <v/>
      </c>
      <c r="H1498" s="12">
        <f>IF(OR(C1498="",NOT(ISNUMBER(E1498))),"",E1498*N(IFERROR(INDEX(Crops!$E$6:$E$65,MATCH(C1498,Crops!$B$6:$B$65,0)),0)))</f>
        <v/>
      </c>
      <c r="I1498" s="11">
        <f>IF(AND(C1498="",E1498=""),"",IF(NOT(ISNUMBER(B1498)),"Needs a date",IF(C1498="","Needs a crop",IF(COUNTIF(Crops!$B$6:$B$65,C1498)=0,"Not on Crops",IF(NOT(ISNUMBER(E1498)),"Needs the amount",IF(AND(D1498&lt;&gt;"",COUNTIF(Beds!$B$6:$B$35,D1498)=0),"Not on Beds",""))))))</f>
        <v/>
      </c>
      <c r="J1498" s="1">
        <f>IF(ISNUMBER(B1498),YEAR(B1498),"")</f>
        <v/>
      </c>
      <c r="K1498">
        <f>IF(ISNUMBER(B1498),YEAR(B1498)*100+MONTH(B1498),"")</f>
        <v/>
      </c>
      <c r="L1498">
        <f>IF(ISNUMBER(B1498),INT(B1498),0)</f>
        <v/>
      </c>
    </row>
    <row r="1499">
      <c r="A1499" s="1" t="n"/>
      <c r="B1499" s="17" t="n"/>
      <c r="C1499" s="18" t="n"/>
      <c r="D1499" s="19" t="n"/>
      <c r="E1499" s="23" t="n"/>
      <c r="F1499" s="21" t="n"/>
      <c r="G1499" s="11">
        <f>IF(C1499="","",IFERROR(INDEX(Crops!$D$6:$D$65,MATCH(C1499,Crops!$B$6:$B$65,0))&amp;"",""))</f>
        <v/>
      </c>
      <c r="H1499" s="12">
        <f>IF(OR(C1499="",NOT(ISNUMBER(E1499))),"",E1499*N(IFERROR(INDEX(Crops!$E$6:$E$65,MATCH(C1499,Crops!$B$6:$B$65,0)),0)))</f>
        <v/>
      </c>
      <c r="I1499" s="11">
        <f>IF(AND(C1499="",E1499=""),"",IF(NOT(ISNUMBER(B1499)),"Needs a date",IF(C1499="","Needs a crop",IF(COUNTIF(Crops!$B$6:$B$65,C1499)=0,"Not on Crops",IF(NOT(ISNUMBER(E1499)),"Needs the amount",IF(AND(D1499&lt;&gt;"",COUNTIF(Beds!$B$6:$B$35,D1499)=0),"Not on Beds",""))))))</f>
        <v/>
      </c>
      <c r="J1499" s="1">
        <f>IF(ISNUMBER(B1499),YEAR(B1499),"")</f>
        <v/>
      </c>
      <c r="K1499">
        <f>IF(ISNUMBER(B1499),YEAR(B1499)*100+MONTH(B1499),"")</f>
        <v/>
      </c>
      <c r="L1499">
        <f>IF(ISNUMBER(B1499),INT(B1499),0)</f>
        <v/>
      </c>
    </row>
    <row r="1500">
      <c r="A1500" s="1" t="n"/>
      <c r="B1500" s="17" t="n"/>
      <c r="C1500" s="18" t="n"/>
      <c r="D1500" s="19" t="n"/>
      <c r="E1500" s="23" t="n"/>
      <c r="F1500" s="21" t="n"/>
      <c r="G1500" s="11">
        <f>IF(C1500="","",IFERROR(INDEX(Crops!$D$6:$D$65,MATCH(C1500,Crops!$B$6:$B$65,0))&amp;"",""))</f>
        <v/>
      </c>
      <c r="H1500" s="12">
        <f>IF(OR(C1500="",NOT(ISNUMBER(E1500))),"",E1500*N(IFERROR(INDEX(Crops!$E$6:$E$65,MATCH(C1500,Crops!$B$6:$B$65,0)),0)))</f>
        <v/>
      </c>
      <c r="I1500" s="11">
        <f>IF(AND(C1500="",E1500=""),"",IF(NOT(ISNUMBER(B1500)),"Needs a date",IF(C1500="","Needs a crop",IF(COUNTIF(Crops!$B$6:$B$65,C1500)=0,"Not on Crops",IF(NOT(ISNUMBER(E1500)),"Needs the amount",IF(AND(D1500&lt;&gt;"",COUNTIF(Beds!$B$6:$B$35,D1500)=0),"Not on Beds",""))))))</f>
        <v/>
      </c>
      <c r="J1500" s="1">
        <f>IF(ISNUMBER(B1500),YEAR(B1500),"")</f>
        <v/>
      </c>
      <c r="K1500">
        <f>IF(ISNUMBER(B1500),YEAR(B1500)*100+MONTH(B1500),"")</f>
        <v/>
      </c>
      <c r="L1500">
        <f>IF(ISNUMBER(B1500),INT(B1500),0)</f>
        <v/>
      </c>
    </row>
    <row r="1501">
      <c r="A1501" s="1" t="n"/>
      <c r="B1501" s="17" t="n"/>
      <c r="C1501" s="18" t="n"/>
      <c r="D1501" s="19" t="n"/>
      <c r="E1501" s="23" t="n"/>
      <c r="F1501" s="21" t="n"/>
      <c r="G1501" s="11">
        <f>IF(C1501="","",IFERROR(INDEX(Crops!$D$6:$D$65,MATCH(C1501,Crops!$B$6:$B$65,0))&amp;"",""))</f>
        <v/>
      </c>
      <c r="H1501" s="12">
        <f>IF(OR(C1501="",NOT(ISNUMBER(E1501))),"",E1501*N(IFERROR(INDEX(Crops!$E$6:$E$65,MATCH(C1501,Crops!$B$6:$B$65,0)),0)))</f>
        <v/>
      </c>
      <c r="I1501" s="11">
        <f>IF(AND(C1501="",E1501=""),"",IF(NOT(ISNUMBER(B1501)),"Needs a date",IF(C1501="","Needs a crop",IF(COUNTIF(Crops!$B$6:$B$65,C1501)=0,"Not on Crops",IF(NOT(ISNUMBER(E1501)),"Needs the amount",IF(AND(D1501&lt;&gt;"",COUNTIF(Beds!$B$6:$B$35,D1501)=0),"Not on Beds",""))))))</f>
        <v/>
      </c>
      <c r="J1501" s="1">
        <f>IF(ISNUMBER(B1501),YEAR(B1501),"")</f>
        <v/>
      </c>
      <c r="K1501">
        <f>IF(ISNUMBER(B1501),YEAR(B1501)*100+MONTH(B1501),"")</f>
        <v/>
      </c>
      <c r="L1501">
        <f>IF(ISNUMBER(B1501),INT(B1501),0)</f>
        <v/>
      </c>
    </row>
    <row r="1502">
      <c r="A1502" s="1" t="n"/>
      <c r="B1502" s="17" t="n"/>
      <c r="C1502" s="18" t="n"/>
      <c r="D1502" s="19" t="n"/>
      <c r="E1502" s="23" t="n"/>
      <c r="F1502" s="21" t="n"/>
      <c r="G1502" s="11">
        <f>IF(C1502="","",IFERROR(INDEX(Crops!$D$6:$D$65,MATCH(C1502,Crops!$B$6:$B$65,0))&amp;"",""))</f>
        <v/>
      </c>
      <c r="H1502" s="12">
        <f>IF(OR(C1502="",NOT(ISNUMBER(E1502))),"",E1502*N(IFERROR(INDEX(Crops!$E$6:$E$65,MATCH(C1502,Crops!$B$6:$B$65,0)),0)))</f>
        <v/>
      </c>
      <c r="I1502" s="11">
        <f>IF(AND(C1502="",E1502=""),"",IF(NOT(ISNUMBER(B1502)),"Needs a date",IF(C1502="","Needs a crop",IF(COUNTIF(Crops!$B$6:$B$65,C1502)=0,"Not on Crops",IF(NOT(ISNUMBER(E1502)),"Needs the amount",IF(AND(D1502&lt;&gt;"",COUNTIF(Beds!$B$6:$B$35,D1502)=0),"Not on Beds",""))))))</f>
        <v/>
      </c>
      <c r="J1502" s="1">
        <f>IF(ISNUMBER(B1502),YEAR(B1502),"")</f>
        <v/>
      </c>
      <c r="K1502">
        <f>IF(ISNUMBER(B1502),YEAR(B1502)*100+MONTH(B1502),"")</f>
        <v/>
      </c>
      <c r="L1502">
        <f>IF(ISNUMBER(B1502),INT(B1502),0)</f>
        <v/>
      </c>
    </row>
    <row r="1503">
      <c r="A1503" s="1" t="n"/>
      <c r="B1503" s="17" t="n"/>
      <c r="C1503" s="18" t="n"/>
      <c r="D1503" s="19" t="n"/>
      <c r="E1503" s="23" t="n"/>
      <c r="F1503" s="21" t="n"/>
      <c r="G1503" s="11">
        <f>IF(C1503="","",IFERROR(INDEX(Crops!$D$6:$D$65,MATCH(C1503,Crops!$B$6:$B$65,0))&amp;"",""))</f>
        <v/>
      </c>
      <c r="H1503" s="12">
        <f>IF(OR(C1503="",NOT(ISNUMBER(E1503))),"",E1503*N(IFERROR(INDEX(Crops!$E$6:$E$65,MATCH(C1503,Crops!$B$6:$B$65,0)),0)))</f>
        <v/>
      </c>
      <c r="I1503" s="11">
        <f>IF(AND(C1503="",E1503=""),"",IF(NOT(ISNUMBER(B1503)),"Needs a date",IF(C1503="","Needs a crop",IF(COUNTIF(Crops!$B$6:$B$65,C1503)=0,"Not on Crops",IF(NOT(ISNUMBER(E1503)),"Needs the amount",IF(AND(D1503&lt;&gt;"",COUNTIF(Beds!$B$6:$B$35,D1503)=0),"Not on Beds",""))))))</f>
        <v/>
      </c>
      <c r="J1503" s="1">
        <f>IF(ISNUMBER(B1503),YEAR(B1503),"")</f>
        <v/>
      </c>
      <c r="K1503">
        <f>IF(ISNUMBER(B1503),YEAR(B1503)*100+MONTH(B1503),"")</f>
        <v/>
      </c>
      <c r="L1503">
        <f>IF(ISNUMBER(B1503),INT(B1503),0)</f>
        <v/>
      </c>
    </row>
    <row r="1504">
      <c r="A1504" s="1" t="n"/>
      <c r="B1504" s="17" t="n"/>
      <c r="C1504" s="18" t="n"/>
      <c r="D1504" s="19" t="n"/>
      <c r="E1504" s="23" t="n"/>
      <c r="F1504" s="21" t="n"/>
      <c r="G1504" s="11">
        <f>IF(C1504="","",IFERROR(INDEX(Crops!$D$6:$D$65,MATCH(C1504,Crops!$B$6:$B$65,0))&amp;"",""))</f>
        <v/>
      </c>
      <c r="H1504" s="12">
        <f>IF(OR(C1504="",NOT(ISNUMBER(E1504))),"",E1504*N(IFERROR(INDEX(Crops!$E$6:$E$65,MATCH(C1504,Crops!$B$6:$B$65,0)),0)))</f>
        <v/>
      </c>
      <c r="I1504" s="11">
        <f>IF(AND(C1504="",E1504=""),"",IF(NOT(ISNUMBER(B1504)),"Needs a date",IF(C1504="","Needs a crop",IF(COUNTIF(Crops!$B$6:$B$65,C1504)=0,"Not on Crops",IF(NOT(ISNUMBER(E1504)),"Needs the amount",IF(AND(D1504&lt;&gt;"",COUNTIF(Beds!$B$6:$B$35,D1504)=0),"Not on Beds",""))))))</f>
        <v/>
      </c>
      <c r="J1504" s="1">
        <f>IF(ISNUMBER(B1504),YEAR(B1504),"")</f>
        <v/>
      </c>
      <c r="K1504">
        <f>IF(ISNUMBER(B1504),YEAR(B1504)*100+MONTH(B1504),"")</f>
        <v/>
      </c>
      <c r="L1504">
        <f>IF(ISNUMBER(B1504),INT(B1504),0)</f>
        <v/>
      </c>
    </row>
    <row r="1505">
      <c r="A1505" s="1" t="n"/>
      <c r="B1505" s="17" t="n"/>
      <c r="C1505" s="18" t="n"/>
      <c r="D1505" s="19" t="n"/>
      <c r="E1505" s="23" t="n"/>
      <c r="F1505" s="21" t="n"/>
      <c r="G1505" s="11">
        <f>IF(C1505="","",IFERROR(INDEX(Crops!$D$6:$D$65,MATCH(C1505,Crops!$B$6:$B$65,0))&amp;"",""))</f>
        <v/>
      </c>
      <c r="H1505" s="12">
        <f>IF(OR(C1505="",NOT(ISNUMBER(E1505))),"",E1505*N(IFERROR(INDEX(Crops!$E$6:$E$65,MATCH(C1505,Crops!$B$6:$B$65,0)),0)))</f>
        <v/>
      </c>
      <c r="I1505" s="11">
        <f>IF(AND(C1505="",E1505=""),"",IF(NOT(ISNUMBER(B1505)),"Needs a date",IF(C1505="","Needs a crop",IF(COUNTIF(Crops!$B$6:$B$65,C1505)=0,"Not on Crops",IF(NOT(ISNUMBER(E1505)),"Needs the amount",IF(AND(D1505&lt;&gt;"",COUNTIF(Beds!$B$6:$B$35,D1505)=0),"Not on Beds",""))))))</f>
        <v/>
      </c>
      <c r="J1505" s="1">
        <f>IF(ISNUMBER(B1505),YEAR(B1505),"")</f>
        <v/>
      </c>
      <c r="K1505">
        <f>IF(ISNUMBER(B1505),YEAR(B1505)*100+MONTH(B1505),"")</f>
        <v/>
      </c>
      <c r="L1505">
        <f>IF(ISNUMBER(B1505),INT(B1505),0)</f>
        <v/>
      </c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/>
      <c r="I1506" s="1" t="n"/>
      <c r="J1506" s="1" t="n"/>
    </row>
  </sheetData>
  <conditionalFormatting sqref="I6:I1505">
    <cfRule type="expression" priority="1" dxfId="1">
      <formula>I6&lt;&gt;""</formula>
    </cfRule>
  </conditionalFormatting>
  <dataValidations count="2">
    <dataValidation sqref="C6:C1505" showDropDown="0" showInputMessage="0" showErrorMessage="0" allowBlank="1" type="list">
      <formula1>=Crops!$B$6:$B$65</formula1>
    </dataValidation>
    <dataValidation sqref="D6:D1505" showDropDown="0" showInputMessage="0" showErrorMessage="0" allowBlank="1" type="list">
      <formula1>=Beds!$B$6:$B$35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6" customWidth="1" min="3" max="3"/>
    <col width="14" customWidth="1" min="4" max="4"/>
    <col width="28" customWidth="1" min="5" max="5"/>
    <col width="18" customWidth="1" min="6" max="6"/>
    <col hidden="1" width="13" customWidth="1" min="7" max="7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Jobs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Watering and the other jobs, with the bed. All beds, or an empty bed, means the whole garden.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8" t="inlineStr">
        <is>
          <t>Date</t>
        </is>
      </c>
      <c r="C5" s="8" t="inlineStr">
        <is>
          <t>Bed</t>
        </is>
      </c>
      <c r="D5" s="8" t="inlineStr">
        <is>
          <t>Job</t>
        </is>
      </c>
      <c r="E5" s="8" t="inlineStr">
        <is>
          <t>Note</t>
        </is>
      </c>
      <c r="F5" s="8" t="inlineStr">
        <is>
          <t>Check</t>
        </is>
      </c>
      <c r="G5" s="1" t="n"/>
    </row>
    <row r="6">
      <c r="A6" s="1" t="n"/>
      <c r="B6" s="17" t="n">
        <v>45778</v>
      </c>
      <c r="C6" s="18" t="inlineStr">
        <is>
          <t>All beds</t>
        </is>
      </c>
      <c r="D6" s="19" t="inlineStr">
        <is>
          <t>Water</t>
        </is>
      </c>
      <c r="E6" s="21" t="n"/>
      <c r="F6" s="11">
        <f>IF(AND(B6="",C6="",D6=""),"",IF(NOT(ISNUMBER(B6)),"Needs a date",IF(D6="","Needs the job",IF(AND(C6&lt;&gt;"",C6&lt;&gt;"All beds",COUNTIF(Beds!$B$6:$B$35,C6)=0),"Not on Beds",""))))</f>
        <v/>
      </c>
      <c r="G6" s="1">
        <f>IF(ISNUMBER(B6),INT(B6),0)</f>
        <v/>
      </c>
      <c r="H6">
        <f>IF(AND(G6&gt;0,D6="Water",OR(C6="",C6="All beds")),G6,0)</f>
        <v/>
      </c>
    </row>
    <row r="7">
      <c r="A7" s="1" t="n"/>
      <c r="B7" s="17" t="n">
        <v>45781</v>
      </c>
      <c r="C7" s="18" t="inlineStr">
        <is>
          <t>All beds</t>
        </is>
      </c>
      <c r="D7" s="19" t="inlineStr">
        <is>
          <t>Water</t>
        </is>
      </c>
      <c r="E7" s="21" t="n"/>
      <c r="F7" s="11">
        <f>IF(AND(B7="",C7="",D7=""),"",IF(NOT(ISNUMBER(B7)),"Needs a date",IF(D7="","Needs the job",IF(AND(C7&lt;&gt;"",C7&lt;&gt;"All beds",COUNTIF(Beds!$B$6:$B$35,C7)=0),"Not on Beds",""))))</f>
        <v/>
      </c>
      <c r="G7" s="1">
        <f>IF(ISNUMBER(B7),INT(B7),0)</f>
        <v/>
      </c>
      <c r="H7">
        <f>IF(AND(G7&gt;0,D7="Water",OR(C7="",C7="All beds")),G7,0)</f>
        <v/>
      </c>
    </row>
    <row r="8">
      <c r="A8" s="1" t="n"/>
      <c r="B8" s="17" t="n">
        <v>45784</v>
      </c>
      <c r="C8" s="18" t="inlineStr">
        <is>
          <t>All beds</t>
        </is>
      </c>
      <c r="D8" s="19" t="inlineStr">
        <is>
          <t>Water</t>
        </is>
      </c>
      <c r="E8" s="21" t="n"/>
      <c r="F8" s="11">
        <f>IF(AND(B8="",C8="",D8=""),"",IF(NOT(ISNUMBER(B8)),"Needs a date",IF(D8="","Needs the job",IF(AND(C8&lt;&gt;"",C8&lt;&gt;"All beds",COUNTIF(Beds!$B$6:$B$35,C8)=0),"Not on Beds",""))))</f>
        <v/>
      </c>
      <c r="G8" s="1">
        <f>IF(ISNUMBER(B8),INT(B8),0)</f>
        <v/>
      </c>
      <c r="H8">
        <f>IF(AND(G8&gt;0,D8="Water",OR(C8="",C8="All beds")),G8,0)</f>
        <v/>
      </c>
    </row>
    <row r="9">
      <c r="A9" s="1" t="n"/>
      <c r="B9" s="17" t="n">
        <v>45787</v>
      </c>
      <c r="C9" s="18" t="inlineStr">
        <is>
          <t>All beds</t>
        </is>
      </c>
      <c r="D9" s="19" t="inlineStr">
        <is>
          <t>Water</t>
        </is>
      </c>
      <c r="E9" s="21" t="n"/>
      <c r="F9" s="11">
        <f>IF(AND(B9="",C9="",D9=""),"",IF(NOT(ISNUMBER(B9)),"Needs a date",IF(D9="","Needs the job",IF(AND(C9&lt;&gt;"",C9&lt;&gt;"All beds",COUNTIF(Beds!$B$6:$B$35,C9)=0),"Not on Beds",""))))</f>
        <v/>
      </c>
      <c r="G9" s="1">
        <f>IF(ISNUMBER(B9),INT(B9),0)</f>
        <v/>
      </c>
      <c r="H9">
        <f>IF(AND(G9&gt;0,D9="Water",OR(C9="",C9="All beds")),G9,0)</f>
        <v/>
      </c>
    </row>
    <row r="10">
      <c r="A10" s="1" t="n"/>
      <c r="B10" s="17" t="n">
        <v>45789</v>
      </c>
      <c r="C10" s="18" t="inlineStr">
        <is>
          <t>All beds</t>
        </is>
      </c>
      <c r="D10" s="19" t="inlineStr">
        <is>
          <t>Water</t>
        </is>
      </c>
      <c r="E10" s="21" t="n"/>
      <c r="F10" s="11">
        <f>IF(AND(B10="",C10="",D10=""),"",IF(NOT(ISNUMBER(B10)),"Needs a date",IF(D10="","Needs the job",IF(AND(C10&lt;&gt;"",C10&lt;&gt;"All beds",COUNTIF(Beds!$B$6:$B$35,C10)=0),"Not on Beds",""))))</f>
        <v/>
      </c>
      <c r="G10" s="1">
        <f>IF(ISNUMBER(B10),INT(B10),0)</f>
        <v/>
      </c>
      <c r="H10">
        <f>IF(AND(G10&gt;0,D10="Water",OR(C10="",C10="All beds")),G10,0)</f>
        <v/>
      </c>
    </row>
    <row r="11">
      <c r="A11" s="1" t="n"/>
      <c r="B11" s="17" t="n">
        <v>45793</v>
      </c>
      <c r="C11" s="18" t="inlineStr">
        <is>
          <t>All beds</t>
        </is>
      </c>
      <c r="D11" s="19" t="inlineStr">
        <is>
          <t>Water</t>
        </is>
      </c>
      <c r="E11" s="21" t="n"/>
      <c r="F11" s="11">
        <f>IF(AND(B11="",C11="",D11=""),"",IF(NOT(ISNUMBER(B11)),"Needs a date",IF(D11="","Needs the job",IF(AND(C11&lt;&gt;"",C11&lt;&gt;"All beds",COUNTIF(Beds!$B$6:$B$35,C11)=0),"Not on Beds",""))))</f>
        <v/>
      </c>
      <c r="G11" s="1">
        <f>IF(ISNUMBER(B11),INT(B11),0)</f>
        <v/>
      </c>
      <c r="H11">
        <f>IF(AND(G11&gt;0,D11="Water",OR(C11="",C11="All beds")),G11,0)</f>
        <v/>
      </c>
    </row>
    <row r="12">
      <c r="A12" s="1" t="n"/>
      <c r="B12" s="17" t="n">
        <v>45797</v>
      </c>
      <c r="C12" s="18" t="inlineStr">
        <is>
          <t>All beds</t>
        </is>
      </c>
      <c r="D12" s="19" t="inlineStr">
        <is>
          <t>Water</t>
        </is>
      </c>
      <c r="E12" s="21" t="n"/>
      <c r="F12" s="11">
        <f>IF(AND(B12="",C12="",D12=""),"",IF(NOT(ISNUMBER(B12)),"Needs a date",IF(D12="","Needs the job",IF(AND(C12&lt;&gt;"",C12&lt;&gt;"All beds",COUNTIF(Beds!$B$6:$B$35,C12)=0),"Not on Beds",""))))</f>
        <v/>
      </c>
      <c r="G12" s="1">
        <f>IF(ISNUMBER(B12),INT(B12),0)</f>
        <v/>
      </c>
      <c r="H12">
        <f>IF(AND(G12&gt;0,D12="Water",OR(C12="",C12="All beds")),G12,0)</f>
        <v/>
      </c>
    </row>
    <row r="13">
      <c r="A13" s="1" t="n"/>
      <c r="B13" s="17" t="n">
        <v>45799</v>
      </c>
      <c r="C13" s="18" t="inlineStr">
        <is>
          <t>All beds</t>
        </is>
      </c>
      <c r="D13" s="19" t="inlineStr">
        <is>
          <t>Water</t>
        </is>
      </c>
      <c r="E13" s="21" t="n"/>
      <c r="F13" s="11">
        <f>IF(AND(B13="",C13="",D13=""),"",IF(NOT(ISNUMBER(B13)),"Needs a date",IF(D13="","Needs the job",IF(AND(C13&lt;&gt;"",C13&lt;&gt;"All beds",COUNTIF(Beds!$B$6:$B$35,C13)=0),"Not on Beds",""))))</f>
        <v/>
      </c>
      <c r="G13" s="1">
        <f>IF(ISNUMBER(B13),INT(B13),0)</f>
        <v/>
      </c>
      <c r="H13">
        <f>IF(AND(G13&gt;0,D13="Water",OR(C13="",C13="All beds")),G13,0)</f>
        <v/>
      </c>
    </row>
    <row r="14">
      <c r="A14" s="1" t="n"/>
      <c r="B14" s="17" t="n">
        <v>45801</v>
      </c>
      <c r="C14" s="18" t="inlineStr">
        <is>
          <t>All beds</t>
        </is>
      </c>
      <c r="D14" s="19" t="inlineStr">
        <is>
          <t>Water</t>
        </is>
      </c>
      <c r="E14" s="21" t="n"/>
      <c r="F14" s="11">
        <f>IF(AND(B14="",C14="",D14=""),"",IF(NOT(ISNUMBER(B14)),"Needs a date",IF(D14="","Needs the job",IF(AND(C14&lt;&gt;"",C14&lt;&gt;"All beds",COUNTIF(Beds!$B$6:$B$35,C14)=0),"Not on Beds",""))))</f>
        <v/>
      </c>
      <c r="G14" s="1">
        <f>IF(ISNUMBER(B14),INT(B14),0)</f>
        <v/>
      </c>
      <c r="H14">
        <f>IF(AND(G14&gt;0,D14="Water",OR(C14="",C14="All beds")),G14,0)</f>
        <v/>
      </c>
    </row>
    <row r="15">
      <c r="A15" s="1" t="n"/>
      <c r="B15" s="17" t="n">
        <v>45803</v>
      </c>
      <c r="C15" s="18" t="inlineStr">
        <is>
          <t>All beds</t>
        </is>
      </c>
      <c r="D15" s="19" t="inlineStr">
        <is>
          <t>Water</t>
        </is>
      </c>
      <c r="E15" s="21" t="n"/>
      <c r="F15" s="11">
        <f>IF(AND(B15="",C15="",D15=""),"",IF(NOT(ISNUMBER(B15)),"Needs a date",IF(D15="","Needs the job",IF(AND(C15&lt;&gt;"",C15&lt;&gt;"All beds",COUNTIF(Beds!$B$6:$B$35,C15)=0),"Not on Beds",""))))</f>
        <v/>
      </c>
      <c r="G15" s="1">
        <f>IF(ISNUMBER(B15),INT(B15),0)</f>
        <v/>
      </c>
      <c r="H15">
        <f>IF(AND(G15&gt;0,D15="Water",OR(C15="",C15="All beds")),G15,0)</f>
        <v/>
      </c>
    </row>
    <row r="16">
      <c r="A16" s="1" t="n"/>
      <c r="B16" s="17" t="n">
        <v>45806</v>
      </c>
      <c r="C16" s="18" t="inlineStr">
        <is>
          <t>All beds</t>
        </is>
      </c>
      <c r="D16" s="19" t="inlineStr">
        <is>
          <t>Water</t>
        </is>
      </c>
      <c r="E16" s="21" t="n"/>
      <c r="F16" s="11">
        <f>IF(AND(B16="",C16="",D16=""),"",IF(NOT(ISNUMBER(B16)),"Needs a date",IF(D16="","Needs the job",IF(AND(C16&lt;&gt;"",C16&lt;&gt;"All beds",COUNTIF(Beds!$B$6:$B$35,C16)=0),"Not on Beds",""))))</f>
        <v/>
      </c>
      <c r="G16" s="1">
        <f>IF(ISNUMBER(B16),INT(B16),0)</f>
        <v/>
      </c>
      <c r="H16">
        <f>IF(AND(G16&gt;0,D16="Water",OR(C16="",C16="All beds")),G16,0)</f>
        <v/>
      </c>
    </row>
    <row r="17">
      <c r="A17" s="1" t="n"/>
      <c r="B17" s="17" t="n">
        <v>45808</v>
      </c>
      <c r="C17" s="18" t="inlineStr">
        <is>
          <t>All beds</t>
        </is>
      </c>
      <c r="D17" s="19" t="inlineStr">
        <is>
          <t>Water</t>
        </is>
      </c>
      <c r="E17" s="21" t="n"/>
      <c r="F17" s="11">
        <f>IF(AND(B17="",C17="",D17=""),"",IF(NOT(ISNUMBER(B17)),"Needs a date",IF(D17="","Needs the job",IF(AND(C17&lt;&gt;"",C17&lt;&gt;"All beds",COUNTIF(Beds!$B$6:$B$35,C17)=0),"Not on Beds",""))))</f>
        <v/>
      </c>
      <c r="G17" s="1">
        <f>IF(ISNUMBER(B17),INT(B17),0)</f>
        <v/>
      </c>
      <c r="H17">
        <f>IF(AND(G17&gt;0,D17="Water",OR(C17="",C17="All beds")),G17,0)</f>
        <v/>
      </c>
    </row>
    <row r="18">
      <c r="A18" s="1" t="n"/>
      <c r="B18" s="17" t="n">
        <v>45811</v>
      </c>
      <c r="C18" s="18" t="inlineStr">
        <is>
          <t>All beds</t>
        </is>
      </c>
      <c r="D18" s="19" t="inlineStr">
        <is>
          <t>Water</t>
        </is>
      </c>
      <c r="E18" s="21" t="n"/>
      <c r="F18" s="11">
        <f>IF(AND(B18="",C18="",D18=""),"",IF(NOT(ISNUMBER(B18)),"Needs a date",IF(D18="","Needs the job",IF(AND(C18&lt;&gt;"",C18&lt;&gt;"All beds",COUNTIF(Beds!$B$6:$B$35,C18)=0),"Not on Beds",""))))</f>
        <v/>
      </c>
      <c r="G18" s="1">
        <f>IF(ISNUMBER(B18),INT(B18),0)</f>
        <v/>
      </c>
      <c r="H18">
        <f>IF(AND(G18&gt;0,D18="Water",OR(C18="",C18="All beds")),G18,0)</f>
        <v/>
      </c>
    </row>
    <row r="19">
      <c r="A19" s="1" t="n"/>
      <c r="B19" s="17" t="n">
        <v>45814</v>
      </c>
      <c r="C19" s="18" t="inlineStr">
        <is>
          <t>All beds</t>
        </is>
      </c>
      <c r="D19" s="19" t="inlineStr">
        <is>
          <t>Water</t>
        </is>
      </c>
      <c r="E19" s="21" t="n"/>
      <c r="F19" s="11">
        <f>IF(AND(B19="",C19="",D19=""),"",IF(NOT(ISNUMBER(B19)),"Needs a date",IF(D19="","Needs the job",IF(AND(C19&lt;&gt;"",C19&lt;&gt;"All beds",COUNTIF(Beds!$B$6:$B$35,C19)=0),"Not on Beds",""))))</f>
        <v/>
      </c>
      <c r="G19" s="1">
        <f>IF(ISNUMBER(B19),INT(B19),0)</f>
        <v/>
      </c>
      <c r="H19">
        <f>IF(AND(G19&gt;0,D19="Water",OR(C19="",C19="All beds")),G19,0)</f>
        <v/>
      </c>
    </row>
    <row r="20">
      <c r="A20" s="1" t="n"/>
      <c r="B20" s="17" t="n">
        <v>45817</v>
      </c>
      <c r="C20" s="18" t="inlineStr">
        <is>
          <t>All beds</t>
        </is>
      </c>
      <c r="D20" s="19" t="inlineStr">
        <is>
          <t>Water</t>
        </is>
      </c>
      <c r="E20" s="21" t="n"/>
      <c r="F20" s="11">
        <f>IF(AND(B20="",C20="",D20=""),"",IF(NOT(ISNUMBER(B20)),"Needs a date",IF(D20="","Needs the job",IF(AND(C20&lt;&gt;"",C20&lt;&gt;"All beds",COUNTIF(Beds!$B$6:$B$35,C20)=0),"Not on Beds",""))))</f>
        <v/>
      </c>
      <c r="G20" s="1">
        <f>IF(ISNUMBER(B20),INT(B20),0)</f>
        <v/>
      </c>
      <c r="H20">
        <f>IF(AND(G20&gt;0,D20="Water",OR(C20="",C20="All beds")),G20,0)</f>
        <v/>
      </c>
    </row>
    <row r="21">
      <c r="A21" s="1" t="n"/>
      <c r="B21" s="17" t="n">
        <v>45818</v>
      </c>
      <c r="C21" s="18" t="inlineStr">
        <is>
          <t>Greenhouse</t>
        </is>
      </c>
      <c r="D21" s="19" t="inlineStr">
        <is>
          <t>Feed</t>
        </is>
      </c>
      <c r="E21" s="21" t="inlineStr">
        <is>
          <t>Tomato feed</t>
        </is>
      </c>
      <c r="F21" s="11">
        <f>IF(AND(B21="",C21="",D21=""),"",IF(NOT(ISNUMBER(B21)),"Needs a date",IF(D21="","Needs the job",IF(AND(C21&lt;&gt;"",C21&lt;&gt;"All beds",COUNTIF(Beds!$B$6:$B$35,C21)=0),"Not on Beds",""))))</f>
        <v/>
      </c>
      <c r="G21" s="1">
        <f>IF(ISNUMBER(B21),INT(B21),0)</f>
        <v/>
      </c>
      <c r="H21">
        <f>IF(AND(G21&gt;0,D21="Water",OR(C21="",C21="All beds")),G21,0)</f>
        <v/>
      </c>
    </row>
    <row r="22">
      <c r="A22" s="1" t="n"/>
      <c r="B22" s="17" t="n">
        <v>45819</v>
      </c>
      <c r="C22" s="18" t="inlineStr">
        <is>
          <t>All beds</t>
        </is>
      </c>
      <c r="D22" s="19" t="inlineStr">
        <is>
          <t>Water</t>
        </is>
      </c>
      <c r="E22" s="21" t="n"/>
      <c r="F22" s="11">
        <f>IF(AND(B22="",C22="",D22=""),"",IF(NOT(ISNUMBER(B22)),"Needs a date",IF(D22="","Needs the job",IF(AND(C22&lt;&gt;"",C22&lt;&gt;"All beds",COUNTIF(Beds!$B$6:$B$35,C22)=0),"Not on Beds",""))))</f>
        <v/>
      </c>
      <c r="G22" s="1">
        <f>IF(ISNUMBER(B22),INT(B22),0)</f>
        <v/>
      </c>
      <c r="H22">
        <f>IF(AND(G22&gt;0,D22="Water",OR(C22="",C22="All beds")),G22,0)</f>
        <v/>
      </c>
    </row>
    <row r="23">
      <c r="A23" s="1" t="n"/>
      <c r="B23" s="17" t="n">
        <v>45823</v>
      </c>
      <c r="C23" s="18" t="inlineStr">
        <is>
          <t>All beds</t>
        </is>
      </c>
      <c r="D23" s="19" t="inlineStr">
        <is>
          <t>Water</t>
        </is>
      </c>
      <c r="E23" s="21" t="n"/>
      <c r="F23" s="11">
        <f>IF(AND(B23="",C23="",D23=""),"",IF(NOT(ISNUMBER(B23)),"Needs a date",IF(D23="","Needs the job",IF(AND(C23&lt;&gt;"",C23&lt;&gt;"All beds",COUNTIF(Beds!$B$6:$B$35,C23)=0),"Not on Beds",""))))</f>
        <v/>
      </c>
      <c r="G23" s="1">
        <f>IF(ISNUMBER(B23),INT(B23),0)</f>
        <v/>
      </c>
      <c r="H23">
        <f>IF(AND(G23&gt;0,D23="Water",OR(C23="",C23="All beds")),G23,0)</f>
        <v/>
      </c>
    </row>
    <row r="24">
      <c r="A24" s="1" t="n"/>
      <c r="B24" s="17" t="n">
        <v>45825</v>
      </c>
      <c r="C24" s="18" t="inlineStr">
        <is>
          <t>All beds</t>
        </is>
      </c>
      <c r="D24" s="19" t="inlineStr">
        <is>
          <t>Water</t>
        </is>
      </c>
      <c r="E24" s="21" t="n"/>
      <c r="F24" s="11">
        <f>IF(AND(B24="",C24="",D24=""),"",IF(NOT(ISNUMBER(B24)),"Needs a date",IF(D24="","Needs the job",IF(AND(C24&lt;&gt;"",C24&lt;&gt;"All beds",COUNTIF(Beds!$B$6:$B$35,C24)=0),"Not on Beds",""))))</f>
        <v/>
      </c>
      <c r="G24" s="1">
        <f>IF(ISNUMBER(B24),INT(B24),0)</f>
        <v/>
      </c>
      <c r="H24">
        <f>IF(AND(G24&gt;0,D24="Water",OR(C24="",C24="All beds")),G24,0)</f>
        <v/>
      </c>
    </row>
    <row r="25">
      <c r="A25" s="1" t="n"/>
      <c r="B25" s="17" t="n">
        <v>45825</v>
      </c>
      <c r="C25" s="18" t="inlineStr">
        <is>
          <t>Greenhouse</t>
        </is>
      </c>
      <c r="D25" s="19" t="inlineStr">
        <is>
          <t>Feed</t>
        </is>
      </c>
      <c r="E25" s="21" t="inlineStr">
        <is>
          <t>Tomato feed</t>
        </is>
      </c>
      <c r="F25" s="11">
        <f>IF(AND(B25="",C25="",D25=""),"",IF(NOT(ISNUMBER(B25)),"Needs a date",IF(D25="","Needs the job",IF(AND(C25&lt;&gt;"",C25&lt;&gt;"All beds",COUNTIF(Beds!$B$6:$B$35,C25)=0),"Not on Beds",""))))</f>
        <v/>
      </c>
      <c r="G25" s="1">
        <f>IF(ISNUMBER(B25),INT(B25),0)</f>
        <v/>
      </c>
      <c r="H25">
        <f>IF(AND(G25&gt;0,D25="Water",OR(C25="",C25="All beds")),G25,0)</f>
        <v/>
      </c>
    </row>
    <row r="26">
      <c r="A26" s="1" t="n"/>
      <c r="B26" s="17" t="n">
        <v>45827</v>
      </c>
      <c r="C26" s="18" t="inlineStr">
        <is>
          <t>All beds</t>
        </is>
      </c>
      <c r="D26" s="19" t="inlineStr">
        <is>
          <t>Water</t>
        </is>
      </c>
      <c r="E26" s="21" t="n"/>
      <c r="F26" s="11">
        <f>IF(AND(B26="",C26="",D26=""),"",IF(NOT(ISNUMBER(B26)),"Needs a date",IF(D26="","Needs the job",IF(AND(C26&lt;&gt;"",C26&lt;&gt;"All beds",COUNTIF(Beds!$B$6:$B$35,C26)=0),"Not on Beds",""))))</f>
        <v/>
      </c>
      <c r="G26" s="1">
        <f>IF(ISNUMBER(B26),INT(B26),0)</f>
        <v/>
      </c>
      <c r="H26">
        <f>IF(AND(G26&gt;0,D26="Water",OR(C26="",C26="All beds")),G26,0)</f>
        <v/>
      </c>
    </row>
    <row r="27">
      <c r="A27" s="1" t="n"/>
      <c r="B27" s="17" t="n">
        <v>45829</v>
      </c>
      <c r="C27" s="18" t="inlineStr">
        <is>
          <t>All beds</t>
        </is>
      </c>
      <c r="D27" s="19" t="inlineStr">
        <is>
          <t>Water</t>
        </is>
      </c>
      <c r="E27" s="21" t="n"/>
      <c r="F27" s="11">
        <f>IF(AND(B27="",C27="",D27=""),"",IF(NOT(ISNUMBER(B27)),"Needs a date",IF(D27="","Needs the job",IF(AND(C27&lt;&gt;"",C27&lt;&gt;"All beds",COUNTIF(Beds!$B$6:$B$35,C27)=0),"Not on Beds",""))))</f>
        <v/>
      </c>
      <c r="G27" s="1">
        <f>IF(ISNUMBER(B27),INT(B27),0)</f>
        <v/>
      </c>
      <c r="H27">
        <f>IF(AND(G27&gt;0,D27="Water",OR(C27="",C27="All beds")),G27,0)</f>
        <v/>
      </c>
    </row>
    <row r="28">
      <c r="A28" s="1" t="n"/>
      <c r="B28" s="17" t="n">
        <v>45832</v>
      </c>
      <c r="C28" s="18" t="inlineStr">
        <is>
          <t>All beds</t>
        </is>
      </c>
      <c r="D28" s="19" t="inlineStr">
        <is>
          <t>Water</t>
        </is>
      </c>
      <c r="E28" s="21" t="n"/>
      <c r="F28" s="11">
        <f>IF(AND(B28="",C28="",D28=""),"",IF(NOT(ISNUMBER(B28)),"Needs a date",IF(D28="","Needs the job",IF(AND(C28&lt;&gt;"",C28&lt;&gt;"All beds",COUNTIF(Beds!$B$6:$B$35,C28)=0),"Not on Beds",""))))</f>
        <v/>
      </c>
      <c r="G28" s="1">
        <f>IF(ISNUMBER(B28),INT(B28),0)</f>
        <v/>
      </c>
      <c r="H28">
        <f>IF(AND(G28&gt;0,D28="Water",OR(C28="",C28="All beds")),G28,0)</f>
        <v/>
      </c>
    </row>
    <row r="29">
      <c r="A29" s="1" t="n"/>
      <c r="B29" s="17" t="n">
        <v>45832</v>
      </c>
      <c r="C29" s="18" t="inlineStr">
        <is>
          <t>Greenhouse</t>
        </is>
      </c>
      <c r="D29" s="19" t="inlineStr">
        <is>
          <t>Feed</t>
        </is>
      </c>
      <c r="E29" s="21" t="inlineStr">
        <is>
          <t>Tomato feed</t>
        </is>
      </c>
      <c r="F29" s="11">
        <f>IF(AND(B29="",C29="",D29=""),"",IF(NOT(ISNUMBER(B29)),"Needs a date",IF(D29="","Needs the job",IF(AND(C29&lt;&gt;"",C29&lt;&gt;"All beds",COUNTIF(Beds!$B$6:$B$35,C29)=0),"Not on Beds",""))))</f>
        <v/>
      </c>
      <c r="G29" s="1">
        <f>IF(ISNUMBER(B29),INT(B29),0)</f>
        <v/>
      </c>
      <c r="H29">
        <f>IF(AND(G29&gt;0,D29="Water",OR(C29="",C29="All beds")),G29,0)</f>
        <v/>
      </c>
    </row>
    <row r="30">
      <c r="A30" s="1" t="n"/>
      <c r="B30" s="17" t="n">
        <v>45834</v>
      </c>
      <c r="C30" s="18" t="inlineStr">
        <is>
          <t>All beds</t>
        </is>
      </c>
      <c r="D30" s="19" t="inlineStr">
        <is>
          <t>Water</t>
        </is>
      </c>
      <c r="E30" s="21" t="n"/>
      <c r="F30" s="11">
        <f>IF(AND(B30="",C30="",D30=""),"",IF(NOT(ISNUMBER(B30)),"Needs a date",IF(D30="","Needs the job",IF(AND(C30&lt;&gt;"",C30&lt;&gt;"All beds",COUNTIF(Beds!$B$6:$B$35,C30)=0),"Not on Beds",""))))</f>
        <v/>
      </c>
      <c r="G30" s="1">
        <f>IF(ISNUMBER(B30),INT(B30),0)</f>
        <v/>
      </c>
      <c r="H30">
        <f>IF(AND(G30&gt;0,D30="Water",OR(C30="",C30="All beds")),G30,0)</f>
        <v/>
      </c>
    </row>
    <row r="31">
      <c r="A31" s="1" t="n"/>
      <c r="B31" s="17" t="n">
        <v>45836</v>
      </c>
      <c r="C31" s="18" t="inlineStr">
        <is>
          <t>All beds</t>
        </is>
      </c>
      <c r="D31" s="19" t="inlineStr">
        <is>
          <t>Water</t>
        </is>
      </c>
      <c r="E31" s="21" t="n"/>
      <c r="F31" s="11">
        <f>IF(AND(B31="",C31="",D31=""),"",IF(NOT(ISNUMBER(B31)),"Needs a date",IF(D31="","Needs the job",IF(AND(C31&lt;&gt;"",C31&lt;&gt;"All beds",COUNTIF(Beds!$B$6:$B$35,C31)=0),"Not on Beds",""))))</f>
        <v/>
      </c>
      <c r="G31" s="1">
        <f>IF(ISNUMBER(B31),INT(B31),0)</f>
        <v/>
      </c>
      <c r="H31">
        <f>IF(AND(G31&gt;0,D31="Water",OR(C31="",C31="All beds")),G31,0)</f>
        <v/>
      </c>
    </row>
    <row r="32">
      <c r="A32" s="1" t="n"/>
      <c r="B32" s="17" t="n">
        <v>45839</v>
      </c>
      <c r="C32" s="18" t="inlineStr">
        <is>
          <t>All beds</t>
        </is>
      </c>
      <c r="D32" s="19" t="inlineStr">
        <is>
          <t>Water</t>
        </is>
      </c>
      <c r="E32" s="21" t="n"/>
      <c r="F32" s="11">
        <f>IF(AND(B32="",C32="",D32=""),"",IF(NOT(ISNUMBER(B32)),"Needs a date",IF(D32="","Needs the job",IF(AND(C32&lt;&gt;"",C32&lt;&gt;"All beds",COUNTIF(Beds!$B$6:$B$35,C32)=0),"Not on Beds",""))))</f>
        <v/>
      </c>
      <c r="G32" s="1">
        <f>IF(ISNUMBER(B32),INT(B32),0)</f>
        <v/>
      </c>
      <c r="H32">
        <f>IF(AND(G32&gt;0,D32="Water",OR(C32="",C32="All beds")),G32,0)</f>
        <v/>
      </c>
    </row>
    <row r="33">
      <c r="A33" s="1" t="n"/>
      <c r="B33" s="17" t="n">
        <v>45839</v>
      </c>
      <c r="C33" s="18" t="inlineStr">
        <is>
          <t>Greenhouse</t>
        </is>
      </c>
      <c r="D33" s="19" t="inlineStr">
        <is>
          <t>Feed</t>
        </is>
      </c>
      <c r="E33" s="21" t="inlineStr">
        <is>
          <t>Tomato feed</t>
        </is>
      </c>
      <c r="F33" s="11">
        <f>IF(AND(B33="",C33="",D33=""),"",IF(NOT(ISNUMBER(B33)),"Needs a date",IF(D33="","Needs the job",IF(AND(C33&lt;&gt;"",C33&lt;&gt;"All beds",COUNTIF(Beds!$B$6:$B$35,C33)=0),"Not on Beds",""))))</f>
        <v/>
      </c>
      <c r="G33" s="1">
        <f>IF(ISNUMBER(B33),INT(B33),0)</f>
        <v/>
      </c>
      <c r="H33">
        <f>IF(AND(G33&gt;0,D33="Water",OR(C33="",C33="All beds")),G33,0)</f>
        <v/>
      </c>
    </row>
    <row r="34">
      <c r="A34" s="1" t="n"/>
      <c r="B34" s="17" t="n">
        <v>45842</v>
      </c>
      <c r="C34" s="18" t="inlineStr">
        <is>
          <t>All beds</t>
        </is>
      </c>
      <c r="D34" s="19" t="inlineStr">
        <is>
          <t>Water</t>
        </is>
      </c>
      <c r="E34" s="21" t="n"/>
      <c r="F34" s="11">
        <f>IF(AND(B34="",C34="",D34=""),"",IF(NOT(ISNUMBER(B34)),"Needs a date",IF(D34="","Needs the job",IF(AND(C34&lt;&gt;"",C34&lt;&gt;"All beds",COUNTIF(Beds!$B$6:$B$35,C34)=0),"Not on Beds",""))))</f>
        <v/>
      </c>
      <c r="G34" s="1">
        <f>IF(ISNUMBER(B34),INT(B34),0)</f>
        <v/>
      </c>
      <c r="H34">
        <f>IF(AND(G34&gt;0,D34="Water",OR(C34="",C34="All beds")),G34,0)</f>
        <v/>
      </c>
    </row>
    <row r="35">
      <c r="A35" s="1" t="n"/>
      <c r="B35" s="17" t="n">
        <v>45845</v>
      </c>
      <c r="C35" s="18" t="inlineStr">
        <is>
          <t>All beds</t>
        </is>
      </c>
      <c r="D35" s="19" t="inlineStr">
        <is>
          <t>Water</t>
        </is>
      </c>
      <c r="E35" s="21" t="n"/>
      <c r="F35" s="11">
        <f>IF(AND(B35="",C35="",D35=""),"",IF(NOT(ISNUMBER(B35)),"Needs a date",IF(D35="","Needs the job",IF(AND(C35&lt;&gt;"",C35&lt;&gt;"All beds",COUNTIF(Beds!$B$6:$B$35,C35)=0),"Not on Beds",""))))</f>
        <v/>
      </c>
      <c r="G35" s="1">
        <f>IF(ISNUMBER(B35),INT(B35),0)</f>
        <v/>
      </c>
      <c r="H35">
        <f>IF(AND(G35&gt;0,D35="Water",OR(C35="",C35="All beds")),G35,0)</f>
        <v/>
      </c>
    </row>
    <row r="36">
      <c r="A36" s="1" t="n"/>
      <c r="B36" s="17" t="n">
        <v>45846</v>
      </c>
      <c r="C36" s="18" t="inlineStr">
        <is>
          <t>Greenhouse</t>
        </is>
      </c>
      <c r="D36" s="19" t="inlineStr">
        <is>
          <t>Feed</t>
        </is>
      </c>
      <c r="E36" s="21" t="inlineStr">
        <is>
          <t>Tomato feed</t>
        </is>
      </c>
      <c r="F36" s="11">
        <f>IF(AND(B36="",C36="",D36=""),"",IF(NOT(ISNUMBER(B36)),"Needs a date",IF(D36="","Needs the job",IF(AND(C36&lt;&gt;"",C36&lt;&gt;"All beds",COUNTIF(Beds!$B$6:$B$35,C36)=0),"Not on Beds",""))))</f>
        <v/>
      </c>
      <c r="G36" s="1">
        <f>IF(ISNUMBER(B36),INT(B36),0)</f>
        <v/>
      </c>
      <c r="H36">
        <f>IF(AND(G36&gt;0,D36="Water",OR(C36="",C36="All beds")),G36,0)</f>
        <v/>
      </c>
    </row>
    <row r="37">
      <c r="A37" s="1" t="n"/>
      <c r="B37" s="17" t="n">
        <v>45849</v>
      </c>
      <c r="C37" s="18" t="inlineStr">
        <is>
          <t>All beds</t>
        </is>
      </c>
      <c r="D37" s="19" t="inlineStr">
        <is>
          <t>Water</t>
        </is>
      </c>
      <c r="E37" s="21" t="n"/>
      <c r="F37" s="11">
        <f>IF(AND(B37="",C37="",D37=""),"",IF(NOT(ISNUMBER(B37)),"Needs a date",IF(D37="","Needs the job",IF(AND(C37&lt;&gt;"",C37&lt;&gt;"All beds",COUNTIF(Beds!$B$6:$B$35,C37)=0),"Not on Beds",""))))</f>
        <v/>
      </c>
      <c r="G37" s="1">
        <f>IF(ISNUMBER(B37),INT(B37),0)</f>
        <v/>
      </c>
      <c r="H37">
        <f>IF(AND(G37&gt;0,D37="Water",OR(C37="",C37="All beds")),G37,0)</f>
        <v/>
      </c>
    </row>
    <row r="38">
      <c r="A38" s="1" t="n"/>
      <c r="B38" s="17" t="n">
        <v>45852</v>
      </c>
      <c r="C38" s="18" t="inlineStr">
        <is>
          <t>All beds</t>
        </is>
      </c>
      <c r="D38" s="19" t="inlineStr">
        <is>
          <t>Water</t>
        </is>
      </c>
      <c r="E38" s="21" t="n"/>
      <c r="F38" s="11">
        <f>IF(AND(B38="",C38="",D38=""),"",IF(NOT(ISNUMBER(B38)),"Needs a date",IF(D38="","Needs the job",IF(AND(C38&lt;&gt;"",C38&lt;&gt;"All beds",COUNTIF(Beds!$B$6:$B$35,C38)=0),"Not on Beds",""))))</f>
        <v/>
      </c>
      <c r="G38" s="1">
        <f>IF(ISNUMBER(B38),INT(B38),0)</f>
        <v/>
      </c>
      <c r="H38">
        <f>IF(AND(G38&gt;0,D38="Water",OR(C38="",C38="All beds")),G38,0)</f>
        <v/>
      </c>
    </row>
    <row r="39">
      <c r="A39" s="1" t="n"/>
      <c r="B39" s="17" t="n">
        <v>45853</v>
      </c>
      <c r="C39" s="18" t="inlineStr">
        <is>
          <t>Greenhouse</t>
        </is>
      </c>
      <c r="D39" s="19" t="inlineStr">
        <is>
          <t>Feed</t>
        </is>
      </c>
      <c r="E39" s="21" t="inlineStr">
        <is>
          <t>Tomato feed</t>
        </is>
      </c>
      <c r="F39" s="11">
        <f>IF(AND(B39="",C39="",D39=""),"",IF(NOT(ISNUMBER(B39)),"Needs a date",IF(D39="","Needs the job",IF(AND(C39&lt;&gt;"",C39&lt;&gt;"All beds",COUNTIF(Beds!$B$6:$B$35,C39)=0),"Not on Beds",""))))</f>
        <v/>
      </c>
      <c r="G39" s="1">
        <f>IF(ISNUMBER(B39),INT(B39),0)</f>
        <v/>
      </c>
      <c r="H39">
        <f>IF(AND(G39&gt;0,D39="Water",OR(C39="",C39="All beds")),G39,0)</f>
        <v/>
      </c>
    </row>
    <row r="40">
      <c r="A40" s="1" t="n"/>
      <c r="B40" s="17" t="n">
        <v>45855</v>
      </c>
      <c r="C40" s="18" t="inlineStr">
        <is>
          <t>All beds</t>
        </is>
      </c>
      <c r="D40" s="19" t="inlineStr">
        <is>
          <t>Water</t>
        </is>
      </c>
      <c r="E40" s="21" t="n"/>
      <c r="F40" s="11">
        <f>IF(AND(B40="",C40="",D40=""),"",IF(NOT(ISNUMBER(B40)),"Needs a date",IF(D40="","Needs the job",IF(AND(C40&lt;&gt;"",C40&lt;&gt;"All beds",COUNTIF(Beds!$B$6:$B$35,C40)=0),"Not on Beds",""))))</f>
        <v/>
      </c>
      <c r="G40" s="1">
        <f>IF(ISNUMBER(B40),INT(B40),0)</f>
        <v/>
      </c>
      <c r="H40">
        <f>IF(AND(G40&gt;0,D40="Water",OR(C40="",C40="All beds")),G40,0)</f>
        <v/>
      </c>
    </row>
    <row r="41">
      <c r="A41" s="1" t="n"/>
      <c r="B41" s="17" t="n">
        <v>45858</v>
      </c>
      <c r="C41" s="18" t="inlineStr">
        <is>
          <t>All beds</t>
        </is>
      </c>
      <c r="D41" s="19" t="inlineStr">
        <is>
          <t>Water</t>
        </is>
      </c>
      <c r="E41" s="21" t="n"/>
      <c r="F41" s="11">
        <f>IF(AND(B41="",C41="",D41=""),"",IF(NOT(ISNUMBER(B41)),"Needs a date",IF(D41="","Needs the job",IF(AND(C41&lt;&gt;"",C41&lt;&gt;"All beds",COUNTIF(Beds!$B$6:$B$35,C41)=0),"Not on Beds",""))))</f>
        <v/>
      </c>
      <c r="G41" s="1">
        <f>IF(ISNUMBER(B41),INT(B41),0)</f>
        <v/>
      </c>
      <c r="H41">
        <f>IF(AND(G41&gt;0,D41="Water",OR(C41="",C41="All beds")),G41,0)</f>
        <v/>
      </c>
    </row>
    <row r="42">
      <c r="A42" s="1" t="n"/>
      <c r="B42" s="17" t="n">
        <v>45860</v>
      </c>
      <c r="C42" s="18" t="inlineStr">
        <is>
          <t>Greenhouse</t>
        </is>
      </c>
      <c r="D42" s="19" t="inlineStr">
        <is>
          <t>Feed</t>
        </is>
      </c>
      <c r="E42" s="21" t="inlineStr">
        <is>
          <t>Tomato feed</t>
        </is>
      </c>
      <c r="F42" s="11">
        <f>IF(AND(B42="",C42="",D42=""),"",IF(NOT(ISNUMBER(B42)),"Needs a date",IF(D42="","Needs the job",IF(AND(C42&lt;&gt;"",C42&lt;&gt;"All beds",COUNTIF(Beds!$B$6:$B$35,C42)=0),"Not on Beds",""))))</f>
        <v/>
      </c>
      <c r="G42" s="1">
        <f>IF(ISNUMBER(B42),INT(B42),0)</f>
        <v/>
      </c>
      <c r="H42">
        <f>IF(AND(G42&gt;0,D42="Water",OR(C42="",C42="All beds")),G42,0)</f>
        <v/>
      </c>
    </row>
    <row r="43">
      <c r="A43" s="1" t="n"/>
      <c r="B43" s="17" t="n">
        <v>45862</v>
      </c>
      <c r="C43" s="18" t="inlineStr">
        <is>
          <t>All beds</t>
        </is>
      </c>
      <c r="D43" s="19" t="inlineStr">
        <is>
          <t>Water</t>
        </is>
      </c>
      <c r="E43" s="21" t="n"/>
      <c r="F43" s="11">
        <f>IF(AND(B43="",C43="",D43=""),"",IF(NOT(ISNUMBER(B43)),"Needs a date",IF(D43="","Needs the job",IF(AND(C43&lt;&gt;"",C43&lt;&gt;"All beds",COUNTIF(Beds!$B$6:$B$35,C43)=0),"Not on Beds",""))))</f>
        <v/>
      </c>
      <c r="G43" s="1">
        <f>IF(ISNUMBER(B43),INT(B43),0)</f>
        <v/>
      </c>
      <c r="H43">
        <f>IF(AND(G43&gt;0,D43="Water",OR(C43="",C43="All beds")),G43,0)</f>
        <v/>
      </c>
    </row>
    <row r="44">
      <c r="A44" s="1" t="n"/>
      <c r="B44" s="17" t="n">
        <v>45866</v>
      </c>
      <c r="C44" s="18" t="inlineStr">
        <is>
          <t>All beds</t>
        </is>
      </c>
      <c r="D44" s="19" t="inlineStr">
        <is>
          <t>Water</t>
        </is>
      </c>
      <c r="E44" s="21" t="n"/>
      <c r="F44" s="11">
        <f>IF(AND(B44="",C44="",D44=""),"",IF(NOT(ISNUMBER(B44)),"Needs a date",IF(D44="","Needs the job",IF(AND(C44&lt;&gt;"",C44&lt;&gt;"All beds",COUNTIF(Beds!$B$6:$B$35,C44)=0),"Not on Beds",""))))</f>
        <v/>
      </c>
      <c r="G44" s="1">
        <f>IF(ISNUMBER(B44),INT(B44),0)</f>
        <v/>
      </c>
      <c r="H44">
        <f>IF(AND(G44&gt;0,D44="Water",OR(C44="",C44="All beds")),G44,0)</f>
        <v/>
      </c>
    </row>
    <row r="45">
      <c r="A45" s="1" t="n"/>
      <c r="B45" s="17" t="n">
        <v>45867</v>
      </c>
      <c r="C45" s="18" t="inlineStr">
        <is>
          <t>Greenhouse</t>
        </is>
      </c>
      <c r="D45" s="19" t="inlineStr">
        <is>
          <t>Feed</t>
        </is>
      </c>
      <c r="E45" s="21" t="inlineStr">
        <is>
          <t>Tomato feed</t>
        </is>
      </c>
      <c r="F45" s="11">
        <f>IF(AND(B45="",C45="",D45=""),"",IF(NOT(ISNUMBER(B45)),"Needs a date",IF(D45="","Needs the job",IF(AND(C45&lt;&gt;"",C45&lt;&gt;"All beds",COUNTIF(Beds!$B$6:$B$35,C45)=0),"Not on Beds",""))))</f>
        <v/>
      </c>
      <c r="G45" s="1">
        <f>IF(ISNUMBER(B45),INT(B45),0)</f>
        <v/>
      </c>
      <c r="H45">
        <f>IF(AND(G45&gt;0,D45="Water",OR(C45="",C45="All beds")),G45,0)</f>
        <v/>
      </c>
    </row>
    <row r="46">
      <c r="A46" s="1" t="n"/>
      <c r="B46" s="17" t="n">
        <v>45870</v>
      </c>
      <c r="C46" s="18" t="inlineStr">
        <is>
          <t>All beds</t>
        </is>
      </c>
      <c r="D46" s="19" t="inlineStr">
        <is>
          <t>Water</t>
        </is>
      </c>
      <c r="E46" s="21" t="n"/>
      <c r="F46" s="11">
        <f>IF(AND(B46="",C46="",D46=""),"",IF(NOT(ISNUMBER(B46)),"Needs a date",IF(D46="","Needs the job",IF(AND(C46&lt;&gt;"",C46&lt;&gt;"All beds",COUNTIF(Beds!$B$6:$B$35,C46)=0),"Not on Beds",""))))</f>
        <v/>
      </c>
      <c r="G46" s="1">
        <f>IF(ISNUMBER(B46),INT(B46),0)</f>
        <v/>
      </c>
      <c r="H46">
        <f>IF(AND(G46&gt;0,D46="Water",OR(C46="",C46="All beds")),G46,0)</f>
        <v/>
      </c>
    </row>
    <row r="47">
      <c r="A47" s="1" t="n"/>
      <c r="B47" s="17" t="n">
        <v>45873</v>
      </c>
      <c r="C47" s="18" t="inlineStr">
        <is>
          <t>All beds</t>
        </is>
      </c>
      <c r="D47" s="19" t="inlineStr">
        <is>
          <t>Water</t>
        </is>
      </c>
      <c r="E47" s="21" t="n"/>
      <c r="F47" s="11">
        <f>IF(AND(B47="",C47="",D47=""),"",IF(NOT(ISNUMBER(B47)),"Needs a date",IF(D47="","Needs the job",IF(AND(C47&lt;&gt;"",C47&lt;&gt;"All beds",COUNTIF(Beds!$B$6:$B$35,C47)=0),"Not on Beds",""))))</f>
        <v/>
      </c>
      <c r="G47" s="1">
        <f>IF(ISNUMBER(B47),INT(B47),0)</f>
        <v/>
      </c>
      <c r="H47">
        <f>IF(AND(G47&gt;0,D47="Water",OR(C47="",C47="All beds")),G47,0)</f>
        <v/>
      </c>
    </row>
    <row r="48">
      <c r="A48" s="1" t="n"/>
      <c r="B48" s="17" t="n">
        <v>45874</v>
      </c>
      <c r="C48" s="18" t="inlineStr">
        <is>
          <t>Greenhouse</t>
        </is>
      </c>
      <c r="D48" s="19" t="inlineStr">
        <is>
          <t>Feed</t>
        </is>
      </c>
      <c r="E48" s="21" t="inlineStr">
        <is>
          <t>Tomato feed</t>
        </is>
      </c>
      <c r="F48" s="11">
        <f>IF(AND(B48="",C48="",D48=""),"",IF(NOT(ISNUMBER(B48)),"Needs a date",IF(D48="","Needs the job",IF(AND(C48&lt;&gt;"",C48&lt;&gt;"All beds",COUNTIF(Beds!$B$6:$B$35,C48)=0),"Not on Beds",""))))</f>
        <v/>
      </c>
      <c r="G48" s="1">
        <f>IF(ISNUMBER(B48),INT(B48),0)</f>
        <v/>
      </c>
      <c r="H48">
        <f>IF(AND(G48&gt;0,D48="Water",OR(C48="",C48="All beds")),G48,0)</f>
        <v/>
      </c>
    </row>
    <row r="49">
      <c r="A49" s="1" t="n"/>
      <c r="B49" s="17" t="n">
        <v>45877</v>
      </c>
      <c r="C49" s="18" t="inlineStr">
        <is>
          <t>All beds</t>
        </is>
      </c>
      <c r="D49" s="19" t="inlineStr">
        <is>
          <t>Water</t>
        </is>
      </c>
      <c r="E49" s="21" t="n"/>
      <c r="F49" s="11">
        <f>IF(AND(B49="",C49="",D49=""),"",IF(NOT(ISNUMBER(B49)),"Needs a date",IF(D49="","Needs the job",IF(AND(C49&lt;&gt;"",C49&lt;&gt;"All beds",COUNTIF(Beds!$B$6:$B$35,C49)=0),"Not on Beds",""))))</f>
        <v/>
      </c>
      <c r="G49" s="1">
        <f>IF(ISNUMBER(B49),INT(B49),0)</f>
        <v/>
      </c>
      <c r="H49">
        <f>IF(AND(G49&gt;0,D49="Water",OR(C49="",C49="All beds")),G49,0)</f>
        <v/>
      </c>
    </row>
    <row r="50">
      <c r="A50" s="1" t="n"/>
      <c r="B50" s="17" t="n">
        <v>45880</v>
      </c>
      <c r="C50" s="18" t="inlineStr">
        <is>
          <t>All beds</t>
        </is>
      </c>
      <c r="D50" s="19" t="inlineStr">
        <is>
          <t>Water</t>
        </is>
      </c>
      <c r="E50" s="21" t="n"/>
      <c r="F50" s="11">
        <f>IF(AND(B50="",C50="",D50=""),"",IF(NOT(ISNUMBER(B50)),"Needs a date",IF(D50="","Needs the job",IF(AND(C50&lt;&gt;"",C50&lt;&gt;"All beds",COUNTIF(Beds!$B$6:$B$35,C50)=0),"Not on Beds",""))))</f>
        <v/>
      </c>
      <c r="G50" s="1">
        <f>IF(ISNUMBER(B50),INT(B50),0)</f>
        <v/>
      </c>
      <c r="H50">
        <f>IF(AND(G50&gt;0,D50="Water",OR(C50="",C50="All beds")),G50,0)</f>
        <v/>
      </c>
    </row>
    <row r="51">
      <c r="A51" s="1" t="n"/>
      <c r="B51" s="17" t="n">
        <v>45881</v>
      </c>
      <c r="C51" s="18" t="inlineStr">
        <is>
          <t>Greenhouse</t>
        </is>
      </c>
      <c r="D51" s="19" t="inlineStr">
        <is>
          <t>Feed</t>
        </is>
      </c>
      <c r="E51" s="21" t="inlineStr">
        <is>
          <t>Tomato feed</t>
        </is>
      </c>
      <c r="F51" s="11">
        <f>IF(AND(B51="",C51="",D51=""),"",IF(NOT(ISNUMBER(B51)),"Needs a date",IF(D51="","Needs the job",IF(AND(C51&lt;&gt;"",C51&lt;&gt;"All beds",COUNTIF(Beds!$B$6:$B$35,C51)=0),"Not on Beds",""))))</f>
        <v/>
      </c>
      <c r="G51" s="1">
        <f>IF(ISNUMBER(B51),INT(B51),0)</f>
        <v/>
      </c>
      <c r="H51">
        <f>IF(AND(G51&gt;0,D51="Water",OR(C51="",C51="All beds")),G51,0)</f>
        <v/>
      </c>
    </row>
    <row r="52">
      <c r="A52" s="1" t="n"/>
      <c r="B52" s="17" t="n">
        <v>45883</v>
      </c>
      <c r="C52" s="18" t="inlineStr">
        <is>
          <t>All beds</t>
        </is>
      </c>
      <c r="D52" s="19" t="inlineStr">
        <is>
          <t>Water</t>
        </is>
      </c>
      <c r="E52" s="21" t="n"/>
      <c r="F52" s="11">
        <f>IF(AND(B52="",C52="",D52=""),"",IF(NOT(ISNUMBER(B52)),"Needs a date",IF(D52="","Needs the job",IF(AND(C52&lt;&gt;"",C52&lt;&gt;"All beds",COUNTIF(Beds!$B$6:$B$35,C52)=0),"Not on Beds",""))))</f>
        <v/>
      </c>
      <c r="G52" s="1">
        <f>IF(ISNUMBER(B52),INT(B52),0)</f>
        <v/>
      </c>
      <c r="H52">
        <f>IF(AND(G52&gt;0,D52="Water",OR(C52="",C52="All beds")),G52,0)</f>
        <v/>
      </c>
    </row>
    <row r="53">
      <c r="A53" s="1" t="n"/>
      <c r="B53" s="17" t="n">
        <v>45887</v>
      </c>
      <c r="C53" s="18" t="inlineStr">
        <is>
          <t>All beds</t>
        </is>
      </c>
      <c r="D53" s="19" t="inlineStr">
        <is>
          <t>Water</t>
        </is>
      </c>
      <c r="E53" s="21" t="n"/>
      <c r="F53" s="11">
        <f>IF(AND(B53="",C53="",D53=""),"",IF(NOT(ISNUMBER(B53)),"Needs a date",IF(D53="","Needs the job",IF(AND(C53&lt;&gt;"",C53&lt;&gt;"All beds",COUNTIF(Beds!$B$6:$B$35,C53)=0),"Not on Beds",""))))</f>
        <v/>
      </c>
      <c r="G53" s="1">
        <f>IF(ISNUMBER(B53),INT(B53),0)</f>
        <v/>
      </c>
      <c r="H53">
        <f>IF(AND(G53&gt;0,D53="Water",OR(C53="",C53="All beds")),G53,0)</f>
        <v/>
      </c>
    </row>
    <row r="54">
      <c r="A54" s="1" t="n"/>
      <c r="B54" s="17" t="n">
        <v>45888</v>
      </c>
      <c r="C54" s="18" t="inlineStr">
        <is>
          <t>Greenhouse</t>
        </is>
      </c>
      <c r="D54" s="19" t="inlineStr">
        <is>
          <t>Feed</t>
        </is>
      </c>
      <c r="E54" s="21" t="inlineStr">
        <is>
          <t>Tomato feed</t>
        </is>
      </c>
      <c r="F54" s="11">
        <f>IF(AND(B54="",C54="",D54=""),"",IF(NOT(ISNUMBER(B54)),"Needs a date",IF(D54="","Needs the job",IF(AND(C54&lt;&gt;"",C54&lt;&gt;"All beds",COUNTIF(Beds!$B$6:$B$35,C54)=0),"Not on Beds",""))))</f>
        <v/>
      </c>
      <c r="G54" s="1">
        <f>IF(ISNUMBER(B54),INT(B54),0)</f>
        <v/>
      </c>
      <c r="H54">
        <f>IF(AND(G54&gt;0,D54="Water",OR(C54="",C54="All beds")),G54,0)</f>
        <v/>
      </c>
    </row>
    <row r="55">
      <c r="A55" s="1" t="n"/>
      <c r="B55" s="17" t="n">
        <v>45891</v>
      </c>
      <c r="C55" s="18" t="inlineStr">
        <is>
          <t>All beds</t>
        </is>
      </c>
      <c r="D55" s="19" t="inlineStr">
        <is>
          <t>Water</t>
        </is>
      </c>
      <c r="E55" s="21" t="n"/>
      <c r="F55" s="11">
        <f>IF(AND(B55="",C55="",D55=""),"",IF(NOT(ISNUMBER(B55)),"Needs a date",IF(D55="","Needs the job",IF(AND(C55&lt;&gt;"",C55&lt;&gt;"All beds",COUNTIF(Beds!$B$6:$B$35,C55)=0),"Not on Beds",""))))</f>
        <v/>
      </c>
      <c r="G55" s="1">
        <f>IF(ISNUMBER(B55),INT(B55),0)</f>
        <v/>
      </c>
      <c r="H55">
        <f>IF(AND(G55&gt;0,D55="Water",OR(C55="",C55="All beds")),G55,0)</f>
        <v/>
      </c>
    </row>
    <row r="56">
      <c r="A56" s="1" t="n"/>
      <c r="B56" s="17" t="n">
        <v>45895</v>
      </c>
      <c r="C56" s="18" t="inlineStr">
        <is>
          <t>All beds</t>
        </is>
      </c>
      <c r="D56" s="19" t="inlineStr">
        <is>
          <t>Water</t>
        </is>
      </c>
      <c r="E56" s="21" t="n"/>
      <c r="F56" s="11">
        <f>IF(AND(B56="",C56="",D56=""),"",IF(NOT(ISNUMBER(B56)),"Needs a date",IF(D56="","Needs the job",IF(AND(C56&lt;&gt;"",C56&lt;&gt;"All beds",COUNTIF(Beds!$B$6:$B$35,C56)=0),"Not on Beds",""))))</f>
        <v/>
      </c>
      <c r="G56" s="1">
        <f>IF(ISNUMBER(B56),INT(B56),0)</f>
        <v/>
      </c>
      <c r="H56">
        <f>IF(AND(G56&gt;0,D56="Water",OR(C56="",C56="All beds")),G56,0)</f>
        <v/>
      </c>
    </row>
    <row r="57">
      <c r="A57" s="1" t="n"/>
      <c r="B57" s="17" t="n">
        <v>45895</v>
      </c>
      <c r="C57" s="18" t="inlineStr">
        <is>
          <t>Greenhouse</t>
        </is>
      </c>
      <c r="D57" s="19" t="inlineStr">
        <is>
          <t>Feed</t>
        </is>
      </c>
      <c r="E57" s="21" t="inlineStr">
        <is>
          <t>Tomato feed</t>
        </is>
      </c>
      <c r="F57" s="11">
        <f>IF(AND(B57="",C57="",D57=""),"",IF(NOT(ISNUMBER(B57)),"Needs a date",IF(D57="","Needs the job",IF(AND(C57&lt;&gt;"",C57&lt;&gt;"All beds",COUNTIF(Beds!$B$6:$B$35,C57)=0),"Not on Beds",""))))</f>
        <v/>
      </c>
      <c r="G57" s="1">
        <f>IF(ISNUMBER(B57),INT(B57),0)</f>
        <v/>
      </c>
      <c r="H57">
        <f>IF(AND(G57&gt;0,D57="Water",OR(C57="",C57="All beds")),G57,0)</f>
        <v/>
      </c>
    </row>
    <row r="58">
      <c r="A58" s="1" t="n"/>
      <c r="B58" s="17" t="n">
        <v>45897</v>
      </c>
      <c r="C58" s="18" t="inlineStr">
        <is>
          <t>All beds</t>
        </is>
      </c>
      <c r="D58" s="19" t="inlineStr">
        <is>
          <t>Water</t>
        </is>
      </c>
      <c r="E58" s="21" t="n"/>
      <c r="F58" s="11">
        <f>IF(AND(B58="",C58="",D58=""),"",IF(NOT(ISNUMBER(B58)),"Needs a date",IF(D58="","Needs the job",IF(AND(C58&lt;&gt;"",C58&lt;&gt;"All beds",COUNTIF(Beds!$B$6:$B$35,C58)=0),"Not on Beds",""))))</f>
        <v/>
      </c>
      <c r="G58" s="1">
        <f>IF(ISNUMBER(B58),INT(B58),0)</f>
        <v/>
      </c>
      <c r="H58">
        <f>IF(AND(G58&gt;0,D58="Water",OR(C58="",C58="All beds")),G58,0)</f>
        <v/>
      </c>
    </row>
    <row r="59">
      <c r="A59" s="1" t="n"/>
      <c r="B59" s="17" t="n">
        <v>45900</v>
      </c>
      <c r="C59" s="18" t="inlineStr">
        <is>
          <t>All beds</t>
        </is>
      </c>
      <c r="D59" s="19" t="inlineStr">
        <is>
          <t>Water</t>
        </is>
      </c>
      <c r="E59" s="21" t="n"/>
      <c r="F59" s="11">
        <f>IF(AND(B59="",C59="",D59=""),"",IF(NOT(ISNUMBER(B59)),"Needs a date",IF(D59="","Needs the job",IF(AND(C59&lt;&gt;"",C59&lt;&gt;"All beds",COUNTIF(Beds!$B$6:$B$35,C59)=0),"Not on Beds",""))))</f>
        <v/>
      </c>
      <c r="G59" s="1">
        <f>IF(ISNUMBER(B59),INT(B59),0)</f>
        <v/>
      </c>
      <c r="H59">
        <f>IF(AND(G59&gt;0,D59="Water",OR(C59="",C59="All beds")),G59,0)</f>
        <v/>
      </c>
    </row>
    <row r="60">
      <c r="A60" s="1" t="n"/>
      <c r="B60" s="17" t="n">
        <v>45902</v>
      </c>
      <c r="C60" s="18" t="inlineStr">
        <is>
          <t>Greenhouse</t>
        </is>
      </c>
      <c r="D60" s="19" t="inlineStr">
        <is>
          <t>Feed</t>
        </is>
      </c>
      <c r="E60" s="21" t="inlineStr">
        <is>
          <t>Tomato feed</t>
        </is>
      </c>
      <c r="F60" s="11">
        <f>IF(AND(B60="",C60="",D60=""),"",IF(NOT(ISNUMBER(B60)),"Needs a date",IF(D60="","Needs the job",IF(AND(C60&lt;&gt;"",C60&lt;&gt;"All beds",COUNTIF(Beds!$B$6:$B$35,C60)=0),"Not on Beds",""))))</f>
        <v/>
      </c>
      <c r="G60" s="1">
        <f>IF(ISNUMBER(B60),INT(B60),0)</f>
        <v/>
      </c>
      <c r="H60">
        <f>IF(AND(G60&gt;0,D60="Water",OR(C60="",C60="All beds")),G60,0)</f>
        <v/>
      </c>
    </row>
    <row r="61">
      <c r="A61" s="1" t="n"/>
      <c r="B61" s="17" t="n">
        <v>45904</v>
      </c>
      <c r="C61" s="18" t="inlineStr">
        <is>
          <t>All beds</t>
        </is>
      </c>
      <c r="D61" s="19" t="inlineStr">
        <is>
          <t>Water</t>
        </is>
      </c>
      <c r="E61" s="21" t="n"/>
      <c r="F61" s="11">
        <f>IF(AND(B61="",C61="",D61=""),"",IF(NOT(ISNUMBER(B61)),"Needs a date",IF(D61="","Needs the job",IF(AND(C61&lt;&gt;"",C61&lt;&gt;"All beds",COUNTIF(Beds!$B$6:$B$35,C61)=0),"Not on Beds",""))))</f>
        <v/>
      </c>
      <c r="G61" s="1">
        <f>IF(ISNUMBER(B61),INT(B61),0)</f>
        <v/>
      </c>
      <c r="H61">
        <f>IF(AND(G61&gt;0,D61="Water",OR(C61="",C61="All beds")),G61,0)</f>
        <v/>
      </c>
    </row>
    <row r="62">
      <c r="A62" s="1" t="n"/>
      <c r="B62" s="17" t="n">
        <v>45906</v>
      </c>
      <c r="C62" s="18" t="inlineStr">
        <is>
          <t>All beds</t>
        </is>
      </c>
      <c r="D62" s="19" t="inlineStr">
        <is>
          <t>Water</t>
        </is>
      </c>
      <c r="E62" s="21" t="n"/>
      <c r="F62" s="11">
        <f>IF(AND(B62="",C62="",D62=""),"",IF(NOT(ISNUMBER(B62)),"Needs a date",IF(D62="","Needs the job",IF(AND(C62&lt;&gt;"",C62&lt;&gt;"All beds",COUNTIF(Beds!$B$6:$B$35,C62)=0),"Not on Beds",""))))</f>
        <v/>
      </c>
      <c r="G62" s="1">
        <f>IF(ISNUMBER(B62),INT(B62),0)</f>
        <v/>
      </c>
      <c r="H62">
        <f>IF(AND(G62&gt;0,D62="Water",OR(C62="",C62="All beds")),G62,0)</f>
        <v/>
      </c>
    </row>
    <row r="63">
      <c r="A63" s="1" t="n"/>
      <c r="B63" s="17" t="n">
        <v>45909</v>
      </c>
      <c r="C63" s="18" t="inlineStr">
        <is>
          <t>All beds</t>
        </is>
      </c>
      <c r="D63" s="19" t="inlineStr">
        <is>
          <t>Water</t>
        </is>
      </c>
      <c r="E63" s="21" t="n"/>
      <c r="F63" s="11">
        <f>IF(AND(B63="",C63="",D63=""),"",IF(NOT(ISNUMBER(B63)),"Needs a date",IF(D63="","Needs the job",IF(AND(C63&lt;&gt;"",C63&lt;&gt;"All beds",COUNTIF(Beds!$B$6:$B$35,C63)=0),"Not on Beds",""))))</f>
        <v/>
      </c>
      <c r="G63" s="1">
        <f>IF(ISNUMBER(B63),INT(B63),0)</f>
        <v/>
      </c>
      <c r="H63">
        <f>IF(AND(G63&gt;0,D63="Water",OR(C63="",C63="All beds")),G63,0)</f>
        <v/>
      </c>
    </row>
    <row r="64">
      <c r="A64" s="1" t="n"/>
      <c r="B64" s="17" t="n">
        <v>45909</v>
      </c>
      <c r="C64" s="18" t="inlineStr">
        <is>
          <t>Greenhouse</t>
        </is>
      </c>
      <c r="D64" s="19" t="inlineStr">
        <is>
          <t>Feed</t>
        </is>
      </c>
      <c r="E64" s="21" t="inlineStr">
        <is>
          <t>Tomato feed</t>
        </is>
      </c>
      <c r="F64" s="11">
        <f>IF(AND(B64="",C64="",D64=""),"",IF(NOT(ISNUMBER(B64)),"Needs a date",IF(D64="","Needs the job",IF(AND(C64&lt;&gt;"",C64&lt;&gt;"All beds",COUNTIF(Beds!$B$6:$B$35,C64)=0),"Not on Beds",""))))</f>
        <v/>
      </c>
      <c r="G64" s="1">
        <f>IF(ISNUMBER(B64),INT(B64),0)</f>
        <v/>
      </c>
      <c r="H64">
        <f>IF(AND(G64&gt;0,D64="Water",OR(C64="",C64="All beds")),G64,0)</f>
        <v/>
      </c>
    </row>
    <row r="65">
      <c r="A65" s="1" t="n"/>
      <c r="B65" s="17" t="n">
        <v>45911</v>
      </c>
      <c r="C65" s="18" t="inlineStr">
        <is>
          <t>All beds</t>
        </is>
      </c>
      <c r="D65" s="19" t="inlineStr">
        <is>
          <t>Water</t>
        </is>
      </c>
      <c r="E65" s="21" t="n"/>
      <c r="F65" s="11">
        <f>IF(AND(B65="",C65="",D65=""),"",IF(NOT(ISNUMBER(B65)),"Needs a date",IF(D65="","Needs the job",IF(AND(C65&lt;&gt;"",C65&lt;&gt;"All beds",COUNTIF(Beds!$B$6:$B$35,C65)=0),"Not on Beds",""))))</f>
        <v/>
      </c>
      <c r="G65" s="1">
        <f>IF(ISNUMBER(B65),INT(B65),0)</f>
        <v/>
      </c>
      <c r="H65">
        <f>IF(AND(G65&gt;0,D65="Water",OR(C65="",C65="All beds")),G65,0)</f>
        <v/>
      </c>
    </row>
    <row r="66">
      <c r="A66" s="1" t="n"/>
      <c r="B66" s="17" t="n">
        <v>45913</v>
      </c>
      <c r="C66" s="18" t="inlineStr">
        <is>
          <t>All beds</t>
        </is>
      </c>
      <c r="D66" s="19" t="inlineStr">
        <is>
          <t>Water</t>
        </is>
      </c>
      <c r="E66" s="21" t="n"/>
      <c r="F66" s="11">
        <f>IF(AND(B66="",C66="",D66=""),"",IF(NOT(ISNUMBER(B66)),"Needs a date",IF(D66="","Needs the job",IF(AND(C66&lt;&gt;"",C66&lt;&gt;"All beds",COUNTIF(Beds!$B$6:$B$35,C66)=0),"Not on Beds",""))))</f>
        <v/>
      </c>
      <c r="G66" s="1">
        <f>IF(ISNUMBER(B66),INT(B66),0)</f>
        <v/>
      </c>
      <c r="H66">
        <f>IF(AND(G66&gt;0,D66="Water",OR(C66="",C66="All beds")),G66,0)</f>
        <v/>
      </c>
    </row>
    <row r="67">
      <c r="A67" s="1" t="n"/>
      <c r="B67" s="17" t="n">
        <v>45916</v>
      </c>
      <c r="C67" s="18" t="inlineStr">
        <is>
          <t>Greenhouse</t>
        </is>
      </c>
      <c r="D67" s="19" t="inlineStr">
        <is>
          <t>Feed</t>
        </is>
      </c>
      <c r="E67" s="21" t="inlineStr">
        <is>
          <t>Tomato feed</t>
        </is>
      </c>
      <c r="F67" s="11">
        <f>IF(AND(B67="",C67="",D67=""),"",IF(NOT(ISNUMBER(B67)),"Needs a date",IF(D67="","Needs the job",IF(AND(C67&lt;&gt;"",C67&lt;&gt;"All beds",COUNTIF(Beds!$B$6:$B$35,C67)=0),"Not on Beds",""))))</f>
        <v/>
      </c>
      <c r="G67" s="1">
        <f>IF(ISNUMBER(B67),INT(B67),0)</f>
        <v/>
      </c>
      <c r="H67">
        <f>IF(AND(G67&gt;0,D67="Water",OR(C67="",C67="All beds")),G67,0)</f>
        <v/>
      </c>
    </row>
    <row r="68">
      <c r="A68" s="1" t="n"/>
      <c r="B68" s="17" t="n">
        <v>45917</v>
      </c>
      <c r="C68" s="18" t="inlineStr">
        <is>
          <t>All beds</t>
        </is>
      </c>
      <c r="D68" s="19" t="inlineStr">
        <is>
          <t>Water</t>
        </is>
      </c>
      <c r="E68" s="21" t="n"/>
      <c r="F68" s="11">
        <f>IF(AND(B68="",C68="",D68=""),"",IF(NOT(ISNUMBER(B68)),"Needs a date",IF(D68="","Needs the job",IF(AND(C68&lt;&gt;"",C68&lt;&gt;"All beds",COUNTIF(Beds!$B$6:$B$35,C68)=0),"Not on Beds",""))))</f>
        <v/>
      </c>
      <c r="G68" s="1">
        <f>IF(ISNUMBER(B68),INT(B68),0)</f>
        <v/>
      </c>
      <c r="H68">
        <f>IF(AND(G68&gt;0,D68="Water",OR(C68="",C68="All beds")),G68,0)</f>
        <v/>
      </c>
    </row>
    <row r="69">
      <c r="A69" s="1" t="n"/>
      <c r="B69" s="17" t="n">
        <v>45919</v>
      </c>
      <c r="C69" s="18" t="inlineStr">
        <is>
          <t>All beds</t>
        </is>
      </c>
      <c r="D69" s="19" t="inlineStr">
        <is>
          <t>Water</t>
        </is>
      </c>
      <c r="E69" s="21" t="n"/>
      <c r="F69" s="11">
        <f>IF(AND(B69="",C69="",D69=""),"",IF(NOT(ISNUMBER(B69)),"Needs a date",IF(D69="","Needs the job",IF(AND(C69&lt;&gt;"",C69&lt;&gt;"All beds",COUNTIF(Beds!$B$6:$B$35,C69)=0),"Not on Beds",""))))</f>
        <v/>
      </c>
      <c r="G69" s="1">
        <f>IF(ISNUMBER(B69),INT(B69),0)</f>
        <v/>
      </c>
      <c r="H69">
        <f>IF(AND(G69&gt;0,D69="Water",OR(C69="",C69="All beds")),G69,0)</f>
        <v/>
      </c>
    </row>
    <row r="70">
      <c r="A70" s="1" t="n"/>
      <c r="B70" s="17" t="n">
        <v>45923</v>
      </c>
      <c r="C70" s="18" t="inlineStr">
        <is>
          <t>All beds</t>
        </is>
      </c>
      <c r="D70" s="19" t="inlineStr">
        <is>
          <t>Water</t>
        </is>
      </c>
      <c r="E70" s="21" t="n"/>
      <c r="F70" s="11">
        <f>IF(AND(B70="",C70="",D70=""),"",IF(NOT(ISNUMBER(B70)),"Needs a date",IF(D70="","Needs the job",IF(AND(C70&lt;&gt;"",C70&lt;&gt;"All beds",COUNTIF(Beds!$B$6:$B$35,C70)=0),"Not on Beds",""))))</f>
        <v/>
      </c>
      <c r="G70" s="1">
        <f>IF(ISNUMBER(B70),INT(B70),0)</f>
        <v/>
      </c>
      <c r="H70">
        <f>IF(AND(G70&gt;0,D70="Water",OR(C70="",C70="All beds")),G70,0)</f>
        <v/>
      </c>
    </row>
    <row r="71">
      <c r="A71" s="1" t="n"/>
      <c r="B71" s="17" t="n">
        <v>45925</v>
      </c>
      <c r="C71" s="18" t="inlineStr">
        <is>
          <t>All beds</t>
        </is>
      </c>
      <c r="D71" s="19" t="inlineStr">
        <is>
          <t>Water</t>
        </is>
      </c>
      <c r="E71" s="21" t="n"/>
      <c r="F71" s="11">
        <f>IF(AND(B71="",C71="",D71=""),"",IF(NOT(ISNUMBER(B71)),"Needs a date",IF(D71="","Needs the job",IF(AND(C71&lt;&gt;"",C71&lt;&gt;"All beds",COUNTIF(Beds!$B$6:$B$35,C71)=0),"Not on Beds",""))))</f>
        <v/>
      </c>
      <c r="G71" s="1">
        <f>IF(ISNUMBER(B71),INT(B71),0)</f>
        <v/>
      </c>
      <c r="H71">
        <f>IF(AND(G71&gt;0,D71="Water",OR(C71="",C71="All beds")),G71,0)</f>
        <v/>
      </c>
    </row>
    <row r="72">
      <c r="A72" s="1" t="n"/>
      <c r="B72" s="17" t="n">
        <v>45927</v>
      </c>
      <c r="C72" s="18" t="inlineStr">
        <is>
          <t>All beds</t>
        </is>
      </c>
      <c r="D72" s="19" t="inlineStr">
        <is>
          <t>Water</t>
        </is>
      </c>
      <c r="E72" s="21" t="n"/>
      <c r="F72" s="11">
        <f>IF(AND(B72="",C72="",D72=""),"",IF(NOT(ISNUMBER(B72)),"Needs a date",IF(D72="","Needs the job",IF(AND(C72&lt;&gt;"",C72&lt;&gt;"All beds",COUNTIF(Beds!$B$6:$B$35,C72)=0),"Not on Beds",""))))</f>
        <v/>
      </c>
      <c r="G72" s="1">
        <f>IF(ISNUMBER(B72),INT(B72),0)</f>
        <v/>
      </c>
      <c r="H72">
        <f>IF(AND(G72&gt;0,D72="Water",OR(C72="",C72="All beds")),G72,0)</f>
        <v/>
      </c>
    </row>
    <row r="73">
      <c r="A73" s="1" t="n"/>
      <c r="B73" s="17" t="n">
        <v>45929</v>
      </c>
      <c r="C73" s="18" t="inlineStr">
        <is>
          <t>All beds</t>
        </is>
      </c>
      <c r="D73" s="19" t="inlineStr">
        <is>
          <t>Water</t>
        </is>
      </c>
      <c r="E73" s="21" t="n"/>
      <c r="F73" s="11">
        <f>IF(AND(B73="",C73="",D73=""),"",IF(NOT(ISNUMBER(B73)),"Needs a date",IF(D73="","Needs the job",IF(AND(C73&lt;&gt;"",C73&lt;&gt;"All beds",COUNTIF(Beds!$B$6:$B$35,C73)=0),"Not on Beds",""))))</f>
        <v/>
      </c>
      <c r="G73" s="1">
        <f>IF(ISNUMBER(B73),INT(B73),0)</f>
        <v/>
      </c>
      <c r="H73">
        <f>IF(AND(G73&gt;0,D73="Water",OR(C73="",C73="All beds")),G73,0)</f>
        <v/>
      </c>
    </row>
    <row r="74">
      <c r="A74" s="1" t="n"/>
      <c r="B74" s="17" t="n">
        <v>46089</v>
      </c>
      <c r="C74" s="18" t="inlineStr">
        <is>
          <t>Bed 1</t>
        </is>
      </c>
      <c r="D74" s="19" t="inlineStr">
        <is>
          <t>Weed</t>
        </is>
      </c>
      <c r="E74" s="21" t="n"/>
      <c r="F74" s="11">
        <f>IF(AND(B74="",C74="",D74=""),"",IF(NOT(ISNUMBER(B74)),"Needs a date",IF(D74="","Needs the job",IF(AND(C74&lt;&gt;"",C74&lt;&gt;"All beds",COUNTIF(Beds!$B$6:$B$35,C74)=0),"Not on Beds",""))))</f>
        <v/>
      </c>
      <c r="G74" s="1">
        <f>IF(ISNUMBER(B74),INT(B74),0)</f>
        <v/>
      </c>
      <c r="H74">
        <f>IF(AND(G74&gt;0,D74="Water",OR(C74="",C74="All beds")),G74,0)</f>
        <v/>
      </c>
    </row>
    <row r="75">
      <c r="A75" s="1" t="n"/>
      <c r="B75" s="17" t="n">
        <v>46090</v>
      </c>
      <c r="C75" s="18" t="inlineStr">
        <is>
          <t>Bed 2</t>
        </is>
      </c>
      <c r="D75" s="19" t="inlineStr">
        <is>
          <t>Mulch</t>
        </is>
      </c>
      <c r="E75" s="21" t="inlineStr">
        <is>
          <t>Compost</t>
        </is>
      </c>
      <c r="F75" s="11">
        <f>IF(AND(B75="",C75="",D75=""),"",IF(NOT(ISNUMBER(B75)),"Needs a date",IF(D75="","Needs the job",IF(AND(C75&lt;&gt;"",C75&lt;&gt;"All beds",COUNTIF(Beds!$B$6:$B$35,C75)=0),"Not on Beds",""))))</f>
        <v/>
      </c>
      <c r="G75" s="1">
        <f>IF(ISNUMBER(B75),INT(B75),0)</f>
        <v/>
      </c>
      <c r="H75">
        <f>IF(AND(G75&gt;0,D75="Water",OR(C75="",C75="All beds")),G75,0)</f>
        <v/>
      </c>
    </row>
    <row r="76">
      <c r="A76" s="1" t="n"/>
      <c r="B76" s="17" t="n">
        <v>46130</v>
      </c>
      <c r="C76" s="18" t="inlineStr">
        <is>
          <t>Bed 4</t>
        </is>
      </c>
      <c r="D76" s="19" t="inlineStr">
        <is>
          <t>Weed</t>
        </is>
      </c>
      <c r="E76" s="21" t="n"/>
      <c r="F76" s="11">
        <f>IF(AND(B76="",C76="",D76=""),"",IF(NOT(ISNUMBER(B76)),"Needs a date",IF(D76="","Needs the job",IF(AND(C76&lt;&gt;"",C76&lt;&gt;"All beds",COUNTIF(Beds!$B$6:$B$35,C76)=0),"Not on Beds",""))))</f>
        <v/>
      </c>
      <c r="G76" s="1">
        <f>IF(ISNUMBER(B76),INT(B76),0)</f>
        <v/>
      </c>
      <c r="H76">
        <f>IF(AND(G76&gt;0,D76="Water",OR(C76="",C76="All beds")),G76,0)</f>
        <v/>
      </c>
    </row>
    <row r="77">
      <c r="A77" s="1" t="n"/>
      <c r="B77" s="17" t="n">
        <v>46143</v>
      </c>
      <c r="C77" s="18" t="inlineStr">
        <is>
          <t>All beds</t>
        </is>
      </c>
      <c r="D77" s="19" t="inlineStr">
        <is>
          <t>Water</t>
        </is>
      </c>
      <c r="E77" s="21" t="n"/>
      <c r="F77" s="11">
        <f>IF(AND(B77="",C77="",D77=""),"",IF(NOT(ISNUMBER(B77)),"Needs a date",IF(D77="","Needs the job",IF(AND(C77&lt;&gt;"",C77&lt;&gt;"All beds",COUNTIF(Beds!$B$6:$B$35,C77)=0),"Not on Beds",""))))</f>
        <v/>
      </c>
      <c r="G77" s="1">
        <f>IF(ISNUMBER(B77),INT(B77),0)</f>
        <v/>
      </c>
      <c r="H77">
        <f>IF(AND(G77&gt;0,D77="Water",OR(C77="",C77="All beds")),G77,0)</f>
        <v/>
      </c>
    </row>
    <row r="78">
      <c r="A78" s="1" t="n"/>
      <c r="B78" s="17" t="n">
        <v>46147</v>
      </c>
      <c r="C78" s="18" t="inlineStr">
        <is>
          <t>All beds</t>
        </is>
      </c>
      <c r="D78" s="19" t="inlineStr">
        <is>
          <t>Water</t>
        </is>
      </c>
      <c r="E78" s="21" t="n"/>
      <c r="F78" s="11">
        <f>IF(AND(B78="",C78="",D78=""),"",IF(NOT(ISNUMBER(B78)),"Needs a date",IF(D78="","Needs the job",IF(AND(C78&lt;&gt;"",C78&lt;&gt;"All beds",COUNTIF(Beds!$B$6:$B$35,C78)=0),"Not on Beds",""))))</f>
        <v/>
      </c>
      <c r="G78" s="1">
        <f>IF(ISNUMBER(B78),INT(B78),0)</f>
        <v/>
      </c>
      <c r="H78">
        <f>IF(AND(G78&gt;0,D78="Water",OR(C78="",C78="All beds")),G78,0)</f>
        <v/>
      </c>
    </row>
    <row r="79">
      <c r="A79" s="1" t="n"/>
      <c r="B79" s="17" t="n">
        <v>46150</v>
      </c>
      <c r="C79" s="18" t="inlineStr">
        <is>
          <t>All beds</t>
        </is>
      </c>
      <c r="D79" s="19" t="inlineStr">
        <is>
          <t>Water</t>
        </is>
      </c>
      <c r="E79" s="21" t="n"/>
      <c r="F79" s="11">
        <f>IF(AND(B79="",C79="",D79=""),"",IF(NOT(ISNUMBER(B79)),"Needs a date",IF(D79="","Needs the job",IF(AND(C79&lt;&gt;"",C79&lt;&gt;"All beds",COUNTIF(Beds!$B$6:$B$35,C79)=0),"Not on Beds",""))))</f>
        <v/>
      </c>
      <c r="G79" s="1">
        <f>IF(ISNUMBER(B79),INT(B79),0)</f>
        <v/>
      </c>
      <c r="H79">
        <f>IF(AND(G79&gt;0,D79="Water",OR(C79="",C79="All beds")),G79,0)</f>
        <v/>
      </c>
    </row>
    <row r="80">
      <c r="A80" s="1" t="n"/>
      <c r="B80" s="17" t="n">
        <v>46154</v>
      </c>
      <c r="C80" s="18" t="inlineStr">
        <is>
          <t>All beds</t>
        </is>
      </c>
      <c r="D80" s="19" t="inlineStr">
        <is>
          <t>Water</t>
        </is>
      </c>
      <c r="E80" s="21" t="n"/>
      <c r="F80" s="11">
        <f>IF(AND(B80="",C80="",D80=""),"",IF(NOT(ISNUMBER(B80)),"Needs a date",IF(D80="","Needs the job",IF(AND(C80&lt;&gt;"",C80&lt;&gt;"All beds",COUNTIF(Beds!$B$6:$B$35,C80)=0),"Not on Beds",""))))</f>
        <v/>
      </c>
      <c r="G80" s="1">
        <f>IF(ISNUMBER(B80),INT(B80),0)</f>
        <v/>
      </c>
      <c r="H80">
        <f>IF(AND(G80&gt;0,D80="Water",OR(C80="",C80="All beds")),G80,0)</f>
        <v/>
      </c>
    </row>
    <row r="81">
      <c r="A81" s="1" t="n"/>
      <c r="B81" s="17" t="n">
        <v>46156</v>
      </c>
      <c r="C81" s="18" t="inlineStr">
        <is>
          <t>All beds</t>
        </is>
      </c>
      <c r="D81" s="19" t="inlineStr">
        <is>
          <t>Water</t>
        </is>
      </c>
      <c r="E81" s="21" t="n"/>
      <c r="F81" s="11">
        <f>IF(AND(B81="",C81="",D81=""),"",IF(NOT(ISNUMBER(B81)),"Needs a date",IF(D81="","Needs the job",IF(AND(C81&lt;&gt;"",C81&lt;&gt;"All beds",COUNTIF(Beds!$B$6:$B$35,C81)=0),"Not on Beds",""))))</f>
        <v/>
      </c>
      <c r="G81" s="1">
        <f>IF(ISNUMBER(B81),INT(B81),0)</f>
        <v/>
      </c>
      <c r="H81">
        <f>IF(AND(G81&gt;0,D81="Water",OR(C81="",C81="All beds")),G81,0)</f>
        <v/>
      </c>
    </row>
    <row r="82">
      <c r="A82" s="1" t="n"/>
      <c r="B82" s="17" t="n">
        <v>46159</v>
      </c>
      <c r="C82" s="18" t="inlineStr">
        <is>
          <t>All beds</t>
        </is>
      </c>
      <c r="D82" s="19" t="inlineStr">
        <is>
          <t>Water</t>
        </is>
      </c>
      <c r="E82" s="21" t="n"/>
      <c r="F82" s="11">
        <f>IF(AND(B82="",C82="",D82=""),"",IF(NOT(ISNUMBER(B82)),"Needs a date",IF(D82="","Needs the job",IF(AND(C82&lt;&gt;"",C82&lt;&gt;"All beds",COUNTIF(Beds!$B$6:$B$35,C82)=0),"Not on Beds",""))))</f>
        <v/>
      </c>
      <c r="G82" s="1">
        <f>IF(ISNUMBER(B82),INT(B82),0)</f>
        <v/>
      </c>
      <c r="H82">
        <f>IF(AND(G82&gt;0,D82="Water",OR(C82="",C82="All beds")),G82,0)</f>
        <v/>
      </c>
    </row>
    <row r="83">
      <c r="A83" s="1" t="n"/>
      <c r="B83" s="17" t="n">
        <v>46162</v>
      </c>
      <c r="C83" s="18" t="inlineStr">
        <is>
          <t>All beds</t>
        </is>
      </c>
      <c r="D83" s="19" t="inlineStr">
        <is>
          <t>Water</t>
        </is>
      </c>
      <c r="E83" s="21" t="n"/>
      <c r="F83" s="11">
        <f>IF(AND(B83="",C83="",D83=""),"",IF(NOT(ISNUMBER(B83)),"Needs a date",IF(D83="","Needs the job",IF(AND(C83&lt;&gt;"",C83&lt;&gt;"All beds",COUNTIF(Beds!$B$6:$B$35,C83)=0),"Not on Beds",""))))</f>
        <v/>
      </c>
      <c r="G83" s="1">
        <f>IF(ISNUMBER(B83),INT(B83),0)</f>
        <v/>
      </c>
      <c r="H83">
        <f>IF(AND(G83&gt;0,D83="Water",OR(C83="",C83="All beds")),G83,0)</f>
        <v/>
      </c>
    </row>
    <row r="84">
      <c r="A84" s="1" t="n"/>
      <c r="B84" s="17" t="n">
        <v>46165</v>
      </c>
      <c r="C84" s="18" t="inlineStr">
        <is>
          <t>All beds</t>
        </is>
      </c>
      <c r="D84" s="19" t="inlineStr">
        <is>
          <t>Water</t>
        </is>
      </c>
      <c r="E84" s="21" t="n"/>
      <c r="F84" s="11">
        <f>IF(AND(B84="",C84="",D84=""),"",IF(NOT(ISNUMBER(B84)),"Needs a date",IF(D84="","Needs the job",IF(AND(C84&lt;&gt;"",C84&lt;&gt;"All beds",COUNTIF(Beds!$B$6:$B$35,C84)=0),"Not on Beds",""))))</f>
        <v/>
      </c>
      <c r="G84" s="1">
        <f>IF(ISNUMBER(B84),INT(B84),0)</f>
        <v/>
      </c>
      <c r="H84">
        <f>IF(AND(G84&gt;0,D84="Water",OR(C84="",C84="All beds")),G84,0)</f>
        <v/>
      </c>
    </row>
    <row r="85">
      <c r="A85" s="1" t="n"/>
      <c r="B85" s="17" t="n">
        <v>46167</v>
      </c>
      <c r="C85" s="18" t="inlineStr">
        <is>
          <t>All beds</t>
        </is>
      </c>
      <c r="D85" s="19" t="inlineStr">
        <is>
          <t>Water</t>
        </is>
      </c>
      <c r="E85" s="21" t="n"/>
      <c r="F85" s="11">
        <f>IF(AND(B85="",C85="",D85=""),"",IF(NOT(ISNUMBER(B85)),"Needs a date",IF(D85="","Needs the job",IF(AND(C85&lt;&gt;"",C85&lt;&gt;"All beds",COUNTIF(Beds!$B$6:$B$35,C85)=0),"Not on Beds",""))))</f>
        <v/>
      </c>
      <c r="G85" s="1">
        <f>IF(ISNUMBER(B85),INT(B85),0)</f>
        <v/>
      </c>
      <c r="H85">
        <f>IF(AND(G85&gt;0,D85="Water",OR(C85="",C85="All beds")),G85,0)</f>
        <v/>
      </c>
    </row>
    <row r="86">
      <c r="A86" s="1" t="n"/>
      <c r="B86" s="17" t="n">
        <v>46171</v>
      </c>
      <c r="C86" s="18" t="inlineStr">
        <is>
          <t>All beds</t>
        </is>
      </c>
      <c r="D86" s="19" t="inlineStr">
        <is>
          <t>Water</t>
        </is>
      </c>
      <c r="E86" s="21" t="n"/>
      <c r="F86" s="11">
        <f>IF(AND(B86="",C86="",D86=""),"",IF(NOT(ISNUMBER(B86)),"Needs a date",IF(D86="","Needs the job",IF(AND(C86&lt;&gt;"",C86&lt;&gt;"All beds",COUNTIF(Beds!$B$6:$B$35,C86)=0),"Not on Beds",""))))</f>
        <v/>
      </c>
      <c r="G86" s="1">
        <f>IF(ISNUMBER(B86),INT(B86),0)</f>
        <v/>
      </c>
      <c r="H86">
        <f>IF(AND(G86&gt;0,D86="Water",OR(C86="",C86="All beds")),G86,0)</f>
        <v/>
      </c>
    </row>
    <row r="87">
      <c r="A87" s="1" t="n"/>
      <c r="B87" s="17" t="n">
        <v>46173</v>
      </c>
      <c r="C87" s="18" t="inlineStr">
        <is>
          <t>All beds</t>
        </is>
      </c>
      <c r="D87" s="19" t="inlineStr">
        <is>
          <t>Water</t>
        </is>
      </c>
      <c r="E87" s="21" t="n"/>
      <c r="F87" s="11">
        <f>IF(AND(B87="",C87="",D87=""),"",IF(NOT(ISNUMBER(B87)),"Needs a date",IF(D87="","Needs the job",IF(AND(C87&lt;&gt;"",C87&lt;&gt;"All beds",COUNTIF(Beds!$B$6:$B$35,C87)=0),"Not on Beds",""))))</f>
        <v/>
      </c>
      <c r="G87" s="1">
        <f>IF(ISNUMBER(B87),INT(B87),0)</f>
        <v/>
      </c>
      <c r="H87">
        <f>IF(AND(G87&gt;0,D87="Water",OR(C87="",C87="All beds")),G87,0)</f>
        <v/>
      </c>
    </row>
    <row r="88">
      <c r="A88" s="1" t="n"/>
      <c r="B88" s="17" t="n">
        <v>46176</v>
      </c>
      <c r="C88" s="18" t="inlineStr">
        <is>
          <t>All beds</t>
        </is>
      </c>
      <c r="D88" s="19" t="inlineStr">
        <is>
          <t>Water</t>
        </is>
      </c>
      <c r="E88" s="21" t="n"/>
      <c r="F88" s="11">
        <f>IF(AND(B88="",C88="",D88=""),"",IF(NOT(ISNUMBER(B88)),"Needs a date",IF(D88="","Needs the job",IF(AND(C88&lt;&gt;"",C88&lt;&gt;"All beds",COUNTIF(Beds!$B$6:$B$35,C88)=0),"Not on Beds",""))))</f>
        <v/>
      </c>
      <c r="G88" s="1">
        <f>IF(ISNUMBER(B88),INT(B88),0)</f>
        <v/>
      </c>
      <c r="H88">
        <f>IF(AND(G88&gt;0,D88="Water",OR(C88="",C88="All beds")),G88,0)</f>
        <v/>
      </c>
    </row>
    <row r="89">
      <c r="A89" s="1" t="n"/>
      <c r="B89" s="17" t="n">
        <v>46178</v>
      </c>
      <c r="C89" s="18" t="inlineStr">
        <is>
          <t>All beds</t>
        </is>
      </c>
      <c r="D89" s="19" t="inlineStr">
        <is>
          <t>Water</t>
        </is>
      </c>
      <c r="E89" s="21" t="n"/>
      <c r="F89" s="11">
        <f>IF(AND(B89="",C89="",D89=""),"",IF(NOT(ISNUMBER(B89)),"Needs a date",IF(D89="","Needs the job",IF(AND(C89&lt;&gt;"",C89&lt;&gt;"All beds",COUNTIF(Beds!$B$6:$B$35,C89)=0),"Not on Beds",""))))</f>
        <v/>
      </c>
      <c r="G89" s="1">
        <f>IF(ISNUMBER(B89),INT(B89),0)</f>
        <v/>
      </c>
      <c r="H89">
        <f>IF(AND(G89&gt;0,D89="Water",OR(C89="",C89="All beds")),G89,0)</f>
        <v/>
      </c>
    </row>
    <row r="90">
      <c r="A90" s="1" t="n"/>
      <c r="B90" s="17" t="n">
        <v>46179</v>
      </c>
      <c r="C90" s="18" t="inlineStr">
        <is>
          <t>Bed 3</t>
        </is>
      </c>
      <c r="D90" s="19" t="inlineStr">
        <is>
          <t>Pest check</t>
        </is>
      </c>
      <c r="E90" s="21" t="inlineStr">
        <is>
          <t>Slugs</t>
        </is>
      </c>
      <c r="F90" s="11">
        <f>IF(AND(B90="",C90="",D90=""),"",IF(NOT(ISNUMBER(B90)),"Needs a date",IF(D90="","Needs the job",IF(AND(C90&lt;&gt;"",C90&lt;&gt;"All beds",COUNTIF(Beds!$B$6:$B$35,C90)=0),"Not on Beds",""))))</f>
        <v/>
      </c>
      <c r="G90" s="1">
        <f>IF(ISNUMBER(B90),INT(B90),0)</f>
        <v/>
      </c>
      <c r="H90">
        <f>IF(AND(G90&gt;0,D90="Water",OR(C90="",C90="All beds")),G90,0)</f>
        <v/>
      </c>
    </row>
    <row r="91">
      <c r="A91" s="1" t="n"/>
      <c r="B91" s="17" t="n">
        <v>46180</v>
      </c>
      <c r="C91" s="18" t="inlineStr">
        <is>
          <t>All beds</t>
        </is>
      </c>
      <c r="D91" s="19" t="inlineStr">
        <is>
          <t>Water</t>
        </is>
      </c>
      <c r="E91" s="21" t="n"/>
      <c r="F91" s="11">
        <f>IF(AND(B91="",C91="",D91=""),"",IF(NOT(ISNUMBER(B91)),"Needs a date",IF(D91="","Needs the job",IF(AND(C91&lt;&gt;"",C91&lt;&gt;"All beds",COUNTIF(Beds!$B$6:$B$35,C91)=0),"Not on Beds",""))))</f>
        <v/>
      </c>
      <c r="G91" s="1">
        <f>IF(ISNUMBER(B91),INT(B91),0)</f>
        <v/>
      </c>
      <c r="H91">
        <f>IF(AND(G91&gt;0,D91="Water",OR(C91="",C91="All beds")),G91,0)</f>
        <v/>
      </c>
    </row>
    <row r="92">
      <c r="A92" s="1" t="n"/>
      <c r="B92" s="17" t="n">
        <v>46182</v>
      </c>
      <c r="C92" s="18" t="inlineStr">
        <is>
          <t>All beds</t>
        </is>
      </c>
      <c r="D92" s="19" t="inlineStr">
        <is>
          <t>Water</t>
        </is>
      </c>
      <c r="E92" s="21" t="n"/>
      <c r="F92" s="11">
        <f>IF(AND(B92="",C92="",D92=""),"",IF(NOT(ISNUMBER(B92)),"Needs a date",IF(D92="","Needs the job",IF(AND(C92&lt;&gt;"",C92&lt;&gt;"All beds",COUNTIF(Beds!$B$6:$B$35,C92)=0),"Not on Beds",""))))</f>
        <v/>
      </c>
      <c r="G92" s="1">
        <f>IF(ISNUMBER(B92),INT(B92),0)</f>
        <v/>
      </c>
      <c r="H92">
        <f>IF(AND(G92&gt;0,D92="Water",OR(C92="",C92="All beds")),G92,0)</f>
        <v/>
      </c>
    </row>
    <row r="93">
      <c r="A93" s="1" t="n"/>
      <c r="B93" s="17" t="n">
        <v>46183</v>
      </c>
      <c r="C93" s="18" t="inlineStr">
        <is>
          <t>Greenhouse</t>
        </is>
      </c>
      <c r="D93" s="19" t="inlineStr">
        <is>
          <t>Feed</t>
        </is>
      </c>
      <c r="E93" s="21" t="inlineStr">
        <is>
          <t>Tomato feed</t>
        </is>
      </c>
      <c r="F93" s="11">
        <f>IF(AND(B93="",C93="",D93=""),"",IF(NOT(ISNUMBER(B93)),"Needs a date",IF(D93="","Needs the job",IF(AND(C93&lt;&gt;"",C93&lt;&gt;"All beds",COUNTIF(Beds!$B$6:$B$35,C93)=0),"Not on Beds",""))))</f>
        <v/>
      </c>
      <c r="G93" s="1">
        <f>IF(ISNUMBER(B93),INT(B93),0)</f>
        <v/>
      </c>
      <c r="H93">
        <f>IF(AND(G93&gt;0,D93="Water",OR(C93="",C93="All beds")),G93,0)</f>
        <v/>
      </c>
    </row>
    <row r="94">
      <c r="A94" s="1" t="n"/>
      <c r="B94" s="17" t="n">
        <v>46186</v>
      </c>
      <c r="C94" s="18" t="inlineStr">
        <is>
          <t>All beds</t>
        </is>
      </c>
      <c r="D94" s="19" t="inlineStr">
        <is>
          <t>Water</t>
        </is>
      </c>
      <c r="E94" s="21" t="n"/>
      <c r="F94" s="11">
        <f>IF(AND(B94="",C94="",D94=""),"",IF(NOT(ISNUMBER(B94)),"Needs a date",IF(D94="","Needs the job",IF(AND(C94&lt;&gt;"",C94&lt;&gt;"All beds",COUNTIF(Beds!$B$6:$B$35,C94)=0),"Not on Beds",""))))</f>
        <v/>
      </c>
      <c r="G94" s="1">
        <f>IF(ISNUMBER(B94),INT(B94),0)</f>
        <v/>
      </c>
      <c r="H94">
        <f>IF(AND(G94&gt;0,D94="Water",OR(C94="",C94="All beds")),G94,0)</f>
        <v/>
      </c>
    </row>
    <row r="95">
      <c r="A95" s="1" t="n"/>
      <c r="B95" s="17" t="n">
        <v>46188</v>
      </c>
      <c r="C95" s="18" t="inlineStr">
        <is>
          <t>All beds</t>
        </is>
      </c>
      <c r="D95" s="19" t="inlineStr">
        <is>
          <t>Water</t>
        </is>
      </c>
      <c r="E95" s="21" t="n"/>
      <c r="F95" s="11">
        <f>IF(AND(B95="",C95="",D95=""),"",IF(NOT(ISNUMBER(B95)),"Needs a date",IF(D95="","Needs the job",IF(AND(C95&lt;&gt;"",C95&lt;&gt;"All beds",COUNTIF(Beds!$B$6:$B$35,C95)=0),"Not on Beds",""))))</f>
        <v/>
      </c>
      <c r="G95" s="1">
        <f>IF(ISNUMBER(B95),INT(B95),0)</f>
        <v/>
      </c>
      <c r="H95">
        <f>IF(AND(G95&gt;0,D95="Water",OR(C95="",C95="All beds")),G95,0)</f>
        <v/>
      </c>
    </row>
    <row r="96">
      <c r="A96" s="1" t="n"/>
      <c r="B96" s="17" t="n">
        <v>46190</v>
      </c>
      <c r="C96" s="18" t="inlineStr">
        <is>
          <t>All beds</t>
        </is>
      </c>
      <c r="D96" s="19" t="inlineStr">
        <is>
          <t>Water</t>
        </is>
      </c>
      <c r="E96" s="21" t="n"/>
      <c r="F96" s="11">
        <f>IF(AND(B96="",C96="",D96=""),"",IF(NOT(ISNUMBER(B96)),"Needs a date",IF(D96="","Needs the job",IF(AND(C96&lt;&gt;"",C96&lt;&gt;"All beds",COUNTIF(Beds!$B$6:$B$35,C96)=0),"Not on Beds",""))))</f>
        <v/>
      </c>
      <c r="G96" s="1">
        <f>IF(ISNUMBER(B96),INT(B96),0)</f>
        <v/>
      </c>
      <c r="H96">
        <f>IF(AND(G96&gt;0,D96="Water",OR(C96="",C96="All beds")),G96,0)</f>
        <v/>
      </c>
    </row>
    <row r="97">
      <c r="A97" s="1" t="n"/>
      <c r="B97" s="17" t="n">
        <v>46190</v>
      </c>
      <c r="C97" s="18" t="inlineStr">
        <is>
          <t>Greenhouse</t>
        </is>
      </c>
      <c r="D97" s="19" t="inlineStr">
        <is>
          <t>Feed</t>
        </is>
      </c>
      <c r="E97" s="21" t="inlineStr">
        <is>
          <t>Tomato feed</t>
        </is>
      </c>
      <c r="F97" s="11">
        <f>IF(AND(B97="",C97="",D97=""),"",IF(NOT(ISNUMBER(B97)),"Needs a date",IF(D97="","Needs the job",IF(AND(C97&lt;&gt;"",C97&lt;&gt;"All beds",COUNTIF(Beds!$B$6:$B$35,C97)=0),"Not on Beds",""))))</f>
        <v/>
      </c>
      <c r="G97" s="1">
        <f>IF(ISNUMBER(B97),INT(B97),0)</f>
        <v/>
      </c>
      <c r="H97">
        <f>IF(AND(G97&gt;0,D97="Water",OR(C97="",C97="All beds")),G97,0)</f>
        <v/>
      </c>
    </row>
    <row r="98">
      <c r="A98" s="1" t="n"/>
      <c r="B98" s="17" t="n">
        <v>46193</v>
      </c>
      <c r="C98" s="18" t="inlineStr">
        <is>
          <t>All beds</t>
        </is>
      </c>
      <c r="D98" s="19" t="inlineStr">
        <is>
          <t>Water</t>
        </is>
      </c>
      <c r="E98" s="21" t="n"/>
      <c r="F98" s="11">
        <f>IF(AND(B98="",C98="",D98=""),"",IF(NOT(ISNUMBER(B98)),"Needs a date",IF(D98="","Needs the job",IF(AND(C98&lt;&gt;"",C98&lt;&gt;"All beds",COUNTIF(Beds!$B$6:$B$35,C98)=0),"Not on Beds",""))))</f>
        <v/>
      </c>
      <c r="G98" s="1">
        <f>IF(ISNUMBER(B98),INT(B98),0)</f>
        <v/>
      </c>
      <c r="H98">
        <f>IF(AND(G98&gt;0,D98="Water",OR(C98="",C98="All beds")),G98,0)</f>
        <v/>
      </c>
    </row>
    <row r="99">
      <c r="A99" s="1" t="n"/>
      <c r="B99" s="17" t="n">
        <v>46195</v>
      </c>
      <c r="C99" s="18" t="inlineStr">
        <is>
          <t>All beds</t>
        </is>
      </c>
      <c r="D99" s="19" t="inlineStr">
        <is>
          <t>Water</t>
        </is>
      </c>
      <c r="E99" s="21" t="n"/>
      <c r="F99" s="11">
        <f>IF(AND(B99="",C99="",D99=""),"",IF(NOT(ISNUMBER(B99)),"Needs a date",IF(D99="","Needs the job",IF(AND(C99&lt;&gt;"",C99&lt;&gt;"All beds",COUNTIF(Beds!$B$6:$B$35,C99)=0),"Not on Beds",""))))</f>
        <v/>
      </c>
      <c r="G99" s="1">
        <f>IF(ISNUMBER(B99),INT(B99),0)</f>
        <v/>
      </c>
      <c r="H99">
        <f>IF(AND(G99&gt;0,D99="Water",OR(C99="",C99="All beds")),G99,0)</f>
        <v/>
      </c>
    </row>
    <row r="100">
      <c r="A100" s="1" t="n"/>
      <c r="B100" s="17" t="n">
        <v>46197</v>
      </c>
      <c r="C100" s="18" t="inlineStr">
        <is>
          <t>Greenhouse</t>
        </is>
      </c>
      <c r="D100" s="19" t="inlineStr">
        <is>
          <t>Feed</t>
        </is>
      </c>
      <c r="E100" s="21" t="inlineStr">
        <is>
          <t>Tomato feed</t>
        </is>
      </c>
      <c r="F100" s="11">
        <f>IF(AND(B100="",C100="",D100=""),"",IF(NOT(ISNUMBER(B100)),"Needs a date",IF(D100="","Needs the job",IF(AND(C100&lt;&gt;"",C100&lt;&gt;"All beds",COUNTIF(Beds!$B$6:$B$35,C100)=0),"Not on Beds",""))))</f>
        <v/>
      </c>
      <c r="G100" s="1">
        <f>IF(ISNUMBER(B100),INT(B100),0)</f>
        <v/>
      </c>
      <c r="H100">
        <f>IF(AND(G100&gt;0,D100="Water",OR(C100="",C100="All beds")),G100,0)</f>
        <v/>
      </c>
    </row>
    <row r="101">
      <c r="A101" s="1" t="n"/>
      <c r="B101" s="17" t="n">
        <v>46199</v>
      </c>
      <c r="C101" s="18" t="inlineStr">
        <is>
          <t>All beds</t>
        </is>
      </c>
      <c r="D101" s="19" t="inlineStr">
        <is>
          <t>Water</t>
        </is>
      </c>
      <c r="E101" s="21" t="n"/>
      <c r="F101" s="11">
        <f>IF(AND(B101="",C101="",D101=""),"",IF(NOT(ISNUMBER(B101)),"Needs a date",IF(D101="","Needs the job",IF(AND(C101&lt;&gt;"",C101&lt;&gt;"All beds",COUNTIF(Beds!$B$6:$B$35,C101)=0),"Not on Beds",""))))</f>
        <v/>
      </c>
      <c r="G101" s="1">
        <f>IF(ISNUMBER(B101),INT(B101),0)</f>
        <v/>
      </c>
      <c r="H101">
        <f>IF(AND(G101&gt;0,D101="Water",OR(C101="",C101="All beds")),G101,0)</f>
        <v/>
      </c>
    </row>
    <row r="102">
      <c r="A102" s="1" t="n"/>
      <c r="B102" s="17" t="n">
        <v>46201</v>
      </c>
      <c r="C102" s="18" t="inlineStr">
        <is>
          <t>All beds</t>
        </is>
      </c>
      <c r="D102" s="19" t="inlineStr">
        <is>
          <t>Water</t>
        </is>
      </c>
      <c r="E102" s="21" t="n"/>
      <c r="F102" s="11">
        <f>IF(AND(B102="",C102="",D102=""),"",IF(NOT(ISNUMBER(B102)),"Needs a date",IF(D102="","Needs the job",IF(AND(C102&lt;&gt;"",C102&lt;&gt;"All beds",COUNTIF(Beds!$B$6:$B$35,C102)=0),"Not on Beds",""))))</f>
        <v/>
      </c>
      <c r="G102" s="1">
        <f>IF(ISNUMBER(B102),INT(B102),0)</f>
        <v/>
      </c>
      <c r="H102">
        <f>IF(AND(G102&gt;0,D102="Water",OR(C102="",C102="All beds")),G102,0)</f>
        <v/>
      </c>
    </row>
    <row r="103">
      <c r="A103" s="1" t="n"/>
      <c r="B103" s="17" t="n">
        <v>46204</v>
      </c>
      <c r="C103" s="18" t="inlineStr">
        <is>
          <t>All beds</t>
        </is>
      </c>
      <c r="D103" s="19" t="inlineStr">
        <is>
          <t>Water</t>
        </is>
      </c>
      <c r="E103" s="21" t="n"/>
      <c r="F103" s="11">
        <f>IF(AND(B103="",C103="",D103=""),"",IF(NOT(ISNUMBER(B103)),"Needs a date",IF(D103="","Needs the job",IF(AND(C103&lt;&gt;"",C103&lt;&gt;"All beds",COUNTIF(Beds!$B$6:$B$35,C103)=0),"Not on Beds",""))))</f>
        <v/>
      </c>
      <c r="G103" s="1">
        <f>IF(ISNUMBER(B103),INT(B103),0)</f>
        <v/>
      </c>
      <c r="H103">
        <f>IF(AND(G103&gt;0,D103="Water",OR(C103="",C103="All beds")),G103,0)</f>
        <v/>
      </c>
    </row>
    <row r="104">
      <c r="A104" s="1" t="n"/>
      <c r="B104" s="17" t="n">
        <v>46204</v>
      </c>
      <c r="C104" s="18" t="inlineStr">
        <is>
          <t>Greenhouse</t>
        </is>
      </c>
      <c r="D104" s="19" t="inlineStr">
        <is>
          <t>Feed</t>
        </is>
      </c>
      <c r="E104" s="21" t="inlineStr">
        <is>
          <t>Tomato feed</t>
        </is>
      </c>
      <c r="F104" s="11">
        <f>IF(AND(B104="",C104="",D104=""),"",IF(NOT(ISNUMBER(B104)),"Needs a date",IF(D104="","Needs the job",IF(AND(C104&lt;&gt;"",C104&lt;&gt;"All beds",COUNTIF(Beds!$B$6:$B$35,C104)=0),"Not on Beds",""))))</f>
        <v/>
      </c>
      <c r="G104" s="1">
        <f>IF(ISNUMBER(B104),INT(B104),0)</f>
        <v/>
      </c>
      <c r="H104">
        <f>IF(AND(G104&gt;0,D104="Water",OR(C104="",C104="All beds")),G104,0)</f>
        <v/>
      </c>
    </row>
    <row r="105">
      <c r="A105" s="1" t="n"/>
      <c r="B105" s="17" t="n">
        <v>46205</v>
      </c>
      <c r="C105" s="18" t="inlineStr">
        <is>
          <t>Bed 1</t>
        </is>
      </c>
      <c r="D105" s="19" t="inlineStr">
        <is>
          <t>Weed</t>
        </is>
      </c>
      <c r="E105" s="21" t="n"/>
      <c r="F105" s="11">
        <f>IF(AND(B105="",C105="",D105=""),"",IF(NOT(ISNUMBER(B105)),"Needs a date",IF(D105="","Needs the job",IF(AND(C105&lt;&gt;"",C105&lt;&gt;"All beds",COUNTIF(Beds!$B$6:$B$35,C105)=0),"Not on Beds",""))))</f>
        <v/>
      </c>
      <c r="G105" s="1">
        <f>IF(ISNUMBER(B105),INT(B105),0)</f>
        <v/>
      </c>
      <c r="H105">
        <f>IF(AND(G105&gt;0,D105="Water",OR(C105="",C105="All beds")),G105,0)</f>
        <v/>
      </c>
    </row>
    <row r="106">
      <c r="A106" s="1" t="n"/>
      <c r="B106" s="17" t="n">
        <v>46207</v>
      </c>
      <c r="C106" s="18" t="inlineStr">
        <is>
          <t>All beds</t>
        </is>
      </c>
      <c r="D106" s="19" t="inlineStr">
        <is>
          <t>Water</t>
        </is>
      </c>
      <c r="E106" s="21" t="n"/>
      <c r="F106" s="11">
        <f>IF(AND(B106="",C106="",D106=""),"",IF(NOT(ISNUMBER(B106)),"Needs a date",IF(D106="","Needs the job",IF(AND(C106&lt;&gt;"",C106&lt;&gt;"All beds",COUNTIF(Beds!$B$6:$B$35,C106)=0),"Not on Beds",""))))</f>
        <v/>
      </c>
      <c r="G106" s="1">
        <f>IF(ISNUMBER(B106),INT(B106),0)</f>
        <v/>
      </c>
      <c r="H106">
        <f>IF(AND(G106&gt;0,D106="Water",OR(C106="",C106="All beds")),G106,0)</f>
        <v/>
      </c>
    </row>
    <row r="107">
      <c r="A107" s="1" t="n"/>
      <c r="B107" s="17" t="n">
        <v>46210</v>
      </c>
      <c r="C107" s="18" t="inlineStr">
        <is>
          <t>All beds</t>
        </is>
      </c>
      <c r="D107" s="19" t="inlineStr">
        <is>
          <t>Water</t>
        </is>
      </c>
      <c r="E107" s="21" t="n"/>
      <c r="F107" s="11">
        <f>IF(AND(B107="",C107="",D107=""),"",IF(NOT(ISNUMBER(B107)),"Needs a date",IF(D107="","Needs the job",IF(AND(C107&lt;&gt;"",C107&lt;&gt;"All beds",COUNTIF(Beds!$B$6:$B$35,C107)=0),"Not on Beds",""))))</f>
        <v/>
      </c>
      <c r="G107" s="1">
        <f>IF(ISNUMBER(B107),INT(B107),0)</f>
        <v/>
      </c>
      <c r="H107">
        <f>IF(AND(G107&gt;0,D107="Water",OR(C107="",C107="All beds")),G107,0)</f>
        <v/>
      </c>
    </row>
    <row r="108">
      <c r="A108" s="1" t="n"/>
      <c r="B108" s="17" t="n">
        <v>46211</v>
      </c>
      <c r="C108" s="18" t="inlineStr">
        <is>
          <t>Greenhouse</t>
        </is>
      </c>
      <c r="D108" s="19" t="inlineStr">
        <is>
          <t>Feed</t>
        </is>
      </c>
      <c r="E108" s="21" t="inlineStr">
        <is>
          <t>Tomato feed</t>
        </is>
      </c>
      <c r="F108" s="11">
        <f>IF(AND(B108="",C108="",D108=""),"",IF(NOT(ISNUMBER(B108)),"Needs a date",IF(D108="","Needs the job",IF(AND(C108&lt;&gt;"",C108&lt;&gt;"All beds",COUNTIF(Beds!$B$6:$B$35,C108)=0),"Not on Beds",""))))</f>
        <v/>
      </c>
      <c r="G108" s="1">
        <f>IF(ISNUMBER(B108),INT(B108),0)</f>
        <v/>
      </c>
      <c r="H108">
        <f>IF(AND(G108&gt;0,D108="Water",OR(C108="",C108="All beds")),G108,0)</f>
        <v/>
      </c>
    </row>
    <row r="109">
      <c r="A109" s="1" t="n"/>
      <c r="B109" s="17" t="n">
        <v>46213</v>
      </c>
      <c r="C109" s="18" t="inlineStr">
        <is>
          <t>All beds</t>
        </is>
      </c>
      <c r="D109" s="19" t="inlineStr">
        <is>
          <t>Water</t>
        </is>
      </c>
      <c r="E109" s="21" t="n"/>
      <c r="F109" s="11">
        <f>IF(AND(B109="",C109="",D109=""),"",IF(NOT(ISNUMBER(B109)),"Needs a date",IF(D109="","Needs the job",IF(AND(C109&lt;&gt;"",C109&lt;&gt;"All beds",COUNTIF(Beds!$B$6:$B$35,C109)=0),"Not on Beds",""))))</f>
        <v/>
      </c>
      <c r="G109" s="1">
        <f>IF(ISNUMBER(B109),INT(B109),0)</f>
        <v/>
      </c>
      <c r="H109">
        <f>IF(AND(G109&gt;0,D109="Water",OR(C109="",C109="All beds")),G109,0)</f>
        <v/>
      </c>
    </row>
    <row r="110">
      <c r="A110" s="1" t="n"/>
      <c r="B110" s="17" t="n">
        <v>46217</v>
      </c>
      <c r="C110" s="18" t="inlineStr">
        <is>
          <t>All beds</t>
        </is>
      </c>
      <c r="D110" s="19" t="inlineStr">
        <is>
          <t>Water</t>
        </is>
      </c>
      <c r="E110" s="21" t="n"/>
      <c r="F110" s="11">
        <f>IF(AND(B110="",C110="",D110=""),"",IF(NOT(ISNUMBER(B110)),"Needs a date",IF(D110="","Needs the job",IF(AND(C110&lt;&gt;"",C110&lt;&gt;"All beds",COUNTIF(Beds!$B$6:$B$35,C110)=0),"Not on Beds",""))))</f>
        <v/>
      </c>
      <c r="G110" s="1">
        <f>IF(ISNUMBER(B110),INT(B110),0)</f>
        <v/>
      </c>
      <c r="H110">
        <f>IF(AND(G110&gt;0,D110="Water",OR(C110="",C110="All beds")),G110,0)</f>
        <v/>
      </c>
    </row>
    <row r="111">
      <c r="A111" s="1" t="n"/>
      <c r="B111" s="17" t="n">
        <v>46218</v>
      </c>
      <c r="C111" s="18" t="inlineStr">
        <is>
          <t>Greenhouse</t>
        </is>
      </c>
      <c r="D111" s="19" t="inlineStr">
        <is>
          <t>Feed</t>
        </is>
      </c>
      <c r="E111" s="21" t="inlineStr">
        <is>
          <t>Tomato feed</t>
        </is>
      </c>
      <c r="F111" s="11">
        <f>IF(AND(B111="",C111="",D111=""),"",IF(NOT(ISNUMBER(B111)),"Needs a date",IF(D111="","Needs the job",IF(AND(C111&lt;&gt;"",C111&lt;&gt;"All beds",COUNTIF(Beds!$B$6:$B$35,C111)=0),"Not on Beds",""))))</f>
        <v/>
      </c>
      <c r="G111" s="1">
        <f>IF(ISNUMBER(B111),INT(B111),0)</f>
        <v/>
      </c>
      <c r="H111">
        <f>IF(AND(G111&gt;0,D111="Water",OR(C111="",C111="All beds")),G111,0)</f>
        <v/>
      </c>
    </row>
    <row r="112">
      <c r="A112" s="1" t="n"/>
      <c r="B112" s="17" t="n">
        <v>46219</v>
      </c>
      <c r="C112" s="18" t="inlineStr">
        <is>
          <t>All beds</t>
        </is>
      </c>
      <c r="D112" s="19" t="inlineStr">
        <is>
          <t>Water</t>
        </is>
      </c>
      <c r="E112" s="21" t="n"/>
      <c r="F112" s="11">
        <f>IF(AND(B112="",C112="",D112=""),"",IF(NOT(ISNUMBER(B112)),"Needs a date",IF(D112="","Needs the job",IF(AND(C112&lt;&gt;"",C112&lt;&gt;"All beds",COUNTIF(Beds!$B$6:$B$35,C112)=0),"Not on Beds",""))))</f>
        <v/>
      </c>
      <c r="G112" s="1">
        <f>IF(ISNUMBER(B112),INT(B112),0)</f>
        <v/>
      </c>
      <c r="H112">
        <f>IF(AND(G112&gt;0,D112="Water",OR(C112="",C112="All beds")),G112,0)</f>
        <v/>
      </c>
    </row>
    <row r="113">
      <c r="A113" s="1" t="n"/>
      <c r="B113" s="17" t="n">
        <v>46223</v>
      </c>
      <c r="C113" s="18" t="inlineStr">
        <is>
          <t>All beds</t>
        </is>
      </c>
      <c r="D113" s="19" t="inlineStr">
        <is>
          <t>Water</t>
        </is>
      </c>
      <c r="E113" s="21" t="n"/>
      <c r="F113" s="11">
        <f>IF(AND(B113="",C113="",D113=""),"",IF(NOT(ISNUMBER(B113)),"Needs a date",IF(D113="","Needs the job",IF(AND(C113&lt;&gt;"",C113&lt;&gt;"All beds",COUNTIF(Beds!$B$6:$B$35,C113)=0),"Not on Beds",""))))</f>
        <v/>
      </c>
      <c r="G113" s="1">
        <f>IF(ISNUMBER(B113),INT(B113),0)</f>
        <v/>
      </c>
      <c r="H113">
        <f>IF(AND(G113&gt;0,D113="Water",OR(C113="",C113="All beds")),G113,0)</f>
        <v/>
      </c>
    </row>
    <row r="114">
      <c r="A114" s="1" t="n"/>
      <c r="B114" s="17" t="n">
        <v>46225</v>
      </c>
      <c r="C114" s="18" t="inlineStr">
        <is>
          <t>All beds</t>
        </is>
      </c>
      <c r="D114" s="19" t="inlineStr">
        <is>
          <t>Water</t>
        </is>
      </c>
      <c r="E114" s="21" t="n"/>
      <c r="F114" s="11">
        <f>IF(AND(B114="",C114="",D114=""),"",IF(NOT(ISNUMBER(B114)),"Needs a date",IF(D114="","Needs the job",IF(AND(C114&lt;&gt;"",C114&lt;&gt;"All beds",COUNTIF(Beds!$B$6:$B$35,C114)=0),"Not on Beds",""))))</f>
        <v/>
      </c>
      <c r="G114" s="1">
        <f>IF(ISNUMBER(B114),INT(B114),0)</f>
        <v/>
      </c>
      <c r="H114">
        <f>IF(AND(G114&gt;0,D114="Water",OR(C114="",C114="All beds")),G114,0)</f>
        <v/>
      </c>
    </row>
    <row r="115">
      <c r="A115" s="1" t="n"/>
      <c r="B115" s="17" t="n">
        <v>46225</v>
      </c>
      <c r="C115" s="18" t="inlineStr">
        <is>
          <t>Greenhouse</t>
        </is>
      </c>
      <c r="D115" s="19" t="inlineStr">
        <is>
          <t>Feed</t>
        </is>
      </c>
      <c r="E115" s="21" t="inlineStr">
        <is>
          <t>Tomato feed</t>
        </is>
      </c>
      <c r="F115" s="11">
        <f>IF(AND(B115="",C115="",D115=""),"",IF(NOT(ISNUMBER(B115)),"Needs a date",IF(D115="","Needs the job",IF(AND(C115&lt;&gt;"",C115&lt;&gt;"All beds",COUNTIF(Beds!$B$6:$B$35,C115)=0),"Not on Beds",""))))</f>
        <v/>
      </c>
      <c r="G115" s="1">
        <f>IF(ISNUMBER(B115),INT(B115),0)</f>
        <v/>
      </c>
      <c r="H115">
        <f>IF(AND(G115&gt;0,D115="Water",OR(C115="",C115="All beds")),G115,0)</f>
        <v/>
      </c>
    </row>
    <row r="116">
      <c r="A116" s="1" t="n"/>
      <c r="B116" s="17" t="n">
        <v>46227</v>
      </c>
      <c r="C116" s="18" t="inlineStr">
        <is>
          <t>All beds</t>
        </is>
      </c>
      <c r="D116" s="19" t="inlineStr">
        <is>
          <t>Water</t>
        </is>
      </c>
      <c r="E116" s="21" t="n"/>
      <c r="F116" s="11">
        <f>IF(AND(B116="",C116="",D116=""),"",IF(NOT(ISNUMBER(B116)),"Needs a date",IF(D116="","Needs the job",IF(AND(C116&lt;&gt;"",C116&lt;&gt;"All beds",COUNTIF(Beds!$B$6:$B$35,C116)=0),"Not on Beds",""))))</f>
        <v/>
      </c>
      <c r="G116" s="1">
        <f>IF(ISNUMBER(B116),INT(B116),0)</f>
        <v/>
      </c>
      <c r="H116">
        <f>IF(AND(G116&gt;0,D116="Water",OR(C116="",C116="All beds")),G116,0)</f>
        <v/>
      </c>
    </row>
    <row r="117">
      <c r="A117" s="1" t="n"/>
      <c r="B117" s="17" t="n">
        <v>46229</v>
      </c>
      <c r="C117" s="18" t="inlineStr">
        <is>
          <t>All beds</t>
        </is>
      </c>
      <c r="D117" s="19" t="inlineStr">
        <is>
          <t>Water</t>
        </is>
      </c>
      <c r="E117" s="21" t="n"/>
      <c r="F117" s="11">
        <f>IF(AND(B117="",C117="",D117=""),"",IF(NOT(ISNUMBER(B117)),"Needs a date",IF(D117="","Needs the job",IF(AND(C117&lt;&gt;"",C117&lt;&gt;"All beds",COUNTIF(Beds!$B$6:$B$35,C117)=0),"Not on Beds",""))))</f>
        <v/>
      </c>
      <c r="G117" s="1">
        <f>IF(ISNUMBER(B117),INT(B117),0)</f>
        <v/>
      </c>
      <c r="H117">
        <f>IF(AND(G117&gt;0,D117="Water",OR(C117="",C117="All beds")),G117,0)</f>
        <v/>
      </c>
    </row>
    <row r="118">
      <c r="A118" s="1" t="n"/>
      <c r="B118" s="17" t="n">
        <v>46231</v>
      </c>
      <c r="C118" s="18" t="inlineStr">
        <is>
          <t>All beds</t>
        </is>
      </c>
      <c r="D118" s="19" t="inlineStr">
        <is>
          <t>Water</t>
        </is>
      </c>
      <c r="E118" s="21" t="n"/>
      <c r="F118" s="11">
        <f>IF(AND(B118="",C118="",D118=""),"",IF(NOT(ISNUMBER(B118)),"Needs a date",IF(D118="","Needs the job",IF(AND(C118&lt;&gt;"",C118&lt;&gt;"All beds",COUNTIF(Beds!$B$6:$B$35,C118)=0),"Not on Beds",""))))</f>
        <v/>
      </c>
      <c r="G118" s="1">
        <f>IF(ISNUMBER(B118),INT(B118),0)</f>
        <v/>
      </c>
      <c r="H118">
        <f>IF(AND(G118&gt;0,D118="Water",OR(C118="",C118="All beds")),G118,0)</f>
        <v/>
      </c>
    </row>
    <row r="119">
      <c r="A119" s="1" t="n"/>
      <c r="B119" s="17" t="n">
        <v>46232</v>
      </c>
      <c r="C119" s="18" t="inlineStr">
        <is>
          <t>Greenhouse</t>
        </is>
      </c>
      <c r="D119" s="19" t="inlineStr">
        <is>
          <t>Feed</t>
        </is>
      </c>
      <c r="E119" s="21" t="inlineStr">
        <is>
          <t>Tomato feed</t>
        </is>
      </c>
      <c r="F119" s="11">
        <f>IF(AND(B119="",C119="",D119=""),"",IF(NOT(ISNUMBER(B119)),"Needs a date",IF(D119="","Needs the job",IF(AND(C119&lt;&gt;"",C119&lt;&gt;"All beds",COUNTIF(Beds!$B$6:$B$35,C119)=0),"Not on Beds",""))))</f>
        <v/>
      </c>
      <c r="G119" s="1">
        <f>IF(ISNUMBER(B119),INT(B119),0)</f>
        <v/>
      </c>
      <c r="H119">
        <f>IF(AND(G119&gt;0,D119="Water",OR(C119="",C119="All beds")),G119,0)</f>
        <v/>
      </c>
    </row>
    <row r="120">
      <c r="A120" s="1" t="n"/>
      <c r="B120" s="17" t="n">
        <v>46233</v>
      </c>
      <c r="C120" s="18" t="inlineStr">
        <is>
          <t>All beds</t>
        </is>
      </c>
      <c r="D120" s="19" t="inlineStr">
        <is>
          <t>Water</t>
        </is>
      </c>
      <c r="E120" s="21" t="n"/>
      <c r="F120" s="11">
        <f>IF(AND(B120="",C120="",D120=""),"",IF(NOT(ISNUMBER(B120)),"Needs a date",IF(D120="","Needs the job",IF(AND(C120&lt;&gt;"",C120&lt;&gt;"All beds",COUNTIF(Beds!$B$6:$B$35,C120)=0),"Not on Beds",""))))</f>
        <v/>
      </c>
      <c r="G120" s="1">
        <f>IF(ISNUMBER(B120),INT(B120),0)</f>
        <v/>
      </c>
      <c r="H120">
        <f>IF(AND(G120&gt;0,D120="Water",OR(C120="",C120="All beds")),G120,0)</f>
        <v/>
      </c>
    </row>
    <row r="121">
      <c r="A121" s="1" t="n"/>
      <c r="B121" s="17" t="n">
        <v>46237</v>
      </c>
      <c r="C121" s="18" t="inlineStr">
        <is>
          <t>All beds</t>
        </is>
      </c>
      <c r="D121" s="19" t="inlineStr">
        <is>
          <t>Water</t>
        </is>
      </c>
      <c r="E121" s="21" t="n"/>
      <c r="F121" s="11">
        <f>IF(AND(B121="",C121="",D121=""),"",IF(NOT(ISNUMBER(B121)),"Needs a date",IF(D121="","Needs the job",IF(AND(C121&lt;&gt;"",C121&lt;&gt;"All beds",COUNTIF(Beds!$B$6:$B$35,C121)=0),"Not on Beds",""))))</f>
        <v/>
      </c>
      <c r="G121" s="1">
        <f>IF(ISNUMBER(B121),INT(B121),0)</f>
        <v/>
      </c>
      <c r="H121">
        <f>IF(AND(G121&gt;0,D121="Water",OR(C121="",C121="All beds")),G121,0)</f>
        <v/>
      </c>
    </row>
    <row r="122">
      <c r="A122" s="1" t="n"/>
      <c r="B122" s="17" t="n">
        <v>46239</v>
      </c>
      <c r="C122" s="18" t="inlineStr">
        <is>
          <t>Greenhouse</t>
        </is>
      </c>
      <c r="D122" s="19" t="inlineStr">
        <is>
          <t>Feed</t>
        </is>
      </c>
      <c r="E122" s="21" t="inlineStr">
        <is>
          <t>Tomato feed</t>
        </is>
      </c>
      <c r="F122" s="11">
        <f>IF(AND(B122="",C122="",D122=""),"",IF(NOT(ISNUMBER(B122)),"Needs a date",IF(D122="","Needs the job",IF(AND(C122&lt;&gt;"",C122&lt;&gt;"All beds",COUNTIF(Beds!$B$6:$B$35,C122)=0),"Not on Beds",""))))</f>
        <v/>
      </c>
      <c r="G122" s="1">
        <f>IF(ISNUMBER(B122),INT(B122),0)</f>
        <v/>
      </c>
      <c r="H122">
        <f>IF(AND(G122&gt;0,D122="Water",OR(C122="",C122="All beds")),G122,0)</f>
        <v/>
      </c>
    </row>
    <row r="123">
      <c r="A123" s="1" t="n"/>
      <c r="B123" s="17" t="n">
        <v>46240</v>
      </c>
      <c r="C123" s="18" t="inlineStr">
        <is>
          <t>All beds</t>
        </is>
      </c>
      <c r="D123" s="19" t="inlineStr">
        <is>
          <t>Water</t>
        </is>
      </c>
      <c r="E123" s="21" t="n"/>
      <c r="F123" s="11">
        <f>IF(AND(B123="",C123="",D123=""),"",IF(NOT(ISNUMBER(B123)),"Needs a date",IF(D123="","Needs the job",IF(AND(C123&lt;&gt;"",C123&lt;&gt;"All beds",COUNTIF(Beds!$B$6:$B$35,C123)=0),"Not on Beds",""))))</f>
        <v/>
      </c>
      <c r="G123" s="1">
        <f>IF(ISNUMBER(B123),INT(B123),0)</f>
        <v/>
      </c>
      <c r="H123">
        <f>IF(AND(G123&gt;0,D123="Water",OR(C123="",C123="All beds")),G123,0)</f>
        <v/>
      </c>
    </row>
    <row r="124">
      <c r="A124" s="1" t="n"/>
      <c r="B124" s="17" t="n">
        <v>46243</v>
      </c>
      <c r="C124" s="18" t="inlineStr">
        <is>
          <t>All beds</t>
        </is>
      </c>
      <c r="D124" s="19" t="inlineStr">
        <is>
          <t>Water</t>
        </is>
      </c>
      <c r="E124" s="21" t="n"/>
      <c r="F124" s="11">
        <f>IF(AND(B124="",C124="",D124=""),"",IF(NOT(ISNUMBER(B124)),"Needs a date",IF(D124="","Needs the job",IF(AND(C124&lt;&gt;"",C124&lt;&gt;"All beds",COUNTIF(Beds!$B$6:$B$35,C124)=0),"Not on Beds",""))))</f>
        <v/>
      </c>
      <c r="G124" s="1">
        <f>IF(ISNUMBER(B124),INT(B124),0)</f>
        <v/>
      </c>
      <c r="H124">
        <f>IF(AND(G124&gt;0,D124="Water",OR(C124="",C124="All beds")),G124,0)</f>
        <v/>
      </c>
    </row>
    <row r="125">
      <c r="A125" s="1" t="n"/>
      <c r="B125" s="17" t="n">
        <v>46246</v>
      </c>
      <c r="C125" s="18" t="inlineStr">
        <is>
          <t>All beds</t>
        </is>
      </c>
      <c r="D125" s="19" t="inlineStr">
        <is>
          <t>Water</t>
        </is>
      </c>
      <c r="E125" s="21" t="n"/>
      <c r="F125" s="11">
        <f>IF(AND(B125="",C125="",D125=""),"",IF(NOT(ISNUMBER(B125)),"Needs a date",IF(D125="","Needs the job",IF(AND(C125&lt;&gt;"",C125&lt;&gt;"All beds",COUNTIF(Beds!$B$6:$B$35,C125)=0),"Not on Beds",""))))</f>
        <v/>
      </c>
      <c r="G125" s="1">
        <f>IF(ISNUMBER(B125),INT(B125),0)</f>
        <v/>
      </c>
      <c r="H125">
        <f>IF(AND(G125&gt;0,D125="Water",OR(C125="",C125="All beds")),G125,0)</f>
        <v/>
      </c>
    </row>
    <row r="126">
      <c r="A126" s="1" t="n"/>
      <c r="B126" s="17" t="n">
        <v>46246</v>
      </c>
      <c r="C126" s="18" t="inlineStr">
        <is>
          <t>Greenhouse</t>
        </is>
      </c>
      <c r="D126" s="19" t="inlineStr">
        <is>
          <t>Feed</t>
        </is>
      </c>
      <c r="E126" s="21" t="inlineStr">
        <is>
          <t>Tomato feed</t>
        </is>
      </c>
      <c r="F126" s="11">
        <f>IF(AND(B126="",C126="",D126=""),"",IF(NOT(ISNUMBER(B126)),"Needs a date",IF(D126="","Needs the job",IF(AND(C126&lt;&gt;"",C126&lt;&gt;"All beds",COUNTIF(Beds!$B$6:$B$35,C126)=0),"Not on Beds",""))))</f>
        <v/>
      </c>
      <c r="G126" s="1">
        <f>IF(ISNUMBER(B126),INT(B126),0)</f>
        <v/>
      </c>
      <c r="H126">
        <f>IF(AND(G126&gt;0,D126="Water",OR(C126="",C126="All beds")),G126,0)</f>
        <v/>
      </c>
    </row>
    <row r="127">
      <c r="A127" s="1" t="n"/>
      <c r="B127" s="17" t="n">
        <v>46248</v>
      </c>
      <c r="C127" s="18" t="inlineStr">
        <is>
          <t>All beds</t>
        </is>
      </c>
      <c r="D127" s="19" t="inlineStr">
        <is>
          <t>Water</t>
        </is>
      </c>
      <c r="E127" s="21" t="n"/>
      <c r="F127" s="11">
        <f>IF(AND(B127="",C127="",D127=""),"",IF(NOT(ISNUMBER(B127)),"Needs a date",IF(D127="","Needs the job",IF(AND(C127&lt;&gt;"",C127&lt;&gt;"All beds",COUNTIF(Beds!$B$6:$B$35,C127)=0),"Not on Beds",""))))</f>
        <v/>
      </c>
      <c r="G127" s="1">
        <f>IF(ISNUMBER(B127),INT(B127),0)</f>
        <v/>
      </c>
      <c r="H127">
        <f>IF(AND(G127&gt;0,D127="Water",OR(C127="",C127="All beds")),G127,0)</f>
        <v/>
      </c>
    </row>
    <row r="128">
      <c r="A128" s="1" t="n"/>
      <c r="B128" s="17" t="n">
        <v>46248</v>
      </c>
      <c r="C128" s="18" t="inlineStr">
        <is>
          <t>Greenhouse</t>
        </is>
      </c>
      <c r="D128" s="19" t="inlineStr">
        <is>
          <t>Prune</t>
        </is>
      </c>
      <c r="E128" s="21" t="inlineStr">
        <is>
          <t>Side shoots</t>
        </is>
      </c>
      <c r="F128" s="11">
        <f>IF(AND(B128="",C128="",D128=""),"",IF(NOT(ISNUMBER(B128)),"Needs a date",IF(D128="","Needs the job",IF(AND(C128&lt;&gt;"",C128&lt;&gt;"All beds",COUNTIF(Beds!$B$6:$B$35,C128)=0),"Not on Beds",""))))</f>
        <v/>
      </c>
      <c r="G128" s="1">
        <f>IF(ISNUMBER(B128),INT(B128),0)</f>
        <v/>
      </c>
      <c r="H128">
        <f>IF(AND(G128&gt;0,D128="Water",OR(C128="",C128="All beds")),G128,0)</f>
        <v/>
      </c>
    </row>
    <row r="129">
      <c r="A129" s="1" t="n"/>
      <c r="B129" s="17" t="n">
        <v>46251</v>
      </c>
      <c r="C129" s="18" t="inlineStr">
        <is>
          <t>All beds</t>
        </is>
      </c>
      <c r="D129" s="19" t="inlineStr">
        <is>
          <t>Water</t>
        </is>
      </c>
      <c r="E129" s="21" t="n"/>
      <c r="F129" s="11">
        <f>IF(AND(B129="",C129="",D129=""),"",IF(NOT(ISNUMBER(B129)),"Needs a date",IF(D129="","Needs the job",IF(AND(C129&lt;&gt;"",C129&lt;&gt;"All beds",COUNTIF(Beds!$B$6:$B$35,C129)=0),"Not on Beds",""))))</f>
        <v/>
      </c>
      <c r="G129" s="1">
        <f>IF(ISNUMBER(B129),INT(B129),0)</f>
        <v/>
      </c>
      <c r="H129">
        <f>IF(AND(G129&gt;0,D129="Water",OR(C129="",C129="All beds")),G129,0)</f>
        <v/>
      </c>
    </row>
    <row r="130">
      <c r="A130" s="1" t="n"/>
      <c r="B130" s="17" t="n">
        <v>46253</v>
      </c>
      <c r="C130" s="18" t="inlineStr">
        <is>
          <t>Greenhouse</t>
        </is>
      </c>
      <c r="D130" s="19" t="inlineStr">
        <is>
          <t>Feed</t>
        </is>
      </c>
      <c r="E130" s="21" t="inlineStr">
        <is>
          <t>Tomato feed</t>
        </is>
      </c>
      <c r="F130" s="11">
        <f>IF(AND(B130="",C130="",D130=""),"",IF(NOT(ISNUMBER(B130)),"Needs a date",IF(D130="","Needs the job",IF(AND(C130&lt;&gt;"",C130&lt;&gt;"All beds",COUNTIF(Beds!$B$6:$B$35,C130)=0),"Not on Beds",""))))</f>
        <v/>
      </c>
      <c r="G130" s="1">
        <f>IF(ISNUMBER(B130),INT(B130),0)</f>
        <v/>
      </c>
      <c r="H130">
        <f>IF(AND(G130&gt;0,D130="Water",OR(C130="",C130="All beds")),G130,0)</f>
        <v/>
      </c>
    </row>
    <row r="131">
      <c r="A131" s="1" t="n"/>
      <c r="B131" s="17" t="n">
        <v>46255</v>
      </c>
      <c r="C131" s="18" t="inlineStr">
        <is>
          <t>All beds</t>
        </is>
      </c>
      <c r="D131" s="19" t="inlineStr">
        <is>
          <t>Water</t>
        </is>
      </c>
      <c r="E131" s="21" t="n"/>
      <c r="F131" s="11">
        <f>IF(AND(B131="",C131="",D131=""),"",IF(NOT(ISNUMBER(B131)),"Needs a date",IF(D131="","Needs the job",IF(AND(C131&lt;&gt;"",C131&lt;&gt;"All beds",COUNTIF(Beds!$B$6:$B$35,C131)=0),"Not on Beds",""))))</f>
        <v/>
      </c>
      <c r="G131" s="1">
        <f>IF(ISNUMBER(B131),INT(B131),0)</f>
        <v/>
      </c>
      <c r="H131">
        <f>IF(AND(G131&gt;0,D131="Water",OR(C131="",C131="All beds")),G131,0)</f>
        <v/>
      </c>
    </row>
    <row r="132">
      <c r="A132" s="1" t="n"/>
      <c r="B132" s="17" t="n">
        <v>46258</v>
      </c>
      <c r="C132" s="18" t="inlineStr">
        <is>
          <t>All beds</t>
        </is>
      </c>
      <c r="D132" s="19" t="inlineStr">
        <is>
          <t>Water</t>
        </is>
      </c>
      <c r="E132" s="21" t="n"/>
      <c r="F132" s="11">
        <f>IF(AND(B132="",C132="",D132=""),"",IF(NOT(ISNUMBER(B132)),"Needs a date",IF(D132="","Needs the job",IF(AND(C132&lt;&gt;"",C132&lt;&gt;"All beds",COUNTIF(Beds!$B$6:$B$35,C132)=0),"Not on Beds",""))))</f>
        <v/>
      </c>
      <c r="G132" s="1">
        <f>IF(ISNUMBER(B132),INT(B132),0)</f>
        <v/>
      </c>
      <c r="H132">
        <f>IF(AND(G132&gt;0,D132="Water",OR(C132="",C132="All beds")),G132,0)</f>
        <v/>
      </c>
    </row>
    <row r="133">
      <c r="A133" s="1" t="n"/>
      <c r="B133" s="17" t="n">
        <v>46260</v>
      </c>
      <c r="C133" s="18" t="inlineStr">
        <is>
          <t>All beds</t>
        </is>
      </c>
      <c r="D133" s="19" t="inlineStr">
        <is>
          <t>Water</t>
        </is>
      </c>
      <c r="E133" s="21" t="n"/>
      <c r="F133" s="11">
        <f>IF(AND(B133="",C133="",D133=""),"",IF(NOT(ISNUMBER(B133)),"Needs a date",IF(D133="","Needs the job",IF(AND(C133&lt;&gt;"",C133&lt;&gt;"All beds",COUNTIF(Beds!$B$6:$B$35,C133)=0),"Not on Beds",""))))</f>
        <v/>
      </c>
      <c r="G133" s="1">
        <f>IF(ISNUMBER(B133),INT(B133),0)</f>
        <v/>
      </c>
      <c r="H133">
        <f>IF(AND(G133&gt;0,D133="Water",OR(C133="",C133="All beds")),G133,0)</f>
        <v/>
      </c>
    </row>
    <row r="134">
      <c r="A134" s="1" t="n"/>
      <c r="B134" s="17" t="n">
        <v>46260</v>
      </c>
      <c r="C134" s="18" t="inlineStr">
        <is>
          <t>Greenhouse</t>
        </is>
      </c>
      <c r="D134" s="19" t="inlineStr">
        <is>
          <t>Feed</t>
        </is>
      </c>
      <c r="E134" s="21" t="inlineStr">
        <is>
          <t>Tomato feed</t>
        </is>
      </c>
      <c r="F134" s="11">
        <f>IF(AND(B134="",C134="",D134=""),"",IF(NOT(ISNUMBER(B134)),"Needs a date",IF(D134="","Needs the job",IF(AND(C134&lt;&gt;"",C134&lt;&gt;"All beds",COUNTIF(Beds!$B$6:$B$35,C134)=0),"Not on Beds",""))))</f>
        <v/>
      </c>
      <c r="G134" s="1">
        <f>IF(ISNUMBER(B134),INT(B134),0)</f>
        <v/>
      </c>
      <c r="H134">
        <f>IF(AND(G134&gt;0,D134="Water",OR(C134="",C134="All beds")),G134,0)</f>
        <v/>
      </c>
    </row>
    <row r="135">
      <c r="A135" s="1" t="n"/>
      <c r="B135" s="17" t="n">
        <v>46262</v>
      </c>
      <c r="C135" s="18" t="inlineStr">
        <is>
          <t>All beds</t>
        </is>
      </c>
      <c r="D135" s="19" t="inlineStr">
        <is>
          <t>Water</t>
        </is>
      </c>
      <c r="E135" s="21" t="n"/>
      <c r="F135" s="11">
        <f>IF(AND(B135="",C135="",D135=""),"",IF(NOT(ISNUMBER(B135)),"Needs a date",IF(D135="","Needs the job",IF(AND(C135&lt;&gt;"",C135&lt;&gt;"All beds",COUNTIF(Beds!$B$6:$B$35,C135)=0),"Not on Beds",""))))</f>
        <v/>
      </c>
      <c r="G135" s="1">
        <f>IF(ISNUMBER(B135),INT(B135),0)</f>
        <v/>
      </c>
      <c r="H135">
        <f>IF(AND(G135&gt;0,D135="Water",OR(C135="",C135="All beds")),G135,0)</f>
        <v/>
      </c>
    </row>
    <row r="136">
      <c r="A136" s="1" t="n"/>
      <c r="B136" s="17" t="n">
        <v>46266</v>
      </c>
      <c r="C136" s="18" t="inlineStr">
        <is>
          <t>All beds</t>
        </is>
      </c>
      <c r="D136" s="19" t="inlineStr">
        <is>
          <t>Water</t>
        </is>
      </c>
      <c r="E136" s="21" t="n"/>
      <c r="F136" s="11">
        <f>IF(AND(B136="",C136="",D136=""),"",IF(NOT(ISNUMBER(B136)),"Needs a date",IF(D136="","Needs the job",IF(AND(C136&lt;&gt;"",C136&lt;&gt;"All beds",COUNTIF(Beds!$B$6:$B$35,C136)=0),"Not on Beds",""))))</f>
        <v/>
      </c>
      <c r="G136" s="1">
        <f>IF(ISNUMBER(B136),INT(B136),0)</f>
        <v/>
      </c>
      <c r="H136">
        <f>IF(AND(G136&gt;0,D136="Water",OR(C136="",C136="All beds")),G136,0)</f>
        <v/>
      </c>
    </row>
    <row r="137">
      <c r="A137" s="1" t="n"/>
      <c r="B137" s="17" t="n">
        <v>46267</v>
      </c>
      <c r="C137" s="18" t="inlineStr">
        <is>
          <t>Greenhouse</t>
        </is>
      </c>
      <c r="D137" s="19" t="inlineStr">
        <is>
          <t>Feed</t>
        </is>
      </c>
      <c r="E137" s="21" t="inlineStr">
        <is>
          <t>Tomato feed</t>
        </is>
      </c>
      <c r="F137" s="11">
        <f>IF(AND(B137="",C137="",D137=""),"",IF(NOT(ISNUMBER(B137)),"Needs a date",IF(D137="","Needs the job",IF(AND(C137&lt;&gt;"",C137&lt;&gt;"All beds",COUNTIF(Beds!$B$6:$B$35,C137)=0),"Not on Beds",""))))</f>
        <v/>
      </c>
      <c r="G137" s="1">
        <f>IF(ISNUMBER(B137),INT(B137),0)</f>
        <v/>
      </c>
      <c r="H137">
        <f>IF(AND(G137&gt;0,D137="Water",OR(C137="",C137="All beds")),G137,0)</f>
        <v/>
      </c>
    </row>
    <row r="138">
      <c r="A138" s="1" t="n"/>
      <c r="B138" s="17" t="n">
        <v>46269</v>
      </c>
      <c r="C138" s="18" t="inlineStr">
        <is>
          <t>All beds</t>
        </is>
      </c>
      <c r="D138" s="19" t="inlineStr">
        <is>
          <t>Water</t>
        </is>
      </c>
      <c r="E138" s="21" t="n"/>
      <c r="F138" s="11">
        <f>IF(AND(B138="",C138="",D138=""),"",IF(NOT(ISNUMBER(B138)),"Needs a date",IF(D138="","Needs the job",IF(AND(C138&lt;&gt;"",C138&lt;&gt;"All beds",COUNTIF(Beds!$B$6:$B$35,C138)=0),"Not on Beds",""))))</f>
        <v/>
      </c>
      <c r="G138" s="1">
        <f>IF(ISNUMBER(B138),INT(B138),0)</f>
        <v/>
      </c>
      <c r="H138">
        <f>IF(AND(G138&gt;0,D138="Water",OR(C138="",C138="All beds")),G138,0)</f>
        <v/>
      </c>
    </row>
    <row r="139">
      <c r="A139" s="1" t="n"/>
      <c r="B139" s="17" t="n">
        <v>46272</v>
      </c>
      <c r="C139" s="18" t="inlineStr">
        <is>
          <t>All beds</t>
        </is>
      </c>
      <c r="D139" s="19" t="inlineStr">
        <is>
          <t>Water</t>
        </is>
      </c>
      <c r="E139" s="21" t="n"/>
      <c r="F139" s="11">
        <f>IF(AND(B139="",C139="",D139=""),"",IF(NOT(ISNUMBER(B139)),"Needs a date",IF(D139="","Needs the job",IF(AND(C139&lt;&gt;"",C139&lt;&gt;"All beds",COUNTIF(Beds!$B$6:$B$35,C139)=0),"Not on Beds",""))))</f>
        <v/>
      </c>
      <c r="G139" s="1">
        <f>IF(ISNUMBER(B139),INT(B139),0)</f>
        <v/>
      </c>
      <c r="H139">
        <f>IF(AND(G139&gt;0,D139="Water",OR(C139="",C139="All beds")),G139,0)</f>
        <v/>
      </c>
    </row>
    <row r="140">
      <c r="A140" s="1" t="n"/>
      <c r="B140" s="17" t="n">
        <v>46274</v>
      </c>
      <c r="C140" s="18" t="inlineStr">
        <is>
          <t>Greenhouse</t>
        </is>
      </c>
      <c r="D140" s="19" t="inlineStr">
        <is>
          <t>Feed</t>
        </is>
      </c>
      <c r="E140" s="21" t="inlineStr">
        <is>
          <t>Tomato feed</t>
        </is>
      </c>
      <c r="F140" s="11">
        <f>IF(AND(B140="",C140="",D140=""),"",IF(NOT(ISNUMBER(B140)),"Needs a date",IF(D140="","Needs the job",IF(AND(C140&lt;&gt;"",C140&lt;&gt;"All beds",COUNTIF(Beds!$B$6:$B$35,C140)=0),"Not on Beds",""))))</f>
        <v/>
      </c>
      <c r="G140" s="1">
        <f>IF(ISNUMBER(B140),INT(B140),0)</f>
        <v/>
      </c>
      <c r="H140">
        <f>IF(AND(G140&gt;0,D140="Water",OR(C140="",C140="All beds")),G140,0)</f>
        <v/>
      </c>
    </row>
    <row r="141">
      <c r="A141" s="1" t="n"/>
      <c r="B141" s="17" t="n">
        <v>46275</v>
      </c>
      <c r="C141" s="18" t="inlineStr">
        <is>
          <t>All beds</t>
        </is>
      </c>
      <c r="D141" s="19" t="inlineStr">
        <is>
          <t>Water</t>
        </is>
      </c>
      <c r="E141" s="21" t="n"/>
      <c r="F141" s="11">
        <f>IF(AND(B141="",C141="",D141=""),"",IF(NOT(ISNUMBER(B141)),"Needs a date",IF(D141="","Needs the job",IF(AND(C141&lt;&gt;"",C141&lt;&gt;"All beds",COUNTIF(Beds!$B$6:$B$35,C141)=0),"Not on Beds",""))))</f>
        <v/>
      </c>
      <c r="G141" s="1">
        <f>IF(ISNUMBER(B141),INT(B141),0)</f>
        <v/>
      </c>
      <c r="H141">
        <f>IF(AND(G141&gt;0,D141="Water",OR(C141="",C141="All beds")),G141,0)</f>
        <v/>
      </c>
    </row>
    <row r="142">
      <c r="A142" s="1" t="n"/>
      <c r="B142" s="17" t="n">
        <v>46277</v>
      </c>
      <c r="C142" s="18" t="inlineStr">
        <is>
          <t>All beds</t>
        </is>
      </c>
      <c r="D142" s="19" t="inlineStr">
        <is>
          <t>Water</t>
        </is>
      </c>
      <c r="E142" s="21" t="n"/>
      <c r="F142" s="11">
        <f>IF(AND(B142="",C142="",D142=""),"",IF(NOT(ISNUMBER(B142)),"Needs a date",IF(D142="","Needs the job",IF(AND(C142&lt;&gt;"",C142&lt;&gt;"All beds",COUNTIF(Beds!$B$6:$B$35,C142)=0),"Not on Beds",""))))</f>
        <v/>
      </c>
      <c r="G142" s="1">
        <f>IF(ISNUMBER(B142),INT(B142),0)</f>
        <v/>
      </c>
      <c r="H142">
        <f>IF(AND(G142&gt;0,D142="Water",OR(C142="",C142="All beds")),G142,0)</f>
        <v/>
      </c>
    </row>
    <row r="143">
      <c r="A143" s="1" t="n"/>
      <c r="B143" s="17" t="n">
        <v>46280</v>
      </c>
      <c r="C143" s="18" t="inlineStr">
        <is>
          <t>All beds</t>
        </is>
      </c>
      <c r="D143" s="19" t="inlineStr">
        <is>
          <t>Water</t>
        </is>
      </c>
      <c r="E143" s="21" t="n"/>
      <c r="F143" s="11">
        <f>IF(AND(B143="",C143="",D143=""),"",IF(NOT(ISNUMBER(B143)),"Needs a date",IF(D143="","Needs the job",IF(AND(C143&lt;&gt;"",C143&lt;&gt;"All beds",COUNTIF(Beds!$B$6:$B$35,C143)=0),"Not on Beds",""))))</f>
        <v/>
      </c>
      <c r="G143" s="1">
        <f>IF(ISNUMBER(B143),INT(B143),0)</f>
        <v/>
      </c>
      <c r="H143">
        <f>IF(AND(G143&gt;0,D143="Water",OR(C143="",C143="All beds")),G143,0)</f>
        <v/>
      </c>
    </row>
    <row r="144">
      <c r="A144" s="1" t="n"/>
      <c r="B144" s="17" t="n">
        <v>46281</v>
      </c>
      <c r="C144" s="18" t="inlineStr">
        <is>
          <t>Greenhouse</t>
        </is>
      </c>
      <c r="D144" s="19" t="inlineStr">
        <is>
          <t>Feed</t>
        </is>
      </c>
      <c r="E144" s="21" t="inlineStr">
        <is>
          <t>Tomato feed</t>
        </is>
      </c>
      <c r="F144" s="11">
        <f>IF(AND(B144="",C144="",D144=""),"",IF(NOT(ISNUMBER(B144)),"Needs a date",IF(D144="","Needs the job",IF(AND(C144&lt;&gt;"",C144&lt;&gt;"All beds",COUNTIF(Beds!$B$6:$B$35,C144)=0),"Not on Beds",""))))</f>
        <v/>
      </c>
      <c r="G144" s="1">
        <f>IF(ISNUMBER(B144),INT(B144),0)</f>
        <v/>
      </c>
      <c r="H144">
        <f>IF(AND(G144&gt;0,D144="Water",OR(C144="",C144="All beds")),G144,0)</f>
        <v/>
      </c>
    </row>
    <row r="145">
      <c r="A145" s="1" t="n"/>
      <c r="B145" s="17" t="n">
        <v>46282</v>
      </c>
      <c r="C145" s="18" t="inlineStr">
        <is>
          <t>All beds</t>
        </is>
      </c>
      <c r="D145" s="19" t="inlineStr">
        <is>
          <t>Water</t>
        </is>
      </c>
      <c r="E145" s="21" t="n"/>
      <c r="F145" s="11">
        <f>IF(AND(B145="",C145="",D145=""),"",IF(NOT(ISNUMBER(B145)),"Needs a date",IF(D145="","Needs the job",IF(AND(C145&lt;&gt;"",C145&lt;&gt;"All beds",COUNTIF(Beds!$B$6:$B$35,C145)=0),"Not on Beds",""))))</f>
        <v/>
      </c>
      <c r="G145" s="1">
        <f>IF(ISNUMBER(B145),INT(B145),0)</f>
        <v/>
      </c>
      <c r="H145">
        <f>IF(AND(G145&gt;0,D145="Water",OR(C145="",C145="All beds")),G145,0)</f>
        <v/>
      </c>
    </row>
    <row r="146">
      <c r="A146" s="1" t="n"/>
      <c r="B146" s="17" t="n">
        <v>46285</v>
      </c>
      <c r="C146" s="18" t="inlineStr">
        <is>
          <t>All beds</t>
        </is>
      </c>
      <c r="D146" s="19" t="inlineStr">
        <is>
          <t>Water</t>
        </is>
      </c>
      <c r="E146" s="21" t="n"/>
      <c r="F146" s="11">
        <f>IF(AND(B146="",C146="",D146=""),"",IF(NOT(ISNUMBER(B146)),"Needs a date",IF(D146="","Needs the job",IF(AND(C146&lt;&gt;"",C146&lt;&gt;"All beds",COUNTIF(Beds!$B$6:$B$35,C146)=0),"Not on Beds",""))))</f>
        <v/>
      </c>
      <c r="G146" s="1">
        <f>IF(ISNUMBER(B146),INT(B146),0)</f>
        <v/>
      </c>
      <c r="H146">
        <f>IF(AND(G146&gt;0,D146="Water",OR(C146="",C146="All beds")),G146,0)</f>
        <v/>
      </c>
    </row>
    <row r="147">
      <c r="A147" s="1" t="n"/>
      <c r="B147" s="17" t="n">
        <v>46287</v>
      </c>
      <c r="C147" s="18" t="inlineStr">
        <is>
          <t>All beds</t>
        </is>
      </c>
      <c r="D147" s="19" t="inlineStr">
        <is>
          <t>Water</t>
        </is>
      </c>
      <c r="E147" s="21" t="n"/>
      <c r="F147" s="11">
        <f>IF(AND(B147="",C147="",D147=""),"",IF(NOT(ISNUMBER(B147)),"Needs a date",IF(D147="","Needs the job",IF(AND(C147&lt;&gt;"",C147&lt;&gt;"All beds",COUNTIF(Beds!$B$6:$B$35,C147)=0),"Not on Beds",""))))</f>
        <v/>
      </c>
      <c r="G147" s="1">
        <f>IF(ISNUMBER(B147),INT(B147),0)</f>
        <v/>
      </c>
      <c r="H147">
        <f>IF(AND(G147&gt;0,D147="Water",OR(C147="",C147="All beds")),G147,0)</f>
        <v/>
      </c>
    </row>
    <row r="148">
      <c r="A148" s="1" t="n"/>
      <c r="B148" s="17" t="n">
        <v>46290</v>
      </c>
      <c r="C148" s="18" t="inlineStr">
        <is>
          <t>All beds</t>
        </is>
      </c>
      <c r="D148" s="19" t="inlineStr">
        <is>
          <t>Water</t>
        </is>
      </c>
      <c r="E148" s="21" t="n"/>
      <c r="F148" s="11">
        <f>IF(AND(B148="",C148="",D148=""),"",IF(NOT(ISNUMBER(B148)),"Needs a date",IF(D148="","Needs the job",IF(AND(C148&lt;&gt;"",C148&lt;&gt;"All beds",COUNTIF(Beds!$B$6:$B$35,C148)=0),"Not on Beds",""))))</f>
        <v/>
      </c>
      <c r="G148" s="1">
        <f>IF(ISNUMBER(B148),INT(B148),0)</f>
        <v/>
      </c>
      <c r="H148">
        <f>IF(AND(G148&gt;0,D148="Water",OR(C148="",C148="All beds")),G148,0)</f>
        <v/>
      </c>
    </row>
    <row r="149">
      <c r="A149" s="1" t="n"/>
      <c r="B149" s="17" t="n">
        <v>46291</v>
      </c>
      <c r="C149" s="18" t="inlineStr">
        <is>
          <t>Bed 4</t>
        </is>
      </c>
      <c r="D149" s="19" t="inlineStr">
        <is>
          <t>Weed</t>
        </is>
      </c>
      <c r="E149" s="21" t="n"/>
      <c r="F149" s="11">
        <f>IF(AND(B149="",C149="",D149=""),"",IF(NOT(ISNUMBER(B149)),"Needs a date",IF(D149="","Needs the job",IF(AND(C149&lt;&gt;"",C149&lt;&gt;"All beds",COUNTIF(Beds!$B$6:$B$35,C149)=0),"Not on Beds",""))))</f>
        <v/>
      </c>
      <c r="G149" s="1">
        <f>IF(ISNUMBER(B149),INT(B149),0)</f>
        <v/>
      </c>
      <c r="H149">
        <f>IF(AND(G149&gt;0,D149="Water",OR(C149="",C149="All beds")),G149,0)</f>
        <v/>
      </c>
    </row>
    <row r="150">
      <c r="A150" s="1" t="n"/>
      <c r="B150" s="17" t="n">
        <v>46292</v>
      </c>
      <c r="C150" s="18" t="inlineStr">
        <is>
          <t>Greenhouse</t>
        </is>
      </c>
      <c r="D150" s="19" t="inlineStr">
        <is>
          <t>Water</t>
        </is>
      </c>
      <c r="E150" s="21" t="n"/>
      <c r="F150" s="11">
        <f>IF(AND(B150="",C150="",D150=""),"",IF(NOT(ISNUMBER(B150)),"Needs a date",IF(D150="","Needs the job",IF(AND(C150&lt;&gt;"",C150&lt;&gt;"All beds",COUNTIF(Beds!$B$6:$B$35,C150)=0),"Not on Beds",""))))</f>
        <v/>
      </c>
      <c r="G150" s="1">
        <f>IF(ISNUMBER(B150),INT(B150),0)</f>
        <v/>
      </c>
      <c r="H150">
        <f>IF(AND(G150&gt;0,D150="Water",OR(C150="",C150="All beds")),G150,0)</f>
        <v/>
      </c>
    </row>
    <row r="151">
      <c r="A151" s="1" t="n"/>
      <c r="B151" s="17" t="n">
        <v>46292</v>
      </c>
      <c r="C151" s="18" t="inlineStr">
        <is>
          <t>Patio pots</t>
        </is>
      </c>
      <c r="D151" s="19" t="inlineStr">
        <is>
          <t>Water</t>
        </is>
      </c>
      <c r="E151" s="21" t="n"/>
      <c r="F151" s="11">
        <f>IF(AND(B151="",C151="",D151=""),"",IF(NOT(ISNUMBER(B151)),"Needs a date",IF(D151="","Needs the job",IF(AND(C151&lt;&gt;"",C151&lt;&gt;"All beds",COUNTIF(Beds!$B$6:$B$35,C151)=0),"Not on Beds",""))))</f>
        <v/>
      </c>
      <c r="G151" s="1">
        <f>IF(ISNUMBER(B151),INT(B151),0)</f>
        <v/>
      </c>
      <c r="H151">
        <f>IF(AND(G151&gt;0,D151="Water",OR(C151="",C151="All beds")),G151,0)</f>
        <v/>
      </c>
    </row>
    <row r="152">
      <c r="A152" s="1" t="n"/>
      <c r="B152" s="17" t="n">
        <v>46292</v>
      </c>
      <c r="C152" s="18" t="inlineStr">
        <is>
          <t>Bed 1</t>
        </is>
      </c>
      <c r="D152" s="19" t="inlineStr">
        <is>
          <t>Water</t>
        </is>
      </c>
      <c r="E152" s="21" t="n"/>
      <c r="F152" s="11">
        <f>IF(AND(B152="",C152="",D152=""),"",IF(NOT(ISNUMBER(B152)),"Needs a date",IF(D152="","Needs the job",IF(AND(C152&lt;&gt;"",C152&lt;&gt;"All beds",COUNTIF(Beds!$B$6:$B$35,C152)=0),"Not on Beds",""))))</f>
        <v/>
      </c>
      <c r="G152" s="1">
        <f>IF(ISNUMBER(B152),INT(B152),0)</f>
        <v/>
      </c>
      <c r="H152">
        <f>IF(AND(G152&gt;0,D152="Water",OR(C152="",C152="All beds")),G152,0)</f>
        <v/>
      </c>
    </row>
    <row r="153">
      <c r="A153" s="1" t="n"/>
      <c r="B153" s="17" t="n">
        <v>46292</v>
      </c>
      <c r="C153" s="18" t="inlineStr">
        <is>
          <t>Bed 3</t>
        </is>
      </c>
      <c r="D153" s="19" t="inlineStr">
        <is>
          <t>Water</t>
        </is>
      </c>
      <c r="E153" s="21" t="n"/>
      <c r="F153" s="11">
        <f>IF(AND(B153="",C153="",D153=""),"",IF(NOT(ISNUMBER(B153)),"Needs a date",IF(D153="","Needs the job",IF(AND(C153&lt;&gt;"",C153&lt;&gt;"All beds",COUNTIF(Beds!$B$6:$B$35,C153)=0),"Not on Beds",""))))</f>
        <v/>
      </c>
      <c r="G153" s="1">
        <f>IF(ISNUMBER(B153),INT(B153),0)</f>
        <v/>
      </c>
      <c r="H153">
        <f>IF(AND(G153&gt;0,D153="Water",OR(C153="",C153="All beds")),G153,0)</f>
        <v/>
      </c>
    </row>
    <row r="154">
      <c r="A154" s="1" t="n"/>
      <c r="B154" s="17" t="n">
        <v>46292</v>
      </c>
      <c r="C154" s="18" t="inlineStr">
        <is>
          <t>Herb bed</t>
        </is>
      </c>
      <c r="D154" s="19" t="inlineStr">
        <is>
          <t>Water</t>
        </is>
      </c>
      <c r="E154" s="21" t="n"/>
      <c r="F154" s="11">
        <f>IF(AND(B154="",C154="",D154=""),"",IF(NOT(ISNUMBER(B154)),"Needs a date",IF(D154="","Needs the job",IF(AND(C154&lt;&gt;"",C154&lt;&gt;"All beds",COUNTIF(Beds!$B$6:$B$35,C154)=0),"Not on Beds",""))))</f>
        <v/>
      </c>
      <c r="G154" s="1">
        <f>IF(ISNUMBER(B154),INT(B154),0)</f>
        <v/>
      </c>
      <c r="H154">
        <f>IF(AND(G154&gt;0,D154="Water",OR(C154="",C154="All beds")),G154,0)</f>
        <v/>
      </c>
    </row>
    <row r="155">
      <c r="A155" s="1" t="n"/>
      <c r="B155" s="17" t="n"/>
      <c r="C155" s="18" t="n"/>
      <c r="D155" s="19" t="n"/>
      <c r="E155" s="21" t="n"/>
      <c r="F155" s="11">
        <f>IF(AND(B155="",C155="",D155=""),"",IF(NOT(ISNUMBER(B155)),"Needs a date",IF(D155="","Needs the job",IF(AND(C155&lt;&gt;"",C155&lt;&gt;"All beds",COUNTIF(Beds!$B$6:$B$35,C155)=0),"Not on Beds",""))))</f>
        <v/>
      </c>
      <c r="G155" s="1">
        <f>IF(ISNUMBER(B155),INT(B155),0)</f>
        <v/>
      </c>
      <c r="H155">
        <f>IF(AND(G155&gt;0,D155="Water",OR(C155="",C155="All beds")),G155,0)</f>
        <v/>
      </c>
    </row>
    <row r="156">
      <c r="A156" s="1" t="n"/>
      <c r="B156" s="17" t="n"/>
      <c r="C156" s="18" t="n"/>
      <c r="D156" s="19" t="n"/>
      <c r="E156" s="21" t="n"/>
      <c r="F156" s="11">
        <f>IF(AND(B156="",C156="",D156=""),"",IF(NOT(ISNUMBER(B156)),"Needs a date",IF(D156="","Needs the job",IF(AND(C156&lt;&gt;"",C156&lt;&gt;"All beds",COUNTIF(Beds!$B$6:$B$35,C156)=0),"Not on Beds",""))))</f>
        <v/>
      </c>
      <c r="G156" s="1">
        <f>IF(ISNUMBER(B156),INT(B156),0)</f>
        <v/>
      </c>
      <c r="H156">
        <f>IF(AND(G156&gt;0,D156="Water",OR(C156="",C156="All beds")),G156,0)</f>
        <v/>
      </c>
    </row>
    <row r="157">
      <c r="A157" s="1" t="n"/>
      <c r="B157" s="17" t="n"/>
      <c r="C157" s="18" t="n"/>
      <c r="D157" s="19" t="n"/>
      <c r="E157" s="21" t="n"/>
      <c r="F157" s="11">
        <f>IF(AND(B157="",C157="",D157=""),"",IF(NOT(ISNUMBER(B157)),"Needs a date",IF(D157="","Needs the job",IF(AND(C157&lt;&gt;"",C157&lt;&gt;"All beds",COUNTIF(Beds!$B$6:$B$35,C157)=0),"Not on Beds",""))))</f>
        <v/>
      </c>
      <c r="G157" s="1">
        <f>IF(ISNUMBER(B157),INT(B157),0)</f>
        <v/>
      </c>
      <c r="H157">
        <f>IF(AND(G157&gt;0,D157="Water",OR(C157="",C157="All beds")),G157,0)</f>
        <v/>
      </c>
    </row>
    <row r="158">
      <c r="A158" s="1" t="n"/>
      <c r="B158" s="17" t="n"/>
      <c r="C158" s="18" t="n"/>
      <c r="D158" s="19" t="n"/>
      <c r="E158" s="21" t="n"/>
      <c r="F158" s="11">
        <f>IF(AND(B158="",C158="",D158=""),"",IF(NOT(ISNUMBER(B158)),"Needs a date",IF(D158="","Needs the job",IF(AND(C158&lt;&gt;"",C158&lt;&gt;"All beds",COUNTIF(Beds!$B$6:$B$35,C158)=0),"Not on Beds",""))))</f>
        <v/>
      </c>
      <c r="G158" s="1">
        <f>IF(ISNUMBER(B158),INT(B158),0)</f>
        <v/>
      </c>
      <c r="H158">
        <f>IF(AND(G158&gt;0,D158="Water",OR(C158="",C158="All beds")),G158,0)</f>
        <v/>
      </c>
    </row>
    <row r="159">
      <c r="A159" s="1" t="n"/>
      <c r="B159" s="17" t="n"/>
      <c r="C159" s="18" t="n"/>
      <c r="D159" s="19" t="n"/>
      <c r="E159" s="21" t="n"/>
      <c r="F159" s="11">
        <f>IF(AND(B159="",C159="",D159=""),"",IF(NOT(ISNUMBER(B159)),"Needs a date",IF(D159="","Needs the job",IF(AND(C159&lt;&gt;"",C159&lt;&gt;"All beds",COUNTIF(Beds!$B$6:$B$35,C159)=0),"Not on Beds",""))))</f>
        <v/>
      </c>
      <c r="G159" s="1">
        <f>IF(ISNUMBER(B159),INT(B159),0)</f>
        <v/>
      </c>
      <c r="H159">
        <f>IF(AND(G159&gt;0,D159="Water",OR(C159="",C159="All beds")),G159,0)</f>
        <v/>
      </c>
    </row>
    <row r="160">
      <c r="A160" s="1" t="n"/>
      <c r="B160" s="17" t="n"/>
      <c r="C160" s="18" t="n"/>
      <c r="D160" s="19" t="n"/>
      <c r="E160" s="21" t="n"/>
      <c r="F160" s="11">
        <f>IF(AND(B160="",C160="",D160=""),"",IF(NOT(ISNUMBER(B160)),"Needs a date",IF(D160="","Needs the job",IF(AND(C160&lt;&gt;"",C160&lt;&gt;"All beds",COUNTIF(Beds!$B$6:$B$35,C160)=0),"Not on Beds",""))))</f>
        <v/>
      </c>
      <c r="G160" s="1">
        <f>IF(ISNUMBER(B160),INT(B160),0)</f>
        <v/>
      </c>
      <c r="H160">
        <f>IF(AND(G160&gt;0,D160="Water",OR(C160="",C160="All beds")),G160,0)</f>
        <v/>
      </c>
    </row>
    <row r="161">
      <c r="A161" s="1" t="n"/>
      <c r="B161" s="17" t="n"/>
      <c r="C161" s="18" t="n"/>
      <c r="D161" s="19" t="n"/>
      <c r="E161" s="21" t="n"/>
      <c r="F161" s="11">
        <f>IF(AND(B161="",C161="",D161=""),"",IF(NOT(ISNUMBER(B161)),"Needs a date",IF(D161="","Needs the job",IF(AND(C161&lt;&gt;"",C161&lt;&gt;"All beds",COUNTIF(Beds!$B$6:$B$35,C161)=0),"Not on Beds",""))))</f>
        <v/>
      </c>
      <c r="G161" s="1">
        <f>IF(ISNUMBER(B161),INT(B161),0)</f>
        <v/>
      </c>
      <c r="H161">
        <f>IF(AND(G161&gt;0,D161="Water",OR(C161="",C161="All beds")),G161,0)</f>
        <v/>
      </c>
    </row>
    <row r="162">
      <c r="A162" s="1" t="n"/>
      <c r="B162" s="17" t="n"/>
      <c r="C162" s="18" t="n"/>
      <c r="D162" s="19" t="n"/>
      <c r="E162" s="21" t="n"/>
      <c r="F162" s="11">
        <f>IF(AND(B162="",C162="",D162=""),"",IF(NOT(ISNUMBER(B162)),"Needs a date",IF(D162="","Needs the job",IF(AND(C162&lt;&gt;"",C162&lt;&gt;"All beds",COUNTIF(Beds!$B$6:$B$35,C162)=0),"Not on Beds",""))))</f>
        <v/>
      </c>
      <c r="G162" s="1">
        <f>IF(ISNUMBER(B162),INT(B162),0)</f>
        <v/>
      </c>
      <c r="H162">
        <f>IF(AND(G162&gt;0,D162="Water",OR(C162="",C162="All beds")),G162,0)</f>
        <v/>
      </c>
    </row>
    <row r="163">
      <c r="A163" s="1" t="n"/>
      <c r="B163" s="17" t="n"/>
      <c r="C163" s="18" t="n"/>
      <c r="D163" s="19" t="n"/>
      <c r="E163" s="21" t="n"/>
      <c r="F163" s="11">
        <f>IF(AND(B163="",C163="",D163=""),"",IF(NOT(ISNUMBER(B163)),"Needs a date",IF(D163="","Needs the job",IF(AND(C163&lt;&gt;"",C163&lt;&gt;"All beds",COUNTIF(Beds!$B$6:$B$35,C163)=0),"Not on Beds",""))))</f>
        <v/>
      </c>
      <c r="G163" s="1">
        <f>IF(ISNUMBER(B163),INT(B163),0)</f>
        <v/>
      </c>
      <c r="H163">
        <f>IF(AND(G163&gt;0,D163="Water",OR(C163="",C163="All beds")),G163,0)</f>
        <v/>
      </c>
    </row>
    <row r="164">
      <c r="A164" s="1" t="n"/>
      <c r="B164" s="17" t="n"/>
      <c r="C164" s="18" t="n"/>
      <c r="D164" s="19" t="n"/>
      <c r="E164" s="21" t="n"/>
      <c r="F164" s="11">
        <f>IF(AND(B164="",C164="",D164=""),"",IF(NOT(ISNUMBER(B164)),"Needs a date",IF(D164="","Needs the job",IF(AND(C164&lt;&gt;"",C164&lt;&gt;"All beds",COUNTIF(Beds!$B$6:$B$35,C164)=0),"Not on Beds",""))))</f>
        <v/>
      </c>
      <c r="G164" s="1">
        <f>IF(ISNUMBER(B164),INT(B164),0)</f>
        <v/>
      </c>
      <c r="H164">
        <f>IF(AND(G164&gt;0,D164="Water",OR(C164="",C164="All beds")),G164,0)</f>
        <v/>
      </c>
    </row>
    <row r="165">
      <c r="A165" s="1" t="n"/>
      <c r="B165" s="17" t="n"/>
      <c r="C165" s="18" t="n"/>
      <c r="D165" s="19" t="n"/>
      <c r="E165" s="21" t="n"/>
      <c r="F165" s="11">
        <f>IF(AND(B165="",C165="",D165=""),"",IF(NOT(ISNUMBER(B165)),"Needs a date",IF(D165="","Needs the job",IF(AND(C165&lt;&gt;"",C165&lt;&gt;"All beds",COUNTIF(Beds!$B$6:$B$35,C165)=0),"Not on Beds",""))))</f>
        <v/>
      </c>
      <c r="G165" s="1">
        <f>IF(ISNUMBER(B165),INT(B165),0)</f>
        <v/>
      </c>
      <c r="H165">
        <f>IF(AND(G165&gt;0,D165="Water",OR(C165="",C165="All beds")),G165,0)</f>
        <v/>
      </c>
    </row>
    <row r="166">
      <c r="A166" s="1" t="n"/>
      <c r="B166" s="17" t="n"/>
      <c r="C166" s="18" t="n"/>
      <c r="D166" s="19" t="n"/>
      <c r="E166" s="21" t="n"/>
      <c r="F166" s="11">
        <f>IF(AND(B166="",C166="",D166=""),"",IF(NOT(ISNUMBER(B166)),"Needs a date",IF(D166="","Needs the job",IF(AND(C166&lt;&gt;"",C166&lt;&gt;"All beds",COUNTIF(Beds!$B$6:$B$35,C166)=0),"Not on Beds",""))))</f>
        <v/>
      </c>
      <c r="G166" s="1">
        <f>IF(ISNUMBER(B166),INT(B166),0)</f>
        <v/>
      </c>
      <c r="H166">
        <f>IF(AND(G166&gt;0,D166="Water",OR(C166="",C166="All beds")),G166,0)</f>
        <v/>
      </c>
    </row>
    <row r="167">
      <c r="A167" s="1" t="n"/>
      <c r="B167" s="17" t="n"/>
      <c r="C167" s="18" t="n"/>
      <c r="D167" s="19" t="n"/>
      <c r="E167" s="21" t="n"/>
      <c r="F167" s="11">
        <f>IF(AND(B167="",C167="",D167=""),"",IF(NOT(ISNUMBER(B167)),"Needs a date",IF(D167="","Needs the job",IF(AND(C167&lt;&gt;"",C167&lt;&gt;"All beds",COUNTIF(Beds!$B$6:$B$35,C167)=0),"Not on Beds",""))))</f>
        <v/>
      </c>
      <c r="G167" s="1">
        <f>IF(ISNUMBER(B167),INT(B167),0)</f>
        <v/>
      </c>
      <c r="H167">
        <f>IF(AND(G167&gt;0,D167="Water",OR(C167="",C167="All beds")),G167,0)</f>
        <v/>
      </c>
    </row>
    <row r="168">
      <c r="A168" s="1" t="n"/>
      <c r="B168" s="17" t="n"/>
      <c r="C168" s="18" t="n"/>
      <c r="D168" s="19" t="n"/>
      <c r="E168" s="21" t="n"/>
      <c r="F168" s="11">
        <f>IF(AND(B168="",C168="",D168=""),"",IF(NOT(ISNUMBER(B168)),"Needs a date",IF(D168="","Needs the job",IF(AND(C168&lt;&gt;"",C168&lt;&gt;"All beds",COUNTIF(Beds!$B$6:$B$35,C168)=0),"Not on Beds",""))))</f>
        <v/>
      </c>
      <c r="G168" s="1">
        <f>IF(ISNUMBER(B168),INT(B168),0)</f>
        <v/>
      </c>
      <c r="H168">
        <f>IF(AND(G168&gt;0,D168="Water",OR(C168="",C168="All beds")),G168,0)</f>
        <v/>
      </c>
    </row>
    <row r="169">
      <c r="A169" s="1" t="n"/>
      <c r="B169" s="17" t="n"/>
      <c r="C169" s="18" t="n"/>
      <c r="D169" s="19" t="n"/>
      <c r="E169" s="21" t="n"/>
      <c r="F169" s="11">
        <f>IF(AND(B169="",C169="",D169=""),"",IF(NOT(ISNUMBER(B169)),"Needs a date",IF(D169="","Needs the job",IF(AND(C169&lt;&gt;"",C169&lt;&gt;"All beds",COUNTIF(Beds!$B$6:$B$35,C169)=0),"Not on Beds",""))))</f>
        <v/>
      </c>
      <c r="G169" s="1">
        <f>IF(ISNUMBER(B169),INT(B169),0)</f>
        <v/>
      </c>
      <c r="H169">
        <f>IF(AND(G169&gt;0,D169="Water",OR(C169="",C169="All beds")),G169,0)</f>
        <v/>
      </c>
    </row>
    <row r="170">
      <c r="A170" s="1" t="n"/>
      <c r="B170" s="17" t="n"/>
      <c r="C170" s="18" t="n"/>
      <c r="D170" s="19" t="n"/>
      <c r="E170" s="21" t="n"/>
      <c r="F170" s="11">
        <f>IF(AND(B170="",C170="",D170=""),"",IF(NOT(ISNUMBER(B170)),"Needs a date",IF(D170="","Needs the job",IF(AND(C170&lt;&gt;"",C170&lt;&gt;"All beds",COUNTIF(Beds!$B$6:$B$35,C170)=0),"Not on Beds",""))))</f>
        <v/>
      </c>
      <c r="G170" s="1">
        <f>IF(ISNUMBER(B170),INT(B170),0)</f>
        <v/>
      </c>
      <c r="H170">
        <f>IF(AND(G170&gt;0,D170="Water",OR(C170="",C170="All beds")),G170,0)</f>
        <v/>
      </c>
    </row>
    <row r="171">
      <c r="A171" s="1" t="n"/>
      <c r="B171" s="17" t="n"/>
      <c r="C171" s="18" t="n"/>
      <c r="D171" s="19" t="n"/>
      <c r="E171" s="21" t="n"/>
      <c r="F171" s="11">
        <f>IF(AND(B171="",C171="",D171=""),"",IF(NOT(ISNUMBER(B171)),"Needs a date",IF(D171="","Needs the job",IF(AND(C171&lt;&gt;"",C171&lt;&gt;"All beds",COUNTIF(Beds!$B$6:$B$35,C171)=0),"Not on Beds",""))))</f>
        <v/>
      </c>
      <c r="G171" s="1">
        <f>IF(ISNUMBER(B171),INT(B171),0)</f>
        <v/>
      </c>
      <c r="H171">
        <f>IF(AND(G171&gt;0,D171="Water",OR(C171="",C171="All beds")),G171,0)</f>
        <v/>
      </c>
    </row>
    <row r="172">
      <c r="A172" s="1" t="n"/>
      <c r="B172" s="17" t="n"/>
      <c r="C172" s="18" t="n"/>
      <c r="D172" s="19" t="n"/>
      <c r="E172" s="21" t="n"/>
      <c r="F172" s="11">
        <f>IF(AND(B172="",C172="",D172=""),"",IF(NOT(ISNUMBER(B172)),"Needs a date",IF(D172="","Needs the job",IF(AND(C172&lt;&gt;"",C172&lt;&gt;"All beds",COUNTIF(Beds!$B$6:$B$35,C172)=0),"Not on Beds",""))))</f>
        <v/>
      </c>
      <c r="G172" s="1">
        <f>IF(ISNUMBER(B172),INT(B172),0)</f>
        <v/>
      </c>
      <c r="H172">
        <f>IF(AND(G172&gt;0,D172="Water",OR(C172="",C172="All beds")),G172,0)</f>
        <v/>
      </c>
    </row>
    <row r="173">
      <c r="A173" s="1" t="n"/>
      <c r="B173" s="17" t="n"/>
      <c r="C173" s="18" t="n"/>
      <c r="D173" s="19" t="n"/>
      <c r="E173" s="21" t="n"/>
      <c r="F173" s="11">
        <f>IF(AND(B173="",C173="",D173=""),"",IF(NOT(ISNUMBER(B173)),"Needs a date",IF(D173="","Needs the job",IF(AND(C173&lt;&gt;"",C173&lt;&gt;"All beds",COUNTIF(Beds!$B$6:$B$35,C173)=0),"Not on Beds",""))))</f>
        <v/>
      </c>
      <c r="G173" s="1">
        <f>IF(ISNUMBER(B173),INT(B173),0)</f>
        <v/>
      </c>
      <c r="H173">
        <f>IF(AND(G173&gt;0,D173="Water",OR(C173="",C173="All beds")),G173,0)</f>
        <v/>
      </c>
    </row>
    <row r="174">
      <c r="A174" s="1" t="n"/>
      <c r="B174" s="17" t="n"/>
      <c r="C174" s="18" t="n"/>
      <c r="D174" s="19" t="n"/>
      <c r="E174" s="21" t="n"/>
      <c r="F174" s="11">
        <f>IF(AND(B174="",C174="",D174=""),"",IF(NOT(ISNUMBER(B174)),"Needs a date",IF(D174="","Needs the job",IF(AND(C174&lt;&gt;"",C174&lt;&gt;"All beds",COUNTIF(Beds!$B$6:$B$35,C174)=0),"Not on Beds",""))))</f>
        <v/>
      </c>
      <c r="G174" s="1">
        <f>IF(ISNUMBER(B174),INT(B174),0)</f>
        <v/>
      </c>
      <c r="H174">
        <f>IF(AND(G174&gt;0,D174="Water",OR(C174="",C174="All beds")),G174,0)</f>
        <v/>
      </c>
    </row>
    <row r="175">
      <c r="A175" s="1" t="n"/>
      <c r="B175" s="17" t="n"/>
      <c r="C175" s="18" t="n"/>
      <c r="D175" s="19" t="n"/>
      <c r="E175" s="21" t="n"/>
      <c r="F175" s="11">
        <f>IF(AND(B175="",C175="",D175=""),"",IF(NOT(ISNUMBER(B175)),"Needs a date",IF(D175="","Needs the job",IF(AND(C175&lt;&gt;"",C175&lt;&gt;"All beds",COUNTIF(Beds!$B$6:$B$35,C175)=0),"Not on Beds",""))))</f>
        <v/>
      </c>
      <c r="G175" s="1">
        <f>IF(ISNUMBER(B175),INT(B175),0)</f>
        <v/>
      </c>
      <c r="H175">
        <f>IF(AND(G175&gt;0,D175="Water",OR(C175="",C175="All beds")),G175,0)</f>
        <v/>
      </c>
    </row>
    <row r="176">
      <c r="A176" s="1" t="n"/>
      <c r="B176" s="17" t="n"/>
      <c r="C176" s="18" t="n"/>
      <c r="D176" s="19" t="n"/>
      <c r="E176" s="21" t="n"/>
      <c r="F176" s="11">
        <f>IF(AND(B176="",C176="",D176=""),"",IF(NOT(ISNUMBER(B176)),"Needs a date",IF(D176="","Needs the job",IF(AND(C176&lt;&gt;"",C176&lt;&gt;"All beds",COUNTIF(Beds!$B$6:$B$35,C176)=0),"Not on Beds",""))))</f>
        <v/>
      </c>
      <c r="G176" s="1">
        <f>IF(ISNUMBER(B176),INT(B176),0)</f>
        <v/>
      </c>
      <c r="H176">
        <f>IF(AND(G176&gt;0,D176="Water",OR(C176="",C176="All beds")),G176,0)</f>
        <v/>
      </c>
    </row>
    <row r="177">
      <c r="A177" s="1" t="n"/>
      <c r="B177" s="17" t="n"/>
      <c r="C177" s="18" t="n"/>
      <c r="D177" s="19" t="n"/>
      <c r="E177" s="21" t="n"/>
      <c r="F177" s="11">
        <f>IF(AND(B177="",C177="",D177=""),"",IF(NOT(ISNUMBER(B177)),"Needs a date",IF(D177="","Needs the job",IF(AND(C177&lt;&gt;"",C177&lt;&gt;"All beds",COUNTIF(Beds!$B$6:$B$35,C177)=0),"Not on Beds",""))))</f>
        <v/>
      </c>
      <c r="G177" s="1">
        <f>IF(ISNUMBER(B177),INT(B177),0)</f>
        <v/>
      </c>
      <c r="H177">
        <f>IF(AND(G177&gt;0,D177="Water",OR(C177="",C177="All beds")),G177,0)</f>
        <v/>
      </c>
    </row>
    <row r="178">
      <c r="A178" s="1" t="n"/>
      <c r="B178" s="17" t="n"/>
      <c r="C178" s="18" t="n"/>
      <c r="D178" s="19" t="n"/>
      <c r="E178" s="21" t="n"/>
      <c r="F178" s="11">
        <f>IF(AND(B178="",C178="",D178=""),"",IF(NOT(ISNUMBER(B178)),"Needs a date",IF(D178="","Needs the job",IF(AND(C178&lt;&gt;"",C178&lt;&gt;"All beds",COUNTIF(Beds!$B$6:$B$35,C178)=0),"Not on Beds",""))))</f>
        <v/>
      </c>
      <c r="G178" s="1">
        <f>IF(ISNUMBER(B178),INT(B178),0)</f>
        <v/>
      </c>
      <c r="H178">
        <f>IF(AND(G178&gt;0,D178="Water",OR(C178="",C178="All beds")),G178,0)</f>
        <v/>
      </c>
    </row>
    <row r="179">
      <c r="A179" s="1" t="n"/>
      <c r="B179" s="17" t="n"/>
      <c r="C179" s="18" t="n"/>
      <c r="D179" s="19" t="n"/>
      <c r="E179" s="21" t="n"/>
      <c r="F179" s="11">
        <f>IF(AND(B179="",C179="",D179=""),"",IF(NOT(ISNUMBER(B179)),"Needs a date",IF(D179="","Needs the job",IF(AND(C179&lt;&gt;"",C179&lt;&gt;"All beds",COUNTIF(Beds!$B$6:$B$35,C179)=0),"Not on Beds",""))))</f>
        <v/>
      </c>
      <c r="G179" s="1">
        <f>IF(ISNUMBER(B179),INT(B179),0)</f>
        <v/>
      </c>
      <c r="H179">
        <f>IF(AND(G179&gt;0,D179="Water",OR(C179="",C179="All beds")),G179,0)</f>
        <v/>
      </c>
    </row>
    <row r="180">
      <c r="A180" s="1" t="n"/>
      <c r="B180" s="17" t="n"/>
      <c r="C180" s="18" t="n"/>
      <c r="D180" s="19" t="n"/>
      <c r="E180" s="21" t="n"/>
      <c r="F180" s="11">
        <f>IF(AND(B180="",C180="",D180=""),"",IF(NOT(ISNUMBER(B180)),"Needs a date",IF(D180="","Needs the job",IF(AND(C180&lt;&gt;"",C180&lt;&gt;"All beds",COUNTIF(Beds!$B$6:$B$35,C180)=0),"Not on Beds",""))))</f>
        <v/>
      </c>
      <c r="G180" s="1">
        <f>IF(ISNUMBER(B180),INT(B180),0)</f>
        <v/>
      </c>
      <c r="H180">
        <f>IF(AND(G180&gt;0,D180="Water",OR(C180="",C180="All beds")),G180,0)</f>
        <v/>
      </c>
    </row>
    <row r="181">
      <c r="A181" s="1" t="n"/>
      <c r="B181" s="17" t="n"/>
      <c r="C181" s="18" t="n"/>
      <c r="D181" s="19" t="n"/>
      <c r="E181" s="21" t="n"/>
      <c r="F181" s="11">
        <f>IF(AND(B181="",C181="",D181=""),"",IF(NOT(ISNUMBER(B181)),"Needs a date",IF(D181="","Needs the job",IF(AND(C181&lt;&gt;"",C181&lt;&gt;"All beds",COUNTIF(Beds!$B$6:$B$35,C181)=0),"Not on Beds",""))))</f>
        <v/>
      </c>
      <c r="G181" s="1">
        <f>IF(ISNUMBER(B181),INT(B181),0)</f>
        <v/>
      </c>
      <c r="H181">
        <f>IF(AND(G181&gt;0,D181="Water",OR(C181="",C181="All beds")),G181,0)</f>
        <v/>
      </c>
    </row>
    <row r="182">
      <c r="A182" s="1" t="n"/>
      <c r="B182" s="17" t="n"/>
      <c r="C182" s="18" t="n"/>
      <c r="D182" s="19" t="n"/>
      <c r="E182" s="21" t="n"/>
      <c r="F182" s="11">
        <f>IF(AND(B182="",C182="",D182=""),"",IF(NOT(ISNUMBER(B182)),"Needs a date",IF(D182="","Needs the job",IF(AND(C182&lt;&gt;"",C182&lt;&gt;"All beds",COUNTIF(Beds!$B$6:$B$35,C182)=0),"Not on Beds",""))))</f>
        <v/>
      </c>
      <c r="G182" s="1">
        <f>IF(ISNUMBER(B182),INT(B182),0)</f>
        <v/>
      </c>
      <c r="H182">
        <f>IF(AND(G182&gt;0,D182="Water",OR(C182="",C182="All beds")),G182,0)</f>
        <v/>
      </c>
    </row>
    <row r="183">
      <c r="A183" s="1" t="n"/>
      <c r="B183" s="17" t="n"/>
      <c r="C183" s="18" t="n"/>
      <c r="D183" s="19" t="n"/>
      <c r="E183" s="21" t="n"/>
      <c r="F183" s="11">
        <f>IF(AND(B183="",C183="",D183=""),"",IF(NOT(ISNUMBER(B183)),"Needs a date",IF(D183="","Needs the job",IF(AND(C183&lt;&gt;"",C183&lt;&gt;"All beds",COUNTIF(Beds!$B$6:$B$35,C183)=0),"Not on Beds",""))))</f>
        <v/>
      </c>
      <c r="G183" s="1">
        <f>IF(ISNUMBER(B183),INT(B183),0)</f>
        <v/>
      </c>
      <c r="H183">
        <f>IF(AND(G183&gt;0,D183="Water",OR(C183="",C183="All beds")),G183,0)</f>
        <v/>
      </c>
    </row>
    <row r="184">
      <c r="A184" s="1" t="n"/>
      <c r="B184" s="17" t="n"/>
      <c r="C184" s="18" t="n"/>
      <c r="D184" s="19" t="n"/>
      <c r="E184" s="21" t="n"/>
      <c r="F184" s="11">
        <f>IF(AND(B184="",C184="",D184=""),"",IF(NOT(ISNUMBER(B184)),"Needs a date",IF(D184="","Needs the job",IF(AND(C184&lt;&gt;"",C184&lt;&gt;"All beds",COUNTIF(Beds!$B$6:$B$35,C184)=0),"Not on Beds",""))))</f>
        <v/>
      </c>
      <c r="G184" s="1">
        <f>IF(ISNUMBER(B184),INT(B184),0)</f>
        <v/>
      </c>
      <c r="H184">
        <f>IF(AND(G184&gt;0,D184="Water",OR(C184="",C184="All beds")),G184,0)</f>
        <v/>
      </c>
    </row>
    <row r="185">
      <c r="A185" s="1" t="n"/>
      <c r="B185" s="17" t="n"/>
      <c r="C185" s="18" t="n"/>
      <c r="D185" s="19" t="n"/>
      <c r="E185" s="21" t="n"/>
      <c r="F185" s="11">
        <f>IF(AND(B185="",C185="",D185=""),"",IF(NOT(ISNUMBER(B185)),"Needs a date",IF(D185="","Needs the job",IF(AND(C185&lt;&gt;"",C185&lt;&gt;"All beds",COUNTIF(Beds!$B$6:$B$35,C185)=0),"Not on Beds",""))))</f>
        <v/>
      </c>
      <c r="G185" s="1">
        <f>IF(ISNUMBER(B185),INT(B185),0)</f>
        <v/>
      </c>
      <c r="H185">
        <f>IF(AND(G185&gt;0,D185="Water",OR(C185="",C185="All beds")),G185,0)</f>
        <v/>
      </c>
    </row>
    <row r="186">
      <c r="A186" s="1" t="n"/>
      <c r="B186" s="17" t="n"/>
      <c r="C186" s="18" t="n"/>
      <c r="D186" s="19" t="n"/>
      <c r="E186" s="21" t="n"/>
      <c r="F186" s="11">
        <f>IF(AND(B186="",C186="",D186=""),"",IF(NOT(ISNUMBER(B186)),"Needs a date",IF(D186="","Needs the job",IF(AND(C186&lt;&gt;"",C186&lt;&gt;"All beds",COUNTIF(Beds!$B$6:$B$35,C186)=0),"Not on Beds",""))))</f>
        <v/>
      </c>
      <c r="G186" s="1">
        <f>IF(ISNUMBER(B186),INT(B186),0)</f>
        <v/>
      </c>
      <c r="H186">
        <f>IF(AND(G186&gt;0,D186="Water",OR(C186="",C186="All beds")),G186,0)</f>
        <v/>
      </c>
    </row>
    <row r="187">
      <c r="A187" s="1" t="n"/>
      <c r="B187" s="17" t="n"/>
      <c r="C187" s="18" t="n"/>
      <c r="D187" s="19" t="n"/>
      <c r="E187" s="21" t="n"/>
      <c r="F187" s="11">
        <f>IF(AND(B187="",C187="",D187=""),"",IF(NOT(ISNUMBER(B187)),"Needs a date",IF(D187="","Needs the job",IF(AND(C187&lt;&gt;"",C187&lt;&gt;"All beds",COUNTIF(Beds!$B$6:$B$35,C187)=0),"Not on Beds",""))))</f>
        <v/>
      </c>
      <c r="G187" s="1">
        <f>IF(ISNUMBER(B187),INT(B187),0)</f>
        <v/>
      </c>
      <c r="H187">
        <f>IF(AND(G187&gt;0,D187="Water",OR(C187="",C187="All beds")),G187,0)</f>
        <v/>
      </c>
    </row>
    <row r="188">
      <c r="A188" s="1" t="n"/>
      <c r="B188" s="17" t="n"/>
      <c r="C188" s="18" t="n"/>
      <c r="D188" s="19" t="n"/>
      <c r="E188" s="21" t="n"/>
      <c r="F188" s="11">
        <f>IF(AND(B188="",C188="",D188=""),"",IF(NOT(ISNUMBER(B188)),"Needs a date",IF(D188="","Needs the job",IF(AND(C188&lt;&gt;"",C188&lt;&gt;"All beds",COUNTIF(Beds!$B$6:$B$35,C188)=0),"Not on Beds",""))))</f>
        <v/>
      </c>
      <c r="G188" s="1">
        <f>IF(ISNUMBER(B188),INT(B188),0)</f>
        <v/>
      </c>
      <c r="H188">
        <f>IF(AND(G188&gt;0,D188="Water",OR(C188="",C188="All beds")),G188,0)</f>
        <v/>
      </c>
    </row>
    <row r="189">
      <c r="A189" s="1" t="n"/>
      <c r="B189" s="17" t="n"/>
      <c r="C189" s="18" t="n"/>
      <c r="D189" s="19" t="n"/>
      <c r="E189" s="21" t="n"/>
      <c r="F189" s="11">
        <f>IF(AND(B189="",C189="",D189=""),"",IF(NOT(ISNUMBER(B189)),"Needs a date",IF(D189="","Needs the job",IF(AND(C189&lt;&gt;"",C189&lt;&gt;"All beds",COUNTIF(Beds!$B$6:$B$35,C189)=0),"Not on Beds",""))))</f>
        <v/>
      </c>
      <c r="G189" s="1">
        <f>IF(ISNUMBER(B189),INT(B189),0)</f>
        <v/>
      </c>
      <c r="H189">
        <f>IF(AND(G189&gt;0,D189="Water",OR(C189="",C189="All beds")),G189,0)</f>
        <v/>
      </c>
    </row>
    <row r="190">
      <c r="A190" s="1" t="n"/>
      <c r="B190" s="17" t="n"/>
      <c r="C190" s="18" t="n"/>
      <c r="D190" s="19" t="n"/>
      <c r="E190" s="21" t="n"/>
      <c r="F190" s="11">
        <f>IF(AND(B190="",C190="",D190=""),"",IF(NOT(ISNUMBER(B190)),"Needs a date",IF(D190="","Needs the job",IF(AND(C190&lt;&gt;"",C190&lt;&gt;"All beds",COUNTIF(Beds!$B$6:$B$35,C190)=0),"Not on Beds",""))))</f>
        <v/>
      </c>
      <c r="G190" s="1">
        <f>IF(ISNUMBER(B190),INT(B190),0)</f>
        <v/>
      </c>
      <c r="H190">
        <f>IF(AND(G190&gt;0,D190="Water",OR(C190="",C190="All beds")),G190,0)</f>
        <v/>
      </c>
    </row>
    <row r="191">
      <c r="A191" s="1" t="n"/>
      <c r="B191" s="17" t="n"/>
      <c r="C191" s="18" t="n"/>
      <c r="D191" s="19" t="n"/>
      <c r="E191" s="21" t="n"/>
      <c r="F191" s="11">
        <f>IF(AND(B191="",C191="",D191=""),"",IF(NOT(ISNUMBER(B191)),"Needs a date",IF(D191="","Needs the job",IF(AND(C191&lt;&gt;"",C191&lt;&gt;"All beds",COUNTIF(Beds!$B$6:$B$35,C191)=0),"Not on Beds",""))))</f>
        <v/>
      </c>
      <c r="G191" s="1">
        <f>IF(ISNUMBER(B191),INT(B191),0)</f>
        <v/>
      </c>
      <c r="H191">
        <f>IF(AND(G191&gt;0,D191="Water",OR(C191="",C191="All beds")),G191,0)</f>
        <v/>
      </c>
    </row>
    <row r="192">
      <c r="A192" s="1" t="n"/>
      <c r="B192" s="17" t="n"/>
      <c r="C192" s="18" t="n"/>
      <c r="D192" s="19" t="n"/>
      <c r="E192" s="21" t="n"/>
      <c r="F192" s="11">
        <f>IF(AND(B192="",C192="",D192=""),"",IF(NOT(ISNUMBER(B192)),"Needs a date",IF(D192="","Needs the job",IF(AND(C192&lt;&gt;"",C192&lt;&gt;"All beds",COUNTIF(Beds!$B$6:$B$35,C192)=0),"Not on Beds",""))))</f>
        <v/>
      </c>
      <c r="G192" s="1">
        <f>IF(ISNUMBER(B192),INT(B192),0)</f>
        <v/>
      </c>
      <c r="H192">
        <f>IF(AND(G192&gt;0,D192="Water",OR(C192="",C192="All beds")),G192,0)</f>
        <v/>
      </c>
    </row>
    <row r="193">
      <c r="A193" s="1" t="n"/>
      <c r="B193" s="17" t="n"/>
      <c r="C193" s="18" t="n"/>
      <c r="D193" s="19" t="n"/>
      <c r="E193" s="21" t="n"/>
      <c r="F193" s="11">
        <f>IF(AND(B193="",C193="",D193=""),"",IF(NOT(ISNUMBER(B193)),"Needs a date",IF(D193="","Needs the job",IF(AND(C193&lt;&gt;"",C193&lt;&gt;"All beds",COUNTIF(Beds!$B$6:$B$35,C193)=0),"Not on Beds",""))))</f>
        <v/>
      </c>
      <c r="G193" s="1">
        <f>IF(ISNUMBER(B193),INT(B193),0)</f>
        <v/>
      </c>
      <c r="H193">
        <f>IF(AND(G193&gt;0,D193="Water",OR(C193="",C193="All beds")),G193,0)</f>
        <v/>
      </c>
    </row>
    <row r="194">
      <c r="A194" s="1" t="n"/>
      <c r="B194" s="17" t="n"/>
      <c r="C194" s="18" t="n"/>
      <c r="D194" s="19" t="n"/>
      <c r="E194" s="21" t="n"/>
      <c r="F194" s="11">
        <f>IF(AND(B194="",C194="",D194=""),"",IF(NOT(ISNUMBER(B194)),"Needs a date",IF(D194="","Needs the job",IF(AND(C194&lt;&gt;"",C194&lt;&gt;"All beds",COUNTIF(Beds!$B$6:$B$35,C194)=0),"Not on Beds",""))))</f>
        <v/>
      </c>
      <c r="G194" s="1">
        <f>IF(ISNUMBER(B194),INT(B194),0)</f>
        <v/>
      </c>
      <c r="H194">
        <f>IF(AND(G194&gt;0,D194="Water",OR(C194="",C194="All beds")),G194,0)</f>
        <v/>
      </c>
    </row>
    <row r="195">
      <c r="A195" s="1" t="n"/>
      <c r="B195" s="17" t="n"/>
      <c r="C195" s="18" t="n"/>
      <c r="D195" s="19" t="n"/>
      <c r="E195" s="21" t="n"/>
      <c r="F195" s="11">
        <f>IF(AND(B195="",C195="",D195=""),"",IF(NOT(ISNUMBER(B195)),"Needs a date",IF(D195="","Needs the job",IF(AND(C195&lt;&gt;"",C195&lt;&gt;"All beds",COUNTIF(Beds!$B$6:$B$35,C195)=0),"Not on Beds",""))))</f>
        <v/>
      </c>
      <c r="G195" s="1">
        <f>IF(ISNUMBER(B195),INT(B195),0)</f>
        <v/>
      </c>
      <c r="H195">
        <f>IF(AND(G195&gt;0,D195="Water",OR(C195="",C195="All beds")),G195,0)</f>
        <v/>
      </c>
    </row>
    <row r="196">
      <c r="A196" s="1" t="n"/>
      <c r="B196" s="17" t="n"/>
      <c r="C196" s="18" t="n"/>
      <c r="D196" s="19" t="n"/>
      <c r="E196" s="21" t="n"/>
      <c r="F196" s="11">
        <f>IF(AND(B196="",C196="",D196=""),"",IF(NOT(ISNUMBER(B196)),"Needs a date",IF(D196="","Needs the job",IF(AND(C196&lt;&gt;"",C196&lt;&gt;"All beds",COUNTIF(Beds!$B$6:$B$35,C196)=0),"Not on Beds",""))))</f>
        <v/>
      </c>
      <c r="G196" s="1">
        <f>IF(ISNUMBER(B196),INT(B196),0)</f>
        <v/>
      </c>
      <c r="H196">
        <f>IF(AND(G196&gt;0,D196="Water",OR(C196="",C196="All beds")),G196,0)</f>
        <v/>
      </c>
    </row>
    <row r="197">
      <c r="A197" s="1" t="n"/>
      <c r="B197" s="17" t="n"/>
      <c r="C197" s="18" t="n"/>
      <c r="D197" s="19" t="n"/>
      <c r="E197" s="21" t="n"/>
      <c r="F197" s="11">
        <f>IF(AND(B197="",C197="",D197=""),"",IF(NOT(ISNUMBER(B197)),"Needs a date",IF(D197="","Needs the job",IF(AND(C197&lt;&gt;"",C197&lt;&gt;"All beds",COUNTIF(Beds!$B$6:$B$35,C197)=0),"Not on Beds",""))))</f>
        <v/>
      </c>
      <c r="G197" s="1">
        <f>IF(ISNUMBER(B197),INT(B197),0)</f>
        <v/>
      </c>
      <c r="H197">
        <f>IF(AND(G197&gt;0,D197="Water",OR(C197="",C197="All beds")),G197,0)</f>
        <v/>
      </c>
    </row>
    <row r="198">
      <c r="A198" s="1" t="n"/>
      <c r="B198" s="17" t="n"/>
      <c r="C198" s="18" t="n"/>
      <c r="D198" s="19" t="n"/>
      <c r="E198" s="21" t="n"/>
      <c r="F198" s="11">
        <f>IF(AND(B198="",C198="",D198=""),"",IF(NOT(ISNUMBER(B198)),"Needs a date",IF(D198="","Needs the job",IF(AND(C198&lt;&gt;"",C198&lt;&gt;"All beds",COUNTIF(Beds!$B$6:$B$35,C198)=0),"Not on Beds",""))))</f>
        <v/>
      </c>
      <c r="G198" s="1">
        <f>IF(ISNUMBER(B198),INT(B198),0)</f>
        <v/>
      </c>
      <c r="H198">
        <f>IF(AND(G198&gt;0,D198="Water",OR(C198="",C198="All beds")),G198,0)</f>
        <v/>
      </c>
    </row>
    <row r="199">
      <c r="A199" s="1" t="n"/>
      <c r="B199" s="17" t="n"/>
      <c r="C199" s="18" t="n"/>
      <c r="D199" s="19" t="n"/>
      <c r="E199" s="21" t="n"/>
      <c r="F199" s="11">
        <f>IF(AND(B199="",C199="",D199=""),"",IF(NOT(ISNUMBER(B199)),"Needs a date",IF(D199="","Needs the job",IF(AND(C199&lt;&gt;"",C199&lt;&gt;"All beds",COUNTIF(Beds!$B$6:$B$35,C199)=0),"Not on Beds",""))))</f>
        <v/>
      </c>
      <c r="G199" s="1">
        <f>IF(ISNUMBER(B199),INT(B199),0)</f>
        <v/>
      </c>
      <c r="H199">
        <f>IF(AND(G199&gt;0,D199="Water",OR(C199="",C199="All beds")),G199,0)</f>
        <v/>
      </c>
    </row>
    <row r="200">
      <c r="A200" s="1" t="n"/>
      <c r="B200" s="17" t="n"/>
      <c r="C200" s="18" t="n"/>
      <c r="D200" s="19" t="n"/>
      <c r="E200" s="21" t="n"/>
      <c r="F200" s="11">
        <f>IF(AND(B200="",C200="",D200=""),"",IF(NOT(ISNUMBER(B200)),"Needs a date",IF(D200="","Needs the job",IF(AND(C200&lt;&gt;"",C200&lt;&gt;"All beds",COUNTIF(Beds!$B$6:$B$35,C200)=0),"Not on Beds",""))))</f>
        <v/>
      </c>
      <c r="G200" s="1">
        <f>IF(ISNUMBER(B200),INT(B200),0)</f>
        <v/>
      </c>
      <c r="H200">
        <f>IF(AND(G200&gt;0,D200="Water",OR(C200="",C200="All beds")),G200,0)</f>
        <v/>
      </c>
    </row>
    <row r="201">
      <c r="A201" s="1" t="n"/>
      <c r="B201" s="17" t="n"/>
      <c r="C201" s="18" t="n"/>
      <c r="D201" s="19" t="n"/>
      <c r="E201" s="21" t="n"/>
      <c r="F201" s="11">
        <f>IF(AND(B201="",C201="",D201=""),"",IF(NOT(ISNUMBER(B201)),"Needs a date",IF(D201="","Needs the job",IF(AND(C201&lt;&gt;"",C201&lt;&gt;"All beds",COUNTIF(Beds!$B$6:$B$35,C201)=0),"Not on Beds",""))))</f>
        <v/>
      </c>
      <c r="G201" s="1">
        <f>IF(ISNUMBER(B201),INT(B201),0)</f>
        <v/>
      </c>
      <c r="H201">
        <f>IF(AND(G201&gt;0,D201="Water",OR(C201="",C201="All beds")),G201,0)</f>
        <v/>
      </c>
    </row>
    <row r="202">
      <c r="A202" s="1" t="n"/>
      <c r="B202" s="17" t="n"/>
      <c r="C202" s="18" t="n"/>
      <c r="D202" s="19" t="n"/>
      <c r="E202" s="21" t="n"/>
      <c r="F202" s="11">
        <f>IF(AND(B202="",C202="",D202=""),"",IF(NOT(ISNUMBER(B202)),"Needs a date",IF(D202="","Needs the job",IF(AND(C202&lt;&gt;"",C202&lt;&gt;"All beds",COUNTIF(Beds!$B$6:$B$35,C202)=0),"Not on Beds",""))))</f>
        <v/>
      </c>
      <c r="G202" s="1">
        <f>IF(ISNUMBER(B202),INT(B202),0)</f>
        <v/>
      </c>
      <c r="H202">
        <f>IF(AND(G202&gt;0,D202="Water",OR(C202="",C202="All beds")),G202,0)</f>
        <v/>
      </c>
    </row>
    <row r="203">
      <c r="A203" s="1" t="n"/>
      <c r="B203" s="17" t="n"/>
      <c r="C203" s="18" t="n"/>
      <c r="D203" s="19" t="n"/>
      <c r="E203" s="21" t="n"/>
      <c r="F203" s="11">
        <f>IF(AND(B203="",C203="",D203=""),"",IF(NOT(ISNUMBER(B203)),"Needs a date",IF(D203="","Needs the job",IF(AND(C203&lt;&gt;"",C203&lt;&gt;"All beds",COUNTIF(Beds!$B$6:$B$35,C203)=0),"Not on Beds",""))))</f>
        <v/>
      </c>
      <c r="G203" s="1">
        <f>IF(ISNUMBER(B203),INT(B203),0)</f>
        <v/>
      </c>
      <c r="H203">
        <f>IF(AND(G203&gt;0,D203="Water",OR(C203="",C203="All beds")),G203,0)</f>
        <v/>
      </c>
    </row>
    <row r="204">
      <c r="A204" s="1" t="n"/>
      <c r="B204" s="17" t="n"/>
      <c r="C204" s="18" t="n"/>
      <c r="D204" s="19" t="n"/>
      <c r="E204" s="21" t="n"/>
      <c r="F204" s="11">
        <f>IF(AND(B204="",C204="",D204=""),"",IF(NOT(ISNUMBER(B204)),"Needs a date",IF(D204="","Needs the job",IF(AND(C204&lt;&gt;"",C204&lt;&gt;"All beds",COUNTIF(Beds!$B$6:$B$35,C204)=0),"Not on Beds",""))))</f>
        <v/>
      </c>
      <c r="G204" s="1">
        <f>IF(ISNUMBER(B204),INT(B204),0)</f>
        <v/>
      </c>
      <c r="H204">
        <f>IF(AND(G204&gt;0,D204="Water",OR(C204="",C204="All beds")),G204,0)</f>
        <v/>
      </c>
    </row>
    <row r="205">
      <c r="A205" s="1" t="n"/>
      <c r="B205" s="17" t="n"/>
      <c r="C205" s="18" t="n"/>
      <c r="D205" s="19" t="n"/>
      <c r="E205" s="21" t="n"/>
      <c r="F205" s="11">
        <f>IF(AND(B205="",C205="",D205=""),"",IF(NOT(ISNUMBER(B205)),"Needs a date",IF(D205="","Needs the job",IF(AND(C205&lt;&gt;"",C205&lt;&gt;"All beds",COUNTIF(Beds!$B$6:$B$35,C205)=0),"Not on Beds",""))))</f>
        <v/>
      </c>
      <c r="G205" s="1">
        <f>IF(ISNUMBER(B205),INT(B205),0)</f>
        <v/>
      </c>
      <c r="H205">
        <f>IF(AND(G205&gt;0,D205="Water",OR(C205="",C205="All beds")),G205,0)</f>
        <v/>
      </c>
    </row>
    <row r="206">
      <c r="A206" s="1" t="n"/>
      <c r="B206" s="17" t="n"/>
      <c r="C206" s="18" t="n"/>
      <c r="D206" s="19" t="n"/>
      <c r="E206" s="21" t="n"/>
      <c r="F206" s="11">
        <f>IF(AND(B206="",C206="",D206=""),"",IF(NOT(ISNUMBER(B206)),"Needs a date",IF(D206="","Needs the job",IF(AND(C206&lt;&gt;"",C206&lt;&gt;"All beds",COUNTIF(Beds!$B$6:$B$35,C206)=0),"Not on Beds",""))))</f>
        <v/>
      </c>
      <c r="G206" s="1">
        <f>IF(ISNUMBER(B206),INT(B206),0)</f>
        <v/>
      </c>
      <c r="H206">
        <f>IF(AND(G206&gt;0,D206="Water",OR(C206="",C206="All beds")),G206,0)</f>
        <v/>
      </c>
    </row>
    <row r="207">
      <c r="A207" s="1" t="n"/>
      <c r="B207" s="17" t="n"/>
      <c r="C207" s="18" t="n"/>
      <c r="D207" s="19" t="n"/>
      <c r="E207" s="21" t="n"/>
      <c r="F207" s="11">
        <f>IF(AND(B207="",C207="",D207=""),"",IF(NOT(ISNUMBER(B207)),"Needs a date",IF(D207="","Needs the job",IF(AND(C207&lt;&gt;"",C207&lt;&gt;"All beds",COUNTIF(Beds!$B$6:$B$35,C207)=0),"Not on Beds",""))))</f>
        <v/>
      </c>
      <c r="G207" s="1">
        <f>IF(ISNUMBER(B207),INT(B207),0)</f>
        <v/>
      </c>
      <c r="H207">
        <f>IF(AND(G207&gt;0,D207="Water",OR(C207="",C207="All beds")),G207,0)</f>
        <v/>
      </c>
    </row>
    <row r="208">
      <c r="A208" s="1" t="n"/>
      <c r="B208" s="17" t="n"/>
      <c r="C208" s="18" t="n"/>
      <c r="D208" s="19" t="n"/>
      <c r="E208" s="21" t="n"/>
      <c r="F208" s="11">
        <f>IF(AND(B208="",C208="",D208=""),"",IF(NOT(ISNUMBER(B208)),"Needs a date",IF(D208="","Needs the job",IF(AND(C208&lt;&gt;"",C208&lt;&gt;"All beds",COUNTIF(Beds!$B$6:$B$35,C208)=0),"Not on Beds",""))))</f>
        <v/>
      </c>
      <c r="G208" s="1">
        <f>IF(ISNUMBER(B208),INT(B208),0)</f>
        <v/>
      </c>
      <c r="H208">
        <f>IF(AND(G208&gt;0,D208="Water",OR(C208="",C208="All beds")),G208,0)</f>
        <v/>
      </c>
    </row>
    <row r="209">
      <c r="A209" s="1" t="n"/>
      <c r="B209" s="17" t="n"/>
      <c r="C209" s="18" t="n"/>
      <c r="D209" s="19" t="n"/>
      <c r="E209" s="21" t="n"/>
      <c r="F209" s="11">
        <f>IF(AND(B209="",C209="",D209=""),"",IF(NOT(ISNUMBER(B209)),"Needs a date",IF(D209="","Needs the job",IF(AND(C209&lt;&gt;"",C209&lt;&gt;"All beds",COUNTIF(Beds!$B$6:$B$35,C209)=0),"Not on Beds",""))))</f>
        <v/>
      </c>
      <c r="G209" s="1">
        <f>IF(ISNUMBER(B209),INT(B209),0)</f>
        <v/>
      </c>
      <c r="H209">
        <f>IF(AND(G209&gt;0,D209="Water",OR(C209="",C209="All beds")),G209,0)</f>
        <v/>
      </c>
    </row>
    <row r="210">
      <c r="A210" s="1" t="n"/>
      <c r="B210" s="17" t="n"/>
      <c r="C210" s="18" t="n"/>
      <c r="D210" s="19" t="n"/>
      <c r="E210" s="21" t="n"/>
      <c r="F210" s="11">
        <f>IF(AND(B210="",C210="",D210=""),"",IF(NOT(ISNUMBER(B210)),"Needs a date",IF(D210="","Needs the job",IF(AND(C210&lt;&gt;"",C210&lt;&gt;"All beds",COUNTIF(Beds!$B$6:$B$35,C210)=0),"Not on Beds",""))))</f>
        <v/>
      </c>
      <c r="G210" s="1">
        <f>IF(ISNUMBER(B210),INT(B210),0)</f>
        <v/>
      </c>
      <c r="H210">
        <f>IF(AND(G210&gt;0,D210="Water",OR(C210="",C210="All beds")),G210,0)</f>
        <v/>
      </c>
    </row>
    <row r="211">
      <c r="A211" s="1" t="n"/>
      <c r="B211" s="17" t="n"/>
      <c r="C211" s="18" t="n"/>
      <c r="D211" s="19" t="n"/>
      <c r="E211" s="21" t="n"/>
      <c r="F211" s="11">
        <f>IF(AND(B211="",C211="",D211=""),"",IF(NOT(ISNUMBER(B211)),"Needs a date",IF(D211="","Needs the job",IF(AND(C211&lt;&gt;"",C211&lt;&gt;"All beds",COUNTIF(Beds!$B$6:$B$35,C211)=0),"Not on Beds",""))))</f>
        <v/>
      </c>
      <c r="G211" s="1">
        <f>IF(ISNUMBER(B211),INT(B211),0)</f>
        <v/>
      </c>
      <c r="H211">
        <f>IF(AND(G211&gt;0,D211="Water",OR(C211="",C211="All beds")),G211,0)</f>
        <v/>
      </c>
    </row>
    <row r="212">
      <c r="A212" s="1" t="n"/>
      <c r="B212" s="17" t="n"/>
      <c r="C212" s="18" t="n"/>
      <c r="D212" s="19" t="n"/>
      <c r="E212" s="21" t="n"/>
      <c r="F212" s="11">
        <f>IF(AND(B212="",C212="",D212=""),"",IF(NOT(ISNUMBER(B212)),"Needs a date",IF(D212="","Needs the job",IF(AND(C212&lt;&gt;"",C212&lt;&gt;"All beds",COUNTIF(Beds!$B$6:$B$35,C212)=0),"Not on Beds",""))))</f>
        <v/>
      </c>
      <c r="G212" s="1">
        <f>IF(ISNUMBER(B212),INT(B212),0)</f>
        <v/>
      </c>
      <c r="H212">
        <f>IF(AND(G212&gt;0,D212="Water",OR(C212="",C212="All beds")),G212,0)</f>
        <v/>
      </c>
    </row>
    <row r="213">
      <c r="A213" s="1" t="n"/>
      <c r="B213" s="17" t="n"/>
      <c r="C213" s="18" t="n"/>
      <c r="D213" s="19" t="n"/>
      <c r="E213" s="21" t="n"/>
      <c r="F213" s="11">
        <f>IF(AND(B213="",C213="",D213=""),"",IF(NOT(ISNUMBER(B213)),"Needs a date",IF(D213="","Needs the job",IF(AND(C213&lt;&gt;"",C213&lt;&gt;"All beds",COUNTIF(Beds!$B$6:$B$35,C213)=0),"Not on Beds",""))))</f>
        <v/>
      </c>
      <c r="G213" s="1">
        <f>IF(ISNUMBER(B213),INT(B213),0)</f>
        <v/>
      </c>
      <c r="H213">
        <f>IF(AND(G213&gt;0,D213="Water",OR(C213="",C213="All beds")),G213,0)</f>
        <v/>
      </c>
    </row>
    <row r="214">
      <c r="A214" s="1" t="n"/>
      <c r="B214" s="17" t="n"/>
      <c r="C214" s="18" t="n"/>
      <c r="D214" s="19" t="n"/>
      <c r="E214" s="21" t="n"/>
      <c r="F214" s="11">
        <f>IF(AND(B214="",C214="",D214=""),"",IF(NOT(ISNUMBER(B214)),"Needs a date",IF(D214="","Needs the job",IF(AND(C214&lt;&gt;"",C214&lt;&gt;"All beds",COUNTIF(Beds!$B$6:$B$35,C214)=0),"Not on Beds",""))))</f>
        <v/>
      </c>
      <c r="G214" s="1">
        <f>IF(ISNUMBER(B214),INT(B214),0)</f>
        <v/>
      </c>
      <c r="H214">
        <f>IF(AND(G214&gt;0,D214="Water",OR(C214="",C214="All beds")),G214,0)</f>
        <v/>
      </c>
    </row>
    <row r="215">
      <c r="A215" s="1" t="n"/>
      <c r="B215" s="17" t="n"/>
      <c r="C215" s="18" t="n"/>
      <c r="D215" s="19" t="n"/>
      <c r="E215" s="21" t="n"/>
      <c r="F215" s="11">
        <f>IF(AND(B215="",C215="",D215=""),"",IF(NOT(ISNUMBER(B215)),"Needs a date",IF(D215="","Needs the job",IF(AND(C215&lt;&gt;"",C215&lt;&gt;"All beds",COUNTIF(Beds!$B$6:$B$35,C215)=0),"Not on Beds",""))))</f>
        <v/>
      </c>
      <c r="G215" s="1">
        <f>IF(ISNUMBER(B215),INT(B215),0)</f>
        <v/>
      </c>
      <c r="H215">
        <f>IF(AND(G215&gt;0,D215="Water",OR(C215="",C215="All beds")),G215,0)</f>
        <v/>
      </c>
    </row>
    <row r="216">
      <c r="A216" s="1" t="n"/>
      <c r="B216" s="17" t="n"/>
      <c r="C216" s="18" t="n"/>
      <c r="D216" s="19" t="n"/>
      <c r="E216" s="21" t="n"/>
      <c r="F216" s="11">
        <f>IF(AND(B216="",C216="",D216=""),"",IF(NOT(ISNUMBER(B216)),"Needs a date",IF(D216="","Needs the job",IF(AND(C216&lt;&gt;"",C216&lt;&gt;"All beds",COUNTIF(Beds!$B$6:$B$35,C216)=0),"Not on Beds",""))))</f>
        <v/>
      </c>
      <c r="G216" s="1">
        <f>IF(ISNUMBER(B216),INT(B216),0)</f>
        <v/>
      </c>
      <c r="H216">
        <f>IF(AND(G216&gt;0,D216="Water",OR(C216="",C216="All beds")),G216,0)</f>
        <v/>
      </c>
    </row>
    <row r="217">
      <c r="A217" s="1" t="n"/>
      <c r="B217" s="17" t="n"/>
      <c r="C217" s="18" t="n"/>
      <c r="D217" s="19" t="n"/>
      <c r="E217" s="21" t="n"/>
      <c r="F217" s="11">
        <f>IF(AND(B217="",C217="",D217=""),"",IF(NOT(ISNUMBER(B217)),"Needs a date",IF(D217="","Needs the job",IF(AND(C217&lt;&gt;"",C217&lt;&gt;"All beds",COUNTIF(Beds!$B$6:$B$35,C217)=0),"Not on Beds",""))))</f>
        <v/>
      </c>
      <c r="G217" s="1">
        <f>IF(ISNUMBER(B217),INT(B217),0)</f>
        <v/>
      </c>
      <c r="H217">
        <f>IF(AND(G217&gt;0,D217="Water",OR(C217="",C217="All beds")),G217,0)</f>
        <v/>
      </c>
    </row>
    <row r="218">
      <c r="A218" s="1" t="n"/>
      <c r="B218" s="17" t="n"/>
      <c r="C218" s="18" t="n"/>
      <c r="D218" s="19" t="n"/>
      <c r="E218" s="21" t="n"/>
      <c r="F218" s="11">
        <f>IF(AND(B218="",C218="",D218=""),"",IF(NOT(ISNUMBER(B218)),"Needs a date",IF(D218="","Needs the job",IF(AND(C218&lt;&gt;"",C218&lt;&gt;"All beds",COUNTIF(Beds!$B$6:$B$35,C218)=0),"Not on Beds",""))))</f>
        <v/>
      </c>
      <c r="G218" s="1">
        <f>IF(ISNUMBER(B218),INT(B218),0)</f>
        <v/>
      </c>
      <c r="H218">
        <f>IF(AND(G218&gt;0,D218="Water",OR(C218="",C218="All beds")),G218,0)</f>
        <v/>
      </c>
    </row>
    <row r="219">
      <c r="A219" s="1" t="n"/>
      <c r="B219" s="17" t="n"/>
      <c r="C219" s="18" t="n"/>
      <c r="D219" s="19" t="n"/>
      <c r="E219" s="21" t="n"/>
      <c r="F219" s="11">
        <f>IF(AND(B219="",C219="",D219=""),"",IF(NOT(ISNUMBER(B219)),"Needs a date",IF(D219="","Needs the job",IF(AND(C219&lt;&gt;"",C219&lt;&gt;"All beds",COUNTIF(Beds!$B$6:$B$35,C219)=0),"Not on Beds",""))))</f>
        <v/>
      </c>
      <c r="G219" s="1">
        <f>IF(ISNUMBER(B219),INT(B219),0)</f>
        <v/>
      </c>
      <c r="H219">
        <f>IF(AND(G219&gt;0,D219="Water",OR(C219="",C219="All beds")),G219,0)</f>
        <v/>
      </c>
    </row>
    <row r="220">
      <c r="A220" s="1" t="n"/>
      <c r="B220" s="17" t="n"/>
      <c r="C220" s="18" t="n"/>
      <c r="D220" s="19" t="n"/>
      <c r="E220" s="21" t="n"/>
      <c r="F220" s="11">
        <f>IF(AND(B220="",C220="",D220=""),"",IF(NOT(ISNUMBER(B220)),"Needs a date",IF(D220="","Needs the job",IF(AND(C220&lt;&gt;"",C220&lt;&gt;"All beds",COUNTIF(Beds!$B$6:$B$35,C220)=0),"Not on Beds",""))))</f>
        <v/>
      </c>
      <c r="G220" s="1">
        <f>IF(ISNUMBER(B220),INT(B220),0)</f>
        <v/>
      </c>
      <c r="H220">
        <f>IF(AND(G220&gt;0,D220="Water",OR(C220="",C220="All beds")),G220,0)</f>
        <v/>
      </c>
    </row>
    <row r="221">
      <c r="A221" s="1" t="n"/>
      <c r="B221" s="17" t="n"/>
      <c r="C221" s="18" t="n"/>
      <c r="D221" s="19" t="n"/>
      <c r="E221" s="21" t="n"/>
      <c r="F221" s="11">
        <f>IF(AND(B221="",C221="",D221=""),"",IF(NOT(ISNUMBER(B221)),"Needs a date",IF(D221="","Needs the job",IF(AND(C221&lt;&gt;"",C221&lt;&gt;"All beds",COUNTIF(Beds!$B$6:$B$35,C221)=0),"Not on Beds",""))))</f>
        <v/>
      </c>
      <c r="G221" s="1">
        <f>IF(ISNUMBER(B221),INT(B221),0)</f>
        <v/>
      </c>
      <c r="H221">
        <f>IF(AND(G221&gt;0,D221="Water",OR(C221="",C221="All beds")),G221,0)</f>
        <v/>
      </c>
    </row>
    <row r="222">
      <c r="A222" s="1" t="n"/>
      <c r="B222" s="17" t="n"/>
      <c r="C222" s="18" t="n"/>
      <c r="D222" s="19" t="n"/>
      <c r="E222" s="21" t="n"/>
      <c r="F222" s="11">
        <f>IF(AND(B222="",C222="",D222=""),"",IF(NOT(ISNUMBER(B222)),"Needs a date",IF(D222="","Needs the job",IF(AND(C222&lt;&gt;"",C222&lt;&gt;"All beds",COUNTIF(Beds!$B$6:$B$35,C222)=0),"Not on Beds",""))))</f>
        <v/>
      </c>
      <c r="G222" s="1">
        <f>IF(ISNUMBER(B222),INT(B222),0)</f>
        <v/>
      </c>
      <c r="H222">
        <f>IF(AND(G222&gt;0,D222="Water",OR(C222="",C222="All beds")),G222,0)</f>
        <v/>
      </c>
    </row>
    <row r="223">
      <c r="A223" s="1" t="n"/>
      <c r="B223" s="17" t="n"/>
      <c r="C223" s="18" t="n"/>
      <c r="D223" s="19" t="n"/>
      <c r="E223" s="21" t="n"/>
      <c r="F223" s="11">
        <f>IF(AND(B223="",C223="",D223=""),"",IF(NOT(ISNUMBER(B223)),"Needs a date",IF(D223="","Needs the job",IF(AND(C223&lt;&gt;"",C223&lt;&gt;"All beds",COUNTIF(Beds!$B$6:$B$35,C223)=0),"Not on Beds",""))))</f>
        <v/>
      </c>
      <c r="G223" s="1">
        <f>IF(ISNUMBER(B223),INT(B223),0)</f>
        <v/>
      </c>
      <c r="H223">
        <f>IF(AND(G223&gt;0,D223="Water",OR(C223="",C223="All beds")),G223,0)</f>
        <v/>
      </c>
    </row>
    <row r="224">
      <c r="A224" s="1" t="n"/>
      <c r="B224" s="17" t="n"/>
      <c r="C224" s="18" t="n"/>
      <c r="D224" s="19" t="n"/>
      <c r="E224" s="21" t="n"/>
      <c r="F224" s="11">
        <f>IF(AND(B224="",C224="",D224=""),"",IF(NOT(ISNUMBER(B224)),"Needs a date",IF(D224="","Needs the job",IF(AND(C224&lt;&gt;"",C224&lt;&gt;"All beds",COUNTIF(Beds!$B$6:$B$35,C224)=0),"Not on Beds",""))))</f>
        <v/>
      </c>
      <c r="G224" s="1">
        <f>IF(ISNUMBER(B224),INT(B224),0)</f>
        <v/>
      </c>
      <c r="H224">
        <f>IF(AND(G224&gt;0,D224="Water",OR(C224="",C224="All beds")),G224,0)</f>
        <v/>
      </c>
    </row>
    <row r="225">
      <c r="A225" s="1" t="n"/>
      <c r="B225" s="17" t="n"/>
      <c r="C225" s="18" t="n"/>
      <c r="D225" s="19" t="n"/>
      <c r="E225" s="21" t="n"/>
      <c r="F225" s="11">
        <f>IF(AND(B225="",C225="",D225=""),"",IF(NOT(ISNUMBER(B225)),"Needs a date",IF(D225="","Needs the job",IF(AND(C225&lt;&gt;"",C225&lt;&gt;"All beds",COUNTIF(Beds!$B$6:$B$35,C225)=0),"Not on Beds",""))))</f>
        <v/>
      </c>
      <c r="G225" s="1">
        <f>IF(ISNUMBER(B225),INT(B225),0)</f>
        <v/>
      </c>
      <c r="H225">
        <f>IF(AND(G225&gt;0,D225="Water",OR(C225="",C225="All beds")),G225,0)</f>
        <v/>
      </c>
    </row>
    <row r="226">
      <c r="A226" s="1" t="n"/>
      <c r="B226" s="17" t="n"/>
      <c r="C226" s="18" t="n"/>
      <c r="D226" s="19" t="n"/>
      <c r="E226" s="21" t="n"/>
      <c r="F226" s="11">
        <f>IF(AND(B226="",C226="",D226=""),"",IF(NOT(ISNUMBER(B226)),"Needs a date",IF(D226="","Needs the job",IF(AND(C226&lt;&gt;"",C226&lt;&gt;"All beds",COUNTIF(Beds!$B$6:$B$35,C226)=0),"Not on Beds",""))))</f>
        <v/>
      </c>
      <c r="G226" s="1">
        <f>IF(ISNUMBER(B226),INT(B226),0)</f>
        <v/>
      </c>
      <c r="H226">
        <f>IF(AND(G226&gt;0,D226="Water",OR(C226="",C226="All beds")),G226,0)</f>
        <v/>
      </c>
    </row>
    <row r="227">
      <c r="A227" s="1" t="n"/>
      <c r="B227" s="17" t="n"/>
      <c r="C227" s="18" t="n"/>
      <c r="D227" s="19" t="n"/>
      <c r="E227" s="21" t="n"/>
      <c r="F227" s="11">
        <f>IF(AND(B227="",C227="",D227=""),"",IF(NOT(ISNUMBER(B227)),"Needs a date",IF(D227="","Needs the job",IF(AND(C227&lt;&gt;"",C227&lt;&gt;"All beds",COUNTIF(Beds!$B$6:$B$35,C227)=0),"Not on Beds",""))))</f>
        <v/>
      </c>
      <c r="G227" s="1">
        <f>IF(ISNUMBER(B227),INT(B227),0)</f>
        <v/>
      </c>
      <c r="H227">
        <f>IF(AND(G227&gt;0,D227="Water",OR(C227="",C227="All beds")),G227,0)</f>
        <v/>
      </c>
    </row>
    <row r="228">
      <c r="A228" s="1" t="n"/>
      <c r="B228" s="17" t="n"/>
      <c r="C228" s="18" t="n"/>
      <c r="D228" s="19" t="n"/>
      <c r="E228" s="21" t="n"/>
      <c r="F228" s="11">
        <f>IF(AND(B228="",C228="",D228=""),"",IF(NOT(ISNUMBER(B228)),"Needs a date",IF(D228="","Needs the job",IF(AND(C228&lt;&gt;"",C228&lt;&gt;"All beds",COUNTIF(Beds!$B$6:$B$35,C228)=0),"Not on Beds",""))))</f>
        <v/>
      </c>
      <c r="G228" s="1">
        <f>IF(ISNUMBER(B228),INT(B228),0)</f>
        <v/>
      </c>
      <c r="H228">
        <f>IF(AND(G228&gt;0,D228="Water",OR(C228="",C228="All beds")),G228,0)</f>
        <v/>
      </c>
    </row>
    <row r="229">
      <c r="A229" s="1" t="n"/>
      <c r="B229" s="17" t="n"/>
      <c r="C229" s="18" t="n"/>
      <c r="D229" s="19" t="n"/>
      <c r="E229" s="21" t="n"/>
      <c r="F229" s="11">
        <f>IF(AND(B229="",C229="",D229=""),"",IF(NOT(ISNUMBER(B229)),"Needs a date",IF(D229="","Needs the job",IF(AND(C229&lt;&gt;"",C229&lt;&gt;"All beds",COUNTIF(Beds!$B$6:$B$35,C229)=0),"Not on Beds",""))))</f>
        <v/>
      </c>
      <c r="G229" s="1">
        <f>IF(ISNUMBER(B229),INT(B229),0)</f>
        <v/>
      </c>
      <c r="H229">
        <f>IF(AND(G229&gt;0,D229="Water",OR(C229="",C229="All beds")),G229,0)</f>
        <v/>
      </c>
    </row>
    <row r="230">
      <c r="A230" s="1" t="n"/>
      <c r="B230" s="17" t="n"/>
      <c r="C230" s="18" t="n"/>
      <c r="D230" s="19" t="n"/>
      <c r="E230" s="21" t="n"/>
      <c r="F230" s="11">
        <f>IF(AND(B230="",C230="",D230=""),"",IF(NOT(ISNUMBER(B230)),"Needs a date",IF(D230="","Needs the job",IF(AND(C230&lt;&gt;"",C230&lt;&gt;"All beds",COUNTIF(Beds!$B$6:$B$35,C230)=0),"Not on Beds",""))))</f>
        <v/>
      </c>
      <c r="G230" s="1">
        <f>IF(ISNUMBER(B230),INT(B230),0)</f>
        <v/>
      </c>
      <c r="H230">
        <f>IF(AND(G230&gt;0,D230="Water",OR(C230="",C230="All beds")),G230,0)</f>
        <v/>
      </c>
    </row>
    <row r="231">
      <c r="A231" s="1" t="n"/>
      <c r="B231" s="17" t="n"/>
      <c r="C231" s="18" t="n"/>
      <c r="D231" s="19" t="n"/>
      <c r="E231" s="21" t="n"/>
      <c r="F231" s="11">
        <f>IF(AND(B231="",C231="",D231=""),"",IF(NOT(ISNUMBER(B231)),"Needs a date",IF(D231="","Needs the job",IF(AND(C231&lt;&gt;"",C231&lt;&gt;"All beds",COUNTIF(Beds!$B$6:$B$35,C231)=0),"Not on Beds",""))))</f>
        <v/>
      </c>
      <c r="G231" s="1">
        <f>IF(ISNUMBER(B231),INT(B231),0)</f>
        <v/>
      </c>
      <c r="H231">
        <f>IF(AND(G231&gt;0,D231="Water",OR(C231="",C231="All beds")),G231,0)</f>
        <v/>
      </c>
    </row>
    <row r="232">
      <c r="A232" s="1" t="n"/>
      <c r="B232" s="17" t="n"/>
      <c r="C232" s="18" t="n"/>
      <c r="D232" s="19" t="n"/>
      <c r="E232" s="21" t="n"/>
      <c r="F232" s="11">
        <f>IF(AND(B232="",C232="",D232=""),"",IF(NOT(ISNUMBER(B232)),"Needs a date",IF(D232="","Needs the job",IF(AND(C232&lt;&gt;"",C232&lt;&gt;"All beds",COUNTIF(Beds!$B$6:$B$35,C232)=0),"Not on Beds",""))))</f>
        <v/>
      </c>
      <c r="G232" s="1">
        <f>IF(ISNUMBER(B232),INT(B232),0)</f>
        <v/>
      </c>
      <c r="H232">
        <f>IF(AND(G232&gt;0,D232="Water",OR(C232="",C232="All beds")),G232,0)</f>
        <v/>
      </c>
    </row>
    <row r="233">
      <c r="A233" s="1" t="n"/>
      <c r="B233" s="17" t="n"/>
      <c r="C233" s="18" t="n"/>
      <c r="D233" s="19" t="n"/>
      <c r="E233" s="21" t="n"/>
      <c r="F233" s="11">
        <f>IF(AND(B233="",C233="",D233=""),"",IF(NOT(ISNUMBER(B233)),"Needs a date",IF(D233="","Needs the job",IF(AND(C233&lt;&gt;"",C233&lt;&gt;"All beds",COUNTIF(Beds!$B$6:$B$35,C233)=0),"Not on Beds",""))))</f>
        <v/>
      </c>
      <c r="G233" s="1">
        <f>IF(ISNUMBER(B233),INT(B233),0)</f>
        <v/>
      </c>
      <c r="H233">
        <f>IF(AND(G233&gt;0,D233="Water",OR(C233="",C233="All beds")),G233,0)</f>
        <v/>
      </c>
    </row>
    <row r="234">
      <c r="A234" s="1" t="n"/>
      <c r="B234" s="17" t="n"/>
      <c r="C234" s="18" t="n"/>
      <c r="D234" s="19" t="n"/>
      <c r="E234" s="21" t="n"/>
      <c r="F234" s="11">
        <f>IF(AND(B234="",C234="",D234=""),"",IF(NOT(ISNUMBER(B234)),"Needs a date",IF(D234="","Needs the job",IF(AND(C234&lt;&gt;"",C234&lt;&gt;"All beds",COUNTIF(Beds!$B$6:$B$35,C234)=0),"Not on Beds",""))))</f>
        <v/>
      </c>
      <c r="G234" s="1">
        <f>IF(ISNUMBER(B234),INT(B234),0)</f>
        <v/>
      </c>
      <c r="H234">
        <f>IF(AND(G234&gt;0,D234="Water",OR(C234="",C234="All beds")),G234,0)</f>
        <v/>
      </c>
    </row>
    <row r="235">
      <c r="A235" s="1" t="n"/>
      <c r="B235" s="17" t="n"/>
      <c r="C235" s="18" t="n"/>
      <c r="D235" s="19" t="n"/>
      <c r="E235" s="21" t="n"/>
      <c r="F235" s="11">
        <f>IF(AND(B235="",C235="",D235=""),"",IF(NOT(ISNUMBER(B235)),"Needs a date",IF(D235="","Needs the job",IF(AND(C235&lt;&gt;"",C235&lt;&gt;"All beds",COUNTIF(Beds!$B$6:$B$35,C235)=0),"Not on Beds",""))))</f>
        <v/>
      </c>
      <c r="G235" s="1">
        <f>IF(ISNUMBER(B235),INT(B235),0)</f>
        <v/>
      </c>
      <c r="H235">
        <f>IF(AND(G235&gt;0,D235="Water",OR(C235="",C235="All beds")),G235,0)</f>
        <v/>
      </c>
    </row>
    <row r="236">
      <c r="A236" s="1" t="n"/>
      <c r="B236" s="17" t="n"/>
      <c r="C236" s="18" t="n"/>
      <c r="D236" s="19" t="n"/>
      <c r="E236" s="21" t="n"/>
      <c r="F236" s="11">
        <f>IF(AND(B236="",C236="",D236=""),"",IF(NOT(ISNUMBER(B236)),"Needs a date",IF(D236="","Needs the job",IF(AND(C236&lt;&gt;"",C236&lt;&gt;"All beds",COUNTIF(Beds!$B$6:$B$35,C236)=0),"Not on Beds",""))))</f>
        <v/>
      </c>
      <c r="G236" s="1">
        <f>IF(ISNUMBER(B236),INT(B236),0)</f>
        <v/>
      </c>
      <c r="H236">
        <f>IF(AND(G236&gt;0,D236="Water",OR(C236="",C236="All beds")),G236,0)</f>
        <v/>
      </c>
    </row>
    <row r="237">
      <c r="A237" s="1" t="n"/>
      <c r="B237" s="17" t="n"/>
      <c r="C237" s="18" t="n"/>
      <c r="D237" s="19" t="n"/>
      <c r="E237" s="21" t="n"/>
      <c r="F237" s="11">
        <f>IF(AND(B237="",C237="",D237=""),"",IF(NOT(ISNUMBER(B237)),"Needs a date",IF(D237="","Needs the job",IF(AND(C237&lt;&gt;"",C237&lt;&gt;"All beds",COUNTIF(Beds!$B$6:$B$35,C237)=0),"Not on Beds",""))))</f>
        <v/>
      </c>
      <c r="G237" s="1">
        <f>IF(ISNUMBER(B237),INT(B237),0)</f>
        <v/>
      </c>
      <c r="H237">
        <f>IF(AND(G237&gt;0,D237="Water",OR(C237="",C237="All beds")),G237,0)</f>
        <v/>
      </c>
    </row>
    <row r="238">
      <c r="A238" s="1" t="n"/>
      <c r="B238" s="17" t="n"/>
      <c r="C238" s="18" t="n"/>
      <c r="D238" s="19" t="n"/>
      <c r="E238" s="21" t="n"/>
      <c r="F238" s="11">
        <f>IF(AND(B238="",C238="",D238=""),"",IF(NOT(ISNUMBER(B238)),"Needs a date",IF(D238="","Needs the job",IF(AND(C238&lt;&gt;"",C238&lt;&gt;"All beds",COUNTIF(Beds!$B$6:$B$35,C238)=0),"Not on Beds",""))))</f>
        <v/>
      </c>
      <c r="G238" s="1">
        <f>IF(ISNUMBER(B238),INT(B238),0)</f>
        <v/>
      </c>
      <c r="H238">
        <f>IF(AND(G238&gt;0,D238="Water",OR(C238="",C238="All beds")),G238,0)</f>
        <v/>
      </c>
    </row>
    <row r="239">
      <c r="A239" s="1" t="n"/>
      <c r="B239" s="17" t="n"/>
      <c r="C239" s="18" t="n"/>
      <c r="D239" s="19" t="n"/>
      <c r="E239" s="21" t="n"/>
      <c r="F239" s="11">
        <f>IF(AND(B239="",C239="",D239=""),"",IF(NOT(ISNUMBER(B239)),"Needs a date",IF(D239="","Needs the job",IF(AND(C239&lt;&gt;"",C239&lt;&gt;"All beds",COUNTIF(Beds!$B$6:$B$35,C239)=0),"Not on Beds",""))))</f>
        <v/>
      </c>
      <c r="G239" s="1">
        <f>IF(ISNUMBER(B239),INT(B239),0)</f>
        <v/>
      </c>
      <c r="H239">
        <f>IF(AND(G239&gt;0,D239="Water",OR(C239="",C239="All beds")),G239,0)</f>
        <v/>
      </c>
    </row>
    <row r="240">
      <c r="A240" s="1" t="n"/>
      <c r="B240" s="17" t="n"/>
      <c r="C240" s="18" t="n"/>
      <c r="D240" s="19" t="n"/>
      <c r="E240" s="21" t="n"/>
      <c r="F240" s="11">
        <f>IF(AND(B240="",C240="",D240=""),"",IF(NOT(ISNUMBER(B240)),"Needs a date",IF(D240="","Needs the job",IF(AND(C240&lt;&gt;"",C240&lt;&gt;"All beds",COUNTIF(Beds!$B$6:$B$35,C240)=0),"Not on Beds",""))))</f>
        <v/>
      </c>
      <c r="G240" s="1">
        <f>IF(ISNUMBER(B240),INT(B240),0)</f>
        <v/>
      </c>
      <c r="H240">
        <f>IF(AND(G240&gt;0,D240="Water",OR(C240="",C240="All beds")),G240,0)</f>
        <v/>
      </c>
    </row>
    <row r="241">
      <c r="A241" s="1" t="n"/>
      <c r="B241" s="17" t="n"/>
      <c r="C241" s="18" t="n"/>
      <c r="D241" s="19" t="n"/>
      <c r="E241" s="21" t="n"/>
      <c r="F241" s="11">
        <f>IF(AND(B241="",C241="",D241=""),"",IF(NOT(ISNUMBER(B241)),"Needs a date",IF(D241="","Needs the job",IF(AND(C241&lt;&gt;"",C241&lt;&gt;"All beds",COUNTIF(Beds!$B$6:$B$35,C241)=0),"Not on Beds",""))))</f>
        <v/>
      </c>
      <c r="G241" s="1">
        <f>IF(ISNUMBER(B241),INT(B241),0)</f>
        <v/>
      </c>
      <c r="H241">
        <f>IF(AND(G241&gt;0,D241="Water",OR(C241="",C241="All beds")),G241,0)</f>
        <v/>
      </c>
    </row>
    <row r="242">
      <c r="A242" s="1" t="n"/>
      <c r="B242" s="17" t="n"/>
      <c r="C242" s="18" t="n"/>
      <c r="D242" s="19" t="n"/>
      <c r="E242" s="21" t="n"/>
      <c r="F242" s="11">
        <f>IF(AND(B242="",C242="",D242=""),"",IF(NOT(ISNUMBER(B242)),"Needs a date",IF(D242="","Needs the job",IF(AND(C242&lt;&gt;"",C242&lt;&gt;"All beds",COUNTIF(Beds!$B$6:$B$35,C242)=0),"Not on Beds",""))))</f>
        <v/>
      </c>
      <c r="G242" s="1">
        <f>IF(ISNUMBER(B242),INT(B242),0)</f>
        <v/>
      </c>
      <c r="H242">
        <f>IF(AND(G242&gt;0,D242="Water",OR(C242="",C242="All beds")),G242,0)</f>
        <v/>
      </c>
    </row>
    <row r="243">
      <c r="A243" s="1" t="n"/>
      <c r="B243" s="17" t="n"/>
      <c r="C243" s="18" t="n"/>
      <c r="D243" s="19" t="n"/>
      <c r="E243" s="21" t="n"/>
      <c r="F243" s="11">
        <f>IF(AND(B243="",C243="",D243=""),"",IF(NOT(ISNUMBER(B243)),"Needs a date",IF(D243="","Needs the job",IF(AND(C243&lt;&gt;"",C243&lt;&gt;"All beds",COUNTIF(Beds!$B$6:$B$35,C243)=0),"Not on Beds",""))))</f>
        <v/>
      </c>
      <c r="G243" s="1">
        <f>IF(ISNUMBER(B243),INT(B243),0)</f>
        <v/>
      </c>
      <c r="H243">
        <f>IF(AND(G243&gt;0,D243="Water",OR(C243="",C243="All beds")),G243,0)</f>
        <v/>
      </c>
    </row>
    <row r="244">
      <c r="A244" s="1" t="n"/>
      <c r="B244" s="17" t="n"/>
      <c r="C244" s="18" t="n"/>
      <c r="D244" s="19" t="n"/>
      <c r="E244" s="21" t="n"/>
      <c r="F244" s="11">
        <f>IF(AND(B244="",C244="",D244=""),"",IF(NOT(ISNUMBER(B244)),"Needs a date",IF(D244="","Needs the job",IF(AND(C244&lt;&gt;"",C244&lt;&gt;"All beds",COUNTIF(Beds!$B$6:$B$35,C244)=0),"Not on Beds",""))))</f>
        <v/>
      </c>
      <c r="G244" s="1">
        <f>IF(ISNUMBER(B244),INT(B244),0)</f>
        <v/>
      </c>
      <c r="H244">
        <f>IF(AND(G244&gt;0,D244="Water",OR(C244="",C244="All beds")),G244,0)</f>
        <v/>
      </c>
    </row>
    <row r="245">
      <c r="A245" s="1" t="n"/>
      <c r="B245" s="17" t="n"/>
      <c r="C245" s="18" t="n"/>
      <c r="D245" s="19" t="n"/>
      <c r="E245" s="21" t="n"/>
      <c r="F245" s="11">
        <f>IF(AND(B245="",C245="",D245=""),"",IF(NOT(ISNUMBER(B245)),"Needs a date",IF(D245="","Needs the job",IF(AND(C245&lt;&gt;"",C245&lt;&gt;"All beds",COUNTIF(Beds!$B$6:$B$35,C245)=0),"Not on Beds",""))))</f>
        <v/>
      </c>
      <c r="G245" s="1">
        <f>IF(ISNUMBER(B245),INT(B245),0)</f>
        <v/>
      </c>
      <c r="H245">
        <f>IF(AND(G245&gt;0,D245="Water",OR(C245="",C245="All beds")),G245,0)</f>
        <v/>
      </c>
    </row>
    <row r="246">
      <c r="A246" s="1" t="n"/>
      <c r="B246" s="17" t="n"/>
      <c r="C246" s="18" t="n"/>
      <c r="D246" s="19" t="n"/>
      <c r="E246" s="21" t="n"/>
      <c r="F246" s="11">
        <f>IF(AND(B246="",C246="",D246=""),"",IF(NOT(ISNUMBER(B246)),"Needs a date",IF(D246="","Needs the job",IF(AND(C246&lt;&gt;"",C246&lt;&gt;"All beds",COUNTIF(Beds!$B$6:$B$35,C246)=0),"Not on Beds",""))))</f>
        <v/>
      </c>
      <c r="G246" s="1">
        <f>IF(ISNUMBER(B246),INT(B246),0)</f>
        <v/>
      </c>
      <c r="H246">
        <f>IF(AND(G246&gt;0,D246="Water",OR(C246="",C246="All beds")),G246,0)</f>
        <v/>
      </c>
    </row>
    <row r="247">
      <c r="A247" s="1" t="n"/>
      <c r="B247" s="17" t="n"/>
      <c r="C247" s="18" t="n"/>
      <c r="D247" s="19" t="n"/>
      <c r="E247" s="21" t="n"/>
      <c r="F247" s="11">
        <f>IF(AND(B247="",C247="",D247=""),"",IF(NOT(ISNUMBER(B247)),"Needs a date",IF(D247="","Needs the job",IF(AND(C247&lt;&gt;"",C247&lt;&gt;"All beds",COUNTIF(Beds!$B$6:$B$35,C247)=0),"Not on Beds",""))))</f>
        <v/>
      </c>
      <c r="G247" s="1">
        <f>IF(ISNUMBER(B247),INT(B247),0)</f>
        <v/>
      </c>
      <c r="H247">
        <f>IF(AND(G247&gt;0,D247="Water",OR(C247="",C247="All beds")),G247,0)</f>
        <v/>
      </c>
    </row>
    <row r="248">
      <c r="A248" s="1" t="n"/>
      <c r="B248" s="17" t="n"/>
      <c r="C248" s="18" t="n"/>
      <c r="D248" s="19" t="n"/>
      <c r="E248" s="21" t="n"/>
      <c r="F248" s="11">
        <f>IF(AND(B248="",C248="",D248=""),"",IF(NOT(ISNUMBER(B248)),"Needs a date",IF(D248="","Needs the job",IF(AND(C248&lt;&gt;"",C248&lt;&gt;"All beds",COUNTIF(Beds!$B$6:$B$35,C248)=0),"Not on Beds",""))))</f>
        <v/>
      </c>
      <c r="G248" s="1">
        <f>IF(ISNUMBER(B248),INT(B248),0)</f>
        <v/>
      </c>
      <c r="H248">
        <f>IF(AND(G248&gt;0,D248="Water",OR(C248="",C248="All beds")),G248,0)</f>
        <v/>
      </c>
    </row>
    <row r="249">
      <c r="A249" s="1" t="n"/>
      <c r="B249" s="17" t="n"/>
      <c r="C249" s="18" t="n"/>
      <c r="D249" s="19" t="n"/>
      <c r="E249" s="21" t="n"/>
      <c r="F249" s="11">
        <f>IF(AND(B249="",C249="",D249=""),"",IF(NOT(ISNUMBER(B249)),"Needs a date",IF(D249="","Needs the job",IF(AND(C249&lt;&gt;"",C249&lt;&gt;"All beds",COUNTIF(Beds!$B$6:$B$35,C249)=0),"Not on Beds",""))))</f>
        <v/>
      </c>
      <c r="G249" s="1">
        <f>IF(ISNUMBER(B249),INT(B249),0)</f>
        <v/>
      </c>
      <c r="H249">
        <f>IF(AND(G249&gt;0,D249="Water",OR(C249="",C249="All beds")),G249,0)</f>
        <v/>
      </c>
    </row>
    <row r="250">
      <c r="A250" s="1" t="n"/>
      <c r="B250" s="17" t="n"/>
      <c r="C250" s="18" t="n"/>
      <c r="D250" s="19" t="n"/>
      <c r="E250" s="21" t="n"/>
      <c r="F250" s="11">
        <f>IF(AND(B250="",C250="",D250=""),"",IF(NOT(ISNUMBER(B250)),"Needs a date",IF(D250="","Needs the job",IF(AND(C250&lt;&gt;"",C250&lt;&gt;"All beds",COUNTIF(Beds!$B$6:$B$35,C250)=0),"Not on Beds",""))))</f>
        <v/>
      </c>
      <c r="G250" s="1">
        <f>IF(ISNUMBER(B250),INT(B250),0)</f>
        <v/>
      </c>
      <c r="H250">
        <f>IF(AND(G250&gt;0,D250="Water",OR(C250="",C250="All beds")),G250,0)</f>
        <v/>
      </c>
    </row>
    <row r="251">
      <c r="A251" s="1" t="n"/>
      <c r="B251" s="17" t="n"/>
      <c r="C251" s="18" t="n"/>
      <c r="D251" s="19" t="n"/>
      <c r="E251" s="21" t="n"/>
      <c r="F251" s="11">
        <f>IF(AND(B251="",C251="",D251=""),"",IF(NOT(ISNUMBER(B251)),"Needs a date",IF(D251="","Needs the job",IF(AND(C251&lt;&gt;"",C251&lt;&gt;"All beds",COUNTIF(Beds!$B$6:$B$35,C251)=0),"Not on Beds",""))))</f>
        <v/>
      </c>
      <c r="G251" s="1">
        <f>IF(ISNUMBER(B251),INT(B251),0)</f>
        <v/>
      </c>
      <c r="H251">
        <f>IF(AND(G251&gt;0,D251="Water",OR(C251="",C251="All beds")),G251,0)</f>
        <v/>
      </c>
    </row>
    <row r="252">
      <c r="A252" s="1" t="n"/>
      <c r="B252" s="17" t="n"/>
      <c r="C252" s="18" t="n"/>
      <c r="D252" s="19" t="n"/>
      <c r="E252" s="21" t="n"/>
      <c r="F252" s="11">
        <f>IF(AND(B252="",C252="",D252=""),"",IF(NOT(ISNUMBER(B252)),"Needs a date",IF(D252="","Needs the job",IF(AND(C252&lt;&gt;"",C252&lt;&gt;"All beds",COUNTIF(Beds!$B$6:$B$35,C252)=0),"Not on Beds",""))))</f>
        <v/>
      </c>
      <c r="G252" s="1">
        <f>IF(ISNUMBER(B252),INT(B252),0)</f>
        <v/>
      </c>
      <c r="H252">
        <f>IF(AND(G252&gt;0,D252="Water",OR(C252="",C252="All beds")),G252,0)</f>
        <v/>
      </c>
    </row>
    <row r="253">
      <c r="A253" s="1" t="n"/>
      <c r="B253" s="17" t="n"/>
      <c r="C253" s="18" t="n"/>
      <c r="D253" s="19" t="n"/>
      <c r="E253" s="21" t="n"/>
      <c r="F253" s="11">
        <f>IF(AND(B253="",C253="",D253=""),"",IF(NOT(ISNUMBER(B253)),"Needs a date",IF(D253="","Needs the job",IF(AND(C253&lt;&gt;"",C253&lt;&gt;"All beds",COUNTIF(Beds!$B$6:$B$35,C253)=0),"Not on Beds",""))))</f>
        <v/>
      </c>
      <c r="G253" s="1">
        <f>IF(ISNUMBER(B253),INT(B253),0)</f>
        <v/>
      </c>
      <c r="H253">
        <f>IF(AND(G253&gt;0,D253="Water",OR(C253="",C253="All beds")),G253,0)</f>
        <v/>
      </c>
    </row>
    <row r="254">
      <c r="A254" s="1" t="n"/>
      <c r="B254" s="17" t="n"/>
      <c r="C254" s="18" t="n"/>
      <c r="D254" s="19" t="n"/>
      <c r="E254" s="21" t="n"/>
      <c r="F254" s="11">
        <f>IF(AND(B254="",C254="",D254=""),"",IF(NOT(ISNUMBER(B254)),"Needs a date",IF(D254="","Needs the job",IF(AND(C254&lt;&gt;"",C254&lt;&gt;"All beds",COUNTIF(Beds!$B$6:$B$35,C254)=0),"Not on Beds",""))))</f>
        <v/>
      </c>
      <c r="G254" s="1">
        <f>IF(ISNUMBER(B254),INT(B254),0)</f>
        <v/>
      </c>
      <c r="H254">
        <f>IF(AND(G254&gt;0,D254="Water",OR(C254="",C254="All beds")),G254,0)</f>
        <v/>
      </c>
    </row>
    <row r="255">
      <c r="A255" s="1" t="n"/>
      <c r="B255" s="17" t="n"/>
      <c r="C255" s="18" t="n"/>
      <c r="D255" s="19" t="n"/>
      <c r="E255" s="21" t="n"/>
      <c r="F255" s="11">
        <f>IF(AND(B255="",C255="",D255=""),"",IF(NOT(ISNUMBER(B255)),"Needs a date",IF(D255="","Needs the job",IF(AND(C255&lt;&gt;"",C255&lt;&gt;"All beds",COUNTIF(Beds!$B$6:$B$35,C255)=0),"Not on Beds",""))))</f>
        <v/>
      </c>
      <c r="G255" s="1">
        <f>IF(ISNUMBER(B255),INT(B255),0)</f>
        <v/>
      </c>
      <c r="H255">
        <f>IF(AND(G255&gt;0,D255="Water",OR(C255="",C255="All beds")),G255,0)</f>
        <v/>
      </c>
    </row>
    <row r="256">
      <c r="A256" s="1" t="n"/>
      <c r="B256" s="17" t="n"/>
      <c r="C256" s="18" t="n"/>
      <c r="D256" s="19" t="n"/>
      <c r="E256" s="21" t="n"/>
      <c r="F256" s="11">
        <f>IF(AND(B256="",C256="",D256=""),"",IF(NOT(ISNUMBER(B256)),"Needs a date",IF(D256="","Needs the job",IF(AND(C256&lt;&gt;"",C256&lt;&gt;"All beds",COUNTIF(Beds!$B$6:$B$35,C256)=0),"Not on Beds",""))))</f>
        <v/>
      </c>
      <c r="G256" s="1">
        <f>IF(ISNUMBER(B256),INT(B256),0)</f>
        <v/>
      </c>
      <c r="H256">
        <f>IF(AND(G256&gt;0,D256="Water",OR(C256="",C256="All beds")),G256,0)</f>
        <v/>
      </c>
    </row>
    <row r="257">
      <c r="A257" s="1" t="n"/>
      <c r="B257" s="17" t="n"/>
      <c r="C257" s="18" t="n"/>
      <c r="D257" s="19" t="n"/>
      <c r="E257" s="21" t="n"/>
      <c r="F257" s="11">
        <f>IF(AND(B257="",C257="",D257=""),"",IF(NOT(ISNUMBER(B257)),"Needs a date",IF(D257="","Needs the job",IF(AND(C257&lt;&gt;"",C257&lt;&gt;"All beds",COUNTIF(Beds!$B$6:$B$35,C257)=0),"Not on Beds",""))))</f>
        <v/>
      </c>
      <c r="G257" s="1">
        <f>IF(ISNUMBER(B257),INT(B257),0)</f>
        <v/>
      </c>
      <c r="H257">
        <f>IF(AND(G257&gt;0,D257="Water",OR(C257="",C257="All beds")),G257,0)</f>
        <v/>
      </c>
    </row>
    <row r="258">
      <c r="A258" s="1" t="n"/>
      <c r="B258" s="17" t="n"/>
      <c r="C258" s="18" t="n"/>
      <c r="D258" s="19" t="n"/>
      <c r="E258" s="21" t="n"/>
      <c r="F258" s="11">
        <f>IF(AND(B258="",C258="",D258=""),"",IF(NOT(ISNUMBER(B258)),"Needs a date",IF(D258="","Needs the job",IF(AND(C258&lt;&gt;"",C258&lt;&gt;"All beds",COUNTIF(Beds!$B$6:$B$35,C258)=0),"Not on Beds",""))))</f>
        <v/>
      </c>
      <c r="G258" s="1">
        <f>IF(ISNUMBER(B258),INT(B258),0)</f>
        <v/>
      </c>
      <c r="H258">
        <f>IF(AND(G258&gt;0,D258="Water",OR(C258="",C258="All beds")),G258,0)</f>
        <v/>
      </c>
    </row>
    <row r="259">
      <c r="A259" s="1" t="n"/>
      <c r="B259" s="17" t="n"/>
      <c r="C259" s="18" t="n"/>
      <c r="D259" s="19" t="n"/>
      <c r="E259" s="21" t="n"/>
      <c r="F259" s="11">
        <f>IF(AND(B259="",C259="",D259=""),"",IF(NOT(ISNUMBER(B259)),"Needs a date",IF(D259="","Needs the job",IF(AND(C259&lt;&gt;"",C259&lt;&gt;"All beds",COUNTIF(Beds!$B$6:$B$35,C259)=0),"Not on Beds",""))))</f>
        <v/>
      </c>
      <c r="G259" s="1">
        <f>IF(ISNUMBER(B259),INT(B259),0)</f>
        <v/>
      </c>
      <c r="H259">
        <f>IF(AND(G259&gt;0,D259="Water",OR(C259="",C259="All beds")),G259,0)</f>
        <v/>
      </c>
    </row>
    <row r="260">
      <c r="A260" s="1" t="n"/>
      <c r="B260" s="17" t="n"/>
      <c r="C260" s="18" t="n"/>
      <c r="D260" s="19" t="n"/>
      <c r="E260" s="21" t="n"/>
      <c r="F260" s="11">
        <f>IF(AND(B260="",C260="",D260=""),"",IF(NOT(ISNUMBER(B260)),"Needs a date",IF(D260="","Needs the job",IF(AND(C260&lt;&gt;"",C260&lt;&gt;"All beds",COUNTIF(Beds!$B$6:$B$35,C260)=0),"Not on Beds",""))))</f>
        <v/>
      </c>
      <c r="G260" s="1">
        <f>IF(ISNUMBER(B260),INT(B260),0)</f>
        <v/>
      </c>
      <c r="H260">
        <f>IF(AND(G260&gt;0,D260="Water",OR(C260="",C260="All beds")),G260,0)</f>
        <v/>
      </c>
    </row>
    <row r="261">
      <c r="A261" s="1" t="n"/>
      <c r="B261" s="17" t="n"/>
      <c r="C261" s="18" t="n"/>
      <c r="D261" s="19" t="n"/>
      <c r="E261" s="21" t="n"/>
      <c r="F261" s="11">
        <f>IF(AND(B261="",C261="",D261=""),"",IF(NOT(ISNUMBER(B261)),"Needs a date",IF(D261="","Needs the job",IF(AND(C261&lt;&gt;"",C261&lt;&gt;"All beds",COUNTIF(Beds!$B$6:$B$35,C261)=0),"Not on Beds",""))))</f>
        <v/>
      </c>
      <c r="G261" s="1">
        <f>IF(ISNUMBER(B261),INT(B261),0)</f>
        <v/>
      </c>
      <c r="H261">
        <f>IF(AND(G261&gt;0,D261="Water",OR(C261="",C261="All beds")),G261,0)</f>
        <v/>
      </c>
    </row>
    <row r="262">
      <c r="A262" s="1" t="n"/>
      <c r="B262" s="17" t="n"/>
      <c r="C262" s="18" t="n"/>
      <c r="D262" s="19" t="n"/>
      <c r="E262" s="21" t="n"/>
      <c r="F262" s="11">
        <f>IF(AND(B262="",C262="",D262=""),"",IF(NOT(ISNUMBER(B262)),"Needs a date",IF(D262="","Needs the job",IF(AND(C262&lt;&gt;"",C262&lt;&gt;"All beds",COUNTIF(Beds!$B$6:$B$35,C262)=0),"Not on Beds",""))))</f>
        <v/>
      </c>
      <c r="G262" s="1">
        <f>IF(ISNUMBER(B262),INT(B262),0)</f>
        <v/>
      </c>
      <c r="H262">
        <f>IF(AND(G262&gt;0,D262="Water",OR(C262="",C262="All beds")),G262,0)</f>
        <v/>
      </c>
    </row>
    <row r="263">
      <c r="A263" s="1" t="n"/>
      <c r="B263" s="17" t="n"/>
      <c r="C263" s="18" t="n"/>
      <c r="D263" s="19" t="n"/>
      <c r="E263" s="21" t="n"/>
      <c r="F263" s="11">
        <f>IF(AND(B263="",C263="",D263=""),"",IF(NOT(ISNUMBER(B263)),"Needs a date",IF(D263="","Needs the job",IF(AND(C263&lt;&gt;"",C263&lt;&gt;"All beds",COUNTIF(Beds!$B$6:$B$35,C263)=0),"Not on Beds",""))))</f>
        <v/>
      </c>
      <c r="G263" s="1">
        <f>IF(ISNUMBER(B263),INT(B263),0)</f>
        <v/>
      </c>
      <c r="H263">
        <f>IF(AND(G263&gt;0,D263="Water",OR(C263="",C263="All beds")),G263,0)</f>
        <v/>
      </c>
    </row>
    <row r="264">
      <c r="A264" s="1" t="n"/>
      <c r="B264" s="17" t="n"/>
      <c r="C264" s="18" t="n"/>
      <c r="D264" s="19" t="n"/>
      <c r="E264" s="21" t="n"/>
      <c r="F264" s="11">
        <f>IF(AND(B264="",C264="",D264=""),"",IF(NOT(ISNUMBER(B264)),"Needs a date",IF(D264="","Needs the job",IF(AND(C264&lt;&gt;"",C264&lt;&gt;"All beds",COUNTIF(Beds!$B$6:$B$35,C264)=0),"Not on Beds",""))))</f>
        <v/>
      </c>
      <c r="G264" s="1">
        <f>IF(ISNUMBER(B264),INT(B264),0)</f>
        <v/>
      </c>
      <c r="H264">
        <f>IF(AND(G264&gt;0,D264="Water",OR(C264="",C264="All beds")),G264,0)</f>
        <v/>
      </c>
    </row>
    <row r="265">
      <c r="A265" s="1" t="n"/>
      <c r="B265" s="17" t="n"/>
      <c r="C265" s="18" t="n"/>
      <c r="D265" s="19" t="n"/>
      <c r="E265" s="21" t="n"/>
      <c r="F265" s="11">
        <f>IF(AND(B265="",C265="",D265=""),"",IF(NOT(ISNUMBER(B265)),"Needs a date",IF(D265="","Needs the job",IF(AND(C265&lt;&gt;"",C265&lt;&gt;"All beds",COUNTIF(Beds!$B$6:$B$35,C265)=0),"Not on Beds",""))))</f>
        <v/>
      </c>
      <c r="G265" s="1">
        <f>IF(ISNUMBER(B265),INT(B265),0)</f>
        <v/>
      </c>
      <c r="H265">
        <f>IF(AND(G265&gt;0,D265="Water",OR(C265="",C265="All beds")),G265,0)</f>
        <v/>
      </c>
    </row>
    <row r="266">
      <c r="A266" s="1" t="n"/>
      <c r="B266" s="17" t="n"/>
      <c r="C266" s="18" t="n"/>
      <c r="D266" s="19" t="n"/>
      <c r="E266" s="21" t="n"/>
      <c r="F266" s="11">
        <f>IF(AND(B266="",C266="",D266=""),"",IF(NOT(ISNUMBER(B266)),"Needs a date",IF(D266="","Needs the job",IF(AND(C266&lt;&gt;"",C266&lt;&gt;"All beds",COUNTIF(Beds!$B$6:$B$35,C266)=0),"Not on Beds",""))))</f>
        <v/>
      </c>
      <c r="G266" s="1">
        <f>IF(ISNUMBER(B266),INT(B266),0)</f>
        <v/>
      </c>
      <c r="H266">
        <f>IF(AND(G266&gt;0,D266="Water",OR(C266="",C266="All beds")),G266,0)</f>
        <v/>
      </c>
    </row>
    <row r="267">
      <c r="A267" s="1" t="n"/>
      <c r="B267" s="17" t="n"/>
      <c r="C267" s="18" t="n"/>
      <c r="D267" s="19" t="n"/>
      <c r="E267" s="21" t="n"/>
      <c r="F267" s="11">
        <f>IF(AND(B267="",C267="",D267=""),"",IF(NOT(ISNUMBER(B267)),"Needs a date",IF(D267="","Needs the job",IF(AND(C267&lt;&gt;"",C267&lt;&gt;"All beds",COUNTIF(Beds!$B$6:$B$35,C267)=0),"Not on Beds",""))))</f>
        <v/>
      </c>
      <c r="G267" s="1">
        <f>IF(ISNUMBER(B267),INT(B267),0)</f>
        <v/>
      </c>
      <c r="H267">
        <f>IF(AND(G267&gt;0,D267="Water",OR(C267="",C267="All beds")),G267,0)</f>
        <v/>
      </c>
    </row>
    <row r="268">
      <c r="A268" s="1" t="n"/>
      <c r="B268" s="17" t="n"/>
      <c r="C268" s="18" t="n"/>
      <c r="D268" s="19" t="n"/>
      <c r="E268" s="21" t="n"/>
      <c r="F268" s="11">
        <f>IF(AND(B268="",C268="",D268=""),"",IF(NOT(ISNUMBER(B268)),"Needs a date",IF(D268="","Needs the job",IF(AND(C268&lt;&gt;"",C268&lt;&gt;"All beds",COUNTIF(Beds!$B$6:$B$35,C268)=0),"Not on Beds",""))))</f>
        <v/>
      </c>
      <c r="G268" s="1">
        <f>IF(ISNUMBER(B268),INT(B268),0)</f>
        <v/>
      </c>
      <c r="H268">
        <f>IF(AND(G268&gt;0,D268="Water",OR(C268="",C268="All beds")),G268,0)</f>
        <v/>
      </c>
    </row>
    <row r="269">
      <c r="A269" s="1" t="n"/>
      <c r="B269" s="17" t="n"/>
      <c r="C269" s="18" t="n"/>
      <c r="D269" s="19" t="n"/>
      <c r="E269" s="21" t="n"/>
      <c r="F269" s="11">
        <f>IF(AND(B269="",C269="",D269=""),"",IF(NOT(ISNUMBER(B269)),"Needs a date",IF(D269="","Needs the job",IF(AND(C269&lt;&gt;"",C269&lt;&gt;"All beds",COUNTIF(Beds!$B$6:$B$35,C269)=0),"Not on Beds",""))))</f>
        <v/>
      </c>
      <c r="G269" s="1">
        <f>IF(ISNUMBER(B269),INT(B269),0)</f>
        <v/>
      </c>
      <c r="H269">
        <f>IF(AND(G269&gt;0,D269="Water",OR(C269="",C269="All beds")),G269,0)</f>
        <v/>
      </c>
    </row>
    <row r="270">
      <c r="A270" s="1" t="n"/>
      <c r="B270" s="17" t="n"/>
      <c r="C270" s="18" t="n"/>
      <c r="D270" s="19" t="n"/>
      <c r="E270" s="21" t="n"/>
      <c r="F270" s="11">
        <f>IF(AND(B270="",C270="",D270=""),"",IF(NOT(ISNUMBER(B270)),"Needs a date",IF(D270="","Needs the job",IF(AND(C270&lt;&gt;"",C270&lt;&gt;"All beds",COUNTIF(Beds!$B$6:$B$35,C270)=0),"Not on Beds",""))))</f>
        <v/>
      </c>
      <c r="G270" s="1">
        <f>IF(ISNUMBER(B270),INT(B270),0)</f>
        <v/>
      </c>
      <c r="H270">
        <f>IF(AND(G270&gt;0,D270="Water",OR(C270="",C270="All beds")),G270,0)</f>
        <v/>
      </c>
    </row>
    <row r="271">
      <c r="A271" s="1" t="n"/>
      <c r="B271" s="17" t="n"/>
      <c r="C271" s="18" t="n"/>
      <c r="D271" s="19" t="n"/>
      <c r="E271" s="21" t="n"/>
      <c r="F271" s="11">
        <f>IF(AND(B271="",C271="",D271=""),"",IF(NOT(ISNUMBER(B271)),"Needs a date",IF(D271="","Needs the job",IF(AND(C271&lt;&gt;"",C271&lt;&gt;"All beds",COUNTIF(Beds!$B$6:$B$35,C271)=0),"Not on Beds",""))))</f>
        <v/>
      </c>
      <c r="G271" s="1">
        <f>IF(ISNUMBER(B271),INT(B271),0)</f>
        <v/>
      </c>
      <c r="H271">
        <f>IF(AND(G271&gt;0,D271="Water",OR(C271="",C271="All beds")),G271,0)</f>
        <v/>
      </c>
    </row>
    <row r="272">
      <c r="A272" s="1" t="n"/>
      <c r="B272" s="17" t="n"/>
      <c r="C272" s="18" t="n"/>
      <c r="D272" s="19" t="n"/>
      <c r="E272" s="21" t="n"/>
      <c r="F272" s="11">
        <f>IF(AND(B272="",C272="",D272=""),"",IF(NOT(ISNUMBER(B272)),"Needs a date",IF(D272="","Needs the job",IF(AND(C272&lt;&gt;"",C272&lt;&gt;"All beds",COUNTIF(Beds!$B$6:$B$35,C272)=0),"Not on Beds",""))))</f>
        <v/>
      </c>
      <c r="G272" s="1">
        <f>IF(ISNUMBER(B272),INT(B272),0)</f>
        <v/>
      </c>
      <c r="H272">
        <f>IF(AND(G272&gt;0,D272="Water",OR(C272="",C272="All beds")),G272,0)</f>
        <v/>
      </c>
    </row>
    <row r="273">
      <c r="A273" s="1" t="n"/>
      <c r="B273" s="17" t="n"/>
      <c r="C273" s="18" t="n"/>
      <c r="D273" s="19" t="n"/>
      <c r="E273" s="21" t="n"/>
      <c r="F273" s="11">
        <f>IF(AND(B273="",C273="",D273=""),"",IF(NOT(ISNUMBER(B273)),"Needs a date",IF(D273="","Needs the job",IF(AND(C273&lt;&gt;"",C273&lt;&gt;"All beds",COUNTIF(Beds!$B$6:$B$35,C273)=0),"Not on Beds",""))))</f>
        <v/>
      </c>
      <c r="G273" s="1">
        <f>IF(ISNUMBER(B273),INT(B273),0)</f>
        <v/>
      </c>
      <c r="H273">
        <f>IF(AND(G273&gt;0,D273="Water",OR(C273="",C273="All beds")),G273,0)</f>
        <v/>
      </c>
    </row>
    <row r="274">
      <c r="A274" s="1" t="n"/>
      <c r="B274" s="17" t="n"/>
      <c r="C274" s="18" t="n"/>
      <c r="D274" s="19" t="n"/>
      <c r="E274" s="21" t="n"/>
      <c r="F274" s="11">
        <f>IF(AND(B274="",C274="",D274=""),"",IF(NOT(ISNUMBER(B274)),"Needs a date",IF(D274="","Needs the job",IF(AND(C274&lt;&gt;"",C274&lt;&gt;"All beds",COUNTIF(Beds!$B$6:$B$35,C274)=0),"Not on Beds",""))))</f>
        <v/>
      </c>
      <c r="G274" s="1">
        <f>IF(ISNUMBER(B274),INT(B274),0)</f>
        <v/>
      </c>
      <c r="H274">
        <f>IF(AND(G274&gt;0,D274="Water",OR(C274="",C274="All beds")),G274,0)</f>
        <v/>
      </c>
    </row>
    <row r="275">
      <c r="A275" s="1" t="n"/>
      <c r="B275" s="17" t="n"/>
      <c r="C275" s="18" t="n"/>
      <c r="D275" s="19" t="n"/>
      <c r="E275" s="21" t="n"/>
      <c r="F275" s="11">
        <f>IF(AND(B275="",C275="",D275=""),"",IF(NOT(ISNUMBER(B275)),"Needs a date",IF(D275="","Needs the job",IF(AND(C275&lt;&gt;"",C275&lt;&gt;"All beds",COUNTIF(Beds!$B$6:$B$35,C275)=0),"Not on Beds",""))))</f>
        <v/>
      </c>
      <c r="G275" s="1">
        <f>IF(ISNUMBER(B275),INT(B275),0)</f>
        <v/>
      </c>
      <c r="H275">
        <f>IF(AND(G275&gt;0,D275="Water",OR(C275="",C275="All beds")),G275,0)</f>
        <v/>
      </c>
    </row>
    <row r="276">
      <c r="A276" s="1" t="n"/>
      <c r="B276" s="17" t="n"/>
      <c r="C276" s="18" t="n"/>
      <c r="D276" s="19" t="n"/>
      <c r="E276" s="21" t="n"/>
      <c r="F276" s="11">
        <f>IF(AND(B276="",C276="",D276=""),"",IF(NOT(ISNUMBER(B276)),"Needs a date",IF(D276="","Needs the job",IF(AND(C276&lt;&gt;"",C276&lt;&gt;"All beds",COUNTIF(Beds!$B$6:$B$35,C276)=0),"Not on Beds",""))))</f>
        <v/>
      </c>
      <c r="G276" s="1">
        <f>IF(ISNUMBER(B276),INT(B276),0)</f>
        <v/>
      </c>
      <c r="H276">
        <f>IF(AND(G276&gt;0,D276="Water",OR(C276="",C276="All beds")),G276,0)</f>
        <v/>
      </c>
    </row>
    <row r="277">
      <c r="A277" s="1" t="n"/>
      <c r="B277" s="17" t="n"/>
      <c r="C277" s="18" t="n"/>
      <c r="D277" s="19" t="n"/>
      <c r="E277" s="21" t="n"/>
      <c r="F277" s="11">
        <f>IF(AND(B277="",C277="",D277=""),"",IF(NOT(ISNUMBER(B277)),"Needs a date",IF(D277="","Needs the job",IF(AND(C277&lt;&gt;"",C277&lt;&gt;"All beds",COUNTIF(Beds!$B$6:$B$35,C277)=0),"Not on Beds",""))))</f>
        <v/>
      </c>
      <c r="G277" s="1">
        <f>IF(ISNUMBER(B277),INT(B277),0)</f>
        <v/>
      </c>
      <c r="H277">
        <f>IF(AND(G277&gt;0,D277="Water",OR(C277="",C277="All beds")),G277,0)</f>
        <v/>
      </c>
    </row>
    <row r="278">
      <c r="A278" s="1" t="n"/>
      <c r="B278" s="17" t="n"/>
      <c r="C278" s="18" t="n"/>
      <c r="D278" s="19" t="n"/>
      <c r="E278" s="21" t="n"/>
      <c r="F278" s="11">
        <f>IF(AND(B278="",C278="",D278=""),"",IF(NOT(ISNUMBER(B278)),"Needs a date",IF(D278="","Needs the job",IF(AND(C278&lt;&gt;"",C278&lt;&gt;"All beds",COUNTIF(Beds!$B$6:$B$35,C278)=0),"Not on Beds",""))))</f>
        <v/>
      </c>
      <c r="G278" s="1">
        <f>IF(ISNUMBER(B278),INT(B278),0)</f>
        <v/>
      </c>
      <c r="H278">
        <f>IF(AND(G278&gt;0,D278="Water",OR(C278="",C278="All beds")),G278,0)</f>
        <v/>
      </c>
    </row>
    <row r="279">
      <c r="A279" s="1" t="n"/>
      <c r="B279" s="17" t="n"/>
      <c r="C279" s="18" t="n"/>
      <c r="D279" s="19" t="n"/>
      <c r="E279" s="21" t="n"/>
      <c r="F279" s="11">
        <f>IF(AND(B279="",C279="",D279=""),"",IF(NOT(ISNUMBER(B279)),"Needs a date",IF(D279="","Needs the job",IF(AND(C279&lt;&gt;"",C279&lt;&gt;"All beds",COUNTIF(Beds!$B$6:$B$35,C279)=0),"Not on Beds",""))))</f>
        <v/>
      </c>
      <c r="G279" s="1">
        <f>IF(ISNUMBER(B279),INT(B279),0)</f>
        <v/>
      </c>
      <c r="H279">
        <f>IF(AND(G279&gt;0,D279="Water",OR(C279="",C279="All beds")),G279,0)</f>
        <v/>
      </c>
    </row>
    <row r="280">
      <c r="A280" s="1" t="n"/>
      <c r="B280" s="17" t="n"/>
      <c r="C280" s="18" t="n"/>
      <c r="D280" s="19" t="n"/>
      <c r="E280" s="21" t="n"/>
      <c r="F280" s="11">
        <f>IF(AND(B280="",C280="",D280=""),"",IF(NOT(ISNUMBER(B280)),"Needs a date",IF(D280="","Needs the job",IF(AND(C280&lt;&gt;"",C280&lt;&gt;"All beds",COUNTIF(Beds!$B$6:$B$35,C280)=0),"Not on Beds",""))))</f>
        <v/>
      </c>
      <c r="G280" s="1">
        <f>IF(ISNUMBER(B280),INT(B280),0)</f>
        <v/>
      </c>
      <c r="H280">
        <f>IF(AND(G280&gt;0,D280="Water",OR(C280="",C280="All beds")),G280,0)</f>
        <v/>
      </c>
    </row>
    <row r="281">
      <c r="A281" s="1" t="n"/>
      <c r="B281" s="17" t="n"/>
      <c r="C281" s="18" t="n"/>
      <c r="D281" s="19" t="n"/>
      <c r="E281" s="21" t="n"/>
      <c r="F281" s="11">
        <f>IF(AND(B281="",C281="",D281=""),"",IF(NOT(ISNUMBER(B281)),"Needs a date",IF(D281="","Needs the job",IF(AND(C281&lt;&gt;"",C281&lt;&gt;"All beds",COUNTIF(Beds!$B$6:$B$35,C281)=0),"Not on Beds",""))))</f>
        <v/>
      </c>
      <c r="G281" s="1">
        <f>IF(ISNUMBER(B281),INT(B281),0)</f>
        <v/>
      </c>
      <c r="H281">
        <f>IF(AND(G281&gt;0,D281="Water",OR(C281="",C281="All beds")),G281,0)</f>
        <v/>
      </c>
    </row>
    <row r="282">
      <c r="A282" s="1" t="n"/>
      <c r="B282" s="17" t="n"/>
      <c r="C282" s="18" t="n"/>
      <c r="D282" s="19" t="n"/>
      <c r="E282" s="21" t="n"/>
      <c r="F282" s="11">
        <f>IF(AND(B282="",C282="",D282=""),"",IF(NOT(ISNUMBER(B282)),"Needs a date",IF(D282="","Needs the job",IF(AND(C282&lt;&gt;"",C282&lt;&gt;"All beds",COUNTIF(Beds!$B$6:$B$35,C282)=0),"Not on Beds",""))))</f>
        <v/>
      </c>
      <c r="G282" s="1">
        <f>IF(ISNUMBER(B282),INT(B282),0)</f>
        <v/>
      </c>
      <c r="H282">
        <f>IF(AND(G282&gt;0,D282="Water",OR(C282="",C282="All beds")),G282,0)</f>
        <v/>
      </c>
    </row>
    <row r="283">
      <c r="A283" s="1" t="n"/>
      <c r="B283" s="17" t="n"/>
      <c r="C283" s="18" t="n"/>
      <c r="D283" s="19" t="n"/>
      <c r="E283" s="21" t="n"/>
      <c r="F283" s="11">
        <f>IF(AND(B283="",C283="",D283=""),"",IF(NOT(ISNUMBER(B283)),"Needs a date",IF(D283="","Needs the job",IF(AND(C283&lt;&gt;"",C283&lt;&gt;"All beds",COUNTIF(Beds!$B$6:$B$35,C283)=0),"Not on Beds",""))))</f>
        <v/>
      </c>
      <c r="G283" s="1">
        <f>IF(ISNUMBER(B283),INT(B283),0)</f>
        <v/>
      </c>
      <c r="H283">
        <f>IF(AND(G283&gt;0,D283="Water",OR(C283="",C283="All beds")),G283,0)</f>
        <v/>
      </c>
    </row>
    <row r="284">
      <c r="A284" s="1" t="n"/>
      <c r="B284" s="17" t="n"/>
      <c r="C284" s="18" t="n"/>
      <c r="D284" s="19" t="n"/>
      <c r="E284" s="21" t="n"/>
      <c r="F284" s="11">
        <f>IF(AND(B284="",C284="",D284=""),"",IF(NOT(ISNUMBER(B284)),"Needs a date",IF(D284="","Needs the job",IF(AND(C284&lt;&gt;"",C284&lt;&gt;"All beds",COUNTIF(Beds!$B$6:$B$35,C284)=0),"Not on Beds",""))))</f>
        <v/>
      </c>
      <c r="G284" s="1">
        <f>IF(ISNUMBER(B284),INT(B284),0)</f>
        <v/>
      </c>
      <c r="H284">
        <f>IF(AND(G284&gt;0,D284="Water",OR(C284="",C284="All beds")),G284,0)</f>
        <v/>
      </c>
    </row>
    <row r="285">
      <c r="A285" s="1" t="n"/>
      <c r="B285" s="17" t="n"/>
      <c r="C285" s="18" t="n"/>
      <c r="D285" s="19" t="n"/>
      <c r="E285" s="21" t="n"/>
      <c r="F285" s="11">
        <f>IF(AND(B285="",C285="",D285=""),"",IF(NOT(ISNUMBER(B285)),"Needs a date",IF(D285="","Needs the job",IF(AND(C285&lt;&gt;"",C285&lt;&gt;"All beds",COUNTIF(Beds!$B$6:$B$35,C285)=0),"Not on Beds",""))))</f>
        <v/>
      </c>
      <c r="G285" s="1">
        <f>IF(ISNUMBER(B285),INT(B285),0)</f>
        <v/>
      </c>
      <c r="H285">
        <f>IF(AND(G285&gt;0,D285="Water",OR(C285="",C285="All beds")),G285,0)</f>
        <v/>
      </c>
    </row>
    <row r="286">
      <c r="A286" s="1" t="n"/>
      <c r="B286" s="17" t="n"/>
      <c r="C286" s="18" t="n"/>
      <c r="D286" s="19" t="n"/>
      <c r="E286" s="21" t="n"/>
      <c r="F286" s="11">
        <f>IF(AND(B286="",C286="",D286=""),"",IF(NOT(ISNUMBER(B286)),"Needs a date",IF(D286="","Needs the job",IF(AND(C286&lt;&gt;"",C286&lt;&gt;"All beds",COUNTIF(Beds!$B$6:$B$35,C286)=0),"Not on Beds",""))))</f>
        <v/>
      </c>
      <c r="G286" s="1">
        <f>IF(ISNUMBER(B286),INT(B286),0)</f>
        <v/>
      </c>
      <c r="H286">
        <f>IF(AND(G286&gt;0,D286="Water",OR(C286="",C286="All beds")),G286,0)</f>
        <v/>
      </c>
    </row>
    <row r="287">
      <c r="A287" s="1" t="n"/>
      <c r="B287" s="17" t="n"/>
      <c r="C287" s="18" t="n"/>
      <c r="D287" s="19" t="n"/>
      <c r="E287" s="21" t="n"/>
      <c r="F287" s="11">
        <f>IF(AND(B287="",C287="",D287=""),"",IF(NOT(ISNUMBER(B287)),"Needs a date",IF(D287="","Needs the job",IF(AND(C287&lt;&gt;"",C287&lt;&gt;"All beds",COUNTIF(Beds!$B$6:$B$35,C287)=0),"Not on Beds",""))))</f>
        <v/>
      </c>
      <c r="G287" s="1">
        <f>IF(ISNUMBER(B287),INT(B287),0)</f>
        <v/>
      </c>
      <c r="H287">
        <f>IF(AND(G287&gt;0,D287="Water",OR(C287="",C287="All beds")),G287,0)</f>
        <v/>
      </c>
    </row>
    <row r="288">
      <c r="A288" s="1" t="n"/>
      <c r="B288" s="17" t="n"/>
      <c r="C288" s="18" t="n"/>
      <c r="D288" s="19" t="n"/>
      <c r="E288" s="21" t="n"/>
      <c r="F288" s="11">
        <f>IF(AND(B288="",C288="",D288=""),"",IF(NOT(ISNUMBER(B288)),"Needs a date",IF(D288="","Needs the job",IF(AND(C288&lt;&gt;"",C288&lt;&gt;"All beds",COUNTIF(Beds!$B$6:$B$35,C288)=0),"Not on Beds",""))))</f>
        <v/>
      </c>
      <c r="G288" s="1">
        <f>IF(ISNUMBER(B288),INT(B288),0)</f>
        <v/>
      </c>
      <c r="H288">
        <f>IF(AND(G288&gt;0,D288="Water",OR(C288="",C288="All beds")),G288,0)</f>
        <v/>
      </c>
    </row>
    <row r="289">
      <c r="A289" s="1" t="n"/>
      <c r="B289" s="17" t="n"/>
      <c r="C289" s="18" t="n"/>
      <c r="D289" s="19" t="n"/>
      <c r="E289" s="21" t="n"/>
      <c r="F289" s="11">
        <f>IF(AND(B289="",C289="",D289=""),"",IF(NOT(ISNUMBER(B289)),"Needs a date",IF(D289="","Needs the job",IF(AND(C289&lt;&gt;"",C289&lt;&gt;"All beds",COUNTIF(Beds!$B$6:$B$35,C289)=0),"Not on Beds",""))))</f>
        <v/>
      </c>
      <c r="G289" s="1">
        <f>IF(ISNUMBER(B289),INT(B289),0)</f>
        <v/>
      </c>
      <c r="H289">
        <f>IF(AND(G289&gt;0,D289="Water",OR(C289="",C289="All beds")),G289,0)</f>
        <v/>
      </c>
    </row>
    <row r="290">
      <c r="A290" s="1" t="n"/>
      <c r="B290" s="17" t="n"/>
      <c r="C290" s="18" t="n"/>
      <c r="D290" s="19" t="n"/>
      <c r="E290" s="21" t="n"/>
      <c r="F290" s="11">
        <f>IF(AND(B290="",C290="",D290=""),"",IF(NOT(ISNUMBER(B290)),"Needs a date",IF(D290="","Needs the job",IF(AND(C290&lt;&gt;"",C290&lt;&gt;"All beds",COUNTIF(Beds!$B$6:$B$35,C290)=0),"Not on Beds",""))))</f>
        <v/>
      </c>
      <c r="G290" s="1">
        <f>IF(ISNUMBER(B290),INT(B290),0)</f>
        <v/>
      </c>
      <c r="H290">
        <f>IF(AND(G290&gt;0,D290="Water",OR(C290="",C290="All beds")),G290,0)</f>
        <v/>
      </c>
    </row>
    <row r="291">
      <c r="A291" s="1" t="n"/>
      <c r="B291" s="17" t="n"/>
      <c r="C291" s="18" t="n"/>
      <c r="D291" s="19" t="n"/>
      <c r="E291" s="21" t="n"/>
      <c r="F291" s="11">
        <f>IF(AND(B291="",C291="",D291=""),"",IF(NOT(ISNUMBER(B291)),"Needs a date",IF(D291="","Needs the job",IF(AND(C291&lt;&gt;"",C291&lt;&gt;"All beds",COUNTIF(Beds!$B$6:$B$35,C291)=0),"Not on Beds",""))))</f>
        <v/>
      </c>
      <c r="G291" s="1">
        <f>IF(ISNUMBER(B291),INT(B291),0)</f>
        <v/>
      </c>
      <c r="H291">
        <f>IF(AND(G291&gt;0,D291="Water",OR(C291="",C291="All beds")),G291,0)</f>
        <v/>
      </c>
    </row>
    <row r="292">
      <c r="A292" s="1" t="n"/>
      <c r="B292" s="17" t="n"/>
      <c r="C292" s="18" t="n"/>
      <c r="D292" s="19" t="n"/>
      <c r="E292" s="21" t="n"/>
      <c r="F292" s="11">
        <f>IF(AND(B292="",C292="",D292=""),"",IF(NOT(ISNUMBER(B292)),"Needs a date",IF(D292="","Needs the job",IF(AND(C292&lt;&gt;"",C292&lt;&gt;"All beds",COUNTIF(Beds!$B$6:$B$35,C292)=0),"Not on Beds",""))))</f>
        <v/>
      </c>
      <c r="G292" s="1">
        <f>IF(ISNUMBER(B292),INT(B292),0)</f>
        <v/>
      </c>
      <c r="H292">
        <f>IF(AND(G292&gt;0,D292="Water",OR(C292="",C292="All beds")),G292,0)</f>
        <v/>
      </c>
    </row>
    <row r="293">
      <c r="A293" s="1" t="n"/>
      <c r="B293" s="17" t="n"/>
      <c r="C293" s="18" t="n"/>
      <c r="D293" s="19" t="n"/>
      <c r="E293" s="21" t="n"/>
      <c r="F293" s="11">
        <f>IF(AND(B293="",C293="",D293=""),"",IF(NOT(ISNUMBER(B293)),"Needs a date",IF(D293="","Needs the job",IF(AND(C293&lt;&gt;"",C293&lt;&gt;"All beds",COUNTIF(Beds!$B$6:$B$35,C293)=0),"Not on Beds",""))))</f>
        <v/>
      </c>
      <c r="G293" s="1">
        <f>IF(ISNUMBER(B293),INT(B293),0)</f>
        <v/>
      </c>
      <c r="H293">
        <f>IF(AND(G293&gt;0,D293="Water",OR(C293="",C293="All beds")),G293,0)</f>
        <v/>
      </c>
    </row>
    <row r="294">
      <c r="A294" s="1" t="n"/>
      <c r="B294" s="17" t="n"/>
      <c r="C294" s="18" t="n"/>
      <c r="D294" s="19" t="n"/>
      <c r="E294" s="21" t="n"/>
      <c r="F294" s="11">
        <f>IF(AND(B294="",C294="",D294=""),"",IF(NOT(ISNUMBER(B294)),"Needs a date",IF(D294="","Needs the job",IF(AND(C294&lt;&gt;"",C294&lt;&gt;"All beds",COUNTIF(Beds!$B$6:$B$35,C294)=0),"Not on Beds",""))))</f>
        <v/>
      </c>
      <c r="G294" s="1">
        <f>IF(ISNUMBER(B294),INT(B294),0)</f>
        <v/>
      </c>
      <c r="H294">
        <f>IF(AND(G294&gt;0,D294="Water",OR(C294="",C294="All beds")),G294,0)</f>
        <v/>
      </c>
    </row>
    <row r="295">
      <c r="A295" s="1" t="n"/>
      <c r="B295" s="17" t="n"/>
      <c r="C295" s="18" t="n"/>
      <c r="D295" s="19" t="n"/>
      <c r="E295" s="21" t="n"/>
      <c r="F295" s="11">
        <f>IF(AND(B295="",C295="",D295=""),"",IF(NOT(ISNUMBER(B295)),"Needs a date",IF(D295="","Needs the job",IF(AND(C295&lt;&gt;"",C295&lt;&gt;"All beds",COUNTIF(Beds!$B$6:$B$35,C295)=0),"Not on Beds",""))))</f>
        <v/>
      </c>
      <c r="G295" s="1">
        <f>IF(ISNUMBER(B295),INT(B295),0)</f>
        <v/>
      </c>
      <c r="H295">
        <f>IF(AND(G295&gt;0,D295="Water",OR(C295="",C295="All beds")),G295,0)</f>
        <v/>
      </c>
    </row>
    <row r="296">
      <c r="A296" s="1" t="n"/>
      <c r="B296" s="17" t="n"/>
      <c r="C296" s="18" t="n"/>
      <c r="D296" s="19" t="n"/>
      <c r="E296" s="21" t="n"/>
      <c r="F296" s="11">
        <f>IF(AND(B296="",C296="",D296=""),"",IF(NOT(ISNUMBER(B296)),"Needs a date",IF(D296="","Needs the job",IF(AND(C296&lt;&gt;"",C296&lt;&gt;"All beds",COUNTIF(Beds!$B$6:$B$35,C296)=0),"Not on Beds",""))))</f>
        <v/>
      </c>
      <c r="G296" s="1">
        <f>IF(ISNUMBER(B296),INT(B296),0)</f>
        <v/>
      </c>
      <c r="H296">
        <f>IF(AND(G296&gt;0,D296="Water",OR(C296="",C296="All beds")),G296,0)</f>
        <v/>
      </c>
    </row>
    <row r="297">
      <c r="A297" s="1" t="n"/>
      <c r="B297" s="17" t="n"/>
      <c r="C297" s="18" t="n"/>
      <c r="D297" s="19" t="n"/>
      <c r="E297" s="21" t="n"/>
      <c r="F297" s="11">
        <f>IF(AND(B297="",C297="",D297=""),"",IF(NOT(ISNUMBER(B297)),"Needs a date",IF(D297="","Needs the job",IF(AND(C297&lt;&gt;"",C297&lt;&gt;"All beds",COUNTIF(Beds!$B$6:$B$35,C297)=0),"Not on Beds",""))))</f>
        <v/>
      </c>
      <c r="G297" s="1">
        <f>IF(ISNUMBER(B297),INT(B297),0)</f>
        <v/>
      </c>
      <c r="H297">
        <f>IF(AND(G297&gt;0,D297="Water",OR(C297="",C297="All beds")),G297,0)</f>
        <v/>
      </c>
    </row>
    <row r="298">
      <c r="A298" s="1" t="n"/>
      <c r="B298" s="17" t="n"/>
      <c r="C298" s="18" t="n"/>
      <c r="D298" s="19" t="n"/>
      <c r="E298" s="21" t="n"/>
      <c r="F298" s="11">
        <f>IF(AND(B298="",C298="",D298=""),"",IF(NOT(ISNUMBER(B298)),"Needs a date",IF(D298="","Needs the job",IF(AND(C298&lt;&gt;"",C298&lt;&gt;"All beds",COUNTIF(Beds!$B$6:$B$35,C298)=0),"Not on Beds",""))))</f>
        <v/>
      </c>
      <c r="G298" s="1">
        <f>IF(ISNUMBER(B298),INT(B298),0)</f>
        <v/>
      </c>
      <c r="H298">
        <f>IF(AND(G298&gt;0,D298="Water",OR(C298="",C298="All beds")),G298,0)</f>
        <v/>
      </c>
    </row>
    <row r="299">
      <c r="A299" s="1" t="n"/>
      <c r="B299" s="17" t="n"/>
      <c r="C299" s="18" t="n"/>
      <c r="D299" s="19" t="n"/>
      <c r="E299" s="21" t="n"/>
      <c r="F299" s="11">
        <f>IF(AND(B299="",C299="",D299=""),"",IF(NOT(ISNUMBER(B299)),"Needs a date",IF(D299="","Needs the job",IF(AND(C299&lt;&gt;"",C299&lt;&gt;"All beds",COUNTIF(Beds!$B$6:$B$35,C299)=0),"Not on Beds",""))))</f>
        <v/>
      </c>
      <c r="G299" s="1">
        <f>IF(ISNUMBER(B299),INT(B299),0)</f>
        <v/>
      </c>
      <c r="H299">
        <f>IF(AND(G299&gt;0,D299="Water",OR(C299="",C299="All beds")),G299,0)</f>
        <v/>
      </c>
    </row>
    <row r="300">
      <c r="A300" s="1" t="n"/>
      <c r="B300" s="17" t="n"/>
      <c r="C300" s="18" t="n"/>
      <c r="D300" s="19" t="n"/>
      <c r="E300" s="21" t="n"/>
      <c r="F300" s="11">
        <f>IF(AND(B300="",C300="",D300=""),"",IF(NOT(ISNUMBER(B300)),"Needs a date",IF(D300="","Needs the job",IF(AND(C300&lt;&gt;"",C300&lt;&gt;"All beds",COUNTIF(Beds!$B$6:$B$35,C300)=0),"Not on Beds",""))))</f>
        <v/>
      </c>
      <c r="G300" s="1">
        <f>IF(ISNUMBER(B300),INT(B300),0)</f>
        <v/>
      </c>
      <c r="H300">
        <f>IF(AND(G300&gt;0,D300="Water",OR(C300="",C300="All beds")),G300,0)</f>
        <v/>
      </c>
    </row>
    <row r="301">
      <c r="A301" s="1" t="n"/>
      <c r="B301" s="17" t="n"/>
      <c r="C301" s="18" t="n"/>
      <c r="D301" s="19" t="n"/>
      <c r="E301" s="21" t="n"/>
      <c r="F301" s="11">
        <f>IF(AND(B301="",C301="",D301=""),"",IF(NOT(ISNUMBER(B301)),"Needs a date",IF(D301="","Needs the job",IF(AND(C301&lt;&gt;"",C301&lt;&gt;"All beds",COUNTIF(Beds!$B$6:$B$35,C301)=0),"Not on Beds",""))))</f>
        <v/>
      </c>
      <c r="G301" s="1">
        <f>IF(ISNUMBER(B301),INT(B301),0)</f>
        <v/>
      </c>
      <c r="H301">
        <f>IF(AND(G301&gt;0,D301="Water",OR(C301="",C301="All beds")),G301,0)</f>
        <v/>
      </c>
    </row>
    <row r="302">
      <c r="A302" s="1" t="n"/>
      <c r="B302" s="17" t="n"/>
      <c r="C302" s="18" t="n"/>
      <c r="D302" s="19" t="n"/>
      <c r="E302" s="21" t="n"/>
      <c r="F302" s="11">
        <f>IF(AND(B302="",C302="",D302=""),"",IF(NOT(ISNUMBER(B302)),"Needs a date",IF(D302="","Needs the job",IF(AND(C302&lt;&gt;"",C302&lt;&gt;"All beds",COUNTIF(Beds!$B$6:$B$35,C302)=0),"Not on Beds",""))))</f>
        <v/>
      </c>
      <c r="G302" s="1">
        <f>IF(ISNUMBER(B302),INT(B302),0)</f>
        <v/>
      </c>
      <c r="H302">
        <f>IF(AND(G302&gt;0,D302="Water",OR(C302="",C302="All beds")),G302,0)</f>
        <v/>
      </c>
    </row>
    <row r="303">
      <c r="A303" s="1" t="n"/>
      <c r="B303" s="17" t="n"/>
      <c r="C303" s="18" t="n"/>
      <c r="D303" s="19" t="n"/>
      <c r="E303" s="21" t="n"/>
      <c r="F303" s="11">
        <f>IF(AND(B303="",C303="",D303=""),"",IF(NOT(ISNUMBER(B303)),"Needs a date",IF(D303="","Needs the job",IF(AND(C303&lt;&gt;"",C303&lt;&gt;"All beds",COUNTIF(Beds!$B$6:$B$35,C303)=0),"Not on Beds",""))))</f>
        <v/>
      </c>
      <c r="G303" s="1">
        <f>IF(ISNUMBER(B303),INT(B303),0)</f>
        <v/>
      </c>
      <c r="H303">
        <f>IF(AND(G303&gt;0,D303="Water",OR(C303="",C303="All beds")),G303,0)</f>
        <v/>
      </c>
    </row>
    <row r="304">
      <c r="A304" s="1" t="n"/>
      <c r="B304" s="17" t="n"/>
      <c r="C304" s="18" t="n"/>
      <c r="D304" s="19" t="n"/>
      <c r="E304" s="21" t="n"/>
      <c r="F304" s="11">
        <f>IF(AND(B304="",C304="",D304=""),"",IF(NOT(ISNUMBER(B304)),"Needs a date",IF(D304="","Needs the job",IF(AND(C304&lt;&gt;"",C304&lt;&gt;"All beds",COUNTIF(Beds!$B$6:$B$35,C304)=0),"Not on Beds",""))))</f>
        <v/>
      </c>
      <c r="G304" s="1">
        <f>IF(ISNUMBER(B304),INT(B304),0)</f>
        <v/>
      </c>
      <c r="H304">
        <f>IF(AND(G304&gt;0,D304="Water",OR(C304="",C304="All beds")),G304,0)</f>
        <v/>
      </c>
    </row>
    <row r="305">
      <c r="A305" s="1" t="n"/>
      <c r="B305" s="17" t="n"/>
      <c r="C305" s="18" t="n"/>
      <c r="D305" s="19" t="n"/>
      <c r="E305" s="21" t="n"/>
      <c r="F305" s="11">
        <f>IF(AND(B305="",C305="",D305=""),"",IF(NOT(ISNUMBER(B305)),"Needs a date",IF(D305="","Needs the job",IF(AND(C305&lt;&gt;"",C305&lt;&gt;"All beds",COUNTIF(Beds!$B$6:$B$35,C305)=0),"Not on Beds",""))))</f>
        <v/>
      </c>
      <c r="G305" s="1">
        <f>IF(ISNUMBER(B305),INT(B305),0)</f>
        <v/>
      </c>
      <c r="H305">
        <f>IF(AND(G305&gt;0,D305="Water",OR(C305="",C305="All beds")),G305,0)</f>
        <v/>
      </c>
    </row>
    <row r="306">
      <c r="A306" s="1" t="n"/>
      <c r="B306" s="17" t="n"/>
      <c r="C306" s="18" t="n"/>
      <c r="D306" s="19" t="n"/>
      <c r="E306" s="21" t="n"/>
      <c r="F306" s="11">
        <f>IF(AND(B306="",C306="",D306=""),"",IF(NOT(ISNUMBER(B306)),"Needs a date",IF(D306="","Needs the job",IF(AND(C306&lt;&gt;"",C306&lt;&gt;"All beds",COUNTIF(Beds!$B$6:$B$35,C306)=0),"Not on Beds",""))))</f>
        <v/>
      </c>
      <c r="G306" s="1">
        <f>IF(ISNUMBER(B306),INT(B306),0)</f>
        <v/>
      </c>
      <c r="H306">
        <f>IF(AND(G306&gt;0,D306="Water",OR(C306="",C306="All beds")),G306,0)</f>
        <v/>
      </c>
    </row>
    <row r="307">
      <c r="A307" s="1" t="n"/>
      <c r="B307" s="17" t="n"/>
      <c r="C307" s="18" t="n"/>
      <c r="D307" s="19" t="n"/>
      <c r="E307" s="21" t="n"/>
      <c r="F307" s="11">
        <f>IF(AND(B307="",C307="",D307=""),"",IF(NOT(ISNUMBER(B307)),"Needs a date",IF(D307="","Needs the job",IF(AND(C307&lt;&gt;"",C307&lt;&gt;"All beds",COUNTIF(Beds!$B$6:$B$35,C307)=0),"Not on Beds",""))))</f>
        <v/>
      </c>
      <c r="G307" s="1">
        <f>IF(ISNUMBER(B307),INT(B307),0)</f>
        <v/>
      </c>
      <c r="H307">
        <f>IF(AND(G307&gt;0,D307="Water",OR(C307="",C307="All beds")),G307,0)</f>
        <v/>
      </c>
    </row>
    <row r="308">
      <c r="A308" s="1" t="n"/>
      <c r="B308" s="17" t="n"/>
      <c r="C308" s="18" t="n"/>
      <c r="D308" s="19" t="n"/>
      <c r="E308" s="21" t="n"/>
      <c r="F308" s="11">
        <f>IF(AND(B308="",C308="",D308=""),"",IF(NOT(ISNUMBER(B308)),"Needs a date",IF(D308="","Needs the job",IF(AND(C308&lt;&gt;"",C308&lt;&gt;"All beds",COUNTIF(Beds!$B$6:$B$35,C308)=0),"Not on Beds",""))))</f>
        <v/>
      </c>
      <c r="G308" s="1">
        <f>IF(ISNUMBER(B308),INT(B308),0)</f>
        <v/>
      </c>
      <c r="H308">
        <f>IF(AND(G308&gt;0,D308="Water",OR(C308="",C308="All beds")),G308,0)</f>
        <v/>
      </c>
    </row>
    <row r="309">
      <c r="A309" s="1" t="n"/>
      <c r="B309" s="17" t="n"/>
      <c r="C309" s="18" t="n"/>
      <c r="D309" s="19" t="n"/>
      <c r="E309" s="21" t="n"/>
      <c r="F309" s="11">
        <f>IF(AND(B309="",C309="",D309=""),"",IF(NOT(ISNUMBER(B309)),"Needs a date",IF(D309="","Needs the job",IF(AND(C309&lt;&gt;"",C309&lt;&gt;"All beds",COUNTIF(Beds!$B$6:$B$35,C309)=0),"Not on Beds",""))))</f>
        <v/>
      </c>
      <c r="G309" s="1">
        <f>IF(ISNUMBER(B309),INT(B309),0)</f>
        <v/>
      </c>
      <c r="H309">
        <f>IF(AND(G309&gt;0,D309="Water",OR(C309="",C309="All beds")),G309,0)</f>
        <v/>
      </c>
    </row>
    <row r="310">
      <c r="A310" s="1" t="n"/>
      <c r="B310" s="17" t="n"/>
      <c r="C310" s="18" t="n"/>
      <c r="D310" s="19" t="n"/>
      <c r="E310" s="21" t="n"/>
      <c r="F310" s="11">
        <f>IF(AND(B310="",C310="",D310=""),"",IF(NOT(ISNUMBER(B310)),"Needs a date",IF(D310="","Needs the job",IF(AND(C310&lt;&gt;"",C310&lt;&gt;"All beds",COUNTIF(Beds!$B$6:$B$35,C310)=0),"Not on Beds",""))))</f>
        <v/>
      </c>
      <c r="G310" s="1">
        <f>IF(ISNUMBER(B310),INT(B310),0)</f>
        <v/>
      </c>
      <c r="H310">
        <f>IF(AND(G310&gt;0,D310="Water",OR(C310="",C310="All beds")),G310,0)</f>
        <v/>
      </c>
    </row>
    <row r="311">
      <c r="A311" s="1" t="n"/>
      <c r="B311" s="17" t="n"/>
      <c r="C311" s="18" t="n"/>
      <c r="D311" s="19" t="n"/>
      <c r="E311" s="21" t="n"/>
      <c r="F311" s="11">
        <f>IF(AND(B311="",C311="",D311=""),"",IF(NOT(ISNUMBER(B311)),"Needs a date",IF(D311="","Needs the job",IF(AND(C311&lt;&gt;"",C311&lt;&gt;"All beds",COUNTIF(Beds!$B$6:$B$35,C311)=0),"Not on Beds",""))))</f>
        <v/>
      </c>
      <c r="G311" s="1">
        <f>IF(ISNUMBER(B311),INT(B311),0)</f>
        <v/>
      </c>
      <c r="H311">
        <f>IF(AND(G311&gt;0,D311="Water",OR(C311="",C311="All beds")),G311,0)</f>
        <v/>
      </c>
    </row>
    <row r="312">
      <c r="A312" s="1" t="n"/>
      <c r="B312" s="17" t="n"/>
      <c r="C312" s="18" t="n"/>
      <c r="D312" s="19" t="n"/>
      <c r="E312" s="21" t="n"/>
      <c r="F312" s="11">
        <f>IF(AND(B312="",C312="",D312=""),"",IF(NOT(ISNUMBER(B312)),"Needs a date",IF(D312="","Needs the job",IF(AND(C312&lt;&gt;"",C312&lt;&gt;"All beds",COUNTIF(Beds!$B$6:$B$35,C312)=0),"Not on Beds",""))))</f>
        <v/>
      </c>
      <c r="G312" s="1">
        <f>IF(ISNUMBER(B312),INT(B312),0)</f>
        <v/>
      </c>
      <c r="H312">
        <f>IF(AND(G312&gt;0,D312="Water",OR(C312="",C312="All beds")),G312,0)</f>
        <v/>
      </c>
    </row>
    <row r="313">
      <c r="A313" s="1" t="n"/>
      <c r="B313" s="17" t="n"/>
      <c r="C313" s="18" t="n"/>
      <c r="D313" s="19" t="n"/>
      <c r="E313" s="21" t="n"/>
      <c r="F313" s="11">
        <f>IF(AND(B313="",C313="",D313=""),"",IF(NOT(ISNUMBER(B313)),"Needs a date",IF(D313="","Needs the job",IF(AND(C313&lt;&gt;"",C313&lt;&gt;"All beds",COUNTIF(Beds!$B$6:$B$35,C313)=0),"Not on Beds",""))))</f>
        <v/>
      </c>
      <c r="G313" s="1">
        <f>IF(ISNUMBER(B313),INT(B313),0)</f>
        <v/>
      </c>
      <c r="H313">
        <f>IF(AND(G313&gt;0,D313="Water",OR(C313="",C313="All beds")),G313,0)</f>
        <v/>
      </c>
    </row>
    <row r="314">
      <c r="A314" s="1" t="n"/>
      <c r="B314" s="17" t="n"/>
      <c r="C314" s="18" t="n"/>
      <c r="D314" s="19" t="n"/>
      <c r="E314" s="21" t="n"/>
      <c r="F314" s="11">
        <f>IF(AND(B314="",C314="",D314=""),"",IF(NOT(ISNUMBER(B314)),"Needs a date",IF(D314="","Needs the job",IF(AND(C314&lt;&gt;"",C314&lt;&gt;"All beds",COUNTIF(Beds!$B$6:$B$35,C314)=0),"Not on Beds",""))))</f>
        <v/>
      </c>
      <c r="G314" s="1">
        <f>IF(ISNUMBER(B314),INT(B314),0)</f>
        <v/>
      </c>
      <c r="H314">
        <f>IF(AND(G314&gt;0,D314="Water",OR(C314="",C314="All beds")),G314,0)</f>
        <v/>
      </c>
    </row>
    <row r="315">
      <c r="A315" s="1" t="n"/>
      <c r="B315" s="17" t="n"/>
      <c r="C315" s="18" t="n"/>
      <c r="D315" s="19" t="n"/>
      <c r="E315" s="21" t="n"/>
      <c r="F315" s="11">
        <f>IF(AND(B315="",C315="",D315=""),"",IF(NOT(ISNUMBER(B315)),"Needs a date",IF(D315="","Needs the job",IF(AND(C315&lt;&gt;"",C315&lt;&gt;"All beds",COUNTIF(Beds!$B$6:$B$35,C315)=0),"Not on Beds",""))))</f>
        <v/>
      </c>
      <c r="G315" s="1">
        <f>IF(ISNUMBER(B315),INT(B315),0)</f>
        <v/>
      </c>
      <c r="H315">
        <f>IF(AND(G315&gt;0,D315="Water",OR(C315="",C315="All beds")),G315,0)</f>
        <v/>
      </c>
    </row>
    <row r="316">
      <c r="A316" s="1" t="n"/>
      <c r="B316" s="17" t="n"/>
      <c r="C316" s="18" t="n"/>
      <c r="D316" s="19" t="n"/>
      <c r="E316" s="21" t="n"/>
      <c r="F316" s="11">
        <f>IF(AND(B316="",C316="",D316=""),"",IF(NOT(ISNUMBER(B316)),"Needs a date",IF(D316="","Needs the job",IF(AND(C316&lt;&gt;"",C316&lt;&gt;"All beds",COUNTIF(Beds!$B$6:$B$35,C316)=0),"Not on Beds",""))))</f>
        <v/>
      </c>
      <c r="G316" s="1">
        <f>IF(ISNUMBER(B316),INT(B316),0)</f>
        <v/>
      </c>
      <c r="H316">
        <f>IF(AND(G316&gt;0,D316="Water",OR(C316="",C316="All beds")),G316,0)</f>
        <v/>
      </c>
    </row>
    <row r="317">
      <c r="A317" s="1" t="n"/>
      <c r="B317" s="17" t="n"/>
      <c r="C317" s="18" t="n"/>
      <c r="D317" s="19" t="n"/>
      <c r="E317" s="21" t="n"/>
      <c r="F317" s="11">
        <f>IF(AND(B317="",C317="",D317=""),"",IF(NOT(ISNUMBER(B317)),"Needs a date",IF(D317="","Needs the job",IF(AND(C317&lt;&gt;"",C317&lt;&gt;"All beds",COUNTIF(Beds!$B$6:$B$35,C317)=0),"Not on Beds",""))))</f>
        <v/>
      </c>
      <c r="G317" s="1">
        <f>IF(ISNUMBER(B317),INT(B317),0)</f>
        <v/>
      </c>
      <c r="H317">
        <f>IF(AND(G317&gt;0,D317="Water",OR(C317="",C317="All beds")),G317,0)</f>
        <v/>
      </c>
    </row>
    <row r="318">
      <c r="A318" s="1" t="n"/>
      <c r="B318" s="17" t="n"/>
      <c r="C318" s="18" t="n"/>
      <c r="D318" s="19" t="n"/>
      <c r="E318" s="21" t="n"/>
      <c r="F318" s="11">
        <f>IF(AND(B318="",C318="",D318=""),"",IF(NOT(ISNUMBER(B318)),"Needs a date",IF(D318="","Needs the job",IF(AND(C318&lt;&gt;"",C318&lt;&gt;"All beds",COUNTIF(Beds!$B$6:$B$35,C318)=0),"Not on Beds",""))))</f>
        <v/>
      </c>
      <c r="G318" s="1">
        <f>IF(ISNUMBER(B318),INT(B318),0)</f>
        <v/>
      </c>
      <c r="H318">
        <f>IF(AND(G318&gt;0,D318="Water",OR(C318="",C318="All beds")),G318,0)</f>
        <v/>
      </c>
    </row>
    <row r="319">
      <c r="A319" s="1" t="n"/>
      <c r="B319" s="17" t="n"/>
      <c r="C319" s="18" t="n"/>
      <c r="D319" s="19" t="n"/>
      <c r="E319" s="21" t="n"/>
      <c r="F319" s="11">
        <f>IF(AND(B319="",C319="",D319=""),"",IF(NOT(ISNUMBER(B319)),"Needs a date",IF(D319="","Needs the job",IF(AND(C319&lt;&gt;"",C319&lt;&gt;"All beds",COUNTIF(Beds!$B$6:$B$35,C319)=0),"Not on Beds",""))))</f>
        <v/>
      </c>
      <c r="G319" s="1">
        <f>IF(ISNUMBER(B319),INT(B319),0)</f>
        <v/>
      </c>
      <c r="H319">
        <f>IF(AND(G319&gt;0,D319="Water",OR(C319="",C319="All beds")),G319,0)</f>
        <v/>
      </c>
    </row>
    <row r="320">
      <c r="A320" s="1" t="n"/>
      <c r="B320" s="17" t="n"/>
      <c r="C320" s="18" t="n"/>
      <c r="D320" s="19" t="n"/>
      <c r="E320" s="21" t="n"/>
      <c r="F320" s="11">
        <f>IF(AND(B320="",C320="",D320=""),"",IF(NOT(ISNUMBER(B320)),"Needs a date",IF(D320="","Needs the job",IF(AND(C320&lt;&gt;"",C320&lt;&gt;"All beds",COUNTIF(Beds!$B$6:$B$35,C320)=0),"Not on Beds",""))))</f>
        <v/>
      </c>
      <c r="G320" s="1">
        <f>IF(ISNUMBER(B320),INT(B320),0)</f>
        <v/>
      </c>
      <c r="H320">
        <f>IF(AND(G320&gt;0,D320="Water",OR(C320="",C320="All beds")),G320,0)</f>
        <v/>
      </c>
    </row>
    <row r="321">
      <c r="A321" s="1" t="n"/>
      <c r="B321" s="17" t="n"/>
      <c r="C321" s="18" t="n"/>
      <c r="D321" s="19" t="n"/>
      <c r="E321" s="21" t="n"/>
      <c r="F321" s="11">
        <f>IF(AND(B321="",C321="",D321=""),"",IF(NOT(ISNUMBER(B321)),"Needs a date",IF(D321="","Needs the job",IF(AND(C321&lt;&gt;"",C321&lt;&gt;"All beds",COUNTIF(Beds!$B$6:$B$35,C321)=0),"Not on Beds",""))))</f>
        <v/>
      </c>
      <c r="G321" s="1">
        <f>IF(ISNUMBER(B321),INT(B321),0)</f>
        <v/>
      </c>
      <c r="H321">
        <f>IF(AND(G321&gt;0,D321="Water",OR(C321="",C321="All beds")),G321,0)</f>
        <v/>
      </c>
    </row>
    <row r="322">
      <c r="A322" s="1" t="n"/>
      <c r="B322" s="17" t="n"/>
      <c r="C322" s="18" t="n"/>
      <c r="D322" s="19" t="n"/>
      <c r="E322" s="21" t="n"/>
      <c r="F322" s="11">
        <f>IF(AND(B322="",C322="",D322=""),"",IF(NOT(ISNUMBER(B322)),"Needs a date",IF(D322="","Needs the job",IF(AND(C322&lt;&gt;"",C322&lt;&gt;"All beds",COUNTIF(Beds!$B$6:$B$35,C322)=0),"Not on Beds",""))))</f>
        <v/>
      </c>
      <c r="G322" s="1">
        <f>IF(ISNUMBER(B322),INT(B322),0)</f>
        <v/>
      </c>
      <c r="H322">
        <f>IF(AND(G322&gt;0,D322="Water",OR(C322="",C322="All beds")),G322,0)</f>
        <v/>
      </c>
    </row>
    <row r="323">
      <c r="A323" s="1" t="n"/>
      <c r="B323" s="17" t="n"/>
      <c r="C323" s="18" t="n"/>
      <c r="D323" s="19" t="n"/>
      <c r="E323" s="21" t="n"/>
      <c r="F323" s="11">
        <f>IF(AND(B323="",C323="",D323=""),"",IF(NOT(ISNUMBER(B323)),"Needs a date",IF(D323="","Needs the job",IF(AND(C323&lt;&gt;"",C323&lt;&gt;"All beds",COUNTIF(Beds!$B$6:$B$35,C323)=0),"Not on Beds",""))))</f>
        <v/>
      </c>
      <c r="G323" s="1">
        <f>IF(ISNUMBER(B323),INT(B323),0)</f>
        <v/>
      </c>
      <c r="H323">
        <f>IF(AND(G323&gt;0,D323="Water",OR(C323="",C323="All beds")),G323,0)</f>
        <v/>
      </c>
    </row>
    <row r="324">
      <c r="A324" s="1" t="n"/>
      <c r="B324" s="17" t="n"/>
      <c r="C324" s="18" t="n"/>
      <c r="D324" s="19" t="n"/>
      <c r="E324" s="21" t="n"/>
      <c r="F324" s="11">
        <f>IF(AND(B324="",C324="",D324=""),"",IF(NOT(ISNUMBER(B324)),"Needs a date",IF(D324="","Needs the job",IF(AND(C324&lt;&gt;"",C324&lt;&gt;"All beds",COUNTIF(Beds!$B$6:$B$35,C324)=0),"Not on Beds",""))))</f>
        <v/>
      </c>
      <c r="G324" s="1">
        <f>IF(ISNUMBER(B324),INT(B324),0)</f>
        <v/>
      </c>
      <c r="H324">
        <f>IF(AND(G324&gt;0,D324="Water",OR(C324="",C324="All beds")),G324,0)</f>
        <v/>
      </c>
    </row>
    <row r="325">
      <c r="A325" s="1" t="n"/>
      <c r="B325" s="17" t="n"/>
      <c r="C325" s="18" t="n"/>
      <c r="D325" s="19" t="n"/>
      <c r="E325" s="21" t="n"/>
      <c r="F325" s="11">
        <f>IF(AND(B325="",C325="",D325=""),"",IF(NOT(ISNUMBER(B325)),"Needs a date",IF(D325="","Needs the job",IF(AND(C325&lt;&gt;"",C325&lt;&gt;"All beds",COUNTIF(Beds!$B$6:$B$35,C325)=0),"Not on Beds",""))))</f>
        <v/>
      </c>
      <c r="G325" s="1">
        <f>IF(ISNUMBER(B325),INT(B325),0)</f>
        <v/>
      </c>
      <c r="H325">
        <f>IF(AND(G325&gt;0,D325="Water",OR(C325="",C325="All beds")),G325,0)</f>
        <v/>
      </c>
    </row>
    <row r="326">
      <c r="A326" s="1" t="n"/>
      <c r="B326" s="17" t="n"/>
      <c r="C326" s="18" t="n"/>
      <c r="D326" s="19" t="n"/>
      <c r="E326" s="21" t="n"/>
      <c r="F326" s="11">
        <f>IF(AND(B326="",C326="",D326=""),"",IF(NOT(ISNUMBER(B326)),"Needs a date",IF(D326="","Needs the job",IF(AND(C326&lt;&gt;"",C326&lt;&gt;"All beds",COUNTIF(Beds!$B$6:$B$35,C326)=0),"Not on Beds",""))))</f>
        <v/>
      </c>
      <c r="G326" s="1">
        <f>IF(ISNUMBER(B326),INT(B326),0)</f>
        <v/>
      </c>
      <c r="H326">
        <f>IF(AND(G326&gt;0,D326="Water",OR(C326="",C326="All beds")),G326,0)</f>
        <v/>
      </c>
    </row>
    <row r="327">
      <c r="A327" s="1" t="n"/>
      <c r="B327" s="17" t="n"/>
      <c r="C327" s="18" t="n"/>
      <c r="D327" s="19" t="n"/>
      <c r="E327" s="21" t="n"/>
      <c r="F327" s="11">
        <f>IF(AND(B327="",C327="",D327=""),"",IF(NOT(ISNUMBER(B327)),"Needs a date",IF(D327="","Needs the job",IF(AND(C327&lt;&gt;"",C327&lt;&gt;"All beds",COUNTIF(Beds!$B$6:$B$35,C327)=0),"Not on Beds",""))))</f>
        <v/>
      </c>
      <c r="G327" s="1">
        <f>IF(ISNUMBER(B327),INT(B327),0)</f>
        <v/>
      </c>
      <c r="H327">
        <f>IF(AND(G327&gt;0,D327="Water",OR(C327="",C327="All beds")),G327,0)</f>
        <v/>
      </c>
    </row>
    <row r="328">
      <c r="A328" s="1" t="n"/>
      <c r="B328" s="17" t="n"/>
      <c r="C328" s="18" t="n"/>
      <c r="D328" s="19" t="n"/>
      <c r="E328" s="21" t="n"/>
      <c r="F328" s="11">
        <f>IF(AND(B328="",C328="",D328=""),"",IF(NOT(ISNUMBER(B328)),"Needs a date",IF(D328="","Needs the job",IF(AND(C328&lt;&gt;"",C328&lt;&gt;"All beds",COUNTIF(Beds!$B$6:$B$35,C328)=0),"Not on Beds",""))))</f>
        <v/>
      </c>
      <c r="G328" s="1">
        <f>IF(ISNUMBER(B328),INT(B328),0)</f>
        <v/>
      </c>
      <c r="H328">
        <f>IF(AND(G328&gt;0,D328="Water",OR(C328="",C328="All beds")),G328,0)</f>
        <v/>
      </c>
    </row>
    <row r="329">
      <c r="A329" s="1" t="n"/>
      <c r="B329" s="17" t="n"/>
      <c r="C329" s="18" t="n"/>
      <c r="D329" s="19" t="n"/>
      <c r="E329" s="21" t="n"/>
      <c r="F329" s="11">
        <f>IF(AND(B329="",C329="",D329=""),"",IF(NOT(ISNUMBER(B329)),"Needs a date",IF(D329="","Needs the job",IF(AND(C329&lt;&gt;"",C329&lt;&gt;"All beds",COUNTIF(Beds!$B$6:$B$35,C329)=0),"Not on Beds",""))))</f>
        <v/>
      </c>
      <c r="G329" s="1">
        <f>IF(ISNUMBER(B329),INT(B329),0)</f>
        <v/>
      </c>
      <c r="H329">
        <f>IF(AND(G329&gt;0,D329="Water",OR(C329="",C329="All beds")),G329,0)</f>
        <v/>
      </c>
    </row>
    <row r="330">
      <c r="A330" s="1" t="n"/>
      <c r="B330" s="17" t="n"/>
      <c r="C330" s="18" t="n"/>
      <c r="D330" s="19" t="n"/>
      <c r="E330" s="21" t="n"/>
      <c r="F330" s="11">
        <f>IF(AND(B330="",C330="",D330=""),"",IF(NOT(ISNUMBER(B330)),"Needs a date",IF(D330="","Needs the job",IF(AND(C330&lt;&gt;"",C330&lt;&gt;"All beds",COUNTIF(Beds!$B$6:$B$35,C330)=0),"Not on Beds",""))))</f>
        <v/>
      </c>
      <c r="G330" s="1">
        <f>IF(ISNUMBER(B330),INT(B330),0)</f>
        <v/>
      </c>
      <c r="H330">
        <f>IF(AND(G330&gt;0,D330="Water",OR(C330="",C330="All beds")),G330,0)</f>
        <v/>
      </c>
    </row>
    <row r="331">
      <c r="A331" s="1" t="n"/>
      <c r="B331" s="17" t="n"/>
      <c r="C331" s="18" t="n"/>
      <c r="D331" s="19" t="n"/>
      <c r="E331" s="21" t="n"/>
      <c r="F331" s="11">
        <f>IF(AND(B331="",C331="",D331=""),"",IF(NOT(ISNUMBER(B331)),"Needs a date",IF(D331="","Needs the job",IF(AND(C331&lt;&gt;"",C331&lt;&gt;"All beds",COUNTIF(Beds!$B$6:$B$35,C331)=0),"Not on Beds",""))))</f>
        <v/>
      </c>
      <c r="G331" s="1">
        <f>IF(ISNUMBER(B331),INT(B331),0)</f>
        <v/>
      </c>
      <c r="H331">
        <f>IF(AND(G331&gt;0,D331="Water",OR(C331="",C331="All beds")),G331,0)</f>
        <v/>
      </c>
    </row>
    <row r="332">
      <c r="A332" s="1" t="n"/>
      <c r="B332" s="17" t="n"/>
      <c r="C332" s="18" t="n"/>
      <c r="D332" s="19" t="n"/>
      <c r="E332" s="21" t="n"/>
      <c r="F332" s="11">
        <f>IF(AND(B332="",C332="",D332=""),"",IF(NOT(ISNUMBER(B332)),"Needs a date",IF(D332="","Needs the job",IF(AND(C332&lt;&gt;"",C332&lt;&gt;"All beds",COUNTIF(Beds!$B$6:$B$35,C332)=0),"Not on Beds",""))))</f>
        <v/>
      </c>
      <c r="G332" s="1">
        <f>IF(ISNUMBER(B332),INT(B332),0)</f>
        <v/>
      </c>
      <c r="H332">
        <f>IF(AND(G332&gt;0,D332="Water",OR(C332="",C332="All beds")),G332,0)</f>
        <v/>
      </c>
    </row>
    <row r="333">
      <c r="A333" s="1" t="n"/>
      <c r="B333" s="17" t="n"/>
      <c r="C333" s="18" t="n"/>
      <c r="D333" s="19" t="n"/>
      <c r="E333" s="21" t="n"/>
      <c r="F333" s="11">
        <f>IF(AND(B333="",C333="",D333=""),"",IF(NOT(ISNUMBER(B333)),"Needs a date",IF(D333="","Needs the job",IF(AND(C333&lt;&gt;"",C333&lt;&gt;"All beds",COUNTIF(Beds!$B$6:$B$35,C333)=0),"Not on Beds",""))))</f>
        <v/>
      </c>
      <c r="G333" s="1">
        <f>IF(ISNUMBER(B333),INT(B333),0)</f>
        <v/>
      </c>
      <c r="H333">
        <f>IF(AND(G333&gt;0,D333="Water",OR(C333="",C333="All beds")),G333,0)</f>
        <v/>
      </c>
    </row>
    <row r="334">
      <c r="A334" s="1" t="n"/>
      <c r="B334" s="17" t="n"/>
      <c r="C334" s="18" t="n"/>
      <c r="D334" s="19" t="n"/>
      <c r="E334" s="21" t="n"/>
      <c r="F334" s="11">
        <f>IF(AND(B334="",C334="",D334=""),"",IF(NOT(ISNUMBER(B334)),"Needs a date",IF(D334="","Needs the job",IF(AND(C334&lt;&gt;"",C334&lt;&gt;"All beds",COUNTIF(Beds!$B$6:$B$35,C334)=0),"Not on Beds",""))))</f>
        <v/>
      </c>
      <c r="G334" s="1">
        <f>IF(ISNUMBER(B334),INT(B334),0)</f>
        <v/>
      </c>
      <c r="H334">
        <f>IF(AND(G334&gt;0,D334="Water",OR(C334="",C334="All beds")),G334,0)</f>
        <v/>
      </c>
    </row>
    <row r="335">
      <c r="A335" s="1" t="n"/>
      <c r="B335" s="17" t="n"/>
      <c r="C335" s="18" t="n"/>
      <c r="D335" s="19" t="n"/>
      <c r="E335" s="21" t="n"/>
      <c r="F335" s="11">
        <f>IF(AND(B335="",C335="",D335=""),"",IF(NOT(ISNUMBER(B335)),"Needs a date",IF(D335="","Needs the job",IF(AND(C335&lt;&gt;"",C335&lt;&gt;"All beds",COUNTIF(Beds!$B$6:$B$35,C335)=0),"Not on Beds",""))))</f>
        <v/>
      </c>
      <c r="G335" s="1">
        <f>IF(ISNUMBER(B335),INT(B335),0)</f>
        <v/>
      </c>
      <c r="H335">
        <f>IF(AND(G335&gt;0,D335="Water",OR(C335="",C335="All beds")),G335,0)</f>
        <v/>
      </c>
    </row>
    <row r="336">
      <c r="A336" s="1" t="n"/>
      <c r="B336" s="17" t="n"/>
      <c r="C336" s="18" t="n"/>
      <c r="D336" s="19" t="n"/>
      <c r="E336" s="21" t="n"/>
      <c r="F336" s="11">
        <f>IF(AND(B336="",C336="",D336=""),"",IF(NOT(ISNUMBER(B336)),"Needs a date",IF(D336="","Needs the job",IF(AND(C336&lt;&gt;"",C336&lt;&gt;"All beds",COUNTIF(Beds!$B$6:$B$35,C336)=0),"Not on Beds",""))))</f>
        <v/>
      </c>
      <c r="G336" s="1">
        <f>IF(ISNUMBER(B336),INT(B336),0)</f>
        <v/>
      </c>
      <c r="H336">
        <f>IF(AND(G336&gt;0,D336="Water",OR(C336="",C336="All beds")),G336,0)</f>
        <v/>
      </c>
    </row>
    <row r="337">
      <c r="A337" s="1" t="n"/>
      <c r="B337" s="17" t="n"/>
      <c r="C337" s="18" t="n"/>
      <c r="D337" s="19" t="n"/>
      <c r="E337" s="21" t="n"/>
      <c r="F337" s="11">
        <f>IF(AND(B337="",C337="",D337=""),"",IF(NOT(ISNUMBER(B337)),"Needs a date",IF(D337="","Needs the job",IF(AND(C337&lt;&gt;"",C337&lt;&gt;"All beds",COUNTIF(Beds!$B$6:$B$35,C337)=0),"Not on Beds",""))))</f>
        <v/>
      </c>
      <c r="G337" s="1">
        <f>IF(ISNUMBER(B337),INT(B337),0)</f>
        <v/>
      </c>
      <c r="H337">
        <f>IF(AND(G337&gt;0,D337="Water",OR(C337="",C337="All beds")),G337,0)</f>
        <v/>
      </c>
    </row>
    <row r="338">
      <c r="A338" s="1" t="n"/>
      <c r="B338" s="17" t="n"/>
      <c r="C338" s="18" t="n"/>
      <c r="D338" s="19" t="n"/>
      <c r="E338" s="21" t="n"/>
      <c r="F338" s="11">
        <f>IF(AND(B338="",C338="",D338=""),"",IF(NOT(ISNUMBER(B338)),"Needs a date",IF(D338="","Needs the job",IF(AND(C338&lt;&gt;"",C338&lt;&gt;"All beds",COUNTIF(Beds!$B$6:$B$35,C338)=0),"Not on Beds",""))))</f>
        <v/>
      </c>
      <c r="G338" s="1">
        <f>IF(ISNUMBER(B338),INT(B338),0)</f>
        <v/>
      </c>
      <c r="H338">
        <f>IF(AND(G338&gt;0,D338="Water",OR(C338="",C338="All beds")),G338,0)</f>
        <v/>
      </c>
    </row>
    <row r="339">
      <c r="A339" s="1" t="n"/>
      <c r="B339" s="17" t="n"/>
      <c r="C339" s="18" t="n"/>
      <c r="D339" s="19" t="n"/>
      <c r="E339" s="21" t="n"/>
      <c r="F339" s="11">
        <f>IF(AND(B339="",C339="",D339=""),"",IF(NOT(ISNUMBER(B339)),"Needs a date",IF(D339="","Needs the job",IF(AND(C339&lt;&gt;"",C339&lt;&gt;"All beds",COUNTIF(Beds!$B$6:$B$35,C339)=0),"Not on Beds",""))))</f>
        <v/>
      </c>
      <c r="G339" s="1">
        <f>IF(ISNUMBER(B339),INT(B339),0)</f>
        <v/>
      </c>
      <c r="H339">
        <f>IF(AND(G339&gt;0,D339="Water",OR(C339="",C339="All beds")),G339,0)</f>
        <v/>
      </c>
    </row>
    <row r="340">
      <c r="A340" s="1" t="n"/>
      <c r="B340" s="17" t="n"/>
      <c r="C340" s="18" t="n"/>
      <c r="D340" s="19" t="n"/>
      <c r="E340" s="21" t="n"/>
      <c r="F340" s="11">
        <f>IF(AND(B340="",C340="",D340=""),"",IF(NOT(ISNUMBER(B340)),"Needs a date",IF(D340="","Needs the job",IF(AND(C340&lt;&gt;"",C340&lt;&gt;"All beds",COUNTIF(Beds!$B$6:$B$35,C340)=0),"Not on Beds",""))))</f>
        <v/>
      </c>
      <c r="G340" s="1">
        <f>IF(ISNUMBER(B340),INT(B340),0)</f>
        <v/>
      </c>
      <c r="H340">
        <f>IF(AND(G340&gt;0,D340="Water",OR(C340="",C340="All beds")),G340,0)</f>
        <v/>
      </c>
    </row>
    <row r="341">
      <c r="A341" s="1" t="n"/>
      <c r="B341" s="17" t="n"/>
      <c r="C341" s="18" t="n"/>
      <c r="D341" s="19" t="n"/>
      <c r="E341" s="21" t="n"/>
      <c r="F341" s="11">
        <f>IF(AND(B341="",C341="",D341=""),"",IF(NOT(ISNUMBER(B341)),"Needs a date",IF(D341="","Needs the job",IF(AND(C341&lt;&gt;"",C341&lt;&gt;"All beds",COUNTIF(Beds!$B$6:$B$35,C341)=0),"Not on Beds",""))))</f>
        <v/>
      </c>
      <c r="G341" s="1">
        <f>IF(ISNUMBER(B341),INT(B341),0)</f>
        <v/>
      </c>
      <c r="H341">
        <f>IF(AND(G341&gt;0,D341="Water",OR(C341="",C341="All beds")),G341,0)</f>
        <v/>
      </c>
    </row>
    <row r="342">
      <c r="A342" s="1" t="n"/>
      <c r="B342" s="17" t="n"/>
      <c r="C342" s="18" t="n"/>
      <c r="D342" s="19" t="n"/>
      <c r="E342" s="21" t="n"/>
      <c r="F342" s="11">
        <f>IF(AND(B342="",C342="",D342=""),"",IF(NOT(ISNUMBER(B342)),"Needs a date",IF(D342="","Needs the job",IF(AND(C342&lt;&gt;"",C342&lt;&gt;"All beds",COUNTIF(Beds!$B$6:$B$35,C342)=0),"Not on Beds",""))))</f>
        <v/>
      </c>
      <c r="G342" s="1">
        <f>IF(ISNUMBER(B342),INT(B342),0)</f>
        <v/>
      </c>
      <c r="H342">
        <f>IF(AND(G342&gt;0,D342="Water",OR(C342="",C342="All beds")),G342,0)</f>
        <v/>
      </c>
    </row>
    <row r="343">
      <c r="A343" s="1" t="n"/>
      <c r="B343" s="17" t="n"/>
      <c r="C343" s="18" t="n"/>
      <c r="D343" s="19" t="n"/>
      <c r="E343" s="21" t="n"/>
      <c r="F343" s="11">
        <f>IF(AND(B343="",C343="",D343=""),"",IF(NOT(ISNUMBER(B343)),"Needs a date",IF(D343="","Needs the job",IF(AND(C343&lt;&gt;"",C343&lt;&gt;"All beds",COUNTIF(Beds!$B$6:$B$35,C343)=0),"Not on Beds",""))))</f>
        <v/>
      </c>
      <c r="G343" s="1">
        <f>IF(ISNUMBER(B343),INT(B343),0)</f>
        <v/>
      </c>
      <c r="H343">
        <f>IF(AND(G343&gt;0,D343="Water",OR(C343="",C343="All beds")),G343,0)</f>
        <v/>
      </c>
    </row>
    <row r="344">
      <c r="A344" s="1" t="n"/>
      <c r="B344" s="17" t="n"/>
      <c r="C344" s="18" t="n"/>
      <c r="D344" s="19" t="n"/>
      <c r="E344" s="21" t="n"/>
      <c r="F344" s="11">
        <f>IF(AND(B344="",C344="",D344=""),"",IF(NOT(ISNUMBER(B344)),"Needs a date",IF(D344="","Needs the job",IF(AND(C344&lt;&gt;"",C344&lt;&gt;"All beds",COUNTIF(Beds!$B$6:$B$35,C344)=0),"Not on Beds",""))))</f>
        <v/>
      </c>
      <c r="G344" s="1">
        <f>IF(ISNUMBER(B344),INT(B344),0)</f>
        <v/>
      </c>
      <c r="H344">
        <f>IF(AND(G344&gt;0,D344="Water",OR(C344="",C344="All beds")),G344,0)</f>
        <v/>
      </c>
    </row>
    <row r="345">
      <c r="A345" s="1" t="n"/>
      <c r="B345" s="17" t="n"/>
      <c r="C345" s="18" t="n"/>
      <c r="D345" s="19" t="n"/>
      <c r="E345" s="21" t="n"/>
      <c r="F345" s="11">
        <f>IF(AND(B345="",C345="",D345=""),"",IF(NOT(ISNUMBER(B345)),"Needs a date",IF(D345="","Needs the job",IF(AND(C345&lt;&gt;"",C345&lt;&gt;"All beds",COUNTIF(Beds!$B$6:$B$35,C345)=0),"Not on Beds",""))))</f>
        <v/>
      </c>
      <c r="G345" s="1">
        <f>IF(ISNUMBER(B345),INT(B345),0)</f>
        <v/>
      </c>
      <c r="H345">
        <f>IF(AND(G345&gt;0,D345="Water",OR(C345="",C345="All beds")),G345,0)</f>
        <v/>
      </c>
    </row>
    <row r="346">
      <c r="A346" s="1" t="n"/>
      <c r="B346" s="17" t="n"/>
      <c r="C346" s="18" t="n"/>
      <c r="D346" s="19" t="n"/>
      <c r="E346" s="21" t="n"/>
      <c r="F346" s="11">
        <f>IF(AND(B346="",C346="",D346=""),"",IF(NOT(ISNUMBER(B346)),"Needs a date",IF(D346="","Needs the job",IF(AND(C346&lt;&gt;"",C346&lt;&gt;"All beds",COUNTIF(Beds!$B$6:$B$35,C346)=0),"Not on Beds",""))))</f>
        <v/>
      </c>
      <c r="G346" s="1">
        <f>IF(ISNUMBER(B346),INT(B346),0)</f>
        <v/>
      </c>
      <c r="H346">
        <f>IF(AND(G346&gt;0,D346="Water",OR(C346="",C346="All beds")),G346,0)</f>
        <v/>
      </c>
    </row>
    <row r="347">
      <c r="A347" s="1" t="n"/>
      <c r="B347" s="17" t="n"/>
      <c r="C347" s="18" t="n"/>
      <c r="D347" s="19" t="n"/>
      <c r="E347" s="21" t="n"/>
      <c r="F347" s="11">
        <f>IF(AND(B347="",C347="",D347=""),"",IF(NOT(ISNUMBER(B347)),"Needs a date",IF(D347="","Needs the job",IF(AND(C347&lt;&gt;"",C347&lt;&gt;"All beds",COUNTIF(Beds!$B$6:$B$35,C347)=0),"Not on Beds",""))))</f>
        <v/>
      </c>
      <c r="G347" s="1">
        <f>IF(ISNUMBER(B347),INT(B347),0)</f>
        <v/>
      </c>
      <c r="H347">
        <f>IF(AND(G347&gt;0,D347="Water",OR(C347="",C347="All beds")),G347,0)</f>
        <v/>
      </c>
    </row>
    <row r="348">
      <c r="A348" s="1" t="n"/>
      <c r="B348" s="17" t="n"/>
      <c r="C348" s="18" t="n"/>
      <c r="D348" s="19" t="n"/>
      <c r="E348" s="21" t="n"/>
      <c r="F348" s="11">
        <f>IF(AND(B348="",C348="",D348=""),"",IF(NOT(ISNUMBER(B348)),"Needs a date",IF(D348="","Needs the job",IF(AND(C348&lt;&gt;"",C348&lt;&gt;"All beds",COUNTIF(Beds!$B$6:$B$35,C348)=0),"Not on Beds",""))))</f>
        <v/>
      </c>
      <c r="G348" s="1">
        <f>IF(ISNUMBER(B348),INT(B348),0)</f>
        <v/>
      </c>
      <c r="H348">
        <f>IF(AND(G348&gt;0,D348="Water",OR(C348="",C348="All beds")),G348,0)</f>
        <v/>
      </c>
    </row>
    <row r="349">
      <c r="A349" s="1" t="n"/>
      <c r="B349" s="17" t="n"/>
      <c r="C349" s="18" t="n"/>
      <c r="D349" s="19" t="n"/>
      <c r="E349" s="21" t="n"/>
      <c r="F349" s="11">
        <f>IF(AND(B349="",C349="",D349=""),"",IF(NOT(ISNUMBER(B349)),"Needs a date",IF(D349="","Needs the job",IF(AND(C349&lt;&gt;"",C349&lt;&gt;"All beds",COUNTIF(Beds!$B$6:$B$35,C349)=0),"Not on Beds",""))))</f>
        <v/>
      </c>
      <c r="G349" s="1">
        <f>IF(ISNUMBER(B349),INT(B349),0)</f>
        <v/>
      </c>
      <c r="H349">
        <f>IF(AND(G349&gt;0,D349="Water",OR(C349="",C349="All beds")),G349,0)</f>
        <v/>
      </c>
    </row>
    <row r="350">
      <c r="A350" s="1" t="n"/>
      <c r="B350" s="17" t="n"/>
      <c r="C350" s="18" t="n"/>
      <c r="D350" s="19" t="n"/>
      <c r="E350" s="21" t="n"/>
      <c r="F350" s="11">
        <f>IF(AND(B350="",C350="",D350=""),"",IF(NOT(ISNUMBER(B350)),"Needs a date",IF(D350="","Needs the job",IF(AND(C350&lt;&gt;"",C350&lt;&gt;"All beds",COUNTIF(Beds!$B$6:$B$35,C350)=0),"Not on Beds",""))))</f>
        <v/>
      </c>
      <c r="G350" s="1">
        <f>IF(ISNUMBER(B350),INT(B350),0)</f>
        <v/>
      </c>
      <c r="H350">
        <f>IF(AND(G350&gt;0,D350="Water",OR(C350="",C350="All beds")),G350,0)</f>
        <v/>
      </c>
    </row>
    <row r="351">
      <c r="A351" s="1" t="n"/>
      <c r="B351" s="17" t="n"/>
      <c r="C351" s="18" t="n"/>
      <c r="D351" s="19" t="n"/>
      <c r="E351" s="21" t="n"/>
      <c r="F351" s="11">
        <f>IF(AND(B351="",C351="",D351=""),"",IF(NOT(ISNUMBER(B351)),"Needs a date",IF(D351="","Needs the job",IF(AND(C351&lt;&gt;"",C351&lt;&gt;"All beds",COUNTIF(Beds!$B$6:$B$35,C351)=0),"Not on Beds",""))))</f>
        <v/>
      </c>
      <c r="G351" s="1">
        <f>IF(ISNUMBER(B351),INT(B351),0)</f>
        <v/>
      </c>
      <c r="H351">
        <f>IF(AND(G351&gt;0,D351="Water",OR(C351="",C351="All beds")),G351,0)</f>
        <v/>
      </c>
    </row>
    <row r="352">
      <c r="A352" s="1" t="n"/>
      <c r="B352" s="17" t="n"/>
      <c r="C352" s="18" t="n"/>
      <c r="D352" s="19" t="n"/>
      <c r="E352" s="21" t="n"/>
      <c r="F352" s="11">
        <f>IF(AND(B352="",C352="",D352=""),"",IF(NOT(ISNUMBER(B352)),"Needs a date",IF(D352="","Needs the job",IF(AND(C352&lt;&gt;"",C352&lt;&gt;"All beds",COUNTIF(Beds!$B$6:$B$35,C352)=0),"Not on Beds",""))))</f>
        <v/>
      </c>
      <c r="G352" s="1">
        <f>IF(ISNUMBER(B352),INT(B352),0)</f>
        <v/>
      </c>
      <c r="H352">
        <f>IF(AND(G352&gt;0,D352="Water",OR(C352="",C352="All beds")),G352,0)</f>
        <v/>
      </c>
    </row>
    <row r="353">
      <c r="A353" s="1" t="n"/>
      <c r="B353" s="17" t="n"/>
      <c r="C353" s="18" t="n"/>
      <c r="D353" s="19" t="n"/>
      <c r="E353" s="21" t="n"/>
      <c r="F353" s="11">
        <f>IF(AND(B353="",C353="",D353=""),"",IF(NOT(ISNUMBER(B353)),"Needs a date",IF(D353="","Needs the job",IF(AND(C353&lt;&gt;"",C353&lt;&gt;"All beds",COUNTIF(Beds!$B$6:$B$35,C353)=0),"Not on Beds",""))))</f>
        <v/>
      </c>
      <c r="G353" s="1">
        <f>IF(ISNUMBER(B353),INT(B353),0)</f>
        <v/>
      </c>
      <c r="H353">
        <f>IF(AND(G353&gt;0,D353="Water",OR(C353="",C353="All beds")),G353,0)</f>
        <v/>
      </c>
    </row>
    <row r="354">
      <c r="A354" s="1" t="n"/>
      <c r="B354" s="17" t="n"/>
      <c r="C354" s="18" t="n"/>
      <c r="D354" s="19" t="n"/>
      <c r="E354" s="21" t="n"/>
      <c r="F354" s="11">
        <f>IF(AND(B354="",C354="",D354=""),"",IF(NOT(ISNUMBER(B354)),"Needs a date",IF(D354="","Needs the job",IF(AND(C354&lt;&gt;"",C354&lt;&gt;"All beds",COUNTIF(Beds!$B$6:$B$35,C354)=0),"Not on Beds",""))))</f>
        <v/>
      </c>
      <c r="G354" s="1">
        <f>IF(ISNUMBER(B354),INT(B354),0)</f>
        <v/>
      </c>
      <c r="H354">
        <f>IF(AND(G354&gt;0,D354="Water",OR(C354="",C354="All beds")),G354,0)</f>
        <v/>
      </c>
    </row>
    <row r="355">
      <c r="A355" s="1" t="n"/>
      <c r="B355" s="17" t="n"/>
      <c r="C355" s="18" t="n"/>
      <c r="D355" s="19" t="n"/>
      <c r="E355" s="21" t="n"/>
      <c r="F355" s="11">
        <f>IF(AND(B355="",C355="",D355=""),"",IF(NOT(ISNUMBER(B355)),"Needs a date",IF(D355="","Needs the job",IF(AND(C355&lt;&gt;"",C355&lt;&gt;"All beds",COUNTIF(Beds!$B$6:$B$35,C355)=0),"Not on Beds",""))))</f>
        <v/>
      </c>
      <c r="G355" s="1">
        <f>IF(ISNUMBER(B355),INT(B355),0)</f>
        <v/>
      </c>
      <c r="H355">
        <f>IF(AND(G355&gt;0,D355="Water",OR(C355="",C355="All beds")),G355,0)</f>
        <v/>
      </c>
    </row>
    <row r="356">
      <c r="A356" s="1" t="n"/>
      <c r="B356" s="17" t="n"/>
      <c r="C356" s="18" t="n"/>
      <c r="D356" s="19" t="n"/>
      <c r="E356" s="21" t="n"/>
      <c r="F356" s="11">
        <f>IF(AND(B356="",C356="",D356=""),"",IF(NOT(ISNUMBER(B356)),"Needs a date",IF(D356="","Needs the job",IF(AND(C356&lt;&gt;"",C356&lt;&gt;"All beds",COUNTIF(Beds!$B$6:$B$35,C356)=0),"Not on Beds",""))))</f>
        <v/>
      </c>
      <c r="G356" s="1">
        <f>IF(ISNUMBER(B356),INT(B356),0)</f>
        <v/>
      </c>
      <c r="H356">
        <f>IF(AND(G356&gt;0,D356="Water",OR(C356="",C356="All beds")),G356,0)</f>
        <v/>
      </c>
    </row>
    <row r="357">
      <c r="A357" s="1" t="n"/>
      <c r="B357" s="17" t="n"/>
      <c r="C357" s="18" t="n"/>
      <c r="D357" s="19" t="n"/>
      <c r="E357" s="21" t="n"/>
      <c r="F357" s="11">
        <f>IF(AND(B357="",C357="",D357=""),"",IF(NOT(ISNUMBER(B357)),"Needs a date",IF(D357="","Needs the job",IF(AND(C357&lt;&gt;"",C357&lt;&gt;"All beds",COUNTIF(Beds!$B$6:$B$35,C357)=0),"Not on Beds",""))))</f>
        <v/>
      </c>
      <c r="G357" s="1">
        <f>IF(ISNUMBER(B357),INT(B357),0)</f>
        <v/>
      </c>
      <c r="H357">
        <f>IF(AND(G357&gt;0,D357="Water",OR(C357="",C357="All beds")),G357,0)</f>
        <v/>
      </c>
    </row>
    <row r="358">
      <c r="A358" s="1" t="n"/>
      <c r="B358" s="17" t="n"/>
      <c r="C358" s="18" t="n"/>
      <c r="D358" s="19" t="n"/>
      <c r="E358" s="21" t="n"/>
      <c r="F358" s="11">
        <f>IF(AND(B358="",C358="",D358=""),"",IF(NOT(ISNUMBER(B358)),"Needs a date",IF(D358="","Needs the job",IF(AND(C358&lt;&gt;"",C358&lt;&gt;"All beds",COUNTIF(Beds!$B$6:$B$35,C358)=0),"Not on Beds",""))))</f>
        <v/>
      </c>
      <c r="G358" s="1">
        <f>IF(ISNUMBER(B358),INT(B358),0)</f>
        <v/>
      </c>
      <c r="H358">
        <f>IF(AND(G358&gt;0,D358="Water",OR(C358="",C358="All beds")),G358,0)</f>
        <v/>
      </c>
    </row>
    <row r="359">
      <c r="A359" s="1" t="n"/>
      <c r="B359" s="17" t="n"/>
      <c r="C359" s="18" t="n"/>
      <c r="D359" s="19" t="n"/>
      <c r="E359" s="21" t="n"/>
      <c r="F359" s="11">
        <f>IF(AND(B359="",C359="",D359=""),"",IF(NOT(ISNUMBER(B359)),"Needs a date",IF(D359="","Needs the job",IF(AND(C359&lt;&gt;"",C359&lt;&gt;"All beds",COUNTIF(Beds!$B$6:$B$35,C359)=0),"Not on Beds",""))))</f>
        <v/>
      </c>
      <c r="G359" s="1">
        <f>IF(ISNUMBER(B359),INT(B359),0)</f>
        <v/>
      </c>
      <c r="H359">
        <f>IF(AND(G359&gt;0,D359="Water",OR(C359="",C359="All beds")),G359,0)</f>
        <v/>
      </c>
    </row>
    <row r="360">
      <c r="A360" s="1" t="n"/>
      <c r="B360" s="17" t="n"/>
      <c r="C360" s="18" t="n"/>
      <c r="D360" s="19" t="n"/>
      <c r="E360" s="21" t="n"/>
      <c r="F360" s="11">
        <f>IF(AND(B360="",C360="",D360=""),"",IF(NOT(ISNUMBER(B360)),"Needs a date",IF(D360="","Needs the job",IF(AND(C360&lt;&gt;"",C360&lt;&gt;"All beds",COUNTIF(Beds!$B$6:$B$35,C360)=0),"Not on Beds",""))))</f>
        <v/>
      </c>
      <c r="G360" s="1">
        <f>IF(ISNUMBER(B360),INT(B360),0)</f>
        <v/>
      </c>
      <c r="H360">
        <f>IF(AND(G360&gt;0,D360="Water",OR(C360="",C360="All beds")),G360,0)</f>
        <v/>
      </c>
    </row>
    <row r="361">
      <c r="A361" s="1" t="n"/>
      <c r="B361" s="17" t="n"/>
      <c r="C361" s="18" t="n"/>
      <c r="D361" s="19" t="n"/>
      <c r="E361" s="21" t="n"/>
      <c r="F361" s="11">
        <f>IF(AND(B361="",C361="",D361=""),"",IF(NOT(ISNUMBER(B361)),"Needs a date",IF(D361="","Needs the job",IF(AND(C361&lt;&gt;"",C361&lt;&gt;"All beds",COUNTIF(Beds!$B$6:$B$35,C361)=0),"Not on Beds",""))))</f>
        <v/>
      </c>
      <c r="G361" s="1">
        <f>IF(ISNUMBER(B361),INT(B361),0)</f>
        <v/>
      </c>
      <c r="H361">
        <f>IF(AND(G361&gt;0,D361="Water",OR(C361="",C361="All beds")),G361,0)</f>
        <v/>
      </c>
    </row>
    <row r="362">
      <c r="A362" s="1" t="n"/>
      <c r="B362" s="17" t="n"/>
      <c r="C362" s="18" t="n"/>
      <c r="D362" s="19" t="n"/>
      <c r="E362" s="21" t="n"/>
      <c r="F362" s="11">
        <f>IF(AND(B362="",C362="",D362=""),"",IF(NOT(ISNUMBER(B362)),"Needs a date",IF(D362="","Needs the job",IF(AND(C362&lt;&gt;"",C362&lt;&gt;"All beds",COUNTIF(Beds!$B$6:$B$35,C362)=0),"Not on Beds",""))))</f>
        <v/>
      </c>
      <c r="G362" s="1">
        <f>IF(ISNUMBER(B362),INT(B362),0)</f>
        <v/>
      </c>
      <c r="H362">
        <f>IF(AND(G362&gt;0,D362="Water",OR(C362="",C362="All beds")),G362,0)</f>
        <v/>
      </c>
    </row>
    <row r="363">
      <c r="A363" s="1" t="n"/>
      <c r="B363" s="17" t="n"/>
      <c r="C363" s="18" t="n"/>
      <c r="D363" s="19" t="n"/>
      <c r="E363" s="21" t="n"/>
      <c r="F363" s="11">
        <f>IF(AND(B363="",C363="",D363=""),"",IF(NOT(ISNUMBER(B363)),"Needs a date",IF(D363="","Needs the job",IF(AND(C363&lt;&gt;"",C363&lt;&gt;"All beds",COUNTIF(Beds!$B$6:$B$35,C363)=0),"Not on Beds",""))))</f>
        <v/>
      </c>
      <c r="G363" s="1">
        <f>IF(ISNUMBER(B363),INT(B363),0)</f>
        <v/>
      </c>
      <c r="H363">
        <f>IF(AND(G363&gt;0,D363="Water",OR(C363="",C363="All beds")),G363,0)</f>
        <v/>
      </c>
    </row>
    <row r="364">
      <c r="A364" s="1" t="n"/>
      <c r="B364" s="17" t="n"/>
      <c r="C364" s="18" t="n"/>
      <c r="D364" s="19" t="n"/>
      <c r="E364" s="21" t="n"/>
      <c r="F364" s="11">
        <f>IF(AND(B364="",C364="",D364=""),"",IF(NOT(ISNUMBER(B364)),"Needs a date",IF(D364="","Needs the job",IF(AND(C364&lt;&gt;"",C364&lt;&gt;"All beds",COUNTIF(Beds!$B$6:$B$35,C364)=0),"Not on Beds",""))))</f>
        <v/>
      </c>
      <c r="G364" s="1">
        <f>IF(ISNUMBER(B364),INT(B364),0)</f>
        <v/>
      </c>
      <c r="H364">
        <f>IF(AND(G364&gt;0,D364="Water",OR(C364="",C364="All beds")),G364,0)</f>
        <v/>
      </c>
    </row>
    <row r="365">
      <c r="A365" s="1" t="n"/>
      <c r="B365" s="17" t="n"/>
      <c r="C365" s="18" t="n"/>
      <c r="D365" s="19" t="n"/>
      <c r="E365" s="21" t="n"/>
      <c r="F365" s="11">
        <f>IF(AND(B365="",C365="",D365=""),"",IF(NOT(ISNUMBER(B365)),"Needs a date",IF(D365="","Needs the job",IF(AND(C365&lt;&gt;"",C365&lt;&gt;"All beds",COUNTIF(Beds!$B$6:$B$35,C365)=0),"Not on Beds",""))))</f>
        <v/>
      </c>
      <c r="G365" s="1">
        <f>IF(ISNUMBER(B365),INT(B365),0)</f>
        <v/>
      </c>
      <c r="H365">
        <f>IF(AND(G365&gt;0,D365="Water",OR(C365="",C365="All beds")),G365,0)</f>
        <v/>
      </c>
    </row>
    <row r="366">
      <c r="A366" s="1" t="n"/>
      <c r="B366" s="17" t="n"/>
      <c r="C366" s="18" t="n"/>
      <c r="D366" s="19" t="n"/>
      <c r="E366" s="21" t="n"/>
      <c r="F366" s="11">
        <f>IF(AND(B366="",C366="",D366=""),"",IF(NOT(ISNUMBER(B366)),"Needs a date",IF(D366="","Needs the job",IF(AND(C366&lt;&gt;"",C366&lt;&gt;"All beds",COUNTIF(Beds!$B$6:$B$35,C366)=0),"Not on Beds",""))))</f>
        <v/>
      </c>
      <c r="G366" s="1">
        <f>IF(ISNUMBER(B366),INT(B366),0)</f>
        <v/>
      </c>
      <c r="H366">
        <f>IF(AND(G366&gt;0,D366="Water",OR(C366="",C366="All beds")),G366,0)</f>
        <v/>
      </c>
    </row>
    <row r="367">
      <c r="A367" s="1" t="n"/>
      <c r="B367" s="17" t="n"/>
      <c r="C367" s="18" t="n"/>
      <c r="D367" s="19" t="n"/>
      <c r="E367" s="21" t="n"/>
      <c r="F367" s="11">
        <f>IF(AND(B367="",C367="",D367=""),"",IF(NOT(ISNUMBER(B367)),"Needs a date",IF(D367="","Needs the job",IF(AND(C367&lt;&gt;"",C367&lt;&gt;"All beds",COUNTIF(Beds!$B$6:$B$35,C367)=0),"Not on Beds",""))))</f>
        <v/>
      </c>
      <c r="G367" s="1">
        <f>IF(ISNUMBER(B367),INT(B367),0)</f>
        <v/>
      </c>
      <c r="H367">
        <f>IF(AND(G367&gt;0,D367="Water",OR(C367="",C367="All beds")),G367,0)</f>
        <v/>
      </c>
    </row>
    <row r="368">
      <c r="A368" s="1" t="n"/>
      <c r="B368" s="17" t="n"/>
      <c r="C368" s="18" t="n"/>
      <c r="D368" s="19" t="n"/>
      <c r="E368" s="21" t="n"/>
      <c r="F368" s="11">
        <f>IF(AND(B368="",C368="",D368=""),"",IF(NOT(ISNUMBER(B368)),"Needs a date",IF(D368="","Needs the job",IF(AND(C368&lt;&gt;"",C368&lt;&gt;"All beds",COUNTIF(Beds!$B$6:$B$35,C368)=0),"Not on Beds",""))))</f>
        <v/>
      </c>
      <c r="G368" s="1">
        <f>IF(ISNUMBER(B368),INT(B368),0)</f>
        <v/>
      </c>
      <c r="H368">
        <f>IF(AND(G368&gt;0,D368="Water",OR(C368="",C368="All beds")),G368,0)</f>
        <v/>
      </c>
    </row>
    <row r="369">
      <c r="A369" s="1" t="n"/>
      <c r="B369" s="17" t="n"/>
      <c r="C369" s="18" t="n"/>
      <c r="D369" s="19" t="n"/>
      <c r="E369" s="21" t="n"/>
      <c r="F369" s="11">
        <f>IF(AND(B369="",C369="",D369=""),"",IF(NOT(ISNUMBER(B369)),"Needs a date",IF(D369="","Needs the job",IF(AND(C369&lt;&gt;"",C369&lt;&gt;"All beds",COUNTIF(Beds!$B$6:$B$35,C369)=0),"Not on Beds",""))))</f>
        <v/>
      </c>
      <c r="G369" s="1">
        <f>IF(ISNUMBER(B369),INT(B369),0)</f>
        <v/>
      </c>
      <c r="H369">
        <f>IF(AND(G369&gt;0,D369="Water",OR(C369="",C369="All beds")),G369,0)</f>
        <v/>
      </c>
    </row>
    <row r="370">
      <c r="A370" s="1" t="n"/>
      <c r="B370" s="17" t="n"/>
      <c r="C370" s="18" t="n"/>
      <c r="D370" s="19" t="n"/>
      <c r="E370" s="21" t="n"/>
      <c r="F370" s="11">
        <f>IF(AND(B370="",C370="",D370=""),"",IF(NOT(ISNUMBER(B370)),"Needs a date",IF(D370="","Needs the job",IF(AND(C370&lt;&gt;"",C370&lt;&gt;"All beds",COUNTIF(Beds!$B$6:$B$35,C370)=0),"Not on Beds",""))))</f>
        <v/>
      </c>
      <c r="G370" s="1">
        <f>IF(ISNUMBER(B370),INT(B370),0)</f>
        <v/>
      </c>
      <c r="H370">
        <f>IF(AND(G370&gt;0,D370="Water",OR(C370="",C370="All beds")),G370,0)</f>
        <v/>
      </c>
    </row>
    <row r="371">
      <c r="A371" s="1" t="n"/>
      <c r="B371" s="17" t="n"/>
      <c r="C371" s="18" t="n"/>
      <c r="D371" s="19" t="n"/>
      <c r="E371" s="21" t="n"/>
      <c r="F371" s="11">
        <f>IF(AND(B371="",C371="",D371=""),"",IF(NOT(ISNUMBER(B371)),"Needs a date",IF(D371="","Needs the job",IF(AND(C371&lt;&gt;"",C371&lt;&gt;"All beds",COUNTIF(Beds!$B$6:$B$35,C371)=0),"Not on Beds",""))))</f>
        <v/>
      </c>
      <c r="G371" s="1">
        <f>IF(ISNUMBER(B371),INT(B371),0)</f>
        <v/>
      </c>
      <c r="H371">
        <f>IF(AND(G371&gt;0,D371="Water",OR(C371="",C371="All beds")),G371,0)</f>
        <v/>
      </c>
    </row>
    <row r="372">
      <c r="A372" s="1" t="n"/>
      <c r="B372" s="17" t="n"/>
      <c r="C372" s="18" t="n"/>
      <c r="D372" s="19" t="n"/>
      <c r="E372" s="21" t="n"/>
      <c r="F372" s="11">
        <f>IF(AND(B372="",C372="",D372=""),"",IF(NOT(ISNUMBER(B372)),"Needs a date",IF(D372="","Needs the job",IF(AND(C372&lt;&gt;"",C372&lt;&gt;"All beds",COUNTIF(Beds!$B$6:$B$35,C372)=0),"Not on Beds",""))))</f>
        <v/>
      </c>
      <c r="G372" s="1">
        <f>IF(ISNUMBER(B372),INT(B372),0)</f>
        <v/>
      </c>
      <c r="H372">
        <f>IF(AND(G372&gt;0,D372="Water",OR(C372="",C372="All beds")),G372,0)</f>
        <v/>
      </c>
    </row>
    <row r="373">
      <c r="A373" s="1" t="n"/>
      <c r="B373" s="17" t="n"/>
      <c r="C373" s="18" t="n"/>
      <c r="D373" s="19" t="n"/>
      <c r="E373" s="21" t="n"/>
      <c r="F373" s="11">
        <f>IF(AND(B373="",C373="",D373=""),"",IF(NOT(ISNUMBER(B373)),"Needs a date",IF(D373="","Needs the job",IF(AND(C373&lt;&gt;"",C373&lt;&gt;"All beds",COUNTIF(Beds!$B$6:$B$35,C373)=0),"Not on Beds",""))))</f>
        <v/>
      </c>
      <c r="G373" s="1">
        <f>IF(ISNUMBER(B373),INT(B373),0)</f>
        <v/>
      </c>
      <c r="H373">
        <f>IF(AND(G373&gt;0,D373="Water",OR(C373="",C373="All beds")),G373,0)</f>
        <v/>
      </c>
    </row>
    <row r="374">
      <c r="A374" s="1" t="n"/>
      <c r="B374" s="17" t="n"/>
      <c r="C374" s="18" t="n"/>
      <c r="D374" s="19" t="n"/>
      <c r="E374" s="21" t="n"/>
      <c r="F374" s="11">
        <f>IF(AND(B374="",C374="",D374=""),"",IF(NOT(ISNUMBER(B374)),"Needs a date",IF(D374="","Needs the job",IF(AND(C374&lt;&gt;"",C374&lt;&gt;"All beds",COUNTIF(Beds!$B$6:$B$35,C374)=0),"Not on Beds",""))))</f>
        <v/>
      </c>
      <c r="G374" s="1">
        <f>IF(ISNUMBER(B374),INT(B374),0)</f>
        <v/>
      </c>
      <c r="H374">
        <f>IF(AND(G374&gt;0,D374="Water",OR(C374="",C374="All beds")),G374,0)</f>
        <v/>
      </c>
    </row>
    <row r="375">
      <c r="A375" s="1" t="n"/>
      <c r="B375" s="17" t="n"/>
      <c r="C375" s="18" t="n"/>
      <c r="D375" s="19" t="n"/>
      <c r="E375" s="21" t="n"/>
      <c r="F375" s="11">
        <f>IF(AND(B375="",C375="",D375=""),"",IF(NOT(ISNUMBER(B375)),"Needs a date",IF(D375="","Needs the job",IF(AND(C375&lt;&gt;"",C375&lt;&gt;"All beds",COUNTIF(Beds!$B$6:$B$35,C375)=0),"Not on Beds",""))))</f>
        <v/>
      </c>
      <c r="G375" s="1">
        <f>IF(ISNUMBER(B375),INT(B375),0)</f>
        <v/>
      </c>
      <c r="H375">
        <f>IF(AND(G375&gt;0,D375="Water",OR(C375="",C375="All beds")),G375,0)</f>
        <v/>
      </c>
    </row>
    <row r="376">
      <c r="A376" s="1" t="n"/>
      <c r="B376" s="17" t="n"/>
      <c r="C376" s="18" t="n"/>
      <c r="D376" s="19" t="n"/>
      <c r="E376" s="21" t="n"/>
      <c r="F376" s="11">
        <f>IF(AND(B376="",C376="",D376=""),"",IF(NOT(ISNUMBER(B376)),"Needs a date",IF(D376="","Needs the job",IF(AND(C376&lt;&gt;"",C376&lt;&gt;"All beds",COUNTIF(Beds!$B$6:$B$35,C376)=0),"Not on Beds",""))))</f>
        <v/>
      </c>
      <c r="G376" s="1">
        <f>IF(ISNUMBER(B376),INT(B376),0)</f>
        <v/>
      </c>
      <c r="H376">
        <f>IF(AND(G376&gt;0,D376="Water",OR(C376="",C376="All beds")),G376,0)</f>
        <v/>
      </c>
    </row>
    <row r="377">
      <c r="A377" s="1" t="n"/>
      <c r="B377" s="17" t="n"/>
      <c r="C377" s="18" t="n"/>
      <c r="D377" s="19" t="n"/>
      <c r="E377" s="21" t="n"/>
      <c r="F377" s="11">
        <f>IF(AND(B377="",C377="",D377=""),"",IF(NOT(ISNUMBER(B377)),"Needs a date",IF(D377="","Needs the job",IF(AND(C377&lt;&gt;"",C377&lt;&gt;"All beds",COUNTIF(Beds!$B$6:$B$35,C377)=0),"Not on Beds",""))))</f>
        <v/>
      </c>
      <c r="G377" s="1">
        <f>IF(ISNUMBER(B377),INT(B377),0)</f>
        <v/>
      </c>
      <c r="H377">
        <f>IF(AND(G377&gt;0,D377="Water",OR(C377="",C377="All beds")),G377,0)</f>
        <v/>
      </c>
    </row>
    <row r="378">
      <c r="A378" s="1" t="n"/>
      <c r="B378" s="17" t="n"/>
      <c r="C378" s="18" t="n"/>
      <c r="D378" s="19" t="n"/>
      <c r="E378" s="21" t="n"/>
      <c r="F378" s="11">
        <f>IF(AND(B378="",C378="",D378=""),"",IF(NOT(ISNUMBER(B378)),"Needs a date",IF(D378="","Needs the job",IF(AND(C378&lt;&gt;"",C378&lt;&gt;"All beds",COUNTIF(Beds!$B$6:$B$35,C378)=0),"Not on Beds",""))))</f>
        <v/>
      </c>
      <c r="G378" s="1">
        <f>IF(ISNUMBER(B378),INT(B378),0)</f>
        <v/>
      </c>
      <c r="H378">
        <f>IF(AND(G378&gt;0,D378="Water",OR(C378="",C378="All beds")),G378,0)</f>
        <v/>
      </c>
    </row>
    <row r="379">
      <c r="A379" s="1" t="n"/>
      <c r="B379" s="17" t="n"/>
      <c r="C379" s="18" t="n"/>
      <c r="D379" s="19" t="n"/>
      <c r="E379" s="21" t="n"/>
      <c r="F379" s="11">
        <f>IF(AND(B379="",C379="",D379=""),"",IF(NOT(ISNUMBER(B379)),"Needs a date",IF(D379="","Needs the job",IF(AND(C379&lt;&gt;"",C379&lt;&gt;"All beds",COUNTIF(Beds!$B$6:$B$35,C379)=0),"Not on Beds",""))))</f>
        <v/>
      </c>
      <c r="G379" s="1">
        <f>IF(ISNUMBER(B379),INT(B379),0)</f>
        <v/>
      </c>
      <c r="H379">
        <f>IF(AND(G379&gt;0,D379="Water",OR(C379="",C379="All beds")),G379,0)</f>
        <v/>
      </c>
    </row>
    <row r="380">
      <c r="A380" s="1" t="n"/>
      <c r="B380" s="17" t="n"/>
      <c r="C380" s="18" t="n"/>
      <c r="D380" s="19" t="n"/>
      <c r="E380" s="21" t="n"/>
      <c r="F380" s="11">
        <f>IF(AND(B380="",C380="",D380=""),"",IF(NOT(ISNUMBER(B380)),"Needs a date",IF(D380="","Needs the job",IF(AND(C380&lt;&gt;"",C380&lt;&gt;"All beds",COUNTIF(Beds!$B$6:$B$35,C380)=0),"Not on Beds",""))))</f>
        <v/>
      </c>
      <c r="G380" s="1">
        <f>IF(ISNUMBER(B380),INT(B380),0)</f>
        <v/>
      </c>
      <c r="H380">
        <f>IF(AND(G380&gt;0,D380="Water",OR(C380="",C380="All beds")),G380,0)</f>
        <v/>
      </c>
    </row>
    <row r="381">
      <c r="A381" s="1" t="n"/>
      <c r="B381" s="17" t="n"/>
      <c r="C381" s="18" t="n"/>
      <c r="D381" s="19" t="n"/>
      <c r="E381" s="21" t="n"/>
      <c r="F381" s="11">
        <f>IF(AND(B381="",C381="",D381=""),"",IF(NOT(ISNUMBER(B381)),"Needs a date",IF(D381="","Needs the job",IF(AND(C381&lt;&gt;"",C381&lt;&gt;"All beds",COUNTIF(Beds!$B$6:$B$35,C381)=0),"Not on Beds",""))))</f>
        <v/>
      </c>
      <c r="G381" s="1">
        <f>IF(ISNUMBER(B381),INT(B381),0)</f>
        <v/>
      </c>
      <c r="H381">
        <f>IF(AND(G381&gt;0,D381="Water",OR(C381="",C381="All beds")),G381,0)</f>
        <v/>
      </c>
    </row>
    <row r="382">
      <c r="A382" s="1" t="n"/>
      <c r="B382" s="17" t="n"/>
      <c r="C382" s="18" t="n"/>
      <c r="D382" s="19" t="n"/>
      <c r="E382" s="21" t="n"/>
      <c r="F382" s="11">
        <f>IF(AND(B382="",C382="",D382=""),"",IF(NOT(ISNUMBER(B382)),"Needs a date",IF(D382="","Needs the job",IF(AND(C382&lt;&gt;"",C382&lt;&gt;"All beds",COUNTIF(Beds!$B$6:$B$35,C382)=0),"Not on Beds",""))))</f>
        <v/>
      </c>
      <c r="G382" s="1">
        <f>IF(ISNUMBER(B382),INT(B382),0)</f>
        <v/>
      </c>
      <c r="H382">
        <f>IF(AND(G382&gt;0,D382="Water",OR(C382="",C382="All beds")),G382,0)</f>
        <v/>
      </c>
    </row>
    <row r="383">
      <c r="A383" s="1" t="n"/>
      <c r="B383" s="17" t="n"/>
      <c r="C383" s="18" t="n"/>
      <c r="D383" s="19" t="n"/>
      <c r="E383" s="21" t="n"/>
      <c r="F383" s="11">
        <f>IF(AND(B383="",C383="",D383=""),"",IF(NOT(ISNUMBER(B383)),"Needs a date",IF(D383="","Needs the job",IF(AND(C383&lt;&gt;"",C383&lt;&gt;"All beds",COUNTIF(Beds!$B$6:$B$35,C383)=0),"Not on Beds",""))))</f>
        <v/>
      </c>
      <c r="G383" s="1">
        <f>IF(ISNUMBER(B383),INT(B383),0)</f>
        <v/>
      </c>
      <c r="H383">
        <f>IF(AND(G383&gt;0,D383="Water",OR(C383="",C383="All beds")),G383,0)</f>
        <v/>
      </c>
    </row>
    <row r="384">
      <c r="A384" s="1" t="n"/>
      <c r="B384" s="17" t="n"/>
      <c r="C384" s="18" t="n"/>
      <c r="D384" s="19" t="n"/>
      <c r="E384" s="21" t="n"/>
      <c r="F384" s="11">
        <f>IF(AND(B384="",C384="",D384=""),"",IF(NOT(ISNUMBER(B384)),"Needs a date",IF(D384="","Needs the job",IF(AND(C384&lt;&gt;"",C384&lt;&gt;"All beds",COUNTIF(Beds!$B$6:$B$35,C384)=0),"Not on Beds",""))))</f>
        <v/>
      </c>
      <c r="G384" s="1">
        <f>IF(ISNUMBER(B384),INT(B384),0)</f>
        <v/>
      </c>
      <c r="H384">
        <f>IF(AND(G384&gt;0,D384="Water",OR(C384="",C384="All beds")),G384,0)</f>
        <v/>
      </c>
    </row>
    <row r="385">
      <c r="A385" s="1" t="n"/>
      <c r="B385" s="17" t="n"/>
      <c r="C385" s="18" t="n"/>
      <c r="D385" s="19" t="n"/>
      <c r="E385" s="21" t="n"/>
      <c r="F385" s="11">
        <f>IF(AND(B385="",C385="",D385=""),"",IF(NOT(ISNUMBER(B385)),"Needs a date",IF(D385="","Needs the job",IF(AND(C385&lt;&gt;"",C385&lt;&gt;"All beds",COUNTIF(Beds!$B$6:$B$35,C385)=0),"Not on Beds",""))))</f>
        <v/>
      </c>
      <c r="G385" s="1">
        <f>IF(ISNUMBER(B385),INT(B385),0)</f>
        <v/>
      </c>
      <c r="H385">
        <f>IF(AND(G385&gt;0,D385="Water",OR(C385="",C385="All beds")),G385,0)</f>
        <v/>
      </c>
    </row>
    <row r="386">
      <c r="A386" s="1" t="n"/>
      <c r="B386" s="17" t="n"/>
      <c r="C386" s="18" t="n"/>
      <c r="D386" s="19" t="n"/>
      <c r="E386" s="21" t="n"/>
      <c r="F386" s="11">
        <f>IF(AND(B386="",C386="",D386=""),"",IF(NOT(ISNUMBER(B386)),"Needs a date",IF(D386="","Needs the job",IF(AND(C386&lt;&gt;"",C386&lt;&gt;"All beds",COUNTIF(Beds!$B$6:$B$35,C386)=0),"Not on Beds",""))))</f>
        <v/>
      </c>
      <c r="G386" s="1">
        <f>IF(ISNUMBER(B386),INT(B386),0)</f>
        <v/>
      </c>
      <c r="H386">
        <f>IF(AND(G386&gt;0,D386="Water",OR(C386="",C386="All beds")),G386,0)</f>
        <v/>
      </c>
    </row>
    <row r="387">
      <c r="A387" s="1" t="n"/>
      <c r="B387" s="17" t="n"/>
      <c r="C387" s="18" t="n"/>
      <c r="D387" s="19" t="n"/>
      <c r="E387" s="21" t="n"/>
      <c r="F387" s="11">
        <f>IF(AND(B387="",C387="",D387=""),"",IF(NOT(ISNUMBER(B387)),"Needs a date",IF(D387="","Needs the job",IF(AND(C387&lt;&gt;"",C387&lt;&gt;"All beds",COUNTIF(Beds!$B$6:$B$35,C387)=0),"Not on Beds",""))))</f>
        <v/>
      </c>
      <c r="G387" s="1">
        <f>IF(ISNUMBER(B387),INT(B387),0)</f>
        <v/>
      </c>
      <c r="H387">
        <f>IF(AND(G387&gt;0,D387="Water",OR(C387="",C387="All beds")),G387,0)</f>
        <v/>
      </c>
    </row>
    <row r="388">
      <c r="A388" s="1" t="n"/>
      <c r="B388" s="17" t="n"/>
      <c r="C388" s="18" t="n"/>
      <c r="D388" s="19" t="n"/>
      <c r="E388" s="21" t="n"/>
      <c r="F388" s="11">
        <f>IF(AND(B388="",C388="",D388=""),"",IF(NOT(ISNUMBER(B388)),"Needs a date",IF(D388="","Needs the job",IF(AND(C388&lt;&gt;"",C388&lt;&gt;"All beds",COUNTIF(Beds!$B$6:$B$35,C388)=0),"Not on Beds",""))))</f>
        <v/>
      </c>
      <c r="G388" s="1">
        <f>IF(ISNUMBER(B388),INT(B388),0)</f>
        <v/>
      </c>
      <c r="H388">
        <f>IF(AND(G388&gt;0,D388="Water",OR(C388="",C388="All beds")),G388,0)</f>
        <v/>
      </c>
    </row>
    <row r="389">
      <c r="A389" s="1" t="n"/>
      <c r="B389" s="17" t="n"/>
      <c r="C389" s="18" t="n"/>
      <c r="D389" s="19" t="n"/>
      <c r="E389" s="21" t="n"/>
      <c r="F389" s="11">
        <f>IF(AND(B389="",C389="",D389=""),"",IF(NOT(ISNUMBER(B389)),"Needs a date",IF(D389="","Needs the job",IF(AND(C389&lt;&gt;"",C389&lt;&gt;"All beds",COUNTIF(Beds!$B$6:$B$35,C389)=0),"Not on Beds",""))))</f>
        <v/>
      </c>
      <c r="G389" s="1">
        <f>IF(ISNUMBER(B389),INT(B389),0)</f>
        <v/>
      </c>
      <c r="H389">
        <f>IF(AND(G389&gt;0,D389="Water",OR(C389="",C389="All beds")),G389,0)</f>
        <v/>
      </c>
    </row>
    <row r="390">
      <c r="A390" s="1" t="n"/>
      <c r="B390" s="17" t="n"/>
      <c r="C390" s="18" t="n"/>
      <c r="D390" s="19" t="n"/>
      <c r="E390" s="21" t="n"/>
      <c r="F390" s="11">
        <f>IF(AND(B390="",C390="",D390=""),"",IF(NOT(ISNUMBER(B390)),"Needs a date",IF(D390="","Needs the job",IF(AND(C390&lt;&gt;"",C390&lt;&gt;"All beds",COUNTIF(Beds!$B$6:$B$35,C390)=0),"Not on Beds",""))))</f>
        <v/>
      </c>
      <c r="G390" s="1">
        <f>IF(ISNUMBER(B390),INT(B390),0)</f>
        <v/>
      </c>
      <c r="H390">
        <f>IF(AND(G390&gt;0,D390="Water",OR(C390="",C390="All beds")),G390,0)</f>
        <v/>
      </c>
    </row>
    <row r="391">
      <c r="A391" s="1" t="n"/>
      <c r="B391" s="17" t="n"/>
      <c r="C391" s="18" t="n"/>
      <c r="D391" s="19" t="n"/>
      <c r="E391" s="21" t="n"/>
      <c r="F391" s="11">
        <f>IF(AND(B391="",C391="",D391=""),"",IF(NOT(ISNUMBER(B391)),"Needs a date",IF(D391="","Needs the job",IF(AND(C391&lt;&gt;"",C391&lt;&gt;"All beds",COUNTIF(Beds!$B$6:$B$35,C391)=0),"Not on Beds",""))))</f>
        <v/>
      </c>
      <c r="G391" s="1">
        <f>IF(ISNUMBER(B391),INT(B391),0)</f>
        <v/>
      </c>
      <c r="H391">
        <f>IF(AND(G391&gt;0,D391="Water",OR(C391="",C391="All beds")),G391,0)</f>
        <v/>
      </c>
    </row>
    <row r="392">
      <c r="A392" s="1" t="n"/>
      <c r="B392" s="17" t="n"/>
      <c r="C392" s="18" t="n"/>
      <c r="D392" s="19" t="n"/>
      <c r="E392" s="21" t="n"/>
      <c r="F392" s="11">
        <f>IF(AND(B392="",C392="",D392=""),"",IF(NOT(ISNUMBER(B392)),"Needs a date",IF(D392="","Needs the job",IF(AND(C392&lt;&gt;"",C392&lt;&gt;"All beds",COUNTIF(Beds!$B$6:$B$35,C392)=0),"Not on Beds",""))))</f>
        <v/>
      </c>
      <c r="G392" s="1">
        <f>IF(ISNUMBER(B392),INT(B392),0)</f>
        <v/>
      </c>
      <c r="H392">
        <f>IF(AND(G392&gt;0,D392="Water",OR(C392="",C392="All beds")),G392,0)</f>
        <v/>
      </c>
    </row>
    <row r="393">
      <c r="A393" s="1" t="n"/>
      <c r="B393" s="17" t="n"/>
      <c r="C393" s="18" t="n"/>
      <c r="D393" s="19" t="n"/>
      <c r="E393" s="21" t="n"/>
      <c r="F393" s="11">
        <f>IF(AND(B393="",C393="",D393=""),"",IF(NOT(ISNUMBER(B393)),"Needs a date",IF(D393="","Needs the job",IF(AND(C393&lt;&gt;"",C393&lt;&gt;"All beds",COUNTIF(Beds!$B$6:$B$35,C393)=0),"Not on Beds",""))))</f>
        <v/>
      </c>
      <c r="G393" s="1">
        <f>IF(ISNUMBER(B393),INT(B393),0)</f>
        <v/>
      </c>
      <c r="H393">
        <f>IF(AND(G393&gt;0,D393="Water",OR(C393="",C393="All beds")),G393,0)</f>
        <v/>
      </c>
    </row>
    <row r="394">
      <c r="A394" s="1" t="n"/>
      <c r="B394" s="17" t="n"/>
      <c r="C394" s="18" t="n"/>
      <c r="D394" s="19" t="n"/>
      <c r="E394" s="21" t="n"/>
      <c r="F394" s="11">
        <f>IF(AND(B394="",C394="",D394=""),"",IF(NOT(ISNUMBER(B394)),"Needs a date",IF(D394="","Needs the job",IF(AND(C394&lt;&gt;"",C394&lt;&gt;"All beds",COUNTIF(Beds!$B$6:$B$35,C394)=0),"Not on Beds",""))))</f>
        <v/>
      </c>
      <c r="G394" s="1">
        <f>IF(ISNUMBER(B394),INT(B394),0)</f>
        <v/>
      </c>
      <c r="H394">
        <f>IF(AND(G394&gt;0,D394="Water",OR(C394="",C394="All beds")),G394,0)</f>
        <v/>
      </c>
    </row>
    <row r="395">
      <c r="A395" s="1" t="n"/>
      <c r="B395" s="17" t="n"/>
      <c r="C395" s="18" t="n"/>
      <c r="D395" s="19" t="n"/>
      <c r="E395" s="21" t="n"/>
      <c r="F395" s="11">
        <f>IF(AND(B395="",C395="",D395=""),"",IF(NOT(ISNUMBER(B395)),"Needs a date",IF(D395="","Needs the job",IF(AND(C395&lt;&gt;"",C395&lt;&gt;"All beds",COUNTIF(Beds!$B$6:$B$35,C395)=0),"Not on Beds",""))))</f>
        <v/>
      </c>
      <c r="G395" s="1">
        <f>IF(ISNUMBER(B395),INT(B395),0)</f>
        <v/>
      </c>
      <c r="H395">
        <f>IF(AND(G395&gt;0,D395="Water",OR(C395="",C395="All beds")),G395,0)</f>
        <v/>
      </c>
    </row>
    <row r="396">
      <c r="A396" s="1" t="n"/>
      <c r="B396" s="17" t="n"/>
      <c r="C396" s="18" t="n"/>
      <c r="D396" s="19" t="n"/>
      <c r="E396" s="21" t="n"/>
      <c r="F396" s="11">
        <f>IF(AND(B396="",C396="",D396=""),"",IF(NOT(ISNUMBER(B396)),"Needs a date",IF(D396="","Needs the job",IF(AND(C396&lt;&gt;"",C396&lt;&gt;"All beds",COUNTIF(Beds!$B$6:$B$35,C396)=0),"Not on Beds",""))))</f>
        <v/>
      </c>
      <c r="G396" s="1">
        <f>IF(ISNUMBER(B396),INT(B396),0)</f>
        <v/>
      </c>
      <c r="H396">
        <f>IF(AND(G396&gt;0,D396="Water",OR(C396="",C396="All beds")),G396,0)</f>
        <v/>
      </c>
    </row>
    <row r="397">
      <c r="A397" s="1" t="n"/>
      <c r="B397" s="17" t="n"/>
      <c r="C397" s="18" t="n"/>
      <c r="D397" s="19" t="n"/>
      <c r="E397" s="21" t="n"/>
      <c r="F397" s="11">
        <f>IF(AND(B397="",C397="",D397=""),"",IF(NOT(ISNUMBER(B397)),"Needs a date",IF(D397="","Needs the job",IF(AND(C397&lt;&gt;"",C397&lt;&gt;"All beds",COUNTIF(Beds!$B$6:$B$35,C397)=0),"Not on Beds",""))))</f>
        <v/>
      </c>
      <c r="G397" s="1">
        <f>IF(ISNUMBER(B397),INT(B397),0)</f>
        <v/>
      </c>
      <c r="H397">
        <f>IF(AND(G397&gt;0,D397="Water",OR(C397="",C397="All beds")),G397,0)</f>
        <v/>
      </c>
    </row>
    <row r="398">
      <c r="A398" s="1" t="n"/>
      <c r="B398" s="17" t="n"/>
      <c r="C398" s="18" t="n"/>
      <c r="D398" s="19" t="n"/>
      <c r="E398" s="21" t="n"/>
      <c r="F398" s="11">
        <f>IF(AND(B398="",C398="",D398=""),"",IF(NOT(ISNUMBER(B398)),"Needs a date",IF(D398="","Needs the job",IF(AND(C398&lt;&gt;"",C398&lt;&gt;"All beds",COUNTIF(Beds!$B$6:$B$35,C398)=0),"Not on Beds",""))))</f>
        <v/>
      </c>
      <c r="G398" s="1">
        <f>IF(ISNUMBER(B398),INT(B398),0)</f>
        <v/>
      </c>
      <c r="H398">
        <f>IF(AND(G398&gt;0,D398="Water",OR(C398="",C398="All beds")),G398,0)</f>
        <v/>
      </c>
    </row>
    <row r="399">
      <c r="A399" s="1" t="n"/>
      <c r="B399" s="17" t="n"/>
      <c r="C399" s="18" t="n"/>
      <c r="D399" s="19" t="n"/>
      <c r="E399" s="21" t="n"/>
      <c r="F399" s="11">
        <f>IF(AND(B399="",C399="",D399=""),"",IF(NOT(ISNUMBER(B399)),"Needs a date",IF(D399="","Needs the job",IF(AND(C399&lt;&gt;"",C399&lt;&gt;"All beds",COUNTIF(Beds!$B$6:$B$35,C399)=0),"Not on Beds",""))))</f>
        <v/>
      </c>
      <c r="G399" s="1">
        <f>IF(ISNUMBER(B399),INT(B399),0)</f>
        <v/>
      </c>
      <c r="H399">
        <f>IF(AND(G399&gt;0,D399="Water",OR(C399="",C399="All beds")),G399,0)</f>
        <v/>
      </c>
    </row>
    <row r="400">
      <c r="A400" s="1" t="n"/>
      <c r="B400" s="17" t="n"/>
      <c r="C400" s="18" t="n"/>
      <c r="D400" s="19" t="n"/>
      <c r="E400" s="21" t="n"/>
      <c r="F400" s="11">
        <f>IF(AND(B400="",C400="",D400=""),"",IF(NOT(ISNUMBER(B400)),"Needs a date",IF(D400="","Needs the job",IF(AND(C400&lt;&gt;"",C400&lt;&gt;"All beds",COUNTIF(Beds!$B$6:$B$35,C400)=0),"Not on Beds",""))))</f>
        <v/>
      </c>
      <c r="G400" s="1">
        <f>IF(ISNUMBER(B400),INT(B400),0)</f>
        <v/>
      </c>
      <c r="H400">
        <f>IF(AND(G400&gt;0,D400="Water",OR(C400="",C400="All beds")),G400,0)</f>
        <v/>
      </c>
    </row>
    <row r="401">
      <c r="A401" s="1" t="n"/>
      <c r="B401" s="17" t="n"/>
      <c r="C401" s="18" t="n"/>
      <c r="D401" s="19" t="n"/>
      <c r="E401" s="21" t="n"/>
      <c r="F401" s="11">
        <f>IF(AND(B401="",C401="",D401=""),"",IF(NOT(ISNUMBER(B401)),"Needs a date",IF(D401="","Needs the job",IF(AND(C401&lt;&gt;"",C401&lt;&gt;"All beds",COUNTIF(Beds!$B$6:$B$35,C401)=0),"Not on Beds",""))))</f>
        <v/>
      </c>
      <c r="G401" s="1">
        <f>IF(ISNUMBER(B401),INT(B401),0)</f>
        <v/>
      </c>
      <c r="H401">
        <f>IF(AND(G401&gt;0,D401="Water",OR(C401="",C401="All beds")),G401,0)</f>
        <v/>
      </c>
    </row>
    <row r="402">
      <c r="A402" s="1" t="n"/>
      <c r="B402" s="17" t="n"/>
      <c r="C402" s="18" t="n"/>
      <c r="D402" s="19" t="n"/>
      <c r="E402" s="21" t="n"/>
      <c r="F402" s="11">
        <f>IF(AND(B402="",C402="",D402=""),"",IF(NOT(ISNUMBER(B402)),"Needs a date",IF(D402="","Needs the job",IF(AND(C402&lt;&gt;"",C402&lt;&gt;"All beds",COUNTIF(Beds!$B$6:$B$35,C402)=0),"Not on Beds",""))))</f>
        <v/>
      </c>
      <c r="G402" s="1">
        <f>IF(ISNUMBER(B402),INT(B402),0)</f>
        <v/>
      </c>
      <c r="H402">
        <f>IF(AND(G402&gt;0,D402="Water",OR(C402="",C402="All beds")),G402,0)</f>
        <v/>
      </c>
    </row>
    <row r="403">
      <c r="A403" s="1" t="n"/>
      <c r="B403" s="17" t="n"/>
      <c r="C403" s="18" t="n"/>
      <c r="D403" s="19" t="n"/>
      <c r="E403" s="21" t="n"/>
      <c r="F403" s="11">
        <f>IF(AND(B403="",C403="",D403=""),"",IF(NOT(ISNUMBER(B403)),"Needs a date",IF(D403="","Needs the job",IF(AND(C403&lt;&gt;"",C403&lt;&gt;"All beds",COUNTIF(Beds!$B$6:$B$35,C403)=0),"Not on Beds",""))))</f>
        <v/>
      </c>
      <c r="G403" s="1">
        <f>IF(ISNUMBER(B403),INT(B403),0)</f>
        <v/>
      </c>
      <c r="H403">
        <f>IF(AND(G403&gt;0,D403="Water",OR(C403="",C403="All beds")),G403,0)</f>
        <v/>
      </c>
    </row>
    <row r="404">
      <c r="A404" s="1" t="n"/>
      <c r="B404" s="17" t="n"/>
      <c r="C404" s="18" t="n"/>
      <c r="D404" s="19" t="n"/>
      <c r="E404" s="21" t="n"/>
      <c r="F404" s="11">
        <f>IF(AND(B404="",C404="",D404=""),"",IF(NOT(ISNUMBER(B404)),"Needs a date",IF(D404="","Needs the job",IF(AND(C404&lt;&gt;"",C404&lt;&gt;"All beds",COUNTIF(Beds!$B$6:$B$35,C404)=0),"Not on Beds",""))))</f>
        <v/>
      </c>
      <c r="G404" s="1">
        <f>IF(ISNUMBER(B404),INT(B404),0)</f>
        <v/>
      </c>
      <c r="H404">
        <f>IF(AND(G404&gt;0,D404="Water",OR(C404="",C404="All beds")),G404,0)</f>
        <v/>
      </c>
    </row>
    <row r="405">
      <c r="A405" s="1" t="n"/>
      <c r="B405" s="17" t="n"/>
      <c r="C405" s="18" t="n"/>
      <c r="D405" s="19" t="n"/>
      <c r="E405" s="21" t="n"/>
      <c r="F405" s="11">
        <f>IF(AND(B405="",C405="",D405=""),"",IF(NOT(ISNUMBER(B405)),"Needs a date",IF(D405="","Needs the job",IF(AND(C405&lt;&gt;"",C405&lt;&gt;"All beds",COUNTIF(Beds!$B$6:$B$35,C405)=0),"Not on Beds",""))))</f>
        <v/>
      </c>
      <c r="G405" s="1">
        <f>IF(ISNUMBER(B405),INT(B405),0)</f>
        <v/>
      </c>
      <c r="H405">
        <f>IF(AND(G405&gt;0,D405="Water",OR(C405="",C405="All beds")),G405,0)</f>
        <v/>
      </c>
    </row>
    <row r="406">
      <c r="A406" s="1" t="n"/>
      <c r="B406" s="17" t="n"/>
      <c r="C406" s="18" t="n"/>
      <c r="D406" s="19" t="n"/>
      <c r="E406" s="21" t="n"/>
      <c r="F406" s="11">
        <f>IF(AND(B406="",C406="",D406=""),"",IF(NOT(ISNUMBER(B406)),"Needs a date",IF(D406="","Needs the job",IF(AND(C406&lt;&gt;"",C406&lt;&gt;"All beds",COUNTIF(Beds!$B$6:$B$35,C406)=0),"Not on Beds",""))))</f>
        <v/>
      </c>
      <c r="G406" s="1">
        <f>IF(ISNUMBER(B406),INT(B406),0)</f>
        <v/>
      </c>
      <c r="H406">
        <f>IF(AND(G406&gt;0,D406="Water",OR(C406="",C406="All beds")),G406,0)</f>
        <v/>
      </c>
    </row>
    <row r="407">
      <c r="A407" s="1" t="n"/>
      <c r="B407" s="17" t="n"/>
      <c r="C407" s="18" t="n"/>
      <c r="D407" s="19" t="n"/>
      <c r="E407" s="21" t="n"/>
      <c r="F407" s="11">
        <f>IF(AND(B407="",C407="",D407=""),"",IF(NOT(ISNUMBER(B407)),"Needs a date",IF(D407="","Needs the job",IF(AND(C407&lt;&gt;"",C407&lt;&gt;"All beds",COUNTIF(Beds!$B$6:$B$35,C407)=0),"Not on Beds",""))))</f>
        <v/>
      </c>
      <c r="G407" s="1">
        <f>IF(ISNUMBER(B407),INT(B407),0)</f>
        <v/>
      </c>
      <c r="H407">
        <f>IF(AND(G407&gt;0,D407="Water",OR(C407="",C407="All beds")),G407,0)</f>
        <v/>
      </c>
    </row>
    <row r="408">
      <c r="A408" s="1" t="n"/>
      <c r="B408" s="17" t="n"/>
      <c r="C408" s="18" t="n"/>
      <c r="D408" s="19" t="n"/>
      <c r="E408" s="21" t="n"/>
      <c r="F408" s="11">
        <f>IF(AND(B408="",C408="",D408=""),"",IF(NOT(ISNUMBER(B408)),"Needs a date",IF(D408="","Needs the job",IF(AND(C408&lt;&gt;"",C408&lt;&gt;"All beds",COUNTIF(Beds!$B$6:$B$35,C408)=0),"Not on Beds",""))))</f>
        <v/>
      </c>
      <c r="G408" s="1">
        <f>IF(ISNUMBER(B408),INT(B408),0)</f>
        <v/>
      </c>
      <c r="H408">
        <f>IF(AND(G408&gt;0,D408="Water",OR(C408="",C408="All beds")),G408,0)</f>
        <v/>
      </c>
    </row>
    <row r="409">
      <c r="A409" s="1" t="n"/>
      <c r="B409" s="17" t="n"/>
      <c r="C409" s="18" t="n"/>
      <c r="D409" s="19" t="n"/>
      <c r="E409" s="21" t="n"/>
      <c r="F409" s="11">
        <f>IF(AND(B409="",C409="",D409=""),"",IF(NOT(ISNUMBER(B409)),"Needs a date",IF(D409="","Needs the job",IF(AND(C409&lt;&gt;"",C409&lt;&gt;"All beds",COUNTIF(Beds!$B$6:$B$35,C409)=0),"Not on Beds",""))))</f>
        <v/>
      </c>
      <c r="G409" s="1">
        <f>IF(ISNUMBER(B409),INT(B409),0)</f>
        <v/>
      </c>
      <c r="H409">
        <f>IF(AND(G409&gt;0,D409="Water",OR(C409="",C409="All beds")),G409,0)</f>
        <v/>
      </c>
    </row>
    <row r="410">
      <c r="A410" s="1" t="n"/>
      <c r="B410" s="17" t="n"/>
      <c r="C410" s="18" t="n"/>
      <c r="D410" s="19" t="n"/>
      <c r="E410" s="21" t="n"/>
      <c r="F410" s="11">
        <f>IF(AND(B410="",C410="",D410=""),"",IF(NOT(ISNUMBER(B410)),"Needs a date",IF(D410="","Needs the job",IF(AND(C410&lt;&gt;"",C410&lt;&gt;"All beds",COUNTIF(Beds!$B$6:$B$35,C410)=0),"Not on Beds",""))))</f>
        <v/>
      </c>
      <c r="G410" s="1">
        <f>IF(ISNUMBER(B410),INT(B410),0)</f>
        <v/>
      </c>
      <c r="H410">
        <f>IF(AND(G410&gt;0,D410="Water",OR(C410="",C410="All beds")),G410,0)</f>
        <v/>
      </c>
    </row>
    <row r="411">
      <c r="A411" s="1" t="n"/>
      <c r="B411" s="17" t="n"/>
      <c r="C411" s="18" t="n"/>
      <c r="D411" s="19" t="n"/>
      <c r="E411" s="21" t="n"/>
      <c r="F411" s="11">
        <f>IF(AND(B411="",C411="",D411=""),"",IF(NOT(ISNUMBER(B411)),"Needs a date",IF(D411="","Needs the job",IF(AND(C411&lt;&gt;"",C411&lt;&gt;"All beds",COUNTIF(Beds!$B$6:$B$35,C411)=0),"Not on Beds",""))))</f>
        <v/>
      </c>
      <c r="G411" s="1">
        <f>IF(ISNUMBER(B411),INT(B411),0)</f>
        <v/>
      </c>
      <c r="H411">
        <f>IF(AND(G411&gt;0,D411="Water",OR(C411="",C411="All beds")),G411,0)</f>
        <v/>
      </c>
    </row>
    <row r="412">
      <c r="A412" s="1" t="n"/>
      <c r="B412" s="17" t="n"/>
      <c r="C412" s="18" t="n"/>
      <c r="D412" s="19" t="n"/>
      <c r="E412" s="21" t="n"/>
      <c r="F412" s="11">
        <f>IF(AND(B412="",C412="",D412=""),"",IF(NOT(ISNUMBER(B412)),"Needs a date",IF(D412="","Needs the job",IF(AND(C412&lt;&gt;"",C412&lt;&gt;"All beds",COUNTIF(Beds!$B$6:$B$35,C412)=0),"Not on Beds",""))))</f>
        <v/>
      </c>
      <c r="G412" s="1">
        <f>IF(ISNUMBER(B412),INT(B412),0)</f>
        <v/>
      </c>
      <c r="H412">
        <f>IF(AND(G412&gt;0,D412="Water",OR(C412="",C412="All beds")),G412,0)</f>
        <v/>
      </c>
    </row>
    <row r="413">
      <c r="A413" s="1" t="n"/>
      <c r="B413" s="17" t="n"/>
      <c r="C413" s="18" t="n"/>
      <c r="D413" s="19" t="n"/>
      <c r="E413" s="21" t="n"/>
      <c r="F413" s="11">
        <f>IF(AND(B413="",C413="",D413=""),"",IF(NOT(ISNUMBER(B413)),"Needs a date",IF(D413="","Needs the job",IF(AND(C413&lt;&gt;"",C413&lt;&gt;"All beds",COUNTIF(Beds!$B$6:$B$35,C413)=0),"Not on Beds",""))))</f>
        <v/>
      </c>
      <c r="G413" s="1">
        <f>IF(ISNUMBER(B413),INT(B413),0)</f>
        <v/>
      </c>
      <c r="H413">
        <f>IF(AND(G413&gt;0,D413="Water",OR(C413="",C413="All beds")),G413,0)</f>
        <v/>
      </c>
    </row>
    <row r="414">
      <c r="A414" s="1" t="n"/>
      <c r="B414" s="17" t="n"/>
      <c r="C414" s="18" t="n"/>
      <c r="D414" s="19" t="n"/>
      <c r="E414" s="21" t="n"/>
      <c r="F414" s="11">
        <f>IF(AND(B414="",C414="",D414=""),"",IF(NOT(ISNUMBER(B414)),"Needs a date",IF(D414="","Needs the job",IF(AND(C414&lt;&gt;"",C414&lt;&gt;"All beds",COUNTIF(Beds!$B$6:$B$35,C414)=0),"Not on Beds",""))))</f>
        <v/>
      </c>
      <c r="G414" s="1">
        <f>IF(ISNUMBER(B414),INT(B414),0)</f>
        <v/>
      </c>
      <c r="H414">
        <f>IF(AND(G414&gt;0,D414="Water",OR(C414="",C414="All beds")),G414,0)</f>
        <v/>
      </c>
    </row>
    <row r="415">
      <c r="A415" s="1" t="n"/>
      <c r="B415" s="17" t="n"/>
      <c r="C415" s="18" t="n"/>
      <c r="D415" s="19" t="n"/>
      <c r="E415" s="21" t="n"/>
      <c r="F415" s="11">
        <f>IF(AND(B415="",C415="",D415=""),"",IF(NOT(ISNUMBER(B415)),"Needs a date",IF(D415="","Needs the job",IF(AND(C415&lt;&gt;"",C415&lt;&gt;"All beds",COUNTIF(Beds!$B$6:$B$35,C415)=0),"Not on Beds",""))))</f>
        <v/>
      </c>
      <c r="G415" s="1">
        <f>IF(ISNUMBER(B415),INT(B415),0)</f>
        <v/>
      </c>
      <c r="H415">
        <f>IF(AND(G415&gt;0,D415="Water",OR(C415="",C415="All beds")),G415,0)</f>
        <v/>
      </c>
    </row>
    <row r="416">
      <c r="A416" s="1" t="n"/>
      <c r="B416" s="17" t="n"/>
      <c r="C416" s="18" t="n"/>
      <c r="D416" s="19" t="n"/>
      <c r="E416" s="21" t="n"/>
      <c r="F416" s="11">
        <f>IF(AND(B416="",C416="",D416=""),"",IF(NOT(ISNUMBER(B416)),"Needs a date",IF(D416="","Needs the job",IF(AND(C416&lt;&gt;"",C416&lt;&gt;"All beds",COUNTIF(Beds!$B$6:$B$35,C416)=0),"Not on Beds",""))))</f>
        <v/>
      </c>
      <c r="G416" s="1">
        <f>IF(ISNUMBER(B416),INT(B416),0)</f>
        <v/>
      </c>
      <c r="H416">
        <f>IF(AND(G416&gt;0,D416="Water",OR(C416="",C416="All beds")),G416,0)</f>
        <v/>
      </c>
    </row>
    <row r="417">
      <c r="A417" s="1" t="n"/>
      <c r="B417" s="17" t="n"/>
      <c r="C417" s="18" t="n"/>
      <c r="D417" s="19" t="n"/>
      <c r="E417" s="21" t="n"/>
      <c r="F417" s="11">
        <f>IF(AND(B417="",C417="",D417=""),"",IF(NOT(ISNUMBER(B417)),"Needs a date",IF(D417="","Needs the job",IF(AND(C417&lt;&gt;"",C417&lt;&gt;"All beds",COUNTIF(Beds!$B$6:$B$35,C417)=0),"Not on Beds",""))))</f>
        <v/>
      </c>
      <c r="G417" s="1">
        <f>IF(ISNUMBER(B417),INT(B417),0)</f>
        <v/>
      </c>
      <c r="H417">
        <f>IF(AND(G417&gt;0,D417="Water",OR(C417="",C417="All beds")),G417,0)</f>
        <v/>
      </c>
    </row>
    <row r="418">
      <c r="A418" s="1" t="n"/>
      <c r="B418" s="17" t="n"/>
      <c r="C418" s="18" t="n"/>
      <c r="D418" s="19" t="n"/>
      <c r="E418" s="21" t="n"/>
      <c r="F418" s="11">
        <f>IF(AND(B418="",C418="",D418=""),"",IF(NOT(ISNUMBER(B418)),"Needs a date",IF(D418="","Needs the job",IF(AND(C418&lt;&gt;"",C418&lt;&gt;"All beds",COUNTIF(Beds!$B$6:$B$35,C418)=0),"Not on Beds",""))))</f>
        <v/>
      </c>
      <c r="G418" s="1">
        <f>IF(ISNUMBER(B418),INT(B418),0)</f>
        <v/>
      </c>
      <c r="H418">
        <f>IF(AND(G418&gt;0,D418="Water",OR(C418="",C418="All beds")),G418,0)</f>
        <v/>
      </c>
    </row>
    <row r="419">
      <c r="A419" s="1" t="n"/>
      <c r="B419" s="17" t="n"/>
      <c r="C419" s="18" t="n"/>
      <c r="D419" s="19" t="n"/>
      <c r="E419" s="21" t="n"/>
      <c r="F419" s="11">
        <f>IF(AND(B419="",C419="",D419=""),"",IF(NOT(ISNUMBER(B419)),"Needs a date",IF(D419="","Needs the job",IF(AND(C419&lt;&gt;"",C419&lt;&gt;"All beds",COUNTIF(Beds!$B$6:$B$35,C419)=0),"Not on Beds",""))))</f>
        <v/>
      </c>
      <c r="G419" s="1">
        <f>IF(ISNUMBER(B419),INT(B419),0)</f>
        <v/>
      </c>
      <c r="H419">
        <f>IF(AND(G419&gt;0,D419="Water",OR(C419="",C419="All beds")),G419,0)</f>
        <v/>
      </c>
    </row>
    <row r="420">
      <c r="A420" s="1" t="n"/>
      <c r="B420" s="17" t="n"/>
      <c r="C420" s="18" t="n"/>
      <c r="D420" s="19" t="n"/>
      <c r="E420" s="21" t="n"/>
      <c r="F420" s="11">
        <f>IF(AND(B420="",C420="",D420=""),"",IF(NOT(ISNUMBER(B420)),"Needs a date",IF(D420="","Needs the job",IF(AND(C420&lt;&gt;"",C420&lt;&gt;"All beds",COUNTIF(Beds!$B$6:$B$35,C420)=0),"Not on Beds",""))))</f>
        <v/>
      </c>
      <c r="G420" s="1">
        <f>IF(ISNUMBER(B420),INT(B420),0)</f>
        <v/>
      </c>
      <c r="H420">
        <f>IF(AND(G420&gt;0,D420="Water",OR(C420="",C420="All beds")),G420,0)</f>
        <v/>
      </c>
    </row>
    <row r="421">
      <c r="A421" s="1" t="n"/>
      <c r="B421" s="17" t="n"/>
      <c r="C421" s="18" t="n"/>
      <c r="D421" s="19" t="n"/>
      <c r="E421" s="21" t="n"/>
      <c r="F421" s="11">
        <f>IF(AND(B421="",C421="",D421=""),"",IF(NOT(ISNUMBER(B421)),"Needs a date",IF(D421="","Needs the job",IF(AND(C421&lt;&gt;"",C421&lt;&gt;"All beds",COUNTIF(Beds!$B$6:$B$35,C421)=0),"Not on Beds",""))))</f>
        <v/>
      </c>
      <c r="G421" s="1">
        <f>IF(ISNUMBER(B421),INT(B421),0)</f>
        <v/>
      </c>
      <c r="H421">
        <f>IF(AND(G421&gt;0,D421="Water",OR(C421="",C421="All beds")),G421,0)</f>
        <v/>
      </c>
    </row>
    <row r="422">
      <c r="A422" s="1" t="n"/>
      <c r="B422" s="17" t="n"/>
      <c r="C422" s="18" t="n"/>
      <c r="D422" s="19" t="n"/>
      <c r="E422" s="21" t="n"/>
      <c r="F422" s="11">
        <f>IF(AND(B422="",C422="",D422=""),"",IF(NOT(ISNUMBER(B422)),"Needs a date",IF(D422="","Needs the job",IF(AND(C422&lt;&gt;"",C422&lt;&gt;"All beds",COUNTIF(Beds!$B$6:$B$35,C422)=0),"Not on Beds",""))))</f>
        <v/>
      </c>
      <c r="G422" s="1">
        <f>IF(ISNUMBER(B422),INT(B422),0)</f>
        <v/>
      </c>
      <c r="H422">
        <f>IF(AND(G422&gt;0,D422="Water",OR(C422="",C422="All beds")),G422,0)</f>
        <v/>
      </c>
    </row>
    <row r="423">
      <c r="A423" s="1" t="n"/>
      <c r="B423" s="17" t="n"/>
      <c r="C423" s="18" t="n"/>
      <c r="D423" s="19" t="n"/>
      <c r="E423" s="21" t="n"/>
      <c r="F423" s="11">
        <f>IF(AND(B423="",C423="",D423=""),"",IF(NOT(ISNUMBER(B423)),"Needs a date",IF(D423="","Needs the job",IF(AND(C423&lt;&gt;"",C423&lt;&gt;"All beds",COUNTIF(Beds!$B$6:$B$35,C423)=0),"Not on Beds",""))))</f>
        <v/>
      </c>
      <c r="G423" s="1">
        <f>IF(ISNUMBER(B423),INT(B423),0)</f>
        <v/>
      </c>
      <c r="H423">
        <f>IF(AND(G423&gt;0,D423="Water",OR(C423="",C423="All beds")),G423,0)</f>
        <v/>
      </c>
    </row>
    <row r="424">
      <c r="A424" s="1" t="n"/>
      <c r="B424" s="17" t="n"/>
      <c r="C424" s="18" t="n"/>
      <c r="D424" s="19" t="n"/>
      <c r="E424" s="21" t="n"/>
      <c r="F424" s="11">
        <f>IF(AND(B424="",C424="",D424=""),"",IF(NOT(ISNUMBER(B424)),"Needs a date",IF(D424="","Needs the job",IF(AND(C424&lt;&gt;"",C424&lt;&gt;"All beds",COUNTIF(Beds!$B$6:$B$35,C424)=0),"Not on Beds",""))))</f>
        <v/>
      </c>
      <c r="G424" s="1">
        <f>IF(ISNUMBER(B424),INT(B424),0)</f>
        <v/>
      </c>
      <c r="H424">
        <f>IF(AND(G424&gt;0,D424="Water",OR(C424="",C424="All beds")),G424,0)</f>
        <v/>
      </c>
    </row>
    <row r="425">
      <c r="A425" s="1" t="n"/>
      <c r="B425" s="17" t="n"/>
      <c r="C425" s="18" t="n"/>
      <c r="D425" s="19" t="n"/>
      <c r="E425" s="21" t="n"/>
      <c r="F425" s="11">
        <f>IF(AND(B425="",C425="",D425=""),"",IF(NOT(ISNUMBER(B425)),"Needs a date",IF(D425="","Needs the job",IF(AND(C425&lt;&gt;"",C425&lt;&gt;"All beds",COUNTIF(Beds!$B$6:$B$35,C425)=0),"Not on Beds",""))))</f>
        <v/>
      </c>
      <c r="G425" s="1">
        <f>IF(ISNUMBER(B425),INT(B425),0)</f>
        <v/>
      </c>
      <c r="H425">
        <f>IF(AND(G425&gt;0,D425="Water",OR(C425="",C425="All beds")),G425,0)</f>
        <v/>
      </c>
    </row>
    <row r="426">
      <c r="A426" s="1" t="n"/>
      <c r="B426" s="17" t="n"/>
      <c r="C426" s="18" t="n"/>
      <c r="D426" s="19" t="n"/>
      <c r="E426" s="21" t="n"/>
      <c r="F426" s="11">
        <f>IF(AND(B426="",C426="",D426=""),"",IF(NOT(ISNUMBER(B426)),"Needs a date",IF(D426="","Needs the job",IF(AND(C426&lt;&gt;"",C426&lt;&gt;"All beds",COUNTIF(Beds!$B$6:$B$35,C426)=0),"Not on Beds",""))))</f>
        <v/>
      </c>
      <c r="G426" s="1">
        <f>IF(ISNUMBER(B426),INT(B426),0)</f>
        <v/>
      </c>
      <c r="H426">
        <f>IF(AND(G426&gt;0,D426="Water",OR(C426="",C426="All beds")),G426,0)</f>
        <v/>
      </c>
    </row>
    <row r="427">
      <c r="A427" s="1" t="n"/>
      <c r="B427" s="17" t="n"/>
      <c r="C427" s="18" t="n"/>
      <c r="D427" s="19" t="n"/>
      <c r="E427" s="21" t="n"/>
      <c r="F427" s="11">
        <f>IF(AND(B427="",C427="",D427=""),"",IF(NOT(ISNUMBER(B427)),"Needs a date",IF(D427="","Needs the job",IF(AND(C427&lt;&gt;"",C427&lt;&gt;"All beds",COUNTIF(Beds!$B$6:$B$35,C427)=0),"Not on Beds",""))))</f>
        <v/>
      </c>
      <c r="G427" s="1">
        <f>IF(ISNUMBER(B427),INT(B427),0)</f>
        <v/>
      </c>
      <c r="H427">
        <f>IF(AND(G427&gt;0,D427="Water",OR(C427="",C427="All beds")),G427,0)</f>
        <v/>
      </c>
    </row>
    <row r="428">
      <c r="A428" s="1" t="n"/>
      <c r="B428" s="17" t="n"/>
      <c r="C428" s="18" t="n"/>
      <c r="D428" s="19" t="n"/>
      <c r="E428" s="21" t="n"/>
      <c r="F428" s="11">
        <f>IF(AND(B428="",C428="",D428=""),"",IF(NOT(ISNUMBER(B428)),"Needs a date",IF(D428="","Needs the job",IF(AND(C428&lt;&gt;"",C428&lt;&gt;"All beds",COUNTIF(Beds!$B$6:$B$35,C428)=0),"Not on Beds",""))))</f>
        <v/>
      </c>
      <c r="G428" s="1">
        <f>IF(ISNUMBER(B428),INT(B428),0)</f>
        <v/>
      </c>
      <c r="H428">
        <f>IF(AND(G428&gt;0,D428="Water",OR(C428="",C428="All beds")),G428,0)</f>
        <v/>
      </c>
    </row>
    <row r="429">
      <c r="A429" s="1" t="n"/>
      <c r="B429" s="17" t="n"/>
      <c r="C429" s="18" t="n"/>
      <c r="D429" s="19" t="n"/>
      <c r="E429" s="21" t="n"/>
      <c r="F429" s="11">
        <f>IF(AND(B429="",C429="",D429=""),"",IF(NOT(ISNUMBER(B429)),"Needs a date",IF(D429="","Needs the job",IF(AND(C429&lt;&gt;"",C429&lt;&gt;"All beds",COUNTIF(Beds!$B$6:$B$35,C429)=0),"Not on Beds",""))))</f>
        <v/>
      </c>
      <c r="G429" s="1">
        <f>IF(ISNUMBER(B429),INT(B429),0)</f>
        <v/>
      </c>
      <c r="H429">
        <f>IF(AND(G429&gt;0,D429="Water",OR(C429="",C429="All beds")),G429,0)</f>
        <v/>
      </c>
    </row>
    <row r="430">
      <c r="A430" s="1" t="n"/>
      <c r="B430" s="17" t="n"/>
      <c r="C430" s="18" t="n"/>
      <c r="D430" s="19" t="n"/>
      <c r="E430" s="21" t="n"/>
      <c r="F430" s="11">
        <f>IF(AND(B430="",C430="",D430=""),"",IF(NOT(ISNUMBER(B430)),"Needs a date",IF(D430="","Needs the job",IF(AND(C430&lt;&gt;"",C430&lt;&gt;"All beds",COUNTIF(Beds!$B$6:$B$35,C430)=0),"Not on Beds",""))))</f>
        <v/>
      </c>
      <c r="G430" s="1">
        <f>IF(ISNUMBER(B430),INT(B430),0)</f>
        <v/>
      </c>
      <c r="H430">
        <f>IF(AND(G430&gt;0,D430="Water",OR(C430="",C430="All beds")),G430,0)</f>
        <v/>
      </c>
    </row>
    <row r="431">
      <c r="A431" s="1" t="n"/>
      <c r="B431" s="17" t="n"/>
      <c r="C431" s="18" t="n"/>
      <c r="D431" s="19" t="n"/>
      <c r="E431" s="21" t="n"/>
      <c r="F431" s="11">
        <f>IF(AND(B431="",C431="",D431=""),"",IF(NOT(ISNUMBER(B431)),"Needs a date",IF(D431="","Needs the job",IF(AND(C431&lt;&gt;"",C431&lt;&gt;"All beds",COUNTIF(Beds!$B$6:$B$35,C431)=0),"Not on Beds",""))))</f>
        <v/>
      </c>
      <c r="G431" s="1">
        <f>IF(ISNUMBER(B431),INT(B431),0)</f>
        <v/>
      </c>
      <c r="H431">
        <f>IF(AND(G431&gt;0,D431="Water",OR(C431="",C431="All beds")),G431,0)</f>
        <v/>
      </c>
    </row>
    <row r="432">
      <c r="A432" s="1" t="n"/>
      <c r="B432" s="17" t="n"/>
      <c r="C432" s="18" t="n"/>
      <c r="D432" s="19" t="n"/>
      <c r="E432" s="21" t="n"/>
      <c r="F432" s="11">
        <f>IF(AND(B432="",C432="",D432=""),"",IF(NOT(ISNUMBER(B432)),"Needs a date",IF(D432="","Needs the job",IF(AND(C432&lt;&gt;"",C432&lt;&gt;"All beds",COUNTIF(Beds!$B$6:$B$35,C432)=0),"Not on Beds",""))))</f>
        <v/>
      </c>
      <c r="G432" s="1">
        <f>IF(ISNUMBER(B432),INT(B432),0)</f>
        <v/>
      </c>
      <c r="H432">
        <f>IF(AND(G432&gt;0,D432="Water",OR(C432="",C432="All beds")),G432,0)</f>
        <v/>
      </c>
    </row>
    <row r="433">
      <c r="A433" s="1" t="n"/>
      <c r="B433" s="17" t="n"/>
      <c r="C433" s="18" t="n"/>
      <c r="D433" s="19" t="n"/>
      <c r="E433" s="21" t="n"/>
      <c r="F433" s="11">
        <f>IF(AND(B433="",C433="",D433=""),"",IF(NOT(ISNUMBER(B433)),"Needs a date",IF(D433="","Needs the job",IF(AND(C433&lt;&gt;"",C433&lt;&gt;"All beds",COUNTIF(Beds!$B$6:$B$35,C433)=0),"Not on Beds",""))))</f>
        <v/>
      </c>
      <c r="G433" s="1">
        <f>IF(ISNUMBER(B433),INT(B433),0)</f>
        <v/>
      </c>
      <c r="H433">
        <f>IF(AND(G433&gt;0,D433="Water",OR(C433="",C433="All beds")),G433,0)</f>
        <v/>
      </c>
    </row>
    <row r="434">
      <c r="A434" s="1" t="n"/>
      <c r="B434" s="17" t="n"/>
      <c r="C434" s="18" t="n"/>
      <c r="D434" s="19" t="n"/>
      <c r="E434" s="21" t="n"/>
      <c r="F434" s="11">
        <f>IF(AND(B434="",C434="",D434=""),"",IF(NOT(ISNUMBER(B434)),"Needs a date",IF(D434="","Needs the job",IF(AND(C434&lt;&gt;"",C434&lt;&gt;"All beds",COUNTIF(Beds!$B$6:$B$35,C434)=0),"Not on Beds",""))))</f>
        <v/>
      </c>
      <c r="G434" s="1">
        <f>IF(ISNUMBER(B434),INT(B434),0)</f>
        <v/>
      </c>
      <c r="H434">
        <f>IF(AND(G434&gt;0,D434="Water",OR(C434="",C434="All beds")),G434,0)</f>
        <v/>
      </c>
    </row>
    <row r="435">
      <c r="A435" s="1" t="n"/>
      <c r="B435" s="17" t="n"/>
      <c r="C435" s="18" t="n"/>
      <c r="D435" s="19" t="n"/>
      <c r="E435" s="21" t="n"/>
      <c r="F435" s="11">
        <f>IF(AND(B435="",C435="",D435=""),"",IF(NOT(ISNUMBER(B435)),"Needs a date",IF(D435="","Needs the job",IF(AND(C435&lt;&gt;"",C435&lt;&gt;"All beds",COUNTIF(Beds!$B$6:$B$35,C435)=0),"Not on Beds",""))))</f>
        <v/>
      </c>
      <c r="G435" s="1">
        <f>IF(ISNUMBER(B435),INT(B435),0)</f>
        <v/>
      </c>
      <c r="H435">
        <f>IF(AND(G435&gt;0,D435="Water",OR(C435="",C435="All beds")),G435,0)</f>
        <v/>
      </c>
    </row>
    <row r="436">
      <c r="A436" s="1" t="n"/>
      <c r="B436" s="17" t="n"/>
      <c r="C436" s="18" t="n"/>
      <c r="D436" s="19" t="n"/>
      <c r="E436" s="21" t="n"/>
      <c r="F436" s="11">
        <f>IF(AND(B436="",C436="",D436=""),"",IF(NOT(ISNUMBER(B436)),"Needs a date",IF(D436="","Needs the job",IF(AND(C436&lt;&gt;"",C436&lt;&gt;"All beds",COUNTIF(Beds!$B$6:$B$35,C436)=0),"Not on Beds",""))))</f>
        <v/>
      </c>
      <c r="G436" s="1">
        <f>IF(ISNUMBER(B436),INT(B436),0)</f>
        <v/>
      </c>
      <c r="H436">
        <f>IF(AND(G436&gt;0,D436="Water",OR(C436="",C436="All beds")),G436,0)</f>
        <v/>
      </c>
    </row>
    <row r="437">
      <c r="A437" s="1" t="n"/>
      <c r="B437" s="17" t="n"/>
      <c r="C437" s="18" t="n"/>
      <c r="D437" s="19" t="n"/>
      <c r="E437" s="21" t="n"/>
      <c r="F437" s="11">
        <f>IF(AND(B437="",C437="",D437=""),"",IF(NOT(ISNUMBER(B437)),"Needs a date",IF(D437="","Needs the job",IF(AND(C437&lt;&gt;"",C437&lt;&gt;"All beds",COUNTIF(Beds!$B$6:$B$35,C437)=0),"Not on Beds",""))))</f>
        <v/>
      </c>
      <c r="G437" s="1">
        <f>IF(ISNUMBER(B437),INT(B437),0)</f>
        <v/>
      </c>
      <c r="H437">
        <f>IF(AND(G437&gt;0,D437="Water",OR(C437="",C437="All beds")),G437,0)</f>
        <v/>
      </c>
    </row>
    <row r="438">
      <c r="A438" s="1" t="n"/>
      <c r="B438" s="17" t="n"/>
      <c r="C438" s="18" t="n"/>
      <c r="D438" s="19" t="n"/>
      <c r="E438" s="21" t="n"/>
      <c r="F438" s="11">
        <f>IF(AND(B438="",C438="",D438=""),"",IF(NOT(ISNUMBER(B438)),"Needs a date",IF(D438="","Needs the job",IF(AND(C438&lt;&gt;"",C438&lt;&gt;"All beds",COUNTIF(Beds!$B$6:$B$35,C438)=0),"Not on Beds",""))))</f>
        <v/>
      </c>
      <c r="G438" s="1">
        <f>IF(ISNUMBER(B438),INT(B438),0)</f>
        <v/>
      </c>
      <c r="H438">
        <f>IF(AND(G438&gt;0,D438="Water",OR(C438="",C438="All beds")),G438,0)</f>
        <v/>
      </c>
    </row>
    <row r="439">
      <c r="A439" s="1" t="n"/>
      <c r="B439" s="17" t="n"/>
      <c r="C439" s="18" t="n"/>
      <c r="D439" s="19" t="n"/>
      <c r="E439" s="21" t="n"/>
      <c r="F439" s="11">
        <f>IF(AND(B439="",C439="",D439=""),"",IF(NOT(ISNUMBER(B439)),"Needs a date",IF(D439="","Needs the job",IF(AND(C439&lt;&gt;"",C439&lt;&gt;"All beds",COUNTIF(Beds!$B$6:$B$35,C439)=0),"Not on Beds",""))))</f>
        <v/>
      </c>
      <c r="G439" s="1">
        <f>IF(ISNUMBER(B439),INT(B439),0)</f>
        <v/>
      </c>
      <c r="H439">
        <f>IF(AND(G439&gt;0,D439="Water",OR(C439="",C439="All beds")),G439,0)</f>
        <v/>
      </c>
    </row>
    <row r="440">
      <c r="A440" s="1" t="n"/>
      <c r="B440" s="17" t="n"/>
      <c r="C440" s="18" t="n"/>
      <c r="D440" s="19" t="n"/>
      <c r="E440" s="21" t="n"/>
      <c r="F440" s="11">
        <f>IF(AND(B440="",C440="",D440=""),"",IF(NOT(ISNUMBER(B440)),"Needs a date",IF(D440="","Needs the job",IF(AND(C440&lt;&gt;"",C440&lt;&gt;"All beds",COUNTIF(Beds!$B$6:$B$35,C440)=0),"Not on Beds",""))))</f>
        <v/>
      </c>
      <c r="G440" s="1">
        <f>IF(ISNUMBER(B440),INT(B440),0)</f>
        <v/>
      </c>
      <c r="H440">
        <f>IF(AND(G440&gt;0,D440="Water",OR(C440="",C440="All beds")),G440,0)</f>
        <v/>
      </c>
    </row>
    <row r="441">
      <c r="A441" s="1" t="n"/>
      <c r="B441" s="17" t="n"/>
      <c r="C441" s="18" t="n"/>
      <c r="D441" s="19" t="n"/>
      <c r="E441" s="21" t="n"/>
      <c r="F441" s="11">
        <f>IF(AND(B441="",C441="",D441=""),"",IF(NOT(ISNUMBER(B441)),"Needs a date",IF(D441="","Needs the job",IF(AND(C441&lt;&gt;"",C441&lt;&gt;"All beds",COUNTIF(Beds!$B$6:$B$35,C441)=0),"Not on Beds",""))))</f>
        <v/>
      </c>
      <c r="G441" s="1">
        <f>IF(ISNUMBER(B441),INT(B441),0)</f>
        <v/>
      </c>
      <c r="H441">
        <f>IF(AND(G441&gt;0,D441="Water",OR(C441="",C441="All beds")),G441,0)</f>
        <v/>
      </c>
    </row>
    <row r="442">
      <c r="A442" s="1" t="n"/>
      <c r="B442" s="17" t="n"/>
      <c r="C442" s="18" t="n"/>
      <c r="D442" s="19" t="n"/>
      <c r="E442" s="21" t="n"/>
      <c r="F442" s="11">
        <f>IF(AND(B442="",C442="",D442=""),"",IF(NOT(ISNUMBER(B442)),"Needs a date",IF(D442="","Needs the job",IF(AND(C442&lt;&gt;"",C442&lt;&gt;"All beds",COUNTIF(Beds!$B$6:$B$35,C442)=0),"Not on Beds",""))))</f>
        <v/>
      </c>
      <c r="G442" s="1">
        <f>IF(ISNUMBER(B442),INT(B442),0)</f>
        <v/>
      </c>
      <c r="H442">
        <f>IF(AND(G442&gt;0,D442="Water",OR(C442="",C442="All beds")),G442,0)</f>
        <v/>
      </c>
    </row>
    <row r="443">
      <c r="A443" s="1" t="n"/>
      <c r="B443" s="17" t="n"/>
      <c r="C443" s="18" t="n"/>
      <c r="D443" s="19" t="n"/>
      <c r="E443" s="21" t="n"/>
      <c r="F443" s="11">
        <f>IF(AND(B443="",C443="",D443=""),"",IF(NOT(ISNUMBER(B443)),"Needs a date",IF(D443="","Needs the job",IF(AND(C443&lt;&gt;"",C443&lt;&gt;"All beds",COUNTIF(Beds!$B$6:$B$35,C443)=0),"Not on Beds",""))))</f>
        <v/>
      </c>
      <c r="G443" s="1">
        <f>IF(ISNUMBER(B443),INT(B443),0)</f>
        <v/>
      </c>
      <c r="H443">
        <f>IF(AND(G443&gt;0,D443="Water",OR(C443="",C443="All beds")),G443,0)</f>
        <v/>
      </c>
    </row>
    <row r="444">
      <c r="A444" s="1" t="n"/>
      <c r="B444" s="17" t="n"/>
      <c r="C444" s="18" t="n"/>
      <c r="D444" s="19" t="n"/>
      <c r="E444" s="21" t="n"/>
      <c r="F444" s="11">
        <f>IF(AND(B444="",C444="",D444=""),"",IF(NOT(ISNUMBER(B444)),"Needs a date",IF(D444="","Needs the job",IF(AND(C444&lt;&gt;"",C444&lt;&gt;"All beds",COUNTIF(Beds!$B$6:$B$35,C444)=0),"Not on Beds",""))))</f>
        <v/>
      </c>
      <c r="G444" s="1">
        <f>IF(ISNUMBER(B444),INT(B444),0)</f>
        <v/>
      </c>
      <c r="H444">
        <f>IF(AND(G444&gt;0,D444="Water",OR(C444="",C444="All beds")),G444,0)</f>
        <v/>
      </c>
    </row>
    <row r="445">
      <c r="A445" s="1" t="n"/>
      <c r="B445" s="17" t="n"/>
      <c r="C445" s="18" t="n"/>
      <c r="D445" s="19" t="n"/>
      <c r="E445" s="21" t="n"/>
      <c r="F445" s="11">
        <f>IF(AND(B445="",C445="",D445=""),"",IF(NOT(ISNUMBER(B445)),"Needs a date",IF(D445="","Needs the job",IF(AND(C445&lt;&gt;"",C445&lt;&gt;"All beds",COUNTIF(Beds!$B$6:$B$35,C445)=0),"Not on Beds",""))))</f>
        <v/>
      </c>
      <c r="G445" s="1">
        <f>IF(ISNUMBER(B445),INT(B445),0)</f>
        <v/>
      </c>
      <c r="H445">
        <f>IF(AND(G445&gt;0,D445="Water",OR(C445="",C445="All beds")),G445,0)</f>
        <v/>
      </c>
    </row>
    <row r="446">
      <c r="A446" s="1" t="n"/>
      <c r="B446" s="17" t="n"/>
      <c r="C446" s="18" t="n"/>
      <c r="D446" s="19" t="n"/>
      <c r="E446" s="21" t="n"/>
      <c r="F446" s="11">
        <f>IF(AND(B446="",C446="",D446=""),"",IF(NOT(ISNUMBER(B446)),"Needs a date",IF(D446="","Needs the job",IF(AND(C446&lt;&gt;"",C446&lt;&gt;"All beds",COUNTIF(Beds!$B$6:$B$35,C446)=0),"Not on Beds",""))))</f>
        <v/>
      </c>
      <c r="G446" s="1">
        <f>IF(ISNUMBER(B446),INT(B446),0)</f>
        <v/>
      </c>
      <c r="H446">
        <f>IF(AND(G446&gt;0,D446="Water",OR(C446="",C446="All beds")),G446,0)</f>
        <v/>
      </c>
    </row>
    <row r="447">
      <c r="A447" s="1" t="n"/>
      <c r="B447" s="17" t="n"/>
      <c r="C447" s="18" t="n"/>
      <c r="D447" s="19" t="n"/>
      <c r="E447" s="21" t="n"/>
      <c r="F447" s="11">
        <f>IF(AND(B447="",C447="",D447=""),"",IF(NOT(ISNUMBER(B447)),"Needs a date",IF(D447="","Needs the job",IF(AND(C447&lt;&gt;"",C447&lt;&gt;"All beds",COUNTIF(Beds!$B$6:$B$35,C447)=0),"Not on Beds",""))))</f>
        <v/>
      </c>
      <c r="G447" s="1">
        <f>IF(ISNUMBER(B447),INT(B447),0)</f>
        <v/>
      </c>
      <c r="H447">
        <f>IF(AND(G447&gt;0,D447="Water",OR(C447="",C447="All beds")),G447,0)</f>
        <v/>
      </c>
    </row>
    <row r="448">
      <c r="A448" s="1" t="n"/>
      <c r="B448" s="17" t="n"/>
      <c r="C448" s="18" t="n"/>
      <c r="D448" s="19" t="n"/>
      <c r="E448" s="21" t="n"/>
      <c r="F448" s="11">
        <f>IF(AND(B448="",C448="",D448=""),"",IF(NOT(ISNUMBER(B448)),"Needs a date",IF(D448="","Needs the job",IF(AND(C448&lt;&gt;"",C448&lt;&gt;"All beds",COUNTIF(Beds!$B$6:$B$35,C448)=0),"Not on Beds",""))))</f>
        <v/>
      </c>
      <c r="G448" s="1">
        <f>IF(ISNUMBER(B448),INT(B448),0)</f>
        <v/>
      </c>
      <c r="H448">
        <f>IF(AND(G448&gt;0,D448="Water",OR(C448="",C448="All beds")),G448,0)</f>
        <v/>
      </c>
    </row>
    <row r="449">
      <c r="A449" s="1" t="n"/>
      <c r="B449" s="17" t="n"/>
      <c r="C449" s="18" t="n"/>
      <c r="D449" s="19" t="n"/>
      <c r="E449" s="21" t="n"/>
      <c r="F449" s="11">
        <f>IF(AND(B449="",C449="",D449=""),"",IF(NOT(ISNUMBER(B449)),"Needs a date",IF(D449="","Needs the job",IF(AND(C449&lt;&gt;"",C449&lt;&gt;"All beds",COUNTIF(Beds!$B$6:$B$35,C449)=0),"Not on Beds",""))))</f>
        <v/>
      </c>
      <c r="G449" s="1">
        <f>IF(ISNUMBER(B449),INT(B449),0)</f>
        <v/>
      </c>
      <c r="H449">
        <f>IF(AND(G449&gt;0,D449="Water",OR(C449="",C449="All beds")),G449,0)</f>
        <v/>
      </c>
    </row>
    <row r="450">
      <c r="A450" s="1" t="n"/>
      <c r="B450" s="17" t="n"/>
      <c r="C450" s="18" t="n"/>
      <c r="D450" s="19" t="n"/>
      <c r="E450" s="21" t="n"/>
      <c r="F450" s="11">
        <f>IF(AND(B450="",C450="",D450=""),"",IF(NOT(ISNUMBER(B450)),"Needs a date",IF(D450="","Needs the job",IF(AND(C450&lt;&gt;"",C450&lt;&gt;"All beds",COUNTIF(Beds!$B$6:$B$35,C450)=0),"Not on Beds",""))))</f>
        <v/>
      </c>
      <c r="G450" s="1">
        <f>IF(ISNUMBER(B450),INT(B450),0)</f>
        <v/>
      </c>
      <c r="H450">
        <f>IF(AND(G450&gt;0,D450="Water",OR(C450="",C450="All beds")),G450,0)</f>
        <v/>
      </c>
    </row>
    <row r="451">
      <c r="A451" s="1" t="n"/>
      <c r="B451" s="17" t="n"/>
      <c r="C451" s="18" t="n"/>
      <c r="D451" s="19" t="n"/>
      <c r="E451" s="21" t="n"/>
      <c r="F451" s="11">
        <f>IF(AND(B451="",C451="",D451=""),"",IF(NOT(ISNUMBER(B451)),"Needs a date",IF(D451="","Needs the job",IF(AND(C451&lt;&gt;"",C451&lt;&gt;"All beds",COUNTIF(Beds!$B$6:$B$35,C451)=0),"Not on Beds",""))))</f>
        <v/>
      </c>
      <c r="G451" s="1">
        <f>IF(ISNUMBER(B451),INT(B451),0)</f>
        <v/>
      </c>
      <c r="H451">
        <f>IF(AND(G451&gt;0,D451="Water",OR(C451="",C451="All beds")),G451,0)</f>
        <v/>
      </c>
    </row>
    <row r="452">
      <c r="A452" s="1" t="n"/>
      <c r="B452" s="17" t="n"/>
      <c r="C452" s="18" t="n"/>
      <c r="D452" s="19" t="n"/>
      <c r="E452" s="21" t="n"/>
      <c r="F452" s="11">
        <f>IF(AND(B452="",C452="",D452=""),"",IF(NOT(ISNUMBER(B452)),"Needs a date",IF(D452="","Needs the job",IF(AND(C452&lt;&gt;"",C452&lt;&gt;"All beds",COUNTIF(Beds!$B$6:$B$35,C452)=0),"Not on Beds",""))))</f>
        <v/>
      </c>
      <c r="G452" s="1">
        <f>IF(ISNUMBER(B452),INT(B452),0)</f>
        <v/>
      </c>
      <c r="H452">
        <f>IF(AND(G452&gt;0,D452="Water",OR(C452="",C452="All beds")),G452,0)</f>
        <v/>
      </c>
    </row>
    <row r="453">
      <c r="A453" s="1" t="n"/>
      <c r="B453" s="17" t="n"/>
      <c r="C453" s="18" t="n"/>
      <c r="D453" s="19" t="n"/>
      <c r="E453" s="21" t="n"/>
      <c r="F453" s="11">
        <f>IF(AND(B453="",C453="",D453=""),"",IF(NOT(ISNUMBER(B453)),"Needs a date",IF(D453="","Needs the job",IF(AND(C453&lt;&gt;"",C453&lt;&gt;"All beds",COUNTIF(Beds!$B$6:$B$35,C453)=0),"Not on Beds",""))))</f>
        <v/>
      </c>
      <c r="G453" s="1">
        <f>IF(ISNUMBER(B453),INT(B453),0)</f>
        <v/>
      </c>
      <c r="H453">
        <f>IF(AND(G453&gt;0,D453="Water",OR(C453="",C453="All beds")),G453,0)</f>
        <v/>
      </c>
    </row>
    <row r="454">
      <c r="A454" s="1" t="n"/>
      <c r="B454" s="17" t="n"/>
      <c r="C454" s="18" t="n"/>
      <c r="D454" s="19" t="n"/>
      <c r="E454" s="21" t="n"/>
      <c r="F454" s="11">
        <f>IF(AND(B454="",C454="",D454=""),"",IF(NOT(ISNUMBER(B454)),"Needs a date",IF(D454="","Needs the job",IF(AND(C454&lt;&gt;"",C454&lt;&gt;"All beds",COUNTIF(Beds!$B$6:$B$35,C454)=0),"Not on Beds",""))))</f>
        <v/>
      </c>
      <c r="G454" s="1">
        <f>IF(ISNUMBER(B454),INT(B454),0)</f>
        <v/>
      </c>
      <c r="H454">
        <f>IF(AND(G454&gt;0,D454="Water",OR(C454="",C454="All beds")),G454,0)</f>
        <v/>
      </c>
    </row>
    <row r="455">
      <c r="A455" s="1" t="n"/>
      <c r="B455" s="17" t="n"/>
      <c r="C455" s="18" t="n"/>
      <c r="D455" s="19" t="n"/>
      <c r="E455" s="21" t="n"/>
      <c r="F455" s="11">
        <f>IF(AND(B455="",C455="",D455=""),"",IF(NOT(ISNUMBER(B455)),"Needs a date",IF(D455="","Needs the job",IF(AND(C455&lt;&gt;"",C455&lt;&gt;"All beds",COUNTIF(Beds!$B$6:$B$35,C455)=0),"Not on Beds",""))))</f>
        <v/>
      </c>
      <c r="G455" s="1">
        <f>IF(ISNUMBER(B455),INT(B455),0)</f>
        <v/>
      </c>
      <c r="H455">
        <f>IF(AND(G455&gt;0,D455="Water",OR(C455="",C455="All beds")),G455,0)</f>
        <v/>
      </c>
    </row>
    <row r="456">
      <c r="A456" s="1" t="n"/>
      <c r="B456" s="17" t="n"/>
      <c r="C456" s="18" t="n"/>
      <c r="D456" s="19" t="n"/>
      <c r="E456" s="21" t="n"/>
      <c r="F456" s="11">
        <f>IF(AND(B456="",C456="",D456=""),"",IF(NOT(ISNUMBER(B456)),"Needs a date",IF(D456="","Needs the job",IF(AND(C456&lt;&gt;"",C456&lt;&gt;"All beds",COUNTIF(Beds!$B$6:$B$35,C456)=0),"Not on Beds",""))))</f>
        <v/>
      </c>
      <c r="G456" s="1">
        <f>IF(ISNUMBER(B456),INT(B456),0)</f>
        <v/>
      </c>
      <c r="H456">
        <f>IF(AND(G456&gt;0,D456="Water",OR(C456="",C456="All beds")),G456,0)</f>
        <v/>
      </c>
    </row>
    <row r="457">
      <c r="A457" s="1" t="n"/>
      <c r="B457" s="17" t="n"/>
      <c r="C457" s="18" t="n"/>
      <c r="D457" s="19" t="n"/>
      <c r="E457" s="21" t="n"/>
      <c r="F457" s="11">
        <f>IF(AND(B457="",C457="",D457=""),"",IF(NOT(ISNUMBER(B457)),"Needs a date",IF(D457="","Needs the job",IF(AND(C457&lt;&gt;"",C457&lt;&gt;"All beds",COUNTIF(Beds!$B$6:$B$35,C457)=0),"Not on Beds",""))))</f>
        <v/>
      </c>
      <c r="G457" s="1">
        <f>IF(ISNUMBER(B457),INT(B457),0)</f>
        <v/>
      </c>
      <c r="H457">
        <f>IF(AND(G457&gt;0,D457="Water",OR(C457="",C457="All beds")),G457,0)</f>
        <v/>
      </c>
    </row>
    <row r="458">
      <c r="A458" s="1" t="n"/>
      <c r="B458" s="17" t="n"/>
      <c r="C458" s="18" t="n"/>
      <c r="D458" s="19" t="n"/>
      <c r="E458" s="21" t="n"/>
      <c r="F458" s="11">
        <f>IF(AND(B458="",C458="",D458=""),"",IF(NOT(ISNUMBER(B458)),"Needs a date",IF(D458="","Needs the job",IF(AND(C458&lt;&gt;"",C458&lt;&gt;"All beds",COUNTIF(Beds!$B$6:$B$35,C458)=0),"Not on Beds",""))))</f>
        <v/>
      </c>
      <c r="G458" s="1">
        <f>IF(ISNUMBER(B458),INT(B458),0)</f>
        <v/>
      </c>
      <c r="H458">
        <f>IF(AND(G458&gt;0,D458="Water",OR(C458="",C458="All beds")),G458,0)</f>
        <v/>
      </c>
    </row>
    <row r="459">
      <c r="A459" s="1" t="n"/>
      <c r="B459" s="17" t="n"/>
      <c r="C459" s="18" t="n"/>
      <c r="D459" s="19" t="n"/>
      <c r="E459" s="21" t="n"/>
      <c r="F459" s="11">
        <f>IF(AND(B459="",C459="",D459=""),"",IF(NOT(ISNUMBER(B459)),"Needs a date",IF(D459="","Needs the job",IF(AND(C459&lt;&gt;"",C459&lt;&gt;"All beds",COUNTIF(Beds!$B$6:$B$35,C459)=0),"Not on Beds",""))))</f>
        <v/>
      </c>
      <c r="G459" s="1">
        <f>IF(ISNUMBER(B459),INT(B459),0)</f>
        <v/>
      </c>
      <c r="H459">
        <f>IF(AND(G459&gt;0,D459="Water",OR(C459="",C459="All beds")),G459,0)</f>
        <v/>
      </c>
    </row>
    <row r="460">
      <c r="A460" s="1" t="n"/>
      <c r="B460" s="17" t="n"/>
      <c r="C460" s="18" t="n"/>
      <c r="D460" s="19" t="n"/>
      <c r="E460" s="21" t="n"/>
      <c r="F460" s="11">
        <f>IF(AND(B460="",C460="",D460=""),"",IF(NOT(ISNUMBER(B460)),"Needs a date",IF(D460="","Needs the job",IF(AND(C460&lt;&gt;"",C460&lt;&gt;"All beds",COUNTIF(Beds!$B$6:$B$35,C460)=0),"Not on Beds",""))))</f>
        <v/>
      </c>
      <c r="G460" s="1">
        <f>IF(ISNUMBER(B460),INT(B460),0)</f>
        <v/>
      </c>
      <c r="H460">
        <f>IF(AND(G460&gt;0,D460="Water",OR(C460="",C460="All beds")),G460,0)</f>
        <v/>
      </c>
    </row>
    <row r="461">
      <c r="A461" s="1" t="n"/>
      <c r="B461" s="17" t="n"/>
      <c r="C461" s="18" t="n"/>
      <c r="D461" s="19" t="n"/>
      <c r="E461" s="21" t="n"/>
      <c r="F461" s="11">
        <f>IF(AND(B461="",C461="",D461=""),"",IF(NOT(ISNUMBER(B461)),"Needs a date",IF(D461="","Needs the job",IF(AND(C461&lt;&gt;"",C461&lt;&gt;"All beds",COUNTIF(Beds!$B$6:$B$35,C461)=0),"Not on Beds",""))))</f>
        <v/>
      </c>
      <c r="G461" s="1">
        <f>IF(ISNUMBER(B461),INT(B461),0)</f>
        <v/>
      </c>
      <c r="H461">
        <f>IF(AND(G461&gt;0,D461="Water",OR(C461="",C461="All beds")),G461,0)</f>
        <v/>
      </c>
    </row>
    <row r="462">
      <c r="A462" s="1" t="n"/>
      <c r="B462" s="17" t="n"/>
      <c r="C462" s="18" t="n"/>
      <c r="D462" s="19" t="n"/>
      <c r="E462" s="21" t="n"/>
      <c r="F462" s="11">
        <f>IF(AND(B462="",C462="",D462=""),"",IF(NOT(ISNUMBER(B462)),"Needs a date",IF(D462="","Needs the job",IF(AND(C462&lt;&gt;"",C462&lt;&gt;"All beds",COUNTIF(Beds!$B$6:$B$35,C462)=0),"Not on Beds",""))))</f>
        <v/>
      </c>
      <c r="G462" s="1">
        <f>IF(ISNUMBER(B462),INT(B462),0)</f>
        <v/>
      </c>
      <c r="H462">
        <f>IF(AND(G462&gt;0,D462="Water",OR(C462="",C462="All beds")),G462,0)</f>
        <v/>
      </c>
    </row>
    <row r="463">
      <c r="A463" s="1" t="n"/>
      <c r="B463" s="17" t="n"/>
      <c r="C463" s="18" t="n"/>
      <c r="D463" s="19" t="n"/>
      <c r="E463" s="21" t="n"/>
      <c r="F463" s="11">
        <f>IF(AND(B463="",C463="",D463=""),"",IF(NOT(ISNUMBER(B463)),"Needs a date",IF(D463="","Needs the job",IF(AND(C463&lt;&gt;"",C463&lt;&gt;"All beds",COUNTIF(Beds!$B$6:$B$35,C463)=0),"Not on Beds",""))))</f>
        <v/>
      </c>
      <c r="G463" s="1">
        <f>IF(ISNUMBER(B463),INT(B463),0)</f>
        <v/>
      </c>
      <c r="H463">
        <f>IF(AND(G463&gt;0,D463="Water",OR(C463="",C463="All beds")),G463,0)</f>
        <v/>
      </c>
    </row>
    <row r="464">
      <c r="A464" s="1" t="n"/>
      <c r="B464" s="17" t="n"/>
      <c r="C464" s="18" t="n"/>
      <c r="D464" s="19" t="n"/>
      <c r="E464" s="21" t="n"/>
      <c r="F464" s="11">
        <f>IF(AND(B464="",C464="",D464=""),"",IF(NOT(ISNUMBER(B464)),"Needs a date",IF(D464="","Needs the job",IF(AND(C464&lt;&gt;"",C464&lt;&gt;"All beds",COUNTIF(Beds!$B$6:$B$35,C464)=0),"Not on Beds",""))))</f>
        <v/>
      </c>
      <c r="G464" s="1">
        <f>IF(ISNUMBER(B464),INT(B464),0)</f>
        <v/>
      </c>
      <c r="H464">
        <f>IF(AND(G464&gt;0,D464="Water",OR(C464="",C464="All beds")),G464,0)</f>
        <v/>
      </c>
    </row>
    <row r="465">
      <c r="A465" s="1" t="n"/>
      <c r="B465" s="17" t="n"/>
      <c r="C465" s="18" t="n"/>
      <c r="D465" s="19" t="n"/>
      <c r="E465" s="21" t="n"/>
      <c r="F465" s="11">
        <f>IF(AND(B465="",C465="",D465=""),"",IF(NOT(ISNUMBER(B465)),"Needs a date",IF(D465="","Needs the job",IF(AND(C465&lt;&gt;"",C465&lt;&gt;"All beds",COUNTIF(Beds!$B$6:$B$35,C465)=0),"Not on Beds",""))))</f>
        <v/>
      </c>
      <c r="G465" s="1">
        <f>IF(ISNUMBER(B465),INT(B465),0)</f>
        <v/>
      </c>
      <c r="H465">
        <f>IF(AND(G465&gt;0,D465="Water",OR(C465="",C465="All beds")),G465,0)</f>
        <v/>
      </c>
    </row>
    <row r="466">
      <c r="A466" s="1" t="n"/>
      <c r="B466" s="17" t="n"/>
      <c r="C466" s="18" t="n"/>
      <c r="D466" s="19" t="n"/>
      <c r="E466" s="21" t="n"/>
      <c r="F466" s="11">
        <f>IF(AND(B466="",C466="",D466=""),"",IF(NOT(ISNUMBER(B466)),"Needs a date",IF(D466="","Needs the job",IF(AND(C466&lt;&gt;"",C466&lt;&gt;"All beds",COUNTIF(Beds!$B$6:$B$35,C466)=0),"Not on Beds",""))))</f>
        <v/>
      </c>
      <c r="G466" s="1">
        <f>IF(ISNUMBER(B466),INT(B466),0)</f>
        <v/>
      </c>
      <c r="H466">
        <f>IF(AND(G466&gt;0,D466="Water",OR(C466="",C466="All beds")),G466,0)</f>
        <v/>
      </c>
    </row>
    <row r="467">
      <c r="A467" s="1" t="n"/>
      <c r="B467" s="17" t="n"/>
      <c r="C467" s="18" t="n"/>
      <c r="D467" s="19" t="n"/>
      <c r="E467" s="21" t="n"/>
      <c r="F467" s="11">
        <f>IF(AND(B467="",C467="",D467=""),"",IF(NOT(ISNUMBER(B467)),"Needs a date",IF(D467="","Needs the job",IF(AND(C467&lt;&gt;"",C467&lt;&gt;"All beds",COUNTIF(Beds!$B$6:$B$35,C467)=0),"Not on Beds",""))))</f>
        <v/>
      </c>
      <c r="G467" s="1">
        <f>IF(ISNUMBER(B467),INT(B467),0)</f>
        <v/>
      </c>
      <c r="H467">
        <f>IF(AND(G467&gt;0,D467="Water",OR(C467="",C467="All beds")),G467,0)</f>
        <v/>
      </c>
    </row>
    <row r="468">
      <c r="A468" s="1" t="n"/>
      <c r="B468" s="17" t="n"/>
      <c r="C468" s="18" t="n"/>
      <c r="D468" s="19" t="n"/>
      <c r="E468" s="21" t="n"/>
      <c r="F468" s="11">
        <f>IF(AND(B468="",C468="",D468=""),"",IF(NOT(ISNUMBER(B468)),"Needs a date",IF(D468="","Needs the job",IF(AND(C468&lt;&gt;"",C468&lt;&gt;"All beds",COUNTIF(Beds!$B$6:$B$35,C468)=0),"Not on Beds",""))))</f>
        <v/>
      </c>
      <c r="G468" s="1">
        <f>IF(ISNUMBER(B468),INT(B468),0)</f>
        <v/>
      </c>
      <c r="H468">
        <f>IF(AND(G468&gt;0,D468="Water",OR(C468="",C468="All beds")),G468,0)</f>
        <v/>
      </c>
    </row>
    <row r="469">
      <c r="A469" s="1" t="n"/>
      <c r="B469" s="17" t="n"/>
      <c r="C469" s="18" t="n"/>
      <c r="D469" s="19" t="n"/>
      <c r="E469" s="21" t="n"/>
      <c r="F469" s="11">
        <f>IF(AND(B469="",C469="",D469=""),"",IF(NOT(ISNUMBER(B469)),"Needs a date",IF(D469="","Needs the job",IF(AND(C469&lt;&gt;"",C469&lt;&gt;"All beds",COUNTIF(Beds!$B$6:$B$35,C469)=0),"Not on Beds",""))))</f>
        <v/>
      </c>
      <c r="G469" s="1">
        <f>IF(ISNUMBER(B469),INT(B469),0)</f>
        <v/>
      </c>
      <c r="H469">
        <f>IF(AND(G469&gt;0,D469="Water",OR(C469="",C469="All beds")),G469,0)</f>
        <v/>
      </c>
    </row>
    <row r="470">
      <c r="A470" s="1" t="n"/>
      <c r="B470" s="17" t="n"/>
      <c r="C470" s="18" t="n"/>
      <c r="D470" s="19" t="n"/>
      <c r="E470" s="21" t="n"/>
      <c r="F470" s="11">
        <f>IF(AND(B470="",C470="",D470=""),"",IF(NOT(ISNUMBER(B470)),"Needs a date",IF(D470="","Needs the job",IF(AND(C470&lt;&gt;"",C470&lt;&gt;"All beds",COUNTIF(Beds!$B$6:$B$35,C470)=0),"Not on Beds",""))))</f>
        <v/>
      </c>
      <c r="G470" s="1">
        <f>IF(ISNUMBER(B470),INT(B470),0)</f>
        <v/>
      </c>
      <c r="H470">
        <f>IF(AND(G470&gt;0,D470="Water",OR(C470="",C470="All beds")),G470,0)</f>
        <v/>
      </c>
    </row>
    <row r="471">
      <c r="A471" s="1" t="n"/>
      <c r="B471" s="17" t="n"/>
      <c r="C471" s="18" t="n"/>
      <c r="D471" s="19" t="n"/>
      <c r="E471" s="21" t="n"/>
      <c r="F471" s="11">
        <f>IF(AND(B471="",C471="",D471=""),"",IF(NOT(ISNUMBER(B471)),"Needs a date",IF(D471="","Needs the job",IF(AND(C471&lt;&gt;"",C471&lt;&gt;"All beds",COUNTIF(Beds!$B$6:$B$35,C471)=0),"Not on Beds",""))))</f>
        <v/>
      </c>
      <c r="G471" s="1">
        <f>IF(ISNUMBER(B471),INT(B471),0)</f>
        <v/>
      </c>
      <c r="H471">
        <f>IF(AND(G471&gt;0,D471="Water",OR(C471="",C471="All beds")),G471,0)</f>
        <v/>
      </c>
    </row>
    <row r="472">
      <c r="A472" s="1" t="n"/>
      <c r="B472" s="17" t="n"/>
      <c r="C472" s="18" t="n"/>
      <c r="D472" s="19" t="n"/>
      <c r="E472" s="21" t="n"/>
      <c r="F472" s="11">
        <f>IF(AND(B472="",C472="",D472=""),"",IF(NOT(ISNUMBER(B472)),"Needs a date",IF(D472="","Needs the job",IF(AND(C472&lt;&gt;"",C472&lt;&gt;"All beds",COUNTIF(Beds!$B$6:$B$35,C472)=0),"Not on Beds",""))))</f>
        <v/>
      </c>
      <c r="G472" s="1">
        <f>IF(ISNUMBER(B472),INT(B472),0)</f>
        <v/>
      </c>
      <c r="H472">
        <f>IF(AND(G472&gt;0,D472="Water",OR(C472="",C472="All beds")),G472,0)</f>
        <v/>
      </c>
    </row>
    <row r="473">
      <c r="A473" s="1" t="n"/>
      <c r="B473" s="17" t="n"/>
      <c r="C473" s="18" t="n"/>
      <c r="D473" s="19" t="n"/>
      <c r="E473" s="21" t="n"/>
      <c r="F473" s="11">
        <f>IF(AND(B473="",C473="",D473=""),"",IF(NOT(ISNUMBER(B473)),"Needs a date",IF(D473="","Needs the job",IF(AND(C473&lt;&gt;"",C473&lt;&gt;"All beds",COUNTIF(Beds!$B$6:$B$35,C473)=0),"Not on Beds",""))))</f>
        <v/>
      </c>
      <c r="G473" s="1">
        <f>IF(ISNUMBER(B473),INT(B473),0)</f>
        <v/>
      </c>
      <c r="H473">
        <f>IF(AND(G473&gt;0,D473="Water",OR(C473="",C473="All beds")),G473,0)</f>
        <v/>
      </c>
    </row>
    <row r="474">
      <c r="A474" s="1" t="n"/>
      <c r="B474" s="17" t="n"/>
      <c r="C474" s="18" t="n"/>
      <c r="D474" s="19" t="n"/>
      <c r="E474" s="21" t="n"/>
      <c r="F474" s="11">
        <f>IF(AND(B474="",C474="",D474=""),"",IF(NOT(ISNUMBER(B474)),"Needs a date",IF(D474="","Needs the job",IF(AND(C474&lt;&gt;"",C474&lt;&gt;"All beds",COUNTIF(Beds!$B$6:$B$35,C474)=0),"Not on Beds",""))))</f>
        <v/>
      </c>
      <c r="G474" s="1">
        <f>IF(ISNUMBER(B474),INT(B474),0)</f>
        <v/>
      </c>
      <c r="H474">
        <f>IF(AND(G474&gt;0,D474="Water",OR(C474="",C474="All beds")),G474,0)</f>
        <v/>
      </c>
    </row>
    <row r="475">
      <c r="A475" s="1" t="n"/>
      <c r="B475" s="17" t="n"/>
      <c r="C475" s="18" t="n"/>
      <c r="D475" s="19" t="n"/>
      <c r="E475" s="21" t="n"/>
      <c r="F475" s="11">
        <f>IF(AND(B475="",C475="",D475=""),"",IF(NOT(ISNUMBER(B475)),"Needs a date",IF(D475="","Needs the job",IF(AND(C475&lt;&gt;"",C475&lt;&gt;"All beds",COUNTIF(Beds!$B$6:$B$35,C475)=0),"Not on Beds",""))))</f>
        <v/>
      </c>
      <c r="G475" s="1">
        <f>IF(ISNUMBER(B475),INT(B475),0)</f>
        <v/>
      </c>
      <c r="H475">
        <f>IF(AND(G475&gt;0,D475="Water",OR(C475="",C475="All beds")),G475,0)</f>
        <v/>
      </c>
    </row>
    <row r="476">
      <c r="A476" s="1" t="n"/>
      <c r="B476" s="17" t="n"/>
      <c r="C476" s="18" t="n"/>
      <c r="D476" s="19" t="n"/>
      <c r="E476" s="21" t="n"/>
      <c r="F476" s="11">
        <f>IF(AND(B476="",C476="",D476=""),"",IF(NOT(ISNUMBER(B476)),"Needs a date",IF(D476="","Needs the job",IF(AND(C476&lt;&gt;"",C476&lt;&gt;"All beds",COUNTIF(Beds!$B$6:$B$35,C476)=0),"Not on Beds",""))))</f>
        <v/>
      </c>
      <c r="G476" s="1">
        <f>IF(ISNUMBER(B476),INT(B476),0)</f>
        <v/>
      </c>
      <c r="H476">
        <f>IF(AND(G476&gt;0,D476="Water",OR(C476="",C476="All beds")),G476,0)</f>
        <v/>
      </c>
    </row>
    <row r="477">
      <c r="A477" s="1" t="n"/>
      <c r="B477" s="17" t="n"/>
      <c r="C477" s="18" t="n"/>
      <c r="D477" s="19" t="n"/>
      <c r="E477" s="21" t="n"/>
      <c r="F477" s="11">
        <f>IF(AND(B477="",C477="",D477=""),"",IF(NOT(ISNUMBER(B477)),"Needs a date",IF(D477="","Needs the job",IF(AND(C477&lt;&gt;"",C477&lt;&gt;"All beds",COUNTIF(Beds!$B$6:$B$35,C477)=0),"Not on Beds",""))))</f>
        <v/>
      </c>
      <c r="G477" s="1">
        <f>IF(ISNUMBER(B477),INT(B477),0)</f>
        <v/>
      </c>
      <c r="H477">
        <f>IF(AND(G477&gt;0,D477="Water",OR(C477="",C477="All beds")),G477,0)</f>
        <v/>
      </c>
    </row>
    <row r="478">
      <c r="A478" s="1" t="n"/>
      <c r="B478" s="17" t="n"/>
      <c r="C478" s="18" t="n"/>
      <c r="D478" s="19" t="n"/>
      <c r="E478" s="21" t="n"/>
      <c r="F478" s="11">
        <f>IF(AND(B478="",C478="",D478=""),"",IF(NOT(ISNUMBER(B478)),"Needs a date",IF(D478="","Needs the job",IF(AND(C478&lt;&gt;"",C478&lt;&gt;"All beds",COUNTIF(Beds!$B$6:$B$35,C478)=0),"Not on Beds",""))))</f>
        <v/>
      </c>
      <c r="G478" s="1">
        <f>IF(ISNUMBER(B478),INT(B478),0)</f>
        <v/>
      </c>
      <c r="H478">
        <f>IF(AND(G478&gt;0,D478="Water",OR(C478="",C478="All beds")),G478,0)</f>
        <v/>
      </c>
    </row>
    <row r="479">
      <c r="A479" s="1" t="n"/>
      <c r="B479" s="17" t="n"/>
      <c r="C479" s="18" t="n"/>
      <c r="D479" s="19" t="n"/>
      <c r="E479" s="21" t="n"/>
      <c r="F479" s="11">
        <f>IF(AND(B479="",C479="",D479=""),"",IF(NOT(ISNUMBER(B479)),"Needs a date",IF(D479="","Needs the job",IF(AND(C479&lt;&gt;"",C479&lt;&gt;"All beds",COUNTIF(Beds!$B$6:$B$35,C479)=0),"Not on Beds",""))))</f>
        <v/>
      </c>
      <c r="G479" s="1">
        <f>IF(ISNUMBER(B479),INT(B479),0)</f>
        <v/>
      </c>
      <c r="H479">
        <f>IF(AND(G479&gt;0,D479="Water",OR(C479="",C479="All beds")),G479,0)</f>
        <v/>
      </c>
    </row>
    <row r="480">
      <c r="A480" s="1" t="n"/>
      <c r="B480" s="17" t="n"/>
      <c r="C480" s="18" t="n"/>
      <c r="D480" s="19" t="n"/>
      <c r="E480" s="21" t="n"/>
      <c r="F480" s="11">
        <f>IF(AND(B480="",C480="",D480=""),"",IF(NOT(ISNUMBER(B480)),"Needs a date",IF(D480="","Needs the job",IF(AND(C480&lt;&gt;"",C480&lt;&gt;"All beds",COUNTIF(Beds!$B$6:$B$35,C480)=0),"Not on Beds",""))))</f>
        <v/>
      </c>
      <c r="G480" s="1">
        <f>IF(ISNUMBER(B480),INT(B480),0)</f>
        <v/>
      </c>
      <c r="H480">
        <f>IF(AND(G480&gt;0,D480="Water",OR(C480="",C480="All beds")),G480,0)</f>
        <v/>
      </c>
    </row>
    <row r="481">
      <c r="A481" s="1" t="n"/>
      <c r="B481" s="17" t="n"/>
      <c r="C481" s="18" t="n"/>
      <c r="D481" s="19" t="n"/>
      <c r="E481" s="21" t="n"/>
      <c r="F481" s="11">
        <f>IF(AND(B481="",C481="",D481=""),"",IF(NOT(ISNUMBER(B481)),"Needs a date",IF(D481="","Needs the job",IF(AND(C481&lt;&gt;"",C481&lt;&gt;"All beds",COUNTIF(Beds!$B$6:$B$35,C481)=0),"Not on Beds",""))))</f>
        <v/>
      </c>
      <c r="G481" s="1">
        <f>IF(ISNUMBER(B481),INT(B481),0)</f>
        <v/>
      </c>
      <c r="H481">
        <f>IF(AND(G481&gt;0,D481="Water",OR(C481="",C481="All beds")),G481,0)</f>
        <v/>
      </c>
    </row>
    <row r="482">
      <c r="A482" s="1" t="n"/>
      <c r="B482" s="17" t="n"/>
      <c r="C482" s="18" t="n"/>
      <c r="D482" s="19" t="n"/>
      <c r="E482" s="21" t="n"/>
      <c r="F482" s="11">
        <f>IF(AND(B482="",C482="",D482=""),"",IF(NOT(ISNUMBER(B482)),"Needs a date",IF(D482="","Needs the job",IF(AND(C482&lt;&gt;"",C482&lt;&gt;"All beds",COUNTIF(Beds!$B$6:$B$35,C482)=0),"Not on Beds",""))))</f>
        <v/>
      </c>
      <c r="G482" s="1">
        <f>IF(ISNUMBER(B482),INT(B482),0)</f>
        <v/>
      </c>
      <c r="H482">
        <f>IF(AND(G482&gt;0,D482="Water",OR(C482="",C482="All beds")),G482,0)</f>
        <v/>
      </c>
    </row>
    <row r="483">
      <c r="A483" s="1" t="n"/>
      <c r="B483" s="17" t="n"/>
      <c r="C483" s="18" t="n"/>
      <c r="D483" s="19" t="n"/>
      <c r="E483" s="21" t="n"/>
      <c r="F483" s="11">
        <f>IF(AND(B483="",C483="",D483=""),"",IF(NOT(ISNUMBER(B483)),"Needs a date",IF(D483="","Needs the job",IF(AND(C483&lt;&gt;"",C483&lt;&gt;"All beds",COUNTIF(Beds!$B$6:$B$35,C483)=0),"Not on Beds",""))))</f>
        <v/>
      </c>
      <c r="G483" s="1">
        <f>IF(ISNUMBER(B483),INT(B483),0)</f>
        <v/>
      </c>
      <c r="H483">
        <f>IF(AND(G483&gt;0,D483="Water",OR(C483="",C483="All beds")),G483,0)</f>
        <v/>
      </c>
    </row>
    <row r="484">
      <c r="A484" s="1" t="n"/>
      <c r="B484" s="17" t="n"/>
      <c r="C484" s="18" t="n"/>
      <c r="D484" s="19" t="n"/>
      <c r="E484" s="21" t="n"/>
      <c r="F484" s="11">
        <f>IF(AND(B484="",C484="",D484=""),"",IF(NOT(ISNUMBER(B484)),"Needs a date",IF(D484="","Needs the job",IF(AND(C484&lt;&gt;"",C484&lt;&gt;"All beds",COUNTIF(Beds!$B$6:$B$35,C484)=0),"Not on Beds",""))))</f>
        <v/>
      </c>
      <c r="G484" s="1">
        <f>IF(ISNUMBER(B484),INT(B484),0)</f>
        <v/>
      </c>
      <c r="H484">
        <f>IF(AND(G484&gt;0,D484="Water",OR(C484="",C484="All beds")),G484,0)</f>
        <v/>
      </c>
    </row>
    <row r="485">
      <c r="A485" s="1" t="n"/>
      <c r="B485" s="17" t="n"/>
      <c r="C485" s="18" t="n"/>
      <c r="D485" s="19" t="n"/>
      <c r="E485" s="21" t="n"/>
      <c r="F485" s="11">
        <f>IF(AND(B485="",C485="",D485=""),"",IF(NOT(ISNUMBER(B485)),"Needs a date",IF(D485="","Needs the job",IF(AND(C485&lt;&gt;"",C485&lt;&gt;"All beds",COUNTIF(Beds!$B$6:$B$35,C485)=0),"Not on Beds",""))))</f>
        <v/>
      </c>
      <c r="G485" s="1">
        <f>IF(ISNUMBER(B485),INT(B485),0)</f>
        <v/>
      </c>
      <c r="H485">
        <f>IF(AND(G485&gt;0,D485="Water",OR(C485="",C485="All beds")),G485,0)</f>
        <v/>
      </c>
    </row>
    <row r="486">
      <c r="A486" s="1" t="n"/>
      <c r="B486" s="17" t="n"/>
      <c r="C486" s="18" t="n"/>
      <c r="D486" s="19" t="n"/>
      <c r="E486" s="21" t="n"/>
      <c r="F486" s="11">
        <f>IF(AND(B486="",C486="",D486=""),"",IF(NOT(ISNUMBER(B486)),"Needs a date",IF(D486="","Needs the job",IF(AND(C486&lt;&gt;"",C486&lt;&gt;"All beds",COUNTIF(Beds!$B$6:$B$35,C486)=0),"Not on Beds",""))))</f>
        <v/>
      </c>
      <c r="G486" s="1">
        <f>IF(ISNUMBER(B486),INT(B486),0)</f>
        <v/>
      </c>
      <c r="H486">
        <f>IF(AND(G486&gt;0,D486="Water",OR(C486="",C486="All beds")),G486,0)</f>
        <v/>
      </c>
    </row>
    <row r="487">
      <c r="A487" s="1" t="n"/>
      <c r="B487" s="17" t="n"/>
      <c r="C487" s="18" t="n"/>
      <c r="D487" s="19" t="n"/>
      <c r="E487" s="21" t="n"/>
      <c r="F487" s="11">
        <f>IF(AND(B487="",C487="",D487=""),"",IF(NOT(ISNUMBER(B487)),"Needs a date",IF(D487="","Needs the job",IF(AND(C487&lt;&gt;"",C487&lt;&gt;"All beds",COUNTIF(Beds!$B$6:$B$35,C487)=0),"Not on Beds",""))))</f>
        <v/>
      </c>
      <c r="G487" s="1">
        <f>IF(ISNUMBER(B487),INT(B487),0)</f>
        <v/>
      </c>
      <c r="H487">
        <f>IF(AND(G487&gt;0,D487="Water",OR(C487="",C487="All beds")),G487,0)</f>
        <v/>
      </c>
    </row>
    <row r="488">
      <c r="A488" s="1" t="n"/>
      <c r="B488" s="17" t="n"/>
      <c r="C488" s="18" t="n"/>
      <c r="D488" s="19" t="n"/>
      <c r="E488" s="21" t="n"/>
      <c r="F488" s="11">
        <f>IF(AND(B488="",C488="",D488=""),"",IF(NOT(ISNUMBER(B488)),"Needs a date",IF(D488="","Needs the job",IF(AND(C488&lt;&gt;"",C488&lt;&gt;"All beds",COUNTIF(Beds!$B$6:$B$35,C488)=0),"Not on Beds",""))))</f>
        <v/>
      </c>
      <c r="G488" s="1">
        <f>IF(ISNUMBER(B488),INT(B488),0)</f>
        <v/>
      </c>
      <c r="H488">
        <f>IF(AND(G488&gt;0,D488="Water",OR(C488="",C488="All beds")),G488,0)</f>
        <v/>
      </c>
    </row>
    <row r="489">
      <c r="A489" s="1" t="n"/>
      <c r="B489" s="17" t="n"/>
      <c r="C489" s="18" t="n"/>
      <c r="D489" s="19" t="n"/>
      <c r="E489" s="21" t="n"/>
      <c r="F489" s="11">
        <f>IF(AND(B489="",C489="",D489=""),"",IF(NOT(ISNUMBER(B489)),"Needs a date",IF(D489="","Needs the job",IF(AND(C489&lt;&gt;"",C489&lt;&gt;"All beds",COUNTIF(Beds!$B$6:$B$35,C489)=0),"Not on Beds",""))))</f>
        <v/>
      </c>
      <c r="G489" s="1">
        <f>IF(ISNUMBER(B489),INT(B489),0)</f>
        <v/>
      </c>
      <c r="H489">
        <f>IF(AND(G489&gt;0,D489="Water",OR(C489="",C489="All beds")),G489,0)</f>
        <v/>
      </c>
    </row>
    <row r="490">
      <c r="A490" s="1" t="n"/>
      <c r="B490" s="17" t="n"/>
      <c r="C490" s="18" t="n"/>
      <c r="D490" s="19" t="n"/>
      <c r="E490" s="21" t="n"/>
      <c r="F490" s="11">
        <f>IF(AND(B490="",C490="",D490=""),"",IF(NOT(ISNUMBER(B490)),"Needs a date",IF(D490="","Needs the job",IF(AND(C490&lt;&gt;"",C490&lt;&gt;"All beds",COUNTIF(Beds!$B$6:$B$35,C490)=0),"Not on Beds",""))))</f>
        <v/>
      </c>
      <c r="G490" s="1">
        <f>IF(ISNUMBER(B490),INT(B490),0)</f>
        <v/>
      </c>
      <c r="H490">
        <f>IF(AND(G490&gt;0,D490="Water",OR(C490="",C490="All beds")),G490,0)</f>
        <v/>
      </c>
    </row>
    <row r="491">
      <c r="A491" s="1" t="n"/>
      <c r="B491" s="17" t="n"/>
      <c r="C491" s="18" t="n"/>
      <c r="D491" s="19" t="n"/>
      <c r="E491" s="21" t="n"/>
      <c r="F491" s="11">
        <f>IF(AND(B491="",C491="",D491=""),"",IF(NOT(ISNUMBER(B491)),"Needs a date",IF(D491="","Needs the job",IF(AND(C491&lt;&gt;"",C491&lt;&gt;"All beds",COUNTIF(Beds!$B$6:$B$35,C491)=0),"Not on Beds",""))))</f>
        <v/>
      </c>
      <c r="G491" s="1">
        <f>IF(ISNUMBER(B491),INT(B491),0)</f>
        <v/>
      </c>
      <c r="H491">
        <f>IF(AND(G491&gt;0,D491="Water",OR(C491="",C491="All beds")),G491,0)</f>
        <v/>
      </c>
    </row>
    <row r="492">
      <c r="A492" s="1" t="n"/>
      <c r="B492" s="17" t="n"/>
      <c r="C492" s="18" t="n"/>
      <c r="D492" s="19" t="n"/>
      <c r="E492" s="21" t="n"/>
      <c r="F492" s="11">
        <f>IF(AND(B492="",C492="",D492=""),"",IF(NOT(ISNUMBER(B492)),"Needs a date",IF(D492="","Needs the job",IF(AND(C492&lt;&gt;"",C492&lt;&gt;"All beds",COUNTIF(Beds!$B$6:$B$35,C492)=0),"Not on Beds",""))))</f>
        <v/>
      </c>
      <c r="G492" s="1">
        <f>IF(ISNUMBER(B492),INT(B492),0)</f>
        <v/>
      </c>
      <c r="H492">
        <f>IF(AND(G492&gt;0,D492="Water",OR(C492="",C492="All beds")),G492,0)</f>
        <v/>
      </c>
    </row>
    <row r="493">
      <c r="A493" s="1" t="n"/>
      <c r="B493" s="17" t="n"/>
      <c r="C493" s="18" t="n"/>
      <c r="D493" s="19" t="n"/>
      <c r="E493" s="21" t="n"/>
      <c r="F493" s="11">
        <f>IF(AND(B493="",C493="",D493=""),"",IF(NOT(ISNUMBER(B493)),"Needs a date",IF(D493="","Needs the job",IF(AND(C493&lt;&gt;"",C493&lt;&gt;"All beds",COUNTIF(Beds!$B$6:$B$35,C493)=0),"Not on Beds",""))))</f>
        <v/>
      </c>
      <c r="G493" s="1">
        <f>IF(ISNUMBER(B493),INT(B493),0)</f>
        <v/>
      </c>
      <c r="H493">
        <f>IF(AND(G493&gt;0,D493="Water",OR(C493="",C493="All beds")),G493,0)</f>
        <v/>
      </c>
    </row>
    <row r="494">
      <c r="A494" s="1" t="n"/>
      <c r="B494" s="17" t="n"/>
      <c r="C494" s="18" t="n"/>
      <c r="D494" s="19" t="n"/>
      <c r="E494" s="21" t="n"/>
      <c r="F494" s="11">
        <f>IF(AND(B494="",C494="",D494=""),"",IF(NOT(ISNUMBER(B494)),"Needs a date",IF(D494="","Needs the job",IF(AND(C494&lt;&gt;"",C494&lt;&gt;"All beds",COUNTIF(Beds!$B$6:$B$35,C494)=0),"Not on Beds",""))))</f>
        <v/>
      </c>
      <c r="G494" s="1">
        <f>IF(ISNUMBER(B494),INT(B494),0)</f>
        <v/>
      </c>
      <c r="H494">
        <f>IF(AND(G494&gt;0,D494="Water",OR(C494="",C494="All beds")),G494,0)</f>
        <v/>
      </c>
    </row>
    <row r="495">
      <c r="A495" s="1" t="n"/>
      <c r="B495" s="17" t="n"/>
      <c r="C495" s="18" t="n"/>
      <c r="D495" s="19" t="n"/>
      <c r="E495" s="21" t="n"/>
      <c r="F495" s="11">
        <f>IF(AND(B495="",C495="",D495=""),"",IF(NOT(ISNUMBER(B495)),"Needs a date",IF(D495="","Needs the job",IF(AND(C495&lt;&gt;"",C495&lt;&gt;"All beds",COUNTIF(Beds!$B$6:$B$35,C495)=0),"Not on Beds",""))))</f>
        <v/>
      </c>
      <c r="G495" s="1">
        <f>IF(ISNUMBER(B495),INT(B495),0)</f>
        <v/>
      </c>
      <c r="H495">
        <f>IF(AND(G495&gt;0,D495="Water",OR(C495="",C495="All beds")),G495,0)</f>
        <v/>
      </c>
    </row>
    <row r="496">
      <c r="A496" s="1" t="n"/>
      <c r="B496" s="17" t="n"/>
      <c r="C496" s="18" t="n"/>
      <c r="D496" s="19" t="n"/>
      <c r="E496" s="21" t="n"/>
      <c r="F496" s="11">
        <f>IF(AND(B496="",C496="",D496=""),"",IF(NOT(ISNUMBER(B496)),"Needs a date",IF(D496="","Needs the job",IF(AND(C496&lt;&gt;"",C496&lt;&gt;"All beds",COUNTIF(Beds!$B$6:$B$35,C496)=0),"Not on Beds",""))))</f>
        <v/>
      </c>
      <c r="G496" s="1">
        <f>IF(ISNUMBER(B496),INT(B496),0)</f>
        <v/>
      </c>
      <c r="H496">
        <f>IF(AND(G496&gt;0,D496="Water",OR(C496="",C496="All beds")),G496,0)</f>
        <v/>
      </c>
    </row>
    <row r="497">
      <c r="A497" s="1" t="n"/>
      <c r="B497" s="17" t="n"/>
      <c r="C497" s="18" t="n"/>
      <c r="D497" s="19" t="n"/>
      <c r="E497" s="21" t="n"/>
      <c r="F497" s="11">
        <f>IF(AND(B497="",C497="",D497=""),"",IF(NOT(ISNUMBER(B497)),"Needs a date",IF(D497="","Needs the job",IF(AND(C497&lt;&gt;"",C497&lt;&gt;"All beds",COUNTIF(Beds!$B$6:$B$35,C497)=0),"Not on Beds",""))))</f>
        <v/>
      </c>
      <c r="G497" s="1">
        <f>IF(ISNUMBER(B497),INT(B497),0)</f>
        <v/>
      </c>
      <c r="H497">
        <f>IF(AND(G497&gt;0,D497="Water",OR(C497="",C497="All beds")),G497,0)</f>
        <v/>
      </c>
    </row>
    <row r="498">
      <c r="A498" s="1" t="n"/>
      <c r="B498" s="17" t="n"/>
      <c r="C498" s="18" t="n"/>
      <c r="D498" s="19" t="n"/>
      <c r="E498" s="21" t="n"/>
      <c r="F498" s="11">
        <f>IF(AND(B498="",C498="",D498=""),"",IF(NOT(ISNUMBER(B498)),"Needs a date",IF(D498="","Needs the job",IF(AND(C498&lt;&gt;"",C498&lt;&gt;"All beds",COUNTIF(Beds!$B$6:$B$35,C498)=0),"Not on Beds",""))))</f>
        <v/>
      </c>
      <c r="G498" s="1">
        <f>IF(ISNUMBER(B498),INT(B498),0)</f>
        <v/>
      </c>
      <c r="H498">
        <f>IF(AND(G498&gt;0,D498="Water",OR(C498="",C498="All beds")),G498,0)</f>
        <v/>
      </c>
    </row>
    <row r="499">
      <c r="A499" s="1" t="n"/>
      <c r="B499" s="17" t="n"/>
      <c r="C499" s="18" t="n"/>
      <c r="D499" s="19" t="n"/>
      <c r="E499" s="21" t="n"/>
      <c r="F499" s="11">
        <f>IF(AND(B499="",C499="",D499=""),"",IF(NOT(ISNUMBER(B499)),"Needs a date",IF(D499="","Needs the job",IF(AND(C499&lt;&gt;"",C499&lt;&gt;"All beds",COUNTIF(Beds!$B$6:$B$35,C499)=0),"Not on Beds",""))))</f>
        <v/>
      </c>
      <c r="G499" s="1">
        <f>IF(ISNUMBER(B499),INT(B499),0)</f>
        <v/>
      </c>
      <c r="H499">
        <f>IF(AND(G499&gt;0,D499="Water",OR(C499="",C499="All beds")),G499,0)</f>
        <v/>
      </c>
    </row>
    <row r="500">
      <c r="A500" s="1" t="n"/>
      <c r="B500" s="17" t="n"/>
      <c r="C500" s="18" t="n"/>
      <c r="D500" s="19" t="n"/>
      <c r="E500" s="21" t="n"/>
      <c r="F500" s="11">
        <f>IF(AND(B500="",C500="",D500=""),"",IF(NOT(ISNUMBER(B500)),"Needs a date",IF(D500="","Needs the job",IF(AND(C500&lt;&gt;"",C500&lt;&gt;"All beds",COUNTIF(Beds!$B$6:$B$35,C500)=0),"Not on Beds",""))))</f>
        <v/>
      </c>
      <c r="G500" s="1">
        <f>IF(ISNUMBER(B500),INT(B500),0)</f>
        <v/>
      </c>
      <c r="H500">
        <f>IF(AND(G500&gt;0,D500="Water",OR(C500="",C500="All beds")),G500,0)</f>
        <v/>
      </c>
    </row>
    <row r="501">
      <c r="A501" s="1" t="n"/>
      <c r="B501" s="17" t="n"/>
      <c r="C501" s="18" t="n"/>
      <c r="D501" s="19" t="n"/>
      <c r="E501" s="21" t="n"/>
      <c r="F501" s="11">
        <f>IF(AND(B501="",C501="",D501=""),"",IF(NOT(ISNUMBER(B501)),"Needs a date",IF(D501="","Needs the job",IF(AND(C501&lt;&gt;"",C501&lt;&gt;"All beds",COUNTIF(Beds!$B$6:$B$35,C501)=0),"Not on Beds",""))))</f>
        <v/>
      </c>
      <c r="G501" s="1">
        <f>IF(ISNUMBER(B501),INT(B501),0)</f>
        <v/>
      </c>
      <c r="H501">
        <f>IF(AND(G501&gt;0,D501="Water",OR(C501="",C501="All beds")),G501,0)</f>
        <v/>
      </c>
    </row>
    <row r="502">
      <c r="A502" s="1" t="n"/>
      <c r="B502" s="17" t="n"/>
      <c r="C502" s="18" t="n"/>
      <c r="D502" s="19" t="n"/>
      <c r="E502" s="21" t="n"/>
      <c r="F502" s="11">
        <f>IF(AND(B502="",C502="",D502=""),"",IF(NOT(ISNUMBER(B502)),"Needs a date",IF(D502="","Needs the job",IF(AND(C502&lt;&gt;"",C502&lt;&gt;"All beds",COUNTIF(Beds!$B$6:$B$35,C502)=0),"Not on Beds",""))))</f>
        <v/>
      </c>
      <c r="G502" s="1">
        <f>IF(ISNUMBER(B502),INT(B502),0)</f>
        <v/>
      </c>
      <c r="H502">
        <f>IF(AND(G502&gt;0,D502="Water",OR(C502="",C502="All beds")),G502,0)</f>
        <v/>
      </c>
    </row>
    <row r="503">
      <c r="A503" s="1" t="n"/>
      <c r="B503" s="17" t="n"/>
      <c r="C503" s="18" t="n"/>
      <c r="D503" s="19" t="n"/>
      <c r="E503" s="21" t="n"/>
      <c r="F503" s="11">
        <f>IF(AND(B503="",C503="",D503=""),"",IF(NOT(ISNUMBER(B503)),"Needs a date",IF(D503="","Needs the job",IF(AND(C503&lt;&gt;"",C503&lt;&gt;"All beds",COUNTIF(Beds!$B$6:$B$35,C503)=0),"Not on Beds",""))))</f>
        <v/>
      </c>
      <c r="G503" s="1">
        <f>IF(ISNUMBER(B503),INT(B503),0)</f>
        <v/>
      </c>
      <c r="H503">
        <f>IF(AND(G503&gt;0,D503="Water",OR(C503="",C503="All beds")),G503,0)</f>
        <v/>
      </c>
    </row>
    <row r="504">
      <c r="A504" s="1" t="n"/>
      <c r="B504" s="17" t="n"/>
      <c r="C504" s="18" t="n"/>
      <c r="D504" s="19" t="n"/>
      <c r="E504" s="21" t="n"/>
      <c r="F504" s="11">
        <f>IF(AND(B504="",C504="",D504=""),"",IF(NOT(ISNUMBER(B504)),"Needs a date",IF(D504="","Needs the job",IF(AND(C504&lt;&gt;"",C504&lt;&gt;"All beds",COUNTIF(Beds!$B$6:$B$35,C504)=0),"Not on Beds",""))))</f>
        <v/>
      </c>
      <c r="G504" s="1">
        <f>IF(ISNUMBER(B504),INT(B504),0)</f>
        <v/>
      </c>
      <c r="H504">
        <f>IF(AND(G504&gt;0,D504="Water",OR(C504="",C504="All beds")),G504,0)</f>
        <v/>
      </c>
    </row>
    <row r="505">
      <c r="A505" s="1" t="n"/>
      <c r="B505" s="17" t="n"/>
      <c r="C505" s="18" t="n"/>
      <c r="D505" s="19" t="n"/>
      <c r="E505" s="21" t="n"/>
      <c r="F505" s="11">
        <f>IF(AND(B505="",C505="",D505=""),"",IF(NOT(ISNUMBER(B505)),"Needs a date",IF(D505="","Needs the job",IF(AND(C505&lt;&gt;"",C505&lt;&gt;"All beds",COUNTIF(Beds!$B$6:$B$35,C505)=0),"Not on Beds",""))))</f>
        <v/>
      </c>
      <c r="G505" s="1">
        <f>IF(ISNUMBER(B505),INT(B505),0)</f>
        <v/>
      </c>
      <c r="H505">
        <f>IF(AND(G505&gt;0,D505="Water",OR(C505="",C505="All beds")),G505,0)</f>
        <v/>
      </c>
    </row>
    <row r="506">
      <c r="A506" s="1" t="n"/>
      <c r="B506" s="17" t="n"/>
      <c r="C506" s="18" t="n"/>
      <c r="D506" s="19" t="n"/>
      <c r="E506" s="21" t="n"/>
      <c r="F506" s="11">
        <f>IF(AND(B506="",C506="",D506=""),"",IF(NOT(ISNUMBER(B506)),"Needs a date",IF(D506="","Needs the job",IF(AND(C506&lt;&gt;"",C506&lt;&gt;"All beds",COUNTIF(Beds!$B$6:$B$35,C506)=0),"Not on Beds",""))))</f>
        <v/>
      </c>
      <c r="G506" s="1">
        <f>IF(ISNUMBER(B506),INT(B506),0)</f>
        <v/>
      </c>
      <c r="H506">
        <f>IF(AND(G506&gt;0,D506="Water",OR(C506="",C506="All beds")),G506,0)</f>
        <v/>
      </c>
    </row>
    <row r="507">
      <c r="A507" s="1" t="n"/>
      <c r="B507" s="17" t="n"/>
      <c r="C507" s="18" t="n"/>
      <c r="D507" s="19" t="n"/>
      <c r="E507" s="21" t="n"/>
      <c r="F507" s="11">
        <f>IF(AND(B507="",C507="",D507=""),"",IF(NOT(ISNUMBER(B507)),"Needs a date",IF(D507="","Needs the job",IF(AND(C507&lt;&gt;"",C507&lt;&gt;"All beds",COUNTIF(Beds!$B$6:$B$35,C507)=0),"Not on Beds",""))))</f>
        <v/>
      </c>
      <c r="G507" s="1">
        <f>IF(ISNUMBER(B507),INT(B507),0)</f>
        <v/>
      </c>
      <c r="H507">
        <f>IF(AND(G507&gt;0,D507="Water",OR(C507="",C507="All beds")),G507,0)</f>
        <v/>
      </c>
    </row>
    <row r="508">
      <c r="A508" s="1" t="n"/>
      <c r="B508" s="17" t="n"/>
      <c r="C508" s="18" t="n"/>
      <c r="D508" s="19" t="n"/>
      <c r="E508" s="21" t="n"/>
      <c r="F508" s="11">
        <f>IF(AND(B508="",C508="",D508=""),"",IF(NOT(ISNUMBER(B508)),"Needs a date",IF(D508="","Needs the job",IF(AND(C508&lt;&gt;"",C508&lt;&gt;"All beds",COUNTIF(Beds!$B$6:$B$35,C508)=0),"Not on Beds",""))))</f>
        <v/>
      </c>
      <c r="G508" s="1">
        <f>IF(ISNUMBER(B508),INT(B508),0)</f>
        <v/>
      </c>
      <c r="H508">
        <f>IF(AND(G508&gt;0,D508="Water",OR(C508="",C508="All beds")),G508,0)</f>
        <v/>
      </c>
    </row>
    <row r="509">
      <c r="A509" s="1" t="n"/>
      <c r="B509" s="17" t="n"/>
      <c r="C509" s="18" t="n"/>
      <c r="D509" s="19" t="n"/>
      <c r="E509" s="21" t="n"/>
      <c r="F509" s="11">
        <f>IF(AND(B509="",C509="",D509=""),"",IF(NOT(ISNUMBER(B509)),"Needs a date",IF(D509="","Needs the job",IF(AND(C509&lt;&gt;"",C509&lt;&gt;"All beds",COUNTIF(Beds!$B$6:$B$35,C509)=0),"Not on Beds",""))))</f>
        <v/>
      </c>
      <c r="G509" s="1">
        <f>IF(ISNUMBER(B509),INT(B509),0)</f>
        <v/>
      </c>
      <c r="H509">
        <f>IF(AND(G509&gt;0,D509="Water",OR(C509="",C509="All beds")),G509,0)</f>
        <v/>
      </c>
    </row>
    <row r="510">
      <c r="A510" s="1" t="n"/>
      <c r="B510" s="17" t="n"/>
      <c r="C510" s="18" t="n"/>
      <c r="D510" s="19" t="n"/>
      <c r="E510" s="21" t="n"/>
      <c r="F510" s="11">
        <f>IF(AND(B510="",C510="",D510=""),"",IF(NOT(ISNUMBER(B510)),"Needs a date",IF(D510="","Needs the job",IF(AND(C510&lt;&gt;"",C510&lt;&gt;"All beds",COUNTIF(Beds!$B$6:$B$35,C510)=0),"Not on Beds",""))))</f>
        <v/>
      </c>
      <c r="G510" s="1">
        <f>IF(ISNUMBER(B510),INT(B510),0)</f>
        <v/>
      </c>
      <c r="H510">
        <f>IF(AND(G510&gt;0,D510="Water",OR(C510="",C510="All beds")),G510,0)</f>
        <v/>
      </c>
    </row>
    <row r="511">
      <c r="A511" s="1" t="n"/>
      <c r="B511" s="17" t="n"/>
      <c r="C511" s="18" t="n"/>
      <c r="D511" s="19" t="n"/>
      <c r="E511" s="21" t="n"/>
      <c r="F511" s="11">
        <f>IF(AND(B511="",C511="",D511=""),"",IF(NOT(ISNUMBER(B511)),"Needs a date",IF(D511="","Needs the job",IF(AND(C511&lt;&gt;"",C511&lt;&gt;"All beds",COUNTIF(Beds!$B$6:$B$35,C511)=0),"Not on Beds",""))))</f>
        <v/>
      </c>
      <c r="G511" s="1">
        <f>IF(ISNUMBER(B511),INT(B511),0)</f>
        <v/>
      </c>
      <c r="H511">
        <f>IF(AND(G511&gt;0,D511="Water",OR(C511="",C511="All beds")),G511,0)</f>
        <v/>
      </c>
    </row>
    <row r="512">
      <c r="A512" s="1" t="n"/>
      <c r="B512" s="17" t="n"/>
      <c r="C512" s="18" t="n"/>
      <c r="D512" s="19" t="n"/>
      <c r="E512" s="21" t="n"/>
      <c r="F512" s="11">
        <f>IF(AND(B512="",C512="",D512=""),"",IF(NOT(ISNUMBER(B512)),"Needs a date",IF(D512="","Needs the job",IF(AND(C512&lt;&gt;"",C512&lt;&gt;"All beds",COUNTIF(Beds!$B$6:$B$35,C512)=0),"Not on Beds",""))))</f>
        <v/>
      </c>
      <c r="G512" s="1">
        <f>IF(ISNUMBER(B512),INT(B512),0)</f>
        <v/>
      </c>
      <c r="H512">
        <f>IF(AND(G512&gt;0,D512="Water",OR(C512="",C512="All beds")),G512,0)</f>
        <v/>
      </c>
    </row>
    <row r="513">
      <c r="A513" s="1" t="n"/>
      <c r="B513" s="17" t="n"/>
      <c r="C513" s="18" t="n"/>
      <c r="D513" s="19" t="n"/>
      <c r="E513" s="21" t="n"/>
      <c r="F513" s="11">
        <f>IF(AND(B513="",C513="",D513=""),"",IF(NOT(ISNUMBER(B513)),"Needs a date",IF(D513="","Needs the job",IF(AND(C513&lt;&gt;"",C513&lt;&gt;"All beds",COUNTIF(Beds!$B$6:$B$35,C513)=0),"Not on Beds",""))))</f>
        <v/>
      </c>
      <c r="G513" s="1">
        <f>IF(ISNUMBER(B513),INT(B513),0)</f>
        <v/>
      </c>
      <c r="H513">
        <f>IF(AND(G513&gt;0,D513="Water",OR(C513="",C513="All beds")),G513,0)</f>
        <v/>
      </c>
    </row>
    <row r="514">
      <c r="A514" s="1" t="n"/>
      <c r="B514" s="17" t="n"/>
      <c r="C514" s="18" t="n"/>
      <c r="D514" s="19" t="n"/>
      <c r="E514" s="21" t="n"/>
      <c r="F514" s="11">
        <f>IF(AND(B514="",C514="",D514=""),"",IF(NOT(ISNUMBER(B514)),"Needs a date",IF(D514="","Needs the job",IF(AND(C514&lt;&gt;"",C514&lt;&gt;"All beds",COUNTIF(Beds!$B$6:$B$35,C514)=0),"Not on Beds",""))))</f>
        <v/>
      </c>
      <c r="G514" s="1">
        <f>IF(ISNUMBER(B514),INT(B514),0)</f>
        <v/>
      </c>
      <c r="H514">
        <f>IF(AND(G514&gt;0,D514="Water",OR(C514="",C514="All beds")),G514,0)</f>
        <v/>
      </c>
    </row>
    <row r="515">
      <c r="A515" s="1" t="n"/>
      <c r="B515" s="17" t="n"/>
      <c r="C515" s="18" t="n"/>
      <c r="D515" s="19" t="n"/>
      <c r="E515" s="21" t="n"/>
      <c r="F515" s="11">
        <f>IF(AND(B515="",C515="",D515=""),"",IF(NOT(ISNUMBER(B515)),"Needs a date",IF(D515="","Needs the job",IF(AND(C515&lt;&gt;"",C515&lt;&gt;"All beds",COUNTIF(Beds!$B$6:$B$35,C515)=0),"Not on Beds",""))))</f>
        <v/>
      </c>
      <c r="G515" s="1">
        <f>IF(ISNUMBER(B515),INT(B515),0)</f>
        <v/>
      </c>
      <c r="H515">
        <f>IF(AND(G515&gt;0,D515="Water",OR(C515="",C515="All beds")),G515,0)</f>
        <v/>
      </c>
    </row>
    <row r="516">
      <c r="A516" s="1" t="n"/>
      <c r="B516" s="17" t="n"/>
      <c r="C516" s="18" t="n"/>
      <c r="D516" s="19" t="n"/>
      <c r="E516" s="21" t="n"/>
      <c r="F516" s="11">
        <f>IF(AND(B516="",C516="",D516=""),"",IF(NOT(ISNUMBER(B516)),"Needs a date",IF(D516="","Needs the job",IF(AND(C516&lt;&gt;"",C516&lt;&gt;"All beds",COUNTIF(Beds!$B$6:$B$35,C516)=0),"Not on Beds",""))))</f>
        <v/>
      </c>
      <c r="G516" s="1">
        <f>IF(ISNUMBER(B516),INT(B516),0)</f>
        <v/>
      </c>
      <c r="H516">
        <f>IF(AND(G516&gt;0,D516="Water",OR(C516="",C516="All beds")),G516,0)</f>
        <v/>
      </c>
    </row>
    <row r="517">
      <c r="A517" s="1" t="n"/>
      <c r="B517" s="17" t="n"/>
      <c r="C517" s="18" t="n"/>
      <c r="D517" s="19" t="n"/>
      <c r="E517" s="21" t="n"/>
      <c r="F517" s="11">
        <f>IF(AND(B517="",C517="",D517=""),"",IF(NOT(ISNUMBER(B517)),"Needs a date",IF(D517="","Needs the job",IF(AND(C517&lt;&gt;"",C517&lt;&gt;"All beds",COUNTIF(Beds!$B$6:$B$35,C517)=0),"Not on Beds",""))))</f>
        <v/>
      </c>
      <c r="G517" s="1">
        <f>IF(ISNUMBER(B517),INT(B517),0)</f>
        <v/>
      </c>
      <c r="H517">
        <f>IF(AND(G517&gt;0,D517="Water",OR(C517="",C517="All beds")),G517,0)</f>
        <v/>
      </c>
    </row>
    <row r="518">
      <c r="A518" s="1" t="n"/>
      <c r="B518" s="17" t="n"/>
      <c r="C518" s="18" t="n"/>
      <c r="D518" s="19" t="n"/>
      <c r="E518" s="21" t="n"/>
      <c r="F518" s="11">
        <f>IF(AND(B518="",C518="",D518=""),"",IF(NOT(ISNUMBER(B518)),"Needs a date",IF(D518="","Needs the job",IF(AND(C518&lt;&gt;"",C518&lt;&gt;"All beds",COUNTIF(Beds!$B$6:$B$35,C518)=0),"Not on Beds",""))))</f>
        <v/>
      </c>
      <c r="G518" s="1">
        <f>IF(ISNUMBER(B518),INT(B518),0)</f>
        <v/>
      </c>
      <c r="H518">
        <f>IF(AND(G518&gt;0,D518="Water",OR(C518="",C518="All beds")),G518,0)</f>
        <v/>
      </c>
    </row>
    <row r="519">
      <c r="A519" s="1" t="n"/>
      <c r="B519" s="17" t="n"/>
      <c r="C519" s="18" t="n"/>
      <c r="D519" s="19" t="n"/>
      <c r="E519" s="21" t="n"/>
      <c r="F519" s="11">
        <f>IF(AND(B519="",C519="",D519=""),"",IF(NOT(ISNUMBER(B519)),"Needs a date",IF(D519="","Needs the job",IF(AND(C519&lt;&gt;"",C519&lt;&gt;"All beds",COUNTIF(Beds!$B$6:$B$35,C519)=0),"Not on Beds",""))))</f>
        <v/>
      </c>
      <c r="G519" s="1">
        <f>IF(ISNUMBER(B519),INT(B519),0)</f>
        <v/>
      </c>
      <c r="H519">
        <f>IF(AND(G519&gt;0,D519="Water",OR(C519="",C519="All beds")),G519,0)</f>
        <v/>
      </c>
    </row>
    <row r="520">
      <c r="A520" s="1" t="n"/>
      <c r="B520" s="17" t="n"/>
      <c r="C520" s="18" t="n"/>
      <c r="D520" s="19" t="n"/>
      <c r="E520" s="21" t="n"/>
      <c r="F520" s="11">
        <f>IF(AND(B520="",C520="",D520=""),"",IF(NOT(ISNUMBER(B520)),"Needs a date",IF(D520="","Needs the job",IF(AND(C520&lt;&gt;"",C520&lt;&gt;"All beds",COUNTIF(Beds!$B$6:$B$35,C520)=0),"Not on Beds",""))))</f>
        <v/>
      </c>
      <c r="G520" s="1">
        <f>IF(ISNUMBER(B520),INT(B520),0)</f>
        <v/>
      </c>
      <c r="H520">
        <f>IF(AND(G520&gt;0,D520="Water",OR(C520="",C520="All beds")),G520,0)</f>
        <v/>
      </c>
    </row>
    <row r="521">
      <c r="A521" s="1" t="n"/>
      <c r="B521" s="17" t="n"/>
      <c r="C521" s="18" t="n"/>
      <c r="D521" s="19" t="n"/>
      <c r="E521" s="21" t="n"/>
      <c r="F521" s="11">
        <f>IF(AND(B521="",C521="",D521=""),"",IF(NOT(ISNUMBER(B521)),"Needs a date",IF(D521="","Needs the job",IF(AND(C521&lt;&gt;"",C521&lt;&gt;"All beds",COUNTIF(Beds!$B$6:$B$35,C521)=0),"Not on Beds",""))))</f>
        <v/>
      </c>
      <c r="G521" s="1">
        <f>IF(ISNUMBER(B521),INT(B521),0)</f>
        <v/>
      </c>
      <c r="H521">
        <f>IF(AND(G521&gt;0,D521="Water",OR(C521="",C521="All beds")),G521,0)</f>
        <v/>
      </c>
    </row>
    <row r="522">
      <c r="A522" s="1" t="n"/>
      <c r="B522" s="17" t="n"/>
      <c r="C522" s="18" t="n"/>
      <c r="D522" s="19" t="n"/>
      <c r="E522" s="21" t="n"/>
      <c r="F522" s="11">
        <f>IF(AND(B522="",C522="",D522=""),"",IF(NOT(ISNUMBER(B522)),"Needs a date",IF(D522="","Needs the job",IF(AND(C522&lt;&gt;"",C522&lt;&gt;"All beds",COUNTIF(Beds!$B$6:$B$35,C522)=0),"Not on Beds",""))))</f>
        <v/>
      </c>
      <c r="G522" s="1">
        <f>IF(ISNUMBER(B522),INT(B522),0)</f>
        <v/>
      </c>
      <c r="H522">
        <f>IF(AND(G522&gt;0,D522="Water",OR(C522="",C522="All beds")),G522,0)</f>
        <v/>
      </c>
    </row>
    <row r="523">
      <c r="A523" s="1" t="n"/>
      <c r="B523" s="17" t="n"/>
      <c r="C523" s="18" t="n"/>
      <c r="D523" s="19" t="n"/>
      <c r="E523" s="21" t="n"/>
      <c r="F523" s="11">
        <f>IF(AND(B523="",C523="",D523=""),"",IF(NOT(ISNUMBER(B523)),"Needs a date",IF(D523="","Needs the job",IF(AND(C523&lt;&gt;"",C523&lt;&gt;"All beds",COUNTIF(Beds!$B$6:$B$35,C523)=0),"Not on Beds",""))))</f>
        <v/>
      </c>
      <c r="G523" s="1">
        <f>IF(ISNUMBER(B523),INT(B523),0)</f>
        <v/>
      </c>
      <c r="H523">
        <f>IF(AND(G523&gt;0,D523="Water",OR(C523="",C523="All beds")),G523,0)</f>
        <v/>
      </c>
    </row>
    <row r="524">
      <c r="A524" s="1" t="n"/>
      <c r="B524" s="17" t="n"/>
      <c r="C524" s="18" t="n"/>
      <c r="D524" s="19" t="n"/>
      <c r="E524" s="21" t="n"/>
      <c r="F524" s="11">
        <f>IF(AND(B524="",C524="",D524=""),"",IF(NOT(ISNUMBER(B524)),"Needs a date",IF(D524="","Needs the job",IF(AND(C524&lt;&gt;"",C524&lt;&gt;"All beds",COUNTIF(Beds!$B$6:$B$35,C524)=0),"Not on Beds",""))))</f>
        <v/>
      </c>
      <c r="G524" s="1">
        <f>IF(ISNUMBER(B524),INT(B524),0)</f>
        <v/>
      </c>
      <c r="H524">
        <f>IF(AND(G524&gt;0,D524="Water",OR(C524="",C524="All beds")),G524,0)</f>
        <v/>
      </c>
    </row>
    <row r="525">
      <c r="A525" s="1" t="n"/>
      <c r="B525" s="17" t="n"/>
      <c r="C525" s="18" t="n"/>
      <c r="D525" s="19" t="n"/>
      <c r="E525" s="21" t="n"/>
      <c r="F525" s="11">
        <f>IF(AND(B525="",C525="",D525=""),"",IF(NOT(ISNUMBER(B525)),"Needs a date",IF(D525="","Needs the job",IF(AND(C525&lt;&gt;"",C525&lt;&gt;"All beds",COUNTIF(Beds!$B$6:$B$35,C525)=0),"Not on Beds",""))))</f>
        <v/>
      </c>
      <c r="G525" s="1">
        <f>IF(ISNUMBER(B525),INT(B525),0)</f>
        <v/>
      </c>
      <c r="H525">
        <f>IF(AND(G525&gt;0,D525="Water",OR(C525="",C525="All beds")),G525,0)</f>
        <v/>
      </c>
    </row>
    <row r="526">
      <c r="A526" s="1" t="n"/>
      <c r="B526" s="17" t="n"/>
      <c r="C526" s="18" t="n"/>
      <c r="D526" s="19" t="n"/>
      <c r="E526" s="21" t="n"/>
      <c r="F526" s="11">
        <f>IF(AND(B526="",C526="",D526=""),"",IF(NOT(ISNUMBER(B526)),"Needs a date",IF(D526="","Needs the job",IF(AND(C526&lt;&gt;"",C526&lt;&gt;"All beds",COUNTIF(Beds!$B$6:$B$35,C526)=0),"Not on Beds",""))))</f>
        <v/>
      </c>
      <c r="G526" s="1">
        <f>IF(ISNUMBER(B526),INT(B526),0)</f>
        <v/>
      </c>
      <c r="H526">
        <f>IF(AND(G526&gt;0,D526="Water",OR(C526="",C526="All beds")),G526,0)</f>
        <v/>
      </c>
    </row>
    <row r="527">
      <c r="A527" s="1" t="n"/>
      <c r="B527" s="17" t="n"/>
      <c r="C527" s="18" t="n"/>
      <c r="D527" s="19" t="n"/>
      <c r="E527" s="21" t="n"/>
      <c r="F527" s="11">
        <f>IF(AND(B527="",C527="",D527=""),"",IF(NOT(ISNUMBER(B527)),"Needs a date",IF(D527="","Needs the job",IF(AND(C527&lt;&gt;"",C527&lt;&gt;"All beds",COUNTIF(Beds!$B$6:$B$35,C527)=0),"Not on Beds",""))))</f>
        <v/>
      </c>
      <c r="G527" s="1">
        <f>IF(ISNUMBER(B527),INT(B527),0)</f>
        <v/>
      </c>
      <c r="H527">
        <f>IF(AND(G527&gt;0,D527="Water",OR(C527="",C527="All beds")),G527,0)</f>
        <v/>
      </c>
    </row>
    <row r="528">
      <c r="A528" s="1" t="n"/>
      <c r="B528" s="17" t="n"/>
      <c r="C528" s="18" t="n"/>
      <c r="D528" s="19" t="n"/>
      <c r="E528" s="21" t="n"/>
      <c r="F528" s="11">
        <f>IF(AND(B528="",C528="",D528=""),"",IF(NOT(ISNUMBER(B528)),"Needs a date",IF(D528="","Needs the job",IF(AND(C528&lt;&gt;"",C528&lt;&gt;"All beds",COUNTIF(Beds!$B$6:$B$35,C528)=0),"Not on Beds",""))))</f>
        <v/>
      </c>
      <c r="G528" s="1">
        <f>IF(ISNUMBER(B528),INT(B528),0)</f>
        <v/>
      </c>
      <c r="H528">
        <f>IF(AND(G528&gt;0,D528="Water",OR(C528="",C528="All beds")),G528,0)</f>
        <v/>
      </c>
    </row>
    <row r="529">
      <c r="A529" s="1" t="n"/>
      <c r="B529" s="17" t="n"/>
      <c r="C529" s="18" t="n"/>
      <c r="D529" s="19" t="n"/>
      <c r="E529" s="21" t="n"/>
      <c r="F529" s="11">
        <f>IF(AND(B529="",C529="",D529=""),"",IF(NOT(ISNUMBER(B529)),"Needs a date",IF(D529="","Needs the job",IF(AND(C529&lt;&gt;"",C529&lt;&gt;"All beds",COUNTIF(Beds!$B$6:$B$35,C529)=0),"Not on Beds",""))))</f>
        <v/>
      </c>
      <c r="G529" s="1">
        <f>IF(ISNUMBER(B529),INT(B529),0)</f>
        <v/>
      </c>
      <c r="H529">
        <f>IF(AND(G529&gt;0,D529="Water",OR(C529="",C529="All beds")),G529,0)</f>
        <v/>
      </c>
    </row>
    <row r="530">
      <c r="A530" s="1" t="n"/>
      <c r="B530" s="17" t="n"/>
      <c r="C530" s="18" t="n"/>
      <c r="D530" s="19" t="n"/>
      <c r="E530" s="21" t="n"/>
      <c r="F530" s="11">
        <f>IF(AND(B530="",C530="",D530=""),"",IF(NOT(ISNUMBER(B530)),"Needs a date",IF(D530="","Needs the job",IF(AND(C530&lt;&gt;"",C530&lt;&gt;"All beds",COUNTIF(Beds!$B$6:$B$35,C530)=0),"Not on Beds",""))))</f>
        <v/>
      </c>
      <c r="G530" s="1">
        <f>IF(ISNUMBER(B530),INT(B530),0)</f>
        <v/>
      </c>
      <c r="H530">
        <f>IF(AND(G530&gt;0,D530="Water",OR(C530="",C530="All beds")),G530,0)</f>
        <v/>
      </c>
    </row>
    <row r="531">
      <c r="A531" s="1" t="n"/>
      <c r="B531" s="17" t="n"/>
      <c r="C531" s="18" t="n"/>
      <c r="D531" s="19" t="n"/>
      <c r="E531" s="21" t="n"/>
      <c r="F531" s="11">
        <f>IF(AND(B531="",C531="",D531=""),"",IF(NOT(ISNUMBER(B531)),"Needs a date",IF(D531="","Needs the job",IF(AND(C531&lt;&gt;"",C531&lt;&gt;"All beds",COUNTIF(Beds!$B$6:$B$35,C531)=0),"Not on Beds",""))))</f>
        <v/>
      </c>
      <c r="G531" s="1">
        <f>IF(ISNUMBER(B531),INT(B531),0)</f>
        <v/>
      </c>
      <c r="H531">
        <f>IF(AND(G531&gt;0,D531="Water",OR(C531="",C531="All beds")),G531,0)</f>
        <v/>
      </c>
    </row>
    <row r="532">
      <c r="A532" s="1" t="n"/>
      <c r="B532" s="17" t="n"/>
      <c r="C532" s="18" t="n"/>
      <c r="D532" s="19" t="n"/>
      <c r="E532" s="21" t="n"/>
      <c r="F532" s="11">
        <f>IF(AND(B532="",C532="",D532=""),"",IF(NOT(ISNUMBER(B532)),"Needs a date",IF(D532="","Needs the job",IF(AND(C532&lt;&gt;"",C532&lt;&gt;"All beds",COUNTIF(Beds!$B$6:$B$35,C532)=0),"Not on Beds",""))))</f>
        <v/>
      </c>
      <c r="G532" s="1">
        <f>IF(ISNUMBER(B532),INT(B532),0)</f>
        <v/>
      </c>
      <c r="H532">
        <f>IF(AND(G532&gt;0,D532="Water",OR(C532="",C532="All beds")),G532,0)</f>
        <v/>
      </c>
    </row>
    <row r="533">
      <c r="A533" s="1" t="n"/>
      <c r="B533" s="17" t="n"/>
      <c r="C533" s="18" t="n"/>
      <c r="D533" s="19" t="n"/>
      <c r="E533" s="21" t="n"/>
      <c r="F533" s="11">
        <f>IF(AND(B533="",C533="",D533=""),"",IF(NOT(ISNUMBER(B533)),"Needs a date",IF(D533="","Needs the job",IF(AND(C533&lt;&gt;"",C533&lt;&gt;"All beds",COUNTIF(Beds!$B$6:$B$35,C533)=0),"Not on Beds",""))))</f>
        <v/>
      </c>
      <c r="G533" s="1">
        <f>IF(ISNUMBER(B533),INT(B533),0)</f>
        <v/>
      </c>
      <c r="H533">
        <f>IF(AND(G533&gt;0,D533="Water",OR(C533="",C533="All beds")),G533,0)</f>
        <v/>
      </c>
    </row>
    <row r="534">
      <c r="A534" s="1" t="n"/>
      <c r="B534" s="17" t="n"/>
      <c r="C534" s="18" t="n"/>
      <c r="D534" s="19" t="n"/>
      <c r="E534" s="21" t="n"/>
      <c r="F534" s="11">
        <f>IF(AND(B534="",C534="",D534=""),"",IF(NOT(ISNUMBER(B534)),"Needs a date",IF(D534="","Needs the job",IF(AND(C534&lt;&gt;"",C534&lt;&gt;"All beds",COUNTIF(Beds!$B$6:$B$35,C534)=0),"Not on Beds",""))))</f>
        <v/>
      </c>
      <c r="G534" s="1">
        <f>IF(ISNUMBER(B534),INT(B534),0)</f>
        <v/>
      </c>
      <c r="H534">
        <f>IF(AND(G534&gt;0,D534="Water",OR(C534="",C534="All beds")),G534,0)</f>
        <v/>
      </c>
    </row>
    <row r="535">
      <c r="A535" s="1" t="n"/>
      <c r="B535" s="17" t="n"/>
      <c r="C535" s="18" t="n"/>
      <c r="D535" s="19" t="n"/>
      <c r="E535" s="21" t="n"/>
      <c r="F535" s="11">
        <f>IF(AND(B535="",C535="",D535=""),"",IF(NOT(ISNUMBER(B535)),"Needs a date",IF(D535="","Needs the job",IF(AND(C535&lt;&gt;"",C535&lt;&gt;"All beds",COUNTIF(Beds!$B$6:$B$35,C535)=0),"Not on Beds",""))))</f>
        <v/>
      </c>
      <c r="G535" s="1">
        <f>IF(ISNUMBER(B535),INT(B535),0)</f>
        <v/>
      </c>
      <c r="H535">
        <f>IF(AND(G535&gt;0,D535="Water",OR(C535="",C535="All beds")),G535,0)</f>
        <v/>
      </c>
    </row>
    <row r="536">
      <c r="A536" s="1" t="n"/>
      <c r="B536" s="17" t="n"/>
      <c r="C536" s="18" t="n"/>
      <c r="D536" s="19" t="n"/>
      <c r="E536" s="21" t="n"/>
      <c r="F536" s="11">
        <f>IF(AND(B536="",C536="",D536=""),"",IF(NOT(ISNUMBER(B536)),"Needs a date",IF(D536="","Needs the job",IF(AND(C536&lt;&gt;"",C536&lt;&gt;"All beds",COUNTIF(Beds!$B$6:$B$35,C536)=0),"Not on Beds",""))))</f>
        <v/>
      </c>
      <c r="G536" s="1">
        <f>IF(ISNUMBER(B536),INT(B536),0)</f>
        <v/>
      </c>
      <c r="H536">
        <f>IF(AND(G536&gt;0,D536="Water",OR(C536="",C536="All beds")),G536,0)</f>
        <v/>
      </c>
    </row>
    <row r="537">
      <c r="A537" s="1" t="n"/>
      <c r="B537" s="17" t="n"/>
      <c r="C537" s="18" t="n"/>
      <c r="D537" s="19" t="n"/>
      <c r="E537" s="21" t="n"/>
      <c r="F537" s="11">
        <f>IF(AND(B537="",C537="",D537=""),"",IF(NOT(ISNUMBER(B537)),"Needs a date",IF(D537="","Needs the job",IF(AND(C537&lt;&gt;"",C537&lt;&gt;"All beds",COUNTIF(Beds!$B$6:$B$35,C537)=0),"Not on Beds",""))))</f>
        <v/>
      </c>
      <c r="G537" s="1">
        <f>IF(ISNUMBER(B537),INT(B537),0)</f>
        <v/>
      </c>
      <c r="H537">
        <f>IF(AND(G537&gt;0,D537="Water",OR(C537="",C537="All beds")),G537,0)</f>
        <v/>
      </c>
    </row>
    <row r="538">
      <c r="A538" s="1" t="n"/>
      <c r="B538" s="17" t="n"/>
      <c r="C538" s="18" t="n"/>
      <c r="D538" s="19" t="n"/>
      <c r="E538" s="21" t="n"/>
      <c r="F538" s="11">
        <f>IF(AND(B538="",C538="",D538=""),"",IF(NOT(ISNUMBER(B538)),"Needs a date",IF(D538="","Needs the job",IF(AND(C538&lt;&gt;"",C538&lt;&gt;"All beds",COUNTIF(Beds!$B$6:$B$35,C538)=0),"Not on Beds",""))))</f>
        <v/>
      </c>
      <c r="G538" s="1">
        <f>IF(ISNUMBER(B538),INT(B538),0)</f>
        <v/>
      </c>
      <c r="H538">
        <f>IF(AND(G538&gt;0,D538="Water",OR(C538="",C538="All beds")),G538,0)</f>
        <v/>
      </c>
    </row>
    <row r="539">
      <c r="A539" s="1" t="n"/>
      <c r="B539" s="17" t="n"/>
      <c r="C539" s="18" t="n"/>
      <c r="D539" s="19" t="n"/>
      <c r="E539" s="21" t="n"/>
      <c r="F539" s="11">
        <f>IF(AND(B539="",C539="",D539=""),"",IF(NOT(ISNUMBER(B539)),"Needs a date",IF(D539="","Needs the job",IF(AND(C539&lt;&gt;"",C539&lt;&gt;"All beds",COUNTIF(Beds!$B$6:$B$35,C539)=0),"Not on Beds",""))))</f>
        <v/>
      </c>
      <c r="G539" s="1">
        <f>IF(ISNUMBER(B539),INT(B539),0)</f>
        <v/>
      </c>
      <c r="H539">
        <f>IF(AND(G539&gt;0,D539="Water",OR(C539="",C539="All beds")),G539,0)</f>
        <v/>
      </c>
    </row>
    <row r="540">
      <c r="A540" s="1" t="n"/>
      <c r="B540" s="17" t="n"/>
      <c r="C540" s="18" t="n"/>
      <c r="D540" s="19" t="n"/>
      <c r="E540" s="21" t="n"/>
      <c r="F540" s="11">
        <f>IF(AND(B540="",C540="",D540=""),"",IF(NOT(ISNUMBER(B540)),"Needs a date",IF(D540="","Needs the job",IF(AND(C540&lt;&gt;"",C540&lt;&gt;"All beds",COUNTIF(Beds!$B$6:$B$35,C540)=0),"Not on Beds",""))))</f>
        <v/>
      </c>
      <c r="G540" s="1">
        <f>IF(ISNUMBER(B540),INT(B540),0)</f>
        <v/>
      </c>
      <c r="H540">
        <f>IF(AND(G540&gt;0,D540="Water",OR(C540="",C540="All beds")),G540,0)</f>
        <v/>
      </c>
    </row>
    <row r="541">
      <c r="A541" s="1" t="n"/>
      <c r="B541" s="17" t="n"/>
      <c r="C541" s="18" t="n"/>
      <c r="D541" s="19" t="n"/>
      <c r="E541" s="21" t="n"/>
      <c r="F541" s="11">
        <f>IF(AND(B541="",C541="",D541=""),"",IF(NOT(ISNUMBER(B541)),"Needs a date",IF(D541="","Needs the job",IF(AND(C541&lt;&gt;"",C541&lt;&gt;"All beds",COUNTIF(Beds!$B$6:$B$35,C541)=0),"Not on Beds",""))))</f>
        <v/>
      </c>
      <c r="G541" s="1">
        <f>IF(ISNUMBER(B541),INT(B541),0)</f>
        <v/>
      </c>
      <c r="H541">
        <f>IF(AND(G541&gt;0,D541="Water",OR(C541="",C541="All beds")),G541,0)</f>
        <v/>
      </c>
    </row>
    <row r="542">
      <c r="A542" s="1" t="n"/>
      <c r="B542" s="17" t="n"/>
      <c r="C542" s="18" t="n"/>
      <c r="D542" s="19" t="n"/>
      <c r="E542" s="21" t="n"/>
      <c r="F542" s="11">
        <f>IF(AND(B542="",C542="",D542=""),"",IF(NOT(ISNUMBER(B542)),"Needs a date",IF(D542="","Needs the job",IF(AND(C542&lt;&gt;"",C542&lt;&gt;"All beds",COUNTIF(Beds!$B$6:$B$35,C542)=0),"Not on Beds",""))))</f>
        <v/>
      </c>
      <c r="G542" s="1">
        <f>IF(ISNUMBER(B542),INT(B542),0)</f>
        <v/>
      </c>
      <c r="H542">
        <f>IF(AND(G542&gt;0,D542="Water",OR(C542="",C542="All beds")),G542,0)</f>
        <v/>
      </c>
    </row>
    <row r="543">
      <c r="A543" s="1" t="n"/>
      <c r="B543" s="17" t="n"/>
      <c r="C543" s="18" t="n"/>
      <c r="D543" s="19" t="n"/>
      <c r="E543" s="21" t="n"/>
      <c r="F543" s="11">
        <f>IF(AND(B543="",C543="",D543=""),"",IF(NOT(ISNUMBER(B543)),"Needs a date",IF(D543="","Needs the job",IF(AND(C543&lt;&gt;"",C543&lt;&gt;"All beds",COUNTIF(Beds!$B$6:$B$35,C543)=0),"Not on Beds",""))))</f>
        <v/>
      </c>
      <c r="G543" s="1">
        <f>IF(ISNUMBER(B543),INT(B543),0)</f>
        <v/>
      </c>
      <c r="H543">
        <f>IF(AND(G543&gt;0,D543="Water",OR(C543="",C543="All beds")),G543,0)</f>
        <v/>
      </c>
    </row>
    <row r="544">
      <c r="A544" s="1" t="n"/>
      <c r="B544" s="17" t="n"/>
      <c r="C544" s="18" t="n"/>
      <c r="D544" s="19" t="n"/>
      <c r="E544" s="21" t="n"/>
      <c r="F544" s="11">
        <f>IF(AND(B544="",C544="",D544=""),"",IF(NOT(ISNUMBER(B544)),"Needs a date",IF(D544="","Needs the job",IF(AND(C544&lt;&gt;"",C544&lt;&gt;"All beds",COUNTIF(Beds!$B$6:$B$35,C544)=0),"Not on Beds",""))))</f>
        <v/>
      </c>
      <c r="G544" s="1">
        <f>IF(ISNUMBER(B544),INT(B544),0)</f>
        <v/>
      </c>
      <c r="H544">
        <f>IF(AND(G544&gt;0,D544="Water",OR(C544="",C544="All beds")),G544,0)</f>
        <v/>
      </c>
    </row>
    <row r="545">
      <c r="A545" s="1" t="n"/>
      <c r="B545" s="17" t="n"/>
      <c r="C545" s="18" t="n"/>
      <c r="D545" s="19" t="n"/>
      <c r="E545" s="21" t="n"/>
      <c r="F545" s="11">
        <f>IF(AND(B545="",C545="",D545=""),"",IF(NOT(ISNUMBER(B545)),"Needs a date",IF(D545="","Needs the job",IF(AND(C545&lt;&gt;"",C545&lt;&gt;"All beds",COUNTIF(Beds!$B$6:$B$35,C545)=0),"Not on Beds",""))))</f>
        <v/>
      </c>
      <c r="G545" s="1">
        <f>IF(ISNUMBER(B545),INT(B545),0)</f>
        <v/>
      </c>
      <c r="H545">
        <f>IF(AND(G545&gt;0,D545="Water",OR(C545="",C545="All beds")),G545,0)</f>
        <v/>
      </c>
    </row>
    <row r="546">
      <c r="A546" s="1" t="n"/>
      <c r="B546" s="17" t="n"/>
      <c r="C546" s="18" t="n"/>
      <c r="D546" s="19" t="n"/>
      <c r="E546" s="21" t="n"/>
      <c r="F546" s="11">
        <f>IF(AND(B546="",C546="",D546=""),"",IF(NOT(ISNUMBER(B546)),"Needs a date",IF(D546="","Needs the job",IF(AND(C546&lt;&gt;"",C546&lt;&gt;"All beds",COUNTIF(Beds!$B$6:$B$35,C546)=0),"Not on Beds",""))))</f>
        <v/>
      </c>
      <c r="G546" s="1">
        <f>IF(ISNUMBER(B546),INT(B546),0)</f>
        <v/>
      </c>
      <c r="H546">
        <f>IF(AND(G546&gt;0,D546="Water",OR(C546="",C546="All beds")),G546,0)</f>
        <v/>
      </c>
    </row>
    <row r="547">
      <c r="A547" s="1" t="n"/>
      <c r="B547" s="17" t="n"/>
      <c r="C547" s="18" t="n"/>
      <c r="D547" s="19" t="n"/>
      <c r="E547" s="21" t="n"/>
      <c r="F547" s="11">
        <f>IF(AND(B547="",C547="",D547=""),"",IF(NOT(ISNUMBER(B547)),"Needs a date",IF(D547="","Needs the job",IF(AND(C547&lt;&gt;"",C547&lt;&gt;"All beds",COUNTIF(Beds!$B$6:$B$35,C547)=0),"Not on Beds",""))))</f>
        <v/>
      </c>
      <c r="G547" s="1">
        <f>IF(ISNUMBER(B547),INT(B547),0)</f>
        <v/>
      </c>
      <c r="H547">
        <f>IF(AND(G547&gt;0,D547="Water",OR(C547="",C547="All beds")),G547,0)</f>
        <v/>
      </c>
    </row>
    <row r="548">
      <c r="A548" s="1" t="n"/>
      <c r="B548" s="17" t="n"/>
      <c r="C548" s="18" t="n"/>
      <c r="D548" s="19" t="n"/>
      <c r="E548" s="21" t="n"/>
      <c r="F548" s="11">
        <f>IF(AND(B548="",C548="",D548=""),"",IF(NOT(ISNUMBER(B548)),"Needs a date",IF(D548="","Needs the job",IF(AND(C548&lt;&gt;"",C548&lt;&gt;"All beds",COUNTIF(Beds!$B$6:$B$35,C548)=0),"Not on Beds",""))))</f>
        <v/>
      </c>
      <c r="G548" s="1">
        <f>IF(ISNUMBER(B548),INT(B548),0)</f>
        <v/>
      </c>
      <c r="H548">
        <f>IF(AND(G548&gt;0,D548="Water",OR(C548="",C548="All beds")),G548,0)</f>
        <v/>
      </c>
    </row>
    <row r="549">
      <c r="A549" s="1" t="n"/>
      <c r="B549" s="17" t="n"/>
      <c r="C549" s="18" t="n"/>
      <c r="D549" s="19" t="n"/>
      <c r="E549" s="21" t="n"/>
      <c r="F549" s="11">
        <f>IF(AND(B549="",C549="",D549=""),"",IF(NOT(ISNUMBER(B549)),"Needs a date",IF(D549="","Needs the job",IF(AND(C549&lt;&gt;"",C549&lt;&gt;"All beds",COUNTIF(Beds!$B$6:$B$35,C549)=0),"Not on Beds",""))))</f>
        <v/>
      </c>
      <c r="G549" s="1">
        <f>IF(ISNUMBER(B549),INT(B549),0)</f>
        <v/>
      </c>
      <c r="H549">
        <f>IF(AND(G549&gt;0,D549="Water",OR(C549="",C549="All beds")),G549,0)</f>
        <v/>
      </c>
    </row>
    <row r="550">
      <c r="A550" s="1" t="n"/>
      <c r="B550" s="17" t="n"/>
      <c r="C550" s="18" t="n"/>
      <c r="D550" s="19" t="n"/>
      <c r="E550" s="21" t="n"/>
      <c r="F550" s="11">
        <f>IF(AND(B550="",C550="",D550=""),"",IF(NOT(ISNUMBER(B550)),"Needs a date",IF(D550="","Needs the job",IF(AND(C550&lt;&gt;"",C550&lt;&gt;"All beds",COUNTIF(Beds!$B$6:$B$35,C550)=0),"Not on Beds",""))))</f>
        <v/>
      </c>
      <c r="G550" s="1">
        <f>IF(ISNUMBER(B550),INT(B550),0)</f>
        <v/>
      </c>
      <c r="H550">
        <f>IF(AND(G550&gt;0,D550="Water",OR(C550="",C550="All beds")),G550,0)</f>
        <v/>
      </c>
    </row>
    <row r="551">
      <c r="A551" s="1" t="n"/>
      <c r="B551" s="17" t="n"/>
      <c r="C551" s="18" t="n"/>
      <c r="D551" s="19" t="n"/>
      <c r="E551" s="21" t="n"/>
      <c r="F551" s="11">
        <f>IF(AND(B551="",C551="",D551=""),"",IF(NOT(ISNUMBER(B551)),"Needs a date",IF(D551="","Needs the job",IF(AND(C551&lt;&gt;"",C551&lt;&gt;"All beds",COUNTIF(Beds!$B$6:$B$35,C551)=0),"Not on Beds",""))))</f>
        <v/>
      </c>
      <c r="G551" s="1">
        <f>IF(ISNUMBER(B551),INT(B551),0)</f>
        <v/>
      </c>
      <c r="H551">
        <f>IF(AND(G551&gt;0,D551="Water",OR(C551="",C551="All beds")),G551,0)</f>
        <v/>
      </c>
    </row>
    <row r="552">
      <c r="A552" s="1" t="n"/>
      <c r="B552" s="17" t="n"/>
      <c r="C552" s="18" t="n"/>
      <c r="D552" s="19" t="n"/>
      <c r="E552" s="21" t="n"/>
      <c r="F552" s="11">
        <f>IF(AND(B552="",C552="",D552=""),"",IF(NOT(ISNUMBER(B552)),"Needs a date",IF(D552="","Needs the job",IF(AND(C552&lt;&gt;"",C552&lt;&gt;"All beds",COUNTIF(Beds!$B$6:$B$35,C552)=0),"Not on Beds",""))))</f>
        <v/>
      </c>
      <c r="G552" s="1">
        <f>IF(ISNUMBER(B552),INT(B552),0)</f>
        <v/>
      </c>
      <c r="H552">
        <f>IF(AND(G552&gt;0,D552="Water",OR(C552="",C552="All beds")),G552,0)</f>
        <v/>
      </c>
    </row>
    <row r="553">
      <c r="A553" s="1" t="n"/>
      <c r="B553" s="17" t="n"/>
      <c r="C553" s="18" t="n"/>
      <c r="D553" s="19" t="n"/>
      <c r="E553" s="21" t="n"/>
      <c r="F553" s="11">
        <f>IF(AND(B553="",C553="",D553=""),"",IF(NOT(ISNUMBER(B553)),"Needs a date",IF(D553="","Needs the job",IF(AND(C553&lt;&gt;"",C553&lt;&gt;"All beds",COUNTIF(Beds!$B$6:$B$35,C553)=0),"Not on Beds",""))))</f>
        <v/>
      </c>
      <c r="G553" s="1">
        <f>IF(ISNUMBER(B553),INT(B553),0)</f>
        <v/>
      </c>
      <c r="H553">
        <f>IF(AND(G553&gt;0,D553="Water",OR(C553="",C553="All beds")),G553,0)</f>
        <v/>
      </c>
    </row>
    <row r="554">
      <c r="A554" s="1" t="n"/>
      <c r="B554" s="17" t="n"/>
      <c r="C554" s="18" t="n"/>
      <c r="D554" s="19" t="n"/>
      <c r="E554" s="21" t="n"/>
      <c r="F554" s="11">
        <f>IF(AND(B554="",C554="",D554=""),"",IF(NOT(ISNUMBER(B554)),"Needs a date",IF(D554="","Needs the job",IF(AND(C554&lt;&gt;"",C554&lt;&gt;"All beds",COUNTIF(Beds!$B$6:$B$35,C554)=0),"Not on Beds",""))))</f>
        <v/>
      </c>
      <c r="G554" s="1">
        <f>IF(ISNUMBER(B554),INT(B554),0)</f>
        <v/>
      </c>
      <c r="H554">
        <f>IF(AND(G554&gt;0,D554="Water",OR(C554="",C554="All beds")),G554,0)</f>
        <v/>
      </c>
    </row>
    <row r="555">
      <c r="A555" s="1" t="n"/>
      <c r="B555" s="17" t="n"/>
      <c r="C555" s="18" t="n"/>
      <c r="D555" s="19" t="n"/>
      <c r="E555" s="21" t="n"/>
      <c r="F555" s="11">
        <f>IF(AND(B555="",C555="",D555=""),"",IF(NOT(ISNUMBER(B555)),"Needs a date",IF(D555="","Needs the job",IF(AND(C555&lt;&gt;"",C555&lt;&gt;"All beds",COUNTIF(Beds!$B$6:$B$35,C555)=0),"Not on Beds",""))))</f>
        <v/>
      </c>
      <c r="G555" s="1">
        <f>IF(ISNUMBER(B555),INT(B555),0)</f>
        <v/>
      </c>
      <c r="H555">
        <f>IF(AND(G555&gt;0,D555="Water",OR(C555="",C555="All beds")),G555,0)</f>
        <v/>
      </c>
    </row>
    <row r="556">
      <c r="A556" s="1" t="n"/>
      <c r="B556" s="17" t="n"/>
      <c r="C556" s="18" t="n"/>
      <c r="D556" s="19" t="n"/>
      <c r="E556" s="21" t="n"/>
      <c r="F556" s="11">
        <f>IF(AND(B556="",C556="",D556=""),"",IF(NOT(ISNUMBER(B556)),"Needs a date",IF(D556="","Needs the job",IF(AND(C556&lt;&gt;"",C556&lt;&gt;"All beds",COUNTIF(Beds!$B$6:$B$35,C556)=0),"Not on Beds",""))))</f>
        <v/>
      </c>
      <c r="G556" s="1">
        <f>IF(ISNUMBER(B556),INT(B556),0)</f>
        <v/>
      </c>
      <c r="H556">
        <f>IF(AND(G556&gt;0,D556="Water",OR(C556="",C556="All beds")),G556,0)</f>
        <v/>
      </c>
    </row>
    <row r="557">
      <c r="A557" s="1" t="n"/>
      <c r="B557" s="17" t="n"/>
      <c r="C557" s="18" t="n"/>
      <c r="D557" s="19" t="n"/>
      <c r="E557" s="21" t="n"/>
      <c r="F557" s="11">
        <f>IF(AND(B557="",C557="",D557=""),"",IF(NOT(ISNUMBER(B557)),"Needs a date",IF(D557="","Needs the job",IF(AND(C557&lt;&gt;"",C557&lt;&gt;"All beds",COUNTIF(Beds!$B$6:$B$35,C557)=0),"Not on Beds",""))))</f>
        <v/>
      </c>
      <c r="G557" s="1">
        <f>IF(ISNUMBER(B557),INT(B557),0)</f>
        <v/>
      </c>
      <c r="H557">
        <f>IF(AND(G557&gt;0,D557="Water",OR(C557="",C557="All beds")),G557,0)</f>
        <v/>
      </c>
    </row>
    <row r="558">
      <c r="A558" s="1" t="n"/>
      <c r="B558" s="17" t="n"/>
      <c r="C558" s="18" t="n"/>
      <c r="D558" s="19" t="n"/>
      <c r="E558" s="21" t="n"/>
      <c r="F558" s="11">
        <f>IF(AND(B558="",C558="",D558=""),"",IF(NOT(ISNUMBER(B558)),"Needs a date",IF(D558="","Needs the job",IF(AND(C558&lt;&gt;"",C558&lt;&gt;"All beds",COUNTIF(Beds!$B$6:$B$35,C558)=0),"Not on Beds",""))))</f>
        <v/>
      </c>
      <c r="G558" s="1">
        <f>IF(ISNUMBER(B558),INT(B558),0)</f>
        <v/>
      </c>
      <c r="H558">
        <f>IF(AND(G558&gt;0,D558="Water",OR(C558="",C558="All beds")),G558,0)</f>
        <v/>
      </c>
    </row>
    <row r="559">
      <c r="A559" s="1" t="n"/>
      <c r="B559" s="17" t="n"/>
      <c r="C559" s="18" t="n"/>
      <c r="D559" s="19" t="n"/>
      <c r="E559" s="21" t="n"/>
      <c r="F559" s="11">
        <f>IF(AND(B559="",C559="",D559=""),"",IF(NOT(ISNUMBER(B559)),"Needs a date",IF(D559="","Needs the job",IF(AND(C559&lt;&gt;"",C559&lt;&gt;"All beds",COUNTIF(Beds!$B$6:$B$35,C559)=0),"Not on Beds",""))))</f>
        <v/>
      </c>
      <c r="G559" s="1">
        <f>IF(ISNUMBER(B559),INT(B559),0)</f>
        <v/>
      </c>
      <c r="H559">
        <f>IF(AND(G559&gt;0,D559="Water",OR(C559="",C559="All beds")),G559,0)</f>
        <v/>
      </c>
    </row>
    <row r="560">
      <c r="A560" s="1" t="n"/>
      <c r="B560" s="17" t="n"/>
      <c r="C560" s="18" t="n"/>
      <c r="D560" s="19" t="n"/>
      <c r="E560" s="21" t="n"/>
      <c r="F560" s="11">
        <f>IF(AND(B560="",C560="",D560=""),"",IF(NOT(ISNUMBER(B560)),"Needs a date",IF(D560="","Needs the job",IF(AND(C560&lt;&gt;"",C560&lt;&gt;"All beds",COUNTIF(Beds!$B$6:$B$35,C560)=0),"Not on Beds",""))))</f>
        <v/>
      </c>
      <c r="G560" s="1">
        <f>IF(ISNUMBER(B560),INT(B560),0)</f>
        <v/>
      </c>
      <c r="H560">
        <f>IF(AND(G560&gt;0,D560="Water",OR(C560="",C560="All beds")),G560,0)</f>
        <v/>
      </c>
    </row>
    <row r="561">
      <c r="A561" s="1" t="n"/>
      <c r="B561" s="17" t="n"/>
      <c r="C561" s="18" t="n"/>
      <c r="D561" s="19" t="n"/>
      <c r="E561" s="21" t="n"/>
      <c r="F561" s="11">
        <f>IF(AND(B561="",C561="",D561=""),"",IF(NOT(ISNUMBER(B561)),"Needs a date",IF(D561="","Needs the job",IF(AND(C561&lt;&gt;"",C561&lt;&gt;"All beds",COUNTIF(Beds!$B$6:$B$35,C561)=0),"Not on Beds",""))))</f>
        <v/>
      </c>
      <c r="G561" s="1">
        <f>IF(ISNUMBER(B561),INT(B561),0)</f>
        <v/>
      </c>
      <c r="H561">
        <f>IF(AND(G561&gt;0,D561="Water",OR(C561="",C561="All beds")),G561,0)</f>
        <v/>
      </c>
    </row>
    <row r="562">
      <c r="A562" s="1" t="n"/>
      <c r="B562" s="17" t="n"/>
      <c r="C562" s="18" t="n"/>
      <c r="D562" s="19" t="n"/>
      <c r="E562" s="21" t="n"/>
      <c r="F562" s="11">
        <f>IF(AND(B562="",C562="",D562=""),"",IF(NOT(ISNUMBER(B562)),"Needs a date",IF(D562="","Needs the job",IF(AND(C562&lt;&gt;"",C562&lt;&gt;"All beds",COUNTIF(Beds!$B$6:$B$35,C562)=0),"Not on Beds",""))))</f>
        <v/>
      </c>
      <c r="G562" s="1">
        <f>IF(ISNUMBER(B562),INT(B562),0)</f>
        <v/>
      </c>
      <c r="H562">
        <f>IF(AND(G562&gt;0,D562="Water",OR(C562="",C562="All beds")),G562,0)</f>
        <v/>
      </c>
    </row>
    <row r="563">
      <c r="A563" s="1" t="n"/>
      <c r="B563" s="17" t="n"/>
      <c r="C563" s="18" t="n"/>
      <c r="D563" s="19" t="n"/>
      <c r="E563" s="21" t="n"/>
      <c r="F563" s="11">
        <f>IF(AND(B563="",C563="",D563=""),"",IF(NOT(ISNUMBER(B563)),"Needs a date",IF(D563="","Needs the job",IF(AND(C563&lt;&gt;"",C563&lt;&gt;"All beds",COUNTIF(Beds!$B$6:$B$35,C563)=0),"Not on Beds",""))))</f>
        <v/>
      </c>
      <c r="G563" s="1">
        <f>IF(ISNUMBER(B563),INT(B563),0)</f>
        <v/>
      </c>
      <c r="H563">
        <f>IF(AND(G563&gt;0,D563="Water",OR(C563="",C563="All beds")),G563,0)</f>
        <v/>
      </c>
    </row>
    <row r="564">
      <c r="A564" s="1" t="n"/>
      <c r="B564" s="17" t="n"/>
      <c r="C564" s="18" t="n"/>
      <c r="D564" s="19" t="n"/>
      <c r="E564" s="21" t="n"/>
      <c r="F564" s="11">
        <f>IF(AND(B564="",C564="",D564=""),"",IF(NOT(ISNUMBER(B564)),"Needs a date",IF(D564="","Needs the job",IF(AND(C564&lt;&gt;"",C564&lt;&gt;"All beds",COUNTIF(Beds!$B$6:$B$35,C564)=0),"Not on Beds",""))))</f>
        <v/>
      </c>
      <c r="G564" s="1">
        <f>IF(ISNUMBER(B564),INT(B564),0)</f>
        <v/>
      </c>
      <c r="H564">
        <f>IF(AND(G564&gt;0,D564="Water",OR(C564="",C564="All beds")),G564,0)</f>
        <v/>
      </c>
    </row>
    <row r="565">
      <c r="A565" s="1" t="n"/>
      <c r="B565" s="17" t="n"/>
      <c r="C565" s="18" t="n"/>
      <c r="D565" s="19" t="n"/>
      <c r="E565" s="21" t="n"/>
      <c r="F565" s="11">
        <f>IF(AND(B565="",C565="",D565=""),"",IF(NOT(ISNUMBER(B565)),"Needs a date",IF(D565="","Needs the job",IF(AND(C565&lt;&gt;"",C565&lt;&gt;"All beds",COUNTIF(Beds!$B$6:$B$35,C565)=0),"Not on Beds",""))))</f>
        <v/>
      </c>
      <c r="G565" s="1">
        <f>IF(ISNUMBER(B565),INT(B565),0)</f>
        <v/>
      </c>
      <c r="H565">
        <f>IF(AND(G565&gt;0,D565="Water",OR(C565="",C565="All beds")),G565,0)</f>
        <v/>
      </c>
    </row>
    <row r="566">
      <c r="A566" s="1" t="n"/>
      <c r="B566" s="17" t="n"/>
      <c r="C566" s="18" t="n"/>
      <c r="D566" s="19" t="n"/>
      <c r="E566" s="21" t="n"/>
      <c r="F566" s="11">
        <f>IF(AND(B566="",C566="",D566=""),"",IF(NOT(ISNUMBER(B566)),"Needs a date",IF(D566="","Needs the job",IF(AND(C566&lt;&gt;"",C566&lt;&gt;"All beds",COUNTIF(Beds!$B$6:$B$35,C566)=0),"Not on Beds",""))))</f>
        <v/>
      </c>
      <c r="G566" s="1">
        <f>IF(ISNUMBER(B566),INT(B566),0)</f>
        <v/>
      </c>
      <c r="H566">
        <f>IF(AND(G566&gt;0,D566="Water",OR(C566="",C566="All beds")),G566,0)</f>
        <v/>
      </c>
    </row>
    <row r="567">
      <c r="A567" s="1" t="n"/>
      <c r="B567" s="17" t="n"/>
      <c r="C567" s="18" t="n"/>
      <c r="D567" s="19" t="n"/>
      <c r="E567" s="21" t="n"/>
      <c r="F567" s="11">
        <f>IF(AND(B567="",C567="",D567=""),"",IF(NOT(ISNUMBER(B567)),"Needs a date",IF(D567="","Needs the job",IF(AND(C567&lt;&gt;"",C567&lt;&gt;"All beds",COUNTIF(Beds!$B$6:$B$35,C567)=0),"Not on Beds",""))))</f>
        <v/>
      </c>
      <c r="G567" s="1">
        <f>IF(ISNUMBER(B567),INT(B567),0)</f>
        <v/>
      </c>
      <c r="H567">
        <f>IF(AND(G567&gt;0,D567="Water",OR(C567="",C567="All beds")),G567,0)</f>
        <v/>
      </c>
    </row>
    <row r="568">
      <c r="A568" s="1" t="n"/>
      <c r="B568" s="17" t="n"/>
      <c r="C568" s="18" t="n"/>
      <c r="D568" s="19" t="n"/>
      <c r="E568" s="21" t="n"/>
      <c r="F568" s="11">
        <f>IF(AND(B568="",C568="",D568=""),"",IF(NOT(ISNUMBER(B568)),"Needs a date",IF(D568="","Needs the job",IF(AND(C568&lt;&gt;"",C568&lt;&gt;"All beds",COUNTIF(Beds!$B$6:$B$35,C568)=0),"Not on Beds",""))))</f>
        <v/>
      </c>
      <c r="G568" s="1">
        <f>IF(ISNUMBER(B568),INT(B568),0)</f>
        <v/>
      </c>
      <c r="H568">
        <f>IF(AND(G568&gt;0,D568="Water",OR(C568="",C568="All beds")),G568,0)</f>
        <v/>
      </c>
    </row>
    <row r="569">
      <c r="A569" s="1" t="n"/>
      <c r="B569" s="17" t="n"/>
      <c r="C569" s="18" t="n"/>
      <c r="D569" s="19" t="n"/>
      <c r="E569" s="21" t="n"/>
      <c r="F569" s="11">
        <f>IF(AND(B569="",C569="",D569=""),"",IF(NOT(ISNUMBER(B569)),"Needs a date",IF(D569="","Needs the job",IF(AND(C569&lt;&gt;"",C569&lt;&gt;"All beds",COUNTIF(Beds!$B$6:$B$35,C569)=0),"Not on Beds",""))))</f>
        <v/>
      </c>
      <c r="G569" s="1">
        <f>IF(ISNUMBER(B569),INT(B569),0)</f>
        <v/>
      </c>
      <c r="H569">
        <f>IF(AND(G569&gt;0,D569="Water",OR(C569="",C569="All beds")),G569,0)</f>
        <v/>
      </c>
    </row>
    <row r="570">
      <c r="A570" s="1" t="n"/>
      <c r="B570" s="17" t="n"/>
      <c r="C570" s="18" t="n"/>
      <c r="D570" s="19" t="n"/>
      <c r="E570" s="21" t="n"/>
      <c r="F570" s="11">
        <f>IF(AND(B570="",C570="",D570=""),"",IF(NOT(ISNUMBER(B570)),"Needs a date",IF(D570="","Needs the job",IF(AND(C570&lt;&gt;"",C570&lt;&gt;"All beds",COUNTIF(Beds!$B$6:$B$35,C570)=0),"Not on Beds",""))))</f>
        <v/>
      </c>
      <c r="G570" s="1">
        <f>IF(ISNUMBER(B570),INT(B570),0)</f>
        <v/>
      </c>
      <c r="H570">
        <f>IF(AND(G570&gt;0,D570="Water",OR(C570="",C570="All beds")),G570,0)</f>
        <v/>
      </c>
    </row>
    <row r="571">
      <c r="A571" s="1" t="n"/>
      <c r="B571" s="17" t="n"/>
      <c r="C571" s="18" t="n"/>
      <c r="D571" s="19" t="n"/>
      <c r="E571" s="21" t="n"/>
      <c r="F571" s="11">
        <f>IF(AND(B571="",C571="",D571=""),"",IF(NOT(ISNUMBER(B571)),"Needs a date",IF(D571="","Needs the job",IF(AND(C571&lt;&gt;"",C571&lt;&gt;"All beds",COUNTIF(Beds!$B$6:$B$35,C571)=0),"Not on Beds",""))))</f>
        <v/>
      </c>
      <c r="G571" s="1">
        <f>IF(ISNUMBER(B571),INT(B571),0)</f>
        <v/>
      </c>
      <c r="H571">
        <f>IF(AND(G571&gt;0,D571="Water",OR(C571="",C571="All beds")),G571,0)</f>
        <v/>
      </c>
    </row>
    <row r="572">
      <c r="A572" s="1" t="n"/>
      <c r="B572" s="17" t="n"/>
      <c r="C572" s="18" t="n"/>
      <c r="D572" s="19" t="n"/>
      <c r="E572" s="21" t="n"/>
      <c r="F572" s="11">
        <f>IF(AND(B572="",C572="",D572=""),"",IF(NOT(ISNUMBER(B572)),"Needs a date",IF(D572="","Needs the job",IF(AND(C572&lt;&gt;"",C572&lt;&gt;"All beds",COUNTIF(Beds!$B$6:$B$35,C572)=0),"Not on Beds",""))))</f>
        <v/>
      </c>
      <c r="G572" s="1">
        <f>IF(ISNUMBER(B572),INT(B572),0)</f>
        <v/>
      </c>
      <c r="H572">
        <f>IF(AND(G572&gt;0,D572="Water",OR(C572="",C572="All beds")),G572,0)</f>
        <v/>
      </c>
    </row>
    <row r="573">
      <c r="A573" s="1" t="n"/>
      <c r="B573" s="17" t="n"/>
      <c r="C573" s="18" t="n"/>
      <c r="D573" s="19" t="n"/>
      <c r="E573" s="21" t="n"/>
      <c r="F573" s="11">
        <f>IF(AND(B573="",C573="",D573=""),"",IF(NOT(ISNUMBER(B573)),"Needs a date",IF(D573="","Needs the job",IF(AND(C573&lt;&gt;"",C573&lt;&gt;"All beds",COUNTIF(Beds!$B$6:$B$35,C573)=0),"Not on Beds",""))))</f>
        <v/>
      </c>
      <c r="G573" s="1">
        <f>IF(ISNUMBER(B573),INT(B573),0)</f>
        <v/>
      </c>
      <c r="H573">
        <f>IF(AND(G573&gt;0,D573="Water",OR(C573="",C573="All beds")),G573,0)</f>
        <v/>
      </c>
    </row>
    <row r="574">
      <c r="A574" s="1" t="n"/>
      <c r="B574" s="17" t="n"/>
      <c r="C574" s="18" t="n"/>
      <c r="D574" s="19" t="n"/>
      <c r="E574" s="21" t="n"/>
      <c r="F574" s="11">
        <f>IF(AND(B574="",C574="",D574=""),"",IF(NOT(ISNUMBER(B574)),"Needs a date",IF(D574="","Needs the job",IF(AND(C574&lt;&gt;"",C574&lt;&gt;"All beds",COUNTIF(Beds!$B$6:$B$35,C574)=0),"Not on Beds",""))))</f>
        <v/>
      </c>
      <c r="G574" s="1">
        <f>IF(ISNUMBER(B574),INT(B574),0)</f>
        <v/>
      </c>
      <c r="H574">
        <f>IF(AND(G574&gt;0,D574="Water",OR(C574="",C574="All beds")),G574,0)</f>
        <v/>
      </c>
    </row>
    <row r="575">
      <c r="A575" s="1" t="n"/>
      <c r="B575" s="17" t="n"/>
      <c r="C575" s="18" t="n"/>
      <c r="D575" s="19" t="n"/>
      <c r="E575" s="21" t="n"/>
      <c r="F575" s="11">
        <f>IF(AND(B575="",C575="",D575=""),"",IF(NOT(ISNUMBER(B575)),"Needs a date",IF(D575="","Needs the job",IF(AND(C575&lt;&gt;"",C575&lt;&gt;"All beds",COUNTIF(Beds!$B$6:$B$35,C575)=0),"Not on Beds",""))))</f>
        <v/>
      </c>
      <c r="G575" s="1">
        <f>IF(ISNUMBER(B575),INT(B575),0)</f>
        <v/>
      </c>
      <c r="H575">
        <f>IF(AND(G575&gt;0,D575="Water",OR(C575="",C575="All beds")),G575,0)</f>
        <v/>
      </c>
    </row>
    <row r="576">
      <c r="A576" s="1" t="n"/>
      <c r="B576" s="17" t="n"/>
      <c r="C576" s="18" t="n"/>
      <c r="D576" s="19" t="n"/>
      <c r="E576" s="21" t="n"/>
      <c r="F576" s="11">
        <f>IF(AND(B576="",C576="",D576=""),"",IF(NOT(ISNUMBER(B576)),"Needs a date",IF(D576="","Needs the job",IF(AND(C576&lt;&gt;"",C576&lt;&gt;"All beds",COUNTIF(Beds!$B$6:$B$35,C576)=0),"Not on Beds",""))))</f>
        <v/>
      </c>
      <c r="G576" s="1">
        <f>IF(ISNUMBER(B576),INT(B576),0)</f>
        <v/>
      </c>
      <c r="H576">
        <f>IF(AND(G576&gt;0,D576="Water",OR(C576="",C576="All beds")),G576,0)</f>
        <v/>
      </c>
    </row>
    <row r="577">
      <c r="A577" s="1" t="n"/>
      <c r="B577" s="17" t="n"/>
      <c r="C577" s="18" t="n"/>
      <c r="D577" s="19" t="n"/>
      <c r="E577" s="21" t="n"/>
      <c r="F577" s="11">
        <f>IF(AND(B577="",C577="",D577=""),"",IF(NOT(ISNUMBER(B577)),"Needs a date",IF(D577="","Needs the job",IF(AND(C577&lt;&gt;"",C577&lt;&gt;"All beds",COUNTIF(Beds!$B$6:$B$35,C577)=0),"Not on Beds",""))))</f>
        <v/>
      </c>
      <c r="G577" s="1">
        <f>IF(ISNUMBER(B577),INT(B577),0)</f>
        <v/>
      </c>
      <c r="H577">
        <f>IF(AND(G577&gt;0,D577="Water",OR(C577="",C577="All beds")),G577,0)</f>
        <v/>
      </c>
    </row>
    <row r="578">
      <c r="A578" s="1" t="n"/>
      <c r="B578" s="17" t="n"/>
      <c r="C578" s="18" t="n"/>
      <c r="D578" s="19" t="n"/>
      <c r="E578" s="21" t="n"/>
      <c r="F578" s="11">
        <f>IF(AND(B578="",C578="",D578=""),"",IF(NOT(ISNUMBER(B578)),"Needs a date",IF(D578="","Needs the job",IF(AND(C578&lt;&gt;"",C578&lt;&gt;"All beds",COUNTIF(Beds!$B$6:$B$35,C578)=0),"Not on Beds",""))))</f>
        <v/>
      </c>
      <c r="G578" s="1">
        <f>IF(ISNUMBER(B578),INT(B578),0)</f>
        <v/>
      </c>
      <c r="H578">
        <f>IF(AND(G578&gt;0,D578="Water",OR(C578="",C578="All beds")),G578,0)</f>
        <v/>
      </c>
    </row>
    <row r="579">
      <c r="A579" s="1" t="n"/>
      <c r="B579" s="17" t="n"/>
      <c r="C579" s="18" t="n"/>
      <c r="D579" s="19" t="n"/>
      <c r="E579" s="21" t="n"/>
      <c r="F579" s="11">
        <f>IF(AND(B579="",C579="",D579=""),"",IF(NOT(ISNUMBER(B579)),"Needs a date",IF(D579="","Needs the job",IF(AND(C579&lt;&gt;"",C579&lt;&gt;"All beds",COUNTIF(Beds!$B$6:$B$35,C579)=0),"Not on Beds",""))))</f>
        <v/>
      </c>
      <c r="G579" s="1">
        <f>IF(ISNUMBER(B579),INT(B579),0)</f>
        <v/>
      </c>
      <c r="H579">
        <f>IF(AND(G579&gt;0,D579="Water",OR(C579="",C579="All beds")),G579,0)</f>
        <v/>
      </c>
    </row>
    <row r="580">
      <c r="A580" s="1" t="n"/>
      <c r="B580" s="17" t="n"/>
      <c r="C580" s="18" t="n"/>
      <c r="D580" s="19" t="n"/>
      <c r="E580" s="21" t="n"/>
      <c r="F580" s="11">
        <f>IF(AND(B580="",C580="",D580=""),"",IF(NOT(ISNUMBER(B580)),"Needs a date",IF(D580="","Needs the job",IF(AND(C580&lt;&gt;"",C580&lt;&gt;"All beds",COUNTIF(Beds!$B$6:$B$35,C580)=0),"Not on Beds",""))))</f>
        <v/>
      </c>
      <c r="G580" s="1">
        <f>IF(ISNUMBER(B580),INT(B580),0)</f>
        <v/>
      </c>
      <c r="H580">
        <f>IF(AND(G580&gt;0,D580="Water",OR(C580="",C580="All beds")),G580,0)</f>
        <v/>
      </c>
    </row>
    <row r="581">
      <c r="A581" s="1" t="n"/>
      <c r="B581" s="17" t="n"/>
      <c r="C581" s="18" t="n"/>
      <c r="D581" s="19" t="n"/>
      <c r="E581" s="21" t="n"/>
      <c r="F581" s="11">
        <f>IF(AND(B581="",C581="",D581=""),"",IF(NOT(ISNUMBER(B581)),"Needs a date",IF(D581="","Needs the job",IF(AND(C581&lt;&gt;"",C581&lt;&gt;"All beds",COUNTIF(Beds!$B$6:$B$35,C581)=0),"Not on Beds",""))))</f>
        <v/>
      </c>
      <c r="G581" s="1">
        <f>IF(ISNUMBER(B581),INT(B581),0)</f>
        <v/>
      </c>
      <c r="H581">
        <f>IF(AND(G581&gt;0,D581="Water",OR(C581="",C581="All beds")),G581,0)</f>
        <v/>
      </c>
    </row>
    <row r="582">
      <c r="A582" s="1" t="n"/>
      <c r="B582" s="17" t="n"/>
      <c r="C582" s="18" t="n"/>
      <c r="D582" s="19" t="n"/>
      <c r="E582" s="21" t="n"/>
      <c r="F582" s="11">
        <f>IF(AND(B582="",C582="",D582=""),"",IF(NOT(ISNUMBER(B582)),"Needs a date",IF(D582="","Needs the job",IF(AND(C582&lt;&gt;"",C582&lt;&gt;"All beds",COUNTIF(Beds!$B$6:$B$35,C582)=0),"Not on Beds",""))))</f>
        <v/>
      </c>
      <c r="G582" s="1">
        <f>IF(ISNUMBER(B582),INT(B582),0)</f>
        <v/>
      </c>
      <c r="H582">
        <f>IF(AND(G582&gt;0,D582="Water",OR(C582="",C582="All beds")),G582,0)</f>
        <v/>
      </c>
    </row>
    <row r="583">
      <c r="A583" s="1" t="n"/>
      <c r="B583" s="17" t="n"/>
      <c r="C583" s="18" t="n"/>
      <c r="D583" s="19" t="n"/>
      <c r="E583" s="21" t="n"/>
      <c r="F583" s="11">
        <f>IF(AND(B583="",C583="",D583=""),"",IF(NOT(ISNUMBER(B583)),"Needs a date",IF(D583="","Needs the job",IF(AND(C583&lt;&gt;"",C583&lt;&gt;"All beds",COUNTIF(Beds!$B$6:$B$35,C583)=0),"Not on Beds",""))))</f>
        <v/>
      </c>
      <c r="G583" s="1">
        <f>IF(ISNUMBER(B583),INT(B583),0)</f>
        <v/>
      </c>
      <c r="H583">
        <f>IF(AND(G583&gt;0,D583="Water",OR(C583="",C583="All beds")),G583,0)</f>
        <v/>
      </c>
    </row>
    <row r="584">
      <c r="A584" s="1" t="n"/>
      <c r="B584" s="17" t="n"/>
      <c r="C584" s="18" t="n"/>
      <c r="D584" s="19" t="n"/>
      <c r="E584" s="21" t="n"/>
      <c r="F584" s="11">
        <f>IF(AND(B584="",C584="",D584=""),"",IF(NOT(ISNUMBER(B584)),"Needs a date",IF(D584="","Needs the job",IF(AND(C584&lt;&gt;"",C584&lt;&gt;"All beds",COUNTIF(Beds!$B$6:$B$35,C584)=0),"Not on Beds",""))))</f>
        <v/>
      </c>
      <c r="G584" s="1">
        <f>IF(ISNUMBER(B584),INT(B584),0)</f>
        <v/>
      </c>
      <c r="H584">
        <f>IF(AND(G584&gt;0,D584="Water",OR(C584="",C584="All beds")),G584,0)</f>
        <v/>
      </c>
    </row>
    <row r="585">
      <c r="A585" s="1" t="n"/>
      <c r="B585" s="17" t="n"/>
      <c r="C585" s="18" t="n"/>
      <c r="D585" s="19" t="n"/>
      <c r="E585" s="21" t="n"/>
      <c r="F585" s="11">
        <f>IF(AND(B585="",C585="",D585=""),"",IF(NOT(ISNUMBER(B585)),"Needs a date",IF(D585="","Needs the job",IF(AND(C585&lt;&gt;"",C585&lt;&gt;"All beds",COUNTIF(Beds!$B$6:$B$35,C585)=0),"Not on Beds",""))))</f>
        <v/>
      </c>
      <c r="G585" s="1">
        <f>IF(ISNUMBER(B585),INT(B585),0)</f>
        <v/>
      </c>
      <c r="H585">
        <f>IF(AND(G585&gt;0,D585="Water",OR(C585="",C585="All beds")),G585,0)</f>
        <v/>
      </c>
    </row>
    <row r="586">
      <c r="A586" s="1" t="n"/>
      <c r="B586" s="17" t="n"/>
      <c r="C586" s="18" t="n"/>
      <c r="D586" s="19" t="n"/>
      <c r="E586" s="21" t="n"/>
      <c r="F586" s="11">
        <f>IF(AND(B586="",C586="",D586=""),"",IF(NOT(ISNUMBER(B586)),"Needs a date",IF(D586="","Needs the job",IF(AND(C586&lt;&gt;"",C586&lt;&gt;"All beds",COUNTIF(Beds!$B$6:$B$35,C586)=0),"Not on Beds",""))))</f>
        <v/>
      </c>
      <c r="G586" s="1">
        <f>IF(ISNUMBER(B586),INT(B586),0)</f>
        <v/>
      </c>
      <c r="H586">
        <f>IF(AND(G586&gt;0,D586="Water",OR(C586="",C586="All beds")),G586,0)</f>
        <v/>
      </c>
    </row>
    <row r="587">
      <c r="A587" s="1" t="n"/>
      <c r="B587" s="17" t="n"/>
      <c r="C587" s="18" t="n"/>
      <c r="D587" s="19" t="n"/>
      <c r="E587" s="21" t="n"/>
      <c r="F587" s="11">
        <f>IF(AND(B587="",C587="",D587=""),"",IF(NOT(ISNUMBER(B587)),"Needs a date",IF(D587="","Needs the job",IF(AND(C587&lt;&gt;"",C587&lt;&gt;"All beds",COUNTIF(Beds!$B$6:$B$35,C587)=0),"Not on Beds",""))))</f>
        <v/>
      </c>
      <c r="G587" s="1">
        <f>IF(ISNUMBER(B587),INT(B587),0)</f>
        <v/>
      </c>
      <c r="H587">
        <f>IF(AND(G587&gt;0,D587="Water",OR(C587="",C587="All beds")),G587,0)</f>
        <v/>
      </c>
    </row>
    <row r="588">
      <c r="A588" s="1" t="n"/>
      <c r="B588" s="17" t="n"/>
      <c r="C588" s="18" t="n"/>
      <c r="D588" s="19" t="n"/>
      <c r="E588" s="21" t="n"/>
      <c r="F588" s="11">
        <f>IF(AND(B588="",C588="",D588=""),"",IF(NOT(ISNUMBER(B588)),"Needs a date",IF(D588="","Needs the job",IF(AND(C588&lt;&gt;"",C588&lt;&gt;"All beds",COUNTIF(Beds!$B$6:$B$35,C588)=0),"Not on Beds",""))))</f>
        <v/>
      </c>
      <c r="G588" s="1">
        <f>IF(ISNUMBER(B588),INT(B588),0)</f>
        <v/>
      </c>
      <c r="H588">
        <f>IF(AND(G588&gt;0,D588="Water",OR(C588="",C588="All beds")),G588,0)</f>
        <v/>
      </c>
    </row>
    <row r="589">
      <c r="A589" s="1" t="n"/>
      <c r="B589" s="17" t="n"/>
      <c r="C589" s="18" t="n"/>
      <c r="D589" s="19" t="n"/>
      <c r="E589" s="21" t="n"/>
      <c r="F589" s="11">
        <f>IF(AND(B589="",C589="",D589=""),"",IF(NOT(ISNUMBER(B589)),"Needs a date",IF(D589="","Needs the job",IF(AND(C589&lt;&gt;"",C589&lt;&gt;"All beds",COUNTIF(Beds!$B$6:$B$35,C589)=0),"Not on Beds",""))))</f>
        <v/>
      </c>
      <c r="G589" s="1">
        <f>IF(ISNUMBER(B589),INT(B589),0)</f>
        <v/>
      </c>
      <c r="H589">
        <f>IF(AND(G589&gt;0,D589="Water",OR(C589="",C589="All beds")),G589,0)</f>
        <v/>
      </c>
    </row>
    <row r="590">
      <c r="A590" s="1" t="n"/>
      <c r="B590" s="17" t="n"/>
      <c r="C590" s="18" t="n"/>
      <c r="D590" s="19" t="n"/>
      <c r="E590" s="21" t="n"/>
      <c r="F590" s="11">
        <f>IF(AND(B590="",C590="",D590=""),"",IF(NOT(ISNUMBER(B590)),"Needs a date",IF(D590="","Needs the job",IF(AND(C590&lt;&gt;"",C590&lt;&gt;"All beds",COUNTIF(Beds!$B$6:$B$35,C590)=0),"Not on Beds",""))))</f>
        <v/>
      </c>
      <c r="G590" s="1">
        <f>IF(ISNUMBER(B590),INT(B590),0)</f>
        <v/>
      </c>
      <c r="H590">
        <f>IF(AND(G590&gt;0,D590="Water",OR(C590="",C590="All beds")),G590,0)</f>
        <v/>
      </c>
    </row>
    <row r="591">
      <c r="A591" s="1" t="n"/>
      <c r="B591" s="17" t="n"/>
      <c r="C591" s="18" t="n"/>
      <c r="D591" s="19" t="n"/>
      <c r="E591" s="21" t="n"/>
      <c r="F591" s="11">
        <f>IF(AND(B591="",C591="",D591=""),"",IF(NOT(ISNUMBER(B591)),"Needs a date",IF(D591="","Needs the job",IF(AND(C591&lt;&gt;"",C591&lt;&gt;"All beds",COUNTIF(Beds!$B$6:$B$35,C591)=0),"Not on Beds",""))))</f>
        <v/>
      </c>
      <c r="G591" s="1">
        <f>IF(ISNUMBER(B591),INT(B591),0)</f>
        <v/>
      </c>
      <c r="H591">
        <f>IF(AND(G591&gt;0,D591="Water",OR(C591="",C591="All beds")),G591,0)</f>
        <v/>
      </c>
    </row>
    <row r="592">
      <c r="A592" s="1" t="n"/>
      <c r="B592" s="17" t="n"/>
      <c r="C592" s="18" t="n"/>
      <c r="D592" s="19" t="n"/>
      <c r="E592" s="21" t="n"/>
      <c r="F592" s="11">
        <f>IF(AND(B592="",C592="",D592=""),"",IF(NOT(ISNUMBER(B592)),"Needs a date",IF(D592="","Needs the job",IF(AND(C592&lt;&gt;"",C592&lt;&gt;"All beds",COUNTIF(Beds!$B$6:$B$35,C592)=0),"Not on Beds",""))))</f>
        <v/>
      </c>
      <c r="G592" s="1">
        <f>IF(ISNUMBER(B592),INT(B592),0)</f>
        <v/>
      </c>
      <c r="H592">
        <f>IF(AND(G592&gt;0,D592="Water",OR(C592="",C592="All beds")),G592,0)</f>
        <v/>
      </c>
    </row>
    <row r="593">
      <c r="A593" s="1" t="n"/>
      <c r="B593" s="17" t="n"/>
      <c r="C593" s="18" t="n"/>
      <c r="D593" s="19" t="n"/>
      <c r="E593" s="21" t="n"/>
      <c r="F593" s="11">
        <f>IF(AND(B593="",C593="",D593=""),"",IF(NOT(ISNUMBER(B593)),"Needs a date",IF(D593="","Needs the job",IF(AND(C593&lt;&gt;"",C593&lt;&gt;"All beds",COUNTIF(Beds!$B$6:$B$35,C593)=0),"Not on Beds",""))))</f>
        <v/>
      </c>
      <c r="G593" s="1">
        <f>IF(ISNUMBER(B593),INT(B593),0)</f>
        <v/>
      </c>
      <c r="H593">
        <f>IF(AND(G593&gt;0,D593="Water",OR(C593="",C593="All beds")),G593,0)</f>
        <v/>
      </c>
    </row>
    <row r="594">
      <c r="A594" s="1" t="n"/>
      <c r="B594" s="17" t="n"/>
      <c r="C594" s="18" t="n"/>
      <c r="D594" s="19" t="n"/>
      <c r="E594" s="21" t="n"/>
      <c r="F594" s="11">
        <f>IF(AND(B594="",C594="",D594=""),"",IF(NOT(ISNUMBER(B594)),"Needs a date",IF(D594="","Needs the job",IF(AND(C594&lt;&gt;"",C594&lt;&gt;"All beds",COUNTIF(Beds!$B$6:$B$35,C594)=0),"Not on Beds",""))))</f>
        <v/>
      </c>
      <c r="G594" s="1">
        <f>IF(ISNUMBER(B594),INT(B594),0)</f>
        <v/>
      </c>
      <c r="H594">
        <f>IF(AND(G594&gt;0,D594="Water",OR(C594="",C594="All beds")),G594,0)</f>
        <v/>
      </c>
    </row>
    <row r="595">
      <c r="A595" s="1" t="n"/>
      <c r="B595" s="17" t="n"/>
      <c r="C595" s="18" t="n"/>
      <c r="D595" s="19" t="n"/>
      <c r="E595" s="21" t="n"/>
      <c r="F595" s="11">
        <f>IF(AND(B595="",C595="",D595=""),"",IF(NOT(ISNUMBER(B595)),"Needs a date",IF(D595="","Needs the job",IF(AND(C595&lt;&gt;"",C595&lt;&gt;"All beds",COUNTIF(Beds!$B$6:$B$35,C595)=0),"Not on Beds",""))))</f>
        <v/>
      </c>
      <c r="G595" s="1">
        <f>IF(ISNUMBER(B595),INT(B595),0)</f>
        <v/>
      </c>
      <c r="H595">
        <f>IF(AND(G595&gt;0,D595="Water",OR(C595="",C595="All beds")),G595,0)</f>
        <v/>
      </c>
    </row>
    <row r="596">
      <c r="A596" s="1" t="n"/>
      <c r="B596" s="17" t="n"/>
      <c r="C596" s="18" t="n"/>
      <c r="D596" s="19" t="n"/>
      <c r="E596" s="21" t="n"/>
      <c r="F596" s="11">
        <f>IF(AND(B596="",C596="",D596=""),"",IF(NOT(ISNUMBER(B596)),"Needs a date",IF(D596="","Needs the job",IF(AND(C596&lt;&gt;"",C596&lt;&gt;"All beds",COUNTIF(Beds!$B$6:$B$35,C596)=0),"Not on Beds",""))))</f>
        <v/>
      </c>
      <c r="G596" s="1">
        <f>IF(ISNUMBER(B596),INT(B596),0)</f>
        <v/>
      </c>
      <c r="H596">
        <f>IF(AND(G596&gt;0,D596="Water",OR(C596="",C596="All beds")),G596,0)</f>
        <v/>
      </c>
    </row>
    <row r="597">
      <c r="A597" s="1" t="n"/>
      <c r="B597" s="17" t="n"/>
      <c r="C597" s="18" t="n"/>
      <c r="D597" s="19" t="n"/>
      <c r="E597" s="21" t="n"/>
      <c r="F597" s="11">
        <f>IF(AND(B597="",C597="",D597=""),"",IF(NOT(ISNUMBER(B597)),"Needs a date",IF(D597="","Needs the job",IF(AND(C597&lt;&gt;"",C597&lt;&gt;"All beds",COUNTIF(Beds!$B$6:$B$35,C597)=0),"Not on Beds",""))))</f>
        <v/>
      </c>
      <c r="G597" s="1">
        <f>IF(ISNUMBER(B597),INT(B597),0)</f>
        <v/>
      </c>
      <c r="H597">
        <f>IF(AND(G597&gt;0,D597="Water",OR(C597="",C597="All beds")),G597,0)</f>
        <v/>
      </c>
    </row>
    <row r="598">
      <c r="A598" s="1" t="n"/>
      <c r="B598" s="17" t="n"/>
      <c r="C598" s="18" t="n"/>
      <c r="D598" s="19" t="n"/>
      <c r="E598" s="21" t="n"/>
      <c r="F598" s="11">
        <f>IF(AND(B598="",C598="",D598=""),"",IF(NOT(ISNUMBER(B598)),"Needs a date",IF(D598="","Needs the job",IF(AND(C598&lt;&gt;"",C598&lt;&gt;"All beds",COUNTIF(Beds!$B$6:$B$35,C598)=0),"Not on Beds",""))))</f>
        <v/>
      </c>
      <c r="G598" s="1">
        <f>IF(ISNUMBER(B598),INT(B598),0)</f>
        <v/>
      </c>
      <c r="H598">
        <f>IF(AND(G598&gt;0,D598="Water",OR(C598="",C598="All beds")),G598,0)</f>
        <v/>
      </c>
    </row>
    <row r="599">
      <c r="A599" s="1" t="n"/>
      <c r="B599" s="17" t="n"/>
      <c r="C599" s="18" t="n"/>
      <c r="D599" s="19" t="n"/>
      <c r="E599" s="21" t="n"/>
      <c r="F599" s="11">
        <f>IF(AND(B599="",C599="",D599=""),"",IF(NOT(ISNUMBER(B599)),"Needs a date",IF(D599="","Needs the job",IF(AND(C599&lt;&gt;"",C599&lt;&gt;"All beds",COUNTIF(Beds!$B$6:$B$35,C599)=0),"Not on Beds",""))))</f>
        <v/>
      </c>
      <c r="G599" s="1">
        <f>IF(ISNUMBER(B599),INT(B599),0)</f>
        <v/>
      </c>
      <c r="H599">
        <f>IF(AND(G599&gt;0,D599="Water",OR(C599="",C599="All beds")),G599,0)</f>
        <v/>
      </c>
    </row>
    <row r="600">
      <c r="A600" s="1" t="n"/>
      <c r="B600" s="17" t="n"/>
      <c r="C600" s="18" t="n"/>
      <c r="D600" s="19" t="n"/>
      <c r="E600" s="21" t="n"/>
      <c r="F600" s="11">
        <f>IF(AND(B600="",C600="",D600=""),"",IF(NOT(ISNUMBER(B600)),"Needs a date",IF(D600="","Needs the job",IF(AND(C600&lt;&gt;"",C600&lt;&gt;"All beds",COUNTIF(Beds!$B$6:$B$35,C600)=0),"Not on Beds",""))))</f>
        <v/>
      </c>
      <c r="G600" s="1">
        <f>IF(ISNUMBER(B600),INT(B600),0)</f>
        <v/>
      </c>
      <c r="H600">
        <f>IF(AND(G600&gt;0,D600="Water",OR(C600="",C600="All beds")),G600,0)</f>
        <v/>
      </c>
    </row>
    <row r="601">
      <c r="A601" s="1" t="n"/>
      <c r="B601" s="17" t="n"/>
      <c r="C601" s="18" t="n"/>
      <c r="D601" s="19" t="n"/>
      <c r="E601" s="21" t="n"/>
      <c r="F601" s="11">
        <f>IF(AND(B601="",C601="",D601=""),"",IF(NOT(ISNUMBER(B601)),"Needs a date",IF(D601="","Needs the job",IF(AND(C601&lt;&gt;"",C601&lt;&gt;"All beds",COUNTIF(Beds!$B$6:$B$35,C601)=0),"Not on Beds",""))))</f>
        <v/>
      </c>
      <c r="G601" s="1">
        <f>IF(ISNUMBER(B601),INT(B601),0)</f>
        <v/>
      </c>
      <c r="H601">
        <f>IF(AND(G601&gt;0,D601="Water",OR(C601="",C601="All beds")),G601,0)</f>
        <v/>
      </c>
    </row>
    <row r="602">
      <c r="A602" s="1" t="n"/>
      <c r="B602" s="17" t="n"/>
      <c r="C602" s="18" t="n"/>
      <c r="D602" s="19" t="n"/>
      <c r="E602" s="21" t="n"/>
      <c r="F602" s="11">
        <f>IF(AND(B602="",C602="",D602=""),"",IF(NOT(ISNUMBER(B602)),"Needs a date",IF(D602="","Needs the job",IF(AND(C602&lt;&gt;"",C602&lt;&gt;"All beds",COUNTIF(Beds!$B$6:$B$35,C602)=0),"Not on Beds",""))))</f>
        <v/>
      </c>
      <c r="G602" s="1">
        <f>IF(ISNUMBER(B602),INT(B602),0)</f>
        <v/>
      </c>
      <c r="H602">
        <f>IF(AND(G602&gt;0,D602="Water",OR(C602="",C602="All beds")),G602,0)</f>
        <v/>
      </c>
    </row>
    <row r="603">
      <c r="A603" s="1" t="n"/>
      <c r="B603" s="17" t="n"/>
      <c r="C603" s="18" t="n"/>
      <c r="D603" s="19" t="n"/>
      <c r="E603" s="21" t="n"/>
      <c r="F603" s="11">
        <f>IF(AND(B603="",C603="",D603=""),"",IF(NOT(ISNUMBER(B603)),"Needs a date",IF(D603="","Needs the job",IF(AND(C603&lt;&gt;"",C603&lt;&gt;"All beds",COUNTIF(Beds!$B$6:$B$35,C603)=0),"Not on Beds",""))))</f>
        <v/>
      </c>
      <c r="G603" s="1">
        <f>IF(ISNUMBER(B603),INT(B603),0)</f>
        <v/>
      </c>
      <c r="H603">
        <f>IF(AND(G603&gt;0,D603="Water",OR(C603="",C603="All beds")),G603,0)</f>
        <v/>
      </c>
    </row>
    <row r="604">
      <c r="A604" s="1" t="n"/>
      <c r="B604" s="17" t="n"/>
      <c r="C604" s="18" t="n"/>
      <c r="D604" s="19" t="n"/>
      <c r="E604" s="21" t="n"/>
      <c r="F604" s="11">
        <f>IF(AND(B604="",C604="",D604=""),"",IF(NOT(ISNUMBER(B604)),"Needs a date",IF(D604="","Needs the job",IF(AND(C604&lt;&gt;"",C604&lt;&gt;"All beds",COUNTIF(Beds!$B$6:$B$35,C604)=0),"Not on Beds",""))))</f>
        <v/>
      </c>
      <c r="G604" s="1">
        <f>IF(ISNUMBER(B604),INT(B604),0)</f>
        <v/>
      </c>
      <c r="H604">
        <f>IF(AND(G604&gt;0,D604="Water",OR(C604="",C604="All beds")),G604,0)</f>
        <v/>
      </c>
    </row>
    <row r="605">
      <c r="A605" s="1" t="n"/>
      <c r="B605" s="17" t="n"/>
      <c r="C605" s="18" t="n"/>
      <c r="D605" s="19" t="n"/>
      <c r="E605" s="21" t="n"/>
      <c r="F605" s="11">
        <f>IF(AND(B605="",C605="",D605=""),"",IF(NOT(ISNUMBER(B605)),"Needs a date",IF(D605="","Needs the job",IF(AND(C605&lt;&gt;"",C605&lt;&gt;"All beds",COUNTIF(Beds!$B$6:$B$35,C605)=0),"Not on Beds",""))))</f>
        <v/>
      </c>
      <c r="G605" s="1">
        <f>IF(ISNUMBER(B605),INT(B605),0)</f>
        <v/>
      </c>
      <c r="H605">
        <f>IF(AND(G605&gt;0,D605="Water",OR(C605="",C605="All beds")),G605,0)</f>
        <v/>
      </c>
    </row>
    <row r="606">
      <c r="A606" s="1" t="n"/>
      <c r="B606" s="17" t="n"/>
      <c r="C606" s="18" t="n"/>
      <c r="D606" s="19" t="n"/>
      <c r="E606" s="21" t="n"/>
      <c r="F606" s="11">
        <f>IF(AND(B606="",C606="",D606=""),"",IF(NOT(ISNUMBER(B606)),"Needs a date",IF(D606="","Needs the job",IF(AND(C606&lt;&gt;"",C606&lt;&gt;"All beds",COUNTIF(Beds!$B$6:$B$35,C606)=0),"Not on Beds",""))))</f>
        <v/>
      </c>
      <c r="G606" s="1">
        <f>IF(ISNUMBER(B606),INT(B606),0)</f>
        <v/>
      </c>
      <c r="H606">
        <f>IF(AND(G606&gt;0,D606="Water",OR(C606="",C606="All beds")),G606,0)</f>
        <v/>
      </c>
    </row>
    <row r="607">
      <c r="A607" s="1" t="n"/>
      <c r="B607" s="17" t="n"/>
      <c r="C607" s="18" t="n"/>
      <c r="D607" s="19" t="n"/>
      <c r="E607" s="21" t="n"/>
      <c r="F607" s="11">
        <f>IF(AND(B607="",C607="",D607=""),"",IF(NOT(ISNUMBER(B607)),"Needs a date",IF(D607="","Needs the job",IF(AND(C607&lt;&gt;"",C607&lt;&gt;"All beds",COUNTIF(Beds!$B$6:$B$35,C607)=0),"Not on Beds",""))))</f>
        <v/>
      </c>
      <c r="G607" s="1">
        <f>IF(ISNUMBER(B607),INT(B607),0)</f>
        <v/>
      </c>
      <c r="H607">
        <f>IF(AND(G607&gt;0,D607="Water",OR(C607="",C607="All beds")),G607,0)</f>
        <v/>
      </c>
    </row>
    <row r="608">
      <c r="A608" s="1" t="n"/>
      <c r="B608" s="17" t="n"/>
      <c r="C608" s="18" t="n"/>
      <c r="D608" s="19" t="n"/>
      <c r="E608" s="21" t="n"/>
      <c r="F608" s="11">
        <f>IF(AND(B608="",C608="",D608=""),"",IF(NOT(ISNUMBER(B608)),"Needs a date",IF(D608="","Needs the job",IF(AND(C608&lt;&gt;"",C608&lt;&gt;"All beds",COUNTIF(Beds!$B$6:$B$35,C608)=0),"Not on Beds",""))))</f>
        <v/>
      </c>
      <c r="G608" s="1">
        <f>IF(ISNUMBER(B608),INT(B608),0)</f>
        <v/>
      </c>
      <c r="H608">
        <f>IF(AND(G608&gt;0,D608="Water",OR(C608="",C608="All beds")),G608,0)</f>
        <v/>
      </c>
    </row>
    <row r="609">
      <c r="A609" s="1" t="n"/>
      <c r="B609" s="17" t="n"/>
      <c r="C609" s="18" t="n"/>
      <c r="D609" s="19" t="n"/>
      <c r="E609" s="21" t="n"/>
      <c r="F609" s="11">
        <f>IF(AND(B609="",C609="",D609=""),"",IF(NOT(ISNUMBER(B609)),"Needs a date",IF(D609="","Needs the job",IF(AND(C609&lt;&gt;"",C609&lt;&gt;"All beds",COUNTIF(Beds!$B$6:$B$35,C609)=0),"Not on Beds",""))))</f>
        <v/>
      </c>
      <c r="G609" s="1">
        <f>IF(ISNUMBER(B609),INT(B609),0)</f>
        <v/>
      </c>
      <c r="H609">
        <f>IF(AND(G609&gt;0,D609="Water",OR(C609="",C609="All beds")),G609,0)</f>
        <v/>
      </c>
    </row>
    <row r="610">
      <c r="A610" s="1" t="n"/>
      <c r="B610" s="17" t="n"/>
      <c r="C610" s="18" t="n"/>
      <c r="D610" s="19" t="n"/>
      <c r="E610" s="21" t="n"/>
      <c r="F610" s="11">
        <f>IF(AND(B610="",C610="",D610=""),"",IF(NOT(ISNUMBER(B610)),"Needs a date",IF(D610="","Needs the job",IF(AND(C610&lt;&gt;"",C610&lt;&gt;"All beds",COUNTIF(Beds!$B$6:$B$35,C610)=0),"Not on Beds",""))))</f>
        <v/>
      </c>
      <c r="G610" s="1">
        <f>IF(ISNUMBER(B610),INT(B610),0)</f>
        <v/>
      </c>
      <c r="H610">
        <f>IF(AND(G610&gt;0,D610="Water",OR(C610="",C610="All beds")),G610,0)</f>
        <v/>
      </c>
    </row>
    <row r="611">
      <c r="A611" s="1" t="n"/>
      <c r="B611" s="17" t="n"/>
      <c r="C611" s="18" t="n"/>
      <c r="D611" s="19" t="n"/>
      <c r="E611" s="21" t="n"/>
      <c r="F611" s="11">
        <f>IF(AND(B611="",C611="",D611=""),"",IF(NOT(ISNUMBER(B611)),"Needs a date",IF(D611="","Needs the job",IF(AND(C611&lt;&gt;"",C611&lt;&gt;"All beds",COUNTIF(Beds!$B$6:$B$35,C611)=0),"Not on Beds",""))))</f>
        <v/>
      </c>
      <c r="G611" s="1">
        <f>IF(ISNUMBER(B611),INT(B611),0)</f>
        <v/>
      </c>
      <c r="H611">
        <f>IF(AND(G611&gt;0,D611="Water",OR(C611="",C611="All beds")),G611,0)</f>
        <v/>
      </c>
    </row>
    <row r="612">
      <c r="A612" s="1" t="n"/>
      <c r="B612" s="17" t="n"/>
      <c r="C612" s="18" t="n"/>
      <c r="D612" s="19" t="n"/>
      <c r="E612" s="21" t="n"/>
      <c r="F612" s="11">
        <f>IF(AND(B612="",C612="",D612=""),"",IF(NOT(ISNUMBER(B612)),"Needs a date",IF(D612="","Needs the job",IF(AND(C612&lt;&gt;"",C612&lt;&gt;"All beds",COUNTIF(Beds!$B$6:$B$35,C612)=0),"Not on Beds",""))))</f>
        <v/>
      </c>
      <c r="G612" s="1">
        <f>IF(ISNUMBER(B612),INT(B612),0)</f>
        <v/>
      </c>
      <c r="H612">
        <f>IF(AND(G612&gt;0,D612="Water",OR(C612="",C612="All beds")),G612,0)</f>
        <v/>
      </c>
    </row>
    <row r="613">
      <c r="A613" s="1" t="n"/>
      <c r="B613" s="17" t="n"/>
      <c r="C613" s="18" t="n"/>
      <c r="D613" s="19" t="n"/>
      <c r="E613" s="21" t="n"/>
      <c r="F613" s="11">
        <f>IF(AND(B613="",C613="",D613=""),"",IF(NOT(ISNUMBER(B613)),"Needs a date",IF(D613="","Needs the job",IF(AND(C613&lt;&gt;"",C613&lt;&gt;"All beds",COUNTIF(Beds!$B$6:$B$35,C613)=0),"Not on Beds",""))))</f>
        <v/>
      </c>
      <c r="G613" s="1">
        <f>IF(ISNUMBER(B613),INT(B613),0)</f>
        <v/>
      </c>
      <c r="H613">
        <f>IF(AND(G613&gt;0,D613="Water",OR(C613="",C613="All beds")),G613,0)</f>
        <v/>
      </c>
    </row>
    <row r="614">
      <c r="A614" s="1" t="n"/>
      <c r="B614" s="17" t="n"/>
      <c r="C614" s="18" t="n"/>
      <c r="D614" s="19" t="n"/>
      <c r="E614" s="21" t="n"/>
      <c r="F614" s="11">
        <f>IF(AND(B614="",C614="",D614=""),"",IF(NOT(ISNUMBER(B614)),"Needs a date",IF(D614="","Needs the job",IF(AND(C614&lt;&gt;"",C614&lt;&gt;"All beds",COUNTIF(Beds!$B$6:$B$35,C614)=0),"Not on Beds",""))))</f>
        <v/>
      </c>
      <c r="G614" s="1">
        <f>IF(ISNUMBER(B614),INT(B614),0)</f>
        <v/>
      </c>
      <c r="H614">
        <f>IF(AND(G614&gt;0,D614="Water",OR(C614="",C614="All beds")),G614,0)</f>
        <v/>
      </c>
    </row>
    <row r="615">
      <c r="A615" s="1" t="n"/>
      <c r="B615" s="17" t="n"/>
      <c r="C615" s="18" t="n"/>
      <c r="D615" s="19" t="n"/>
      <c r="E615" s="21" t="n"/>
      <c r="F615" s="11">
        <f>IF(AND(B615="",C615="",D615=""),"",IF(NOT(ISNUMBER(B615)),"Needs a date",IF(D615="","Needs the job",IF(AND(C615&lt;&gt;"",C615&lt;&gt;"All beds",COUNTIF(Beds!$B$6:$B$35,C615)=0),"Not on Beds",""))))</f>
        <v/>
      </c>
      <c r="G615" s="1">
        <f>IF(ISNUMBER(B615),INT(B615),0)</f>
        <v/>
      </c>
      <c r="H615">
        <f>IF(AND(G615&gt;0,D615="Water",OR(C615="",C615="All beds")),G615,0)</f>
        <v/>
      </c>
    </row>
    <row r="616">
      <c r="A616" s="1" t="n"/>
      <c r="B616" s="17" t="n"/>
      <c r="C616" s="18" t="n"/>
      <c r="D616" s="19" t="n"/>
      <c r="E616" s="21" t="n"/>
      <c r="F616" s="11">
        <f>IF(AND(B616="",C616="",D616=""),"",IF(NOT(ISNUMBER(B616)),"Needs a date",IF(D616="","Needs the job",IF(AND(C616&lt;&gt;"",C616&lt;&gt;"All beds",COUNTIF(Beds!$B$6:$B$35,C616)=0),"Not on Beds",""))))</f>
        <v/>
      </c>
      <c r="G616" s="1">
        <f>IF(ISNUMBER(B616),INT(B616),0)</f>
        <v/>
      </c>
      <c r="H616">
        <f>IF(AND(G616&gt;0,D616="Water",OR(C616="",C616="All beds")),G616,0)</f>
        <v/>
      </c>
    </row>
    <row r="617">
      <c r="A617" s="1" t="n"/>
      <c r="B617" s="17" t="n"/>
      <c r="C617" s="18" t="n"/>
      <c r="D617" s="19" t="n"/>
      <c r="E617" s="21" t="n"/>
      <c r="F617" s="11">
        <f>IF(AND(B617="",C617="",D617=""),"",IF(NOT(ISNUMBER(B617)),"Needs a date",IF(D617="","Needs the job",IF(AND(C617&lt;&gt;"",C617&lt;&gt;"All beds",COUNTIF(Beds!$B$6:$B$35,C617)=0),"Not on Beds",""))))</f>
        <v/>
      </c>
      <c r="G617" s="1">
        <f>IF(ISNUMBER(B617),INT(B617),0)</f>
        <v/>
      </c>
      <c r="H617">
        <f>IF(AND(G617&gt;0,D617="Water",OR(C617="",C617="All beds")),G617,0)</f>
        <v/>
      </c>
    </row>
    <row r="618">
      <c r="A618" s="1" t="n"/>
      <c r="B618" s="17" t="n"/>
      <c r="C618" s="18" t="n"/>
      <c r="D618" s="19" t="n"/>
      <c r="E618" s="21" t="n"/>
      <c r="F618" s="11">
        <f>IF(AND(B618="",C618="",D618=""),"",IF(NOT(ISNUMBER(B618)),"Needs a date",IF(D618="","Needs the job",IF(AND(C618&lt;&gt;"",C618&lt;&gt;"All beds",COUNTIF(Beds!$B$6:$B$35,C618)=0),"Not on Beds",""))))</f>
        <v/>
      </c>
      <c r="G618" s="1">
        <f>IF(ISNUMBER(B618),INT(B618),0)</f>
        <v/>
      </c>
      <c r="H618">
        <f>IF(AND(G618&gt;0,D618="Water",OR(C618="",C618="All beds")),G618,0)</f>
        <v/>
      </c>
    </row>
    <row r="619">
      <c r="A619" s="1" t="n"/>
      <c r="B619" s="17" t="n"/>
      <c r="C619" s="18" t="n"/>
      <c r="D619" s="19" t="n"/>
      <c r="E619" s="21" t="n"/>
      <c r="F619" s="11">
        <f>IF(AND(B619="",C619="",D619=""),"",IF(NOT(ISNUMBER(B619)),"Needs a date",IF(D619="","Needs the job",IF(AND(C619&lt;&gt;"",C619&lt;&gt;"All beds",COUNTIF(Beds!$B$6:$B$35,C619)=0),"Not on Beds",""))))</f>
        <v/>
      </c>
      <c r="G619" s="1">
        <f>IF(ISNUMBER(B619),INT(B619),0)</f>
        <v/>
      </c>
      <c r="H619">
        <f>IF(AND(G619&gt;0,D619="Water",OR(C619="",C619="All beds")),G619,0)</f>
        <v/>
      </c>
    </row>
    <row r="620">
      <c r="A620" s="1" t="n"/>
      <c r="B620" s="17" t="n"/>
      <c r="C620" s="18" t="n"/>
      <c r="D620" s="19" t="n"/>
      <c r="E620" s="21" t="n"/>
      <c r="F620" s="11">
        <f>IF(AND(B620="",C620="",D620=""),"",IF(NOT(ISNUMBER(B620)),"Needs a date",IF(D620="","Needs the job",IF(AND(C620&lt;&gt;"",C620&lt;&gt;"All beds",COUNTIF(Beds!$B$6:$B$35,C620)=0),"Not on Beds",""))))</f>
        <v/>
      </c>
      <c r="G620" s="1">
        <f>IF(ISNUMBER(B620),INT(B620),0)</f>
        <v/>
      </c>
      <c r="H620">
        <f>IF(AND(G620&gt;0,D620="Water",OR(C620="",C620="All beds")),G620,0)</f>
        <v/>
      </c>
    </row>
    <row r="621">
      <c r="A621" s="1" t="n"/>
      <c r="B621" s="17" t="n"/>
      <c r="C621" s="18" t="n"/>
      <c r="D621" s="19" t="n"/>
      <c r="E621" s="21" t="n"/>
      <c r="F621" s="11">
        <f>IF(AND(B621="",C621="",D621=""),"",IF(NOT(ISNUMBER(B621)),"Needs a date",IF(D621="","Needs the job",IF(AND(C621&lt;&gt;"",C621&lt;&gt;"All beds",COUNTIF(Beds!$B$6:$B$35,C621)=0),"Not on Beds",""))))</f>
        <v/>
      </c>
      <c r="G621" s="1">
        <f>IF(ISNUMBER(B621),INT(B621),0)</f>
        <v/>
      </c>
      <c r="H621">
        <f>IF(AND(G621&gt;0,D621="Water",OR(C621="",C621="All beds")),G621,0)</f>
        <v/>
      </c>
    </row>
    <row r="622">
      <c r="A622" s="1" t="n"/>
      <c r="B622" s="17" t="n"/>
      <c r="C622" s="18" t="n"/>
      <c r="D622" s="19" t="n"/>
      <c r="E622" s="21" t="n"/>
      <c r="F622" s="11">
        <f>IF(AND(B622="",C622="",D622=""),"",IF(NOT(ISNUMBER(B622)),"Needs a date",IF(D622="","Needs the job",IF(AND(C622&lt;&gt;"",C622&lt;&gt;"All beds",COUNTIF(Beds!$B$6:$B$35,C622)=0),"Not on Beds",""))))</f>
        <v/>
      </c>
      <c r="G622" s="1">
        <f>IF(ISNUMBER(B622),INT(B622),0)</f>
        <v/>
      </c>
      <c r="H622">
        <f>IF(AND(G622&gt;0,D622="Water",OR(C622="",C622="All beds")),G622,0)</f>
        <v/>
      </c>
    </row>
    <row r="623">
      <c r="A623" s="1" t="n"/>
      <c r="B623" s="17" t="n"/>
      <c r="C623" s="18" t="n"/>
      <c r="D623" s="19" t="n"/>
      <c r="E623" s="21" t="n"/>
      <c r="F623" s="11">
        <f>IF(AND(B623="",C623="",D623=""),"",IF(NOT(ISNUMBER(B623)),"Needs a date",IF(D623="","Needs the job",IF(AND(C623&lt;&gt;"",C623&lt;&gt;"All beds",COUNTIF(Beds!$B$6:$B$35,C623)=0),"Not on Beds",""))))</f>
        <v/>
      </c>
      <c r="G623" s="1">
        <f>IF(ISNUMBER(B623),INT(B623),0)</f>
        <v/>
      </c>
      <c r="H623">
        <f>IF(AND(G623&gt;0,D623="Water",OR(C623="",C623="All beds")),G623,0)</f>
        <v/>
      </c>
    </row>
    <row r="624">
      <c r="A624" s="1" t="n"/>
      <c r="B624" s="17" t="n"/>
      <c r="C624" s="18" t="n"/>
      <c r="D624" s="19" t="n"/>
      <c r="E624" s="21" t="n"/>
      <c r="F624" s="11">
        <f>IF(AND(B624="",C624="",D624=""),"",IF(NOT(ISNUMBER(B624)),"Needs a date",IF(D624="","Needs the job",IF(AND(C624&lt;&gt;"",C624&lt;&gt;"All beds",COUNTIF(Beds!$B$6:$B$35,C624)=0),"Not on Beds",""))))</f>
        <v/>
      </c>
      <c r="G624" s="1">
        <f>IF(ISNUMBER(B624),INT(B624),0)</f>
        <v/>
      </c>
      <c r="H624">
        <f>IF(AND(G624&gt;0,D624="Water",OR(C624="",C624="All beds")),G624,0)</f>
        <v/>
      </c>
    </row>
    <row r="625">
      <c r="A625" s="1" t="n"/>
      <c r="B625" s="17" t="n"/>
      <c r="C625" s="18" t="n"/>
      <c r="D625" s="19" t="n"/>
      <c r="E625" s="21" t="n"/>
      <c r="F625" s="11">
        <f>IF(AND(B625="",C625="",D625=""),"",IF(NOT(ISNUMBER(B625)),"Needs a date",IF(D625="","Needs the job",IF(AND(C625&lt;&gt;"",C625&lt;&gt;"All beds",COUNTIF(Beds!$B$6:$B$35,C625)=0),"Not on Beds",""))))</f>
        <v/>
      </c>
      <c r="G625" s="1">
        <f>IF(ISNUMBER(B625),INT(B625),0)</f>
        <v/>
      </c>
      <c r="H625">
        <f>IF(AND(G625&gt;0,D625="Water",OR(C625="",C625="All beds")),G625,0)</f>
        <v/>
      </c>
    </row>
    <row r="626">
      <c r="A626" s="1" t="n"/>
      <c r="B626" s="17" t="n"/>
      <c r="C626" s="18" t="n"/>
      <c r="D626" s="19" t="n"/>
      <c r="E626" s="21" t="n"/>
      <c r="F626" s="11">
        <f>IF(AND(B626="",C626="",D626=""),"",IF(NOT(ISNUMBER(B626)),"Needs a date",IF(D626="","Needs the job",IF(AND(C626&lt;&gt;"",C626&lt;&gt;"All beds",COUNTIF(Beds!$B$6:$B$35,C626)=0),"Not on Beds",""))))</f>
        <v/>
      </c>
      <c r="G626" s="1">
        <f>IF(ISNUMBER(B626),INT(B626),0)</f>
        <v/>
      </c>
      <c r="H626">
        <f>IF(AND(G626&gt;0,D626="Water",OR(C626="",C626="All beds")),G626,0)</f>
        <v/>
      </c>
    </row>
    <row r="627">
      <c r="A627" s="1" t="n"/>
      <c r="B627" s="17" t="n"/>
      <c r="C627" s="18" t="n"/>
      <c r="D627" s="19" t="n"/>
      <c r="E627" s="21" t="n"/>
      <c r="F627" s="11">
        <f>IF(AND(B627="",C627="",D627=""),"",IF(NOT(ISNUMBER(B627)),"Needs a date",IF(D627="","Needs the job",IF(AND(C627&lt;&gt;"",C627&lt;&gt;"All beds",COUNTIF(Beds!$B$6:$B$35,C627)=0),"Not on Beds",""))))</f>
        <v/>
      </c>
      <c r="G627" s="1">
        <f>IF(ISNUMBER(B627),INT(B627),0)</f>
        <v/>
      </c>
      <c r="H627">
        <f>IF(AND(G627&gt;0,D627="Water",OR(C627="",C627="All beds")),G627,0)</f>
        <v/>
      </c>
    </row>
    <row r="628">
      <c r="A628" s="1" t="n"/>
      <c r="B628" s="17" t="n"/>
      <c r="C628" s="18" t="n"/>
      <c r="D628" s="19" t="n"/>
      <c r="E628" s="21" t="n"/>
      <c r="F628" s="11">
        <f>IF(AND(B628="",C628="",D628=""),"",IF(NOT(ISNUMBER(B628)),"Needs a date",IF(D628="","Needs the job",IF(AND(C628&lt;&gt;"",C628&lt;&gt;"All beds",COUNTIF(Beds!$B$6:$B$35,C628)=0),"Not on Beds",""))))</f>
        <v/>
      </c>
      <c r="G628" s="1">
        <f>IF(ISNUMBER(B628),INT(B628),0)</f>
        <v/>
      </c>
      <c r="H628">
        <f>IF(AND(G628&gt;0,D628="Water",OR(C628="",C628="All beds")),G628,0)</f>
        <v/>
      </c>
    </row>
    <row r="629">
      <c r="A629" s="1" t="n"/>
      <c r="B629" s="17" t="n"/>
      <c r="C629" s="18" t="n"/>
      <c r="D629" s="19" t="n"/>
      <c r="E629" s="21" t="n"/>
      <c r="F629" s="11">
        <f>IF(AND(B629="",C629="",D629=""),"",IF(NOT(ISNUMBER(B629)),"Needs a date",IF(D629="","Needs the job",IF(AND(C629&lt;&gt;"",C629&lt;&gt;"All beds",COUNTIF(Beds!$B$6:$B$35,C629)=0),"Not on Beds",""))))</f>
        <v/>
      </c>
      <c r="G629" s="1">
        <f>IF(ISNUMBER(B629),INT(B629),0)</f>
        <v/>
      </c>
      <c r="H629">
        <f>IF(AND(G629&gt;0,D629="Water",OR(C629="",C629="All beds")),G629,0)</f>
        <v/>
      </c>
    </row>
    <row r="630">
      <c r="A630" s="1" t="n"/>
      <c r="B630" s="17" t="n"/>
      <c r="C630" s="18" t="n"/>
      <c r="D630" s="19" t="n"/>
      <c r="E630" s="21" t="n"/>
      <c r="F630" s="11">
        <f>IF(AND(B630="",C630="",D630=""),"",IF(NOT(ISNUMBER(B630)),"Needs a date",IF(D630="","Needs the job",IF(AND(C630&lt;&gt;"",C630&lt;&gt;"All beds",COUNTIF(Beds!$B$6:$B$35,C630)=0),"Not on Beds",""))))</f>
        <v/>
      </c>
      <c r="G630" s="1">
        <f>IF(ISNUMBER(B630),INT(B630),0)</f>
        <v/>
      </c>
      <c r="H630">
        <f>IF(AND(G630&gt;0,D630="Water",OR(C630="",C630="All beds")),G630,0)</f>
        <v/>
      </c>
    </row>
    <row r="631">
      <c r="A631" s="1" t="n"/>
      <c r="B631" s="17" t="n"/>
      <c r="C631" s="18" t="n"/>
      <c r="D631" s="19" t="n"/>
      <c r="E631" s="21" t="n"/>
      <c r="F631" s="11">
        <f>IF(AND(B631="",C631="",D631=""),"",IF(NOT(ISNUMBER(B631)),"Needs a date",IF(D631="","Needs the job",IF(AND(C631&lt;&gt;"",C631&lt;&gt;"All beds",COUNTIF(Beds!$B$6:$B$35,C631)=0),"Not on Beds",""))))</f>
        <v/>
      </c>
      <c r="G631" s="1">
        <f>IF(ISNUMBER(B631),INT(B631),0)</f>
        <v/>
      </c>
      <c r="H631">
        <f>IF(AND(G631&gt;0,D631="Water",OR(C631="",C631="All beds")),G631,0)</f>
        <v/>
      </c>
    </row>
    <row r="632">
      <c r="A632" s="1" t="n"/>
      <c r="B632" s="17" t="n"/>
      <c r="C632" s="18" t="n"/>
      <c r="D632" s="19" t="n"/>
      <c r="E632" s="21" t="n"/>
      <c r="F632" s="11">
        <f>IF(AND(B632="",C632="",D632=""),"",IF(NOT(ISNUMBER(B632)),"Needs a date",IF(D632="","Needs the job",IF(AND(C632&lt;&gt;"",C632&lt;&gt;"All beds",COUNTIF(Beds!$B$6:$B$35,C632)=0),"Not on Beds",""))))</f>
        <v/>
      </c>
      <c r="G632" s="1">
        <f>IF(ISNUMBER(B632),INT(B632),0)</f>
        <v/>
      </c>
      <c r="H632">
        <f>IF(AND(G632&gt;0,D632="Water",OR(C632="",C632="All beds")),G632,0)</f>
        <v/>
      </c>
    </row>
    <row r="633">
      <c r="A633" s="1" t="n"/>
      <c r="B633" s="17" t="n"/>
      <c r="C633" s="18" t="n"/>
      <c r="D633" s="19" t="n"/>
      <c r="E633" s="21" t="n"/>
      <c r="F633" s="11">
        <f>IF(AND(B633="",C633="",D633=""),"",IF(NOT(ISNUMBER(B633)),"Needs a date",IF(D633="","Needs the job",IF(AND(C633&lt;&gt;"",C633&lt;&gt;"All beds",COUNTIF(Beds!$B$6:$B$35,C633)=0),"Not on Beds",""))))</f>
        <v/>
      </c>
      <c r="G633" s="1">
        <f>IF(ISNUMBER(B633),INT(B633),0)</f>
        <v/>
      </c>
      <c r="H633">
        <f>IF(AND(G633&gt;0,D633="Water",OR(C633="",C633="All beds")),G633,0)</f>
        <v/>
      </c>
    </row>
    <row r="634">
      <c r="A634" s="1" t="n"/>
      <c r="B634" s="17" t="n"/>
      <c r="C634" s="18" t="n"/>
      <c r="D634" s="19" t="n"/>
      <c r="E634" s="21" t="n"/>
      <c r="F634" s="11">
        <f>IF(AND(B634="",C634="",D634=""),"",IF(NOT(ISNUMBER(B634)),"Needs a date",IF(D634="","Needs the job",IF(AND(C634&lt;&gt;"",C634&lt;&gt;"All beds",COUNTIF(Beds!$B$6:$B$35,C634)=0),"Not on Beds",""))))</f>
        <v/>
      </c>
      <c r="G634" s="1">
        <f>IF(ISNUMBER(B634),INT(B634),0)</f>
        <v/>
      </c>
      <c r="H634">
        <f>IF(AND(G634&gt;0,D634="Water",OR(C634="",C634="All beds")),G634,0)</f>
        <v/>
      </c>
    </row>
    <row r="635">
      <c r="A635" s="1" t="n"/>
      <c r="B635" s="17" t="n"/>
      <c r="C635" s="18" t="n"/>
      <c r="D635" s="19" t="n"/>
      <c r="E635" s="21" t="n"/>
      <c r="F635" s="11">
        <f>IF(AND(B635="",C635="",D635=""),"",IF(NOT(ISNUMBER(B635)),"Needs a date",IF(D635="","Needs the job",IF(AND(C635&lt;&gt;"",C635&lt;&gt;"All beds",COUNTIF(Beds!$B$6:$B$35,C635)=0),"Not on Beds",""))))</f>
        <v/>
      </c>
      <c r="G635" s="1">
        <f>IF(ISNUMBER(B635),INT(B635),0)</f>
        <v/>
      </c>
      <c r="H635">
        <f>IF(AND(G635&gt;0,D635="Water",OR(C635="",C635="All beds")),G635,0)</f>
        <v/>
      </c>
    </row>
    <row r="636">
      <c r="A636" s="1" t="n"/>
      <c r="B636" s="17" t="n"/>
      <c r="C636" s="18" t="n"/>
      <c r="D636" s="19" t="n"/>
      <c r="E636" s="21" t="n"/>
      <c r="F636" s="11">
        <f>IF(AND(B636="",C636="",D636=""),"",IF(NOT(ISNUMBER(B636)),"Needs a date",IF(D636="","Needs the job",IF(AND(C636&lt;&gt;"",C636&lt;&gt;"All beds",COUNTIF(Beds!$B$6:$B$35,C636)=0),"Not on Beds",""))))</f>
        <v/>
      </c>
      <c r="G636" s="1">
        <f>IF(ISNUMBER(B636),INT(B636),0)</f>
        <v/>
      </c>
      <c r="H636">
        <f>IF(AND(G636&gt;0,D636="Water",OR(C636="",C636="All beds")),G636,0)</f>
        <v/>
      </c>
    </row>
    <row r="637">
      <c r="A637" s="1" t="n"/>
      <c r="B637" s="17" t="n"/>
      <c r="C637" s="18" t="n"/>
      <c r="D637" s="19" t="n"/>
      <c r="E637" s="21" t="n"/>
      <c r="F637" s="11">
        <f>IF(AND(B637="",C637="",D637=""),"",IF(NOT(ISNUMBER(B637)),"Needs a date",IF(D637="","Needs the job",IF(AND(C637&lt;&gt;"",C637&lt;&gt;"All beds",COUNTIF(Beds!$B$6:$B$35,C637)=0),"Not on Beds",""))))</f>
        <v/>
      </c>
      <c r="G637" s="1">
        <f>IF(ISNUMBER(B637),INT(B637),0)</f>
        <v/>
      </c>
      <c r="H637">
        <f>IF(AND(G637&gt;0,D637="Water",OR(C637="",C637="All beds")),G637,0)</f>
        <v/>
      </c>
    </row>
    <row r="638">
      <c r="A638" s="1" t="n"/>
      <c r="B638" s="17" t="n"/>
      <c r="C638" s="18" t="n"/>
      <c r="D638" s="19" t="n"/>
      <c r="E638" s="21" t="n"/>
      <c r="F638" s="11">
        <f>IF(AND(B638="",C638="",D638=""),"",IF(NOT(ISNUMBER(B638)),"Needs a date",IF(D638="","Needs the job",IF(AND(C638&lt;&gt;"",C638&lt;&gt;"All beds",COUNTIF(Beds!$B$6:$B$35,C638)=0),"Not on Beds",""))))</f>
        <v/>
      </c>
      <c r="G638" s="1">
        <f>IF(ISNUMBER(B638),INT(B638),0)</f>
        <v/>
      </c>
      <c r="H638">
        <f>IF(AND(G638&gt;0,D638="Water",OR(C638="",C638="All beds")),G638,0)</f>
        <v/>
      </c>
    </row>
    <row r="639">
      <c r="A639" s="1" t="n"/>
      <c r="B639" s="17" t="n"/>
      <c r="C639" s="18" t="n"/>
      <c r="D639" s="19" t="n"/>
      <c r="E639" s="21" t="n"/>
      <c r="F639" s="11">
        <f>IF(AND(B639="",C639="",D639=""),"",IF(NOT(ISNUMBER(B639)),"Needs a date",IF(D639="","Needs the job",IF(AND(C639&lt;&gt;"",C639&lt;&gt;"All beds",COUNTIF(Beds!$B$6:$B$35,C639)=0),"Not on Beds",""))))</f>
        <v/>
      </c>
      <c r="G639" s="1">
        <f>IF(ISNUMBER(B639),INT(B639),0)</f>
        <v/>
      </c>
      <c r="H639">
        <f>IF(AND(G639&gt;0,D639="Water",OR(C639="",C639="All beds")),G639,0)</f>
        <v/>
      </c>
    </row>
    <row r="640">
      <c r="A640" s="1" t="n"/>
      <c r="B640" s="17" t="n"/>
      <c r="C640" s="18" t="n"/>
      <c r="D640" s="19" t="n"/>
      <c r="E640" s="21" t="n"/>
      <c r="F640" s="11">
        <f>IF(AND(B640="",C640="",D640=""),"",IF(NOT(ISNUMBER(B640)),"Needs a date",IF(D640="","Needs the job",IF(AND(C640&lt;&gt;"",C640&lt;&gt;"All beds",COUNTIF(Beds!$B$6:$B$35,C640)=0),"Not on Beds",""))))</f>
        <v/>
      </c>
      <c r="G640" s="1">
        <f>IF(ISNUMBER(B640),INT(B640),0)</f>
        <v/>
      </c>
      <c r="H640">
        <f>IF(AND(G640&gt;0,D640="Water",OR(C640="",C640="All beds")),G640,0)</f>
        <v/>
      </c>
    </row>
    <row r="641">
      <c r="A641" s="1" t="n"/>
      <c r="B641" s="17" t="n"/>
      <c r="C641" s="18" t="n"/>
      <c r="D641" s="19" t="n"/>
      <c r="E641" s="21" t="n"/>
      <c r="F641" s="11">
        <f>IF(AND(B641="",C641="",D641=""),"",IF(NOT(ISNUMBER(B641)),"Needs a date",IF(D641="","Needs the job",IF(AND(C641&lt;&gt;"",C641&lt;&gt;"All beds",COUNTIF(Beds!$B$6:$B$35,C641)=0),"Not on Beds",""))))</f>
        <v/>
      </c>
      <c r="G641" s="1">
        <f>IF(ISNUMBER(B641),INT(B641),0)</f>
        <v/>
      </c>
      <c r="H641">
        <f>IF(AND(G641&gt;0,D641="Water",OR(C641="",C641="All beds")),G641,0)</f>
        <v/>
      </c>
    </row>
    <row r="642">
      <c r="A642" s="1" t="n"/>
      <c r="B642" s="17" t="n"/>
      <c r="C642" s="18" t="n"/>
      <c r="D642" s="19" t="n"/>
      <c r="E642" s="21" t="n"/>
      <c r="F642" s="11">
        <f>IF(AND(B642="",C642="",D642=""),"",IF(NOT(ISNUMBER(B642)),"Needs a date",IF(D642="","Needs the job",IF(AND(C642&lt;&gt;"",C642&lt;&gt;"All beds",COUNTIF(Beds!$B$6:$B$35,C642)=0),"Not on Beds",""))))</f>
        <v/>
      </c>
      <c r="G642" s="1">
        <f>IF(ISNUMBER(B642),INT(B642),0)</f>
        <v/>
      </c>
      <c r="H642">
        <f>IF(AND(G642&gt;0,D642="Water",OR(C642="",C642="All beds")),G642,0)</f>
        <v/>
      </c>
    </row>
    <row r="643">
      <c r="A643" s="1" t="n"/>
      <c r="B643" s="17" t="n"/>
      <c r="C643" s="18" t="n"/>
      <c r="D643" s="19" t="n"/>
      <c r="E643" s="21" t="n"/>
      <c r="F643" s="11">
        <f>IF(AND(B643="",C643="",D643=""),"",IF(NOT(ISNUMBER(B643)),"Needs a date",IF(D643="","Needs the job",IF(AND(C643&lt;&gt;"",C643&lt;&gt;"All beds",COUNTIF(Beds!$B$6:$B$35,C643)=0),"Not on Beds",""))))</f>
        <v/>
      </c>
      <c r="G643" s="1">
        <f>IF(ISNUMBER(B643),INT(B643),0)</f>
        <v/>
      </c>
      <c r="H643">
        <f>IF(AND(G643&gt;0,D643="Water",OR(C643="",C643="All beds")),G643,0)</f>
        <v/>
      </c>
    </row>
    <row r="644">
      <c r="A644" s="1" t="n"/>
      <c r="B644" s="17" t="n"/>
      <c r="C644" s="18" t="n"/>
      <c r="D644" s="19" t="n"/>
      <c r="E644" s="21" t="n"/>
      <c r="F644" s="11">
        <f>IF(AND(B644="",C644="",D644=""),"",IF(NOT(ISNUMBER(B644)),"Needs a date",IF(D644="","Needs the job",IF(AND(C644&lt;&gt;"",C644&lt;&gt;"All beds",COUNTIF(Beds!$B$6:$B$35,C644)=0),"Not on Beds",""))))</f>
        <v/>
      </c>
      <c r="G644" s="1">
        <f>IF(ISNUMBER(B644),INT(B644),0)</f>
        <v/>
      </c>
      <c r="H644">
        <f>IF(AND(G644&gt;0,D644="Water",OR(C644="",C644="All beds")),G644,0)</f>
        <v/>
      </c>
    </row>
    <row r="645">
      <c r="A645" s="1" t="n"/>
      <c r="B645" s="17" t="n"/>
      <c r="C645" s="18" t="n"/>
      <c r="D645" s="19" t="n"/>
      <c r="E645" s="21" t="n"/>
      <c r="F645" s="11">
        <f>IF(AND(B645="",C645="",D645=""),"",IF(NOT(ISNUMBER(B645)),"Needs a date",IF(D645="","Needs the job",IF(AND(C645&lt;&gt;"",C645&lt;&gt;"All beds",COUNTIF(Beds!$B$6:$B$35,C645)=0),"Not on Beds",""))))</f>
        <v/>
      </c>
      <c r="G645" s="1">
        <f>IF(ISNUMBER(B645),INT(B645),0)</f>
        <v/>
      </c>
      <c r="H645">
        <f>IF(AND(G645&gt;0,D645="Water",OR(C645="",C645="All beds")),G645,0)</f>
        <v/>
      </c>
    </row>
    <row r="646">
      <c r="A646" s="1" t="n"/>
      <c r="B646" s="17" t="n"/>
      <c r="C646" s="18" t="n"/>
      <c r="D646" s="19" t="n"/>
      <c r="E646" s="21" t="n"/>
      <c r="F646" s="11">
        <f>IF(AND(B646="",C646="",D646=""),"",IF(NOT(ISNUMBER(B646)),"Needs a date",IF(D646="","Needs the job",IF(AND(C646&lt;&gt;"",C646&lt;&gt;"All beds",COUNTIF(Beds!$B$6:$B$35,C646)=0),"Not on Beds",""))))</f>
        <v/>
      </c>
      <c r="G646" s="1">
        <f>IF(ISNUMBER(B646),INT(B646),0)</f>
        <v/>
      </c>
      <c r="H646">
        <f>IF(AND(G646&gt;0,D646="Water",OR(C646="",C646="All beds")),G646,0)</f>
        <v/>
      </c>
    </row>
    <row r="647">
      <c r="A647" s="1" t="n"/>
      <c r="B647" s="17" t="n"/>
      <c r="C647" s="18" t="n"/>
      <c r="D647" s="19" t="n"/>
      <c r="E647" s="21" t="n"/>
      <c r="F647" s="11">
        <f>IF(AND(B647="",C647="",D647=""),"",IF(NOT(ISNUMBER(B647)),"Needs a date",IF(D647="","Needs the job",IF(AND(C647&lt;&gt;"",C647&lt;&gt;"All beds",COUNTIF(Beds!$B$6:$B$35,C647)=0),"Not on Beds",""))))</f>
        <v/>
      </c>
      <c r="G647" s="1">
        <f>IF(ISNUMBER(B647),INT(B647),0)</f>
        <v/>
      </c>
      <c r="H647">
        <f>IF(AND(G647&gt;0,D647="Water",OR(C647="",C647="All beds")),G647,0)</f>
        <v/>
      </c>
    </row>
    <row r="648">
      <c r="A648" s="1" t="n"/>
      <c r="B648" s="17" t="n"/>
      <c r="C648" s="18" t="n"/>
      <c r="D648" s="19" t="n"/>
      <c r="E648" s="21" t="n"/>
      <c r="F648" s="11">
        <f>IF(AND(B648="",C648="",D648=""),"",IF(NOT(ISNUMBER(B648)),"Needs a date",IF(D648="","Needs the job",IF(AND(C648&lt;&gt;"",C648&lt;&gt;"All beds",COUNTIF(Beds!$B$6:$B$35,C648)=0),"Not on Beds",""))))</f>
        <v/>
      </c>
      <c r="G648" s="1">
        <f>IF(ISNUMBER(B648),INT(B648),0)</f>
        <v/>
      </c>
      <c r="H648">
        <f>IF(AND(G648&gt;0,D648="Water",OR(C648="",C648="All beds")),G648,0)</f>
        <v/>
      </c>
    </row>
    <row r="649">
      <c r="A649" s="1" t="n"/>
      <c r="B649" s="17" t="n"/>
      <c r="C649" s="18" t="n"/>
      <c r="D649" s="19" t="n"/>
      <c r="E649" s="21" t="n"/>
      <c r="F649" s="11">
        <f>IF(AND(B649="",C649="",D649=""),"",IF(NOT(ISNUMBER(B649)),"Needs a date",IF(D649="","Needs the job",IF(AND(C649&lt;&gt;"",C649&lt;&gt;"All beds",COUNTIF(Beds!$B$6:$B$35,C649)=0),"Not on Beds",""))))</f>
        <v/>
      </c>
      <c r="G649" s="1">
        <f>IF(ISNUMBER(B649),INT(B649),0)</f>
        <v/>
      </c>
      <c r="H649">
        <f>IF(AND(G649&gt;0,D649="Water",OR(C649="",C649="All beds")),G649,0)</f>
        <v/>
      </c>
    </row>
    <row r="650">
      <c r="A650" s="1" t="n"/>
      <c r="B650" s="17" t="n"/>
      <c r="C650" s="18" t="n"/>
      <c r="D650" s="19" t="n"/>
      <c r="E650" s="21" t="n"/>
      <c r="F650" s="11">
        <f>IF(AND(B650="",C650="",D650=""),"",IF(NOT(ISNUMBER(B650)),"Needs a date",IF(D650="","Needs the job",IF(AND(C650&lt;&gt;"",C650&lt;&gt;"All beds",COUNTIF(Beds!$B$6:$B$35,C650)=0),"Not on Beds",""))))</f>
        <v/>
      </c>
      <c r="G650" s="1">
        <f>IF(ISNUMBER(B650),INT(B650),0)</f>
        <v/>
      </c>
      <c r="H650">
        <f>IF(AND(G650&gt;0,D650="Water",OR(C650="",C650="All beds")),G650,0)</f>
        <v/>
      </c>
    </row>
    <row r="651">
      <c r="A651" s="1" t="n"/>
      <c r="B651" s="17" t="n"/>
      <c r="C651" s="18" t="n"/>
      <c r="D651" s="19" t="n"/>
      <c r="E651" s="21" t="n"/>
      <c r="F651" s="11">
        <f>IF(AND(B651="",C651="",D651=""),"",IF(NOT(ISNUMBER(B651)),"Needs a date",IF(D651="","Needs the job",IF(AND(C651&lt;&gt;"",C651&lt;&gt;"All beds",COUNTIF(Beds!$B$6:$B$35,C651)=0),"Not on Beds",""))))</f>
        <v/>
      </c>
      <c r="G651" s="1">
        <f>IF(ISNUMBER(B651),INT(B651),0)</f>
        <v/>
      </c>
      <c r="H651">
        <f>IF(AND(G651&gt;0,D651="Water",OR(C651="",C651="All beds")),G651,0)</f>
        <v/>
      </c>
    </row>
    <row r="652">
      <c r="A652" s="1" t="n"/>
      <c r="B652" s="17" t="n"/>
      <c r="C652" s="18" t="n"/>
      <c r="D652" s="19" t="n"/>
      <c r="E652" s="21" t="n"/>
      <c r="F652" s="11">
        <f>IF(AND(B652="",C652="",D652=""),"",IF(NOT(ISNUMBER(B652)),"Needs a date",IF(D652="","Needs the job",IF(AND(C652&lt;&gt;"",C652&lt;&gt;"All beds",COUNTIF(Beds!$B$6:$B$35,C652)=0),"Not on Beds",""))))</f>
        <v/>
      </c>
      <c r="G652" s="1">
        <f>IF(ISNUMBER(B652),INT(B652),0)</f>
        <v/>
      </c>
      <c r="H652">
        <f>IF(AND(G652&gt;0,D652="Water",OR(C652="",C652="All beds")),G652,0)</f>
        <v/>
      </c>
    </row>
    <row r="653">
      <c r="A653" s="1" t="n"/>
      <c r="B653" s="17" t="n"/>
      <c r="C653" s="18" t="n"/>
      <c r="D653" s="19" t="n"/>
      <c r="E653" s="21" t="n"/>
      <c r="F653" s="11">
        <f>IF(AND(B653="",C653="",D653=""),"",IF(NOT(ISNUMBER(B653)),"Needs a date",IF(D653="","Needs the job",IF(AND(C653&lt;&gt;"",C653&lt;&gt;"All beds",COUNTIF(Beds!$B$6:$B$35,C653)=0),"Not on Beds",""))))</f>
        <v/>
      </c>
      <c r="G653" s="1">
        <f>IF(ISNUMBER(B653),INT(B653),0)</f>
        <v/>
      </c>
      <c r="H653">
        <f>IF(AND(G653&gt;0,D653="Water",OR(C653="",C653="All beds")),G653,0)</f>
        <v/>
      </c>
    </row>
    <row r="654">
      <c r="A654" s="1" t="n"/>
      <c r="B654" s="17" t="n"/>
      <c r="C654" s="18" t="n"/>
      <c r="D654" s="19" t="n"/>
      <c r="E654" s="21" t="n"/>
      <c r="F654" s="11">
        <f>IF(AND(B654="",C654="",D654=""),"",IF(NOT(ISNUMBER(B654)),"Needs a date",IF(D654="","Needs the job",IF(AND(C654&lt;&gt;"",C654&lt;&gt;"All beds",COUNTIF(Beds!$B$6:$B$35,C654)=0),"Not on Beds",""))))</f>
        <v/>
      </c>
      <c r="G654" s="1">
        <f>IF(ISNUMBER(B654),INT(B654),0)</f>
        <v/>
      </c>
      <c r="H654">
        <f>IF(AND(G654&gt;0,D654="Water",OR(C654="",C654="All beds")),G654,0)</f>
        <v/>
      </c>
    </row>
    <row r="655">
      <c r="A655" s="1" t="n"/>
      <c r="B655" s="17" t="n"/>
      <c r="C655" s="18" t="n"/>
      <c r="D655" s="19" t="n"/>
      <c r="E655" s="21" t="n"/>
      <c r="F655" s="11">
        <f>IF(AND(B655="",C655="",D655=""),"",IF(NOT(ISNUMBER(B655)),"Needs a date",IF(D655="","Needs the job",IF(AND(C655&lt;&gt;"",C655&lt;&gt;"All beds",COUNTIF(Beds!$B$6:$B$35,C655)=0),"Not on Beds",""))))</f>
        <v/>
      </c>
      <c r="G655" s="1">
        <f>IF(ISNUMBER(B655),INT(B655),0)</f>
        <v/>
      </c>
      <c r="H655">
        <f>IF(AND(G655&gt;0,D655="Water",OR(C655="",C655="All beds")),G655,0)</f>
        <v/>
      </c>
    </row>
    <row r="656">
      <c r="A656" s="1" t="n"/>
      <c r="B656" s="17" t="n"/>
      <c r="C656" s="18" t="n"/>
      <c r="D656" s="19" t="n"/>
      <c r="E656" s="21" t="n"/>
      <c r="F656" s="11">
        <f>IF(AND(B656="",C656="",D656=""),"",IF(NOT(ISNUMBER(B656)),"Needs a date",IF(D656="","Needs the job",IF(AND(C656&lt;&gt;"",C656&lt;&gt;"All beds",COUNTIF(Beds!$B$6:$B$35,C656)=0),"Not on Beds",""))))</f>
        <v/>
      </c>
      <c r="G656" s="1">
        <f>IF(ISNUMBER(B656),INT(B656),0)</f>
        <v/>
      </c>
      <c r="H656">
        <f>IF(AND(G656&gt;0,D656="Water",OR(C656="",C656="All beds")),G656,0)</f>
        <v/>
      </c>
    </row>
    <row r="657">
      <c r="A657" s="1" t="n"/>
      <c r="B657" s="17" t="n"/>
      <c r="C657" s="18" t="n"/>
      <c r="D657" s="19" t="n"/>
      <c r="E657" s="21" t="n"/>
      <c r="F657" s="11">
        <f>IF(AND(B657="",C657="",D657=""),"",IF(NOT(ISNUMBER(B657)),"Needs a date",IF(D657="","Needs the job",IF(AND(C657&lt;&gt;"",C657&lt;&gt;"All beds",COUNTIF(Beds!$B$6:$B$35,C657)=0),"Not on Beds",""))))</f>
        <v/>
      </c>
      <c r="G657" s="1">
        <f>IF(ISNUMBER(B657),INT(B657),0)</f>
        <v/>
      </c>
      <c r="H657">
        <f>IF(AND(G657&gt;0,D657="Water",OR(C657="",C657="All beds")),G657,0)</f>
        <v/>
      </c>
    </row>
    <row r="658">
      <c r="A658" s="1" t="n"/>
      <c r="B658" s="17" t="n"/>
      <c r="C658" s="18" t="n"/>
      <c r="D658" s="19" t="n"/>
      <c r="E658" s="21" t="n"/>
      <c r="F658" s="11">
        <f>IF(AND(B658="",C658="",D658=""),"",IF(NOT(ISNUMBER(B658)),"Needs a date",IF(D658="","Needs the job",IF(AND(C658&lt;&gt;"",C658&lt;&gt;"All beds",COUNTIF(Beds!$B$6:$B$35,C658)=0),"Not on Beds",""))))</f>
        <v/>
      </c>
      <c r="G658" s="1">
        <f>IF(ISNUMBER(B658),INT(B658),0)</f>
        <v/>
      </c>
      <c r="H658">
        <f>IF(AND(G658&gt;0,D658="Water",OR(C658="",C658="All beds")),G658,0)</f>
        <v/>
      </c>
    </row>
    <row r="659">
      <c r="A659" s="1" t="n"/>
      <c r="B659" s="17" t="n"/>
      <c r="C659" s="18" t="n"/>
      <c r="D659" s="19" t="n"/>
      <c r="E659" s="21" t="n"/>
      <c r="F659" s="11">
        <f>IF(AND(B659="",C659="",D659=""),"",IF(NOT(ISNUMBER(B659)),"Needs a date",IF(D659="","Needs the job",IF(AND(C659&lt;&gt;"",C659&lt;&gt;"All beds",COUNTIF(Beds!$B$6:$B$35,C659)=0),"Not on Beds",""))))</f>
        <v/>
      </c>
      <c r="G659" s="1">
        <f>IF(ISNUMBER(B659),INT(B659),0)</f>
        <v/>
      </c>
      <c r="H659">
        <f>IF(AND(G659&gt;0,D659="Water",OR(C659="",C659="All beds")),G659,0)</f>
        <v/>
      </c>
    </row>
    <row r="660">
      <c r="A660" s="1" t="n"/>
      <c r="B660" s="17" t="n"/>
      <c r="C660" s="18" t="n"/>
      <c r="D660" s="19" t="n"/>
      <c r="E660" s="21" t="n"/>
      <c r="F660" s="11">
        <f>IF(AND(B660="",C660="",D660=""),"",IF(NOT(ISNUMBER(B660)),"Needs a date",IF(D660="","Needs the job",IF(AND(C660&lt;&gt;"",C660&lt;&gt;"All beds",COUNTIF(Beds!$B$6:$B$35,C660)=0),"Not on Beds",""))))</f>
        <v/>
      </c>
      <c r="G660" s="1">
        <f>IF(ISNUMBER(B660),INT(B660),0)</f>
        <v/>
      </c>
      <c r="H660">
        <f>IF(AND(G660&gt;0,D660="Water",OR(C660="",C660="All beds")),G660,0)</f>
        <v/>
      </c>
    </row>
    <row r="661">
      <c r="A661" s="1" t="n"/>
      <c r="B661" s="17" t="n"/>
      <c r="C661" s="18" t="n"/>
      <c r="D661" s="19" t="n"/>
      <c r="E661" s="21" t="n"/>
      <c r="F661" s="11">
        <f>IF(AND(B661="",C661="",D661=""),"",IF(NOT(ISNUMBER(B661)),"Needs a date",IF(D661="","Needs the job",IF(AND(C661&lt;&gt;"",C661&lt;&gt;"All beds",COUNTIF(Beds!$B$6:$B$35,C661)=0),"Not on Beds",""))))</f>
        <v/>
      </c>
      <c r="G661" s="1">
        <f>IF(ISNUMBER(B661),INT(B661),0)</f>
        <v/>
      </c>
      <c r="H661">
        <f>IF(AND(G661&gt;0,D661="Water",OR(C661="",C661="All beds")),G661,0)</f>
        <v/>
      </c>
    </row>
    <row r="662">
      <c r="A662" s="1" t="n"/>
      <c r="B662" s="17" t="n"/>
      <c r="C662" s="18" t="n"/>
      <c r="D662" s="19" t="n"/>
      <c r="E662" s="21" t="n"/>
      <c r="F662" s="11">
        <f>IF(AND(B662="",C662="",D662=""),"",IF(NOT(ISNUMBER(B662)),"Needs a date",IF(D662="","Needs the job",IF(AND(C662&lt;&gt;"",C662&lt;&gt;"All beds",COUNTIF(Beds!$B$6:$B$35,C662)=0),"Not on Beds",""))))</f>
        <v/>
      </c>
      <c r="G662" s="1">
        <f>IF(ISNUMBER(B662),INT(B662),0)</f>
        <v/>
      </c>
      <c r="H662">
        <f>IF(AND(G662&gt;0,D662="Water",OR(C662="",C662="All beds")),G662,0)</f>
        <v/>
      </c>
    </row>
    <row r="663">
      <c r="A663" s="1" t="n"/>
      <c r="B663" s="17" t="n"/>
      <c r="C663" s="18" t="n"/>
      <c r="D663" s="19" t="n"/>
      <c r="E663" s="21" t="n"/>
      <c r="F663" s="11">
        <f>IF(AND(B663="",C663="",D663=""),"",IF(NOT(ISNUMBER(B663)),"Needs a date",IF(D663="","Needs the job",IF(AND(C663&lt;&gt;"",C663&lt;&gt;"All beds",COUNTIF(Beds!$B$6:$B$35,C663)=0),"Not on Beds",""))))</f>
        <v/>
      </c>
      <c r="G663" s="1">
        <f>IF(ISNUMBER(B663),INT(B663),0)</f>
        <v/>
      </c>
      <c r="H663">
        <f>IF(AND(G663&gt;0,D663="Water",OR(C663="",C663="All beds")),G663,0)</f>
        <v/>
      </c>
    </row>
    <row r="664">
      <c r="A664" s="1" t="n"/>
      <c r="B664" s="17" t="n"/>
      <c r="C664" s="18" t="n"/>
      <c r="D664" s="19" t="n"/>
      <c r="E664" s="21" t="n"/>
      <c r="F664" s="11">
        <f>IF(AND(B664="",C664="",D664=""),"",IF(NOT(ISNUMBER(B664)),"Needs a date",IF(D664="","Needs the job",IF(AND(C664&lt;&gt;"",C664&lt;&gt;"All beds",COUNTIF(Beds!$B$6:$B$35,C664)=0),"Not on Beds",""))))</f>
        <v/>
      </c>
      <c r="G664" s="1">
        <f>IF(ISNUMBER(B664),INT(B664),0)</f>
        <v/>
      </c>
      <c r="H664">
        <f>IF(AND(G664&gt;0,D664="Water",OR(C664="",C664="All beds")),G664,0)</f>
        <v/>
      </c>
    </row>
    <row r="665">
      <c r="A665" s="1" t="n"/>
      <c r="B665" s="17" t="n"/>
      <c r="C665" s="18" t="n"/>
      <c r="D665" s="19" t="n"/>
      <c r="E665" s="21" t="n"/>
      <c r="F665" s="11">
        <f>IF(AND(B665="",C665="",D665=""),"",IF(NOT(ISNUMBER(B665)),"Needs a date",IF(D665="","Needs the job",IF(AND(C665&lt;&gt;"",C665&lt;&gt;"All beds",COUNTIF(Beds!$B$6:$B$35,C665)=0),"Not on Beds",""))))</f>
        <v/>
      </c>
      <c r="G665" s="1">
        <f>IF(ISNUMBER(B665),INT(B665),0)</f>
        <v/>
      </c>
      <c r="H665">
        <f>IF(AND(G665&gt;0,D665="Water",OR(C665="",C665="All beds")),G665,0)</f>
        <v/>
      </c>
    </row>
    <row r="666">
      <c r="A666" s="1" t="n"/>
      <c r="B666" s="17" t="n"/>
      <c r="C666" s="18" t="n"/>
      <c r="D666" s="19" t="n"/>
      <c r="E666" s="21" t="n"/>
      <c r="F666" s="11">
        <f>IF(AND(B666="",C666="",D666=""),"",IF(NOT(ISNUMBER(B666)),"Needs a date",IF(D666="","Needs the job",IF(AND(C666&lt;&gt;"",C666&lt;&gt;"All beds",COUNTIF(Beds!$B$6:$B$35,C666)=0),"Not on Beds",""))))</f>
        <v/>
      </c>
      <c r="G666" s="1">
        <f>IF(ISNUMBER(B666),INT(B666),0)</f>
        <v/>
      </c>
      <c r="H666">
        <f>IF(AND(G666&gt;0,D666="Water",OR(C666="",C666="All beds")),G666,0)</f>
        <v/>
      </c>
    </row>
    <row r="667">
      <c r="A667" s="1" t="n"/>
      <c r="B667" s="17" t="n"/>
      <c r="C667" s="18" t="n"/>
      <c r="D667" s="19" t="n"/>
      <c r="E667" s="21" t="n"/>
      <c r="F667" s="11">
        <f>IF(AND(B667="",C667="",D667=""),"",IF(NOT(ISNUMBER(B667)),"Needs a date",IF(D667="","Needs the job",IF(AND(C667&lt;&gt;"",C667&lt;&gt;"All beds",COUNTIF(Beds!$B$6:$B$35,C667)=0),"Not on Beds",""))))</f>
        <v/>
      </c>
      <c r="G667" s="1">
        <f>IF(ISNUMBER(B667),INT(B667),0)</f>
        <v/>
      </c>
      <c r="H667">
        <f>IF(AND(G667&gt;0,D667="Water",OR(C667="",C667="All beds")),G667,0)</f>
        <v/>
      </c>
    </row>
    <row r="668">
      <c r="A668" s="1" t="n"/>
      <c r="B668" s="17" t="n"/>
      <c r="C668" s="18" t="n"/>
      <c r="D668" s="19" t="n"/>
      <c r="E668" s="21" t="n"/>
      <c r="F668" s="11">
        <f>IF(AND(B668="",C668="",D668=""),"",IF(NOT(ISNUMBER(B668)),"Needs a date",IF(D668="","Needs the job",IF(AND(C668&lt;&gt;"",C668&lt;&gt;"All beds",COUNTIF(Beds!$B$6:$B$35,C668)=0),"Not on Beds",""))))</f>
        <v/>
      </c>
      <c r="G668" s="1">
        <f>IF(ISNUMBER(B668),INT(B668),0)</f>
        <v/>
      </c>
      <c r="H668">
        <f>IF(AND(G668&gt;0,D668="Water",OR(C668="",C668="All beds")),G668,0)</f>
        <v/>
      </c>
    </row>
    <row r="669">
      <c r="A669" s="1" t="n"/>
      <c r="B669" s="17" t="n"/>
      <c r="C669" s="18" t="n"/>
      <c r="D669" s="19" t="n"/>
      <c r="E669" s="21" t="n"/>
      <c r="F669" s="11">
        <f>IF(AND(B669="",C669="",D669=""),"",IF(NOT(ISNUMBER(B669)),"Needs a date",IF(D669="","Needs the job",IF(AND(C669&lt;&gt;"",C669&lt;&gt;"All beds",COUNTIF(Beds!$B$6:$B$35,C669)=0),"Not on Beds",""))))</f>
        <v/>
      </c>
      <c r="G669" s="1">
        <f>IF(ISNUMBER(B669),INT(B669),0)</f>
        <v/>
      </c>
      <c r="H669">
        <f>IF(AND(G669&gt;0,D669="Water",OR(C669="",C669="All beds")),G669,0)</f>
        <v/>
      </c>
    </row>
    <row r="670">
      <c r="A670" s="1" t="n"/>
      <c r="B670" s="17" t="n"/>
      <c r="C670" s="18" t="n"/>
      <c r="D670" s="19" t="n"/>
      <c r="E670" s="21" t="n"/>
      <c r="F670" s="11">
        <f>IF(AND(B670="",C670="",D670=""),"",IF(NOT(ISNUMBER(B670)),"Needs a date",IF(D670="","Needs the job",IF(AND(C670&lt;&gt;"",C670&lt;&gt;"All beds",COUNTIF(Beds!$B$6:$B$35,C670)=0),"Not on Beds",""))))</f>
        <v/>
      </c>
      <c r="G670" s="1">
        <f>IF(ISNUMBER(B670),INT(B670),0)</f>
        <v/>
      </c>
      <c r="H670">
        <f>IF(AND(G670&gt;0,D670="Water",OR(C670="",C670="All beds")),G670,0)</f>
        <v/>
      </c>
    </row>
    <row r="671">
      <c r="A671" s="1" t="n"/>
      <c r="B671" s="17" t="n"/>
      <c r="C671" s="18" t="n"/>
      <c r="D671" s="19" t="n"/>
      <c r="E671" s="21" t="n"/>
      <c r="F671" s="11">
        <f>IF(AND(B671="",C671="",D671=""),"",IF(NOT(ISNUMBER(B671)),"Needs a date",IF(D671="","Needs the job",IF(AND(C671&lt;&gt;"",C671&lt;&gt;"All beds",COUNTIF(Beds!$B$6:$B$35,C671)=0),"Not on Beds",""))))</f>
        <v/>
      </c>
      <c r="G671" s="1">
        <f>IF(ISNUMBER(B671),INT(B671),0)</f>
        <v/>
      </c>
      <c r="H671">
        <f>IF(AND(G671&gt;0,D671="Water",OR(C671="",C671="All beds")),G671,0)</f>
        <v/>
      </c>
    </row>
    <row r="672">
      <c r="A672" s="1" t="n"/>
      <c r="B672" s="17" t="n"/>
      <c r="C672" s="18" t="n"/>
      <c r="D672" s="19" t="n"/>
      <c r="E672" s="21" t="n"/>
      <c r="F672" s="11">
        <f>IF(AND(B672="",C672="",D672=""),"",IF(NOT(ISNUMBER(B672)),"Needs a date",IF(D672="","Needs the job",IF(AND(C672&lt;&gt;"",C672&lt;&gt;"All beds",COUNTIF(Beds!$B$6:$B$35,C672)=0),"Not on Beds",""))))</f>
        <v/>
      </c>
      <c r="G672" s="1">
        <f>IF(ISNUMBER(B672),INT(B672),0)</f>
        <v/>
      </c>
      <c r="H672">
        <f>IF(AND(G672&gt;0,D672="Water",OR(C672="",C672="All beds")),G672,0)</f>
        <v/>
      </c>
    </row>
    <row r="673">
      <c r="A673" s="1" t="n"/>
      <c r="B673" s="17" t="n"/>
      <c r="C673" s="18" t="n"/>
      <c r="D673" s="19" t="n"/>
      <c r="E673" s="21" t="n"/>
      <c r="F673" s="11">
        <f>IF(AND(B673="",C673="",D673=""),"",IF(NOT(ISNUMBER(B673)),"Needs a date",IF(D673="","Needs the job",IF(AND(C673&lt;&gt;"",C673&lt;&gt;"All beds",COUNTIF(Beds!$B$6:$B$35,C673)=0),"Not on Beds",""))))</f>
        <v/>
      </c>
      <c r="G673" s="1">
        <f>IF(ISNUMBER(B673),INT(B673),0)</f>
        <v/>
      </c>
      <c r="H673">
        <f>IF(AND(G673&gt;0,D673="Water",OR(C673="",C673="All beds")),G673,0)</f>
        <v/>
      </c>
    </row>
    <row r="674">
      <c r="A674" s="1" t="n"/>
      <c r="B674" s="17" t="n"/>
      <c r="C674" s="18" t="n"/>
      <c r="D674" s="19" t="n"/>
      <c r="E674" s="21" t="n"/>
      <c r="F674" s="11">
        <f>IF(AND(B674="",C674="",D674=""),"",IF(NOT(ISNUMBER(B674)),"Needs a date",IF(D674="","Needs the job",IF(AND(C674&lt;&gt;"",C674&lt;&gt;"All beds",COUNTIF(Beds!$B$6:$B$35,C674)=0),"Not on Beds",""))))</f>
        <v/>
      </c>
      <c r="G674" s="1">
        <f>IF(ISNUMBER(B674),INT(B674),0)</f>
        <v/>
      </c>
      <c r="H674">
        <f>IF(AND(G674&gt;0,D674="Water",OR(C674="",C674="All beds")),G674,0)</f>
        <v/>
      </c>
    </row>
    <row r="675">
      <c r="A675" s="1" t="n"/>
      <c r="B675" s="17" t="n"/>
      <c r="C675" s="18" t="n"/>
      <c r="D675" s="19" t="n"/>
      <c r="E675" s="21" t="n"/>
      <c r="F675" s="11">
        <f>IF(AND(B675="",C675="",D675=""),"",IF(NOT(ISNUMBER(B675)),"Needs a date",IF(D675="","Needs the job",IF(AND(C675&lt;&gt;"",C675&lt;&gt;"All beds",COUNTIF(Beds!$B$6:$B$35,C675)=0),"Not on Beds",""))))</f>
        <v/>
      </c>
      <c r="G675" s="1">
        <f>IF(ISNUMBER(B675),INT(B675),0)</f>
        <v/>
      </c>
      <c r="H675">
        <f>IF(AND(G675&gt;0,D675="Water",OR(C675="",C675="All beds")),G675,0)</f>
        <v/>
      </c>
    </row>
    <row r="676">
      <c r="A676" s="1" t="n"/>
      <c r="B676" s="17" t="n"/>
      <c r="C676" s="18" t="n"/>
      <c r="D676" s="19" t="n"/>
      <c r="E676" s="21" t="n"/>
      <c r="F676" s="11">
        <f>IF(AND(B676="",C676="",D676=""),"",IF(NOT(ISNUMBER(B676)),"Needs a date",IF(D676="","Needs the job",IF(AND(C676&lt;&gt;"",C676&lt;&gt;"All beds",COUNTIF(Beds!$B$6:$B$35,C676)=0),"Not on Beds",""))))</f>
        <v/>
      </c>
      <c r="G676" s="1">
        <f>IF(ISNUMBER(B676),INT(B676),0)</f>
        <v/>
      </c>
      <c r="H676">
        <f>IF(AND(G676&gt;0,D676="Water",OR(C676="",C676="All beds")),G676,0)</f>
        <v/>
      </c>
    </row>
    <row r="677">
      <c r="A677" s="1" t="n"/>
      <c r="B677" s="17" t="n"/>
      <c r="C677" s="18" t="n"/>
      <c r="D677" s="19" t="n"/>
      <c r="E677" s="21" t="n"/>
      <c r="F677" s="11">
        <f>IF(AND(B677="",C677="",D677=""),"",IF(NOT(ISNUMBER(B677)),"Needs a date",IF(D677="","Needs the job",IF(AND(C677&lt;&gt;"",C677&lt;&gt;"All beds",COUNTIF(Beds!$B$6:$B$35,C677)=0),"Not on Beds",""))))</f>
        <v/>
      </c>
      <c r="G677" s="1">
        <f>IF(ISNUMBER(B677),INT(B677),0)</f>
        <v/>
      </c>
      <c r="H677">
        <f>IF(AND(G677&gt;0,D677="Water",OR(C677="",C677="All beds")),G677,0)</f>
        <v/>
      </c>
    </row>
    <row r="678">
      <c r="A678" s="1" t="n"/>
      <c r="B678" s="17" t="n"/>
      <c r="C678" s="18" t="n"/>
      <c r="D678" s="19" t="n"/>
      <c r="E678" s="21" t="n"/>
      <c r="F678" s="11">
        <f>IF(AND(B678="",C678="",D678=""),"",IF(NOT(ISNUMBER(B678)),"Needs a date",IF(D678="","Needs the job",IF(AND(C678&lt;&gt;"",C678&lt;&gt;"All beds",COUNTIF(Beds!$B$6:$B$35,C678)=0),"Not on Beds",""))))</f>
        <v/>
      </c>
      <c r="G678" s="1">
        <f>IF(ISNUMBER(B678),INT(B678),0)</f>
        <v/>
      </c>
      <c r="H678">
        <f>IF(AND(G678&gt;0,D678="Water",OR(C678="",C678="All beds")),G678,0)</f>
        <v/>
      </c>
    </row>
    <row r="679">
      <c r="A679" s="1" t="n"/>
      <c r="B679" s="17" t="n"/>
      <c r="C679" s="18" t="n"/>
      <c r="D679" s="19" t="n"/>
      <c r="E679" s="21" t="n"/>
      <c r="F679" s="11">
        <f>IF(AND(B679="",C679="",D679=""),"",IF(NOT(ISNUMBER(B679)),"Needs a date",IF(D679="","Needs the job",IF(AND(C679&lt;&gt;"",C679&lt;&gt;"All beds",COUNTIF(Beds!$B$6:$B$35,C679)=0),"Not on Beds",""))))</f>
        <v/>
      </c>
      <c r="G679" s="1">
        <f>IF(ISNUMBER(B679),INT(B679),0)</f>
        <v/>
      </c>
      <c r="H679">
        <f>IF(AND(G679&gt;0,D679="Water",OR(C679="",C679="All beds")),G679,0)</f>
        <v/>
      </c>
    </row>
    <row r="680">
      <c r="A680" s="1" t="n"/>
      <c r="B680" s="17" t="n"/>
      <c r="C680" s="18" t="n"/>
      <c r="D680" s="19" t="n"/>
      <c r="E680" s="21" t="n"/>
      <c r="F680" s="11">
        <f>IF(AND(B680="",C680="",D680=""),"",IF(NOT(ISNUMBER(B680)),"Needs a date",IF(D680="","Needs the job",IF(AND(C680&lt;&gt;"",C680&lt;&gt;"All beds",COUNTIF(Beds!$B$6:$B$35,C680)=0),"Not on Beds",""))))</f>
        <v/>
      </c>
      <c r="G680" s="1">
        <f>IF(ISNUMBER(B680),INT(B680),0)</f>
        <v/>
      </c>
      <c r="H680">
        <f>IF(AND(G680&gt;0,D680="Water",OR(C680="",C680="All beds")),G680,0)</f>
        <v/>
      </c>
    </row>
    <row r="681">
      <c r="A681" s="1" t="n"/>
      <c r="B681" s="17" t="n"/>
      <c r="C681" s="18" t="n"/>
      <c r="D681" s="19" t="n"/>
      <c r="E681" s="21" t="n"/>
      <c r="F681" s="11">
        <f>IF(AND(B681="",C681="",D681=""),"",IF(NOT(ISNUMBER(B681)),"Needs a date",IF(D681="","Needs the job",IF(AND(C681&lt;&gt;"",C681&lt;&gt;"All beds",COUNTIF(Beds!$B$6:$B$35,C681)=0),"Not on Beds",""))))</f>
        <v/>
      </c>
      <c r="G681" s="1">
        <f>IF(ISNUMBER(B681),INT(B681),0)</f>
        <v/>
      </c>
      <c r="H681">
        <f>IF(AND(G681&gt;0,D681="Water",OR(C681="",C681="All beds")),G681,0)</f>
        <v/>
      </c>
    </row>
    <row r="682">
      <c r="A682" s="1" t="n"/>
      <c r="B682" s="17" t="n"/>
      <c r="C682" s="18" t="n"/>
      <c r="D682" s="19" t="n"/>
      <c r="E682" s="21" t="n"/>
      <c r="F682" s="11">
        <f>IF(AND(B682="",C682="",D682=""),"",IF(NOT(ISNUMBER(B682)),"Needs a date",IF(D682="","Needs the job",IF(AND(C682&lt;&gt;"",C682&lt;&gt;"All beds",COUNTIF(Beds!$B$6:$B$35,C682)=0),"Not on Beds",""))))</f>
        <v/>
      </c>
      <c r="G682" s="1">
        <f>IF(ISNUMBER(B682),INT(B682),0)</f>
        <v/>
      </c>
      <c r="H682">
        <f>IF(AND(G682&gt;0,D682="Water",OR(C682="",C682="All beds")),G682,0)</f>
        <v/>
      </c>
    </row>
    <row r="683">
      <c r="A683" s="1" t="n"/>
      <c r="B683" s="17" t="n"/>
      <c r="C683" s="18" t="n"/>
      <c r="D683" s="19" t="n"/>
      <c r="E683" s="21" t="n"/>
      <c r="F683" s="11">
        <f>IF(AND(B683="",C683="",D683=""),"",IF(NOT(ISNUMBER(B683)),"Needs a date",IF(D683="","Needs the job",IF(AND(C683&lt;&gt;"",C683&lt;&gt;"All beds",COUNTIF(Beds!$B$6:$B$35,C683)=0),"Not on Beds",""))))</f>
        <v/>
      </c>
      <c r="G683" s="1">
        <f>IF(ISNUMBER(B683),INT(B683),0)</f>
        <v/>
      </c>
      <c r="H683">
        <f>IF(AND(G683&gt;0,D683="Water",OR(C683="",C683="All beds")),G683,0)</f>
        <v/>
      </c>
    </row>
    <row r="684">
      <c r="A684" s="1" t="n"/>
      <c r="B684" s="17" t="n"/>
      <c r="C684" s="18" t="n"/>
      <c r="D684" s="19" t="n"/>
      <c r="E684" s="21" t="n"/>
      <c r="F684" s="11">
        <f>IF(AND(B684="",C684="",D684=""),"",IF(NOT(ISNUMBER(B684)),"Needs a date",IF(D684="","Needs the job",IF(AND(C684&lt;&gt;"",C684&lt;&gt;"All beds",COUNTIF(Beds!$B$6:$B$35,C684)=0),"Not on Beds",""))))</f>
        <v/>
      </c>
      <c r="G684" s="1">
        <f>IF(ISNUMBER(B684),INT(B684),0)</f>
        <v/>
      </c>
      <c r="H684">
        <f>IF(AND(G684&gt;0,D684="Water",OR(C684="",C684="All beds")),G684,0)</f>
        <v/>
      </c>
    </row>
    <row r="685">
      <c r="A685" s="1" t="n"/>
      <c r="B685" s="17" t="n"/>
      <c r="C685" s="18" t="n"/>
      <c r="D685" s="19" t="n"/>
      <c r="E685" s="21" t="n"/>
      <c r="F685" s="11">
        <f>IF(AND(B685="",C685="",D685=""),"",IF(NOT(ISNUMBER(B685)),"Needs a date",IF(D685="","Needs the job",IF(AND(C685&lt;&gt;"",C685&lt;&gt;"All beds",COUNTIF(Beds!$B$6:$B$35,C685)=0),"Not on Beds",""))))</f>
        <v/>
      </c>
      <c r="G685" s="1">
        <f>IF(ISNUMBER(B685),INT(B685),0)</f>
        <v/>
      </c>
      <c r="H685">
        <f>IF(AND(G685&gt;0,D685="Water",OR(C685="",C685="All beds")),G685,0)</f>
        <v/>
      </c>
    </row>
    <row r="686">
      <c r="A686" s="1" t="n"/>
      <c r="B686" s="17" t="n"/>
      <c r="C686" s="18" t="n"/>
      <c r="D686" s="19" t="n"/>
      <c r="E686" s="21" t="n"/>
      <c r="F686" s="11">
        <f>IF(AND(B686="",C686="",D686=""),"",IF(NOT(ISNUMBER(B686)),"Needs a date",IF(D686="","Needs the job",IF(AND(C686&lt;&gt;"",C686&lt;&gt;"All beds",COUNTIF(Beds!$B$6:$B$35,C686)=0),"Not on Beds",""))))</f>
        <v/>
      </c>
      <c r="G686" s="1">
        <f>IF(ISNUMBER(B686),INT(B686),0)</f>
        <v/>
      </c>
      <c r="H686">
        <f>IF(AND(G686&gt;0,D686="Water",OR(C686="",C686="All beds")),G686,0)</f>
        <v/>
      </c>
    </row>
    <row r="687">
      <c r="A687" s="1" t="n"/>
      <c r="B687" s="17" t="n"/>
      <c r="C687" s="18" t="n"/>
      <c r="D687" s="19" t="n"/>
      <c r="E687" s="21" t="n"/>
      <c r="F687" s="11">
        <f>IF(AND(B687="",C687="",D687=""),"",IF(NOT(ISNUMBER(B687)),"Needs a date",IF(D687="","Needs the job",IF(AND(C687&lt;&gt;"",C687&lt;&gt;"All beds",COUNTIF(Beds!$B$6:$B$35,C687)=0),"Not on Beds",""))))</f>
        <v/>
      </c>
      <c r="G687" s="1">
        <f>IF(ISNUMBER(B687),INT(B687),0)</f>
        <v/>
      </c>
      <c r="H687">
        <f>IF(AND(G687&gt;0,D687="Water",OR(C687="",C687="All beds")),G687,0)</f>
        <v/>
      </c>
    </row>
    <row r="688">
      <c r="A688" s="1" t="n"/>
      <c r="B688" s="17" t="n"/>
      <c r="C688" s="18" t="n"/>
      <c r="D688" s="19" t="n"/>
      <c r="E688" s="21" t="n"/>
      <c r="F688" s="11">
        <f>IF(AND(B688="",C688="",D688=""),"",IF(NOT(ISNUMBER(B688)),"Needs a date",IF(D688="","Needs the job",IF(AND(C688&lt;&gt;"",C688&lt;&gt;"All beds",COUNTIF(Beds!$B$6:$B$35,C688)=0),"Not on Beds",""))))</f>
        <v/>
      </c>
      <c r="G688" s="1">
        <f>IF(ISNUMBER(B688),INT(B688),0)</f>
        <v/>
      </c>
      <c r="H688">
        <f>IF(AND(G688&gt;0,D688="Water",OR(C688="",C688="All beds")),G688,0)</f>
        <v/>
      </c>
    </row>
    <row r="689">
      <c r="A689" s="1" t="n"/>
      <c r="B689" s="17" t="n"/>
      <c r="C689" s="18" t="n"/>
      <c r="D689" s="19" t="n"/>
      <c r="E689" s="21" t="n"/>
      <c r="F689" s="11">
        <f>IF(AND(B689="",C689="",D689=""),"",IF(NOT(ISNUMBER(B689)),"Needs a date",IF(D689="","Needs the job",IF(AND(C689&lt;&gt;"",C689&lt;&gt;"All beds",COUNTIF(Beds!$B$6:$B$35,C689)=0),"Not on Beds",""))))</f>
        <v/>
      </c>
      <c r="G689" s="1">
        <f>IF(ISNUMBER(B689),INT(B689),0)</f>
        <v/>
      </c>
      <c r="H689">
        <f>IF(AND(G689&gt;0,D689="Water",OR(C689="",C689="All beds")),G689,0)</f>
        <v/>
      </c>
    </row>
    <row r="690">
      <c r="A690" s="1" t="n"/>
      <c r="B690" s="17" t="n"/>
      <c r="C690" s="18" t="n"/>
      <c r="D690" s="19" t="n"/>
      <c r="E690" s="21" t="n"/>
      <c r="F690" s="11">
        <f>IF(AND(B690="",C690="",D690=""),"",IF(NOT(ISNUMBER(B690)),"Needs a date",IF(D690="","Needs the job",IF(AND(C690&lt;&gt;"",C690&lt;&gt;"All beds",COUNTIF(Beds!$B$6:$B$35,C690)=0),"Not on Beds",""))))</f>
        <v/>
      </c>
      <c r="G690" s="1">
        <f>IF(ISNUMBER(B690),INT(B690),0)</f>
        <v/>
      </c>
      <c r="H690">
        <f>IF(AND(G690&gt;0,D690="Water",OR(C690="",C690="All beds")),G690,0)</f>
        <v/>
      </c>
    </row>
    <row r="691">
      <c r="A691" s="1" t="n"/>
      <c r="B691" s="17" t="n"/>
      <c r="C691" s="18" t="n"/>
      <c r="D691" s="19" t="n"/>
      <c r="E691" s="21" t="n"/>
      <c r="F691" s="11">
        <f>IF(AND(B691="",C691="",D691=""),"",IF(NOT(ISNUMBER(B691)),"Needs a date",IF(D691="","Needs the job",IF(AND(C691&lt;&gt;"",C691&lt;&gt;"All beds",COUNTIF(Beds!$B$6:$B$35,C691)=0),"Not on Beds",""))))</f>
        <v/>
      </c>
      <c r="G691" s="1">
        <f>IF(ISNUMBER(B691),INT(B691),0)</f>
        <v/>
      </c>
      <c r="H691">
        <f>IF(AND(G691&gt;0,D691="Water",OR(C691="",C691="All beds")),G691,0)</f>
        <v/>
      </c>
    </row>
    <row r="692">
      <c r="A692" s="1" t="n"/>
      <c r="B692" s="17" t="n"/>
      <c r="C692" s="18" t="n"/>
      <c r="D692" s="19" t="n"/>
      <c r="E692" s="21" t="n"/>
      <c r="F692" s="11">
        <f>IF(AND(B692="",C692="",D692=""),"",IF(NOT(ISNUMBER(B692)),"Needs a date",IF(D692="","Needs the job",IF(AND(C692&lt;&gt;"",C692&lt;&gt;"All beds",COUNTIF(Beds!$B$6:$B$35,C692)=0),"Not on Beds",""))))</f>
        <v/>
      </c>
      <c r="G692" s="1">
        <f>IF(ISNUMBER(B692),INT(B692),0)</f>
        <v/>
      </c>
      <c r="H692">
        <f>IF(AND(G692&gt;0,D692="Water",OR(C692="",C692="All beds")),G692,0)</f>
        <v/>
      </c>
    </row>
    <row r="693">
      <c r="A693" s="1" t="n"/>
      <c r="B693" s="17" t="n"/>
      <c r="C693" s="18" t="n"/>
      <c r="D693" s="19" t="n"/>
      <c r="E693" s="21" t="n"/>
      <c r="F693" s="11">
        <f>IF(AND(B693="",C693="",D693=""),"",IF(NOT(ISNUMBER(B693)),"Needs a date",IF(D693="","Needs the job",IF(AND(C693&lt;&gt;"",C693&lt;&gt;"All beds",COUNTIF(Beds!$B$6:$B$35,C693)=0),"Not on Beds",""))))</f>
        <v/>
      </c>
      <c r="G693" s="1">
        <f>IF(ISNUMBER(B693),INT(B693),0)</f>
        <v/>
      </c>
      <c r="H693">
        <f>IF(AND(G693&gt;0,D693="Water",OR(C693="",C693="All beds")),G693,0)</f>
        <v/>
      </c>
    </row>
    <row r="694">
      <c r="A694" s="1" t="n"/>
      <c r="B694" s="17" t="n"/>
      <c r="C694" s="18" t="n"/>
      <c r="D694" s="19" t="n"/>
      <c r="E694" s="21" t="n"/>
      <c r="F694" s="11">
        <f>IF(AND(B694="",C694="",D694=""),"",IF(NOT(ISNUMBER(B694)),"Needs a date",IF(D694="","Needs the job",IF(AND(C694&lt;&gt;"",C694&lt;&gt;"All beds",COUNTIF(Beds!$B$6:$B$35,C694)=0),"Not on Beds",""))))</f>
        <v/>
      </c>
      <c r="G694" s="1">
        <f>IF(ISNUMBER(B694),INT(B694),0)</f>
        <v/>
      </c>
      <c r="H694">
        <f>IF(AND(G694&gt;0,D694="Water",OR(C694="",C694="All beds")),G694,0)</f>
        <v/>
      </c>
    </row>
    <row r="695">
      <c r="A695" s="1" t="n"/>
      <c r="B695" s="17" t="n"/>
      <c r="C695" s="18" t="n"/>
      <c r="D695" s="19" t="n"/>
      <c r="E695" s="21" t="n"/>
      <c r="F695" s="11">
        <f>IF(AND(B695="",C695="",D695=""),"",IF(NOT(ISNUMBER(B695)),"Needs a date",IF(D695="","Needs the job",IF(AND(C695&lt;&gt;"",C695&lt;&gt;"All beds",COUNTIF(Beds!$B$6:$B$35,C695)=0),"Not on Beds",""))))</f>
        <v/>
      </c>
      <c r="G695" s="1">
        <f>IF(ISNUMBER(B695),INT(B695),0)</f>
        <v/>
      </c>
      <c r="H695">
        <f>IF(AND(G695&gt;0,D695="Water",OR(C695="",C695="All beds")),G695,0)</f>
        <v/>
      </c>
    </row>
    <row r="696">
      <c r="A696" s="1" t="n"/>
      <c r="B696" s="17" t="n"/>
      <c r="C696" s="18" t="n"/>
      <c r="D696" s="19" t="n"/>
      <c r="E696" s="21" t="n"/>
      <c r="F696" s="11">
        <f>IF(AND(B696="",C696="",D696=""),"",IF(NOT(ISNUMBER(B696)),"Needs a date",IF(D696="","Needs the job",IF(AND(C696&lt;&gt;"",C696&lt;&gt;"All beds",COUNTIF(Beds!$B$6:$B$35,C696)=0),"Not on Beds",""))))</f>
        <v/>
      </c>
      <c r="G696" s="1">
        <f>IF(ISNUMBER(B696),INT(B696),0)</f>
        <v/>
      </c>
      <c r="H696">
        <f>IF(AND(G696&gt;0,D696="Water",OR(C696="",C696="All beds")),G696,0)</f>
        <v/>
      </c>
    </row>
    <row r="697">
      <c r="A697" s="1" t="n"/>
      <c r="B697" s="17" t="n"/>
      <c r="C697" s="18" t="n"/>
      <c r="D697" s="19" t="n"/>
      <c r="E697" s="21" t="n"/>
      <c r="F697" s="11">
        <f>IF(AND(B697="",C697="",D697=""),"",IF(NOT(ISNUMBER(B697)),"Needs a date",IF(D697="","Needs the job",IF(AND(C697&lt;&gt;"",C697&lt;&gt;"All beds",COUNTIF(Beds!$B$6:$B$35,C697)=0),"Not on Beds",""))))</f>
        <v/>
      </c>
      <c r="G697" s="1">
        <f>IF(ISNUMBER(B697),INT(B697),0)</f>
        <v/>
      </c>
      <c r="H697">
        <f>IF(AND(G697&gt;0,D697="Water",OR(C697="",C697="All beds")),G697,0)</f>
        <v/>
      </c>
    </row>
    <row r="698">
      <c r="A698" s="1" t="n"/>
      <c r="B698" s="17" t="n"/>
      <c r="C698" s="18" t="n"/>
      <c r="D698" s="19" t="n"/>
      <c r="E698" s="21" t="n"/>
      <c r="F698" s="11">
        <f>IF(AND(B698="",C698="",D698=""),"",IF(NOT(ISNUMBER(B698)),"Needs a date",IF(D698="","Needs the job",IF(AND(C698&lt;&gt;"",C698&lt;&gt;"All beds",COUNTIF(Beds!$B$6:$B$35,C698)=0),"Not on Beds",""))))</f>
        <v/>
      </c>
      <c r="G698" s="1">
        <f>IF(ISNUMBER(B698),INT(B698),0)</f>
        <v/>
      </c>
      <c r="H698">
        <f>IF(AND(G698&gt;0,D698="Water",OR(C698="",C698="All beds")),G698,0)</f>
        <v/>
      </c>
    </row>
    <row r="699">
      <c r="A699" s="1" t="n"/>
      <c r="B699" s="17" t="n"/>
      <c r="C699" s="18" t="n"/>
      <c r="D699" s="19" t="n"/>
      <c r="E699" s="21" t="n"/>
      <c r="F699" s="11">
        <f>IF(AND(B699="",C699="",D699=""),"",IF(NOT(ISNUMBER(B699)),"Needs a date",IF(D699="","Needs the job",IF(AND(C699&lt;&gt;"",C699&lt;&gt;"All beds",COUNTIF(Beds!$B$6:$B$35,C699)=0),"Not on Beds",""))))</f>
        <v/>
      </c>
      <c r="G699" s="1">
        <f>IF(ISNUMBER(B699),INT(B699),0)</f>
        <v/>
      </c>
      <c r="H699">
        <f>IF(AND(G699&gt;0,D699="Water",OR(C699="",C699="All beds")),G699,0)</f>
        <v/>
      </c>
    </row>
    <row r="700">
      <c r="A700" s="1" t="n"/>
      <c r="B700" s="17" t="n"/>
      <c r="C700" s="18" t="n"/>
      <c r="D700" s="19" t="n"/>
      <c r="E700" s="21" t="n"/>
      <c r="F700" s="11">
        <f>IF(AND(B700="",C700="",D700=""),"",IF(NOT(ISNUMBER(B700)),"Needs a date",IF(D700="","Needs the job",IF(AND(C700&lt;&gt;"",C700&lt;&gt;"All beds",COUNTIF(Beds!$B$6:$B$35,C700)=0),"Not on Beds",""))))</f>
        <v/>
      </c>
      <c r="G700" s="1">
        <f>IF(ISNUMBER(B700),INT(B700),0)</f>
        <v/>
      </c>
      <c r="H700">
        <f>IF(AND(G700&gt;0,D700="Water",OR(C700="",C700="All beds")),G700,0)</f>
        <v/>
      </c>
    </row>
    <row r="701">
      <c r="A701" s="1" t="n"/>
      <c r="B701" s="17" t="n"/>
      <c r="C701" s="18" t="n"/>
      <c r="D701" s="19" t="n"/>
      <c r="E701" s="21" t="n"/>
      <c r="F701" s="11">
        <f>IF(AND(B701="",C701="",D701=""),"",IF(NOT(ISNUMBER(B701)),"Needs a date",IF(D701="","Needs the job",IF(AND(C701&lt;&gt;"",C701&lt;&gt;"All beds",COUNTIF(Beds!$B$6:$B$35,C701)=0),"Not on Beds",""))))</f>
        <v/>
      </c>
      <c r="G701" s="1">
        <f>IF(ISNUMBER(B701),INT(B701),0)</f>
        <v/>
      </c>
      <c r="H701">
        <f>IF(AND(G701&gt;0,D701="Water",OR(C701="",C701="All beds")),G701,0)</f>
        <v/>
      </c>
    </row>
    <row r="702">
      <c r="A702" s="1" t="n"/>
      <c r="B702" s="17" t="n"/>
      <c r="C702" s="18" t="n"/>
      <c r="D702" s="19" t="n"/>
      <c r="E702" s="21" t="n"/>
      <c r="F702" s="11">
        <f>IF(AND(B702="",C702="",D702=""),"",IF(NOT(ISNUMBER(B702)),"Needs a date",IF(D702="","Needs the job",IF(AND(C702&lt;&gt;"",C702&lt;&gt;"All beds",COUNTIF(Beds!$B$6:$B$35,C702)=0),"Not on Beds",""))))</f>
        <v/>
      </c>
      <c r="G702" s="1">
        <f>IF(ISNUMBER(B702),INT(B702),0)</f>
        <v/>
      </c>
      <c r="H702">
        <f>IF(AND(G702&gt;0,D702="Water",OR(C702="",C702="All beds")),G702,0)</f>
        <v/>
      </c>
    </row>
    <row r="703">
      <c r="A703" s="1" t="n"/>
      <c r="B703" s="17" t="n"/>
      <c r="C703" s="18" t="n"/>
      <c r="D703" s="19" t="n"/>
      <c r="E703" s="21" t="n"/>
      <c r="F703" s="11">
        <f>IF(AND(B703="",C703="",D703=""),"",IF(NOT(ISNUMBER(B703)),"Needs a date",IF(D703="","Needs the job",IF(AND(C703&lt;&gt;"",C703&lt;&gt;"All beds",COUNTIF(Beds!$B$6:$B$35,C703)=0),"Not on Beds",""))))</f>
        <v/>
      </c>
      <c r="G703" s="1">
        <f>IF(ISNUMBER(B703),INT(B703),0)</f>
        <v/>
      </c>
      <c r="H703">
        <f>IF(AND(G703&gt;0,D703="Water",OR(C703="",C703="All beds")),G703,0)</f>
        <v/>
      </c>
    </row>
    <row r="704">
      <c r="A704" s="1" t="n"/>
      <c r="B704" s="17" t="n"/>
      <c r="C704" s="18" t="n"/>
      <c r="D704" s="19" t="n"/>
      <c r="E704" s="21" t="n"/>
      <c r="F704" s="11">
        <f>IF(AND(B704="",C704="",D704=""),"",IF(NOT(ISNUMBER(B704)),"Needs a date",IF(D704="","Needs the job",IF(AND(C704&lt;&gt;"",C704&lt;&gt;"All beds",COUNTIF(Beds!$B$6:$B$35,C704)=0),"Not on Beds",""))))</f>
        <v/>
      </c>
      <c r="G704" s="1">
        <f>IF(ISNUMBER(B704),INT(B704),0)</f>
        <v/>
      </c>
      <c r="H704">
        <f>IF(AND(G704&gt;0,D704="Water",OR(C704="",C704="All beds")),G704,0)</f>
        <v/>
      </c>
    </row>
    <row r="705">
      <c r="A705" s="1" t="n"/>
      <c r="B705" s="17" t="n"/>
      <c r="C705" s="18" t="n"/>
      <c r="D705" s="19" t="n"/>
      <c r="E705" s="21" t="n"/>
      <c r="F705" s="11">
        <f>IF(AND(B705="",C705="",D705=""),"",IF(NOT(ISNUMBER(B705)),"Needs a date",IF(D705="","Needs the job",IF(AND(C705&lt;&gt;"",C705&lt;&gt;"All beds",COUNTIF(Beds!$B$6:$B$35,C705)=0),"Not on Beds",""))))</f>
        <v/>
      </c>
      <c r="G705" s="1">
        <f>IF(ISNUMBER(B705),INT(B705),0)</f>
        <v/>
      </c>
      <c r="H705">
        <f>IF(AND(G705&gt;0,D705="Water",OR(C705="",C705="All beds")),G705,0)</f>
        <v/>
      </c>
    </row>
    <row r="706">
      <c r="A706" s="1" t="n"/>
      <c r="B706" s="17" t="n"/>
      <c r="C706" s="18" t="n"/>
      <c r="D706" s="19" t="n"/>
      <c r="E706" s="21" t="n"/>
      <c r="F706" s="11">
        <f>IF(AND(B706="",C706="",D706=""),"",IF(NOT(ISNUMBER(B706)),"Needs a date",IF(D706="","Needs the job",IF(AND(C706&lt;&gt;"",C706&lt;&gt;"All beds",COUNTIF(Beds!$B$6:$B$35,C706)=0),"Not on Beds",""))))</f>
        <v/>
      </c>
      <c r="G706" s="1">
        <f>IF(ISNUMBER(B706),INT(B706),0)</f>
        <v/>
      </c>
      <c r="H706">
        <f>IF(AND(G706&gt;0,D706="Water",OR(C706="",C706="All beds")),G706,0)</f>
        <v/>
      </c>
    </row>
    <row r="707">
      <c r="A707" s="1" t="n"/>
      <c r="B707" s="17" t="n"/>
      <c r="C707" s="18" t="n"/>
      <c r="D707" s="19" t="n"/>
      <c r="E707" s="21" t="n"/>
      <c r="F707" s="11">
        <f>IF(AND(B707="",C707="",D707=""),"",IF(NOT(ISNUMBER(B707)),"Needs a date",IF(D707="","Needs the job",IF(AND(C707&lt;&gt;"",C707&lt;&gt;"All beds",COUNTIF(Beds!$B$6:$B$35,C707)=0),"Not on Beds",""))))</f>
        <v/>
      </c>
      <c r="G707" s="1">
        <f>IF(ISNUMBER(B707),INT(B707),0)</f>
        <v/>
      </c>
      <c r="H707">
        <f>IF(AND(G707&gt;0,D707="Water",OR(C707="",C707="All beds")),G707,0)</f>
        <v/>
      </c>
    </row>
    <row r="708">
      <c r="A708" s="1" t="n"/>
      <c r="B708" s="17" t="n"/>
      <c r="C708" s="18" t="n"/>
      <c r="D708" s="19" t="n"/>
      <c r="E708" s="21" t="n"/>
      <c r="F708" s="11">
        <f>IF(AND(B708="",C708="",D708=""),"",IF(NOT(ISNUMBER(B708)),"Needs a date",IF(D708="","Needs the job",IF(AND(C708&lt;&gt;"",C708&lt;&gt;"All beds",COUNTIF(Beds!$B$6:$B$35,C708)=0),"Not on Beds",""))))</f>
        <v/>
      </c>
      <c r="G708" s="1">
        <f>IF(ISNUMBER(B708),INT(B708),0)</f>
        <v/>
      </c>
      <c r="H708">
        <f>IF(AND(G708&gt;0,D708="Water",OR(C708="",C708="All beds")),G708,0)</f>
        <v/>
      </c>
    </row>
    <row r="709">
      <c r="A709" s="1" t="n"/>
      <c r="B709" s="17" t="n"/>
      <c r="C709" s="18" t="n"/>
      <c r="D709" s="19" t="n"/>
      <c r="E709" s="21" t="n"/>
      <c r="F709" s="11">
        <f>IF(AND(B709="",C709="",D709=""),"",IF(NOT(ISNUMBER(B709)),"Needs a date",IF(D709="","Needs the job",IF(AND(C709&lt;&gt;"",C709&lt;&gt;"All beds",COUNTIF(Beds!$B$6:$B$35,C709)=0),"Not on Beds",""))))</f>
        <v/>
      </c>
      <c r="G709" s="1">
        <f>IF(ISNUMBER(B709),INT(B709),0)</f>
        <v/>
      </c>
      <c r="H709">
        <f>IF(AND(G709&gt;0,D709="Water",OR(C709="",C709="All beds")),G709,0)</f>
        <v/>
      </c>
    </row>
    <row r="710">
      <c r="A710" s="1" t="n"/>
      <c r="B710" s="17" t="n"/>
      <c r="C710" s="18" t="n"/>
      <c r="D710" s="19" t="n"/>
      <c r="E710" s="21" t="n"/>
      <c r="F710" s="11">
        <f>IF(AND(B710="",C710="",D710=""),"",IF(NOT(ISNUMBER(B710)),"Needs a date",IF(D710="","Needs the job",IF(AND(C710&lt;&gt;"",C710&lt;&gt;"All beds",COUNTIF(Beds!$B$6:$B$35,C710)=0),"Not on Beds",""))))</f>
        <v/>
      </c>
      <c r="G710" s="1">
        <f>IF(ISNUMBER(B710),INT(B710),0)</f>
        <v/>
      </c>
      <c r="H710">
        <f>IF(AND(G710&gt;0,D710="Water",OR(C710="",C710="All beds")),G710,0)</f>
        <v/>
      </c>
    </row>
    <row r="711">
      <c r="A711" s="1" t="n"/>
      <c r="B711" s="17" t="n"/>
      <c r="C711" s="18" t="n"/>
      <c r="D711" s="19" t="n"/>
      <c r="E711" s="21" t="n"/>
      <c r="F711" s="11">
        <f>IF(AND(B711="",C711="",D711=""),"",IF(NOT(ISNUMBER(B711)),"Needs a date",IF(D711="","Needs the job",IF(AND(C711&lt;&gt;"",C711&lt;&gt;"All beds",COUNTIF(Beds!$B$6:$B$35,C711)=0),"Not on Beds",""))))</f>
        <v/>
      </c>
      <c r="G711" s="1">
        <f>IF(ISNUMBER(B711),INT(B711),0)</f>
        <v/>
      </c>
      <c r="H711">
        <f>IF(AND(G711&gt;0,D711="Water",OR(C711="",C711="All beds")),G711,0)</f>
        <v/>
      </c>
    </row>
    <row r="712">
      <c r="A712" s="1" t="n"/>
      <c r="B712" s="17" t="n"/>
      <c r="C712" s="18" t="n"/>
      <c r="D712" s="19" t="n"/>
      <c r="E712" s="21" t="n"/>
      <c r="F712" s="11">
        <f>IF(AND(B712="",C712="",D712=""),"",IF(NOT(ISNUMBER(B712)),"Needs a date",IF(D712="","Needs the job",IF(AND(C712&lt;&gt;"",C712&lt;&gt;"All beds",COUNTIF(Beds!$B$6:$B$35,C712)=0),"Not on Beds",""))))</f>
        <v/>
      </c>
      <c r="G712" s="1">
        <f>IF(ISNUMBER(B712),INT(B712),0)</f>
        <v/>
      </c>
      <c r="H712">
        <f>IF(AND(G712&gt;0,D712="Water",OR(C712="",C712="All beds")),G712,0)</f>
        <v/>
      </c>
    </row>
    <row r="713">
      <c r="A713" s="1" t="n"/>
      <c r="B713" s="17" t="n"/>
      <c r="C713" s="18" t="n"/>
      <c r="D713" s="19" t="n"/>
      <c r="E713" s="21" t="n"/>
      <c r="F713" s="11">
        <f>IF(AND(B713="",C713="",D713=""),"",IF(NOT(ISNUMBER(B713)),"Needs a date",IF(D713="","Needs the job",IF(AND(C713&lt;&gt;"",C713&lt;&gt;"All beds",COUNTIF(Beds!$B$6:$B$35,C713)=0),"Not on Beds",""))))</f>
        <v/>
      </c>
      <c r="G713" s="1">
        <f>IF(ISNUMBER(B713),INT(B713),0)</f>
        <v/>
      </c>
      <c r="H713">
        <f>IF(AND(G713&gt;0,D713="Water",OR(C713="",C713="All beds")),G713,0)</f>
        <v/>
      </c>
    </row>
    <row r="714">
      <c r="A714" s="1" t="n"/>
      <c r="B714" s="17" t="n"/>
      <c r="C714" s="18" t="n"/>
      <c r="D714" s="19" t="n"/>
      <c r="E714" s="21" t="n"/>
      <c r="F714" s="11">
        <f>IF(AND(B714="",C714="",D714=""),"",IF(NOT(ISNUMBER(B714)),"Needs a date",IF(D714="","Needs the job",IF(AND(C714&lt;&gt;"",C714&lt;&gt;"All beds",COUNTIF(Beds!$B$6:$B$35,C714)=0),"Not on Beds",""))))</f>
        <v/>
      </c>
      <c r="G714" s="1">
        <f>IF(ISNUMBER(B714),INT(B714),0)</f>
        <v/>
      </c>
      <c r="H714">
        <f>IF(AND(G714&gt;0,D714="Water",OR(C714="",C714="All beds")),G714,0)</f>
        <v/>
      </c>
    </row>
    <row r="715">
      <c r="A715" s="1" t="n"/>
      <c r="B715" s="17" t="n"/>
      <c r="C715" s="18" t="n"/>
      <c r="D715" s="19" t="n"/>
      <c r="E715" s="21" t="n"/>
      <c r="F715" s="11">
        <f>IF(AND(B715="",C715="",D715=""),"",IF(NOT(ISNUMBER(B715)),"Needs a date",IF(D715="","Needs the job",IF(AND(C715&lt;&gt;"",C715&lt;&gt;"All beds",COUNTIF(Beds!$B$6:$B$35,C715)=0),"Not on Beds",""))))</f>
        <v/>
      </c>
      <c r="G715" s="1">
        <f>IF(ISNUMBER(B715),INT(B715),0)</f>
        <v/>
      </c>
      <c r="H715">
        <f>IF(AND(G715&gt;0,D715="Water",OR(C715="",C715="All beds")),G715,0)</f>
        <v/>
      </c>
    </row>
    <row r="716">
      <c r="A716" s="1" t="n"/>
      <c r="B716" s="17" t="n"/>
      <c r="C716" s="18" t="n"/>
      <c r="D716" s="19" t="n"/>
      <c r="E716" s="21" t="n"/>
      <c r="F716" s="11">
        <f>IF(AND(B716="",C716="",D716=""),"",IF(NOT(ISNUMBER(B716)),"Needs a date",IF(D716="","Needs the job",IF(AND(C716&lt;&gt;"",C716&lt;&gt;"All beds",COUNTIF(Beds!$B$6:$B$35,C716)=0),"Not on Beds",""))))</f>
        <v/>
      </c>
      <c r="G716" s="1">
        <f>IF(ISNUMBER(B716),INT(B716),0)</f>
        <v/>
      </c>
      <c r="H716">
        <f>IF(AND(G716&gt;0,D716="Water",OR(C716="",C716="All beds")),G716,0)</f>
        <v/>
      </c>
    </row>
    <row r="717">
      <c r="A717" s="1" t="n"/>
      <c r="B717" s="17" t="n"/>
      <c r="C717" s="18" t="n"/>
      <c r="D717" s="19" t="n"/>
      <c r="E717" s="21" t="n"/>
      <c r="F717" s="11">
        <f>IF(AND(B717="",C717="",D717=""),"",IF(NOT(ISNUMBER(B717)),"Needs a date",IF(D717="","Needs the job",IF(AND(C717&lt;&gt;"",C717&lt;&gt;"All beds",COUNTIF(Beds!$B$6:$B$35,C717)=0),"Not on Beds",""))))</f>
        <v/>
      </c>
      <c r="G717" s="1">
        <f>IF(ISNUMBER(B717),INT(B717),0)</f>
        <v/>
      </c>
      <c r="H717">
        <f>IF(AND(G717&gt;0,D717="Water",OR(C717="",C717="All beds")),G717,0)</f>
        <v/>
      </c>
    </row>
    <row r="718">
      <c r="A718" s="1" t="n"/>
      <c r="B718" s="17" t="n"/>
      <c r="C718" s="18" t="n"/>
      <c r="D718" s="19" t="n"/>
      <c r="E718" s="21" t="n"/>
      <c r="F718" s="11">
        <f>IF(AND(B718="",C718="",D718=""),"",IF(NOT(ISNUMBER(B718)),"Needs a date",IF(D718="","Needs the job",IF(AND(C718&lt;&gt;"",C718&lt;&gt;"All beds",COUNTIF(Beds!$B$6:$B$35,C718)=0),"Not on Beds",""))))</f>
        <v/>
      </c>
      <c r="G718" s="1">
        <f>IF(ISNUMBER(B718),INT(B718),0)</f>
        <v/>
      </c>
      <c r="H718">
        <f>IF(AND(G718&gt;0,D718="Water",OR(C718="",C718="All beds")),G718,0)</f>
        <v/>
      </c>
    </row>
    <row r="719">
      <c r="A719" s="1" t="n"/>
      <c r="B719" s="17" t="n"/>
      <c r="C719" s="18" t="n"/>
      <c r="D719" s="19" t="n"/>
      <c r="E719" s="21" t="n"/>
      <c r="F719" s="11">
        <f>IF(AND(B719="",C719="",D719=""),"",IF(NOT(ISNUMBER(B719)),"Needs a date",IF(D719="","Needs the job",IF(AND(C719&lt;&gt;"",C719&lt;&gt;"All beds",COUNTIF(Beds!$B$6:$B$35,C719)=0),"Not on Beds",""))))</f>
        <v/>
      </c>
      <c r="G719" s="1">
        <f>IF(ISNUMBER(B719),INT(B719),0)</f>
        <v/>
      </c>
      <c r="H719">
        <f>IF(AND(G719&gt;0,D719="Water",OR(C719="",C719="All beds")),G719,0)</f>
        <v/>
      </c>
    </row>
    <row r="720">
      <c r="A720" s="1" t="n"/>
      <c r="B720" s="17" t="n"/>
      <c r="C720" s="18" t="n"/>
      <c r="D720" s="19" t="n"/>
      <c r="E720" s="21" t="n"/>
      <c r="F720" s="11">
        <f>IF(AND(B720="",C720="",D720=""),"",IF(NOT(ISNUMBER(B720)),"Needs a date",IF(D720="","Needs the job",IF(AND(C720&lt;&gt;"",C720&lt;&gt;"All beds",COUNTIF(Beds!$B$6:$B$35,C720)=0),"Not on Beds",""))))</f>
        <v/>
      </c>
      <c r="G720" s="1">
        <f>IF(ISNUMBER(B720),INT(B720),0)</f>
        <v/>
      </c>
      <c r="H720">
        <f>IF(AND(G720&gt;0,D720="Water",OR(C720="",C720="All beds")),G720,0)</f>
        <v/>
      </c>
    </row>
    <row r="721">
      <c r="A721" s="1" t="n"/>
      <c r="B721" s="17" t="n"/>
      <c r="C721" s="18" t="n"/>
      <c r="D721" s="19" t="n"/>
      <c r="E721" s="21" t="n"/>
      <c r="F721" s="11">
        <f>IF(AND(B721="",C721="",D721=""),"",IF(NOT(ISNUMBER(B721)),"Needs a date",IF(D721="","Needs the job",IF(AND(C721&lt;&gt;"",C721&lt;&gt;"All beds",COUNTIF(Beds!$B$6:$B$35,C721)=0),"Not on Beds",""))))</f>
        <v/>
      </c>
      <c r="G721" s="1">
        <f>IF(ISNUMBER(B721),INT(B721),0)</f>
        <v/>
      </c>
      <c r="H721">
        <f>IF(AND(G721&gt;0,D721="Water",OR(C721="",C721="All beds")),G721,0)</f>
        <v/>
      </c>
    </row>
    <row r="722">
      <c r="A722" s="1" t="n"/>
      <c r="B722" s="17" t="n"/>
      <c r="C722" s="18" t="n"/>
      <c r="D722" s="19" t="n"/>
      <c r="E722" s="21" t="n"/>
      <c r="F722" s="11">
        <f>IF(AND(B722="",C722="",D722=""),"",IF(NOT(ISNUMBER(B722)),"Needs a date",IF(D722="","Needs the job",IF(AND(C722&lt;&gt;"",C722&lt;&gt;"All beds",COUNTIF(Beds!$B$6:$B$35,C722)=0),"Not on Beds",""))))</f>
        <v/>
      </c>
      <c r="G722" s="1">
        <f>IF(ISNUMBER(B722),INT(B722),0)</f>
        <v/>
      </c>
      <c r="H722">
        <f>IF(AND(G722&gt;0,D722="Water",OR(C722="",C722="All beds")),G722,0)</f>
        <v/>
      </c>
    </row>
    <row r="723">
      <c r="A723" s="1" t="n"/>
      <c r="B723" s="17" t="n"/>
      <c r="C723" s="18" t="n"/>
      <c r="D723" s="19" t="n"/>
      <c r="E723" s="21" t="n"/>
      <c r="F723" s="11">
        <f>IF(AND(B723="",C723="",D723=""),"",IF(NOT(ISNUMBER(B723)),"Needs a date",IF(D723="","Needs the job",IF(AND(C723&lt;&gt;"",C723&lt;&gt;"All beds",COUNTIF(Beds!$B$6:$B$35,C723)=0),"Not on Beds",""))))</f>
        <v/>
      </c>
      <c r="G723" s="1">
        <f>IF(ISNUMBER(B723),INT(B723),0)</f>
        <v/>
      </c>
      <c r="H723">
        <f>IF(AND(G723&gt;0,D723="Water",OR(C723="",C723="All beds")),G723,0)</f>
        <v/>
      </c>
    </row>
    <row r="724">
      <c r="A724" s="1" t="n"/>
      <c r="B724" s="17" t="n"/>
      <c r="C724" s="18" t="n"/>
      <c r="D724" s="19" t="n"/>
      <c r="E724" s="21" t="n"/>
      <c r="F724" s="11">
        <f>IF(AND(B724="",C724="",D724=""),"",IF(NOT(ISNUMBER(B724)),"Needs a date",IF(D724="","Needs the job",IF(AND(C724&lt;&gt;"",C724&lt;&gt;"All beds",COUNTIF(Beds!$B$6:$B$35,C724)=0),"Not on Beds",""))))</f>
        <v/>
      </c>
      <c r="G724" s="1">
        <f>IF(ISNUMBER(B724),INT(B724),0)</f>
        <v/>
      </c>
      <c r="H724">
        <f>IF(AND(G724&gt;0,D724="Water",OR(C724="",C724="All beds")),G724,0)</f>
        <v/>
      </c>
    </row>
    <row r="725">
      <c r="A725" s="1" t="n"/>
      <c r="B725" s="17" t="n"/>
      <c r="C725" s="18" t="n"/>
      <c r="D725" s="19" t="n"/>
      <c r="E725" s="21" t="n"/>
      <c r="F725" s="11">
        <f>IF(AND(B725="",C725="",D725=""),"",IF(NOT(ISNUMBER(B725)),"Needs a date",IF(D725="","Needs the job",IF(AND(C725&lt;&gt;"",C725&lt;&gt;"All beds",COUNTIF(Beds!$B$6:$B$35,C725)=0),"Not on Beds",""))))</f>
        <v/>
      </c>
      <c r="G725" s="1">
        <f>IF(ISNUMBER(B725),INT(B725),0)</f>
        <v/>
      </c>
      <c r="H725">
        <f>IF(AND(G725&gt;0,D725="Water",OR(C725="",C725="All beds")),G725,0)</f>
        <v/>
      </c>
    </row>
    <row r="726">
      <c r="A726" s="1" t="n"/>
      <c r="B726" s="17" t="n"/>
      <c r="C726" s="18" t="n"/>
      <c r="D726" s="19" t="n"/>
      <c r="E726" s="21" t="n"/>
      <c r="F726" s="11">
        <f>IF(AND(B726="",C726="",D726=""),"",IF(NOT(ISNUMBER(B726)),"Needs a date",IF(D726="","Needs the job",IF(AND(C726&lt;&gt;"",C726&lt;&gt;"All beds",COUNTIF(Beds!$B$6:$B$35,C726)=0),"Not on Beds",""))))</f>
        <v/>
      </c>
      <c r="G726" s="1">
        <f>IF(ISNUMBER(B726),INT(B726),0)</f>
        <v/>
      </c>
      <c r="H726">
        <f>IF(AND(G726&gt;0,D726="Water",OR(C726="",C726="All beds")),G726,0)</f>
        <v/>
      </c>
    </row>
    <row r="727">
      <c r="A727" s="1" t="n"/>
      <c r="B727" s="17" t="n"/>
      <c r="C727" s="18" t="n"/>
      <c r="D727" s="19" t="n"/>
      <c r="E727" s="21" t="n"/>
      <c r="F727" s="11">
        <f>IF(AND(B727="",C727="",D727=""),"",IF(NOT(ISNUMBER(B727)),"Needs a date",IF(D727="","Needs the job",IF(AND(C727&lt;&gt;"",C727&lt;&gt;"All beds",COUNTIF(Beds!$B$6:$B$35,C727)=0),"Not on Beds",""))))</f>
        <v/>
      </c>
      <c r="G727" s="1">
        <f>IF(ISNUMBER(B727),INT(B727),0)</f>
        <v/>
      </c>
      <c r="H727">
        <f>IF(AND(G727&gt;0,D727="Water",OR(C727="",C727="All beds")),G727,0)</f>
        <v/>
      </c>
    </row>
    <row r="728">
      <c r="A728" s="1" t="n"/>
      <c r="B728" s="17" t="n"/>
      <c r="C728" s="18" t="n"/>
      <c r="D728" s="19" t="n"/>
      <c r="E728" s="21" t="n"/>
      <c r="F728" s="11">
        <f>IF(AND(B728="",C728="",D728=""),"",IF(NOT(ISNUMBER(B728)),"Needs a date",IF(D728="","Needs the job",IF(AND(C728&lt;&gt;"",C728&lt;&gt;"All beds",COUNTIF(Beds!$B$6:$B$35,C728)=0),"Not on Beds",""))))</f>
        <v/>
      </c>
      <c r="G728" s="1">
        <f>IF(ISNUMBER(B728),INT(B728),0)</f>
        <v/>
      </c>
      <c r="H728">
        <f>IF(AND(G728&gt;0,D728="Water",OR(C728="",C728="All beds")),G728,0)</f>
        <v/>
      </c>
    </row>
    <row r="729">
      <c r="A729" s="1" t="n"/>
      <c r="B729" s="17" t="n"/>
      <c r="C729" s="18" t="n"/>
      <c r="D729" s="19" t="n"/>
      <c r="E729" s="21" t="n"/>
      <c r="F729" s="11">
        <f>IF(AND(B729="",C729="",D729=""),"",IF(NOT(ISNUMBER(B729)),"Needs a date",IF(D729="","Needs the job",IF(AND(C729&lt;&gt;"",C729&lt;&gt;"All beds",COUNTIF(Beds!$B$6:$B$35,C729)=0),"Not on Beds",""))))</f>
        <v/>
      </c>
      <c r="G729" s="1">
        <f>IF(ISNUMBER(B729),INT(B729),0)</f>
        <v/>
      </c>
      <c r="H729">
        <f>IF(AND(G729&gt;0,D729="Water",OR(C729="",C729="All beds")),G729,0)</f>
        <v/>
      </c>
    </row>
    <row r="730">
      <c r="A730" s="1" t="n"/>
      <c r="B730" s="17" t="n"/>
      <c r="C730" s="18" t="n"/>
      <c r="D730" s="19" t="n"/>
      <c r="E730" s="21" t="n"/>
      <c r="F730" s="11">
        <f>IF(AND(B730="",C730="",D730=""),"",IF(NOT(ISNUMBER(B730)),"Needs a date",IF(D730="","Needs the job",IF(AND(C730&lt;&gt;"",C730&lt;&gt;"All beds",COUNTIF(Beds!$B$6:$B$35,C730)=0),"Not on Beds",""))))</f>
        <v/>
      </c>
      <c r="G730" s="1">
        <f>IF(ISNUMBER(B730),INT(B730),0)</f>
        <v/>
      </c>
      <c r="H730">
        <f>IF(AND(G730&gt;0,D730="Water",OR(C730="",C730="All beds")),G730,0)</f>
        <v/>
      </c>
    </row>
    <row r="731">
      <c r="A731" s="1" t="n"/>
      <c r="B731" s="17" t="n"/>
      <c r="C731" s="18" t="n"/>
      <c r="D731" s="19" t="n"/>
      <c r="E731" s="21" t="n"/>
      <c r="F731" s="11">
        <f>IF(AND(B731="",C731="",D731=""),"",IF(NOT(ISNUMBER(B731)),"Needs a date",IF(D731="","Needs the job",IF(AND(C731&lt;&gt;"",C731&lt;&gt;"All beds",COUNTIF(Beds!$B$6:$B$35,C731)=0),"Not on Beds",""))))</f>
        <v/>
      </c>
      <c r="G731" s="1">
        <f>IF(ISNUMBER(B731),INT(B731),0)</f>
        <v/>
      </c>
      <c r="H731">
        <f>IF(AND(G731&gt;0,D731="Water",OR(C731="",C731="All beds")),G731,0)</f>
        <v/>
      </c>
    </row>
    <row r="732">
      <c r="A732" s="1" t="n"/>
      <c r="B732" s="17" t="n"/>
      <c r="C732" s="18" t="n"/>
      <c r="D732" s="19" t="n"/>
      <c r="E732" s="21" t="n"/>
      <c r="F732" s="11">
        <f>IF(AND(B732="",C732="",D732=""),"",IF(NOT(ISNUMBER(B732)),"Needs a date",IF(D732="","Needs the job",IF(AND(C732&lt;&gt;"",C732&lt;&gt;"All beds",COUNTIF(Beds!$B$6:$B$35,C732)=0),"Not on Beds",""))))</f>
        <v/>
      </c>
      <c r="G732" s="1">
        <f>IF(ISNUMBER(B732),INT(B732),0)</f>
        <v/>
      </c>
      <c r="H732">
        <f>IF(AND(G732&gt;0,D732="Water",OR(C732="",C732="All beds")),G732,0)</f>
        <v/>
      </c>
    </row>
    <row r="733">
      <c r="A733" s="1" t="n"/>
      <c r="B733" s="17" t="n"/>
      <c r="C733" s="18" t="n"/>
      <c r="D733" s="19" t="n"/>
      <c r="E733" s="21" t="n"/>
      <c r="F733" s="11">
        <f>IF(AND(B733="",C733="",D733=""),"",IF(NOT(ISNUMBER(B733)),"Needs a date",IF(D733="","Needs the job",IF(AND(C733&lt;&gt;"",C733&lt;&gt;"All beds",COUNTIF(Beds!$B$6:$B$35,C733)=0),"Not on Beds",""))))</f>
        <v/>
      </c>
      <c r="G733" s="1">
        <f>IF(ISNUMBER(B733),INT(B733),0)</f>
        <v/>
      </c>
      <c r="H733">
        <f>IF(AND(G733&gt;0,D733="Water",OR(C733="",C733="All beds")),G733,0)</f>
        <v/>
      </c>
    </row>
    <row r="734">
      <c r="A734" s="1" t="n"/>
      <c r="B734" s="17" t="n"/>
      <c r="C734" s="18" t="n"/>
      <c r="D734" s="19" t="n"/>
      <c r="E734" s="21" t="n"/>
      <c r="F734" s="11">
        <f>IF(AND(B734="",C734="",D734=""),"",IF(NOT(ISNUMBER(B734)),"Needs a date",IF(D734="","Needs the job",IF(AND(C734&lt;&gt;"",C734&lt;&gt;"All beds",COUNTIF(Beds!$B$6:$B$35,C734)=0),"Not on Beds",""))))</f>
        <v/>
      </c>
      <c r="G734" s="1">
        <f>IF(ISNUMBER(B734),INT(B734),0)</f>
        <v/>
      </c>
      <c r="H734">
        <f>IF(AND(G734&gt;0,D734="Water",OR(C734="",C734="All beds")),G734,0)</f>
        <v/>
      </c>
    </row>
    <row r="735">
      <c r="A735" s="1" t="n"/>
      <c r="B735" s="17" t="n"/>
      <c r="C735" s="18" t="n"/>
      <c r="D735" s="19" t="n"/>
      <c r="E735" s="21" t="n"/>
      <c r="F735" s="11">
        <f>IF(AND(B735="",C735="",D735=""),"",IF(NOT(ISNUMBER(B735)),"Needs a date",IF(D735="","Needs the job",IF(AND(C735&lt;&gt;"",C735&lt;&gt;"All beds",COUNTIF(Beds!$B$6:$B$35,C735)=0),"Not on Beds",""))))</f>
        <v/>
      </c>
      <c r="G735" s="1">
        <f>IF(ISNUMBER(B735),INT(B735),0)</f>
        <v/>
      </c>
      <c r="H735">
        <f>IF(AND(G735&gt;0,D735="Water",OR(C735="",C735="All beds")),G735,0)</f>
        <v/>
      </c>
    </row>
    <row r="736">
      <c r="A736" s="1" t="n"/>
      <c r="B736" s="17" t="n"/>
      <c r="C736" s="18" t="n"/>
      <c r="D736" s="19" t="n"/>
      <c r="E736" s="21" t="n"/>
      <c r="F736" s="11">
        <f>IF(AND(B736="",C736="",D736=""),"",IF(NOT(ISNUMBER(B736)),"Needs a date",IF(D736="","Needs the job",IF(AND(C736&lt;&gt;"",C736&lt;&gt;"All beds",COUNTIF(Beds!$B$6:$B$35,C736)=0),"Not on Beds",""))))</f>
        <v/>
      </c>
      <c r="G736" s="1">
        <f>IF(ISNUMBER(B736),INT(B736),0)</f>
        <v/>
      </c>
      <c r="H736">
        <f>IF(AND(G736&gt;0,D736="Water",OR(C736="",C736="All beds")),G736,0)</f>
        <v/>
      </c>
    </row>
    <row r="737">
      <c r="A737" s="1" t="n"/>
      <c r="B737" s="17" t="n"/>
      <c r="C737" s="18" t="n"/>
      <c r="D737" s="19" t="n"/>
      <c r="E737" s="21" t="n"/>
      <c r="F737" s="11">
        <f>IF(AND(B737="",C737="",D737=""),"",IF(NOT(ISNUMBER(B737)),"Needs a date",IF(D737="","Needs the job",IF(AND(C737&lt;&gt;"",C737&lt;&gt;"All beds",COUNTIF(Beds!$B$6:$B$35,C737)=0),"Not on Beds",""))))</f>
        <v/>
      </c>
      <c r="G737" s="1">
        <f>IF(ISNUMBER(B737),INT(B737),0)</f>
        <v/>
      </c>
      <c r="H737">
        <f>IF(AND(G737&gt;0,D737="Water",OR(C737="",C737="All beds")),G737,0)</f>
        <v/>
      </c>
    </row>
    <row r="738">
      <c r="A738" s="1" t="n"/>
      <c r="B738" s="17" t="n"/>
      <c r="C738" s="18" t="n"/>
      <c r="D738" s="19" t="n"/>
      <c r="E738" s="21" t="n"/>
      <c r="F738" s="11">
        <f>IF(AND(B738="",C738="",D738=""),"",IF(NOT(ISNUMBER(B738)),"Needs a date",IF(D738="","Needs the job",IF(AND(C738&lt;&gt;"",C738&lt;&gt;"All beds",COUNTIF(Beds!$B$6:$B$35,C738)=0),"Not on Beds",""))))</f>
        <v/>
      </c>
      <c r="G738" s="1">
        <f>IF(ISNUMBER(B738),INT(B738),0)</f>
        <v/>
      </c>
      <c r="H738">
        <f>IF(AND(G738&gt;0,D738="Water",OR(C738="",C738="All beds")),G738,0)</f>
        <v/>
      </c>
    </row>
    <row r="739">
      <c r="A739" s="1" t="n"/>
      <c r="B739" s="17" t="n"/>
      <c r="C739" s="18" t="n"/>
      <c r="D739" s="19" t="n"/>
      <c r="E739" s="21" t="n"/>
      <c r="F739" s="11">
        <f>IF(AND(B739="",C739="",D739=""),"",IF(NOT(ISNUMBER(B739)),"Needs a date",IF(D739="","Needs the job",IF(AND(C739&lt;&gt;"",C739&lt;&gt;"All beds",COUNTIF(Beds!$B$6:$B$35,C739)=0),"Not on Beds",""))))</f>
        <v/>
      </c>
      <c r="G739" s="1">
        <f>IF(ISNUMBER(B739),INT(B739),0)</f>
        <v/>
      </c>
      <c r="H739">
        <f>IF(AND(G739&gt;0,D739="Water",OR(C739="",C739="All beds")),G739,0)</f>
        <v/>
      </c>
    </row>
    <row r="740">
      <c r="A740" s="1" t="n"/>
      <c r="B740" s="17" t="n"/>
      <c r="C740" s="18" t="n"/>
      <c r="D740" s="19" t="n"/>
      <c r="E740" s="21" t="n"/>
      <c r="F740" s="11">
        <f>IF(AND(B740="",C740="",D740=""),"",IF(NOT(ISNUMBER(B740)),"Needs a date",IF(D740="","Needs the job",IF(AND(C740&lt;&gt;"",C740&lt;&gt;"All beds",COUNTIF(Beds!$B$6:$B$35,C740)=0),"Not on Beds",""))))</f>
        <v/>
      </c>
      <c r="G740" s="1">
        <f>IF(ISNUMBER(B740),INT(B740),0)</f>
        <v/>
      </c>
      <c r="H740">
        <f>IF(AND(G740&gt;0,D740="Water",OR(C740="",C740="All beds")),G740,0)</f>
        <v/>
      </c>
    </row>
    <row r="741">
      <c r="A741" s="1" t="n"/>
      <c r="B741" s="17" t="n"/>
      <c r="C741" s="18" t="n"/>
      <c r="D741" s="19" t="n"/>
      <c r="E741" s="21" t="n"/>
      <c r="F741" s="11">
        <f>IF(AND(B741="",C741="",D741=""),"",IF(NOT(ISNUMBER(B741)),"Needs a date",IF(D741="","Needs the job",IF(AND(C741&lt;&gt;"",C741&lt;&gt;"All beds",COUNTIF(Beds!$B$6:$B$35,C741)=0),"Not on Beds",""))))</f>
        <v/>
      </c>
      <c r="G741" s="1">
        <f>IF(ISNUMBER(B741),INT(B741),0)</f>
        <v/>
      </c>
      <c r="H741">
        <f>IF(AND(G741&gt;0,D741="Water",OR(C741="",C741="All beds")),G741,0)</f>
        <v/>
      </c>
    </row>
    <row r="742">
      <c r="A742" s="1" t="n"/>
      <c r="B742" s="17" t="n"/>
      <c r="C742" s="18" t="n"/>
      <c r="D742" s="19" t="n"/>
      <c r="E742" s="21" t="n"/>
      <c r="F742" s="11">
        <f>IF(AND(B742="",C742="",D742=""),"",IF(NOT(ISNUMBER(B742)),"Needs a date",IF(D742="","Needs the job",IF(AND(C742&lt;&gt;"",C742&lt;&gt;"All beds",COUNTIF(Beds!$B$6:$B$35,C742)=0),"Not on Beds",""))))</f>
        <v/>
      </c>
      <c r="G742" s="1">
        <f>IF(ISNUMBER(B742),INT(B742),0)</f>
        <v/>
      </c>
      <c r="H742">
        <f>IF(AND(G742&gt;0,D742="Water",OR(C742="",C742="All beds")),G742,0)</f>
        <v/>
      </c>
    </row>
    <row r="743">
      <c r="A743" s="1" t="n"/>
      <c r="B743" s="17" t="n"/>
      <c r="C743" s="18" t="n"/>
      <c r="D743" s="19" t="n"/>
      <c r="E743" s="21" t="n"/>
      <c r="F743" s="11">
        <f>IF(AND(B743="",C743="",D743=""),"",IF(NOT(ISNUMBER(B743)),"Needs a date",IF(D743="","Needs the job",IF(AND(C743&lt;&gt;"",C743&lt;&gt;"All beds",COUNTIF(Beds!$B$6:$B$35,C743)=0),"Not on Beds",""))))</f>
        <v/>
      </c>
      <c r="G743" s="1">
        <f>IF(ISNUMBER(B743),INT(B743),0)</f>
        <v/>
      </c>
      <c r="H743">
        <f>IF(AND(G743&gt;0,D743="Water",OR(C743="",C743="All beds")),G743,0)</f>
        <v/>
      </c>
    </row>
    <row r="744">
      <c r="A744" s="1" t="n"/>
      <c r="B744" s="17" t="n"/>
      <c r="C744" s="18" t="n"/>
      <c r="D744" s="19" t="n"/>
      <c r="E744" s="21" t="n"/>
      <c r="F744" s="11">
        <f>IF(AND(B744="",C744="",D744=""),"",IF(NOT(ISNUMBER(B744)),"Needs a date",IF(D744="","Needs the job",IF(AND(C744&lt;&gt;"",C744&lt;&gt;"All beds",COUNTIF(Beds!$B$6:$B$35,C744)=0),"Not on Beds",""))))</f>
        <v/>
      </c>
      <c r="G744" s="1">
        <f>IF(ISNUMBER(B744),INT(B744),0)</f>
        <v/>
      </c>
      <c r="H744">
        <f>IF(AND(G744&gt;0,D744="Water",OR(C744="",C744="All beds")),G744,0)</f>
        <v/>
      </c>
    </row>
    <row r="745">
      <c r="A745" s="1" t="n"/>
      <c r="B745" s="17" t="n"/>
      <c r="C745" s="18" t="n"/>
      <c r="D745" s="19" t="n"/>
      <c r="E745" s="21" t="n"/>
      <c r="F745" s="11">
        <f>IF(AND(B745="",C745="",D745=""),"",IF(NOT(ISNUMBER(B745)),"Needs a date",IF(D745="","Needs the job",IF(AND(C745&lt;&gt;"",C745&lt;&gt;"All beds",COUNTIF(Beds!$B$6:$B$35,C745)=0),"Not on Beds",""))))</f>
        <v/>
      </c>
      <c r="G745" s="1">
        <f>IF(ISNUMBER(B745),INT(B745),0)</f>
        <v/>
      </c>
      <c r="H745">
        <f>IF(AND(G745&gt;0,D745="Water",OR(C745="",C745="All beds")),G745,0)</f>
        <v/>
      </c>
    </row>
    <row r="746">
      <c r="A746" s="1" t="n"/>
      <c r="B746" s="17" t="n"/>
      <c r="C746" s="18" t="n"/>
      <c r="D746" s="19" t="n"/>
      <c r="E746" s="21" t="n"/>
      <c r="F746" s="11">
        <f>IF(AND(B746="",C746="",D746=""),"",IF(NOT(ISNUMBER(B746)),"Needs a date",IF(D746="","Needs the job",IF(AND(C746&lt;&gt;"",C746&lt;&gt;"All beds",COUNTIF(Beds!$B$6:$B$35,C746)=0),"Not on Beds",""))))</f>
        <v/>
      </c>
      <c r="G746" s="1">
        <f>IF(ISNUMBER(B746),INT(B746),0)</f>
        <v/>
      </c>
      <c r="H746">
        <f>IF(AND(G746&gt;0,D746="Water",OR(C746="",C746="All beds")),G746,0)</f>
        <v/>
      </c>
    </row>
    <row r="747">
      <c r="A747" s="1" t="n"/>
      <c r="B747" s="17" t="n"/>
      <c r="C747" s="18" t="n"/>
      <c r="D747" s="19" t="n"/>
      <c r="E747" s="21" t="n"/>
      <c r="F747" s="11">
        <f>IF(AND(B747="",C747="",D747=""),"",IF(NOT(ISNUMBER(B747)),"Needs a date",IF(D747="","Needs the job",IF(AND(C747&lt;&gt;"",C747&lt;&gt;"All beds",COUNTIF(Beds!$B$6:$B$35,C747)=0),"Not on Beds",""))))</f>
        <v/>
      </c>
      <c r="G747" s="1">
        <f>IF(ISNUMBER(B747),INT(B747),0)</f>
        <v/>
      </c>
      <c r="H747">
        <f>IF(AND(G747&gt;0,D747="Water",OR(C747="",C747="All beds")),G747,0)</f>
        <v/>
      </c>
    </row>
    <row r="748">
      <c r="A748" s="1" t="n"/>
      <c r="B748" s="17" t="n"/>
      <c r="C748" s="18" t="n"/>
      <c r="D748" s="19" t="n"/>
      <c r="E748" s="21" t="n"/>
      <c r="F748" s="11">
        <f>IF(AND(B748="",C748="",D748=""),"",IF(NOT(ISNUMBER(B748)),"Needs a date",IF(D748="","Needs the job",IF(AND(C748&lt;&gt;"",C748&lt;&gt;"All beds",COUNTIF(Beds!$B$6:$B$35,C748)=0),"Not on Beds",""))))</f>
        <v/>
      </c>
      <c r="G748" s="1">
        <f>IF(ISNUMBER(B748),INT(B748),0)</f>
        <v/>
      </c>
      <c r="H748">
        <f>IF(AND(G748&gt;0,D748="Water",OR(C748="",C748="All beds")),G748,0)</f>
        <v/>
      </c>
    </row>
    <row r="749">
      <c r="A749" s="1" t="n"/>
      <c r="B749" s="17" t="n"/>
      <c r="C749" s="18" t="n"/>
      <c r="D749" s="19" t="n"/>
      <c r="E749" s="21" t="n"/>
      <c r="F749" s="11">
        <f>IF(AND(B749="",C749="",D749=""),"",IF(NOT(ISNUMBER(B749)),"Needs a date",IF(D749="","Needs the job",IF(AND(C749&lt;&gt;"",C749&lt;&gt;"All beds",COUNTIF(Beds!$B$6:$B$35,C749)=0),"Not on Beds",""))))</f>
        <v/>
      </c>
      <c r="G749" s="1">
        <f>IF(ISNUMBER(B749),INT(B749),0)</f>
        <v/>
      </c>
      <c r="H749">
        <f>IF(AND(G749&gt;0,D749="Water",OR(C749="",C749="All beds")),G749,0)</f>
        <v/>
      </c>
    </row>
    <row r="750">
      <c r="A750" s="1" t="n"/>
      <c r="B750" s="17" t="n"/>
      <c r="C750" s="18" t="n"/>
      <c r="D750" s="19" t="n"/>
      <c r="E750" s="21" t="n"/>
      <c r="F750" s="11">
        <f>IF(AND(B750="",C750="",D750=""),"",IF(NOT(ISNUMBER(B750)),"Needs a date",IF(D750="","Needs the job",IF(AND(C750&lt;&gt;"",C750&lt;&gt;"All beds",COUNTIF(Beds!$B$6:$B$35,C750)=0),"Not on Beds",""))))</f>
        <v/>
      </c>
      <c r="G750" s="1">
        <f>IF(ISNUMBER(B750),INT(B750),0)</f>
        <v/>
      </c>
      <c r="H750">
        <f>IF(AND(G750&gt;0,D750="Water",OR(C750="",C750="All beds")),G750,0)</f>
        <v/>
      </c>
    </row>
    <row r="751">
      <c r="A751" s="1" t="n"/>
      <c r="B751" s="17" t="n"/>
      <c r="C751" s="18" t="n"/>
      <c r="D751" s="19" t="n"/>
      <c r="E751" s="21" t="n"/>
      <c r="F751" s="11">
        <f>IF(AND(B751="",C751="",D751=""),"",IF(NOT(ISNUMBER(B751)),"Needs a date",IF(D751="","Needs the job",IF(AND(C751&lt;&gt;"",C751&lt;&gt;"All beds",COUNTIF(Beds!$B$6:$B$35,C751)=0),"Not on Beds",""))))</f>
        <v/>
      </c>
      <c r="G751" s="1">
        <f>IF(ISNUMBER(B751),INT(B751),0)</f>
        <v/>
      </c>
      <c r="H751">
        <f>IF(AND(G751&gt;0,D751="Water",OR(C751="",C751="All beds")),G751,0)</f>
        <v/>
      </c>
    </row>
    <row r="752">
      <c r="A752" s="1" t="n"/>
      <c r="B752" s="17" t="n"/>
      <c r="C752" s="18" t="n"/>
      <c r="D752" s="19" t="n"/>
      <c r="E752" s="21" t="n"/>
      <c r="F752" s="11">
        <f>IF(AND(B752="",C752="",D752=""),"",IF(NOT(ISNUMBER(B752)),"Needs a date",IF(D752="","Needs the job",IF(AND(C752&lt;&gt;"",C752&lt;&gt;"All beds",COUNTIF(Beds!$B$6:$B$35,C752)=0),"Not on Beds",""))))</f>
        <v/>
      </c>
      <c r="G752" s="1">
        <f>IF(ISNUMBER(B752),INT(B752),0)</f>
        <v/>
      </c>
      <c r="H752">
        <f>IF(AND(G752&gt;0,D752="Water",OR(C752="",C752="All beds")),G752,0)</f>
        <v/>
      </c>
    </row>
    <row r="753">
      <c r="A753" s="1" t="n"/>
      <c r="B753" s="17" t="n"/>
      <c r="C753" s="18" t="n"/>
      <c r="D753" s="19" t="n"/>
      <c r="E753" s="21" t="n"/>
      <c r="F753" s="11">
        <f>IF(AND(B753="",C753="",D753=""),"",IF(NOT(ISNUMBER(B753)),"Needs a date",IF(D753="","Needs the job",IF(AND(C753&lt;&gt;"",C753&lt;&gt;"All beds",COUNTIF(Beds!$B$6:$B$35,C753)=0),"Not on Beds",""))))</f>
        <v/>
      </c>
      <c r="G753" s="1">
        <f>IF(ISNUMBER(B753),INT(B753),0)</f>
        <v/>
      </c>
      <c r="H753">
        <f>IF(AND(G753&gt;0,D753="Water",OR(C753="",C753="All beds")),G753,0)</f>
        <v/>
      </c>
    </row>
    <row r="754">
      <c r="A754" s="1" t="n"/>
      <c r="B754" s="17" t="n"/>
      <c r="C754" s="18" t="n"/>
      <c r="D754" s="19" t="n"/>
      <c r="E754" s="21" t="n"/>
      <c r="F754" s="11">
        <f>IF(AND(B754="",C754="",D754=""),"",IF(NOT(ISNUMBER(B754)),"Needs a date",IF(D754="","Needs the job",IF(AND(C754&lt;&gt;"",C754&lt;&gt;"All beds",COUNTIF(Beds!$B$6:$B$35,C754)=0),"Not on Beds",""))))</f>
        <v/>
      </c>
      <c r="G754" s="1">
        <f>IF(ISNUMBER(B754),INT(B754),0)</f>
        <v/>
      </c>
      <c r="H754">
        <f>IF(AND(G754&gt;0,D754="Water",OR(C754="",C754="All beds")),G754,0)</f>
        <v/>
      </c>
    </row>
    <row r="755">
      <c r="A755" s="1" t="n"/>
      <c r="B755" s="17" t="n"/>
      <c r="C755" s="18" t="n"/>
      <c r="D755" s="19" t="n"/>
      <c r="E755" s="21" t="n"/>
      <c r="F755" s="11">
        <f>IF(AND(B755="",C755="",D755=""),"",IF(NOT(ISNUMBER(B755)),"Needs a date",IF(D755="","Needs the job",IF(AND(C755&lt;&gt;"",C755&lt;&gt;"All beds",COUNTIF(Beds!$B$6:$B$35,C755)=0),"Not on Beds",""))))</f>
        <v/>
      </c>
      <c r="G755" s="1">
        <f>IF(ISNUMBER(B755),INT(B755),0)</f>
        <v/>
      </c>
      <c r="H755">
        <f>IF(AND(G755&gt;0,D755="Water",OR(C755="",C755="All beds")),G755,0)</f>
        <v/>
      </c>
    </row>
    <row r="756">
      <c r="A756" s="1" t="n"/>
      <c r="B756" s="17" t="n"/>
      <c r="C756" s="18" t="n"/>
      <c r="D756" s="19" t="n"/>
      <c r="E756" s="21" t="n"/>
      <c r="F756" s="11">
        <f>IF(AND(B756="",C756="",D756=""),"",IF(NOT(ISNUMBER(B756)),"Needs a date",IF(D756="","Needs the job",IF(AND(C756&lt;&gt;"",C756&lt;&gt;"All beds",COUNTIF(Beds!$B$6:$B$35,C756)=0),"Not on Beds",""))))</f>
        <v/>
      </c>
      <c r="G756" s="1">
        <f>IF(ISNUMBER(B756),INT(B756),0)</f>
        <v/>
      </c>
      <c r="H756">
        <f>IF(AND(G756&gt;0,D756="Water",OR(C756="",C756="All beds")),G756,0)</f>
        <v/>
      </c>
    </row>
    <row r="757">
      <c r="A757" s="1" t="n"/>
      <c r="B757" s="17" t="n"/>
      <c r="C757" s="18" t="n"/>
      <c r="D757" s="19" t="n"/>
      <c r="E757" s="21" t="n"/>
      <c r="F757" s="11">
        <f>IF(AND(B757="",C757="",D757=""),"",IF(NOT(ISNUMBER(B757)),"Needs a date",IF(D757="","Needs the job",IF(AND(C757&lt;&gt;"",C757&lt;&gt;"All beds",COUNTIF(Beds!$B$6:$B$35,C757)=0),"Not on Beds",""))))</f>
        <v/>
      </c>
      <c r="G757" s="1">
        <f>IF(ISNUMBER(B757),INT(B757),0)</f>
        <v/>
      </c>
      <c r="H757">
        <f>IF(AND(G757&gt;0,D757="Water",OR(C757="",C757="All beds")),G757,0)</f>
        <v/>
      </c>
    </row>
    <row r="758">
      <c r="A758" s="1" t="n"/>
      <c r="B758" s="17" t="n"/>
      <c r="C758" s="18" t="n"/>
      <c r="D758" s="19" t="n"/>
      <c r="E758" s="21" t="n"/>
      <c r="F758" s="11">
        <f>IF(AND(B758="",C758="",D758=""),"",IF(NOT(ISNUMBER(B758)),"Needs a date",IF(D758="","Needs the job",IF(AND(C758&lt;&gt;"",C758&lt;&gt;"All beds",COUNTIF(Beds!$B$6:$B$35,C758)=0),"Not on Beds",""))))</f>
        <v/>
      </c>
      <c r="G758" s="1">
        <f>IF(ISNUMBER(B758),INT(B758),0)</f>
        <v/>
      </c>
      <c r="H758">
        <f>IF(AND(G758&gt;0,D758="Water",OR(C758="",C758="All beds")),G758,0)</f>
        <v/>
      </c>
    </row>
    <row r="759">
      <c r="A759" s="1" t="n"/>
      <c r="B759" s="17" t="n"/>
      <c r="C759" s="18" t="n"/>
      <c r="D759" s="19" t="n"/>
      <c r="E759" s="21" t="n"/>
      <c r="F759" s="11">
        <f>IF(AND(B759="",C759="",D759=""),"",IF(NOT(ISNUMBER(B759)),"Needs a date",IF(D759="","Needs the job",IF(AND(C759&lt;&gt;"",C759&lt;&gt;"All beds",COUNTIF(Beds!$B$6:$B$35,C759)=0),"Not on Beds",""))))</f>
        <v/>
      </c>
      <c r="G759" s="1">
        <f>IF(ISNUMBER(B759),INT(B759),0)</f>
        <v/>
      </c>
      <c r="H759">
        <f>IF(AND(G759&gt;0,D759="Water",OR(C759="",C759="All beds")),G759,0)</f>
        <v/>
      </c>
    </row>
    <row r="760">
      <c r="A760" s="1" t="n"/>
      <c r="B760" s="17" t="n"/>
      <c r="C760" s="18" t="n"/>
      <c r="D760" s="19" t="n"/>
      <c r="E760" s="21" t="n"/>
      <c r="F760" s="11">
        <f>IF(AND(B760="",C760="",D760=""),"",IF(NOT(ISNUMBER(B760)),"Needs a date",IF(D760="","Needs the job",IF(AND(C760&lt;&gt;"",C760&lt;&gt;"All beds",COUNTIF(Beds!$B$6:$B$35,C760)=0),"Not on Beds",""))))</f>
        <v/>
      </c>
      <c r="G760" s="1">
        <f>IF(ISNUMBER(B760),INT(B760),0)</f>
        <v/>
      </c>
      <c r="H760">
        <f>IF(AND(G760&gt;0,D760="Water",OR(C760="",C760="All beds")),G760,0)</f>
        <v/>
      </c>
    </row>
    <row r="761">
      <c r="A761" s="1" t="n"/>
      <c r="B761" s="17" t="n"/>
      <c r="C761" s="18" t="n"/>
      <c r="D761" s="19" t="n"/>
      <c r="E761" s="21" t="n"/>
      <c r="F761" s="11">
        <f>IF(AND(B761="",C761="",D761=""),"",IF(NOT(ISNUMBER(B761)),"Needs a date",IF(D761="","Needs the job",IF(AND(C761&lt;&gt;"",C761&lt;&gt;"All beds",COUNTIF(Beds!$B$6:$B$35,C761)=0),"Not on Beds",""))))</f>
        <v/>
      </c>
      <c r="G761" s="1">
        <f>IF(ISNUMBER(B761),INT(B761),0)</f>
        <v/>
      </c>
      <c r="H761">
        <f>IF(AND(G761&gt;0,D761="Water",OR(C761="",C761="All beds")),G761,0)</f>
        <v/>
      </c>
    </row>
    <row r="762">
      <c r="A762" s="1" t="n"/>
      <c r="B762" s="17" t="n"/>
      <c r="C762" s="18" t="n"/>
      <c r="D762" s="19" t="n"/>
      <c r="E762" s="21" t="n"/>
      <c r="F762" s="11">
        <f>IF(AND(B762="",C762="",D762=""),"",IF(NOT(ISNUMBER(B762)),"Needs a date",IF(D762="","Needs the job",IF(AND(C762&lt;&gt;"",C762&lt;&gt;"All beds",COUNTIF(Beds!$B$6:$B$35,C762)=0),"Not on Beds",""))))</f>
        <v/>
      </c>
      <c r="G762" s="1">
        <f>IF(ISNUMBER(B762),INT(B762),0)</f>
        <v/>
      </c>
      <c r="H762">
        <f>IF(AND(G762&gt;0,D762="Water",OR(C762="",C762="All beds")),G762,0)</f>
        <v/>
      </c>
    </row>
    <row r="763">
      <c r="A763" s="1" t="n"/>
      <c r="B763" s="17" t="n"/>
      <c r="C763" s="18" t="n"/>
      <c r="D763" s="19" t="n"/>
      <c r="E763" s="21" t="n"/>
      <c r="F763" s="11">
        <f>IF(AND(B763="",C763="",D763=""),"",IF(NOT(ISNUMBER(B763)),"Needs a date",IF(D763="","Needs the job",IF(AND(C763&lt;&gt;"",C763&lt;&gt;"All beds",COUNTIF(Beds!$B$6:$B$35,C763)=0),"Not on Beds",""))))</f>
        <v/>
      </c>
      <c r="G763" s="1">
        <f>IF(ISNUMBER(B763),INT(B763),0)</f>
        <v/>
      </c>
      <c r="H763">
        <f>IF(AND(G763&gt;0,D763="Water",OR(C763="",C763="All beds")),G763,0)</f>
        <v/>
      </c>
    </row>
    <row r="764">
      <c r="A764" s="1" t="n"/>
      <c r="B764" s="17" t="n"/>
      <c r="C764" s="18" t="n"/>
      <c r="D764" s="19" t="n"/>
      <c r="E764" s="21" t="n"/>
      <c r="F764" s="11">
        <f>IF(AND(B764="",C764="",D764=""),"",IF(NOT(ISNUMBER(B764)),"Needs a date",IF(D764="","Needs the job",IF(AND(C764&lt;&gt;"",C764&lt;&gt;"All beds",COUNTIF(Beds!$B$6:$B$35,C764)=0),"Not on Beds",""))))</f>
        <v/>
      </c>
      <c r="G764" s="1">
        <f>IF(ISNUMBER(B764),INT(B764),0)</f>
        <v/>
      </c>
      <c r="H764">
        <f>IF(AND(G764&gt;0,D764="Water",OR(C764="",C764="All beds")),G764,0)</f>
        <v/>
      </c>
    </row>
    <row r="765">
      <c r="A765" s="1" t="n"/>
      <c r="B765" s="17" t="n"/>
      <c r="C765" s="18" t="n"/>
      <c r="D765" s="19" t="n"/>
      <c r="E765" s="21" t="n"/>
      <c r="F765" s="11">
        <f>IF(AND(B765="",C765="",D765=""),"",IF(NOT(ISNUMBER(B765)),"Needs a date",IF(D765="","Needs the job",IF(AND(C765&lt;&gt;"",C765&lt;&gt;"All beds",COUNTIF(Beds!$B$6:$B$35,C765)=0),"Not on Beds",""))))</f>
        <v/>
      </c>
      <c r="G765" s="1">
        <f>IF(ISNUMBER(B765),INT(B765),0)</f>
        <v/>
      </c>
      <c r="H765">
        <f>IF(AND(G765&gt;0,D765="Water",OR(C765="",C765="All beds")),G765,0)</f>
        <v/>
      </c>
    </row>
    <row r="766">
      <c r="A766" s="1" t="n"/>
      <c r="B766" s="17" t="n"/>
      <c r="C766" s="18" t="n"/>
      <c r="D766" s="19" t="n"/>
      <c r="E766" s="21" t="n"/>
      <c r="F766" s="11">
        <f>IF(AND(B766="",C766="",D766=""),"",IF(NOT(ISNUMBER(B766)),"Needs a date",IF(D766="","Needs the job",IF(AND(C766&lt;&gt;"",C766&lt;&gt;"All beds",COUNTIF(Beds!$B$6:$B$35,C766)=0),"Not on Beds",""))))</f>
        <v/>
      </c>
      <c r="G766" s="1">
        <f>IF(ISNUMBER(B766),INT(B766),0)</f>
        <v/>
      </c>
      <c r="H766">
        <f>IF(AND(G766&gt;0,D766="Water",OR(C766="",C766="All beds")),G766,0)</f>
        <v/>
      </c>
    </row>
    <row r="767">
      <c r="A767" s="1" t="n"/>
      <c r="B767" s="17" t="n"/>
      <c r="C767" s="18" t="n"/>
      <c r="D767" s="19" t="n"/>
      <c r="E767" s="21" t="n"/>
      <c r="F767" s="11">
        <f>IF(AND(B767="",C767="",D767=""),"",IF(NOT(ISNUMBER(B767)),"Needs a date",IF(D767="","Needs the job",IF(AND(C767&lt;&gt;"",C767&lt;&gt;"All beds",COUNTIF(Beds!$B$6:$B$35,C767)=0),"Not on Beds",""))))</f>
        <v/>
      </c>
      <c r="G767" s="1">
        <f>IF(ISNUMBER(B767),INT(B767),0)</f>
        <v/>
      </c>
      <c r="H767">
        <f>IF(AND(G767&gt;0,D767="Water",OR(C767="",C767="All beds")),G767,0)</f>
        <v/>
      </c>
    </row>
    <row r="768">
      <c r="A768" s="1" t="n"/>
      <c r="B768" s="17" t="n"/>
      <c r="C768" s="18" t="n"/>
      <c r="D768" s="19" t="n"/>
      <c r="E768" s="21" t="n"/>
      <c r="F768" s="11">
        <f>IF(AND(B768="",C768="",D768=""),"",IF(NOT(ISNUMBER(B768)),"Needs a date",IF(D768="","Needs the job",IF(AND(C768&lt;&gt;"",C768&lt;&gt;"All beds",COUNTIF(Beds!$B$6:$B$35,C768)=0),"Not on Beds",""))))</f>
        <v/>
      </c>
      <c r="G768" s="1">
        <f>IF(ISNUMBER(B768),INT(B768),0)</f>
        <v/>
      </c>
      <c r="H768">
        <f>IF(AND(G768&gt;0,D768="Water",OR(C768="",C768="All beds")),G768,0)</f>
        <v/>
      </c>
    </row>
    <row r="769">
      <c r="A769" s="1" t="n"/>
      <c r="B769" s="17" t="n"/>
      <c r="C769" s="18" t="n"/>
      <c r="D769" s="19" t="n"/>
      <c r="E769" s="21" t="n"/>
      <c r="F769" s="11">
        <f>IF(AND(B769="",C769="",D769=""),"",IF(NOT(ISNUMBER(B769)),"Needs a date",IF(D769="","Needs the job",IF(AND(C769&lt;&gt;"",C769&lt;&gt;"All beds",COUNTIF(Beds!$B$6:$B$35,C769)=0),"Not on Beds",""))))</f>
        <v/>
      </c>
      <c r="G769" s="1">
        <f>IF(ISNUMBER(B769),INT(B769),0)</f>
        <v/>
      </c>
      <c r="H769">
        <f>IF(AND(G769&gt;0,D769="Water",OR(C769="",C769="All beds")),G769,0)</f>
        <v/>
      </c>
    </row>
    <row r="770">
      <c r="A770" s="1" t="n"/>
      <c r="B770" s="17" t="n"/>
      <c r="C770" s="18" t="n"/>
      <c r="D770" s="19" t="n"/>
      <c r="E770" s="21" t="n"/>
      <c r="F770" s="11">
        <f>IF(AND(B770="",C770="",D770=""),"",IF(NOT(ISNUMBER(B770)),"Needs a date",IF(D770="","Needs the job",IF(AND(C770&lt;&gt;"",C770&lt;&gt;"All beds",COUNTIF(Beds!$B$6:$B$35,C770)=0),"Not on Beds",""))))</f>
        <v/>
      </c>
      <c r="G770" s="1">
        <f>IF(ISNUMBER(B770),INT(B770),0)</f>
        <v/>
      </c>
      <c r="H770">
        <f>IF(AND(G770&gt;0,D770="Water",OR(C770="",C770="All beds")),G770,0)</f>
        <v/>
      </c>
    </row>
    <row r="771">
      <c r="A771" s="1" t="n"/>
      <c r="B771" s="17" t="n"/>
      <c r="C771" s="18" t="n"/>
      <c r="D771" s="19" t="n"/>
      <c r="E771" s="21" t="n"/>
      <c r="F771" s="11">
        <f>IF(AND(B771="",C771="",D771=""),"",IF(NOT(ISNUMBER(B771)),"Needs a date",IF(D771="","Needs the job",IF(AND(C771&lt;&gt;"",C771&lt;&gt;"All beds",COUNTIF(Beds!$B$6:$B$35,C771)=0),"Not on Beds",""))))</f>
        <v/>
      </c>
      <c r="G771" s="1">
        <f>IF(ISNUMBER(B771),INT(B771),0)</f>
        <v/>
      </c>
      <c r="H771">
        <f>IF(AND(G771&gt;0,D771="Water",OR(C771="",C771="All beds")),G771,0)</f>
        <v/>
      </c>
    </row>
    <row r="772">
      <c r="A772" s="1" t="n"/>
      <c r="B772" s="17" t="n"/>
      <c r="C772" s="18" t="n"/>
      <c r="D772" s="19" t="n"/>
      <c r="E772" s="21" t="n"/>
      <c r="F772" s="11">
        <f>IF(AND(B772="",C772="",D772=""),"",IF(NOT(ISNUMBER(B772)),"Needs a date",IF(D772="","Needs the job",IF(AND(C772&lt;&gt;"",C772&lt;&gt;"All beds",COUNTIF(Beds!$B$6:$B$35,C772)=0),"Not on Beds",""))))</f>
        <v/>
      </c>
      <c r="G772" s="1">
        <f>IF(ISNUMBER(B772),INT(B772),0)</f>
        <v/>
      </c>
      <c r="H772">
        <f>IF(AND(G772&gt;0,D772="Water",OR(C772="",C772="All beds")),G772,0)</f>
        <v/>
      </c>
    </row>
    <row r="773">
      <c r="A773" s="1" t="n"/>
      <c r="B773" s="17" t="n"/>
      <c r="C773" s="18" t="n"/>
      <c r="D773" s="19" t="n"/>
      <c r="E773" s="21" t="n"/>
      <c r="F773" s="11">
        <f>IF(AND(B773="",C773="",D773=""),"",IF(NOT(ISNUMBER(B773)),"Needs a date",IF(D773="","Needs the job",IF(AND(C773&lt;&gt;"",C773&lt;&gt;"All beds",COUNTIF(Beds!$B$6:$B$35,C773)=0),"Not on Beds",""))))</f>
        <v/>
      </c>
      <c r="G773" s="1">
        <f>IF(ISNUMBER(B773),INT(B773),0)</f>
        <v/>
      </c>
      <c r="H773">
        <f>IF(AND(G773&gt;0,D773="Water",OR(C773="",C773="All beds")),G773,0)</f>
        <v/>
      </c>
    </row>
    <row r="774">
      <c r="A774" s="1" t="n"/>
      <c r="B774" s="17" t="n"/>
      <c r="C774" s="18" t="n"/>
      <c r="D774" s="19" t="n"/>
      <c r="E774" s="21" t="n"/>
      <c r="F774" s="11">
        <f>IF(AND(B774="",C774="",D774=""),"",IF(NOT(ISNUMBER(B774)),"Needs a date",IF(D774="","Needs the job",IF(AND(C774&lt;&gt;"",C774&lt;&gt;"All beds",COUNTIF(Beds!$B$6:$B$35,C774)=0),"Not on Beds",""))))</f>
        <v/>
      </c>
      <c r="G774" s="1">
        <f>IF(ISNUMBER(B774),INT(B774),0)</f>
        <v/>
      </c>
      <c r="H774">
        <f>IF(AND(G774&gt;0,D774="Water",OR(C774="",C774="All beds")),G774,0)</f>
        <v/>
      </c>
    </row>
    <row r="775">
      <c r="A775" s="1" t="n"/>
      <c r="B775" s="17" t="n"/>
      <c r="C775" s="18" t="n"/>
      <c r="D775" s="19" t="n"/>
      <c r="E775" s="21" t="n"/>
      <c r="F775" s="11">
        <f>IF(AND(B775="",C775="",D775=""),"",IF(NOT(ISNUMBER(B775)),"Needs a date",IF(D775="","Needs the job",IF(AND(C775&lt;&gt;"",C775&lt;&gt;"All beds",COUNTIF(Beds!$B$6:$B$35,C775)=0),"Not on Beds",""))))</f>
        <v/>
      </c>
      <c r="G775" s="1">
        <f>IF(ISNUMBER(B775),INT(B775),0)</f>
        <v/>
      </c>
      <c r="H775">
        <f>IF(AND(G775&gt;0,D775="Water",OR(C775="",C775="All beds")),G775,0)</f>
        <v/>
      </c>
    </row>
    <row r="776">
      <c r="A776" s="1" t="n"/>
      <c r="B776" s="17" t="n"/>
      <c r="C776" s="18" t="n"/>
      <c r="D776" s="19" t="n"/>
      <c r="E776" s="21" t="n"/>
      <c r="F776" s="11">
        <f>IF(AND(B776="",C776="",D776=""),"",IF(NOT(ISNUMBER(B776)),"Needs a date",IF(D776="","Needs the job",IF(AND(C776&lt;&gt;"",C776&lt;&gt;"All beds",COUNTIF(Beds!$B$6:$B$35,C776)=0),"Not on Beds",""))))</f>
        <v/>
      </c>
      <c r="G776" s="1">
        <f>IF(ISNUMBER(B776),INT(B776),0)</f>
        <v/>
      </c>
      <c r="H776">
        <f>IF(AND(G776&gt;0,D776="Water",OR(C776="",C776="All beds")),G776,0)</f>
        <v/>
      </c>
    </row>
    <row r="777">
      <c r="A777" s="1" t="n"/>
      <c r="B777" s="17" t="n"/>
      <c r="C777" s="18" t="n"/>
      <c r="D777" s="19" t="n"/>
      <c r="E777" s="21" t="n"/>
      <c r="F777" s="11">
        <f>IF(AND(B777="",C777="",D777=""),"",IF(NOT(ISNUMBER(B777)),"Needs a date",IF(D777="","Needs the job",IF(AND(C777&lt;&gt;"",C777&lt;&gt;"All beds",COUNTIF(Beds!$B$6:$B$35,C777)=0),"Not on Beds",""))))</f>
        <v/>
      </c>
      <c r="G777" s="1">
        <f>IF(ISNUMBER(B777),INT(B777),0)</f>
        <v/>
      </c>
      <c r="H777">
        <f>IF(AND(G777&gt;0,D777="Water",OR(C777="",C777="All beds")),G777,0)</f>
        <v/>
      </c>
    </row>
    <row r="778">
      <c r="A778" s="1" t="n"/>
      <c r="B778" s="17" t="n"/>
      <c r="C778" s="18" t="n"/>
      <c r="D778" s="19" t="n"/>
      <c r="E778" s="21" t="n"/>
      <c r="F778" s="11">
        <f>IF(AND(B778="",C778="",D778=""),"",IF(NOT(ISNUMBER(B778)),"Needs a date",IF(D778="","Needs the job",IF(AND(C778&lt;&gt;"",C778&lt;&gt;"All beds",COUNTIF(Beds!$B$6:$B$35,C778)=0),"Not on Beds",""))))</f>
        <v/>
      </c>
      <c r="G778" s="1">
        <f>IF(ISNUMBER(B778),INT(B778),0)</f>
        <v/>
      </c>
      <c r="H778">
        <f>IF(AND(G778&gt;0,D778="Water",OR(C778="",C778="All beds")),G778,0)</f>
        <v/>
      </c>
    </row>
    <row r="779">
      <c r="A779" s="1" t="n"/>
      <c r="B779" s="17" t="n"/>
      <c r="C779" s="18" t="n"/>
      <c r="D779" s="19" t="n"/>
      <c r="E779" s="21" t="n"/>
      <c r="F779" s="11">
        <f>IF(AND(B779="",C779="",D779=""),"",IF(NOT(ISNUMBER(B779)),"Needs a date",IF(D779="","Needs the job",IF(AND(C779&lt;&gt;"",C779&lt;&gt;"All beds",COUNTIF(Beds!$B$6:$B$35,C779)=0),"Not on Beds",""))))</f>
        <v/>
      </c>
      <c r="G779" s="1">
        <f>IF(ISNUMBER(B779),INT(B779),0)</f>
        <v/>
      </c>
      <c r="H779">
        <f>IF(AND(G779&gt;0,D779="Water",OR(C779="",C779="All beds")),G779,0)</f>
        <v/>
      </c>
    </row>
    <row r="780">
      <c r="A780" s="1" t="n"/>
      <c r="B780" s="17" t="n"/>
      <c r="C780" s="18" t="n"/>
      <c r="D780" s="19" t="n"/>
      <c r="E780" s="21" t="n"/>
      <c r="F780" s="11">
        <f>IF(AND(B780="",C780="",D780=""),"",IF(NOT(ISNUMBER(B780)),"Needs a date",IF(D780="","Needs the job",IF(AND(C780&lt;&gt;"",C780&lt;&gt;"All beds",COUNTIF(Beds!$B$6:$B$35,C780)=0),"Not on Beds",""))))</f>
        <v/>
      </c>
      <c r="G780" s="1">
        <f>IF(ISNUMBER(B780),INT(B780),0)</f>
        <v/>
      </c>
      <c r="H780">
        <f>IF(AND(G780&gt;0,D780="Water",OR(C780="",C780="All beds")),G780,0)</f>
        <v/>
      </c>
    </row>
    <row r="781">
      <c r="A781" s="1" t="n"/>
      <c r="B781" s="17" t="n"/>
      <c r="C781" s="18" t="n"/>
      <c r="D781" s="19" t="n"/>
      <c r="E781" s="21" t="n"/>
      <c r="F781" s="11">
        <f>IF(AND(B781="",C781="",D781=""),"",IF(NOT(ISNUMBER(B781)),"Needs a date",IF(D781="","Needs the job",IF(AND(C781&lt;&gt;"",C781&lt;&gt;"All beds",COUNTIF(Beds!$B$6:$B$35,C781)=0),"Not on Beds",""))))</f>
        <v/>
      </c>
      <c r="G781" s="1">
        <f>IF(ISNUMBER(B781),INT(B781),0)</f>
        <v/>
      </c>
      <c r="H781">
        <f>IF(AND(G781&gt;0,D781="Water",OR(C781="",C781="All beds")),G781,0)</f>
        <v/>
      </c>
    </row>
    <row r="782">
      <c r="A782" s="1" t="n"/>
      <c r="B782" s="17" t="n"/>
      <c r="C782" s="18" t="n"/>
      <c r="D782" s="19" t="n"/>
      <c r="E782" s="21" t="n"/>
      <c r="F782" s="11">
        <f>IF(AND(B782="",C782="",D782=""),"",IF(NOT(ISNUMBER(B782)),"Needs a date",IF(D782="","Needs the job",IF(AND(C782&lt;&gt;"",C782&lt;&gt;"All beds",COUNTIF(Beds!$B$6:$B$35,C782)=0),"Not on Beds",""))))</f>
        <v/>
      </c>
      <c r="G782" s="1">
        <f>IF(ISNUMBER(B782),INT(B782),0)</f>
        <v/>
      </c>
      <c r="H782">
        <f>IF(AND(G782&gt;0,D782="Water",OR(C782="",C782="All beds")),G782,0)</f>
        <v/>
      </c>
    </row>
    <row r="783">
      <c r="A783" s="1" t="n"/>
      <c r="B783" s="17" t="n"/>
      <c r="C783" s="18" t="n"/>
      <c r="D783" s="19" t="n"/>
      <c r="E783" s="21" t="n"/>
      <c r="F783" s="11">
        <f>IF(AND(B783="",C783="",D783=""),"",IF(NOT(ISNUMBER(B783)),"Needs a date",IF(D783="","Needs the job",IF(AND(C783&lt;&gt;"",C783&lt;&gt;"All beds",COUNTIF(Beds!$B$6:$B$35,C783)=0),"Not on Beds",""))))</f>
        <v/>
      </c>
      <c r="G783" s="1">
        <f>IF(ISNUMBER(B783),INT(B783),0)</f>
        <v/>
      </c>
      <c r="H783">
        <f>IF(AND(G783&gt;0,D783="Water",OR(C783="",C783="All beds")),G783,0)</f>
        <v/>
      </c>
    </row>
    <row r="784">
      <c r="A784" s="1" t="n"/>
      <c r="B784" s="17" t="n"/>
      <c r="C784" s="18" t="n"/>
      <c r="D784" s="19" t="n"/>
      <c r="E784" s="21" t="n"/>
      <c r="F784" s="11">
        <f>IF(AND(B784="",C784="",D784=""),"",IF(NOT(ISNUMBER(B784)),"Needs a date",IF(D784="","Needs the job",IF(AND(C784&lt;&gt;"",C784&lt;&gt;"All beds",COUNTIF(Beds!$B$6:$B$35,C784)=0),"Not on Beds",""))))</f>
        <v/>
      </c>
      <c r="G784" s="1">
        <f>IF(ISNUMBER(B784),INT(B784),0)</f>
        <v/>
      </c>
      <c r="H784">
        <f>IF(AND(G784&gt;0,D784="Water",OR(C784="",C784="All beds")),G784,0)</f>
        <v/>
      </c>
    </row>
    <row r="785">
      <c r="A785" s="1" t="n"/>
      <c r="B785" s="17" t="n"/>
      <c r="C785" s="18" t="n"/>
      <c r="D785" s="19" t="n"/>
      <c r="E785" s="21" t="n"/>
      <c r="F785" s="11">
        <f>IF(AND(B785="",C785="",D785=""),"",IF(NOT(ISNUMBER(B785)),"Needs a date",IF(D785="","Needs the job",IF(AND(C785&lt;&gt;"",C785&lt;&gt;"All beds",COUNTIF(Beds!$B$6:$B$35,C785)=0),"Not on Beds",""))))</f>
        <v/>
      </c>
      <c r="G785" s="1">
        <f>IF(ISNUMBER(B785),INT(B785),0)</f>
        <v/>
      </c>
      <c r="H785">
        <f>IF(AND(G785&gt;0,D785="Water",OR(C785="",C785="All beds")),G785,0)</f>
        <v/>
      </c>
    </row>
    <row r="786">
      <c r="A786" s="1" t="n"/>
      <c r="B786" s="17" t="n"/>
      <c r="C786" s="18" t="n"/>
      <c r="D786" s="19" t="n"/>
      <c r="E786" s="21" t="n"/>
      <c r="F786" s="11">
        <f>IF(AND(B786="",C786="",D786=""),"",IF(NOT(ISNUMBER(B786)),"Needs a date",IF(D786="","Needs the job",IF(AND(C786&lt;&gt;"",C786&lt;&gt;"All beds",COUNTIF(Beds!$B$6:$B$35,C786)=0),"Not on Beds",""))))</f>
        <v/>
      </c>
      <c r="G786" s="1">
        <f>IF(ISNUMBER(B786),INT(B786),0)</f>
        <v/>
      </c>
      <c r="H786">
        <f>IF(AND(G786&gt;0,D786="Water",OR(C786="",C786="All beds")),G786,0)</f>
        <v/>
      </c>
    </row>
    <row r="787">
      <c r="A787" s="1" t="n"/>
      <c r="B787" s="17" t="n"/>
      <c r="C787" s="18" t="n"/>
      <c r="D787" s="19" t="n"/>
      <c r="E787" s="21" t="n"/>
      <c r="F787" s="11">
        <f>IF(AND(B787="",C787="",D787=""),"",IF(NOT(ISNUMBER(B787)),"Needs a date",IF(D787="","Needs the job",IF(AND(C787&lt;&gt;"",C787&lt;&gt;"All beds",COUNTIF(Beds!$B$6:$B$35,C787)=0),"Not on Beds",""))))</f>
        <v/>
      </c>
      <c r="G787" s="1">
        <f>IF(ISNUMBER(B787),INT(B787),0)</f>
        <v/>
      </c>
      <c r="H787">
        <f>IF(AND(G787&gt;0,D787="Water",OR(C787="",C787="All beds")),G787,0)</f>
        <v/>
      </c>
    </row>
    <row r="788">
      <c r="A788" s="1" t="n"/>
      <c r="B788" s="17" t="n"/>
      <c r="C788" s="18" t="n"/>
      <c r="D788" s="19" t="n"/>
      <c r="E788" s="21" t="n"/>
      <c r="F788" s="11">
        <f>IF(AND(B788="",C788="",D788=""),"",IF(NOT(ISNUMBER(B788)),"Needs a date",IF(D788="","Needs the job",IF(AND(C788&lt;&gt;"",C788&lt;&gt;"All beds",COUNTIF(Beds!$B$6:$B$35,C788)=0),"Not on Beds",""))))</f>
        <v/>
      </c>
      <c r="G788" s="1">
        <f>IF(ISNUMBER(B788),INT(B788),0)</f>
        <v/>
      </c>
      <c r="H788">
        <f>IF(AND(G788&gt;0,D788="Water",OR(C788="",C788="All beds")),G788,0)</f>
        <v/>
      </c>
    </row>
    <row r="789">
      <c r="A789" s="1" t="n"/>
      <c r="B789" s="17" t="n"/>
      <c r="C789" s="18" t="n"/>
      <c r="D789" s="19" t="n"/>
      <c r="E789" s="21" t="n"/>
      <c r="F789" s="11">
        <f>IF(AND(B789="",C789="",D789=""),"",IF(NOT(ISNUMBER(B789)),"Needs a date",IF(D789="","Needs the job",IF(AND(C789&lt;&gt;"",C789&lt;&gt;"All beds",COUNTIF(Beds!$B$6:$B$35,C789)=0),"Not on Beds",""))))</f>
        <v/>
      </c>
      <c r="G789" s="1">
        <f>IF(ISNUMBER(B789),INT(B789),0)</f>
        <v/>
      </c>
      <c r="H789">
        <f>IF(AND(G789&gt;0,D789="Water",OR(C789="",C789="All beds")),G789,0)</f>
        <v/>
      </c>
    </row>
    <row r="790">
      <c r="A790" s="1" t="n"/>
      <c r="B790" s="17" t="n"/>
      <c r="C790" s="18" t="n"/>
      <c r="D790" s="19" t="n"/>
      <c r="E790" s="21" t="n"/>
      <c r="F790" s="11">
        <f>IF(AND(B790="",C790="",D790=""),"",IF(NOT(ISNUMBER(B790)),"Needs a date",IF(D790="","Needs the job",IF(AND(C790&lt;&gt;"",C790&lt;&gt;"All beds",COUNTIF(Beds!$B$6:$B$35,C790)=0),"Not on Beds",""))))</f>
        <v/>
      </c>
      <c r="G790" s="1">
        <f>IF(ISNUMBER(B790),INT(B790),0)</f>
        <v/>
      </c>
      <c r="H790">
        <f>IF(AND(G790&gt;0,D790="Water",OR(C790="",C790="All beds")),G790,0)</f>
        <v/>
      </c>
    </row>
    <row r="791">
      <c r="A791" s="1" t="n"/>
      <c r="B791" s="17" t="n"/>
      <c r="C791" s="18" t="n"/>
      <c r="D791" s="19" t="n"/>
      <c r="E791" s="21" t="n"/>
      <c r="F791" s="11">
        <f>IF(AND(B791="",C791="",D791=""),"",IF(NOT(ISNUMBER(B791)),"Needs a date",IF(D791="","Needs the job",IF(AND(C791&lt;&gt;"",C791&lt;&gt;"All beds",COUNTIF(Beds!$B$6:$B$35,C791)=0),"Not on Beds",""))))</f>
        <v/>
      </c>
      <c r="G791" s="1">
        <f>IF(ISNUMBER(B791),INT(B791),0)</f>
        <v/>
      </c>
      <c r="H791">
        <f>IF(AND(G791&gt;0,D791="Water",OR(C791="",C791="All beds")),G791,0)</f>
        <v/>
      </c>
    </row>
    <row r="792">
      <c r="A792" s="1" t="n"/>
      <c r="B792" s="17" t="n"/>
      <c r="C792" s="18" t="n"/>
      <c r="D792" s="19" t="n"/>
      <c r="E792" s="21" t="n"/>
      <c r="F792" s="11">
        <f>IF(AND(B792="",C792="",D792=""),"",IF(NOT(ISNUMBER(B792)),"Needs a date",IF(D792="","Needs the job",IF(AND(C792&lt;&gt;"",C792&lt;&gt;"All beds",COUNTIF(Beds!$B$6:$B$35,C792)=0),"Not on Beds",""))))</f>
        <v/>
      </c>
      <c r="G792" s="1">
        <f>IF(ISNUMBER(B792),INT(B792),0)</f>
        <v/>
      </c>
      <c r="H792">
        <f>IF(AND(G792&gt;0,D792="Water",OR(C792="",C792="All beds")),G792,0)</f>
        <v/>
      </c>
    </row>
    <row r="793">
      <c r="A793" s="1" t="n"/>
      <c r="B793" s="17" t="n"/>
      <c r="C793" s="18" t="n"/>
      <c r="D793" s="19" t="n"/>
      <c r="E793" s="21" t="n"/>
      <c r="F793" s="11">
        <f>IF(AND(B793="",C793="",D793=""),"",IF(NOT(ISNUMBER(B793)),"Needs a date",IF(D793="","Needs the job",IF(AND(C793&lt;&gt;"",C793&lt;&gt;"All beds",COUNTIF(Beds!$B$6:$B$35,C793)=0),"Not on Beds",""))))</f>
        <v/>
      </c>
      <c r="G793" s="1">
        <f>IF(ISNUMBER(B793),INT(B793),0)</f>
        <v/>
      </c>
      <c r="H793">
        <f>IF(AND(G793&gt;0,D793="Water",OR(C793="",C793="All beds")),G793,0)</f>
        <v/>
      </c>
    </row>
    <row r="794">
      <c r="A794" s="1" t="n"/>
      <c r="B794" s="17" t="n"/>
      <c r="C794" s="18" t="n"/>
      <c r="D794" s="19" t="n"/>
      <c r="E794" s="21" t="n"/>
      <c r="F794" s="11">
        <f>IF(AND(B794="",C794="",D794=""),"",IF(NOT(ISNUMBER(B794)),"Needs a date",IF(D794="","Needs the job",IF(AND(C794&lt;&gt;"",C794&lt;&gt;"All beds",COUNTIF(Beds!$B$6:$B$35,C794)=0),"Not on Beds",""))))</f>
        <v/>
      </c>
      <c r="G794" s="1">
        <f>IF(ISNUMBER(B794),INT(B794),0)</f>
        <v/>
      </c>
      <c r="H794">
        <f>IF(AND(G794&gt;0,D794="Water",OR(C794="",C794="All beds")),G794,0)</f>
        <v/>
      </c>
    </row>
    <row r="795">
      <c r="A795" s="1" t="n"/>
      <c r="B795" s="17" t="n"/>
      <c r="C795" s="18" t="n"/>
      <c r="D795" s="19" t="n"/>
      <c r="E795" s="21" t="n"/>
      <c r="F795" s="11">
        <f>IF(AND(B795="",C795="",D795=""),"",IF(NOT(ISNUMBER(B795)),"Needs a date",IF(D795="","Needs the job",IF(AND(C795&lt;&gt;"",C795&lt;&gt;"All beds",COUNTIF(Beds!$B$6:$B$35,C795)=0),"Not on Beds",""))))</f>
        <v/>
      </c>
      <c r="G795" s="1">
        <f>IF(ISNUMBER(B795),INT(B795),0)</f>
        <v/>
      </c>
      <c r="H795">
        <f>IF(AND(G795&gt;0,D795="Water",OR(C795="",C795="All beds")),G795,0)</f>
        <v/>
      </c>
    </row>
    <row r="796">
      <c r="A796" s="1" t="n"/>
      <c r="B796" s="17" t="n"/>
      <c r="C796" s="18" t="n"/>
      <c r="D796" s="19" t="n"/>
      <c r="E796" s="21" t="n"/>
      <c r="F796" s="11">
        <f>IF(AND(B796="",C796="",D796=""),"",IF(NOT(ISNUMBER(B796)),"Needs a date",IF(D796="","Needs the job",IF(AND(C796&lt;&gt;"",C796&lt;&gt;"All beds",COUNTIF(Beds!$B$6:$B$35,C796)=0),"Not on Beds",""))))</f>
        <v/>
      </c>
      <c r="G796" s="1">
        <f>IF(ISNUMBER(B796),INT(B796),0)</f>
        <v/>
      </c>
      <c r="H796">
        <f>IF(AND(G796&gt;0,D796="Water",OR(C796="",C796="All beds")),G796,0)</f>
        <v/>
      </c>
    </row>
    <row r="797">
      <c r="A797" s="1" t="n"/>
      <c r="B797" s="17" t="n"/>
      <c r="C797" s="18" t="n"/>
      <c r="D797" s="19" t="n"/>
      <c r="E797" s="21" t="n"/>
      <c r="F797" s="11">
        <f>IF(AND(B797="",C797="",D797=""),"",IF(NOT(ISNUMBER(B797)),"Needs a date",IF(D797="","Needs the job",IF(AND(C797&lt;&gt;"",C797&lt;&gt;"All beds",COUNTIF(Beds!$B$6:$B$35,C797)=0),"Not on Beds",""))))</f>
        <v/>
      </c>
      <c r="G797" s="1">
        <f>IF(ISNUMBER(B797),INT(B797),0)</f>
        <v/>
      </c>
      <c r="H797">
        <f>IF(AND(G797&gt;0,D797="Water",OR(C797="",C797="All beds")),G797,0)</f>
        <v/>
      </c>
    </row>
    <row r="798">
      <c r="A798" s="1" t="n"/>
      <c r="B798" s="17" t="n"/>
      <c r="C798" s="18" t="n"/>
      <c r="D798" s="19" t="n"/>
      <c r="E798" s="21" t="n"/>
      <c r="F798" s="11">
        <f>IF(AND(B798="",C798="",D798=""),"",IF(NOT(ISNUMBER(B798)),"Needs a date",IF(D798="","Needs the job",IF(AND(C798&lt;&gt;"",C798&lt;&gt;"All beds",COUNTIF(Beds!$B$6:$B$35,C798)=0),"Not on Beds",""))))</f>
        <v/>
      </c>
      <c r="G798" s="1">
        <f>IF(ISNUMBER(B798),INT(B798),0)</f>
        <v/>
      </c>
      <c r="H798">
        <f>IF(AND(G798&gt;0,D798="Water",OR(C798="",C798="All beds")),G798,0)</f>
        <v/>
      </c>
    </row>
    <row r="799">
      <c r="A799" s="1" t="n"/>
      <c r="B799" s="17" t="n"/>
      <c r="C799" s="18" t="n"/>
      <c r="D799" s="19" t="n"/>
      <c r="E799" s="21" t="n"/>
      <c r="F799" s="11">
        <f>IF(AND(B799="",C799="",D799=""),"",IF(NOT(ISNUMBER(B799)),"Needs a date",IF(D799="","Needs the job",IF(AND(C799&lt;&gt;"",C799&lt;&gt;"All beds",COUNTIF(Beds!$B$6:$B$35,C799)=0),"Not on Beds",""))))</f>
        <v/>
      </c>
      <c r="G799" s="1">
        <f>IF(ISNUMBER(B799),INT(B799),0)</f>
        <v/>
      </c>
      <c r="H799">
        <f>IF(AND(G799&gt;0,D799="Water",OR(C799="",C799="All beds")),G799,0)</f>
        <v/>
      </c>
    </row>
    <row r="800">
      <c r="A800" s="1" t="n"/>
      <c r="B800" s="17" t="n"/>
      <c r="C800" s="18" t="n"/>
      <c r="D800" s="19" t="n"/>
      <c r="E800" s="21" t="n"/>
      <c r="F800" s="11">
        <f>IF(AND(B800="",C800="",D800=""),"",IF(NOT(ISNUMBER(B800)),"Needs a date",IF(D800="","Needs the job",IF(AND(C800&lt;&gt;"",C800&lt;&gt;"All beds",COUNTIF(Beds!$B$6:$B$35,C800)=0),"Not on Beds",""))))</f>
        <v/>
      </c>
      <c r="G800" s="1">
        <f>IF(ISNUMBER(B800),INT(B800),0)</f>
        <v/>
      </c>
      <c r="H800">
        <f>IF(AND(G800&gt;0,D800="Water",OR(C800="",C800="All beds")),G800,0)</f>
        <v/>
      </c>
    </row>
    <row r="801">
      <c r="A801" s="1" t="n"/>
      <c r="B801" s="17" t="n"/>
      <c r="C801" s="18" t="n"/>
      <c r="D801" s="19" t="n"/>
      <c r="E801" s="21" t="n"/>
      <c r="F801" s="11">
        <f>IF(AND(B801="",C801="",D801=""),"",IF(NOT(ISNUMBER(B801)),"Needs a date",IF(D801="","Needs the job",IF(AND(C801&lt;&gt;"",C801&lt;&gt;"All beds",COUNTIF(Beds!$B$6:$B$35,C801)=0),"Not on Beds",""))))</f>
        <v/>
      </c>
      <c r="G801" s="1">
        <f>IF(ISNUMBER(B801),INT(B801),0)</f>
        <v/>
      </c>
      <c r="H801">
        <f>IF(AND(G801&gt;0,D801="Water",OR(C801="",C801="All beds")),G801,0)</f>
        <v/>
      </c>
    </row>
    <row r="802">
      <c r="A802" s="1" t="n"/>
      <c r="B802" s="17" t="n"/>
      <c r="C802" s="18" t="n"/>
      <c r="D802" s="19" t="n"/>
      <c r="E802" s="21" t="n"/>
      <c r="F802" s="11">
        <f>IF(AND(B802="",C802="",D802=""),"",IF(NOT(ISNUMBER(B802)),"Needs a date",IF(D802="","Needs the job",IF(AND(C802&lt;&gt;"",C802&lt;&gt;"All beds",COUNTIF(Beds!$B$6:$B$35,C802)=0),"Not on Beds",""))))</f>
        <v/>
      </c>
      <c r="G802" s="1">
        <f>IF(ISNUMBER(B802),INT(B802),0)</f>
        <v/>
      </c>
      <c r="H802">
        <f>IF(AND(G802&gt;0,D802="Water",OR(C802="",C802="All beds")),G802,0)</f>
        <v/>
      </c>
    </row>
    <row r="803">
      <c r="A803" s="1" t="n"/>
      <c r="B803" s="17" t="n"/>
      <c r="C803" s="18" t="n"/>
      <c r="D803" s="19" t="n"/>
      <c r="E803" s="21" t="n"/>
      <c r="F803" s="11">
        <f>IF(AND(B803="",C803="",D803=""),"",IF(NOT(ISNUMBER(B803)),"Needs a date",IF(D803="","Needs the job",IF(AND(C803&lt;&gt;"",C803&lt;&gt;"All beds",COUNTIF(Beds!$B$6:$B$35,C803)=0),"Not on Beds",""))))</f>
        <v/>
      </c>
      <c r="G803" s="1">
        <f>IF(ISNUMBER(B803),INT(B803),0)</f>
        <v/>
      </c>
      <c r="H803">
        <f>IF(AND(G803&gt;0,D803="Water",OR(C803="",C803="All beds")),G803,0)</f>
        <v/>
      </c>
    </row>
    <row r="804">
      <c r="A804" s="1" t="n"/>
      <c r="B804" s="17" t="n"/>
      <c r="C804" s="18" t="n"/>
      <c r="D804" s="19" t="n"/>
      <c r="E804" s="21" t="n"/>
      <c r="F804" s="11">
        <f>IF(AND(B804="",C804="",D804=""),"",IF(NOT(ISNUMBER(B804)),"Needs a date",IF(D804="","Needs the job",IF(AND(C804&lt;&gt;"",C804&lt;&gt;"All beds",COUNTIF(Beds!$B$6:$B$35,C804)=0),"Not on Beds",""))))</f>
        <v/>
      </c>
      <c r="G804" s="1">
        <f>IF(ISNUMBER(B804),INT(B804),0)</f>
        <v/>
      </c>
      <c r="H804">
        <f>IF(AND(G804&gt;0,D804="Water",OR(C804="",C804="All beds")),G804,0)</f>
        <v/>
      </c>
    </row>
    <row r="805">
      <c r="A805" s="1" t="n"/>
      <c r="B805" s="17" t="n"/>
      <c r="C805" s="18" t="n"/>
      <c r="D805" s="19" t="n"/>
      <c r="E805" s="21" t="n"/>
      <c r="F805" s="11">
        <f>IF(AND(B805="",C805="",D805=""),"",IF(NOT(ISNUMBER(B805)),"Needs a date",IF(D805="","Needs the job",IF(AND(C805&lt;&gt;"",C805&lt;&gt;"All beds",COUNTIF(Beds!$B$6:$B$35,C805)=0),"Not on Beds",""))))</f>
        <v/>
      </c>
      <c r="G805" s="1">
        <f>IF(ISNUMBER(B805),INT(B805),0)</f>
        <v/>
      </c>
      <c r="H805">
        <f>IF(AND(G805&gt;0,D805="Water",OR(C805="",C805="All beds")),G805,0)</f>
        <v/>
      </c>
    </row>
    <row r="806">
      <c r="A806" s="1" t="n"/>
      <c r="B806" s="17" t="n"/>
      <c r="C806" s="18" t="n"/>
      <c r="D806" s="19" t="n"/>
      <c r="E806" s="21" t="n"/>
      <c r="F806" s="11">
        <f>IF(AND(B806="",C806="",D806=""),"",IF(NOT(ISNUMBER(B806)),"Needs a date",IF(D806="","Needs the job",IF(AND(C806&lt;&gt;"",C806&lt;&gt;"All beds",COUNTIF(Beds!$B$6:$B$35,C806)=0),"Not on Beds",""))))</f>
        <v/>
      </c>
      <c r="G806" s="1">
        <f>IF(ISNUMBER(B806),INT(B806),0)</f>
        <v/>
      </c>
      <c r="H806">
        <f>IF(AND(G806&gt;0,D806="Water",OR(C806="",C806="All beds")),G806,0)</f>
        <v/>
      </c>
    </row>
    <row r="807">
      <c r="A807" s="1" t="n"/>
      <c r="B807" s="17" t="n"/>
      <c r="C807" s="18" t="n"/>
      <c r="D807" s="19" t="n"/>
      <c r="E807" s="21" t="n"/>
      <c r="F807" s="11">
        <f>IF(AND(B807="",C807="",D807=""),"",IF(NOT(ISNUMBER(B807)),"Needs a date",IF(D807="","Needs the job",IF(AND(C807&lt;&gt;"",C807&lt;&gt;"All beds",COUNTIF(Beds!$B$6:$B$35,C807)=0),"Not on Beds",""))))</f>
        <v/>
      </c>
      <c r="G807" s="1">
        <f>IF(ISNUMBER(B807),INT(B807),0)</f>
        <v/>
      </c>
      <c r="H807">
        <f>IF(AND(G807&gt;0,D807="Water",OR(C807="",C807="All beds")),G807,0)</f>
        <v/>
      </c>
    </row>
    <row r="808">
      <c r="A808" s="1" t="n"/>
      <c r="B808" s="17" t="n"/>
      <c r="C808" s="18" t="n"/>
      <c r="D808" s="19" t="n"/>
      <c r="E808" s="21" t="n"/>
      <c r="F808" s="11">
        <f>IF(AND(B808="",C808="",D808=""),"",IF(NOT(ISNUMBER(B808)),"Needs a date",IF(D808="","Needs the job",IF(AND(C808&lt;&gt;"",C808&lt;&gt;"All beds",COUNTIF(Beds!$B$6:$B$35,C808)=0),"Not on Beds",""))))</f>
        <v/>
      </c>
      <c r="G808" s="1">
        <f>IF(ISNUMBER(B808),INT(B808),0)</f>
        <v/>
      </c>
      <c r="H808">
        <f>IF(AND(G808&gt;0,D808="Water",OR(C808="",C808="All beds")),G808,0)</f>
        <v/>
      </c>
    </row>
    <row r="809">
      <c r="A809" s="1" t="n"/>
      <c r="B809" s="17" t="n"/>
      <c r="C809" s="18" t="n"/>
      <c r="D809" s="19" t="n"/>
      <c r="E809" s="21" t="n"/>
      <c r="F809" s="11">
        <f>IF(AND(B809="",C809="",D809=""),"",IF(NOT(ISNUMBER(B809)),"Needs a date",IF(D809="","Needs the job",IF(AND(C809&lt;&gt;"",C809&lt;&gt;"All beds",COUNTIF(Beds!$B$6:$B$35,C809)=0),"Not on Beds",""))))</f>
        <v/>
      </c>
      <c r="G809" s="1">
        <f>IF(ISNUMBER(B809),INT(B809),0)</f>
        <v/>
      </c>
      <c r="H809">
        <f>IF(AND(G809&gt;0,D809="Water",OR(C809="",C809="All beds")),G809,0)</f>
        <v/>
      </c>
    </row>
    <row r="810">
      <c r="A810" s="1" t="n"/>
      <c r="B810" s="17" t="n"/>
      <c r="C810" s="18" t="n"/>
      <c r="D810" s="19" t="n"/>
      <c r="E810" s="21" t="n"/>
      <c r="F810" s="11">
        <f>IF(AND(B810="",C810="",D810=""),"",IF(NOT(ISNUMBER(B810)),"Needs a date",IF(D810="","Needs the job",IF(AND(C810&lt;&gt;"",C810&lt;&gt;"All beds",COUNTIF(Beds!$B$6:$B$35,C810)=0),"Not on Beds",""))))</f>
        <v/>
      </c>
      <c r="G810" s="1">
        <f>IF(ISNUMBER(B810),INT(B810),0)</f>
        <v/>
      </c>
      <c r="H810">
        <f>IF(AND(G810&gt;0,D810="Water",OR(C810="",C810="All beds")),G810,0)</f>
        <v/>
      </c>
    </row>
    <row r="811">
      <c r="A811" s="1" t="n"/>
      <c r="B811" s="17" t="n"/>
      <c r="C811" s="18" t="n"/>
      <c r="D811" s="19" t="n"/>
      <c r="E811" s="21" t="n"/>
      <c r="F811" s="11">
        <f>IF(AND(B811="",C811="",D811=""),"",IF(NOT(ISNUMBER(B811)),"Needs a date",IF(D811="","Needs the job",IF(AND(C811&lt;&gt;"",C811&lt;&gt;"All beds",COUNTIF(Beds!$B$6:$B$35,C811)=0),"Not on Beds",""))))</f>
        <v/>
      </c>
      <c r="G811" s="1">
        <f>IF(ISNUMBER(B811),INT(B811),0)</f>
        <v/>
      </c>
      <c r="H811">
        <f>IF(AND(G811&gt;0,D811="Water",OR(C811="",C811="All beds")),G811,0)</f>
        <v/>
      </c>
    </row>
    <row r="812">
      <c r="A812" s="1" t="n"/>
      <c r="B812" s="17" t="n"/>
      <c r="C812" s="18" t="n"/>
      <c r="D812" s="19" t="n"/>
      <c r="E812" s="21" t="n"/>
      <c r="F812" s="11">
        <f>IF(AND(B812="",C812="",D812=""),"",IF(NOT(ISNUMBER(B812)),"Needs a date",IF(D812="","Needs the job",IF(AND(C812&lt;&gt;"",C812&lt;&gt;"All beds",COUNTIF(Beds!$B$6:$B$35,C812)=0),"Not on Beds",""))))</f>
        <v/>
      </c>
      <c r="G812" s="1">
        <f>IF(ISNUMBER(B812),INT(B812),0)</f>
        <v/>
      </c>
      <c r="H812">
        <f>IF(AND(G812&gt;0,D812="Water",OR(C812="",C812="All beds")),G812,0)</f>
        <v/>
      </c>
    </row>
    <row r="813">
      <c r="A813" s="1" t="n"/>
      <c r="B813" s="17" t="n"/>
      <c r="C813" s="18" t="n"/>
      <c r="D813" s="19" t="n"/>
      <c r="E813" s="21" t="n"/>
      <c r="F813" s="11">
        <f>IF(AND(B813="",C813="",D813=""),"",IF(NOT(ISNUMBER(B813)),"Needs a date",IF(D813="","Needs the job",IF(AND(C813&lt;&gt;"",C813&lt;&gt;"All beds",COUNTIF(Beds!$B$6:$B$35,C813)=0),"Not on Beds",""))))</f>
        <v/>
      </c>
      <c r="G813" s="1">
        <f>IF(ISNUMBER(B813),INT(B813),0)</f>
        <v/>
      </c>
      <c r="H813">
        <f>IF(AND(G813&gt;0,D813="Water",OR(C813="",C813="All beds")),G813,0)</f>
        <v/>
      </c>
    </row>
    <row r="814">
      <c r="A814" s="1" t="n"/>
      <c r="B814" s="17" t="n"/>
      <c r="C814" s="18" t="n"/>
      <c r="D814" s="19" t="n"/>
      <c r="E814" s="21" t="n"/>
      <c r="F814" s="11">
        <f>IF(AND(B814="",C814="",D814=""),"",IF(NOT(ISNUMBER(B814)),"Needs a date",IF(D814="","Needs the job",IF(AND(C814&lt;&gt;"",C814&lt;&gt;"All beds",COUNTIF(Beds!$B$6:$B$35,C814)=0),"Not on Beds",""))))</f>
        <v/>
      </c>
      <c r="G814" s="1">
        <f>IF(ISNUMBER(B814),INT(B814),0)</f>
        <v/>
      </c>
      <c r="H814">
        <f>IF(AND(G814&gt;0,D814="Water",OR(C814="",C814="All beds")),G814,0)</f>
        <v/>
      </c>
    </row>
    <row r="815">
      <c r="A815" s="1" t="n"/>
      <c r="B815" s="17" t="n"/>
      <c r="C815" s="18" t="n"/>
      <c r="D815" s="19" t="n"/>
      <c r="E815" s="21" t="n"/>
      <c r="F815" s="11">
        <f>IF(AND(B815="",C815="",D815=""),"",IF(NOT(ISNUMBER(B815)),"Needs a date",IF(D815="","Needs the job",IF(AND(C815&lt;&gt;"",C815&lt;&gt;"All beds",COUNTIF(Beds!$B$6:$B$35,C815)=0),"Not on Beds",""))))</f>
        <v/>
      </c>
      <c r="G815" s="1">
        <f>IF(ISNUMBER(B815),INT(B815),0)</f>
        <v/>
      </c>
      <c r="H815">
        <f>IF(AND(G815&gt;0,D815="Water",OR(C815="",C815="All beds")),G815,0)</f>
        <v/>
      </c>
    </row>
    <row r="816">
      <c r="A816" s="1" t="n"/>
      <c r="B816" s="17" t="n"/>
      <c r="C816" s="18" t="n"/>
      <c r="D816" s="19" t="n"/>
      <c r="E816" s="21" t="n"/>
      <c r="F816" s="11">
        <f>IF(AND(B816="",C816="",D816=""),"",IF(NOT(ISNUMBER(B816)),"Needs a date",IF(D816="","Needs the job",IF(AND(C816&lt;&gt;"",C816&lt;&gt;"All beds",COUNTIF(Beds!$B$6:$B$35,C816)=0),"Not on Beds",""))))</f>
        <v/>
      </c>
      <c r="G816" s="1">
        <f>IF(ISNUMBER(B816),INT(B816),0)</f>
        <v/>
      </c>
      <c r="H816">
        <f>IF(AND(G816&gt;0,D816="Water",OR(C816="",C816="All beds")),G816,0)</f>
        <v/>
      </c>
    </row>
    <row r="817">
      <c r="A817" s="1" t="n"/>
      <c r="B817" s="17" t="n"/>
      <c r="C817" s="18" t="n"/>
      <c r="D817" s="19" t="n"/>
      <c r="E817" s="21" t="n"/>
      <c r="F817" s="11">
        <f>IF(AND(B817="",C817="",D817=""),"",IF(NOT(ISNUMBER(B817)),"Needs a date",IF(D817="","Needs the job",IF(AND(C817&lt;&gt;"",C817&lt;&gt;"All beds",COUNTIF(Beds!$B$6:$B$35,C817)=0),"Not on Beds",""))))</f>
        <v/>
      </c>
      <c r="G817" s="1">
        <f>IF(ISNUMBER(B817),INT(B817),0)</f>
        <v/>
      </c>
      <c r="H817">
        <f>IF(AND(G817&gt;0,D817="Water",OR(C817="",C817="All beds")),G817,0)</f>
        <v/>
      </c>
    </row>
    <row r="818">
      <c r="A818" s="1" t="n"/>
      <c r="B818" s="17" t="n"/>
      <c r="C818" s="18" t="n"/>
      <c r="D818" s="19" t="n"/>
      <c r="E818" s="21" t="n"/>
      <c r="F818" s="11">
        <f>IF(AND(B818="",C818="",D818=""),"",IF(NOT(ISNUMBER(B818)),"Needs a date",IF(D818="","Needs the job",IF(AND(C818&lt;&gt;"",C818&lt;&gt;"All beds",COUNTIF(Beds!$B$6:$B$35,C818)=0),"Not on Beds",""))))</f>
        <v/>
      </c>
      <c r="G818" s="1">
        <f>IF(ISNUMBER(B818),INT(B818),0)</f>
        <v/>
      </c>
      <c r="H818">
        <f>IF(AND(G818&gt;0,D818="Water",OR(C818="",C818="All beds")),G818,0)</f>
        <v/>
      </c>
    </row>
    <row r="819">
      <c r="A819" s="1" t="n"/>
      <c r="B819" s="17" t="n"/>
      <c r="C819" s="18" t="n"/>
      <c r="D819" s="19" t="n"/>
      <c r="E819" s="21" t="n"/>
      <c r="F819" s="11">
        <f>IF(AND(B819="",C819="",D819=""),"",IF(NOT(ISNUMBER(B819)),"Needs a date",IF(D819="","Needs the job",IF(AND(C819&lt;&gt;"",C819&lt;&gt;"All beds",COUNTIF(Beds!$B$6:$B$35,C819)=0),"Not on Beds",""))))</f>
        <v/>
      </c>
      <c r="G819" s="1">
        <f>IF(ISNUMBER(B819),INT(B819),0)</f>
        <v/>
      </c>
      <c r="H819">
        <f>IF(AND(G819&gt;0,D819="Water",OR(C819="",C819="All beds")),G819,0)</f>
        <v/>
      </c>
    </row>
    <row r="820">
      <c r="A820" s="1" t="n"/>
      <c r="B820" s="17" t="n"/>
      <c r="C820" s="18" t="n"/>
      <c r="D820" s="19" t="n"/>
      <c r="E820" s="21" t="n"/>
      <c r="F820" s="11">
        <f>IF(AND(B820="",C820="",D820=""),"",IF(NOT(ISNUMBER(B820)),"Needs a date",IF(D820="","Needs the job",IF(AND(C820&lt;&gt;"",C820&lt;&gt;"All beds",COUNTIF(Beds!$B$6:$B$35,C820)=0),"Not on Beds",""))))</f>
        <v/>
      </c>
      <c r="G820" s="1">
        <f>IF(ISNUMBER(B820),INT(B820),0)</f>
        <v/>
      </c>
      <c r="H820">
        <f>IF(AND(G820&gt;0,D820="Water",OR(C820="",C820="All beds")),G820,0)</f>
        <v/>
      </c>
    </row>
    <row r="821">
      <c r="A821" s="1" t="n"/>
      <c r="B821" s="17" t="n"/>
      <c r="C821" s="18" t="n"/>
      <c r="D821" s="19" t="n"/>
      <c r="E821" s="21" t="n"/>
      <c r="F821" s="11">
        <f>IF(AND(B821="",C821="",D821=""),"",IF(NOT(ISNUMBER(B821)),"Needs a date",IF(D821="","Needs the job",IF(AND(C821&lt;&gt;"",C821&lt;&gt;"All beds",COUNTIF(Beds!$B$6:$B$35,C821)=0),"Not on Beds",""))))</f>
        <v/>
      </c>
      <c r="G821" s="1">
        <f>IF(ISNUMBER(B821),INT(B821),0)</f>
        <v/>
      </c>
      <c r="H821">
        <f>IF(AND(G821&gt;0,D821="Water",OR(C821="",C821="All beds")),G821,0)</f>
        <v/>
      </c>
    </row>
    <row r="822">
      <c r="A822" s="1" t="n"/>
      <c r="B822" s="17" t="n"/>
      <c r="C822" s="18" t="n"/>
      <c r="D822" s="19" t="n"/>
      <c r="E822" s="21" t="n"/>
      <c r="F822" s="11">
        <f>IF(AND(B822="",C822="",D822=""),"",IF(NOT(ISNUMBER(B822)),"Needs a date",IF(D822="","Needs the job",IF(AND(C822&lt;&gt;"",C822&lt;&gt;"All beds",COUNTIF(Beds!$B$6:$B$35,C822)=0),"Not on Beds",""))))</f>
        <v/>
      </c>
      <c r="G822" s="1">
        <f>IF(ISNUMBER(B822),INT(B822),0)</f>
        <v/>
      </c>
      <c r="H822">
        <f>IF(AND(G822&gt;0,D822="Water",OR(C822="",C822="All beds")),G822,0)</f>
        <v/>
      </c>
    </row>
    <row r="823">
      <c r="A823" s="1" t="n"/>
      <c r="B823" s="17" t="n"/>
      <c r="C823" s="18" t="n"/>
      <c r="D823" s="19" t="n"/>
      <c r="E823" s="21" t="n"/>
      <c r="F823" s="11">
        <f>IF(AND(B823="",C823="",D823=""),"",IF(NOT(ISNUMBER(B823)),"Needs a date",IF(D823="","Needs the job",IF(AND(C823&lt;&gt;"",C823&lt;&gt;"All beds",COUNTIF(Beds!$B$6:$B$35,C823)=0),"Not on Beds",""))))</f>
        <v/>
      </c>
      <c r="G823" s="1">
        <f>IF(ISNUMBER(B823),INT(B823),0)</f>
        <v/>
      </c>
      <c r="H823">
        <f>IF(AND(G823&gt;0,D823="Water",OR(C823="",C823="All beds")),G823,0)</f>
        <v/>
      </c>
    </row>
    <row r="824">
      <c r="A824" s="1" t="n"/>
      <c r="B824" s="17" t="n"/>
      <c r="C824" s="18" t="n"/>
      <c r="D824" s="19" t="n"/>
      <c r="E824" s="21" t="n"/>
      <c r="F824" s="11">
        <f>IF(AND(B824="",C824="",D824=""),"",IF(NOT(ISNUMBER(B824)),"Needs a date",IF(D824="","Needs the job",IF(AND(C824&lt;&gt;"",C824&lt;&gt;"All beds",COUNTIF(Beds!$B$6:$B$35,C824)=0),"Not on Beds",""))))</f>
        <v/>
      </c>
      <c r="G824" s="1">
        <f>IF(ISNUMBER(B824),INT(B824),0)</f>
        <v/>
      </c>
      <c r="H824">
        <f>IF(AND(G824&gt;0,D824="Water",OR(C824="",C824="All beds")),G824,0)</f>
        <v/>
      </c>
    </row>
    <row r="825">
      <c r="A825" s="1" t="n"/>
      <c r="B825" s="17" t="n"/>
      <c r="C825" s="18" t="n"/>
      <c r="D825" s="19" t="n"/>
      <c r="E825" s="21" t="n"/>
      <c r="F825" s="11">
        <f>IF(AND(B825="",C825="",D825=""),"",IF(NOT(ISNUMBER(B825)),"Needs a date",IF(D825="","Needs the job",IF(AND(C825&lt;&gt;"",C825&lt;&gt;"All beds",COUNTIF(Beds!$B$6:$B$35,C825)=0),"Not on Beds",""))))</f>
        <v/>
      </c>
      <c r="G825" s="1">
        <f>IF(ISNUMBER(B825),INT(B825),0)</f>
        <v/>
      </c>
      <c r="H825">
        <f>IF(AND(G825&gt;0,D825="Water",OR(C825="",C825="All beds")),G825,0)</f>
        <v/>
      </c>
    </row>
    <row r="826">
      <c r="A826" s="1" t="n"/>
      <c r="B826" s="17" t="n"/>
      <c r="C826" s="18" t="n"/>
      <c r="D826" s="19" t="n"/>
      <c r="E826" s="21" t="n"/>
      <c r="F826" s="11">
        <f>IF(AND(B826="",C826="",D826=""),"",IF(NOT(ISNUMBER(B826)),"Needs a date",IF(D826="","Needs the job",IF(AND(C826&lt;&gt;"",C826&lt;&gt;"All beds",COUNTIF(Beds!$B$6:$B$35,C826)=0),"Not on Beds",""))))</f>
        <v/>
      </c>
      <c r="G826" s="1">
        <f>IF(ISNUMBER(B826),INT(B826),0)</f>
        <v/>
      </c>
      <c r="H826">
        <f>IF(AND(G826&gt;0,D826="Water",OR(C826="",C826="All beds")),G826,0)</f>
        <v/>
      </c>
    </row>
    <row r="827">
      <c r="A827" s="1" t="n"/>
      <c r="B827" s="17" t="n"/>
      <c r="C827" s="18" t="n"/>
      <c r="D827" s="19" t="n"/>
      <c r="E827" s="21" t="n"/>
      <c r="F827" s="11">
        <f>IF(AND(B827="",C827="",D827=""),"",IF(NOT(ISNUMBER(B827)),"Needs a date",IF(D827="","Needs the job",IF(AND(C827&lt;&gt;"",C827&lt;&gt;"All beds",COUNTIF(Beds!$B$6:$B$35,C827)=0),"Not on Beds",""))))</f>
        <v/>
      </c>
      <c r="G827" s="1">
        <f>IF(ISNUMBER(B827),INT(B827),0)</f>
        <v/>
      </c>
      <c r="H827">
        <f>IF(AND(G827&gt;0,D827="Water",OR(C827="",C827="All beds")),G827,0)</f>
        <v/>
      </c>
    </row>
    <row r="828">
      <c r="A828" s="1" t="n"/>
      <c r="B828" s="17" t="n"/>
      <c r="C828" s="18" t="n"/>
      <c r="D828" s="19" t="n"/>
      <c r="E828" s="21" t="n"/>
      <c r="F828" s="11">
        <f>IF(AND(B828="",C828="",D828=""),"",IF(NOT(ISNUMBER(B828)),"Needs a date",IF(D828="","Needs the job",IF(AND(C828&lt;&gt;"",C828&lt;&gt;"All beds",COUNTIF(Beds!$B$6:$B$35,C828)=0),"Not on Beds",""))))</f>
        <v/>
      </c>
      <c r="G828" s="1">
        <f>IF(ISNUMBER(B828),INT(B828),0)</f>
        <v/>
      </c>
      <c r="H828">
        <f>IF(AND(G828&gt;0,D828="Water",OR(C828="",C828="All beds")),G828,0)</f>
        <v/>
      </c>
    </row>
    <row r="829">
      <c r="A829" s="1" t="n"/>
      <c r="B829" s="17" t="n"/>
      <c r="C829" s="18" t="n"/>
      <c r="D829" s="19" t="n"/>
      <c r="E829" s="21" t="n"/>
      <c r="F829" s="11">
        <f>IF(AND(B829="",C829="",D829=""),"",IF(NOT(ISNUMBER(B829)),"Needs a date",IF(D829="","Needs the job",IF(AND(C829&lt;&gt;"",C829&lt;&gt;"All beds",COUNTIF(Beds!$B$6:$B$35,C829)=0),"Not on Beds",""))))</f>
        <v/>
      </c>
      <c r="G829" s="1">
        <f>IF(ISNUMBER(B829),INT(B829),0)</f>
        <v/>
      </c>
      <c r="H829">
        <f>IF(AND(G829&gt;0,D829="Water",OR(C829="",C829="All beds")),G829,0)</f>
        <v/>
      </c>
    </row>
    <row r="830">
      <c r="A830" s="1" t="n"/>
      <c r="B830" s="17" t="n"/>
      <c r="C830" s="18" t="n"/>
      <c r="D830" s="19" t="n"/>
      <c r="E830" s="21" t="n"/>
      <c r="F830" s="11">
        <f>IF(AND(B830="",C830="",D830=""),"",IF(NOT(ISNUMBER(B830)),"Needs a date",IF(D830="","Needs the job",IF(AND(C830&lt;&gt;"",C830&lt;&gt;"All beds",COUNTIF(Beds!$B$6:$B$35,C830)=0),"Not on Beds",""))))</f>
        <v/>
      </c>
      <c r="G830" s="1">
        <f>IF(ISNUMBER(B830),INT(B830),0)</f>
        <v/>
      </c>
      <c r="H830">
        <f>IF(AND(G830&gt;0,D830="Water",OR(C830="",C830="All beds")),G830,0)</f>
        <v/>
      </c>
    </row>
    <row r="831">
      <c r="A831" s="1" t="n"/>
      <c r="B831" s="17" t="n"/>
      <c r="C831" s="18" t="n"/>
      <c r="D831" s="19" t="n"/>
      <c r="E831" s="21" t="n"/>
      <c r="F831" s="11">
        <f>IF(AND(B831="",C831="",D831=""),"",IF(NOT(ISNUMBER(B831)),"Needs a date",IF(D831="","Needs the job",IF(AND(C831&lt;&gt;"",C831&lt;&gt;"All beds",COUNTIF(Beds!$B$6:$B$35,C831)=0),"Not on Beds",""))))</f>
        <v/>
      </c>
      <c r="G831" s="1">
        <f>IF(ISNUMBER(B831),INT(B831),0)</f>
        <v/>
      </c>
      <c r="H831">
        <f>IF(AND(G831&gt;0,D831="Water",OR(C831="",C831="All beds")),G831,0)</f>
        <v/>
      </c>
    </row>
    <row r="832">
      <c r="A832" s="1" t="n"/>
      <c r="B832" s="17" t="n"/>
      <c r="C832" s="18" t="n"/>
      <c r="D832" s="19" t="n"/>
      <c r="E832" s="21" t="n"/>
      <c r="F832" s="11">
        <f>IF(AND(B832="",C832="",D832=""),"",IF(NOT(ISNUMBER(B832)),"Needs a date",IF(D832="","Needs the job",IF(AND(C832&lt;&gt;"",C832&lt;&gt;"All beds",COUNTIF(Beds!$B$6:$B$35,C832)=0),"Not on Beds",""))))</f>
        <v/>
      </c>
      <c r="G832" s="1">
        <f>IF(ISNUMBER(B832),INT(B832),0)</f>
        <v/>
      </c>
      <c r="H832">
        <f>IF(AND(G832&gt;0,D832="Water",OR(C832="",C832="All beds")),G832,0)</f>
        <v/>
      </c>
    </row>
    <row r="833">
      <c r="A833" s="1" t="n"/>
      <c r="B833" s="17" t="n"/>
      <c r="C833" s="18" t="n"/>
      <c r="D833" s="19" t="n"/>
      <c r="E833" s="21" t="n"/>
      <c r="F833" s="11">
        <f>IF(AND(B833="",C833="",D833=""),"",IF(NOT(ISNUMBER(B833)),"Needs a date",IF(D833="","Needs the job",IF(AND(C833&lt;&gt;"",C833&lt;&gt;"All beds",COUNTIF(Beds!$B$6:$B$35,C833)=0),"Not on Beds",""))))</f>
        <v/>
      </c>
      <c r="G833" s="1">
        <f>IF(ISNUMBER(B833),INT(B833),0)</f>
        <v/>
      </c>
      <c r="H833">
        <f>IF(AND(G833&gt;0,D833="Water",OR(C833="",C833="All beds")),G833,0)</f>
        <v/>
      </c>
    </row>
    <row r="834">
      <c r="A834" s="1" t="n"/>
      <c r="B834" s="17" t="n"/>
      <c r="C834" s="18" t="n"/>
      <c r="D834" s="19" t="n"/>
      <c r="E834" s="21" t="n"/>
      <c r="F834" s="11">
        <f>IF(AND(B834="",C834="",D834=""),"",IF(NOT(ISNUMBER(B834)),"Needs a date",IF(D834="","Needs the job",IF(AND(C834&lt;&gt;"",C834&lt;&gt;"All beds",COUNTIF(Beds!$B$6:$B$35,C834)=0),"Not on Beds",""))))</f>
        <v/>
      </c>
      <c r="G834" s="1">
        <f>IF(ISNUMBER(B834),INT(B834),0)</f>
        <v/>
      </c>
      <c r="H834">
        <f>IF(AND(G834&gt;0,D834="Water",OR(C834="",C834="All beds")),G834,0)</f>
        <v/>
      </c>
    </row>
    <row r="835">
      <c r="A835" s="1" t="n"/>
      <c r="B835" s="17" t="n"/>
      <c r="C835" s="18" t="n"/>
      <c r="D835" s="19" t="n"/>
      <c r="E835" s="21" t="n"/>
      <c r="F835" s="11">
        <f>IF(AND(B835="",C835="",D835=""),"",IF(NOT(ISNUMBER(B835)),"Needs a date",IF(D835="","Needs the job",IF(AND(C835&lt;&gt;"",C835&lt;&gt;"All beds",COUNTIF(Beds!$B$6:$B$35,C835)=0),"Not on Beds",""))))</f>
        <v/>
      </c>
      <c r="G835" s="1">
        <f>IF(ISNUMBER(B835),INT(B835),0)</f>
        <v/>
      </c>
      <c r="H835">
        <f>IF(AND(G835&gt;0,D835="Water",OR(C835="",C835="All beds")),G835,0)</f>
        <v/>
      </c>
    </row>
    <row r="836">
      <c r="A836" s="1" t="n"/>
      <c r="B836" s="17" t="n"/>
      <c r="C836" s="18" t="n"/>
      <c r="D836" s="19" t="n"/>
      <c r="E836" s="21" t="n"/>
      <c r="F836" s="11">
        <f>IF(AND(B836="",C836="",D836=""),"",IF(NOT(ISNUMBER(B836)),"Needs a date",IF(D836="","Needs the job",IF(AND(C836&lt;&gt;"",C836&lt;&gt;"All beds",COUNTIF(Beds!$B$6:$B$35,C836)=0),"Not on Beds",""))))</f>
        <v/>
      </c>
      <c r="G836" s="1">
        <f>IF(ISNUMBER(B836),INT(B836),0)</f>
        <v/>
      </c>
      <c r="H836">
        <f>IF(AND(G836&gt;0,D836="Water",OR(C836="",C836="All beds")),G836,0)</f>
        <v/>
      </c>
    </row>
    <row r="837">
      <c r="A837" s="1" t="n"/>
      <c r="B837" s="17" t="n"/>
      <c r="C837" s="18" t="n"/>
      <c r="D837" s="19" t="n"/>
      <c r="E837" s="21" t="n"/>
      <c r="F837" s="11">
        <f>IF(AND(B837="",C837="",D837=""),"",IF(NOT(ISNUMBER(B837)),"Needs a date",IF(D837="","Needs the job",IF(AND(C837&lt;&gt;"",C837&lt;&gt;"All beds",COUNTIF(Beds!$B$6:$B$35,C837)=0),"Not on Beds",""))))</f>
        <v/>
      </c>
      <c r="G837" s="1">
        <f>IF(ISNUMBER(B837),INT(B837),0)</f>
        <v/>
      </c>
      <c r="H837">
        <f>IF(AND(G837&gt;0,D837="Water",OR(C837="",C837="All beds")),G837,0)</f>
        <v/>
      </c>
    </row>
    <row r="838">
      <c r="A838" s="1" t="n"/>
      <c r="B838" s="17" t="n"/>
      <c r="C838" s="18" t="n"/>
      <c r="D838" s="19" t="n"/>
      <c r="E838" s="21" t="n"/>
      <c r="F838" s="11">
        <f>IF(AND(B838="",C838="",D838=""),"",IF(NOT(ISNUMBER(B838)),"Needs a date",IF(D838="","Needs the job",IF(AND(C838&lt;&gt;"",C838&lt;&gt;"All beds",COUNTIF(Beds!$B$6:$B$35,C838)=0),"Not on Beds",""))))</f>
        <v/>
      </c>
      <c r="G838" s="1">
        <f>IF(ISNUMBER(B838),INT(B838),0)</f>
        <v/>
      </c>
      <c r="H838">
        <f>IF(AND(G838&gt;0,D838="Water",OR(C838="",C838="All beds")),G838,0)</f>
        <v/>
      </c>
    </row>
    <row r="839">
      <c r="A839" s="1" t="n"/>
      <c r="B839" s="17" t="n"/>
      <c r="C839" s="18" t="n"/>
      <c r="D839" s="19" t="n"/>
      <c r="E839" s="21" t="n"/>
      <c r="F839" s="11">
        <f>IF(AND(B839="",C839="",D839=""),"",IF(NOT(ISNUMBER(B839)),"Needs a date",IF(D839="","Needs the job",IF(AND(C839&lt;&gt;"",C839&lt;&gt;"All beds",COUNTIF(Beds!$B$6:$B$35,C839)=0),"Not on Beds",""))))</f>
        <v/>
      </c>
      <c r="G839" s="1">
        <f>IF(ISNUMBER(B839),INT(B839),0)</f>
        <v/>
      </c>
      <c r="H839">
        <f>IF(AND(G839&gt;0,D839="Water",OR(C839="",C839="All beds")),G839,0)</f>
        <v/>
      </c>
    </row>
    <row r="840">
      <c r="A840" s="1" t="n"/>
      <c r="B840" s="17" t="n"/>
      <c r="C840" s="18" t="n"/>
      <c r="D840" s="19" t="n"/>
      <c r="E840" s="21" t="n"/>
      <c r="F840" s="11">
        <f>IF(AND(B840="",C840="",D840=""),"",IF(NOT(ISNUMBER(B840)),"Needs a date",IF(D840="","Needs the job",IF(AND(C840&lt;&gt;"",C840&lt;&gt;"All beds",COUNTIF(Beds!$B$6:$B$35,C840)=0),"Not on Beds",""))))</f>
        <v/>
      </c>
      <c r="G840" s="1">
        <f>IF(ISNUMBER(B840),INT(B840),0)</f>
        <v/>
      </c>
      <c r="H840">
        <f>IF(AND(G840&gt;0,D840="Water",OR(C840="",C840="All beds")),G840,0)</f>
        <v/>
      </c>
    </row>
    <row r="841">
      <c r="A841" s="1" t="n"/>
      <c r="B841" s="17" t="n"/>
      <c r="C841" s="18" t="n"/>
      <c r="D841" s="19" t="n"/>
      <c r="E841" s="21" t="n"/>
      <c r="F841" s="11">
        <f>IF(AND(B841="",C841="",D841=""),"",IF(NOT(ISNUMBER(B841)),"Needs a date",IF(D841="","Needs the job",IF(AND(C841&lt;&gt;"",C841&lt;&gt;"All beds",COUNTIF(Beds!$B$6:$B$35,C841)=0),"Not on Beds",""))))</f>
        <v/>
      </c>
      <c r="G841" s="1">
        <f>IF(ISNUMBER(B841),INT(B841),0)</f>
        <v/>
      </c>
      <c r="H841">
        <f>IF(AND(G841&gt;0,D841="Water",OR(C841="",C841="All beds")),G841,0)</f>
        <v/>
      </c>
    </row>
    <row r="842">
      <c r="A842" s="1" t="n"/>
      <c r="B842" s="17" t="n"/>
      <c r="C842" s="18" t="n"/>
      <c r="D842" s="19" t="n"/>
      <c r="E842" s="21" t="n"/>
      <c r="F842" s="11">
        <f>IF(AND(B842="",C842="",D842=""),"",IF(NOT(ISNUMBER(B842)),"Needs a date",IF(D842="","Needs the job",IF(AND(C842&lt;&gt;"",C842&lt;&gt;"All beds",COUNTIF(Beds!$B$6:$B$35,C842)=0),"Not on Beds",""))))</f>
        <v/>
      </c>
      <c r="G842" s="1">
        <f>IF(ISNUMBER(B842),INT(B842),0)</f>
        <v/>
      </c>
      <c r="H842">
        <f>IF(AND(G842&gt;0,D842="Water",OR(C842="",C842="All beds")),G842,0)</f>
        <v/>
      </c>
    </row>
    <row r="843">
      <c r="A843" s="1" t="n"/>
      <c r="B843" s="17" t="n"/>
      <c r="C843" s="18" t="n"/>
      <c r="D843" s="19" t="n"/>
      <c r="E843" s="21" t="n"/>
      <c r="F843" s="11">
        <f>IF(AND(B843="",C843="",D843=""),"",IF(NOT(ISNUMBER(B843)),"Needs a date",IF(D843="","Needs the job",IF(AND(C843&lt;&gt;"",C843&lt;&gt;"All beds",COUNTIF(Beds!$B$6:$B$35,C843)=0),"Not on Beds",""))))</f>
        <v/>
      </c>
      <c r="G843" s="1">
        <f>IF(ISNUMBER(B843),INT(B843),0)</f>
        <v/>
      </c>
      <c r="H843">
        <f>IF(AND(G843&gt;0,D843="Water",OR(C843="",C843="All beds")),G843,0)</f>
        <v/>
      </c>
    </row>
    <row r="844">
      <c r="A844" s="1" t="n"/>
      <c r="B844" s="17" t="n"/>
      <c r="C844" s="18" t="n"/>
      <c r="D844" s="19" t="n"/>
      <c r="E844" s="21" t="n"/>
      <c r="F844" s="11">
        <f>IF(AND(B844="",C844="",D844=""),"",IF(NOT(ISNUMBER(B844)),"Needs a date",IF(D844="","Needs the job",IF(AND(C844&lt;&gt;"",C844&lt;&gt;"All beds",COUNTIF(Beds!$B$6:$B$35,C844)=0),"Not on Beds",""))))</f>
        <v/>
      </c>
      <c r="G844" s="1">
        <f>IF(ISNUMBER(B844),INT(B844),0)</f>
        <v/>
      </c>
      <c r="H844">
        <f>IF(AND(G844&gt;0,D844="Water",OR(C844="",C844="All beds")),G844,0)</f>
        <v/>
      </c>
    </row>
    <row r="845">
      <c r="A845" s="1" t="n"/>
      <c r="B845" s="17" t="n"/>
      <c r="C845" s="18" t="n"/>
      <c r="D845" s="19" t="n"/>
      <c r="E845" s="21" t="n"/>
      <c r="F845" s="11">
        <f>IF(AND(B845="",C845="",D845=""),"",IF(NOT(ISNUMBER(B845)),"Needs a date",IF(D845="","Needs the job",IF(AND(C845&lt;&gt;"",C845&lt;&gt;"All beds",COUNTIF(Beds!$B$6:$B$35,C845)=0),"Not on Beds",""))))</f>
        <v/>
      </c>
      <c r="G845" s="1">
        <f>IF(ISNUMBER(B845),INT(B845),0)</f>
        <v/>
      </c>
      <c r="H845">
        <f>IF(AND(G845&gt;0,D845="Water",OR(C845="",C845="All beds")),G845,0)</f>
        <v/>
      </c>
    </row>
    <row r="846">
      <c r="A846" s="1" t="n"/>
      <c r="B846" s="17" t="n"/>
      <c r="C846" s="18" t="n"/>
      <c r="D846" s="19" t="n"/>
      <c r="E846" s="21" t="n"/>
      <c r="F846" s="11">
        <f>IF(AND(B846="",C846="",D846=""),"",IF(NOT(ISNUMBER(B846)),"Needs a date",IF(D846="","Needs the job",IF(AND(C846&lt;&gt;"",C846&lt;&gt;"All beds",COUNTIF(Beds!$B$6:$B$35,C846)=0),"Not on Beds",""))))</f>
        <v/>
      </c>
      <c r="G846" s="1">
        <f>IF(ISNUMBER(B846),INT(B846),0)</f>
        <v/>
      </c>
      <c r="H846">
        <f>IF(AND(G846&gt;0,D846="Water",OR(C846="",C846="All beds")),G846,0)</f>
        <v/>
      </c>
    </row>
    <row r="847">
      <c r="A847" s="1" t="n"/>
      <c r="B847" s="17" t="n"/>
      <c r="C847" s="18" t="n"/>
      <c r="D847" s="19" t="n"/>
      <c r="E847" s="21" t="n"/>
      <c r="F847" s="11">
        <f>IF(AND(B847="",C847="",D847=""),"",IF(NOT(ISNUMBER(B847)),"Needs a date",IF(D847="","Needs the job",IF(AND(C847&lt;&gt;"",C847&lt;&gt;"All beds",COUNTIF(Beds!$B$6:$B$35,C847)=0),"Not on Beds",""))))</f>
        <v/>
      </c>
      <c r="G847" s="1">
        <f>IF(ISNUMBER(B847),INT(B847),0)</f>
        <v/>
      </c>
      <c r="H847">
        <f>IF(AND(G847&gt;0,D847="Water",OR(C847="",C847="All beds")),G847,0)</f>
        <v/>
      </c>
    </row>
    <row r="848">
      <c r="A848" s="1" t="n"/>
      <c r="B848" s="17" t="n"/>
      <c r="C848" s="18" t="n"/>
      <c r="D848" s="19" t="n"/>
      <c r="E848" s="21" t="n"/>
      <c r="F848" s="11">
        <f>IF(AND(B848="",C848="",D848=""),"",IF(NOT(ISNUMBER(B848)),"Needs a date",IF(D848="","Needs the job",IF(AND(C848&lt;&gt;"",C848&lt;&gt;"All beds",COUNTIF(Beds!$B$6:$B$35,C848)=0),"Not on Beds",""))))</f>
        <v/>
      </c>
      <c r="G848" s="1">
        <f>IF(ISNUMBER(B848),INT(B848),0)</f>
        <v/>
      </c>
      <c r="H848">
        <f>IF(AND(G848&gt;0,D848="Water",OR(C848="",C848="All beds")),G848,0)</f>
        <v/>
      </c>
    </row>
    <row r="849">
      <c r="A849" s="1" t="n"/>
      <c r="B849" s="17" t="n"/>
      <c r="C849" s="18" t="n"/>
      <c r="D849" s="19" t="n"/>
      <c r="E849" s="21" t="n"/>
      <c r="F849" s="11">
        <f>IF(AND(B849="",C849="",D849=""),"",IF(NOT(ISNUMBER(B849)),"Needs a date",IF(D849="","Needs the job",IF(AND(C849&lt;&gt;"",C849&lt;&gt;"All beds",COUNTIF(Beds!$B$6:$B$35,C849)=0),"Not on Beds",""))))</f>
        <v/>
      </c>
      <c r="G849" s="1">
        <f>IF(ISNUMBER(B849),INT(B849),0)</f>
        <v/>
      </c>
      <c r="H849">
        <f>IF(AND(G849&gt;0,D849="Water",OR(C849="",C849="All beds")),G849,0)</f>
        <v/>
      </c>
    </row>
    <row r="850">
      <c r="A850" s="1" t="n"/>
      <c r="B850" s="17" t="n"/>
      <c r="C850" s="18" t="n"/>
      <c r="D850" s="19" t="n"/>
      <c r="E850" s="21" t="n"/>
      <c r="F850" s="11">
        <f>IF(AND(B850="",C850="",D850=""),"",IF(NOT(ISNUMBER(B850)),"Needs a date",IF(D850="","Needs the job",IF(AND(C850&lt;&gt;"",C850&lt;&gt;"All beds",COUNTIF(Beds!$B$6:$B$35,C850)=0),"Not on Beds",""))))</f>
        <v/>
      </c>
      <c r="G850" s="1">
        <f>IF(ISNUMBER(B850),INT(B850),0)</f>
        <v/>
      </c>
      <c r="H850">
        <f>IF(AND(G850&gt;0,D850="Water",OR(C850="",C850="All beds")),G850,0)</f>
        <v/>
      </c>
    </row>
    <row r="851">
      <c r="A851" s="1" t="n"/>
      <c r="B851" s="17" t="n"/>
      <c r="C851" s="18" t="n"/>
      <c r="D851" s="19" t="n"/>
      <c r="E851" s="21" t="n"/>
      <c r="F851" s="11">
        <f>IF(AND(B851="",C851="",D851=""),"",IF(NOT(ISNUMBER(B851)),"Needs a date",IF(D851="","Needs the job",IF(AND(C851&lt;&gt;"",C851&lt;&gt;"All beds",COUNTIF(Beds!$B$6:$B$35,C851)=0),"Not on Beds",""))))</f>
        <v/>
      </c>
      <c r="G851" s="1">
        <f>IF(ISNUMBER(B851),INT(B851),0)</f>
        <v/>
      </c>
      <c r="H851">
        <f>IF(AND(G851&gt;0,D851="Water",OR(C851="",C851="All beds")),G851,0)</f>
        <v/>
      </c>
    </row>
    <row r="852">
      <c r="A852" s="1" t="n"/>
      <c r="B852" s="17" t="n"/>
      <c r="C852" s="18" t="n"/>
      <c r="D852" s="19" t="n"/>
      <c r="E852" s="21" t="n"/>
      <c r="F852" s="11">
        <f>IF(AND(B852="",C852="",D852=""),"",IF(NOT(ISNUMBER(B852)),"Needs a date",IF(D852="","Needs the job",IF(AND(C852&lt;&gt;"",C852&lt;&gt;"All beds",COUNTIF(Beds!$B$6:$B$35,C852)=0),"Not on Beds",""))))</f>
        <v/>
      </c>
      <c r="G852" s="1">
        <f>IF(ISNUMBER(B852),INT(B852),0)</f>
        <v/>
      </c>
      <c r="H852">
        <f>IF(AND(G852&gt;0,D852="Water",OR(C852="",C852="All beds")),G852,0)</f>
        <v/>
      </c>
    </row>
    <row r="853">
      <c r="A853" s="1" t="n"/>
      <c r="B853" s="17" t="n"/>
      <c r="C853" s="18" t="n"/>
      <c r="D853" s="19" t="n"/>
      <c r="E853" s="21" t="n"/>
      <c r="F853" s="11">
        <f>IF(AND(B853="",C853="",D853=""),"",IF(NOT(ISNUMBER(B853)),"Needs a date",IF(D853="","Needs the job",IF(AND(C853&lt;&gt;"",C853&lt;&gt;"All beds",COUNTIF(Beds!$B$6:$B$35,C853)=0),"Not on Beds",""))))</f>
        <v/>
      </c>
      <c r="G853" s="1">
        <f>IF(ISNUMBER(B853),INT(B853),0)</f>
        <v/>
      </c>
      <c r="H853">
        <f>IF(AND(G853&gt;0,D853="Water",OR(C853="",C853="All beds")),G853,0)</f>
        <v/>
      </c>
    </row>
    <row r="854">
      <c r="A854" s="1" t="n"/>
      <c r="B854" s="17" t="n"/>
      <c r="C854" s="18" t="n"/>
      <c r="D854" s="19" t="n"/>
      <c r="E854" s="21" t="n"/>
      <c r="F854" s="11">
        <f>IF(AND(B854="",C854="",D854=""),"",IF(NOT(ISNUMBER(B854)),"Needs a date",IF(D854="","Needs the job",IF(AND(C854&lt;&gt;"",C854&lt;&gt;"All beds",COUNTIF(Beds!$B$6:$B$35,C854)=0),"Not on Beds",""))))</f>
        <v/>
      </c>
      <c r="G854" s="1">
        <f>IF(ISNUMBER(B854),INT(B854),0)</f>
        <v/>
      </c>
      <c r="H854">
        <f>IF(AND(G854&gt;0,D854="Water",OR(C854="",C854="All beds")),G854,0)</f>
        <v/>
      </c>
    </row>
    <row r="855">
      <c r="A855" s="1" t="n"/>
      <c r="B855" s="17" t="n"/>
      <c r="C855" s="18" t="n"/>
      <c r="D855" s="19" t="n"/>
      <c r="E855" s="21" t="n"/>
      <c r="F855" s="11">
        <f>IF(AND(B855="",C855="",D855=""),"",IF(NOT(ISNUMBER(B855)),"Needs a date",IF(D855="","Needs the job",IF(AND(C855&lt;&gt;"",C855&lt;&gt;"All beds",COUNTIF(Beds!$B$6:$B$35,C855)=0),"Not on Beds",""))))</f>
        <v/>
      </c>
      <c r="G855" s="1">
        <f>IF(ISNUMBER(B855),INT(B855),0)</f>
        <v/>
      </c>
      <c r="H855">
        <f>IF(AND(G855&gt;0,D855="Water",OR(C855="",C855="All beds")),G855,0)</f>
        <v/>
      </c>
    </row>
    <row r="856">
      <c r="A856" s="1" t="n"/>
      <c r="B856" s="17" t="n"/>
      <c r="C856" s="18" t="n"/>
      <c r="D856" s="19" t="n"/>
      <c r="E856" s="21" t="n"/>
      <c r="F856" s="11">
        <f>IF(AND(B856="",C856="",D856=""),"",IF(NOT(ISNUMBER(B856)),"Needs a date",IF(D856="","Needs the job",IF(AND(C856&lt;&gt;"",C856&lt;&gt;"All beds",COUNTIF(Beds!$B$6:$B$35,C856)=0),"Not on Beds",""))))</f>
        <v/>
      </c>
      <c r="G856" s="1">
        <f>IF(ISNUMBER(B856),INT(B856),0)</f>
        <v/>
      </c>
      <c r="H856">
        <f>IF(AND(G856&gt;0,D856="Water",OR(C856="",C856="All beds")),G856,0)</f>
        <v/>
      </c>
    </row>
    <row r="857">
      <c r="A857" s="1" t="n"/>
      <c r="B857" s="17" t="n"/>
      <c r="C857" s="18" t="n"/>
      <c r="D857" s="19" t="n"/>
      <c r="E857" s="21" t="n"/>
      <c r="F857" s="11">
        <f>IF(AND(B857="",C857="",D857=""),"",IF(NOT(ISNUMBER(B857)),"Needs a date",IF(D857="","Needs the job",IF(AND(C857&lt;&gt;"",C857&lt;&gt;"All beds",COUNTIF(Beds!$B$6:$B$35,C857)=0),"Not on Beds",""))))</f>
        <v/>
      </c>
      <c r="G857" s="1">
        <f>IF(ISNUMBER(B857),INT(B857),0)</f>
        <v/>
      </c>
      <c r="H857">
        <f>IF(AND(G857&gt;0,D857="Water",OR(C857="",C857="All beds")),G857,0)</f>
        <v/>
      </c>
    </row>
    <row r="858">
      <c r="A858" s="1" t="n"/>
      <c r="B858" s="17" t="n"/>
      <c r="C858" s="18" t="n"/>
      <c r="D858" s="19" t="n"/>
      <c r="E858" s="21" t="n"/>
      <c r="F858" s="11">
        <f>IF(AND(B858="",C858="",D858=""),"",IF(NOT(ISNUMBER(B858)),"Needs a date",IF(D858="","Needs the job",IF(AND(C858&lt;&gt;"",C858&lt;&gt;"All beds",COUNTIF(Beds!$B$6:$B$35,C858)=0),"Not on Beds",""))))</f>
        <v/>
      </c>
      <c r="G858" s="1">
        <f>IF(ISNUMBER(B858),INT(B858),0)</f>
        <v/>
      </c>
      <c r="H858">
        <f>IF(AND(G858&gt;0,D858="Water",OR(C858="",C858="All beds")),G858,0)</f>
        <v/>
      </c>
    </row>
    <row r="859">
      <c r="A859" s="1" t="n"/>
      <c r="B859" s="17" t="n"/>
      <c r="C859" s="18" t="n"/>
      <c r="D859" s="19" t="n"/>
      <c r="E859" s="21" t="n"/>
      <c r="F859" s="11">
        <f>IF(AND(B859="",C859="",D859=""),"",IF(NOT(ISNUMBER(B859)),"Needs a date",IF(D859="","Needs the job",IF(AND(C859&lt;&gt;"",C859&lt;&gt;"All beds",COUNTIF(Beds!$B$6:$B$35,C859)=0),"Not on Beds",""))))</f>
        <v/>
      </c>
      <c r="G859" s="1">
        <f>IF(ISNUMBER(B859),INT(B859),0)</f>
        <v/>
      </c>
      <c r="H859">
        <f>IF(AND(G859&gt;0,D859="Water",OR(C859="",C859="All beds")),G859,0)</f>
        <v/>
      </c>
    </row>
    <row r="860">
      <c r="A860" s="1" t="n"/>
      <c r="B860" s="17" t="n"/>
      <c r="C860" s="18" t="n"/>
      <c r="D860" s="19" t="n"/>
      <c r="E860" s="21" t="n"/>
      <c r="F860" s="11">
        <f>IF(AND(B860="",C860="",D860=""),"",IF(NOT(ISNUMBER(B860)),"Needs a date",IF(D860="","Needs the job",IF(AND(C860&lt;&gt;"",C860&lt;&gt;"All beds",COUNTIF(Beds!$B$6:$B$35,C860)=0),"Not on Beds",""))))</f>
        <v/>
      </c>
      <c r="G860" s="1">
        <f>IF(ISNUMBER(B860),INT(B860),0)</f>
        <v/>
      </c>
      <c r="H860">
        <f>IF(AND(G860&gt;0,D860="Water",OR(C860="",C860="All beds")),G860,0)</f>
        <v/>
      </c>
    </row>
    <row r="861">
      <c r="A861" s="1" t="n"/>
      <c r="B861" s="17" t="n"/>
      <c r="C861" s="18" t="n"/>
      <c r="D861" s="19" t="n"/>
      <c r="E861" s="21" t="n"/>
      <c r="F861" s="11">
        <f>IF(AND(B861="",C861="",D861=""),"",IF(NOT(ISNUMBER(B861)),"Needs a date",IF(D861="","Needs the job",IF(AND(C861&lt;&gt;"",C861&lt;&gt;"All beds",COUNTIF(Beds!$B$6:$B$35,C861)=0),"Not on Beds",""))))</f>
        <v/>
      </c>
      <c r="G861" s="1">
        <f>IF(ISNUMBER(B861),INT(B861),0)</f>
        <v/>
      </c>
      <c r="H861">
        <f>IF(AND(G861&gt;0,D861="Water",OR(C861="",C861="All beds")),G861,0)</f>
        <v/>
      </c>
    </row>
    <row r="862">
      <c r="A862" s="1" t="n"/>
      <c r="B862" s="17" t="n"/>
      <c r="C862" s="18" t="n"/>
      <c r="D862" s="19" t="n"/>
      <c r="E862" s="21" t="n"/>
      <c r="F862" s="11">
        <f>IF(AND(B862="",C862="",D862=""),"",IF(NOT(ISNUMBER(B862)),"Needs a date",IF(D862="","Needs the job",IF(AND(C862&lt;&gt;"",C862&lt;&gt;"All beds",COUNTIF(Beds!$B$6:$B$35,C862)=0),"Not on Beds",""))))</f>
        <v/>
      </c>
      <c r="G862" s="1">
        <f>IF(ISNUMBER(B862),INT(B862),0)</f>
        <v/>
      </c>
      <c r="H862">
        <f>IF(AND(G862&gt;0,D862="Water",OR(C862="",C862="All beds")),G862,0)</f>
        <v/>
      </c>
    </row>
    <row r="863">
      <c r="A863" s="1" t="n"/>
      <c r="B863" s="17" t="n"/>
      <c r="C863" s="18" t="n"/>
      <c r="D863" s="19" t="n"/>
      <c r="E863" s="21" t="n"/>
      <c r="F863" s="11">
        <f>IF(AND(B863="",C863="",D863=""),"",IF(NOT(ISNUMBER(B863)),"Needs a date",IF(D863="","Needs the job",IF(AND(C863&lt;&gt;"",C863&lt;&gt;"All beds",COUNTIF(Beds!$B$6:$B$35,C863)=0),"Not on Beds",""))))</f>
        <v/>
      </c>
      <c r="G863" s="1">
        <f>IF(ISNUMBER(B863),INT(B863),0)</f>
        <v/>
      </c>
      <c r="H863">
        <f>IF(AND(G863&gt;0,D863="Water",OR(C863="",C863="All beds")),G863,0)</f>
        <v/>
      </c>
    </row>
    <row r="864">
      <c r="A864" s="1" t="n"/>
      <c r="B864" s="17" t="n"/>
      <c r="C864" s="18" t="n"/>
      <c r="D864" s="19" t="n"/>
      <c r="E864" s="21" t="n"/>
      <c r="F864" s="11">
        <f>IF(AND(B864="",C864="",D864=""),"",IF(NOT(ISNUMBER(B864)),"Needs a date",IF(D864="","Needs the job",IF(AND(C864&lt;&gt;"",C864&lt;&gt;"All beds",COUNTIF(Beds!$B$6:$B$35,C864)=0),"Not on Beds",""))))</f>
        <v/>
      </c>
      <c r="G864" s="1">
        <f>IF(ISNUMBER(B864),INT(B864),0)</f>
        <v/>
      </c>
      <c r="H864">
        <f>IF(AND(G864&gt;0,D864="Water",OR(C864="",C864="All beds")),G864,0)</f>
        <v/>
      </c>
    </row>
    <row r="865">
      <c r="A865" s="1" t="n"/>
      <c r="B865" s="17" t="n"/>
      <c r="C865" s="18" t="n"/>
      <c r="D865" s="19" t="n"/>
      <c r="E865" s="21" t="n"/>
      <c r="F865" s="11">
        <f>IF(AND(B865="",C865="",D865=""),"",IF(NOT(ISNUMBER(B865)),"Needs a date",IF(D865="","Needs the job",IF(AND(C865&lt;&gt;"",C865&lt;&gt;"All beds",COUNTIF(Beds!$B$6:$B$35,C865)=0),"Not on Beds",""))))</f>
        <v/>
      </c>
      <c r="G865" s="1">
        <f>IF(ISNUMBER(B865),INT(B865),0)</f>
        <v/>
      </c>
      <c r="H865">
        <f>IF(AND(G865&gt;0,D865="Water",OR(C865="",C865="All beds")),G865,0)</f>
        <v/>
      </c>
    </row>
    <row r="866">
      <c r="A866" s="1" t="n"/>
      <c r="B866" s="17" t="n"/>
      <c r="C866" s="18" t="n"/>
      <c r="D866" s="19" t="n"/>
      <c r="E866" s="21" t="n"/>
      <c r="F866" s="11">
        <f>IF(AND(B866="",C866="",D866=""),"",IF(NOT(ISNUMBER(B866)),"Needs a date",IF(D866="","Needs the job",IF(AND(C866&lt;&gt;"",C866&lt;&gt;"All beds",COUNTIF(Beds!$B$6:$B$35,C866)=0),"Not on Beds",""))))</f>
        <v/>
      </c>
      <c r="G866" s="1">
        <f>IF(ISNUMBER(B866),INT(B866),0)</f>
        <v/>
      </c>
      <c r="H866">
        <f>IF(AND(G866&gt;0,D866="Water",OR(C866="",C866="All beds")),G866,0)</f>
        <v/>
      </c>
    </row>
    <row r="867">
      <c r="A867" s="1" t="n"/>
      <c r="B867" s="17" t="n"/>
      <c r="C867" s="18" t="n"/>
      <c r="D867" s="19" t="n"/>
      <c r="E867" s="21" t="n"/>
      <c r="F867" s="11">
        <f>IF(AND(B867="",C867="",D867=""),"",IF(NOT(ISNUMBER(B867)),"Needs a date",IF(D867="","Needs the job",IF(AND(C867&lt;&gt;"",C867&lt;&gt;"All beds",COUNTIF(Beds!$B$6:$B$35,C867)=0),"Not on Beds",""))))</f>
        <v/>
      </c>
      <c r="G867" s="1">
        <f>IF(ISNUMBER(B867),INT(B867),0)</f>
        <v/>
      </c>
      <c r="H867">
        <f>IF(AND(G867&gt;0,D867="Water",OR(C867="",C867="All beds")),G867,0)</f>
        <v/>
      </c>
    </row>
    <row r="868">
      <c r="A868" s="1" t="n"/>
      <c r="B868" s="17" t="n"/>
      <c r="C868" s="18" t="n"/>
      <c r="D868" s="19" t="n"/>
      <c r="E868" s="21" t="n"/>
      <c r="F868" s="11">
        <f>IF(AND(B868="",C868="",D868=""),"",IF(NOT(ISNUMBER(B868)),"Needs a date",IF(D868="","Needs the job",IF(AND(C868&lt;&gt;"",C868&lt;&gt;"All beds",COUNTIF(Beds!$B$6:$B$35,C868)=0),"Not on Beds",""))))</f>
        <v/>
      </c>
      <c r="G868" s="1">
        <f>IF(ISNUMBER(B868),INT(B868),0)</f>
        <v/>
      </c>
      <c r="H868">
        <f>IF(AND(G868&gt;0,D868="Water",OR(C868="",C868="All beds")),G868,0)</f>
        <v/>
      </c>
    </row>
    <row r="869">
      <c r="A869" s="1" t="n"/>
      <c r="B869" s="17" t="n"/>
      <c r="C869" s="18" t="n"/>
      <c r="D869" s="19" t="n"/>
      <c r="E869" s="21" t="n"/>
      <c r="F869" s="11">
        <f>IF(AND(B869="",C869="",D869=""),"",IF(NOT(ISNUMBER(B869)),"Needs a date",IF(D869="","Needs the job",IF(AND(C869&lt;&gt;"",C869&lt;&gt;"All beds",COUNTIF(Beds!$B$6:$B$35,C869)=0),"Not on Beds",""))))</f>
        <v/>
      </c>
      <c r="G869" s="1">
        <f>IF(ISNUMBER(B869),INT(B869),0)</f>
        <v/>
      </c>
      <c r="H869">
        <f>IF(AND(G869&gt;0,D869="Water",OR(C869="",C869="All beds")),G869,0)</f>
        <v/>
      </c>
    </row>
    <row r="870">
      <c r="A870" s="1" t="n"/>
      <c r="B870" s="17" t="n"/>
      <c r="C870" s="18" t="n"/>
      <c r="D870" s="19" t="n"/>
      <c r="E870" s="21" t="n"/>
      <c r="F870" s="11">
        <f>IF(AND(B870="",C870="",D870=""),"",IF(NOT(ISNUMBER(B870)),"Needs a date",IF(D870="","Needs the job",IF(AND(C870&lt;&gt;"",C870&lt;&gt;"All beds",COUNTIF(Beds!$B$6:$B$35,C870)=0),"Not on Beds",""))))</f>
        <v/>
      </c>
      <c r="G870" s="1">
        <f>IF(ISNUMBER(B870),INT(B870),0)</f>
        <v/>
      </c>
      <c r="H870">
        <f>IF(AND(G870&gt;0,D870="Water",OR(C870="",C870="All beds")),G870,0)</f>
        <v/>
      </c>
    </row>
    <row r="871">
      <c r="A871" s="1" t="n"/>
      <c r="B871" s="17" t="n"/>
      <c r="C871" s="18" t="n"/>
      <c r="D871" s="19" t="n"/>
      <c r="E871" s="21" t="n"/>
      <c r="F871" s="11">
        <f>IF(AND(B871="",C871="",D871=""),"",IF(NOT(ISNUMBER(B871)),"Needs a date",IF(D871="","Needs the job",IF(AND(C871&lt;&gt;"",C871&lt;&gt;"All beds",COUNTIF(Beds!$B$6:$B$35,C871)=0),"Not on Beds",""))))</f>
        <v/>
      </c>
      <c r="G871" s="1">
        <f>IF(ISNUMBER(B871),INT(B871),0)</f>
        <v/>
      </c>
      <c r="H871">
        <f>IF(AND(G871&gt;0,D871="Water",OR(C871="",C871="All beds")),G871,0)</f>
        <v/>
      </c>
    </row>
    <row r="872">
      <c r="A872" s="1" t="n"/>
      <c r="B872" s="17" t="n"/>
      <c r="C872" s="18" t="n"/>
      <c r="D872" s="19" t="n"/>
      <c r="E872" s="21" t="n"/>
      <c r="F872" s="11">
        <f>IF(AND(B872="",C872="",D872=""),"",IF(NOT(ISNUMBER(B872)),"Needs a date",IF(D872="","Needs the job",IF(AND(C872&lt;&gt;"",C872&lt;&gt;"All beds",COUNTIF(Beds!$B$6:$B$35,C872)=0),"Not on Beds",""))))</f>
        <v/>
      </c>
      <c r="G872" s="1">
        <f>IF(ISNUMBER(B872),INT(B872),0)</f>
        <v/>
      </c>
      <c r="H872">
        <f>IF(AND(G872&gt;0,D872="Water",OR(C872="",C872="All beds")),G872,0)</f>
        <v/>
      </c>
    </row>
    <row r="873">
      <c r="A873" s="1" t="n"/>
      <c r="B873" s="17" t="n"/>
      <c r="C873" s="18" t="n"/>
      <c r="D873" s="19" t="n"/>
      <c r="E873" s="21" t="n"/>
      <c r="F873" s="11">
        <f>IF(AND(B873="",C873="",D873=""),"",IF(NOT(ISNUMBER(B873)),"Needs a date",IF(D873="","Needs the job",IF(AND(C873&lt;&gt;"",C873&lt;&gt;"All beds",COUNTIF(Beds!$B$6:$B$35,C873)=0),"Not on Beds",""))))</f>
        <v/>
      </c>
      <c r="G873" s="1">
        <f>IF(ISNUMBER(B873),INT(B873),0)</f>
        <v/>
      </c>
      <c r="H873">
        <f>IF(AND(G873&gt;0,D873="Water",OR(C873="",C873="All beds")),G873,0)</f>
        <v/>
      </c>
    </row>
    <row r="874">
      <c r="A874" s="1" t="n"/>
      <c r="B874" s="17" t="n"/>
      <c r="C874" s="18" t="n"/>
      <c r="D874" s="19" t="n"/>
      <c r="E874" s="21" t="n"/>
      <c r="F874" s="11">
        <f>IF(AND(B874="",C874="",D874=""),"",IF(NOT(ISNUMBER(B874)),"Needs a date",IF(D874="","Needs the job",IF(AND(C874&lt;&gt;"",C874&lt;&gt;"All beds",COUNTIF(Beds!$B$6:$B$35,C874)=0),"Not on Beds",""))))</f>
        <v/>
      </c>
      <c r="G874" s="1">
        <f>IF(ISNUMBER(B874),INT(B874),0)</f>
        <v/>
      </c>
      <c r="H874">
        <f>IF(AND(G874&gt;0,D874="Water",OR(C874="",C874="All beds")),G874,0)</f>
        <v/>
      </c>
    </row>
    <row r="875">
      <c r="A875" s="1" t="n"/>
      <c r="B875" s="17" t="n"/>
      <c r="C875" s="18" t="n"/>
      <c r="D875" s="19" t="n"/>
      <c r="E875" s="21" t="n"/>
      <c r="F875" s="11">
        <f>IF(AND(B875="",C875="",D875=""),"",IF(NOT(ISNUMBER(B875)),"Needs a date",IF(D875="","Needs the job",IF(AND(C875&lt;&gt;"",C875&lt;&gt;"All beds",COUNTIF(Beds!$B$6:$B$35,C875)=0),"Not on Beds",""))))</f>
        <v/>
      </c>
      <c r="G875" s="1">
        <f>IF(ISNUMBER(B875),INT(B875),0)</f>
        <v/>
      </c>
      <c r="H875">
        <f>IF(AND(G875&gt;0,D875="Water",OR(C875="",C875="All beds")),G875,0)</f>
        <v/>
      </c>
    </row>
    <row r="876">
      <c r="A876" s="1" t="n"/>
      <c r="B876" s="17" t="n"/>
      <c r="C876" s="18" t="n"/>
      <c r="D876" s="19" t="n"/>
      <c r="E876" s="21" t="n"/>
      <c r="F876" s="11">
        <f>IF(AND(B876="",C876="",D876=""),"",IF(NOT(ISNUMBER(B876)),"Needs a date",IF(D876="","Needs the job",IF(AND(C876&lt;&gt;"",C876&lt;&gt;"All beds",COUNTIF(Beds!$B$6:$B$35,C876)=0),"Not on Beds",""))))</f>
        <v/>
      </c>
      <c r="G876" s="1">
        <f>IF(ISNUMBER(B876),INT(B876),0)</f>
        <v/>
      </c>
      <c r="H876">
        <f>IF(AND(G876&gt;0,D876="Water",OR(C876="",C876="All beds")),G876,0)</f>
        <v/>
      </c>
    </row>
    <row r="877">
      <c r="A877" s="1" t="n"/>
      <c r="B877" s="17" t="n"/>
      <c r="C877" s="18" t="n"/>
      <c r="D877" s="19" t="n"/>
      <c r="E877" s="21" t="n"/>
      <c r="F877" s="11">
        <f>IF(AND(B877="",C877="",D877=""),"",IF(NOT(ISNUMBER(B877)),"Needs a date",IF(D877="","Needs the job",IF(AND(C877&lt;&gt;"",C877&lt;&gt;"All beds",COUNTIF(Beds!$B$6:$B$35,C877)=0),"Not on Beds",""))))</f>
        <v/>
      </c>
      <c r="G877" s="1">
        <f>IF(ISNUMBER(B877),INT(B877),0)</f>
        <v/>
      </c>
      <c r="H877">
        <f>IF(AND(G877&gt;0,D877="Water",OR(C877="",C877="All beds")),G877,0)</f>
        <v/>
      </c>
    </row>
    <row r="878">
      <c r="A878" s="1" t="n"/>
      <c r="B878" s="17" t="n"/>
      <c r="C878" s="18" t="n"/>
      <c r="D878" s="19" t="n"/>
      <c r="E878" s="21" t="n"/>
      <c r="F878" s="11">
        <f>IF(AND(B878="",C878="",D878=""),"",IF(NOT(ISNUMBER(B878)),"Needs a date",IF(D878="","Needs the job",IF(AND(C878&lt;&gt;"",C878&lt;&gt;"All beds",COUNTIF(Beds!$B$6:$B$35,C878)=0),"Not on Beds",""))))</f>
        <v/>
      </c>
      <c r="G878" s="1">
        <f>IF(ISNUMBER(B878),INT(B878),0)</f>
        <v/>
      </c>
      <c r="H878">
        <f>IF(AND(G878&gt;0,D878="Water",OR(C878="",C878="All beds")),G878,0)</f>
        <v/>
      </c>
    </row>
    <row r="879">
      <c r="A879" s="1" t="n"/>
      <c r="B879" s="17" t="n"/>
      <c r="C879" s="18" t="n"/>
      <c r="D879" s="19" t="n"/>
      <c r="E879" s="21" t="n"/>
      <c r="F879" s="11">
        <f>IF(AND(B879="",C879="",D879=""),"",IF(NOT(ISNUMBER(B879)),"Needs a date",IF(D879="","Needs the job",IF(AND(C879&lt;&gt;"",C879&lt;&gt;"All beds",COUNTIF(Beds!$B$6:$B$35,C879)=0),"Not on Beds",""))))</f>
        <v/>
      </c>
      <c r="G879" s="1">
        <f>IF(ISNUMBER(B879),INT(B879),0)</f>
        <v/>
      </c>
      <c r="H879">
        <f>IF(AND(G879&gt;0,D879="Water",OR(C879="",C879="All beds")),G879,0)</f>
        <v/>
      </c>
    </row>
    <row r="880">
      <c r="A880" s="1" t="n"/>
      <c r="B880" s="17" t="n"/>
      <c r="C880" s="18" t="n"/>
      <c r="D880" s="19" t="n"/>
      <c r="E880" s="21" t="n"/>
      <c r="F880" s="11">
        <f>IF(AND(B880="",C880="",D880=""),"",IF(NOT(ISNUMBER(B880)),"Needs a date",IF(D880="","Needs the job",IF(AND(C880&lt;&gt;"",C880&lt;&gt;"All beds",COUNTIF(Beds!$B$6:$B$35,C880)=0),"Not on Beds",""))))</f>
        <v/>
      </c>
      <c r="G880" s="1">
        <f>IF(ISNUMBER(B880),INT(B880),0)</f>
        <v/>
      </c>
      <c r="H880">
        <f>IF(AND(G880&gt;0,D880="Water",OR(C880="",C880="All beds")),G880,0)</f>
        <v/>
      </c>
    </row>
    <row r="881">
      <c r="A881" s="1" t="n"/>
      <c r="B881" s="17" t="n"/>
      <c r="C881" s="18" t="n"/>
      <c r="D881" s="19" t="n"/>
      <c r="E881" s="21" t="n"/>
      <c r="F881" s="11">
        <f>IF(AND(B881="",C881="",D881=""),"",IF(NOT(ISNUMBER(B881)),"Needs a date",IF(D881="","Needs the job",IF(AND(C881&lt;&gt;"",C881&lt;&gt;"All beds",COUNTIF(Beds!$B$6:$B$35,C881)=0),"Not on Beds",""))))</f>
        <v/>
      </c>
      <c r="G881" s="1">
        <f>IF(ISNUMBER(B881),INT(B881),0)</f>
        <v/>
      </c>
      <c r="H881">
        <f>IF(AND(G881&gt;0,D881="Water",OR(C881="",C881="All beds")),G881,0)</f>
        <v/>
      </c>
    </row>
    <row r="882">
      <c r="A882" s="1" t="n"/>
      <c r="B882" s="17" t="n"/>
      <c r="C882" s="18" t="n"/>
      <c r="D882" s="19" t="n"/>
      <c r="E882" s="21" t="n"/>
      <c r="F882" s="11">
        <f>IF(AND(B882="",C882="",D882=""),"",IF(NOT(ISNUMBER(B882)),"Needs a date",IF(D882="","Needs the job",IF(AND(C882&lt;&gt;"",C882&lt;&gt;"All beds",COUNTIF(Beds!$B$6:$B$35,C882)=0),"Not on Beds",""))))</f>
        <v/>
      </c>
      <c r="G882" s="1">
        <f>IF(ISNUMBER(B882),INT(B882),0)</f>
        <v/>
      </c>
      <c r="H882">
        <f>IF(AND(G882&gt;0,D882="Water",OR(C882="",C882="All beds")),G882,0)</f>
        <v/>
      </c>
    </row>
    <row r="883">
      <c r="A883" s="1" t="n"/>
      <c r="B883" s="17" t="n"/>
      <c r="C883" s="18" t="n"/>
      <c r="D883" s="19" t="n"/>
      <c r="E883" s="21" t="n"/>
      <c r="F883" s="11">
        <f>IF(AND(B883="",C883="",D883=""),"",IF(NOT(ISNUMBER(B883)),"Needs a date",IF(D883="","Needs the job",IF(AND(C883&lt;&gt;"",C883&lt;&gt;"All beds",COUNTIF(Beds!$B$6:$B$35,C883)=0),"Not on Beds",""))))</f>
        <v/>
      </c>
      <c r="G883" s="1">
        <f>IF(ISNUMBER(B883),INT(B883),0)</f>
        <v/>
      </c>
      <c r="H883">
        <f>IF(AND(G883&gt;0,D883="Water",OR(C883="",C883="All beds")),G883,0)</f>
        <v/>
      </c>
    </row>
    <row r="884">
      <c r="A884" s="1" t="n"/>
      <c r="B884" s="17" t="n"/>
      <c r="C884" s="18" t="n"/>
      <c r="D884" s="19" t="n"/>
      <c r="E884" s="21" t="n"/>
      <c r="F884" s="11">
        <f>IF(AND(B884="",C884="",D884=""),"",IF(NOT(ISNUMBER(B884)),"Needs a date",IF(D884="","Needs the job",IF(AND(C884&lt;&gt;"",C884&lt;&gt;"All beds",COUNTIF(Beds!$B$6:$B$35,C884)=0),"Not on Beds",""))))</f>
        <v/>
      </c>
      <c r="G884" s="1">
        <f>IF(ISNUMBER(B884),INT(B884),0)</f>
        <v/>
      </c>
      <c r="H884">
        <f>IF(AND(G884&gt;0,D884="Water",OR(C884="",C884="All beds")),G884,0)</f>
        <v/>
      </c>
    </row>
    <row r="885">
      <c r="A885" s="1" t="n"/>
      <c r="B885" s="17" t="n"/>
      <c r="C885" s="18" t="n"/>
      <c r="D885" s="19" t="n"/>
      <c r="E885" s="21" t="n"/>
      <c r="F885" s="11">
        <f>IF(AND(B885="",C885="",D885=""),"",IF(NOT(ISNUMBER(B885)),"Needs a date",IF(D885="","Needs the job",IF(AND(C885&lt;&gt;"",C885&lt;&gt;"All beds",COUNTIF(Beds!$B$6:$B$35,C885)=0),"Not on Beds",""))))</f>
        <v/>
      </c>
      <c r="G885" s="1">
        <f>IF(ISNUMBER(B885),INT(B885),0)</f>
        <v/>
      </c>
      <c r="H885">
        <f>IF(AND(G885&gt;0,D885="Water",OR(C885="",C885="All beds")),G885,0)</f>
        <v/>
      </c>
    </row>
    <row r="886">
      <c r="A886" s="1" t="n"/>
      <c r="B886" s="17" t="n"/>
      <c r="C886" s="18" t="n"/>
      <c r="D886" s="19" t="n"/>
      <c r="E886" s="21" t="n"/>
      <c r="F886" s="11">
        <f>IF(AND(B886="",C886="",D886=""),"",IF(NOT(ISNUMBER(B886)),"Needs a date",IF(D886="","Needs the job",IF(AND(C886&lt;&gt;"",C886&lt;&gt;"All beds",COUNTIF(Beds!$B$6:$B$35,C886)=0),"Not on Beds",""))))</f>
        <v/>
      </c>
      <c r="G886" s="1">
        <f>IF(ISNUMBER(B886),INT(B886),0)</f>
        <v/>
      </c>
      <c r="H886">
        <f>IF(AND(G886&gt;0,D886="Water",OR(C886="",C886="All beds")),G886,0)</f>
        <v/>
      </c>
    </row>
    <row r="887">
      <c r="A887" s="1" t="n"/>
      <c r="B887" s="17" t="n"/>
      <c r="C887" s="18" t="n"/>
      <c r="D887" s="19" t="n"/>
      <c r="E887" s="21" t="n"/>
      <c r="F887" s="11">
        <f>IF(AND(B887="",C887="",D887=""),"",IF(NOT(ISNUMBER(B887)),"Needs a date",IF(D887="","Needs the job",IF(AND(C887&lt;&gt;"",C887&lt;&gt;"All beds",COUNTIF(Beds!$B$6:$B$35,C887)=0),"Not on Beds",""))))</f>
        <v/>
      </c>
      <c r="G887" s="1">
        <f>IF(ISNUMBER(B887),INT(B887),0)</f>
        <v/>
      </c>
      <c r="H887">
        <f>IF(AND(G887&gt;0,D887="Water",OR(C887="",C887="All beds")),G887,0)</f>
        <v/>
      </c>
    </row>
    <row r="888">
      <c r="A888" s="1" t="n"/>
      <c r="B888" s="17" t="n"/>
      <c r="C888" s="18" t="n"/>
      <c r="D888" s="19" t="n"/>
      <c r="E888" s="21" t="n"/>
      <c r="F888" s="11">
        <f>IF(AND(B888="",C888="",D888=""),"",IF(NOT(ISNUMBER(B888)),"Needs a date",IF(D888="","Needs the job",IF(AND(C888&lt;&gt;"",C888&lt;&gt;"All beds",COUNTIF(Beds!$B$6:$B$35,C888)=0),"Not on Beds",""))))</f>
        <v/>
      </c>
      <c r="G888" s="1">
        <f>IF(ISNUMBER(B888),INT(B888),0)</f>
        <v/>
      </c>
      <c r="H888">
        <f>IF(AND(G888&gt;0,D888="Water",OR(C888="",C888="All beds")),G888,0)</f>
        <v/>
      </c>
    </row>
    <row r="889">
      <c r="A889" s="1" t="n"/>
      <c r="B889" s="17" t="n"/>
      <c r="C889" s="18" t="n"/>
      <c r="D889" s="19" t="n"/>
      <c r="E889" s="21" t="n"/>
      <c r="F889" s="11">
        <f>IF(AND(B889="",C889="",D889=""),"",IF(NOT(ISNUMBER(B889)),"Needs a date",IF(D889="","Needs the job",IF(AND(C889&lt;&gt;"",C889&lt;&gt;"All beds",COUNTIF(Beds!$B$6:$B$35,C889)=0),"Not on Beds",""))))</f>
        <v/>
      </c>
      <c r="G889" s="1">
        <f>IF(ISNUMBER(B889),INT(B889),0)</f>
        <v/>
      </c>
      <c r="H889">
        <f>IF(AND(G889&gt;0,D889="Water",OR(C889="",C889="All beds")),G889,0)</f>
        <v/>
      </c>
    </row>
    <row r="890">
      <c r="A890" s="1" t="n"/>
      <c r="B890" s="17" t="n"/>
      <c r="C890" s="18" t="n"/>
      <c r="D890" s="19" t="n"/>
      <c r="E890" s="21" t="n"/>
      <c r="F890" s="11">
        <f>IF(AND(B890="",C890="",D890=""),"",IF(NOT(ISNUMBER(B890)),"Needs a date",IF(D890="","Needs the job",IF(AND(C890&lt;&gt;"",C890&lt;&gt;"All beds",COUNTIF(Beds!$B$6:$B$35,C890)=0),"Not on Beds",""))))</f>
        <v/>
      </c>
      <c r="G890" s="1">
        <f>IF(ISNUMBER(B890),INT(B890),0)</f>
        <v/>
      </c>
      <c r="H890">
        <f>IF(AND(G890&gt;0,D890="Water",OR(C890="",C890="All beds")),G890,0)</f>
        <v/>
      </c>
    </row>
    <row r="891">
      <c r="A891" s="1" t="n"/>
      <c r="B891" s="17" t="n"/>
      <c r="C891" s="18" t="n"/>
      <c r="D891" s="19" t="n"/>
      <c r="E891" s="21" t="n"/>
      <c r="F891" s="11">
        <f>IF(AND(B891="",C891="",D891=""),"",IF(NOT(ISNUMBER(B891)),"Needs a date",IF(D891="","Needs the job",IF(AND(C891&lt;&gt;"",C891&lt;&gt;"All beds",COUNTIF(Beds!$B$6:$B$35,C891)=0),"Not on Beds",""))))</f>
        <v/>
      </c>
      <c r="G891" s="1">
        <f>IF(ISNUMBER(B891),INT(B891),0)</f>
        <v/>
      </c>
      <c r="H891">
        <f>IF(AND(G891&gt;0,D891="Water",OR(C891="",C891="All beds")),G891,0)</f>
        <v/>
      </c>
    </row>
    <row r="892">
      <c r="A892" s="1" t="n"/>
      <c r="B892" s="17" t="n"/>
      <c r="C892" s="18" t="n"/>
      <c r="D892" s="19" t="n"/>
      <c r="E892" s="21" t="n"/>
      <c r="F892" s="11">
        <f>IF(AND(B892="",C892="",D892=""),"",IF(NOT(ISNUMBER(B892)),"Needs a date",IF(D892="","Needs the job",IF(AND(C892&lt;&gt;"",C892&lt;&gt;"All beds",COUNTIF(Beds!$B$6:$B$35,C892)=0),"Not on Beds",""))))</f>
        <v/>
      </c>
      <c r="G892" s="1">
        <f>IF(ISNUMBER(B892),INT(B892),0)</f>
        <v/>
      </c>
      <c r="H892">
        <f>IF(AND(G892&gt;0,D892="Water",OR(C892="",C892="All beds")),G892,0)</f>
        <v/>
      </c>
    </row>
    <row r="893">
      <c r="A893" s="1" t="n"/>
      <c r="B893" s="17" t="n"/>
      <c r="C893" s="18" t="n"/>
      <c r="D893" s="19" t="n"/>
      <c r="E893" s="21" t="n"/>
      <c r="F893" s="11">
        <f>IF(AND(B893="",C893="",D893=""),"",IF(NOT(ISNUMBER(B893)),"Needs a date",IF(D893="","Needs the job",IF(AND(C893&lt;&gt;"",C893&lt;&gt;"All beds",COUNTIF(Beds!$B$6:$B$35,C893)=0),"Not on Beds",""))))</f>
        <v/>
      </c>
      <c r="G893" s="1">
        <f>IF(ISNUMBER(B893),INT(B893),0)</f>
        <v/>
      </c>
      <c r="H893">
        <f>IF(AND(G893&gt;0,D893="Water",OR(C893="",C893="All beds")),G893,0)</f>
        <v/>
      </c>
    </row>
    <row r="894">
      <c r="A894" s="1" t="n"/>
      <c r="B894" s="17" t="n"/>
      <c r="C894" s="18" t="n"/>
      <c r="D894" s="19" t="n"/>
      <c r="E894" s="21" t="n"/>
      <c r="F894" s="11">
        <f>IF(AND(B894="",C894="",D894=""),"",IF(NOT(ISNUMBER(B894)),"Needs a date",IF(D894="","Needs the job",IF(AND(C894&lt;&gt;"",C894&lt;&gt;"All beds",COUNTIF(Beds!$B$6:$B$35,C894)=0),"Not on Beds",""))))</f>
        <v/>
      </c>
      <c r="G894" s="1">
        <f>IF(ISNUMBER(B894),INT(B894),0)</f>
        <v/>
      </c>
      <c r="H894">
        <f>IF(AND(G894&gt;0,D894="Water",OR(C894="",C894="All beds")),G894,0)</f>
        <v/>
      </c>
    </row>
    <row r="895">
      <c r="A895" s="1" t="n"/>
      <c r="B895" s="17" t="n"/>
      <c r="C895" s="18" t="n"/>
      <c r="D895" s="19" t="n"/>
      <c r="E895" s="21" t="n"/>
      <c r="F895" s="11">
        <f>IF(AND(B895="",C895="",D895=""),"",IF(NOT(ISNUMBER(B895)),"Needs a date",IF(D895="","Needs the job",IF(AND(C895&lt;&gt;"",C895&lt;&gt;"All beds",COUNTIF(Beds!$B$6:$B$35,C895)=0),"Not on Beds",""))))</f>
        <v/>
      </c>
      <c r="G895" s="1">
        <f>IF(ISNUMBER(B895),INT(B895),0)</f>
        <v/>
      </c>
      <c r="H895">
        <f>IF(AND(G895&gt;0,D895="Water",OR(C895="",C895="All beds")),G895,0)</f>
        <v/>
      </c>
    </row>
    <row r="896">
      <c r="A896" s="1" t="n"/>
      <c r="B896" s="17" t="n"/>
      <c r="C896" s="18" t="n"/>
      <c r="D896" s="19" t="n"/>
      <c r="E896" s="21" t="n"/>
      <c r="F896" s="11">
        <f>IF(AND(B896="",C896="",D896=""),"",IF(NOT(ISNUMBER(B896)),"Needs a date",IF(D896="","Needs the job",IF(AND(C896&lt;&gt;"",C896&lt;&gt;"All beds",COUNTIF(Beds!$B$6:$B$35,C896)=0),"Not on Beds",""))))</f>
        <v/>
      </c>
      <c r="G896" s="1">
        <f>IF(ISNUMBER(B896),INT(B896),0)</f>
        <v/>
      </c>
      <c r="H896">
        <f>IF(AND(G896&gt;0,D896="Water",OR(C896="",C896="All beds")),G896,0)</f>
        <v/>
      </c>
    </row>
    <row r="897">
      <c r="A897" s="1" t="n"/>
      <c r="B897" s="17" t="n"/>
      <c r="C897" s="18" t="n"/>
      <c r="D897" s="19" t="n"/>
      <c r="E897" s="21" t="n"/>
      <c r="F897" s="11">
        <f>IF(AND(B897="",C897="",D897=""),"",IF(NOT(ISNUMBER(B897)),"Needs a date",IF(D897="","Needs the job",IF(AND(C897&lt;&gt;"",C897&lt;&gt;"All beds",COUNTIF(Beds!$B$6:$B$35,C897)=0),"Not on Beds",""))))</f>
        <v/>
      </c>
      <c r="G897" s="1">
        <f>IF(ISNUMBER(B897),INT(B897),0)</f>
        <v/>
      </c>
      <c r="H897">
        <f>IF(AND(G897&gt;0,D897="Water",OR(C897="",C897="All beds")),G897,0)</f>
        <v/>
      </c>
    </row>
    <row r="898">
      <c r="A898" s="1" t="n"/>
      <c r="B898" s="17" t="n"/>
      <c r="C898" s="18" t="n"/>
      <c r="D898" s="19" t="n"/>
      <c r="E898" s="21" t="n"/>
      <c r="F898" s="11">
        <f>IF(AND(B898="",C898="",D898=""),"",IF(NOT(ISNUMBER(B898)),"Needs a date",IF(D898="","Needs the job",IF(AND(C898&lt;&gt;"",C898&lt;&gt;"All beds",COUNTIF(Beds!$B$6:$B$35,C898)=0),"Not on Beds",""))))</f>
        <v/>
      </c>
      <c r="G898" s="1">
        <f>IF(ISNUMBER(B898),INT(B898),0)</f>
        <v/>
      </c>
      <c r="H898">
        <f>IF(AND(G898&gt;0,D898="Water",OR(C898="",C898="All beds")),G898,0)</f>
        <v/>
      </c>
    </row>
    <row r="899">
      <c r="A899" s="1" t="n"/>
      <c r="B899" s="17" t="n"/>
      <c r="C899" s="18" t="n"/>
      <c r="D899" s="19" t="n"/>
      <c r="E899" s="21" t="n"/>
      <c r="F899" s="11">
        <f>IF(AND(B899="",C899="",D899=""),"",IF(NOT(ISNUMBER(B899)),"Needs a date",IF(D899="","Needs the job",IF(AND(C899&lt;&gt;"",C899&lt;&gt;"All beds",COUNTIF(Beds!$B$6:$B$35,C899)=0),"Not on Beds",""))))</f>
        <v/>
      </c>
      <c r="G899" s="1">
        <f>IF(ISNUMBER(B899),INT(B899),0)</f>
        <v/>
      </c>
      <c r="H899">
        <f>IF(AND(G899&gt;0,D899="Water",OR(C899="",C899="All beds")),G899,0)</f>
        <v/>
      </c>
    </row>
    <row r="900">
      <c r="A900" s="1" t="n"/>
      <c r="B900" s="17" t="n"/>
      <c r="C900" s="18" t="n"/>
      <c r="D900" s="19" t="n"/>
      <c r="E900" s="21" t="n"/>
      <c r="F900" s="11">
        <f>IF(AND(B900="",C900="",D900=""),"",IF(NOT(ISNUMBER(B900)),"Needs a date",IF(D900="","Needs the job",IF(AND(C900&lt;&gt;"",C900&lt;&gt;"All beds",COUNTIF(Beds!$B$6:$B$35,C900)=0),"Not on Beds",""))))</f>
        <v/>
      </c>
      <c r="G900" s="1">
        <f>IF(ISNUMBER(B900),INT(B900),0)</f>
        <v/>
      </c>
      <c r="H900">
        <f>IF(AND(G900&gt;0,D900="Water",OR(C900="",C900="All beds")),G900,0)</f>
        <v/>
      </c>
    </row>
    <row r="901">
      <c r="A901" s="1" t="n"/>
      <c r="B901" s="17" t="n"/>
      <c r="C901" s="18" t="n"/>
      <c r="D901" s="19" t="n"/>
      <c r="E901" s="21" t="n"/>
      <c r="F901" s="11">
        <f>IF(AND(B901="",C901="",D901=""),"",IF(NOT(ISNUMBER(B901)),"Needs a date",IF(D901="","Needs the job",IF(AND(C901&lt;&gt;"",C901&lt;&gt;"All beds",COUNTIF(Beds!$B$6:$B$35,C901)=0),"Not on Beds",""))))</f>
        <v/>
      </c>
      <c r="G901" s="1">
        <f>IF(ISNUMBER(B901),INT(B901),0)</f>
        <v/>
      </c>
      <c r="H901">
        <f>IF(AND(G901&gt;0,D901="Water",OR(C901="",C901="All beds")),G901,0)</f>
        <v/>
      </c>
    </row>
    <row r="902">
      <c r="A902" s="1" t="n"/>
      <c r="B902" s="17" t="n"/>
      <c r="C902" s="18" t="n"/>
      <c r="D902" s="19" t="n"/>
      <c r="E902" s="21" t="n"/>
      <c r="F902" s="11">
        <f>IF(AND(B902="",C902="",D902=""),"",IF(NOT(ISNUMBER(B902)),"Needs a date",IF(D902="","Needs the job",IF(AND(C902&lt;&gt;"",C902&lt;&gt;"All beds",COUNTIF(Beds!$B$6:$B$35,C902)=0),"Not on Beds",""))))</f>
        <v/>
      </c>
      <c r="G902" s="1">
        <f>IF(ISNUMBER(B902),INT(B902),0)</f>
        <v/>
      </c>
      <c r="H902">
        <f>IF(AND(G902&gt;0,D902="Water",OR(C902="",C902="All beds")),G902,0)</f>
        <v/>
      </c>
    </row>
    <row r="903">
      <c r="A903" s="1" t="n"/>
      <c r="B903" s="17" t="n"/>
      <c r="C903" s="18" t="n"/>
      <c r="D903" s="19" t="n"/>
      <c r="E903" s="21" t="n"/>
      <c r="F903" s="11">
        <f>IF(AND(B903="",C903="",D903=""),"",IF(NOT(ISNUMBER(B903)),"Needs a date",IF(D903="","Needs the job",IF(AND(C903&lt;&gt;"",C903&lt;&gt;"All beds",COUNTIF(Beds!$B$6:$B$35,C903)=0),"Not on Beds",""))))</f>
        <v/>
      </c>
      <c r="G903" s="1">
        <f>IF(ISNUMBER(B903),INT(B903),0)</f>
        <v/>
      </c>
      <c r="H903">
        <f>IF(AND(G903&gt;0,D903="Water",OR(C903="",C903="All beds")),G903,0)</f>
        <v/>
      </c>
    </row>
    <row r="904">
      <c r="A904" s="1" t="n"/>
      <c r="B904" s="17" t="n"/>
      <c r="C904" s="18" t="n"/>
      <c r="D904" s="19" t="n"/>
      <c r="E904" s="21" t="n"/>
      <c r="F904" s="11">
        <f>IF(AND(B904="",C904="",D904=""),"",IF(NOT(ISNUMBER(B904)),"Needs a date",IF(D904="","Needs the job",IF(AND(C904&lt;&gt;"",C904&lt;&gt;"All beds",COUNTIF(Beds!$B$6:$B$35,C904)=0),"Not on Beds",""))))</f>
        <v/>
      </c>
      <c r="G904" s="1">
        <f>IF(ISNUMBER(B904),INT(B904),0)</f>
        <v/>
      </c>
      <c r="H904">
        <f>IF(AND(G904&gt;0,D904="Water",OR(C904="",C904="All beds")),G904,0)</f>
        <v/>
      </c>
    </row>
    <row r="905">
      <c r="A905" s="1" t="n"/>
      <c r="B905" s="17" t="n"/>
      <c r="C905" s="18" t="n"/>
      <c r="D905" s="19" t="n"/>
      <c r="E905" s="21" t="n"/>
      <c r="F905" s="11">
        <f>IF(AND(B905="",C905="",D905=""),"",IF(NOT(ISNUMBER(B905)),"Needs a date",IF(D905="","Needs the job",IF(AND(C905&lt;&gt;"",C905&lt;&gt;"All beds",COUNTIF(Beds!$B$6:$B$35,C905)=0),"Not on Beds",""))))</f>
        <v/>
      </c>
      <c r="G905" s="1">
        <f>IF(ISNUMBER(B905),INT(B905),0)</f>
        <v/>
      </c>
      <c r="H905">
        <f>IF(AND(G905&gt;0,D905="Water",OR(C905="",C905="All beds")),G905,0)</f>
        <v/>
      </c>
    </row>
    <row r="906">
      <c r="A906" s="1" t="n"/>
      <c r="B906" s="17" t="n"/>
      <c r="C906" s="18" t="n"/>
      <c r="D906" s="19" t="n"/>
      <c r="E906" s="21" t="n"/>
      <c r="F906" s="11">
        <f>IF(AND(B906="",C906="",D906=""),"",IF(NOT(ISNUMBER(B906)),"Needs a date",IF(D906="","Needs the job",IF(AND(C906&lt;&gt;"",C906&lt;&gt;"All beds",COUNTIF(Beds!$B$6:$B$35,C906)=0),"Not on Beds",""))))</f>
        <v/>
      </c>
      <c r="G906" s="1">
        <f>IF(ISNUMBER(B906),INT(B906),0)</f>
        <v/>
      </c>
      <c r="H906">
        <f>IF(AND(G906&gt;0,D906="Water",OR(C906="",C906="All beds")),G906,0)</f>
        <v/>
      </c>
    </row>
    <row r="907">
      <c r="A907" s="1" t="n"/>
      <c r="B907" s="17" t="n"/>
      <c r="C907" s="18" t="n"/>
      <c r="D907" s="19" t="n"/>
      <c r="E907" s="21" t="n"/>
      <c r="F907" s="11">
        <f>IF(AND(B907="",C907="",D907=""),"",IF(NOT(ISNUMBER(B907)),"Needs a date",IF(D907="","Needs the job",IF(AND(C907&lt;&gt;"",C907&lt;&gt;"All beds",COUNTIF(Beds!$B$6:$B$35,C907)=0),"Not on Beds",""))))</f>
        <v/>
      </c>
      <c r="G907" s="1">
        <f>IF(ISNUMBER(B907),INT(B907),0)</f>
        <v/>
      </c>
      <c r="H907">
        <f>IF(AND(G907&gt;0,D907="Water",OR(C907="",C907="All beds")),G907,0)</f>
        <v/>
      </c>
    </row>
    <row r="908">
      <c r="A908" s="1" t="n"/>
      <c r="B908" s="17" t="n"/>
      <c r="C908" s="18" t="n"/>
      <c r="D908" s="19" t="n"/>
      <c r="E908" s="21" t="n"/>
      <c r="F908" s="11">
        <f>IF(AND(B908="",C908="",D908=""),"",IF(NOT(ISNUMBER(B908)),"Needs a date",IF(D908="","Needs the job",IF(AND(C908&lt;&gt;"",C908&lt;&gt;"All beds",COUNTIF(Beds!$B$6:$B$35,C908)=0),"Not on Beds",""))))</f>
        <v/>
      </c>
      <c r="G908" s="1">
        <f>IF(ISNUMBER(B908),INT(B908),0)</f>
        <v/>
      </c>
      <c r="H908">
        <f>IF(AND(G908&gt;0,D908="Water",OR(C908="",C908="All beds")),G908,0)</f>
        <v/>
      </c>
    </row>
    <row r="909">
      <c r="A909" s="1" t="n"/>
      <c r="B909" s="17" t="n"/>
      <c r="C909" s="18" t="n"/>
      <c r="D909" s="19" t="n"/>
      <c r="E909" s="21" t="n"/>
      <c r="F909" s="11">
        <f>IF(AND(B909="",C909="",D909=""),"",IF(NOT(ISNUMBER(B909)),"Needs a date",IF(D909="","Needs the job",IF(AND(C909&lt;&gt;"",C909&lt;&gt;"All beds",COUNTIF(Beds!$B$6:$B$35,C909)=0),"Not on Beds",""))))</f>
        <v/>
      </c>
      <c r="G909" s="1">
        <f>IF(ISNUMBER(B909),INT(B909),0)</f>
        <v/>
      </c>
      <c r="H909">
        <f>IF(AND(G909&gt;0,D909="Water",OR(C909="",C909="All beds")),G909,0)</f>
        <v/>
      </c>
    </row>
    <row r="910">
      <c r="A910" s="1" t="n"/>
      <c r="B910" s="17" t="n"/>
      <c r="C910" s="18" t="n"/>
      <c r="D910" s="19" t="n"/>
      <c r="E910" s="21" t="n"/>
      <c r="F910" s="11">
        <f>IF(AND(B910="",C910="",D910=""),"",IF(NOT(ISNUMBER(B910)),"Needs a date",IF(D910="","Needs the job",IF(AND(C910&lt;&gt;"",C910&lt;&gt;"All beds",COUNTIF(Beds!$B$6:$B$35,C910)=0),"Not on Beds",""))))</f>
        <v/>
      </c>
      <c r="G910" s="1">
        <f>IF(ISNUMBER(B910),INT(B910),0)</f>
        <v/>
      </c>
      <c r="H910">
        <f>IF(AND(G910&gt;0,D910="Water",OR(C910="",C910="All beds")),G910,0)</f>
        <v/>
      </c>
    </row>
    <row r="911">
      <c r="A911" s="1" t="n"/>
      <c r="B911" s="17" t="n"/>
      <c r="C911" s="18" t="n"/>
      <c r="D911" s="19" t="n"/>
      <c r="E911" s="21" t="n"/>
      <c r="F911" s="11">
        <f>IF(AND(B911="",C911="",D911=""),"",IF(NOT(ISNUMBER(B911)),"Needs a date",IF(D911="","Needs the job",IF(AND(C911&lt;&gt;"",C911&lt;&gt;"All beds",COUNTIF(Beds!$B$6:$B$35,C911)=0),"Not on Beds",""))))</f>
        <v/>
      </c>
      <c r="G911" s="1">
        <f>IF(ISNUMBER(B911),INT(B911),0)</f>
        <v/>
      </c>
      <c r="H911">
        <f>IF(AND(G911&gt;0,D911="Water",OR(C911="",C911="All beds")),G911,0)</f>
        <v/>
      </c>
    </row>
    <row r="912">
      <c r="A912" s="1" t="n"/>
      <c r="B912" s="17" t="n"/>
      <c r="C912" s="18" t="n"/>
      <c r="D912" s="19" t="n"/>
      <c r="E912" s="21" t="n"/>
      <c r="F912" s="11">
        <f>IF(AND(B912="",C912="",D912=""),"",IF(NOT(ISNUMBER(B912)),"Needs a date",IF(D912="","Needs the job",IF(AND(C912&lt;&gt;"",C912&lt;&gt;"All beds",COUNTIF(Beds!$B$6:$B$35,C912)=0),"Not on Beds",""))))</f>
        <v/>
      </c>
      <c r="G912" s="1">
        <f>IF(ISNUMBER(B912),INT(B912),0)</f>
        <v/>
      </c>
      <c r="H912">
        <f>IF(AND(G912&gt;0,D912="Water",OR(C912="",C912="All beds")),G912,0)</f>
        <v/>
      </c>
    </row>
    <row r="913">
      <c r="A913" s="1" t="n"/>
      <c r="B913" s="17" t="n"/>
      <c r="C913" s="18" t="n"/>
      <c r="D913" s="19" t="n"/>
      <c r="E913" s="21" t="n"/>
      <c r="F913" s="11">
        <f>IF(AND(B913="",C913="",D913=""),"",IF(NOT(ISNUMBER(B913)),"Needs a date",IF(D913="","Needs the job",IF(AND(C913&lt;&gt;"",C913&lt;&gt;"All beds",COUNTIF(Beds!$B$6:$B$35,C913)=0),"Not on Beds",""))))</f>
        <v/>
      </c>
      <c r="G913" s="1">
        <f>IF(ISNUMBER(B913),INT(B913),0)</f>
        <v/>
      </c>
      <c r="H913">
        <f>IF(AND(G913&gt;0,D913="Water",OR(C913="",C913="All beds")),G913,0)</f>
        <v/>
      </c>
    </row>
    <row r="914">
      <c r="A914" s="1" t="n"/>
      <c r="B914" s="17" t="n"/>
      <c r="C914" s="18" t="n"/>
      <c r="D914" s="19" t="n"/>
      <c r="E914" s="21" t="n"/>
      <c r="F914" s="11">
        <f>IF(AND(B914="",C914="",D914=""),"",IF(NOT(ISNUMBER(B914)),"Needs a date",IF(D914="","Needs the job",IF(AND(C914&lt;&gt;"",C914&lt;&gt;"All beds",COUNTIF(Beds!$B$6:$B$35,C914)=0),"Not on Beds",""))))</f>
        <v/>
      </c>
      <c r="G914" s="1">
        <f>IF(ISNUMBER(B914),INT(B914),0)</f>
        <v/>
      </c>
      <c r="H914">
        <f>IF(AND(G914&gt;0,D914="Water",OR(C914="",C914="All beds")),G914,0)</f>
        <v/>
      </c>
    </row>
    <row r="915">
      <c r="A915" s="1" t="n"/>
      <c r="B915" s="17" t="n"/>
      <c r="C915" s="18" t="n"/>
      <c r="D915" s="19" t="n"/>
      <c r="E915" s="21" t="n"/>
      <c r="F915" s="11">
        <f>IF(AND(B915="",C915="",D915=""),"",IF(NOT(ISNUMBER(B915)),"Needs a date",IF(D915="","Needs the job",IF(AND(C915&lt;&gt;"",C915&lt;&gt;"All beds",COUNTIF(Beds!$B$6:$B$35,C915)=0),"Not on Beds",""))))</f>
        <v/>
      </c>
      <c r="G915" s="1">
        <f>IF(ISNUMBER(B915),INT(B915),0)</f>
        <v/>
      </c>
      <c r="H915">
        <f>IF(AND(G915&gt;0,D915="Water",OR(C915="",C915="All beds")),G915,0)</f>
        <v/>
      </c>
    </row>
    <row r="916">
      <c r="A916" s="1" t="n"/>
      <c r="B916" s="17" t="n"/>
      <c r="C916" s="18" t="n"/>
      <c r="D916" s="19" t="n"/>
      <c r="E916" s="21" t="n"/>
      <c r="F916" s="11">
        <f>IF(AND(B916="",C916="",D916=""),"",IF(NOT(ISNUMBER(B916)),"Needs a date",IF(D916="","Needs the job",IF(AND(C916&lt;&gt;"",C916&lt;&gt;"All beds",COUNTIF(Beds!$B$6:$B$35,C916)=0),"Not on Beds",""))))</f>
        <v/>
      </c>
      <c r="G916" s="1">
        <f>IF(ISNUMBER(B916),INT(B916),0)</f>
        <v/>
      </c>
      <c r="H916">
        <f>IF(AND(G916&gt;0,D916="Water",OR(C916="",C916="All beds")),G916,0)</f>
        <v/>
      </c>
    </row>
    <row r="917">
      <c r="A917" s="1" t="n"/>
      <c r="B917" s="17" t="n"/>
      <c r="C917" s="18" t="n"/>
      <c r="D917" s="19" t="n"/>
      <c r="E917" s="21" t="n"/>
      <c r="F917" s="11">
        <f>IF(AND(B917="",C917="",D917=""),"",IF(NOT(ISNUMBER(B917)),"Needs a date",IF(D917="","Needs the job",IF(AND(C917&lt;&gt;"",C917&lt;&gt;"All beds",COUNTIF(Beds!$B$6:$B$35,C917)=0),"Not on Beds",""))))</f>
        <v/>
      </c>
      <c r="G917" s="1">
        <f>IF(ISNUMBER(B917),INT(B917),0)</f>
        <v/>
      </c>
      <c r="H917">
        <f>IF(AND(G917&gt;0,D917="Water",OR(C917="",C917="All beds")),G917,0)</f>
        <v/>
      </c>
    </row>
    <row r="918">
      <c r="A918" s="1" t="n"/>
      <c r="B918" s="17" t="n"/>
      <c r="C918" s="18" t="n"/>
      <c r="D918" s="19" t="n"/>
      <c r="E918" s="21" t="n"/>
      <c r="F918" s="11">
        <f>IF(AND(B918="",C918="",D918=""),"",IF(NOT(ISNUMBER(B918)),"Needs a date",IF(D918="","Needs the job",IF(AND(C918&lt;&gt;"",C918&lt;&gt;"All beds",COUNTIF(Beds!$B$6:$B$35,C918)=0),"Not on Beds",""))))</f>
        <v/>
      </c>
      <c r="G918" s="1">
        <f>IF(ISNUMBER(B918),INT(B918),0)</f>
        <v/>
      </c>
      <c r="H918">
        <f>IF(AND(G918&gt;0,D918="Water",OR(C918="",C918="All beds")),G918,0)</f>
        <v/>
      </c>
    </row>
    <row r="919">
      <c r="A919" s="1" t="n"/>
      <c r="B919" s="17" t="n"/>
      <c r="C919" s="18" t="n"/>
      <c r="D919" s="19" t="n"/>
      <c r="E919" s="21" t="n"/>
      <c r="F919" s="11">
        <f>IF(AND(B919="",C919="",D919=""),"",IF(NOT(ISNUMBER(B919)),"Needs a date",IF(D919="","Needs the job",IF(AND(C919&lt;&gt;"",C919&lt;&gt;"All beds",COUNTIF(Beds!$B$6:$B$35,C919)=0),"Not on Beds",""))))</f>
        <v/>
      </c>
      <c r="G919" s="1">
        <f>IF(ISNUMBER(B919),INT(B919),0)</f>
        <v/>
      </c>
      <c r="H919">
        <f>IF(AND(G919&gt;0,D919="Water",OR(C919="",C919="All beds")),G919,0)</f>
        <v/>
      </c>
    </row>
    <row r="920">
      <c r="A920" s="1" t="n"/>
      <c r="B920" s="17" t="n"/>
      <c r="C920" s="18" t="n"/>
      <c r="D920" s="19" t="n"/>
      <c r="E920" s="21" t="n"/>
      <c r="F920" s="11">
        <f>IF(AND(B920="",C920="",D920=""),"",IF(NOT(ISNUMBER(B920)),"Needs a date",IF(D920="","Needs the job",IF(AND(C920&lt;&gt;"",C920&lt;&gt;"All beds",COUNTIF(Beds!$B$6:$B$35,C920)=0),"Not on Beds",""))))</f>
        <v/>
      </c>
      <c r="G920" s="1">
        <f>IF(ISNUMBER(B920),INT(B920),0)</f>
        <v/>
      </c>
      <c r="H920">
        <f>IF(AND(G920&gt;0,D920="Water",OR(C920="",C920="All beds")),G920,0)</f>
        <v/>
      </c>
    </row>
    <row r="921">
      <c r="A921" s="1" t="n"/>
      <c r="B921" s="17" t="n"/>
      <c r="C921" s="18" t="n"/>
      <c r="D921" s="19" t="n"/>
      <c r="E921" s="21" t="n"/>
      <c r="F921" s="11">
        <f>IF(AND(B921="",C921="",D921=""),"",IF(NOT(ISNUMBER(B921)),"Needs a date",IF(D921="","Needs the job",IF(AND(C921&lt;&gt;"",C921&lt;&gt;"All beds",COUNTIF(Beds!$B$6:$B$35,C921)=0),"Not on Beds",""))))</f>
        <v/>
      </c>
      <c r="G921" s="1">
        <f>IF(ISNUMBER(B921),INT(B921),0)</f>
        <v/>
      </c>
      <c r="H921">
        <f>IF(AND(G921&gt;0,D921="Water",OR(C921="",C921="All beds")),G921,0)</f>
        <v/>
      </c>
    </row>
    <row r="922">
      <c r="A922" s="1" t="n"/>
      <c r="B922" s="17" t="n"/>
      <c r="C922" s="18" t="n"/>
      <c r="D922" s="19" t="n"/>
      <c r="E922" s="21" t="n"/>
      <c r="F922" s="11">
        <f>IF(AND(B922="",C922="",D922=""),"",IF(NOT(ISNUMBER(B922)),"Needs a date",IF(D922="","Needs the job",IF(AND(C922&lt;&gt;"",C922&lt;&gt;"All beds",COUNTIF(Beds!$B$6:$B$35,C922)=0),"Not on Beds",""))))</f>
        <v/>
      </c>
      <c r="G922" s="1">
        <f>IF(ISNUMBER(B922),INT(B922),0)</f>
        <v/>
      </c>
      <c r="H922">
        <f>IF(AND(G922&gt;0,D922="Water",OR(C922="",C922="All beds")),G922,0)</f>
        <v/>
      </c>
    </row>
    <row r="923">
      <c r="A923" s="1" t="n"/>
      <c r="B923" s="17" t="n"/>
      <c r="C923" s="18" t="n"/>
      <c r="D923" s="19" t="n"/>
      <c r="E923" s="21" t="n"/>
      <c r="F923" s="11">
        <f>IF(AND(B923="",C923="",D923=""),"",IF(NOT(ISNUMBER(B923)),"Needs a date",IF(D923="","Needs the job",IF(AND(C923&lt;&gt;"",C923&lt;&gt;"All beds",COUNTIF(Beds!$B$6:$B$35,C923)=0),"Not on Beds",""))))</f>
        <v/>
      </c>
      <c r="G923" s="1">
        <f>IF(ISNUMBER(B923),INT(B923),0)</f>
        <v/>
      </c>
      <c r="H923">
        <f>IF(AND(G923&gt;0,D923="Water",OR(C923="",C923="All beds")),G923,0)</f>
        <v/>
      </c>
    </row>
    <row r="924">
      <c r="A924" s="1" t="n"/>
      <c r="B924" s="17" t="n"/>
      <c r="C924" s="18" t="n"/>
      <c r="D924" s="19" t="n"/>
      <c r="E924" s="21" t="n"/>
      <c r="F924" s="11">
        <f>IF(AND(B924="",C924="",D924=""),"",IF(NOT(ISNUMBER(B924)),"Needs a date",IF(D924="","Needs the job",IF(AND(C924&lt;&gt;"",C924&lt;&gt;"All beds",COUNTIF(Beds!$B$6:$B$35,C924)=0),"Not on Beds",""))))</f>
        <v/>
      </c>
      <c r="G924" s="1">
        <f>IF(ISNUMBER(B924),INT(B924),0)</f>
        <v/>
      </c>
      <c r="H924">
        <f>IF(AND(G924&gt;0,D924="Water",OR(C924="",C924="All beds")),G924,0)</f>
        <v/>
      </c>
    </row>
    <row r="925">
      <c r="A925" s="1" t="n"/>
      <c r="B925" s="17" t="n"/>
      <c r="C925" s="18" t="n"/>
      <c r="D925" s="19" t="n"/>
      <c r="E925" s="21" t="n"/>
      <c r="F925" s="11">
        <f>IF(AND(B925="",C925="",D925=""),"",IF(NOT(ISNUMBER(B925)),"Needs a date",IF(D925="","Needs the job",IF(AND(C925&lt;&gt;"",C925&lt;&gt;"All beds",COUNTIF(Beds!$B$6:$B$35,C925)=0),"Not on Beds",""))))</f>
        <v/>
      </c>
      <c r="G925" s="1">
        <f>IF(ISNUMBER(B925),INT(B925),0)</f>
        <v/>
      </c>
      <c r="H925">
        <f>IF(AND(G925&gt;0,D925="Water",OR(C925="",C925="All beds")),G925,0)</f>
        <v/>
      </c>
    </row>
    <row r="926">
      <c r="A926" s="1" t="n"/>
      <c r="B926" s="17" t="n"/>
      <c r="C926" s="18" t="n"/>
      <c r="D926" s="19" t="n"/>
      <c r="E926" s="21" t="n"/>
      <c r="F926" s="11">
        <f>IF(AND(B926="",C926="",D926=""),"",IF(NOT(ISNUMBER(B926)),"Needs a date",IF(D926="","Needs the job",IF(AND(C926&lt;&gt;"",C926&lt;&gt;"All beds",COUNTIF(Beds!$B$6:$B$35,C926)=0),"Not on Beds",""))))</f>
        <v/>
      </c>
      <c r="G926" s="1">
        <f>IF(ISNUMBER(B926),INT(B926),0)</f>
        <v/>
      </c>
      <c r="H926">
        <f>IF(AND(G926&gt;0,D926="Water",OR(C926="",C926="All beds")),G926,0)</f>
        <v/>
      </c>
    </row>
    <row r="927">
      <c r="A927" s="1" t="n"/>
      <c r="B927" s="17" t="n"/>
      <c r="C927" s="18" t="n"/>
      <c r="D927" s="19" t="n"/>
      <c r="E927" s="21" t="n"/>
      <c r="F927" s="11">
        <f>IF(AND(B927="",C927="",D927=""),"",IF(NOT(ISNUMBER(B927)),"Needs a date",IF(D927="","Needs the job",IF(AND(C927&lt;&gt;"",C927&lt;&gt;"All beds",COUNTIF(Beds!$B$6:$B$35,C927)=0),"Not on Beds",""))))</f>
        <v/>
      </c>
      <c r="G927" s="1">
        <f>IF(ISNUMBER(B927),INT(B927),0)</f>
        <v/>
      </c>
      <c r="H927">
        <f>IF(AND(G927&gt;0,D927="Water",OR(C927="",C927="All beds")),G927,0)</f>
        <v/>
      </c>
    </row>
    <row r="928">
      <c r="A928" s="1" t="n"/>
      <c r="B928" s="17" t="n"/>
      <c r="C928" s="18" t="n"/>
      <c r="D928" s="19" t="n"/>
      <c r="E928" s="21" t="n"/>
      <c r="F928" s="11">
        <f>IF(AND(B928="",C928="",D928=""),"",IF(NOT(ISNUMBER(B928)),"Needs a date",IF(D928="","Needs the job",IF(AND(C928&lt;&gt;"",C928&lt;&gt;"All beds",COUNTIF(Beds!$B$6:$B$35,C928)=0),"Not on Beds",""))))</f>
        <v/>
      </c>
      <c r="G928" s="1">
        <f>IF(ISNUMBER(B928),INT(B928),0)</f>
        <v/>
      </c>
      <c r="H928">
        <f>IF(AND(G928&gt;0,D928="Water",OR(C928="",C928="All beds")),G928,0)</f>
        <v/>
      </c>
    </row>
    <row r="929">
      <c r="A929" s="1" t="n"/>
      <c r="B929" s="17" t="n"/>
      <c r="C929" s="18" t="n"/>
      <c r="D929" s="19" t="n"/>
      <c r="E929" s="21" t="n"/>
      <c r="F929" s="11">
        <f>IF(AND(B929="",C929="",D929=""),"",IF(NOT(ISNUMBER(B929)),"Needs a date",IF(D929="","Needs the job",IF(AND(C929&lt;&gt;"",C929&lt;&gt;"All beds",COUNTIF(Beds!$B$6:$B$35,C929)=0),"Not on Beds",""))))</f>
        <v/>
      </c>
      <c r="G929" s="1">
        <f>IF(ISNUMBER(B929),INT(B929),0)</f>
        <v/>
      </c>
      <c r="H929">
        <f>IF(AND(G929&gt;0,D929="Water",OR(C929="",C929="All beds")),G929,0)</f>
        <v/>
      </c>
    </row>
    <row r="930">
      <c r="A930" s="1" t="n"/>
      <c r="B930" s="17" t="n"/>
      <c r="C930" s="18" t="n"/>
      <c r="D930" s="19" t="n"/>
      <c r="E930" s="21" t="n"/>
      <c r="F930" s="11">
        <f>IF(AND(B930="",C930="",D930=""),"",IF(NOT(ISNUMBER(B930)),"Needs a date",IF(D930="","Needs the job",IF(AND(C930&lt;&gt;"",C930&lt;&gt;"All beds",COUNTIF(Beds!$B$6:$B$35,C930)=0),"Not on Beds",""))))</f>
        <v/>
      </c>
      <c r="G930" s="1">
        <f>IF(ISNUMBER(B930),INT(B930),0)</f>
        <v/>
      </c>
      <c r="H930">
        <f>IF(AND(G930&gt;0,D930="Water",OR(C930="",C930="All beds")),G930,0)</f>
        <v/>
      </c>
    </row>
    <row r="931">
      <c r="A931" s="1" t="n"/>
      <c r="B931" s="17" t="n"/>
      <c r="C931" s="18" t="n"/>
      <c r="D931" s="19" t="n"/>
      <c r="E931" s="21" t="n"/>
      <c r="F931" s="11">
        <f>IF(AND(B931="",C931="",D931=""),"",IF(NOT(ISNUMBER(B931)),"Needs a date",IF(D931="","Needs the job",IF(AND(C931&lt;&gt;"",C931&lt;&gt;"All beds",COUNTIF(Beds!$B$6:$B$35,C931)=0),"Not on Beds",""))))</f>
        <v/>
      </c>
      <c r="G931" s="1">
        <f>IF(ISNUMBER(B931),INT(B931),0)</f>
        <v/>
      </c>
      <c r="H931">
        <f>IF(AND(G931&gt;0,D931="Water",OR(C931="",C931="All beds")),G931,0)</f>
        <v/>
      </c>
    </row>
    <row r="932">
      <c r="A932" s="1" t="n"/>
      <c r="B932" s="17" t="n"/>
      <c r="C932" s="18" t="n"/>
      <c r="D932" s="19" t="n"/>
      <c r="E932" s="21" t="n"/>
      <c r="F932" s="11">
        <f>IF(AND(B932="",C932="",D932=""),"",IF(NOT(ISNUMBER(B932)),"Needs a date",IF(D932="","Needs the job",IF(AND(C932&lt;&gt;"",C932&lt;&gt;"All beds",COUNTIF(Beds!$B$6:$B$35,C932)=0),"Not on Beds",""))))</f>
        <v/>
      </c>
      <c r="G932" s="1">
        <f>IF(ISNUMBER(B932),INT(B932),0)</f>
        <v/>
      </c>
      <c r="H932">
        <f>IF(AND(G932&gt;0,D932="Water",OR(C932="",C932="All beds")),G932,0)</f>
        <v/>
      </c>
    </row>
    <row r="933">
      <c r="A933" s="1" t="n"/>
      <c r="B933" s="17" t="n"/>
      <c r="C933" s="18" t="n"/>
      <c r="D933" s="19" t="n"/>
      <c r="E933" s="21" t="n"/>
      <c r="F933" s="11">
        <f>IF(AND(B933="",C933="",D933=""),"",IF(NOT(ISNUMBER(B933)),"Needs a date",IF(D933="","Needs the job",IF(AND(C933&lt;&gt;"",C933&lt;&gt;"All beds",COUNTIF(Beds!$B$6:$B$35,C933)=0),"Not on Beds",""))))</f>
        <v/>
      </c>
      <c r="G933" s="1">
        <f>IF(ISNUMBER(B933),INT(B933),0)</f>
        <v/>
      </c>
      <c r="H933">
        <f>IF(AND(G933&gt;0,D933="Water",OR(C933="",C933="All beds")),G933,0)</f>
        <v/>
      </c>
    </row>
    <row r="934">
      <c r="A934" s="1" t="n"/>
      <c r="B934" s="17" t="n"/>
      <c r="C934" s="18" t="n"/>
      <c r="D934" s="19" t="n"/>
      <c r="E934" s="21" t="n"/>
      <c r="F934" s="11">
        <f>IF(AND(B934="",C934="",D934=""),"",IF(NOT(ISNUMBER(B934)),"Needs a date",IF(D934="","Needs the job",IF(AND(C934&lt;&gt;"",C934&lt;&gt;"All beds",COUNTIF(Beds!$B$6:$B$35,C934)=0),"Not on Beds",""))))</f>
        <v/>
      </c>
      <c r="G934" s="1">
        <f>IF(ISNUMBER(B934),INT(B934),0)</f>
        <v/>
      </c>
      <c r="H934">
        <f>IF(AND(G934&gt;0,D934="Water",OR(C934="",C934="All beds")),G934,0)</f>
        <v/>
      </c>
    </row>
    <row r="935">
      <c r="A935" s="1" t="n"/>
      <c r="B935" s="17" t="n"/>
      <c r="C935" s="18" t="n"/>
      <c r="D935" s="19" t="n"/>
      <c r="E935" s="21" t="n"/>
      <c r="F935" s="11">
        <f>IF(AND(B935="",C935="",D935=""),"",IF(NOT(ISNUMBER(B935)),"Needs a date",IF(D935="","Needs the job",IF(AND(C935&lt;&gt;"",C935&lt;&gt;"All beds",COUNTIF(Beds!$B$6:$B$35,C935)=0),"Not on Beds",""))))</f>
        <v/>
      </c>
      <c r="G935" s="1">
        <f>IF(ISNUMBER(B935),INT(B935),0)</f>
        <v/>
      </c>
      <c r="H935">
        <f>IF(AND(G935&gt;0,D935="Water",OR(C935="",C935="All beds")),G935,0)</f>
        <v/>
      </c>
    </row>
    <row r="936">
      <c r="A936" s="1" t="n"/>
      <c r="B936" s="17" t="n"/>
      <c r="C936" s="18" t="n"/>
      <c r="D936" s="19" t="n"/>
      <c r="E936" s="21" t="n"/>
      <c r="F936" s="11">
        <f>IF(AND(B936="",C936="",D936=""),"",IF(NOT(ISNUMBER(B936)),"Needs a date",IF(D936="","Needs the job",IF(AND(C936&lt;&gt;"",C936&lt;&gt;"All beds",COUNTIF(Beds!$B$6:$B$35,C936)=0),"Not on Beds",""))))</f>
        <v/>
      </c>
      <c r="G936" s="1">
        <f>IF(ISNUMBER(B936),INT(B936),0)</f>
        <v/>
      </c>
      <c r="H936">
        <f>IF(AND(G936&gt;0,D936="Water",OR(C936="",C936="All beds")),G936,0)</f>
        <v/>
      </c>
    </row>
    <row r="937">
      <c r="A937" s="1" t="n"/>
      <c r="B937" s="17" t="n"/>
      <c r="C937" s="18" t="n"/>
      <c r="D937" s="19" t="n"/>
      <c r="E937" s="21" t="n"/>
      <c r="F937" s="11">
        <f>IF(AND(B937="",C937="",D937=""),"",IF(NOT(ISNUMBER(B937)),"Needs a date",IF(D937="","Needs the job",IF(AND(C937&lt;&gt;"",C937&lt;&gt;"All beds",COUNTIF(Beds!$B$6:$B$35,C937)=0),"Not on Beds",""))))</f>
        <v/>
      </c>
      <c r="G937" s="1">
        <f>IF(ISNUMBER(B937),INT(B937),0)</f>
        <v/>
      </c>
      <c r="H937">
        <f>IF(AND(G937&gt;0,D937="Water",OR(C937="",C937="All beds")),G937,0)</f>
        <v/>
      </c>
    </row>
    <row r="938">
      <c r="A938" s="1" t="n"/>
      <c r="B938" s="17" t="n"/>
      <c r="C938" s="18" t="n"/>
      <c r="D938" s="19" t="n"/>
      <c r="E938" s="21" t="n"/>
      <c r="F938" s="11">
        <f>IF(AND(B938="",C938="",D938=""),"",IF(NOT(ISNUMBER(B938)),"Needs a date",IF(D938="","Needs the job",IF(AND(C938&lt;&gt;"",C938&lt;&gt;"All beds",COUNTIF(Beds!$B$6:$B$35,C938)=0),"Not on Beds",""))))</f>
        <v/>
      </c>
      <c r="G938" s="1">
        <f>IF(ISNUMBER(B938),INT(B938),0)</f>
        <v/>
      </c>
      <c r="H938">
        <f>IF(AND(G938&gt;0,D938="Water",OR(C938="",C938="All beds")),G938,0)</f>
        <v/>
      </c>
    </row>
    <row r="939">
      <c r="A939" s="1" t="n"/>
      <c r="B939" s="17" t="n"/>
      <c r="C939" s="18" t="n"/>
      <c r="D939" s="19" t="n"/>
      <c r="E939" s="21" t="n"/>
      <c r="F939" s="11">
        <f>IF(AND(B939="",C939="",D939=""),"",IF(NOT(ISNUMBER(B939)),"Needs a date",IF(D939="","Needs the job",IF(AND(C939&lt;&gt;"",C939&lt;&gt;"All beds",COUNTIF(Beds!$B$6:$B$35,C939)=0),"Not on Beds",""))))</f>
        <v/>
      </c>
      <c r="G939" s="1">
        <f>IF(ISNUMBER(B939),INT(B939),0)</f>
        <v/>
      </c>
      <c r="H939">
        <f>IF(AND(G939&gt;0,D939="Water",OR(C939="",C939="All beds")),G939,0)</f>
        <v/>
      </c>
    </row>
    <row r="940">
      <c r="A940" s="1" t="n"/>
      <c r="B940" s="17" t="n"/>
      <c r="C940" s="18" t="n"/>
      <c r="D940" s="19" t="n"/>
      <c r="E940" s="21" t="n"/>
      <c r="F940" s="11">
        <f>IF(AND(B940="",C940="",D940=""),"",IF(NOT(ISNUMBER(B940)),"Needs a date",IF(D940="","Needs the job",IF(AND(C940&lt;&gt;"",C940&lt;&gt;"All beds",COUNTIF(Beds!$B$6:$B$35,C940)=0),"Not on Beds",""))))</f>
        <v/>
      </c>
      <c r="G940" s="1">
        <f>IF(ISNUMBER(B940),INT(B940),0)</f>
        <v/>
      </c>
      <c r="H940">
        <f>IF(AND(G940&gt;0,D940="Water",OR(C940="",C940="All beds")),G940,0)</f>
        <v/>
      </c>
    </row>
    <row r="941">
      <c r="A941" s="1" t="n"/>
      <c r="B941" s="17" t="n"/>
      <c r="C941" s="18" t="n"/>
      <c r="D941" s="19" t="n"/>
      <c r="E941" s="21" t="n"/>
      <c r="F941" s="11">
        <f>IF(AND(B941="",C941="",D941=""),"",IF(NOT(ISNUMBER(B941)),"Needs a date",IF(D941="","Needs the job",IF(AND(C941&lt;&gt;"",C941&lt;&gt;"All beds",COUNTIF(Beds!$B$6:$B$35,C941)=0),"Not on Beds",""))))</f>
        <v/>
      </c>
      <c r="G941" s="1">
        <f>IF(ISNUMBER(B941),INT(B941),0)</f>
        <v/>
      </c>
      <c r="H941">
        <f>IF(AND(G941&gt;0,D941="Water",OR(C941="",C941="All beds")),G941,0)</f>
        <v/>
      </c>
    </row>
    <row r="942">
      <c r="A942" s="1" t="n"/>
      <c r="B942" s="17" t="n"/>
      <c r="C942" s="18" t="n"/>
      <c r="D942" s="19" t="n"/>
      <c r="E942" s="21" t="n"/>
      <c r="F942" s="11">
        <f>IF(AND(B942="",C942="",D942=""),"",IF(NOT(ISNUMBER(B942)),"Needs a date",IF(D942="","Needs the job",IF(AND(C942&lt;&gt;"",C942&lt;&gt;"All beds",COUNTIF(Beds!$B$6:$B$35,C942)=0),"Not on Beds",""))))</f>
        <v/>
      </c>
      <c r="G942" s="1">
        <f>IF(ISNUMBER(B942),INT(B942),0)</f>
        <v/>
      </c>
      <c r="H942">
        <f>IF(AND(G942&gt;0,D942="Water",OR(C942="",C942="All beds")),G942,0)</f>
        <v/>
      </c>
    </row>
    <row r="943">
      <c r="A943" s="1" t="n"/>
      <c r="B943" s="17" t="n"/>
      <c r="C943" s="18" t="n"/>
      <c r="D943" s="19" t="n"/>
      <c r="E943" s="21" t="n"/>
      <c r="F943" s="11">
        <f>IF(AND(B943="",C943="",D943=""),"",IF(NOT(ISNUMBER(B943)),"Needs a date",IF(D943="","Needs the job",IF(AND(C943&lt;&gt;"",C943&lt;&gt;"All beds",COUNTIF(Beds!$B$6:$B$35,C943)=0),"Not on Beds",""))))</f>
        <v/>
      </c>
      <c r="G943" s="1">
        <f>IF(ISNUMBER(B943),INT(B943),0)</f>
        <v/>
      </c>
      <c r="H943">
        <f>IF(AND(G943&gt;0,D943="Water",OR(C943="",C943="All beds")),G943,0)</f>
        <v/>
      </c>
    </row>
    <row r="944">
      <c r="A944" s="1" t="n"/>
      <c r="B944" s="17" t="n"/>
      <c r="C944" s="18" t="n"/>
      <c r="D944" s="19" t="n"/>
      <c r="E944" s="21" t="n"/>
      <c r="F944" s="11">
        <f>IF(AND(B944="",C944="",D944=""),"",IF(NOT(ISNUMBER(B944)),"Needs a date",IF(D944="","Needs the job",IF(AND(C944&lt;&gt;"",C944&lt;&gt;"All beds",COUNTIF(Beds!$B$6:$B$35,C944)=0),"Not on Beds",""))))</f>
        <v/>
      </c>
      <c r="G944" s="1">
        <f>IF(ISNUMBER(B944),INT(B944),0)</f>
        <v/>
      </c>
      <c r="H944">
        <f>IF(AND(G944&gt;0,D944="Water",OR(C944="",C944="All beds")),G944,0)</f>
        <v/>
      </c>
    </row>
    <row r="945">
      <c r="A945" s="1" t="n"/>
      <c r="B945" s="17" t="n"/>
      <c r="C945" s="18" t="n"/>
      <c r="D945" s="19" t="n"/>
      <c r="E945" s="21" t="n"/>
      <c r="F945" s="11">
        <f>IF(AND(B945="",C945="",D945=""),"",IF(NOT(ISNUMBER(B945)),"Needs a date",IF(D945="","Needs the job",IF(AND(C945&lt;&gt;"",C945&lt;&gt;"All beds",COUNTIF(Beds!$B$6:$B$35,C945)=0),"Not on Beds",""))))</f>
        <v/>
      </c>
      <c r="G945" s="1">
        <f>IF(ISNUMBER(B945),INT(B945),0)</f>
        <v/>
      </c>
      <c r="H945">
        <f>IF(AND(G945&gt;0,D945="Water",OR(C945="",C945="All beds")),G945,0)</f>
        <v/>
      </c>
    </row>
    <row r="946">
      <c r="A946" s="1" t="n"/>
      <c r="B946" s="17" t="n"/>
      <c r="C946" s="18" t="n"/>
      <c r="D946" s="19" t="n"/>
      <c r="E946" s="21" t="n"/>
      <c r="F946" s="11">
        <f>IF(AND(B946="",C946="",D946=""),"",IF(NOT(ISNUMBER(B946)),"Needs a date",IF(D946="","Needs the job",IF(AND(C946&lt;&gt;"",C946&lt;&gt;"All beds",COUNTIF(Beds!$B$6:$B$35,C946)=0),"Not on Beds",""))))</f>
        <v/>
      </c>
      <c r="G946" s="1">
        <f>IF(ISNUMBER(B946),INT(B946),0)</f>
        <v/>
      </c>
      <c r="H946">
        <f>IF(AND(G946&gt;0,D946="Water",OR(C946="",C946="All beds")),G946,0)</f>
        <v/>
      </c>
    </row>
    <row r="947">
      <c r="A947" s="1" t="n"/>
      <c r="B947" s="17" t="n"/>
      <c r="C947" s="18" t="n"/>
      <c r="D947" s="19" t="n"/>
      <c r="E947" s="21" t="n"/>
      <c r="F947" s="11">
        <f>IF(AND(B947="",C947="",D947=""),"",IF(NOT(ISNUMBER(B947)),"Needs a date",IF(D947="","Needs the job",IF(AND(C947&lt;&gt;"",C947&lt;&gt;"All beds",COUNTIF(Beds!$B$6:$B$35,C947)=0),"Not on Beds",""))))</f>
        <v/>
      </c>
      <c r="G947" s="1">
        <f>IF(ISNUMBER(B947),INT(B947),0)</f>
        <v/>
      </c>
      <c r="H947">
        <f>IF(AND(G947&gt;0,D947="Water",OR(C947="",C947="All beds")),G947,0)</f>
        <v/>
      </c>
    </row>
    <row r="948">
      <c r="A948" s="1" t="n"/>
      <c r="B948" s="17" t="n"/>
      <c r="C948" s="18" t="n"/>
      <c r="D948" s="19" t="n"/>
      <c r="E948" s="21" t="n"/>
      <c r="F948" s="11">
        <f>IF(AND(B948="",C948="",D948=""),"",IF(NOT(ISNUMBER(B948)),"Needs a date",IF(D948="","Needs the job",IF(AND(C948&lt;&gt;"",C948&lt;&gt;"All beds",COUNTIF(Beds!$B$6:$B$35,C948)=0),"Not on Beds",""))))</f>
        <v/>
      </c>
      <c r="G948" s="1">
        <f>IF(ISNUMBER(B948),INT(B948),0)</f>
        <v/>
      </c>
      <c r="H948">
        <f>IF(AND(G948&gt;0,D948="Water",OR(C948="",C948="All beds")),G948,0)</f>
        <v/>
      </c>
    </row>
    <row r="949">
      <c r="A949" s="1" t="n"/>
      <c r="B949" s="17" t="n"/>
      <c r="C949" s="18" t="n"/>
      <c r="D949" s="19" t="n"/>
      <c r="E949" s="21" t="n"/>
      <c r="F949" s="11">
        <f>IF(AND(B949="",C949="",D949=""),"",IF(NOT(ISNUMBER(B949)),"Needs a date",IF(D949="","Needs the job",IF(AND(C949&lt;&gt;"",C949&lt;&gt;"All beds",COUNTIF(Beds!$B$6:$B$35,C949)=0),"Not on Beds",""))))</f>
        <v/>
      </c>
      <c r="G949" s="1">
        <f>IF(ISNUMBER(B949),INT(B949),0)</f>
        <v/>
      </c>
      <c r="H949">
        <f>IF(AND(G949&gt;0,D949="Water",OR(C949="",C949="All beds")),G949,0)</f>
        <v/>
      </c>
    </row>
    <row r="950">
      <c r="A950" s="1" t="n"/>
      <c r="B950" s="17" t="n"/>
      <c r="C950" s="18" t="n"/>
      <c r="D950" s="19" t="n"/>
      <c r="E950" s="21" t="n"/>
      <c r="F950" s="11">
        <f>IF(AND(B950="",C950="",D950=""),"",IF(NOT(ISNUMBER(B950)),"Needs a date",IF(D950="","Needs the job",IF(AND(C950&lt;&gt;"",C950&lt;&gt;"All beds",COUNTIF(Beds!$B$6:$B$35,C950)=0),"Not on Beds",""))))</f>
        <v/>
      </c>
      <c r="G950" s="1">
        <f>IF(ISNUMBER(B950),INT(B950),0)</f>
        <v/>
      </c>
      <c r="H950">
        <f>IF(AND(G950&gt;0,D950="Water",OR(C950="",C950="All beds")),G950,0)</f>
        <v/>
      </c>
    </row>
    <row r="951">
      <c r="A951" s="1" t="n"/>
      <c r="B951" s="17" t="n"/>
      <c r="C951" s="18" t="n"/>
      <c r="D951" s="19" t="n"/>
      <c r="E951" s="21" t="n"/>
      <c r="F951" s="11">
        <f>IF(AND(B951="",C951="",D951=""),"",IF(NOT(ISNUMBER(B951)),"Needs a date",IF(D951="","Needs the job",IF(AND(C951&lt;&gt;"",C951&lt;&gt;"All beds",COUNTIF(Beds!$B$6:$B$35,C951)=0),"Not on Beds",""))))</f>
        <v/>
      </c>
      <c r="G951" s="1">
        <f>IF(ISNUMBER(B951),INT(B951),0)</f>
        <v/>
      </c>
      <c r="H951">
        <f>IF(AND(G951&gt;0,D951="Water",OR(C951="",C951="All beds")),G951,0)</f>
        <v/>
      </c>
    </row>
    <row r="952">
      <c r="A952" s="1" t="n"/>
      <c r="B952" s="17" t="n"/>
      <c r="C952" s="18" t="n"/>
      <c r="D952" s="19" t="n"/>
      <c r="E952" s="21" t="n"/>
      <c r="F952" s="11">
        <f>IF(AND(B952="",C952="",D952=""),"",IF(NOT(ISNUMBER(B952)),"Needs a date",IF(D952="","Needs the job",IF(AND(C952&lt;&gt;"",C952&lt;&gt;"All beds",COUNTIF(Beds!$B$6:$B$35,C952)=0),"Not on Beds",""))))</f>
        <v/>
      </c>
      <c r="G952" s="1">
        <f>IF(ISNUMBER(B952),INT(B952),0)</f>
        <v/>
      </c>
      <c r="H952">
        <f>IF(AND(G952&gt;0,D952="Water",OR(C952="",C952="All beds")),G952,0)</f>
        <v/>
      </c>
    </row>
    <row r="953">
      <c r="A953" s="1" t="n"/>
      <c r="B953" s="17" t="n"/>
      <c r="C953" s="18" t="n"/>
      <c r="D953" s="19" t="n"/>
      <c r="E953" s="21" t="n"/>
      <c r="F953" s="11">
        <f>IF(AND(B953="",C953="",D953=""),"",IF(NOT(ISNUMBER(B953)),"Needs a date",IF(D953="","Needs the job",IF(AND(C953&lt;&gt;"",C953&lt;&gt;"All beds",COUNTIF(Beds!$B$6:$B$35,C953)=0),"Not on Beds",""))))</f>
        <v/>
      </c>
      <c r="G953" s="1">
        <f>IF(ISNUMBER(B953),INT(B953),0)</f>
        <v/>
      </c>
      <c r="H953">
        <f>IF(AND(G953&gt;0,D953="Water",OR(C953="",C953="All beds")),G953,0)</f>
        <v/>
      </c>
    </row>
    <row r="954">
      <c r="A954" s="1" t="n"/>
      <c r="B954" s="17" t="n"/>
      <c r="C954" s="18" t="n"/>
      <c r="D954" s="19" t="n"/>
      <c r="E954" s="21" t="n"/>
      <c r="F954" s="11">
        <f>IF(AND(B954="",C954="",D954=""),"",IF(NOT(ISNUMBER(B954)),"Needs a date",IF(D954="","Needs the job",IF(AND(C954&lt;&gt;"",C954&lt;&gt;"All beds",COUNTIF(Beds!$B$6:$B$35,C954)=0),"Not on Beds",""))))</f>
        <v/>
      </c>
      <c r="G954" s="1">
        <f>IF(ISNUMBER(B954),INT(B954),0)</f>
        <v/>
      </c>
      <c r="H954">
        <f>IF(AND(G954&gt;0,D954="Water",OR(C954="",C954="All beds")),G954,0)</f>
        <v/>
      </c>
    </row>
    <row r="955">
      <c r="A955" s="1" t="n"/>
      <c r="B955" s="17" t="n"/>
      <c r="C955" s="18" t="n"/>
      <c r="D955" s="19" t="n"/>
      <c r="E955" s="21" t="n"/>
      <c r="F955" s="11">
        <f>IF(AND(B955="",C955="",D955=""),"",IF(NOT(ISNUMBER(B955)),"Needs a date",IF(D955="","Needs the job",IF(AND(C955&lt;&gt;"",C955&lt;&gt;"All beds",COUNTIF(Beds!$B$6:$B$35,C955)=0),"Not on Beds",""))))</f>
        <v/>
      </c>
      <c r="G955" s="1">
        <f>IF(ISNUMBER(B955),INT(B955),0)</f>
        <v/>
      </c>
      <c r="H955">
        <f>IF(AND(G955&gt;0,D955="Water",OR(C955="",C955="All beds")),G955,0)</f>
        <v/>
      </c>
    </row>
    <row r="956">
      <c r="A956" s="1" t="n"/>
      <c r="B956" s="17" t="n"/>
      <c r="C956" s="18" t="n"/>
      <c r="D956" s="19" t="n"/>
      <c r="E956" s="21" t="n"/>
      <c r="F956" s="11">
        <f>IF(AND(B956="",C956="",D956=""),"",IF(NOT(ISNUMBER(B956)),"Needs a date",IF(D956="","Needs the job",IF(AND(C956&lt;&gt;"",C956&lt;&gt;"All beds",COUNTIF(Beds!$B$6:$B$35,C956)=0),"Not on Beds",""))))</f>
        <v/>
      </c>
      <c r="G956" s="1">
        <f>IF(ISNUMBER(B956),INT(B956),0)</f>
        <v/>
      </c>
      <c r="H956">
        <f>IF(AND(G956&gt;0,D956="Water",OR(C956="",C956="All beds")),G956,0)</f>
        <v/>
      </c>
    </row>
    <row r="957">
      <c r="A957" s="1" t="n"/>
      <c r="B957" s="17" t="n"/>
      <c r="C957" s="18" t="n"/>
      <c r="D957" s="19" t="n"/>
      <c r="E957" s="21" t="n"/>
      <c r="F957" s="11">
        <f>IF(AND(B957="",C957="",D957=""),"",IF(NOT(ISNUMBER(B957)),"Needs a date",IF(D957="","Needs the job",IF(AND(C957&lt;&gt;"",C957&lt;&gt;"All beds",COUNTIF(Beds!$B$6:$B$35,C957)=0),"Not on Beds",""))))</f>
        <v/>
      </c>
      <c r="G957" s="1">
        <f>IF(ISNUMBER(B957),INT(B957),0)</f>
        <v/>
      </c>
      <c r="H957">
        <f>IF(AND(G957&gt;0,D957="Water",OR(C957="",C957="All beds")),G957,0)</f>
        <v/>
      </c>
    </row>
    <row r="958">
      <c r="A958" s="1" t="n"/>
      <c r="B958" s="17" t="n"/>
      <c r="C958" s="18" t="n"/>
      <c r="D958" s="19" t="n"/>
      <c r="E958" s="21" t="n"/>
      <c r="F958" s="11">
        <f>IF(AND(B958="",C958="",D958=""),"",IF(NOT(ISNUMBER(B958)),"Needs a date",IF(D958="","Needs the job",IF(AND(C958&lt;&gt;"",C958&lt;&gt;"All beds",COUNTIF(Beds!$B$6:$B$35,C958)=0),"Not on Beds",""))))</f>
        <v/>
      </c>
      <c r="G958" s="1">
        <f>IF(ISNUMBER(B958),INT(B958),0)</f>
        <v/>
      </c>
      <c r="H958">
        <f>IF(AND(G958&gt;0,D958="Water",OR(C958="",C958="All beds")),G958,0)</f>
        <v/>
      </c>
    </row>
    <row r="959">
      <c r="A959" s="1" t="n"/>
      <c r="B959" s="17" t="n"/>
      <c r="C959" s="18" t="n"/>
      <c r="D959" s="19" t="n"/>
      <c r="E959" s="21" t="n"/>
      <c r="F959" s="11">
        <f>IF(AND(B959="",C959="",D959=""),"",IF(NOT(ISNUMBER(B959)),"Needs a date",IF(D959="","Needs the job",IF(AND(C959&lt;&gt;"",C959&lt;&gt;"All beds",COUNTIF(Beds!$B$6:$B$35,C959)=0),"Not on Beds",""))))</f>
        <v/>
      </c>
      <c r="G959" s="1">
        <f>IF(ISNUMBER(B959),INT(B959),0)</f>
        <v/>
      </c>
      <c r="H959">
        <f>IF(AND(G959&gt;0,D959="Water",OR(C959="",C959="All beds")),G959,0)</f>
        <v/>
      </c>
    </row>
    <row r="960">
      <c r="A960" s="1" t="n"/>
      <c r="B960" s="17" t="n"/>
      <c r="C960" s="18" t="n"/>
      <c r="D960" s="19" t="n"/>
      <c r="E960" s="21" t="n"/>
      <c r="F960" s="11">
        <f>IF(AND(B960="",C960="",D960=""),"",IF(NOT(ISNUMBER(B960)),"Needs a date",IF(D960="","Needs the job",IF(AND(C960&lt;&gt;"",C960&lt;&gt;"All beds",COUNTIF(Beds!$B$6:$B$35,C960)=0),"Not on Beds",""))))</f>
        <v/>
      </c>
      <c r="G960" s="1">
        <f>IF(ISNUMBER(B960),INT(B960),0)</f>
        <v/>
      </c>
      <c r="H960">
        <f>IF(AND(G960&gt;0,D960="Water",OR(C960="",C960="All beds")),G960,0)</f>
        <v/>
      </c>
    </row>
    <row r="961">
      <c r="A961" s="1" t="n"/>
      <c r="B961" s="17" t="n"/>
      <c r="C961" s="18" t="n"/>
      <c r="D961" s="19" t="n"/>
      <c r="E961" s="21" t="n"/>
      <c r="F961" s="11">
        <f>IF(AND(B961="",C961="",D961=""),"",IF(NOT(ISNUMBER(B961)),"Needs a date",IF(D961="","Needs the job",IF(AND(C961&lt;&gt;"",C961&lt;&gt;"All beds",COUNTIF(Beds!$B$6:$B$35,C961)=0),"Not on Beds",""))))</f>
        <v/>
      </c>
      <c r="G961" s="1">
        <f>IF(ISNUMBER(B961),INT(B961),0)</f>
        <v/>
      </c>
      <c r="H961">
        <f>IF(AND(G961&gt;0,D961="Water",OR(C961="",C961="All beds")),G961,0)</f>
        <v/>
      </c>
    </row>
    <row r="962">
      <c r="A962" s="1" t="n"/>
      <c r="B962" s="17" t="n"/>
      <c r="C962" s="18" t="n"/>
      <c r="D962" s="19" t="n"/>
      <c r="E962" s="21" t="n"/>
      <c r="F962" s="11">
        <f>IF(AND(B962="",C962="",D962=""),"",IF(NOT(ISNUMBER(B962)),"Needs a date",IF(D962="","Needs the job",IF(AND(C962&lt;&gt;"",C962&lt;&gt;"All beds",COUNTIF(Beds!$B$6:$B$35,C962)=0),"Not on Beds",""))))</f>
        <v/>
      </c>
      <c r="G962" s="1">
        <f>IF(ISNUMBER(B962),INT(B962),0)</f>
        <v/>
      </c>
      <c r="H962">
        <f>IF(AND(G962&gt;0,D962="Water",OR(C962="",C962="All beds")),G962,0)</f>
        <v/>
      </c>
    </row>
    <row r="963">
      <c r="A963" s="1" t="n"/>
      <c r="B963" s="17" t="n"/>
      <c r="C963" s="18" t="n"/>
      <c r="D963" s="19" t="n"/>
      <c r="E963" s="21" t="n"/>
      <c r="F963" s="11">
        <f>IF(AND(B963="",C963="",D963=""),"",IF(NOT(ISNUMBER(B963)),"Needs a date",IF(D963="","Needs the job",IF(AND(C963&lt;&gt;"",C963&lt;&gt;"All beds",COUNTIF(Beds!$B$6:$B$35,C963)=0),"Not on Beds",""))))</f>
        <v/>
      </c>
      <c r="G963" s="1">
        <f>IF(ISNUMBER(B963),INT(B963),0)</f>
        <v/>
      </c>
      <c r="H963">
        <f>IF(AND(G963&gt;0,D963="Water",OR(C963="",C963="All beds")),G963,0)</f>
        <v/>
      </c>
    </row>
    <row r="964">
      <c r="A964" s="1" t="n"/>
      <c r="B964" s="17" t="n"/>
      <c r="C964" s="18" t="n"/>
      <c r="D964" s="19" t="n"/>
      <c r="E964" s="21" t="n"/>
      <c r="F964" s="11">
        <f>IF(AND(B964="",C964="",D964=""),"",IF(NOT(ISNUMBER(B964)),"Needs a date",IF(D964="","Needs the job",IF(AND(C964&lt;&gt;"",C964&lt;&gt;"All beds",COUNTIF(Beds!$B$6:$B$35,C964)=0),"Not on Beds",""))))</f>
        <v/>
      </c>
      <c r="G964" s="1">
        <f>IF(ISNUMBER(B964),INT(B964),0)</f>
        <v/>
      </c>
      <c r="H964">
        <f>IF(AND(G964&gt;0,D964="Water",OR(C964="",C964="All beds")),G964,0)</f>
        <v/>
      </c>
    </row>
    <row r="965">
      <c r="A965" s="1" t="n"/>
      <c r="B965" s="17" t="n"/>
      <c r="C965" s="18" t="n"/>
      <c r="D965" s="19" t="n"/>
      <c r="E965" s="21" t="n"/>
      <c r="F965" s="11">
        <f>IF(AND(B965="",C965="",D965=""),"",IF(NOT(ISNUMBER(B965)),"Needs a date",IF(D965="","Needs the job",IF(AND(C965&lt;&gt;"",C965&lt;&gt;"All beds",COUNTIF(Beds!$B$6:$B$35,C965)=0),"Not on Beds",""))))</f>
        <v/>
      </c>
      <c r="G965" s="1">
        <f>IF(ISNUMBER(B965),INT(B965),0)</f>
        <v/>
      </c>
      <c r="H965">
        <f>IF(AND(G965&gt;0,D965="Water",OR(C965="",C965="All beds")),G965,0)</f>
        <v/>
      </c>
    </row>
    <row r="966">
      <c r="A966" s="1" t="n"/>
      <c r="B966" s="17" t="n"/>
      <c r="C966" s="18" t="n"/>
      <c r="D966" s="19" t="n"/>
      <c r="E966" s="21" t="n"/>
      <c r="F966" s="11">
        <f>IF(AND(B966="",C966="",D966=""),"",IF(NOT(ISNUMBER(B966)),"Needs a date",IF(D966="","Needs the job",IF(AND(C966&lt;&gt;"",C966&lt;&gt;"All beds",COUNTIF(Beds!$B$6:$B$35,C966)=0),"Not on Beds",""))))</f>
        <v/>
      </c>
      <c r="G966" s="1">
        <f>IF(ISNUMBER(B966),INT(B966),0)</f>
        <v/>
      </c>
      <c r="H966">
        <f>IF(AND(G966&gt;0,D966="Water",OR(C966="",C966="All beds")),G966,0)</f>
        <v/>
      </c>
    </row>
    <row r="967">
      <c r="A967" s="1" t="n"/>
      <c r="B967" s="17" t="n"/>
      <c r="C967" s="18" t="n"/>
      <c r="D967" s="19" t="n"/>
      <c r="E967" s="21" t="n"/>
      <c r="F967" s="11">
        <f>IF(AND(B967="",C967="",D967=""),"",IF(NOT(ISNUMBER(B967)),"Needs a date",IF(D967="","Needs the job",IF(AND(C967&lt;&gt;"",C967&lt;&gt;"All beds",COUNTIF(Beds!$B$6:$B$35,C967)=0),"Not on Beds",""))))</f>
        <v/>
      </c>
      <c r="G967" s="1">
        <f>IF(ISNUMBER(B967),INT(B967),0)</f>
        <v/>
      </c>
      <c r="H967">
        <f>IF(AND(G967&gt;0,D967="Water",OR(C967="",C967="All beds")),G967,0)</f>
        <v/>
      </c>
    </row>
    <row r="968">
      <c r="A968" s="1" t="n"/>
      <c r="B968" s="17" t="n"/>
      <c r="C968" s="18" t="n"/>
      <c r="D968" s="19" t="n"/>
      <c r="E968" s="21" t="n"/>
      <c r="F968" s="11">
        <f>IF(AND(B968="",C968="",D968=""),"",IF(NOT(ISNUMBER(B968)),"Needs a date",IF(D968="","Needs the job",IF(AND(C968&lt;&gt;"",C968&lt;&gt;"All beds",COUNTIF(Beds!$B$6:$B$35,C968)=0),"Not on Beds",""))))</f>
        <v/>
      </c>
      <c r="G968" s="1">
        <f>IF(ISNUMBER(B968),INT(B968),0)</f>
        <v/>
      </c>
      <c r="H968">
        <f>IF(AND(G968&gt;0,D968="Water",OR(C968="",C968="All beds")),G968,0)</f>
        <v/>
      </c>
    </row>
    <row r="969">
      <c r="A969" s="1" t="n"/>
      <c r="B969" s="17" t="n"/>
      <c r="C969" s="18" t="n"/>
      <c r="D969" s="19" t="n"/>
      <c r="E969" s="21" t="n"/>
      <c r="F969" s="11">
        <f>IF(AND(B969="",C969="",D969=""),"",IF(NOT(ISNUMBER(B969)),"Needs a date",IF(D969="","Needs the job",IF(AND(C969&lt;&gt;"",C969&lt;&gt;"All beds",COUNTIF(Beds!$B$6:$B$35,C969)=0),"Not on Beds",""))))</f>
        <v/>
      </c>
      <c r="G969" s="1">
        <f>IF(ISNUMBER(B969),INT(B969),0)</f>
        <v/>
      </c>
      <c r="H969">
        <f>IF(AND(G969&gt;0,D969="Water",OR(C969="",C969="All beds")),G969,0)</f>
        <v/>
      </c>
    </row>
    <row r="970">
      <c r="A970" s="1" t="n"/>
      <c r="B970" s="17" t="n"/>
      <c r="C970" s="18" t="n"/>
      <c r="D970" s="19" t="n"/>
      <c r="E970" s="21" t="n"/>
      <c r="F970" s="11">
        <f>IF(AND(B970="",C970="",D970=""),"",IF(NOT(ISNUMBER(B970)),"Needs a date",IF(D970="","Needs the job",IF(AND(C970&lt;&gt;"",C970&lt;&gt;"All beds",COUNTIF(Beds!$B$6:$B$35,C970)=0),"Not on Beds",""))))</f>
        <v/>
      </c>
      <c r="G970" s="1">
        <f>IF(ISNUMBER(B970),INT(B970),0)</f>
        <v/>
      </c>
      <c r="H970">
        <f>IF(AND(G970&gt;0,D970="Water",OR(C970="",C970="All beds")),G970,0)</f>
        <v/>
      </c>
    </row>
    <row r="971">
      <c r="A971" s="1" t="n"/>
      <c r="B971" s="17" t="n"/>
      <c r="C971" s="18" t="n"/>
      <c r="D971" s="19" t="n"/>
      <c r="E971" s="21" t="n"/>
      <c r="F971" s="11">
        <f>IF(AND(B971="",C971="",D971=""),"",IF(NOT(ISNUMBER(B971)),"Needs a date",IF(D971="","Needs the job",IF(AND(C971&lt;&gt;"",C971&lt;&gt;"All beds",COUNTIF(Beds!$B$6:$B$35,C971)=0),"Not on Beds",""))))</f>
        <v/>
      </c>
      <c r="G971" s="1">
        <f>IF(ISNUMBER(B971),INT(B971),0)</f>
        <v/>
      </c>
      <c r="H971">
        <f>IF(AND(G971&gt;0,D971="Water",OR(C971="",C971="All beds")),G971,0)</f>
        <v/>
      </c>
    </row>
    <row r="972">
      <c r="A972" s="1" t="n"/>
      <c r="B972" s="17" t="n"/>
      <c r="C972" s="18" t="n"/>
      <c r="D972" s="19" t="n"/>
      <c r="E972" s="21" t="n"/>
      <c r="F972" s="11">
        <f>IF(AND(B972="",C972="",D972=""),"",IF(NOT(ISNUMBER(B972)),"Needs a date",IF(D972="","Needs the job",IF(AND(C972&lt;&gt;"",C972&lt;&gt;"All beds",COUNTIF(Beds!$B$6:$B$35,C972)=0),"Not on Beds",""))))</f>
        <v/>
      </c>
      <c r="G972" s="1">
        <f>IF(ISNUMBER(B972),INT(B972),0)</f>
        <v/>
      </c>
      <c r="H972">
        <f>IF(AND(G972&gt;0,D972="Water",OR(C972="",C972="All beds")),G972,0)</f>
        <v/>
      </c>
    </row>
    <row r="973">
      <c r="A973" s="1" t="n"/>
      <c r="B973" s="17" t="n"/>
      <c r="C973" s="18" t="n"/>
      <c r="D973" s="19" t="n"/>
      <c r="E973" s="21" t="n"/>
      <c r="F973" s="11">
        <f>IF(AND(B973="",C973="",D973=""),"",IF(NOT(ISNUMBER(B973)),"Needs a date",IF(D973="","Needs the job",IF(AND(C973&lt;&gt;"",C973&lt;&gt;"All beds",COUNTIF(Beds!$B$6:$B$35,C973)=0),"Not on Beds",""))))</f>
        <v/>
      </c>
      <c r="G973" s="1">
        <f>IF(ISNUMBER(B973),INT(B973),0)</f>
        <v/>
      </c>
      <c r="H973">
        <f>IF(AND(G973&gt;0,D973="Water",OR(C973="",C973="All beds")),G973,0)</f>
        <v/>
      </c>
    </row>
    <row r="974">
      <c r="A974" s="1" t="n"/>
      <c r="B974" s="17" t="n"/>
      <c r="C974" s="18" t="n"/>
      <c r="D974" s="19" t="n"/>
      <c r="E974" s="21" t="n"/>
      <c r="F974" s="11">
        <f>IF(AND(B974="",C974="",D974=""),"",IF(NOT(ISNUMBER(B974)),"Needs a date",IF(D974="","Needs the job",IF(AND(C974&lt;&gt;"",C974&lt;&gt;"All beds",COUNTIF(Beds!$B$6:$B$35,C974)=0),"Not on Beds",""))))</f>
        <v/>
      </c>
      <c r="G974" s="1">
        <f>IF(ISNUMBER(B974),INT(B974),0)</f>
        <v/>
      </c>
      <c r="H974">
        <f>IF(AND(G974&gt;0,D974="Water",OR(C974="",C974="All beds")),G974,0)</f>
        <v/>
      </c>
    </row>
    <row r="975">
      <c r="A975" s="1" t="n"/>
      <c r="B975" s="17" t="n"/>
      <c r="C975" s="18" t="n"/>
      <c r="D975" s="19" t="n"/>
      <c r="E975" s="21" t="n"/>
      <c r="F975" s="11">
        <f>IF(AND(B975="",C975="",D975=""),"",IF(NOT(ISNUMBER(B975)),"Needs a date",IF(D975="","Needs the job",IF(AND(C975&lt;&gt;"",C975&lt;&gt;"All beds",COUNTIF(Beds!$B$6:$B$35,C975)=0),"Not on Beds",""))))</f>
        <v/>
      </c>
      <c r="G975" s="1">
        <f>IF(ISNUMBER(B975),INT(B975),0)</f>
        <v/>
      </c>
      <c r="H975">
        <f>IF(AND(G975&gt;0,D975="Water",OR(C975="",C975="All beds")),G975,0)</f>
        <v/>
      </c>
    </row>
    <row r="976">
      <c r="A976" s="1" t="n"/>
      <c r="B976" s="17" t="n"/>
      <c r="C976" s="18" t="n"/>
      <c r="D976" s="19" t="n"/>
      <c r="E976" s="21" t="n"/>
      <c r="F976" s="11">
        <f>IF(AND(B976="",C976="",D976=""),"",IF(NOT(ISNUMBER(B976)),"Needs a date",IF(D976="","Needs the job",IF(AND(C976&lt;&gt;"",C976&lt;&gt;"All beds",COUNTIF(Beds!$B$6:$B$35,C976)=0),"Not on Beds",""))))</f>
        <v/>
      </c>
      <c r="G976" s="1">
        <f>IF(ISNUMBER(B976),INT(B976),0)</f>
        <v/>
      </c>
      <c r="H976">
        <f>IF(AND(G976&gt;0,D976="Water",OR(C976="",C976="All beds")),G976,0)</f>
        <v/>
      </c>
    </row>
    <row r="977">
      <c r="A977" s="1" t="n"/>
      <c r="B977" s="17" t="n"/>
      <c r="C977" s="18" t="n"/>
      <c r="D977" s="19" t="n"/>
      <c r="E977" s="21" t="n"/>
      <c r="F977" s="11">
        <f>IF(AND(B977="",C977="",D977=""),"",IF(NOT(ISNUMBER(B977)),"Needs a date",IF(D977="","Needs the job",IF(AND(C977&lt;&gt;"",C977&lt;&gt;"All beds",COUNTIF(Beds!$B$6:$B$35,C977)=0),"Not on Beds",""))))</f>
        <v/>
      </c>
      <c r="G977" s="1">
        <f>IF(ISNUMBER(B977),INT(B977),0)</f>
        <v/>
      </c>
      <c r="H977">
        <f>IF(AND(G977&gt;0,D977="Water",OR(C977="",C977="All beds")),G977,0)</f>
        <v/>
      </c>
    </row>
    <row r="978">
      <c r="A978" s="1" t="n"/>
      <c r="B978" s="17" t="n"/>
      <c r="C978" s="18" t="n"/>
      <c r="D978" s="19" t="n"/>
      <c r="E978" s="21" t="n"/>
      <c r="F978" s="11">
        <f>IF(AND(B978="",C978="",D978=""),"",IF(NOT(ISNUMBER(B978)),"Needs a date",IF(D978="","Needs the job",IF(AND(C978&lt;&gt;"",C978&lt;&gt;"All beds",COUNTIF(Beds!$B$6:$B$35,C978)=0),"Not on Beds",""))))</f>
        <v/>
      </c>
      <c r="G978" s="1">
        <f>IF(ISNUMBER(B978),INT(B978),0)</f>
        <v/>
      </c>
      <c r="H978">
        <f>IF(AND(G978&gt;0,D978="Water",OR(C978="",C978="All beds")),G978,0)</f>
        <v/>
      </c>
    </row>
    <row r="979">
      <c r="A979" s="1" t="n"/>
      <c r="B979" s="17" t="n"/>
      <c r="C979" s="18" t="n"/>
      <c r="D979" s="19" t="n"/>
      <c r="E979" s="21" t="n"/>
      <c r="F979" s="11">
        <f>IF(AND(B979="",C979="",D979=""),"",IF(NOT(ISNUMBER(B979)),"Needs a date",IF(D979="","Needs the job",IF(AND(C979&lt;&gt;"",C979&lt;&gt;"All beds",COUNTIF(Beds!$B$6:$B$35,C979)=0),"Not on Beds",""))))</f>
        <v/>
      </c>
      <c r="G979" s="1">
        <f>IF(ISNUMBER(B979),INT(B979),0)</f>
        <v/>
      </c>
      <c r="H979">
        <f>IF(AND(G979&gt;0,D979="Water",OR(C979="",C979="All beds")),G979,0)</f>
        <v/>
      </c>
    </row>
    <row r="980">
      <c r="A980" s="1" t="n"/>
      <c r="B980" s="17" t="n"/>
      <c r="C980" s="18" t="n"/>
      <c r="D980" s="19" t="n"/>
      <c r="E980" s="21" t="n"/>
      <c r="F980" s="11">
        <f>IF(AND(B980="",C980="",D980=""),"",IF(NOT(ISNUMBER(B980)),"Needs a date",IF(D980="","Needs the job",IF(AND(C980&lt;&gt;"",C980&lt;&gt;"All beds",COUNTIF(Beds!$B$6:$B$35,C980)=0),"Not on Beds",""))))</f>
        <v/>
      </c>
      <c r="G980" s="1">
        <f>IF(ISNUMBER(B980),INT(B980),0)</f>
        <v/>
      </c>
      <c r="H980">
        <f>IF(AND(G980&gt;0,D980="Water",OR(C980="",C980="All beds")),G980,0)</f>
        <v/>
      </c>
    </row>
    <row r="981">
      <c r="A981" s="1" t="n"/>
      <c r="B981" s="17" t="n"/>
      <c r="C981" s="18" t="n"/>
      <c r="D981" s="19" t="n"/>
      <c r="E981" s="21" t="n"/>
      <c r="F981" s="11">
        <f>IF(AND(B981="",C981="",D981=""),"",IF(NOT(ISNUMBER(B981)),"Needs a date",IF(D981="","Needs the job",IF(AND(C981&lt;&gt;"",C981&lt;&gt;"All beds",COUNTIF(Beds!$B$6:$B$35,C981)=0),"Not on Beds",""))))</f>
        <v/>
      </c>
      <c r="G981" s="1">
        <f>IF(ISNUMBER(B981),INT(B981),0)</f>
        <v/>
      </c>
      <c r="H981">
        <f>IF(AND(G981&gt;0,D981="Water",OR(C981="",C981="All beds")),G981,0)</f>
        <v/>
      </c>
    </row>
    <row r="982">
      <c r="A982" s="1" t="n"/>
      <c r="B982" s="17" t="n"/>
      <c r="C982" s="18" t="n"/>
      <c r="D982" s="19" t="n"/>
      <c r="E982" s="21" t="n"/>
      <c r="F982" s="11">
        <f>IF(AND(B982="",C982="",D982=""),"",IF(NOT(ISNUMBER(B982)),"Needs a date",IF(D982="","Needs the job",IF(AND(C982&lt;&gt;"",C982&lt;&gt;"All beds",COUNTIF(Beds!$B$6:$B$35,C982)=0),"Not on Beds",""))))</f>
        <v/>
      </c>
      <c r="G982" s="1">
        <f>IF(ISNUMBER(B982),INT(B982),0)</f>
        <v/>
      </c>
      <c r="H982">
        <f>IF(AND(G982&gt;0,D982="Water",OR(C982="",C982="All beds")),G982,0)</f>
        <v/>
      </c>
    </row>
    <row r="983">
      <c r="A983" s="1" t="n"/>
      <c r="B983" s="17" t="n"/>
      <c r="C983" s="18" t="n"/>
      <c r="D983" s="19" t="n"/>
      <c r="E983" s="21" t="n"/>
      <c r="F983" s="11">
        <f>IF(AND(B983="",C983="",D983=""),"",IF(NOT(ISNUMBER(B983)),"Needs a date",IF(D983="","Needs the job",IF(AND(C983&lt;&gt;"",C983&lt;&gt;"All beds",COUNTIF(Beds!$B$6:$B$35,C983)=0),"Not on Beds",""))))</f>
        <v/>
      </c>
      <c r="G983" s="1">
        <f>IF(ISNUMBER(B983),INT(B983),0)</f>
        <v/>
      </c>
      <c r="H983">
        <f>IF(AND(G983&gt;0,D983="Water",OR(C983="",C983="All beds")),G983,0)</f>
        <v/>
      </c>
    </row>
    <row r="984">
      <c r="A984" s="1" t="n"/>
      <c r="B984" s="17" t="n"/>
      <c r="C984" s="18" t="n"/>
      <c r="D984" s="19" t="n"/>
      <c r="E984" s="21" t="n"/>
      <c r="F984" s="11">
        <f>IF(AND(B984="",C984="",D984=""),"",IF(NOT(ISNUMBER(B984)),"Needs a date",IF(D984="","Needs the job",IF(AND(C984&lt;&gt;"",C984&lt;&gt;"All beds",COUNTIF(Beds!$B$6:$B$35,C984)=0),"Not on Beds",""))))</f>
        <v/>
      </c>
      <c r="G984" s="1">
        <f>IF(ISNUMBER(B984),INT(B984),0)</f>
        <v/>
      </c>
      <c r="H984">
        <f>IF(AND(G984&gt;0,D984="Water",OR(C984="",C984="All beds")),G984,0)</f>
        <v/>
      </c>
    </row>
    <row r="985">
      <c r="A985" s="1" t="n"/>
      <c r="B985" s="17" t="n"/>
      <c r="C985" s="18" t="n"/>
      <c r="D985" s="19" t="n"/>
      <c r="E985" s="21" t="n"/>
      <c r="F985" s="11">
        <f>IF(AND(B985="",C985="",D985=""),"",IF(NOT(ISNUMBER(B985)),"Needs a date",IF(D985="","Needs the job",IF(AND(C985&lt;&gt;"",C985&lt;&gt;"All beds",COUNTIF(Beds!$B$6:$B$35,C985)=0),"Not on Beds",""))))</f>
        <v/>
      </c>
      <c r="G985" s="1">
        <f>IF(ISNUMBER(B985),INT(B985),0)</f>
        <v/>
      </c>
      <c r="H985">
        <f>IF(AND(G985&gt;0,D985="Water",OR(C985="",C985="All beds")),G985,0)</f>
        <v/>
      </c>
    </row>
    <row r="986">
      <c r="A986" s="1" t="n"/>
      <c r="B986" s="17" t="n"/>
      <c r="C986" s="18" t="n"/>
      <c r="D986" s="19" t="n"/>
      <c r="E986" s="21" t="n"/>
      <c r="F986" s="11">
        <f>IF(AND(B986="",C986="",D986=""),"",IF(NOT(ISNUMBER(B986)),"Needs a date",IF(D986="","Needs the job",IF(AND(C986&lt;&gt;"",C986&lt;&gt;"All beds",COUNTIF(Beds!$B$6:$B$35,C986)=0),"Not on Beds",""))))</f>
        <v/>
      </c>
      <c r="G986" s="1">
        <f>IF(ISNUMBER(B986),INT(B986),0)</f>
        <v/>
      </c>
      <c r="H986">
        <f>IF(AND(G986&gt;0,D986="Water",OR(C986="",C986="All beds")),G986,0)</f>
        <v/>
      </c>
    </row>
    <row r="987">
      <c r="A987" s="1" t="n"/>
      <c r="B987" s="17" t="n"/>
      <c r="C987" s="18" t="n"/>
      <c r="D987" s="19" t="n"/>
      <c r="E987" s="21" t="n"/>
      <c r="F987" s="11">
        <f>IF(AND(B987="",C987="",D987=""),"",IF(NOT(ISNUMBER(B987)),"Needs a date",IF(D987="","Needs the job",IF(AND(C987&lt;&gt;"",C987&lt;&gt;"All beds",COUNTIF(Beds!$B$6:$B$35,C987)=0),"Not on Beds",""))))</f>
        <v/>
      </c>
      <c r="G987" s="1">
        <f>IF(ISNUMBER(B987),INT(B987),0)</f>
        <v/>
      </c>
      <c r="H987">
        <f>IF(AND(G987&gt;0,D987="Water",OR(C987="",C987="All beds")),G987,0)</f>
        <v/>
      </c>
    </row>
    <row r="988">
      <c r="A988" s="1" t="n"/>
      <c r="B988" s="17" t="n"/>
      <c r="C988" s="18" t="n"/>
      <c r="D988" s="19" t="n"/>
      <c r="E988" s="21" t="n"/>
      <c r="F988" s="11">
        <f>IF(AND(B988="",C988="",D988=""),"",IF(NOT(ISNUMBER(B988)),"Needs a date",IF(D988="","Needs the job",IF(AND(C988&lt;&gt;"",C988&lt;&gt;"All beds",COUNTIF(Beds!$B$6:$B$35,C988)=0),"Not on Beds",""))))</f>
        <v/>
      </c>
      <c r="G988" s="1">
        <f>IF(ISNUMBER(B988),INT(B988),0)</f>
        <v/>
      </c>
      <c r="H988">
        <f>IF(AND(G988&gt;0,D988="Water",OR(C988="",C988="All beds")),G988,0)</f>
        <v/>
      </c>
    </row>
    <row r="989">
      <c r="A989" s="1" t="n"/>
      <c r="B989" s="17" t="n"/>
      <c r="C989" s="18" t="n"/>
      <c r="D989" s="19" t="n"/>
      <c r="E989" s="21" t="n"/>
      <c r="F989" s="11">
        <f>IF(AND(B989="",C989="",D989=""),"",IF(NOT(ISNUMBER(B989)),"Needs a date",IF(D989="","Needs the job",IF(AND(C989&lt;&gt;"",C989&lt;&gt;"All beds",COUNTIF(Beds!$B$6:$B$35,C989)=0),"Not on Beds",""))))</f>
        <v/>
      </c>
      <c r="G989" s="1">
        <f>IF(ISNUMBER(B989),INT(B989),0)</f>
        <v/>
      </c>
      <c r="H989">
        <f>IF(AND(G989&gt;0,D989="Water",OR(C989="",C989="All beds")),G989,0)</f>
        <v/>
      </c>
    </row>
    <row r="990">
      <c r="A990" s="1" t="n"/>
      <c r="B990" s="17" t="n"/>
      <c r="C990" s="18" t="n"/>
      <c r="D990" s="19" t="n"/>
      <c r="E990" s="21" t="n"/>
      <c r="F990" s="11">
        <f>IF(AND(B990="",C990="",D990=""),"",IF(NOT(ISNUMBER(B990)),"Needs a date",IF(D990="","Needs the job",IF(AND(C990&lt;&gt;"",C990&lt;&gt;"All beds",COUNTIF(Beds!$B$6:$B$35,C990)=0),"Not on Beds",""))))</f>
        <v/>
      </c>
      <c r="G990" s="1">
        <f>IF(ISNUMBER(B990),INT(B990),0)</f>
        <v/>
      </c>
      <c r="H990">
        <f>IF(AND(G990&gt;0,D990="Water",OR(C990="",C990="All beds")),G990,0)</f>
        <v/>
      </c>
    </row>
    <row r="991">
      <c r="A991" s="1" t="n"/>
      <c r="B991" s="17" t="n"/>
      <c r="C991" s="18" t="n"/>
      <c r="D991" s="19" t="n"/>
      <c r="E991" s="21" t="n"/>
      <c r="F991" s="11">
        <f>IF(AND(B991="",C991="",D991=""),"",IF(NOT(ISNUMBER(B991)),"Needs a date",IF(D991="","Needs the job",IF(AND(C991&lt;&gt;"",C991&lt;&gt;"All beds",COUNTIF(Beds!$B$6:$B$35,C991)=0),"Not on Beds",""))))</f>
        <v/>
      </c>
      <c r="G991" s="1">
        <f>IF(ISNUMBER(B991),INT(B991),0)</f>
        <v/>
      </c>
      <c r="H991">
        <f>IF(AND(G991&gt;0,D991="Water",OR(C991="",C991="All beds")),G991,0)</f>
        <v/>
      </c>
    </row>
    <row r="992">
      <c r="A992" s="1" t="n"/>
      <c r="B992" s="17" t="n"/>
      <c r="C992" s="18" t="n"/>
      <c r="D992" s="19" t="n"/>
      <c r="E992" s="21" t="n"/>
      <c r="F992" s="11">
        <f>IF(AND(B992="",C992="",D992=""),"",IF(NOT(ISNUMBER(B992)),"Needs a date",IF(D992="","Needs the job",IF(AND(C992&lt;&gt;"",C992&lt;&gt;"All beds",COUNTIF(Beds!$B$6:$B$35,C992)=0),"Not on Beds",""))))</f>
        <v/>
      </c>
      <c r="G992" s="1">
        <f>IF(ISNUMBER(B992),INT(B992),0)</f>
        <v/>
      </c>
      <c r="H992">
        <f>IF(AND(G992&gt;0,D992="Water",OR(C992="",C992="All beds")),G992,0)</f>
        <v/>
      </c>
    </row>
    <row r="993">
      <c r="A993" s="1" t="n"/>
      <c r="B993" s="17" t="n"/>
      <c r="C993" s="18" t="n"/>
      <c r="D993" s="19" t="n"/>
      <c r="E993" s="21" t="n"/>
      <c r="F993" s="11">
        <f>IF(AND(B993="",C993="",D993=""),"",IF(NOT(ISNUMBER(B993)),"Needs a date",IF(D993="","Needs the job",IF(AND(C993&lt;&gt;"",C993&lt;&gt;"All beds",COUNTIF(Beds!$B$6:$B$35,C993)=0),"Not on Beds",""))))</f>
        <v/>
      </c>
      <c r="G993" s="1">
        <f>IF(ISNUMBER(B993),INT(B993),0)</f>
        <v/>
      </c>
      <c r="H993">
        <f>IF(AND(G993&gt;0,D993="Water",OR(C993="",C993="All beds")),G993,0)</f>
        <v/>
      </c>
    </row>
    <row r="994">
      <c r="A994" s="1" t="n"/>
      <c r="B994" s="17" t="n"/>
      <c r="C994" s="18" t="n"/>
      <c r="D994" s="19" t="n"/>
      <c r="E994" s="21" t="n"/>
      <c r="F994" s="11">
        <f>IF(AND(B994="",C994="",D994=""),"",IF(NOT(ISNUMBER(B994)),"Needs a date",IF(D994="","Needs the job",IF(AND(C994&lt;&gt;"",C994&lt;&gt;"All beds",COUNTIF(Beds!$B$6:$B$35,C994)=0),"Not on Beds",""))))</f>
        <v/>
      </c>
      <c r="G994" s="1">
        <f>IF(ISNUMBER(B994),INT(B994),0)</f>
        <v/>
      </c>
      <c r="H994">
        <f>IF(AND(G994&gt;0,D994="Water",OR(C994="",C994="All beds")),G994,0)</f>
        <v/>
      </c>
    </row>
    <row r="995">
      <c r="A995" s="1" t="n"/>
      <c r="B995" s="17" t="n"/>
      <c r="C995" s="18" t="n"/>
      <c r="D995" s="19" t="n"/>
      <c r="E995" s="21" t="n"/>
      <c r="F995" s="11">
        <f>IF(AND(B995="",C995="",D995=""),"",IF(NOT(ISNUMBER(B995)),"Needs a date",IF(D995="","Needs the job",IF(AND(C995&lt;&gt;"",C995&lt;&gt;"All beds",COUNTIF(Beds!$B$6:$B$35,C995)=0),"Not on Beds",""))))</f>
        <v/>
      </c>
      <c r="G995" s="1">
        <f>IF(ISNUMBER(B995),INT(B995),0)</f>
        <v/>
      </c>
      <c r="H995">
        <f>IF(AND(G995&gt;0,D995="Water",OR(C995="",C995="All beds")),G995,0)</f>
        <v/>
      </c>
    </row>
    <row r="996">
      <c r="A996" s="1" t="n"/>
      <c r="B996" s="17" t="n"/>
      <c r="C996" s="18" t="n"/>
      <c r="D996" s="19" t="n"/>
      <c r="E996" s="21" t="n"/>
      <c r="F996" s="11">
        <f>IF(AND(B996="",C996="",D996=""),"",IF(NOT(ISNUMBER(B996)),"Needs a date",IF(D996="","Needs the job",IF(AND(C996&lt;&gt;"",C996&lt;&gt;"All beds",COUNTIF(Beds!$B$6:$B$35,C996)=0),"Not on Beds",""))))</f>
        <v/>
      </c>
      <c r="G996" s="1">
        <f>IF(ISNUMBER(B996),INT(B996),0)</f>
        <v/>
      </c>
      <c r="H996">
        <f>IF(AND(G996&gt;0,D996="Water",OR(C996="",C996="All beds")),G996,0)</f>
        <v/>
      </c>
    </row>
    <row r="997">
      <c r="A997" s="1" t="n"/>
      <c r="B997" s="17" t="n"/>
      <c r="C997" s="18" t="n"/>
      <c r="D997" s="19" t="n"/>
      <c r="E997" s="21" t="n"/>
      <c r="F997" s="11">
        <f>IF(AND(B997="",C997="",D997=""),"",IF(NOT(ISNUMBER(B997)),"Needs a date",IF(D997="","Needs the job",IF(AND(C997&lt;&gt;"",C997&lt;&gt;"All beds",COUNTIF(Beds!$B$6:$B$35,C997)=0),"Not on Beds",""))))</f>
        <v/>
      </c>
      <c r="G997" s="1">
        <f>IF(ISNUMBER(B997),INT(B997),0)</f>
        <v/>
      </c>
      <c r="H997">
        <f>IF(AND(G997&gt;0,D997="Water",OR(C997="",C997="All beds")),G997,0)</f>
        <v/>
      </c>
    </row>
    <row r="998">
      <c r="A998" s="1" t="n"/>
      <c r="B998" s="17" t="n"/>
      <c r="C998" s="18" t="n"/>
      <c r="D998" s="19" t="n"/>
      <c r="E998" s="21" t="n"/>
      <c r="F998" s="11">
        <f>IF(AND(B998="",C998="",D998=""),"",IF(NOT(ISNUMBER(B998)),"Needs a date",IF(D998="","Needs the job",IF(AND(C998&lt;&gt;"",C998&lt;&gt;"All beds",COUNTIF(Beds!$B$6:$B$35,C998)=0),"Not on Beds",""))))</f>
        <v/>
      </c>
      <c r="G998" s="1">
        <f>IF(ISNUMBER(B998),INT(B998),0)</f>
        <v/>
      </c>
      <c r="H998">
        <f>IF(AND(G998&gt;0,D998="Water",OR(C998="",C998="All beds")),G998,0)</f>
        <v/>
      </c>
    </row>
    <row r="999">
      <c r="A999" s="1" t="n"/>
      <c r="B999" s="17" t="n"/>
      <c r="C999" s="18" t="n"/>
      <c r="D999" s="19" t="n"/>
      <c r="E999" s="21" t="n"/>
      <c r="F999" s="11">
        <f>IF(AND(B999="",C999="",D999=""),"",IF(NOT(ISNUMBER(B999)),"Needs a date",IF(D999="","Needs the job",IF(AND(C999&lt;&gt;"",C999&lt;&gt;"All beds",COUNTIF(Beds!$B$6:$B$35,C999)=0),"Not on Beds",""))))</f>
        <v/>
      </c>
      <c r="G999" s="1">
        <f>IF(ISNUMBER(B999),INT(B999),0)</f>
        <v/>
      </c>
      <c r="H999">
        <f>IF(AND(G999&gt;0,D999="Water",OR(C999="",C999="All beds")),G999,0)</f>
        <v/>
      </c>
    </row>
    <row r="1000">
      <c r="A1000" s="1" t="n"/>
      <c r="B1000" s="17" t="n"/>
      <c r="C1000" s="18" t="n"/>
      <c r="D1000" s="19" t="n"/>
      <c r="E1000" s="21" t="n"/>
      <c r="F1000" s="11">
        <f>IF(AND(B1000="",C1000="",D1000=""),"",IF(NOT(ISNUMBER(B1000)),"Needs a date",IF(D1000="","Needs the job",IF(AND(C1000&lt;&gt;"",C1000&lt;&gt;"All beds",COUNTIF(Beds!$B$6:$B$35,C1000)=0),"Not on Beds",""))))</f>
        <v/>
      </c>
      <c r="G1000" s="1">
        <f>IF(ISNUMBER(B1000),INT(B1000),0)</f>
        <v/>
      </c>
      <c r="H1000">
        <f>IF(AND(G1000&gt;0,D1000="Water",OR(C1000="",C1000="All beds")),G1000,0)</f>
        <v/>
      </c>
    </row>
    <row r="1001">
      <c r="A1001" s="1" t="n"/>
      <c r="B1001" s="17" t="n"/>
      <c r="C1001" s="18" t="n"/>
      <c r="D1001" s="19" t="n"/>
      <c r="E1001" s="21" t="n"/>
      <c r="F1001" s="11">
        <f>IF(AND(B1001="",C1001="",D1001=""),"",IF(NOT(ISNUMBER(B1001)),"Needs a date",IF(D1001="","Needs the job",IF(AND(C1001&lt;&gt;"",C1001&lt;&gt;"All beds",COUNTIF(Beds!$B$6:$B$35,C1001)=0),"Not on Beds",""))))</f>
        <v/>
      </c>
      <c r="G1001" s="1">
        <f>IF(ISNUMBER(B1001),INT(B1001),0)</f>
        <v/>
      </c>
      <c r="H1001">
        <f>IF(AND(G1001&gt;0,D1001="Water",OR(C1001="",C1001="All beds")),G1001,0)</f>
        <v/>
      </c>
    </row>
    <row r="1002">
      <c r="A1002" s="1" t="n"/>
      <c r="B1002" s="17" t="n"/>
      <c r="C1002" s="18" t="n"/>
      <c r="D1002" s="19" t="n"/>
      <c r="E1002" s="21" t="n"/>
      <c r="F1002" s="11">
        <f>IF(AND(B1002="",C1002="",D1002=""),"",IF(NOT(ISNUMBER(B1002)),"Needs a date",IF(D1002="","Needs the job",IF(AND(C1002&lt;&gt;"",C1002&lt;&gt;"All beds",COUNTIF(Beds!$B$6:$B$35,C1002)=0),"Not on Beds",""))))</f>
        <v/>
      </c>
      <c r="G1002" s="1">
        <f>IF(ISNUMBER(B1002),INT(B1002),0)</f>
        <v/>
      </c>
      <c r="H1002">
        <f>IF(AND(G1002&gt;0,D1002="Water",OR(C1002="",C1002="All beds")),G1002,0)</f>
        <v/>
      </c>
    </row>
    <row r="1003">
      <c r="A1003" s="1" t="n"/>
      <c r="B1003" s="17" t="n"/>
      <c r="C1003" s="18" t="n"/>
      <c r="D1003" s="19" t="n"/>
      <c r="E1003" s="21" t="n"/>
      <c r="F1003" s="11">
        <f>IF(AND(B1003="",C1003="",D1003=""),"",IF(NOT(ISNUMBER(B1003)),"Needs a date",IF(D1003="","Needs the job",IF(AND(C1003&lt;&gt;"",C1003&lt;&gt;"All beds",COUNTIF(Beds!$B$6:$B$35,C1003)=0),"Not on Beds",""))))</f>
        <v/>
      </c>
      <c r="G1003" s="1">
        <f>IF(ISNUMBER(B1003),INT(B1003),0)</f>
        <v/>
      </c>
      <c r="H1003">
        <f>IF(AND(G1003&gt;0,D1003="Water",OR(C1003="",C1003="All beds")),G1003,0)</f>
        <v/>
      </c>
    </row>
    <row r="1004">
      <c r="A1004" s="1" t="n"/>
      <c r="B1004" s="17" t="n"/>
      <c r="C1004" s="18" t="n"/>
      <c r="D1004" s="19" t="n"/>
      <c r="E1004" s="21" t="n"/>
      <c r="F1004" s="11">
        <f>IF(AND(B1004="",C1004="",D1004=""),"",IF(NOT(ISNUMBER(B1004)),"Needs a date",IF(D1004="","Needs the job",IF(AND(C1004&lt;&gt;"",C1004&lt;&gt;"All beds",COUNTIF(Beds!$B$6:$B$35,C1004)=0),"Not on Beds",""))))</f>
        <v/>
      </c>
      <c r="G1004" s="1">
        <f>IF(ISNUMBER(B1004),INT(B1004),0)</f>
        <v/>
      </c>
      <c r="H1004">
        <f>IF(AND(G1004&gt;0,D1004="Water",OR(C1004="",C1004="All beds")),G1004,0)</f>
        <v/>
      </c>
    </row>
    <row r="1005">
      <c r="A1005" s="1" t="n"/>
      <c r="B1005" s="17" t="n"/>
      <c r="C1005" s="18" t="n"/>
      <c r="D1005" s="19" t="n"/>
      <c r="E1005" s="21" t="n"/>
      <c r="F1005" s="11">
        <f>IF(AND(B1005="",C1005="",D1005=""),"",IF(NOT(ISNUMBER(B1005)),"Needs a date",IF(D1005="","Needs the job",IF(AND(C1005&lt;&gt;"",C1005&lt;&gt;"All beds",COUNTIF(Beds!$B$6:$B$35,C1005)=0),"Not on Beds",""))))</f>
        <v/>
      </c>
      <c r="G1005" s="1">
        <f>IF(ISNUMBER(B1005),INT(B1005),0)</f>
        <v/>
      </c>
      <c r="H1005">
        <f>IF(AND(G1005&gt;0,D1005="Water",OR(C1005="",C1005="All beds")),G1005,0)</f>
        <v/>
      </c>
    </row>
    <row r="1006">
      <c r="A1006" s="1" t="n"/>
      <c r="B1006" s="17" t="n"/>
      <c r="C1006" s="18" t="n"/>
      <c r="D1006" s="19" t="n"/>
      <c r="E1006" s="21" t="n"/>
      <c r="F1006" s="11">
        <f>IF(AND(B1006="",C1006="",D1006=""),"",IF(NOT(ISNUMBER(B1006)),"Needs a date",IF(D1006="","Needs the job",IF(AND(C1006&lt;&gt;"",C1006&lt;&gt;"All beds",COUNTIF(Beds!$B$6:$B$35,C1006)=0),"Not on Beds",""))))</f>
        <v/>
      </c>
      <c r="G1006" s="1">
        <f>IF(ISNUMBER(B1006),INT(B1006),0)</f>
        <v/>
      </c>
      <c r="H1006">
        <f>IF(AND(G1006&gt;0,D1006="Water",OR(C1006="",C1006="All beds")),G1006,0)</f>
        <v/>
      </c>
    </row>
    <row r="1007">
      <c r="A1007" s="1" t="n"/>
      <c r="B1007" s="17" t="n"/>
      <c r="C1007" s="18" t="n"/>
      <c r="D1007" s="19" t="n"/>
      <c r="E1007" s="21" t="n"/>
      <c r="F1007" s="11">
        <f>IF(AND(B1007="",C1007="",D1007=""),"",IF(NOT(ISNUMBER(B1007)),"Needs a date",IF(D1007="","Needs the job",IF(AND(C1007&lt;&gt;"",C1007&lt;&gt;"All beds",COUNTIF(Beds!$B$6:$B$35,C1007)=0),"Not on Beds",""))))</f>
        <v/>
      </c>
      <c r="G1007" s="1">
        <f>IF(ISNUMBER(B1007),INT(B1007),0)</f>
        <v/>
      </c>
      <c r="H1007">
        <f>IF(AND(G1007&gt;0,D1007="Water",OR(C1007="",C1007="All beds")),G1007,0)</f>
        <v/>
      </c>
    </row>
    <row r="1008">
      <c r="A1008" s="1" t="n"/>
      <c r="B1008" s="17" t="n"/>
      <c r="C1008" s="18" t="n"/>
      <c r="D1008" s="19" t="n"/>
      <c r="E1008" s="21" t="n"/>
      <c r="F1008" s="11">
        <f>IF(AND(B1008="",C1008="",D1008=""),"",IF(NOT(ISNUMBER(B1008)),"Needs a date",IF(D1008="","Needs the job",IF(AND(C1008&lt;&gt;"",C1008&lt;&gt;"All beds",COUNTIF(Beds!$B$6:$B$35,C1008)=0),"Not on Beds",""))))</f>
        <v/>
      </c>
      <c r="G1008" s="1">
        <f>IF(ISNUMBER(B1008),INT(B1008),0)</f>
        <v/>
      </c>
      <c r="H1008">
        <f>IF(AND(G1008&gt;0,D1008="Water",OR(C1008="",C1008="All beds")),G1008,0)</f>
        <v/>
      </c>
    </row>
    <row r="1009">
      <c r="A1009" s="1" t="n"/>
      <c r="B1009" s="17" t="n"/>
      <c r="C1009" s="18" t="n"/>
      <c r="D1009" s="19" t="n"/>
      <c r="E1009" s="21" t="n"/>
      <c r="F1009" s="11">
        <f>IF(AND(B1009="",C1009="",D1009=""),"",IF(NOT(ISNUMBER(B1009)),"Needs a date",IF(D1009="","Needs the job",IF(AND(C1009&lt;&gt;"",C1009&lt;&gt;"All beds",COUNTIF(Beds!$B$6:$B$35,C1009)=0),"Not on Beds",""))))</f>
        <v/>
      </c>
      <c r="G1009" s="1">
        <f>IF(ISNUMBER(B1009),INT(B1009),0)</f>
        <v/>
      </c>
      <c r="H1009">
        <f>IF(AND(G1009&gt;0,D1009="Water",OR(C1009="",C1009="All beds")),G1009,0)</f>
        <v/>
      </c>
    </row>
    <row r="1010">
      <c r="A1010" s="1" t="n"/>
      <c r="B1010" s="17" t="n"/>
      <c r="C1010" s="18" t="n"/>
      <c r="D1010" s="19" t="n"/>
      <c r="E1010" s="21" t="n"/>
      <c r="F1010" s="11">
        <f>IF(AND(B1010="",C1010="",D1010=""),"",IF(NOT(ISNUMBER(B1010)),"Needs a date",IF(D1010="","Needs the job",IF(AND(C1010&lt;&gt;"",C1010&lt;&gt;"All beds",COUNTIF(Beds!$B$6:$B$35,C1010)=0),"Not on Beds",""))))</f>
        <v/>
      </c>
      <c r="G1010" s="1">
        <f>IF(ISNUMBER(B1010),INT(B1010),0)</f>
        <v/>
      </c>
      <c r="H1010">
        <f>IF(AND(G1010&gt;0,D1010="Water",OR(C1010="",C1010="All beds")),G1010,0)</f>
        <v/>
      </c>
    </row>
    <row r="1011">
      <c r="A1011" s="1" t="n"/>
      <c r="B1011" s="17" t="n"/>
      <c r="C1011" s="18" t="n"/>
      <c r="D1011" s="19" t="n"/>
      <c r="E1011" s="21" t="n"/>
      <c r="F1011" s="11">
        <f>IF(AND(B1011="",C1011="",D1011=""),"",IF(NOT(ISNUMBER(B1011)),"Needs a date",IF(D1011="","Needs the job",IF(AND(C1011&lt;&gt;"",C1011&lt;&gt;"All beds",COUNTIF(Beds!$B$6:$B$35,C1011)=0),"Not on Beds",""))))</f>
        <v/>
      </c>
      <c r="G1011" s="1">
        <f>IF(ISNUMBER(B1011),INT(B1011),0)</f>
        <v/>
      </c>
      <c r="H1011">
        <f>IF(AND(G1011&gt;0,D1011="Water",OR(C1011="",C1011="All beds")),G1011,0)</f>
        <v/>
      </c>
    </row>
    <row r="1012">
      <c r="A1012" s="1" t="n"/>
      <c r="B1012" s="17" t="n"/>
      <c r="C1012" s="18" t="n"/>
      <c r="D1012" s="19" t="n"/>
      <c r="E1012" s="21" t="n"/>
      <c r="F1012" s="11">
        <f>IF(AND(B1012="",C1012="",D1012=""),"",IF(NOT(ISNUMBER(B1012)),"Needs a date",IF(D1012="","Needs the job",IF(AND(C1012&lt;&gt;"",C1012&lt;&gt;"All beds",COUNTIF(Beds!$B$6:$B$35,C1012)=0),"Not on Beds",""))))</f>
        <v/>
      </c>
      <c r="G1012" s="1">
        <f>IF(ISNUMBER(B1012),INT(B1012),0)</f>
        <v/>
      </c>
      <c r="H1012">
        <f>IF(AND(G1012&gt;0,D1012="Water",OR(C1012="",C1012="All beds")),G1012,0)</f>
        <v/>
      </c>
    </row>
    <row r="1013">
      <c r="A1013" s="1" t="n"/>
      <c r="B1013" s="17" t="n"/>
      <c r="C1013" s="18" t="n"/>
      <c r="D1013" s="19" t="n"/>
      <c r="E1013" s="21" t="n"/>
      <c r="F1013" s="11">
        <f>IF(AND(B1013="",C1013="",D1013=""),"",IF(NOT(ISNUMBER(B1013)),"Needs a date",IF(D1013="","Needs the job",IF(AND(C1013&lt;&gt;"",C1013&lt;&gt;"All beds",COUNTIF(Beds!$B$6:$B$35,C1013)=0),"Not on Beds",""))))</f>
        <v/>
      </c>
      <c r="G1013" s="1">
        <f>IF(ISNUMBER(B1013),INT(B1013),0)</f>
        <v/>
      </c>
      <c r="H1013">
        <f>IF(AND(G1013&gt;0,D1013="Water",OR(C1013="",C1013="All beds")),G1013,0)</f>
        <v/>
      </c>
    </row>
    <row r="1014">
      <c r="A1014" s="1" t="n"/>
      <c r="B1014" s="17" t="n"/>
      <c r="C1014" s="18" t="n"/>
      <c r="D1014" s="19" t="n"/>
      <c r="E1014" s="21" t="n"/>
      <c r="F1014" s="11">
        <f>IF(AND(B1014="",C1014="",D1014=""),"",IF(NOT(ISNUMBER(B1014)),"Needs a date",IF(D1014="","Needs the job",IF(AND(C1014&lt;&gt;"",C1014&lt;&gt;"All beds",COUNTIF(Beds!$B$6:$B$35,C1014)=0),"Not on Beds",""))))</f>
        <v/>
      </c>
      <c r="G1014" s="1">
        <f>IF(ISNUMBER(B1014),INT(B1014),0)</f>
        <v/>
      </c>
      <c r="H1014">
        <f>IF(AND(G1014&gt;0,D1014="Water",OR(C1014="",C1014="All beds")),G1014,0)</f>
        <v/>
      </c>
    </row>
    <row r="1015">
      <c r="A1015" s="1" t="n"/>
      <c r="B1015" s="17" t="n"/>
      <c r="C1015" s="18" t="n"/>
      <c r="D1015" s="19" t="n"/>
      <c r="E1015" s="21" t="n"/>
      <c r="F1015" s="11">
        <f>IF(AND(B1015="",C1015="",D1015=""),"",IF(NOT(ISNUMBER(B1015)),"Needs a date",IF(D1015="","Needs the job",IF(AND(C1015&lt;&gt;"",C1015&lt;&gt;"All beds",COUNTIF(Beds!$B$6:$B$35,C1015)=0),"Not on Beds",""))))</f>
        <v/>
      </c>
      <c r="G1015" s="1">
        <f>IF(ISNUMBER(B1015),INT(B1015),0)</f>
        <v/>
      </c>
      <c r="H1015">
        <f>IF(AND(G1015&gt;0,D1015="Water",OR(C1015="",C1015="All beds")),G1015,0)</f>
        <v/>
      </c>
    </row>
    <row r="1016">
      <c r="A1016" s="1" t="n"/>
      <c r="B1016" s="17" t="n"/>
      <c r="C1016" s="18" t="n"/>
      <c r="D1016" s="19" t="n"/>
      <c r="E1016" s="21" t="n"/>
      <c r="F1016" s="11">
        <f>IF(AND(B1016="",C1016="",D1016=""),"",IF(NOT(ISNUMBER(B1016)),"Needs a date",IF(D1016="","Needs the job",IF(AND(C1016&lt;&gt;"",C1016&lt;&gt;"All beds",COUNTIF(Beds!$B$6:$B$35,C1016)=0),"Not on Beds",""))))</f>
        <v/>
      </c>
      <c r="G1016" s="1">
        <f>IF(ISNUMBER(B1016),INT(B1016),0)</f>
        <v/>
      </c>
      <c r="H1016">
        <f>IF(AND(G1016&gt;0,D1016="Water",OR(C1016="",C1016="All beds")),G1016,0)</f>
        <v/>
      </c>
    </row>
    <row r="1017">
      <c r="A1017" s="1" t="n"/>
      <c r="B1017" s="17" t="n"/>
      <c r="C1017" s="18" t="n"/>
      <c r="D1017" s="19" t="n"/>
      <c r="E1017" s="21" t="n"/>
      <c r="F1017" s="11">
        <f>IF(AND(B1017="",C1017="",D1017=""),"",IF(NOT(ISNUMBER(B1017)),"Needs a date",IF(D1017="","Needs the job",IF(AND(C1017&lt;&gt;"",C1017&lt;&gt;"All beds",COUNTIF(Beds!$B$6:$B$35,C1017)=0),"Not on Beds",""))))</f>
        <v/>
      </c>
      <c r="G1017" s="1">
        <f>IF(ISNUMBER(B1017),INT(B1017),0)</f>
        <v/>
      </c>
      <c r="H1017">
        <f>IF(AND(G1017&gt;0,D1017="Water",OR(C1017="",C1017="All beds")),G1017,0)</f>
        <v/>
      </c>
    </row>
    <row r="1018">
      <c r="A1018" s="1" t="n"/>
      <c r="B1018" s="17" t="n"/>
      <c r="C1018" s="18" t="n"/>
      <c r="D1018" s="19" t="n"/>
      <c r="E1018" s="21" t="n"/>
      <c r="F1018" s="11">
        <f>IF(AND(B1018="",C1018="",D1018=""),"",IF(NOT(ISNUMBER(B1018)),"Needs a date",IF(D1018="","Needs the job",IF(AND(C1018&lt;&gt;"",C1018&lt;&gt;"All beds",COUNTIF(Beds!$B$6:$B$35,C1018)=0),"Not on Beds",""))))</f>
        <v/>
      </c>
      <c r="G1018" s="1">
        <f>IF(ISNUMBER(B1018),INT(B1018),0)</f>
        <v/>
      </c>
      <c r="H1018">
        <f>IF(AND(G1018&gt;0,D1018="Water",OR(C1018="",C1018="All beds")),G1018,0)</f>
        <v/>
      </c>
    </row>
    <row r="1019">
      <c r="A1019" s="1" t="n"/>
      <c r="B1019" s="17" t="n"/>
      <c r="C1019" s="18" t="n"/>
      <c r="D1019" s="19" t="n"/>
      <c r="E1019" s="21" t="n"/>
      <c r="F1019" s="11">
        <f>IF(AND(B1019="",C1019="",D1019=""),"",IF(NOT(ISNUMBER(B1019)),"Needs a date",IF(D1019="","Needs the job",IF(AND(C1019&lt;&gt;"",C1019&lt;&gt;"All beds",COUNTIF(Beds!$B$6:$B$35,C1019)=0),"Not on Beds",""))))</f>
        <v/>
      </c>
      <c r="G1019" s="1">
        <f>IF(ISNUMBER(B1019),INT(B1019),0)</f>
        <v/>
      </c>
      <c r="H1019">
        <f>IF(AND(G1019&gt;0,D1019="Water",OR(C1019="",C1019="All beds")),G1019,0)</f>
        <v/>
      </c>
    </row>
    <row r="1020">
      <c r="A1020" s="1" t="n"/>
      <c r="B1020" s="17" t="n"/>
      <c r="C1020" s="18" t="n"/>
      <c r="D1020" s="19" t="n"/>
      <c r="E1020" s="21" t="n"/>
      <c r="F1020" s="11">
        <f>IF(AND(B1020="",C1020="",D1020=""),"",IF(NOT(ISNUMBER(B1020)),"Needs a date",IF(D1020="","Needs the job",IF(AND(C1020&lt;&gt;"",C1020&lt;&gt;"All beds",COUNTIF(Beds!$B$6:$B$35,C1020)=0),"Not on Beds",""))))</f>
        <v/>
      </c>
      <c r="G1020" s="1">
        <f>IF(ISNUMBER(B1020),INT(B1020),0)</f>
        <v/>
      </c>
      <c r="H1020">
        <f>IF(AND(G1020&gt;0,D1020="Water",OR(C1020="",C1020="All beds")),G1020,0)</f>
        <v/>
      </c>
    </row>
    <row r="1021">
      <c r="A1021" s="1" t="n"/>
      <c r="B1021" s="17" t="n"/>
      <c r="C1021" s="18" t="n"/>
      <c r="D1021" s="19" t="n"/>
      <c r="E1021" s="21" t="n"/>
      <c r="F1021" s="11">
        <f>IF(AND(B1021="",C1021="",D1021=""),"",IF(NOT(ISNUMBER(B1021)),"Needs a date",IF(D1021="","Needs the job",IF(AND(C1021&lt;&gt;"",C1021&lt;&gt;"All beds",COUNTIF(Beds!$B$6:$B$35,C1021)=0),"Not on Beds",""))))</f>
        <v/>
      </c>
      <c r="G1021" s="1">
        <f>IF(ISNUMBER(B1021),INT(B1021),0)</f>
        <v/>
      </c>
      <c r="H1021">
        <f>IF(AND(G1021&gt;0,D1021="Water",OR(C1021="",C1021="All beds")),G1021,0)</f>
        <v/>
      </c>
    </row>
    <row r="1022">
      <c r="A1022" s="1" t="n"/>
      <c r="B1022" s="17" t="n"/>
      <c r="C1022" s="18" t="n"/>
      <c r="D1022" s="19" t="n"/>
      <c r="E1022" s="21" t="n"/>
      <c r="F1022" s="11">
        <f>IF(AND(B1022="",C1022="",D1022=""),"",IF(NOT(ISNUMBER(B1022)),"Needs a date",IF(D1022="","Needs the job",IF(AND(C1022&lt;&gt;"",C1022&lt;&gt;"All beds",COUNTIF(Beds!$B$6:$B$35,C1022)=0),"Not on Beds",""))))</f>
        <v/>
      </c>
      <c r="G1022" s="1">
        <f>IF(ISNUMBER(B1022),INT(B1022),0)</f>
        <v/>
      </c>
      <c r="H1022">
        <f>IF(AND(G1022&gt;0,D1022="Water",OR(C1022="",C1022="All beds")),G1022,0)</f>
        <v/>
      </c>
    </row>
    <row r="1023">
      <c r="A1023" s="1" t="n"/>
      <c r="B1023" s="17" t="n"/>
      <c r="C1023" s="18" t="n"/>
      <c r="D1023" s="19" t="n"/>
      <c r="E1023" s="21" t="n"/>
      <c r="F1023" s="11">
        <f>IF(AND(B1023="",C1023="",D1023=""),"",IF(NOT(ISNUMBER(B1023)),"Needs a date",IF(D1023="","Needs the job",IF(AND(C1023&lt;&gt;"",C1023&lt;&gt;"All beds",COUNTIF(Beds!$B$6:$B$35,C1023)=0),"Not on Beds",""))))</f>
        <v/>
      </c>
      <c r="G1023" s="1">
        <f>IF(ISNUMBER(B1023),INT(B1023),0)</f>
        <v/>
      </c>
      <c r="H1023">
        <f>IF(AND(G1023&gt;0,D1023="Water",OR(C1023="",C1023="All beds")),G1023,0)</f>
        <v/>
      </c>
    </row>
    <row r="1024">
      <c r="A1024" s="1" t="n"/>
      <c r="B1024" s="17" t="n"/>
      <c r="C1024" s="18" t="n"/>
      <c r="D1024" s="19" t="n"/>
      <c r="E1024" s="21" t="n"/>
      <c r="F1024" s="11">
        <f>IF(AND(B1024="",C1024="",D1024=""),"",IF(NOT(ISNUMBER(B1024)),"Needs a date",IF(D1024="","Needs the job",IF(AND(C1024&lt;&gt;"",C1024&lt;&gt;"All beds",COUNTIF(Beds!$B$6:$B$35,C1024)=0),"Not on Beds",""))))</f>
        <v/>
      </c>
      <c r="G1024" s="1">
        <f>IF(ISNUMBER(B1024),INT(B1024),0)</f>
        <v/>
      </c>
      <c r="H1024">
        <f>IF(AND(G1024&gt;0,D1024="Water",OR(C1024="",C1024="All beds")),G1024,0)</f>
        <v/>
      </c>
    </row>
    <row r="1025">
      <c r="A1025" s="1" t="n"/>
      <c r="B1025" s="17" t="n"/>
      <c r="C1025" s="18" t="n"/>
      <c r="D1025" s="19" t="n"/>
      <c r="E1025" s="21" t="n"/>
      <c r="F1025" s="11">
        <f>IF(AND(B1025="",C1025="",D1025=""),"",IF(NOT(ISNUMBER(B1025)),"Needs a date",IF(D1025="","Needs the job",IF(AND(C1025&lt;&gt;"",C1025&lt;&gt;"All beds",COUNTIF(Beds!$B$6:$B$35,C1025)=0),"Not on Beds",""))))</f>
        <v/>
      </c>
      <c r="G1025" s="1">
        <f>IF(ISNUMBER(B1025),INT(B1025),0)</f>
        <v/>
      </c>
      <c r="H1025">
        <f>IF(AND(G1025&gt;0,D1025="Water",OR(C1025="",C1025="All beds")),G1025,0)</f>
        <v/>
      </c>
    </row>
    <row r="1026">
      <c r="A1026" s="1" t="n"/>
      <c r="B1026" s="17" t="n"/>
      <c r="C1026" s="18" t="n"/>
      <c r="D1026" s="19" t="n"/>
      <c r="E1026" s="21" t="n"/>
      <c r="F1026" s="11">
        <f>IF(AND(B1026="",C1026="",D1026=""),"",IF(NOT(ISNUMBER(B1026)),"Needs a date",IF(D1026="","Needs the job",IF(AND(C1026&lt;&gt;"",C1026&lt;&gt;"All beds",COUNTIF(Beds!$B$6:$B$35,C1026)=0),"Not on Beds",""))))</f>
        <v/>
      </c>
      <c r="G1026" s="1">
        <f>IF(ISNUMBER(B1026),INT(B1026),0)</f>
        <v/>
      </c>
      <c r="H1026">
        <f>IF(AND(G1026&gt;0,D1026="Water",OR(C1026="",C1026="All beds")),G1026,0)</f>
        <v/>
      </c>
    </row>
    <row r="1027">
      <c r="A1027" s="1" t="n"/>
      <c r="B1027" s="17" t="n"/>
      <c r="C1027" s="18" t="n"/>
      <c r="D1027" s="19" t="n"/>
      <c r="E1027" s="21" t="n"/>
      <c r="F1027" s="11">
        <f>IF(AND(B1027="",C1027="",D1027=""),"",IF(NOT(ISNUMBER(B1027)),"Needs a date",IF(D1027="","Needs the job",IF(AND(C1027&lt;&gt;"",C1027&lt;&gt;"All beds",COUNTIF(Beds!$B$6:$B$35,C1027)=0),"Not on Beds",""))))</f>
        <v/>
      </c>
      <c r="G1027" s="1">
        <f>IF(ISNUMBER(B1027),INT(B1027),0)</f>
        <v/>
      </c>
      <c r="H1027">
        <f>IF(AND(G1027&gt;0,D1027="Water",OR(C1027="",C1027="All beds")),G1027,0)</f>
        <v/>
      </c>
    </row>
    <row r="1028">
      <c r="A1028" s="1" t="n"/>
      <c r="B1028" s="17" t="n"/>
      <c r="C1028" s="18" t="n"/>
      <c r="D1028" s="19" t="n"/>
      <c r="E1028" s="21" t="n"/>
      <c r="F1028" s="11">
        <f>IF(AND(B1028="",C1028="",D1028=""),"",IF(NOT(ISNUMBER(B1028)),"Needs a date",IF(D1028="","Needs the job",IF(AND(C1028&lt;&gt;"",C1028&lt;&gt;"All beds",COUNTIF(Beds!$B$6:$B$35,C1028)=0),"Not on Beds",""))))</f>
        <v/>
      </c>
      <c r="G1028" s="1">
        <f>IF(ISNUMBER(B1028),INT(B1028),0)</f>
        <v/>
      </c>
      <c r="H1028">
        <f>IF(AND(G1028&gt;0,D1028="Water",OR(C1028="",C1028="All beds")),G1028,0)</f>
        <v/>
      </c>
    </row>
    <row r="1029">
      <c r="A1029" s="1" t="n"/>
      <c r="B1029" s="17" t="n"/>
      <c r="C1029" s="18" t="n"/>
      <c r="D1029" s="19" t="n"/>
      <c r="E1029" s="21" t="n"/>
      <c r="F1029" s="11">
        <f>IF(AND(B1029="",C1029="",D1029=""),"",IF(NOT(ISNUMBER(B1029)),"Needs a date",IF(D1029="","Needs the job",IF(AND(C1029&lt;&gt;"",C1029&lt;&gt;"All beds",COUNTIF(Beds!$B$6:$B$35,C1029)=0),"Not on Beds",""))))</f>
        <v/>
      </c>
      <c r="G1029" s="1">
        <f>IF(ISNUMBER(B1029),INT(B1029),0)</f>
        <v/>
      </c>
      <c r="H1029">
        <f>IF(AND(G1029&gt;0,D1029="Water",OR(C1029="",C1029="All beds")),G1029,0)</f>
        <v/>
      </c>
    </row>
    <row r="1030">
      <c r="A1030" s="1" t="n"/>
      <c r="B1030" s="17" t="n"/>
      <c r="C1030" s="18" t="n"/>
      <c r="D1030" s="19" t="n"/>
      <c r="E1030" s="21" t="n"/>
      <c r="F1030" s="11">
        <f>IF(AND(B1030="",C1030="",D1030=""),"",IF(NOT(ISNUMBER(B1030)),"Needs a date",IF(D1030="","Needs the job",IF(AND(C1030&lt;&gt;"",C1030&lt;&gt;"All beds",COUNTIF(Beds!$B$6:$B$35,C1030)=0),"Not on Beds",""))))</f>
        <v/>
      </c>
      <c r="G1030" s="1">
        <f>IF(ISNUMBER(B1030),INT(B1030),0)</f>
        <v/>
      </c>
      <c r="H1030">
        <f>IF(AND(G1030&gt;0,D1030="Water",OR(C1030="",C1030="All beds")),G1030,0)</f>
        <v/>
      </c>
    </row>
    <row r="1031">
      <c r="A1031" s="1" t="n"/>
      <c r="B1031" s="17" t="n"/>
      <c r="C1031" s="18" t="n"/>
      <c r="D1031" s="19" t="n"/>
      <c r="E1031" s="21" t="n"/>
      <c r="F1031" s="11">
        <f>IF(AND(B1031="",C1031="",D1031=""),"",IF(NOT(ISNUMBER(B1031)),"Needs a date",IF(D1031="","Needs the job",IF(AND(C1031&lt;&gt;"",C1031&lt;&gt;"All beds",COUNTIF(Beds!$B$6:$B$35,C1031)=0),"Not on Beds",""))))</f>
        <v/>
      </c>
      <c r="G1031" s="1">
        <f>IF(ISNUMBER(B1031),INT(B1031),0)</f>
        <v/>
      </c>
      <c r="H1031">
        <f>IF(AND(G1031&gt;0,D1031="Water",OR(C1031="",C1031="All beds")),G1031,0)</f>
        <v/>
      </c>
    </row>
    <row r="1032">
      <c r="A1032" s="1" t="n"/>
      <c r="B1032" s="17" t="n"/>
      <c r="C1032" s="18" t="n"/>
      <c r="D1032" s="19" t="n"/>
      <c r="E1032" s="21" t="n"/>
      <c r="F1032" s="11">
        <f>IF(AND(B1032="",C1032="",D1032=""),"",IF(NOT(ISNUMBER(B1032)),"Needs a date",IF(D1032="","Needs the job",IF(AND(C1032&lt;&gt;"",C1032&lt;&gt;"All beds",COUNTIF(Beds!$B$6:$B$35,C1032)=0),"Not on Beds",""))))</f>
        <v/>
      </c>
      <c r="G1032" s="1">
        <f>IF(ISNUMBER(B1032),INT(B1032),0)</f>
        <v/>
      </c>
      <c r="H1032">
        <f>IF(AND(G1032&gt;0,D1032="Water",OR(C1032="",C1032="All beds")),G1032,0)</f>
        <v/>
      </c>
    </row>
    <row r="1033">
      <c r="A1033" s="1" t="n"/>
      <c r="B1033" s="17" t="n"/>
      <c r="C1033" s="18" t="n"/>
      <c r="D1033" s="19" t="n"/>
      <c r="E1033" s="21" t="n"/>
      <c r="F1033" s="11">
        <f>IF(AND(B1033="",C1033="",D1033=""),"",IF(NOT(ISNUMBER(B1033)),"Needs a date",IF(D1033="","Needs the job",IF(AND(C1033&lt;&gt;"",C1033&lt;&gt;"All beds",COUNTIF(Beds!$B$6:$B$35,C1033)=0),"Not on Beds",""))))</f>
        <v/>
      </c>
      <c r="G1033" s="1">
        <f>IF(ISNUMBER(B1033),INT(B1033),0)</f>
        <v/>
      </c>
      <c r="H1033">
        <f>IF(AND(G1033&gt;0,D1033="Water",OR(C1033="",C1033="All beds")),G1033,0)</f>
        <v/>
      </c>
    </row>
    <row r="1034">
      <c r="A1034" s="1" t="n"/>
      <c r="B1034" s="17" t="n"/>
      <c r="C1034" s="18" t="n"/>
      <c r="D1034" s="19" t="n"/>
      <c r="E1034" s="21" t="n"/>
      <c r="F1034" s="11">
        <f>IF(AND(B1034="",C1034="",D1034=""),"",IF(NOT(ISNUMBER(B1034)),"Needs a date",IF(D1034="","Needs the job",IF(AND(C1034&lt;&gt;"",C1034&lt;&gt;"All beds",COUNTIF(Beds!$B$6:$B$35,C1034)=0),"Not on Beds",""))))</f>
        <v/>
      </c>
      <c r="G1034" s="1">
        <f>IF(ISNUMBER(B1034),INT(B1034),0)</f>
        <v/>
      </c>
      <c r="H1034">
        <f>IF(AND(G1034&gt;0,D1034="Water",OR(C1034="",C1034="All beds")),G1034,0)</f>
        <v/>
      </c>
    </row>
    <row r="1035">
      <c r="A1035" s="1" t="n"/>
      <c r="B1035" s="17" t="n"/>
      <c r="C1035" s="18" t="n"/>
      <c r="D1035" s="19" t="n"/>
      <c r="E1035" s="21" t="n"/>
      <c r="F1035" s="11">
        <f>IF(AND(B1035="",C1035="",D1035=""),"",IF(NOT(ISNUMBER(B1035)),"Needs a date",IF(D1035="","Needs the job",IF(AND(C1035&lt;&gt;"",C1035&lt;&gt;"All beds",COUNTIF(Beds!$B$6:$B$35,C1035)=0),"Not on Beds",""))))</f>
        <v/>
      </c>
      <c r="G1035" s="1">
        <f>IF(ISNUMBER(B1035),INT(B1035),0)</f>
        <v/>
      </c>
      <c r="H1035">
        <f>IF(AND(G1035&gt;0,D1035="Water",OR(C1035="",C1035="All beds")),G1035,0)</f>
        <v/>
      </c>
    </row>
    <row r="1036">
      <c r="A1036" s="1" t="n"/>
      <c r="B1036" s="17" t="n"/>
      <c r="C1036" s="18" t="n"/>
      <c r="D1036" s="19" t="n"/>
      <c r="E1036" s="21" t="n"/>
      <c r="F1036" s="11">
        <f>IF(AND(B1036="",C1036="",D1036=""),"",IF(NOT(ISNUMBER(B1036)),"Needs a date",IF(D1036="","Needs the job",IF(AND(C1036&lt;&gt;"",C1036&lt;&gt;"All beds",COUNTIF(Beds!$B$6:$B$35,C1036)=0),"Not on Beds",""))))</f>
        <v/>
      </c>
      <c r="G1036" s="1">
        <f>IF(ISNUMBER(B1036),INT(B1036),0)</f>
        <v/>
      </c>
      <c r="H1036">
        <f>IF(AND(G1036&gt;0,D1036="Water",OR(C1036="",C1036="All beds")),G1036,0)</f>
        <v/>
      </c>
    </row>
    <row r="1037">
      <c r="A1037" s="1" t="n"/>
      <c r="B1037" s="17" t="n"/>
      <c r="C1037" s="18" t="n"/>
      <c r="D1037" s="19" t="n"/>
      <c r="E1037" s="21" t="n"/>
      <c r="F1037" s="11">
        <f>IF(AND(B1037="",C1037="",D1037=""),"",IF(NOT(ISNUMBER(B1037)),"Needs a date",IF(D1037="","Needs the job",IF(AND(C1037&lt;&gt;"",C1037&lt;&gt;"All beds",COUNTIF(Beds!$B$6:$B$35,C1037)=0),"Not on Beds",""))))</f>
        <v/>
      </c>
      <c r="G1037" s="1">
        <f>IF(ISNUMBER(B1037),INT(B1037),0)</f>
        <v/>
      </c>
      <c r="H1037">
        <f>IF(AND(G1037&gt;0,D1037="Water",OR(C1037="",C1037="All beds")),G1037,0)</f>
        <v/>
      </c>
    </row>
    <row r="1038">
      <c r="A1038" s="1" t="n"/>
      <c r="B1038" s="17" t="n"/>
      <c r="C1038" s="18" t="n"/>
      <c r="D1038" s="19" t="n"/>
      <c r="E1038" s="21" t="n"/>
      <c r="F1038" s="11">
        <f>IF(AND(B1038="",C1038="",D1038=""),"",IF(NOT(ISNUMBER(B1038)),"Needs a date",IF(D1038="","Needs the job",IF(AND(C1038&lt;&gt;"",C1038&lt;&gt;"All beds",COUNTIF(Beds!$B$6:$B$35,C1038)=0),"Not on Beds",""))))</f>
        <v/>
      </c>
      <c r="G1038" s="1">
        <f>IF(ISNUMBER(B1038),INT(B1038),0)</f>
        <v/>
      </c>
      <c r="H1038">
        <f>IF(AND(G1038&gt;0,D1038="Water",OR(C1038="",C1038="All beds")),G1038,0)</f>
        <v/>
      </c>
    </row>
    <row r="1039">
      <c r="A1039" s="1" t="n"/>
      <c r="B1039" s="17" t="n"/>
      <c r="C1039" s="18" t="n"/>
      <c r="D1039" s="19" t="n"/>
      <c r="E1039" s="21" t="n"/>
      <c r="F1039" s="11">
        <f>IF(AND(B1039="",C1039="",D1039=""),"",IF(NOT(ISNUMBER(B1039)),"Needs a date",IF(D1039="","Needs the job",IF(AND(C1039&lt;&gt;"",C1039&lt;&gt;"All beds",COUNTIF(Beds!$B$6:$B$35,C1039)=0),"Not on Beds",""))))</f>
        <v/>
      </c>
      <c r="G1039" s="1">
        <f>IF(ISNUMBER(B1039),INT(B1039),0)</f>
        <v/>
      </c>
      <c r="H1039">
        <f>IF(AND(G1039&gt;0,D1039="Water",OR(C1039="",C1039="All beds")),G1039,0)</f>
        <v/>
      </c>
    </row>
    <row r="1040">
      <c r="A1040" s="1" t="n"/>
      <c r="B1040" s="17" t="n"/>
      <c r="C1040" s="18" t="n"/>
      <c r="D1040" s="19" t="n"/>
      <c r="E1040" s="21" t="n"/>
      <c r="F1040" s="11">
        <f>IF(AND(B1040="",C1040="",D1040=""),"",IF(NOT(ISNUMBER(B1040)),"Needs a date",IF(D1040="","Needs the job",IF(AND(C1040&lt;&gt;"",C1040&lt;&gt;"All beds",COUNTIF(Beds!$B$6:$B$35,C1040)=0),"Not on Beds",""))))</f>
        <v/>
      </c>
      <c r="G1040" s="1">
        <f>IF(ISNUMBER(B1040),INT(B1040),0)</f>
        <v/>
      </c>
      <c r="H1040">
        <f>IF(AND(G1040&gt;0,D1040="Water",OR(C1040="",C1040="All beds")),G1040,0)</f>
        <v/>
      </c>
    </row>
    <row r="1041">
      <c r="A1041" s="1" t="n"/>
      <c r="B1041" s="17" t="n"/>
      <c r="C1041" s="18" t="n"/>
      <c r="D1041" s="19" t="n"/>
      <c r="E1041" s="21" t="n"/>
      <c r="F1041" s="11">
        <f>IF(AND(B1041="",C1041="",D1041=""),"",IF(NOT(ISNUMBER(B1041)),"Needs a date",IF(D1041="","Needs the job",IF(AND(C1041&lt;&gt;"",C1041&lt;&gt;"All beds",COUNTIF(Beds!$B$6:$B$35,C1041)=0),"Not on Beds",""))))</f>
        <v/>
      </c>
      <c r="G1041" s="1">
        <f>IF(ISNUMBER(B1041),INT(B1041),0)</f>
        <v/>
      </c>
      <c r="H1041">
        <f>IF(AND(G1041&gt;0,D1041="Water",OR(C1041="",C1041="All beds")),G1041,0)</f>
        <v/>
      </c>
    </row>
    <row r="1042">
      <c r="A1042" s="1" t="n"/>
      <c r="B1042" s="17" t="n"/>
      <c r="C1042" s="18" t="n"/>
      <c r="D1042" s="19" t="n"/>
      <c r="E1042" s="21" t="n"/>
      <c r="F1042" s="11">
        <f>IF(AND(B1042="",C1042="",D1042=""),"",IF(NOT(ISNUMBER(B1042)),"Needs a date",IF(D1042="","Needs the job",IF(AND(C1042&lt;&gt;"",C1042&lt;&gt;"All beds",COUNTIF(Beds!$B$6:$B$35,C1042)=0),"Not on Beds",""))))</f>
        <v/>
      </c>
      <c r="G1042" s="1">
        <f>IF(ISNUMBER(B1042),INT(B1042),0)</f>
        <v/>
      </c>
      <c r="H1042">
        <f>IF(AND(G1042&gt;0,D1042="Water",OR(C1042="",C1042="All beds")),G1042,0)</f>
        <v/>
      </c>
    </row>
    <row r="1043">
      <c r="A1043" s="1" t="n"/>
      <c r="B1043" s="17" t="n"/>
      <c r="C1043" s="18" t="n"/>
      <c r="D1043" s="19" t="n"/>
      <c r="E1043" s="21" t="n"/>
      <c r="F1043" s="11">
        <f>IF(AND(B1043="",C1043="",D1043=""),"",IF(NOT(ISNUMBER(B1043)),"Needs a date",IF(D1043="","Needs the job",IF(AND(C1043&lt;&gt;"",C1043&lt;&gt;"All beds",COUNTIF(Beds!$B$6:$B$35,C1043)=0),"Not on Beds",""))))</f>
        <v/>
      </c>
      <c r="G1043" s="1">
        <f>IF(ISNUMBER(B1043),INT(B1043),0)</f>
        <v/>
      </c>
      <c r="H1043">
        <f>IF(AND(G1043&gt;0,D1043="Water",OR(C1043="",C1043="All beds")),G1043,0)</f>
        <v/>
      </c>
    </row>
    <row r="1044">
      <c r="A1044" s="1" t="n"/>
      <c r="B1044" s="17" t="n"/>
      <c r="C1044" s="18" t="n"/>
      <c r="D1044" s="19" t="n"/>
      <c r="E1044" s="21" t="n"/>
      <c r="F1044" s="11">
        <f>IF(AND(B1044="",C1044="",D1044=""),"",IF(NOT(ISNUMBER(B1044)),"Needs a date",IF(D1044="","Needs the job",IF(AND(C1044&lt;&gt;"",C1044&lt;&gt;"All beds",COUNTIF(Beds!$B$6:$B$35,C1044)=0),"Not on Beds",""))))</f>
        <v/>
      </c>
      <c r="G1044" s="1">
        <f>IF(ISNUMBER(B1044),INT(B1044),0)</f>
        <v/>
      </c>
      <c r="H1044">
        <f>IF(AND(G1044&gt;0,D1044="Water",OR(C1044="",C1044="All beds")),G1044,0)</f>
        <v/>
      </c>
    </row>
    <row r="1045">
      <c r="A1045" s="1" t="n"/>
      <c r="B1045" s="17" t="n"/>
      <c r="C1045" s="18" t="n"/>
      <c r="D1045" s="19" t="n"/>
      <c r="E1045" s="21" t="n"/>
      <c r="F1045" s="11">
        <f>IF(AND(B1045="",C1045="",D1045=""),"",IF(NOT(ISNUMBER(B1045)),"Needs a date",IF(D1045="","Needs the job",IF(AND(C1045&lt;&gt;"",C1045&lt;&gt;"All beds",COUNTIF(Beds!$B$6:$B$35,C1045)=0),"Not on Beds",""))))</f>
        <v/>
      </c>
      <c r="G1045" s="1">
        <f>IF(ISNUMBER(B1045),INT(B1045),0)</f>
        <v/>
      </c>
      <c r="H1045">
        <f>IF(AND(G1045&gt;0,D1045="Water",OR(C1045="",C1045="All beds")),G1045,0)</f>
        <v/>
      </c>
    </row>
    <row r="1046">
      <c r="A1046" s="1" t="n"/>
      <c r="B1046" s="17" t="n"/>
      <c r="C1046" s="18" t="n"/>
      <c r="D1046" s="19" t="n"/>
      <c r="E1046" s="21" t="n"/>
      <c r="F1046" s="11">
        <f>IF(AND(B1046="",C1046="",D1046=""),"",IF(NOT(ISNUMBER(B1046)),"Needs a date",IF(D1046="","Needs the job",IF(AND(C1046&lt;&gt;"",C1046&lt;&gt;"All beds",COUNTIF(Beds!$B$6:$B$35,C1046)=0),"Not on Beds",""))))</f>
        <v/>
      </c>
      <c r="G1046" s="1">
        <f>IF(ISNUMBER(B1046),INT(B1046),0)</f>
        <v/>
      </c>
      <c r="H1046">
        <f>IF(AND(G1046&gt;0,D1046="Water",OR(C1046="",C1046="All beds")),G1046,0)</f>
        <v/>
      </c>
    </row>
    <row r="1047">
      <c r="A1047" s="1" t="n"/>
      <c r="B1047" s="17" t="n"/>
      <c r="C1047" s="18" t="n"/>
      <c r="D1047" s="19" t="n"/>
      <c r="E1047" s="21" t="n"/>
      <c r="F1047" s="11">
        <f>IF(AND(B1047="",C1047="",D1047=""),"",IF(NOT(ISNUMBER(B1047)),"Needs a date",IF(D1047="","Needs the job",IF(AND(C1047&lt;&gt;"",C1047&lt;&gt;"All beds",COUNTIF(Beds!$B$6:$B$35,C1047)=0),"Not on Beds",""))))</f>
        <v/>
      </c>
      <c r="G1047" s="1">
        <f>IF(ISNUMBER(B1047),INT(B1047),0)</f>
        <v/>
      </c>
      <c r="H1047">
        <f>IF(AND(G1047&gt;0,D1047="Water",OR(C1047="",C1047="All beds")),G1047,0)</f>
        <v/>
      </c>
    </row>
    <row r="1048">
      <c r="A1048" s="1" t="n"/>
      <c r="B1048" s="17" t="n"/>
      <c r="C1048" s="18" t="n"/>
      <c r="D1048" s="19" t="n"/>
      <c r="E1048" s="21" t="n"/>
      <c r="F1048" s="11">
        <f>IF(AND(B1048="",C1048="",D1048=""),"",IF(NOT(ISNUMBER(B1048)),"Needs a date",IF(D1048="","Needs the job",IF(AND(C1048&lt;&gt;"",C1048&lt;&gt;"All beds",COUNTIF(Beds!$B$6:$B$35,C1048)=0),"Not on Beds",""))))</f>
        <v/>
      </c>
      <c r="G1048" s="1">
        <f>IF(ISNUMBER(B1048),INT(B1048),0)</f>
        <v/>
      </c>
      <c r="H1048">
        <f>IF(AND(G1048&gt;0,D1048="Water",OR(C1048="",C1048="All beds")),G1048,0)</f>
        <v/>
      </c>
    </row>
    <row r="1049">
      <c r="A1049" s="1" t="n"/>
      <c r="B1049" s="17" t="n"/>
      <c r="C1049" s="18" t="n"/>
      <c r="D1049" s="19" t="n"/>
      <c r="E1049" s="21" t="n"/>
      <c r="F1049" s="11">
        <f>IF(AND(B1049="",C1049="",D1049=""),"",IF(NOT(ISNUMBER(B1049)),"Needs a date",IF(D1049="","Needs the job",IF(AND(C1049&lt;&gt;"",C1049&lt;&gt;"All beds",COUNTIF(Beds!$B$6:$B$35,C1049)=0),"Not on Beds",""))))</f>
        <v/>
      </c>
      <c r="G1049" s="1">
        <f>IF(ISNUMBER(B1049),INT(B1049),0)</f>
        <v/>
      </c>
      <c r="H1049">
        <f>IF(AND(G1049&gt;0,D1049="Water",OR(C1049="",C1049="All beds")),G1049,0)</f>
        <v/>
      </c>
    </row>
    <row r="1050">
      <c r="A1050" s="1" t="n"/>
      <c r="B1050" s="17" t="n"/>
      <c r="C1050" s="18" t="n"/>
      <c r="D1050" s="19" t="n"/>
      <c r="E1050" s="21" t="n"/>
      <c r="F1050" s="11">
        <f>IF(AND(B1050="",C1050="",D1050=""),"",IF(NOT(ISNUMBER(B1050)),"Needs a date",IF(D1050="","Needs the job",IF(AND(C1050&lt;&gt;"",C1050&lt;&gt;"All beds",COUNTIF(Beds!$B$6:$B$35,C1050)=0),"Not on Beds",""))))</f>
        <v/>
      </c>
      <c r="G1050" s="1">
        <f>IF(ISNUMBER(B1050),INT(B1050),0)</f>
        <v/>
      </c>
      <c r="H1050">
        <f>IF(AND(G1050&gt;0,D1050="Water",OR(C1050="",C1050="All beds")),G1050,0)</f>
        <v/>
      </c>
    </row>
    <row r="1051">
      <c r="A1051" s="1" t="n"/>
      <c r="B1051" s="17" t="n"/>
      <c r="C1051" s="18" t="n"/>
      <c r="D1051" s="19" t="n"/>
      <c r="E1051" s="21" t="n"/>
      <c r="F1051" s="11">
        <f>IF(AND(B1051="",C1051="",D1051=""),"",IF(NOT(ISNUMBER(B1051)),"Needs a date",IF(D1051="","Needs the job",IF(AND(C1051&lt;&gt;"",C1051&lt;&gt;"All beds",COUNTIF(Beds!$B$6:$B$35,C1051)=0),"Not on Beds",""))))</f>
        <v/>
      </c>
      <c r="G1051" s="1">
        <f>IF(ISNUMBER(B1051),INT(B1051),0)</f>
        <v/>
      </c>
      <c r="H1051">
        <f>IF(AND(G1051&gt;0,D1051="Water",OR(C1051="",C1051="All beds")),G1051,0)</f>
        <v/>
      </c>
    </row>
    <row r="1052">
      <c r="A1052" s="1" t="n"/>
      <c r="B1052" s="17" t="n"/>
      <c r="C1052" s="18" t="n"/>
      <c r="D1052" s="19" t="n"/>
      <c r="E1052" s="21" t="n"/>
      <c r="F1052" s="11">
        <f>IF(AND(B1052="",C1052="",D1052=""),"",IF(NOT(ISNUMBER(B1052)),"Needs a date",IF(D1052="","Needs the job",IF(AND(C1052&lt;&gt;"",C1052&lt;&gt;"All beds",COUNTIF(Beds!$B$6:$B$35,C1052)=0),"Not on Beds",""))))</f>
        <v/>
      </c>
      <c r="G1052" s="1">
        <f>IF(ISNUMBER(B1052),INT(B1052),0)</f>
        <v/>
      </c>
      <c r="H1052">
        <f>IF(AND(G1052&gt;0,D1052="Water",OR(C1052="",C1052="All beds")),G1052,0)</f>
        <v/>
      </c>
    </row>
    <row r="1053">
      <c r="A1053" s="1" t="n"/>
      <c r="B1053" s="17" t="n"/>
      <c r="C1053" s="18" t="n"/>
      <c r="D1053" s="19" t="n"/>
      <c r="E1053" s="21" t="n"/>
      <c r="F1053" s="11">
        <f>IF(AND(B1053="",C1053="",D1053=""),"",IF(NOT(ISNUMBER(B1053)),"Needs a date",IF(D1053="","Needs the job",IF(AND(C1053&lt;&gt;"",C1053&lt;&gt;"All beds",COUNTIF(Beds!$B$6:$B$35,C1053)=0),"Not on Beds",""))))</f>
        <v/>
      </c>
      <c r="G1053" s="1">
        <f>IF(ISNUMBER(B1053),INT(B1053),0)</f>
        <v/>
      </c>
      <c r="H1053">
        <f>IF(AND(G1053&gt;0,D1053="Water",OR(C1053="",C1053="All beds")),G1053,0)</f>
        <v/>
      </c>
    </row>
    <row r="1054">
      <c r="A1054" s="1" t="n"/>
      <c r="B1054" s="17" t="n"/>
      <c r="C1054" s="18" t="n"/>
      <c r="D1054" s="19" t="n"/>
      <c r="E1054" s="21" t="n"/>
      <c r="F1054" s="11">
        <f>IF(AND(B1054="",C1054="",D1054=""),"",IF(NOT(ISNUMBER(B1054)),"Needs a date",IF(D1054="","Needs the job",IF(AND(C1054&lt;&gt;"",C1054&lt;&gt;"All beds",COUNTIF(Beds!$B$6:$B$35,C1054)=0),"Not on Beds",""))))</f>
        <v/>
      </c>
      <c r="G1054" s="1">
        <f>IF(ISNUMBER(B1054),INT(B1054),0)</f>
        <v/>
      </c>
      <c r="H1054">
        <f>IF(AND(G1054&gt;0,D1054="Water",OR(C1054="",C1054="All beds")),G1054,0)</f>
        <v/>
      </c>
    </row>
    <row r="1055">
      <c r="A1055" s="1" t="n"/>
      <c r="B1055" s="17" t="n"/>
      <c r="C1055" s="18" t="n"/>
      <c r="D1055" s="19" t="n"/>
      <c r="E1055" s="21" t="n"/>
      <c r="F1055" s="11">
        <f>IF(AND(B1055="",C1055="",D1055=""),"",IF(NOT(ISNUMBER(B1055)),"Needs a date",IF(D1055="","Needs the job",IF(AND(C1055&lt;&gt;"",C1055&lt;&gt;"All beds",COUNTIF(Beds!$B$6:$B$35,C1055)=0),"Not on Beds",""))))</f>
        <v/>
      </c>
      <c r="G1055" s="1">
        <f>IF(ISNUMBER(B1055),INT(B1055),0)</f>
        <v/>
      </c>
      <c r="H1055">
        <f>IF(AND(G1055&gt;0,D1055="Water",OR(C1055="",C1055="All beds")),G1055,0)</f>
        <v/>
      </c>
    </row>
    <row r="1056">
      <c r="A1056" s="1" t="n"/>
      <c r="B1056" s="17" t="n"/>
      <c r="C1056" s="18" t="n"/>
      <c r="D1056" s="19" t="n"/>
      <c r="E1056" s="21" t="n"/>
      <c r="F1056" s="11">
        <f>IF(AND(B1056="",C1056="",D1056=""),"",IF(NOT(ISNUMBER(B1056)),"Needs a date",IF(D1056="","Needs the job",IF(AND(C1056&lt;&gt;"",C1056&lt;&gt;"All beds",COUNTIF(Beds!$B$6:$B$35,C1056)=0),"Not on Beds",""))))</f>
        <v/>
      </c>
      <c r="G1056" s="1">
        <f>IF(ISNUMBER(B1056),INT(B1056),0)</f>
        <v/>
      </c>
      <c r="H1056">
        <f>IF(AND(G1056&gt;0,D1056="Water",OR(C1056="",C1056="All beds")),G1056,0)</f>
        <v/>
      </c>
    </row>
    <row r="1057">
      <c r="A1057" s="1" t="n"/>
      <c r="B1057" s="17" t="n"/>
      <c r="C1057" s="18" t="n"/>
      <c r="D1057" s="19" t="n"/>
      <c r="E1057" s="21" t="n"/>
      <c r="F1057" s="11">
        <f>IF(AND(B1057="",C1057="",D1057=""),"",IF(NOT(ISNUMBER(B1057)),"Needs a date",IF(D1057="","Needs the job",IF(AND(C1057&lt;&gt;"",C1057&lt;&gt;"All beds",COUNTIF(Beds!$B$6:$B$35,C1057)=0),"Not on Beds",""))))</f>
        <v/>
      </c>
      <c r="G1057" s="1">
        <f>IF(ISNUMBER(B1057),INT(B1057),0)</f>
        <v/>
      </c>
      <c r="H1057">
        <f>IF(AND(G1057&gt;0,D1057="Water",OR(C1057="",C1057="All beds")),G1057,0)</f>
        <v/>
      </c>
    </row>
    <row r="1058">
      <c r="A1058" s="1" t="n"/>
      <c r="B1058" s="17" t="n"/>
      <c r="C1058" s="18" t="n"/>
      <c r="D1058" s="19" t="n"/>
      <c r="E1058" s="21" t="n"/>
      <c r="F1058" s="11">
        <f>IF(AND(B1058="",C1058="",D1058=""),"",IF(NOT(ISNUMBER(B1058)),"Needs a date",IF(D1058="","Needs the job",IF(AND(C1058&lt;&gt;"",C1058&lt;&gt;"All beds",COUNTIF(Beds!$B$6:$B$35,C1058)=0),"Not on Beds",""))))</f>
        <v/>
      </c>
      <c r="G1058" s="1">
        <f>IF(ISNUMBER(B1058),INT(B1058),0)</f>
        <v/>
      </c>
      <c r="H1058">
        <f>IF(AND(G1058&gt;0,D1058="Water",OR(C1058="",C1058="All beds")),G1058,0)</f>
        <v/>
      </c>
    </row>
    <row r="1059">
      <c r="A1059" s="1" t="n"/>
      <c r="B1059" s="17" t="n"/>
      <c r="C1059" s="18" t="n"/>
      <c r="D1059" s="19" t="n"/>
      <c r="E1059" s="21" t="n"/>
      <c r="F1059" s="11">
        <f>IF(AND(B1059="",C1059="",D1059=""),"",IF(NOT(ISNUMBER(B1059)),"Needs a date",IF(D1059="","Needs the job",IF(AND(C1059&lt;&gt;"",C1059&lt;&gt;"All beds",COUNTIF(Beds!$B$6:$B$35,C1059)=0),"Not on Beds",""))))</f>
        <v/>
      </c>
      <c r="G1059" s="1">
        <f>IF(ISNUMBER(B1059),INT(B1059),0)</f>
        <v/>
      </c>
      <c r="H1059">
        <f>IF(AND(G1059&gt;0,D1059="Water",OR(C1059="",C1059="All beds")),G1059,0)</f>
        <v/>
      </c>
    </row>
    <row r="1060">
      <c r="A1060" s="1" t="n"/>
      <c r="B1060" s="17" t="n"/>
      <c r="C1060" s="18" t="n"/>
      <c r="D1060" s="19" t="n"/>
      <c r="E1060" s="21" t="n"/>
      <c r="F1060" s="11">
        <f>IF(AND(B1060="",C1060="",D1060=""),"",IF(NOT(ISNUMBER(B1060)),"Needs a date",IF(D1060="","Needs the job",IF(AND(C1060&lt;&gt;"",C1060&lt;&gt;"All beds",COUNTIF(Beds!$B$6:$B$35,C1060)=0),"Not on Beds",""))))</f>
        <v/>
      </c>
      <c r="G1060" s="1">
        <f>IF(ISNUMBER(B1060),INT(B1060),0)</f>
        <v/>
      </c>
      <c r="H1060">
        <f>IF(AND(G1060&gt;0,D1060="Water",OR(C1060="",C1060="All beds")),G1060,0)</f>
        <v/>
      </c>
    </row>
    <row r="1061">
      <c r="A1061" s="1" t="n"/>
      <c r="B1061" s="17" t="n"/>
      <c r="C1061" s="18" t="n"/>
      <c r="D1061" s="19" t="n"/>
      <c r="E1061" s="21" t="n"/>
      <c r="F1061" s="11">
        <f>IF(AND(B1061="",C1061="",D1061=""),"",IF(NOT(ISNUMBER(B1061)),"Needs a date",IF(D1061="","Needs the job",IF(AND(C1061&lt;&gt;"",C1061&lt;&gt;"All beds",COUNTIF(Beds!$B$6:$B$35,C1061)=0),"Not on Beds",""))))</f>
        <v/>
      </c>
      <c r="G1061" s="1">
        <f>IF(ISNUMBER(B1061),INT(B1061),0)</f>
        <v/>
      </c>
      <c r="H1061">
        <f>IF(AND(G1061&gt;0,D1061="Water",OR(C1061="",C1061="All beds")),G1061,0)</f>
        <v/>
      </c>
    </row>
    <row r="1062">
      <c r="A1062" s="1" t="n"/>
      <c r="B1062" s="17" t="n"/>
      <c r="C1062" s="18" t="n"/>
      <c r="D1062" s="19" t="n"/>
      <c r="E1062" s="21" t="n"/>
      <c r="F1062" s="11">
        <f>IF(AND(B1062="",C1062="",D1062=""),"",IF(NOT(ISNUMBER(B1062)),"Needs a date",IF(D1062="","Needs the job",IF(AND(C1062&lt;&gt;"",C1062&lt;&gt;"All beds",COUNTIF(Beds!$B$6:$B$35,C1062)=0),"Not on Beds",""))))</f>
        <v/>
      </c>
      <c r="G1062" s="1">
        <f>IF(ISNUMBER(B1062),INT(B1062),0)</f>
        <v/>
      </c>
      <c r="H1062">
        <f>IF(AND(G1062&gt;0,D1062="Water",OR(C1062="",C1062="All beds")),G1062,0)</f>
        <v/>
      </c>
    </row>
    <row r="1063">
      <c r="A1063" s="1" t="n"/>
      <c r="B1063" s="17" t="n"/>
      <c r="C1063" s="18" t="n"/>
      <c r="D1063" s="19" t="n"/>
      <c r="E1063" s="21" t="n"/>
      <c r="F1063" s="11">
        <f>IF(AND(B1063="",C1063="",D1063=""),"",IF(NOT(ISNUMBER(B1063)),"Needs a date",IF(D1063="","Needs the job",IF(AND(C1063&lt;&gt;"",C1063&lt;&gt;"All beds",COUNTIF(Beds!$B$6:$B$35,C1063)=0),"Not on Beds",""))))</f>
        <v/>
      </c>
      <c r="G1063" s="1">
        <f>IF(ISNUMBER(B1063),INT(B1063),0)</f>
        <v/>
      </c>
      <c r="H1063">
        <f>IF(AND(G1063&gt;0,D1063="Water",OR(C1063="",C1063="All beds")),G1063,0)</f>
        <v/>
      </c>
    </row>
    <row r="1064">
      <c r="A1064" s="1" t="n"/>
      <c r="B1064" s="17" t="n"/>
      <c r="C1064" s="18" t="n"/>
      <c r="D1064" s="19" t="n"/>
      <c r="E1064" s="21" t="n"/>
      <c r="F1064" s="11">
        <f>IF(AND(B1064="",C1064="",D1064=""),"",IF(NOT(ISNUMBER(B1064)),"Needs a date",IF(D1064="","Needs the job",IF(AND(C1064&lt;&gt;"",C1064&lt;&gt;"All beds",COUNTIF(Beds!$B$6:$B$35,C1064)=0),"Not on Beds",""))))</f>
        <v/>
      </c>
      <c r="G1064" s="1">
        <f>IF(ISNUMBER(B1064),INT(B1064),0)</f>
        <v/>
      </c>
      <c r="H1064">
        <f>IF(AND(G1064&gt;0,D1064="Water",OR(C1064="",C1064="All beds")),G1064,0)</f>
        <v/>
      </c>
    </row>
    <row r="1065">
      <c r="A1065" s="1" t="n"/>
      <c r="B1065" s="17" t="n"/>
      <c r="C1065" s="18" t="n"/>
      <c r="D1065" s="19" t="n"/>
      <c r="E1065" s="21" t="n"/>
      <c r="F1065" s="11">
        <f>IF(AND(B1065="",C1065="",D1065=""),"",IF(NOT(ISNUMBER(B1065)),"Needs a date",IF(D1065="","Needs the job",IF(AND(C1065&lt;&gt;"",C1065&lt;&gt;"All beds",COUNTIF(Beds!$B$6:$B$35,C1065)=0),"Not on Beds",""))))</f>
        <v/>
      </c>
      <c r="G1065" s="1">
        <f>IF(ISNUMBER(B1065),INT(B1065),0)</f>
        <v/>
      </c>
      <c r="H1065">
        <f>IF(AND(G1065&gt;0,D1065="Water",OR(C1065="",C1065="All beds")),G1065,0)</f>
        <v/>
      </c>
    </row>
    <row r="1066">
      <c r="A1066" s="1" t="n"/>
      <c r="B1066" s="17" t="n"/>
      <c r="C1066" s="18" t="n"/>
      <c r="D1066" s="19" t="n"/>
      <c r="E1066" s="21" t="n"/>
      <c r="F1066" s="11">
        <f>IF(AND(B1066="",C1066="",D1066=""),"",IF(NOT(ISNUMBER(B1066)),"Needs a date",IF(D1066="","Needs the job",IF(AND(C1066&lt;&gt;"",C1066&lt;&gt;"All beds",COUNTIF(Beds!$B$6:$B$35,C1066)=0),"Not on Beds",""))))</f>
        <v/>
      </c>
      <c r="G1066" s="1">
        <f>IF(ISNUMBER(B1066),INT(B1066),0)</f>
        <v/>
      </c>
      <c r="H1066">
        <f>IF(AND(G1066&gt;0,D1066="Water",OR(C1066="",C1066="All beds")),G1066,0)</f>
        <v/>
      </c>
    </row>
    <row r="1067">
      <c r="A1067" s="1" t="n"/>
      <c r="B1067" s="17" t="n"/>
      <c r="C1067" s="18" t="n"/>
      <c r="D1067" s="19" t="n"/>
      <c r="E1067" s="21" t="n"/>
      <c r="F1067" s="11">
        <f>IF(AND(B1067="",C1067="",D1067=""),"",IF(NOT(ISNUMBER(B1067)),"Needs a date",IF(D1067="","Needs the job",IF(AND(C1067&lt;&gt;"",C1067&lt;&gt;"All beds",COUNTIF(Beds!$B$6:$B$35,C1067)=0),"Not on Beds",""))))</f>
        <v/>
      </c>
      <c r="G1067" s="1">
        <f>IF(ISNUMBER(B1067),INT(B1067),0)</f>
        <v/>
      </c>
      <c r="H1067">
        <f>IF(AND(G1067&gt;0,D1067="Water",OR(C1067="",C1067="All beds")),G1067,0)</f>
        <v/>
      </c>
    </row>
    <row r="1068">
      <c r="A1068" s="1" t="n"/>
      <c r="B1068" s="17" t="n"/>
      <c r="C1068" s="18" t="n"/>
      <c r="D1068" s="19" t="n"/>
      <c r="E1068" s="21" t="n"/>
      <c r="F1068" s="11">
        <f>IF(AND(B1068="",C1068="",D1068=""),"",IF(NOT(ISNUMBER(B1068)),"Needs a date",IF(D1068="","Needs the job",IF(AND(C1068&lt;&gt;"",C1068&lt;&gt;"All beds",COUNTIF(Beds!$B$6:$B$35,C1068)=0),"Not on Beds",""))))</f>
        <v/>
      </c>
      <c r="G1068" s="1">
        <f>IF(ISNUMBER(B1068),INT(B1068),0)</f>
        <v/>
      </c>
      <c r="H1068">
        <f>IF(AND(G1068&gt;0,D1068="Water",OR(C1068="",C1068="All beds")),G1068,0)</f>
        <v/>
      </c>
    </row>
    <row r="1069">
      <c r="A1069" s="1" t="n"/>
      <c r="B1069" s="17" t="n"/>
      <c r="C1069" s="18" t="n"/>
      <c r="D1069" s="19" t="n"/>
      <c r="E1069" s="21" t="n"/>
      <c r="F1069" s="11">
        <f>IF(AND(B1069="",C1069="",D1069=""),"",IF(NOT(ISNUMBER(B1069)),"Needs a date",IF(D1069="","Needs the job",IF(AND(C1069&lt;&gt;"",C1069&lt;&gt;"All beds",COUNTIF(Beds!$B$6:$B$35,C1069)=0),"Not on Beds",""))))</f>
        <v/>
      </c>
      <c r="G1069" s="1">
        <f>IF(ISNUMBER(B1069),INT(B1069),0)</f>
        <v/>
      </c>
      <c r="H1069">
        <f>IF(AND(G1069&gt;0,D1069="Water",OR(C1069="",C1069="All beds")),G1069,0)</f>
        <v/>
      </c>
    </row>
    <row r="1070">
      <c r="A1070" s="1" t="n"/>
      <c r="B1070" s="17" t="n"/>
      <c r="C1070" s="18" t="n"/>
      <c r="D1070" s="19" t="n"/>
      <c r="E1070" s="21" t="n"/>
      <c r="F1070" s="11">
        <f>IF(AND(B1070="",C1070="",D1070=""),"",IF(NOT(ISNUMBER(B1070)),"Needs a date",IF(D1070="","Needs the job",IF(AND(C1070&lt;&gt;"",C1070&lt;&gt;"All beds",COUNTIF(Beds!$B$6:$B$35,C1070)=0),"Not on Beds",""))))</f>
        <v/>
      </c>
      <c r="G1070" s="1">
        <f>IF(ISNUMBER(B1070),INT(B1070),0)</f>
        <v/>
      </c>
      <c r="H1070">
        <f>IF(AND(G1070&gt;0,D1070="Water",OR(C1070="",C1070="All beds")),G1070,0)</f>
        <v/>
      </c>
    </row>
    <row r="1071">
      <c r="A1071" s="1" t="n"/>
      <c r="B1071" s="17" t="n"/>
      <c r="C1071" s="18" t="n"/>
      <c r="D1071" s="19" t="n"/>
      <c r="E1071" s="21" t="n"/>
      <c r="F1071" s="11">
        <f>IF(AND(B1071="",C1071="",D1071=""),"",IF(NOT(ISNUMBER(B1071)),"Needs a date",IF(D1071="","Needs the job",IF(AND(C1071&lt;&gt;"",C1071&lt;&gt;"All beds",COUNTIF(Beds!$B$6:$B$35,C1071)=0),"Not on Beds",""))))</f>
        <v/>
      </c>
      <c r="G1071" s="1">
        <f>IF(ISNUMBER(B1071),INT(B1071),0)</f>
        <v/>
      </c>
      <c r="H1071">
        <f>IF(AND(G1071&gt;0,D1071="Water",OR(C1071="",C1071="All beds")),G1071,0)</f>
        <v/>
      </c>
    </row>
    <row r="1072">
      <c r="A1072" s="1" t="n"/>
      <c r="B1072" s="17" t="n"/>
      <c r="C1072" s="18" t="n"/>
      <c r="D1072" s="19" t="n"/>
      <c r="E1072" s="21" t="n"/>
      <c r="F1072" s="11">
        <f>IF(AND(B1072="",C1072="",D1072=""),"",IF(NOT(ISNUMBER(B1072)),"Needs a date",IF(D1072="","Needs the job",IF(AND(C1072&lt;&gt;"",C1072&lt;&gt;"All beds",COUNTIF(Beds!$B$6:$B$35,C1072)=0),"Not on Beds",""))))</f>
        <v/>
      </c>
      <c r="G1072" s="1">
        <f>IF(ISNUMBER(B1072),INT(B1072),0)</f>
        <v/>
      </c>
      <c r="H1072">
        <f>IF(AND(G1072&gt;0,D1072="Water",OR(C1072="",C1072="All beds")),G1072,0)</f>
        <v/>
      </c>
    </row>
    <row r="1073">
      <c r="A1073" s="1" t="n"/>
      <c r="B1073" s="17" t="n"/>
      <c r="C1073" s="18" t="n"/>
      <c r="D1073" s="19" t="n"/>
      <c r="E1073" s="21" t="n"/>
      <c r="F1073" s="11">
        <f>IF(AND(B1073="",C1073="",D1073=""),"",IF(NOT(ISNUMBER(B1073)),"Needs a date",IF(D1073="","Needs the job",IF(AND(C1073&lt;&gt;"",C1073&lt;&gt;"All beds",COUNTIF(Beds!$B$6:$B$35,C1073)=0),"Not on Beds",""))))</f>
        <v/>
      </c>
      <c r="G1073" s="1">
        <f>IF(ISNUMBER(B1073),INT(B1073),0)</f>
        <v/>
      </c>
      <c r="H1073">
        <f>IF(AND(G1073&gt;0,D1073="Water",OR(C1073="",C1073="All beds")),G1073,0)</f>
        <v/>
      </c>
    </row>
    <row r="1074">
      <c r="A1074" s="1" t="n"/>
      <c r="B1074" s="17" t="n"/>
      <c r="C1074" s="18" t="n"/>
      <c r="D1074" s="19" t="n"/>
      <c r="E1074" s="21" t="n"/>
      <c r="F1074" s="11">
        <f>IF(AND(B1074="",C1074="",D1074=""),"",IF(NOT(ISNUMBER(B1074)),"Needs a date",IF(D1074="","Needs the job",IF(AND(C1074&lt;&gt;"",C1074&lt;&gt;"All beds",COUNTIF(Beds!$B$6:$B$35,C1074)=0),"Not on Beds",""))))</f>
        <v/>
      </c>
      <c r="G1074" s="1">
        <f>IF(ISNUMBER(B1074),INT(B1074),0)</f>
        <v/>
      </c>
      <c r="H1074">
        <f>IF(AND(G1074&gt;0,D1074="Water",OR(C1074="",C1074="All beds")),G1074,0)</f>
        <v/>
      </c>
    </row>
    <row r="1075">
      <c r="A1075" s="1" t="n"/>
      <c r="B1075" s="17" t="n"/>
      <c r="C1075" s="18" t="n"/>
      <c r="D1075" s="19" t="n"/>
      <c r="E1075" s="21" t="n"/>
      <c r="F1075" s="11">
        <f>IF(AND(B1075="",C1075="",D1075=""),"",IF(NOT(ISNUMBER(B1075)),"Needs a date",IF(D1075="","Needs the job",IF(AND(C1075&lt;&gt;"",C1075&lt;&gt;"All beds",COUNTIF(Beds!$B$6:$B$35,C1075)=0),"Not on Beds",""))))</f>
        <v/>
      </c>
      <c r="G1075" s="1">
        <f>IF(ISNUMBER(B1075),INT(B1075),0)</f>
        <v/>
      </c>
      <c r="H1075">
        <f>IF(AND(G1075&gt;0,D1075="Water",OR(C1075="",C1075="All beds")),G1075,0)</f>
        <v/>
      </c>
    </row>
    <row r="1076">
      <c r="A1076" s="1" t="n"/>
      <c r="B1076" s="17" t="n"/>
      <c r="C1076" s="18" t="n"/>
      <c r="D1076" s="19" t="n"/>
      <c r="E1076" s="21" t="n"/>
      <c r="F1076" s="11">
        <f>IF(AND(B1076="",C1076="",D1076=""),"",IF(NOT(ISNUMBER(B1076)),"Needs a date",IF(D1076="","Needs the job",IF(AND(C1076&lt;&gt;"",C1076&lt;&gt;"All beds",COUNTIF(Beds!$B$6:$B$35,C1076)=0),"Not on Beds",""))))</f>
        <v/>
      </c>
      <c r="G1076" s="1">
        <f>IF(ISNUMBER(B1076),INT(B1076),0)</f>
        <v/>
      </c>
      <c r="H1076">
        <f>IF(AND(G1076&gt;0,D1076="Water",OR(C1076="",C1076="All beds")),G1076,0)</f>
        <v/>
      </c>
    </row>
    <row r="1077">
      <c r="A1077" s="1" t="n"/>
      <c r="B1077" s="17" t="n"/>
      <c r="C1077" s="18" t="n"/>
      <c r="D1077" s="19" t="n"/>
      <c r="E1077" s="21" t="n"/>
      <c r="F1077" s="11">
        <f>IF(AND(B1077="",C1077="",D1077=""),"",IF(NOT(ISNUMBER(B1077)),"Needs a date",IF(D1077="","Needs the job",IF(AND(C1077&lt;&gt;"",C1077&lt;&gt;"All beds",COUNTIF(Beds!$B$6:$B$35,C1077)=0),"Not on Beds",""))))</f>
        <v/>
      </c>
      <c r="G1077" s="1">
        <f>IF(ISNUMBER(B1077),INT(B1077),0)</f>
        <v/>
      </c>
      <c r="H1077">
        <f>IF(AND(G1077&gt;0,D1077="Water",OR(C1077="",C1077="All beds")),G1077,0)</f>
        <v/>
      </c>
    </row>
    <row r="1078">
      <c r="A1078" s="1" t="n"/>
      <c r="B1078" s="17" t="n"/>
      <c r="C1078" s="18" t="n"/>
      <c r="D1078" s="19" t="n"/>
      <c r="E1078" s="21" t="n"/>
      <c r="F1078" s="11">
        <f>IF(AND(B1078="",C1078="",D1078=""),"",IF(NOT(ISNUMBER(B1078)),"Needs a date",IF(D1078="","Needs the job",IF(AND(C1078&lt;&gt;"",C1078&lt;&gt;"All beds",COUNTIF(Beds!$B$6:$B$35,C1078)=0),"Not on Beds",""))))</f>
        <v/>
      </c>
      <c r="G1078" s="1">
        <f>IF(ISNUMBER(B1078),INT(B1078),0)</f>
        <v/>
      </c>
      <c r="H1078">
        <f>IF(AND(G1078&gt;0,D1078="Water",OR(C1078="",C1078="All beds")),G1078,0)</f>
        <v/>
      </c>
    </row>
    <row r="1079">
      <c r="A1079" s="1" t="n"/>
      <c r="B1079" s="17" t="n"/>
      <c r="C1079" s="18" t="n"/>
      <c r="D1079" s="19" t="n"/>
      <c r="E1079" s="21" t="n"/>
      <c r="F1079" s="11">
        <f>IF(AND(B1079="",C1079="",D1079=""),"",IF(NOT(ISNUMBER(B1079)),"Needs a date",IF(D1079="","Needs the job",IF(AND(C1079&lt;&gt;"",C1079&lt;&gt;"All beds",COUNTIF(Beds!$B$6:$B$35,C1079)=0),"Not on Beds",""))))</f>
        <v/>
      </c>
      <c r="G1079" s="1">
        <f>IF(ISNUMBER(B1079),INT(B1079),0)</f>
        <v/>
      </c>
      <c r="H1079">
        <f>IF(AND(G1079&gt;0,D1079="Water",OR(C1079="",C1079="All beds")),G1079,0)</f>
        <v/>
      </c>
    </row>
    <row r="1080">
      <c r="A1080" s="1" t="n"/>
      <c r="B1080" s="17" t="n"/>
      <c r="C1080" s="18" t="n"/>
      <c r="D1080" s="19" t="n"/>
      <c r="E1080" s="21" t="n"/>
      <c r="F1080" s="11">
        <f>IF(AND(B1080="",C1080="",D1080=""),"",IF(NOT(ISNUMBER(B1080)),"Needs a date",IF(D1080="","Needs the job",IF(AND(C1080&lt;&gt;"",C1080&lt;&gt;"All beds",COUNTIF(Beds!$B$6:$B$35,C1080)=0),"Not on Beds",""))))</f>
        <v/>
      </c>
      <c r="G1080" s="1">
        <f>IF(ISNUMBER(B1080),INT(B1080),0)</f>
        <v/>
      </c>
      <c r="H1080">
        <f>IF(AND(G1080&gt;0,D1080="Water",OR(C1080="",C1080="All beds")),G1080,0)</f>
        <v/>
      </c>
    </row>
    <row r="1081">
      <c r="A1081" s="1" t="n"/>
      <c r="B1081" s="17" t="n"/>
      <c r="C1081" s="18" t="n"/>
      <c r="D1081" s="19" t="n"/>
      <c r="E1081" s="21" t="n"/>
      <c r="F1081" s="11">
        <f>IF(AND(B1081="",C1081="",D1081=""),"",IF(NOT(ISNUMBER(B1081)),"Needs a date",IF(D1081="","Needs the job",IF(AND(C1081&lt;&gt;"",C1081&lt;&gt;"All beds",COUNTIF(Beds!$B$6:$B$35,C1081)=0),"Not on Beds",""))))</f>
        <v/>
      </c>
      <c r="G1081" s="1">
        <f>IF(ISNUMBER(B1081),INT(B1081),0)</f>
        <v/>
      </c>
      <c r="H1081">
        <f>IF(AND(G1081&gt;0,D1081="Water",OR(C1081="",C1081="All beds")),G1081,0)</f>
        <v/>
      </c>
    </row>
    <row r="1082">
      <c r="A1082" s="1" t="n"/>
      <c r="B1082" s="17" t="n"/>
      <c r="C1082" s="18" t="n"/>
      <c r="D1082" s="19" t="n"/>
      <c r="E1082" s="21" t="n"/>
      <c r="F1082" s="11">
        <f>IF(AND(B1082="",C1082="",D1082=""),"",IF(NOT(ISNUMBER(B1082)),"Needs a date",IF(D1082="","Needs the job",IF(AND(C1082&lt;&gt;"",C1082&lt;&gt;"All beds",COUNTIF(Beds!$B$6:$B$35,C1082)=0),"Not on Beds",""))))</f>
        <v/>
      </c>
      <c r="G1082" s="1">
        <f>IF(ISNUMBER(B1082),INT(B1082),0)</f>
        <v/>
      </c>
      <c r="H1082">
        <f>IF(AND(G1082&gt;0,D1082="Water",OR(C1082="",C1082="All beds")),G1082,0)</f>
        <v/>
      </c>
    </row>
    <row r="1083">
      <c r="A1083" s="1" t="n"/>
      <c r="B1083" s="17" t="n"/>
      <c r="C1083" s="18" t="n"/>
      <c r="D1083" s="19" t="n"/>
      <c r="E1083" s="21" t="n"/>
      <c r="F1083" s="11">
        <f>IF(AND(B1083="",C1083="",D1083=""),"",IF(NOT(ISNUMBER(B1083)),"Needs a date",IF(D1083="","Needs the job",IF(AND(C1083&lt;&gt;"",C1083&lt;&gt;"All beds",COUNTIF(Beds!$B$6:$B$35,C1083)=0),"Not on Beds",""))))</f>
        <v/>
      </c>
      <c r="G1083" s="1">
        <f>IF(ISNUMBER(B1083),INT(B1083),0)</f>
        <v/>
      </c>
      <c r="H1083">
        <f>IF(AND(G1083&gt;0,D1083="Water",OR(C1083="",C1083="All beds")),G1083,0)</f>
        <v/>
      </c>
    </row>
    <row r="1084">
      <c r="A1084" s="1" t="n"/>
      <c r="B1084" s="17" t="n"/>
      <c r="C1084" s="18" t="n"/>
      <c r="D1084" s="19" t="n"/>
      <c r="E1084" s="21" t="n"/>
      <c r="F1084" s="11">
        <f>IF(AND(B1084="",C1084="",D1084=""),"",IF(NOT(ISNUMBER(B1084)),"Needs a date",IF(D1084="","Needs the job",IF(AND(C1084&lt;&gt;"",C1084&lt;&gt;"All beds",COUNTIF(Beds!$B$6:$B$35,C1084)=0),"Not on Beds",""))))</f>
        <v/>
      </c>
      <c r="G1084" s="1">
        <f>IF(ISNUMBER(B1084),INT(B1084),0)</f>
        <v/>
      </c>
      <c r="H1084">
        <f>IF(AND(G1084&gt;0,D1084="Water",OR(C1084="",C1084="All beds")),G1084,0)</f>
        <v/>
      </c>
    </row>
    <row r="1085">
      <c r="A1085" s="1" t="n"/>
      <c r="B1085" s="17" t="n"/>
      <c r="C1085" s="18" t="n"/>
      <c r="D1085" s="19" t="n"/>
      <c r="E1085" s="21" t="n"/>
      <c r="F1085" s="11">
        <f>IF(AND(B1085="",C1085="",D1085=""),"",IF(NOT(ISNUMBER(B1085)),"Needs a date",IF(D1085="","Needs the job",IF(AND(C1085&lt;&gt;"",C1085&lt;&gt;"All beds",COUNTIF(Beds!$B$6:$B$35,C1085)=0),"Not on Beds",""))))</f>
        <v/>
      </c>
      <c r="G1085" s="1">
        <f>IF(ISNUMBER(B1085),INT(B1085),0)</f>
        <v/>
      </c>
      <c r="H1085">
        <f>IF(AND(G1085&gt;0,D1085="Water",OR(C1085="",C1085="All beds")),G1085,0)</f>
        <v/>
      </c>
    </row>
    <row r="1086">
      <c r="A1086" s="1" t="n"/>
      <c r="B1086" s="17" t="n"/>
      <c r="C1086" s="18" t="n"/>
      <c r="D1086" s="19" t="n"/>
      <c r="E1086" s="21" t="n"/>
      <c r="F1086" s="11">
        <f>IF(AND(B1086="",C1086="",D1086=""),"",IF(NOT(ISNUMBER(B1086)),"Needs a date",IF(D1086="","Needs the job",IF(AND(C1086&lt;&gt;"",C1086&lt;&gt;"All beds",COUNTIF(Beds!$B$6:$B$35,C1086)=0),"Not on Beds",""))))</f>
        <v/>
      </c>
      <c r="G1086" s="1">
        <f>IF(ISNUMBER(B1086),INT(B1086),0)</f>
        <v/>
      </c>
      <c r="H1086">
        <f>IF(AND(G1086&gt;0,D1086="Water",OR(C1086="",C1086="All beds")),G1086,0)</f>
        <v/>
      </c>
    </row>
    <row r="1087">
      <c r="A1087" s="1" t="n"/>
      <c r="B1087" s="17" t="n"/>
      <c r="C1087" s="18" t="n"/>
      <c r="D1087" s="19" t="n"/>
      <c r="E1087" s="21" t="n"/>
      <c r="F1087" s="11">
        <f>IF(AND(B1087="",C1087="",D1087=""),"",IF(NOT(ISNUMBER(B1087)),"Needs a date",IF(D1087="","Needs the job",IF(AND(C1087&lt;&gt;"",C1087&lt;&gt;"All beds",COUNTIF(Beds!$B$6:$B$35,C1087)=0),"Not on Beds",""))))</f>
        <v/>
      </c>
      <c r="G1087" s="1">
        <f>IF(ISNUMBER(B1087),INT(B1087),0)</f>
        <v/>
      </c>
      <c r="H1087">
        <f>IF(AND(G1087&gt;0,D1087="Water",OR(C1087="",C1087="All beds")),G1087,0)</f>
        <v/>
      </c>
    </row>
    <row r="1088">
      <c r="A1088" s="1" t="n"/>
      <c r="B1088" s="17" t="n"/>
      <c r="C1088" s="18" t="n"/>
      <c r="D1088" s="19" t="n"/>
      <c r="E1088" s="21" t="n"/>
      <c r="F1088" s="11">
        <f>IF(AND(B1088="",C1088="",D1088=""),"",IF(NOT(ISNUMBER(B1088)),"Needs a date",IF(D1088="","Needs the job",IF(AND(C1088&lt;&gt;"",C1088&lt;&gt;"All beds",COUNTIF(Beds!$B$6:$B$35,C1088)=0),"Not on Beds",""))))</f>
        <v/>
      </c>
      <c r="G1088" s="1">
        <f>IF(ISNUMBER(B1088),INT(B1088),0)</f>
        <v/>
      </c>
      <c r="H1088">
        <f>IF(AND(G1088&gt;0,D1088="Water",OR(C1088="",C1088="All beds")),G1088,0)</f>
        <v/>
      </c>
    </row>
    <row r="1089">
      <c r="A1089" s="1" t="n"/>
      <c r="B1089" s="17" t="n"/>
      <c r="C1089" s="18" t="n"/>
      <c r="D1089" s="19" t="n"/>
      <c r="E1089" s="21" t="n"/>
      <c r="F1089" s="11">
        <f>IF(AND(B1089="",C1089="",D1089=""),"",IF(NOT(ISNUMBER(B1089)),"Needs a date",IF(D1089="","Needs the job",IF(AND(C1089&lt;&gt;"",C1089&lt;&gt;"All beds",COUNTIF(Beds!$B$6:$B$35,C1089)=0),"Not on Beds",""))))</f>
        <v/>
      </c>
      <c r="G1089" s="1">
        <f>IF(ISNUMBER(B1089),INT(B1089),0)</f>
        <v/>
      </c>
      <c r="H1089">
        <f>IF(AND(G1089&gt;0,D1089="Water",OR(C1089="",C1089="All beds")),G1089,0)</f>
        <v/>
      </c>
    </row>
    <row r="1090">
      <c r="A1090" s="1" t="n"/>
      <c r="B1090" s="17" t="n"/>
      <c r="C1090" s="18" t="n"/>
      <c r="D1090" s="19" t="n"/>
      <c r="E1090" s="21" t="n"/>
      <c r="F1090" s="11">
        <f>IF(AND(B1090="",C1090="",D1090=""),"",IF(NOT(ISNUMBER(B1090)),"Needs a date",IF(D1090="","Needs the job",IF(AND(C1090&lt;&gt;"",C1090&lt;&gt;"All beds",COUNTIF(Beds!$B$6:$B$35,C1090)=0),"Not on Beds",""))))</f>
        <v/>
      </c>
      <c r="G1090" s="1">
        <f>IF(ISNUMBER(B1090),INT(B1090),0)</f>
        <v/>
      </c>
      <c r="H1090">
        <f>IF(AND(G1090&gt;0,D1090="Water",OR(C1090="",C1090="All beds")),G1090,0)</f>
        <v/>
      </c>
    </row>
    <row r="1091">
      <c r="A1091" s="1" t="n"/>
      <c r="B1091" s="17" t="n"/>
      <c r="C1091" s="18" t="n"/>
      <c r="D1091" s="19" t="n"/>
      <c r="E1091" s="21" t="n"/>
      <c r="F1091" s="11">
        <f>IF(AND(B1091="",C1091="",D1091=""),"",IF(NOT(ISNUMBER(B1091)),"Needs a date",IF(D1091="","Needs the job",IF(AND(C1091&lt;&gt;"",C1091&lt;&gt;"All beds",COUNTIF(Beds!$B$6:$B$35,C1091)=0),"Not on Beds",""))))</f>
        <v/>
      </c>
      <c r="G1091" s="1">
        <f>IF(ISNUMBER(B1091),INT(B1091),0)</f>
        <v/>
      </c>
      <c r="H1091">
        <f>IF(AND(G1091&gt;0,D1091="Water",OR(C1091="",C1091="All beds")),G1091,0)</f>
        <v/>
      </c>
    </row>
    <row r="1092">
      <c r="A1092" s="1" t="n"/>
      <c r="B1092" s="17" t="n"/>
      <c r="C1092" s="18" t="n"/>
      <c r="D1092" s="19" t="n"/>
      <c r="E1092" s="21" t="n"/>
      <c r="F1092" s="11">
        <f>IF(AND(B1092="",C1092="",D1092=""),"",IF(NOT(ISNUMBER(B1092)),"Needs a date",IF(D1092="","Needs the job",IF(AND(C1092&lt;&gt;"",C1092&lt;&gt;"All beds",COUNTIF(Beds!$B$6:$B$35,C1092)=0),"Not on Beds",""))))</f>
        <v/>
      </c>
      <c r="G1092" s="1">
        <f>IF(ISNUMBER(B1092),INT(B1092),0)</f>
        <v/>
      </c>
      <c r="H1092">
        <f>IF(AND(G1092&gt;0,D1092="Water",OR(C1092="",C1092="All beds")),G1092,0)</f>
        <v/>
      </c>
    </row>
    <row r="1093">
      <c r="A1093" s="1" t="n"/>
      <c r="B1093" s="17" t="n"/>
      <c r="C1093" s="18" t="n"/>
      <c r="D1093" s="19" t="n"/>
      <c r="E1093" s="21" t="n"/>
      <c r="F1093" s="11">
        <f>IF(AND(B1093="",C1093="",D1093=""),"",IF(NOT(ISNUMBER(B1093)),"Needs a date",IF(D1093="","Needs the job",IF(AND(C1093&lt;&gt;"",C1093&lt;&gt;"All beds",COUNTIF(Beds!$B$6:$B$35,C1093)=0),"Not on Beds",""))))</f>
        <v/>
      </c>
      <c r="G1093" s="1">
        <f>IF(ISNUMBER(B1093),INT(B1093),0)</f>
        <v/>
      </c>
      <c r="H1093">
        <f>IF(AND(G1093&gt;0,D1093="Water",OR(C1093="",C1093="All beds")),G1093,0)</f>
        <v/>
      </c>
    </row>
    <row r="1094">
      <c r="A1094" s="1" t="n"/>
      <c r="B1094" s="17" t="n"/>
      <c r="C1094" s="18" t="n"/>
      <c r="D1094" s="19" t="n"/>
      <c r="E1094" s="21" t="n"/>
      <c r="F1094" s="11">
        <f>IF(AND(B1094="",C1094="",D1094=""),"",IF(NOT(ISNUMBER(B1094)),"Needs a date",IF(D1094="","Needs the job",IF(AND(C1094&lt;&gt;"",C1094&lt;&gt;"All beds",COUNTIF(Beds!$B$6:$B$35,C1094)=0),"Not on Beds",""))))</f>
        <v/>
      </c>
      <c r="G1094" s="1">
        <f>IF(ISNUMBER(B1094),INT(B1094),0)</f>
        <v/>
      </c>
      <c r="H1094">
        <f>IF(AND(G1094&gt;0,D1094="Water",OR(C1094="",C1094="All beds")),G1094,0)</f>
        <v/>
      </c>
    </row>
    <row r="1095">
      <c r="A1095" s="1" t="n"/>
      <c r="B1095" s="17" t="n"/>
      <c r="C1095" s="18" t="n"/>
      <c r="D1095" s="19" t="n"/>
      <c r="E1095" s="21" t="n"/>
      <c r="F1095" s="11">
        <f>IF(AND(B1095="",C1095="",D1095=""),"",IF(NOT(ISNUMBER(B1095)),"Needs a date",IF(D1095="","Needs the job",IF(AND(C1095&lt;&gt;"",C1095&lt;&gt;"All beds",COUNTIF(Beds!$B$6:$B$35,C1095)=0),"Not on Beds",""))))</f>
        <v/>
      </c>
      <c r="G1095" s="1">
        <f>IF(ISNUMBER(B1095),INT(B1095),0)</f>
        <v/>
      </c>
      <c r="H1095">
        <f>IF(AND(G1095&gt;0,D1095="Water",OR(C1095="",C1095="All beds")),G1095,0)</f>
        <v/>
      </c>
    </row>
    <row r="1096">
      <c r="A1096" s="1" t="n"/>
      <c r="B1096" s="17" t="n"/>
      <c r="C1096" s="18" t="n"/>
      <c r="D1096" s="19" t="n"/>
      <c r="E1096" s="21" t="n"/>
      <c r="F1096" s="11">
        <f>IF(AND(B1096="",C1096="",D1096=""),"",IF(NOT(ISNUMBER(B1096)),"Needs a date",IF(D1096="","Needs the job",IF(AND(C1096&lt;&gt;"",C1096&lt;&gt;"All beds",COUNTIF(Beds!$B$6:$B$35,C1096)=0),"Not on Beds",""))))</f>
        <v/>
      </c>
      <c r="G1096" s="1">
        <f>IF(ISNUMBER(B1096),INT(B1096),0)</f>
        <v/>
      </c>
      <c r="H1096">
        <f>IF(AND(G1096&gt;0,D1096="Water",OR(C1096="",C1096="All beds")),G1096,0)</f>
        <v/>
      </c>
    </row>
    <row r="1097">
      <c r="A1097" s="1" t="n"/>
      <c r="B1097" s="17" t="n"/>
      <c r="C1097" s="18" t="n"/>
      <c r="D1097" s="19" t="n"/>
      <c r="E1097" s="21" t="n"/>
      <c r="F1097" s="11">
        <f>IF(AND(B1097="",C1097="",D1097=""),"",IF(NOT(ISNUMBER(B1097)),"Needs a date",IF(D1097="","Needs the job",IF(AND(C1097&lt;&gt;"",C1097&lt;&gt;"All beds",COUNTIF(Beds!$B$6:$B$35,C1097)=0),"Not on Beds",""))))</f>
        <v/>
      </c>
      <c r="G1097" s="1">
        <f>IF(ISNUMBER(B1097),INT(B1097),0)</f>
        <v/>
      </c>
      <c r="H1097">
        <f>IF(AND(G1097&gt;0,D1097="Water",OR(C1097="",C1097="All beds")),G1097,0)</f>
        <v/>
      </c>
    </row>
    <row r="1098">
      <c r="A1098" s="1" t="n"/>
      <c r="B1098" s="17" t="n"/>
      <c r="C1098" s="18" t="n"/>
      <c r="D1098" s="19" t="n"/>
      <c r="E1098" s="21" t="n"/>
      <c r="F1098" s="11">
        <f>IF(AND(B1098="",C1098="",D1098=""),"",IF(NOT(ISNUMBER(B1098)),"Needs a date",IF(D1098="","Needs the job",IF(AND(C1098&lt;&gt;"",C1098&lt;&gt;"All beds",COUNTIF(Beds!$B$6:$B$35,C1098)=0),"Not on Beds",""))))</f>
        <v/>
      </c>
      <c r="G1098" s="1">
        <f>IF(ISNUMBER(B1098),INT(B1098),0)</f>
        <v/>
      </c>
      <c r="H1098">
        <f>IF(AND(G1098&gt;0,D1098="Water",OR(C1098="",C1098="All beds")),G1098,0)</f>
        <v/>
      </c>
    </row>
    <row r="1099">
      <c r="A1099" s="1" t="n"/>
      <c r="B1099" s="17" t="n"/>
      <c r="C1099" s="18" t="n"/>
      <c r="D1099" s="19" t="n"/>
      <c r="E1099" s="21" t="n"/>
      <c r="F1099" s="11">
        <f>IF(AND(B1099="",C1099="",D1099=""),"",IF(NOT(ISNUMBER(B1099)),"Needs a date",IF(D1099="","Needs the job",IF(AND(C1099&lt;&gt;"",C1099&lt;&gt;"All beds",COUNTIF(Beds!$B$6:$B$35,C1099)=0),"Not on Beds",""))))</f>
        <v/>
      </c>
      <c r="G1099" s="1">
        <f>IF(ISNUMBER(B1099),INT(B1099),0)</f>
        <v/>
      </c>
      <c r="H1099">
        <f>IF(AND(G1099&gt;0,D1099="Water",OR(C1099="",C1099="All beds")),G1099,0)</f>
        <v/>
      </c>
    </row>
    <row r="1100">
      <c r="A1100" s="1" t="n"/>
      <c r="B1100" s="17" t="n"/>
      <c r="C1100" s="18" t="n"/>
      <c r="D1100" s="19" t="n"/>
      <c r="E1100" s="21" t="n"/>
      <c r="F1100" s="11">
        <f>IF(AND(B1100="",C1100="",D1100=""),"",IF(NOT(ISNUMBER(B1100)),"Needs a date",IF(D1100="","Needs the job",IF(AND(C1100&lt;&gt;"",C1100&lt;&gt;"All beds",COUNTIF(Beds!$B$6:$B$35,C1100)=0),"Not on Beds",""))))</f>
        <v/>
      </c>
      <c r="G1100" s="1">
        <f>IF(ISNUMBER(B1100),INT(B1100),0)</f>
        <v/>
      </c>
      <c r="H1100">
        <f>IF(AND(G1100&gt;0,D1100="Water",OR(C1100="",C1100="All beds")),G1100,0)</f>
        <v/>
      </c>
    </row>
    <row r="1101">
      <c r="A1101" s="1" t="n"/>
      <c r="B1101" s="17" t="n"/>
      <c r="C1101" s="18" t="n"/>
      <c r="D1101" s="19" t="n"/>
      <c r="E1101" s="21" t="n"/>
      <c r="F1101" s="11">
        <f>IF(AND(B1101="",C1101="",D1101=""),"",IF(NOT(ISNUMBER(B1101)),"Needs a date",IF(D1101="","Needs the job",IF(AND(C1101&lt;&gt;"",C1101&lt;&gt;"All beds",COUNTIF(Beds!$B$6:$B$35,C1101)=0),"Not on Beds",""))))</f>
        <v/>
      </c>
      <c r="G1101" s="1">
        <f>IF(ISNUMBER(B1101),INT(B1101),0)</f>
        <v/>
      </c>
      <c r="H1101">
        <f>IF(AND(G1101&gt;0,D1101="Water",OR(C1101="",C1101="All beds")),G1101,0)</f>
        <v/>
      </c>
    </row>
    <row r="1102">
      <c r="A1102" s="1" t="n"/>
      <c r="B1102" s="17" t="n"/>
      <c r="C1102" s="18" t="n"/>
      <c r="D1102" s="19" t="n"/>
      <c r="E1102" s="21" t="n"/>
      <c r="F1102" s="11">
        <f>IF(AND(B1102="",C1102="",D1102=""),"",IF(NOT(ISNUMBER(B1102)),"Needs a date",IF(D1102="","Needs the job",IF(AND(C1102&lt;&gt;"",C1102&lt;&gt;"All beds",COUNTIF(Beds!$B$6:$B$35,C1102)=0),"Not on Beds",""))))</f>
        <v/>
      </c>
      <c r="G1102" s="1">
        <f>IF(ISNUMBER(B1102),INT(B1102),0)</f>
        <v/>
      </c>
      <c r="H1102">
        <f>IF(AND(G1102&gt;0,D1102="Water",OR(C1102="",C1102="All beds")),G1102,0)</f>
        <v/>
      </c>
    </row>
    <row r="1103">
      <c r="A1103" s="1" t="n"/>
      <c r="B1103" s="17" t="n"/>
      <c r="C1103" s="18" t="n"/>
      <c r="D1103" s="19" t="n"/>
      <c r="E1103" s="21" t="n"/>
      <c r="F1103" s="11">
        <f>IF(AND(B1103="",C1103="",D1103=""),"",IF(NOT(ISNUMBER(B1103)),"Needs a date",IF(D1103="","Needs the job",IF(AND(C1103&lt;&gt;"",C1103&lt;&gt;"All beds",COUNTIF(Beds!$B$6:$B$35,C1103)=0),"Not on Beds",""))))</f>
        <v/>
      </c>
      <c r="G1103" s="1">
        <f>IF(ISNUMBER(B1103),INT(B1103),0)</f>
        <v/>
      </c>
      <c r="H1103">
        <f>IF(AND(G1103&gt;0,D1103="Water",OR(C1103="",C1103="All beds")),G1103,0)</f>
        <v/>
      </c>
    </row>
    <row r="1104">
      <c r="A1104" s="1" t="n"/>
      <c r="B1104" s="17" t="n"/>
      <c r="C1104" s="18" t="n"/>
      <c r="D1104" s="19" t="n"/>
      <c r="E1104" s="21" t="n"/>
      <c r="F1104" s="11">
        <f>IF(AND(B1104="",C1104="",D1104=""),"",IF(NOT(ISNUMBER(B1104)),"Needs a date",IF(D1104="","Needs the job",IF(AND(C1104&lt;&gt;"",C1104&lt;&gt;"All beds",COUNTIF(Beds!$B$6:$B$35,C1104)=0),"Not on Beds",""))))</f>
        <v/>
      </c>
      <c r="G1104" s="1">
        <f>IF(ISNUMBER(B1104),INT(B1104),0)</f>
        <v/>
      </c>
      <c r="H1104">
        <f>IF(AND(G1104&gt;0,D1104="Water",OR(C1104="",C1104="All beds")),G1104,0)</f>
        <v/>
      </c>
    </row>
    <row r="1105">
      <c r="A1105" s="1" t="n"/>
      <c r="B1105" s="17" t="n"/>
      <c r="C1105" s="18" t="n"/>
      <c r="D1105" s="19" t="n"/>
      <c r="E1105" s="21" t="n"/>
      <c r="F1105" s="11">
        <f>IF(AND(B1105="",C1105="",D1105=""),"",IF(NOT(ISNUMBER(B1105)),"Needs a date",IF(D1105="","Needs the job",IF(AND(C1105&lt;&gt;"",C1105&lt;&gt;"All beds",COUNTIF(Beds!$B$6:$B$35,C1105)=0),"Not on Beds",""))))</f>
        <v/>
      </c>
      <c r="G1105" s="1">
        <f>IF(ISNUMBER(B1105),INT(B1105),0)</f>
        <v/>
      </c>
      <c r="H1105">
        <f>IF(AND(G1105&gt;0,D1105="Water",OR(C1105="",C1105="All beds")),G1105,0)</f>
        <v/>
      </c>
    </row>
    <row r="1106">
      <c r="A1106" s="1" t="n"/>
      <c r="B1106" s="17" t="n"/>
      <c r="C1106" s="18" t="n"/>
      <c r="D1106" s="19" t="n"/>
      <c r="E1106" s="21" t="n"/>
      <c r="F1106" s="11">
        <f>IF(AND(B1106="",C1106="",D1106=""),"",IF(NOT(ISNUMBER(B1106)),"Needs a date",IF(D1106="","Needs the job",IF(AND(C1106&lt;&gt;"",C1106&lt;&gt;"All beds",COUNTIF(Beds!$B$6:$B$35,C1106)=0),"Not on Beds",""))))</f>
        <v/>
      </c>
      <c r="G1106" s="1">
        <f>IF(ISNUMBER(B1106),INT(B1106),0)</f>
        <v/>
      </c>
      <c r="H1106">
        <f>IF(AND(G1106&gt;0,D1106="Water",OR(C1106="",C1106="All beds")),G1106,0)</f>
        <v/>
      </c>
    </row>
    <row r="1107">
      <c r="A1107" s="1" t="n"/>
      <c r="B1107" s="17" t="n"/>
      <c r="C1107" s="18" t="n"/>
      <c r="D1107" s="19" t="n"/>
      <c r="E1107" s="21" t="n"/>
      <c r="F1107" s="11">
        <f>IF(AND(B1107="",C1107="",D1107=""),"",IF(NOT(ISNUMBER(B1107)),"Needs a date",IF(D1107="","Needs the job",IF(AND(C1107&lt;&gt;"",C1107&lt;&gt;"All beds",COUNTIF(Beds!$B$6:$B$35,C1107)=0),"Not on Beds",""))))</f>
        <v/>
      </c>
      <c r="G1107" s="1">
        <f>IF(ISNUMBER(B1107),INT(B1107),0)</f>
        <v/>
      </c>
      <c r="H1107">
        <f>IF(AND(G1107&gt;0,D1107="Water",OR(C1107="",C1107="All beds")),G1107,0)</f>
        <v/>
      </c>
    </row>
    <row r="1108">
      <c r="A1108" s="1" t="n"/>
      <c r="B1108" s="17" t="n"/>
      <c r="C1108" s="18" t="n"/>
      <c r="D1108" s="19" t="n"/>
      <c r="E1108" s="21" t="n"/>
      <c r="F1108" s="11">
        <f>IF(AND(B1108="",C1108="",D1108=""),"",IF(NOT(ISNUMBER(B1108)),"Needs a date",IF(D1108="","Needs the job",IF(AND(C1108&lt;&gt;"",C1108&lt;&gt;"All beds",COUNTIF(Beds!$B$6:$B$35,C1108)=0),"Not on Beds",""))))</f>
        <v/>
      </c>
      <c r="G1108" s="1">
        <f>IF(ISNUMBER(B1108),INT(B1108),0)</f>
        <v/>
      </c>
      <c r="H1108">
        <f>IF(AND(G1108&gt;0,D1108="Water",OR(C1108="",C1108="All beds")),G1108,0)</f>
        <v/>
      </c>
    </row>
    <row r="1109">
      <c r="A1109" s="1" t="n"/>
      <c r="B1109" s="17" t="n"/>
      <c r="C1109" s="18" t="n"/>
      <c r="D1109" s="19" t="n"/>
      <c r="E1109" s="21" t="n"/>
      <c r="F1109" s="11">
        <f>IF(AND(B1109="",C1109="",D1109=""),"",IF(NOT(ISNUMBER(B1109)),"Needs a date",IF(D1109="","Needs the job",IF(AND(C1109&lt;&gt;"",C1109&lt;&gt;"All beds",COUNTIF(Beds!$B$6:$B$35,C1109)=0),"Not on Beds",""))))</f>
        <v/>
      </c>
      <c r="G1109" s="1">
        <f>IF(ISNUMBER(B1109),INT(B1109),0)</f>
        <v/>
      </c>
      <c r="H1109">
        <f>IF(AND(G1109&gt;0,D1109="Water",OR(C1109="",C1109="All beds")),G1109,0)</f>
        <v/>
      </c>
    </row>
    <row r="1110">
      <c r="A1110" s="1" t="n"/>
      <c r="B1110" s="17" t="n"/>
      <c r="C1110" s="18" t="n"/>
      <c r="D1110" s="19" t="n"/>
      <c r="E1110" s="21" t="n"/>
      <c r="F1110" s="11">
        <f>IF(AND(B1110="",C1110="",D1110=""),"",IF(NOT(ISNUMBER(B1110)),"Needs a date",IF(D1110="","Needs the job",IF(AND(C1110&lt;&gt;"",C1110&lt;&gt;"All beds",COUNTIF(Beds!$B$6:$B$35,C1110)=0),"Not on Beds",""))))</f>
        <v/>
      </c>
      <c r="G1110" s="1">
        <f>IF(ISNUMBER(B1110),INT(B1110),0)</f>
        <v/>
      </c>
      <c r="H1110">
        <f>IF(AND(G1110&gt;0,D1110="Water",OR(C1110="",C1110="All beds")),G1110,0)</f>
        <v/>
      </c>
    </row>
    <row r="1111">
      <c r="A1111" s="1" t="n"/>
      <c r="B1111" s="17" t="n"/>
      <c r="C1111" s="18" t="n"/>
      <c r="D1111" s="19" t="n"/>
      <c r="E1111" s="21" t="n"/>
      <c r="F1111" s="11">
        <f>IF(AND(B1111="",C1111="",D1111=""),"",IF(NOT(ISNUMBER(B1111)),"Needs a date",IF(D1111="","Needs the job",IF(AND(C1111&lt;&gt;"",C1111&lt;&gt;"All beds",COUNTIF(Beds!$B$6:$B$35,C1111)=0),"Not on Beds",""))))</f>
        <v/>
      </c>
      <c r="G1111" s="1">
        <f>IF(ISNUMBER(B1111),INT(B1111),0)</f>
        <v/>
      </c>
      <c r="H1111">
        <f>IF(AND(G1111&gt;0,D1111="Water",OR(C1111="",C1111="All beds")),G1111,0)</f>
        <v/>
      </c>
    </row>
    <row r="1112">
      <c r="A1112" s="1" t="n"/>
      <c r="B1112" s="17" t="n"/>
      <c r="C1112" s="18" t="n"/>
      <c r="D1112" s="19" t="n"/>
      <c r="E1112" s="21" t="n"/>
      <c r="F1112" s="11">
        <f>IF(AND(B1112="",C1112="",D1112=""),"",IF(NOT(ISNUMBER(B1112)),"Needs a date",IF(D1112="","Needs the job",IF(AND(C1112&lt;&gt;"",C1112&lt;&gt;"All beds",COUNTIF(Beds!$B$6:$B$35,C1112)=0),"Not on Beds",""))))</f>
        <v/>
      </c>
      <c r="G1112" s="1">
        <f>IF(ISNUMBER(B1112),INT(B1112),0)</f>
        <v/>
      </c>
      <c r="H1112">
        <f>IF(AND(G1112&gt;0,D1112="Water",OR(C1112="",C1112="All beds")),G1112,0)</f>
        <v/>
      </c>
    </row>
    <row r="1113">
      <c r="A1113" s="1" t="n"/>
      <c r="B1113" s="17" t="n"/>
      <c r="C1113" s="18" t="n"/>
      <c r="D1113" s="19" t="n"/>
      <c r="E1113" s="21" t="n"/>
      <c r="F1113" s="11">
        <f>IF(AND(B1113="",C1113="",D1113=""),"",IF(NOT(ISNUMBER(B1113)),"Needs a date",IF(D1113="","Needs the job",IF(AND(C1113&lt;&gt;"",C1113&lt;&gt;"All beds",COUNTIF(Beds!$B$6:$B$35,C1113)=0),"Not on Beds",""))))</f>
        <v/>
      </c>
      <c r="G1113" s="1">
        <f>IF(ISNUMBER(B1113),INT(B1113),0)</f>
        <v/>
      </c>
      <c r="H1113">
        <f>IF(AND(G1113&gt;0,D1113="Water",OR(C1113="",C1113="All beds")),G1113,0)</f>
        <v/>
      </c>
    </row>
    <row r="1114">
      <c r="A1114" s="1" t="n"/>
      <c r="B1114" s="17" t="n"/>
      <c r="C1114" s="18" t="n"/>
      <c r="D1114" s="19" t="n"/>
      <c r="E1114" s="21" t="n"/>
      <c r="F1114" s="11">
        <f>IF(AND(B1114="",C1114="",D1114=""),"",IF(NOT(ISNUMBER(B1114)),"Needs a date",IF(D1114="","Needs the job",IF(AND(C1114&lt;&gt;"",C1114&lt;&gt;"All beds",COUNTIF(Beds!$B$6:$B$35,C1114)=0),"Not on Beds",""))))</f>
        <v/>
      </c>
      <c r="G1114" s="1">
        <f>IF(ISNUMBER(B1114),INT(B1114),0)</f>
        <v/>
      </c>
      <c r="H1114">
        <f>IF(AND(G1114&gt;0,D1114="Water",OR(C1114="",C1114="All beds")),G1114,0)</f>
        <v/>
      </c>
    </row>
    <row r="1115">
      <c r="A1115" s="1" t="n"/>
      <c r="B1115" s="17" t="n"/>
      <c r="C1115" s="18" t="n"/>
      <c r="D1115" s="19" t="n"/>
      <c r="E1115" s="21" t="n"/>
      <c r="F1115" s="11">
        <f>IF(AND(B1115="",C1115="",D1115=""),"",IF(NOT(ISNUMBER(B1115)),"Needs a date",IF(D1115="","Needs the job",IF(AND(C1115&lt;&gt;"",C1115&lt;&gt;"All beds",COUNTIF(Beds!$B$6:$B$35,C1115)=0),"Not on Beds",""))))</f>
        <v/>
      </c>
      <c r="G1115" s="1">
        <f>IF(ISNUMBER(B1115),INT(B1115),0)</f>
        <v/>
      </c>
      <c r="H1115">
        <f>IF(AND(G1115&gt;0,D1115="Water",OR(C1115="",C1115="All beds")),G1115,0)</f>
        <v/>
      </c>
    </row>
    <row r="1116">
      <c r="A1116" s="1" t="n"/>
      <c r="B1116" s="17" t="n"/>
      <c r="C1116" s="18" t="n"/>
      <c r="D1116" s="19" t="n"/>
      <c r="E1116" s="21" t="n"/>
      <c r="F1116" s="11">
        <f>IF(AND(B1116="",C1116="",D1116=""),"",IF(NOT(ISNUMBER(B1116)),"Needs a date",IF(D1116="","Needs the job",IF(AND(C1116&lt;&gt;"",C1116&lt;&gt;"All beds",COUNTIF(Beds!$B$6:$B$35,C1116)=0),"Not on Beds",""))))</f>
        <v/>
      </c>
      <c r="G1116" s="1">
        <f>IF(ISNUMBER(B1116),INT(B1116),0)</f>
        <v/>
      </c>
      <c r="H1116">
        <f>IF(AND(G1116&gt;0,D1116="Water",OR(C1116="",C1116="All beds")),G1116,0)</f>
        <v/>
      </c>
    </row>
    <row r="1117">
      <c r="A1117" s="1" t="n"/>
      <c r="B1117" s="17" t="n"/>
      <c r="C1117" s="18" t="n"/>
      <c r="D1117" s="19" t="n"/>
      <c r="E1117" s="21" t="n"/>
      <c r="F1117" s="11">
        <f>IF(AND(B1117="",C1117="",D1117=""),"",IF(NOT(ISNUMBER(B1117)),"Needs a date",IF(D1117="","Needs the job",IF(AND(C1117&lt;&gt;"",C1117&lt;&gt;"All beds",COUNTIF(Beds!$B$6:$B$35,C1117)=0),"Not on Beds",""))))</f>
        <v/>
      </c>
      <c r="G1117" s="1">
        <f>IF(ISNUMBER(B1117),INT(B1117),0)</f>
        <v/>
      </c>
      <c r="H1117">
        <f>IF(AND(G1117&gt;0,D1117="Water",OR(C1117="",C1117="All beds")),G1117,0)</f>
        <v/>
      </c>
    </row>
    <row r="1118">
      <c r="A1118" s="1" t="n"/>
      <c r="B1118" s="17" t="n"/>
      <c r="C1118" s="18" t="n"/>
      <c r="D1118" s="19" t="n"/>
      <c r="E1118" s="21" t="n"/>
      <c r="F1118" s="11">
        <f>IF(AND(B1118="",C1118="",D1118=""),"",IF(NOT(ISNUMBER(B1118)),"Needs a date",IF(D1118="","Needs the job",IF(AND(C1118&lt;&gt;"",C1118&lt;&gt;"All beds",COUNTIF(Beds!$B$6:$B$35,C1118)=0),"Not on Beds",""))))</f>
        <v/>
      </c>
      <c r="G1118" s="1">
        <f>IF(ISNUMBER(B1118),INT(B1118),0)</f>
        <v/>
      </c>
      <c r="H1118">
        <f>IF(AND(G1118&gt;0,D1118="Water",OR(C1118="",C1118="All beds")),G1118,0)</f>
        <v/>
      </c>
    </row>
    <row r="1119">
      <c r="A1119" s="1" t="n"/>
      <c r="B1119" s="17" t="n"/>
      <c r="C1119" s="18" t="n"/>
      <c r="D1119" s="19" t="n"/>
      <c r="E1119" s="21" t="n"/>
      <c r="F1119" s="11">
        <f>IF(AND(B1119="",C1119="",D1119=""),"",IF(NOT(ISNUMBER(B1119)),"Needs a date",IF(D1119="","Needs the job",IF(AND(C1119&lt;&gt;"",C1119&lt;&gt;"All beds",COUNTIF(Beds!$B$6:$B$35,C1119)=0),"Not on Beds",""))))</f>
        <v/>
      </c>
      <c r="G1119" s="1">
        <f>IF(ISNUMBER(B1119),INT(B1119),0)</f>
        <v/>
      </c>
      <c r="H1119">
        <f>IF(AND(G1119&gt;0,D1119="Water",OR(C1119="",C1119="All beds")),G1119,0)</f>
        <v/>
      </c>
    </row>
    <row r="1120">
      <c r="A1120" s="1" t="n"/>
      <c r="B1120" s="17" t="n"/>
      <c r="C1120" s="18" t="n"/>
      <c r="D1120" s="19" t="n"/>
      <c r="E1120" s="21" t="n"/>
      <c r="F1120" s="11">
        <f>IF(AND(B1120="",C1120="",D1120=""),"",IF(NOT(ISNUMBER(B1120)),"Needs a date",IF(D1120="","Needs the job",IF(AND(C1120&lt;&gt;"",C1120&lt;&gt;"All beds",COUNTIF(Beds!$B$6:$B$35,C1120)=0),"Not on Beds",""))))</f>
        <v/>
      </c>
      <c r="G1120" s="1">
        <f>IF(ISNUMBER(B1120),INT(B1120),0)</f>
        <v/>
      </c>
      <c r="H1120">
        <f>IF(AND(G1120&gt;0,D1120="Water",OR(C1120="",C1120="All beds")),G1120,0)</f>
        <v/>
      </c>
    </row>
    <row r="1121">
      <c r="A1121" s="1" t="n"/>
      <c r="B1121" s="17" t="n"/>
      <c r="C1121" s="18" t="n"/>
      <c r="D1121" s="19" t="n"/>
      <c r="E1121" s="21" t="n"/>
      <c r="F1121" s="11">
        <f>IF(AND(B1121="",C1121="",D1121=""),"",IF(NOT(ISNUMBER(B1121)),"Needs a date",IF(D1121="","Needs the job",IF(AND(C1121&lt;&gt;"",C1121&lt;&gt;"All beds",COUNTIF(Beds!$B$6:$B$35,C1121)=0),"Not on Beds",""))))</f>
        <v/>
      </c>
      <c r="G1121" s="1">
        <f>IF(ISNUMBER(B1121),INT(B1121),0)</f>
        <v/>
      </c>
      <c r="H1121">
        <f>IF(AND(G1121&gt;0,D1121="Water",OR(C1121="",C1121="All beds")),G1121,0)</f>
        <v/>
      </c>
    </row>
    <row r="1122">
      <c r="A1122" s="1" t="n"/>
      <c r="B1122" s="17" t="n"/>
      <c r="C1122" s="18" t="n"/>
      <c r="D1122" s="19" t="n"/>
      <c r="E1122" s="21" t="n"/>
      <c r="F1122" s="11">
        <f>IF(AND(B1122="",C1122="",D1122=""),"",IF(NOT(ISNUMBER(B1122)),"Needs a date",IF(D1122="","Needs the job",IF(AND(C1122&lt;&gt;"",C1122&lt;&gt;"All beds",COUNTIF(Beds!$B$6:$B$35,C1122)=0),"Not on Beds",""))))</f>
        <v/>
      </c>
      <c r="G1122" s="1">
        <f>IF(ISNUMBER(B1122),INT(B1122),0)</f>
        <v/>
      </c>
      <c r="H1122">
        <f>IF(AND(G1122&gt;0,D1122="Water",OR(C1122="",C1122="All beds")),G1122,0)</f>
        <v/>
      </c>
    </row>
    <row r="1123">
      <c r="A1123" s="1" t="n"/>
      <c r="B1123" s="17" t="n"/>
      <c r="C1123" s="18" t="n"/>
      <c r="D1123" s="19" t="n"/>
      <c r="E1123" s="21" t="n"/>
      <c r="F1123" s="11">
        <f>IF(AND(B1123="",C1123="",D1123=""),"",IF(NOT(ISNUMBER(B1123)),"Needs a date",IF(D1123="","Needs the job",IF(AND(C1123&lt;&gt;"",C1123&lt;&gt;"All beds",COUNTIF(Beds!$B$6:$B$35,C1123)=0),"Not on Beds",""))))</f>
        <v/>
      </c>
      <c r="G1123" s="1">
        <f>IF(ISNUMBER(B1123),INT(B1123),0)</f>
        <v/>
      </c>
      <c r="H1123">
        <f>IF(AND(G1123&gt;0,D1123="Water",OR(C1123="",C1123="All beds")),G1123,0)</f>
        <v/>
      </c>
    </row>
    <row r="1124">
      <c r="A1124" s="1" t="n"/>
      <c r="B1124" s="17" t="n"/>
      <c r="C1124" s="18" t="n"/>
      <c r="D1124" s="19" t="n"/>
      <c r="E1124" s="21" t="n"/>
      <c r="F1124" s="11">
        <f>IF(AND(B1124="",C1124="",D1124=""),"",IF(NOT(ISNUMBER(B1124)),"Needs a date",IF(D1124="","Needs the job",IF(AND(C1124&lt;&gt;"",C1124&lt;&gt;"All beds",COUNTIF(Beds!$B$6:$B$35,C1124)=0),"Not on Beds",""))))</f>
        <v/>
      </c>
      <c r="G1124" s="1">
        <f>IF(ISNUMBER(B1124),INT(B1124),0)</f>
        <v/>
      </c>
      <c r="H1124">
        <f>IF(AND(G1124&gt;0,D1124="Water",OR(C1124="",C1124="All beds")),G1124,0)</f>
        <v/>
      </c>
    </row>
    <row r="1125">
      <c r="A1125" s="1" t="n"/>
      <c r="B1125" s="17" t="n"/>
      <c r="C1125" s="18" t="n"/>
      <c r="D1125" s="19" t="n"/>
      <c r="E1125" s="21" t="n"/>
      <c r="F1125" s="11">
        <f>IF(AND(B1125="",C1125="",D1125=""),"",IF(NOT(ISNUMBER(B1125)),"Needs a date",IF(D1125="","Needs the job",IF(AND(C1125&lt;&gt;"",C1125&lt;&gt;"All beds",COUNTIF(Beds!$B$6:$B$35,C1125)=0),"Not on Beds",""))))</f>
        <v/>
      </c>
      <c r="G1125" s="1">
        <f>IF(ISNUMBER(B1125),INT(B1125),0)</f>
        <v/>
      </c>
      <c r="H1125">
        <f>IF(AND(G1125&gt;0,D1125="Water",OR(C1125="",C1125="All beds")),G1125,0)</f>
        <v/>
      </c>
    </row>
    <row r="1126">
      <c r="A1126" s="1" t="n"/>
      <c r="B1126" s="17" t="n"/>
      <c r="C1126" s="18" t="n"/>
      <c r="D1126" s="19" t="n"/>
      <c r="E1126" s="21" t="n"/>
      <c r="F1126" s="11">
        <f>IF(AND(B1126="",C1126="",D1126=""),"",IF(NOT(ISNUMBER(B1126)),"Needs a date",IF(D1126="","Needs the job",IF(AND(C1126&lt;&gt;"",C1126&lt;&gt;"All beds",COUNTIF(Beds!$B$6:$B$35,C1126)=0),"Not on Beds",""))))</f>
        <v/>
      </c>
      <c r="G1126" s="1">
        <f>IF(ISNUMBER(B1126),INT(B1126),0)</f>
        <v/>
      </c>
      <c r="H1126">
        <f>IF(AND(G1126&gt;0,D1126="Water",OR(C1126="",C1126="All beds")),G1126,0)</f>
        <v/>
      </c>
    </row>
    <row r="1127">
      <c r="A1127" s="1" t="n"/>
      <c r="B1127" s="17" t="n"/>
      <c r="C1127" s="18" t="n"/>
      <c r="D1127" s="19" t="n"/>
      <c r="E1127" s="21" t="n"/>
      <c r="F1127" s="11">
        <f>IF(AND(B1127="",C1127="",D1127=""),"",IF(NOT(ISNUMBER(B1127)),"Needs a date",IF(D1127="","Needs the job",IF(AND(C1127&lt;&gt;"",C1127&lt;&gt;"All beds",COUNTIF(Beds!$B$6:$B$35,C1127)=0),"Not on Beds",""))))</f>
        <v/>
      </c>
      <c r="G1127" s="1">
        <f>IF(ISNUMBER(B1127),INT(B1127),0)</f>
        <v/>
      </c>
      <c r="H1127">
        <f>IF(AND(G1127&gt;0,D1127="Water",OR(C1127="",C1127="All beds")),G1127,0)</f>
        <v/>
      </c>
    </row>
    <row r="1128">
      <c r="A1128" s="1" t="n"/>
      <c r="B1128" s="17" t="n"/>
      <c r="C1128" s="18" t="n"/>
      <c r="D1128" s="19" t="n"/>
      <c r="E1128" s="21" t="n"/>
      <c r="F1128" s="11">
        <f>IF(AND(B1128="",C1128="",D1128=""),"",IF(NOT(ISNUMBER(B1128)),"Needs a date",IF(D1128="","Needs the job",IF(AND(C1128&lt;&gt;"",C1128&lt;&gt;"All beds",COUNTIF(Beds!$B$6:$B$35,C1128)=0),"Not on Beds",""))))</f>
        <v/>
      </c>
      <c r="G1128" s="1">
        <f>IF(ISNUMBER(B1128),INT(B1128),0)</f>
        <v/>
      </c>
      <c r="H1128">
        <f>IF(AND(G1128&gt;0,D1128="Water",OR(C1128="",C1128="All beds")),G1128,0)</f>
        <v/>
      </c>
    </row>
    <row r="1129">
      <c r="A1129" s="1" t="n"/>
      <c r="B1129" s="17" t="n"/>
      <c r="C1129" s="18" t="n"/>
      <c r="D1129" s="19" t="n"/>
      <c r="E1129" s="21" t="n"/>
      <c r="F1129" s="11">
        <f>IF(AND(B1129="",C1129="",D1129=""),"",IF(NOT(ISNUMBER(B1129)),"Needs a date",IF(D1129="","Needs the job",IF(AND(C1129&lt;&gt;"",C1129&lt;&gt;"All beds",COUNTIF(Beds!$B$6:$B$35,C1129)=0),"Not on Beds",""))))</f>
        <v/>
      </c>
      <c r="G1129" s="1">
        <f>IF(ISNUMBER(B1129),INT(B1129),0)</f>
        <v/>
      </c>
      <c r="H1129">
        <f>IF(AND(G1129&gt;0,D1129="Water",OR(C1129="",C1129="All beds")),G1129,0)</f>
        <v/>
      </c>
    </row>
    <row r="1130">
      <c r="A1130" s="1" t="n"/>
      <c r="B1130" s="17" t="n"/>
      <c r="C1130" s="18" t="n"/>
      <c r="D1130" s="19" t="n"/>
      <c r="E1130" s="21" t="n"/>
      <c r="F1130" s="11">
        <f>IF(AND(B1130="",C1130="",D1130=""),"",IF(NOT(ISNUMBER(B1130)),"Needs a date",IF(D1130="","Needs the job",IF(AND(C1130&lt;&gt;"",C1130&lt;&gt;"All beds",COUNTIF(Beds!$B$6:$B$35,C1130)=0),"Not on Beds",""))))</f>
        <v/>
      </c>
      <c r="G1130" s="1">
        <f>IF(ISNUMBER(B1130),INT(B1130),0)</f>
        <v/>
      </c>
      <c r="H1130">
        <f>IF(AND(G1130&gt;0,D1130="Water",OR(C1130="",C1130="All beds")),G1130,0)</f>
        <v/>
      </c>
    </row>
    <row r="1131">
      <c r="A1131" s="1" t="n"/>
      <c r="B1131" s="17" t="n"/>
      <c r="C1131" s="18" t="n"/>
      <c r="D1131" s="19" t="n"/>
      <c r="E1131" s="21" t="n"/>
      <c r="F1131" s="11">
        <f>IF(AND(B1131="",C1131="",D1131=""),"",IF(NOT(ISNUMBER(B1131)),"Needs a date",IF(D1131="","Needs the job",IF(AND(C1131&lt;&gt;"",C1131&lt;&gt;"All beds",COUNTIF(Beds!$B$6:$B$35,C1131)=0),"Not on Beds",""))))</f>
        <v/>
      </c>
      <c r="G1131" s="1">
        <f>IF(ISNUMBER(B1131),INT(B1131),0)</f>
        <v/>
      </c>
      <c r="H1131">
        <f>IF(AND(G1131&gt;0,D1131="Water",OR(C1131="",C1131="All beds")),G1131,0)</f>
        <v/>
      </c>
    </row>
    <row r="1132">
      <c r="A1132" s="1" t="n"/>
      <c r="B1132" s="17" t="n"/>
      <c r="C1132" s="18" t="n"/>
      <c r="D1132" s="19" t="n"/>
      <c r="E1132" s="21" t="n"/>
      <c r="F1132" s="11">
        <f>IF(AND(B1132="",C1132="",D1132=""),"",IF(NOT(ISNUMBER(B1132)),"Needs a date",IF(D1132="","Needs the job",IF(AND(C1132&lt;&gt;"",C1132&lt;&gt;"All beds",COUNTIF(Beds!$B$6:$B$35,C1132)=0),"Not on Beds",""))))</f>
        <v/>
      </c>
      <c r="G1132" s="1">
        <f>IF(ISNUMBER(B1132),INT(B1132),0)</f>
        <v/>
      </c>
      <c r="H1132">
        <f>IF(AND(G1132&gt;0,D1132="Water",OR(C1132="",C1132="All beds")),G1132,0)</f>
        <v/>
      </c>
    </row>
    <row r="1133">
      <c r="A1133" s="1" t="n"/>
      <c r="B1133" s="17" t="n"/>
      <c r="C1133" s="18" t="n"/>
      <c r="D1133" s="19" t="n"/>
      <c r="E1133" s="21" t="n"/>
      <c r="F1133" s="11">
        <f>IF(AND(B1133="",C1133="",D1133=""),"",IF(NOT(ISNUMBER(B1133)),"Needs a date",IF(D1133="","Needs the job",IF(AND(C1133&lt;&gt;"",C1133&lt;&gt;"All beds",COUNTIF(Beds!$B$6:$B$35,C1133)=0),"Not on Beds",""))))</f>
        <v/>
      </c>
      <c r="G1133" s="1">
        <f>IF(ISNUMBER(B1133),INT(B1133),0)</f>
        <v/>
      </c>
      <c r="H1133">
        <f>IF(AND(G1133&gt;0,D1133="Water",OR(C1133="",C1133="All beds")),G1133,0)</f>
        <v/>
      </c>
    </row>
    <row r="1134">
      <c r="A1134" s="1" t="n"/>
      <c r="B1134" s="17" t="n"/>
      <c r="C1134" s="18" t="n"/>
      <c r="D1134" s="19" t="n"/>
      <c r="E1134" s="21" t="n"/>
      <c r="F1134" s="11">
        <f>IF(AND(B1134="",C1134="",D1134=""),"",IF(NOT(ISNUMBER(B1134)),"Needs a date",IF(D1134="","Needs the job",IF(AND(C1134&lt;&gt;"",C1134&lt;&gt;"All beds",COUNTIF(Beds!$B$6:$B$35,C1134)=0),"Not on Beds",""))))</f>
        <v/>
      </c>
      <c r="G1134" s="1">
        <f>IF(ISNUMBER(B1134),INT(B1134),0)</f>
        <v/>
      </c>
      <c r="H1134">
        <f>IF(AND(G1134&gt;0,D1134="Water",OR(C1134="",C1134="All beds")),G1134,0)</f>
        <v/>
      </c>
    </row>
    <row r="1135">
      <c r="A1135" s="1" t="n"/>
      <c r="B1135" s="17" t="n"/>
      <c r="C1135" s="18" t="n"/>
      <c r="D1135" s="19" t="n"/>
      <c r="E1135" s="21" t="n"/>
      <c r="F1135" s="11">
        <f>IF(AND(B1135="",C1135="",D1135=""),"",IF(NOT(ISNUMBER(B1135)),"Needs a date",IF(D1135="","Needs the job",IF(AND(C1135&lt;&gt;"",C1135&lt;&gt;"All beds",COUNTIF(Beds!$B$6:$B$35,C1135)=0),"Not on Beds",""))))</f>
        <v/>
      </c>
      <c r="G1135" s="1">
        <f>IF(ISNUMBER(B1135),INT(B1135),0)</f>
        <v/>
      </c>
      <c r="H1135">
        <f>IF(AND(G1135&gt;0,D1135="Water",OR(C1135="",C1135="All beds")),G1135,0)</f>
        <v/>
      </c>
    </row>
    <row r="1136">
      <c r="A1136" s="1" t="n"/>
      <c r="B1136" s="17" t="n"/>
      <c r="C1136" s="18" t="n"/>
      <c r="D1136" s="19" t="n"/>
      <c r="E1136" s="21" t="n"/>
      <c r="F1136" s="11">
        <f>IF(AND(B1136="",C1136="",D1136=""),"",IF(NOT(ISNUMBER(B1136)),"Needs a date",IF(D1136="","Needs the job",IF(AND(C1136&lt;&gt;"",C1136&lt;&gt;"All beds",COUNTIF(Beds!$B$6:$B$35,C1136)=0),"Not on Beds",""))))</f>
        <v/>
      </c>
      <c r="G1136" s="1">
        <f>IF(ISNUMBER(B1136),INT(B1136),0)</f>
        <v/>
      </c>
      <c r="H1136">
        <f>IF(AND(G1136&gt;0,D1136="Water",OR(C1136="",C1136="All beds")),G1136,0)</f>
        <v/>
      </c>
    </row>
    <row r="1137">
      <c r="A1137" s="1" t="n"/>
      <c r="B1137" s="17" t="n"/>
      <c r="C1137" s="18" t="n"/>
      <c r="D1137" s="19" t="n"/>
      <c r="E1137" s="21" t="n"/>
      <c r="F1137" s="11">
        <f>IF(AND(B1137="",C1137="",D1137=""),"",IF(NOT(ISNUMBER(B1137)),"Needs a date",IF(D1137="","Needs the job",IF(AND(C1137&lt;&gt;"",C1137&lt;&gt;"All beds",COUNTIF(Beds!$B$6:$B$35,C1137)=0),"Not on Beds",""))))</f>
        <v/>
      </c>
      <c r="G1137" s="1">
        <f>IF(ISNUMBER(B1137),INT(B1137),0)</f>
        <v/>
      </c>
      <c r="H1137">
        <f>IF(AND(G1137&gt;0,D1137="Water",OR(C1137="",C1137="All beds")),G1137,0)</f>
        <v/>
      </c>
    </row>
    <row r="1138">
      <c r="A1138" s="1" t="n"/>
      <c r="B1138" s="17" t="n"/>
      <c r="C1138" s="18" t="n"/>
      <c r="D1138" s="19" t="n"/>
      <c r="E1138" s="21" t="n"/>
      <c r="F1138" s="11">
        <f>IF(AND(B1138="",C1138="",D1138=""),"",IF(NOT(ISNUMBER(B1138)),"Needs a date",IF(D1138="","Needs the job",IF(AND(C1138&lt;&gt;"",C1138&lt;&gt;"All beds",COUNTIF(Beds!$B$6:$B$35,C1138)=0),"Not on Beds",""))))</f>
        <v/>
      </c>
      <c r="G1138" s="1">
        <f>IF(ISNUMBER(B1138),INT(B1138),0)</f>
        <v/>
      </c>
      <c r="H1138">
        <f>IF(AND(G1138&gt;0,D1138="Water",OR(C1138="",C1138="All beds")),G1138,0)</f>
        <v/>
      </c>
    </row>
    <row r="1139">
      <c r="A1139" s="1" t="n"/>
      <c r="B1139" s="17" t="n"/>
      <c r="C1139" s="18" t="n"/>
      <c r="D1139" s="19" t="n"/>
      <c r="E1139" s="21" t="n"/>
      <c r="F1139" s="11">
        <f>IF(AND(B1139="",C1139="",D1139=""),"",IF(NOT(ISNUMBER(B1139)),"Needs a date",IF(D1139="","Needs the job",IF(AND(C1139&lt;&gt;"",C1139&lt;&gt;"All beds",COUNTIF(Beds!$B$6:$B$35,C1139)=0),"Not on Beds",""))))</f>
        <v/>
      </c>
      <c r="G1139" s="1">
        <f>IF(ISNUMBER(B1139),INT(B1139),0)</f>
        <v/>
      </c>
      <c r="H1139">
        <f>IF(AND(G1139&gt;0,D1139="Water",OR(C1139="",C1139="All beds")),G1139,0)</f>
        <v/>
      </c>
    </row>
    <row r="1140">
      <c r="A1140" s="1" t="n"/>
      <c r="B1140" s="17" t="n"/>
      <c r="C1140" s="18" t="n"/>
      <c r="D1140" s="19" t="n"/>
      <c r="E1140" s="21" t="n"/>
      <c r="F1140" s="11">
        <f>IF(AND(B1140="",C1140="",D1140=""),"",IF(NOT(ISNUMBER(B1140)),"Needs a date",IF(D1140="","Needs the job",IF(AND(C1140&lt;&gt;"",C1140&lt;&gt;"All beds",COUNTIF(Beds!$B$6:$B$35,C1140)=0),"Not on Beds",""))))</f>
        <v/>
      </c>
      <c r="G1140" s="1">
        <f>IF(ISNUMBER(B1140),INT(B1140),0)</f>
        <v/>
      </c>
      <c r="H1140">
        <f>IF(AND(G1140&gt;0,D1140="Water",OR(C1140="",C1140="All beds")),G1140,0)</f>
        <v/>
      </c>
    </row>
    <row r="1141">
      <c r="A1141" s="1" t="n"/>
      <c r="B1141" s="17" t="n"/>
      <c r="C1141" s="18" t="n"/>
      <c r="D1141" s="19" t="n"/>
      <c r="E1141" s="21" t="n"/>
      <c r="F1141" s="11">
        <f>IF(AND(B1141="",C1141="",D1141=""),"",IF(NOT(ISNUMBER(B1141)),"Needs a date",IF(D1141="","Needs the job",IF(AND(C1141&lt;&gt;"",C1141&lt;&gt;"All beds",COUNTIF(Beds!$B$6:$B$35,C1141)=0),"Not on Beds",""))))</f>
        <v/>
      </c>
      <c r="G1141" s="1">
        <f>IF(ISNUMBER(B1141),INT(B1141),0)</f>
        <v/>
      </c>
      <c r="H1141">
        <f>IF(AND(G1141&gt;0,D1141="Water",OR(C1141="",C1141="All beds")),G1141,0)</f>
        <v/>
      </c>
    </row>
    <row r="1142">
      <c r="A1142" s="1" t="n"/>
      <c r="B1142" s="17" t="n"/>
      <c r="C1142" s="18" t="n"/>
      <c r="D1142" s="19" t="n"/>
      <c r="E1142" s="21" t="n"/>
      <c r="F1142" s="11">
        <f>IF(AND(B1142="",C1142="",D1142=""),"",IF(NOT(ISNUMBER(B1142)),"Needs a date",IF(D1142="","Needs the job",IF(AND(C1142&lt;&gt;"",C1142&lt;&gt;"All beds",COUNTIF(Beds!$B$6:$B$35,C1142)=0),"Not on Beds",""))))</f>
        <v/>
      </c>
      <c r="G1142" s="1">
        <f>IF(ISNUMBER(B1142),INT(B1142),0)</f>
        <v/>
      </c>
      <c r="H1142">
        <f>IF(AND(G1142&gt;0,D1142="Water",OR(C1142="",C1142="All beds")),G1142,0)</f>
        <v/>
      </c>
    </row>
    <row r="1143">
      <c r="A1143" s="1" t="n"/>
      <c r="B1143" s="17" t="n"/>
      <c r="C1143" s="18" t="n"/>
      <c r="D1143" s="19" t="n"/>
      <c r="E1143" s="21" t="n"/>
      <c r="F1143" s="11">
        <f>IF(AND(B1143="",C1143="",D1143=""),"",IF(NOT(ISNUMBER(B1143)),"Needs a date",IF(D1143="","Needs the job",IF(AND(C1143&lt;&gt;"",C1143&lt;&gt;"All beds",COUNTIF(Beds!$B$6:$B$35,C1143)=0),"Not on Beds",""))))</f>
        <v/>
      </c>
      <c r="G1143" s="1">
        <f>IF(ISNUMBER(B1143),INT(B1143),0)</f>
        <v/>
      </c>
      <c r="H1143">
        <f>IF(AND(G1143&gt;0,D1143="Water",OR(C1143="",C1143="All beds")),G1143,0)</f>
        <v/>
      </c>
    </row>
    <row r="1144">
      <c r="A1144" s="1" t="n"/>
      <c r="B1144" s="17" t="n"/>
      <c r="C1144" s="18" t="n"/>
      <c r="D1144" s="19" t="n"/>
      <c r="E1144" s="21" t="n"/>
      <c r="F1144" s="11">
        <f>IF(AND(B1144="",C1144="",D1144=""),"",IF(NOT(ISNUMBER(B1144)),"Needs a date",IF(D1144="","Needs the job",IF(AND(C1144&lt;&gt;"",C1144&lt;&gt;"All beds",COUNTIF(Beds!$B$6:$B$35,C1144)=0),"Not on Beds",""))))</f>
        <v/>
      </c>
      <c r="G1144" s="1">
        <f>IF(ISNUMBER(B1144),INT(B1144),0)</f>
        <v/>
      </c>
      <c r="H1144">
        <f>IF(AND(G1144&gt;0,D1144="Water",OR(C1144="",C1144="All beds")),G1144,0)</f>
        <v/>
      </c>
    </row>
    <row r="1145">
      <c r="A1145" s="1" t="n"/>
      <c r="B1145" s="17" t="n"/>
      <c r="C1145" s="18" t="n"/>
      <c r="D1145" s="19" t="n"/>
      <c r="E1145" s="21" t="n"/>
      <c r="F1145" s="11">
        <f>IF(AND(B1145="",C1145="",D1145=""),"",IF(NOT(ISNUMBER(B1145)),"Needs a date",IF(D1145="","Needs the job",IF(AND(C1145&lt;&gt;"",C1145&lt;&gt;"All beds",COUNTIF(Beds!$B$6:$B$35,C1145)=0),"Not on Beds",""))))</f>
        <v/>
      </c>
      <c r="G1145" s="1">
        <f>IF(ISNUMBER(B1145),INT(B1145),0)</f>
        <v/>
      </c>
      <c r="H1145">
        <f>IF(AND(G1145&gt;0,D1145="Water",OR(C1145="",C1145="All beds")),G1145,0)</f>
        <v/>
      </c>
    </row>
    <row r="1146">
      <c r="A1146" s="1" t="n"/>
      <c r="B1146" s="17" t="n"/>
      <c r="C1146" s="18" t="n"/>
      <c r="D1146" s="19" t="n"/>
      <c r="E1146" s="21" t="n"/>
      <c r="F1146" s="11">
        <f>IF(AND(B1146="",C1146="",D1146=""),"",IF(NOT(ISNUMBER(B1146)),"Needs a date",IF(D1146="","Needs the job",IF(AND(C1146&lt;&gt;"",C1146&lt;&gt;"All beds",COUNTIF(Beds!$B$6:$B$35,C1146)=0),"Not on Beds",""))))</f>
        <v/>
      </c>
      <c r="G1146" s="1">
        <f>IF(ISNUMBER(B1146),INT(B1146),0)</f>
        <v/>
      </c>
      <c r="H1146">
        <f>IF(AND(G1146&gt;0,D1146="Water",OR(C1146="",C1146="All beds")),G1146,0)</f>
        <v/>
      </c>
    </row>
    <row r="1147">
      <c r="A1147" s="1" t="n"/>
      <c r="B1147" s="17" t="n"/>
      <c r="C1147" s="18" t="n"/>
      <c r="D1147" s="19" t="n"/>
      <c r="E1147" s="21" t="n"/>
      <c r="F1147" s="11">
        <f>IF(AND(B1147="",C1147="",D1147=""),"",IF(NOT(ISNUMBER(B1147)),"Needs a date",IF(D1147="","Needs the job",IF(AND(C1147&lt;&gt;"",C1147&lt;&gt;"All beds",COUNTIF(Beds!$B$6:$B$35,C1147)=0),"Not on Beds",""))))</f>
        <v/>
      </c>
      <c r="G1147" s="1">
        <f>IF(ISNUMBER(B1147),INT(B1147),0)</f>
        <v/>
      </c>
      <c r="H1147">
        <f>IF(AND(G1147&gt;0,D1147="Water",OR(C1147="",C1147="All beds")),G1147,0)</f>
        <v/>
      </c>
    </row>
    <row r="1148">
      <c r="A1148" s="1" t="n"/>
      <c r="B1148" s="17" t="n"/>
      <c r="C1148" s="18" t="n"/>
      <c r="D1148" s="19" t="n"/>
      <c r="E1148" s="21" t="n"/>
      <c r="F1148" s="11">
        <f>IF(AND(B1148="",C1148="",D1148=""),"",IF(NOT(ISNUMBER(B1148)),"Needs a date",IF(D1148="","Needs the job",IF(AND(C1148&lt;&gt;"",C1148&lt;&gt;"All beds",COUNTIF(Beds!$B$6:$B$35,C1148)=0),"Not on Beds",""))))</f>
        <v/>
      </c>
      <c r="G1148" s="1">
        <f>IF(ISNUMBER(B1148),INT(B1148),0)</f>
        <v/>
      </c>
      <c r="H1148">
        <f>IF(AND(G1148&gt;0,D1148="Water",OR(C1148="",C1148="All beds")),G1148,0)</f>
        <v/>
      </c>
    </row>
    <row r="1149">
      <c r="A1149" s="1" t="n"/>
      <c r="B1149" s="17" t="n"/>
      <c r="C1149" s="18" t="n"/>
      <c r="D1149" s="19" t="n"/>
      <c r="E1149" s="21" t="n"/>
      <c r="F1149" s="11">
        <f>IF(AND(B1149="",C1149="",D1149=""),"",IF(NOT(ISNUMBER(B1149)),"Needs a date",IF(D1149="","Needs the job",IF(AND(C1149&lt;&gt;"",C1149&lt;&gt;"All beds",COUNTIF(Beds!$B$6:$B$35,C1149)=0),"Not on Beds",""))))</f>
        <v/>
      </c>
      <c r="G1149" s="1">
        <f>IF(ISNUMBER(B1149),INT(B1149),0)</f>
        <v/>
      </c>
      <c r="H1149">
        <f>IF(AND(G1149&gt;0,D1149="Water",OR(C1149="",C1149="All beds")),G1149,0)</f>
        <v/>
      </c>
    </row>
    <row r="1150">
      <c r="A1150" s="1" t="n"/>
      <c r="B1150" s="17" t="n"/>
      <c r="C1150" s="18" t="n"/>
      <c r="D1150" s="19" t="n"/>
      <c r="E1150" s="21" t="n"/>
      <c r="F1150" s="11">
        <f>IF(AND(B1150="",C1150="",D1150=""),"",IF(NOT(ISNUMBER(B1150)),"Needs a date",IF(D1150="","Needs the job",IF(AND(C1150&lt;&gt;"",C1150&lt;&gt;"All beds",COUNTIF(Beds!$B$6:$B$35,C1150)=0),"Not on Beds",""))))</f>
        <v/>
      </c>
      <c r="G1150" s="1">
        <f>IF(ISNUMBER(B1150),INT(B1150),0)</f>
        <v/>
      </c>
      <c r="H1150">
        <f>IF(AND(G1150&gt;0,D1150="Water",OR(C1150="",C1150="All beds")),G1150,0)</f>
        <v/>
      </c>
    </row>
    <row r="1151">
      <c r="A1151" s="1" t="n"/>
      <c r="B1151" s="17" t="n"/>
      <c r="C1151" s="18" t="n"/>
      <c r="D1151" s="19" t="n"/>
      <c r="E1151" s="21" t="n"/>
      <c r="F1151" s="11">
        <f>IF(AND(B1151="",C1151="",D1151=""),"",IF(NOT(ISNUMBER(B1151)),"Needs a date",IF(D1151="","Needs the job",IF(AND(C1151&lt;&gt;"",C1151&lt;&gt;"All beds",COUNTIF(Beds!$B$6:$B$35,C1151)=0),"Not on Beds",""))))</f>
        <v/>
      </c>
      <c r="G1151" s="1">
        <f>IF(ISNUMBER(B1151),INT(B1151),0)</f>
        <v/>
      </c>
      <c r="H1151">
        <f>IF(AND(G1151&gt;0,D1151="Water",OR(C1151="",C1151="All beds")),G1151,0)</f>
        <v/>
      </c>
    </row>
    <row r="1152">
      <c r="A1152" s="1" t="n"/>
      <c r="B1152" s="17" t="n"/>
      <c r="C1152" s="18" t="n"/>
      <c r="D1152" s="19" t="n"/>
      <c r="E1152" s="21" t="n"/>
      <c r="F1152" s="11">
        <f>IF(AND(B1152="",C1152="",D1152=""),"",IF(NOT(ISNUMBER(B1152)),"Needs a date",IF(D1152="","Needs the job",IF(AND(C1152&lt;&gt;"",C1152&lt;&gt;"All beds",COUNTIF(Beds!$B$6:$B$35,C1152)=0),"Not on Beds",""))))</f>
        <v/>
      </c>
      <c r="G1152" s="1">
        <f>IF(ISNUMBER(B1152),INT(B1152),0)</f>
        <v/>
      </c>
      <c r="H1152">
        <f>IF(AND(G1152&gt;0,D1152="Water",OR(C1152="",C1152="All beds")),G1152,0)</f>
        <v/>
      </c>
    </row>
    <row r="1153">
      <c r="A1153" s="1" t="n"/>
      <c r="B1153" s="17" t="n"/>
      <c r="C1153" s="18" t="n"/>
      <c r="D1153" s="19" t="n"/>
      <c r="E1153" s="21" t="n"/>
      <c r="F1153" s="11">
        <f>IF(AND(B1153="",C1153="",D1153=""),"",IF(NOT(ISNUMBER(B1153)),"Needs a date",IF(D1153="","Needs the job",IF(AND(C1153&lt;&gt;"",C1153&lt;&gt;"All beds",COUNTIF(Beds!$B$6:$B$35,C1153)=0),"Not on Beds",""))))</f>
        <v/>
      </c>
      <c r="G1153" s="1">
        <f>IF(ISNUMBER(B1153),INT(B1153),0)</f>
        <v/>
      </c>
      <c r="H1153">
        <f>IF(AND(G1153&gt;0,D1153="Water",OR(C1153="",C1153="All beds")),G1153,0)</f>
        <v/>
      </c>
    </row>
    <row r="1154">
      <c r="A1154" s="1" t="n"/>
      <c r="B1154" s="17" t="n"/>
      <c r="C1154" s="18" t="n"/>
      <c r="D1154" s="19" t="n"/>
      <c r="E1154" s="21" t="n"/>
      <c r="F1154" s="11">
        <f>IF(AND(B1154="",C1154="",D1154=""),"",IF(NOT(ISNUMBER(B1154)),"Needs a date",IF(D1154="","Needs the job",IF(AND(C1154&lt;&gt;"",C1154&lt;&gt;"All beds",COUNTIF(Beds!$B$6:$B$35,C1154)=0),"Not on Beds",""))))</f>
        <v/>
      </c>
      <c r="G1154" s="1">
        <f>IF(ISNUMBER(B1154),INT(B1154),0)</f>
        <v/>
      </c>
      <c r="H1154">
        <f>IF(AND(G1154&gt;0,D1154="Water",OR(C1154="",C1154="All beds")),G1154,0)</f>
        <v/>
      </c>
    </row>
    <row r="1155">
      <c r="A1155" s="1" t="n"/>
      <c r="B1155" s="17" t="n"/>
      <c r="C1155" s="18" t="n"/>
      <c r="D1155" s="19" t="n"/>
      <c r="E1155" s="21" t="n"/>
      <c r="F1155" s="11">
        <f>IF(AND(B1155="",C1155="",D1155=""),"",IF(NOT(ISNUMBER(B1155)),"Needs a date",IF(D1155="","Needs the job",IF(AND(C1155&lt;&gt;"",C1155&lt;&gt;"All beds",COUNTIF(Beds!$B$6:$B$35,C1155)=0),"Not on Beds",""))))</f>
        <v/>
      </c>
      <c r="G1155" s="1">
        <f>IF(ISNUMBER(B1155),INT(B1155),0)</f>
        <v/>
      </c>
      <c r="H1155">
        <f>IF(AND(G1155&gt;0,D1155="Water",OR(C1155="",C1155="All beds")),G1155,0)</f>
        <v/>
      </c>
    </row>
    <row r="1156">
      <c r="A1156" s="1" t="n"/>
      <c r="B1156" s="17" t="n"/>
      <c r="C1156" s="18" t="n"/>
      <c r="D1156" s="19" t="n"/>
      <c r="E1156" s="21" t="n"/>
      <c r="F1156" s="11">
        <f>IF(AND(B1156="",C1156="",D1156=""),"",IF(NOT(ISNUMBER(B1156)),"Needs a date",IF(D1156="","Needs the job",IF(AND(C1156&lt;&gt;"",C1156&lt;&gt;"All beds",COUNTIF(Beds!$B$6:$B$35,C1156)=0),"Not on Beds",""))))</f>
        <v/>
      </c>
      <c r="G1156" s="1">
        <f>IF(ISNUMBER(B1156),INT(B1156),0)</f>
        <v/>
      </c>
      <c r="H1156">
        <f>IF(AND(G1156&gt;0,D1156="Water",OR(C1156="",C1156="All beds")),G1156,0)</f>
        <v/>
      </c>
    </row>
    <row r="1157">
      <c r="A1157" s="1" t="n"/>
      <c r="B1157" s="17" t="n"/>
      <c r="C1157" s="18" t="n"/>
      <c r="D1157" s="19" t="n"/>
      <c r="E1157" s="21" t="n"/>
      <c r="F1157" s="11">
        <f>IF(AND(B1157="",C1157="",D1157=""),"",IF(NOT(ISNUMBER(B1157)),"Needs a date",IF(D1157="","Needs the job",IF(AND(C1157&lt;&gt;"",C1157&lt;&gt;"All beds",COUNTIF(Beds!$B$6:$B$35,C1157)=0),"Not on Beds",""))))</f>
        <v/>
      </c>
      <c r="G1157" s="1">
        <f>IF(ISNUMBER(B1157),INT(B1157),0)</f>
        <v/>
      </c>
      <c r="H1157">
        <f>IF(AND(G1157&gt;0,D1157="Water",OR(C1157="",C1157="All beds")),G1157,0)</f>
        <v/>
      </c>
    </row>
    <row r="1158">
      <c r="A1158" s="1" t="n"/>
      <c r="B1158" s="17" t="n"/>
      <c r="C1158" s="18" t="n"/>
      <c r="D1158" s="19" t="n"/>
      <c r="E1158" s="21" t="n"/>
      <c r="F1158" s="11">
        <f>IF(AND(B1158="",C1158="",D1158=""),"",IF(NOT(ISNUMBER(B1158)),"Needs a date",IF(D1158="","Needs the job",IF(AND(C1158&lt;&gt;"",C1158&lt;&gt;"All beds",COUNTIF(Beds!$B$6:$B$35,C1158)=0),"Not on Beds",""))))</f>
        <v/>
      </c>
      <c r="G1158" s="1">
        <f>IF(ISNUMBER(B1158),INT(B1158),0)</f>
        <v/>
      </c>
      <c r="H1158">
        <f>IF(AND(G1158&gt;0,D1158="Water",OR(C1158="",C1158="All beds")),G1158,0)</f>
        <v/>
      </c>
    </row>
    <row r="1159">
      <c r="A1159" s="1" t="n"/>
      <c r="B1159" s="17" t="n"/>
      <c r="C1159" s="18" t="n"/>
      <c r="D1159" s="19" t="n"/>
      <c r="E1159" s="21" t="n"/>
      <c r="F1159" s="11">
        <f>IF(AND(B1159="",C1159="",D1159=""),"",IF(NOT(ISNUMBER(B1159)),"Needs a date",IF(D1159="","Needs the job",IF(AND(C1159&lt;&gt;"",C1159&lt;&gt;"All beds",COUNTIF(Beds!$B$6:$B$35,C1159)=0),"Not on Beds",""))))</f>
        <v/>
      </c>
      <c r="G1159" s="1">
        <f>IF(ISNUMBER(B1159),INT(B1159),0)</f>
        <v/>
      </c>
      <c r="H1159">
        <f>IF(AND(G1159&gt;0,D1159="Water",OR(C1159="",C1159="All beds")),G1159,0)</f>
        <v/>
      </c>
    </row>
    <row r="1160">
      <c r="A1160" s="1" t="n"/>
      <c r="B1160" s="17" t="n"/>
      <c r="C1160" s="18" t="n"/>
      <c r="D1160" s="19" t="n"/>
      <c r="E1160" s="21" t="n"/>
      <c r="F1160" s="11">
        <f>IF(AND(B1160="",C1160="",D1160=""),"",IF(NOT(ISNUMBER(B1160)),"Needs a date",IF(D1160="","Needs the job",IF(AND(C1160&lt;&gt;"",C1160&lt;&gt;"All beds",COUNTIF(Beds!$B$6:$B$35,C1160)=0),"Not on Beds",""))))</f>
        <v/>
      </c>
      <c r="G1160" s="1">
        <f>IF(ISNUMBER(B1160),INT(B1160),0)</f>
        <v/>
      </c>
      <c r="H1160">
        <f>IF(AND(G1160&gt;0,D1160="Water",OR(C1160="",C1160="All beds")),G1160,0)</f>
        <v/>
      </c>
    </row>
    <row r="1161">
      <c r="A1161" s="1" t="n"/>
      <c r="B1161" s="17" t="n"/>
      <c r="C1161" s="18" t="n"/>
      <c r="D1161" s="19" t="n"/>
      <c r="E1161" s="21" t="n"/>
      <c r="F1161" s="11">
        <f>IF(AND(B1161="",C1161="",D1161=""),"",IF(NOT(ISNUMBER(B1161)),"Needs a date",IF(D1161="","Needs the job",IF(AND(C1161&lt;&gt;"",C1161&lt;&gt;"All beds",COUNTIF(Beds!$B$6:$B$35,C1161)=0),"Not on Beds",""))))</f>
        <v/>
      </c>
      <c r="G1161" s="1">
        <f>IF(ISNUMBER(B1161),INT(B1161),0)</f>
        <v/>
      </c>
      <c r="H1161">
        <f>IF(AND(G1161&gt;0,D1161="Water",OR(C1161="",C1161="All beds")),G1161,0)</f>
        <v/>
      </c>
    </row>
    <row r="1162">
      <c r="A1162" s="1" t="n"/>
      <c r="B1162" s="17" t="n"/>
      <c r="C1162" s="18" t="n"/>
      <c r="D1162" s="19" t="n"/>
      <c r="E1162" s="21" t="n"/>
      <c r="F1162" s="11">
        <f>IF(AND(B1162="",C1162="",D1162=""),"",IF(NOT(ISNUMBER(B1162)),"Needs a date",IF(D1162="","Needs the job",IF(AND(C1162&lt;&gt;"",C1162&lt;&gt;"All beds",COUNTIF(Beds!$B$6:$B$35,C1162)=0),"Not on Beds",""))))</f>
        <v/>
      </c>
      <c r="G1162" s="1">
        <f>IF(ISNUMBER(B1162),INT(B1162),0)</f>
        <v/>
      </c>
      <c r="H1162">
        <f>IF(AND(G1162&gt;0,D1162="Water",OR(C1162="",C1162="All beds")),G1162,0)</f>
        <v/>
      </c>
    </row>
    <row r="1163">
      <c r="A1163" s="1" t="n"/>
      <c r="B1163" s="17" t="n"/>
      <c r="C1163" s="18" t="n"/>
      <c r="D1163" s="19" t="n"/>
      <c r="E1163" s="21" t="n"/>
      <c r="F1163" s="11">
        <f>IF(AND(B1163="",C1163="",D1163=""),"",IF(NOT(ISNUMBER(B1163)),"Needs a date",IF(D1163="","Needs the job",IF(AND(C1163&lt;&gt;"",C1163&lt;&gt;"All beds",COUNTIF(Beds!$B$6:$B$35,C1163)=0),"Not on Beds",""))))</f>
        <v/>
      </c>
      <c r="G1163" s="1">
        <f>IF(ISNUMBER(B1163),INT(B1163),0)</f>
        <v/>
      </c>
      <c r="H1163">
        <f>IF(AND(G1163&gt;0,D1163="Water",OR(C1163="",C1163="All beds")),G1163,0)</f>
        <v/>
      </c>
    </row>
    <row r="1164">
      <c r="A1164" s="1" t="n"/>
      <c r="B1164" s="17" t="n"/>
      <c r="C1164" s="18" t="n"/>
      <c r="D1164" s="19" t="n"/>
      <c r="E1164" s="21" t="n"/>
      <c r="F1164" s="11">
        <f>IF(AND(B1164="",C1164="",D1164=""),"",IF(NOT(ISNUMBER(B1164)),"Needs a date",IF(D1164="","Needs the job",IF(AND(C1164&lt;&gt;"",C1164&lt;&gt;"All beds",COUNTIF(Beds!$B$6:$B$35,C1164)=0),"Not on Beds",""))))</f>
        <v/>
      </c>
      <c r="G1164" s="1">
        <f>IF(ISNUMBER(B1164),INT(B1164),0)</f>
        <v/>
      </c>
      <c r="H1164">
        <f>IF(AND(G1164&gt;0,D1164="Water",OR(C1164="",C1164="All beds")),G1164,0)</f>
        <v/>
      </c>
    </row>
    <row r="1165">
      <c r="A1165" s="1" t="n"/>
      <c r="B1165" s="17" t="n"/>
      <c r="C1165" s="18" t="n"/>
      <c r="D1165" s="19" t="n"/>
      <c r="E1165" s="21" t="n"/>
      <c r="F1165" s="11">
        <f>IF(AND(B1165="",C1165="",D1165=""),"",IF(NOT(ISNUMBER(B1165)),"Needs a date",IF(D1165="","Needs the job",IF(AND(C1165&lt;&gt;"",C1165&lt;&gt;"All beds",COUNTIF(Beds!$B$6:$B$35,C1165)=0),"Not on Beds",""))))</f>
        <v/>
      </c>
      <c r="G1165" s="1">
        <f>IF(ISNUMBER(B1165),INT(B1165),0)</f>
        <v/>
      </c>
      <c r="H1165">
        <f>IF(AND(G1165&gt;0,D1165="Water",OR(C1165="",C1165="All beds")),G1165,0)</f>
        <v/>
      </c>
    </row>
    <row r="1166">
      <c r="A1166" s="1" t="n"/>
      <c r="B1166" s="17" t="n"/>
      <c r="C1166" s="18" t="n"/>
      <c r="D1166" s="19" t="n"/>
      <c r="E1166" s="21" t="n"/>
      <c r="F1166" s="11">
        <f>IF(AND(B1166="",C1166="",D1166=""),"",IF(NOT(ISNUMBER(B1166)),"Needs a date",IF(D1166="","Needs the job",IF(AND(C1166&lt;&gt;"",C1166&lt;&gt;"All beds",COUNTIF(Beds!$B$6:$B$35,C1166)=0),"Not on Beds",""))))</f>
        <v/>
      </c>
      <c r="G1166" s="1">
        <f>IF(ISNUMBER(B1166),INT(B1166),0)</f>
        <v/>
      </c>
      <c r="H1166">
        <f>IF(AND(G1166&gt;0,D1166="Water",OR(C1166="",C1166="All beds")),G1166,0)</f>
        <v/>
      </c>
    </row>
    <row r="1167">
      <c r="A1167" s="1" t="n"/>
      <c r="B1167" s="17" t="n"/>
      <c r="C1167" s="18" t="n"/>
      <c r="D1167" s="19" t="n"/>
      <c r="E1167" s="21" t="n"/>
      <c r="F1167" s="11">
        <f>IF(AND(B1167="",C1167="",D1167=""),"",IF(NOT(ISNUMBER(B1167)),"Needs a date",IF(D1167="","Needs the job",IF(AND(C1167&lt;&gt;"",C1167&lt;&gt;"All beds",COUNTIF(Beds!$B$6:$B$35,C1167)=0),"Not on Beds",""))))</f>
        <v/>
      </c>
      <c r="G1167" s="1">
        <f>IF(ISNUMBER(B1167),INT(B1167),0)</f>
        <v/>
      </c>
      <c r="H1167">
        <f>IF(AND(G1167&gt;0,D1167="Water",OR(C1167="",C1167="All beds")),G1167,0)</f>
        <v/>
      </c>
    </row>
    <row r="1168">
      <c r="A1168" s="1" t="n"/>
      <c r="B1168" s="17" t="n"/>
      <c r="C1168" s="18" t="n"/>
      <c r="D1168" s="19" t="n"/>
      <c r="E1168" s="21" t="n"/>
      <c r="F1168" s="11">
        <f>IF(AND(B1168="",C1168="",D1168=""),"",IF(NOT(ISNUMBER(B1168)),"Needs a date",IF(D1168="","Needs the job",IF(AND(C1168&lt;&gt;"",C1168&lt;&gt;"All beds",COUNTIF(Beds!$B$6:$B$35,C1168)=0),"Not on Beds",""))))</f>
        <v/>
      </c>
      <c r="G1168" s="1">
        <f>IF(ISNUMBER(B1168),INT(B1168),0)</f>
        <v/>
      </c>
      <c r="H1168">
        <f>IF(AND(G1168&gt;0,D1168="Water",OR(C1168="",C1168="All beds")),G1168,0)</f>
        <v/>
      </c>
    </row>
    <row r="1169">
      <c r="A1169" s="1" t="n"/>
      <c r="B1169" s="17" t="n"/>
      <c r="C1169" s="18" t="n"/>
      <c r="D1169" s="19" t="n"/>
      <c r="E1169" s="21" t="n"/>
      <c r="F1169" s="11">
        <f>IF(AND(B1169="",C1169="",D1169=""),"",IF(NOT(ISNUMBER(B1169)),"Needs a date",IF(D1169="","Needs the job",IF(AND(C1169&lt;&gt;"",C1169&lt;&gt;"All beds",COUNTIF(Beds!$B$6:$B$35,C1169)=0),"Not on Beds",""))))</f>
        <v/>
      </c>
      <c r="G1169" s="1">
        <f>IF(ISNUMBER(B1169),INT(B1169),0)</f>
        <v/>
      </c>
      <c r="H1169">
        <f>IF(AND(G1169&gt;0,D1169="Water",OR(C1169="",C1169="All beds")),G1169,0)</f>
        <v/>
      </c>
    </row>
    <row r="1170">
      <c r="A1170" s="1" t="n"/>
      <c r="B1170" s="17" t="n"/>
      <c r="C1170" s="18" t="n"/>
      <c r="D1170" s="19" t="n"/>
      <c r="E1170" s="21" t="n"/>
      <c r="F1170" s="11">
        <f>IF(AND(B1170="",C1170="",D1170=""),"",IF(NOT(ISNUMBER(B1170)),"Needs a date",IF(D1170="","Needs the job",IF(AND(C1170&lt;&gt;"",C1170&lt;&gt;"All beds",COUNTIF(Beds!$B$6:$B$35,C1170)=0),"Not on Beds",""))))</f>
        <v/>
      </c>
      <c r="G1170" s="1">
        <f>IF(ISNUMBER(B1170),INT(B1170),0)</f>
        <v/>
      </c>
      <c r="H1170">
        <f>IF(AND(G1170&gt;0,D1170="Water",OR(C1170="",C1170="All beds")),G1170,0)</f>
        <v/>
      </c>
    </row>
    <row r="1171">
      <c r="A1171" s="1" t="n"/>
      <c r="B1171" s="17" t="n"/>
      <c r="C1171" s="18" t="n"/>
      <c r="D1171" s="19" t="n"/>
      <c r="E1171" s="21" t="n"/>
      <c r="F1171" s="11">
        <f>IF(AND(B1171="",C1171="",D1171=""),"",IF(NOT(ISNUMBER(B1171)),"Needs a date",IF(D1171="","Needs the job",IF(AND(C1171&lt;&gt;"",C1171&lt;&gt;"All beds",COUNTIF(Beds!$B$6:$B$35,C1171)=0),"Not on Beds",""))))</f>
        <v/>
      </c>
      <c r="G1171" s="1">
        <f>IF(ISNUMBER(B1171),INT(B1171),0)</f>
        <v/>
      </c>
      <c r="H1171">
        <f>IF(AND(G1171&gt;0,D1171="Water",OR(C1171="",C1171="All beds")),G1171,0)</f>
        <v/>
      </c>
    </row>
    <row r="1172">
      <c r="A1172" s="1" t="n"/>
      <c r="B1172" s="17" t="n"/>
      <c r="C1172" s="18" t="n"/>
      <c r="D1172" s="19" t="n"/>
      <c r="E1172" s="21" t="n"/>
      <c r="F1172" s="11">
        <f>IF(AND(B1172="",C1172="",D1172=""),"",IF(NOT(ISNUMBER(B1172)),"Needs a date",IF(D1172="","Needs the job",IF(AND(C1172&lt;&gt;"",C1172&lt;&gt;"All beds",COUNTIF(Beds!$B$6:$B$35,C1172)=0),"Not on Beds",""))))</f>
        <v/>
      </c>
      <c r="G1172" s="1">
        <f>IF(ISNUMBER(B1172),INT(B1172),0)</f>
        <v/>
      </c>
      <c r="H1172">
        <f>IF(AND(G1172&gt;0,D1172="Water",OR(C1172="",C1172="All beds")),G1172,0)</f>
        <v/>
      </c>
    </row>
    <row r="1173">
      <c r="A1173" s="1" t="n"/>
      <c r="B1173" s="17" t="n"/>
      <c r="C1173" s="18" t="n"/>
      <c r="D1173" s="19" t="n"/>
      <c r="E1173" s="21" t="n"/>
      <c r="F1173" s="11">
        <f>IF(AND(B1173="",C1173="",D1173=""),"",IF(NOT(ISNUMBER(B1173)),"Needs a date",IF(D1173="","Needs the job",IF(AND(C1173&lt;&gt;"",C1173&lt;&gt;"All beds",COUNTIF(Beds!$B$6:$B$35,C1173)=0),"Not on Beds",""))))</f>
        <v/>
      </c>
      <c r="G1173" s="1">
        <f>IF(ISNUMBER(B1173),INT(B1173),0)</f>
        <v/>
      </c>
      <c r="H1173">
        <f>IF(AND(G1173&gt;0,D1173="Water",OR(C1173="",C1173="All beds")),G1173,0)</f>
        <v/>
      </c>
    </row>
    <row r="1174">
      <c r="A1174" s="1" t="n"/>
      <c r="B1174" s="17" t="n"/>
      <c r="C1174" s="18" t="n"/>
      <c r="D1174" s="19" t="n"/>
      <c r="E1174" s="21" t="n"/>
      <c r="F1174" s="11">
        <f>IF(AND(B1174="",C1174="",D1174=""),"",IF(NOT(ISNUMBER(B1174)),"Needs a date",IF(D1174="","Needs the job",IF(AND(C1174&lt;&gt;"",C1174&lt;&gt;"All beds",COUNTIF(Beds!$B$6:$B$35,C1174)=0),"Not on Beds",""))))</f>
        <v/>
      </c>
      <c r="G1174" s="1">
        <f>IF(ISNUMBER(B1174),INT(B1174),0)</f>
        <v/>
      </c>
      <c r="H1174">
        <f>IF(AND(G1174&gt;0,D1174="Water",OR(C1174="",C1174="All beds")),G1174,0)</f>
        <v/>
      </c>
    </row>
    <row r="1175">
      <c r="A1175" s="1" t="n"/>
      <c r="B1175" s="17" t="n"/>
      <c r="C1175" s="18" t="n"/>
      <c r="D1175" s="19" t="n"/>
      <c r="E1175" s="21" t="n"/>
      <c r="F1175" s="11">
        <f>IF(AND(B1175="",C1175="",D1175=""),"",IF(NOT(ISNUMBER(B1175)),"Needs a date",IF(D1175="","Needs the job",IF(AND(C1175&lt;&gt;"",C1175&lt;&gt;"All beds",COUNTIF(Beds!$B$6:$B$35,C1175)=0),"Not on Beds",""))))</f>
        <v/>
      </c>
      <c r="G1175" s="1">
        <f>IF(ISNUMBER(B1175),INT(B1175),0)</f>
        <v/>
      </c>
      <c r="H1175">
        <f>IF(AND(G1175&gt;0,D1175="Water",OR(C1175="",C1175="All beds")),G1175,0)</f>
        <v/>
      </c>
    </row>
    <row r="1176">
      <c r="A1176" s="1" t="n"/>
      <c r="B1176" s="17" t="n"/>
      <c r="C1176" s="18" t="n"/>
      <c r="D1176" s="19" t="n"/>
      <c r="E1176" s="21" t="n"/>
      <c r="F1176" s="11">
        <f>IF(AND(B1176="",C1176="",D1176=""),"",IF(NOT(ISNUMBER(B1176)),"Needs a date",IF(D1176="","Needs the job",IF(AND(C1176&lt;&gt;"",C1176&lt;&gt;"All beds",COUNTIF(Beds!$B$6:$B$35,C1176)=0),"Not on Beds",""))))</f>
        <v/>
      </c>
      <c r="G1176" s="1">
        <f>IF(ISNUMBER(B1176),INT(B1176),0)</f>
        <v/>
      </c>
      <c r="H1176">
        <f>IF(AND(G1176&gt;0,D1176="Water",OR(C1176="",C1176="All beds")),G1176,0)</f>
        <v/>
      </c>
    </row>
    <row r="1177">
      <c r="A1177" s="1" t="n"/>
      <c r="B1177" s="17" t="n"/>
      <c r="C1177" s="18" t="n"/>
      <c r="D1177" s="19" t="n"/>
      <c r="E1177" s="21" t="n"/>
      <c r="F1177" s="11">
        <f>IF(AND(B1177="",C1177="",D1177=""),"",IF(NOT(ISNUMBER(B1177)),"Needs a date",IF(D1177="","Needs the job",IF(AND(C1177&lt;&gt;"",C1177&lt;&gt;"All beds",COUNTIF(Beds!$B$6:$B$35,C1177)=0),"Not on Beds",""))))</f>
        <v/>
      </c>
      <c r="G1177" s="1">
        <f>IF(ISNUMBER(B1177),INT(B1177),0)</f>
        <v/>
      </c>
      <c r="H1177">
        <f>IF(AND(G1177&gt;0,D1177="Water",OR(C1177="",C1177="All beds")),G1177,0)</f>
        <v/>
      </c>
    </row>
    <row r="1178">
      <c r="A1178" s="1" t="n"/>
      <c r="B1178" s="17" t="n"/>
      <c r="C1178" s="18" t="n"/>
      <c r="D1178" s="19" t="n"/>
      <c r="E1178" s="21" t="n"/>
      <c r="F1178" s="11">
        <f>IF(AND(B1178="",C1178="",D1178=""),"",IF(NOT(ISNUMBER(B1178)),"Needs a date",IF(D1178="","Needs the job",IF(AND(C1178&lt;&gt;"",C1178&lt;&gt;"All beds",COUNTIF(Beds!$B$6:$B$35,C1178)=0),"Not on Beds",""))))</f>
        <v/>
      </c>
      <c r="G1178" s="1">
        <f>IF(ISNUMBER(B1178),INT(B1178),0)</f>
        <v/>
      </c>
      <c r="H1178">
        <f>IF(AND(G1178&gt;0,D1178="Water",OR(C1178="",C1178="All beds")),G1178,0)</f>
        <v/>
      </c>
    </row>
    <row r="1179">
      <c r="A1179" s="1" t="n"/>
      <c r="B1179" s="17" t="n"/>
      <c r="C1179" s="18" t="n"/>
      <c r="D1179" s="19" t="n"/>
      <c r="E1179" s="21" t="n"/>
      <c r="F1179" s="11">
        <f>IF(AND(B1179="",C1179="",D1179=""),"",IF(NOT(ISNUMBER(B1179)),"Needs a date",IF(D1179="","Needs the job",IF(AND(C1179&lt;&gt;"",C1179&lt;&gt;"All beds",COUNTIF(Beds!$B$6:$B$35,C1179)=0),"Not on Beds",""))))</f>
        <v/>
      </c>
      <c r="G1179" s="1">
        <f>IF(ISNUMBER(B1179),INT(B1179),0)</f>
        <v/>
      </c>
      <c r="H1179">
        <f>IF(AND(G1179&gt;0,D1179="Water",OR(C1179="",C1179="All beds")),G1179,0)</f>
        <v/>
      </c>
    </row>
    <row r="1180">
      <c r="A1180" s="1" t="n"/>
      <c r="B1180" s="17" t="n"/>
      <c r="C1180" s="18" t="n"/>
      <c r="D1180" s="19" t="n"/>
      <c r="E1180" s="21" t="n"/>
      <c r="F1180" s="11">
        <f>IF(AND(B1180="",C1180="",D1180=""),"",IF(NOT(ISNUMBER(B1180)),"Needs a date",IF(D1180="","Needs the job",IF(AND(C1180&lt;&gt;"",C1180&lt;&gt;"All beds",COUNTIF(Beds!$B$6:$B$35,C1180)=0),"Not on Beds",""))))</f>
        <v/>
      </c>
      <c r="G1180" s="1">
        <f>IF(ISNUMBER(B1180),INT(B1180),0)</f>
        <v/>
      </c>
      <c r="H1180">
        <f>IF(AND(G1180&gt;0,D1180="Water",OR(C1180="",C1180="All beds")),G1180,0)</f>
        <v/>
      </c>
    </row>
    <row r="1181">
      <c r="A1181" s="1" t="n"/>
      <c r="B1181" s="17" t="n"/>
      <c r="C1181" s="18" t="n"/>
      <c r="D1181" s="19" t="n"/>
      <c r="E1181" s="21" t="n"/>
      <c r="F1181" s="11">
        <f>IF(AND(B1181="",C1181="",D1181=""),"",IF(NOT(ISNUMBER(B1181)),"Needs a date",IF(D1181="","Needs the job",IF(AND(C1181&lt;&gt;"",C1181&lt;&gt;"All beds",COUNTIF(Beds!$B$6:$B$35,C1181)=0),"Not on Beds",""))))</f>
        <v/>
      </c>
      <c r="G1181" s="1">
        <f>IF(ISNUMBER(B1181),INT(B1181),0)</f>
        <v/>
      </c>
      <c r="H1181">
        <f>IF(AND(G1181&gt;0,D1181="Water",OR(C1181="",C1181="All beds")),G1181,0)</f>
        <v/>
      </c>
    </row>
    <row r="1182">
      <c r="A1182" s="1" t="n"/>
      <c r="B1182" s="17" t="n"/>
      <c r="C1182" s="18" t="n"/>
      <c r="D1182" s="19" t="n"/>
      <c r="E1182" s="21" t="n"/>
      <c r="F1182" s="11">
        <f>IF(AND(B1182="",C1182="",D1182=""),"",IF(NOT(ISNUMBER(B1182)),"Needs a date",IF(D1182="","Needs the job",IF(AND(C1182&lt;&gt;"",C1182&lt;&gt;"All beds",COUNTIF(Beds!$B$6:$B$35,C1182)=0),"Not on Beds",""))))</f>
        <v/>
      </c>
      <c r="G1182" s="1">
        <f>IF(ISNUMBER(B1182),INT(B1182),0)</f>
        <v/>
      </c>
      <c r="H1182">
        <f>IF(AND(G1182&gt;0,D1182="Water",OR(C1182="",C1182="All beds")),G1182,0)</f>
        <v/>
      </c>
    </row>
    <row r="1183">
      <c r="A1183" s="1" t="n"/>
      <c r="B1183" s="17" t="n"/>
      <c r="C1183" s="18" t="n"/>
      <c r="D1183" s="19" t="n"/>
      <c r="E1183" s="21" t="n"/>
      <c r="F1183" s="11">
        <f>IF(AND(B1183="",C1183="",D1183=""),"",IF(NOT(ISNUMBER(B1183)),"Needs a date",IF(D1183="","Needs the job",IF(AND(C1183&lt;&gt;"",C1183&lt;&gt;"All beds",COUNTIF(Beds!$B$6:$B$35,C1183)=0),"Not on Beds",""))))</f>
        <v/>
      </c>
      <c r="G1183" s="1">
        <f>IF(ISNUMBER(B1183),INT(B1183),0)</f>
        <v/>
      </c>
      <c r="H1183">
        <f>IF(AND(G1183&gt;0,D1183="Water",OR(C1183="",C1183="All beds")),G1183,0)</f>
        <v/>
      </c>
    </row>
    <row r="1184">
      <c r="A1184" s="1" t="n"/>
      <c r="B1184" s="17" t="n"/>
      <c r="C1184" s="18" t="n"/>
      <c r="D1184" s="19" t="n"/>
      <c r="E1184" s="21" t="n"/>
      <c r="F1184" s="11">
        <f>IF(AND(B1184="",C1184="",D1184=""),"",IF(NOT(ISNUMBER(B1184)),"Needs a date",IF(D1184="","Needs the job",IF(AND(C1184&lt;&gt;"",C1184&lt;&gt;"All beds",COUNTIF(Beds!$B$6:$B$35,C1184)=0),"Not on Beds",""))))</f>
        <v/>
      </c>
      <c r="G1184" s="1">
        <f>IF(ISNUMBER(B1184),INT(B1184),0)</f>
        <v/>
      </c>
      <c r="H1184">
        <f>IF(AND(G1184&gt;0,D1184="Water",OR(C1184="",C1184="All beds")),G1184,0)</f>
        <v/>
      </c>
    </row>
    <row r="1185">
      <c r="A1185" s="1" t="n"/>
      <c r="B1185" s="17" t="n"/>
      <c r="C1185" s="18" t="n"/>
      <c r="D1185" s="19" t="n"/>
      <c r="E1185" s="21" t="n"/>
      <c r="F1185" s="11">
        <f>IF(AND(B1185="",C1185="",D1185=""),"",IF(NOT(ISNUMBER(B1185)),"Needs a date",IF(D1185="","Needs the job",IF(AND(C1185&lt;&gt;"",C1185&lt;&gt;"All beds",COUNTIF(Beds!$B$6:$B$35,C1185)=0),"Not on Beds",""))))</f>
        <v/>
      </c>
      <c r="G1185" s="1">
        <f>IF(ISNUMBER(B1185),INT(B1185),0)</f>
        <v/>
      </c>
      <c r="H1185">
        <f>IF(AND(G1185&gt;0,D1185="Water",OR(C1185="",C1185="All beds")),G1185,0)</f>
        <v/>
      </c>
    </row>
    <row r="1186">
      <c r="A1186" s="1" t="n"/>
      <c r="B1186" s="17" t="n"/>
      <c r="C1186" s="18" t="n"/>
      <c r="D1186" s="19" t="n"/>
      <c r="E1186" s="21" t="n"/>
      <c r="F1186" s="11">
        <f>IF(AND(B1186="",C1186="",D1186=""),"",IF(NOT(ISNUMBER(B1186)),"Needs a date",IF(D1186="","Needs the job",IF(AND(C1186&lt;&gt;"",C1186&lt;&gt;"All beds",COUNTIF(Beds!$B$6:$B$35,C1186)=0),"Not on Beds",""))))</f>
        <v/>
      </c>
      <c r="G1186" s="1">
        <f>IF(ISNUMBER(B1186),INT(B1186),0)</f>
        <v/>
      </c>
      <c r="H1186">
        <f>IF(AND(G1186&gt;0,D1186="Water",OR(C1186="",C1186="All beds")),G1186,0)</f>
        <v/>
      </c>
    </row>
    <row r="1187">
      <c r="A1187" s="1" t="n"/>
      <c r="B1187" s="17" t="n"/>
      <c r="C1187" s="18" t="n"/>
      <c r="D1187" s="19" t="n"/>
      <c r="E1187" s="21" t="n"/>
      <c r="F1187" s="11">
        <f>IF(AND(B1187="",C1187="",D1187=""),"",IF(NOT(ISNUMBER(B1187)),"Needs a date",IF(D1187="","Needs the job",IF(AND(C1187&lt;&gt;"",C1187&lt;&gt;"All beds",COUNTIF(Beds!$B$6:$B$35,C1187)=0),"Not on Beds",""))))</f>
        <v/>
      </c>
      <c r="G1187" s="1">
        <f>IF(ISNUMBER(B1187),INT(B1187),0)</f>
        <v/>
      </c>
      <c r="H1187">
        <f>IF(AND(G1187&gt;0,D1187="Water",OR(C1187="",C1187="All beds")),G1187,0)</f>
        <v/>
      </c>
    </row>
    <row r="1188">
      <c r="A1188" s="1" t="n"/>
      <c r="B1188" s="17" t="n"/>
      <c r="C1188" s="18" t="n"/>
      <c r="D1188" s="19" t="n"/>
      <c r="E1188" s="21" t="n"/>
      <c r="F1188" s="11">
        <f>IF(AND(B1188="",C1188="",D1188=""),"",IF(NOT(ISNUMBER(B1188)),"Needs a date",IF(D1188="","Needs the job",IF(AND(C1188&lt;&gt;"",C1188&lt;&gt;"All beds",COUNTIF(Beds!$B$6:$B$35,C1188)=0),"Not on Beds",""))))</f>
        <v/>
      </c>
      <c r="G1188" s="1">
        <f>IF(ISNUMBER(B1188),INT(B1188),0)</f>
        <v/>
      </c>
      <c r="H1188">
        <f>IF(AND(G1188&gt;0,D1188="Water",OR(C1188="",C1188="All beds")),G1188,0)</f>
        <v/>
      </c>
    </row>
    <row r="1189">
      <c r="A1189" s="1" t="n"/>
      <c r="B1189" s="17" t="n"/>
      <c r="C1189" s="18" t="n"/>
      <c r="D1189" s="19" t="n"/>
      <c r="E1189" s="21" t="n"/>
      <c r="F1189" s="11">
        <f>IF(AND(B1189="",C1189="",D1189=""),"",IF(NOT(ISNUMBER(B1189)),"Needs a date",IF(D1189="","Needs the job",IF(AND(C1189&lt;&gt;"",C1189&lt;&gt;"All beds",COUNTIF(Beds!$B$6:$B$35,C1189)=0),"Not on Beds",""))))</f>
        <v/>
      </c>
      <c r="G1189" s="1">
        <f>IF(ISNUMBER(B1189),INT(B1189),0)</f>
        <v/>
      </c>
      <c r="H1189">
        <f>IF(AND(G1189&gt;0,D1189="Water",OR(C1189="",C1189="All beds")),G1189,0)</f>
        <v/>
      </c>
    </row>
    <row r="1190">
      <c r="A1190" s="1" t="n"/>
      <c r="B1190" s="17" t="n"/>
      <c r="C1190" s="18" t="n"/>
      <c r="D1190" s="19" t="n"/>
      <c r="E1190" s="21" t="n"/>
      <c r="F1190" s="11">
        <f>IF(AND(B1190="",C1190="",D1190=""),"",IF(NOT(ISNUMBER(B1190)),"Needs a date",IF(D1190="","Needs the job",IF(AND(C1190&lt;&gt;"",C1190&lt;&gt;"All beds",COUNTIF(Beds!$B$6:$B$35,C1190)=0),"Not on Beds",""))))</f>
        <v/>
      </c>
      <c r="G1190" s="1">
        <f>IF(ISNUMBER(B1190),INT(B1190),0)</f>
        <v/>
      </c>
      <c r="H1190">
        <f>IF(AND(G1190&gt;0,D1190="Water",OR(C1190="",C1190="All beds")),G1190,0)</f>
        <v/>
      </c>
    </row>
    <row r="1191">
      <c r="A1191" s="1" t="n"/>
      <c r="B1191" s="17" t="n"/>
      <c r="C1191" s="18" t="n"/>
      <c r="D1191" s="19" t="n"/>
      <c r="E1191" s="21" t="n"/>
      <c r="F1191" s="11">
        <f>IF(AND(B1191="",C1191="",D1191=""),"",IF(NOT(ISNUMBER(B1191)),"Needs a date",IF(D1191="","Needs the job",IF(AND(C1191&lt;&gt;"",C1191&lt;&gt;"All beds",COUNTIF(Beds!$B$6:$B$35,C1191)=0),"Not on Beds",""))))</f>
        <v/>
      </c>
      <c r="G1191" s="1">
        <f>IF(ISNUMBER(B1191),INT(B1191),0)</f>
        <v/>
      </c>
      <c r="H1191">
        <f>IF(AND(G1191&gt;0,D1191="Water",OR(C1191="",C1191="All beds")),G1191,0)</f>
        <v/>
      </c>
    </row>
    <row r="1192">
      <c r="A1192" s="1" t="n"/>
      <c r="B1192" s="17" t="n"/>
      <c r="C1192" s="18" t="n"/>
      <c r="D1192" s="19" t="n"/>
      <c r="E1192" s="21" t="n"/>
      <c r="F1192" s="11">
        <f>IF(AND(B1192="",C1192="",D1192=""),"",IF(NOT(ISNUMBER(B1192)),"Needs a date",IF(D1192="","Needs the job",IF(AND(C1192&lt;&gt;"",C1192&lt;&gt;"All beds",COUNTIF(Beds!$B$6:$B$35,C1192)=0),"Not on Beds",""))))</f>
        <v/>
      </c>
      <c r="G1192" s="1">
        <f>IF(ISNUMBER(B1192),INT(B1192),0)</f>
        <v/>
      </c>
      <c r="H1192">
        <f>IF(AND(G1192&gt;0,D1192="Water",OR(C1192="",C1192="All beds")),G1192,0)</f>
        <v/>
      </c>
    </row>
    <row r="1193">
      <c r="A1193" s="1" t="n"/>
      <c r="B1193" s="17" t="n"/>
      <c r="C1193" s="18" t="n"/>
      <c r="D1193" s="19" t="n"/>
      <c r="E1193" s="21" t="n"/>
      <c r="F1193" s="11">
        <f>IF(AND(B1193="",C1193="",D1193=""),"",IF(NOT(ISNUMBER(B1193)),"Needs a date",IF(D1193="","Needs the job",IF(AND(C1193&lt;&gt;"",C1193&lt;&gt;"All beds",COUNTIF(Beds!$B$6:$B$35,C1193)=0),"Not on Beds",""))))</f>
        <v/>
      </c>
      <c r="G1193" s="1">
        <f>IF(ISNUMBER(B1193),INT(B1193),0)</f>
        <v/>
      </c>
      <c r="H1193">
        <f>IF(AND(G1193&gt;0,D1193="Water",OR(C1193="",C1193="All beds")),G1193,0)</f>
        <v/>
      </c>
    </row>
    <row r="1194">
      <c r="A1194" s="1" t="n"/>
      <c r="B1194" s="17" t="n"/>
      <c r="C1194" s="18" t="n"/>
      <c r="D1194" s="19" t="n"/>
      <c r="E1194" s="21" t="n"/>
      <c r="F1194" s="11">
        <f>IF(AND(B1194="",C1194="",D1194=""),"",IF(NOT(ISNUMBER(B1194)),"Needs a date",IF(D1194="","Needs the job",IF(AND(C1194&lt;&gt;"",C1194&lt;&gt;"All beds",COUNTIF(Beds!$B$6:$B$35,C1194)=0),"Not on Beds",""))))</f>
        <v/>
      </c>
      <c r="G1194" s="1">
        <f>IF(ISNUMBER(B1194),INT(B1194),0)</f>
        <v/>
      </c>
      <c r="H1194">
        <f>IF(AND(G1194&gt;0,D1194="Water",OR(C1194="",C1194="All beds")),G1194,0)</f>
        <v/>
      </c>
    </row>
    <row r="1195">
      <c r="A1195" s="1" t="n"/>
      <c r="B1195" s="17" t="n"/>
      <c r="C1195" s="18" t="n"/>
      <c r="D1195" s="19" t="n"/>
      <c r="E1195" s="21" t="n"/>
      <c r="F1195" s="11">
        <f>IF(AND(B1195="",C1195="",D1195=""),"",IF(NOT(ISNUMBER(B1195)),"Needs a date",IF(D1195="","Needs the job",IF(AND(C1195&lt;&gt;"",C1195&lt;&gt;"All beds",COUNTIF(Beds!$B$6:$B$35,C1195)=0),"Not on Beds",""))))</f>
        <v/>
      </c>
      <c r="G1195" s="1">
        <f>IF(ISNUMBER(B1195),INT(B1195),0)</f>
        <v/>
      </c>
      <c r="H1195">
        <f>IF(AND(G1195&gt;0,D1195="Water",OR(C1195="",C1195="All beds")),G1195,0)</f>
        <v/>
      </c>
    </row>
    <row r="1196">
      <c r="A1196" s="1" t="n"/>
      <c r="B1196" s="17" t="n"/>
      <c r="C1196" s="18" t="n"/>
      <c r="D1196" s="19" t="n"/>
      <c r="E1196" s="21" t="n"/>
      <c r="F1196" s="11">
        <f>IF(AND(B1196="",C1196="",D1196=""),"",IF(NOT(ISNUMBER(B1196)),"Needs a date",IF(D1196="","Needs the job",IF(AND(C1196&lt;&gt;"",C1196&lt;&gt;"All beds",COUNTIF(Beds!$B$6:$B$35,C1196)=0),"Not on Beds",""))))</f>
        <v/>
      </c>
      <c r="G1196" s="1">
        <f>IF(ISNUMBER(B1196),INT(B1196),0)</f>
        <v/>
      </c>
      <c r="H1196">
        <f>IF(AND(G1196&gt;0,D1196="Water",OR(C1196="",C1196="All beds")),G1196,0)</f>
        <v/>
      </c>
    </row>
    <row r="1197">
      <c r="A1197" s="1" t="n"/>
      <c r="B1197" s="17" t="n"/>
      <c r="C1197" s="18" t="n"/>
      <c r="D1197" s="19" t="n"/>
      <c r="E1197" s="21" t="n"/>
      <c r="F1197" s="11">
        <f>IF(AND(B1197="",C1197="",D1197=""),"",IF(NOT(ISNUMBER(B1197)),"Needs a date",IF(D1197="","Needs the job",IF(AND(C1197&lt;&gt;"",C1197&lt;&gt;"All beds",COUNTIF(Beds!$B$6:$B$35,C1197)=0),"Not on Beds",""))))</f>
        <v/>
      </c>
      <c r="G1197" s="1">
        <f>IF(ISNUMBER(B1197),INT(B1197),0)</f>
        <v/>
      </c>
      <c r="H1197">
        <f>IF(AND(G1197&gt;0,D1197="Water",OR(C1197="",C1197="All beds")),G1197,0)</f>
        <v/>
      </c>
    </row>
    <row r="1198">
      <c r="A1198" s="1" t="n"/>
      <c r="B1198" s="17" t="n"/>
      <c r="C1198" s="18" t="n"/>
      <c r="D1198" s="19" t="n"/>
      <c r="E1198" s="21" t="n"/>
      <c r="F1198" s="11">
        <f>IF(AND(B1198="",C1198="",D1198=""),"",IF(NOT(ISNUMBER(B1198)),"Needs a date",IF(D1198="","Needs the job",IF(AND(C1198&lt;&gt;"",C1198&lt;&gt;"All beds",COUNTIF(Beds!$B$6:$B$35,C1198)=0),"Not on Beds",""))))</f>
        <v/>
      </c>
      <c r="G1198" s="1">
        <f>IF(ISNUMBER(B1198),INT(B1198),0)</f>
        <v/>
      </c>
      <c r="H1198">
        <f>IF(AND(G1198&gt;0,D1198="Water",OR(C1198="",C1198="All beds")),G1198,0)</f>
        <v/>
      </c>
    </row>
    <row r="1199">
      <c r="A1199" s="1" t="n"/>
      <c r="B1199" s="17" t="n"/>
      <c r="C1199" s="18" t="n"/>
      <c r="D1199" s="19" t="n"/>
      <c r="E1199" s="21" t="n"/>
      <c r="F1199" s="11">
        <f>IF(AND(B1199="",C1199="",D1199=""),"",IF(NOT(ISNUMBER(B1199)),"Needs a date",IF(D1199="","Needs the job",IF(AND(C1199&lt;&gt;"",C1199&lt;&gt;"All beds",COUNTIF(Beds!$B$6:$B$35,C1199)=0),"Not on Beds",""))))</f>
        <v/>
      </c>
      <c r="G1199" s="1">
        <f>IF(ISNUMBER(B1199),INT(B1199),0)</f>
        <v/>
      </c>
      <c r="H1199">
        <f>IF(AND(G1199&gt;0,D1199="Water",OR(C1199="",C1199="All beds")),G1199,0)</f>
        <v/>
      </c>
    </row>
    <row r="1200">
      <c r="A1200" s="1" t="n"/>
      <c r="B1200" s="17" t="n"/>
      <c r="C1200" s="18" t="n"/>
      <c r="D1200" s="19" t="n"/>
      <c r="E1200" s="21" t="n"/>
      <c r="F1200" s="11">
        <f>IF(AND(B1200="",C1200="",D1200=""),"",IF(NOT(ISNUMBER(B1200)),"Needs a date",IF(D1200="","Needs the job",IF(AND(C1200&lt;&gt;"",C1200&lt;&gt;"All beds",COUNTIF(Beds!$B$6:$B$35,C1200)=0),"Not on Beds",""))))</f>
        <v/>
      </c>
      <c r="G1200" s="1">
        <f>IF(ISNUMBER(B1200),INT(B1200),0)</f>
        <v/>
      </c>
      <c r="H1200">
        <f>IF(AND(G1200&gt;0,D1200="Water",OR(C1200="",C1200="All beds")),G1200,0)</f>
        <v/>
      </c>
    </row>
    <row r="1201">
      <c r="A1201" s="1" t="n"/>
      <c r="B1201" s="17" t="n"/>
      <c r="C1201" s="18" t="n"/>
      <c r="D1201" s="19" t="n"/>
      <c r="E1201" s="21" t="n"/>
      <c r="F1201" s="11">
        <f>IF(AND(B1201="",C1201="",D1201=""),"",IF(NOT(ISNUMBER(B1201)),"Needs a date",IF(D1201="","Needs the job",IF(AND(C1201&lt;&gt;"",C1201&lt;&gt;"All beds",COUNTIF(Beds!$B$6:$B$35,C1201)=0),"Not on Beds",""))))</f>
        <v/>
      </c>
      <c r="G1201" s="1">
        <f>IF(ISNUMBER(B1201),INT(B1201),0)</f>
        <v/>
      </c>
      <c r="H1201">
        <f>IF(AND(G1201&gt;0,D1201="Water",OR(C1201="",C1201="All beds")),G1201,0)</f>
        <v/>
      </c>
    </row>
    <row r="1202">
      <c r="A1202" s="1" t="n"/>
      <c r="B1202" s="17" t="n"/>
      <c r="C1202" s="18" t="n"/>
      <c r="D1202" s="19" t="n"/>
      <c r="E1202" s="21" t="n"/>
      <c r="F1202" s="11">
        <f>IF(AND(B1202="",C1202="",D1202=""),"",IF(NOT(ISNUMBER(B1202)),"Needs a date",IF(D1202="","Needs the job",IF(AND(C1202&lt;&gt;"",C1202&lt;&gt;"All beds",COUNTIF(Beds!$B$6:$B$35,C1202)=0),"Not on Beds",""))))</f>
        <v/>
      </c>
      <c r="G1202" s="1">
        <f>IF(ISNUMBER(B1202),INT(B1202),0)</f>
        <v/>
      </c>
      <c r="H1202">
        <f>IF(AND(G1202&gt;0,D1202="Water",OR(C1202="",C1202="All beds")),G1202,0)</f>
        <v/>
      </c>
    </row>
    <row r="1203">
      <c r="A1203" s="1" t="n"/>
      <c r="B1203" s="17" t="n"/>
      <c r="C1203" s="18" t="n"/>
      <c r="D1203" s="19" t="n"/>
      <c r="E1203" s="21" t="n"/>
      <c r="F1203" s="11">
        <f>IF(AND(B1203="",C1203="",D1203=""),"",IF(NOT(ISNUMBER(B1203)),"Needs a date",IF(D1203="","Needs the job",IF(AND(C1203&lt;&gt;"",C1203&lt;&gt;"All beds",COUNTIF(Beds!$B$6:$B$35,C1203)=0),"Not on Beds",""))))</f>
        <v/>
      </c>
      <c r="G1203" s="1">
        <f>IF(ISNUMBER(B1203),INT(B1203),0)</f>
        <v/>
      </c>
      <c r="H1203">
        <f>IF(AND(G1203&gt;0,D1203="Water",OR(C1203="",C1203="All beds")),G1203,0)</f>
        <v/>
      </c>
    </row>
    <row r="1204">
      <c r="A1204" s="1" t="n"/>
      <c r="B1204" s="17" t="n"/>
      <c r="C1204" s="18" t="n"/>
      <c r="D1204" s="19" t="n"/>
      <c r="E1204" s="21" t="n"/>
      <c r="F1204" s="11">
        <f>IF(AND(B1204="",C1204="",D1204=""),"",IF(NOT(ISNUMBER(B1204)),"Needs a date",IF(D1204="","Needs the job",IF(AND(C1204&lt;&gt;"",C1204&lt;&gt;"All beds",COUNTIF(Beds!$B$6:$B$35,C1204)=0),"Not on Beds",""))))</f>
        <v/>
      </c>
      <c r="G1204" s="1">
        <f>IF(ISNUMBER(B1204),INT(B1204),0)</f>
        <v/>
      </c>
      <c r="H1204">
        <f>IF(AND(G1204&gt;0,D1204="Water",OR(C1204="",C1204="All beds")),G1204,0)</f>
        <v/>
      </c>
    </row>
    <row r="1205">
      <c r="A1205" s="1" t="n"/>
      <c r="B1205" s="17" t="n"/>
      <c r="C1205" s="18" t="n"/>
      <c r="D1205" s="19" t="n"/>
      <c r="E1205" s="21" t="n"/>
      <c r="F1205" s="11">
        <f>IF(AND(B1205="",C1205="",D1205=""),"",IF(NOT(ISNUMBER(B1205)),"Needs a date",IF(D1205="","Needs the job",IF(AND(C1205&lt;&gt;"",C1205&lt;&gt;"All beds",COUNTIF(Beds!$B$6:$B$35,C1205)=0),"Not on Beds",""))))</f>
        <v/>
      </c>
      <c r="G1205" s="1">
        <f>IF(ISNUMBER(B1205),INT(B1205),0)</f>
        <v/>
      </c>
      <c r="H1205">
        <f>IF(AND(G1205&gt;0,D1205="Water",OR(C1205="",C1205="All beds")),G1205,0)</f>
        <v/>
      </c>
    </row>
    <row r="1206">
      <c r="A1206" s="1" t="n"/>
      <c r="B1206" s="17" t="n"/>
      <c r="C1206" s="18" t="n"/>
      <c r="D1206" s="19" t="n"/>
      <c r="E1206" s="21" t="n"/>
      <c r="F1206" s="11">
        <f>IF(AND(B1206="",C1206="",D1206=""),"",IF(NOT(ISNUMBER(B1206)),"Needs a date",IF(D1206="","Needs the job",IF(AND(C1206&lt;&gt;"",C1206&lt;&gt;"All beds",COUNTIF(Beds!$B$6:$B$35,C1206)=0),"Not on Beds",""))))</f>
        <v/>
      </c>
      <c r="G1206" s="1">
        <f>IF(ISNUMBER(B1206),INT(B1206),0)</f>
        <v/>
      </c>
      <c r="H1206">
        <f>IF(AND(G1206&gt;0,D1206="Water",OR(C1206="",C1206="All beds")),G1206,0)</f>
        <v/>
      </c>
    </row>
    <row r="1207">
      <c r="A1207" s="1" t="n"/>
      <c r="B1207" s="17" t="n"/>
      <c r="C1207" s="18" t="n"/>
      <c r="D1207" s="19" t="n"/>
      <c r="E1207" s="21" t="n"/>
      <c r="F1207" s="11">
        <f>IF(AND(B1207="",C1207="",D1207=""),"",IF(NOT(ISNUMBER(B1207)),"Needs a date",IF(D1207="","Needs the job",IF(AND(C1207&lt;&gt;"",C1207&lt;&gt;"All beds",COUNTIF(Beds!$B$6:$B$35,C1207)=0),"Not on Beds",""))))</f>
        <v/>
      </c>
      <c r="G1207" s="1">
        <f>IF(ISNUMBER(B1207),INT(B1207),0)</f>
        <v/>
      </c>
      <c r="H1207">
        <f>IF(AND(G1207&gt;0,D1207="Water",OR(C1207="",C1207="All beds")),G1207,0)</f>
        <v/>
      </c>
    </row>
    <row r="1208">
      <c r="A1208" s="1" t="n"/>
      <c r="B1208" s="17" t="n"/>
      <c r="C1208" s="18" t="n"/>
      <c r="D1208" s="19" t="n"/>
      <c r="E1208" s="21" t="n"/>
      <c r="F1208" s="11">
        <f>IF(AND(B1208="",C1208="",D1208=""),"",IF(NOT(ISNUMBER(B1208)),"Needs a date",IF(D1208="","Needs the job",IF(AND(C1208&lt;&gt;"",C1208&lt;&gt;"All beds",COUNTIF(Beds!$B$6:$B$35,C1208)=0),"Not on Beds",""))))</f>
        <v/>
      </c>
      <c r="G1208" s="1">
        <f>IF(ISNUMBER(B1208),INT(B1208),0)</f>
        <v/>
      </c>
      <c r="H1208">
        <f>IF(AND(G1208&gt;0,D1208="Water",OR(C1208="",C1208="All beds")),G1208,0)</f>
        <v/>
      </c>
    </row>
    <row r="1209">
      <c r="A1209" s="1" t="n"/>
      <c r="B1209" s="17" t="n"/>
      <c r="C1209" s="18" t="n"/>
      <c r="D1209" s="19" t="n"/>
      <c r="E1209" s="21" t="n"/>
      <c r="F1209" s="11">
        <f>IF(AND(B1209="",C1209="",D1209=""),"",IF(NOT(ISNUMBER(B1209)),"Needs a date",IF(D1209="","Needs the job",IF(AND(C1209&lt;&gt;"",C1209&lt;&gt;"All beds",COUNTIF(Beds!$B$6:$B$35,C1209)=0),"Not on Beds",""))))</f>
        <v/>
      </c>
      <c r="G1209" s="1">
        <f>IF(ISNUMBER(B1209),INT(B1209),0)</f>
        <v/>
      </c>
      <c r="H1209">
        <f>IF(AND(G1209&gt;0,D1209="Water",OR(C1209="",C1209="All beds")),G1209,0)</f>
        <v/>
      </c>
    </row>
    <row r="1210">
      <c r="A1210" s="1" t="n"/>
      <c r="B1210" s="17" t="n"/>
      <c r="C1210" s="18" t="n"/>
      <c r="D1210" s="19" t="n"/>
      <c r="E1210" s="21" t="n"/>
      <c r="F1210" s="11">
        <f>IF(AND(B1210="",C1210="",D1210=""),"",IF(NOT(ISNUMBER(B1210)),"Needs a date",IF(D1210="","Needs the job",IF(AND(C1210&lt;&gt;"",C1210&lt;&gt;"All beds",COUNTIF(Beds!$B$6:$B$35,C1210)=0),"Not on Beds",""))))</f>
        <v/>
      </c>
      <c r="G1210" s="1">
        <f>IF(ISNUMBER(B1210),INT(B1210),0)</f>
        <v/>
      </c>
      <c r="H1210">
        <f>IF(AND(G1210&gt;0,D1210="Water",OR(C1210="",C1210="All beds")),G1210,0)</f>
        <v/>
      </c>
    </row>
    <row r="1211">
      <c r="A1211" s="1" t="n"/>
      <c r="B1211" s="17" t="n"/>
      <c r="C1211" s="18" t="n"/>
      <c r="D1211" s="19" t="n"/>
      <c r="E1211" s="21" t="n"/>
      <c r="F1211" s="11">
        <f>IF(AND(B1211="",C1211="",D1211=""),"",IF(NOT(ISNUMBER(B1211)),"Needs a date",IF(D1211="","Needs the job",IF(AND(C1211&lt;&gt;"",C1211&lt;&gt;"All beds",COUNTIF(Beds!$B$6:$B$35,C1211)=0),"Not on Beds",""))))</f>
        <v/>
      </c>
      <c r="G1211" s="1">
        <f>IF(ISNUMBER(B1211),INT(B1211),0)</f>
        <v/>
      </c>
      <c r="H1211">
        <f>IF(AND(G1211&gt;0,D1211="Water",OR(C1211="",C1211="All beds")),G1211,0)</f>
        <v/>
      </c>
    </row>
    <row r="1212">
      <c r="A1212" s="1" t="n"/>
      <c r="B1212" s="17" t="n"/>
      <c r="C1212" s="18" t="n"/>
      <c r="D1212" s="19" t="n"/>
      <c r="E1212" s="21" t="n"/>
      <c r="F1212" s="11">
        <f>IF(AND(B1212="",C1212="",D1212=""),"",IF(NOT(ISNUMBER(B1212)),"Needs a date",IF(D1212="","Needs the job",IF(AND(C1212&lt;&gt;"",C1212&lt;&gt;"All beds",COUNTIF(Beds!$B$6:$B$35,C1212)=0),"Not on Beds",""))))</f>
        <v/>
      </c>
      <c r="G1212" s="1">
        <f>IF(ISNUMBER(B1212),INT(B1212),0)</f>
        <v/>
      </c>
      <c r="H1212">
        <f>IF(AND(G1212&gt;0,D1212="Water",OR(C1212="",C1212="All beds")),G1212,0)</f>
        <v/>
      </c>
    </row>
    <row r="1213">
      <c r="A1213" s="1" t="n"/>
      <c r="B1213" s="17" t="n"/>
      <c r="C1213" s="18" t="n"/>
      <c r="D1213" s="19" t="n"/>
      <c r="E1213" s="21" t="n"/>
      <c r="F1213" s="11">
        <f>IF(AND(B1213="",C1213="",D1213=""),"",IF(NOT(ISNUMBER(B1213)),"Needs a date",IF(D1213="","Needs the job",IF(AND(C1213&lt;&gt;"",C1213&lt;&gt;"All beds",COUNTIF(Beds!$B$6:$B$35,C1213)=0),"Not on Beds",""))))</f>
        <v/>
      </c>
      <c r="G1213" s="1">
        <f>IF(ISNUMBER(B1213),INT(B1213),0)</f>
        <v/>
      </c>
      <c r="H1213">
        <f>IF(AND(G1213&gt;0,D1213="Water",OR(C1213="",C1213="All beds")),G1213,0)</f>
        <v/>
      </c>
    </row>
    <row r="1214">
      <c r="A1214" s="1" t="n"/>
      <c r="B1214" s="17" t="n"/>
      <c r="C1214" s="18" t="n"/>
      <c r="D1214" s="19" t="n"/>
      <c r="E1214" s="21" t="n"/>
      <c r="F1214" s="11">
        <f>IF(AND(B1214="",C1214="",D1214=""),"",IF(NOT(ISNUMBER(B1214)),"Needs a date",IF(D1214="","Needs the job",IF(AND(C1214&lt;&gt;"",C1214&lt;&gt;"All beds",COUNTIF(Beds!$B$6:$B$35,C1214)=0),"Not on Beds",""))))</f>
        <v/>
      </c>
      <c r="G1214" s="1">
        <f>IF(ISNUMBER(B1214),INT(B1214),0)</f>
        <v/>
      </c>
      <c r="H1214">
        <f>IF(AND(G1214&gt;0,D1214="Water",OR(C1214="",C1214="All beds")),G1214,0)</f>
        <v/>
      </c>
    </row>
    <row r="1215">
      <c r="A1215" s="1" t="n"/>
      <c r="B1215" s="17" t="n"/>
      <c r="C1215" s="18" t="n"/>
      <c r="D1215" s="19" t="n"/>
      <c r="E1215" s="21" t="n"/>
      <c r="F1215" s="11">
        <f>IF(AND(B1215="",C1215="",D1215=""),"",IF(NOT(ISNUMBER(B1215)),"Needs a date",IF(D1215="","Needs the job",IF(AND(C1215&lt;&gt;"",C1215&lt;&gt;"All beds",COUNTIF(Beds!$B$6:$B$35,C1215)=0),"Not on Beds",""))))</f>
        <v/>
      </c>
      <c r="G1215" s="1">
        <f>IF(ISNUMBER(B1215),INT(B1215),0)</f>
        <v/>
      </c>
      <c r="H1215">
        <f>IF(AND(G1215&gt;0,D1215="Water",OR(C1215="",C1215="All beds")),G1215,0)</f>
        <v/>
      </c>
    </row>
    <row r="1216">
      <c r="A1216" s="1" t="n"/>
      <c r="B1216" s="17" t="n"/>
      <c r="C1216" s="18" t="n"/>
      <c r="D1216" s="19" t="n"/>
      <c r="E1216" s="21" t="n"/>
      <c r="F1216" s="11">
        <f>IF(AND(B1216="",C1216="",D1216=""),"",IF(NOT(ISNUMBER(B1216)),"Needs a date",IF(D1216="","Needs the job",IF(AND(C1216&lt;&gt;"",C1216&lt;&gt;"All beds",COUNTIF(Beds!$B$6:$B$35,C1216)=0),"Not on Beds",""))))</f>
        <v/>
      </c>
      <c r="G1216" s="1">
        <f>IF(ISNUMBER(B1216),INT(B1216),0)</f>
        <v/>
      </c>
      <c r="H1216">
        <f>IF(AND(G1216&gt;0,D1216="Water",OR(C1216="",C1216="All beds")),G1216,0)</f>
        <v/>
      </c>
    </row>
    <row r="1217">
      <c r="A1217" s="1" t="n"/>
      <c r="B1217" s="17" t="n"/>
      <c r="C1217" s="18" t="n"/>
      <c r="D1217" s="19" t="n"/>
      <c r="E1217" s="21" t="n"/>
      <c r="F1217" s="11">
        <f>IF(AND(B1217="",C1217="",D1217=""),"",IF(NOT(ISNUMBER(B1217)),"Needs a date",IF(D1217="","Needs the job",IF(AND(C1217&lt;&gt;"",C1217&lt;&gt;"All beds",COUNTIF(Beds!$B$6:$B$35,C1217)=0),"Not on Beds",""))))</f>
        <v/>
      </c>
      <c r="G1217" s="1">
        <f>IF(ISNUMBER(B1217),INT(B1217),0)</f>
        <v/>
      </c>
      <c r="H1217">
        <f>IF(AND(G1217&gt;0,D1217="Water",OR(C1217="",C1217="All beds")),G1217,0)</f>
        <v/>
      </c>
    </row>
    <row r="1218">
      <c r="A1218" s="1" t="n"/>
      <c r="B1218" s="17" t="n"/>
      <c r="C1218" s="18" t="n"/>
      <c r="D1218" s="19" t="n"/>
      <c r="E1218" s="21" t="n"/>
      <c r="F1218" s="11">
        <f>IF(AND(B1218="",C1218="",D1218=""),"",IF(NOT(ISNUMBER(B1218)),"Needs a date",IF(D1218="","Needs the job",IF(AND(C1218&lt;&gt;"",C1218&lt;&gt;"All beds",COUNTIF(Beds!$B$6:$B$35,C1218)=0),"Not on Beds",""))))</f>
        <v/>
      </c>
      <c r="G1218" s="1">
        <f>IF(ISNUMBER(B1218),INT(B1218),0)</f>
        <v/>
      </c>
      <c r="H1218">
        <f>IF(AND(G1218&gt;0,D1218="Water",OR(C1218="",C1218="All beds")),G1218,0)</f>
        <v/>
      </c>
    </row>
    <row r="1219">
      <c r="A1219" s="1" t="n"/>
      <c r="B1219" s="17" t="n"/>
      <c r="C1219" s="18" t="n"/>
      <c r="D1219" s="19" t="n"/>
      <c r="E1219" s="21" t="n"/>
      <c r="F1219" s="11">
        <f>IF(AND(B1219="",C1219="",D1219=""),"",IF(NOT(ISNUMBER(B1219)),"Needs a date",IF(D1219="","Needs the job",IF(AND(C1219&lt;&gt;"",C1219&lt;&gt;"All beds",COUNTIF(Beds!$B$6:$B$35,C1219)=0),"Not on Beds",""))))</f>
        <v/>
      </c>
      <c r="G1219" s="1">
        <f>IF(ISNUMBER(B1219),INT(B1219),0)</f>
        <v/>
      </c>
      <c r="H1219">
        <f>IF(AND(G1219&gt;0,D1219="Water",OR(C1219="",C1219="All beds")),G1219,0)</f>
        <v/>
      </c>
    </row>
    <row r="1220">
      <c r="A1220" s="1" t="n"/>
      <c r="B1220" s="17" t="n"/>
      <c r="C1220" s="18" t="n"/>
      <c r="D1220" s="19" t="n"/>
      <c r="E1220" s="21" t="n"/>
      <c r="F1220" s="11">
        <f>IF(AND(B1220="",C1220="",D1220=""),"",IF(NOT(ISNUMBER(B1220)),"Needs a date",IF(D1220="","Needs the job",IF(AND(C1220&lt;&gt;"",C1220&lt;&gt;"All beds",COUNTIF(Beds!$B$6:$B$35,C1220)=0),"Not on Beds",""))))</f>
        <v/>
      </c>
      <c r="G1220" s="1">
        <f>IF(ISNUMBER(B1220),INT(B1220),0)</f>
        <v/>
      </c>
      <c r="H1220">
        <f>IF(AND(G1220&gt;0,D1220="Water",OR(C1220="",C1220="All beds")),G1220,0)</f>
        <v/>
      </c>
    </row>
    <row r="1221">
      <c r="A1221" s="1" t="n"/>
      <c r="B1221" s="17" t="n"/>
      <c r="C1221" s="18" t="n"/>
      <c r="D1221" s="19" t="n"/>
      <c r="E1221" s="21" t="n"/>
      <c r="F1221" s="11">
        <f>IF(AND(B1221="",C1221="",D1221=""),"",IF(NOT(ISNUMBER(B1221)),"Needs a date",IF(D1221="","Needs the job",IF(AND(C1221&lt;&gt;"",C1221&lt;&gt;"All beds",COUNTIF(Beds!$B$6:$B$35,C1221)=0),"Not on Beds",""))))</f>
        <v/>
      </c>
      <c r="G1221" s="1">
        <f>IF(ISNUMBER(B1221),INT(B1221),0)</f>
        <v/>
      </c>
      <c r="H1221">
        <f>IF(AND(G1221&gt;0,D1221="Water",OR(C1221="",C1221="All beds")),G1221,0)</f>
        <v/>
      </c>
    </row>
    <row r="1222">
      <c r="A1222" s="1" t="n"/>
      <c r="B1222" s="17" t="n"/>
      <c r="C1222" s="18" t="n"/>
      <c r="D1222" s="19" t="n"/>
      <c r="E1222" s="21" t="n"/>
      <c r="F1222" s="11">
        <f>IF(AND(B1222="",C1222="",D1222=""),"",IF(NOT(ISNUMBER(B1222)),"Needs a date",IF(D1222="","Needs the job",IF(AND(C1222&lt;&gt;"",C1222&lt;&gt;"All beds",COUNTIF(Beds!$B$6:$B$35,C1222)=0),"Not on Beds",""))))</f>
        <v/>
      </c>
      <c r="G1222" s="1">
        <f>IF(ISNUMBER(B1222),INT(B1222),0)</f>
        <v/>
      </c>
      <c r="H1222">
        <f>IF(AND(G1222&gt;0,D1222="Water",OR(C1222="",C1222="All beds")),G1222,0)</f>
        <v/>
      </c>
    </row>
    <row r="1223">
      <c r="A1223" s="1" t="n"/>
      <c r="B1223" s="17" t="n"/>
      <c r="C1223" s="18" t="n"/>
      <c r="D1223" s="19" t="n"/>
      <c r="E1223" s="21" t="n"/>
      <c r="F1223" s="11">
        <f>IF(AND(B1223="",C1223="",D1223=""),"",IF(NOT(ISNUMBER(B1223)),"Needs a date",IF(D1223="","Needs the job",IF(AND(C1223&lt;&gt;"",C1223&lt;&gt;"All beds",COUNTIF(Beds!$B$6:$B$35,C1223)=0),"Not on Beds",""))))</f>
        <v/>
      </c>
      <c r="G1223" s="1">
        <f>IF(ISNUMBER(B1223),INT(B1223),0)</f>
        <v/>
      </c>
      <c r="H1223">
        <f>IF(AND(G1223&gt;0,D1223="Water",OR(C1223="",C1223="All beds")),G1223,0)</f>
        <v/>
      </c>
    </row>
    <row r="1224">
      <c r="A1224" s="1" t="n"/>
      <c r="B1224" s="17" t="n"/>
      <c r="C1224" s="18" t="n"/>
      <c r="D1224" s="19" t="n"/>
      <c r="E1224" s="21" t="n"/>
      <c r="F1224" s="11">
        <f>IF(AND(B1224="",C1224="",D1224=""),"",IF(NOT(ISNUMBER(B1224)),"Needs a date",IF(D1224="","Needs the job",IF(AND(C1224&lt;&gt;"",C1224&lt;&gt;"All beds",COUNTIF(Beds!$B$6:$B$35,C1224)=0),"Not on Beds",""))))</f>
        <v/>
      </c>
      <c r="G1224" s="1">
        <f>IF(ISNUMBER(B1224),INT(B1224),0)</f>
        <v/>
      </c>
      <c r="H1224">
        <f>IF(AND(G1224&gt;0,D1224="Water",OR(C1224="",C1224="All beds")),G1224,0)</f>
        <v/>
      </c>
    </row>
    <row r="1225">
      <c r="A1225" s="1" t="n"/>
      <c r="B1225" s="17" t="n"/>
      <c r="C1225" s="18" t="n"/>
      <c r="D1225" s="19" t="n"/>
      <c r="E1225" s="21" t="n"/>
      <c r="F1225" s="11">
        <f>IF(AND(B1225="",C1225="",D1225=""),"",IF(NOT(ISNUMBER(B1225)),"Needs a date",IF(D1225="","Needs the job",IF(AND(C1225&lt;&gt;"",C1225&lt;&gt;"All beds",COUNTIF(Beds!$B$6:$B$35,C1225)=0),"Not on Beds",""))))</f>
        <v/>
      </c>
      <c r="G1225" s="1">
        <f>IF(ISNUMBER(B1225),INT(B1225),0)</f>
        <v/>
      </c>
      <c r="H1225">
        <f>IF(AND(G1225&gt;0,D1225="Water",OR(C1225="",C1225="All beds")),G1225,0)</f>
        <v/>
      </c>
    </row>
    <row r="1226">
      <c r="A1226" s="1" t="n"/>
      <c r="B1226" s="17" t="n"/>
      <c r="C1226" s="18" t="n"/>
      <c r="D1226" s="19" t="n"/>
      <c r="E1226" s="21" t="n"/>
      <c r="F1226" s="11">
        <f>IF(AND(B1226="",C1226="",D1226=""),"",IF(NOT(ISNUMBER(B1226)),"Needs a date",IF(D1226="","Needs the job",IF(AND(C1226&lt;&gt;"",C1226&lt;&gt;"All beds",COUNTIF(Beds!$B$6:$B$35,C1226)=0),"Not on Beds",""))))</f>
        <v/>
      </c>
      <c r="G1226" s="1">
        <f>IF(ISNUMBER(B1226),INT(B1226),0)</f>
        <v/>
      </c>
      <c r="H1226">
        <f>IF(AND(G1226&gt;0,D1226="Water",OR(C1226="",C1226="All beds")),G1226,0)</f>
        <v/>
      </c>
    </row>
    <row r="1227">
      <c r="A1227" s="1" t="n"/>
      <c r="B1227" s="17" t="n"/>
      <c r="C1227" s="18" t="n"/>
      <c r="D1227" s="19" t="n"/>
      <c r="E1227" s="21" t="n"/>
      <c r="F1227" s="11">
        <f>IF(AND(B1227="",C1227="",D1227=""),"",IF(NOT(ISNUMBER(B1227)),"Needs a date",IF(D1227="","Needs the job",IF(AND(C1227&lt;&gt;"",C1227&lt;&gt;"All beds",COUNTIF(Beds!$B$6:$B$35,C1227)=0),"Not on Beds",""))))</f>
        <v/>
      </c>
      <c r="G1227" s="1">
        <f>IF(ISNUMBER(B1227),INT(B1227),0)</f>
        <v/>
      </c>
      <c r="H1227">
        <f>IF(AND(G1227&gt;0,D1227="Water",OR(C1227="",C1227="All beds")),G1227,0)</f>
        <v/>
      </c>
    </row>
    <row r="1228">
      <c r="A1228" s="1" t="n"/>
      <c r="B1228" s="17" t="n"/>
      <c r="C1228" s="18" t="n"/>
      <c r="D1228" s="19" t="n"/>
      <c r="E1228" s="21" t="n"/>
      <c r="F1228" s="11">
        <f>IF(AND(B1228="",C1228="",D1228=""),"",IF(NOT(ISNUMBER(B1228)),"Needs a date",IF(D1228="","Needs the job",IF(AND(C1228&lt;&gt;"",C1228&lt;&gt;"All beds",COUNTIF(Beds!$B$6:$B$35,C1228)=0),"Not on Beds",""))))</f>
        <v/>
      </c>
      <c r="G1228" s="1">
        <f>IF(ISNUMBER(B1228),INT(B1228),0)</f>
        <v/>
      </c>
      <c r="H1228">
        <f>IF(AND(G1228&gt;0,D1228="Water",OR(C1228="",C1228="All beds")),G1228,0)</f>
        <v/>
      </c>
    </row>
    <row r="1229">
      <c r="A1229" s="1" t="n"/>
      <c r="B1229" s="17" t="n"/>
      <c r="C1229" s="18" t="n"/>
      <c r="D1229" s="19" t="n"/>
      <c r="E1229" s="21" t="n"/>
      <c r="F1229" s="11">
        <f>IF(AND(B1229="",C1229="",D1229=""),"",IF(NOT(ISNUMBER(B1229)),"Needs a date",IF(D1229="","Needs the job",IF(AND(C1229&lt;&gt;"",C1229&lt;&gt;"All beds",COUNTIF(Beds!$B$6:$B$35,C1229)=0),"Not on Beds",""))))</f>
        <v/>
      </c>
      <c r="G1229" s="1">
        <f>IF(ISNUMBER(B1229),INT(B1229),0)</f>
        <v/>
      </c>
      <c r="H1229">
        <f>IF(AND(G1229&gt;0,D1229="Water",OR(C1229="",C1229="All beds")),G1229,0)</f>
        <v/>
      </c>
    </row>
    <row r="1230">
      <c r="A1230" s="1" t="n"/>
      <c r="B1230" s="17" t="n"/>
      <c r="C1230" s="18" t="n"/>
      <c r="D1230" s="19" t="n"/>
      <c r="E1230" s="21" t="n"/>
      <c r="F1230" s="11">
        <f>IF(AND(B1230="",C1230="",D1230=""),"",IF(NOT(ISNUMBER(B1230)),"Needs a date",IF(D1230="","Needs the job",IF(AND(C1230&lt;&gt;"",C1230&lt;&gt;"All beds",COUNTIF(Beds!$B$6:$B$35,C1230)=0),"Not on Beds",""))))</f>
        <v/>
      </c>
      <c r="G1230" s="1">
        <f>IF(ISNUMBER(B1230),INT(B1230),0)</f>
        <v/>
      </c>
      <c r="H1230">
        <f>IF(AND(G1230&gt;0,D1230="Water",OR(C1230="",C1230="All beds")),G1230,0)</f>
        <v/>
      </c>
    </row>
    <row r="1231">
      <c r="A1231" s="1" t="n"/>
      <c r="B1231" s="17" t="n"/>
      <c r="C1231" s="18" t="n"/>
      <c r="D1231" s="19" t="n"/>
      <c r="E1231" s="21" t="n"/>
      <c r="F1231" s="11">
        <f>IF(AND(B1231="",C1231="",D1231=""),"",IF(NOT(ISNUMBER(B1231)),"Needs a date",IF(D1231="","Needs the job",IF(AND(C1231&lt;&gt;"",C1231&lt;&gt;"All beds",COUNTIF(Beds!$B$6:$B$35,C1231)=0),"Not on Beds",""))))</f>
        <v/>
      </c>
      <c r="G1231" s="1">
        <f>IF(ISNUMBER(B1231),INT(B1231),0)</f>
        <v/>
      </c>
      <c r="H1231">
        <f>IF(AND(G1231&gt;0,D1231="Water",OR(C1231="",C1231="All beds")),G1231,0)</f>
        <v/>
      </c>
    </row>
    <row r="1232">
      <c r="A1232" s="1" t="n"/>
      <c r="B1232" s="17" t="n"/>
      <c r="C1232" s="18" t="n"/>
      <c r="D1232" s="19" t="n"/>
      <c r="E1232" s="21" t="n"/>
      <c r="F1232" s="11">
        <f>IF(AND(B1232="",C1232="",D1232=""),"",IF(NOT(ISNUMBER(B1232)),"Needs a date",IF(D1232="","Needs the job",IF(AND(C1232&lt;&gt;"",C1232&lt;&gt;"All beds",COUNTIF(Beds!$B$6:$B$35,C1232)=0),"Not on Beds",""))))</f>
        <v/>
      </c>
      <c r="G1232" s="1">
        <f>IF(ISNUMBER(B1232),INT(B1232),0)</f>
        <v/>
      </c>
      <c r="H1232">
        <f>IF(AND(G1232&gt;0,D1232="Water",OR(C1232="",C1232="All beds")),G1232,0)</f>
        <v/>
      </c>
    </row>
    <row r="1233">
      <c r="A1233" s="1" t="n"/>
      <c r="B1233" s="17" t="n"/>
      <c r="C1233" s="18" t="n"/>
      <c r="D1233" s="19" t="n"/>
      <c r="E1233" s="21" t="n"/>
      <c r="F1233" s="11">
        <f>IF(AND(B1233="",C1233="",D1233=""),"",IF(NOT(ISNUMBER(B1233)),"Needs a date",IF(D1233="","Needs the job",IF(AND(C1233&lt;&gt;"",C1233&lt;&gt;"All beds",COUNTIF(Beds!$B$6:$B$35,C1233)=0),"Not on Beds",""))))</f>
        <v/>
      </c>
      <c r="G1233" s="1">
        <f>IF(ISNUMBER(B1233),INT(B1233),0)</f>
        <v/>
      </c>
      <c r="H1233">
        <f>IF(AND(G1233&gt;0,D1233="Water",OR(C1233="",C1233="All beds")),G1233,0)</f>
        <v/>
      </c>
    </row>
    <row r="1234">
      <c r="A1234" s="1" t="n"/>
      <c r="B1234" s="17" t="n"/>
      <c r="C1234" s="18" t="n"/>
      <c r="D1234" s="19" t="n"/>
      <c r="E1234" s="21" t="n"/>
      <c r="F1234" s="11">
        <f>IF(AND(B1234="",C1234="",D1234=""),"",IF(NOT(ISNUMBER(B1234)),"Needs a date",IF(D1234="","Needs the job",IF(AND(C1234&lt;&gt;"",C1234&lt;&gt;"All beds",COUNTIF(Beds!$B$6:$B$35,C1234)=0),"Not on Beds",""))))</f>
        <v/>
      </c>
      <c r="G1234" s="1">
        <f>IF(ISNUMBER(B1234),INT(B1234),0)</f>
        <v/>
      </c>
      <c r="H1234">
        <f>IF(AND(G1234&gt;0,D1234="Water",OR(C1234="",C1234="All beds")),G1234,0)</f>
        <v/>
      </c>
    </row>
    <row r="1235">
      <c r="A1235" s="1" t="n"/>
      <c r="B1235" s="17" t="n"/>
      <c r="C1235" s="18" t="n"/>
      <c r="D1235" s="19" t="n"/>
      <c r="E1235" s="21" t="n"/>
      <c r="F1235" s="11">
        <f>IF(AND(B1235="",C1235="",D1235=""),"",IF(NOT(ISNUMBER(B1235)),"Needs a date",IF(D1235="","Needs the job",IF(AND(C1235&lt;&gt;"",C1235&lt;&gt;"All beds",COUNTIF(Beds!$B$6:$B$35,C1235)=0),"Not on Beds",""))))</f>
        <v/>
      </c>
      <c r="G1235" s="1">
        <f>IF(ISNUMBER(B1235),INT(B1235),0)</f>
        <v/>
      </c>
      <c r="H1235">
        <f>IF(AND(G1235&gt;0,D1235="Water",OR(C1235="",C1235="All beds")),G1235,0)</f>
        <v/>
      </c>
    </row>
    <row r="1236">
      <c r="A1236" s="1" t="n"/>
      <c r="B1236" s="17" t="n"/>
      <c r="C1236" s="18" t="n"/>
      <c r="D1236" s="19" t="n"/>
      <c r="E1236" s="21" t="n"/>
      <c r="F1236" s="11">
        <f>IF(AND(B1236="",C1236="",D1236=""),"",IF(NOT(ISNUMBER(B1236)),"Needs a date",IF(D1236="","Needs the job",IF(AND(C1236&lt;&gt;"",C1236&lt;&gt;"All beds",COUNTIF(Beds!$B$6:$B$35,C1236)=0),"Not on Beds",""))))</f>
        <v/>
      </c>
      <c r="G1236" s="1">
        <f>IF(ISNUMBER(B1236),INT(B1236),0)</f>
        <v/>
      </c>
      <c r="H1236">
        <f>IF(AND(G1236&gt;0,D1236="Water",OR(C1236="",C1236="All beds")),G1236,0)</f>
        <v/>
      </c>
    </row>
    <row r="1237">
      <c r="A1237" s="1" t="n"/>
      <c r="B1237" s="17" t="n"/>
      <c r="C1237" s="18" t="n"/>
      <c r="D1237" s="19" t="n"/>
      <c r="E1237" s="21" t="n"/>
      <c r="F1237" s="11">
        <f>IF(AND(B1237="",C1237="",D1237=""),"",IF(NOT(ISNUMBER(B1237)),"Needs a date",IF(D1237="","Needs the job",IF(AND(C1237&lt;&gt;"",C1237&lt;&gt;"All beds",COUNTIF(Beds!$B$6:$B$35,C1237)=0),"Not on Beds",""))))</f>
        <v/>
      </c>
      <c r="G1237" s="1">
        <f>IF(ISNUMBER(B1237),INT(B1237),0)</f>
        <v/>
      </c>
      <c r="H1237">
        <f>IF(AND(G1237&gt;0,D1237="Water",OR(C1237="",C1237="All beds")),G1237,0)</f>
        <v/>
      </c>
    </row>
    <row r="1238">
      <c r="A1238" s="1" t="n"/>
      <c r="B1238" s="17" t="n"/>
      <c r="C1238" s="18" t="n"/>
      <c r="D1238" s="19" t="n"/>
      <c r="E1238" s="21" t="n"/>
      <c r="F1238" s="11">
        <f>IF(AND(B1238="",C1238="",D1238=""),"",IF(NOT(ISNUMBER(B1238)),"Needs a date",IF(D1238="","Needs the job",IF(AND(C1238&lt;&gt;"",C1238&lt;&gt;"All beds",COUNTIF(Beds!$B$6:$B$35,C1238)=0),"Not on Beds",""))))</f>
        <v/>
      </c>
      <c r="G1238" s="1">
        <f>IF(ISNUMBER(B1238),INT(B1238),0)</f>
        <v/>
      </c>
      <c r="H1238">
        <f>IF(AND(G1238&gt;0,D1238="Water",OR(C1238="",C1238="All beds")),G1238,0)</f>
        <v/>
      </c>
    </row>
    <row r="1239">
      <c r="A1239" s="1" t="n"/>
      <c r="B1239" s="17" t="n"/>
      <c r="C1239" s="18" t="n"/>
      <c r="D1239" s="19" t="n"/>
      <c r="E1239" s="21" t="n"/>
      <c r="F1239" s="11">
        <f>IF(AND(B1239="",C1239="",D1239=""),"",IF(NOT(ISNUMBER(B1239)),"Needs a date",IF(D1239="","Needs the job",IF(AND(C1239&lt;&gt;"",C1239&lt;&gt;"All beds",COUNTIF(Beds!$B$6:$B$35,C1239)=0),"Not on Beds",""))))</f>
        <v/>
      </c>
      <c r="G1239" s="1">
        <f>IF(ISNUMBER(B1239),INT(B1239),0)</f>
        <v/>
      </c>
      <c r="H1239">
        <f>IF(AND(G1239&gt;0,D1239="Water",OR(C1239="",C1239="All beds")),G1239,0)</f>
        <v/>
      </c>
    </row>
    <row r="1240">
      <c r="A1240" s="1" t="n"/>
      <c r="B1240" s="17" t="n"/>
      <c r="C1240" s="18" t="n"/>
      <c r="D1240" s="19" t="n"/>
      <c r="E1240" s="21" t="n"/>
      <c r="F1240" s="11">
        <f>IF(AND(B1240="",C1240="",D1240=""),"",IF(NOT(ISNUMBER(B1240)),"Needs a date",IF(D1240="","Needs the job",IF(AND(C1240&lt;&gt;"",C1240&lt;&gt;"All beds",COUNTIF(Beds!$B$6:$B$35,C1240)=0),"Not on Beds",""))))</f>
        <v/>
      </c>
      <c r="G1240" s="1">
        <f>IF(ISNUMBER(B1240),INT(B1240),0)</f>
        <v/>
      </c>
      <c r="H1240">
        <f>IF(AND(G1240&gt;0,D1240="Water",OR(C1240="",C1240="All beds")),G1240,0)</f>
        <v/>
      </c>
    </row>
    <row r="1241">
      <c r="A1241" s="1" t="n"/>
      <c r="B1241" s="17" t="n"/>
      <c r="C1241" s="18" t="n"/>
      <c r="D1241" s="19" t="n"/>
      <c r="E1241" s="21" t="n"/>
      <c r="F1241" s="11">
        <f>IF(AND(B1241="",C1241="",D1241=""),"",IF(NOT(ISNUMBER(B1241)),"Needs a date",IF(D1241="","Needs the job",IF(AND(C1241&lt;&gt;"",C1241&lt;&gt;"All beds",COUNTIF(Beds!$B$6:$B$35,C1241)=0),"Not on Beds",""))))</f>
        <v/>
      </c>
      <c r="G1241" s="1">
        <f>IF(ISNUMBER(B1241),INT(B1241),0)</f>
        <v/>
      </c>
      <c r="H1241">
        <f>IF(AND(G1241&gt;0,D1241="Water",OR(C1241="",C1241="All beds")),G1241,0)</f>
        <v/>
      </c>
    </row>
    <row r="1242">
      <c r="A1242" s="1" t="n"/>
      <c r="B1242" s="17" t="n"/>
      <c r="C1242" s="18" t="n"/>
      <c r="D1242" s="19" t="n"/>
      <c r="E1242" s="21" t="n"/>
      <c r="F1242" s="11">
        <f>IF(AND(B1242="",C1242="",D1242=""),"",IF(NOT(ISNUMBER(B1242)),"Needs a date",IF(D1242="","Needs the job",IF(AND(C1242&lt;&gt;"",C1242&lt;&gt;"All beds",COUNTIF(Beds!$B$6:$B$35,C1242)=0),"Not on Beds",""))))</f>
        <v/>
      </c>
      <c r="G1242" s="1">
        <f>IF(ISNUMBER(B1242),INT(B1242),0)</f>
        <v/>
      </c>
      <c r="H1242">
        <f>IF(AND(G1242&gt;0,D1242="Water",OR(C1242="",C1242="All beds")),G1242,0)</f>
        <v/>
      </c>
    </row>
    <row r="1243">
      <c r="A1243" s="1" t="n"/>
      <c r="B1243" s="17" t="n"/>
      <c r="C1243" s="18" t="n"/>
      <c r="D1243" s="19" t="n"/>
      <c r="E1243" s="21" t="n"/>
      <c r="F1243" s="11">
        <f>IF(AND(B1243="",C1243="",D1243=""),"",IF(NOT(ISNUMBER(B1243)),"Needs a date",IF(D1243="","Needs the job",IF(AND(C1243&lt;&gt;"",C1243&lt;&gt;"All beds",COUNTIF(Beds!$B$6:$B$35,C1243)=0),"Not on Beds",""))))</f>
        <v/>
      </c>
      <c r="G1243" s="1">
        <f>IF(ISNUMBER(B1243),INT(B1243),0)</f>
        <v/>
      </c>
      <c r="H1243">
        <f>IF(AND(G1243&gt;0,D1243="Water",OR(C1243="",C1243="All beds")),G1243,0)</f>
        <v/>
      </c>
    </row>
    <row r="1244">
      <c r="A1244" s="1" t="n"/>
      <c r="B1244" s="17" t="n"/>
      <c r="C1244" s="18" t="n"/>
      <c r="D1244" s="19" t="n"/>
      <c r="E1244" s="21" t="n"/>
      <c r="F1244" s="11">
        <f>IF(AND(B1244="",C1244="",D1244=""),"",IF(NOT(ISNUMBER(B1244)),"Needs a date",IF(D1244="","Needs the job",IF(AND(C1244&lt;&gt;"",C1244&lt;&gt;"All beds",COUNTIF(Beds!$B$6:$B$35,C1244)=0),"Not on Beds",""))))</f>
        <v/>
      </c>
      <c r="G1244" s="1">
        <f>IF(ISNUMBER(B1244),INT(B1244),0)</f>
        <v/>
      </c>
      <c r="H1244">
        <f>IF(AND(G1244&gt;0,D1244="Water",OR(C1244="",C1244="All beds")),G1244,0)</f>
        <v/>
      </c>
    </row>
    <row r="1245">
      <c r="A1245" s="1" t="n"/>
      <c r="B1245" s="17" t="n"/>
      <c r="C1245" s="18" t="n"/>
      <c r="D1245" s="19" t="n"/>
      <c r="E1245" s="21" t="n"/>
      <c r="F1245" s="11">
        <f>IF(AND(B1245="",C1245="",D1245=""),"",IF(NOT(ISNUMBER(B1245)),"Needs a date",IF(D1245="","Needs the job",IF(AND(C1245&lt;&gt;"",C1245&lt;&gt;"All beds",COUNTIF(Beds!$B$6:$B$35,C1245)=0),"Not on Beds",""))))</f>
        <v/>
      </c>
      <c r="G1245" s="1">
        <f>IF(ISNUMBER(B1245),INT(B1245),0)</f>
        <v/>
      </c>
      <c r="H1245">
        <f>IF(AND(G1245&gt;0,D1245="Water",OR(C1245="",C1245="All beds")),G1245,0)</f>
        <v/>
      </c>
    </row>
    <row r="1246">
      <c r="A1246" s="1" t="n"/>
      <c r="B1246" s="17" t="n"/>
      <c r="C1246" s="18" t="n"/>
      <c r="D1246" s="19" t="n"/>
      <c r="E1246" s="21" t="n"/>
      <c r="F1246" s="11">
        <f>IF(AND(B1246="",C1246="",D1246=""),"",IF(NOT(ISNUMBER(B1246)),"Needs a date",IF(D1246="","Needs the job",IF(AND(C1246&lt;&gt;"",C1246&lt;&gt;"All beds",COUNTIF(Beds!$B$6:$B$35,C1246)=0),"Not on Beds",""))))</f>
        <v/>
      </c>
      <c r="G1246" s="1">
        <f>IF(ISNUMBER(B1246),INT(B1246),0)</f>
        <v/>
      </c>
      <c r="H1246">
        <f>IF(AND(G1246&gt;0,D1246="Water",OR(C1246="",C1246="All beds")),G1246,0)</f>
        <v/>
      </c>
    </row>
    <row r="1247">
      <c r="A1247" s="1" t="n"/>
      <c r="B1247" s="17" t="n"/>
      <c r="C1247" s="18" t="n"/>
      <c r="D1247" s="19" t="n"/>
      <c r="E1247" s="21" t="n"/>
      <c r="F1247" s="11">
        <f>IF(AND(B1247="",C1247="",D1247=""),"",IF(NOT(ISNUMBER(B1247)),"Needs a date",IF(D1247="","Needs the job",IF(AND(C1247&lt;&gt;"",C1247&lt;&gt;"All beds",COUNTIF(Beds!$B$6:$B$35,C1247)=0),"Not on Beds",""))))</f>
        <v/>
      </c>
      <c r="G1247" s="1">
        <f>IF(ISNUMBER(B1247),INT(B1247),0)</f>
        <v/>
      </c>
      <c r="H1247">
        <f>IF(AND(G1247&gt;0,D1247="Water",OR(C1247="",C1247="All beds")),G1247,0)</f>
        <v/>
      </c>
    </row>
    <row r="1248">
      <c r="A1248" s="1" t="n"/>
      <c r="B1248" s="17" t="n"/>
      <c r="C1248" s="18" t="n"/>
      <c r="D1248" s="19" t="n"/>
      <c r="E1248" s="21" t="n"/>
      <c r="F1248" s="11">
        <f>IF(AND(B1248="",C1248="",D1248=""),"",IF(NOT(ISNUMBER(B1248)),"Needs a date",IF(D1248="","Needs the job",IF(AND(C1248&lt;&gt;"",C1248&lt;&gt;"All beds",COUNTIF(Beds!$B$6:$B$35,C1248)=0),"Not on Beds",""))))</f>
        <v/>
      </c>
      <c r="G1248" s="1">
        <f>IF(ISNUMBER(B1248),INT(B1248),0)</f>
        <v/>
      </c>
      <c r="H1248">
        <f>IF(AND(G1248&gt;0,D1248="Water",OR(C1248="",C1248="All beds")),G1248,0)</f>
        <v/>
      </c>
    </row>
    <row r="1249">
      <c r="A1249" s="1" t="n"/>
      <c r="B1249" s="17" t="n"/>
      <c r="C1249" s="18" t="n"/>
      <c r="D1249" s="19" t="n"/>
      <c r="E1249" s="21" t="n"/>
      <c r="F1249" s="11">
        <f>IF(AND(B1249="",C1249="",D1249=""),"",IF(NOT(ISNUMBER(B1249)),"Needs a date",IF(D1249="","Needs the job",IF(AND(C1249&lt;&gt;"",C1249&lt;&gt;"All beds",COUNTIF(Beds!$B$6:$B$35,C1249)=0),"Not on Beds",""))))</f>
        <v/>
      </c>
      <c r="G1249" s="1">
        <f>IF(ISNUMBER(B1249),INT(B1249),0)</f>
        <v/>
      </c>
      <c r="H1249">
        <f>IF(AND(G1249&gt;0,D1249="Water",OR(C1249="",C1249="All beds")),G1249,0)</f>
        <v/>
      </c>
    </row>
    <row r="1250">
      <c r="A1250" s="1" t="n"/>
      <c r="B1250" s="17" t="n"/>
      <c r="C1250" s="18" t="n"/>
      <c r="D1250" s="19" t="n"/>
      <c r="E1250" s="21" t="n"/>
      <c r="F1250" s="11">
        <f>IF(AND(B1250="",C1250="",D1250=""),"",IF(NOT(ISNUMBER(B1250)),"Needs a date",IF(D1250="","Needs the job",IF(AND(C1250&lt;&gt;"",C1250&lt;&gt;"All beds",COUNTIF(Beds!$B$6:$B$35,C1250)=0),"Not on Beds",""))))</f>
        <v/>
      </c>
      <c r="G1250" s="1">
        <f>IF(ISNUMBER(B1250),INT(B1250),0)</f>
        <v/>
      </c>
      <c r="H1250">
        <f>IF(AND(G1250&gt;0,D1250="Water",OR(C1250="",C1250="All beds")),G1250,0)</f>
        <v/>
      </c>
    </row>
    <row r="1251">
      <c r="A1251" s="1" t="n"/>
      <c r="B1251" s="17" t="n"/>
      <c r="C1251" s="18" t="n"/>
      <c r="D1251" s="19" t="n"/>
      <c r="E1251" s="21" t="n"/>
      <c r="F1251" s="11">
        <f>IF(AND(B1251="",C1251="",D1251=""),"",IF(NOT(ISNUMBER(B1251)),"Needs a date",IF(D1251="","Needs the job",IF(AND(C1251&lt;&gt;"",C1251&lt;&gt;"All beds",COUNTIF(Beds!$B$6:$B$35,C1251)=0),"Not on Beds",""))))</f>
        <v/>
      </c>
      <c r="G1251" s="1">
        <f>IF(ISNUMBER(B1251),INT(B1251),0)</f>
        <v/>
      </c>
      <c r="H1251">
        <f>IF(AND(G1251&gt;0,D1251="Water",OR(C1251="",C1251="All beds")),G1251,0)</f>
        <v/>
      </c>
    </row>
    <row r="1252">
      <c r="A1252" s="1" t="n"/>
      <c r="B1252" s="17" t="n"/>
      <c r="C1252" s="18" t="n"/>
      <c r="D1252" s="19" t="n"/>
      <c r="E1252" s="21" t="n"/>
      <c r="F1252" s="11">
        <f>IF(AND(B1252="",C1252="",D1252=""),"",IF(NOT(ISNUMBER(B1252)),"Needs a date",IF(D1252="","Needs the job",IF(AND(C1252&lt;&gt;"",C1252&lt;&gt;"All beds",COUNTIF(Beds!$B$6:$B$35,C1252)=0),"Not on Beds",""))))</f>
        <v/>
      </c>
      <c r="G1252" s="1">
        <f>IF(ISNUMBER(B1252),INT(B1252),0)</f>
        <v/>
      </c>
      <c r="H1252">
        <f>IF(AND(G1252&gt;0,D1252="Water",OR(C1252="",C1252="All beds")),G1252,0)</f>
        <v/>
      </c>
    </row>
    <row r="1253">
      <c r="A1253" s="1" t="n"/>
      <c r="B1253" s="17" t="n"/>
      <c r="C1253" s="18" t="n"/>
      <c r="D1253" s="19" t="n"/>
      <c r="E1253" s="21" t="n"/>
      <c r="F1253" s="11">
        <f>IF(AND(B1253="",C1253="",D1253=""),"",IF(NOT(ISNUMBER(B1253)),"Needs a date",IF(D1253="","Needs the job",IF(AND(C1253&lt;&gt;"",C1253&lt;&gt;"All beds",COUNTIF(Beds!$B$6:$B$35,C1253)=0),"Not on Beds",""))))</f>
        <v/>
      </c>
      <c r="G1253" s="1">
        <f>IF(ISNUMBER(B1253),INT(B1253),0)</f>
        <v/>
      </c>
      <c r="H1253">
        <f>IF(AND(G1253&gt;0,D1253="Water",OR(C1253="",C1253="All beds")),G1253,0)</f>
        <v/>
      </c>
    </row>
    <row r="1254">
      <c r="A1254" s="1" t="n"/>
      <c r="B1254" s="17" t="n"/>
      <c r="C1254" s="18" t="n"/>
      <c r="D1254" s="19" t="n"/>
      <c r="E1254" s="21" t="n"/>
      <c r="F1254" s="11">
        <f>IF(AND(B1254="",C1254="",D1254=""),"",IF(NOT(ISNUMBER(B1254)),"Needs a date",IF(D1254="","Needs the job",IF(AND(C1254&lt;&gt;"",C1254&lt;&gt;"All beds",COUNTIF(Beds!$B$6:$B$35,C1254)=0),"Not on Beds",""))))</f>
        <v/>
      </c>
      <c r="G1254" s="1">
        <f>IF(ISNUMBER(B1254),INT(B1254),0)</f>
        <v/>
      </c>
      <c r="H1254">
        <f>IF(AND(G1254&gt;0,D1254="Water",OR(C1254="",C1254="All beds")),G1254,0)</f>
        <v/>
      </c>
    </row>
    <row r="1255">
      <c r="A1255" s="1" t="n"/>
      <c r="B1255" s="17" t="n"/>
      <c r="C1255" s="18" t="n"/>
      <c r="D1255" s="19" t="n"/>
      <c r="E1255" s="21" t="n"/>
      <c r="F1255" s="11">
        <f>IF(AND(B1255="",C1255="",D1255=""),"",IF(NOT(ISNUMBER(B1255)),"Needs a date",IF(D1255="","Needs the job",IF(AND(C1255&lt;&gt;"",C1255&lt;&gt;"All beds",COUNTIF(Beds!$B$6:$B$35,C1255)=0),"Not on Beds",""))))</f>
        <v/>
      </c>
      <c r="G1255" s="1">
        <f>IF(ISNUMBER(B1255),INT(B1255),0)</f>
        <v/>
      </c>
      <c r="H1255">
        <f>IF(AND(G1255&gt;0,D1255="Water",OR(C1255="",C1255="All beds")),G1255,0)</f>
        <v/>
      </c>
    </row>
    <row r="1256">
      <c r="A1256" s="1" t="n"/>
      <c r="B1256" s="17" t="n"/>
      <c r="C1256" s="18" t="n"/>
      <c r="D1256" s="19" t="n"/>
      <c r="E1256" s="21" t="n"/>
      <c r="F1256" s="11">
        <f>IF(AND(B1256="",C1256="",D1256=""),"",IF(NOT(ISNUMBER(B1256)),"Needs a date",IF(D1256="","Needs the job",IF(AND(C1256&lt;&gt;"",C1256&lt;&gt;"All beds",COUNTIF(Beds!$B$6:$B$35,C1256)=0),"Not on Beds",""))))</f>
        <v/>
      </c>
      <c r="G1256" s="1">
        <f>IF(ISNUMBER(B1256),INT(B1256),0)</f>
        <v/>
      </c>
      <c r="H1256">
        <f>IF(AND(G1256&gt;0,D1256="Water",OR(C1256="",C1256="All beds")),G1256,0)</f>
        <v/>
      </c>
    </row>
    <row r="1257">
      <c r="A1257" s="1" t="n"/>
      <c r="B1257" s="17" t="n"/>
      <c r="C1257" s="18" t="n"/>
      <c r="D1257" s="19" t="n"/>
      <c r="E1257" s="21" t="n"/>
      <c r="F1257" s="11">
        <f>IF(AND(B1257="",C1257="",D1257=""),"",IF(NOT(ISNUMBER(B1257)),"Needs a date",IF(D1257="","Needs the job",IF(AND(C1257&lt;&gt;"",C1257&lt;&gt;"All beds",COUNTIF(Beds!$B$6:$B$35,C1257)=0),"Not on Beds",""))))</f>
        <v/>
      </c>
      <c r="G1257" s="1">
        <f>IF(ISNUMBER(B1257),INT(B1257),0)</f>
        <v/>
      </c>
      <c r="H1257">
        <f>IF(AND(G1257&gt;0,D1257="Water",OR(C1257="",C1257="All beds")),G1257,0)</f>
        <v/>
      </c>
    </row>
    <row r="1258">
      <c r="A1258" s="1" t="n"/>
      <c r="B1258" s="17" t="n"/>
      <c r="C1258" s="18" t="n"/>
      <c r="D1258" s="19" t="n"/>
      <c r="E1258" s="21" t="n"/>
      <c r="F1258" s="11">
        <f>IF(AND(B1258="",C1258="",D1258=""),"",IF(NOT(ISNUMBER(B1258)),"Needs a date",IF(D1258="","Needs the job",IF(AND(C1258&lt;&gt;"",C1258&lt;&gt;"All beds",COUNTIF(Beds!$B$6:$B$35,C1258)=0),"Not on Beds",""))))</f>
        <v/>
      </c>
      <c r="G1258" s="1">
        <f>IF(ISNUMBER(B1258),INT(B1258),0)</f>
        <v/>
      </c>
      <c r="H1258">
        <f>IF(AND(G1258&gt;0,D1258="Water",OR(C1258="",C1258="All beds")),G1258,0)</f>
        <v/>
      </c>
    </row>
    <row r="1259">
      <c r="A1259" s="1" t="n"/>
      <c r="B1259" s="17" t="n"/>
      <c r="C1259" s="18" t="n"/>
      <c r="D1259" s="19" t="n"/>
      <c r="E1259" s="21" t="n"/>
      <c r="F1259" s="11">
        <f>IF(AND(B1259="",C1259="",D1259=""),"",IF(NOT(ISNUMBER(B1259)),"Needs a date",IF(D1259="","Needs the job",IF(AND(C1259&lt;&gt;"",C1259&lt;&gt;"All beds",COUNTIF(Beds!$B$6:$B$35,C1259)=0),"Not on Beds",""))))</f>
        <v/>
      </c>
      <c r="G1259" s="1">
        <f>IF(ISNUMBER(B1259),INT(B1259),0)</f>
        <v/>
      </c>
      <c r="H1259">
        <f>IF(AND(G1259&gt;0,D1259="Water",OR(C1259="",C1259="All beds")),G1259,0)</f>
        <v/>
      </c>
    </row>
    <row r="1260">
      <c r="A1260" s="1" t="n"/>
      <c r="B1260" s="17" t="n"/>
      <c r="C1260" s="18" t="n"/>
      <c r="D1260" s="19" t="n"/>
      <c r="E1260" s="21" t="n"/>
      <c r="F1260" s="11">
        <f>IF(AND(B1260="",C1260="",D1260=""),"",IF(NOT(ISNUMBER(B1260)),"Needs a date",IF(D1260="","Needs the job",IF(AND(C1260&lt;&gt;"",C1260&lt;&gt;"All beds",COUNTIF(Beds!$B$6:$B$35,C1260)=0),"Not on Beds",""))))</f>
        <v/>
      </c>
      <c r="G1260" s="1">
        <f>IF(ISNUMBER(B1260),INT(B1260),0)</f>
        <v/>
      </c>
      <c r="H1260">
        <f>IF(AND(G1260&gt;0,D1260="Water",OR(C1260="",C1260="All beds")),G1260,0)</f>
        <v/>
      </c>
    </row>
    <row r="1261">
      <c r="A1261" s="1" t="n"/>
      <c r="B1261" s="17" t="n"/>
      <c r="C1261" s="18" t="n"/>
      <c r="D1261" s="19" t="n"/>
      <c r="E1261" s="21" t="n"/>
      <c r="F1261" s="11">
        <f>IF(AND(B1261="",C1261="",D1261=""),"",IF(NOT(ISNUMBER(B1261)),"Needs a date",IF(D1261="","Needs the job",IF(AND(C1261&lt;&gt;"",C1261&lt;&gt;"All beds",COUNTIF(Beds!$B$6:$B$35,C1261)=0),"Not on Beds",""))))</f>
        <v/>
      </c>
      <c r="G1261" s="1">
        <f>IF(ISNUMBER(B1261),INT(B1261),0)</f>
        <v/>
      </c>
      <c r="H1261">
        <f>IF(AND(G1261&gt;0,D1261="Water",OR(C1261="",C1261="All beds")),G1261,0)</f>
        <v/>
      </c>
    </row>
    <row r="1262">
      <c r="A1262" s="1" t="n"/>
      <c r="B1262" s="17" t="n"/>
      <c r="C1262" s="18" t="n"/>
      <c r="D1262" s="19" t="n"/>
      <c r="E1262" s="21" t="n"/>
      <c r="F1262" s="11">
        <f>IF(AND(B1262="",C1262="",D1262=""),"",IF(NOT(ISNUMBER(B1262)),"Needs a date",IF(D1262="","Needs the job",IF(AND(C1262&lt;&gt;"",C1262&lt;&gt;"All beds",COUNTIF(Beds!$B$6:$B$35,C1262)=0),"Not on Beds",""))))</f>
        <v/>
      </c>
      <c r="G1262" s="1">
        <f>IF(ISNUMBER(B1262),INT(B1262),0)</f>
        <v/>
      </c>
      <c r="H1262">
        <f>IF(AND(G1262&gt;0,D1262="Water",OR(C1262="",C1262="All beds")),G1262,0)</f>
        <v/>
      </c>
    </row>
    <row r="1263">
      <c r="A1263" s="1" t="n"/>
      <c r="B1263" s="17" t="n"/>
      <c r="C1263" s="18" t="n"/>
      <c r="D1263" s="19" t="n"/>
      <c r="E1263" s="21" t="n"/>
      <c r="F1263" s="11">
        <f>IF(AND(B1263="",C1263="",D1263=""),"",IF(NOT(ISNUMBER(B1263)),"Needs a date",IF(D1263="","Needs the job",IF(AND(C1263&lt;&gt;"",C1263&lt;&gt;"All beds",COUNTIF(Beds!$B$6:$B$35,C1263)=0),"Not on Beds",""))))</f>
        <v/>
      </c>
      <c r="G1263" s="1">
        <f>IF(ISNUMBER(B1263),INT(B1263),0)</f>
        <v/>
      </c>
      <c r="H1263">
        <f>IF(AND(G1263&gt;0,D1263="Water",OR(C1263="",C1263="All beds")),G1263,0)</f>
        <v/>
      </c>
    </row>
    <row r="1264">
      <c r="A1264" s="1" t="n"/>
      <c r="B1264" s="17" t="n"/>
      <c r="C1264" s="18" t="n"/>
      <c r="D1264" s="19" t="n"/>
      <c r="E1264" s="21" t="n"/>
      <c r="F1264" s="11">
        <f>IF(AND(B1264="",C1264="",D1264=""),"",IF(NOT(ISNUMBER(B1264)),"Needs a date",IF(D1264="","Needs the job",IF(AND(C1264&lt;&gt;"",C1264&lt;&gt;"All beds",COUNTIF(Beds!$B$6:$B$35,C1264)=0),"Not on Beds",""))))</f>
        <v/>
      </c>
      <c r="G1264" s="1">
        <f>IF(ISNUMBER(B1264),INT(B1264),0)</f>
        <v/>
      </c>
      <c r="H1264">
        <f>IF(AND(G1264&gt;0,D1264="Water",OR(C1264="",C1264="All beds")),G1264,0)</f>
        <v/>
      </c>
    </row>
    <row r="1265">
      <c r="A1265" s="1" t="n"/>
      <c r="B1265" s="17" t="n"/>
      <c r="C1265" s="18" t="n"/>
      <c r="D1265" s="19" t="n"/>
      <c r="E1265" s="21" t="n"/>
      <c r="F1265" s="11">
        <f>IF(AND(B1265="",C1265="",D1265=""),"",IF(NOT(ISNUMBER(B1265)),"Needs a date",IF(D1265="","Needs the job",IF(AND(C1265&lt;&gt;"",C1265&lt;&gt;"All beds",COUNTIF(Beds!$B$6:$B$35,C1265)=0),"Not on Beds",""))))</f>
        <v/>
      </c>
      <c r="G1265" s="1">
        <f>IF(ISNUMBER(B1265),INT(B1265),0)</f>
        <v/>
      </c>
      <c r="H1265">
        <f>IF(AND(G1265&gt;0,D1265="Water",OR(C1265="",C1265="All beds")),G1265,0)</f>
        <v/>
      </c>
    </row>
    <row r="1266">
      <c r="A1266" s="1" t="n"/>
      <c r="B1266" s="17" t="n"/>
      <c r="C1266" s="18" t="n"/>
      <c r="D1266" s="19" t="n"/>
      <c r="E1266" s="21" t="n"/>
      <c r="F1266" s="11">
        <f>IF(AND(B1266="",C1266="",D1266=""),"",IF(NOT(ISNUMBER(B1266)),"Needs a date",IF(D1266="","Needs the job",IF(AND(C1266&lt;&gt;"",C1266&lt;&gt;"All beds",COUNTIF(Beds!$B$6:$B$35,C1266)=0),"Not on Beds",""))))</f>
        <v/>
      </c>
      <c r="G1266" s="1">
        <f>IF(ISNUMBER(B1266),INT(B1266),0)</f>
        <v/>
      </c>
      <c r="H1266">
        <f>IF(AND(G1266&gt;0,D1266="Water",OR(C1266="",C1266="All beds")),G1266,0)</f>
        <v/>
      </c>
    </row>
    <row r="1267">
      <c r="A1267" s="1" t="n"/>
      <c r="B1267" s="17" t="n"/>
      <c r="C1267" s="18" t="n"/>
      <c r="D1267" s="19" t="n"/>
      <c r="E1267" s="21" t="n"/>
      <c r="F1267" s="11">
        <f>IF(AND(B1267="",C1267="",D1267=""),"",IF(NOT(ISNUMBER(B1267)),"Needs a date",IF(D1267="","Needs the job",IF(AND(C1267&lt;&gt;"",C1267&lt;&gt;"All beds",COUNTIF(Beds!$B$6:$B$35,C1267)=0),"Not on Beds",""))))</f>
        <v/>
      </c>
      <c r="G1267" s="1">
        <f>IF(ISNUMBER(B1267),INT(B1267),0)</f>
        <v/>
      </c>
      <c r="H1267">
        <f>IF(AND(G1267&gt;0,D1267="Water",OR(C1267="",C1267="All beds")),G1267,0)</f>
        <v/>
      </c>
    </row>
    <row r="1268">
      <c r="A1268" s="1" t="n"/>
      <c r="B1268" s="17" t="n"/>
      <c r="C1268" s="18" t="n"/>
      <c r="D1268" s="19" t="n"/>
      <c r="E1268" s="21" t="n"/>
      <c r="F1268" s="11">
        <f>IF(AND(B1268="",C1268="",D1268=""),"",IF(NOT(ISNUMBER(B1268)),"Needs a date",IF(D1268="","Needs the job",IF(AND(C1268&lt;&gt;"",C1268&lt;&gt;"All beds",COUNTIF(Beds!$B$6:$B$35,C1268)=0),"Not on Beds",""))))</f>
        <v/>
      </c>
      <c r="G1268" s="1">
        <f>IF(ISNUMBER(B1268),INT(B1268),0)</f>
        <v/>
      </c>
      <c r="H1268">
        <f>IF(AND(G1268&gt;0,D1268="Water",OR(C1268="",C1268="All beds")),G1268,0)</f>
        <v/>
      </c>
    </row>
    <row r="1269">
      <c r="A1269" s="1" t="n"/>
      <c r="B1269" s="17" t="n"/>
      <c r="C1269" s="18" t="n"/>
      <c r="D1269" s="19" t="n"/>
      <c r="E1269" s="21" t="n"/>
      <c r="F1269" s="11">
        <f>IF(AND(B1269="",C1269="",D1269=""),"",IF(NOT(ISNUMBER(B1269)),"Needs a date",IF(D1269="","Needs the job",IF(AND(C1269&lt;&gt;"",C1269&lt;&gt;"All beds",COUNTIF(Beds!$B$6:$B$35,C1269)=0),"Not on Beds",""))))</f>
        <v/>
      </c>
      <c r="G1269" s="1">
        <f>IF(ISNUMBER(B1269),INT(B1269),0)</f>
        <v/>
      </c>
      <c r="H1269">
        <f>IF(AND(G1269&gt;0,D1269="Water",OR(C1269="",C1269="All beds")),G1269,0)</f>
        <v/>
      </c>
    </row>
    <row r="1270">
      <c r="A1270" s="1" t="n"/>
      <c r="B1270" s="17" t="n"/>
      <c r="C1270" s="18" t="n"/>
      <c r="D1270" s="19" t="n"/>
      <c r="E1270" s="21" t="n"/>
      <c r="F1270" s="11">
        <f>IF(AND(B1270="",C1270="",D1270=""),"",IF(NOT(ISNUMBER(B1270)),"Needs a date",IF(D1270="","Needs the job",IF(AND(C1270&lt;&gt;"",C1270&lt;&gt;"All beds",COUNTIF(Beds!$B$6:$B$35,C1270)=0),"Not on Beds",""))))</f>
        <v/>
      </c>
      <c r="G1270" s="1">
        <f>IF(ISNUMBER(B1270),INT(B1270),0)</f>
        <v/>
      </c>
      <c r="H1270">
        <f>IF(AND(G1270&gt;0,D1270="Water",OR(C1270="",C1270="All beds")),G1270,0)</f>
        <v/>
      </c>
    </row>
    <row r="1271">
      <c r="A1271" s="1" t="n"/>
      <c r="B1271" s="17" t="n"/>
      <c r="C1271" s="18" t="n"/>
      <c r="D1271" s="19" t="n"/>
      <c r="E1271" s="21" t="n"/>
      <c r="F1271" s="11">
        <f>IF(AND(B1271="",C1271="",D1271=""),"",IF(NOT(ISNUMBER(B1271)),"Needs a date",IF(D1271="","Needs the job",IF(AND(C1271&lt;&gt;"",C1271&lt;&gt;"All beds",COUNTIF(Beds!$B$6:$B$35,C1271)=0),"Not on Beds",""))))</f>
        <v/>
      </c>
      <c r="G1271" s="1">
        <f>IF(ISNUMBER(B1271),INT(B1271),0)</f>
        <v/>
      </c>
      <c r="H1271">
        <f>IF(AND(G1271&gt;0,D1271="Water",OR(C1271="",C1271="All beds")),G1271,0)</f>
        <v/>
      </c>
    </row>
    <row r="1272">
      <c r="A1272" s="1" t="n"/>
      <c r="B1272" s="17" t="n"/>
      <c r="C1272" s="18" t="n"/>
      <c r="D1272" s="19" t="n"/>
      <c r="E1272" s="21" t="n"/>
      <c r="F1272" s="11">
        <f>IF(AND(B1272="",C1272="",D1272=""),"",IF(NOT(ISNUMBER(B1272)),"Needs a date",IF(D1272="","Needs the job",IF(AND(C1272&lt;&gt;"",C1272&lt;&gt;"All beds",COUNTIF(Beds!$B$6:$B$35,C1272)=0),"Not on Beds",""))))</f>
        <v/>
      </c>
      <c r="G1272" s="1">
        <f>IF(ISNUMBER(B1272),INT(B1272),0)</f>
        <v/>
      </c>
      <c r="H1272">
        <f>IF(AND(G1272&gt;0,D1272="Water",OR(C1272="",C1272="All beds")),G1272,0)</f>
        <v/>
      </c>
    </row>
    <row r="1273">
      <c r="A1273" s="1" t="n"/>
      <c r="B1273" s="17" t="n"/>
      <c r="C1273" s="18" t="n"/>
      <c r="D1273" s="19" t="n"/>
      <c r="E1273" s="21" t="n"/>
      <c r="F1273" s="11">
        <f>IF(AND(B1273="",C1273="",D1273=""),"",IF(NOT(ISNUMBER(B1273)),"Needs a date",IF(D1273="","Needs the job",IF(AND(C1273&lt;&gt;"",C1273&lt;&gt;"All beds",COUNTIF(Beds!$B$6:$B$35,C1273)=0),"Not on Beds",""))))</f>
        <v/>
      </c>
      <c r="G1273" s="1">
        <f>IF(ISNUMBER(B1273),INT(B1273),0)</f>
        <v/>
      </c>
      <c r="H1273">
        <f>IF(AND(G1273&gt;0,D1273="Water",OR(C1273="",C1273="All beds")),G1273,0)</f>
        <v/>
      </c>
    </row>
    <row r="1274">
      <c r="A1274" s="1" t="n"/>
      <c r="B1274" s="17" t="n"/>
      <c r="C1274" s="18" t="n"/>
      <c r="D1274" s="19" t="n"/>
      <c r="E1274" s="21" t="n"/>
      <c r="F1274" s="11">
        <f>IF(AND(B1274="",C1274="",D1274=""),"",IF(NOT(ISNUMBER(B1274)),"Needs a date",IF(D1274="","Needs the job",IF(AND(C1274&lt;&gt;"",C1274&lt;&gt;"All beds",COUNTIF(Beds!$B$6:$B$35,C1274)=0),"Not on Beds",""))))</f>
        <v/>
      </c>
      <c r="G1274" s="1">
        <f>IF(ISNUMBER(B1274),INT(B1274),0)</f>
        <v/>
      </c>
      <c r="H1274">
        <f>IF(AND(G1274&gt;0,D1274="Water",OR(C1274="",C1274="All beds")),G1274,0)</f>
        <v/>
      </c>
    </row>
    <row r="1275">
      <c r="A1275" s="1" t="n"/>
      <c r="B1275" s="17" t="n"/>
      <c r="C1275" s="18" t="n"/>
      <c r="D1275" s="19" t="n"/>
      <c r="E1275" s="21" t="n"/>
      <c r="F1275" s="11">
        <f>IF(AND(B1275="",C1275="",D1275=""),"",IF(NOT(ISNUMBER(B1275)),"Needs a date",IF(D1275="","Needs the job",IF(AND(C1275&lt;&gt;"",C1275&lt;&gt;"All beds",COUNTIF(Beds!$B$6:$B$35,C1275)=0),"Not on Beds",""))))</f>
        <v/>
      </c>
      <c r="G1275" s="1">
        <f>IF(ISNUMBER(B1275),INT(B1275),0)</f>
        <v/>
      </c>
      <c r="H1275">
        <f>IF(AND(G1275&gt;0,D1275="Water",OR(C1275="",C1275="All beds")),G1275,0)</f>
        <v/>
      </c>
    </row>
    <row r="1276">
      <c r="A1276" s="1" t="n"/>
      <c r="B1276" s="17" t="n"/>
      <c r="C1276" s="18" t="n"/>
      <c r="D1276" s="19" t="n"/>
      <c r="E1276" s="21" t="n"/>
      <c r="F1276" s="11">
        <f>IF(AND(B1276="",C1276="",D1276=""),"",IF(NOT(ISNUMBER(B1276)),"Needs a date",IF(D1276="","Needs the job",IF(AND(C1276&lt;&gt;"",C1276&lt;&gt;"All beds",COUNTIF(Beds!$B$6:$B$35,C1276)=0),"Not on Beds",""))))</f>
        <v/>
      </c>
      <c r="G1276" s="1">
        <f>IF(ISNUMBER(B1276),INT(B1276),0)</f>
        <v/>
      </c>
      <c r="H1276">
        <f>IF(AND(G1276&gt;0,D1276="Water",OR(C1276="",C1276="All beds")),G1276,0)</f>
        <v/>
      </c>
    </row>
    <row r="1277">
      <c r="A1277" s="1" t="n"/>
      <c r="B1277" s="17" t="n"/>
      <c r="C1277" s="18" t="n"/>
      <c r="D1277" s="19" t="n"/>
      <c r="E1277" s="21" t="n"/>
      <c r="F1277" s="11">
        <f>IF(AND(B1277="",C1277="",D1277=""),"",IF(NOT(ISNUMBER(B1277)),"Needs a date",IF(D1277="","Needs the job",IF(AND(C1277&lt;&gt;"",C1277&lt;&gt;"All beds",COUNTIF(Beds!$B$6:$B$35,C1277)=0),"Not on Beds",""))))</f>
        <v/>
      </c>
      <c r="G1277" s="1">
        <f>IF(ISNUMBER(B1277),INT(B1277),0)</f>
        <v/>
      </c>
      <c r="H1277">
        <f>IF(AND(G1277&gt;0,D1277="Water",OR(C1277="",C1277="All beds")),G1277,0)</f>
        <v/>
      </c>
    </row>
    <row r="1278">
      <c r="A1278" s="1" t="n"/>
      <c r="B1278" s="17" t="n"/>
      <c r="C1278" s="18" t="n"/>
      <c r="D1278" s="19" t="n"/>
      <c r="E1278" s="21" t="n"/>
      <c r="F1278" s="11">
        <f>IF(AND(B1278="",C1278="",D1278=""),"",IF(NOT(ISNUMBER(B1278)),"Needs a date",IF(D1278="","Needs the job",IF(AND(C1278&lt;&gt;"",C1278&lt;&gt;"All beds",COUNTIF(Beds!$B$6:$B$35,C1278)=0),"Not on Beds",""))))</f>
        <v/>
      </c>
      <c r="G1278" s="1">
        <f>IF(ISNUMBER(B1278),INT(B1278),0)</f>
        <v/>
      </c>
      <c r="H1278">
        <f>IF(AND(G1278&gt;0,D1278="Water",OR(C1278="",C1278="All beds")),G1278,0)</f>
        <v/>
      </c>
    </row>
    <row r="1279">
      <c r="A1279" s="1" t="n"/>
      <c r="B1279" s="17" t="n"/>
      <c r="C1279" s="18" t="n"/>
      <c r="D1279" s="19" t="n"/>
      <c r="E1279" s="21" t="n"/>
      <c r="F1279" s="11">
        <f>IF(AND(B1279="",C1279="",D1279=""),"",IF(NOT(ISNUMBER(B1279)),"Needs a date",IF(D1279="","Needs the job",IF(AND(C1279&lt;&gt;"",C1279&lt;&gt;"All beds",COUNTIF(Beds!$B$6:$B$35,C1279)=0),"Not on Beds",""))))</f>
        <v/>
      </c>
      <c r="G1279" s="1">
        <f>IF(ISNUMBER(B1279),INT(B1279),0)</f>
        <v/>
      </c>
      <c r="H1279">
        <f>IF(AND(G1279&gt;0,D1279="Water",OR(C1279="",C1279="All beds")),G1279,0)</f>
        <v/>
      </c>
    </row>
    <row r="1280">
      <c r="A1280" s="1" t="n"/>
      <c r="B1280" s="17" t="n"/>
      <c r="C1280" s="18" t="n"/>
      <c r="D1280" s="19" t="n"/>
      <c r="E1280" s="21" t="n"/>
      <c r="F1280" s="11">
        <f>IF(AND(B1280="",C1280="",D1280=""),"",IF(NOT(ISNUMBER(B1280)),"Needs a date",IF(D1280="","Needs the job",IF(AND(C1280&lt;&gt;"",C1280&lt;&gt;"All beds",COUNTIF(Beds!$B$6:$B$35,C1280)=0),"Not on Beds",""))))</f>
        <v/>
      </c>
      <c r="G1280" s="1">
        <f>IF(ISNUMBER(B1280),INT(B1280),0)</f>
        <v/>
      </c>
      <c r="H1280">
        <f>IF(AND(G1280&gt;0,D1280="Water",OR(C1280="",C1280="All beds")),G1280,0)</f>
        <v/>
      </c>
    </row>
    <row r="1281">
      <c r="A1281" s="1" t="n"/>
      <c r="B1281" s="17" t="n"/>
      <c r="C1281" s="18" t="n"/>
      <c r="D1281" s="19" t="n"/>
      <c r="E1281" s="21" t="n"/>
      <c r="F1281" s="11">
        <f>IF(AND(B1281="",C1281="",D1281=""),"",IF(NOT(ISNUMBER(B1281)),"Needs a date",IF(D1281="","Needs the job",IF(AND(C1281&lt;&gt;"",C1281&lt;&gt;"All beds",COUNTIF(Beds!$B$6:$B$35,C1281)=0),"Not on Beds",""))))</f>
        <v/>
      </c>
      <c r="G1281" s="1">
        <f>IF(ISNUMBER(B1281),INT(B1281),0)</f>
        <v/>
      </c>
      <c r="H1281">
        <f>IF(AND(G1281&gt;0,D1281="Water",OR(C1281="",C1281="All beds")),G1281,0)</f>
        <v/>
      </c>
    </row>
    <row r="1282">
      <c r="A1282" s="1" t="n"/>
      <c r="B1282" s="17" t="n"/>
      <c r="C1282" s="18" t="n"/>
      <c r="D1282" s="19" t="n"/>
      <c r="E1282" s="21" t="n"/>
      <c r="F1282" s="11">
        <f>IF(AND(B1282="",C1282="",D1282=""),"",IF(NOT(ISNUMBER(B1282)),"Needs a date",IF(D1282="","Needs the job",IF(AND(C1282&lt;&gt;"",C1282&lt;&gt;"All beds",COUNTIF(Beds!$B$6:$B$35,C1282)=0),"Not on Beds",""))))</f>
        <v/>
      </c>
      <c r="G1282" s="1">
        <f>IF(ISNUMBER(B1282),INT(B1282),0)</f>
        <v/>
      </c>
      <c r="H1282">
        <f>IF(AND(G1282&gt;0,D1282="Water",OR(C1282="",C1282="All beds")),G1282,0)</f>
        <v/>
      </c>
    </row>
    <row r="1283">
      <c r="A1283" s="1" t="n"/>
      <c r="B1283" s="17" t="n"/>
      <c r="C1283" s="18" t="n"/>
      <c r="D1283" s="19" t="n"/>
      <c r="E1283" s="21" t="n"/>
      <c r="F1283" s="11">
        <f>IF(AND(B1283="",C1283="",D1283=""),"",IF(NOT(ISNUMBER(B1283)),"Needs a date",IF(D1283="","Needs the job",IF(AND(C1283&lt;&gt;"",C1283&lt;&gt;"All beds",COUNTIF(Beds!$B$6:$B$35,C1283)=0),"Not on Beds",""))))</f>
        <v/>
      </c>
      <c r="G1283" s="1">
        <f>IF(ISNUMBER(B1283),INT(B1283),0)</f>
        <v/>
      </c>
      <c r="H1283">
        <f>IF(AND(G1283&gt;0,D1283="Water",OR(C1283="",C1283="All beds")),G1283,0)</f>
        <v/>
      </c>
    </row>
    <row r="1284">
      <c r="A1284" s="1" t="n"/>
      <c r="B1284" s="17" t="n"/>
      <c r="C1284" s="18" t="n"/>
      <c r="D1284" s="19" t="n"/>
      <c r="E1284" s="21" t="n"/>
      <c r="F1284" s="11">
        <f>IF(AND(B1284="",C1284="",D1284=""),"",IF(NOT(ISNUMBER(B1284)),"Needs a date",IF(D1284="","Needs the job",IF(AND(C1284&lt;&gt;"",C1284&lt;&gt;"All beds",COUNTIF(Beds!$B$6:$B$35,C1284)=0),"Not on Beds",""))))</f>
        <v/>
      </c>
      <c r="G1284" s="1">
        <f>IF(ISNUMBER(B1284),INT(B1284),0)</f>
        <v/>
      </c>
      <c r="H1284">
        <f>IF(AND(G1284&gt;0,D1284="Water",OR(C1284="",C1284="All beds")),G1284,0)</f>
        <v/>
      </c>
    </row>
    <row r="1285">
      <c r="A1285" s="1" t="n"/>
      <c r="B1285" s="17" t="n"/>
      <c r="C1285" s="18" t="n"/>
      <c r="D1285" s="19" t="n"/>
      <c r="E1285" s="21" t="n"/>
      <c r="F1285" s="11">
        <f>IF(AND(B1285="",C1285="",D1285=""),"",IF(NOT(ISNUMBER(B1285)),"Needs a date",IF(D1285="","Needs the job",IF(AND(C1285&lt;&gt;"",C1285&lt;&gt;"All beds",COUNTIF(Beds!$B$6:$B$35,C1285)=0),"Not on Beds",""))))</f>
        <v/>
      </c>
      <c r="G1285" s="1">
        <f>IF(ISNUMBER(B1285),INT(B1285),0)</f>
        <v/>
      </c>
      <c r="H1285">
        <f>IF(AND(G1285&gt;0,D1285="Water",OR(C1285="",C1285="All beds")),G1285,0)</f>
        <v/>
      </c>
    </row>
    <row r="1286">
      <c r="A1286" s="1" t="n"/>
      <c r="B1286" s="17" t="n"/>
      <c r="C1286" s="18" t="n"/>
      <c r="D1286" s="19" t="n"/>
      <c r="E1286" s="21" t="n"/>
      <c r="F1286" s="11">
        <f>IF(AND(B1286="",C1286="",D1286=""),"",IF(NOT(ISNUMBER(B1286)),"Needs a date",IF(D1286="","Needs the job",IF(AND(C1286&lt;&gt;"",C1286&lt;&gt;"All beds",COUNTIF(Beds!$B$6:$B$35,C1286)=0),"Not on Beds",""))))</f>
        <v/>
      </c>
      <c r="G1286" s="1">
        <f>IF(ISNUMBER(B1286),INT(B1286),0)</f>
        <v/>
      </c>
      <c r="H1286">
        <f>IF(AND(G1286&gt;0,D1286="Water",OR(C1286="",C1286="All beds")),G1286,0)</f>
        <v/>
      </c>
    </row>
    <row r="1287">
      <c r="A1287" s="1" t="n"/>
      <c r="B1287" s="17" t="n"/>
      <c r="C1287" s="18" t="n"/>
      <c r="D1287" s="19" t="n"/>
      <c r="E1287" s="21" t="n"/>
      <c r="F1287" s="11">
        <f>IF(AND(B1287="",C1287="",D1287=""),"",IF(NOT(ISNUMBER(B1287)),"Needs a date",IF(D1287="","Needs the job",IF(AND(C1287&lt;&gt;"",C1287&lt;&gt;"All beds",COUNTIF(Beds!$B$6:$B$35,C1287)=0),"Not on Beds",""))))</f>
        <v/>
      </c>
      <c r="G1287" s="1">
        <f>IF(ISNUMBER(B1287),INT(B1287),0)</f>
        <v/>
      </c>
      <c r="H1287">
        <f>IF(AND(G1287&gt;0,D1287="Water",OR(C1287="",C1287="All beds")),G1287,0)</f>
        <v/>
      </c>
    </row>
    <row r="1288">
      <c r="A1288" s="1" t="n"/>
      <c r="B1288" s="17" t="n"/>
      <c r="C1288" s="18" t="n"/>
      <c r="D1288" s="19" t="n"/>
      <c r="E1288" s="21" t="n"/>
      <c r="F1288" s="11">
        <f>IF(AND(B1288="",C1288="",D1288=""),"",IF(NOT(ISNUMBER(B1288)),"Needs a date",IF(D1288="","Needs the job",IF(AND(C1288&lt;&gt;"",C1288&lt;&gt;"All beds",COUNTIF(Beds!$B$6:$B$35,C1288)=0),"Not on Beds",""))))</f>
        <v/>
      </c>
      <c r="G1288" s="1">
        <f>IF(ISNUMBER(B1288),INT(B1288),0)</f>
        <v/>
      </c>
      <c r="H1288">
        <f>IF(AND(G1288&gt;0,D1288="Water",OR(C1288="",C1288="All beds")),G1288,0)</f>
        <v/>
      </c>
    </row>
    <row r="1289">
      <c r="A1289" s="1" t="n"/>
      <c r="B1289" s="17" t="n"/>
      <c r="C1289" s="18" t="n"/>
      <c r="D1289" s="19" t="n"/>
      <c r="E1289" s="21" t="n"/>
      <c r="F1289" s="11">
        <f>IF(AND(B1289="",C1289="",D1289=""),"",IF(NOT(ISNUMBER(B1289)),"Needs a date",IF(D1289="","Needs the job",IF(AND(C1289&lt;&gt;"",C1289&lt;&gt;"All beds",COUNTIF(Beds!$B$6:$B$35,C1289)=0),"Not on Beds",""))))</f>
        <v/>
      </c>
      <c r="G1289" s="1">
        <f>IF(ISNUMBER(B1289),INT(B1289),0)</f>
        <v/>
      </c>
      <c r="H1289">
        <f>IF(AND(G1289&gt;0,D1289="Water",OR(C1289="",C1289="All beds")),G1289,0)</f>
        <v/>
      </c>
    </row>
    <row r="1290">
      <c r="A1290" s="1" t="n"/>
      <c r="B1290" s="17" t="n"/>
      <c r="C1290" s="18" t="n"/>
      <c r="D1290" s="19" t="n"/>
      <c r="E1290" s="21" t="n"/>
      <c r="F1290" s="11">
        <f>IF(AND(B1290="",C1290="",D1290=""),"",IF(NOT(ISNUMBER(B1290)),"Needs a date",IF(D1290="","Needs the job",IF(AND(C1290&lt;&gt;"",C1290&lt;&gt;"All beds",COUNTIF(Beds!$B$6:$B$35,C1290)=0),"Not on Beds",""))))</f>
        <v/>
      </c>
      <c r="G1290" s="1">
        <f>IF(ISNUMBER(B1290),INT(B1290),0)</f>
        <v/>
      </c>
      <c r="H1290">
        <f>IF(AND(G1290&gt;0,D1290="Water",OR(C1290="",C1290="All beds")),G1290,0)</f>
        <v/>
      </c>
    </row>
    <row r="1291">
      <c r="A1291" s="1" t="n"/>
      <c r="B1291" s="17" t="n"/>
      <c r="C1291" s="18" t="n"/>
      <c r="D1291" s="19" t="n"/>
      <c r="E1291" s="21" t="n"/>
      <c r="F1291" s="11">
        <f>IF(AND(B1291="",C1291="",D1291=""),"",IF(NOT(ISNUMBER(B1291)),"Needs a date",IF(D1291="","Needs the job",IF(AND(C1291&lt;&gt;"",C1291&lt;&gt;"All beds",COUNTIF(Beds!$B$6:$B$35,C1291)=0),"Not on Beds",""))))</f>
        <v/>
      </c>
      <c r="G1291" s="1">
        <f>IF(ISNUMBER(B1291),INT(B1291),0)</f>
        <v/>
      </c>
      <c r="H1291">
        <f>IF(AND(G1291&gt;0,D1291="Water",OR(C1291="",C1291="All beds")),G1291,0)</f>
        <v/>
      </c>
    </row>
    <row r="1292">
      <c r="A1292" s="1" t="n"/>
      <c r="B1292" s="17" t="n"/>
      <c r="C1292" s="18" t="n"/>
      <c r="D1292" s="19" t="n"/>
      <c r="E1292" s="21" t="n"/>
      <c r="F1292" s="11">
        <f>IF(AND(B1292="",C1292="",D1292=""),"",IF(NOT(ISNUMBER(B1292)),"Needs a date",IF(D1292="","Needs the job",IF(AND(C1292&lt;&gt;"",C1292&lt;&gt;"All beds",COUNTIF(Beds!$B$6:$B$35,C1292)=0),"Not on Beds",""))))</f>
        <v/>
      </c>
      <c r="G1292" s="1">
        <f>IF(ISNUMBER(B1292),INT(B1292),0)</f>
        <v/>
      </c>
      <c r="H1292">
        <f>IF(AND(G1292&gt;0,D1292="Water",OR(C1292="",C1292="All beds")),G1292,0)</f>
        <v/>
      </c>
    </row>
    <row r="1293">
      <c r="A1293" s="1" t="n"/>
      <c r="B1293" s="17" t="n"/>
      <c r="C1293" s="18" t="n"/>
      <c r="D1293" s="19" t="n"/>
      <c r="E1293" s="21" t="n"/>
      <c r="F1293" s="11">
        <f>IF(AND(B1293="",C1293="",D1293=""),"",IF(NOT(ISNUMBER(B1293)),"Needs a date",IF(D1293="","Needs the job",IF(AND(C1293&lt;&gt;"",C1293&lt;&gt;"All beds",COUNTIF(Beds!$B$6:$B$35,C1293)=0),"Not on Beds",""))))</f>
        <v/>
      </c>
      <c r="G1293" s="1">
        <f>IF(ISNUMBER(B1293),INT(B1293),0)</f>
        <v/>
      </c>
      <c r="H1293">
        <f>IF(AND(G1293&gt;0,D1293="Water",OR(C1293="",C1293="All beds")),G1293,0)</f>
        <v/>
      </c>
    </row>
    <row r="1294">
      <c r="A1294" s="1" t="n"/>
      <c r="B1294" s="17" t="n"/>
      <c r="C1294" s="18" t="n"/>
      <c r="D1294" s="19" t="n"/>
      <c r="E1294" s="21" t="n"/>
      <c r="F1294" s="11">
        <f>IF(AND(B1294="",C1294="",D1294=""),"",IF(NOT(ISNUMBER(B1294)),"Needs a date",IF(D1294="","Needs the job",IF(AND(C1294&lt;&gt;"",C1294&lt;&gt;"All beds",COUNTIF(Beds!$B$6:$B$35,C1294)=0),"Not on Beds",""))))</f>
        <v/>
      </c>
      <c r="G1294" s="1">
        <f>IF(ISNUMBER(B1294),INT(B1294),0)</f>
        <v/>
      </c>
      <c r="H1294">
        <f>IF(AND(G1294&gt;0,D1294="Water",OR(C1294="",C1294="All beds")),G1294,0)</f>
        <v/>
      </c>
    </row>
    <row r="1295">
      <c r="A1295" s="1" t="n"/>
      <c r="B1295" s="17" t="n"/>
      <c r="C1295" s="18" t="n"/>
      <c r="D1295" s="19" t="n"/>
      <c r="E1295" s="21" t="n"/>
      <c r="F1295" s="11">
        <f>IF(AND(B1295="",C1295="",D1295=""),"",IF(NOT(ISNUMBER(B1295)),"Needs a date",IF(D1295="","Needs the job",IF(AND(C1295&lt;&gt;"",C1295&lt;&gt;"All beds",COUNTIF(Beds!$B$6:$B$35,C1295)=0),"Not on Beds",""))))</f>
        <v/>
      </c>
      <c r="G1295" s="1">
        <f>IF(ISNUMBER(B1295),INT(B1295),0)</f>
        <v/>
      </c>
      <c r="H1295">
        <f>IF(AND(G1295&gt;0,D1295="Water",OR(C1295="",C1295="All beds")),G1295,0)</f>
        <v/>
      </c>
    </row>
    <row r="1296">
      <c r="A1296" s="1" t="n"/>
      <c r="B1296" s="17" t="n"/>
      <c r="C1296" s="18" t="n"/>
      <c r="D1296" s="19" t="n"/>
      <c r="E1296" s="21" t="n"/>
      <c r="F1296" s="11">
        <f>IF(AND(B1296="",C1296="",D1296=""),"",IF(NOT(ISNUMBER(B1296)),"Needs a date",IF(D1296="","Needs the job",IF(AND(C1296&lt;&gt;"",C1296&lt;&gt;"All beds",COUNTIF(Beds!$B$6:$B$35,C1296)=0),"Not on Beds",""))))</f>
        <v/>
      </c>
      <c r="G1296" s="1">
        <f>IF(ISNUMBER(B1296),INT(B1296),0)</f>
        <v/>
      </c>
      <c r="H1296">
        <f>IF(AND(G1296&gt;0,D1296="Water",OR(C1296="",C1296="All beds")),G1296,0)</f>
        <v/>
      </c>
    </row>
    <row r="1297">
      <c r="A1297" s="1" t="n"/>
      <c r="B1297" s="17" t="n"/>
      <c r="C1297" s="18" t="n"/>
      <c r="D1297" s="19" t="n"/>
      <c r="E1297" s="21" t="n"/>
      <c r="F1297" s="11">
        <f>IF(AND(B1297="",C1297="",D1297=""),"",IF(NOT(ISNUMBER(B1297)),"Needs a date",IF(D1297="","Needs the job",IF(AND(C1297&lt;&gt;"",C1297&lt;&gt;"All beds",COUNTIF(Beds!$B$6:$B$35,C1297)=0),"Not on Beds",""))))</f>
        <v/>
      </c>
      <c r="G1297" s="1">
        <f>IF(ISNUMBER(B1297),INT(B1297),0)</f>
        <v/>
      </c>
      <c r="H1297">
        <f>IF(AND(G1297&gt;0,D1297="Water",OR(C1297="",C1297="All beds")),G1297,0)</f>
        <v/>
      </c>
    </row>
    <row r="1298">
      <c r="A1298" s="1" t="n"/>
      <c r="B1298" s="17" t="n"/>
      <c r="C1298" s="18" t="n"/>
      <c r="D1298" s="19" t="n"/>
      <c r="E1298" s="21" t="n"/>
      <c r="F1298" s="11">
        <f>IF(AND(B1298="",C1298="",D1298=""),"",IF(NOT(ISNUMBER(B1298)),"Needs a date",IF(D1298="","Needs the job",IF(AND(C1298&lt;&gt;"",C1298&lt;&gt;"All beds",COUNTIF(Beds!$B$6:$B$35,C1298)=0),"Not on Beds",""))))</f>
        <v/>
      </c>
      <c r="G1298" s="1">
        <f>IF(ISNUMBER(B1298),INT(B1298),0)</f>
        <v/>
      </c>
      <c r="H1298">
        <f>IF(AND(G1298&gt;0,D1298="Water",OR(C1298="",C1298="All beds")),G1298,0)</f>
        <v/>
      </c>
    </row>
    <row r="1299">
      <c r="A1299" s="1" t="n"/>
      <c r="B1299" s="17" t="n"/>
      <c r="C1299" s="18" t="n"/>
      <c r="D1299" s="19" t="n"/>
      <c r="E1299" s="21" t="n"/>
      <c r="F1299" s="11">
        <f>IF(AND(B1299="",C1299="",D1299=""),"",IF(NOT(ISNUMBER(B1299)),"Needs a date",IF(D1299="","Needs the job",IF(AND(C1299&lt;&gt;"",C1299&lt;&gt;"All beds",COUNTIF(Beds!$B$6:$B$35,C1299)=0),"Not on Beds",""))))</f>
        <v/>
      </c>
      <c r="G1299" s="1">
        <f>IF(ISNUMBER(B1299),INT(B1299),0)</f>
        <v/>
      </c>
      <c r="H1299">
        <f>IF(AND(G1299&gt;0,D1299="Water",OR(C1299="",C1299="All beds")),G1299,0)</f>
        <v/>
      </c>
    </row>
    <row r="1300">
      <c r="A1300" s="1" t="n"/>
      <c r="B1300" s="17" t="n"/>
      <c r="C1300" s="18" t="n"/>
      <c r="D1300" s="19" t="n"/>
      <c r="E1300" s="21" t="n"/>
      <c r="F1300" s="11">
        <f>IF(AND(B1300="",C1300="",D1300=""),"",IF(NOT(ISNUMBER(B1300)),"Needs a date",IF(D1300="","Needs the job",IF(AND(C1300&lt;&gt;"",C1300&lt;&gt;"All beds",COUNTIF(Beds!$B$6:$B$35,C1300)=0),"Not on Beds",""))))</f>
        <v/>
      </c>
      <c r="G1300" s="1">
        <f>IF(ISNUMBER(B1300),INT(B1300),0)</f>
        <v/>
      </c>
      <c r="H1300">
        <f>IF(AND(G1300&gt;0,D1300="Water",OR(C1300="",C1300="All beds")),G1300,0)</f>
        <v/>
      </c>
    </row>
    <row r="1301">
      <c r="A1301" s="1" t="n"/>
      <c r="B1301" s="17" t="n"/>
      <c r="C1301" s="18" t="n"/>
      <c r="D1301" s="19" t="n"/>
      <c r="E1301" s="21" t="n"/>
      <c r="F1301" s="11">
        <f>IF(AND(B1301="",C1301="",D1301=""),"",IF(NOT(ISNUMBER(B1301)),"Needs a date",IF(D1301="","Needs the job",IF(AND(C1301&lt;&gt;"",C1301&lt;&gt;"All beds",COUNTIF(Beds!$B$6:$B$35,C1301)=0),"Not on Beds",""))))</f>
        <v/>
      </c>
      <c r="G1301" s="1">
        <f>IF(ISNUMBER(B1301),INT(B1301),0)</f>
        <v/>
      </c>
      <c r="H1301">
        <f>IF(AND(G1301&gt;0,D1301="Water",OR(C1301="",C1301="All beds")),G1301,0)</f>
        <v/>
      </c>
    </row>
    <row r="1302">
      <c r="A1302" s="1" t="n"/>
      <c r="B1302" s="17" t="n"/>
      <c r="C1302" s="18" t="n"/>
      <c r="D1302" s="19" t="n"/>
      <c r="E1302" s="21" t="n"/>
      <c r="F1302" s="11">
        <f>IF(AND(B1302="",C1302="",D1302=""),"",IF(NOT(ISNUMBER(B1302)),"Needs a date",IF(D1302="","Needs the job",IF(AND(C1302&lt;&gt;"",C1302&lt;&gt;"All beds",COUNTIF(Beds!$B$6:$B$35,C1302)=0),"Not on Beds",""))))</f>
        <v/>
      </c>
      <c r="G1302" s="1">
        <f>IF(ISNUMBER(B1302),INT(B1302),0)</f>
        <v/>
      </c>
      <c r="H1302">
        <f>IF(AND(G1302&gt;0,D1302="Water",OR(C1302="",C1302="All beds")),G1302,0)</f>
        <v/>
      </c>
    </row>
    <row r="1303">
      <c r="A1303" s="1" t="n"/>
      <c r="B1303" s="17" t="n"/>
      <c r="C1303" s="18" t="n"/>
      <c r="D1303" s="19" t="n"/>
      <c r="E1303" s="21" t="n"/>
      <c r="F1303" s="11">
        <f>IF(AND(B1303="",C1303="",D1303=""),"",IF(NOT(ISNUMBER(B1303)),"Needs a date",IF(D1303="","Needs the job",IF(AND(C1303&lt;&gt;"",C1303&lt;&gt;"All beds",COUNTIF(Beds!$B$6:$B$35,C1303)=0),"Not on Beds",""))))</f>
        <v/>
      </c>
      <c r="G1303" s="1">
        <f>IF(ISNUMBER(B1303),INT(B1303),0)</f>
        <v/>
      </c>
      <c r="H1303">
        <f>IF(AND(G1303&gt;0,D1303="Water",OR(C1303="",C1303="All beds")),G1303,0)</f>
        <v/>
      </c>
    </row>
    <row r="1304">
      <c r="A1304" s="1" t="n"/>
      <c r="B1304" s="17" t="n"/>
      <c r="C1304" s="18" t="n"/>
      <c r="D1304" s="19" t="n"/>
      <c r="E1304" s="21" t="n"/>
      <c r="F1304" s="11">
        <f>IF(AND(B1304="",C1304="",D1304=""),"",IF(NOT(ISNUMBER(B1304)),"Needs a date",IF(D1304="","Needs the job",IF(AND(C1304&lt;&gt;"",C1304&lt;&gt;"All beds",COUNTIF(Beds!$B$6:$B$35,C1304)=0),"Not on Beds",""))))</f>
        <v/>
      </c>
      <c r="G1304" s="1">
        <f>IF(ISNUMBER(B1304),INT(B1304),0)</f>
        <v/>
      </c>
      <c r="H1304">
        <f>IF(AND(G1304&gt;0,D1304="Water",OR(C1304="",C1304="All beds")),G1304,0)</f>
        <v/>
      </c>
    </row>
    <row r="1305">
      <c r="A1305" s="1" t="n"/>
      <c r="B1305" s="17" t="n"/>
      <c r="C1305" s="18" t="n"/>
      <c r="D1305" s="19" t="n"/>
      <c r="E1305" s="21" t="n"/>
      <c r="F1305" s="11">
        <f>IF(AND(B1305="",C1305="",D1305=""),"",IF(NOT(ISNUMBER(B1305)),"Needs a date",IF(D1305="","Needs the job",IF(AND(C1305&lt;&gt;"",C1305&lt;&gt;"All beds",COUNTIF(Beds!$B$6:$B$35,C1305)=0),"Not on Beds",""))))</f>
        <v/>
      </c>
      <c r="G1305" s="1">
        <f>IF(ISNUMBER(B1305),INT(B1305),0)</f>
        <v/>
      </c>
      <c r="H1305">
        <f>IF(AND(G1305&gt;0,D1305="Water",OR(C1305="",C1305="All beds")),G1305,0)</f>
        <v/>
      </c>
    </row>
    <row r="1306">
      <c r="A1306" s="1" t="n"/>
      <c r="B1306" s="17" t="n"/>
      <c r="C1306" s="18" t="n"/>
      <c r="D1306" s="19" t="n"/>
      <c r="E1306" s="21" t="n"/>
      <c r="F1306" s="11">
        <f>IF(AND(B1306="",C1306="",D1306=""),"",IF(NOT(ISNUMBER(B1306)),"Needs a date",IF(D1306="","Needs the job",IF(AND(C1306&lt;&gt;"",C1306&lt;&gt;"All beds",COUNTIF(Beds!$B$6:$B$35,C1306)=0),"Not on Beds",""))))</f>
        <v/>
      </c>
      <c r="G1306" s="1">
        <f>IF(ISNUMBER(B1306),INT(B1306),0)</f>
        <v/>
      </c>
      <c r="H1306">
        <f>IF(AND(G1306&gt;0,D1306="Water",OR(C1306="",C1306="All beds")),G1306,0)</f>
        <v/>
      </c>
    </row>
    <row r="1307">
      <c r="A1307" s="1" t="n"/>
      <c r="B1307" s="17" t="n"/>
      <c r="C1307" s="18" t="n"/>
      <c r="D1307" s="19" t="n"/>
      <c r="E1307" s="21" t="n"/>
      <c r="F1307" s="11">
        <f>IF(AND(B1307="",C1307="",D1307=""),"",IF(NOT(ISNUMBER(B1307)),"Needs a date",IF(D1307="","Needs the job",IF(AND(C1307&lt;&gt;"",C1307&lt;&gt;"All beds",COUNTIF(Beds!$B$6:$B$35,C1307)=0),"Not on Beds",""))))</f>
        <v/>
      </c>
      <c r="G1307" s="1">
        <f>IF(ISNUMBER(B1307),INT(B1307),0)</f>
        <v/>
      </c>
      <c r="H1307">
        <f>IF(AND(G1307&gt;0,D1307="Water",OR(C1307="",C1307="All beds")),G1307,0)</f>
        <v/>
      </c>
    </row>
    <row r="1308">
      <c r="A1308" s="1" t="n"/>
      <c r="B1308" s="17" t="n"/>
      <c r="C1308" s="18" t="n"/>
      <c r="D1308" s="19" t="n"/>
      <c r="E1308" s="21" t="n"/>
      <c r="F1308" s="11">
        <f>IF(AND(B1308="",C1308="",D1308=""),"",IF(NOT(ISNUMBER(B1308)),"Needs a date",IF(D1308="","Needs the job",IF(AND(C1308&lt;&gt;"",C1308&lt;&gt;"All beds",COUNTIF(Beds!$B$6:$B$35,C1308)=0),"Not on Beds",""))))</f>
        <v/>
      </c>
      <c r="G1308" s="1">
        <f>IF(ISNUMBER(B1308),INT(B1308),0)</f>
        <v/>
      </c>
      <c r="H1308">
        <f>IF(AND(G1308&gt;0,D1308="Water",OR(C1308="",C1308="All beds")),G1308,0)</f>
        <v/>
      </c>
    </row>
    <row r="1309">
      <c r="A1309" s="1" t="n"/>
      <c r="B1309" s="17" t="n"/>
      <c r="C1309" s="18" t="n"/>
      <c r="D1309" s="19" t="n"/>
      <c r="E1309" s="21" t="n"/>
      <c r="F1309" s="11">
        <f>IF(AND(B1309="",C1309="",D1309=""),"",IF(NOT(ISNUMBER(B1309)),"Needs a date",IF(D1309="","Needs the job",IF(AND(C1309&lt;&gt;"",C1309&lt;&gt;"All beds",COUNTIF(Beds!$B$6:$B$35,C1309)=0),"Not on Beds",""))))</f>
        <v/>
      </c>
      <c r="G1309" s="1">
        <f>IF(ISNUMBER(B1309),INT(B1309),0)</f>
        <v/>
      </c>
      <c r="H1309">
        <f>IF(AND(G1309&gt;0,D1309="Water",OR(C1309="",C1309="All beds")),G1309,0)</f>
        <v/>
      </c>
    </row>
    <row r="1310">
      <c r="A1310" s="1" t="n"/>
      <c r="B1310" s="17" t="n"/>
      <c r="C1310" s="18" t="n"/>
      <c r="D1310" s="19" t="n"/>
      <c r="E1310" s="21" t="n"/>
      <c r="F1310" s="11">
        <f>IF(AND(B1310="",C1310="",D1310=""),"",IF(NOT(ISNUMBER(B1310)),"Needs a date",IF(D1310="","Needs the job",IF(AND(C1310&lt;&gt;"",C1310&lt;&gt;"All beds",COUNTIF(Beds!$B$6:$B$35,C1310)=0),"Not on Beds",""))))</f>
        <v/>
      </c>
      <c r="G1310" s="1">
        <f>IF(ISNUMBER(B1310),INT(B1310),0)</f>
        <v/>
      </c>
      <c r="H1310">
        <f>IF(AND(G1310&gt;0,D1310="Water",OR(C1310="",C1310="All beds")),G1310,0)</f>
        <v/>
      </c>
    </row>
    <row r="1311">
      <c r="A1311" s="1" t="n"/>
      <c r="B1311" s="17" t="n"/>
      <c r="C1311" s="18" t="n"/>
      <c r="D1311" s="19" t="n"/>
      <c r="E1311" s="21" t="n"/>
      <c r="F1311" s="11">
        <f>IF(AND(B1311="",C1311="",D1311=""),"",IF(NOT(ISNUMBER(B1311)),"Needs a date",IF(D1311="","Needs the job",IF(AND(C1311&lt;&gt;"",C1311&lt;&gt;"All beds",COUNTIF(Beds!$B$6:$B$35,C1311)=0),"Not on Beds",""))))</f>
        <v/>
      </c>
      <c r="G1311" s="1">
        <f>IF(ISNUMBER(B1311),INT(B1311),0)</f>
        <v/>
      </c>
      <c r="H1311">
        <f>IF(AND(G1311&gt;0,D1311="Water",OR(C1311="",C1311="All beds")),G1311,0)</f>
        <v/>
      </c>
    </row>
    <row r="1312">
      <c r="A1312" s="1" t="n"/>
      <c r="B1312" s="17" t="n"/>
      <c r="C1312" s="18" t="n"/>
      <c r="D1312" s="19" t="n"/>
      <c r="E1312" s="21" t="n"/>
      <c r="F1312" s="11">
        <f>IF(AND(B1312="",C1312="",D1312=""),"",IF(NOT(ISNUMBER(B1312)),"Needs a date",IF(D1312="","Needs the job",IF(AND(C1312&lt;&gt;"",C1312&lt;&gt;"All beds",COUNTIF(Beds!$B$6:$B$35,C1312)=0),"Not on Beds",""))))</f>
        <v/>
      </c>
      <c r="G1312" s="1">
        <f>IF(ISNUMBER(B1312),INT(B1312),0)</f>
        <v/>
      </c>
      <c r="H1312">
        <f>IF(AND(G1312&gt;0,D1312="Water",OR(C1312="",C1312="All beds")),G1312,0)</f>
        <v/>
      </c>
    </row>
    <row r="1313">
      <c r="A1313" s="1" t="n"/>
      <c r="B1313" s="17" t="n"/>
      <c r="C1313" s="18" t="n"/>
      <c r="D1313" s="19" t="n"/>
      <c r="E1313" s="21" t="n"/>
      <c r="F1313" s="11">
        <f>IF(AND(B1313="",C1313="",D1313=""),"",IF(NOT(ISNUMBER(B1313)),"Needs a date",IF(D1313="","Needs the job",IF(AND(C1313&lt;&gt;"",C1313&lt;&gt;"All beds",COUNTIF(Beds!$B$6:$B$35,C1313)=0),"Not on Beds",""))))</f>
        <v/>
      </c>
      <c r="G1313" s="1">
        <f>IF(ISNUMBER(B1313),INT(B1313),0)</f>
        <v/>
      </c>
      <c r="H1313">
        <f>IF(AND(G1313&gt;0,D1313="Water",OR(C1313="",C1313="All beds")),G1313,0)</f>
        <v/>
      </c>
    </row>
    <row r="1314">
      <c r="A1314" s="1" t="n"/>
      <c r="B1314" s="17" t="n"/>
      <c r="C1314" s="18" t="n"/>
      <c r="D1314" s="19" t="n"/>
      <c r="E1314" s="21" t="n"/>
      <c r="F1314" s="11">
        <f>IF(AND(B1314="",C1314="",D1314=""),"",IF(NOT(ISNUMBER(B1314)),"Needs a date",IF(D1314="","Needs the job",IF(AND(C1314&lt;&gt;"",C1314&lt;&gt;"All beds",COUNTIF(Beds!$B$6:$B$35,C1314)=0),"Not on Beds",""))))</f>
        <v/>
      </c>
      <c r="G1314" s="1">
        <f>IF(ISNUMBER(B1314),INT(B1314),0)</f>
        <v/>
      </c>
      <c r="H1314">
        <f>IF(AND(G1314&gt;0,D1314="Water",OR(C1314="",C1314="All beds")),G1314,0)</f>
        <v/>
      </c>
    </row>
    <row r="1315">
      <c r="A1315" s="1" t="n"/>
      <c r="B1315" s="17" t="n"/>
      <c r="C1315" s="18" t="n"/>
      <c r="D1315" s="19" t="n"/>
      <c r="E1315" s="21" t="n"/>
      <c r="F1315" s="11">
        <f>IF(AND(B1315="",C1315="",D1315=""),"",IF(NOT(ISNUMBER(B1315)),"Needs a date",IF(D1315="","Needs the job",IF(AND(C1315&lt;&gt;"",C1315&lt;&gt;"All beds",COUNTIF(Beds!$B$6:$B$35,C1315)=0),"Not on Beds",""))))</f>
        <v/>
      </c>
      <c r="G1315" s="1">
        <f>IF(ISNUMBER(B1315),INT(B1315),0)</f>
        <v/>
      </c>
      <c r="H1315">
        <f>IF(AND(G1315&gt;0,D1315="Water",OR(C1315="",C1315="All beds")),G1315,0)</f>
        <v/>
      </c>
    </row>
    <row r="1316">
      <c r="A1316" s="1" t="n"/>
      <c r="B1316" s="17" t="n"/>
      <c r="C1316" s="18" t="n"/>
      <c r="D1316" s="19" t="n"/>
      <c r="E1316" s="21" t="n"/>
      <c r="F1316" s="11">
        <f>IF(AND(B1316="",C1316="",D1316=""),"",IF(NOT(ISNUMBER(B1316)),"Needs a date",IF(D1316="","Needs the job",IF(AND(C1316&lt;&gt;"",C1316&lt;&gt;"All beds",COUNTIF(Beds!$B$6:$B$35,C1316)=0),"Not on Beds",""))))</f>
        <v/>
      </c>
      <c r="G1316" s="1">
        <f>IF(ISNUMBER(B1316),INT(B1316),0)</f>
        <v/>
      </c>
      <c r="H1316">
        <f>IF(AND(G1316&gt;0,D1316="Water",OR(C1316="",C1316="All beds")),G1316,0)</f>
        <v/>
      </c>
    </row>
    <row r="1317">
      <c r="A1317" s="1" t="n"/>
      <c r="B1317" s="17" t="n"/>
      <c r="C1317" s="18" t="n"/>
      <c r="D1317" s="19" t="n"/>
      <c r="E1317" s="21" t="n"/>
      <c r="F1317" s="11">
        <f>IF(AND(B1317="",C1317="",D1317=""),"",IF(NOT(ISNUMBER(B1317)),"Needs a date",IF(D1317="","Needs the job",IF(AND(C1317&lt;&gt;"",C1317&lt;&gt;"All beds",COUNTIF(Beds!$B$6:$B$35,C1317)=0),"Not on Beds",""))))</f>
        <v/>
      </c>
      <c r="G1317" s="1">
        <f>IF(ISNUMBER(B1317),INT(B1317),0)</f>
        <v/>
      </c>
      <c r="H1317">
        <f>IF(AND(G1317&gt;0,D1317="Water",OR(C1317="",C1317="All beds")),G1317,0)</f>
        <v/>
      </c>
    </row>
    <row r="1318">
      <c r="A1318" s="1" t="n"/>
      <c r="B1318" s="17" t="n"/>
      <c r="C1318" s="18" t="n"/>
      <c r="D1318" s="19" t="n"/>
      <c r="E1318" s="21" t="n"/>
      <c r="F1318" s="11">
        <f>IF(AND(B1318="",C1318="",D1318=""),"",IF(NOT(ISNUMBER(B1318)),"Needs a date",IF(D1318="","Needs the job",IF(AND(C1318&lt;&gt;"",C1318&lt;&gt;"All beds",COUNTIF(Beds!$B$6:$B$35,C1318)=0),"Not on Beds",""))))</f>
        <v/>
      </c>
      <c r="G1318" s="1">
        <f>IF(ISNUMBER(B1318),INT(B1318),0)</f>
        <v/>
      </c>
      <c r="H1318">
        <f>IF(AND(G1318&gt;0,D1318="Water",OR(C1318="",C1318="All beds")),G1318,0)</f>
        <v/>
      </c>
    </row>
    <row r="1319">
      <c r="A1319" s="1" t="n"/>
      <c r="B1319" s="17" t="n"/>
      <c r="C1319" s="18" t="n"/>
      <c r="D1319" s="19" t="n"/>
      <c r="E1319" s="21" t="n"/>
      <c r="F1319" s="11">
        <f>IF(AND(B1319="",C1319="",D1319=""),"",IF(NOT(ISNUMBER(B1319)),"Needs a date",IF(D1319="","Needs the job",IF(AND(C1319&lt;&gt;"",C1319&lt;&gt;"All beds",COUNTIF(Beds!$B$6:$B$35,C1319)=0),"Not on Beds",""))))</f>
        <v/>
      </c>
      <c r="G1319" s="1">
        <f>IF(ISNUMBER(B1319),INT(B1319),0)</f>
        <v/>
      </c>
      <c r="H1319">
        <f>IF(AND(G1319&gt;0,D1319="Water",OR(C1319="",C1319="All beds")),G1319,0)</f>
        <v/>
      </c>
    </row>
    <row r="1320">
      <c r="A1320" s="1" t="n"/>
      <c r="B1320" s="17" t="n"/>
      <c r="C1320" s="18" t="n"/>
      <c r="D1320" s="19" t="n"/>
      <c r="E1320" s="21" t="n"/>
      <c r="F1320" s="11">
        <f>IF(AND(B1320="",C1320="",D1320=""),"",IF(NOT(ISNUMBER(B1320)),"Needs a date",IF(D1320="","Needs the job",IF(AND(C1320&lt;&gt;"",C1320&lt;&gt;"All beds",COUNTIF(Beds!$B$6:$B$35,C1320)=0),"Not on Beds",""))))</f>
        <v/>
      </c>
      <c r="G1320" s="1">
        <f>IF(ISNUMBER(B1320),INT(B1320),0)</f>
        <v/>
      </c>
      <c r="H1320">
        <f>IF(AND(G1320&gt;0,D1320="Water",OR(C1320="",C1320="All beds")),G1320,0)</f>
        <v/>
      </c>
    </row>
    <row r="1321">
      <c r="A1321" s="1" t="n"/>
      <c r="B1321" s="17" t="n"/>
      <c r="C1321" s="18" t="n"/>
      <c r="D1321" s="19" t="n"/>
      <c r="E1321" s="21" t="n"/>
      <c r="F1321" s="11">
        <f>IF(AND(B1321="",C1321="",D1321=""),"",IF(NOT(ISNUMBER(B1321)),"Needs a date",IF(D1321="","Needs the job",IF(AND(C1321&lt;&gt;"",C1321&lt;&gt;"All beds",COUNTIF(Beds!$B$6:$B$35,C1321)=0),"Not on Beds",""))))</f>
        <v/>
      </c>
      <c r="G1321" s="1">
        <f>IF(ISNUMBER(B1321),INT(B1321),0)</f>
        <v/>
      </c>
      <c r="H1321">
        <f>IF(AND(G1321&gt;0,D1321="Water",OR(C1321="",C1321="All beds")),G1321,0)</f>
        <v/>
      </c>
    </row>
    <row r="1322">
      <c r="A1322" s="1" t="n"/>
      <c r="B1322" s="17" t="n"/>
      <c r="C1322" s="18" t="n"/>
      <c r="D1322" s="19" t="n"/>
      <c r="E1322" s="21" t="n"/>
      <c r="F1322" s="11">
        <f>IF(AND(B1322="",C1322="",D1322=""),"",IF(NOT(ISNUMBER(B1322)),"Needs a date",IF(D1322="","Needs the job",IF(AND(C1322&lt;&gt;"",C1322&lt;&gt;"All beds",COUNTIF(Beds!$B$6:$B$35,C1322)=0),"Not on Beds",""))))</f>
        <v/>
      </c>
      <c r="G1322" s="1">
        <f>IF(ISNUMBER(B1322),INT(B1322),0)</f>
        <v/>
      </c>
      <c r="H1322">
        <f>IF(AND(G1322&gt;0,D1322="Water",OR(C1322="",C1322="All beds")),G1322,0)</f>
        <v/>
      </c>
    </row>
    <row r="1323">
      <c r="A1323" s="1" t="n"/>
      <c r="B1323" s="17" t="n"/>
      <c r="C1323" s="18" t="n"/>
      <c r="D1323" s="19" t="n"/>
      <c r="E1323" s="21" t="n"/>
      <c r="F1323" s="11">
        <f>IF(AND(B1323="",C1323="",D1323=""),"",IF(NOT(ISNUMBER(B1323)),"Needs a date",IF(D1323="","Needs the job",IF(AND(C1323&lt;&gt;"",C1323&lt;&gt;"All beds",COUNTIF(Beds!$B$6:$B$35,C1323)=0),"Not on Beds",""))))</f>
        <v/>
      </c>
      <c r="G1323" s="1">
        <f>IF(ISNUMBER(B1323),INT(B1323),0)</f>
        <v/>
      </c>
      <c r="H1323">
        <f>IF(AND(G1323&gt;0,D1323="Water",OR(C1323="",C1323="All beds")),G1323,0)</f>
        <v/>
      </c>
    </row>
    <row r="1324">
      <c r="A1324" s="1" t="n"/>
      <c r="B1324" s="17" t="n"/>
      <c r="C1324" s="18" t="n"/>
      <c r="D1324" s="19" t="n"/>
      <c r="E1324" s="21" t="n"/>
      <c r="F1324" s="11">
        <f>IF(AND(B1324="",C1324="",D1324=""),"",IF(NOT(ISNUMBER(B1324)),"Needs a date",IF(D1324="","Needs the job",IF(AND(C1324&lt;&gt;"",C1324&lt;&gt;"All beds",COUNTIF(Beds!$B$6:$B$35,C1324)=0),"Not on Beds",""))))</f>
        <v/>
      </c>
      <c r="G1324" s="1">
        <f>IF(ISNUMBER(B1324),INT(B1324),0)</f>
        <v/>
      </c>
      <c r="H1324">
        <f>IF(AND(G1324&gt;0,D1324="Water",OR(C1324="",C1324="All beds")),G1324,0)</f>
        <v/>
      </c>
    </row>
    <row r="1325">
      <c r="A1325" s="1" t="n"/>
      <c r="B1325" s="17" t="n"/>
      <c r="C1325" s="18" t="n"/>
      <c r="D1325" s="19" t="n"/>
      <c r="E1325" s="21" t="n"/>
      <c r="F1325" s="11">
        <f>IF(AND(B1325="",C1325="",D1325=""),"",IF(NOT(ISNUMBER(B1325)),"Needs a date",IF(D1325="","Needs the job",IF(AND(C1325&lt;&gt;"",C1325&lt;&gt;"All beds",COUNTIF(Beds!$B$6:$B$35,C1325)=0),"Not on Beds",""))))</f>
        <v/>
      </c>
      <c r="G1325" s="1">
        <f>IF(ISNUMBER(B1325),INT(B1325),0)</f>
        <v/>
      </c>
      <c r="H1325">
        <f>IF(AND(G1325&gt;0,D1325="Water",OR(C1325="",C1325="All beds")),G1325,0)</f>
        <v/>
      </c>
    </row>
    <row r="1326">
      <c r="A1326" s="1" t="n"/>
      <c r="B1326" s="17" t="n"/>
      <c r="C1326" s="18" t="n"/>
      <c r="D1326" s="19" t="n"/>
      <c r="E1326" s="21" t="n"/>
      <c r="F1326" s="11">
        <f>IF(AND(B1326="",C1326="",D1326=""),"",IF(NOT(ISNUMBER(B1326)),"Needs a date",IF(D1326="","Needs the job",IF(AND(C1326&lt;&gt;"",C1326&lt;&gt;"All beds",COUNTIF(Beds!$B$6:$B$35,C1326)=0),"Not on Beds",""))))</f>
        <v/>
      </c>
      <c r="G1326" s="1">
        <f>IF(ISNUMBER(B1326),INT(B1326),0)</f>
        <v/>
      </c>
      <c r="H1326">
        <f>IF(AND(G1326&gt;0,D1326="Water",OR(C1326="",C1326="All beds")),G1326,0)</f>
        <v/>
      </c>
    </row>
    <row r="1327">
      <c r="A1327" s="1" t="n"/>
      <c r="B1327" s="17" t="n"/>
      <c r="C1327" s="18" t="n"/>
      <c r="D1327" s="19" t="n"/>
      <c r="E1327" s="21" t="n"/>
      <c r="F1327" s="11">
        <f>IF(AND(B1327="",C1327="",D1327=""),"",IF(NOT(ISNUMBER(B1327)),"Needs a date",IF(D1327="","Needs the job",IF(AND(C1327&lt;&gt;"",C1327&lt;&gt;"All beds",COUNTIF(Beds!$B$6:$B$35,C1327)=0),"Not on Beds",""))))</f>
        <v/>
      </c>
      <c r="G1327" s="1">
        <f>IF(ISNUMBER(B1327),INT(B1327),0)</f>
        <v/>
      </c>
      <c r="H1327">
        <f>IF(AND(G1327&gt;0,D1327="Water",OR(C1327="",C1327="All beds")),G1327,0)</f>
        <v/>
      </c>
    </row>
    <row r="1328">
      <c r="A1328" s="1" t="n"/>
      <c r="B1328" s="17" t="n"/>
      <c r="C1328" s="18" t="n"/>
      <c r="D1328" s="19" t="n"/>
      <c r="E1328" s="21" t="n"/>
      <c r="F1328" s="11">
        <f>IF(AND(B1328="",C1328="",D1328=""),"",IF(NOT(ISNUMBER(B1328)),"Needs a date",IF(D1328="","Needs the job",IF(AND(C1328&lt;&gt;"",C1328&lt;&gt;"All beds",COUNTIF(Beds!$B$6:$B$35,C1328)=0),"Not on Beds",""))))</f>
        <v/>
      </c>
      <c r="G1328" s="1">
        <f>IF(ISNUMBER(B1328),INT(B1328),0)</f>
        <v/>
      </c>
      <c r="H1328">
        <f>IF(AND(G1328&gt;0,D1328="Water",OR(C1328="",C1328="All beds")),G1328,0)</f>
        <v/>
      </c>
    </row>
    <row r="1329">
      <c r="A1329" s="1" t="n"/>
      <c r="B1329" s="17" t="n"/>
      <c r="C1329" s="18" t="n"/>
      <c r="D1329" s="19" t="n"/>
      <c r="E1329" s="21" t="n"/>
      <c r="F1329" s="11">
        <f>IF(AND(B1329="",C1329="",D1329=""),"",IF(NOT(ISNUMBER(B1329)),"Needs a date",IF(D1329="","Needs the job",IF(AND(C1329&lt;&gt;"",C1329&lt;&gt;"All beds",COUNTIF(Beds!$B$6:$B$35,C1329)=0),"Not on Beds",""))))</f>
        <v/>
      </c>
      <c r="G1329" s="1">
        <f>IF(ISNUMBER(B1329),INT(B1329),0)</f>
        <v/>
      </c>
      <c r="H1329">
        <f>IF(AND(G1329&gt;0,D1329="Water",OR(C1329="",C1329="All beds")),G1329,0)</f>
        <v/>
      </c>
    </row>
    <row r="1330">
      <c r="A1330" s="1" t="n"/>
      <c r="B1330" s="17" t="n"/>
      <c r="C1330" s="18" t="n"/>
      <c r="D1330" s="19" t="n"/>
      <c r="E1330" s="21" t="n"/>
      <c r="F1330" s="11">
        <f>IF(AND(B1330="",C1330="",D1330=""),"",IF(NOT(ISNUMBER(B1330)),"Needs a date",IF(D1330="","Needs the job",IF(AND(C1330&lt;&gt;"",C1330&lt;&gt;"All beds",COUNTIF(Beds!$B$6:$B$35,C1330)=0),"Not on Beds",""))))</f>
        <v/>
      </c>
      <c r="G1330" s="1">
        <f>IF(ISNUMBER(B1330),INT(B1330),0)</f>
        <v/>
      </c>
      <c r="H1330">
        <f>IF(AND(G1330&gt;0,D1330="Water",OR(C1330="",C1330="All beds")),G1330,0)</f>
        <v/>
      </c>
    </row>
    <row r="1331">
      <c r="A1331" s="1" t="n"/>
      <c r="B1331" s="17" t="n"/>
      <c r="C1331" s="18" t="n"/>
      <c r="D1331" s="19" t="n"/>
      <c r="E1331" s="21" t="n"/>
      <c r="F1331" s="11">
        <f>IF(AND(B1331="",C1331="",D1331=""),"",IF(NOT(ISNUMBER(B1331)),"Needs a date",IF(D1331="","Needs the job",IF(AND(C1331&lt;&gt;"",C1331&lt;&gt;"All beds",COUNTIF(Beds!$B$6:$B$35,C1331)=0),"Not on Beds",""))))</f>
        <v/>
      </c>
      <c r="G1331" s="1">
        <f>IF(ISNUMBER(B1331),INT(B1331),0)</f>
        <v/>
      </c>
      <c r="H1331">
        <f>IF(AND(G1331&gt;0,D1331="Water",OR(C1331="",C1331="All beds")),G1331,0)</f>
        <v/>
      </c>
    </row>
    <row r="1332">
      <c r="A1332" s="1" t="n"/>
      <c r="B1332" s="17" t="n"/>
      <c r="C1332" s="18" t="n"/>
      <c r="D1332" s="19" t="n"/>
      <c r="E1332" s="21" t="n"/>
      <c r="F1332" s="11">
        <f>IF(AND(B1332="",C1332="",D1332=""),"",IF(NOT(ISNUMBER(B1332)),"Needs a date",IF(D1332="","Needs the job",IF(AND(C1332&lt;&gt;"",C1332&lt;&gt;"All beds",COUNTIF(Beds!$B$6:$B$35,C1332)=0),"Not on Beds",""))))</f>
        <v/>
      </c>
      <c r="G1332" s="1">
        <f>IF(ISNUMBER(B1332),INT(B1332),0)</f>
        <v/>
      </c>
      <c r="H1332">
        <f>IF(AND(G1332&gt;0,D1332="Water",OR(C1332="",C1332="All beds")),G1332,0)</f>
        <v/>
      </c>
    </row>
    <row r="1333">
      <c r="A1333" s="1" t="n"/>
      <c r="B1333" s="17" t="n"/>
      <c r="C1333" s="18" t="n"/>
      <c r="D1333" s="19" t="n"/>
      <c r="E1333" s="21" t="n"/>
      <c r="F1333" s="11">
        <f>IF(AND(B1333="",C1333="",D1333=""),"",IF(NOT(ISNUMBER(B1333)),"Needs a date",IF(D1333="","Needs the job",IF(AND(C1333&lt;&gt;"",C1333&lt;&gt;"All beds",COUNTIF(Beds!$B$6:$B$35,C1333)=0),"Not on Beds",""))))</f>
        <v/>
      </c>
      <c r="G1333" s="1">
        <f>IF(ISNUMBER(B1333),INT(B1333),0)</f>
        <v/>
      </c>
      <c r="H1333">
        <f>IF(AND(G1333&gt;0,D1333="Water",OR(C1333="",C1333="All beds")),G1333,0)</f>
        <v/>
      </c>
    </row>
    <row r="1334">
      <c r="A1334" s="1" t="n"/>
      <c r="B1334" s="17" t="n"/>
      <c r="C1334" s="18" t="n"/>
      <c r="D1334" s="19" t="n"/>
      <c r="E1334" s="21" t="n"/>
      <c r="F1334" s="11">
        <f>IF(AND(B1334="",C1334="",D1334=""),"",IF(NOT(ISNUMBER(B1334)),"Needs a date",IF(D1334="","Needs the job",IF(AND(C1334&lt;&gt;"",C1334&lt;&gt;"All beds",COUNTIF(Beds!$B$6:$B$35,C1334)=0),"Not on Beds",""))))</f>
        <v/>
      </c>
      <c r="G1334" s="1">
        <f>IF(ISNUMBER(B1334),INT(B1334),0)</f>
        <v/>
      </c>
      <c r="H1334">
        <f>IF(AND(G1334&gt;0,D1334="Water",OR(C1334="",C1334="All beds")),G1334,0)</f>
        <v/>
      </c>
    </row>
    <row r="1335">
      <c r="A1335" s="1" t="n"/>
      <c r="B1335" s="17" t="n"/>
      <c r="C1335" s="18" t="n"/>
      <c r="D1335" s="19" t="n"/>
      <c r="E1335" s="21" t="n"/>
      <c r="F1335" s="11">
        <f>IF(AND(B1335="",C1335="",D1335=""),"",IF(NOT(ISNUMBER(B1335)),"Needs a date",IF(D1335="","Needs the job",IF(AND(C1335&lt;&gt;"",C1335&lt;&gt;"All beds",COUNTIF(Beds!$B$6:$B$35,C1335)=0),"Not on Beds",""))))</f>
        <v/>
      </c>
      <c r="G1335" s="1">
        <f>IF(ISNUMBER(B1335),INT(B1335),0)</f>
        <v/>
      </c>
      <c r="H1335">
        <f>IF(AND(G1335&gt;0,D1335="Water",OR(C1335="",C1335="All beds")),G1335,0)</f>
        <v/>
      </c>
    </row>
    <row r="1336">
      <c r="A1336" s="1" t="n"/>
      <c r="B1336" s="17" t="n"/>
      <c r="C1336" s="18" t="n"/>
      <c r="D1336" s="19" t="n"/>
      <c r="E1336" s="21" t="n"/>
      <c r="F1336" s="11">
        <f>IF(AND(B1336="",C1336="",D1336=""),"",IF(NOT(ISNUMBER(B1336)),"Needs a date",IF(D1336="","Needs the job",IF(AND(C1336&lt;&gt;"",C1336&lt;&gt;"All beds",COUNTIF(Beds!$B$6:$B$35,C1336)=0),"Not on Beds",""))))</f>
        <v/>
      </c>
      <c r="G1336" s="1">
        <f>IF(ISNUMBER(B1336),INT(B1336),0)</f>
        <v/>
      </c>
      <c r="H1336">
        <f>IF(AND(G1336&gt;0,D1336="Water",OR(C1336="",C1336="All beds")),G1336,0)</f>
        <v/>
      </c>
    </row>
    <row r="1337">
      <c r="A1337" s="1" t="n"/>
      <c r="B1337" s="17" t="n"/>
      <c r="C1337" s="18" t="n"/>
      <c r="D1337" s="19" t="n"/>
      <c r="E1337" s="21" t="n"/>
      <c r="F1337" s="11">
        <f>IF(AND(B1337="",C1337="",D1337=""),"",IF(NOT(ISNUMBER(B1337)),"Needs a date",IF(D1337="","Needs the job",IF(AND(C1337&lt;&gt;"",C1337&lt;&gt;"All beds",COUNTIF(Beds!$B$6:$B$35,C1337)=0),"Not on Beds",""))))</f>
        <v/>
      </c>
      <c r="G1337" s="1">
        <f>IF(ISNUMBER(B1337),INT(B1337),0)</f>
        <v/>
      </c>
      <c r="H1337">
        <f>IF(AND(G1337&gt;0,D1337="Water",OR(C1337="",C1337="All beds")),G1337,0)</f>
        <v/>
      </c>
    </row>
    <row r="1338">
      <c r="A1338" s="1" t="n"/>
      <c r="B1338" s="17" t="n"/>
      <c r="C1338" s="18" t="n"/>
      <c r="D1338" s="19" t="n"/>
      <c r="E1338" s="21" t="n"/>
      <c r="F1338" s="11">
        <f>IF(AND(B1338="",C1338="",D1338=""),"",IF(NOT(ISNUMBER(B1338)),"Needs a date",IF(D1338="","Needs the job",IF(AND(C1338&lt;&gt;"",C1338&lt;&gt;"All beds",COUNTIF(Beds!$B$6:$B$35,C1338)=0),"Not on Beds",""))))</f>
        <v/>
      </c>
      <c r="G1338" s="1">
        <f>IF(ISNUMBER(B1338),INT(B1338),0)</f>
        <v/>
      </c>
      <c r="H1338">
        <f>IF(AND(G1338&gt;0,D1338="Water",OR(C1338="",C1338="All beds")),G1338,0)</f>
        <v/>
      </c>
    </row>
    <row r="1339">
      <c r="A1339" s="1" t="n"/>
      <c r="B1339" s="17" t="n"/>
      <c r="C1339" s="18" t="n"/>
      <c r="D1339" s="19" t="n"/>
      <c r="E1339" s="21" t="n"/>
      <c r="F1339" s="11">
        <f>IF(AND(B1339="",C1339="",D1339=""),"",IF(NOT(ISNUMBER(B1339)),"Needs a date",IF(D1339="","Needs the job",IF(AND(C1339&lt;&gt;"",C1339&lt;&gt;"All beds",COUNTIF(Beds!$B$6:$B$35,C1339)=0),"Not on Beds",""))))</f>
        <v/>
      </c>
      <c r="G1339" s="1">
        <f>IF(ISNUMBER(B1339),INT(B1339),0)</f>
        <v/>
      </c>
      <c r="H1339">
        <f>IF(AND(G1339&gt;0,D1339="Water",OR(C1339="",C1339="All beds")),G1339,0)</f>
        <v/>
      </c>
    </row>
    <row r="1340">
      <c r="A1340" s="1" t="n"/>
      <c r="B1340" s="17" t="n"/>
      <c r="C1340" s="18" t="n"/>
      <c r="D1340" s="19" t="n"/>
      <c r="E1340" s="21" t="n"/>
      <c r="F1340" s="11">
        <f>IF(AND(B1340="",C1340="",D1340=""),"",IF(NOT(ISNUMBER(B1340)),"Needs a date",IF(D1340="","Needs the job",IF(AND(C1340&lt;&gt;"",C1340&lt;&gt;"All beds",COUNTIF(Beds!$B$6:$B$35,C1340)=0),"Not on Beds",""))))</f>
        <v/>
      </c>
      <c r="G1340" s="1">
        <f>IF(ISNUMBER(B1340),INT(B1340),0)</f>
        <v/>
      </c>
      <c r="H1340">
        <f>IF(AND(G1340&gt;0,D1340="Water",OR(C1340="",C1340="All beds")),G1340,0)</f>
        <v/>
      </c>
    </row>
    <row r="1341">
      <c r="A1341" s="1" t="n"/>
      <c r="B1341" s="17" t="n"/>
      <c r="C1341" s="18" t="n"/>
      <c r="D1341" s="19" t="n"/>
      <c r="E1341" s="21" t="n"/>
      <c r="F1341" s="11">
        <f>IF(AND(B1341="",C1341="",D1341=""),"",IF(NOT(ISNUMBER(B1341)),"Needs a date",IF(D1341="","Needs the job",IF(AND(C1341&lt;&gt;"",C1341&lt;&gt;"All beds",COUNTIF(Beds!$B$6:$B$35,C1341)=0),"Not on Beds",""))))</f>
        <v/>
      </c>
      <c r="G1341" s="1">
        <f>IF(ISNUMBER(B1341),INT(B1341),0)</f>
        <v/>
      </c>
      <c r="H1341">
        <f>IF(AND(G1341&gt;0,D1341="Water",OR(C1341="",C1341="All beds")),G1341,0)</f>
        <v/>
      </c>
    </row>
    <row r="1342">
      <c r="A1342" s="1" t="n"/>
      <c r="B1342" s="17" t="n"/>
      <c r="C1342" s="18" t="n"/>
      <c r="D1342" s="19" t="n"/>
      <c r="E1342" s="21" t="n"/>
      <c r="F1342" s="11">
        <f>IF(AND(B1342="",C1342="",D1342=""),"",IF(NOT(ISNUMBER(B1342)),"Needs a date",IF(D1342="","Needs the job",IF(AND(C1342&lt;&gt;"",C1342&lt;&gt;"All beds",COUNTIF(Beds!$B$6:$B$35,C1342)=0),"Not on Beds",""))))</f>
        <v/>
      </c>
      <c r="G1342" s="1">
        <f>IF(ISNUMBER(B1342),INT(B1342),0)</f>
        <v/>
      </c>
      <c r="H1342">
        <f>IF(AND(G1342&gt;0,D1342="Water",OR(C1342="",C1342="All beds")),G1342,0)</f>
        <v/>
      </c>
    </row>
    <row r="1343">
      <c r="A1343" s="1" t="n"/>
      <c r="B1343" s="17" t="n"/>
      <c r="C1343" s="18" t="n"/>
      <c r="D1343" s="19" t="n"/>
      <c r="E1343" s="21" t="n"/>
      <c r="F1343" s="11">
        <f>IF(AND(B1343="",C1343="",D1343=""),"",IF(NOT(ISNUMBER(B1343)),"Needs a date",IF(D1343="","Needs the job",IF(AND(C1343&lt;&gt;"",C1343&lt;&gt;"All beds",COUNTIF(Beds!$B$6:$B$35,C1343)=0),"Not on Beds",""))))</f>
        <v/>
      </c>
      <c r="G1343" s="1">
        <f>IF(ISNUMBER(B1343),INT(B1343),0)</f>
        <v/>
      </c>
      <c r="H1343">
        <f>IF(AND(G1343&gt;0,D1343="Water",OR(C1343="",C1343="All beds")),G1343,0)</f>
        <v/>
      </c>
    </row>
    <row r="1344">
      <c r="A1344" s="1" t="n"/>
      <c r="B1344" s="17" t="n"/>
      <c r="C1344" s="18" t="n"/>
      <c r="D1344" s="19" t="n"/>
      <c r="E1344" s="21" t="n"/>
      <c r="F1344" s="11">
        <f>IF(AND(B1344="",C1344="",D1344=""),"",IF(NOT(ISNUMBER(B1344)),"Needs a date",IF(D1344="","Needs the job",IF(AND(C1344&lt;&gt;"",C1344&lt;&gt;"All beds",COUNTIF(Beds!$B$6:$B$35,C1344)=0),"Not on Beds",""))))</f>
        <v/>
      </c>
      <c r="G1344" s="1">
        <f>IF(ISNUMBER(B1344),INT(B1344),0)</f>
        <v/>
      </c>
      <c r="H1344">
        <f>IF(AND(G1344&gt;0,D1344="Water",OR(C1344="",C1344="All beds")),G1344,0)</f>
        <v/>
      </c>
    </row>
    <row r="1345">
      <c r="A1345" s="1" t="n"/>
      <c r="B1345" s="17" t="n"/>
      <c r="C1345" s="18" t="n"/>
      <c r="D1345" s="19" t="n"/>
      <c r="E1345" s="21" t="n"/>
      <c r="F1345" s="11">
        <f>IF(AND(B1345="",C1345="",D1345=""),"",IF(NOT(ISNUMBER(B1345)),"Needs a date",IF(D1345="","Needs the job",IF(AND(C1345&lt;&gt;"",C1345&lt;&gt;"All beds",COUNTIF(Beds!$B$6:$B$35,C1345)=0),"Not on Beds",""))))</f>
        <v/>
      </c>
      <c r="G1345" s="1">
        <f>IF(ISNUMBER(B1345),INT(B1345),0)</f>
        <v/>
      </c>
      <c r="H1345">
        <f>IF(AND(G1345&gt;0,D1345="Water",OR(C1345="",C1345="All beds")),G1345,0)</f>
        <v/>
      </c>
    </row>
    <row r="1346">
      <c r="A1346" s="1" t="n"/>
      <c r="B1346" s="17" t="n"/>
      <c r="C1346" s="18" t="n"/>
      <c r="D1346" s="19" t="n"/>
      <c r="E1346" s="21" t="n"/>
      <c r="F1346" s="11">
        <f>IF(AND(B1346="",C1346="",D1346=""),"",IF(NOT(ISNUMBER(B1346)),"Needs a date",IF(D1346="","Needs the job",IF(AND(C1346&lt;&gt;"",C1346&lt;&gt;"All beds",COUNTIF(Beds!$B$6:$B$35,C1346)=0),"Not on Beds",""))))</f>
        <v/>
      </c>
      <c r="G1346" s="1">
        <f>IF(ISNUMBER(B1346),INT(B1346),0)</f>
        <v/>
      </c>
      <c r="H1346">
        <f>IF(AND(G1346&gt;0,D1346="Water",OR(C1346="",C1346="All beds")),G1346,0)</f>
        <v/>
      </c>
    </row>
    <row r="1347">
      <c r="A1347" s="1" t="n"/>
      <c r="B1347" s="17" t="n"/>
      <c r="C1347" s="18" t="n"/>
      <c r="D1347" s="19" t="n"/>
      <c r="E1347" s="21" t="n"/>
      <c r="F1347" s="11">
        <f>IF(AND(B1347="",C1347="",D1347=""),"",IF(NOT(ISNUMBER(B1347)),"Needs a date",IF(D1347="","Needs the job",IF(AND(C1347&lt;&gt;"",C1347&lt;&gt;"All beds",COUNTIF(Beds!$B$6:$B$35,C1347)=0),"Not on Beds",""))))</f>
        <v/>
      </c>
      <c r="G1347" s="1">
        <f>IF(ISNUMBER(B1347),INT(B1347),0)</f>
        <v/>
      </c>
      <c r="H1347">
        <f>IF(AND(G1347&gt;0,D1347="Water",OR(C1347="",C1347="All beds")),G1347,0)</f>
        <v/>
      </c>
    </row>
    <row r="1348">
      <c r="A1348" s="1" t="n"/>
      <c r="B1348" s="17" t="n"/>
      <c r="C1348" s="18" t="n"/>
      <c r="D1348" s="19" t="n"/>
      <c r="E1348" s="21" t="n"/>
      <c r="F1348" s="11">
        <f>IF(AND(B1348="",C1348="",D1348=""),"",IF(NOT(ISNUMBER(B1348)),"Needs a date",IF(D1348="","Needs the job",IF(AND(C1348&lt;&gt;"",C1348&lt;&gt;"All beds",COUNTIF(Beds!$B$6:$B$35,C1348)=0),"Not on Beds",""))))</f>
        <v/>
      </c>
      <c r="G1348" s="1">
        <f>IF(ISNUMBER(B1348),INT(B1348),0)</f>
        <v/>
      </c>
      <c r="H1348">
        <f>IF(AND(G1348&gt;0,D1348="Water",OR(C1348="",C1348="All beds")),G1348,0)</f>
        <v/>
      </c>
    </row>
    <row r="1349">
      <c r="A1349" s="1" t="n"/>
      <c r="B1349" s="17" t="n"/>
      <c r="C1349" s="18" t="n"/>
      <c r="D1349" s="19" t="n"/>
      <c r="E1349" s="21" t="n"/>
      <c r="F1349" s="11">
        <f>IF(AND(B1349="",C1349="",D1349=""),"",IF(NOT(ISNUMBER(B1349)),"Needs a date",IF(D1349="","Needs the job",IF(AND(C1349&lt;&gt;"",C1349&lt;&gt;"All beds",COUNTIF(Beds!$B$6:$B$35,C1349)=0),"Not on Beds",""))))</f>
        <v/>
      </c>
      <c r="G1349" s="1">
        <f>IF(ISNUMBER(B1349),INT(B1349),0)</f>
        <v/>
      </c>
      <c r="H1349">
        <f>IF(AND(G1349&gt;0,D1349="Water",OR(C1349="",C1349="All beds")),G1349,0)</f>
        <v/>
      </c>
    </row>
    <row r="1350">
      <c r="A1350" s="1" t="n"/>
      <c r="B1350" s="17" t="n"/>
      <c r="C1350" s="18" t="n"/>
      <c r="D1350" s="19" t="n"/>
      <c r="E1350" s="21" t="n"/>
      <c r="F1350" s="11">
        <f>IF(AND(B1350="",C1350="",D1350=""),"",IF(NOT(ISNUMBER(B1350)),"Needs a date",IF(D1350="","Needs the job",IF(AND(C1350&lt;&gt;"",C1350&lt;&gt;"All beds",COUNTIF(Beds!$B$6:$B$35,C1350)=0),"Not on Beds",""))))</f>
        <v/>
      </c>
      <c r="G1350" s="1">
        <f>IF(ISNUMBER(B1350),INT(B1350),0)</f>
        <v/>
      </c>
      <c r="H1350">
        <f>IF(AND(G1350&gt;0,D1350="Water",OR(C1350="",C1350="All beds")),G1350,0)</f>
        <v/>
      </c>
    </row>
    <row r="1351">
      <c r="A1351" s="1" t="n"/>
      <c r="B1351" s="17" t="n"/>
      <c r="C1351" s="18" t="n"/>
      <c r="D1351" s="19" t="n"/>
      <c r="E1351" s="21" t="n"/>
      <c r="F1351" s="11">
        <f>IF(AND(B1351="",C1351="",D1351=""),"",IF(NOT(ISNUMBER(B1351)),"Needs a date",IF(D1351="","Needs the job",IF(AND(C1351&lt;&gt;"",C1351&lt;&gt;"All beds",COUNTIF(Beds!$B$6:$B$35,C1351)=0),"Not on Beds",""))))</f>
        <v/>
      </c>
      <c r="G1351" s="1">
        <f>IF(ISNUMBER(B1351),INT(B1351),0)</f>
        <v/>
      </c>
      <c r="H1351">
        <f>IF(AND(G1351&gt;0,D1351="Water",OR(C1351="",C1351="All beds")),G1351,0)</f>
        <v/>
      </c>
    </row>
    <row r="1352">
      <c r="A1352" s="1" t="n"/>
      <c r="B1352" s="17" t="n"/>
      <c r="C1352" s="18" t="n"/>
      <c r="D1352" s="19" t="n"/>
      <c r="E1352" s="21" t="n"/>
      <c r="F1352" s="11">
        <f>IF(AND(B1352="",C1352="",D1352=""),"",IF(NOT(ISNUMBER(B1352)),"Needs a date",IF(D1352="","Needs the job",IF(AND(C1352&lt;&gt;"",C1352&lt;&gt;"All beds",COUNTIF(Beds!$B$6:$B$35,C1352)=0),"Not on Beds",""))))</f>
        <v/>
      </c>
      <c r="G1352" s="1">
        <f>IF(ISNUMBER(B1352),INT(B1352),0)</f>
        <v/>
      </c>
      <c r="H1352">
        <f>IF(AND(G1352&gt;0,D1352="Water",OR(C1352="",C1352="All beds")),G1352,0)</f>
        <v/>
      </c>
    </row>
    <row r="1353">
      <c r="A1353" s="1" t="n"/>
      <c r="B1353" s="17" t="n"/>
      <c r="C1353" s="18" t="n"/>
      <c r="D1353" s="19" t="n"/>
      <c r="E1353" s="21" t="n"/>
      <c r="F1353" s="11">
        <f>IF(AND(B1353="",C1353="",D1353=""),"",IF(NOT(ISNUMBER(B1353)),"Needs a date",IF(D1353="","Needs the job",IF(AND(C1353&lt;&gt;"",C1353&lt;&gt;"All beds",COUNTIF(Beds!$B$6:$B$35,C1353)=0),"Not on Beds",""))))</f>
        <v/>
      </c>
      <c r="G1353" s="1">
        <f>IF(ISNUMBER(B1353),INT(B1353),0)</f>
        <v/>
      </c>
      <c r="H1353">
        <f>IF(AND(G1353&gt;0,D1353="Water",OR(C1353="",C1353="All beds")),G1353,0)</f>
        <v/>
      </c>
    </row>
    <row r="1354">
      <c r="A1354" s="1" t="n"/>
      <c r="B1354" s="17" t="n"/>
      <c r="C1354" s="18" t="n"/>
      <c r="D1354" s="19" t="n"/>
      <c r="E1354" s="21" t="n"/>
      <c r="F1354" s="11">
        <f>IF(AND(B1354="",C1354="",D1354=""),"",IF(NOT(ISNUMBER(B1354)),"Needs a date",IF(D1354="","Needs the job",IF(AND(C1354&lt;&gt;"",C1354&lt;&gt;"All beds",COUNTIF(Beds!$B$6:$B$35,C1354)=0),"Not on Beds",""))))</f>
        <v/>
      </c>
      <c r="G1354" s="1">
        <f>IF(ISNUMBER(B1354),INT(B1354),0)</f>
        <v/>
      </c>
      <c r="H1354">
        <f>IF(AND(G1354&gt;0,D1354="Water",OR(C1354="",C1354="All beds")),G1354,0)</f>
        <v/>
      </c>
    </row>
    <row r="1355">
      <c r="A1355" s="1" t="n"/>
      <c r="B1355" s="17" t="n"/>
      <c r="C1355" s="18" t="n"/>
      <c r="D1355" s="19" t="n"/>
      <c r="E1355" s="21" t="n"/>
      <c r="F1355" s="11">
        <f>IF(AND(B1355="",C1355="",D1355=""),"",IF(NOT(ISNUMBER(B1355)),"Needs a date",IF(D1355="","Needs the job",IF(AND(C1355&lt;&gt;"",C1355&lt;&gt;"All beds",COUNTIF(Beds!$B$6:$B$35,C1355)=0),"Not on Beds",""))))</f>
        <v/>
      </c>
      <c r="G1355" s="1">
        <f>IF(ISNUMBER(B1355),INT(B1355),0)</f>
        <v/>
      </c>
      <c r="H1355">
        <f>IF(AND(G1355&gt;0,D1355="Water",OR(C1355="",C1355="All beds")),G1355,0)</f>
        <v/>
      </c>
    </row>
    <row r="1356">
      <c r="A1356" s="1" t="n"/>
      <c r="B1356" s="17" t="n"/>
      <c r="C1356" s="18" t="n"/>
      <c r="D1356" s="19" t="n"/>
      <c r="E1356" s="21" t="n"/>
      <c r="F1356" s="11">
        <f>IF(AND(B1356="",C1356="",D1356=""),"",IF(NOT(ISNUMBER(B1356)),"Needs a date",IF(D1356="","Needs the job",IF(AND(C1356&lt;&gt;"",C1356&lt;&gt;"All beds",COUNTIF(Beds!$B$6:$B$35,C1356)=0),"Not on Beds",""))))</f>
        <v/>
      </c>
      <c r="G1356" s="1">
        <f>IF(ISNUMBER(B1356),INT(B1356),0)</f>
        <v/>
      </c>
      <c r="H1356">
        <f>IF(AND(G1356&gt;0,D1356="Water",OR(C1356="",C1356="All beds")),G1356,0)</f>
        <v/>
      </c>
    </row>
    <row r="1357">
      <c r="A1357" s="1" t="n"/>
      <c r="B1357" s="17" t="n"/>
      <c r="C1357" s="18" t="n"/>
      <c r="D1357" s="19" t="n"/>
      <c r="E1357" s="21" t="n"/>
      <c r="F1357" s="11">
        <f>IF(AND(B1357="",C1357="",D1357=""),"",IF(NOT(ISNUMBER(B1357)),"Needs a date",IF(D1357="","Needs the job",IF(AND(C1357&lt;&gt;"",C1357&lt;&gt;"All beds",COUNTIF(Beds!$B$6:$B$35,C1357)=0),"Not on Beds",""))))</f>
        <v/>
      </c>
      <c r="G1357" s="1">
        <f>IF(ISNUMBER(B1357),INT(B1357),0)</f>
        <v/>
      </c>
      <c r="H1357">
        <f>IF(AND(G1357&gt;0,D1357="Water",OR(C1357="",C1357="All beds")),G1357,0)</f>
        <v/>
      </c>
    </row>
    <row r="1358">
      <c r="A1358" s="1" t="n"/>
      <c r="B1358" s="17" t="n"/>
      <c r="C1358" s="18" t="n"/>
      <c r="D1358" s="19" t="n"/>
      <c r="E1358" s="21" t="n"/>
      <c r="F1358" s="11">
        <f>IF(AND(B1358="",C1358="",D1358=""),"",IF(NOT(ISNUMBER(B1358)),"Needs a date",IF(D1358="","Needs the job",IF(AND(C1358&lt;&gt;"",C1358&lt;&gt;"All beds",COUNTIF(Beds!$B$6:$B$35,C1358)=0),"Not on Beds",""))))</f>
        <v/>
      </c>
      <c r="G1358" s="1">
        <f>IF(ISNUMBER(B1358),INT(B1358),0)</f>
        <v/>
      </c>
      <c r="H1358">
        <f>IF(AND(G1358&gt;0,D1358="Water",OR(C1358="",C1358="All beds")),G1358,0)</f>
        <v/>
      </c>
    </row>
    <row r="1359">
      <c r="A1359" s="1" t="n"/>
      <c r="B1359" s="17" t="n"/>
      <c r="C1359" s="18" t="n"/>
      <c r="D1359" s="19" t="n"/>
      <c r="E1359" s="21" t="n"/>
      <c r="F1359" s="11">
        <f>IF(AND(B1359="",C1359="",D1359=""),"",IF(NOT(ISNUMBER(B1359)),"Needs a date",IF(D1359="","Needs the job",IF(AND(C1359&lt;&gt;"",C1359&lt;&gt;"All beds",COUNTIF(Beds!$B$6:$B$35,C1359)=0),"Not on Beds",""))))</f>
        <v/>
      </c>
      <c r="G1359" s="1">
        <f>IF(ISNUMBER(B1359),INT(B1359),0)</f>
        <v/>
      </c>
      <c r="H1359">
        <f>IF(AND(G1359&gt;0,D1359="Water",OR(C1359="",C1359="All beds")),G1359,0)</f>
        <v/>
      </c>
    </row>
    <row r="1360">
      <c r="A1360" s="1" t="n"/>
      <c r="B1360" s="17" t="n"/>
      <c r="C1360" s="18" t="n"/>
      <c r="D1360" s="19" t="n"/>
      <c r="E1360" s="21" t="n"/>
      <c r="F1360" s="11">
        <f>IF(AND(B1360="",C1360="",D1360=""),"",IF(NOT(ISNUMBER(B1360)),"Needs a date",IF(D1360="","Needs the job",IF(AND(C1360&lt;&gt;"",C1360&lt;&gt;"All beds",COUNTIF(Beds!$B$6:$B$35,C1360)=0),"Not on Beds",""))))</f>
        <v/>
      </c>
      <c r="G1360" s="1">
        <f>IF(ISNUMBER(B1360),INT(B1360),0)</f>
        <v/>
      </c>
      <c r="H1360">
        <f>IF(AND(G1360&gt;0,D1360="Water",OR(C1360="",C1360="All beds")),G1360,0)</f>
        <v/>
      </c>
    </row>
    <row r="1361">
      <c r="A1361" s="1" t="n"/>
      <c r="B1361" s="17" t="n"/>
      <c r="C1361" s="18" t="n"/>
      <c r="D1361" s="19" t="n"/>
      <c r="E1361" s="21" t="n"/>
      <c r="F1361" s="11">
        <f>IF(AND(B1361="",C1361="",D1361=""),"",IF(NOT(ISNUMBER(B1361)),"Needs a date",IF(D1361="","Needs the job",IF(AND(C1361&lt;&gt;"",C1361&lt;&gt;"All beds",COUNTIF(Beds!$B$6:$B$35,C1361)=0),"Not on Beds",""))))</f>
        <v/>
      </c>
      <c r="G1361" s="1">
        <f>IF(ISNUMBER(B1361),INT(B1361),0)</f>
        <v/>
      </c>
      <c r="H1361">
        <f>IF(AND(G1361&gt;0,D1361="Water",OR(C1361="",C1361="All beds")),G1361,0)</f>
        <v/>
      </c>
    </row>
    <row r="1362">
      <c r="A1362" s="1" t="n"/>
      <c r="B1362" s="17" t="n"/>
      <c r="C1362" s="18" t="n"/>
      <c r="D1362" s="19" t="n"/>
      <c r="E1362" s="21" t="n"/>
      <c r="F1362" s="11">
        <f>IF(AND(B1362="",C1362="",D1362=""),"",IF(NOT(ISNUMBER(B1362)),"Needs a date",IF(D1362="","Needs the job",IF(AND(C1362&lt;&gt;"",C1362&lt;&gt;"All beds",COUNTIF(Beds!$B$6:$B$35,C1362)=0),"Not on Beds",""))))</f>
        <v/>
      </c>
      <c r="G1362" s="1">
        <f>IF(ISNUMBER(B1362),INT(B1362),0)</f>
        <v/>
      </c>
      <c r="H1362">
        <f>IF(AND(G1362&gt;0,D1362="Water",OR(C1362="",C1362="All beds")),G1362,0)</f>
        <v/>
      </c>
    </row>
    <row r="1363">
      <c r="A1363" s="1" t="n"/>
      <c r="B1363" s="17" t="n"/>
      <c r="C1363" s="18" t="n"/>
      <c r="D1363" s="19" t="n"/>
      <c r="E1363" s="21" t="n"/>
      <c r="F1363" s="11">
        <f>IF(AND(B1363="",C1363="",D1363=""),"",IF(NOT(ISNUMBER(B1363)),"Needs a date",IF(D1363="","Needs the job",IF(AND(C1363&lt;&gt;"",C1363&lt;&gt;"All beds",COUNTIF(Beds!$B$6:$B$35,C1363)=0),"Not on Beds",""))))</f>
        <v/>
      </c>
      <c r="G1363" s="1">
        <f>IF(ISNUMBER(B1363),INT(B1363),0)</f>
        <v/>
      </c>
      <c r="H1363">
        <f>IF(AND(G1363&gt;0,D1363="Water",OR(C1363="",C1363="All beds")),G1363,0)</f>
        <v/>
      </c>
    </row>
    <row r="1364">
      <c r="A1364" s="1" t="n"/>
      <c r="B1364" s="17" t="n"/>
      <c r="C1364" s="18" t="n"/>
      <c r="D1364" s="19" t="n"/>
      <c r="E1364" s="21" t="n"/>
      <c r="F1364" s="11">
        <f>IF(AND(B1364="",C1364="",D1364=""),"",IF(NOT(ISNUMBER(B1364)),"Needs a date",IF(D1364="","Needs the job",IF(AND(C1364&lt;&gt;"",C1364&lt;&gt;"All beds",COUNTIF(Beds!$B$6:$B$35,C1364)=0),"Not on Beds",""))))</f>
        <v/>
      </c>
      <c r="G1364" s="1">
        <f>IF(ISNUMBER(B1364),INT(B1364),0)</f>
        <v/>
      </c>
      <c r="H1364">
        <f>IF(AND(G1364&gt;0,D1364="Water",OR(C1364="",C1364="All beds")),G1364,0)</f>
        <v/>
      </c>
    </row>
    <row r="1365">
      <c r="A1365" s="1" t="n"/>
      <c r="B1365" s="17" t="n"/>
      <c r="C1365" s="18" t="n"/>
      <c r="D1365" s="19" t="n"/>
      <c r="E1365" s="21" t="n"/>
      <c r="F1365" s="11">
        <f>IF(AND(B1365="",C1365="",D1365=""),"",IF(NOT(ISNUMBER(B1365)),"Needs a date",IF(D1365="","Needs the job",IF(AND(C1365&lt;&gt;"",C1365&lt;&gt;"All beds",COUNTIF(Beds!$B$6:$B$35,C1365)=0),"Not on Beds",""))))</f>
        <v/>
      </c>
      <c r="G1365" s="1">
        <f>IF(ISNUMBER(B1365),INT(B1365),0)</f>
        <v/>
      </c>
      <c r="H1365">
        <f>IF(AND(G1365&gt;0,D1365="Water",OR(C1365="",C1365="All beds")),G1365,0)</f>
        <v/>
      </c>
    </row>
    <row r="1366">
      <c r="A1366" s="1" t="n"/>
      <c r="B1366" s="17" t="n"/>
      <c r="C1366" s="18" t="n"/>
      <c r="D1366" s="19" t="n"/>
      <c r="E1366" s="21" t="n"/>
      <c r="F1366" s="11">
        <f>IF(AND(B1366="",C1366="",D1366=""),"",IF(NOT(ISNUMBER(B1366)),"Needs a date",IF(D1366="","Needs the job",IF(AND(C1366&lt;&gt;"",C1366&lt;&gt;"All beds",COUNTIF(Beds!$B$6:$B$35,C1366)=0),"Not on Beds",""))))</f>
        <v/>
      </c>
      <c r="G1366" s="1">
        <f>IF(ISNUMBER(B1366),INT(B1366),0)</f>
        <v/>
      </c>
      <c r="H1366">
        <f>IF(AND(G1366&gt;0,D1366="Water",OR(C1366="",C1366="All beds")),G1366,0)</f>
        <v/>
      </c>
    </row>
    <row r="1367">
      <c r="A1367" s="1" t="n"/>
      <c r="B1367" s="17" t="n"/>
      <c r="C1367" s="18" t="n"/>
      <c r="D1367" s="19" t="n"/>
      <c r="E1367" s="21" t="n"/>
      <c r="F1367" s="11">
        <f>IF(AND(B1367="",C1367="",D1367=""),"",IF(NOT(ISNUMBER(B1367)),"Needs a date",IF(D1367="","Needs the job",IF(AND(C1367&lt;&gt;"",C1367&lt;&gt;"All beds",COUNTIF(Beds!$B$6:$B$35,C1367)=0),"Not on Beds",""))))</f>
        <v/>
      </c>
      <c r="G1367" s="1">
        <f>IF(ISNUMBER(B1367),INT(B1367),0)</f>
        <v/>
      </c>
      <c r="H1367">
        <f>IF(AND(G1367&gt;0,D1367="Water",OR(C1367="",C1367="All beds")),G1367,0)</f>
        <v/>
      </c>
    </row>
    <row r="1368">
      <c r="A1368" s="1" t="n"/>
      <c r="B1368" s="17" t="n"/>
      <c r="C1368" s="18" t="n"/>
      <c r="D1368" s="19" t="n"/>
      <c r="E1368" s="21" t="n"/>
      <c r="F1368" s="11">
        <f>IF(AND(B1368="",C1368="",D1368=""),"",IF(NOT(ISNUMBER(B1368)),"Needs a date",IF(D1368="","Needs the job",IF(AND(C1368&lt;&gt;"",C1368&lt;&gt;"All beds",COUNTIF(Beds!$B$6:$B$35,C1368)=0),"Not on Beds",""))))</f>
        <v/>
      </c>
      <c r="G1368" s="1">
        <f>IF(ISNUMBER(B1368),INT(B1368),0)</f>
        <v/>
      </c>
      <c r="H1368">
        <f>IF(AND(G1368&gt;0,D1368="Water",OR(C1368="",C1368="All beds")),G1368,0)</f>
        <v/>
      </c>
    </row>
    <row r="1369">
      <c r="A1369" s="1" t="n"/>
      <c r="B1369" s="17" t="n"/>
      <c r="C1369" s="18" t="n"/>
      <c r="D1369" s="19" t="n"/>
      <c r="E1369" s="21" t="n"/>
      <c r="F1369" s="11">
        <f>IF(AND(B1369="",C1369="",D1369=""),"",IF(NOT(ISNUMBER(B1369)),"Needs a date",IF(D1369="","Needs the job",IF(AND(C1369&lt;&gt;"",C1369&lt;&gt;"All beds",COUNTIF(Beds!$B$6:$B$35,C1369)=0),"Not on Beds",""))))</f>
        <v/>
      </c>
      <c r="G1369" s="1">
        <f>IF(ISNUMBER(B1369),INT(B1369),0)</f>
        <v/>
      </c>
      <c r="H1369">
        <f>IF(AND(G1369&gt;0,D1369="Water",OR(C1369="",C1369="All beds")),G1369,0)</f>
        <v/>
      </c>
    </row>
    <row r="1370">
      <c r="A1370" s="1" t="n"/>
      <c r="B1370" s="17" t="n"/>
      <c r="C1370" s="18" t="n"/>
      <c r="D1370" s="19" t="n"/>
      <c r="E1370" s="21" t="n"/>
      <c r="F1370" s="11">
        <f>IF(AND(B1370="",C1370="",D1370=""),"",IF(NOT(ISNUMBER(B1370)),"Needs a date",IF(D1370="","Needs the job",IF(AND(C1370&lt;&gt;"",C1370&lt;&gt;"All beds",COUNTIF(Beds!$B$6:$B$35,C1370)=0),"Not on Beds",""))))</f>
        <v/>
      </c>
      <c r="G1370" s="1">
        <f>IF(ISNUMBER(B1370),INT(B1370),0)</f>
        <v/>
      </c>
      <c r="H1370">
        <f>IF(AND(G1370&gt;0,D1370="Water",OR(C1370="",C1370="All beds")),G1370,0)</f>
        <v/>
      </c>
    </row>
    <row r="1371">
      <c r="A1371" s="1" t="n"/>
      <c r="B1371" s="17" t="n"/>
      <c r="C1371" s="18" t="n"/>
      <c r="D1371" s="19" t="n"/>
      <c r="E1371" s="21" t="n"/>
      <c r="F1371" s="11">
        <f>IF(AND(B1371="",C1371="",D1371=""),"",IF(NOT(ISNUMBER(B1371)),"Needs a date",IF(D1371="","Needs the job",IF(AND(C1371&lt;&gt;"",C1371&lt;&gt;"All beds",COUNTIF(Beds!$B$6:$B$35,C1371)=0),"Not on Beds",""))))</f>
        <v/>
      </c>
      <c r="G1371" s="1">
        <f>IF(ISNUMBER(B1371),INT(B1371),0)</f>
        <v/>
      </c>
      <c r="H1371">
        <f>IF(AND(G1371&gt;0,D1371="Water",OR(C1371="",C1371="All beds")),G1371,0)</f>
        <v/>
      </c>
    </row>
    <row r="1372">
      <c r="A1372" s="1" t="n"/>
      <c r="B1372" s="17" t="n"/>
      <c r="C1372" s="18" t="n"/>
      <c r="D1372" s="19" t="n"/>
      <c r="E1372" s="21" t="n"/>
      <c r="F1372" s="11">
        <f>IF(AND(B1372="",C1372="",D1372=""),"",IF(NOT(ISNUMBER(B1372)),"Needs a date",IF(D1372="","Needs the job",IF(AND(C1372&lt;&gt;"",C1372&lt;&gt;"All beds",COUNTIF(Beds!$B$6:$B$35,C1372)=0),"Not on Beds",""))))</f>
        <v/>
      </c>
      <c r="G1372" s="1">
        <f>IF(ISNUMBER(B1372),INT(B1372),0)</f>
        <v/>
      </c>
      <c r="H1372">
        <f>IF(AND(G1372&gt;0,D1372="Water",OR(C1372="",C1372="All beds")),G1372,0)</f>
        <v/>
      </c>
    </row>
    <row r="1373">
      <c r="A1373" s="1" t="n"/>
      <c r="B1373" s="17" t="n"/>
      <c r="C1373" s="18" t="n"/>
      <c r="D1373" s="19" t="n"/>
      <c r="E1373" s="21" t="n"/>
      <c r="F1373" s="11">
        <f>IF(AND(B1373="",C1373="",D1373=""),"",IF(NOT(ISNUMBER(B1373)),"Needs a date",IF(D1373="","Needs the job",IF(AND(C1373&lt;&gt;"",C1373&lt;&gt;"All beds",COUNTIF(Beds!$B$6:$B$35,C1373)=0),"Not on Beds",""))))</f>
        <v/>
      </c>
      <c r="G1373" s="1">
        <f>IF(ISNUMBER(B1373),INT(B1373),0)</f>
        <v/>
      </c>
      <c r="H1373">
        <f>IF(AND(G1373&gt;0,D1373="Water",OR(C1373="",C1373="All beds")),G1373,0)</f>
        <v/>
      </c>
    </row>
    <row r="1374">
      <c r="A1374" s="1" t="n"/>
      <c r="B1374" s="17" t="n"/>
      <c r="C1374" s="18" t="n"/>
      <c r="D1374" s="19" t="n"/>
      <c r="E1374" s="21" t="n"/>
      <c r="F1374" s="11">
        <f>IF(AND(B1374="",C1374="",D1374=""),"",IF(NOT(ISNUMBER(B1374)),"Needs a date",IF(D1374="","Needs the job",IF(AND(C1374&lt;&gt;"",C1374&lt;&gt;"All beds",COUNTIF(Beds!$B$6:$B$35,C1374)=0),"Not on Beds",""))))</f>
        <v/>
      </c>
      <c r="G1374" s="1">
        <f>IF(ISNUMBER(B1374),INT(B1374),0)</f>
        <v/>
      </c>
      <c r="H1374">
        <f>IF(AND(G1374&gt;0,D1374="Water",OR(C1374="",C1374="All beds")),G1374,0)</f>
        <v/>
      </c>
    </row>
    <row r="1375">
      <c r="A1375" s="1" t="n"/>
      <c r="B1375" s="17" t="n"/>
      <c r="C1375" s="18" t="n"/>
      <c r="D1375" s="19" t="n"/>
      <c r="E1375" s="21" t="n"/>
      <c r="F1375" s="11">
        <f>IF(AND(B1375="",C1375="",D1375=""),"",IF(NOT(ISNUMBER(B1375)),"Needs a date",IF(D1375="","Needs the job",IF(AND(C1375&lt;&gt;"",C1375&lt;&gt;"All beds",COUNTIF(Beds!$B$6:$B$35,C1375)=0),"Not on Beds",""))))</f>
        <v/>
      </c>
      <c r="G1375" s="1">
        <f>IF(ISNUMBER(B1375),INT(B1375),0)</f>
        <v/>
      </c>
      <c r="H1375">
        <f>IF(AND(G1375&gt;0,D1375="Water",OR(C1375="",C1375="All beds")),G1375,0)</f>
        <v/>
      </c>
    </row>
    <row r="1376">
      <c r="A1376" s="1" t="n"/>
      <c r="B1376" s="17" t="n"/>
      <c r="C1376" s="18" t="n"/>
      <c r="D1376" s="19" t="n"/>
      <c r="E1376" s="21" t="n"/>
      <c r="F1376" s="11">
        <f>IF(AND(B1376="",C1376="",D1376=""),"",IF(NOT(ISNUMBER(B1376)),"Needs a date",IF(D1376="","Needs the job",IF(AND(C1376&lt;&gt;"",C1376&lt;&gt;"All beds",COUNTIF(Beds!$B$6:$B$35,C1376)=0),"Not on Beds",""))))</f>
        <v/>
      </c>
      <c r="G1376" s="1">
        <f>IF(ISNUMBER(B1376),INT(B1376),0)</f>
        <v/>
      </c>
      <c r="H1376">
        <f>IF(AND(G1376&gt;0,D1376="Water",OR(C1376="",C1376="All beds")),G1376,0)</f>
        <v/>
      </c>
    </row>
    <row r="1377">
      <c r="A1377" s="1" t="n"/>
      <c r="B1377" s="17" t="n"/>
      <c r="C1377" s="18" t="n"/>
      <c r="D1377" s="19" t="n"/>
      <c r="E1377" s="21" t="n"/>
      <c r="F1377" s="11">
        <f>IF(AND(B1377="",C1377="",D1377=""),"",IF(NOT(ISNUMBER(B1377)),"Needs a date",IF(D1377="","Needs the job",IF(AND(C1377&lt;&gt;"",C1377&lt;&gt;"All beds",COUNTIF(Beds!$B$6:$B$35,C1377)=0),"Not on Beds",""))))</f>
        <v/>
      </c>
      <c r="G1377" s="1">
        <f>IF(ISNUMBER(B1377),INT(B1377),0)</f>
        <v/>
      </c>
      <c r="H1377">
        <f>IF(AND(G1377&gt;0,D1377="Water",OR(C1377="",C1377="All beds")),G1377,0)</f>
        <v/>
      </c>
    </row>
    <row r="1378">
      <c r="A1378" s="1" t="n"/>
      <c r="B1378" s="17" t="n"/>
      <c r="C1378" s="18" t="n"/>
      <c r="D1378" s="19" t="n"/>
      <c r="E1378" s="21" t="n"/>
      <c r="F1378" s="11">
        <f>IF(AND(B1378="",C1378="",D1378=""),"",IF(NOT(ISNUMBER(B1378)),"Needs a date",IF(D1378="","Needs the job",IF(AND(C1378&lt;&gt;"",C1378&lt;&gt;"All beds",COUNTIF(Beds!$B$6:$B$35,C1378)=0),"Not on Beds",""))))</f>
        <v/>
      </c>
      <c r="G1378" s="1">
        <f>IF(ISNUMBER(B1378),INT(B1378),0)</f>
        <v/>
      </c>
      <c r="H1378">
        <f>IF(AND(G1378&gt;0,D1378="Water",OR(C1378="",C1378="All beds")),G1378,0)</f>
        <v/>
      </c>
    </row>
    <row r="1379">
      <c r="A1379" s="1" t="n"/>
      <c r="B1379" s="17" t="n"/>
      <c r="C1379" s="18" t="n"/>
      <c r="D1379" s="19" t="n"/>
      <c r="E1379" s="21" t="n"/>
      <c r="F1379" s="11">
        <f>IF(AND(B1379="",C1379="",D1379=""),"",IF(NOT(ISNUMBER(B1379)),"Needs a date",IF(D1379="","Needs the job",IF(AND(C1379&lt;&gt;"",C1379&lt;&gt;"All beds",COUNTIF(Beds!$B$6:$B$35,C1379)=0),"Not on Beds",""))))</f>
        <v/>
      </c>
      <c r="G1379" s="1">
        <f>IF(ISNUMBER(B1379),INT(B1379),0)</f>
        <v/>
      </c>
      <c r="H1379">
        <f>IF(AND(G1379&gt;0,D1379="Water",OR(C1379="",C1379="All beds")),G1379,0)</f>
        <v/>
      </c>
    </row>
    <row r="1380">
      <c r="A1380" s="1" t="n"/>
      <c r="B1380" s="17" t="n"/>
      <c r="C1380" s="18" t="n"/>
      <c r="D1380" s="19" t="n"/>
      <c r="E1380" s="21" t="n"/>
      <c r="F1380" s="11">
        <f>IF(AND(B1380="",C1380="",D1380=""),"",IF(NOT(ISNUMBER(B1380)),"Needs a date",IF(D1380="","Needs the job",IF(AND(C1380&lt;&gt;"",C1380&lt;&gt;"All beds",COUNTIF(Beds!$B$6:$B$35,C1380)=0),"Not on Beds",""))))</f>
        <v/>
      </c>
      <c r="G1380" s="1">
        <f>IF(ISNUMBER(B1380),INT(B1380),0)</f>
        <v/>
      </c>
      <c r="H1380">
        <f>IF(AND(G1380&gt;0,D1380="Water",OR(C1380="",C1380="All beds")),G1380,0)</f>
        <v/>
      </c>
    </row>
    <row r="1381">
      <c r="A1381" s="1" t="n"/>
      <c r="B1381" s="17" t="n"/>
      <c r="C1381" s="18" t="n"/>
      <c r="D1381" s="19" t="n"/>
      <c r="E1381" s="21" t="n"/>
      <c r="F1381" s="11">
        <f>IF(AND(B1381="",C1381="",D1381=""),"",IF(NOT(ISNUMBER(B1381)),"Needs a date",IF(D1381="","Needs the job",IF(AND(C1381&lt;&gt;"",C1381&lt;&gt;"All beds",COUNTIF(Beds!$B$6:$B$35,C1381)=0),"Not on Beds",""))))</f>
        <v/>
      </c>
      <c r="G1381" s="1">
        <f>IF(ISNUMBER(B1381),INT(B1381),0)</f>
        <v/>
      </c>
      <c r="H1381">
        <f>IF(AND(G1381&gt;0,D1381="Water",OR(C1381="",C1381="All beds")),G1381,0)</f>
        <v/>
      </c>
    </row>
    <row r="1382">
      <c r="A1382" s="1" t="n"/>
      <c r="B1382" s="17" t="n"/>
      <c r="C1382" s="18" t="n"/>
      <c r="D1382" s="19" t="n"/>
      <c r="E1382" s="21" t="n"/>
      <c r="F1382" s="11">
        <f>IF(AND(B1382="",C1382="",D1382=""),"",IF(NOT(ISNUMBER(B1382)),"Needs a date",IF(D1382="","Needs the job",IF(AND(C1382&lt;&gt;"",C1382&lt;&gt;"All beds",COUNTIF(Beds!$B$6:$B$35,C1382)=0),"Not on Beds",""))))</f>
        <v/>
      </c>
      <c r="G1382" s="1">
        <f>IF(ISNUMBER(B1382),INT(B1382),0)</f>
        <v/>
      </c>
      <c r="H1382">
        <f>IF(AND(G1382&gt;0,D1382="Water",OR(C1382="",C1382="All beds")),G1382,0)</f>
        <v/>
      </c>
    </row>
    <row r="1383">
      <c r="A1383" s="1" t="n"/>
      <c r="B1383" s="17" t="n"/>
      <c r="C1383" s="18" t="n"/>
      <c r="D1383" s="19" t="n"/>
      <c r="E1383" s="21" t="n"/>
      <c r="F1383" s="11">
        <f>IF(AND(B1383="",C1383="",D1383=""),"",IF(NOT(ISNUMBER(B1383)),"Needs a date",IF(D1383="","Needs the job",IF(AND(C1383&lt;&gt;"",C1383&lt;&gt;"All beds",COUNTIF(Beds!$B$6:$B$35,C1383)=0),"Not on Beds",""))))</f>
        <v/>
      </c>
      <c r="G1383" s="1">
        <f>IF(ISNUMBER(B1383),INT(B1383),0)</f>
        <v/>
      </c>
      <c r="H1383">
        <f>IF(AND(G1383&gt;0,D1383="Water",OR(C1383="",C1383="All beds")),G1383,0)</f>
        <v/>
      </c>
    </row>
    <row r="1384">
      <c r="A1384" s="1" t="n"/>
      <c r="B1384" s="17" t="n"/>
      <c r="C1384" s="18" t="n"/>
      <c r="D1384" s="19" t="n"/>
      <c r="E1384" s="21" t="n"/>
      <c r="F1384" s="11">
        <f>IF(AND(B1384="",C1384="",D1384=""),"",IF(NOT(ISNUMBER(B1384)),"Needs a date",IF(D1384="","Needs the job",IF(AND(C1384&lt;&gt;"",C1384&lt;&gt;"All beds",COUNTIF(Beds!$B$6:$B$35,C1384)=0),"Not on Beds",""))))</f>
        <v/>
      </c>
      <c r="G1384" s="1">
        <f>IF(ISNUMBER(B1384),INT(B1384),0)</f>
        <v/>
      </c>
      <c r="H1384">
        <f>IF(AND(G1384&gt;0,D1384="Water",OR(C1384="",C1384="All beds")),G1384,0)</f>
        <v/>
      </c>
    </row>
    <row r="1385">
      <c r="A1385" s="1" t="n"/>
      <c r="B1385" s="17" t="n"/>
      <c r="C1385" s="18" t="n"/>
      <c r="D1385" s="19" t="n"/>
      <c r="E1385" s="21" t="n"/>
      <c r="F1385" s="11">
        <f>IF(AND(B1385="",C1385="",D1385=""),"",IF(NOT(ISNUMBER(B1385)),"Needs a date",IF(D1385="","Needs the job",IF(AND(C1385&lt;&gt;"",C1385&lt;&gt;"All beds",COUNTIF(Beds!$B$6:$B$35,C1385)=0),"Not on Beds",""))))</f>
        <v/>
      </c>
      <c r="G1385" s="1">
        <f>IF(ISNUMBER(B1385),INT(B1385),0)</f>
        <v/>
      </c>
      <c r="H1385">
        <f>IF(AND(G1385&gt;0,D1385="Water",OR(C1385="",C1385="All beds")),G1385,0)</f>
        <v/>
      </c>
    </row>
    <row r="1386">
      <c r="A1386" s="1" t="n"/>
      <c r="B1386" s="17" t="n"/>
      <c r="C1386" s="18" t="n"/>
      <c r="D1386" s="19" t="n"/>
      <c r="E1386" s="21" t="n"/>
      <c r="F1386" s="11">
        <f>IF(AND(B1386="",C1386="",D1386=""),"",IF(NOT(ISNUMBER(B1386)),"Needs a date",IF(D1386="","Needs the job",IF(AND(C1386&lt;&gt;"",C1386&lt;&gt;"All beds",COUNTIF(Beds!$B$6:$B$35,C1386)=0),"Not on Beds",""))))</f>
        <v/>
      </c>
      <c r="G1386" s="1">
        <f>IF(ISNUMBER(B1386),INT(B1386),0)</f>
        <v/>
      </c>
      <c r="H1386">
        <f>IF(AND(G1386&gt;0,D1386="Water",OR(C1386="",C1386="All beds")),G1386,0)</f>
        <v/>
      </c>
    </row>
    <row r="1387">
      <c r="A1387" s="1" t="n"/>
      <c r="B1387" s="17" t="n"/>
      <c r="C1387" s="18" t="n"/>
      <c r="D1387" s="19" t="n"/>
      <c r="E1387" s="21" t="n"/>
      <c r="F1387" s="11">
        <f>IF(AND(B1387="",C1387="",D1387=""),"",IF(NOT(ISNUMBER(B1387)),"Needs a date",IF(D1387="","Needs the job",IF(AND(C1387&lt;&gt;"",C1387&lt;&gt;"All beds",COUNTIF(Beds!$B$6:$B$35,C1387)=0),"Not on Beds",""))))</f>
        <v/>
      </c>
      <c r="G1387" s="1">
        <f>IF(ISNUMBER(B1387),INT(B1387),0)</f>
        <v/>
      </c>
      <c r="H1387">
        <f>IF(AND(G1387&gt;0,D1387="Water",OR(C1387="",C1387="All beds")),G1387,0)</f>
        <v/>
      </c>
    </row>
    <row r="1388">
      <c r="A1388" s="1" t="n"/>
      <c r="B1388" s="17" t="n"/>
      <c r="C1388" s="18" t="n"/>
      <c r="D1388" s="19" t="n"/>
      <c r="E1388" s="21" t="n"/>
      <c r="F1388" s="11">
        <f>IF(AND(B1388="",C1388="",D1388=""),"",IF(NOT(ISNUMBER(B1388)),"Needs a date",IF(D1388="","Needs the job",IF(AND(C1388&lt;&gt;"",C1388&lt;&gt;"All beds",COUNTIF(Beds!$B$6:$B$35,C1388)=0),"Not on Beds",""))))</f>
        <v/>
      </c>
      <c r="G1388" s="1">
        <f>IF(ISNUMBER(B1388),INT(B1388),0)</f>
        <v/>
      </c>
      <c r="H1388">
        <f>IF(AND(G1388&gt;0,D1388="Water",OR(C1388="",C1388="All beds")),G1388,0)</f>
        <v/>
      </c>
    </row>
    <row r="1389">
      <c r="A1389" s="1" t="n"/>
      <c r="B1389" s="17" t="n"/>
      <c r="C1389" s="18" t="n"/>
      <c r="D1389" s="19" t="n"/>
      <c r="E1389" s="21" t="n"/>
      <c r="F1389" s="11">
        <f>IF(AND(B1389="",C1389="",D1389=""),"",IF(NOT(ISNUMBER(B1389)),"Needs a date",IF(D1389="","Needs the job",IF(AND(C1389&lt;&gt;"",C1389&lt;&gt;"All beds",COUNTIF(Beds!$B$6:$B$35,C1389)=0),"Not on Beds",""))))</f>
        <v/>
      </c>
      <c r="G1389" s="1">
        <f>IF(ISNUMBER(B1389),INT(B1389),0)</f>
        <v/>
      </c>
      <c r="H1389">
        <f>IF(AND(G1389&gt;0,D1389="Water",OR(C1389="",C1389="All beds")),G1389,0)</f>
        <v/>
      </c>
    </row>
    <row r="1390">
      <c r="A1390" s="1" t="n"/>
      <c r="B1390" s="17" t="n"/>
      <c r="C1390" s="18" t="n"/>
      <c r="D1390" s="19" t="n"/>
      <c r="E1390" s="21" t="n"/>
      <c r="F1390" s="11">
        <f>IF(AND(B1390="",C1390="",D1390=""),"",IF(NOT(ISNUMBER(B1390)),"Needs a date",IF(D1390="","Needs the job",IF(AND(C1390&lt;&gt;"",C1390&lt;&gt;"All beds",COUNTIF(Beds!$B$6:$B$35,C1390)=0),"Not on Beds",""))))</f>
        <v/>
      </c>
      <c r="G1390" s="1">
        <f>IF(ISNUMBER(B1390),INT(B1390),0)</f>
        <v/>
      </c>
      <c r="H1390">
        <f>IF(AND(G1390&gt;0,D1390="Water",OR(C1390="",C1390="All beds")),G1390,0)</f>
        <v/>
      </c>
    </row>
    <row r="1391">
      <c r="A1391" s="1" t="n"/>
      <c r="B1391" s="17" t="n"/>
      <c r="C1391" s="18" t="n"/>
      <c r="D1391" s="19" t="n"/>
      <c r="E1391" s="21" t="n"/>
      <c r="F1391" s="11">
        <f>IF(AND(B1391="",C1391="",D1391=""),"",IF(NOT(ISNUMBER(B1391)),"Needs a date",IF(D1391="","Needs the job",IF(AND(C1391&lt;&gt;"",C1391&lt;&gt;"All beds",COUNTIF(Beds!$B$6:$B$35,C1391)=0),"Not on Beds",""))))</f>
        <v/>
      </c>
      <c r="G1391" s="1">
        <f>IF(ISNUMBER(B1391),INT(B1391),0)</f>
        <v/>
      </c>
      <c r="H1391">
        <f>IF(AND(G1391&gt;0,D1391="Water",OR(C1391="",C1391="All beds")),G1391,0)</f>
        <v/>
      </c>
    </row>
    <row r="1392">
      <c r="A1392" s="1" t="n"/>
      <c r="B1392" s="17" t="n"/>
      <c r="C1392" s="18" t="n"/>
      <c r="D1392" s="19" t="n"/>
      <c r="E1392" s="21" t="n"/>
      <c r="F1392" s="11">
        <f>IF(AND(B1392="",C1392="",D1392=""),"",IF(NOT(ISNUMBER(B1392)),"Needs a date",IF(D1392="","Needs the job",IF(AND(C1392&lt;&gt;"",C1392&lt;&gt;"All beds",COUNTIF(Beds!$B$6:$B$35,C1392)=0),"Not on Beds",""))))</f>
        <v/>
      </c>
      <c r="G1392" s="1">
        <f>IF(ISNUMBER(B1392),INT(B1392),0)</f>
        <v/>
      </c>
      <c r="H1392">
        <f>IF(AND(G1392&gt;0,D1392="Water",OR(C1392="",C1392="All beds")),G1392,0)</f>
        <v/>
      </c>
    </row>
    <row r="1393">
      <c r="A1393" s="1" t="n"/>
      <c r="B1393" s="17" t="n"/>
      <c r="C1393" s="18" t="n"/>
      <c r="D1393" s="19" t="n"/>
      <c r="E1393" s="21" t="n"/>
      <c r="F1393" s="11">
        <f>IF(AND(B1393="",C1393="",D1393=""),"",IF(NOT(ISNUMBER(B1393)),"Needs a date",IF(D1393="","Needs the job",IF(AND(C1393&lt;&gt;"",C1393&lt;&gt;"All beds",COUNTIF(Beds!$B$6:$B$35,C1393)=0),"Not on Beds",""))))</f>
        <v/>
      </c>
      <c r="G1393" s="1">
        <f>IF(ISNUMBER(B1393),INT(B1393),0)</f>
        <v/>
      </c>
      <c r="H1393">
        <f>IF(AND(G1393&gt;0,D1393="Water",OR(C1393="",C1393="All beds")),G1393,0)</f>
        <v/>
      </c>
    </row>
    <row r="1394">
      <c r="A1394" s="1" t="n"/>
      <c r="B1394" s="17" t="n"/>
      <c r="C1394" s="18" t="n"/>
      <c r="D1394" s="19" t="n"/>
      <c r="E1394" s="21" t="n"/>
      <c r="F1394" s="11">
        <f>IF(AND(B1394="",C1394="",D1394=""),"",IF(NOT(ISNUMBER(B1394)),"Needs a date",IF(D1394="","Needs the job",IF(AND(C1394&lt;&gt;"",C1394&lt;&gt;"All beds",COUNTIF(Beds!$B$6:$B$35,C1394)=0),"Not on Beds",""))))</f>
        <v/>
      </c>
      <c r="G1394" s="1">
        <f>IF(ISNUMBER(B1394),INT(B1394),0)</f>
        <v/>
      </c>
      <c r="H1394">
        <f>IF(AND(G1394&gt;0,D1394="Water",OR(C1394="",C1394="All beds")),G1394,0)</f>
        <v/>
      </c>
    </row>
    <row r="1395">
      <c r="A1395" s="1" t="n"/>
      <c r="B1395" s="17" t="n"/>
      <c r="C1395" s="18" t="n"/>
      <c r="D1395" s="19" t="n"/>
      <c r="E1395" s="21" t="n"/>
      <c r="F1395" s="11">
        <f>IF(AND(B1395="",C1395="",D1395=""),"",IF(NOT(ISNUMBER(B1395)),"Needs a date",IF(D1395="","Needs the job",IF(AND(C1395&lt;&gt;"",C1395&lt;&gt;"All beds",COUNTIF(Beds!$B$6:$B$35,C1395)=0),"Not on Beds",""))))</f>
        <v/>
      </c>
      <c r="G1395" s="1">
        <f>IF(ISNUMBER(B1395),INT(B1395),0)</f>
        <v/>
      </c>
      <c r="H1395">
        <f>IF(AND(G1395&gt;0,D1395="Water",OR(C1395="",C1395="All beds")),G1395,0)</f>
        <v/>
      </c>
    </row>
    <row r="1396">
      <c r="A1396" s="1" t="n"/>
      <c r="B1396" s="17" t="n"/>
      <c r="C1396" s="18" t="n"/>
      <c r="D1396" s="19" t="n"/>
      <c r="E1396" s="21" t="n"/>
      <c r="F1396" s="11">
        <f>IF(AND(B1396="",C1396="",D1396=""),"",IF(NOT(ISNUMBER(B1396)),"Needs a date",IF(D1396="","Needs the job",IF(AND(C1396&lt;&gt;"",C1396&lt;&gt;"All beds",COUNTIF(Beds!$B$6:$B$35,C1396)=0),"Not on Beds",""))))</f>
        <v/>
      </c>
      <c r="G1396" s="1">
        <f>IF(ISNUMBER(B1396),INT(B1396),0)</f>
        <v/>
      </c>
      <c r="H1396">
        <f>IF(AND(G1396&gt;0,D1396="Water",OR(C1396="",C1396="All beds")),G1396,0)</f>
        <v/>
      </c>
    </row>
    <row r="1397">
      <c r="A1397" s="1" t="n"/>
      <c r="B1397" s="17" t="n"/>
      <c r="C1397" s="18" t="n"/>
      <c r="D1397" s="19" t="n"/>
      <c r="E1397" s="21" t="n"/>
      <c r="F1397" s="11">
        <f>IF(AND(B1397="",C1397="",D1397=""),"",IF(NOT(ISNUMBER(B1397)),"Needs a date",IF(D1397="","Needs the job",IF(AND(C1397&lt;&gt;"",C1397&lt;&gt;"All beds",COUNTIF(Beds!$B$6:$B$35,C1397)=0),"Not on Beds",""))))</f>
        <v/>
      </c>
      <c r="G1397" s="1">
        <f>IF(ISNUMBER(B1397),INT(B1397),0)</f>
        <v/>
      </c>
      <c r="H1397">
        <f>IF(AND(G1397&gt;0,D1397="Water",OR(C1397="",C1397="All beds")),G1397,0)</f>
        <v/>
      </c>
    </row>
    <row r="1398">
      <c r="A1398" s="1" t="n"/>
      <c r="B1398" s="17" t="n"/>
      <c r="C1398" s="18" t="n"/>
      <c r="D1398" s="19" t="n"/>
      <c r="E1398" s="21" t="n"/>
      <c r="F1398" s="11">
        <f>IF(AND(B1398="",C1398="",D1398=""),"",IF(NOT(ISNUMBER(B1398)),"Needs a date",IF(D1398="","Needs the job",IF(AND(C1398&lt;&gt;"",C1398&lt;&gt;"All beds",COUNTIF(Beds!$B$6:$B$35,C1398)=0),"Not on Beds",""))))</f>
        <v/>
      </c>
      <c r="G1398" s="1">
        <f>IF(ISNUMBER(B1398),INT(B1398),0)</f>
        <v/>
      </c>
      <c r="H1398">
        <f>IF(AND(G1398&gt;0,D1398="Water",OR(C1398="",C1398="All beds")),G1398,0)</f>
        <v/>
      </c>
    </row>
    <row r="1399">
      <c r="A1399" s="1" t="n"/>
      <c r="B1399" s="17" t="n"/>
      <c r="C1399" s="18" t="n"/>
      <c r="D1399" s="19" t="n"/>
      <c r="E1399" s="21" t="n"/>
      <c r="F1399" s="11">
        <f>IF(AND(B1399="",C1399="",D1399=""),"",IF(NOT(ISNUMBER(B1399)),"Needs a date",IF(D1399="","Needs the job",IF(AND(C1399&lt;&gt;"",C1399&lt;&gt;"All beds",COUNTIF(Beds!$B$6:$B$35,C1399)=0),"Not on Beds",""))))</f>
        <v/>
      </c>
      <c r="G1399" s="1">
        <f>IF(ISNUMBER(B1399),INT(B1399),0)</f>
        <v/>
      </c>
      <c r="H1399">
        <f>IF(AND(G1399&gt;0,D1399="Water",OR(C1399="",C1399="All beds")),G1399,0)</f>
        <v/>
      </c>
    </row>
    <row r="1400">
      <c r="A1400" s="1" t="n"/>
      <c r="B1400" s="17" t="n"/>
      <c r="C1400" s="18" t="n"/>
      <c r="D1400" s="19" t="n"/>
      <c r="E1400" s="21" t="n"/>
      <c r="F1400" s="11">
        <f>IF(AND(B1400="",C1400="",D1400=""),"",IF(NOT(ISNUMBER(B1400)),"Needs a date",IF(D1400="","Needs the job",IF(AND(C1400&lt;&gt;"",C1400&lt;&gt;"All beds",COUNTIF(Beds!$B$6:$B$35,C1400)=0),"Not on Beds",""))))</f>
        <v/>
      </c>
      <c r="G1400" s="1">
        <f>IF(ISNUMBER(B1400),INT(B1400),0)</f>
        <v/>
      </c>
      <c r="H1400">
        <f>IF(AND(G1400&gt;0,D1400="Water",OR(C1400="",C1400="All beds")),G1400,0)</f>
        <v/>
      </c>
    </row>
    <row r="1401">
      <c r="A1401" s="1" t="n"/>
      <c r="B1401" s="17" t="n"/>
      <c r="C1401" s="18" t="n"/>
      <c r="D1401" s="19" t="n"/>
      <c r="E1401" s="21" t="n"/>
      <c r="F1401" s="11">
        <f>IF(AND(B1401="",C1401="",D1401=""),"",IF(NOT(ISNUMBER(B1401)),"Needs a date",IF(D1401="","Needs the job",IF(AND(C1401&lt;&gt;"",C1401&lt;&gt;"All beds",COUNTIF(Beds!$B$6:$B$35,C1401)=0),"Not on Beds",""))))</f>
        <v/>
      </c>
      <c r="G1401" s="1">
        <f>IF(ISNUMBER(B1401),INT(B1401),0)</f>
        <v/>
      </c>
      <c r="H1401">
        <f>IF(AND(G1401&gt;0,D1401="Water",OR(C1401="",C1401="All beds")),G1401,0)</f>
        <v/>
      </c>
    </row>
    <row r="1402">
      <c r="A1402" s="1" t="n"/>
      <c r="B1402" s="17" t="n"/>
      <c r="C1402" s="18" t="n"/>
      <c r="D1402" s="19" t="n"/>
      <c r="E1402" s="21" t="n"/>
      <c r="F1402" s="11">
        <f>IF(AND(B1402="",C1402="",D1402=""),"",IF(NOT(ISNUMBER(B1402)),"Needs a date",IF(D1402="","Needs the job",IF(AND(C1402&lt;&gt;"",C1402&lt;&gt;"All beds",COUNTIF(Beds!$B$6:$B$35,C1402)=0),"Not on Beds",""))))</f>
        <v/>
      </c>
      <c r="G1402" s="1">
        <f>IF(ISNUMBER(B1402),INT(B1402),0)</f>
        <v/>
      </c>
      <c r="H1402">
        <f>IF(AND(G1402&gt;0,D1402="Water",OR(C1402="",C1402="All beds")),G1402,0)</f>
        <v/>
      </c>
    </row>
    <row r="1403">
      <c r="A1403" s="1" t="n"/>
      <c r="B1403" s="17" t="n"/>
      <c r="C1403" s="18" t="n"/>
      <c r="D1403" s="19" t="n"/>
      <c r="E1403" s="21" t="n"/>
      <c r="F1403" s="11">
        <f>IF(AND(B1403="",C1403="",D1403=""),"",IF(NOT(ISNUMBER(B1403)),"Needs a date",IF(D1403="","Needs the job",IF(AND(C1403&lt;&gt;"",C1403&lt;&gt;"All beds",COUNTIF(Beds!$B$6:$B$35,C1403)=0),"Not on Beds",""))))</f>
        <v/>
      </c>
      <c r="G1403" s="1">
        <f>IF(ISNUMBER(B1403),INT(B1403),0)</f>
        <v/>
      </c>
      <c r="H1403">
        <f>IF(AND(G1403&gt;0,D1403="Water",OR(C1403="",C1403="All beds")),G1403,0)</f>
        <v/>
      </c>
    </row>
    <row r="1404">
      <c r="A1404" s="1" t="n"/>
      <c r="B1404" s="17" t="n"/>
      <c r="C1404" s="18" t="n"/>
      <c r="D1404" s="19" t="n"/>
      <c r="E1404" s="21" t="n"/>
      <c r="F1404" s="11">
        <f>IF(AND(B1404="",C1404="",D1404=""),"",IF(NOT(ISNUMBER(B1404)),"Needs a date",IF(D1404="","Needs the job",IF(AND(C1404&lt;&gt;"",C1404&lt;&gt;"All beds",COUNTIF(Beds!$B$6:$B$35,C1404)=0),"Not on Beds",""))))</f>
        <v/>
      </c>
      <c r="G1404" s="1">
        <f>IF(ISNUMBER(B1404),INT(B1404),0)</f>
        <v/>
      </c>
      <c r="H1404">
        <f>IF(AND(G1404&gt;0,D1404="Water",OR(C1404="",C1404="All beds")),G1404,0)</f>
        <v/>
      </c>
    </row>
    <row r="1405">
      <c r="A1405" s="1" t="n"/>
      <c r="B1405" s="17" t="n"/>
      <c r="C1405" s="18" t="n"/>
      <c r="D1405" s="19" t="n"/>
      <c r="E1405" s="21" t="n"/>
      <c r="F1405" s="11">
        <f>IF(AND(B1405="",C1405="",D1405=""),"",IF(NOT(ISNUMBER(B1405)),"Needs a date",IF(D1405="","Needs the job",IF(AND(C1405&lt;&gt;"",C1405&lt;&gt;"All beds",COUNTIF(Beds!$B$6:$B$35,C1405)=0),"Not on Beds",""))))</f>
        <v/>
      </c>
      <c r="G1405" s="1">
        <f>IF(ISNUMBER(B1405),INT(B1405),0)</f>
        <v/>
      </c>
      <c r="H1405">
        <f>IF(AND(G1405&gt;0,D1405="Water",OR(C1405="",C1405="All beds")),G1405,0)</f>
        <v/>
      </c>
    </row>
    <row r="1406">
      <c r="A1406" s="1" t="n"/>
      <c r="B1406" s="17" t="n"/>
      <c r="C1406" s="18" t="n"/>
      <c r="D1406" s="19" t="n"/>
      <c r="E1406" s="21" t="n"/>
      <c r="F1406" s="11">
        <f>IF(AND(B1406="",C1406="",D1406=""),"",IF(NOT(ISNUMBER(B1406)),"Needs a date",IF(D1406="","Needs the job",IF(AND(C1406&lt;&gt;"",C1406&lt;&gt;"All beds",COUNTIF(Beds!$B$6:$B$35,C1406)=0),"Not on Beds",""))))</f>
        <v/>
      </c>
      <c r="G1406" s="1">
        <f>IF(ISNUMBER(B1406),INT(B1406),0)</f>
        <v/>
      </c>
      <c r="H1406">
        <f>IF(AND(G1406&gt;0,D1406="Water",OR(C1406="",C1406="All beds")),G1406,0)</f>
        <v/>
      </c>
    </row>
    <row r="1407">
      <c r="A1407" s="1" t="n"/>
      <c r="B1407" s="17" t="n"/>
      <c r="C1407" s="18" t="n"/>
      <c r="D1407" s="19" t="n"/>
      <c r="E1407" s="21" t="n"/>
      <c r="F1407" s="11">
        <f>IF(AND(B1407="",C1407="",D1407=""),"",IF(NOT(ISNUMBER(B1407)),"Needs a date",IF(D1407="","Needs the job",IF(AND(C1407&lt;&gt;"",C1407&lt;&gt;"All beds",COUNTIF(Beds!$B$6:$B$35,C1407)=0),"Not on Beds",""))))</f>
        <v/>
      </c>
      <c r="G1407" s="1">
        <f>IF(ISNUMBER(B1407),INT(B1407),0)</f>
        <v/>
      </c>
      <c r="H1407">
        <f>IF(AND(G1407&gt;0,D1407="Water",OR(C1407="",C1407="All beds")),G1407,0)</f>
        <v/>
      </c>
    </row>
    <row r="1408">
      <c r="A1408" s="1" t="n"/>
      <c r="B1408" s="17" t="n"/>
      <c r="C1408" s="18" t="n"/>
      <c r="D1408" s="19" t="n"/>
      <c r="E1408" s="21" t="n"/>
      <c r="F1408" s="11">
        <f>IF(AND(B1408="",C1408="",D1408=""),"",IF(NOT(ISNUMBER(B1408)),"Needs a date",IF(D1408="","Needs the job",IF(AND(C1408&lt;&gt;"",C1408&lt;&gt;"All beds",COUNTIF(Beds!$B$6:$B$35,C1408)=0),"Not on Beds",""))))</f>
        <v/>
      </c>
      <c r="G1408" s="1">
        <f>IF(ISNUMBER(B1408),INT(B1408),0)</f>
        <v/>
      </c>
      <c r="H1408">
        <f>IF(AND(G1408&gt;0,D1408="Water",OR(C1408="",C1408="All beds")),G1408,0)</f>
        <v/>
      </c>
    </row>
    <row r="1409">
      <c r="A1409" s="1" t="n"/>
      <c r="B1409" s="17" t="n"/>
      <c r="C1409" s="18" t="n"/>
      <c r="D1409" s="19" t="n"/>
      <c r="E1409" s="21" t="n"/>
      <c r="F1409" s="11">
        <f>IF(AND(B1409="",C1409="",D1409=""),"",IF(NOT(ISNUMBER(B1409)),"Needs a date",IF(D1409="","Needs the job",IF(AND(C1409&lt;&gt;"",C1409&lt;&gt;"All beds",COUNTIF(Beds!$B$6:$B$35,C1409)=0),"Not on Beds",""))))</f>
        <v/>
      </c>
      <c r="G1409" s="1">
        <f>IF(ISNUMBER(B1409),INT(B1409),0)</f>
        <v/>
      </c>
      <c r="H1409">
        <f>IF(AND(G1409&gt;0,D1409="Water",OR(C1409="",C1409="All beds")),G1409,0)</f>
        <v/>
      </c>
    </row>
    <row r="1410">
      <c r="A1410" s="1" t="n"/>
      <c r="B1410" s="17" t="n"/>
      <c r="C1410" s="18" t="n"/>
      <c r="D1410" s="19" t="n"/>
      <c r="E1410" s="21" t="n"/>
      <c r="F1410" s="11">
        <f>IF(AND(B1410="",C1410="",D1410=""),"",IF(NOT(ISNUMBER(B1410)),"Needs a date",IF(D1410="","Needs the job",IF(AND(C1410&lt;&gt;"",C1410&lt;&gt;"All beds",COUNTIF(Beds!$B$6:$B$35,C1410)=0),"Not on Beds",""))))</f>
        <v/>
      </c>
      <c r="G1410" s="1">
        <f>IF(ISNUMBER(B1410),INT(B1410),0)</f>
        <v/>
      </c>
      <c r="H1410">
        <f>IF(AND(G1410&gt;0,D1410="Water",OR(C1410="",C1410="All beds")),G1410,0)</f>
        <v/>
      </c>
    </row>
    <row r="1411">
      <c r="A1411" s="1" t="n"/>
      <c r="B1411" s="17" t="n"/>
      <c r="C1411" s="18" t="n"/>
      <c r="D1411" s="19" t="n"/>
      <c r="E1411" s="21" t="n"/>
      <c r="F1411" s="11">
        <f>IF(AND(B1411="",C1411="",D1411=""),"",IF(NOT(ISNUMBER(B1411)),"Needs a date",IF(D1411="","Needs the job",IF(AND(C1411&lt;&gt;"",C1411&lt;&gt;"All beds",COUNTIF(Beds!$B$6:$B$35,C1411)=0),"Not on Beds",""))))</f>
        <v/>
      </c>
      <c r="G1411" s="1">
        <f>IF(ISNUMBER(B1411),INT(B1411),0)</f>
        <v/>
      </c>
      <c r="H1411">
        <f>IF(AND(G1411&gt;0,D1411="Water",OR(C1411="",C1411="All beds")),G1411,0)</f>
        <v/>
      </c>
    </row>
    <row r="1412">
      <c r="A1412" s="1" t="n"/>
      <c r="B1412" s="17" t="n"/>
      <c r="C1412" s="18" t="n"/>
      <c r="D1412" s="19" t="n"/>
      <c r="E1412" s="21" t="n"/>
      <c r="F1412" s="11">
        <f>IF(AND(B1412="",C1412="",D1412=""),"",IF(NOT(ISNUMBER(B1412)),"Needs a date",IF(D1412="","Needs the job",IF(AND(C1412&lt;&gt;"",C1412&lt;&gt;"All beds",COUNTIF(Beds!$B$6:$B$35,C1412)=0),"Not on Beds",""))))</f>
        <v/>
      </c>
      <c r="G1412" s="1">
        <f>IF(ISNUMBER(B1412),INT(B1412),0)</f>
        <v/>
      </c>
      <c r="H1412">
        <f>IF(AND(G1412&gt;0,D1412="Water",OR(C1412="",C1412="All beds")),G1412,0)</f>
        <v/>
      </c>
    </row>
    <row r="1413">
      <c r="A1413" s="1" t="n"/>
      <c r="B1413" s="17" t="n"/>
      <c r="C1413" s="18" t="n"/>
      <c r="D1413" s="19" t="n"/>
      <c r="E1413" s="21" t="n"/>
      <c r="F1413" s="11">
        <f>IF(AND(B1413="",C1413="",D1413=""),"",IF(NOT(ISNUMBER(B1413)),"Needs a date",IF(D1413="","Needs the job",IF(AND(C1413&lt;&gt;"",C1413&lt;&gt;"All beds",COUNTIF(Beds!$B$6:$B$35,C1413)=0),"Not on Beds",""))))</f>
        <v/>
      </c>
      <c r="G1413" s="1">
        <f>IF(ISNUMBER(B1413),INT(B1413),0)</f>
        <v/>
      </c>
      <c r="H1413">
        <f>IF(AND(G1413&gt;0,D1413="Water",OR(C1413="",C1413="All beds")),G1413,0)</f>
        <v/>
      </c>
    </row>
    <row r="1414">
      <c r="A1414" s="1" t="n"/>
      <c r="B1414" s="17" t="n"/>
      <c r="C1414" s="18" t="n"/>
      <c r="D1414" s="19" t="n"/>
      <c r="E1414" s="21" t="n"/>
      <c r="F1414" s="11">
        <f>IF(AND(B1414="",C1414="",D1414=""),"",IF(NOT(ISNUMBER(B1414)),"Needs a date",IF(D1414="","Needs the job",IF(AND(C1414&lt;&gt;"",C1414&lt;&gt;"All beds",COUNTIF(Beds!$B$6:$B$35,C1414)=0),"Not on Beds",""))))</f>
        <v/>
      </c>
      <c r="G1414" s="1">
        <f>IF(ISNUMBER(B1414),INT(B1414),0)</f>
        <v/>
      </c>
      <c r="H1414">
        <f>IF(AND(G1414&gt;0,D1414="Water",OR(C1414="",C1414="All beds")),G1414,0)</f>
        <v/>
      </c>
    </row>
    <row r="1415">
      <c r="A1415" s="1" t="n"/>
      <c r="B1415" s="17" t="n"/>
      <c r="C1415" s="18" t="n"/>
      <c r="D1415" s="19" t="n"/>
      <c r="E1415" s="21" t="n"/>
      <c r="F1415" s="11">
        <f>IF(AND(B1415="",C1415="",D1415=""),"",IF(NOT(ISNUMBER(B1415)),"Needs a date",IF(D1415="","Needs the job",IF(AND(C1415&lt;&gt;"",C1415&lt;&gt;"All beds",COUNTIF(Beds!$B$6:$B$35,C1415)=0),"Not on Beds",""))))</f>
        <v/>
      </c>
      <c r="G1415" s="1">
        <f>IF(ISNUMBER(B1415),INT(B1415),0)</f>
        <v/>
      </c>
      <c r="H1415">
        <f>IF(AND(G1415&gt;0,D1415="Water",OR(C1415="",C1415="All beds")),G1415,0)</f>
        <v/>
      </c>
    </row>
    <row r="1416">
      <c r="A1416" s="1" t="n"/>
      <c r="B1416" s="17" t="n"/>
      <c r="C1416" s="18" t="n"/>
      <c r="D1416" s="19" t="n"/>
      <c r="E1416" s="21" t="n"/>
      <c r="F1416" s="11">
        <f>IF(AND(B1416="",C1416="",D1416=""),"",IF(NOT(ISNUMBER(B1416)),"Needs a date",IF(D1416="","Needs the job",IF(AND(C1416&lt;&gt;"",C1416&lt;&gt;"All beds",COUNTIF(Beds!$B$6:$B$35,C1416)=0),"Not on Beds",""))))</f>
        <v/>
      </c>
      <c r="G1416" s="1">
        <f>IF(ISNUMBER(B1416),INT(B1416),0)</f>
        <v/>
      </c>
      <c r="H1416">
        <f>IF(AND(G1416&gt;0,D1416="Water",OR(C1416="",C1416="All beds")),G1416,0)</f>
        <v/>
      </c>
    </row>
    <row r="1417">
      <c r="A1417" s="1" t="n"/>
      <c r="B1417" s="17" t="n"/>
      <c r="C1417" s="18" t="n"/>
      <c r="D1417" s="19" t="n"/>
      <c r="E1417" s="21" t="n"/>
      <c r="F1417" s="11">
        <f>IF(AND(B1417="",C1417="",D1417=""),"",IF(NOT(ISNUMBER(B1417)),"Needs a date",IF(D1417="","Needs the job",IF(AND(C1417&lt;&gt;"",C1417&lt;&gt;"All beds",COUNTIF(Beds!$B$6:$B$35,C1417)=0),"Not on Beds",""))))</f>
        <v/>
      </c>
      <c r="G1417" s="1">
        <f>IF(ISNUMBER(B1417),INT(B1417),0)</f>
        <v/>
      </c>
      <c r="H1417">
        <f>IF(AND(G1417&gt;0,D1417="Water",OR(C1417="",C1417="All beds")),G1417,0)</f>
        <v/>
      </c>
    </row>
    <row r="1418">
      <c r="A1418" s="1" t="n"/>
      <c r="B1418" s="17" t="n"/>
      <c r="C1418" s="18" t="n"/>
      <c r="D1418" s="19" t="n"/>
      <c r="E1418" s="21" t="n"/>
      <c r="F1418" s="11">
        <f>IF(AND(B1418="",C1418="",D1418=""),"",IF(NOT(ISNUMBER(B1418)),"Needs a date",IF(D1418="","Needs the job",IF(AND(C1418&lt;&gt;"",C1418&lt;&gt;"All beds",COUNTIF(Beds!$B$6:$B$35,C1418)=0),"Not on Beds",""))))</f>
        <v/>
      </c>
      <c r="G1418" s="1">
        <f>IF(ISNUMBER(B1418),INT(B1418),0)</f>
        <v/>
      </c>
      <c r="H1418">
        <f>IF(AND(G1418&gt;0,D1418="Water",OR(C1418="",C1418="All beds")),G1418,0)</f>
        <v/>
      </c>
    </row>
    <row r="1419">
      <c r="A1419" s="1" t="n"/>
      <c r="B1419" s="17" t="n"/>
      <c r="C1419" s="18" t="n"/>
      <c r="D1419" s="19" t="n"/>
      <c r="E1419" s="21" t="n"/>
      <c r="F1419" s="11">
        <f>IF(AND(B1419="",C1419="",D1419=""),"",IF(NOT(ISNUMBER(B1419)),"Needs a date",IF(D1419="","Needs the job",IF(AND(C1419&lt;&gt;"",C1419&lt;&gt;"All beds",COUNTIF(Beds!$B$6:$B$35,C1419)=0),"Not on Beds",""))))</f>
        <v/>
      </c>
      <c r="G1419" s="1">
        <f>IF(ISNUMBER(B1419),INT(B1419),0)</f>
        <v/>
      </c>
      <c r="H1419">
        <f>IF(AND(G1419&gt;0,D1419="Water",OR(C1419="",C1419="All beds")),G1419,0)</f>
        <v/>
      </c>
    </row>
    <row r="1420">
      <c r="A1420" s="1" t="n"/>
      <c r="B1420" s="17" t="n"/>
      <c r="C1420" s="18" t="n"/>
      <c r="D1420" s="19" t="n"/>
      <c r="E1420" s="21" t="n"/>
      <c r="F1420" s="11">
        <f>IF(AND(B1420="",C1420="",D1420=""),"",IF(NOT(ISNUMBER(B1420)),"Needs a date",IF(D1420="","Needs the job",IF(AND(C1420&lt;&gt;"",C1420&lt;&gt;"All beds",COUNTIF(Beds!$B$6:$B$35,C1420)=0),"Not on Beds",""))))</f>
        <v/>
      </c>
      <c r="G1420" s="1">
        <f>IF(ISNUMBER(B1420),INT(B1420),0)</f>
        <v/>
      </c>
      <c r="H1420">
        <f>IF(AND(G1420&gt;0,D1420="Water",OR(C1420="",C1420="All beds")),G1420,0)</f>
        <v/>
      </c>
    </row>
    <row r="1421">
      <c r="A1421" s="1" t="n"/>
      <c r="B1421" s="17" t="n"/>
      <c r="C1421" s="18" t="n"/>
      <c r="D1421" s="19" t="n"/>
      <c r="E1421" s="21" t="n"/>
      <c r="F1421" s="11">
        <f>IF(AND(B1421="",C1421="",D1421=""),"",IF(NOT(ISNUMBER(B1421)),"Needs a date",IF(D1421="","Needs the job",IF(AND(C1421&lt;&gt;"",C1421&lt;&gt;"All beds",COUNTIF(Beds!$B$6:$B$35,C1421)=0),"Not on Beds",""))))</f>
        <v/>
      </c>
      <c r="G1421" s="1">
        <f>IF(ISNUMBER(B1421),INT(B1421),0)</f>
        <v/>
      </c>
      <c r="H1421">
        <f>IF(AND(G1421&gt;0,D1421="Water",OR(C1421="",C1421="All beds")),G1421,0)</f>
        <v/>
      </c>
    </row>
    <row r="1422">
      <c r="A1422" s="1" t="n"/>
      <c r="B1422" s="17" t="n"/>
      <c r="C1422" s="18" t="n"/>
      <c r="D1422" s="19" t="n"/>
      <c r="E1422" s="21" t="n"/>
      <c r="F1422" s="11">
        <f>IF(AND(B1422="",C1422="",D1422=""),"",IF(NOT(ISNUMBER(B1422)),"Needs a date",IF(D1422="","Needs the job",IF(AND(C1422&lt;&gt;"",C1422&lt;&gt;"All beds",COUNTIF(Beds!$B$6:$B$35,C1422)=0),"Not on Beds",""))))</f>
        <v/>
      </c>
      <c r="G1422" s="1">
        <f>IF(ISNUMBER(B1422),INT(B1422),0)</f>
        <v/>
      </c>
      <c r="H1422">
        <f>IF(AND(G1422&gt;0,D1422="Water",OR(C1422="",C1422="All beds")),G1422,0)</f>
        <v/>
      </c>
    </row>
    <row r="1423">
      <c r="A1423" s="1" t="n"/>
      <c r="B1423" s="17" t="n"/>
      <c r="C1423" s="18" t="n"/>
      <c r="D1423" s="19" t="n"/>
      <c r="E1423" s="21" t="n"/>
      <c r="F1423" s="11">
        <f>IF(AND(B1423="",C1423="",D1423=""),"",IF(NOT(ISNUMBER(B1423)),"Needs a date",IF(D1423="","Needs the job",IF(AND(C1423&lt;&gt;"",C1423&lt;&gt;"All beds",COUNTIF(Beds!$B$6:$B$35,C1423)=0),"Not on Beds",""))))</f>
        <v/>
      </c>
      <c r="G1423" s="1">
        <f>IF(ISNUMBER(B1423),INT(B1423),0)</f>
        <v/>
      </c>
      <c r="H1423">
        <f>IF(AND(G1423&gt;0,D1423="Water",OR(C1423="",C1423="All beds")),G1423,0)</f>
        <v/>
      </c>
    </row>
    <row r="1424">
      <c r="A1424" s="1" t="n"/>
      <c r="B1424" s="17" t="n"/>
      <c r="C1424" s="18" t="n"/>
      <c r="D1424" s="19" t="n"/>
      <c r="E1424" s="21" t="n"/>
      <c r="F1424" s="11">
        <f>IF(AND(B1424="",C1424="",D1424=""),"",IF(NOT(ISNUMBER(B1424)),"Needs a date",IF(D1424="","Needs the job",IF(AND(C1424&lt;&gt;"",C1424&lt;&gt;"All beds",COUNTIF(Beds!$B$6:$B$35,C1424)=0),"Not on Beds",""))))</f>
        <v/>
      </c>
      <c r="G1424" s="1">
        <f>IF(ISNUMBER(B1424),INT(B1424),0)</f>
        <v/>
      </c>
      <c r="H1424">
        <f>IF(AND(G1424&gt;0,D1424="Water",OR(C1424="",C1424="All beds")),G1424,0)</f>
        <v/>
      </c>
    </row>
    <row r="1425">
      <c r="A1425" s="1" t="n"/>
      <c r="B1425" s="17" t="n"/>
      <c r="C1425" s="18" t="n"/>
      <c r="D1425" s="19" t="n"/>
      <c r="E1425" s="21" t="n"/>
      <c r="F1425" s="11">
        <f>IF(AND(B1425="",C1425="",D1425=""),"",IF(NOT(ISNUMBER(B1425)),"Needs a date",IF(D1425="","Needs the job",IF(AND(C1425&lt;&gt;"",C1425&lt;&gt;"All beds",COUNTIF(Beds!$B$6:$B$35,C1425)=0),"Not on Beds",""))))</f>
        <v/>
      </c>
      <c r="G1425" s="1">
        <f>IF(ISNUMBER(B1425),INT(B1425),0)</f>
        <v/>
      </c>
      <c r="H1425">
        <f>IF(AND(G1425&gt;0,D1425="Water",OR(C1425="",C1425="All beds")),G1425,0)</f>
        <v/>
      </c>
    </row>
    <row r="1426">
      <c r="A1426" s="1" t="n"/>
      <c r="B1426" s="17" t="n"/>
      <c r="C1426" s="18" t="n"/>
      <c r="D1426" s="19" t="n"/>
      <c r="E1426" s="21" t="n"/>
      <c r="F1426" s="11">
        <f>IF(AND(B1426="",C1426="",D1426=""),"",IF(NOT(ISNUMBER(B1426)),"Needs a date",IF(D1426="","Needs the job",IF(AND(C1426&lt;&gt;"",C1426&lt;&gt;"All beds",COUNTIF(Beds!$B$6:$B$35,C1426)=0),"Not on Beds",""))))</f>
        <v/>
      </c>
      <c r="G1426" s="1">
        <f>IF(ISNUMBER(B1426),INT(B1426),0)</f>
        <v/>
      </c>
      <c r="H1426">
        <f>IF(AND(G1426&gt;0,D1426="Water",OR(C1426="",C1426="All beds")),G1426,0)</f>
        <v/>
      </c>
    </row>
    <row r="1427">
      <c r="A1427" s="1" t="n"/>
      <c r="B1427" s="17" t="n"/>
      <c r="C1427" s="18" t="n"/>
      <c r="D1427" s="19" t="n"/>
      <c r="E1427" s="21" t="n"/>
      <c r="F1427" s="11">
        <f>IF(AND(B1427="",C1427="",D1427=""),"",IF(NOT(ISNUMBER(B1427)),"Needs a date",IF(D1427="","Needs the job",IF(AND(C1427&lt;&gt;"",C1427&lt;&gt;"All beds",COUNTIF(Beds!$B$6:$B$35,C1427)=0),"Not on Beds",""))))</f>
        <v/>
      </c>
      <c r="G1427" s="1">
        <f>IF(ISNUMBER(B1427),INT(B1427),0)</f>
        <v/>
      </c>
      <c r="H1427">
        <f>IF(AND(G1427&gt;0,D1427="Water",OR(C1427="",C1427="All beds")),G1427,0)</f>
        <v/>
      </c>
    </row>
    <row r="1428">
      <c r="A1428" s="1" t="n"/>
      <c r="B1428" s="17" t="n"/>
      <c r="C1428" s="18" t="n"/>
      <c r="D1428" s="19" t="n"/>
      <c r="E1428" s="21" t="n"/>
      <c r="F1428" s="11">
        <f>IF(AND(B1428="",C1428="",D1428=""),"",IF(NOT(ISNUMBER(B1428)),"Needs a date",IF(D1428="","Needs the job",IF(AND(C1428&lt;&gt;"",C1428&lt;&gt;"All beds",COUNTIF(Beds!$B$6:$B$35,C1428)=0),"Not on Beds",""))))</f>
        <v/>
      </c>
      <c r="G1428" s="1">
        <f>IF(ISNUMBER(B1428),INT(B1428),0)</f>
        <v/>
      </c>
      <c r="H1428">
        <f>IF(AND(G1428&gt;0,D1428="Water",OR(C1428="",C1428="All beds")),G1428,0)</f>
        <v/>
      </c>
    </row>
    <row r="1429">
      <c r="A1429" s="1" t="n"/>
      <c r="B1429" s="17" t="n"/>
      <c r="C1429" s="18" t="n"/>
      <c r="D1429" s="19" t="n"/>
      <c r="E1429" s="21" t="n"/>
      <c r="F1429" s="11">
        <f>IF(AND(B1429="",C1429="",D1429=""),"",IF(NOT(ISNUMBER(B1429)),"Needs a date",IF(D1429="","Needs the job",IF(AND(C1429&lt;&gt;"",C1429&lt;&gt;"All beds",COUNTIF(Beds!$B$6:$B$35,C1429)=0),"Not on Beds",""))))</f>
        <v/>
      </c>
      <c r="G1429" s="1">
        <f>IF(ISNUMBER(B1429),INT(B1429),0)</f>
        <v/>
      </c>
      <c r="H1429">
        <f>IF(AND(G1429&gt;0,D1429="Water",OR(C1429="",C1429="All beds")),G1429,0)</f>
        <v/>
      </c>
    </row>
    <row r="1430">
      <c r="A1430" s="1" t="n"/>
      <c r="B1430" s="17" t="n"/>
      <c r="C1430" s="18" t="n"/>
      <c r="D1430" s="19" t="n"/>
      <c r="E1430" s="21" t="n"/>
      <c r="F1430" s="11">
        <f>IF(AND(B1430="",C1430="",D1430=""),"",IF(NOT(ISNUMBER(B1430)),"Needs a date",IF(D1430="","Needs the job",IF(AND(C1430&lt;&gt;"",C1430&lt;&gt;"All beds",COUNTIF(Beds!$B$6:$B$35,C1430)=0),"Not on Beds",""))))</f>
        <v/>
      </c>
      <c r="G1430" s="1">
        <f>IF(ISNUMBER(B1430),INT(B1430),0)</f>
        <v/>
      </c>
      <c r="H1430">
        <f>IF(AND(G1430&gt;0,D1430="Water",OR(C1430="",C1430="All beds")),G1430,0)</f>
        <v/>
      </c>
    </row>
    <row r="1431">
      <c r="A1431" s="1" t="n"/>
      <c r="B1431" s="17" t="n"/>
      <c r="C1431" s="18" t="n"/>
      <c r="D1431" s="19" t="n"/>
      <c r="E1431" s="21" t="n"/>
      <c r="F1431" s="11">
        <f>IF(AND(B1431="",C1431="",D1431=""),"",IF(NOT(ISNUMBER(B1431)),"Needs a date",IF(D1431="","Needs the job",IF(AND(C1431&lt;&gt;"",C1431&lt;&gt;"All beds",COUNTIF(Beds!$B$6:$B$35,C1431)=0),"Not on Beds",""))))</f>
        <v/>
      </c>
      <c r="G1431" s="1">
        <f>IF(ISNUMBER(B1431),INT(B1431),0)</f>
        <v/>
      </c>
      <c r="H1431">
        <f>IF(AND(G1431&gt;0,D1431="Water",OR(C1431="",C1431="All beds")),G1431,0)</f>
        <v/>
      </c>
    </row>
    <row r="1432">
      <c r="A1432" s="1" t="n"/>
      <c r="B1432" s="17" t="n"/>
      <c r="C1432" s="18" t="n"/>
      <c r="D1432" s="19" t="n"/>
      <c r="E1432" s="21" t="n"/>
      <c r="F1432" s="11">
        <f>IF(AND(B1432="",C1432="",D1432=""),"",IF(NOT(ISNUMBER(B1432)),"Needs a date",IF(D1432="","Needs the job",IF(AND(C1432&lt;&gt;"",C1432&lt;&gt;"All beds",COUNTIF(Beds!$B$6:$B$35,C1432)=0),"Not on Beds",""))))</f>
        <v/>
      </c>
      <c r="G1432" s="1">
        <f>IF(ISNUMBER(B1432),INT(B1432),0)</f>
        <v/>
      </c>
      <c r="H1432">
        <f>IF(AND(G1432&gt;0,D1432="Water",OR(C1432="",C1432="All beds")),G1432,0)</f>
        <v/>
      </c>
    </row>
    <row r="1433">
      <c r="A1433" s="1" t="n"/>
      <c r="B1433" s="17" t="n"/>
      <c r="C1433" s="18" t="n"/>
      <c r="D1433" s="19" t="n"/>
      <c r="E1433" s="21" t="n"/>
      <c r="F1433" s="11">
        <f>IF(AND(B1433="",C1433="",D1433=""),"",IF(NOT(ISNUMBER(B1433)),"Needs a date",IF(D1433="","Needs the job",IF(AND(C1433&lt;&gt;"",C1433&lt;&gt;"All beds",COUNTIF(Beds!$B$6:$B$35,C1433)=0),"Not on Beds",""))))</f>
        <v/>
      </c>
      <c r="G1433" s="1">
        <f>IF(ISNUMBER(B1433),INT(B1433),0)</f>
        <v/>
      </c>
      <c r="H1433">
        <f>IF(AND(G1433&gt;0,D1433="Water",OR(C1433="",C1433="All beds")),G1433,0)</f>
        <v/>
      </c>
    </row>
    <row r="1434">
      <c r="A1434" s="1" t="n"/>
      <c r="B1434" s="17" t="n"/>
      <c r="C1434" s="18" t="n"/>
      <c r="D1434" s="19" t="n"/>
      <c r="E1434" s="21" t="n"/>
      <c r="F1434" s="11">
        <f>IF(AND(B1434="",C1434="",D1434=""),"",IF(NOT(ISNUMBER(B1434)),"Needs a date",IF(D1434="","Needs the job",IF(AND(C1434&lt;&gt;"",C1434&lt;&gt;"All beds",COUNTIF(Beds!$B$6:$B$35,C1434)=0),"Not on Beds",""))))</f>
        <v/>
      </c>
      <c r="G1434" s="1">
        <f>IF(ISNUMBER(B1434),INT(B1434),0)</f>
        <v/>
      </c>
      <c r="H1434">
        <f>IF(AND(G1434&gt;0,D1434="Water",OR(C1434="",C1434="All beds")),G1434,0)</f>
        <v/>
      </c>
    </row>
    <row r="1435">
      <c r="A1435" s="1" t="n"/>
      <c r="B1435" s="17" t="n"/>
      <c r="C1435" s="18" t="n"/>
      <c r="D1435" s="19" t="n"/>
      <c r="E1435" s="21" t="n"/>
      <c r="F1435" s="11">
        <f>IF(AND(B1435="",C1435="",D1435=""),"",IF(NOT(ISNUMBER(B1435)),"Needs a date",IF(D1435="","Needs the job",IF(AND(C1435&lt;&gt;"",C1435&lt;&gt;"All beds",COUNTIF(Beds!$B$6:$B$35,C1435)=0),"Not on Beds",""))))</f>
        <v/>
      </c>
      <c r="G1435" s="1">
        <f>IF(ISNUMBER(B1435),INT(B1435),0)</f>
        <v/>
      </c>
      <c r="H1435">
        <f>IF(AND(G1435&gt;0,D1435="Water",OR(C1435="",C1435="All beds")),G1435,0)</f>
        <v/>
      </c>
    </row>
    <row r="1436">
      <c r="A1436" s="1" t="n"/>
      <c r="B1436" s="17" t="n"/>
      <c r="C1436" s="18" t="n"/>
      <c r="D1436" s="19" t="n"/>
      <c r="E1436" s="21" t="n"/>
      <c r="F1436" s="11">
        <f>IF(AND(B1436="",C1436="",D1436=""),"",IF(NOT(ISNUMBER(B1436)),"Needs a date",IF(D1436="","Needs the job",IF(AND(C1436&lt;&gt;"",C1436&lt;&gt;"All beds",COUNTIF(Beds!$B$6:$B$35,C1436)=0),"Not on Beds",""))))</f>
        <v/>
      </c>
      <c r="G1436" s="1">
        <f>IF(ISNUMBER(B1436),INT(B1436),0)</f>
        <v/>
      </c>
      <c r="H1436">
        <f>IF(AND(G1436&gt;0,D1436="Water",OR(C1436="",C1436="All beds")),G1436,0)</f>
        <v/>
      </c>
    </row>
    <row r="1437">
      <c r="A1437" s="1" t="n"/>
      <c r="B1437" s="17" t="n"/>
      <c r="C1437" s="18" t="n"/>
      <c r="D1437" s="19" t="n"/>
      <c r="E1437" s="21" t="n"/>
      <c r="F1437" s="11">
        <f>IF(AND(B1437="",C1437="",D1437=""),"",IF(NOT(ISNUMBER(B1437)),"Needs a date",IF(D1437="","Needs the job",IF(AND(C1437&lt;&gt;"",C1437&lt;&gt;"All beds",COUNTIF(Beds!$B$6:$B$35,C1437)=0),"Not on Beds",""))))</f>
        <v/>
      </c>
      <c r="G1437" s="1">
        <f>IF(ISNUMBER(B1437),INT(B1437),0)</f>
        <v/>
      </c>
      <c r="H1437">
        <f>IF(AND(G1437&gt;0,D1437="Water",OR(C1437="",C1437="All beds")),G1437,0)</f>
        <v/>
      </c>
    </row>
    <row r="1438">
      <c r="A1438" s="1" t="n"/>
      <c r="B1438" s="17" t="n"/>
      <c r="C1438" s="18" t="n"/>
      <c r="D1438" s="19" t="n"/>
      <c r="E1438" s="21" t="n"/>
      <c r="F1438" s="11">
        <f>IF(AND(B1438="",C1438="",D1438=""),"",IF(NOT(ISNUMBER(B1438)),"Needs a date",IF(D1438="","Needs the job",IF(AND(C1438&lt;&gt;"",C1438&lt;&gt;"All beds",COUNTIF(Beds!$B$6:$B$35,C1438)=0),"Not on Beds",""))))</f>
        <v/>
      </c>
      <c r="G1438" s="1">
        <f>IF(ISNUMBER(B1438),INT(B1438),0)</f>
        <v/>
      </c>
      <c r="H1438">
        <f>IF(AND(G1438&gt;0,D1438="Water",OR(C1438="",C1438="All beds")),G1438,0)</f>
        <v/>
      </c>
    </row>
    <row r="1439">
      <c r="A1439" s="1" t="n"/>
      <c r="B1439" s="17" t="n"/>
      <c r="C1439" s="18" t="n"/>
      <c r="D1439" s="19" t="n"/>
      <c r="E1439" s="21" t="n"/>
      <c r="F1439" s="11">
        <f>IF(AND(B1439="",C1439="",D1439=""),"",IF(NOT(ISNUMBER(B1439)),"Needs a date",IF(D1439="","Needs the job",IF(AND(C1439&lt;&gt;"",C1439&lt;&gt;"All beds",COUNTIF(Beds!$B$6:$B$35,C1439)=0),"Not on Beds",""))))</f>
        <v/>
      </c>
      <c r="G1439" s="1">
        <f>IF(ISNUMBER(B1439),INT(B1439),0)</f>
        <v/>
      </c>
      <c r="H1439">
        <f>IF(AND(G1439&gt;0,D1439="Water",OR(C1439="",C1439="All beds")),G1439,0)</f>
        <v/>
      </c>
    </row>
    <row r="1440">
      <c r="A1440" s="1" t="n"/>
      <c r="B1440" s="17" t="n"/>
      <c r="C1440" s="18" t="n"/>
      <c r="D1440" s="19" t="n"/>
      <c r="E1440" s="21" t="n"/>
      <c r="F1440" s="11">
        <f>IF(AND(B1440="",C1440="",D1440=""),"",IF(NOT(ISNUMBER(B1440)),"Needs a date",IF(D1440="","Needs the job",IF(AND(C1440&lt;&gt;"",C1440&lt;&gt;"All beds",COUNTIF(Beds!$B$6:$B$35,C1440)=0),"Not on Beds",""))))</f>
        <v/>
      </c>
      <c r="G1440" s="1">
        <f>IF(ISNUMBER(B1440),INT(B1440),0)</f>
        <v/>
      </c>
      <c r="H1440">
        <f>IF(AND(G1440&gt;0,D1440="Water",OR(C1440="",C1440="All beds")),G1440,0)</f>
        <v/>
      </c>
    </row>
    <row r="1441">
      <c r="A1441" s="1" t="n"/>
      <c r="B1441" s="17" t="n"/>
      <c r="C1441" s="18" t="n"/>
      <c r="D1441" s="19" t="n"/>
      <c r="E1441" s="21" t="n"/>
      <c r="F1441" s="11">
        <f>IF(AND(B1441="",C1441="",D1441=""),"",IF(NOT(ISNUMBER(B1441)),"Needs a date",IF(D1441="","Needs the job",IF(AND(C1441&lt;&gt;"",C1441&lt;&gt;"All beds",COUNTIF(Beds!$B$6:$B$35,C1441)=0),"Not on Beds",""))))</f>
        <v/>
      </c>
      <c r="G1441" s="1">
        <f>IF(ISNUMBER(B1441),INT(B1441),0)</f>
        <v/>
      </c>
      <c r="H1441">
        <f>IF(AND(G1441&gt;0,D1441="Water",OR(C1441="",C1441="All beds")),G1441,0)</f>
        <v/>
      </c>
    </row>
    <row r="1442">
      <c r="A1442" s="1" t="n"/>
      <c r="B1442" s="17" t="n"/>
      <c r="C1442" s="18" t="n"/>
      <c r="D1442" s="19" t="n"/>
      <c r="E1442" s="21" t="n"/>
      <c r="F1442" s="11">
        <f>IF(AND(B1442="",C1442="",D1442=""),"",IF(NOT(ISNUMBER(B1442)),"Needs a date",IF(D1442="","Needs the job",IF(AND(C1442&lt;&gt;"",C1442&lt;&gt;"All beds",COUNTIF(Beds!$B$6:$B$35,C1442)=0),"Not on Beds",""))))</f>
        <v/>
      </c>
      <c r="G1442" s="1">
        <f>IF(ISNUMBER(B1442),INT(B1442),0)</f>
        <v/>
      </c>
      <c r="H1442">
        <f>IF(AND(G1442&gt;0,D1442="Water",OR(C1442="",C1442="All beds")),G1442,0)</f>
        <v/>
      </c>
    </row>
    <row r="1443">
      <c r="A1443" s="1" t="n"/>
      <c r="B1443" s="17" t="n"/>
      <c r="C1443" s="18" t="n"/>
      <c r="D1443" s="19" t="n"/>
      <c r="E1443" s="21" t="n"/>
      <c r="F1443" s="11">
        <f>IF(AND(B1443="",C1443="",D1443=""),"",IF(NOT(ISNUMBER(B1443)),"Needs a date",IF(D1443="","Needs the job",IF(AND(C1443&lt;&gt;"",C1443&lt;&gt;"All beds",COUNTIF(Beds!$B$6:$B$35,C1443)=0),"Not on Beds",""))))</f>
        <v/>
      </c>
      <c r="G1443" s="1">
        <f>IF(ISNUMBER(B1443),INT(B1443),0)</f>
        <v/>
      </c>
      <c r="H1443">
        <f>IF(AND(G1443&gt;0,D1443="Water",OR(C1443="",C1443="All beds")),G1443,0)</f>
        <v/>
      </c>
    </row>
    <row r="1444">
      <c r="A1444" s="1" t="n"/>
      <c r="B1444" s="17" t="n"/>
      <c r="C1444" s="18" t="n"/>
      <c r="D1444" s="19" t="n"/>
      <c r="E1444" s="21" t="n"/>
      <c r="F1444" s="11">
        <f>IF(AND(B1444="",C1444="",D1444=""),"",IF(NOT(ISNUMBER(B1444)),"Needs a date",IF(D1444="","Needs the job",IF(AND(C1444&lt;&gt;"",C1444&lt;&gt;"All beds",COUNTIF(Beds!$B$6:$B$35,C1444)=0),"Not on Beds",""))))</f>
        <v/>
      </c>
      <c r="G1444" s="1">
        <f>IF(ISNUMBER(B1444),INT(B1444),0)</f>
        <v/>
      </c>
      <c r="H1444">
        <f>IF(AND(G1444&gt;0,D1444="Water",OR(C1444="",C1444="All beds")),G1444,0)</f>
        <v/>
      </c>
    </row>
    <row r="1445">
      <c r="A1445" s="1" t="n"/>
      <c r="B1445" s="17" t="n"/>
      <c r="C1445" s="18" t="n"/>
      <c r="D1445" s="19" t="n"/>
      <c r="E1445" s="21" t="n"/>
      <c r="F1445" s="11">
        <f>IF(AND(B1445="",C1445="",D1445=""),"",IF(NOT(ISNUMBER(B1445)),"Needs a date",IF(D1445="","Needs the job",IF(AND(C1445&lt;&gt;"",C1445&lt;&gt;"All beds",COUNTIF(Beds!$B$6:$B$35,C1445)=0),"Not on Beds",""))))</f>
        <v/>
      </c>
      <c r="G1445" s="1">
        <f>IF(ISNUMBER(B1445),INT(B1445),0)</f>
        <v/>
      </c>
      <c r="H1445">
        <f>IF(AND(G1445&gt;0,D1445="Water",OR(C1445="",C1445="All beds")),G1445,0)</f>
        <v/>
      </c>
    </row>
    <row r="1446">
      <c r="A1446" s="1" t="n"/>
      <c r="B1446" s="17" t="n"/>
      <c r="C1446" s="18" t="n"/>
      <c r="D1446" s="19" t="n"/>
      <c r="E1446" s="21" t="n"/>
      <c r="F1446" s="11">
        <f>IF(AND(B1446="",C1446="",D1446=""),"",IF(NOT(ISNUMBER(B1446)),"Needs a date",IF(D1446="","Needs the job",IF(AND(C1446&lt;&gt;"",C1446&lt;&gt;"All beds",COUNTIF(Beds!$B$6:$B$35,C1446)=0),"Not on Beds",""))))</f>
        <v/>
      </c>
      <c r="G1446" s="1">
        <f>IF(ISNUMBER(B1446),INT(B1446),0)</f>
        <v/>
      </c>
      <c r="H1446">
        <f>IF(AND(G1446&gt;0,D1446="Water",OR(C1446="",C1446="All beds")),G1446,0)</f>
        <v/>
      </c>
    </row>
    <row r="1447">
      <c r="A1447" s="1" t="n"/>
      <c r="B1447" s="17" t="n"/>
      <c r="C1447" s="18" t="n"/>
      <c r="D1447" s="19" t="n"/>
      <c r="E1447" s="21" t="n"/>
      <c r="F1447" s="11">
        <f>IF(AND(B1447="",C1447="",D1447=""),"",IF(NOT(ISNUMBER(B1447)),"Needs a date",IF(D1447="","Needs the job",IF(AND(C1447&lt;&gt;"",C1447&lt;&gt;"All beds",COUNTIF(Beds!$B$6:$B$35,C1447)=0),"Not on Beds",""))))</f>
        <v/>
      </c>
      <c r="G1447" s="1">
        <f>IF(ISNUMBER(B1447),INT(B1447),0)</f>
        <v/>
      </c>
      <c r="H1447">
        <f>IF(AND(G1447&gt;0,D1447="Water",OR(C1447="",C1447="All beds")),G1447,0)</f>
        <v/>
      </c>
    </row>
    <row r="1448">
      <c r="A1448" s="1" t="n"/>
      <c r="B1448" s="17" t="n"/>
      <c r="C1448" s="18" t="n"/>
      <c r="D1448" s="19" t="n"/>
      <c r="E1448" s="21" t="n"/>
      <c r="F1448" s="11">
        <f>IF(AND(B1448="",C1448="",D1448=""),"",IF(NOT(ISNUMBER(B1448)),"Needs a date",IF(D1448="","Needs the job",IF(AND(C1448&lt;&gt;"",C1448&lt;&gt;"All beds",COUNTIF(Beds!$B$6:$B$35,C1448)=0),"Not on Beds",""))))</f>
        <v/>
      </c>
      <c r="G1448" s="1">
        <f>IF(ISNUMBER(B1448),INT(B1448),0)</f>
        <v/>
      </c>
      <c r="H1448">
        <f>IF(AND(G1448&gt;0,D1448="Water",OR(C1448="",C1448="All beds")),G1448,0)</f>
        <v/>
      </c>
    </row>
    <row r="1449">
      <c r="A1449" s="1" t="n"/>
      <c r="B1449" s="17" t="n"/>
      <c r="C1449" s="18" t="n"/>
      <c r="D1449" s="19" t="n"/>
      <c r="E1449" s="21" t="n"/>
      <c r="F1449" s="11">
        <f>IF(AND(B1449="",C1449="",D1449=""),"",IF(NOT(ISNUMBER(B1449)),"Needs a date",IF(D1449="","Needs the job",IF(AND(C1449&lt;&gt;"",C1449&lt;&gt;"All beds",COUNTIF(Beds!$B$6:$B$35,C1449)=0),"Not on Beds",""))))</f>
        <v/>
      </c>
      <c r="G1449" s="1">
        <f>IF(ISNUMBER(B1449),INT(B1449),0)</f>
        <v/>
      </c>
      <c r="H1449">
        <f>IF(AND(G1449&gt;0,D1449="Water",OR(C1449="",C1449="All beds")),G1449,0)</f>
        <v/>
      </c>
    </row>
    <row r="1450">
      <c r="A1450" s="1" t="n"/>
      <c r="B1450" s="17" t="n"/>
      <c r="C1450" s="18" t="n"/>
      <c r="D1450" s="19" t="n"/>
      <c r="E1450" s="21" t="n"/>
      <c r="F1450" s="11">
        <f>IF(AND(B1450="",C1450="",D1450=""),"",IF(NOT(ISNUMBER(B1450)),"Needs a date",IF(D1450="","Needs the job",IF(AND(C1450&lt;&gt;"",C1450&lt;&gt;"All beds",COUNTIF(Beds!$B$6:$B$35,C1450)=0),"Not on Beds",""))))</f>
        <v/>
      </c>
      <c r="G1450" s="1">
        <f>IF(ISNUMBER(B1450),INT(B1450),0)</f>
        <v/>
      </c>
      <c r="H1450">
        <f>IF(AND(G1450&gt;0,D1450="Water",OR(C1450="",C1450="All beds")),G1450,0)</f>
        <v/>
      </c>
    </row>
    <row r="1451">
      <c r="A1451" s="1" t="n"/>
      <c r="B1451" s="17" t="n"/>
      <c r="C1451" s="18" t="n"/>
      <c r="D1451" s="19" t="n"/>
      <c r="E1451" s="21" t="n"/>
      <c r="F1451" s="11">
        <f>IF(AND(B1451="",C1451="",D1451=""),"",IF(NOT(ISNUMBER(B1451)),"Needs a date",IF(D1451="","Needs the job",IF(AND(C1451&lt;&gt;"",C1451&lt;&gt;"All beds",COUNTIF(Beds!$B$6:$B$35,C1451)=0),"Not on Beds",""))))</f>
        <v/>
      </c>
      <c r="G1451" s="1">
        <f>IF(ISNUMBER(B1451),INT(B1451),0)</f>
        <v/>
      </c>
      <c r="H1451">
        <f>IF(AND(G1451&gt;0,D1451="Water",OR(C1451="",C1451="All beds")),G1451,0)</f>
        <v/>
      </c>
    </row>
    <row r="1452">
      <c r="A1452" s="1" t="n"/>
      <c r="B1452" s="17" t="n"/>
      <c r="C1452" s="18" t="n"/>
      <c r="D1452" s="19" t="n"/>
      <c r="E1452" s="21" t="n"/>
      <c r="F1452" s="11">
        <f>IF(AND(B1452="",C1452="",D1452=""),"",IF(NOT(ISNUMBER(B1452)),"Needs a date",IF(D1452="","Needs the job",IF(AND(C1452&lt;&gt;"",C1452&lt;&gt;"All beds",COUNTIF(Beds!$B$6:$B$35,C1452)=0),"Not on Beds",""))))</f>
        <v/>
      </c>
      <c r="G1452" s="1">
        <f>IF(ISNUMBER(B1452),INT(B1452),0)</f>
        <v/>
      </c>
      <c r="H1452">
        <f>IF(AND(G1452&gt;0,D1452="Water",OR(C1452="",C1452="All beds")),G1452,0)</f>
        <v/>
      </c>
    </row>
    <row r="1453">
      <c r="A1453" s="1" t="n"/>
      <c r="B1453" s="17" t="n"/>
      <c r="C1453" s="18" t="n"/>
      <c r="D1453" s="19" t="n"/>
      <c r="E1453" s="21" t="n"/>
      <c r="F1453" s="11">
        <f>IF(AND(B1453="",C1453="",D1453=""),"",IF(NOT(ISNUMBER(B1453)),"Needs a date",IF(D1453="","Needs the job",IF(AND(C1453&lt;&gt;"",C1453&lt;&gt;"All beds",COUNTIF(Beds!$B$6:$B$35,C1453)=0),"Not on Beds",""))))</f>
        <v/>
      </c>
      <c r="G1453" s="1">
        <f>IF(ISNUMBER(B1453),INT(B1453),0)</f>
        <v/>
      </c>
      <c r="H1453">
        <f>IF(AND(G1453&gt;0,D1453="Water",OR(C1453="",C1453="All beds")),G1453,0)</f>
        <v/>
      </c>
    </row>
    <row r="1454">
      <c r="A1454" s="1" t="n"/>
      <c r="B1454" s="17" t="n"/>
      <c r="C1454" s="18" t="n"/>
      <c r="D1454" s="19" t="n"/>
      <c r="E1454" s="21" t="n"/>
      <c r="F1454" s="11">
        <f>IF(AND(B1454="",C1454="",D1454=""),"",IF(NOT(ISNUMBER(B1454)),"Needs a date",IF(D1454="","Needs the job",IF(AND(C1454&lt;&gt;"",C1454&lt;&gt;"All beds",COUNTIF(Beds!$B$6:$B$35,C1454)=0),"Not on Beds",""))))</f>
        <v/>
      </c>
      <c r="G1454" s="1">
        <f>IF(ISNUMBER(B1454),INT(B1454),0)</f>
        <v/>
      </c>
      <c r="H1454">
        <f>IF(AND(G1454&gt;0,D1454="Water",OR(C1454="",C1454="All beds")),G1454,0)</f>
        <v/>
      </c>
    </row>
    <row r="1455">
      <c r="A1455" s="1" t="n"/>
      <c r="B1455" s="17" t="n"/>
      <c r="C1455" s="18" t="n"/>
      <c r="D1455" s="19" t="n"/>
      <c r="E1455" s="21" t="n"/>
      <c r="F1455" s="11">
        <f>IF(AND(B1455="",C1455="",D1455=""),"",IF(NOT(ISNUMBER(B1455)),"Needs a date",IF(D1455="","Needs the job",IF(AND(C1455&lt;&gt;"",C1455&lt;&gt;"All beds",COUNTIF(Beds!$B$6:$B$35,C1455)=0),"Not on Beds",""))))</f>
        <v/>
      </c>
      <c r="G1455" s="1">
        <f>IF(ISNUMBER(B1455),INT(B1455),0)</f>
        <v/>
      </c>
      <c r="H1455">
        <f>IF(AND(G1455&gt;0,D1455="Water",OR(C1455="",C1455="All beds")),G1455,0)</f>
        <v/>
      </c>
    </row>
    <row r="1456">
      <c r="A1456" s="1" t="n"/>
      <c r="B1456" s="17" t="n"/>
      <c r="C1456" s="18" t="n"/>
      <c r="D1456" s="19" t="n"/>
      <c r="E1456" s="21" t="n"/>
      <c r="F1456" s="11">
        <f>IF(AND(B1456="",C1456="",D1456=""),"",IF(NOT(ISNUMBER(B1456)),"Needs a date",IF(D1456="","Needs the job",IF(AND(C1456&lt;&gt;"",C1456&lt;&gt;"All beds",COUNTIF(Beds!$B$6:$B$35,C1456)=0),"Not on Beds",""))))</f>
        <v/>
      </c>
      <c r="G1456" s="1">
        <f>IF(ISNUMBER(B1456),INT(B1456),0)</f>
        <v/>
      </c>
      <c r="H1456">
        <f>IF(AND(G1456&gt;0,D1456="Water",OR(C1456="",C1456="All beds")),G1456,0)</f>
        <v/>
      </c>
    </row>
    <row r="1457">
      <c r="A1457" s="1" t="n"/>
      <c r="B1457" s="17" t="n"/>
      <c r="C1457" s="18" t="n"/>
      <c r="D1457" s="19" t="n"/>
      <c r="E1457" s="21" t="n"/>
      <c r="F1457" s="11">
        <f>IF(AND(B1457="",C1457="",D1457=""),"",IF(NOT(ISNUMBER(B1457)),"Needs a date",IF(D1457="","Needs the job",IF(AND(C1457&lt;&gt;"",C1457&lt;&gt;"All beds",COUNTIF(Beds!$B$6:$B$35,C1457)=0),"Not on Beds",""))))</f>
        <v/>
      </c>
      <c r="G1457" s="1">
        <f>IF(ISNUMBER(B1457),INT(B1457),0)</f>
        <v/>
      </c>
      <c r="H1457">
        <f>IF(AND(G1457&gt;0,D1457="Water",OR(C1457="",C1457="All beds")),G1457,0)</f>
        <v/>
      </c>
    </row>
    <row r="1458">
      <c r="A1458" s="1" t="n"/>
      <c r="B1458" s="17" t="n"/>
      <c r="C1458" s="18" t="n"/>
      <c r="D1458" s="19" t="n"/>
      <c r="E1458" s="21" t="n"/>
      <c r="F1458" s="11">
        <f>IF(AND(B1458="",C1458="",D1458=""),"",IF(NOT(ISNUMBER(B1458)),"Needs a date",IF(D1458="","Needs the job",IF(AND(C1458&lt;&gt;"",C1458&lt;&gt;"All beds",COUNTIF(Beds!$B$6:$B$35,C1458)=0),"Not on Beds",""))))</f>
        <v/>
      </c>
      <c r="G1458" s="1">
        <f>IF(ISNUMBER(B1458),INT(B1458),0)</f>
        <v/>
      </c>
      <c r="H1458">
        <f>IF(AND(G1458&gt;0,D1458="Water",OR(C1458="",C1458="All beds")),G1458,0)</f>
        <v/>
      </c>
    </row>
    <row r="1459">
      <c r="A1459" s="1" t="n"/>
      <c r="B1459" s="17" t="n"/>
      <c r="C1459" s="18" t="n"/>
      <c r="D1459" s="19" t="n"/>
      <c r="E1459" s="21" t="n"/>
      <c r="F1459" s="11">
        <f>IF(AND(B1459="",C1459="",D1459=""),"",IF(NOT(ISNUMBER(B1459)),"Needs a date",IF(D1459="","Needs the job",IF(AND(C1459&lt;&gt;"",C1459&lt;&gt;"All beds",COUNTIF(Beds!$B$6:$B$35,C1459)=0),"Not on Beds",""))))</f>
        <v/>
      </c>
      <c r="G1459" s="1">
        <f>IF(ISNUMBER(B1459),INT(B1459),0)</f>
        <v/>
      </c>
      <c r="H1459">
        <f>IF(AND(G1459&gt;0,D1459="Water",OR(C1459="",C1459="All beds")),G1459,0)</f>
        <v/>
      </c>
    </row>
    <row r="1460">
      <c r="A1460" s="1" t="n"/>
      <c r="B1460" s="17" t="n"/>
      <c r="C1460" s="18" t="n"/>
      <c r="D1460" s="19" t="n"/>
      <c r="E1460" s="21" t="n"/>
      <c r="F1460" s="11">
        <f>IF(AND(B1460="",C1460="",D1460=""),"",IF(NOT(ISNUMBER(B1460)),"Needs a date",IF(D1460="","Needs the job",IF(AND(C1460&lt;&gt;"",C1460&lt;&gt;"All beds",COUNTIF(Beds!$B$6:$B$35,C1460)=0),"Not on Beds",""))))</f>
        <v/>
      </c>
      <c r="G1460" s="1">
        <f>IF(ISNUMBER(B1460),INT(B1460),0)</f>
        <v/>
      </c>
      <c r="H1460">
        <f>IF(AND(G1460&gt;0,D1460="Water",OR(C1460="",C1460="All beds")),G1460,0)</f>
        <v/>
      </c>
    </row>
    <row r="1461">
      <c r="A1461" s="1" t="n"/>
      <c r="B1461" s="17" t="n"/>
      <c r="C1461" s="18" t="n"/>
      <c r="D1461" s="19" t="n"/>
      <c r="E1461" s="21" t="n"/>
      <c r="F1461" s="11">
        <f>IF(AND(B1461="",C1461="",D1461=""),"",IF(NOT(ISNUMBER(B1461)),"Needs a date",IF(D1461="","Needs the job",IF(AND(C1461&lt;&gt;"",C1461&lt;&gt;"All beds",COUNTIF(Beds!$B$6:$B$35,C1461)=0),"Not on Beds",""))))</f>
        <v/>
      </c>
      <c r="G1461" s="1">
        <f>IF(ISNUMBER(B1461),INT(B1461),0)</f>
        <v/>
      </c>
      <c r="H1461">
        <f>IF(AND(G1461&gt;0,D1461="Water",OR(C1461="",C1461="All beds")),G1461,0)</f>
        <v/>
      </c>
    </row>
    <row r="1462">
      <c r="A1462" s="1" t="n"/>
      <c r="B1462" s="17" t="n"/>
      <c r="C1462" s="18" t="n"/>
      <c r="D1462" s="19" t="n"/>
      <c r="E1462" s="21" t="n"/>
      <c r="F1462" s="11">
        <f>IF(AND(B1462="",C1462="",D1462=""),"",IF(NOT(ISNUMBER(B1462)),"Needs a date",IF(D1462="","Needs the job",IF(AND(C1462&lt;&gt;"",C1462&lt;&gt;"All beds",COUNTIF(Beds!$B$6:$B$35,C1462)=0),"Not on Beds",""))))</f>
        <v/>
      </c>
      <c r="G1462" s="1">
        <f>IF(ISNUMBER(B1462),INT(B1462),0)</f>
        <v/>
      </c>
      <c r="H1462">
        <f>IF(AND(G1462&gt;0,D1462="Water",OR(C1462="",C1462="All beds")),G1462,0)</f>
        <v/>
      </c>
    </row>
    <row r="1463">
      <c r="A1463" s="1" t="n"/>
      <c r="B1463" s="17" t="n"/>
      <c r="C1463" s="18" t="n"/>
      <c r="D1463" s="19" t="n"/>
      <c r="E1463" s="21" t="n"/>
      <c r="F1463" s="11">
        <f>IF(AND(B1463="",C1463="",D1463=""),"",IF(NOT(ISNUMBER(B1463)),"Needs a date",IF(D1463="","Needs the job",IF(AND(C1463&lt;&gt;"",C1463&lt;&gt;"All beds",COUNTIF(Beds!$B$6:$B$35,C1463)=0),"Not on Beds",""))))</f>
        <v/>
      </c>
      <c r="G1463" s="1">
        <f>IF(ISNUMBER(B1463),INT(B1463),0)</f>
        <v/>
      </c>
      <c r="H1463">
        <f>IF(AND(G1463&gt;0,D1463="Water",OR(C1463="",C1463="All beds")),G1463,0)</f>
        <v/>
      </c>
    </row>
    <row r="1464">
      <c r="A1464" s="1" t="n"/>
      <c r="B1464" s="17" t="n"/>
      <c r="C1464" s="18" t="n"/>
      <c r="D1464" s="19" t="n"/>
      <c r="E1464" s="21" t="n"/>
      <c r="F1464" s="11">
        <f>IF(AND(B1464="",C1464="",D1464=""),"",IF(NOT(ISNUMBER(B1464)),"Needs a date",IF(D1464="","Needs the job",IF(AND(C1464&lt;&gt;"",C1464&lt;&gt;"All beds",COUNTIF(Beds!$B$6:$B$35,C1464)=0),"Not on Beds",""))))</f>
        <v/>
      </c>
      <c r="G1464" s="1">
        <f>IF(ISNUMBER(B1464),INT(B1464),0)</f>
        <v/>
      </c>
      <c r="H1464">
        <f>IF(AND(G1464&gt;0,D1464="Water",OR(C1464="",C1464="All beds")),G1464,0)</f>
        <v/>
      </c>
    </row>
    <row r="1465">
      <c r="A1465" s="1" t="n"/>
      <c r="B1465" s="17" t="n"/>
      <c r="C1465" s="18" t="n"/>
      <c r="D1465" s="19" t="n"/>
      <c r="E1465" s="21" t="n"/>
      <c r="F1465" s="11">
        <f>IF(AND(B1465="",C1465="",D1465=""),"",IF(NOT(ISNUMBER(B1465)),"Needs a date",IF(D1465="","Needs the job",IF(AND(C1465&lt;&gt;"",C1465&lt;&gt;"All beds",COUNTIF(Beds!$B$6:$B$35,C1465)=0),"Not on Beds",""))))</f>
        <v/>
      </c>
      <c r="G1465" s="1">
        <f>IF(ISNUMBER(B1465),INT(B1465),0)</f>
        <v/>
      </c>
      <c r="H1465">
        <f>IF(AND(G1465&gt;0,D1465="Water",OR(C1465="",C1465="All beds")),G1465,0)</f>
        <v/>
      </c>
    </row>
    <row r="1466">
      <c r="A1466" s="1" t="n"/>
      <c r="B1466" s="17" t="n"/>
      <c r="C1466" s="18" t="n"/>
      <c r="D1466" s="19" t="n"/>
      <c r="E1466" s="21" t="n"/>
      <c r="F1466" s="11">
        <f>IF(AND(B1466="",C1466="",D1466=""),"",IF(NOT(ISNUMBER(B1466)),"Needs a date",IF(D1466="","Needs the job",IF(AND(C1466&lt;&gt;"",C1466&lt;&gt;"All beds",COUNTIF(Beds!$B$6:$B$35,C1466)=0),"Not on Beds",""))))</f>
        <v/>
      </c>
      <c r="G1466" s="1">
        <f>IF(ISNUMBER(B1466),INT(B1466),0)</f>
        <v/>
      </c>
      <c r="H1466">
        <f>IF(AND(G1466&gt;0,D1466="Water",OR(C1466="",C1466="All beds")),G1466,0)</f>
        <v/>
      </c>
    </row>
    <row r="1467">
      <c r="A1467" s="1" t="n"/>
      <c r="B1467" s="17" t="n"/>
      <c r="C1467" s="18" t="n"/>
      <c r="D1467" s="19" t="n"/>
      <c r="E1467" s="21" t="n"/>
      <c r="F1467" s="11">
        <f>IF(AND(B1467="",C1467="",D1467=""),"",IF(NOT(ISNUMBER(B1467)),"Needs a date",IF(D1467="","Needs the job",IF(AND(C1467&lt;&gt;"",C1467&lt;&gt;"All beds",COUNTIF(Beds!$B$6:$B$35,C1467)=0),"Not on Beds",""))))</f>
        <v/>
      </c>
      <c r="G1467" s="1">
        <f>IF(ISNUMBER(B1467),INT(B1467),0)</f>
        <v/>
      </c>
      <c r="H1467">
        <f>IF(AND(G1467&gt;0,D1467="Water",OR(C1467="",C1467="All beds")),G1467,0)</f>
        <v/>
      </c>
    </row>
    <row r="1468">
      <c r="A1468" s="1" t="n"/>
      <c r="B1468" s="17" t="n"/>
      <c r="C1468" s="18" t="n"/>
      <c r="D1468" s="19" t="n"/>
      <c r="E1468" s="21" t="n"/>
      <c r="F1468" s="11">
        <f>IF(AND(B1468="",C1468="",D1468=""),"",IF(NOT(ISNUMBER(B1468)),"Needs a date",IF(D1468="","Needs the job",IF(AND(C1468&lt;&gt;"",C1468&lt;&gt;"All beds",COUNTIF(Beds!$B$6:$B$35,C1468)=0),"Not on Beds",""))))</f>
        <v/>
      </c>
      <c r="G1468" s="1">
        <f>IF(ISNUMBER(B1468),INT(B1468),0)</f>
        <v/>
      </c>
      <c r="H1468">
        <f>IF(AND(G1468&gt;0,D1468="Water",OR(C1468="",C1468="All beds")),G1468,0)</f>
        <v/>
      </c>
    </row>
    <row r="1469">
      <c r="A1469" s="1" t="n"/>
      <c r="B1469" s="17" t="n"/>
      <c r="C1469" s="18" t="n"/>
      <c r="D1469" s="19" t="n"/>
      <c r="E1469" s="21" t="n"/>
      <c r="F1469" s="11">
        <f>IF(AND(B1469="",C1469="",D1469=""),"",IF(NOT(ISNUMBER(B1469)),"Needs a date",IF(D1469="","Needs the job",IF(AND(C1469&lt;&gt;"",C1469&lt;&gt;"All beds",COUNTIF(Beds!$B$6:$B$35,C1469)=0),"Not on Beds",""))))</f>
        <v/>
      </c>
      <c r="G1469" s="1">
        <f>IF(ISNUMBER(B1469),INT(B1469),0)</f>
        <v/>
      </c>
      <c r="H1469">
        <f>IF(AND(G1469&gt;0,D1469="Water",OR(C1469="",C1469="All beds")),G1469,0)</f>
        <v/>
      </c>
    </row>
    <row r="1470">
      <c r="A1470" s="1" t="n"/>
      <c r="B1470" s="17" t="n"/>
      <c r="C1470" s="18" t="n"/>
      <c r="D1470" s="19" t="n"/>
      <c r="E1470" s="21" t="n"/>
      <c r="F1470" s="11">
        <f>IF(AND(B1470="",C1470="",D1470=""),"",IF(NOT(ISNUMBER(B1470)),"Needs a date",IF(D1470="","Needs the job",IF(AND(C1470&lt;&gt;"",C1470&lt;&gt;"All beds",COUNTIF(Beds!$B$6:$B$35,C1470)=0),"Not on Beds",""))))</f>
        <v/>
      </c>
      <c r="G1470" s="1">
        <f>IF(ISNUMBER(B1470),INT(B1470),0)</f>
        <v/>
      </c>
      <c r="H1470">
        <f>IF(AND(G1470&gt;0,D1470="Water",OR(C1470="",C1470="All beds")),G1470,0)</f>
        <v/>
      </c>
    </row>
    <row r="1471">
      <c r="A1471" s="1" t="n"/>
      <c r="B1471" s="17" t="n"/>
      <c r="C1471" s="18" t="n"/>
      <c r="D1471" s="19" t="n"/>
      <c r="E1471" s="21" t="n"/>
      <c r="F1471" s="11">
        <f>IF(AND(B1471="",C1471="",D1471=""),"",IF(NOT(ISNUMBER(B1471)),"Needs a date",IF(D1471="","Needs the job",IF(AND(C1471&lt;&gt;"",C1471&lt;&gt;"All beds",COUNTIF(Beds!$B$6:$B$35,C1471)=0),"Not on Beds",""))))</f>
        <v/>
      </c>
      <c r="G1471" s="1">
        <f>IF(ISNUMBER(B1471),INT(B1471),0)</f>
        <v/>
      </c>
      <c r="H1471">
        <f>IF(AND(G1471&gt;0,D1471="Water",OR(C1471="",C1471="All beds")),G1471,0)</f>
        <v/>
      </c>
    </row>
    <row r="1472">
      <c r="A1472" s="1" t="n"/>
      <c r="B1472" s="17" t="n"/>
      <c r="C1472" s="18" t="n"/>
      <c r="D1472" s="19" t="n"/>
      <c r="E1472" s="21" t="n"/>
      <c r="F1472" s="11">
        <f>IF(AND(B1472="",C1472="",D1472=""),"",IF(NOT(ISNUMBER(B1472)),"Needs a date",IF(D1472="","Needs the job",IF(AND(C1472&lt;&gt;"",C1472&lt;&gt;"All beds",COUNTIF(Beds!$B$6:$B$35,C1472)=0),"Not on Beds",""))))</f>
        <v/>
      </c>
      <c r="G1472" s="1">
        <f>IF(ISNUMBER(B1472),INT(B1472),0)</f>
        <v/>
      </c>
      <c r="H1472">
        <f>IF(AND(G1472&gt;0,D1472="Water",OR(C1472="",C1472="All beds")),G1472,0)</f>
        <v/>
      </c>
    </row>
    <row r="1473">
      <c r="A1473" s="1" t="n"/>
      <c r="B1473" s="17" t="n"/>
      <c r="C1473" s="18" t="n"/>
      <c r="D1473" s="19" t="n"/>
      <c r="E1473" s="21" t="n"/>
      <c r="F1473" s="11">
        <f>IF(AND(B1473="",C1473="",D1473=""),"",IF(NOT(ISNUMBER(B1473)),"Needs a date",IF(D1473="","Needs the job",IF(AND(C1473&lt;&gt;"",C1473&lt;&gt;"All beds",COUNTIF(Beds!$B$6:$B$35,C1473)=0),"Not on Beds",""))))</f>
        <v/>
      </c>
      <c r="G1473" s="1">
        <f>IF(ISNUMBER(B1473),INT(B1473),0)</f>
        <v/>
      </c>
      <c r="H1473">
        <f>IF(AND(G1473&gt;0,D1473="Water",OR(C1473="",C1473="All beds")),G1473,0)</f>
        <v/>
      </c>
    </row>
    <row r="1474">
      <c r="A1474" s="1" t="n"/>
      <c r="B1474" s="17" t="n"/>
      <c r="C1474" s="18" t="n"/>
      <c r="D1474" s="19" t="n"/>
      <c r="E1474" s="21" t="n"/>
      <c r="F1474" s="11">
        <f>IF(AND(B1474="",C1474="",D1474=""),"",IF(NOT(ISNUMBER(B1474)),"Needs a date",IF(D1474="","Needs the job",IF(AND(C1474&lt;&gt;"",C1474&lt;&gt;"All beds",COUNTIF(Beds!$B$6:$B$35,C1474)=0),"Not on Beds",""))))</f>
        <v/>
      </c>
      <c r="G1474" s="1">
        <f>IF(ISNUMBER(B1474),INT(B1474),0)</f>
        <v/>
      </c>
      <c r="H1474">
        <f>IF(AND(G1474&gt;0,D1474="Water",OR(C1474="",C1474="All beds")),G1474,0)</f>
        <v/>
      </c>
    </row>
    <row r="1475">
      <c r="A1475" s="1" t="n"/>
      <c r="B1475" s="17" t="n"/>
      <c r="C1475" s="18" t="n"/>
      <c r="D1475" s="19" t="n"/>
      <c r="E1475" s="21" t="n"/>
      <c r="F1475" s="11">
        <f>IF(AND(B1475="",C1475="",D1475=""),"",IF(NOT(ISNUMBER(B1475)),"Needs a date",IF(D1475="","Needs the job",IF(AND(C1475&lt;&gt;"",C1475&lt;&gt;"All beds",COUNTIF(Beds!$B$6:$B$35,C1475)=0),"Not on Beds",""))))</f>
        <v/>
      </c>
      <c r="G1475" s="1">
        <f>IF(ISNUMBER(B1475),INT(B1475),0)</f>
        <v/>
      </c>
      <c r="H1475">
        <f>IF(AND(G1475&gt;0,D1475="Water",OR(C1475="",C1475="All beds")),G1475,0)</f>
        <v/>
      </c>
    </row>
    <row r="1476">
      <c r="A1476" s="1" t="n"/>
      <c r="B1476" s="17" t="n"/>
      <c r="C1476" s="18" t="n"/>
      <c r="D1476" s="19" t="n"/>
      <c r="E1476" s="21" t="n"/>
      <c r="F1476" s="11">
        <f>IF(AND(B1476="",C1476="",D1476=""),"",IF(NOT(ISNUMBER(B1476)),"Needs a date",IF(D1476="","Needs the job",IF(AND(C1476&lt;&gt;"",C1476&lt;&gt;"All beds",COUNTIF(Beds!$B$6:$B$35,C1476)=0),"Not on Beds",""))))</f>
        <v/>
      </c>
      <c r="G1476" s="1">
        <f>IF(ISNUMBER(B1476),INT(B1476),0)</f>
        <v/>
      </c>
      <c r="H1476">
        <f>IF(AND(G1476&gt;0,D1476="Water",OR(C1476="",C1476="All beds")),G1476,0)</f>
        <v/>
      </c>
    </row>
    <row r="1477">
      <c r="A1477" s="1" t="n"/>
      <c r="B1477" s="17" t="n"/>
      <c r="C1477" s="18" t="n"/>
      <c r="D1477" s="19" t="n"/>
      <c r="E1477" s="21" t="n"/>
      <c r="F1477" s="11">
        <f>IF(AND(B1477="",C1477="",D1477=""),"",IF(NOT(ISNUMBER(B1477)),"Needs a date",IF(D1477="","Needs the job",IF(AND(C1477&lt;&gt;"",C1477&lt;&gt;"All beds",COUNTIF(Beds!$B$6:$B$35,C1477)=0),"Not on Beds",""))))</f>
        <v/>
      </c>
      <c r="G1477" s="1">
        <f>IF(ISNUMBER(B1477),INT(B1477),0)</f>
        <v/>
      </c>
      <c r="H1477">
        <f>IF(AND(G1477&gt;0,D1477="Water",OR(C1477="",C1477="All beds")),G1477,0)</f>
        <v/>
      </c>
    </row>
    <row r="1478">
      <c r="A1478" s="1" t="n"/>
      <c r="B1478" s="17" t="n"/>
      <c r="C1478" s="18" t="n"/>
      <c r="D1478" s="19" t="n"/>
      <c r="E1478" s="21" t="n"/>
      <c r="F1478" s="11">
        <f>IF(AND(B1478="",C1478="",D1478=""),"",IF(NOT(ISNUMBER(B1478)),"Needs a date",IF(D1478="","Needs the job",IF(AND(C1478&lt;&gt;"",C1478&lt;&gt;"All beds",COUNTIF(Beds!$B$6:$B$35,C1478)=0),"Not on Beds",""))))</f>
        <v/>
      </c>
      <c r="G1478" s="1">
        <f>IF(ISNUMBER(B1478),INT(B1478),0)</f>
        <v/>
      </c>
      <c r="H1478">
        <f>IF(AND(G1478&gt;0,D1478="Water",OR(C1478="",C1478="All beds")),G1478,0)</f>
        <v/>
      </c>
    </row>
    <row r="1479">
      <c r="A1479" s="1" t="n"/>
      <c r="B1479" s="17" t="n"/>
      <c r="C1479" s="18" t="n"/>
      <c r="D1479" s="19" t="n"/>
      <c r="E1479" s="21" t="n"/>
      <c r="F1479" s="11">
        <f>IF(AND(B1479="",C1479="",D1479=""),"",IF(NOT(ISNUMBER(B1479)),"Needs a date",IF(D1479="","Needs the job",IF(AND(C1479&lt;&gt;"",C1479&lt;&gt;"All beds",COUNTIF(Beds!$B$6:$B$35,C1479)=0),"Not on Beds",""))))</f>
        <v/>
      </c>
      <c r="G1479" s="1">
        <f>IF(ISNUMBER(B1479),INT(B1479),0)</f>
        <v/>
      </c>
      <c r="H1479">
        <f>IF(AND(G1479&gt;0,D1479="Water",OR(C1479="",C1479="All beds")),G1479,0)</f>
        <v/>
      </c>
    </row>
    <row r="1480">
      <c r="A1480" s="1" t="n"/>
      <c r="B1480" s="17" t="n"/>
      <c r="C1480" s="18" t="n"/>
      <c r="D1480" s="19" t="n"/>
      <c r="E1480" s="21" t="n"/>
      <c r="F1480" s="11">
        <f>IF(AND(B1480="",C1480="",D1480=""),"",IF(NOT(ISNUMBER(B1480)),"Needs a date",IF(D1480="","Needs the job",IF(AND(C1480&lt;&gt;"",C1480&lt;&gt;"All beds",COUNTIF(Beds!$B$6:$B$35,C1480)=0),"Not on Beds",""))))</f>
        <v/>
      </c>
      <c r="G1480" s="1">
        <f>IF(ISNUMBER(B1480),INT(B1480),0)</f>
        <v/>
      </c>
      <c r="H1480">
        <f>IF(AND(G1480&gt;0,D1480="Water",OR(C1480="",C1480="All beds")),G1480,0)</f>
        <v/>
      </c>
    </row>
    <row r="1481">
      <c r="A1481" s="1" t="n"/>
      <c r="B1481" s="17" t="n"/>
      <c r="C1481" s="18" t="n"/>
      <c r="D1481" s="19" t="n"/>
      <c r="E1481" s="21" t="n"/>
      <c r="F1481" s="11">
        <f>IF(AND(B1481="",C1481="",D1481=""),"",IF(NOT(ISNUMBER(B1481)),"Needs a date",IF(D1481="","Needs the job",IF(AND(C1481&lt;&gt;"",C1481&lt;&gt;"All beds",COUNTIF(Beds!$B$6:$B$35,C1481)=0),"Not on Beds",""))))</f>
        <v/>
      </c>
      <c r="G1481" s="1">
        <f>IF(ISNUMBER(B1481),INT(B1481),0)</f>
        <v/>
      </c>
      <c r="H1481">
        <f>IF(AND(G1481&gt;0,D1481="Water",OR(C1481="",C1481="All beds")),G1481,0)</f>
        <v/>
      </c>
    </row>
    <row r="1482">
      <c r="A1482" s="1" t="n"/>
      <c r="B1482" s="17" t="n"/>
      <c r="C1482" s="18" t="n"/>
      <c r="D1482" s="19" t="n"/>
      <c r="E1482" s="21" t="n"/>
      <c r="F1482" s="11">
        <f>IF(AND(B1482="",C1482="",D1482=""),"",IF(NOT(ISNUMBER(B1482)),"Needs a date",IF(D1482="","Needs the job",IF(AND(C1482&lt;&gt;"",C1482&lt;&gt;"All beds",COUNTIF(Beds!$B$6:$B$35,C1482)=0),"Not on Beds",""))))</f>
        <v/>
      </c>
      <c r="G1482" s="1">
        <f>IF(ISNUMBER(B1482),INT(B1482),0)</f>
        <v/>
      </c>
      <c r="H1482">
        <f>IF(AND(G1482&gt;0,D1482="Water",OR(C1482="",C1482="All beds")),G1482,0)</f>
        <v/>
      </c>
    </row>
    <row r="1483">
      <c r="A1483" s="1" t="n"/>
      <c r="B1483" s="17" t="n"/>
      <c r="C1483" s="18" t="n"/>
      <c r="D1483" s="19" t="n"/>
      <c r="E1483" s="21" t="n"/>
      <c r="F1483" s="11">
        <f>IF(AND(B1483="",C1483="",D1483=""),"",IF(NOT(ISNUMBER(B1483)),"Needs a date",IF(D1483="","Needs the job",IF(AND(C1483&lt;&gt;"",C1483&lt;&gt;"All beds",COUNTIF(Beds!$B$6:$B$35,C1483)=0),"Not on Beds",""))))</f>
        <v/>
      </c>
      <c r="G1483" s="1">
        <f>IF(ISNUMBER(B1483),INT(B1483),0)</f>
        <v/>
      </c>
      <c r="H1483">
        <f>IF(AND(G1483&gt;0,D1483="Water",OR(C1483="",C1483="All beds")),G1483,0)</f>
        <v/>
      </c>
    </row>
    <row r="1484">
      <c r="A1484" s="1" t="n"/>
      <c r="B1484" s="17" t="n"/>
      <c r="C1484" s="18" t="n"/>
      <c r="D1484" s="19" t="n"/>
      <c r="E1484" s="21" t="n"/>
      <c r="F1484" s="11">
        <f>IF(AND(B1484="",C1484="",D1484=""),"",IF(NOT(ISNUMBER(B1484)),"Needs a date",IF(D1484="","Needs the job",IF(AND(C1484&lt;&gt;"",C1484&lt;&gt;"All beds",COUNTIF(Beds!$B$6:$B$35,C1484)=0),"Not on Beds",""))))</f>
        <v/>
      </c>
      <c r="G1484" s="1">
        <f>IF(ISNUMBER(B1484),INT(B1484),0)</f>
        <v/>
      </c>
      <c r="H1484">
        <f>IF(AND(G1484&gt;0,D1484="Water",OR(C1484="",C1484="All beds")),G1484,0)</f>
        <v/>
      </c>
    </row>
    <row r="1485">
      <c r="A1485" s="1" t="n"/>
      <c r="B1485" s="17" t="n"/>
      <c r="C1485" s="18" t="n"/>
      <c r="D1485" s="19" t="n"/>
      <c r="E1485" s="21" t="n"/>
      <c r="F1485" s="11">
        <f>IF(AND(B1485="",C1485="",D1485=""),"",IF(NOT(ISNUMBER(B1485)),"Needs a date",IF(D1485="","Needs the job",IF(AND(C1485&lt;&gt;"",C1485&lt;&gt;"All beds",COUNTIF(Beds!$B$6:$B$35,C1485)=0),"Not on Beds",""))))</f>
        <v/>
      </c>
      <c r="G1485" s="1">
        <f>IF(ISNUMBER(B1485),INT(B1485),0)</f>
        <v/>
      </c>
      <c r="H1485">
        <f>IF(AND(G1485&gt;0,D1485="Water",OR(C1485="",C1485="All beds")),G1485,0)</f>
        <v/>
      </c>
    </row>
    <row r="1486">
      <c r="A1486" s="1" t="n"/>
      <c r="B1486" s="17" t="n"/>
      <c r="C1486" s="18" t="n"/>
      <c r="D1486" s="19" t="n"/>
      <c r="E1486" s="21" t="n"/>
      <c r="F1486" s="11">
        <f>IF(AND(B1486="",C1486="",D1486=""),"",IF(NOT(ISNUMBER(B1486)),"Needs a date",IF(D1486="","Needs the job",IF(AND(C1486&lt;&gt;"",C1486&lt;&gt;"All beds",COUNTIF(Beds!$B$6:$B$35,C1486)=0),"Not on Beds",""))))</f>
        <v/>
      </c>
      <c r="G1486" s="1">
        <f>IF(ISNUMBER(B1486),INT(B1486),0)</f>
        <v/>
      </c>
      <c r="H1486">
        <f>IF(AND(G1486&gt;0,D1486="Water",OR(C1486="",C1486="All beds")),G1486,0)</f>
        <v/>
      </c>
    </row>
    <row r="1487">
      <c r="A1487" s="1" t="n"/>
      <c r="B1487" s="17" t="n"/>
      <c r="C1487" s="18" t="n"/>
      <c r="D1487" s="19" t="n"/>
      <c r="E1487" s="21" t="n"/>
      <c r="F1487" s="11">
        <f>IF(AND(B1487="",C1487="",D1487=""),"",IF(NOT(ISNUMBER(B1487)),"Needs a date",IF(D1487="","Needs the job",IF(AND(C1487&lt;&gt;"",C1487&lt;&gt;"All beds",COUNTIF(Beds!$B$6:$B$35,C1487)=0),"Not on Beds",""))))</f>
        <v/>
      </c>
      <c r="G1487" s="1">
        <f>IF(ISNUMBER(B1487),INT(B1487),0)</f>
        <v/>
      </c>
      <c r="H1487">
        <f>IF(AND(G1487&gt;0,D1487="Water",OR(C1487="",C1487="All beds")),G1487,0)</f>
        <v/>
      </c>
    </row>
    <row r="1488">
      <c r="A1488" s="1" t="n"/>
      <c r="B1488" s="17" t="n"/>
      <c r="C1488" s="18" t="n"/>
      <c r="D1488" s="19" t="n"/>
      <c r="E1488" s="21" t="n"/>
      <c r="F1488" s="11">
        <f>IF(AND(B1488="",C1488="",D1488=""),"",IF(NOT(ISNUMBER(B1488)),"Needs a date",IF(D1488="","Needs the job",IF(AND(C1488&lt;&gt;"",C1488&lt;&gt;"All beds",COUNTIF(Beds!$B$6:$B$35,C1488)=0),"Not on Beds",""))))</f>
        <v/>
      </c>
      <c r="G1488" s="1">
        <f>IF(ISNUMBER(B1488),INT(B1488),0)</f>
        <v/>
      </c>
      <c r="H1488">
        <f>IF(AND(G1488&gt;0,D1488="Water",OR(C1488="",C1488="All beds")),G1488,0)</f>
        <v/>
      </c>
    </row>
    <row r="1489">
      <c r="A1489" s="1" t="n"/>
      <c r="B1489" s="17" t="n"/>
      <c r="C1489" s="18" t="n"/>
      <c r="D1489" s="19" t="n"/>
      <c r="E1489" s="21" t="n"/>
      <c r="F1489" s="11">
        <f>IF(AND(B1489="",C1489="",D1489=""),"",IF(NOT(ISNUMBER(B1489)),"Needs a date",IF(D1489="","Needs the job",IF(AND(C1489&lt;&gt;"",C1489&lt;&gt;"All beds",COUNTIF(Beds!$B$6:$B$35,C1489)=0),"Not on Beds",""))))</f>
        <v/>
      </c>
      <c r="G1489" s="1">
        <f>IF(ISNUMBER(B1489),INT(B1489),0)</f>
        <v/>
      </c>
      <c r="H1489">
        <f>IF(AND(G1489&gt;0,D1489="Water",OR(C1489="",C1489="All beds")),G1489,0)</f>
        <v/>
      </c>
    </row>
    <row r="1490">
      <c r="A1490" s="1" t="n"/>
      <c r="B1490" s="17" t="n"/>
      <c r="C1490" s="18" t="n"/>
      <c r="D1490" s="19" t="n"/>
      <c r="E1490" s="21" t="n"/>
      <c r="F1490" s="11">
        <f>IF(AND(B1490="",C1490="",D1490=""),"",IF(NOT(ISNUMBER(B1490)),"Needs a date",IF(D1490="","Needs the job",IF(AND(C1490&lt;&gt;"",C1490&lt;&gt;"All beds",COUNTIF(Beds!$B$6:$B$35,C1490)=0),"Not on Beds",""))))</f>
        <v/>
      </c>
      <c r="G1490" s="1">
        <f>IF(ISNUMBER(B1490),INT(B1490),0)</f>
        <v/>
      </c>
      <c r="H1490">
        <f>IF(AND(G1490&gt;0,D1490="Water",OR(C1490="",C1490="All beds")),G1490,0)</f>
        <v/>
      </c>
    </row>
    <row r="1491">
      <c r="A1491" s="1" t="n"/>
      <c r="B1491" s="17" t="n"/>
      <c r="C1491" s="18" t="n"/>
      <c r="D1491" s="19" t="n"/>
      <c r="E1491" s="21" t="n"/>
      <c r="F1491" s="11">
        <f>IF(AND(B1491="",C1491="",D1491=""),"",IF(NOT(ISNUMBER(B1491)),"Needs a date",IF(D1491="","Needs the job",IF(AND(C1491&lt;&gt;"",C1491&lt;&gt;"All beds",COUNTIF(Beds!$B$6:$B$35,C1491)=0),"Not on Beds",""))))</f>
        <v/>
      </c>
      <c r="G1491" s="1">
        <f>IF(ISNUMBER(B1491),INT(B1491),0)</f>
        <v/>
      </c>
      <c r="H1491">
        <f>IF(AND(G1491&gt;0,D1491="Water",OR(C1491="",C1491="All beds")),G1491,0)</f>
        <v/>
      </c>
    </row>
    <row r="1492">
      <c r="A1492" s="1" t="n"/>
      <c r="B1492" s="17" t="n"/>
      <c r="C1492" s="18" t="n"/>
      <c r="D1492" s="19" t="n"/>
      <c r="E1492" s="21" t="n"/>
      <c r="F1492" s="11">
        <f>IF(AND(B1492="",C1492="",D1492=""),"",IF(NOT(ISNUMBER(B1492)),"Needs a date",IF(D1492="","Needs the job",IF(AND(C1492&lt;&gt;"",C1492&lt;&gt;"All beds",COUNTIF(Beds!$B$6:$B$35,C1492)=0),"Not on Beds",""))))</f>
        <v/>
      </c>
      <c r="G1492" s="1">
        <f>IF(ISNUMBER(B1492),INT(B1492),0)</f>
        <v/>
      </c>
      <c r="H1492">
        <f>IF(AND(G1492&gt;0,D1492="Water",OR(C1492="",C1492="All beds")),G1492,0)</f>
        <v/>
      </c>
    </row>
    <row r="1493">
      <c r="A1493" s="1" t="n"/>
      <c r="B1493" s="17" t="n"/>
      <c r="C1493" s="18" t="n"/>
      <c r="D1493" s="19" t="n"/>
      <c r="E1493" s="21" t="n"/>
      <c r="F1493" s="11">
        <f>IF(AND(B1493="",C1493="",D1493=""),"",IF(NOT(ISNUMBER(B1493)),"Needs a date",IF(D1493="","Needs the job",IF(AND(C1493&lt;&gt;"",C1493&lt;&gt;"All beds",COUNTIF(Beds!$B$6:$B$35,C1493)=0),"Not on Beds",""))))</f>
        <v/>
      </c>
      <c r="G1493" s="1">
        <f>IF(ISNUMBER(B1493),INT(B1493),0)</f>
        <v/>
      </c>
      <c r="H1493">
        <f>IF(AND(G1493&gt;0,D1493="Water",OR(C1493="",C1493="All beds")),G1493,0)</f>
        <v/>
      </c>
    </row>
    <row r="1494">
      <c r="A1494" s="1" t="n"/>
      <c r="B1494" s="17" t="n"/>
      <c r="C1494" s="18" t="n"/>
      <c r="D1494" s="19" t="n"/>
      <c r="E1494" s="21" t="n"/>
      <c r="F1494" s="11">
        <f>IF(AND(B1494="",C1494="",D1494=""),"",IF(NOT(ISNUMBER(B1494)),"Needs a date",IF(D1494="","Needs the job",IF(AND(C1494&lt;&gt;"",C1494&lt;&gt;"All beds",COUNTIF(Beds!$B$6:$B$35,C1494)=0),"Not on Beds",""))))</f>
        <v/>
      </c>
      <c r="G1494" s="1">
        <f>IF(ISNUMBER(B1494),INT(B1494),0)</f>
        <v/>
      </c>
      <c r="H1494">
        <f>IF(AND(G1494&gt;0,D1494="Water",OR(C1494="",C1494="All beds")),G1494,0)</f>
        <v/>
      </c>
    </row>
    <row r="1495">
      <c r="A1495" s="1" t="n"/>
      <c r="B1495" s="17" t="n"/>
      <c r="C1495" s="18" t="n"/>
      <c r="D1495" s="19" t="n"/>
      <c r="E1495" s="21" t="n"/>
      <c r="F1495" s="11">
        <f>IF(AND(B1495="",C1495="",D1495=""),"",IF(NOT(ISNUMBER(B1495)),"Needs a date",IF(D1495="","Needs the job",IF(AND(C1495&lt;&gt;"",C1495&lt;&gt;"All beds",COUNTIF(Beds!$B$6:$B$35,C1495)=0),"Not on Beds",""))))</f>
        <v/>
      </c>
      <c r="G1495" s="1">
        <f>IF(ISNUMBER(B1495),INT(B1495),0)</f>
        <v/>
      </c>
      <c r="H1495">
        <f>IF(AND(G1495&gt;0,D1495="Water",OR(C1495="",C1495="All beds")),G1495,0)</f>
        <v/>
      </c>
    </row>
    <row r="1496">
      <c r="A1496" s="1" t="n"/>
      <c r="B1496" s="17" t="n"/>
      <c r="C1496" s="18" t="n"/>
      <c r="D1496" s="19" t="n"/>
      <c r="E1496" s="21" t="n"/>
      <c r="F1496" s="11">
        <f>IF(AND(B1496="",C1496="",D1496=""),"",IF(NOT(ISNUMBER(B1496)),"Needs a date",IF(D1496="","Needs the job",IF(AND(C1496&lt;&gt;"",C1496&lt;&gt;"All beds",COUNTIF(Beds!$B$6:$B$35,C1496)=0),"Not on Beds",""))))</f>
        <v/>
      </c>
      <c r="G1496" s="1">
        <f>IF(ISNUMBER(B1496),INT(B1496),0)</f>
        <v/>
      </c>
      <c r="H1496">
        <f>IF(AND(G1496&gt;0,D1496="Water",OR(C1496="",C1496="All beds")),G1496,0)</f>
        <v/>
      </c>
    </row>
    <row r="1497">
      <c r="A1497" s="1" t="n"/>
      <c r="B1497" s="17" t="n"/>
      <c r="C1497" s="18" t="n"/>
      <c r="D1497" s="19" t="n"/>
      <c r="E1497" s="21" t="n"/>
      <c r="F1497" s="11">
        <f>IF(AND(B1497="",C1497="",D1497=""),"",IF(NOT(ISNUMBER(B1497)),"Needs a date",IF(D1497="","Needs the job",IF(AND(C1497&lt;&gt;"",C1497&lt;&gt;"All beds",COUNTIF(Beds!$B$6:$B$35,C1497)=0),"Not on Beds",""))))</f>
        <v/>
      </c>
      <c r="G1497" s="1">
        <f>IF(ISNUMBER(B1497),INT(B1497),0)</f>
        <v/>
      </c>
      <c r="H1497">
        <f>IF(AND(G1497&gt;0,D1497="Water",OR(C1497="",C1497="All beds")),G1497,0)</f>
        <v/>
      </c>
    </row>
    <row r="1498">
      <c r="A1498" s="1" t="n"/>
      <c r="B1498" s="17" t="n"/>
      <c r="C1498" s="18" t="n"/>
      <c r="D1498" s="19" t="n"/>
      <c r="E1498" s="21" t="n"/>
      <c r="F1498" s="11">
        <f>IF(AND(B1498="",C1498="",D1498=""),"",IF(NOT(ISNUMBER(B1498)),"Needs a date",IF(D1498="","Needs the job",IF(AND(C1498&lt;&gt;"",C1498&lt;&gt;"All beds",COUNTIF(Beds!$B$6:$B$35,C1498)=0),"Not on Beds",""))))</f>
        <v/>
      </c>
      <c r="G1498" s="1">
        <f>IF(ISNUMBER(B1498),INT(B1498),0)</f>
        <v/>
      </c>
      <c r="H1498">
        <f>IF(AND(G1498&gt;0,D1498="Water",OR(C1498="",C1498="All beds")),G1498,0)</f>
        <v/>
      </c>
    </row>
    <row r="1499">
      <c r="A1499" s="1" t="n"/>
      <c r="B1499" s="17" t="n"/>
      <c r="C1499" s="18" t="n"/>
      <c r="D1499" s="19" t="n"/>
      <c r="E1499" s="21" t="n"/>
      <c r="F1499" s="11">
        <f>IF(AND(B1499="",C1499="",D1499=""),"",IF(NOT(ISNUMBER(B1499)),"Needs a date",IF(D1499="","Needs the job",IF(AND(C1499&lt;&gt;"",C1499&lt;&gt;"All beds",COUNTIF(Beds!$B$6:$B$35,C1499)=0),"Not on Beds",""))))</f>
        <v/>
      </c>
      <c r="G1499" s="1">
        <f>IF(ISNUMBER(B1499),INT(B1499),0)</f>
        <v/>
      </c>
      <c r="H1499">
        <f>IF(AND(G1499&gt;0,D1499="Water",OR(C1499="",C1499="All beds")),G1499,0)</f>
        <v/>
      </c>
    </row>
    <row r="1500">
      <c r="A1500" s="1" t="n"/>
      <c r="B1500" s="17" t="n"/>
      <c r="C1500" s="18" t="n"/>
      <c r="D1500" s="19" t="n"/>
      <c r="E1500" s="21" t="n"/>
      <c r="F1500" s="11">
        <f>IF(AND(B1500="",C1500="",D1500=""),"",IF(NOT(ISNUMBER(B1500)),"Needs a date",IF(D1500="","Needs the job",IF(AND(C1500&lt;&gt;"",C1500&lt;&gt;"All beds",COUNTIF(Beds!$B$6:$B$35,C1500)=0),"Not on Beds",""))))</f>
        <v/>
      </c>
      <c r="G1500" s="1">
        <f>IF(ISNUMBER(B1500),INT(B1500),0)</f>
        <v/>
      </c>
      <c r="H1500">
        <f>IF(AND(G1500&gt;0,D1500="Water",OR(C1500="",C1500="All beds")),G1500,0)</f>
        <v/>
      </c>
    </row>
    <row r="1501">
      <c r="A1501" s="1" t="n"/>
      <c r="B1501" s="17" t="n"/>
      <c r="C1501" s="18" t="n"/>
      <c r="D1501" s="19" t="n"/>
      <c r="E1501" s="21" t="n"/>
      <c r="F1501" s="11">
        <f>IF(AND(B1501="",C1501="",D1501=""),"",IF(NOT(ISNUMBER(B1501)),"Needs a date",IF(D1501="","Needs the job",IF(AND(C1501&lt;&gt;"",C1501&lt;&gt;"All beds",COUNTIF(Beds!$B$6:$B$35,C1501)=0),"Not on Beds",""))))</f>
        <v/>
      </c>
      <c r="G1501" s="1">
        <f>IF(ISNUMBER(B1501),INT(B1501),0)</f>
        <v/>
      </c>
      <c r="H1501">
        <f>IF(AND(G1501&gt;0,D1501="Water",OR(C1501="",C1501="All beds")),G1501,0)</f>
        <v/>
      </c>
    </row>
    <row r="1502">
      <c r="A1502" s="1" t="n"/>
      <c r="B1502" s="17" t="n"/>
      <c r="C1502" s="18" t="n"/>
      <c r="D1502" s="19" t="n"/>
      <c r="E1502" s="21" t="n"/>
      <c r="F1502" s="11">
        <f>IF(AND(B1502="",C1502="",D1502=""),"",IF(NOT(ISNUMBER(B1502)),"Needs a date",IF(D1502="","Needs the job",IF(AND(C1502&lt;&gt;"",C1502&lt;&gt;"All beds",COUNTIF(Beds!$B$6:$B$35,C1502)=0),"Not on Beds",""))))</f>
        <v/>
      </c>
      <c r="G1502" s="1">
        <f>IF(ISNUMBER(B1502),INT(B1502),0)</f>
        <v/>
      </c>
      <c r="H1502">
        <f>IF(AND(G1502&gt;0,D1502="Water",OR(C1502="",C1502="All beds")),G1502,0)</f>
        <v/>
      </c>
    </row>
    <row r="1503">
      <c r="A1503" s="1" t="n"/>
      <c r="B1503" s="17" t="n"/>
      <c r="C1503" s="18" t="n"/>
      <c r="D1503" s="19" t="n"/>
      <c r="E1503" s="21" t="n"/>
      <c r="F1503" s="11">
        <f>IF(AND(B1503="",C1503="",D1503=""),"",IF(NOT(ISNUMBER(B1503)),"Needs a date",IF(D1503="","Needs the job",IF(AND(C1503&lt;&gt;"",C1503&lt;&gt;"All beds",COUNTIF(Beds!$B$6:$B$35,C1503)=0),"Not on Beds",""))))</f>
        <v/>
      </c>
      <c r="G1503" s="1">
        <f>IF(ISNUMBER(B1503),INT(B1503),0)</f>
        <v/>
      </c>
      <c r="H1503">
        <f>IF(AND(G1503&gt;0,D1503="Water",OR(C1503="",C1503="All beds")),G1503,0)</f>
        <v/>
      </c>
    </row>
    <row r="1504">
      <c r="A1504" s="1" t="n"/>
      <c r="B1504" s="17" t="n"/>
      <c r="C1504" s="18" t="n"/>
      <c r="D1504" s="19" t="n"/>
      <c r="E1504" s="21" t="n"/>
      <c r="F1504" s="11">
        <f>IF(AND(B1504="",C1504="",D1504=""),"",IF(NOT(ISNUMBER(B1504)),"Needs a date",IF(D1504="","Needs the job",IF(AND(C1504&lt;&gt;"",C1504&lt;&gt;"All beds",COUNTIF(Beds!$B$6:$B$35,C1504)=0),"Not on Beds",""))))</f>
        <v/>
      </c>
      <c r="G1504" s="1">
        <f>IF(ISNUMBER(B1504),INT(B1504),0)</f>
        <v/>
      </c>
      <c r="H1504">
        <f>IF(AND(G1504&gt;0,D1504="Water",OR(C1504="",C1504="All beds")),G1504,0)</f>
        <v/>
      </c>
    </row>
    <row r="1505">
      <c r="A1505" s="1" t="n"/>
      <c r="B1505" s="17" t="n"/>
      <c r="C1505" s="18" t="n"/>
      <c r="D1505" s="19" t="n"/>
      <c r="E1505" s="21" t="n"/>
      <c r="F1505" s="11">
        <f>IF(AND(B1505="",C1505="",D1505=""),"",IF(NOT(ISNUMBER(B1505)),"Needs a date",IF(D1505="","Needs the job",IF(AND(C1505&lt;&gt;"",C1505&lt;&gt;"All beds",COUNTIF(Beds!$B$6:$B$35,C1505)=0),"Not on Beds",""))))</f>
        <v/>
      </c>
      <c r="G1505" s="1">
        <f>IF(ISNUMBER(B1505),INT(B1505),0)</f>
        <v/>
      </c>
      <c r="H1505">
        <f>IF(AND(G1505&gt;0,D1505="Water",OR(C1505="",C1505="All beds")),G1505,0)</f>
        <v/>
      </c>
    </row>
    <row r="1506">
      <c r="A1506" s="1" t="n"/>
      <c r="B1506" s="17" t="n"/>
      <c r="C1506" s="18" t="n"/>
      <c r="D1506" s="19" t="n"/>
      <c r="E1506" s="21" t="n"/>
      <c r="F1506" s="11">
        <f>IF(AND(B1506="",C1506="",D1506=""),"",IF(NOT(ISNUMBER(B1506)),"Needs a date",IF(D1506="","Needs the job",IF(AND(C1506&lt;&gt;"",C1506&lt;&gt;"All beds",COUNTIF(Beds!$B$6:$B$35,C1506)=0),"Not on Beds",""))))</f>
        <v/>
      </c>
      <c r="G1506" s="1">
        <f>IF(ISNUMBER(B1506),INT(B1506),0)</f>
        <v/>
      </c>
      <c r="H1506">
        <f>IF(AND(G1506&gt;0,D1506="Water",OR(C1506="",C1506="All beds")),G1506,0)</f>
        <v/>
      </c>
    </row>
    <row r="1507">
      <c r="A1507" s="1" t="n"/>
      <c r="B1507" s="17" t="n"/>
      <c r="C1507" s="18" t="n"/>
      <c r="D1507" s="19" t="n"/>
      <c r="E1507" s="21" t="n"/>
      <c r="F1507" s="11">
        <f>IF(AND(B1507="",C1507="",D1507=""),"",IF(NOT(ISNUMBER(B1507)),"Needs a date",IF(D1507="","Needs the job",IF(AND(C1507&lt;&gt;"",C1507&lt;&gt;"All beds",COUNTIF(Beds!$B$6:$B$35,C1507)=0),"Not on Beds",""))))</f>
        <v/>
      </c>
      <c r="G1507" s="1">
        <f>IF(ISNUMBER(B1507),INT(B1507),0)</f>
        <v/>
      </c>
      <c r="H1507">
        <f>IF(AND(G1507&gt;0,D1507="Water",OR(C1507="",C1507="All beds")),G1507,0)</f>
        <v/>
      </c>
    </row>
    <row r="1508">
      <c r="A1508" s="1" t="n"/>
      <c r="B1508" s="17" t="n"/>
      <c r="C1508" s="18" t="n"/>
      <c r="D1508" s="19" t="n"/>
      <c r="E1508" s="21" t="n"/>
      <c r="F1508" s="11">
        <f>IF(AND(B1508="",C1508="",D1508=""),"",IF(NOT(ISNUMBER(B1508)),"Needs a date",IF(D1508="","Needs the job",IF(AND(C1508&lt;&gt;"",C1508&lt;&gt;"All beds",COUNTIF(Beds!$B$6:$B$35,C1508)=0),"Not on Beds",""))))</f>
        <v/>
      </c>
      <c r="G1508" s="1">
        <f>IF(ISNUMBER(B1508),INT(B1508),0)</f>
        <v/>
      </c>
      <c r="H1508">
        <f>IF(AND(G1508&gt;0,D1508="Water",OR(C1508="",C1508="All beds")),G1508,0)</f>
        <v/>
      </c>
    </row>
    <row r="1509">
      <c r="A1509" s="1" t="n"/>
      <c r="B1509" s="17" t="n"/>
      <c r="C1509" s="18" t="n"/>
      <c r="D1509" s="19" t="n"/>
      <c r="E1509" s="21" t="n"/>
      <c r="F1509" s="11">
        <f>IF(AND(B1509="",C1509="",D1509=""),"",IF(NOT(ISNUMBER(B1509)),"Needs a date",IF(D1509="","Needs the job",IF(AND(C1509&lt;&gt;"",C1509&lt;&gt;"All beds",COUNTIF(Beds!$B$6:$B$35,C1509)=0),"Not on Beds",""))))</f>
        <v/>
      </c>
      <c r="G1509" s="1">
        <f>IF(ISNUMBER(B1509),INT(B1509),0)</f>
        <v/>
      </c>
      <c r="H1509">
        <f>IF(AND(G1509&gt;0,D1509="Water",OR(C1509="",C1509="All beds")),G1509,0)</f>
        <v/>
      </c>
    </row>
    <row r="1510">
      <c r="A1510" s="1" t="n"/>
      <c r="B1510" s="17" t="n"/>
      <c r="C1510" s="18" t="n"/>
      <c r="D1510" s="19" t="n"/>
      <c r="E1510" s="21" t="n"/>
      <c r="F1510" s="11">
        <f>IF(AND(B1510="",C1510="",D1510=""),"",IF(NOT(ISNUMBER(B1510)),"Needs a date",IF(D1510="","Needs the job",IF(AND(C1510&lt;&gt;"",C1510&lt;&gt;"All beds",COUNTIF(Beds!$B$6:$B$35,C1510)=0),"Not on Beds",""))))</f>
        <v/>
      </c>
      <c r="G1510" s="1">
        <f>IF(ISNUMBER(B1510),INT(B1510),0)</f>
        <v/>
      </c>
      <c r="H1510">
        <f>IF(AND(G1510&gt;0,D1510="Water",OR(C1510="",C1510="All beds")),G1510,0)</f>
        <v/>
      </c>
    </row>
    <row r="1511">
      <c r="A1511" s="1" t="n"/>
      <c r="B1511" s="17" t="n"/>
      <c r="C1511" s="18" t="n"/>
      <c r="D1511" s="19" t="n"/>
      <c r="E1511" s="21" t="n"/>
      <c r="F1511" s="11">
        <f>IF(AND(B1511="",C1511="",D1511=""),"",IF(NOT(ISNUMBER(B1511)),"Needs a date",IF(D1511="","Needs the job",IF(AND(C1511&lt;&gt;"",C1511&lt;&gt;"All beds",COUNTIF(Beds!$B$6:$B$35,C1511)=0),"Not on Beds",""))))</f>
        <v/>
      </c>
      <c r="G1511" s="1">
        <f>IF(ISNUMBER(B1511),INT(B1511),0)</f>
        <v/>
      </c>
      <c r="H1511">
        <f>IF(AND(G1511&gt;0,D1511="Water",OR(C1511="",C1511="All beds")),G1511,0)</f>
        <v/>
      </c>
    </row>
    <row r="1512">
      <c r="A1512" s="1" t="n"/>
      <c r="B1512" s="17" t="n"/>
      <c r="C1512" s="18" t="n"/>
      <c r="D1512" s="19" t="n"/>
      <c r="E1512" s="21" t="n"/>
      <c r="F1512" s="11">
        <f>IF(AND(B1512="",C1512="",D1512=""),"",IF(NOT(ISNUMBER(B1512)),"Needs a date",IF(D1512="","Needs the job",IF(AND(C1512&lt;&gt;"",C1512&lt;&gt;"All beds",COUNTIF(Beds!$B$6:$B$35,C1512)=0),"Not on Beds",""))))</f>
        <v/>
      </c>
      <c r="G1512" s="1">
        <f>IF(ISNUMBER(B1512),INT(B1512),0)</f>
        <v/>
      </c>
      <c r="H1512">
        <f>IF(AND(G1512&gt;0,D1512="Water",OR(C1512="",C1512="All beds")),G1512,0)</f>
        <v/>
      </c>
    </row>
    <row r="1513">
      <c r="A1513" s="1" t="n"/>
      <c r="B1513" s="17" t="n"/>
      <c r="C1513" s="18" t="n"/>
      <c r="D1513" s="19" t="n"/>
      <c r="E1513" s="21" t="n"/>
      <c r="F1513" s="11">
        <f>IF(AND(B1513="",C1513="",D1513=""),"",IF(NOT(ISNUMBER(B1513)),"Needs a date",IF(D1513="","Needs the job",IF(AND(C1513&lt;&gt;"",C1513&lt;&gt;"All beds",COUNTIF(Beds!$B$6:$B$35,C1513)=0),"Not on Beds",""))))</f>
        <v/>
      </c>
      <c r="G1513" s="1">
        <f>IF(ISNUMBER(B1513),INT(B1513),0)</f>
        <v/>
      </c>
      <c r="H1513">
        <f>IF(AND(G1513&gt;0,D1513="Water",OR(C1513="",C1513="All beds")),G1513,0)</f>
        <v/>
      </c>
    </row>
    <row r="1514">
      <c r="A1514" s="1" t="n"/>
      <c r="B1514" s="17" t="n"/>
      <c r="C1514" s="18" t="n"/>
      <c r="D1514" s="19" t="n"/>
      <c r="E1514" s="21" t="n"/>
      <c r="F1514" s="11">
        <f>IF(AND(B1514="",C1514="",D1514=""),"",IF(NOT(ISNUMBER(B1514)),"Needs a date",IF(D1514="","Needs the job",IF(AND(C1514&lt;&gt;"",C1514&lt;&gt;"All beds",COUNTIF(Beds!$B$6:$B$35,C1514)=0),"Not on Beds",""))))</f>
        <v/>
      </c>
      <c r="G1514" s="1">
        <f>IF(ISNUMBER(B1514),INT(B1514),0)</f>
        <v/>
      </c>
      <c r="H1514">
        <f>IF(AND(G1514&gt;0,D1514="Water",OR(C1514="",C1514="All beds")),G1514,0)</f>
        <v/>
      </c>
    </row>
    <row r="1515">
      <c r="A1515" s="1" t="n"/>
      <c r="B1515" s="17" t="n"/>
      <c r="C1515" s="18" t="n"/>
      <c r="D1515" s="19" t="n"/>
      <c r="E1515" s="21" t="n"/>
      <c r="F1515" s="11">
        <f>IF(AND(B1515="",C1515="",D1515=""),"",IF(NOT(ISNUMBER(B1515)),"Needs a date",IF(D1515="","Needs the job",IF(AND(C1515&lt;&gt;"",C1515&lt;&gt;"All beds",COUNTIF(Beds!$B$6:$B$35,C1515)=0),"Not on Beds",""))))</f>
        <v/>
      </c>
      <c r="G1515" s="1">
        <f>IF(ISNUMBER(B1515),INT(B1515),0)</f>
        <v/>
      </c>
      <c r="H1515">
        <f>IF(AND(G1515&gt;0,D1515="Water",OR(C1515="",C1515="All beds")),G1515,0)</f>
        <v/>
      </c>
    </row>
    <row r="1516">
      <c r="A1516" s="1" t="n"/>
      <c r="B1516" s="17" t="n"/>
      <c r="C1516" s="18" t="n"/>
      <c r="D1516" s="19" t="n"/>
      <c r="E1516" s="21" t="n"/>
      <c r="F1516" s="11">
        <f>IF(AND(B1516="",C1516="",D1516=""),"",IF(NOT(ISNUMBER(B1516)),"Needs a date",IF(D1516="","Needs the job",IF(AND(C1516&lt;&gt;"",C1516&lt;&gt;"All beds",COUNTIF(Beds!$B$6:$B$35,C1516)=0),"Not on Beds",""))))</f>
        <v/>
      </c>
      <c r="G1516" s="1">
        <f>IF(ISNUMBER(B1516),INT(B1516),0)</f>
        <v/>
      </c>
      <c r="H1516">
        <f>IF(AND(G1516&gt;0,D1516="Water",OR(C1516="",C1516="All beds")),G1516,0)</f>
        <v/>
      </c>
    </row>
    <row r="1517">
      <c r="A1517" s="1" t="n"/>
      <c r="B1517" s="17" t="n"/>
      <c r="C1517" s="18" t="n"/>
      <c r="D1517" s="19" t="n"/>
      <c r="E1517" s="21" t="n"/>
      <c r="F1517" s="11">
        <f>IF(AND(B1517="",C1517="",D1517=""),"",IF(NOT(ISNUMBER(B1517)),"Needs a date",IF(D1517="","Needs the job",IF(AND(C1517&lt;&gt;"",C1517&lt;&gt;"All beds",COUNTIF(Beds!$B$6:$B$35,C1517)=0),"Not on Beds",""))))</f>
        <v/>
      </c>
      <c r="G1517" s="1">
        <f>IF(ISNUMBER(B1517),INT(B1517),0)</f>
        <v/>
      </c>
      <c r="H1517">
        <f>IF(AND(G1517&gt;0,D1517="Water",OR(C1517="",C1517="All beds")),G1517,0)</f>
        <v/>
      </c>
    </row>
    <row r="1518">
      <c r="A1518" s="1" t="n"/>
      <c r="B1518" s="17" t="n"/>
      <c r="C1518" s="18" t="n"/>
      <c r="D1518" s="19" t="n"/>
      <c r="E1518" s="21" t="n"/>
      <c r="F1518" s="11">
        <f>IF(AND(B1518="",C1518="",D1518=""),"",IF(NOT(ISNUMBER(B1518)),"Needs a date",IF(D1518="","Needs the job",IF(AND(C1518&lt;&gt;"",C1518&lt;&gt;"All beds",COUNTIF(Beds!$B$6:$B$35,C1518)=0),"Not on Beds",""))))</f>
        <v/>
      </c>
      <c r="G1518" s="1">
        <f>IF(ISNUMBER(B1518),INT(B1518),0)</f>
        <v/>
      </c>
      <c r="H1518">
        <f>IF(AND(G1518&gt;0,D1518="Water",OR(C1518="",C1518="All beds")),G1518,0)</f>
        <v/>
      </c>
    </row>
    <row r="1519">
      <c r="A1519" s="1" t="n"/>
      <c r="B1519" s="17" t="n"/>
      <c r="C1519" s="18" t="n"/>
      <c r="D1519" s="19" t="n"/>
      <c r="E1519" s="21" t="n"/>
      <c r="F1519" s="11">
        <f>IF(AND(B1519="",C1519="",D1519=""),"",IF(NOT(ISNUMBER(B1519)),"Needs a date",IF(D1519="","Needs the job",IF(AND(C1519&lt;&gt;"",C1519&lt;&gt;"All beds",COUNTIF(Beds!$B$6:$B$35,C1519)=0),"Not on Beds",""))))</f>
        <v/>
      </c>
      <c r="G1519" s="1">
        <f>IF(ISNUMBER(B1519),INT(B1519),0)</f>
        <v/>
      </c>
      <c r="H1519">
        <f>IF(AND(G1519&gt;0,D1519="Water",OR(C1519="",C1519="All beds")),G1519,0)</f>
        <v/>
      </c>
    </row>
    <row r="1520">
      <c r="A1520" s="1" t="n"/>
      <c r="B1520" s="17" t="n"/>
      <c r="C1520" s="18" t="n"/>
      <c r="D1520" s="19" t="n"/>
      <c r="E1520" s="21" t="n"/>
      <c r="F1520" s="11">
        <f>IF(AND(B1520="",C1520="",D1520=""),"",IF(NOT(ISNUMBER(B1520)),"Needs a date",IF(D1520="","Needs the job",IF(AND(C1520&lt;&gt;"",C1520&lt;&gt;"All beds",COUNTIF(Beds!$B$6:$B$35,C1520)=0),"Not on Beds",""))))</f>
        <v/>
      </c>
      <c r="G1520" s="1">
        <f>IF(ISNUMBER(B1520),INT(B1520),0)</f>
        <v/>
      </c>
      <c r="H1520">
        <f>IF(AND(G1520&gt;0,D1520="Water",OR(C1520="",C1520="All beds")),G1520,0)</f>
        <v/>
      </c>
    </row>
    <row r="1521">
      <c r="A1521" s="1" t="n"/>
      <c r="B1521" s="17" t="n"/>
      <c r="C1521" s="18" t="n"/>
      <c r="D1521" s="19" t="n"/>
      <c r="E1521" s="21" t="n"/>
      <c r="F1521" s="11">
        <f>IF(AND(B1521="",C1521="",D1521=""),"",IF(NOT(ISNUMBER(B1521)),"Needs a date",IF(D1521="","Needs the job",IF(AND(C1521&lt;&gt;"",C1521&lt;&gt;"All beds",COUNTIF(Beds!$B$6:$B$35,C1521)=0),"Not on Beds",""))))</f>
        <v/>
      </c>
      <c r="G1521" s="1">
        <f>IF(ISNUMBER(B1521),INT(B1521),0)</f>
        <v/>
      </c>
      <c r="H1521">
        <f>IF(AND(G1521&gt;0,D1521="Water",OR(C1521="",C1521="All beds")),G1521,0)</f>
        <v/>
      </c>
    </row>
    <row r="1522">
      <c r="A1522" s="1" t="n"/>
      <c r="B1522" s="17" t="n"/>
      <c r="C1522" s="18" t="n"/>
      <c r="D1522" s="19" t="n"/>
      <c r="E1522" s="21" t="n"/>
      <c r="F1522" s="11">
        <f>IF(AND(B1522="",C1522="",D1522=""),"",IF(NOT(ISNUMBER(B1522)),"Needs a date",IF(D1522="","Needs the job",IF(AND(C1522&lt;&gt;"",C1522&lt;&gt;"All beds",COUNTIF(Beds!$B$6:$B$35,C1522)=0),"Not on Beds",""))))</f>
        <v/>
      </c>
      <c r="G1522" s="1">
        <f>IF(ISNUMBER(B1522),INT(B1522),0)</f>
        <v/>
      </c>
      <c r="H1522">
        <f>IF(AND(G1522&gt;0,D1522="Water",OR(C1522="",C1522="All beds")),G1522,0)</f>
        <v/>
      </c>
    </row>
    <row r="1523">
      <c r="A1523" s="1" t="n"/>
      <c r="B1523" s="17" t="n"/>
      <c r="C1523" s="18" t="n"/>
      <c r="D1523" s="19" t="n"/>
      <c r="E1523" s="21" t="n"/>
      <c r="F1523" s="11">
        <f>IF(AND(B1523="",C1523="",D1523=""),"",IF(NOT(ISNUMBER(B1523)),"Needs a date",IF(D1523="","Needs the job",IF(AND(C1523&lt;&gt;"",C1523&lt;&gt;"All beds",COUNTIF(Beds!$B$6:$B$35,C1523)=0),"Not on Beds",""))))</f>
        <v/>
      </c>
      <c r="G1523" s="1">
        <f>IF(ISNUMBER(B1523),INT(B1523),0)</f>
        <v/>
      </c>
      <c r="H1523">
        <f>IF(AND(G1523&gt;0,D1523="Water",OR(C1523="",C1523="All beds")),G1523,0)</f>
        <v/>
      </c>
    </row>
    <row r="1524">
      <c r="A1524" s="1" t="n"/>
      <c r="B1524" s="17" t="n"/>
      <c r="C1524" s="18" t="n"/>
      <c r="D1524" s="19" t="n"/>
      <c r="E1524" s="21" t="n"/>
      <c r="F1524" s="11">
        <f>IF(AND(B1524="",C1524="",D1524=""),"",IF(NOT(ISNUMBER(B1524)),"Needs a date",IF(D1524="","Needs the job",IF(AND(C1524&lt;&gt;"",C1524&lt;&gt;"All beds",COUNTIF(Beds!$B$6:$B$35,C1524)=0),"Not on Beds",""))))</f>
        <v/>
      </c>
      <c r="G1524" s="1">
        <f>IF(ISNUMBER(B1524),INT(B1524),0)</f>
        <v/>
      </c>
      <c r="H1524">
        <f>IF(AND(G1524&gt;0,D1524="Water",OR(C1524="",C1524="All beds")),G1524,0)</f>
        <v/>
      </c>
    </row>
    <row r="1525">
      <c r="A1525" s="1" t="n"/>
      <c r="B1525" s="17" t="n"/>
      <c r="C1525" s="18" t="n"/>
      <c r="D1525" s="19" t="n"/>
      <c r="E1525" s="21" t="n"/>
      <c r="F1525" s="11">
        <f>IF(AND(B1525="",C1525="",D1525=""),"",IF(NOT(ISNUMBER(B1525)),"Needs a date",IF(D1525="","Needs the job",IF(AND(C1525&lt;&gt;"",C1525&lt;&gt;"All beds",COUNTIF(Beds!$B$6:$B$35,C1525)=0),"Not on Beds",""))))</f>
        <v/>
      </c>
      <c r="G1525" s="1">
        <f>IF(ISNUMBER(B1525),INT(B1525),0)</f>
        <v/>
      </c>
      <c r="H1525">
        <f>IF(AND(G1525&gt;0,D1525="Water",OR(C1525="",C1525="All beds")),G1525,0)</f>
        <v/>
      </c>
    </row>
    <row r="1526">
      <c r="A1526" s="1" t="n"/>
      <c r="B1526" s="17" t="n"/>
      <c r="C1526" s="18" t="n"/>
      <c r="D1526" s="19" t="n"/>
      <c r="E1526" s="21" t="n"/>
      <c r="F1526" s="11">
        <f>IF(AND(B1526="",C1526="",D1526=""),"",IF(NOT(ISNUMBER(B1526)),"Needs a date",IF(D1526="","Needs the job",IF(AND(C1526&lt;&gt;"",C1526&lt;&gt;"All beds",COUNTIF(Beds!$B$6:$B$35,C1526)=0),"Not on Beds",""))))</f>
        <v/>
      </c>
      <c r="G1526" s="1">
        <f>IF(ISNUMBER(B1526),INT(B1526),0)</f>
        <v/>
      </c>
      <c r="H1526">
        <f>IF(AND(G1526&gt;0,D1526="Water",OR(C1526="",C1526="All beds")),G1526,0)</f>
        <v/>
      </c>
    </row>
    <row r="1527">
      <c r="A1527" s="1" t="n"/>
      <c r="B1527" s="17" t="n"/>
      <c r="C1527" s="18" t="n"/>
      <c r="D1527" s="19" t="n"/>
      <c r="E1527" s="21" t="n"/>
      <c r="F1527" s="11">
        <f>IF(AND(B1527="",C1527="",D1527=""),"",IF(NOT(ISNUMBER(B1527)),"Needs a date",IF(D1527="","Needs the job",IF(AND(C1527&lt;&gt;"",C1527&lt;&gt;"All beds",COUNTIF(Beds!$B$6:$B$35,C1527)=0),"Not on Beds",""))))</f>
        <v/>
      </c>
      <c r="G1527" s="1">
        <f>IF(ISNUMBER(B1527),INT(B1527),0)</f>
        <v/>
      </c>
      <c r="H1527">
        <f>IF(AND(G1527&gt;0,D1527="Water",OR(C1527="",C1527="All beds")),G1527,0)</f>
        <v/>
      </c>
    </row>
    <row r="1528">
      <c r="A1528" s="1" t="n"/>
      <c r="B1528" s="17" t="n"/>
      <c r="C1528" s="18" t="n"/>
      <c r="D1528" s="19" t="n"/>
      <c r="E1528" s="21" t="n"/>
      <c r="F1528" s="11">
        <f>IF(AND(B1528="",C1528="",D1528=""),"",IF(NOT(ISNUMBER(B1528)),"Needs a date",IF(D1528="","Needs the job",IF(AND(C1528&lt;&gt;"",C1528&lt;&gt;"All beds",COUNTIF(Beds!$B$6:$B$35,C1528)=0),"Not on Beds",""))))</f>
        <v/>
      </c>
      <c r="G1528" s="1">
        <f>IF(ISNUMBER(B1528),INT(B1528),0)</f>
        <v/>
      </c>
      <c r="H1528">
        <f>IF(AND(G1528&gt;0,D1528="Water",OR(C1528="",C1528="All beds")),G1528,0)</f>
        <v/>
      </c>
    </row>
    <row r="1529">
      <c r="A1529" s="1" t="n"/>
      <c r="B1529" s="17" t="n"/>
      <c r="C1529" s="18" t="n"/>
      <c r="D1529" s="19" t="n"/>
      <c r="E1529" s="21" t="n"/>
      <c r="F1529" s="11">
        <f>IF(AND(B1529="",C1529="",D1529=""),"",IF(NOT(ISNUMBER(B1529)),"Needs a date",IF(D1529="","Needs the job",IF(AND(C1529&lt;&gt;"",C1529&lt;&gt;"All beds",COUNTIF(Beds!$B$6:$B$35,C1529)=0),"Not on Beds",""))))</f>
        <v/>
      </c>
      <c r="G1529" s="1">
        <f>IF(ISNUMBER(B1529),INT(B1529),0)</f>
        <v/>
      </c>
      <c r="H1529">
        <f>IF(AND(G1529&gt;0,D1529="Water",OR(C1529="",C1529="All beds")),G1529,0)</f>
        <v/>
      </c>
    </row>
    <row r="1530">
      <c r="A1530" s="1" t="n"/>
      <c r="B1530" s="17" t="n"/>
      <c r="C1530" s="18" t="n"/>
      <c r="D1530" s="19" t="n"/>
      <c r="E1530" s="21" t="n"/>
      <c r="F1530" s="11">
        <f>IF(AND(B1530="",C1530="",D1530=""),"",IF(NOT(ISNUMBER(B1530)),"Needs a date",IF(D1530="","Needs the job",IF(AND(C1530&lt;&gt;"",C1530&lt;&gt;"All beds",COUNTIF(Beds!$B$6:$B$35,C1530)=0),"Not on Beds",""))))</f>
        <v/>
      </c>
      <c r="G1530" s="1">
        <f>IF(ISNUMBER(B1530),INT(B1530),0)</f>
        <v/>
      </c>
      <c r="H1530">
        <f>IF(AND(G1530&gt;0,D1530="Water",OR(C1530="",C1530="All beds")),G1530,0)</f>
        <v/>
      </c>
    </row>
    <row r="1531">
      <c r="A1531" s="1" t="n"/>
      <c r="B1531" s="17" t="n"/>
      <c r="C1531" s="18" t="n"/>
      <c r="D1531" s="19" t="n"/>
      <c r="E1531" s="21" t="n"/>
      <c r="F1531" s="11">
        <f>IF(AND(B1531="",C1531="",D1531=""),"",IF(NOT(ISNUMBER(B1531)),"Needs a date",IF(D1531="","Needs the job",IF(AND(C1531&lt;&gt;"",C1531&lt;&gt;"All beds",COUNTIF(Beds!$B$6:$B$35,C1531)=0),"Not on Beds",""))))</f>
        <v/>
      </c>
      <c r="G1531" s="1">
        <f>IF(ISNUMBER(B1531),INT(B1531),0)</f>
        <v/>
      </c>
      <c r="H1531">
        <f>IF(AND(G1531&gt;0,D1531="Water",OR(C1531="",C1531="All beds")),G1531,0)</f>
        <v/>
      </c>
    </row>
    <row r="1532">
      <c r="A1532" s="1" t="n"/>
      <c r="B1532" s="17" t="n"/>
      <c r="C1532" s="18" t="n"/>
      <c r="D1532" s="19" t="n"/>
      <c r="E1532" s="21" t="n"/>
      <c r="F1532" s="11">
        <f>IF(AND(B1532="",C1532="",D1532=""),"",IF(NOT(ISNUMBER(B1532)),"Needs a date",IF(D1532="","Needs the job",IF(AND(C1532&lt;&gt;"",C1532&lt;&gt;"All beds",COUNTIF(Beds!$B$6:$B$35,C1532)=0),"Not on Beds",""))))</f>
        <v/>
      </c>
      <c r="G1532" s="1">
        <f>IF(ISNUMBER(B1532),INT(B1532),0)</f>
        <v/>
      </c>
      <c r="H1532">
        <f>IF(AND(G1532&gt;0,D1532="Water",OR(C1532="",C1532="All beds")),G1532,0)</f>
        <v/>
      </c>
    </row>
    <row r="1533">
      <c r="A1533" s="1" t="n"/>
      <c r="B1533" s="17" t="n"/>
      <c r="C1533" s="18" t="n"/>
      <c r="D1533" s="19" t="n"/>
      <c r="E1533" s="21" t="n"/>
      <c r="F1533" s="11">
        <f>IF(AND(B1533="",C1533="",D1533=""),"",IF(NOT(ISNUMBER(B1533)),"Needs a date",IF(D1533="","Needs the job",IF(AND(C1533&lt;&gt;"",C1533&lt;&gt;"All beds",COUNTIF(Beds!$B$6:$B$35,C1533)=0),"Not on Beds",""))))</f>
        <v/>
      </c>
      <c r="G1533" s="1">
        <f>IF(ISNUMBER(B1533),INT(B1533),0)</f>
        <v/>
      </c>
      <c r="H1533">
        <f>IF(AND(G1533&gt;0,D1533="Water",OR(C1533="",C1533="All beds")),G1533,0)</f>
        <v/>
      </c>
    </row>
    <row r="1534">
      <c r="A1534" s="1" t="n"/>
      <c r="B1534" s="17" t="n"/>
      <c r="C1534" s="18" t="n"/>
      <c r="D1534" s="19" t="n"/>
      <c r="E1534" s="21" t="n"/>
      <c r="F1534" s="11">
        <f>IF(AND(B1534="",C1534="",D1534=""),"",IF(NOT(ISNUMBER(B1534)),"Needs a date",IF(D1534="","Needs the job",IF(AND(C1534&lt;&gt;"",C1534&lt;&gt;"All beds",COUNTIF(Beds!$B$6:$B$35,C1534)=0),"Not on Beds",""))))</f>
        <v/>
      </c>
      <c r="G1534" s="1">
        <f>IF(ISNUMBER(B1534),INT(B1534),0)</f>
        <v/>
      </c>
      <c r="H1534">
        <f>IF(AND(G1534&gt;0,D1534="Water",OR(C1534="",C1534="All beds")),G1534,0)</f>
        <v/>
      </c>
    </row>
    <row r="1535">
      <c r="A1535" s="1" t="n"/>
      <c r="B1535" s="17" t="n"/>
      <c r="C1535" s="18" t="n"/>
      <c r="D1535" s="19" t="n"/>
      <c r="E1535" s="21" t="n"/>
      <c r="F1535" s="11">
        <f>IF(AND(B1535="",C1535="",D1535=""),"",IF(NOT(ISNUMBER(B1535)),"Needs a date",IF(D1535="","Needs the job",IF(AND(C1535&lt;&gt;"",C1535&lt;&gt;"All beds",COUNTIF(Beds!$B$6:$B$35,C1535)=0),"Not on Beds",""))))</f>
        <v/>
      </c>
      <c r="G1535" s="1">
        <f>IF(ISNUMBER(B1535),INT(B1535),0)</f>
        <v/>
      </c>
      <c r="H1535">
        <f>IF(AND(G1535&gt;0,D1535="Water",OR(C1535="",C1535="All beds")),G1535,0)</f>
        <v/>
      </c>
    </row>
    <row r="1536">
      <c r="A1536" s="1" t="n"/>
      <c r="B1536" s="17" t="n"/>
      <c r="C1536" s="18" t="n"/>
      <c r="D1536" s="19" t="n"/>
      <c r="E1536" s="21" t="n"/>
      <c r="F1536" s="11">
        <f>IF(AND(B1536="",C1536="",D1536=""),"",IF(NOT(ISNUMBER(B1536)),"Needs a date",IF(D1536="","Needs the job",IF(AND(C1536&lt;&gt;"",C1536&lt;&gt;"All beds",COUNTIF(Beds!$B$6:$B$35,C1536)=0),"Not on Beds",""))))</f>
        <v/>
      </c>
      <c r="G1536" s="1">
        <f>IF(ISNUMBER(B1536),INT(B1536),0)</f>
        <v/>
      </c>
      <c r="H1536">
        <f>IF(AND(G1536&gt;0,D1536="Water",OR(C1536="",C1536="All beds")),G1536,0)</f>
        <v/>
      </c>
    </row>
    <row r="1537">
      <c r="A1537" s="1" t="n"/>
      <c r="B1537" s="17" t="n"/>
      <c r="C1537" s="18" t="n"/>
      <c r="D1537" s="19" t="n"/>
      <c r="E1537" s="21" t="n"/>
      <c r="F1537" s="11">
        <f>IF(AND(B1537="",C1537="",D1537=""),"",IF(NOT(ISNUMBER(B1537)),"Needs a date",IF(D1537="","Needs the job",IF(AND(C1537&lt;&gt;"",C1537&lt;&gt;"All beds",COUNTIF(Beds!$B$6:$B$35,C1537)=0),"Not on Beds",""))))</f>
        <v/>
      </c>
      <c r="G1537" s="1">
        <f>IF(ISNUMBER(B1537),INT(B1537),0)</f>
        <v/>
      </c>
      <c r="H1537">
        <f>IF(AND(G1537&gt;0,D1537="Water",OR(C1537="",C1537="All beds")),G1537,0)</f>
        <v/>
      </c>
    </row>
    <row r="1538">
      <c r="A1538" s="1" t="n"/>
      <c r="B1538" s="17" t="n"/>
      <c r="C1538" s="18" t="n"/>
      <c r="D1538" s="19" t="n"/>
      <c r="E1538" s="21" t="n"/>
      <c r="F1538" s="11">
        <f>IF(AND(B1538="",C1538="",D1538=""),"",IF(NOT(ISNUMBER(B1538)),"Needs a date",IF(D1538="","Needs the job",IF(AND(C1538&lt;&gt;"",C1538&lt;&gt;"All beds",COUNTIF(Beds!$B$6:$B$35,C1538)=0),"Not on Beds",""))))</f>
        <v/>
      </c>
      <c r="G1538" s="1">
        <f>IF(ISNUMBER(B1538),INT(B1538),0)</f>
        <v/>
      </c>
      <c r="H1538">
        <f>IF(AND(G1538&gt;0,D1538="Water",OR(C1538="",C1538="All beds")),G1538,0)</f>
        <v/>
      </c>
    </row>
    <row r="1539">
      <c r="A1539" s="1" t="n"/>
      <c r="B1539" s="17" t="n"/>
      <c r="C1539" s="18" t="n"/>
      <c r="D1539" s="19" t="n"/>
      <c r="E1539" s="21" t="n"/>
      <c r="F1539" s="11">
        <f>IF(AND(B1539="",C1539="",D1539=""),"",IF(NOT(ISNUMBER(B1539)),"Needs a date",IF(D1539="","Needs the job",IF(AND(C1539&lt;&gt;"",C1539&lt;&gt;"All beds",COUNTIF(Beds!$B$6:$B$35,C1539)=0),"Not on Beds",""))))</f>
        <v/>
      </c>
      <c r="G1539" s="1">
        <f>IF(ISNUMBER(B1539),INT(B1539),0)</f>
        <v/>
      </c>
      <c r="H1539">
        <f>IF(AND(G1539&gt;0,D1539="Water",OR(C1539="",C1539="All beds")),G1539,0)</f>
        <v/>
      </c>
    </row>
    <row r="1540">
      <c r="A1540" s="1" t="n"/>
      <c r="B1540" s="17" t="n"/>
      <c r="C1540" s="18" t="n"/>
      <c r="D1540" s="19" t="n"/>
      <c r="E1540" s="21" t="n"/>
      <c r="F1540" s="11">
        <f>IF(AND(B1540="",C1540="",D1540=""),"",IF(NOT(ISNUMBER(B1540)),"Needs a date",IF(D1540="","Needs the job",IF(AND(C1540&lt;&gt;"",C1540&lt;&gt;"All beds",COUNTIF(Beds!$B$6:$B$35,C1540)=0),"Not on Beds",""))))</f>
        <v/>
      </c>
      <c r="G1540" s="1">
        <f>IF(ISNUMBER(B1540),INT(B1540),0)</f>
        <v/>
      </c>
      <c r="H1540">
        <f>IF(AND(G1540&gt;0,D1540="Water",OR(C1540="",C1540="All beds")),G1540,0)</f>
        <v/>
      </c>
    </row>
    <row r="1541">
      <c r="A1541" s="1" t="n"/>
      <c r="B1541" s="17" t="n"/>
      <c r="C1541" s="18" t="n"/>
      <c r="D1541" s="19" t="n"/>
      <c r="E1541" s="21" t="n"/>
      <c r="F1541" s="11">
        <f>IF(AND(B1541="",C1541="",D1541=""),"",IF(NOT(ISNUMBER(B1541)),"Needs a date",IF(D1541="","Needs the job",IF(AND(C1541&lt;&gt;"",C1541&lt;&gt;"All beds",COUNTIF(Beds!$B$6:$B$35,C1541)=0),"Not on Beds",""))))</f>
        <v/>
      </c>
      <c r="G1541" s="1">
        <f>IF(ISNUMBER(B1541),INT(B1541),0)</f>
        <v/>
      </c>
      <c r="H1541">
        <f>IF(AND(G1541&gt;0,D1541="Water",OR(C1541="",C1541="All beds")),G1541,0)</f>
        <v/>
      </c>
    </row>
    <row r="1542">
      <c r="A1542" s="1" t="n"/>
      <c r="B1542" s="17" t="n"/>
      <c r="C1542" s="18" t="n"/>
      <c r="D1542" s="19" t="n"/>
      <c r="E1542" s="21" t="n"/>
      <c r="F1542" s="11">
        <f>IF(AND(B1542="",C1542="",D1542=""),"",IF(NOT(ISNUMBER(B1542)),"Needs a date",IF(D1542="","Needs the job",IF(AND(C1542&lt;&gt;"",C1542&lt;&gt;"All beds",COUNTIF(Beds!$B$6:$B$35,C1542)=0),"Not on Beds",""))))</f>
        <v/>
      </c>
      <c r="G1542" s="1">
        <f>IF(ISNUMBER(B1542),INT(B1542),0)</f>
        <v/>
      </c>
      <c r="H1542">
        <f>IF(AND(G1542&gt;0,D1542="Water",OR(C1542="",C1542="All beds")),G1542,0)</f>
        <v/>
      </c>
    </row>
    <row r="1543">
      <c r="A1543" s="1" t="n"/>
      <c r="B1543" s="17" t="n"/>
      <c r="C1543" s="18" t="n"/>
      <c r="D1543" s="19" t="n"/>
      <c r="E1543" s="21" t="n"/>
      <c r="F1543" s="11">
        <f>IF(AND(B1543="",C1543="",D1543=""),"",IF(NOT(ISNUMBER(B1543)),"Needs a date",IF(D1543="","Needs the job",IF(AND(C1543&lt;&gt;"",C1543&lt;&gt;"All beds",COUNTIF(Beds!$B$6:$B$35,C1543)=0),"Not on Beds",""))))</f>
        <v/>
      </c>
      <c r="G1543" s="1">
        <f>IF(ISNUMBER(B1543),INT(B1543),0)</f>
        <v/>
      </c>
      <c r="H1543">
        <f>IF(AND(G1543&gt;0,D1543="Water",OR(C1543="",C1543="All beds")),G1543,0)</f>
        <v/>
      </c>
    </row>
    <row r="1544">
      <c r="A1544" s="1" t="n"/>
      <c r="B1544" s="17" t="n"/>
      <c r="C1544" s="18" t="n"/>
      <c r="D1544" s="19" t="n"/>
      <c r="E1544" s="21" t="n"/>
      <c r="F1544" s="11">
        <f>IF(AND(B1544="",C1544="",D1544=""),"",IF(NOT(ISNUMBER(B1544)),"Needs a date",IF(D1544="","Needs the job",IF(AND(C1544&lt;&gt;"",C1544&lt;&gt;"All beds",COUNTIF(Beds!$B$6:$B$35,C1544)=0),"Not on Beds",""))))</f>
        <v/>
      </c>
      <c r="G1544" s="1">
        <f>IF(ISNUMBER(B1544),INT(B1544),0)</f>
        <v/>
      </c>
      <c r="H1544">
        <f>IF(AND(G1544&gt;0,D1544="Water",OR(C1544="",C1544="All beds")),G1544,0)</f>
        <v/>
      </c>
    </row>
    <row r="1545">
      <c r="A1545" s="1" t="n"/>
      <c r="B1545" s="17" t="n"/>
      <c r="C1545" s="18" t="n"/>
      <c r="D1545" s="19" t="n"/>
      <c r="E1545" s="21" t="n"/>
      <c r="F1545" s="11">
        <f>IF(AND(B1545="",C1545="",D1545=""),"",IF(NOT(ISNUMBER(B1545)),"Needs a date",IF(D1545="","Needs the job",IF(AND(C1545&lt;&gt;"",C1545&lt;&gt;"All beds",COUNTIF(Beds!$B$6:$B$35,C1545)=0),"Not on Beds",""))))</f>
        <v/>
      </c>
      <c r="G1545" s="1">
        <f>IF(ISNUMBER(B1545),INT(B1545),0)</f>
        <v/>
      </c>
      <c r="H1545">
        <f>IF(AND(G1545&gt;0,D1545="Water",OR(C1545="",C1545="All beds")),G1545,0)</f>
        <v/>
      </c>
    </row>
    <row r="1546">
      <c r="A1546" s="1" t="n"/>
      <c r="B1546" s="17" t="n"/>
      <c r="C1546" s="18" t="n"/>
      <c r="D1546" s="19" t="n"/>
      <c r="E1546" s="21" t="n"/>
      <c r="F1546" s="11">
        <f>IF(AND(B1546="",C1546="",D1546=""),"",IF(NOT(ISNUMBER(B1546)),"Needs a date",IF(D1546="","Needs the job",IF(AND(C1546&lt;&gt;"",C1546&lt;&gt;"All beds",COUNTIF(Beds!$B$6:$B$35,C1546)=0),"Not on Beds",""))))</f>
        <v/>
      </c>
      <c r="G1546" s="1">
        <f>IF(ISNUMBER(B1546),INT(B1546),0)</f>
        <v/>
      </c>
      <c r="H1546">
        <f>IF(AND(G1546&gt;0,D1546="Water",OR(C1546="",C1546="All beds")),G1546,0)</f>
        <v/>
      </c>
    </row>
    <row r="1547">
      <c r="A1547" s="1" t="n"/>
      <c r="B1547" s="17" t="n"/>
      <c r="C1547" s="18" t="n"/>
      <c r="D1547" s="19" t="n"/>
      <c r="E1547" s="21" t="n"/>
      <c r="F1547" s="11">
        <f>IF(AND(B1547="",C1547="",D1547=""),"",IF(NOT(ISNUMBER(B1547)),"Needs a date",IF(D1547="","Needs the job",IF(AND(C1547&lt;&gt;"",C1547&lt;&gt;"All beds",COUNTIF(Beds!$B$6:$B$35,C1547)=0),"Not on Beds",""))))</f>
        <v/>
      </c>
      <c r="G1547" s="1">
        <f>IF(ISNUMBER(B1547),INT(B1547),0)</f>
        <v/>
      </c>
      <c r="H1547">
        <f>IF(AND(G1547&gt;0,D1547="Water",OR(C1547="",C1547="All beds")),G1547,0)</f>
        <v/>
      </c>
    </row>
    <row r="1548">
      <c r="A1548" s="1" t="n"/>
      <c r="B1548" s="17" t="n"/>
      <c r="C1548" s="18" t="n"/>
      <c r="D1548" s="19" t="n"/>
      <c r="E1548" s="21" t="n"/>
      <c r="F1548" s="11">
        <f>IF(AND(B1548="",C1548="",D1548=""),"",IF(NOT(ISNUMBER(B1548)),"Needs a date",IF(D1548="","Needs the job",IF(AND(C1548&lt;&gt;"",C1548&lt;&gt;"All beds",COUNTIF(Beds!$B$6:$B$35,C1548)=0),"Not on Beds",""))))</f>
        <v/>
      </c>
      <c r="G1548" s="1">
        <f>IF(ISNUMBER(B1548),INT(B1548),0)</f>
        <v/>
      </c>
      <c r="H1548">
        <f>IF(AND(G1548&gt;0,D1548="Water",OR(C1548="",C1548="All beds")),G1548,0)</f>
        <v/>
      </c>
    </row>
    <row r="1549">
      <c r="A1549" s="1" t="n"/>
      <c r="B1549" s="17" t="n"/>
      <c r="C1549" s="18" t="n"/>
      <c r="D1549" s="19" t="n"/>
      <c r="E1549" s="21" t="n"/>
      <c r="F1549" s="11">
        <f>IF(AND(B1549="",C1549="",D1549=""),"",IF(NOT(ISNUMBER(B1549)),"Needs a date",IF(D1549="","Needs the job",IF(AND(C1549&lt;&gt;"",C1549&lt;&gt;"All beds",COUNTIF(Beds!$B$6:$B$35,C1549)=0),"Not on Beds",""))))</f>
        <v/>
      </c>
      <c r="G1549" s="1">
        <f>IF(ISNUMBER(B1549),INT(B1549),0)</f>
        <v/>
      </c>
      <c r="H1549">
        <f>IF(AND(G1549&gt;0,D1549="Water",OR(C1549="",C1549="All beds")),G1549,0)</f>
        <v/>
      </c>
    </row>
    <row r="1550">
      <c r="A1550" s="1" t="n"/>
      <c r="B1550" s="17" t="n"/>
      <c r="C1550" s="18" t="n"/>
      <c r="D1550" s="19" t="n"/>
      <c r="E1550" s="21" t="n"/>
      <c r="F1550" s="11">
        <f>IF(AND(B1550="",C1550="",D1550=""),"",IF(NOT(ISNUMBER(B1550)),"Needs a date",IF(D1550="","Needs the job",IF(AND(C1550&lt;&gt;"",C1550&lt;&gt;"All beds",COUNTIF(Beds!$B$6:$B$35,C1550)=0),"Not on Beds",""))))</f>
        <v/>
      </c>
      <c r="G1550" s="1">
        <f>IF(ISNUMBER(B1550),INT(B1550),0)</f>
        <v/>
      </c>
      <c r="H1550">
        <f>IF(AND(G1550&gt;0,D1550="Water",OR(C1550="",C1550="All beds")),G1550,0)</f>
        <v/>
      </c>
    </row>
    <row r="1551">
      <c r="A1551" s="1" t="n"/>
      <c r="B1551" s="17" t="n"/>
      <c r="C1551" s="18" t="n"/>
      <c r="D1551" s="19" t="n"/>
      <c r="E1551" s="21" t="n"/>
      <c r="F1551" s="11">
        <f>IF(AND(B1551="",C1551="",D1551=""),"",IF(NOT(ISNUMBER(B1551)),"Needs a date",IF(D1551="","Needs the job",IF(AND(C1551&lt;&gt;"",C1551&lt;&gt;"All beds",COUNTIF(Beds!$B$6:$B$35,C1551)=0),"Not on Beds",""))))</f>
        <v/>
      </c>
      <c r="G1551" s="1">
        <f>IF(ISNUMBER(B1551),INT(B1551),0)</f>
        <v/>
      </c>
      <c r="H1551">
        <f>IF(AND(G1551&gt;0,D1551="Water",OR(C1551="",C1551="All beds")),G1551,0)</f>
        <v/>
      </c>
    </row>
    <row r="1552">
      <c r="A1552" s="1" t="n"/>
      <c r="B1552" s="17" t="n"/>
      <c r="C1552" s="18" t="n"/>
      <c r="D1552" s="19" t="n"/>
      <c r="E1552" s="21" t="n"/>
      <c r="F1552" s="11">
        <f>IF(AND(B1552="",C1552="",D1552=""),"",IF(NOT(ISNUMBER(B1552)),"Needs a date",IF(D1552="","Needs the job",IF(AND(C1552&lt;&gt;"",C1552&lt;&gt;"All beds",COUNTIF(Beds!$B$6:$B$35,C1552)=0),"Not on Beds",""))))</f>
        <v/>
      </c>
      <c r="G1552" s="1">
        <f>IF(ISNUMBER(B1552),INT(B1552),0)</f>
        <v/>
      </c>
      <c r="H1552">
        <f>IF(AND(G1552&gt;0,D1552="Water",OR(C1552="",C1552="All beds")),G1552,0)</f>
        <v/>
      </c>
    </row>
    <row r="1553">
      <c r="A1553" s="1" t="n"/>
      <c r="B1553" s="17" t="n"/>
      <c r="C1553" s="18" t="n"/>
      <c r="D1553" s="19" t="n"/>
      <c r="E1553" s="21" t="n"/>
      <c r="F1553" s="11">
        <f>IF(AND(B1553="",C1553="",D1553=""),"",IF(NOT(ISNUMBER(B1553)),"Needs a date",IF(D1553="","Needs the job",IF(AND(C1553&lt;&gt;"",C1553&lt;&gt;"All beds",COUNTIF(Beds!$B$6:$B$35,C1553)=0),"Not on Beds",""))))</f>
        <v/>
      </c>
      <c r="G1553" s="1">
        <f>IF(ISNUMBER(B1553),INT(B1553),0)</f>
        <v/>
      </c>
      <c r="H1553">
        <f>IF(AND(G1553&gt;0,D1553="Water",OR(C1553="",C1553="All beds")),G1553,0)</f>
        <v/>
      </c>
    </row>
    <row r="1554">
      <c r="A1554" s="1" t="n"/>
      <c r="B1554" s="17" t="n"/>
      <c r="C1554" s="18" t="n"/>
      <c r="D1554" s="19" t="n"/>
      <c r="E1554" s="21" t="n"/>
      <c r="F1554" s="11">
        <f>IF(AND(B1554="",C1554="",D1554=""),"",IF(NOT(ISNUMBER(B1554)),"Needs a date",IF(D1554="","Needs the job",IF(AND(C1554&lt;&gt;"",C1554&lt;&gt;"All beds",COUNTIF(Beds!$B$6:$B$35,C1554)=0),"Not on Beds",""))))</f>
        <v/>
      </c>
      <c r="G1554" s="1">
        <f>IF(ISNUMBER(B1554),INT(B1554),0)</f>
        <v/>
      </c>
      <c r="H1554">
        <f>IF(AND(G1554&gt;0,D1554="Water",OR(C1554="",C1554="All beds")),G1554,0)</f>
        <v/>
      </c>
    </row>
    <row r="1555">
      <c r="A1555" s="1" t="n"/>
      <c r="B1555" s="17" t="n"/>
      <c r="C1555" s="18" t="n"/>
      <c r="D1555" s="19" t="n"/>
      <c r="E1555" s="21" t="n"/>
      <c r="F1555" s="11">
        <f>IF(AND(B1555="",C1555="",D1555=""),"",IF(NOT(ISNUMBER(B1555)),"Needs a date",IF(D1555="","Needs the job",IF(AND(C1555&lt;&gt;"",C1555&lt;&gt;"All beds",COUNTIF(Beds!$B$6:$B$35,C1555)=0),"Not on Beds",""))))</f>
        <v/>
      </c>
      <c r="G1555" s="1">
        <f>IF(ISNUMBER(B1555),INT(B1555),0)</f>
        <v/>
      </c>
      <c r="H1555">
        <f>IF(AND(G1555&gt;0,D1555="Water",OR(C1555="",C1555="All beds")),G1555,0)</f>
        <v/>
      </c>
    </row>
    <row r="1556">
      <c r="A1556" s="1" t="n"/>
      <c r="B1556" s="17" t="n"/>
      <c r="C1556" s="18" t="n"/>
      <c r="D1556" s="19" t="n"/>
      <c r="E1556" s="21" t="n"/>
      <c r="F1556" s="11">
        <f>IF(AND(B1556="",C1556="",D1556=""),"",IF(NOT(ISNUMBER(B1556)),"Needs a date",IF(D1556="","Needs the job",IF(AND(C1556&lt;&gt;"",C1556&lt;&gt;"All beds",COUNTIF(Beds!$B$6:$B$35,C1556)=0),"Not on Beds",""))))</f>
        <v/>
      </c>
      <c r="G1556" s="1">
        <f>IF(ISNUMBER(B1556),INT(B1556),0)</f>
        <v/>
      </c>
      <c r="H1556">
        <f>IF(AND(G1556&gt;0,D1556="Water",OR(C1556="",C1556="All beds")),G1556,0)</f>
        <v/>
      </c>
    </row>
    <row r="1557">
      <c r="A1557" s="1" t="n"/>
      <c r="B1557" s="17" t="n"/>
      <c r="C1557" s="18" t="n"/>
      <c r="D1557" s="19" t="n"/>
      <c r="E1557" s="21" t="n"/>
      <c r="F1557" s="11">
        <f>IF(AND(B1557="",C1557="",D1557=""),"",IF(NOT(ISNUMBER(B1557)),"Needs a date",IF(D1557="","Needs the job",IF(AND(C1557&lt;&gt;"",C1557&lt;&gt;"All beds",COUNTIF(Beds!$B$6:$B$35,C1557)=0),"Not on Beds",""))))</f>
        <v/>
      </c>
      <c r="G1557" s="1">
        <f>IF(ISNUMBER(B1557),INT(B1557),0)</f>
        <v/>
      </c>
      <c r="H1557">
        <f>IF(AND(G1557&gt;0,D1557="Water",OR(C1557="",C1557="All beds")),G1557,0)</f>
        <v/>
      </c>
    </row>
    <row r="1558">
      <c r="A1558" s="1" t="n"/>
      <c r="B1558" s="17" t="n"/>
      <c r="C1558" s="18" t="n"/>
      <c r="D1558" s="19" t="n"/>
      <c r="E1558" s="21" t="n"/>
      <c r="F1558" s="11">
        <f>IF(AND(B1558="",C1558="",D1558=""),"",IF(NOT(ISNUMBER(B1558)),"Needs a date",IF(D1558="","Needs the job",IF(AND(C1558&lt;&gt;"",C1558&lt;&gt;"All beds",COUNTIF(Beds!$B$6:$B$35,C1558)=0),"Not on Beds",""))))</f>
        <v/>
      </c>
      <c r="G1558" s="1">
        <f>IF(ISNUMBER(B1558),INT(B1558),0)</f>
        <v/>
      </c>
      <c r="H1558">
        <f>IF(AND(G1558&gt;0,D1558="Water",OR(C1558="",C1558="All beds")),G1558,0)</f>
        <v/>
      </c>
    </row>
    <row r="1559">
      <c r="A1559" s="1" t="n"/>
      <c r="B1559" s="17" t="n"/>
      <c r="C1559" s="18" t="n"/>
      <c r="D1559" s="19" t="n"/>
      <c r="E1559" s="21" t="n"/>
      <c r="F1559" s="11">
        <f>IF(AND(B1559="",C1559="",D1559=""),"",IF(NOT(ISNUMBER(B1559)),"Needs a date",IF(D1559="","Needs the job",IF(AND(C1559&lt;&gt;"",C1559&lt;&gt;"All beds",COUNTIF(Beds!$B$6:$B$35,C1559)=0),"Not on Beds",""))))</f>
        <v/>
      </c>
      <c r="G1559" s="1">
        <f>IF(ISNUMBER(B1559),INT(B1559),0)</f>
        <v/>
      </c>
      <c r="H1559">
        <f>IF(AND(G1559&gt;0,D1559="Water",OR(C1559="",C1559="All beds")),G1559,0)</f>
        <v/>
      </c>
    </row>
    <row r="1560">
      <c r="A1560" s="1" t="n"/>
      <c r="B1560" s="17" t="n"/>
      <c r="C1560" s="18" t="n"/>
      <c r="D1560" s="19" t="n"/>
      <c r="E1560" s="21" t="n"/>
      <c r="F1560" s="11">
        <f>IF(AND(B1560="",C1560="",D1560=""),"",IF(NOT(ISNUMBER(B1560)),"Needs a date",IF(D1560="","Needs the job",IF(AND(C1560&lt;&gt;"",C1560&lt;&gt;"All beds",COUNTIF(Beds!$B$6:$B$35,C1560)=0),"Not on Beds",""))))</f>
        <v/>
      </c>
      <c r="G1560" s="1">
        <f>IF(ISNUMBER(B1560),INT(B1560),0)</f>
        <v/>
      </c>
      <c r="H1560">
        <f>IF(AND(G1560&gt;0,D1560="Water",OR(C1560="",C1560="All beds")),G1560,0)</f>
        <v/>
      </c>
    </row>
    <row r="1561">
      <c r="A1561" s="1" t="n"/>
      <c r="B1561" s="17" t="n"/>
      <c r="C1561" s="18" t="n"/>
      <c r="D1561" s="19" t="n"/>
      <c r="E1561" s="21" t="n"/>
      <c r="F1561" s="11">
        <f>IF(AND(B1561="",C1561="",D1561=""),"",IF(NOT(ISNUMBER(B1561)),"Needs a date",IF(D1561="","Needs the job",IF(AND(C1561&lt;&gt;"",C1561&lt;&gt;"All beds",COUNTIF(Beds!$B$6:$B$35,C1561)=0),"Not on Beds",""))))</f>
        <v/>
      </c>
      <c r="G1561" s="1">
        <f>IF(ISNUMBER(B1561),INT(B1561),0)</f>
        <v/>
      </c>
      <c r="H1561">
        <f>IF(AND(G1561&gt;0,D1561="Water",OR(C1561="",C1561="All beds")),G1561,0)</f>
        <v/>
      </c>
    </row>
    <row r="1562">
      <c r="A1562" s="1" t="n"/>
      <c r="B1562" s="17" t="n"/>
      <c r="C1562" s="18" t="n"/>
      <c r="D1562" s="19" t="n"/>
      <c r="E1562" s="21" t="n"/>
      <c r="F1562" s="11">
        <f>IF(AND(B1562="",C1562="",D1562=""),"",IF(NOT(ISNUMBER(B1562)),"Needs a date",IF(D1562="","Needs the job",IF(AND(C1562&lt;&gt;"",C1562&lt;&gt;"All beds",COUNTIF(Beds!$B$6:$B$35,C1562)=0),"Not on Beds",""))))</f>
        <v/>
      </c>
      <c r="G1562" s="1">
        <f>IF(ISNUMBER(B1562),INT(B1562),0)</f>
        <v/>
      </c>
      <c r="H1562">
        <f>IF(AND(G1562&gt;0,D1562="Water",OR(C1562="",C1562="All beds")),G1562,0)</f>
        <v/>
      </c>
    </row>
    <row r="1563">
      <c r="A1563" s="1" t="n"/>
      <c r="B1563" s="17" t="n"/>
      <c r="C1563" s="18" t="n"/>
      <c r="D1563" s="19" t="n"/>
      <c r="E1563" s="21" t="n"/>
      <c r="F1563" s="11">
        <f>IF(AND(B1563="",C1563="",D1563=""),"",IF(NOT(ISNUMBER(B1563)),"Needs a date",IF(D1563="","Needs the job",IF(AND(C1563&lt;&gt;"",C1563&lt;&gt;"All beds",COUNTIF(Beds!$B$6:$B$35,C1563)=0),"Not on Beds",""))))</f>
        <v/>
      </c>
      <c r="G1563" s="1">
        <f>IF(ISNUMBER(B1563),INT(B1563),0)</f>
        <v/>
      </c>
      <c r="H1563">
        <f>IF(AND(G1563&gt;0,D1563="Water",OR(C1563="",C1563="All beds")),G1563,0)</f>
        <v/>
      </c>
    </row>
    <row r="1564">
      <c r="A1564" s="1" t="n"/>
      <c r="B1564" s="17" t="n"/>
      <c r="C1564" s="18" t="n"/>
      <c r="D1564" s="19" t="n"/>
      <c r="E1564" s="21" t="n"/>
      <c r="F1564" s="11">
        <f>IF(AND(B1564="",C1564="",D1564=""),"",IF(NOT(ISNUMBER(B1564)),"Needs a date",IF(D1564="","Needs the job",IF(AND(C1564&lt;&gt;"",C1564&lt;&gt;"All beds",COUNTIF(Beds!$B$6:$B$35,C1564)=0),"Not on Beds",""))))</f>
        <v/>
      </c>
      <c r="G1564" s="1">
        <f>IF(ISNUMBER(B1564),INT(B1564),0)</f>
        <v/>
      </c>
      <c r="H1564">
        <f>IF(AND(G1564&gt;0,D1564="Water",OR(C1564="",C1564="All beds")),G1564,0)</f>
        <v/>
      </c>
    </row>
    <row r="1565">
      <c r="A1565" s="1" t="n"/>
      <c r="B1565" s="17" t="n"/>
      <c r="C1565" s="18" t="n"/>
      <c r="D1565" s="19" t="n"/>
      <c r="E1565" s="21" t="n"/>
      <c r="F1565" s="11">
        <f>IF(AND(B1565="",C1565="",D1565=""),"",IF(NOT(ISNUMBER(B1565)),"Needs a date",IF(D1565="","Needs the job",IF(AND(C1565&lt;&gt;"",C1565&lt;&gt;"All beds",COUNTIF(Beds!$B$6:$B$35,C1565)=0),"Not on Beds",""))))</f>
        <v/>
      </c>
      <c r="G1565" s="1">
        <f>IF(ISNUMBER(B1565),INT(B1565),0)</f>
        <v/>
      </c>
      <c r="H1565">
        <f>IF(AND(G1565&gt;0,D1565="Water",OR(C1565="",C1565="All beds")),G1565,0)</f>
        <v/>
      </c>
    </row>
    <row r="1566">
      <c r="A1566" s="1" t="n"/>
      <c r="B1566" s="17" t="n"/>
      <c r="C1566" s="18" t="n"/>
      <c r="D1566" s="19" t="n"/>
      <c r="E1566" s="21" t="n"/>
      <c r="F1566" s="11">
        <f>IF(AND(B1566="",C1566="",D1566=""),"",IF(NOT(ISNUMBER(B1566)),"Needs a date",IF(D1566="","Needs the job",IF(AND(C1566&lt;&gt;"",C1566&lt;&gt;"All beds",COUNTIF(Beds!$B$6:$B$35,C1566)=0),"Not on Beds",""))))</f>
        <v/>
      </c>
      <c r="G1566" s="1">
        <f>IF(ISNUMBER(B1566),INT(B1566),0)</f>
        <v/>
      </c>
      <c r="H1566">
        <f>IF(AND(G1566&gt;0,D1566="Water",OR(C1566="",C1566="All beds")),G1566,0)</f>
        <v/>
      </c>
    </row>
    <row r="1567">
      <c r="A1567" s="1" t="n"/>
      <c r="B1567" s="17" t="n"/>
      <c r="C1567" s="18" t="n"/>
      <c r="D1567" s="19" t="n"/>
      <c r="E1567" s="21" t="n"/>
      <c r="F1567" s="11">
        <f>IF(AND(B1567="",C1567="",D1567=""),"",IF(NOT(ISNUMBER(B1567)),"Needs a date",IF(D1567="","Needs the job",IF(AND(C1567&lt;&gt;"",C1567&lt;&gt;"All beds",COUNTIF(Beds!$B$6:$B$35,C1567)=0),"Not on Beds",""))))</f>
        <v/>
      </c>
      <c r="G1567" s="1">
        <f>IF(ISNUMBER(B1567),INT(B1567),0)</f>
        <v/>
      </c>
      <c r="H1567">
        <f>IF(AND(G1567&gt;0,D1567="Water",OR(C1567="",C1567="All beds")),G1567,0)</f>
        <v/>
      </c>
    </row>
    <row r="1568">
      <c r="A1568" s="1" t="n"/>
      <c r="B1568" s="17" t="n"/>
      <c r="C1568" s="18" t="n"/>
      <c r="D1568" s="19" t="n"/>
      <c r="E1568" s="21" t="n"/>
      <c r="F1568" s="11">
        <f>IF(AND(B1568="",C1568="",D1568=""),"",IF(NOT(ISNUMBER(B1568)),"Needs a date",IF(D1568="","Needs the job",IF(AND(C1568&lt;&gt;"",C1568&lt;&gt;"All beds",COUNTIF(Beds!$B$6:$B$35,C1568)=0),"Not on Beds",""))))</f>
        <v/>
      </c>
      <c r="G1568" s="1">
        <f>IF(ISNUMBER(B1568),INT(B1568),0)</f>
        <v/>
      </c>
      <c r="H1568">
        <f>IF(AND(G1568&gt;0,D1568="Water",OR(C1568="",C1568="All beds")),G1568,0)</f>
        <v/>
      </c>
    </row>
    <row r="1569">
      <c r="A1569" s="1" t="n"/>
      <c r="B1569" s="17" t="n"/>
      <c r="C1569" s="18" t="n"/>
      <c r="D1569" s="19" t="n"/>
      <c r="E1569" s="21" t="n"/>
      <c r="F1569" s="11">
        <f>IF(AND(B1569="",C1569="",D1569=""),"",IF(NOT(ISNUMBER(B1569)),"Needs a date",IF(D1569="","Needs the job",IF(AND(C1569&lt;&gt;"",C1569&lt;&gt;"All beds",COUNTIF(Beds!$B$6:$B$35,C1569)=0),"Not on Beds",""))))</f>
        <v/>
      </c>
      <c r="G1569" s="1">
        <f>IF(ISNUMBER(B1569),INT(B1569),0)</f>
        <v/>
      </c>
      <c r="H1569">
        <f>IF(AND(G1569&gt;0,D1569="Water",OR(C1569="",C1569="All beds")),G1569,0)</f>
        <v/>
      </c>
    </row>
    <row r="1570">
      <c r="A1570" s="1" t="n"/>
      <c r="B1570" s="17" t="n"/>
      <c r="C1570" s="18" t="n"/>
      <c r="D1570" s="19" t="n"/>
      <c r="E1570" s="21" t="n"/>
      <c r="F1570" s="11">
        <f>IF(AND(B1570="",C1570="",D1570=""),"",IF(NOT(ISNUMBER(B1570)),"Needs a date",IF(D1570="","Needs the job",IF(AND(C1570&lt;&gt;"",C1570&lt;&gt;"All beds",COUNTIF(Beds!$B$6:$B$35,C1570)=0),"Not on Beds",""))))</f>
        <v/>
      </c>
      <c r="G1570" s="1">
        <f>IF(ISNUMBER(B1570),INT(B1570),0)</f>
        <v/>
      </c>
      <c r="H1570">
        <f>IF(AND(G1570&gt;0,D1570="Water",OR(C1570="",C1570="All beds")),G1570,0)</f>
        <v/>
      </c>
    </row>
    <row r="1571">
      <c r="A1571" s="1" t="n"/>
      <c r="B1571" s="17" t="n"/>
      <c r="C1571" s="18" t="n"/>
      <c r="D1571" s="19" t="n"/>
      <c r="E1571" s="21" t="n"/>
      <c r="F1571" s="11">
        <f>IF(AND(B1571="",C1571="",D1571=""),"",IF(NOT(ISNUMBER(B1571)),"Needs a date",IF(D1571="","Needs the job",IF(AND(C1571&lt;&gt;"",C1571&lt;&gt;"All beds",COUNTIF(Beds!$B$6:$B$35,C1571)=0),"Not on Beds",""))))</f>
        <v/>
      </c>
      <c r="G1571" s="1">
        <f>IF(ISNUMBER(B1571),INT(B1571),0)</f>
        <v/>
      </c>
      <c r="H1571">
        <f>IF(AND(G1571&gt;0,D1571="Water",OR(C1571="",C1571="All beds")),G1571,0)</f>
        <v/>
      </c>
    </row>
    <row r="1572">
      <c r="A1572" s="1" t="n"/>
      <c r="B1572" s="17" t="n"/>
      <c r="C1572" s="18" t="n"/>
      <c r="D1572" s="19" t="n"/>
      <c r="E1572" s="21" t="n"/>
      <c r="F1572" s="11">
        <f>IF(AND(B1572="",C1572="",D1572=""),"",IF(NOT(ISNUMBER(B1572)),"Needs a date",IF(D1572="","Needs the job",IF(AND(C1572&lt;&gt;"",C1572&lt;&gt;"All beds",COUNTIF(Beds!$B$6:$B$35,C1572)=0),"Not on Beds",""))))</f>
        <v/>
      </c>
      <c r="G1572" s="1">
        <f>IF(ISNUMBER(B1572),INT(B1572),0)</f>
        <v/>
      </c>
      <c r="H1572">
        <f>IF(AND(G1572&gt;0,D1572="Water",OR(C1572="",C1572="All beds")),G1572,0)</f>
        <v/>
      </c>
    </row>
    <row r="1573">
      <c r="A1573" s="1" t="n"/>
      <c r="B1573" s="17" t="n"/>
      <c r="C1573" s="18" t="n"/>
      <c r="D1573" s="19" t="n"/>
      <c r="E1573" s="21" t="n"/>
      <c r="F1573" s="11">
        <f>IF(AND(B1573="",C1573="",D1573=""),"",IF(NOT(ISNUMBER(B1573)),"Needs a date",IF(D1573="","Needs the job",IF(AND(C1573&lt;&gt;"",C1573&lt;&gt;"All beds",COUNTIF(Beds!$B$6:$B$35,C1573)=0),"Not on Beds",""))))</f>
        <v/>
      </c>
      <c r="G1573" s="1">
        <f>IF(ISNUMBER(B1573),INT(B1573),0)</f>
        <v/>
      </c>
      <c r="H1573">
        <f>IF(AND(G1573&gt;0,D1573="Water",OR(C1573="",C1573="All beds")),G1573,0)</f>
        <v/>
      </c>
    </row>
    <row r="1574">
      <c r="A1574" s="1" t="n"/>
      <c r="B1574" s="17" t="n"/>
      <c r="C1574" s="18" t="n"/>
      <c r="D1574" s="19" t="n"/>
      <c r="E1574" s="21" t="n"/>
      <c r="F1574" s="11">
        <f>IF(AND(B1574="",C1574="",D1574=""),"",IF(NOT(ISNUMBER(B1574)),"Needs a date",IF(D1574="","Needs the job",IF(AND(C1574&lt;&gt;"",C1574&lt;&gt;"All beds",COUNTIF(Beds!$B$6:$B$35,C1574)=0),"Not on Beds",""))))</f>
        <v/>
      </c>
      <c r="G1574" s="1">
        <f>IF(ISNUMBER(B1574),INT(B1574),0)</f>
        <v/>
      </c>
      <c r="H1574">
        <f>IF(AND(G1574&gt;0,D1574="Water",OR(C1574="",C1574="All beds")),G1574,0)</f>
        <v/>
      </c>
    </row>
    <row r="1575">
      <c r="A1575" s="1" t="n"/>
      <c r="B1575" s="17" t="n"/>
      <c r="C1575" s="18" t="n"/>
      <c r="D1575" s="19" t="n"/>
      <c r="E1575" s="21" t="n"/>
      <c r="F1575" s="11">
        <f>IF(AND(B1575="",C1575="",D1575=""),"",IF(NOT(ISNUMBER(B1575)),"Needs a date",IF(D1575="","Needs the job",IF(AND(C1575&lt;&gt;"",C1575&lt;&gt;"All beds",COUNTIF(Beds!$B$6:$B$35,C1575)=0),"Not on Beds",""))))</f>
        <v/>
      </c>
      <c r="G1575" s="1">
        <f>IF(ISNUMBER(B1575),INT(B1575),0)</f>
        <v/>
      </c>
      <c r="H1575">
        <f>IF(AND(G1575&gt;0,D1575="Water",OR(C1575="",C1575="All beds")),G1575,0)</f>
        <v/>
      </c>
    </row>
    <row r="1576">
      <c r="A1576" s="1" t="n"/>
      <c r="B1576" s="17" t="n"/>
      <c r="C1576" s="18" t="n"/>
      <c r="D1576" s="19" t="n"/>
      <c r="E1576" s="21" t="n"/>
      <c r="F1576" s="11">
        <f>IF(AND(B1576="",C1576="",D1576=""),"",IF(NOT(ISNUMBER(B1576)),"Needs a date",IF(D1576="","Needs the job",IF(AND(C1576&lt;&gt;"",C1576&lt;&gt;"All beds",COUNTIF(Beds!$B$6:$B$35,C1576)=0),"Not on Beds",""))))</f>
        <v/>
      </c>
      <c r="G1576" s="1">
        <f>IF(ISNUMBER(B1576),INT(B1576),0)</f>
        <v/>
      </c>
      <c r="H1576">
        <f>IF(AND(G1576&gt;0,D1576="Water",OR(C1576="",C1576="All beds")),G1576,0)</f>
        <v/>
      </c>
    </row>
    <row r="1577">
      <c r="A1577" s="1" t="n"/>
      <c r="B1577" s="17" t="n"/>
      <c r="C1577" s="18" t="n"/>
      <c r="D1577" s="19" t="n"/>
      <c r="E1577" s="21" t="n"/>
      <c r="F1577" s="11">
        <f>IF(AND(B1577="",C1577="",D1577=""),"",IF(NOT(ISNUMBER(B1577)),"Needs a date",IF(D1577="","Needs the job",IF(AND(C1577&lt;&gt;"",C1577&lt;&gt;"All beds",COUNTIF(Beds!$B$6:$B$35,C1577)=0),"Not on Beds",""))))</f>
        <v/>
      </c>
      <c r="G1577" s="1">
        <f>IF(ISNUMBER(B1577),INT(B1577),0)</f>
        <v/>
      </c>
      <c r="H1577">
        <f>IF(AND(G1577&gt;0,D1577="Water",OR(C1577="",C1577="All beds")),G1577,0)</f>
        <v/>
      </c>
    </row>
    <row r="1578">
      <c r="A1578" s="1" t="n"/>
      <c r="B1578" s="17" t="n"/>
      <c r="C1578" s="18" t="n"/>
      <c r="D1578" s="19" t="n"/>
      <c r="E1578" s="21" t="n"/>
      <c r="F1578" s="11">
        <f>IF(AND(B1578="",C1578="",D1578=""),"",IF(NOT(ISNUMBER(B1578)),"Needs a date",IF(D1578="","Needs the job",IF(AND(C1578&lt;&gt;"",C1578&lt;&gt;"All beds",COUNTIF(Beds!$B$6:$B$35,C1578)=0),"Not on Beds",""))))</f>
        <v/>
      </c>
      <c r="G1578" s="1">
        <f>IF(ISNUMBER(B1578),INT(B1578),0)</f>
        <v/>
      </c>
      <c r="H1578">
        <f>IF(AND(G1578&gt;0,D1578="Water",OR(C1578="",C1578="All beds")),G1578,0)</f>
        <v/>
      </c>
    </row>
    <row r="1579">
      <c r="A1579" s="1" t="n"/>
      <c r="B1579" s="17" t="n"/>
      <c r="C1579" s="18" t="n"/>
      <c r="D1579" s="19" t="n"/>
      <c r="E1579" s="21" t="n"/>
      <c r="F1579" s="11">
        <f>IF(AND(B1579="",C1579="",D1579=""),"",IF(NOT(ISNUMBER(B1579)),"Needs a date",IF(D1579="","Needs the job",IF(AND(C1579&lt;&gt;"",C1579&lt;&gt;"All beds",COUNTIF(Beds!$B$6:$B$35,C1579)=0),"Not on Beds",""))))</f>
        <v/>
      </c>
      <c r="G1579" s="1">
        <f>IF(ISNUMBER(B1579),INT(B1579),0)</f>
        <v/>
      </c>
      <c r="H1579">
        <f>IF(AND(G1579&gt;0,D1579="Water",OR(C1579="",C1579="All beds")),G1579,0)</f>
        <v/>
      </c>
    </row>
    <row r="1580">
      <c r="A1580" s="1" t="n"/>
      <c r="B1580" s="17" t="n"/>
      <c r="C1580" s="18" t="n"/>
      <c r="D1580" s="19" t="n"/>
      <c r="E1580" s="21" t="n"/>
      <c r="F1580" s="11">
        <f>IF(AND(B1580="",C1580="",D1580=""),"",IF(NOT(ISNUMBER(B1580)),"Needs a date",IF(D1580="","Needs the job",IF(AND(C1580&lt;&gt;"",C1580&lt;&gt;"All beds",COUNTIF(Beds!$B$6:$B$35,C1580)=0),"Not on Beds",""))))</f>
        <v/>
      </c>
      <c r="G1580" s="1">
        <f>IF(ISNUMBER(B1580),INT(B1580),0)</f>
        <v/>
      </c>
      <c r="H1580">
        <f>IF(AND(G1580&gt;0,D1580="Water",OR(C1580="",C1580="All beds")),G1580,0)</f>
        <v/>
      </c>
    </row>
    <row r="1581">
      <c r="A1581" s="1" t="n"/>
      <c r="B1581" s="17" t="n"/>
      <c r="C1581" s="18" t="n"/>
      <c r="D1581" s="19" t="n"/>
      <c r="E1581" s="21" t="n"/>
      <c r="F1581" s="11">
        <f>IF(AND(B1581="",C1581="",D1581=""),"",IF(NOT(ISNUMBER(B1581)),"Needs a date",IF(D1581="","Needs the job",IF(AND(C1581&lt;&gt;"",C1581&lt;&gt;"All beds",COUNTIF(Beds!$B$6:$B$35,C1581)=0),"Not on Beds",""))))</f>
        <v/>
      </c>
      <c r="G1581" s="1">
        <f>IF(ISNUMBER(B1581),INT(B1581),0)</f>
        <v/>
      </c>
      <c r="H1581">
        <f>IF(AND(G1581&gt;0,D1581="Water",OR(C1581="",C1581="All beds")),G1581,0)</f>
        <v/>
      </c>
    </row>
    <row r="1582">
      <c r="A1582" s="1" t="n"/>
      <c r="B1582" s="17" t="n"/>
      <c r="C1582" s="18" t="n"/>
      <c r="D1582" s="19" t="n"/>
      <c r="E1582" s="21" t="n"/>
      <c r="F1582" s="11">
        <f>IF(AND(B1582="",C1582="",D1582=""),"",IF(NOT(ISNUMBER(B1582)),"Needs a date",IF(D1582="","Needs the job",IF(AND(C1582&lt;&gt;"",C1582&lt;&gt;"All beds",COUNTIF(Beds!$B$6:$B$35,C1582)=0),"Not on Beds",""))))</f>
        <v/>
      </c>
      <c r="G1582" s="1">
        <f>IF(ISNUMBER(B1582),INT(B1582),0)</f>
        <v/>
      </c>
      <c r="H1582">
        <f>IF(AND(G1582&gt;0,D1582="Water",OR(C1582="",C1582="All beds")),G1582,0)</f>
        <v/>
      </c>
    </row>
    <row r="1583">
      <c r="A1583" s="1" t="n"/>
      <c r="B1583" s="17" t="n"/>
      <c r="C1583" s="18" t="n"/>
      <c r="D1583" s="19" t="n"/>
      <c r="E1583" s="21" t="n"/>
      <c r="F1583" s="11">
        <f>IF(AND(B1583="",C1583="",D1583=""),"",IF(NOT(ISNUMBER(B1583)),"Needs a date",IF(D1583="","Needs the job",IF(AND(C1583&lt;&gt;"",C1583&lt;&gt;"All beds",COUNTIF(Beds!$B$6:$B$35,C1583)=0),"Not on Beds",""))))</f>
        <v/>
      </c>
      <c r="G1583" s="1">
        <f>IF(ISNUMBER(B1583),INT(B1583),0)</f>
        <v/>
      </c>
      <c r="H1583">
        <f>IF(AND(G1583&gt;0,D1583="Water",OR(C1583="",C1583="All beds")),G1583,0)</f>
        <v/>
      </c>
    </row>
    <row r="1584">
      <c r="A1584" s="1" t="n"/>
      <c r="B1584" s="17" t="n"/>
      <c r="C1584" s="18" t="n"/>
      <c r="D1584" s="19" t="n"/>
      <c r="E1584" s="21" t="n"/>
      <c r="F1584" s="11">
        <f>IF(AND(B1584="",C1584="",D1584=""),"",IF(NOT(ISNUMBER(B1584)),"Needs a date",IF(D1584="","Needs the job",IF(AND(C1584&lt;&gt;"",C1584&lt;&gt;"All beds",COUNTIF(Beds!$B$6:$B$35,C1584)=0),"Not on Beds",""))))</f>
        <v/>
      </c>
      <c r="G1584" s="1">
        <f>IF(ISNUMBER(B1584),INT(B1584),0)</f>
        <v/>
      </c>
      <c r="H1584">
        <f>IF(AND(G1584&gt;0,D1584="Water",OR(C1584="",C1584="All beds")),G1584,0)</f>
        <v/>
      </c>
    </row>
    <row r="1585">
      <c r="A1585" s="1" t="n"/>
      <c r="B1585" s="17" t="n"/>
      <c r="C1585" s="18" t="n"/>
      <c r="D1585" s="19" t="n"/>
      <c r="E1585" s="21" t="n"/>
      <c r="F1585" s="11">
        <f>IF(AND(B1585="",C1585="",D1585=""),"",IF(NOT(ISNUMBER(B1585)),"Needs a date",IF(D1585="","Needs the job",IF(AND(C1585&lt;&gt;"",C1585&lt;&gt;"All beds",COUNTIF(Beds!$B$6:$B$35,C1585)=0),"Not on Beds",""))))</f>
        <v/>
      </c>
      <c r="G1585" s="1">
        <f>IF(ISNUMBER(B1585),INT(B1585),0)</f>
        <v/>
      </c>
      <c r="H1585">
        <f>IF(AND(G1585&gt;0,D1585="Water",OR(C1585="",C1585="All beds")),G1585,0)</f>
        <v/>
      </c>
    </row>
    <row r="1586">
      <c r="A1586" s="1" t="n"/>
      <c r="B1586" s="17" t="n"/>
      <c r="C1586" s="18" t="n"/>
      <c r="D1586" s="19" t="n"/>
      <c r="E1586" s="21" t="n"/>
      <c r="F1586" s="11">
        <f>IF(AND(B1586="",C1586="",D1586=""),"",IF(NOT(ISNUMBER(B1586)),"Needs a date",IF(D1586="","Needs the job",IF(AND(C1586&lt;&gt;"",C1586&lt;&gt;"All beds",COUNTIF(Beds!$B$6:$B$35,C1586)=0),"Not on Beds",""))))</f>
        <v/>
      </c>
      <c r="G1586" s="1">
        <f>IF(ISNUMBER(B1586),INT(B1586),0)</f>
        <v/>
      </c>
      <c r="H1586">
        <f>IF(AND(G1586&gt;0,D1586="Water",OR(C1586="",C1586="All beds")),G1586,0)</f>
        <v/>
      </c>
    </row>
    <row r="1587">
      <c r="A1587" s="1" t="n"/>
      <c r="B1587" s="17" t="n"/>
      <c r="C1587" s="18" t="n"/>
      <c r="D1587" s="19" t="n"/>
      <c r="E1587" s="21" t="n"/>
      <c r="F1587" s="11">
        <f>IF(AND(B1587="",C1587="",D1587=""),"",IF(NOT(ISNUMBER(B1587)),"Needs a date",IF(D1587="","Needs the job",IF(AND(C1587&lt;&gt;"",C1587&lt;&gt;"All beds",COUNTIF(Beds!$B$6:$B$35,C1587)=0),"Not on Beds",""))))</f>
        <v/>
      </c>
      <c r="G1587" s="1">
        <f>IF(ISNUMBER(B1587),INT(B1587),0)</f>
        <v/>
      </c>
      <c r="H1587">
        <f>IF(AND(G1587&gt;0,D1587="Water",OR(C1587="",C1587="All beds")),G1587,0)</f>
        <v/>
      </c>
    </row>
    <row r="1588">
      <c r="A1588" s="1" t="n"/>
      <c r="B1588" s="17" t="n"/>
      <c r="C1588" s="18" t="n"/>
      <c r="D1588" s="19" t="n"/>
      <c r="E1588" s="21" t="n"/>
      <c r="F1588" s="11">
        <f>IF(AND(B1588="",C1588="",D1588=""),"",IF(NOT(ISNUMBER(B1588)),"Needs a date",IF(D1588="","Needs the job",IF(AND(C1588&lt;&gt;"",C1588&lt;&gt;"All beds",COUNTIF(Beds!$B$6:$B$35,C1588)=0),"Not on Beds",""))))</f>
        <v/>
      </c>
      <c r="G1588" s="1">
        <f>IF(ISNUMBER(B1588),INT(B1588),0)</f>
        <v/>
      </c>
      <c r="H1588">
        <f>IF(AND(G1588&gt;0,D1588="Water",OR(C1588="",C1588="All beds")),G1588,0)</f>
        <v/>
      </c>
    </row>
    <row r="1589">
      <c r="A1589" s="1" t="n"/>
      <c r="B1589" s="17" t="n"/>
      <c r="C1589" s="18" t="n"/>
      <c r="D1589" s="19" t="n"/>
      <c r="E1589" s="21" t="n"/>
      <c r="F1589" s="11">
        <f>IF(AND(B1589="",C1589="",D1589=""),"",IF(NOT(ISNUMBER(B1589)),"Needs a date",IF(D1589="","Needs the job",IF(AND(C1589&lt;&gt;"",C1589&lt;&gt;"All beds",COUNTIF(Beds!$B$6:$B$35,C1589)=0),"Not on Beds",""))))</f>
        <v/>
      </c>
      <c r="G1589" s="1">
        <f>IF(ISNUMBER(B1589),INT(B1589),0)</f>
        <v/>
      </c>
      <c r="H1589">
        <f>IF(AND(G1589&gt;0,D1589="Water",OR(C1589="",C1589="All beds")),G1589,0)</f>
        <v/>
      </c>
    </row>
    <row r="1590">
      <c r="A1590" s="1" t="n"/>
      <c r="B1590" s="17" t="n"/>
      <c r="C1590" s="18" t="n"/>
      <c r="D1590" s="19" t="n"/>
      <c r="E1590" s="21" t="n"/>
      <c r="F1590" s="11">
        <f>IF(AND(B1590="",C1590="",D1590=""),"",IF(NOT(ISNUMBER(B1590)),"Needs a date",IF(D1590="","Needs the job",IF(AND(C1590&lt;&gt;"",C1590&lt;&gt;"All beds",COUNTIF(Beds!$B$6:$B$35,C1590)=0),"Not on Beds",""))))</f>
        <v/>
      </c>
      <c r="G1590" s="1">
        <f>IF(ISNUMBER(B1590),INT(B1590),0)</f>
        <v/>
      </c>
      <c r="H1590">
        <f>IF(AND(G1590&gt;0,D1590="Water",OR(C1590="",C1590="All beds")),G1590,0)</f>
        <v/>
      </c>
    </row>
    <row r="1591">
      <c r="A1591" s="1" t="n"/>
      <c r="B1591" s="17" t="n"/>
      <c r="C1591" s="18" t="n"/>
      <c r="D1591" s="19" t="n"/>
      <c r="E1591" s="21" t="n"/>
      <c r="F1591" s="11">
        <f>IF(AND(B1591="",C1591="",D1591=""),"",IF(NOT(ISNUMBER(B1591)),"Needs a date",IF(D1591="","Needs the job",IF(AND(C1591&lt;&gt;"",C1591&lt;&gt;"All beds",COUNTIF(Beds!$B$6:$B$35,C1591)=0),"Not on Beds",""))))</f>
        <v/>
      </c>
      <c r="G1591" s="1">
        <f>IF(ISNUMBER(B1591),INT(B1591),0)</f>
        <v/>
      </c>
      <c r="H1591">
        <f>IF(AND(G1591&gt;0,D1591="Water",OR(C1591="",C1591="All beds")),G1591,0)</f>
        <v/>
      </c>
    </row>
    <row r="1592">
      <c r="A1592" s="1" t="n"/>
      <c r="B1592" s="17" t="n"/>
      <c r="C1592" s="18" t="n"/>
      <c r="D1592" s="19" t="n"/>
      <c r="E1592" s="21" t="n"/>
      <c r="F1592" s="11">
        <f>IF(AND(B1592="",C1592="",D1592=""),"",IF(NOT(ISNUMBER(B1592)),"Needs a date",IF(D1592="","Needs the job",IF(AND(C1592&lt;&gt;"",C1592&lt;&gt;"All beds",COUNTIF(Beds!$B$6:$B$35,C1592)=0),"Not on Beds",""))))</f>
        <v/>
      </c>
      <c r="G1592" s="1">
        <f>IF(ISNUMBER(B1592),INT(B1592),0)</f>
        <v/>
      </c>
      <c r="H1592">
        <f>IF(AND(G1592&gt;0,D1592="Water",OR(C1592="",C1592="All beds")),G1592,0)</f>
        <v/>
      </c>
    </row>
    <row r="1593">
      <c r="A1593" s="1" t="n"/>
      <c r="B1593" s="17" t="n"/>
      <c r="C1593" s="18" t="n"/>
      <c r="D1593" s="19" t="n"/>
      <c r="E1593" s="21" t="n"/>
      <c r="F1593" s="11">
        <f>IF(AND(B1593="",C1593="",D1593=""),"",IF(NOT(ISNUMBER(B1593)),"Needs a date",IF(D1593="","Needs the job",IF(AND(C1593&lt;&gt;"",C1593&lt;&gt;"All beds",COUNTIF(Beds!$B$6:$B$35,C1593)=0),"Not on Beds",""))))</f>
        <v/>
      </c>
      <c r="G1593" s="1">
        <f>IF(ISNUMBER(B1593),INT(B1593),0)</f>
        <v/>
      </c>
      <c r="H1593">
        <f>IF(AND(G1593&gt;0,D1593="Water",OR(C1593="",C1593="All beds")),G1593,0)</f>
        <v/>
      </c>
    </row>
    <row r="1594">
      <c r="A1594" s="1" t="n"/>
      <c r="B1594" s="17" t="n"/>
      <c r="C1594" s="18" t="n"/>
      <c r="D1594" s="19" t="n"/>
      <c r="E1594" s="21" t="n"/>
      <c r="F1594" s="11">
        <f>IF(AND(B1594="",C1594="",D1594=""),"",IF(NOT(ISNUMBER(B1594)),"Needs a date",IF(D1594="","Needs the job",IF(AND(C1594&lt;&gt;"",C1594&lt;&gt;"All beds",COUNTIF(Beds!$B$6:$B$35,C1594)=0),"Not on Beds",""))))</f>
        <v/>
      </c>
      <c r="G1594" s="1">
        <f>IF(ISNUMBER(B1594),INT(B1594),0)</f>
        <v/>
      </c>
      <c r="H1594">
        <f>IF(AND(G1594&gt;0,D1594="Water",OR(C1594="",C1594="All beds")),G1594,0)</f>
        <v/>
      </c>
    </row>
    <row r="1595">
      <c r="A1595" s="1" t="n"/>
      <c r="B1595" s="17" t="n"/>
      <c r="C1595" s="18" t="n"/>
      <c r="D1595" s="19" t="n"/>
      <c r="E1595" s="21" t="n"/>
      <c r="F1595" s="11">
        <f>IF(AND(B1595="",C1595="",D1595=""),"",IF(NOT(ISNUMBER(B1595)),"Needs a date",IF(D1595="","Needs the job",IF(AND(C1595&lt;&gt;"",C1595&lt;&gt;"All beds",COUNTIF(Beds!$B$6:$B$35,C1595)=0),"Not on Beds",""))))</f>
        <v/>
      </c>
      <c r="G1595" s="1">
        <f>IF(ISNUMBER(B1595),INT(B1595),0)</f>
        <v/>
      </c>
      <c r="H1595">
        <f>IF(AND(G1595&gt;0,D1595="Water",OR(C1595="",C1595="All beds")),G1595,0)</f>
        <v/>
      </c>
    </row>
    <row r="1596">
      <c r="A1596" s="1" t="n"/>
      <c r="B1596" s="17" t="n"/>
      <c r="C1596" s="18" t="n"/>
      <c r="D1596" s="19" t="n"/>
      <c r="E1596" s="21" t="n"/>
      <c r="F1596" s="11">
        <f>IF(AND(B1596="",C1596="",D1596=""),"",IF(NOT(ISNUMBER(B1596)),"Needs a date",IF(D1596="","Needs the job",IF(AND(C1596&lt;&gt;"",C1596&lt;&gt;"All beds",COUNTIF(Beds!$B$6:$B$35,C1596)=0),"Not on Beds",""))))</f>
        <v/>
      </c>
      <c r="G1596" s="1">
        <f>IF(ISNUMBER(B1596),INT(B1596),0)</f>
        <v/>
      </c>
      <c r="H1596">
        <f>IF(AND(G1596&gt;0,D1596="Water",OR(C1596="",C1596="All beds")),G1596,0)</f>
        <v/>
      </c>
    </row>
    <row r="1597">
      <c r="A1597" s="1" t="n"/>
      <c r="B1597" s="17" t="n"/>
      <c r="C1597" s="18" t="n"/>
      <c r="D1597" s="19" t="n"/>
      <c r="E1597" s="21" t="n"/>
      <c r="F1597" s="11">
        <f>IF(AND(B1597="",C1597="",D1597=""),"",IF(NOT(ISNUMBER(B1597)),"Needs a date",IF(D1597="","Needs the job",IF(AND(C1597&lt;&gt;"",C1597&lt;&gt;"All beds",COUNTIF(Beds!$B$6:$B$35,C1597)=0),"Not on Beds",""))))</f>
        <v/>
      </c>
      <c r="G1597" s="1">
        <f>IF(ISNUMBER(B1597),INT(B1597),0)</f>
        <v/>
      </c>
      <c r="H1597">
        <f>IF(AND(G1597&gt;0,D1597="Water",OR(C1597="",C1597="All beds")),G1597,0)</f>
        <v/>
      </c>
    </row>
    <row r="1598">
      <c r="A1598" s="1" t="n"/>
      <c r="B1598" s="17" t="n"/>
      <c r="C1598" s="18" t="n"/>
      <c r="D1598" s="19" t="n"/>
      <c r="E1598" s="21" t="n"/>
      <c r="F1598" s="11">
        <f>IF(AND(B1598="",C1598="",D1598=""),"",IF(NOT(ISNUMBER(B1598)),"Needs a date",IF(D1598="","Needs the job",IF(AND(C1598&lt;&gt;"",C1598&lt;&gt;"All beds",COUNTIF(Beds!$B$6:$B$35,C1598)=0),"Not on Beds",""))))</f>
        <v/>
      </c>
      <c r="G1598" s="1">
        <f>IF(ISNUMBER(B1598),INT(B1598),0)</f>
        <v/>
      </c>
      <c r="H1598">
        <f>IF(AND(G1598&gt;0,D1598="Water",OR(C1598="",C1598="All beds")),G1598,0)</f>
        <v/>
      </c>
    </row>
    <row r="1599">
      <c r="A1599" s="1" t="n"/>
      <c r="B1599" s="17" t="n"/>
      <c r="C1599" s="18" t="n"/>
      <c r="D1599" s="19" t="n"/>
      <c r="E1599" s="21" t="n"/>
      <c r="F1599" s="11">
        <f>IF(AND(B1599="",C1599="",D1599=""),"",IF(NOT(ISNUMBER(B1599)),"Needs a date",IF(D1599="","Needs the job",IF(AND(C1599&lt;&gt;"",C1599&lt;&gt;"All beds",COUNTIF(Beds!$B$6:$B$35,C1599)=0),"Not on Beds",""))))</f>
        <v/>
      </c>
      <c r="G1599" s="1">
        <f>IF(ISNUMBER(B1599),INT(B1599),0)</f>
        <v/>
      </c>
      <c r="H1599">
        <f>IF(AND(G1599&gt;0,D1599="Water",OR(C1599="",C1599="All beds")),G1599,0)</f>
        <v/>
      </c>
    </row>
    <row r="1600">
      <c r="A1600" s="1" t="n"/>
      <c r="B1600" s="17" t="n"/>
      <c r="C1600" s="18" t="n"/>
      <c r="D1600" s="19" t="n"/>
      <c r="E1600" s="21" t="n"/>
      <c r="F1600" s="11">
        <f>IF(AND(B1600="",C1600="",D1600=""),"",IF(NOT(ISNUMBER(B1600)),"Needs a date",IF(D1600="","Needs the job",IF(AND(C1600&lt;&gt;"",C1600&lt;&gt;"All beds",COUNTIF(Beds!$B$6:$B$35,C1600)=0),"Not on Beds",""))))</f>
        <v/>
      </c>
      <c r="G1600" s="1">
        <f>IF(ISNUMBER(B1600),INT(B1600),0)</f>
        <v/>
      </c>
      <c r="H1600">
        <f>IF(AND(G1600&gt;0,D1600="Water",OR(C1600="",C1600="All beds")),G1600,0)</f>
        <v/>
      </c>
    </row>
    <row r="1601">
      <c r="A1601" s="1" t="n"/>
      <c r="B1601" s="17" t="n"/>
      <c r="C1601" s="18" t="n"/>
      <c r="D1601" s="19" t="n"/>
      <c r="E1601" s="21" t="n"/>
      <c r="F1601" s="11">
        <f>IF(AND(B1601="",C1601="",D1601=""),"",IF(NOT(ISNUMBER(B1601)),"Needs a date",IF(D1601="","Needs the job",IF(AND(C1601&lt;&gt;"",C1601&lt;&gt;"All beds",COUNTIF(Beds!$B$6:$B$35,C1601)=0),"Not on Beds",""))))</f>
        <v/>
      </c>
      <c r="G1601" s="1">
        <f>IF(ISNUMBER(B1601),INT(B1601),0)</f>
        <v/>
      </c>
      <c r="H1601">
        <f>IF(AND(G1601&gt;0,D1601="Water",OR(C1601="",C1601="All beds")),G1601,0)</f>
        <v/>
      </c>
    </row>
    <row r="1602">
      <c r="A1602" s="1" t="n"/>
      <c r="B1602" s="17" t="n"/>
      <c r="C1602" s="18" t="n"/>
      <c r="D1602" s="19" t="n"/>
      <c r="E1602" s="21" t="n"/>
      <c r="F1602" s="11">
        <f>IF(AND(B1602="",C1602="",D1602=""),"",IF(NOT(ISNUMBER(B1602)),"Needs a date",IF(D1602="","Needs the job",IF(AND(C1602&lt;&gt;"",C1602&lt;&gt;"All beds",COUNTIF(Beds!$B$6:$B$35,C1602)=0),"Not on Beds",""))))</f>
        <v/>
      </c>
      <c r="G1602" s="1">
        <f>IF(ISNUMBER(B1602),INT(B1602),0)</f>
        <v/>
      </c>
      <c r="H1602">
        <f>IF(AND(G1602&gt;0,D1602="Water",OR(C1602="",C1602="All beds")),G1602,0)</f>
        <v/>
      </c>
    </row>
    <row r="1603">
      <c r="A1603" s="1" t="n"/>
      <c r="B1603" s="17" t="n"/>
      <c r="C1603" s="18" t="n"/>
      <c r="D1603" s="19" t="n"/>
      <c r="E1603" s="21" t="n"/>
      <c r="F1603" s="11">
        <f>IF(AND(B1603="",C1603="",D1603=""),"",IF(NOT(ISNUMBER(B1603)),"Needs a date",IF(D1603="","Needs the job",IF(AND(C1603&lt;&gt;"",C1603&lt;&gt;"All beds",COUNTIF(Beds!$B$6:$B$35,C1603)=0),"Not on Beds",""))))</f>
        <v/>
      </c>
      <c r="G1603" s="1">
        <f>IF(ISNUMBER(B1603),INT(B1603),0)</f>
        <v/>
      </c>
      <c r="H1603">
        <f>IF(AND(G1603&gt;0,D1603="Water",OR(C1603="",C1603="All beds")),G1603,0)</f>
        <v/>
      </c>
    </row>
    <row r="1604">
      <c r="A1604" s="1" t="n"/>
      <c r="B1604" s="17" t="n"/>
      <c r="C1604" s="18" t="n"/>
      <c r="D1604" s="19" t="n"/>
      <c r="E1604" s="21" t="n"/>
      <c r="F1604" s="11">
        <f>IF(AND(B1604="",C1604="",D1604=""),"",IF(NOT(ISNUMBER(B1604)),"Needs a date",IF(D1604="","Needs the job",IF(AND(C1604&lt;&gt;"",C1604&lt;&gt;"All beds",COUNTIF(Beds!$B$6:$B$35,C1604)=0),"Not on Beds",""))))</f>
        <v/>
      </c>
      <c r="G1604" s="1">
        <f>IF(ISNUMBER(B1604),INT(B1604),0)</f>
        <v/>
      </c>
      <c r="H1604">
        <f>IF(AND(G1604&gt;0,D1604="Water",OR(C1604="",C1604="All beds")),G1604,0)</f>
        <v/>
      </c>
    </row>
    <row r="1605">
      <c r="A1605" s="1" t="n"/>
      <c r="B1605" s="17" t="n"/>
      <c r="C1605" s="18" t="n"/>
      <c r="D1605" s="19" t="n"/>
      <c r="E1605" s="21" t="n"/>
      <c r="F1605" s="11">
        <f>IF(AND(B1605="",C1605="",D1605=""),"",IF(NOT(ISNUMBER(B1605)),"Needs a date",IF(D1605="","Needs the job",IF(AND(C1605&lt;&gt;"",C1605&lt;&gt;"All beds",COUNTIF(Beds!$B$6:$B$35,C1605)=0),"Not on Beds",""))))</f>
        <v/>
      </c>
      <c r="G1605" s="1">
        <f>IF(ISNUMBER(B1605),INT(B1605),0)</f>
        <v/>
      </c>
      <c r="H1605">
        <f>IF(AND(G1605&gt;0,D1605="Water",OR(C1605="",C1605="All beds")),G1605,0)</f>
        <v/>
      </c>
    </row>
    <row r="1606">
      <c r="A1606" s="1" t="n"/>
      <c r="B1606" s="17" t="n"/>
      <c r="C1606" s="18" t="n"/>
      <c r="D1606" s="19" t="n"/>
      <c r="E1606" s="21" t="n"/>
      <c r="F1606" s="11">
        <f>IF(AND(B1606="",C1606="",D1606=""),"",IF(NOT(ISNUMBER(B1606)),"Needs a date",IF(D1606="","Needs the job",IF(AND(C1606&lt;&gt;"",C1606&lt;&gt;"All beds",COUNTIF(Beds!$B$6:$B$35,C1606)=0),"Not on Beds",""))))</f>
        <v/>
      </c>
      <c r="G1606" s="1">
        <f>IF(ISNUMBER(B1606),INT(B1606),0)</f>
        <v/>
      </c>
      <c r="H1606">
        <f>IF(AND(G1606&gt;0,D1606="Water",OR(C1606="",C1606="All beds")),G1606,0)</f>
        <v/>
      </c>
    </row>
    <row r="1607">
      <c r="A1607" s="1" t="n"/>
      <c r="B1607" s="17" t="n"/>
      <c r="C1607" s="18" t="n"/>
      <c r="D1607" s="19" t="n"/>
      <c r="E1607" s="21" t="n"/>
      <c r="F1607" s="11">
        <f>IF(AND(B1607="",C1607="",D1607=""),"",IF(NOT(ISNUMBER(B1607)),"Needs a date",IF(D1607="","Needs the job",IF(AND(C1607&lt;&gt;"",C1607&lt;&gt;"All beds",COUNTIF(Beds!$B$6:$B$35,C1607)=0),"Not on Beds",""))))</f>
        <v/>
      </c>
      <c r="G1607" s="1">
        <f>IF(ISNUMBER(B1607),INT(B1607),0)</f>
        <v/>
      </c>
      <c r="H1607">
        <f>IF(AND(G1607&gt;0,D1607="Water",OR(C1607="",C1607="All beds")),G1607,0)</f>
        <v/>
      </c>
    </row>
    <row r="1608">
      <c r="A1608" s="1" t="n"/>
      <c r="B1608" s="17" t="n"/>
      <c r="C1608" s="18" t="n"/>
      <c r="D1608" s="19" t="n"/>
      <c r="E1608" s="21" t="n"/>
      <c r="F1608" s="11">
        <f>IF(AND(B1608="",C1608="",D1608=""),"",IF(NOT(ISNUMBER(B1608)),"Needs a date",IF(D1608="","Needs the job",IF(AND(C1608&lt;&gt;"",C1608&lt;&gt;"All beds",COUNTIF(Beds!$B$6:$B$35,C1608)=0),"Not on Beds",""))))</f>
        <v/>
      </c>
      <c r="G1608" s="1">
        <f>IF(ISNUMBER(B1608),INT(B1608),0)</f>
        <v/>
      </c>
      <c r="H1608">
        <f>IF(AND(G1608&gt;0,D1608="Water",OR(C1608="",C1608="All beds")),G1608,0)</f>
        <v/>
      </c>
    </row>
    <row r="1609">
      <c r="A1609" s="1" t="n"/>
      <c r="B1609" s="17" t="n"/>
      <c r="C1609" s="18" t="n"/>
      <c r="D1609" s="19" t="n"/>
      <c r="E1609" s="21" t="n"/>
      <c r="F1609" s="11">
        <f>IF(AND(B1609="",C1609="",D1609=""),"",IF(NOT(ISNUMBER(B1609)),"Needs a date",IF(D1609="","Needs the job",IF(AND(C1609&lt;&gt;"",C1609&lt;&gt;"All beds",COUNTIF(Beds!$B$6:$B$35,C1609)=0),"Not on Beds",""))))</f>
        <v/>
      </c>
      <c r="G1609" s="1">
        <f>IF(ISNUMBER(B1609),INT(B1609),0)</f>
        <v/>
      </c>
      <c r="H1609">
        <f>IF(AND(G1609&gt;0,D1609="Water",OR(C1609="",C1609="All beds")),G1609,0)</f>
        <v/>
      </c>
    </row>
    <row r="1610">
      <c r="A1610" s="1" t="n"/>
      <c r="B1610" s="17" t="n"/>
      <c r="C1610" s="18" t="n"/>
      <c r="D1610" s="19" t="n"/>
      <c r="E1610" s="21" t="n"/>
      <c r="F1610" s="11">
        <f>IF(AND(B1610="",C1610="",D1610=""),"",IF(NOT(ISNUMBER(B1610)),"Needs a date",IF(D1610="","Needs the job",IF(AND(C1610&lt;&gt;"",C1610&lt;&gt;"All beds",COUNTIF(Beds!$B$6:$B$35,C1610)=0),"Not on Beds",""))))</f>
        <v/>
      </c>
      <c r="G1610" s="1">
        <f>IF(ISNUMBER(B1610),INT(B1610),0)</f>
        <v/>
      </c>
      <c r="H1610">
        <f>IF(AND(G1610&gt;0,D1610="Water",OR(C1610="",C1610="All beds")),G1610,0)</f>
        <v/>
      </c>
    </row>
    <row r="1611">
      <c r="A1611" s="1" t="n"/>
      <c r="B1611" s="17" t="n"/>
      <c r="C1611" s="18" t="n"/>
      <c r="D1611" s="19" t="n"/>
      <c r="E1611" s="21" t="n"/>
      <c r="F1611" s="11">
        <f>IF(AND(B1611="",C1611="",D1611=""),"",IF(NOT(ISNUMBER(B1611)),"Needs a date",IF(D1611="","Needs the job",IF(AND(C1611&lt;&gt;"",C1611&lt;&gt;"All beds",COUNTIF(Beds!$B$6:$B$35,C1611)=0),"Not on Beds",""))))</f>
        <v/>
      </c>
      <c r="G1611" s="1">
        <f>IF(ISNUMBER(B1611),INT(B1611),0)</f>
        <v/>
      </c>
      <c r="H1611">
        <f>IF(AND(G1611&gt;0,D1611="Water",OR(C1611="",C1611="All beds")),G1611,0)</f>
        <v/>
      </c>
    </row>
    <row r="1612">
      <c r="A1612" s="1" t="n"/>
      <c r="B1612" s="17" t="n"/>
      <c r="C1612" s="18" t="n"/>
      <c r="D1612" s="19" t="n"/>
      <c r="E1612" s="21" t="n"/>
      <c r="F1612" s="11">
        <f>IF(AND(B1612="",C1612="",D1612=""),"",IF(NOT(ISNUMBER(B1612)),"Needs a date",IF(D1612="","Needs the job",IF(AND(C1612&lt;&gt;"",C1612&lt;&gt;"All beds",COUNTIF(Beds!$B$6:$B$35,C1612)=0),"Not on Beds",""))))</f>
        <v/>
      </c>
      <c r="G1612" s="1">
        <f>IF(ISNUMBER(B1612),INT(B1612),0)</f>
        <v/>
      </c>
      <c r="H1612">
        <f>IF(AND(G1612&gt;0,D1612="Water",OR(C1612="",C1612="All beds")),G1612,0)</f>
        <v/>
      </c>
    </row>
    <row r="1613">
      <c r="A1613" s="1" t="n"/>
      <c r="B1613" s="17" t="n"/>
      <c r="C1613" s="18" t="n"/>
      <c r="D1613" s="19" t="n"/>
      <c r="E1613" s="21" t="n"/>
      <c r="F1613" s="11">
        <f>IF(AND(B1613="",C1613="",D1613=""),"",IF(NOT(ISNUMBER(B1613)),"Needs a date",IF(D1613="","Needs the job",IF(AND(C1613&lt;&gt;"",C1613&lt;&gt;"All beds",COUNTIF(Beds!$B$6:$B$35,C1613)=0),"Not on Beds",""))))</f>
        <v/>
      </c>
      <c r="G1613" s="1">
        <f>IF(ISNUMBER(B1613),INT(B1613),0)</f>
        <v/>
      </c>
      <c r="H1613">
        <f>IF(AND(G1613&gt;0,D1613="Water",OR(C1613="",C1613="All beds")),G1613,0)</f>
        <v/>
      </c>
    </row>
    <row r="1614">
      <c r="A1614" s="1" t="n"/>
      <c r="B1614" s="17" t="n"/>
      <c r="C1614" s="18" t="n"/>
      <c r="D1614" s="19" t="n"/>
      <c r="E1614" s="21" t="n"/>
      <c r="F1614" s="11">
        <f>IF(AND(B1614="",C1614="",D1614=""),"",IF(NOT(ISNUMBER(B1614)),"Needs a date",IF(D1614="","Needs the job",IF(AND(C1614&lt;&gt;"",C1614&lt;&gt;"All beds",COUNTIF(Beds!$B$6:$B$35,C1614)=0),"Not on Beds",""))))</f>
        <v/>
      </c>
      <c r="G1614" s="1">
        <f>IF(ISNUMBER(B1614),INT(B1614),0)</f>
        <v/>
      </c>
      <c r="H1614">
        <f>IF(AND(G1614&gt;0,D1614="Water",OR(C1614="",C1614="All beds")),G1614,0)</f>
        <v/>
      </c>
    </row>
    <row r="1615">
      <c r="A1615" s="1" t="n"/>
      <c r="B1615" s="17" t="n"/>
      <c r="C1615" s="18" t="n"/>
      <c r="D1615" s="19" t="n"/>
      <c r="E1615" s="21" t="n"/>
      <c r="F1615" s="11">
        <f>IF(AND(B1615="",C1615="",D1615=""),"",IF(NOT(ISNUMBER(B1615)),"Needs a date",IF(D1615="","Needs the job",IF(AND(C1615&lt;&gt;"",C1615&lt;&gt;"All beds",COUNTIF(Beds!$B$6:$B$35,C1615)=0),"Not on Beds",""))))</f>
        <v/>
      </c>
      <c r="G1615" s="1">
        <f>IF(ISNUMBER(B1615),INT(B1615),0)</f>
        <v/>
      </c>
      <c r="H1615">
        <f>IF(AND(G1615&gt;0,D1615="Water",OR(C1615="",C1615="All beds")),G1615,0)</f>
        <v/>
      </c>
    </row>
    <row r="1616">
      <c r="A1616" s="1" t="n"/>
      <c r="B1616" s="17" t="n"/>
      <c r="C1616" s="18" t="n"/>
      <c r="D1616" s="19" t="n"/>
      <c r="E1616" s="21" t="n"/>
      <c r="F1616" s="11">
        <f>IF(AND(B1616="",C1616="",D1616=""),"",IF(NOT(ISNUMBER(B1616)),"Needs a date",IF(D1616="","Needs the job",IF(AND(C1616&lt;&gt;"",C1616&lt;&gt;"All beds",COUNTIF(Beds!$B$6:$B$35,C1616)=0),"Not on Beds",""))))</f>
        <v/>
      </c>
      <c r="G1616" s="1">
        <f>IF(ISNUMBER(B1616),INT(B1616),0)</f>
        <v/>
      </c>
      <c r="H1616">
        <f>IF(AND(G1616&gt;0,D1616="Water",OR(C1616="",C1616="All beds")),G1616,0)</f>
        <v/>
      </c>
    </row>
    <row r="1617">
      <c r="A1617" s="1" t="n"/>
      <c r="B1617" s="17" t="n"/>
      <c r="C1617" s="18" t="n"/>
      <c r="D1617" s="19" t="n"/>
      <c r="E1617" s="21" t="n"/>
      <c r="F1617" s="11">
        <f>IF(AND(B1617="",C1617="",D1617=""),"",IF(NOT(ISNUMBER(B1617)),"Needs a date",IF(D1617="","Needs the job",IF(AND(C1617&lt;&gt;"",C1617&lt;&gt;"All beds",COUNTIF(Beds!$B$6:$B$35,C1617)=0),"Not on Beds",""))))</f>
        <v/>
      </c>
      <c r="G1617" s="1">
        <f>IF(ISNUMBER(B1617),INT(B1617),0)</f>
        <v/>
      </c>
      <c r="H1617">
        <f>IF(AND(G1617&gt;0,D1617="Water",OR(C1617="",C1617="All beds")),G1617,0)</f>
        <v/>
      </c>
    </row>
    <row r="1618">
      <c r="A1618" s="1" t="n"/>
      <c r="B1618" s="17" t="n"/>
      <c r="C1618" s="18" t="n"/>
      <c r="D1618" s="19" t="n"/>
      <c r="E1618" s="21" t="n"/>
      <c r="F1618" s="11">
        <f>IF(AND(B1618="",C1618="",D1618=""),"",IF(NOT(ISNUMBER(B1618)),"Needs a date",IF(D1618="","Needs the job",IF(AND(C1618&lt;&gt;"",C1618&lt;&gt;"All beds",COUNTIF(Beds!$B$6:$B$35,C1618)=0),"Not on Beds",""))))</f>
        <v/>
      </c>
      <c r="G1618" s="1">
        <f>IF(ISNUMBER(B1618),INT(B1618),0)</f>
        <v/>
      </c>
      <c r="H1618">
        <f>IF(AND(G1618&gt;0,D1618="Water",OR(C1618="",C1618="All beds")),G1618,0)</f>
        <v/>
      </c>
    </row>
    <row r="1619">
      <c r="A1619" s="1" t="n"/>
      <c r="B1619" s="17" t="n"/>
      <c r="C1619" s="18" t="n"/>
      <c r="D1619" s="19" t="n"/>
      <c r="E1619" s="21" t="n"/>
      <c r="F1619" s="11">
        <f>IF(AND(B1619="",C1619="",D1619=""),"",IF(NOT(ISNUMBER(B1619)),"Needs a date",IF(D1619="","Needs the job",IF(AND(C1619&lt;&gt;"",C1619&lt;&gt;"All beds",COUNTIF(Beds!$B$6:$B$35,C1619)=0),"Not on Beds",""))))</f>
        <v/>
      </c>
      <c r="G1619" s="1">
        <f>IF(ISNUMBER(B1619),INT(B1619),0)</f>
        <v/>
      </c>
      <c r="H1619">
        <f>IF(AND(G1619&gt;0,D1619="Water",OR(C1619="",C1619="All beds")),G1619,0)</f>
        <v/>
      </c>
    </row>
    <row r="1620">
      <c r="A1620" s="1" t="n"/>
      <c r="B1620" s="17" t="n"/>
      <c r="C1620" s="18" t="n"/>
      <c r="D1620" s="19" t="n"/>
      <c r="E1620" s="21" t="n"/>
      <c r="F1620" s="11">
        <f>IF(AND(B1620="",C1620="",D1620=""),"",IF(NOT(ISNUMBER(B1620)),"Needs a date",IF(D1620="","Needs the job",IF(AND(C1620&lt;&gt;"",C1620&lt;&gt;"All beds",COUNTIF(Beds!$B$6:$B$35,C1620)=0),"Not on Beds",""))))</f>
        <v/>
      </c>
      <c r="G1620" s="1">
        <f>IF(ISNUMBER(B1620),INT(B1620),0)</f>
        <v/>
      </c>
      <c r="H1620">
        <f>IF(AND(G1620&gt;0,D1620="Water",OR(C1620="",C1620="All beds")),G1620,0)</f>
        <v/>
      </c>
    </row>
    <row r="1621">
      <c r="A1621" s="1" t="n"/>
      <c r="B1621" s="17" t="n"/>
      <c r="C1621" s="18" t="n"/>
      <c r="D1621" s="19" t="n"/>
      <c r="E1621" s="21" t="n"/>
      <c r="F1621" s="11">
        <f>IF(AND(B1621="",C1621="",D1621=""),"",IF(NOT(ISNUMBER(B1621)),"Needs a date",IF(D1621="","Needs the job",IF(AND(C1621&lt;&gt;"",C1621&lt;&gt;"All beds",COUNTIF(Beds!$B$6:$B$35,C1621)=0),"Not on Beds",""))))</f>
        <v/>
      </c>
      <c r="G1621" s="1">
        <f>IF(ISNUMBER(B1621),INT(B1621),0)</f>
        <v/>
      </c>
      <c r="H1621">
        <f>IF(AND(G1621&gt;0,D1621="Water",OR(C1621="",C1621="All beds")),G1621,0)</f>
        <v/>
      </c>
    </row>
    <row r="1622">
      <c r="A1622" s="1" t="n"/>
      <c r="B1622" s="17" t="n"/>
      <c r="C1622" s="18" t="n"/>
      <c r="D1622" s="19" t="n"/>
      <c r="E1622" s="21" t="n"/>
      <c r="F1622" s="11">
        <f>IF(AND(B1622="",C1622="",D1622=""),"",IF(NOT(ISNUMBER(B1622)),"Needs a date",IF(D1622="","Needs the job",IF(AND(C1622&lt;&gt;"",C1622&lt;&gt;"All beds",COUNTIF(Beds!$B$6:$B$35,C1622)=0),"Not on Beds",""))))</f>
        <v/>
      </c>
      <c r="G1622" s="1">
        <f>IF(ISNUMBER(B1622),INT(B1622),0)</f>
        <v/>
      </c>
      <c r="H1622">
        <f>IF(AND(G1622&gt;0,D1622="Water",OR(C1622="",C1622="All beds")),G1622,0)</f>
        <v/>
      </c>
    </row>
    <row r="1623">
      <c r="A1623" s="1" t="n"/>
      <c r="B1623" s="17" t="n"/>
      <c r="C1623" s="18" t="n"/>
      <c r="D1623" s="19" t="n"/>
      <c r="E1623" s="21" t="n"/>
      <c r="F1623" s="11">
        <f>IF(AND(B1623="",C1623="",D1623=""),"",IF(NOT(ISNUMBER(B1623)),"Needs a date",IF(D1623="","Needs the job",IF(AND(C1623&lt;&gt;"",C1623&lt;&gt;"All beds",COUNTIF(Beds!$B$6:$B$35,C1623)=0),"Not on Beds",""))))</f>
        <v/>
      </c>
      <c r="G1623" s="1">
        <f>IF(ISNUMBER(B1623),INT(B1623),0)</f>
        <v/>
      </c>
      <c r="H1623">
        <f>IF(AND(G1623&gt;0,D1623="Water",OR(C1623="",C1623="All beds")),G1623,0)</f>
        <v/>
      </c>
    </row>
    <row r="1624">
      <c r="A1624" s="1" t="n"/>
      <c r="B1624" s="17" t="n"/>
      <c r="C1624" s="18" t="n"/>
      <c r="D1624" s="19" t="n"/>
      <c r="E1624" s="21" t="n"/>
      <c r="F1624" s="11">
        <f>IF(AND(B1624="",C1624="",D1624=""),"",IF(NOT(ISNUMBER(B1624)),"Needs a date",IF(D1624="","Needs the job",IF(AND(C1624&lt;&gt;"",C1624&lt;&gt;"All beds",COUNTIF(Beds!$B$6:$B$35,C1624)=0),"Not on Beds",""))))</f>
        <v/>
      </c>
      <c r="G1624" s="1">
        <f>IF(ISNUMBER(B1624),INT(B1624),0)</f>
        <v/>
      </c>
      <c r="H1624">
        <f>IF(AND(G1624&gt;0,D1624="Water",OR(C1624="",C1624="All beds")),G1624,0)</f>
        <v/>
      </c>
    </row>
    <row r="1625">
      <c r="A1625" s="1" t="n"/>
      <c r="B1625" s="17" t="n"/>
      <c r="C1625" s="18" t="n"/>
      <c r="D1625" s="19" t="n"/>
      <c r="E1625" s="21" t="n"/>
      <c r="F1625" s="11">
        <f>IF(AND(B1625="",C1625="",D1625=""),"",IF(NOT(ISNUMBER(B1625)),"Needs a date",IF(D1625="","Needs the job",IF(AND(C1625&lt;&gt;"",C1625&lt;&gt;"All beds",COUNTIF(Beds!$B$6:$B$35,C1625)=0),"Not on Beds",""))))</f>
        <v/>
      </c>
      <c r="G1625" s="1">
        <f>IF(ISNUMBER(B1625),INT(B1625),0)</f>
        <v/>
      </c>
      <c r="H1625">
        <f>IF(AND(G1625&gt;0,D1625="Water",OR(C1625="",C1625="All beds")),G1625,0)</f>
        <v/>
      </c>
    </row>
    <row r="1626">
      <c r="A1626" s="1" t="n"/>
      <c r="B1626" s="17" t="n"/>
      <c r="C1626" s="18" t="n"/>
      <c r="D1626" s="19" t="n"/>
      <c r="E1626" s="21" t="n"/>
      <c r="F1626" s="11">
        <f>IF(AND(B1626="",C1626="",D1626=""),"",IF(NOT(ISNUMBER(B1626)),"Needs a date",IF(D1626="","Needs the job",IF(AND(C1626&lt;&gt;"",C1626&lt;&gt;"All beds",COUNTIF(Beds!$B$6:$B$35,C1626)=0),"Not on Beds",""))))</f>
        <v/>
      </c>
      <c r="G1626" s="1">
        <f>IF(ISNUMBER(B1626),INT(B1626),0)</f>
        <v/>
      </c>
      <c r="H1626">
        <f>IF(AND(G1626&gt;0,D1626="Water",OR(C1626="",C1626="All beds")),G1626,0)</f>
        <v/>
      </c>
    </row>
    <row r="1627">
      <c r="A1627" s="1" t="n"/>
      <c r="B1627" s="17" t="n"/>
      <c r="C1627" s="18" t="n"/>
      <c r="D1627" s="19" t="n"/>
      <c r="E1627" s="21" t="n"/>
      <c r="F1627" s="11">
        <f>IF(AND(B1627="",C1627="",D1627=""),"",IF(NOT(ISNUMBER(B1627)),"Needs a date",IF(D1627="","Needs the job",IF(AND(C1627&lt;&gt;"",C1627&lt;&gt;"All beds",COUNTIF(Beds!$B$6:$B$35,C1627)=0),"Not on Beds",""))))</f>
        <v/>
      </c>
      <c r="G1627" s="1">
        <f>IF(ISNUMBER(B1627),INT(B1627),0)</f>
        <v/>
      </c>
      <c r="H1627">
        <f>IF(AND(G1627&gt;0,D1627="Water",OR(C1627="",C1627="All beds")),G1627,0)</f>
        <v/>
      </c>
    </row>
    <row r="1628">
      <c r="A1628" s="1" t="n"/>
      <c r="B1628" s="17" t="n"/>
      <c r="C1628" s="18" t="n"/>
      <c r="D1628" s="19" t="n"/>
      <c r="E1628" s="21" t="n"/>
      <c r="F1628" s="11">
        <f>IF(AND(B1628="",C1628="",D1628=""),"",IF(NOT(ISNUMBER(B1628)),"Needs a date",IF(D1628="","Needs the job",IF(AND(C1628&lt;&gt;"",C1628&lt;&gt;"All beds",COUNTIF(Beds!$B$6:$B$35,C1628)=0),"Not on Beds",""))))</f>
        <v/>
      </c>
      <c r="G1628" s="1">
        <f>IF(ISNUMBER(B1628),INT(B1628),0)</f>
        <v/>
      </c>
      <c r="H1628">
        <f>IF(AND(G1628&gt;0,D1628="Water",OR(C1628="",C1628="All beds")),G1628,0)</f>
        <v/>
      </c>
    </row>
    <row r="1629">
      <c r="A1629" s="1" t="n"/>
      <c r="B1629" s="17" t="n"/>
      <c r="C1629" s="18" t="n"/>
      <c r="D1629" s="19" t="n"/>
      <c r="E1629" s="21" t="n"/>
      <c r="F1629" s="11">
        <f>IF(AND(B1629="",C1629="",D1629=""),"",IF(NOT(ISNUMBER(B1629)),"Needs a date",IF(D1629="","Needs the job",IF(AND(C1629&lt;&gt;"",C1629&lt;&gt;"All beds",COUNTIF(Beds!$B$6:$B$35,C1629)=0),"Not on Beds",""))))</f>
        <v/>
      </c>
      <c r="G1629" s="1">
        <f>IF(ISNUMBER(B1629),INT(B1629),0)</f>
        <v/>
      </c>
      <c r="H1629">
        <f>IF(AND(G1629&gt;0,D1629="Water",OR(C1629="",C1629="All beds")),G1629,0)</f>
        <v/>
      </c>
    </row>
    <row r="1630">
      <c r="A1630" s="1" t="n"/>
      <c r="B1630" s="17" t="n"/>
      <c r="C1630" s="18" t="n"/>
      <c r="D1630" s="19" t="n"/>
      <c r="E1630" s="21" t="n"/>
      <c r="F1630" s="11">
        <f>IF(AND(B1630="",C1630="",D1630=""),"",IF(NOT(ISNUMBER(B1630)),"Needs a date",IF(D1630="","Needs the job",IF(AND(C1630&lt;&gt;"",C1630&lt;&gt;"All beds",COUNTIF(Beds!$B$6:$B$35,C1630)=0),"Not on Beds",""))))</f>
        <v/>
      </c>
      <c r="G1630" s="1">
        <f>IF(ISNUMBER(B1630),INT(B1630),0)</f>
        <v/>
      </c>
      <c r="H1630">
        <f>IF(AND(G1630&gt;0,D1630="Water",OR(C1630="",C1630="All beds")),G1630,0)</f>
        <v/>
      </c>
    </row>
    <row r="1631">
      <c r="A1631" s="1" t="n"/>
      <c r="B1631" s="17" t="n"/>
      <c r="C1631" s="18" t="n"/>
      <c r="D1631" s="19" t="n"/>
      <c r="E1631" s="21" t="n"/>
      <c r="F1631" s="11">
        <f>IF(AND(B1631="",C1631="",D1631=""),"",IF(NOT(ISNUMBER(B1631)),"Needs a date",IF(D1631="","Needs the job",IF(AND(C1631&lt;&gt;"",C1631&lt;&gt;"All beds",COUNTIF(Beds!$B$6:$B$35,C1631)=0),"Not on Beds",""))))</f>
        <v/>
      </c>
      <c r="G1631" s="1">
        <f>IF(ISNUMBER(B1631),INT(B1631),0)</f>
        <v/>
      </c>
      <c r="H1631">
        <f>IF(AND(G1631&gt;0,D1631="Water",OR(C1631="",C1631="All beds")),G1631,0)</f>
        <v/>
      </c>
    </row>
    <row r="1632">
      <c r="A1632" s="1" t="n"/>
      <c r="B1632" s="17" t="n"/>
      <c r="C1632" s="18" t="n"/>
      <c r="D1632" s="19" t="n"/>
      <c r="E1632" s="21" t="n"/>
      <c r="F1632" s="11">
        <f>IF(AND(B1632="",C1632="",D1632=""),"",IF(NOT(ISNUMBER(B1632)),"Needs a date",IF(D1632="","Needs the job",IF(AND(C1632&lt;&gt;"",C1632&lt;&gt;"All beds",COUNTIF(Beds!$B$6:$B$35,C1632)=0),"Not on Beds",""))))</f>
        <v/>
      </c>
      <c r="G1632" s="1">
        <f>IF(ISNUMBER(B1632),INT(B1632),0)</f>
        <v/>
      </c>
      <c r="H1632">
        <f>IF(AND(G1632&gt;0,D1632="Water",OR(C1632="",C1632="All beds")),G1632,0)</f>
        <v/>
      </c>
    </row>
    <row r="1633">
      <c r="A1633" s="1" t="n"/>
      <c r="B1633" s="17" t="n"/>
      <c r="C1633" s="18" t="n"/>
      <c r="D1633" s="19" t="n"/>
      <c r="E1633" s="21" t="n"/>
      <c r="F1633" s="11">
        <f>IF(AND(B1633="",C1633="",D1633=""),"",IF(NOT(ISNUMBER(B1633)),"Needs a date",IF(D1633="","Needs the job",IF(AND(C1633&lt;&gt;"",C1633&lt;&gt;"All beds",COUNTIF(Beds!$B$6:$B$35,C1633)=0),"Not on Beds",""))))</f>
        <v/>
      </c>
      <c r="G1633" s="1">
        <f>IF(ISNUMBER(B1633),INT(B1633),0)</f>
        <v/>
      </c>
      <c r="H1633">
        <f>IF(AND(G1633&gt;0,D1633="Water",OR(C1633="",C1633="All beds")),G1633,0)</f>
        <v/>
      </c>
    </row>
    <row r="1634">
      <c r="A1634" s="1" t="n"/>
      <c r="B1634" s="17" t="n"/>
      <c r="C1634" s="18" t="n"/>
      <c r="D1634" s="19" t="n"/>
      <c r="E1634" s="21" t="n"/>
      <c r="F1634" s="11">
        <f>IF(AND(B1634="",C1634="",D1634=""),"",IF(NOT(ISNUMBER(B1634)),"Needs a date",IF(D1634="","Needs the job",IF(AND(C1634&lt;&gt;"",C1634&lt;&gt;"All beds",COUNTIF(Beds!$B$6:$B$35,C1634)=0),"Not on Beds",""))))</f>
        <v/>
      </c>
      <c r="G1634" s="1">
        <f>IF(ISNUMBER(B1634),INT(B1634),0)</f>
        <v/>
      </c>
      <c r="H1634">
        <f>IF(AND(G1634&gt;0,D1634="Water",OR(C1634="",C1634="All beds")),G1634,0)</f>
        <v/>
      </c>
    </row>
    <row r="1635">
      <c r="A1635" s="1" t="n"/>
      <c r="B1635" s="17" t="n"/>
      <c r="C1635" s="18" t="n"/>
      <c r="D1635" s="19" t="n"/>
      <c r="E1635" s="21" t="n"/>
      <c r="F1635" s="11">
        <f>IF(AND(B1635="",C1635="",D1635=""),"",IF(NOT(ISNUMBER(B1635)),"Needs a date",IF(D1635="","Needs the job",IF(AND(C1635&lt;&gt;"",C1635&lt;&gt;"All beds",COUNTIF(Beds!$B$6:$B$35,C1635)=0),"Not on Beds",""))))</f>
        <v/>
      </c>
      <c r="G1635" s="1">
        <f>IF(ISNUMBER(B1635),INT(B1635),0)</f>
        <v/>
      </c>
      <c r="H1635">
        <f>IF(AND(G1635&gt;0,D1635="Water",OR(C1635="",C1635="All beds")),G1635,0)</f>
        <v/>
      </c>
    </row>
    <row r="1636">
      <c r="A1636" s="1" t="n"/>
      <c r="B1636" s="17" t="n"/>
      <c r="C1636" s="18" t="n"/>
      <c r="D1636" s="19" t="n"/>
      <c r="E1636" s="21" t="n"/>
      <c r="F1636" s="11">
        <f>IF(AND(B1636="",C1636="",D1636=""),"",IF(NOT(ISNUMBER(B1636)),"Needs a date",IF(D1636="","Needs the job",IF(AND(C1636&lt;&gt;"",C1636&lt;&gt;"All beds",COUNTIF(Beds!$B$6:$B$35,C1636)=0),"Not on Beds",""))))</f>
        <v/>
      </c>
      <c r="G1636" s="1">
        <f>IF(ISNUMBER(B1636),INT(B1636),0)</f>
        <v/>
      </c>
      <c r="H1636">
        <f>IF(AND(G1636&gt;0,D1636="Water",OR(C1636="",C1636="All beds")),G1636,0)</f>
        <v/>
      </c>
    </row>
    <row r="1637">
      <c r="A1637" s="1" t="n"/>
      <c r="B1637" s="17" t="n"/>
      <c r="C1637" s="18" t="n"/>
      <c r="D1637" s="19" t="n"/>
      <c r="E1637" s="21" t="n"/>
      <c r="F1637" s="11">
        <f>IF(AND(B1637="",C1637="",D1637=""),"",IF(NOT(ISNUMBER(B1637)),"Needs a date",IF(D1637="","Needs the job",IF(AND(C1637&lt;&gt;"",C1637&lt;&gt;"All beds",COUNTIF(Beds!$B$6:$B$35,C1637)=0),"Not on Beds",""))))</f>
        <v/>
      </c>
      <c r="G1637" s="1">
        <f>IF(ISNUMBER(B1637),INT(B1637),0)</f>
        <v/>
      </c>
      <c r="H1637">
        <f>IF(AND(G1637&gt;0,D1637="Water",OR(C1637="",C1637="All beds")),G1637,0)</f>
        <v/>
      </c>
    </row>
    <row r="1638">
      <c r="A1638" s="1" t="n"/>
      <c r="B1638" s="17" t="n"/>
      <c r="C1638" s="18" t="n"/>
      <c r="D1638" s="19" t="n"/>
      <c r="E1638" s="21" t="n"/>
      <c r="F1638" s="11">
        <f>IF(AND(B1638="",C1638="",D1638=""),"",IF(NOT(ISNUMBER(B1638)),"Needs a date",IF(D1638="","Needs the job",IF(AND(C1638&lt;&gt;"",C1638&lt;&gt;"All beds",COUNTIF(Beds!$B$6:$B$35,C1638)=0),"Not on Beds",""))))</f>
        <v/>
      </c>
      <c r="G1638" s="1">
        <f>IF(ISNUMBER(B1638),INT(B1638),0)</f>
        <v/>
      </c>
      <c r="H1638">
        <f>IF(AND(G1638&gt;0,D1638="Water",OR(C1638="",C1638="All beds")),G1638,0)</f>
        <v/>
      </c>
    </row>
    <row r="1639">
      <c r="A1639" s="1" t="n"/>
      <c r="B1639" s="17" t="n"/>
      <c r="C1639" s="18" t="n"/>
      <c r="D1639" s="19" t="n"/>
      <c r="E1639" s="21" t="n"/>
      <c r="F1639" s="11">
        <f>IF(AND(B1639="",C1639="",D1639=""),"",IF(NOT(ISNUMBER(B1639)),"Needs a date",IF(D1639="","Needs the job",IF(AND(C1639&lt;&gt;"",C1639&lt;&gt;"All beds",COUNTIF(Beds!$B$6:$B$35,C1639)=0),"Not on Beds",""))))</f>
        <v/>
      </c>
      <c r="G1639" s="1">
        <f>IF(ISNUMBER(B1639),INT(B1639),0)</f>
        <v/>
      </c>
      <c r="H1639">
        <f>IF(AND(G1639&gt;0,D1639="Water",OR(C1639="",C1639="All beds")),G1639,0)</f>
        <v/>
      </c>
    </row>
    <row r="1640">
      <c r="A1640" s="1" t="n"/>
      <c r="B1640" s="17" t="n"/>
      <c r="C1640" s="18" t="n"/>
      <c r="D1640" s="19" t="n"/>
      <c r="E1640" s="21" t="n"/>
      <c r="F1640" s="11">
        <f>IF(AND(B1640="",C1640="",D1640=""),"",IF(NOT(ISNUMBER(B1640)),"Needs a date",IF(D1640="","Needs the job",IF(AND(C1640&lt;&gt;"",C1640&lt;&gt;"All beds",COUNTIF(Beds!$B$6:$B$35,C1640)=0),"Not on Beds",""))))</f>
        <v/>
      </c>
      <c r="G1640" s="1">
        <f>IF(ISNUMBER(B1640),INT(B1640),0)</f>
        <v/>
      </c>
      <c r="H1640">
        <f>IF(AND(G1640&gt;0,D1640="Water",OR(C1640="",C1640="All beds")),G1640,0)</f>
        <v/>
      </c>
    </row>
    <row r="1641">
      <c r="A1641" s="1" t="n"/>
      <c r="B1641" s="17" t="n"/>
      <c r="C1641" s="18" t="n"/>
      <c r="D1641" s="19" t="n"/>
      <c r="E1641" s="21" t="n"/>
      <c r="F1641" s="11">
        <f>IF(AND(B1641="",C1641="",D1641=""),"",IF(NOT(ISNUMBER(B1641)),"Needs a date",IF(D1641="","Needs the job",IF(AND(C1641&lt;&gt;"",C1641&lt;&gt;"All beds",COUNTIF(Beds!$B$6:$B$35,C1641)=0),"Not on Beds",""))))</f>
        <v/>
      </c>
      <c r="G1641" s="1">
        <f>IF(ISNUMBER(B1641),INT(B1641),0)</f>
        <v/>
      </c>
      <c r="H1641">
        <f>IF(AND(G1641&gt;0,D1641="Water",OR(C1641="",C1641="All beds")),G1641,0)</f>
        <v/>
      </c>
    </row>
    <row r="1642">
      <c r="A1642" s="1" t="n"/>
      <c r="B1642" s="17" t="n"/>
      <c r="C1642" s="18" t="n"/>
      <c r="D1642" s="19" t="n"/>
      <c r="E1642" s="21" t="n"/>
      <c r="F1642" s="11">
        <f>IF(AND(B1642="",C1642="",D1642=""),"",IF(NOT(ISNUMBER(B1642)),"Needs a date",IF(D1642="","Needs the job",IF(AND(C1642&lt;&gt;"",C1642&lt;&gt;"All beds",COUNTIF(Beds!$B$6:$B$35,C1642)=0),"Not on Beds",""))))</f>
        <v/>
      </c>
      <c r="G1642" s="1">
        <f>IF(ISNUMBER(B1642),INT(B1642),0)</f>
        <v/>
      </c>
      <c r="H1642">
        <f>IF(AND(G1642&gt;0,D1642="Water",OR(C1642="",C1642="All beds")),G1642,0)</f>
        <v/>
      </c>
    </row>
    <row r="1643">
      <c r="A1643" s="1" t="n"/>
      <c r="B1643" s="17" t="n"/>
      <c r="C1643" s="18" t="n"/>
      <c r="D1643" s="19" t="n"/>
      <c r="E1643" s="21" t="n"/>
      <c r="F1643" s="11">
        <f>IF(AND(B1643="",C1643="",D1643=""),"",IF(NOT(ISNUMBER(B1643)),"Needs a date",IF(D1643="","Needs the job",IF(AND(C1643&lt;&gt;"",C1643&lt;&gt;"All beds",COUNTIF(Beds!$B$6:$B$35,C1643)=0),"Not on Beds",""))))</f>
        <v/>
      </c>
      <c r="G1643" s="1">
        <f>IF(ISNUMBER(B1643),INT(B1643),0)</f>
        <v/>
      </c>
      <c r="H1643">
        <f>IF(AND(G1643&gt;0,D1643="Water",OR(C1643="",C1643="All beds")),G1643,0)</f>
        <v/>
      </c>
    </row>
    <row r="1644">
      <c r="A1644" s="1" t="n"/>
      <c r="B1644" s="17" t="n"/>
      <c r="C1644" s="18" t="n"/>
      <c r="D1644" s="19" t="n"/>
      <c r="E1644" s="21" t="n"/>
      <c r="F1644" s="11">
        <f>IF(AND(B1644="",C1644="",D1644=""),"",IF(NOT(ISNUMBER(B1644)),"Needs a date",IF(D1644="","Needs the job",IF(AND(C1644&lt;&gt;"",C1644&lt;&gt;"All beds",COUNTIF(Beds!$B$6:$B$35,C1644)=0),"Not on Beds",""))))</f>
        <v/>
      </c>
      <c r="G1644" s="1">
        <f>IF(ISNUMBER(B1644),INT(B1644),0)</f>
        <v/>
      </c>
      <c r="H1644">
        <f>IF(AND(G1644&gt;0,D1644="Water",OR(C1644="",C1644="All beds")),G1644,0)</f>
        <v/>
      </c>
    </row>
    <row r="1645">
      <c r="A1645" s="1" t="n"/>
      <c r="B1645" s="17" t="n"/>
      <c r="C1645" s="18" t="n"/>
      <c r="D1645" s="19" t="n"/>
      <c r="E1645" s="21" t="n"/>
      <c r="F1645" s="11">
        <f>IF(AND(B1645="",C1645="",D1645=""),"",IF(NOT(ISNUMBER(B1645)),"Needs a date",IF(D1645="","Needs the job",IF(AND(C1645&lt;&gt;"",C1645&lt;&gt;"All beds",COUNTIF(Beds!$B$6:$B$35,C1645)=0),"Not on Beds",""))))</f>
        <v/>
      </c>
      <c r="G1645" s="1">
        <f>IF(ISNUMBER(B1645),INT(B1645),0)</f>
        <v/>
      </c>
      <c r="H1645">
        <f>IF(AND(G1645&gt;0,D1645="Water",OR(C1645="",C1645="All beds")),G1645,0)</f>
        <v/>
      </c>
    </row>
    <row r="1646">
      <c r="A1646" s="1" t="n"/>
      <c r="B1646" s="17" t="n"/>
      <c r="C1646" s="18" t="n"/>
      <c r="D1646" s="19" t="n"/>
      <c r="E1646" s="21" t="n"/>
      <c r="F1646" s="11">
        <f>IF(AND(B1646="",C1646="",D1646=""),"",IF(NOT(ISNUMBER(B1646)),"Needs a date",IF(D1646="","Needs the job",IF(AND(C1646&lt;&gt;"",C1646&lt;&gt;"All beds",COUNTIF(Beds!$B$6:$B$35,C1646)=0),"Not on Beds",""))))</f>
        <v/>
      </c>
      <c r="G1646" s="1">
        <f>IF(ISNUMBER(B1646),INT(B1646),0)</f>
        <v/>
      </c>
      <c r="H1646">
        <f>IF(AND(G1646&gt;0,D1646="Water",OR(C1646="",C1646="All beds")),G1646,0)</f>
        <v/>
      </c>
    </row>
    <row r="1647">
      <c r="A1647" s="1" t="n"/>
      <c r="B1647" s="17" t="n"/>
      <c r="C1647" s="18" t="n"/>
      <c r="D1647" s="19" t="n"/>
      <c r="E1647" s="21" t="n"/>
      <c r="F1647" s="11">
        <f>IF(AND(B1647="",C1647="",D1647=""),"",IF(NOT(ISNUMBER(B1647)),"Needs a date",IF(D1647="","Needs the job",IF(AND(C1647&lt;&gt;"",C1647&lt;&gt;"All beds",COUNTIF(Beds!$B$6:$B$35,C1647)=0),"Not on Beds",""))))</f>
        <v/>
      </c>
      <c r="G1647" s="1">
        <f>IF(ISNUMBER(B1647),INT(B1647),0)</f>
        <v/>
      </c>
      <c r="H1647">
        <f>IF(AND(G1647&gt;0,D1647="Water",OR(C1647="",C1647="All beds")),G1647,0)</f>
        <v/>
      </c>
    </row>
    <row r="1648">
      <c r="A1648" s="1" t="n"/>
      <c r="B1648" s="17" t="n"/>
      <c r="C1648" s="18" t="n"/>
      <c r="D1648" s="19" t="n"/>
      <c r="E1648" s="21" t="n"/>
      <c r="F1648" s="11">
        <f>IF(AND(B1648="",C1648="",D1648=""),"",IF(NOT(ISNUMBER(B1648)),"Needs a date",IF(D1648="","Needs the job",IF(AND(C1648&lt;&gt;"",C1648&lt;&gt;"All beds",COUNTIF(Beds!$B$6:$B$35,C1648)=0),"Not on Beds",""))))</f>
        <v/>
      </c>
      <c r="G1648" s="1">
        <f>IF(ISNUMBER(B1648),INT(B1648),0)</f>
        <v/>
      </c>
      <c r="H1648">
        <f>IF(AND(G1648&gt;0,D1648="Water",OR(C1648="",C1648="All beds")),G1648,0)</f>
        <v/>
      </c>
    </row>
    <row r="1649">
      <c r="A1649" s="1" t="n"/>
      <c r="B1649" s="17" t="n"/>
      <c r="C1649" s="18" t="n"/>
      <c r="D1649" s="19" t="n"/>
      <c r="E1649" s="21" t="n"/>
      <c r="F1649" s="11">
        <f>IF(AND(B1649="",C1649="",D1649=""),"",IF(NOT(ISNUMBER(B1649)),"Needs a date",IF(D1649="","Needs the job",IF(AND(C1649&lt;&gt;"",C1649&lt;&gt;"All beds",COUNTIF(Beds!$B$6:$B$35,C1649)=0),"Not on Beds",""))))</f>
        <v/>
      </c>
      <c r="G1649" s="1">
        <f>IF(ISNUMBER(B1649),INT(B1649),0)</f>
        <v/>
      </c>
      <c r="H1649">
        <f>IF(AND(G1649&gt;0,D1649="Water",OR(C1649="",C1649="All beds")),G1649,0)</f>
        <v/>
      </c>
    </row>
    <row r="1650">
      <c r="A1650" s="1" t="n"/>
      <c r="B1650" s="17" t="n"/>
      <c r="C1650" s="18" t="n"/>
      <c r="D1650" s="19" t="n"/>
      <c r="E1650" s="21" t="n"/>
      <c r="F1650" s="11">
        <f>IF(AND(B1650="",C1650="",D1650=""),"",IF(NOT(ISNUMBER(B1650)),"Needs a date",IF(D1650="","Needs the job",IF(AND(C1650&lt;&gt;"",C1650&lt;&gt;"All beds",COUNTIF(Beds!$B$6:$B$35,C1650)=0),"Not on Beds",""))))</f>
        <v/>
      </c>
      <c r="G1650" s="1">
        <f>IF(ISNUMBER(B1650),INT(B1650),0)</f>
        <v/>
      </c>
      <c r="H1650">
        <f>IF(AND(G1650&gt;0,D1650="Water",OR(C1650="",C1650="All beds")),G1650,0)</f>
        <v/>
      </c>
    </row>
    <row r="1651">
      <c r="A1651" s="1" t="n"/>
      <c r="B1651" s="17" t="n"/>
      <c r="C1651" s="18" t="n"/>
      <c r="D1651" s="19" t="n"/>
      <c r="E1651" s="21" t="n"/>
      <c r="F1651" s="11">
        <f>IF(AND(B1651="",C1651="",D1651=""),"",IF(NOT(ISNUMBER(B1651)),"Needs a date",IF(D1651="","Needs the job",IF(AND(C1651&lt;&gt;"",C1651&lt;&gt;"All beds",COUNTIF(Beds!$B$6:$B$35,C1651)=0),"Not on Beds",""))))</f>
        <v/>
      </c>
      <c r="G1651" s="1">
        <f>IF(ISNUMBER(B1651),INT(B1651),0)</f>
        <v/>
      </c>
      <c r="H1651">
        <f>IF(AND(G1651&gt;0,D1651="Water",OR(C1651="",C1651="All beds")),G1651,0)</f>
        <v/>
      </c>
    </row>
    <row r="1652">
      <c r="A1652" s="1" t="n"/>
      <c r="B1652" s="17" t="n"/>
      <c r="C1652" s="18" t="n"/>
      <c r="D1652" s="19" t="n"/>
      <c r="E1652" s="21" t="n"/>
      <c r="F1652" s="11">
        <f>IF(AND(B1652="",C1652="",D1652=""),"",IF(NOT(ISNUMBER(B1652)),"Needs a date",IF(D1652="","Needs the job",IF(AND(C1652&lt;&gt;"",C1652&lt;&gt;"All beds",COUNTIF(Beds!$B$6:$B$35,C1652)=0),"Not on Beds",""))))</f>
        <v/>
      </c>
      <c r="G1652" s="1">
        <f>IF(ISNUMBER(B1652),INT(B1652),0)</f>
        <v/>
      </c>
      <c r="H1652">
        <f>IF(AND(G1652&gt;0,D1652="Water",OR(C1652="",C1652="All beds")),G1652,0)</f>
        <v/>
      </c>
    </row>
    <row r="1653">
      <c r="A1653" s="1" t="n"/>
      <c r="B1653" s="17" t="n"/>
      <c r="C1653" s="18" t="n"/>
      <c r="D1653" s="19" t="n"/>
      <c r="E1653" s="21" t="n"/>
      <c r="F1653" s="11">
        <f>IF(AND(B1653="",C1653="",D1653=""),"",IF(NOT(ISNUMBER(B1653)),"Needs a date",IF(D1653="","Needs the job",IF(AND(C1653&lt;&gt;"",C1653&lt;&gt;"All beds",COUNTIF(Beds!$B$6:$B$35,C1653)=0),"Not on Beds",""))))</f>
        <v/>
      </c>
      <c r="G1653" s="1">
        <f>IF(ISNUMBER(B1653),INT(B1653),0)</f>
        <v/>
      </c>
      <c r="H1653">
        <f>IF(AND(G1653&gt;0,D1653="Water",OR(C1653="",C1653="All beds")),G1653,0)</f>
        <v/>
      </c>
    </row>
    <row r="1654">
      <c r="A1654" s="1" t="n"/>
      <c r="B1654" s="17" t="n"/>
      <c r="C1654" s="18" t="n"/>
      <c r="D1654" s="19" t="n"/>
      <c r="E1654" s="21" t="n"/>
      <c r="F1654" s="11">
        <f>IF(AND(B1654="",C1654="",D1654=""),"",IF(NOT(ISNUMBER(B1654)),"Needs a date",IF(D1654="","Needs the job",IF(AND(C1654&lt;&gt;"",C1654&lt;&gt;"All beds",COUNTIF(Beds!$B$6:$B$35,C1654)=0),"Not on Beds",""))))</f>
        <v/>
      </c>
      <c r="G1654" s="1">
        <f>IF(ISNUMBER(B1654),INT(B1654),0)</f>
        <v/>
      </c>
      <c r="H1654">
        <f>IF(AND(G1654&gt;0,D1654="Water",OR(C1654="",C1654="All beds")),G1654,0)</f>
        <v/>
      </c>
    </row>
    <row r="1655">
      <c r="A1655" s="1" t="n"/>
      <c r="B1655" s="17" t="n"/>
      <c r="C1655" s="18" t="n"/>
      <c r="D1655" s="19" t="n"/>
      <c r="E1655" s="21" t="n"/>
      <c r="F1655" s="11">
        <f>IF(AND(B1655="",C1655="",D1655=""),"",IF(NOT(ISNUMBER(B1655)),"Needs a date",IF(D1655="","Needs the job",IF(AND(C1655&lt;&gt;"",C1655&lt;&gt;"All beds",COUNTIF(Beds!$B$6:$B$35,C1655)=0),"Not on Beds",""))))</f>
        <v/>
      </c>
      <c r="G1655" s="1">
        <f>IF(ISNUMBER(B1655),INT(B1655),0)</f>
        <v/>
      </c>
      <c r="H1655">
        <f>IF(AND(G1655&gt;0,D1655="Water",OR(C1655="",C1655="All beds")),G1655,0)</f>
        <v/>
      </c>
    </row>
    <row r="1656">
      <c r="A1656" s="1" t="n"/>
      <c r="B1656" s="17" t="n"/>
      <c r="C1656" s="18" t="n"/>
      <c r="D1656" s="19" t="n"/>
      <c r="E1656" s="21" t="n"/>
      <c r="F1656" s="11">
        <f>IF(AND(B1656="",C1656="",D1656=""),"",IF(NOT(ISNUMBER(B1656)),"Needs a date",IF(D1656="","Needs the job",IF(AND(C1656&lt;&gt;"",C1656&lt;&gt;"All beds",COUNTIF(Beds!$B$6:$B$35,C1656)=0),"Not on Beds",""))))</f>
        <v/>
      </c>
      <c r="G1656" s="1">
        <f>IF(ISNUMBER(B1656),INT(B1656),0)</f>
        <v/>
      </c>
      <c r="H1656">
        <f>IF(AND(G1656&gt;0,D1656="Water",OR(C1656="",C1656="All beds")),G1656,0)</f>
        <v/>
      </c>
    </row>
    <row r="1657">
      <c r="A1657" s="1" t="n"/>
      <c r="B1657" s="17" t="n"/>
      <c r="C1657" s="18" t="n"/>
      <c r="D1657" s="19" t="n"/>
      <c r="E1657" s="21" t="n"/>
      <c r="F1657" s="11">
        <f>IF(AND(B1657="",C1657="",D1657=""),"",IF(NOT(ISNUMBER(B1657)),"Needs a date",IF(D1657="","Needs the job",IF(AND(C1657&lt;&gt;"",C1657&lt;&gt;"All beds",COUNTIF(Beds!$B$6:$B$35,C1657)=0),"Not on Beds",""))))</f>
        <v/>
      </c>
      <c r="G1657" s="1">
        <f>IF(ISNUMBER(B1657),INT(B1657),0)</f>
        <v/>
      </c>
      <c r="H1657">
        <f>IF(AND(G1657&gt;0,D1657="Water",OR(C1657="",C1657="All beds")),G1657,0)</f>
        <v/>
      </c>
    </row>
    <row r="1658">
      <c r="A1658" s="1" t="n"/>
      <c r="B1658" s="17" t="n"/>
      <c r="C1658" s="18" t="n"/>
      <c r="D1658" s="19" t="n"/>
      <c r="E1658" s="21" t="n"/>
      <c r="F1658" s="11">
        <f>IF(AND(B1658="",C1658="",D1658=""),"",IF(NOT(ISNUMBER(B1658)),"Needs a date",IF(D1658="","Needs the job",IF(AND(C1658&lt;&gt;"",C1658&lt;&gt;"All beds",COUNTIF(Beds!$B$6:$B$35,C1658)=0),"Not on Beds",""))))</f>
        <v/>
      </c>
      <c r="G1658" s="1">
        <f>IF(ISNUMBER(B1658),INT(B1658),0)</f>
        <v/>
      </c>
      <c r="H1658">
        <f>IF(AND(G1658&gt;0,D1658="Water",OR(C1658="",C1658="All beds")),G1658,0)</f>
        <v/>
      </c>
    </row>
    <row r="1659">
      <c r="A1659" s="1" t="n"/>
      <c r="B1659" s="17" t="n"/>
      <c r="C1659" s="18" t="n"/>
      <c r="D1659" s="19" t="n"/>
      <c r="E1659" s="21" t="n"/>
      <c r="F1659" s="11">
        <f>IF(AND(B1659="",C1659="",D1659=""),"",IF(NOT(ISNUMBER(B1659)),"Needs a date",IF(D1659="","Needs the job",IF(AND(C1659&lt;&gt;"",C1659&lt;&gt;"All beds",COUNTIF(Beds!$B$6:$B$35,C1659)=0),"Not on Beds",""))))</f>
        <v/>
      </c>
      <c r="G1659" s="1">
        <f>IF(ISNUMBER(B1659),INT(B1659),0)</f>
        <v/>
      </c>
      <c r="H1659">
        <f>IF(AND(G1659&gt;0,D1659="Water",OR(C1659="",C1659="All beds")),G1659,0)</f>
        <v/>
      </c>
    </row>
    <row r="1660">
      <c r="A1660" s="1" t="n"/>
      <c r="B1660" s="17" t="n"/>
      <c r="C1660" s="18" t="n"/>
      <c r="D1660" s="19" t="n"/>
      <c r="E1660" s="21" t="n"/>
      <c r="F1660" s="11">
        <f>IF(AND(B1660="",C1660="",D1660=""),"",IF(NOT(ISNUMBER(B1660)),"Needs a date",IF(D1660="","Needs the job",IF(AND(C1660&lt;&gt;"",C1660&lt;&gt;"All beds",COUNTIF(Beds!$B$6:$B$35,C1660)=0),"Not on Beds",""))))</f>
        <v/>
      </c>
      <c r="G1660" s="1">
        <f>IF(ISNUMBER(B1660),INT(B1660),0)</f>
        <v/>
      </c>
      <c r="H1660">
        <f>IF(AND(G1660&gt;0,D1660="Water",OR(C1660="",C1660="All beds")),G1660,0)</f>
        <v/>
      </c>
    </row>
    <row r="1661">
      <c r="A1661" s="1" t="n"/>
      <c r="B1661" s="17" t="n"/>
      <c r="C1661" s="18" t="n"/>
      <c r="D1661" s="19" t="n"/>
      <c r="E1661" s="21" t="n"/>
      <c r="F1661" s="11">
        <f>IF(AND(B1661="",C1661="",D1661=""),"",IF(NOT(ISNUMBER(B1661)),"Needs a date",IF(D1661="","Needs the job",IF(AND(C1661&lt;&gt;"",C1661&lt;&gt;"All beds",COUNTIF(Beds!$B$6:$B$35,C1661)=0),"Not on Beds",""))))</f>
        <v/>
      </c>
      <c r="G1661" s="1">
        <f>IF(ISNUMBER(B1661),INT(B1661),0)</f>
        <v/>
      </c>
      <c r="H1661">
        <f>IF(AND(G1661&gt;0,D1661="Water",OR(C1661="",C1661="All beds")),G1661,0)</f>
        <v/>
      </c>
    </row>
    <row r="1662">
      <c r="A1662" s="1" t="n"/>
      <c r="B1662" s="17" t="n"/>
      <c r="C1662" s="18" t="n"/>
      <c r="D1662" s="19" t="n"/>
      <c r="E1662" s="21" t="n"/>
      <c r="F1662" s="11">
        <f>IF(AND(B1662="",C1662="",D1662=""),"",IF(NOT(ISNUMBER(B1662)),"Needs a date",IF(D1662="","Needs the job",IF(AND(C1662&lt;&gt;"",C1662&lt;&gt;"All beds",COUNTIF(Beds!$B$6:$B$35,C1662)=0),"Not on Beds",""))))</f>
        <v/>
      </c>
      <c r="G1662" s="1">
        <f>IF(ISNUMBER(B1662),INT(B1662),0)</f>
        <v/>
      </c>
      <c r="H1662">
        <f>IF(AND(G1662&gt;0,D1662="Water",OR(C1662="",C1662="All beds")),G1662,0)</f>
        <v/>
      </c>
    </row>
    <row r="1663">
      <c r="A1663" s="1" t="n"/>
      <c r="B1663" s="17" t="n"/>
      <c r="C1663" s="18" t="n"/>
      <c r="D1663" s="19" t="n"/>
      <c r="E1663" s="21" t="n"/>
      <c r="F1663" s="11">
        <f>IF(AND(B1663="",C1663="",D1663=""),"",IF(NOT(ISNUMBER(B1663)),"Needs a date",IF(D1663="","Needs the job",IF(AND(C1663&lt;&gt;"",C1663&lt;&gt;"All beds",COUNTIF(Beds!$B$6:$B$35,C1663)=0),"Not on Beds",""))))</f>
        <v/>
      </c>
      <c r="G1663" s="1">
        <f>IF(ISNUMBER(B1663),INT(B1663),0)</f>
        <v/>
      </c>
      <c r="H1663">
        <f>IF(AND(G1663&gt;0,D1663="Water",OR(C1663="",C1663="All beds")),G1663,0)</f>
        <v/>
      </c>
    </row>
    <row r="1664">
      <c r="A1664" s="1" t="n"/>
      <c r="B1664" s="17" t="n"/>
      <c r="C1664" s="18" t="n"/>
      <c r="D1664" s="19" t="n"/>
      <c r="E1664" s="21" t="n"/>
      <c r="F1664" s="11">
        <f>IF(AND(B1664="",C1664="",D1664=""),"",IF(NOT(ISNUMBER(B1664)),"Needs a date",IF(D1664="","Needs the job",IF(AND(C1664&lt;&gt;"",C1664&lt;&gt;"All beds",COUNTIF(Beds!$B$6:$B$35,C1664)=0),"Not on Beds",""))))</f>
        <v/>
      </c>
      <c r="G1664" s="1">
        <f>IF(ISNUMBER(B1664),INT(B1664),0)</f>
        <v/>
      </c>
      <c r="H1664">
        <f>IF(AND(G1664&gt;0,D1664="Water",OR(C1664="",C1664="All beds")),G1664,0)</f>
        <v/>
      </c>
    </row>
    <row r="1665">
      <c r="A1665" s="1" t="n"/>
      <c r="B1665" s="17" t="n"/>
      <c r="C1665" s="18" t="n"/>
      <c r="D1665" s="19" t="n"/>
      <c r="E1665" s="21" t="n"/>
      <c r="F1665" s="11">
        <f>IF(AND(B1665="",C1665="",D1665=""),"",IF(NOT(ISNUMBER(B1665)),"Needs a date",IF(D1665="","Needs the job",IF(AND(C1665&lt;&gt;"",C1665&lt;&gt;"All beds",COUNTIF(Beds!$B$6:$B$35,C1665)=0),"Not on Beds",""))))</f>
        <v/>
      </c>
      <c r="G1665" s="1">
        <f>IF(ISNUMBER(B1665),INT(B1665),0)</f>
        <v/>
      </c>
      <c r="H1665">
        <f>IF(AND(G1665&gt;0,D1665="Water",OR(C1665="",C1665="All beds")),G1665,0)</f>
        <v/>
      </c>
    </row>
    <row r="1666">
      <c r="A1666" s="1" t="n"/>
      <c r="B1666" s="17" t="n"/>
      <c r="C1666" s="18" t="n"/>
      <c r="D1666" s="19" t="n"/>
      <c r="E1666" s="21" t="n"/>
      <c r="F1666" s="11">
        <f>IF(AND(B1666="",C1666="",D1666=""),"",IF(NOT(ISNUMBER(B1666)),"Needs a date",IF(D1666="","Needs the job",IF(AND(C1666&lt;&gt;"",C1666&lt;&gt;"All beds",COUNTIF(Beds!$B$6:$B$35,C1666)=0),"Not on Beds",""))))</f>
        <v/>
      </c>
      <c r="G1666" s="1">
        <f>IF(ISNUMBER(B1666),INT(B1666),0)</f>
        <v/>
      </c>
      <c r="H1666">
        <f>IF(AND(G1666&gt;0,D1666="Water",OR(C1666="",C1666="All beds")),G1666,0)</f>
        <v/>
      </c>
    </row>
    <row r="1667">
      <c r="A1667" s="1" t="n"/>
      <c r="B1667" s="17" t="n"/>
      <c r="C1667" s="18" t="n"/>
      <c r="D1667" s="19" t="n"/>
      <c r="E1667" s="21" t="n"/>
      <c r="F1667" s="11">
        <f>IF(AND(B1667="",C1667="",D1667=""),"",IF(NOT(ISNUMBER(B1667)),"Needs a date",IF(D1667="","Needs the job",IF(AND(C1667&lt;&gt;"",C1667&lt;&gt;"All beds",COUNTIF(Beds!$B$6:$B$35,C1667)=0),"Not on Beds",""))))</f>
        <v/>
      </c>
      <c r="G1667" s="1">
        <f>IF(ISNUMBER(B1667),INT(B1667),0)</f>
        <v/>
      </c>
      <c r="H1667">
        <f>IF(AND(G1667&gt;0,D1667="Water",OR(C1667="",C1667="All beds")),G1667,0)</f>
        <v/>
      </c>
    </row>
    <row r="1668">
      <c r="A1668" s="1" t="n"/>
      <c r="B1668" s="17" t="n"/>
      <c r="C1668" s="18" t="n"/>
      <c r="D1668" s="19" t="n"/>
      <c r="E1668" s="21" t="n"/>
      <c r="F1668" s="11">
        <f>IF(AND(B1668="",C1668="",D1668=""),"",IF(NOT(ISNUMBER(B1668)),"Needs a date",IF(D1668="","Needs the job",IF(AND(C1668&lt;&gt;"",C1668&lt;&gt;"All beds",COUNTIF(Beds!$B$6:$B$35,C1668)=0),"Not on Beds",""))))</f>
        <v/>
      </c>
      <c r="G1668" s="1">
        <f>IF(ISNUMBER(B1668),INT(B1668),0)</f>
        <v/>
      </c>
      <c r="H1668">
        <f>IF(AND(G1668&gt;0,D1668="Water",OR(C1668="",C1668="All beds")),G1668,0)</f>
        <v/>
      </c>
    </row>
    <row r="1669">
      <c r="A1669" s="1" t="n"/>
      <c r="B1669" s="17" t="n"/>
      <c r="C1669" s="18" t="n"/>
      <c r="D1669" s="19" t="n"/>
      <c r="E1669" s="21" t="n"/>
      <c r="F1669" s="11">
        <f>IF(AND(B1669="",C1669="",D1669=""),"",IF(NOT(ISNUMBER(B1669)),"Needs a date",IF(D1669="","Needs the job",IF(AND(C1669&lt;&gt;"",C1669&lt;&gt;"All beds",COUNTIF(Beds!$B$6:$B$35,C1669)=0),"Not on Beds",""))))</f>
        <v/>
      </c>
      <c r="G1669" s="1">
        <f>IF(ISNUMBER(B1669),INT(B1669),0)</f>
        <v/>
      </c>
      <c r="H1669">
        <f>IF(AND(G1669&gt;0,D1669="Water",OR(C1669="",C1669="All beds")),G1669,0)</f>
        <v/>
      </c>
    </row>
    <row r="1670">
      <c r="A1670" s="1" t="n"/>
      <c r="B1670" s="17" t="n"/>
      <c r="C1670" s="18" t="n"/>
      <c r="D1670" s="19" t="n"/>
      <c r="E1670" s="21" t="n"/>
      <c r="F1670" s="11">
        <f>IF(AND(B1670="",C1670="",D1670=""),"",IF(NOT(ISNUMBER(B1670)),"Needs a date",IF(D1670="","Needs the job",IF(AND(C1670&lt;&gt;"",C1670&lt;&gt;"All beds",COUNTIF(Beds!$B$6:$B$35,C1670)=0),"Not on Beds",""))))</f>
        <v/>
      </c>
      <c r="G1670" s="1">
        <f>IF(ISNUMBER(B1670),INT(B1670),0)</f>
        <v/>
      </c>
      <c r="H1670">
        <f>IF(AND(G1670&gt;0,D1670="Water",OR(C1670="",C1670="All beds")),G1670,0)</f>
        <v/>
      </c>
    </row>
    <row r="1671">
      <c r="A1671" s="1" t="n"/>
      <c r="B1671" s="17" t="n"/>
      <c r="C1671" s="18" t="n"/>
      <c r="D1671" s="19" t="n"/>
      <c r="E1671" s="21" t="n"/>
      <c r="F1671" s="11">
        <f>IF(AND(B1671="",C1671="",D1671=""),"",IF(NOT(ISNUMBER(B1671)),"Needs a date",IF(D1671="","Needs the job",IF(AND(C1671&lt;&gt;"",C1671&lt;&gt;"All beds",COUNTIF(Beds!$B$6:$B$35,C1671)=0),"Not on Beds",""))))</f>
        <v/>
      </c>
      <c r="G1671" s="1">
        <f>IF(ISNUMBER(B1671),INT(B1671),0)</f>
        <v/>
      </c>
      <c r="H1671">
        <f>IF(AND(G1671&gt;0,D1671="Water",OR(C1671="",C1671="All beds")),G1671,0)</f>
        <v/>
      </c>
    </row>
    <row r="1672">
      <c r="A1672" s="1" t="n"/>
      <c r="B1672" s="17" t="n"/>
      <c r="C1672" s="18" t="n"/>
      <c r="D1672" s="19" t="n"/>
      <c r="E1672" s="21" t="n"/>
      <c r="F1672" s="11">
        <f>IF(AND(B1672="",C1672="",D1672=""),"",IF(NOT(ISNUMBER(B1672)),"Needs a date",IF(D1672="","Needs the job",IF(AND(C1672&lt;&gt;"",C1672&lt;&gt;"All beds",COUNTIF(Beds!$B$6:$B$35,C1672)=0),"Not on Beds",""))))</f>
        <v/>
      </c>
      <c r="G1672" s="1">
        <f>IF(ISNUMBER(B1672),INT(B1672),0)</f>
        <v/>
      </c>
      <c r="H1672">
        <f>IF(AND(G1672&gt;0,D1672="Water",OR(C1672="",C1672="All beds")),G1672,0)</f>
        <v/>
      </c>
    </row>
    <row r="1673">
      <c r="A1673" s="1" t="n"/>
      <c r="B1673" s="17" t="n"/>
      <c r="C1673" s="18" t="n"/>
      <c r="D1673" s="19" t="n"/>
      <c r="E1673" s="21" t="n"/>
      <c r="F1673" s="11">
        <f>IF(AND(B1673="",C1673="",D1673=""),"",IF(NOT(ISNUMBER(B1673)),"Needs a date",IF(D1673="","Needs the job",IF(AND(C1673&lt;&gt;"",C1673&lt;&gt;"All beds",COUNTIF(Beds!$B$6:$B$35,C1673)=0),"Not on Beds",""))))</f>
        <v/>
      </c>
      <c r="G1673" s="1">
        <f>IF(ISNUMBER(B1673),INT(B1673),0)</f>
        <v/>
      </c>
      <c r="H1673">
        <f>IF(AND(G1673&gt;0,D1673="Water",OR(C1673="",C1673="All beds")),G1673,0)</f>
        <v/>
      </c>
    </row>
    <row r="1674">
      <c r="A1674" s="1" t="n"/>
      <c r="B1674" s="17" t="n"/>
      <c r="C1674" s="18" t="n"/>
      <c r="D1674" s="19" t="n"/>
      <c r="E1674" s="21" t="n"/>
      <c r="F1674" s="11">
        <f>IF(AND(B1674="",C1674="",D1674=""),"",IF(NOT(ISNUMBER(B1674)),"Needs a date",IF(D1674="","Needs the job",IF(AND(C1674&lt;&gt;"",C1674&lt;&gt;"All beds",COUNTIF(Beds!$B$6:$B$35,C1674)=0),"Not on Beds",""))))</f>
        <v/>
      </c>
      <c r="G1674" s="1">
        <f>IF(ISNUMBER(B1674),INT(B1674),0)</f>
        <v/>
      </c>
      <c r="H1674">
        <f>IF(AND(G1674&gt;0,D1674="Water",OR(C1674="",C1674="All beds")),G1674,0)</f>
        <v/>
      </c>
    </row>
    <row r="1675">
      <c r="A1675" s="1" t="n"/>
      <c r="B1675" s="17" t="n"/>
      <c r="C1675" s="18" t="n"/>
      <c r="D1675" s="19" t="n"/>
      <c r="E1675" s="21" t="n"/>
      <c r="F1675" s="11">
        <f>IF(AND(B1675="",C1675="",D1675=""),"",IF(NOT(ISNUMBER(B1675)),"Needs a date",IF(D1675="","Needs the job",IF(AND(C1675&lt;&gt;"",C1675&lt;&gt;"All beds",COUNTIF(Beds!$B$6:$B$35,C1675)=0),"Not on Beds",""))))</f>
        <v/>
      </c>
      <c r="G1675" s="1">
        <f>IF(ISNUMBER(B1675),INT(B1675),0)</f>
        <v/>
      </c>
      <c r="H1675">
        <f>IF(AND(G1675&gt;0,D1675="Water",OR(C1675="",C1675="All beds")),G1675,0)</f>
        <v/>
      </c>
    </row>
    <row r="1676">
      <c r="A1676" s="1" t="n"/>
      <c r="B1676" s="17" t="n"/>
      <c r="C1676" s="18" t="n"/>
      <c r="D1676" s="19" t="n"/>
      <c r="E1676" s="21" t="n"/>
      <c r="F1676" s="11">
        <f>IF(AND(B1676="",C1676="",D1676=""),"",IF(NOT(ISNUMBER(B1676)),"Needs a date",IF(D1676="","Needs the job",IF(AND(C1676&lt;&gt;"",C1676&lt;&gt;"All beds",COUNTIF(Beds!$B$6:$B$35,C1676)=0),"Not on Beds",""))))</f>
        <v/>
      </c>
      <c r="G1676" s="1">
        <f>IF(ISNUMBER(B1676),INT(B1676),0)</f>
        <v/>
      </c>
      <c r="H1676">
        <f>IF(AND(G1676&gt;0,D1676="Water",OR(C1676="",C1676="All beds")),G1676,0)</f>
        <v/>
      </c>
    </row>
    <row r="1677">
      <c r="A1677" s="1" t="n"/>
      <c r="B1677" s="17" t="n"/>
      <c r="C1677" s="18" t="n"/>
      <c r="D1677" s="19" t="n"/>
      <c r="E1677" s="21" t="n"/>
      <c r="F1677" s="11">
        <f>IF(AND(B1677="",C1677="",D1677=""),"",IF(NOT(ISNUMBER(B1677)),"Needs a date",IF(D1677="","Needs the job",IF(AND(C1677&lt;&gt;"",C1677&lt;&gt;"All beds",COUNTIF(Beds!$B$6:$B$35,C1677)=0),"Not on Beds",""))))</f>
        <v/>
      </c>
      <c r="G1677" s="1">
        <f>IF(ISNUMBER(B1677),INT(B1677),0)</f>
        <v/>
      </c>
      <c r="H1677">
        <f>IF(AND(G1677&gt;0,D1677="Water",OR(C1677="",C1677="All beds")),G1677,0)</f>
        <v/>
      </c>
    </row>
    <row r="1678">
      <c r="A1678" s="1" t="n"/>
      <c r="B1678" s="17" t="n"/>
      <c r="C1678" s="18" t="n"/>
      <c r="D1678" s="19" t="n"/>
      <c r="E1678" s="21" t="n"/>
      <c r="F1678" s="11">
        <f>IF(AND(B1678="",C1678="",D1678=""),"",IF(NOT(ISNUMBER(B1678)),"Needs a date",IF(D1678="","Needs the job",IF(AND(C1678&lt;&gt;"",C1678&lt;&gt;"All beds",COUNTIF(Beds!$B$6:$B$35,C1678)=0),"Not on Beds",""))))</f>
        <v/>
      </c>
      <c r="G1678" s="1">
        <f>IF(ISNUMBER(B1678),INT(B1678),0)</f>
        <v/>
      </c>
      <c r="H1678">
        <f>IF(AND(G1678&gt;0,D1678="Water",OR(C1678="",C1678="All beds")),G1678,0)</f>
        <v/>
      </c>
    </row>
    <row r="1679">
      <c r="A1679" s="1" t="n"/>
      <c r="B1679" s="17" t="n"/>
      <c r="C1679" s="18" t="n"/>
      <c r="D1679" s="19" t="n"/>
      <c r="E1679" s="21" t="n"/>
      <c r="F1679" s="11">
        <f>IF(AND(B1679="",C1679="",D1679=""),"",IF(NOT(ISNUMBER(B1679)),"Needs a date",IF(D1679="","Needs the job",IF(AND(C1679&lt;&gt;"",C1679&lt;&gt;"All beds",COUNTIF(Beds!$B$6:$B$35,C1679)=0),"Not on Beds",""))))</f>
        <v/>
      </c>
      <c r="G1679" s="1">
        <f>IF(ISNUMBER(B1679),INT(B1679),0)</f>
        <v/>
      </c>
      <c r="H1679">
        <f>IF(AND(G1679&gt;0,D1679="Water",OR(C1679="",C1679="All beds")),G1679,0)</f>
        <v/>
      </c>
    </row>
    <row r="1680">
      <c r="A1680" s="1" t="n"/>
      <c r="B1680" s="17" t="n"/>
      <c r="C1680" s="18" t="n"/>
      <c r="D1680" s="19" t="n"/>
      <c r="E1680" s="21" t="n"/>
      <c r="F1680" s="11">
        <f>IF(AND(B1680="",C1680="",D1680=""),"",IF(NOT(ISNUMBER(B1680)),"Needs a date",IF(D1680="","Needs the job",IF(AND(C1680&lt;&gt;"",C1680&lt;&gt;"All beds",COUNTIF(Beds!$B$6:$B$35,C1680)=0),"Not on Beds",""))))</f>
        <v/>
      </c>
      <c r="G1680" s="1">
        <f>IF(ISNUMBER(B1680),INT(B1680),0)</f>
        <v/>
      </c>
      <c r="H1680">
        <f>IF(AND(G1680&gt;0,D1680="Water",OR(C1680="",C1680="All beds")),G1680,0)</f>
        <v/>
      </c>
    </row>
    <row r="1681">
      <c r="A1681" s="1" t="n"/>
      <c r="B1681" s="17" t="n"/>
      <c r="C1681" s="18" t="n"/>
      <c r="D1681" s="19" t="n"/>
      <c r="E1681" s="21" t="n"/>
      <c r="F1681" s="11">
        <f>IF(AND(B1681="",C1681="",D1681=""),"",IF(NOT(ISNUMBER(B1681)),"Needs a date",IF(D1681="","Needs the job",IF(AND(C1681&lt;&gt;"",C1681&lt;&gt;"All beds",COUNTIF(Beds!$B$6:$B$35,C1681)=0),"Not on Beds",""))))</f>
        <v/>
      </c>
      <c r="G1681" s="1">
        <f>IF(ISNUMBER(B1681),INT(B1681),0)</f>
        <v/>
      </c>
      <c r="H1681">
        <f>IF(AND(G1681&gt;0,D1681="Water",OR(C1681="",C1681="All beds")),G1681,0)</f>
        <v/>
      </c>
    </row>
    <row r="1682">
      <c r="A1682" s="1" t="n"/>
      <c r="B1682" s="17" t="n"/>
      <c r="C1682" s="18" t="n"/>
      <c r="D1682" s="19" t="n"/>
      <c r="E1682" s="21" t="n"/>
      <c r="F1682" s="11">
        <f>IF(AND(B1682="",C1682="",D1682=""),"",IF(NOT(ISNUMBER(B1682)),"Needs a date",IF(D1682="","Needs the job",IF(AND(C1682&lt;&gt;"",C1682&lt;&gt;"All beds",COUNTIF(Beds!$B$6:$B$35,C1682)=0),"Not on Beds",""))))</f>
        <v/>
      </c>
      <c r="G1682" s="1">
        <f>IF(ISNUMBER(B1682),INT(B1682),0)</f>
        <v/>
      </c>
      <c r="H1682">
        <f>IF(AND(G1682&gt;0,D1682="Water",OR(C1682="",C1682="All beds")),G1682,0)</f>
        <v/>
      </c>
    </row>
    <row r="1683">
      <c r="A1683" s="1" t="n"/>
      <c r="B1683" s="17" t="n"/>
      <c r="C1683" s="18" t="n"/>
      <c r="D1683" s="19" t="n"/>
      <c r="E1683" s="21" t="n"/>
      <c r="F1683" s="11">
        <f>IF(AND(B1683="",C1683="",D1683=""),"",IF(NOT(ISNUMBER(B1683)),"Needs a date",IF(D1683="","Needs the job",IF(AND(C1683&lt;&gt;"",C1683&lt;&gt;"All beds",COUNTIF(Beds!$B$6:$B$35,C1683)=0),"Not on Beds",""))))</f>
        <v/>
      </c>
      <c r="G1683" s="1">
        <f>IF(ISNUMBER(B1683),INT(B1683),0)</f>
        <v/>
      </c>
      <c r="H1683">
        <f>IF(AND(G1683&gt;0,D1683="Water",OR(C1683="",C1683="All beds")),G1683,0)</f>
        <v/>
      </c>
    </row>
    <row r="1684">
      <c r="A1684" s="1" t="n"/>
      <c r="B1684" s="17" t="n"/>
      <c r="C1684" s="18" t="n"/>
      <c r="D1684" s="19" t="n"/>
      <c r="E1684" s="21" t="n"/>
      <c r="F1684" s="11">
        <f>IF(AND(B1684="",C1684="",D1684=""),"",IF(NOT(ISNUMBER(B1684)),"Needs a date",IF(D1684="","Needs the job",IF(AND(C1684&lt;&gt;"",C1684&lt;&gt;"All beds",COUNTIF(Beds!$B$6:$B$35,C1684)=0),"Not on Beds",""))))</f>
        <v/>
      </c>
      <c r="G1684" s="1">
        <f>IF(ISNUMBER(B1684),INT(B1684),0)</f>
        <v/>
      </c>
      <c r="H1684">
        <f>IF(AND(G1684&gt;0,D1684="Water",OR(C1684="",C1684="All beds")),G1684,0)</f>
        <v/>
      </c>
    </row>
    <row r="1685">
      <c r="A1685" s="1" t="n"/>
      <c r="B1685" s="17" t="n"/>
      <c r="C1685" s="18" t="n"/>
      <c r="D1685" s="19" t="n"/>
      <c r="E1685" s="21" t="n"/>
      <c r="F1685" s="11">
        <f>IF(AND(B1685="",C1685="",D1685=""),"",IF(NOT(ISNUMBER(B1685)),"Needs a date",IF(D1685="","Needs the job",IF(AND(C1685&lt;&gt;"",C1685&lt;&gt;"All beds",COUNTIF(Beds!$B$6:$B$35,C1685)=0),"Not on Beds",""))))</f>
        <v/>
      </c>
      <c r="G1685" s="1">
        <f>IF(ISNUMBER(B1685),INT(B1685),0)</f>
        <v/>
      </c>
      <c r="H1685">
        <f>IF(AND(G1685&gt;0,D1685="Water",OR(C1685="",C1685="All beds")),G1685,0)</f>
        <v/>
      </c>
    </row>
    <row r="1686">
      <c r="A1686" s="1" t="n"/>
      <c r="B1686" s="17" t="n"/>
      <c r="C1686" s="18" t="n"/>
      <c r="D1686" s="19" t="n"/>
      <c r="E1686" s="21" t="n"/>
      <c r="F1686" s="11">
        <f>IF(AND(B1686="",C1686="",D1686=""),"",IF(NOT(ISNUMBER(B1686)),"Needs a date",IF(D1686="","Needs the job",IF(AND(C1686&lt;&gt;"",C1686&lt;&gt;"All beds",COUNTIF(Beds!$B$6:$B$35,C1686)=0),"Not on Beds",""))))</f>
        <v/>
      </c>
      <c r="G1686" s="1">
        <f>IF(ISNUMBER(B1686),INT(B1686),0)</f>
        <v/>
      </c>
      <c r="H1686">
        <f>IF(AND(G1686&gt;0,D1686="Water",OR(C1686="",C1686="All beds")),G1686,0)</f>
        <v/>
      </c>
    </row>
    <row r="1687">
      <c r="A1687" s="1" t="n"/>
      <c r="B1687" s="17" t="n"/>
      <c r="C1687" s="18" t="n"/>
      <c r="D1687" s="19" t="n"/>
      <c r="E1687" s="21" t="n"/>
      <c r="F1687" s="11">
        <f>IF(AND(B1687="",C1687="",D1687=""),"",IF(NOT(ISNUMBER(B1687)),"Needs a date",IF(D1687="","Needs the job",IF(AND(C1687&lt;&gt;"",C1687&lt;&gt;"All beds",COUNTIF(Beds!$B$6:$B$35,C1687)=0),"Not on Beds",""))))</f>
        <v/>
      </c>
      <c r="G1687" s="1">
        <f>IF(ISNUMBER(B1687),INT(B1687),0)</f>
        <v/>
      </c>
      <c r="H1687">
        <f>IF(AND(G1687&gt;0,D1687="Water",OR(C1687="",C1687="All beds")),G1687,0)</f>
        <v/>
      </c>
    </row>
    <row r="1688">
      <c r="A1688" s="1" t="n"/>
      <c r="B1688" s="17" t="n"/>
      <c r="C1688" s="18" t="n"/>
      <c r="D1688" s="19" t="n"/>
      <c r="E1688" s="21" t="n"/>
      <c r="F1688" s="11">
        <f>IF(AND(B1688="",C1688="",D1688=""),"",IF(NOT(ISNUMBER(B1688)),"Needs a date",IF(D1688="","Needs the job",IF(AND(C1688&lt;&gt;"",C1688&lt;&gt;"All beds",COUNTIF(Beds!$B$6:$B$35,C1688)=0),"Not on Beds",""))))</f>
        <v/>
      </c>
      <c r="G1688" s="1">
        <f>IF(ISNUMBER(B1688),INT(B1688),0)</f>
        <v/>
      </c>
      <c r="H1688">
        <f>IF(AND(G1688&gt;0,D1688="Water",OR(C1688="",C1688="All beds")),G1688,0)</f>
        <v/>
      </c>
    </row>
    <row r="1689">
      <c r="A1689" s="1" t="n"/>
      <c r="B1689" s="17" t="n"/>
      <c r="C1689" s="18" t="n"/>
      <c r="D1689" s="19" t="n"/>
      <c r="E1689" s="21" t="n"/>
      <c r="F1689" s="11">
        <f>IF(AND(B1689="",C1689="",D1689=""),"",IF(NOT(ISNUMBER(B1689)),"Needs a date",IF(D1689="","Needs the job",IF(AND(C1689&lt;&gt;"",C1689&lt;&gt;"All beds",COUNTIF(Beds!$B$6:$B$35,C1689)=0),"Not on Beds",""))))</f>
        <v/>
      </c>
      <c r="G1689" s="1">
        <f>IF(ISNUMBER(B1689),INT(B1689),0)</f>
        <v/>
      </c>
      <c r="H1689">
        <f>IF(AND(G1689&gt;0,D1689="Water",OR(C1689="",C1689="All beds")),G1689,0)</f>
        <v/>
      </c>
    </row>
    <row r="1690">
      <c r="A1690" s="1" t="n"/>
      <c r="B1690" s="17" t="n"/>
      <c r="C1690" s="18" t="n"/>
      <c r="D1690" s="19" t="n"/>
      <c r="E1690" s="21" t="n"/>
      <c r="F1690" s="11">
        <f>IF(AND(B1690="",C1690="",D1690=""),"",IF(NOT(ISNUMBER(B1690)),"Needs a date",IF(D1690="","Needs the job",IF(AND(C1690&lt;&gt;"",C1690&lt;&gt;"All beds",COUNTIF(Beds!$B$6:$B$35,C1690)=0),"Not on Beds",""))))</f>
        <v/>
      </c>
      <c r="G1690" s="1">
        <f>IF(ISNUMBER(B1690),INT(B1690),0)</f>
        <v/>
      </c>
      <c r="H1690">
        <f>IF(AND(G1690&gt;0,D1690="Water",OR(C1690="",C1690="All beds")),G1690,0)</f>
        <v/>
      </c>
    </row>
    <row r="1691">
      <c r="A1691" s="1" t="n"/>
      <c r="B1691" s="17" t="n"/>
      <c r="C1691" s="18" t="n"/>
      <c r="D1691" s="19" t="n"/>
      <c r="E1691" s="21" t="n"/>
      <c r="F1691" s="11">
        <f>IF(AND(B1691="",C1691="",D1691=""),"",IF(NOT(ISNUMBER(B1691)),"Needs a date",IF(D1691="","Needs the job",IF(AND(C1691&lt;&gt;"",C1691&lt;&gt;"All beds",COUNTIF(Beds!$B$6:$B$35,C1691)=0),"Not on Beds",""))))</f>
        <v/>
      </c>
      <c r="G1691" s="1">
        <f>IF(ISNUMBER(B1691),INT(B1691),0)</f>
        <v/>
      </c>
      <c r="H1691">
        <f>IF(AND(G1691&gt;0,D1691="Water",OR(C1691="",C1691="All beds")),G1691,0)</f>
        <v/>
      </c>
    </row>
    <row r="1692">
      <c r="A1692" s="1" t="n"/>
      <c r="B1692" s="17" t="n"/>
      <c r="C1692" s="18" t="n"/>
      <c r="D1692" s="19" t="n"/>
      <c r="E1692" s="21" t="n"/>
      <c r="F1692" s="11">
        <f>IF(AND(B1692="",C1692="",D1692=""),"",IF(NOT(ISNUMBER(B1692)),"Needs a date",IF(D1692="","Needs the job",IF(AND(C1692&lt;&gt;"",C1692&lt;&gt;"All beds",COUNTIF(Beds!$B$6:$B$35,C1692)=0),"Not on Beds",""))))</f>
        <v/>
      </c>
      <c r="G1692" s="1">
        <f>IF(ISNUMBER(B1692),INT(B1692),0)</f>
        <v/>
      </c>
      <c r="H1692">
        <f>IF(AND(G1692&gt;0,D1692="Water",OR(C1692="",C1692="All beds")),G1692,0)</f>
        <v/>
      </c>
    </row>
    <row r="1693">
      <c r="A1693" s="1" t="n"/>
      <c r="B1693" s="17" t="n"/>
      <c r="C1693" s="18" t="n"/>
      <c r="D1693" s="19" t="n"/>
      <c r="E1693" s="21" t="n"/>
      <c r="F1693" s="11">
        <f>IF(AND(B1693="",C1693="",D1693=""),"",IF(NOT(ISNUMBER(B1693)),"Needs a date",IF(D1693="","Needs the job",IF(AND(C1693&lt;&gt;"",C1693&lt;&gt;"All beds",COUNTIF(Beds!$B$6:$B$35,C1693)=0),"Not on Beds",""))))</f>
        <v/>
      </c>
      <c r="G1693" s="1">
        <f>IF(ISNUMBER(B1693),INT(B1693),0)</f>
        <v/>
      </c>
      <c r="H1693">
        <f>IF(AND(G1693&gt;0,D1693="Water",OR(C1693="",C1693="All beds")),G1693,0)</f>
        <v/>
      </c>
    </row>
    <row r="1694">
      <c r="A1694" s="1" t="n"/>
      <c r="B1694" s="17" t="n"/>
      <c r="C1694" s="18" t="n"/>
      <c r="D1694" s="19" t="n"/>
      <c r="E1694" s="21" t="n"/>
      <c r="F1694" s="11">
        <f>IF(AND(B1694="",C1694="",D1694=""),"",IF(NOT(ISNUMBER(B1694)),"Needs a date",IF(D1694="","Needs the job",IF(AND(C1694&lt;&gt;"",C1694&lt;&gt;"All beds",COUNTIF(Beds!$B$6:$B$35,C1694)=0),"Not on Beds",""))))</f>
        <v/>
      </c>
      <c r="G1694" s="1">
        <f>IF(ISNUMBER(B1694),INT(B1694),0)</f>
        <v/>
      </c>
      <c r="H1694">
        <f>IF(AND(G1694&gt;0,D1694="Water",OR(C1694="",C1694="All beds")),G1694,0)</f>
        <v/>
      </c>
    </row>
    <row r="1695">
      <c r="A1695" s="1" t="n"/>
      <c r="B1695" s="17" t="n"/>
      <c r="C1695" s="18" t="n"/>
      <c r="D1695" s="19" t="n"/>
      <c r="E1695" s="21" t="n"/>
      <c r="F1695" s="11">
        <f>IF(AND(B1695="",C1695="",D1695=""),"",IF(NOT(ISNUMBER(B1695)),"Needs a date",IF(D1695="","Needs the job",IF(AND(C1695&lt;&gt;"",C1695&lt;&gt;"All beds",COUNTIF(Beds!$B$6:$B$35,C1695)=0),"Not on Beds",""))))</f>
        <v/>
      </c>
      <c r="G1695" s="1">
        <f>IF(ISNUMBER(B1695),INT(B1695),0)</f>
        <v/>
      </c>
      <c r="H1695">
        <f>IF(AND(G1695&gt;0,D1695="Water",OR(C1695="",C1695="All beds")),G1695,0)</f>
        <v/>
      </c>
    </row>
    <row r="1696">
      <c r="A1696" s="1" t="n"/>
      <c r="B1696" s="17" t="n"/>
      <c r="C1696" s="18" t="n"/>
      <c r="D1696" s="19" t="n"/>
      <c r="E1696" s="21" t="n"/>
      <c r="F1696" s="11">
        <f>IF(AND(B1696="",C1696="",D1696=""),"",IF(NOT(ISNUMBER(B1696)),"Needs a date",IF(D1696="","Needs the job",IF(AND(C1696&lt;&gt;"",C1696&lt;&gt;"All beds",COUNTIF(Beds!$B$6:$B$35,C1696)=0),"Not on Beds",""))))</f>
        <v/>
      </c>
      <c r="G1696" s="1">
        <f>IF(ISNUMBER(B1696),INT(B1696),0)</f>
        <v/>
      </c>
      <c r="H1696">
        <f>IF(AND(G1696&gt;0,D1696="Water",OR(C1696="",C1696="All beds")),G1696,0)</f>
        <v/>
      </c>
    </row>
    <row r="1697">
      <c r="A1697" s="1" t="n"/>
      <c r="B1697" s="17" t="n"/>
      <c r="C1697" s="18" t="n"/>
      <c r="D1697" s="19" t="n"/>
      <c r="E1697" s="21" t="n"/>
      <c r="F1697" s="11">
        <f>IF(AND(B1697="",C1697="",D1697=""),"",IF(NOT(ISNUMBER(B1697)),"Needs a date",IF(D1697="","Needs the job",IF(AND(C1697&lt;&gt;"",C1697&lt;&gt;"All beds",COUNTIF(Beds!$B$6:$B$35,C1697)=0),"Not on Beds",""))))</f>
        <v/>
      </c>
      <c r="G1697" s="1">
        <f>IF(ISNUMBER(B1697),INT(B1697),0)</f>
        <v/>
      </c>
      <c r="H1697">
        <f>IF(AND(G1697&gt;0,D1697="Water",OR(C1697="",C1697="All beds")),G1697,0)</f>
        <v/>
      </c>
    </row>
    <row r="1698">
      <c r="A1698" s="1" t="n"/>
      <c r="B1698" s="17" t="n"/>
      <c r="C1698" s="18" t="n"/>
      <c r="D1698" s="19" t="n"/>
      <c r="E1698" s="21" t="n"/>
      <c r="F1698" s="11">
        <f>IF(AND(B1698="",C1698="",D1698=""),"",IF(NOT(ISNUMBER(B1698)),"Needs a date",IF(D1698="","Needs the job",IF(AND(C1698&lt;&gt;"",C1698&lt;&gt;"All beds",COUNTIF(Beds!$B$6:$B$35,C1698)=0),"Not on Beds",""))))</f>
        <v/>
      </c>
      <c r="G1698" s="1">
        <f>IF(ISNUMBER(B1698),INT(B1698),0)</f>
        <v/>
      </c>
      <c r="H1698">
        <f>IF(AND(G1698&gt;0,D1698="Water",OR(C1698="",C1698="All beds")),G1698,0)</f>
        <v/>
      </c>
    </row>
    <row r="1699">
      <c r="A1699" s="1" t="n"/>
      <c r="B1699" s="17" t="n"/>
      <c r="C1699" s="18" t="n"/>
      <c r="D1699" s="19" t="n"/>
      <c r="E1699" s="21" t="n"/>
      <c r="F1699" s="11">
        <f>IF(AND(B1699="",C1699="",D1699=""),"",IF(NOT(ISNUMBER(B1699)),"Needs a date",IF(D1699="","Needs the job",IF(AND(C1699&lt;&gt;"",C1699&lt;&gt;"All beds",COUNTIF(Beds!$B$6:$B$35,C1699)=0),"Not on Beds",""))))</f>
        <v/>
      </c>
      <c r="G1699" s="1">
        <f>IF(ISNUMBER(B1699),INT(B1699),0)</f>
        <v/>
      </c>
      <c r="H1699">
        <f>IF(AND(G1699&gt;0,D1699="Water",OR(C1699="",C1699="All beds")),G1699,0)</f>
        <v/>
      </c>
    </row>
    <row r="1700">
      <c r="A1700" s="1" t="n"/>
      <c r="B1700" s="17" t="n"/>
      <c r="C1700" s="18" t="n"/>
      <c r="D1700" s="19" t="n"/>
      <c r="E1700" s="21" t="n"/>
      <c r="F1700" s="11">
        <f>IF(AND(B1700="",C1700="",D1700=""),"",IF(NOT(ISNUMBER(B1700)),"Needs a date",IF(D1700="","Needs the job",IF(AND(C1700&lt;&gt;"",C1700&lt;&gt;"All beds",COUNTIF(Beds!$B$6:$B$35,C1700)=0),"Not on Beds",""))))</f>
        <v/>
      </c>
      <c r="G1700" s="1">
        <f>IF(ISNUMBER(B1700),INT(B1700),0)</f>
        <v/>
      </c>
      <c r="H1700">
        <f>IF(AND(G1700&gt;0,D1700="Water",OR(C1700="",C1700="All beds")),G1700,0)</f>
        <v/>
      </c>
    </row>
    <row r="1701">
      <c r="A1701" s="1" t="n"/>
      <c r="B1701" s="17" t="n"/>
      <c r="C1701" s="18" t="n"/>
      <c r="D1701" s="19" t="n"/>
      <c r="E1701" s="21" t="n"/>
      <c r="F1701" s="11">
        <f>IF(AND(B1701="",C1701="",D1701=""),"",IF(NOT(ISNUMBER(B1701)),"Needs a date",IF(D1701="","Needs the job",IF(AND(C1701&lt;&gt;"",C1701&lt;&gt;"All beds",COUNTIF(Beds!$B$6:$B$35,C1701)=0),"Not on Beds",""))))</f>
        <v/>
      </c>
      <c r="G1701" s="1">
        <f>IF(ISNUMBER(B1701),INT(B1701),0)</f>
        <v/>
      </c>
      <c r="H1701">
        <f>IF(AND(G1701&gt;0,D1701="Water",OR(C1701="",C1701="All beds")),G1701,0)</f>
        <v/>
      </c>
    </row>
    <row r="1702">
      <c r="A1702" s="1" t="n"/>
      <c r="B1702" s="17" t="n"/>
      <c r="C1702" s="18" t="n"/>
      <c r="D1702" s="19" t="n"/>
      <c r="E1702" s="21" t="n"/>
      <c r="F1702" s="11">
        <f>IF(AND(B1702="",C1702="",D1702=""),"",IF(NOT(ISNUMBER(B1702)),"Needs a date",IF(D1702="","Needs the job",IF(AND(C1702&lt;&gt;"",C1702&lt;&gt;"All beds",COUNTIF(Beds!$B$6:$B$35,C1702)=0),"Not on Beds",""))))</f>
        <v/>
      </c>
      <c r="G1702" s="1">
        <f>IF(ISNUMBER(B1702),INT(B1702),0)</f>
        <v/>
      </c>
      <c r="H1702">
        <f>IF(AND(G1702&gt;0,D1702="Water",OR(C1702="",C1702="All beds")),G1702,0)</f>
        <v/>
      </c>
    </row>
    <row r="1703">
      <c r="A1703" s="1" t="n"/>
      <c r="B1703" s="17" t="n"/>
      <c r="C1703" s="18" t="n"/>
      <c r="D1703" s="19" t="n"/>
      <c r="E1703" s="21" t="n"/>
      <c r="F1703" s="11">
        <f>IF(AND(B1703="",C1703="",D1703=""),"",IF(NOT(ISNUMBER(B1703)),"Needs a date",IF(D1703="","Needs the job",IF(AND(C1703&lt;&gt;"",C1703&lt;&gt;"All beds",COUNTIF(Beds!$B$6:$B$35,C1703)=0),"Not on Beds",""))))</f>
        <v/>
      </c>
      <c r="G1703" s="1">
        <f>IF(ISNUMBER(B1703),INT(B1703),0)</f>
        <v/>
      </c>
      <c r="H1703">
        <f>IF(AND(G1703&gt;0,D1703="Water",OR(C1703="",C1703="All beds")),G1703,0)</f>
        <v/>
      </c>
    </row>
    <row r="1704">
      <c r="A1704" s="1" t="n"/>
      <c r="B1704" s="17" t="n"/>
      <c r="C1704" s="18" t="n"/>
      <c r="D1704" s="19" t="n"/>
      <c r="E1704" s="21" t="n"/>
      <c r="F1704" s="11">
        <f>IF(AND(B1704="",C1704="",D1704=""),"",IF(NOT(ISNUMBER(B1704)),"Needs a date",IF(D1704="","Needs the job",IF(AND(C1704&lt;&gt;"",C1704&lt;&gt;"All beds",COUNTIF(Beds!$B$6:$B$35,C1704)=0),"Not on Beds",""))))</f>
        <v/>
      </c>
      <c r="G1704" s="1">
        <f>IF(ISNUMBER(B1704),INT(B1704),0)</f>
        <v/>
      </c>
      <c r="H1704">
        <f>IF(AND(G1704&gt;0,D1704="Water",OR(C1704="",C1704="All beds")),G1704,0)</f>
        <v/>
      </c>
    </row>
    <row r="1705">
      <c r="A1705" s="1" t="n"/>
      <c r="B1705" s="17" t="n"/>
      <c r="C1705" s="18" t="n"/>
      <c r="D1705" s="19" t="n"/>
      <c r="E1705" s="21" t="n"/>
      <c r="F1705" s="11">
        <f>IF(AND(B1705="",C1705="",D1705=""),"",IF(NOT(ISNUMBER(B1705)),"Needs a date",IF(D1705="","Needs the job",IF(AND(C1705&lt;&gt;"",C1705&lt;&gt;"All beds",COUNTIF(Beds!$B$6:$B$35,C1705)=0),"Not on Beds",""))))</f>
        <v/>
      </c>
      <c r="G1705" s="1">
        <f>IF(ISNUMBER(B1705),INT(B1705),0)</f>
        <v/>
      </c>
      <c r="H1705">
        <f>IF(AND(G1705&gt;0,D1705="Water",OR(C1705="",C1705="All beds")),G1705,0)</f>
        <v/>
      </c>
    </row>
    <row r="1706">
      <c r="A1706" s="1" t="n"/>
      <c r="B1706" s="17" t="n"/>
      <c r="C1706" s="18" t="n"/>
      <c r="D1706" s="19" t="n"/>
      <c r="E1706" s="21" t="n"/>
      <c r="F1706" s="11">
        <f>IF(AND(B1706="",C1706="",D1706=""),"",IF(NOT(ISNUMBER(B1706)),"Needs a date",IF(D1706="","Needs the job",IF(AND(C1706&lt;&gt;"",C1706&lt;&gt;"All beds",COUNTIF(Beds!$B$6:$B$35,C1706)=0),"Not on Beds",""))))</f>
        <v/>
      </c>
      <c r="G1706" s="1">
        <f>IF(ISNUMBER(B1706),INT(B1706),0)</f>
        <v/>
      </c>
      <c r="H1706">
        <f>IF(AND(G1706&gt;0,D1706="Water",OR(C1706="",C1706="All beds")),G1706,0)</f>
        <v/>
      </c>
    </row>
    <row r="1707">
      <c r="A1707" s="1" t="n"/>
      <c r="B1707" s="17" t="n"/>
      <c r="C1707" s="18" t="n"/>
      <c r="D1707" s="19" t="n"/>
      <c r="E1707" s="21" t="n"/>
      <c r="F1707" s="11">
        <f>IF(AND(B1707="",C1707="",D1707=""),"",IF(NOT(ISNUMBER(B1707)),"Needs a date",IF(D1707="","Needs the job",IF(AND(C1707&lt;&gt;"",C1707&lt;&gt;"All beds",COUNTIF(Beds!$B$6:$B$35,C1707)=0),"Not on Beds",""))))</f>
        <v/>
      </c>
      <c r="G1707" s="1">
        <f>IF(ISNUMBER(B1707),INT(B1707),0)</f>
        <v/>
      </c>
      <c r="H1707">
        <f>IF(AND(G1707&gt;0,D1707="Water",OR(C1707="",C1707="All beds")),G1707,0)</f>
        <v/>
      </c>
    </row>
    <row r="1708">
      <c r="A1708" s="1" t="n"/>
      <c r="B1708" s="17" t="n"/>
      <c r="C1708" s="18" t="n"/>
      <c r="D1708" s="19" t="n"/>
      <c r="E1708" s="21" t="n"/>
      <c r="F1708" s="11">
        <f>IF(AND(B1708="",C1708="",D1708=""),"",IF(NOT(ISNUMBER(B1708)),"Needs a date",IF(D1708="","Needs the job",IF(AND(C1708&lt;&gt;"",C1708&lt;&gt;"All beds",COUNTIF(Beds!$B$6:$B$35,C1708)=0),"Not on Beds",""))))</f>
        <v/>
      </c>
      <c r="G1708" s="1">
        <f>IF(ISNUMBER(B1708),INT(B1708),0)</f>
        <v/>
      </c>
      <c r="H1708">
        <f>IF(AND(G1708&gt;0,D1708="Water",OR(C1708="",C1708="All beds")),G1708,0)</f>
        <v/>
      </c>
    </row>
    <row r="1709">
      <c r="A1709" s="1" t="n"/>
      <c r="B1709" s="17" t="n"/>
      <c r="C1709" s="18" t="n"/>
      <c r="D1709" s="19" t="n"/>
      <c r="E1709" s="21" t="n"/>
      <c r="F1709" s="11">
        <f>IF(AND(B1709="",C1709="",D1709=""),"",IF(NOT(ISNUMBER(B1709)),"Needs a date",IF(D1709="","Needs the job",IF(AND(C1709&lt;&gt;"",C1709&lt;&gt;"All beds",COUNTIF(Beds!$B$6:$B$35,C1709)=0),"Not on Beds",""))))</f>
        <v/>
      </c>
      <c r="G1709" s="1">
        <f>IF(ISNUMBER(B1709),INT(B1709),0)</f>
        <v/>
      </c>
      <c r="H1709">
        <f>IF(AND(G1709&gt;0,D1709="Water",OR(C1709="",C1709="All beds")),G1709,0)</f>
        <v/>
      </c>
    </row>
    <row r="1710">
      <c r="A1710" s="1" t="n"/>
      <c r="B1710" s="17" t="n"/>
      <c r="C1710" s="18" t="n"/>
      <c r="D1710" s="19" t="n"/>
      <c r="E1710" s="21" t="n"/>
      <c r="F1710" s="11">
        <f>IF(AND(B1710="",C1710="",D1710=""),"",IF(NOT(ISNUMBER(B1710)),"Needs a date",IF(D1710="","Needs the job",IF(AND(C1710&lt;&gt;"",C1710&lt;&gt;"All beds",COUNTIF(Beds!$B$6:$B$35,C1710)=0),"Not on Beds",""))))</f>
        <v/>
      </c>
      <c r="G1710" s="1">
        <f>IF(ISNUMBER(B1710),INT(B1710),0)</f>
        <v/>
      </c>
      <c r="H1710">
        <f>IF(AND(G1710&gt;0,D1710="Water",OR(C1710="",C1710="All beds")),G1710,0)</f>
        <v/>
      </c>
    </row>
    <row r="1711">
      <c r="A1711" s="1" t="n"/>
      <c r="B1711" s="17" t="n"/>
      <c r="C1711" s="18" t="n"/>
      <c r="D1711" s="19" t="n"/>
      <c r="E1711" s="21" t="n"/>
      <c r="F1711" s="11">
        <f>IF(AND(B1711="",C1711="",D1711=""),"",IF(NOT(ISNUMBER(B1711)),"Needs a date",IF(D1711="","Needs the job",IF(AND(C1711&lt;&gt;"",C1711&lt;&gt;"All beds",COUNTIF(Beds!$B$6:$B$35,C1711)=0),"Not on Beds",""))))</f>
        <v/>
      </c>
      <c r="G1711" s="1">
        <f>IF(ISNUMBER(B1711),INT(B1711),0)</f>
        <v/>
      </c>
      <c r="H1711">
        <f>IF(AND(G1711&gt;0,D1711="Water",OR(C1711="",C1711="All beds")),G1711,0)</f>
        <v/>
      </c>
    </row>
    <row r="1712">
      <c r="A1712" s="1" t="n"/>
      <c r="B1712" s="17" t="n"/>
      <c r="C1712" s="18" t="n"/>
      <c r="D1712" s="19" t="n"/>
      <c r="E1712" s="21" t="n"/>
      <c r="F1712" s="11">
        <f>IF(AND(B1712="",C1712="",D1712=""),"",IF(NOT(ISNUMBER(B1712)),"Needs a date",IF(D1712="","Needs the job",IF(AND(C1712&lt;&gt;"",C1712&lt;&gt;"All beds",COUNTIF(Beds!$B$6:$B$35,C1712)=0),"Not on Beds",""))))</f>
        <v/>
      </c>
      <c r="G1712" s="1">
        <f>IF(ISNUMBER(B1712),INT(B1712),0)</f>
        <v/>
      </c>
      <c r="H1712">
        <f>IF(AND(G1712&gt;0,D1712="Water",OR(C1712="",C1712="All beds")),G1712,0)</f>
        <v/>
      </c>
    </row>
    <row r="1713">
      <c r="A1713" s="1" t="n"/>
      <c r="B1713" s="17" t="n"/>
      <c r="C1713" s="18" t="n"/>
      <c r="D1713" s="19" t="n"/>
      <c r="E1713" s="21" t="n"/>
      <c r="F1713" s="11">
        <f>IF(AND(B1713="",C1713="",D1713=""),"",IF(NOT(ISNUMBER(B1713)),"Needs a date",IF(D1713="","Needs the job",IF(AND(C1713&lt;&gt;"",C1713&lt;&gt;"All beds",COUNTIF(Beds!$B$6:$B$35,C1713)=0),"Not on Beds",""))))</f>
        <v/>
      </c>
      <c r="G1713" s="1">
        <f>IF(ISNUMBER(B1713),INT(B1713),0)</f>
        <v/>
      </c>
      <c r="H1713">
        <f>IF(AND(G1713&gt;0,D1713="Water",OR(C1713="",C1713="All beds")),G1713,0)</f>
        <v/>
      </c>
    </row>
    <row r="1714">
      <c r="A1714" s="1" t="n"/>
      <c r="B1714" s="17" t="n"/>
      <c r="C1714" s="18" t="n"/>
      <c r="D1714" s="19" t="n"/>
      <c r="E1714" s="21" t="n"/>
      <c r="F1714" s="11">
        <f>IF(AND(B1714="",C1714="",D1714=""),"",IF(NOT(ISNUMBER(B1714)),"Needs a date",IF(D1714="","Needs the job",IF(AND(C1714&lt;&gt;"",C1714&lt;&gt;"All beds",COUNTIF(Beds!$B$6:$B$35,C1714)=0),"Not on Beds",""))))</f>
        <v/>
      </c>
      <c r="G1714" s="1">
        <f>IF(ISNUMBER(B1714),INT(B1714),0)</f>
        <v/>
      </c>
      <c r="H1714">
        <f>IF(AND(G1714&gt;0,D1714="Water",OR(C1714="",C1714="All beds")),G1714,0)</f>
        <v/>
      </c>
    </row>
    <row r="1715">
      <c r="A1715" s="1" t="n"/>
      <c r="B1715" s="17" t="n"/>
      <c r="C1715" s="18" t="n"/>
      <c r="D1715" s="19" t="n"/>
      <c r="E1715" s="21" t="n"/>
      <c r="F1715" s="11">
        <f>IF(AND(B1715="",C1715="",D1715=""),"",IF(NOT(ISNUMBER(B1715)),"Needs a date",IF(D1715="","Needs the job",IF(AND(C1715&lt;&gt;"",C1715&lt;&gt;"All beds",COUNTIF(Beds!$B$6:$B$35,C1715)=0),"Not on Beds",""))))</f>
        <v/>
      </c>
      <c r="G1715" s="1">
        <f>IF(ISNUMBER(B1715),INT(B1715),0)</f>
        <v/>
      </c>
      <c r="H1715">
        <f>IF(AND(G1715&gt;0,D1715="Water",OR(C1715="",C1715="All beds")),G1715,0)</f>
        <v/>
      </c>
    </row>
    <row r="1716">
      <c r="A1716" s="1" t="n"/>
      <c r="B1716" s="17" t="n"/>
      <c r="C1716" s="18" t="n"/>
      <c r="D1716" s="19" t="n"/>
      <c r="E1716" s="21" t="n"/>
      <c r="F1716" s="11">
        <f>IF(AND(B1716="",C1716="",D1716=""),"",IF(NOT(ISNUMBER(B1716)),"Needs a date",IF(D1716="","Needs the job",IF(AND(C1716&lt;&gt;"",C1716&lt;&gt;"All beds",COUNTIF(Beds!$B$6:$B$35,C1716)=0),"Not on Beds",""))))</f>
        <v/>
      </c>
      <c r="G1716" s="1">
        <f>IF(ISNUMBER(B1716),INT(B1716),0)</f>
        <v/>
      </c>
      <c r="H1716">
        <f>IF(AND(G1716&gt;0,D1716="Water",OR(C1716="",C1716="All beds")),G1716,0)</f>
        <v/>
      </c>
    </row>
    <row r="1717">
      <c r="A1717" s="1" t="n"/>
      <c r="B1717" s="17" t="n"/>
      <c r="C1717" s="18" t="n"/>
      <c r="D1717" s="19" t="n"/>
      <c r="E1717" s="21" t="n"/>
      <c r="F1717" s="11">
        <f>IF(AND(B1717="",C1717="",D1717=""),"",IF(NOT(ISNUMBER(B1717)),"Needs a date",IF(D1717="","Needs the job",IF(AND(C1717&lt;&gt;"",C1717&lt;&gt;"All beds",COUNTIF(Beds!$B$6:$B$35,C1717)=0),"Not on Beds",""))))</f>
        <v/>
      </c>
      <c r="G1717" s="1">
        <f>IF(ISNUMBER(B1717),INT(B1717),0)</f>
        <v/>
      </c>
      <c r="H1717">
        <f>IF(AND(G1717&gt;0,D1717="Water",OR(C1717="",C1717="All beds")),G1717,0)</f>
        <v/>
      </c>
    </row>
    <row r="1718">
      <c r="A1718" s="1" t="n"/>
      <c r="B1718" s="17" t="n"/>
      <c r="C1718" s="18" t="n"/>
      <c r="D1718" s="19" t="n"/>
      <c r="E1718" s="21" t="n"/>
      <c r="F1718" s="11">
        <f>IF(AND(B1718="",C1718="",D1718=""),"",IF(NOT(ISNUMBER(B1718)),"Needs a date",IF(D1718="","Needs the job",IF(AND(C1718&lt;&gt;"",C1718&lt;&gt;"All beds",COUNTIF(Beds!$B$6:$B$35,C1718)=0),"Not on Beds",""))))</f>
        <v/>
      </c>
      <c r="G1718" s="1">
        <f>IF(ISNUMBER(B1718),INT(B1718),0)</f>
        <v/>
      </c>
      <c r="H1718">
        <f>IF(AND(G1718&gt;0,D1718="Water",OR(C1718="",C1718="All beds")),G1718,0)</f>
        <v/>
      </c>
    </row>
    <row r="1719">
      <c r="A1719" s="1" t="n"/>
      <c r="B1719" s="17" t="n"/>
      <c r="C1719" s="18" t="n"/>
      <c r="D1719" s="19" t="n"/>
      <c r="E1719" s="21" t="n"/>
      <c r="F1719" s="11">
        <f>IF(AND(B1719="",C1719="",D1719=""),"",IF(NOT(ISNUMBER(B1719)),"Needs a date",IF(D1719="","Needs the job",IF(AND(C1719&lt;&gt;"",C1719&lt;&gt;"All beds",COUNTIF(Beds!$B$6:$B$35,C1719)=0),"Not on Beds",""))))</f>
        <v/>
      </c>
      <c r="G1719" s="1">
        <f>IF(ISNUMBER(B1719),INT(B1719),0)</f>
        <v/>
      </c>
      <c r="H1719">
        <f>IF(AND(G1719&gt;0,D1719="Water",OR(C1719="",C1719="All beds")),G1719,0)</f>
        <v/>
      </c>
    </row>
    <row r="1720">
      <c r="A1720" s="1" t="n"/>
      <c r="B1720" s="17" t="n"/>
      <c r="C1720" s="18" t="n"/>
      <c r="D1720" s="19" t="n"/>
      <c r="E1720" s="21" t="n"/>
      <c r="F1720" s="11">
        <f>IF(AND(B1720="",C1720="",D1720=""),"",IF(NOT(ISNUMBER(B1720)),"Needs a date",IF(D1720="","Needs the job",IF(AND(C1720&lt;&gt;"",C1720&lt;&gt;"All beds",COUNTIF(Beds!$B$6:$B$35,C1720)=0),"Not on Beds",""))))</f>
        <v/>
      </c>
      <c r="G1720" s="1">
        <f>IF(ISNUMBER(B1720),INT(B1720),0)</f>
        <v/>
      </c>
      <c r="H1720">
        <f>IF(AND(G1720&gt;0,D1720="Water",OR(C1720="",C1720="All beds")),G1720,0)</f>
        <v/>
      </c>
    </row>
    <row r="1721">
      <c r="A1721" s="1" t="n"/>
      <c r="B1721" s="17" t="n"/>
      <c r="C1721" s="18" t="n"/>
      <c r="D1721" s="19" t="n"/>
      <c r="E1721" s="21" t="n"/>
      <c r="F1721" s="11">
        <f>IF(AND(B1721="",C1721="",D1721=""),"",IF(NOT(ISNUMBER(B1721)),"Needs a date",IF(D1721="","Needs the job",IF(AND(C1721&lt;&gt;"",C1721&lt;&gt;"All beds",COUNTIF(Beds!$B$6:$B$35,C1721)=0),"Not on Beds",""))))</f>
        <v/>
      </c>
      <c r="G1721" s="1">
        <f>IF(ISNUMBER(B1721),INT(B1721),0)</f>
        <v/>
      </c>
      <c r="H1721">
        <f>IF(AND(G1721&gt;0,D1721="Water",OR(C1721="",C1721="All beds")),G1721,0)</f>
        <v/>
      </c>
    </row>
    <row r="1722">
      <c r="A1722" s="1" t="n"/>
      <c r="B1722" s="17" t="n"/>
      <c r="C1722" s="18" t="n"/>
      <c r="D1722" s="19" t="n"/>
      <c r="E1722" s="21" t="n"/>
      <c r="F1722" s="11">
        <f>IF(AND(B1722="",C1722="",D1722=""),"",IF(NOT(ISNUMBER(B1722)),"Needs a date",IF(D1722="","Needs the job",IF(AND(C1722&lt;&gt;"",C1722&lt;&gt;"All beds",COUNTIF(Beds!$B$6:$B$35,C1722)=0),"Not on Beds",""))))</f>
        <v/>
      </c>
      <c r="G1722" s="1">
        <f>IF(ISNUMBER(B1722),INT(B1722),0)</f>
        <v/>
      </c>
      <c r="H1722">
        <f>IF(AND(G1722&gt;0,D1722="Water",OR(C1722="",C1722="All beds")),G1722,0)</f>
        <v/>
      </c>
    </row>
    <row r="1723">
      <c r="A1723" s="1" t="n"/>
      <c r="B1723" s="17" t="n"/>
      <c r="C1723" s="18" t="n"/>
      <c r="D1723" s="19" t="n"/>
      <c r="E1723" s="21" t="n"/>
      <c r="F1723" s="11">
        <f>IF(AND(B1723="",C1723="",D1723=""),"",IF(NOT(ISNUMBER(B1723)),"Needs a date",IF(D1723="","Needs the job",IF(AND(C1723&lt;&gt;"",C1723&lt;&gt;"All beds",COUNTIF(Beds!$B$6:$B$35,C1723)=0),"Not on Beds",""))))</f>
        <v/>
      </c>
      <c r="G1723" s="1">
        <f>IF(ISNUMBER(B1723),INT(B1723),0)</f>
        <v/>
      </c>
      <c r="H1723">
        <f>IF(AND(G1723&gt;0,D1723="Water",OR(C1723="",C1723="All beds")),G1723,0)</f>
        <v/>
      </c>
    </row>
    <row r="1724">
      <c r="A1724" s="1" t="n"/>
      <c r="B1724" s="17" t="n"/>
      <c r="C1724" s="18" t="n"/>
      <c r="D1724" s="19" t="n"/>
      <c r="E1724" s="21" t="n"/>
      <c r="F1724" s="11">
        <f>IF(AND(B1724="",C1724="",D1724=""),"",IF(NOT(ISNUMBER(B1724)),"Needs a date",IF(D1724="","Needs the job",IF(AND(C1724&lt;&gt;"",C1724&lt;&gt;"All beds",COUNTIF(Beds!$B$6:$B$35,C1724)=0),"Not on Beds",""))))</f>
        <v/>
      </c>
      <c r="G1724" s="1">
        <f>IF(ISNUMBER(B1724),INT(B1724),0)</f>
        <v/>
      </c>
      <c r="H1724">
        <f>IF(AND(G1724&gt;0,D1724="Water",OR(C1724="",C1724="All beds")),G1724,0)</f>
        <v/>
      </c>
    </row>
    <row r="1725">
      <c r="A1725" s="1" t="n"/>
      <c r="B1725" s="17" t="n"/>
      <c r="C1725" s="18" t="n"/>
      <c r="D1725" s="19" t="n"/>
      <c r="E1725" s="21" t="n"/>
      <c r="F1725" s="11">
        <f>IF(AND(B1725="",C1725="",D1725=""),"",IF(NOT(ISNUMBER(B1725)),"Needs a date",IF(D1725="","Needs the job",IF(AND(C1725&lt;&gt;"",C1725&lt;&gt;"All beds",COUNTIF(Beds!$B$6:$B$35,C1725)=0),"Not on Beds",""))))</f>
        <v/>
      </c>
      <c r="G1725" s="1">
        <f>IF(ISNUMBER(B1725),INT(B1725),0)</f>
        <v/>
      </c>
      <c r="H1725">
        <f>IF(AND(G1725&gt;0,D1725="Water",OR(C1725="",C1725="All beds")),G1725,0)</f>
        <v/>
      </c>
    </row>
    <row r="1726">
      <c r="A1726" s="1" t="n"/>
      <c r="B1726" s="17" t="n"/>
      <c r="C1726" s="18" t="n"/>
      <c r="D1726" s="19" t="n"/>
      <c r="E1726" s="21" t="n"/>
      <c r="F1726" s="11">
        <f>IF(AND(B1726="",C1726="",D1726=""),"",IF(NOT(ISNUMBER(B1726)),"Needs a date",IF(D1726="","Needs the job",IF(AND(C1726&lt;&gt;"",C1726&lt;&gt;"All beds",COUNTIF(Beds!$B$6:$B$35,C1726)=0),"Not on Beds",""))))</f>
        <v/>
      </c>
      <c r="G1726" s="1">
        <f>IF(ISNUMBER(B1726),INT(B1726),0)</f>
        <v/>
      </c>
      <c r="H1726">
        <f>IF(AND(G1726&gt;0,D1726="Water",OR(C1726="",C1726="All beds")),G1726,0)</f>
        <v/>
      </c>
    </row>
    <row r="1727">
      <c r="A1727" s="1" t="n"/>
      <c r="B1727" s="17" t="n"/>
      <c r="C1727" s="18" t="n"/>
      <c r="D1727" s="19" t="n"/>
      <c r="E1727" s="21" t="n"/>
      <c r="F1727" s="11">
        <f>IF(AND(B1727="",C1727="",D1727=""),"",IF(NOT(ISNUMBER(B1727)),"Needs a date",IF(D1727="","Needs the job",IF(AND(C1727&lt;&gt;"",C1727&lt;&gt;"All beds",COUNTIF(Beds!$B$6:$B$35,C1727)=0),"Not on Beds",""))))</f>
        <v/>
      </c>
      <c r="G1727" s="1">
        <f>IF(ISNUMBER(B1727),INT(B1727),0)</f>
        <v/>
      </c>
      <c r="H1727">
        <f>IF(AND(G1727&gt;0,D1727="Water",OR(C1727="",C1727="All beds")),G1727,0)</f>
        <v/>
      </c>
    </row>
    <row r="1728">
      <c r="A1728" s="1" t="n"/>
      <c r="B1728" s="17" t="n"/>
      <c r="C1728" s="18" t="n"/>
      <c r="D1728" s="19" t="n"/>
      <c r="E1728" s="21" t="n"/>
      <c r="F1728" s="11">
        <f>IF(AND(B1728="",C1728="",D1728=""),"",IF(NOT(ISNUMBER(B1728)),"Needs a date",IF(D1728="","Needs the job",IF(AND(C1728&lt;&gt;"",C1728&lt;&gt;"All beds",COUNTIF(Beds!$B$6:$B$35,C1728)=0),"Not on Beds",""))))</f>
        <v/>
      </c>
      <c r="G1728" s="1">
        <f>IF(ISNUMBER(B1728),INT(B1728),0)</f>
        <v/>
      </c>
      <c r="H1728">
        <f>IF(AND(G1728&gt;0,D1728="Water",OR(C1728="",C1728="All beds")),G1728,0)</f>
        <v/>
      </c>
    </row>
    <row r="1729">
      <c r="A1729" s="1" t="n"/>
      <c r="B1729" s="17" t="n"/>
      <c r="C1729" s="18" t="n"/>
      <c r="D1729" s="19" t="n"/>
      <c r="E1729" s="21" t="n"/>
      <c r="F1729" s="11">
        <f>IF(AND(B1729="",C1729="",D1729=""),"",IF(NOT(ISNUMBER(B1729)),"Needs a date",IF(D1729="","Needs the job",IF(AND(C1729&lt;&gt;"",C1729&lt;&gt;"All beds",COUNTIF(Beds!$B$6:$B$35,C1729)=0),"Not on Beds",""))))</f>
        <v/>
      </c>
      <c r="G1729" s="1">
        <f>IF(ISNUMBER(B1729),INT(B1729),0)</f>
        <v/>
      </c>
      <c r="H1729">
        <f>IF(AND(G1729&gt;0,D1729="Water",OR(C1729="",C1729="All beds")),G1729,0)</f>
        <v/>
      </c>
    </row>
    <row r="1730">
      <c r="A1730" s="1" t="n"/>
      <c r="B1730" s="17" t="n"/>
      <c r="C1730" s="18" t="n"/>
      <c r="D1730" s="19" t="n"/>
      <c r="E1730" s="21" t="n"/>
      <c r="F1730" s="11">
        <f>IF(AND(B1730="",C1730="",D1730=""),"",IF(NOT(ISNUMBER(B1730)),"Needs a date",IF(D1730="","Needs the job",IF(AND(C1730&lt;&gt;"",C1730&lt;&gt;"All beds",COUNTIF(Beds!$B$6:$B$35,C1730)=0),"Not on Beds",""))))</f>
        <v/>
      </c>
      <c r="G1730" s="1">
        <f>IF(ISNUMBER(B1730),INT(B1730),0)</f>
        <v/>
      </c>
      <c r="H1730">
        <f>IF(AND(G1730&gt;0,D1730="Water",OR(C1730="",C1730="All beds")),G1730,0)</f>
        <v/>
      </c>
    </row>
    <row r="1731">
      <c r="A1731" s="1" t="n"/>
      <c r="B1731" s="17" t="n"/>
      <c r="C1731" s="18" t="n"/>
      <c r="D1731" s="19" t="n"/>
      <c r="E1731" s="21" t="n"/>
      <c r="F1731" s="11">
        <f>IF(AND(B1731="",C1731="",D1731=""),"",IF(NOT(ISNUMBER(B1731)),"Needs a date",IF(D1731="","Needs the job",IF(AND(C1731&lt;&gt;"",C1731&lt;&gt;"All beds",COUNTIF(Beds!$B$6:$B$35,C1731)=0),"Not on Beds",""))))</f>
        <v/>
      </c>
      <c r="G1731" s="1">
        <f>IF(ISNUMBER(B1731),INT(B1731),0)</f>
        <v/>
      </c>
      <c r="H1731">
        <f>IF(AND(G1731&gt;0,D1731="Water",OR(C1731="",C1731="All beds")),G1731,0)</f>
        <v/>
      </c>
    </row>
    <row r="1732">
      <c r="A1732" s="1" t="n"/>
      <c r="B1732" s="17" t="n"/>
      <c r="C1732" s="18" t="n"/>
      <c r="D1732" s="19" t="n"/>
      <c r="E1732" s="21" t="n"/>
      <c r="F1732" s="11">
        <f>IF(AND(B1732="",C1732="",D1732=""),"",IF(NOT(ISNUMBER(B1732)),"Needs a date",IF(D1732="","Needs the job",IF(AND(C1732&lt;&gt;"",C1732&lt;&gt;"All beds",COUNTIF(Beds!$B$6:$B$35,C1732)=0),"Not on Beds",""))))</f>
        <v/>
      </c>
      <c r="G1732" s="1">
        <f>IF(ISNUMBER(B1732),INT(B1732),0)</f>
        <v/>
      </c>
      <c r="H1732">
        <f>IF(AND(G1732&gt;0,D1732="Water",OR(C1732="",C1732="All beds")),G1732,0)</f>
        <v/>
      </c>
    </row>
    <row r="1733">
      <c r="A1733" s="1" t="n"/>
      <c r="B1733" s="17" t="n"/>
      <c r="C1733" s="18" t="n"/>
      <c r="D1733" s="19" t="n"/>
      <c r="E1733" s="21" t="n"/>
      <c r="F1733" s="11">
        <f>IF(AND(B1733="",C1733="",D1733=""),"",IF(NOT(ISNUMBER(B1733)),"Needs a date",IF(D1733="","Needs the job",IF(AND(C1733&lt;&gt;"",C1733&lt;&gt;"All beds",COUNTIF(Beds!$B$6:$B$35,C1733)=0),"Not on Beds",""))))</f>
        <v/>
      </c>
      <c r="G1733" s="1">
        <f>IF(ISNUMBER(B1733),INT(B1733),0)</f>
        <v/>
      </c>
      <c r="H1733">
        <f>IF(AND(G1733&gt;0,D1733="Water",OR(C1733="",C1733="All beds")),G1733,0)</f>
        <v/>
      </c>
    </row>
    <row r="1734">
      <c r="A1734" s="1" t="n"/>
      <c r="B1734" s="17" t="n"/>
      <c r="C1734" s="18" t="n"/>
      <c r="D1734" s="19" t="n"/>
      <c r="E1734" s="21" t="n"/>
      <c r="F1734" s="11">
        <f>IF(AND(B1734="",C1734="",D1734=""),"",IF(NOT(ISNUMBER(B1734)),"Needs a date",IF(D1734="","Needs the job",IF(AND(C1734&lt;&gt;"",C1734&lt;&gt;"All beds",COUNTIF(Beds!$B$6:$B$35,C1734)=0),"Not on Beds",""))))</f>
        <v/>
      </c>
      <c r="G1734" s="1">
        <f>IF(ISNUMBER(B1734),INT(B1734),0)</f>
        <v/>
      </c>
      <c r="H1734">
        <f>IF(AND(G1734&gt;0,D1734="Water",OR(C1734="",C1734="All beds")),G1734,0)</f>
        <v/>
      </c>
    </row>
    <row r="1735">
      <c r="A1735" s="1" t="n"/>
      <c r="B1735" s="17" t="n"/>
      <c r="C1735" s="18" t="n"/>
      <c r="D1735" s="19" t="n"/>
      <c r="E1735" s="21" t="n"/>
      <c r="F1735" s="11">
        <f>IF(AND(B1735="",C1735="",D1735=""),"",IF(NOT(ISNUMBER(B1735)),"Needs a date",IF(D1735="","Needs the job",IF(AND(C1735&lt;&gt;"",C1735&lt;&gt;"All beds",COUNTIF(Beds!$B$6:$B$35,C1735)=0),"Not on Beds",""))))</f>
        <v/>
      </c>
      <c r="G1735" s="1">
        <f>IF(ISNUMBER(B1735),INT(B1735),0)</f>
        <v/>
      </c>
      <c r="H1735">
        <f>IF(AND(G1735&gt;0,D1735="Water",OR(C1735="",C1735="All beds")),G1735,0)</f>
        <v/>
      </c>
    </row>
    <row r="1736">
      <c r="A1736" s="1" t="n"/>
      <c r="B1736" s="17" t="n"/>
      <c r="C1736" s="18" t="n"/>
      <c r="D1736" s="19" t="n"/>
      <c r="E1736" s="21" t="n"/>
      <c r="F1736" s="11">
        <f>IF(AND(B1736="",C1736="",D1736=""),"",IF(NOT(ISNUMBER(B1736)),"Needs a date",IF(D1736="","Needs the job",IF(AND(C1736&lt;&gt;"",C1736&lt;&gt;"All beds",COUNTIF(Beds!$B$6:$B$35,C1736)=0),"Not on Beds",""))))</f>
        <v/>
      </c>
      <c r="G1736" s="1">
        <f>IF(ISNUMBER(B1736),INT(B1736),0)</f>
        <v/>
      </c>
      <c r="H1736">
        <f>IF(AND(G1736&gt;0,D1736="Water",OR(C1736="",C1736="All beds")),G1736,0)</f>
        <v/>
      </c>
    </row>
    <row r="1737">
      <c r="A1737" s="1" t="n"/>
      <c r="B1737" s="17" t="n"/>
      <c r="C1737" s="18" t="n"/>
      <c r="D1737" s="19" t="n"/>
      <c r="E1737" s="21" t="n"/>
      <c r="F1737" s="11">
        <f>IF(AND(B1737="",C1737="",D1737=""),"",IF(NOT(ISNUMBER(B1737)),"Needs a date",IF(D1737="","Needs the job",IF(AND(C1737&lt;&gt;"",C1737&lt;&gt;"All beds",COUNTIF(Beds!$B$6:$B$35,C1737)=0),"Not on Beds",""))))</f>
        <v/>
      </c>
      <c r="G1737" s="1">
        <f>IF(ISNUMBER(B1737),INT(B1737),0)</f>
        <v/>
      </c>
      <c r="H1737">
        <f>IF(AND(G1737&gt;0,D1737="Water",OR(C1737="",C1737="All beds")),G1737,0)</f>
        <v/>
      </c>
    </row>
    <row r="1738">
      <c r="A1738" s="1" t="n"/>
      <c r="B1738" s="17" t="n"/>
      <c r="C1738" s="18" t="n"/>
      <c r="D1738" s="19" t="n"/>
      <c r="E1738" s="21" t="n"/>
      <c r="F1738" s="11">
        <f>IF(AND(B1738="",C1738="",D1738=""),"",IF(NOT(ISNUMBER(B1738)),"Needs a date",IF(D1738="","Needs the job",IF(AND(C1738&lt;&gt;"",C1738&lt;&gt;"All beds",COUNTIF(Beds!$B$6:$B$35,C1738)=0),"Not on Beds",""))))</f>
        <v/>
      </c>
      <c r="G1738" s="1">
        <f>IF(ISNUMBER(B1738),INT(B1738),0)</f>
        <v/>
      </c>
      <c r="H1738">
        <f>IF(AND(G1738&gt;0,D1738="Water",OR(C1738="",C1738="All beds")),G1738,0)</f>
        <v/>
      </c>
    </row>
    <row r="1739">
      <c r="A1739" s="1" t="n"/>
      <c r="B1739" s="17" t="n"/>
      <c r="C1739" s="18" t="n"/>
      <c r="D1739" s="19" t="n"/>
      <c r="E1739" s="21" t="n"/>
      <c r="F1739" s="11">
        <f>IF(AND(B1739="",C1739="",D1739=""),"",IF(NOT(ISNUMBER(B1739)),"Needs a date",IF(D1739="","Needs the job",IF(AND(C1739&lt;&gt;"",C1739&lt;&gt;"All beds",COUNTIF(Beds!$B$6:$B$35,C1739)=0),"Not on Beds",""))))</f>
        <v/>
      </c>
      <c r="G1739" s="1">
        <f>IF(ISNUMBER(B1739),INT(B1739),0)</f>
        <v/>
      </c>
      <c r="H1739">
        <f>IF(AND(G1739&gt;0,D1739="Water",OR(C1739="",C1739="All beds")),G1739,0)</f>
        <v/>
      </c>
    </row>
    <row r="1740">
      <c r="A1740" s="1" t="n"/>
      <c r="B1740" s="17" t="n"/>
      <c r="C1740" s="18" t="n"/>
      <c r="D1740" s="19" t="n"/>
      <c r="E1740" s="21" t="n"/>
      <c r="F1740" s="11">
        <f>IF(AND(B1740="",C1740="",D1740=""),"",IF(NOT(ISNUMBER(B1740)),"Needs a date",IF(D1740="","Needs the job",IF(AND(C1740&lt;&gt;"",C1740&lt;&gt;"All beds",COUNTIF(Beds!$B$6:$B$35,C1740)=0),"Not on Beds",""))))</f>
        <v/>
      </c>
      <c r="G1740" s="1">
        <f>IF(ISNUMBER(B1740),INT(B1740),0)</f>
        <v/>
      </c>
      <c r="H1740">
        <f>IF(AND(G1740&gt;0,D1740="Water",OR(C1740="",C1740="All beds")),G1740,0)</f>
        <v/>
      </c>
    </row>
    <row r="1741">
      <c r="A1741" s="1" t="n"/>
      <c r="B1741" s="17" t="n"/>
      <c r="C1741" s="18" t="n"/>
      <c r="D1741" s="19" t="n"/>
      <c r="E1741" s="21" t="n"/>
      <c r="F1741" s="11">
        <f>IF(AND(B1741="",C1741="",D1741=""),"",IF(NOT(ISNUMBER(B1741)),"Needs a date",IF(D1741="","Needs the job",IF(AND(C1741&lt;&gt;"",C1741&lt;&gt;"All beds",COUNTIF(Beds!$B$6:$B$35,C1741)=0),"Not on Beds",""))))</f>
        <v/>
      </c>
      <c r="G1741" s="1">
        <f>IF(ISNUMBER(B1741),INT(B1741),0)</f>
        <v/>
      </c>
      <c r="H1741">
        <f>IF(AND(G1741&gt;0,D1741="Water",OR(C1741="",C1741="All beds")),G1741,0)</f>
        <v/>
      </c>
    </row>
    <row r="1742">
      <c r="A1742" s="1" t="n"/>
      <c r="B1742" s="17" t="n"/>
      <c r="C1742" s="18" t="n"/>
      <c r="D1742" s="19" t="n"/>
      <c r="E1742" s="21" t="n"/>
      <c r="F1742" s="11">
        <f>IF(AND(B1742="",C1742="",D1742=""),"",IF(NOT(ISNUMBER(B1742)),"Needs a date",IF(D1742="","Needs the job",IF(AND(C1742&lt;&gt;"",C1742&lt;&gt;"All beds",COUNTIF(Beds!$B$6:$B$35,C1742)=0),"Not on Beds",""))))</f>
        <v/>
      </c>
      <c r="G1742" s="1">
        <f>IF(ISNUMBER(B1742),INT(B1742),0)</f>
        <v/>
      </c>
      <c r="H1742">
        <f>IF(AND(G1742&gt;0,D1742="Water",OR(C1742="",C1742="All beds")),G1742,0)</f>
        <v/>
      </c>
    </row>
    <row r="1743">
      <c r="A1743" s="1" t="n"/>
      <c r="B1743" s="17" t="n"/>
      <c r="C1743" s="18" t="n"/>
      <c r="D1743" s="19" t="n"/>
      <c r="E1743" s="21" t="n"/>
      <c r="F1743" s="11">
        <f>IF(AND(B1743="",C1743="",D1743=""),"",IF(NOT(ISNUMBER(B1743)),"Needs a date",IF(D1743="","Needs the job",IF(AND(C1743&lt;&gt;"",C1743&lt;&gt;"All beds",COUNTIF(Beds!$B$6:$B$35,C1743)=0),"Not on Beds",""))))</f>
        <v/>
      </c>
      <c r="G1743" s="1">
        <f>IF(ISNUMBER(B1743),INT(B1743),0)</f>
        <v/>
      </c>
      <c r="H1743">
        <f>IF(AND(G1743&gt;0,D1743="Water",OR(C1743="",C1743="All beds")),G1743,0)</f>
        <v/>
      </c>
    </row>
    <row r="1744">
      <c r="A1744" s="1" t="n"/>
      <c r="B1744" s="17" t="n"/>
      <c r="C1744" s="18" t="n"/>
      <c r="D1744" s="19" t="n"/>
      <c r="E1744" s="21" t="n"/>
      <c r="F1744" s="11">
        <f>IF(AND(B1744="",C1744="",D1744=""),"",IF(NOT(ISNUMBER(B1744)),"Needs a date",IF(D1744="","Needs the job",IF(AND(C1744&lt;&gt;"",C1744&lt;&gt;"All beds",COUNTIF(Beds!$B$6:$B$35,C1744)=0),"Not on Beds",""))))</f>
        <v/>
      </c>
      <c r="G1744" s="1">
        <f>IF(ISNUMBER(B1744),INT(B1744),0)</f>
        <v/>
      </c>
      <c r="H1744">
        <f>IF(AND(G1744&gt;0,D1744="Water",OR(C1744="",C1744="All beds")),G1744,0)</f>
        <v/>
      </c>
    </row>
    <row r="1745">
      <c r="A1745" s="1" t="n"/>
      <c r="B1745" s="17" t="n"/>
      <c r="C1745" s="18" t="n"/>
      <c r="D1745" s="19" t="n"/>
      <c r="E1745" s="21" t="n"/>
      <c r="F1745" s="11">
        <f>IF(AND(B1745="",C1745="",D1745=""),"",IF(NOT(ISNUMBER(B1745)),"Needs a date",IF(D1745="","Needs the job",IF(AND(C1745&lt;&gt;"",C1745&lt;&gt;"All beds",COUNTIF(Beds!$B$6:$B$35,C1745)=0),"Not on Beds",""))))</f>
        <v/>
      </c>
      <c r="G1745" s="1">
        <f>IF(ISNUMBER(B1745),INT(B1745),0)</f>
        <v/>
      </c>
      <c r="H1745">
        <f>IF(AND(G1745&gt;0,D1745="Water",OR(C1745="",C1745="All beds")),G1745,0)</f>
        <v/>
      </c>
    </row>
    <row r="1746">
      <c r="A1746" s="1" t="n"/>
      <c r="B1746" s="17" t="n"/>
      <c r="C1746" s="18" t="n"/>
      <c r="D1746" s="19" t="n"/>
      <c r="E1746" s="21" t="n"/>
      <c r="F1746" s="11">
        <f>IF(AND(B1746="",C1746="",D1746=""),"",IF(NOT(ISNUMBER(B1746)),"Needs a date",IF(D1746="","Needs the job",IF(AND(C1746&lt;&gt;"",C1746&lt;&gt;"All beds",COUNTIF(Beds!$B$6:$B$35,C1746)=0),"Not on Beds",""))))</f>
        <v/>
      </c>
      <c r="G1746" s="1">
        <f>IF(ISNUMBER(B1746),INT(B1746),0)</f>
        <v/>
      </c>
      <c r="H1746">
        <f>IF(AND(G1746&gt;0,D1746="Water",OR(C1746="",C1746="All beds")),G1746,0)</f>
        <v/>
      </c>
    </row>
    <row r="1747">
      <c r="A1747" s="1" t="n"/>
      <c r="B1747" s="17" t="n"/>
      <c r="C1747" s="18" t="n"/>
      <c r="D1747" s="19" t="n"/>
      <c r="E1747" s="21" t="n"/>
      <c r="F1747" s="11">
        <f>IF(AND(B1747="",C1747="",D1747=""),"",IF(NOT(ISNUMBER(B1747)),"Needs a date",IF(D1747="","Needs the job",IF(AND(C1747&lt;&gt;"",C1747&lt;&gt;"All beds",COUNTIF(Beds!$B$6:$B$35,C1747)=0),"Not on Beds",""))))</f>
        <v/>
      </c>
      <c r="G1747" s="1">
        <f>IF(ISNUMBER(B1747),INT(B1747),0)</f>
        <v/>
      </c>
      <c r="H1747">
        <f>IF(AND(G1747&gt;0,D1747="Water",OR(C1747="",C1747="All beds")),G1747,0)</f>
        <v/>
      </c>
    </row>
    <row r="1748">
      <c r="A1748" s="1" t="n"/>
      <c r="B1748" s="17" t="n"/>
      <c r="C1748" s="18" t="n"/>
      <c r="D1748" s="19" t="n"/>
      <c r="E1748" s="21" t="n"/>
      <c r="F1748" s="11">
        <f>IF(AND(B1748="",C1748="",D1748=""),"",IF(NOT(ISNUMBER(B1748)),"Needs a date",IF(D1748="","Needs the job",IF(AND(C1748&lt;&gt;"",C1748&lt;&gt;"All beds",COUNTIF(Beds!$B$6:$B$35,C1748)=0),"Not on Beds",""))))</f>
        <v/>
      </c>
      <c r="G1748" s="1">
        <f>IF(ISNUMBER(B1748),INT(B1748),0)</f>
        <v/>
      </c>
      <c r="H1748">
        <f>IF(AND(G1748&gt;0,D1748="Water",OR(C1748="",C1748="All beds")),G1748,0)</f>
        <v/>
      </c>
    </row>
    <row r="1749">
      <c r="A1749" s="1" t="n"/>
      <c r="B1749" s="17" t="n"/>
      <c r="C1749" s="18" t="n"/>
      <c r="D1749" s="19" t="n"/>
      <c r="E1749" s="21" t="n"/>
      <c r="F1749" s="11">
        <f>IF(AND(B1749="",C1749="",D1749=""),"",IF(NOT(ISNUMBER(B1749)),"Needs a date",IF(D1749="","Needs the job",IF(AND(C1749&lt;&gt;"",C1749&lt;&gt;"All beds",COUNTIF(Beds!$B$6:$B$35,C1749)=0),"Not on Beds",""))))</f>
        <v/>
      </c>
      <c r="G1749" s="1">
        <f>IF(ISNUMBER(B1749),INT(B1749),0)</f>
        <v/>
      </c>
      <c r="H1749">
        <f>IF(AND(G1749&gt;0,D1749="Water",OR(C1749="",C1749="All beds")),G1749,0)</f>
        <v/>
      </c>
    </row>
    <row r="1750">
      <c r="A1750" s="1" t="n"/>
      <c r="B1750" s="17" t="n"/>
      <c r="C1750" s="18" t="n"/>
      <c r="D1750" s="19" t="n"/>
      <c r="E1750" s="21" t="n"/>
      <c r="F1750" s="11">
        <f>IF(AND(B1750="",C1750="",D1750=""),"",IF(NOT(ISNUMBER(B1750)),"Needs a date",IF(D1750="","Needs the job",IF(AND(C1750&lt;&gt;"",C1750&lt;&gt;"All beds",COUNTIF(Beds!$B$6:$B$35,C1750)=0),"Not on Beds",""))))</f>
        <v/>
      </c>
      <c r="G1750" s="1">
        <f>IF(ISNUMBER(B1750),INT(B1750),0)</f>
        <v/>
      </c>
      <c r="H1750">
        <f>IF(AND(G1750&gt;0,D1750="Water",OR(C1750="",C1750="All beds")),G1750,0)</f>
        <v/>
      </c>
    </row>
    <row r="1751">
      <c r="A1751" s="1" t="n"/>
      <c r="B1751" s="17" t="n"/>
      <c r="C1751" s="18" t="n"/>
      <c r="D1751" s="19" t="n"/>
      <c r="E1751" s="21" t="n"/>
      <c r="F1751" s="11">
        <f>IF(AND(B1751="",C1751="",D1751=""),"",IF(NOT(ISNUMBER(B1751)),"Needs a date",IF(D1751="","Needs the job",IF(AND(C1751&lt;&gt;"",C1751&lt;&gt;"All beds",COUNTIF(Beds!$B$6:$B$35,C1751)=0),"Not on Beds",""))))</f>
        <v/>
      </c>
      <c r="G1751" s="1">
        <f>IF(ISNUMBER(B1751),INT(B1751),0)</f>
        <v/>
      </c>
      <c r="H1751">
        <f>IF(AND(G1751&gt;0,D1751="Water",OR(C1751="",C1751="All beds")),G1751,0)</f>
        <v/>
      </c>
    </row>
    <row r="1752">
      <c r="A1752" s="1" t="n"/>
      <c r="B1752" s="17" t="n"/>
      <c r="C1752" s="18" t="n"/>
      <c r="D1752" s="19" t="n"/>
      <c r="E1752" s="21" t="n"/>
      <c r="F1752" s="11">
        <f>IF(AND(B1752="",C1752="",D1752=""),"",IF(NOT(ISNUMBER(B1752)),"Needs a date",IF(D1752="","Needs the job",IF(AND(C1752&lt;&gt;"",C1752&lt;&gt;"All beds",COUNTIF(Beds!$B$6:$B$35,C1752)=0),"Not on Beds",""))))</f>
        <v/>
      </c>
      <c r="G1752" s="1">
        <f>IF(ISNUMBER(B1752),INT(B1752),0)</f>
        <v/>
      </c>
      <c r="H1752">
        <f>IF(AND(G1752&gt;0,D1752="Water",OR(C1752="",C1752="All beds")),G1752,0)</f>
        <v/>
      </c>
    </row>
    <row r="1753">
      <c r="A1753" s="1" t="n"/>
      <c r="B1753" s="17" t="n"/>
      <c r="C1753" s="18" t="n"/>
      <c r="D1753" s="19" t="n"/>
      <c r="E1753" s="21" t="n"/>
      <c r="F1753" s="11">
        <f>IF(AND(B1753="",C1753="",D1753=""),"",IF(NOT(ISNUMBER(B1753)),"Needs a date",IF(D1753="","Needs the job",IF(AND(C1753&lt;&gt;"",C1753&lt;&gt;"All beds",COUNTIF(Beds!$B$6:$B$35,C1753)=0),"Not on Beds",""))))</f>
        <v/>
      </c>
      <c r="G1753" s="1">
        <f>IF(ISNUMBER(B1753),INT(B1753),0)</f>
        <v/>
      </c>
      <c r="H1753">
        <f>IF(AND(G1753&gt;0,D1753="Water",OR(C1753="",C1753="All beds")),G1753,0)</f>
        <v/>
      </c>
    </row>
    <row r="1754">
      <c r="A1754" s="1" t="n"/>
      <c r="B1754" s="17" t="n"/>
      <c r="C1754" s="18" t="n"/>
      <c r="D1754" s="19" t="n"/>
      <c r="E1754" s="21" t="n"/>
      <c r="F1754" s="11">
        <f>IF(AND(B1754="",C1754="",D1754=""),"",IF(NOT(ISNUMBER(B1754)),"Needs a date",IF(D1754="","Needs the job",IF(AND(C1754&lt;&gt;"",C1754&lt;&gt;"All beds",COUNTIF(Beds!$B$6:$B$35,C1754)=0),"Not on Beds",""))))</f>
        <v/>
      </c>
      <c r="G1754" s="1">
        <f>IF(ISNUMBER(B1754),INT(B1754),0)</f>
        <v/>
      </c>
      <c r="H1754">
        <f>IF(AND(G1754&gt;0,D1754="Water",OR(C1754="",C1754="All beds")),G1754,0)</f>
        <v/>
      </c>
    </row>
    <row r="1755">
      <c r="A1755" s="1" t="n"/>
      <c r="B1755" s="17" t="n"/>
      <c r="C1755" s="18" t="n"/>
      <c r="D1755" s="19" t="n"/>
      <c r="E1755" s="21" t="n"/>
      <c r="F1755" s="11">
        <f>IF(AND(B1755="",C1755="",D1755=""),"",IF(NOT(ISNUMBER(B1755)),"Needs a date",IF(D1755="","Needs the job",IF(AND(C1755&lt;&gt;"",C1755&lt;&gt;"All beds",COUNTIF(Beds!$B$6:$B$35,C1755)=0),"Not on Beds",""))))</f>
        <v/>
      </c>
      <c r="G1755" s="1">
        <f>IF(ISNUMBER(B1755),INT(B1755),0)</f>
        <v/>
      </c>
      <c r="H1755">
        <f>IF(AND(G1755&gt;0,D1755="Water",OR(C1755="",C1755="All beds")),G1755,0)</f>
        <v/>
      </c>
    </row>
    <row r="1756">
      <c r="A1756" s="1" t="n"/>
      <c r="B1756" s="17" t="n"/>
      <c r="C1756" s="18" t="n"/>
      <c r="D1756" s="19" t="n"/>
      <c r="E1756" s="21" t="n"/>
      <c r="F1756" s="11">
        <f>IF(AND(B1756="",C1756="",D1756=""),"",IF(NOT(ISNUMBER(B1756)),"Needs a date",IF(D1756="","Needs the job",IF(AND(C1756&lt;&gt;"",C1756&lt;&gt;"All beds",COUNTIF(Beds!$B$6:$B$35,C1756)=0),"Not on Beds",""))))</f>
        <v/>
      </c>
      <c r="G1756" s="1">
        <f>IF(ISNUMBER(B1756),INT(B1756),0)</f>
        <v/>
      </c>
      <c r="H1756">
        <f>IF(AND(G1756&gt;0,D1756="Water",OR(C1756="",C1756="All beds")),G1756,0)</f>
        <v/>
      </c>
    </row>
    <row r="1757">
      <c r="A1757" s="1" t="n"/>
      <c r="B1757" s="17" t="n"/>
      <c r="C1757" s="18" t="n"/>
      <c r="D1757" s="19" t="n"/>
      <c r="E1757" s="21" t="n"/>
      <c r="F1757" s="11">
        <f>IF(AND(B1757="",C1757="",D1757=""),"",IF(NOT(ISNUMBER(B1757)),"Needs a date",IF(D1757="","Needs the job",IF(AND(C1757&lt;&gt;"",C1757&lt;&gt;"All beds",COUNTIF(Beds!$B$6:$B$35,C1757)=0),"Not on Beds",""))))</f>
        <v/>
      </c>
      <c r="G1757" s="1">
        <f>IF(ISNUMBER(B1757),INT(B1757),0)</f>
        <v/>
      </c>
      <c r="H1757">
        <f>IF(AND(G1757&gt;0,D1757="Water",OR(C1757="",C1757="All beds")),G1757,0)</f>
        <v/>
      </c>
    </row>
    <row r="1758">
      <c r="A1758" s="1" t="n"/>
      <c r="B1758" s="17" t="n"/>
      <c r="C1758" s="18" t="n"/>
      <c r="D1758" s="19" t="n"/>
      <c r="E1758" s="21" t="n"/>
      <c r="F1758" s="11">
        <f>IF(AND(B1758="",C1758="",D1758=""),"",IF(NOT(ISNUMBER(B1758)),"Needs a date",IF(D1758="","Needs the job",IF(AND(C1758&lt;&gt;"",C1758&lt;&gt;"All beds",COUNTIF(Beds!$B$6:$B$35,C1758)=0),"Not on Beds",""))))</f>
        <v/>
      </c>
      <c r="G1758" s="1">
        <f>IF(ISNUMBER(B1758),INT(B1758),0)</f>
        <v/>
      </c>
      <c r="H1758">
        <f>IF(AND(G1758&gt;0,D1758="Water",OR(C1758="",C1758="All beds")),G1758,0)</f>
        <v/>
      </c>
    </row>
    <row r="1759">
      <c r="A1759" s="1" t="n"/>
      <c r="B1759" s="17" t="n"/>
      <c r="C1759" s="18" t="n"/>
      <c r="D1759" s="19" t="n"/>
      <c r="E1759" s="21" t="n"/>
      <c r="F1759" s="11">
        <f>IF(AND(B1759="",C1759="",D1759=""),"",IF(NOT(ISNUMBER(B1759)),"Needs a date",IF(D1759="","Needs the job",IF(AND(C1759&lt;&gt;"",C1759&lt;&gt;"All beds",COUNTIF(Beds!$B$6:$B$35,C1759)=0),"Not on Beds",""))))</f>
        <v/>
      </c>
      <c r="G1759" s="1">
        <f>IF(ISNUMBER(B1759),INT(B1759),0)</f>
        <v/>
      </c>
      <c r="H1759">
        <f>IF(AND(G1759&gt;0,D1759="Water",OR(C1759="",C1759="All beds")),G1759,0)</f>
        <v/>
      </c>
    </row>
    <row r="1760">
      <c r="A1760" s="1" t="n"/>
      <c r="B1760" s="17" t="n"/>
      <c r="C1760" s="18" t="n"/>
      <c r="D1760" s="19" t="n"/>
      <c r="E1760" s="21" t="n"/>
      <c r="F1760" s="11">
        <f>IF(AND(B1760="",C1760="",D1760=""),"",IF(NOT(ISNUMBER(B1760)),"Needs a date",IF(D1760="","Needs the job",IF(AND(C1760&lt;&gt;"",C1760&lt;&gt;"All beds",COUNTIF(Beds!$B$6:$B$35,C1760)=0),"Not on Beds",""))))</f>
        <v/>
      </c>
      <c r="G1760" s="1">
        <f>IF(ISNUMBER(B1760),INT(B1760),0)</f>
        <v/>
      </c>
      <c r="H1760">
        <f>IF(AND(G1760&gt;0,D1760="Water",OR(C1760="",C1760="All beds")),G1760,0)</f>
        <v/>
      </c>
    </row>
    <row r="1761">
      <c r="A1761" s="1" t="n"/>
      <c r="B1761" s="17" t="n"/>
      <c r="C1761" s="18" t="n"/>
      <c r="D1761" s="19" t="n"/>
      <c r="E1761" s="21" t="n"/>
      <c r="F1761" s="11">
        <f>IF(AND(B1761="",C1761="",D1761=""),"",IF(NOT(ISNUMBER(B1761)),"Needs a date",IF(D1761="","Needs the job",IF(AND(C1761&lt;&gt;"",C1761&lt;&gt;"All beds",COUNTIF(Beds!$B$6:$B$35,C1761)=0),"Not on Beds",""))))</f>
        <v/>
      </c>
      <c r="G1761" s="1">
        <f>IF(ISNUMBER(B1761),INT(B1761),0)</f>
        <v/>
      </c>
      <c r="H1761">
        <f>IF(AND(G1761&gt;0,D1761="Water",OR(C1761="",C1761="All beds")),G1761,0)</f>
        <v/>
      </c>
    </row>
    <row r="1762">
      <c r="A1762" s="1" t="n"/>
      <c r="B1762" s="17" t="n"/>
      <c r="C1762" s="18" t="n"/>
      <c r="D1762" s="19" t="n"/>
      <c r="E1762" s="21" t="n"/>
      <c r="F1762" s="11">
        <f>IF(AND(B1762="",C1762="",D1762=""),"",IF(NOT(ISNUMBER(B1762)),"Needs a date",IF(D1762="","Needs the job",IF(AND(C1762&lt;&gt;"",C1762&lt;&gt;"All beds",COUNTIF(Beds!$B$6:$B$35,C1762)=0),"Not on Beds",""))))</f>
        <v/>
      </c>
      <c r="G1762" s="1">
        <f>IF(ISNUMBER(B1762),INT(B1762),0)</f>
        <v/>
      </c>
      <c r="H1762">
        <f>IF(AND(G1762&gt;0,D1762="Water",OR(C1762="",C1762="All beds")),G1762,0)</f>
        <v/>
      </c>
    </row>
    <row r="1763">
      <c r="A1763" s="1" t="n"/>
      <c r="B1763" s="17" t="n"/>
      <c r="C1763" s="18" t="n"/>
      <c r="D1763" s="19" t="n"/>
      <c r="E1763" s="21" t="n"/>
      <c r="F1763" s="11">
        <f>IF(AND(B1763="",C1763="",D1763=""),"",IF(NOT(ISNUMBER(B1763)),"Needs a date",IF(D1763="","Needs the job",IF(AND(C1763&lt;&gt;"",C1763&lt;&gt;"All beds",COUNTIF(Beds!$B$6:$B$35,C1763)=0),"Not on Beds",""))))</f>
        <v/>
      </c>
      <c r="G1763" s="1">
        <f>IF(ISNUMBER(B1763),INT(B1763),0)</f>
        <v/>
      </c>
      <c r="H1763">
        <f>IF(AND(G1763&gt;0,D1763="Water",OR(C1763="",C1763="All beds")),G1763,0)</f>
        <v/>
      </c>
    </row>
    <row r="1764">
      <c r="A1764" s="1" t="n"/>
      <c r="B1764" s="17" t="n"/>
      <c r="C1764" s="18" t="n"/>
      <c r="D1764" s="19" t="n"/>
      <c r="E1764" s="21" t="n"/>
      <c r="F1764" s="11">
        <f>IF(AND(B1764="",C1764="",D1764=""),"",IF(NOT(ISNUMBER(B1764)),"Needs a date",IF(D1764="","Needs the job",IF(AND(C1764&lt;&gt;"",C1764&lt;&gt;"All beds",COUNTIF(Beds!$B$6:$B$35,C1764)=0),"Not on Beds",""))))</f>
        <v/>
      </c>
      <c r="G1764" s="1">
        <f>IF(ISNUMBER(B1764),INT(B1764),0)</f>
        <v/>
      </c>
      <c r="H1764">
        <f>IF(AND(G1764&gt;0,D1764="Water",OR(C1764="",C1764="All beds")),G1764,0)</f>
        <v/>
      </c>
    </row>
    <row r="1765">
      <c r="A1765" s="1" t="n"/>
      <c r="B1765" s="17" t="n"/>
      <c r="C1765" s="18" t="n"/>
      <c r="D1765" s="19" t="n"/>
      <c r="E1765" s="21" t="n"/>
      <c r="F1765" s="11">
        <f>IF(AND(B1765="",C1765="",D1765=""),"",IF(NOT(ISNUMBER(B1765)),"Needs a date",IF(D1765="","Needs the job",IF(AND(C1765&lt;&gt;"",C1765&lt;&gt;"All beds",COUNTIF(Beds!$B$6:$B$35,C1765)=0),"Not on Beds",""))))</f>
        <v/>
      </c>
      <c r="G1765" s="1">
        <f>IF(ISNUMBER(B1765),INT(B1765),0)</f>
        <v/>
      </c>
      <c r="H1765">
        <f>IF(AND(G1765&gt;0,D1765="Water",OR(C1765="",C1765="All beds")),G1765,0)</f>
        <v/>
      </c>
    </row>
    <row r="1766">
      <c r="A1766" s="1" t="n"/>
      <c r="B1766" s="17" t="n"/>
      <c r="C1766" s="18" t="n"/>
      <c r="D1766" s="19" t="n"/>
      <c r="E1766" s="21" t="n"/>
      <c r="F1766" s="11">
        <f>IF(AND(B1766="",C1766="",D1766=""),"",IF(NOT(ISNUMBER(B1766)),"Needs a date",IF(D1766="","Needs the job",IF(AND(C1766&lt;&gt;"",C1766&lt;&gt;"All beds",COUNTIF(Beds!$B$6:$B$35,C1766)=0),"Not on Beds",""))))</f>
        <v/>
      </c>
      <c r="G1766" s="1">
        <f>IF(ISNUMBER(B1766),INT(B1766),0)</f>
        <v/>
      </c>
      <c r="H1766">
        <f>IF(AND(G1766&gt;0,D1766="Water",OR(C1766="",C1766="All beds")),G1766,0)</f>
        <v/>
      </c>
    </row>
    <row r="1767">
      <c r="A1767" s="1" t="n"/>
      <c r="B1767" s="17" t="n"/>
      <c r="C1767" s="18" t="n"/>
      <c r="D1767" s="19" t="n"/>
      <c r="E1767" s="21" t="n"/>
      <c r="F1767" s="11">
        <f>IF(AND(B1767="",C1767="",D1767=""),"",IF(NOT(ISNUMBER(B1767)),"Needs a date",IF(D1767="","Needs the job",IF(AND(C1767&lt;&gt;"",C1767&lt;&gt;"All beds",COUNTIF(Beds!$B$6:$B$35,C1767)=0),"Not on Beds",""))))</f>
        <v/>
      </c>
      <c r="G1767" s="1">
        <f>IF(ISNUMBER(B1767),INT(B1767),0)</f>
        <v/>
      </c>
      <c r="H1767">
        <f>IF(AND(G1767&gt;0,D1767="Water",OR(C1767="",C1767="All beds")),G1767,0)</f>
        <v/>
      </c>
    </row>
    <row r="1768">
      <c r="A1768" s="1" t="n"/>
      <c r="B1768" s="17" t="n"/>
      <c r="C1768" s="18" t="n"/>
      <c r="D1768" s="19" t="n"/>
      <c r="E1768" s="21" t="n"/>
      <c r="F1768" s="11">
        <f>IF(AND(B1768="",C1768="",D1768=""),"",IF(NOT(ISNUMBER(B1768)),"Needs a date",IF(D1768="","Needs the job",IF(AND(C1768&lt;&gt;"",C1768&lt;&gt;"All beds",COUNTIF(Beds!$B$6:$B$35,C1768)=0),"Not on Beds",""))))</f>
        <v/>
      </c>
      <c r="G1768" s="1">
        <f>IF(ISNUMBER(B1768),INT(B1768),0)</f>
        <v/>
      </c>
      <c r="H1768">
        <f>IF(AND(G1768&gt;0,D1768="Water",OR(C1768="",C1768="All beds")),G1768,0)</f>
        <v/>
      </c>
    </row>
    <row r="1769">
      <c r="A1769" s="1" t="n"/>
      <c r="B1769" s="17" t="n"/>
      <c r="C1769" s="18" t="n"/>
      <c r="D1769" s="19" t="n"/>
      <c r="E1769" s="21" t="n"/>
      <c r="F1769" s="11">
        <f>IF(AND(B1769="",C1769="",D1769=""),"",IF(NOT(ISNUMBER(B1769)),"Needs a date",IF(D1769="","Needs the job",IF(AND(C1769&lt;&gt;"",C1769&lt;&gt;"All beds",COUNTIF(Beds!$B$6:$B$35,C1769)=0),"Not on Beds",""))))</f>
        <v/>
      </c>
      <c r="G1769" s="1">
        <f>IF(ISNUMBER(B1769),INT(B1769),0)</f>
        <v/>
      </c>
      <c r="H1769">
        <f>IF(AND(G1769&gt;0,D1769="Water",OR(C1769="",C1769="All beds")),G1769,0)</f>
        <v/>
      </c>
    </row>
    <row r="1770">
      <c r="A1770" s="1" t="n"/>
      <c r="B1770" s="17" t="n"/>
      <c r="C1770" s="18" t="n"/>
      <c r="D1770" s="19" t="n"/>
      <c r="E1770" s="21" t="n"/>
      <c r="F1770" s="11">
        <f>IF(AND(B1770="",C1770="",D1770=""),"",IF(NOT(ISNUMBER(B1770)),"Needs a date",IF(D1770="","Needs the job",IF(AND(C1770&lt;&gt;"",C1770&lt;&gt;"All beds",COUNTIF(Beds!$B$6:$B$35,C1770)=0),"Not on Beds",""))))</f>
        <v/>
      </c>
      <c r="G1770" s="1">
        <f>IF(ISNUMBER(B1770),INT(B1770),0)</f>
        <v/>
      </c>
      <c r="H1770">
        <f>IF(AND(G1770&gt;0,D1770="Water",OR(C1770="",C1770="All beds")),G1770,0)</f>
        <v/>
      </c>
    </row>
    <row r="1771">
      <c r="A1771" s="1" t="n"/>
      <c r="B1771" s="17" t="n"/>
      <c r="C1771" s="18" t="n"/>
      <c r="D1771" s="19" t="n"/>
      <c r="E1771" s="21" t="n"/>
      <c r="F1771" s="11">
        <f>IF(AND(B1771="",C1771="",D1771=""),"",IF(NOT(ISNUMBER(B1771)),"Needs a date",IF(D1771="","Needs the job",IF(AND(C1771&lt;&gt;"",C1771&lt;&gt;"All beds",COUNTIF(Beds!$B$6:$B$35,C1771)=0),"Not on Beds",""))))</f>
        <v/>
      </c>
      <c r="G1771" s="1">
        <f>IF(ISNUMBER(B1771),INT(B1771),0)</f>
        <v/>
      </c>
      <c r="H1771">
        <f>IF(AND(G1771&gt;0,D1771="Water",OR(C1771="",C1771="All beds")),G1771,0)</f>
        <v/>
      </c>
    </row>
    <row r="1772">
      <c r="A1772" s="1" t="n"/>
      <c r="B1772" s="17" t="n"/>
      <c r="C1772" s="18" t="n"/>
      <c r="D1772" s="19" t="n"/>
      <c r="E1772" s="21" t="n"/>
      <c r="F1772" s="11">
        <f>IF(AND(B1772="",C1772="",D1772=""),"",IF(NOT(ISNUMBER(B1772)),"Needs a date",IF(D1772="","Needs the job",IF(AND(C1772&lt;&gt;"",C1772&lt;&gt;"All beds",COUNTIF(Beds!$B$6:$B$35,C1772)=0),"Not on Beds",""))))</f>
        <v/>
      </c>
      <c r="G1772" s="1">
        <f>IF(ISNUMBER(B1772),INT(B1772),0)</f>
        <v/>
      </c>
      <c r="H1772">
        <f>IF(AND(G1772&gt;0,D1772="Water",OR(C1772="",C1772="All beds")),G1772,0)</f>
        <v/>
      </c>
    </row>
    <row r="1773">
      <c r="A1773" s="1" t="n"/>
      <c r="B1773" s="17" t="n"/>
      <c r="C1773" s="18" t="n"/>
      <c r="D1773" s="19" t="n"/>
      <c r="E1773" s="21" t="n"/>
      <c r="F1773" s="11">
        <f>IF(AND(B1773="",C1773="",D1773=""),"",IF(NOT(ISNUMBER(B1773)),"Needs a date",IF(D1773="","Needs the job",IF(AND(C1773&lt;&gt;"",C1773&lt;&gt;"All beds",COUNTIF(Beds!$B$6:$B$35,C1773)=0),"Not on Beds",""))))</f>
        <v/>
      </c>
      <c r="G1773" s="1">
        <f>IF(ISNUMBER(B1773),INT(B1773),0)</f>
        <v/>
      </c>
      <c r="H1773">
        <f>IF(AND(G1773&gt;0,D1773="Water",OR(C1773="",C1773="All beds")),G1773,0)</f>
        <v/>
      </c>
    </row>
    <row r="1774">
      <c r="A1774" s="1" t="n"/>
      <c r="B1774" s="17" t="n"/>
      <c r="C1774" s="18" t="n"/>
      <c r="D1774" s="19" t="n"/>
      <c r="E1774" s="21" t="n"/>
      <c r="F1774" s="11">
        <f>IF(AND(B1774="",C1774="",D1774=""),"",IF(NOT(ISNUMBER(B1774)),"Needs a date",IF(D1774="","Needs the job",IF(AND(C1774&lt;&gt;"",C1774&lt;&gt;"All beds",COUNTIF(Beds!$B$6:$B$35,C1774)=0),"Not on Beds",""))))</f>
        <v/>
      </c>
      <c r="G1774" s="1">
        <f>IF(ISNUMBER(B1774),INT(B1774),0)</f>
        <v/>
      </c>
      <c r="H1774">
        <f>IF(AND(G1774&gt;0,D1774="Water",OR(C1774="",C1774="All beds")),G1774,0)</f>
        <v/>
      </c>
    </row>
    <row r="1775">
      <c r="A1775" s="1" t="n"/>
      <c r="B1775" s="17" t="n"/>
      <c r="C1775" s="18" t="n"/>
      <c r="D1775" s="19" t="n"/>
      <c r="E1775" s="21" t="n"/>
      <c r="F1775" s="11">
        <f>IF(AND(B1775="",C1775="",D1775=""),"",IF(NOT(ISNUMBER(B1775)),"Needs a date",IF(D1775="","Needs the job",IF(AND(C1775&lt;&gt;"",C1775&lt;&gt;"All beds",COUNTIF(Beds!$B$6:$B$35,C1775)=0),"Not on Beds",""))))</f>
        <v/>
      </c>
      <c r="G1775" s="1">
        <f>IF(ISNUMBER(B1775),INT(B1775),0)</f>
        <v/>
      </c>
      <c r="H1775">
        <f>IF(AND(G1775&gt;0,D1775="Water",OR(C1775="",C1775="All beds")),G1775,0)</f>
        <v/>
      </c>
    </row>
    <row r="1776">
      <c r="A1776" s="1" t="n"/>
      <c r="B1776" s="17" t="n"/>
      <c r="C1776" s="18" t="n"/>
      <c r="D1776" s="19" t="n"/>
      <c r="E1776" s="21" t="n"/>
      <c r="F1776" s="11">
        <f>IF(AND(B1776="",C1776="",D1776=""),"",IF(NOT(ISNUMBER(B1776)),"Needs a date",IF(D1776="","Needs the job",IF(AND(C1776&lt;&gt;"",C1776&lt;&gt;"All beds",COUNTIF(Beds!$B$6:$B$35,C1776)=0),"Not on Beds",""))))</f>
        <v/>
      </c>
      <c r="G1776" s="1">
        <f>IF(ISNUMBER(B1776),INT(B1776),0)</f>
        <v/>
      </c>
      <c r="H1776">
        <f>IF(AND(G1776&gt;0,D1776="Water",OR(C1776="",C1776="All beds")),G1776,0)</f>
        <v/>
      </c>
    </row>
    <row r="1777">
      <c r="A1777" s="1" t="n"/>
      <c r="B1777" s="17" t="n"/>
      <c r="C1777" s="18" t="n"/>
      <c r="D1777" s="19" t="n"/>
      <c r="E1777" s="21" t="n"/>
      <c r="F1777" s="11">
        <f>IF(AND(B1777="",C1777="",D1777=""),"",IF(NOT(ISNUMBER(B1777)),"Needs a date",IF(D1777="","Needs the job",IF(AND(C1777&lt;&gt;"",C1777&lt;&gt;"All beds",COUNTIF(Beds!$B$6:$B$35,C1777)=0),"Not on Beds",""))))</f>
        <v/>
      </c>
      <c r="G1777" s="1">
        <f>IF(ISNUMBER(B1777),INT(B1777),0)</f>
        <v/>
      </c>
      <c r="H1777">
        <f>IF(AND(G1777&gt;0,D1777="Water",OR(C1777="",C1777="All beds")),G1777,0)</f>
        <v/>
      </c>
    </row>
    <row r="1778">
      <c r="A1778" s="1" t="n"/>
      <c r="B1778" s="17" t="n"/>
      <c r="C1778" s="18" t="n"/>
      <c r="D1778" s="19" t="n"/>
      <c r="E1778" s="21" t="n"/>
      <c r="F1778" s="11">
        <f>IF(AND(B1778="",C1778="",D1778=""),"",IF(NOT(ISNUMBER(B1778)),"Needs a date",IF(D1778="","Needs the job",IF(AND(C1778&lt;&gt;"",C1778&lt;&gt;"All beds",COUNTIF(Beds!$B$6:$B$35,C1778)=0),"Not on Beds",""))))</f>
        <v/>
      </c>
      <c r="G1778" s="1">
        <f>IF(ISNUMBER(B1778),INT(B1778),0)</f>
        <v/>
      </c>
      <c r="H1778">
        <f>IF(AND(G1778&gt;0,D1778="Water",OR(C1778="",C1778="All beds")),G1778,0)</f>
        <v/>
      </c>
    </row>
    <row r="1779">
      <c r="A1779" s="1" t="n"/>
      <c r="B1779" s="17" t="n"/>
      <c r="C1779" s="18" t="n"/>
      <c r="D1779" s="19" t="n"/>
      <c r="E1779" s="21" t="n"/>
      <c r="F1779" s="11">
        <f>IF(AND(B1779="",C1779="",D1779=""),"",IF(NOT(ISNUMBER(B1779)),"Needs a date",IF(D1779="","Needs the job",IF(AND(C1779&lt;&gt;"",C1779&lt;&gt;"All beds",COUNTIF(Beds!$B$6:$B$35,C1779)=0),"Not on Beds",""))))</f>
        <v/>
      </c>
      <c r="G1779" s="1">
        <f>IF(ISNUMBER(B1779),INT(B1779),0)</f>
        <v/>
      </c>
      <c r="H1779">
        <f>IF(AND(G1779&gt;0,D1779="Water",OR(C1779="",C1779="All beds")),G1779,0)</f>
        <v/>
      </c>
    </row>
    <row r="1780">
      <c r="A1780" s="1" t="n"/>
      <c r="B1780" s="17" t="n"/>
      <c r="C1780" s="18" t="n"/>
      <c r="D1780" s="19" t="n"/>
      <c r="E1780" s="21" t="n"/>
      <c r="F1780" s="11">
        <f>IF(AND(B1780="",C1780="",D1780=""),"",IF(NOT(ISNUMBER(B1780)),"Needs a date",IF(D1780="","Needs the job",IF(AND(C1780&lt;&gt;"",C1780&lt;&gt;"All beds",COUNTIF(Beds!$B$6:$B$35,C1780)=0),"Not on Beds",""))))</f>
        <v/>
      </c>
      <c r="G1780" s="1">
        <f>IF(ISNUMBER(B1780),INT(B1780),0)</f>
        <v/>
      </c>
      <c r="H1780">
        <f>IF(AND(G1780&gt;0,D1780="Water",OR(C1780="",C1780="All beds")),G1780,0)</f>
        <v/>
      </c>
    </row>
    <row r="1781">
      <c r="A1781" s="1" t="n"/>
      <c r="B1781" s="17" t="n"/>
      <c r="C1781" s="18" t="n"/>
      <c r="D1781" s="19" t="n"/>
      <c r="E1781" s="21" t="n"/>
      <c r="F1781" s="11">
        <f>IF(AND(B1781="",C1781="",D1781=""),"",IF(NOT(ISNUMBER(B1781)),"Needs a date",IF(D1781="","Needs the job",IF(AND(C1781&lt;&gt;"",C1781&lt;&gt;"All beds",COUNTIF(Beds!$B$6:$B$35,C1781)=0),"Not on Beds",""))))</f>
        <v/>
      </c>
      <c r="G1781" s="1">
        <f>IF(ISNUMBER(B1781),INT(B1781),0)</f>
        <v/>
      </c>
      <c r="H1781">
        <f>IF(AND(G1781&gt;0,D1781="Water",OR(C1781="",C1781="All beds")),G1781,0)</f>
        <v/>
      </c>
    </row>
    <row r="1782">
      <c r="A1782" s="1" t="n"/>
      <c r="B1782" s="17" t="n"/>
      <c r="C1782" s="18" t="n"/>
      <c r="D1782" s="19" t="n"/>
      <c r="E1782" s="21" t="n"/>
      <c r="F1782" s="11">
        <f>IF(AND(B1782="",C1782="",D1782=""),"",IF(NOT(ISNUMBER(B1782)),"Needs a date",IF(D1782="","Needs the job",IF(AND(C1782&lt;&gt;"",C1782&lt;&gt;"All beds",COUNTIF(Beds!$B$6:$B$35,C1782)=0),"Not on Beds",""))))</f>
        <v/>
      </c>
      <c r="G1782" s="1">
        <f>IF(ISNUMBER(B1782),INT(B1782),0)</f>
        <v/>
      </c>
      <c r="H1782">
        <f>IF(AND(G1782&gt;0,D1782="Water",OR(C1782="",C1782="All beds")),G1782,0)</f>
        <v/>
      </c>
    </row>
    <row r="1783">
      <c r="A1783" s="1" t="n"/>
      <c r="B1783" s="17" t="n"/>
      <c r="C1783" s="18" t="n"/>
      <c r="D1783" s="19" t="n"/>
      <c r="E1783" s="21" t="n"/>
      <c r="F1783" s="11">
        <f>IF(AND(B1783="",C1783="",D1783=""),"",IF(NOT(ISNUMBER(B1783)),"Needs a date",IF(D1783="","Needs the job",IF(AND(C1783&lt;&gt;"",C1783&lt;&gt;"All beds",COUNTIF(Beds!$B$6:$B$35,C1783)=0),"Not on Beds",""))))</f>
        <v/>
      </c>
      <c r="G1783" s="1">
        <f>IF(ISNUMBER(B1783),INT(B1783),0)</f>
        <v/>
      </c>
      <c r="H1783">
        <f>IF(AND(G1783&gt;0,D1783="Water",OR(C1783="",C1783="All beds")),G1783,0)</f>
        <v/>
      </c>
    </row>
    <row r="1784">
      <c r="A1784" s="1" t="n"/>
      <c r="B1784" s="17" t="n"/>
      <c r="C1784" s="18" t="n"/>
      <c r="D1784" s="19" t="n"/>
      <c r="E1784" s="21" t="n"/>
      <c r="F1784" s="11">
        <f>IF(AND(B1784="",C1784="",D1784=""),"",IF(NOT(ISNUMBER(B1784)),"Needs a date",IF(D1784="","Needs the job",IF(AND(C1784&lt;&gt;"",C1784&lt;&gt;"All beds",COUNTIF(Beds!$B$6:$B$35,C1784)=0),"Not on Beds",""))))</f>
        <v/>
      </c>
      <c r="G1784" s="1">
        <f>IF(ISNUMBER(B1784),INT(B1784),0)</f>
        <v/>
      </c>
      <c r="H1784">
        <f>IF(AND(G1784&gt;0,D1784="Water",OR(C1784="",C1784="All beds")),G1784,0)</f>
        <v/>
      </c>
    </row>
    <row r="1785">
      <c r="A1785" s="1" t="n"/>
      <c r="B1785" s="17" t="n"/>
      <c r="C1785" s="18" t="n"/>
      <c r="D1785" s="19" t="n"/>
      <c r="E1785" s="21" t="n"/>
      <c r="F1785" s="11">
        <f>IF(AND(B1785="",C1785="",D1785=""),"",IF(NOT(ISNUMBER(B1785)),"Needs a date",IF(D1785="","Needs the job",IF(AND(C1785&lt;&gt;"",C1785&lt;&gt;"All beds",COUNTIF(Beds!$B$6:$B$35,C1785)=0),"Not on Beds",""))))</f>
        <v/>
      </c>
      <c r="G1785" s="1">
        <f>IF(ISNUMBER(B1785),INT(B1785),0)</f>
        <v/>
      </c>
      <c r="H1785">
        <f>IF(AND(G1785&gt;0,D1785="Water",OR(C1785="",C1785="All beds")),G1785,0)</f>
        <v/>
      </c>
    </row>
    <row r="1786">
      <c r="A1786" s="1" t="n"/>
      <c r="B1786" s="17" t="n"/>
      <c r="C1786" s="18" t="n"/>
      <c r="D1786" s="19" t="n"/>
      <c r="E1786" s="21" t="n"/>
      <c r="F1786" s="11">
        <f>IF(AND(B1786="",C1786="",D1786=""),"",IF(NOT(ISNUMBER(B1786)),"Needs a date",IF(D1786="","Needs the job",IF(AND(C1786&lt;&gt;"",C1786&lt;&gt;"All beds",COUNTIF(Beds!$B$6:$B$35,C1786)=0),"Not on Beds",""))))</f>
        <v/>
      </c>
      <c r="G1786" s="1">
        <f>IF(ISNUMBER(B1786),INT(B1786),0)</f>
        <v/>
      </c>
      <c r="H1786">
        <f>IF(AND(G1786&gt;0,D1786="Water",OR(C1786="",C1786="All beds")),G1786,0)</f>
        <v/>
      </c>
    </row>
    <row r="1787">
      <c r="A1787" s="1" t="n"/>
      <c r="B1787" s="17" t="n"/>
      <c r="C1787" s="18" t="n"/>
      <c r="D1787" s="19" t="n"/>
      <c r="E1787" s="21" t="n"/>
      <c r="F1787" s="11">
        <f>IF(AND(B1787="",C1787="",D1787=""),"",IF(NOT(ISNUMBER(B1787)),"Needs a date",IF(D1787="","Needs the job",IF(AND(C1787&lt;&gt;"",C1787&lt;&gt;"All beds",COUNTIF(Beds!$B$6:$B$35,C1787)=0),"Not on Beds",""))))</f>
        <v/>
      </c>
      <c r="G1787" s="1">
        <f>IF(ISNUMBER(B1787),INT(B1787),0)</f>
        <v/>
      </c>
      <c r="H1787">
        <f>IF(AND(G1787&gt;0,D1787="Water",OR(C1787="",C1787="All beds")),G1787,0)</f>
        <v/>
      </c>
    </row>
    <row r="1788">
      <c r="A1788" s="1" t="n"/>
      <c r="B1788" s="17" t="n"/>
      <c r="C1788" s="18" t="n"/>
      <c r="D1788" s="19" t="n"/>
      <c r="E1788" s="21" t="n"/>
      <c r="F1788" s="11">
        <f>IF(AND(B1788="",C1788="",D1788=""),"",IF(NOT(ISNUMBER(B1788)),"Needs a date",IF(D1788="","Needs the job",IF(AND(C1788&lt;&gt;"",C1788&lt;&gt;"All beds",COUNTIF(Beds!$B$6:$B$35,C1788)=0),"Not on Beds",""))))</f>
        <v/>
      </c>
      <c r="G1788" s="1">
        <f>IF(ISNUMBER(B1788),INT(B1788),0)</f>
        <v/>
      </c>
      <c r="H1788">
        <f>IF(AND(G1788&gt;0,D1788="Water",OR(C1788="",C1788="All beds")),G1788,0)</f>
        <v/>
      </c>
    </row>
    <row r="1789">
      <c r="A1789" s="1" t="n"/>
      <c r="B1789" s="17" t="n"/>
      <c r="C1789" s="18" t="n"/>
      <c r="D1789" s="19" t="n"/>
      <c r="E1789" s="21" t="n"/>
      <c r="F1789" s="11">
        <f>IF(AND(B1789="",C1789="",D1789=""),"",IF(NOT(ISNUMBER(B1789)),"Needs a date",IF(D1789="","Needs the job",IF(AND(C1789&lt;&gt;"",C1789&lt;&gt;"All beds",COUNTIF(Beds!$B$6:$B$35,C1789)=0),"Not on Beds",""))))</f>
        <v/>
      </c>
      <c r="G1789" s="1">
        <f>IF(ISNUMBER(B1789),INT(B1789),0)</f>
        <v/>
      </c>
      <c r="H1789">
        <f>IF(AND(G1789&gt;0,D1789="Water",OR(C1789="",C1789="All beds")),G1789,0)</f>
        <v/>
      </c>
    </row>
    <row r="1790">
      <c r="A1790" s="1" t="n"/>
      <c r="B1790" s="17" t="n"/>
      <c r="C1790" s="18" t="n"/>
      <c r="D1790" s="19" t="n"/>
      <c r="E1790" s="21" t="n"/>
      <c r="F1790" s="11">
        <f>IF(AND(B1790="",C1790="",D1790=""),"",IF(NOT(ISNUMBER(B1790)),"Needs a date",IF(D1790="","Needs the job",IF(AND(C1790&lt;&gt;"",C1790&lt;&gt;"All beds",COUNTIF(Beds!$B$6:$B$35,C1790)=0),"Not on Beds",""))))</f>
        <v/>
      </c>
      <c r="G1790" s="1">
        <f>IF(ISNUMBER(B1790),INT(B1790),0)</f>
        <v/>
      </c>
      <c r="H1790">
        <f>IF(AND(G1790&gt;0,D1790="Water",OR(C1790="",C1790="All beds")),G1790,0)</f>
        <v/>
      </c>
    </row>
    <row r="1791">
      <c r="A1791" s="1" t="n"/>
      <c r="B1791" s="17" t="n"/>
      <c r="C1791" s="18" t="n"/>
      <c r="D1791" s="19" t="n"/>
      <c r="E1791" s="21" t="n"/>
      <c r="F1791" s="11">
        <f>IF(AND(B1791="",C1791="",D1791=""),"",IF(NOT(ISNUMBER(B1791)),"Needs a date",IF(D1791="","Needs the job",IF(AND(C1791&lt;&gt;"",C1791&lt;&gt;"All beds",COUNTIF(Beds!$B$6:$B$35,C1791)=0),"Not on Beds",""))))</f>
        <v/>
      </c>
      <c r="G1791" s="1">
        <f>IF(ISNUMBER(B1791),INT(B1791),0)</f>
        <v/>
      </c>
      <c r="H1791">
        <f>IF(AND(G1791&gt;0,D1791="Water",OR(C1791="",C1791="All beds")),G1791,0)</f>
        <v/>
      </c>
    </row>
    <row r="1792">
      <c r="A1792" s="1" t="n"/>
      <c r="B1792" s="17" t="n"/>
      <c r="C1792" s="18" t="n"/>
      <c r="D1792" s="19" t="n"/>
      <c r="E1792" s="21" t="n"/>
      <c r="F1792" s="11">
        <f>IF(AND(B1792="",C1792="",D1792=""),"",IF(NOT(ISNUMBER(B1792)),"Needs a date",IF(D1792="","Needs the job",IF(AND(C1792&lt;&gt;"",C1792&lt;&gt;"All beds",COUNTIF(Beds!$B$6:$B$35,C1792)=0),"Not on Beds",""))))</f>
        <v/>
      </c>
      <c r="G1792" s="1">
        <f>IF(ISNUMBER(B1792),INT(B1792),0)</f>
        <v/>
      </c>
      <c r="H1792">
        <f>IF(AND(G1792&gt;0,D1792="Water",OR(C1792="",C1792="All beds")),G1792,0)</f>
        <v/>
      </c>
    </row>
    <row r="1793">
      <c r="A1793" s="1" t="n"/>
      <c r="B1793" s="17" t="n"/>
      <c r="C1793" s="18" t="n"/>
      <c r="D1793" s="19" t="n"/>
      <c r="E1793" s="21" t="n"/>
      <c r="F1793" s="11">
        <f>IF(AND(B1793="",C1793="",D1793=""),"",IF(NOT(ISNUMBER(B1793)),"Needs a date",IF(D1793="","Needs the job",IF(AND(C1793&lt;&gt;"",C1793&lt;&gt;"All beds",COUNTIF(Beds!$B$6:$B$35,C1793)=0),"Not on Beds",""))))</f>
        <v/>
      </c>
      <c r="G1793" s="1">
        <f>IF(ISNUMBER(B1793),INT(B1793),0)</f>
        <v/>
      </c>
      <c r="H1793">
        <f>IF(AND(G1793&gt;0,D1793="Water",OR(C1793="",C1793="All beds")),G1793,0)</f>
        <v/>
      </c>
    </row>
    <row r="1794">
      <c r="A1794" s="1" t="n"/>
      <c r="B1794" s="17" t="n"/>
      <c r="C1794" s="18" t="n"/>
      <c r="D1794" s="19" t="n"/>
      <c r="E1794" s="21" t="n"/>
      <c r="F1794" s="11">
        <f>IF(AND(B1794="",C1794="",D1794=""),"",IF(NOT(ISNUMBER(B1794)),"Needs a date",IF(D1794="","Needs the job",IF(AND(C1794&lt;&gt;"",C1794&lt;&gt;"All beds",COUNTIF(Beds!$B$6:$B$35,C1794)=0),"Not on Beds",""))))</f>
        <v/>
      </c>
      <c r="G1794" s="1">
        <f>IF(ISNUMBER(B1794),INT(B1794),0)</f>
        <v/>
      </c>
      <c r="H1794">
        <f>IF(AND(G1794&gt;0,D1794="Water",OR(C1794="",C1794="All beds")),G1794,0)</f>
        <v/>
      </c>
    </row>
    <row r="1795">
      <c r="A1795" s="1" t="n"/>
      <c r="B1795" s="17" t="n"/>
      <c r="C1795" s="18" t="n"/>
      <c r="D1795" s="19" t="n"/>
      <c r="E1795" s="21" t="n"/>
      <c r="F1795" s="11">
        <f>IF(AND(B1795="",C1795="",D1795=""),"",IF(NOT(ISNUMBER(B1795)),"Needs a date",IF(D1795="","Needs the job",IF(AND(C1795&lt;&gt;"",C1795&lt;&gt;"All beds",COUNTIF(Beds!$B$6:$B$35,C1795)=0),"Not on Beds",""))))</f>
        <v/>
      </c>
      <c r="G1795" s="1">
        <f>IF(ISNUMBER(B1795),INT(B1795),0)</f>
        <v/>
      </c>
      <c r="H1795">
        <f>IF(AND(G1795&gt;0,D1795="Water",OR(C1795="",C1795="All beds")),G1795,0)</f>
        <v/>
      </c>
    </row>
    <row r="1796">
      <c r="A1796" s="1" t="n"/>
      <c r="B1796" s="17" t="n"/>
      <c r="C1796" s="18" t="n"/>
      <c r="D1796" s="19" t="n"/>
      <c r="E1796" s="21" t="n"/>
      <c r="F1796" s="11">
        <f>IF(AND(B1796="",C1796="",D1796=""),"",IF(NOT(ISNUMBER(B1796)),"Needs a date",IF(D1796="","Needs the job",IF(AND(C1796&lt;&gt;"",C1796&lt;&gt;"All beds",COUNTIF(Beds!$B$6:$B$35,C1796)=0),"Not on Beds",""))))</f>
        <v/>
      </c>
      <c r="G1796" s="1">
        <f>IF(ISNUMBER(B1796),INT(B1796),0)</f>
        <v/>
      </c>
      <c r="H1796">
        <f>IF(AND(G1796&gt;0,D1796="Water",OR(C1796="",C1796="All beds")),G1796,0)</f>
        <v/>
      </c>
    </row>
    <row r="1797">
      <c r="A1797" s="1" t="n"/>
      <c r="B1797" s="17" t="n"/>
      <c r="C1797" s="18" t="n"/>
      <c r="D1797" s="19" t="n"/>
      <c r="E1797" s="21" t="n"/>
      <c r="F1797" s="11">
        <f>IF(AND(B1797="",C1797="",D1797=""),"",IF(NOT(ISNUMBER(B1797)),"Needs a date",IF(D1797="","Needs the job",IF(AND(C1797&lt;&gt;"",C1797&lt;&gt;"All beds",COUNTIF(Beds!$B$6:$B$35,C1797)=0),"Not on Beds",""))))</f>
        <v/>
      </c>
      <c r="G1797" s="1">
        <f>IF(ISNUMBER(B1797),INT(B1797),0)</f>
        <v/>
      </c>
      <c r="H1797">
        <f>IF(AND(G1797&gt;0,D1797="Water",OR(C1797="",C1797="All beds")),G1797,0)</f>
        <v/>
      </c>
    </row>
    <row r="1798">
      <c r="A1798" s="1" t="n"/>
      <c r="B1798" s="17" t="n"/>
      <c r="C1798" s="18" t="n"/>
      <c r="D1798" s="19" t="n"/>
      <c r="E1798" s="21" t="n"/>
      <c r="F1798" s="11">
        <f>IF(AND(B1798="",C1798="",D1798=""),"",IF(NOT(ISNUMBER(B1798)),"Needs a date",IF(D1798="","Needs the job",IF(AND(C1798&lt;&gt;"",C1798&lt;&gt;"All beds",COUNTIF(Beds!$B$6:$B$35,C1798)=0),"Not on Beds",""))))</f>
        <v/>
      </c>
      <c r="G1798" s="1">
        <f>IF(ISNUMBER(B1798),INT(B1798),0)</f>
        <v/>
      </c>
      <c r="H1798">
        <f>IF(AND(G1798&gt;0,D1798="Water",OR(C1798="",C1798="All beds")),G1798,0)</f>
        <v/>
      </c>
    </row>
    <row r="1799">
      <c r="A1799" s="1" t="n"/>
      <c r="B1799" s="17" t="n"/>
      <c r="C1799" s="18" t="n"/>
      <c r="D1799" s="19" t="n"/>
      <c r="E1799" s="21" t="n"/>
      <c r="F1799" s="11">
        <f>IF(AND(B1799="",C1799="",D1799=""),"",IF(NOT(ISNUMBER(B1799)),"Needs a date",IF(D1799="","Needs the job",IF(AND(C1799&lt;&gt;"",C1799&lt;&gt;"All beds",COUNTIF(Beds!$B$6:$B$35,C1799)=0),"Not on Beds",""))))</f>
        <v/>
      </c>
      <c r="G1799" s="1">
        <f>IF(ISNUMBER(B1799),INT(B1799),0)</f>
        <v/>
      </c>
      <c r="H1799">
        <f>IF(AND(G1799&gt;0,D1799="Water",OR(C1799="",C1799="All beds")),G1799,0)</f>
        <v/>
      </c>
    </row>
    <row r="1800">
      <c r="A1800" s="1" t="n"/>
      <c r="B1800" s="17" t="n"/>
      <c r="C1800" s="18" t="n"/>
      <c r="D1800" s="19" t="n"/>
      <c r="E1800" s="21" t="n"/>
      <c r="F1800" s="11">
        <f>IF(AND(B1800="",C1800="",D1800=""),"",IF(NOT(ISNUMBER(B1800)),"Needs a date",IF(D1800="","Needs the job",IF(AND(C1800&lt;&gt;"",C1800&lt;&gt;"All beds",COUNTIF(Beds!$B$6:$B$35,C1800)=0),"Not on Beds",""))))</f>
        <v/>
      </c>
      <c r="G1800" s="1">
        <f>IF(ISNUMBER(B1800),INT(B1800),0)</f>
        <v/>
      </c>
      <c r="H1800">
        <f>IF(AND(G1800&gt;0,D1800="Water",OR(C1800="",C1800="All beds")),G1800,0)</f>
        <v/>
      </c>
    </row>
    <row r="1801">
      <c r="A1801" s="1" t="n"/>
      <c r="B1801" s="17" t="n"/>
      <c r="C1801" s="18" t="n"/>
      <c r="D1801" s="19" t="n"/>
      <c r="E1801" s="21" t="n"/>
      <c r="F1801" s="11">
        <f>IF(AND(B1801="",C1801="",D1801=""),"",IF(NOT(ISNUMBER(B1801)),"Needs a date",IF(D1801="","Needs the job",IF(AND(C1801&lt;&gt;"",C1801&lt;&gt;"All beds",COUNTIF(Beds!$B$6:$B$35,C1801)=0),"Not on Beds",""))))</f>
        <v/>
      </c>
      <c r="G1801" s="1">
        <f>IF(ISNUMBER(B1801),INT(B1801),0)</f>
        <v/>
      </c>
      <c r="H1801">
        <f>IF(AND(G1801&gt;0,D1801="Water",OR(C1801="",C1801="All beds")),G1801,0)</f>
        <v/>
      </c>
    </row>
    <row r="1802">
      <c r="A1802" s="1" t="n"/>
      <c r="B1802" s="17" t="n"/>
      <c r="C1802" s="18" t="n"/>
      <c r="D1802" s="19" t="n"/>
      <c r="E1802" s="21" t="n"/>
      <c r="F1802" s="11">
        <f>IF(AND(B1802="",C1802="",D1802=""),"",IF(NOT(ISNUMBER(B1802)),"Needs a date",IF(D1802="","Needs the job",IF(AND(C1802&lt;&gt;"",C1802&lt;&gt;"All beds",COUNTIF(Beds!$B$6:$B$35,C1802)=0),"Not on Beds",""))))</f>
        <v/>
      </c>
      <c r="G1802" s="1">
        <f>IF(ISNUMBER(B1802),INT(B1802),0)</f>
        <v/>
      </c>
      <c r="H1802">
        <f>IF(AND(G1802&gt;0,D1802="Water",OR(C1802="",C1802="All beds")),G1802,0)</f>
        <v/>
      </c>
    </row>
    <row r="1803">
      <c r="A1803" s="1" t="n"/>
      <c r="B1803" s="17" t="n"/>
      <c r="C1803" s="18" t="n"/>
      <c r="D1803" s="19" t="n"/>
      <c r="E1803" s="21" t="n"/>
      <c r="F1803" s="11">
        <f>IF(AND(B1803="",C1803="",D1803=""),"",IF(NOT(ISNUMBER(B1803)),"Needs a date",IF(D1803="","Needs the job",IF(AND(C1803&lt;&gt;"",C1803&lt;&gt;"All beds",COUNTIF(Beds!$B$6:$B$35,C1803)=0),"Not on Beds",""))))</f>
        <v/>
      </c>
      <c r="G1803" s="1">
        <f>IF(ISNUMBER(B1803),INT(B1803),0)</f>
        <v/>
      </c>
      <c r="H1803">
        <f>IF(AND(G1803&gt;0,D1803="Water",OR(C1803="",C1803="All beds")),G1803,0)</f>
        <v/>
      </c>
    </row>
    <row r="1804">
      <c r="A1804" s="1" t="n"/>
      <c r="B1804" s="17" t="n"/>
      <c r="C1804" s="18" t="n"/>
      <c r="D1804" s="19" t="n"/>
      <c r="E1804" s="21" t="n"/>
      <c r="F1804" s="11">
        <f>IF(AND(B1804="",C1804="",D1804=""),"",IF(NOT(ISNUMBER(B1804)),"Needs a date",IF(D1804="","Needs the job",IF(AND(C1804&lt;&gt;"",C1804&lt;&gt;"All beds",COUNTIF(Beds!$B$6:$B$35,C1804)=0),"Not on Beds",""))))</f>
        <v/>
      </c>
      <c r="G1804" s="1">
        <f>IF(ISNUMBER(B1804),INT(B1804),0)</f>
        <v/>
      </c>
      <c r="H1804">
        <f>IF(AND(G1804&gt;0,D1804="Water",OR(C1804="",C1804="All beds")),G1804,0)</f>
        <v/>
      </c>
    </row>
    <row r="1805">
      <c r="A1805" s="1" t="n"/>
      <c r="B1805" s="17" t="n"/>
      <c r="C1805" s="18" t="n"/>
      <c r="D1805" s="19" t="n"/>
      <c r="E1805" s="21" t="n"/>
      <c r="F1805" s="11">
        <f>IF(AND(B1805="",C1805="",D1805=""),"",IF(NOT(ISNUMBER(B1805)),"Needs a date",IF(D1805="","Needs the job",IF(AND(C1805&lt;&gt;"",C1805&lt;&gt;"All beds",COUNTIF(Beds!$B$6:$B$35,C1805)=0),"Not on Beds",""))))</f>
        <v/>
      </c>
      <c r="G1805" s="1">
        <f>IF(ISNUMBER(B1805),INT(B1805),0)</f>
        <v/>
      </c>
      <c r="H1805">
        <f>IF(AND(G1805&gt;0,D1805="Water",OR(C1805="",C1805="All beds")),G1805,0)</f>
        <v/>
      </c>
    </row>
    <row r="1806">
      <c r="A1806" s="1" t="n"/>
      <c r="B1806" s="17" t="n"/>
      <c r="C1806" s="18" t="n"/>
      <c r="D1806" s="19" t="n"/>
      <c r="E1806" s="21" t="n"/>
      <c r="F1806" s="11">
        <f>IF(AND(B1806="",C1806="",D1806=""),"",IF(NOT(ISNUMBER(B1806)),"Needs a date",IF(D1806="","Needs the job",IF(AND(C1806&lt;&gt;"",C1806&lt;&gt;"All beds",COUNTIF(Beds!$B$6:$B$35,C1806)=0),"Not on Beds",""))))</f>
        <v/>
      </c>
      <c r="G1806" s="1">
        <f>IF(ISNUMBER(B1806),INT(B1806),0)</f>
        <v/>
      </c>
      <c r="H1806">
        <f>IF(AND(G1806&gt;0,D1806="Water",OR(C1806="",C1806="All beds")),G1806,0)</f>
        <v/>
      </c>
    </row>
    <row r="1807">
      <c r="A1807" s="1" t="n"/>
      <c r="B1807" s="17" t="n"/>
      <c r="C1807" s="18" t="n"/>
      <c r="D1807" s="19" t="n"/>
      <c r="E1807" s="21" t="n"/>
      <c r="F1807" s="11">
        <f>IF(AND(B1807="",C1807="",D1807=""),"",IF(NOT(ISNUMBER(B1807)),"Needs a date",IF(D1807="","Needs the job",IF(AND(C1807&lt;&gt;"",C1807&lt;&gt;"All beds",COUNTIF(Beds!$B$6:$B$35,C1807)=0),"Not on Beds",""))))</f>
        <v/>
      </c>
      <c r="G1807" s="1">
        <f>IF(ISNUMBER(B1807),INT(B1807),0)</f>
        <v/>
      </c>
      <c r="H1807">
        <f>IF(AND(G1807&gt;0,D1807="Water",OR(C1807="",C1807="All beds")),G1807,0)</f>
        <v/>
      </c>
    </row>
    <row r="1808">
      <c r="A1808" s="1" t="n"/>
      <c r="B1808" s="17" t="n"/>
      <c r="C1808" s="18" t="n"/>
      <c r="D1808" s="19" t="n"/>
      <c r="E1808" s="21" t="n"/>
      <c r="F1808" s="11">
        <f>IF(AND(B1808="",C1808="",D1808=""),"",IF(NOT(ISNUMBER(B1808)),"Needs a date",IF(D1808="","Needs the job",IF(AND(C1808&lt;&gt;"",C1808&lt;&gt;"All beds",COUNTIF(Beds!$B$6:$B$35,C1808)=0),"Not on Beds",""))))</f>
        <v/>
      </c>
      <c r="G1808" s="1">
        <f>IF(ISNUMBER(B1808),INT(B1808),0)</f>
        <v/>
      </c>
      <c r="H1808">
        <f>IF(AND(G1808&gt;0,D1808="Water",OR(C1808="",C1808="All beds")),G1808,0)</f>
        <v/>
      </c>
    </row>
    <row r="1809">
      <c r="A1809" s="1" t="n"/>
      <c r="B1809" s="17" t="n"/>
      <c r="C1809" s="18" t="n"/>
      <c r="D1809" s="19" t="n"/>
      <c r="E1809" s="21" t="n"/>
      <c r="F1809" s="11">
        <f>IF(AND(B1809="",C1809="",D1809=""),"",IF(NOT(ISNUMBER(B1809)),"Needs a date",IF(D1809="","Needs the job",IF(AND(C1809&lt;&gt;"",C1809&lt;&gt;"All beds",COUNTIF(Beds!$B$6:$B$35,C1809)=0),"Not on Beds",""))))</f>
        <v/>
      </c>
      <c r="G1809" s="1">
        <f>IF(ISNUMBER(B1809),INT(B1809),0)</f>
        <v/>
      </c>
      <c r="H1809">
        <f>IF(AND(G1809&gt;0,D1809="Water",OR(C1809="",C1809="All beds")),G1809,0)</f>
        <v/>
      </c>
    </row>
    <row r="1810">
      <c r="A1810" s="1" t="n"/>
      <c r="B1810" s="17" t="n"/>
      <c r="C1810" s="18" t="n"/>
      <c r="D1810" s="19" t="n"/>
      <c r="E1810" s="21" t="n"/>
      <c r="F1810" s="11">
        <f>IF(AND(B1810="",C1810="",D1810=""),"",IF(NOT(ISNUMBER(B1810)),"Needs a date",IF(D1810="","Needs the job",IF(AND(C1810&lt;&gt;"",C1810&lt;&gt;"All beds",COUNTIF(Beds!$B$6:$B$35,C1810)=0),"Not on Beds",""))))</f>
        <v/>
      </c>
      <c r="G1810" s="1">
        <f>IF(ISNUMBER(B1810),INT(B1810),0)</f>
        <v/>
      </c>
      <c r="H1810">
        <f>IF(AND(G1810&gt;0,D1810="Water",OR(C1810="",C1810="All beds")),G1810,0)</f>
        <v/>
      </c>
    </row>
    <row r="1811">
      <c r="A1811" s="1" t="n"/>
      <c r="B1811" s="17" t="n"/>
      <c r="C1811" s="18" t="n"/>
      <c r="D1811" s="19" t="n"/>
      <c r="E1811" s="21" t="n"/>
      <c r="F1811" s="11">
        <f>IF(AND(B1811="",C1811="",D1811=""),"",IF(NOT(ISNUMBER(B1811)),"Needs a date",IF(D1811="","Needs the job",IF(AND(C1811&lt;&gt;"",C1811&lt;&gt;"All beds",COUNTIF(Beds!$B$6:$B$35,C1811)=0),"Not on Beds",""))))</f>
        <v/>
      </c>
      <c r="G1811" s="1">
        <f>IF(ISNUMBER(B1811),INT(B1811),0)</f>
        <v/>
      </c>
      <c r="H1811">
        <f>IF(AND(G1811&gt;0,D1811="Water",OR(C1811="",C1811="All beds")),G1811,0)</f>
        <v/>
      </c>
    </row>
    <row r="1812">
      <c r="A1812" s="1" t="n"/>
      <c r="B1812" s="17" t="n"/>
      <c r="C1812" s="18" t="n"/>
      <c r="D1812" s="19" t="n"/>
      <c r="E1812" s="21" t="n"/>
      <c r="F1812" s="11">
        <f>IF(AND(B1812="",C1812="",D1812=""),"",IF(NOT(ISNUMBER(B1812)),"Needs a date",IF(D1812="","Needs the job",IF(AND(C1812&lt;&gt;"",C1812&lt;&gt;"All beds",COUNTIF(Beds!$B$6:$B$35,C1812)=0),"Not on Beds",""))))</f>
        <v/>
      </c>
      <c r="G1812" s="1">
        <f>IF(ISNUMBER(B1812),INT(B1812),0)</f>
        <v/>
      </c>
      <c r="H1812">
        <f>IF(AND(G1812&gt;0,D1812="Water",OR(C1812="",C1812="All beds")),G1812,0)</f>
        <v/>
      </c>
    </row>
    <row r="1813">
      <c r="A1813" s="1" t="n"/>
      <c r="B1813" s="17" t="n"/>
      <c r="C1813" s="18" t="n"/>
      <c r="D1813" s="19" t="n"/>
      <c r="E1813" s="21" t="n"/>
      <c r="F1813" s="11">
        <f>IF(AND(B1813="",C1813="",D1813=""),"",IF(NOT(ISNUMBER(B1813)),"Needs a date",IF(D1813="","Needs the job",IF(AND(C1813&lt;&gt;"",C1813&lt;&gt;"All beds",COUNTIF(Beds!$B$6:$B$35,C1813)=0),"Not on Beds",""))))</f>
        <v/>
      </c>
      <c r="G1813" s="1">
        <f>IF(ISNUMBER(B1813),INT(B1813),0)</f>
        <v/>
      </c>
      <c r="H1813">
        <f>IF(AND(G1813&gt;0,D1813="Water",OR(C1813="",C1813="All beds")),G1813,0)</f>
        <v/>
      </c>
    </row>
    <row r="1814">
      <c r="A1814" s="1" t="n"/>
      <c r="B1814" s="17" t="n"/>
      <c r="C1814" s="18" t="n"/>
      <c r="D1814" s="19" t="n"/>
      <c r="E1814" s="21" t="n"/>
      <c r="F1814" s="11">
        <f>IF(AND(B1814="",C1814="",D1814=""),"",IF(NOT(ISNUMBER(B1814)),"Needs a date",IF(D1814="","Needs the job",IF(AND(C1814&lt;&gt;"",C1814&lt;&gt;"All beds",COUNTIF(Beds!$B$6:$B$35,C1814)=0),"Not on Beds",""))))</f>
        <v/>
      </c>
      <c r="G1814" s="1">
        <f>IF(ISNUMBER(B1814),INT(B1814),0)</f>
        <v/>
      </c>
      <c r="H1814">
        <f>IF(AND(G1814&gt;0,D1814="Water",OR(C1814="",C1814="All beds")),G1814,0)</f>
        <v/>
      </c>
    </row>
    <row r="1815">
      <c r="A1815" s="1" t="n"/>
      <c r="B1815" s="17" t="n"/>
      <c r="C1815" s="18" t="n"/>
      <c r="D1815" s="19" t="n"/>
      <c r="E1815" s="21" t="n"/>
      <c r="F1815" s="11">
        <f>IF(AND(B1815="",C1815="",D1815=""),"",IF(NOT(ISNUMBER(B1815)),"Needs a date",IF(D1815="","Needs the job",IF(AND(C1815&lt;&gt;"",C1815&lt;&gt;"All beds",COUNTIF(Beds!$B$6:$B$35,C1815)=0),"Not on Beds",""))))</f>
        <v/>
      </c>
      <c r="G1815" s="1">
        <f>IF(ISNUMBER(B1815),INT(B1815),0)</f>
        <v/>
      </c>
      <c r="H1815">
        <f>IF(AND(G1815&gt;0,D1815="Water",OR(C1815="",C1815="All beds")),G1815,0)</f>
        <v/>
      </c>
    </row>
    <row r="1816">
      <c r="A1816" s="1" t="n"/>
      <c r="B1816" s="17" t="n"/>
      <c r="C1816" s="18" t="n"/>
      <c r="D1816" s="19" t="n"/>
      <c r="E1816" s="21" t="n"/>
      <c r="F1816" s="11">
        <f>IF(AND(B1816="",C1816="",D1816=""),"",IF(NOT(ISNUMBER(B1816)),"Needs a date",IF(D1816="","Needs the job",IF(AND(C1816&lt;&gt;"",C1816&lt;&gt;"All beds",COUNTIF(Beds!$B$6:$B$35,C1816)=0),"Not on Beds",""))))</f>
        <v/>
      </c>
      <c r="G1816" s="1">
        <f>IF(ISNUMBER(B1816),INT(B1816),0)</f>
        <v/>
      </c>
      <c r="H1816">
        <f>IF(AND(G1816&gt;0,D1816="Water",OR(C1816="",C1816="All beds")),G1816,0)</f>
        <v/>
      </c>
    </row>
    <row r="1817">
      <c r="A1817" s="1" t="n"/>
      <c r="B1817" s="17" t="n"/>
      <c r="C1817" s="18" t="n"/>
      <c r="D1817" s="19" t="n"/>
      <c r="E1817" s="21" t="n"/>
      <c r="F1817" s="11">
        <f>IF(AND(B1817="",C1817="",D1817=""),"",IF(NOT(ISNUMBER(B1817)),"Needs a date",IF(D1817="","Needs the job",IF(AND(C1817&lt;&gt;"",C1817&lt;&gt;"All beds",COUNTIF(Beds!$B$6:$B$35,C1817)=0),"Not on Beds",""))))</f>
        <v/>
      </c>
      <c r="G1817" s="1">
        <f>IF(ISNUMBER(B1817),INT(B1817),0)</f>
        <v/>
      </c>
      <c r="H1817">
        <f>IF(AND(G1817&gt;0,D1817="Water",OR(C1817="",C1817="All beds")),G1817,0)</f>
        <v/>
      </c>
    </row>
    <row r="1818">
      <c r="A1818" s="1" t="n"/>
      <c r="B1818" s="17" t="n"/>
      <c r="C1818" s="18" t="n"/>
      <c r="D1818" s="19" t="n"/>
      <c r="E1818" s="21" t="n"/>
      <c r="F1818" s="11">
        <f>IF(AND(B1818="",C1818="",D1818=""),"",IF(NOT(ISNUMBER(B1818)),"Needs a date",IF(D1818="","Needs the job",IF(AND(C1818&lt;&gt;"",C1818&lt;&gt;"All beds",COUNTIF(Beds!$B$6:$B$35,C1818)=0),"Not on Beds",""))))</f>
        <v/>
      </c>
      <c r="G1818" s="1">
        <f>IF(ISNUMBER(B1818),INT(B1818),0)</f>
        <v/>
      </c>
      <c r="H1818">
        <f>IF(AND(G1818&gt;0,D1818="Water",OR(C1818="",C1818="All beds")),G1818,0)</f>
        <v/>
      </c>
    </row>
    <row r="1819">
      <c r="A1819" s="1" t="n"/>
      <c r="B1819" s="17" t="n"/>
      <c r="C1819" s="18" t="n"/>
      <c r="D1819" s="19" t="n"/>
      <c r="E1819" s="21" t="n"/>
      <c r="F1819" s="11">
        <f>IF(AND(B1819="",C1819="",D1819=""),"",IF(NOT(ISNUMBER(B1819)),"Needs a date",IF(D1819="","Needs the job",IF(AND(C1819&lt;&gt;"",C1819&lt;&gt;"All beds",COUNTIF(Beds!$B$6:$B$35,C1819)=0),"Not on Beds",""))))</f>
        <v/>
      </c>
      <c r="G1819" s="1">
        <f>IF(ISNUMBER(B1819),INT(B1819),0)</f>
        <v/>
      </c>
      <c r="H1819">
        <f>IF(AND(G1819&gt;0,D1819="Water",OR(C1819="",C1819="All beds")),G1819,0)</f>
        <v/>
      </c>
    </row>
    <row r="1820">
      <c r="A1820" s="1" t="n"/>
      <c r="B1820" s="17" t="n"/>
      <c r="C1820" s="18" t="n"/>
      <c r="D1820" s="19" t="n"/>
      <c r="E1820" s="21" t="n"/>
      <c r="F1820" s="11">
        <f>IF(AND(B1820="",C1820="",D1820=""),"",IF(NOT(ISNUMBER(B1820)),"Needs a date",IF(D1820="","Needs the job",IF(AND(C1820&lt;&gt;"",C1820&lt;&gt;"All beds",COUNTIF(Beds!$B$6:$B$35,C1820)=0),"Not on Beds",""))))</f>
        <v/>
      </c>
      <c r="G1820" s="1">
        <f>IF(ISNUMBER(B1820),INT(B1820),0)</f>
        <v/>
      </c>
      <c r="H1820">
        <f>IF(AND(G1820&gt;0,D1820="Water",OR(C1820="",C1820="All beds")),G1820,0)</f>
        <v/>
      </c>
    </row>
    <row r="1821">
      <c r="A1821" s="1" t="n"/>
      <c r="B1821" s="17" t="n"/>
      <c r="C1821" s="18" t="n"/>
      <c r="D1821" s="19" t="n"/>
      <c r="E1821" s="21" t="n"/>
      <c r="F1821" s="11">
        <f>IF(AND(B1821="",C1821="",D1821=""),"",IF(NOT(ISNUMBER(B1821)),"Needs a date",IF(D1821="","Needs the job",IF(AND(C1821&lt;&gt;"",C1821&lt;&gt;"All beds",COUNTIF(Beds!$B$6:$B$35,C1821)=0),"Not on Beds",""))))</f>
        <v/>
      </c>
      <c r="G1821" s="1">
        <f>IF(ISNUMBER(B1821),INT(B1821),0)</f>
        <v/>
      </c>
      <c r="H1821">
        <f>IF(AND(G1821&gt;0,D1821="Water",OR(C1821="",C1821="All beds")),G1821,0)</f>
        <v/>
      </c>
    </row>
    <row r="1822">
      <c r="A1822" s="1" t="n"/>
      <c r="B1822" s="17" t="n"/>
      <c r="C1822" s="18" t="n"/>
      <c r="D1822" s="19" t="n"/>
      <c r="E1822" s="21" t="n"/>
      <c r="F1822" s="11">
        <f>IF(AND(B1822="",C1822="",D1822=""),"",IF(NOT(ISNUMBER(B1822)),"Needs a date",IF(D1822="","Needs the job",IF(AND(C1822&lt;&gt;"",C1822&lt;&gt;"All beds",COUNTIF(Beds!$B$6:$B$35,C1822)=0),"Not on Beds",""))))</f>
        <v/>
      </c>
      <c r="G1822" s="1">
        <f>IF(ISNUMBER(B1822),INT(B1822),0)</f>
        <v/>
      </c>
      <c r="H1822">
        <f>IF(AND(G1822&gt;0,D1822="Water",OR(C1822="",C1822="All beds")),G1822,0)</f>
        <v/>
      </c>
    </row>
    <row r="1823">
      <c r="A1823" s="1" t="n"/>
      <c r="B1823" s="17" t="n"/>
      <c r="C1823" s="18" t="n"/>
      <c r="D1823" s="19" t="n"/>
      <c r="E1823" s="21" t="n"/>
      <c r="F1823" s="11">
        <f>IF(AND(B1823="",C1823="",D1823=""),"",IF(NOT(ISNUMBER(B1823)),"Needs a date",IF(D1823="","Needs the job",IF(AND(C1823&lt;&gt;"",C1823&lt;&gt;"All beds",COUNTIF(Beds!$B$6:$B$35,C1823)=0),"Not on Beds",""))))</f>
        <v/>
      </c>
      <c r="G1823" s="1">
        <f>IF(ISNUMBER(B1823),INT(B1823),0)</f>
        <v/>
      </c>
      <c r="H1823">
        <f>IF(AND(G1823&gt;0,D1823="Water",OR(C1823="",C1823="All beds")),G1823,0)</f>
        <v/>
      </c>
    </row>
    <row r="1824">
      <c r="A1824" s="1" t="n"/>
      <c r="B1824" s="17" t="n"/>
      <c r="C1824" s="18" t="n"/>
      <c r="D1824" s="19" t="n"/>
      <c r="E1824" s="21" t="n"/>
      <c r="F1824" s="11">
        <f>IF(AND(B1824="",C1824="",D1824=""),"",IF(NOT(ISNUMBER(B1824)),"Needs a date",IF(D1824="","Needs the job",IF(AND(C1824&lt;&gt;"",C1824&lt;&gt;"All beds",COUNTIF(Beds!$B$6:$B$35,C1824)=0),"Not on Beds",""))))</f>
        <v/>
      </c>
      <c r="G1824" s="1">
        <f>IF(ISNUMBER(B1824),INT(B1824),0)</f>
        <v/>
      </c>
      <c r="H1824">
        <f>IF(AND(G1824&gt;0,D1824="Water",OR(C1824="",C1824="All beds")),G1824,0)</f>
        <v/>
      </c>
    </row>
    <row r="1825">
      <c r="A1825" s="1" t="n"/>
      <c r="B1825" s="17" t="n"/>
      <c r="C1825" s="18" t="n"/>
      <c r="D1825" s="19" t="n"/>
      <c r="E1825" s="21" t="n"/>
      <c r="F1825" s="11">
        <f>IF(AND(B1825="",C1825="",D1825=""),"",IF(NOT(ISNUMBER(B1825)),"Needs a date",IF(D1825="","Needs the job",IF(AND(C1825&lt;&gt;"",C1825&lt;&gt;"All beds",COUNTIF(Beds!$B$6:$B$35,C1825)=0),"Not on Beds",""))))</f>
        <v/>
      </c>
      <c r="G1825" s="1">
        <f>IF(ISNUMBER(B1825),INT(B1825),0)</f>
        <v/>
      </c>
      <c r="H1825">
        <f>IF(AND(G1825&gt;0,D1825="Water",OR(C1825="",C1825="All beds")),G1825,0)</f>
        <v/>
      </c>
    </row>
    <row r="1826">
      <c r="A1826" s="1" t="n"/>
      <c r="B1826" s="17" t="n"/>
      <c r="C1826" s="18" t="n"/>
      <c r="D1826" s="19" t="n"/>
      <c r="E1826" s="21" t="n"/>
      <c r="F1826" s="11">
        <f>IF(AND(B1826="",C1826="",D1826=""),"",IF(NOT(ISNUMBER(B1826)),"Needs a date",IF(D1826="","Needs the job",IF(AND(C1826&lt;&gt;"",C1826&lt;&gt;"All beds",COUNTIF(Beds!$B$6:$B$35,C1826)=0),"Not on Beds",""))))</f>
        <v/>
      </c>
      <c r="G1826" s="1">
        <f>IF(ISNUMBER(B1826),INT(B1826),0)</f>
        <v/>
      </c>
      <c r="H1826">
        <f>IF(AND(G1826&gt;0,D1826="Water",OR(C1826="",C1826="All beds")),G1826,0)</f>
        <v/>
      </c>
    </row>
    <row r="1827">
      <c r="A1827" s="1" t="n"/>
      <c r="B1827" s="17" t="n"/>
      <c r="C1827" s="18" t="n"/>
      <c r="D1827" s="19" t="n"/>
      <c r="E1827" s="21" t="n"/>
      <c r="F1827" s="11">
        <f>IF(AND(B1827="",C1827="",D1827=""),"",IF(NOT(ISNUMBER(B1827)),"Needs a date",IF(D1827="","Needs the job",IF(AND(C1827&lt;&gt;"",C1827&lt;&gt;"All beds",COUNTIF(Beds!$B$6:$B$35,C1827)=0),"Not on Beds",""))))</f>
        <v/>
      </c>
      <c r="G1827" s="1">
        <f>IF(ISNUMBER(B1827),INT(B1827),0)</f>
        <v/>
      </c>
      <c r="H1827">
        <f>IF(AND(G1827&gt;0,D1827="Water",OR(C1827="",C1827="All beds")),G1827,0)</f>
        <v/>
      </c>
    </row>
    <row r="1828">
      <c r="A1828" s="1" t="n"/>
      <c r="B1828" s="17" t="n"/>
      <c r="C1828" s="18" t="n"/>
      <c r="D1828" s="19" t="n"/>
      <c r="E1828" s="21" t="n"/>
      <c r="F1828" s="11">
        <f>IF(AND(B1828="",C1828="",D1828=""),"",IF(NOT(ISNUMBER(B1828)),"Needs a date",IF(D1828="","Needs the job",IF(AND(C1828&lt;&gt;"",C1828&lt;&gt;"All beds",COUNTIF(Beds!$B$6:$B$35,C1828)=0),"Not on Beds",""))))</f>
        <v/>
      </c>
      <c r="G1828" s="1">
        <f>IF(ISNUMBER(B1828),INT(B1828),0)</f>
        <v/>
      </c>
      <c r="H1828">
        <f>IF(AND(G1828&gt;0,D1828="Water",OR(C1828="",C1828="All beds")),G1828,0)</f>
        <v/>
      </c>
    </row>
    <row r="1829">
      <c r="A1829" s="1" t="n"/>
      <c r="B1829" s="17" t="n"/>
      <c r="C1829" s="18" t="n"/>
      <c r="D1829" s="19" t="n"/>
      <c r="E1829" s="21" t="n"/>
      <c r="F1829" s="11">
        <f>IF(AND(B1829="",C1829="",D1829=""),"",IF(NOT(ISNUMBER(B1829)),"Needs a date",IF(D1829="","Needs the job",IF(AND(C1829&lt;&gt;"",C1829&lt;&gt;"All beds",COUNTIF(Beds!$B$6:$B$35,C1829)=0),"Not on Beds",""))))</f>
        <v/>
      </c>
      <c r="G1829" s="1">
        <f>IF(ISNUMBER(B1829),INT(B1829),0)</f>
        <v/>
      </c>
      <c r="H1829">
        <f>IF(AND(G1829&gt;0,D1829="Water",OR(C1829="",C1829="All beds")),G1829,0)</f>
        <v/>
      </c>
    </row>
    <row r="1830">
      <c r="A1830" s="1" t="n"/>
      <c r="B1830" s="17" t="n"/>
      <c r="C1830" s="18" t="n"/>
      <c r="D1830" s="19" t="n"/>
      <c r="E1830" s="21" t="n"/>
      <c r="F1830" s="11">
        <f>IF(AND(B1830="",C1830="",D1830=""),"",IF(NOT(ISNUMBER(B1830)),"Needs a date",IF(D1830="","Needs the job",IF(AND(C1830&lt;&gt;"",C1830&lt;&gt;"All beds",COUNTIF(Beds!$B$6:$B$35,C1830)=0),"Not on Beds",""))))</f>
        <v/>
      </c>
      <c r="G1830" s="1">
        <f>IF(ISNUMBER(B1830),INT(B1830),0)</f>
        <v/>
      </c>
      <c r="H1830">
        <f>IF(AND(G1830&gt;0,D1830="Water",OR(C1830="",C1830="All beds")),G1830,0)</f>
        <v/>
      </c>
    </row>
    <row r="1831">
      <c r="A1831" s="1" t="n"/>
      <c r="B1831" s="17" t="n"/>
      <c r="C1831" s="18" t="n"/>
      <c r="D1831" s="19" t="n"/>
      <c r="E1831" s="21" t="n"/>
      <c r="F1831" s="11">
        <f>IF(AND(B1831="",C1831="",D1831=""),"",IF(NOT(ISNUMBER(B1831)),"Needs a date",IF(D1831="","Needs the job",IF(AND(C1831&lt;&gt;"",C1831&lt;&gt;"All beds",COUNTIF(Beds!$B$6:$B$35,C1831)=0),"Not on Beds",""))))</f>
        <v/>
      </c>
      <c r="G1831" s="1">
        <f>IF(ISNUMBER(B1831),INT(B1831),0)</f>
        <v/>
      </c>
      <c r="H1831">
        <f>IF(AND(G1831&gt;0,D1831="Water",OR(C1831="",C1831="All beds")),G1831,0)</f>
        <v/>
      </c>
    </row>
    <row r="1832">
      <c r="A1832" s="1" t="n"/>
      <c r="B1832" s="17" t="n"/>
      <c r="C1832" s="18" t="n"/>
      <c r="D1832" s="19" t="n"/>
      <c r="E1832" s="21" t="n"/>
      <c r="F1832" s="11">
        <f>IF(AND(B1832="",C1832="",D1832=""),"",IF(NOT(ISNUMBER(B1832)),"Needs a date",IF(D1832="","Needs the job",IF(AND(C1832&lt;&gt;"",C1832&lt;&gt;"All beds",COUNTIF(Beds!$B$6:$B$35,C1832)=0),"Not on Beds",""))))</f>
        <v/>
      </c>
      <c r="G1832" s="1">
        <f>IF(ISNUMBER(B1832),INT(B1832),0)</f>
        <v/>
      </c>
      <c r="H1832">
        <f>IF(AND(G1832&gt;0,D1832="Water",OR(C1832="",C1832="All beds")),G1832,0)</f>
        <v/>
      </c>
    </row>
    <row r="1833">
      <c r="A1833" s="1" t="n"/>
      <c r="B1833" s="17" t="n"/>
      <c r="C1833" s="18" t="n"/>
      <c r="D1833" s="19" t="n"/>
      <c r="E1833" s="21" t="n"/>
      <c r="F1833" s="11">
        <f>IF(AND(B1833="",C1833="",D1833=""),"",IF(NOT(ISNUMBER(B1833)),"Needs a date",IF(D1833="","Needs the job",IF(AND(C1833&lt;&gt;"",C1833&lt;&gt;"All beds",COUNTIF(Beds!$B$6:$B$35,C1833)=0),"Not on Beds",""))))</f>
        <v/>
      </c>
      <c r="G1833" s="1">
        <f>IF(ISNUMBER(B1833),INT(B1833),0)</f>
        <v/>
      </c>
      <c r="H1833">
        <f>IF(AND(G1833&gt;0,D1833="Water",OR(C1833="",C1833="All beds")),G1833,0)</f>
        <v/>
      </c>
    </row>
    <row r="1834">
      <c r="A1834" s="1" t="n"/>
      <c r="B1834" s="17" t="n"/>
      <c r="C1834" s="18" t="n"/>
      <c r="D1834" s="19" t="n"/>
      <c r="E1834" s="21" t="n"/>
      <c r="F1834" s="11">
        <f>IF(AND(B1834="",C1834="",D1834=""),"",IF(NOT(ISNUMBER(B1834)),"Needs a date",IF(D1834="","Needs the job",IF(AND(C1834&lt;&gt;"",C1834&lt;&gt;"All beds",COUNTIF(Beds!$B$6:$B$35,C1834)=0),"Not on Beds",""))))</f>
        <v/>
      </c>
      <c r="G1834" s="1">
        <f>IF(ISNUMBER(B1834),INT(B1834),0)</f>
        <v/>
      </c>
      <c r="H1834">
        <f>IF(AND(G1834&gt;0,D1834="Water",OR(C1834="",C1834="All beds")),G1834,0)</f>
        <v/>
      </c>
    </row>
    <row r="1835">
      <c r="A1835" s="1" t="n"/>
      <c r="B1835" s="17" t="n"/>
      <c r="C1835" s="18" t="n"/>
      <c r="D1835" s="19" t="n"/>
      <c r="E1835" s="21" t="n"/>
      <c r="F1835" s="11">
        <f>IF(AND(B1835="",C1835="",D1835=""),"",IF(NOT(ISNUMBER(B1835)),"Needs a date",IF(D1835="","Needs the job",IF(AND(C1835&lt;&gt;"",C1835&lt;&gt;"All beds",COUNTIF(Beds!$B$6:$B$35,C1835)=0),"Not on Beds",""))))</f>
        <v/>
      </c>
      <c r="G1835" s="1">
        <f>IF(ISNUMBER(B1835),INT(B1835),0)</f>
        <v/>
      </c>
      <c r="H1835">
        <f>IF(AND(G1835&gt;0,D1835="Water",OR(C1835="",C1835="All beds")),G1835,0)</f>
        <v/>
      </c>
    </row>
    <row r="1836">
      <c r="A1836" s="1" t="n"/>
      <c r="B1836" s="17" t="n"/>
      <c r="C1836" s="18" t="n"/>
      <c r="D1836" s="19" t="n"/>
      <c r="E1836" s="21" t="n"/>
      <c r="F1836" s="11">
        <f>IF(AND(B1836="",C1836="",D1836=""),"",IF(NOT(ISNUMBER(B1836)),"Needs a date",IF(D1836="","Needs the job",IF(AND(C1836&lt;&gt;"",C1836&lt;&gt;"All beds",COUNTIF(Beds!$B$6:$B$35,C1836)=0),"Not on Beds",""))))</f>
        <v/>
      </c>
      <c r="G1836" s="1">
        <f>IF(ISNUMBER(B1836),INT(B1836),0)</f>
        <v/>
      </c>
      <c r="H1836">
        <f>IF(AND(G1836&gt;0,D1836="Water",OR(C1836="",C1836="All beds")),G1836,0)</f>
        <v/>
      </c>
    </row>
    <row r="1837">
      <c r="A1837" s="1" t="n"/>
      <c r="B1837" s="17" t="n"/>
      <c r="C1837" s="18" t="n"/>
      <c r="D1837" s="19" t="n"/>
      <c r="E1837" s="21" t="n"/>
      <c r="F1837" s="11">
        <f>IF(AND(B1837="",C1837="",D1837=""),"",IF(NOT(ISNUMBER(B1837)),"Needs a date",IF(D1837="","Needs the job",IF(AND(C1837&lt;&gt;"",C1837&lt;&gt;"All beds",COUNTIF(Beds!$B$6:$B$35,C1837)=0),"Not on Beds",""))))</f>
        <v/>
      </c>
      <c r="G1837" s="1">
        <f>IF(ISNUMBER(B1837),INT(B1837),0)</f>
        <v/>
      </c>
      <c r="H1837">
        <f>IF(AND(G1837&gt;0,D1837="Water",OR(C1837="",C1837="All beds")),G1837,0)</f>
        <v/>
      </c>
    </row>
    <row r="1838">
      <c r="A1838" s="1" t="n"/>
      <c r="B1838" s="17" t="n"/>
      <c r="C1838" s="18" t="n"/>
      <c r="D1838" s="19" t="n"/>
      <c r="E1838" s="21" t="n"/>
      <c r="F1838" s="11">
        <f>IF(AND(B1838="",C1838="",D1838=""),"",IF(NOT(ISNUMBER(B1838)),"Needs a date",IF(D1838="","Needs the job",IF(AND(C1838&lt;&gt;"",C1838&lt;&gt;"All beds",COUNTIF(Beds!$B$6:$B$35,C1838)=0),"Not on Beds",""))))</f>
        <v/>
      </c>
      <c r="G1838" s="1">
        <f>IF(ISNUMBER(B1838),INT(B1838),0)</f>
        <v/>
      </c>
      <c r="H1838">
        <f>IF(AND(G1838&gt;0,D1838="Water",OR(C1838="",C1838="All beds")),G1838,0)</f>
        <v/>
      </c>
    </row>
    <row r="1839">
      <c r="A1839" s="1" t="n"/>
      <c r="B1839" s="17" t="n"/>
      <c r="C1839" s="18" t="n"/>
      <c r="D1839" s="19" t="n"/>
      <c r="E1839" s="21" t="n"/>
      <c r="F1839" s="11">
        <f>IF(AND(B1839="",C1839="",D1839=""),"",IF(NOT(ISNUMBER(B1839)),"Needs a date",IF(D1839="","Needs the job",IF(AND(C1839&lt;&gt;"",C1839&lt;&gt;"All beds",COUNTIF(Beds!$B$6:$B$35,C1839)=0),"Not on Beds",""))))</f>
        <v/>
      </c>
      <c r="G1839" s="1">
        <f>IF(ISNUMBER(B1839),INT(B1839),0)</f>
        <v/>
      </c>
      <c r="H1839">
        <f>IF(AND(G1839&gt;0,D1839="Water",OR(C1839="",C1839="All beds")),G1839,0)</f>
        <v/>
      </c>
    </row>
    <row r="1840">
      <c r="A1840" s="1" t="n"/>
      <c r="B1840" s="17" t="n"/>
      <c r="C1840" s="18" t="n"/>
      <c r="D1840" s="19" t="n"/>
      <c r="E1840" s="21" t="n"/>
      <c r="F1840" s="11">
        <f>IF(AND(B1840="",C1840="",D1840=""),"",IF(NOT(ISNUMBER(B1840)),"Needs a date",IF(D1840="","Needs the job",IF(AND(C1840&lt;&gt;"",C1840&lt;&gt;"All beds",COUNTIF(Beds!$B$6:$B$35,C1840)=0),"Not on Beds",""))))</f>
        <v/>
      </c>
      <c r="G1840" s="1">
        <f>IF(ISNUMBER(B1840),INT(B1840),0)</f>
        <v/>
      </c>
      <c r="H1840">
        <f>IF(AND(G1840&gt;0,D1840="Water",OR(C1840="",C1840="All beds")),G1840,0)</f>
        <v/>
      </c>
    </row>
    <row r="1841">
      <c r="A1841" s="1" t="n"/>
      <c r="B1841" s="17" t="n"/>
      <c r="C1841" s="18" t="n"/>
      <c r="D1841" s="19" t="n"/>
      <c r="E1841" s="21" t="n"/>
      <c r="F1841" s="11">
        <f>IF(AND(B1841="",C1841="",D1841=""),"",IF(NOT(ISNUMBER(B1841)),"Needs a date",IF(D1841="","Needs the job",IF(AND(C1841&lt;&gt;"",C1841&lt;&gt;"All beds",COUNTIF(Beds!$B$6:$B$35,C1841)=0),"Not on Beds",""))))</f>
        <v/>
      </c>
      <c r="G1841" s="1">
        <f>IF(ISNUMBER(B1841),INT(B1841),0)</f>
        <v/>
      </c>
      <c r="H1841">
        <f>IF(AND(G1841&gt;0,D1841="Water",OR(C1841="",C1841="All beds")),G1841,0)</f>
        <v/>
      </c>
    </row>
    <row r="1842">
      <c r="A1842" s="1" t="n"/>
      <c r="B1842" s="17" t="n"/>
      <c r="C1842" s="18" t="n"/>
      <c r="D1842" s="19" t="n"/>
      <c r="E1842" s="21" t="n"/>
      <c r="F1842" s="11">
        <f>IF(AND(B1842="",C1842="",D1842=""),"",IF(NOT(ISNUMBER(B1842)),"Needs a date",IF(D1842="","Needs the job",IF(AND(C1842&lt;&gt;"",C1842&lt;&gt;"All beds",COUNTIF(Beds!$B$6:$B$35,C1842)=0),"Not on Beds",""))))</f>
        <v/>
      </c>
      <c r="G1842" s="1">
        <f>IF(ISNUMBER(B1842),INT(B1842),0)</f>
        <v/>
      </c>
      <c r="H1842">
        <f>IF(AND(G1842&gt;0,D1842="Water",OR(C1842="",C1842="All beds")),G1842,0)</f>
        <v/>
      </c>
    </row>
    <row r="1843">
      <c r="A1843" s="1" t="n"/>
      <c r="B1843" s="17" t="n"/>
      <c r="C1843" s="18" t="n"/>
      <c r="D1843" s="19" t="n"/>
      <c r="E1843" s="21" t="n"/>
      <c r="F1843" s="11">
        <f>IF(AND(B1843="",C1843="",D1843=""),"",IF(NOT(ISNUMBER(B1843)),"Needs a date",IF(D1843="","Needs the job",IF(AND(C1843&lt;&gt;"",C1843&lt;&gt;"All beds",COUNTIF(Beds!$B$6:$B$35,C1843)=0),"Not on Beds",""))))</f>
        <v/>
      </c>
      <c r="G1843" s="1">
        <f>IF(ISNUMBER(B1843),INT(B1843),0)</f>
        <v/>
      </c>
      <c r="H1843">
        <f>IF(AND(G1843&gt;0,D1843="Water",OR(C1843="",C1843="All beds")),G1843,0)</f>
        <v/>
      </c>
    </row>
    <row r="1844">
      <c r="A1844" s="1" t="n"/>
      <c r="B1844" s="17" t="n"/>
      <c r="C1844" s="18" t="n"/>
      <c r="D1844" s="19" t="n"/>
      <c r="E1844" s="21" t="n"/>
      <c r="F1844" s="11">
        <f>IF(AND(B1844="",C1844="",D1844=""),"",IF(NOT(ISNUMBER(B1844)),"Needs a date",IF(D1844="","Needs the job",IF(AND(C1844&lt;&gt;"",C1844&lt;&gt;"All beds",COUNTIF(Beds!$B$6:$B$35,C1844)=0),"Not on Beds",""))))</f>
        <v/>
      </c>
      <c r="G1844" s="1">
        <f>IF(ISNUMBER(B1844),INT(B1844),0)</f>
        <v/>
      </c>
      <c r="H1844">
        <f>IF(AND(G1844&gt;0,D1844="Water",OR(C1844="",C1844="All beds")),G1844,0)</f>
        <v/>
      </c>
    </row>
    <row r="1845">
      <c r="A1845" s="1" t="n"/>
      <c r="B1845" s="17" t="n"/>
      <c r="C1845" s="18" t="n"/>
      <c r="D1845" s="19" t="n"/>
      <c r="E1845" s="21" t="n"/>
      <c r="F1845" s="11">
        <f>IF(AND(B1845="",C1845="",D1845=""),"",IF(NOT(ISNUMBER(B1845)),"Needs a date",IF(D1845="","Needs the job",IF(AND(C1845&lt;&gt;"",C1845&lt;&gt;"All beds",COUNTIF(Beds!$B$6:$B$35,C1845)=0),"Not on Beds",""))))</f>
        <v/>
      </c>
      <c r="G1845" s="1">
        <f>IF(ISNUMBER(B1845),INT(B1845),0)</f>
        <v/>
      </c>
      <c r="H1845">
        <f>IF(AND(G1845&gt;0,D1845="Water",OR(C1845="",C1845="All beds")),G1845,0)</f>
        <v/>
      </c>
    </row>
    <row r="1846">
      <c r="A1846" s="1" t="n"/>
      <c r="B1846" s="17" t="n"/>
      <c r="C1846" s="18" t="n"/>
      <c r="D1846" s="19" t="n"/>
      <c r="E1846" s="21" t="n"/>
      <c r="F1846" s="11">
        <f>IF(AND(B1846="",C1846="",D1846=""),"",IF(NOT(ISNUMBER(B1846)),"Needs a date",IF(D1846="","Needs the job",IF(AND(C1846&lt;&gt;"",C1846&lt;&gt;"All beds",COUNTIF(Beds!$B$6:$B$35,C1846)=0),"Not on Beds",""))))</f>
        <v/>
      </c>
      <c r="G1846" s="1">
        <f>IF(ISNUMBER(B1846),INT(B1846),0)</f>
        <v/>
      </c>
      <c r="H1846">
        <f>IF(AND(G1846&gt;0,D1846="Water",OR(C1846="",C1846="All beds")),G1846,0)</f>
        <v/>
      </c>
    </row>
    <row r="1847">
      <c r="A1847" s="1" t="n"/>
      <c r="B1847" s="17" t="n"/>
      <c r="C1847" s="18" t="n"/>
      <c r="D1847" s="19" t="n"/>
      <c r="E1847" s="21" t="n"/>
      <c r="F1847" s="11">
        <f>IF(AND(B1847="",C1847="",D1847=""),"",IF(NOT(ISNUMBER(B1847)),"Needs a date",IF(D1847="","Needs the job",IF(AND(C1847&lt;&gt;"",C1847&lt;&gt;"All beds",COUNTIF(Beds!$B$6:$B$35,C1847)=0),"Not on Beds",""))))</f>
        <v/>
      </c>
      <c r="G1847" s="1">
        <f>IF(ISNUMBER(B1847),INT(B1847),0)</f>
        <v/>
      </c>
      <c r="H1847">
        <f>IF(AND(G1847&gt;0,D1847="Water",OR(C1847="",C1847="All beds")),G1847,0)</f>
        <v/>
      </c>
    </row>
    <row r="1848">
      <c r="A1848" s="1" t="n"/>
      <c r="B1848" s="17" t="n"/>
      <c r="C1848" s="18" t="n"/>
      <c r="D1848" s="19" t="n"/>
      <c r="E1848" s="21" t="n"/>
      <c r="F1848" s="11">
        <f>IF(AND(B1848="",C1848="",D1848=""),"",IF(NOT(ISNUMBER(B1848)),"Needs a date",IF(D1848="","Needs the job",IF(AND(C1848&lt;&gt;"",C1848&lt;&gt;"All beds",COUNTIF(Beds!$B$6:$B$35,C1848)=0),"Not on Beds",""))))</f>
        <v/>
      </c>
      <c r="G1848" s="1">
        <f>IF(ISNUMBER(B1848),INT(B1848),0)</f>
        <v/>
      </c>
      <c r="H1848">
        <f>IF(AND(G1848&gt;0,D1848="Water",OR(C1848="",C1848="All beds")),G1848,0)</f>
        <v/>
      </c>
    </row>
    <row r="1849">
      <c r="A1849" s="1" t="n"/>
      <c r="B1849" s="17" t="n"/>
      <c r="C1849" s="18" t="n"/>
      <c r="D1849" s="19" t="n"/>
      <c r="E1849" s="21" t="n"/>
      <c r="F1849" s="11">
        <f>IF(AND(B1849="",C1849="",D1849=""),"",IF(NOT(ISNUMBER(B1849)),"Needs a date",IF(D1849="","Needs the job",IF(AND(C1849&lt;&gt;"",C1849&lt;&gt;"All beds",COUNTIF(Beds!$B$6:$B$35,C1849)=0),"Not on Beds",""))))</f>
        <v/>
      </c>
      <c r="G1849" s="1">
        <f>IF(ISNUMBER(B1849),INT(B1849),0)</f>
        <v/>
      </c>
      <c r="H1849">
        <f>IF(AND(G1849&gt;0,D1849="Water",OR(C1849="",C1849="All beds")),G1849,0)</f>
        <v/>
      </c>
    </row>
    <row r="1850">
      <c r="A1850" s="1" t="n"/>
      <c r="B1850" s="17" t="n"/>
      <c r="C1850" s="18" t="n"/>
      <c r="D1850" s="19" t="n"/>
      <c r="E1850" s="21" t="n"/>
      <c r="F1850" s="11">
        <f>IF(AND(B1850="",C1850="",D1850=""),"",IF(NOT(ISNUMBER(B1850)),"Needs a date",IF(D1850="","Needs the job",IF(AND(C1850&lt;&gt;"",C1850&lt;&gt;"All beds",COUNTIF(Beds!$B$6:$B$35,C1850)=0),"Not on Beds",""))))</f>
        <v/>
      </c>
      <c r="G1850" s="1">
        <f>IF(ISNUMBER(B1850),INT(B1850),0)</f>
        <v/>
      </c>
      <c r="H1850">
        <f>IF(AND(G1850&gt;0,D1850="Water",OR(C1850="",C1850="All beds")),G1850,0)</f>
        <v/>
      </c>
    </row>
    <row r="1851">
      <c r="A1851" s="1" t="n"/>
      <c r="B1851" s="17" t="n"/>
      <c r="C1851" s="18" t="n"/>
      <c r="D1851" s="19" t="n"/>
      <c r="E1851" s="21" t="n"/>
      <c r="F1851" s="11">
        <f>IF(AND(B1851="",C1851="",D1851=""),"",IF(NOT(ISNUMBER(B1851)),"Needs a date",IF(D1851="","Needs the job",IF(AND(C1851&lt;&gt;"",C1851&lt;&gt;"All beds",COUNTIF(Beds!$B$6:$B$35,C1851)=0),"Not on Beds",""))))</f>
        <v/>
      </c>
      <c r="G1851" s="1">
        <f>IF(ISNUMBER(B1851),INT(B1851),0)</f>
        <v/>
      </c>
      <c r="H1851">
        <f>IF(AND(G1851&gt;0,D1851="Water",OR(C1851="",C1851="All beds")),G1851,0)</f>
        <v/>
      </c>
    </row>
    <row r="1852">
      <c r="A1852" s="1" t="n"/>
      <c r="B1852" s="17" t="n"/>
      <c r="C1852" s="18" t="n"/>
      <c r="D1852" s="19" t="n"/>
      <c r="E1852" s="21" t="n"/>
      <c r="F1852" s="11">
        <f>IF(AND(B1852="",C1852="",D1852=""),"",IF(NOT(ISNUMBER(B1852)),"Needs a date",IF(D1852="","Needs the job",IF(AND(C1852&lt;&gt;"",C1852&lt;&gt;"All beds",COUNTIF(Beds!$B$6:$B$35,C1852)=0),"Not on Beds",""))))</f>
        <v/>
      </c>
      <c r="G1852" s="1">
        <f>IF(ISNUMBER(B1852),INT(B1852),0)</f>
        <v/>
      </c>
      <c r="H1852">
        <f>IF(AND(G1852&gt;0,D1852="Water",OR(C1852="",C1852="All beds")),G1852,0)</f>
        <v/>
      </c>
    </row>
    <row r="1853">
      <c r="A1853" s="1" t="n"/>
      <c r="B1853" s="17" t="n"/>
      <c r="C1853" s="18" t="n"/>
      <c r="D1853" s="19" t="n"/>
      <c r="E1853" s="21" t="n"/>
      <c r="F1853" s="11">
        <f>IF(AND(B1853="",C1853="",D1853=""),"",IF(NOT(ISNUMBER(B1853)),"Needs a date",IF(D1853="","Needs the job",IF(AND(C1853&lt;&gt;"",C1853&lt;&gt;"All beds",COUNTIF(Beds!$B$6:$B$35,C1853)=0),"Not on Beds",""))))</f>
        <v/>
      </c>
      <c r="G1853" s="1">
        <f>IF(ISNUMBER(B1853),INT(B1853),0)</f>
        <v/>
      </c>
      <c r="H1853">
        <f>IF(AND(G1853&gt;0,D1853="Water",OR(C1853="",C1853="All beds")),G1853,0)</f>
        <v/>
      </c>
    </row>
    <row r="1854">
      <c r="A1854" s="1" t="n"/>
      <c r="B1854" s="17" t="n"/>
      <c r="C1854" s="18" t="n"/>
      <c r="D1854" s="19" t="n"/>
      <c r="E1854" s="21" t="n"/>
      <c r="F1854" s="11">
        <f>IF(AND(B1854="",C1854="",D1854=""),"",IF(NOT(ISNUMBER(B1854)),"Needs a date",IF(D1854="","Needs the job",IF(AND(C1854&lt;&gt;"",C1854&lt;&gt;"All beds",COUNTIF(Beds!$B$6:$B$35,C1854)=0),"Not on Beds",""))))</f>
        <v/>
      </c>
      <c r="G1854" s="1">
        <f>IF(ISNUMBER(B1854),INT(B1854),0)</f>
        <v/>
      </c>
      <c r="H1854">
        <f>IF(AND(G1854&gt;0,D1854="Water",OR(C1854="",C1854="All beds")),G1854,0)</f>
        <v/>
      </c>
    </row>
    <row r="1855">
      <c r="A1855" s="1" t="n"/>
      <c r="B1855" s="17" t="n"/>
      <c r="C1855" s="18" t="n"/>
      <c r="D1855" s="19" t="n"/>
      <c r="E1855" s="21" t="n"/>
      <c r="F1855" s="11">
        <f>IF(AND(B1855="",C1855="",D1855=""),"",IF(NOT(ISNUMBER(B1855)),"Needs a date",IF(D1855="","Needs the job",IF(AND(C1855&lt;&gt;"",C1855&lt;&gt;"All beds",COUNTIF(Beds!$B$6:$B$35,C1855)=0),"Not on Beds",""))))</f>
        <v/>
      </c>
      <c r="G1855" s="1">
        <f>IF(ISNUMBER(B1855),INT(B1855),0)</f>
        <v/>
      </c>
      <c r="H1855">
        <f>IF(AND(G1855&gt;0,D1855="Water",OR(C1855="",C1855="All beds")),G1855,0)</f>
        <v/>
      </c>
    </row>
    <row r="1856">
      <c r="A1856" s="1" t="n"/>
      <c r="B1856" s="17" t="n"/>
      <c r="C1856" s="18" t="n"/>
      <c r="D1856" s="19" t="n"/>
      <c r="E1856" s="21" t="n"/>
      <c r="F1856" s="11">
        <f>IF(AND(B1856="",C1856="",D1856=""),"",IF(NOT(ISNUMBER(B1856)),"Needs a date",IF(D1856="","Needs the job",IF(AND(C1856&lt;&gt;"",C1856&lt;&gt;"All beds",COUNTIF(Beds!$B$6:$B$35,C1856)=0),"Not on Beds",""))))</f>
        <v/>
      </c>
      <c r="G1856" s="1">
        <f>IF(ISNUMBER(B1856),INT(B1856),0)</f>
        <v/>
      </c>
      <c r="H1856">
        <f>IF(AND(G1856&gt;0,D1856="Water",OR(C1856="",C1856="All beds")),G1856,0)</f>
        <v/>
      </c>
    </row>
    <row r="1857">
      <c r="A1857" s="1" t="n"/>
      <c r="B1857" s="17" t="n"/>
      <c r="C1857" s="18" t="n"/>
      <c r="D1857" s="19" t="n"/>
      <c r="E1857" s="21" t="n"/>
      <c r="F1857" s="11">
        <f>IF(AND(B1857="",C1857="",D1857=""),"",IF(NOT(ISNUMBER(B1857)),"Needs a date",IF(D1857="","Needs the job",IF(AND(C1857&lt;&gt;"",C1857&lt;&gt;"All beds",COUNTIF(Beds!$B$6:$B$35,C1857)=0),"Not on Beds",""))))</f>
        <v/>
      </c>
      <c r="G1857" s="1">
        <f>IF(ISNUMBER(B1857),INT(B1857),0)</f>
        <v/>
      </c>
      <c r="H1857">
        <f>IF(AND(G1857&gt;0,D1857="Water",OR(C1857="",C1857="All beds")),G1857,0)</f>
        <v/>
      </c>
    </row>
    <row r="1858">
      <c r="A1858" s="1" t="n"/>
      <c r="B1858" s="17" t="n"/>
      <c r="C1858" s="18" t="n"/>
      <c r="D1858" s="19" t="n"/>
      <c r="E1858" s="21" t="n"/>
      <c r="F1858" s="11">
        <f>IF(AND(B1858="",C1858="",D1858=""),"",IF(NOT(ISNUMBER(B1858)),"Needs a date",IF(D1858="","Needs the job",IF(AND(C1858&lt;&gt;"",C1858&lt;&gt;"All beds",COUNTIF(Beds!$B$6:$B$35,C1858)=0),"Not on Beds",""))))</f>
        <v/>
      </c>
      <c r="G1858" s="1">
        <f>IF(ISNUMBER(B1858),INT(B1858),0)</f>
        <v/>
      </c>
      <c r="H1858">
        <f>IF(AND(G1858&gt;0,D1858="Water",OR(C1858="",C1858="All beds")),G1858,0)</f>
        <v/>
      </c>
    </row>
    <row r="1859">
      <c r="A1859" s="1" t="n"/>
      <c r="B1859" s="17" t="n"/>
      <c r="C1859" s="18" t="n"/>
      <c r="D1859" s="19" t="n"/>
      <c r="E1859" s="21" t="n"/>
      <c r="F1859" s="11">
        <f>IF(AND(B1859="",C1859="",D1859=""),"",IF(NOT(ISNUMBER(B1859)),"Needs a date",IF(D1859="","Needs the job",IF(AND(C1859&lt;&gt;"",C1859&lt;&gt;"All beds",COUNTIF(Beds!$B$6:$B$35,C1859)=0),"Not on Beds",""))))</f>
        <v/>
      </c>
      <c r="G1859" s="1">
        <f>IF(ISNUMBER(B1859),INT(B1859),0)</f>
        <v/>
      </c>
      <c r="H1859">
        <f>IF(AND(G1859&gt;0,D1859="Water",OR(C1859="",C1859="All beds")),G1859,0)</f>
        <v/>
      </c>
    </row>
    <row r="1860">
      <c r="A1860" s="1" t="n"/>
      <c r="B1860" s="17" t="n"/>
      <c r="C1860" s="18" t="n"/>
      <c r="D1860" s="19" t="n"/>
      <c r="E1860" s="21" t="n"/>
      <c r="F1860" s="11">
        <f>IF(AND(B1860="",C1860="",D1860=""),"",IF(NOT(ISNUMBER(B1860)),"Needs a date",IF(D1860="","Needs the job",IF(AND(C1860&lt;&gt;"",C1860&lt;&gt;"All beds",COUNTIF(Beds!$B$6:$B$35,C1860)=0),"Not on Beds",""))))</f>
        <v/>
      </c>
      <c r="G1860" s="1">
        <f>IF(ISNUMBER(B1860),INT(B1860),0)</f>
        <v/>
      </c>
      <c r="H1860">
        <f>IF(AND(G1860&gt;0,D1860="Water",OR(C1860="",C1860="All beds")),G1860,0)</f>
        <v/>
      </c>
    </row>
    <row r="1861">
      <c r="A1861" s="1" t="n"/>
      <c r="B1861" s="17" t="n"/>
      <c r="C1861" s="18" t="n"/>
      <c r="D1861" s="19" t="n"/>
      <c r="E1861" s="21" t="n"/>
      <c r="F1861" s="11">
        <f>IF(AND(B1861="",C1861="",D1861=""),"",IF(NOT(ISNUMBER(B1861)),"Needs a date",IF(D1861="","Needs the job",IF(AND(C1861&lt;&gt;"",C1861&lt;&gt;"All beds",COUNTIF(Beds!$B$6:$B$35,C1861)=0),"Not on Beds",""))))</f>
        <v/>
      </c>
      <c r="G1861" s="1">
        <f>IF(ISNUMBER(B1861),INT(B1861),0)</f>
        <v/>
      </c>
      <c r="H1861">
        <f>IF(AND(G1861&gt;0,D1861="Water",OR(C1861="",C1861="All beds")),G1861,0)</f>
        <v/>
      </c>
    </row>
    <row r="1862">
      <c r="A1862" s="1" t="n"/>
      <c r="B1862" s="17" t="n"/>
      <c r="C1862" s="18" t="n"/>
      <c r="D1862" s="19" t="n"/>
      <c r="E1862" s="21" t="n"/>
      <c r="F1862" s="11">
        <f>IF(AND(B1862="",C1862="",D1862=""),"",IF(NOT(ISNUMBER(B1862)),"Needs a date",IF(D1862="","Needs the job",IF(AND(C1862&lt;&gt;"",C1862&lt;&gt;"All beds",COUNTIF(Beds!$B$6:$B$35,C1862)=0),"Not on Beds",""))))</f>
        <v/>
      </c>
      <c r="G1862" s="1">
        <f>IF(ISNUMBER(B1862),INT(B1862),0)</f>
        <v/>
      </c>
      <c r="H1862">
        <f>IF(AND(G1862&gt;0,D1862="Water",OR(C1862="",C1862="All beds")),G1862,0)</f>
        <v/>
      </c>
    </row>
    <row r="1863">
      <c r="A1863" s="1" t="n"/>
      <c r="B1863" s="17" t="n"/>
      <c r="C1863" s="18" t="n"/>
      <c r="D1863" s="19" t="n"/>
      <c r="E1863" s="21" t="n"/>
      <c r="F1863" s="11">
        <f>IF(AND(B1863="",C1863="",D1863=""),"",IF(NOT(ISNUMBER(B1863)),"Needs a date",IF(D1863="","Needs the job",IF(AND(C1863&lt;&gt;"",C1863&lt;&gt;"All beds",COUNTIF(Beds!$B$6:$B$35,C1863)=0),"Not on Beds",""))))</f>
        <v/>
      </c>
      <c r="G1863" s="1">
        <f>IF(ISNUMBER(B1863),INT(B1863),0)</f>
        <v/>
      </c>
      <c r="H1863">
        <f>IF(AND(G1863&gt;0,D1863="Water",OR(C1863="",C1863="All beds")),G1863,0)</f>
        <v/>
      </c>
    </row>
    <row r="1864">
      <c r="A1864" s="1" t="n"/>
      <c r="B1864" s="17" t="n"/>
      <c r="C1864" s="18" t="n"/>
      <c r="D1864" s="19" t="n"/>
      <c r="E1864" s="21" t="n"/>
      <c r="F1864" s="11">
        <f>IF(AND(B1864="",C1864="",D1864=""),"",IF(NOT(ISNUMBER(B1864)),"Needs a date",IF(D1864="","Needs the job",IF(AND(C1864&lt;&gt;"",C1864&lt;&gt;"All beds",COUNTIF(Beds!$B$6:$B$35,C1864)=0),"Not on Beds",""))))</f>
        <v/>
      </c>
      <c r="G1864" s="1">
        <f>IF(ISNUMBER(B1864),INT(B1864),0)</f>
        <v/>
      </c>
      <c r="H1864">
        <f>IF(AND(G1864&gt;0,D1864="Water",OR(C1864="",C1864="All beds")),G1864,0)</f>
        <v/>
      </c>
    </row>
    <row r="1865">
      <c r="A1865" s="1" t="n"/>
      <c r="B1865" s="17" t="n"/>
      <c r="C1865" s="18" t="n"/>
      <c r="D1865" s="19" t="n"/>
      <c r="E1865" s="21" t="n"/>
      <c r="F1865" s="11">
        <f>IF(AND(B1865="",C1865="",D1865=""),"",IF(NOT(ISNUMBER(B1865)),"Needs a date",IF(D1865="","Needs the job",IF(AND(C1865&lt;&gt;"",C1865&lt;&gt;"All beds",COUNTIF(Beds!$B$6:$B$35,C1865)=0),"Not on Beds",""))))</f>
        <v/>
      </c>
      <c r="G1865" s="1">
        <f>IF(ISNUMBER(B1865),INT(B1865),0)</f>
        <v/>
      </c>
      <c r="H1865">
        <f>IF(AND(G1865&gt;0,D1865="Water",OR(C1865="",C1865="All beds")),G1865,0)</f>
        <v/>
      </c>
    </row>
    <row r="1866">
      <c r="A1866" s="1" t="n"/>
      <c r="B1866" s="17" t="n"/>
      <c r="C1866" s="18" t="n"/>
      <c r="D1866" s="19" t="n"/>
      <c r="E1866" s="21" t="n"/>
      <c r="F1866" s="11">
        <f>IF(AND(B1866="",C1866="",D1866=""),"",IF(NOT(ISNUMBER(B1866)),"Needs a date",IF(D1866="","Needs the job",IF(AND(C1866&lt;&gt;"",C1866&lt;&gt;"All beds",COUNTIF(Beds!$B$6:$B$35,C1866)=0),"Not on Beds",""))))</f>
        <v/>
      </c>
      <c r="G1866" s="1">
        <f>IF(ISNUMBER(B1866),INT(B1866),0)</f>
        <v/>
      </c>
      <c r="H1866">
        <f>IF(AND(G1866&gt;0,D1866="Water",OR(C1866="",C1866="All beds")),G1866,0)</f>
        <v/>
      </c>
    </row>
    <row r="1867">
      <c r="A1867" s="1" t="n"/>
      <c r="B1867" s="17" t="n"/>
      <c r="C1867" s="18" t="n"/>
      <c r="D1867" s="19" t="n"/>
      <c r="E1867" s="21" t="n"/>
      <c r="F1867" s="11">
        <f>IF(AND(B1867="",C1867="",D1867=""),"",IF(NOT(ISNUMBER(B1867)),"Needs a date",IF(D1867="","Needs the job",IF(AND(C1867&lt;&gt;"",C1867&lt;&gt;"All beds",COUNTIF(Beds!$B$6:$B$35,C1867)=0),"Not on Beds",""))))</f>
        <v/>
      </c>
      <c r="G1867" s="1">
        <f>IF(ISNUMBER(B1867),INT(B1867),0)</f>
        <v/>
      </c>
      <c r="H1867">
        <f>IF(AND(G1867&gt;0,D1867="Water",OR(C1867="",C1867="All beds")),G1867,0)</f>
        <v/>
      </c>
    </row>
    <row r="1868">
      <c r="A1868" s="1" t="n"/>
      <c r="B1868" s="17" t="n"/>
      <c r="C1868" s="18" t="n"/>
      <c r="D1868" s="19" t="n"/>
      <c r="E1868" s="21" t="n"/>
      <c r="F1868" s="11">
        <f>IF(AND(B1868="",C1868="",D1868=""),"",IF(NOT(ISNUMBER(B1868)),"Needs a date",IF(D1868="","Needs the job",IF(AND(C1868&lt;&gt;"",C1868&lt;&gt;"All beds",COUNTIF(Beds!$B$6:$B$35,C1868)=0),"Not on Beds",""))))</f>
        <v/>
      </c>
      <c r="G1868" s="1">
        <f>IF(ISNUMBER(B1868),INT(B1868),0)</f>
        <v/>
      </c>
      <c r="H1868">
        <f>IF(AND(G1868&gt;0,D1868="Water",OR(C1868="",C1868="All beds")),G1868,0)</f>
        <v/>
      </c>
    </row>
    <row r="1869">
      <c r="A1869" s="1" t="n"/>
      <c r="B1869" s="17" t="n"/>
      <c r="C1869" s="18" t="n"/>
      <c r="D1869" s="19" t="n"/>
      <c r="E1869" s="21" t="n"/>
      <c r="F1869" s="11">
        <f>IF(AND(B1869="",C1869="",D1869=""),"",IF(NOT(ISNUMBER(B1869)),"Needs a date",IF(D1869="","Needs the job",IF(AND(C1869&lt;&gt;"",C1869&lt;&gt;"All beds",COUNTIF(Beds!$B$6:$B$35,C1869)=0),"Not on Beds",""))))</f>
        <v/>
      </c>
      <c r="G1869" s="1">
        <f>IF(ISNUMBER(B1869),INT(B1869),0)</f>
        <v/>
      </c>
      <c r="H1869">
        <f>IF(AND(G1869&gt;0,D1869="Water",OR(C1869="",C1869="All beds")),G1869,0)</f>
        <v/>
      </c>
    </row>
    <row r="1870">
      <c r="A1870" s="1" t="n"/>
      <c r="B1870" s="17" t="n"/>
      <c r="C1870" s="18" t="n"/>
      <c r="D1870" s="19" t="n"/>
      <c r="E1870" s="21" t="n"/>
      <c r="F1870" s="11">
        <f>IF(AND(B1870="",C1870="",D1870=""),"",IF(NOT(ISNUMBER(B1870)),"Needs a date",IF(D1870="","Needs the job",IF(AND(C1870&lt;&gt;"",C1870&lt;&gt;"All beds",COUNTIF(Beds!$B$6:$B$35,C1870)=0),"Not on Beds",""))))</f>
        <v/>
      </c>
      <c r="G1870" s="1">
        <f>IF(ISNUMBER(B1870),INT(B1870),0)</f>
        <v/>
      </c>
      <c r="H1870">
        <f>IF(AND(G1870&gt;0,D1870="Water",OR(C1870="",C1870="All beds")),G1870,0)</f>
        <v/>
      </c>
    </row>
    <row r="1871">
      <c r="A1871" s="1" t="n"/>
      <c r="B1871" s="17" t="n"/>
      <c r="C1871" s="18" t="n"/>
      <c r="D1871" s="19" t="n"/>
      <c r="E1871" s="21" t="n"/>
      <c r="F1871" s="11">
        <f>IF(AND(B1871="",C1871="",D1871=""),"",IF(NOT(ISNUMBER(B1871)),"Needs a date",IF(D1871="","Needs the job",IF(AND(C1871&lt;&gt;"",C1871&lt;&gt;"All beds",COUNTIF(Beds!$B$6:$B$35,C1871)=0),"Not on Beds",""))))</f>
        <v/>
      </c>
      <c r="G1871" s="1">
        <f>IF(ISNUMBER(B1871),INT(B1871),0)</f>
        <v/>
      </c>
      <c r="H1871">
        <f>IF(AND(G1871&gt;0,D1871="Water",OR(C1871="",C1871="All beds")),G1871,0)</f>
        <v/>
      </c>
    </row>
    <row r="1872">
      <c r="A1872" s="1" t="n"/>
      <c r="B1872" s="17" t="n"/>
      <c r="C1872" s="18" t="n"/>
      <c r="D1872" s="19" t="n"/>
      <c r="E1872" s="21" t="n"/>
      <c r="F1872" s="11">
        <f>IF(AND(B1872="",C1872="",D1872=""),"",IF(NOT(ISNUMBER(B1872)),"Needs a date",IF(D1872="","Needs the job",IF(AND(C1872&lt;&gt;"",C1872&lt;&gt;"All beds",COUNTIF(Beds!$B$6:$B$35,C1872)=0),"Not on Beds",""))))</f>
        <v/>
      </c>
      <c r="G1872" s="1">
        <f>IF(ISNUMBER(B1872),INT(B1872),0)</f>
        <v/>
      </c>
      <c r="H1872">
        <f>IF(AND(G1872&gt;0,D1872="Water",OR(C1872="",C1872="All beds")),G1872,0)</f>
        <v/>
      </c>
    </row>
    <row r="1873">
      <c r="A1873" s="1" t="n"/>
      <c r="B1873" s="17" t="n"/>
      <c r="C1873" s="18" t="n"/>
      <c r="D1873" s="19" t="n"/>
      <c r="E1873" s="21" t="n"/>
      <c r="F1873" s="11">
        <f>IF(AND(B1873="",C1873="",D1873=""),"",IF(NOT(ISNUMBER(B1873)),"Needs a date",IF(D1873="","Needs the job",IF(AND(C1873&lt;&gt;"",C1873&lt;&gt;"All beds",COUNTIF(Beds!$B$6:$B$35,C1873)=0),"Not on Beds",""))))</f>
        <v/>
      </c>
      <c r="G1873" s="1">
        <f>IF(ISNUMBER(B1873),INT(B1873),0)</f>
        <v/>
      </c>
      <c r="H1873">
        <f>IF(AND(G1873&gt;0,D1873="Water",OR(C1873="",C1873="All beds")),G1873,0)</f>
        <v/>
      </c>
    </row>
    <row r="1874">
      <c r="A1874" s="1" t="n"/>
      <c r="B1874" s="17" t="n"/>
      <c r="C1874" s="18" t="n"/>
      <c r="D1874" s="19" t="n"/>
      <c r="E1874" s="21" t="n"/>
      <c r="F1874" s="11">
        <f>IF(AND(B1874="",C1874="",D1874=""),"",IF(NOT(ISNUMBER(B1874)),"Needs a date",IF(D1874="","Needs the job",IF(AND(C1874&lt;&gt;"",C1874&lt;&gt;"All beds",COUNTIF(Beds!$B$6:$B$35,C1874)=0),"Not on Beds",""))))</f>
        <v/>
      </c>
      <c r="G1874" s="1">
        <f>IF(ISNUMBER(B1874),INT(B1874),0)</f>
        <v/>
      </c>
      <c r="H1874">
        <f>IF(AND(G1874&gt;0,D1874="Water",OR(C1874="",C1874="All beds")),G1874,0)</f>
        <v/>
      </c>
    </row>
    <row r="1875">
      <c r="A1875" s="1" t="n"/>
      <c r="B1875" s="17" t="n"/>
      <c r="C1875" s="18" t="n"/>
      <c r="D1875" s="19" t="n"/>
      <c r="E1875" s="21" t="n"/>
      <c r="F1875" s="11">
        <f>IF(AND(B1875="",C1875="",D1875=""),"",IF(NOT(ISNUMBER(B1875)),"Needs a date",IF(D1875="","Needs the job",IF(AND(C1875&lt;&gt;"",C1875&lt;&gt;"All beds",COUNTIF(Beds!$B$6:$B$35,C1875)=0),"Not on Beds",""))))</f>
        <v/>
      </c>
      <c r="G1875" s="1">
        <f>IF(ISNUMBER(B1875),INT(B1875),0)</f>
        <v/>
      </c>
      <c r="H1875">
        <f>IF(AND(G1875&gt;0,D1875="Water",OR(C1875="",C1875="All beds")),G1875,0)</f>
        <v/>
      </c>
    </row>
    <row r="1876">
      <c r="A1876" s="1" t="n"/>
      <c r="B1876" s="17" t="n"/>
      <c r="C1876" s="18" t="n"/>
      <c r="D1876" s="19" t="n"/>
      <c r="E1876" s="21" t="n"/>
      <c r="F1876" s="11">
        <f>IF(AND(B1876="",C1876="",D1876=""),"",IF(NOT(ISNUMBER(B1876)),"Needs a date",IF(D1876="","Needs the job",IF(AND(C1876&lt;&gt;"",C1876&lt;&gt;"All beds",COUNTIF(Beds!$B$6:$B$35,C1876)=0),"Not on Beds",""))))</f>
        <v/>
      </c>
      <c r="G1876" s="1">
        <f>IF(ISNUMBER(B1876),INT(B1876),0)</f>
        <v/>
      </c>
      <c r="H1876">
        <f>IF(AND(G1876&gt;0,D1876="Water",OR(C1876="",C1876="All beds")),G1876,0)</f>
        <v/>
      </c>
    </row>
    <row r="1877">
      <c r="A1877" s="1" t="n"/>
      <c r="B1877" s="17" t="n"/>
      <c r="C1877" s="18" t="n"/>
      <c r="D1877" s="19" t="n"/>
      <c r="E1877" s="21" t="n"/>
      <c r="F1877" s="11">
        <f>IF(AND(B1877="",C1877="",D1877=""),"",IF(NOT(ISNUMBER(B1877)),"Needs a date",IF(D1877="","Needs the job",IF(AND(C1877&lt;&gt;"",C1877&lt;&gt;"All beds",COUNTIF(Beds!$B$6:$B$35,C1877)=0),"Not on Beds",""))))</f>
        <v/>
      </c>
      <c r="G1877" s="1">
        <f>IF(ISNUMBER(B1877),INT(B1877),0)</f>
        <v/>
      </c>
      <c r="H1877">
        <f>IF(AND(G1877&gt;0,D1877="Water",OR(C1877="",C1877="All beds")),G1877,0)</f>
        <v/>
      </c>
    </row>
    <row r="1878">
      <c r="A1878" s="1" t="n"/>
      <c r="B1878" s="17" t="n"/>
      <c r="C1878" s="18" t="n"/>
      <c r="D1878" s="19" t="n"/>
      <c r="E1878" s="21" t="n"/>
      <c r="F1878" s="11">
        <f>IF(AND(B1878="",C1878="",D1878=""),"",IF(NOT(ISNUMBER(B1878)),"Needs a date",IF(D1878="","Needs the job",IF(AND(C1878&lt;&gt;"",C1878&lt;&gt;"All beds",COUNTIF(Beds!$B$6:$B$35,C1878)=0),"Not on Beds",""))))</f>
        <v/>
      </c>
      <c r="G1878" s="1">
        <f>IF(ISNUMBER(B1878),INT(B1878),0)</f>
        <v/>
      </c>
      <c r="H1878">
        <f>IF(AND(G1878&gt;0,D1878="Water",OR(C1878="",C1878="All beds")),G1878,0)</f>
        <v/>
      </c>
    </row>
    <row r="1879">
      <c r="A1879" s="1" t="n"/>
      <c r="B1879" s="17" t="n"/>
      <c r="C1879" s="18" t="n"/>
      <c r="D1879" s="19" t="n"/>
      <c r="E1879" s="21" t="n"/>
      <c r="F1879" s="11">
        <f>IF(AND(B1879="",C1879="",D1879=""),"",IF(NOT(ISNUMBER(B1879)),"Needs a date",IF(D1879="","Needs the job",IF(AND(C1879&lt;&gt;"",C1879&lt;&gt;"All beds",COUNTIF(Beds!$B$6:$B$35,C1879)=0),"Not on Beds",""))))</f>
        <v/>
      </c>
      <c r="G1879" s="1">
        <f>IF(ISNUMBER(B1879),INT(B1879),0)</f>
        <v/>
      </c>
      <c r="H1879">
        <f>IF(AND(G1879&gt;0,D1879="Water",OR(C1879="",C1879="All beds")),G1879,0)</f>
        <v/>
      </c>
    </row>
    <row r="1880">
      <c r="A1880" s="1" t="n"/>
      <c r="B1880" s="17" t="n"/>
      <c r="C1880" s="18" t="n"/>
      <c r="D1880" s="19" t="n"/>
      <c r="E1880" s="21" t="n"/>
      <c r="F1880" s="11">
        <f>IF(AND(B1880="",C1880="",D1880=""),"",IF(NOT(ISNUMBER(B1880)),"Needs a date",IF(D1880="","Needs the job",IF(AND(C1880&lt;&gt;"",C1880&lt;&gt;"All beds",COUNTIF(Beds!$B$6:$B$35,C1880)=0),"Not on Beds",""))))</f>
        <v/>
      </c>
      <c r="G1880" s="1">
        <f>IF(ISNUMBER(B1880),INT(B1880),0)</f>
        <v/>
      </c>
      <c r="H1880">
        <f>IF(AND(G1880&gt;0,D1880="Water",OR(C1880="",C1880="All beds")),G1880,0)</f>
        <v/>
      </c>
    </row>
    <row r="1881">
      <c r="A1881" s="1" t="n"/>
      <c r="B1881" s="17" t="n"/>
      <c r="C1881" s="18" t="n"/>
      <c r="D1881" s="19" t="n"/>
      <c r="E1881" s="21" t="n"/>
      <c r="F1881" s="11">
        <f>IF(AND(B1881="",C1881="",D1881=""),"",IF(NOT(ISNUMBER(B1881)),"Needs a date",IF(D1881="","Needs the job",IF(AND(C1881&lt;&gt;"",C1881&lt;&gt;"All beds",COUNTIF(Beds!$B$6:$B$35,C1881)=0),"Not on Beds",""))))</f>
        <v/>
      </c>
      <c r="G1881" s="1">
        <f>IF(ISNUMBER(B1881),INT(B1881),0)</f>
        <v/>
      </c>
      <c r="H1881">
        <f>IF(AND(G1881&gt;0,D1881="Water",OR(C1881="",C1881="All beds")),G1881,0)</f>
        <v/>
      </c>
    </row>
    <row r="1882">
      <c r="A1882" s="1" t="n"/>
      <c r="B1882" s="17" t="n"/>
      <c r="C1882" s="18" t="n"/>
      <c r="D1882" s="19" t="n"/>
      <c r="E1882" s="21" t="n"/>
      <c r="F1882" s="11">
        <f>IF(AND(B1882="",C1882="",D1882=""),"",IF(NOT(ISNUMBER(B1882)),"Needs a date",IF(D1882="","Needs the job",IF(AND(C1882&lt;&gt;"",C1882&lt;&gt;"All beds",COUNTIF(Beds!$B$6:$B$35,C1882)=0),"Not on Beds",""))))</f>
        <v/>
      </c>
      <c r="G1882" s="1">
        <f>IF(ISNUMBER(B1882),INT(B1882),0)</f>
        <v/>
      </c>
      <c r="H1882">
        <f>IF(AND(G1882&gt;0,D1882="Water",OR(C1882="",C1882="All beds")),G1882,0)</f>
        <v/>
      </c>
    </row>
    <row r="1883">
      <c r="A1883" s="1" t="n"/>
      <c r="B1883" s="17" t="n"/>
      <c r="C1883" s="18" t="n"/>
      <c r="D1883" s="19" t="n"/>
      <c r="E1883" s="21" t="n"/>
      <c r="F1883" s="11">
        <f>IF(AND(B1883="",C1883="",D1883=""),"",IF(NOT(ISNUMBER(B1883)),"Needs a date",IF(D1883="","Needs the job",IF(AND(C1883&lt;&gt;"",C1883&lt;&gt;"All beds",COUNTIF(Beds!$B$6:$B$35,C1883)=0),"Not on Beds",""))))</f>
        <v/>
      </c>
      <c r="G1883" s="1">
        <f>IF(ISNUMBER(B1883),INT(B1883),0)</f>
        <v/>
      </c>
      <c r="H1883">
        <f>IF(AND(G1883&gt;0,D1883="Water",OR(C1883="",C1883="All beds")),G1883,0)</f>
        <v/>
      </c>
    </row>
    <row r="1884">
      <c r="A1884" s="1" t="n"/>
      <c r="B1884" s="17" t="n"/>
      <c r="C1884" s="18" t="n"/>
      <c r="D1884" s="19" t="n"/>
      <c r="E1884" s="21" t="n"/>
      <c r="F1884" s="11">
        <f>IF(AND(B1884="",C1884="",D1884=""),"",IF(NOT(ISNUMBER(B1884)),"Needs a date",IF(D1884="","Needs the job",IF(AND(C1884&lt;&gt;"",C1884&lt;&gt;"All beds",COUNTIF(Beds!$B$6:$B$35,C1884)=0),"Not on Beds",""))))</f>
        <v/>
      </c>
      <c r="G1884" s="1">
        <f>IF(ISNUMBER(B1884),INT(B1884),0)</f>
        <v/>
      </c>
      <c r="H1884">
        <f>IF(AND(G1884&gt;0,D1884="Water",OR(C1884="",C1884="All beds")),G1884,0)</f>
        <v/>
      </c>
    </row>
    <row r="1885">
      <c r="A1885" s="1" t="n"/>
      <c r="B1885" s="17" t="n"/>
      <c r="C1885" s="18" t="n"/>
      <c r="D1885" s="19" t="n"/>
      <c r="E1885" s="21" t="n"/>
      <c r="F1885" s="11">
        <f>IF(AND(B1885="",C1885="",D1885=""),"",IF(NOT(ISNUMBER(B1885)),"Needs a date",IF(D1885="","Needs the job",IF(AND(C1885&lt;&gt;"",C1885&lt;&gt;"All beds",COUNTIF(Beds!$B$6:$B$35,C1885)=0),"Not on Beds",""))))</f>
        <v/>
      </c>
      <c r="G1885" s="1">
        <f>IF(ISNUMBER(B1885),INT(B1885),0)</f>
        <v/>
      </c>
      <c r="H1885">
        <f>IF(AND(G1885&gt;0,D1885="Water",OR(C1885="",C1885="All beds")),G1885,0)</f>
        <v/>
      </c>
    </row>
    <row r="1886">
      <c r="A1886" s="1" t="n"/>
      <c r="B1886" s="17" t="n"/>
      <c r="C1886" s="18" t="n"/>
      <c r="D1886" s="19" t="n"/>
      <c r="E1886" s="21" t="n"/>
      <c r="F1886" s="11">
        <f>IF(AND(B1886="",C1886="",D1886=""),"",IF(NOT(ISNUMBER(B1886)),"Needs a date",IF(D1886="","Needs the job",IF(AND(C1886&lt;&gt;"",C1886&lt;&gt;"All beds",COUNTIF(Beds!$B$6:$B$35,C1886)=0),"Not on Beds",""))))</f>
        <v/>
      </c>
      <c r="G1886" s="1">
        <f>IF(ISNUMBER(B1886),INT(B1886),0)</f>
        <v/>
      </c>
      <c r="H1886">
        <f>IF(AND(G1886&gt;0,D1886="Water",OR(C1886="",C1886="All beds")),G1886,0)</f>
        <v/>
      </c>
    </row>
    <row r="1887">
      <c r="A1887" s="1" t="n"/>
      <c r="B1887" s="17" t="n"/>
      <c r="C1887" s="18" t="n"/>
      <c r="D1887" s="19" t="n"/>
      <c r="E1887" s="21" t="n"/>
      <c r="F1887" s="11">
        <f>IF(AND(B1887="",C1887="",D1887=""),"",IF(NOT(ISNUMBER(B1887)),"Needs a date",IF(D1887="","Needs the job",IF(AND(C1887&lt;&gt;"",C1887&lt;&gt;"All beds",COUNTIF(Beds!$B$6:$B$35,C1887)=0),"Not on Beds",""))))</f>
        <v/>
      </c>
      <c r="G1887" s="1">
        <f>IF(ISNUMBER(B1887),INT(B1887),0)</f>
        <v/>
      </c>
      <c r="H1887">
        <f>IF(AND(G1887&gt;0,D1887="Water",OR(C1887="",C1887="All beds")),G1887,0)</f>
        <v/>
      </c>
    </row>
    <row r="1888">
      <c r="A1888" s="1" t="n"/>
      <c r="B1888" s="17" t="n"/>
      <c r="C1888" s="18" t="n"/>
      <c r="D1888" s="19" t="n"/>
      <c r="E1888" s="21" t="n"/>
      <c r="F1888" s="11">
        <f>IF(AND(B1888="",C1888="",D1888=""),"",IF(NOT(ISNUMBER(B1888)),"Needs a date",IF(D1888="","Needs the job",IF(AND(C1888&lt;&gt;"",C1888&lt;&gt;"All beds",COUNTIF(Beds!$B$6:$B$35,C1888)=0),"Not on Beds",""))))</f>
        <v/>
      </c>
      <c r="G1888" s="1">
        <f>IF(ISNUMBER(B1888),INT(B1888),0)</f>
        <v/>
      </c>
      <c r="H1888">
        <f>IF(AND(G1888&gt;0,D1888="Water",OR(C1888="",C1888="All beds")),G1888,0)</f>
        <v/>
      </c>
    </row>
    <row r="1889">
      <c r="A1889" s="1" t="n"/>
      <c r="B1889" s="17" t="n"/>
      <c r="C1889" s="18" t="n"/>
      <c r="D1889" s="19" t="n"/>
      <c r="E1889" s="21" t="n"/>
      <c r="F1889" s="11">
        <f>IF(AND(B1889="",C1889="",D1889=""),"",IF(NOT(ISNUMBER(B1889)),"Needs a date",IF(D1889="","Needs the job",IF(AND(C1889&lt;&gt;"",C1889&lt;&gt;"All beds",COUNTIF(Beds!$B$6:$B$35,C1889)=0),"Not on Beds",""))))</f>
        <v/>
      </c>
      <c r="G1889" s="1">
        <f>IF(ISNUMBER(B1889),INT(B1889),0)</f>
        <v/>
      </c>
      <c r="H1889">
        <f>IF(AND(G1889&gt;0,D1889="Water",OR(C1889="",C1889="All beds")),G1889,0)</f>
        <v/>
      </c>
    </row>
    <row r="1890">
      <c r="A1890" s="1" t="n"/>
      <c r="B1890" s="17" t="n"/>
      <c r="C1890" s="18" t="n"/>
      <c r="D1890" s="19" t="n"/>
      <c r="E1890" s="21" t="n"/>
      <c r="F1890" s="11">
        <f>IF(AND(B1890="",C1890="",D1890=""),"",IF(NOT(ISNUMBER(B1890)),"Needs a date",IF(D1890="","Needs the job",IF(AND(C1890&lt;&gt;"",C1890&lt;&gt;"All beds",COUNTIF(Beds!$B$6:$B$35,C1890)=0),"Not on Beds",""))))</f>
        <v/>
      </c>
      <c r="G1890" s="1">
        <f>IF(ISNUMBER(B1890),INT(B1890),0)</f>
        <v/>
      </c>
      <c r="H1890">
        <f>IF(AND(G1890&gt;0,D1890="Water",OR(C1890="",C1890="All beds")),G1890,0)</f>
        <v/>
      </c>
    </row>
    <row r="1891">
      <c r="A1891" s="1" t="n"/>
      <c r="B1891" s="17" t="n"/>
      <c r="C1891" s="18" t="n"/>
      <c r="D1891" s="19" t="n"/>
      <c r="E1891" s="21" t="n"/>
      <c r="F1891" s="11">
        <f>IF(AND(B1891="",C1891="",D1891=""),"",IF(NOT(ISNUMBER(B1891)),"Needs a date",IF(D1891="","Needs the job",IF(AND(C1891&lt;&gt;"",C1891&lt;&gt;"All beds",COUNTIF(Beds!$B$6:$B$35,C1891)=0),"Not on Beds",""))))</f>
        <v/>
      </c>
      <c r="G1891" s="1">
        <f>IF(ISNUMBER(B1891),INT(B1891),0)</f>
        <v/>
      </c>
      <c r="H1891">
        <f>IF(AND(G1891&gt;0,D1891="Water",OR(C1891="",C1891="All beds")),G1891,0)</f>
        <v/>
      </c>
    </row>
    <row r="1892">
      <c r="A1892" s="1" t="n"/>
      <c r="B1892" s="17" t="n"/>
      <c r="C1892" s="18" t="n"/>
      <c r="D1892" s="19" t="n"/>
      <c r="E1892" s="21" t="n"/>
      <c r="F1892" s="11">
        <f>IF(AND(B1892="",C1892="",D1892=""),"",IF(NOT(ISNUMBER(B1892)),"Needs a date",IF(D1892="","Needs the job",IF(AND(C1892&lt;&gt;"",C1892&lt;&gt;"All beds",COUNTIF(Beds!$B$6:$B$35,C1892)=0),"Not on Beds",""))))</f>
        <v/>
      </c>
      <c r="G1892" s="1">
        <f>IF(ISNUMBER(B1892),INT(B1892),0)</f>
        <v/>
      </c>
      <c r="H1892">
        <f>IF(AND(G1892&gt;0,D1892="Water",OR(C1892="",C1892="All beds")),G1892,0)</f>
        <v/>
      </c>
    </row>
    <row r="1893">
      <c r="A1893" s="1" t="n"/>
      <c r="B1893" s="17" t="n"/>
      <c r="C1893" s="18" t="n"/>
      <c r="D1893" s="19" t="n"/>
      <c r="E1893" s="21" t="n"/>
      <c r="F1893" s="11">
        <f>IF(AND(B1893="",C1893="",D1893=""),"",IF(NOT(ISNUMBER(B1893)),"Needs a date",IF(D1893="","Needs the job",IF(AND(C1893&lt;&gt;"",C1893&lt;&gt;"All beds",COUNTIF(Beds!$B$6:$B$35,C1893)=0),"Not on Beds",""))))</f>
        <v/>
      </c>
      <c r="G1893" s="1">
        <f>IF(ISNUMBER(B1893),INT(B1893),0)</f>
        <v/>
      </c>
      <c r="H1893">
        <f>IF(AND(G1893&gt;0,D1893="Water",OR(C1893="",C1893="All beds")),G1893,0)</f>
        <v/>
      </c>
    </row>
    <row r="1894">
      <c r="A1894" s="1" t="n"/>
      <c r="B1894" s="17" t="n"/>
      <c r="C1894" s="18" t="n"/>
      <c r="D1894" s="19" t="n"/>
      <c r="E1894" s="21" t="n"/>
      <c r="F1894" s="11">
        <f>IF(AND(B1894="",C1894="",D1894=""),"",IF(NOT(ISNUMBER(B1894)),"Needs a date",IF(D1894="","Needs the job",IF(AND(C1894&lt;&gt;"",C1894&lt;&gt;"All beds",COUNTIF(Beds!$B$6:$B$35,C1894)=0),"Not on Beds",""))))</f>
        <v/>
      </c>
      <c r="G1894" s="1">
        <f>IF(ISNUMBER(B1894),INT(B1894),0)</f>
        <v/>
      </c>
      <c r="H1894">
        <f>IF(AND(G1894&gt;0,D1894="Water",OR(C1894="",C1894="All beds")),G1894,0)</f>
        <v/>
      </c>
    </row>
    <row r="1895">
      <c r="A1895" s="1" t="n"/>
      <c r="B1895" s="17" t="n"/>
      <c r="C1895" s="18" t="n"/>
      <c r="D1895" s="19" t="n"/>
      <c r="E1895" s="21" t="n"/>
      <c r="F1895" s="11">
        <f>IF(AND(B1895="",C1895="",D1895=""),"",IF(NOT(ISNUMBER(B1895)),"Needs a date",IF(D1895="","Needs the job",IF(AND(C1895&lt;&gt;"",C1895&lt;&gt;"All beds",COUNTIF(Beds!$B$6:$B$35,C1895)=0),"Not on Beds",""))))</f>
        <v/>
      </c>
      <c r="G1895" s="1">
        <f>IF(ISNUMBER(B1895),INT(B1895),0)</f>
        <v/>
      </c>
      <c r="H1895">
        <f>IF(AND(G1895&gt;0,D1895="Water",OR(C1895="",C1895="All beds")),G1895,0)</f>
        <v/>
      </c>
    </row>
    <row r="1896">
      <c r="A1896" s="1" t="n"/>
      <c r="B1896" s="17" t="n"/>
      <c r="C1896" s="18" t="n"/>
      <c r="D1896" s="19" t="n"/>
      <c r="E1896" s="21" t="n"/>
      <c r="F1896" s="11">
        <f>IF(AND(B1896="",C1896="",D1896=""),"",IF(NOT(ISNUMBER(B1896)),"Needs a date",IF(D1896="","Needs the job",IF(AND(C1896&lt;&gt;"",C1896&lt;&gt;"All beds",COUNTIF(Beds!$B$6:$B$35,C1896)=0),"Not on Beds",""))))</f>
        <v/>
      </c>
      <c r="G1896" s="1">
        <f>IF(ISNUMBER(B1896),INT(B1896),0)</f>
        <v/>
      </c>
      <c r="H1896">
        <f>IF(AND(G1896&gt;0,D1896="Water",OR(C1896="",C1896="All beds")),G1896,0)</f>
        <v/>
      </c>
    </row>
    <row r="1897">
      <c r="A1897" s="1" t="n"/>
      <c r="B1897" s="17" t="n"/>
      <c r="C1897" s="18" t="n"/>
      <c r="D1897" s="19" t="n"/>
      <c r="E1897" s="21" t="n"/>
      <c r="F1897" s="11">
        <f>IF(AND(B1897="",C1897="",D1897=""),"",IF(NOT(ISNUMBER(B1897)),"Needs a date",IF(D1897="","Needs the job",IF(AND(C1897&lt;&gt;"",C1897&lt;&gt;"All beds",COUNTIF(Beds!$B$6:$B$35,C1897)=0),"Not on Beds",""))))</f>
        <v/>
      </c>
      <c r="G1897" s="1">
        <f>IF(ISNUMBER(B1897),INT(B1897),0)</f>
        <v/>
      </c>
      <c r="H1897">
        <f>IF(AND(G1897&gt;0,D1897="Water",OR(C1897="",C1897="All beds")),G1897,0)</f>
        <v/>
      </c>
    </row>
    <row r="1898">
      <c r="A1898" s="1" t="n"/>
      <c r="B1898" s="17" t="n"/>
      <c r="C1898" s="18" t="n"/>
      <c r="D1898" s="19" t="n"/>
      <c r="E1898" s="21" t="n"/>
      <c r="F1898" s="11">
        <f>IF(AND(B1898="",C1898="",D1898=""),"",IF(NOT(ISNUMBER(B1898)),"Needs a date",IF(D1898="","Needs the job",IF(AND(C1898&lt;&gt;"",C1898&lt;&gt;"All beds",COUNTIF(Beds!$B$6:$B$35,C1898)=0),"Not on Beds",""))))</f>
        <v/>
      </c>
      <c r="G1898" s="1">
        <f>IF(ISNUMBER(B1898),INT(B1898),0)</f>
        <v/>
      </c>
      <c r="H1898">
        <f>IF(AND(G1898&gt;0,D1898="Water",OR(C1898="",C1898="All beds")),G1898,0)</f>
        <v/>
      </c>
    </row>
    <row r="1899">
      <c r="A1899" s="1" t="n"/>
      <c r="B1899" s="17" t="n"/>
      <c r="C1899" s="18" t="n"/>
      <c r="D1899" s="19" t="n"/>
      <c r="E1899" s="21" t="n"/>
      <c r="F1899" s="11">
        <f>IF(AND(B1899="",C1899="",D1899=""),"",IF(NOT(ISNUMBER(B1899)),"Needs a date",IF(D1899="","Needs the job",IF(AND(C1899&lt;&gt;"",C1899&lt;&gt;"All beds",COUNTIF(Beds!$B$6:$B$35,C1899)=0),"Not on Beds",""))))</f>
        <v/>
      </c>
      <c r="G1899" s="1">
        <f>IF(ISNUMBER(B1899),INT(B1899),0)</f>
        <v/>
      </c>
      <c r="H1899">
        <f>IF(AND(G1899&gt;0,D1899="Water",OR(C1899="",C1899="All beds")),G1899,0)</f>
        <v/>
      </c>
    </row>
    <row r="1900">
      <c r="A1900" s="1" t="n"/>
      <c r="B1900" s="17" t="n"/>
      <c r="C1900" s="18" t="n"/>
      <c r="D1900" s="19" t="n"/>
      <c r="E1900" s="21" t="n"/>
      <c r="F1900" s="11">
        <f>IF(AND(B1900="",C1900="",D1900=""),"",IF(NOT(ISNUMBER(B1900)),"Needs a date",IF(D1900="","Needs the job",IF(AND(C1900&lt;&gt;"",C1900&lt;&gt;"All beds",COUNTIF(Beds!$B$6:$B$35,C1900)=0),"Not on Beds",""))))</f>
        <v/>
      </c>
      <c r="G1900" s="1">
        <f>IF(ISNUMBER(B1900),INT(B1900),0)</f>
        <v/>
      </c>
      <c r="H1900">
        <f>IF(AND(G1900&gt;0,D1900="Water",OR(C1900="",C1900="All beds")),G1900,0)</f>
        <v/>
      </c>
    </row>
    <row r="1901">
      <c r="A1901" s="1" t="n"/>
      <c r="B1901" s="17" t="n"/>
      <c r="C1901" s="18" t="n"/>
      <c r="D1901" s="19" t="n"/>
      <c r="E1901" s="21" t="n"/>
      <c r="F1901" s="11">
        <f>IF(AND(B1901="",C1901="",D1901=""),"",IF(NOT(ISNUMBER(B1901)),"Needs a date",IF(D1901="","Needs the job",IF(AND(C1901&lt;&gt;"",C1901&lt;&gt;"All beds",COUNTIF(Beds!$B$6:$B$35,C1901)=0),"Not on Beds",""))))</f>
        <v/>
      </c>
      <c r="G1901" s="1">
        <f>IF(ISNUMBER(B1901),INT(B1901),0)</f>
        <v/>
      </c>
      <c r="H1901">
        <f>IF(AND(G1901&gt;0,D1901="Water",OR(C1901="",C1901="All beds")),G1901,0)</f>
        <v/>
      </c>
    </row>
    <row r="1902">
      <c r="A1902" s="1" t="n"/>
      <c r="B1902" s="17" t="n"/>
      <c r="C1902" s="18" t="n"/>
      <c r="D1902" s="19" t="n"/>
      <c r="E1902" s="21" t="n"/>
      <c r="F1902" s="11">
        <f>IF(AND(B1902="",C1902="",D1902=""),"",IF(NOT(ISNUMBER(B1902)),"Needs a date",IF(D1902="","Needs the job",IF(AND(C1902&lt;&gt;"",C1902&lt;&gt;"All beds",COUNTIF(Beds!$B$6:$B$35,C1902)=0),"Not on Beds",""))))</f>
        <v/>
      </c>
      <c r="G1902" s="1">
        <f>IF(ISNUMBER(B1902),INT(B1902),0)</f>
        <v/>
      </c>
      <c r="H1902">
        <f>IF(AND(G1902&gt;0,D1902="Water",OR(C1902="",C1902="All beds")),G1902,0)</f>
        <v/>
      </c>
    </row>
    <row r="1903">
      <c r="A1903" s="1" t="n"/>
      <c r="B1903" s="17" t="n"/>
      <c r="C1903" s="18" t="n"/>
      <c r="D1903" s="19" t="n"/>
      <c r="E1903" s="21" t="n"/>
      <c r="F1903" s="11">
        <f>IF(AND(B1903="",C1903="",D1903=""),"",IF(NOT(ISNUMBER(B1903)),"Needs a date",IF(D1903="","Needs the job",IF(AND(C1903&lt;&gt;"",C1903&lt;&gt;"All beds",COUNTIF(Beds!$B$6:$B$35,C1903)=0),"Not on Beds",""))))</f>
        <v/>
      </c>
      <c r="G1903" s="1">
        <f>IF(ISNUMBER(B1903),INT(B1903),0)</f>
        <v/>
      </c>
      <c r="H1903">
        <f>IF(AND(G1903&gt;0,D1903="Water",OR(C1903="",C1903="All beds")),G1903,0)</f>
        <v/>
      </c>
    </row>
    <row r="1904">
      <c r="A1904" s="1" t="n"/>
      <c r="B1904" s="17" t="n"/>
      <c r="C1904" s="18" t="n"/>
      <c r="D1904" s="19" t="n"/>
      <c r="E1904" s="21" t="n"/>
      <c r="F1904" s="11">
        <f>IF(AND(B1904="",C1904="",D1904=""),"",IF(NOT(ISNUMBER(B1904)),"Needs a date",IF(D1904="","Needs the job",IF(AND(C1904&lt;&gt;"",C1904&lt;&gt;"All beds",COUNTIF(Beds!$B$6:$B$35,C1904)=0),"Not on Beds",""))))</f>
        <v/>
      </c>
      <c r="G1904" s="1">
        <f>IF(ISNUMBER(B1904),INT(B1904),0)</f>
        <v/>
      </c>
      <c r="H1904">
        <f>IF(AND(G1904&gt;0,D1904="Water",OR(C1904="",C1904="All beds")),G1904,0)</f>
        <v/>
      </c>
    </row>
    <row r="1905">
      <c r="A1905" s="1" t="n"/>
      <c r="B1905" s="17" t="n"/>
      <c r="C1905" s="18" t="n"/>
      <c r="D1905" s="19" t="n"/>
      <c r="E1905" s="21" t="n"/>
      <c r="F1905" s="11">
        <f>IF(AND(B1905="",C1905="",D1905=""),"",IF(NOT(ISNUMBER(B1905)),"Needs a date",IF(D1905="","Needs the job",IF(AND(C1905&lt;&gt;"",C1905&lt;&gt;"All beds",COUNTIF(Beds!$B$6:$B$35,C1905)=0),"Not on Beds",""))))</f>
        <v/>
      </c>
      <c r="G1905" s="1">
        <f>IF(ISNUMBER(B1905),INT(B1905),0)</f>
        <v/>
      </c>
      <c r="H1905">
        <f>IF(AND(G1905&gt;0,D1905="Water",OR(C1905="",C1905="All beds")),G1905,0)</f>
        <v/>
      </c>
    </row>
    <row r="1906">
      <c r="A1906" s="1" t="n"/>
      <c r="B1906" s="17" t="n"/>
      <c r="C1906" s="18" t="n"/>
      <c r="D1906" s="19" t="n"/>
      <c r="E1906" s="21" t="n"/>
      <c r="F1906" s="11">
        <f>IF(AND(B1906="",C1906="",D1906=""),"",IF(NOT(ISNUMBER(B1906)),"Needs a date",IF(D1906="","Needs the job",IF(AND(C1906&lt;&gt;"",C1906&lt;&gt;"All beds",COUNTIF(Beds!$B$6:$B$35,C1906)=0),"Not on Beds",""))))</f>
        <v/>
      </c>
      <c r="G1906" s="1">
        <f>IF(ISNUMBER(B1906),INT(B1906),0)</f>
        <v/>
      </c>
      <c r="H1906">
        <f>IF(AND(G1906&gt;0,D1906="Water",OR(C1906="",C1906="All beds")),G1906,0)</f>
        <v/>
      </c>
    </row>
    <row r="1907">
      <c r="A1907" s="1" t="n"/>
      <c r="B1907" s="17" t="n"/>
      <c r="C1907" s="18" t="n"/>
      <c r="D1907" s="19" t="n"/>
      <c r="E1907" s="21" t="n"/>
      <c r="F1907" s="11">
        <f>IF(AND(B1907="",C1907="",D1907=""),"",IF(NOT(ISNUMBER(B1907)),"Needs a date",IF(D1907="","Needs the job",IF(AND(C1907&lt;&gt;"",C1907&lt;&gt;"All beds",COUNTIF(Beds!$B$6:$B$35,C1907)=0),"Not on Beds",""))))</f>
        <v/>
      </c>
      <c r="G1907" s="1">
        <f>IF(ISNUMBER(B1907),INT(B1907),0)</f>
        <v/>
      </c>
      <c r="H1907">
        <f>IF(AND(G1907&gt;0,D1907="Water",OR(C1907="",C1907="All beds")),G1907,0)</f>
        <v/>
      </c>
    </row>
    <row r="1908">
      <c r="A1908" s="1" t="n"/>
      <c r="B1908" s="17" t="n"/>
      <c r="C1908" s="18" t="n"/>
      <c r="D1908" s="19" t="n"/>
      <c r="E1908" s="21" t="n"/>
      <c r="F1908" s="11">
        <f>IF(AND(B1908="",C1908="",D1908=""),"",IF(NOT(ISNUMBER(B1908)),"Needs a date",IF(D1908="","Needs the job",IF(AND(C1908&lt;&gt;"",C1908&lt;&gt;"All beds",COUNTIF(Beds!$B$6:$B$35,C1908)=0),"Not on Beds",""))))</f>
        <v/>
      </c>
      <c r="G1908" s="1">
        <f>IF(ISNUMBER(B1908),INT(B1908),0)</f>
        <v/>
      </c>
      <c r="H1908">
        <f>IF(AND(G1908&gt;0,D1908="Water",OR(C1908="",C1908="All beds")),G1908,0)</f>
        <v/>
      </c>
    </row>
    <row r="1909">
      <c r="A1909" s="1" t="n"/>
      <c r="B1909" s="17" t="n"/>
      <c r="C1909" s="18" t="n"/>
      <c r="D1909" s="19" t="n"/>
      <c r="E1909" s="21" t="n"/>
      <c r="F1909" s="11">
        <f>IF(AND(B1909="",C1909="",D1909=""),"",IF(NOT(ISNUMBER(B1909)),"Needs a date",IF(D1909="","Needs the job",IF(AND(C1909&lt;&gt;"",C1909&lt;&gt;"All beds",COUNTIF(Beds!$B$6:$B$35,C1909)=0),"Not on Beds",""))))</f>
        <v/>
      </c>
      <c r="G1909" s="1">
        <f>IF(ISNUMBER(B1909),INT(B1909),0)</f>
        <v/>
      </c>
      <c r="H1909">
        <f>IF(AND(G1909&gt;0,D1909="Water",OR(C1909="",C1909="All beds")),G1909,0)</f>
        <v/>
      </c>
    </row>
    <row r="1910">
      <c r="A1910" s="1" t="n"/>
      <c r="B1910" s="17" t="n"/>
      <c r="C1910" s="18" t="n"/>
      <c r="D1910" s="19" t="n"/>
      <c r="E1910" s="21" t="n"/>
      <c r="F1910" s="11">
        <f>IF(AND(B1910="",C1910="",D1910=""),"",IF(NOT(ISNUMBER(B1910)),"Needs a date",IF(D1910="","Needs the job",IF(AND(C1910&lt;&gt;"",C1910&lt;&gt;"All beds",COUNTIF(Beds!$B$6:$B$35,C1910)=0),"Not on Beds",""))))</f>
        <v/>
      </c>
      <c r="G1910" s="1">
        <f>IF(ISNUMBER(B1910),INT(B1910),0)</f>
        <v/>
      </c>
      <c r="H1910">
        <f>IF(AND(G1910&gt;0,D1910="Water",OR(C1910="",C1910="All beds")),G1910,0)</f>
        <v/>
      </c>
    </row>
    <row r="1911">
      <c r="A1911" s="1" t="n"/>
      <c r="B1911" s="17" t="n"/>
      <c r="C1911" s="18" t="n"/>
      <c r="D1911" s="19" t="n"/>
      <c r="E1911" s="21" t="n"/>
      <c r="F1911" s="11">
        <f>IF(AND(B1911="",C1911="",D1911=""),"",IF(NOT(ISNUMBER(B1911)),"Needs a date",IF(D1911="","Needs the job",IF(AND(C1911&lt;&gt;"",C1911&lt;&gt;"All beds",COUNTIF(Beds!$B$6:$B$35,C1911)=0),"Not on Beds",""))))</f>
        <v/>
      </c>
      <c r="G1911" s="1">
        <f>IF(ISNUMBER(B1911),INT(B1911),0)</f>
        <v/>
      </c>
      <c r="H1911">
        <f>IF(AND(G1911&gt;0,D1911="Water",OR(C1911="",C1911="All beds")),G1911,0)</f>
        <v/>
      </c>
    </row>
    <row r="1912">
      <c r="A1912" s="1" t="n"/>
      <c r="B1912" s="17" t="n"/>
      <c r="C1912" s="18" t="n"/>
      <c r="D1912" s="19" t="n"/>
      <c r="E1912" s="21" t="n"/>
      <c r="F1912" s="11">
        <f>IF(AND(B1912="",C1912="",D1912=""),"",IF(NOT(ISNUMBER(B1912)),"Needs a date",IF(D1912="","Needs the job",IF(AND(C1912&lt;&gt;"",C1912&lt;&gt;"All beds",COUNTIF(Beds!$B$6:$B$35,C1912)=0),"Not on Beds",""))))</f>
        <v/>
      </c>
      <c r="G1912" s="1">
        <f>IF(ISNUMBER(B1912),INT(B1912),0)</f>
        <v/>
      </c>
      <c r="H1912">
        <f>IF(AND(G1912&gt;0,D1912="Water",OR(C1912="",C1912="All beds")),G1912,0)</f>
        <v/>
      </c>
    </row>
    <row r="1913">
      <c r="A1913" s="1" t="n"/>
      <c r="B1913" s="17" t="n"/>
      <c r="C1913" s="18" t="n"/>
      <c r="D1913" s="19" t="n"/>
      <c r="E1913" s="21" t="n"/>
      <c r="F1913" s="11">
        <f>IF(AND(B1913="",C1913="",D1913=""),"",IF(NOT(ISNUMBER(B1913)),"Needs a date",IF(D1913="","Needs the job",IF(AND(C1913&lt;&gt;"",C1913&lt;&gt;"All beds",COUNTIF(Beds!$B$6:$B$35,C1913)=0),"Not on Beds",""))))</f>
        <v/>
      </c>
      <c r="G1913" s="1">
        <f>IF(ISNUMBER(B1913),INT(B1913),0)</f>
        <v/>
      </c>
      <c r="H1913">
        <f>IF(AND(G1913&gt;0,D1913="Water",OR(C1913="",C1913="All beds")),G1913,0)</f>
        <v/>
      </c>
    </row>
    <row r="1914">
      <c r="A1914" s="1" t="n"/>
      <c r="B1914" s="17" t="n"/>
      <c r="C1914" s="18" t="n"/>
      <c r="D1914" s="19" t="n"/>
      <c r="E1914" s="21" t="n"/>
      <c r="F1914" s="11">
        <f>IF(AND(B1914="",C1914="",D1914=""),"",IF(NOT(ISNUMBER(B1914)),"Needs a date",IF(D1914="","Needs the job",IF(AND(C1914&lt;&gt;"",C1914&lt;&gt;"All beds",COUNTIF(Beds!$B$6:$B$35,C1914)=0),"Not on Beds",""))))</f>
        <v/>
      </c>
      <c r="G1914" s="1">
        <f>IF(ISNUMBER(B1914),INT(B1914),0)</f>
        <v/>
      </c>
      <c r="H1914">
        <f>IF(AND(G1914&gt;0,D1914="Water",OR(C1914="",C1914="All beds")),G1914,0)</f>
        <v/>
      </c>
    </row>
    <row r="1915">
      <c r="A1915" s="1" t="n"/>
      <c r="B1915" s="17" t="n"/>
      <c r="C1915" s="18" t="n"/>
      <c r="D1915" s="19" t="n"/>
      <c r="E1915" s="21" t="n"/>
      <c r="F1915" s="11">
        <f>IF(AND(B1915="",C1915="",D1915=""),"",IF(NOT(ISNUMBER(B1915)),"Needs a date",IF(D1915="","Needs the job",IF(AND(C1915&lt;&gt;"",C1915&lt;&gt;"All beds",COUNTIF(Beds!$B$6:$B$35,C1915)=0),"Not on Beds",""))))</f>
        <v/>
      </c>
      <c r="G1915" s="1">
        <f>IF(ISNUMBER(B1915),INT(B1915),0)</f>
        <v/>
      </c>
      <c r="H1915">
        <f>IF(AND(G1915&gt;0,D1915="Water",OR(C1915="",C1915="All beds")),G1915,0)</f>
        <v/>
      </c>
    </row>
    <row r="1916">
      <c r="A1916" s="1" t="n"/>
      <c r="B1916" s="17" t="n"/>
      <c r="C1916" s="18" t="n"/>
      <c r="D1916" s="19" t="n"/>
      <c r="E1916" s="21" t="n"/>
      <c r="F1916" s="11">
        <f>IF(AND(B1916="",C1916="",D1916=""),"",IF(NOT(ISNUMBER(B1916)),"Needs a date",IF(D1916="","Needs the job",IF(AND(C1916&lt;&gt;"",C1916&lt;&gt;"All beds",COUNTIF(Beds!$B$6:$B$35,C1916)=0),"Not on Beds",""))))</f>
        <v/>
      </c>
      <c r="G1916" s="1">
        <f>IF(ISNUMBER(B1916),INT(B1916),0)</f>
        <v/>
      </c>
      <c r="H1916">
        <f>IF(AND(G1916&gt;0,D1916="Water",OR(C1916="",C1916="All beds")),G1916,0)</f>
        <v/>
      </c>
    </row>
    <row r="1917">
      <c r="A1917" s="1" t="n"/>
      <c r="B1917" s="17" t="n"/>
      <c r="C1917" s="18" t="n"/>
      <c r="D1917" s="19" t="n"/>
      <c r="E1917" s="21" t="n"/>
      <c r="F1917" s="11">
        <f>IF(AND(B1917="",C1917="",D1917=""),"",IF(NOT(ISNUMBER(B1917)),"Needs a date",IF(D1917="","Needs the job",IF(AND(C1917&lt;&gt;"",C1917&lt;&gt;"All beds",COUNTIF(Beds!$B$6:$B$35,C1917)=0),"Not on Beds",""))))</f>
        <v/>
      </c>
      <c r="G1917" s="1">
        <f>IF(ISNUMBER(B1917),INT(B1917),0)</f>
        <v/>
      </c>
      <c r="H1917">
        <f>IF(AND(G1917&gt;0,D1917="Water",OR(C1917="",C1917="All beds")),G1917,0)</f>
        <v/>
      </c>
    </row>
    <row r="1918">
      <c r="A1918" s="1" t="n"/>
      <c r="B1918" s="17" t="n"/>
      <c r="C1918" s="18" t="n"/>
      <c r="D1918" s="19" t="n"/>
      <c r="E1918" s="21" t="n"/>
      <c r="F1918" s="11">
        <f>IF(AND(B1918="",C1918="",D1918=""),"",IF(NOT(ISNUMBER(B1918)),"Needs a date",IF(D1918="","Needs the job",IF(AND(C1918&lt;&gt;"",C1918&lt;&gt;"All beds",COUNTIF(Beds!$B$6:$B$35,C1918)=0),"Not on Beds",""))))</f>
        <v/>
      </c>
      <c r="G1918" s="1">
        <f>IF(ISNUMBER(B1918),INT(B1918),0)</f>
        <v/>
      </c>
      <c r="H1918">
        <f>IF(AND(G1918&gt;0,D1918="Water",OR(C1918="",C1918="All beds")),G1918,0)</f>
        <v/>
      </c>
    </row>
    <row r="1919">
      <c r="A1919" s="1" t="n"/>
      <c r="B1919" s="17" t="n"/>
      <c r="C1919" s="18" t="n"/>
      <c r="D1919" s="19" t="n"/>
      <c r="E1919" s="21" t="n"/>
      <c r="F1919" s="11">
        <f>IF(AND(B1919="",C1919="",D1919=""),"",IF(NOT(ISNUMBER(B1919)),"Needs a date",IF(D1919="","Needs the job",IF(AND(C1919&lt;&gt;"",C1919&lt;&gt;"All beds",COUNTIF(Beds!$B$6:$B$35,C1919)=0),"Not on Beds",""))))</f>
        <v/>
      </c>
      <c r="G1919" s="1">
        <f>IF(ISNUMBER(B1919),INT(B1919),0)</f>
        <v/>
      </c>
      <c r="H1919">
        <f>IF(AND(G1919&gt;0,D1919="Water",OR(C1919="",C1919="All beds")),G1919,0)</f>
        <v/>
      </c>
    </row>
    <row r="1920">
      <c r="A1920" s="1" t="n"/>
      <c r="B1920" s="17" t="n"/>
      <c r="C1920" s="18" t="n"/>
      <c r="D1920" s="19" t="n"/>
      <c r="E1920" s="21" t="n"/>
      <c r="F1920" s="11">
        <f>IF(AND(B1920="",C1920="",D1920=""),"",IF(NOT(ISNUMBER(B1920)),"Needs a date",IF(D1920="","Needs the job",IF(AND(C1920&lt;&gt;"",C1920&lt;&gt;"All beds",COUNTIF(Beds!$B$6:$B$35,C1920)=0),"Not on Beds",""))))</f>
        <v/>
      </c>
      <c r="G1920" s="1">
        <f>IF(ISNUMBER(B1920),INT(B1920),0)</f>
        <v/>
      </c>
      <c r="H1920">
        <f>IF(AND(G1920&gt;0,D1920="Water",OR(C1920="",C1920="All beds")),G1920,0)</f>
        <v/>
      </c>
    </row>
    <row r="1921">
      <c r="A1921" s="1" t="n"/>
      <c r="B1921" s="17" t="n"/>
      <c r="C1921" s="18" t="n"/>
      <c r="D1921" s="19" t="n"/>
      <c r="E1921" s="21" t="n"/>
      <c r="F1921" s="11">
        <f>IF(AND(B1921="",C1921="",D1921=""),"",IF(NOT(ISNUMBER(B1921)),"Needs a date",IF(D1921="","Needs the job",IF(AND(C1921&lt;&gt;"",C1921&lt;&gt;"All beds",COUNTIF(Beds!$B$6:$B$35,C1921)=0),"Not on Beds",""))))</f>
        <v/>
      </c>
      <c r="G1921" s="1">
        <f>IF(ISNUMBER(B1921),INT(B1921),0)</f>
        <v/>
      </c>
      <c r="H1921">
        <f>IF(AND(G1921&gt;0,D1921="Water",OR(C1921="",C1921="All beds")),G1921,0)</f>
        <v/>
      </c>
    </row>
    <row r="1922">
      <c r="A1922" s="1" t="n"/>
      <c r="B1922" s="17" t="n"/>
      <c r="C1922" s="18" t="n"/>
      <c r="D1922" s="19" t="n"/>
      <c r="E1922" s="21" t="n"/>
      <c r="F1922" s="11">
        <f>IF(AND(B1922="",C1922="",D1922=""),"",IF(NOT(ISNUMBER(B1922)),"Needs a date",IF(D1922="","Needs the job",IF(AND(C1922&lt;&gt;"",C1922&lt;&gt;"All beds",COUNTIF(Beds!$B$6:$B$35,C1922)=0),"Not on Beds",""))))</f>
        <v/>
      </c>
      <c r="G1922" s="1">
        <f>IF(ISNUMBER(B1922),INT(B1922),0)</f>
        <v/>
      </c>
      <c r="H1922">
        <f>IF(AND(G1922&gt;0,D1922="Water",OR(C1922="",C1922="All beds")),G1922,0)</f>
        <v/>
      </c>
    </row>
    <row r="1923">
      <c r="A1923" s="1" t="n"/>
      <c r="B1923" s="17" t="n"/>
      <c r="C1923" s="18" t="n"/>
      <c r="D1923" s="19" t="n"/>
      <c r="E1923" s="21" t="n"/>
      <c r="F1923" s="11">
        <f>IF(AND(B1923="",C1923="",D1923=""),"",IF(NOT(ISNUMBER(B1923)),"Needs a date",IF(D1923="","Needs the job",IF(AND(C1923&lt;&gt;"",C1923&lt;&gt;"All beds",COUNTIF(Beds!$B$6:$B$35,C1923)=0),"Not on Beds",""))))</f>
        <v/>
      </c>
      <c r="G1923" s="1">
        <f>IF(ISNUMBER(B1923),INT(B1923),0)</f>
        <v/>
      </c>
      <c r="H1923">
        <f>IF(AND(G1923&gt;0,D1923="Water",OR(C1923="",C1923="All beds")),G1923,0)</f>
        <v/>
      </c>
    </row>
    <row r="1924">
      <c r="A1924" s="1" t="n"/>
      <c r="B1924" s="17" t="n"/>
      <c r="C1924" s="18" t="n"/>
      <c r="D1924" s="19" t="n"/>
      <c r="E1924" s="21" t="n"/>
      <c r="F1924" s="11">
        <f>IF(AND(B1924="",C1924="",D1924=""),"",IF(NOT(ISNUMBER(B1924)),"Needs a date",IF(D1924="","Needs the job",IF(AND(C1924&lt;&gt;"",C1924&lt;&gt;"All beds",COUNTIF(Beds!$B$6:$B$35,C1924)=0),"Not on Beds",""))))</f>
        <v/>
      </c>
      <c r="G1924" s="1">
        <f>IF(ISNUMBER(B1924),INT(B1924),0)</f>
        <v/>
      </c>
      <c r="H1924">
        <f>IF(AND(G1924&gt;0,D1924="Water",OR(C1924="",C1924="All beds")),G1924,0)</f>
        <v/>
      </c>
    </row>
    <row r="1925">
      <c r="A1925" s="1" t="n"/>
      <c r="B1925" s="17" t="n"/>
      <c r="C1925" s="18" t="n"/>
      <c r="D1925" s="19" t="n"/>
      <c r="E1925" s="21" t="n"/>
      <c r="F1925" s="11">
        <f>IF(AND(B1925="",C1925="",D1925=""),"",IF(NOT(ISNUMBER(B1925)),"Needs a date",IF(D1925="","Needs the job",IF(AND(C1925&lt;&gt;"",C1925&lt;&gt;"All beds",COUNTIF(Beds!$B$6:$B$35,C1925)=0),"Not on Beds",""))))</f>
        <v/>
      </c>
      <c r="G1925" s="1">
        <f>IF(ISNUMBER(B1925),INT(B1925),0)</f>
        <v/>
      </c>
      <c r="H1925">
        <f>IF(AND(G1925&gt;0,D1925="Water",OR(C1925="",C1925="All beds")),G1925,0)</f>
        <v/>
      </c>
    </row>
    <row r="1926">
      <c r="A1926" s="1" t="n"/>
      <c r="B1926" s="17" t="n"/>
      <c r="C1926" s="18" t="n"/>
      <c r="D1926" s="19" t="n"/>
      <c r="E1926" s="21" t="n"/>
      <c r="F1926" s="11">
        <f>IF(AND(B1926="",C1926="",D1926=""),"",IF(NOT(ISNUMBER(B1926)),"Needs a date",IF(D1926="","Needs the job",IF(AND(C1926&lt;&gt;"",C1926&lt;&gt;"All beds",COUNTIF(Beds!$B$6:$B$35,C1926)=0),"Not on Beds",""))))</f>
        <v/>
      </c>
      <c r="G1926" s="1">
        <f>IF(ISNUMBER(B1926),INT(B1926),0)</f>
        <v/>
      </c>
      <c r="H1926">
        <f>IF(AND(G1926&gt;0,D1926="Water",OR(C1926="",C1926="All beds")),G1926,0)</f>
        <v/>
      </c>
    </row>
    <row r="1927">
      <c r="A1927" s="1" t="n"/>
      <c r="B1927" s="17" t="n"/>
      <c r="C1927" s="18" t="n"/>
      <c r="D1927" s="19" t="n"/>
      <c r="E1927" s="21" t="n"/>
      <c r="F1927" s="11">
        <f>IF(AND(B1927="",C1927="",D1927=""),"",IF(NOT(ISNUMBER(B1927)),"Needs a date",IF(D1927="","Needs the job",IF(AND(C1927&lt;&gt;"",C1927&lt;&gt;"All beds",COUNTIF(Beds!$B$6:$B$35,C1927)=0),"Not on Beds",""))))</f>
        <v/>
      </c>
      <c r="G1927" s="1">
        <f>IF(ISNUMBER(B1927),INT(B1927),0)</f>
        <v/>
      </c>
      <c r="H1927">
        <f>IF(AND(G1927&gt;0,D1927="Water",OR(C1927="",C1927="All beds")),G1927,0)</f>
        <v/>
      </c>
    </row>
    <row r="1928">
      <c r="A1928" s="1" t="n"/>
      <c r="B1928" s="17" t="n"/>
      <c r="C1928" s="18" t="n"/>
      <c r="D1928" s="19" t="n"/>
      <c r="E1928" s="21" t="n"/>
      <c r="F1928" s="11">
        <f>IF(AND(B1928="",C1928="",D1928=""),"",IF(NOT(ISNUMBER(B1928)),"Needs a date",IF(D1928="","Needs the job",IF(AND(C1928&lt;&gt;"",C1928&lt;&gt;"All beds",COUNTIF(Beds!$B$6:$B$35,C1928)=0),"Not on Beds",""))))</f>
        <v/>
      </c>
      <c r="G1928" s="1">
        <f>IF(ISNUMBER(B1928),INT(B1928),0)</f>
        <v/>
      </c>
      <c r="H1928">
        <f>IF(AND(G1928&gt;0,D1928="Water",OR(C1928="",C1928="All beds")),G1928,0)</f>
        <v/>
      </c>
    </row>
    <row r="1929">
      <c r="A1929" s="1" t="n"/>
      <c r="B1929" s="17" t="n"/>
      <c r="C1929" s="18" t="n"/>
      <c r="D1929" s="19" t="n"/>
      <c r="E1929" s="21" t="n"/>
      <c r="F1929" s="11">
        <f>IF(AND(B1929="",C1929="",D1929=""),"",IF(NOT(ISNUMBER(B1929)),"Needs a date",IF(D1929="","Needs the job",IF(AND(C1929&lt;&gt;"",C1929&lt;&gt;"All beds",COUNTIF(Beds!$B$6:$B$35,C1929)=0),"Not on Beds",""))))</f>
        <v/>
      </c>
      <c r="G1929" s="1">
        <f>IF(ISNUMBER(B1929),INT(B1929),0)</f>
        <v/>
      </c>
      <c r="H1929">
        <f>IF(AND(G1929&gt;0,D1929="Water",OR(C1929="",C1929="All beds")),G1929,0)</f>
        <v/>
      </c>
    </row>
    <row r="1930">
      <c r="A1930" s="1" t="n"/>
      <c r="B1930" s="17" t="n"/>
      <c r="C1930" s="18" t="n"/>
      <c r="D1930" s="19" t="n"/>
      <c r="E1930" s="21" t="n"/>
      <c r="F1930" s="11">
        <f>IF(AND(B1930="",C1930="",D1930=""),"",IF(NOT(ISNUMBER(B1930)),"Needs a date",IF(D1930="","Needs the job",IF(AND(C1930&lt;&gt;"",C1930&lt;&gt;"All beds",COUNTIF(Beds!$B$6:$B$35,C1930)=0),"Not on Beds",""))))</f>
        <v/>
      </c>
      <c r="G1930" s="1">
        <f>IF(ISNUMBER(B1930),INT(B1930),0)</f>
        <v/>
      </c>
      <c r="H1930">
        <f>IF(AND(G1930&gt;0,D1930="Water",OR(C1930="",C1930="All beds")),G1930,0)</f>
        <v/>
      </c>
    </row>
    <row r="1931">
      <c r="A1931" s="1" t="n"/>
      <c r="B1931" s="17" t="n"/>
      <c r="C1931" s="18" t="n"/>
      <c r="D1931" s="19" t="n"/>
      <c r="E1931" s="21" t="n"/>
      <c r="F1931" s="11">
        <f>IF(AND(B1931="",C1931="",D1931=""),"",IF(NOT(ISNUMBER(B1931)),"Needs a date",IF(D1931="","Needs the job",IF(AND(C1931&lt;&gt;"",C1931&lt;&gt;"All beds",COUNTIF(Beds!$B$6:$B$35,C1931)=0),"Not on Beds",""))))</f>
        <v/>
      </c>
      <c r="G1931" s="1">
        <f>IF(ISNUMBER(B1931),INT(B1931),0)</f>
        <v/>
      </c>
      <c r="H1931">
        <f>IF(AND(G1931&gt;0,D1931="Water",OR(C1931="",C1931="All beds")),G1931,0)</f>
        <v/>
      </c>
    </row>
    <row r="1932">
      <c r="A1932" s="1" t="n"/>
      <c r="B1932" s="17" t="n"/>
      <c r="C1932" s="18" t="n"/>
      <c r="D1932" s="19" t="n"/>
      <c r="E1932" s="21" t="n"/>
      <c r="F1932" s="11">
        <f>IF(AND(B1932="",C1932="",D1932=""),"",IF(NOT(ISNUMBER(B1932)),"Needs a date",IF(D1932="","Needs the job",IF(AND(C1932&lt;&gt;"",C1932&lt;&gt;"All beds",COUNTIF(Beds!$B$6:$B$35,C1932)=0),"Not on Beds",""))))</f>
        <v/>
      </c>
      <c r="G1932" s="1">
        <f>IF(ISNUMBER(B1932),INT(B1932),0)</f>
        <v/>
      </c>
      <c r="H1932">
        <f>IF(AND(G1932&gt;0,D1932="Water",OR(C1932="",C1932="All beds")),G1932,0)</f>
        <v/>
      </c>
    </row>
    <row r="1933">
      <c r="A1933" s="1" t="n"/>
      <c r="B1933" s="17" t="n"/>
      <c r="C1933" s="18" t="n"/>
      <c r="D1933" s="19" t="n"/>
      <c r="E1933" s="21" t="n"/>
      <c r="F1933" s="11">
        <f>IF(AND(B1933="",C1933="",D1933=""),"",IF(NOT(ISNUMBER(B1933)),"Needs a date",IF(D1933="","Needs the job",IF(AND(C1933&lt;&gt;"",C1933&lt;&gt;"All beds",COUNTIF(Beds!$B$6:$B$35,C1933)=0),"Not on Beds",""))))</f>
        <v/>
      </c>
      <c r="G1933" s="1">
        <f>IF(ISNUMBER(B1933),INT(B1933),0)</f>
        <v/>
      </c>
      <c r="H1933">
        <f>IF(AND(G1933&gt;0,D1933="Water",OR(C1933="",C1933="All beds")),G1933,0)</f>
        <v/>
      </c>
    </row>
    <row r="1934">
      <c r="A1934" s="1" t="n"/>
      <c r="B1934" s="17" t="n"/>
      <c r="C1934" s="18" t="n"/>
      <c r="D1934" s="19" t="n"/>
      <c r="E1934" s="21" t="n"/>
      <c r="F1934" s="11">
        <f>IF(AND(B1934="",C1934="",D1934=""),"",IF(NOT(ISNUMBER(B1934)),"Needs a date",IF(D1934="","Needs the job",IF(AND(C1934&lt;&gt;"",C1934&lt;&gt;"All beds",COUNTIF(Beds!$B$6:$B$35,C1934)=0),"Not on Beds",""))))</f>
        <v/>
      </c>
      <c r="G1934" s="1">
        <f>IF(ISNUMBER(B1934),INT(B1934),0)</f>
        <v/>
      </c>
      <c r="H1934">
        <f>IF(AND(G1934&gt;0,D1934="Water",OR(C1934="",C1934="All beds")),G1934,0)</f>
        <v/>
      </c>
    </row>
    <row r="1935">
      <c r="A1935" s="1" t="n"/>
      <c r="B1935" s="17" t="n"/>
      <c r="C1935" s="18" t="n"/>
      <c r="D1935" s="19" t="n"/>
      <c r="E1935" s="21" t="n"/>
      <c r="F1935" s="11">
        <f>IF(AND(B1935="",C1935="",D1935=""),"",IF(NOT(ISNUMBER(B1935)),"Needs a date",IF(D1935="","Needs the job",IF(AND(C1935&lt;&gt;"",C1935&lt;&gt;"All beds",COUNTIF(Beds!$B$6:$B$35,C1935)=0),"Not on Beds",""))))</f>
        <v/>
      </c>
      <c r="G1935" s="1">
        <f>IF(ISNUMBER(B1935),INT(B1935),0)</f>
        <v/>
      </c>
      <c r="H1935">
        <f>IF(AND(G1935&gt;0,D1935="Water",OR(C1935="",C1935="All beds")),G1935,0)</f>
        <v/>
      </c>
    </row>
    <row r="1936">
      <c r="A1936" s="1" t="n"/>
      <c r="B1936" s="17" t="n"/>
      <c r="C1936" s="18" t="n"/>
      <c r="D1936" s="19" t="n"/>
      <c r="E1936" s="21" t="n"/>
      <c r="F1936" s="11">
        <f>IF(AND(B1936="",C1936="",D1936=""),"",IF(NOT(ISNUMBER(B1936)),"Needs a date",IF(D1936="","Needs the job",IF(AND(C1936&lt;&gt;"",C1936&lt;&gt;"All beds",COUNTIF(Beds!$B$6:$B$35,C1936)=0),"Not on Beds",""))))</f>
        <v/>
      </c>
      <c r="G1936" s="1">
        <f>IF(ISNUMBER(B1936),INT(B1936),0)</f>
        <v/>
      </c>
      <c r="H1936">
        <f>IF(AND(G1936&gt;0,D1936="Water",OR(C1936="",C1936="All beds")),G1936,0)</f>
        <v/>
      </c>
    </row>
    <row r="1937">
      <c r="A1937" s="1" t="n"/>
      <c r="B1937" s="17" t="n"/>
      <c r="C1937" s="18" t="n"/>
      <c r="D1937" s="19" t="n"/>
      <c r="E1937" s="21" t="n"/>
      <c r="F1937" s="11">
        <f>IF(AND(B1937="",C1937="",D1937=""),"",IF(NOT(ISNUMBER(B1937)),"Needs a date",IF(D1937="","Needs the job",IF(AND(C1937&lt;&gt;"",C1937&lt;&gt;"All beds",COUNTIF(Beds!$B$6:$B$35,C1937)=0),"Not on Beds",""))))</f>
        <v/>
      </c>
      <c r="G1937" s="1">
        <f>IF(ISNUMBER(B1937),INT(B1937),0)</f>
        <v/>
      </c>
      <c r="H1937">
        <f>IF(AND(G1937&gt;0,D1937="Water",OR(C1937="",C1937="All beds")),G1937,0)</f>
        <v/>
      </c>
    </row>
    <row r="1938">
      <c r="A1938" s="1" t="n"/>
      <c r="B1938" s="17" t="n"/>
      <c r="C1938" s="18" t="n"/>
      <c r="D1938" s="19" t="n"/>
      <c r="E1938" s="21" t="n"/>
      <c r="F1938" s="11">
        <f>IF(AND(B1938="",C1938="",D1938=""),"",IF(NOT(ISNUMBER(B1938)),"Needs a date",IF(D1938="","Needs the job",IF(AND(C1938&lt;&gt;"",C1938&lt;&gt;"All beds",COUNTIF(Beds!$B$6:$B$35,C1938)=0),"Not on Beds",""))))</f>
        <v/>
      </c>
      <c r="G1938" s="1">
        <f>IF(ISNUMBER(B1938),INT(B1938),0)</f>
        <v/>
      </c>
      <c r="H1938">
        <f>IF(AND(G1938&gt;0,D1938="Water",OR(C1938="",C1938="All beds")),G1938,0)</f>
        <v/>
      </c>
    </row>
    <row r="1939">
      <c r="A1939" s="1" t="n"/>
      <c r="B1939" s="17" t="n"/>
      <c r="C1939" s="18" t="n"/>
      <c r="D1939" s="19" t="n"/>
      <c r="E1939" s="21" t="n"/>
      <c r="F1939" s="11">
        <f>IF(AND(B1939="",C1939="",D1939=""),"",IF(NOT(ISNUMBER(B1939)),"Needs a date",IF(D1939="","Needs the job",IF(AND(C1939&lt;&gt;"",C1939&lt;&gt;"All beds",COUNTIF(Beds!$B$6:$B$35,C1939)=0),"Not on Beds",""))))</f>
        <v/>
      </c>
      <c r="G1939" s="1">
        <f>IF(ISNUMBER(B1939),INT(B1939),0)</f>
        <v/>
      </c>
      <c r="H1939">
        <f>IF(AND(G1939&gt;0,D1939="Water",OR(C1939="",C1939="All beds")),G1939,0)</f>
        <v/>
      </c>
    </row>
    <row r="1940">
      <c r="A1940" s="1" t="n"/>
      <c r="B1940" s="17" t="n"/>
      <c r="C1940" s="18" t="n"/>
      <c r="D1940" s="19" t="n"/>
      <c r="E1940" s="21" t="n"/>
      <c r="F1940" s="11">
        <f>IF(AND(B1940="",C1940="",D1940=""),"",IF(NOT(ISNUMBER(B1940)),"Needs a date",IF(D1940="","Needs the job",IF(AND(C1940&lt;&gt;"",C1940&lt;&gt;"All beds",COUNTIF(Beds!$B$6:$B$35,C1940)=0),"Not on Beds",""))))</f>
        <v/>
      </c>
      <c r="G1940" s="1">
        <f>IF(ISNUMBER(B1940),INT(B1940),0)</f>
        <v/>
      </c>
      <c r="H1940">
        <f>IF(AND(G1940&gt;0,D1940="Water",OR(C1940="",C1940="All beds")),G1940,0)</f>
        <v/>
      </c>
    </row>
    <row r="1941">
      <c r="A1941" s="1" t="n"/>
      <c r="B1941" s="17" t="n"/>
      <c r="C1941" s="18" t="n"/>
      <c r="D1941" s="19" t="n"/>
      <c r="E1941" s="21" t="n"/>
      <c r="F1941" s="11">
        <f>IF(AND(B1941="",C1941="",D1941=""),"",IF(NOT(ISNUMBER(B1941)),"Needs a date",IF(D1941="","Needs the job",IF(AND(C1941&lt;&gt;"",C1941&lt;&gt;"All beds",COUNTIF(Beds!$B$6:$B$35,C1941)=0),"Not on Beds",""))))</f>
        <v/>
      </c>
      <c r="G1941" s="1">
        <f>IF(ISNUMBER(B1941),INT(B1941),0)</f>
        <v/>
      </c>
      <c r="H1941">
        <f>IF(AND(G1941&gt;0,D1941="Water",OR(C1941="",C1941="All beds")),G1941,0)</f>
        <v/>
      </c>
    </row>
    <row r="1942">
      <c r="A1942" s="1" t="n"/>
      <c r="B1942" s="17" t="n"/>
      <c r="C1942" s="18" t="n"/>
      <c r="D1942" s="19" t="n"/>
      <c r="E1942" s="21" t="n"/>
      <c r="F1942" s="11">
        <f>IF(AND(B1942="",C1942="",D1942=""),"",IF(NOT(ISNUMBER(B1942)),"Needs a date",IF(D1942="","Needs the job",IF(AND(C1942&lt;&gt;"",C1942&lt;&gt;"All beds",COUNTIF(Beds!$B$6:$B$35,C1942)=0),"Not on Beds",""))))</f>
        <v/>
      </c>
      <c r="G1942" s="1">
        <f>IF(ISNUMBER(B1942),INT(B1942),0)</f>
        <v/>
      </c>
      <c r="H1942">
        <f>IF(AND(G1942&gt;0,D1942="Water",OR(C1942="",C1942="All beds")),G1942,0)</f>
        <v/>
      </c>
    </row>
    <row r="1943">
      <c r="A1943" s="1" t="n"/>
      <c r="B1943" s="17" t="n"/>
      <c r="C1943" s="18" t="n"/>
      <c r="D1943" s="19" t="n"/>
      <c r="E1943" s="21" t="n"/>
      <c r="F1943" s="11">
        <f>IF(AND(B1943="",C1943="",D1943=""),"",IF(NOT(ISNUMBER(B1943)),"Needs a date",IF(D1943="","Needs the job",IF(AND(C1943&lt;&gt;"",C1943&lt;&gt;"All beds",COUNTIF(Beds!$B$6:$B$35,C1943)=0),"Not on Beds",""))))</f>
        <v/>
      </c>
      <c r="G1943" s="1">
        <f>IF(ISNUMBER(B1943),INT(B1943),0)</f>
        <v/>
      </c>
      <c r="H1943">
        <f>IF(AND(G1943&gt;0,D1943="Water",OR(C1943="",C1943="All beds")),G1943,0)</f>
        <v/>
      </c>
    </row>
    <row r="1944">
      <c r="A1944" s="1" t="n"/>
      <c r="B1944" s="17" t="n"/>
      <c r="C1944" s="18" t="n"/>
      <c r="D1944" s="19" t="n"/>
      <c r="E1944" s="21" t="n"/>
      <c r="F1944" s="11">
        <f>IF(AND(B1944="",C1944="",D1944=""),"",IF(NOT(ISNUMBER(B1944)),"Needs a date",IF(D1944="","Needs the job",IF(AND(C1944&lt;&gt;"",C1944&lt;&gt;"All beds",COUNTIF(Beds!$B$6:$B$35,C1944)=0),"Not on Beds",""))))</f>
        <v/>
      </c>
      <c r="G1944" s="1">
        <f>IF(ISNUMBER(B1944),INT(B1944),0)</f>
        <v/>
      </c>
      <c r="H1944">
        <f>IF(AND(G1944&gt;0,D1944="Water",OR(C1944="",C1944="All beds")),G1944,0)</f>
        <v/>
      </c>
    </row>
    <row r="1945">
      <c r="A1945" s="1" t="n"/>
      <c r="B1945" s="17" t="n"/>
      <c r="C1945" s="18" t="n"/>
      <c r="D1945" s="19" t="n"/>
      <c r="E1945" s="21" t="n"/>
      <c r="F1945" s="11">
        <f>IF(AND(B1945="",C1945="",D1945=""),"",IF(NOT(ISNUMBER(B1945)),"Needs a date",IF(D1945="","Needs the job",IF(AND(C1945&lt;&gt;"",C1945&lt;&gt;"All beds",COUNTIF(Beds!$B$6:$B$35,C1945)=0),"Not on Beds",""))))</f>
        <v/>
      </c>
      <c r="G1945" s="1">
        <f>IF(ISNUMBER(B1945),INT(B1945),0)</f>
        <v/>
      </c>
      <c r="H1945">
        <f>IF(AND(G1945&gt;0,D1945="Water",OR(C1945="",C1945="All beds")),G1945,0)</f>
        <v/>
      </c>
    </row>
    <row r="1946">
      <c r="A1946" s="1" t="n"/>
      <c r="B1946" s="17" t="n"/>
      <c r="C1946" s="18" t="n"/>
      <c r="D1946" s="19" t="n"/>
      <c r="E1946" s="21" t="n"/>
      <c r="F1946" s="11">
        <f>IF(AND(B1946="",C1946="",D1946=""),"",IF(NOT(ISNUMBER(B1946)),"Needs a date",IF(D1946="","Needs the job",IF(AND(C1946&lt;&gt;"",C1946&lt;&gt;"All beds",COUNTIF(Beds!$B$6:$B$35,C1946)=0),"Not on Beds",""))))</f>
        <v/>
      </c>
      <c r="G1946" s="1">
        <f>IF(ISNUMBER(B1946),INT(B1946),0)</f>
        <v/>
      </c>
      <c r="H1946">
        <f>IF(AND(G1946&gt;0,D1946="Water",OR(C1946="",C1946="All beds")),G1946,0)</f>
        <v/>
      </c>
    </row>
    <row r="1947">
      <c r="A1947" s="1" t="n"/>
      <c r="B1947" s="17" t="n"/>
      <c r="C1947" s="18" t="n"/>
      <c r="D1947" s="19" t="n"/>
      <c r="E1947" s="21" t="n"/>
      <c r="F1947" s="11">
        <f>IF(AND(B1947="",C1947="",D1947=""),"",IF(NOT(ISNUMBER(B1947)),"Needs a date",IF(D1947="","Needs the job",IF(AND(C1947&lt;&gt;"",C1947&lt;&gt;"All beds",COUNTIF(Beds!$B$6:$B$35,C1947)=0),"Not on Beds",""))))</f>
        <v/>
      </c>
      <c r="G1947" s="1">
        <f>IF(ISNUMBER(B1947),INT(B1947),0)</f>
        <v/>
      </c>
      <c r="H1947">
        <f>IF(AND(G1947&gt;0,D1947="Water",OR(C1947="",C1947="All beds")),G1947,0)</f>
        <v/>
      </c>
    </row>
    <row r="1948">
      <c r="A1948" s="1" t="n"/>
      <c r="B1948" s="17" t="n"/>
      <c r="C1948" s="18" t="n"/>
      <c r="D1948" s="19" t="n"/>
      <c r="E1948" s="21" t="n"/>
      <c r="F1948" s="11">
        <f>IF(AND(B1948="",C1948="",D1948=""),"",IF(NOT(ISNUMBER(B1948)),"Needs a date",IF(D1948="","Needs the job",IF(AND(C1948&lt;&gt;"",C1948&lt;&gt;"All beds",COUNTIF(Beds!$B$6:$B$35,C1948)=0),"Not on Beds",""))))</f>
        <v/>
      </c>
      <c r="G1948" s="1">
        <f>IF(ISNUMBER(B1948),INT(B1948),0)</f>
        <v/>
      </c>
      <c r="H1948">
        <f>IF(AND(G1948&gt;0,D1948="Water",OR(C1948="",C1948="All beds")),G1948,0)</f>
        <v/>
      </c>
    </row>
    <row r="1949">
      <c r="A1949" s="1" t="n"/>
      <c r="B1949" s="17" t="n"/>
      <c r="C1949" s="18" t="n"/>
      <c r="D1949" s="19" t="n"/>
      <c r="E1949" s="21" t="n"/>
      <c r="F1949" s="11">
        <f>IF(AND(B1949="",C1949="",D1949=""),"",IF(NOT(ISNUMBER(B1949)),"Needs a date",IF(D1949="","Needs the job",IF(AND(C1949&lt;&gt;"",C1949&lt;&gt;"All beds",COUNTIF(Beds!$B$6:$B$35,C1949)=0),"Not on Beds",""))))</f>
        <v/>
      </c>
      <c r="G1949" s="1">
        <f>IF(ISNUMBER(B1949),INT(B1949),0)</f>
        <v/>
      </c>
      <c r="H1949">
        <f>IF(AND(G1949&gt;0,D1949="Water",OR(C1949="",C1949="All beds")),G1949,0)</f>
        <v/>
      </c>
    </row>
    <row r="1950">
      <c r="A1950" s="1" t="n"/>
      <c r="B1950" s="17" t="n"/>
      <c r="C1950" s="18" t="n"/>
      <c r="D1950" s="19" t="n"/>
      <c r="E1950" s="21" t="n"/>
      <c r="F1950" s="11">
        <f>IF(AND(B1950="",C1950="",D1950=""),"",IF(NOT(ISNUMBER(B1950)),"Needs a date",IF(D1950="","Needs the job",IF(AND(C1950&lt;&gt;"",C1950&lt;&gt;"All beds",COUNTIF(Beds!$B$6:$B$35,C1950)=0),"Not on Beds",""))))</f>
        <v/>
      </c>
      <c r="G1950" s="1">
        <f>IF(ISNUMBER(B1950),INT(B1950),0)</f>
        <v/>
      </c>
      <c r="H1950">
        <f>IF(AND(G1950&gt;0,D1950="Water",OR(C1950="",C1950="All beds")),G1950,0)</f>
        <v/>
      </c>
    </row>
    <row r="1951">
      <c r="A1951" s="1" t="n"/>
      <c r="B1951" s="17" t="n"/>
      <c r="C1951" s="18" t="n"/>
      <c r="D1951" s="19" t="n"/>
      <c r="E1951" s="21" t="n"/>
      <c r="F1951" s="11">
        <f>IF(AND(B1951="",C1951="",D1951=""),"",IF(NOT(ISNUMBER(B1951)),"Needs a date",IF(D1951="","Needs the job",IF(AND(C1951&lt;&gt;"",C1951&lt;&gt;"All beds",COUNTIF(Beds!$B$6:$B$35,C1951)=0),"Not on Beds",""))))</f>
        <v/>
      </c>
      <c r="G1951" s="1">
        <f>IF(ISNUMBER(B1951),INT(B1951),0)</f>
        <v/>
      </c>
      <c r="H1951">
        <f>IF(AND(G1951&gt;0,D1951="Water",OR(C1951="",C1951="All beds")),G1951,0)</f>
        <v/>
      </c>
    </row>
    <row r="1952">
      <c r="A1952" s="1" t="n"/>
      <c r="B1952" s="17" t="n"/>
      <c r="C1952" s="18" t="n"/>
      <c r="D1952" s="19" t="n"/>
      <c r="E1952" s="21" t="n"/>
      <c r="F1952" s="11">
        <f>IF(AND(B1952="",C1952="",D1952=""),"",IF(NOT(ISNUMBER(B1952)),"Needs a date",IF(D1952="","Needs the job",IF(AND(C1952&lt;&gt;"",C1952&lt;&gt;"All beds",COUNTIF(Beds!$B$6:$B$35,C1952)=0),"Not on Beds",""))))</f>
        <v/>
      </c>
      <c r="G1952" s="1">
        <f>IF(ISNUMBER(B1952),INT(B1952),0)</f>
        <v/>
      </c>
      <c r="H1952">
        <f>IF(AND(G1952&gt;0,D1952="Water",OR(C1952="",C1952="All beds")),G1952,0)</f>
        <v/>
      </c>
    </row>
    <row r="1953">
      <c r="A1953" s="1" t="n"/>
      <c r="B1953" s="17" t="n"/>
      <c r="C1953" s="18" t="n"/>
      <c r="D1953" s="19" t="n"/>
      <c r="E1953" s="21" t="n"/>
      <c r="F1953" s="11">
        <f>IF(AND(B1953="",C1953="",D1953=""),"",IF(NOT(ISNUMBER(B1953)),"Needs a date",IF(D1953="","Needs the job",IF(AND(C1953&lt;&gt;"",C1953&lt;&gt;"All beds",COUNTIF(Beds!$B$6:$B$35,C1953)=0),"Not on Beds",""))))</f>
        <v/>
      </c>
      <c r="G1953" s="1">
        <f>IF(ISNUMBER(B1953),INT(B1953),0)</f>
        <v/>
      </c>
      <c r="H1953">
        <f>IF(AND(G1953&gt;0,D1953="Water",OR(C1953="",C1953="All beds")),G1953,0)</f>
        <v/>
      </c>
    </row>
    <row r="1954">
      <c r="A1954" s="1" t="n"/>
      <c r="B1954" s="17" t="n"/>
      <c r="C1954" s="18" t="n"/>
      <c r="D1954" s="19" t="n"/>
      <c r="E1954" s="21" t="n"/>
      <c r="F1954" s="11">
        <f>IF(AND(B1954="",C1954="",D1954=""),"",IF(NOT(ISNUMBER(B1954)),"Needs a date",IF(D1954="","Needs the job",IF(AND(C1954&lt;&gt;"",C1954&lt;&gt;"All beds",COUNTIF(Beds!$B$6:$B$35,C1954)=0),"Not on Beds",""))))</f>
        <v/>
      </c>
      <c r="G1954" s="1">
        <f>IF(ISNUMBER(B1954),INT(B1954),0)</f>
        <v/>
      </c>
      <c r="H1954">
        <f>IF(AND(G1954&gt;0,D1954="Water",OR(C1954="",C1954="All beds")),G1954,0)</f>
        <v/>
      </c>
    </row>
    <row r="1955">
      <c r="A1955" s="1" t="n"/>
      <c r="B1955" s="17" t="n"/>
      <c r="C1955" s="18" t="n"/>
      <c r="D1955" s="19" t="n"/>
      <c r="E1955" s="21" t="n"/>
      <c r="F1955" s="11">
        <f>IF(AND(B1955="",C1955="",D1955=""),"",IF(NOT(ISNUMBER(B1955)),"Needs a date",IF(D1955="","Needs the job",IF(AND(C1955&lt;&gt;"",C1955&lt;&gt;"All beds",COUNTIF(Beds!$B$6:$B$35,C1955)=0),"Not on Beds",""))))</f>
        <v/>
      </c>
      <c r="G1955" s="1">
        <f>IF(ISNUMBER(B1955),INT(B1955),0)</f>
        <v/>
      </c>
      <c r="H1955">
        <f>IF(AND(G1955&gt;0,D1955="Water",OR(C1955="",C1955="All beds")),G1955,0)</f>
        <v/>
      </c>
    </row>
    <row r="1956">
      <c r="A1956" s="1" t="n"/>
      <c r="B1956" s="17" t="n"/>
      <c r="C1956" s="18" t="n"/>
      <c r="D1956" s="19" t="n"/>
      <c r="E1956" s="21" t="n"/>
      <c r="F1956" s="11">
        <f>IF(AND(B1956="",C1956="",D1956=""),"",IF(NOT(ISNUMBER(B1956)),"Needs a date",IF(D1956="","Needs the job",IF(AND(C1956&lt;&gt;"",C1956&lt;&gt;"All beds",COUNTIF(Beds!$B$6:$B$35,C1956)=0),"Not on Beds",""))))</f>
        <v/>
      </c>
      <c r="G1956" s="1">
        <f>IF(ISNUMBER(B1956),INT(B1956),0)</f>
        <v/>
      </c>
      <c r="H1956">
        <f>IF(AND(G1956&gt;0,D1956="Water",OR(C1956="",C1956="All beds")),G1956,0)</f>
        <v/>
      </c>
    </row>
    <row r="1957">
      <c r="A1957" s="1" t="n"/>
      <c r="B1957" s="17" t="n"/>
      <c r="C1957" s="18" t="n"/>
      <c r="D1957" s="19" t="n"/>
      <c r="E1957" s="21" t="n"/>
      <c r="F1957" s="11">
        <f>IF(AND(B1957="",C1957="",D1957=""),"",IF(NOT(ISNUMBER(B1957)),"Needs a date",IF(D1957="","Needs the job",IF(AND(C1957&lt;&gt;"",C1957&lt;&gt;"All beds",COUNTIF(Beds!$B$6:$B$35,C1957)=0),"Not on Beds",""))))</f>
        <v/>
      </c>
      <c r="G1957" s="1">
        <f>IF(ISNUMBER(B1957),INT(B1957),0)</f>
        <v/>
      </c>
      <c r="H1957">
        <f>IF(AND(G1957&gt;0,D1957="Water",OR(C1957="",C1957="All beds")),G1957,0)</f>
        <v/>
      </c>
    </row>
    <row r="1958">
      <c r="A1958" s="1" t="n"/>
      <c r="B1958" s="17" t="n"/>
      <c r="C1958" s="18" t="n"/>
      <c r="D1958" s="19" t="n"/>
      <c r="E1958" s="21" t="n"/>
      <c r="F1958" s="11">
        <f>IF(AND(B1958="",C1958="",D1958=""),"",IF(NOT(ISNUMBER(B1958)),"Needs a date",IF(D1958="","Needs the job",IF(AND(C1958&lt;&gt;"",C1958&lt;&gt;"All beds",COUNTIF(Beds!$B$6:$B$35,C1958)=0),"Not on Beds",""))))</f>
        <v/>
      </c>
      <c r="G1958" s="1">
        <f>IF(ISNUMBER(B1958),INT(B1958),0)</f>
        <v/>
      </c>
      <c r="H1958">
        <f>IF(AND(G1958&gt;0,D1958="Water",OR(C1958="",C1958="All beds")),G1958,0)</f>
        <v/>
      </c>
    </row>
    <row r="1959">
      <c r="A1959" s="1" t="n"/>
      <c r="B1959" s="17" t="n"/>
      <c r="C1959" s="18" t="n"/>
      <c r="D1959" s="19" t="n"/>
      <c r="E1959" s="21" t="n"/>
      <c r="F1959" s="11">
        <f>IF(AND(B1959="",C1959="",D1959=""),"",IF(NOT(ISNUMBER(B1959)),"Needs a date",IF(D1959="","Needs the job",IF(AND(C1959&lt;&gt;"",C1959&lt;&gt;"All beds",COUNTIF(Beds!$B$6:$B$35,C1959)=0),"Not on Beds",""))))</f>
        <v/>
      </c>
      <c r="G1959" s="1">
        <f>IF(ISNUMBER(B1959),INT(B1959),0)</f>
        <v/>
      </c>
      <c r="H1959">
        <f>IF(AND(G1959&gt;0,D1959="Water",OR(C1959="",C1959="All beds")),G1959,0)</f>
        <v/>
      </c>
    </row>
    <row r="1960">
      <c r="A1960" s="1" t="n"/>
      <c r="B1960" s="17" t="n"/>
      <c r="C1960" s="18" t="n"/>
      <c r="D1960" s="19" t="n"/>
      <c r="E1960" s="21" t="n"/>
      <c r="F1960" s="11">
        <f>IF(AND(B1960="",C1960="",D1960=""),"",IF(NOT(ISNUMBER(B1960)),"Needs a date",IF(D1960="","Needs the job",IF(AND(C1960&lt;&gt;"",C1960&lt;&gt;"All beds",COUNTIF(Beds!$B$6:$B$35,C1960)=0),"Not on Beds",""))))</f>
        <v/>
      </c>
      <c r="G1960" s="1">
        <f>IF(ISNUMBER(B1960),INT(B1960),0)</f>
        <v/>
      </c>
      <c r="H1960">
        <f>IF(AND(G1960&gt;0,D1960="Water",OR(C1960="",C1960="All beds")),G1960,0)</f>
        <v/>
      </c>
    </row>
    <row r="1961">
      <c r="A1961" s="1" t="n"/>
      <c r="B1961" s="17" t="n"/>
      <c r="C1961" s="18" t="n"/>
      <c r="D1961" s="19" t="n"/>
      <c r="E1961" s="21" t="n"/>
      <c r="F1961" s="11">
        <f>IF(AND(B1961="",C1961="",D1961=""),"",IF(NOT(ISNUMBER(B1961)),"Needs a date",IF(D1961="","Needs the job",IF(AND(C1961&lt;&gt;"",C1961&lt;&gt;"All beds",COUNTIF(Beds!$B$6:$B$35,C1961)=0),"Not on Beds",""))))</f>
        <v/>
      </c>
      <c r="G1961" s="1">
        <f>IF(ISNUMBER(B1961),INT(B1961),0)</f>
        <v/>
      </c>
      <c r="H1961">
        <f>IF(AND(G1961&gt;0,D1961="Water",OR(C1961="",C1961="All beds")),G1961,0)</f>
        <v/>
      </c>
    </row>
    <row r="1962">
      <c r="A1962" s="1" t="n"/>
      <c r="B1962" s="17" t="n"/>
      <c r="C1962" s="18" t="n"/>
      <c r="D1962" s="19" t="n"/>
      <c r="E1962" s="21" t="n"/>
      <c r="F1962" s="11">
        <f>IF(AND(B1962="",C1962="",D1962=""),"",IF(NOT(ISNUMBER(B1962)),"Needs a date",IF(D1962="","Needs the job",IF(AND(C1962&lt;&gt;"",C1962&lt;&gt;"All beds",COUNTIF(Beds!$B$6:$B$35,C1962)=0),"Not on Beds",""))))</f>
        <v/>
      </c>
      <c r="G1962" s="1">
        <f>IF(ISNUMBER(B1962),INT(B1962),0)</f>
        <v/>
      </c>
      <c r="H1962">
        <f>IF(AND(G1962&gt;0,D1962="Water",OR(C1962="",C1962="All beds")),G1962,0)</f>
        <v/>
      </c>
    </row>
    <row r="1963">
      <c r="A1963" s="1" t="n"/>
      <c r="B1963" s="17" t="n"/>
      <c r="C1963" s="18" t="n"/>
      <c r="D1963" s="19" t="n"/>
      <c r="E1963" s="21" t="n"/>
      <c r="F1963" s="11">
        <f>IF(AND(B1963="",C1963="",D1963=""),"",IF(NOT(ISNUMBER(B1963)),"Needs a date",IF(D1963="","Needs the job",IF(AND(C1963&lt;&gt;"",C1963&lt;&gt;"All beds",COUNTIF(Beds!$B$6:$B$35,C1963)=0),"Not on Beds",""))))</f>
        <v/>
      </c>
      <c r="G1963" s="1">
        <f>IF(ISNUMBER(B1963),INT(B1963),0)</f>
        <v/>
      </c>
      <c r="H1963">
        <f>IF(AND(G1963&gt;0,D1963="Water",OR(C1963="",C1963="All beds")),G1963,0)</f>
        <v/>
      </c>
    </row>
    <row r="1964">
      <c r="A1964" s="1" t="n"/>
      <c r="B1964" s="17" t="n"/>
      <c r="C1964" s="18" t="n"/>
      <c r="D1964" s="19" t="n"/>
      <c r="E1964" s="21" t="n"/>
      <c r="F1964" s="11">
        <f>IF(AND(B1964="",C1964="",D1964=""),"",IF(NOT(ISNUMBER(B1964)),"Needs a date",IF(D1964="","Needs the job",IF(AND(C1964&lt;&gt;"",C1964&lt;&gt;"All beds",COUNTIF(Beds!$B$6:$B$35,C1964)=0),"Not on Beds",""))))</f>
        <v/>
      </c>
      <c r="G1964" s="1">
        <f>IF(ISNUMBER(B1964),INT(B1964),0)</f>
        <v/>
      </c>
      <c r="H1964">
        <f>IF(AND(G1964&gt;0,D1964="Water",OR(C1964="",C1964="All beds")),G1964,0)</f>
        <v/>
      </c>
    </row>
    <row r="1965">
      <c r="A1965" s="1" t="n"/>
      <c r="B1965" s="17" t="n"/>
      <c r="C1965" s="18" t="n"/>
      <c r="D1965" s="19" t="n"/>
      <c r="E1965" s="21" t="n"/>
      <c r="F1965" s="11">
        <f>IF(AND(B1965="",C1965="",D1965=""),"",IF(NOT(ISNUMBER(B1965)),"Needs a date",IF(D1965="","Needs the job",IF(AND(C1965&lt;&gt;"",C1965&lt;&gt;"All beds",COUNTIF(Beds!$B$6:$B$35,C1965)=0),"Not on Beds",""))))</f>
        <v/>
      </c>
      <c r="G1965" s="1">
        <f>IF(ISNUMBER(B1965),INT(B1965),0)</f>
        <v/>
      </c>
      <c r="H1965">
        <f>IF(AND(G1965&gt;0,D1965="Water",OR(C1965="",C1965="All beds")),G1965,0)</f>
        <v/>
      </c>
    </row>
    <row r="1966">
      <c r="A1966" s="1" t="n"/>
      <c r="B1966" s="17" t="n"/>
      <c r="C1966" s="18" t="n"/>
      <c r="D1966" s="19" t="n"/>
      <c r="E1966" s="21" t="n"/>
      <c r="F1966" s="11">
        <f>IF(AND(B1966="",C1966="",D1966=""),"",IF(NOT(ISNUMBER(B1966)),"Needs a date",IF(D1966="","Needs the job",IF(AND(C1966&lt;&gt;"",C1966&lt;&gt;"All beds",COUNTIF(Beds!$B$6:$B$35,C1966)=0),"Not on Beds",""))))</f>
        <v/>
      </c>
      <c r="G1966" s="1">
        <f>IF(ISNUMBER(B1966),INT(B1966),0)</f>
        <v/>
      </c>
      <c r="H1966">
        <f>IF(AND(G1966&gt;0,D1966="Water",OR(C1966="",C1966="All beds")),G1966,0)</f>
        <v/>
      </c>
    </row>
    <row r="1967">
      <c r="A1967" s="1" t="n"/>
      <c r="B1967" s="17" t="n"/>
      <c r="C1967" s="18" t="n"/>
      <c r="D1967" s="19" t="n"/>
      <c r="E1967" s="21" t="n"/>
      <c r="F1967" s="11">
        <f>IF(AND(B1967="",C1967="",D1967=""),"",IF(NOT(ISNUMBER(B1967)),"Needs a date",IF(D1967="","Needs the job",IF(AND(C1967&lt;&gt;"",C1967&lt;&gt;"All beds",COUNTIF(Beds!$B$6:$B$35,C1967)=0),"Not on Beds",""))))</f>
        <v/>
      </c>
      <c r="G1967" s="1">
        <f>IF(ISNUMBER(B1967),INT(B1967),0)</f>
        <v/>
      </c>
      <c r="H1967">
        <f>IF(AND(G1967&gt;0,D1967="Water",OR(C1967="",C1967="All beds")),G1967,0)</f>
        <v/>
      </c>
    </row>
    <row r="1968">
      <c r="A1968" s="1" t="n"/>
      <c r="B1968" s="17" t="n"/>
      <c r="C1968" s="18" t="n"/>
      <c r="D1968" s="19" t="n"/>
      <c r="E1968" s="21" t="n"/>
      <c r="F1968" s="11">
        <f>IF(AND(B1968="",C1968="",D1968=""),"",IF(NOT(ISNUMBER(B1968)),"Needs a date",IF(D1968="","Needs the job",IF(AND(C1968&lt;&gt;"",C1968&lt;&gt;"All beds",COUNTIF(Beds!$B$6:$B$35,C1968)=0),"Not on Beds",""))))</f>
        <v/>
      </c>
      <c r="G1968" s="1">
        <f>IF(ISNUMBER(B1968),INT(B1968),0)</f>
        <v/>
      </c>
      <c r="H1968">
        <f>IF(AND(G1968&gt;0,D1968="Water",OR(C1968="",C1968="All beds")),G1968,0)</f>
        <v/>
      </c>
    </row>
    <row r="1969">
      <c r="A1969" s="1" t="n"/>
      <c r="B1969" s="17" t="n"/>
      <c r="C1969" s="18" t="n"/>
      <c r="D1969" s="19" t="n"/>
      <c r="E1969" s="21" t="n"/>
      <c r="F1969" s="11">
        <f>IF(AND(B1969="",C1969="",D1969=""),"",IF(NOT(ISNUMBER(B1969)),"Needs a date",IF(D1969="","Needs the job",IF(AND(C1969&lt;&gt;"",C1969&lt;&gt;"All beds",COUNTIF(Beds!$B$6:$B$35,C1969)=0),"Not on Beds",""))))</f>
        <v/>
      </c>
      <c r="G1969" s="1">
        <f>IF(ISNUMBER(B1969),INT(B1969),0)</f>
        <v/>
      </c>
      <c r="H1969">
        <f>IF(AND(G1969&gt;0,D1969="Water",OR(C1969="",C1969="All beds")),G1969,0)</f>
        <v/>
      </c>
    </row>
    <row r="1970">
      <c r="A1970" s="1" t="n"/>
      <c r="B1970" s="17" t="n"/>
      <c r="C1970" s="18" t="n"/>
      <c r="D1970" s="19" t="n"/>
      <c r="E1970" s="21" t="n"/>
      <c r="F1970" s="11">
        <f>IF(AND(B1970="",C1970="",D1970=""),"",IF(NOT(ISNUMBER(B1970)),"Needs a date",IF(D1970="","Needs the job",IF(AND(C1970&lt;&gt;"",C1970&lt;&gt;"All beds",COUNTIF(Beds!$B$6:$B$35,C1970)=0),"Not on Beds",""))))</f>
        <v/>
      </c>
      <c r="G1970" s="1">
        <f>IF(ISNUMBER(B1970),INT(B1970),0)</f>
        <v/>
      </c>
      <c r="H1970">
        <f>IF(AND(G1970&gt;0,D1970="Water",OR(C1970="",C1970="All beds")),G1970,0)</f>
        <v/>
      </c>
    </row>
    <row r="1971">
      <c r="A1971" s="1" t="n"/>
      <c r="B1971" s="17" t="n"/>
      <c r="C1971" s="18" t="n"/>
      <c r="D1971" s="19" t="n"/>
      <c r="E1971" s="21" t="n"/>
      <c r="F1971" s="11">
        <f>IF(AND(B1971="",C1971="",D1971=""),"",IF(NOT(ISNUMBER(B1971)),"Needs a date",IF(D1971="","Needs the job",IF(AND(C1971&lt;&gt;"",C1971&lt;&gt;"All beds",COUNTIF(Beds!$B$6:$B$35,C1971)=0),"Not on Beds",""))))</f>
        <v/>
      </c>
      <c r="G1971" s="1">
        <f>IF(ISNUMBER(B1971),INT(B1971),0)</f>
        <v/>
      </c>
      <c r="H1971">
        <f>IF(AND(G1971&gt;0,D1971="Water",OR(C1971="",C1971="All beds")),G1971,0)</f>
        <v/>
      </c>
    </row>
    <row r="1972">
      <c r="A1972" s="1" t="n"/>
      <c r="B1972" s="17" t="n"/>
      <c r="C1972" s="18" t="n"/>
      <c r="D1972" s="19" t="n"/>
      <c r="E1972" s="21" t="n"/>
      <c r="F1972" s="11">
        <f>IF(AND(B1972="",C1972="",D1972=""),"",IF(NOT(ISNUMBER(B1972)),"Needs a date",IF(D1972="","Needs the job",IF(AND(C1972&lt;&gt;"",C1972&lt;&gt;"All beds",COUNTIF(Beds!$B$6:$B$35,C1972)=0),"Not on Beds",""))))</f>
        <v/>
      </c>
      <c r="G1972" s="1">
        <f>IF(ISNUMBER(B1972),INT(B1972),0)</f>
        <v/>
      </c>
      <c r="H1972">
        <f>IF(AND(G1972&gt;0,D1972="Water",OR(C1972="",C1972="All beds")),G1972,0)</f>
        <v/>
      </c>
    </row>
    <row r="1973">
      <c r="A1973" s="1" t="n"/>
      <c r="B1973" s="17" t="n"/>
      <c r="C1973" s="18" t="n"/>
      <c r="D1973" s="19" t="n"/>
      <c r="E1973" s="21" t="n"/>
      <c r="F1973" s="11">
        <f>IF(AND(B1973="",C1973="",D1973=""),"",IF(NOT(ISNUMBER(B1973)),"Needs a date",IF(D1973="","Needs the job",IF(AND(C1973&lt;&gt;"",C1973&lt;&gt;"All beds",COUNTIF(Beds!$B$6:$B$35,C1973)=0),"Not on Beds",""))))</f>
        <v/>
      </c>
      <c r="G1973" s="1">
        <f>IF(ISNUMBER(B1973),INT(B1973),0)</f>
        <v/>
      </c>
      <c r="H1973">
        <f>IF(AND(G1973&gt;0,D1973="Water",OR(C1973="",C1973="All beds")),G1973,0)</f>
        <v/>
      </c>
    </row>
    <row r="1974">
      <c r="A1974" s="1" t="n"/>
      <c r="B1974" s="17" t="n"/>
      <c r="C1974" s="18" t="n"/>
      <c r="D1974" s="19" t="n"/>
      <c r="E1974" s="21" t="n"/>
      <c r="F1974" s="11">
        <f>IF(AND(B1974="",C1974="",D1974=""),"",IF(NOT(ISNUMBER(B1974)),"Needs a date",IF(D1974="","Needs the job",IF(AND(C1974&lt;&gt;"",C1974&lt;&gt;"All beds",COUNTIF(Beds!$B$6:$B$35,C1974)=0),"Not on Beds",""))))</f>
        <v/>
      </c>
      <c r="G1974" s="1">
        <f>IF(ISNUMBER(B1974),INT(B1974),0)</f>
        <v/>
      </c>
      <c r="H1974">
        <f>IF(AND(G1974&gt;0,D1974="Water",OR(C1974="",C1974="All beds")),G1974,0)</f>
        <v/>
      </c>
    </row>
    <row r="1975">
      <c r="A1975" s="1" t="n"/>
      <c r="B1975" s="17" t="n"/>
      <c r="C1975" s="18" t="n"/>
      <c r="D1975" s="19" t="n"/>
      <c r="E1975" s="21" t="n"/>
      <c r="F1975" s="11">
        <f>IF(AND(B1975="",C1975="",D1975=""),"",IF(NOT(ISNUMBER(B1975)),"Needs a date",IF(D1975="","Needs the job",IF(AND(C1975&lt;&gt;"",C1975&lt;&gt;"All beds",COUNTIF(Beds!$B$6:$B$35,C1975)=0),"Not on Beds",""))))</f>
        <v/>
      </c>
      <c r="G1975" s="1">
        <f>IF(ISNUMBER(B1975),INT(B1975),0)</f>
        <v/>
      </c>
      <c r="H1975">
        <f>IF(AND(G1975&gt;0,D1975="Water",OR(C1975="",C1975="All beds")),G1975,0)</f>
        <v/>
      </c>
    </row>
    <row r="1976">
      <c r="A1976" s="1" t="n"/>
      <c r="B1976" s="17" t="n"/>
      <c r="C1976" s="18" t="n"/>
      <c r="D1976" s="19" t="n"/>
      <c r="E1976" s="21" t="n"/>
      <c r="F1976" s="11">
        <f>IF(AND(B1976="",C1976="",D1976=""),"",IF(NOT(ISNUMBER(B1976)),"Needs a date",IF(D1976="","Needs the job",IF(AND(C1976&lt;&gt;"",C1976&lt;&gt;"All beds",COUNTIF(Beds!$B$6:$B$35,C1976)=0),"Not on Beds",""))))</f>
        <v/>
      </c>
      <c r="G1976" s="1">
        <f>IF(ISNUMBER(B1976),INT(B1976),0)</f>
        <v/>
      </c>
      <c r="H1976">
        <f>IF(AND(G1976&gt;0,D1976="Water",OR(C1976="",C1976="All beds")),G1976,0)</f>
        <v/>
      </c>
    </row>
    <row r="1977">
      <c r="A1977" s="1" t="n"/>
      <c r="B1977" s="17" t="n"/>
      <c r="C1977" s="18" t="n"/>
      <c r="D1977" s="19" t="n"/>
      <c r="E1977" s="21" t="n"/>
      <c r="F1977" s="11">
        <f>IF(AND(B1977="",C1977="",D1977=""),"",IF(NOT(ISNUMBER(B1977)),"Needs a date",IF(D1977="","Needs the job",IF(AND(C1977&lt;&gt;"",C1977&lt;&gt;"All beds",COUNTIF(Beds!$B$6:$B$35,C1977)=0),"Not on Beds",""))))</f>
        <v/>
      </c>
      <c r="G1977" s="1">
        <f>IF(ISNUMBER(B1977),INT(B1977),0)</f>
        <v/>
      </c>
      <c r="H1977">
        <f>IF(AND(G1977&gt;0,D1977="Water",OR(C1977="",C1977="All beds")),G1977,0)</f>
        <v/>
      </c>
    </row>
    <row r="1978">
      <c r="A1978" s="1" t="n"/>
      <c r="B1978" s="17" t="n"/>
      <c r="C1978" s="18" t="n"/>
      <c r="D1978" s="19" t="n"/>
      <c r="E1978" s="21" t="n"/>
      <c r="F1978" s="11">
        <f>IF(AND(B1978="",C1978="",D1978=""),"",IF(NOT(ISNUMBER(B1978)),"Needs a date",IF(D1978="","Needs the job",IF(AND(C1978&lt;&gt;"",C1978&lt;&gt;"All beds",COUNTIF(Beds!$B$6:$B$35,C1978)=0),"Not on Beds",""))))</f>
        <v/>
      </c>
      <c r="G1978" s="1">
        <f>IF(ISNUMBER(B1978),INT(B1978),0)</f>
        <v/>
      </c>
      <c r="H1978">
        <f>IF(AND(G1978&gt;0,D1978="Water",OR(C1978="",C1978="All beds")),G1978,0)</f>
        <v/>
      </c>
    </row>
    <row r="1979">
      <c r="A1979" s="1" t="n"/>
      <c r="B1979" s="17" t="n"/>
      <c r="C1979" s="18" t="n"/>
      <c r="D1979" s="19" t="n"/>
      <c r="E1979" s="21" t="n"/>
      <c r="F1979" s="11">
        <f>IF(AND(B1979="",C1979="",D1979=""),"",IF(NOT(ISNUMBER(B1979)),"Needs a date",IF(D1979="","Needs the job",IF(AND(C1979&lt;&gt;"",C1979&lt;&gt;"All beds",COUNTIF(Beds!$B$6:$B$35,C1979)=0),"Not on Beds",""))))</f>
        <v/>
      </c>
      <c r="G1979" s="1">
        <f>IF(ISNUMBER(B1979),INT(B1979),0)</f>
        <v/>
      </c>
      <c r="H1979">
        <f>IF(AND(G1979&gt;0,D1979="Water",OR(C1979="",C1979="All beds")),G1979,0)</f>
        <v/>
      </c>
    </row>
    <row r="1980">
      <c r="A1980" s="1" t="n"/>
      <c r="B1980" s="17" t="n"/>
      <c r="C1980" s="18" t="n"/>
      <c r="D1980" s="19" t="n"/>
      <c r="E1980" s="21" t="n"/>
      <c r="F1980" s="11">
        <f>IF(AND(B1980="",C1980="",D1980=""),"",IF(NOT(ISNUMBER(B1980)),"Needs a date",IF(D1980="","Needs the job",IF(AND(C1980&lt;&gt;"",C1980&lt;&gt;"All beds",COUNTIF(Beds!$B$6:$B$35,C1980)=0),"Not on Beds",""))))</f>
        <v/>
      </c>
      <c r="G1980" s="1">
        <f>IF(ISNUMBER(B1980),INT(B1980),0)</f>
        <v/>
      </c>
      <c r="H1980">
        <f>IF(AND(G1980&gt;0,D1980="Water",OR(C1980="",C1980="All beds")),G1980,0)</f>
        <v/>
      </c>
    </row>
    <row r="1981">
      <c r="A1981" s="1" t="n"/>
      <c r="B1981" s="17" t="n"/>
      <c r="C1981" s="18" t="n"/>
      <c r="D1981" s="19" t="n"/>
      <c r="E1981" s="21" t="n"/>
      <c r="F1981" s="11">
        <f>IF(AND(B1981="",C1981="",D1981=""),"",IF(NOT(ISNUMBER(B1981)),"Needs a date",IF(D1981="","Needs the job",IF(AND(C1981&lt;&gt;"",C1981&lt;&gt;"All beds",COUNTIF(Beds!$B$6:$B$35,C1981)=0),"Not on Beds",""))))</f>
        <v/>
      </c>
      <c r="G1981" s="1">
        <f>IF(ISNUMBER(B1981),INT(B1981),0)</f>
        <v/>
      </c>
      <c r="H1981">
        <f>IF(AND(G1981&gt;0,D1981="Water",OR(C1981="",C1981="All beds")),G1981,0)</f>
        <v/>
      </c>
    </row>
    <row r="1982">
      <c r="A1982" s="1" t="n"/>
      <c r="B1982" s="17" t="n"/>
      <c r="C1982" s="18" t="n"/>
      <c r="D1982" s="19" t="n"/>
      <c r="E1982" s="21" t="n"/>
      <c r="F1982" s="11">
        <f>IF(AND(B1982="",C1982="",D1982=""),"",IF(NOT(ISNUMBER(B1982)),"Needs a date",IF(D1982="","Needs the job",IF(AND(C1982&lt;&gt;"",C1982&lt;&gt;"All beds",COUNTIF(Beds!$B$6:$B$35,C1982)=0),"Not on Beds",""))))</f>
        <v/>
      </c>
      <c r="G1982" s="1">
        <f>IF(ISNUMBER(B1982),INT(B1982),0)</f>
        <v/>
      </c>
      <c r="H1982">
        <f>IF(AND(G1982&gt;0,D1982="Water",OR(C1982="",C1982="All beds")),G1982,0)</f>
        <v/>
      </c>
    </row>
    <row r="1983">
      <c r="A1983" s="1" t="n"/>
      <c r="B1983" s="17" t="n"/>
      <c r="C1983" s="18" t="n"/>
      <c r="D1983" s="19" t="n"/>
      <c r="E1983" s="21" t="n"/>
      <c r="F1983" s="11">
        <f>IF(AND(B1983="",C1983="",D1983=""),"",IF(NOT(ISNUMBER(B1983)),"Needs a date",IF(D1983="","Needs the job",IF(AND(C1983&lt;&gt;"",C1983&lt;&gt;"All beds",COUNTIF(Beds!$B$6:$B$35,C1983)=0),"Not on Beds",""))))</f>
        <v/>
      </c>
      <c r="G1983" s="1">
        <f>IF(ISNUMBER(B1983),INT(B1983),0)</f>
        <v/>
      </c>
      <c r="H1983">
        <f>IF(AND(G1983&gt;0,D1983="Water",OR(C1983="",C1983="All beds")),G1983,0)</f>
        <v/>
      </c>
    </row>
    <row r="1984">
      <c r="A1984" s="1" t="n"/>
      <c r="B1984" s="17" t="n"/>
      <c r="C1984" s="18" t="n"/>
      <c r="D1984" s="19" t="n"/>
      <c r="E1984" s="21" t="n"/>
      <c r="F1984" s="11">
        <f>IF(AND(B1984="",C1984="",D1984=""),"",IF(NOT(ISNUMBER(B1984)),"Needs a date",IF(D1984="","Needs the job",IF(AND(C1984&lt;&gt;"",C1984&lt;&gt;"All beds",COUNTIF(Beds!$B$6:$B$35,C1984)=0),"Not on Beds",""))))</f>
        <v/>
      </c>
      <c r="G1984" s="1">
        <f>IF(ISNUMBER(B1984),INT(B1984),0)</f>
        <v/>
      </c>
      <c r="H1984">
        <f>IF(AND(G1984&gt;0,D1984="Water",OR(C1984="",C1984="All beds")),G1984,0)</f>
        <v/>
      </c>
    </row>
    <row r="1985">
      <c r="A1985" s="1" t="n"/>
      <c r="B1985" s="17" t="n"/>
      <c r="C1985" s="18" t="n"/>
      <c r="D1985" s="19" t="n"/>
      <c r="E1985" s="21" t="n"/>
      <c r="F1985" s="11">
        <f>IF(AND(B1985="",C1985="",D1985=""),"",IF(NOT(ISNUMBER(B1985)),"Needs a date",IF(D1985="","Needs the job",IF(AND(C1985&lt;&gt;"",C1985&lt;&gt;"All beds",COUNTIF(Beds!$B$6:$B$35,C1985)=0),"Not on Beds",""))))</f>
        <v/>
      </c>
      <c r="G1985" s="1">
        <f>IF(ISNUMBER(B1985),INT(B1985),0)</f>
        <v/>
      </c>
      <c r="H1985">
        <f>IF(AND(G1985&gt;0,D1985="Water",OR(C1985="",C1985="All beds")),G1985,0)</f>
        <v/>
      </c>
    </row>
    <row r="1986">
      <c r="A1986" s="1" t="n"/>
      <c r="B1986" s="17" t="n"/>
      <c r="C1986" s="18" t="n"/>
      <c r="D1986" s="19" t="n"/>
      <c r="E1986" s="21" t="n"/>
      <c r="F1986" s="11">
        <f>IF(AND(B1986="",C1986="",D1986=""),"",IF(NOT(ISNUMBER(B1986)),"Needs a date",IF(D1986="","Needs the job",IF(AND(C1986&lt;&gt;"",C1986&lt;&gt;"All beds",COUNTIF(Beds!$B$6:$B$35,C1986)=0),"Not on Beds",""))))</f>
        <v/>
      </c>
      <c r="G1986" s="1">
        <f>IF(ISNUMBER(B1986),INT(B1986),0)</f>
        <v/>
      </c>
      <c r="H1986">
        <f>IF(AND(G1986&gt;0,D1986="Water",OR(C1986="",C1986="All beds")),G1986,0)</f>
        <v/>
      </c>
    </row>
    <row r="1987">
      <c r="A1987" s="1" t="n"/>
      <c r="B1987" s="17" t="n"/>
      <c r="C1987" s="18" t="n"/>
      <c r="D1987" s="19" t="n"/>
      <c r="E1987" s="21" t="n"/>
      <c r="F1987" s="11">
        <f>IF(AND(B1987="",C1987="",D1987=""),"",IF(NOT(ISNUMBER(B1987)),"Needs a date",IF(D1987="","Needs the job",IF(AND(C1987&lt;&gt;"",C1987&lt;&gt;"All beds",COUNTIF(Beds!$B$6:$B$35,C1987)=0),"Not on Beds",""))))</f>
        <v/>
      </c>
      <c r="G1987" s="1">
        <f>IF(ISNUMBER(B1987),INT(B1987),0)</f>
        <v/>
      </c>
      <c r="H1987">
        <f>IF(AND(G1987&gt;0,D1987="Water",OR(C1987="",C1987="All beds")),G1987,0)</f>
        <v/>
      </c>
    </row>
    <row r="1988">
      <c r="A1988" s="1" t="n"/>
      <c r="B1988" s="17" t="n"/>
      <c r="C1988" s="18" t="n"/>
      <c r="D1988" s="19" t="n"/>
      <c r="E1988" s="21" t="n"/>
      <c r="F1988" s="11">
        <f>IF(AND(B1988="",C1988="",D1988=""),"",IF(NOT(ISNUMBER(B1988)),"Needs a date",IF(D1988="","Needs the job",IF(AND(C1988&lt;&gt;"",C1988&lt;&gt;"All beds",COUNTIF(Beds!$B$6:$B$35,C1988)=0),"Not on Beds",""))))</f>
        <v/>
      </c>
      <c r="G1988" s="1">
        <f>IF(ISNUMBER(B1988),INT(B1988),0)</f>
        <v/>
      </c>
      <c r="H1988">
        <f>IF(AND(G1988&gt;0,D1988="Water",OR(C1988="",C1988="All beds")),G1988,0)</f>
        <v/>
      </c>
    </row>
    <row r="1989">
      <c r="A1989" s="1" t="n"/>
      <c r="B1989" s="17" t="n"/>
      <c r="C1989" s="18" t="n"/>
      <c r="D1989" s="19" t="n"/>
      <c r="E1989" s="21" t="n"/>
      <c r="F1989" s="11">
        <f>IF(AND(B1989="",C1989="",D1989=""),"",IF(NOT(ISNUMBER(B1989)),"Needs a date",IF(D1989="","Needs the job",IF(AND(C1989&lt;&gt;"",C1989&lt;&gt;"All beds",COUNTIF(Beds!$B$6:$B$35,C1989)=0),"Not on Beds",""))))</f>
        <v/>
      </c>
      <c r="G1989" s="1">
        <f>IF(ISNUMBER(B1989),INT(B1989),0)</f>
        <v/>
      </c>
      <c r="H1989">
        <f>IF(AND(G1989&gt;0,D1989="Water",OR(C1989="",C1989="All beds")),G1989,0)</f>
        <v/>
      </c>
    </row>
    <row r="1990">
      <c r="A1990" s="1" t="n"/>
      <c r="B1990" s="17" t="n"/>
      <c r="C1990" s="18" t="n"/>
      <c r="D1990" s="19" t="n"/>
      <c r="E1990" s="21" t="n"/>
      <c r="F1990" s="11">
        <f>IF(AND(B1990="",C1990="",D1990=""),"",IF(NOT(ISNUMBER(B1990)),"Needs a date",IF(D1990="","Needs the job",IF(AND(C1990&lt;&gt;"",C1990&lt;&gt;"All beds",COUNTIF(Beds!$B$6:$B$35,C1990)=0),"Not on Beds",""))))</f>
        <v/>
      </c>
      <c r="G1990" s="1">
        <f>IF(ISNUMBER(B1990),INT(B1990),0)</f>
        <v/>
      </c>
      <c r="H1990">
        <f>IF(AND(G1990&gt;0,D1990="Water",OR(C1990="",C1990="All beds")),G1990,0)</f>
        <v/>
      </c>
    </row>
    <row r="1991">
      <c r="A1991" s="1" t="n"/>
      <c r="B1991" s="17" t="n"/>
      <c r="C1991" s="18" t="n"/>
      <c r="D1991" s="19" t="n"/>
      <c r="E1991" s="21" t="n"/>
      <c r="F1991" s="11">
        <f>IF(AND(B1991="",C1991="",D1991=""),"",IF(NOT(ISNUMBER(B1991)),"Needs a date",IF(D1991="","Needs the job",IF(AND(C1991&lt;&gt;"",C1991&lt;&gt;"All beds",COUNTIF(Beds!$B$6:$B$35,C1991)=0),"Not on Beds",""))))</f>
        <v/>
      </c>
      <c r="G1991" s="1">
        <f>IF(ISNUMBER(B1991),INT(B1991),0)</f>
        <v/>
      </c>
      <c r="H1991">
        <f>IF(AND(G1991&gt;0,D1991="Water",OR(C1991="",C1991="All beds")),G1991,0)</f>
        <v/>
      </c>
    </row>
    <row r="1992">
      <c r="A1992" s="1" t="n"/>
      <c r="B1992" s="17" t="n"/>
      <c r="C1992" s="18" t="n"/>
      <c r="D1992" s="19" t="n"/>
      <c r="E1992" s="21" t="n"/>
      <c r="F1992" s="11">
        <f>IF(AND(B1992="",C1992="",D1992=""),"",IF(NOT(ISNUMBER(B1992)),"Needs a date",IF(D1992="","Needs the job",IF(AND(C1992&lt;&gt;"",C1992&lt;&gt;"All beds",COUNTIF(Beds!$B$6:$B$35,C1992)=0),"Not on Beds",""))))</f>
        <v/>
      </c>
      <c r="G1992" s="1">
        <f>IF(ISNUMBER(B1992),INT(B1992),0)</f>
        <v/>
      </c>
      <c r="H1992">
        <f>IF(AND(G1992&gt;0,D1992="Water",OR(C1992="",C1992="All beds")),G1992,0)</f>
        <v/>
      </c>
    </row>
    <row r="1993">
      <c r="A1993" s="1" t="n"/>
      <c r="B1993" s="17" t="n"/>
      <c r="C1993" s="18" t="n"/>
      <c r="D1993" s="19" t="n"/>
      <c r="E1993" s="21" t="n"/>
      <c r="F1993" s="11">
        <f>IF(AND(B1993="",C1993="",D1993=""),"",IF(NOT(ISNUMBER(B1993)),"Needs a date",IF(D1993="","Needs the job",IF(AND(C1993&lt;&gt;"",C1993&lt;&gt;"All beds",COUNTIF(Beds!$B$6:$B$35,C1993)=0),"Not on Beds",""))))</f>
        <v/>
      </c>
      <c r="G1993" s="1">
        <f>IF(ISNUMBER(B1993),INT(B1993),0)</f>
        <v/>
      </c>
      <c r="H1993">
        <f>IF(AND(G1993&gt;0,D1993="Water",OR(C1993="",C1993="All beds")),G1993,0)</f>
        <v/>
      </c>
    </row>
    <row r="1994">
      <c r="A1994" s="1" t="n"/>
      <c r="B1994" s="17" t="n"/>
      <c r="C1994" s="18" t="n"/>
      <c r="D1994" s="19" t="n"/>
      <c r="E1994" s="21" t="n"/>
      <c r="F1994" s="11">
        <f>IF(AND(B1994="",C1994="",D1994=""),"",IF(NOT(ISNUMBER(B1994)),"Needs a date",IF(D1994="","Needs the job",IF(AND(C1994&lt;&gt;"",C1994&lt;&gt;"All beds",COUNTIF(Beds!$B$6:$B$35,C1994)=0),"Not on Beds",""))))</f>
        <v/>
      </c>
      <c r="G1994" s="1">
        <f>IF(ISNUMBER(B1994),INT(B1994),0)</f>
        <v/>
      </c>
      <c r="H1994">
        <f>IF(AND(G1994&gt;0,D1994="Water",OR(C1994="",C1994="All beds")),G1994,0)</f>
        <v/>
      </c>
    </row>
    <row r="1995">
      <c r="A1995" s="1" t="n"/>
      <c r="B1995" s="17" t="n"/>
      <c r="C1995" s="18" t="n"/>
      <c r="D1995" s="19" t="n"/>
      <c r="E1995" s="21" t="n"/>
      <c r="F1995" s="11">
        <f>IF(AND(B1995="",C1995="",D1995=""),"",IF(NOT(ISNUMBER(B1995)),"Needs a date",IF(D1995="","Needs the job",IF(AND(C1995&lt;&gt;"",C1995&lt;&gt;"All beds",COUNTIF(Beds!$B$6:$B$35,C1995)=0),"Not on Beds",""))))</f>
        <v/>
      </c>
      <c r="G1995" s="1">
        <f>IF(ISNUMBER(B1995),INT(B1995),0)</f>
        <v/>
      </c>
      <c r="H1995">
        <f>IF(AND(G1995&gt;0,D1995="Water",OR(C1995="",C1995="All beds")),G1995,0)</f>
        <v/>
      </c>
    </row>
    <row r="1996">
      <c r="A1996" s="1" t="n"/>
      <c r="B1996" s="17" t="n"/>
      <c r="C1996" s="18" t="n"/>
      <c r="D1996" s="19" t="n"/>
      <c r="E1996" s="21" t="n"/>
      <c r="F1996" s="11">
        <f>IF(AND(B1996="",C1996="",D1996=""),"",IF(NOT(ISNUMBER(B1996)),"Needs a date",IF(D1996="","Needs the job",IF(AND(C1996&lt;&gt;"",C1996&lt;&gt;"All beds",COUNTIF(Beds!$B$6:$B$35,C1996)=0),"Not on Beds",""))))</f>
        <v/>
      </c>
      <c r="G1996" s="1">
        <f>IF(ISNUMBER(B1996),INT(B1996),0)</f>
        <v/>
      </c>
      <c r="H1996">
        <f>IF(AND(G1996&gt;0,D1996="Water",OR(C1996="",C1996="All beds")),G1996,0)</f>
        <v/>
      </c>
    </row>
    <row r="1997">
      <c r="A1997" s="1" t="n"/>
      <c r="B1997" s="17" t="n"/>
      <c r="C1997" s="18" t="n"/>
      <c r="D1997" s="19" t="n"/>
      <c r="E1997" s="21" t="n"/>
      <c r="F1997" s="11">
        <f>IF(AND(B1997="",C1997="",D1997=""),"",IF(NOT(ISNUMBER(B1997)),"Needs a date",IF(D1997="","Needs the job",IF(AND(C1997&lt;&gt;"",C1997&lt;&gt;"All beds",COUNTIF(Beds!$B$6:$B$35,C1997)=0),"Not on Beds",""))))</f>
        <v/>
      </c>
      <c r="G1997" s="1">
        <f>IF(ISNUMBER(B1997),INT(B1997),0)</f>
        <v/>
      </c>
      <c r="H1997">
        <f>IF(AND(G1997&gt;0,D1997="Water",OR(C1997="",C1997="All beds")),G1997,0)</f>
        <v/>
      </c>
    </row>
    <row r="1998">
      <c r="A1998" s="1" t="n"/>
      <c r="B1998" s="17" t="n"/>
      <c r="C1998" s="18" t="n"/>
      <c r="D1998" s="19" t="n"/>
      <c r="E1998" s="21" t="n"/>
      <c r="F1998" s="11">
        <f>IF(AND(B1998="",C1998="",D1998=""),"",IF(NOT(ISNUMBER(B1998)),"Needs a date",IF(D1998="","Needs the job",IF(AND(C1998&lt;&gt;"",C1998&lt;&gt;"All beds",COUNTIF(Beds!$B$6:$B$35,C1998)=0),"Not on Beds",""))))</f>
        <v/>
      </c>
      <c r="G1998" s="1">
        <f>IF(ISNUMBER(B1998),INT(B1998),0)</f>
        <v/>
      </c>
      <c r="H1998">
        <f>IF(AND(G1998&gt;0,D1998="Water",OR(C1998="",C1998="All beds")),G1998,0)</f>
        <v/>
      </c>
    </row>
    <row r="1999">
      <c r="A1999" s="1" t="n"/>
      <c r="B1999" s="17" t="n"/>
      <c r="C1999" s="18" t="n"/>
      <c r="D1999" s="19" t="n"/>
      <c r="E1999" s="21" t="n"/>
      <c r="F1999" s="11">
        <f>IF(AND(B1999="",C1999="",D1999=""),"",IF(NOT(ISNUMBER(B1999)),"Needs a date",IF(D1999="","Needs the job",IF(AND(C1999&lt;&gt;"",C1999&lt;&gt;"All beds",COUNTIF(Beds!$B$6:$B$35,C1999)=0),"Not on Beds",""))))</f>
        <v/>
      </c>
      <c r="G1999" s="1">
        <f>IF(ISNUMBER(B1999),INT(B1999),0)</f>
        <v/>
      </c>
      <c r="H1999">
        <f>IF(AND(G1999&gt;0,D1999="Water",OR(C1999="",C1999="All beds")),G1999,0)</f>
        <v/>
      </c>
    </row>
    <row r="2000">
      <c r="A2000" s="1" t="n"/>
      <c r="B2000" s="17" t="n"/>
      <c r="C2000" s="18" t="n"/>
      <c r="D2000" s="19" t="n"/>
      <c r="E2000" s="21" t="n"/>
      <c r="F2000" s="11">
        <f>IF(AND(B2000="",C2000="",D2000=""),"",IF(NOT(ISNUMBER(B2000)),"Needs a date",IF(D2000="","Needs the job",IF(AND(C2000&lt;&gt;"",C2000&lt;&gt;"All beds",COUNTIF(Beds!$B$6:$B$35,C2000)=0),"Not on Beds",""))))</f>
        <v/>
      </c>
      <c r="G2000" s="1">
        <f>IF(ISNUMBER(B2000),INT(B2000),0)</f>
        <v/>
      </c>
      <c r="H2000">
        <f>IF(AND(G2000&gt;0,D2000="Water",OR(C2000="",C2000="All beds")),G2000,0)</f>
        <v/>
      </c>
    </row>
    <row r="2001">
      <c r="A2001" s="1" t="n"/>
      <c r="B2001" s="17" t="n"/>
      <c r="C2001" s="18" t="n"/>
      <c r="D2001" s="19" t="n"/>
      <c r="E2001" s="21" t="n"/>
      <c r="F2001" s="11">
        <f>IF(AND(B2001="",C2001="",D2001=""),"",IF(NOT(ISNUMBER(B2001)),"Needs a date",IF(D2001="","Needs the job",IF(AND(C2001&lt;&gt;"",C2001&lt;&gt;"All beds",COUNTIF(Beds!$B$6:$B$35,C2001)=0),"Not on Beds",""))))</f>
        <v/>
      </c>
      <c r="G2001" s="1">
        <f>IF(ISNUMBER(B2001),INT(B2001),0)</f>
        <v/>
      </c>
      <c r="H2001">
        <f>IF(AND(G2001&gt;0,D2001="Water",OR(C2001="",C2001="All beds")),G2001,0)</f>
        <v/>
      </c>
    </row>
    <row r="2002">
      <c r="A2002" s="1" t="n"/>
      <c r="B2002" s="17" t="n"/>
      <c r="C2002" s="18" t="n"/>
      <c r="D2002" s="19" t="n"/>
      <c r="E2002" s="21" t="n"/>
      <c r="F2002" s="11">
        <f>IF(AND(B2002="",C2002="",D2002=""),"",IF(NOT(ISNUMBER(B2002)),"Needs a date",IF(D2002="","Needs the job",IF(AND(C2002&lt;&gt;"",C2002&lt;&gt;"All beds",COUNTIF(Beds!$B$6:$B$35,C2002)=0),"Not on Beds",""))))</f>
        <v/>
      </c>
      <c r="G2002" s="1">
        <f>IF(ISNUMBER(B2002),INT(B2002),0)</f>
        <v/>
      </c>
      <c r="H2002">
        <f>IF(AND(G2002&gt;0,D2002="Water",OR(C2002="",C2002="All beds")),G2002,0)</f>
        <v/>
      </c>
    </row>
    <row r="2003">
      <c r="A2003" s="1" t="n"/>
      <c r="B2003" s="17" t="n"/>
      <c r="C2003" s="18" t="n"/>
      <c r="D2003" s="19" t="n"/>
      <c r="E2003" s="21" t="n"/>
      <c r="F2003" s="11">
        <f>IF(AND(B2003="",C2003="",D2003=""),"",IF(NOT(ISNUMBER(B2003)),"Needs a date",IF(D2003="","Needs the job",IF(AND(C2003&lt;&gt;"",C2003&lt;&gt;"All beds",COUNTIF(Beds!$B$6:$B$35,C2003)=0),"Not on Beds",""))))</f>
        <v/>
      </c>
      <c r="G2003" s="1">
        <f>IF(ISNUMBER(B2003),INT(B2003),0)</f>
        <v/>
      </c>
      <c r="H2003">
        <f>IF(AND(G2003&gt;0,D2003="Water",OR(C2003="",C2003="All beds")),G2003,0)</f>
        <v/>
      </c>
    </row>
    <row r="2004">
      <c r="A2004" s="1" t="n"/>
      <c r="B2004" s="17" t="n"/>
      <c r="C2004" s="18" t="n"/>
      <c r="D2004" s="19" t="n"/>
      <c r="E2004" s="21" t="n"/>
      <c r="F2004" s="11">
        <f>IF(AND(B2004="",C2004="",D2004=""),"",IF(NOT(ISNUMBER(B2004)),"Needs a date",IF(D2004="","Needs the job",IF(AND(C2004&lt;&gt;"",C2004&lt;&gt;"All beds",COUNTIF(Beds!$B$6:$B$35,C2004)=0),"Not on Beds",""))))</f>
        <v/>
      </c>
      <c r="G2004" s="1">
        <f>IF(ISNUMBER(B2004),INT(B2004),0)</f>
        <v/>
      </c>
      <c r="H2004">
        <f>IF(AND(G2004&gt;0,D2004="Water",OR(C2004="",C2004="All beds")),G2004,0)</f>
        <v/>
      </c>
    </row>
    <row r="2005">
      <c r="A2005" s="1" t="n"/>
      <c r="B2005" s="17" t="n"/>
      <c r="C2005" s="18" t="n"/>
      <c r="D2005" s="19" t="n"/>
      <c r="E2005" s="21" t="n"/>
      <c r="F2005" s="11">
        <f>IF(AND(B2005="",C2005="",D2005=""),"",IF(NOT(ISNUMBER(B2005)),"Needs a date",IF(D2005="","Needs the job",IF(AND(C2005&lt;&gt;"",C2005&lt;&gt;"All beds",COUNTIF(Beds!$B$6:$B$35,C2005)=0),"Not on Beds",""))))</f>
        <v/>
      </c>
      <c r="G2005" s="1">
        <f>IF(ISNUMBER(B2005),INT(B2005),0)</f>
        <v/>
      </c>
      <c r="H2005">
        <f>IF(AND(G2005&gt;0,D2005="Water",OR(C2005="",C2005="All beds")),G2005,0)</f>
        <v/>
      </c>
    </row>
    <row r="2006">
      <c r="A2006" s="1" t="n"/>
      <c r="B2006" s="1" t="n"/>
      <c r="C2006" s="1" t="n"/>
      <c r="D2006" s="1" t="n"/>
      <c r="E2006" s="1" t="n"/>
      <c r="F2006" s="1" t="n"/>
      <c r="G2006" s="1" t="n"/>
    </row>
  </sheetData>
  <conditionalFormatting sqref="F6:F2005">
    <cfRule type="expression" priority="1" dxfId="1">
      <formula>F6&lt;&gt;""</formula>
    </cfRule>
  </conditionalFormatting>
  <dataValidations count="2">
    <dataValidation sqref="C6:C2005" showDropDown="0" showInputMessage="0" showErrorMessage="0" allowBlank="1" type="list">
      <formula1>=Beds!$B$6:$B$35</formula1>
    </dataValidation>
    <dataValidation sqref="D6:D2005" showDropDown="0" showInputMessage="0" showErrorMessage="0" allowBlank="1" type="list">
      <formula1>"Water,Feed,Weed,Mulch,Prune,Pest check,Other"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8" customWidth="1" min="4" max="4"/>
    <col width="10" customWidth="1" min="5" max="5"/>
    <col width="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6" customWidth="1" min="13" max="13"/>
    <col width="9" customWidth="1" min="14" max="14"/>
    <col width="10" customWidth="1" min="15" max="15"/>
    <col width="11" customWidth="1" min="16" max="16"/>
    <col width="20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2" customHeight="1">
      <c r="A2" s="1" t="n"/>
      <c r="B2" s="2" t="inlineStr">
        <is>
          <t>Crops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Each crop once, with the months you plan from your seed packets and your own experience.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30" customHeight="1">
      <c r="A5" s="1" t="n"/>
      <c r="B5" s="8" t="inlineStr">
        <is>
          <t>Crop</t>
        </is>
      </c>
      <c r="C5" s="8" t="inlineStr">
        <is>
          <t>Family</t>
        </is>
      </c>
      <c r="D5" s="8" t="inlineStr">
        <is>
          <t>Unit</t>
        </is>
      </c>
      <c r="E5" s="8" t="inlineStr">
        <is>
          <t>Shop price</t>
        </is>
      </c>
      <c r="F5" s="8" t="inlineStr">
        <is>
          <t>Days to harvest</t>
        </is>
      </c>
      <c r="G5" s="8" t="inlineStr">
        <is>
          <t>Sow from</t>
        </is>
      </c>
      <c r="H5" s="8" t="inlineStr">
        <is>
          <t>Sow to</t>
        </is>
      </c>
      <c r="I5" s="8" t="inlineStr">
        <is>
          <t>Plant out from</t>
        </is>
      </c>
      <c r="J5" s="8" t="inlineStr">
        <is>
          <t>Plant out to</t>
        </is>
      </c>
      <c r="K5" s="8" t="inlineStr">
        <is>
          <t>Harvest from</t>
        </is>
      </c>
      <c r="L5" s="8" t="inlineStr">
        <is>
          <t>Harvest to</t>
        </is>
      </c>
      <c r="M5" s="8" t="inlineStr">
        <is>
          <t>Seeds left</t>
        </is>
      </c>
      <c r="N5" s="8" t="inlineStr">
        <is>
          <t>Planted</t>
        </is>
      </c>
      <c r="O5" s="8" t="inlineStr">
        <is>
          <t>Picked</t>
        </is>
      </c>
      <c r="P5" s="8" t="inlineStr">
        <is>
          <t>Value</t>
        </is>
      </c>
      <c r="Q5" s="8" t="inlineStr">
        <is>
          <t>Check</t>
        </is>
      </c>
      <c r="R5" s="1" t="n"/>
    </row>
    <row r="6">
      <c r="A6" s="1" t="n"/>
      <c r="B6" s="18" t="inlineStr">
        <is>
          <t>Tomatoes</t>
        </is>
      </c>
      <c r="C6" s="19" t="inlineStr">
        <is>
          <t>Nightshades</t>
        </is>
      </c>
      <c r="D6" s="19" t="inlineStr">
        <is>
          <t>kg</t>
        </is>
      </c>
      <c r="E6" s="24" t="n">
        <v>5.5</v>
      </c>
      <c r="F6" s="20" t="n">
        <v>75</v>
      </c>
      <c r="G6" s="19" t="inlineStr">
        <is>
          <t>Mar</t>
        </is>
      </c>
      <c r="H6" s="19" t="inlineStr">
        <is>
          <t>Apr</t>
        </is>
      </c>
      <c r="I6" s="19" t="inlineStr">
        <is>
          <t>May</t>
        </is>
      </c>
      <c r="J6" s="19" t="inlineStr">
        <is>
          <t>Jun</t>
        </is>
      </c>
      <c r="K6" s="19" t="inlineStr">
        <is>
          <t>Jul</t>
        </is>
      </c>
      <c r="L6" s="19" t="inlineStr">
        <is>
          <t>Oct</t>
        </is>
      </c>
      <c r="M6" s="21" t="inlineStr">
        <is>
          <t>Half a packet</t>
        </is>
      </c>
      <c r="N6" s="14">
        <f>IF(B6="","",SUMIFS(Plantings!$S$6:$S$505,Plantings!$C$6:$C$505,B6,Plantings!$N$6:$N$505,Settings!$C$5))</f>
        <v/>
      </c>
      <c r="O6" s="10">
        <f>IF(B6="","",SUMIFS(Harvest!$E$6:$E$1505,Harvest!$C$6:$C$1505,B6,Harvest!$J$6:$J$1505,Settings!$C$5))</f>
        <v/>
      </c>
      <c r="P6" s="25">
        <f>IF(B6="","",SUMIFS(Harvest!$H$6:$H$1505,Harvest!$C$6:$C$1505,B6,Harvest!$J$6:$J$1505,Settings!$C$5))</f>
        <v/>
      </c>
      <c r="Q6" s="11">
        <f>IF(B6="","",IF(COUNTIF(Crops!$B$6:$B$65,B6)&gt;1,"Listed twice",IF(AND(E6&lt;&gt;"",NOT(ISNUMBER(E6))),"Price not a number",IF(AND(F6&lt;&gt;"",NOT(ISNUMBER(F6))),"Days not a number",IF(OR((G6="")&lt;&gt;(H6=""),(I6="")&lt;&gt;(J6=""),(K6="")&lt;&gt;(L6="")),"A month is missing","")))))</f>
        <v/>
      </c>
      <c r="R6" s="1">
        <f>IFERROR(MATCH(G6,Settings!$H$1:$H$12,0),0)</f>
        <v/>
      </c>
      <c r="S6">
        <f>IFERROR(MATCH(H6,Settings!$H$1:$H$12,0),0)</f>
        <v/>
      </c>
      <c r="T6">
        <f>IFERROR(MATCH(I6,Settings!$H$1:$H$12,0),0)</f>
        <v/>
      </c>
      <c r="U6">
        <f>IFERROR(MATCH(J6,Settings!$H$1:$H$12,0),0)</f>
        <v/>
      </c>
      <c r="V6">
        <f>IFERROR(MATCH(K6,Settings!$H$1:$H$12,0),0)</f>
        <v/>
      </c>
      <c r="W6">
        <f>IFERROR(MATCH(L6,Settings!$H$1:$H$12,0),0)</f>
        <v/>
      </c>
      <c r="X6">
        <f>IF(AND(B6&lt;&gt;"",IF(OR(R6=0,S6=0),0,IF(R6&lt;=S6,IF(AND(MONTH(TODAY())&gt;=R6,MONTH(TODAY())&lt;=S6),1,0),IF(OR(MONTH(TODAY())&gt;=R6,MONTH(TODAY())&lt;=S6),1,0)))=1),ROW(),"")</f>
        <v/>
      </c>
      <c r="Y6">
        <f>IF(AND(B6&lt;&gt;"",IF(OR(T6=0,U6=0),0,IF(T6&lt;=U6,IF(AND(MONTH(TODAY())&gt;=T6,MONTH(TODAY())&lt;=U6),1,0),IF(OR(MONTH(TODAY())&gt;=T6,MONTH(TODAY())&lt;=U6),1,0)))=1),ROW(),"")</f>
        <v/>
      </c>
      <c r="Z6">
        <f>IF(AND(B6&lt;&gt;"",IF(OR(V6=0,W6=0),0,IF(V6&lt;=W6,IF(AND(MONTH(TODAY())&gt;=V6,MONTH(TODAY())&lt;=W6),1,0),IF(OR(MONTH(TODAY())&gt;=V6,MONTH(TODAY())&lt;=W6),1,0)))=1),ROW(),"")</f>
        <v/>
      </c>
      <c r="AA6">
        <f>IF(OR(B6="",N(O6)&lt;=0),"",ROUND(N(P6)*100,0)*1000+1000-ROW())</f>
        <v/>
      </c>
    </row>
    <row r="7">
      <c r="A7" s="1" t="n"/>
      <c r="B7" s="18" t="inlineStr">
        <is>
          <t>Peppers</t>
        </is>
      </c>
      <c r="C7" s="19" t="inlineStr">
        <is>
          <t>Nightshades</t>
        </is>
      </c>
      <c r="D7" s="19" t="inlineStr">
        <is>
          <t>piece</t>
        </is>
      </c>
      <c r="E7" s="24" t="n">
        <v>1.2</v>
      </c>
      <c r="F7" s="20" t="n">
        <v>80</v>
      </c>
      <c r="G7" s="19" t="inlineStr">
        <is>
          <t>Feb</t>
        </is>
      </c>
      <c r="H7" s="19" t="inlineStr">
        <is>
          <t>Mar</t>
        </is>
      </c>
      <c r="I7" s="19" t="inlineStr">
        <is>
          <t>May</t>
        </is>
      </c>
      <c r="J7" s="19" t="inlineStr">
        <is>
          <t>Jun</t>
        </is>
      </c>
      <c r="K7" s="19" t="inlineStr">
        <is>
          <t>Aug</t>
        </is>
      </c>
      <c r="L7" s="19" t="inlineStr">
        <is>
          <t>Oct</t>
        </is>
      </c>
      <c r="M7" s="21" t="inlineStr">
        <is>
          <t>1 packet</t>
        </is>
      </c>
      <c r="N7" s="14">
        <f>IF(B7="","",SUMIFS(Plantings!$S$6:$S$505,Plantings!$C$6:$C$505,B7,Plantings!$N$6:$N$505,Settings!$C$5))</f>
        <v/>
      </c>
      <c r="O7" s="10">
        <f>IF(B7="","",SUMIFS(Harvest!$E$6:$E$1505,Harvest!$C$6:$C$1505,B7,Harvest!$J$6:$J$1505,Settings!$C$5))</f>
        <v/>
      </c>
      <c r="P7" s="25">
        <f>IF(B7="","",SUMIFS(Harvest!$H$6:$H$1505,Harvest!$C$6:$C$1505,B7,Harvest!$J$6:$J$1505,Settings!$C$5))</f>
        <v/>
      </c>
      <c r="Q7" s="11">
        <f>IF(B7="","",IF(COUNTIF(Crops!$B$6:$B$65,B7)&gt;1,"Listed twice",IF(AND(E7&lt;&gt;"",NOT(ISNUMBER(E7))),"Price not a number",IF(AND(F7&lt;&gt;"",NOT(ISNUMBER(F7))),"Days not a number",IF(OR((G7="")&lt;&gt;(H7=""),(I7="")&lt;&gt;(J7=""),(K7="")&lt;&gt;(L7="")),"A month is missing","")))))</f>
        <v/>
      </c>
      <c r="R7" s="1">
        <f>IFERROR(MATCH(G7,Settings!$H$1:$H$12,0),0)</f>
        <v/>
      </c>
      <c r="S7">
        <f>IFERROR(MATCH(H7,Settings!$H$1:$H$12,0),0)</f>
        <v/>
      </c>
      <c r="T7">
        <f>IFERROR(MATCH(I7,Settings!$H$1:$H$12,0),0)</f>
        <v/>
      </c>
      <c r="U7">
        <f>IFERROR(MATCH(J7,Settings!$H$1:$H$12,0),0)</f>
        <v/>
      </c>
      <c r="V7">
        <f>IFERROR(MATCH(K7,Settings!$H$1:$H$12,0),0)</f>
        <v/>
      </c>
      <c r="W7">
        <f>IFERROR(MATCH(L7,Settings!$H$1:$H$12,0),0)</f>
        <v/>
      </c>
      <c r="X7">
        <f>IF(AND(B7&lt;&gt;"",IF(OR(R7=0,S7=0),0,IF(R7&lt;=S7,IF(AND(MONTH(TODAY())&gt;=R7,MONTH(TODAY())&lt;=S7),1,0),IF(OR(MONTH(TODAY())&gt;=R7,MONTH(TODAY())&lt;=S7),1,0)))=1),ROW(),"")</f>
        <v/>
      </c>
      <c r="Y7">
        <f>IF(AND(B7&lt;&gt;"",IF(OR(T7=0,U7=0),0,IF(T7&lt;=U7,IF(AND(MONTH(TODAY())&gt;=T7,MONTH(TODAY())&lt;=U7),1,0),IF(OR(MONTH(TODAY())&gt;=T7,MONTH(TODAY())&lt;=U7),1,0)))=1),ROW(),"")</f>
        <v/>
      </c>
      <c r="Z7">
        <f>IF(AND(B7&lt;&gt;"",IF(OR(V7=0,W7=0),0,IF(V7&lt;=W7,IF(AND(MONTH(TODAY())&gt;=V7,MONTH(TODAY())&lt;=W7),1,0),IF(OR(MONTH(TODAY())&gt;=V7,MONTH(TODAY())&lt;=W7),1,0)))=1),ROW(),"")</f>
        <v/>
      </c>
      <c r="AA7">
        <f>IF(OR(B7="",N(O7)&lt;=0),"",ROUND(N(P7)*100,0)*1000+1000-ROW())</f>
        <v/>
      </c>
    </row>
    <row r="8">
      <c r="A8" s="1" t="n"/>
      <c r="B8" s="18" t="inlineStr">
        <is>
          <t>Potatoes</t>
        </is>
      </c>
      <c r="C8" s="19" t="inlineStr">
        <is>
          <t>Nightshades</t>
        </is>
      </c>
      <c r="D8" s="19" t="inlineStr">
        <is>
          <t>kg</t>
        </is>
      </c>
      <c r="E8" s="24" t="n">
        <v>1.8</v>
      </c>
      <c r="F8" s="20" t="n">
        <v>100</v>
      </c>
      <c r="G8" s="19" t="inlineStr">
        <is>
          <t>Mar</t>
        </is>
      </c>
      <c r="H8" s="19" t="inlineStr">
        <is>
          <t>Apr</t>
        </is>
      </c>
      <c r="I8" s="19" t="n"/>
      <c r="J8" s="19" t="n"/>
      <c r="K8" s="19" t="inlineStr">
        <is>
          <t>Jul</t>
        </is>
      </c>
      <c r="L8" s="19" t="inlineStr">
        <is>
          <t>Sep</t>
        </is>
      </c>
      <c r="M8" s="21" t="n"/>
      <c r="N8" s="14">
        <f>IF(B8="","",SUMIFS(Plantings!$S$6:$S$505,Plantings!$C$6:$C$505,B8,Plantings!$N$6:$N$505,Settings!$C$5))</f>
        <v/>
      </c>
      <c r="O8" s="10">
        <f>IF(B8="","",SUMIFS(Harvest!$E$6:$E$1505,Harvest!$C$6:$C$1505,B8,Harvest!$J$6:$J$1505,Settings!$C$5))</f>
        <v/>
      </c>
      <c r="P8" s="25">
        <f>IF(B8="","",SUMIFS(Harvest!$H$6:$H$1505,Harvest!$C$6:$C$1505,B8,Harvest!$J$6:$J$1505,Settings!$C$5))</f>
        <v/>
      </c>
      <c r="Q8" s="11">
        <f>IF(B8="","",IF(COUNTIF(Crops!$B$6:$B$65,B8)&gt;1,"Listed twice",IF(AND(E8&lt;&gt;"",NOT(ISNUMBER(E8))),"Price not a number",IF(AND(F8&lt;&gt;"",NOT(ISNUMBER(F8))),"Days not a number",IF(OR((G8="")&lt;&gt;(H8=""),(I8="")&lt;&gt;(J8=""),(K8="")&lt;&gt;(L8="")),"A month is missing","")))))</f>
        <v/>
      </c>
      <c r="R8" s="1">
        <f>IFERROR(MATCH(G8,Settings!$H$1:$H$12,0),0)</f>
        <v/>
      </c>
      <c r="S8">
        <f>IFERROR(MATCH(H8,Settings!$H$1:$H$12,0),0)</f>
        <v/>
      </c>
      <c r="T8">
        <f>IFERROR(MATCH(I8,Settings!$H$1:$H$12,0),0)</f>
        <v/>
      </c>
      <c r="U8">
        <f>IFERROR(MATCH(J8,Settings!$H$1:$H$12,0),0)</f>
        <v/>
      </c>
      <c r="V8">
        <f>IFERROR(MATCH(K8,Settings!$H$1:$H$12,0),0)</f>
        <v/>
      </c>
      <c r="W8">
        <f>IFERROR(MATCH(L8,Settings!$H$1:$H$12,0),0)</f>
        <v/>
      </c>
      <c r="X8">
        <f>IF(AND(B8&lt;&gt;"",IF(OR(R8=0,S8=0),0,IF(R8&lt;=S8,IF(AND(MONTH(TODAY())&gt;=R8,MONTH(TODAY())&lt;=S8),1,0),IF(OR(MONTH(TODAY())&gt;=R8,MONTH(TODAY())&lt;=S8),1,0)))=1),ROW(),"")</f>
        <v/>
      </c>
      <c r="Y8">
        <f>IF(AND(B8&lt;&gt;"",IF(OR(T8=0,U8=0),0,IF(T8&lt;=U8,IF(AND(MONTH(TODAY())&gt;=T8,MONTH(TODAY())&lt;=U8),1,0),IF(OR(MONTH(TODAY())&gt;=T8,MONTH(TODAY())&lt;=U8),1,0)))=1),ROW(),"")</f>
        <v/>
      </c>
      <c r="Z8">
        <f>IF(AND(B8&lt;&gt;"",IF(OR(V8=0,W8=0),0,IF(V8&lt;=W8,IF(AND(MONTH(TODAY())&gt;=V8,MONTH(TODAY())&lt;=W8),1,0),IF(OR(MONTH(TODAY())&gt;=V8,MONTH(TODAY())&lt;=W8),1,0)))=1),ROW(),"")</f>
        <v/>
      </c>
      <c r="AA8">
        <f>IF(OR(B8="",N(O8)&lt;=0),"",ROUND(N(P8)*100,0)*1000+1000-ROW())</f>
        <v/>
      </c>
    </row>
    <row r="9">
      <c r="A9" s="1" t="n"/>
      <c r="B9" s="18" t="inlineStr">
        <is>
          <t>Zucchini</t>
        </is>
      </c>
      <c r="C9" s="19" t="inlineStr">
        <is>
          <t>Cucurbits</t>
        </is>
      </c>
      <c r="D9" s="19" t="inlineStr">
        <is>
          <t>kg</t>
        </is>
      </c>
      <c r="E9" s="24" t="n">
        <v>3.5</v>
      </c>
      <c r="F9" s="20" t="n">
        <v>55</v>
      </c>
      <c r="G9" s="19" t="inlineStr">
        <is>
          <t>Apr</t>
        </is>
      </c>
      <c r="H9" s="19" t="inlineStr">
        <is>
          <t>May</t>
        </is>
      </c>
      <c r="I9" s="19" t="inlineStr">
        <is>
          <t>May</t>
        </is>
      </c>
      <c r="J9" s="19" t="inlineStr">
        <is>
          <t>Jun</t>
        </is>
      </c>
      <c r="K9" s="19" t="inlineStr">
        <is>
          <t>Jul</t>
        </is>
      </c>
      <c r="L9" s="19" t="inlineStr">
        <is>
          <t>Sep</t>
        </is>
      </c>
      <c r="M9" s="21" t="inlineStr">
        <is>
          <t>6 seeds</t>
        </is>
      </c>
      <c r="N9" s="14">
        <f>IF(B9="","",SUMIFS(Plantings!$S$6:$S$505,Plantings!$C$6:$C$505,B9,Plantings!$N$6:$N$505,Settings!$C$5))</f>
        <v/>
      </c>
      <c r="O9" s="10">
        <f>IF(B9="","",SUMIFS(Harvest!$E$6:$E$1505,Harvest!$C$6:$C$1505,B9,Harvest!$J$6:$J$1505,Settings!$C$5))</f>
        <v/>
      </c>
      <c r="P9" s="25">
        <f>IF(B9="","",SUMIFS(Harvest!$H$6:$H$1505,Harvest!$C$6:$C$1505,B9,Harvest!$J$6:$J$1505,Settings!$C$5))</f>
        <v/>
      </c>
      <c r="Q9" s="11">
        <f>IF(B9="","",IF(COUNTIF(Crops!$B$6:$B$65,B9)&gt;1,"Listed twice",IF(AND(E9&lt;&gt;"",NOT(ISNUMBER(E9))),"Price not a number",IF(AND(F9&lt;&gt;"",NOT(ISNUMBER(F9))),"Days not a number",IF(OR((G9="")&lt;&gt;(H9=""),(I9="")&lt;&gt;(J9=""),(K9="")&lt;&gt;(L9="")),"A month is missing","")))))</f>
        <v/>
      </c>
      <c r="R9" s="1">
        <f>IFERROR(MATCH(G9,Settings!$H$1:$H$12,0),0)</f>
        <v/>
      </c>
      <c r="S9">
        <f>IFERROR(MATCH(H9,Settings!$H$1:$H$12,0),0)</f>
        <v/>
      </c>
      <c r="T9">
        <f>IFERROR(MATCH(I9,Settings!$H$1:$H$12,0),0)</f>
        <v/>
      </c>
      <c r="U9">
        <f>IFERROR(MATCH(J9,Settings!$H$1:$H$12,0),0)</f>
        <v/>
      </c>
      <c r="V9">
        <f>IFERROR(MATCH(K9,Settings!$H$1:$H$12,0),0)</f>
        <v/>
      </c>
      <c r="W9">
        <f>IFERROR(MATCH(L9,Settings!$H$1:$H$12,0),0)</f>
        <v/>
      </c>
      <c r="X9">
        <f>IF(AND(B9&lt;&gt;"",IF(OR(R9=0,S9=0),0,IF(R9&lt;=S9,IF(AND(MONTH(TODAY())&gt;=R9,MONTH(TODAY())&lt;=S9),1,0),IF(OR(MONTH(TODAY())&gt;=R9,MONTH(TODAY())&lt;=S9),1,0)))=1),ROW(),"")</f>
        <v/>
      </c>
      <c r="Y9">
        <f>IF(AND(B9&lt;&gt;"",IF(OR(T9=0,U9=0),0,IF(T9&lt;=U9,IF(AND(MONTH(TODAY())&gt;=T9,MONTH(TODAY())&lt;=U9),1,0),IF(OR(MONTH(TODAY())&gt;=T9,MONTH(TODAY())&lt;=U9),1,0)))=1),ROW(),"")</f>
        <v/>
      </c>
      <c r="Z9">
        <f>IF(AND(B9&lt;&gt;"",IF(OR(V9=0,W9=0),0,IF(V9&lt;=W9,IF(AND(MONTH(TODAY())&gt;=V9,MONTH(TODAY())&lt;=W9),1,0),IF(OR(MONTH(TODAY())&gt;=V9,MONTH(TODAY())&lt;=W9),1,0)))=1),ROW(),"")</f>
        <v/>
      </c>
      <c r="AA9">
        <f>IF(OR(B9="",N(O9)&lt;=0),"",ROUND(N(P9)*100,0)*1000+1000-ROW())</f>
        <v/>
      </c>
    </row>
    <row r="10">
      <c r="A10" s="1" t="n"/>
      <c r="B10" s="18" t="inlineStr">
        <is>
          <t>Cucumbers</t>
        </is>
      </c>
      <c r="C10" s="19" t="inlineStr">
        <is>
          <t>Cucurbits</t>
        </is>
      </c>
      <c r="D10" s="19" t="inlineStr">
        <is>
          <t>piece</t>
        </is>
      </c>
      <c r="E10" s="24" t="n">
        <v>1</v>
      </c>
      <c r="F10" s="20" t="n">
        <v>60</v>
      </c>
      <c r="G10" s="19" t="inlineStr">
        <is>
          <t>Apr</t>
        </is>
      </c>
      <c r="H10" s="19" t="inlineStr">
        <is>
          <t>May</t>
        </is>
      </c>
      <c r="I10" s="19" t="inlineStr">
        <is>
          <t>May</t>
        </is>
      </c>
      <c r="J10" s="19" t="inlineStr">
        <is>
          <t>Jun</t>
        </is>
      </c>
      <c r="K10" s="19" t="inlineStr">
        <is>
          <t>Jul</t>
        </is>
      </c>
      <c r="L10" s="19" t="inlineStr">
        <is>
          <t>Sep</t>
        </is>
      </c>
      <c r="M10" s="21" t="inlineStr">
        <is>
          <t>1 packet</t>
        </is>
      </c>
      <c r="N10" s="14">
        <f>IF(B10="","",SUMIFS(Plantings!$S$6:$S$505,Plantings!$C$6:$C$505,B10,Plantings!$N$6:$N$505,Settings!$C$5))</f>
        <v/>
      </c>
      <c r="O10" s="10">
        <f>IF(B10="","",SUMIFS(Harvest!$E$6:$E$1505,Harvest!$C$6:$C$1505,B10,Harvest!$J$6:$J$1505,Settings!$C$5))</f>
        <v/>
      </c>
      <c r="P10" s="25">
        <f>IF(B10="","",SUMIFS(Harvest!$H$6:$H$1505,Harvest!$C$6:$C$1505,B10,Harvest!$J$6:$J$1505,Settings!$C$5))</f>
        <v/>
      </c>
      <c r="Q10" s="11">
        <f>IF(B10="","",IF(COUNTIF(Crops!$B$6:$B$65,B10)&gt;1,"Listed twice",IF(AND(E10&lt;&gt;"",NOT(ISNUMBER(E10))),"Price not a number",IF(AND(F10&lt;&gt;"",NOT(ISNUMBER(F10))),"Days not a number",IF(OR((G10="")&lt;&gt;(H10=""),(I10="")&lt;&gt;(J10=""),(K10="")&lt;&gt;(L10="")),"A month is missing","")))))</f>
        <v/>
      </c>
      <c r="R10" s="1">
        <f>IFERROR(MATCH(G10,Settings!$H$1:$H$12,0),0)</f>
        <v/>
      </c>
      <c r="S10">
        <f>IFERROR(MATCH(H10,Settings!$H$1:$H$12,0),0)</f>
        <v/>
      </c>
      <c r="T10">
        <f>IFERROR(MATCH(I10,Settings!$H$1:$H$12,0),0)</f>
        <v/>
      </c>
      <c r="U10">
        <f>IFERROR(MATCH(J10,Settings!$H$1:$H$12,0),0)</f>
        <v/>
      </c>
      <c r="V10">
        <f>IFERROR(MATCH(K10,Settings!$H$1:$H$12,0),0)</f>
        <v/>
      </c>
      <c r="W10">
        <f>IFERROR(MATCH(L10,Settings!$H$1:$H$12,0),0)</f>
        <v/>
      </c>
      <c r="X10">
        <f>IF(AND(B10&lt;&gt;"",IF(OR(R10=0,S10=0),0,IF(R10&lt;=S10,IF(AND(MONTH(TODAY())&gt;=R10,MONTH(TODAY())&lt;=S10),1,0),IF(OR(MONTH(TODAY())&gt;=R10,MONTH(TODAY())&lt;=S10),1,0)))=1),ROW(),"")</f>
        <v/>
      </c>
      <c r="Y10">
        <f>IF(AND(B10&lt;&gt;"",IF(OR(T10=0,U10=0),0,IF(T10&lt;=U10,IF(AND(MONTH(TODAY())&gt;=T10,MONTH(TODAY())&lt;=U10),1,0),IF(OR(MONTH(TODAY())&gt;=T10,MONTH(TODAY())&lt;=U10),1,0)))=1),ROW(),"")</f>
        <v/>
      </c>
      <c r="Z10">
        <f>IF(AND(B10&lt;&gt;"",IF(OR(V10=0,W10=0),0,IF(V10&lt;=W10,IF(AND(MONTH(TODAY())&gt;=V10,MONTH(TODAY())&lt;=W10),1,0),IF(OR(MONTH(TODAY())&gt;=V10,MONTH(TODAY())&lt;=W10),1,0)))=1),ROW(),"")</f>
        <v/>
      </c>
      <c r="AA10">
        <f>IF(OR(B10="",N(O10)&lt;=0),"",ROUND(N(P10)*100,0)*1000+1000-ROW())</f>
        <v/>
      </c>
    </row>
    <row r="11">
      <c r="A11" s="1" t="n"/>
      <c r="B11" s="18" t="inlineStr">
        <is>
          <t>Runner beans</t>
        </is>
      </c>
      <c r="C11" s="19" t="inlineStr">
        <is>
          <t>Legumes</t>
        </is>
      </c>
      <c r="D11" s="19" t="inlineStr">
        <is>
          <t>kg</t>
        </is>
      </c>
      <c r="E11" s="24" t="n">
        <v>6</v>
      </c>
      <c r="F11" s="20" t="n">
        <v>70</v>
      </c>
      <c r="G11" s="19" t="inlineStr">
        <is>
          <t>Apr</t>
        </is>
      </c>
      <c r="H11" s="19" t="inlineStr">
        <is>
          <t>May</t>
        </is>
      </c>
      <c r="I11" s="19" t="inlineStr">
        <is>
          <t>Jun</t>
        </is>
      </c>
      <c r="J11" s="19" t="inlineStr">
        <is>
          <t>Jun</t>
        </is>
      </c>
      <c r="K11" s="19" t="inlineStr">
        <is>
          <t>Jul</t>
        </is>
      </c>
      <c r="L11" s="19" t="inlineStr">
        <is>
          <t>Oct</t>
        </is>
      </c>
      <c r="M11" s="21" t="inlineStr">
        <is>
          <t>Half a packet</t>
        </is>
      </c>
      <c r="N11" s="14">
        <f>IF(B11="","",SUMIFS(Plantings!$S$6:$S$505,Plantings!$C$6:$C$505,B11,Plantings!$N$6:$N$505,Settings!$C$5))</f>
        <v/>
      </c>
      <c r="O11" s="10">
        <f>IF(B11="","",SUMIFS(Harvest!$E$6:$E$1505,Harvest!$C$6:$C$1505,B11,Harvest!$J$6:$J$1505,Settings!$C$5))</f>
        <v/>
      </c>
      <c r="P11" s="25">
        <f>IF(B11="","",SUMIFS(Harvest!$H$6:$H$1505,Harvest!$C$6:$C$1505,B11,Harvest!$J$6:$J$1505,Settings!$C$5))</f>
        <v/>
      </c>
      <c r="Q11" s="11">
        <f>IF(B11="","",IF(COUNTIF(Crops!$B$6:$B$65,B11)&gt;1,"Listed twice",IF(AND(E11&lt;&gt;"",NOT(ISNUMBER(E11))),"Price not a number",IF(AND(F11&lt;&gt;"",NOT(ISNUMBER(F11))),"Days not a number",IF(OR((G11="")&lt;&gt;(H11=""),(I11="")&lt;&gt;(J11=""),(K11="")&lt;&gt;(L11="")),"A month is missing","")))))</f>
        <v/>
      </c>
      <c r="R11" s="1">
        <f>IFERROR(MATCH(G11,Settings!$H$1:$H$12,0),0)</f>
        <v/>
      </c>
      <c r="S11">
        <f>IFERROR(MATCH(H11,Settings!$H$1:$H$12,0),0)</f>
        <v/>
      </c>
      <c r="T11">
        <f>IFERROR(MATCH(I11,Settings!$H$1:$H$12,0),0)</f>
        <v/>
      </c>
      <c r="U11">
        <f>IFERROR(MATCH(J11,Settings!$H$1:$H$12,0),0)</f>
        <v/>
      </c>
      <c r="V11">
        <f>IFERROR(MATCH(K11,Settings!$H$1:$H$12,0),0)</f>
        <v/>
      </c>
      <c r="W11">
        <f>IFERROR(MATCH(L11,Settings!$H$1:$H$12,0),0)</f>
        <v/>
      </c>
      <c r="X11">
        <f>IF(AND(B11&lt;&gt;"",IF(OR(R11=0,S11=0),0,IF(R11&lt;=S11,IF(AND(MONTH(TODAY())&gt;=R11,MONTH(TODAY())&lt;=S11),1,0),IF(OR(MONTH(TODAY())&gt;=R11,MONTH(TODAY())&lt;=S11),1,0)))=1),ROW(),"")</f>
        <v/>
      </c>
      <c r="Y11">
        <f>IF(AND(B11&lt;&gt;"",IF(OR(T11=0,U11=0),0,IF(T11&lt;=U11,IF(AND(MONTH(TODAY())&gt;=T11,MONTH(TODAY())&lt;=U11),1,0),IF(OR(MONTH(TODAY())&gt;=T11,MONTH(TODAY())&lt;=U11),1,0)))=1),ROW(),"")</f>
        <v/>
      </c>
      <c r="Z11">
        <f>IF(AND(B11&lt;&gt;"",IF(OR(V11=0,W11=0),0,IF(V11&lt;=W11,IF(AND(MONTH(TODAY())&gt;=V11,MONTH(TODAY())&lt;=W11),1,0),IF(OR(MONTH(TODAY())&gt;=V11,MONTH(TODAY())&lt;=W11),1,0)))=1),ROW(),"")</f>
        <v/>
      </c>
      <c r="AA11">
        <f>IF(OR(B11="",N(O11)&lt;=0),"",ROUND(N(P11)*100,0)*1000+1000-ROW())</f>
        <v/>
      </c>
    </row>
    <row r="12">
      <c r="A12" s="1" t="n"/>
      <c r="B12" s="18" t="inlineStr">
        <is>
          <t>Peas</t>
        </is>
      </c>
      <c r="C12" s="19" t="inlineStr">
        <is>
          <t>Legumes</t>
        </is>
      </c>
      <c r="D12" s="19" t="inlineStr">
        <is>
          <t>kg</t>
        </is>
      </c>
      <c r="E12" s="24" t="n">
        <v>7</v>
      </c>
      <c r="F12" s="20" t="n">
        <v>65</v>
      </c>
      <c r="G12" s="19" t="inlineStr">
        <is>
          <t>Mar</t>
        </is>
      </c>
      <c r="H12" s="19" t="inlineStr">
        <is>
          <t>May</t>
        </is>
      </c>
      <c r="I12" s="19" t="n"/>
      <c r="J12" s="19" t="n"/>
      <c r="K12" s="19" t="inlineStr">
        <is>
          <t>Jun</t>
        </is>
      </c>
      <c r="L12" s="19" t="inlineStr">
        <is>
          <t>Jul</t>
        </is>
      </c>
      <c r="M12" s="21" t="inlineStr">
        <is>
          <t>None left</t>
        </is>
      </c>
      <c r="N12" s="14">
        <f>IF(B12="","",SUMIFS(Plantings!$S$6:$S$505,Plantings!$C$6:$C$505,B12,Plantings!$N$6:$N$505,Settings!$C$5))</f>
        <v/>
      </c>
      <c r="O12" s="10">
        <f>IF(B12="","",SUMIFS(Harvest!$E$6:$E$1505,Harvest!$C$6:$C$1505,B12,Harvest!$J$6:$J$1505,Settings!$C$5))</f>
        <v/>
      </c>
      <c r="P12" s="25">
        <f>IF(B12="","",SUMIFS(Harvest!$H$6:$H$1505,Harvest!$C$6:$C$1505,B12,Harvest!$J$6:$J$1505,Settings!$C$5))</f>
        <v/>
      </c>
      <c r="Q12" s="11">
        <f>IF(B12="","",IF(COUNTIF(Crops!$B$6:$B$65,B12)&gt;1,"Listed twice",IF(AND(E12&lt;&gt;"",NOT(ISNUMBER(E12))),"Price not a number",IF(AND(F12&lt;&gt;"",NOT(ISNUMBER(F12))),"Days not a number",IF(OR((G12="")&lt;&gt;(H12=""),(I12="")&lt;&gt;(J12=""),(K12="")&lt;&gt;(L12="")),"A month is missing","")))))</f>
        <v/>
      </c>
      <c r="R12" s="1">
        <f>IFERROR(MATCH(G12,Settings!$H$1:$H$12,0),0)</f>
        <v/>
      </c>
      <c r="S12">
        <f>IFERROR(MATCH(H12,Settings!$H$1:$H$12,0),0)</f>
        <v/>
      </c>
      <c r="T12">
        <f>IFERROR(MATCH(I12,Settings!$H$1:$H$12,0),0)</f>
        <v/>
      </c>
      <c r="U12">
        <f>IFERROR(MATCH(J12,Settings!$H$1:$H$12,0),0)</f>
        <v/>
      </c>
      <c r="V12">
        <f>IFERROR(MATCH(K12,Settings!$H$1:$H$12,0),0)</f>
        <v/>
      </c>
      <c r="W12">
        <f>IFERROR(MATCH(L12,Settings!$H$1:$H$12,0),0)</f>
        <v/>
      </c>
      <c r="X12">
        <f>IF(AND(B12&lt;&gt;"",IF(OR(R12=0,S12=0),0,IF(R12&lt;=S12,IF(AND(MONTH(TODAY())&gt;=R12,MONTH(TODAY())&lt;=S12),1,0),IF(OR(MONTH(TODAY())&gt;=R12,MONTH(TODAY())&lt;=S12),1,0)))=1),ROW(),"")</f>
        <v/>
      </c>
      <c r="Y12">
        <f>IF(AND(B12&lt;&gt;"",IF(OR(T12=0,U12=0),0,IF(T12&lt;=U12,IF(AND(MONTH(TODAY())&gt;=T12,MONTH(TODAY())&lt;=U12),1,0),IF(OR(MONTH(TODAY())&gt;=T12,MONTH(TODAY())&lt;=U12),1,0)))=1),ROW(),"")</f>
        <v/>
      </c>
      <c r="Z12">
        <f>IF(AND(B12&lt;&gt;"",IF(OR(V12=0,W12=0),0,IF(V12&lt;=W12,IF(AND(MONTH(TODAY())&gt;=V12,MONTH(TODAY())&lt;=W12),1,0),IF(OR(MONTH(TODAY())&gt;=V12,MONTH(TODAY())&lt;=W12),1,0)))=1),ROW(),"")</f>
        <v/>
      </c>
      <c r="AA12">
        <f>IF(OR(B12="",N(O12)&lt;=0),"",ROUND(N(P12)*100,0)*1000+1000-ROW())</f>
        <v/>
      </c>
    </row>
    <row r="13">
      <c r="A13" s="1" t="n"/>
      <c r="B13" s="18" t="inlineStr">
        <is>
          <t>Lettuce</t>
        </is>
      </c>
      <c r="C13" s="19" t="inlineStr">
        <is>
          <t>Leafy greens</t>
        </is>
      </c>
      <c r="D13" s="19" t="inlineStr">
        <is>
          <t>head</t>
        </is>
      </c>
      <c r="E13" s="24" t="n">
        <v>1.5</v>
      </c>
      <c r="F13" s="20" t="n">
        <v>45</v>
      </c>
      <c r="G13" s="19" t="inlineStr">
        <is>
          <t>Mar</t>
        </is>
      </c>
      <c r="H13" s="19" t="inlineStr">
        <is>
          <t>Sep</t>
        </is>
      </c>
      <c r="I13" s="19" t="inlineStr">
        <is>
          <t>Apr</t>
        </is>
      </c>
      <c r="J13" s="19" t="inlineStr">
        <is>
          <t>Sep</t>
        </is>
      </c>
      <c r="K13" s="19" t="inlineStr">
        <is>
          <t>May</t>
        </is>
      </c>
      <c r="L13" s="19" t="inlineStr">
        <is>
          <t>Oct</t>
        </is>
      </c>
      <c r="M13" s="21" t="inlineStr">
        <is>
          <t>2 packets</t>
        </is>
      </c>
      <c r="N13" s="14">
        <f>IF(B13="","",SUMIFS(Plantings!$S$6:$S$505,Plantings!$C$6:$C$505,B13,Plantings!$N$6:$N$505,Settings!$C$5))</f>
        <v/>
      </c>
      <c r="O13" s="10">
        <f>IF(B13="","",SUMIFS(Harvest!$E$6:$E$1505,Harvest!$C$6:$C$1505,B13,Harvest!$J$6:$J$1505,Settings!$C$5))</f>
        <v/>
      </c>
      <c r="P13" s="25">
        <f>IF(B13="","",SUMIFS(Harvest!$H$6:$H$1505,Harvest!$C$6:$C$1505,B13,Harvest!$J$6:$J$1505,Settings!$C$5))</f>
        <v/>
      </c>
      <c r="Q13" s="11">
        <f>IF(B13="","",IF(COUNTIF(Crops!$B$6:$B$65,B13)&gt;1,"Listed twice",IF(AND(E13&lt;&gt;"",NOT(ISNUMBER(E13))),"Price not a number",IF(AND(F13&lt;&gt;"",NOT(ISNUMBER(F13))),"Days not a number",IF(OR((G13="")&lt;&gt;(H13=""),(I13="")&lt;&gt;(J13=""),(K13="")&lt;&gt;(L13="")),"A month is missing","")))))</f>
        <v/>
      </c>
      <c r="R13" s="1">
        <f>IFERROR(MATCH(G13,Settings!$H$1:$H$12,0),0)</f>
        <v/>
      </c>
      <c r="S13">
        <f>IFERROR(MATCH(H13,Settings!$H$1:$H$12,0),0)</f>
        <v/>
      </c>
      <c r="T13">
        <f>IFERROR(MATCH(I13,Settings!$H$1:$H$12,0),0)</f>
        <v/>
      </c>
      <c r="U13">
        <f>IFERROR(MATCH(J13,Settings!$H$1:$H$12,0),0)</f>
        <v/>
      </c>
      <c r="V13">
        <f>IFERROR(MATCH(K13,Settings!$H$1:$H$12,0),0)</f>
        <v/>
      </c>
      <c r="W13">
        <f>IFERROR(MATCH(L13,Settings!$H$1:$H$12,0),0)</f>
        <v/>
      </c>
      <c r="X13">
        <f>IF(AND(B13&lt;&gt;"",IF(OR(R13=0,S13=0),0,IF(R13&lt;=S13,IF(AND(MONTH(TODAY())&gt;=R13,MONTH(TODAY())&lt;=S13),1,0),IF(OR(MONTH(TODAY())&gt;=R13,MONTH(TODAY())&lt;=S13),1,0)))=1),ROW(),"")</f>
        <v/>
      </c>
      <c r="Y13">
        <f>IF(AND(B13&lt;&gt;"",IF(OR(T13=0,U13=0),0,IF(T13&lt;=U13,IF(AND(MONTH(TODAY())&gt;=T13,MONTH(TODAY())&lt;=U13),1,0),IF(OR(MONTH(TODAY())&gt;=T13,MONTH(TODAY())&lt;=U13),1,0)))=1),ROW(),"")</f>
        <v/>
      </c>
      <c r="Z13">
        <f>IF(AND(B13&lt;&gt;"",IF(OR(V13=0,W13=0),0,IF(V13&lt;=W13,IF(AND(MONTH(TODAY())&gt;=V13,MONTH(TODAY())&lt;=W13),1,0),IF(OR(MONTH(TODAY())&gt;=V13,MONTH(TODAY())&lt;=W13),1,0)))=1),ROW(),"")</f>
        <v/>
      </c>
      <c r="AA13">
        <f>IF(OR(B13="",N(O13)&lt;=0),"",ROUND(N(P13)*100,0)*1000+1000-ROW())</f>
        <v/>
      </c>
    </row>
    <row r="14">
      <c r="A14" s="1" t="n"/>
      <c r="B14" s="18" t="inlineStr">
        <is>
          <t>Spinach</t>
        </is>
      </c>
      <c r="C14" s="19" t="inlineStr">
        <is>
          <t>Leafy greens</t>
        </is>
      </c>
      <c r="D14" s="19" t="inlineStr">
        <is>
          <t>bunch</t>
        </is>
      </c>
      <c r="E14" s="24" t="n">
        <v>2</v>
      </c>
      <c r="F14" s="20" t="n">
        <v>40</v>
      </c>
      <c r="G14" s="19" t="inlineStr">
        <is>
          <t>Aug</t>
        </is>
      </c>
      <c r="H14" s="19" t="inlineStr">
        <is>
          <t>Apr</t>
        </is>
      </c>
      <c r="I14" s="19" t="n"/>
      <c r="J14" s="19" t="n"/>
      <c r="K14" s="19" t="inlineStr">
        <is>
          <t>Oct</t>
        </is>
      </c>
      <c r="L14" s="19" t="inlineStr">
        <is>
          <t>Jun</t>
        </is>
      </c>
      <c r="M14" s="21" t="inlineStr">
        <is>
          <t>1 packet</t>
        </is>
      </c>
      <c r="N14" s="14">
        <f>IF(B14="","",SUMIFS(Plantings!$S$6:$S$505,Plantings!$C$6:$C$505,B14,Plantings!$N$6:$N$505,Settings!$C$5))</f>
        <v/>
      </c>
      <c r="O14" s="10">
        <f>IF(B14="","",SUMIFS(Harvest!$E$6:$E$1505,Harvest!$C$6:$C$1505,B14,Harvest!$J$6:$J$1505,Settings!$C$5))</f>
        <v/>
      </c>
      <c r="P14" s="25">
        <f>IF(B14="","",SUMIFS(Harvest!$H$6:$H$1505,Harvest!$C$6:$C$1505,B14,Harvest!$J$6:$J$1505,Settings!$C$5))</f>
        <v/>
      </c>
      <c r="Q14" s="11">
        <f>IF(B14="","",IF(COUNTIF(Crops!$B$6:$B$65,B14)&gt;1,"Listed twice",IF(AND(E14&lt;&gt;"",NOT(ISNUMBER(E14))),"Price not a number",IF(AND(F14&lt;&gt;"",NOT(ISNUMBER(F14))),"Days not a number",IF(OR((G14="")&lt;&gt;(H14=""),(I14="")&lt;&gt;(J14=""),(K14="")&lt;&gt;(L14="")),"A month is missing","")))))</f>
        <v/>
      </c>
      <c r="R14" s="1">
        <f>IFERROR(MATCH(G14,Settings!$H$1:$H$12,0),0)</f>
        <v/>
      </c>
      <c r="S14">
        <f>IFERROR(MATCH(H14,Settings!$H$1:$H$12,0),0)</f>
        <v/>
      </c>
      <c r="T14">
        <f>IFERROR(MATCH(I14,Settings!$H$1:$H$12,0),0)</f>
        <v/>
      </c>
      <c r="U14">
        <f>IFERROR(MATCH(J14,Settings!$H$1:$H$12,0),0)</f>
        <v/>
      </c>
      <c r="V14">
        <f>IFERROR(MATCH(K14,Settings!$H$1:$H$12,0),0)</f>
        <v/>
      </c>
      <c r="W14">
        <f>IFERROR(MATCH(L14,Settings!$H$1:$H$12,0),0)</f>
        <v/>
      </c>
      <c r="X14">
        <f>IF(AND(B14&lt;&gt;"",IF(OR(R14=0,S14=0),0,IF(R14&lt;=S14,IF(AND(MONTH(TODAY())&gt;=R14,MONTH(TODAY())&lt;=S14),1,0),IF(OR(MONTH(TODAY())&gt;=R14,MONTH(TODAY())&lt;=S14),1,0)))=1),ROW(),"")</f>
        <v/>
      </c>
      <c r="Y14">
        <f>IF(AND(B14&lt;&gt;"",IF(OR(T14=0,U14=0),0,IF(T14&lt;=U14,IF(AND(MONTH(TODAY())&gt;=T14,MONTH(TODAY())&lt;=U14),1,0),IF(OR(MONTH(TODAY())&gt;=T14,MONTH(TODAY())&lt;=U14),1,0)))=1),ROW(),"")</f>
        <v/>
      </c>
      <c r="Z14">
        <f>IF(AND(B14&lt;&gt;"",IF(OR(V14=0,W14=0),0,IF(V14&lt;=W14,IF(AND(MONTH(TODAY())&gt;=V14,MONTH(TODAY())&lt;=W14),1,0),IF(OR(MONTH(TODAY())&gt;=V14,MONTH(TODAY())&lt;=W14),1,0)))=1),ROW(),"")</f>
        <v/>
      </c>
      <c r="AA14">
        <f>IF(OR(B14="",N(O14)&lt;=0),"",ROUND(N(P14)*100,0)*1000+1000-ROW())</f>
        <v/>
      </c>
    </row>
    <row r="15">
      <c r="A15" s="1" t="n"/>
      <c r="B15" s="18" t="inlineStr">
        <is>
          <t>Carrots</t>
        </is>
      </c>
      <c r="C15" s="19" t="inlineStr">
        <is>
          <t>Roots</t>
        </is>
      </c>
      <c r="D15" s="19" t="inlineStr">
        <is>
          <t>kg</t>
        </is>
      </c>
      <c r="E15" s="24" t="n">
        <v>2</v>
      </c>
      <c r="F15" s="20" t="n">
        <v>75</v>
      </c>
      <c r="G15" s="19" t="inlineStr">
        <is>
          <t>Apr</t>
        </is>
      </c>
      <c r="H15" s="19" t="inlineStr">
        <is>
          <t>Jun</t>
        </is>
      </c>
      <c r="I15" s="19" t="n"/>
      <c r="J15" s="19" t="n"/>
      <c r="K15" s="19" t="inlineStr">
        <is>
          <t>Jul</t>
        </is>
      </c>
      <c r="L15" s="19" t="inlineStr">
        <is>
          <t>Nov</t>
        </is>
      </c>
      <c r="M15" s="21" t="inlineStr">
        <is>
          <t>1 packet</t>
        </is>
      </c>
      <c r="N15" s="14">
        <f>IF(B15="","",SUMIFS(Plantings!$S$6:$S$505,Plantings!$C$6:$C$505,B15,Plantings!$N$6:$N$505,Settings!$C$5))</f>
        <v/>
      </c>
      <c r="O15" s="10">
        <f>IF(B15="","",SUMIFS(Harvest!$E$6:$E$1505,Harvest!$C$6:$C$1505,B15,Harvest!$J$6:$J$1505,Settings!$C$5))</f>
        <v/>
      </c>
      <c r="P15" s="25">
        <f>IF(B15="","",SUMIFS(Harvest!$H$6:$H$1505,Harvest!$C$6:$C$1505,B15,Harvest!$J$6:$J$1505,Settings!$C$5))</f>
        <v/>
      </c>
      <c r="Q15" s="11">
        <f>IF(B15="","",IF(COUNTIF(Crops!$B$6:$B$65,B15)&gt;1,"Listed twice",IF(AND(E15&lt;&gt;"",NOT(ISNUMBER(E15))),"Price not a number",IF(AND(F15&lt;&gt;"",NOT(ISNUMBER(F15))),"Days not a number",IF(OR((G15="")&lt;&gt;(H15=""),(I15="")&lt;&gt;(J15=""),(K15="")&lt;&gt;(L15="")),"A month is missing","")))))</f>
        <v/>
      </c>
      <c r="R15" s="1">
        <f>IFERROR(MATCH(G15,Settings!$H$1:$H$12,0),0)</f>
        <v/>
      </c>
      <c r="S15">
        <f>IFERROR(MATCH(H15,Settings!$H$1:$H$12,0),0)</f>
        <v/>
      </c>
      <c r="T15">
        <f>IFERROR(MATCH(I15,Settings!$H$1:$H$12,0),0)</f>
        <v/>
      </c>
      <c r="U15">
        <f>IFERROR(MATCH(J15,Settings!$H$1:$H$12,0),0)</f>
        <v/>
      </c>
      <c r="V15">
        <f>IFERROR(MATCH(K15,Settings!$H$1:$H$12,0),0)</f>
        <v/>
      </c>
      <c r="W15">
        <f>IFERROR(MATCH(L15,Settings!$H$1:$H$12,0),0)</f>
        <v/>
      </c>
      <c r="X15">
        <f>IF(AND(B15&lt;&gt;"",IF(OR(R15=0,S15=0),0,IF(R15&lt;=S15,IF(AND(MONTH(TODAY())&gt;=R15,MONTH(TODAY())&lt;=S15),1,0),IF(OR(MONTH(TODAY())&gt;=R15,MONTH(TODAY())&lt;=S15),1,0)))=1),ROW(),"")</f>
        <v/>
      </c>
      <c r="Y15">
        <f>IF(AND(B15&lt;&gt;"",IF(OR(T15=0,U15=0),0,IF(T15&lt;=U15,IF(AND(MONTH(TODAY())&gt;=T15,MONTH(TODAY())&lt;=U15),1,0),IF(OR(MONTH(TODAY())&gt;=T15,MONTH(TODAY())&lt;=U15),1,0)))=1),ROW(),"")</f>
        <v/>
      </c>
      <c r="Z15">
        <f>IF(AND(B15&lt;&gt;"",IF(OR(V15=0,W15=0),0,IF(V15&lt;=W15,IF(AND(MONTH(TODAY())&gt;=V15,MONTH(TODAY())&lt;=W15),1,0),IF(OR(MONTH(TODAY())&gt;=V15,MONTH(TODAY())&lt;=W15),1,0)))=1),ROW(),"")</f>
        <v/>
      </c>
      <c r="AA15">
        <f>IF(OR(B15="",N(O15)&lt;=0),"",ROUND(N(P15)*100,0)*1000+1000-ROW())</f>
        <v/>
      </c>
    </row>
    <row r="16">
      <c r="A16" s="1" t="n"/>
      <c r="B16" s="18" t="inlineStr">
        <is>
          <t>Beetroot</t>
        </is>
      </c>
      <c r="C16" s="19" t="inlineStr">
        <is>
          <t>Roots</t>
        </is>
      </c>
      <c r="D16" s="19" t="inlineStr">
        <is>
          <t>bunch</t>
        </is>
      </c>
      <c r="E16" s="24" t="n">
        <v>2.5</v>
      </c>
      <c r="F16" s="20" t="n">
        <v>60</v>
      </c>
      <c r="G16" s="19" t="inlineStr">
        <is>
          <t>Apr</t>
        </is>
      </c>
      <c r="H16" s="19" t="inlineStr">
        <is>
          <t>Jul</t>
        </is>
      </c>
      <c r="I16" s="19" t="n"/>
      <c r="J16" s="19" t="n"/>
      <c r="K16" s="19" t="inlineStr">
        <is>
          <t>Jun</t>
        </is>
      </c>
      <c r="L16" s="19" t="inlineStr">
        <is>
          <t>Oct</t>
        </is>
      </c>
      <c r="M16" s="21" t="inlineStr">
        <is>
          <t>Half a packet</t>
        </is>
      </c>
      <c r="N16" s="14">
        <f>IF(B16="","",SUMIFS(Plantings!$S$6:$S$505,Plantings!$C$6:$C$505,B16,Plantings!$N$6:$N$505,Settings!$C$5))</f>
        <v/>
      </c>
      <c r="O16" s="10">
        <f>IF(B16="","",SUMIFS(Harvest!$E$6:$E$1505,Harvest!$C$6:$C$1505,B16,Harvest!$J$6:$J$1505,Settings!$C$5))</f>
        <v/>
      </c>
      <c r="P16" s="25">
        <f>IF(B16="","",SUMIFS(Harvest!$H$6:$H$1505,Harvest!$C$6:$C$1505,B16,Harvest!$J$6:$J$1505,Settings!$C$5))</f>
        <v/>
      </c>
      <c r="Q16" s="11">
        <f>IF(B16="","",IF(COUNTIF(Crops!$B$6:$B$65,B16)&gt;1,"Listed twice",IF(AND(E16&lt;&gt;"",NOT(ISNUMBER(E16))),"Price not a number",IF(AND(F16&lt;&gt;"",NOT(ISNUMBER(F16))),"Days not a number",IF(OR((G16="")&lt;&gt;(H16=""),(I16="")&lt;&gt;(J16=""),(K16="")&lt;&gt;(L16="")),"A month is missing","")))))</f>
        <v/>
      </c>
      <c r="R16" s="1">
        <f>IFERROR(MATCH(G16,Settings!$H$1:$H$12,0),0)</f>
        <v/>
      </c>
      <c r="S16">
        <f>IFERROR(MATCH(H16,Settings!$H$1:$H$12,0),0)</f>
        <v/>
      </c>
      <c r="T16">
        <f>IFERROR(MATCH(I16,Settings!$H$1:$H$12,0),0)</f>
        <v/>
      </c>
      <c r="U16">
        <f>IFERROR(MATCH(J16,Settings!$H$1:$H$12,0),0)</f>
        <v/>
      </c>
      <c r="V16">
        <f>IFERROR(MATCH(K16,Settings!$H$1:$H$12,0),0)</f>
        <v/>
      </c>
      <c r="W16">
        <f>IFERROR(MATCH(L16,Settings!$H$1:$H$12,0),0)</f>
        <v/>
      </c>
      <c r="X16">
        <f>IF(AND(B16&lt;&gt;"",IF(OR(R16=0,S16=0),0,IF(R16&lt;=S16,IF(AND(MONTH(TODAY())&gt;=R16,MONTH(TODAY())&lt;=S16),1,0),IF(OR(MONTH(TODAY())&gt;=R16,MONTH(TODAY())&lt;=S16),1,0)))=1),ROW(),"")</f>
        <v/>
      </c>
      <c r="Y16">
        <f>IF(AND(B16&lt;&gt;"",IF(OR(T16=0,U16=0),0,IF(T16&lt;=U16,IF(AND(MONTH(TODAY())&gt;=T16,MONTH(TODAY())&lt;=U16),1,0),IF(OR(MONTH(TODAY())&gt;=T16,MONTH(TODAY())&lt;=U16),1,0)))=1),ROW(),"")</f>
        <v/>
      </c>
      <c r="Z16">
        <f>IF(AND(B16&lt;&gt;"",IF(OR(V16=0,W16=0),0,IF(V16&lt;=W16,IF(AND(MONTH(TODAY())&gt;=V16,MONTH(TODAY())&lt;=W16),1,0),IF(OR(MONTH(TODAY())&gt;=V16,MONTH(TODAY())&lt;=W16),1,0)))=1),ROW(),"")</f>
        <v/>
      </c>
      <c r="AA16">
        <f>IF(OR(B16="",N(O16)&lt;=0),"",ROUND(N(P16)*100,0)*1000+1000-ROW())</f>
        <v/>
      </c>
    </row>
    <row r="17">
      <c r="A17" s="1" t="n"/>
      <c r="B17" s="18" t="inlineStr">
        <is>
          <t>Onions</t>
        </is>
      </c>
      <c r="C17" s="19" t="inlineStr">
        <is>
          <t>Alliums</t>
        </is>
      </c>
      <c r="D17" s="19" t="inlineStr">
        <is>
          <t>kg</t>
        </is>
      </c>
      <c r="E17" s="24" t="n">
        <v>2.2</v>
      </c>
      <c r="F17" s="20" t="n">
        <v>120</v>
      </c>
      <c r="G17" s="19" t="inlineStr">
        <is>
          <t>Mar</t>
        </is>
      </c>
      <c r="H17" s="19" t="inlineStr">
        <is>
          <t>Apr</t>
        </is>
      </c>
      <c r="I17" s="19" t="n"/>
      <c r="J17" s="19" t="n"/>
      <c r="K17" s="19" t="inlineStr">
        <is>
          <t>Aug</t>
        </is>
      </c>
      <c r="L17" s="19" t="inlineStr">
        <is>
          <t>Sep</t>
        </is>
      </c>
      <c r="M17" s="21" t="n"/>
      <c r="N17" s="14">
        <f>IF(B17="","",SUMIFS(Plantings!$S$6:$S$505,Plantings!$C$6:$C$505,B17,Plantings!$N$6:$N$505,Settings!$C$5))</f>
        <v/>
      </c>
      <c r="O17" s="10">
        <f>IF(B17="","",SUMIFS(Harvest!$E$6:$E$1505,Harvest!$C$6:$C$1505,B17,Harvest!$J$6:$J$1505,Settings!$C$5))</f>
        <v/>
      </c>
      <c r="P17" s="25">
        <f>IF(B17="","",SUMIFS(Harvest!$H$6:$H$1505,Harvest!$C$6:$C$1505,B17,Harvest!$J$6:$J$1505,Settings!$C$5))</f>
        <v/>
      </c>
      <c r="Q17" s="11">
        <f>IF(B17="","",IF(COUNTIF(Crops!$B$6:$B$65,B17)&gt;1,"Listed twice",IF(AND(E17&lt;&gt;"",NOT(ISNUMBER(E17))),"Price not a number",IF(AND(F17&lt;&gt;"",NOT(ISNUMBER(F17))),"Days not a number",IF(OR((G17="")&lt;&gt;(H17=""),(I17="")&lt;&gt;(J17=""),(K17="")&lt;&gt;(L17="")),"A month is missing","")))))</f>
        <v/>
      </c>
      <c r="R17" s="1">
        <f>IFERROR(MATCH(G17,Settings!$H$1:$H$12,0),0)</f>
        <v/>
      </c>
      <c r="S17">
        <f>IFERROR(MATCH(H17,Settings!$H$1:$H$12,0),0)</f>
        <v/>
      </c>
      <c r="T17">
        <f>IFERROR(MATCH(I17,Settings!$H$1:$H$12,0),0)</f>
        <v/>
      </c>
      <c r="U17">
        <f>IFERROR(MATCH(J17,Settings!$H$1:$H$12,0),0)</f>
        <v/>
      </c>
      <c r="V17">
        <f>IFERROR(MATCH(K17,Settings!$H$1:$H$12,0),0)</f>
        <v/>
      </c>
      <c r="W17">
        <f>IFERROR(MATCH(L17,Settings!$H$1:$H$12,0),0)</f>
        <v/>
      </c>
      <c r="X17">
        <f>IF(AND(B17&lt;&gt;"",IF(OR(R17=0,S17=0),0,IF(R17&lt;=S17,IF(AND(MONTH(TODAY())&gt;=R17,MONTH(TODAY())&lt;=S17),1,0),IF(OR(MONTH(TODAY())&gt;=R17,MONTH(TODAY())&lt;=S17),1,0)))=1),ROW(),"")</f>
        <v/>
      </c>
      <c r="Y17">
        <f>IF(AND(B17&lt;&gt;"",IF(OR(T17=0,U17=0),0,IF(T17&lt;=U17,IF(AND(MONTH(TODAY())&gt;=T17,MONTH(TODAY())&lt;=U17),1,0),IF(OR(MONTH(TODAY())&gt;=T17,MONTH(TODAY())&lt;=U17),1,0)))=1),ROW(),"")</f>
        <v/>
      </c>
      <c r="Z17">
        <f>IF(AND(B17&lt;&gt;"",IF(OR(V17=0,W17=0),0,IF(V17&lt;=W17,IF(AND(MONTH(TODAY())&gt;=V17,MONTH(TODAY())&lt;=W17),1,0),IF(OR(MONTH(TODAY())&gt;=V17,MONTH(TODAY())&lt;=W17),1,0)))=1),ROW(),"")</f>
        <v/>
      </c>
      <c r="AA17">
        <f>IF(OR(B17="",N(O17)&lt;=0),"",ROUND(N(P17)*100,0)*1000+1000-ROW())</f>
        <v/>
      </c>
    </row>
    <row r="18">
      <c r="A18" s="1" t="n"/>
      <c r="B18" s="18" t="inlineStr">
        <is>
          <t>Garlic</t>
        </is>
      </c>
      <c r="C18" s="19" t="inlineStr">
        <is>
          <t>Alliums</t>
        </is>
      </c>
      <c r="D18" s="19" t="inlineStr">
        <is>
          <t>head</t>
        </is>
      </c>
      <c r="E18" s="24" t="n">
        <v>0.8</v>
      </c>
      <c r="F18" s="20" t="n">
        <v>240</v>
      </c>
      <c r="G18" s="19" t="inlineStr">
        <is>
          <t>Oct</t>
        </is>
      </c>
      <c r="H18" s="19" t="inlineStr">
        <is>
          <t>Nov</t>
        </is>
      </c>
      <c r="I18" s="19" t="n"/>
      <c r="J18" s="19" t="n"/>
      <c r="K18" s="19" t="inlineStr">
        <is>
          <t>Jun</t>
        </is>
      </c>
      <c r="L18" s="19" t="inlineStr">
        <is>
          <t>Jul</t>
        </is>
      </c>
      <c r="M18" s="21" t="inlineStr">
        <is>
          <t>2 bulbs</t>
        </is>
      </c>
      <c r="N18" s="14">
        <f>IF(B18="","",SUMIFS(Plantings!$S$6:$S$505,Plantings!$C$6:$C$505,B18,Plantings!$N$6:$N$505,Settings!$C$5))</f>
        <v/>
      </c>
      <c r="O18" s="10">
        <f>IF(B18="","",SUMIFS(Harvest!$E$6:$E$1505,Harvest!$C$6:$C$1505,B18,Harvest!$J$6:$J$1505,Settings!$C$5))</f>
        <v/>
      </c>
      <c r="P18" s="25">
        <f>IF(B18="","",SUMIFS(Harvest!$H$6:$H$1505,Harvest!$C$6:$C$1505,B18,Harvest!$J$6:$J$1505,Settings!$C$5))</f>
        <v/>
      </c>
      <c r="Q18" s="11">
        <f>IF(B18="","",IF(COUNTIF(Crops!$B$6:$B$65,B18)&gt;1,"Listed twice",IF(AND(E18&lt;&gt;"",NOT(ISNUMBER(E18))),"Price not a number",IF(AND(F18&lt;&gt;"",NOT(ISNUMBER(F18))),"Days not a number",IF(OR((G18="")&lt;&gt;(H18=""),(I18="")&lt;&gt;(J18=""),(K18="")&lt;&gt;(L18="")),"A month is missing","")))))</f>
        <v/>
      </c>
      <c r="R18" s="1">
        <f>IFERROR(MATCH(G18,Settings!$H$1:$H$12,0),0)</f>
        <v/>
      </c>
      <c r="S18">
        <f>IFERROR(MATCH(H18,Settings!$H$1:$H$12,0),0)</f>
        <v/>
      </c>
      <c r="T18">
        <f>IFERROR(MATCH(I18,Settings!$H$1:$H$12,0),0)</f>
        <v/>
      </c>
      <c r="U18">
        <f>IFERROR(MATCH(J18,Settings!$H$1:$H$12,0),0)</f>
        <v/>
      </c>
      <c r="V18">
        <f>IFERROR(MATCH(K18,Settings!$H$1:$H$12,0),0)</f>
        <v/>
      </c>
      <c r="W18">
        <f>IFERROR(MATCH(L18,Settings!$H$1:$H$12,0),0)</f>
        <v/>
      </c>
      <c r="X18">
        <f>IF(AND(B18&lt;&gt;"",IF(OR(R18=0,S18=0),0,IF(R18&lt;=S18,IF(AND(MONTH(TODAY())&gt;=R18,MONTH(TODAY())&lt;=S18),1,0),IF(OR(MONTH(TODAY())&gt;=R18,MONTH(TODAY())&lt;=S18),1,0)))=1),ROW(),"")</f>
        <v/>
      </c>
      <c r="Y18">
        <f>IF(AND(B18&lt;&gt;"",IF(OR(T18=0,U18=0),0,IF(T18&lt;=U18,IF(AND(MONTH(TODAY())&gt;=T18,MONTH(TODAY())&lt;=U18),1,0),IF(OR(MONTH(TODAY())&gt;=T18,MONTH(TODAY())&lt;=U18),1,0)))=1),ROW(),"")</f>
        <v/>
      </c>
      <c r="Z18">
        <f>IF(AND(B18&lt;&gt;"",IF(OR(V18=0,W18=0),0,IF(V18&lt;=W18,IF(AND(MONTH(TODAY())&gt;=V18,MONTH(TODAY())&lt;=W18),1,0),IF(OR(MONTH(TODAY())&gt;=V18,MONTH(TODAY())&lt;=W18),1,0)))=1),ROW(),"")</f>
        <v/>
      </c>
      <c r="AA18">
        <f>IF(OR(B18="",N(O18)&lt;=0),"",ROUND(N(P18)*100,0)*1000+1000-ROW())</f>
        <v/>
      </c>
    </row>
    <row r="19">
      <c r="A19" s="1" t="n"/>
      <c r="B19" s="18" t="inlineStr">
        <is>
          <t>Kale</t>
        </is>
      </c>
      <c r="C19" s="19" t="inlineStr">
        <is>
          <t>Brassicas</t>
        </is>
      </c>
      <c r="D19" s="19" t="inlineStr">
        <is>
          <t>bunch</t>
        </is>
      </c>
      <c r="E19" s="24" t="n">
        <v>2.5</v>
      </c>
      <c r="F19" s="20" t="n">
        <v>60</v>
      </c>
      <c r="G19" s="19" t="inlineStr">
        <is>
          <t>Apr</t>
        </is>
      </c>
      <c r="H19" s="19" t="inlineStr">
        <is>
          <t>Jun</t>
        </is>
      </c>
      <c r="I19" s="19" t="inlineStr">
        <is>
          <t>May</t>
        </is>
      </c>
      <c r="J19" s="19" t="inlineStr">
        <is>
          <t>Jul</t>
        </is>
      </c>
      <c r="K19" s="19" t="inlineStr">
        <is>
          <t>Sep</t>
        </is>
      </c>
      <c r="L19" s="19" t="inlineStr">
        <is>
          <t>Feb</t>
        </is>
      </c>
      <c r="M19" s="21" t="inlineStr">
        <is>
          <t>1 packet</t>
        </is>
      </c>
      <c r="N19" s="14">
        <f>IF(B19="","",SUMIFS(Plantings!$S$6:$S$505,Plantings!$C$6:$C$505,B19,Plantings!$N$6:$N$505,Settings!$C$5))</f>
        <v/>
      </c>
      <c r="O19" s="10">
        <f>IF(B19="","",SUMIFS(Harvest!$E$6:$E$1505,Harvest!$C$6:$C$1505,B19,Harvest!$J$6:$J$1505,Settings!$C$5))</f>
        <v/>
      </c>
      <c r="P19" s="25">
        <f>IF(B19="","",SUMIFS(Harvest!$H$6:$H$1505,Harvest!$C$6:$C$1505,B19,Harvest!$J$6:$J$1505,Settings!$C$5))</f>
        <v/>
      </c>
      <c r="Q19" s="11">
        <f>IF(B19="","",IF(COUNTIF(Crops!$B$6:$B$65,B19)&gt;1,"Listed twice",IF(AND(E19&lt;&gt;"",NOT(ISNUMBER(E19))),"Price not a number",IF(AND(F19&lt;&gt;"",NOT(ISNUMBER(F19))),"Days not a number",IF(OR((G19="")&lt;&gt;(H19=""),(I19="")&lt;&gt;(J19=""),(K19="")&lt;&gt;(L19="")),"A month is missing","")))))</f>
        <v/>
      </c>
      <c r="R19" s="1">
        <f>IFERROR(MATCH(G19,Settings!$H$1:$H$12,0),0)</f>
        <v/>
      </c>
      <c r="S19">
        <f>IFERROR(MATCH(H19,Settings!$H$1:$H$12,0),0)</f>
        <v/>
      </c>
      <c r="T19">
        <f>IFERROR(MATCH(I19,Settings!$H$1:$H$12,0),0)</f>
        <v/>
      </c>
      <c r="U19">
        <f>IFERROR(MATCH(J19,Settings!$H$1:$H$12,0),0)</f>
        <v/>
      </c>
      <c r="V19">
        <f>IFERROR(MATCH(K19,Settings!$H$1:$H$12,0),0)</f>
        <v/>
      </c>
      <c r="W19">
        <f>IFERROR(MATCH(L19,Settings!$H$1:$H$12,0),0)</f>
        <v/>
      </c>
      <c r="X19">
        <f>IF(AND(B19&lt;&gt;"",IF(OR(R19=0,S19=0),0,IF(R19&lt;=S19,IF(AND(MONTH(TODAY())&gt;=R19,MONTH(TODAY())&lt;=S19),1,0),IF(OR(MONTH(TODAY())&gt;=R19,MONTH(TODAY())&lt;=S19),1,0)))=1),ROW(),"")</f>
        <v/>
      </c>
      <c r="Y19">
        <f>IF(AND(B19&lt;&gt;"",IF(OR(T19=0,U19=0),0,IF(T19&lt;=U19,IF(AND(MONTH(TODAY())&gt;=T19,MONTH(TODAY())&lt;=U19),1,0),IF(OR(MONTH(TODAY())&gt;=T19,MONTH(TODAY())&lt;=U19),1,0)))=1),ROW(),"")</f>
        <v/>
      </c>
      <c r="Z19">
        <f>IF(AND(B19&lt;&gt;"",IF(OR(V19=0,W19=0),0,IF(V19&lt;=W19,IF(AND(MONTH(TODAY())&gt;=V19,MONTH(TODAY())&lt;=W19),1,0),IF(OR(MONTH(TODAY())&gt;=V19,MONTH(TODAY())&lt;=W19),1,0)))=1),ROW(),"")</f>
        <v/>
      </c>
      <c r="AA19">
        <f>IF(OR(B19="",N(O19)&lt;=0),"",ROUND(N(P19)*100,0)*1000+1000-ROW())</f>
        <v/>
      </c>
    </row>
    <row r="20">
      <c r="A20" s="1" t="n"/>
      <c r="B20" s="18" t="inlineStr">
        <is>
          <t>Basil</t>
        </is>
      </c>
      <c r="C20" s="19" t="inlineStr">
        <is>
          <t>Herbs</t>
        </is>
      </c>
      <c r="D20" s="19" t="inlineStr">
        <is>
          <t>bunch</t>
        </is>
      </c>
      <c r="E20" s="24" t="n">
        <v>2</v>
      </c>
      <c r="F20" s="20" t="n">
        <v>30</v>
      </c>
      <c r="G20" s="19" t="inlineStr">
        <is>
          <t>Apr</t>
        </is>
      </c>
      <c r="H20" s="19" t="inlineStr">
        <is>
          <t>May</t>
        </is>
      </c>
      <c r="I20" s="19" t="inlineStr">
        <is>
          <t>May</t>
        </is>
      </c>
      <c r="J20" s="19" t="inlineStr">
        <is>
          <t>Jun</t>
        </is>
      </c>
      <c r="K20" s="19" t="inlineStr">
        <is>
          <t>Jun</t>
        </is>
      </c>
      <c r="L20" s="19" t="inlineStr">
        <is>
          <t>Sep</t>
        </is>
      </c>
      <c r="M20" s="21" t="inlineStr">
        <is>
          <t>Half a packet</t>
        </is>
      </c>
      <c r="N20" s="14">
        <f>IF(B20="","",SUMIFS(Plantings!$S$6:$S$505,Plantings!$C$6:$C$505,B20,Plantings!$N$6:$N$505,Settings!$C$5))</f>
        <v/>
      </c>
      <c r="O20" s="10">
        <f>IF(B20="","",SUMIFS(Harvest!$E$6:$E$1505,Harvest!$C$6:$C$1505,B20,Harvest!$J$6:$J$1505,Settings!$C$5))</f>
        <v/>
      </c>
      <c r="P20" s="25">
        <f>IF(B20="","",SUMIFS(Harvest!$H$6:$H$1505,Harvest!$C$6:$C$1505,B20,Harvest!$J$6:$J$1505,Settings!$C$5))</f>
        <v/>
      </c>
      <c r="Q20" s="11">
        <f>IF(B20="","",IF(COUNTIF(Crops!$B$6:$B$65,B20)&gt;1,"Listed twice",IF(AND(E20&lt;&gt;"",NOT(ISNUMBER(E20))),"Price not a number",IF(AND(F20&lt;&gt;"",NOT(ISNUMBER(F20))),"Days not a number",IF(OR((G20="")&lt;&gt;(H20=""),(I20="")&lt;&gt;(J20=""),(K20="")&lt;&gt;(L20="")),"A month is missing","")))))</f>
        <v/>
      </c>
      <c r="R20" s="1">
        <f>IFERROR(MATCH(G20,Settings!$H$1:$H$12,0),0)</f>
        <v/>
      </c>
      <c r="S20">
        <f>IFERROR(MATCH(H20,Settings!$H$1:$H$12,0),0)</f>
        <v/>
      </c>
      <c r="T20">
        <f>IFERROR(MATCH(I20,Settings!$H$1:$H$12,0),0)</f>
        <v/>
      </c>
      <c r="U20">
        <f>IFERROR(MATCH(J20,Settings!$H$1:$H$12,0),0)</f>
        <v/>
      </c>
      <c r="V20">
        <f>IFERROR(MATCH(K20,Settings!$H$1:$H$12,0),0)</f>
        <v/>
      </c>
      <c r="W20">
        <f>IFERROR(MATCH(L20,Settings!$H$1:$H$12,0),0)</f>
        <v/>
      </c>
      <c r="X20">
        <f>IF(AND(B20&lt;&gt;"",IF(OR(R20=0,S20=0),0,IF(R20&lt;=S20,IF(AND(MONTH(TODAY())&gt;=R20,MONTH(TODAY())&lt;=S20),1,0),IF(OR(MONTH(TODAY())&gt;=R20,MONTH(TODAY())&lt;=S20),1,0)))=1),ROW(),"")</f>
        <v/>
      </c>
      <c r="Y20">
        <f>IF(AND(B20&lt;&gt;"",IF(OR(T20=0,U20=0),0,IF(T20&lt;=U20,IF(AND(MONTH(TODAY())&gt;=T20,MONTH(TODAY())&lt;=U20),1,0),IF(OR(MONTH(TODAY())&gt;=T20,MONTH(TODAY())&lt;=U20),1,0)))=1),ROW(),"")</f>
        <v/>
      </c>
      <c r="Z20">
        <f>IF(AND(B20&lt;&gt;"",IF(OR(V20=0,W20=0),0,IF(V20&lt;=W20,IF(AND(MONTH(TODAY())&gt;=V20,MONTH(TODAY())&lt;=W20),1,0),IF(OR(MONTH(TODAY())&gt;=V20,MONTH(TODAY())&lt;=W20),1,0)))=1),ROW(),"")</f>
        <v/>
      </c>
      <c r="AA20">
        <f>IF(OR(B20="",N(O20)&lt;=0),"",ROUND(N(P20)*100,0)*1000+1000-ROW())</f>
        <v/>
      </c>
    </row>
    <row r="21">
      <c r="A21" s="1" t="n"/>
      <c r="B21" s="18" t="inlineStr">
        <is>
          <t>Strawberries</t>
        </is>
      </c>
      <c r="C21" s="19" t="inlineStr">
        <is>
          <t>Fruit</t>
        </is>
      </c>
      <c r="D21" s="19" t="inlineStr">
        <is>
          <t>kg</t>
        </is>
      </c>
      <c r="E21" s="24" t="n">
        <v>9</v>
      </c>
      <c r="F21" s="20" t="n"/>
      <c r="G21" s="19" t="n"/>
      <c r="H21" s="19" t="n"/>
      <c r="I21" s="19" t="inlineStr">
        <is>
          <t>Apr</t>
        </is>
      </c>
      <c r="J21" s="19" t="inlineStr">
        <is>
          <t>Apr</t>
        </is>
      </c>
      <c r="K21" s="19" t="inlineStr">
        <is>
          <t>Jun</t>
        </is>
      </c>
      <c r="L21" s="19" t="inlineStr">
        <is>
          <t>Jul</t>
        </is>
      </c>
      <c r="M21" s="21" t="n"/>
      <c r="N21" s="14">
        <f>IF(B21="","",SUMIFS(Plantings!$S$6:$S$505,Plantings!$C$6:$C$505,B21,Plantings!$N$6:$N$505,Settings!$C$5))</f>
        <v/>
      </c>
      <c r="O21" s="10">
        <f>IF(B21="","",SUMIFS(Harvest!$E$6:$E$1505,Harvest!$C$6:$C$1505,B21,Harvest!$J$6:$J$1505,Settings!$C$5))</f>
        <v/>
      </c>
      <c r="P21" s="25">
        <f>IF(B21="","",SUMIFS(Harvest!$H$6:$H$1505,Harvest!$C$6:$C$1505,B21,Harvest!$J$6:$J$1505,Settings!$C$5))</f>
        <v/>
      </c>
      <c r="Q21" s="11">
        <f>IF(B21="","",IF(COUNTIF(Crops!$B$6:$B$65,B21)&gt;1,"Listed twice",IF(AND(E21&lt;&gt;"",NOT(ISNUMBER(E21))),"Price not a number",IF(AND(F21&lt;&gt;"",NOT(ISNUMBER(F21))),"Days not a number",IF(OR((G21="")&lt;&gt;(H21=""),(I21="")&lt;&gt;(J21=""),(K21="")&lt;&gt;(L21="")),"A month is missing","")))))</f>
        <v/>
      </c>
      <c r="R21" s="1">
        <f>IFERROR(MATCH(G21,Settings!$H$1:$H$12,0),0)</f>
        <v/>
      </c>
      <c r="S21">
        <f>IFERROR(MATCH(H21,Settings!$H$1:$H$12,0),0)</f>
        <v/>
      </c>
      <c r="T21">
        <f>IFERROR(MATCH(I21,Settings!$H$1:$H$12,0),0)</f>
        <v/>
      </c>
      <c r="U21">
        <f>IFERROR(MATCH(J21,Settings!$H$1:$H$12,0),0)</f>
        <v/>
      </c>
      <c r="V21">
        <f>IFERROR(MATCH(K21,Settings!$H$1:$H$12,0),0)</f>
        <v/>
      </c>
      <c r="W21">
        <f>IFERROR(MATCH(L21,Settings!$H$1:$H$12,0),0)</f>
        <v/>
      </c>
      <c r="X21">
        <f>IF(AND(B21&lt;&gt;"",IF(OR(R21=0,S21=0),0,IF(R21&lt;=S21,IF(AND(MONTH(TODAY())&gt;=R21,MONTH(TODAY())&lt;=S21),1,0),IF(OR(MONTH(TODAY())&gt;=R21,MONTH(TODAY())&lt;=S21),1,0)))=1),ROW(),"")</f>
        <v/>
      </c>
      <c r="Y21">
        <f>IF(AND(B21&lt;&gt;"",IF(OR(T21=0,U21=0),0,IF(T21&lt;=U21,IF(AND(MONTH(TODAY())&gt;=T21,MONTH(TODAY())&lt;=U21),1,0),IF(OR(MONTH(TODAY())&gt;=T21,MONTH(TODAY())&lt;=U21),1,0)))=1),ROW(),"")</f>
        <v/>
      </c>
      <c r="Z21">
        <f>IF(AND(B21&lt;&gt;"",IF(OR(V21=0,W21=0),0,IF(V21&lt;=W21,IF(AND(MONTH(TODAY())&gt;=V21,MONTH(TODAY())&lt;=W21),1,0),IF(OR(MONTH(TODAY())&gt;=V21,MONTH(TODAY())&lt;=W21),1,0)))=1),ROW(),"")</f>
        <v/>
      </c>
      <c r="AA21">
        <f>IF(OR(B21="",N(O21)&lt;=0),"",ROUND(N(P21)*100,0)*1000+1000-ROW())</f>
        <v/>
      </c>
    </row>
    <row r="22">
      <c r="A22" s="1" t="n"/>
      <c r="B22" s="18" t="n"/>
      <c r="C22" s="19" t="n"/>
      <c r="D22" s="19" t="n"/>
      <c r="E22" s="24" t="n"/>
      <c r="F22" s="20" t="n"/>
      <c r="G22" s="19" t="n"/>
      <c r="H22" s="19" t="n"/>
      <c r="I22" s="19" t="n"/>
      <c r="J22" s="19" t="n"/>
      <c r="K22" s="19" t="n"/>
      <c r="L22" s="19" t="n"/>
      <c r="M22" s="21" t="n"/>
      <c r="N22" s="14">
        <f>IF(B22="","",SUMIFS(Plantings!$S$6:$S$505,Plantings!$C$6:$C$505,B22,Plantings!$N$6:$N$505,Settings!$C$5))</f>
        <v/>
      </c>
      <c r="O22" s="10">
        <f>IF(B22="","",SUMIFS(Harvest!$E$6:$E$1505,Harvest!$C$6:$C$1505,B22,Harvest!$J$6:$J$1505,Settings!$C$5))</f>
        <v/>
      </c>
      <c r="P22" s="25">
        <f>IF(B22="","",SUMIFS(Harvest!$H$6:$H$1505,Harvest!$C$6:$C$1505,B22,Harvest!$J$6:$J$1505,Settings!$C$5))</f>
        <v/>
      </c>
      <c r="Q22" s="11">
        <f>IF(B22="","",IF(COUNTIF(Crops!$B$6:$B$65,B22)&gt;1,"Listed twice",IF(AND(E22&lt;&gt;"",NOT(ISNUMBER(E22))),"Price not a number",IF(AND(F22&lt;&gt;"",NOT(ISNUMBER(F22))),"Days not a number",IF(OR((G22="")&lt;&gt;(H22=""),(I22="")&lt;&gt;(J22=""),(K22="")&lt;&gt;(L22="")),"A month is missing","")))))</f>
        <v/>
      </c>
      <c r="R22" s="1">
        <f>IFERROR(MATCH(G22,Settings!$H$1:$H$12,0),0)</f>
        <v/>
      </c>
      <c r="S22">
        <f>IFERROR(MATCH(H22,Settings!$H$1:$H$12,0),0)</f>
        <v/>
      </c>
      <c r="T22">
        <f>IFERROR(MATCH(I22,Settings!$H$1:$H$12,0),0)</f>
        <v/>
      </c>
      <c r="U22">
        <f>IFERROR(MATCH(J22,Settings!$H$1:$H$12,0),0)</f>
        <v/>
      </c>
      <c r="V22">
        <f>IFERROR(MATCH(K22,Settings!$H$1:$H$12,0),0)</f>
        <v/>
      </c>
      <c r="W22">
        <f>IFERROR(MATCH(L22,Settings!$H$1:$H$12,0),0)</f>
        <v/>
      </c>
      <c r="X22">
        <f>IF(AND(B22&lt;&gt;"",IF(OR(R22=0,S22=0),0,IF(R22&lt;=S22,IF(AND(MONTH(TODAY())&gt;=R22,MONTH(TODAY())&lt;=S22),1,0),IF(OR(MONTH(TODAY())&gt;=R22,MONTH(TODAY())&lt;=S22),1,0)))=1),ROW(),"")</f>
        <v/>
      </c>
      <c r="Y22">
        <f>IF(AND(B22&lt;&gt;"",IF(OR(T22=0,U22=0),0,IF(T22&lt;=U22,IF(AND(MONTH(TODAY())&gt;=T22,MONTH(TODAY())&lt;=U22),1,0),IF(OR(MONTH(TODAY())&gt;=T22,MONTH(TODAY())&lt;=U22),1,0)))=1),ROW(),"")</f>
        <v/>
      </c>
      <c r="Z22">
        <f>IF(AND(B22&lt;&gt;"",IF(OR(V22=0,W22=0),0,IF(V22&lt;=W22,IF(AND(MONTH(TODAY())&gt;=V22,MONTH(TODAY())&lt;=W22),1,0),IF(OR(MONTH(TODAY())&gt;=V22,MONTH(TODAY())&lt;=W22),1,0)))=1),ROW(),"")</f>
        <v/>
      </c>
      <c r="AA22">
        <f>IF(OR(B22="",N(O22)&lt;=0),"",ROUND(N(P22)*100,0)*1000+1000-ROW())</f>
        <v/>
      </c>
    </row>
    <row r="23">
      <c r="A23" s="1" t="n"/>
      <c r="B23" s="18" t="n"/>
      <c r="C23" s="19" t="n"/>
      <c r="D23" s="19" t="n"/>
      <c r="E23" s="24" t="n"/>
      <c r="F23" s="20" t="n"/>
      <c r="G23" s="19" t="n"/>
      <c r="H23" s="19" t="n"/>
      <c r="I23" s="19" t="n"/>
      <c r="J23" s="19" t="n"/>
      <c r="K23" s="19" t="n"/>
      <c r="L23" s="19" t="n"/>
      <c r="M23" s="21" t="n"/>
      <c r="N23" s="14">
        <f>IF(B23="","",SUMIFS(Plantings!$S$6:$S$505,Plantings!$C$6:$C$505,B23,Plantings!$N$6:$N$505,Settings!$C$5))</f>
        <v/>
      </c>
      <c r="O23" s="10">
        <f>IF(B23="","",SUMIFS(Harvest!$E$6:$E$1505,Harvest!$C$6:$C$1505,B23,Harvest!$J$6:$J$1505,Settings!$C$5))</f>
        <v/>
      </c>
      <c r="P23" s="25">
        <f>IF(B23="","",SUMIFS(Harvest!$H$6:$H$1505,Harvest!$C$6:$C$1505,B23,Harvest!$J$6:$J$1505,Settings!$C$5))</f>
        <v/>
      </c>
      <c r="Q23" s="11">
        <f>IF(B23="","",IF(COUNTIF(Crops!$B$6:$B$65,B23)&gt;1,"Listed twice",IF(AND(E23&lt;&gt;"",NOT(ISNUMBER(E23))),"Price not a number",IF(AND(F23&lt;&gt;"",NOT(ISNUMBER(F23))),"Days not a number",IF(OR((G23="")&lt;&gt;(H23=""),(I23="")&lt;&gt;(J23=""),(K23="")&lt;&gt;(L23="")),"A month is missing","")))))</f>
        <v/>
      </c>
      <c r="R23" s="1">
        <f>IFERROR(MATCH(G23,Settings!$H$1:$H$12,0),0)</f>
        <v/>
      </c>
      <c r="S23">
        <f>IFERROR(MATCH(H23,Settings!$H$1:$H$12,0),0)</f>
        <v/>
      </c>
      <c r="T23">
        <f>IFERROR(MATCH(I23,Settings!$H$1:$H$12,0),0)</f>
        <v/>
      </c>
      <c r="U23">
        <f>IFERROR(MATCH(J23,Settings!$H$1:$H$12,0),0)</f>
        <v/>
      </c>
      <c r="V23">
        <f>IFERROR(MATCH(K23,Settings!$H$1:$H$12,0),0)</f>
        <v/>
      </c>
      <c r="W23">
        <f>IFERROR(MATCH(L23,Settings!$H$1:$H$12,0),0)</f>
        <v/>
      </c>
      <c r="X23">
        <f>IF(AND(B23&lt;&gt;"",IF(OR(R23=0,S23=0),0,IF(R23&lt;=S23,IF(AND(MONTH(TODAY())&gt;=R23,MONTH(TODAY())&lt;=S23),1,0),IF(OR(MONTH(TODAY())&gt;=R23,MONTH(TODAY())&lt;=S23),1,0)))=1),ROW(),"")</f>
        <v/>
      </c>
      <c r="Y23">
        <f>IF(AND(B23&lt;&gt;"",IF(OR(T23=0,U23=0),0,IF(T23&lt;=U23,IF(AND(MONTH(TODAY())&gt;=T23,MONTH(TODAY())&lt;=U23),1,0),IF(OR(MONTH(TODAY())&gt;=T23,MONTH(TODAY())&lt;=U23),1,0)))=1),ROW(),"")</f>
        <v/>
      </c>
      <c r="Z23">
        <f>IF(AND(B23&lt;&gt;"",IF(OR(V23=0,W23=0),0,IF(V23&lt;=W23,IF(AND(MONTH(TODAY())&gt;=V23,MONTH(TODAY())&lt;=W23),1,0),IF(OR(MONTH(TODAY())&gt;=V23,MONTH(TODAY())&lt;=W23),1,0)))=1),ROW(),"")</f>
        <v/>
      </c>
      <c r="AA23">
        <f>IF(OR(B23="",N(O23)&lt;=0),"",ROUND(N(P23)*100,0)*1000+1000-ROW())</f>
        <v/>
      </c>
    </row>
    <row r="24">
      <c r="A24" s="1" t="n"/>
      <c r="B24" s="18" t="n"/>
      <c r="C24" s="19" t="n"/>
      <c r="D24" s="19" t="n"/>
      <c r="E24" s="24" t="n"/>
      <c r="F24" s="20" t="n"/>
      <c r="G24" s="19" t="n"/>
      <c r="H24" s="19" t="n"/>
      <c r="I24" s="19" t="n"/>
      <c r="J24" s="19" t="n"/>
      <c r="K24" s="19" t="n"/>
      <c r="L24" s="19" t="n"/>
      <c r="M24" s="21" t="n"/>
      <c r="N24" s="14">
        <f>IF(B24="","",SUMIFS(Plantings!$S$6:$S$505,Plantings!$C$6:$C$505,B24,Plantings!$N$6:$N$505,Settings!$C$5))</f>
        <v/>
      </c>
      <c r="O24" s="10">
        <f>IF(B24="","",SUMIFS(Harvest!$E$6:$E$1505,Harvest!$C$6:$C$1505,B24,Harvest!$J$6:$J$1505,Settings!$C$5))</f>
        <v/>
      </c>
      <c r="P24" s="25">
        <f>IF(B24="","",SUMIFS(Harvest!$H$6:$H$1505,Harvest!$C$6:$C$1505,B24,Harvest!$J$6:$J$1505,Settings!$C$5))</f>
        <v/>
      </c>
      <c r="Q24" s="11">
        <f>IF(B24="","",IF(COUNTIF(Crops!$B$6:$B$65,B24)&gt;1,"Listed twice",IF(AND(E24&lt;&gt;"",NOT(ISNUMBER(E24))),"Price not a number",IF(AND(F24&lt;&gt;"",NOT(ISNUMBER(F24))),"Days not a number",IF(OR((G24="")&lt;&gt;(H24=""),(I24="")&lt;&gt;(J24=""),(K24="")&lt;&gt;(L24="")),"A month is missing","")))))</f>
        <v/>
      </c>
      <c r="R24" s="1">
        <f>IFERROR(MATCH(G24,Settings!$H$1:$H$12,0),0)</f>
        <v/>
      </c>
      <c r="S24">
        <f>IFERROR(MATCH(H24,Settings!$H$1:$H$12,0),0)</f>
        <v/>
      </c>
      <c r="T24">
        <f>IFERROR(MATCH(I24,Settings!$H$1:$H$12,0),0)</f>
        <v/>
      </c>
      <c r="U24">
        <f>IFERROR(MATCH(J24,Settings!$H$1:$H$12,0),0)</f>
        <v/>
      </c>
      <c r="V24">
        <f>IFERROR(MATCH(K24,Settings!$H$1:$H$12,0),0)</f>
        <v/>
      </c>
      <c r="W24">
        <f>IFERROR(MATCH(L24,Settings!$H$1:$H$12,0),0)</f>
        <v/>
      </c>
      <c r="X24">
        <f>IF(AND(B24&lt;&gt;"",IF(OR(R24=0,S24=0),0,IF(R24&lt;=S24,IF(AND(MONTH(TODAY())&gt;=R24,MONTH(TODAY())&lt;=S24),1,0),IF(OR(MONTH(TODAY())&gt;=R24,MONTH(TODAY())&lt;=S24),1,0)))=1),ROW(),"")</f>
        <v/>
      </c>
      <c r="Y24">
        <f>IF(AND(B24&lt;&gt;"",IF(OR(T24=0,U24=0),0,IF(T24&lt;=U24,IF(AND(MONTH(TODAY())&gt;=T24,MONTH(TODAY())&lt;=U24),1,0),IF(OR(MONTH(TODAY())&gt;=T24,MONTH(TODAY())&lt;=U24),1,0)))=1),ROW(),"")</f>
        <v/>
      </c>
      <c r="Z24">
        <f>IF(AND(B24&lt;&gt;"",IF(OR(V24=0,W24=0),0,IF(V24&lt;=W24,IF(AND(MONTH(TODAY())&gt;=V24,MONTH(TODAY())&lt;=W24),1,0),IF(OR(MONTH(TODAY())&gt;=V24,MONTH(TODAY())&lt;=W24),1,0)))=1),ROW(),"")</f>
        <v/>
      </c>
      <c r="AA24">
        <f>IF(OR(B24="",N(O24)&lt;=0),"",ROUND(N(P24)*100,0)*1000+1000-ROW())</f>
        <v/>
      </c>
    </row>
    <row r="25">
      <c r="A25" s="1" t="n"/>
      <c r="B25" s="18" t="n"/>
      <c r="C25" s="19" t="n"/>
      <c r="D25" s="19" t="n"/>
      <c r="E25" s="24" t="n"/>
      <c r="F25" s="20" t="n"/>
      <c r="G25" s="19" t="n"/>
      <c r="H25" s="19" t="n"/>
      <c r="I25" s="19" t="n"/>
      <c r="J25" s="19" t="n"/>
      <c r="K25" s="19" t="n"/>
      <c r="L25" s="19" t="n"/>
      <c r="M25" s="21" t="n"/>
      <c r="N25" s="14">
        <f>IF(B25="","",SUMIFS(Plantings!$S$6:$S$505,Plantings!$C$6:$C$505,B25,Plantings!$N$6:$N$505,Settings!$C$5))</f>
        <v/>
      </c>
      <c r="O25" s="10">
        <f>IF(B25="","",SUMIFS(Harvest!$E$6:$E$1505,Harvest!$C$6:$C$1505,B25,Harvest!$J$6:$J$1505,Settings!$C$5))</f>
        <v/>
      </c>
      <c r="P25" s="25">
        <f>IF(B25="","",SUMIFS(Harvest!$H$6:$H$1505,Harvest!$C$6:$C$1505,B25,Harvest!$J$6:$J$1505,Settings!$C$5))</f>
        <v/>
      </c>
      <c r="Q25" s="11">
        <f>IF(B25="","",IF(COUNTIF(Crops!$B$6:$B$65,B25)&gt;1,"Listed twice",IF(AND(E25&lt;&gt;"",NOT(ISNUMBER(E25))),"Price not a number",IF(AND(F25&lt;&gt;"",NOT(ISNUMBER(F25))),"Days not a number",IF(OR((G25="")&lt;&gt;(H25=""),(I25="")&lt;&gt;(J25=""),(K25="")&lt;&gt;(L25="")),"A month is missing","")))))</f>
        <v/>
      </c>
      <c r="R25" s="1">
        <f>IFERROR(MATCH(G25,Settings!$H$1:$H$12,0),0)</f>
        <v/>
      </c>
      <c r="S25">
        <f>IFERROR(MATCH(H25,Settings!$H$1:$H$12,0),0)</f>
        <v/>
      </c>
      <c r="T25">
        <f>IFERROR(MATCH(I25,Settings!$H$1:$H$12,0),0)</f>
        <v/>
      </c>
      <c r="U25">
        <f>IFERROR(MATCH(J25,Settings!$H$1:$H$12,0),0)</f>
        <v/>
      </c>
      <c r="V25">
        <f>IFERROR(MATCH(K25,Settings!$H$1:$H$12,0),0)</f>
        <v/>
      </c>
      <c r="W25">
        <f>IFERROR(MATCH(L25,Settings!$H$1:$H$12,0),0)</f>
        <v/>
      </c>
      <c r="X25">
        <f>IF(AND(B25&lt;&gt;"",IF(OR(R25=0,S25=0),0,IF(R25&lt;=S25,IF(AND(MONTH(TODAY())&gt;=R25,MONTH(TODAY())&lt;=S25),1,0),IF(OR(MONTH(TODAY())&gt;=R25,MONTH(TODAY())&lt;=S25),1,0)))=1),ROW(),"")</f>
        <v/>
      </c>
      <c r="Y25">
        <f>IF(AND(B25&lt;&gt;"",IF(OR(T25=0,U25=0),0,IF(T25&lt;=U25,IF(AND(MONTH(TODAY())&gt;=T25,MONTH(TODAY())&lt;=U25),1,0),IF(OR(MONTH(TODAY())&gt;=T25,MONTH(TODAY())&lt;=U25),1,0)))=1),ROW(),"")</f>
        <v/>
      </c>
      <c r="Z25">
        <f>IF(AND(B25&lt;&gt;"",IF(OR(V25=0,W25=0),0,IF(V25&lt;=W25,IF(AND(MONTH(TODAY())&gt;=V25,MONTH(TODAY())&lt;=W25),1,0),IF(OR(MONTH(TODAY())&gt;=V25,MONTH(TODAY())&lt;=W25),1,0)))=1),ROW(),"")</f>
        <v/>
      </c>
      <c r="AA25">
        <f>IF(OR(B25="",N(O25)&lt;=0),"",ROUND(N(P25)*100,0)*1000+1000-ROW())</f>
        <v/>
      </c>
    </row>
    <row r="26">
      <c r="A26" s="1" t="n"/>
      <c r="B26" s="18" t="n"/>
      <c r="C26" s="19" t="n"/>
      <c r="D26" s="19" t="n"/>
      <c r="E26" s="24" t="n"/>
      <c r="F26" s="20" t="n"/>
      <c r="G26" s="19" t="n"/>
      <c r="H26" s="19" t="n"/>
      <c r="I26" s="19" t="n"/>
      <c r="J26" s="19" t="n"/>
      <c r="K26" s="19" t="n"/>
      <c r="L26" s="19" t="n"/>
      <c r="M26" s="21" t="n"/>
      <c r="N26" s="14">
        <f>IF(B26="","",SUMIFS(Plantings!$S$6:$S$505,Plantings!$C$6:$C$505,B26,Plantings!$N$6:$N$505,Settings!$C$5))</f>
        <v/>
      </c>
      <c r="O26" s="10">
        <f>IF(B26="","",SUMIFS(Harvest!$E$6:$E$1505,Harvest!$C$6:$C$1505,B26,Harvest!$J$6:$J$1505,Settings!$C$5))</f>
        <v/>
      </c>
      <c r="P26" s="25">
        <f>IF(B26="","",SUMIFS(Harvest!$H$6:$H$1505,Harvest!$C$6:$C$1505,B26,Harvest!$J$6:$J$1505,Settings!$C$5))</f>
        <v/>
      </c>
      <c r="Q26" s="11">
        <f>IF(B26="","",IF(COUNTIF(Crops!$B$6:$B$65,B26)&gt;1,"Listed twice",IF(AND(E26&lt;&gt;"",NOT(ISNUMBER(E26))),"Price not a number",IF(AND(F26&lt;&gt;"",NOT(ISNUMBER(F26))),"Days not a number",IF(OR((G26="")&lt;&gt;(H26=""),(I26="")&lt;&gt;(J26=""),(K26="")&lt;&gt;(L26="")),"A month is missing","")))))</f>
        <v/>
      </c>
      <c r="R26" s="1">
        <f>IFERROR(MATCH(G26,Settings!$H$1:$H$12,0),0)</f>
        <v/>
      </c>
      <c r="S26">
        <f>IFERROR(MATCH(H26,Settings!$H$1:$H$12,0),0)</f>
        <v/>
      </c>
      <c r="T26">
        <f>IFERROR(MATCH(I26,Settings!$H$1:$H$12,0),0)</f>
        <v/>
      </c>
      <c r="U26">
        <f>IFERROR(MATCH(J26,Settings!$H$1:$H$12,0),0)</f>
        <v/>
      </c>
      <c r="V26">
        <f>IFERROR(MATCH(K26,Settings!$H$1:$H$12,0),0)</f>
        <v/>
      </c>
      <c r="W26">
        <f>IFERROR(MATCH(L26,Settings!$H$1:$H$12,0),0)</f>
        <v/>
      </c>
      <c r="X26">
        <f>IF(AND(B26&lt;&gt;"",IF(OR(R26=0,S26=0),0,IF(R26&lt;=S26,IF(AND(MONTH(TODAY())&gt;=R26,MONTH(TODAY())&lt;=S26),1,0),IF(OR(MONTH(TODAY())&gt;=R26,MONTH(TODAY())&lt;=S26),1,0)))=1),ROW(),"")</f>
        <v/>
      </c>
      <c r="Y26">
        <f>IF(AND(B26&lt;&gt;"",IF(OR(T26=0,U26=0),0,IF(T26&lt;=U26,IF(AND(MONTH(TODAY())&gt;=T26,MONTH(TODAY())&lt;=U26),1,0),IF(OR(MONTH(TODAY())&gt;=T26,MONTH(TODAY())&lt;=U26),1,0)))=1),ROW(),"")</f>
        <v/>
      </c>
      <c r="Z26">
        <f>IF(AND(B26&lt;&gt;"",IF(OR(V26=0,W26=0),0,IF(V26&lt;=W26,IF(AND(MONTH(TODAY())&gt;=V26,MONTH(TODAY())&lt;=W26),1,0),IF(OR(MONTH(TODAY())&gt;=V26,MONTH(TODAY())&lt;=W26),1,0)))=1),ROW(),"")</f>
        <v/>
      </c>
      <c r="AA26">
        <f>IF(OR(B26="",N(O26)&lt;=0),"",ROUND(N(P26)*100,0)*1000+1000-ROW())</f>
        <v/>
      </c>
    </row>
    <row r="27">
      <c r="A27" s="1" t="n"/>
      <c r="B27" s="18" t="n"/>
      <c r="C27" s="19" t="n"/>
      <c r="D27" s="19" t="n"/>
      <c r="E27" s="24" t="n"/>
      <c r="F27" s="20" t="n"/>
      <c r="G27" s="19" t="n"/>
      <c r="H27" s="19" t="n"/>
      <c r="I27" s="19" t="n"/>
      <c r="J27" s="19" t="n"/>
      <c r="K27" s="19" t="n"/>
      <c r="L27" s="19" t="n"/>
      <c r="M27" s="21" t="n"/>
      <c r="N27" s="14">
        <f>IF(B27="","",SUMIFS(Plantings!$S$6:$S$505,Plantings!$C$6:$C$505,B27,Plantings!$N$6:$N$505,Settings!$C$5))</f>
        <v/>
      </c>
      <c r="O27" s="10">
        <f>IF(B27="","",SUMIFS(Harvest!$E$6:$E$1505,Harvest!$C$6:$C$1505,B27,Harvest!$J$6:$J$1505,Settings!$C$5))</f>
        <v/>
      </c>
      <c r="P27" s="25">
        <f>IF(B27="","",SUMIFS(Harvest!$H$6:$H$1505,Harvest!$C$6:$C$1505,B27,Harvest!$J$6:$J$1505,Settings!$C$5))</f>
        <v/>
      </c>
      <c r="Q27" s="11">
        <f>IF(B27="","",IF(COUNTIF(Crops!$B$6:$B$65,B27)&gt;1,"Listed twice",IF(AND(E27&lt;&gt;"",NOT(ISNUMBER(E27))),"Price not a number",IF(AND(F27&lt;&gt;"",NOT(ISNUMBER(F27))),"Days not a number",IF(OR((G27="")&lt;&gt;(H27=""),(I27="")&lt;&gt;(J27=""),(K27="")&lt;&gt;(L27="")),"A month is missing","")))))</f>
        <v/>
      </c>
      <c r="R27" s="1">
        <f>IFERROR(MATCH(G27,Settings!$H$1:$H$12,0),0)</f>
        <v/>
      </c>
      <c r="S27">
        <f>IFERROR(MATCH(H27,Settings!$H$1:$H$12,0),0)</f>
        <v/>
      </c>
      <c r="T27">
        <f>IFERROR(MATCH(I27,Settings!$H$1:$H$12,0),0)</f>
        <v/>
      </c>
      <c r="U27">
        <f>IFERROR(MATCH(J27,Settings!$H$1:$H$12,0),0)</f>
        <v/>
      </c>
      <c r="V27">
        <f>IFERROR(MATCH(K27,Settings!$H$1:$H$12,0),0)</f>
        <v/>
      </c>
      <c r="W27">
        <f>IFERROR(MATCH(L27,Settings!$H$1:$H$12,0),0)</f>
        <v/>
      </c>
      <c r="X27">
        <f>IF(AND(B27&lt;&gt;"",IF(OR(R27=0,S27=0),0,IF(R27&lt;=S27,IF(AND(MONTH(TODAY())&gt;=R27,MONTH(TODAY())&lt;=S27),1,0),IF(OR(MONTH(TODAY())&gt;=R27,MONTH(TODAY())&lt;=S27),1,0)))=1),ROW(),"")</f>
        <v/>
      </c>
      <c r="Y27">
        <f>IF(AND(B27&lt;&gt;"",IF(OR(T27=0,U27=0),0,IF(T27&lt;=U27,IF(AND(MONTH(TODAY())&gt;=T27,MONTH(TODAY())&lt;=U27),1,0),IF(OR(MONTH(TODAY())&gt;=T27,MONTH(TODAY())&lt;=U27),1,0)))=1),ROW(),"")</f>
        <v/>
      </c>
      <c r="Z27">
        <f>IF(AND(B27&lt;&gt;"",IF(OR(V27=0,W27=0),0,IF(V27&lt;=W27,IF(AND(MONTH(TODAY())&gt;=V27,MONTH(TODAY())&lt;=W27),1,0),IF(OR(MONTH(TODAY())&gt;=V27,MONTH(TODAY())&lt;=W27),1,0)))=1),ROW(),"")</f>
        <v/>
      </c>
      <c r="AA27">
        <f>IF(OR(B27="",N(O27)&lt;=0),"",ROUND(N(P27)*100,0)*1000+1000-ROW())</f>
        <v/>
      </c>
    </row>
    <row r="28">
      <c r="A28" s="1" t="n"/>
      <c r="B28" s="18" t="n"/>
      <c r="C28" s="19" t="n"/>
      <c r="D28" s="19" t="n"/>
      <c r="E28" s="24" t="n"/>
      <c r="F28" s="20" t="n"/>
      <c r="G28" s="19" t="n"/>
      <c r="H28" s="19" t="n"/>
      <c r="I28" s="19" t="n"/>
      <c r="J28" s="19" t="n"/>
      <c r="K28" s="19" t="n"/>
      <c r="L28" s="19" t="n"/>
      <c r="M28" s="21" t="n"/>
      <c r="N28" s="14">
        <f>IF(B28="","",SUMIFS(Plantings!$S$6:$S$505,Plantings!$C$6:$C$505,B28,Plantings!$N$6:$N$505,Settings!$C$5))</f>
        <v/>
      </c>
      <c r="O28" s="10">
        <f>IF(B28="","",SUMIFS(Harvest!$E$6:$E$1505,Harvest!$C$6:$C$1505,B28,Harvest!$J$6:$J$1505,Settings!$C$5))</f>
        <v/>
      </c>
      <c r="P28" s="25">
        <f>IF(B28="","",SUMIFS(Harvest!$H$6:$H$1505,Harvest!$C$6:$C$1505,B28,Harvest!$J$6:$J$1505,Settings!$C$5))</f>
        <v/>
      </c>
      <c r="Q28" s="11">
        <f>IF(B28="","",IF(COUNTIF(Crops!$B$6:$B$65,B28)&gt;1,"Listed twice",IF(AND(E28&lt;&gt;"",NOT(ISNUMBER(E28))),"Price not a number",IF(AND(F28&lt;&gt;"",NOT(ISNUMBER(F28))),"Days not a number",IF(OR((G28="")&lt;&gt;(H28=""),(I28="")&lt;&gt;(J28=""),(K28="")&lt;&gt;(L28="")),"A month is missing","")))))</f>
        <v/>
      </c>
      <c r="R28" s="1">
        <f>IFERROR(MATCH(G28,Settings!$H$1:$H$12,0),0)</f>
        <v/>
      </c>
      <c r="S28">
        <f>IFERROR(MATCH(H28,Settings!$H$1:$H$12,0),0)</f>
        <v/>
      </c>
      <c r="T28">
        <f>IFERROR(MATCH(I28,Settings!$H$1:$H$12,0),0)</f>
        <v/>
      </c>
      <c r="U28">
        <f>IFERROR(MATCH(J28,Settings!$H$1:$H$12,0),0)</f>
        <v/>
      </c>
      <c r="V28">
        <f>IFERROR(MATCH(K28,Settings!$H$1:$H$12,0),0)</f>
        <v/>
      </c>
      <c r="W28">
        <f>IFERROR(MATCH(L28,Settings!$H$1:$H$12,0),0)</f>
        <v/>
      </c>
      <c r="X28">
        <f>IF(AND(B28&lt;&gt;"",IF(OR(R28=0,S28=0),0,IF(R28&lt;=S28,IF(AND(MONTH(TODAY())&gt;=R28,MONTH(TODAY())&lt;=S28),1,0),IF(OR(MONTH(TODAY())&gt;=R28,MONTH(TODAY())&lt;=S28),1,0)))=1),ROW(),"")</f>
        <v/>
      </c>
      <c r="Y28">
        <f>IF(AND(B28&lt;&gt;"",IF(OR(T28=0,U28=0),0,IF(T28&lt;=U28,IF(AND(MONTH(TODAY())&gt;=T28,MONTH(TODAY())&lt;=U28),1,0),IF(OR(MONTH(TODAY())&gt;=T28,MONTH(TODAY())&lt;=U28),1,0)))=1),ROW(),"")</f>
        <v/>
      </c>
      <c r="Z28">
        <f>IF(AND(B28&lt;&gt;"",IF(OR(V28=0,W28=0),0,IF(V28&lt;=W28,IF(AND(MONTH(TODAY())&gt;=V28,MONTH(TODAY())&lt;=W28),1,0),IF(OR(MONTH(TODAY())&gt;=V28,MONTH(TODAY())&lt;=W28),1,0)))=1),ROW(),"")</f>
        <v/>
      </c>
      <c r="AA28">
        <f>IF(OR(B28="",N(O28)&lt;=0),"",ROUND(N(P28)*100,0)*1000+1000-ROW())</f>
        <v/>
      </c>
    </row>
    <row r="29">
      <c r="A29" s="1" t="n"/>
      <c r="B29" s="18" t="n"/>
      <c r="C29" s="19" t="n"/>
      <c r="D29" s="19" t="n"/>
      <c r="E29" s="24" t="n"/>
      <c r="F29" s="20" t="n"/>
      <c r="G29" s="19" t="n"/>
      <c r="H29" s="19" t="n"/>
      <c r="I29" s="19" t="n"/>
      <c r="J29" s="19" t="n"/>
      <c r="K29" s="19" t="n"/>
      <c r="L29" s="19" t="n"/>
      <c r="M29" s="21" t="n"/>
      <c r="N29" s="14">
        <f>IF(B29="","",SUMIFS(Plantings!$S$6:$S$505,Plantings!$C$6:$C$505,B29,Plantings!$N$6:$N$505,Settings!$C$5))</f>
        <v/>
      </c>
      <c r="O29" s="10">
        <f>IF(B29="","",SUMIFS(Harvest!$E$6:$E$1505,Harvest!$C$6:$C$1505,B29,Harvest!$J$6:$J$1505,Settings!$C$5))</f>
        <v/>
      </c>
      <c r="P29" s="25">
        <f>IF(B29="","",SUMIFS(Harvest!$H$6:$H$1505,Harvest!$C$6:$C$1505,B29,Harvest!$J$6:$J$1505,Settings!$C$5))</f>
        <v/>
      </c>
      <c r="Q29" s="11">
        <f>IF(B29="","",IF(COUNTIF(Crops!$B$6:$B$65,B29)&gt;1,"Listed twice",IF(AND(E29&lt;&gt;"",NOT(ISNUMBER(E29))),"Price not a number",IF(AND(F29&lt;&gt;"",NOT(ISNUMBER(F29))),"Days not a number",IF(OR((G29="")&lt;&gt;(H29=""),(I29="")&lt;&gt;(J29=""),(K29="")&lt;&gt;(L29="")),"A month is missing","")))))</f>
        <v/>
      </c>
      <c r="R29" s="1">
        <f>IFERROR(MATCH(G29,Settings!$H$1:$H$12,0),0)</f>
        <v/>
      </c>
      <c r="S29">
        <f>IFERROR(MATCH(H29,Settings!$H$1:$H$12,0),0)</f>
        <v/>
      </c>
      <c r="T29">
        <f>IFERROR(MATCH(I29,Settings!$H$1:$H$12,0),0)</f>
        <v/>
      </c>
      <c r="U29">
        <f>IFERROR(MATCH(J29,Settings!$H$1:$H$12,0),0)</f>
        <v/>
      </c>
      <c r="V29">
        <f>IFERROR(MATCH(K29,Settings!$H$1:$H$12,0),0)</f>
        <v/>
      </c>
      <c r="W29">
        <f>IFERROR(MATCH(L29,Settings!$H$1:$H$12,0),0)</f>
        <v/>
      </c>
      <c r="X29">
        <f>IF(AND(B29&lt;&gt;"",IF(OR(R29=0,S29=0),0,IF(R29&lt;=S29,IF(AND(MONTH(TODAY())&gt;=R29,MONTH(TODAY())&lt;=S29),1,0),IF(OR(MONTH(TODAY())&gt;=R29,MONTH(TODAY())&lt;=S29),1,0)))=1),ROW(),"")</f>
        <v/>
      </c>
      <c r="Y29">
        <f>IF(AND(B29&lt;&gt;"",IF(OR(T29=0,U29=0),0,IF(T29&lt;=U29,IF(AND(MONTH(TODAY())&gt;=T29,MONTH(TODAY())&lt;=U29),1,0),IF(OR(MONTH(TODAY())&gt;=T29,MONTH(TODAY())&lt;=U29),1,0)))=1),ROW(),"")</f>
        <v/>
      </c>
      <c r="Z29">
        <f>IF(AND(B29&lt;&gt;"",IF(OR(V29=0,W29=0),0,IF(V29&lt;=W29,IF(AND(MONTH(TODAY())&gt;=V29,MONTH(TODAY())&lt;=W29),1,0),IF(OR(MONTH(TODAY())&gt;=V29,MONTH(TODAY())&lt;=W29),1,0)))=1),ROW(),"")</f>
        <v/>
      </c>
      <c r="AA29">
        <f>IF(OR(B29="",N(O29)&lt;=0),"",ROUND(N(P29)*100,0)*1000+1000-ROW())</f>
        <v/>
      </c>
    </row>
    <row r="30">
      <c r="A30" s="1" t="n"/>
      <c r="B30" s="18" t="n"/>
      <c r="C30" s="19" t="n"/>
      <c r="D30" s="19" t="n"/>
      <c r="E30" s="24" t="n"/>
      <c r="F30" s="20" t="n"/>
      <c r="G30" s="19" t="n"/>
      <c r="H30" s="19" t="n"/>
      <c r="I30" s="19" t="n"/>
      <c r="J30" s="19" t="n"/>
      <c r="K30" s="19" t="n"/>
      <c r="L30" s="19" t="n"/>
      <c r="M30" s="21" t="n"/>
      <c r="N30" s="14">
        <f>IF(B30="","",SUMIFS(Plantings!$S$6:$S$505,Plantings!$C$6:$C$505,B30,Plantings!$N$6:$N$505,Settings!$C$5))</f>
        <v/>
      </c>
      <c r="O30" s="10">
        <f>IF(B30="","",SUMIFS(Harvest!$E$6:$E$1505,Harvest!$C$6:$C$1505,B30,Harvest!$J$6:$J$1505,Settings!$C$5))</f>
        <v/>
      </c>
      <c r="P30" s="25">
        <f>IF(B30="","",SUMIFS(Harvest!$H$6:$H$1505,Harvest!$C$6:$C$1505,B30,Harvest!$J$6:$J$1505,Settings!$C$5))</f>
        <v/>
      </c>
      <c r="Q30" s="11">
        <f>IF(B30="","",IF(COUNTIF(Crops!$B$6:$B$65,B30)&gt;1,"Listed twice",IF(AND(E30&lt;&gt;"",NOT(ISNUMBER(E30))),"Price not a number",IF(AND(F30&lt;&gt;"",NOT(ISNUMBER(F30))),"Days not a number",IF(OR((G30="")&lt;&gt;(H30=""),(I30="")&lt;&gt;(J30=""),(K30="")&lt;&gt;(L30="")),"A month is missing","")))))</f>
        <v/>
      </c>
      <c r="R30" s="1">
        <f>IFERROR(MATCH(G30,Settings!$H$1:$H$12,0),0)</f>
        <v/>
      </c>
      <c r="S30">
        <f>IFERROR(MATCH(H30,Settings!$H$1:$H$12,0),0)</f>
        <v/>
      </c>
      <c r="T30">
        <f>IFERROR(MATCH(I30,Settings!$H$1:$H$12,0),0)</f>
        <v/>
      </c>
      <c r="U30">
        <f>IFERROR(MATCH(J30,Settings!$H$1:$H$12,0),0)</f>
        <v/>
      </c>
      <c r="V30">
        <f>IFERROR(MATCH(K30,Settings!$H$1:$H$12,0),0)</f>
        <v/>
      </c>
      <c r="W30">
        <f>IFERROR(MATCH(L30,Settings!$H$1:$H$12,0),0)</f>
        <v/>
      </c>
      <c r="X30">
        <f>IF(AND(B30&lt;&gt;"",IF(OR(R30=0,S30=0),0,IF(R30&lt;=S30,IF(AND(MONTH(TODAY())&gt;=R30,MONTH(TODAY())&lt;=S30),1,0),IF(OR(MONTH(TODAY())&gt;=R30,MONTH(TODAY())&lt;=S30),1,0)))=1),ROW(),"")</f>
        <v/>
      </c>
      <c r="Y30">
        <f>IF(AND(B30&lt;&gt;"",IF(OR(T30=0,U30=0),0,IF(T30&lt;=U30,IF(AND(MONTH(TODAY())&gt;=T30,MONTH(TODAY())&lt;=U30),1,0),IF(OR(MONTH(TODAY())&gt;=T30,MONTH(TODAY())&lt;=U30),1,0)))=1),ROW(),"")</f>
        <v/>
      </c>
      <c r="Z30">
        <f>IF(AND(B30&lt;&gt;"",IF(OR(V30=0,W30=0),0,IF(V30&lt;=W30,IF(AND(MONTH(TODAY())&gt;=V30,MONTH(TODAY())&lt;=W30),1,0),IF(OR(MONTH(TODAY())&gt;=V30,MONTH(TODAY())&lt;=W30),1,0)))=1),ROW(),"")</f>
        <v/>
      </c>
      <c r="AA30">
        <f>IF(OR(B30="",N(O30)&lt;=0),"",ROUND(N(P30)*100,0)*1000+1000-ROW())</f>
        <v/>
      </c>
    </row>
    <row r="31">
      <c r="A31" s="1" t="n"/>
      <c r="B31" s="18" t="n"/>
      <c r="C31" s="19" t="n"/>
      <c r="D31" s="19" t="n"/>
      <c r="E31" s="24" t="n"/>
      <c r="F31" s="20" t="n"/>
      <c r="G31" s="19" t="n"/>
      <c r="H31" s="19" t="n"/>
      <c r="I31" s="19" t="n"/>
      <c r="J31" s="19" t="n"/>
      <c r="K31" s="19" t="n"/>
      <c r="L31" s="19" t="n"/>
      <c r="M31" s="21" t="n"/>
      <c r="N31" s="14">
        <f>IF(B31="","",SUMIFS(Plantings!$S$6:$S$505,Plantings!$C$6:$C$505,B31,Plantings!$N$6:$N$505,Settings!$C$5))</f>
        <v/>
      </c>
      <c r="O31" s="10">
        <f>IF(B31="","",SUMIFS(Harvest!$E$6:$E$1505,Harvest!$C$6:$C$1505,B31,Harvest!$J$6:$J$1505,Settings!$C$5))</f>
        <v/>
      </c>
      <c r="P31" s="25">
        <f>IF(B31="","",SUMIFS(Harvest!$H$6:$H$1505,Harvest!$C$6:$C$1505,B31,Harvest!$J$6:$J$1505,Settings!$C$5))</f>
        <v/>
      </c>
      <c r="Q31" s="11">
        <f>IF(B31="","",IF(COUNTIF(Crops!$B$6:$B$65,B31)&gt;1,"Listed twice",IF(AND(E31&lt;&gt;"",NOT(ISNUMBER(E31))),"Price not a number",IF(AND(F31&lt;&gt;"",NOT(ISNUMBER(F31))),"Days not a number",IF(OR((G31="")&lt;&gt;(H31=""),(I31="")&lt;&gt;(J31=""),(K31="")&lt;&gt;(L31="")),"A month is missing","")))))</f>
        <v/>
      </c>
      <c r="R31" s="1">
        <f>IFERROR(MATCH(G31,Settings!$H$1:$H$12,0),0)</f>
        <v/>
      </c>
      <c r="S31">
        <f>IFERROR(MATCH(H31,Settings!$H$1:$H$12,0),0)</f>
        <v/>
      </c>
      <c r="T31">
        <f>IFERROR(MATCH(I31,Settings!$H$1:$H$12,0),0)</f>
        <v/>
      </c>
      <c r="U31">
        <f>IFERROR(MATCH(J31,Settings!$H$1:$H$12,0),0)</f>
        <v/>
      </c>
      <c r="V31">
        <f>IFERROR(MATCH(K31,Settings!$H$1:$H$12,0),0)</f>
        <v/>
      </c>
      <c r="W31">
        <f>IFERROR(MATCH(L31,Settings!$H$1:$H$12,0),0)</f>
        <v/>
      </c>
      <c r="X31">
        <f>IF(AND(B31&lt;&gt;"",IF(OR(R31=0,S31=0),0,IF(R31&lt;=S31,IF(AND(MONTH(TODAY())&gt;=R31,MONTH(TODAY())&lt;=S31),1,0),IF(OR(MONTH(TODAY())&gt;=R31,MONTH(TODAY())&lt;=S31),1,0)))=1),ROW(),"")</f>
        <v/>
      </c>
      <c r="Y31">
        <f>IF(AND(B31&lt;&gt;"",IF(OR(T31=0,U31=0),0,IF(T31&lt;=U31,IF(AND(MONTH(TODAY())&gt;=T31,MONTH(TODAY())&lt;=U31),1,0),IF(OR(MONTH(TODAY())&gt;=T31,MONTH(TODAY())&lt;=U31),1,0)))=1),ROW(),"")</f>
        <v/>
      </c>
      <c r="Z31">
        <f>IF(AND(B31&lt;&gt;"",IF(OR(V31=0,W31=0),0,IF(V31&lt;=W31,IF(AND(MONTH(TODAY())&gt;=V31,MONTH(TODAY())&lt;=W31),1,0),IF(OR(MONTH(TODAY())&gt;=V31,MONTH(TODAY())&lt;=W31),1,0)))=1),ROW(),"")</f>
        <v/>
      </c>
      <c r="AA31">
        <f>IF(OR(B31="",N(O31)&lt;=0),"",ROUND(N(P31)*100,0)*1000+1000-ROW())</f>
        <v/>
      </c>
    </row>
    <row r="32">
      <c r="A32" s="1" t="n"/>
      <c r="B32" s="18" t="n"/>
      <c r="C32" s="19" t="n"/>
      <c r="D32" s="19" t="n"/>
      <c r="E32" s="24" t="n"/>
      <c r="F32" s="20" t="n"/>
      <c r="G32" s="19" t="n"/>
      <c r="H32" s="19" t="n"/>
      <c r="I32" s="19" t="n"/>
      <c r="J32" s="19" t="n"/>
      <c r="K32" s="19" t="n"/>
      <c r="L32" s="19" t="n"/>
      <c r="M32" s="21" t="n"/>
      <c r="N32" s="14">
        <f>IF(B32="","",SUMIFS(Plantings!$S$6:$S$505,Plantings!$C$6:$C$505,B32,Plantings!$N$6:$N$505,Settings!$C$5))</f>
        <v/>
      </c>
      <c r="O32" s="10">
        <f>IF(B32="","",SUMIFS(Harvest!$E$6:$E$1505,Harvest!$C$6:$C$1505,B32,Harvest!$J$6:$J$1505,Settings!$C$5))</f>
        <v/>
      </c>
      <c r="P32" s="25">
        <f>IF(B32="","",SUMIFS(Harvest!$H$6:$H$1505,Harvest!$C$6:$C$1505,B32,Harvest!$J$6:$J$1505,Settings!$C$5))</f>
        <v/>
      </c>
      <c r="Q32" s="11">
        <f>IF(B32="","",IF(COUNTIF(Crops!$B$6:$B$65,B32)&gt;1,"Listed twice",IF(AND(E32&lt;&gt;"",NOT(ISNUMBER(E32))),"Price not a number",IF(AND(F32&lt;&gt;"",NOT(ISNUMBER(F32))),"Days not a number",IF(OR((G32="")&lt;&gt;(H32=""),(I32="")&lt;&gt;(J32=""),(K32="")&lt;&gt;(L32="")),"A month is missing","")))))</f>
        <v/>
      </c>
      <c r="R32" s="1">
        <f>IFERROR(MATCH(G32,Settings!$H$1:$H$12,0),0)</f>
        <v/>
      </c>
      <c r="S32">
        <f>IFERROR(MATCH(H32,Settings!$H$1:$H$12,0),0)</f>
        <v/>
      </c>
      <c r="T32">
        <f>IFERROR(MATCH(I32,Settings!$H$1:$H$12,0),0)</f>
        <v/>
      </c>
      <c r="U32">
        <f>IFERROR(MATCH(J32,Settings!$H$1:$H$12,0),0)</f>
        <v/>
      </c>
      <c r="V32">
        <f>IFERROR(MATCH(K32,Settings!$H$1:$H$12,0),0)</f>
        <v/>
      </c>
      <c r="W32">
        <f>IFERROR(MATCH(L32,Settings!$H$1:$H$12,0),0)</f>
        <v/>
      </c>
      <c r="X32">
        <f>IF(AND(B32&lt;&gt;"",IF(OR(R32=0,S32=0),0,IF(R32&lt;=S32,IF(AND(MONTH(TODAY())&gt;=R32,MONTH(TODAY())&lt;=S32),1,0),IF(OR(MONTH(TODAY())&gt;=R32,MONTH(TODAY())&lt;=S32),1,0)))=1),ROW(),"")</f>
        <v/>
      </c>
      <c r="Y32">
        <f>IF(AND(B32&lt;&gt;"",IF(OR(T32=0,U32=0),0,IF(T32&lt;=U32,IF(AND(MONTH(TODAY())&gt;=T32,MONTH(TODAY())&lt;=U32),1,0),IF(OR(MONTH(TODAY())&gt;=T32,MONTH(TODAY())&lt;=U32),1,0)))=1),ROW(),"")</f>
        <v/>
      </c>
      <c r="Z32">
        <f>IF(AND(B32&lt;&gt;"",IF(OR(V32=0,W32=0),0,IF(V32&lt;=W32,IF(AND(MONTH(TODAY())&gt;=V32,MONTH(TODAY())&lt;=W32),1,0),IF(OR(MONTH(TODAY())&gt;=V32,MONTH(TODAY())&lt;=W32),1,0)))=1),ROW(),"")</f>
        <v/>
      </c>
      <c r="AA32">
        <f>IF(OR(B32="",N(O32)&lt;=0),"",ROUND(N(P32)*100,0)*1000+1000-ROW())</f>
        <v/>
      </c>
    </row>
    <row r="33">
      <c r="A33" s="1" t="n"/>
      <c r="B33" s="18" t="n"/>
      <c r="C33" s="19" t="n"/>
      <c r="D33" s="19" t="n"/>
      <c r="E33" s="24" t="n"/>
      <c r="F33" s="20" t="n"/>
      <c r="G33" s="19" t="n"/>
      <c r="H33" s="19" t="n"/>
      <c r="I33" s="19" t="n"/>
      <c r="J33" s="19" t="n"/>
      <c r="K33" s="19" t="n"/>
      <c r="L33" s="19" t="n"/>
      <c r="M33" s="21" t="n"/>
      <c r="N33" s="14">
        <f>IF(B33="","",SUMIFS(Plantings!$S$6:$S$505,Plantings!$C$6:$C$505,B33,Plantings!$N$6:$N$505,Settings!$C$5))</f>
        <v/>
      </c>
      <c r="O33" s="10">
        <f>IF(B33="","",SUMIFS(Harvest!$E$6:$E$1505,Harvest!$C$6:$C$1505,B33,Harvest!$J$6:$J$1505,Settings!$C$5))</f>
        <v/>
      </c>
      <c r="P33" s="25">
        <f>IF(B33="","",SUMIFS(Harvest!$H$6:$H$1505,Harvest!$C$6:$C$1505,B33,Harvest!$J$6:$J$1505,Settings!$C$5))</f>
        <v/>
      </c>
      <c r="Q33" s="11">
        <f>IF(B33="","",IF(COUNTIF(Crops!$B$6:$B$65,B33)&gt;1,"Listed twice",IF(AND(E33&lt;&gt;"",NOT(ISNUMBER(E33))),"Price not a number",IF(AND(F33&lt;&gt;"",NOT(ISNUMBER(F33))),"Days not a number",IF(OR((G33="")&lt;&gt;(H33=""),(I33="")&lt;&gt;(J33=""),(K33="")&lt;&gt;(L33="")),"A month is missing","")))))</f>
        <v/>
      </c>
      <c r="R33" s="1">
        <f>IFERROR(MATCH(G33,Settings!$H$1:$H$12,0),0)</f>
        <v/>
      </c>
      <c r="S33">
        <f>IFERROR(MATCH(H33,Settings!$H$1:$H$12,0),0)</f>
        <v/>
      </c>
      <c r="T33">
        <f>IFERROR(MATCH(I33,Settings!$H$1:$H$12,0),0)</f>
        <v/>
      </c>
      <c r="U33">
        <f>IFERROR(MATCH(J33,Settings!$H$1:$H$12,0),0)</f>
        <v/>
      </c>
      <c r="V33">
        <f>IFERROR(MATCH(K33,Settings!$H$1:$H$12,0),0)</f>
        <v/>
      </c>
      <c r="W33">
        <f>IFERROR(MATCH(L33,Settings!$H$1:$H$12,0),0)</f>
        <v/>
      </c>
      <c r="X33">
        <f>IF(AND(B33&lt;&gt;"",IF(OR(R33=0,S33=0),0,IF(R33&lt;=S33,IF(AND(MONTH(TODAY())&gt;=R33,MONTH(TODAY())&lt;=S33),1,0),IF(OR(MONTH(TODAY())&gt;=R33,MONTH(TODAY())&lt;=S33),1,0)))=1),ROW(),"")</f>
        <v/>
      </c>
      <c r="Y33">
        <f>IF(AND(B33&lt;&gt;"",IF(OR(T33=0,U33=0),0,IF(T33&lt;=U33,IF(AND(MONTH(TODAY())&gt;=T33,MONTH(TODAY())&lt;=U33),1,0),IF(OR(MONTH(TODAY())&gt;=T33,MONTH(TODAY())&lt;=U33),1,0)))=1),ROW(),"")</f>
        <v/>
      </c>
      <c r="Z33">
        <f>IF(AND(B33&lt;&gt;"",IF(OR(V33=0,W33=0),0,IF(V33&lt;=W33,IF(AND(MONTH(TODAY())&gt;=V33,MONTH(TODAY())&lt;=W33),1,0),IF(OR(MONTH(TODAY())&gt;=V33,MONTH(TODAY())&lt;=W33),1,0)))=1),ROW(),"")</f>
        <v/>
      </c>
      <c r="AA33">
        <f>IF(OR(B33="",N(O33)&lt;=0),"",ROUND(N(P33)*100,0)*1000+1000-ROW())</f>
        <v/>
      </c>
    </row>
    <row r="34">
      <c r="A34" s="1" t="n"/>
      <c r="B34" s="18" t="n"/>
      <c r="C34" s="19" t="n"/>
      <c r="D34" s="19" t="n"/>
      <c r="E34" s="24" t="n"/>
      <c r="F34" s="20" t="n"/>
      <c r="G34" s="19" t="n"/>
      <c r="H34" s="19" t="n"/>
      <c r="I34" s="19" t="n"/>
      <c r="J34" s="19" t="n"/>
      <c r="K34" s="19" t="n"/>
      <c r="L34" s="19" t="n"/>
      <c r="M34" s="21" t="n"/>
      <c r="N34" s="14">
        <f>IF(B34="","",SUMIFS(Plantings!$S$6:$S$505,Plantings!$C$6:$C$505,B34,Plantings!$N$6:$N$505,Settings!$C$5))</f>
        <v/>
      </c>
      <c r="O34" s="10">
        <f>IF(B34="","",SUMIFS(Harvest!$E$6:$E$1505,Harvest!$C$6:$C$1505,B34,Harvest!$J$6:$J$1505,Settings!$C$5))</f>
        <v/>
      </c>
      <c r="P34" s="25">
        <f>IF(B34="","",SUMIFS(Harvest!$H$6:$H$1505,Harvest!$C$6:$C$1505,B34,Harvest!$J$6:$J$1505,Settings!$C$5))</f>
        <v/>
      </c>
      <c r="Q34" s="11">
        <f>IF(B34="","",IF(COUNTIF(Crops!$B$6:$B$65,B34)&gt;1,"Listed twice",IF(AND(E34&lt;&gt;"",NOT(ISNUMBER(E34))),"Price not a number",IF(AND(F34&lt;&gt;"",NOT(ISNUMBER(F34))),"Days not a number",IF(OR((G34="")&lt;&gt;(H34=""),(I34="")&lt;&gt;(J34=""),(K34="")&lt;&gt;(L34="")),"A month is missing","")))))</f>
        <v/>
      </c>
      <c r="R34" s="1">
        <f>IFERROR(MATCH(G34,Settings!$H$1:$H$12,0),0)</f>
        <v/>
      </c>
      <c r="S34">
        <f>IFERROR(MATCH(H34,Settings!$H$1:$H$12,0),0)</f>
        <v/>
      </c>
      <c r="T34">
        <f>IFERROR(MATCH(I34,Settings!$H$1:$H$12,0),0)</f>
        <v/>
      </c>
      <c r="U34">
        <f>IFERROR(MATCH(J34,Settings!$H$1:$H$12,0),0)</f>
        <v/>
      </c>
      <c r="V34">
        <f>IFERROR(MATCH(K34,Settings!$H$1:$H$12,0),0)</f>
        <v/>
      </c>
      <c r="W34">
        <f>IFERROR(MATCH(L34,Settings!$H$1:$H$12,0),0)</f>
        <v/>
      </c>
      <c r="X34">
        <f>IF(AND(B34&lt;&gt;"",IF(OR(R34=0,S34=0),0,IF(R34&lt;=S34,IF(AND(MONTH(TODAY())&gt;=R34,MONTH(TODAY())&lt;=S34),1,0),IF(OR(MONTH(TODAY())&gt;=R34,MONTH(TODAY())&lt;=S34),1,0)))=1),ROW(),"")</f>
        <v/>
      </c>
      <c r="Y34">
        <f>IF(AND(B34&lt;&gt;"",IF(OR(T34=0,U34=0),0,IF(T34&lt;=U34,IF(AND(MONTH(TODAY())&gt;=T34,MONTH(TODAY())&lt;=U34),1,0),IF(OR(MONTH(TODAY())&gt;=T34,MONTH(TODAY())&lt;=U34),1,0)))=1),ROW(),"")</f>
        <v/>
      </c>
      <c r="Z34">
        <f>IF(AND(B34&lt;&gt;"",IF(OR(V34=0,W34=0),0,IF(V34&lt;=W34,IF(AND(MONTH(TODAY())&gt;=V34,MONTH(TODAY())&lt;=W34),1,0),IF(OR(MONTH(TODAY())&gt;=V34,MONTH(TODAY())&lt;=W34),1,0)))=1),ROW(),"")</f>
        <v/>
      </c>
      <c r="AA34">
        <f>IF(OR(B34="",N(O34)&lt;=0),"",ROUND(N(P34)*100,0)*1000+1000-ROW())</f>
        <v/>
      </c>
    </row>
    <row r="35">
      <c r="A35" s="1" t="n"/>
      <c r="B35" s="18" t="n"/>
      <c r="C35" s="19" t="n"/>
      <c r="D35" s="19" t="n"/>
      <c r="E35" s="24" t="n"/>
      <c r="F35" s="20" t="n"/>
      <c r="G35" s="19" t="n"/>
      <c r="H35" s="19" t="n"/>
      <c r="I35" s="19" t="n"/>
      <c r="J35" s="19" t="n"/>
      <c r="K35" s="19" t="n"/>
      <c r="L35" s="19" t="n"/>
      <c r="M35" s="21" t="n"/>
      <c r="N35" s="14">
        <f>IF(B35="","",SUMIFS(Plantings!$S$6:$S$505,Plantings!$C$6:$C$505,B35,Plantings!$N$6:$N$505,Settings!$C$5))</f>
        <v/>
      </c>
      <c r="O35" s="10">
        <f>IF(B35="","",SUMIFS(Harvest!$E$6:$E$1505,Harvest!$C$6:$C$1505,B35,Harvest!$J$6:$J$1505,Settings!$C$5))</f>
        <v/>
      </c>
      <c r="P35" s="25">
        <f>IF(B35="","",SUMIFS(Harvest!$H$6:$H$1505,Harvest!$C$6:$C$1505,B35,Harvest!$J$6:$J$1505,Settings!$C$5))</f>
        <v/>
      </c>
      <c r="Q35" s="11">
        <f>IF(B35="","",IF(COUNTIF(Crops!$B$6:$B$65,B35)&gt;1,"Listed twice",IF(AND(E35&lt;&gt;"",NOT(ISNUMBER(E35))),"Price not a number",IF(AND(F35&lt;&gt;"",NOT(ISNUMBER(F35))),"Days not a number",IF(OR((G35="")&lt;&gt;(H35=""),(I35="")&lt;&gt;(J35=""),(K35="")&lt;&gt;(L35="")),"A month is missing","")))))</f>
        <v/>
      </c>
      <c r="R35" s="1">
        <f>IFERROR(MATCH(G35,Settings!$H$1:$H$12,0),0)</f>
        <v/>
      </c>
      <c r="S35">
        <f>IFERROR(MATCH(H35,Settings!$H$1:$H$12,0),0)</f>
        <v/>
      </c>
      <c r="T35">
        <f>IFERROR(MATCH(I35,Settings!$H$1:$H$12,0),0)</f>
        <v/>
      </c>
      <c r="U35">
        <f>IFERROR(MATCH(J35,Settings!$H$1:$H$12,0),0)</f>
        <v/>
      </c>
      <c r="V35">
        <f>IFERROR(MATCH(K35,Settings!$H$1:$H$12,0),0)</f>
        <v/>
      </c>
      <c r="W35">
        <f>IFERROR(MATCH(L35,Settings!$H$1:$H$12,0),0)</f>
        <v/>
      </c>
      <c r="X35">
        <f>IF(AND(B35&lt;&gt;"",IF(OR(R35=0,S35=0),0,IF(R35&lt;=S35,IF(AND(MONTH(TODAY())&gt;=R35,MONTH(TODAY())&lt;=S35),1,0),IF(OR(MONTH(TODAY())&gt;=R35,MONTH(TODAY())&lt;=S35),1,0)))=1),ROW(),"")</f>
        <v/>
      </c>
      <c r="Y35">
        <f>IF(AND(B35&lt;&gt;"",IF(OR(T35=0,U35=0),0,IF(T35&lt;=U35,IF(AND(MONTH(TODAY())&gt;=T35,MONTH(TODAY())&lt;=U35),1,0),IF(OR(MONTH(TODAY())&gt;=T35,MONTH(TODAY())&lt;=U35),1,0)))=1),ROW(),"")</f>
        <v/>
      </c>
      <c r="Z35">
        <f>IF(AND(B35&lt;&gt;"",IF(OR(V35=0,W35=0),0,IF(V35&lt;=W35,IF(AND(MONTH(TODAY())&gt;=V35,MONTH(TODAY())&lt;=W35),1,0),IF(OR(MONTH(TODAY())&gt;=V35,MONTH(TODAY())&lt;=W35),1,0)))=1),ROW(),"")</f>
        <v/>
      </c>
      <c r="AA35">
        <f>IF(OR(B35="",N(O35)&lt;=0),"",ROUND(N(P35)*100,0)*1000+1000-ROW())</f>
        <v/>
      </c>
    </row>
    <row r="36">
      <c r="A36" s="1" t="n"/>
      <c r="B36" s="18" t="n"/>
      <c r="C36" s="19" t="n"/>
      <c r="D36" s="19" t="n"/>
      <c r="E36" s="24" t="n"/>
      <c r="F36" s="20" t="n"/>
      <c r="G36" s="19" t="n"/>
      <c r="H36" s="19" t="n"/>
      <c r="I36" s="19" t="n"/>
      <c r="J36" s="19" t="n"/>
      <c r="K36" s="19" t="n"/>
      <c r="L36" s="19" t="n"/>
      <c r="M36" s="21" t="n"/>
      <c r="N36" s="14">
        <f>IF(B36="","",SUMIFS(Plantings!$S$6:$S$505,Plantings!$C$6:$C$505,B36,Plantings!$N$6:$N$505,Settings!$C$5))</f>
        <v/>
      </c>
      <c r="O36" s="10">
        <f>IF(B36="","",SUMIFS(Harvest!$E$6:$E$1505,Harvest!$C$6:$C$1505,B36,Harvest!$J$6:$J$1505,Settings!$C$5))</f>
        <v/>
      </c>
      <c r="P36" s="25">
        <f>IF(B36="","",SUMIFS(Harvest!$H$6:$H$1505,Harvest!$C$6:$C$1505,B36,Harvest!$J$6:$J$1505,Settings!$C$5))</f>
        <v/>
      </c>
      <c r="Q36" s="11">
        <f>IF(B36="","",IF(COUNTIF(Crops!$B$6:$B$65,B36)&gt;1,"Listed twice",IF(AND(E36&lt;&gt;"",NOT(ISNUMBER(E36))),"Price not a number",IF(AND(F36&lt;&gt;"",NOT(ISNUMBER(F36))),"Days not a number",IF(OR((G36="")&lt;&gt;(H36=""),(I36="")&lt;&gt;(J36=""),(K36="")&lt;&gt;(L36="")),"A month is missing","")))))</f>
        <v/>
      </c>
      <c r="R36" s="1">
        <f>IFERROR(MATCH(G36,Settings!$H$1:$H$12,0),0)</f>
        <v/>
      </c>
      <c r="S36">
        <f>IFERROR(MATCH(H36,Settings!$H$1:$H$12,0),0)</f>
        <v/>
      </c>
      <c r="T36">
        <f>IFERROR(MATCH(I36,Settings!$H$1:$H$12,0),0)</f>
        <v/>
      </c>
      <c r="U36">
        <f>IFERROR(MATCH(J36,Settings!$H$1:$H$12,0),0)</f>
        <v/>
      </c>
      <c r="V36">
        <f>IFERROR(MATCH(K36,Settings!$H$1:$H$12,0),0)</f>
        <v/>
      </c>
      <c r="W36">
        <f>IFERROR(MATCH(L36,Settings!$H$1:$H$12,0),0)</f>
        <v/>
      </c>
      <c r="X36">
        <f>IF(AND(B36&lt;&gt;"",IF(OR(R36=0,S36=0),0,IF(R36&lt;=S36,IF(AND(MONTH(TODAY())&gt;=R36,MONTH(TODAY())&lt;=S36),1,0),IF(OR(MONTH(TODAY())&gt;=R36,MONTH(TODAY())&lt;=S36),1,0)))=1),ROW(),"")</f>
        <v/>
      </c>
      <c r="Y36">
        <f>IF(AND(B36&lt;&gt;"",IF(OR(T36=0,U36=0),0,IF(T36&lt;=U36,IF(AND(MONTH(TODAY())&gt;=T36,MONTH(TODAY())&lt;=U36),1,0),IF(OR(MONTH(TODAY())&gt;=T36,MONTH(TODAY())&lt;=U36),1,0)))=1),ROW(),"")</f>
        <v/>
      </c>
      <c r="Z36">
        <f>IF(AND(B36&lt;&gt;"",IF(OR(V36=0,W36=0),0,IF(V36&lt;=W36,IF(AND(MONTH(TODAY())&gt;=V36,MONTH(TODAY())&lt;=W36),1,0),IF(OR(MONTH(TODAY())&gt;=V36,MONTH(TODAY())&lt;=W36),1,0)))=1),ROW(),"")</f>
        <v/>
      </c>
      <c r="AA36">
        <f>IF(OR(B36="",N(O36)&lt;=0),"",ROUND(N(P36)*100,0)*1000+1000-ROW())</f>
        <v/>
      </c>
    </row>
    <row r="37">
      <c r="A37" s="1" t="n"/>
      <c r="B37" s="18" t="n"/>
      <c r="C37" s="19" t="n"/>
      <c r="D37" s="19" t="n"/>
      <c r="E37" s="24" t="n"/>
      <c r="F37" s="20" t="n"/>
      <c r="G37" s="19" t="n"/>
      <c r="H37" s="19" t="n"/>
      <c r="I37" s="19" t="n"/>
      <c r="J37" s="19" t="n"/>
      <c r="K37" s="19" t="n"/>
      <c r="L37" s="19" t="n"/>
      <c r="M37" s="21" t="n"/>
      <c r="N37" s="14">
        <f>IF(B37="","",SUMIFS(Plantings!$S$6:$S$505,Plantings!$C$6:$C$505,B37,Plantings!$N$6:$N$505,Settings!$C$5))</f>
        <v/>
      </c>
      <c r="O37" s="10">
        <f>IF(B37="","",SUMIFS(Harvest!$E$6:$E$1505,Harvest!$C$6:$C$1505,B37,Harvest!$J$6:$J$1505,Settings!$C$5))</f>
        <v/>
      </c>
      <c r="P37" s="25">
        <f>IF(B37="","",SUMIFS(Harvest!$H$6:$H$1505,Harvest!$C$6:$C$1505,B37,Harvest!$J$6:$J$1505,Settings!$C$5))</f>
        <v/>
      </c>
      <c r="Q37" s="11">
        <f>IF(B37="","",IF(COUNTIF(Crops!$B$6:$B$65,B37)&gt;1,"Listed twice",IF(AND(E37&lt;&gt;"",NOT(ISNUMBER(E37))),"Price not a number",IF(AND(F37&lt;&gt;"",NOT(ISNUMBER(F37))),"Days not a number",IF(OR((G37="")&lt;&gt;(H37=""),(I37="")&lt;&gt;(J37=""),(K37="")&lt;&gt;(L37="")),"A month is missing","")))))</f>
        <v/>
      </c>
      <c r="R37" s="1">
        <f>IFERROR(MATCH(G37,Settings!$H$1:$H$12,0),0)</f>
        <v/>
      </c>
      <c r="S37">
        <f>IFERROR(MATCH(H37,Settings!$H$1:$H$12,0),0)</f>
        <v/>
      </c>
      <c r="T37">
        <f>IFERROR(MATCH(I37,Settings!$H$1:$H$12,0),0)</f>
        <v/>
      </c>
      <c r="U37">
        <f>IFERROR(MATCH(J37,Settings!$H$1:$H$12,0),0)</f>
        <v/>
      </c>
      <c r="V37">
        <f>IFERROR(MATCH(K37,Settings!$H$1:$H$12,0),0)</f>
        <v/>
      </c>
      <c r="W37">
        <f>IFERROR(MATCH(L37,Settings!$H$1:$H$12,0),0)</f>
        <v/>
      </c>
      <c r="X37">
        <f>IF(AND(B37&lt;&gt;"",IF(OR(R37=0,S37=0),0,IF(R37&lt;=S37,IF(AND(MONTH(TODAY())&gt;=R37,MONTH(TODAY())&lt;=S37),1,0),IF(OR(MONTH(TODAY())&gt;=R37,MONTH(TODAY())&lt;=S37),1,0)))=1),ROW(),"")</f>
        <v/>
      </c>
      <c r="Y37">
        <f>IF(AND(B37&lt;&gt;"",IF(OR(T37=0,U37=0),0,IF(T37&lt;=U37,IF(AND(MONTH(TODAY())&gt;=T37,MONTH(TODAY())&lt;=U37),1,0),IF(OR(MONTH(TODAY())&gt;=T37,MONTH(TODAY())&lt;=U37),1,0)))=1),ROW(),"")</f>
        <v/>
      </c>
      <c r="Z37">
        <f>IF(AND(B37&lt;&gt;"",IF(OR(V37=0,W37=0),0,IF(V37&lt;=W37,IF(AND(MONTH(TODAY())&gt;=V37,MONTH(TODAY())&lt;=W37),1,0),IF(OR(MONTH(TODAY())&gt;=V37,MONTH(TODAY())&lt;=W37),1,0)))=1),ROW(),"")</f>
        <v/>
      </c>
      <c r="AA37">
        <f>IF(OR(B37="",N(O37)&lt;=0),"",ROUND(N(P37)*100,0)*1000+1000-ROW())</f>
        <v/>
      </c>
    </row>
    <row r="38">
      <c r="A38" s="1" t="n"/>
      <c r="B38" s="18" t="n"/>
      <c r="C38" s="19" t="n"/>
      <c r="D38" s="19" t="n"/>
      <c r="E38" s="24" t="n"/>
      <c r="F38" s="20" t="n"/>
      <c r="G38" s="19" t="n"/>
      <c r="H38" s="19" t="n"/>
      <c r="I38" s="19" t="n"/>
      <c r="J38" s="19" t="n"/>
      <c r="K38" s="19" t="n"/>
      <c r="L38" s="19" t="n"/>
      <c r="M38" s="21" t="n"/>
      <c r="N38" s="14">
        <f>IF(B38="","",SUMIFS(Plantings!$S$6:$S$505,Plantings!$C$6:$C$505,B38,Plantings!$N$6:$N$505,Settings!$C$5))</f>
        <v/>
      </c>
      <c r="O38" s="10">
        <f>IF(B38="","",SUMIFS(Harvest!$E$6:$E$1505,Harvest!$C$6:$C$1505,B38,Harvest!$J$6:$J$1505,Settings!$C$5))</f>
        <v/>
      </c>
      <c r="P38" s="25">
        <f>IF(B38="","",SUMIFS(Harvest!$H$6:$H$1505,Harvest!$C$6:$C$1505,B38,Harvest!$J$6:$J$1505,Settings!$C$5))</f>
        <v/>
      </c>
      <c r="Q38" s="11">
        <f>IF(B38="","",IF(COUNTIF(Crops!$B$6:$B$65,B38)&gt;1,"Listed twice",IF(AND(E38&lt;&gt;"",NOT(ISNUMBER(E38))),"Price not a number",IF(AND(F38&lt;&gt;"",NOT(ISNUMBER(F38))),"Days not a number",IF(OR((G38="")&lt;&gt;(H38=""),(I38="")&lt;&gt;(J38=""),(K38="")&lt;&gt;(L38="")),"A month is missing","")))))</f>
        <v/>
      </c>
      <c r="R38" s="1">
        <f>IFERROR(MATCH(G38,Settings!$H$1:$H$12,0),0)</f>
        <v/>
      </c>
      <c r="S38">
        <f>IFERROR(MATCH(H38,Settings!$H$1:$H$12,0),0)</f>
        <v/>
      </c>
      <c r="T38">
        <f>IFERROR(MATCH(I38,Settings!$H$1:$H$12,0),0)</f>
        <v/>
      </c>
      <c r="U38">
        <f>IFERROR(MATCH(J38,Settings!$H$1:$H$12,0),0)</f>
        <v/>
      </c>
      <c r="V38">
        <f>IFERROR(MATCH(K38,Settings!$H$1:$H$12,0),0)</f>
        <v/>
      </c>
      <c r="W38">
        <f>IFERROR(MATCH(L38,Settings!$H$1:$H$12,0),0)</f>
        <v/>
      </c>
      <c r="X38">
        <f>IF(AND(B38&lt;&gt;"",IF(OR(R38=0,S38=0),0,IF(R38&lt;=S38,IF(AND(MONTH(TODAY())&gt;=R38,MONTH(TODAY())&lt;=S38),1,0),IF(OR(MONTH(TODAY())&gt;=R38,MONTH(TODAY())&lt;=S38),1,0)))=1),ROW(),"")</f>
        <v/>
      </c>
      <c r="Y38">
        <f>IF(AND(B38&lt;&gt;"",IF(OR(T38=0,U38=0),0,IF(T38&lt;=U38,IF(AND(MONTH(TODAY())&gt;=T38,MONTH(TODAY())&lt;=U38),1,0),IF(OR(MONTH(TODAY())&gt;=T38,MONTH(TODAY())&lt;=U38),1,0)))=1),ROW(),"")</f>
        <v/>
      </c>
      <c r="Z38">
        <f>IF(AND(B38&lt;&gt;"",IF(OR(V38=0,W38=0),0,IF(V38&lt;=W38,IF(AND(MONTH(TODAY())&gt;=V38,MONTH(TODAY())&lt;=W38),1,0),IF(OR(MONTH(TODAY())&gt;=V38,MONTH(TODAY())&lt;=W38),1,0)))=1),ROW(),"")</f>
        <v/>
      </c>
      <c r="AA38">
        <f>IF(OR(B38="",N(O38)&lt;=0),"",ROUND(N(P38)*100,0)*1000+1000-ROW())</f>
        <v/>
      </c>
    </row>
    <row r="39">
      <c r="A39" s="1" t="n"/>
      <c r="B39" s="18" t="n"/>
      <c r="C39" s="19" t="n"/>
      <c r="D39" s="19" t="n"/>
      <c r="E39" s="24" t="n"/>
      <c r="F39" s="20" t="n"/>
      <c r="G39" s="19" t="n"/>
      <c r="H39" s="19" t="n"/>
      <c r="I39" s="19" t="n"/>
      <c r="J39" s="19" t="n"/>
      <c r="K39" s="19" t="n"/>
      <c r="L39" s="19" t="n"/>
      <c r="M39" s="21" t="n"/>
      <c r="N39" s="14">
        <f>IF(B39="","",SUMIFS(Plantings!$S$6:$S$505,Plantings!$C$6:$C$505,B39,Plantings!$N$6:$N$505,Settings!$C$5))</f>
        <v/>
      </c>
      <c r="O39" s="10">
        <f>IF(B39="","",SUMIFS(Harvest!$E$6:$E$1505,Harvest!$C$6:$C$1505,B39,Harvest!$J$6:$J$1505,Settings!$C$5))</f>
        <v/>
      </c>
      <c r="P39" s="25">
        <f>IF(B39="","",SUMIFS(Harvest!$H$6:$H$1505,Harvest!$C$6:$C$1505,B39,Harvest!$J$6:$J$1505,Settings!$C$5))</f>
        <v/>
      </c>
      <c r="Q39" s="11">
        <f>IF(B39="","",IF(COUNTIF(Crops!$B$6:$B$65,B39)&gt;1,"Listed twice",IF(AND(E39&lt;&gt;"",NOT(ISNUMBER(E39))),"Price not a number",IF(AND(F39&lt;&gt;"",NOT(ISNUMBER(F39))),"Days not a number",IF(OR((G39="")&lt;&gt;(H39=""),(I39="")&lt;&gt;(J39=""),(K39="")&lt;&gt;(L39="")),"A month is missing","")))))</f>
        <v/>
      </c>
      <c r="R39" s="1">
        <f>IFERROR(MATCH(G39,Settings!$H$1:$H$12,0),0)</f>
        <v/>
      </c>
      <c r="S39">
        <f>IFERROR(MATCH(H39,Settings!$H$1:$H$12,0),0)</f>
        <v/>
      </c>
      <c r="T39">
        <f>IFERROR(MATCH(I39,Settings!$H$1:$H$12,0),0)</f>
        <v/>
      </c>
      <c r="U39">
        <f>IFERROR(MATCH(J39,Settings!$H$1:$H$12,0),0)</f>
        <v/>
      </c>
      <c r="V39">
        <f>IFERROR(MATCH(K39,Settings!$H$1:$H$12,0),0)</f>
        <v/>
      </c>
      <c r="W39">
        <f>IFERROR(MATCH(L39,Settings!$H$1:$H$12,0),0)</f>
        <v/>
      </c>
      <c r="X39">
        <f>IF(AND(B39&lt;&gt;"",IF(OR(R39=0,S39=0),0,IF(R39&lt;=S39,IF(AND(MONTH(TODAY())&gt;=R39,MONTH(TODAY())&lt;=S39),1,0),IF(OR(MONTH(TODAY())&gt;=R39,MONTH(TODAY())&lt;=S39),1,0)))=1),ROW(),"")</f>
        <v/>
      </c>
      <c r="Y39">
        <f>IF(AND(B39&lt;&gt;"",IF(OR(T39=0,U39=0),0,IF(T39&lt;=U39,IF(AND(MONTH(TODAY())&gt;=T39,MONTH(TODAY())&lt;=U39),1,0),IF(OR(MONTH(TODAY())&gt;=T39,MONTH(TODAY())&lt;=U39),1,0)))=1),ROW(),"")</f>
        <v/>
      </c>
      <c r="Z39">
        <f>IF(AND(B39&lt;&gt;"",IF(OR(V39=0,W39=0),0,IF(V39&lt;=W39,IF(AND(MONTH(TODAY())&gt;=V39,MONTH(TODAY())&lt;=W39),1,0),IF(OR(MONTH(TODAY())&gt;=V39,MONTH(TODAY())&lt;=W39),1,0)))=1),ROW(),"")</f>
        <v/>
      </c>
      <c r="AA39">
        <f>IF(OR(B39="",N(O39)&lt;=0),"",ROUND(N(P39)*100,0)*1000+1000-ROW())</f>
        <v/>
      </c>
    </row>
    <row r="40">
      <c r="A40" s="1" t="n"/>
      <c r="B40" s="18" t="n"/>
      <c r="C40" s="19" t="n"/>
      <c r="D40" s="19" t="n"/>
      <c r="E40" s="24" t="n"/>
      <c r="F40" s="20" t="n"/>
      <c r="G40" s="19" t="n"/>
      <c r="H40" s="19" t="n"/>
      <c r="I40" s="19" t="n"/>
      <c r="J40" s="19" t="n"/>
      <c r="K40" s="19" t="n"/>
      <c r="L40" s="19" t="n"/>
      <c r="M40" s="21" t="n"/>
      <c r="N40" s="14">
        <f>IF(B40="","",SUMIFS(Plantings!$S$6:$S$505,Plantings!$C$6:$C$505,B40,Plantings!$N$6:$N$505,Settings!$C$5))</f>
        <v/>
      </c>
      <c r="O40" s="10">
        <f>IF(B40="","",SUMIFS(Harvest!$E$6:$E$1505,Harvest!$C$6:$C$1505,B40,Harvest!$J$6:$J$1505,Settings!$C$5))</f>
        <v/>
      </c>
      <c r="P40" s="25">
        <f>IF(B40="","",SUMIFS(Harvest!$H$6:$H$1505,Harvest!$C$6:$C$1505,B40,Harvest!$J$6:$J$1505,Settings!$C$5))</f>
        <v/>
      </c>
      <c r="Q40" s="11">
        <f>IF(B40="","",IF(COUNTIF(Crops!$B$6:$B$65,B40)&gt;1,"Listed twice",IF(AND(E40&lt;&gt;"",NOT(ISNUMBER(E40))),"Price not a number",IF(AND(F40&lt;&gt;"",NOT(ISNUMBER(F40))),"Days not a number",IF(OR((G40="")&lt;&gt;(H40=""),(I40="")&lt;&gt;(J40=""),(K40="")&lt;&gt;(L40="")),"A month is missing","")))))</f>
        <v/>
      </c>
      <c r="R40" s="1">
        <f>IFERROR(MATCH(G40,Settings!$H$1:$H$12,0),0)</f>
        <v/>
      </c>
      <c r="S40">
        <f>IFERROR(MATCH(H40,Settings!$H$1:$H$12,0),0)</f>
        <v/>
      </c>
      <c r="T40">
        <f>IFERROR(MATCH(I40,Settings!$H$1:$H$12,0),0)</f>
        <v/>
      </c>
      <c r="U40">
        <f>IFERROR(MATCH(J40,Settings!$H$1:$H$12,0),0)</f>
        <v/>
      </c>
      <c r="V40">
        <f>IFERROR(MATCH(K40,Settings!$H$1:$H$12,0),0)</f>
        <v/>
      </c>
      <c r="W40">
        <f>IFERROR(MATCH(L40,Settings!$H$1:$H$12,0),0)</f>
        <v/>
      </c>
      <c r="X40">
        <f>IF(AND(B40&lt;&gt;"",IF(OR(R40=0,S40=0),0,IF(R40&lt;=S40,IF(AND(MONTH(TODAY())&gt;=R40,MONTH(TODAY())&lt;=S40),1,0),IF(OR(MONTH(TODAY())&gt;=R40,MONTH(TODAY())&lt;=S40),1,0)))=1),ROW(),"")</f>
        <v/>
      </c>
      <c r="Y40">
        <f>IF(AND(B40&lt;&gt;"",IF(OR(T40=0,U40=0),0,IF(T40&lt;=U40,IF(AND(MONTH(TODAY())&gt;=T40,MONTH(TODAY())&lt;=U40),1,0),IF(OR(MONTH(TODAY())&gt;=T40,MONTH(TODAY())&lt;=U40),1,0)))=1),ROW(),"")</f>
        <v/>
      </c>
      <c r="Z40">
        <f>IF(AND(B40&lt;&gt;"",IF(OR(V40=0,W40=0),0,IF(V40&lt;=W40,IF(AND(MONTH(TODAY())&gt;=V40,MONTH(TODAY())&lt;=W40),1,0),IF(OR(MONTH(TODAY())&gt;=V40,MONTH(TODAY())&lt;=W40),1,0)))=1),ROW(),"")</f>
        <v/>
      </c>
      <c r="AA40">
        <f>IF(OR(B40="",N(O40)&lt;=0),"",ROUND(N(P40)*100,0)*1000+1000-ROW())</f>
        <v/>
      </c>
    </row>
    <row r="41">
      <c r="A41" s="1" t="n"/>
      <c r="B41" s="18" t="n"/>
      <c r="C41" s="19" t="n"/>
      <c r="D41" s="19" t="n"/>
      <c r="E41" s="24" t="n"/>
      <c r="F41" s="20" t="n"/>
      <c r="G41" s="19" t="n"/>
      <c r="H41" s="19" t="n"/>
      <c r="I41" s="19" t="n"/>
      <c r="J41" s="19" t="n"/>
      <c r="K41" s="19" t="n"/>
      <c r="L41" s="19" t="n"/>
      <c r="M41" s="21" t="n"/>
      <c r="N41" s="14">
        <f>IF(B41="","",SUMIFS(Plantings!$S$6:$S$505,Plantings!$C$6:$C$505,B41,Plantings!$N$6:$N$505,Settings!$C$5))</f>
        <v/>
      </c>
      <c r="O41" s="10">
        <f>IF(B41="","",SUMIFS(Harvest!$E$6:$E$1505,Harvest!$C$6:$C$1505,B41,Harvest!$J$6:$J$1505,Settings!$C$5))</f>
        <v/>
      </c>
      <c r="P41" s="25">
        <f>IF(B41="","",SUMIFS(Harvest!$H$6:$H$1505,Harvest!$C$6:$C$1505,B41,Harvest!$J$6:$J$1505,Settings!$C$5))</f>
        <v/>
      </c>
      <c r="Q41" s="11">
        <f>IF(B41="","",IF(COUNTIF(Crops!$B$6:$B$65,B41)&gt;1,"Listed twice",IF(AND(E41&lt;&gt;"",NOT(ISNUMBER(E41))),"Price not a number",IF(AND(F41&lt;&gt;"",NOT(ISNUMBER(F41))),"Days not a number",IF(OR((G41="")&lt;&gt;(H41=""),(I41="")&lt;&gt;(J41=""),(K41="")&lt;&gt;(L41="")),"A month is missing","")))))</f>
        <v/>
      </c>
      <c r="R41" s="1">
        <f>IFERROR(MATCH(G41,Settings!$H$1:$H$12,0),0)</f>
        <v/>
      </c>
      <c r="S41">
        <f>IFERROR(MATCH(H41,Settings!$H$1:$H$12,0),0)</f>
        <v/>
      </c>
      <c r="T41">
        <f>IFERROR(MATCH(I41,Settings!$H$1:$H$12,0),0)</f>
        <v/>
      </c>
      <c r="U41">
        <f>IFERROR(MATCH(J41,Settings!$H$1:$H$12,0),0)</f>
        <v/>
      </c>
      <c r="V41">
        <f>IFERROR(MATCH(K41,Settings!$H$1:$H$12,0),0)</f>
        <v/>
      </c>
      <c r="W41">
        <f>IFERROR(MATCH(L41,Settings!$H$1:$H$12,0),0)</f>
        <v/>
      </c>
      <c r="X41">
        <f>IF(AND(B41&lt;&gt;"",IF(OR(R41=0,S41=0),0,IF(R41&lt;=S41,IF(AND(MONTH(TODAY())&gt;=R41,MONTH(TODAY())&lt;=S41),1,0),IF(OR(MONTH(TODAY())&gt;=R41,MONTH(TODAY())&lt;=S41),1,0)))=1),ROW(),"")</f>
        <v/>
      </c>
      <c r="Y41">
        <f>IF(AND(B41&lt;&gt;"",IF(OR(T41=0,U41=0),0,IF(T41&lt;=U41,IF(AND(MONTH(TODAY())&gt;=T41,MONTH(TODAY())&lt;=U41),1,0),IF(OR(MONTH(TODAY())&gt;=T41,MONTH(TODAY())&lt;=U41),1,0)))=1),ROW(),"")</f>
        <v/>
      </c>
      <c r="Z41">
        <f>IF(AND(B41&lt;&gt;"",IF(OR(V41=0,W41=0),0,IF(V41&lt;=W41,IF(AND(MONTH(TODAY())&gt;=V41,MONTH(TODAY())&lt;=W41),1,0),IF(OR(MONTH(TODAY())&gt;=V41,MONTH(TODAY())&lt;=W41),1,0)))=1),ROW(),"")</f>
        <v/>
      </c>
      <c r="AA41">
        <f>IF(OR(B41="",N(O41)&lt;=0),"",ROUND(N(P41)*100,0)*1000+1000-ROW())</f>
        <v/>
      </c>
    </row>
    <row r="42">
      <c r="A42" s="1" t="n"/>
      <c r="B42" s="18" t="n"/>
      <c r="C42" s="19" t="n"/>
      <c r="D42" s="19" t="n"/>
      <c r="E42" s="24" t="n"/>
      <c r="F42" s="20" t="n"/>
      <c r="G42" s="19" t="n"/>
      <c r="H42" s="19" t="n"/>
      <c r="I42" s="19" t="n"/>
      <c r="J42" s="19" t="n"/>
      <c r="K42" s="19" t="n"/>
      <c r="L42" s="19" t="n"/>
      <c r="M42" s="21" t="n"/>
      <c r="N42" s="14">
        <f>IF(B42="","",SUMIFS(Plantings!$S$6:$S$505,Plantings!$C$6:$C$505,B42,Plantings!$N$6:$N$505,Settings!$C$5))</f>
        <v/>
      </c>
      <c r="O42" s="10">
        <f>IF(B42="","",SUMIFS(Harvest!$E$6:$E$1505,Harvest!$C$6:$C$1505,B42,Harvest!$J$6:$J$1505,Settings!$C$5))</f>
        <v/>
      </c>
      <c r="P42" s="25">
        <f>IF(B42="","",SUMIFS(Harvest!$H$6:$H$1505,Harvest!$C$6:$C$1505,B42,Harvest!$J$6:$J$1505,Settings!$C$5))</f>
        <v/>
      </c>
      <c r="Q42" s="11">
        <f>IF(B42="","",IF(COUNTIF(Crops!$B$6:$B$65,B42)&gt;1,"Listed twice",IF(AND(E42&lt;&gt;"",NOT(ISNUMBER(E42))),"Price not a number",IF(AND(F42&lt;&gt;"",NOT(ISNUMBER(F42))),"Days not a number",IF(OR((G42="")&lt;&gt;(H42=""),(I42="")&lt;&gt;(J42=""),(K42="")&lt;&gt;(L42="")),"A month is missing","")))))</f>
        <v/>
      </c>
      <c r="R42" s="1">
        <f>IFERROR(MATCH(G42,Settings!$H$1:$H$12,0),0)</f>
        <v/>
      </c>
      <c r="S42">
        <f>IFERROR(MATCH(H42,Settings!$H$1:$H$12,0),0)</f>
        <v/>
      </c>
      <c r="T42">
        <f>IFERROR(MATCH(I42,Settings!$H$1:$H$12,0),0)</f>
        <v/>
      </c>
      <c r="U42">
        <f>IFERROR(MATCH(J42,Settings!$H$1:$H$12,0),0)</f>
        <v/>
      </c>
      <c r="V42">
        <f>IFERROR(MATCH(K42,Settings!$H$1:$H$12,0),0)</f>
        <v/>
      </c>
      <c r="W42">
        <f>IFERROR(MATCH(L42,Settings!$H$1:$H$12,0),0)</f>
        <v/>
      </c>
      <c r="X42">
        <f>IF(AND(B42&lt;&gt;"",IF(OR(R42=0,S42=0),0,IF(R42&lt;=S42,IF(AND(MONTH(TODAY())&gt;=R42,MONTH(TODAY())&lt;=S42),1,0),IF(OR(MONTH(TODAY())&gt;=R42,MONTH(TODAY())&lt;=S42),1,0)))=1),ROW(),"")</f>
        <v/>
      </c>
      <c r="Y42">
        <f>IF(AND(B42&lt;&gt;"",IF(OR(T42=0,U42=0),0,IF(T42&lt;=U42,IF(AND(MONTH(TODAY())&gt;=T42,MONTH(TODAY())&lt;=U42),1,0),IF(OR(MONTH(TODAY())&gt;=T42,MONTH(TODAY())&lt;=U42),1,0)))=1),ROW(),"")</f>
        <v/>
      </c>
      <c r="Z42">
        <f>IF(AND(B42&lt;&gt;"",IF(OR(V42=0,W42=0),0,IF(V42&lt;=W42,IF(AND(MONTH(TODAY())&gt;=V42,MONTH(TODAY())&lt;=W42),1,0),IF(OR(MONTH(TODAY())&gt;=V42,MONTH(TODAY())&lt;=W42),1,0)))=1),ROW(),"")</f>
        <v/>
      </c>
      <c r="AA42">
        <f>IF(OR(B42="",N(O42)&lt;=0),"",ROUND(N(P42)*100,0)*1000+1000-ROW())</f>
        <v/>
      </c>
    </row>
    <row r="43">
      <c r="A43" s="1" t="n"/>
      <c r="B43" s="18" t="n"/>
      <c r="C43" s="19" t="n"/>
      <c r="D43" s="19" t="n"/>
      <c r="E43" s="24" t="n"/>
      <c r="F43" s="20" t="n"/>
      <c r="G43" s="19" t="n"/>
      <c r="H43" s="19" t="n"/>
      <c r="I43" s="19" t="n"/>
      <c r="J43" s="19" t="n"/>
      <c r="K43" s="19" t="n"/>
      <c r="L43" s="19" t="n"/>
      <c r="M43" s="21" t="n"/>
      <c r="N43" s="14">
        <f>IF(B43="","",SUMIFS(Plantings!$S$6:$S$505,Plantings!$C$6:$C$505,B43,Plantings!$N$6:$N$505,Settings!$C$5))</f>
        <v/>
      </c>
      <c r="O43" s="10">
        <f>IF(B43="","",SUMIFS(Harvest!$E$6:$E$1505,Harvest!$C$6:$C$1505,B43,Harvest!$J$6:$J$1505,Settings!$C$5))</f>
        <v/>
      </c>
      <c r="P43" s="25">
        <f>IF(B43="","",SUMIFS(Harvest!$H$6:$H$1505,Harvest!$C$6:$C$1505,B43,Harvest!$J$6:$J$1505,Settings!$C$5))</f>
        <v/>
      </c>
      <c r="Q43" s="11">
        <f>IF(B43="","",IF(COUNTIF(Crops!$B$6:$B$65,B43)&gt;1,"Listed twice",IF(AND(E43&lt;&gt;"",NOT(ISNUMBER(E43))),"Price not a number",IF(AND(F43&lt;&gt;"",NOT(ISNUMBER(F43))),"Days not a number",IF(OR((G43="")&lt;&gt;(H43=""),(I43="")&lt;&gt;(J43=""),(K43="")&lt;&gt;(L43="")),"A month is missing","")))))</f>
        <v/>
      </c>
      <c r="R43" s="1">
        <f>IFERROR(MATCH(G43,Settings!$H$1:$H$12,0),0)</f>
        <v/>
      </c>
      <c r="S43">
        <f>IFERROR(MATCH(H43,Settings!$H$1:$H$12,0),0)</f>
        <v/>
      </c>
      <c r="T43">
        <f>IFERROR(MATCH(I43,Settings!$H$1:$H$12,0),0)</f>
        <v/>
      </c>
      <c r="U43">
        <f>IFERROR(MATCH(J43,Settings!$H$1:$H$12,0),0)</f>
        <v/>
      </c>
      <c r="V43">
        <f>IFERROR(MATCH(K43,Settings!$H$1:$H$12,0),0)</f>
        <v/>
      </c>
      <c r="W43">
        <f>IFERROR(MATCH(L43,Settings!$H$1:$H$12,0),0)</f>
        <v/>
      </c>
      <c r="X43">
        <f>IF(AND(B43&lt;&gt;"",IF(OR(R43=0,S43=0),0,IF(R43&lt;=S43,IF(AND(MONTH(TODAY())&gt;=R43,MONTH(TODAY())&lt;=S43),1,0),IF(OR(MONTH(TODAY())&gt;=R43,MONTH(TODAY())&lt;=S43),1,0)))=1),ROW(),"")</f>
        <v/>
      </c>
      <c r="Y43">
        <f>IF(AND(B43&lt;&gt;"",IF(OR(T43=0,U43=0),0,IF(T43&lt;=U43,IF(AND(MONTH(TODAY())&gt;=T43,MONTH(TODAY())&lt;=U43),1,0),IF(OR(MONTH(TODAY())&gt;=T43,MONTH(TODAY())&lt;=U43),1,0)))=1),ROW(),"")</f>
        <v/>
      </c>
      <c r="Z43">
        <f>IF(AND(B43&lt;&gt;"",IF(OR(V43=0,W43=0),0,IF(V43&lt;=W43,IF(AND(MONTH(TODAY())&gt;=V43,MONTH(TODAY())&lt;=W43),1,0),IF(OR(MONTH(TODAY())&gt;=V43,MONTH(TODAY())&lt;=W43),1,0)))=1),ROW(),"")</f>
        <v/>
      </c>
      <c r="AA43">
        <f>IF(OR(B43="",N(O43)&lt;=0),"",ROUND(N(P43)*100,0)*1000+1000-ROW())</f>
        <v/>
      </c>
    </row>
    <row r="44">
      <c r="A44" s="1" t="n"/>
      <c r="B44" s="18" t="n"/>
      <c r="C44" s="19" t="n"/>
      <c r="D44" s="19" t="n"/>
      <c r="E44" s="24" t="n"/>
      <c r="F44" s="20" t="n"/>
      <c r="G44" s="19" t="n"/>
      <c r="H44" s="19" t="n"/>
      <c r="I44" s="19" t="n"/>
      <c r="J44" s="19" t="n"/>
      <c r="K44" s="19" t="n"/>
      <c r="L44" s="19" t="n"/>
      <c r="M44" s="21" t="n"/>
      <c r="N44" s="14">
        <f>IF(B44="","",SUMIFS(Plantings!$S$6:$S$505,Plantings!$C$6:$C$505,B44,Plantings!$N$6:$N$505,Settings!$C$5))</f>
        <v/>
      </c>
      <c r="O44" s="10">
        <f>IF(B44="","",SUMIFS(Harvest!$E$6:$E$1505,Harvest!$C$6:$C$1505,B44,Harvest!$J$6:$J$1505,Settings!$C$5))</f>
        <v/>
      </c>
      <c r="P44" s="25">
        <f>IF(B44="","",SUMIFS(Harvest!$H$6:$H$1505,Harvest!$C$6:$C$1505,B44,Harvest!$J$6:$J$1505,Settings!$C$5))</f>
        <v/>
      </c>
      <c r="Q44" s="11">
        <f>IF(B44="","",IF(COUNTIF(Crops!$B$6:$B$65,B44)&gt;1,"Listed twice",IF(AND(E44&lt;&gt;"",NOT(ISNUMBER(E44))),"Price not a number",IF(AND(F44&lt;&gt;"",NOT(ISNUMBER(F44))),"Days not a number",IF(OR((G44="")&lt;&gt;(H44=""),(I44="")&lt;&gt;(J44=""),(K44="")&lt;&gt;(L44="")),"A month is missing","")))))</f>
        <v/>
      </c>
      <c r="R44" s="1">
        <f>IFERROR(MATCH(G44,Settings!$H$1:$H$12,0),0)</f>
        <v/>
      </c>
      <c r="S44">
        <f>IFERROR(MATCH(H44,Settings!$H$1:$H$12,0),0)</f>
        <v/>
      </c>
      <c r="T44">
        <f>IFERROR(MATCH(I44,Settings!$H$1:$H$12,0),0)</f>
        <v/>
      </c>
      <c r="U44">
        <f>IFERROR(MATCH(J44,Settings!$H$1:$H$12,0),0)</f>
        <v/>
      </c>
      <c r="V44">
        <f>IFERROR(MATCH(K44,Settings!$H$1:$H$12,0),0)</f>
        <v/>
      </c>
      <c r="W44">
        <f>IFERROR(MATCH(L44,Settings!$H$1:$H$12,0),0)</f>
        <v/>
      </c>
      <c r="X44">
        <f>IF(AND(B44&lt;&gt;"",IF(OR(R44=0,S44=0),0,IF(R44&lt;=S44,IF(AND(MONTH(TODAY())&gt;=R44,MONTH(TODAY())&lt;=S44),1,0),IF(OR(MONTH(TODAY())&gt;=R44,MONTH(TODAY())&lt;=S44),1,0)))=1),ROW(),"")</f>
        <v/>
      </c>
      <c r="Y44">
        <f>IF(AND(B44&lt;&gt;"",IF(OR(T44=0,U44=0),0,IF(T44&lt;=U44,IF(AND(MONTH(TODAY())&gt;=T44,MONTH(TODAY())&lt;=U44),1,0),IF(OR(MONTH(TODAY())&gt;=T44,MONTH(TODAY())&lt;=U44),1,0)))=1),ROW(),"")</f>
        <v/>
      </c>
      <c r="Z44">
        <f>IF(AND(B44&lt;&gt;"",IF(OR(V44=0,W44=0),0,IF(V44&lt;=W44,IF(AND(MONTH(TODAY())&gt;=V44,MONTH(TODAY())&lt;=W44),1,0),IF(OR(MONTH(TODAY())&gt;=V44,MONTH(TODAY())&lt;=W44),1,0)))=1),ROW(),"")</f>
        <v/>
      </c>
      <c r="AA44">
        <f>IF(OR(B44="",N(O44)&lt;=0),"",ROUND(N(P44)*100,0)*1000+1000-ROW())</f>
        <v/>
      </c>
    </row>
    <row r="45">
      <c r="A45" s="1" t="n"/>
      <c r="B45" s="18" t="n"/>
      <c r="C45" s="19" t="n"/>
      <c r="D45" s="19" t="n"/>
      <c r="E45" s="24" t="n"/>
      <c r="F45" s="20" t="n"/>
      <c r="G45" s="19" t="n"/>
      <c r="H45" s="19" t="n"/>
      <c r="I45" s="19" t="n"/>
      <c r="J45" s="19" t="n"/>
      <c r="K45" s="19" t="n"/>
      <c r="L45" s="19" t="n"/>
      <c r="M45" s="21" t="n"/>
      <c r="N45" s="14">
        <f>IF(B45="","",SUMIFS(Plantings!$S$6:$S$505,Plantings!$C$6:$C$505,B45,Plantings!$N$6:$N$505,Settings!$C$5))</f>
        <v/>
      </c>
      <c r="O45" s="10">
        <f>IF(B45="","",SUMIFS(Harvest!$E$6:$E$1505,Harvest!$C$6:$C$1505,B45,Harvest!$J$6:$J$1505,Settings!$C$5))</f>
        <v/>
      </c>
      <c r="P45" s="25">
        <f>IF(B45="","",SUMIFS(Harvest!$H$6:$H$1505,Harvest!$C$6:$C$1505,B45,Harvest!$J$6:$J$1505,Settings!$C$5))</f>
        <v/>
      </c>
      <c r="Q45" s="11">
        <f>IF(B45="","",IF(COUNTIF(Crops!$B$6:$B$65,B45)&gt;1,"Listed twice",IF(AND(E45&lt;&gt;"",NOT(ISNUMBER(E45))),"Price not a number",IF(AND(F45&lt;&gt;"",NOT(ISNUMBER(F45))),"Days not a number",IF(OR((G45="")&lt;&gt;(H45=""),(I45="")&lt;&gt;(J45=""),(K45="")&lt;&gt;(L45="")),"A month is missing","")))))</f>
        <v/>
      </c>
      <c r="R45" s="1">
        <f>IFERROR(MATCH(G45,Settings!$H$1:$H$12,0),0)</f>
        <v/>
      </c>
      <c r="S45">
        <f>IFERROR(MATCH(H45,Settings!$H$1:$H$12,0),0)</f>
        <v/>
      </c>
      <c r="T45">
        <f>IFERROR(MATCH(I45,Settings!$H$1:$H$12,0),0)</f>
        <v/>
      </c>
      <c r="U45">
        <f>IFERROR(MATCH(J45,Settings!$H$1:$H$12,0),0)</f>
        <v/>
      </c>
      <c r="V45">
        <f>IFERROR(MATCH(K45,Settings!$H$1:$H$12,0),0)</f>
        <v/>
      </c>
      <c r="W45">
        <f>IFERROR(MATCH(L45,Settings!$H$1:$H$12,0),0)</f>
        <v/>
      </c>
      <c r="X45">
        <f>IF(AND(B45&lt;&gt;"",IF(OR(R45=0,S45=0),0,IF(R45&lt;=S45,IF(AND(MONTH(TODAY())&gt;=R45,MONTH(TODAY())&lt;=S45),1,0),IF(OR(MONTH(TODAY())&gt;=R45,MONTH(TODAY())&lt;=S45),1,0)))=1),ROW(),"")</f>
        <v/>
      </c>
      <c r="Y45">
        <f>IF(AND(B45&lt;&gt;"",IF(OR(T45=0,U45=0),0,IF(T45&lt;=U45,IF(AND(MONTH(TODAY())&gt;=T45,MONTH(TODAY())&lt;=U45),1,0),IF(OR(MONTH(TODAY())&gt;=T45,MONTH(TODAY())&lt;=U45),1,0)))=1),ROW(),"")</f>
        <v/>
      </c>
      <c r="Z45">
        <f>IF(AND(B45&lt;&gt;"",IF(OR(V45=0,W45=0),0,IF(V45&lt;=W45,IF(AND(MONTH(TODAY())&gt;=V45,MONTH(TODAY())&lt;=W45),1,0),IF(OR(MONTH(TODAY())&gt;=V45,MONTH(TODAY())&lt;=W45),1,0)))=1),ROW(),"")</f>
        <v/>
      </c>
      <c r="AA45">
        <f>IF(OR(B45="",N(O45)&lt;=0),"",ROUND(N(P45)*100,0)*1000+1000-ROW())</f>
        <v/>
      </c>
    </row>
    <row r="46">
      <c r="A46" s="1" t="n"/>
      <c r="B46" s="18" t="n"/>
      <c r="C46" s="19" t="n"/>
      <c r="D46" s="19" t="n"/>
      <c r="E46" s="24" t="n"/>
      <c r="F46" s="20" t="n"/>
      <c r="G46" s="19" t="n"/>
      <c r="H46" s="19" t="n"/>
      <c r="I46" s="19" t="n"/>
      <c r="J46" s="19" t="n"/>
      <c r="K46" s="19" t="n"/>
      <c r="L46" s="19" t="n"/>
      <c r="M46" s="21" t="n"/>
      <c r="N46" s="14">
        <f>IF(B46="","",SUMIFS(Plantings!$S$6:$S$505,Plantings!$C$6:$C$505,B46,Plantings!$N$6:$N$505,Settings!$C$5))</f>
        <v/>
      </c>
      <c r="O46" s="10">
        <f>IF(B46="","",SUMIFS(Harvest!$E$6:$E$1505,Harvest!$C$6:$C$1505,B46,Harvest!$J$6:$J$1505,Settings!$C$5))</f>
        <v/>
      </c>
      <c r="P46" s="25">
        <f>IF(B46="","",SUMIFS(Harvest!$H$6:$H$1505,Harvest!$C$6:$C$1505,B46,Harvest!$J$6:$J$1505,Settings!$C$5))</f>
        <v/>
      </c>
      <c r="Q46" s="11">
        <f>IF(B46="","",IF(COUNTIF(Crops!$B$6:$B$65,B46)&gt;1,"Listed twice",IF(AND(E46&lt;&gt;"",NOT(ISNUMBER(E46))),"Price not a number",IF(AND(F46&lt;&gt;"",NOT(ISNUMBER(F46))),"Days not a number",IF(OR((G46="")&lt;&gt;(H46=""),(I46="")&lt;&gt;(J46=""),(K46="")&lt;&gt;(L46="")),"A month is missing","")))))</f>
        <v/>
      </c>
      <c r="R46" s="1">
        <f>IFERROR(MATCH(G46,Settings!$H$1:$H$12,0),0)</f>
        <v/>
      </c>
      <c r="S46">
        <f>IFERROR(MATCH(H46,Settings!$H$1:$H$12,0),0)</f>
        <v/>
      </c>
      <c r="T46">
        <f>IFERROR(MATCH(I46,Settings!$H$1:$H$12,0),0)</f>
        <v/>
      </c>
      <c r="U46">
        <f>IFERROR(MATCH(J46,Settings!$H$1:$H$12,0),0)</f>
        <v/>
      </c>
      <c r="V46">
        <f>IFERROR(MATCH(K46,Settings!$H$1:$H$12,0),0)</f>
        <v/>
      </c>
      <c r="W46">
        <f>IFERROR(MATCH(L46,Settings!$H$1:$H$12,0),0)</f>
        <v/>
      </c>
      <c r="X46">
        <f>IF(AND(B46&lt;&gt;"",IF(OR(R46=0,S46=0),0,IF(R46&lt;=S46,IF(AND(MONTH(TODAY())&gt;=R46,MONTH(TODAY())&lt;=S46),1,0),IF(OR(MONTH(TODAY())&gt;=R46,MONTH(TODAY())&lt;=S46),1,0)))=1),ROW(),"")</f>
        <v/>
      </c>
      <c r="Y46">
        <f>IF(AND(B46&lt;&gt;"",IF(OR(T46=0,U46=0),0,IF(T46&lt;=U46,IF(AND(MONTH(TODAY())&gt;=T46,MONTH(TODAY())&lt;=U46),1,0),IF(OR(MONTH(TODAY())&gt;=T46,MONTH(TODAY())&lt;=U46),1,0)))=1),ROW(),"")</f>
        <v/>
      </c>
      <c r="Z46">
        <f>IF(AND(B46&lt;&gt;"",IF(OR(V46=0,W46=0),0,IF(V46&lt;=W46,IF(AND(MONTH(TODAY())&gt;=V46,MONTH(TODAY())&lt;=W46),1,0),IF(OR(MONTH(TODAY())&gt;=V46,MONTH(TODAY())&lt;=W46),1,0)))=1),ROW(),"")</f>
        <v/>
      </c>
      <c r="AA46">
        <f>IF(OR(B46="",N(O46)&lt;=0),"",ROUND(N(P46)*100,0)*1000+1000-ROW())</f>
        <v/>
      </c>
    </row>
    <row r="47">
      <c r="A47" s="1" t="n"/>
      <c r="B47" s="18" t="n"/>
      <c r="C47" s="19" t="n"/>
      <c r="D47" s="19" t="n"/>
      <c r="E47" s="24" t="n"/>
      <c r="F47" s="20" t="n"/>
      <c r="G47" s="19" t="n"/>
      <c r="H47" s="19" t="n"/>
      <c r="I47" s="19" t="n"/>
      <c r="J47" s="19" t="n"/>
      <c r="K47" s="19" t="n"/>
      <c r="L47" s="19" t="n"/>
      <c r="M47" s="21" t="n"/>
      <c r="N47" s="14">
        <f>IF(B47="","",SUMIFS(Plantings!$S$6:$S$505,Plantings!$C$6:$C$505,B47,Plantings!$N$6:$N$505,Settings!$C$5))</f>
        <v/>
      </c>
      <c r="O47" s="10">
        <f>IF(B47="","",SUMIFS(Harvest!$E$6:$E$1505,Harvest!$C$6:$C$1505,B47,Harvest!$J$6:$J$1505,Settings!$C$5))</f>
        <v/>
      </c>
      <c r="P47" s="25">
        <f>IF(B47="","",SUMIFS(Harvest!$H$6:$H$1505,Harvest!$C$6:$C$1505,B47,Harvest!$J$6:$J$1505,Settings!$C$5))</f>
        <v/>
      </c>
      <c r="Q47" s="11">
        <f>IF(B47="","",IF(COUNTIF(Crops!$B$6:$B$65,B47)&gt;1,"Listed twice",IF(AND(E47&lt;&gt;"",NOT(ISNUMBER(E47))),"Price not a number",IF(AND(F47&lt;&gt;"",NOT(ISNUMBER(F47))),"Days not a number",IF(OR((G47="")&lt;&gt;(H47=""),(I47="")&lt;&gt;(J47=""),(K47="")&lt;&gt;(L47="")),"A month is missing","")))))</f>
        <v/>
      </c>
      <c r="R47" s="1">
        <f>IFERROR(MATCH(G47,Settings!$H$1:$H$12,0),0)</f>
        <v/>
      </c>
      <c r="S47">
        <f>IFERROR(MATCH(H47,Settings!$H$1:$H$12,0),0)</f>
        <v/>
      </c>
      <c r="T47">
        <f>IFERROR(MATCH(I47,Settings!$H$1:$H$12,0),0)</f>
        <v/>
      </c>
      <c r="U47">
        <f>IFERROR(MATCH(J47,Settings!$H$1:$H$12,0),0)</f>
        <v/>
      </c>
      <c r="V47">
        <f>IFERROR(MATCH(K47,Settings!$H$1:$H$12,0),0)</f>
        <v/>
      </c>
      <c r="W47">
        <f>IFERROR(MATCH(L47,Settings!$H$1:$H$12,0),0)</f>
        <v/>
      </c>
      <c r="X47">
        <f>IF(AND(B47&lt;&gt;"",IF(OR(R47=0,S47=0),0,IF(R47&lt;=S47,IF(AND(MONTH(TODAY())&gt;=R47,MONTH(TODAY())&lt;=S47),1,0),IF(OR(MONTH(TODAY())&gt;=R47,MONTH(TODAY())&lt;=S47),1,0)))=1),ROW(),"")</f>
        <v/>
      </c>
      <c r="Y47">
        <f>IF(AND(B47&lt;&gt;"",IF(OR(T47=0,U47=0),0,IF(T47&lt;=U47,IF(AND(MONTH(TODAY())&gt;=T47,MONTH(TODAY())&lt;=U47),1,0),IF(OR(MONTH(TODAY())&gt;=T47,MONTH(TODAY())&lt;=U47),1,0)))=1),ROW(),"")</f>
        <v/>
      </c>
      <c r="Z47">
        <f>IF(AND(B47&lt;&gt;"",IF(OR(V47=0,W47=0),0,IF(V47&lt;=W47,IF(AND(MONTH(TODAY())&gt;=V47,MONTH(TODAY())&lt;=W47),1,0),IF(OR(MONTH(TODAY())&gt;=V47,MONTH(TODAY())&lt;=W47),1,0)))=1),ROW(),"")</f>
        <v/>
      </c>
      <c r="AA47">
        <f>IF(OR(B47="",N(O47)&lt;=0),"",ROUND(N(P47)*100,0)*1000+1000-ROW())</f>
        <v/>
      </c>
    </row>
    <row r="48">
      <c r="A48" s="1" t="n"/>
      <c r="B48" s="18" t="n"/>
      <c r="C48" s="19" t="n"/>
      <c r="D48" s="19" t="n"/>
      <c r="E48" s="24" t="n"/>
      <c r="F48" s="20" t="n"/>
      <c r="G48" s="19" t="n"/>
      <c r="H48" s="19" t="n"/>
      <c r="I48" s="19" t="n"/>
      <c r="J48" s="19" t="n"/>
      <c r="K48" s="19" t="n"/>
      <c r="L48" s="19" t="n"/>
      <c r="M48" s="21" t="n"/>
      <c r="N48" s="14">
        <f>IF(B48="","",SUMIFS(Plantings!$S$6:$S$505,Plantings!$C$6:$C$505,B48,Plantings!$N$6:$N$505,Settings!$C$5))</f>
        <v/>
      </c>
      <c r="O48" s="10">
        <f>IF(B48="","",SUMIFS(Harvest!$E$6:$E$1505,Harvest!$C$6:$C$1505,B48,Harvest!$J$6:$J$1505,Settings!$C$5))</f>
        <v/>
      </c>
      <c r="P48" s="25">
        <f>IF(B48="","",SUMIFS(Harvest!$H$6:$H$1505,Harvest!$C$6:$C$1505,B48,Harvest!$J$6:$J$1505,Settings!$C$5))</f>
        <v/>
      </c>
      <c r="Q48" s="11">
        <f>IF(B48="","",IF(COUNTIF(Crops!$B$6:$B$65,B48)&gt;1,"Listed twice",IF(AND(E48&lt;&gt;"",NOT(ISNUMBER(E48))),"Price not a number",IF(AND(F48&lt;&gt;"",NOT(ISNUMBER(F48))),"Days not a number",IF(OR((G48="")&lt;&gt;(H48=""),(I48="")&lt;&gt;(J48=""),(K48="")&lt;&gt;(L48="")),"A month is missing","")))))</f>
        <v/>
      </c>
      <c r="R48" s="1">
        <f>IFERROR(MATCH(G48,Settings!$H$1:$H$12,0),0)</f>
        <v/>
      </c>
      <c r="S48">
        <f>IFERROR(MATCH(H48,Settings!$H$1:$H$12,0),0)</f>
        <v/>
      </c>
      <c r="T48">
        <f>IFERROR(MATCH(I48,Settings!$H$1:$H$12,0),0)</f>
        <v/>
      </c>
      <c r="U48">
        <f>IFERROR(MATCH(J48,Settings!$H$1:$H$12,0),0)</f>
        <v/>
      </c>
      <c r="V48">
        <f>IFERROR(MATCH(K48,Settings!$H$1:$H$12,0),0)</f>
        <v/>
      </c>
      <c r="W48">
        <f>IFERROR(MATCH(L48,Settings!$H$1:$H$12,0),0)</f>
        <v/>
      </c>
      <c r="X48">
        <f>IF(AND(B48&lt;&gt;"",IF(OR(R48=0,S48=0),0,IF(R48&lt;=S48,IF(AND(MONTH(TODAY())&gt;=R48,MONTH(TODAY())&lt;=S48),1,0),IF(OR(MONTH(TODAY())&gt;=R48,MONTH(TODAY())&lt;=S48),1,0)))=1),ROW(),"")</f>
        <v/>
      </c>
      <c r="Y48">
        <f>IF(AND(B48&lt;&gt;"",IF(OR(T48=0,U48=0),0,IF(T48&lt;=U48,IF(AND(MONTH(TODAY())&gt;=T48,MONTH(TODAY())&lt;=U48),1,0),IF(OR(MONTH(TODAY())&gt;=T48,MONTH(TODAY())&lt;=U48),1,0)))=1),ROW(),"")</f>
        <v/>
      </c>
      <c r="Z48">
        <f>IF(AND(B48&lt;&gt;"",IF(OR(V48=0,W48=0),0,IF(V48&lt;=W48,IF(AND(MONTH(TODAY())&gt;=V48,MONTH(TODAY())&lt;=W48),1,0),IF(OR(MONTH(TODAY())&gt;=V48,MONTH(TODAY())&lt;=W48),1,0)))=1),ROW(),"")</f>
        <v/>
      </c>
      <c r="AA48">
        <f>IF(OR(B48="",N(O48)&lt;=0),"",ROUND(N(P48)*100,0)*1000+1000-ROW())</f>
        <v/>
      </c>
    </row>
    <row r="49">
      <c r="A49" s="1" t="n"/>
      <c r="B49" s="18" t="n"/>
      <c r="C49" s="19" t="n"/>
      <c r="D49" s="19" t="n"/>
      <c r="E49" s="24" t="n"/>
      <c r="F49" s="20" t="n"/>
      <c r="G49" s="19" t="n"/>
      <c r="H49" s="19" t="n"/>
      <c r="I49" s="19" t="n"/>
      <c r="J49" s="19" t="n"/>
      <c r="K49" s="19" t="n"/>
      <c r="L49" s="19" t="n"/>
      <c r="M49" s="21" t="n"/>
      <c r="N49" s="14">
        <f>IF(B49="","",SUMIFS(Plantings!$S$6:$S$505,Plantings!$C$6:$C$505,B49,Plantings!$N$6:$N$505,Settings!$C$5))</f>
        <v/>
      </c>
      <c r="O49" s="10">
        <f>IF(B49="","",SUMIFS(Harvest!$E$6:$E$1505,Harvest!$C$6:$C$1505,B49,Harvest!$J$6:$J$1505,Settings!$C$5))</f>
        <v/>
      </c>
      <c r="P49" s="25">
        <f>IF(B49="","",SUMIFS(Harvest!$H$6:$H$1505,Harvest!$C$6:$C$1505,B49,Harvest!$J$6:$J$1505,Settings!$C$5))</f>
        <v/>
      </c>
      <c r="Q49" s="11">
        <f>IF(B49="","",IF(COUNTIF(Crops!$B$6:$B$65,B49)&gt;1,"Listed twice",IF(AND(E49&lt;&gt;"",NOT(ISNUMBER(E49))),"Price not a number",IF(AND(F49&lt;&gt;"",NOT(ISNUMBER(F49))),"Days not a number",IF(OR((G49="")&lt;&gt;(H49=""),(I49="")&lt;&gt;(J49=""),(K49="")&lt;&gt;(L49="")),"A month is missing","")))))</f>
        <v/>
      </c>
      <c r="R49" s="1">
        <f>IFERROR(MATCH(G49,Settings!$H$1:$H$12,0),0)</f>
        <v/>
      </c>
      <c r="S49">
        <f>IFERROR(MATCH(H49,Settings!$H$1:$H$12,0),0)</f>
        <v/>
      </c>
      <c r="T49">
        <f>IFERROR(MATCH(I49,Settings!$H$1:$H$12,0),0)</f>
        <v/>
      </c>
      <c r="U49">
        <f>IFERROR(MATCH(J49,Settings!$H$1:$H$12,0),0)</f>
        <v/>
      </c>
      <c r="V49">
        <f>IFERROR(MATCH(K49,Settings!$H$1:$H$12,0),0)</f>
        <v/>
      </c>
      <c r="W49">
        <f>IFERROR(MATCH(L49,Settings!$H$1:$H$12,0),0)</f>
        <v/>
      </c>
      <c r="X49">
        <f>IF(AND(B49&lt;&gt;"",IF(OR(R49=0,S49=0),0,IF(R49&lt;=S49,IF(AND(MONTH(TODAY())&gt;=R49,MONTH(TODAY())&lt;=S49),1,0),IF(OR(MONTH(TODAY())&gt;=R49,MONTH(TODAY())&lt;=S49),1,0)))=1),ROW(),"")</f>
        <v/>
      </c>
      <c r="Y49">
        <f>IF(AND(B49&lt;&gt;"",IF(OR(T49=0,U49=0),0,IF(T49&lt;=U49,IF(AND(MONTH(TODAY())&gt;=T49,MONTH(TODAY())&lt;=U49),1,0),IF(OR(MONTH(TODAY())&gt;=T49,MONTH(TODAY())&lt;=U49),1,0)))=1),ROW(),"")</f>
        <v/>
      </c>
      <c r="Z49">
        <f>IF(AND(B49&lt;&gt;"",IF(OR(V49=0,W49=0),0,IF(V49&lt;=W49,IF(AND(MONTH(TODAY())&gt;=V49,MONTH(TODAY())&lt;=W49),1,0),IF(OR(MONTH(TODAY())&gt;=V49,MONTH(TODAY())&lt;=W49),1,0)))=1),ROW(),"")</f>
        <v/>
      </c>
      <c r="AA49">
        <f>IF(OR(B49="",N(O49)&lt;=0),"",ROUND(N(P49)*100,0)*1000+1000-ROW())</f>
        <v/>
      </c>
    </row>
    <row r="50">
      <c r="A50" s="1" t="n"/>
      <c r="B50" s="18" t="n"/>
      <c r="C50" s="19" t="n"/>
      <c r="D50" s="19" t="n"/>
      <c r="E50" s="24" t="n"/>
      <c r="F50" s="20" t="n"/>
      <c r="G50" s="19" t="n"/>
      <c r="H50" s="19" t="n"/>
      <c r="I50" s="19" t="n"/>
      <c r="J50" s="19" t="n"/>
      <c r="K50" s="19" t="n"/>
      <c r="L50" s="19" t="n"/>
      <c r="M50" s="21" t="n"/>
      <c r="N50" s="14">
        <f>IF(B50="","",SUMIFS(Plantings!$S$6:$S$505,Plantings!$C$6:$C$505,B50,Plantings!$N$6:$N$505,Settings!$C$5))</f>
        <v/>
      </c>
      <c r="O50" s="10">
        <f>IF(B50="","",SUMIFS(Harvest!$E$6:$E$1505,Harvest!$C$6:$C$1505,B50,Harvest!$J$6:$J$1505,Settings!$C$5))</f>
        <v/>
      </c>
      <c r="P50" s="25">
        <f>IF(B50="","",SUMIFS(Harvest!$H$6:$H$1505,Harvest!$C$6:$C$1505,B50,Harvest!$J$6:$J$1505,Settings!$C$5))</f>
        <v/>
      </c>
      <c r="Q50" s="11">
        <f>IF(B50="","",IF(COUNTIF(Crops!$B$6:$B$65,B50)&gt;1,"Listed twice",IF(AND(E50&lt;&gt;"",NOT(ISNUMBER(E50))),"Price not a number",IF(AND(F50&lt;&gt;"",NOT(ISNUMBER(F50))),"Days not a number",IF(OR((G50="")&lt;&gt;(H50=""),(I50="")&lt;&gt;(J50=""),(K50="")&lt;&gt;(L50="")),"A month is missing","")))))</f>
        <v/>
      </c>
      <c r="R50" s="1">
        <f>IFERROR(MATCH(G50,Settings!$H$1:$H$12,0),0)</f>
        <v/>
      </c>
      <c r="S50">
        <f>IFERROR(MATCH(H50,Settings!$H$1:$H$12,0),0)</f>
        <v/>
      </c>
      <c r="T50">
        <f>IFERROR(MATCH(I50,Settings!$H$1:$H$12,0),0)</f>
        <v/>
      </c>
      <c r="U50">
        <f>IFERROR(MATCH(J50,Settings!$H$1:$H$12,0),0)</f>
        <v/>
      </c>
      <c r="V50">
        <f>IFERROR(MATCH(K50,Settings!$H$1:$H$12,0),0)</f>
        <v/>
      </c>
      <c r="W50">
        <f>IFERROR(MATCH(L50,Settings!$H$1:$H$12,0),0)</f>
        <v/>
      </c>
      <c r="X50">
        <f>IF(AND(B50&lt;&gt;"",IF(OR(R50=0,S50=0),0,IF(R50&lt;=S50,IF(AND(MONTH(TODAY())&gt;=R50,MONTH(TODAY())&lt;=S50),1,0),IF(OR(MONTH(TODAY())&gt;=R50,MONTH(TODAY())&lt;=S50),1,0)))=1),ROW(),"")</f>
        <v/>
      </c>
      <c r="Y50">
        <f>IF(AND(B50&lt;&gt;"",IF(OR(T50=0,U50=0),0,IF(T50&lt;=U50,IF(AND(MONTH(TODAY())&gt;=T50,MONTH(TODAY())&lt;=U50),1,0),IF(OR(MONTH(TODAY())&gt;=T50,MONTH(TODAY())&lt;=U50),1,0)))=1),ROW(),"")</f>
        <v/>
      </c>
      <c r="Z50">
        <f>IF(AND(B50&lt;&gt;"",IF(OR(V50=0,W50=0),0,IF(V50&lt;=W50,IF(AND(MONTH(TODAY())&gt;=V50,MONTH(TODAY())&lt;=W50),1,0),IF(OR(MONTH(TODAY())&gt;=V50,MONTH(TODAY())&lt;=W50),1,0)))=1),ROW(),"")</f>
        <v/>
      </c>
      <c r="AA50">
        <f>IF(OR(B50="",N(O50)&lt;=0),"",ROUND(N(P50)*100,0)*1000+1000-ROW())</f>
        <v/>
      </c>
    </row>
    <row r="51">
      <c r="A51" s="1" t="n"/>
      <c r="B51" s="18" t="n"/>
      <c r="C51" s="19" t="n"/>
      <c r="D51" s="19" t="n"/>
      <c r="E51" s="24" t="n"/>
      <c r="F51" s="20" t="n"/>
      <c r="G51" s="19" t="n"/>
      <c r="H51" s="19" t="n"/>
      <c r="I51" s="19" t="n"/>
      <c r="J51" s="19" t="n"/>
      <c r="K51" s="19" t="n"/>
      <c r="L51" s="19" t="n"/>
      <c r="M51" s="21" t="n"/>
      <c r="N51" s="14">
        <f>IF(B51="","",SUMIFS(Plantings!$S$6:$S$505,Plantings!$C$6:$C$505,B51,Plantings!$N$6:$N$505,Settings!$C$5))</f>
        <v/>
      </c>
      <c r="O51" s="10">
        <f>IF(B51="","",SUMIFS(Harvest!$E$6:$E$1505,Harvest!$C$6:$C$1505,B51,Harvest!$J$6:$J$1505,Settings!$C$5))</f>
        <v/>
      </c>
      <c r="P51" s="25">
        <f>IF(B51="","",SUMIFS(Harvest!$H$6:$H$1505,Harvest!$C$6:$C$1505,B51,Harvest!$J$6:$J$1505,Settings!$C$5))</f>
        <v/>
      </c>
      <c r="Q51" s="11">
        <f>IF(B51="","",IF(COUNTIF(Crops!$B$6:$B$65,B51)&gt;1,"Listed twice",IF(AND(E51&lt;&gt;"",NOT(ISNUMBER(E51))),"Price not a number",IF(AND(F51&lt;&gt;"",NOT(ISNUMBER(F51))),"Days not a number",IF(OR((G51="")&lt;&gt;(H51=""),(I51="")&lt;&gt;(J51=""),(K51="")&lt;&gt;(L51="")),"A month is missing","")))))</f>
        <v/>
      </c>
      <c r="R51" s="1">
        <f>IFERROR(MATCH(G51,Settings!$H$1:$H$12,0),0)</f>
        <v/>
      </c>
      <c r="S51">
        <f>IFERROR(MATCH(H51,Settings!$H$1:$H$12,0),0)</f>
        <v/>
      </c>
      <c r="T51">
        <f>IFERROR(MATCH(I51,Settings!$H$1:$H$12,0),0)</f>
        <v/>
      </c>
      <c r="U51">
        <f>IFERROR(MATCH(J51,Settings!$H$1:$H$12,0),0)</f>
        <v/>
      </c>
      <c r="V51">
        <f>IFERROR(MATCH(K51,Settings!$H$1:$H$12,0),0)</f>
        <v/>
      </c>
      <c r="W51">
        <f>IFERROR(MATCH(L51,Settings!$H$1:$H$12,0),0)</f>
        <v/>
      </c>
      <c r="X51">
        <f>IF(AND(B51&lt;&gt;"",IF(OR(R51=0,S51=0),0,IF(R51&lt;=S51,IF(AND(MONTH(TODAY())&gt;=R51,MONTH(TODAY())&lt;=S51),1,0),IF(OR(MONTH(TODAY())&gt;=R51,MONTH(TODAY())&lt;=S51),1,0)))=1),ROW(),"")</f>
        <v/>
      </c>
      <c r="Y51">
        <f>IF(AND(B51&lt;&gt;"",IF(OR(T51=0,U51=0),0,IF(T51&lt;=U51,IF(AND(MONTH(TODAY())&gt;=T51,MONTH(TODAY())&lt;=U51),1,0),IF(OR(MONTH(TODAY())&gt;=T51,MONTH(TODAY())&lt;=U51),1,0)))=1),ROW(),"")</f>
        <v/>
      </c>
      <c r="Z51">
        <f>IF(AND(B51&lt;&gt;"",IF(OR(V51=0,W51=0),0,IF(V51&lt;=W51,IF(AND(MONTH(TODAY())&gt;=V51,MONTH(TODAY())&lt;=W51),1,0),IF(OR(MONTH(TODAY())&gt;=V51,MONTH(TODAY())&lt;=W51),1,0)))=1),ROW(),"")</f>
        <v/>
      </c>
      <c r="AA51">
        <f>IF(OR(B51="",N(O51)&lt;=0),"",ROUND(N(P51)*100,0)*1000+1000-ROW())</f>
        <v/>
      </c>
    </row>
    <row r="52">
      <c r="A52" s="1" t="n"/>
      <c r="B52" s="18" t="n"/>
      <c r="C52" s="19" t="n"/>
      <c r="D52" s="19" t="n"/>
      <c r="E52" s="24" t="n"/>
      <c r="F52" s="20" t="n"/>
      <c r="G52" s="19" t="n"/>
      <c r="H52" s="19" t="n"/>
      <c r="I52" s="19" t="n"/>
      <c r="J52" s="19" t="n"/>
      <c r="K52" s="19" t="n"/>
      <c r="L52" s="19" t="n"/>
      <c r="M52" s="21" t="n"/>
      <c r="N52" s="14">
        <f>IF(B52="","",SUMIFS(Plantings!$S$6:$S$505,Plantings!$C$6:$C$505,B52,Plantings!$N$6:$N$505,Settings!$C$5))</f>
        <v/>
      </c>
      <c r="O52" s="10">
        <f>IF(B52="","",SUMIFS(Harvest!$E$6:$E$1505,Harvest!$C$6:$C$1505,B52,Harvest!$J$6:$J$1505,Settings!$C$5))</f>
        <v/>
      </c>
      <c r="P52" s="25">
        <f>IF(B52="","",SUMIFS(Harvest!$H$6:$H$1505,Harvest!$C$6:$C$1505,B52,Harvest!$J$6:$J$1505,Settings!$C$5))</f>
        <v/>
      </c>
      <c r="Q52" s="11">
        <f>IF(B52="","",IF(COUNTIF(Crops!$B$6:$B$65,B52)&gt;1,"Listed twice",IF(AND(E52&lt;&gt;"",NOT(ISNUMBER(E52))),"Price not a number",IF(AND(F52&lt;&gt;"",NOT(ISNUMBER(F52))),"Days not a number",IF(OR((G52="")&lt;&gt;(H52=""),(I52="")&lt;&gt;(J52=""),(K52="")&lt;&gt;(L52="")),"A month is missing","")))))</f>
        <v/>
      </c>
      <c r="R52" s="1">
        <f>IFERROR(MATCH(G52,Settings!$H$1:$H$12,0),0)</f>
        <v/>
      </c>
      <c r="S52">
        <f>IFERROR(MATCH(H52,Settings!$H$1:$H$12,0),0)</f>
        <v/>
      </c>
      <c r="T52">
        <f>IFERROR(MATCH(I52,Settings!$H$1:$H$12,0),0)</f>
        <v/>
      </c>
      <c r="U52">
        <f>IFERROR(MATCH(J52,Settings!$H$1:$H$12,0),0)</f>
        <v/>
      </c>
      <c r="V52">
        <f>IFERROR(MATCH(K52,Settings!$H$1:$H$12,0),0)</f>
        <v/>
      </c>
      <c r="W52">
        <f>IFERROR(MATCH(L52,Settings!$H$1:$H$12,0),0)</f>
        <v/>
      </c>
      <c r="X52">
        <f>IF(AND(B52&lt;&gt;"",IF(OR(R52=0,S52=0),0,IF(R52&lt;=S52,IF(AND(MONTH(TODAY())&gt;=R52,MONTH(TODAY())&lt;=S52),1,0),IF(OR(MONTH(TODAY())&gt;=R52,MONTH(TODAY())&lt;=S52),1,0)))=1),ROW(),"")</f>
        <v/>
      </c>
      <c r="Y52">
        <f>IF(AND(B52&lt;&gt;"",IF(OR(T52=0,U52=0),0,IF(T52&lt;=U52,IF(AND(MONTH(TODAY())&gt;=T52,MONTH(TODAY())&lt;=U52),1,0),IF(OR(MONTH(TODAY())&gt;=T52,MONTH(TODAY())&lt;=U52),1,0)))=1),ROW(),"")</f>
        <v/>
      </c>
      <c r="Z52">
        <f>IF(AND(B52&lt;&gt;"",IF(OR(V52=0,W52=0),0,IF(V52&lt;=W52,IF(AND(MONTH(TODAY())&gt;=V52,MONTH(TODAY())&lt;=W52),1,0),IF(OR(MONTH(TODAY())&gt;=V52,MONTH(TODAY())&lt;=W52),1,0)))=1),ROW(),"")</f>
        <v/>
      </c>
      <c r="AA52">
        <f>IF(OR(B52="",N(O52)&lt;=0),"",ROUND(N(P52)*100,0)*1000+1000-ROW())</f>
        <v/>
      </c>
    </row>
    <row r="53">
      <c r="A53" s="1" t="n"/>
      <c r="B53" s="18" t="n"/>
      <c r="C53" s="19" t="n"/>
      <c r="D53" s="19" t="n"/>
      <c r="E53" s="24" t="n"/>
      <c r="F53" s="20" t="n"/>
      <c r="G53" s="19" t="n"/>
      <c r="H53" s="19" t="n"/>
      <c r="I53" s="19" t="n"/>
      <c r="J53" s="19" t="n"/>
      <c r="K53" s="19" t="n"/>
      <c r="L53" s="19" t="n"/>
      <c r="M53" s="21" t="n"/>
      <c r="N53" s="14">
        <f>IF(B53="","",SUMIFS(Plantings!$S$6:$S$505,Plantings!$C$6:$C$505,B53,Plantings!$N$6:$N$505,Settings!$C$5))</f>
        <v/>
      </c>
      <c r="O53" s="10">
        <f>IF(B53="","",SUMIFS(Harvest!$E$6:$E$1505,Harvest!$C$6:$C$1505,B53,Harvest!$J$6:$J$1505,Settings!$C$5))</f>
        <v/>
      </c>
      <c r="P53" s="25">
        <f>IF(B53="","",SUMIFS(Harvest!$H$6:$H$1505,Harvest!$C$6:$C$1505,B53,Harvest!$J$6:$J$1505,Settings!$C$5))</f>
        <v/>
      </c>
      <c r="Q53" s="11">
        <f>IF(B53="","",IF(COUNTIF(Crops!$B$6:$B$65,B53)&gt;1,"Listed twice",IF(AND(E53&lt;&gt;"",NOT(ISNUMBER(E53))),"Price not a number",IF(AND(F53&lt;&gt;"",NOT(ISNUMBER(F53))),"Days not a number",IF(OR((G53="")&lt;&gt;(H53=""),(I53="")&lt;&gt;(J53=""),(K53="")&lt;&gt;(L53="")),"A month is missing","")))))</f>
        <v/>
      </c>
      <c r="R53" s="1">
        <f>IFERROR(MATCH(G53,Settings!$H$1:$H$12,0),0)</f>
        <v/>
      </c>
      <c r="S53">
        <f>IFERROR(MATCH(H53,Settings!$H$1:$H$12,0),0)</f>
        <v/>
      </c>
      <c r="T53">
        <f>IFERROR(MATCH(I53,Settings!$H$1:$H$12,0),0)</f>
        <v/>
      </c>
      <c r="U53">
        <f>IFERROR(MATCH(J53,Settings!$H$1:$H$12,0),0)</f>
        <v/>
      </c>
      <c r="V53">
        <f>IFERROR(MATCH(K53,Settings!$H$1:$H$12,0),0)</f>
        <v/>
      </c>
      <c r="W53">
        <f>IFERROR(MATCH(L53,Settings!$H$1:$H$12,0),0)</f>
        <v/>
      </c>
      <c r="X53">
        <f>IF(AND(B53&lt;&gt;"",IF(OR(R53=0,S53=0),0,IF(R53&lt;=S53,IF(AND(MONTH(TODAY())&gt;=R53,MONTH(TODAY())&lt;=S53),1,0),IF(OR(MONTH(TODAY())&gt;=R53,MONTH(TODAY())&lt;=S53),1,0)))=1),ROW(),"")</f>
        <v/>
      </c>
      <c r="Y53">
        <f>IF(AND(B53&lt;&gt;"",IF(OR(T53=0,U53=0),0,IF(T53&lt;=U53,IF(AND(MONTH(TODAY())&gt;=T53,MONTH(TODAY())&lt;=U53),1,0),IF(OR(MONTH(TODAY())&gt;=T53,MONTH(TODAY())&lt;=U53),1,0)))=1),ROW(),"")</f>
        <v/>
      </c>
      <c r="Z53">
        <f>IF(AND(B53&lt;&gt;"",IF(OR(V53=0,W53=0),0,IF(V53&lt;=W53,IF(AND(MONTH(TODAY())&gt;=V53,MONTH(TODAY())&lt;=W53),1,0),IF(OR(MONTH(TODAY())&gt;=V53,MONTH(TODAY())&lt;=W53),1,0)))=1),ROW(),"")</f>
        <v/>
      </c>
      <c r="AA53">
        <f>IF(OR(B53="",N(O53)&lt;=0),"",ROUND(N(P53)*100,0)*1000+1000-ROW())</f>
        <v/>
      </c>
    </row>
    <row r="54">
      <c r="A54" s="1" t="n"/>
      <c r="B54" s="18" t="n"/>
      <c r="C54" s="19" t="n"/>
      <c r="D54" s="19" t="n"/>
      <c r="E54" s="24" t="n"/>
      <c r="F54" s="20" t="n"/>
      <c r="G54" s="19" t="n"/>
      <c r="H54" s="19" t="n"/>
      <c r="I54" s="19" t="n"/>
      <c r="J54" s="19" t="n"/>
      <c r="K54" s="19" t="n"/>
      <c r="L54" s="19" t="n"/>
      <c r="M54" s="21" t="n"/>
      <c r="N54" s="14">
        <f>IF(B54="","",SUMIFS(Plantings!$S$6:$S$505,Plantings!$C$6:$C$505,B54,Plantings!$N$6:$N$505,Settings!$C$5))</f>
        <v/>
      </c>
      <c r="O54" s="10">
        <f>IF(B54="","",SUMIFS(Harvest!$E$6:$E$1505,Harvest!$C$6:$C$1505,B54,Harvest!$J$6:$J$1505,Settings!$C$5))</f>
        <v/>
      </c>
      <c r="P54" s="25">
        <f>IF(B54="","",SUMIFS(Harvest!$H$6:$H$1505,Harvest!$C$6:$C$1505,B54,Harvest!$J$6:$J$1505,Settings!$C$5))</f>
        <v/>
      </c>
      <c r="Q54" s="11">
        <f>IF(B54="","",IF(COUNTIF(Crops!$B$6:$B$65,B54)&gt;1,"Listed twice",IF(AND(E54&lt;&gt;"",NOT(ISNUMBER(E54))),"Price not a number",IF(AND(F54&lt;&gt;"",NOT(ISNUMBER(F54))),"Days not a number",IF(OR((G54="")&lt;&gt;(H54=""),(I54="")&lt;&gt;(J54=""),(K54="")&lt;&gt;(L54="")),"A month is missing","")))))</f>
        <v/>
      </c>
      <c r="R54" s="1">
        <f>IFERROR(MATCH(G54,Settings!$H$1:$H$12,0),0)</f>
        <v/>
      </c>
      <c r="S54">
        <f>IFERROR(MATCH(H54,Settings!$H$1:$H$12,0),0)</f>
        <v/>
      </c>
      <c r="T54">
        <f>IFERROR(MATCH(I54,Settings!$H$1:$H$12,0),0)</f>
        <v/>
      </c>
      <c r="U54">
        <f>IFERROR(MATCH(J54,Settings!$H$1:$H$12,0),0)</f>
        <v/>
      </c>
      <c r="V54">
        <f>IFERROR(MATCH(K54,Settings!$H$1:$H$12,0),0)</f>
        <v/>
      </c>
      <c r="W54">
        <f>IFERROR(MATCH(L54,Settings!$H$1:$H$12,0),0)</f>
        <v/>
      </c>
      <c r="X54">
        <f>IF(AND(B54&lt;&gt;"",IF(OR(R54=0,S54=0),0,IF(R54&lt;=S54,IF(AND(MONTH(TODAY())&gt;=R54,MONTH(TODAY())&lt;=S54),1,0),IF(OR(MONTH(TODAY())&gt;=R54,MONTH(TODAY())&lt;=S54),1,0)))=1),ROW(),"")</f>
        <v/>
      </c>
      <c r="Y54">
        <f>IF(AND(B54&lt;&gt;"",IF(OR(T54=0,U54=0),0,IF(T54&lt;=U54,IF(AND(MONTH(TODAY())&gt;=T54,MONTH(TODAY())&lt;=U54),1,0),IF(OR(MONTH(TODAY())&gt;=T54,MONTH(TODAY())&lt;=U54),1,0)))=1),ROW(),"")</f>
        <v/>
      </c>
      <c r="Z54">
        <f>IF(AND(B54&lt;&gt;"",IF(OR(V54=0,W54=0),0,IF(V54&lt;=W54,IF(AND(MONTH(TODAY())&gt;=V54,MONTH(TODAY())&lt;=W54),1,0),IF(OR(MONTH(TODAY())&gt;=V54,MONTH(TODAY())&lt;=W54),1,0)))=1),ROW(),"")</f>
        <v/>
      </c>
      <c r="AA54">
        <f>IF(OR(B54="",N(O54)&lt;=0),"",ROUND(N(P54)*100,0)*1000+1000-ROW())</f>
        <v/>
      </c>
    </row>
    <row r="55">
      <c r="A55" s="1" t="n"/>
      <c r="B55" s="18" t="n"/>
      <c r="C55" s="19" t="n"/>
      <c r="D55" s="19" t="n"/>
      <c r="E55" s="24" t="n"/>
      <c r="F55" s="20" t="n"/>
      <c r="G55" s="19" t="n"/>
      <c r="H55" s="19" t="n"/>
      <c r="I55" s="19" t="n"/>
      <c r="J55" s="19" t="n"/>
      <c r="K55" s="19" t="n"/>
      <c r="L55" s="19" t="n"/>
      <c r="M55" s="21" t="n"/>
      <c r="N55" s="14">
        <f>IF(B55="","",SUMIFS(Plantings!$S$6:$S$505,Plantings!$C$6:$C$505,B55,Plantings!$N$6:$N$505,Settings!$C$5))</f>
        <v/>
      </c>
      <c r="O55" s="10">
        <f>IF(B55="","",SUMIFS(Harvest!$E$6:$E$1505,Harvest!$C$6:$C$1505,B55,Harvest!$J$6:$J$1505,Settings!$C$5))</f>
        <v/>
      </c>
      <c r="P55" s="25">
        <f>IF(B55="","",SUMIFS(Harvest!$H$6:$H$1505,Harvest!$C$6:$C$1505,B55,Harvest!$J$6:$J$1505,Settings!$C$5))</f>
        <v/>
      </c>
      <c r="Q55" s="11">
        <f>IF(B55="","",IF(COUNTIF(Crops!$B$6:$B$65,B55)&gt;1,"Listed twice",IF(AND(E55&lt;&gt;"",NOT(ISNUMBER(E55))),"Price not a number",IF(AND(F55&lt;&gt;"",NOT(ISNUMBER(F55))),"Days not a number",IF(OR((G55="")&lt;&gt;(H55=""),(I55="")&lt;&gt;(J55=""),(K55="")&lt;&gt;(L55="")),"A month is missing","")))))</f>
        <v/>
      </c>
      <c r="R55" s="1">
        <f>IFERROR(MATCH(G55,Settings!$H$1:$H$12,0),0)</f>
        <v/>
      </c>
      <c r="S55">
        <f>IFERROR(MATCH(H55,Settings!$H$1:$H$12,0),0)</f>
        <v/>
      </c>
      <c r="T55">
        <f>IFERROR(MATCH(I55,Settings!$H$1:$H$12,0),0)</f>
        <v/>
      </c>
      <c r="U55">
        <f>IFERROR(MATCH(J55,Settings!$H$1:$H$12,0),0)</f>
        <v/>
      </c>
      <c r="V55">
        <f>IFERROR(MATCH(K55,Settings!$H$1:$H$12,0),0)</f>
        <v/>
      </c>
      <c r="W55">
        <f>IFERROR(MATCH(L55,Settings!$H$1:$H$12,0),0)</f>
        <v/>
      </c>
      <c r="X55">
        <f>IF(AND(B55&lt;&gt;"",IF(OR(R55=0,S55=0),0,IF(R55&lt;=S55,IF(AND(MONTH(TODAY())&gt;=R55,MONTH(TODAY())&lt;=S55),1,0),IF(OR(MONTH(TODAY())&gt;=R55,MONTH(TODAY())&lt;=S55),1,0)))=1),ROW(),"")</f>
        <v/>
      </c>
      <c r="Y55">
        <f>IF(AND(B55&lt;&gt;"",IF(OR(T55=0,U55=0),0,IF(T55&lt;=U55,IF(AND(MONTH(TODAY())&gt;=T55,MONTH(TODAY())&lt;=U55),1,0),IF(OR(MONTH(TODAY())&gt;=T55,MONTH(TODAY())&lt;=U55),1,0)))=1),ROW(),"")</f>
        <v/>
      </c>
      <c r="Z55">
        <f>IF(AND(B55&lt;&gt;"",IF(OR(V55=0,W55=0),0,IF(V55&lt;=W55,IF(AND(MONTH(TODAY())&gt;=V55,MONTH(TODAY())&lt;=W55),1,0),IF(OR(MONTH(TODAY())&gt;=V55,MONTH(TODAY())&lt;=W55),1,0)))=1),ROW(),"")</f>
        <v/>
      </c>
      <c r="AA55">
        <f>IF(OR(B55="",N(O55)&lt;=0),"",ROUND(N(P55)*100,0)*1000+1000-ROW())</f>
        <v/>
      </c>
    </row>
    <row r="56">
      <c r="A56" s="1" t="n"/>
      <c r="B56" s="18" t="n"/>
      <c r="C56" s="19" t="n"/>
      <c r="D56" s="19" t="n"/>
      <c r="E56" s="24" t="n"/>
      <c r="F56" s="20" t="n"/>
      <c r="G56" s="19" t="n"/>
      <c r="H56" s="19" t="n"/>
      <c r="I56" s="19" t="n"/>
      <c r="J56" s="19" t="n"/>
      <c r="K56" s="19" t="n"/>
      <c r="L56" s="19" t="n"/>
      <c r="M56" s="21" t="n"/>
      <c r="N56" s="14">
        <f>IF(B56="","",SUMIFS(Plantings!$S$6:$S$505,Plantings!$C$6:$C$505,B56,Plantings!$N$6:$N$505,Settings!$C$5))</f>
        <v/>
      </c>
      <c r="O56" s="10">
        <f>IF(B56="","",SUMIFS(Harvest!$E$6:$E$1505,Harvest!$C$6:$C$1505,B56,Harvest!$J$6:$J$1505,Settings!$C$5))</f>
        <v/>
      </c>
      <c r="P56" s="25">
        <f>IF(B56="","",SUMIFS(Harvest!$H$6:$H$1505,Harvest!$C$6:$C$1505,B56,Harvest!$J$6:$J$1505,Settings!$C$5))</f>
        <v/>
      </c>
      <c r="Q56" s="11">
        <f>IF(B56="","",IF(COUNTIF(Crops!$B$6:$B$65,B56)&gt;1,"Listed twice",IF(AND(E56&lt;&gt;"",NOT(ISNUMBER(E56))),"Price not a number",IF(AND(F56&lt;&gt;"",NOT(ISNUMBER(F56))),"Days not a number",IF(OR((G56="")&lt;&gt;(H56=""),(I56="")&lt;&gt;(J56=""),(K56="")&lt;&gt;(L56="")),"A month is missing","")))))</f>
        <v/>
      </c>
      <c r="R56" s="1">
        <f>IFERROR(MATCH(G56,Settings!$H$1:$H$12,0),0)</f>
        <v/>
      </c>
      <c r="S56">
        <f>IFERROR(MATCH(H56,Settings!$H$1:$H$12,0),0)</f>
        <v/>
      </c>
      <c r="T56">
        <f>IFERROR(MATCH(I56,Settings!$H$1:$H$12,0),0)</f>
        <v/>
      </c>
      <c r="U56">
        <f>IFERROR(MATCH(J56,Settings!$H$1:$H$12,0),0)</f>
        <v/>
      </c>
      <c r="V56">
        <f>IFERROR(MATCH(K56,Settings!$H$1:$H$12,0),0)</f>
        <v/>
      </c>
      <c r="W56">
        <f>IFERROR(MATCH(L56,Settings!$H$1:$H$12,0),0)</f>
        <v/>
      </c>
      <c r="X56">
        <f>IF(AND(B56&lt;&gt;"",IF(OR(R56=0,S56=0),0,IF(R56&lt;=S56,IF(AND(MONTH(TODAY())&gt;=R56,MONTH(TODAY())&lt;=S56),1,0),IF(OR(MONTH(TODAY())&gt;=R56,MONTH(TODAY())&lt;=S56),1,0)))=1),ROW(),"")</f>
        <v/>
      </c>
      <c r="Y56">
        <f>IF(AND(B56&lt;&gt;"",IF(OR(T56=0,U56=0),0,IF(T56&lt;=U56,IF(AND(MONTH(TODAY())&gt;=T56,MONTH(TODAY())&lt;=U56),1,0),IF(OR(MONTH(TODAY())&gt;=T56,MONTH(TODAY())&lt;=U56),1,0)))=1),ROW(),"")</f>
        <v/>
      </c>
      <c r="Z56">
        <f>IF(AND(B56&lt;&gt;"",IF(OR(V56=0,W56=0),0,IF(V56&lt;=W56,IF(AND(MONTH(TODAY())&gt;=V56,MONTH(TODAY())&lt;=W56),1,0),IF(OR(MONTH(TODAY())&gt;=V56,MONTH(TODAY())&lt;=W56),1,0)))=1),ROW(),"")</f>
        <v/>
      </c>
      <c r="AA56">
        <f>IF(OR(B56="",N(O56)&lt;=0),"",ROUND(N(P56)*100,0)*1000+1000-ROW())</f>
        <v/>
      </c>
    </row>
    <row r="57">
      <c r="A57" s="1" t="n"/>
      <c r="B57" s="18" t="n"/>
      <c r="C57" s="19" t="n"/>
      <c r="D57" s="19" t="n"/>
      <c r="E57" s="24" t="n"/>
      <c r="F57" s="20" t="n"/>
      <c r="G57" s="19" t="n"/>
      <c r="H57" s="19" t="n"/>
      <c r="I57" s="19" t="n"/>
      <c r="J57" s="19" t="n"/>
      <c r="K57" s="19" t="n"/>
      <c r="L57" s="19" t="n"/>
      <c r="M57" s="21" t="n"/>
      <c r="N57" s="14">
        <f>IF(B57="","",SUMIFS(Plantings!$S$6:$S$505,Plantings!$C$6:$C$505,B57,Plantings!$N$6:$N$505,Settings!$C$5))</f>
        <v/>
      </c>
      <c r="O57" s="10">
        <f>IF(B57="","",SUMIFS(Harvest!$E$6:$E$1505,Harvest!$C$6:$C$1505,B57,Harvest!$J$6:$J$1505,Settings!$C$5))</f>
        <v/>
      </c>
      <c r="P57" s="25">
        <f>IF(B57="","",SUMIFS(Harvest!$H$6:$H$1505,Harvest!$C$6:$C$1505,B57,Harvest!$J$6:$J$1505,Settings!$C$5))</f>
        <v/>
      </c>
      <c r="Q57" s="11">
        <f>IF(B57="","",IF(COUNTIF(Crops!$B$6:$B$65,B57)&gt;1,"Listed twice",IF(AND(E57&lt;&gt;"",NOT(ISNUMBER(E57))),"Price not a number",IF(AND(F57&lt;&gt;"",NOT(ISNUMBER(F57))),"Days not a number",IF(OR((G57="")&lt;&gt;(H57=""),(I57="")&lt;&gt;(J57=""),(K57="")&lt;&gt;(L57="")),"A month is missing","")))))</f>
        <v/>
      </c>
      <c r="R57" s="1">
        <f>IFERROR(MATCH(G57,Settings!$H$1:$H$12,0),0)</f>
        <v/>
      </c>
      <c r="S57">
        <f>IFERROR(MATCH(H57,Settings!$H$1:$H$12,0),0)</f>
        <v/>
      </c>
      <c r="T57">
        <f>IFERROR(MATCH(I57,Settings!$H$1:$H$12,0),0)</f>
        <v/>
      </c>
      <c r="U57">
        <f>IFERROR(MATCH(J57,Settings!$H$1:$H$12,0),0)</f>
        <v/>
      </c>
      <c r="V57">
        <f>IFERROR(MATCH(K57,Settings!$H$1:$H$12,0),0)</f>
        <v/>
      </c>
      <c r="W57">
        <f>IFERROR(MATCH(L57,Settings!$H$1:$H$12,0),0)</f>
        <v/>
      </c>
      <c r="X57">
        <f>IF(AND(B57&lt;&gt;"",IF(OR(R57=0,S57=0),0,IF(R57&lt;=S57,IF(AND(MONTH(TODAY())&gt;=R57,MONTH(TODAY())&lt;=S57),1,0),IF(OR(MONTH(TODAY())&gt;=R57,MONTH(TODAY())&lt;=S57),1,0)))=1),ROW(),"")</f>
        <v/>
      </c>
      <c r="Y57">
        <f>IF(AND(B57&lt;&gt;"",IF(OR(T57=0,U57=0),0,IF(T57&lt;=U57,IF(AND(MONTH(TODAY())&gt;=T57,MONTH(TODAY())&lt;=U57),1,0),IF(OR(MONTH(TODAY())&gt;=T57,MONTH(TODAY())&lt;=U57),1,0)))=1),ROW(),"")</f>
        <v/>
      </c>
      <c r="Z57">
        <f>IF(AND(B57&lt;&gt;"",IF(OR(V57=0,W57=0),0,IF(V57&lt;=W57,IF(AND(MONTH(TODAY())&gt;=V57,MONTH(TODAY())&lt;=W57),1,0),IF(OR(MONTH(TODAY())&gt;=V57,MONTH(TODAY())&lt;=W57),1,0)))=1),ROW(),"")</f>
        <v/>
      </c>
      <c r="AA57">
        <f>IF(OR(B57="",N(O57)&lt;=0),"",ROUND(N(P57)*100,0)*1000+1000-ROW())</f>
        <v/>
      </c>
    </row>
    <row r="58">
      <c r="A58" s="1" t="n"/>
      <c r="B58" s="18" t="n"/>
      <c r="C58" s="19" t="n"/>
      <c r="D58" s="19" t="n"/>
      <c r="E58" s="24" t="n"/>
      <c r="F58" s="20" t="n"/>
      <c r="G58" s="19" t="n"/>
      <c r="H58" s="19" t="n"/>
      <c r="I58" s="19" t="n"/>
      <c r="J58" s="19" t="n"/>
      <c r="K58" s="19" t="n"/>
      <c r="L58" s="19" t="n"/>
      <c r="M58" s="21" t="n"/>
      <c r="N58" s="14">
        <f>IF(B58="","",SUMIFS(Plantings!$S$6:$S$505,Plantings!$C$6:$C$505,B58,Plantings!$N$6:$N$505,Settings!$C$5))</f>
        <v/>
      </c>
      <c r="O58" s="10">
        <f>IF(B58="","",SUMIFS(Harvest!$E$6:$E$1505,Harvest!$C$6:$C$1505,B58,Harvest!$J$6:$J$1505,Settings!$C$5))</f>
        <v/>
      </c>
      <c r="P58" s="25">
        <f>IF(B58="","",SUMIFS(Harvest!$H$6:$H$1505,Harvest!$C$6:$C$1505,B58,Harvest!$J$6:$J$1505,Settings!$C$5))</f>
        <v/>
      </c>
      <c r="Q58" s="11">
        <f>IF(B58="","",IF(COUNTIF(Crops!$B$6:$B$65,B58)&gt;1,"Listed twice",IF(AND(E58&lt;&gt;"",NOT(ISNUMBER(E58))),"Price not a number",IF(AND(F58&lt;&gt;"",NOT(ISNUMBER(F58))),"Days not a number",IF(OR((G58="")&lt;&gt;(H58=""),(I58="")&lt;&gt;(J58=""),(K58="")&lt;&gt;(L58="")),"A month is missing","")))))</f>
        <v/>
      </c>
      <c r="R58" s="1">
        <f>IFERROR(MATCH(G58,Settings!$H$1:$H$12,0),0)</f>
        <v/>
      </c>
      <c r="S58">
        <f>IFERROR(MATCH(H58,Settings!$H$1:$H$12,0),0)</f>
        <v/>
      </c>
      <c r="T58">
        <f>IFERROR(MATCH(I58,Settings!$H$1:$H$12,0),0)</f>
        <v/>
      </c>
      <c r="U58">
        <f>IFERROR(MATCH(J58,Settings!$H$1:$H$12,0),0)</f>
        <v/>
      </c>
      <c r="V58">
        <f>IFERROR(MATCH(K58,Settings!$H$1:$H$12,0),0)</f>
        <v/>
      </c>
      <c r="W58">
        <f>IFERROR(MATCH(L58,Settings!$H$1:$H$12,0),0)</f>
        <v/>
      </c>
      <c r="X58">
        <f>IF(AND(B58&lt;&gt;"",IF(OR(R58=0,S58=0),0,IF(R58&lt;=S58,IF(AND(MONTH(TODAY())&gt;=R58,MONTH(TODAY())&lt;=S58),1,0),IF(OR(MONTH(TODAY())&gt;=R58,MONTH(TODAY())&lt;=S58),1,0)))=1),ROW(),"")</f>
        <v/>
      </c>
      <c r="Y58">
        <f>IF(AND(B58&lt;&gt;"",IF(OR(T58=0,U58=0),0,IF(T58&lt;=U58,IF(AND(MONTH(TODAY())&gt;=T58,MONTH(TODAY())&lt;=U58),1,0),IF(OR(MONTH(TODAY())&gt;=T58,MONTH(TODAY())&lt;=U58),1,0)))=1),ROW(),"")</f>
        <v/>
      </c>
      <c r="Z58">
        <f>IF(AND(B58&lt;&gt;"",IF(OR(V58=0,W58=0),0,IF(V58&lt;=W58,IF(AND(MONTH(TODAY())&gt;=V58,MONTH(TODAY())&lt;=W58),1,0),IF(OR(MONTH(TODAY())&gt;=V58,MONTH(TODAY())&lt;=W58),1,0)))=1),ROW(),"")</f>
        <v/>
      </c>
      <c r="AA58">
        <f>IF(OR(B58="",N(O58)&lt;=0),"",ROUND(N(P58)*100,0)*1000+1000-ROW())</f>
        <v/>
      </c>
    </row>
    <row r="59">
      <c r="A59" s="1" t="n"/>
      <c r="B59" s="18" t="n"/>
      <c r="C59" s="19" t="n"/>
      <c r="D59" s="19" t="n"/>
      <c r="E59" s="24" t="n"/>
      <c r="F59" s="20" t="n"/>
      <c r="G59" s="19" t="n"/>
      <c r="H59" s="19" t="n"/>
      <c r="I59" s="19" t="n"/>
      <c r="J59" s="19" t="n"/>
      <c r="K59" s="19" t="n"/>
      <c r="L59" s="19" t="n"/>
      <c r="M59" s="21" t="n"/>
      <c r="N59" s="14">
        <f>IF(B59="","",SUMIFS(Plantings!$S$6:$S$505,Plantings!$C$6:$C$505,B59,Plantings!$N$6:$N$505,Settings!$C$5))</f>
        <v/>
      </c>
      <c r="O59" s="10">
        <f>IF(B59="","",SUMIFS(Harvest!$E$6:$E$1505,Harvest!$C$6:$C$1505,B59,Harvest!$J$6:$J$1505,Settings!$C$5))</f>
        <v/>
      </c>
      <c r="P59" s="25">
        <f>IF(B59="","",SUMIFS(Harvest!$H$6:$H$1505,Harvest!$C$6:$C$1505,B59,Harvest!$J$6:$J$1505,Settings!$C$5))</f>
        <v/>
      </c>
      <c r="Q59" s="11">
        <f>IF(B59="","",IF(COUNTIF(Crops!$B$6:$B$65,B59)&gt;1,"Listed twice",IF(AND(E59&lt;&gt;"",NOT(ISNUMBER(E59))),"Price not a number",IF(AND(F59&lt;&gt;"",NOT(ISNUMBER(F59))),"Days not a number",IF(OR((G59="")&lt;&gt;(H59=""),(I59="")&lt;&gt;(J59=""),(K59="")&lt;&gt;(L59="")),"A month is missing","")))))</f>
        <v/>
      </c>
      <c r="R59" s="1">
        <f>IFERROR(MATCH(G59,Settings!$H$1:$H$12,0),0)</f>
        <v/>
      </c>
      <c r="S59">
        <f>IFERROR(MATCH(H59,Settings!$H$1:$H$12,0),0)</f>
        <v/>
      </c>
      <c r="T59">
        <f>IFERROR(MATCH(I59,Settings!$H$1:$H$12,0),0)</f>
        <v/>
      </c>
      <c r="U59">
        <f>IFERROR(MATCH(J59,Settings!$H$1:$H$12,0),0)</f>
        <v/>
      </c>
      <c r="V59">
        <f>IFERROR(MATCH(K59,Settings!$H$1:$H$12,0),0)</f>
        <v/>
      </c>
      <c r="W59">
        <f>IFERROR(MATCH(L59,Settings!$H$1:$H$12,0),0)</f>
        <v/>
      </c>
      <c r="X59">
        <f>IF(AND(B59&lt;&gt;"",IF(OR(R59=0,S59=0),0,IF(R59&lt;=S59,IF(AND(MONTH(TODAY())&gt;=R59,MONTH(TODAY())&lt;=S59),1,0),IF(OR(MONTH(TODAY())&gt;=R59,MONTH(TODAY())&lt;=S59),1,0)))=1),ROW(),"")</f>
        <v/>
      </c>
      <c r="Y59">
        <f>IF(AND(B59&lt;&gt;"",IF(OR(T59=0,U59=0),0,IF(T59&lt;=U59,IF(AND(MONTH(TODAY())&gt;=T59,MONTH(TODAY())&lt;=U59),1,0),IF(OR(MONTH(TODAY())&gt;=T59,MONTH(TODAY())&lt;=U59),1,0)))=1),ROW(),"")</f>
        <v/>
      </c>
      <c r="Z59">
        <f>IF(AND(B59&lt;&gt;"",IF(OR(V59=0,W59=0),0,IF(V59&lt;=W59,IF(AND(MONTH(TODAY())&gt;=V59,MONTH(TODAY())&lt;=W59),1,0),IF(OR(MONTH(TODAY())&gt;=V59,MONTH(TODAY())&lt;=W59),1,0)))=1),ROW(),"")</f>
        <v/>
      </c>
      <c r="AA59">
        <f>IF(OR(B59="",N(O59)&lt;=0),"",ROUND(N(P59)*100,0)*1000+1000-ROW())</f>
        <v/>
      </c>
    </row>
    <row r="60">
      <c r="A60" s="1" t="n"/>
      <c r="B60" s="18" t="n"/>
      <c r="C60" s="19" t="n"/>
      <c r="D60" s="19" t="n"/>
      <c r="E60" s="24" t="n"/>
      <c r="F60" s="20" t="n"/>
      <c r="G60" s="19" t="n"/>
      <c r="H60" s="19" t="n"/>
      <c r="I60" s="19" t="n"/>
      <c r="J60" s="19" t="n"/>
      <c r="K60" s="19" t="n"/>
      <c r="L60" s="19" t="n"/>
      <c r="M60" s="21" t="n"/>
      <c r="N60" s="14">
        <f>IF(B60="","",SUMIFS(Plantings!$S$6:$S$505,Plantings!$C$6:$C$505,B60,Plantings!$N$6:$N$505,Settings!$C$5))</f>
        <v/>
      </c>
      <c r="O60" s="10">
        <f>IF(B60="","",SUMIFS(Harvest!$E$6:$E$1505,Harvest!$C$6:$C$1505,B60,Harvest!$J$6:$J$1505,Settings!$C$5))</f>
        <v/>
      </c>
      <c r="P60" s="25">
        <f>IF(B60="","",SUMIFS(Harvest!$H$6:$H$1505,Harvest!$C$6:$C$1505,B60,Harvest!$J$6:$J$1505,Settings!$C$5))</f>
        <v/>
      </c>
      <c r="Q60" s="11">
        <f>IF(B60="","",IF(COUNTIF(Crops!$B$6:$B$65,B60)&gt;1,"Listed twice",IF(AND(E60&lt;&gt;"",NOT(ISNUMBER(E60))),"Price not a number",IF(AND(F60&lt;&gt;"",NOT(ISNUMBER(F60))),"Days not a number",IF(OR((G60="")&lt;&gt;(H60=""),(I60="")&lt;&gt;(J60=""),(K60="")&lt;&gt;(L60="")),"A month is missing","")))))</f>
        <v/>
      </c>
      <c r="R60" s="1">
        <f>IFERROR(MATCH(G60,Settings!$H$1:$H$12,0),0)</f>
        <v/>
      </c>
      <c r="S60">
        <f>IFERROR(MATCH(H60,Settings!$H$1:$H$12,0),0)</f>
        <v/>
      </c>
      <c r="T60">
        <f>IFERROR(MATCH(I60,Settings!$H$1:$H$12,0),0)</f>
        <v/>
      </c>
      <c r="U60">
        <f>IFERROR(MATCH(J60,Settings!$H$1:$H$12,0),0)</f>
        <v/>
      </c>
      <c r="V60">
        <f>IFERROR(MATCH(K60,Settings!$H$1:$H$12,0),0)</f>
        <v/>
      </c>
      <c r="W60">
        <f>IFERROR(MATCH(L60,Settings!$H$1:$H$12,0),0)</f>
        <v/>
      </c>
      <c r="X60">
        <f>IF(AND(B60&lt;&gt;"",IF(OR(R60=0,S60=0),0,IF(R60&lt;=S60,IF(AND(MONTH(TODAY())&gt;=R60,MONTH(TODAY())&lt;=S60),1,0),IF(OR(MONTH(TODAY())&gt;=R60,MONTH(TODAY())&lt;=S60),1,0)))=1),ROW(),"")</f>
        <v/>
      </c>
      <c r="Y60">
        <f>IF(AND(B60&lt;&gt;"",IF(OR(T60=0,U60=0),0,IF(T60&lt;=U60,IF(AND(MONTH(TODAY())&gt;=T60,MONTH(TODAY())&lt;=U60),1,0),IF(OR(MONTH(TODAY())&gt;=T60,MONTH(TODAY())&lt;=U60),1,0)))=1),ROW(),"")</f>
        <v/>
      </c>
      <c r="Z60">
        <f>IF(AND(B60&lt;&gt;"",IF(OR(V60=0,W60=0),0,IF(V60&lt;=W60,IF(AND(MONTH(TODAY())&gt;=V60,MONTH(TODAY())&lt;=W60),1,0),IF(OR(MONTH(TODAY())&gt;=V60,MONTH(TODAY())&lt;=W60),1,0)))=1),ROW(),"")</f>
        <v/>
      </c>
      <c r="AA60">
        <f>IF(OR(B60="",N(O60)&lt;=0),"",ROUND(N(P60)*100,0)*1000+1000-ROW())</f>
        <v/>
      </c>
    </row>
    <row r="61">
      <c r="A61" s="1" t="n"/>
      <c r="B61" s="18" t="n"/>
      <c r="C61" s="19" t="n"/>
      <c r="D61" s="19" t="n"/>
      <c r="E61" s="24" t="n"/>
      <c r="F61" s="20" t="n"/>
      <c r="G61" s="19" t="n"/>
      <c r="H61" s="19" t="n"/>
      <c r="I61" s="19" t="n"/>
      <c r="J61" s="19" t="n"/>
      <c r="K61" s="19" t="n"/>
      <c r="L61" s="19" t="n"/>
      <c r="M61" s="21" t="n"/>
      <c r="N61" s="14">
        <f>IF(B61="","",SUMIFS(Plantings!$S$6:$S$505,Plantings!$C$6:$C$505,B61,Plantings!$N$6:$N$505,Settings!$C$5))</f>
        <v/>
      </c>
      <c r="O61" s="10">
        <f>IF(B61="","",SUMIFS(Harvest!$E$6:$E$1505,Harvest!$C$6:$C$1505,B61,Harvest!$J$6:$J$1505,Settings!$C$5))</f>
        <v/>
      </c>
      <c r="P61" s="25">
        <f>IF(B61="","",SUMIFS(Harvest!$H$6:$H$1505,Harvest!$C$6:$C$1505,B61,Harvest!$J$6:$J$1505,Settings!$C$5))</f>
        <v/>
      </c>
      <c r="Q61" s="11">
        <f>IF(B61="","",IF(COUNTIF(Crops!$B$6:$B$65,B61)&gt;1,"Listed twice",IF(AND(E61&lt;&gt;"",NOT(ISNUMBER(E61))),"Price not a number",IF(AND(F61&lt;&gt;"",NOT(ISNUMBER(F61))),"Days not a number",IF(OR((G61="")&lt;&gt;(H61=""),(I61="")&lt;&gt;(J61=""),(K61="")&lt;&gt;(L61="")),"A month is missing","")))))</f>
        <v/>
      </c>
      <c r="R61" s="1">
        <f>IFERROR(MATCH(G61,Settings!$H$1:$H$12,0),0)</f>
        <v/>
      </c>
      <c r="S61">
        <f>IFERROR(MATCH(H61,Settings!$H$1:$H$12,0),0)</f>
        <v/>
      </c>
      <c r="T61">
        <f>IFERROR(MATCH(I61,Settings!$H$1:$H$12,0),0)</f>
        <v/>
      </c>
      <c r="U61">
        <f>IFERROR(MATCH(J61,Settings!$H$1:$H$12,0),0)</f>
        <v/>
      </c>
      <c r="V61">
        <f>IFERROR(MATCH(K61,Settings!$H$1:$H$12,0),0)</f>
        <v/>
      </c>
      <c r="W61">
        <f>IFERROR(MATCH(L61,Settings!$H$1:$H$12,0),0)</f>
        <v/>
      </c>
      <c r="X61">
        <f>IF(AND(B61&lt;&gt;"",IF(OR(R61=0,S61=0),0,IF(R61&lt;=S61,IF(AND(MONTH(TODAY())&gt;=R61,MONTH(TODAY())&lt;=S61),1,0),IF(OR(MONTH(TODAY())&gt;=R61,MONTH(TODAY())&lt;=S61),1,0)))=1),ROW(),"")</f>
        <v/>
      </c>
      <c r="Y61">
        <f>IF(AND(B61&lt;&gt;"",IF(OR(T61=0,U61=0),0,IF(T61&lt;=U61,IF(AND(MONTH(TODAY())&gt;=T61,MONTH(TODAY())&lt;=U61),1,0),IF(OR(MONTH(TODAY())&gt;=T61,MONTH(TODAY())&lt;=U61),1,0)))=1),ROW(),"")</f>
        <v/>
      </c>
      <c r="Z61">
        <f>IF(AND(B61&lt;&gt;"",IF(OR(V61=0,W61=0),0,IF(V61&lt;=W61,IF(AND(MONTH(TODAY())&gt;=V61,MONTH(TODAY())&lt;=W61),1,0),IF(OR(MONTH(TODAY())&gt;=V61,MONTH(TODAY())&lt;=W61),1,0)))=1),ROW(),"")</f>
        <v/>
      </c>
      <c r="AA61">
        <f>IF(OR(B61="",N(O61)&lt;=0),"",ROUND(N(P61)*100,0)*1000+1000-ROW())</f>
        <v/>
      </c>
    </row>
    <row r="62">
      <c r="A62" s="1" t="n"/>
      <c r="B62" s="18" t="n"/>
      <c r="C62" s="19" t="n"/>
      <c r="D62" s="19" t="n"/>
      <c r="E62" s="24" t="n"/>
      <c r="F62" s="20" t="n"/>
      <c r="G62" s="19" t="n"/>
      <c r="H62" s="19" t="n"/>
      <c r="I62" s="19" t="n"/>
      <c r="J62" s="19" t="n"/>
      <c r="K62" s="19" t="n"/>
      <c r="L62" s="19" t="n"/>
      <c r="M62" s="21" t="n"/>
      <c r="N62" s="14">
        <f>IF(B62="","",SUMIFS(Plantings!$S$6:$S$505,Plantings!$C$6:$C$505,B62,Plantings!$N$6:$N$505,Settings!$C$5))</f>
        <v/>
      </c>
      <c r="O62" s="10">
        <f>IF(B62="","",SUMIFS(Harvest!$E$6:$E$1505,Harvest!$C$6:$C$1505,B62,Harvest!$J$6:$J$1505,Settings!$C$5))</f>
        <v/>
      </c>
      <c r="P62" s="25">
        <f>IF(B62="","",SUMIFS(Harvest!$H$6:$H$1505,Harvest!$C$6:$C$1505,B62,Harvest!$J$6:$J$1505,Settings!$C$5))</f>
        <v/>
      </c>
      <c r="Q62" s="11">
        <f>IF(B62="","",IF(COUNTIF(Crops!$B$6:$B$65,B62)&gt;1,"Listed twice",IF(AND(E62&lt;&gt;"",NOT(ISNUMBER(E62))),"Price not a number",IF(AND(F62&lt;&gt;"",NOT(ISNUMBER(F62))),"Days not a number",IF(OR((G62="")&lt;&gt;(H62=""),(I62="")&lt;&gt;(J62=""),(K62="")&lt;&gt;(L62="")),"A month is missing","")))))</f>
        <v/>
      </c>
      <c r="R62" s="1">
        <f>IFERROR(MATCH(G62,Settings!$H$1:$H$12,0),0)</f>
        <v/>
      </c>
      <c r="S62">
        <f>IFERROR(MATCH(H62,Settings!$H$1:$H$12,0),0)</f>
        <v/>
      </c>
      <c r="T62">
        <f>IFERROR(MATCH(I62,Settings!$H$1:$H$12,0),0)</f>
        <v/>
      </c>
      <c r="U62">
        <f>IFERROR(MATCH(J62,Settings!$H$1:$H$12,0),0)</f>
        <v/>
      </c>
      <c r="V62">
        <f>IFERROR(MATCH(K62,Settings!$H$1:$H$12,0),0)</f>
        <v/>
      </c>
      <c r="W62">
        <f>IFERROR(MATCH(L62,Settings!$H$1:$H$12,0),0)</f>
        <v/>
      </c>
      <c r="X62">
        <f>IF(AND(B62&lt;&gt;"",IF(OR(R62=0,S62=0),0,IF(R62&lt;=S62,IF(AND(MONTH(TODAY())&gt;=R62,MONTH(TODAY())&lt;=S62),1,0),IF(OR(MONTH(TODAY())&gt;=R62,MONTH(TODAY())&lt;=S62),1,0)))=1),ROW(),"")</f>
        <v/>
      </c>
      <c r="Y62">
        <f>IF(AND(B62&lt;&gt;"",IF(OR(T62=0,U62=0),0,IF(T62&lt;=U62,IF(AND(MONTH(TODAY())&gt;=T62,MONTH(TODAY())&lt;=U62),1,0),IF(OR(MONTH(TODAY())&gt;=T62,MONTH(TODAY())&lt;=U62),1,0)))=1),ROW(),"")</f>
        <v/>
      </c>
      <c r="Z62">
        <f>IF(AND(B62&lt;&gt;"",IF(OR(V62=0,W62=0),0,IF(V62&lt;=W62,IF(AND(MONTH(TODAY())&gt;=V62,MONTH(TODAY())&lt;=W62),1,0),IF(OR(MONTH(TODAY())&gt;=V62,MONTH(TODAY())&lt;=W62),1,0)))=1),ROW(),"")</f>
        <v/>
      </c>
      <c r="AA62">
        <f>IF(OR(B62="",N(O62)&lt;=0),"",ROUND(N(P62)*100,0)*1000+1000-ROW())</f>
        <v/>
      </c>
    </row>
    <row r="63">
      <c r="A63" s="1" t="n"/>
      <c r="B63" s="18" t="n"/>
      <c r="C63" s="19" t="n"/>
      <c r="D63" s="19" t="n"/>
      <c r="E63" s="24" t="n"/>
      <c r="F63" s="20" t="n"/>
      <c r="G63" s="19" t="n"/>
      <c r="H63" s="19" t="n"/>
      <c r="I63" s="19" t="n"/>
      <c r="J63" s="19" t="n"/>
      <c r="K63" s="19" t="n"/>
      <c r="L63" s="19" t="n"/>
      <c r="M63" s="21" t="n"/>
      <c r="N63" s="14">
        <f>IF(B63="","",SUMIFS(Plantings!$S$6:$S$505,Plantings!$C$6:$C$505,B63,Plantings!$N$6:$N$505,Settings!$C$5))</f>
        <v/>
      </c>
      <c r="O63" s="10">
        <f>IF(B63="","",SUMIFS(Harvest!$E$6:$E$1505,Harvest!$C$6:$C$1505,B63,Harvest!$J$6:$J$1505,Settings!$C$5))</f>
        <v/>
      </c>
      <c r="P63" s="25">
        <f>IF(B63="","",SUMIFS(Harvest!$H$6:$H$1505,Harvest!$C$6:$C$1505,B63,Harvest!$J$6:$J$1505,Settings!$C$5))</f>
        <v/>
      </c>
      <c r="Q63" s="11">
        <f>IF(B63="","",IF(COUNTIF(Crops!$B$6:$B$65,B63)&gt;1,"Listed twice",IF(AND(E63&lt;&gt;"",NOT(ISNUMBER(E63))),"Price not a number",IF(AND(F63&lt;&gt;"",NOT(ISNUMBER(F63))),"Days not a number",IF(OR((G63="")&lt;&gt;(H63=""),(I63="")&lt;&gt;(J63=""),(K63="")&lt;&gt;(L63="")),"A month is missing","")))))</f>
        <v/>
      </c>
      <c r="R63" s="1">
        <f>IFERROR(MATCH(G63,Settings!$H$1:$H$12,0),0)</f>
        <v/>
      </c>
      <c r="S63">
        <f>IFERROR(MATCH(H63,Settings!$H$1:$H$12,0),0)</f>
        <v/>
      </c>
      <c r="T63">
        <f>IFERROR(MATCH(I63,Settings!$H$1:$H$12,0),0)</f>
        <v/>
      </c>
      <c r="U63">
        <f>IFERROR(MATCH(J63,Settings!$H$1:$H$12,0),0)</f>
        <v/>
      </c>
      <c r="V63">
        <f>IFERROR(MATCH(K63,Settings!$H$1:$H$12,0),0)</f>
        <v/>
      </c>
      <c r="W63">
        <f>IFERROR(MATCH(L63,Settings!$H$1:$H$12,0),0)</f>
        <v/>
      </c>
      <c r="X63">
        <f>IF(AND(B63&lt;&gt;"",IF(OR(R63=0,S63=0),0,IF(R63&lt;=S63,IF(AND(MONTH(TODAY())&gt;=R63,MONTH(TODAY())&lt;=S63),1,0),IF(OR(MONTH(TODAY())&gt;=R63,MONTH(TODAY())&lt;=S63),1,0)))=1),ROW(),"")</f>
        <v/>
      </c>
      <c r="Y63">
        <f>IF(AND(B63&lt;&gt;"",IF(OR(T63=0,U63=0),0,IF(T63&lt;=U63,IF(AND(MONTH(TODAY())&gt;=T63,MONTH(TODAY())&lt;=U63),1,0),IF(OR(MONTH(TODAY())&gt;=T63,MONTH(TODAY())&lt;=U63),1,0)))=1),ROW(),"")</f>
        <v/>
      </c>
      <c r="Z63">
        <f>IF(AND(B63&lt;&gt;"",IF(OR(V63=0,W63=0),0,IF(V63&lt;=W63,IF(AND(MONTH(TODAY())&gt;=V63,MONTH(TODAY())&lt;=W63),1,0),IF(OR(MONTH(TODAY())&gt;=V63,MONTH(TODAY())&lt;=W63),1,0)))=1),ROW(),"")</f>
        <v/>
      </c>
      <c r="AA63">
        <f>IF(OR(B63="",N(O63)&lt;=0),"",ROUND(N(P63)*100,0)*1000+1000-ROW())</f>
        <v/>
      </c>
    </row>
    <row r="64">
      <c r="A64" s="1" t="n"/>
      <c r="B64" s="18" t="n"/>
      <c r="C64" s="19" t="n"/>
      <c r="D64" s="19" t="n"/>
      <c r="E64" s="24" t="n"/>
      <c r="F64" s="20" t="n"/>
      <c r="G64" s="19" t="n"/>
      <c r="H64" s="19" t="n"/>
      <c r="I64" s="19" t="n"/>
      <c r="J64" s="19" t="n"/>
      <c r="K64" s="19" t="n"/>
      <c r="L64" s="19" t="n"/>
      <c r="M64" s="21" t="n"/>
      <c r="N64" s="14">
        <f>IF(B64="","",SUMIFS(Plantings!$S$6:$S$505,Plantings!$C$6:$C$505,B64,Plantings!$N$6:$N$505,Settings!$C$5))</f>
        <v/>
      </c>
      <c r="O64" s="10">
        <f>IF(B64="","",SUMIFS(Harvest!$E$6:$E$1505,Harvest!$C$6:$C$1505,B64,Harvest!$J$6:$J$1505,Settings!$C$5))</f>
        <v/>
      </c>
      <c r="P64" s="25">
        <f>IF(B64="","",SUMIFS(Harvest!$H$6:$H$1505,Harvest!$C$6:$C$1505,B64,Harvest!$J$6:$J$1505,Settings!$C$5))</f>
        <v/>
      </c>
      <c r="Q64" s="11">
        <f>IF(B64="","",IF(COUNTIF(Crops!$B$6:$B$65,B64)&gt;1,"Listed twice",IF(AND(E64&lt;&gt;"",NOT(ISNUMBER(E64))),"Price not a number",IF(AND(F64&lt;&gt;"",NOT(ISNUMBER(F64))),"Days not a number",IF(OR((G64="")&lt;&gt;(H64=""),(I64="")&lt;&gt;(J64=""),(K64="")&lt;&gt;(L64="")),"A month is missing","")))))</f>
        <v/>
      </c>
      <c r="R64" s="1">
        <f>IFERROR(MATCH(G64,Settings!$H$1:$H$12,0),0)</f>
        <v/>
      </c>
      <c r="S64">
        <f>IFERROR(MATCH(H64,Settings!$H$1:$H$12,0),0)</f>
        <v/>
      </c>
      <c r="T64">
        <f>IFERROR(MATCH(I64,Settings!$H$1:$H$12,0),0)</f>
        <v/>
      </c>
      <c r="U64">
        <f>IFERROR(MATCH(J64,Settings!$H$1:$H$12,0),0)</f>
        <v/>
      </c>
      <c r="V64">
        <f>IFERROR(MATCH(K64,Settings!$H$1:$H$12,0),0)</f>
        <v/>
      </c>
      <c r="W64">
        <f>IFERROR(MATCH(L64,Settings!$H$1:$H$12,0),0)</f>
        <v/>
      </c>
      <c r="X64">
        <f>IF(AND(B64&lt;&gt;"",IF(OR(R64=0,S64=0),0,IF(R64&lt;=S64,IF(AND(MONTH(TODAY())&gt;=R64,MONTH(TODAY())&lt;=S64),1,0),IF(OR(MONTH(TODAY())&gt;=R64,MONTH(TODAY())&lt;=S64),1,0)))=1),ROW(),"")</f>
        <v/>
      </c>
      <c r="Y64">
        <f>IF(AND(B64&lt;&gt;"",IF(OR(T64=0,U64=0),0,IF(T64&lt;=U64,IF(AND(MONTH(TODAY())&gt;=T64,MONTH(TODAY())&lt;=U64),1,0),IF(OR(MONTH(TODAY())&gt;=T64,MONTH(TODAY())&lt;=U64),1,0)))=1),ROW(),"")</f>
        <v/>
      </c>
      <c r="Z64">
        <f>IF(AND(B64&lt;&gt;"",IF(OR(V64=0,W64=0),0,IF(V64&lt;=W64,IF(AND(MONTH(TODAY())&gt;=V64,MONTH(TODAY())&lt;=W64),1,0),IF(OR(MONTH(TODAY())&gt;=V64,MONTH(TODAY())&lt;=W64),1,0)))=1),ROW(),"")</f>
        <v/>
      </c>
      <c r="AA64">
        <f>IF(OR(B64="",N(O64)&lt;=0),"",ROUND(N(P64)*100,0)*1000+1000-ROW())</f>
        <v/>
      </c>
    </row>
    <row r="65">
      <c r="A65" s="1" t="n"/>
      <c r="B65" s="18" t="n"/>
      <c r="C65" s="19" t="n"/>
      <c r="D65" s="19" t="n"/>
      <c r="E65" s="24" t="n"/>
      <c r="F65" s="20" t="n"/>
      <c r="G65" s="19" t="n"/>
      <c r="H65" s="19" t="n"/>
      <c r="I65" s="19" t="n"/>
      <c r="J65" s="19" t="n"/>
      <c r="K65" s="19" t="n"/>
      <c r="L65" s="19" t="n"/>
      <c r="M65" s="21" t="n"/>
      <c r="N65" s="14">
        <f>IF(B65="","",SUMIFS(Plantings!$S$6:$S$505,Plantings!$C$6:$C$505,B65,Plantings!$N$6:$N$505,Settings!$C$5))</f>
        <v/>
      </c>
      <c r="O65" s="10">
        <f>IF(B65="","",SUMIFS(Harvest!$E$6:$E$1505,Harvest!$C$6:$C$1505,B65,Harvest!$J$6:$J$1505,Settings!$C$5))</f>
        <v/>
      </c>
      <c r="P65" s="25">
        <f>IF(B65="","",SUMIFS(Harvest!$H$6:$H$1505,Harvest!$C$6:$C$1505,B65,Harvest!$J$6:$J$1505,Settings!$C$5))</f>
        <v/>
      </c>
      <c r="Q65" s="11">
        <f>IF(B65="","",IF(COUNTIF(Crops!$B$6:$B$65,B65)&gt;1,"Listed twice",IF(AND(E65&lt;&gt;"",NOT(ISNUMBER(E65))),"Price not a number",IF(AND(F65&lt;&gt;"",NOT(ISNUMBER(F65))),"Days not a number",IF(OR((G65="")&lt;&gt;(H65=""),(I65="")&lt;&gt;(J65=""),(K65="")&lt;&gt;(L65="")),"A month is missing","")))))</f>
        <v/>
      </c>
      <c r="R65" s="1">
        <f>IFERROR(MATCH(G65,Settings!$H$1:$H$12,0),0)</f>
        <v/>
      </c>
      <c r="S65">
        <f>IFERROR(MATCH(H65,Settings!$H$1:$H$12,0),0)</f>
        <v/>
      </c>
      <c r="T65">
        <f>IFERROR(MATCH(I65,Settings!$H$1:$H$12,0),0)</f>
        <v/>
      </c>
      <c r="U65">
        <f>IFERROR(MATCH(J65,Settings!$H$1:$H$12,0),0)</f>
        <v/>
      </c>
      <c r="V65">
        <f>IFERROR(MATCH(K65,Settings!$H$1:$H$12,0),0)</f>
        <v/>
      </c>
      <c r="W65">
        <f>IFERROR(MATCH(L65,Settings!$H$1:$H$12,0),0)</f>
        <v/>
      </c>
      <c r="X65">
        <f>IF(AND(B65&lt;&gt;"",IF(OR(R65=0,S65=0),0,IF(R65&lt;=S65,IF(AND(MONTH(TODAY())&gt;=R65,MONTH(TODAY())&lt;=S65),1,0),IF(OR(MONTH(TODAY())&gt;=R65,MONTH(TODAY())&lt;=S65),1,0)))=1),ROW(),"")</f>
        <v/>
      </c>
      <c r="Y65">
        <f>IF(AND(B65&lt;&gt;"",IF(OR(T65=0,U65=0),0,IF(T65&lt;=U65,IF(AND(MONTH(TODAY())&gt;=T65,MONTH(TODAY())&lt;=U65),1,0),IF(OR(MONTH(TODAY())&gt;=T65,MONTH(TODAY())&lt;=U65),1,0)))=1),ROW(),"")</f>
        <v/>
      </c>
      <c r="Z65">
        <f>IF(AND(B65&lt;&gt;"",IF(OR(V65=0,W65=0),0,IF(V65&lt;=W65,IF(AND(MONTH(TODAY())&gt;=V65,MONTH(TODAY())&lt;=W65),1,0),IF(OR(MONTH(TODAY())&gt;=V65,MONTH(TODAY())&lt;=W65),1,0)))=1),ROW(),"")</f>
        <v/>
      </c>
      <c r="AA65">
        <f>IF(OR(B65="",N(O65)&lt;=0),"",ROUND(N(P65)*100,0)*1000+1000-ROW())</f>
        <v/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</sheetData>
  <conditionalFormatting sqref="Q6:Q65">
    <cfRule type="expression" priority="1" dxfId="1">
      <formula>Q6&lt;&gt;""</formula>
    </cfRule>
  </conditionalFormatting>
  <dataValidations count="3">
    <dataValidation sqref="C6:C65" showDropDown="0" showInputMessage="0" showErrorMessage="0" allowBlank="1" type="list">
      <formula1>"Nightshades,Cucurbits,Legumes,Brassicas,Roots,Alliums,Leafy greens,Herbs,Fruit,Other"</formula1>
    </dataValidation>
    <dataValidation sqref="D6:D65" showDropDown="0" showInputMessage="0" showErrorMessage="0" allowBlank="1" type="list">
      <formula1>"kg,lb,g,oz,piece,head,bunch"</formula1>
    </dataValidation>
    <dataValidation sqref="G6:L65" showDropDown="0" showInputMessage="0" showErrorMessage="1" allowBlank="1" type="list">
      <formula1>=Settings!$H$1:$H$12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2" customWidth="1" min="4" max="4"/>
    <col width="22" customWidth="1" min="5" max="5"/>
    <col width="10" customWidth="1" min="6" max="6"/>
    <col width="16" customWidth="1" min="7" max="7"/>
    <col width="14" customWidth="1" min="8" max="8"/>
    <col width="8" customWidth="1" min="9" max="9"/>
    <col width="10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Beds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Each bed, pot group or greenhouse once. What grows in it and the last watering come by themselves.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8" t="inlineStr">
        <is>
          <t>Bed</t>
        </is>
      </c>
      <c r="C5" s="8" t="inlineStr">
        <is>
          <t>Size</t>
        </is>
      </c>
      <c r="D5" s="8" t="inlineStr">
        <is>
          <t>Sun</t>
        </is>
      </c>
      <c r="E5" s="8" t="inlineStr">
        <is>
          <t>Note</t>
        </is>
      </c>
      <c r="F5" s="8" t="inlineStr">
        <is>
          <t>Growing</t>
        </is>
      </c>
      <c r="G5" s="8" t="inlineStr">
        <is>
          <t>Latest planting</t>
        </is>
      </c>
      <c r="H5" s="8" t="inlineStr">
        <is>
          <t>Last watered</t>
        </is>
      </c>
      <c r="I5" s="8" t="inlineStr">
        <is>
          <t>Days</t>
        </is>
      </c>
      <c r="J5" s="8" t="inlineStr">
        <is>
          <t>Status</t>
        </is>
      </c>
      <c r="K5" s="8" t="inlineStr">
        <is>
          <t>Picked this year</t>
        </is>
      </c>
      <c r="L5" s="1" t="n"/>
    </row>
    <row r="6">
      <c r="A6" s="1" t="n"/>
      <c r="B6" s="18" t="inlineStr">
        <is>
          <t>Bed 1</t>
        </is>
      </c>
      <c r="C6" s="19" t="inlineStr">
        <is>
          <t>1.2 x 2.4 m</t>
        </is>
      </c>
      <c r="D6" s="19" t="inlineStr">
        <is>
          <t>Full sun</t>
        </is>
      </c>
      <c r="E6" s="21" t="n"/>
      <c r="F6" s="14">
        <f>IF(B6="","",SUMIFS(Plantings!$Q$6:$Q$505,Plantings!$D$6:$D$505,B6))</f>
        <v/>
      </c>
      <c r="G6" s="11">
        <f>IF(OR(B6="",N(F6)=0),"",INDEX(Plantings!$C$1:$C$505,MOD(SUMPRODUCT(MAX((Plantings!$D$6:$D$505=B6)*Plantings!$R$6:$R$505)),1000)))</f>
        <v/>
      </c>
      <c r="H6" s="22">
        <f>IF(B6="","",IF(MAX(SUMPRODUCT(MAX((Jobs!$C$6:$C$2005=B6)*(Jobs!$D$6:$D$2005="Water")*Jobs!$G$6:$G$2005)),MAX(Jobs!$H$6:$H$2005))=0,"",MAX(SUMPRODUCT(MAX((Jobs!$C$6:$C$2005=B6)*(Jobs!$D$6:$D$2005="Water")*Jobs!$G$6:$G$2005)),MAX(Jobs!$H$6:$H$2005))))</f>
        <v/>
      </c>
      <c r="I6" s="14">
        <f>IF(OR(B6="",H6=""),"",TODAY()-H6)</f>
        <v/>
      </c>
      <c r="J6" s="16">
        <f>IF(B6="","",IF(N(F6)=0,"Empty",IF(AND(N(Settings!$C$7)&gt;0,OR(H6="",N(I6)&gt;=N(Settings!$C$7))),"Water","OK")))</f>
        <v/>
      </c>
      <c r="K6" s="12">
        <f>IF(B6="","",SUMIFS(Harvest!$H$6:$H$1505,Harvest!$D$6:$D$1505,B6,Harvest!$J$6:$J$1505,Settings!$C$5))</f>
        <v/>
      </c>
      <c r="L6" s="1" t="n"/>
    </row>
    <row r="7">
      <c r="A7" s="1" t="n"/>
      <c r="B7" s="18" t="inlineStr">
        <is>
          <t>Bed 2</t>
        </is>
      </c>
      <c r="C7" s="19" t="inlineStr">
        <is>
          <t>1.2 x 2.4 m</t>
        </is>
      </c>
      <c r="D7" s="19" t="inlineStr">
        <is>
          <t>Full sun</t>
        </is>
      </c>
      <c r="E7" s="21" t="n"/>
      <c r="F7" s="14">
        <f>IF(B7="","",SUMIFS(Plantings!$Q$6:$Q$505,Plantings!$D$6:$D$505,B7))</f>
        <v/>
      </c>
      <c r="G7" s="11">
        <f>IF(OR(B7="",N(F7)=0),"",INDEX(Plantings!$C$1:$C$505,MOD(SUMPRODUCT(MAX((Plantings!$D$6:$D$505=B7)*Plantings!$R$6:$R$505)),1000)))</f>
        <v/>
      </c>
      <c r="H7" s="22">
        <f>IF(B7="","",IF(MAX(SUMPRODUCT(MAX((Jobs!$C$6:$C$2005=B7)*(Jobs!$D$6:$D$2005="Water")*Jobs!$G$6:$G$2005)),MAX(Jobs!$H$6:$H$2005))=0,"",MAX(SUMPRODUCT(MAX((Jobs!$C$6:$C$2005=B7)*(Jobs!$D$6:$D$2005="Water")*Jobs!$G$6:$G$2005)),MAX(Jobs!$H$6:$H$2005))))</f>
        <v/>
      </c>
      <c r="I7" s="14">
        <f>IF(OR(B7="",H7=""),"",TODAY()-H7)</f>
        <v/>
      </c>
      <c r="J7" s="16">
        <f>IF(B7="","",IF(N(F7)=0,"Empty",IF(AND(N(Settings!$C$7)&gt;0,OR(H7="",N(I7)&gt;=N(Settings!$C$7))),"Water","OK")))</f>
        <v/>
      </c>
      <c r="K7" s="12">
        <f>IF(B7="","",SUMIFS(Harvest!$H$6:$H$1505,Harvest!$D$6:$D$1505,B7,Harvest!$J$6:$J$1505,Settings!$C$5))</f>
        <v/>
      </c>
      <c r="L7" s="1" t="n"/>
    </row>
    <row r="8">
      <c r="A8" s="1" t="n"/>
      <c r="B8" s="18" t="inlineStr">
        <is>
          <t>Bed 3</t>
        </is>
      </c>
      <c r="C8" s="19" t="inlineStr">
        <is>
          <t>1.2 x 2.4 m</t>
        </is>
      </c>
      <c r="D8" s="19" t="inlineStr">
        <is>
          <t>Full sun</t>
        </is>
      </c>
      <c r="E8" s="21" t="inlineStr">
        <is>
          <t>By the fence</t>
        </is>
      </c>
      <c r="F8" s="14">
        <f>IF(B8="","",SUMIFS(Plantings!$Q$6:$Q$505,Plantings!$D$6:$D$505,B8))</f>
        <v/>
      </c>
      <c r="G8" s="11">
        <f>IF(OR(B8="",N(F8)=0),"",INDEX(Plantings!$C$1:$C$505,MOD(SUMPRODUCT(MAX((Plantings!$D$6:$D$505=B8)*Plantings!$R$6:$R$505)),1000)))</f>
        <v/>
      </c>
      <c r="H8" s="22">
        <f>IF(B8="","",IF(MAX(SUMPRODUCT(MAX((Jobs!$C$6:$C$2005=B8)*(Jobs!$D$6:$D$2005="Water")*Jobs!$G$6:$G$2005)),MAX(Jobs!$H$6:$H$2005))=0,"",MAX(SUMPRODUCT(MAX((Jobs!$C$6:$C$2005=B8)*(Jobs!$D$6:$D$2005="Water")*Jobs!$G$6:$G$2005)),MAX(Jobs!$H$6:$H$2005))))</f>
        <v/>
      </c>
      <c r="I8" s="14">
        <f>IF(OR(B8="",H8=""),"",TODAY()-H8)</f>
        <v/>
      </c>
      <c r="J8" s="16">
        <f>IF(B8="","",IF(N(F8)=0,"Empty",IF(AND(N(Settings!$C$7)&gt;0,OR(H8="",N(I8)&gt;=N(Settings!$C$7))),"Water","OK")))</f>
        <v/>
      </c>
      <c r="K8" s="12">
        <f>IF(B8="","",SUMIFS(Harvest!$H$6:$H$1505,Harvest!$D$6:$D$1505,B8,Harvest!$J$6:$J$1505,Settings!$C$5))</f>
        <v/>
      </c>
      <c r="L8" s="1" t="n"/>
    </row>
    <row r="9">
      <c r="A9" s="1" t="n"/>
      <c r="B9" s="18" t="inlineStr">
        <is>
          <t>Bed 4</t>
        </is>
      </c>
      <c r="C9" s="19" t="inlineStr">
        <is>
          <t>1.2 x 2.4 m</t>
        </is>
      </c>
      <c r="D9" s="19" t="inlineStr">
        <is>
          <t>Part shade</t>
        </is>
      </c>
      <c r="E9" s="21" t="n"/>
      <c r="F9" s="14">
        <f>IF(B9="","",SUMIFS(Plantings!$Q$6:$Q$505,Plantings!$D$6:$D$505,B9))</f>
        <v/>
      </c>
      <c r="G9" s="11">
        <f>IF(OR(B9="",N(F9)=0),"",INDEX(Plantings!$C$1:$C$505,MOD(SUMPRODUCT(MAX((Plantings!$D$6:$D$505=B9)*Plantings!$R$6:$R$505)),1000)))</f>
        <v/>
      </c>
      <c r="H9" s="22">
        <f>IF(B9="","",IF(MAX(SUMPRODUCT(MAX((Jobs!$C$6:$C$2005=B9)*(Jobs!$D$6:$D$2005="Water")*Jobs!$G$6:$G$2005)),MAX(Jobs!$H$6:$H$2005))=0,"",MAX(SUMPRODUCT(MAX((Jobs!$C$6:$C$2005=B9)*(Jobs!$D$6:$D$2005="Water")*Jobs!$G$6:$G$2005)),MAX(Jobs!$H$6:$H$2005))))</f>
        <v/>
      </c>
      <c r="I9" s="14">
        <f>IF(OR(B9="",H9=""),"",TODAY()-H9)</f>
        <v/>
      </c>
      <c r="J9" s="16">
        <f>IF(B9="","",IF(N(F9)=0,"Empty",IF(AND(N(Settings!$C$7)&gt;0,OR(H9="",N(I9)&gt;=N(Settings!$C$7))),"Water","OK")))</f>
        <v/>
      </c>
      <c r="K9" s="12">
        <f>IF(B9="","",SUMIFS(Harvest!$H$6:$H$1505,Harvest!$D$6:$D$1505,B9,Harvest!$J$6:$J$1505,Settings!$C$5))</f>
        <v/>
      </c>
      <c r="L9" s="1" t="n"/>
    </row>
    <row r="10">
      <c r="A10" s="1" t="n"/>
      <c r="B10" s="18" t="inlineStr">
        <is>
          <t>Greenhouse</t>
        </is>
      </c>
      <c r="C10" s="19" t="inlineStr">
        <is>
          <t>2 x 3 m</t>
        </is>
      </c>
      <c r="D10" s="19" t="inlineStr">
        <is>
          <t>Full sun</t>
        </is>
      </c>
      <c r="E10" s="21" t="n"/>
      <c r="F10" s="14">
        <f>IF(B10="","",SUMIFS(Plantings!$Q$6:$Q$505,Plantings!$D$6:$D$505,B10))</f>
        <v/>
      </c>
      <c r="G10" s="11">
        <f>IF(OR(B10="",N(F10)=0),"",INDEX(Plantings!$C$1:$C$505,MOD(SUMPRODUCT(MAX((Plantings!$D$6:$D$505=B10)*Plantings!$R$6:$R$505)),1000)))</f>
        <v/>
      </c>
      <c r="H10" s="22">
        <f>IF(B10="","",IF(MAX(SUMPRODUCT(MAX((Jobs!$C$6:$C$2005=B10)*(Jobs!$D$6:$D$2005="Water")*Jobs!$G$6:$G$2005)),MAX(Jobs!$H$6:$H$2005))=0,"",MAX(SUMPRODUCT(MAX((Jobs!$C$6:$C$2005=B10)*(Jobs!$D$6:$D$2005="Water")*Jobs!$G$6:$G$2005)),MAX(Jobs!$H$6:$H$2005))))</f>
        <v/>
      </c>
      <c r="I10" s="14">
        <f>IF(OR(B10="",H10=""),"",TODAY()-H10)</f>
        <v/>
      </c>
      <c r="J10" s="16">
        <f>IF(B10="","",IF(N(F10)=0,"Empty",IF(AND(N(Settings!$C$7)&gt;0,OR(H10="",N(I10)&gt;=N(Settings!$C$7))),"Water","OK")))</f>
        <v/>
      </c>
      <c r="K10" s="12">
        <f>IF(B10="","",SUMIFS(Harvest!$H$6:$H$1505,Harvest!$D$6:$D$1505,B10,Harvest!$J$6:$J$1505,Settings!$C$5))</f>
        <v/>
      </c>
      <c r="L10" s="1" t="n"/>
    </row>
    <row r="11">
      <c r="A11" s="1" t="n"/>
      <c r="B11" s="18" t="inlineStr">
        <is>
          <t>Patio pots</t>
        </is>
      </c>
      <c r="C11" s="19" t="inlineStr">
        <is>
          <t>8 pots</t>
        </is>
      </c>
      <c r="D11" s="19" t="inlineStr">
        <is>
          <t>Full sun</t>
        </is>
      </c>
      <c r="E11" s="21" t="n"/>
      <c r="F11" s="14">
        <f>IF(B11="","",SUMIFS(Plantings!$Q$6:$Q$505,Plantings!$D$6:$D$505,B11))</f>
        <v/>
      </c>
      <c r="G11" s="11">
        <f>IF(OR(B11="",N(F11)=0),"",INDEX(Plantings!$C$1:$C$505,MOD(SUMPRODUCT(MAX((Plantings!$D$6:$D$505=B11)*Plantings!$R$6:$R$505)),1000)))</f>
        <v/>
      </c>
      <c r="H11" s="22">
        <f>IF(B11="","",IF(MAX(SUMPRODUCT(MAX((Jobs!$C$6:$C$2005=B11)*(Jobs!$D$6:$D$2005="Water")*Jobs!$G$6:$G$2005)),MAX(Jobs!$H$6:$H$2005))=0,"",MAX(SUMPRODUCT(MAX((Jobs!$C$6:$C$2005=B11)*(Jobs!$D$6:$D$2005="Water")*Jobs!$G$6:$G$2005)),MAX(Jobs!$H$6:$H$2005))))</f>
        <v/>
      </c>
      <c r="I11" s="14">
        <f>IF(OR(B11="",H11=""),"",TODAY()-H11)</f>
        <v/>
      </c>
      <c r="J11" s="16">
        <f>IF(B11="","",IF(N(F11)=0,"Empty",IF(AND(N(Settings!$C$7)&gt;0,OR(H11="",N(I11)&gt;=N(Settings!$C$7))),"Water","OK")))</f>
        <v/>
      </c>
      <c r="K11" s="12">
        <f>IF(B11="","",SUMIFS(Harvest!$H$6:$H$1505,Harvest!$D$6:$D$1505,B11,Harvest!$J$6:$J$1505,Settings!$C$5))</f>
        <v/>
      </c>
      <c r="L11" s="1" t="n"/>
    </row>
    <row r="12">
      <c r="A12" s="1" t="n"/>
      <c r="B12" s="18" t="inlineStr">
        <is>
          <t>Herb bed</t>
        </is>
      </c>
      <c r="C12" s="19" t="inlineStr">
        <is>
          <t>1 x 1 m</t>
        </is>
      </c>
      <c r="D12" s="19" t="inlineStr">
        <is>
          <t>Part shade</t>
        </is>
      </c>
      <c r="E12" s="21" t="inlineStr">
        <is>
          <t>By the back door</t>
        </is>
      </c>
      <c r="F12" s="14">
        <f>IF(B12="","",SUMIFS(Plantings!$Q$6:$Q$505,Plantings!$D$6:$D$505,B12))</f>
        <v/>
      </c>
      <c r="G12" s="11">
        <f>IF(OR(B12="",N(F12)=0),"",INDEX(Plantings!$C$1:$C$505,MOD(SUMPRODUCT(MAX((Plantings!$D$6:$D$505=B12)*Plantings!$R$6:$R$505)),1000)))</f>
        <v/>
      </c>
      <c r="H12" s="22">
        <f>IF(B12="","",IF(MAX(SUMPRODUCT(MAX((Jobs!$C$6:$C$2005=B12)*(Jobs!$D$6:$D$2005="Water")*Jobs!$G$6:$G$2005)),MAX(Jobs!$H$6:$H$2005))=0,"",MAX(SUMPRODUCT(MAX((Jobs!$C$6:$C$2005=B12)*(Jobs!$D$6:$D$2005="Water")*Jobs!$G$6:$G$2005)),MAX(Jobs!$H$6:$H$2005))))</f>
        <v/>
      </c>
      <c r="I12" s="14">
        <f>IF(OR(B12="",H12=""),"",TODAY()-H12)</f>
        <v/>
      </c>
      <c r="J12" s="16">
        <f>IF(B12="","",IF(N(F12)=0,"Empty",IF(AND(N(Settings!$C$7)&gt;0,OR(H12="",N(I12)&gt;=N(Settings!$C$7))),"Water","OK")))</f>
        <v/>
      </c>
      <c r="K12" s="12">
        <f>IF(B12="","",SUMIFS(Harvest!$H$6:$H$1505,Harvest!$D$6:$D$1505,B12,Harvest!$J$6:$J$1505,Settings!$C$5))</f>
        <v/>
      </c>
      <c r="L12" s="1" t="n"/>
    </row>
    <row r="13">
      <c r="A13" s="1" t="n"/>
      <c r="B13" s="18" t="n"/>
      <c r="C13" s="19" t="n"/>
      <c r="D13" s="19" t="n"/>
      <c r="E13" s="21" t="n"/>
      <c r="F13" s="14">
        <f>IF(B13="","",SUMIFS(Plantings!$Q$6:$Q$505,Plantings!$D$6:$D$505,B13))</f>
        <v/>
      </c>
      <c r="G13" s="11">
        <f>IF(OR(B13="",N(F13)=0),"",INDEX(Plantings!$C$1:$C$505,MOD(SUMPRODUCT(MAX((Plantings!$D$6:$D$505=B13)*Plantings!$R$6:$R$505)),1000)))</f>
        <v/>
      </c>
      <c r="H13" s="22">
        <f>IF(B13="","",IF(MAX(SUMPRODUCT(MAX((Jobs!$C$6:$C$2005=B13)*(Jobs!$D$6:$D$2005="Water")*Jobs!$G$6:$G$2005)),MAX(Jobs!$H$6:$H$2005))=0,"",MAX(SUMPRODUCT(MAX((Jobs!$C$6:$C$2005=B13)*(Jobs!$D$6:$D$2005="Water")*Jobs!$G$6:$G$2005)),MAX(Jobs!$H$6:$H$2005))))</f>
        <v/>
      </c>
      <c r="I13" s="14">
        <f>IF(OR(B13="",H13=""),"",TODAY()-H13)</f>
        <v/>
      </c>
      <c r="J13" s="16">
        <f>IF(B13="","",IF(N(F13)=0,"Empty",IF(AND(N(Settings!$C$7)&gt;0,OR(H13="",N(I13)&gt;=N(Settings!$C$7))),"Water","OK")))</f>
        <v/>
      </c>
      <c r="K13" s="12">
        <f>IF(B13="","",SUMIFS(Harvest!$H$6:$H$1505,Harvest!$D$6:$D$1505,B13,Harvest!$J$6:$J$1505,Settings!$C$5))</f>
        <v/>
      </c>
      <c r="L13" s="1" t="n"/>
    </row>
    <row r="14">
      <c r="A14" s="1" t="n"/>
      <c r="B14" s="18" t="n"/>
      <c r="C14" s="19" t="n"/>
      <c r="D14" s="19" t="n"/>
      <c r="E14" s="21" t="n"/>
      <c r="F14" s="14">
        <f>IF(B14="","",SUMIFS(Plantings!$Q$6:$Q$505,Plantings!$D$6:$D$505,B14))</f>
        <v/>
      </c>
      <c r="G14" s="11">
        <f>IF(OR(B14="",N(F14)=0),"",INDEX(Plantings!$C$1:$C$505,MOD(SUMPRODUCT(MAX((Plantings!$D$6:$D$505=B14)*Plantings!$R$6:$R$505)),1000)))</f>
        <v/>
      </c>
      <c r="H14" s="22">
        <f>IF(B14="","",IF(MAX(SUMPRODUCT(MAX((Jobs!$C$6:$C$2005=B14)*(Jobs!$D$6:$D$2005="Water")*Jobs!$G$6:$G$2005)),MAX(Jobs!$H$6:$H$2005))=0,"",MAX(SUMPRODUCT(MAX((Jobs!$C$6:$C$2005=B14)*(Jobs!$D$6:$D$2005="Water")*Jobs!$G$6:$G$2005)),MAX(Jobs!$H$6:$H$2005))))</f>
        <v/>
      </c>
      <c r="I14" s="14">
        <f>IF(OR(B14="",H14=""),"",TODAY()-H14)</f>
        <v/>
      </c>
      <c r="J14" s="16">
        <f>IF(B14="","",IF(N(F14)=0,"Empty",IF(AND(N(Settings!$C$7)&gt;0,OR(H14="",N(I14)&gt;=N(Settings!$C$7))),"Water","OK")))</f>
        <v/>
      </c>
      <c r="K14" s="12">
        <f>IF(B14="","",SUMIFS(Harvest!$H$6:$H$1505,Harvest!$D$6:$D$1505,B14,Harvest!$J$6:$J$1505,Settings!$C$5))</f>
        <v/>
      </c>
      <c r="L14" s="1" t="n"/>
    </row>
    <row r="15">
      <c r="A15" s="1" t="n"/>
      <c r="B15" s="18" t="n"/>
      <c r="C15" s="19" t="n"/>
      <c r="D15" s="19" t="n"/>
      <c r="E15" s="21" t="n"/>
      <c r="F15" s="14">
        <f>IF(B15="","",SUMIFS(Plantings!$Q$6:$Q$505,Plantings!$D$6:$D$505,B15))</f>
        <v/>
      </c>
      <c r="G15" s="11">
        <f>IF(OR(B15="",N(F15)=0),"",INDEX(Plantings!$C$1:$C$505,MOD(SUMPRODUCT(MAX((Plantings!$D$6:$D$505=B15)*Plantings!$R$6:$R$505)),1000)))</f>
        <v/>
      </c>
      <c r="H15" s="22">
        <f>IF(B15="","",IF(MAX(SUMPRODUCT(MAX((Jobs!$C$6:$C$2005=B15)*(Jobs!$D$6:$D$2005="Water")*Jobs!$G$6:$G$2005)),MAX(Jobs!$H$6:$H$2005))=0,"",MAX(SUMPRODUCT(MAX((Jobs!$C$6:$C$2005=B15)*(Jobs!$D$6:$D$2005="Water")*Jobs!$G$6:$G$2005)),MAX(Jobs!$H$6:$H$2005))))</f>
        <v/>
      </c>
      <c r="I15" s="14">
        <f>IF(OR(B15="",H15=""),"",TODAY()-H15)</f>
        <v/>
      </c>
      <c r="J15" s="16">
        <f>IF(B15="","",IF(N(F15)=0,"Empty",IF(AND(N(Settings!$C$7)&gt;0,OR(H15="",N(I15)&gt;=N(Settings!$C$7))),"Water","OK")))</f>
        <v/>
      </c>
      <c r="K15" s="12">
        <f>IF(B15="","",SUMIFS(Harvest!$H$6:$H$1505,Harvest!$D$6:$D$1505,B15,Harvest!$J$6:$J$1505,Settings!$C$5))</f>
        <v/>
      </c>
      <c r="L15" s="1" t="n"/>
    </row>
    <row r="16">
      <c r="A16" s="1" t="n"/>
      <c r="B16" s="18" t="n"/>
      <c r="C16" s="19" t="n"/>
      <c r="D16" s="19" t="n"/>
      <c r="E16" s="21" t="n"/>
      <c r="F16" s="14">
        <f>IF(B16="","",SUMIFS(Plantings!$Q$6:$Q$505,Plantings!$D$6:$D$505,B16))</f>
        <v/>
      </c>
      <c r="G16" s="11">
        <f>IF(OR(B16="",N(F16)=0),"",INDEX(Plantings!$C$1:$C$505,MOD(SUMPRODUCT(MAX((Plantings!$D$6:$D$505=B16)*Plantings!$R$6:$R$505)),1000)))</f>
        <v/>
      </c>
      <c r="H16" s="22">
        <f>IF(B16="","",IF(MAX(SUMPRODUCT(MAX((Jobs!$C$6:$C$2005=B16)*(Jobs!$D$6:$D$2005="Water")*Jobs!$G$6:$G$2005)),MAX(Jobs!$H$6:$H$2005))=0,"",MAX(SUMPRODUCT(MAX((Jobs!$C$6:$C$2005=B16)*(Jobs!$D$6:$D$2005="Water")*Jobs!$G$6:$G$2005)),MAX(Jobs!$H$6:$H$2005))))</f>
        <v/>
      </c>
      <c r="I16" s="14">
        <f>IF(OR(B16="",H16=""),"",TODAY()-H16)</f>
        <v/>
      </c>
      <c r="J16" s="16">
        <f>IF(B16="","",IF(N(F16)=0,"Empty",IF(AND(N(Settings!$C$7)&gt;0,OR(H16="",N(I16)&gt;=N(Settings!$C$7))),"Water","OK")))</f>
        <v/>
      </c>
      <c r="K16" s="12">
        <f>IF(B16="","",SUMIFS(Harvest!$H$6:$H$1505,Harvest!$D$6:$D$1505,B16,Harvest!$J$6:$J$1505,Settings!$C$5))</f>
        <v/>
      </c>
      <c r="L16" s="1" t="n"/>
    </row>
    <row r="17">
      <c r="A17" s="1" t="n"/>
      <c r="B17" s="18" t="n"/>
      <c r="C17" s="19" t="n"/>
      <c r="D17" s="19" t="n"/>
      <c r="E17" s="21" t="n"/>
      <c r="F17" s="14">
        <f>IF(B17="","",SUMIFS(Plantings!$Q$6:$Q$505,Plantings!$D$6:$D$505,B17))</f>
        <v/>
      </c>
      <c r="G17" s="11">
        <f>IF(OR(B17="",N(F17)=0),"",INDEX(Plantings!$C$1:$C$505,MOD(SUMPRODUCT(MAX((Plantings!$D$6:$D$505=B17)*Plantings!$R$6:$R$505)),1000)))</f>
        <v/>
      </c>
      <c r="H17" s="22">
        <f>IF(B17="","",IF(MAX(SUMPRODUCT(MAX((Jobs!$C$6:$C$2005=B17)*(Jobs!$D$6:$D$2005="Water")*Jobs!$G$6:$G$2005)),MAX(Jobs!$H$6:$H$2005))=0,"",MAX(SUMPRODUCT(MAX((Jobs!$C$6:$C$2005=B17)*(Jobs!$D$6:$D$2005="Water")*Jobs!$G$6:$G$2005)),MAX(Jobs!$H$6:$H$2005))))</f>
        <v/>
      </c>
      <c r="I17" s="14">
        <f>IF(OR(B17="",H17=""),"",TODAY()-H17)</f>
        <v/>
      </c>
      <c r="J17" s="16">
        <f>IF(B17="","",IF(N(F17)=0,"Empty",IF(AND(N(Settings!$C$7)&gt;0,OR(H17="",N(I17)&gt;=N(Settings!$C$7))),"Water","OK")))</f>
        <v/>
      </c>
      <c r="K17" s="12">
        <f>IF(B17="","",SUMIFS(Harvest!$H$6:$H$1505,Harvest!$D$6:$D$1505,B17,Harvest!$J$6:$J$1505,Settings!$C$5))</f>
        <v/>
      </c>
      <c r="L17" s="1" t="n"/>
    </row>
    <row r="18">
      <c r="A18" s="1" t="n"/>
      <c r="B18" s="18" t="n"/>
      <c r="C18" s="19" t="n"/>
      <c r="D18" s="19" t="n"/>
      <c r="E18" s="21" t="n"/>
      <c r="F18" s="14">
        <f>IF(B18="","",SUMIFS(Plantings!$Q$6:$Q$505,Plantings!$D$6:$D$505,B18))</f>
        <v/>
      </c>
      <c r="G18" s="11">
        <f>IF(OR(B18="",N(F18)=0),"",INDEX(Plantings!$C$1:$C$505,MOD(SUMPRODUCT(MAX((Plantings!$D$6:$D$505=B18)*Plantings!$R$6:$R$505)),1000)))</f>
        <v/>
      </c>
      <c r="H18" s="22">
        <f>IF(B18="","",IF(MAX(SUMPRODUCT(MAX((Jobs!$C$6:$C$2005=B18)*(Jobs!$D$6:$D$2005="Water")*Jobs!$G$6:$G$2005)),MAX(Jobs!$H$6:$H$2005))=0,"",MAX(SUMPRODUCT(MAX((Jobs!$C$6:$C$2005=B18)*(Jobs!$D$6:$D$2005="Water")*Jobs!$G$6:$G$2005)),MAX(Jobs!$H$6:$H$2005))))</f>
        <v/>
      </c>
      <c r="I18" s="14">
        <f>IF(OR(B18="",H18=""),"",TODAY()-H18)</f>
        <v/>
      </c>
      <c r="J18" s="16">
        <f>IF(B18="","",IF(N(F18)=0,"Empty",IF(AND(N(Settings!$C$7)&gt;0,OR(H18="",N(I18)&gt;=N(Settings!$C$7))),"Water","OK")))</f>
        <v/>
      </c>
      <c r="K18" s="12">
        <f>IF(B18="","",SUMIFS(Harvest!$H$6:$H$1505,Harvest!$D$6:$D$1505,B18,Harvest!$J$6:$J$1505,Settings!$C$5))</f>
        <v/>
      </c>
      <c r="L18" s="1" t="n"/>
    </row>
    <row r="19">
      <c r="A19" s="1" t="n"/>
      <c r="B19" s="18" t="n"/>
      <c r="C19" s="19" t="n"/>
      <c r="D19" s="19" t="n"/>
      <c r="E19" s="21" t="n"/>
      <c r="F19" s="14">
        <f>IF(B19="","",SUMIFS(Plantings!$Q$6:$Q$505,Plantings!$D$6:$D$505,B19))</f>
        <v/>
      </c>
      <c r="G19" s="11">
        <f>IF(OR(B19="",N(F19)=0),"",INDEX(Plantings!$C$1:$C$505,MOD(SUMPRODUCT(MAX((Plantings!$D$6:$D$505=B19)*Plantings!$R$6:$R$505)),1000)))</f>
        <v/>
      </c>
      <c r="H19" s="22">
        <f>IF(B19="","",IF(MAX(SUMPRODUCT(MAX((Jobs!$C$6:$C$2005=B19)*(Jobs!$D$6:$D$2005="Water")*Jobs!$G$6:$G$2005)),MAX(Jobs!$H$6:$H$2005))=0,"",MAX(SUMPRODUCT(MAX((Jobs!$C$6:$C$2005=B19)*(Jobs!$D$6:$D$2005="Water")*Jobs!$G$6:$G$2005)),MAX(Jobs!$H$6:$H$2005))))</f>
        <v/>
      </c>
      <c r="I19" s="14">
        <f>IF(OR(B19="",H19=""),"",TODAY()-H19)</f>
        <v/>
      </c>
      <c r="J19" s="16">
        <f>IF(B19="","",IF(N(F19)=0,"Empty",IF(AND(N(Settings!$C$7)&gt;0,OR(H19="",N(I19)&gt;=N(Settings!$C$7))),"Water","OK")))</f>
        <v/>
      </c>
      <c r="K19" s="12">
        <f>IF(B19="","",SUMIFS(Harvest!$H$6:$H$1505,Harvest!$D$6:$D$1505,B19,Harvest!$J$6:$J$1505,Settings!$C$5))</f>
        <v/>
      </c>
      <c r="L19" s="1" t="n"/>
    </row>
    <row r="20">
      <c r="A20" s="1" t="n"/>
      <c r="B20" s="18" t="n"/>
      <c r="C20" s="19" t="n"/>
      <c r="D20" s="19" t="n"/>
      <c r="E20" s="21" t="n"/>
      <c r="F20" s="14">
        <f>IF(B20="","",SUMIFS(Plantings!$Q$6:$Q$505,Plantings!$D$6:$D$505,B20))</f>
        <v/>
      </c>
      <c r="G20" s="11">
        <f>IF(OR(B20="",N(F20)=0),"",INDEX(Plantings!$C$1:$C$505,MOD(SUMPRODUCT(MAX((Plantings!$D$6:$D$505=B20)*Plantings!$R$6:$R$505)),1000)))</f>
        <v/>
      </c>
      <c r="H20" s="22">
        <f>IF(B20="","",IF(MAX(SUMPRODUCT(MAX((Jobs!$C$6:$C$2005=B20)*(Jobs!$D$6:$D$2005="Water")*Jobs!$G$6:$G$2005)),MAX(Jobs!$H$6:$H$2005))=0,"",MAX(SUMPRODUCT(MAX((Jobs!$C$6:$C$2005=B20)*(Jobs!$D$6:$D$2005="Water")*Jobs!$G$6:$G$2005)),MAX(Jobs!$H$6:$H$2005))))</f>
        <v/>
      </c>
      <c r="I20" s="14">
        <f>IF(OR(B20="",H20=""),"",TODAY()-H20)</f>
        <v/>
      </c>
      <c r="J20" s="16">
        <f>IF(B20="","",IF(N(F20)=0,"Empty",IF(AND(N(Settings!$C$7)&gt;0,OR(H20="",N(I20)&gt;=N(Settings!$C$7))),"Water","OK")))</f>
        <v/>
      </c>
      <c r="K20" s="12">
        <f>IF(B20="","",SUMIFS(Harvest!$H$6:$H$1505,Harvest!$D$6:$D$1505,B20,Harvest!$J$6:$J$1505,Settings!$C$5))</f>
        <v/>
      </c>
      <c r="L20" s="1" t="n"/>
    </row>
    <row r="21">
      <c r="A21" s="1" t="n"/>
      <c r="B21" s="18" t="n"/>
      <c r="C21" s="19" t="n"/>
      <c r="D21" s="19" t="n"/>
      <c r="E21" s="21" t="n"/>
      <c r="F21" s="14">
        <f>IF(B21="","",SUMIFS(Plantings!$Q$6:$Q$505,Plantings!$D$6:$D$505,B21))</f>
        <v/>
      </c>
      <c r="G21" s="11">
        <f>IF(OR(B21="",N(F21)=0),"",INDEX(Plantings!$C$1:$C$505,MOD(SUMPRODUCT(MAX((Plantings!$D$6:$D$505=B21)*Plantings!$R$6:$R$505)),1000)))</f>
        <v/>
      </c>
      <c r="H21" s="22">
        <f>IF(B21="","",IF(MAX(SUMPRODUCT(MAX((Jobs!$C$6:$C$2005=B21)*(Jobs!$D$6:$D$2005="Water")*Jobs!$G$6:$G$2005)),MAX(Jobs!$H$6:$H$2005))=0,"",MAX(SUMPRODUCT(MAX((Jobs!$C$6:$C$2005=B21)*(Jobs!$D$6:$D$2005="Water")*Jobs!$G$6:$G$2005)),MAX(Jobs!$H$6:$H$2005))))</f>
        <v/>
      </c>
      <c r="I21" s="14">
        <f>IF(OR(B21="",H21=""),"",TODAY()-H21)</f>
        <v/>
      </c>
      <c r="J21" s="16">
        <f>IF(B21="","",IF(N(F21)=0,"Empty",IF(AND(N(Settings!$C$7)&gt;0,OR(H21="",N(I21)&gt;=N(Settings!$C$7))),"Water","OK")))</f>
        <v/>
      </c>
      <c r="K21" s="12">
        <f>IF(B21="","",SUMIFS(Harvest!$H$6:$H$1505,Harvest!$D$6:$D$1505,B21,Harvest!$J$6:$J$1505,Settings!$C$5))</f>
        <v/>
      </c>
      <c r="L21" s="1" t="n"/>
    </row>
    <row r="22">
      <c r="A22" s="1" t="n"/>
      <c r="B22" s="18" t="n"/>
      <c r="C22" s="19" t="n"/>
      <c r="D22" s="19" t="n"/>
      <c r="E22" s="21" t="n"/>
      <c r="F22" s="14">
        <f>IF(B22="","",SUMIFS(Plantings!$Q$6:$Q$505,Plantings!$D$6:$D$505,B22))</f>
        <v/>
      </c>
      <c r="G22" s="11">
        <f>IF(OR(B22="",N(F22)=0),"",INDEX(Plantings!$C$1:$C$505,MOD(SUMPRODUCT(MAX((Plantings!$D$6:$D$505=B22)*Plantings!$R$6:$R$505)),1000)))</f>
        <v/>
      </c>
      <c r="H22" s="22">
        <f>IF(B22="","",IF(MAX(SUMPRODUCT(MAX((Jobs!$C$6:$C$2005=B22)*(Jobs!$D$6:$D$2005="Water")*Jobs!$G$6:$G$2005)),MAX(Jobs!$H$6:$H$2005))=0,"",MAX(SUMPRODUCT(MAX((Jobs!$C$6:$C$2005=B22)*(Jobs!$D$6:$D$2005="Water")*Jobs!$G$6:$G$2005)),MAX(Jobs!$H$6:$H$2005))))</f>
        <v/>
      </c>
      <c r="I22" s="14">
        <f>IF(OR(B22="",H22=""),"",TODAY()-H22)</f>
        <v/>
      </c>
      <c r="J22" s="16">
        <f>IF(B22="","",IF(N(F22)=0,"Empty",IF(AND(N(Settings!$C$7)&gt;0,OR(H22="",N(I22)&gt;=N(Settings!$C$7))),"Water","OK")))</f>
        <v/>
      </c>
      <c r="K22" s="12">
        <f>IF(B22="","",SUMIFS(Harvest!$H$6:$H$1505,Harvest!$D$6:$D$1505,B22,Harvest!$J$6:$J$1505,Settings!$C$5))</f>
        <v/>
      </c>
      <c r="L22" s="1" t="n"/>
    </row>
    <row r="23">
      <c r="A23" s="1" t="n"/>
      <c r="B23" s="18" t="n"/>
      <c r="C23" s="19" t="n"/>
      <c r="D23" s="19" t="n"/>
      <c r="E23" s="21" t="n"/>
      <c r="F23" s="14">
        <f>IF(B23="","",SUMIFS(Plantings!$Q$6:$Q$505,Plantings!$D$6:$D$505,B23))</f>
        <v/>
      </c>
      <c r="G23" s="11">
        <f>IF(OR(B23="",N(F23)=0),"",INDEX(Plantings!$C$1:$C$505,MOD(SUMPRODUCT(MAX((Plantings!$D$6:$D$505=B23)*Plantings!$R$6:$R$505)),1000)))</f>
        <v/>
      </c>
      <c r="H23" s="22">
        <f>IF(B23="","",IF(MAX(SUMPRODUCT(MAX((Jobs!$C$6:$C$2005=B23)*(Jobs!$D$6:$D$2005="Water")*Jobs!$G$6:$G$2005)),MAX(Jobs!$H$6:$H$2005))=0,"",MAX(SUMPRODUCT(MAX((Jobs!$C$6:$C$2005=B23)*(Jobs!$D$6:$D$2005="Water")*Jobs!$G$6:$G$2005)),MAX(Jobs!$H$6:$H$2005))))</f>
        <v/>
      </c>
      <c r="I23" s="14">
        <f>IF(OR(B23="",H23=""),"",TODAY()-H23)</f>
        <v/>
      </c>
      <c r="J23" s="16">
        <f>IF(B23="","",IF(N(F23)=0,"Empty",IF(AND(N(Settings!$C$7)&gt;0,OR(H23="",N(I23)&gt;=N(Settings!$C$7))),"Water","OK")))</f>
        <v/>
      </c>
      <c r="K23" s="12">
        <f>IF(B23="","",SUMIFS(Harvest!$H$6:$H$1505,Harvest!$D$6:$D$1505,B23,Harvest!$J$6:$J$1505,Settings!$C$5))</f>
        <v/>
      </c>
      <c r="L23" s="1" t="n"/>
    </row>
    <row r="24">
      <c r="A24" s="1" t="n"/>
      <c r="B24" s="18" t="n"/>
      <c r="C24" s="19" t="n"/>
      <c r="D24" s="19" t="n"/>
      <c r="E24" s="21" t="n"/>
      <c r="F24" s="14">
        <f>IF(B24="","",SUMIFS(Plantings!$Q$6:$Q$505,Plantings!$D$6:$D$505,B24))</f>
        <v/>
      </c>
      <c r="G24" s="11">
        <f>IF(OR(B24="",N(F24)=0),"",INDEX(Plantings!$C$1:$C$505,MOD(SUMPRODUCT(MAX((Plantings!$D$6:$D$505=B24)*Plantings!$R$6:$R$505)),1000)))</f>
        <v/>
      </c>
      <c r="H24" s="22">
        <f>IF(B24="","",IF(MAX(SUMPRODUCT(MAX((Jobs!$C$6:$C$2005=B24)*(Jobs!$D$6:$D$2005="Water")*Jobs!$G$6:$G$2005)),MAX(Jobs!$H$6:$H$2005))=0,"",MAX(SUMPRODUCT(MAX((Jobs!$C$6:$C$2005=B24)*(Jobs!$D$6:$D$2005="Water")*Jobs!$G$6:$G$2005)),MAX(Jobs!$H$6:$H$2005))))</f>
        <v/>
      </c>
      <c r="I24" s="14">
        <f>IF(OR(B24="",H24=""),"",TODAY()-H24)</f>
        <v/>
      </c>
      <c r="J24" s="16">
        <f>IF(B24="","",IF(N(F24)=0,"Empty",IF(AND(N(Settings!$C$7)&gt;0,OR(H24="",N(I24)&gt;=N(Settings!$C$7))),"Water","OK")))</f>
        <v/>
      </c>
      <c r="K24" s="12">
        <f>IF(B24="","",SUMIFS(Harvest!$H$6:$H$1505,Harvest!$D$6:$D$1505,B24,Harvest!$J$6:$J$1505,Settings!$C$5))</f>
        <v/>
      </c>
      <c r="L24" s="1" t="n"/>
    </row>
    <row r="25">
      <c r="A25" s="1" t="n"/>
      <c r="B25" s="18" t="n"/>
      <c r="C25" s="19" t="n"/>
      <c r="D25" s="19" t="n"/>
      <c r="E25" s="21" t="n"/>
      <c r="F25" s="14">
        <f>IF(B25="","",SUMIFS(Plantings!$Q$6:$Q$505,Plantings!$D$6:$D$505,B25))</f>
        <v/>
      </c>
      <c r="G25" s="11">
        <f>IF(OR(B25="",N(F25)=0),"",INDEX(Plantings!$C$1:$C$505,MOD(SUMPRODUCT(MAX((Plantings!$D$6:$D$505=B25)*Plantings!$R$6:$R$505)),1000)))</f>
        <v/>
      </c>
      <c r="H25" s="22">
        <f>IF(B25="","",IF(MAX(SUMPRODUCT(MAX((Jobs!$C$6:$C$2005=B25)*(Jobs!$D$6:$D$2005="Water")*Jobs!$G$6:$G$2005)),MAX(Jobs!$H$6:$H$2005))=0,"",MAX(SUMPRODUCT(MAX((Jobs!$C$6:$C$2005=B25)*(Jobs!$D$6:$D$2005="Water")*Jobs!$G$6:$G$2005)),MAX(Jobs!$H$6:$H$2005))))</f>
        <v/>
      </c>
      <c r="I25" s="14">
        <f>IF(OR(B25="",H25=""),"",TODAY()-H25)</f>
        <v/>
      </c>
      <c r="J25" s="16">
        <f>IF(B25="","",IF(N(F25)=0,"Empty",IF(AND(N(Settings!$C$7)&gt;0,OR(H25="",N(I25)&gt;=N(Settings!$C$7))),"Water","OK")))</f>
        <v/>
      </c>
      <c r="K25" s="12">
        <f>IF(B25="","",SUMIFS(Harvest!$H$6:$H$1505,Harvest!$D$6:$D$1505,B25,Harvest!$J$6:$J$1505,Settings!$C$5))</f>
        <v/>
      </c>
      <c r="L25" s="1" t="n"/>
    </row>
    <row r="26">
      <c r="A26" s="1" t="n"/>
      <c r="B26" s="18" t="n"/>
      <c r="C26" s="19" t="n"/>
      <c r="D26" s="19" t="n"/>
      <c r="E26" s="21" t="n"/>
      <c r="F26" s="14">
        <f>IF(B26="","",SUMIFS(Plantings!$Q$6:$Q$505,Plantings!$D$6:$D$505,B26))</f>
        <v/>
      </c>
      <c r="G26" s="11">
        <f>IF(OR(B26="",N(F26)=0),"",INDEX(Plantings!$C$1:$C$505,MOD(SUMPRODUCT(MAX((Plantings!$D$6:$D$505=B26)*Plantings!$R$6:$R$505)),1000)))</f>
        <v/>
      </c>
      <c r="H26" s="22">
        <f>IF(B26="","",IF(MAX(SUMPRODUCT(MAX((Jobs!$C$6:$C$2005=B26)*(Jobs!$D$6:$D$2005="Water")*Jobs!$G$6:$G$2005)),MAX(Jobs!$H$6:$H$2005))=0,"",MAX(SUMPRODUCT(MAX((Jobs!$C$6:$C$2005=B26)*(Jobs!$D$6:$D$2005="Water")*Jobs!$G$6:$G$2005)),MAX(Jobs!$H$6:$H$2005))))</f>
        <v/>
      </c>
      <c r="I26" s="14">
        <f>IF(OR(B26="",H26=""),"",TODAY()-H26)</f>
        <v/>
      </c>
      <c r="J26" s="16">
        <f>IF(B26="","",IF(N(F26)=0,"Empty",IF(AND(N(Settings!$C$7)&gt;0,OR(H26="",N(I26)&gt;=N(Settings!$C$7))),"Water","OK")))</f>
        <v/>
      </c>
      <c r="K26" s="12">
        <f>IF(B26="","",SUMIFS(Harvest!$H$6:$H$1505,Harvest!$D$6:$D$1505,B26,Harvest!$J$6:$J$1505,Settings!$C$5))</f>
        <v/>
      </c>
      <c r="L26" s="1" t="n"/>
    </row>
    <row r="27">
      <c r="A27" s="1" t="n"/>
      <c r="B27" s="18" t="n"/>
      <c r="C27" s="19" t="n"/>
      <c r="D27" s="19" t="n"/>
      <c r="E27" s="21" t="n"/>
      <c r="F27" s="14">
        <f>IF(B27="","",SUMIFS(Plantings!$Q$6:$Q$505,Plantings!$D$6:$D$505,B27))</f>
        <v/>
      </c>
      <c r="G27" s="11">
        <f>IF(OR(B27="",N(F27)=0),"",INDEX(Plantings!$C$1:$C$505,MOD(SUMPRODUCT(MAX((Plantings!$D$6:$D$505=B27)*Plantings!$R$6:$R$505)),1000)))</f>
        <v/>
      </c>
      <c r="H27" s="22">
        <f>IF(B27="","",IF(MAX(SUMPRODUCT(MAX((Jobs!$C$6:$C$2005=B27)*(Jobs!$D$6:$D$2005="Water")*Jobs!$G$6:$G$2005)),MAX(Jobs!$H$6:$H$2005))=0,"",MAX(SUMPRODUCT(MAX((Jobs!$C$6:$C$2005=B27)*(Jobs!$D$6:$D$2005="Water")*Jobs!$G$6:$G$2005)),MAX(Jobs!$H$6:$H$2005))))</f>
        <v/>
      </c>
      <c r="I27" s="14">
        <f>IF(OR(B27="",H27=""),"",TODAY()-H27)</f>
        <v/>
      </c>
      <c r="J27" s="16">
        <f>IF(B27="","",IF(N(F27)=0,"Empty",IF(AND(N(Settings!$C$7)&gt;0,OR(H27="",N(I27)&gt;=N(Settings!$C$7))),"Water","OK")))</f>
        <v/>
      </c>
      <c r="K27" s="12">
        <f>IF(B27="","",SUMIFS(Harvest!$H$6:$H$1505,Harvest!$D$6:$D$1505,B27,Harvest!$J$6:$J$1505,Settings!$C$5))</f>
        <v/>
      </c>
      <c r="L27" s="1" t="n"/>
    </row>
    <row r="28">
      <c r="A28" s="1" t="n"/>
      <c r="B28" s="18" t="n"/>
      <c r="C28" s="19" t="n"/>
      <c r="D28" s="19" t="n"/>
      <c r="E28" s="21" t="n"/>
      <c r="F28" s="14">
        <f>IF(B28="","",SUMIFS(Plantings!$Q$6:$Q$505,Plantings!$D$6:$D$505,B28))</f>
        <v/>
      </c>
      <c r="G28" s="11">
        <f>IF(OR(B28="",N(F28)=0),"",INDEX(Plantings!$C$1:$C$505,MOD(SUMPRODUCT(MAX((Plantings!$D$6:$D$505=B28)*Plantings!$R$6:$R$505)),1000)))</f>
        <v/>
      </c>
      <c r="H28" s="22">
        <f>IF(B28="","",IF(MAX(SUMPRODUCT(MAX((Jobs!$C$6:$C$2005=B28)*(Jobs!$D$6:$D$2005="Water")*Jobs!$G$6:$G$2005)),MAX(Jobs!$H$6:$H$2005))=0,"",MAX(SUMPRODUCT(MAX((Jobs!$C$6:$C$2005=B28)*(Jobs!$D$6:$D$2005="Water")*Jobs!$G$6:$G$2005)),MAX(Jobs!$H$6:$H$2005))))</f>
        <v/>
      </c>
      <c r="I28" s="14">
        <f>IF(OR(B28="",H28=""),"",TODAY()-H28)</f>
        <v/>
      </c>
      <c r="J28" s="16">
        <f>IF(B28="","",IF(N(F28)=0,"Empty",IF(AND(N(Settings!$C$7)&gt;0,OR(H28="",N(I28)&gt;=N(Settings!$C$7))),"Water","OK")))</f>
        <v/>
      </c>
      <c r="K28" s="12">
        <f>IF(B28="","",SUMIFS(Harvest!$H$6:$H$1505,Harvest!$D$6:$D$1505,B28,Harvest!$J$6:$J$1505,Settings!$C$5))</f>
        <v/>
      </c>
      <c r="L28" s="1" t="n"/>
    </row>
    <row r="29">
      <c r="A29" s="1" t="n"/>
      <c r="B29" s="18" t="n"/>
      <c r="C29" s="19" t="n"/>
      <c r="D29" s="19" t="n"/>
      <c r="E29" s="21" t="n"/>
      <c r="F29" s="14">
        <f>IF(B29="","",SUMIFS(Plantings!$Q$6:$Q$505,Plantings!$D$6:$D$505,B29))</f>
        <v/>
      </c>
      <c r="G29" s="11">
        <f>IF(OR(B29="",N(F29)=0),"",INDEX(Plantings!$C$1:$C$505,MOD(SUMPRODUCT(MAX((Plantings!$D$6:$D$505=B29)*Plantings!$R$6:$R$505)),1000)))</f>
        <v/>
      </c>
      <c r="H29" s="22">
        <f>IF(B29="","",IF(MAX(SUMPRODUCT(MAX((Jobs!$C$6:$C$2005=B29)*(Jobs!$D$6:$D$2005="Water")*Jobs!$G$6:$G$2005)),MAX(Jobs!$H$6:$H$2005))=0,"",MAX(SUMPRODUCT(MAX((Jobs!$C$6:$C$2005=B29)*(Jobs!$D$6:$D$2005="Water")*Jobs!$G$6:$G$2005)),MAX(Jobs!$H$6:$H$2005))))</f>
        <v/>
      </c>
      <c r="I29" s="14">
        <f>IF(OR(B29="",H29=""),"",TODAY()-H29)</f>
        <v/>
      </c>
      <c r="J29" s="16">
        <f>IF(B29="","",IF(N(F29)=0,"Empty",IF(AND(N(Settings!$C$7)&gt;0,OR(H29="",N(I29)&gt;=N(Settings!$C$7))),"Water","OK")))</f>
        <v/>
      </c>
      <c r="K29" s="12">
        <f>IF(B29="","",SUMIFS(Harvest!$H$6:$H$1505,Harvest!$D$6:$D$1505,B29,Harvest!$J$6:$J$1505,Settings!$C$5))</f>
        <v/>
      </c>
      <c r="L29" s="1" t="n"/>
    </row>
    <row r="30">
      <c r="A30" s="1" t="n"/>
      <c r="B30" s="18" t="n"/>
      <c r="C30" s="19" t="n"/>
      <c r="D30" s="19" t="n"/>
      <c r="E30" s="21" t="n"/>
      <c r="F30" s="14">
        <f>IF(B30="","",SUMIFS(Plantings!$Q$6:$Q$505,Plantings!$D$6:$D$505,B30))</f>
        <v/>
      </c>
      <c r="G30" s="11">
        <f>IF(OR(B30="",N(F30)=0),"",INDEX(Plantings!$C$1:$C$505,MOD(SUMPRODUCT(MAX((Plantings!$D$6:$D$505=B30)*Plantings!$R$6:$R$505)),1000)))</f>
        <v/>
      </c>
      <c r="H30" s="22">
        <f>IF(B30="","",IF(MAX(SUMPRODUCT(MAX((Jobs!$C$6:$C$2005=B30)*(Jobs!$D$6:$D$2005="Water")*Jobs!$G$6:$G$2005)),MAX(Jobs!$H$6:$H$2005))=0,"",MAX(SUMPRODUCT(MAX((Jobs!$C$6:$C$2005=B30)*(Jobs!$D$6:$D$2005="Water")*Jobs!$G$6:$G$2005)),MAX(Jobs!$H$6:$H$2005))))</f>
        <v/>
      </c>
      <c r="I30" s="14">
        <f>IF(OR(B30="",H30=""),"",TODAY()-H30)</f>
        <v/>
      </c>
      <c r="J30" s="16">
        <f>IF(B30="","",IF(N(F30)=0,"Empty",IF(AND(N(Settings!$C$7)&gt;0,OR(H30="",N(I30)&gt;=N(Settings!$C$7))),"Water","OK")))</f>
        <v/>
      </c>
      <c r="K30" s="12">
        <f>IF(B30="","",SUMIFS(Harvest!$H$6:$H$1505,Harvest!$D$6:$D$1505,B30,Harvest!$J$6:$J$1505,Settings!$C$5))</f>
        <v/>
      </c>
      <c r="L30" s="1" t="n"/>
    </row>
    <row r="31">
      <c r="A31" s="1" t="n"/>
      <c r="B31" s="18" t="n"/>
      <c r="C31" s="19" t="n"/>
      <c r="D31" s="19" t="n"/>
      <c r="E31" s="21" t="n"/>
      <c r="F31" s="14">
        <f>IF(B31="","",SUMIFS(Plantings!$Q$6:$Q$505,Plantings!$D$6:$D$505,B31))</f>
        <v/>
      </c>
      <c r="G31" s="11">
        <f>IF(OR(B31="",N(F31)=0),"",INDEX(Plantings!$C$1:$C$505,MOD(SUMPRODUCT(MAX((Plantings!$D$6:$D$505=B31)*Plantings!$R$6:$R$505)),1000)))</f>
        <v/>
      </c>
      <c r="H31" s="22">
        <f>IF(B31="","",IF(MAX(SUMPRODUCT(MAX((Jobs!$C$6:$C$2005=B31)*(Jobs!$D$6:$D$2005="Water")*Jobs!$G$6:$G$2005)),MAX(Jobs!$H$6:$H$2005))=0,"",MAX(SUMPRODUCT(MAX((Jobs!$C$6:$C$2005=B31)*(Jobs!$D$6:$D$2005="Water")*Jobs!$G$6:$G$2005)),MAX(Jobs!$H$6:$H$2005))))</f>
        <v/>
      </c>
      <c r="I31" s="14">
        <f>IF(OR(B31="",H31=""),"",TODAY()-H31)</f>
        <v/>
      </c>
      <c r="J31" s="16">
        <f>IF(B31="","",IF(N(F31)=0,"Empty",IF(AND(N(Settings!$C$7)&gt;0,OR(H31="",N(I31)&gt;=N(Settings!$C$7))),"Water","OK")))</f>
        <v/>
      </c>
      <c r="K31" s="12">
        <f>IF(B31="","",SUMIFS(Harvest!$H$6:$H$1505,Harvest!$D$6:$D$1505,B31,Harvest!$J$6:$J$1505,Settings!$C$5))</f>
        <v/>
      </c>
      <c r="L31" s="1" t="n"/>
    </row>
    <row r="32">
      <c r="A32" s="1" t="n"/>
      <c r="B32" s="18" t="n"/>
      <c r="C32" s="19" t="n"/>
      <c r="D32" s="19" t="n"/>
      <c r="E32" s="21" t="n"/>
      <c r="F32" s="14">
        <f>IF(B32="","",SUMIFS(Plantings!$Q$6:$Q$505,Plantings!$D$6:$D$505,B32))</f>
        <v/>
      </c>
      <c r="G32" s="11">
        <f>IF(OR(B32="",N(F32)=0),"",INDEX(Plantings!$C$1:$C$505,MOD(SUMPRODUCT(MAX((Plantings!$D$6:$D$505=B32)*Plantings!$R$6:$R$505)),1000)))</f>
        <v/>
      </c>
      <c r="H32" s="22">
        <f>IF(B32="","",IF(MAX(SUMPRODUCT(MAX((Jobs!$C$6:$C$2005=B32)*(Jobs!$D$6:$D$2005="Water")*Jobs!$G$6:$G$2005)),MAX(Jobs!$H$6:$H$2005))=0,"",MAX(SUMPRODUCT(MAX((Jobs!$C$6:$C$2005=B32)*(Jobs!$D$6:$D$2005="Water")*Jobs!$G$6:$G$2005)),MAX(Jobs!$H$6:$H$2005))))</f>
        <v/>
      </c>
      <c r="I32" s="14">
        <f>IF(OR(B32="",H32=""),"",TODAY()-H32)</f>
        <v/>
      </c>
      <c r="J32" s="16">
        <f>IF(B32="","",IF(N(F32)=0,"Empty",IF(AND(N(Settings!$C$7)&gt;0,OR(H32="",N(I32)&gt;=N(Settings!$C$7))),"Water","OK")))</f>
        <v/>
      </c>
      <c r="K32" s="12">
        <f>IF(B32="","",SUMIFS(Harvest!$H$6:$H$1505,Harvest!$D$6:$D$1505,B32,Harvest!$J$6:$J$1505,Settings!$C$5))</f>
        <v/>
      </c>
      <c r="L32" s="1" t="n"/>
    </row>
    <row r="33">
      <c r="A33" s="1" t="n"/>
      <c r="B33" s="18" t="n"/>
      <c r="C33" s="19" t="n"/>
      <c r="D33" s="19" t="n"/>
      <c r="E33" s="21" t="n"/>
      <c r="F33" s="14">
        <f>IF(B33="","",SUMIFS(Plantings!$Q$6:$Q$505,Plantings!$D$6:$D$505,B33))</f>
        <v/>
      </c>
      <c r="G33" s="11">
        <f>IF(OR(B33="",N(F33)=0),"",INDEX(Plantings!$C$1:$C$505,MOD(SUMPRODUCT(MAX((Plantings!$D$6:$D$505=B33)*Plantings!$R$6:$R$505)),1000)))</f>
        <v/>
      </c>
      <c r="H33" s="22">
        <f>IF(B33="","",IF(MAX(SUMPRODUCT(MAX((Jobs!$C$6:$C$2005=B33)*(Jobs!$D$6:$D$2005="Water")*Jobs!$G$6:$G$2005)),MAX(Jobs!$H$6:$H$2005))=0,"",MAX(SUMPRODUCT(MAX((Jobs!$C$6:$C$2005=B33)*(Jobs!$D$6:$D$2005="Water")*Jobs!$G$6:$G$2005)),MAX(Jobs!$H$6:$H$2005))))</f>
        <v/>
      </c>
      <c r="I33" s="14">
        <f>IF(OR(B33="",H33=""),"",TODAY()-H33)</f>
        <v/>
      </c>
      <c r="J33" s="16">
        <f>IF(B33="","",IF(N(F33)=0,"Empty",IF(AND(N(Settings!$C$7)&gt;0,OR(H33="",N(I33)&gt;=N(Settings!$C$7))),"Water","OK")))</f>
        <v/>
      </c>
      <c r="K33" s="12">
        <f>IF(B33="","",SUMIFS(Harvest!$H$6:$H$1505,Harvest!$D$6:$D$1505,B33,Harvest!$J$6:$J$1505,Settings!$C$5))</f>
        <v/>
      </c>
      <c r="L33" s="1" t="n"/>
    </row>
    <row r="34">
      <c r="A34" s="1" t="n"/>
      <c r="B34" s="18" t="n"/>
      <c r="C34" s="19" t="n"/>
      <c r="D34" s="19" t="n"/>
      <c r="E34" s="21" t="n"/>
      <c r="F34" s="14">
        <f>IF(B34="","",SUMIFS(Plantings!$Q$6:$Q$505,Plantings!$D$6:$D$505,B34))</f>
        <v/>
      </c>
      <c r="G34" s="11">
        <f>IF(OR(B34="",N(F34)=0),"",INDEX(Plantings!$C$1:$C$505,MOD(SUMPRODUCT(MAX((Plantings!$D$6:$D$505=B34)*Plantings!$R$6:$R$505)),1000)))</f>
        <v/>
      </c>
      <c r="H34" s="22">
        <f>IF(B34="","",IF(MAX(SUMPRODUCT(MAX((Jobs!$C$6:$C$2005=B34)*(Jobs!$D$6:$D$2005="Water")*Jobs!$G$6:$G$2005)),MAX(Jobs!$H$6:$H$2005))=0,"",MAX(SUMPRODUCT(MAX((Jobs!$C$6:$C$2005=B34)*(Jobs!$D$6:$D$2005="Water")*Jobs!$G$6:$G$2005)),MAX(Jobs!$H$6:$H$2005))))</f>
        <v/>
      </c>
      <c r="I34" s="14">
        <f>IF(OR(B34="",H34=""),"",TODAY()-H34)</f>
        <v/>
      </c>
      <c r="J34" s="16">
        <f>IF(B34="","",IF(N(F34)=0,"Empty",IF(AND(N(Settings!$C$7)&gt;0,OR(H34="",N(I34)&gt;=N(Settings!$C$7))),"Water","OK")))</f>
        <v/>
      </c>
      <c r="K34" s="12">
        <f>IF(B34="","",SUMIFS(Harvest!$H$6:$H$1505,Harvest!$D$6:$D$1505,B34,Harvest!$J$6:$J$1505,Settings!$C$5))</f>
        <v/>
      </c>
      <c r="L34" s="1" t="n"/>
    </row>
    <row r="35">
      <c r="A35" s="1" t="n"/>
      <c r="B35" s="18" t="n"/>
      <c r="C35" s="19" t="n"/>
      <c r="D35" s="19" t="n"/>
      <c r="E35" s="21" t="n"/>
      <c r="F35" s="14">
        <f>IF(B35="","",SUMIFS(Plantings!$Q$6:$Q$505,Plantings!$D$6:$D$505,B35))</f>
        <v/>
      </c>
      <c r="G35" s="11">
        <f>IF(OR(B35="",N(F35)=0),"",INDEX(Plantings!$C$1:$C$505,MOD(SUMPRODUCT(MAX((Plantings!$D$6:$D$505=B35)*Plantings!$R$6:$R$505)),1000)))</f>
        <v/>
      </c>
      <c r="H35" s="22">
        <f>IF(B35="","",IF(MAX(SUMPRODUCT(MAX((Jobs!$C$6:$C$2005=B35)*(Jobs!$D$6:$D$2005="Water")*Jobs!$G$6:$G$2005)),MAX(Jobs!$H$6:$H$2005))=0,"",MAX(SUMPRODUCT(MAX((Jobs!$C$6:$C$2005=B35)*(Jobs!$D$6:$D$2005="Water")*Jobs!$G$6:$G$2005)),MAX(Jobs!$H$6:$H$2005))))</f>
        <v/>
      </c>
      <c r="I35" s="14">
        <f>IF(OR(B35="",H35=""),"",TODAY()-H35)</f>
        <v/>
      </c>
      <c r="J35" s="16">
        <f>IF(B35="","",IF(N(F35)=0,"Empty",IF(AND(N(Settings!$C$7)&gt;0,OR(H35="",N(I35)&gt;=N(Settings!$C$7))),"Water","OK")))</f>
        <v/>
      </c>
      <c r="K35" s="12">
        <f>IF(B35="","",SUMIFS(Harvest!$H$6:$H$1505,Harvest!$D$6:$D$1505,B35,Harvest!$J$6:$J$1505,Settings!$C$5))</f>
        <v/>
      </c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</sheetData>
  <conditionalFormatting sqref="J6:J35">
    <cfRule type="expression" priority="1" dxfId="0">
      <formula>J6="Water"</formula>
    </cfRule>
    <cfRule type="expression" priority="2" dxfId="2">
      <formula>J6="OK"</formula>
    </cfRule>
  </conditionalFormatting>
  <dataValidations count="1">
    <dataValidation sqref="D6:D35" showDropDown="0" showInputMessage="0" showErrorMessage="0" allowBlank="1" type="list">
      <formula1>"Full sun,Part shade,Shade"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U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6">
        <f>IF(Settings!$C$4="","Planting calendar",Settings!$C$4&amp;": planting calendar")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27" t="inlineStr">
        <is>
          <t>The months you typed on the Crops tab. S sow, P plant out, H harvest.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8" t="inlineStr">
        <is>
          <t>Crop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May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Aug</t>
        </is>
      </c>
      <c r="K5" s="8" t="inlineStr">
        <is>
          <t>Sep</t>
        </is>
      </c>
      <c r="L5" s="8" t="inlineStr">
        <is>
          <t>Oct</t>
        </is>
      </c>
      <c r="M5" s="8" t="inlineStr">
        <is>
          <t>Nov</t>
        </is>
      </c>
      <c r="N5" s="8" t="inlineStr">
        <is>
          <t>Dec</t>
        </is>
      </c>
      <c r="O5" s="1" t="n"/>
    </row>
    <row r="6" ht="16" customHeight="1">
      <c r="A6" s="1" t="n"/>
      <c r="B6" s="9">
        <f>IF(INDEX(Crops!$B$6:$B$65,1)="","",INDEX(Crops!$B$6:$B$65,1))</f>
        <v/>
      </c>
      <c r="C6" s="28">
        <f>IF(B6="","",TRIM(IF(IF(OR($P6=0,$Q6=0),0,IF($P6&lt;=$Q6,IF(AND(1&gt;=$P6,1&lt;=$Q6),1,0),IF(OR(1&gt;=$P6,1&lt;=$Q6),1,0)))=1,"S ","")&amp;IF(IF(OR($R6=0,$S6=0),0,IF($R6&lt;=$S6,IF(AND(1&gt;=$R6,1&lt;=$S6),1,0),IF(OR(1&gt;=$R6,1&lt;=$S6),1,0)))=1,"P ","")&amp;IF(IF(OR($T6=0,$U6=0),0,IF($T6&lt;=$U6,IF(AND(1&gt;=$T6,1&lt;=$U6),1,0),IF(OR(1&gt;=$T6,1&lt;=$U6),1,0)))=1,"H","")))</f>
        <v/>
      </c>
      <c r="D6" s="28">
        <f>IF(B6="","",TRIM(IF(IF(OR($P6=0,$Q6=0),0,IF($P6&lt;=$Q6,IF(AND(2&gt;=$P6,2&lt;=$Q6),1,0),IF(OR(2&gt;=$P6,2&lt;=$Q6),1,0)))=1,"S ","")&amp;IF(IF(OR($R6=0,$S6=0),0,IF($R6&lt;=$S6,IF(AND(2&gt;=$R6,2&lt;=$S6),1,0),IF(OR(2&gt;=$R6,2&lt;=$S6),1,0)))=1,"P ","")&amp;IF(IF(OR($T6=0,$U6=0),0,IF($T6&lt;=$U6,IF(AND(2&gt;=$T6,2&lt;=$U6),1,0),IF(OR(2&gt;=$T6,2&lt;=$U6),1,0)))=1,"H","")))</f>
        <v/>
      </c>
      <c r="E6" s="28">
        <f>IF(B6="","",TRIM(IF(IF(OR($P6=0,$Q6=0),0,IF($P6&lt;=$Q6,IF(AND(3&gt;=$P6,3&lt;=$Q6),1,0),IF(OR(3&gt;=$P6,3&lt;=$Q6),1,0)))=1,"S ","")&amp;IF(IF(OR($R6=0,$S6=0),0,IF($R6&lt;=$S6,IF(AND(3&gt;=$R6,3&lt;=$S6),1,0),IF(OR(3&gt;=$R6,3&lt;=$S6),1,0)))=1,"P ","")&amp;IF(IF(OR($T6=0,$U6=0),0,IF($T6&lt;=$U6,IF(AND(3&gt;=$T6,3&lt;=$U6),1,0),IF(OR(3&gt;=$T6,3&lt;=$U6),1,0)))=1,"H","")))</f>
        <v/>
      </c>
      <c r="F6" s="28">
        <f>IF(B6="","",TRIM(IF(IF(OR($P6=0,$Q6=0),0,IF($P6&lt;=$Q6,IF(AND(4&gt;=$P6,4&lt;=$Q6),1,0),IF(OR(4&gt;=$P6,4&lt;=$Q6),1,0)))=1,"S ","")&amp;IF(IF(OR($R6=0,$S6=0),0,IF($R6&lt;=$S6,IF(AND(4&gt;=$R6,4&lt;=$S6),1,0),IF(OR(4&gt;=$R6,4&lt;=$S6),1,0)))=1,"P ","")&amp;IF(IF(OR($T6=0,$U6=0),0,IF($T6&lt;=$U6,IF(AND(4&gt;=$T6,4&lt;=$U6),1,0),IF(OR(4&gt;=$T6,4&lt;=$U6),1,0)))=1,"H","")))</f>
        <v/>
      </c>
      <c r="G6" s="28">
        <f>IF(B6="","",TRIM(IF(IF(OR($P6=0,$Q6=0),0,IF($P6&lt;=$Q6,IF(AND(5&gt;=$P6,5&lt;=$Q6),1,0),IF(OR(5&gt;=$P6,5&lt;=$Q6),1,0)))=1,"S ","")&amp;IF(IF(OR($R6=0,$S6=0),0,IF($R6&lt;=$S6,IF(AND(5&gt;=$R6,5&lt;=$S6),1,0),IF(OR(5&gt;=$R6,5&lt;=$S6),1,0)))=1,"P ","")&amp;IF(IF(OR($T6=0,$U6=0),0,IF($T6&lt;=$U6,IF(AND(5&gt;=$T6,5&lt;=$U6),1,0),IF(OR(5&gt;=$T6,5&lt;=$U6),1,0)))=1,"H","")))</f>
        <v/>
      </c>
      <c r="H6" s="28">
        <f>IF(B6="","",TRIM(IF(IF(OR($P6=0,$Q6=0),0,IF($P6&lt;=$Q6,IF(AND(6&gt;=$P6,6&lt;=$Q6),1,0),IF(OR(6&gt;=$P6,6&lt;=$Q6),1,0)))=1,"S ","")&amp;IF(IF(OR($R6=0,$S6=0),0,IF($R6&lt;=$S6,IF(AND(6&gt;=$R6,6&lt;=$S6),1,0),IF(OR(6&gt;=$R6,6&lt;=$S6),1,0)))=1,"P ","")&amp;IF(IF(OR($T6=0,$U6=0),0,IF($T6&lt;=$U6,IF(AND(6&gt;=$T6,6&lt;=$U6),1,0),IF(OR(6&gt;=$T6,6&lt;=$U6),1,0)))=1,"H","")))</f>
        <v/>
      </c>
      <c r="I6" s="28">
        <f>IF(B6="","",TRIM(IF(IF(OR($P6=0,$Q6=0),0,IF($P6&lt;=$Q6,IF(AND(7&gt;=$P6,7&lt;=$Q6),1,0),IF(OR(7&gt;=$P6,7&lt;=$Q6),1,0)))=1,"S ","")&amp;IF(IF(OR($R6=0,$S6=0),0,IF($R6&lt;=$S6,IF(AND(7&gt;=$R6,7&lt;=$S6),1,0),IF(OR(7&gt;=$R6,7&lt;=$S6),1,0)))=1,"P ","")&amp;IF(IF(OR($T6=0,$U6=0),0,IF($T6&lt;=$U6,IF(AND(7&gt;=$T6,7&lt;=$U6),1,0),IF(OR(7&gt;=$T6,7&lt;=$U6),1,0)))=1,"H","")))</f>
        <v/>
      </c>
      <c r="J6" s="28">
        <f>IF(B6="","",TRIM(IF(IF(OR($P6=0,$Q6=0),0,IF($P6&lt;=$Q6,IF(AND(8&gt;=$P6,8&lt;=$Q6),1,0),IF(OR(8&gt;=$P6,8&lt;=$Q6),1,0)))=1,"S ","")&amp;IF(IF(OR($R6=0,$S6=0),0,IF($R6&lt;=$S6,IF(AND(8&gt;=$R6,8&lt;=$S6),1,0),IF(OR(8&gt;=$R6,8&lt;=$S6),1,0)))=1,"P ","")&amp;IF(IF(OR($T6=0,$U6=0),0,IF($T6&lt;=$U6,IF(AND(8&gt;=$T6,8&lt;=$U6),1,0),IF(OR(8&gt;=$T6,8&lt;=$U6),1,0)))=1,"H","")))</f>
        <v/>
      </c>
      <c r="K6" s="28">
        <f>IF(B6="","",TRIM(IF(IF(OR($P6=0,$Q6=0),0,IF($P6&lt;=$Q6,IF(AND(9&gt;=$P6,9&lt;=$Q6),1,0),IF(OR(9&gt;=$P6,9&lt;=$Q6),1,0)))=1,"S ","")&amp;IF(IF(OR($R6=0,$S6=0),0,IF($R6&lt;=$S6,IF(AND(9&gt;=$R6,9&lt;=$S6),1,0),IF(OR(9&gt;=$R6,9&lt;=$S6),1,0)))=1,"P ","")&amp;IF(IF(OR($T6=0,$U6=0),0,IF($T6&lt;=$U6,IF(AND(9&gt;=$T6,9&lt;=$U6),1,0),IF(OR(9&gt;=$T6,9&lt;=$U6),1,0)))=1,"H","")))</f>
        <v/>
      </c>
      <c r="L6" s="28">
        <f>IF(B6="","",TRIM(IF(IF(OR($P6=0,$Q6=0),0,IF($P6&lt;=$Q6,IF(AND(10&gt;=$P6,10&lt;=$Q6),1,0),IF(OR(10&gt;=$P6,10&lt;=$Q6),1,0)))=1,"S ","")&amp;IF(IF(OR($R6=0,$S6=0),0,IF($R6&lt;=$S6,IF(AND(10&gt;=$R6,10&lt;=$S6),1,0),IF(OR(10&gt;=$R6,10&lt;=$S6),1,0)))=1,"P ","")&amp;IF(IF(OR($T6=0,$U6=0),0,IF($T6&lt;=$U6,IF(AND(10&gt;=$T6,10&lt;=$U6),1,0),IF(OR(10&gt;=$T6,10&lt;=$U6),1,0)))=1,"H","")))</f>
        <v/>
      </c>
      <c r="M6" s="28">
        <f>IF(B6="","",TRIM(IF(IF(OR($P6=0,$Q6=0),0,IF($P6&lt;=$Q6,IF(AND(11&gt;=$P6,11&lt;=$Q6),1,0),IF(OR(11&gt;=$P6,11&lt;=$Q6),1,0)))=1,"S ","")&amp;IF(IF(OR($R6=0,$S6=0),0,IF($R6&lt;=$S6,IF(AND(11&gt;=$R6,11&lt;=$S6),1,0),IF(OR(11&gt;=$R6,11&lt;=$S6),1,0)))=1,"P ","")&amp;IF(IF(OR($T6=0,$U6=0),0,IF($T6&lt;=$U6,IF(AND(11&gt;=$T6,11&lt;=$U6),1,0),IF(OR(11&gt;=$T6,11&lt;=$U6),1,0)))=1,"H","")))</f>
        <v/>
      </c>
      <c r="N6" s="28">
        <f>IF(B6="","",TRIM(IF(IF(OR($P6=0,$Q6=0),0,IF($P6&lt;=$Q6,IF(AND(12&gt;=$P6,12&lt;=$Q6),1,0),IF(OR(12&gt;=$P6,12&lt;=$Q6),1,0)))=1,"S ","")&amp;IF(IF(OR($R6=0,$S6=0),0,IF($R6&lt;=$S6,IF(AND(12&gt;=$R6,12&lt;=$S6),1,0),IF(OR(12&gt;=$R6,12&lt;=$S6),1,0)))=1,"P ","")&amp;IF(IF(OR($T6=0,$U6=0),0,IF($T6&lt;=$U6,IF(AND(12&gt;=$T6,12&lt;=$U6),1,0),IF(OR(12&gt;=$T6,12&lt;=$U6),1,0)))=1,"H","")))</f>
        <v/>
      </c>
      <c r="O6" s="1" t="n"/>
      <c r="P6">
        <f>N(INDEX(Crops!$R$6:$R$65,1))</f>
        <v/>
      </c>
      <c r="Q6">
        <f>N(INDEX(Crops!$S$6:$S$65,1))</f>
        <v/>
      </c>
      <c r="R6">
        <f>N(INDEX(Crops!$T$6:$T$65,1))</f>
        <v/>
      </c>
      <c r="S6">
        <f>N(INDEX(Crops!$U$6:$U$65,1))</f>
        <v/>
      </c>
      <c r="T6">
        <f>N(INDEX(Crops!$V$6:$V$65,1))</f>
        <v/>
      </c>
      <c r="U6">
        <f>N(INDEX(Crops!$W$6:$W$65,1))</f>
        <v/>
      </c>
    </row>
    <row r="7" ht="16" customHeight="1">
      <c r="A7" s="1" t="n"/>
      <c r="B7" s="9">
        <f>IF(INDEX(Crops!$B$6:$B$65,2)="","",INDEX(Crops!$B$6:$B$65,2))</f>
        <v/>
      </c>
      <c r="C7" s="28">
        <f>IF(B7="","",TRIM(IF(IF(OR($P7=0,$Q7=0),0,IF($P7&lt;=$Q7,IF(AND(1&gt;=$P7,1&lt;=$Q7),1,0),IF(OR(1&gt;=$P7,1&lt;=$Q7),1,0)))=1,"S ","")&amp;IF(IF(OR($R7=0,$S7=0),0,IF($R7&lt;=$S7,IF(AND(1&gt;=$R7,1&lt;=$S7),1,0),IF(OR(1&gt;=$R7,1&lt;=$S7),1,0)))=1,"P ","")&amp;IF(IF(OR($T7=0,$U7=0),0,IF($T7&lt;=$U7,IF(AND(1&gt;=$T7,1&lt;=$U7),1,0),IF(OR(1&gt;=$T7,1&lt;=$U7),1,0)))=1,"H","")))</f>
        <v/>
      </c>
      <c r="D7" s="28">
        <f>IF(B7="","",TRIM(IF(IF(OR($P7=0,$Q7=0),0,IF($P7&lt;=$Q7,IF(AND(2&gt;=$P7,2&lt;=$Q7),1,0),IF(OR(2&gt;=$P7,2&lt;=$Q7),1,0)))=1,"S ","")&amp;IF(IF(OR($R7=0,$S7=0),0,IF($R7&lt;=$S7,IF(AND(2&gt;=$R7,2&lt;=$S7),1,0),IF(OR(2&gt;=$R7,2&lt;=$S7),1,0)))=1,"P ","")&amp;IF(IF(OR($T7=0,$U7=0),0,IF($T7&lt;=$U7,IF(AND(2&gt;=$T7,2&lt;=$U7),1,0),IF(OR(2&gt;=$T7,2&lt;=$U7),1,0)))=1,"H","")))</f>
        <v/>
      </c>
      <c r="E7" s="28">
        <f>IF(B7="","",TRIM(IF(IF(OR($P7=0,$Q7=0),0,IF($P7&lt;=$Q7,IF(AND(3&gt;=$P7,3&lt;=$Q7),1,0),IF(OR(3&gt;=$P7,3&lt;=$Q7),1,0)))=1,"S ","")&amp;IF(IF(OR($R7=0,$S7=0),0,IF($R7&lt;=$S7,IF(AND(3&gt;=$R7,3&lt;=$S7),1,0),IF(OR(3&gt;=$R7,3&lt;=$S7),1,0)))=1,"P ","")&amp;IF(IF(OR($T7=0,$U7=0),0,IF($T7&lt;=$U7,IF(AND(3&gt;=$T7,3&lt;=$U7),1,0),IF(OR(3&gt;=$T7,3&lt;=$U7),1,0)))=1,"H","")))</f>
        <v/>
      </c>
      <c r="F7" s="28">
        <f>IF(B7="","",TRIM(IF(IF(OR($P7=0,$Q7=0),0,IF($P7&lt;=$Q7,IF(AND(4&gt;=$P7,4&lt;=$Q7),1,0),IF(OR(4&gt;=$P7,4&lt;=$Q7),1,0)))=1,"S ","")&amp;IF(IF(OR($R7=0,$S7=0),0,IF($R7&lt;=$S7,IF(AND(4&gt;=$R7,4&lt;=$S7),1,0),IF(OR(4&gt;=$R7,4&lt;=$S7),1,0)))=1,"P ","")&amp;IF(IF(OR($T7=0,$U7=0),0,IF($T7&lt;=$U7,IF(AND(4&gt;=$T7,4&lt;=$U7),1,0),IF(OR(4&gt;=$T7,4&lt;=$U7),1,0)))=1,"H","")))</f>
        <v/>
      </c>
      <c r="G7" s="28">
        <f>IF(B7="","",TRIM(IF(IF(OR($P7=0,$Q7=0),0,IF($P7&lt;=$Q7,IF(AND(5&gt;=$P7,5&lt;=$Q7),1,0),IF(OR(5&gt;=$P7,5&lt;=$Q7),1,0)))=1,"S ","")&amp;IF(IF(OR($R7=0,$S7=0),0,IF($R7&lt;=$S7,IF(AND(5&gt;=$R7,5&lt;=$S7),1,0),IF(OR(5&gt;=$R7,5&lt;=$S7),1,0)))=1,"P ","")&amp;IF(IF(OR($T7=0,$U7=0),0,IF($T7&lt;=$U7,IF(AND(5&gt;=$T7,5&lt;=$U7),1,0),IF(OR(5&gt;=$T7,5&lt;=$U7),1,0)))=1,"H","")))</f>
        <v/>
      </c>
      <c r="H7" s="28">
        <f>IF(B7="","",TRIM(IF(IF(OR($P7=0,$Q7=0),0,IF($P7&lt;=$Q7,IF(AND(6&gt;=$P7,6&lt;=$Q7),1,0),IF(OR(6&gt;=$P7,6&lt;=$Q7),1,0)))=1,"S ","")&amp;IF(IF(OR($R7=0,$S7=0),0,IF($R7&lt;=$S7,IF(AND(6&gt;=$R7,6&lt;=$S7),1,0),IF(OR(6&gt;=$R7,6&lt;=$S7),1,0)))=1,"P ","")&amp;IF(IF(OR($T7=0,$U7=0),0,IF($T7&lt;=$U7,IF(AND(6&gt;=$T7,6&lt;=$U7),1,0),IF(OR(6&gt;=$T7,6&lt;=$U7),1,0)))=1,"H","")))</f>
        <v/>
      </c>
      <c r="I7" s="28">
        <f>IF(B7="","",TRIM(IF(IF(OR($P7=0,$Q7=0),0,IF($P7&lt;=$Q7,IF(AND(7&gt;=$P7,7&lt;=$Q7),1,0),IF(OR(7&gt;=$P7,7&lt;=$Q7),1,0)))=1,"S ","")&amp;IF(IF(OR($R7=0,$S7=0),0,IF($R7&lt;=$S7,IF(AND(7&gt;=$R7,7&lt;=$S7),1,0),IF(OR(7&gt;=$R7,7&lt;=$S7),1,0)))=1,"P ","")&amp;IF(IF(OR($T7=0,$U7=0),0,IF($T7&lt;=$U7,IF(AND(7&gt;=$T7,7&lt;=$U7),1,0),IF(OR(7&gt;=$T7,7&lt;=$U7),1,0)))=1,"H","")))</f>
        <v/>
      </c>
      <c r="J7" s="28">
        <f>IF(B7="","",TRIM(IF(IF(OR($P7=0,$Q7=0),0,IF($P7&lt;=$Q7,IF(AND(8&gt;=$P7,8&lt;=$Q7),1,0),IF(OR(8&gt;=$P7,8&lt;=$Q7),1,0)))=1,"S ","")&amp;IF(IF(OR($R7=0,$S7=0),0,IF($R7&lt;=$S7,IF(AND(8&gt;=$R7,8&lt;=$S7),1,0),IF(OR(8&gt;=$R7,8&lt;=$S7),1,0)))=1,"P ","")&amp;IF(IF(OR($T7=0,$U7=0),0,IF($T7&lt;=$U7,IF(AND(8&gt;=$T7,8&lt;=$U7),1,0),IF(OR(8&gt;=$T7,8&lt;=$U7),1,0)))=1,"H","")))</f>
        <v/>
      </c>
      <c r="K7" s="28">
        <f>IF(B7="","",TRIM(IF(IF(OR($P7=0,$Q7=0),0,IF($P7&lt;=$Q7,IF(AND(9&gt;=$P7,9&lt;=$Q7),1,0),IF(OR(9&gt;=$P7,9&lt;=$Q7),1,0)))=1,"S ","")&amp;IF(IF(OR($R7=0,$S7=0),0,IF($R7&lt;=$S7,IF(AND(9&gt;=$R7,9&lt;=$S7),1,0),IF(OR(9&gt;=$R7,9&lt;=$S7),1,0)))=1,"P ","")&amp;IF(IF(OR($T7=0,$U7=0),0,IF($T7&lt;=$U7,IF(AND(9&gt;=$T7,9&lt;=$U7),1,0),IF(OR(9&gt;=$T7,9&lt;=$U7),1,0)))=1,"H","")))</f>
        <v/>
      </c>
      <c r="L7" s="28">
        <f>IF(B7="","",TRIM(IF(IF(OR($P7=0,$Q7=0),0,IF($P7&lt;=$Q7,IF(AND(10&gt;=$P7,10&lt;=$Q7),1,0),IF(OR(10&gt;=$P7,10&lt;=$Q7),1,0)))=1,"S ","")&amp;IF(IF(OR($R7=0,$S7=0),0,IF($R7&lt;=$S7,IF(AND(10&gt;=$R7,10&lt;=$S7),1,0),IF(OR(10&gt;=$R7,10&lt;=$S7),1,0)))=1,"P ","")&amp;IF(IF(OR($T7=0,$U7=0),0,IF($T7&lt;=$U7,IF(AND(10&gt;=$T7,10&lt;=$U7),1,0),IF(OR(10&gt;=$T7,10&lt;=$U7),1,0)))=1,"H","")))</f>
        <v/>
      </c>
      <c r="M7" s="28">
        <f>IF(B7="","",TRIM(IF(IF(OR($P7=0,$Q7=0),0,IF($P7&lt;=$Q7,IF(AND(11&gt;=$P7,11&lt;=$Q7),1,0),IF(OR(11&gt;=$P7,11&lt;=$Q7),1,0)))=1,"S ","")&amp;IF(IF(OR($R7=0,$S7=0),0,IF($R7&lt;=$S7,IF(AND(11&gt;=$R7,11&lt;=$S7),1,0),IF(OR(11&gt;=$R7,11&lt;=$S7),1,0)))=1,"P ","")&amp;IF(IF(OR($T7=0,$U7=0),0,IF($T7&lt;=$U7,IF(AND(11&gt;=$T7,11&lt;=$U7),1,0),IF(OR(11&gt;=$T7,11&lt;=$U7),1,0)))=1,"H","")))</f>
        <v/>
      </c>
      <c r="N7" s="28">
        <f>IF(B7="","",TRIM(IF(IF(OR($P7=0,$Q7=0),0,IF($P7&lt;=$Q7,IF(AND(12&gt;=$P7,12&lt;=$Q7),1,0),IF(OR(12&gt;=$P7,12&lt;=$Q7),1,0)))=1,"S ","")&amp;IF(IF(OR($R7=0,$S7=0),0,IF($R7&lt;=$S7,IF(AND(12&gt;=$R7,12&lt;=$S7),1,0),IF(OR(12&gt;=$R7,12&lt;=$S7),1,0)))=1,"P ","")&amp;IF(IF(OR($T7=0,$U7=0),0,IF($T7&lt;=$U7,IF(AND(12&gt;=$T7,12&lt;=$U7),1,0),IF(OR(12&gt;=$T7,12&lt;=$U7),1,0)))=1,"H","")))</f>
        <v/>
      </c>
      <c r="O7" s="1" t="n"/>
      <c r="P7">
        <f>N(INDEX(Crops!$R$6:$R$65,2))</f>
        <v/>
      </c>
      <c r="Q7">
        <f>N(INDEX(Crops!$S$6:$S$65,2))</f>
        <v/>
      </c>
      <c r="R7">
        <f>N(INDEX(Crops!$T$6:$T$65,2))</f>
        <v/>
      </c>
      <c r="S7">
        <f>N(INDEX(Crops!$U$6:$U$65,2))</f>
        <v/>
      </c>
      <c r="T7">
        <f>N(INDEX(Crops!$V$6:$V$65,2))</f>
        <v/>
      </c>
      <c r="U7">
        <f>N(INDEX(Crops!$W$6:$W$65,2))</f>
        <v/>
      </c>
    </row>
    <row r="8" ht="16" customHeight="1">
      <c r="A8" s="1" t="n"/>
      <c r="B8" s="9">
        <f>IF(INDEX(Crops!$B$6:$B$65,3)="","",INDEX(Crops!$B$6:$B$65,3))</f>
        <v/>
      </c>
      <c r="C8" s="28">
        <f>IF(B8="","",TRIM(IF(IF(OR($P8=0,$Q8=0),0,IF($P8&lt;=$Q8,IF(AND(1&gt;=$P8,1&lt;=$Q8),1,0),IF(OR(1&gt;=$P8,1&lt;=$Q8),1,0)))=1,"S ","")&amp;IF(IF(OR($R8=0,$S8=0),0,IF($R8&lt;=$S8,IF(AND(1&gt;=$R8,1&lt;=$S8),1,0),IF(OR(1&gt;=$R8,1&lt;=$S8),1,0)))=1,"P ","")&amp;IF(IF(OR($T8=0,$U8=0),0,IF($T8&lt;=$U8,IF(AND(1&gt;=$T8,1&lt;=$U8),1,0),IF(OR(1&gt;=$T8,1&lt;=$U8),1,0)))=1,"H","")))</f>
        <v/>
      </c>
      <c r="D8" s="28">
        <f>IF(B8="","",TRIM(IF(IF(OR($P8=0,$Q8=0),0,IF($P8&lt;=$Q8,IF(AND(2&gt;=$P8,2&lt;=$Q8),1,0),IF(OR(2&gt;=$P8,2&lt;=$Q8),1,0)))=1,"S ","")&amp;IF(IF(OR($R8=0,$S8=0),0,IF($R8&lt;=$S8,IF(AND(2&gt;=$R8,2&lt;=$S8),1,0),IF(OR(2&gt;=$R8,2&lt;=$S8),1,0)))=1,"P ","")&amp;IF(IF(OR($T8=0,$U8=0),0,IF($T8&lt;=$U8,IF(AND(2&gt;=$T8,2&lt;=$U8),1,0),IF(OR(2&gt;=$T8,2&lt;=$U8),1,0)))=1,"H","")))</f>
        <v/>
      </c>
      <c r="E8" s="28">
        <f>IF(B8="","",TRIM(IF(IF(OR($P8=0,$Q8=0),0,IF($P8&lt;=$Q8,IF(AND(3&gt;=$P8,3&lt;=$Q8),1,0),IF(OR(3&gt;=$P8,3&lt;=$Q8),1,0)))=1,"S ","")&amp;IF(IF(OR($R8=0,$S8=0),0,IF($R8&lt;=$S8,IF(AND(3&gt;=$R8,3&lt;=$S8),1,0),IF(OR(3&gt;=$R8,3&lt;=$S8),1,0)))=1,"P ","")&amp;IF(IF(OR($T8=0,$U8=0),0,IF($T8&lt;=$U8,IF(AND(3&gt;=$T8,3&lt;=$U8),1,0),IF(OR(3&gt;=$T8,3&lt;=$U8),1,0)))=1,"H","")))</f>
        <v/>
      </c>
      <c r="F8" s="28">
        <f>IF(B8="","",TRIM(IF(IF(OR($P8=0,$Q8=0),0,IF($P8&lt;=$Q8,IF(AND(4&gt;=$P8,4&lt;=$Q8),1,0),IF(OR(4&gt;=$P8,4&lt;=$Q8),1,0)))=1,"S ","")&amp;IF(IF(OR($R8=0,$S8=0),0,IF($R8&lt;=$S8,IF(AND(4&gt;=$R8,4&lt;=$S8),1,0),IF(OR(4&gt;=$R8,4&lt;=$S8),1,0)))=1,"P ","")&amp;IF(IF(OR($T8=0,$U8=0),0,IF($T8&lt;=$U8,IF(AND(4&gt;=$T8,4&lt;=$U8),1,0),IF(OR(4&gt;=$T8,4&lt;=$U8),1,0)))=1,"H","")))</f>
        <v/>
      </c>
      <c r="G8" s="28">
        <f>IF(B8="","",TRIM(IF(IF(OR($P8=0,$Q8=0),0,IF($P8&lt;=$Q8,IF(AND(5&gt;=$P8,5&lt;=$Q8),1,0),IF(OR(5&gt;=$P8,5&lt;=$Q8),1,0)))=1,"S ","")&amp;IF(IF(OR($R8=0,$S8=0),0,IF($R8&lt;=$S8,IF(AND(5&gt;=$R8,5&lt;=$S8),1,0),IF(OR(5&gt;=$R8,5&lt;=$S8),1,0)))=1,"P ","")&amp;IF(IF(OR($T8=0,$U8=0),0,IF($T8&lt;=$U8,IF(AND(5&gt;=$T8,5&lt;=$U8),1,0),IF(OR(5&gt;=$T8,5&lt;=$U8),1,0)))=1,"H","")))</f>
        <v/>
      </c>
      <c r="H8" s="28">
        <f>IF(B8="","",TRIM(IF(IF(OR($P8=0,$Q8=0),0,IF($P8&lt;=$Q8,IF(AND(6&gt;=$P8,6&lt;=$Q8),1,0),IF(OR(6&gt;=$P8,6&lt;=$Q8),1,0)))=1,"S ","")&amp;IF(IF(OR($R8=0,$S8=0),0,IF($R8&lt;=$S8,IF(AND(6&gt;=$R8,6&lt;=$S8),1,0),IF(OR(6&gt;=$R8,6&lt;=$S8),1,0)))=1,"P ","")&amp;IF(IF(OR($T8=0,$U8=0),0,IF($T8&lt;=$U8,IF(AND(6&gt;=$T8,6&lt;=$U8),1,0),IF(OR(6&gt;=$T8,6&lt;=$U8),1,0)))=1,"H","")))</f>
        <v/>
      </c>
      <c r="I8" s="28">
        <f>IF(B8="","",TRIM(IF(IF(OR($P8=0,$Q8=0),0,IF($P8&lt;=$Q8,IF(AND(7&gt;=$P8,7&lt;=$Q8),1,0),IF(OR(7&gt;=$P8,7&lt;=$Q8),1,0)))=1,"S ","")&amp;IF(IF(OR($R8=0,$S8=0),0,IF($R8&lt;=$S8,IF(AND(7&gt;=$R8,7&lt;=$S8),1,0),IF(OR(7&gt;=$R8,7&lt;=$S8),1,0)))=1,"P ","")&amp;IF(IF(OR($T8=0,$U8=0),0,IF($T8&lt;=$U8,IF(AND(7&gt;=$T8,7&lt;=$U8),1,0),IF(OR(7&gt;=$T8,7&lt;=$U8),1,0)))=1,"H","")))</f>
        <v/>
      </c>
      <c r="J8" s="28">
        <f>IF(B8="","",TRIM(IF(IF(OR($P8=0,$Q8=0),0,IF($P8&lt;=$Q8,IF(AND(8&gt;=$P8,8&lt;=$Q8),1,0),IF(OR(8&gt;=$P8,8&lt;=$Q8),1,0)))=1,"S ","")&amp;IF(IF(OR($R8=0,$S8=0),0,IF($R8&lt;=$S8,IF(AND(8&gt;=$R8,8&lt;=$S8),1,0),IF(OR(8&gt;=$R8,8&lt;=$S8),1,0)))=1,"P ","")&amp;IF(IF(OR($T8=0,$U8=0),0,IF($T8&lt;=$U8,IF(AND(8&gt;=$T8,8&lt;=$U8),1,0),IF(OR(8&gt;=$T8,8&lt;=$U8),1,0)))=1,"H","")))</f>
        <v/>
      </c>
      <c r="K8" s="28">
        <f>IF(B8="","",TRIM(IF(IF(OR($P8=0,$Q8=0),0,IF($P8&lt;=$Q8,IF(AND(9&gt;=$P8,9&lt;=$Q8),1,0),IF(OR(9&gt;=$P8,9&lt;=$Q8),1,0)))=1,"S ","")&amp;IF(IF(OR($R8=0,$S8=0),0,IF($R8&lt;=$S8,IF(AND(9&gt;=$R8,9&lt;=$S8),1,0),IF(OR(9&gt;=$R8,9&lt;=$S8),1,0)))=1,"P ","")&amp;IF(IF(OR($T8=0,$U8=0),0,IF($T8&lt;=$U8,IF(AND(9&gt;=$T8,9&lt;=$U8),1,0),IF(OR(9&gt;=$T8,9&lt;=$U8),1,0)))=1,"H","")))</f>
        <v/>
      </c>
      <c r="L8" s="28">
        <f>IF(B8="","",TRIM(IF(IF(OR($P8=0,$Q8=0),0,IF($P8&lt;=$Q8,IF(AND(10&gt;=$P8,10&lt;=$Q8),1,0),IF(OR(10&gt;=$P8,10&lt;=$Q8),1,0)))=1,"S ","")&amp;IF(IF(OR($R8=0,$S8=0),0,IF($R8&lt;=$S8,IF(AND(10&gt;=$R8,10&lt;=$S8),1,0),IF(OR(10&gt;=$R8,10&lt;=$S8),1,0)))=1,"P ","")&amp;IF(IF(OR($T8=0,$U8=0),0,IF($T8&lt;=$U8,IF(AND(10&gt;=$T8,10&lt;=$U8),1,0),IF(OR(10&gt;=$T8,10&lt;=$U8),1,0)))=1,"H","")))</f>
        <v/>
      </c>
      <c r="M8" s="28">
        <f>IF(B8="","",TRIM(IF(IF(OR($P8=0,$Q8=0),0,IF($P8&lt;=$Q8,IF(AND(11&gt;=$P8,11&lt;=$Q8),1,0),IF(OR(11&gt;=$P8,11&lt;=$Q8),1,0)))=1,"S ","")&amp;IF(IF(OR($R8=0,$S8=0),0,IF($R8&lt;=$S8,IF(AND(11&gt;=$R8,11&lt;=$S8),1,0),IF(OR(11&gt;=$R8,11&lt;=$S8),1,0)))=1,"P ","")&amp;IF(IF(OR($T8=0,$U8=0),0,IF($T8&lt;=$U8,IF(AND(11&gt;=$T8,11&lt;=$U8),1,0),IF(OR(11&gt;=$T8,11&lt;=$U8),1,0)))=1,"H","")))</f>
        <v/>
      </c>
      <c r="N8" s="28">
        <f>IF(B8="","",TRIM(IF(IF(OR($P8=0,$Q8=0),0,IF($P8&lt;=$Q8,IF(AND(12&gt;=$P8,12&lt;=$Q8),1,0),IF(OR(12&gt;=$P8,12&lt;=$Q8),1,0)))=1,"S ","")&amp;IF(IF(OR($R8=0,$S8=0),0,IF($R8&lt;=$S8,IF(AND(12&gt;=$R8,12&lt;=$S8),1,0),IF(OR(12&gt;=$R8,12&lt;=$S8),1,0)))=1,"P ","")&amp;IF(IF(OR($T8=0,$U8=0),0,IF($T8&lt;=$U8,IF(AND(12&gt;=$T8,12&lt;=$U8),1,0),IF(OR(12&gt;=$T8,12&lt;=$U8),1,0)))=1,"H","")))</f>
        <v/>
      </c>
      <c r="O8" s="1" t="n"/>
      <c r="P8">
        <f>N(INDEX(Crops!$R$6:$R$65,3))</f>
        <v/>
      </c>
      <c r="Q8">
        <f>N(INDEX(Crops!$S$6:$S$65,3))</f>
        <v/>
      </c>
      <c r="R8">
        <f>N(INDEX(Crops!$T$6:$T$65,3))</f>
        <v/>
      </c>
      <c r="S8">
        <f>N(INDEX(Crops!$U$6:$U$65,3))</f>
        <v/>
      </c>
      <c r="T8">
        <f>N(INDEX(Crops!$V$6:$V$65,3))</f>
        <v/>
      </c>
      <c r="U8">
        <f>N(INDEX(Crops!$W$6:$W$65,3))</f>
        <v/>
      </c>
    </row>
    <row r="9" ht="16" customHeight="1">
      <c r="A9" s="1" t="n"/>
      <c r="B9" s="9">
        <f>IF(INDEX(Crops!$B$6:$B$65,4)="","",INDEX(Crops!$B$6:$B$65,4))</f>
        <v/>
      </c>
      <c r="C9" s="28">
        <f>IF(B9="","",TRIM(IF(IF(OR($P9=0,$Q9=0),0,IF($P9&lt;=$Q9,IF(AND(1&gt;=$P9,1&lt;=$Q9),1,0),IF(OR(1&gt;=$P9,1&lt;=$Q9),1,0)))=1,"S ","")&amp;IF(IF(OR($R9=0,$S9=0),0,IF($R9&lt;=$S9,IF(AND(1&gt;=$R9,1&lt;=$S9),1,0),IF(OR(1&gt;=$R9,1&lt;=$S9),1,0)))=1,"P ","")&amp;IF(IF(OR($T9=0,$U9=0),0,IF($T9&lt;=$U9,IF(AND(1&gt;=$T9,1&lt;=$U9),1,0),IF(OR(1&gt;=$T9,1&lt;=$U9),1,0)))=1,"H","")))</f>
        <v/>
      </c>
      <c r="D9" s="28">
        <f>IF(B9="","",TRIM(IF(IF(OR($P9=0,$Q9=0),0,IF($P9&lt;=$Q9,IF(AND(2&gt;=$P9,2&lt;=$Q9),1,0),IF(OR(2&gt;=$P9,2&lt;=$Q9),1,0)))=1,"S ","")&amp;IF(IF(OR($R9=0,$S9=0),0,IF($R9&lt;=$S9,IF(AND(2&gt;=$R9,2&lt;=$S9),1,0),IF(OR(2&gt;=$R9,2&lt;=$S9),1,0)))=1,"P ","")&amp;IF(IF(OR($T9=0,$U9=0),0,IF($T9&lt;=$U9,IF(AND(2&gt;=$T9,2&lt;=$U9),1,0),IF(OR(2&gt;=$T9,2&lt;=$U9),1,0)))=1,"H","")))</f>
        <v/>
      </c>
      <c r="E9" s="28">
        <f>IF(B9="","",TRIM(IF(IF(OR($P9=0,$Q9=0),0,IF($P9&lt;=$Q9,IF(AND(3&gt;=$P9,3&lt;=$Q9),1,0),IF(OR(3&gt;=$P9,3&lt;=$Q9),1,0)))=1,"S ","")&amp;IF(IF(OR($R9=0,$S9=0),0,IF($R9&lt;=$S9,IF(AND(3&gt;=$R9,3&lt;=$S9),1,0),IF(OR(3&gt;=$R9,3&lt;=$S9),1,0)))=1,"P ","")&amp;IF(IF(OR($T9=0,$U9=0),0,IF($T9&lt;=$U9,IF(AND(3&gt;=$T9,3&lt;=$U9),1,0),IF(OR(3&gt;=$T9,3&lt;=$U9),1,0)))=1,"H","")))</f>
        <v/>
      </c>
      <c r="F9" s="28">
        <f>IF(B9="","",TRIM(IF(IF(OR($P9=0,$Q9=0),0,IF($P9&lt;=$Q9,IF(AND(4&gt;=$P9,4&lt;=$Q9),1,0),IF(OR(4&gt;=$P9,4&lt;=$Q9),1,0)))=1,"S ","")&amp;IF(IF(OR($R9=0,$S9=0),0,IF($R9&lt;=$S9,IF(AND(4&gt;=$R9,4&lt;=$S9),1,0),IF(OR(4&gt;=$R9,4&lt;=$S9),1,0)))=1,"P ","")&amp;IF(IF(OR($T9=0,$U9=0),0,IF($T9&lt;=$U9,IF(AND(4&gt;=$T9,4&lt;=$U9),1,0),IF(OR(4&gt;=$T9,4&lt;=$U9),1,0)))=1,"H","")))</f>
        <v/>
      </c>
      <c r="G9" s="28">
        <f>IF(B9="","",TRIM(IF(IF(OR($P9=0,$Q9=0),0,IF($P9&lt;=$Q9,IF(AND(5&gt;=$P9,5&lt;=$Q9),1,0),IF(OR(5&gt;=$P9,5&lt;=$Q9),1,0)))=1,"S ","")&amp;IF(IF(OR($R9=0,$S9=0),0,IF($R9&lt;=$S9,IF(AND(5&gt;=$R9,5&lt;=$S9),1,0),IF(OR(5&gt;=$R9,5&lt;=$S9),1,0)))=1,"P ","")&amp;IF(IF(OR($T9=0,$U9=0),0,IF($T9&lt;=$U9,IF(AND(5&gt;=$T9,5&lt;=$U9),1,0),IF(OR(5&gt;=$T9,5&lt;=$U9),1,0)))=1,"H","")))</f>
        <v/>
      </c>
      <c r="H9" s="28">
        <f>IF(B9="","",TRIM(IF(IF(OR($P9=0,$Q9=0),0,IF($P9&lt;=$Q9,IF(AND(6&gt;=$P9,6&lt;=$Q9),1,0),IF(OR(6&gt;=$P9,6&lt;=$Q9),1,0)))=1,"S ","")&amp;IF(IF(OR($R9=0,$S9=0),0,IF($R9&lt;=$S9,IF(AND(6&gt;=$R9,6&lt;=$S9),1,0),IF(OR(6&gt;=$R9,6&lt;=$S9),1,0)))=1,"P ","")&amp;IF(IF(OR($T9=0,$U9=0),0,IF($T9&lt;=$U9,IF(AND(6&gt;=$T9,6&lt;=$U9),1,0),IF(OR(6&gt;=$T9,6&lt;=$U9),1,0)))=1,"H","")))</f>
        <v/>
      </c>
      <c r="I9" s="28">
        <f>IF(B9="","",TRIM(IF(IF(OR($P9=0,$Q9=0),0,IF($P9&lt;=$Q9,IF(AND(7&gt;=$P9,7&lt;=$Q9),1,0),IF(OR(7&gt;=$P9,7&lt;=$Q9),1,0)))=1,"S ","")&amp;IF(IF(OR($R9=0,$S9=0),0,IF($R9&lt;=$S9,IF(AND(7&gt;=$R9,7&lt;=$S9),1,0),IF(OR(7&gt;=$R9,7&lt;=$S9),1,0)))=1,"P ","")&amp;IF(IF(OR($T9=0,$U9=0),0,IF($T9&lt;=$U9,IF(AND(7&gt;=$T9,7&lt;=$U9),1,0),IF(OR(7&gt;=$T9,7&lt;=$U9),1,0)))=1,"H","")))</f>
        <v/>
      </c>
      <c r="J9" s="28">
        <f>IF(B9="","",TRIM(IF(IF(OR($P9=0,$Q9=0),0,IF($P9&lt;=$Q9,IF(AND(8&gt;=$P9,8&lt;=$Q9),1,0),IF(OR(8&gt;=$P9,8&lt;=$Q9),1,0)))=1,"S ","")&amp;IF(IF(OR($R9=0,$S9=0),0,IF($R9&lt;=$S9,IF(AND(8&gt;=$R9,8&lt;=$S9),1,0),IF(OR(8&gt;=$R9,8&lt;=$S9),1,0)))=1,"P ","")&amp;IF(IF(OR($T9=0,$U9=0),0,IF($T9&lt;=$U9,IF(AND(8&gt;=$T9,8&lt;=$U9),1,0),IF(OR(8&gt;=$T9,8&lt;=$U9),1,0)))=1,"H","")))</f>
        <v/>
      </c>
      <c r="K9" s="28">
        <f>IF(B9="","",TRIM(IF(IF(OR($P9=0,$Q9=0),0,IF($P9&lt;=$Q9,IF(AND(9&gt;=$P9,9&lt;=$Q9),1,0),IF(OR(9&gt;=$P9,9&lt;=$Q9),1,0)))=1,"S ","")&amp;IF(IF(OR($R9=0,$S9=0),0,IF($R9&lt;=$S9,IF(AND(9&gt;=$R9,9&lt;=$S9),1,0),IF(OR(9&gt;=$R9,9&lt;=$S9),1,0)))=1,"P ","")&amp;IF(IF(OR($T9=0,$U9=0),0,IF($T9&lt;=$U9,IF(AND(9&gt;=$T9,9&lt;=$U9),1,0),IF(OR(9&gt;=$T9,9&lt;=$U9),1,0)))=1,"H","")))</f>
        <v/>
      </c>
      <c r="L9" s="28">
        <f>IF(B9="","",TRIM(IF(IF(OR($P9=0,$Q9=0),0,IF($P9&lt;=$Q9,IF(AND(10&gt;=$P9,10&lt;=$Q9),1,0),IF(OR(10&gt;=$P9,10&lt;=$Q9),1,0)))=1,"S ","")&amp;IF(IF(OR($R9=0,$S9=0),0,IF($R9&lt;=$S9,IF(AND(10&gt;=$R9,10&lt;=$S9),1,0),IF(OR(10&gt;=$R9,10&lt;=$S9),1,0)))=1,"P ","")&amp;IF(IF(OR($T9=0,$U9=0),0,IF($T9&lt;=$U9,IF(AND(10&gt;=$T9,10&lt;=$U9),1,0),IF(OR(10&gt;=$T9,10&lt;=$U9),1,0)))=1,"H","")))</f>
        <v/>
      </c>
      <c r="M9" s="28">
        <f>IF(B9="","",TRIM(IF(IF(OR($P9=0,$Q9=0),0,IF($P9&lt;=$Q9,IF(AND(11&gt;=$P9,11&lt;=$Q9),1,0),IF(OR(11&gt;=$P9,11&lt;=$Q9),1,0)))=1,"S ","")&amp;IF(IF(OR($R9=0,$S9=0),0,IF($R9&lt;=$S9,IF(AND(11&gt;=$R9,11&lt;=$S9),1,0),IF(OR(11&gt;=$R9,11&lt;=$S9),1,0)))=1,"P ","")&amp;IF(IF(OR($T9=0,$U9=0),0,IF($T9&lt;=$U9,IF(AND(11&gt;=$T9,11&lt;=$U9),1,0),IF(OR(11&gt;=$T9,11&lt;=$U9),1,0)))=1,"H","")))</f>
        <v/>
      </c>
      <c r="N9" s="28">
        <f>IF(B9="","",TRIM(IF(IF(OR($P9=0,$Q9=0),0,IF($P9&lt;=$Q9,IF(AND(12&gt;=$P9,12&lt;=$Q9),1,0),IF(OR(12&gt;=$P9,12&lt;=$Q9),1,0)))=1,"S ","")&amp;IF(IF(OR($R9=0,$S9=0),0,IF($R9&lt;=$S9,IF(AND(12&gt;=$R9,12&lt;=$S9),1,0),IF(OR(12&gt;=$R9,12&lt;=$S9),1,0)))=1,"P ","")&amp;IF(IF(OR($T9=0,$U9=0),0,IF($T9&lt;=$U9,IF(AND(12&gt;=$T9,12&lt;=$U9),1,0),IF(OR(12&gt;=$T9,12&lt;=$U9),1,0)))=1,"H","")))</f>
        <v/>
      </c>
      <c r="O9" s="1" t="n"/>
      <c r="P9">
        <f>N(INDEX(Crops!$R$6:$R$65,4))</f>
        <v/>
      </c>
      <c r="Q9">
        <f>N(INDEX(Crops!$S$6:$S$65,4))</f>
        <v/>
      </c>
      <c r="R9">
        <f>N(INDEX(Crops!$T$6:$T$65,4))</f>
        <v/>
      </c>
      <c r="S9">
        <f>N(INDEX(Crops!$U$6:$U$65,4))</f>
        <v/>
      </c>
      <c r="T9">
        <f>N(INDEX(Crops!$V$6:$V$65,4))</f>
        <v/>
      </c>
      <c r="U9">
        <f>N(INDEX(Crops!$W$6:$W$65,4))</f>
        <v/>
      </c>
    </row>
    <row r="10" ht="16" customHeight="1">
      <c r="A10" s="1" t="n"/>
      <c r="B10" s="9">
        <f>IF(INDEX(Crops!$B$6:$B$65,5)="","",INDEX(Crops!$B$6:$B$65,5))</f>
        <v/>
      </c>
      <c r="C10" s="28">
        <f>IF(B10="","",TRIM(IF(IF(OR($P10=0,$Q10=0),0,IF($P10&lt;=$Q10,IF(AND(1&gt;=$P10,1&lt;=$Q10),1,0),IF(OR(1&gt;=$P10,1&lt;=$Q10),1,0)))=1,"S ","")&amp;IF(IF(OR($R10=0,$S10=0),0,IF($R10&lt;=$S10,IF(AND(1&gt;=$R10,1&lt;=$S10),1,0),IF(OR(1&gt;=$R10,1&lt;=$S10),1,0)))=1,"P ","")&amp;IF(IF(OR($T10=0,$U10=0),0,IF($T10&lt;=$U10,IF(AND(1&gt;=$T10,1&lt;=$U10),1,0),IF(OR(1&gt;=$T10,1&lt;=$U10),1,0)))=1,"H","")))</f>
        <v/>
      </c>
      <c r="D10" s="28">
        <f>IF(B10="","",TRIM(IF(IF(OR($P10=0,$Q10=0),0,IF($P10&lt;=$Q10,IF(AND(2&gt;=$P10,2&lt;=$Q10),1,0),IF(OR(2&gt;=$P10,2&lt;=$Q10),1,0)))=1,"S ","")&amp;IF(IF(OR($R10=0,$S10=0),0,IF($R10&lt;=$S10,IF(AND(2&gt;=$R10,2&lt;=$S10),1,0),IF(OR(2&gt;=$R10,2&lt;=$S10),1,0)))=1,"P ","")&amp;IF(IF(OR($T10=0,$U10=0),0,IF($T10&lt;=$U10,IF(AND(2&gt;=$T10,2&lt;=$U10),1,0),IF(OR(2&gt;=$T10,2&lt;=$U10),1,0)))=1,"H","")))</f>
        <v/>
      </c>
      <c r="E10" s="28">
        <f>IF(B10="","",TRIM(IF(IF(OR($P10=0,$Q10=0),0,IF($P10&lt;=$Q10,IF(AND(3&gt;=$P10,3&lt;=$Q10),1,0),IF(OR(3&gt;=$P10,3&lt;=$Q10),1,0)))=1,"S ","")&amp;IF(IF(OR($R10=0,$S10=0),0,IF($R10&lt;=$S10,IF(AND(3&gt;=$R10,3&lt;=$S10),1,0),IF(OR(3&gt;=$R10,3&lt;=$S10),1,0)))=1,"P ","")&amp;IF(IF(OR($T10=0,$U10=0),0,IF($T10&lt;=$U10,IF(AND(3&gt;=$T10,3&lt;=$U10),1,0),IF(OR(3&gt;=$T10,3&lt;=$U10),1,0)))=1,"H","")))</f>
        <v/>
      </c>
      <c r="F10" s="28">
        <f>IF(B10="","",TRIM(IF(IF(OR($P10=0,$Q10=0),0,IF($P10&lt;=$Q10,IF(AND(4&gt;=$P10,4&lt;=$Q10),1,0),IF(OR(4&gt;=$P10,4&lt;=$Q10),1,0)))=1,"S ","")&amp;IF(IF(OR($R10=0,$S10=0),0,IF($R10&lt;=$S10,IF(AND(4&gt;=$R10,4&lt;=$S10),1,0),IF(OR(4&gt;=$R10,4&lt;=$S10),1,0)))=1,"P ","")&amp;IF(IF(OR($T10=0,$U10=0),0,IF($T10&lt;=$U10,IF(AND(4&gt;=$T10,4&lt;=$U10),1,0),IF(OR(4&gt;=$T10,4&lt;=$U10),1,0)))=1,"H","")))</f>
        <v/>
      </c>
      <c r="G10" s="28">
        <f>IF(B10="","",TRIM(IF(IF(OR($P10=0,$Q10=0),0,IF($P10&lt;=$Q10,IF(AND(5&gt;=$P10,5&lt;=$Q10),1,0),IF(OR(5&gt;=$P10,5&lt;=$Q10),1,0)))=1,"S ","")&amp;IF(IF(OR($R10=0,$S10=0),0,IF($R10&lt;=$S10,IF(AND(5&gt;=$R10,5&lt;=$S10),1,0),IF(OR(5&gt;=$R10,5&lt;=$S10),1,0)))=1,"P ","")&amp;IF(IF(OR($T10=0,$U10=0),0,IF($T10&lt;=$U10,IF(AND(5&gt;=$T10,5&lt;=$U10),1,0),IF(OR(5&gt;=$T10,5&lt;=$U10),1,0)))=1,"H","")))</f>
        <v/>
      </c>
      <c r="H10" s="28">
        <f>IF(B10="","",TRIM(IF(IF(OR($P10=0,$Q10=0),0,IF($P10&lt;=$Q10,IF(AND(6&gt;=$P10,6&lt;=$Q10),1,0),IF(OR(6&gt;=$P10,6&lt;=$Q10),1,0)))=1,"S ","")&amp;IF(IF(OR($R10=0,$S10=0),0,IF($R10&lt;=$S10,IF(AND(6&gt;=$R10,6&lt;=$S10),1,0),IF(OR(6&gt;=$R10,6&lt;=$S10),1,0)))=1,"P ","")&amp;IF(IF(OR($T10=0,$U10=0),0,IF($T10&lt;=$U10,IF(AND(6&gt;=$T10,6&lt;=$U10),1,0),IF(OR(6&gt;=$T10,6&lt;=$U10),1,0)))=1,"H","")))</f>
        <v/>
      </c>
      <c r="I10" s="28">
        <f>IF(B10="","",TRIM(IF(IF(OR($P10=0,$Q10=0),0,IF($P10&lt;=$Q10,IF(AND(7&gt;=$P10,7&lt;=$Q10),1,0),IF(OR(7&gt;=$P10,7&lt;=$Q10),1,0)))=1,"S ","")&amp;IF(IF(OR($R10=0,$S10=0),0,IF($R10&lt;=$S10,IF(AND(7&gt;=$R10,7&lt;=$S10),1,0),IF(OR(7&gt;=$R10,7&lt;=$S10),1,0)))=1,"P ","")&amp;IF(IF(OR($T10=0,$U10=0),0,IF($T10&lt;=$U10,IF(AND(7&gt;=$T10,7&lt;=$U10),1,0),IF(OR(7&gt;=$T10,7&lt;=$U10),1,0)))=1,"H","")))</f>
        <v/>
      </c>
      <c r="J10" s="28">
        <f>IF(B10="","",TRIM(IF(IF(OR($P10=0,$Q10=0),0,IF($P10&lt;=$Q10,IF(AND(8&gt;=$P10,8&lt;=$Q10),1,0),IF(OR(8&gt;=$P10,8&lt;=$Q10),1,0)))=1,"S ","")&amp;IF(IF(OR($R10=0,$S10=0),0,IF($R10&lt;=$S10,IF(AND(8&gt;=$R10,8&lt;=$S10),1,0),IF(OR(8&gt;=$R10,8&lt;=$S10),1,0)))=1,"P ","")&amp;IF(IF(OR($T10=0,$U10=0),0,IF($T10&lt;=$U10,IF(AND(8&gt;=$T10,8&lt;=$U10),1,0),IF(OR(8&gt;=$T10,8&lt;=$U10),1,0)))=1,"H","")))</f>
        <v/>
      </c>
      <c r="K10" s="28">
        <f>IF(B10="","",TRIM(IF(IF(OR($P10=0,$Q10=0),0,IF($P10&lt;=$Q10,IF(AND(9&gt;=$P10,9&lt;=$Q10),1,0),IF(OR(9&gt;=$P10,9&lt;=$Q10),1,0)))=1,"S ","")&amp;IF(IF(OR($R10=0,$S10=0),0,IF($R10&lt;=$S10,IF(AND(9&gt;=$R10,9&lt;=$S10),1,0),IF(OR(9&gt;=$R10,9&lt;=$S10),1,0)))=1,"P ","")&amp;IF(IF(OR($T10=0,$U10=0),0,IF($T10&lt;=$U10,IF(AND(9&gt;=$T10,9&lt;=$U10),1,0),IF(OR(9&gt;=$T10,9&lt;=$U10),1,0)))=1,"H","")))</f>
        <v/>
      </c>
      <c r="L10" s="28">
        <f>IF(B10="","",TRIM(IF(IF(OR($P10=0,$Q10=0),0,IF($P10&lt;=$Q10,IF(AND(10&gt;=$P10,10&lt;=$Q10),1,0),IF(OR(10&gt;=$P10,10&lt;=$Q10),1,0)))=1,"S ","")&amp;IF(IF(OR($R10=0,$S10=0),0,IF($R10&lt;=$S10,IF(AND(10&gt;=$R10,10&lt;=$S10),1,0),IF(OR(10&gt;=$R10,10&lt;=$S10),1,0)))=1,"P ","")&amp;IF(IF(OR($T10=0,$U10=0),0,IF($T10&lt;=$U10,IF(AND(10&gt;=$T10,10&lt;=$U10),1,0),IF(OR(10&gt;=$T10,10&lt;=$U10),1,0)))=1,"H","")))</f>
        <v/>
      </c>
      <c r="M10" s="28">
        <f>IF(B10="","",TRIM(IF(IF(OR($P10=0,$Q10=0),0,IF($P10&lt;=$Q10,IF(AND(11&gt;=$P10,11&lt;=$Q10),1,0),IF(OR(11&gt;=$P10,11&lt;=$Q10),1,0)))=1,"S ","")&amp;IF(IF(OR($R10=0,$S10=0),0,IF($R10&lt;=$S10,IF(AND(11&gt;=$R10,11&lt;=$S10),1,0),IF(OR(11&gt;=$R10,11&lt;=$S10),1,0)))=1,"P ","")&amp;IF(IF(OR($T10=0,$U10=0),0,IF($T10&lt;=$U10,IF(AND(11&gt;=$T10,11&lt;=$U10),1,0),IF(OR(11&gt;=$T10,11&lt;=$U10),1,0)))=1,"H","")))</f>
        <v/>
      </c>
      <c r="N10" s="28">
        <f>IF(B10="","",TRIM(IF(IF(OR($P10=0,$Q10=0),0,IF($P10&lt;=$Q10,IF(AND(12&gt;=$P10,12&lt;=$Q10),1,0),IF(OR(12&gt;=$P10,12&lt;=$Q10),1,0)))=1,"S ","")&amp;IF(IF(OR($R10=0,$S10=0),0,IF($R10&lt;=$S10,IF(AND(12&gt;=$R10,12&lt;=$S10),1,0),IF(OR(12&gt;=$R10,12&lt;=$S10),1,0)))=1,"P ","")&amp;IF(IF(OR($T10=0,$U10=0),0,IF($T10&lt;=$U10,IF(AND(12&gt;=$T10,12&lt;=$U10),1,0),IF(OR(12&gt;=$T10,12&lt;=$U10),1,0)))=1,"H","")))</f>
        <v/>
      </c>
      <c r="O10" s="1" t="n"/>
      <c r="P10">
        <f>N(INDEX(Crops!$R$6:$R$65,5))</f>
        <v/>
      </c>
      <c r="Q10">
        <f>N(INDEX(Crops!$S$6:$S$65,5))</f>
        <v/>
      </c>
      <c r="R10">
        <f>N(INDEX(Crops!$T$6:$T$65,5))</f>
        <v/>
      </c>
      <c r="S10">
        <f>N(INDEX(Crops!$U$6:$U$65,5))</f>
        <v/>
      </c>
      <c r="T10">
        <f>N(INDEX(Crops!$V$6:$V$65,5))</f>
        <v/>
      </c>
      <c r="U10">
        <f>N(INDEX(Crops!$W$6:$W$65,5))</f>
        <v/>
      </c>
    </row>
    <row r="11" ht="16" customHeight="1">
      <c r="A11" s="1" t="n"/>
      <c r="B11" s="9">
        <f>IF(INDEX(Crops!$B$6:$B$65,6)="","",INDEX(Crops!$B$6:$B$65,6))</f>
        <v/>
      </c>
      <c r="C11" s="28">
        <f>IF(B11="","",TRIM(IF(IF(OR($P11=0,$Q11=0),0,IF($P11&lt;=$Q11,IF(AND(1&gt;=$P11,1&lt;=$Q11),1,0),IF(OR(1&gt;=$P11,1&lt;=$Q11),1,0)))=1,"S ","")&amp;IF(IF(OR($R11=0,$S11=0),0,IF($R11&lt;=$S11,IF(AND(1&gt;=$R11,1&lt;=$S11),1,0),IF(OR(1&gt;=$R11,1&lt;=$S11),1,0)))=1,"P ","")&amp;IF(IF(OR($T11=0,$U11=0),0,IF($T11&lt;=$U11,IF(AND(1&gt;=$T11,1&lt;=$U11),1,0),IF(OR(1&gt;=$T11,1&lt;=$U11),1,0)))=1,"H","")))</f>
        <v/>
      </c>
      <c r="D11" s="28">
        <f>IF(B11="","",TRIM(IF(IF(OR($P11=0,$Q11=0),0,IF($P11&lt;=$Q11,IF(AND(2&gt;=$P11,2&lt;=$Q11),1,0),IF(OR(2&gt;=$P11,2&lt;=$Q11),1,0)))=1,"S ","")&amp;IF(IF(OR($R11=0,$S11=0),0,IF($R11&lt;=$S11,IF(AND(2&gt;=$R11,2&lt;=$S11),1,0),IF(OR(2&gt;=$R11,2&lt;=$S11),1,0)))=1,"P ","")&amp;IF(IF(OR($T11=0,$U11=0),0,IF($T11&lt;=$U11,IF(AND(2&gt;=$T11,2&lt;=$U11),1,0),IF(OR(2&gt;=$T11,2&lt;=$U11),1,0)))=1,"H","")))</f>
        <v/>
      </c>
      <c r="E11" s="28">
        <f>IF(B11="","",TRIM(IF(IF(OR($P11=0,$Q11=0),0,IF($P11&lt;=$Q11,IF(AND(3&gt;=$P11,3&lt;=$Q11),1,0),IF(OR(3&gt;=$P11,3&lt;=$Q11),1,0)))=1,"S ","")&amp;IF(IF(OR($R11=0,$S11=0),0,IF($R11&lt;=$S11,IF(AND(3&gt;=$R11,3&lt;=$S11),1,0),IF(OR(3&gt;=$R11,3&lt;=$S11),1,0)))=1,"P ","")&amp;IF(IF(OR($T11=0,$U11=0),0,IF($T11&lt;=$U11,IF(AND(3&gt;=$T11,3&lt;=$U11),1,0),IF(OR(3&gt;=$T11,3&lt;=$U11),1,0)))=1,"H","")))</f>
        <v/>
      </c>
      <c r="F11" s="28">
        <f>IF(B11="","",TRIM(IF(IF(OR($P11=0,$Q11=0),0,IF($P11&lt;=$Q11,IF(AND(4&gt;=$P11,4&lt;=$Q11),1,0),IF(OR(4&gt;=$P11,4&lt;=$Q11),1,0)))=1,"S ","")&amp;IF(IF(OR($R11=0,$S11=0),0,IF($R11&lt;=$S11,IF(AND(4&gt;=$R11,4&lt;=$S11),1,0),IF(OR(4&gt;=$R11,4&lt;=$S11),1,0)))=1,"P ","")&amp;IF(IF(OR($T11=0,$U11=0),0,IF($T11&lt;=$U11,IF(AND(4&gt;=$T11,4&lt;=$U11),1,0),IF(OR(4&gt;=$T11,4&lt;=$U11),1,0)))=1,"H","")))</f>
        <v/>
      </c>
      <c r="G11" s="28">
        <f>IF(B11="","",TRIM(IF(IF(OR($P11=0,$Q11=0),0,IF($P11&lt;=$Q11,IF(AND(5&gt;=$P11,5&lt;=$Q11),1,0),IF(OR(5&gt;=$P11,5&lt;=$Q11),1,0)))=1,"S ","")&amp;IF(IF(OR($R11=0,$S11=0),0,IF($R11&lt;=$S11,IF(AND(5&gt;=$R11,5&lt;=$S11),1,0),IF(OR(5&gt;=$R11,5&lt;=$S11),1,0)))=1,"P ","")&amp;IF(IF(OR($T11=0,$U11=0),0,IF($T11&lt;=$U11,IF(AND(5&gt;=$T11,5&lt;=$U11),1,0),IF(OR(5&gt;=$T11,5&lt;=$U11),1,0)))=1,"H","")))</f>
        <v/>
      </c>
      <c r="H11" s="28">
        <f>IF(B11="","",TRIM(IF(IF(OR($P11=0,$Q11=0),0,IF($P11&lt;=$Q11,IF(AND(6&gt;=$P11,6&lt;=$Q11),1,0),IF(OR(6&gt;=$P11,6&lt;=$Q11),1,0)))=1,"S ","")&amp;IF(IF(OR($R11=0,$S11=0),0,IF($R11&lt;=$S11,IF(AND(6&gt;=$R11,6&lt;=$S11),1,0),IF(OR(6&gt;=$R11,6&lt;=$S11),1,0)))=1,"P ","")&amp;IF(IF(OR($T11=0,$U11=0),0,IF($T11&lt;=$U11,IF(AND(6&gt;=$T11,6&lt;=$U11),1,0),IF(OR(6&gt;=$T11,6&lt;=$U11),1,0)))=1,"H","")))</f>
        <v/>
      </c>
      <c r="I11" s="28">
        <f>IF(B11="","",TRIM(IF(IF(OR($P11=0,$Q11=0),0,IF($P11&lt;=$Q11,IF(AND(7&gt;=$P11,7&lt;=$Q11),1,0),IF(OR(7&gt;=$P11,7&lt;=$Q11),1,0)))=1,"S ","")&amp;IF(IF(OR($R11=0,$S11=0),0,IF($R11&lt;=$S11,IF(AND(7&gt;=$R11,7&lt;=$S11),1,0),IF(OR(7&gt;=$R11,7&lt;=$S11),1,0)))=1,"P ","")&amp;IF(IF(OR($T11=0,$U11=0),0,IF($T11&lt;=$U11,IF(AND(7&gt;=$T11,7&lt;=$U11),1,0),IF(OR(7&gt;=$T11,7&lt;=$U11),1,0)))=1,"H","")))</f>
        <v/>
      </c>
      <c r="J11" s="28">
        <f>IF(B11="","",TRIM(IF(IF(OR($P11=0,$Q11=0),0,IF($P11&lt;=$Q11,IF(AND(8&gt;=$P11,8&lt;=$Q11),1,0),IF(OR(8&gt;=$P11,8&lt;=$Q11),1,0)))=1,"S ","")&amp;IF(IF(OR($R11=0,$S11=0),0,IF($R11&lt;=$S11,IF(AND(8&gt;=$R11,8&lt;=$S11),1,0),IF(OR(8&gt;=$R11,8&lt;=$S11),1,0)))=1,"P ","")&amp;IF(IF(OR($T11=0,$U11=0),0,IF($T11&lt;=$U11,IF(AND(8&gt;=$T11,8&lt;=$U11),1,0),IF(OR(8&gt;=$T11,8&lt;=$U11),1,0)))=1,"H","")))</f>
        <v/>
      </c>
      <c r="K11" s="28">
        <f>IF(B11="","",TRIM(IF(IF(OR($P11=0,$Q11=0),0,IF($P11&lt;=$Q11,IF(AND(9&gt;=$P11,9&lt;=$Q11),1,0),IF(OR(9&gt;=$P11,9&lt;=$Q11),1,0)))=1,"S ","")&amp;IF(IF(OR($R11=0,$S11=0),0,IF($R11&lt;=$S11,IF(AND(9&gt;=$R11,9&lt;=$S11),1,0),IF(OR(9&gt;=$R11,9&lt;=$S11),1,0)))=1,"P ","")&amp;IF(IF(OR($T11=0,$U11=0),0,IF($T11&lt;=$U11,IF(AND(9&gt;=$T11,9&lt;=$U11),1,0),IF(OR(9&gt;=$T11,9&lt;=$U11),1,0)))=1,"H","")))</f>
        <v/>
      </c>
      <c r="L11" s="28">
        <f>IF(B11="","",TRIM(IF(IF(OR($P11=0,$Q11=0),0,IF($P11&lt;=$Q11,IF(AND(10&gt;=$P11,10&lt;=$Q11),1,0),IF(OR(10&gt;=$P11,10&lt;=$Q11),1,0)))=1,"S ","")&amp;IF(IF(OR($R11=0,$S11=0),0,IF($R11&lt;=$S11,IF(AND(10&gt;=$R11,10&lt;=$S11),1,0),IF(OR(10&gt;=$R11,10&lt;=$S11),1,0)))=1,"P ","")&amp;IF(IF(OR($T11=0,$U11=0),0,IF($T11&lt;=$U11,IF(AND(10&gt;=$T11,10&lt;=$U11),1,0),IF(OR(10&gt;=$T11,10&lt;=$U11),1,0)))=1,"H","")))</f>
        <v/>
      </c>
      <c r="M11" s="28">
        <f>IF(B11="","",TRIM(IF(IF(OR($P11=0,$Q11=0),0,IF($P11&lt;=$Q11,IF(AND(11&gt;=$P11,11&lt;=$Q11),1,0),IF(OR(11&gt;=$P11,11&lt;=$Q11),1,0)))=1,"S ","")&amp;IF(IF(OR($R11=0,$S11=0),0,IF($R11&lt;=$S11,IF(AND(11&gt;=$R11,11&lt;=$S11),1,0),IF(OR(11&gt;=$R11,11&lt;=$S11),1,0)))=1,"P ","")&amp;IF(IF(OR($T11=0,$U11=0),0,IF($T11&lt;=$U11,IF(AND(11&gt;=$T11,11&lt;=$U11),1,0),IF(OR(11&gt;=$T11,11&lt;=$U11),1,0)))=1,"H","")))</f>
        <v/>
      </c>
      <c r="N11" s="28">
        <f>IF(B11="","",TRIM(IF(IF(OR($P11=0,$Q11=0),0,IF($P11&lt;=$Q11,IF(AND(12&gt;=$P11,12&lt;=$Q11),1,0),IF(OR(12&gt;=$P11,12&lt;=$Q11),1,0)))=1,"S ","")&amp;IF(IF(OR($R11=0,$S11=0),0,IF($R11&lt;=$S11,IF(AND(12&gt;=$R11,12&lt;=$S11),1,0),IF(OR(12&gt;=$R11,12&lt;=$S11),1,0)))=1,"P ","")&amp;IF(IF(OR($T11=0,$U11=0),0,IF($T11&lt;=$U11,IF(AND(12&gt;=$T11,12&lt;=$U11),1,0),IF(OR(12&gt;=$T11,12&lt;=$U11),1,0)))=1,"H","")))</f>
        <v/>
      </c>
      <c r="O11" s="1" t="n"/>
      <c r="P11">
        <f>N(INDEX(Crops!$R$6:$R$65,6))</f>
        <v/>
      </c>
      <c r="Q11">
        <f>N(INDEX(Crops!$S$6:$S$65,6))</f>
        <v/>
      </c>
      <c r="R11">
        <f>N(INDEX(Crops!$T$6:$T$65,6))</f>
        <v/>
      </c>
      <c r="S11">
        <f>N(INDEX(Crops!$U$6:$U$65,6))</f>
        <v/>
      </c>
      <c r="T11">
        <f>N(INDEX(Crops!$V$6:$V$65,6))</f>
        <v/>
      </c>
      <c r="U11">
        <f>N(INDEX(Crops!$W$6:$W$65,6))</f>
        <v/>
      </c>
    </row>
    <row r="12" ht="16" customHeight="1">
      <c r="A12" s="1" t="n"/>
      <c r="B12" s="9">
        <f>IF(INDEX(Crops!$B$6:$B$65,7)="","",INDEX(Crops!$B$6:$B$65,7))</f>
        <v/>
      </c>
      <c r="C12" s="28">
        <f>IF(B12="","",TRIM(IF(IF(OR($P12=0,$Q12=0),0,IF($P12&lt;=$Q12,IF(AND(1&gt;=$P12,1&lt;=$Q12),1,0),IF(OR(1&gt;=$P12,1&lt;=$Q12),1,0)))=1,"S ","")&amp;IF(IF(OR($R12=0,$S12=0),0,IF($R12&lt;=$S12,IF(AND(1&gt;=$R12,1&lt;=$S12),1,0),IF(OR(1&gt;=$R12,1&lt;=$S12),1,0)))=1,"P ","")&amp;IF(IF(OR($T12=0,$U12=0),0,IF($T12&lt;=$U12,IF(AND(1&gt;=$T12,1&lt;=$U12),1,0),IF(OR(1&gt;=$T12,1&lt;=$U12),1,0)))=1,"H","")))</f>
        <v/>
      </c>
      <c r="D12" s="28">
        <f>IF(B12="","",TRIM(IF(IF(OR($P12=0,$Q12=0),0,IF($P12&lt;=$Q12,IF(AND(2&gt;=$P12,2&lt;=$Q12),1,0),IF(OR(2&gt;=$P12,2&lt;=$Q12),1,0)))=1,"S ","")&amp;IF(IF(OR($R12=0,$S12=0),0,IF($R12&lt;=$S12,IF(AND(2&gt;=$R12,2&lt;=$S12),1,0),IF(OR(2&gt;=$R12,2&lt;=$S12),1,0)))=1,"P ","")&amp;IF(IF(OR($T12=0,$U12=0),0,IF($T12&lt;=$U12,IF(AND(2&gt;=$T12,2&lt;=$U12),1,0),IF(OR(2&gt;=$T12,2&lt;=$U12),1,0)))=1,"H","")))</f>
        <v/>
      </c>
      <c r="E12" s="28">
        <f>IF(B12="","",TRIM(IF(IF(OR($P12=0,$Q12=0),0,IF($P12&lt;=$Q12,IF(AND(3&gt;=$P12,3&lt;=$Q12),1,0),IF(OR(3&gt;=$P12,3&lt;=$Q12),1,0)))=1,"S ","")&amp;IF(IF(OR($R12=0,$S12=0),0,IF($R12&lt;=$S12,IF(AND(3&gt;=$R12,3&lt;=$S12),1,0),IF(OR(3&gt;=$R12,3&lt;=$S12),1,0)))=1,"P ","")&amp;IF(IF(OR($T12=0,$U12=0),0,IF($T12&lt;=$U12,IF(AND(3&gt;=$T12,3&lt;=$U12),1,0),IF(OR(3&gt;=$T12,3&lt;=$U12),1,0)))=1,"H","")))</f>
        <v/>
      </c>
      <c r="F12" s="28">
        <f>IF(B12="","",TRIM(IF(IF(OR($P12=0,$Q12=0),0,IF($P12&lt;=$Q12,IF(AND(4&gt;=$P12,4&lt;=$Q12),1,0),IF(OR(4&gt;=$P12,4&lt;=$Q12),1,0)))=1,"S ","")&amp;IF(IF(OR($R12=0,$S12=0),0,IF($R12&lt;=$S12,IF(AND(4&gt;=$R12,4&lt;=$S12),1,0),IF(OR(4&gt;=$R12,4&lt;=$S12),1,0)))=1,"P ","")&amp;IF(IF(OR($T12=0,$U12=0),0,IF($T12&lt;=$U12,IF(AND(4&gt;=$T12,4&lt;=$U12),1,0),IF(OR(4&gt;=$T12,4&lt;=$U12),1,0)))=1,"H","")))</f>
        <v/>
      </c>
      <c r="G12" s="28">
        <f>IF(B12="","",TRIM(IF(IF(OR($P12=0,$Q12=0),0,IF($P12&lt;=$Q12,IF(AND(5&gt;=$P12,5&lt;=$Q12),1,0),IF(OR(5&gt;=$P12,5&lt;=$Q12),1,0)))=1,"S ","")&amp;IF(IF(OR($R12=0,$S12=0),0,IF($R12&lt;=$S12,IF(AND(5&gt;=$R12,5&lt;=$S12),1,0),IF(OR(5&gt;=$R12,5&lt;=$S12),1,0)))=1,"P ","")&amp;IF(IF(OR($T12=0,$U12=0),0,IF($T12&lt;=$U12,IF(AND(5&gt;=$T12,5&lt;=$U12),1,0),IF(OR(5&gt;=$T12,5&lt;=$U12),1,0)))=1,"H","")))</f>
        <v/>
      </c>
      <c r="H12" s="28">
        <f>IF(B12="","",TRIM(IF(IF(OR($P12=0,$Q12=0),0,IF($P12&lt;=$Q12,IF(AND(6&gt;=$P12,6&lt;=$Q12),1,0),IF(OR(6&gt;=$P12,6&lt;=$Q12),1,0)))=1,"S ","")&amp;IF(IF(OR($R12=0,$S12=0),0,IF($R12&lt;=$S12,IF(AND(6&gt;=$R12,6&lt;=$S12),1,0),IF(OR(6&gt;=$R12,6&lt;=$S12),1,0)))=1,"P ","")&amp;IF(IF(OR($T12=0,$U12=0),0,IF($T12&lt;=$U12,IF(AND(6&gt;=$T12,6&lt;=$U12),1,0),IF(OR(6&gt;=$T12,6&lt;=$U12),1,0)))=1,"H","")))</f>
        <v/>
      </c>
      <c r="I12" s="28">
        <f>IF(B12="","",TRIM(IF(IF(OR($P12=0,$Q12=0),0,IF($P12&lt;=$Q12,IF(AND(7&gt;=$P12,7&lt;=$Q12),1,0),IF(OR(7&gt;=$P12,7&lt;=$Q12),1,0)))=1,"S ","")&amp;IF(IF(OR($R12=0,$S12=0),0,IF($R12&lt;=$S12,IF(AND(7&gt;=$R12,7&lt;=$S12),1,0),IF(OR(7&gt;=$R12,7&lt;=$S12),1,0)))=1,"P ","")&amp;IF(IF(OR($T12=0,$U12=0),0,IF($T12&lt;=$U12,IF(AND(7&gt;=$T12,7&lt;=$U12),1,0),IF(OR(7&gt;=$T12,7&lt;=$U12),1,0)))=1,"H","")))</f>
        <v/>
      </c>
      <c r="J12" s="28">
        <f>IF(B12="","",TRIM(IF(IF(OR($P12=0,$Q12=0),0,IF($P12&lt;=$Q12,IF(AND(8&gt;=$P12,8&lt;=$Q12),1,0),IF(OR(8&gt;=$P12,8&lt;=$Q12),1,0)))=1,"S ","")&amp;IF(IF(OR($R12=0,$S12=0),0,IF($R12&lt;=$S12,IF(AND(8&gt;=$R12,8&lt;=$S12),1,0),IF(OR(8&gt;=$R12,8&lt;=$S12),1,0)))=1,"P ","")&amp;IF(IF(OR($T12=0,$U12=0),0,IF($T12&lt;=$U12,IF(AND(8&gt;=$T12,8&lt;=$U12),1,0),IF(OR(8&gt;=$T12,8&lt;=$U12),1,0)))=1,"H","")))</f>
        <v/>
      </c>
      <c r="K12" s="28">
        <f>IF(B12="","",TRIM(IF(IF(OR($P12=0,$Q12=0),0,IF($P12&lt;=$Q12,IF(AND(9&gt;=$P12,9&lt;=$Q12),1,0),IF(OR(9&gt;=$P12,9&lt;=$Q12),1,0)))=1,"S ","")&amp;IF(IF(OR($R12=0,$S12=0),0,IF($R12&lt;=$S12,IF(AND(9&gt;=$R12,9&lt;=$S12),1,0),IF(OR(9&gt;=$R12,9&lt;=$S12),1,0)))=1,"P ","")&amp;IF(IF(OR($T12=0,$U12=0),0,IF($T12&lt;=$U12,IF(AND(9&gt;=$T12,9&lt;=$U12),1,0),IF(OR(9&gt;=$T12,9&lt;=$U12),1,0)))=1,"H","")))</f>
        <v/>
      </c>
      <c r="L12" s="28">
        <f>IF(B12="","",TRIM(IF(IF(OR($P12=0,$Q12=0),0,IF($P12&lt;=$Q12,IF(AND(10&gt;=$P12,10&lt;=$Q12),1,0),IF(OR(10&gt;=$P12,10&lt;=$Q12),1,0)))=1,"S ","")&amp;IF(IF(OR($R12=0,$S12=0),0,IF($R12&lt;=$S12,IF(AND(10&gt;=$R12,10&lt;=$S12),1,0),IF(OR(10&gt;=$R12,10&lt;=$S12),1,0)))=1,"P ","")&amp;IF(IF(OR($T12=0,$U12=0),0,IF($T12&lt;=$U12,IF(AND(10&gt;=$T12,10&lt;=$U12),1,0),IF(OR(10&gt;=$T12,10&lt;=$U12),1,0)))=1,"H","")))</f>
        <v/>
      </c>
      <c r="M12" s="28">
        <f>IF(B12="","",TRIM(IF(IF(OR($P12=0,$Q12=0),0,IF($P12&lt;=$Q12,IF(AND(11&gt;=$P12,11&lt;=$Q12),1,0),IF(OR(11&gt;=$P12,11&lt;=$Q12),1,0)))=1,"S ","")&amp;IF(IF(OR($R12=0,$S12=0),0,IF($R12&lt;=$S12,IF(AND(11&gt;=$R12,11&lt;=$S12),1,0),IF(OR(11&gt;=$R12,11&lt;=$S12),1,0)))=1,"P ","")&amp;IF(IF(OR($T12=0,$U12=0),0,IF($T12&lt;=$U12,IF(AND(11&gt;=$T12,11&lt;=$U12),1,0),IF(OR(11&gt;=$T12,11&lt;=$U12),1,0)))=1,"H","")))</f>
        <v/>
      </c>
      <c r="N12" s="28">
        <f>IF(B12="","",TRIM(IF(IF(OR($P12=0,$Q12=0),0,IF($P12&lt;=$Q12,IF(AND(12&gt;=$P12,12&lt;=$Q12),1,0),IF(OR(12&gt;=$P12,12&lt;=$Q12),1,0)))=1,"S ","")&amp;IF(IF(OR($R12=0,$S12=0),0,IF($R12&lt;=$S12,IF(AND(12&gt;=$R12,12&lt;=$S12),1,0),IF(OR(12&gt;=$R12,12&lt;=$S12),1,0)))=1,"P ","")&amp;IF(IF(OR($T12=0,$U12=0),0,IF($T12&lt;=$U12,IF(AND(12&gt;=$T12,12&lt;=$U12),1,0),IF(OR(12&gt;=$T12,12&lt;=$U12),1,0)))=1,"H","")))</f>
        <v/>
      </c>
      <c r="O12" s="1" t="n"/>
      <c r="P12">
        <f>N(INDEX(Crops!$R$6:$R$65,7))</f>
        <v/>
      </c>
      <c r="Q12">
        <f>N(INDEX(Crops!$S$6:$S$65,7))</f>
        <v/>
      </c>
      <c r="R12">
        <f>N(INDEX(Crops!$T$6:$T$65,7))</f>
        <v/>
      </c>
      <c r="S12">
        <f>N(INDEX(Crops!$U$6:$U$65,7))</f>
        <v/>
      </c>
      <c r="T12">
        <f>N(INDEX(Crops!$V$6:$V$65,7))</f>
        <v/>
      </c>
      <c r="U12">
        <f>N(INDEX(Crops!$W$6:$W$65,7))</f>
        <v/>
      </c>
    </row>
    <row r="13" ht="16" customHeight="1">
      <c r="A13" s="1" t="n"/>
      <c r="B13" s="9">
        <f>IF(INDEX(Crops!$B$6:$B$65,8)="","",INDEX(Crops!$B$6:$B$65,8))</f>
        <v/>
      </c>
      <c r="C13" s="28">
        <f>IF(B13="","",TRIM(IF(IF(OR($P13=0,$Q13=0),0,IF($P13&lt;=$Q13,IF(AND(1&gt;=$P13,1&lt;=$Q13),1,0),IF(OR(1&gt;=$P13,1&lt;=$Q13),1,0)))=1,"S ","")&amp;IF(IF(OR($R13=0,$S13=0),0,IF($R13&lt;=$S13,IF(AND(1&gt;=$R13,1&lt;=$S13),1,0),IF(OR(1&gt;=$R13,1&lt;=$S13),1,0)))=1,"P ","")&amp;IF(IF(OR($T13=0,$U13=0),0,IF($T13&lt;=$U13,IF(AND(1&gt;=$T13,1&lt;=$U13),1,0),IF(OR(1&gt;=$T13,1&lt;=$U13),1,0)))=1,"H","")))</f>
        <v/>
      </c>
      <c r="D13" s="28">
        <f>IF(B13="","",TRIM(IF(IF(OR($P13=0,$Q13=0),0,IF($P13&lt;=$Q13,IF(AND(2&gt;=$P13,2&lt;=$Q13),1,0),IF(OR(2&gt;=$P13,2&lt;=$Q13),1,0)))=1,"S ","")&amp;IF(IF(OR($R13=0,$S13=0),0,IF($R13&lt;=$S13,IF(AND(2&gt;=$R13,2&lt;=$S13),1,0),IF(OR(2&gt;=$R13,2&lt;=$S13),1,0)))=1,"P ","")&amp;IF(IF(OR($T13=0,$U13=0),0,IF($T13&lt;=$U13,IF(AND(2&gt;=$T13,2&lt;=$U13),1,0),IF(OR(2&gt;=$T13,2&lt;=$U13),1,0)))=1,"H","")))</f>
        <v/>
      </c>
      <c r="E13" s="28">
        <f>IF(B13="","",TRIM(IF(IF(OR($P13=0,$Q13=0),0,IF($P13&lt;=$Q13,IF(AND(3&gt;=$P13,3&lt;=$Q13),1,0),IF(OR(3&gt;=$P13,3&lt;=$Q13),1,0)))=1,"S ","")&amp;IF(IF(OR($R13=0,$S13=0),0,IF($R13&lt;=$S13,IF(AND(3&gt;=$R13,3&lt;=$S13),1,0),IF(OR(3&gt;=$R13,3&lt;=$S13),1,0)))=1,"P ","")&amp;IF(IF(OR($T13=0,$U13=0),0,IF($T13&lt;=$U13,IF(AND(3&gt;=$T13,3&lt;=$U13),1,0),IF(OR(3&gt;=$T13,3&lt;=$U13),1,0)))=1,"H","")))</f>
        <v/>
      </c>
      <c r="F13" s="28">
        <f>IF(B13="","",TRIM(IF(IF(OR($P13=0,$Q13=0),0,IF($P13&lt;=$Q13,IF(AND(4&gt;=$P13,4&lt;=$Q13),1,0),IF(OR(4&gt;=$P13,4&lt;=$Q13),1,0)))=1,"S ","")&amp;IF(IF(OR($R13=0,$S13=0),0,IF($R13&lt;=$S13,IF(AND(4&gt;=$R13,4&lt;=$S13),1,0),IF(OR(4&gt;=$R13,4&lt;=$S13),1,0)))=1,"P ","")&amp;IF(IF(OR($T13=0,$U13=0),0,IF($T13&lt;=$U13,IF(AND(4&gt;=$T13,4&lt;=$U13),1,0),IF(OR(4&gt;=$T13,4&lt;=$U13),1,0)))=1,"H","")))</f>
        <v/>
      </c>
      <c r="G13" s="28">
        <f>IF(B13="","",TRIM(IF(IF(OR($P13=0,$Q13=0),0,IF($P13&lt;=$Q13,IF(AND(5&gt;=$P13,5&lt;=$Q13),1,0),IF(OR(5&gt;=$P13,5&lt;=$Q13),1,0)))=1,"S ","")&amp;IF(IF(OR($R13=0,$S13=0),0,IF($R13&lt;=$S13,IF(AND(5&gt;=$R13,5&lt;=$S13),1,0),IF(OR(5&gt;=$R13,5&lt;=$S13),1,0)))=1,"P ","")&amp;IF(IF(OR($T13=0,$U13=0),0,IF($T13&lt;=$U13,IF(AND(5&gt;=$T13,5&lt;=$U13),1,0),IF(OR(5&gt;=$T13,5&lt;=$U13),1,0)))=1,"H","")))</f>
        <v/>
      </c>
      <c r="H13" s="28">
        <f>IF(B13="","",TRIM(IF(IF(OR($P13=0,$Q13=0),0,IF($P13&lt;=$Q13,IF(AND(6&gt;=$P13,6&lt;=$Q13),1,0),IF(OR(6&gt;=$P13,6&lt;=$Q13),1,0)))=1,"S ","")&amp;IF(IF(OR($R13=0,$S13=0),0,IF($R13&lt;=$S13,IF(AND(6&gt;=$R13,6&lt;=$S13),1,0),IF(OR(6&gt;=$R13,6&lt;=$S13),1,0)))=1,"P ","")&amp;IF(IF(OR($T13=0,$U13=0),0,IF($T13&lt;=$U13,IF(AND(6&gt;=$T13,6&lt;=$U13),1,0),IF(OR(6&gt;=$T13,6&lt;=$U13),1,0)))=1,"H","")))</f>
        <v/>
      </c>
      <c r="I13" s="28">
        <f>IF(B13="","",TRIM(IF(IF(OR($P13=0,$Q13=0),0,IF($P13&lt;=$Q13,IF(AND(7&gt;=$P13,7&lt;=$Q13),1,0),IF(OR(7&gt;=$P13,7&lt;=$Q13),1,0)))=1,"S ","")&amp;IF(IF(OR($R13=0,$S13=0),0,IF($R13&lt;=$S13,IF(AND(7&gt;=$R13,7&lt;=$S13),1,0),IF(OR(7&gt;=$R13,7&lt;=$S13),1,0)))=1,"P ","")&amp;IF(IF(OR($T13=0,$U13=0),0,IF($T13&lt;=$U13,IF(AND(7&gt;=$T13,7&lt;=$U13),1,0),IF(OR(7&gt;=$T13,7&lt;=$U13),1,0)))=1,"H","")))</f>
        <v/>
      </c>
      <c r="J13" s="28">
        <f>IF(B13="","",TRIM(IF(IF(OR($P13=0,$Q13=0),0,IF($P13&lt;=$Q13,IF(AND(8&gt;=$P13,8&lt;=$Q13),1,0),IF(OR(8&gt;=$P13,8&lt;=$Q13),1,0)))=1,"S ","")&amp;IF(IF(OR($R13=0,$S13=0),0,IF($R13&lt;=$S13,IF(AND(8&gt;=$R13,8&lt;=$S13),1,0),IF(OR(8&gt;=$R13,8&lt;=$S13),1,0)))=1,"P ","")&amp;IF(IF(OR($T13=0,$U13=0),0,IF($T13&lt;=$U13,IF(AND(8&gt;=$T13,8&lt;=$U13),1,0),IF(OR(8&gt;=$T13,8&lt;=$U13),1,0)))=1,"H","")))</f>
        <v/>
      </c>
      <c r="K13" s="28">
        <f>IF(B13="","",TRIM(IF(IF(OR($P13=0,$Q13=0),0,IF($P13&lt;=$Q13,IF(AND(9&gt;=$P13,9&lt;=$Q13),1,0),IF(OR(9&gt;=$P13,9&lt;=$Q13),1,0)))=1,"S ","")&amp;IF(IF(OR($R13=0,$S13=0),0,IF($R13&lt;=$S13,IF(AND(9&gt;=$R13,9&lt;=$S13),1,0),IF(OR(9&gt;=$R13,9&lt;=$S13),1,0)))=1,"P ","")&amp;IF(IF(OR($T13=0,$U13=0),0,IF($T13&lt;=$U13,IF(AND(9&gt;=$T13,9&lt;=$U13),1,0),IF(OR(9&gt;=$T13,9&lt;=$U13),1,0)))=1,"H","")))</f>
        <v/>
      </c>
      <c r="L13" s="28">
        <f>IF(B13="","",TRIM(IF(IF(OR($P13=0,$Q13=0),0,IF($P13&lt;=$Q13,IF(AND(10&gt;=$P13,10&lt;=$Q13),1,0),IF(OR(10&gt;=$P13,10&lt;=$Q13),1,0)))=1,"S ","")&amp;IF(IF(OR($R13=0,$S13=0),0,IF($R13&lt;=$S13,IF(AND(10&gt;=$R13,10&lt;=$S13),1,0),IF(OR(10&gt;=$R13,10&lt;=$S13),1,0)))=1,"P ","")&amp;IF(IF(OR($T13=0,$U13=0),0,IF($T13&lt;=$U13,IF(AND(10&gt;=$T13,10&lt;=$U13),1,0),IF(OR(10&gt;=$T13,10&lt;=$U13),1,0)))=1,"H","")))</f>
        <v/>
      </c>
      <c r="M13" s="28">
        <f>IF(B13="","",TRIM(IF(IF(OR($P13=0,$Q13=0),0,IF($P13&lt;=$Q13,IF(AND(11&gt;=$P13,11&lt;=$Q13),1,0),IF(OR(11&gt;=$P13,11&lt;=$Q13),1,0)))=1,"S ","")&amp;IF(IF(OR($R13=0,$S13=0),0,IF($R13&lt;=$S13,IF(AND(11&gt;=$R13,11&lt;=$S13),1,0),IF(OR(11&gt;=$R13,11&lt;=$S13),1,0)))=1,"P ","")&amp;IF(IF(OR($T13=0,$U13=0),0,IF($T13&lt;=$U13,IF(AND(11&gt;=$T13,11&lt;=$U13),1,0),IF(OR(11&gt;=$T13,11&lt;=$U13),1,0)))=1,"H","")))</f>
        <v/>
      </c>
      <c r="N13" s="28">
        <f>IF(B13="","",TRIM(IF(IF(OR($P13=0,$Q13=0),0,IF($P13&lt;=$Q13,IF(AND(12&gt;=$P13,12&lt;=$Q13),1,0),IF(OR(12&gt;=$P13,12&lt;=$Q13),1,0)))=1,"S ","")&amp;IF(IF(OR($R13=0,$S13=0),0,IF($R13&lt;=$S13,IF(AND(12&gt;=$R13,12&lt;=$S13),1,0),IF(OR(12&gt;=$R13,12&lt;=$S13),1,0)))=1,"P ","")&amp;IF(IF(OR($T13=0,$U13=0),0,IF($T13&lt;=$U13,IF(AND(12&gt;=$T13,12&lt;=$U13),1,0),IF(OR(12&gt;=$T13,12&lt;=$U13),1,0)))=1,"H","")))</f>
        <v/>
      </c>
      <c r="O13" s="1" t="n"/>
      <c r="P13">
        <f>N(INDEX(Crops!$R$6:$R$65,8))</f>
        <v/>
      </c>
      <c r="Q13">
        <f>N(INDEX(Crops!$S$6:$S$65,8))</f>
        <v/>
      </c>
      <c r="R13">
        <f>N(INDEX(Crops!$T$6:$T$65,8))</f>
        <v/>
      </c>
      <c r="S13">
        <f>N(INDEX(Crops!$U$6:$U$65,8))</f>
        <v/>
      </c>
      <c r="T13">
        <f>N(INDEX(Crops!$V$6:$V$65,8))</f>
        <v/>
      </c>
      <c r="U13">
        <f>N(INDEX(Crops!$W$6:$W$65,8))</f>
        <v/>
      </c>
    </row>
    <row r="14" ht="16" customHeight="1">
      <c r="A14" s="1" t="n"/>
      <c r="B14" s="9">
        <f>IF(INDEX(Crops!$B$6:$B$65,9)="","",INDEX(Crops!$B$6:$B$65,9))</f>
        <v/>
      </c>
      <c r="C14" s="28">
        <f>IF(B14="","",TRIM(IF(IF(OR($P14=0,$Q14=0),0,IF($P14&lt;=$Q14,IF(AND(1&gt;=$P14,1&lt;=$Q14),1,0),IF(OR(1&gt;=$P14,1&lt;=$Q14),1,0)))=1,"S ","")&amp;IF(IF(OR($R14=0,$S14=0),0,IF($R14&lt;=$S14,IF(AND(1&gt;=$R14,1&lt;=$S14),1,0),IF(OR(1&gt;=$R14,1&lt;=$S14),1,0)))=1,"P ","")&amp;IF(IF(OR($T14=0,$U14=0),0,IF($T14&lt;=$U14,IF(AND(1&gt;=$T14,1&lt;=$U14),1,0),IF(OR(1&gt;=$T14,1&lt;=$U14),1,0)))=1,"H","")))</f>
        <v/>
      </c>
      <c r="D14" s="28">
        <f>IF(B14="","",TRIM(IF(IF(OR($P14=0,$Q14=0),0,IF($P14&lt;=$Q14,IF(AND(2&gt;=$P14,2&lt;=$Q14),1,0),IF(OR(2&gt;=$P14,2&lt;=$Q14),1,0)))=1,"S ","")&amp;IF(IF(OR($R14=0,$S14=0),0,IF($R14&lt;=$S14,IF(AND(2&gt;=$R14,2&lt;=$S14),1,0),IF(OR(2&gt;=$R14,2&lt;=$S14),1,0)))=1,"P ","")&amp;IF(IF(OR($T14=0,$U14=0),0,IF($T14&lt;=$U14,IF(AND(2&gt;=$T14,2&lt;=$U14),1,0),IF(OR(2&gt;=$T14,2&lt;=$U14),1,0)))=1,"H","")))</f>
        <v/>
      </c>
      <c r="E14" s="28">
        <f>IF(B14="","",TRIM(IF(IF(OR($P14=0,$Q14=0),0,IF($P14&lt;=$Q14,IF(AND(3&gt;=$P14,3&lt;=$Q14),1,0),IF(OR(3&gt;=$P14,3&lt;=$Q14),1,0)))=1,"S ","")&amp;IF(IF(OR($R14=0,$S14=0),0,IF($R14&lt;=$S14,IF(AND(3&gt;=$R14,3&lt;=$S14),1,0),IF(OR(3&gt;=$R14,3&lt;=$S14),1,0)))=1,"P ","")&amp;IF(IF(OR($T14=0,$U14=0),0,IF($T14&lt;=$U14,IF(AND(3&gt;=$T14,3&lt;=$U14),1,0),IF(OR(3&gt;=$T14,3&lt;=$U14),1,0)))=1,"H","")))</f>
        <v/>
      </c>
      <c r="F14" s="28">
        <f>IF(B14="","",TRIM(IF(IF(OR($P14=0,$Q14=0),0,IF($P14&lt;=$Q14,IF(AND(4&gt;=$P14,4&lt;=$Q14),1,0),IF(OR(4&gt;=$P14,4&lt;=$Q14),1,0)))=1,"S ","")&amp;IF(IF(OR($R14=0,$S14=0),0,IF($R14&lt;=$S14,IF(AND(4&gt;=$R14,4&lt;=$S14),1,0),IF(OR(4&gt;=$R14,4&lt;=$S14),1,0)))=1,"P ","")&amp;IF(IF(OR($T14=0,$U14=0),0,IF($T14&lt;=$U14,IF(AND(4&gt;=$T14,4&lt;=$U14),1,0),IF(OR(4&gt;=$T14,4&lt;=$U14),1,0)))=1,"H","")))</f>
        <v/>
      </c>
      <c r="G14" s="28">
        <f>IF(B14="","",TRIM(IF(IF(OR($P14=0,$Q14=0),0,IF($P14&lt;=$Q14,IF(AND(5&gt;=$P14,5&lt;=$Q14),1,0),IF(OR(5&gt;=$P14,5&lt;=$Q14),1,0)))=1,"S ","")&amp;IF(IF(OR($R14=0,$S14=0),0,IF($R14&lt;=$S14,IF(AND(5&gt;=$R14,5&lt;=$S14),1,0),IF(OR(5&gt;=$R14,5&lt;=$S14),1,0)))=1,"P ","")&amp;IF(IF(OR($T14=0,$U14=0),0,IF($T14&lt;=$U14,IF(AND(5&gt;=$T14,5&lt;=$U14),1,0),IF(OR(5&gt;=$T14,5&lt;=$U14),1,0)))=1,"H","")))</f>
        <v/>
      </c>
      <c r="H14" s="28">
        <f>IF(B14="","",TRIM(IF(IF(OR($P14=0,$Q14=0),0,IF($P14&lt;=$Q14,IF(AND(6&gt;=$P14,6&lt;=$Q14),1,0),IF(OR(6&gt;=$P14,6&lt;=$Q14),1,0)))=1,"S ","")&amp;IF(IF(OR($R14=0,$S14=0),0,IF($R14&lt;=$S14,IF(AND(6&gt;=$R14,6&lt;=$S14),1,0),IF(OR(6&gt;=$R14,6&lt;=$S14),1,0)))=1,"P ","")&amp;IF(IF(OR($T14=0,$U14=0),0,IF($T14&lt;=$U14,IF(AND(6&gt;=$T14,6&lt;=$U14),1,0),IF(OR(6&gt;=$T14,6&lt;=$U14),1,0)))=1,"H","")))</f>
        <v/>
      </c>
      <c r="I14" s="28">
        <f>IF(B14="","",TRIM(IF(IF(OR($P14=0,$Q14=0),0,IF($P14&lt;=$Q14,IF(AND(7&gt;=$P14,7&lt;=$Q14),1,0),IF(OR(7&gt;=$P14,7&lt;=$Q14),1,0)))=1,"S ","")&amp;IF(IF(OR($R14=0,$S14=0),0,IF($R14&lt;=$S14,IF(AND(7&gt;=$R14,7&lt;=$S14),1,0),IF(OR(7&gt;=$R14,7&lt;=$S14),1,0)))=1,"P ","")&amp;IF(IF(OR($T14=0,$U14=0),0,IF($T14&lt;=$U14,IF(AND(7&gt;=$T14,7&lt;=$U14),1,0),IF(OR(7&gt;=$T14,7&lt;=$U14),1,0)))=1,"H","")))</f>
        <v/>
      </c>
      <c r="J14" s="28">
        <f>IF(B14="","",TRIM(IF(IF(OR($P14=0,$Q14=0),0,IF($P14&lt;=$Q14,IF(AND(8&gt;=$P14,8&lt;=$Q14),1,0),IF(OR(8&gt;=$P14,8&lt;=$Q14),1,0)))=1,"S ","")&amp;IF(IF(OR($R14=0,$S14=0),0,IF($R14&lt;=$S14,IF(AND(8&gt;=$R14,8&lt;=$S14),1,0),IF(OR(8&gt;=$R14,8&lt;=$S14),1,0)))=1,"P ","")&amp;IF(IF(OR($T14=0,$U14=0),0,IF($T14&lt;=$U14,IF(AND(8&gt;=$T14,8&lt;=$U14),1,0),IF(OR(8&gt;=$T14,8&lt;=$U14),1,0)))=1,"H","")))</f>
        <v/>
      </c>
      <c r="K14" s="28">
        <f>IF(B14="","",TRIM(IF(IF(OR($P14=0,$Q14=0),0,IF($P14&lt;=$Q14,IF(AND(9&gt;=$P14,9&lt;=$Q14),1,0),IF(OR(9&gt;=$P14,9&lt;=$Q14),1,0)))=1,"S ","")&amp;IF(IF(OR($R14=0,$S14=0),0,IF($R14&lt;=$S14,IF(AND(9&gt;=$R14,9&lt;=$S14),1,0),IF(OR(9&gt;=$R14,9&lt;=$S14),1,0)))=1,"P ","")&amp;IF(IF(OR($T14=0,$U14=0),0,IF($T14&lt;=$U14,IF(AND(9&gt;=$T14,9&lt;=$U14),1,0),IF(OR(9&gt;=$T14,9&lt;=$U14),1,0)))=1,"H","")))</f>
        <v/>
      </c>
      <c r="L14" s="28">
        <f>IF(B14="","",TRIM(IF(IF(OR($P14=0,$Q14=0),0,IF($P14&lt;=$Q14,IF(AND(10&gt;=$P14,10&lt;=$Q14),1,0),IF(OR(10&gt;=$P14,10&lt;=$Q14),1,0)))=1,"S ","")&amp;IF(IF(OR($R14=0,$S14=0),0,IF($R14&lt;=$S14,IF(AND(10&gt;=$R14,10&lt;=$S14),1,0),IF(OR(10&gt;=$R14,10&lt;=$S14),1,0)))=1,"P ","")&amp;IF(IF(OR($T14=0,$U14=0),0,IF($T14&lt;=$U14,IF(AND(10&gt;=$T14,10&lt;=$U14),1,0),IF(OR(10&gt;=$T14,10&lt;=$U14),1,0)))=1,"H","")))</f>
        <v/>
      </c>
      <c r="M14" s="28">
        <f>IF(B14="","",TRIM(IF(IF(OR($P14=0,$Q14=0),0,IF($P14&lt;=$Q14,IF(AND(11&gt;=$P14,11&lt;=$Q14),1,0),IF(OR(11&gt;=$P14,11&lt;=$Q14),1,0)))=1,"S ","")&amp;IF(IF(OR($R14=0,$S14=0),0,IF($R14&lt;=$S14,IF(AND(11&gt;=$R14,11&lt;=$S14),1,0),IF(OR(11&gt;=$R14,11&lt;=$S14),1,0)))=1,"P ","")&amp;IF(IF(OR($T14=0,$U14=0),0,IF($T14&lt;=$U14,IF(AND(11&gt;=$T14,11&lt;=$U14),1,0),IF(OR(11&gt;=$T14,11&lt;=$U14),1,0)))=1,"H","")))</f>
        <v/>
      </c>
      <c r="N14" s="28">
        <f>IF(B14="","",TRIM(IF(IF(OR($P14=0,$Q14=0),0,IF($P14&lt;=$Q14,IF(AND(12&gt;=$P14,12&lt;=$Q14),1,0),IF(OR(12&gt;=$P14,12&lt;=$Q14),1,0)))=1,"S ","")&amp;IF(IF(OR($R14=0,$S14=0),0,IF($R14&lt;=$S14,IF(AND(12&gt;=$R14,12&lt;=$S14),1,0),IF(OR(12&gt;=$R14,12&lt;=$S14),1,0)))=1,"P ","")&amp;IF(IF(OR($T14=0,$U14=0),0,IF($T14&lt;=$U14,IF(AND(12&gt;=$T14,12&lt;=$U14),1,0),IF(OR(12&gt;=$T14,12&lt;=$U14),1,0)))=1,"H","")))</f>
        <v/>
      </c>
      <c r="O14" s="1" t="n"/>
      <c r="P14">
        <f>N(INDEX(Crops!$R$6:$R$65,9))</f>
        <v/>
      </c>
      <c r="Q14">
        <f>N(INDEX(Crops!$S$6:$S$65,9))</f>
        <v/>
      </c>
      <c r="R14">
        <f>N(INDEX(Crops!$T$6:$T$65,9))</f>
        <v/>
      </c>
      <c r="S14">
        <f>N(INDEX(Crops!$U$6:$U$65,9))</f>
        <v/>
      </c>
      <c r="T14">
        <f>N(INDEX(Crops!$V$6:$V$65,9))</f>
        <v/>
      </c>
      <c r="U14">
        <f>N(INDEX(Crops!$W$6:$W$65,9))</f>
        <v/>
      </c>
    </row>
    <row r="15" ht="16" customHeight="1">
      <c r="A15" s="1" t="n"/>
      <c r="B15" s="9">
        <f>IF(INDEX(Crops!$B$6:$B$65,10)="","",INDEX(Crops!$B$6:$B$65,10))</f>
        <v/>
      </c>
      <c r="C15" s="28">
        <f>IF(B15="","",TRIM(IF(IF(OR($P15=0,$Q15=0),0,IF($P15&lt;=$Q15,IF(AND(1&gt;=$P15,1&lt;=$Q15),1,0),IF(OR(1&gt;=$P15,1&lt;=$Q15),1,0)))=1,"S ","")&amp;IF(IF(OR($R15=0,$S15=0),0,IF($R15&lt;=$S15,IF(AND(1&gt;=$R15,1&lt;=$S15),1,0),IF(OR(1&gt;=$R15,1&lt;=$S15),1,0)))=1,"P ","")&amp;IF(IF(OR($T15=0,$U15=0),0,IF($T15&lt;=$U15,IF(AND(1&gt;=$T15,1&lt;=$U15),1,0),IF(OR(1&gt;=$T15,1&lt;=$U15),1,0)))=1,"H","")))</f>
        <v/>
      </c>
      <c r="D15" s="28">
        <f>IF(B15="","",TRIM(IF(IF(OR($P15=0,$Q15=0),0,IF($P15&lt;=$Q15,IF(AND(2&gt;=$P15,2&lt;=$Q15),1,0),IF(OR(2&gt;=$P15,2&lt;=$Q15),1,0)))=1,"S ","")&amp;IF(IF(OR($R15=0,$S15=0),0,IF($R15&lt;=$S15,IF(AND(2&gt;=$R15,2&lt;=$S15),1,0),IF(OR(2&gt;=$R15,2&lt;=$S15),1,0)))=1,"P ","")&amp;IF(IF(OR($T15=0,$U15=0),0,IF($T15&lt;=$U15,IF(AND(2&gt;=$T15,2&lt;=$U15),1,0),IF(OR(2&gt;=$T15,2&lt;=$U15),1,0)))=1,"H","")))</f>
        <v/>
      </c>
      <c r="E15" s="28">
        <f>IF(B15="","",TRIM(IF(IF(OR($P15=0,$Q15=0),0,IF($P15&lt;=$Q15,IF(AND(3&gt;=$P15,3&lt;=$Q15),1,0),IF(OR(3&gt;=$P15,3&lt;=$Q15),1,0)))=1,"S ","")&amp;IF(IF(OR($R15=0,$S15=0),0,IF($R15&lt;=$S15,IF(AND(3&gt;=$R15,3&lt;=$S15),1,0),IF(OR(3&gt;=$R15,3&lt;=$S15),1,0)))=1,"P ","")&amp;IF(IF(OR($T15=0,$U15=0),0,IF($T15&lt;=$U15,IF(AND(3&gt;=$T15,3&lt;=$U15),1,0),IF(OR(3&gt;=$T15,3&lt;=$U15),1,0)))=1,"H","")))</f>
        <v/>
      </c>
      <c r="F15" s="28">
        <f>IF(B15="","",TRIM(IF(IF(OR($P15=0,$Q15=0),0,IF($P15&lt;=$Q15,IF(AND(4&gt;=$P15,4&lt;=$Q15),1,0),IF(OR(4&gt;=$P15,4&lt;=$Q15),1,0)))=1,"S ","")&amp;IF(IF(OR($R15=0,$S15=0),0,IF($R15&lt;=$S15,IF(AND(4&gt;=$R15,4&lt;=$S15),1,0),IF(OR(4&gt;=$R15,4&lt;=$S15),1,0)))=1,"P ","")&amp;IF(IF(OR($T15=0,$U15=0),0,IF($T15&lt;=$U15,IF(AND(4&gt;=$T15,4&lt;=$U15),1,0),IF(OR(4&gt;=$T15,4&lt;=$U15),1,0)))=1,"H","")))</f>
        <v/>
      </c>
      <c r="G15" s="28">
        <f>IF(B15="","",TRIM(IF(IF(OR($P15=0,$Q15=0),0,IF($P15&lt;=$Q15,IF(AND(5&gt;=$P15,5&lt;=$Q15),1,0),IF(OR(5&gt;=$P15,5&lt;=$Q15),1,0)))=1,"S ","")&amp;IF(IF(OR($R15=0,$S15=0),0,IF($R15&lt;=$S15,IF(AND(5&gt;=$R15,5&lt;=$S15),1,0),IF(OR(5&gt;=$R15,5&lt;=$S15),1,0)))=1,"P ","")&amp;IF(IF(OR($T15=0,$U15=0),0,IF($T15&lt;=$U15,IF(AND(5&gt;=$T15,5&lt;=$U15),1,0),IF(OR(5&gt;=$T15,5&lt;=$U15),1,0)))=1,"H","")))</f>
        <v/>
      </c>
      <c r="H15" s="28">
        <f>IF(B15="","",TRIM(IF(IF(OR($P15=0,$Q15=0),0,IF($P15&lt;=$Q15,IF(AND(6&gt;=$P15,6&lt;=$Q15),1,0),IF(OR(6&gt;=$P15,6&lt;=$Q15),1,0)))=1,"S ","")&amp;IF(IF(OR($R15=0,$S15=0),0,IF($R15&lt;=$S15,IF(AND(6&gt;=$R15,6&lt;=$S15),1,0),IF(OR(6&gt;=$R15,6&lt;=$S15),1,0)))=1,"P ","")&amp;IF(IF(OR($T15=0,$U15=0),0,IF($T15&lt;=$U15,IF(AND(6&gt;=$T15,6&lt;=$U15),1,0),IF(OR(6&gt;=$T15,6&lt;=$U15),1,0)))=1,"H","")))</f>
        <v/>
      </c>
      <c r="I15" s="28">
        <f>IF(B15="","",TRIM(IF(IF(OR($P15=0,$Q15=0),0,IF($P15&lt;=$Q15,IF(AND(7&gt;=$P15,7&lt;=$Q15),1,0),IF(OR(7&gt;=$P15,7&lt;=$Q15),1,0)))=1,"S ","")&amp;IF(IF(OR($R15=0,$S15=0),0,IF($R15&lt;=$S15,IF(AND(7&gt;=$R15,7&lt;=$S15),1,0),IF(OR(7&gt;=$R15,7&lt;=$S15),1,0)))=1,"P ","")&amp;IF(IF(OR($T15=0,$U15=0),0,IF($T15&lt;=$U15,IF(AND(7&gt;=$T15,7&lt;=$U15),1,0),IF(OR(7&gt;=$T15,7&lt;=$U15),1,0)))=1,"H","")))</f>
        <v/>
      </c>
      <c r="J15" s="28">
        <f>IF(B15="","",TRIM(IF(IF(OR($P15=0,$Q15=0),0,IF($P15&lt;=$Q15,IF(AND(8&gt;=$P15,8&lt;=$Q15),1,0),IF(OR(8&gt;=$P15,8&lt;=$Q15),1,0)))=1,"S ","")&amp;IF(IF(OR($R15=0,$S15=0),0,IF($R15&lt;=$S15,IF(AND(8&gt;=$R15,8&lt;=$S15),1,0),IF(OR(8&gt;=$R15,8&lt;=$S15),1,0)))=1,"P ","")&amp;IF(IF(OR($T15=0,$U15=0),0,IF($T15&lt;=$U15,IF(AND(8&gt;=$T15,8&lt;=$U15),1,0),IF(OR(8&gt;=$T15,8&lt;=$U15),1,0)))=1,"H","")))</f>
        <v/>
      </c>
      <c r="K15" s="28">
        <f>IF(B15="","",TRIM(IF(IF(OR($P15=0,$Q15=0),0,IF($P15&lt;=$Q15,IF(AND(9&gt;=$P15,9&lt;=$Q15),1,0),IF(OR(9&gt;=$P15,9&lt;=$Q15),1,0)))=1,"S ","")&amp;IF(IF(OR($R15=0,$S15=0),0,IF($R15&lt;=$S15,IF(AND(9&gt;=$R15,9&lt;=$S15),1,0),IF(OR(9&gt;=$R15,9&lt;=$S15),1,0)))=1,"P ","")&amp;IF(IF(OR($T15=0,$U15=0),0,IF($T15&lt;=$U15,IF(AND(9&gt;=$T15,9&lt;=$U15),1,0),IF(OR(9&gt;=$T15,9&lt;=$U15),1,0)))=1,"H","")))</f>
        <v/>
      </c>
      <c r="L15" s="28">
        <f>IF(B15="","",TRIM(IF(IF(OR($P15=0,$Q15=0),0,IF($P15&lt;=$Q15,IF(AND(10&gt;=$P15,10&lt;=$Q15),1,0),IF(OR(10&gt;=$P15,10&lt;=$Q15),1,0)))=1,"S ","")&amp;IF(IF(OR($R15=0,$S15=0),0,IF($R15&lt;=$S15,IF(AND(10&gt;=$R15,10&lt;=$S15),1,0),IF(OR(10&gt;=$R15,10&lt;=$S15),1,0)))=1,"P ","")&amp;IF(IF(OR($T15=0,$U15=0),0,IF($T15&lt;=$U15,IF(AND(10&gt;=$T15,10&lt;=$U15),1,0),IF(OR(10&gt;=$T15,10&lt;=$U15),1,0)))=1,"H","")))</f>
        <v/>
      </c>
      <c r="M15" s="28">
        <f>IF(B15="","",TRIM(IF(IF(OR($P15=0,$Q15=0),0,IF($P15&lt;=$Q15,IF(AND(11&gt;=$P15,11&lt;=$Q15),1,0),IF(OR(11&gt;=$P15,11&lt;=$Q15),1,0)))=1,"S ","")&amp;IF(IF(OR($R15=0,$S15=0),0,IF($R15&lt;=$S15,IF(AND(11&gt;=$R15,11&lt;=$S15),1,0),IF(OR(11&gt;=$R15,11&lt;=$S15),1,0)))=1,"P ","")&amp;IF(IF(OR($T15=0,$U15=0),0,IF($T15&lt;=$U15,IF(AND(11&gt;=$T15,11&lt;=$U15),1,0),IF(OR(11&gt;=$T15,11&lt;=$U15),1,0)))=1,"H","")))</f>
        <v/>
      </c>
      <c r="N15" s="28">
        <f>IF(B15="","",TRIM(IF(IF(OR($P15=0,$Q15=0),0,IF($P15&lt;=$Q15,IF(AND(12&gt;=$P15,12&lt;=$Q15),1,0),IF(OR(12&gt;=$P15,12&lt;=$Q15),1,0)))=1,"S ","")&amp;IF(IF(OR($R15=0,$S15=0),0,IF($R15&lt;=$S15,IF(AND(12&gt;=$R15,12&lt;=$S15),1,0),IF(OR(12&gt;=$R15,12&lt;=$S15),1,0)))=1,"P ","")&amp;IF(IF(OR($T15=0,$U15=0),0,IF($T15&lt;=$U15,IF(AND(12&gt;=$T15,12&lt;=$U15),1,0),IF(OR(12&gt;=$T15,12&lt;=$U15),1,0)))=1,"H","")))</f>
        <v/>
      </c>
      <c r="O15" s="1" t="n"/>
      <c r="P15">
        <f>N(INDEX(Crops!$R$6:$R$65,10))</f>
        <v/>
      </c>
      <c r="Q15">
        <f>N(INDEX(Crops!$S$6:$S$65,10))</f>
        <v/>
      </c>
      <c r="R15">
        <f>N(INDEX(Crops!$T$6:$T$65,10))</f>
        <v/>
      </c>
      <c r="S15">
        <f>N(INDEX(Crops!$U$6:$U$65,10))</f>
        <v/>
      </c>
      <c r="T15">
        <f>N(INDEX(Crops!$V$6:$V$65,10))</f>
        <v/>
      </c>
      <c r="U15">
        <f>N(INDEX(Crops!$W$6:$W$65,10))</f>
        <v/>
      </c>
    </row>
    <row r="16" ht="16" customHeight="1">
      <c r="A16" s="1" t="n"/>
      <c r="B16" s="9">
        <f>IF(INDEX(Crops!$B$6:$B$65,11)="","",INDEX(Crops!$B$6:$B$65,11))</f>
        <v/>
      </c>
      <c r="C16" s="28">
        <f>IF(B16="","",TRIM(IF(IF(OR($P16=0,$Q16=0),0,IF($P16&lt;=$Q16,IF(AND(1&gt;=$P16,1&lt;=$Q16),1,0),IF(OR(1&gt;=$P16,1&lt;=$Q16),1,0)))=1,"S ","")&amp;IF(IF(OR($R16=0,$S16=0),0,IF($R16&lt;=$S16,IF(AND(1&gt;=$R16,1&lt;=$S16),1,0),IF(OR(1&gt;=$R16,1&lt;=$S16),1,0)))=1,"P ","")&amp;IF(IF(OR($T16=0,$U16=0),0,IF($T16&lt;=$U16,IF(AND(1&gt;=$T16,1&lt;=$U16),1,0),IF(OR(1&gt;=$T16,1&lt;=$U16),1,0)))=1,"H","")))</f>
        <v/>
      </c>
      <c r="D16" s="28">
        <f>IF(B16="","",TRIM(IF(IF(OR($P16=0,$Q16=0),0,IF($P16&lt;=$Q16,IF(AND(2&gt;=$P16,2&lt;=$Q16),1,0),IF(OR(2&gt;=$P16,2&lt;=$Q16),1,0)))=1,"S ","")&amp;IF(IF(OR($R16=0,$S16=0),0,IF($R16&lt;=$S16,IF(AND(2&gt;=$R16,2&lt;=$S16),1,0),IF(OR(2&gt;=$R16,2&lt;=$S16),1,0)))=1,"P ","")&amp;IF(IF(OR($T16=0,$U16=0),0,IF($T16&lt;=$U16,IF(AND(2&gt;=$T16,2&lt;=$U16),1,0),IF(OR(2&gt;=$T16,2&lt;=$U16),1,0)))=1,"H","")))</f>
        <v/>
      </c>
      <c r="E16" s="28">
        <f>IF(B16="","",TRIM(IF(IF(OR($P16=0,$Q16=0),0,IF($P16&lt;=$Q16,IF(AND(3&gt;=$P16,3&lt;=$Q16),1,0),IF(OR(3&gt;=$P16,3&lt;=$Q16),1,0)))=1,"S ","")&amp;IF(IF(OR($R16=0,$S16=0),0,IF($R16&lt;=$S16,IF(AND(3&gt;=$R16,3&lt;=$S16),1,0),IF(OR(3&gt;=$R16,3&lt;=$S16),1,0)))=1,"P ","")&amp;IF(IF(OR($T16=0,$U16=0),0,IF($T16&lt;=$U16,IF(AND(3&gt;=$T16,3&lt;=$U16),1,0),IF(OR(3&gt;=$T16,3&lt;=$U16),1,0)))=1,"H","")))</f>
        <v/>
      </c>
      <c r="F16" s="28">
        <f>IF(B16="","",TRIM(IF(IF(OR($P16=0,$Q16=0),0,IF($P16&lt;=$Q16,IF(AND(4&gt;=$P16,4&lt;=$Q16),1,0),IF(OR(4&gt;=$P16,4&lt;=$Q16),1,0)))=1,"S ","")&amp;IF(IF(OR($R16=0,$S16=0),0,IF($R16&lt;=$S16,IF(AND(4&gt;=$R16,4&lt;=$S16),1,0),IF(OR(4&gt;=$R16,4&lt;=$S16),1,0)))=1,"P ","")&amp;IF(IF(OR($T16=0,$U16=0),0,IF($T16&lt;=$U16,IF(AND(4&gt;=$T16,4&lt;=$U16),1,0),IF(OR(4&gt;=$T16,4&lt;=$U16),1,0)))=1,"H","")))</f>
        <v/>
      </c>
      <c r="G16" s="28">
        <f>IF(B16="","",TRIM(IF(IF(OR($P16=0,$Q16=0),0,IF($P16&lt;=$Q16,IF(AND(5&gt;=$P16,5&lt;=$Q16),1,0),IF(OR(5&gt;=$P16,5&lt;=$Q16),1,0)))=1,"S ","")&amp;IF(IF(OR($R16=0,$S16=0),0,IF($R16&lt;=$S16,IF(AND(5&gt;=$R16,5&lt;=$S16),1,0),IF(OR(5&gt;=$R16,5&lt;=$S16),1,0)))=1,"P ","")&amp;IF(IF(OR($T16=0,$U16=0),0,IF($T16&lt;=$U16,IF(AND(5&gt;=$T16,5&lt;=$U16),1,0),IF(OR(5&gt;=$T16,5&lt;=$U16),1,0)))=1,"H","")))</f>
        <v/>
      </c>
      <c r="H16" s="28">
        <f>IF(B16="","",TRIM(IF(IF(OR($P16=0,$Q16=0),0,IF($P16&lt;=$Q16,IF(AND(6&gt;=$P16,6&lt;=$Q16),1,0),IF(OR(6&gt;=$P16,6&lt;=$Q16),1,0)))=1,"S ","")&amp;IF(IF(OR($R16=0,$S16=0),0,IF($R16&lt;=$S16,IF(AND(6&gt;=$R16,6&lt;=$S16),1,0),IF(OR(6&gt;=$R16,6&lt;=$S16),1,0)))=1,"P ","")&amp;IF(IF(OR($T16=0,$U16=0),0,IF($T16&lt;=$U16,IF(AND(6&gt;=$T16,6&lt;=$U16),1,0),IF(OR(6&gt;=$T16,6&lt;=$U16),1,0)))=1,"H","")))</f>
        <v/>
      </c>
      <c r="I16" s="28">
        <f>IF(B16="","",TRIM(IF(IF(OR($P16=0,$Q16=0),0,IF($P16&lt;=$Q16,IF(AND(7&gt;=$P16,7&lt;=$Q16),1,0),IF(OR(7&gt;=$P16,7&lt;=$Q16),1,0)))=1,"S ","")&amp;IF(IF(OR($R16=0,$S16=0),0,IF($R16&lt;=$S16,IF(AND(7&gt;=$R16,7&lt;=$S16),1,0),IF(OR(7&gt;=$R16,7&lt;=$S16),1,0)))=1,"P ","")&amp;IF(IF(OR($T16=0,$U16=0),0,IF($T16&lt;=$U16,IF(AND(7&gt;=$T16,7&lt;=$U16),1,0),IF(OR(7&gt;=$T16,7&lt;=$U16),1,0)))=1,"H","")))</f>
        <v/>
      </c>
      <c r="J16" s="28">
        <f>IF(B16="","",TRIM(IF(IF(OR($P16=0,$Q16=0),0,IF($P16&lt;=$Q16,IF(AND(8&gt;=$P16,8&lt;=$Q16),1,0),IF(OR(8&gt;=$P16,8&lt;=$Q16),1,0)))=1,"S ","")&amp;IF(IF(OR($R16=0,$S16=0),0,IF($R16&lt;=$S16,IF(AND(8&gt;=$R16,8&lt;=$S16),1,0),IF(OR(8&gt;=$R16,8&lt;=$S16),1,0)))=1,"P ","")&amp;IF(IF(OR($T16=0,$U16=0),0,IF($T16&lt;=$U16,IF(AND(8&gt;=$T16,8&lt;=$U16),1,0),IF(OR(8&gt;=$T16,8&lt;=$U16),1,0)))=1,"H","")))</f>
        <v/>
      </c>
      <c r="K16" s="28">
        <f>IF(B16="","",TRIM(IF(IF(OR($P16=0,$Q16=0),0,IF($P16&lt;=$Q16,IF(AND(9&gt;=$P16,9&lt;=$Q16),1,0),IF(OR(9&gt;=$P16,9&lt;=$Q16),1,0)))=1,"S ","")&amp;IF(IF(OR($R16=0,$S16=0),0,IF($R16&lt;=$S16,IF(AND(9&gt;=$R16,9&lt;=$S16),1,0),IF(OR(9&gt;=$R16,9&lt;=$S16),1,0)))=1,"P ","")&amp;IF(IF(OR($T16=0,$U16=0),0,IF($T16&lt;=$U16,IF(AND(9&gt;=$T16,9&lt;=$U16),1,0),IF(OR(9&gt;=$T16,9&lt;=$U16),1,0)))=1,"H","")))</f>
        <v/>
      </c>
      <c r="L16" s="28">
        <f>IF(B16="","",TRIM(IF(IF(OR($P16=0,$Q16=0),0,IF($P16&lt;=$Q16,IF(AND(10&gt;=$P16,10&lt;=$Q16),1,0),IF(OR(10&gt;=$P16,10&lt;=$Q16),1,0)))=1,"S ","")&amp;IF(IF(OR($R16=0,$S16=0),0,IF($R16&lt;=$S16,IF(AND(10&gt;=$R16,10&lt;=$S16),1,0),IF(OR(10&gt;=$R16,10&lt;=$S16),1,0)))=1,"P ","")&amp;IF(IF(OR($T16=0,$U16=0),0,IF($T16&lt;=$U16,IF(AND(10&gt;=$T16,10&lt;=$U16),1,0),IF(OR(10&gt;=$T16,10&lt;=$U16),1,0)))=1,"H","")))</f>
        <v/>
      </c>
      <c r="M16" s="28">
        <f>IF(B16="","",TRIM(IF(IF(OR($P16=0,$Q16=0),0,IF($P16&lt;=$Q16,IF(AND(11&gt;=$P16,11&lt;=$Q16),1,0),IF(OR(11&gt;=$P16,11&lt;=$Q16),1,0)))=1,"S ","")&amp;IF(IF(OR($R16=0,$S16=0),0,IF($R16&lt;=$S16,IF(AND(11&gt;=$R16,11&lt;=$S16),1,0),IF(OR(11&gt;=$R16,11&lt;=$S16),1,0)))=1,"P ","")&amp;IF(IF(OR($T16=0,$U16=0),0,IF($T16&lt;=$U16,IF(AND(11&gt;=$T16,11&lt;=$U16),1,0),IF(OR(11&gt;=$T16,11&lt;=$U16),1,0)))=1,"H","")))</f>
        <v/>
      </c>
      <c r="N16" s="28">
        <f>IF(B16="","",TRIM(IF(IF(OR($P16=0,$Q16=0),0,IF($P16&lt;=$Q16,IF(AND(12&gt;=$P16,12&lt;=$Q16),1,0),IF(OR(12&gt;=$P16,12&lt;=$Q16),1,0)))=1,"S ","")&amp;IF(IF(OR($R16=0,$S16=0),0,IF($R16&lt;=$S16,IF(AND(12&gt;=$R16,12&lt;=$S16),1,0),IF(OR(12&gt;=$R16,12&lt;=$S16),1,0)))=1,"P ","")&amp;IF(IF(OR($T16=0,$U16=0),0,IF($T16&lt;=$U16,IF(AND(12&gt;=$T16,12&lt;=$U16),1,0),IF(OR(12&gt;=$T16,12&lt;=$U16),1,0)))=1,"H","")))</f>
        <v/>
      </c>
      <c r="O16" s="1" t="n"/>
      <c r="P16">
        <f>N(INDEX(Crops!$R$6:$R$65,11))</f>
        <v/>
      </c>
      <c r="Q16">
        <f>N(INDEX(Crops!$S$6:$S$65,11))</f>
        <v/>
      </c>
      <c r="R16">
        <f>N(INDEX(Crops!$T$6:$T$65,11))</f>
        <v/>
      </c>
      <c r="S16">
        <f>N(INDEX(Crops!$U$6:$U$65,11))</f>
        <v/>
      </c>
      <c r="T16">
        <f>N(INDEX(Crops!$V$6:$V$65,11))</f>
        <v/>
      </c>
      <c r="U16">
        <f>N(INDEX(Crops!$W$6:$W$65,11))</f>
        <v/>
      </c>
    </row>
    <row r="17" ht="16" customHeight="1">
      <c r="A17" s="1" t="n"/>
      <c r="B17" s="9">
        <f>IF(INDEX(Crops!$B$6:$B$65,12)="","",INDEX(Crops!$B$6:$B$65,12))</f>
        <v/>
      </c>
      <c r="C17" s="28">
        <f>IF(B17="","",TRIM(IF(IF(OR($P17=0,$Q17=0),0,IF($P17&lt;=$Q17,IF(AND(1&gt;=$P17,1&lt;=$Q17),1,0),IF(OR(1&gt;=$P17,1&lt;=$Q17),1,0)))=1,"S ","")&amp;IF(IF(OR($R17=0,$S17=0),0,IF($R17&lt;=$S17,IF(AND(1&gt;=$R17,1&lt;=$S17),1,0),IF(OR(1&gt;=$R17,1&lt;=$S17),1,0)))=1,"P ","")&amp;IF(IF(OR($T17=0,$U17=0),0,IF($T17&lt;=$U17,IF(AND(1&gt;=$T17,1&lt;=$U17),1,0),IF(OR(1&gt;=$T17,1&lt;=$U17),1,0)))=1,"H","")))</f>
        <v/>
      </c>
      <c r="D17" s="28">
        <f>IF(B17="","",TRIM(IF(IF(OR($P17=0,$Q17=0),0,IF($P17&lt;=$Q17,IF(AND(2&gt;=$P17,2&lt;=$Q17),1,0),IF(OR(2&gt;=$P17,2&lt;=$Q17),1,0)))=1,"S ","")&amp;IF(IF(OR($R17=0,$S17=0),0,IF($R17&lt;=$S17,IF(AND(2&gt;=$R17,2&lt;=$S17),1,0),IF(OR(2&gt;=$R17,2&lt;=$S17),1,0)))=1,"P ","")&amp;IF(IF(OR($T17=0,$U17=0),0,IF($T17&lt;=$U17,IF(AND(2&gt;=$T17,2&lt;=$U17),1,0),IF(OR(2&gt;=$T17,2&lt;=$U17),1,0)))=1,"H","")))</f>
        <v/>
      </c>
      <c r="E17" s="28">
        <f>IF(B17="","",TRIM(IF(IF(OR($P17=0,$Q17=0),0,IF($P17&lt;=$Q17,IF(AND(3&gt;=$P17,3&lt;=$Q17),1,0),IF(OR(3&gt;=$P17,3&lt;=$Q17),1,0)))=1,"S ","")&amp;IF(IF(OR($R17=0,$S17=0),0,IF($R17&lt;=$S17,IF(AND(3&gt;=$R17,3&lt;=$S17),1,0),IF(OR(3&gt;=$R17,3&lt;=$S17),1,0)))=1,"P ","")&amp;IF(IF(OR($T17=0,$U17=0),0,IF($T17&lt;=$U17,IF(AND(3&gt;=$T17,3&lt;=$U17),1,0),IF(OR(3&gt;=$T17,3&lt;=$U17),1,0)))=1,"H","")))</f>
        <v/>
      </c>
      <c r="F17" s="28">
        <f>IF(B17="","",TRIM(IF(IF(OR($P17=0,$Q17=0),0,IF($P17&lt;=$Q17,IF(AND(4&gt;=$P17,4&lt;=$Q17),1,0),IF(OR(4&gt;=$P17,4&lt;=$Q17),1,0)))=1,"S ","")&amp;IF(IF(OR($R17=0,$S17=0),0,IF($R17&lt;=$S17,IF(AND(4&gt;=$R17,4&lt;=$S17),1,0),IF(OR(4&gt;=$R17,4&lt;=$S17),1,0)))=1,"P ","")&amp;IF(IF(OR($T17=0,$U17=0),0,IF($T17&lt;=$U17,IF(AND(4&gt;=$T17,4&lt;=$U17),1,0),IF(OR(4&gt;=$T17,4&lt;=$U17),1,0)))=1,"H","")))</f>
        <v/>
      </c>
      <c r="G17" s="28">
        <f>IF(B17="","",TRIM(IF(IF(OR($P17=0,$Q17=0),0,IF($P17&lt;=$Q17,IF(AND(5&gt;=$P17,5&lt;=$Q17),1,0),IF(OR(5&gt;=$P17,5&lt;=$Q17),1,0)))=1,"S ","")&amp;IF(IF(OR($R17=0,$S17=0),0,IF($R17&lt;=$S17,IF(AND(5&gt;=$R17,5&lt;=$S17),1,0),IF(OR(5&gt;=$R17,5&lt;=$S17),1,0)))=1,"P ","")&amp;IF(IF(OR($T17=0,$U17=0),0,IF($T17&lt;=$U17,IF(AND(5&gt;=$T17,5&lt;=$U17),1,0),IF(OR(5&gt;=$T17,5&lt;=$U17),1,0)))=1,"H","")))</f>
        <v/>
      </c>
      <c r="H17" s="28">
        <f>IF(B17="","",TRIM(IF(IF(OR($P17=0,$Q17=0),0,IF($P17&lt;=$Q17,IF(AND(6&gt;=$P17,6&lt;=$Q17),1,0),IF(OR(6&gt;=$P17,6&lt;=$Q17),1,0)))=1,"S ","")&amp;IF(IF(OR($R17=0,$S17=0),0,IF($R17&lt;=$S17,IF(AND(6&gt;=$R17,6&lt;=$S17),1,0),IF(OR(6&gt;=$R17,6&lt;=$S17),1,0)))=1,"P ","")&amp;IF(IF(OR($T17=0,$U17=0),0,IF($T17&lt;=$U17,IF(AND(6&gt;=$T17,6&lt;=$U17),1,0),IF(OR(6&gt;=$T17,6&lt;=$U17),1,0)))=1,"H","")))</f>
        <v/>
      </c>
      <c r="I17" s="28">
        <f>IF(B17="","",TRIM(IF(IF(OR($P17=0,$Q17=0),0,IF($P17&lt;=$Q17,IF(AND(7&gt;=$P17,7&lt;=$Q17),1,0),IF(OR(7&gt;=$P17,7&lt;=$Q17),1,0)))=1,"S ","")&amp;IF(IF(OR($R17=0,$S17=0),0,IF($R17&lt;=$S17,IF(AND(7&gt;=$R17,7&lt;=$S17),1,0),IF(OR(7&gt;=$R17,7&lt;=$S17),1,0)))=1,"P ","")&amp;IF(IF(OR($T17=0,$U17=0),0,IF($T17&lt;=$U17,IF(AND(7&gt;=$T17,7&lt;=$U17),1,0),IF(OR(7&gt;=$T17,7&lt;=$U17),1,0)))=1,"H","")))</f>
        <v/>
      </c>
      <c r="J17" s="28">
        <f>IF(B17="","",TRIM(IF(IF(OR($P17=0,$Q17=0),0,IF($P17&lt;=$Q17,IF(AND(8&gt;=$P17,8&lt;=$Q17),1,0),IF(OR(8&gt;=$P17,8&lt;=$Q17),1,0)))=1,"S ","")&amp;IF(IF(OR($R17=0,$S17=0),0,IF($R17&lt;=$S17,IF(AND(8&gt;=$R17,8&lt;=$S17),1,0),IF(OR(8&gt;=$R17,8&lt;=$S17),1,0)))=1,"P ","")&amp;IF(IF(OR($T17=0,$U17=0),0,IF($T17&lt;=$U17,IF(AND(8&gt;=$T17,8&lt;=$U17),1,0),IF(OR(8&gt;=$T17,8&lt;=$U17),1,0)))=1,"H","")))</f>
        <v/>
      </c>
      <c r="K17" s="28">
        <f>IF(B17="","",TRIM(IF(IF(OR($P17=0,$Q17=0),0,IF($P17&lt;=$Q17,IF(AND(9&gt;=$P17,9&lt;=$Q17),1,0),IF(OR(9&gt;=$P17,9&lt;=$Q17),1,0)))=1,"S ","")&amp;IF(IF(OR($R17=0,$S17=0),0,IF($R17&lt;=$S17,IF(AND(9&gt;=$R17,9&lt;=$S17),1,0),IF(OR(9&gt;=$R17,9&lt;=$S17),1,0)))=1,"P ","")&amp;IF(IF(OR($T17=0,$U17=0),0,IF($T17&lt;=$U17,IF(AND(9&gt;=$T17,9&lt;=$U17),1,0),IF(OR(9&gt;=$T17,9&lt;=$U17),1,0)))=1,"H","")))</f>
        <v/>
      </c>
      <c r="L17" s="28">
        <f>IF(B17="","",TRIM(IF(IF(OR($P17=0,$Q17=0),0,IF($P17&lt;=$Q17,IF(AND(10&gt;=$P17,10&lt;=$Q17),1,0),IF(OR(10&gt;=$P17,10&lt;=$Q17),1,0)))=1,"S ","")&amp;IF(IF(OR($R17=0,$S17=0),0,IF($R17&lt;=$S17,IF(AND(10&gt;=$R17,10&lt;=$S17),1,0),IF(OR(10&gt;=$R17,10&lt;=$S17),1,0)))=1,"P ","")&amp;IF(IF(OR($T17=0,$U17=0),0,IF($T17&lt;=$U17,IF(AND(10&gt;=$T17,10&lt;=$U17),1,0),IF(OR(10&gt;=$T17,10&lt;=$U17),1,0)))=1,"H","")))</f>
        <v/>
      </c>
      <c r="M17" s="28">
        <f>IF(B17="","",TRIM(IF(IF(OR($P17=0,$Q17=0),0,IF($P17&lt;=$Q17,IF(AND(11&gt;=$P17,11&lt;=$Q17),1,0),IF(OR(11&gt;=$P17,11&lt;=$Q17),1,0)))=1,"S ","")&amp;IF(IF(OR($R17=0,$S17=0),0,IF($R17&lt;=$S17,IF(AND(11&gt;=$R17,11&lt;=$S17),1,0),IF(OR(11&gt;=$R17,11&lt;=$S17),1,0)))=1,"P ","")&amp;IF(IF(OR($T17=0,$U17=0),0,IF($T17&lt;=$U17,IF(AND(11&gt;=$T17,11&lt;=$U17),1,0),IF(OR(11&gt;=$T17,11&lt;=$U17),1,0)))=1,"H","")))</f>
        <v/>
      </c>
      <c r="N17" s="28">
        <f>IF(B17="","",TRIM(IF(IF(OR($P17=0,$Q17=0),0,IF($P17&lt;=$Q17,IF(AND(12&gt;=$P17,12&lt;=$Q17),1,0),IF(OR(12&gt;=$P17,12&lt;=$Q17),1,0)))=1,"S ","")&amp;IF(IF(OR($R17=0,$S17=0),0,IF($R17&lt;=$S17,IF(AND(12&gt;=$R17,12&lt;=$S17),1,0),IF(OR(12&gt;=$R17,12&lt;=$S17),1,0)))=1,"P ","")&amp;IF(IF(OR($T17=0,$U17=0),0,IF($T17&lt;=$U17,IF(AND(12&gt;=$T17,12&lt;=$U17),1,0),IF(OR(12&gt;=$T17,12&lt;=$U17),1,0)))=1,"H","")))</f>
        <v/>
      </c>
      <c r="O17" s="1" t="n"/>
      <c r="P17">
        <f>N(INDEX(Crops!$R$6:$R$65,12))</f>
        <v/>
      </c>
      <c r="Q17">
        <f>N(INDEX(Crops!$S$6:$S$65,12))</f>
        <v/>
      </c>
      <c r="R17">
        <f>N(INDEX(Crops!$T$6:$T$65,12))</f>
        <v/>
      </c>
      <c r="S17">
        <f>N(INDEX(Crops!$U$6:$U$65,12))</f>
        <v/>
      </c>
      <c r="T17">
        <f>N(INDEX(Crops!$V$6:$V$65,12))</f>
        <v/>
      </c>
      <c r="U17">
        <f>N(INDEX(Crops!$W$6:$W$65,12))</f>
        <v/>
      </c>
    </row>
    <row r="18" ht="16" customHeight="1">
      <c r="A18" s="1" t="n"/>
      <c r="B18" s="9">
        <f>IF(INDEX(Crops!$B$6:$B$65,13)="","",INDEX(Crops!$B$6:$B$65,13))</f>
        <v/>
      </c>
      <c r="C18" s="28">
        <f>IF(B18="","",TRIM(IF(IF(OR($P18=0,$Q18=0),0,IF($P18&lt;=$Q18,IF(AND(1&gt;=$P18,1&lt;=$Q18),1,0),IF(OR(1&gt;=$P18,1&lt;=$Q18),1,0)))=1,"S ","")&amp;IF(IF(OR($R18=0,$S18=0),0,IF($R18&lt;=$S18,IF(AND(1&gt;=$R18,1&lt;=$S18),1,0),IF(OR(1&gt;=$R18,1&lt;=$S18),1,0)))=1,"P ","")&amp;IF(IF(OR($T18=0,$U18=0),0,IF($T18&lt;=$U18,IF(AND(1&gt;=$T18,1&lt;=$U18),1,0),IF(OR(1&gt;=$T18,1&lt;=$U18),1,0)))=1,"H","")))</f>
        <v/>
      </c>
      <c r="D18" s="28">
        <f>IF(B18="","",TRIM(IF(IF(OR($P18=0,$Q18=0),0,IF($P18&lt;=$Q18,IF(AND(2&gt;=$P18,2&lt;=$Q18),1,0),IF(OR(2&gt;=$P18,2&lt;=$Q18),1,0)))=1,"S ","")&amp;IF(IF(OR($R18=0,$S18=0),0,IF($R18&lt;=$S18,IF(AND(2&gt;=$R18,2&lt;=$S18),1,0),IF(OR(2&gt;=$R18,2&lt;=$S18),1,0)))=1,"P ","")&amp;IF(IF(OR($T18=0,$U18=0),0,IF($T18&lt;=$U18,IF(AND(2&gt;=$T18,2&lt;=$U18),1,0),IF(OR(2&gt;=$T18,2&lt;=$U18),1,0)))=1,"H","")))</f>
        <v/>
      </c>
      <c r="E18" s="28">
        <f>IF(B18="","",TRIM(IF(IF(OR($P18=0,$Q18=0),0,IF($P18&lt;=$Q18,IF(AND(3&gt;=$P18,3&lt;=$Q18),1,0),IF(OR(3&gt;=$P18,3&lt;=$Q18),1,0)))=1,"S ","")&amp;IF(IF(OR($R18=0,$S18=0),0,IF($R18&lt;=$S18,IF(AND(3&gt;=$R18,3&lt;=$S18),1,0),IF(OR(3&gt;=$R18,3&lt;=$S18),1,0)))=1,"P ","")&amp;IF(IF(OR($T18=0,$U18=0),0,IF($T18&lt;=$U18,IF(AND(3&gt;=$T18,3&lt;=$U18),1,0),IF(OR(3&gt;=$T18,3&lt;=$U18),1,0)))=1,"H","")))</f>
        <v/>
      </c>
      <c r="F18" s="28">
        <f>IF(B18="","",TRIM(IF(IF(OR($P18=0,$Q18=0),0,IF($P18&lt;=$Q18,IF(AND(4&gt;=$P18,4&lt;=$Q18),1,0),IF(OR(4&gt;=$P18,4&lt;=$Q18),1,0)))=1,"S ","")&amp;IF(IF(OR($R18=0,$S18=0),0,IF($R18&lt;=$S18,IF(AND(4&gt;=$R18,4&lt;=$S18),1,0),IF(OR(4&gt;=$R18,4&lt;=$S18),1,0)))=1,"P ","")&amp;IF(IF(OR($T18=0,$U18=0),0,IF($T18&lt;=$U18,IF(AND(4&gt;=$T18,4&lt;=$U18),1,0),IF(OR(4&gt;=$T18,4&lt;=$U18),1,0)))=1,"H","")))</f>
        <v/>
      </c>
      <c r="G18" s="28">
        <f>IF(B18="","",TRIM(IF(IF(OR($P18=0,$Q18=0),0,IF($P18&lt;=$Q18,IF(AND(5&gt;=$P18,5&lt;=$Q18),1,0),IF(OR(5&gt;=$P18,5&lt;=$Q18),1,0)))=1,"S ","")&amp;IF(IF(OR($R18=0,$S18=0),0,IF($R18&lt;=$S18,IF(AND(5&gt;=$R18,5&lt;=$S18),1,0),IF(OR(5&gt;=$R18,5&lt;=$S18),1,0)))=1,"P ","")&amp;IF(IF(OR($T18=0,$U18=0),0,IF($T18&lt;=$U18,IF(AND(5&gt;=$T18,5&lt;=$U18),1,0),IF(OR(5&gt;=$T18,5&lt;=$U18),1,0)))=1,"H","")))</f>
        <v/>
      </c>
      <c r="H18" s="28">
        <f>IF(B18="","",TRIM(IF(IF(OR($P18=0,$Q18=0),0,IF($P18&lt;=$Q18,IF(AND(6&gt;=$P18,6&lt;=$Q18),1,0),IF(OR(6&gt;=$P18,6&lt;=$Q18),1,0)))=1,"S ","")&amp;IF(IF(OR($R18=0,$S18=0),0,IF($R18&lt;=$S18,IF(AND(6&gt;=$R18,6&lt;=$S18),1,0),IF(OR(6&gt;=$R18,6&lt;=$S18),1,0)))=1,"P ","")&amp;IF(IF(OR($T18=0,$U18=0),0,IF($T18&lt;=$U18,IF(AND(6&gt;=$T18,6&lt;=$U18),1,0),IF(OR(6&gt;=$T18,6&lt;=$U18),1,0)))=1,"H","")))</f>
        <v/>
      </c>
      <c r="I18" s="28">
        <f>IF(B18="","",TRIM(IF(IF(OR($P18=0,$Q18=0),0,IF($P18&lt;=$Q18,IF(AND(7&gt;=$P18,7&lt;=$Q18),1,0),IF(OR(7&gt;=$P18,7&lt;=$Q18),1,0)))=1,"S ","")&amp;IF(IF(OR($R18=0,$S18=0),0,IF($R18&lt;=$S18,IF(AND(7&gt;=$R18,7&lt;=$S18),1,0),IF(OR(7&gt;=$R18,7&lt;=$S18),1,0)))=1,"P ","")&amp;IF(IF(OR($T18=0,$U18=0),0,IF($T18&lt;=$U18,IF(AND(7&gt;=$T18,7&lt;=$U18),1,0),IF(OR(7&gt;=$T18,7&lt;=$U18),1,0)))=1,"H","")))</f>
        <v/>
      </c>
      <c r="J18" s="28">
        <f>IF(B18="","",TRIM(IF(IF(OR($P18=0,$Q18=0),0,IF($P18&lt;=$Q18,IF(AND(8&gt;=$P18,8&lt;=$Q18),1,0),IF(OR(8&gt;=$P18,8&lt;=$Q18),1,0)))=1,"S ","")&amp;IF(IF(OR($R18=0,$S18=0),0,IF($R18&lt;=$S18,IF(AND(8&gt;=$R18,8&lt;=$S18),1,0),IF(OR(8&gt;=$R18,8&lt;=$S18),1,0)))=1,"P ","")&amp;IF(IF(OR($T18=0,$U18=0),0,IF($T18&lt;=$U18,IF(AND(8&gt;=$T18,8&lt;=$U18),1,0),IF(OR(8&gt;=$T18,8&lt;=$U18),1,0)))=1,"H","")))</f>
        <v/>
      </c>
      <c r="K18" s="28">
        <f>IF(B18="","",TRIM(IF(IF(OR($P18=0,$Q18=0),0,IF($P18&lt;=$Q18,IF(AND(9&gt;=$P18,9&lt;=$Q18),1,0),IF(OR(9&gt;=$P18,9&lt;=$Q18),1,0)))=1,"S ","")&amp;IF(IF(OR($R18=0,$S18=0),0,IF($R18&lt;=$S18,IF(AND(9&gt;=$R18,9&lt;=$S18),1,0),IF(OR(9&gt;=$R18,9&lt;=$S18),1,0)))=1,"P ","")&amp;IF(IF(OR($T18=0,$U18=0),0,IF($T18&lt;=$U18,IF(AND(9&gt;=$T18,9&lt;=$U18),1,0),IF(OR(9&gt;=$T18,9&lt;=$U18),1,0)))=1,"H","")))</f>
        <v/>
      </c>
      <c r="L18" s="28">
        <f>IF(B18="","",TRIM(IF(IF(OR($P18=0,$Q18=0),0,IF($P18&lt;=$Q18,IF(AND(10&gt;=$P18,10&lt;=$Q18),1,0),IF(OR(10&gt;=$P18,10&lt;=$Q18),1,0)))=1,"S ","")&amp;IF(IF(OR($R18=0,$S18=0),0,IF($R18&lt;=$S18,IF(AND(10&gt;=$R18,10&lt;=$S18),1,0),IF(OR(10&gt;=$R18,10&lt;=$S18),1,0)))=1,"P ","")&amp;IF(IF(OR($T18=0,$U18=0),0,IF($T18&lt;=$U18,IF(AND(10&gt;=$T18,10&lt;=$U18),1,0),IF(OR(10&gt;=$T18,10&lt;=$U18),1,0)))=1,"H","")))</f>
        <v/>
      </c>
      <c r="M18" s="28">
        <f>IF(B18="","",TRIM(IF(IF(OR($P18=0,$Q18=0),0,IF($P18&lt;=$Q18,IF(AND(11&gt;=$P18,11&lt;=$Q18),1,0),IF(OR(11&gt;=$P18,11&lt;=$Q18),1,0)))=1,"S ","")&amp;IF(IF(OR($R18=0,$S18=0),0,IF($R18&lt;=$S18,IF(AND(11&gt;=$R18,11&lt;=$S18),1,0),IF(OR(11&gt;=$R18,11&lt;=$S18),1,0)))=1,"P ","")&amp;IF(IF(OR($T18=0,$U18=0),0,IF($T18&lt;=$U18,IF(AND(11&gt;=$T18,11&lt;=$U18),1,0),IF(OR(11&gt;=$T18,11&lt;=$U18),1,0)))=1,"H","")))</f>
        <v/>
      </c>
      <c r="N18" s="28">
        <f>IF(B18="","",TRIM(IF(IF(OR($P18=0,$Q18=0),0,IF($P18&lt;=$Q18,IF(AND(12&gt;=$P18,12&lt;=$Q18),1,0),IF(OR(12&gt;=$P18,12&lt;=$Q18),1,0)))=1,"S ","")&amp;IF(IF(OR($R18=0,$S18=0),0,IF($R18&lt;=$S18,IF(AND(12&gt;=$R18,12&lt;=$S18),1,0),IF(OR(12&gt;=$R18,12&lt;=$S18),1,0)))=1,"P ","")&amp;IF(IF(OR($T18=0,$U18=0),0,IF($T18&lt;=$U18,IF(AND(12&gt;=$T18,12&lt;=$U18),1,0),IF(OR(12&gt;=$T18,12&lt;=$U18),1,0)))=1,"H","")))</f>
        <v/>
      </c>
      <c r="O18" s="1" t="n"/>
      <c r="P18">
        <f>N(INDEX(Crops!$R$6:$R$65,13))</f>
        <v/>
      </c>
      <c r="Q18">
        <f>N(INDEX(Crops!$S$6:$S$65,13))</f>
        <v/>
      </c>
      <c r="R18">
        <f>N(INDEX(Crops!$T$6:$T$65,13))</f>
        <v/>
      </c>
      <c r="S18">
        <f>N(INDEX(Crops!$U$6:$U$65,13))</f>
        <v/>
      </c>
      <c r="T18">
        <f>N(INDEX(Crops!$V$6:$V$65,13))</f>
        <v/>
      </c>
      <c r="U18">
        <f>N(INDEX(Crops!$W$6:$W$65,13))</f>
        <v/>
      </c>
    </row>
    <row r="19" ht="16" customHeight="1">
      <c r="A19" s="1" t="n"/>
      <c r="B19" s="9">
        <f>IF(INDEX(Crops!$B$6:$B$65,14)="","",INDEX(Crops!$B$6:$B$65,14))</f>
        <v/>
      </c>
      <c r="C19" s="28">
        <f>IF(B19="","",TRIM(IF(IF(OR($P19=0,$Q19=0),0,IF($P19&lt;=$Q19,IF(AND(1&gt;=$P19,1&lt;=$Q19),1,0),IF(OR(1&gt;=$P19,1&lt;=$Q19),1,0)))=1,"S ","")&amp;IF(IF(OR($R19=0,$S19=0),0,IF($R19&lt;=$S19,IF(AND(1&gt;=$R19,1&lt;=$S19),1,0),IF(OR(1&gt;=$R19,1&lt;=$S19),1,0)))=1,"P ","")&amp;IF(IF(OR($T19=0,$U19=0),0,IF($T19&lt;=$U19,IF(AND(1&gt;=$T19,1&lt;=$U19),1,0),IF(OR(1&gt;=$T19,1&lt;=$U19),1,0)))=1,"H","")))</f>
        <v/>
      </c>
      <c r="D19" s="28">
        <f>IF(B19="","",TRIM(IF(IF(OR($P19=0,$Q19=0),0,IF($P19&lt;=$Q19,IF(AND(2&gt;=$P19,2&lt;=$Q19),1,0),IF(OR(2&gt;=$P19,2&lt;=$Q19),1,0)))=1,"S ","")&amp;IF(IF(OR($R19=0,$S19=0),0,IF($R19&lt;=$S19,IF(AND(2&gt;=$R19,2&lt;=$S19),1,0),IF(OR(2&gt;=$R19,2&lt;=$S19),1,0)))=1,"P ","")&amp;IF(IF(OR($T19=0,$U19=0),0,IF($T19&lt;=$U19,IF(AND(2&gt;=$T19,2&lt;=$U19),1,0),IF(OR(2&gt;=$T19,2&lt;=$U19),1,0)))=1,"H","")))</f>
        <v/>
      </c>
      <c r="E19" s="28">
        <f>IF(B19="","",TRIM(IF(IF(OR($P19=0,$Q19=0),0,IF($P19&lt;=$Q19,IF(AND(3&gt;=$P19,3&lt;=$Q19),1,0),IF(OR(3&gt;=$P19,3&lt;=$Q19),1,0)))=1,"S ","")&amp;IF(IF(OR($R19=0,$S19=0),0,IF($R19&lt;=$S19,IF(AND(3&gt;=$R19,3&lt;=$S19),1,0),IF(OR(3&gt;=$R19,3&lt;=$S19),1,0)))=1,"P ","")&amp;IF(IF(OR($T19=0,$U19=0),0,IF($T19&lt;=$U19,IF(AND(3&gt;=$T19,3&lt;=$U19),1,0),IF(OR(3&gt;=$T19,3&lt;=$U19),1,0)))=1,"H","")))</f>
        <v/>
      </c>
      <c r="F19" s="28">
        <f>IF(B19="","",TRIM(IF(IF(OR($P19=0,$Q19=0),0,IF($P19&lt;=$Q19,IF(AND(4&gt;=$P19,4&lt;=$Q19),1,0),IF(OR(4&gt;=$P19,4&lt;=$Q19),1,0)))=1,"S ","")&amp;IF(IF(OR($R19=0,$S19=0),0,IF($R19&lt;=$S19,IF(AND(4&gt;=$R19,4&lt;=$S19),1,0),IF(OR(4&gt;=$R19,4&lt;=$S19),1,0)))=1,"P ","")&amp;IF(IF(OR($T19=0,$U19=0),0,IF($T19&lt;=$U19,IF(AND(4&gt;=$T19,4&lt;=$U19),1,0),IF(OR(4&gt;=$T19,4&lt;=$U19),1,0)))=1,"H","")))</f>
        <v/>
      </c>
      <c r="G19" s="28">
        <f>IF(B19="","",TRIM(IF(IF(OR($P19=0,$Q19=0),0,IF($P19&lt;=$Q19,IF(AND(5&gt;=$P19,5&lt;=$Q19),1,0),IF(OR(5&gt;=$P19,5&lt;=$Q19),1,0)))=1,"S ","")&amp;IF(IF(OR($R19=0,$S19=0),0,IF($R19&lt;=$S19,IF(AND(5&gt;=$R19,5&lt;=$S19),1,0),IF(OR(5&gt;=$R19,5&lt;=$S19),1,0)))=1,"P ","")&amp;IF(IF(OR($T19=0,$U19=0),0,IF($T19&lt;=$U19,IF(AND(5&gt;=$T19,5&lt;=$U19),1,0),IF(OR(5&gt;=$T19,5&lt;=$U19),1,0)))=1,"H","")))</f>
        <v/>
      </c>
      <c r="H19" s="28">
        <f>IF(B19="","",TRIM(IF(IF(OR($P19=0,$Q19=0),0,IF($P19&lt;=$Q19,IF(AND(6&gt;=$P19,6&lt;=$Q19),1,0),IF(OR(6&gt;=$P19,6&lt;=$Q19),1,0)))=1,"S ","")&amp;IF(IF(OR($R19=0,$S19=0),0,IF($R19&lt;=$S19,IF(AND(6&gt;=$R19,6&lt;=$S19),1,0),IF(OR(6&gt;=$R19,6&lt;=$S19),1,0)))=1,"P ","")&amp;IF(IF(OR($T19=0,$U19=0),0,IF($T19&lt;=$U19,IF(AND(6&gt;=$T19,6&lt;=$U19),1,0),IF(OR(6&gt;=$T19,6&lt;=$U19),1,0)))=1,"H","")))</f>
        <v/>
      </c>
      <c r="I19" s="28">
        <f>IF(B19="","",TRIM(IF(IF(OR($P19=0,$Q19=0),0,IF($P19&lt;=$Q19,IF(AND(7&gt;=$P19,7&lt;=$Q19),1,0),IF(OR(7&gt;=$P19,7&lt;=$Q19),1,0)))=1,"S ","")&amp;IF(IF(OR($R19=0,$S19=0),0,IF($R19&lt;=$S19,IF(AND(7&gt;=$R19,7&lt;=$S19),1,0),IF(OR(7&gt;=$R19,7&lt;=$S19),1,0)))=1,"P ","")&amp;IF(IF(OR($T19=0,$U19=0),0,IF($T19&lt;=$U19,IF(AND(7&gt;=$T19,7&lt;=$U19),1,0),IF(OR(7&gt;=$T19,7&lt;=$U19),1,0)))=1,"H","")))</f>
        <v/>
      </c>
      <c r="J19" s="28">
        <f>IF(B19="","",TRIM(IF(IF(OR($P19=0,$Q19=0),0,IF($P19&lt;=$Q19,IF(AND(8&gt;=$P19,8&lt;=$Q19),1,0),IF(OR(8&gt;=$P19,8&lt;=$Q19),1,0)))=1,"S ","")&amp;IF(IF(OR($R19=0,$S19=0),0,IF($R19&lt;=$S19,IF(AND(8&gt;=$R19,8&lt;=$S19),1,0),IF(OR(8&gt;=$R19,8&lt;=$S19),1,0)))=1,"P ","")&amp;IF(IF(OR($T19=0,$U19=0),0,IF($T19&lt;=$U19,IF(AND(8&gt;=$T19,8&lt;=$U19),1,0),IF(OR(8&gt;=$T19,8&lt;=$U19),1,0)))=1,"H","")))</f>
        <v/>
      </c>
      <c r="K19" s="28">
        <f>IF(B19="","",TRIM(IF(IF(OR($P19=0,$Q19=0),0,IF($P19&lt;=$Q19,IF(AND(9&gt;=$P19,9&lt;=$Q19),1,0),IF(OR(9&gt;=$P19,9&lt;=$Q19),1,0)))=1,"S ","")&amp;IF(IF(OR($R19=0,$S19=0),0,IF($R19&lt;=$S19,IF(AND(9&gt;=$R19,9&lt;=$S19),1,0),IF(OR(9&gt;=$R19,9&lt;=$S19),1,0)))=1,"P ","")&amp;IF(IF(OR($T19=0,$U19=0),0,IF($T19&lt;=$U19,IF(AND(9&gt;=$T19,9&lt;=$U19),1,0),IF(OR(9&gt;=$T19,9&lt;=$U19),1,0)))=1,"H","")))</f>
        <v/>
      </c>
      <c r="L19" s="28">
        <f>IF(B19="","",TRIM(IF(IF(OR($P19=0,$Q19=0),0,IF($P19&lt;=$Q19,IF(AND(10&gt;=$P19,10&lt;=$Q19),1,0),IF(OR(10&gt;=$P19,10&lt;=$Q19),1,0)))=1,"S ","")&amp;IF(IF(OR($R19=0,$S19=0),0,IF($R19&lt;=$S19,IF(AND(10&gt;=$R19,10&lt;=$S19),1,0),IF(OR(10&gt;=$R19,10&lt;=$S19),1,0)))=1,"P ","")&amp;IF(IF(OR($T19=0,$U19=0),0,IF($T19&lt;=$U19,IF(AND(10&gt;=$T19,10&lt;=$U19),1,0),IF(OR(10&gt;=$T19,10&lt;=$U19),1,0)))=1,"H","")))</f>
        <v/>
      </c>
      <c r="M19" s="28">
        <f>IF(B19="","",TRIM(IF(IF(OR($P19=0,$Q19=0),0,IF($P19&lt;=$Q19,IF(AND(11&gt;=$P19,11&lt;=$Q19),1,0),IF(OR(11&gt;=$P19,11&lt;=$Q19),1,0)))=1,"S ","")&amp;IF(IF(OR($R19=0,$S19=0),0,IF($R19&lt;=$S19,IF(AND(11&gt;=$R19,11&lt;=$S19),1,0),IF(OR(11&gt;=$R19,11&lt;=$S19),1,0)))=1,"P ","")&amp;IF(IF(OR($T19=0,$U19=0),0,IF($T19&lt;=$U19,IF(AND(11&gt;=$T19,11&lt;=$U19),1,0),IF(OR(11&gt;=$T19,11&lt;=$U19),1,0)))=1,"H","")))</f>
        <v/>
      </c>
      <c r="N19" s="28">
        <f>IF(B19="","",TRIM(IF(IF(OR($P19=0,$Q19=0),0,IF($P19&lt;=$Q19,IF(AND(12&gt;=$P19,12&lt;=$Q19),1,0),IF(OR(12&gt;=$P19,12&lt;=$Q19),1,0)))=1,"S ","")&amp;IF(IF(OR($R19=0,$S19=0),0,IF($R19&lt;=$S19,IF(AND(12&gt;=$R19,12&lt;=$S19),1,0),IF(OR(12&gt;=$R19,12&lt;=$S19),1,0)))=1,"P ","")&amp;IF(IF(OR($T19=0,$U19=0),0,IF($T19&lt;=$U19,IF(AND(12&gt;=$T19,12&lt;=$U19),1,0),IF(OR(12&gt;=$T19,12&lt;=$U19),1,0)))=1,"H","")))</f>
        <v/>
      </c>
      <c r="O19" s="1" t="n"/>
      <c r="P19">
        <f>N(INDEX(Crops!$R$6:$R$65,14))</f>
        <v/>
      </c>
      <c r="Q19">
        <f>N(INDEX(Crops!$S$6:$S$65,14))</f>
        <v/>
      </c>
      <c r="R19">
        <f>N(INDEX(Crops!$T$6:$T$65,14))</f>
        <v/>
      </c>
      <c r="S19">
        <f>N(INDEX(Crops!$U$6:$U$65,14))</f>
        <v/>
      </c>
      <c r="T19">
        <f>N(INDEX(Crops!$V$6:$V$65,14))</f>
        <v/>
      </c>
      <c r="U19">
        <f>N(INDEX(Crops!$W$6:$W$65,14))</f>
        <v/>
      </c>
    </row>
    <row r="20" ht="16" customHeight="1">
      <c r="A20" s="1" t="n"/>
      <c r="B20" s="9">
        <f>IF(INDEX(Crops!$B$6:$B$65,15)="","",INDEX(Crops!$B$6:$B$65,15))</f>
        <v/>
      </c>
      <c r="C20" s="28">
        <f>IF(B20="","",TRIM(IF(IF(OR($P20=0,$Q20=0),0,IF($P20&lt;=$Q20,IF(AND(1&gt;=$P20,1&lt;=$Q20),1,0),IF(OR(1&gt;=$P20,1&lt;=$Q20),1,0)))=1,"S ","")&amp;IF(IF(OR($R20=0,$S20=0),0,IF($R20&lt;=$S20,IF(AND(1&gt;=$R20,1&lt;=$S20),1,0),IF(OR(1&gt;=$R20,1&lt;=$S20),1,0)))=1,"P ","")&amp;IF(IF(OR($T20=0,$U20=0),0,IF($T20&lt;=$U20,IF(AND(1&gt;=$T20,1&lt;=$U20),1,0),IF(OR(1&gt;=$T20,1&lt;=$U20),1,0)))=1,"H","")))</f>
        <v/>
      </c>
      <c r="D20" s="28">
        <f>IF(B20="","",TRIM(IF(IF(OR($P20=0,$Q20=0),0,IF($P20&lt;=$Q20,IF(AND(2&gt;=$P20,2&lt;=$Q20),1,0),IF(OR(2&gt;=$P20,2&lt;=$Q20),1,0)))=1,"S ","")&amp;IF(IF(OR($R20=0,$S20=0),0,IF($R20&lt;=$S20,IF(AND(2&gt;=$R20,2&lt;=$S20),1,0),IF(OR(2&gt;=$R20,2&lt;=$S20),1,0)))=1,"P ","")&amp;IF(IF(OR($T20=0,$U20=0),0,IF($T20&lt;=$U20,IF(AND(2&gt;=$T20,2&lt;=$U20),1,0),IF(OR(2&gt;=$T20,2&lt;=$U20),1,0)))=1,"H","")))</f>
        <v/>
      </c>
      <c r="E20" s="28">
        <f>IF(B20="","",TRIM(IF(IF(OR($P20=0,$Q20=0),0,IF($P20&lt;=$Q20,IF(AND(3&gt;=$P20,3&lt;=$Q20),1,0),IF(OR(3&gt;=$P20,3&lt;=$Q20),1,0)))=1,"S ","")&amp;IF(IF(OR($R20=0,$S20=0),0,IF($R20&lt;=$S20,IF(AND(3&gt;=$R20,3&lt;=$S20),1,0),IF(OR(3&gt;=$R20,3&lt;=$S20),1,0)))=1,"P ","")&amp;IF(IF(OR($T20=0,$U20=0),0,IF($T20&lt;=$U20,IF(AND(3&gt;=$T20,3&lt;=$U20),1,0),IF(OR(3&gt;=$T20,3&lt;=$U20),1,0)))=1,"H","")))</f>
        <v/>
      </c>
      <c r="F20" s="28">
        <f>IF(B20="","",TRIM(IF(IF(OR($P20=0,$Q20=0),0,IF($P20&lt;=$Q20,IF(AND(4&gt;=$P20,4&lt;=$Q20),1,0),IF(OR(4&gt;=$P20,4&lt;=$Q20),1,0)))=1,"S ","")&amp;IF(IF(OR($R20=0,$S20=0),0,IF($R20&lt;=$S20,IF(AND(4&gt;=$R20,4&lt;=$S20),1,0),IF(OR(4&gt;=$R20,4&lt;=$S20),1,0)))=1,"P ","")&amp;IF(IF(OR($T20=0,$U20=0),0,IF($T20&lt;=$U20,IF(AND(4&gt;=$T20,4&lt;=$U20),1,0),IF(OR(4&gt;=$T20,4&lt;=$U20),1,0)))=1,"H","")))</f>
        <v/>
      </c>
      <c r="G20" s="28">
        <f>IF(B20="","",TRIM(IF(IF(OR($P20=0,$Q20=0),0,IF($P20&lt;=$Q20,IF(AND(5&gt;=$P20,5&lt;=$Q20),1,0),IF(OR(5&gt;=$P20,5&lt;=$Q20),1,0)))=1,"S ","")&amp;IF(IF(OR($R20=0,$S20=0),0,IF($R20&lt;=$S20,IF(AND(5&gt;=$R20,5&lt;=$S20),1,0),IF(OR(5&gt;=$R20,5&lt;=$S20),1,0)))=1,"P ","")&amp;IF(IF(OR($T20=0,$U20=0),0,IF($T20&lt;=$U20,IF(AND(5&gt;=$T20,5&lt;=$U20),1,0),IF(OR(5&gt;=$T20,5&lt;=$U20),1,0)))=1,"H","")))</f>
        <v/>
      </c>
      <c r="H20" s="28">
        <f>IF(B20="","",TRIM(IF(IF(OR($P20=0,$Q20=0),0,IF($P20&lt;=$Q20,IF(AND(6&gt;=$P20,6&lt;=$Q20),1,0),IF(OR(6&gt;=$P20,6&lt;=$Q20),1,0)))=1,"S ","")&amp;IF(IF(OR($R20=0,$S20=0),0,IF($R20&lt;=$S20,IF(AND(6&gt;=$R20,6&lt;=$S20),1,0),IF(OR(6&gt;=$R20,6&lt;=$S20),1,0)))=1,"P ","")&amp;IF(IF(OR($T20=0,$U20=0),0,IF($T20&lt;=$U20,IF(AND(6&gt;=$T20,6&lt;=$U20),1,0),IF(OR(6&gt;=$T20,6&lt;=$U20),1,0)))=1,"H","")))</f>
        <v/>
      </c>
      <c r="I20" s="28">
        <f>IF(B20="","",TRIM(IF(IF(OR($P20=0,$Q20=0),0,IF($P20&lt;=$Q20,IF(AND(7&gt;=$P20,7&lt;=$Q20),1,0),IF(OR(7&gt;=$P20,7&lt;=$Q20),1,0)))=1,"S ","")&amp;IF(IF(OR($R20=0,$S20=0),0,IF($R20&lt;=$S20,IF(AND(7&gt;=$R20,7&lt;=$S20),1,0),IF(OR(7&gt;=$R20,7&lt;=$S20),1,0)))=1,"P ","")&amp;IF(IF(OR($T20=0,$U20=0),0,IF($T20&lt;=$U20,IF(AND(7&gt;=$T20,7&lt;=$U20),1,0),IF(OR(7&gt;=$T20,7&lt;=$U20),1,0)))=1,"H","")))</f>
        <v/>
      </c>
      <c r="J20" s="28">
        <f>IF(B20="","",TRIM(IF(IF(OR($P20=0,$Q20=0),0,IF($P20&lt;=$Q20,IF(AND(8&gt;=$P20,8&lt;=$Q20),1,0),IF(OR(8&gt;=$P20,8&lt;=$Q20),1,0)))=1,"S ","")&amp;IF(IF(OR($R20=0,$S20=0),0,IF($R20&lt;=$S20,IF(AND(8&gt;=$R20,8&lt;=$S20),1,0),IF(OR(8&gt;=$R20,8&lt;=$S20),1,0)))=1,"P ","")&amp;IF(IF(OR($T20=0,$U20=0),0,IF($T20&lt;=$U20,IF(AND(8&gt;=$T20,8&lt;=$U20),1,0),IF(OR(8&gt;=$T20,8&lt;=$U20),1,0)))=1,"H","")))</f>
        <v/>
      </c>
      <c r="K20" s="28">
        <f>IF(B20="","",TRIM(IF(IF(OR($P20=0,$Q20=0),0,IF($P20&lt;=$Q20,IF(AND(9&gt;=$P20,9&lt;=$Q20),1,0),IF(OR(9&gt;=$P20,9&lt;=$Q20),1,0)))=1,"S ","")&amp;IF(IF(OR($R20=0,$S20=0),0,IF($R20&lt;=$S20,IF(AND(9&gt;=$R20,9&lt;=$S20),1,0),IF(OR(9&gt;=$R20,9&lt;=$S20),1,0)))=1,"P ","")&amp;IF(IF(OR($T20=0,$U20=0),0,IF($T20&lt;=$U20,IF(AND(9&gt;=$T20,9&lt;=$U20),1,0),IF(OR(9&gt;=$T20,9&lt;=$U20),1,0)))=1,"H","")))</f>
        <v/>
      </c>
      <c r="L20" s="28">
        <f>IF(B20="","",TRIM(IF(IF(OR($P20=0,$Q20=0),0,IF($P20&lt;=$Q20,IF(AND(10&gt;=$P20,10&lt;=$Q20),1,0),IF(OR(10&gt;=$P20,10&lt;=$Q20),1,0)))=1,"S ","")&amp;IF(IF(OR($R20=0,$S20=0),0,IF($R20&lt;=$S20,IF(AND(10&gt;=$R20,10&lt;=$S20),1,0),IF(OR(10&gt;=$R20,10&lt;=$S20),1,0)))=1,"P ","")&amp;IF(IF(OR($T20=0,$U20=0),0,IF($T20&lt;=$U20,IF(AND(10&gt;=$T20,10&lt;=$U20),1,0),IF(OR(10&gt;=$T20,10&lt;=$U20),1,0)))=1,"H","")))</f>
        <v/>
      </c>
      <c r="M20" s="28">
        <f>IF(B20="","",TRIM(IF(IF(OR($P20=0,$Q20=0),0,IF($P20&lt;=$Q20,IF(AND(11&gt;=$P20,11&lt;=$Q20),1,0),IF(OR(11&gt;=$P20,11&lt;=$Q20),1,0)))=1,"S ","")&amp;IF(IF(OR($R20=0,$S20=0),0,IF($R20&lt;=$S20,IF(AND(11&gt;=$R20,11&lt;=$S20),1,0),IF(OR(11&gt;=$R20,11&lt;=$S20),1,0)))=1,"P ","")&amp;IF(IF(OR($T20=0,$U20=0),0,IF($T20&lt;=$U20,IF(AND(11&gt;=$T20,11&lt;=$U20),1,0),IF(OR(11&gt;=$T20,11&lt;=$U20),1,0)))=1,"H","")))</f>
        <v/>
      </c>
      <c r="N20" s="28">
        <f>IF(B20="","",TRIM(IF(IF(OR($P20=0,$Q20=0),0,IF($P20&lt;=$Q20,IF(AND(12&gt;=$P20,12&lt;=$Q20),1,0),IF(OR(12&gt;=$P20,12&lt;=$Q20),1,0)))=1,"S ","")&amp;IF(IF(OR($R20=0,$S20=0),0,IF($R20&lt;=$S20,IF(AND(12&gt;=$R20,12&lt;=$S20),1,0),IF(OR(12&gt;=$R20,12&lt;=$S20),1,0)))=1,"P ","")&amp;IF(IF(OR($T20=0,$U20=0),0,IF($T20&lt;=$U20,IF(AND(12&gt;=$T20,12&lt;=$U20),1,0),IF(OR(12&gt;=$T20,12&lt;=$U20),1,0)))=1,"H","")))</f>
        <v/>
      </c>
      <c r="O20" s="1" t="n"/>
      <c r="P20">
        <f>N(INDEX(Crops!$R$6:$R$65,15))</f>
        <v/>
      </c>
      <c r="Q20">
        <f>N(INDEX(Crops!$S$6:$S$65,15))</f>
        <v/>
      </c>
      <c r="R20">
        <f>N(INDEX(Crops!$T$6:$T$65,15))</f>
        <v/>
      </c>
      <c r="S20">
        <f>N(INDEX(Crops!$U$6:$U$65,15))</f>
        <v/>
      </c>
      <c r="T20">
        <f>N(INDEX(Crops!$V$6:$V$65,15))</f>
        <v/>
      </c>
      <c r="U20">
        <f>N(INDEX(Crops!$W$6:$W$65,15))</f>
        <v/>
      </c>
    </row>
    <row r="21" ht="16" customHeight="1">
      <c r="A21" s="1" t="n"/>
      <c r="B21" s="9">
        <f>IF(INDEX(Crops!$B$6:$B$65,16)="","",INDEX(Crops!$B$6:$B$65,16))</f>
        <v/>
      </c>
      <c r="C21" s="28">
        <f>IF(B21="","",TRIM(IF(IF(OR($P21=0,$Q21=0),0,IF($P21&lt;=$Q21,IF(AND(1&gt;=$P21,1&lt;=$Q21),1,0),IF(OR(1&gt;=$P21,1&lt;=$Q21),1,0)))=1,"S ","")&amp;IF(IF(OR($R21=0,$S21=0),0,IF($R21&lt;=$S21,IF(AND(1&gt;=$R21,1&lt;=$S21),1,0),IF(OR(1&gt;=$R21,1&lt;=$S21),1,0)))=1,"P ","")&amp;IF(IF(OR($T21=0,$U21=0),0,IF($T21&lt;=$U21,IF(AND(1&gt;=$T21,1&lt;=$U21),1,0),IF(OR(1&gt;=$T21,1&lt;=$U21),1,0)))=1,"H","")))</f>
        <v/>
      </c>
      <c r="D21" s="28">
        <f>IF(B21="","",TRIM(IF(IF(OR($P21=0,$Q21=0),0,IF($P21&lt;=$Q21,IF(AND(2&gt;=$P21,2&lt;=$Q21),1,0),IF(OR(2&gt;=$P21,2&lt;=$Q21),1,0)))=1,"S ","")&amp;IF(IF(OR($R21=0,$S21=0),0,IF($R21&lt;=$S21,IF(AND(2&gt;=$R21,2&lt;=$S21),1,0),IF(OR(2&gt;=$R21,2&lt;=$S21),1,0)))=1,"P ","")&amp;IF(IF(OR($T21=0,$U21=0),0,IF($T21&lt;=$U21,IF(AND(2&gt;=$T21,2&lt;=$U21),1,0),IF(OR(2&gt;=$T21,2&lt;=$U21),1,0)))=1,"H","")))</f>
        <v/>
      </c>
      <c r="E21" s="28">
        <f>IF(B21="","",TRIM(IF(IF(OR($P21=0,$Q21=0),0,IF($P21&lt;=$Q21,IF(AND(3&gt;=$P21,3&lt;=$Q21),1,0),IF(OR(3&gt;=$P21,3&lt;=$Q21),1,0)))=1,"S ","")&amp;IF(IF(OR($R21=0,$S21=0),0,IF($R21&lt;=$S21,IF(AND(3&gt;=$R21,3&lt;=$S21),1,0),IF(OR(3&gt;=$R21,3&lt;=$S21),1,0)))=1,"P ","")&amp;IF(IF(OR($T21=0,$U21=0),0,IF($T21&lt;=$U21,IF(AND(3&gt;=$T21,3&lt;=$U21),1,0),IF(OR(3&gt;=$T21,3&lt;=$U21),1,0)))=1,"H","")))</f>
        <v/>
      </c>
      <c r="F21" s="28">
        <f>IF(B21="","",TRIM(IF(IF(OR($P21=0,$Q21=0),0,IF($P21&lt;=$Q21,IF(AND(4&gt;=$P21,4&lt;=$Q21),1,0),IF(OR(4&gt;=$P21,4&lt;=$Q21),1,0)))=1,"S ","")&amp;IF(IF(OR($R21=0,$S21=0),0,IF($R21&lt;=$S21,IF(AND(4&gt;=$R21,4&lt;=$S21),1,0),IF(OR(4&gt;=$R21,4&lt;=$S21),1,0)))=1,"P ","")&amp;IF(IF(OR($T21=0,$U21=0),0,IF($T21&lt;=$U21,IF(AND(4&gt;=$T21,4&lt;=$U21),1,0),IF(OR(4&gt;=$T21,4&lt;=$U21),1,0)))=1,"H","")))</f>
        <v/>
      </c>
      <c r="G21" s="28">
        <f>IF(B21="","",TRIM(IF(IF(OR($P21=0,$Q21=0),0,IF($P21&lt;=$Q21,IF(AND(5&gt;=$P21,5&lt;=$Q21),1,0),IF(OR(5&gt;=$P21,5&lt;=$Q21),1,0)))=1,"S ","")&amp;IF(IF(OR($R21=0,$S21=0),0,IF($R21&lt;=$S21,IF(AND(5&gt;=$R21,5&lt;=$S21),1,0),IF(OR(5&gt;=$R21,5&lt;=$S21),1,0)))=1,"P ","")&amp;IF(IF(OR($T21=0,$U21=0),0,IF($T21&lt;=$U21,IF(AND(5&gt;=$T21,5&lt;=$U21),1,0),IF(OR(5&gt;=$T21,5&lt;=$U21),1,0)))=1,"H","")))</f>
        <v/>
      </c>
      <c r="H21" s="28">
        <f>IF(B21="","",TRIM(IF(IF(OR($P21=0,$Q21=0),0,IF($P21&lt;=$Q21,IF(AND(6&gt;=$P21,6&lt;=$Q21),1,0),IF(OR(6&gt;=$P21,6&lt;=$Q21),1,0)))=1,"S ","")&amp;IF(IF(OR($R21=0,$S21=0),0,IF($R21&lt;=$S21,IF(AND(6&gt;=$R21,6&lt;=$S21),1,0),IF(OR(6&gt;=$R21,6&lt;=$S21),1,0)))=1,"P ","")&amp;IF(IF(OR($T21=0,$U21=0),0,IF($T21&lt;=$U21,IF(AND(6&gt;=$T21,6&lt;=$U21),1,0),IF(OR(6&gt;=$T21,6&lt;=$U21),1,0)))=1,"H","")))</f>
        <v/>
      </c>
      <c r="I21" s="28">
        <f>IF(B21="","",TRIM(IF(IF(OR($P21=0,$Q21=0),0,IF($P21&lt;=$Q21,IF(AND(7&gt;=$P21,7&lt;=$Q21),1,0),IF(OR(7&gt;=$P21,7&lt;=$Q21),1,0)))=1,"S ","")&amp;IF(IF(OR($R21=0,$S21=0),0,IF($R21&lt;=$S21,IF(AND(7&gt;=$R21,7&lt;=$S21),1,0),IF(OR(7&gt;=$R21,7&lt;=$S21),1,0)))=1,"P ","")&amp;IF(IF(OR($T21=0,$U21=0),0,IF($T21&lt;=$U21,IF(AND(7&gt;=$T21,7&lt;=$U21),1,0),IF(OR(7&gt;=$T21,7&lt;=$U21),1,0)))=1,"H","")))</f>
        <v/>
      </c>
      <c r="J21" s="28">
        <f>IF(B21="","",TRIM(IF(IF(OR($P21=0,$Q21=0),0,IF($P21&lt;=$Q21,IF(AND(8&gt;=$P21,8&lt;=$Q21),1,0),IF(OR(8&gt;=$P21,8&lt;=$Q21),1,0)))=1,"S ","")&amp;IF(IF(OR($R21=0,$S21=0),0,IF($R21&lt;=$S21,IF(AND(8&gt;=$R21,8&lt;=$S21),1,0),IF(OR(8&gt;=$R21,8&lt;=$S21),1,0)))=1,"P ","")&amp;IF(IF(OR($T21=0,$U21=0),0,IF($T21&lt;=$U21,IF(AND(8&gt;=$T21,8&lt;=$U21),1,0),IF(OR(8&gt;=$T21,8&lt;=$U21),1,0)))=1,"H","")))</f>
        <v/>
      </c>
      <c r="K21" s="28">
        <f>IF(B21="","",TRIM(IF(IF(OR($P21=0,$Q21=0),0,IF($P21&lt;=$Q21,IF(AND(9&gt;=$P21,9&lt;=$Q21),1,0),IF(OR(9&gt;=$P21,9&lt;=$Q21),1,0)))=1,"S ","")&amp;IF(IF(OR($R21=0,$S21=0),0,IF($R21&lt;=$S21,IF(AND(9&gt;=$R21,9&lt;=$S21),1,0),IF(OR(9&gt;=$R21,9&lt;=$S21),1,0)))=1,"P ","")&amp;IF(IF(OR($T21=0,$U21=0),0,IF($T21&lt;=$U21,IF(AND(9&gt;=$T21,9&lt;=$U21),1,0),IF(OR(9&gt;=$T21,9&lt;=$U21),1,0)))=1,"H","")))</f>
        <v/>
      </c>
      <c r="L21" s="28">
        <f>IF(B21="","",TRIM(IF(IF(OR($P21=0,$Q21=0),0,IF($P21&lt;=$Q21,IF(AND(10&gt;=$P21,10&lt;=$Q21),1,0),IF(OR(10&gt;=$P21,10&lt;=$Q21),1,0)))=1,"S ","")&amp;IF(IF(OR($R21=0,$S21=0),0,IF($R21&lt;=$S21,IF(AND(10&gt;=$R21,10&lt;=$S21),1,0),IF(OR(10&gt;=$R21,10&lt;=$S21),1,0)))=1,"P ","")&amp;IF(IF(OR($T21=0,$U21=0),0,IF($T21&lt;=$U21,IF(AND(10&gt;=$T21,10&lt;=$U21),1,0),IF(OR(10&gt;=$T21,10&lt;=$U21),1,0)))=1,"H","")))</f>
        <v/>
      </c>
      <c r="M21" s="28">
        <f>IF(B21="","",TRIM(IF(IF(OR($P21=0,$Q21=0),0,IF($P21&lt;=$Q21,IF(AND(11&gt;=$P21,11&lt;=$Q21),1,0),IF(OR(11&gt;=$P21,11&lt;=$Q21),1,0)))=1,"S ","")&amp;IF(IF(OR($R21=0,$S21=0),0,IF($R21&lt;=$S21,IF(AND(11&gt;=$R21,11&lt;=$S21),1,0),IF(OR(11&gt;=$R21,11&lt;=$S21),1,0)))=1,"P ","")&amp;IF(IF(OR($T21=0,$U21=0),0,IF($T21&lt;=$U21,IF(AND(11&gt;=$T21,11&lt;=$U21),1,0),IF(OR(11&gt;=$T21,11&lt;=$U21),1,0)))=1,"H","")))</f>
        <v/>
      </c>
      <c r="N21" s="28">
        <f>IF(B21="","",TRIM(IF(IF(OR($P21=0,$Q21=0),0,IF($P21&lt;=$Q21,IF(AND(12&gt;=$P21,12&lt;=$Q21),1,0),IF(OR(12&gt;=$P21,12&lt;=$Q21),1,0)))=1,"S ","")&amp;IF(IF(OR($R21=0,$S21=0),0,IF($R21&lt;=$S21,IF(AND(12&gt;=$R21,12&lt;=$S21),1,0),IF(OR(12&gt;=$R21,12&lt;=$S21),1,0)))=1,"P ","")&amp;IF(IF(OR($T21=0,$U21=0),0,IF($T21&lt;=$U21,IF(AND(12&gt;=$T21,12&lt;=$U21),1,0),IF(OR(12&gt;=$T21,12&lt;=$U21),1,0)))=1,"H","")))</f>
        <v/>
      </c>
      <c r="O21" s="1" t="n"/>
      <c r="P21">
        <f>N(INDEX(Crops!$R$6:$R$65,16))</f>
        <v/>
      </c>
      <c r="Q21">
        <f>N(INDEX(Crops!$S$6:$S$65,16))</f>
        <v/>
      </c>
      <c r="R21">
        <f>N(INDEX(Crops!$T$6:$T$65,16))</f>
        <v/>
      </c>
      <c r="S21">
        <f>N(INDEX(Crops!$U$6:$U$65,16))</f>
        <v/>
      </c>
      <c r="T21">
        <f>N(INDEX(Crops!$V$6:$V$65,16))</f>
        <v/>
      </c>
      <c r="U21">
        <f>N(INDEX(Crops!$W$6:$W$65,16))</f>
        <v/>
      </c>
    </row>
    <row r="22" ht="16" customHeight="1">
      <c r="A22" s="1" t="n"/>
      <c r="B22" s="9">
        <f>IF(INDEX(Crops!$B$6:$B$65,17)="","",INDEX(Crops!$B$6:$B$65,17))</f>
        <v/>
      </c>
      <c r="C22" s="28">
        <f>IF(B22="","",TRIM(IF(IF(OR($P22=0,$Q22=0),0,IF($P22&lt;=$Q22,IF(AND(1&gt;=$P22,1&lt;=$Q22),1,0),IF(OR(1&gt;=$P22,1&lt;=$Q22),1,0)))=1,"S ","")&amp;IF(IF(OR($R22=0,$S22=0),0,IF($R22&lt;=$S22,IF(AND(1&gt;=$R22,1&lt;=$S22),1,0),IF(OR(1&gt;=$R22,1&lt;=$S22),1,0)))=1,"P ","")&amp;IF(IF(OR($T22=0,$U22=0),0,IF($T22&lt;=$U22,IF(AND(1&gt;=$T22,1&lt;=$U22),1,0),IF(OR(1&gt;=$T22,1&lt;=$U22),1,0)))=1,"H","")))</f>
        <v/>
      </c>
      <c r="D22" s="28">
        <f>IF(B22="","",TRIM(IF(IF(OR($P22=0,$Q22=0),0,IF($P22&lt;=$Q22,IF(AND(2&gt;=$P22,2&lt;=$Q22),1,0),IF(OR(2&gt;=$P22,2&lt;=$Q22),1,0)))=1,"S ","")&amp;IF(IF(OR($R22=0,$S22=0),0,IF($R22&lt;=$S22,IF(AND(2&gt;=$R22,2&lt;=$S22),1,0),IF(OR(2&gt;=$R22,2&lt;=$S22),1,0)))=1,"P ","")&amp;IF(IF(OR($T22=0,$U22=0),0,IF($T22&lt;=$U22,IF(AND(2&gt;=$T22,2&lt;=$U22),1,0),IF(OR(2&gt;=$T22,2&lt;=$U22),1,0)))=1,"H","")))</f>
        <v/>
      </c>
      <c r="E22" s="28">
        <f>IF(B22="","",TRIM(IF(IF(OR($P22=0,$Q22=0),0,IF($P22&lt;=$Q22,IF(AND(3&gt;=$P22,3&lt;=$Q22),1,0),IF(OR(3&gt;=$P22,3&lt;=$Q22),1,0)))=1,"S ","")&amp;IF(IF(OR($R22=0,$S22=0),0,IF($R22&lt;=$S22,IF(AND(3&gt;=$R22,3&lt;=$S22),1,0),IF(OR(3&gt;=$R22,3&lt;=$S22),1,0)))=1,"P ","")&amp;IF(IF(OR($T22=0,$U22=0),0,IF($T22&lt;=$U22,IF(AND(3&gt;=$T22,3&lt;=$U22),1,0),IF(OR(3&gt;=$T22,3&lt;=$U22),1,0)))=1,"H","")))</f>
        <v/>
      </c>
      <c r="F22" s="28">
        <f>IF(B22="","",TRIM(IF(IF(OR($P22=0,$Q22=0),0,IF($P22&lt;=$Q22,IF(AND(4&gt;=$P22,4&lt;=$Q22),1,0),IF(OR(4&gt;=$P22,4&lt;=$Q22),1,0)))=1,"S ","")&amp;IF(IF(OR($R22=0,$S22=0),0,IF($R22&lt;=$S22,IF(AND(4&gt;=$R22,4&lt;=$S22),1,0),IF(OR(4&gt;=$R22,4&lt;=$S22),1,0)))=1,"P ","")&amp;IF(IF(OR($T22=0,$U22=0),0,IF($T22&lt;=$U22,IF(AND(4&gt;=$T22,4&lt;=$U22),1,0),IF(OR(4&gt;=$T22,4&lt;=$U22),1,0)))=1,"H","")))</f>
        <v/>
      </c>
      <c r="G22" s="28">
        <f>IF(B22="","",TRIM(IF(IF(OR($P22=0,$Q22=0),0,IF($P22&lt;=$Q22,IF(AND(5&gt;=$P22,5&lt;=$Q22),1,0),IF(OR(5&gt;=$P22,5&lt;=$Q22),1,0)))=1,"S ","")&amp;IF(IF(OR($R22=0,$S22=0),0,IF($R22&lt;=$S22,IF(AND(5&gt;=$R22,5&lt;=$S22),1,0),IF(OR(5&gt;=$R22,5&lt;=$S22),1,0)))=1,"P ","")&amp;IF(IF(OR($T22=0,$U22=0),0,IF($T22&lt;=$U22,IF(AND(5&gt;=$T22,5&lt;=$U22),1,0),IF(OR(5&gt;=$T22,5&lt;=$U22),1,0)))=1,"H","")))</f>
        <v/>
      </c>
      <c r="H22" s="28">
        <f>IF(B22="","",TRIM(IF(IF(OR($P22=0,$Q22=0),0,IF($P22&lt;=$Q22,IF(AND(6&gt;=$P22,6&lt;=$Q22),1,0),IF(OR(6&gt;=$P22,6&lt;=$Q22),1,0)))=1,"S ","")&amp;IF(IF(OR($R22=0,$S22=0),0,IF($R22&lt;=$S22,IF(AND(6&gt;=$R22,6&lt;=$S22),1,0),IF(OR(6&gt;=$R22,6&lt;=$S22),1,0)))=1,"P ","")&amp;IF(IF(OR($T22=0,$U22=0),0,IF($T22&lt;=$U22,IF(AND(6&gt;=$T22,6&lt;=$U22),1,0),IF(OR(6&gt;=$T22,6&lt;=$U22),1,0)))=1,"H","")))</f>
        <v/>
      </c>
      <c r="I22" s="28">
        <f>IF(B22="","",TRIM(IF(IF(OR($P22=0,$Q22=0),0,IF($P22&lt;=$Q22,IF(AND(7&gt;=$P22,7&lt;=$Q22),1,0),IF(OR(7&gt;=$P22,7&lt;=$Q22),1,0)))=1,"S ","")&amp;IF(IF(OR($R22=0,$S22=0),0,IF($R22&lt;=$S22,IF(AND(7&gt;=$R22,7&lt;=$S22),1,0),IF(OR(7&gt;=$R22,7&lt;=$S22),1,0)))=1,"P ","")&amp;IF(IF(OR($T22=0,$U22=0),0,IF($T22&lt;=$U22,IF(AND(7&gt;=$T22,7&lt;=$U22),1,0),IF(OR(7&gt;=$T22,7&lt;=$U22),1,0)))=1,"H","")))</f>
        <v/>
      </c>
      <c r="J22" s="28">
        <f>IF(B22="","",TRIM(IF(IF(OR($P22=0,$Q22=0),0,IF($P22&lt;=$Q22,IF(AND(8&gt;=$P22,8&lt;=$Q22),1,0),IF(OR(8&gt;=$P22,8&lt;=$Q22),1,0)))=1,"S ","")&amp;IF(IF(OR($R22=0,$S22=0),0,IF($R22&lt;=$S22,IF(AND(8&gt;=$R22,8&lt;=$S22),1,0),IF(OR(8&gt;=$R22,8&lt;=$S22),1,0)))=1,"P ","")&amp;IF(IF(OR($T22=0,$U22=0),0,IF($T22&lt;=$U22,IF(AND(8&gt;=$T22,8&lt;=$U22),1,0),IF(OR(8&gt;=$T22,8&lt;=$U22),1,0)))=1,"H","")))</f>
        <v/>
      </c>
      <c r="K22" s="28">
        <f>IF(B22="","",TRIM(IF(IF(OR($P22=0,$Q22=0),0,IF($P22&lt;=$Q22,IF(AND(9&gt;=$P22,9&lt;=$Q22),1,0),IF(OR(9&gt;=$P22,9&lt;=$Q22),1,0)))=1,"S ","")&amp;IF(IF(OR($R22=0,$S22=0),0,IF($R22&lt;=$S22,IF(AND(9&gt;=$R22,9&lt;=$S22),1,0),IF(OR(9&gt;=$R22,9&lt;=$S22),1,0)))=1,"P ","")&amp;IF(IF(OR($T22=0,$U22=0),0,IF($T22&lt;=$U22,IF(AND(9&gt;=$T22,9&lt;=$U22),1,0),IF(OR(9&gt;=$T22,9&lt;=$U22),1,0)))=1,"H","")))</f>
        <v/>
      </c>
      <c r="L22" s="28">
        <f>IF(B22="","",TRIM(IF(IF(OR($P22=0,$Q22=0),0,IF($P22&lt;=$Q22,IF(AND(10&gt;=$P22,10&lt;=$Q22),1,0),IF(OR(10&gt;=$P22,10&lt;=$Q22),1,0)))=1,"S ","")&amp;IF(IF(OR($R22=0,$S22=0),0,IF($R22&lt;=$S22,IF(AND(10&gt;=$R22,10&lt;=$S22),1,0),IF(OR(10&gt;=$R22,10&lt;=$S22),1,0)))=1,"P ","")&amp;IF(IF(OR($T22=0,$U22=0),0,IF($T22&lt;=$U22,IF(AND(10&gt;=$T22,10&lt;=$U22),1,0),IF(OR(10&gt;=$T22,10&lt;=$U22),1,0)))=1,"H","")))</f>
        <v/>
      </c>
      <c r="M22" s="28">
        <f>IF(B22="","",TRIM(IF(IF(OR($P22=0,$Q22=0),0,IF($P22&lt;=$Q22,IF(AND(11&gt;=$P22,11&lt;=$Q22),1,0),IF(OR(11&gt;=$P22,11&lt;=$Q22),1,0)))=1,"S ","")&amp;IF(IF(OR($R22=0,$S22=0),0,IF($R22&lt;=$S22,IF(AND(11&gt;=$R22,11&lt;=$S22),1,0),IF(OR(11&gt;=$R22,11&lt;=$S22),1,0)))=1,"P ","")&amp;IF(IF(OR($T22=0,$U22=0),0,IF($T22&lt;=$U22,IF(AND(11&gt;=$T22,11&lt;=$U22),1,0),IF(OR(11&gt;=$T22,11&lt;=$U22),1,0)))=1,"H","")))</f>
        <v/>
      </c>
      <c r="N22" s="28">
        <f>IF(B22="","",TRIM(IF(IF(OR($P22=0,$Q22=0),0,IF($P22&lt;=$Q22,IF(AND(12&gt;=$P22,12&lt;=$Q22),1,0),IF(OR(12&gt;=$P22,12&lt;=$Q22),1,0)))=1,"S ","")&amp;IF(IF(OR($R22=0,$S22=0),0,IF($R22&lt;=$S22,IF(AND(12&gt;=$R22,12&lt;=$S22),1,0),IF(OR(12&gt;=$R22,12&lt;=$S22),1,0)))=1,"P ","")&amp;IF(IF(OR($T22=0,$U22=0),0,IF($T22&lt;=$U22,IF(AND(12&gt;=$T22,12&lt;=$U22),1,0),IF(OR(12&gt;=$T22,12&lt;=$U22),1,0)))=1,"H","")))</f>
        <v/>
      </c>
      <c r="O22" s="1" t="n"/>
      <c r="P22">
        <f>N(INDEX(Crops!$R$6:$R$65,17))</f>
        <v/>
      </c>
      <c r="Q22">
        <f>N(INDEX(Crops!$S$6:$S$65,17))</f>
        <v/>
      </c>
      <c r="R22">
        <f>N(INDEX(Crops!$T$6:$T$65,17))</f>
        <v/>
      </c>
      <c r="S22">
        <f>N(INDEX(Crops!$U$6:$U$65,17))</f>
        <v/>
      </c>
      <c r="T22">
        <f>N(INDEX(Crops!$V$6:$V$65,17))</f>
        <v/>
      </c>
      <c r="U22">
        <f>N(INDEX(Crops!$W$6:$W$65,17))</f>
        <v/>
      </c>
    </row>
    <row r="23" ht="16" customHeight="1">
      <c r="A23" s="1" t="n"/>
      <c r="B23" s="9">
        <f>IF(INDEX(Crops!$B$6:$B$65,18)="","",INDEX(Crops!$B$6:$B$65,18))</f>
        <v/>
      </c>
      <c r="C23" s="28">
        <f>IF(B23="","",TRIM(IF(IF(OR($P23=0,$Q23=0),0,IF($P23&lt;=$Q23,IF(AND(1&gt;=$P23,1&lt;=$Q23),1,0),IF(OR(1&gt;=$P23,1&lt;=$Q23),1,0)))=1,"S ","")&amp;IF(IF(OR($R23=0,$S23=0),0,IF($R23&lt;=$S23,IF(AND(1&gt;=$R23,1&lt;=$S23),1,0),IF(OR(1&gt;=$R23,1&lt;=$S23),1,0)))=1,"P ","")&amp;IF(IF(OR($T23=0,$U23=0),0,IF($T23&lt;=$U23,IF(AND(1&gt;=$T23,1&lt;=$U23),1,0),IF(OR(1&gt;=$T23,1&lt;=$U23),1,0)))=1,"H","")))</f>
        <v/>
      </c>
      <c r="D23" s="28">
        <f>IF(B23="","",TRIM(IF(IF(OR($P23=0,$Q23=0),0,IF($P23&lt;=$Q23,IF(AND(2&gt;=$P23,2&lt;=$Q23),1,0),IF(OR(2&gt;=$P23,2&lt;=$Q23),1,0)))=1,"S ","")&amp;IF(IF(OR($R23=0,$S23=0),0,IF($R23&lt;=$S23,IF(AND(2&gt;=$R23,2&lt;=$S23),1,0),IF(OR(2&gt;=$R23,2&lt;=$S23),1,0)))=1,"P ","")&amp;IF(IF(OR($T23=0,$U23=0),0,IF($T23&lt;=$U23,IF(AND(2&gt;=$T23,2&lt;=$U23),1,0),IF(OR(2&gt;=$T23,2&lt;=$U23),1,0)))=1,"H","")))</f>
        <v/>
      </c>
      <c r="E23" s="28">
        <f>IF(B23="","",TRIM(IF(IF(OR($P23=0,$Q23=0),0,IF($P23&lt;=$Q23,IF(AND(3&gt;=$P23,3&lt;=$Q23),1,0),IF(OR(3&gt;=$P23,3&lt;=$Q23),1,0)))=1,"S ","")&amp;IF(IF(OR($R23=0,$S23=0),0,IF($R23&lt;=$S23,IF(AND(3&gt;=$R23,3&lt;=$S23),1,0),IF(OR(3&gt;=$R23,3&lt;=$S23),1,0)))=1,"P ","")&amp;IF(IF(OR($T23=0,$U23=0),0,IF($T23&lt;=$U23,IF(AND(3&gt;=$T23,3&lt;=$U23),1,0),IF(OR(3&gt;=$T23,3&lt;=$U23),1,0)))=1,"H","")))</f>
        <v/>
      </c>
      <c r="F23" s="28">
        <f>IF(B23="","",TRIM(IF(IF(OR($P23=0,$Q23=0),0,IF($P23&lt;=$Q23,IF(AND(4&gt;=$P23,4&lt;=$Q23),1,0),IF(OR(4&gt;=$P23,4&lt;=$Q23),1,0)))=1,"S ","")&amp;IF(IF(OR($R23=0,$S23=0),0,IF($R23&lt;=$S23,IF(AND(4&gt;=$R23,4&lt;=$S23),1,0),IF(OR(4&gt;=$R23,4&lt;=$S23),1,0)))=1,"P ","")&amp;IF(IF(OR($T23=0,$U23=0),0,IF($T23&lt;=$U23,IF(AND(4&gt;=$T23,4&lt;=$U23),1,0),IF(OR(4&gt;=$T23,4&lt;=$U23),1,0)))=1,"H","")))</f>
        <v/>
      </c>
      <c r="G23" s="28">
        <f>IF(B23="","",TRIM(IF(IF(OR($P23=0,$Q23=0),0,IF($P23&lt;=$Q23,IF(AND(5&gt;=$P23,5&lt;=$Q23),1,0),IF(OR(5&gt;=$P23,5&lt;=$Q23),1,0)))=1,"S ","")&amp;IF(IF(OR($R23=0,$S23=0),0,IF($R23&lt;=$S23,IF(AND(5&gt;=$R23,5&lt;=$S23),1,0),IF(OR(5&gt;=$R23,5&lt;=$S23),1,0)))=1,"P ","")&amp;IF(IF(OR($T23=0,$U23=0),0,IF($T23&lt;=$U23,IF(AND(5&gt;=$T23,5&lt;=$U23),1,0),IF(OR(5&gt;=$T23,5&lt;=$U23),1,0)))=1,"H","")))</f>
        <v/>
      </c>
      <c r="H23" s="28">
        <f>IF(B23="","",TRIM(IF(IF(OR($P23=0,$Q23=0),0,IF($P23&lt;=$Q23,IF(AND(6&gt;=$P23,6&lt;=$Q23),1,0),IF(OR(6&gt;=$P23,6&lt;=$Q23),1,0)))=1,"S ","")&amp;IF(IF(OR($R23=0,$S23=0),0,IF($R23&lt;=$S23,IF(AND(6&gt;=$R23,6&lt;=$S23),1,0),IF(OR(6&gt;=$R23,6&lt;=$S23),1,0)))=1,"P ","")&amp;IF(IF(OR($T23=0,$U23=0),0,IF($T23&lt;=$U23,IF(AND(6&gt;=$T23,6&lt;=$U23),1,0),IF(OR(6&gt;=$T23,6&lt;=$U23),1,0)))=1,"H","")))</f>
        <v/>
      </c>
      <c r="I23" s="28">
        <f>IF(B23="","",TRIM(IF(IF(OR($P23=0,$Q23=0),0,IF($P23&lt;=$Q23,IF(AND(7&gt;=$P23,7&lt;=$Q23),1,0),IF(OR(7&gt;=$P23,7&lt;=$Q23),1,0)))=1,"S ","")&amp;IF(IF(OR($R23=0,$S23=0),0,IF($R23&lt;=$S23,IF(AND(7&gt;=$R23,7&lt;=$S23),1,0),IF(OR(7&gt;=$R23,7&lt;=$S23),1,0)))=1,"P ","")&amp;IF(IF(OR($T23=0,$U23=0),0,IF($T23&lt;=$U23,IF(AND(7&gt;=$T23,7&lt;=$U23),1,0),IF(OR(7&gt;=$T23,7&lt;=$U23),1,0)))=1,"H","")))</f>
        <v/>
      </c>
      <c r="J23" s="28">
        <f>IF(B23="","",TRIM(IF(IF(OR($P23=0,$Q23=0),0,IF($P23&lt;=$Q23,IF(AND(8&gt;=$P23,8&lt;=$Q23),1,0),IF(OR(8&gt;=$P23,8&lt;=$Q23),1,0)))=1,"S ","")&amp;IF(IF(OR($R23=0,$S23=0),0,IF($R23&lt;=$S23,IF(AND(8&gt;=$R23,8&lt;=$S23),1,0),IF(OR(8&gt;=$R23,8&lt;=$S23),1,0)))=1,"P ","")&amp;IF(IF(OR($T23=0,$U23=0),0,IF($T23&lt;=$U23,IF(AND(8&gt;=$T23,8&lt;=$U23),1,0),IF(OR(8&gt;=$T23,8&lt;=$U23),1,0)))=1,"H","")))</f>
        <v/>
      </c>
      <c r="K23" s="28">
        <f>IF(B23="","",TRIM(IF(IF(OR($P23=0,$Q23=0),0,IF($P23&lt;=$Q23,IF(AND(9&gt;=$P23,9&lt;=$Q23),1,0),IF(OR(9&gt;=$P23,9&lt;=$Q23),1,0)))=1,"S ","")&amp;IF(IF(OR($R23=0,$S23=0),0,IF($R23&lt;=$S23,IF(AND(9&gt;=$R23,9&lt;=$S23),1,0),IF(OR(9&gt;=$R23,9&lt;=$S23),1,0)))=1,"P ","")&amp;IF(IF(OR($T23=0,$U23=0),0,IF($T23&lt;=$U23,IF(AND(9&gt;=$T23,9&lt;=$U23),1,0),IF(OR(9&gt;=$T23,9&lt;=$U23),1,0)))=1,"H","")))</f>
        <v/>
      </c>
      <c r="L23" s="28">
        <f>IF(B23="","",TRIM(IF(IF(OR($P23=0,$Q23=0),0,IF($P23&lt;=$Q23,IF(AND(10&gt;=$P23,10&lt;=$Q23),1,0),IF(OR(10&gt;=$P23,10&lt;=$Q23),1,0)))=1,"S ","")&amp;IF(IF(OR($R23=0,$S23=0),0,IF($R23&lt;=$S23,IF(AND(10&gt;=$R23,10&lt;=$S23),1,0),IF(OR(10&gt;=$R23,10&lt;=$S23),1,0)))=1,"P ","")&amp;IF(IF(OR($T23=0,$U23=0),0,IF($T23&lt;=$U23,IF(AND(10&gt;=$T23,10&lt;=$U23),1,0),IF(OR(10&gt;=$T23,10&lt;=$U23),1,0)))=1,"H","")))</f>
        <v/>
      </c>
      <c r="M23" s="28">
        <f>IF(B23="","",TRIM(IF(IF(OR($P23=0,$Q23=0),0,IF($P23&lt;=$Q23,IF(AND(11&gt;=$P23,11&lt;=$Q23),1,0),IF(OR(11&gt;=$P23,11&lt;=$Q23),1,0)))=1,"S ","")&amp;IF(IF(OR($R23=0,$S23=0),0,IF($R23&lt;=$S23,IF(AND(11&gt;=$R23,11&lt;=$S23),1,0),IF(OR(11&gt;=$R23,11&lt;=$S23),1,0)))=1,"P ","")&amp;IF(IF(OR($T23=0,$U23=0),0,IF($T23&lt;=$U23,IF(AND(11&gt;=$T23,11&lt;=$U23),1,0),IF(OR(11&gt;=$T23,11&lt;=$U23),1,0)))=1,"H","")))</f>
        <v/>
      </c>
      <c r="N23" s="28">
        <f>IF(B23="","",TRIM(IF(IF(OR($P23=0,$Q23=0),0,IF($P23&lt;=$Q23,IF(AND(12&gt;=$P23,12&lt;=$Q23),1,0),IF(OR(12&gt;=$P23,12&lt;=$Q23),1,0)))=1,"S ","")&amp;IF(IF(OR($R23=0,$S23=0),0,IF($R23&lt;=$S23,IF(AND(12&gt;=$R23,12&lt;=$S23),1,0),IF(OR(12&gt;=$R23,12&lt;=$S23),1,0)))=1,"P ","")&amp;IF(IF(OR($T23=0,$U23=0),0,IF($T23&lt;=$U23,IF(AND(12&gt;=$T23,12&lt;=$U23),1,0),IF(OR(12&gt;=$T23,12&lt;=$U23),1,0)))=1,"H","")))</f>
        <v/>
      </c>
      <c r="O23" s="1" t="n"/>
      <c r="P23">
        <f>N(INDEX(Crops!$R$6:$R$65,18))</f>
        <v/>
      </c>
      <c r="Q23">
        <f>N(INDEX(Crops!$S$6:$S$65,18))</f>
        <v/>
      </c>
      <c r="R23">
        <f>N(INDEX(Crops!$T$6:$T$65,18))</f>
        <v/>
      </c>
      <c r="S23">
        <f>N(INDEX(Crops!$U$6:$U$65,18))</f>
        <v/>
      </c>
      <c r="T23">
        <f>N(INDEX(Crops!$V$6:$V$65,18))</f>
        <v/>
      </c>
      <c r="U23">
        <f>N(INDEX(Crops!$W$6:$W$65,18))</f>
        <v/>
      </c>
    </row>
    <row r="24" ht="16" customHeight="1">
      <c r="A24" s="1" t="n"/>
      <c r="B24" s="9">
        <f>IF(INDEX(Crops!$B$6:$B$65,19)="","",INDEX(Crops!$B$6:$B$65,19))</f>
        <v/>
      </c>
      <c r="C24" s="28">
        <f>IF(B24="","",TRIM(IF(IF(OR($P24=0,$Q24=0),0,IF($P24&lt;=$Q24,IF(AND(1&gt;=$P24,1&lt;=$Q24),1,0),IF(OR(1&gt;=$P24,1&lt;=$Q24),1,0)))=1,"S ","")&amp;IF(IF(OR($R24=0,$S24=0),0,IF($R24&lt;=$S24,IF(AND(1&gt;=$R24,1&lt;=$S24),1,0),IF(OR(1&gt;=$R24,1&lt;=$S24),1,0)))=1,"P ","")&amp;IF(IF(OR($T24=0,$U24=0),0,IF($T24&lt;=$U24,IF(AND(1&gt;=$T24,1&lt;=$U24),1,0),IF(OR(1&gt;=$T24,1&lt;=$U24),1,0)))=1,"H","")))</f>
        <v/>
      </c>
      <c r="D24" s="28">
        <f>IF(B24="","",TRIM(IF(IF(OR($P24=0,$Q24=0),0,IF($P24&lt;=$Q24,IF(AND(2&gt;=$P24,2&lt;=$Q24),1,0),IF(OR(2&gt;=$P24,2&lt;=$Q24),1,0)))=1,"S ","")&amp;IF(IF(OR($R24=0,$S24=0),0,IF($R24&lt;=$S24,IF(AND(2&gt;=$R24,2&lt;=$S24),1,0),IF(OR(2&gt;=$R24,2&lt;=$S24),1,0)))=1,"P ","")&amp;IF(IF(OR($T24=0,$U24=0),0,IF($T24&lt;=$U24,IF(AND(2&gt;=$T24,2&lt;=$U24),1,0),IF(OR(2&gt;=$T24,2&lt;=$U24),1,0)))=1,"H","")))</f>
        <v/>
      </c>
      <c r="E24" s="28">
        <f>IF(B24="","",TRIM(IF(IF(OR($P24=0,$Q24=0),0,IF($P24&lt;=$Q24,IF(AND(3&gt;=$P24,3&lt;=$Q24),1,0),IF(OR(3&gt;=$P24,3&lt;=$Q24),1,0)))=1,"S ","")&amp;IF(IF(OR($R24=0,$S24=0),0,IF($R24&lt;=$S24,IF(AND(3&gt;=$R24,3&lt;=$S24),1,0),IF(OR(3&gt;=$R24,3&lt;=$S24),1,0)))=1,"P ","")&amp;IF(IF(OR($T24=0,$U24=0),0,IF($T24&lt;=$U24,IF(AND(3&gt;=$T24,3&lt;=$U24),1,0),IF(OR(3&gt;=$T24,3&lt;=$U24),1,0)))=1,"H","")))</f>
        <v/>
      </c>
      <c r="F24" s="28">
        <f>IF(B24="","",TRIM(IF(IF(OR($P24=0,$Q24=0),0,IF($P24&lt;=$Q24,IF(AND(4&gt;=$P24,4&lt;=$Q24),1,0),IF(OR(4&gt;=$P24,4&lt;=$Q24),1,0)))=1,"S ","")&amp;IF(IF(OR($R24=0,$S24=0),0,IF($R24&lt;=$S24,IF(AND(4&gt;=$R24,4&lt;=$S24),1,0),IF(OR(4&gt;=$R24,4&lt;=$S24),1,0)))=1,"P ","")&amp;IF(IF(OR($T24=0,$U24=0),0,IF($T24&lt;=$U24,IF(AND(4&gt;=$T24,4&lt;=$U24),1,0),IF(OR(4&gt;=$T24,4&lt;=$U24),1,0)))=1,"H","")))</f>
        <v/>
      </c>
      <c r="G24" s="28">
        <f>IF(B24="","",TRIM(IF(IF(OR($P24=0,$Q24=0),0,IF($P24&lt;=$Q24,IF(AND(5&gt;=$P24,5&lt;=$Q24),1,0),IF(OR(5&gt;=$P24,5&lt;=$Q24),1,0)))=1,"S ","")&amp;IF(IF(OR($R24=0,$S24=0),0,IF($R24&lt;=$S24,IF(AND(5&gt;=$R24,5&lt;=$S24),1,0),IF(OR(5&gt;=$R24,5&lt;=$S24),1,0)))=1,"P ","")&amp;IF(IF(OR($T24=0,$U24=0),0,IF($T24&lt;=$U24,IF(AND(5&gt;=$T24,5&lt;=$U24),1,0),IF(OR(5&gt;=$T24,5&lt;=$U24),1,0)))=1,"H","")))</f>
        <v/>
      </c>
      <c r="H24" s="28">
        <f>IF(B24="","",TRIM(IF(IF(OR($P24=0,$Q24=0),0,IF($P24&lt;=$Q24,IF(AND(6&gt;=$P24,6&lt;=$Q24),1,0),IF(OR(6&gt;=$P24,6&lt;=$Q24),1,0)))=1,"S ","")&amp;IF(IF(OR($R24=0,$S24=0),0,IF($R24&lt;=$S24,IF(AND(6&gt;=$R24,6&lt;=$S24),1,0),IF(OR(6&gt;=$R24,6&lt;=$S24),1,0)))=1,"P ","")&amp;IF(IF(OR($T24=0,$U24=0),0,IF($T24&lt;=$U24,IF(AND(6&gt;=$T24,6&lt;=$U24),1,0),IF(OR(6&gt;=$T24,6&lt;=$U24),1,0)))=1,"H","")))</f>
        <v/>
      </c>
      <c r="I24" s="28">
        <f>IF(B24="","",TRIM(IF(IF(OR($P24=0,$Q24=0),0,IF($P24&lt;=$Q24,IF(AND(7&gt;=$P24,7&lt;=$Q24),1,0),IF(OR(7&gt;=$P24,7&lt;=$Q24),1,0)))=1,"S ","")&amp;IF(IF(OR($R24=0,$S24=0),0,IF($R24&lt;=$S24,IF(AND(7&gt;=$R24,7&lt;=$S24),1,0),IF(OR(7&gt;=$R24,7&lt;=$S24),1,0)))=1,"P ","")&amp;IF(IF(OR($T24=0,$U24=0),0,IF($T24&lt;=$U24,IF(AND(7&gt;=$T24,7&lt;=$U24),1,0),IF(OR(7&gt;=$T24,7&lt;=$U24),1,0)))=1,"H","")))</f>
        <v/>
      </c>
      <c r="J24" s="28">
        <f>IF(B24="","",TRIM(IF(IF(OR($P24=0,$Q24=0),0,IF($P24&lt;=$Q24,IF(AND(8&gt;=$P24,8&lt;=$Q24),1,0),IF(OR(8&gt;=$P24,8&lt;=$Q24),1,0)))=1,"S ","")&amp;IF(IF(OR($R24=0,$S24=0),0,IF($R24&lt;=$S24,IF(AND(8&gt;=$R24,8&lt;=$S24),1,0),IF(OR(8&gt;=$R24,8&lt;=$S24),1,0)))=1,"P ","")&amp;IF(IF(OR($T24=0,$U24=0),0,IF($T24&lt;=$U24,IF(AND(8&gt;=$T24,8&lt;=$U24),1,0),IF(OR(8&gt;=$T24,8&lt;=$U24),1,0)))=1,"H","")))</f>
        <v/>
      </c>
      <c r="K24" s="28">
        <f>IF(B24="","",TRIM(IF(IF(OR($P24=0,$Q24=0),0,IF($P24&lt;=$Q24,IF(AND(9&gt;=$P24,9&lt;=$Q24),1,0),IF(OR(9&gt;=$P24,9&lt;=$Q24),1,0)))=1,"S ","")&amp;IF(IF(OR($R24=0,$S24=0),0,IF($R24&lt;=$S24,IF(AND(9&gt;=$R24,9&lt;=$S24),1,0),IF(OR(9&gt;=$R24,9&lt;=$S24),1,0)))=1,"P ","")&amp;IF(IF(OR($T24=0,$U24=0),0,IF($T24&lt;=$U24,IF(AND(9&gt;=$T24,9&lt;=$U24),1,0),IF(OR(9&gt;=$T24,9&lt;=$U24),1,0)))=1,"H","")))</f>
        <v/>
      </c>
      <c r="L24" s="28">
        <f>IF(B24="","",TRIM(IF(IF(OR($P24=0,$Q24=0),0,IF($P24&lt;=$Q24,IF(AND(10&gt;=$P24,10&lt;=$Q24),1,0),IF(OR(10&gt;=$P24,10&lt;=$Q24),1,0)))=1,"S ","")&amp;IF(IF(OR($R24=0,$S24=0),0,IF($R24&lt;=$S24,IF(AND(10&gt;=$R24,10&lt;=$S24),1,0),IF(OR(10&gt;=$R24,10&lt;=$S24),1,0)))=1,"P ","")&amp;IF(IF(OR($T24=0,$U24=0),0,IF($T24&lt;=$U24,IF(AND(10&gt;=$T24,10&lt;=$U24),1,0),IF(OR(10&gt;=$T24,10&lt;=$U24),1,0)))=1,"H","")))</f>
        <v/>
      </c>
      <c r="M24" s="28">
        <f>IF(B24="","",TRIM(IF(IF(OR($P24=0,$Q24=0),0,IF($P24&lt;=$Q24,IF(AND(11&gt;=$P24,11&lt;=$Q24),1,0),IF(OR(11&gt;=$P24,11&lt;=$Q24),1,0)))=1,"S ","")&amp;IF(IF(OR($R24=0,$S24=0),0,IF($R24&lt;=$S24,IF(AND(11&gt;=$R24,11&lt;=$S24),1,0),IF(OR(11&gt;=$R24,11&lt;=$S24),1,0)))=1,"P ","")&amp;IF(IF(OR($T24=0,$U24=0),0,IF($T24&lt;=$U24,IF(AND(11&gt;=$T24,11&lt;=$U24),1,0),IF(OR(11&gt;=$T24,11&lt;=$U24),1,0)))=1,"H","")))</f>
        <v/>
      </c>
      <c r="N24" s="28">
        <f>IF(B24="","",TRIM(IF(IF(OR($P24=0,$Q24=0),0,IF($P24&lt;=$Q24,IF(AND(12&gt;=$P24,12&lt;=$Q24),1,0),IF(OR(12&gt;=$P24,12&lt;=$Q24),1,0)))=1,"S ","")&amp;IF(IF(OR($R24=0,$S24=0),0,IF($R24&lt;=$S24,IF(AND(12&gt;=$R24,12&lt;=$S24),1,0),IF(OR(12&gt;=$R24,12&lt;=$S24),1,0)))=1,"P ","")&amp;IF(IF(OR($T24=0,$U24=0),0,IF($T24&lt;=$U24,IF(AND(12&gt;=$T24,12&lt;=$U24),1,0),IF(OR(12&gt;=$T24,12&lt;=$U24),1,0)))=1,"H","")))</f>
        <v/>
      </c>
      <c r="O24" s="1" t="n"/>
      <c r="P24">
        <f>N(INDEX(Crops!$R$6:$R$65,19))</f>
        <v/>
      </c>
      <c r="Q24">
        <f>N(INDEX(Crops!$S$6:$S$65,19))</f>
        <v/>
      </c>
      <c r="R24">
        <f>N(INDEX(Crops!$T$6:$T$65,19))</f>
        <v/>
      </c>
      <c r="S24">
        <f>N(INDEX(Crops!$U$6:$U$65,19))</f>
        <v/>
      </c>
      <c r="T24">
        <f>N(INDEX(Crops!$V$6:$V$65,19))</f>
        <v/>
      </c>
      <c r="U24">
        <f>N(INDEX(Crops!$W$6:$W$65,19))</f>
        <v/>
      </c>
    </row>
    <row r="25" ht="16" customHeight="1">
      <c r="A25" s="1" t="n"/>
      <c r="B25" s="9">
        <f>IF(INDEX(Crops!$B$6:$B$65,20)="","",INDEX(Crops!$B$6:$B$65,20))</f>
        <v/>
      </c>
      <c r="C25" s="28">
        <f>IF(B25="","",TRIM(IF(IF(OR($P25=0,$Q25=0),0,IF($P25&lt;=$Q25,IF(AND(1&gt;=$P25,1&lt;=$Q25),1,0),IF(OR(1&gt;=$P25,1&lt;=$Q25),1,0)))=1,"S ","")&amp;IF(IF(OR($R25=0,$S25=0),0,IF($R25&lt;=$S25,IF(AND(1&gt;=$R25,1&lt;=$S25),1,0),IF(OR(1&gt;=$R25,1&lt;=$S25),1,0)))=1,"P ","")&amp;IF(IF(OR($T25=0,$U25=0),0,IF($T25&lt;=$U25,IF(AND(1&gt;=$T25,1&lt;=$U25),1,0),IF(OR(1&gt;=$T25,1&lt;=$U25),1,0)))=1,"H","")))</f>
        <v/>
      </c>
      <c r="D25" s="28">
        <f>IF(B25="","",TRIM(IF(IF(OR($P25=0,$Q25=0),0,IF($P25&lt;=$Q25,IF(AND(2&gt;=$P25,2&lt;=$Q25),1,0),IF(OR(2&gt;=$P25,2&lt;=$Q25),1,0)))=1,"S ","")&amp;IF(IF(OR($R25=0,$S25=0),0,IF($R25&lt;=$S25,IF(AND(2&gt;=$R25,2&lt;=$S25),1,0),IF(OR(2&gt;=$R25,2&lt;=$S25),1,0)))=1,"P ","")&amp;IF(IF(OR($T25=0,$U25=0),0,IF($T25&lt;=$U25,IF(AND(2&gt;=$T25,2&lt;=$U25),1,0),IF(OR(2&gt;=$T25,2&lt;=$U25),1,0)))=1,"H","")))</f>
        <v/>
      </c>
      <c r="E25" s="28">
        <f>IF(B25="","",TRIM(IF(IF(OR($P25=0,$Q25=0),0,IF($P25&lt;=$Q25,IF(AND(3&gt;=$P25,3&lt;=$Q25),1,0),IF(OR(3&gt;=$P25,3&lt;=$Q25),1,0)))=1,"S ","")&amp;IF(IF(OR($R25=0,$S25=0),0,IF($R25&lt;=$S25,IF(AND(3&gt;=$R25,3&lt;=$S25),1,0),IF(OR(3&gt;=$R25,3&lt;=$S25),1,0)))=1,"P ","")&amp;IF(IF(OR($T25=0,$U25=0),0,IF($T25&lt;=$U25,IF(AND(3&gt;=$T25,3&lt;=$U25),1,0),IF(OR(3&gt;=$T25,3&lt;=$U25),1,0)))=1,"H","")))</f>
        <v/>
      </c>
      <c r="F25" s="28">
        <f>IF(B25="","",TRIM(IF(IF(OR($P25=0,$Q25=0),0,IF($P25&lt;=$Q25,IF(AND(4&gt;=$P25,4&lt;=$Q25),1,0),IF(OR(4&gt;=$P25,4&lt;=$Q25),1,0)))=1,"S ","")&amp;IF(IF(OR($R25=0,$S25=0),0,IF($R25&lt;=$S25,IF(AND(4&gt;=$R25,4&lt;=$S25),1,0),IF(OR(4&gt;=$R25,4&lt;=$S25),1,0)))=1,"P ","")&amp;IF(IF(OR($T25=0,$U25=0),0,IF($T25&lt;=$U25,IF(AND(4&gt;=$T25,4&lt;=$U25),1,0),IF(OR(4&gt;=$T25,4&lt;=$U25),1,0)))=1,"H","")))</f>
        <v/>
      </c>
      <c r="G25" s="28">
        <f>IF(B25="","",TRIM(IF(IF(OR($P25=0,$Q25=0),0,IF($P25&lt;=$Q25,IF(AND(5&gt;=$P25,5&lt;=$Q25),1,0),IF(OR(5&gt;=$P25,5&lt;=$Q25),1,0)))=1,"S ","")&amp;IF(IF(OR($R25=0,$S25=0),0,IF($R25&lt;=$S25,IF(AND(5&gt;=$R25,5&lt;=$S25),1,0),IF(OR(5&gt;=$R25,5&lt;=$S25),1,0)))=1,"P ","")&amp;IF(IF(OR($T25=0,$U25=0),0,IF($T25&lt;=$U25,IF(AND(5&gt;=$T25,5&lt;=$U25),1,0),IF(OR(5&gt;=$T25,5&lt;=$U25),1,0)))=1,"H","")))</f>
        <v/>
      </c>
      <c r="H25" s="28">
        <f>IF(B25="","",TRIM(IF(IF(OR($P25=0,$Q25=0),0,IF($P25&lt;=$Q25,IF(AND(6&gt;=$P25,6&lt;=$Q25),1,0),IF(OR(6&gt;=$P25,6&lt;=$Q25),1,0)))=1,"S ","")&amp;IF(IF(OR($R25=0,$S25=0),0,IF($R25&lt;=$S25,IF(AND(6&gt;=$R25,6&lt;=$S25),1,0),IF(OR(6&gt;=$R25,6&lt;=$S25),1,0)))=1,"P ","")&amp;IF(IF(OR($T25=0,$U25=0),0,IF($T25&lt;=$U25,IF(AND(6&gt;=$T25,6&lt;=$U25),1,0),IF(OR(6&gt;=$T25,6&lt;=$U25),1,0)))=1,"H","")))</f>
        <v/>
      </c>
      <c r="I25" s="28">
        <f>IF(B25="","",TRIM(IF(IF(OR($P25=0,$Q25=0),0,IF($P25&lt;=$Q25,IF(AND(7&gt;=$P25,7&lt;=$Q25),1,0),IF(OR(7&gt;=$P25,7&lt;=$Q25),1,0)))=1,"S ","")&amp;IF(IF(OR($R25=0,$S25=0),0,IF($R25&lt;=$S25,IF(AND(7&gt;=$R25,7&lt;=$S25),1,0),IF(OR(7&gt;=$R25,7&lt;=$S25),1,0)))=1,"P ","")&amp;IF(IF(OR($T25=0,$U25=0),0,IF($T25&lt;=$U25,IF(AND(7&gt;=$T25,7&lt;=$U25),1,0),IF(OR(7&gt;=$T25,7&lt;=$U25),1,0)))=1,"H","")))</f>
        <v/>
      </c>
      <c r="J25" s="28">
        <f>IF(B25="","",TRIM(IF(IF(OR($P25=0,$Q25=0),0,IF($P25&lt;=$Q25,IF(AND(8&gt;=$P25,8&lt;=$Q25),1,0),IF(OR(8&gt;=$P25,8&lt;=$Q25),1,0)))=1,"S ","")&amp;IF(IF(OR($R25=0,$S25=0),0,IF($R25&lt;=$S25,IF(AND(8&gt;=$R25,8&lt;=$S25),1,0),IF(OR(8&gt;=$R25,8&lt;=$S25),1,0)))=1,"P ","")&amp;IF(IF(OR($T25=0,$U25=0),0,IF($T25&lt;=$U25,IF(AND(8&gt;=$T25,8&lt;=$U25),1,0),IF(OR(8&gt;=$T25,8&lt;=$U25),1,0)))=1,"H","")))</f>
        <v/>
      </c>
      <c r="K25" s="28">
        <f>IF(B25="","",TRIM(IF(IF(OR($P25=0,$Q25=0),0,IF($P25&lt;=$Q25,IF(AND(9&gt;=$P25,9&lt;=$Q25),1,0),IF(OR(9&gt;=$P25,9&lt;=$Q25),1,0)))=1,"S ","")&amp;IF(IF(OR($R25=0,$S25=0),0,IF($R25&lt;=$S25,IF(AND(9&gt;=$R25,9&lt;=$S25),1,0),IF(OR(9&gt;=$R25,9&lt;=$S25),1,0)))=1,"P ","")&amp;IF(IF(OR($T25=0,$U25=0),0,IF($T25&lt;=$U25,IF(AND(9&gt;=$T25,9&lt;=$U25),1,0),IF(OR(9&gt;=$T25,9&lt;=$U25),1,0)))=1,"H","")))</f>
        <v/>
      </c>
      <c r="L25" s="28">
        <f>IF(B25="","",TRIM(IF(IF(OR($P25=0,$Q25=0),0,IF($P25&lt;=$Q25,IF(AND(10&gt;=$P25,10&lt;=$Q25),1,0),IF(OR(10&gt;=$P25,10&lt;=$Q25),1,0)))=1,"S ","")&amp;IF(IF(OR($R25=0,$S25=0),0,IF($R25&lt;=$S25,IF(AND(10&gt;=$R25,10&lt;=$S25),1,0),IF(OR(10&gt;=$R25,10&lt;=$S25),1,0)))=1,"P ","")&amp;IF(IF(OR($T25=0,$U25=0),0,IF($T25&lt;=$U25,IF(AND(10&gt;=$T25,10&lt;=$U25),1,0),IF(OR(10&gt;=$T25,10&lt;=$U25),1,0)))=1,"H","")))</f>
        <v/>
      </c>
      <c r="M25" s="28">
        <f>IF(B25="","",TRIM(IF(IF(OR($P25=0,$Q25=0),0,IF($P25&lt;=$Q25,IF(AND(11&gt;=$P25,11&lt;=$Q25),1,0),IF(OR(11&gt;=$P25,11&lt;=$Q25),1,0)))=1,"S ","")&amp;IF(IF(OR($R25=0,$S25=0),0,IF($R25&lt;=$S25,IF(AND(11&gt;=$R25,11&lt;=$S25),1,0),IF(OR(11&gt;=$R25,11&lt;=$S25),1,0)))=1,"P ","")&amp;IF(IF(OR($T25=0,$U25=0),0,IF($T25&lt;=$U25,IF(AND(11&gt;=$T25,11&lt;=$U25),1,0),IF(OR(11&gt;=$T25,11&lt;=$U25),1,0)))=1,"H","")))</f>
        <v/>
      </c>
      <c r="N25" s="28">
        <f>IF(B25="","",TRIM(IF(IF(OR($P25=0,$Q25=0),0,IF($P25&lt;=$Q25,IF(AND(12&gt;=$P25,12&lt;=$Q25),1,0),IF(OR(12&gt;=$P25,12&lt;=$Q25),1,0)))=1,"S ","")&amp;IF(IF(OR($R25=0,$S25=0),0,IF($R25&lt;=$S25,IF(AND(12&gt;=$R25,12&lt;=$S25),1,0),IF(OR(12&gt;=$R25,12&lt;=$S25),1,0)))=1,"P ","")&amp;IF(IF(OR($T25=0,$U25=0),0,IF($T25&lt;=$U25,IF(AND(12&gt;=$T25,12&lt;=$U25),1,0),IF(OR(12&gt;=$T25,12&lt;=$U25),1,0)))=1,"H","")))</f>
        <v/>
      </c>
      <c r="O25" s="1" t="n"/>
      <c r="P25">
        <f>N(INDEX(Crops!$R$6:$R$65,20))</f>
        <v/>
      </c>
      <c r="Q25">
        <f>N(INDEX(Crops!$S$6:$S$65,20))</f>
        <v/>
      </c>
      <c r="R25">
        <f>N(INDEX(Crops!$T$6:$T$65,20))</f>
        <v/>
      </c>
      <c r="S25">
        <f>N(INDEX(Crops!$U$6:$U$65,20))</f>
        <v/>
      </c>
      <c r="T25">
        <f>N(INDEX(Crops!$V$6:$V$65,20))</f>
        <v/>
      </c>
      <c r="U25">
        <f>N(INDEX(Crops!$W$6:$W$65,20))</f>
        <v/>
      </c>
    </row>
    <row r="26" ht="16" customHeight="1">
      <c r="A26" s="1" t="n"/>
      <c r="B26" s="9">
        <f>IF(INDEX(Crops!$B$6:$B$65,21)="","",INDEX(Crops!$B$6:$B$65,21))</f>
        <v/>
      </c>
      <c r="C26" s="28">
        <f>IF(B26="","",TRIM(IF(IF(OR($P26=0,$Q26=0),0,IF($P26&lt;=$Q26,IF(AND(1&gt;=$P26,1&lt;=$Q26),1,0),IF(OR(1&gt;=$P26,1&lt;=$Q26),1,0)))=1,"S ","")&amp;IF(IF(OR($R26=0,$S26=0),0,IF($R26&lt;=$S26,IF(AND(1&gt;=$R26,1&lt;=$S26),1,0),IF(OR(1&gt;=$R26,1&lt;=$S26),1,0)))=1,"P ","")&amp;IF(IF(OR($T26=0,$U26=0),0,IF($T26&lt;=$U26,IF(AND(1&gt;=$T26,1&lt;=$U26),1,0),IF(OR(1&gt;=$T26,1&lt;=$U26),1,0)))=1,"H","")))</f>
        <v/>
      </c>
      <c r="D26" s="28">
        <f>IF(B26="","",TRIM(IF(IF(OR($P26=0,$Q26=0),0,IF($P26&lt;=$Q26,IF(AND(2&gt;=$P26,2&lt;=$Q26),1,0),IF(OR(2&gt;=$P26,2&lt;=$Q26),1,0)))=1,"S ","")&amp;IF(IF(OR($R26=0,$S26=0),0,IF($R26&lt;=$S26,IF(AND(2&gt;=$R26,2&lt;=$S26),1,0),IF(OR(2&gt;=$R26,2&lt;=$S26),1,0)))=1,"P ","")&amp;IF(IF(OR($T26=0,$U26=0),0,IF($T26&lt;=$U26,IF(AND(2&gt;=$T26,2&lt;=$U26),1,0),IF(OR(2&gt;=$T26,2&lt;=$U26),1,0)))=1,"H","")))</f>
        <v/>
      </c>
      <c r="E26" s="28">
        <f>IF(B26="","",TRIM(IF(IF(OR($P26=0,$Q26=0),0,IF($P26&lt;=$Q26,IF(AND(3&gt;=$P26,3&lt;=$Q26),1,0),IF(OR(3&gt;=$P26,3&lt;=$Q26),1,0)))=1,"S ","")&amp;IF(IF(OR($R26=0,$S26=0),0,IF($R26&lt;=$S26,IF(AND(3&gt;=$R26,3&lt;=$S26),1,0),IF(OR(3&gt;=$R26,3&lt;=$S26),1,0)))=1,"P ","")&amp;IF(IF(OR($T26=0,$U26=0),0,IF($T26&lt;=$U26,IF(AND(3&gt;=$T26,3&lt;=$U26),1,0),IF(OR(3&gt;=$T26,3&lt;=$U26),1,0)))=1,"H","")))</f>
        <v/>
      </c>
      <c r="F26" s="28">
        <f>IF(B26="","",TRIM(IF(IF(OR($P26=0,$Q26=0),0,IF($P26&lt;=$Q26,IF(AND(4&gt;=$P26,4&lt;=$Q26),1,0),IF(OR(4&gt;=$P26,4&lt;=$Q26),1,0)))=1,"S ","")&amp;IF(IF(OR($R26=0,$S26=0),0,IF($R26&lt;=$S26,IF(AND(4&gt;=$R26,4&lt;=$S26),1,0),IF(OR(4&gt;=$R26,4&lt;=$S26),1,0)))=1,"P ","")&amp;IF(IF(OR($T26=0,$U26=0),0,IF($T26&lt;=$U26,IF(AND(4&gt;=$T26,4&lt;=$U26),1,0),IF(OR(4&gt;=$T26,4&lt;=$U26),1,0)))=1,"H","")))</f>
        <v/>
      </c>
      <c r="G26" s="28">
        <f>IF(B26="","",TRIM(IF(IF(OR($P26=0,$Q26=0),0,IF($P26&lt;=$Q26,IF(AND(5&gt;=$P26,5&lt;=$Q26),1,0),IF(OR(5&gt;=$P26,5&lt;=$Q26),1,0)))=1,"S ","")&amp;IF(IF(OR($R26=0,$S26=0),0,IF($R26&lt;=$S26,IF(AND(5&gt;=$R26,5&lt;=$S26),1,0),IF(OR(5&gt;=$R26,5&lt;=$S26),1,0)))=1,"P ","")&amp;IF(IF(OR($T26=0,$U26=0),0,IF($T26&lt;=$U26,IF(AND(5&gt;=$T26,5&lt;=$U26),1,0),IF(OR(5&gt;=$T26,5&lt;=$U26),1,0)))=1,"H","")))</f>
        <v/>
      </c>
      <c r="H26" s="28">
        <f>IF(B26="","",TRIM(IF(IF(OR($P26=0,$Q26=0),0,IF($P26&lt;=$Q26,IF(AND(6&gt;=$P26,6&lt;=$Q26),1,0),IF(OR(6&gt;=$P26,6&lt;=$Q26),1,0)))=1,"S ","")&amp;IF(IF(OR($R26=0,$S26=0),0,IF($R26&lt;=$S26,IF(AND(6&gt;=$R26,6&lt;=$S26),1,0),IF(OR(6&gt;=$R26,6&lt;=$S26),1,0)))=1,"P ","")&amp;IF(IF(OR($T26=0,$U26=0),0,IF($T26&lt;=$U26,IF(AND(6&gt;=$T26,6&lt;=$U26),1,0),IF(OR(6&gt;=$T26,6&lt;=$U26),1,0)))=1,"H","")))</f>
        <v/>
      </c>
      <c r="I26" s="28">
        <f>IF(B26="","",TRIM(IF(IF(OR($P26=0,$Q26=0),0,IF($P26&lt;=$Q26,IF(AND(7&gt;=$P26,7&lt;=$Q26),1,0),IF(OR(7&gt;=$P26,7&lt;=$Q26),1,0)))=1,"S ","")&amp;IF(IF(OR($R26=0,$S26=0),0,IF($R26&lt;=$S26,IF(AND(7&gt;=$R26,7&lt;=$S26),1,0),IF(OR(7&gt;=$R26,7&lt;=$S26),1,0)))=1,"P ","")&amp;IF(IF(OR($T26=0,$U26=0),0,IF($T26&lt;=$U26,IF(AND(7&gt;=$T26,7&lt;=$U26),1,0),IF(OR(7&gt;=$T26,7&lt;=$U26),1,0)))=1,"H","")))</f>
        <v/>
      </c>
      <c r="J26" s="28">
        <f>IF(B26="","",TRIM(IF(IF(OR($P26=0,$Q26=0),0,IF($P26&lt;=$Q26,IF(AND(8&gt;=$P26,8&lt;=$Q26),1,0),IF(OR(8&gt;=$P26,8&lt;=$Q26),1,0)))=1,"S ","")&amp;IF(IF(OR($R26=0,$S26=0),0,IF($R26&lt;=$S26,IF(AND(8&gt;=$R26,8&lt;=$S26),1,0),IF(OR(8&gt;=$R26,8&lt;=$S26),1,0)))=1,"P ","")&amp;IF(IF(OR($T26=0,$U26=0),0,IF($T26&lt;=$U26,IF(AND(8&gt;=$T26,8&lt;=$U26),1,0),IF(OR(8&gt;=$T26,8&lt;=$U26),1,0)))=1,"H","")))</f>
        <v/>
      </c>
      <c r="K26" s="28">
        <f>IF(B26="","",TRIM(IF(IF(OR($P26=0,$Q26=0),0,IF($P26&lt;=$Q26,IF(AND(9&gt;=$P26,9&lt;=$Q26),1,0),IF(OR(9&gt;=$P26,9&lt;=$Q26),1,0)))=1,"S ","")&amp;IF(IF(OR($R26=0,$S26=0),0,IF($R26&lt;=$S26,IF(AND(9&gt;=$R26,9&lt;=$S26),1,0),IF(OR(9&gt;=$R26,9&lt;=$S26),1,0)))=1,"P ","")&amp;IF(IF(OR($T26=0,$U26=0),0,IF($T26&lt;=$U26,IF(AND(9&gt;=$T26,9&lt;=$U26),1,0),IF(OR(9&gt;=$T26,9&lt;=$U26),1,0)))=1,"H","")))</f>
        <v/>
      </c>
      <c r="L26" s="28">
        <f>IF(B26="","",TRIM(IF(IF(OR($P26=0,$Q26=0),0,IF($P26&lt;=$Q26,IF(AND(10&gt;=$P26,10&lt;=$Q26),1,0),IF(OR(10&gt;=$P26,10&lt;=$Q26),1,0)))=1,"S ","")&amp;IF(IF(OR($R26=0,$S26=0),0,IF($R26&lt;=$S26,IF(AND(10&gt;=$R26,10&lt;=$S26),1,0),IF(OR(10&gt;=$R26,10&lt;=$S26),1,0)))=1,"P ","")&amp;IF(IF(OR($T26=0,$U26=0),0,IF($T26&lt;=$U26,IF(AND(10&gt;=$T26,10&lt;=$U26),1,0),IF(OR(10&gt;=$T26,10&lt;=$U26),1,0)))=1,"H","")))</f>
        <v/>
      </c>
      <c r="M26" s="28">
        <f>IF(B26="","",TRIM(IF(IF(OR($P26=0,$Q26=0),0,IF($P26&lt;=$Q26,IF(AND(11&gt;=$P26,11&lt;=$Q26),1,0),IF(OR(11&gt;=$P26,11&lt;=$Q26),1,0)))=1,"S ","")&amp;IF(IF(OR($R26=0,$S26=0),0,IF($R26&lt;=$S26,IF(AND(11&gt;=$R26,11&lt;=$S26),1,0),IF(OR(11&gt;=$R26,11&lt;=$S26),1,0)))=1,"P ","")&amp;IF(IF(OR($T26=0,$U26=0),0,IF($T26&lt;=$U26,IF(AND(11&gt;=$T26,11&lt;=$U26),1,0),IF(OR(11&gt;=$T26,11&lt;=$U26),1,0)))=1,"H","")))</f>
        <v/>
      </c>
      <c r="N26" s="28">
        <f>IF(B26="","",TRIM(IF(IF(OR($P26=0,$Q26=0),0,IF($P26&lt;=$Q26,IF(AND(12&gt;=$P26,12&lt;=$Q26),1,0),IF(OR(12&gt;=$P26,12&lt;=$Q26),1,0)))=1,"S ","")&amp;IF(IF(OR($R26=0,$S26=0),0,IF($R26&lt;=$S26,IF(AND(12&gt;=$R26,12&lt;=$S26),1,0),IF(OR(12&gt;=$R26,12&lt;=$S26),1,0)))=1,"P ","")&amp;IF(IF(OR($T26=0,$U26=0),0,IF($T26&lt;=$U26,IF(AND(12&gt;=$T26,12&lt;=$U26),1,0),IF(OR(12&gt;=$T26,12&lt;=$U26),1,0)))=1,"H","")))</f>
        <v/>
      </c>
      <c r="O26" s="1" t="n"/>
      <c r="P26">
        <f>N(INDEX(Crops!$R$6:$R$65,21))</f>
        <v/>
      </c>
      <c r="Q26">
        <f>N(INDEX(Crops!$S$6:$S$65,21))</f>
        <v/>
      </c>
      <c r="R26">
        <f>N(INDEX(Crops!$T$6:$T$65,21))</f>
        <v/>
      </c>
      <c r="S26">
        <f>N(INDEX(Crops!$U$6:$U$65,21))</f>
        <v/>
      </c>
      <c r="T26">
        <f>N(INDEX(Crops!$V$6:$V$65,21))</f>
        <v/>
      </c>
      <c r="U26">
        <f>N(INDEX(Crops!$W$6:$W$65,21))</f>
        <v/>
      </c>
    </row>
    <row r="27" ht="16" customHeight="1">
      <c r="A27" s="1" t="n"/>
      <c r="B27" s="9">
        <f>IF(INDEX(Crops!$B$6:$B$65,22)="","",INDEX(Crops!$B$6:$B$65,22))</f>
        <v/>
      </c>
      <c r="C27" s="28">
        <f>IF(B27="","",TRIM(IF(IF(OR($P27=0,$Q27=0),0,IF($P27&lt;=$Q27,IF(AND(1&gt;=$P27,1&lt;=$Q27),1,0),IF(OR(1&gt;=$P27,1&lt;=$Q27),1,0)))=1,"S ","")&amp;IF(IF(OR($R27=0,$S27=0),0,IF($R27&lt;=$S27,IF(AND(1&gt;=$R27,1&lt;=$S27),1,0),IF(OR(1&gt;=$R27,1&lt;=$S27),1,0)))=1,"P ","")&amp;IF(IF(OR($T27=0,$U27=0),0,IF($T27&lt;=$U27,IF(AND(1&gt;=$T27,1&lt;=$U27),1,0),IF(OR(1&gt;=$T27,1&lt;=$U27),1,0)))=1,"H","")))</f>
        <v/>
      </c>
      <c r="D27" s="28">
        <f>IF(B27="","",TRIM(IF(IF(OR($P27=0,$Q27=0),0,IF($P27&lt;=$Q27,IF(AND(2&gt;=$P27,2&lt;=$Q27),1,0),IF(OR(2&gt;=$P27,2&lt;=$Q27),1,0)))=1,"S ","")&amp;IF(IF(OR($R27=0,$S27=0),0,IF($R27&lt;=$S27,IF(AND(2&gt;=$R27,2&lt;=$S27),1,0),IF(OR(2&gt;=$R27,2&lt;=$S27),1,0)))=1,"P ","")&amp;IF(IF(OR($T27=0,$U27=0),0,IF($T27&lt;=$U27,IF(AND(2&gt;=$T27,2&lt;=$U27),1,0),IF(OR(2&gt;=$T27,2&lt;=$U27),1,0)))=1,"H","")))</f>
        <v/>
      </c>
      <c r="E27" s="28">
        <f>IF(B27="","",TRIM(IF(IF(OR($P27=0,$Q27=0),0,IF($P27&lt;=$Q27,IF(AND(3&gt;=$P27,3&lt;=$Q27),1,0),IF(OR(3&gt;=$P27,3&lt;=$Q27),1,0)))=1,"S ","")&amp;IF(IF(OR($R27=0,$S27=0),0,IF($R27&lt;=$S27,IF(AND(3&gt;=$R27,3&lt;=$S27),1,0),IF(OR(3&gt;=$R27,3&lt;=$S27),1,0)))=1,"P ","")&amp;IF(IF(OR($T27=0,$U27=0),0,IF($T27&lt;=$U27,IF(AND(3&gt;=$T27,3&lt;=$U27),1,0),IF(OR(3&gt;=$T27,3&lt;=$U27),1,0)))=1,"H","")))</f>
        <v/>
      </c>
      <c r="F27" s="28">
        <f>IF(B27="","",TRIM(IF(IF(OR($P27=0,$Q27=0),0,IF($P27&lt;=$Q27,IF(AND(4&gt;=$P27,4&lt;=$Q27),1,0),IF(OR(4&gt;=$P27,4&lt;=$Q27),1,0)))=1,"S ","")&amp;IF(IF(OR($R27=0,$S27=0),0,IF($R27&lt;=$S27,IF(AND(4&gt;=$R27,4&lt;=$S27),1,0),IF(OR(4&gt;=$R27,4&lt;=$S27),1,0)))=1,"P ","")&amp;IF(IF(OR($T27=0,$U27=0),0,IF($T27&lt;=$U27,IF(AND(4&gt;=$T27,4&lt;=$U27),1,0),IF(OR(4&gt;=$T27,4&lt;=$U27),1,0)))=1,"H","")))</f>
        <v/>
      </c>
      <c r="G27" s="28">
        <f>IF(B27="","",TRIM(IF(IF(OR($P27=0,$Q27=0),0,IF($P27&lt;=$Q27,IF(AND(5&gt;=$P27,5&lt;=$Q27),1,0),IF(OR(5&gt;=$P27,5&lt;=$Q27),1,0)))=1,"S ","")&amp;IF(IF(OR($R27=0,$S27=0),0,IF($R27&lt;=$S27,IF(AND(5&gt;=$R27,5&lt;=$S27),1,0),IF(OR(5&gt;=$R27,5&lt;=$S27),1,0)))=1,"P ","")&amp;IF(IF(OR($T27=0,$U27=0),0,IF($T27&lt;=$U27,IF(AND(5&gt;=$T27,5&lt;=$U27),1,0),IF(OR(5&gt;=$T27,5&lt;=$U27),1,0)))=1,"H","")))</f>
        <v/>
      </c>
      <c r="H27" s="28">
        <f>IF(B27="","",TRIM(IF(IF(OR($P27=0,$Q27=0),0,IF($P27&lt;=$Q27,IF(AND(6&gt;=$P27,6&lt;=$Q27),1,0),IF(OR(6&gt;=$P27,6&lt;=$Q27),1,0)))=1,"S ","")&amp;IF(IF(OR($R27=0,$S27=0),0,IF($R27&lt;=$S27,IF(AND(6&gt;=$R27,6&lt;=$S27),1,0),IF(OR(6&gt;=$R27,6&lt;=$S27),1,0)))=1,"P ","")&amp;IF(IF(OR($T27=0,$U27=0),0,IF($T27&lt;=$U27,IF(AND(6&gt;=$T27,6&lt;=$U27),1,0),IF(OR(6&gt;=$T27,6&lt;=$U27),1,0)))=1,"H","")))</f>
        <v/>
      </c>
      <c r="I27" s="28">
        <f>IF(B27="","",TRIM(IF(IF(OR($P27=0,$Q27=0),0,IF($P27&lt;=$Q27,IF(AND(7&gt;=$P27,7&lt;=$Q27),1,0),IF(OR(7&gt;=$P27,7&lt;=$Q27),1,0)))=1,"S ","")&amp;IF(IF(OR($R27=0,$S27=0),0,IF($R27&lt;=$S27,IF(AND(7&gt;=$R27,7&lt;=$S27),1,0),IF(OR(7&gt;=$R27,7&lt;=$S27),1,0)))=1,"P ","")&amp;IF(IF(OR($T27=0,$U27=0),0,IF($T27&lt;=$U27,IF(AND(7&gt;=$T27,7&lt;=$U27),1,0),IF(OR(7&gt;=$T27,7&lt;=$U27),1,0)))=1,"H","")))</f>
        <v/>
      </c>
      <c r="J27" s="28">
        <f>IF(B27="","",TRIM(IF(IF(OR($P27=0,$Q27=0),0,IF($P27&lt;=$Q27,IF(AND(8&gt;=$P27,8&lt;=$Q27),1,0),IF(OR(8&gt;=$P27,8&lt;=$Q27),1,0)))=1,"S ","")&amp;IF(IF(OR($R27=0,$S27=0),0,IF($R27&lt;=$S27,IF(AND(8&gt;=$R27,8&lt;=$S27),1,0),IF(OR(8&gt;=$R27,8&lt;=$S27),1,0)))=1,"P ","")&amp;IF(IF(OR($T27=0,$U27=0),0,IF($T27&lt;=$U27,IF(AND(8&gt;=$T27,8&lt;=$U27),1,0),IF(OR(8&gt;=$T27,8&lt;=$U27),1,0)))=1,"H","")))</f>
        <v/>
      </c>
      <c r="K27" s="28">
        <f>IF(B27="","",TRIM(IF(IF(OR($P27=0,$Q27=0),0,IF($P27&lt;=$Q27,IF(AND(9&gt;=$P27,9&lt;=$Q27),1,0),IF(OR(9&gt;=$P27,9&lt;=$Q27),1,0)))=1,"S ","")&amp;IF(IF(OR($R27=0,$S27=0),0,IF($R27&lt;=$S27,IF(AND(9&gt;=$R27,9&lt;=$S27),1,0),IF(OR(9&gt;=$R27,9&lt;=$S27),1,0)))=1,"P ","")&amp;IF(IF(OR($T27=0,$U27=0),0,IF($T27&lt;=$U27,IF(AND(9&gt;=$T27,9&lt;=$U27),1,0),IF(OR(9&gt;=$T27,9&lt;=$U27),1,0)))=1,"H","")))</f>
        <v/>
      </c>
      <c r="L27" s="28">
        <f>IF(B27="","",TRIM(IF(IF(OR($P27=0,$Q27=0),0,IF($P27&lt;=$Q27,IF(AND(10&gt;=$P27,10&lt;=$Q27),1,0),IF(OR(10&gt;=$P27,10&lt;=$Q27),1,0)))=1,"S ","")&amp;IF(IF(OR($R27=0,$S27=0),0,IF($R27&lt;=$S27,IF(AND(10&gt;=$R27,10&lt;=$S27),1,0),IF(OR(10&gt;=$R27,10&lt;=$S27),1,0)))=1,"P ","")&amp;IF(IF(OR($T27=0,$U27=0),0,IF($T27&lt;=$U27,IF(AND(10&gt;=$T27,10&lt;=$U27),1,0),IF(OR(10&gt;=$T27,10&lt;=$U27),1,0)))=1,"H","")))</f>
        <v/>
      </c>
      <c r="M27" s="28">
        <f>IF(B27="","",TRIM(IF(IF(OR($P27=0,$Q27=0),0,IF($P27&lt;=$Q27,IF(AND(11&gt;=$P27,11&lt;=$Q27),1,0),IF(OR(11&gt;=$P27,11&lt;=$Q27),1,0)))=1,"S ","")&amp;IF(IF(OR($R27=0,$S27=0),0,IF($R27&lt;=$S27,IF(AND(11&gt;=$R27,11&lt;=$S27),1,0),IF(OR(11&gt;=$R27,11&lt;=$S27),1,0)))=1,"P ","")&amp;IF(IF(OR($T27=0,$U27=0),0,IF($T27&lt;=$U27,IF(AND(11&gt;=$T27,11&lt;=$U27),1,0),IF(OR(11&gt;=$T27,11&lt;=$U27),1,0)))=1,"H","")))</f>
        <v/>
      </c>
      <c r="N27" s="28">
        <f>IF(B27="","",TRIM(IF(IF(OR($P27=0,$Q27=0),0,IF($P27&lt;=$Q27,IF(AND(12&gt;=$P27,12&lt;=$Q27),1,0),IF(OR(12&gt;=$P27,12&lt;=$Q27),1,0)))=1,"S ","")&amp;IF(IF(OR($R27=0,$S27=0),0,IF($R27&lt;=$S27,IF(AND(12&gt;=$R27,12&lt;=$S27),1,0),IF(OR(12&gt;=$R27,12&lt;=$S27),1,0)))=1,"P ","")&amp;IF(IF(OR($T27=0,$U27=0),0,IF($T27&lt;=$U27,IF(AND(12&gt;=$T27,12&lt;=$U27),1,0),IF(OR(12&gt;=$T27,12&lt;=$U27),1,0)))=1,"H","")))</f>
        <v/>
      </c>
      <c r="O27" s="1" t="n"/>
      <c r="P27">
        <f>N(INDEX(Crops!$R$6:$R$65,22))</f>
        <v/>
      </c>
      <c r="Q27">
        <f>N(INDEX(Crops!$S$6:$S$65,22))</f>
        <v/>
      </c>
      <c r="R27">
        <f>N(INDEX(Crops!$T$6:$T$65,22))</f>
        <v/>
      </c>
      <c r="S27">
        <f>N(INDEX(Crops!$U$6:$U$65,22))</f>
        <v/>
      </c>
      <c r="T27">
        <f>N(INDEX(Crops!$V$6:$V$65,22))</f>
        <v/>
      </c>
      <c r="U27">
        <f>N(INDEX(Crops!$W$6:$W$65,22))</f>
        <v/>
      </c>
    </row>
    <row r="28" ht="16" customHeight="1">
      <c r="A28" s="1" t="n"/>
      <c r="B28" s="9">
        <f>IF(INDEX(Crops!$B$6:$B$65,23)="","",INDEX(Crops!$B$6:$B$65,23))</f>
        <v/>
      </c>
      <c r="C28" s="28">
        <f>IF(B28="","",TRIM(IF(IF(OR($P28=0,$Q28=0),0,IF($P28&lt;=$Q28,IF(AND(1&gt;=$P28,1&lt;=$Q28),1,0),IF(OR(1&gt;=$P28,1&lt;=$Q28),1,0)))=1,"S ","")&amp;IF(IF(OR($R28=0,$S28=0),0,IF($R28&lt;=$S28,IF(AND(1&gt;=$R28,1&lt;=$S28),1,0),IF(OR(1&gt;=$R28,1&lt;=$S28),1,0)))=1,"P ","")&amp;IF(IF(OR($T28=0,$U28=0),0,IF($T28&lt;=$U28,IF(AND(1&gt;=$T28,1&lt;=$U28),1,0),IF(OR(1&gt;=$T28,1&lt;=$U28),1,0)))=1,"H","")))</f>
        <v/>
      </c>
      <c r="D28" s="28">
        <f>IF(B28="","",TRIM(IF(IF(OR($P28=0,$Q28=0),0,IF($P28&lt;=$Q28,IF(AND(2&gt;=$P28,2&lt;=$Q28),1,0),IF(OR(2&gt;=$P28,2&lt;=$Q28),1,0)))=1,"S ","")&amp;IF(IF(OR($R28=0,$S28=0),0,IF($R28&lt;=$S28,IF(AND(2&gt;=$R28,2&lt;=$S28),1,0),IF(OR(2&gt;=$R28,2&lt;=$S28),1,0)))=1,"P ","")&amp;IF(IF(OR($T28=0,$U28=0),0,IF($T28&lt;=$U28,IF(AND(2&gt;=$T28,2&lt;=$U28),1,0),IF(OR(2&gt;=$T28,2&lt;=$U28),1,0)))=1,"H","")))</f>
        <v/>
      </c>
      <c r="E28" s="28">
        <f>IF(B28="","",TRIM(IF(IF(OR($P28=0,$Q28=0),0,IF($P28&lt;=$Q28,IF(AND(3&gt;=$P28,3&lt;=$Q28),1,0),IF(OR(3&gt;=$P28,3&lt;=$Q28),1,0)))=1,"S ","")&amp;IF(IF(OR($R28=0,$S28=0),0,IF($R28&lt;=$S28,IF(AND(3&gt;=$R28,3&lt;=$S28),1,0),IF(OR(3&gt;=$R28,3&lt;=$S28),1,0)))=1,"P ","")&amp;IF(IF(OR($T28=0,$U28=0),0,IF($T28&lt;=$U28,IF(AND(3&gt;=$T28,3&lt;=$U28),1,0),IF(OR(3&gt;=$T28,3&lt;=$U28),1,0)))=1,"H","")))</f>
        <v/>
      </c>
      <c r="F28" s="28">
        <f>IF(B28="","",TRIM(IF(IF(OR($P28=0,$Q28=0),0,IF($P28&lt;=$Q28,IF(AND(4&gt;=$P28,4&lt;=$Q28),1,0),IF(OR(4&gt;=$P28,4&lt;=$Q28),1,0)))=1,"S ","")&amp;IF(IF(OR($R28=0,$S28=0),0,IF($R28&lt;=$S28,IF(AND(4&gt;=$R28,4&lt;=$S28),1,0),IF(OR(4&gt;=$R28,4&lt;=$S28),1,0)))=1,"P ","")&amp;IF(IF(OR($T28=0,$U28=0),0,IF($T28&lt;=$U28,IF(AND(4&gt;=$T28,4&lt;=$U28),1,0),IF(OR(4&gt;=$T28,4&lt;=$U28),1,0)))=1,"H","")))</f>
        <v/>
      </c>
      <c r="G28" s="28">
        <f>IF(B28="","",TRIM(IF(IF(OR($P28=0,$Q28=0),0,IF($P28&lt;=$Q28,IF(AND(5&gt;=$P28,5&lt;=$Q28),1,0),IF(OR(5&gt;=$P28,5&lt;=$Q28),1,0)))=1,"S ","")&amp;IF(IF(OR($R28=0,$S28=0),0,IF($R28&lt;=$S28,IF(AND(5&gt;=$R28,5&lt;=$S28),1,0),IF(OR(5&gt;=$R28,5&lt;=$S28),1,0)))=1,"P ","")&amp;IF(IF(OR($T28=0,$U28=0),0,IF($T28&lt;=$U28,IF(AND(5&gt;=$T28,5&lt;=$U28),1,0),IF(OR(5&gt;=$T28,5&lt;=$U28),1,0)))=1,"H","")))</f>
        <v/>
      </c>
      <c r="H28" s="28">
        <f>IF(B28="","",TRIM(IF(IF(OR($P28=0,$Q28=0),0,IF($P28&lt;=$Q28,IF(AND(6&gt;=$P28,6&lt;=$Q28),1,0),IF(OR(6&gt;=$P28,6&lt;=$Q28),1,0)))=1,"S ","")&amp;IF(IF(OR($R28=0,$S28=0),0,IF($R28&lt;=$S28,IF(AND(6&gt;=$R28,6&lt;=$S28),1,0),IF(OR(6&gt;=$R28,6&lt;=$S28),1,0)))=1,"P ","")&amp;IF(IF(OR($T28=0,$U28=0),0,IF($T28&lt;=$U28,IF(AND(6&gt;=$T28,6&lt;=$U28),1,0),IF(OR(6&gt;=$T28,6&lt;=$U28),1,0)))=1,"H","")))</f>
        <v/>
      </c>
      <c r="I28" s="28">
        <f>IF(B28="","",TRIM(IF(IF(OR($P28=0,$Q28=0),0,IF($P28&lt;=$Q28,IF(AND(7&gt;=$P28,7&lt;=$Q28),1,0),IF(OR(7&gt;=$P28,7&lt;=$Q28),1,0)))=1,"S ","")&amp;IF(IF(OR($R28=0,$S28=0),0,IF($R28&lt;=$S28,IF(AND(7&gt;=$R28,7&lt;=$S28),1,0),IF(OR(7&gt;=$R28,7&lt;=$S28),1,0)))=1,"P ","")&amp;IF(IF(OR($T28=0,$U28=0),0,IF($T28&lt;=$U28,IF(AND(7&gt;=$T28,7&lt;=$U28),1,0),IF(OR(7&gt;=$T28,7&lt;=$U28),1,0)))=1,"H","")))</f>
        <v/>
      </c>
      <c r="J28" s="28">
        <f>IF(B28="","",TRIM(IF(IF(OR($P28=0,$Q28=0),0,IF($P28&lt;=$Q28,IF(AND(8&gt;=$P28,8&lt;=$Q28),1,0),IF(OR(8&gt;=$P28,8&lt;=$Q28),1,0)))=1,"S ","")&amp;IF(IF(OR($R28=0,$S28=0),0,IF($R28&lt;=$S28,IF(AND(8&gt;=$R28,8&lt;=$S28),1,0),IF(OR(8&gt;=$R28,8&lt;=$S28),1,0)))=1,"P ","")&amp;IF(IF(OR($T28=0,$U28=0),0,IF($T28&lt;=$U28,IF(AND(8&gt;=$T28,8&lt;=$U28),1,0),IF(OR(8&gt;=$T28,8&lt;=$U28),1,0)))=1,"H","")))</f>
        <v/>
      </c>
      <c r="K28" s="28">
        <f>IF(B28="","",TRIM(IF(IF(OR($P28=0,$Q28=0),0,IF($P28&lt;=$Q28,IF(AND(9&gt;=$P28,9&lt;=$Q28),1,0),IF(OR(9&gt;=$P28,9&lt;=$Q28),1,0)))=1,"S ","")&amp;IF(IF(OR($R28=0,$S28=0),0,IF($R28&lt;=$S28,IF(AND(9&gt;=$R28,9&lt;=$S28),1,0),IF(OR(9&gt;=$R28,9&lt;=$S28),1,0)))=1,"P ","")&amp;IF(IF(OR($T28=0,$U28=0),0,IF($T28&lt;=$U28,IF(AND(9&gt;=$T28,9&lt;=$U28),1,0),IF(OR(9&gt;=$T28,9&lt;=$U28),1,0)))=1,"H","")))</f>
        <v/>
      </c>
      <c r="L28" s="28">
        <f>IF(B28="","",TRIM(IF(IF(OR($P28=0,$Q28=0),0,IF($P28&lt;=$Q28,IF(AND(10&gt;=$P28,10&lt;=$Q28),1,0),IF(OR(10&gt;=$P28,10&lt;=$Q28),1,0)))=1,"S ","")&amp;IF(IF(OR($R28=0,$S28=0),0,IF($R28&lt;=$S28,IF(AND(10&gt;=$R28,10&lt;=$S28),1,0),IF(OR(10&gt;=$R28,10&lt;=$S28),1,0)))=1,"P ","")&amp;IF(IF(OR($T28=0,$U28=0),0,IF($T28&lt;=$U28,IF(AND(10&gt;=$T28,10&lt;=$U28),1,0),IF(OR(10&gt;=$T28,10&lt;=$U28),1,0)))=1,"H","")))</f>
        <v/>
      </c>
      <c r="M28" s="28">
        <f>IF(B28="","",TRIM(IF(IF(OR($P28=0,$Q28=0),0,IF($P28&lt;=$Q28,IF(AND(11&gt;=$P28,11&lt;=$Q28),1,0),IF(OR(11&gt;=$P28,11&lt;=$Q28),1,0)))=1,"S ","")&amp;IF(IF(OR($R28=0,$S28=0),0,IF($R28&lt;=$S28,IF(AND(11&gt;=$R28,11&lt;=$S28),1,0),IF(OR(11&gt;=$R28,11&lt;=$S28),1,0)))=1,"P ","")&amp;IF(IF(OR($T28=0,$U28=0),0,IF($T28&lt;=$U28,IF(AND(11&gt;=$T28,11&lt;=$U28),1,0),IF(OR(11&gt;=$T28,11&lt;=$U28),1,0)))=1,"H","")))</f>
        <v/>
      </c>
      <c r="N28" s="28">
        <f>IF(B28="","",TRIM(IF(IF(OR($P28=0,$Q28=0),0,IF($P28&lt;=$Q28,IF(AND(12&gt;=$P28,12&lt;=$Q28),1,0),IF(OR(12&gt;=$P28,12&lt;=$Q28),1,0)))=1,"S ","")&amp;IF(IF(OR($R28=0,$S28=0),0,IF($R28&lt;=$S28,IF(AND(12&gt;=$R28,12&lt;=$S28),1,0),IF(OR(12&gt;=$R28,12&lt;=$S28),1,0)))=1,"P ","")&amp;IF(IF(OR($T28=0,$U28=0),0,IF($T28&lt;=$U28,IF(AND(12&gt;=$T28,12&lt;=$U28),1,0),IF(OR(12&gt;=$T28,12&lt;=$U28),1,0)))=1,"H","")))</f>
        <v/>
      </c>
      <c r="O28" s="1" t="n"/>
      <c r="P28">
        <f>N(INDEX(Crops!$R$6:$R$65,23))</f>
        <v/>
      </c>
      <c r="Q28">
        <f>N(INDEX(Crops!$S$6:$S$65,23))</f>
        <v/>
      </c>
      <c r="R28">
        <f>N(INDEX(Crops!$T$6:$T$65,23))</f>
        <v/>
      </c>
      <c r="S28">
        <f>N(INDEX(Crops!$U$6:$U$65,23))</f>
        <v/>
      </c>
      <c r="T28">
        <f>N(INDEX(Crops!$V$6:$V$65,23))</f>
        <v/>
      </c>
      <c r="U28">
        <f>N(INDEX(Crops!$W$6:$W$65,23))</f>
        <v/>
      </c>
    </row>
    <row r="29" ht="16" customHeight="1">
      <c r="A29" s="1" t="n"/>
      <c r="B29" s="9">
        <f>IF(INDEX(Crops!$B$6:$B$65,24)="","",INDEX(Crops!$B$6:$B$65,24))</f>
        <v/>
      </c>
      <c r="C29" s="28">
        <f>IF(B29="","",TRIM(IF(IF(OR($P29=0,$Q29=0),0,IF($P29&lt;=$Q29,IF(AND(1&gt;=$P29,1&lt;=$Q29),1,0),IF(OR(1&gt;=$P29,1&lt;=$Q29),1,0)))=1,"S ","")&amp;IF(IF(OR($R29=0,$S29=0),0,IF($R29&lt;=$S29,IF(AND(1&gt;=$R29,1&lt;=$S29),1,0),IF(OR(1&gt;=$R29,1&lt;=$S29),1,0)))=1,"P ","")&amp;IF(IF(OR($T29=0,$U29=0),0,IF($T29&lt;=$U29,IF(AND(1&gt;=$T29,1&lt;=$U29),1,0),IF(OR(1&gt;=$T29,1&lt;=$U29),1,0)))=1,"H","")))</f>
        <v/>
      </c>
      <c r="D29" s="28">
        <f>IF(B29="","",TRIM(IF(IF(OR($P29=0,$Q29=0),0,IF($P29&lt;=$Q29,IF(AND(2&gt;=$P29,2&lt;=$Q29),1,0),IF(OR(2&gt;=$P29,2&lt;=$Q29),1,0)))=1,"S ","")&amp;IF(IF(OR($R29=0,$S29=0),0,IF($R29&lt;=$S29,IF(AND(2&gt;=$R29,2&lt;=$S29),1,0),IF(OR(2&gt;=$R29,2&lt;=$S29),1,0)))=1,"P ","")&amp;IF(IF(OR($T29=0,$U29=0),0,IF($T29&lt;=$U29,IF(AND(2&gt;=$T29,2&lt;=$U29),1,0),IF(OR(2&gt;=$T29,2&lt;=$U29),1,0)))=1,"H","")))</f>
        <v/>
      </c>
      <c r="E29" s="28">
        <f>IF(B29="","",TRIM(IF(IF(OR($P29=0,$Q29=0),0,IF($P29&lt;=$Q29,IF(AND(3&gt;=$P29,3&lt;=$Q29),1,0),IF(OR(3&gt;=$P29,3&lt;=$Q29),1,0)))=1,"S ","")&amp;IF(IF(OR($R29=0,$S29=0),0,IF($R29&lt;=$S29,IF(AND(3&gt;=$R29,3&lt;=$S29),1,0),IF(OR(3&gt;=$R29,3&lt;=$S29),1,0)))=1,"P ","")&amp;IF(IF(OR($T29=0,$U29=0),0,IF($T29&lt;=$U29,IF(AND(3&gt;=$T29,3&lt;=$U29),1,0),IF(OR(3&gt;=$T29,3&lt;=$U29),1,0)))=1,"H","")))</f>
        <v/>
      </c>
      <c r="F29" s="28">
        <f>IF(B29="","",TRIM(IF(IF(OR($P29=0,$Q29=0),0,IF($P29&lt;=$Q29,IF(AND(4&gt;=$P29,4&lt;=$Q29),1,0),IF(OR(4&gt;=$P29,4&lt;=$Q29),1,0)))=1,"S ","")&amp;IF(IF(OR($R29=0,$S29=0),0,IF($R29&lt;=$S29,IF(AND(4&gt;=$R29,4&lt;=$S29),1,0),IF(OR(4&gt;=$R29,4&lt;=$S29),1,0)))=1,"P ","")&amp;IF(IF(OR($T29=0,$U29=0),0,IF($T29&lt;=$U29,IF(AND(4&gt;=$T29,4&lt;=$U29),1,0),IF(OR(4&gt;=$T29,4&lt;=$U29),1,0)))=1,"H","")))</f>
        <v/>
      </c>
      <c r="G29" s="28">
        <f>IF(B29="","",TRIM(IF(IF(OR($P29=0,$Q29=0),0,IF($P29&lt;=$Q29,IF(AND(5&gt;=$P29,5&lt;=$Q29),1,0),IF(OR(5&gt;=$P29,5&lt;=$Q29),1,0)))=1,"S ","")&amp;IF(IF(OR($R29=0,$S29=0),0,IF($R29&lt;=$S29,IF(AND(5&gt;=$R29,5&lt;=$S29),1,0),IF(OR(5&gt;=$R29,5&lt;=$S29),1,0)))=1,"P ","")&amp;IF(IF(OR($T29=0,$U29=0),0,IF($T29&lt;=$U29,IF(AND(5&gt;=$T29,5&lt;=$U29),1,0),IF(OR(5&gt;=$T29,5&lt;=$U29),1,0)))=1,"H","")))</f>
        <v/>
      </c>
      <c r="H29" s="28">
        <f>IF(B29="","",TRIM(IF(IF(OR($P29=0,$Q29=0),0,IF($P29&lt;=$Q29,IF(AND(6&gt;=$P29,6&lt;=$Q29),1,0),IF(OR(6&gt;=$P29,6&lt;=$Q29),1,0)))=1,"S ","")&amp;IF(IF(OR($R29=0,$S29=0),0,IF($R29&lt;=$S29,IF(AND(6&gt;=$R29,6&lt;=$S29),1,0),IF(OR(6&gt;=$R29,6&lt;=$S29),1,0)))=1,"P ","")&amp;IF(IF(OR($T29=0,$U29=0),0,IF($T29&lt;=$U29,IF(AND(6&gt;=$T29,6&lt;=$U29),1,0),IF(OR(6&gt;=$T29,6&lt;=$U29),1,0)))=1,"H","")))</f>
        <v/>
      </c>
      <c r="I29" s="28">
        <f>IF(B29="","",TRIM(IF(IF(OR($P29=0,$Q29=0),0,IF($P29&lt;=$Q29,IF(AND(7&gt;=$P29,7&lt;=$Q29),1,0),IF(OR(7&gt;=$P29,7&lt;=$Q29),1,0)))=1,"S ","")&amp;IF(IF(OR($R29=0,$S29=0),0,IF($R29&lt;=$S29,IF(AND(7&gt;=$R29,7&lt;=$S29),1,0),IF(OR(7&gt;=$R29,7&lt;=$S29),1,0)))=1,"P ","")&amp;IF(IF(OR($T29=0,$U29=0),0,IF($T29&lt;=$U29,IF(AND(7&gt;=$T29,7&lt;=$U29),1,0),IF(OR(7&gt;=$T29,7&lt;=$U29),1,0)))=1,"H","")))</f>
        <v/>
      </c>
      <c r="J29" s="28">
        <f>IF(B29="","",TRIM(IF(IF(OR($P29=0,$Q29=0),0,IF($P29&lt;=$Q29,IF(AND(8&gt;=$P29,8&lt;=$Q29),1,0),IF(OR(8&gt;=$P29,8&lt;=$Q29),1,0)))=1,"S ","")&amp;IF(IF(OR($R29=0,$S29=0),0,IF($R29&lt;=$S29,IF(AND(8&gt;=$R29,8&lt;=$S29),1,0),IF(OR(8&gt;=$R29,8&lt;=$S29),1,0)))=1,"P ","")&amp;IF(IF(OR($T29=0,$U29=0),0,IF($T29&lt;=$U29,IF(AND(8&gt;=$T29,8&lt;=$U29),1,0),IF(OR(8&gt;=$T29,8&lt;=$U29),1,0)))=1,"H","")))</f>
        <v/>
      </c>
      <c r="K29" s="28">
        <f>IF(B29="","",TRIM(IF(IF(OR($P29=0,$Q29=0),0,IF($P29&lt;=$Q29,IF(AND(9&gt;=$P29,9&lt;=$Q29),1,0),IF(OR(9&gt;=$P29,9&lt;=$Q29),1,0)))=1,"S ","")&amp;IF(IF(OR($R29=0,$S29=0),0,IF($R29&lt;=$S29,IF(AND(9&gt;=$R29,9&lt;=$S29),1,0),IF(OR(9&gt;=$R29,9&lt;=$S29),1,0)))=1,"P ","")&amp;IF(IF(OR($T29=0,$U29=0),0,IF($T29&lt;=$U29,IF(AND(9&gt;=$T29,9&lt;=$U29),1,0),IF(OR(9&gt;=$T29,9&lt;=$U29),1,0)))=1,"H","")))</f>
        <v/>
      </c>
      <c r="L29" s="28">
        <f>IF(B29="","",TRIM(IF(IF(OR($P29=0,$Q29=0),0,IF($P29&lt;=$Q29,IF(AND(10&gt;=$P29,10&lt;=$Q29),1,0),IF(OR(10&gt;=$P29,10&lt;=$Q29),1,0)))=1,"S ","")&amp;IF(IF(OR($R29=0,$S29=0),0,IF($R29&lt;=$S29,IF(AND(10&gt;=$R29,10&lt;=$S29),1,0),IF(OR(10&gt;=$R29,10&lt;=$S29),1,0)))=1,"P ","")&amp;IF(IF(OR($T29=0,$U29=0),0,IF($T29&lt;=$U29,IF(AND(10&gt;=$T29,10&lt;=$U29),1,0),IF(OR(10&gt;=$T29,10&lt;=$U29),1,0)))=1,"H","")))</f>
        <v/>
      </c>
      <c r="M29" s="28">
        <f>IF(B29="","",TRIM(IF(IF(OR($P29=0,$Q29=0),0,IF($P29&lt;=$Q29,IF(AND(11&gt;=$P29,11&lt;=$Q29),1,0),IF(OR(11&gt;=$P29,11&lt;=$Q29),1,0)))=1,"S ","")&amp;IF(IF(OR($R29=0,$S29=0),0,IF($R29&lt;=$S29,IF(AND(11&gt;=$R29,11&lt;=$S29),1,0),IF(OR(11&gt;=$R29,11&lt;=$S29),1,0)))=1,"P ","")&amp;IF(IF(OR($T29=0,$U29=0),0,IF($T29&lt;=$U29,IF(AND(11&gt;=$T29,11&lt;=$U29),1,0),IF(OR(11&gt;=$T29,11&lt;=$U29),1,0)))=1,"H","")))</f>
        <v/>
      </c>
      <c r="N29" s="28">
        <f>IF(B29="","",TRIM(IF(IF(OR($P29=0,$Q29=0),0,IF($P29&lt;=$Q29,IF(AND(12&gt;=$P29,12&lt;=$Q29),1,0),IF(OR(12&gt;=$P29,12&lt;=$Q29),1,0)))=1,"S ","")&amp;IF(IF(OR($R29=0,$S29=0),0,IF($R29&lt;=$S29,IF(AND(12&gt;=$R29,12&lt;=$S29),1,0),IF(OR(12&gt;=$R29,12&lt;=$S29),1,0)))=1,"P ","")&amp;IF(IF(OR($T29=0,$U29=0),0,IF($T29&lt;=$U29,IF(AND(12&gt;=$T29,12&lt;=$U29),1,0),IF(OR(12&gt;=$T29,12&lt;=$U29),1,0)))=1,"H","")))</f>
        <v/>
      </c>
      <c r="O29" s="1" t="n"/>
      <c r="P29">
        <f>N(INDEX(Crops!$R$6:$R$65,24))</f>
        <v/>
      </c>
      <c r="Q29">
        <f>N(INDEX(Crops!$S$6:$S$65,24))</f>
        <v/>
      </c>
      <c r="R29">
        <f>N(INDEX(Crops!$T$6:$T$65,24))</f>
        <v/>
      </c>
      <c r="S29">
        <f>N(INDEX(Crops!$U$6:$U$65,24))</f>
        <v/>
      </c>
      <c r="T29">
        <f>N(INDEX(Crops!$V$6:$V$65,24))</f>
        <v/>
      </c>
      <c r="U29">
        <f>N(INDEX(Crops!$W$6:$W$65,24))</f>
        <v/>
      </c>
    </row>
    <row r="30" ht="16" customHeight="1">
      <c r="A30" s="1" t="n"/>
      <c r="B30" s="9">
        <f>IF(INDEX(Crops!$B$6:$B$65,25)="","",INDEX(Crops!$B$6:$B$65,25))</f>
        <v/>
      </c>
      <c r="C30" s="28">
        <f>IF(B30="","",TRIM(IF(IF(OR($P30=0,$Q30=0),0,IF($P30&lt;=$Q30,IF(AND(1&gt;=$P30,1&lt;=$Q30),1,0),IF(OR(1&gt;=$P30,1&lt;=$Q30),1,0)))=1,"S ","")&amp;IF(IF(OR($R30=0,$S30=0),0,IF($R30&lt;=$S30,IF(AND(1&gt;=$R30,1&lt;=$S30),1,0),IF(OR(1&gt;=$R30,1&lt;=$S30),1,0)))=1,"P ","")&amp;IF(IF(OR($T30=0,$U30=0),0,IF($T30&lt;=$U30,IF(AND(1&gt;=$T30,1&lt;=$U30),1,0),IF(OR(1&gt;=$T30,1&lt;=$U30),1,0)))=1,"H","")))</f>
        <v/>
      </c>
      <c r="D30" s="28">
        <f>IF(B30="","",TRIM(IF(IF(OR($P30=0,$Q30=0),0,IF($P30&lt;=$Q30,IF(AND(2&gt;=$P30,2&lt;=$Q30),1,0),IF(OR(2&gt;=$P30,2&lt;=$Q30),1,0)))=1,"S ","")&amp;IF(IF(OR($R30=0,$S30=0),0,IF($R30&lt;=$S30,IF(AND(2&gt;=$R30,2&lt;=$S30),1,0),IF(OR(2&gt;=$R30,2&lt;=$S30),1,0)))=1,"P ","")&amp;IF(IF(OR($T30=0,$U30=0),0,IF($T30&lt;=$U30,IF(AND(2&gt;=$T30,2&lt;=$U30),1,0),IF(OR(2&gt;=$T30,2&lt;=$U30),1,0)))=1,"H","")))</f>
        <v/>
      </c>
      <c r="E30" s="28">
        <f>IF(B30="","",TRIM(IF(IF(OR($P30=0,$Q30=0),0,IF($P30&lt;=$Q30,IF(AND(3&gt;=$P30,3&lt;=$Q30),1,0),IF(OR(3&gt;=$P30,3&lt;=$Q30),1,0)))=1,"S ","")&amp;IF(IF(OR($R30=0,$S30=0),0,IF($R30&lt;=$S30,IF(AND(3&gt;=$R30,3&lt;=$S30),1,0),IF(OR(3&gt;=$R30,3&lt;=$S30),1,0)))=1,"P ","")&amp;IF(IF(OR($T30=0,$U30=0),0,IF($T30&lt;=$U30,IF(AND(3&gt;=$T30,3&lt;=$U30),1,0),IF(OR(3&gt;=$T30,3&lt;=$U30),1,0)))=1,"H","")))</f>
        <v/>
      </c>
      <c r="F30" s="28">
        <f>IF(B30="","",TRIM(IF(IF(OR($P30=0,$Q30=0),0,IF($P30&lt;=$Q30,IF(AND(4&gt;=$P30,4&lt;=$Q30),1,0),IF(OR(4&gt;=$P30,4&lt;=$Q30),1,0)))=1,"S ","")&amp;IF(IF(OR($R30=0,$S30=0),0,IF($R30&lt;=$S30,IF(AND(4&gt;=$R30,4&lt;=$S30),1,0),IF(OR(4&gt;=$R30,4&lt;=$S30),1,0)))=1,"P ","")&amp;IF(IF(OR($T30=0,$U30=0),0,IF($T30&lt;=$U30,IF(AND(4&gt;=$T30,4&lt;=$U30),1,0),IF(OR(4&gt;=$T30,4&lt;=$U30),1,0)))=1,"H","")))</f>
        <v/>
      </c>
      <c r="G30" s="28">
        <f>IF(B30="","",TRIM(IF(IF(OR($P30=0,$Q30=0),0,IF($P30&lt;=$Q30,IF(AND(5&gt;=$P30,5&lt;=$Q30),1,0),IF(OR(5&gt;=$P30,5&lt;=$Q30),1,0)))=1,"S ","")&amp;IF(IF(OR($R30=0,$S30=0),0,IF($R30&lt;=$S30,IF(AND(5&gt;=$R30,5&lt;=$S30),1,0),IF(OR(5&gt;=$R30,5&lt;=$S30),1,0)))=1,"P ","")&amp;IF(IF(OR($T30=0,$U30=0),0,IF($T30&lt;=$U30,IF(AND(5&gt;=$T30,5&lt;=$U30),1,0),IF(OR(5&gt;=$T30,5&lt;=$U30),1,0)))=1,"H","")))</f>
        <v/>
      </c>
      <c r="H30" s="28">
        <f>IF(B30="","",TRIM(IF(IF(OR($P30=0,$Q30=0),0,IF($P30&lt;=$Q30,IF(AND(6&gt;=$P30,6&lt;=$Q30),1,0),IF(OR(6&gt;=$P30,6&lt;=$Q30),1,0)))=1,"S ","")&amp;IF(IF(OR($R30=0,$S30=0),0,IF($R30&lt;=$S30,IF(AND(6&gt;=$R30,6&lt;=$S30),1,0),IF(OR(6&gt;=$R30,6&lt;=$S30),1,0)))=1,"P ","")&amp;IF(IF(OR($T30=0,$U30=0),0,IF($T30&lt;=$U30,IF(AND(6&gt;=$T30,6&lt;=$U30),1,0),IF(OR(6&gt;=$T30,6&lt;=$U30),1,0)))=1,"H","")))</f>
        <v/>
      </c>
      <c r="I30" s="28">
        <f>IF(B30="","",TRIM(IF(IF(OR($P30=0,$Q30=0),0,IF($P30&lt;=$Q30,IF(AND(7&gt;=$P30,7&lt;=$Q30),1,0),IF(OR(7&gt;=$P30,7&lt;=$Q30),1,0)))=1,"S ","")&amp;IF(IF(OR($R30=0,$S30=0),0,IF($R30&lt;=$S30,IF(AND(7&gt;=$R30,7&lt;=$S30),1,0),IF(OR(7&gt;=$R30,7&lt;=$S30),1,0)))=1,"P ","")&amp;IF(IF(OR($T30=0,$U30=0),0,IF($T30&lt;=$U30,IF(AND(7&gt;=$T30,7&lt;=$U30),1,0),IF(OR(7&gt;=$T30,7&lt;=$U30),1,0)))=1,"H","")))</f>
        <v/>
      </c>
      <c r="J30" s="28">
        <f>IF(B30="","",TRIM(IF(IF(OR($P30=0,$Q30=0),0,IF($P30&lt;=$Q30,IF(AND(8&gt;=$P30,8&lt;=$Q30),1,0),IF(OR(8&gt;=$P30,8&lt;=$Q30),1,0)))=1,"S ","")&amp;IF(IF(OR($R30=0,$S30=0),0,IF($R30&lt;=$S30,IF(AND(8&gt;=$R30,8&lt;=$S30),1,0),IF(OR(8&gt;=$R30,8&lt;=$S30),1,0)))=1,"P ","")&amp;IF(IF(OR($T30=0,$U30=0),0,IF($T30&lt;=$U30,IF(AND(8&gt;=$T30,8&lt;=$U30),1,0),IF(OR(8&gt;=$T30,8&lt;=$U30),1,0)))=1,"H","")))</f>
        <v/>
      </c>
      <c r="K30" s="28">
        <f>IF(B30="","",TRIM(IF(IF(OR($P30=0,$Q30=0),0,IF($P30&lt;=$Q30,IF(AND(9&gt;=$P30,9&lt;=$Q30),1,0),IF(OR(9&gt;=$P30,9&lt;=$Q30),1,0)))=1,"S ","")&amp;IF(IF(OR($R30=0,$S30=0),0,IF($R30&lt;=$S30,IF(AND(9&gt;=$R30,9&lt;=$S30),1,0),IF(OR(9&gt;=$R30,9&lt;=$S30),1,0)))=1,"P ","")&amp;IF(IF(OR($T30=0,$U30=0),0,IF($T30&lt;=$U30,IF(AND(9&gt;=$T30,9&lt;=$U30),1,0),IF(OR(9&gt;=$T30,9&lt;=$U30),1,0)))=1,"H","")))</f>
        <v/>
      </c>
      <c r="L30" s="28">
        <f>IF(B30="","",TRIM(IF(IF(OR($P30=0,$Q30=0),0,IF($P30&lt;=$Q30,IF(AND(10&gt;=$P30,10&lt;=$Q30),1,0),IF(OR(10&gt;=$P30,10&lt;=$Q30),1,0)))=1,"S ","")&amp;IF(IF(OR($R30=0,$S30=0),0,IF($R30&lt;=$S30,IF(AND(10&gt;=$R30,10&lt;=$S30),1,0),IF(OR(10&gt;=$R30,10&lt;=$S30),1,0)))=1,"P ","")&amp;IF(IF(OR($T30=0,$U30=0),0,IF($T30&lt;=$U30,IF(AND(10&gt;=$T30,10&lt;=$U30),1,0),IF(OR(10&gt;=$T30,10&lt;=$U30),1,0)))=1,"H","")))</f>
        <v/>
      </c>
      <c r="M30" s="28">
        <f>IF(B30="","",TRIM(IF(IF(OR($P30=0,$Q30=0),0,IF($P30&lt;=$Q30,IF(AND(11&gt;=$P30,11&lt;=$Q30),1,0),IF(OR(11&gt;=$P30,11&lt;=$Q30),1,0)))=1,"S ","")&amp;IF(IF(OR($R30=0,$S30=0),0,IF($R30&lt;=$S30,IF(AND(11&gt;=$R30,11&lt;=$S30),1,0),IF(OR(11&gt;=$R30,11&lt;=$S30),1,0)))=1,"P ","")&amp;IF(IF(OR($T30=0,$U30=0),0,IF($T30&lt;=$U30,IF(AND(11&gt;=$T30,11&lt;=$U30),1,0),IF(OR(11&gt;=$T30,11&lt;=$U30),1,0)))=1,"H","")))</f>
        <v/>
      </c>
      <c r="N30" s="28">
        <f>IF(B30="","",TRIM(IF(IF(OR($P30=0,$Q30=0),0,IF($P30&lt;=$Q30,IF(AND(12&gt;=$P30,12&lt;=$Q30),1,0),IF(OR(12&gt;=$P30,12&lt;=$Q30),1,0)))=1,"S ","")&amp;IF(IF(OR($R30=0,$S30=0),0,IF($R30&lt;=$S30,IF(AND(12&gt;=$R30,12&lt;=$S30),1,0),IF(OR(12&gt;=$R30,12&lt;=$S30),1,0)))=1,"P ","")&amp;IF(IF(OR($T30=0,$U30=0),0,IF($T30&lt;=$U30,IF(AND(12&gt;=$T30,12&lt;=$U30),1,0),IF(OR(12&gt;=$T30,12&lt;=$U30),1,0)))=1,"H","")))</f>
        <v/>
      </c>
      <c r="O30" s="1" t="n"/>
      <c r="P30">
        <f>N(INDEX(Crops!$R$6:$R$65,25))</f>
        <v/>
      </c>
      <c r="Q30">
        <f>N(INDEX(Crops!$S$6:$S$65,25))</f>
        <v/>
      </c>
      <c r="R30">
        <f>N(INDEX(Crops!$T$6:$T$65,25))</f>
        <v/>
      </c>
      <c r="S30">
        <f>N(INDEX(Crops!$U$6:$U$65,25))</f>
        <v/>
      </c>
      <c r="T30">
        <f>N(INDEX(Crops!$V$6:$V$65,25))</f>
        <v/>
      </c>
      <c r="U30">
        <f>N(INDEX(Crops!$W$6:$W$65,25))</f>
        <v/>
      </c>
    </row>
    <row r="31" ht="16" customHeight="1">
      <c r="A31" s="1" t="n"/>
      <c r="B31" s="9">
        <f>IF(INDEX(Crops!$B$6:$B$65,26)="","",INDEX(Crops!$B$6:$B$65,26))</f>
        <v/>
      </c>
      <c r="C31" s="28">
        <f>IF(B31="","",TRIM(IF(IF(OR($P31=0,$Q31=0),0,IF($P31&lt;=$Q31,IF(AND(1&gt;=$P31,1&lt;=$Q31),1,0),IF(OR(1&gt;=$P31,1&lt;=$Q31),1,0)))=1,"S ","")&amp;IF(IF(OR($R31=0,$S31=0),0,IF($R31&lt;=$S31,IF(AND(1&gt;=$R31,1&lt;=$S31),1,0),IF(OR(1&gt;=$R31,1&lt;=$S31),1,0)))=1,"P ","")&amp;IF(IF(OR($T31=0,$U31=0),0,IF($T31&lt;=$U31,IF(AND(1&gt;=$T31,1&lt;=$U31),1,0),IF(OR(1&gt;=$T31,1&lt;=$U31),1,0)))=1,"H","")))</f>
        <v/>
      </c>
      <c r="D31" s="28">
        <f>IF(B31="","",TRIM(IF(IF(OR($P31=0,$Q31=0),0,IF($P31&lt;=$Q31,IF(AND(2&gt;=$P31,2&lt;=$Q31),1,0),IF(OR(2&gt;=$P31,2&lt;=$Q31),1,0)))=1,"S ","")&amp;IF(IF(OR($R31=0,$S31=0),0,IF($R31&lt;=$S31,IF(AND(2&gt;=$R31,2&lt;=$S31),1,0),IF(OR(2&gt;=$R31,2&lt;=$S31),1,0)))=1,"P ","")&amp;IF(IF(OR($T31=0,$U31=0),0,IF($T31&lt;=$U31,IF(AND(2&gt;=$T31,2&lt;=$U31),1,0),IF(OR(2&gt;=$T31,2&lt;=$U31),1,0)))=1,"H","")))</f>
        <v/>
      </c>
      <c r="E31" s="28">
        <f>IF(B31="","",TRIM(IF(IF(OR($P31=0,$Q31=0),0,IF($P31&lt;=$Q31,IF(AND(3&gt;=$P31,3&lt;=$Q31),1,0),IF(OR(3&gt;=$P31,3&lt;=$Q31),1,0)))=1,"S ","")&amp;IF(IF(OR($R31=0,$S31=0),0,IF($R31&lt;=$S31,IF(AND(3&gt;=$R31,3&lt;=$S31),1,0),IF(OR(3&gt;=$R31,3&lt;=$S31),1,0)))=1,"P ","")&amp;IF(IF(OR($T31=0,$U31=0),0,IF($T31&lt;=$U31,IF(AND(3&gt;=$T31,3&lt;=$U31),1,0),IF(OR(3&gt;=$T31,3&lt;=$U31),1,0)))=1,"H","")))</f>
        <v/>
      </c>
      <c r="F31" s="28">
        <f>IF(B31="","",TRIM(IF(IF(OR($P31=0,$Q31=0),0,IF($P31&lt;=$Q31,IF(AND(4&gt;=$P31,4&lt;=$Q31),1,0),IF(OR(4&gt;=$P31,4&lt;=$Q31),1,0)))=1,"S ","")&amp;IF(IF(OR($R31=0,$S31=0),0,IF($R31&lt;=$S31,IF(AND(4&gt;=$R31,4&lt;=$S31),1,0),IF(OR(4&gt;=$R31,4&lt;=$S31),1,0)))=1,"P ","")&amp;IF(IF(OR($T31=0,$U31=0),0,IF($T31&lt;=$U31,IF(AND(4&gt;=$T31,4&lt;=$U31),1,0),IF(OR(4&gt;=$T31,4&lt;=$U31),1,0)))=1,"H","")))</f>
        <v/>
      </c>
      <c r="G31" s="28">
        <f>IF(B31="","",TRIM(IF(IF(OR($P31=0,$Q31=0),0,IF($P31&lt;=$Q31,IF(AND(5&gt;=$P31,5&lt;=$Q31),1,0),IF(OR(5&gt;=$P31,5&lt;=$Q31),1,0)))=1,"S ","")&amp;IF(IF(OR($R31=0,$S31=0),0,IF($R31&lt;=$S31,IF(AND(5&gt;=$R31,5&lt;=$S31),1,0),IF(OR(5&gt;=$R31,5&lt;=$S31),1,0)))=1,"P ","")&amp;IF(IF(OR($T31=0,$U31=0),0,IF($T31&lt;=$U31,IF(AND(5&gt;=$T31,5&lt;=$U31),1,0),IF(OR(5&gt;=$T31,5&lt;=$U31),1,0)))=1,"H","")))</f>
        <v/>
      </c>
      <c r="H31" s="28">
        <f>IF(B31="","",TRIM(IF(IF(OR($P31=0,$Q31=0),0,IF($P31&lt;=$Q31,IF(AND(6&gt;=$P31,6&lt;=$Q31),1,0),IF(OR(6&gt;=$P31,6&lt;=$Q31),1,0)))=1,"S ","")&amp;IF(IF(OR($R31=0,$S31=0),0,IF($R31&lt;=$S31,IF(AND(6&gt;=$R31,6&lt;=$S31),1,0),IF(OR(6&gt;=$R31,6&lt;=$S31),1,0)))=1,"P ","")&amp;IF(IF(OR($T31=0,$U31=0),0,IF($T31&lt;=$U31,IF(AND(6&gt;=$T31,6&lt;=$U31),1,0),IF(OR(6&gt;=$T31,6&lt;=$U31),1,0)))=1,"H","")))</f>
        <v/>
      </c>
      <c r="I31" s="28">
        <f>IF(B31="","",TRIM(IF(IF(OR($P31=0,$Q31=0),0,IF($P31&lt;=$Q31,IF(AND(7&gt;=$P31,7&lt;=$Q31),1,0),IF(OR(7&gt;=$P31,7&lt;=$Q31),1,0)))=1,"S ","")&amp;IF(IF(OR($R31=0,$S31=0),0,IF($R31&lt;=$S31,IF(AND(7&gt;=$R31,7&lt;=$S31),1,0),IF(OR(7&gt;=$R31,7&lt;=$S31),1,0)))=1,"P ","")&amp;IF(IF(OR($T31=0,$U31=0),0,IF($T31&lt;=$U31,IF(AND(7&gt;=$T31,7&lt;=$U31),1,0),IF(OR(7&gt;=$T31,7&lt;=$U31),1,0)))=1,"H","")))</f>
        <v/>
      </c>
      <c r="J31" s="28">
        <f>IF(B31="","",TRIM(IF(IF(OR($P31=0,$Q31=0),0,IF($P31&lt;=$Q31,IF(AND(8&gt;=$P31,8&lt;=$Q31),1,0),IF(OR(8&gt;=$P31,8&lt;=$Q31),1,0)))=1,"S ","")&amp;IF(IF(OR($R31=0,$S31=0),0,IF($R31&lt;=$S31,IF(AND(8&gt;=$R31,8&lt;=$S31),1,0),IF(OR(8&gt;=$R31,8&lt;=$S31),1,0)))=1,"P ","")&amp;IF(IF(OR($T31=0,$U31=0),0,IF($T31&lt;=$U31,IF(AND(8&gt;=$T31,8&lt;=$U31),1,0),IF(OR(8&gt;=$T31,8&lt;=$U31),1,0)))=1,"H","")))</f>
        <v/>
      </c>
      <c r="K31" s="28">
        <f>IF(B31="","",TRIM(IF(IF(OR($P31=0,$Q31=0),0,IF($P31&lt;=$Q31,IF(AND(9&gt;=$P31,9&lt;=$Q31),1,0),IF(OR(9&gt;=$P31,9&lt;=$Q31),1,0)))=1,"S ","")&amp;IF(IF(OR($R31=0,$S31=0),0,IF($R31&lt;=$S31,IF(AND(9&gt;=$R31,9&lt;=$S31),1,0),IF(OR(9&gt;=$R31,9&lt;=$S31),1,0)))=1,"P ","")&amp;IF(IF(OR($T31=0,$U31=0),0,IF($T31&lt;=$U31,IF(AND(9&gt;=$T31,9&lt;=$U31),1,0),IF(OR(9&gt;=$T31,9&lt;=$U31),1,0)))=1,"H","")))</f>
        <v/>
      </c>
      <c r="L31" s="28">
        <f>IF(B31="","",TRIM(IF(IF(OR($P31=0,$Q31=0),0,IF($P31&lt;=$Q31,IF(AND(10&gt;=$P31,10&lt;=$Q31),1,0),IF(OR(10&gt;=$P31,10&lt;=$Q31),1,0)))=1,"S ","")&amp;IF(IF(OR($R31=0,$S31=0),0,IF($R31&lt;=$S31,IF(AND(10&gt;=$R31,10&lt;=$S31),1,0),IF(OR(10&gt;=$R31,10&lt;=$S31),1,0)))=1,"P ","")&amp;IF(IF(OR($T31=0,$U31=0),0,IF($T31&lt;=$U31,IF(AND(10&gt;=$T31,10&lt;=$U31),1,0),IF(OR(10&gt;=$T31,10&lt;=$U31),1,0)))=1,"H","")))</f>
        <v/>
      </c>
      <c r="M31" s="28">
        <f>IF(B31="","",TRIM(IF(IF(OR($P31=0,$Q31=0),0,IF($P31&lt;=$Q31,IF(AND(11&gt;=$P31,11&lt;=$Q31),1,0),IF(OR(11&gt;=$P31,11&lt;=$Q31),1,0)))=1,"S ","")&amp;IF(IF(OR($R31=0,$S31=0),0,IF($R31&lt;=$S31,IF(AND(11&gt;=$R31,11&lt;=$S31),1,0),IF(OR(11&gt;=$R31,11&lt;=$S31),1,0)))=1,"P ","")&amp;IF(IF(OR($T31=0,$U31=0),0,IF($T31&lt;=$U31,IF(AND(11&gt;=$T31,11&lt;=$U31),1,0),IF(OR(11&gt;=$T31,11&lt;=$U31),1,0)))=1,"H","")))</f>
        <v/>
      </c>
      <c r="N31" s="28">
        <f>IF(B31="","",TRIM(IF(IF(OR($P31=0,$Q31=0),0,IF($P31&lt;=$Q31,IF(AND(12&gt;=$P31,12&lt;=$Q31),1,0),IF(OR(12&gt;=$P31,12&lt;=$Q31),1,0)))=1,"S ","")&amp;IF(IF(OR($R31=0,$S31=0),0,IF($R31&lt;=$S31,IF(AND(12&gt;=$R31,12&lt;=$S31),1,0),IF(OR(12&gt;=$R31,12&lt;=$S31),1,0)))=1,"P ","")&amp;IF(IF(OR($T31=0,$U31=0),0,IF($T31&lt;=$U31,IF(AND(12&gt;=$T31,12&lt;=$U31),1,0),IF(OR(12&gt;=$T31,12&lt;=$U31),1,0)))=1,"H","")))</f>
        <v/>
      </c>
      <c r="O31" s="1" t="n"/>
      <c r="P31">
        <f>N(INDEX(Crops!$R$6:$R$65,26))</f>
        <v/>
      </c>
      <c r="Q31">
        <f>N(INDEX(Crops!$S$6:$S$65,26))</f>
        <v/>
      </c>
      <c r="R31">
        <f>N(INDEX(Crops!$T$6:$T$65,26))</f>
        <v/>
      </c>
      <c r="S31">
        <f>N(INDEX(Crops!$U$6:$U$65,26))</f>
        <v/>
      </c>
      <c r="T31">
        <f>N(INDEX(Crops!$V$6:$V$65,26))</f>
        <v/>
      </c>
      <c r="U31">
        <f>N(INDEX(Crops!$W$6:$W$65,26))</f>
        <v/>
      </c>
    </row>
    <row r="32" ht="16" customHeight="1">
      <c r="A32" s="1" t="n"/>
      <c r="B32" s="9">
        <f>IF(INDEX(Crops!$B$6:$B$65,27)="","",INDEX(Crops!$B$6:$B$65,27))</f>
        <v/>
      </c>
      <c r="C32" s="28">
        <f>IF(B32="","",TRIM(IF(IF(OR($P32=0,$Q32=0),0,IF($P32&lt;=$Q32,IF(AND(1&gt;=$P32,1&lt;=$Q32),1,0),IF(OR(1&gt;=$P32,1&lt;=$Q32),1,0)))=1,"S ","")&amp;IF(IF(OR($R32=0,$S32=0),0,IF($R32&lt;=$S32,IF(AND(1&gt;=$R32,1&lt;=$S32),1,0),IF(OR(1&gt;=$R32,1&lt;=$S32),1,0)))=1,"P ","")&amp;IF(IF(OR($T32=0,$U32=0),0,IF($T32&lt;=$U32,IF(AND(1&gt;=$T32,1&lt;=$U32),1,0),IF(OR(1&gt;=$T32,1&lt;=$U32),1,0)))=1,"H","")))</f>
        <v/>
      </c>
      <c r="D32" s="28">
        <f>IF(B32="","",TRIM(IF(IF(OR($P32=0,$Q32=0),0,IF($P32&lt;=$Q32,IF(AND(2&gt;=$P32,2&lt;=$Q32),1,0),IF(OR(2&gt;=$P32,2&lt;=$Q32),1,0)))=1,"S ","")&amp;IF(IF(OR($R32=0,$S32=0),0,IF($R32&lt;=$S32,IF(AND(2&gt;=$R32,2&lt;=$S32),1,0),IF(OR(2&gt;=$R32,2&lt;=$S32),1,0)))=1,"P ","")&amp;IF(IF(OR($T32=0,$U32=0),0,IF($T32&lt;=$U32,IF(AND(2&gt;=$T32,2&lt;=$U32),1,0),IF(OR(2&gt;=$T32,2&lt;=$U32),1,0)))=1,"H","")))</f>
        <v/>
      </c>
      <c r="E32" s="28">
        <f>IF(B32="","",TRIM(IF(IF(OR($P32=0,$Q32=0),0,IF($P32&lt;=$Q32,IF(AND(3&gt;=$P32,3&lt;=$Q32),1,0),IF(OR(3&gt;=$P32,3&lt;=$Q32),1,0)))=1,"S ","")&amp;IF(IF(OR($R32=0,$S32=0),0,IF($R32&lt;=$S32,IF(AND(3&gt;=$R32,3&lt;=$S32),1,0),IF(OR(3&gt;=$R32,3&lt;=$S32),1,0)))=1,"P ","")&amp;IF(IF(OR($T32=0,$U32=0),0,IF($T32&lt;=$U32,IF(AND(3&gt;=$T32,3&lt;=$U32),1,0),IF(OR(3&gt;=$T32,3&lt;=$U32),1,0)))=1,"H","")))</f>
        <v/>
      </c>
      <c r="F32" s="28">
        <f>IF(B32="","",TRIM(IF(IF(OR($P32=0,$Q32=0),0,IF($P32&lt;=$Q32,IF(AND(4&gt;=$P32,4&lt;=$Q32),1,0),IF(OR(4&gt;=$P32,4&lt;=$Q32),1,0)))=1,"S ","")&amp;IF(IF(OR($R32=0,$S32=0),0,IF($R32&lt;=$S32,IF(AND(4&gt;=$R32,4&lt;=$S32),1,0),IF(OR(4&gt;=$R32,4&lt;=$S32),1,0)))=1,"P ","")&amp;IF(IF(OR($T32=0,$U32=0),0,IF($T32&lt;=$U32,IF(AND(4&gt;=$T32,4&lt;=$U32),1,0),IF(OR(4&gt;=$T32,4&lt;=$U32),1,0)))=1,"H","")))</f>
        <v/>
      </c>
      <c r="G32" s="28">
        <f>IF(B32="","",TRIM(IF(IF(OR($P32=0,$Q32=0),0,IF($P32&lt;=$Q32,IF(AND(5&gt;=$P32,5&lt;=$Q32),1,0),IF(OR(5&gt;=$P32,5&lt;=$Q32),1,0)))=1,"S ","")&amp;IF(IF(OR($R32=0,$S32=0),0,IF($R32&lt;=$S32,IF(AND(5&gt;=$R32,5&lt;=$S32),1,0),IF(OR(5&gt;=$R32,5&lt;=$S32),1,0)))=1,"P ","")&amp;IF(IF(OR($T32=0,$U32=0),0,IF($T32&lt;=$U32,IF(AND(5&gt;=$T32,5&lt;=$U32),1,0),IF(OR(5&gt;=$T32,5&lt;=$U32),1,0)))=1,"H","")))</f>
        <v/>
      </c>
      <c r="H32" s="28">
        <f>IF(B32="","",TRIM(IF(IF(OR($P32=0,$Q32=0),0,IF($P32&lt;=$Q32,IF(AND(6&gt;=$P32,6&lt;=$Q32),1,0),IF(OR(6&gt;=$P32,6&lt;=$Q32),1,0)))=1,"S ","")&amp;IF(IF(OR($R32=0,$S32=0),0,IF($R32&lt;=$S32,IF(AND(6&gt;=$R32,6&lt;=$S32),1,0),IF(OR(6&gt;=$R32,6&lt;=$S32),1,0)))=1,"P ","")&amp;IF(IF(OR($T32=0,$U32=0),0,IF($T32&lt;=$U32,IF(AND(6&gt;=$T32,6&lt;=$U32),1,0),IF(OR(6&gt;=$T32,6&lt;=$U32),1,0)))=1,"H","")))</f>
        <v/>
      </c>
      <c r="I32" s="28">
        <f>IF(B32="","",TRIM(IF(IF(OR($P32=0,$Q32=0),0,IF($P32&lt;=$Q32,IF(AND(7&gt;=$P32,7&lt;=$Q32),1,0),IF(OR(7&gt;=$P32,7&lt;=$Q32),1,0)))=1,"S ","")&amp;IF(IF(OR($R32=0,$S32=0),0,IF($R32&lt;=$S32,IF(AND(7&gt;=$R32,7&lt;=$S32),1,0),IF(OR(7&gt;=$R32,7&lt;=$S32),1,0)))=1,"P ","")&amp;IF(IF(OR($T32=0,$U32=0),0,IF($T32&lt;=$U32,IF(AND(7&gt;=$T32,7&lt;=$U32),1,0),IF(OR(7&gt;=$T32,7&lt;=$U32),1,0)))=1,"H","")))</f>
        <v/>
      </c>
      <c r="J32" s="28">
        <f>IF(B32="","",TRIM(IF(IF(OR($P32=0,$Q32=0),0,IF($P32&lt;=$Q32,IF(AND(8&gt;=$P32,8&lt;=$Q32),1,0),IF(OR(8&gt;=$P32,8&lt;=$Q32),1,0)))=1,"S ","")&amp;IF(IF(OR($R32=0,$S32=0),0,IF($R32&lt;=$S32,IF(AND(8&gt;=$R32,8&lt;=$S32),1,0),IF(OR(8&gt;=$R32,8&lt;=$S32),1,0)))=1,"P ","")&amp;IF(IF(OR($T32=0,$U32=0),0,IF($T32&lt;=$U32,IF(AND(8&gt;=$T32,8&lt;=$U32),1,0),IF(OR(8&gt;=$T32,8&lt;=$U32),1,0)))=1,"H","")))</f>
        <v/>
      </c>
      <c r="K32" s="28">
        <f>IF(B32="","",TRIM(IF(IF(OR($P32=0,$Q32=0),0,IF($P32&lt;=$Q32,IF(AND(9&gt;=$P32,9&lt;=$Q32),1,0),IF(OR(9&gt;=$P32,9&lt;=$Q32),1,0)))=1,"S ","")&amp;IF(IF(OR($R32=0,$S32=0),0,IF($R32&lt;=$S32,IF(AND(9&gt;=$R32,9&lt;=$S32),1,0),IF(OR(9&gt;=$R32,9&lt;=$S32),1,0)))=1,"P ","")&amp;IF(IF(OR($T32=0,$U32=0),0,IF($T32&lt;=$U32,IF(AND(9&gt;=$T32,9&lt;=$U32),1,0),IF(OR(9&gt;=$T32,9&lt;=$U32),1,0)))=1,"H","")))</f>
        <v/>
      </c>
      <c r="L32" s="28">
        <f>IF(B32="","",TRIM(IF(IF(OR($P32=0,$Q32=0),0,IF($P32&lt;=$Q32,IF(AND(10&gt;=$P32,10&lt;=$Q32),1,0),IF(OR(10&gt;=$P32,10&lt;=$Q32),1,0)))=1,"S ","")&amp;IF(IF(OR($R32=0,$S32=0),0,IF($R32&lt;=$S32,IF(AND(10&gt;=$R32,10&lt;=$S32),1,0),IF(OR(10&gt;=$R32,10&lt;=$S32),1,0)))=1,"P ","")&amp;IF(IF(OR($T32=0,$U32=0),0,IF($T32&lt;=$U32,IF(AND(10&gt;=$T32,10&lt;=$U32),1,0),IF(OR(10&gt;=$T32,10&lt;=$U32),1,0)))=1,"H","")))</f>
        <v/>
      </c>
      <c r="M32" s="28">
        <f>IF(B32="","",TRIM(IF(IF(OR($P32=0,$Q32=0),0,IF($P32&lt;=$Q32,IF(AND(11&gt;=$P32,11&lt;=$Q32),1,0),IF(OR(11&gt;=$P32,11&lt;=$Q32),1,0)))=1,"S ","")&amp;IF(IF(OR($R32=0,$S32=0),0,IF($R32&lt;=$S32,IF(AND(11&gt;=$R32,11&lt;=$S32),1,0),IF(OR(11&gt;=$R32,11&lt;=$S32),1,0)))=1,"P ","")&amp;IF(IF(OR($T32=0,$U32=0),0,IF($T32&lt;=$U32,IF(AND(11&gt;=$T32,11&lt;=$U32),1,0),IF(OR(11&gt;=$T32,11&lt;=$U32),1,0)))=1,"H","")))</f>
        <v/>
      </c>
      <c r="N32" s="28">
        <f>IF(B32="","",TRIM(IF(IF(OR($P32=0,$Q32=0),0,IF($P32&lt;=$Q32,IF(AND(12&gt;=$P32,12&lt;=$Q32),1,0),IF(OR(12&gt;=$P32,12&lt;=$Q32),1,0)))=1,"S ","")&amp;IF(IF(OR($R32=0,$S32=0),0,IF($R32&lt;=$S32,IF(AND(12&gt;=$R32,12&lt;=$S32),1,0),IF(OR(12&gt;=$R32,12&lt;=$S32),1,0)))=1,"P ","")&amp;IF(IF(OR($T32=0,$U32=0),0,IF($T32&lt;=$U32,IF(AND(12&gt;=$T32,12&lt;=$U32),1,0),IF(OR(12&gt;=$T32,12&lt;=$U32),1,0)))=1,"H","")))</f>
        <v/>
      </c>
      <c r="O32" s="1" t="n"/>
      <c r="P32">
        <f>N(INDEX(Crops!$R$6:$R$65,27))</f>
        <v/>
      </c>
      <c r="Q32">
        <f>N(INDEX(Crops!$S$6:$S$65,27))</f>
        <v/>
      </c>
      <c r="R32">
        <f>N(INDEX(Crops!$T$6:$T$65,27))</f>
        <v/>
      </c>
      <c r="S32">
        <f>N(INDEX(Crops!$U$6:$U$65,27))</f>
        <v/>
      </c>
      <c r="T32">
        <f>N(INDEX(Crops!$V$6:$V$65,27))</f>
        <v/>
      </c>
      <c r="U32">
        <f>N(INDEX(Crops!$W$6:$W$65,27))</f>
        <v/>
      </c>
    </row>
    <row r="33" ht="16" customHeight="1">
      <c r="A33" s="1" t="n"/>
      <c r="B33" s="9">
        <f>IF(INDEX(Crops!$B$6:$B$65,28)="","",INDEX(Crops!$B$6:$B$65,28))</f>
        <v/>
      </c>
      <c r="C33" s="28">
        <f>IF(B33="","",TRIM(IF(IF(OR($P33=0,$Q33=0),0,IF($P33&lt;=$Q33,IF(AND(1&gt;=$P33,1&lt;=$Q33),1,0),IF(OR(1&gt;=$P33,1&lt;=$Q33),1,0)))=1,"S ","")&amp;IF(IF(OR($R33=0,$S33=0),0,IF($R33&lt;=$S33,IF(AND(1&gt;=$R33,1&lt;=$S33),1,0),IF(OR(1&gt;=$R33,1&lt;=$S33),1,0)))=1,"P ","")&amp;IF(IF(OR($T33=0,$U33=0),0,IF($T33&lt;=$U33,IF(AND(1&gt;=$T33,1&lt;=$U33),1,0),IF(OR(1&gt;=$T33,1&lt;=$U33),1,0)))=1,"H","")))</f>
        <v/>
      </c>
      <c r="D33" s="28">
        <f>IF(B33="","",TRIM(IF(IF(OR($P33=0,$Q33=0),0,IF($P33&lt;=$Q33,IF(AND(2&gt;=$P33,2&lt;=$Q33),1,0),IF(OR(2&gt;=$P33,2&lt;=$Q33),1,0)))=1,"S ","")&amp;IF(IF(OR($R33=0,$S33=0),0,IF($R33&lt;=$S33,IF(AND(2&gt;=$R33,2&lt;=$S33),1,0),IF(OR(2&gt;=$R33,2&lt;=$S33),1,0)))=1,"P ","")&amp;IF(IF(OR($T33=0,$U33=0),0,IF($T33&lt;=$U33,IF(AND(2&gt;=$T33,2&lt;=$U33),1,0),IF(OR(2&gt;=$T33,2&lt;=$U33),1,0)))=1,"H","")))</f>
        <v/>
      </c>
      <c r="E33" s="28">
        <f>IF(B33="","",TRIM(IF(IF(OR($P33=0,$Q33=0),0,IF($P33&lt;=$Q33,IF(AND(3&gt;=$P33,3&lt;=$Q33),1,0),IF(OR(3&gt;=$P33,3&lt;=$Q33),1,0)))=1,"S ","")&amp;IF(IF(OR($R33=0,$S33=0),0,IF($R33&lt;=$S33,IF(AND(3&gt;=$R33,3&lt;=$S33),1,0),IF(OR(3&gt;=$R33,3&lt;=$S33),1,0)))=1,"P ","")&amp;IF(IF(OR($T33=0,$U33=0),0,IF($T33&lt;=$U33,IF(AND(3&gt;=$T33,3&lt;=$U33),1,0),IF(OR(3&gt;=$T33,3&lt;=$U33),1,0)))=1,"H","")))</f>
        <v/>
      </c>
      <c r="F33" s="28">
        <f>IF(B33="","",TRIM(IF(IF(OR($P33=0,$Q33=0),0,IF($P33&lt;=$Q33,IF(AND(4&gt;=$P33,4&lt;=$Q33),1,0),IF(OR(4&gt;=$P33,4&lt;=$Q33),1,0)))=1,"S ","")&amp;IF(IF(OR($R33=0,$S33=0),0,IF($R33&lt;=$S33,IF(AND(4&gt;=$R33,4&lt;=$S33),1,0),IF(OR(4&gt;=$R33,4&lt;=$S33),1,0)))=1,"P ","")&amp;IF(IF(OR($T33=0,$U33=0),0,IF($T33&lt;=$U33,IF(AND(4&gt;=$T33,4&lt;=$U33),1,0),IF(OR(4&gt;=$T33,4&lt;=$U33),1,0)))=1,"H","")))</f>
        <v/>
      </c>
      <c r="G33" s="28">
        <f>IF(B33="","",TRIM(IF(IF(OR($P33=0,$Q33=0),0,IF($P33&lt;=$Q33,IF(AND(5&gt;=$P33,5&lt;=$Q33),1,0),IF(OR(5&gt;=$P33,5&lt;=$Q33),1,0)))=1,"S ","")&amp;IF(IF(OR($R33=0,$S33=0),0,IF($R33&lt;=$S33,IF(AND(5&gt;=$R33,5&lt;=$S33),1,0),IF(OR(5&gt;=$R33,5&lt;=$S33),1,0)))=1,"P ","")&amp;IF(IF(OR($T33=0,$U33=0),0,IF($T33&lt;=$U33,IF(AND(5&gt;=$T33,5&lt;=$U33),1,0),IF(OR(5&gt;=$T33,5&lt;=$U33),1,0)))=1,"H","")))</f>
        <v/>
      </c>
      <c r="H33" s="28">
        <f>IF(B33="","",TRIM(IF(IF(OR($P33=0,$Q33=0),0,IF($P33&lt;=$Q33,IF(AND(6&gt;=$P33,6&lt;=$Q33),1,0),IF(OR(6&gt;=$P33,6&lt;=$Q33),1,0)))=1,"S ","")&amp;IF(IF(OR($R33=0,$S33=0),0,IF($R33&lt;=$S33,IF(AND(6&gt;=$R33,6&lt;=$S33),1,0),IF(OR(6&gt;=$R33,6&lt;=$S33),1,0)))=1,"P ","")&amp;IF(IF(OR($T33=0,$U33=0),0,IF($T33&lt;=$U33,IF(AND(6&gt;=$T33,6&lt;=$U33),1,0),IF(OR(6&gt;=$T33,6&lt;=$U33),1,0)))=1,"H","")))</f>
        <v/>
      </c>
      <c r="I33" s="28">
        <f>IF(B33="","",TRIM(IF(IF(OR($P33=0,$Q33=0),0,IF($P33&lt;=$Q33,IF(AND(7&gt;=$P33,7&lt;=$Q33),1,0),IF(OR(7&gt;=$P33,7&lt;=$Q33),1,0)))=1,"S ","")&amp;IF(IF(OR($R33=0,$S33=0),0,IF($R33&lt;=$S33,IF(AND(7&gt;=$R33,7&lt;=$S33),1,0),IF(OR(7&gt;=$R33,7&lt;=$S33),1,0)))=1,"P ","")&amp;IF(IF(OR($T33=0,$U33=0),0,IF($T33&lt;=$U33,IF(AND(7&gt;=$T33,7&lt;=$U33),1,0),IF(OR(7&gt;=$T33,7&lt;=$U33),1,0)))=1,"H","")))</f>
        <v/>
      </c>
      <c r="J33" s="28">
        <f>IF(B33="","",TRIM(IF(IF(OR($P33=0,$Q33=0),0,IF($P33&lt;=$Q33,IF(AND(8&gt;=$P33,8&lt;=$Q33),1,0),IF(OR(8&gt;=$P33,8&lt;=$Q33),1,0)))=1,"S ","")&amp;IF(IF(OR($R33=0,$S33=0),0,IF($R33&lt;=$S33,IF(AND(8&gt;=$R33,8&lt;=$S33),1,0),IF(OR(8&gt;=$R33,8&lt;=$S33),1,0)))=1,"P ","")&amp;IF(IF(OR($T33=0,$U33=0),0,IF($T33&lt;=$U33,IF(AND(8&gt;=$T33,8&lt;=$U33),1,0),IF(OR(8&gt;=$T33,8&lt;=$U33),1,0)))=1,"H","")))</f>
        <v/>
      </c>
      <c r="K33" s="28">
        <f>IF(B33="","",TRIM(IF(IF(OR($P33=0,$Q33=0),0,IF($P33&lt;=$Q33,IF(AND(9&gt;=$P33,9&lt;=$Q33),1,0),IF(OR(9&gt;=$P33,9&lt;=$Q33),1,0)))=1,"S ","")&amp;IF(IF(OR($R33=0,$S33=0),0,IF($R33&lt;=$S33,IF(AND(9&gt;=$R33,9&lt;=$S33),1,0),IF(OR(9&gt;=$R33,9&lt;=$S33),1,0)))=1,"P ","")&amp;IF(IF(OR($T33=0,$U33=0),0,IF($T33&lt;=$U33,IF(AND(9&gt;=$T33,9&lt;=$U33),1,0),IF(OR(9&gt;=$T33,9&lt;=$U33),1,0)))=1,"H","")))</f>
        <v/>
      </c>
      <c r="L33" s="28">
        <f>IF(B33="","",TRIM(IF(IF(OR($P33=0,$Q33=0),0,IF($P33&lt;=$Q33,IF(AND(10&gt;=$P33,10&lt;=$Q33),1,0),IF(OR(10&gt;=$P33,10&lt;=$Q33),1,0)))=1,"S ","")&amp;IF(IF(OR($R33=0,$S33=0),0,IF($R33&lt;=$S33,IF(AND(10&gt;=$R33,10&lt;=$S33),1,0),IF(OR(10&gt;=$R33,10&lt;=$S33),1,0)))=1,"P ","")&amp;IF(IF(OR($T33=0,$U33=0),0,IF($T33&lt;=$U33,IF(AND(10&gt;=$T33,10&lt;=$U33),1,0),IF(OR(10&gt;=$T33,10&lt;=$U33),1,0)))=1,"H","")))</f>
        <v/>
      </c>
      <c r="M33" s="28">
        <f>IF(B33="","",TRIM(IF(IF(OR($P33=0,$Q33=0),0,IF($P33&lt;=$Q33,IF(AND(11&gt;=$P33,11&lt;=$Q33),1,0),IF(OR(11&gt;=$P33,11&lt;=$Q33),1,0)))=1,"S ","")&amp;IF(IF(OR($R33=0,$S33=0),0,IF($R33&lt;=$S33,IF(AND(11&gt;=$R33,11&lt;=$S33),1,0),IF(OR(11&gt;=$R33,11&lt;=$S33),1,0)))=1,"P ","")&amp;IF(IF(OR($T33=0,$U33=0),0,IF($T33&lt;=$U33,IF(AND(11&gt;=$T33,11&lt;=$U33),1,0),IF(OR(11&gt;=$T33,11&lt;=$U33),1,0)))=1,"H","")))</f>
        <v/>
      </c>
      <c r="N33" s="28">
        <f>IF(B33="","",TRIM(IF(IF(OR($P33=0,$Q33=0),0,IF($P33&lt;=$Q33,IF(AND(12&gt;=$P33,12&lt;=$Q33),1,0),IF(OR(12&gt;=$P33,12&lt;=$Q33),1,0)))=1,"S ","")&amp;IF(IF(OR($R33=0,$S33=0),0,IF($R33&lt;=$S33,IF(AND(12&gt;=$R33,12&lt;=$S33),1,0),IF(OR(12&gt;=$R33,12&lt;=$S33),1,0)))=1,"P ","")&amp;IF(IF(OR($T33=0,$U33=0),0,IF($T33&lt;=$U33,IF(AND(12&gt;=$T33,12&lt;=$U33),1,0),IF(OR(12&gt;=$T33,12&lt;=$U33),1,0)))=1,"H","")))</f>
        <v/>
      </c>
      <c r="O33" s="1" t="n"/>
      <c r="P33">
        <f>N(INDEX(Crops!$R$6:$R$65,28))</f>
        <v/>
      </c>
      <c r="Q33">
        <f>N(INDEX(Crops!$S$6:$S$65,28))</f>
        <v/>
      </c>
      <c r="R33">
        <f>N(INDEX(Crops!$T$6:$T$65,28))</f>
        <v/>
      </c>
      <c r="S33">
        <f>N(INDEX(Crops!$U$6:$U$65,28))</f>
        <v/>
      </c>
      <c r="T33">
        <f>N(INDEX(Crops!$V$6:$V$65,28))</f>
        <v/>
      </c>
      <c r="U33">
        <f>N(INDEX(Crops!$W$6:$W$65,28))</f>
        <v/>
      </c>
    </row>
    <row r="34" ht="16" customHeight="1">
      <c r="A34" s="1" t="n"/>
      <c r="B34" s="9">
        <f>IF(INDEX(Crops!$B$6:$B$65,29)="","",INDEX(Crops!$B$6:$B$65,29))</f>
        <v/>
      </c>
      <c r="C34" s="28">
        <f>IF(B34="","",TRIM(IF(IF(OR($P34=0,$Q34=0),0,IF($P34&lt;=$Q34,IF(AND(1&gt;=$P34,1&lt;=$Q34),1,0),IF(OR(1&gt;=$P34,1&lt;=$Q34),1,0)))=1,"S ","")&amp;IF(IF(OR($R34=0,$S34=0),0,IF($R34&lt;=$S34,IF(AND(1&gt;=$R34,1&lt;=$S34),1,0),IF(OR(1&gt;=$R34,1&lt;=$S34),1,0)))=1,"P ","")&amp;IF(IF(OR($T34=0,$U34=0),0,IF($T34&lt;=$U34,IF(AND(1&gt;=$T34,1&lt;=$U34),1,0),IF(OR(1&gt;=$T34,1&lt;=$U34),1,0)))=1,"H","")))</f>
        <v/>
      </c>
      <c r="D34" s="28">
        <f>IF(B34="","",TRIM(IF(IF(OR($P34=0,$Q34=0),0,IF($P34&lt;=$Q34,IF(AND(2&gt;=$P34,2&lt;=$Q34),1,0),IF(OR(2&gt;=$P34,2&lt;=$Q34),1,0)))=1,"S ","")&amp;IF(IF(OR($R34=0,$S34=0),0,IF($R34&lt;=$S34,IF(AND(2&gt;=$R34,2&lt;=$S34),1,0),IF(OR(2&gt;=$R34,2&lt;=$S34),1,0)))=1,"P ","")&amp;IF(IF(OR($T34=0,$U34=0),0,IF($T34&lt;=$U34,IF(AND(2&gt;=$T34,2&lt;=$U34),1,0),IF(OR(2&gt;=$T34,2&lt;=$U34),1,0)))=1,"H","")))</f>
        <v/>
      </c>
      <c r="E34" s="28">
        <f>IF(B34="","",TRIM(IF(IF(OR($P34=0,$Q34=0),0,IF($P34&lt;=$Q34,IF(AND(3&gt;=$P34,3&lt;=$Q34),1,0),IF(OR(3&gt;=$P34,3&lt;=$Q34),1,0)))=1,"S ","")&amp;IF(IF(OR($R34=0,$S34=0),0,IF($R34&lt;=$S34,IF(AND(3&gt;=$R34,3&lt;=$S34),1,0),IF(OR(3&gt;=$R34,3&lt;=$S34),1,0)))=1,"P ","")&amp;IF(IF(OR($T34=0,$U34=0),0,IF($T34&lt;=$U34,IF(AND(3&gt;=$T34,3&lt;=$U34),1,0),IF(OR(3&gt;=$T34,3&lt;=$U34),1,0)))=1,"H","")))</f>
        <v/>
      </c>
      <c r="F34" s="28">
        <f>IF(B34="","",TRIM(IF(IF(OR($P34=0,$Q34=0),0,IF($P34&lt;=$Q34,IF(AND(4&gt;=$P34,4&lt;=$Q34),1,0),IF(OR(4&gt;=$P34,4&lt;=$Q34),1,0)))=1,"S ","")&amp;IF(IF(OR($R34=0,$S34=0),0,IF($R34&lt;=$S34,IF(AND(4&gt;=$R34,4&lt;=$S34),1,0),IF(OR(4&gt;=$R34,4&lt;=$S34),1,0)))=1,"P ","")&amp;IF(IF(OR($T34=0,$U34=0),0,IF($T34&lt;=$U34,IF(AND(4&gt;=$T34,4&lt;=$U34),1,0),IF(OR(4&gt;=$T34,4&lt;=$U34),1,0)))=1,"H","")))</f>
        <v/>
      </c>
      <c r="G34" s="28">
        <f>IF(B34="","",TRIM(IF(IF(OR($P34=0,$Q34=0),0,IF($P34&lt;=$Q34,IF(AND(5&gt;=$P34,5&lt;=$Q34),1,0),IF(OR(5&gt;=$P34,5&lt;=$Q34),1,0)))=1,"S ","")&amp;IF(IF(OR($R34=0,$S34=0),0,IF($R34&lt;=$S34,IF(AND(5&gt;=$R34,5&lt;=$S34),1,0),IF(OR(5&gt;=$R34,5&lt;=$S34),1,0)))=1,"P ","")&amp;IF(IF(OR($T34=0,$U34=0),0,IF($T34&lt;=$U34,IF(AND(5&gt;=$T34,5&lt;=$U34),1,0),IF(OR(5&gt;=$T34,5&lt;=$U34),1,0)))=1,"H","")))</f>
        <v/>
      </c>
      <c r="H34" s="28">
        <f>IF(B34="","",TRIM(IF(IF(OR($P34=0,$Q34=0),0,IF($P34&lt;=$Q34,IF(AND(6&gt;=$P34,6&lt;=$Q34),1,0),IF(OR(6&gt;=$P34,6&lt;=$Q34),1,0)))=1,"S ","")&amp;IF(IF(OR($R34=0,$S34=0),0,IF($R34&lt;=$S34,IF(AND(6&gt;=$R34,6&lt;=$S34),1,0),IF(OR(6&gt;=$R34,6&lt;=$S34),1,0)))=1,"P ","")&amp;IF(IF(OR($T34=0,$U34=0),0,IF($T34&lt;=$U34,IF(AND(6&gt;=$T34,6&lt;=$U34),1,0),IF(OR(6&gt;=$T34,6&lt;=$U34),1,0)))=1,"H","")))</f>
        <v/>
      </c>
      <c r="I34" s="28">
        <f>IF(B34="","",TRIM(IF(IF(OR($P34=0,$Q34=0),0,IF($P34&lt;=$Q34,IF(AND(7&gt;=$P34,7&lt;=$Q34),1,0),IF(OR(7&gt;=$P34,7&lt;=$Q34),1,0)))=1,"S ","")&amp;IF(IF(OR($R34=0,$S34=0),0,IF($R34&lt;=$S34,IF(AND(7&gt;=$R34,7&lt;=$S34),1,0),IF(OR(7&gt;=$R34,7&lt;=$S34),1,0)))=1,"P ","")&amp;IF(IF(OR($T34=0,$U34=0),0,IF($T34&lt;=$U34,IF(AND(7&gt;=$T34,7&lt;=$U34),1,0),IF(OR(7&gt;=$T34,7&lt;=$U34),1,0)))=1,"H","")))</f>
        <v/>
      </c>
      <c r="J34" s="28">
        <f>IF(B34="","",TRIM(IF(IF(OR($P34=0,$Q34=0),0,IF($P34&lt;=$Q34,IF(AND(8&gt;=$P34,8&lt;=$Q34),1,0),IF(OR(8&gt;=$P34,8&lt;=$Q34),1,0)))=1,"S ","")&amp;IF(IF(OR($R34=0,$S34=0),0,IF($R34&lt;=$S34,IF(AND(8&gt;=$R34,8&lt;=$S34),1,0),IF(OR(8&gt;=$R34,8&lt;=$S34),1,0)))=1,"P ","")&amp;IF(IF(OR($T34=0,$U34=0),0,IF($T34&lt;=$U34,IF(AND(8&gt;=$T34,8&lt;=$U34),1,0),IF(OR(8&gt;=$T34,8&lt;=$U34),1,0)))=1,"H","")))</f>
        <v/>
      </c>
      <c r="K34" s="28">
        <f>IF(B34="","",TRIM(IF(IF(OR($P34=0,$Q34=0),0,IF($P34&lt;=$Q34,IF(AND(9&gt;=$P34,9&lt;=$Q34),1,0),IF(OR(9&gt;=$P34,9&lt;=$Q34),1,0)))=1,"S ","")&amp;IF(IF(OR($R34=0,$S34=0),0,IF($R34&lt;=$S34,IF(AND(9&gt;=$R34,9&lt;=$S34),1,0),IF(OR(9&gt;=$R34,9&lt;=$S34),1,0)))=1,"P ","")&amp;IF(IF(OR($T34=0,$U34=0),0,IF($T34&lt;=$U34,IF(AND(9&gt;=$T34,9&lt;=$U34),1,0),IF(OR(9&gt;=$T34,9&lt;=$U34),1,0)))=1,"H","")))</f>
        <v/>
      </c>
      <c r="L34" s="28">
        <f>IF(B34="","",TRIM(IF(IF(OR($P34=0,$Q34=0),0,IF($P34&lt;=$Q34,IF(AND(10&gt;=$P34,10&lt;=$Q34),1,0),IF(OR(10&gt;=$P34,10&lt;=$Q34),1,0)))=1,"S ","")&amp;IF(IF(OR($R34=0,$S34=0),0,IF($R34&lt;=$S34,IF(AND(10&gt;=$R34,10&lt;=$S34),1,0),IF(OR(10&gt;=$R34,10&lt;=$S34),1,0)))=1,"P ","")&amp;IF(IF(OR($T34=0,$U34=0),0,IF($T34&lt;=$U34,IF(AND(10&gt;=$T34,10&lt;=$U34),1,0),IF(OR(10&gt;=$T34,10&lt;=$U34),1,0)))=1,"H","")))</f>
        <v/>
      </c>
      <c r="M34" s="28">
        <f>IF(B34="","",TRIM(IF(IF(OR($P34=0,$Q34=0),0,IF($P34&lt;=$Q34,IF(AND(11&gt;=$P34,11&lt;=$Q34),1,0),IF(OR(11&gt;=$P34,11&lt;=$Q34),1,0)))=1,"S ","")&amp;IF(IF(OR($R34=0,$S34=0),0,IF($R34&lt;=$S34,IF(AND(11&gt;=$R34,11&lt;=$S34),1,0),IF(OR(11&gt;=$R34,11&lt;=$S34),1,0)))=1,"P ","")&amp;IF(IF(OR($T34=0,$U34=0),0,IF($T34&lt;=$U34,IF(AND(11&gt;=$T34,11&lt;=$U34),1,0),IF(OR(11&gt;=$T34,11&lt;=$U34),1,0)))=1,"H","")))</f>
        <v/>
      </c>
      <c r="N34" s="28">
        <f>IF(B34="","",TRIM(IF(IF(OR($P34=0,$Q34=0),0,IF($P34&lt;=$Q34,IF(AND(12&gt;=$P34,12&lt;=$Q34),1,0),IF(OR(12&gt;=$P34,12&lt;=$Q34),1,0)))=1,"S ","")&amp;IF(IF(OR($R34=0,$S34=0),0,IF($R34&lt;=$S34,IF(AND(12&gt;=$R34,12&lt;=$S34),1,0),IF(OR(12&gt;=$R34,12&lt;=$S34),1,0)))=1,"P ","")&amp;IF(IF(OR($T34=0,$U34=0),0,IF($T34&lt;=$U34,IF(AND(12&gt;=$T34,12&lt;=$U34),1,0),IF(OR(12&gt;=$T34,12&lt;=$U34),1,0)))=1,"H","")))</f>
        <v/>
      </c>
      <c r="O34" s="1" t="n"/>
      <c r="P34">
        <f>N(INDEX(Crops!$R$6:$R$65,29))</f>
        <v/>
      </c>
      <c r="Q34">
        <f>N(INDEX(Crops!$S$6:$S$65,29))</f>
        <v/>
      </c>
      <c r="R34">
        <f>N(INDEX(Crops!$T$6:$T$65,29))</f>
        <v/>
      </c>
      <c r="S34">
        <f>N(INDEX(Crops!$U$6:$U$65,29))</f>
        <v/>
      </c>
      <c r="T34">
        <f>N(INDEX(Crops!$V$6:$V$65,29))</f>
        <v/>
      </c>
      <c r="U34">
        <f>N(INDEX(Crops!$W$6:$W$65,29))</f>
        <v/>
      </c>
    </row>
    <row r="35" ht="16" customHeight="1">
      <c r="A35" s="1" t="n"/>
      <c r="B35" s="9">
        <f>IF(INDEX(Crops!$B$6:$B$65,30)="","",INDEX(Crops!$B$6:$B$65,30))</f>
        <v/>
      </c>
      <c r="C35" s="28">
        <f>IF(B35="","",TRIM(IF(IF(OR($P35=0,$Q35=0),0,IF($P35&lt;=$Q35,IF(AND(1&gt;=$P35,1&lt;=$Q35),1,0),IF(OR(1&gt;=$P35,1&lt;=$Q35),1,0)))=1,"S ","")&amp;IF(IF(OR($R35=0,$S35=0),0,IF($R35&lt;=$S35,IF(AND(1&gt;=$R35,1&lt;=$S35),1,0),IF(OR(1&gt;=$R35,1&lt;=$S35),1,0)))=1,"P ","")&amp;IF(IF(OR($T35=0,$U35=0),0,IF($T35&lt;=$U35,IF(AND(1&gt;=$T35,1&lt;=$U35),1,0),IF(OR(1&gt;=$T35,1&lt;=$U35),1,0)))=1,"H","")))</f>
        <v/>
      </c>
      <c r="D35" s="28">
        <f>IF(B35="","",TRIM(IF(IF(OR($P35=0,$Q35=0),0,IF($P35&lt;=$Q35,IF(AND(2&gt;=$P35,2&lt;=$Q35),1,0),IF(OR(2&gt;=$P35,2&lt;=$Q35),1,0)))=1,"S ","")&amp;IF(IF(OR($R35=0,$S35=0),0,IF($R35&lt;=$S35,IF(AND(2&gt;=$R35,2&lt;=$S35),1,0),IF(OR(2&gt;=$R35,2&lt;=$S35),1,0)))=1,"P ","")&amp;IF(IF(OR($T35=0,$U35=0),0,IF($T35&lt;=$U35,IF(AND(2&gt;=$T35,2&lt;=$U35),1,0),IF(OR(2&gt;=$T35,2&lt;=$U35),1,0)))=1,"H","")))</f>
        <v/>
      </c>
      <c r="E35" s="28">
        <f>IF(B35="","",TRIM(IF(IF(OR($P35=0,$Q35=0),0,IF($P35&lt;=$Q35,IF(AND(3&gt;=$P35,3&lt;=$Q35),1,0),IF(OR(3&gt;=$P35,3&lt;=$Q35),1,0)))=1,"S ","")&amp;IF(IF(OR($R35=0,$S35=0),0,IF($R35&lt;=$S35,IF(AND(3&gt;=$R35,3&lt;=$S35),1,0),IF(OR(3&gt;=$R35,3&lt;=$S35),1,0)))=1,"P ","")&amp;IF(IF(OR($T35=0,$U35=0),0,IF($T35&lt;=$U35,IF(AND(3&gt;=$T35,3&lt;=$U35),1,0),IF(OR(3&gt;=$T35,3&lt;=$U35),1,0)))=1,"H","")))</f>
        <v/>
      </c>
      <c r="F35" s="28">
        <f>IF(B35="","",TRIM(IF(IF(OR($P35=0,$Q35=0),0,IF($P35&lt;=$Q35,IF(AND(4&gt;=$P35,4&lt;=$Q35),1,0),IF(OR(4&gt;=$P35,4&lt;=$Q35),1,0)))=1,"S ","")&amp;IF(IF(OR($R35=0,$S35=0),0,IF($R35&lt;=$S35,IF(AND(4&gt;=$R35,4&lt;=$S35),1,0),IF(OR(4&gt;=$R35,4&lt;=$S35),1,0)))=1,"P ","")&amp;IF(IF(OR($T35=0,$U35=0),0,IF($T35&lt;=$U35,IF(AND(4&gt;=$T35,4&lt;=$U35),1,0),IF(OR(4&gt;=$T35,4&lt;=$U35),1,0)))=1,"H","")))</f>
        <v/>
      </c>
      <c r="G35" s="28">
        <f>IF(B35="","",TRIM(IF(IF(OR($P35=0,$Q35=0),0,IF($P35&lt;=$Q35,IF(AND(5&gt;=$P35,5&lt;=$Q35),1,0),IF(OR(5&gt;=$P35,5&lt;=$Q35),1,0)))=1,"S ","")&amp;IF(IF(OR($R35=0,$S35=0),0,IF($R35&lt;=$S35,IF(AND(5&gt;=$R35,5&lt;=$S35),1,0),IF(OR(5&gt;=$R35,5&lt;=$S35),1,0)))=1,"P ","")&amp;IF(IF(OR($T35=0,$U35=0),0,IF($T35&lt;=$U35,IF(AND(5&gt;=$T35,5&lt;=$U35),1,0),IF(OR(5&gt;=$T35,5&lt;=$U35),1,0)))=1,"H","")))</f>
        <v/>
      </c>
      <c r="H35" s="28">
        <f>IF(B35="","",TRIM(IF(IF(OR($P35=0,$Q35=0),0,IF($P35&lt;=$Q35,IF(AND(6&gt;=$P35,6&lt;=$Q35),1,0),IF(OR(6&gt;=$P35,6&lt;=$Q35),1,0)))=1,"S ","")&amp;IF(IF(OR($R35=0,$S35=0),0,IF($R35&lt;=$S35,IF(AND(6&gt;=$R35,6&lt;=$S35),1,0),IF(OR(6&gt;=$R35,6&lt;=$S35),1,0)))=1,"P ","")&amp;IF(IF(OR($T35=0,$U35=0),0,IF($T35&lt;=$U35,IF(AND(6&gt;=$T35,6&lt;=$U35),1,0),IF(OR(6&gt;=$T35,6&lt;=$U35),1,0)))=1,"H","")))</f>
        <v/>
      </c>
      <c r="I35" s="28">
        <f>IF(B35="","",TRIM(IF(IF(OR($P35=0,$Q35=0),0,IF($P35&lt;=$Q35,IF(AND(7&gt;=$P35,7&lt;=$Q35),1,0),IF(OR(7&gt;=$P35,7&lt;=$Q35),1,0)))=1,"S ","")&amp;IF(IF(OR($R35=0,$S35=0),0,IF($R35&lt;=$S35,IF(AND(7&gt;=$R35,7&lt;=$S35),1,0),IF(OR(7&gt;=$R35,7&lt;=$S35),1,0)))=1,"P ","")&amp;IF(IF(OR($T35=0,$U35=0),0,IF($T35&lt;=$U35,IF(AND(7&gt;=$T35,7&lt;=$U35),1,0),IF(OR(7&gt;=$T35,7&lt;=$U35),1,0)))=1,"H","")))</f>
        <v/>
      </c>
      <c r="J35" s="28">
        <f>IF(B35="","",TRIM(IF(IF(OR($P35=0,$Q35=0),0,IF($P35&lt;=$Q35,IF(AND(8&gt;=$P35,8&lt;=$Q35),1,0),IF(OR(8&gt;=$P35,8&lt;=$Q35),1,0)))=1,"S ","")&amp;IF(IF(OR($R35=0,$S35=0),0,IF($R35&lt;=$S35,IF(AND(8&gt;=$R35,8&lt;=$S35),1,0),IF(OR(8&gt;=$R35,8&lt;=$S35),1,0)))=1,"P ","")&amp;IF(IF(OR($T35=0,$U35=0),0,IF($T35&lt;=$U35,IF(AND(8&gt;=$T35,8&lt;=$U35),1,0),IF(OR(8&gt;=$T35,8&lt;=$U35),1,0)))=1,"H","")))</f>
        <v/>
      </c>
      <c r="K35" s="28">
        <f>IF(B35="","",TRIM(IF(IF(OR($P35=0,$Q35=0),0,IF($P35&lt;=$Q35,IF(AND(9&gt;=$P35,9&lt;=$Q35),1,0),IF(OR(9&gt;=$P35,9&lt;=$Q35),1,0)))=1,"S ","")&amp;IF(IF(OR($R35=0,$S35=0),0,IF($R35&lt;=$S35,IF(AND(9&gt;=$R35,9&lt;=$S35),1,0),IF(OR(9&gt;=$R35,9&lt;=$S35),1,0)))=1,"P ","")&amp;IF(IF(OR($T35=0,$U35=0),0,IF($T35&lt;=$U35,IF(AND(9&gt;=$T35,9&lt;=$U35),1,0),IF(OR(9&gt;=$T35,9&lt;=$U35),1,0)))=1,"H","")))</f>
        <v/>
      </c>
      <c r="L35" s="28">
        <f>IF(B35="","",TRIM(IF(IF(OR($P35=0,$Q35=0),0,IF($P35&lt;=$Q35,IF(AND(10&gt;=$P35,10&lt;=$Q35),1,0),IF(OR(10&gt;=$P35,10&lt;=$Q35),1,0)))=1,"S ","")&amp;IF(IF(OR($R35=0,$S35=0),0,IF($R35&lt;=$S35,IF(AND(10&gt;=$R35,10&lt;=$S35),1,0),IF(OR(10&gt;=$R35,10&lt;=$S35),1,0)))=1,"P ","")&amp;IF(IF(OR($T35=0,$U35=0),0,IF($T35&lt;=$U35,IF(AND(10&gt;=$T35,10&lt;=$U35),1,0),IF(OR(10&gt;=$T35,10&lt;=$U35),1,0)))=1,"H","")))</f>
        <v/>
      </c>
      <c r="M35" s="28">
        <f>IF(B35="","",TRIM(IF(IF(OR($P35=0,$Q35=0),0,IF($P35&lt;=$Q35,IF(AND(11&gt;=$P35,11&lt;=$Q35),1,0),IF(OR(11&gt;=$P35,11&lt;=$Q35),1,0)))=1,"S ","")&amp;IF(IF(OR($R35=0,$S35=0),0,IF($R35&lt;=$S35,IF(AND(11&gt;=$R35,11&lt;=$S35),1,0),IF(OR(11&gt;=$R35,11&lt;=$S35),1,0)))=1,"P ","")&amp;IF(IF(OR($T35=0,$U35=0),0,IF($T35&lt;=$U35,IF(AND(11&gt;=$T35,11&lt;=$U35),1,0),IF(OR(11&gt;=$T35,11&lt;=$U35),1,0)))=1,"H","")))</f>
        <v/>
      </c>
      <c r="N35" s="28">
        <f>IF(B35="","",TRIM(IF(IF(OR($P35=0,$Q35=0),0,IF($P35&lt;=$Q35,IF(AND(12&gt;=$P35,12&lt;=$Q35),1,0),IF(OR(12&gt;=$P35,12&lt;=$Q35),1,0)))=1,"S ","")&amp;IF(IF(OR($R35=0,$S35=0),0,IF($R35&lt;=$S35,IF(AND(12&gt;=$R35,12&lt;=$S35),1,0),IF(OR(12&gt;=$R35,12&lt;=$S35),1,0)))=1,"P ","")&amp;IF(IF(OR($T35=0,$U35=0),0,IF($T35&lt;=$U35,IF(AND(12&gt;=$T35,12&lt;=$U35),1,0),IF(OR(12&gt;=$T35,12&lt;=$U35),1,0)))=1,"H","")))</f>
        <v/>
      </c>
      <c r="O35" s="1" t="n"/>
      <c r="P35">
        <f>N(INDEX(Crops!$R$6:$R$65,30))</f>
        <v/>
      </c>
      <c r="Q35">
        <f>N(INDEX(Crops!$S$6:$S$65,30))</f>
        <v/>
      </c>
      <c r="R35">
        <f>N(INDEX(Crops!$T$6:$T$65,30))</f>
        <v/>
      </c>
      <c r="S35">
        <f>N(INDEX(Crops!$U$6:$U$65,30))</f>
        <v/>
      </c>
      <c r="T35">
        <f>N(INDEX(Crops!$V$6:$V$65,30))</f>
        <v/>
      </c>
      <c r="U35">
        <f>N(INDEX(Crops!$W$6:$W$65,30))</f>
        <v/>
      </c>
    </row>
    <row r="36" ht="16" customHeight="1">
      <c r="A36" s="1" t="n"/>
      <c r="B36" s="9">
        <f>IF(INDEX(Crops!$B$6:$B$65,31)="","",INDEX(Crops!$B$6:$B$65,31))</f>
        <v/>
      </c>
      <c r="C36" s="28">
        <f>IF(B36="","",TRIM(IF(IF(OR($P36=0,$Q36=0),0,IF($P36&lt;=$Q36,IF(AND(1&gt;=$P36,1&lt;=$Q36),1,0),IF(OR(1&gt;=$P36,1&lt;=$Q36),1,0)))=1,"S ","")&amp;IF(IF(OR($R36=0,$S36=0),0,IF($R36&lt;=$S36,IF(AND(1&gt;=$R36,1&lt;=$S36),1,0),IF(OR(1&gt;=$R36,1&lt;=$S36),1,0)))=1,"P ","")&amp;IF(IF(OR($T36=0,$U36=0),0,IF($T36&lt;=$U36,IF(AND(1&gt;=$T36,1&lt;=$U36),1,0),IF(OR(1&gt;=$T36,1&lt;=$U36),1,0)))=1,"H","")))</f>
        <v/>
      </c>
      <c r="D36" s="28">
        <f>IF(B36="","",TRIM(IF(IF(OR($P36=0,$Q36=0),0,IF($P36&lt;=$Q36,IF(AND(2&gt;=$P36,2&lt;=$Q36),1,0),IF(OR(2&gt;=$P36,2&lt;=$Q36),1,0)))=1,"S ","")&amp;IF(IF(OR($R36=0,$S36=0),0,IF($R36&lt;=$S36,IF(AND(2&gt;=$R36,2&lt;=$S36),1,0),IF(OR(2&gt;=$R36,2&lt;=$S36),1,0)))=1,"P ","")&amp;IF(IF(OR($T36=0,$U36=0),0,IF($T36&lt;=$U36,IF(AND(2&gt;=$T36,2&lt;=$U36),1,0),IF(OR(2&gt;=$T36,2&lt;=$U36),1,0)))=1,"H","")))</f>
        <v/>
      </c>
      <c r="E36" s="28">
        <f>IF(B36="","",TRIM(IF(IF(OR($P36=0,$Q36=0),0,IF($P36&lt;=$Q36,IF(AND(3&gt;=$P36,3&lt;=$Q36),1,0),IF(OR(3&gt;=$P36,3&lt;=$Q36),1,0)))=1,"S ","")&amp;IF(IF(OR($R36=0,$S36=0),0,IF($R36&lt;=$S36,IF(AND(3&gt;=$R36,3&lt;=$S36),1,0),IF(OR(3&gt;=$R36,3&lt;=$S36),1,0)))=1,"P ","")&amp;IF(IF(OR($T36=0,$U36=0),0,IF($T36&lt;=$U36,IF(AND(3&gt;=$T36,3&lt;=$U36),1,0),IF(OR(3&gt;=$T36,3&lt;=$U36),1,0)))=1,"H","")))</f>
        <v/>
      </c>
      <c r="F36" s="28">
        <f>IF(B36="","",TRIM(IF(IF(OR($P36=0,$Q36=0),0,IF($P36&lt;=$Q36,IF(AND(4&gt;=$P36,4&lt;=$Q36),1,0),IF(OR(4&gt;=$P36,4&lt;=$Q36),1,0)))=1,"S ","")&amp;IF(IF(OR($R36=0,$S36=0),0,IF($R36&lt;=$S36,IF(AND(4&gt;=$R36,4&lt;=$S36),1,0),IF(OR(4&gt;=$R36,4&lt;=$S36),1,0)))=1,"P ","")&amp;IF(IF(OR($T36=0,$U36=0),0,IF($T36&lt;=$U36,IF(AND(4&gt;=$T36,4&lt;=$U36),1,0),IF(OR(4&gt;=$T36,4&lt;=$U36),1,0)))=1,"H","")))</f>
        <v/>
      </c>
      <c r="G36" s="28">
        <f>IF(B36="","",TRIM(IF(IF(OR($P36=0,$Q36=0),0,IF($P36&lt;=$Q36,IF(AND(5&gt;=$P36,5&lt;=$Q36),1,0),IF(OR(5&gt;=$P36,5&lt;=$Q36),1,0)))=1,"S ","")&amp;IF(IF(OR($R36=0,$S36=0),0,IF($R36&lt;=$S36,IF(AND(5&gt;=$R36,5&lt;=$S36),1,0),IF(OR(5&gt;=$R36,5&lt;=$S36),1,0)))=1,"P ","")&amp;IF(IF(OR($T36=0,$U36=0),0,IF($T36&lt;=$U36,IF(AND(5&gt;=$T36,5&lt;=$U36),1,0),IF(OR(5&gt;=$T36,5&lt;=$U36),1,0)))=1,"H","")))</f>
        <v/>
      </c>
      <c r="H36" s="28">
        <f>IF(B36="","",TRIM(IF(IF(OR($P36=0,$Q36=0),0,IF($P36&lt;=$Q36,IF(AND(6&gt;=$P36,6&lt;=$Q36),1,0),IF(OR(6&gt;=$P36,6&lt;=$Q36),1,0)))=1,"S ","")&amp;IF(IF(OR($R36=0,$S36=0),0,IF($R36&lt;=$S36,IF(AND(6&gt;=$R36,6&lt;=$S36),1,0),IF(OR(6&gt;=$R36,6&lt;=$S36),1,0)))=1,"P ","")&amp;IF(IF(OR($T36=0,$U36=0),0,IF($T36&lt;=$U36,IF(AND(6&gt;=$T36,6&lt;=$U36),1,0),IF(OR(6&gt;=$T36,6&lt;=$U36),1,0)))=1,"H","")))</f>
        <v/>
      </c>
      <c r="I36" s="28">
        <f>IF(B36="","",TRIM(IF(IF(OR($P36=0,$Q36=0),0,IF($P36&lt;=$Q36,IF(AND(7&gt;=$P36,7&lt;=$Q36),1,0),IF(OR(7&gt;=$P36,7&lt;=$Q36),1,0)))=1,"S ","")&amp;IF(IF(OR($R36=0,$S36=0),0,IF($R36&lt;=$S36,IF(AND(7&gt;=$R36,7&lt;=$S36),1,0),IF(OR(7&gt;=$R36,7&lt;=$S36),1,0)))=1,"P ","")&amp;IF(IF(OR($T36=0,$U36=0),0,IF($T36&lt;=$U36,IF(AND(7&gt;=$T36,7&lt;=$U36),1,0),IF(OR(7&gt;=$T36,7&lt;=$U36),1,0)))=1,"H","")))</f>
        <v/>
      </c>
      <c r="J36" s="28">
        <f>IF(B36="","",TRIM(IF(IF(OR($P36=0,$Q36=0),0,IF($P36&lt;=$Q36,IF(AND(8&gt;=$P36,8&lt;=$Q36),1,0),IF(OR(8&gt;=$P36,8&lt;=$Q36),1,0)))=1,"S ","")&amp;IF(IF(OR($R36=0,$S36=0),0,IF($R36&lt;=$S36,IF(AND(8&gt;=$R36,8&lt;=$S36),1,0),IF(OR(8&gt;=$R36,8&lt;=$S36),1,0)))=1,"P ","")&amp;IF(IF(OR($T36=0,$U36=0),0,IF($T36&lt;=$U36,IF(AND(8&gt;=$T36,8&lt;=$U36),1,0),IF(OR(8&gt;=$T36,8&lt;=$U36),1,0)))=1,"H","")))</f>
        <v/>
      </c>
      <c r="K36" s="28">
        <f>IF(B36="","",TRIM(IF(IF(OR($P36=0,$Q36=0),0,IF($P36&lt;=$Q36,IF(AND(9&gt;=$P36,9&lt;=$Q36),1,0),IF(OR(9&gt;=$P36,9&lt;=$Q36),1,0)))=1,"S ","")&amp;IF(IF(OR($R36=0,$S36=0),0,IF($R36&lt;=$S36,IF(AND(9&gt;=$R36,9&lt;=$S36),1,0),IF(OR(9&gt;=$R36,9&lt;=$S36),1,0)))=1,"P ","")&amp;IF(IF(OR($T36=0,$U36=0),0,IF($T36&lt;=$U36,IF(AND(9&gt;=$T36,9&lt;=$U36),1,0),IF(OR(9&gt;=$T36,9&lt;=$U36),1,0)))=1,"H","")))</f>
        <v/>
      </c>
      <c r="L36" s="28">
        <f>IF(B36="","",TRIM(IF(IF(OR($P36=0,$Q36=0),0,IF($P36&lt;=$Q36,IF(AND(10&gt;=$P36,10&lt;=$Q36),1,0),IF(OR(10&gt;=$P36,10&lt;=$Q36),1,0)))=1,"S ","")&amp;IF(IF(OR($R36=0,$S36=0),0,IF($R36&lt;=$S36,IF(AND(10&gt;=$R36,10&lt;=$S36),1,0),IF(OR(10&gt;=$R36,10&lt;=$S36),1,0)))=1,"P ","")&amp;IF(IF(OR($T36=0,$U36=0),0,IF($T36&lt;=$U36,IF(AND(10&gt;=$T36,10&lt;=$U36),1,0),IF(OR(10&gt;=$T36,10&lt;=$U36),1,0)))=1,"H","")))</f>
        <v/>
      </c>
      <c r="M36" s="28">
        <f>IF(B36="","",TRIM(IF(IF(OR($P36=0,$Q36=0),0,IF($P36&lt;=$Q36,IF(AND(11&gt;=$P36,11&lt;=$Q36),1,0),IF(OR(11&gt;=$P36,11&lt;=$Q36),1,0)))=1,"S ","")&amp;IF(IF(OR($R36=0,$S36=0),0,IF($R36&lt;=$S36,IF(AND(11&gt;=$R36,11&lt;=$S36),1,0),IF(OR(11&gt;=$R36,11&lt;=$S36),1,0)))=1,"P ","")&amp;IF(IF(OR($T36=0,$U36=0),0,IF($T36&lt;=$U36,IF(AND(11&gt;=$T36,11&lt;=$U36),1,0),IF(OR(11&gt;=$T36,11&lt;=$U36),1,0)))=1,"H","")))</f>
        <v/>
      </c>
      <c r="N36" s="28">
        <f>IF(B36="","",TRIM(IF(IF(OR($P36=0,$Q36=0),0,IF($P36&lt;=$Q36,IF(AND(12&gt;=$P36,12&lt;=$Q36),1,0),IF(OR(12&gt;=$P36,12&lt;=$Q36),1,0)))=1,"S ","")&amp;IF(IF(OR($R36=0,$S36=0),0,IF($R36&lt;=$S36,IF(AND(12&gt;=$R36,12&lt;=$S36),1,0),IF(OR(12&gt;=$R36,12&lt;=$S36),1,0)))=1,"P ","")&amp;IF(IF(OR($T36=0,$U36=0),0,IF($T36&lt;=$U36,IF(AND(12&gt;=$T36,12&lt;=$U36),1,0),IF(OR(12&gt;=$T36,12&lt;=$U36),1,0)))=1,"H","")))</f>
        <v/>
      </c>
      <c r="O36" s="1" t="n"/>
      <c r="P36">
        <f>N(INDEX(Crops!$R$6:$R$65,31))</f>
        <v/>
      </c>
      <c r="Q36">
        <f>N(INDEX(Crops!$S$6:$S$65,31))</f>
        <v/>
      </c>
      <c r="R36">
        <f>N(INDEX(Crops!$T$6:$T$65,31))</f>
        <v/>
      </c>
      <c r="S36">
        <f>N(INDEX(Crops!$U$6:$U$65,31))</f>
        <v/>
      </c>
      <c r="T36">
        <f>N(INDEX(Crops!$V$6:$V$65,31))</f>
        <v/>
      </c>
      <c r="U36">
        <f>N(INDEX(Crops!$W$6:$W$65,31))</f>
        <v/>
      </c>
    </row>
    <row r="37" ht="16" customHeight="1">
      <c r="A37" s="1" t="n"/>
      <c r="B37" s="9">
        <f>IF(INDEX(Crops!$B$6:$B$65,32)="","",INDEX(Crops!$B$6:$B$65,32))</f>
        <v/>
      </c>
      <c r="C37" s="28">
        <f>IF(B37="","",TRIM(IF(IF(OR($P37=0,$Q37=0),0,IF($P37&lt;=$Q37,IF(AND(1&gt;=$P37,1&lt;=$Q37),1,0),IF(OR(1&gt;=$P37,1&lt;=$Q37),1,0)))=1,"S ","")&amp;IF(IF(OR($R37=0,$S37=0),0,IF($R37&lt;=$S37,IF(AND(1&gt;=$R37,1&lt;=$S37),1,0),IF(OR(1&gt;=$R37,1&lt;=$S37),1,0)))=1,"P ","")&amp;IF(IF(OR($T37=0,$U37=0),0,IF($T37&lt;=$U37,IF(AND(1&gt;=$T37,1&lt;=$U37),1,0),IF(OR(1&gt;=$T37,1&lt;=$U37),1,0)))=1,"H","")))</f>
        <v/>
      </c>
      <c r="D37" s="28">
        <f>IF(B37="","",TRIM(IF(IF(OR($P37=0,$Q37=0),0,IF($P37&lt;=$Q37,IF(AND(2&gt;=$P37,2&lt;=$Q37),1,0),IF(OR(2&gt;=$P37,2&lt;=$Q37),1,0)))=1,"S ","")&amp;IF(IF(OR($R37=0,$S37=0),0,IF($R37&lt;=$S37,IF(AND(2&gt;=$R37,2&lt;=$S37),1,0),IF(OR(2&gt;=$R37,2&lt;=$S37),1,0)))=1,"P ","")&amp;IF(IF(OR($T37=0,$U37=0),0,IF($T37&lt;=$U37,IF(AND(2&gt;=$T37,2&lt;=$U37),1,0),IF(OR(2&gt;=$T37,2&lt;=$U37),1,0)))=1,"H","")))</f>
        <v/>
      </c>
      <c r="E37" s="28">
        <f>IF(B37="","",TRIM(IF(IF(OR($P37=0,$Q37=0),0,IF($P37&lt;=$Q37,IF(AND(3&gt;=$P37,3&lt;=$Q37),1,0),IF(OR(3&gt;=$P37,3&lt;=$Q37),1,0)))=1,"S ","")&amp;IF(IF(OR($R37=0,$S37=0),0,IF($R37&lt;=$S37,IF(AND(3&gt;=$R37,3&lt;=$S37),1,0),IF(OR(3&gt;=$R37,3&lt;=$S37),1,0)))=1,"P ","")&amp;IF(IF(OR($T37=0,$U37=0),0,IF($T37&lt;=$U37,IF(AND(3&gt;=$T37,3&lt;=$U37),1,0),IF(OR(3&gt;=$T37,3&lt;=$U37),1,0)))=1,"H","")))</f>
        <v/>
      </c>
      <c r="F37" s="28">
        <f>IF(B37="","",TRIM(IF(IF(OR($P37=0,$Q37=0),0,IF($P37&lt;=$Q37,IF(AND(4&gt;=$P37,4&lt;=$Q37),1,0),IF(OR(4&gt;=$P37,4&lt;=$Q37),1,0)))=1,"S ","")&amp;IF(IF(OR($R37=0,$S37=0),0,IF($R37&lt;=$S37,IF(AND(4&gt;=$R37,4&lt;=$S37),1,0),IF(OR(4&gt;=$R37,4&lt;=$S37),1,0)))=1,"P ","")&amp;IF(IF(OR($T37=0,$U37=0),0,IF($T37&lt;=$U37,IF(AND(4&gt;=$T37,4&lt;=$U37),1,0),IF(OR(4&gt;=$T37,4&lt;=$U37),1,0)))=1,"H","")))</f>
        <v/>
      </c>
      <c r="G37" s="28">
        <f>IF(B37="","",TRIM(IF(IF(OR($P37=0,$Q37=0),0,IF($P37&lt;=$Q37,IF(AND(5&gt;=$P37,5&lt;=$Q37),1,0),IF(OR(5&gt;=$P37,5&lt;=$Q37),1,0)))=1,"S ","")&amp;IF(IF(OR($R37=0,$S37=0),0,IF($R37&lt;=$S37,IF(AND(5&gt;=$R37,5&lt;=$S37),1,0),IF(OR(5&gt;=$R37,5&lt;=$S37),1,0)))=1,"P ","")&amp;IF(IF(OR($T37=0,$U37=0),0,IF($T37&lt;=$U37,IF(AND(5&gt;=$T37,5&lt;=$U37),1,0),IF(OR(5&gt;=$T37,5&lt;=$U37),1,0)))=1,"H","")))</f>
        <v/>
      </c>
      <c r="H37" s="28">
        <f>IF(B37="","",TRIM(IF(IF(OR($P37=0,$Q37=0),0,IF($P37&lt;=$Q37,IF(AND(6&gt;=$P37,6&lt;=$Q37),1,0),IF(OR(6&gt;=$P37,6&lt;=$Q37),1,0)))=1,"S ","")&amp;IF(IF(OR($R37=0,$S37=0),0,IF($R37&lt;=$S37,IF(AND(6&gt;=$R37,6&lt;=$S37),1,0),IF(OR(6&gt;=$R37,6&lt;=$S37),1,0)))=1,"P ","")&amp;IF(IF(OR($T37=0,$U37=0),0,IF($T37&lt;=$U37,IF(AND(6&gt;=$T37,6&lt;=$U37),1,0),IF(OR(6&gt;=$T37,6&lt;=$U37),1,0)))=1,"H","")))</f>
        <v/>
      </c>
      <c r="I37" s="28">
        <f>IF(B37="","",TRIM(IF(IF(OR($P37=0,$Q37=0),0,IF($P37&lt;=$Q37,IF(AND(7&gt;=$P37,7&lt;=$Q37),1,0),IF(OR(7&gt;=$P37,7&lt;=$Q37),1,0)))=1,"S ","")&amp;IF(IF(OR($R37=0,$S37=0),0,IF($R37&lt;=$S37,IF(AND(7&gt;=$R37,7&lt;=$S37),1,0),IF(OR(7&gt;=$R37,7&lt;=$S37),1,0)))=1,"P ","")&amp;IF(IF(OR($T37=0,$U37=0),0,IF($T37&lt;=$U37,IF(AND(7&gt;=$T37,7&lt;=$U37),1,0),IF(OR(7&gt;=$T37,7&lt;=$U37),1,0)))=1,"H","")))</f>
        <v/>
      </c>
      <c r="J37" s="28">
        <f>IF(B37="","",TRIM(IF(IF(OR($P37=0,$Q37=0),0,IF($P37&lt;=$Q37,IF(AND(8&gt;=$P37,8&lt;=$Q37),1,0),IF(OR(8&gt;=$P37,8&lt;=$Q37),1,0)))=1,"S ","")&amp;IF(IF(OR($R37=0,$S37=0),0,IF($R37&lt;=$S37,IF(AND(8&gt;=$R37,8&lt;=$S37),1,0),IF(OR(8&gt;=$R37,8&lt;=$S37),1,0)))=1,"P ","")&amp;IF(IF(OR($T37=0,$U37=0),0,IF($T37&lt;=$U37,IF(AND(8&gt;=$T37,8&lt;=$U37),1,0),IF(OR(8&gt;=$T37,8&lt;=$U37),1,0)))=1,"H","")))</f>
        <v/>
      </c>
      <c r="K37" s="28">
        <f>IF(B37="","",TRIM(IF(IF(OR($P37=0,$Q37=0),0,IF($P37&lt;=$Q37,IF(AND(9&gt;=$P37,9&lt;=$Q37),1,0),IF(OR(9&gt;=$P37,9&lt;=$Q37),1,0)))=1,"S ","")&amp;IF(IF(OR($R37=0,$S37=0),0,IF($R37&lt;=$S37,IF(AND(9&gt;=$R37,9&lt;=$S37),1,0),IF(OR(9&gt;=$R37,9&lt;=$S37),1,0)))=1,"P ","")&amp;IF(IF(OR($T37=0,$U37=0),0,IF($T37&lt;=$U37,IF(AND(9&gt;=$T37,9&lt;=$U37),1,0),IF(OR(9&gt;=$T37,9&lt;=$U37),1,0)))=1,"H","")))</f>
        <v/>
      </c>
      <c r="L37" s="28">
        <f>IF(B37="","",TRIM(IF(IF(OR($P37=0,$Q37=0),0,IF($P37&lt;=$Q37,IF(AND(10&gt;=$P37,10&lt;=$Q37),1,0),IF(OR(10&gt;=$P37,10&lt;=$Q37),1,0)))=1,"S ","")&amp;IF(IF(OR($R37=0,$S37=0),0,IF($R37&lt;=$S37,IF(AND(10&gt;=$R37,10&lt;=$S37),1,0),IF(OR(10&gt;=$R37,10&lt;=$S37),1,0)))=1,"P ","")&amp;IF(IF(OR($T37=0,$U37=0),0,IF($T37&lt;=$U37,IF(AND(10&gt;=$T37,10&lt;=$U37),1,0),IF(OR(10&gt;=$T37,10&lt;=$U37),1,0)))=1,"H","")))</f>
        <v/>
      </c>
      <c r="M37" s="28">
        <f>IF(B37="","",TRIM(IF(IF(OR($P37=0,$Q37=0),0,IF($P37&lt;=$Q37,IF(AND(11&gt;=$P37,11&lt;=$Q37),1,0),IF(OR(11&gt;=$P37,11&lt;=$Q37),1,0)))=1,"S ","")&amp;IF(IF(OR($R37=0,$S37=0),0,IF($R37&lt;=$S37,IF(AND(11&gt;=$R37,11&lt;=$S37),1,0),IF(OR(11&gt;=$R37,11&lt;=$S37),1,0)))=1,"P ","")&amp;IF(IF(OR($T37=0,$U37=0),0,IF($T37&lt;=$U37,IF(AND(11&gt;=$T37,11&lt;=$U37),1,0),IF(OR(11&gt;=$T37,11&lt;=$U37),1,0)))=1,"H","")))</f>
        <v/>
      </c>
      <c r="N37" s="28">
        <f>IF(B37="","",TRIM(IF(IF(OR($P37=0,$Q37=0),0,IF($P37&lt;=$Q37,IF(AND(12&gt;=$P37,12&lt;=$Q37),1,0),IF(OR(12&gt;=$P37,12&lt;=$Q37),1,0)))=1,"S ","")&amp;IF(IF(OR($R37=0,$S37=0),0,IF($R37&lt;=$S37,IF(AND(12&gt;=$R37,12&lt;=$S37),1,0),IF(OR(12&gt;=$R37,12&lt;=$S37),1,0)))=1,"P ","")&amp;IF(IF(OR($T37=0,$U37=0),0,IF($T37&lt;=$U37,IF(AND(12&gt;=$T37,12&lt;=$U37),1,0),IF(OR(12&gt;=$T37,12&lt;=$U37),1,0)))=1,"H","")))</f>
        <v/>
      </c>
      <c r="O37" s="1" t="n"/>
      <c r="P37">
        <f>N(INDEX(Crops!$R$6:$R$65,32))</f>
        <v/>
      </c>
      <c r="Q37">
        <f>N(INDEX(Crops!$S$6:$S$65,32))</f>
        <v/>
      </c>
      <c r="R37">
        <f>N(INDEX(Crops!$T$6:$T$65,32))</f>
        <v/>
      </c>
      <c r="S37">
        <f>N(INDEX(Crops!$U$6:$U$65,32))</f>
        <v/>
      </c>
      <c r="T37">
        <f>N(INDEX(Crops!$V$6:$V$65,32))</f>
        <v/>
      </c>
      <c r="U37">
        <f>N(INDEX(Crops!$W$6:$W$65,32))</f>
        <v/>
      </c>
    </row>
    <row r="38" ht="16" customHeight="1">
      <c r="A38" s="1" t="n"/>
      <c r="B38" s="9">
        <f>IF(INDEX(Crops!$B$6:$B$65,33)="","",INDEX(Crops!$B$6:$B$65,33))</f>
        <v/>
      </c>
      <c r="C38" s="28">
        <f>IF(B38="","",TRIM(IF(IF(OR($P38=0,$Q38=0),0,IF($P38&lt;=$Q38,IF(AND(1&gt;=$P38,1&lt;=$Q38),1,0),IF(OR(1&gt;=$P38,1&lt;=$Q38),1,0)))=1,"S ","")&amp;IF(IF(OR($R38=0,$S38=0),0,IF($R38&lt;=$S38,IF(AND(1&gt;=$R38,1&lt;=$S38),1,0),IF(OR(1&gt;=$R38,1&lt;=$S38),1,0)))=1,"P ","")&amp;IF(IF(OR($T38=0,$U38=0),0,IF($T38&lt;=$U38,IF(AND(1&gt;=$T38,1&lt;=$U38),1,0),IF(OR(1&gt;=$T38,1&lt;=$U38),1,0)))=1,"H","")))</f>
        <v/>
      </c>
      <c r="D38" s="28">
        <f>IF(B38="","",TRIM(IF(IF(OR($P38=0,$Q38=0),0,IF($P38&lt;=$Q38,IF(AND(2&gt;=$P38,2&lt;=$Q38),1,0),IF(OR(2&gt;=$P38,2&lt;=$Q38),1,0)))=1,"S ","")&amp;IF(IF(OR($R38=0,$S38=0),0,IF($R38&lt;=$S38,IF(AND(2&gt;=$R38,2&lt;=$S38),1,0),IF(OR(2&gt;=$R38,2&lt;=$S38),1,0)))=1,"P ","")&amp;IF(IF(OR($T38=0,$U38=0),0,IF($T38&lt;=$U38,IF(AND(2&gt;=$T38,2&lt;=$U38),1,0),IF(OR(2&gt;=$T38,2&lt;=$U38),1,0)))=1,"H","")))</f>
        <v/>
      </c>
      <c r="E38" s="28">
        <f>IF(B38="","",TRIM(IF(IF(OR($P38=0,$Q38=0),0,IF($P38&lt;=$Q38,IF(AND(3&gt;=$P38,3&lt;=$Q38),1,0),IF(OR(3&gt;=$P38,3&lt;=$Q38),1,0)))=1,"S ","")&amp;IF(IF(OR($R38=0,$S38=0),0,IF($R38&lt;=$S38,IF(AND(3&gt;=$R38,3&lt;=$S38),1,0),IF(OR(3&gt;=$R38,3&lt;=$S38),1,0)))=1,"P ","")&amp;IF(IF(OR($T38=0,$U38=0),0,IF($T38&lt;=$U38,IF(AND(3&gt;=$T38,3&lt;=$U38),1,0),IF(OR(3&gt;=$T38,3&lt;=$U38),1,0)))=1,"H","")))</f>
        <v/>
      </c>
      <c r="F38" s="28">
        <f>IF(B38="","",TRIM(IF(IF(OR($P38=0,$Q38=0),0,IF($P38&lt;=$Q38,IF(AND(4&gt;=$P38,4&lt;=$Q38),1,0),IF(OR(4&gt;=$P38,4&lt;=$Q38),1,0)))=1,"S ","")&amp;IF(IF(OR($R38=0,$S38=0),0,IF($R38&lt;=$S38,IF(AND(4&gt;=$R38,4&lt;=$S38),1,0),IF(OR(4&gt;=$R38,4&lt;=$S38),1,0)))=1,"P ","")&amp;IF(IF(OR($T38=0,$U38=0),0,IF($T38&lt;=$U38,IF(AND(4&gt;=$T38,4&lt;=$U38),1,0),IF(OR(4&gt;=$T38,4&lt;=$U38),1,0)))=1,"H","")))</f>
        <v/>
      </c>
      <c r="G38" s="28">
        <f>IF(B38="","",TRIM(IF(IF(OR($P38=0,$Q38=0),0,IF($P38&lt;=$Q38,IF(AND(5&gt;=$P38,5&lt;=$Q38),1,0),IF(OR(5&gt;=$P38,5&lt;=$Q38),1,0)))=1,"S ","")&amp;IF(IF(OR($R38=0,$S38=0),0,IF($R38&lt;=$S38,IF(AND(5&gt;=$R38,5&lt;=$S38),1,0),IF(OR(5&gt;=$R38,5&lt;=$S38),1,0)))=1,"P ","")&amp;IF(IF(OR($T38=0,$U38=0),0,IF($T38&lt;=$U38,IF(AND(5&gt;=$T38,5&lt;=$U38),1,0),IF(OR(5&gt;=$T38,5&lt;=$U38),1,0)))=1,"H","")))</f>
        <v/>
      </c>
      <c r="H38" s="28">
        <f>IF(B38="","",TRIM(IF(IF(OR($P38=0,$Q38=0),0,IF($P38&lt;=$Q38,IF(AND(6&gt;=$P38,6&lt;=$Q38),1,0),IF(OR(6&gt;=$P38,6&lt;=$Q38),1,0)))=1,"S ","")&amp;IF(IF(OR($R38=0,$S38=0),0,IF($R38&lt;=$S38,IF(AND(6&gt;=$R38,6&lt;=$S38),1,0),IF(OR(6&gt;=$R38,6&lt;=$S38),1,0)))=1,"P ","")&amp;IF(IF(OR($T38=0,$U38=0),0,IF($T38&lt;=$U38,IF(AND(6&gt;=$T38,6&lt;=$U38),1,0),IF(OR(6&gt;=$T38,6&lt;=$U38),1,0)))=1,"H","")))</f>
        <v/>
      </c>
      <c r="I38" s="28">
        <f>IF(B38="","",TRIM(IF(IF(OR($P38=0,$Q38=0),0,IF($P38&lt;=$Q38,IF(AND(7&gt;=$P38,7&lt;=$Q38),1,0),IF(OR(7&gt;=$P38,7&lt;=$Q38),1,0)))=1,"S ","")&amp;IF(IF(OR($R38=0,$S38=0),0,IF($R38&lt;=$S38,IF(AND(7&gt;=$R38,7&lt;=$S38),1,0),IF(OR(7&gt;=$R38,7&lt;=$S38),1,0)))=1,"P ","")&amp;IF(IF(OR($T38=0,$U38=0),0,IF($T38&lt;=$U38,IF(AND(7&gt;=$T38,7&lt;=$U38),1,0),IF(OR(7&gt;=$T38,7&lt;=$U38),1,0)))=1,"H","")))</f>
        <v/>
      </c>
      <c r="J38" s="28">
        <f>IF(B38="","",TRIM(IF(IF(OR($P38=0,$Q38=0),0,IF($P38&lt;=$Q38,IF(AND(8&gt;=$P38,8&lt;=$Q38),1,0),IF(OR(8&gt;=$P38,8&lt;=$Q38),1,0)))=1,"S ","")&amp;IF(IF(OR($R38=0,$S38=0),0,IF($R38&lt;=$S38,IF(AND(8&gt;=$R38,8&lt;=$S38),1,0),IF(OR(8&gt;=$R38,8&lt;=$S38),1,0)))=1,"P ","")&amp;IF(IF(OR($T38=0,$U38=0),0,IF($T38&lt;=$U38,IF(AND(8&gt;=$T38,8&lt;=$U38),1,0),IF(OR(8&gt;=$T38,8&lt;=$U38),1,0)))=1,"H","")))</f>
        <v/>
      </c>
      <c r="K38" s="28">
        <f>IF(B38="","",TRIM(IF(IF(OR($P38=0,$Q38=0),0,IF($P38&lt;=$Q38,IF(AND(9&gt;=$P38,9&lt;=$Q38),1,0),IF(OR(9&gt;=$P38,9&lt;=$Q38),1,0)))=1,"S ","")&amp;IF(IF(OR($R38=0,$S38=0),0,IF($R38&lt;=$S38,IF(AND(9&gt;=$R38,9&lt;=$S38),1,0),IF(OR(9&gt;=$R38,9&lt;=$S38),1,0)))=1,"P ","")&amp;IF(IF(OR($T38=0,$U38=0),0,IF($T38&lt;=$U38,IF(AND(9&gt;=$T38,9&lt;=$U38),1,0),IF(OR(9&gt;=$T38,9&lt;=$U38),1,0)))=1,"H","")))</f>
        <v/>
      </c>
      <c r="L38" s="28">
        <f>IF(B38="","",TRIM(IF(IF(OR($P38=0,$Q38=0),0,IF($P38&lt;=$Q38,IF(AND(10&gt;=$P38,10&lt;=$Q38),1,0),IF(OR(10&gt;=$P38,10&lt;=$Q38),1,0)))=1,"S ","")&amp;IF(IF(OR($R38=0,$S38=0),0,IF($R38&lt;=$S38,IF(AND(10&gt;=$R38,10&lt;=$S38),1,0),IF(OR(10&gt;=$R38,10&lt;=$S38),1,0)))=1,"P ","")&amp;IF(IF(OR($T38=0,$U38=0),0,IF($T38&lt;=$U38,IF(AND(10&gt;=$T38,10&lt;=$U38),1,0),IF(OR(10&gt;=$T38,10&lt;=$U38),1,0)))=1,"H","")))</f>
        <v/>
      </c>
      <c r="M38" s="28">
        <f>IF(B38="","",TRIM(IF(IF(OR($P38=0,$Q38=0),0,IF($P38&lt;=$Q38,IF(AND(11&gt;=$P38,11&lt;=$Q38),1,0),IF(OR(11&gt;=$P38,11&lt;=$Q38),1,0)))=1,"S ","")&amp;IF(IF(OR($R38=0,$S38=0),0,IF($R38&lt;=$S38,IF(AND(11&gt;=$R38,11&lt;=$S38),1,0),IF(OR(11&gt;=$R38,11&lt;=$S38),1,0)))=1,"P ","")&amp;IF(IF(OR($T38=0,$U38=0),0,IF($T38&lt;=$U38,IF(AND(11&gt;=$T38,11&lt;=$U38),1,0),IF(OR(11&gt;=$T38,11&lt;=$U38),1,0)))=1,"H","")))</f>
        <v/>
      </c>
      <c r="N38" s="28">
        <f>IF(B38="","",TRIM(IF(IF(OR($P38=0,$Q38=0),0,IF($P38&lt;=$Q38,IF(AND(12&gt;=$P38,12&lt;=$Q38),1,0),IF(OR(12&gt;=$P38,12&lt;=$Q38),1,0)))=1,"S ","")&amp;IF(IF(OR($R38=0,$S38=0),0,IF($R38&lt;=$S38,IF(AND(12&gt;=$R38,12&lt;=$S38),1,0),IF(OR(12&gt;=$R38,12&lt;=$S38),1,0)))=1,"P ","")&amp;IF(IF(OR($T38=0,$U38=0),0,IF($T38&lt;=$U38,IF(AND(12&gt;=$T38,12&lt;=$U38),1,0),IF(OR(12&gt;=$T38,12&lt;=$U38),1,0)))=1,"H","")))</f>
        <v/>
      </c>
      <c r="O38" s="1" t="n"/>
      <c r="P38">
        <f>N(INDEX(Crops!$R$6:$R$65,33))</f>
        <v/>
      </c>
      <c r="Q38">
        <f>N(INDEX(Crops!$S$6:$S$65,33))</f>
        <v/>
      </c>
      <c r="R38">
        <f>N(INDEX(Crops!$T$6:$T$65,33))</f>
        <v/>
      </c>
      <c r="S38">
        <f>N(INDEX(Crops!$U$6:$U$65,33))</f>
        <v/>
      </c>
      <c r="T38">
        <f>N(INDEX(Crops!$V$6:$V$65,33))</f>
        <v/>
      </c>
      <c r="U38">
        <f>N(INDEX(Crops!$W$6:$W$65,33))</f>
        <v/>
      </c>
    </row>
    <row r="39" ht="16" customHeight="1">
      <c r="A39" s="1" t="n"/>
      <c r="B39" s="9">
        <f>IF(INDEX(Crops!$B$6:$B$65,34)="","",INDEX(Crops!$B$6:$B$65,34))</f>
        <v/>
      </c>
      <c r="C39" s="28">
        <f>IF(B39="","",TRIM(IF(IF(OR($P39=0,$Q39=0),0,IF($P39&lt;=$Q39,IF(AND(1&gt;=$P39,1&lt;=$Q39),1,0),IF(OR(1&gt;=$P39,1&lt;=$Q39),1,0)))=1,"S ","")&amp;IF(IF(OR($R39=0,$S39=0),0,IF($R39&lt;=$S39,IF(AND(1&gt;=$R39,1&lt;=$S39),1,0),IF(OR(1&gt;=$R39,1&lt;=$S39),1,0)))=1,"P ","")&amp;IF(IF(OR($T39=0,$U39=0),0,IF($T39&lt;=$U39,IF(AND(1&gt;=$T39,1&lt;=$U39),1,0),IF(OR(1&gt;=$T39,1&lt;=$U39),1,0)))=1,"H","")))</f>
        <v/>
      </c>
      <c r="D39" s="28">
        <f>IF(B39="","",TRIM(IF(IF(OR($P39=0,$Q39=0),0,IF($P39&lt;=$Q39,IF(AND(2&gt;=$P39,2&lt;=$Q39),1,0),IF(OR(2&gt;=$P39,2&lt;=$Q39),1,0)))=1,"S ","")&amp;IF(IF(OR($R39=0,$S39=0),0,IF($R39&lt;=$S39,IF(AND(2&gt;=$R39,2&lt;=$S39),1,0),IF(OR(2&gt;=$R39,2&lt;=$S39),1,0)))=1,"P ","")&amp;IF(IF(OR($T39=0,$U39=0),0,IF($T39&lt;=$U39,IF(AND(2&gt;=$T39,2&lt;=$U39),1,0),IF(OR(2&gt;=$T39,2&lt;=$U39),1,0)))=1,"H","")))</f>
        <v/>
      </c>
      <c r="E39" s="28">
        <f>IF(B39="","",TRIM(IF(IF(OR($P39=0,$Q39=0),0,IF($P39&lt;=$Q39,IF(AND(3&gt;=$P39,3&lt;=$Q39),1,0),IF(OR(3&gt;=$P39,3&lt;=$Q39),1,0)))=1,"S ","")&amp;IF(IF(OR($R39=0,$S39=0),0,IF($R39&lt;=$S39,IF(AND(3&gt;=$R39,3&lt;=$S39),1,0),IF(OR(3&gt;=$R39,3&lt;=$S39),1,0)))=1,"P ","")&amp;IF(IF(OR($T39=0,$U39=0),0,IF($T39&lt;=$U39,IF(AND(3&gt;=$T39,3&lt;=$U39),1,0),IF(OR(3&gt;=$T39,3&lt;=$U39),1,0)))=1,"H","")))</f>
        <v/>
      </c>
      <c r="F39" s="28">
        <f>IF(B39="","",TRIM(IF(IF(OR($P39=0,$Q39=0),0,IF($P39&lt;=$Q39,IF(AND(4&gt;=$P39,4&lt;=$Q39),1,0),IF(OR(4&gt;=$P39,4&lt;=$Q39),1,0)))=1,"S ","")&amp;IF(IF(OR($R39=0,$S39=0),0,IF($R39&lt;=$S39,IF(AND(4&gt;=$R39,4&lt;=$S39),1,0),IF(OR(4&gt;=$R39,4&lt;=$S39),1,0)))=1,"P ","")&amp;IF(IF(OR($T39=0,$U39=0),0,IF($T39&lt;=$U39,IF(AND(4&gt;=$T39,4&lt;=$U39),1,0),IF(OR(4&gt;=$T39,4&lt;=$U39),1,0)))=1,"H","")))</f>
        <v/>
      </c>
      <c r="G39" s="28">
        <f>IF(B39="","",TRIM(IF(IF(OR($P39=0,$Q39=0),0,IF($P39&lt;=$Q39,IF(AND(5&gt;=$P39,5&lt;=$Q39),1,0),IF(OR(5&gt;=$P39,5&lt;=$Q39),1,0)))=1,"S ","")&amp;IF(IF(OR($R39=0,$S39=0),0,IF($R39&lt;=$S39,IF(AND(5&gt;=$R39,5&lt;=$S39),1,0),IF(OR(5&gt;=$R39,5&lt;=$S39),1,0)))=1,"P ","")&amp;IF(IF(OR($T39=0,$U39=0),0,IF($T39&lt;=$U39,IF(AND(5&gt;=$T39,5&lt;=$U39),1,0),IF(OR(5&gt;=$T39,5&lt;=$U39),1,0)))=1,"H","")))</f>
        <v/>
      </c>
      <c r="H39" s="28">
        <f>IF(B39="","",TRIM(IF(IF(OR($P39=0,$Q39=0),0,IF($P39&lt;=$Q39,IF(AND(6&gt;=$P39,6&lt;=$Q39),1,0),IF(OR(6&gt;=$P39,6&lt;=$Q39),1,0)))=1,"S ","")&amp;IF(IF(OR($R39=0,$S39=0),0,IF($R39&lt;=$S39,IF(AND(6&gt;=$R39,6&lt;=$S39),1,0),IF(OR(6&gt;=$R39,6&lt;=$S39),1,0)))=1,"P ","")&amp;IF(IF(OR($T39=0,$U39=0),0,IF($T39&lt;=$U39,IF(AND(6&gt;=$T39,6&lt;=$U39),1,0),IF(OR(6&gt;=$T39,6&lt;=$U39),1,0)))=1,"H","")))</f>
        <v/>
      </c>
      <c r="I39" s="28">
        <f>IF(B39="","",TRIM(IF(IF(OR($P39=0,$Q39=0),0,IF($P39&lt;=$Q39,IF(AND(7&gt;=$P39,7&lt;=$Q39),1,0),IF(OR(7&gt;=$P39,7&lt;=$Q39),1,0)))=1,"S ","")&amp;IF(IF(OR($R39=0,$S39=0),0,IF($R39&lt;=$S39,IF(AND(7&gt;=$R39,7&lt;=$S39),1,0),IF(OR(7&gt;=$R39,7&lt;=$S39),1,0)))=1,"P ","")&amp;IF(IF(OR($T39=0,$U39=0),0,IF($T39&lt;=$U39,IF(AND(7&gt;=$T39,7&lt;=$U39),1,0),IF(OR(7&gt;=$T39,7&lt;=$U39),1,0)))=1,"H","")))</f>
        <v/>
      </c>
      <c r="J39" s="28">
        <f>IF(B39="","",TRIM(IF(IF(OR($P39=0,$Q39=0),0,IF($P39&lt;=$Q39,IF(AND(8&gt;=$P39,8&lt;=$Q39),1,0),IF(OR(8&gt;=$P39,8&lt;=$Q39),1,0)))=1,"S ","")&amp;IF(IF(OR($R39=0,$S39=0),0,IF($R39&lt;=$S39,IF(AND(8&gt;=$R39,8&lt;=$S39),1,0),IF(OR(8&gt;=$R39,8&lt;=$S39),1,0)))=1,"P ","")&amp;IF(IF(OR($T39=0,$U39=0),0,IF($T39&lt;=$U39,IF(AND(8&gt;=$T39,8&lt;=$U39),1,0),IF(OR(8&gt;=$T39,8&lt;=$U39),1,0)))=1,"H","")))</f>
        <v/>
      </c>
      <c r="K39" s="28">
        <f>IF(B39="","",TRIM(IF(IF(OR($P39=0,$Q39=0),0,IF($P39&lt;=$Q39,IF(AND(9&gt;=$P39,9&lt;=$Q39),1,0),IF(OR(9&gt;=$P39,9&lt;=$Q39),1,0)))=1,"S ","")&amp;IF(IF(OR($R39=0,$S39=0),0,IF($R39&lt;=$S39,IF(AND(9&gt;=$R39,9&lt;=$S39),1,0),IF(OR(9&gt;=$R39,9&lt;=$S39),1,0)))=1,"P ","")&amp;IF(IF(OR($T39=0,$U39=0),0,IF($T39&lt;=$U39,IF(AND(9&gt;=$T39,9&lt;=$U39),1,0),IF(OR(9&gt;=$T39,9&lt;=$U39),1,0)))=1,"H","")))</f>
        <v/>
      </c>
      <c r="L39" s="28">
        <f>IF(B39="","",TRIM(IF(IF(OR($P39=0,$Q39=0),0,IF($P39&lt;=$Q39,IF(AND(10&gt;=$P39,10&lt;=$Q39),1,0),IF(OR(10&gt;=$P39,10&lt;=$Q39),1,0)))=1,"S ","")&amp;IF(IF(OR($R39=0,$S39=0),0,IF($R39&lt;=$S39,IF(AND(10&gt;=$R39,10&lt;=$S39),1,0),IF(OR(10&gt;=$R39,10&lt;=$S39),1,0)))=1,"P ","")&amp;IF(IF(OR($T39=0,$U39=0),0,IF($T39&lt;=$U39,IF(AND(10&gt;=$T39,10&lt;=$U39),1,0),IF(OR(10&gt;=$T39,10&lt;=$U39),1,0)))=1,"H","")))</f>
        <v/>
      </c>
      <c r="M39" s="28">
        <f>IF(B39="","",TRIM(IF(IF(OR($P39=0,$Q39=0),0,IF($P39&lt;=$Q39,IF(AND(11&gt;=$P39,11&lt;=$Q39),1,0),IF(OR(11&gt;=$P39,11&lt;=$Q39),1,0)))=1,"S ","")&amp;IF(IF(OR($R39=0,$S39=0),0,IF($R39&lt;=$S39,IF(AND(11&gt;=$R39,11&lt;=$S39),1,0),IF(OR(11&gt;=$R39,11&lt;=$S39),1,0)))=1,"P ","")&amp;IF(IF(OR($T39=0,$U39=0),0,IF($T39&lt;=$U39,IF(AND(11&gt;=$T39,11&lt;=$U39),1,0),IF(OR(11&gt;=$T39,11&lt;=$U39),1,0)))=1,"H","")))</f>
        <v/>
      </c>
      <c r="N39" s="28">
        <f>IF(B39="","",TRIM(IF(IF(OR($P39=0,$Q39=0),0,IF($P39&lt;=$Q39,IF(AND(12&gt;=$P39,12&lt;=$Q39),1,0),IF(OR(12&gt;=$P39,12&lt;=$Q39),1,0)))=1,"S ","")&amp;IF(IF(OR($R39=0,$S39=0),0,IF($R39&lt;=$S39,IF(AND(12&gt;=$R39,12&lt;=$S39),1,0),IF(OR(12&gt;=$R39,12&lt;=$S39),1,0)))=1,"P ","")&amp;IF(IF(OR($T39=0,$U39=0),0,IF($T39&lt;=$U39,IF(AND(12&gt;=$T39,12&lt;=$U39),1,0),IF(OR(12&gt;=$T39,12&lt;=$U39),1,0)))=1,"H","")))</f>
        <v/>
      </c>
      <c r="O39" s="1" t="n"/>
      <c r="P39">
        <f>N(INDEX(Crops!$R$6:$R$65,34))</f>
        <v/>
      </c>
      <c r="Q39">
        <f>N(INDEX(Crops!$S$6:$S$65,34))</f>
        <v/>
      </c>
      <c r="R39">
        <f>N(INDEX(Crops!$T$6:$T$65,34))</f>
        <v/>
      </c>
      <c r="S39">
        <f>N(INDEX(Crops!$U$6:$U$65,34))</f>
        <v/>
      </c>
      <c r="T39">
        <f>N(INDEX(Crops!$V$6:$V$65,34))</f>
        <v/>
      </c>
      <c r="U39">
        <f>N(INDEX(Crops!$W$6:$W$65,34))</f>
        <v/>
      </c>
    </row>
    <row r="40" ht="16" customHeight="1">
      <c r="A40" s="1" t="n"/>
      <c r="B40" s="9">
        <f>IF(INDEX(Crops!$B$6:$B$65,35)="","",INDEX(Crops!$B$6:$B$65,35))</f>
        <v/>
      </c>
      <c r="C40" s="28">
        <f>IF(B40="","",TRIM(IF(IF(OR($P40=0,$Q40=0),0,IF($P40&lt;=$Q40,IF(AND(1&gt;=$P40,1&lt;=$Q40),1,0),IF(OR(1&gt;=$P40,1&lt;=$Q40),1,0)))=1,"S ","")&amp;IF(IF(OR($R40=0,$S40=0),0,IF($R40&lt;=$S40,IF(AND(1&gt;=$R40,1&lt;=$S40),1,0),IF(OR(1&gt;=$R40,1&lt;=$S40),1,0)))=1,"P ","")&amp;IF(IF(OR($T40=0,$U40=0),0,IF($T40&lt;=$U40,IF(AND(1&gt;=$T40,1&lt;=$U40),1,0),IF(OR(1&gt;=$T40,1&lt;=$U40),1,0)))=1,"H","")))</f>
        <v/>
      </c>
      <c r="D40" s="28">
        <f>IF(B40="","",TRIM(IF(IF(OR($P40=0,$Q40=0),0,IF($P40&lt;=$Q40,IF(AND(2&gt;=$P40,2&lt;=$Q40),1,0),IF(OR(2&gt;=$P40,2&lt;=$Q40),1,0)))=1,"S ","")&amp;IF(IF(OR($R40=0,$S40=0),0,IF($R40&lt;=$S40,IF(AND(2&gt;=$R40,2&lt;=$S40),1,0),IF(OR(2&gt;=$R40,2&lt;=$S40),1,0)))=1,"P ","")&amp;IF(IF(OR($T40=0,$U40=0),0,IF($T40&lt;=$U40,IF(AND(2&gt;=$T40,2&lt;=$U40),1,0),IF(OR(2&gt;=$T40,2&lt;=$U40),1,0)))=1,"H","")))</f>
        <v/>
      </c>
      <c r="E40" s="28">
        <f>IF(B40="","",TRIM(IF(IF(OR($P40=0,$Q40=0),0,IF($P40&lt;=$Q40,IF(AND(3&gt;=$P40,3&lt;=$Q40),1,0),IF(OR(3&gt;=$P40,3&lt;=$Q40),1,0)))=1,"S ","")&amp;IF(IF(OR($R40=0,$S40=0),0,IF($R40&lt;=$S40,IF(AND(3&gt;=$R40,3&lt;=$S40),1,0),IF(OR(3&gt;=$R40,3&lt;=$S40),1,0)))=1,"P ","")&amp;IF(IF(OR($T40=0,$U40=0),0,IF($T40&lt;=$U40,IF(AND(3&gt;=$T40,3&lt;=$U40),1,0),IF(OR(3&gt;=$T40,3&lt;=$U40),1,0)))=1,"H","")))</f>
        <v/>
      </c>
      <c r="F40" s="28">
        <f>IF(B40="","",TRIM(IF(IF(OR($P40=0,$Q40=0),0,IF($P40&lt;=$Q40,IF(AND(4&gt;=$P40,4&lt;=$Q40),1,0),IF(OR(4&gt;=$P40,4&lt;=$Q40),1,0)))=1,"S ","")&amp;IF(IF(OR($R40=0,$S40=0),0,IF($R40&lt;=$S40,IF(AND(4&gt;=$R40,4&lt;=$S40),1,0),IF(OR(4&gt;=$R40,4&lt;=$S40),1,0)))=1,"P ","")&amp;IF(IF(OR($T40=0,$U40=0),0,IF($T40&lt;=$U40,IF(AND(4&gt;=$T40,4&lt;=$U40),1,0),IF(OR(4&gt;=$T40,4&lt;=$U40),1,0)))=1,"H","")))</f>
        <v/>
      </c>
      <c r="G40" s="28">
        <f>IF(B40="","",TRIM(IF(IF(OR($P40=0,$Q40=0),0,IF($P40&lt;=$Q40,IF(AND(5&gt;=$P40,5&lt;=$Q40),1,0),IF(OR(5&gt;=$P40,5&lt;=$Q40),1,0)))=1,"S ","")&amp;IF(IF(OR($R40=0,$S40=0),0,IF($R40&lt;=$S40,IF(AND(5&gt;=$R40,5&lt;=$S40),1,0),IF(OR(5&gt;=$R40,5&lt;=$S40),1,0)))=1,"P ","")&amp;IF(IF(OR($T40=0,$U40=0),0,IF($T40&lt;=$U40,IF(AND(5&gt;=$T40,5&lt;=$U40),1,0),IF(OR(5&gt;=$T40,5&lt;=$U40),1,0)))=1,"H","")))</f>
        <v/>
      </c>
      <c r="H40" s="28">
        <f>IF(B40="","",TRIM(IF(IF(OR($P40=0,$Q40=0),0,IF($P40&lt;=$Q40,IF(AND(6&gt;=$P40,6&lt;=$Q40),1,0),IF(OR(6&gt;=$P40,6&lt;=$Q40),1,0)))=1,"S ","")&amp;IF(IF(OR($R40=0,$S40=0),0,IF($R40&lt;=$S40,IF(AND(6&gt;=$R40,6&lt;=$S40),1,0),IF(OR(6&gt;=$R40,6&lt;=$S40),1,0)))=1,"P ","")&amp;IF(IF(OR($T40=0,$U40=0),0,IF($T40&lt;=$U40,IF(AND(6&gt;=$T40,6&lt;=$U40),1,0),IF(OR(6&gt;=$T40,6&lt;=$U40),1,0)))=1,"H","")))</f>
        <v/>
      </c>
      <c r="I40" s="28">
        <f>IF(B40="","",TRIM(IF(IF(OR($P40=0,$Q40=0),0,IF($P40&lt;=$Q40,IF(AND(7&gt;=$P40,7&lt;=$Q40),1,0),IF(OR(7&gt;=$P40,7&lt;=$Q40),1,0)))=1,"S ","")&amp;IF(IF(OR($R40=0,$S40=0),0,IF($R40&lt;=$S40,IF(AND(7&gt;=$R40,7&lt;=$S40),1,0),IF(OR(7&gt;=$R40,7&lt;=$S40),1,0)))=1,"P ","")&amp;IF(IF(OR($T40=0,$U40=0),0,IF($T40&lt;=$U40,IF(AND(7&gt;=$T40,7&lt;=$U40),1,0),IF(OR(7&gt;=$T40,7&lt;=$U40),1,0)))=1,"H","")))</f>
        <v/>
      </c>
      <c r="J40" s="28">
        <f>IF(B40="","",TRIM(IF(IF(OR($P40=0,$Q40=0),0,IF($P40&lt;=$Q40,IF(AND(8&gt;=$P40,8&lt;=$Q40),1,0),IF(OR(8&gt;=$P40,8&lt;=$Q40),1,0)))=1,"S ","")&amp;IF(IF(OR($R40=0,$S40=0),0,IF($R40&lt;=$S40,IF(AND(8&gt;=$R40,8&lt;=$S40),1,0),IF(OR(8&gt;=$R40,8&lt;=$S40),1,0)))=1,"P ","")&amp;IF(IF(OR($T40=0,$U40=0),0,IF($T40&lt;=$U40,IF(AND(8&gt;=$T40,8&lt;=$U40),1,0),IF(OR(8&gt;=$T40,8&lt;=$U40),1,0)))=1,"H","")))</f>
        <v/>
      </c>
      <c r="K40" s="28">
        <f>IF(B40="","",TRIM(IF(IF(OR($P40=0,$Q40=0),0,IF($P40&lt;=$Q40,IF(AND(9&gt;=$P40,9&lt;=$Q40),1,0),IF(OR(9&gt;=$P40,9&lt;=$Q40),1,0)))=1,"S ","")&amp;IF(IF(OR($R40=0,$S40=0),0,IF($R40&lt;=$S40,IF(AND(9&gt;=$R40,9&lt;=$S40),1,0),IF(OR(9&gt;=$R40,9&lt;=$S40),1,0)))=1,"P ","")&amp;IF(IF(OR($T40=0,$U40=0),0,IF($T40&lt;=$U40,IF(AND(9&gt;=$T40,9&lt;=$U40),1,0),IF(OR(9&gt;=$T40,9&lt;=$U40),1,0)))=1,"H","")))</f>
        <v/>
      </c>
      <c r="L40" s="28">
        <f>IF(B40="","",TRIM(IF(IF(OR($P40=0,$Q40=0),0,IF($P40&lt;=$Q40,IF(AND(10&gt;=$P40,10&lt;=$Q40),1,0),IF(OR(10&gt;=$P40,10&lt;=$Q40),1,0)))=1,"S ","")&amp;IF(IF(OR($R40=0,$S40=0),0,IF($R40&lt;=$S40,IF(AND(10&gt;=$R40,10&lt;=$S40),1,0),IF(OR(10&gt;=$R40,10&lt;=$S40),1,0)))=1,"P ","")&amp;IF(IF(OR($T40=0,$U40=0),0,IF($T40&lt;=$U40,IF(AND(10&gt;=$T40,10&lt;=$U40),1,0),IF(OR(10&gt;=$T40,10&lt;=$U40),1,0)))=1,"H","")))</f>
        <v/>
      </c>
      <c r="M40" s="28">
        <f>IF(B40="","",TRIM(IF(IF(OR($P40=0,$Q40=0),0,IF($P40&lt;=$Q40,IF(AND(11&gt;=$P40,11&lt;=$Q40),1,0),IF(OR(11&gt;=$P40,11&lt;=$Q40),1,0)))=1,"S ","")&amp;IF(IF(OR($R40=0,$S40=0),0,IF($R40&lt;=$S40,IF(AND(11&gt;=$R40,11&lt;=$S40),1,0),IF(OR(11&gt;=$R40,11&lt;=$S40),1,0)))=1,"P ","")&amp;IF(IF(OR($T40=0,$U40=0),0,IF($T40&lt;=$U40,IF(AND(11&gt;=$T40,11&lt;=$U40),1,0),IF(OR(11&gt;=$T40,11&lt;=$U40),1,0)))=1,"H","")))</f>
        <v/>
      </c>
      <c r="N40" s="28">
        <f>IF(B40="","",TRIM(IF(IF(OR($P40=0,$Q40=0),0,IF($P40&lt;=$Q40,IF(AND(12&gt;=$P40,12&lt;=$Q40),1,0),IF(OR(12&gt;=$P40,12&lt;=$Q40),1,0)))=1,"S ","")&amp;IF(IF(OR($R40=0,$S40=0),0,IF($R40&lt;=$S40,IF(AND(12&gt;=$R40,12&lt;=$S40),1,0),IF(OR(12&gt;=$R40,12&lt;=$S40),1,0)))=1,"P ","")&amp;IF(IF(OR($T40=0,$U40=0),0,IF($T40&lt;=$U40,IF(AND(12&gt;=$T40,12&lt;=$U40),1,0),IF(OR(12&gt;=$T40,12&lt;=$U40),1,0)))=1,"H","")))</f>
        <v/>
      </c>
      <c r="O40" s="1" t="n"/>
      <c r="P40">
        <f>N(INDEX(Crops!$R$6:$R$65,35))</f>
        <v/>
      </c>
      <c r="Q40">
        <f>N(INDEX(Crops!$S$6:$S$65,35))</f>
        <v/>
      </c>
      <c r="R40">
        <f>N(INDEX(Crops!$T$6:$T$65,35))</f>
        <v/>
      </c>
      <c r="S40">
        <f>N(INDEX(Crops!$U$6:$U$65,35))</f>
        <v/>
      </c>
      <c r="T40">
        <f>N(INDEX(Crops!$V$6:$V$65,35))</f>
        <v/>
      </c>
      <c r="U40">
        <f>N(INDEX(Crops!$W$6:$W$65,35))</f>
        <v/>
      </c>
    </row>
    <row r="41" ht="16" customHeight="1">
      <c r="A41" s="1" t="n"/>
      <c r="B41" s="9">
        <f>IF(INDEX(Crops!$B$6:$B$65,36)="","",INDEX(Crops!$B$6:$B$65,36))</f>
        <v/>
      </c>
      <c r="C41" s="28">
        <f>IF(B41="","",TRIM(IF(IF(OR($P41=0,$Q41=0),0,IF($P41&lt;=$Q41,IF(AND(1&gt;=$P41,1&lt;=$Q41),1,0),IF(OR(1&gt;=$P41,1&lt;=$Q41),1,0)))=1,"S ","")&amp;IF(IF(OR($R41=0,$S41=0),0,IF($R41&lt;=$S41,IF(AND(1&gt;=$R41,1&lt;=$S41),1,0),IF(OR(1&gt;=$R41,1&lt;=$S41),1,0)))=1,"P ","")&amp;IF(IF(OR($T41=0,$U41=0),0,IF($T41&lt;=$U41,IF(AND(1&gt;=$T41,1&lt;=$U41),1,0),IF(OR(1&gt;=$T41,1&lt;=$U41),1,0)))=1,"H","")))</f>
        <v/>
      </c>
      <c r="D41" s="28">
        <f>IF(B41="","",TRIM(IF(IF(OR($P41=0,$Q41=0),0,IF($P41&lt;=$Q41,IF(AND(2&gt;=$P41,2&lt;=$Q41),1,0),IF(OR(2&gt;=$P41,2&lt;=$Q41),1,0)))=1,"S ","")&amp;IF(IF(OR($R41=0,$S41=0),0,IF($R41&lt;=$S41,IF(AND(2&gt;=$R41,2&lt;=$S41),1,0),IF(OR(2&gt;=$R41,2&lt;=$S41),1,0)))=1,"P ","")&amp;IF(IF(OR($T41=0,$U41=0),0,IF($T41&lt;=$U41,IF(AND(2&gt;=$T41,2&lt;=$U41),1,0),IF(OR(2&gt;=$T41,2&lt;=$U41),1,0)))=1,"H","")))</f>
        <v/>
      </c>
      <c r="E41" s="28">
        <f>IF(B41="","",TRIM(IF(IF(OR($P41=0,$Q41=0),0,IF($P41&lt;=$Q41,IF(AND(3&gt;=$P41,3&lt;=$Q41),1,0),IF(OR(3&gt;=$P41,3&lt;=$Q41),1,0)))=1,"S ","")&amp;IF(IF(OR($R41=0,$S41=0),0,IF($R41&lt;=$S41,IF(AND(3&gt;=$R41,3&lt;=$S41),1,0),IF(OR(3&gt;=$R41,3&lt;=$S41),1,0)))=1,"P ","")&amp;IF(IF(OR($T41=0,$U41=0),0,IF($T41&lt;=$U41,IF(AND(3&gt;=$T41,3&lt;=$U41),1,0),IF(OR(3&gt;=$T41,3&lt;=$U41),1,0)))=1,"H","")))</f>
        <v/>
      </c>
      <c r="F41" s="28">
        <f>IF(B41="","",TRIM(IF(IF(OR($P41=0,$Q41=0),0,IF($P41&lt;=$Q41,IF(AND(4&gt;=$P41,4&lt;=$Q41),1,0),IF(OR(4&gt;=$P41,4&lt;=$Q41),1,0)))=1,"S ","")&amp;IF(IF(OR($R41=0,$S41=0),0,IF($R41&lt;=$S41,IF(AND(4&gt;=$R41,4&lt;=$S41),1,0),IF(OR(4&gt;=$R41,4&lt;=$S41),1,0)))=1,"P ","")&amp;IF(IF(OR($T41=0,$U41=0),0,IF($T41&lt;=$U41,IF(AND(4&gt;=$T41,4&lt;=$U41),1,0),IF(OR(4&gt;=$T41,4&lt;=$U41),1,0)))=1,"H","")))</f>
        <v/>
      </c>
      <c r="G41" s="28">
        <f>IF(B41="","",TRIM(IF(IF(OR($P41=0,$Q41=0),0,IF($P41&lt;=$Q41,IF(AND(5&gt;=$P41,5&lt;=$Q41),1,0),IF(OR(5&gt;=$P41,5&lt;=$Q41),1,0)))=1,"S ","")&amp;IF(IF(OR($R41=0,$S41=0),0,IF($R41&lt;=$S41,IF(AND(5&gt;=$R41,5&lt;=$S41),1,0),IF(OR(5&gt;=$R41,5&lt;=$S41),1,0)))=1,"P ","")&amp;IF(IF(OR($T41=0,$U41=0),0,IF($T41&lt;=$U41,IF(AND(5&gt;=$T41,5&lt;=$U41),1,0),IF(OR(5&gt;=$T41,5&lt;=$U41),1,0)))=1,"H","")))</f>
        <v/>
      </c>
      <c r="H41" s="28">
        <f>IF(B41="","",TRIM(IF(IF(OR($P41=0,$Q41=0),0,IF($P41&lt;=$Q41,IF(AND(6&gt;=$P41,6&lt;=$Q41),1,0),IF(OR(6&gt;=$P41,6&lt;=$Q41),1,0)))=1,"S ","")&amp;IF(IF(OR($R41=0,$S41=0),0,IF($R41&lt;=$S41,IF(AND(6&gt;=$R41,6&lt;=$S41),1,0),IF(OR(6&gt;=$R41,6&lt;=$S41),1,0)))=1,"P ","")&amp;IF(IF(OR($T41=0,$U41=0),0,IF($T41&lt;=$U41,IF(AND(6&gt;=$T41,6&lt;=$U41),1,0),IF(OR(6&gt;=$T41,6&lt;=$U41),1,0)))=1,"H","")))</f>
        <v/>
      </c>
      <c r="I41" s="28">
        <f>IF(B41="","",TRIM(IF(IF(OR($P41=0,$Q41=0),0,IF($P41&lt;=$Q41,IF(AND(7&gt;=$P41,7&lt;=$Q41),1,0),IF(OR(7&gt;=$P41,7&lt;=$Q41),1,0)))=1,"S ","")&amp;IF(IF(OR($R41=0,$S41=0),0,IF($R41&lt;=$S41,IF(AND(7&gt;=$R41,7&lt;=$S41),1,0),IF(OR(7&gt;=$R41,7&lt;=$S41),1,0)))=1,"P ","")&amp;IF(IF(OR($T41=0,$U41=0),0,IF($T41&lt;=$U41,IF(AND(7&gt;=$T41,7&lt;=$U41),1,0),IF(OR(7&gt;=$T41,7&lt;=$U41),1,0)))=1,"H","")))</f>
        <v/>
      </c>
      <c r="J41" s="28">
        <f>IF(B41="","",TRIM(IF(IF(OR($P41=0,$Q41=0),0,IF($P41&lt;=$Q41,IF(AND(8&gt;=$P41,8&lt;=$Q41),1,0),IF(OR(8&gt;=$P41,8&lt;=$Q41),1,0)))=1,"S ","")&amp;IF(IF(OR($R41=0,$S41=0),0,IF($R41&lt;=$S41,IF(AND(8&gt;=$R41,8&lt;=$S41),1,0),IF(OR(8&gt;=$R41,8&lt;=$S41),1,0)))=1,"P ","")&amp;IF(IF(OR($T41=0,$U41=0),0,IF($T41&lt;=$U41,IF(AND(8&gt;=$T41,8&lt;=$U41),1,0),IF(OR(8&gt;=$T41,8&lt;=$U41),1,0)))=1,"H","")))</f>
        <v/>
      </c>
      <c r="K41" s="28">
        <f>IF(B41="","",TRIM(IF(IF(OR($P41=0,$Q41=0),0,IF($P41&lt;=$Q41,IF(AND(9&gt;=$P41,9&lt;=$Q41),1,0),IF(OR(9&gt;=$P41,9&lt;=$Q41),1,0)))=1,"S ","")&amp;IF(IF(OR($R41=0,$S41=0),0,IF($R41&lt;=$S41,IF(AND(9&gt;=$R41,9&lt;=$S41),1,0),IF(OR(9&gt;=$R41,9&lt;=$S41),1,0)))=1,"P ","")&amp;IF(IF(OR($T41=0,$U41=0),0,IF($T41&lt;=$U41,IF(AND(9&gt;=$T41,9&lt;=$U41),1,0),IF(OR(9&gt;=$T41,9&lt;=$U41),1,0)))=1,"H","")))</f>
        <v/>
      </c>
      <c r="L41" s="28">
        <f>IF(B41="","",TRIM(IF(IF(OR($P41=0,$Q41=0),0,IF($P41&lt;=$Q41,IF(AND(10&gt;=$P41,10&lt;=$Q41),1,0),IF(OR(10&gt;=$P41,10&lt;=$Q41),1,0)))=1,"S ","")&amp;IF(IF(OR($R41=0,$S41=0),0,IF($R41&lt;=$S41,IF(AND(10&gt;=$R41,10&lt;=$S41),1,0),IF(OR(10&gt;=$R41,10&lt;=$S41),1,0)))=1,"P ","")&amp;IF(IF(OR($T41=0,$U41=0),0,IF($T41&lt;=$U41,IF(AND(10&gt;=$T41,10&lt;=$U41),1,0),IF(OR(10&gt;=$T41,10&lt;=$U41),1,0)))=1,"H","")))</f>
        <v/>
      </c>
      <c r="M41" s="28">
        <f>IF(B41="","",TRIM(IF(IF(OR($P41=0,$Q41=0),0,IF($P41&lt;=$Q41,IF(AND(11&gt;=$P41,11&lt;=$Q41),1,0),IF(OR(11&gt;=$P41,11&lt;=$Q41),1,0)))=1,"S ","")&amp;IF(IF(OR($R41=0,$S41=0),0,IF($R41&lt;=$S41,IF(AND(11&gt;=$R41,11&lt;=$S41),1,0),IF(OR(11&gt;=$R41,11&lt;=$S41),1,0)))=1,"P ","")&amp;IF(IF(OR($T41=0,$U41=0),0,IF($T41&lt;=$U41,IF(AND(11&gt;=$T41,11&lt;=$U41),1,0),IF(OR(11&gt;=$T41,11&lt;=$U41),1,0)))=1,"H","")))</f>
        <v/>
      </c>
      <c r="N41" s="28">
        <f>IF(B41="","",TRIM(IF(IF(OR($P41=0,$Q41=0),0,IF($P41&lt;=$Q41,IF(AND(12&gt;=$P41,12&lt;=$Q41),1,0),IF(OR(12&gt;=$P41,12&lt;=$Q41),1,0)))=1,"S ","")&amp;IF(IF(OR($R41=0,$S41=0),0,IF($R41&lt;=$S41,IF(AND(12&gt;=$R41,12&lt;=$S41),1,0),IF(OR(12&gt;=$R41,12&lt;=$S41),1,0)))=1,"P ","")&amp;IF(IF(OR($T41=0,$U41=0),0,IF($T41&lt;=$U41,IF(AND(12&gt;=$T41,12&lt;=$U41),1,0),IF(OR(12&gt;=$T41,12&lt;=$U41),1,0)))=1,"H","")))</f>
        <v/>
      </c>
      <c r="O41" s="1" t="n"/>
      <c r="P41">
        <f>N(INDEX(Crops!$R$6:$R$65,36))</f>
        <v/>
      </c>
      <c r="Q41">
        <f>N(INDEX(Crops!$S$6:$S$65,36))</f>
        <v/>
      </c>
      <c r="R41">
        <f>N(INDEX(Crops!$T$6:$T$65,36))</f>
        <v/>
      </c>
      <c r="S41">
        <f>N(INDEX(Crops!$U$6:$U$65,36))</f>
        <v/>
      </c>
      <c r="T41">
        <f>N(INDEX(Crops!$V$6:$V$65,36))</f>
        <v/>
      </c>
      <c r="U41">
        <f>N(INDEX(Crops!$W$6:$W$65,36))</f>
        <v/>
      </c>
    </row>
    <row r="42" ht="16" customHeight="1">
      <c r="A42" s="1" t="n"/>
      <c r="B42" s="9">
        <f>IF(INDEX(Crops!$B$6:$B$65,37)="","",INDEX(Crops!$B$6:$B$65,37))</f>
        <v/>
      </c>
      <c r="C42" s="28">
        <f>IF(B42="","",TRIM(IF(IF(OR($P42=0,$Q42=0),0,IF($P42&lt;=$Q42,IF(AND(1&gt;=$P42,1&lt;=$Q42),1,0),IF(OR(1&gt;=$P42,1&lt;=$Q42),1,0)))=1,"S ","")&amp;IF(IF(OR($R42=0,$S42=0),0,IF($R42&lt;=$S42,IF(AND(1&gt;=$R42,1&lt;=$S42),1,0),IF(OR(1&gt;=$R42,1&lt;=$S42),1,0)))=1,"P ","")&amp;IF(IF(OR($T42=0,$U42=0),0,IF($T42&lt;=$U42,IF(AND(1&gt;=$T42,1&lt;=$U42),1,0),IF(OR(1&gt;=$T42,1&lt;=$U42),1,0)))=1,"H","")))</f>
        <v/>
      </c>
      <c r="D42" s="28">
        <f>IF(B42="","",TRIM(IF(IF(OR($P42=0,$Q42=0),0,IF($P42&lt;=$Q42,IF(AND(2&gt;=$P42,2&lt;=$Q42),1,0),IF(OR(2&gt;=$P42,2&lt;=$Q42),1,0)))=1,"S ","")&amp;IF(IF(OR($R42=0,$S42=0),0,IF($R42&lt;=$S42,IF(AND(2&gt;=$R42,2&lt;=$S42),1,0),IF(OR(2&gt;=$R42,2&lt;=$S42),1,0)))=1,"P ","")&amp;IF(IF(OR($T42=0,$U42=0),0,IF($T42&lt;=$U42,IF(AND(2&gt;=$T42,2&lt;=$U42),1,0),IF(OR(2&gt;=$T42,2&lt;=$U42),1,0)))=1,"H","")))</f>
        <v/>
      </c>
      <c r="E42" s="28">
        <f>IF(B42="","",TRIM(IF(IF(OR($P42=0,$Q42=0),0,IF($P42&lt;=$Q42,IF(AND(3&gt;=$P42,3&lt;=$Q42),1,0),IF(OR(3&gt;=$P42,3&lt;=$Q42),1,0)))=1,"S ","")&amp;IF(IF(OR($R42=0,$S42=0),0,IF($R42&lt;=$S42,IF(AND(3&gt;=$R42,3&lt;=$S42),1,0),IF(OR(3&gt;=$R42,3&lt;=$S42),1,0)))=1,"P ","")&amp;IF(IF(OR($T42=0,$U42=0),0,IF($T42&lt;=$U42,IF(AND(3&gt;=$T42,3&lt;=$U42),1,0),IF(OR(3&gt;=$T42,3&lt;=$U42),1,0)))=1,"H","")))</f>
        <v/>
      </c>
      <c r="F42" s="28">
        <f>IF(B42="","",TRIM(IF(IF(OR($P42=0,$Q42=0),0,IF($P42&lt;=$Q42,IF(AND(4&gt;=$P42,4&lt;=$Q42),1,0),IF(OR(4&gt;=$P42,4&lt;=$Q42),1,0)))=1,"S ","")&amp;IF(IF(OR($R42=0,$S42=0),0,IF($R42&lt;=$S42,IF(AND(4&gt;=$R42,4&lt;=$S42),1,0),IF(OR(4&gt;=$R42,4&lt;=$S42),1,0)))=1,"P ","")&amp;IF(IF(OR($T42=0,$U42=0),0,IF($T42&lt;=$U42,IF(AND(4&gt;=$T42,4&lt;=$U42),1,0),IF(OR(4&gt;=$T42,4&lt;=$U42),1,0)))=1,"H","")))</f>
        <v/>
      </c>
      <c r="G42" s="28">
        <f>IF(B42="","",TRIM(IF(IF(OR($P42=0,$Q42=0),0,IF($P42&lt;=$Q42,IF(AND(5&gt;=$P42,5&lt;=$Q42),1,0),IF(OR(5&gt;=$P42,5&lt;=$Q42),1,0)))=1,"S ","")&amp;IF(IF(OR($R42=0,$S42=0),0,IF($R42&lt;=$S42,IF(AND(5&gt;=$R42,5&lt;=$S42),1,0),IF(OR(5&gt;=$R42,5&lt;=$S42),1,0)))=1,"P ","")&amp;IF(IF(OR($T42=0,$U42=0),0,IF($T42&lt;=$U42,IF(AND(5&gt;=$T42,5&lt;=$U42),1,0),IF(OR(5&gt;=$T42,5&lt;=$U42),1,0)))=1,"H","")))</f>
        <v/>
      </c>
      <c r="H42" s="28">
        <f>IF(B42="","",TRIM(IF(IF(OR($P42=0,$Q42=0),0,IF($P42&lt;=$Q42,IF(AND(6&gt;=$P42,6&lt;=$Q42),1,0),IF(OR(6&gt;=$P42,6&lt;=$Q42),1,0)))=1,"S ","")&amp;IF(IF(OR($R42=0,$S42=0),0,IF($R42&lt;=$S42,IF(AND(6&gt;=$R42,6&lt;=$S42),1,0),IF(OR(6&gt;=$R42,6&lt;=$S42),1,0)))=1,"P ","")&amp;IF(IF(OR($T42=0,$U42=0),0,IF($T42&lt;=$U42,IF(AND(6&gt;=$T42,6&lt;=$U42),1,0),IF(OR(6&gt;=$T42,6&lt;=$U42),1,0)))=1,"H","")))</f>
        <v/>
      </c>
      <c r="I42" s="28">
        <f>IF(B42="","",TRIM(IF(IF(OR($P42=0,$Q42=0),0,IF($P42&lt;=$Q42,IF(AND(7&gt;=$P42,7&lt;=$Q42),1,0),IF(OR(7&gt;=$P42,7&lt;=$Q42),1,0)))=1,"S ","")&amp;IF(IF(OR($R42=0,$S42=0),0,IF($R42&lt;=$S42,IF(AND(7&gt;=$R42,7&lt;=$S42),1,0),IF(OR(7&gt;=$R42,7&lt;=$S42),1,0)))=1,"P ","")&amp;IF(IF(OR($T42=0,$U42=0),0,IF($T42&lt;=$U42,IF(AND(7&gt;=$T42,7&lt;=$U42),1,0),IF(OR(7&gt;=$T42,7&lt;=$U42),1,0)))=1,"H","")))</f>
        <v/>
      </c>
      <c r="J42" s="28">
        <f>IF(B42="","",TRIM(IF(IF(OR($P42=0,$Q42=0),0,IF($P42&lt;=$Q42,IF(AND(8&gt;=$P42,8&lt;=$Q42),1,0),IF(OR(8&gt;=$P42,8&lt;=$Q42),1,0)))=1,"S ","")&amp;IF(IF(OR($R42=0,$S42=0),0,IF($R42&lt;=$S42,IF(AND(8&gt;=$R42,8&lt;=$S42),1,0),IF(OR(8&gt;=$R42,8&lt;=$S42),1,0)))=1,"P ","")&amp;IF(IF(OR($T42=0,$U42=0),0,IF($T42&lt;=$U42,IF(AND(8&gt;=$T42,8&lt;=$U42),1,0),IF(OR(8&gt;=$T42,8&lt;=$U42),1,0)))=1,"H","")))</f>
        <v/>
      </c>
      <c r="K42" s="28">
        <f>IF(B42="","",TRIM(IF(IF(OR($P42=0,$Q42=0),0,IF($P42&lt;=$Q42,IF(AND(9&gt;=$P42,9&lt;=$Q42),1,0),IF(OR(9&gt;=$P42,9&lt;=$Q42),1,0)))=1,"S ","")&amp;IF(IF(OR($R42=0,$S42=0),0,IF($R42&lt;=$S42,IF(AND(9&gt;=$R42,9&lt;=$S42),1,0),IF(OR(9&gt;=$R42,9&lt;=$S42),1,0)))=1,"P ","")&amp;IF(IF(OR($T42=0,$U42=0),0,IF($T42&lt;=$U42,IF(AND(9&gt;=$T42,9&lt;=$U42),1,0),IF(OR(9&gt;=$T42,9&lt;=$U42),1,0)))=1,"H","")))</f>
        <v/>
      </c>
      <c r="L42" s="28">
        <f>IF(B42="","",TRIM(IF(IF(OR($P42=0,$Q42=0),0,IF($P42&lt;=$Q42,IF(AND(10&gt;=$P42,10&lt;=$Q42),1,0),IF(OR(10&gt;=$P42,10&lt;=$Q42),1,0)))=1,"S ","")&amp;IF(IF(OR($R42=0,$S42=0),0,IF($R42&lt;=$S42,IF(AND(10&gt;=$R42,10&lt;=$S42),1,0),IF(OR(10&gt;=$R42,10&lt;=$S42),1,0)))=1,"P ","")&amp;IF(IF(OR($T42=0,$U42=0),0,IF($T42&lt;=$U42,IF(AND(10&gt;=$T42,10&lt;=$U42),1,0),IF(OR(10&gt;=$T42,10&lt;=$U42),1,0)))=1,"H","")))</f>
        <v/>
      </c>
      <c r="M42" s="28">
        <f>IF(B42="","",TRIM(IF(IF(OR($P42=0,$Q42=0),0,IF($P42&lt;=$Q42,IF(AND(11&gt;=$P42,11&lt;=$Q42),1,0),IF(OR(11&gt;=$P42,11&lt;=$Q42),1,0)))=1,"S ","")&amp;IF(IF(OR($R42=0,$S42=0),0,IF($R42&lt;=$S42,IF(AND(11&gt;=$R42,11&lt;=$S42),1,0),IF(OR(11&gt;=$R42,11&lt;=$S42),1,0)))=1,"P ","")&amp;IF(IF(OR($T42=0,$U42=0),0,IF($T42&lt;=$U42,IF(AND(11&gt;=$T42,11&lt;=$U42),1,0),IF(OR(11&gt;=$T42,11&lt;=$U42),1,0)))=1,"H","")))</f>
        <v/>
      </c>
      <c r="N42" s="28">
        <f>IF(B42="","",TRIM(IF(IF(OR($P42=0,$Q42=0),0,IF($P42&lt;=$Q42,IF(AND(12&gt;=$P42,12&lt;=$Q42),1,0),IF(OR(12&gt;=$P42,12&lt;=$Q42),1,0)))=1,"S ","")&amp;IF(IF(OR($R42=0,$S42=0),0,IF($R42&lt;=$S42,IF(AND(12&gt;=$R42,12&lt;=$S42),1,0),IF(OR(12&gt;=$R42,12&lt;=$S42),1,0)))=1,"P ","")&amp;IF(IF(OR($T42=0,$U42=0),0,IF($T42&lt;=$U42,IF(AND(12&gt;=$T42,12&lt;=$U42),1,0),IF(OR(12&gt;=$T42,12&lt;=$U42),1,0)))=1,"H","")))</f>
        <v/>
      </c>
      <c r="O42" s="1" t="n"/>
      <c r="P42">
        <f>N(INDEX(Crops!$R$6:$R$65,37))</f>
        <v/>
      </c>
      <c r="Q42">
        <f>N(INDEX(Crops!$S$6:$S$65,37))</f>
        <v/>
      </c>
      <c r="R42">
        <f>N(INDEX(Crops!$T$6:$T$65,37))</f>
        <v/>
      </c>
      <c r="S42">
        <f>N(INDEX(Crops!$U$6:$U$65,37))</f>
        <v/>
      </c>
      <c r="T42">
        <f>N(INDEX(Crops!$V$6:$V$65,37))</f>
        <v/>
      </c>
      <c r="U42">
        <f>N(INDEX(Crops!$W$6:$W$65,37))</f>
        <v/>
      </c>
    </row>
    <row r="43" ht="16" customHeight="1">
      <c r="A43" s="1" t="n"/>
      <c r="B43" s="9">
        <f>IF(INDEX(Crops!$B$6:$B$65,38)="","",INDEX(Crops!$B$6:$B$65,38))</f>
        <v/>
      </c>
      <c r="C43" s="28">
        <f>IF(B43="","",TRIM(IF(IF(OR($P43=0,$Q43=0),0,IF($P43&lt;=$Q43,IF(AND(1&gt;=$P43,1&lt;=$Q43),1,0),IF(OR(1&gt;=$P43,1&lt;=$Q43),1,0)))=1,"S ","")&amp;IF(IF(OR($R43=0,$S43=0),0,IF($R43&lt;=$S43,IF(AND(1&gt;=$R43,1&lt;=$S43),1,0),IF(OR(1&gt;=$R43,1&lt;=$S43),1,0)))=1,"P ","")&amp;IF(IF(OR($T43=0,$U43=0),0,IF($T43&lt;=$U43,IF(AND(1&gt;=$T43,1&lt;=$U43),1,0),IF(OR(1&gt;=$T43,1&lt;=$U43),1,0)))=1,"H","")))</f>
        <v/>
      </c>
      <c r="D43" s="28">
        <f>IF(B43="","",TRIM(IF(IF(OR($P43=0,$Q43=0),0,IF($P43&lt;=$Q43,IF(AND(2&gt;=$P43,2&lt;=$Q43),1,0),IF(OR(2&gt;=$P43,2&lt;=$Q43),1,0)))=1,"S ","")&amp;IF(IF(OR($R43=0,$S43=0),0,IF($R43&lt;=$S43,IF(AND(2&gt;=$R43,2&lt;=$S43),1,0),IF(OR(2&gt;=$R43,2&lt;=$S43),1,0)))=1,"P ","")&amp;IF(IF(OR($T43=0,$U43=0),0,IF($T43&lt;=$U43,IF(AND(2&gt;=$T43,2&lt;=$U43),1,0),IF(OR(2&gt;=$T43,2&lt;=$U43),1,0)))=1,"H","")))</f>
        <v/>
      </c>
      <c r="E43" s="28">
        <f>IF(B43="","",TRIM(IF(IF(OR($P43=0,$Q43=0),0,IF($P43&lt;=$Q43,IF(AND(3&gt;=$P43,3&lt;=$Q43),1,0),IF(OR(3&gt;=$P43,3&lt;=$Q43),1,0)))=1,"S ","")&amp;IF(IF(OR($R43=0,$S43=0),0,IF($R43&lt;=$S43,IF(AND(3&gt;=$R43,3&lt;=$S43),1,0),IF(OR(3&gt;=$R43,3&lt;=$S43),1,0)))=1,"P ","")&amp;IF(IF(OR($T43=0,$U43=0),0,IF($T43&lt;=$U43,IF(AND(3&gt;=$T43,3&lt;=$U43),1,0),IF(OR(3&gt;=$T43,3&lt;=$U43),1,0)))=1,"H","")))</f>
        <v/>
      </c>
      <c r="F43" s="28">
        <f>IF(B43="","",TRIM(IF(IF(OR($P43=0,$Q43=0),0,IF($P43&lt;=$Q43,IF(AND(4&gt;=$P43,4&lt;=$Q43),1,0),IF(OR(4&gt;=$P43,4&lt;=$Q43),1,0)))=1,"S ","")&amp;IF(IF(OR($R43=0,$S43=0),0,IF($R43&lt;=$S43,IF(AND(4&gt;=$R43,4&lt;=$S43),1,0),IF(OR(4&gt;=$R43,4&lt;=$S43),1,0)))=1,"P ","")&amp;IF(IF(OR($T43=0,$U43=0),0,IF($T43&lt;=$U43,IF(AND(4&gt;=$T43,4&lt;=$U43),1,0),IF(OR(4&gt;=$T43,4&lt;=$U43),1,0)))=1,"H","")))</f>
        <v/>
      </c>
      <c r="G43" s="28">
        <f>IF(B43="","",TRIM(IF(IF(OR($P43=0,$Q43=0),0,IF($P43&lt;=$Q43,IF(AND(5&gt;=$P43,5&lt;=$Q43),1,0),IF(OR(5&gt;=$P43,5&lt;=$Q43),1,0)))=1,"S ","")&amp;IF(IF(OR($R43=0,$S43=0),0,IF($R43&lt;=$S43,IF(AND(5&gt;=$R43,5&lt;=$S43),1,0),IF(OR(5&gt;=$R43,5&lt;=$S43),1,0)))=1,"P ","")&amp;IF(IF(OR($T43=0,$U43=0),0,IF($T43&lt;=$U43,IF(AND(5&gt;=$T43,5&lt;=$U43),1,0),IF(OR(5&gt;=$T43,5&lt;=$U43),1,0)))=1,"H","")))</f>
        <v/>
      </c>
      <c r="H43" s="28">
        <f>IF(B43="","",TRIM(IF(IF(OR($P43=0,$Q43=0),0,IF($P43&lt;=$Q43,IF(AND(6&gt;=$P43,6&lt;=$Q43),1,0),IF(OR(6&gt;=$P43,6&lt;=$Q43),1,0)))=1,"S ","")&amp;IF(IF(OR($R43=0,$S43=0),0,IF($R43&lt;=$S43,IF(AND(6&gt;=$R43,6&lt;=$S43),1,0),IF(OR(6&gt;=$R43,6&lt;=$S43),1,0)))=1,"P ","")&amp;IF(IF(OR($T43=0,$U43=0),0,IF($T43&lt;=$U43,IF(AND(6&gt;=$T43,6&lt;=$U43),1,0),IF(OR(6&gt;=$T43,6&lt;=$U43),1,0)))=1,"H","")))</f>
        <v/>
      </c>
      <c r="I43" s="28">
        <f>IF(B43="","",TRIM(IF(IF(OR($P43=0,$Q43=0),0,IF($P43&lt;=$Q43,IF(AND(7&gt;=$P43,7&lt;=$Q43),1,0),IF(OR(7&gt;=$P43,7&lt;=$Q43),1,0)))=1,"S ","")&amp;IF(IF(OR($R43=0,$S43=0),0,IF($R43&lt;=$S43,IF(AND(7&gt;=$R43,7&lt;=$S43),1,0),IF(OR(7&gt;=$R43,7&lt;=$S43),1,0)))=1,"P ","")&amp;IF(IF(OR($T43=0,$U43=0),0,IF($T43&lt;=$U43,IF(AND(7&gt;=$T43,7&lt;=$U43),1,0),IF(OR(7&gt;=$T43,7&lt;=$U43),1,0)))=1,"H","")))</f>
        <v/>
      </c>
      <c r="J43" s="28">
        <f>IF(B43="","",TRIM(IF(IF(OR($P43=0,$Q43=0),0,IF($P43&lt;=$Q43,IF(AND(8&gt;=$P43,8&lt;=$Q43),1,0),IF(OR(8&gt;=$P43,8&lt;=$Q43),1,0)))=1,"S ","")&amp;IF(IF(OR($R43=0,$S43=0),0,IF($R43&lt;=$S43,IF(AND(8&gt;=$R43,8&lt;=$S43),1,0),IF(OR(8&gt;=$R43,8&lt;=$S43),1,0)))=1,"P ","")&amp;IF(IF(OR($T43=0,$U43=0),0,IF($T43&lt;=$U43,IF(AND(8&gt;=$T43,8&lt;=$U43),1,0),IF(OR(8&gt;=$T43,8&lt;=$U43),1,0)))=1,"H","")))</f>
        <v/>
      </c>
      <c r="K43" s="28">
        <f>IF(B43="","",TRIM(IF(IF(OR($P43=0,$Q43=0),0,IF($P43&lt;=$Q43,IF(AND(9&gt;=$P43,9&lt;=$Q43),1,0),IF(OR(9&gt;=$P43,9&lt;=$Q43),1,0)))=1,"S ","")&amp;IF(IF(OR($R43=0,$S43=0),0,IF($R43&lt;=$S43,IF(AND(9&gt;=$R43,9&lt;=$S43),1,0),IF(OR(9&gt;=$R43,9&lt;=$S43),1,0)))=1,"P ","")&amp;IF(IF(OR($T43=0,$U43=0),0,IF($T43&lt;=$U43,IF(AND(9&gt;=$T43,9&lt;=$U43),1,0),IF(OR(9&gt;=$T43,9&lt;=$U43),1,0)))=1,"H","")))</f>
        <v/>
      </c>
      <c r="L43" s="28">
        <f>IF(B43="","",TRIM(IF(IF(OR($P43=0,$Q43=0),0,IF($P43&lt;=$Q43,IF(AND(10&gt;=$P43,10&lt;=$Q43),1,0),IF(OR(10&gt;=$P43,10&lt;=$Q43),1,0)))=1,"S ","")&amp;IF(IF(OR($R43=0,$S43=0),0,IF($R43&lt;=$S43,IF(AND(10&gt;=$R43,10&lt;=$S43),1,0),IF(OR(10&gt;=$R43,10&lt;=$S43),1,0)))=1,"P ","")&amp;IF(IF(OR($T43=0,$U43=0),0,IF($T43&lt;=$U43,IF(AND(10&gt;=$T43,10&lt;=$U43),1,0),IF(OR(10&gt;=$T43,10&lt;=$U43),1,0)))=1,"H","")))</f>
        <v/>
      </c>
      <c r="M43" s="28">
        <f>IF(B43="","",TRIM(IF(IF(OR($P43=0,$Q43=0),0,IF($P43&lt;=$Q43,IF(AND(11&gt;=$P43,11&lt;=$Q43),1,0),IF(OR(11&gt;=$P43,11&lt;=$Q43),1,0)))=1,"S ","")&amp;IF(IF(OR($R43=0,$S43=0),0,IF($R43&lt;=$S43,IF(AND(11&gt;=$R43,11&lt;=$S43),1,0),IF(OR(11&gt;=$R43,11&lt;=$S43),1,0)))=1,"P ","")&amp;IF(IF(OR($T43=0,$U43=0),0,IF($T43&lt;=$U43,IF(AND(11&gt;=$T43,11&lt;=$U43),1,0),IF(OR(11&gt;=$T43,11&lt;=$U43),1,0)))=1,"H","")))</f>
        <v/>
      </c>
      <c r="N43" s="28">
        <f>IF(B43="","",TRIM(IF(IF(OR($P43=0,$Q43=0),0,IF($P43&lt;=$Q43,IF(AND(12&gt;=$P43,12&lt;=$Q43),1,0),IF(OR(12&gt;=$P43,12&lt;=$Q43),1,0)))=1,"S ","")&amp;IF(IF(OR($R43=0,$S43=0),0,IF($R43&lt;=$S43,IF(AND(12&gt;=$R43,12&lt;=$S43),1,0),IF(OR(12&gt;=$R43,12&lt;=$S43),1,0)))=1,"P ","")&amp;IF(IF(OR($T43=0,$U43=0),0,IF($T43&lt;=$U43,IF(AND(12&gt;=$T43,12&lt;=$U43),1,0),IF(OR(12&gt;=$T43,12&lt;=$U43),1,0)))=1,"H","")))</f>
        <v/>
      </c>
      <c r="O43" s="1" t="n"/>
      <c r="P43">
        <f>N(INDEX(Crops!$R$6:$R$65,38))</f>
        <v/>
      </c>
      <c r="Q43">
        <f>N(INDEX(Crops!$S$6:$S$65,38))</f>
        <v/>
      </c>
      <c r="R43">
        <f>N(INDEX(Crops!$T$6:$T$65,38))</f>
        <v/>
      </c>
      <c r="S43">
        <f>N(INDEX(Crops!$U$6:$U$65,38))</f>
        <v/>
      </c>
      <c r="T43">
        <f>N(INDEX(Crops!$V$6:$V$65,38))</f>
        <v/>
      </c>
      <c r="U43">
        <f>N(INDEX(Crops!$W$6:$W$65,38))</f>
        <v/>
      </c>
    </row>
    <row r="44" ht="16" customHeight="1">
      <c r="A44" s="1" t="n"/>
      <c r="B44" s="9">
        <f>IF(INDEX(Crops!$B$6:$B$65,39)="","",INDEX(Crops!$B$6:$B$65,39))</f>
        <v/>
      </c>
      <c r="C44" s="28">
        <f>IF(B44="","",TRIM(IF(IF(OR($P44=0,$Q44=0),0,IF($P44&lt;=$Q44,IF(AND(1&gt;=$P44,1&lt;=$Q44),1,0),IF(OR(1&gt;=$P44,1&lt;=$Q44),1,0)))=1,"S ","")&amp;IF(IF(OR($R44=0,$S44=0),0,IF($R44&lt;=$S44,IF(AND(1&gt;=$R44,1&lt;=$S44),1,0),IF(OR(1&gt;=$R44,1&lt;=$S44),1,0)))=1,"P ","")&amp;IF(IF(OR($T44=0,$U44=0),0,IF($T44&lt;=$U44,IF(AND(1&gt;=$T44,1&lt;=$U44),1,0),IF(OR(1&gt;=$T44,1&lt;=$U44),1,0)))=1,"H","")))</f>
        <v/>
      </c>
      <c r="D44" s="28">
        <f>IF(B44="","",TRIM(IF(IF(OR($P44=0,$Q44=0),0,IF($P44&lt;=$Q44,IF(AND(2&gt;=$P44,2&lt;=$Q44),1,0),IF(OR(2&gt;=$P44,2&lt;=$Q44),1,0)))=1,"S ","")&amp;IF(IF(OR($R44=0,$S44=0),0,IF($R44&lt;=$S44,IF(AND(2&gt;=$R44,2&lt;=$S44),1,0),IF(OR(2&gt;=$R44,2&lt;=$S44),1,0)))=1,"P ","")&amp;IF(IF(OR($T44=0,$U44=0),0,IF($T44&lt;=$U44,IF(AND(2&gt;=$T44,2&lt;=$U44),1,0),IF(OR(2&gt;=$T44,2&lt;=$U44),1,0)))=1,"H","")))</f>
        <v/>
      </c>
      <c r="E44" s="28">
        <f>IF(B44="","",TRIM(IF(IF(OR($P44=0,$Q44=0),0,IF($P44&lt;=$Q44,IF(AND(3&gt;=$P44,3&lt;=$Q44),1,0),IF(OR(3&gt;=$P44,3&lt;=$Q44),1,0)))=1,"S ","")&amp;IF(IF(OR($R44=0,$S44=0),0,IF($R44&lt;=$S44,IF(AND(3&gt;=$R44,3&lt;=$S44),1,0),IF(OR(3&gt;=$R44,3&lt;=$S44),1,0)))=1,"P ","")&amp;IF(IF(OR($T44=0,$U44=0),0,IF($T44&lt;=$U44,IF(AND(3&gt;=$T44,3&lt;=$U44),1,0),IF(OR(3&gt;=$T44,3&lt;=$U44),1,0)))=1,"H","")))</f>
        <v/>
      </c>
      <c r="F44" s="28">
        <f>IF(B44="","",TRIM(IF(IF(OR($P44=0,$Q44=0),0,IF($P44&lt;=$Q44,IF(AND(4&gt;=$P44,4&lt;=$Q44),1,0),IF(OR(4&gt;=$P44,4&lt;=$Q44),1,0)))=1,"S ","")&amp;IF(IF(OR($R44=0,$S44=0),0,IF($R44&lt;=$S44,IF(AND(4&gt;=$R44,4&lt;=$S44),1,0),IF(OR(4&gt;=$R44,4&lt;=$S44),1,0)))=1,"P ","")&amp;IF(IF(OR($T44=0,$U44=0),0,IF($T44&lt;=$U44,IF(AND(4&gt;=$T44,4&lt;=$U44),1,0),IF(OR(4&gt;=$T44,4&lt;=$U44),1,0)))=1,"H","")))</f>
        <v/>
      </c>
      <c r="G44" s="28">
        <f>IF(B44="","",TRIM(IF(IF(OR($P44=0,$Q44=0),0,IF($P44&lt;=$Q44,IF(AND(5&gt;=$P44,5&lt;=$Q44),1,0),IF(OR(5&gt;=$P44,5&lt;=$Q44),1,0)))=1,"S ","")&amp;IF(IF(OR($R44=0,$S44=0),0,IF($R44&lt;=$S44,IF(AND(5&gt;=$R44,5&lt;=$S44),1,0),IF(OR(5&gt;=$R44,5&lt;=$S44),1,0)))=1,"P ","")&amp;IF(IF(OR($T44=0,$U44=0),0,IF($T44&lt;=$U44,IF(AND(5&gt;=$T44,5&lt;=$U44),1,0),IF(OR(5&gt;=$T44,5&lt;=$U44),1,0)))=1,"H","")))</f>
        <v/>
      </c>
      <c r="H44" s="28">
        <f>IF(B44="","",TRIM(IF(IF(OR($P44=0,$Q44=0),0,IF($P44&lt;=$Q44,IF(AND(6&gt;=$P44,6&lt;=$Q44),1,0),IF(OR(6&gt;=$P44,6&lt;=$Q44),1,0)))=1,"S ","")&amp;IF(IF(OR($R44=0,$S44=0),0,IF($R44&lt;=$S44,IF(AND(6&gt;=$R44,6&lt;=$S44),1,0),IF(OR(6&gt;=$R44,6&lt;=$S44),1,0)))=1,"P ","")&amp;IF(IF(OR($T44=0,$U44=0),0,IF($T44&lt;=$U44,IF(AND(6&gt;=$T44,6&lt;=$U44),1,0),IF(OR(6&gt;=$T44,6&lt;=$U44),1,0)))=1,"H","")))</f>
        <v/>
      </c>
      <c r="I44" s="28">
        <f>IF(B44="","",TRIM(IF(IF(OR($P44=0,$Q44=0),0,IF($P44&lt;=$Q44,IF(AND(7&gt;=$P44,7&lt;=$Q44),1,0),IF(OR(7&gt;=$P44,7&lt;=$Q44),1,0)))=1,"S ","")&amp;IF(IF(OR($R44=0,$S44=0),0,IF($R44&lt;=$S44,IF(AND(7&gt;=$R44,7&lt;=$S44),1,0),IF(OR(7&gt;=$R44,7&lt;=$S44),1,0)))=1,"P ","")&amp;IF(IF(OR($T44=0,$U44=0),0,IF($T44&lt;=$U44,IF(AND(7&gt;=$T44,7&lt;=$U44),1,0),IF(OR(7&gt;=$T44,7&lt;=$U44),1,0)))=1,"H","")))</f>
        <v/>
      </c>
      <c r="J44" s="28">
        <f>IF(B44="","",TRIM(IF(IF(OR($P44=0,$Q44=0),0,IF($P44&lt;=$Q44,IF(AND(8&gt;=$P44,8&lt;=$Q44),1,0),IF(OR(8&gt;=$P44,8&lt;=$Q44),1,0)))=1,"S ","")&amp;IF(IF(OR($R44=0,$S44=0),0,IF($R44&lt;=$S44,IF(AND(8&gt;=$R44,8&lt;=$S44),1,0),IF(OR(8&gt;=$R44,8&lt;=$S44),1,0)))=1,"P ","")&amp;IF(IF(OR($T44=0,$U44=0),0,IF($T44&lt;=$U44,IF(AND(8&gt;=$T44,8&lt;=$U44),1,0),IF(OR(8&gt;=$T44,8&lt;=$U44),1,0)))=1,"H","")))</f>
        <v/>
      </c>
      <c r="K44" s="28">
        <f>IF(B44="","",TRIM(IF(IF(OR($P44=0,$Q44=0),0,IF($P44&lt;=$Q44,IF(AND(9&gt;=$P44,9&lt;=$Q44),1,0),IF(OR(9&gt;=$P44,9&lt;=$Q44),1,0)))=1,"S ","")&amp;IF(IF(OR($R44=0,$S44=0),0,IF($R44&lt;=$S44,IF(AND(9&gt;=$R44,9&lt;=$S44),1,0),IF(OR(9&gt;=$R44,9&lt;=$S44),1,0)))=1,"P ","")&amp;IF(IF(OR($T44=0,$U44=0),0,IF($T44&lt;=$U44,IF(AND(9&gt;=$T44,9&lt;=$U44),1,0),IF(OR(9&gt;=$T44,9&lt;=$U44),1,0)))=1,"H","")))</f>
        <v/>
      </c>
      <c r="L44" s="28">
        <f>IF(B44="","",TRIM(IF(IF(OR($P44=0,$Q44=0),0,IF($P44&lt;=$Q44,IF(AND(10&gt;=$P44,10&lt;=$Q44),1,0),IF(OR(10&gt;=$P44,10&lt;=$Q44),1,0)))=1,"S ","")&amp;IF(IF(OR($R44=0,$S44=0),0,IF($R44&lt;=$S44,IF(AND(10&gt;=$R44,10&lt;=$S44),1,0),IF(OR(10&gt;=$R44,10&lt;=$S44),1,0)))=1,"P ","")&amp;IF(IF(OR($T44=0,$U44=0),0,IF($T44&lt;=$U44,IF(AND(10&gt;=$T44,10&lt;=$U44),1,0),IF(OR(10&gt;=$T44,10&lt;=$U44),1,0)))=1,"H","")))</f>
        <v/>
      </c>
      <c r="M44" s="28">
        <f>IF(B44="","",TRIM(IF(IF(OR($P44=0,$Q44=0),0,IF($P44&lt;=$Q44,IF(AND(11&gt;=$P44,11&lt;=$Q44),1,0),IF(OR(11&gt;=$P44,11&lt;=$Q44),1,0)))=1,"S ","")&amp;IF(IF(OR($R44=0,$S44=0),0,IF($R44&lt;=$S44,IF(AND(11&gt;=$R44,11&lt;=$S44),1,0),IF(OR(11&gt;=$R44,11&lt;=$S44),1,0)))=1,"P ","")&amp;IF(IF(OR($T44=0,$U44=0),0,IF($T44&lt;=$U44,IF(AND(11&gt;=$T44,11&lt;=$U44),1,0),IF(OR(11&gt;=$T44,11&lt;=$U44),1,0)))=1,"H","")))</f>
        <v/>
      </c>
      <c r="N44" s="28">
        <f>IF(B44="","",TRIM(IF(IF(OR($P44=0,$Q44=0),0,IF($P44&lt;=$Q44,IF(AND(12&gt;=$P44,12&lt;=$Q44),1,0),IF(OR(12&gt;=$P44,12&lt;=$Q44),1,0)))=1,"S ","")&amp;IF(IF(OR($R44=0,$S44=0),0,IF($R44&lt;=$S44,IF(AND(12&gt;=$R44,12&lt;=$S44),1,0),IF(OR(12&gt;=$R44,12&lt;=$S44),1,0)))=1,"P ","")&amp;IF(IF(OR($T44=0,$U44=0),0,IF($T44&lt;=$U44,IF(AND(12&gt;=$T44,12&lt;=$U44),1,0),IF(OR(12&gt;=$T44,12&lt;=$U44),1,0)))=1,"H","")))</f>
        <v/>
      </c>
      <c r="O44" s="1" t="n"/>
      <c r="P44">
        <f>N(INDEX(Crops!$R$6:$R$65,39))</f>
        <v/>
      </c>
      <c r="Q44">
        <f>N(INDEX(Crops!$S$6:$S$65,39))</f>
        <v/>
      </c>
      <c r="R44">
        <f>N(INDEX(Crops!$T$6:$T$65,39))</f>
        <v/>
      </c>
      <c r="S44">
        <f>N(INDEX(Crops!$U$6:$U$65,39))</f>
        <v/>
      </c>
      <c r="T44">
        <f>N(INDEX(Crops!$V$6:$V$65,39))</f>
        <v/>
      </c>
      <c r="U44">
        <f>N(INDEX(Crops!$W$6:$W$65,39))</f>
        <v/>
      </c>
    </row>
    <row r="45" ht="16" customHeight="1">
      <c r="A45" s="1" t="n"/>
      <c r="B45" s="9">
        <f>IF(INDEX(Crops!$B$6:$B$65,40)="","",INDEX(Crops!$B$6:$B$65,40))</f>
        <v/>
      </c>
      <c r="C45" s="28">
        <f>IF(B45="","",TRIM(IF(IF(OR($P45=0,$Q45=0),0,IF($P45&lt;=$Q45,IF(AND(1&gt;=$P45,1&lt;=$Q45),1,0),IF(OR(1&gt;=$P45,1&lt;=$Q45),1,0)))=1,"S ","")&amp;IF(IF(OR($R45=0,$S45=0),0,IF($R45&lt;=$S45,IF(AND(1&gt;=$R45,1&lt;=$S45),1,0),IF(OR(1&gt;=$R45,1&lt;=$S45),1,0)))=1,"P ","")&amp;IF(IF(OR($T45=0,$U45=0),0,IF($T45&lt;=$U45,IF(AND(1&gt;=$T45,1&lt;=$U45),1,0),IF(OR(1&gt;=$T45,1&lt;=$U45),1,0)))=1,"H","")))</f>
        <v/>
      </c>
      <c r="D45" s="28">
        <f>IF(B45="","",TRIM(IF(IF(OR($P45=0,$Q45=0),0,IF($P45&lt;=$Q45,IF(AND(2&gt;=$P45,2&lt;=$Q45),1,0),IF(OR(2&gt;=$P45,2&lt;=$Q45),1,0)))=1,"S ","")&amp;IF(IF(OR($R45=0,$S45=0),0,IF($R45&lt;=$S45,IF(AND(2&gt;=$R45,2&lt;=$S45),1,0),IF(OR(2&gt;=$R45,2&lt;=$S45),1,0)))=1,"P ","")&amp;IF(IF(OR($T45=0,$U45=0),0,IF($T45&lt;=$U45,IF(AND(2&gt;=$T45,2&lt;=$U45),1,0),IF(OR(2&gt;=$T45,2&lt;=$U45),1,0)))=1,"H","")))</f>
        <v/>
      </c>
      <c r="E45" s="28">
        <f>IF(B45="","",TRIM(IF(IF(OR($P45=0,$Q45=0),0,IF($P45&lt;=$Q45,IF(AND(3&gt;=$P45,3&lt;=$Q45),1,0),IF(OR(3&gt;=$P45,3&lt;=$Q45),1,0)))=1,"S ","")&amp;IF(IF(OR($R45=0,$S45=0),0,IF($R45&lt;=$S45,IF(AND(3&gt;=$R45,3&lt;=$S45),1,0),IF(OR(3&gt;=$R45,3&lt;=$S45),1,0)))=1,"P ","")&amp;IF(IF(OR($T45=0,$U45=0),0,IF($T45&lt;=$U45,IF(AND(3&gt;=$T45,3&lt;=$U45),1,0),IF(OR(3&gt;=$T45,3&lt;=$U45),1,0)))=1,"H","")))</f>
        <v/>
      </c>
      <c r="F45" s="28">
        <f>IF(B45="","",TRIM(IF(IF(OR($P45=0,$Q45=0),0,IF($P45&lt;=$Q45,IF(AND(4&gt;=$P45,4&lt;=$Q45),1,0),IF(OR(4&gt;=$P45,4&lt;=$Q45),1,0)))=1,"S ","")&amp;IF(IF(OR($R45=0,$S45=0),0,IF($R45&lt;=$S45,IF(AND(4&gt;=$R45,4&lt;=$S45),1,0),IF(OR(4&gt;=$R45,4&lt;=$S45),1,0)))=1,"P ","")&amp;IF(IF(OR($T45=0,$U45=0),0,IF($T45&lt;=$U45,IF(AND(4&gt;=$T45,4&lt;=$U45),1,0),IF(OR(4&gt;=$T45,4&lt;=$U45),1,0)))=1,"H","")))</f>
        <v/>
      </c>
      <c r="G45" s="28">
        <f>IF(B45="","",TRIM(IF(IF(OR($P45=0,$Q45=0),0,IF($P45&lt;=$Q45,IF(AND(5&gt;=$P45,5&lt;=$Q45),1,0),IF(OR(5&gt;=$P45,5&lt;=$Q45),1,0)))=1,"S ","")&amp;IF(IF(OR($R45=0,$S45=0),0,IF($R45&lt;=$S45,IF(AND(5&gt;=$R45,5&lt;=$S45),1,0),IF(OR(5&gt;=$R45,5&lt;=$S45),1,0)))=1,"P ","")&amp;IF(IF(OR($T45=0,$U45=0),0,IF($T45&lt;=$U45,IF(AND(5&gt;=$T45,5&lt;=$U45),1,0),IF(OR(5&gt;=$T45,5&lt;=$U45),1,0)))=1,"H","")))</f>
        <v/>
      </c>
      <c r="H45" s="28">
        <f>IF(B45="","",TRIM(IF(IF(OR($P45=0,$Q45=0),0,IF($P45&lt;=$Q45,IF(AND(6&gt;=$P45,6&lt;=$Q45),1,0),IF(OR(6&gt;=$P45,6&lt;=$Q45),1,0)))=1,"S ","")&amp;IF(IF(OR($R45=0,$S45=0),0,IF($R45&lt;=$S45,IF(AND(6&gt;=$R45,6&lt;=$S45),1,0),IF(OR(6&gt;=$R45,6&lt;=$S45),1,0)))=1,"P ","")&amp;IF(IF(OR($T45=0,$U45=0),0,IF($T45&lt;=$U45,IF(AND(6&gt;=$T45,6&lt;=$U45),1,0),IF(OR(6&gt;=$T45,6&lt;=$U45),1,0)))=1,"H","")))</f>
        <v/>
      </c>
      <c r="I45" s="28">
        <f>IF(B45="","",TRIM(IF(IF(OR($P45=0,$Q45=0),0,IF($P45&lt;=$Q45,IF(AND(7&gt;=$P45,7&lt;=$Q45),1,0),IF(OR(7&gt;=$P45,7&lt;=$Q45),1,0)))=1,"S ","")&amp;IF(IF(OR($R45=0,$S45=0),0,IF($R45&lt;=$S45,IF(AND(7&gt;=$R45,7&lt;=$S45),1,0),IF(OR(7&gt;=$R45,7&lt;=$S45),1,0)))=1,"P ","")&amp;IF(IF(OR($T45=0,$U45=0),0,IF($T45&lt;=$U45,IF(AND(7&gt;=$T45,7&lt;=$U45),1,0),IF(OR(7&gt;=$T45,7&lt;=$U45),1,0)))=1,"H","")))</f>
        <v/>
      </c>
      <c r="J45" s="28">
        <f>IF(B45="","",TRIM(IF(IF(OR($P45=0,$Q45=0),0,IF($P45&lt;=$Q45,IF(AND(8&gt;=$P45,8&lt;=$Q45),1,0),IF(OR(8&gt;=$P45,8&lt;=$Q45),1,0)))=1,"S ","")&amp;IF(IF(OR($R45=0,$S45=0),0,IF($R45&lt;=$S45,IF(AND(8&gt;=$R45,8&lt;=$S45),1,0),IF(OR(8&gt;=$R45,8&lt;=$S45),1,0)))=1,"P ","")&amp;IF(IF(OR($T45=0,$U45=0),0,IF($T45&lt;=$U45,IF(AND(8&gt;=$T45,8&lt;=$U45),1,0),IF(OR(8&gt;=$T45,8&lt;=$U45),1,0)))=1,"H","")))</f>
        <v/>
      </c>
      <c r="K45" s="28">
        <f>IF(B45="","",TRIM(IF(IF(OR($P45=0,$Q45=0),0,IF($P45&lt;=$Q45,IF(AND(9&gt;=$P45,9&lt;=$Q45),1,0),IF(OR(9&gt;=$P45,9&lt;=$Q45),1,0)))=1,"S ","")&amp;IF(IF(OR($R45=0,$S45=0),0,IF($R45&lt;=$S45,IF(AND(9&gt;=$R45,9&lt;=$S45),1,0),IF(OR(9&gt;=$R45,9&lt;=$S45),1,0)))=1,"P ","")&amp;IF(IF(OR($T45=0,$U45=0),0,IF($T45&lt;=$U45,IF(AND(9&gt;=$T45,9&lt;=$U45),1,0),IF(OR(9&gt;=$T45,9&lt;=$U45),1,0)))=1,"H","")))</f>
        <v/>
      </c>
      <c r="L45" s="28">
        <f>IF(B45="","",TRIM(IF(IF(OR($P45=0,$Q45=0),0,IF($P45&lt;=$Q45,IF(AND(10&gt;=$P45,10&lt;=$Q45),1,0),IF(OR(10&gt;=$P45,10&lt;=$Q45),1,0)))=1,"S ","")&amp;IF(IF(OR($R45=0,$S45=0),0,IF($R45&lt;=$S45,IF(AND(10&gt;=$R45,10&lt;=$S45),1,0),IF(OR(10&gt;=$R45,10&lt;=$S45),1,0)))=1,"P ","")&amp;IF(IF(OR($T45=0,$U45=0),0,IF($T45&lt;=$U45,IF(AND(10&gt;=$T45,10&lt;=$U45),1,0),IF(OR(10&gt;=$T45,10&lt;=$U45),1,0)))=1,"H","")))</f>
        <v/>
      </c>
      <c r="M45" s="28">
        <f>IF(B45="","",TRIM(IF(IF(OR($P45=0,$Q45=0),0,IF($P45&lt;=$Q45,IF(AND(11&gt;=$P45,11&lt;=$Q45),1,0),IF(OR(11&gt;=$P45,11&lt;=$Q45),1,0)))=1,"S ","")&amp;IF(IF(OR($R45=0,$S45=0),0,IF($R45&lt;=$S45,IF(AND(11&gt;=$R45,11&lt;=$S45),1,0),IF(OR(11&gt;=$R45,11&lt;=$S45),1,0)))=1,"P ","")&amp;IF(IF(OR($T45=0,$U45=0),0,IF($T45&lt;=$U45,IF(AND(11&gt;=$T45,11&lt;=$U45),1,0),IF(OR(11&gt;=$T45,11&lt;=$U45),1,0)))=1,"H","")))</f>
        <v/>
      </c>
      <c r="N45" s="28">
        <f>IF(B45="","",TRIM(IF(IF(OR($P45=0,$Q45=0),0,IF($P45&lt;=$Q45,IF(AND(12&gt;=$P45,12&lt;=$Q45),1,0),IF(OR(12&gt;=$P45,12&lt;=$Q45),1,0)))=1,"S ","")&amp;IF(IF(OR($R45=0,$S45=0),0,IF($R45&lt;=$S45,IF(AND(12&gt;=$R45,12&lt;=$S45),1,0),IF(OR(12&gt;=$R45,12&lt;=$S45),1,0)))=1,"P ","")&amp;IF(IF(OR($T45=0,$U45=0),0,IF($T45&lt;=$U45,IF(AND(12&gt;=$T45,12&lt;=$U45),1,0),IF(OR(12&gt;=$T45,12&lt;=$U45),1,0)))=1,"H","")))</f>
        <v/>
      </c>
      <c r="O45" s="1" t="n"/>
      <c r="P45">
        <f>N(INDEX(Crops!$R$6:$R$65,40))</f>
        <v/>
      </c>
      <c r="Q45">
        <f>N(INDEX(Crops!$S$6:$S$65,40))</f>
        <v/>
      </c>
      <c r="R45">
        <f>N(INDEX(Crops!$T$6:$T$65,40))</f>
        <v/>
      </c>
      <c r="S45">
        <f>N(INDEX(Crops!$U$6:$U$65,40))</f>
        <v/>
      </c>
      <c r="T45">
        <f>N(INDEX(Crops!$V$6:$V$65,40))</f>
        <v/>
      </c>
      <c r="U45">
        <f>N(INDEX(Crops!$W$6:$W$65,40))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29" t="inlineStr">
        <is>
          <t>S  sow</t>
        </is>
      </c>
      <c r="F47" s="30" t="inlineStr">
        <is>
          <t>P  plant out</t>
        </is>
      </c>
      <c r="I47" s="31" t="inlineStr">
        <is>
          <t>H  harvest</t>
        </is>
      </c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</sheetData>
  <mergeCells count="3">
    <mergeCell ref="I47:K47"/>
    <mergeCell ref="F47:H47"/>
    <mergeCell ref="C47:E47"/>
  </mergeCells>
  <conditionalFormatting sqref="C6:N45">
    <cfRule type="expression" priority="1" dxfId="2" stopIfTrue="1">
      <formula>ISNUMBER(FIND("H",C6))</formula>
    </cfRule>
    <cfRule type="expression" priority="2" dxfId="3" stopIfTrue="1">
      <formula>ISNUMBER(FIND("P",C6))</formula>
    </cfRule>
    <cfRule type="expression" priority="3" dxfId="4" stopIfTrue="1">
      <formula>ISNUMBER(FIND("S",C6))</formula>
    </cfRule>
  </conditionalFormatting>
  <conditionalFormatting sqref="C5:N5">
    <cfRule type="expression" priority="4" dxfId="5">
      <formula>COLUMN()-2=MONTH(TODAY())</formula>
    </cfRule>
  </conditionalFormatting>
  <pageMargins left="0.75" right="0.75" top="1" bottom="1" header="0.5" footer="0.5"/>
  <pageSetup orientation="portrait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30" customWidth="1" min="3" max="3"/>
    <col width="18" customWidth="1" min="4" max="4"/>
    <col width="12" customWidth="1" min="5" max="5"/>
    <col width="18" customWidth="1" min="6" max="6"/>
    <col hidden="1" width="13" customWidth="1" min="7" max="7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Costs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What the garden costs: seeds, plants, compost, tools and water.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8" t="inlineStr">
        <is>
          <t>Date</t>
        </is>
      </c>
      <c r="C5" s="8" t="inlineStr">
        <is>
          <t>What</t>
        </is>
      </c>
      <c r="D5" s="8" t="inlineStr">
        <is>
          <t>Kind</t>
        </is>
      </c>
      <c r="E5" s="8" t="inlineStr">
        <is>
          <t>Amount</t>
        </is>
      </c>
      <c r="F5" s="8" t="inlineStr">
        <is>
          <t>Check</t>
        </is>
      </c>
      <c r="G5" s="1" t="n"/>
    </row>
    <row r="6">
      <c r="A6" s="1" t="n"/>
      <c r="B6" s="17" t="n">
        <v>45708</v>
      </c>
      <c r="C6" s="21" t="inlineStr">
        <is>
          <t>Seed packets</t>
        </is>
      </c>
      <c r="D6" s="19" t="inlineStr">
        <is>
          <t>Seeds</t>
        </is>
      </c>
      <c r="E6" s="24" t="n">
        <v>24.5</v>
      </c>
      <c r="F6" s="11">
        <f>IF(AND(C6="",E6=""),"",IF(NOT(ISNUMBER(B6)),"Needs a date",IF(NOT(ISNUMBER(E6)),"Needs the amount","")))</f>
        <v/>
      </c>
      <c r="G6" s="1">
        <f>IF(ISNUMBER(B6),YEAR(B6),"")</f>
        <v/>
      </c>
      <c r="H6">
        <f>IF(ISNUMBER(B6),YEAR(B6)*100+MONTH(B6),"")</f>
        <v/>
      </c>
    </row>
    <row r="7">
      <c r="A7" s="1" t="n"/>
      <c r="B7" s="17" t="n">
        <v>45726</v>
      </c>
      <c r="C7" s="21" t="inlineStr">
        <is>
          <t>Compost, 6 bags</t>
        </is>
      </c>
      <c r="D7" s="19" t="inlineStr">
        <is>
          <t>Soil and compost</t>
        </is>
      </c>
      <c r="E7" s="24" t="n">
        <v>36</v>
      </c>
      <c r="F7" s="11">
        <f>IF(AND(C7="",E7=""),"",IF(NOT(ISNUMBER(B7)),"Needs a date",IF(NOT(ISNUMBER(E7)),"Needs the amount","")))</f>
        <v/>
      </c>
      <c r="G7" s="1">
        <f>IF(ISNUMBER(B7),YEAR(B7),"")</f>
        <v/>
      </c>
      <c r="H7">
        <f>IF(ISNUMBER(B7),YEAR(B7)*100+MONTH(B7),"")</f>
        <v/>
      </c>
    </row>
    <row r="8">
      <c r="A8" s="1" t="n"/>
      <c r="B8" s="17" t="n">
        <v>45736</v>
      </c>
      <c r="C8" s="21" t="inlineStr">
        <is>
          <t>Seed potatoes and onion sets</t>
        </is>
      </c>
      <c r="D8" s="19" t="inlineStr">
        <is>
          <t>Plants</t>
        </is>
      </c>
      <c r="E8" s="24" t="n">
        <v>14</v>
      </c>
      <c r="F8" s="11">
        <f>IF(AND(C8="",E8=""),"",IF(NOT(ISNUMBER(B8)),"Needs a date",IF(NOT(ISNUMBER(E8)),"Needs the amount","")))</f>
        <v/>
      </c>
      <c r="G8" s="1">
        <f>IF(ISNUMBER(B8),YEAR(B8),"")</f>
        <v/>
      </c>
      <c r="H8">
        <f>IF(ISNUMBER(B8),YEAR(B8)*100+MONTH(B8),"")</f>
        <v/>
      </c>
    </row>
    <row r="9">
      <c r="A9" s="1" t="n"/>
      <c r="B9" s="17" t="n">
        <v>45792</v>
      </c>
      <c r="C9" s="21" t="inlineStr">
        <is>
          <t>Tomato plants</t>
        </is>
      </c>
      <c r="D9" s="19" t="inlineStr">
        <is>
          <t>Plants</t>
        </is>
      </c>
      <c r="E9" s="24" t="n">
        <v>12</v>
      </c>
      <c r="F9" s="11">
        <f>IF(AND(C9="",E9=""),"",IF(NOT(ISNUMBER(B9)),"Needs a date",IF(NOT(ISNUMBER(E9)),"Needs the amount","")))</f>
        <v/>
      </c>
      <c r="G9" s="1">
        <f>IF(ISNUMBER(B9),YEAR(B9),"")</f>
        <v/>
      </c>
      <c r="H9">
        <f>IF(ISNUMBER(B9),YEAR(B9)*100+MONTH(B9),"")</f>
        <v/>
      </c>
    </row>
    <row r="10">
      <c r="A10" s="1" t="n"/>
      <c r="B10" s="17" t="n">
        <v>45809</v>
      </c>
      <c r="C10" s="21" t="inlineStr">
        <is>
          <t>Bean poles</t>
        </is>
      </c>
      <c r="D10" s="19" t="inlineStr">
        <is>
          <t>Tools</t>
        </is>
      </c>
      <c r="E10" s="24" t="n">
        <v>9.5</v>
      </c>
      <c r="F10" s="11">
        <f>IF(AND(C10="",E10=""),"",IF(NOT(ISNUMBER(B10)),"Needs a date",IF(NOT(ISNUMBER(E10)),"Needs the amount","")))</f>
        <v/>
      </c>
      <c r="G10" s="1">
        <f>IF(ISNUMBER(B10),YEAR(B10),"")</f>
        <v/>
      </c>
      <c r="H10">
        <f>IF(ISNUMBER(B10),YEAR(B10)*100+MONTH(B10),"")</f>
        <v/>
      </c>
    </row>
    <row r="11">
      <c r="A11" s="1" t="n"/>
      <c r="B11" s="17" t="n">
        <v>46067</v>
      </c>
      <c r="C11" s="21" t="inlineStr">
        <is>
          <t>Seed packets</t>
        </is>
      </c>
      <c r="D11" s="19" t="inlineStr">
        <is>
          <t>Seeds</t>
        </is>
      </c>
      <c r="E11" s="24" t="n">
        <v>31.2</v>
      </c>
      <c r="F11" s="11">
        <f>IF(AND(C11="",E11=""),"",IF(NOT(ISNUMBER(B11)),"Needs a date",IF(NOT(ISNUMBER(E11)),"Needs the amount","")))</f>
        <v/>
      </c>
      <c r="G11" s="1">
        <f>IF(ISNUMBER(B11),YEAR(B11),"")</f>
        <v/>
      </c>
      <c r="H11">
        <f>IF(ISNUMBER(B11),YEAR(B11)*100+MONTH(B11),"")</f>
        <v/>
      </c>
    </row>
    <row r="12">
      <c r="A12" s="1" t="n"/>
      <c r="B12" s="17" t="n">
        <v>46081</v>
      </c>
      <c r="C12" s="21" t="inlineStr">
        <is>
          <t>Seed trays and pots</t>
        </is>
      </c>
      <c r="D12" s="19" t="inlineStr">
        <is>
          <t>Tools</t>
        </is>
      </c>
      <c r="E12" s="24" t="n">
        <v>18.4</v>
      </c>
      <c r="F12" s="11">
        <f>IF(AND(C12="",E12=""),"",IF(NOT(ISNUMBER(B12)),"Needs a date",IF(NOT(ISNUMBER(E12)),"Needs the amount","")))</f>
        <v/>
      </c>
      <c r="G12" s="1">
        <f>IF(ISNUMBER(B12),YEAR(B12),"")</f>
        <v/>
      </c>
      <c r="H12">
        <f>IF(ISNUMBER(B12),YEAR(B12)*100+MONTH(B12),"")</f>
        <v/>
      </c>
    </row>
    <row r="13">
      <c r="A13" s="1" t="n"/>
      <c r="B13" s="17" t="n">
        <v>46088</v>
      </c>
      <c r="C13" s="21" t="inlineStr">
        <is>
          <t>Compost, 8 bags</t>
        </is>
      </c>
      <c r="D13" s="19" t="inlineStr">
        <is>
          <t>Soil and compost</t>
        </is>
      </c>
      <c r="E13" s="24" t="n">
        <v>48</v>
      </c>
      <c r="F13" s="11">
        <f>IF(AND(C13="",E13=""),"",IF(NOT(ISNUMBER(B13)),"Needs a date",IF(NOT(ISNUMBER(E13)),"Needs the amount","")))</f>
        <v/>
      </c>
      <c r="G13" s="1">
        <f>IF(ISNUMBER(B13),YEAR(B13),"")</f>
        <v/>
      </c>
      <c r="H13">
        <f>IF(ISNUMBER(B13),YEAR(B13)*100+MONTH(B13),"")</f>
        <v/>
      </c>
    </row>
    <row r="14">
      <c r="A14" s="1" t="n"/>
      <c r="B14" s="17" t="n">
        <v>46101</v>
      </c>
      <c r="C14" s="21" t="inlineStr">
        <is>
          <t>Seed potatoes and onion sets</t>
        </is>
      </c>
      <c r="D14" s="19" t="inlineStr">
        <is>
          <t>Plants</t>
        </is>
      </c>
      <c r="E14" s="24" t="n">
        <v>16.5</v>
      </c>
      <c r="F14" s="11">
        <f>IF(AND(C14="",E14=""),"",IF(NOT(ISNUMBER(B14)),"Needs a date",IF(NOT(ISNUMBER(E14)),"Needs the amount","")))</f>
        <v/>
      </c>
      <c r="G14" s="1">
        <f>IF(ISNUMBER(B14),YEAR(B14),"")</f>
        <v/>
      </c>
      <c r="H14">
        <f>IF(ISNUMBER(B14),YEAR(B14)*100+MONTH(B14),"")</f>
        <v/>
      </c>
    </row>
    <row r="15">
      <c r="A15" s="1" t="n"/>
      <c r="B15" s="17" t="n">
        <v>46142</v>
      </c>
      <c r="C15" s="21" t="inlineStr">
        <is>
          <t>Strawberry plants</t>
        </is>
      </c>
      <c r="D15" s="19" t="inlineStr">
        <is>
          <t>Plants</t>
        </is>
      </c>
      <c r="E15" s="24" t="n">
        <v>15</v>
      </c>
      <c r="F15" s="11">
        <f>IF(AND(C15="",E15=""),"",IF(NOT(ISNUMBER(B15)),"Needs a date",IF(NOT(ISNUMBER(E15)),"Needs the amount","")))</f>
        <v/>
      </c>
      <c r="G15" s="1">
        <f>IF(ISNUMBER(B15),YEAR(B15),"")</f>
        <v/>
      </c>
      <c r="H15">
        <f>IF(ISNUMBER(B15),YEAR(B15)*100+MONTH(B15),"")</f>
        <v/>
      </c>
    </row>
    <row r="16">
      <c r="A16" s="1" t="n"/>
      <c r="B16" s="17" t="n">
        <v>46154</v>
      </c>
      <c r="C16" s="21" t="inlineStr">
        <is>
          <t>Tomato feed</t>
        </is>
      </c>
      <c r="D16" s="19" t="inlineStr">
        <is>
          <t>Other</t>
        </is>
      </c>
      <c r="E16" s="24" t="n">
        <v>8.99</v>
      </c>
      <c r="F16" s="11">
        <f>IF(AND(C16="",E16=""),"",IF(NOT(ISNUMBER(B16)),"Needs a date",IF(NOT(ISNUMBER(E16)),"Needs the amount","")))</f>
        <v/>
      </c>
      <c r="G16" s="1">
        <f>IF(ISNUMBER(B16),YEAR(B16),"")</f>
        <v/>
      </c>
      <c r="H16">
        <f>IF(ISNUMBER(B16),YEAR(B16)*100+MONTH(B16),"")</f>
        <v/>
      </c>
    </row>
    <row r="17">
      <c r="A17" s="1" t="n"/>
      <c r="B17" s="17" t="n">
        <v>46162</v>
      </c>
      <c r="C17" s="21" t="inlineStr">
        <is>
          <t>Netting</t>
        </is>
      </c>
      <c r="D17" s="19" t="inlineStr">
        <is>
          <t>Tools</t>
        </is>
      </c>
      <c r="E17" s="24" t="n">
        <v>12</v>
      </c>
      <c r="F17" s="11">
        <f>IF(AND(C17="",E17=""),"",IF(NOT(ISNUMBER(B17)),"Needs a date",IF(NOT(ISNUMBER(E17)),"Needs the amount","")))</f>
        <v/>
      </c>
      <c r="G17" s="1">
        <f>IF(ISNUMBER(B17),YEAR(B17),"")</f>
        <v/>
      </c>
      <c r="H17">
        <f>IF(ISNUMBER(B17),YEAR(B17)*100+MONTH(B17),"")</f>
        <v/>
      </c>
    </row>
    <row r="18">
      <c r="A18" s="1" t="n"/>
      <c r="B18" s="17" t="n">
        <v>46204</v>
      </c>
      <c r="C18" s="21" t="inlineStr">
        <is>
          <t>Hose connector</t>
        </is>
      </c>
      <c r="D18" s="19" t="inlineStr">
        <is>
          <t>Tools</t>
        </is>
      </c>
      <c r="E18" s="24" t="n">
        <v>6.5</v>
      </c>
      <c r="F18" s="11">
        <f>IF(AND(C18="",E18=""),"",IF(NOT(ISNUMBER(B18)),"Needs a date",IF(NOT(ISNUMBER(E18)),"Needs the amount","")))</f>
        <v/>
      </c>
      <c r="G18" s="1">
        <f>IF(ISNUMBER(B18),YEAR(B18),"")</f>
        <v/>
      </c>
      <c r="H18">
        <f>IF(ISNUMBER(B18),YEAR(B18)*100+MONTH(B18),"")</f>
        <v/>
      </c>
    </row>
    <row r="19">
      <c r="A19" s="1" t="n"/>
      <c r="B19" s="17" t="n">
        <v>46237</v>
      </c>
      <c r="C19" s="21" t="inlineStr">
        <is>
          <t>Water bill, garden share</t>
        </is>
      </c>
      <c r="D19" s="19" t="inlineStr">
        <is>
          <t>Water</t>
        </is>
      </c>
      <c r="E19" s="24" t="n">
        <v>14</v>
      </c>
      <c r="F19" s="11">
        <f>IF(AND(C19="",E19=""),"",IF(NOT(ISNUMBER(B19)),"Needs a date",IF(NOT(ISNUMBER(E19)),"Needs the amount","")))</f>
        <v/>
      </c>
      <c r="G19" s="1">
        <f>IF(ISNUMBER(B19),YEAR(B19),"")</f>
        <v/>
      </c>
      <c r="H19">
        <f>IF(ISNUMBER(B19),YEAR(B19)*100+MONTH(B19),"")</f>
        <v/>
      </c>
    </row>
    <row r="20">
      <c r="A20" s="1" t="n"/>
      <c r="B20" s="17" t="n"/>
      <c r="C20" s="21" t="n"/>
      <c r="D20" s="19" t="n"/>
      <c r="E20" s="24" t="n"/>
      <c r="F20" s="11">
        <f>IF(AND(C20="",E20=""),"",IF(NOT(ISNUMBER(B20)),"Needs a date",IF(NOT(ISNUMBER(E20)),"Needs the amount","")))</f>
        <v/>
      </c>
      <c r="G20" s="1">
        <f>IF(ISNUMBER(B20),YEAR(B20),"")</f>
        <v/>
      </c>
      <c r="H20">
        <f>IF(ISNUMBER(B20),YEAR(B20)*100+MONTH(B20),"")</f>
        <v/>
      </c>
    </row>
    <row r="21">
      <c r="A21" s="1" t="n"/>
      <c r="B21" s="17" t="n"/>
      <c r="C21" s="21" t="n"/>
      <c r="D21" s="19" t="n"/>
      <c r="E21" s="24" t="n"/>
      <c r="F21" s="11">
        <f>IF(AND(C21="",E21=""),"",IF(NOT(ISNUMBER(B21)),"Needs a date",IF(NOT(ISNUMBER(E21)),"Needs the amount","")))</f>
        <v/>
      </c>
      <c r="G21" s="1">
        <f>IF(ISNUMBER(B21),YEAR(B21),"")</f>
        <v/>
      </c>
      <c r="H21">
        <f>IF(ISNUMBER(B21),YEAR(B21)*100+MONTH(B21),"")</f>
        <v/>
      </c>
    </row>
    <row r="22">
      <c r="A22" s="1" t="n"/>
      <c r="B22" s="17" t="n"/>
      <c r="C22" s="21" t="n"/>
      <c r="D22" s="19" t="n"/>
      <c r="E22" s="24" t="n"/>
      <c r="F22" s="11">
        <f>IF(AND(C22="",E22=""),"",IF(NOT(ISNUMBER(B22)),"Needs a date",IF(NOT(ISNUMBER(E22)),"Needs the amount","")))</f>
        <v/>
      </c>
      <c r="G22" s="1">
        <f>IF(ISNUMBER(B22),YEAR(B22),"")</f>
        <v/>
      </c>
      <c r="H22">
        <f>IF(ISNUMBER(B22),YEAR(B22)*100+MONTH(B22),"")</f>
        <v/>
      </c>
    </row>
    <row r="23">
      <c r="A23" s="1" t="n"/>
      <c r="B23" s="17" t="n"/>
      <c r="C23" s="21" t="n"/>
      <c r="D23" s="19" t="n"/>
      <c r="E23" s="24" t="n"/>
      <c r="F23" s="11">
        <f>IF(AND(C23="",E23=""),"",IF(NOT(ISNUMBER(B23)),"Needs a date",IF(NOT(ISNUMBER(E23)),"Needs the amount","")))</f>
        <v/>
      </c>
      <c r="G23" s="1">
        <f>IF(ISNUMBER(B23),YEAR(B23),"")</f>
        <v/>
      </c>
      <c r="H23">
        <f>IF(ISNUMBER(B23),YEAR(B23)*100+MONTH(B23),"")</f>
        <v/>
      </c>
    </row>
    <row r="24">
      <c r="A24" s="1" t="n"/>
      <c r="B24" s="17" t="n"/>
      <c r="C24" s="21" t="n"/>
      <c r="D24" s="19" t="n"/>
      <c r="E24" s="24" t="n"/>
      <c r="F24" s="11">
        <f>IF(AND(C24="",E24=""),"",IF(NOT(ISNUMBER(B24)),"Needs a date",IF(NOT(ISNUMBER(E24)),"Needs the amount","")))</f>
        <v/>
      </c>
      <c r="G24" s="1">
        <f>IF(ISNUMBER(B24),YEAR(B24),"")</f>
        <v/>
      </c>
      <c r="H24">
        <f>IF(ISNUMBER(B24),YEAR(B24)*100+MONTH(B24),"")</f>
        <v/>
      </c>
    </row>
    <row r="25">
      <c r="A25" s="1" t="n"/>
      <c r="B25" s="17" t="n"/>
      <c r="C25" s="21" t="n"/>
      <c r="D25" s="19" t="n"/>
      <c r="E25" s="24" t="n"/>
      <c r="F25" s="11">
        <f>IF(AND(C25="",E25=""),"",IF(NOT(ISNUMBER(B25)),"Needs a date",IF(NOT(ISNUMBER(E25)),"Needs the amount","")))</f>
        <v/>
      </c>
      <c r="G25" s="1">
        <f>IF(ISNUMBER(B25),YEAR(B25),"")</f>
        <v/>
      </c>
      <c r="H25">
        <f>IF(ISNUMBER(B25),YEAR(B25)*100+MONTH(B25),"")</f>
        <v/>
      </c>
    </row>
    <row r="26">
      <c r="A26" s="1" t="n"/>
      <c r="B26" s="17" t="n"/>
      <c r="C26" s="21" t="n"/>
      <c r="D26" s="19" t="n"/>
      <c r="E26" s="24" t="n"/>
      <c r="F26" s="11">
        <f>IF(AND(C26="",E26=""),"",IF(NOT(ISNUMBER(B26)),"Needs a date",IF(NOT(ISNUMBER(E26)),"Needs the amount","")))</f>
        <v/>
      </c>
      <c r="G26" s="1">
        <f>IF(ISNUMBER(B26),YEAR(B26),"")</f>
        <v/>
      </c>
      <c r="H26">
        <f>IF(ISNUMBER(B26),YEAR(B26)*100+MONTH(B26),"")</f>
        <v/>
      </c>
    </row>
    <row r="27">
      <c r="A27" s="1" t="n"/>
      <c r="B27" s="17" t="n"/>
      <c r="C27" s="21" t="n"/>
      <c r="D27" s="19" t="n"/>
      <c r="E27" s="24" t="n"/>
      <c r="F27" s="11">
        <f>IF(AND(C27="",E27=""),"",IF(NOT(ISNUMBER(B27)),"Needs a date",IF(NOT(ISNUMBER(E27)),"Needs the amount","")))</f>
        <v/>
      </c>
      <c r="G27" s="1">
        <f>IF(ISNUMBER(B27),YEAR(B27),"")</f>
        <v/>
      </c>
      <c r="H27">
        <f>IF(ISNUMBER(B27),YEAR(B27)*100+MONTH(B27),"")</f>
        <v/>
      </c>
    </row>
    <row r="28">
      <c r="A28" s="1" t="n"/>
      <c r="B28" s="17" t="n"/>
      <c r="C28" s="21" t="n"/>
      <c r="D28" s="19" t="n"/>
      <c r="E28" s="24" t="n"/>
      <c r="F28" s="11">
        <f>IF(AND(C28="",E28=""),"",IF(NOT(ISNUMBER(B28)),"Needs a date",IF(NOT(ISNUMBER(E28)),"Needs the amount","")))</f>
        <v/>
      </c>
      <c r="G28" s="1">
        <f>IF(ISNUMBER(B28),YEAR(B28),"")</f>
        <v/>
      </c>
      <c r="H28">
        <f>IF(ISNUMBER(B28),YEAR(B28)*100+MONTH(B28),"")</f>
        <v/>
      </c>
    </row>
    <row r="29">
      <c r="A29" s="1" t="n"/>
      <c r="B29" s="17" t="n"/>
      <c r="C29" s="21" t="n"/>
      <c r="D29" s="19" t="n"/>
      <c r="E29" s="24" t="n"/>
      <c r="F29" s="11">
        <f>IF(AND(C29="",E29=""),"",IF(NOT(ISNUMBER(B29)),"Needs a date",IF(NOT(ISNUMBER(E29)),"Needs the amount","")))</f>
        <v/>
      </c>
      <c r="G29" s="1">
        <f>IF(ISNUMBER(B29),YEAR(B29),"")</f>
        <v/>
      </c>
      <c r="H29">
        <f>IF(ISNUMBER(B29),YEAR(B29)*100+MONTH(B29),"")</f>
        <v/>
      </c>
    </row>
    <row r="30">
      <c r="A30" s="1" t="n"/>
      <c r="B30" s="17" t="n"/>
      <c r="C30" s="21" t="n"/>
      <c r="D30" s="19" t="n"/>
      <c r="E30" s="24" t="n"/>
      <c r="F30" s="11">
        <f>IF(AND(C30="",E30=""),"",IF(NOT(ISNUMBER(B30)),"Needs a date",IF(NOT(ISNUMBER(E30)),"Needs the amount","")))</f>
        <v/>
      </c>
      <c r="G30" s="1">
        <f>IF(ISNUMBER(B30),YEAR(B30),"")</f>
        <v/>
      </c>
      <c r="H30">
        <f>IF(ISNUMBER(B30),YEAR(B30)*100+MONTH(B30),"")</f>
        <v/>
      </c>
    </row>
    <row r="31">
      <c r="A31" s="1" t="n"/>
      <c r="B31" s="17" t="n"/>
      <c r="C31" s="21" t="n"/>
      <c r="D31" s="19" t="n"/>
      <c r="E31" s="24" t="n"/>
      <c r="F31" s="11">
        <f>IF(AND(C31="",E31=""),"",IF(NOT(ISNUMBER(B31)),"Needs a date",IF(NOT(ISNUMBER(E31)),"Needs the amount","")))</f>
        <v/>
      </c>
      <c r="G31" s="1">
        <f>IF(ISNUMBER(B31),YEAR(B31),"")</f>
        <v/>
      </c>
      <c r="H31">
        <f>IF(ISNUMBER(B31),YEAR(B31)*100+MONTH(B31),"")</f>
        <v/>
      </c>
    </row>
    <row r="32">
      <c r="A32" s="1" t="n"/>
      <c r="B32" s="17" t="n"/>
      <c r="C32" s="21" t="n"/>
      <c r="D32" s="19" t="n"/>
      <c r="E32" s="24" t="n"/>
      <c r="F32" s="11">
        <f>IF(AND(C32="",E32=""),"",IF(NOT(ISNUMBER(B32)),"Needs a date",IF(NOT(ISNUMBER(E32)),"Needs the amount","")))</f>
        <v/>
      </c>
      <c r="G32" s="1">
        <f>IF(ISNUMBER(B32),YEAR(B32),"")</f>
        <v/>
      </c>
      <c r="H32">
        <f>IF(ISNUMBER(B32),YEAR(B32)*100+MONTH(B32),"")</f>
        <v/>
      </c>
    </row>
    <row r="33">
      <c r="A33" s="1" t="n"/>
      <c r="B33" s="17" t="n"/>
      <c r="C33" s="21" t="n"/>
      <c r="D33" s="19" t="n"/>
      <c r="E33" s="24" t="n"/>
      <c r="F33" s="11">
        <f>IF(AND(C33="",E33=""),"",IF(NOT(ISNUMBER(B33)),"Needs a date",IF(NOT(ISNUMBER(E33)),"Needs the amount","")))</f>
        <v/>
      </c>
      <c r="G33" s="1">
        <f>IF(ISNUMBER(B33),YEAR(B33),"")</f>
        <v/>
      </c>
      <c r="H33">
        <f>IF(ISNUMBER(B33),YEAR(B33)*100+MONTH(B33),"")</f>
        <v/>
      </c>
    </row>
    <row r="34">
      <c r="A34" s="1" t="n"/>
      <c r="B34" s="17" t="n"/>
      <c r="C34" s="21" t="n"/>
      <c r="D34" s="19" t="n"/>
      <c r="E34" s="24" t="n"/>
      <c r="F34" s="11">
        <f>IF(AND(C34="",E34=""),"",IF(NOT(ISNUMBER(B34)),"Needs a date",IF(NOT(ISNUMBER(E34)),"Needs the amount","")))</f>
        <v/>
      </c>
      <c r="G34" s="1">
        <f>IF(ISNUMBER(B34),YEAR(B34),"")</f>
        <v/>
      </c>
      <c r="H34">
        <f>IF(ISNUMBER(B34),YEAR(B34)*100+MONTH(B34),"")</f>
        <v/>
      </c>
    </row>
    <row r="35">
      <c r="A35" s="1" t="n"/>
      <c r="B35" s="17" t="n"/>
      <c r="C35" s="21" t="n"/>
      <c r="D35" s="19" t="n"/>
      <c r="E35" s="24" t="n"/>
      <c r="F35" s="11">
        <f>IF(AND(C35="",E35=""),"",IF(NOT(ISNUMBER(B35)),"Needs a date",IF(NOT(ISNUMBER(E35)),"Needs the amount","")))</f>
        <v/>
      </c>
      <c r="G35" s="1">
        <f>IF(ISNUMBER(B35),YEAR(B35),"")</f>
        <v/>
      </c>
      <c r="H35">
        <f>IF(ISNUMBER(B35),YEAR(B35)*100+MONTH(B35),"")</f>
        <v/>
      </c>
    </row>
    <row r="36">
      <c r="A36" s="1" t="n"/>
      <c r="B36" s="17" t="n"/>
      <c r="C36" s="21" t="n"/>
      <c r="D36" s="19" t="n"/>
      <c r="E36" s="24" t="n"/>
      <c r="F36" s="11">
        <f>IF(AND(C36="",E36=""),"",IF(NOT(ISNUMBER(B36)),"Needs a date",IF(NOT(ISNUMBER(E36)),"Needs the amount","")))</f>
        <v/>
      </c>
      <c r="G36" s="1">
        <f>IF(ISNUMBER(B36),YEAR(B36),"")</f>
        <v/>
      </c>
      <c r="H36">
        <f>IF(ISNUMBER(B36),YEAR(B36)*100+MONTH(B36),"")</f>
        <v/>
      </c>
    </row>
    <row r="37">
      <c r="A37" s="1" t="n"/>
      <c r="B37" s="17" t="n"/>
      <c r="C37" s="21" t="n"/>
      <c r="D37" s="19" t="n"/>
      <c r="E37" s="24" t="n"/>
      <c r="F37" s="11">
        <f>IF(AND(C37="",E37=""),"",IF(NOT(ISNUMBER(B37)),"Needs a date",IF(NOT(ISNUMBER(E37)),"Needs the amount","")))</f>
        <v/>
      </c>
      <c r="G37" s="1">
        <f>IF(ISNUMBER(B37),YEAR(B37),"")</f>
        <v/>
      </c>
      <c r="H37">
        <f>IF(ISNUMBER(B37),YEAR(B37)*100+MONTH(B37),"")</f>
        <v/>
      </c>
    </row>
    <row r="38">
      <c r="A38" s="1" t="n"/>
      <c r="B38" s="17" t="n"/>
      <c r="C38" s="21" t="n"/>
      <c r="D38" s="19" t="n"/>
      <c r="E38" s="24" t="n"/>
      <c r="F38" s="11">
        <f>IF(AND(C38="",E38=""),"",IF(NOT(ISNUMBER(B38)),"Needs a date",IF(NOT(ISNUMBER(E38)),"Needs the amount","")))</f>
        <v/>
      </c>
      <c r="G38" s="1">
        <f>IF(ISNUMBER(B38),YEAR(B38),"")</f>
        <v/>
      </c>
      <c r="H38">
        <f>IF(ISNUMBER(B38),YEAR(B38)*100+MONTH(B38),"")</f>
        <v/>
      </c>
    </row>
    <row r="39">
      <c r="A39" s="1" t="n"/>
      <c r="B39" s="17" t="n"/>
      <c r="C39" s="21" t="n"/>
      <c r="D39" s="19" t="n"/>
      <c r="E39" s="24" t="n"/>
      <c r="F39" s="11">
        <f>IF(AND(C39="",E39=""),"",IF(NOT(ISNUMBER(B39)),"Needs a date",IF(NOT(ISNUMBER(E39)),"Needs the amount","")))</f>
        <v/>
      </c>
      <c r="G39" s="1">
        <f>IF(ISNUMBER(B39),YEAR(B39),"")</f>
        <v/>
      </c>
      <c r="H39">
        <f>IF(ISNUMBER(B39),YEAR(B39)*100+MONTH(B39),"")</f>
        <v/>
      </c>
    </row>
    <row r="40">
      <c r="A40" s="1" t="n"/>
      <c r="B40" s="17" t="n"/>
      <c r="C40" s="21" t="n"/>
      <c r="D40" s="19" t="n"/>
      <c r="E40" s="24" t="n"/>
      <c r="F40" s="11">
        <f>IF(AND(C40="",E40=""),"",IF(NOT(ISNUMBER(B40)),"Needs a date",IF(NOT(ISNUMBER(E40)),"Needs the amount","")))</f>
        <v/>
      </c>
      <c r="G40" s="1">
        <f>IF(ISNUMBER(B40),YEAR(B40),"")</f>
        <v/>
      </c>
      <c r="H40">
        <f>IF(ISNUMBER(B40),YEAR(B40)*100+MONTH(B40),"")</f>
        <v/>
      </c>
    </row>
    <row r="41">
      <c r="A41" s="1" t="n"/>
      <c r="B41" s="17" t="n"/>
      <c r="C41" s="21" t="n"/>
      <c r="D41" s="19" t="n"/>
      <c r="E41" s="24" t="n"/>
      <c r="F41" s="11">
        <f>IF(AND(C41="",E41=""),"",IF(NOT(ISNUMBER(B41)),"Needs a date",IF(NOT(ISNUMBER(E41)),"Needs the amount","")))</f>
        <v/>
      </c>
      <c r="G41" s="1">
        <f>IF(ISNUMBER(B41),YEAR(B41),"")</f>
        <v/>
      </c>
      <c r="H41">
        <f>IF(ISNUMBER(B41),YEAR(B41)*100+MONTH(B41),"")</f>
        <v/>
      </c>
    </row>
    <row r="42">
      <c r="A42" s="1" t="n"/>
      <c r="B42" s="17" t="n"/>
      <c r="C42" s="21" t="n"/>
      <c r="D42" s="19" t="n"/>
      <c r="E42" s="24" t="n"/>
      <c r="F42" s="11">
        <f>IF(AND(C42="",E42=""),"",IF(NOT(ISNUMBER(B42)),"Needs a date",IF(NOT(ISNUMBER(E42)),"Needs the amount","")))</f>
        <v/>
      </c>
      <c r="G42" s="1">
        <f>IF(ISNUMBER(B42),YEAR(B42),"")</f>
        <v/>
      </c>
      <c r="H42">
        <f>IF(ISNUMBER(B42),YEAR(B42)*100+MONTH(B42),"")</f>
        <v/>
      </c>
    </row>
    <row r="43">
      <c r="A43" s="1" t="n"/>
      <c r="B43" s="17" t="n"/>
      <c r="C43" s="21" t="n"/>
      <c r="D43" s="19" t="n"/>
      <c r="E43" s="24" t="n"/>
      <c r="F43" s="11">
        <f>IF(AND(C43="",E43=""),"",IF(NOT(ISNUMBER(B43)),"Needs a date",IF(NOT(ISNUMBER(E43)),"Needs the amount","")))</f>
        <v/>
      </c>
      <c r="G43" s="1">
        <f>IF(ISNUMBER(B43),YEAR(B43),"")</f>
        <v/>
      </c>
      <c r="H43">
        <f>IF(ISNUMBER(B43),YEAR(B43)*100+MONTH(B43),"")</f>
        <v/>
      </c>
    </row>
    <row r="44">
      <c r="A44" s="1" t="n"/>
      <c r="B44" s="17" t="n"/>
      <c r="C44" s="21" t="n"/>
      <c r="D44" s="19" t="n"/>
      <c r="E44" s="24" t="n"/>
      <c r="F44" s="11">
        <f>IF(AND(C44="",E44=""),"",IF(NOT(ISNUMBER(B44)),"Needs a date",IF(NOT(ISNUMBER(E44)),"Needs the amount","")))</f>
        <v/>
      </c>
      <c r="G44" s="1">
        <f>IF(ISNUMBER(B44),YEAR(B44),"")</f>
        <v/>
      </c>
      <c r="H44">
        <f>IF(ISNUMBER(B44),YEAR(B44)*100+MONTH(B44),"")</f>
        <v/>
      </c>
    </row>
    <row r="45">
      <c r="A45" s="1" t="n"/>
      <c r="B45" s="17" t="n"/>
      <c r="C45" s="21" t="n"/>
      <c r="D45" s="19" t="n"/>
      <c r="E45" s="24" t="n"/>
      <c r="F45" s="11">
        <f>IF(AND(C45="",E45=""),"",IF(NOT(ISNUMBER(B45)),"Needs a date",IF(NOT(ISNUMBER(E45)),"Needs the amount","")))</f>
        <v/>
      </c>
      <c r="G45" s="1">
        <f>IF(ISNUMBER(B45),YEAR(B45),"")</f>
        <v/>
      </c>
      <c r="H45">
        <f>IF(ISNUMBER(B45),YEAR(B45)*100+MONTH(B45),"")</f>
        <v/>
      </c>
    </row>
    <row r="46">
      <c r="A46" s="1" t="n"/>
      <c r="B46" s="17" t="n"/>
      <c r="C46" s="21" t="n"/>
      <c r="D46" s="19" t="n"/>
      <c r="E46" s="24" t="n"/>
      <c r="F46" s="11">
        <f>IF(AND(C46="",E46=""),"",IF(NOT(ISNUMBER(B46)),"Needs a date",IF(NOT(ISNUMBER(E46)),"Needs the amount","")))</f>
        <v/>
      </c>
      <c r="G46" s="1">
        <f>IF(ISNUMBER(B46),YEAR(B46),"")</f>
        <v/>
      </c>
      <c r="H46">
        <f>IF(ISNUMBER(B46),YEAR(B46)*100+MONTH(B46),"")</f>
        <v/>
      </c>
    </row>
    <row r="47">
      <c r="A47" s="1" t="n"/>
      <c r="B47" s="17" t="n"/>
      <c r="C47" s="21" t="n"/>
      <c r="D47" s="19" t="n"/>
      <c r="E47" s="24" t="n"/>
      <c r="F47" s="11">
        <f>IF(AND(C47="",E47=""),"",IF(NOT(ISNUMBER(B47)),"Needs a date",IF(NOT(ISNUMBER(E47)),"Needs the amount","")))</f>
        <v/>
      </c>
      <c r="G47" s="1">
        <f>IF(ISNUMBER(B47),YEAR(B47),"")</f>
        <v/>
      </c>
      <c r="H47">
        <f>IF(ISNUMBER(B47),YEAR(B47)*100+MONTH(B47),"")</f>
        <v/>
      </c>
    </row>
    <row r="48">
      <c r="A48" s="1" t="n"/>
      <c r="B48" s="17" t="n"/>
      <c r="C48" s="21" t="n"/>
      <c r="D48" s="19" t="n"/>
      <c r="E48" s="24" t="n"/>
      <c r="F48" s="11">
        <f>IF(AND(C48="",E48=""),"",IF(NOT(ISNUMBER(B48)),"Needs a date",IF(NOT(ISNUMBER(E48)),"Needs the amount","")))</f>
        <v/>
      </c>
      <c r="G48" s="1">
        <f>IF(ISNUMBER(B48),YEAR(B48),"")</f>
        <v/>
      </c>
      <c r="H48">
        <f>IF(ISNUMBER(B48),YEAR(B48)*100+MONTH(B48),"")</f>
        <v/>
      </c>
    </row>
    <row r="49">
      <c r="A49" s="1" t="n"/>
      <c r="B49" s="17" t="n"/>
      <c r="C49" s="21" t="n"/>
      <c r="D49" s="19" t="n"/>
      <c r="E49" s="24" t="n"/>
      <c r="F49" s="11">
        <f>IF(AND(C49="",E49=""),"",IF(NOT(ISNUMBER(B49)),"Needs a date",IF(NOT(ISNUMBER(E49)),"Needs the amount","")))</f>
        <v/>
      </c>
      <c r="G49" s="1">
        <f>IF(ISNUMBER(B49),YEAR(B49),"")</f>
        <v/>
      </c>
      <c r="H49">
        <f>IF(ISNUMBER(B49),YEAR(B49)*100+MONTH(B49),"")</f>
        <v/>
      </c>
    </row>
    <row r="50">
      <c r="A50" s="1" t="n"/>
      <c r="B50" s="17" t="n"/>
      <c r="C50" s="21" t="n"/>
      <c r="D50" s="19" t="n"/>
      <c r="E50" s="24" t="n"/>
      <c r="F50" s="11">
        <f>IF(AND(C50="",E50=""),"",IF(NOT(ISNUMBER(B50)),"Needs a date",IF(NOT(ISNUMBER(E50)),"Needs the amount","")))</f>
        <v/>
      </c>
      <c r="G50" s="1">
        <f>IF(ISNUMBER(B50),YEAR(B50),"")</f>
        <v/>
      </c>
      <c r="H50">
        <f>IF(ISNUMBER(B50),YEAR(B50)*100+MONTH(B50),"")</f>
        <v/>
      </c>
    </row>
    <row r="51">
      <c r="A51" s="1" t="n"/>
      <c r="B51" s="17" t="n"/>
      <c r="C51" s="21" t="n"/>
      <c r="D51" s="19" t="n"/>
      <c r="E51" s="24" t="n"/>
      <c r="F51" s="11">
        <f>IF(AND(C51="",E51=""),"",IF(NOT(ISNUMBER(B51)),"Needs a date",IF(NOT(ISNUMBER(E51)),"Needs the amount","")))</f>
        <v/>
      </c>
      <c r="G51" s="1">
        <f>IF(ISNUMBER(B51),YEAR(B51),"")</f>
        <v/>
      </c>
      <c r="H51">
        <f>IF(ISNUMBER(B51),YEAR(B51)*100+MONTH(B51),"")</f>
        <v/>
      </c>
    </row>
    <row r="52">
      <c r="A52" s="1" t="n"/>
      <c r="B52" s="17" t="n"/>
      <c r="C52" s="21" t="n"/>
      <c r="D52" s="19" t="n"/>
      <c r="E52" s="24" t="n"/>
      <c r="F52" s="11">
        <f>IF(AND(C52="",E52=""),"",IF(NOT(ISNUMBER(B52)),"Needs a date",IF(NOT(ISNUMBER(E52)),"Needs the amount","")))</f>
        <v/>
      </c>
      <c r="G52" s="1">
        <f>IF(ISNUMBER(B52),YEAR(B52),"")</f>
        <v/>
      </c>
      <c r="H52">
        <f>IF(ISNUMBER(B52),YEAR(B52)*100+MONTH(B52),"")</f>
        <v/>
      </c>
    </row>
    <row r="53">
      <c r="A53" s="1" t="n"/>
      <c r="B53" s="17" t="n"/>
      <c r="C53" s="21" t="n"/>
      <c r="D53" s="19" t="n"/>
      <c r="E53" s="24" t="n"/>
      <c r="F53" s="11">
        <f>IF(AND(C53="",E53=""),"",IF(NOT(ISNUMBER(B53)),"Needs a date",IF(NOT(ISNUMBER(E53)),"Needs the amount","")))</f>
        <v/>
      </c>
      <c r="G53" s="1">
        <f>IF(ISNUMBER(B53),YEAR(B53),"")</f>
        <v/>
      </c>
      <c r="H53">
        <f>IF(ISNUMBER(B53),YEAR(B53)*100+MONTH(B53),"")</f>
        <v/>
      </c>
    </row>
    <row r="54">
      <c r="A54" s="1" t="n"/>
      <c r="B54" s="17" t="n"/>
      <c r="C54" s="21" t="n"/>
      <c r="D54" s="19" t="n"/>
      <c r="E54" s="24" t="n"/>
      <c r="F54" s="11">
        <f>IF(AND(C54="",E54=""),"",IF(NOT(ISNUMBER(B54)),"Needs a date",IF(NOT(ISNUMBER(E54)),"Needs the amount","")))</f>
        <v/>
      </c>
      <c r="G54" s="1">
        <f>IF(ISNUMBER(B54),YEAR(B54),"")</f>
        <v/>
      </c>
      <c r="H54">
        <f>IF(ISNUMBER(B54),YEAR(B54)*100+MONTH(B54),"")</f>
        <v/>
      </c>
    </row>
    <row r="55">
      <c r="A55" s="1" t="n"/>
      <c r="B55" s="17" t="n"/>
      <c r="C55" s="21" t="n"/>
      <c r="D55" s="19" t="n"/>
      <c r="E55" s="24" t="n"/>
      <c r="F55" s="11">
        <f>IF(AND(C55="",E55=""),"",IF(NOT(ISNUMBER(B55)),"Needs a date",IF(NOT(ISNUMBER(E55)),"Needs the amount","")))</f>
        <v/>
      </c>
      <c r="G55" s="1">
        <f>IF(ISNUMBER(B55),YEAR(B55),"")</f>
        <v/>
      </c>
      <c r="H55">
        <f>IF(ISNUMBER(B55),YEAR(B55)*100+MONTH(B55),"")</f>
        <v/>
      </c>
    </row>
    <row r="56">
      <c r="A56" s="1" t="n"/>
      <c r="B56" s="17" t="n"/>
      <c r="C56" s="21" t="n"/>
      <c r="D56" s="19" t="n"/>
      <c r="E56" s="24" t="n"/>
      <c r="F56" s="11">
        <f>IF(AND(C56="",E56=""),"",IF(NOT(ISNUMBER(B56)),"Needs a date",IF(NOT(ISNUMBER(E56)),"Needs the amount","")))</f>
        <v/>
      </c>
      <c r="G56" s="1">
        <f>IF(ISNUMBER(B56),YEAR(B56),"")</f>
        <v/>
      </c>
      <c r="H56">
        <f>IF(ISNUMBER(B56),YEAR(B56)*100+MONTH(B56),"")</f>
        <v/>
      </c>
    </row>
    <row r="57">
      <c r="A57" s="1" t="n"/>
      <c r="B57" s="17" t="n"/>
      <c r="C57" s="21" t="n"/>
      <c r="D57" s="19" t="n"/>
      <c r="E57" s="24" t="n"/>
      <c r="F57" s="11">
        <f>IF(AND(C57="",E57=""),"",IF(NOT(ISNUMBER(B57)),"Needs a date",IF(NOT(ISNUMBER(E57)),"Needs the amount","")))</f>
        <v/>
      </c>
      <c r="G57" s="1">
        <f>IF(ISNUMBER(B57),YEAR(B57),"")</f>
        <v/>
      </c>
      <c r="H57">
        <f>IF(ISNUMBER(B57),YEAR(B57)*100+MONTH(B57),"")</f>
        <v/>
      </c>
    </row>
    <row r="58">
      <c r="A58" s="1" t="n"/>
      <c r="B58" s="17" t="n"/>
      <c r="C58" s="21" t="n"/>
      <c r="D58" s="19" t="n"/>
      <c r="E58" s="24" t="n"/>
      <c r="F58" s="11">
        <f>IF(AND(C58="",E58=""),"",IF(NOT(ISNUMBER(B58)),"Needs a date",IF(NOT(ISNUMBER(E58)),"Needs the amount","")))</f>
        <v/>
      </c>
      <c r="G58" s="1">
        <f>IF(ISNUMBER(B58),YEAR(B58),"")</f>
        <v/>
      </c>
      <c r="H58">
        <f>IF(ISNUMBER(B58),YEAR(B58)*100+MONTH(B58),"")</f>
        <v/>
      </c>
    </row>
    <row r="59">
      <c r="A59" s="1" t="n"/>
      <c r="B59" s="17" t="n"/>
      <c r="C59" s="21" t="n"/>
      <c r="D59" s="19" t="n"/>
      <c r="E59" s="24" t="n"/>
      <c r="F59" s="11">
        <f>IF(AND(C59="",E59=""),"",IF(NOT(ISNUMBER(B59)),"Needs a date",IF(NOT(ISNUMBER(E59)),"Needs the amount","")))</f>
        <v/>
      </c>
      <c r="G59" s="1">
        <f>IF(ISNUMBER(B59),YEAR(B59),"")</f>
        <v/>
      </c>
      <c r="H59">
        <f>IF(ISNUMBER(B59),YEAR(B59)*100+MONTH(B59),"")</f>
        <v/>
      </c>
    </row>
    <row r="60">
      <c r="A60" s="1" t="n"/>
      <c r="B60" s="17" t="n"/>
      <c r="C60" s="21" t="n"/>
      <c r="D60" s="19" t="n"/>
      <c r="E60" s="24" t="n"/>
      <c r="F60" s="11">
        <f>IF(AND(C60="",E60=""),"",IF(NOT(ISNUMBER(B60)),"Needs a date",IF(NOT(ISNUMBER(E60)),"Needs the amount","")))</f>
        <v/>
      </c>
      <c r="G60" s="1">
        <f>IF(ISNUMBER(B60),YEAR(B60),"")</f>
        <v/>
      </c>
      <c r="H60">
        <f>IF(ISNUMBER(B60),YEAR(B60)*100+MONTH(B60),"")</f>
        <v/>
      </c>
    </row>
    <row r="61">
      <c r="A61" s="1" t="n"/>
      <c r="B61" s="17" t="n"/>
      <c r="C61" s="21" t="n"/>
      <c r="D61" s="19" t="n"/>
      <c r="E61" s="24" t="n"/>
      <c r="F61" s="11">
        <f>IF(AND(C61="",E61=""),"",IF(NOT(ISNUMBER(B61)),"Needs a date",IF(NOT(ISNUMBER(E61)),"Needs the amount","")))</f>
        <v/>
      </c>
      <c r="G61" s="1">
        <f>IF(ISNUMBER(B61),YEAR(B61),"")</f>
        <v/>
      </c>
      <c r="H61">
        <f>IF(ISNUMBER(B61),YEAR(B61)*100+MONTH(B61),"")</f>
        <v/>
      </c>
    </row>
    <row r="62">
      <c r="A62" s="1" t="n"/>
      <c r="B62" s="17" t="n"/>
      <c r="C62" s="21" t="n"/>
      <c r="D62" s="19" t="n"/>
      <c r="E62" s="24" t="n"/>
      <c r="F62" s="11">
        <f>IF(AND(C62="",E62=""),"",IF(NOT(ISNUMBER(B62)),"Needs a date",IF(NOT(ISNUMBER(E62)),"Needs the amount","")))</f>
        <v/>
      </c>
      <c r="G62" s="1">
        <f>IF(ISNUMBER(B62),YEAR(B62),"")</f>
        <v/>
      </c>
      <c r="H62">
        <f>IF(ISNUMBER(B62),YEAR(B62)*100+MONTH(B62),"")</f>
        <v/>
      </c>
    </row>
    <row r="63">
      <c r="A63" s="1" t="n"/>
      <c r="B63" s="17" t="n"/>
      <c r="C63" s="21" t="n"/>
      <c r="D63" s="19" t="n"/>
      <c r="E63" s="24" t="n"/>
      <c r="F63" s="11">
        <f>IF(AND(C63="",E63=""),"",IF(NOT(ISNUMBER(B63)),"Needs a date",IF(NOT(ISNUMBER(E63)),"Needs the amount","")))</f>
        <v/>
      </c>
      <c r="G63" s="1">
        <f>IF(ISNUMBER(B63),YEAR(B63),"")</f>
        <v/>
      </c>
      <c r="H63">
        <f>IF(ISNUMBER(B63),YEAR(B63)*100+MONTH(B63),"")</f>
        <v/>
      </c>
    </row>
    <row r="64">
      <c r="A64" s="1" t="n"/>
      <c r="B64" s="17" t="n"/>
      <c r="C64" s="21" t="n"/>
      <c r="D64" s="19" t="n"/>
      <c r="E64" s="24" t="n"/>
      <c r="F64" s="11">
        <f>IF(AND(C64="",E64=""),"",IF(NOT(ISNUMBER(B64)),"Needs a date",IF(NOT(ISNUMBER(E64)),"Needs the amount","")))</f>
        <v/>
      </c>
      <c r="G64" s="1">
        <f>IF(ISNUMBER(B64),YEAR(B64),"")</f>
        <v/>
      </c>
      <c r="H64">
        <f>IF(ISNUMBER(B64),YEAR(B64)*100+MONTH(B64),"")</f>
        <v/>
      </c>
    </row>
    <row r="65">
      <c r="A65" s="1" t="n"/>
      <c r="B65" s="17" t="n"/>
      <c r="C65" s="21" t="n"/>
      <c r="D65" s="19" t="n"/>
      <c r="E65" s="24" t="n"/>
      <c r="F65" s="11">
        <f>IF(AND(C65="",E65=""),"",IF(NOT(ISNUMBER(B65)),"Needs a date",IF(NOT(ISNUMBER(E65)),"Needs the amount","")))</f>
        <v/>
      </c>
      <c r="G65" s="1">
        <f>IF(ISNUMBER(B65),YEAR(B65),"")</f>
        <v/>
      </c>
      <c r="H65">
        <f>IF(ISNUMBER(B65),YEAR(B65)*100+MONTH(B65),"")</f>
        <v/>
      </c>
    </row>
    <row r="66">
      <c r="A66" s="1" t="n"/>
      <c r="B66" s="17" t="n"/>
      <c r="C66" s="21" t="n"/>
      <c r="D66" s="19" t="n"/>
      <c r="E66" s="24" t="n"/>
      <c r="F66" s="11">
        <f>IF(AND(C66="",E66=""),"",IF(NOT(ISNUMBER(B66)),"Needs a date",IF(NOT(ISNUMBER(E66)),"Needs the amount","")))</f>
        <v/>
      </c>
      <c r="G66" s="1">
        <f>IF(ISNUMBER(B66),YEAR(B66),"")</f>
        <v/>
      </c>
      <c r="H66">
        <f>IF(ISNUMBER(B66),YEAR(B66)*100+MONTH(B66),"")</f>
        <v/>
      </c>
    </row>
    <row r="67">
      <c r="A67" s="1" t="n"/>
      <c r="B67" s="17" t="n"/>
      <c r="C67" s="21" t="n"/>
      <c r="D67" s="19" t="n"/>
      <c r="E67" s="24" t="n"/>
      <c r="F67" s="11">
        <f>IF(AND(C67="",E67=""),"",IF(NOT(ISNUMBER(B67)),"Needs a date",IF(NOT(ISNUMBER(E67)),"Needs the amount","")))</f>
        <v/>
      </c>
      <c r="G67" s="1">
        <f>IF(ISNUMBER(B67),YEAR(B67),"")</f>
        <v/>
      </c>
      <c r="H67">
        <f>IF(ISNUMBER(B67),YEAR(B67)*100+MONTH(B67),"")</f>
        <v/>
      </c>
    </row>
    <row r="68">
      <c r="A68" s="1" t="n"/>
      <c r="B68" s="17" t="n"/>
      <c r="C68" s="21" t="n"/>
      <c r="D68" s="19" t="n"/>
      <c r="E68" s="24" t="n"/>
      <c r="F68" s="11">
        <f>IF(AND(C68="",E68=""),"",IF(NOT(ISNUMBER(B68)),"Needs a date",IF(NOT(ISNUMBER(E68)),"Needs the amount","")))</f>
        <v/>
      </c>
      <c r="G68" s="1">
        <f>IF(ISNUMBER(B68),YEAR(B68),"")</f>
        <v/>
      </c>
      <c r="H68">
        <f>IF(ISNUMBER(B68),YEAR(B68)*100+MONTH(B68),"")</f>
        <v/>
      </c>
    </row>
    <row r="69">
      <c r="A69" s="1" t="n"/>
      <c r="B69" s="17" t="n"/>
      <c r="C69" s="21" t="n"/>
      <c r="D69" s="19" t="n"/>
      <c r="E69" s="24" t="n"/>
      <c r="F69" s="11">
        <f>IF(AND(C69="",E69=""),"",IF(NOT(ISNUMBER(B69)),"Needs a date",IF(NOT(ISNUMBER(E69)),"Needs the amount","")))</f>
        <v/>
      </c>
      <c r="G69" s="1">
        <f>IF(ISNUMBER(B69),YEAR(B69),"")</f>
        <v/>
      </c>
      <c r="H69">
        <f>IF(ISNUMBER(B69),YEAR(B69)*100+MONTH(B69),"")</f>
        <v/>
      </c>
    </row>
    <row r="70">
      <c r="A70" s="1" t="n"/>
      <c r="B70" s="17" t="n"/>
      <c r="C70" s="21" t="n"/>
      <c r="D70" s="19" t="n"/>
      <c r="E70" s="24" t="n"/>
      <c r="F70" s="11">
        <f>IF(AND(C70="",E70=""),"",IF(NOT(ISNUMBER(B70)),"Needs a date",IF(NOT(ISNUMBER(E70)),"Needs the amount","")))</f>
        <v/>
      </c>
      <c r="G70" s="1">
        <f>IF(ISNUMBER(B70),YEAR(B70),"")</f>
        <v/>
      </c>
      <c r="H70">
        <f>IF(ISNUMBER(B70),YEAR(B70)*100+MONTH(B70),"")</f>
        <v/>
      </c>
    </row>
    <row r="71">
      <c r="A71" s="1" t="n"/>
      <c r="B71" s="17" t="n"/>
      <c r="C71" s="21" t="n"/>
      <c r="D71" s="19" t="n"/>
      <c r="E71" s="24" t="n"/>
      <c r="F71" s="11">
        <f>IF(AND(C71="",E71=""),"",IF(NOT(ISNUMBER(B71)),"Needs a date",IF(NOT(ISNUMBER(E71)),"Needs the amount","")))</f>
        <v/>
      </c>
      <c r="G71" s="1">
        <f>IF(ISNUMBER(B71),YEAR(B71),"")</f>
        <v/>
      </c>
      <c r="H71">
        <f>IF(ISNUMBER(B71),YEAR(B71)*100+MONTH(B71),"")</f>
        <v/>
      </c>
    </row>
    <row r="72">
      <c r="A72" s="1" t="n"/>
      <c r="B72" s="17" t="n"/>
      <c r="C72" s="21" t="n"/>
      <c r="D72" s="19" t="n"/>
      <c r="E72" s="24" t="n"/>
      <c r="F72" s="11">
        <f>IF(AND(C72="",E72=""),"",IF(NOT(ISNUMBER(B72)),"Needs a date",IF(NOT(ISNUMBER(E72)),"Needs the amount","")))</f>
        <v/>
      </c>
      <c r="G72" s="1">
        <f>IF(ISNUMBER(B72),YEAR(B72),"")</f>
        <v/>
      </c>
      <c r="H72">
        <f>IF(ISNUMBER(B72),YEAR(B72)*100+MONTH(B72),"")</f>
        <v/>
      </c>
    </row>
    <row r="73">
      <c r="A73" s="1" t="n"/>
      <c r="B73" s="17" t="n"/>
      <c r="C73" s="21" t="n"/>
      <c r="D73" s="19" t="n"/>
      <c r="E73" s="24" t="n"/>
      <c r="F73" s="11">
        <f>IF(AND(C73="",E73=""),"",IF(NOT(ISNUMBER(B73)),"Needs a date",IF(NOT(ISNUMBER(E73)),"Needs the amount","")))</f>
        <v/>
      </c>
      <c r="G73" s="1">
        <f>IF(ISNUMBER(B73),YEAR(B73),"")</f>
        <v/>
      </c>
      <c r="H73">
        <f>IF(ISNUMBER(B73),YEAR(B73)*100+MONTH(B73),"")</f>
        <v/>
      </c>
    </row>
    <row r="74">
      <c r="A74" s="1" t="n"/>
      <c r="B74" s="17" t="n"/>
      <c r="C74" s="21" t="n"/>
      <c r="D74" s="19" t="n"/>
      <c r="E74" s="24" t="n"/>
      <c r="F74" s="11">
        <f>IF(AND(C74="",E74=""),"",IF(NOT(ISNUMBER(B74)),"Needs a date",IF(NOT(ISNUMBER(E74)),"Needs the amount","")))</f>
        <v/>
      </c>
      <c r="G74" s="1">
        <f>IF(ISNUMBER(B74),YEAR(B74),"")</f>
        <v/>
      </c>
      <c r="H74">
        <f>IF(ISNUMBER(B74),YEAR(B74)*100+MONTH(B74),"")</f>
        <v/>
      </c>
    </row>
    <row r="75">
      <c r="A75" s="1" t="n"/>
      <c r="B75" s="17" t="n"/>
      <c r="C75" s="21" t="n"/>
      <c r="D75" s="19" t="n"/>
      <c r="E75" s="24" t="n"/>
      <c r="F75" s="11">
        <f>IF(AND(C75="",E75=""),"",IF(NOT(ISNUMBER(B75)),"Needs a date",IF(NOT(ISNUMBER(E75)),"Needs the amount","")))</f>
        <v/>
      </c>
      <c r="G75" s="1">
        <f>IF(ISNUMBER(B75),YEAR(B75),"")</f>
        <v/>
      </c>
      <c r="H75">
        <f>IF(ISNUMBER(B75),YEAR(B75)*100+MONTH(B75),"")</f>
        <v/>
      </c>
    </row>
    <row r="76">
      <c r="A76" s="1" t="n"/>
      <c r="B76" s="17" t="n"/>
      <c r="C76" s="21" t="n"/>
      <c r="D76" s="19" t="n"/>
      <c r="E76" s="24" t="n"/>
      <c r="F76" s="11">
        <f>IF(AND(C76="",E76=""),"",IF(NOT(ISNUMBER(B76)),"Needs a date",IF(NOT(ISNUMBER(E76)),"Needs the amount","")))</f>
        <v/>
      </c>
      <c r="G76" s="1">
        <f>IF(ISNUMBER(B76),YEAR(B76),"")</f>
        <v/>
      </c>
      <c r="H76">
        <f>IF(ISNUMBER(B76),YEAR(B76)*100+MONTH(B76),"")</f>
        <v/>
      </c>
    </row>
    <row r="77">
      <c r="A77" s="1" t="n"/>
      <c r="B77" s="17" t="n"/>
      <c r="C77" s="21" t="n"/>
      <c r="D77" s="19" t="n"/>
      <c r="E77" s="24" t="n"/>
      <c r="F77" s="11">
        <f>IF(AND(C77="",E77=""),"",IF(NOT(ISNUMBER(B77)),"Needs a date",IF(NOT(ISNUMBER(E77)),"Needs the amount","")))</f>
        <v/>
      </c>
      <c r="G77" s="1">
        <f>IF(ISNUMBER(B77),YEAR(B77),"")</f>
        <v/>
      </c>
      <c r="H77">
        <f>IF(ISNUMBER(B77),YEAR(B77)*100+MONTH(B77),"")</f>
        <v/>
      </c>
    </row>
    <row r="78">
      <c r="A78" s="1" t="n"/>
      <c r="B78" s="17" t="n"/>
      <c r="C78" s="21" t="n"/>
      <c r="D78" s="19" t="n"/>
      <c r="E78" s="24" t="n"/>
      <c r="F78" s="11">
        <f>IF(AND(C78="",E78=""),"",IF(NOT(ISNUMBER(B78)),"Needs a date",IF(NOT(ISNUMBER(E78)),"Needs the amount","")))</f>
        <v/>
      </c>
      <c r="G78" s="1">
        <f>IF(ISNUMBER(B78),YEAR(B78),"")</f>
        <v/>
      </c>
      <c r="H78">
        <f>IF(ISNUMBER(B78),YEAR(B78)*100+MONTH(B78),"")</f>
        <v/>
      </c>
    </row>
    <row r="79">
      <c r="A79" s="1" t="n"/>
      <c r="B79" s="17" t="n"/>
      <c r="C79" s="21" t="n"/>
      <c r="D79" s="19" t="n"/>
      <c r="E79" s="24" t="n"/>
      <c r="F79" s="11">
        <f>IF(AND(C79="",E79=""),"",IF(NOT(ISNUMBER(B79)),"Needs a date",IF(NOT(ISNUMBER(E79)),"Needs the amount","")))</f>
        <v/>
      </c>
      <c r="G79" s="1">
        <f>IF(ISNUMBER(B79),YEAR(B79),"")</f>
        <v/>
      </c>
      <c r="H79">
        <f>IF(ISNUMBER(B79),YEAR(B79)*100+MONTH(B79),"")</f>
        <v/>
      </c>
    </row>
    <row r="80">
      <c r="A80" s="1" t="n"/>
      <c r="B80" s="17" t="n"/>
      <c r="C80" s="21" t="n"/>
      <c r="D80" s="19" t="n"/>
      <c r="E80" s="24" t="n"/>
      <c r="F80" s="11">
        <f>IF(AND(C80="",E80=""),"",IF(NOT(ISNUMBER(B80)),"Needs a date",IF(NOT(ISNUMBER(E80)),"Needs the amount","")))</f>
        <v/>
      </c>
      <c r="G80" s="1">
        <f>IF(ISNUMBER(B80),YEAR(B80),"")</f>
        <v/>
      </c>
      <c r="H80">
        <f>IF(ISNUMBER(B80),YEAR(B80)*100+MONTH(B80),"")</f>
        <v/>
      </c>
    </row>
    <row r="81">
      <c r="A81" s="1" t="n"/>
      <c r="B81" s="17" t="n"/>
      <c r="C81" s="21" t="n"/>
      <c r="D81" s="19" t="n"/>
      <c r="E81" s="24" t="n"/>
      <c r="F81" s="11">
        <f>IF(AND(C81="",E81=""),"",IF(NOT(ISNUMBER(B81)),"Needs a date",IF(NOT(ISNUMBER(E81)),"Needs the amount","")))</f>
        <v/>
      </c>
      <c r="G81" s="1">
        <f>IF(ISNUMBER(B81),YEAR(B81),"")</f>
        <v/>
      </c>
      <c r="H81">
        <f>IF(ISNUMBER(B81),YEAR(B81)*100+MONTH(B81),"")</f>
        <v/>
      </c>
    </row>
    <row r="82">
      <c r="A82" s="1" t="n"/>
      <c r="B82" s="17" t="n"/>
      <c r="C82" s="21" t="n"/>
      <c r="D82" s="19" t="n"/>
      <c r="E82" s="24" t="n"/>
      <c r="F82" s="11">
        <f>IF(AND(C82="",E82=""),"",IF(NOT(ISNUMBER(B82)),"Needs a date",IF(NOT(ISNUMBER(E82)),"Needs the amount","")))</f>
        <v/>
      </c>
      <c r="G82" s="1">
        <f>IF(ISNUMBER(B82),YEAR(B82),"")</f>
        <v/>
      </c>
      <c r="H82">
        <f>IF(ISNUMBER(B82),YEAR(B82)*100+MONTH(B82),"")</f>
        <v/>
      </c>
    </row>
    <row r="83">
      <c r="A83" s="1" t="n"/>
      <c r="B83" s="17" t="n"/>
      <c r="C83" s="21" t="n"/>
      <c r="D83" s="19" t="n"/>
      <c r="E83" s="24" t="n"/>
      <c r="F83" s="11">
        <f>IF(AND(C83="",E83=""),"",IF(NOT(ISNUMBER(B83)),"Needs a date",IF(NOT(ISNUMBER(E83)),"Needs the amount","")))</f>
        <v/>
      </c>
      <c r="G83" s="1">
        <f>IF(ISNUMBER(B83),YEAR(B83),"")</f>
        <v/>
      </c>
      <c r="H83">
        <f>IF(ISNUMBER(B83),YEAR(B83)*100+MONTH(B83),"")</f>
        <v/>
      </c>
    </row>
    <row r="84">
      <c r="A84" s="1" t="n"/>
      <c r="B84" s="17" t="n"/>
      <c r="C84" s="21" t="n"/>
      <c r="D84" s="19" t="n"/>
      <c r="E84" s="24" t="n"/>
      <c r="F84" s="11">
        <f>IF(AND(C84="",E84=""),"",IF(NOT(ISNUMBER(B84)),"Needs a date",IF(NOT(ISNUMBER(E84)),"Needs the amount","")))</f>
        <v/>
      </c>
      <c r="G84" s="1">
        <f>IF(ISNUMBER(B84),YEAR(B84),"")</f>
        <v/>
      </c>
      <c r="H84">
        <f>IF(ISNUMBER(B84),YEAR(B84)*100+MONTH(B84),"")</f>
        <v/>
      </c>
    </row>
    <row r="85">
      <c r="A85" s="1" t="n"/>
      <c r="B85" s="17" t="n"/>
      <c r="C85" s="21" t="n"/>
      <c r="D85" s="19" t="n"/>
      <c r="E85" s="24" t="n"/>
      <c r="F85" s="11">
        <f>IF(AND(C85="",E85=""),"",IF(NOT(ISNUMBER(B85)),"Needs a date",IF(NOT(ISNUMBER(E85)),"Needs the amount","")))</f>
        <v/>
      </c>
      <c r="G85" s="1">
        <f>IF(ISNUMBER(B85),YEAR(B85),"")</f>
        <v/>
      </c>
      <c r="H85">
        <f>IF(ISNUMBER(B85),YEAR(B85)*100+MONTH(B85),"")</f>
        <v/>
      </c>
    </row>
    <row r="86">
      <c r="A86" s="1" t="n"/>
      <c r="B86" s="17" t="n"/>
      <c r="C86" s="21" t="n"/>
      <c r="D86" s="19" t="n"/>
      <c r="E86" s="24" t="n"/>
      <c r="F86" s="11">
        <f>IF(AND(C86="",E86=""),"",IF(NOT(ISNUMBER(B86)),"Needs a date",IF(NOT(ISNUMBER(E86)),"Needs the amount","")))</f>
        <v/>
      </c>
      <c r="G86" s="1">
        <f>IF(ISNUMBER(B86),YEAR(B86),"")</f>
        <v/>
      </c>
      <c r="H86">
        <f>IF(ISNUMBER(B86),YEAR(B86)*100+MONTH(B86),"")</f>
        <v/>
      </c>
    </row>
    <row r="87">
      <c r="A87" s="1" t="n"/>
      <c r="B87" s="17" t="n"/>
      <c r="C87" s="21" t="n"/>
      <c r="D87" s="19" t="n"/>
      <c r="E87" s="24" t="n"/>
      <c r="F87" s="11">
        <f>IF(AND(C87="",E87=""),"",IF(NOT(ISNUMBER(B87)),"Needs a date",IF(NOT(ISNUMBER(E87)),"Needs the amount","")))</f>
        <v/>
      </c>
      <c r="G87" s="1">
        <f>IF(ISNUMBER(B87),YEAR(B87),"")</f>
        <v/>
      </c>
      <c r="H87">
        <f>IF(ISNUMBER(B87),YEAR(B87)*100+MONTH(B87),"")</f>
        <v/>
      </c>
    </row>
    <row r="88">
      <c r="A88" s="1" t="n"/>
      <c r="B88" s="17" t="n"/>
      <c r="C88" s="21" t="n"/>
      <c r="D88" s="19" t="n"/>
      <c r="E88" s="24" t="n"/>
      <c r="F88" s="11">
        <f>IF(AND(C88="",E88=""),"",IF(NOT(ISNUMBER(B88)),"Needs a date",IF(NOT(ISNUMBER(E88)),"Needs the amount","")))</f>
        <v/>
      </c>
      <c r="G88" s="1">
        <f>IF(ISNUMBER(B88),YEAR(B88),"")</f>
        <v/>
      </c>
      <c r="H88">
        <f>IF(ISNUMBER(B88),YEAR(B88)*100+MONTH(B88),"")</f>
        <v/>
      </c>
    </row>
    <row r="89">
      <c r="A89" s="1" t="n"/>
      <c r="B89" s="17" t="n"/>
      <c r="C89" s="21" t="n"/>
      <c r="D89" s="19" t="n"/>
      <c r="E89" s="24" t="n"/>
      <c r="F89" s="11">
        <f>IF(AND(C89="",E89=""),"",IF(NOT(ISNUMBER(B89)),"Needs a date",IF(NOT(ISNUMBER(E89)),"Needs the amount","")))</f>
        <v/>
      </c>
      <c r="G89" s="1">
        <f>IF(ISNUMBER(B89),YEAR(B89),"")</f>
        <v/>
      </c>
      <c r="H89">
        <f>IF(ISNUMBER(B89),YEAR(B89)*100+MONTH(B89),"")</f>
        <v/>
      </c>
    </row>
    <row r="90">
      <c r="A90" s="1" t="n"/>
      <c r="B90" s="17" t="n"/>
      <c r="C90" s="21" t="n"/>
      <c r="D90" s="19" t="n"/>
      <c r="E90" s="24" t="n"/>
      <c r="F90" s="11">
        <f>IF(AND(C90="",E90=""),"",IF(NOT(ISNUMBER(B90)),"Needs a date",IF(NOT(ISNUMBER(E90)),"Needs the amount","")))</f>
        <v/>
      </c>
      <c r="G90" s="1">
        <f>IF(ISNUMBER(B90),YEAR(B90),"")</f>
        <v/>
      </c>
      <c r="H90">
        <f>IF(ISNUMBER(B90),YEAR(B90)*100+MONTH(B90),"")</f>
        <v/>
      </c>
    </row>
    <row r="91">
      <c r="A91" s="1" t="n"/>
      <c r="B91" s="17" t="n"/>
      <c r="C91" s="21" t="n"/>
      <c r="D91" s="19" t="n"/>
      <c r="E91" s="24" t="n"/>
      <c r="F91" s="11">
        <f>IF(AND(C91="",E91=""),"",IF(NOT(ISNUMBER(B91)),"Needs a date",IF(NOT(ISNUMBER(E91)),"Needs the amount","")))</f>
        <v/>
      </c>
      <c r="G91" s="1">
        <f>IF(ISNUMBER(B91),YEAR(B91),"")</f>
        <v/>
      </c>
      <c r="H91">
        <f>IF(ISNUMBER(B91),YEAR(B91)*100+MONTH(B91),"")</f>
        <v/>
      </c>
    </row>
    <row r="92">
      <c r="A92" s="1" t="n"/>
      <c r="B92" s="17" t="n"/>
      <c r="C92" s="21" t="n"/>
      <c r="D92" s="19" t="n"/>
      <c r="E92" s="24" t="n"/>
      <c r="F92" s="11">
        <f>IF(AND(C92="",E92=""),"",IF(NOT(ISNUMBER(B92)),"Needs a date",IF(NOT(ISNUMBER(E92)),"Needs the amount","")))</f>
        <v/>
      </c>
      <c r="G92" s="1">
        <f>IF(ISNUMBER(B92),YEAR(B92),"")</f>
        <v/>
      </c>
      <c r="H92">
        <f>IF(ISNUMBER(B92),YEAR(B92)*100+MONTH(B92),"")</f>
        <v/>
      </c>
    </row>
    <row r="93">
      <c r="A93" s="1" t="n"/>
      <c r="B93" s="17" t="n"/>
      <c r="C93" s="21" t="n"/>
      <c r="D93" s="19" t="n"/>
      <c r="E93" s="24" t="n"/>
      <c r="F93" s="11">
        <f>IF(AND(C93="",E93=""),"",IF(NOT(ISNUMBER(B93)),"Needs a date",IF(NOT(ISNUMBER(E93)),"Needs the amount","")))</f>
        <v/>
      </c>
      <c r="G93" s="1">
        <f>IF(ISNUMBER(B93),YEAR(B93),"")</f>
        <v/>
      </c>
      <c r="H93">
        <f>IF(ISNUMBER(B93),YEAR(B93)*100+MONTH(B93),"")</f>
        <v/>
      </c>
    </row>
    <row r="94">
      <c r="A94" s="1" t="n"/>
      <c r="B94" s="17" t="n"/>
      <c r="C94" s="21" t="n"/>
      <c r="D94" s="19" t="n"/>
      <c r="E94" s="24" t="n"/>
      <c r="F94" s="11">
        <f>IF(AND(C94="",E94=""),"",IF(NOT(ISNUMBER(B94)),"Needs a date",IF(NOT(ISNUMBER(E94)),"Needs the amount","")))</f>
        <v/>
      </c>
      <c r="G94" s="1">
        <f>IF(ISNUMBER(B94),YEAR(B94),"")</f>
        <v/>
      </c>
      <c r="H94">
        <f>IF(ISNUMBER(B94),YEAR(B94)*100+MONTH(B94),"")</f>
        <v/>
      </c>
    </row>
    <row r="95">
      <c r="A95" s="1" t="n"/>
      <c r="B95" s="17" t="n"/>
      <c r="C95" s="21" t="n"/>
      <c r="D95" s="19" t="n"/>
      <c r="E95" s="24" t="n"/>
      <c r="F95" s="11">
        <f>IF(AND(C95="",E95=""),"",IF(NOT(ISNUMBER(B95)),"Needs a date",IF(NOT(ISNUMBER(E95)),"Needs the amount","")))</f>
        <v/>
      </c>
      <c r="G95" s="1">
        <f>IF(ISNUMBER(B95),YEAR(B95),"")</f>
        <v/>
      </c>
      <c r="H95">
        <f>IF(ISNUMBER(B95),YEAR(B95)*100+MONTH(B95),"")</f>
        <v/>
      </c>
    </row>
    <row r="96">
      <c r="A96" s="1" t="n"/>
      <c r="B96" s="17" t="n"/>
      <c r="C96" s="21" t="n"/>
      <c r="D96" s="19" t="n"/>
      <c r="E96" s="24" t="n"/>
      <c r="F96" s="11">
        <f>IF(AND(C96="",E96=""),"",IF(NOT(ISNUMBER(B96)),"Needs a date",IF(NOT(ISNUMBER(E96)),"Needs the amount","")))</f>
        <v/>
      </c>
      <c r="G96" s="1">
        <f>IF(ISNUMBER(B96),YEAR(B96),"")</f>
        <v/>
      </c>
      <c r="H96">
        <f>IF(ISNUMBER(B96),YEAR(B96)*100+MONTH(B96),"")</f>
        <v/>
      </c>
    </row>
    <row r="97">
      <c r="A97" s="1" t="n"/>
      <c r="B97" s="17" t="n"/>
      <c r="C97" s="21" t="n"/>
      <c r="D97" s="19" t="n"/>
      <c r="E97" s="24" t="n"/>
      <c r="F97" s="11">
        <f>IF(AND(C97="",E97=""),"",IF(NOT(ISNUMBER(B97)),"Needs a date",IF(NOT(ISNUMBER(E97)),"Needs the amount","")))</f>
        <v/>
      </c>
      <c r="G97" s="1">
        <f>IF(ISNUMBER(B97),YEAR(B97),"")</f>
        <v/>
      </c>
      <c r="H97">
        <f>IF(ISNUMBER(B97),YEAR(B97)*100+MONTH(B97),"")</f>
        <v/>
      </c>
    </row>
    <row r="98">
      <c r="A98" s="1" t="n"/>
      <c r="B98" s="17" t="n"/>
      <c r="C98" s="21" t="n"/>
      <c r="D98" s="19" t="n"/>
      <c r="E98" s="24" t="n"/>
      <c r="F98" s="11">
        <f>IF(AND(C98="",E98=""),"",IF(NOT(ISNUMBER(B98)),"Needs a date",IF(NOT(ISNUMBER(E98)),"Needs the amount","")))</f>
        <v/>
      </c>
      <c r="G98" s="1">
        <f>IF(ISNUMBER(B98),YEAR(B98),"")</f>
        <v/>
      </c>
      <c r="H98">
        <f>IF(ISNUMBER(B98),YEAR(B98)*100+MONTH(B98),"")</f>
        <v/>
      </c>
    </row>
    <row r="99">
      <c r="A99" s="1" t="n"/>
      <c r="B99" s="17" t="n"/>
      <c r="C99" s="21" t="n"/>
      <c r="D99" s="19" t="n"/>
      <c r="E99" s="24" t="n"/>
      <c r="F99" s="11">
        <f>IF(AND(C99="",E99=""),"",IF(NOT(ISNUMBER(B99)),"Needs a date",IF(NOT(ISNUMBER(E99)),"Needs the amount","")))</f>
        <v/>
      </c>
      <c r="G99" s="1">
        <f>IF(ISNUMBER(B99),YEAR(B99),"")</f>
        <v/>
      </c>
      <c r="H99">
        <f>IF(ISNUMBER(B99),YEAR(B99)*100+MONTH(B99),"")</f>
        <v/>
      </c>
    </row>
    <row r="100">
      <c r="A100" s="1" t="n"/>
      <c r="B100" s="17" t="n"/>
      <c r="C100" s="21" t="n"/>
      <c r="D100" s="19" t="n"/>
      <c r="E100" s="24" t="n"/>
      <c r="F100" s="11">
        <f>IF(AND(C100="",E100=""),"",IF(NOT(ISNUMBER(B100)),"Needs a date",IF(NOT(ISNUMBER(E100)),"Needs the amount","")))</f>
        <v/>
      </c>
      <c r="G100" s="1">
        <f>IF(ISNUMBER(B100),YEAR(B100),"")</f>
        <v/>
      </c>
      <c r="H100">
        <f>IF(ISNUMBER(B100),YEAR(B100)*100+MONTH(B100),"")</f>
        <v/>
      </c>
    </row>
    <row r="101">
      <c r="A101" s="1" t="n"/>
      <c r="B101" s="17" t="n"/>
      <c r="C101" s="21" t="n"/>
      <c r="D101" s="19" t="n"/>
      <c r="E101" s="24" t="n"/>
      <c r="F101" s="11">
        <f>IF(AND(C101="",E101=""),"",IF(NOT(ISNUMBER(B101)),"Needs a date",IF(NOT(ISNUMBER(E101)),"Needs the amount","")))</f>
        <v/>
      </c>
      <c r="G101" s="1">
        <f>IF(ISNUMBER(B101),YEAR(B101),"")</f>
        <v/>
      </c>
      <c r="H101">
        <f>IF(ISNUMBER(B101),YEAR(B101)*100+MONTH(B101),"")</f>
        <v/>
      </c>
    </row>
    <row r="102">
      <c r="A102" s="1" t="n"/>
      <c r="B102" s="17" t="n"/>
      <c r="C102" s="21" t="n"/>
      <c r="D102" s="19" t="n"/>
      <c r="E102" s="24" t="n"/>
      <c r="F102" s="11">
        <f>IF(AND(C102="",E102=""),"",IF(NOT(ISNUMBER(B102)),"Needs a date",IF(NOT(ISNUMBER(E102)),"Needs the amount","")))</f>
        <v/>
      </c>
      <c r="G102" s="1">
        <f>IF(ISNUMBER(B102),YEAR(B102),"")</f>
        <v/>
      </c>
      <c r="H102">
        <f>IF(ISNUMBER(B102),YEAR(B102)*100+MONTH(B102),"")</f>
        <v/>
      </c>
    </row>
    <row r="103">
      <c r="A103" s="1" t="n"/>
      <c r="B103" s="17" t="n"/>
      <c r="C103" s="21" t="n"/>
      <c r="D103" s="19" t="n"/>
      <c r="E103" s="24" t="n"/>
      <c r="F103" s="11">
        <f>IF(AND(C103="",E103=""),"",IF(NOT(ISNUMBER(B103)),"Needs a date",IF(NOT(ISNUMBER(E103)),"Needs the amount","")))</f>
        <v/>
      </c>
      <c r="G103" s="1">
        <f>IF(ISNUMBER(B103),YEAR(B103),"")</f>
        <v/>
      </c>
      <c r="H103">
        <f>IF(ISNUMBER(B103),YEAR(B103)*100+MONTH(B103),"")</f>
        <v/>
      </c>
    </row>
    <row r="104">
      <c r="A104" s="1" t="n"/>
      <c r="B104" s="17" t="n"/>
      <c r="C104" s="21" t="n"/>
      <c r="D104" s="19" t="n"/>
      <c r="E104" s="24" t="n"/>
      <c r="F104" s="11">
        <f>IF(AND(C104="",E104=""),"",IF(NOT(ISNUMBER(B104)),"Needs a date",IF(NOT(ISNUMBER(E104)),"Needs the amount","")))</f>
        <v/>
      </c>
      <c r="G104" s="1">
        <f>IF(ISNUMBER(B104),YEAR(B104),"")</f>
        <v/>
      </c>
      <c r="H104">
        <f>IF(ISNUMBER(B104),YEAR(B104)*100+MONTH(B104),"")</f>
        <v/>
      </c>
    </row>
    <row r="105">
      <c r="A105" s="1" t="n"/>
      <c r="B105" s="17" t="n"/>
      <c r="C105" s="21" t="n"/>
      <c r="D105" s="19" t="n"/>
      <c r="E105" s="24" t="n"/>
      <c r="F105" s="11">
        <f>IF(AND(C105="",E105=""),"",IF(NOT(ISNUMBER(B105)),"Needs a date",IF(NOT(ISNUMBER(E105)),"Needs the amount","")))</f>
        <v/>
      </c>
      <c r="G105" s="1">
        <f>IF(ISNUMBER(B105),YEAR(B105),"")</f>
        <v/>
      </c>
      <c r="H105">
        <f>IF(ISNUMBER(B105),YEAR(B105)*100+MONTH(B105),"")</f>
        <v/>
      </c>
    </row>
    <row r="106">
      <c r="A106" s="1" t="n"/>
      <c r="B106" s="17" t="n"/>
      <c r="C106" s="21" t="n"/>
      <c r="D106" s="19" t="n"/>
      <c r="E106" s="24" t="n"/>
      <c r="F106" s="11">
        <f>IF(AND(C106="",E106=""),"",IF(NOT(ISNUMBER(B106)),"Needs a date",IF(NOT(ISNUMBER(E106)),"Needs the amount","")))</f>
        <v/>
      </c>
      <c r="G106" s="1">
        <f>IF(ISNUMBER(B106),YEAR(B106),"")</f>
        <v/>
      </c>
      <c r="H106">
        <f>IF(ISNUMBER(B106),YEAR(B106)*100+MONTH(B106),"")</f>
        <v/>
      </c>
    </row>
    <row r="107">
      <c r="A107" s="1" t="n"/>
      <c r="B107" s="17" t="n"/>
      <c r="C107" s="21" t="n"/>
      <c r="D107" s="19" t="n"/>
      <c r="E107" s="24" t="n"/>
      <c r="F107" s="11">
        <f>IF(AND(C107="",E107=""),"",IF(NOT(ISNUMBER(B107)),"Needs a date",IF(NOT(ISNUMBER(E107)),"Needs the amount","")))</f>
        <v/>
      </c>
      <c r="G107" s="1">
        <f>IF(ISNUMBER(B107),YEAR(B107),"")</f>
        <v/>
      </c>
      <c r="H107">
        <f>IF(ISNUMBER(B107),YEAR(B107)*100+MONTH(B107),"")</f>
        <v/>
      </c>
    </row>
    <row r="108">
      <c r="A108" s="1" t="n"/>
      <c r="B108" s="17" t="n"/>
      <c r="C108" s="21" t="n"/>
      <c r="D108" s="19" t="n"/>
      <c r="E108" s="24" t="n"/>
      <c r="F108" s="11">
        <f>IF(AND(C108="",E108=""),"",IF(NOT(ISNUMBER(B108)),"Needs a date",IF(NOT(ISNUMBER(E108)),"Needs the amount","")))</f>
        <v/>
      </c>
      <c r="G108" s="1">
        <f>IF(ISNUMBER(B108),YEAR(B108),"")</f>
        <v/>
      </c>
      <c r="H108">
        <f>IF(ISNUMBER(B108),YEAR(B108)*100+MONTH(B108),"")</f>
        <v/>
      </c>
    </row>
    <row r="109">
      <c r="A109" s="1" t="n"/>
      <c r="B109" s="17" t="n"/>
      <c r="C109" s="21" t="n"/>
      <c r="D109" s="19" t="n"/>
      <c r="E109" s="24" t="n"/>
      <c r="F109" s="11">
        <f>IF(AND(C109="",E109=""),"",IF(NOT(ISNUMBER(B109)),"Needs a date",IF(NOT(ISNUMBER(E109)),"Needs the amount","")))</f>
        <v/>
      </c>
      <c r="G109" s="1">
        <f>IF(ISNUMBER(B109),YEAR(B109),"")</f>
        <v/>
      </c>
      <c r="H109">
        <f>IF(ISNUMBER(B109),YEAR(B109)*100+MONTH(B109),"")</f>
        <v/>
      </c>
    </row>
    <row r="110">
      <c r="A110" s="1" t="n"/>
      <c r="B110" s="17" t="n"/>
      <c r="C110" s="21" t="n"/>
      <c r="D110" s="19" t="n"/>
      <c r="E110" s="24" t="n"/>
      <c r="F110" s="11">
        <f>IF(AND(C110="",E110=""),"",IF(NOT(ISNUMBER(B110)),"Needs a date",IF(NOT(ISNUMBER(E110)),"Needs the amount","")))</f>
        <v/>
      </c>
      <c r="G110" s="1">
        <f>IF(ISNUMBER(B110),YEAR(B110),"")</f>
        <v/>
      </c>
      <c r="H110">
        <f>IF(ISNUMBER(B110),YEAR(B110)*100+MONTH(B110),"")</f>
        <v/>
      </c>
    </row>
    <row r="111">
      <c r="A111" s="1" t="n"/>
      <c r="B111" s="17" t="n"/>
      <c r="C111" s="21" t="n"/>
      <c r="D111" s="19" t="n"/>
      <c r="E111" s="24" t="n"/>
      <c r="F111" s="11">
        <f>IF(AND(C111="",E111=""),"",IF(NOT(ISNUMBER(B111)),"Needs a date",IF(NOT(ISNUMBER(E111)),"Needs the amount","")))</f>
        <v/>
      </c>
      <c r="G111" s="1">
        <f>IF(ISNUMBER(B111),YEAR(B111),"")</f>
        <v/>
      </c>
      <c r="H111">
        <f>IF(ISNUMBER(B111),YEAR(B111)*100+MONTH(B111),"")</f>
        <v/>
      </c>
    </row>
    <row r="112">
      <c r="A112" s="1" t="n"/>
      <c r="B112" s="17" t="n"/>
      <c r="C112" s="21" t="n"/>
      <c r="D112" s="19" t="n"/>
      <c r="E112" s="24" t="n"/>
      <c r="F112" s="11">
        <f>IF(AND(C112="",E112=""),"",IF(NOT(ISNUMBER(B112)),"Needs a date",IF(NOT(ISNUMBER(E112)),"Needs the amount","")))</f>
        <v/>
      </c>
      <c r="G112" s="1">
        <f>IF(ISNUMBER(B112),YEAR(B112),"")</f>
        <v/>
      </c>
      <c r="H112">
        <f>IF(ISNUMBER(B112),YEAR(B112)*100+MONTH(B112),"")</f>
        <v/>
      </c>
    </row>
    <row r="113">
      <c r="A113" s="1" t="n"/>
      <c r="B113" s="17" t="n"/>
      <c r="C113" s="21" t="n"/>
      <c r="D113" s="19" t="n"/>
      <c r="E113" s="24" t="n"/>
      <c r="F113" s="11">
        <f>IF(AND(C113="",E113=""),"",IF(NOT(ISNUMBER(B113)),"Needs a date",IF(NOT(ISNUMBER(E113)),"Needs the amount","")))</f>
        <v/>
      </c>
      <c r="G113" s="1">
        <f>IF(ISNUMBER(B113),YEAR(B113),"")</f>
        <v/>
      </c>
      <c r="H113">
        <f>IF(ISNUMBER(B113),YEAR(B113)*100+MONTH(B113),"")</f>
        <v/>
      </c>
    </row>
    <row r="114">
      <c r="A114" s="1" t="n"/>
      <c r="B114" s="17" t="n"/>
      <c r="C114" s="21" t="n"/>
      <c r="D114" s="19" t="n"/>
      <c r="E114" s="24" t="n"/>
      <c r="F114" s="11">
        <f>IF(AND(C114="",E114=""),"",IF(NOT(ISNUMBER(B114)),"Needs a date",IF(NOT(ISNUMBER(E114)),"Needs the amount","")))</f>
        <v/>
      </c>
      <c r="G114" s="1">
        <f>IF(ISNUMBER(B114),YEAR(B114),"")</f>
        <v/>
      </c>
      <c r="H114">
        <f>IF(ISNUMBER(B114),YEAR(B114)*100+MONTH(B114),"")</f>
        <v/>
      </c>
    </row>
    <row r="115">
      <c r="A115" s="1" t="n"/>
      <c r="B115" s="17" t="n"/>
      <c r="C115" s="21" t="n"/>
      <c r="D115" s="19" t="n"/>
      <c r="E115" s="24" t="n"/>
      <c r="F115" s="11">
        <f>IF(AND(C115="",E115=""),"",IF(NOT(ISNUMBER(B115)),"Needs a date",IF(NOT(ISNUMBER(E115)),"Needs the amount","")))</f>
        <v/>
      </c>
      <c r="G115" s="1">
        <f>IF(ISNUMBER(B115),YEAR(B115),"")</f>
        <v/>
      </c>
      <c r="H115">
        <f>IF(ISNUMBER(B115),YEAR(B115)*100+MONTH(B115),"")</f>
        <v/>
      </c>
    </row>
    <row r="116">
      <c r="A116" s="1" t="n"/>
      <c r="B116" s="17" t="n"/>
      <c r="C116" s="21" t="n"/>
      <c r="D116" s="19" t="n"/>
      <c r="E116" s="24" t="n"/>
      <c r="F116" s="11">
        <f>IF(AND(C116="",E116=""),"",IF(NOT(ISNUMBER(B116)),"Needs a date",IF(NOT(ISNUMBER(E116)),"Needs the amount","")))</f>
        <v/>
      </c>
      <c r="G116" s="1">
        <f>IF(ISNUMBER(B116),YEAR(B116),"")</f>
        <v/>
      </c>
      <c r="H116">
        <f>IF(ISNUMBER(B116),YEAR(B116)*100+MONTH(B116),"")</f>
        <v/>
      </c>
    </row>
    <row r="117">
      <c r="A117" s="1" t="n"/>
      <c r="B117" s="17" t="n"/>
      <c r="C117" s="21" t="n"/>
      <c r="D117" s="19" t="n"/>
      <c r="E117" s="24" t="n"/>
      <c r="F117" s="11">
        <f>IF(AND(C117="",E117=""),"",IF(NOT(ISNUMBER(B117)),"Needs a date",IF(NOT(ISNUMBER(E117)),"Needs the amount","")))</f>
        <v/>
      </c>
      <c r="G117" s="1">
        <f>IF(ISNUMBER(B117),YEAR(B117),"")</f>
        <v/>
      </c>
      <c r="H117">
        <f>IF(ISNUMBER(B117),YEAR(B117)*100+MONTH(B117),"")</f>
        <v/>
      </c>
    </row>
    <row r="118">
      <c r="A118" s="1" t="n"/>
      <c r="B118" s="17" t="n"/>
      <c r="C118" s="21" t="n"/>
      <c r="D118" s="19" t="n"/>
      <c r="E118" s="24" t="n"/>
      <c r="F118" s="11">
        <f>IF(AND(C118="",E118=""),"",IF(NOT(ISNUMBER(B118)),"Needs a date",IF(NOT(ISNUMBER(E118)),"Needs the amount","")))</f>
        <v/>
      </c>
      <c r="G118" s="1">
        <f>IF(ISNUMBER(B118),YEAR(B118),"")</f>
        <v/>
      </c>
      <c r="H118">
        <f>IF(ISNUMBER(B118),YEAR(B118)*100+MONTH(B118),"")</f>
        <v/>
      </c>
    </row>
    <row r="119">
      <c r="A119" s="1" t="n"/>
      <c r="B119" s="17" t="n"/>
      <c r="C119" s="21" t="n"/>
      <c r="D119" s="19" t="n"/>
      <c r="E119" s="24" t="n"/>
      <c r="F119" s="11">
        <f>IF(AND(C119="",E119=""),"",IF(NOT(ISNUMBER(B119)),"Needs a date",IF(NOT(ISNUMBER(E119)),"Needs the amount","")))</f>
        <v/>
      </c>
      <c r="G119" s="1">
        <f>IF(ISNUMBER(B119),YEAR(B119),"")</f>
        <v/>
      </c>
      <c r="H119">
        <f>IF(ISNUMBER(B119),YEAR(B119)*100+MONTH(B119),"")</f>
        <v/>
      </c>
    </row>
    <row r="120">
      <c r="A120" s="1" t="n"/>
      <c r="B120" s="17" t="n"/>
      <c r="C120" s="21" t="n"/>
      <c r="D120" s="19" t="n"/>
      <c r="E120" s="24" t="n"/>
      <c r="F120" s="11">
        <f>IF(AND(C120="",E120=""),"",IF(NOT(ISNUMBER(B120)),"Needs a date",IF(NOT(ISNUMBER(E120)),"Needs the amount","")))</f>
        <v/>
      </c>
      <c r="G120" s="1">
        <f>IF(ISNUMBER(B120),YEAR(B120),"")</f>
        <v/>
      </c>
      <c r="H120">
        <f>IF(ISNUMBER(B120),YEAR(B120)*100+MONTH(B120),"")</f>
        <v/>
      </c>
    </row>
    <row r="121">
      <c r="A121" s="1" t="n"/>
      <c r="B121" s="17" t="n"/>
      <c r="C121" s="21" t="n"/>
      <c r="D121" s="19" t="n"/>
      <c r="E121" s="24" t="n"/>
      <c r="F121" s="11">
        <f>IF(AND(C121="",E121=""),"",IF(NOT(ISNUMBER(B121)),"Needs a date",IF(NOT(ISNUMBER(E121)),"Needs the amount","")))</f>
        <v/>
      </c>
      <c r="G121" s="1">
        <f>IF(ISNUMBER(B121),YEAR(B121),"")</f>
        <v/>
      </c>
      <c r="H121">
        <f>IF(ISNUMBER(B121),YEAR(B121)*100+MONTH(B121),"")</f>
        <v/>
      </c>
    </row>
    <row r="122">
      <c r="A122" s="1" t="n"/>
      <c r="B122" s="17" t="n"/>
      <c r="C122" s="21" t="n"/>
      <c r="D122" s="19" t="n"/>
      <c r="E122" s="24" t="n"/>
      <c r="F122" s="11">
        <f>IF(AND(C122="",E122=""),"",IF(NOT(ISNUMBER(B122)),"Needs a date",IF(NOT(ISNUMBER(E122)),"Needs the amount","")))</f>
        <v/>
      </c>
      <c r="G122" s="1">
        <f>IF(ISNUMBER(B122),YEAR(B122),"")</f>
        <v/>
      </c>
      <c r="H122">
        <f>IF(ISNUMBER(B122),YEAR(B122)*100+MONTH(B122),"")</f>
        <v/>
      </c>
    </row>
    <row r="123">
      <c r="A123" s="1" t="n"/>
      <c r="B123" s="17" t="n"/>
      <c r="C123" s="21" t="n"/>
      <c r="D123" s="19" t="n"/>
      <c r="E123" s="24" t="n"/>
      <c r="F123" s="11">
        <f>IF(AND(C123="",E123=""),"",IF(NOT(ISNUMBER(B123)),"Needs a date",IF(NOT(ISNUMBER(E123)),"Needs the amount","")))</f>
        <v/>
      </c>
      <c r="G123" s="1">
        <f>IF(ISNUMBER(B123),YEAR(B123),"")</f>
        <v/>
      </c>
      <c r="H123">
        <f>IF(ISNUMBER(B123),YEAR(B123)*100+MONTH(B123),"")</f>
        <v/>
      </c>
    </row>
    <row r="124">
      <c r="A124" s="1" t="n"/>
      <c r="B124" s="17" t="n"/>
      <c r="C124" s="21" t="n"/>
      <c r="D124" s="19" t="n"/>
      <c r="E124" s="24" t="n"/>
      <c r="F124" s="11">
        <f>IF(AND(C124="",E124=""),"",IF(NOT(ISNUMBER(B124)),"Needs a date",IF(NOT(ISNUMBER(E124)),"Needs the amount","")))</f>
        <v/>
      </c>
      <c r="G124" s="1">
        <f>IF(ISNUMBER(B124),YEAR(B124),"")</f>
        <v/>
      </c>
      <c r="H124">
        <f>IF(ISNUMBER(B124),YEAR(B124)*100+MONTH(B124),"")</f>
        <v/>
      </c>
    </row>
    <row r="125">
      <c r="A125" s="1" t="n"/>
      <c r="B125" s="17" t="n"/>
      <c r="C125" s="21" t="n"/>
      <c r="D125" s="19" t="n"/>
      <c r="E125" s="24" t="n"/>
      <c r="F125" s="11">
        <f>IF(AND(C125="",E125=""),"",IF(NOT(ISNUMBER(B125)),"Needs a date",IF(NOT(ISNUMBER(E125)),"Needs the amount","")))</f>
        <v/>
      </c>
      <c r="G125" s="1">
        <f>IF(ISNUMBER(B125),YEAR(B125),"")</f>
        <v/>
      </c>
      <c r="H125">
        <f>IF(ISNUMBER(B125),YEAR(B125)*100+MONTH(B125),"")</f>
        <v/>
      </c>
    </row>
    <row r="126">
      <c r="A126" s="1" t="n"/>
      <c r="B126" s="17" t="n"/>
      <c r="C126" s="21" t="n"/>
      <c r="D126" s="19" t="n"/>
      <c r="E126" s="24" t="n"/>
      <c r="F126" s="11">
        <f>IF(AND(C126="",E126=""),"",IF(NOT(ISNUMBER(B126)),"Needs a date",IF(NOT(ISNUMBER(E126)),"Needs the amount","")))</f>
        <v/>
      </c>
      <c r="G126" s="1">
        <f>IF(ISNUMBER(B126),YEAR(B126),"")</f>
        <v/>
      </c>
      <c r="H126">
        <f>IF(ISNUMBER(B126),YEAR(B126)*100+MONTH(B126),"")</f>
        <v/>
      </c>
    </row>
    <row r="127">
      <c r="A127" s="1" t="n"/>
      <c r="B127" s="17" t="n"/>
      <c r="C127" s="21" t="n"/>
      <c r="D127" s="19" t="n"/>
      <c r="E127" s="24" t="n"/>
      <c r="F127" s="11">
        <f>IF(AND(C127="",E127=""),"",IF(NOT(ISNUMBER(B127)),"Needs a date",IF(NOT(ISNUMBER(E127)),"Needs the amount","")))</f>
        <v/>
      </c>
      <c r="G127" s="1">
        <f>IF(ISNUMBER(B127),YEAR(B127),"")</f>
        <v/>
      </c>
      <c r="H127">
        <f>IF(ISNUMBER(B127),YEAR(B127)*100+MONTH(B127),"")</f>
        <v/>
      </c>
    </row>
    <row r="128">
      <c r="A128" s="1" t="n"/>
      <c r="B128" s="17" t="n"/>
      <c r="C128" s="21" t="n"/>
      <c r="D128" s="19" t="n"/>
      <c r="E128" s="24" t="n"/>
      <c r="F128" s="11">
        <f>IF(AND(C128="",E128=""),"",IF(NOT(ISNUMBER(B128)),"Needs a date",IF(NOT(ISNUMBER(E128)),"Needs the amount","")))</f>
        <v/>
      </c>
      <c r="G128" s="1">
        <f>IF(ISNUMBER(B128),YEAR(B128),"")</f>
        <v/>
      </c>
      <c r="H128">
        <f>IF(ISNUMBER(B128),YEAR(B128)*100+MONTH(B128),"")</f>
        <v/>
      </c>
    </row>
    <row r="129">
      <c r="A129" s="1" t="n"/>
      <c r="B129" s="17" t="n"/>
      <c r="C129" s="21" t="n"/>
      <c r="D129" s="19" t="n"/>
      <c r="E129" s="24" t="n"/>
      <c r="F129" s="11">
        <f>IF(AND(C129="",E129=""),"",IF(NOT(ISNUMBER(B129)),"Needs a date",IF(NOT(ISNUMBER(E129)),"Needs the amount","")))</f>
        <v/>
      </c>
      <c r="G129" s="1">
        <f>IF(ISNUMBER(B129),YEAR(B129),"")</f>
        <v/>
      </c>
      <c r="H129">
        <f>IF(ISNUMBER(B129),YEAR(B129)*100+MONTH(B129),"")</f>
        <v/>
      </c>
    </row>
    <row r="130">
      <c r="A130" s="1" t="n"/>
      <c r="B130" s="17" t="n"/>
      <c r="C130" s="21" t="n"/>
      <c r="D130" s="19" t="n"/>
      <c r="E130" s="24" t="n"/>
      <c r="F130" s="11">
        <f>IF(AND(C130="",E130=""),"",IF(NOT(ISNUMBER(B130)),"Needs a date",IF(NOT(ISNUMBER(E130)),"Needs the amount","")))</f>
        <v/>
      </c>
      <c r="G130" s="1">
        <f>IF(ISNUMBER(B130),YEAR(B130),"")</f>
        <v/>
      </c>
      <c r="H130">
        <f>IF(ISNUMBER(B130),YEAR(B130)*100+MONTH(B130),"")</f>
        <v/>
      </c>
    </row>
    <row r="131">
      <c r="A131" s="1" t="n"/>
      <c r="B131" s="17" t="n"/>
      <c r="C131" s="21" t="n"/>
      <c r="D131" s="19" t="n"/>
      <c r="E131" s="24" t="n"/>
      <c r="F131" s="11">
        <f>IF(AND(C131="",E131=""),"",IF(NOT(ISNUMBER(B131)),"Needs a date",IF(NOT(ISNUMBER(E131)),"Needs the amount","")))</f>
        <v/>
      </c>
      <c r="G131" s="1">
        <f>IF(ISNUMBER(B131),YEAR(B131),"")</f>
        <v/>
      </c>
      <c r="H131">
        <f>IF(ISNUMBER(B131),YEAR(B131)*100+MONTH(B131),"")</f>
        <v/>
      </c>
    </row>
    <row r="132">
      <c r="A132" s="1" t="n"/>
      <c r="B132" s="17" t="n"/>
      <c r="C132" s="21" t="n"/>
      <c r="D132" s="19" t="n"/>
      <c r="E132" s="24" t="n"/>
      <c r="F132" s="11">
        <f>IF(AND(C132="",E132=""),"",IF(NOT(ISNUMBER(B132)),"Needs a date",IF(NOT(ISNUMBER(E132)),"Needs the amount","")))</f>
        <v/>
      </c>
      <c r="G132" s="1">
        <f>IF(ISNUMBER(B132),YEAR(B132),"")</f>
        <v/>
      </c>
      <c r="H132">
        <f>IF(ISNUMBER(B132),YEAR(B132)*100+MONTH(B132),"")</f>
        <v/>
      </c>
    </row>
    <row r="133">
      <c r="A133" s="1" t="n"/>
      <c r="B133" s="17" t="n"/>
      <c r="C133" s="21" t="n"/>
      <c r="D133" s="19" t="n"/>
      <c r="E133" s="24" t="n"/>
      <c r="F133" s="11">
        <f>IF(AND(C133="",E133=""),"",IF(NOT(ISNUMBER(B133)),"Needs a date",IF(NOT(ISNUMBER(E133)),"Needs the amount","")))</f>
        <v/>
      </c>
      <c r="G133" s="1">
        <f>IF(ISNUMBER(B133),YEAR(B133),"")</f>
        <v/>
      </c>
      <c r="H133">
        <f>IF(ISNUMBER(B133),YEAR(B133)*100+MONTH(B133),"")</f>
        <v/>
      </c>
    </row>
    <row r="134">
      <c r="A134" s="1" t="n"/>
      <c r="B134" s="17" t="n"/>
      <c r="C134" s="21" t="n"/>
      <c r="D134" s="19" t="n"/>
      <c r="E134" s="24" t="n"/>
      <c r="F134" s="11">
        <f>IF(AND(C134="",E134=""),"",IF(NOT(ISNUMBER(B134)),"Needs a date",IF(NOT(ISNUMBER(E134)),"Needs the amount","")))</f>
        <v/>
      </c>
      <c r="G134" s="1">
        <f>IF(ISNUMBER(B134),YEAR(B134),"")</f>
        <v/>
      </c>
      <c r="H134">
        <f>IF(ISNUMBER(B134),YEAR(B134)*100+MONTH(B134),"")</f>
        <v/>
      </c>
    </row>
    <row r="135">
      <c r="A135" s="1" t="n"/>
      <c r="B135" s="17" t="n"/>
      <c r="C135" s="21" t="n"/>
      <c r="D135" s="19" t="n"/>
      <c r="E135" s="24" t="n"/>
      <c r="F135" s="11">
        <f>IF(AND(C135="",E135=""),"",IF(NOT(ISNUMBER(B135)),"Needs a date",IF(NOT(ISNUMBER(E135)),"Needs the amount","")))</f>
        <v/>
      </c>
      <c r="G135" s="1">
        <f>IF(ISNUMBER(B135),YEAR(B135),"")</f>
        <v/>
      </c>
      <c r="H135">
        <f>IF(ISNUMBER(B135),YEAR(B135)*100+MONTH(B135),"")</f>
        <v/>
      </c>
    </row>
    <row r="136">
      <c r="A136" s="1" t="n"/>
      <c r="B136" s="17" t="n"/>
      <c r="C136" s="21" t="n"/>
      <c r="D136" s="19" t="n"/>
      <c r="E136" s="24" t="n"/>
      <c r="F136" s="11">
        <f>IF(AND(C136="",E136=""),"",IF(NOT(ISNUMBER(B136)),"Needs a date",IF(NOT(ISNUMBER(E136)),"Needs the amount","")))</f>
        <v/>
      </c>
      <c r="G136" s="1">
        <f>IF(ISNUMBER(B136),YEAR(B136),"")</f>
        <v/>
      </c>
      <c r="H136">
        <f>IF(ISNUMBER(B136),YEAR(B136)*100+MONTH(B136),"")</f>
        <v/>
      </c>
    </row>
    <row r="137">
      <c r="A137" s="1" t="n"/>
      <c r="B137" s="17" t="n"/>
      <c r="C137" s="21" t="n"/>
      <c r="D137" s="19" t="n"/>
      <c r="E137" s="24" t="n"/>
      <c r="F137" s="11">
        <f>IF(AND(C137="",E137=""),"",IF(NOT(ISNUMBER(B137)),"Needs a date",IF(NOT(ISNUMBER(E137)),"Needs the amount","")))</f>
        <v/>
      </c>
      <c r="G137" s="1">
        <f>IF(ISNUMBER(B137),YEAR(B137),"")</f>
        <v/>
      </c>
      <c r="H137">
        <f>IF(ISNUMBER(B137),YEAR(B137)*100+MONTH(B137),"")</f>
        <v/>
      </c>
    </row>
    <row r="138">
      <c r="A138" s="1" t="n"/>
      <c r="B138" s="17" t="n"/>
      <c r="C138" s="21" t="n"/>
      <c r="D138" s="19" t="n"/>
      <c r="E138" s="24" t="n"/>
      <c r="F138" s="11">
        <f>IF(AND(C138="",E138=""),"",IF(NOT(ISNUMBER(B138)),"Needs a date",IF(NOT(ISNUMBER(E138)),"Needs the amount","")))</f>
        <v/>
      </c>
      <c r="G138" s="1">
        <f>IF(ISNUMBER(B138),YEAR(B138),"")</f>
        <v/>
      </c>
      <c r="H138">
        <f>IF(ISNUMBER(B138),YEAR(B138)*100+MONTH(B138),"")</f>
        <v/>
      </c>
    </row>
    <row r="139">
      <c r="A139" s="1" t="n"/>
      <c r="B139" s="17" t="n"/>
      <c r="C139" s="21" t="n"/>
      <c r="D139" s="19" t="n"/>
      <c r="E139" s="24" t="n"/>
      <c r="F139" s="11">
        <f>IF(AND(C139="",E139=""),"",IF(NOT(ISNUMBER(B139)),"Needs a date",IF(NOT(ISNUMBER(E139)),"Needs the amount","")))</f>
        <v/>
      </c>
      <c r="G139" s="1">
        <f>IF(ISNUMBER(B139),YEAR(B139),"")</f>
        <v/>
      </c>
      <c r="H139">
        <f>IF(ISNUMBER(B139),YEAR(B139)*100+MONTH(B139),"")</f>
        <v/>
      </c>
    </row>
    <row r="140">
      <c r="A140" s="1" t="n"/>
      <c r="B140" s="17" t="n"/>
      <c r="C140" s="21" t="n"/>
      <c r="D140" s="19" t="n"/>
      <c r="E140" s="24" t="n"/>
      <c r="F140" s="11">
        <f>IF(AND(C140="",E140=""),"",IF(NOT(ISNUMBER(B140)),"Needs a date",IF(NOT(ISNUMBER(E140)),"Needs the amount","")))</f>
        <v/>
      </c>
      <c r="G140" s="1">
        <f>IF(ISNUMBER(B140),YEAR(B140),"")</f>
        <v/>
      </c>
      <c r="H140">
        <f>IF(ISNUMBER(B140),YEAR(B140)*100+MONTH(B140),"")</f>
        <v/>
      </c>
    </row>
    <row r="141">
      <c r="A141" s="1" t="n"/>
      <c r="B141" s="17" t="n"/>
      <c r="C141" s="21" t="n"/>
      <c r="D141" s="19" t="n"/>
      <c r="E141" s="24" t="n"/>
      <c r="F141" s="11">
        <f>IF(AND(C141="",E141=""),"",IF(NOT(ISNUMBER(B141)),"Needs a date",IF(NOT(ISNUMBER(E141)),"Needs the amount","")))</f>
        <v/>
      </c>
      <c r="G141" s="1">
        <f>IF(ISNUMBER(B141),YEAR(B141),"")</f>
        <v/>
      </c>
      <c r="H141">
        <f>IF(ISNUMBER(B141),YEAR(B141)*100+MONTH(B141),"")</f>
        <v/>
      </c>
    </row>
    <row r="142">
      <c r="A142" s="1" t="n"/>
      <c r="B142" s="17" t="n"/>
      <c r="C142" s="21" t="n"/>
      <c r="D142" s="19" t="n"/>
      <c r="E142" s="24" t="n"/>
      <c r="F142" s="11">
        <f>IF(AND(C142="",E142=""),"",IF(NOT(ISNUMBER(B142)),"Needs a date",IF(NOT(ISNUMBER(E142)),"Needs the amount","")))</f>
        <v/>
      </c>
      <c r="G142" s="1">
        <f>IF(ISNUMBER(B142),YEAR(B142),"")</f>
        <v/>
      </c>
      <c r="H142">
        <f>IF(ISNUMBER(B142),YEAR(B142)*100+MONTH(B142),"")</f>
        <v/>
      </c>
    </row>
    <row r="143">
      <c r="A143" s="1" t="n"/>
      <c r="B143" s="17" t="n"/>
      <c r="C143" s="21" t="n"/>
      <c r="D143" s="19" t="n"/>
      <c r="E143" s="24" t="n"/>
      <c r="F143" s="11">
        <f>IF(AND(C143="",E143=""),"",IF(NOT(ISNUMBER(B143)),"Needs a date",IF(NOT(ISNUMBER(E143)),"Needs the amount","")))</f>
        <v/>
      </c>
      <c r="G143" s="1">
        <f>IF(ISNUMBER(B143),YEAR(B143),"")</f>
        <v/>
      </c>
      <c r="H143">
        <f>IF(ISNUMBER(B143),YEAR(B143)*100+MONTH(B143),"")</f>
        <v/>
      </c>
    </row>
    <row r="144">
      <c r="A144" s="1" t="n"/>
      <c r="B144" s="17" t="n"/>
      <c r="C144" s="21" t="n"/>
      <c r="D144" s="19" t="n"/>
      <c r="E144" s="24" t="n"/>
      <c r="F144" s="11">
        <f>IF(AND(C144="",E144=""),"",IF(NOT(ISNUMBER(B144)),"Needs a date",IF(NOT(ISNUMBER(E144)),"Needs the amount","")))</f>
        <v/>
      </c>
      <c r="G144" s="1">
        <f>IF(ISNUMBER(B144),YEAR(B144),"")</f>
        <v/>
      </c>
      <c r="H144">
        <f>IF(ISNUMBER(B144),YEAR(B144)*100+MONTH(B144),"")</f>
        <v/>
      </c>
    </row>
    <row r="145">
      <c r="A145" s="1" t="n"/>
      <c r="B145" s="17" t="n"/>
      <c r="C145" s="21" t="n"/>
      <c r="D145" s="19" t="n"/>
      <c r="E145" s="24" t="n"/>
      <c r="F145" s="11">
        <f>IF(AND(C145="",E145=""),"",IF(NOT(ISNUMBER(B145)),"Needs a date",IF(NOT(ISNUMBER(E145)),"Needs the amount","")))</f>
        <v/>
      </c>
      <c r="G145" s="1">
        <f>IF(ISNUMBER(B145),YEAR(B145),"")</f>
        <v/>
      </c>
      <c r="H145">
        <f>IF(ISNUMBER(B145),YEAR(B145)*100+MONTH(B145),"")</f>
        <v/>
      </c>
    </row>
    <row r="146">
      <c r="A146" s="1" t="n"/>
      <c r="B146" s="17" t="n"/>
      <c r="C146" s="21" t="n"/>
      <c r="D146" s="19" t="n"/>
      <c r="E146" s="24" t="n"/>
      <c r="F146" s="11">
        <f>IF(AND(C146="",E146=""),"",IF(NOT(ISNUMBER(B146)),"Needs a date",IF(NOT(ISNUMBER(E146)),"Needs the amount","")))</f>
        <v/>
      </c>
      <c r="G146" s="1">
        <f>IF(ISNUMBER(B146),YEAR(B146),"")</f>
        <v/>
      </c>
      <c r="H146">
        <f>IF(ISNUMBER(B146),YEAR(B146)*100+MONTH(B146),"")</f>
        <v/>
      </c>
    </row>
    <row r="147">
      <c r="A147" s="1" t="n"/>
      <c r="B147" s="17" t="n"/>
      <c r="C147" s="21" t="n"/>
      <c r="D147" s="19" t="n"/>
      <c r="E147" s="24" t="n"/>
      <c r="F147" s="11">
        <f>IF(AND(C147="",E147=""),"",IF(NOT(ISNUMBER(B147)),"Needs a date",IF(NOT(ISNUMBER(E147)),"Needs the amount","")))</f>
        <v/>
      </c>
      <c r="G147" s="1">
        <f>IF(ISNUMBER(B147),YEAR(B147),"")</f>
        <v/>
      </c>
      <c r="H147">
        <f>IF(ISNUMBER(B147),YEAR(B147)*100+MONTH(B147),"")</f>
        <v/>
      </c>
    </row>
    <row r="148">
      <c r="A148" s="1" t="n"/>
      <c r="B148" s="17" t="n"/>
      <c r="C148" s="21" t="n"/>
      <c r="D148" s="19" t="n"/>
      <c r="E148" s="24" t="n"/>
      <c r="F148" s="11">
        <f>IF(AND(C148="",E148=""),"",IF(NOT(ISNUMBER(B148)),"Needs a date",IF(NOT(ISNUMBER(E148)),"Needs the amount","")))</f>
        <v/>
      </c>
      <c r="G148" s="1">
        <f>IF(ISNUMBER(B148),YEAR(B148),"")</f>
        <v/>
      </c>
      <c r="H148">
        <f>IF(ISNUMBER(B148),YEAR(B148)*100+MONTH(B148),"")</f>
        <v/>
      </c>
    </row>
    <row r="149">
      <c r="A149" s="1" t="n"/>
      <c r="B149" s="17" t="n"/>
      <c r="C149" s="21" t="n"/>
      <c r="D149" s="19" t="n"/>
      <c r="E149" s="24" t="n"/>
      <c r="F149" s="11">
        <f>IF(AND(C149="",E149=""),"",IF(NOT(ISNUMBER(B149)),"Needs a date",IF(NOT(ISNUMBER(E149)),"Needs the amount","")))</f>
        <v/>
      </c>
      <c r="G149" s="1">
        <f>IF(ISNUMBER(B149),YEAR(B149),"")</f>
        <v/>
      </c>
      <c r="H149">
        <f>IF(ISNUMBER(B149),YEAR(B149)*100+MONTH(B149),"")</f>
        <v/>
      </c>
    </row>
    <row r="150">
      <c r="A150" s="1" t="n"/>
      <c r="B150" s="17" t="n"/>
      <c r="C150" s="21" t="n"/>
      <c r="D150" s="19" t="n"/>
      <c r="E150" s="24" t="n"/>
      <c r="F150" s="11">
        <f>IF(AND(C150="",E150=""),"",IF(NOT(ISNUMBER(B150)),"Needs a date",IF(NOT(ISNUMBER(E150)),"Needs the amount","")))</f>
        <v/>
      </c>
      <c r="G150" s="1">
        <f>IF(ISNUMBER(B150),YEAR(B150),"")</f>
        <v/>
      </c>
      <c r="H150">
        <f>IF(ISNUMBER(B150),YEAR(B150)*100+MONTH(B150),"")</f>
        <v/>
      </c>
    </row>
    <row r="151">
      <c r="A151" s="1" t="n"/>
      <c r="B151" s="17" t="n"/>
      <c r="C151" s="21" t="n"/>
      <c r="D151" s="19" t="n"/>
      <c r="E151" s="24" t="n"/>
      <c r="F151" s="11">
        <f>IF(AND(C151="",E151=""),"",IF(NOT(ISNUMBER(B151)),"Needs a date",IF(NOT(ISNUMBER(E151)),"Needs the amount","")))</f>
        <v/>
      </c>
      <c r="G151" s="1">
        <f>IF(ISNUMBER(B151),YEAR(B151),"")</f>
        <v/>
      </c>
      <c r="H151">
        <f>IF(ISNUMBER(B151),YEAR(B151)*100+MONTH(B151),"")</f>
        <v/>
      </c>
    </row>
    <row r="152">
      <c r="A152" s="1" t="n"/>
      <c r="B152" s="17" t="n"/>
      <c r="C152" s="21" t="n"/>
      <c r="D152" s="19" t="n"/>
      <c r="E152" s="24" t="n"/>
      <c r="F152" s="11">
        <f>IF(AND(C152="",E152=""),"",IF(NOT(ISNUMBER(B152)),"Needs a date",IF(NOT(ISNUMBER(E152)),"Needs the amount","")))</f>
        <v/>
      </c>
      <c r="G152" s="1">
        <f>IF(ISNUMBER(B152),YEAR(B152),"")</f>
        <v/>
      </c>
      <c r="H152">
        <f>IF(ISNUMBER(B152),YEAR(B152)*100+MONTH(B152),"")</f>
        <v/>
      </c>
    </row>
    <row r="153">
      <c r="A153" s="1" t="n"/>
      <c r="B153" s="17" t="n"/>
      <c r="C153" s="21" t="n"/>
      <c r="D153" s="19" t="n"/>
      <c r="E153" s="24" t="n"/>
      <c r="F153" s="11">
        <f>IF(AND(C153="",E153=""),"",IF(NOT(ISNUMBER(B153)),"Needs a date",IF(NOT(ISNUMBER(E153)),"Needs the amount","")))</f>
        <v/>
      </c>
      <c r="G153" s="1">
        <f>IF(ISNUMBER(B153),YEAR(B153),"")</f>
        <v/>
      </c>
      <c r="H153">
        <f>IF(ISNUMBER(B153),YEAR(B153)*100+MONTH(B153),"")</f>
        <v/>
      </c>
    </row>
    <row r="154">
      <c r="A154" s="1" t="n"/>
      <c r="B154" s="17" t="n"/>
      <c r="C154" s="21" t="n"/>
      <c r="D154" s="19" t="n"/>
      <c r="E154" s="24" t="n"/>
      <c r="F154" s="11">
        <f>IF(AND(C154="",E154=""),"",IF(NOT(ISNUMBER(B154)),"Needs a date",IF(NOT(ISNUMBER(E154)),"Needs the amount","")))</f>
        <v/>
      </c>
      <c r="G154" s="1">
        <f>IF(ISNUMBER(B154),YEAR(B154),"")</f>
        <v/>
      </c>
      <c r="H154">
        <f>IF(ISNUMBER(B154),YEAR(B154)*100+MONTH(B154),"")</f>
        <v/>
      </c>
    </row>
    <row r="155">
      <c r="A155" s="1" t="n"/>
      <c r="B155" s="17" t="n"/>
      <c r="C155" s="21" t="n"/>
      <c r="D155" s="19" t="n"/>
      <c r="E155" s="24" t="n"/>
      <c r="F155" s="11">
        <f>IF(AND(C155="",E155=""),"",IF(NOT(ISNUMBER(B155)),"Needs a date",IF(NOT(ISNUMBER(E155)),"Needs the amount","")))</f>
        <v/>
      </c>
      <c r="G155" s="1">
        <f>IF(ISNUMBER(B155),YEAR(B155),"")</f>
        <v/>
      </c>
      <c r="H155">
        <f>IF(ISNUMBER(B155),YEAR(B155)*100+MONTH(B155),"")</f>
        <v/>
      </c>
    </row>
    <row r="156">
      <c r="A156" s="1" t="n"/>
      <c r="B156" s="17" t="n"/>
      <c r="C156" s="21" t="n"/>
      <c r="D156" s="19" t="n"/>
      <c r="E156" s="24" t="n"/>
      <c r="F156" s="11">
        <f>IF(AND(C156="",E156=""),"",IF(NOT(ISNUMBER(B156)),"Needs a date",IF(NOT(ISNUMBER(E156)),"Needs the amount","")))</f>
        <v/>
      </c>
      <c r="G156" s="1">
        <f>IF(ISNUMBER(B156),YEAR(B156),"")</f>
        <v/>
      </c>
      <c r="H156">
        <f>IF(ISNUMBER(B156),YEAR(B156)*100+MONTH(B156),"")</f>
        <v/>
      </c>
    </row>
    <row r="157">
      <c r="A157" s="1" t="n"/>
      <c r="B157" s="17" t="n"/>
      <c r="C157" s="21" t="n"/>
      <c r="D157" s="19" t="n"/>
      <c r="E157" s="24" t="n"/>
      <c r="F157" s="11">
        <f>IF(AND(C157="",E157=""),"",IF(NOT(ISNUMBER(B157)),"Needs a date",IF(NOT(ISNUMBER(E157)),"Needs the amount","")))</f>
        <v/>
      </c>
      <c r="G157" s="1">
        <f>IF(ISNUMBER(B157),YEAR(B157),"")</f>
        <v/>
      </c>
      <c r="H157">
        <f>IF(ISNUMBER(B157),YEAR(B157)*100+MONTH(B157),"")</f>
        <v/>
      </c>
    </row>
    <row r="158">
      <c r="A158" s="1" t="n"/>
      <c r="B158" s="17" t="n"/>
      <c r="C158" s="21" t="n"/>
      <c r="D158" s="19" t="n"/>
      <c r="E158" s="24" t="n"/>
      <c r="F158" s="11">
        <f>IF(AND(C158="",E158=""),"",IF(NOT(ISNUMBER(B158)),"Needs a date",IF(NOT(ISNUMBER(E158)),"Needs the amount","")))</f>
        <v/>
      </c>
      <c r="G158" s="1">
        <f>IF(ISNUMBER(B158),YEAR(B158),"")</f>
        <v/>
      </c>
      <c r="H158">
        <f>IF(ISNUMBER(B158),YEAR(B158)*100+MONTH(B158),"")</f>
        <v/>
      </c>
    </row>
    <row r="159">
      <c r="A159" s="1" t="n"/>
      <c r="B159" s="17" t="n"/>
      <c r="C159" s="21" t="n"/>
      <c r="D159" s="19" t="n"/>
      <c r="E159" s="24" t="n"/>
      <c r="F159" s="11">
        <f>IF(AND(C159="",E159=""),"",IF(NOT(ISNUMBER(B159)),"Needs a date",IF(NOT(ISNUMBER(E159)),"Needs the amount","")))</f>
        <v/>
      </c>
      <c r="G159" s="1">
        <f>IF(ISNUMBER(B159),YEAR(B159),"")</f>
        <v/>
      </c>
      <c r="H159">
        <f>IF(ISNUMBER(B159),YEAR(B159)*100+MONTH(B159),"")</f>
        <v/>
      </c>
    </row>
    <row r="160">
      <c r="A160" s="1" t="n"/>
      <c r="B160" s="17" t="n"/>
      <c r="C160" s="21" t="n"/>
      <c r="D160" s="19" t="n"/>
      <c r="E160" s="24" t="n"/>
      <c r="F160" s="11">
        <f>IF(AND(C160="",E160=""),"",IF(NOT(ISNUMBER(B160)),"Needs a date",IF(NOT(ISNUMBER(E160)),"Needs the amount","")))</f>
        <v/>
      </c>
      <c r="G160" s="1">
        <f>IF(ISNUMBER(B160),YEAR(B160),"")</f>
        <v/>
      </c>
      <c r="H160">
        <f>IF(ISNUMBER(B160),YEAR(B160)*100+MONTH(B160),"")</f>
        <v/>
      </c>
    </row>
    <row r="161">
      <c r="A161" s="1" t="n"/>
      <c r="B161" s="17" t="n"/>
      <c r="C161" s="21" t="n"/>
      <c r="D161" s="19" t="n"/>
      <c r="E161" s="24" t="n"/>
      <c r="F161" s="11">
        <f>IF(AND(C161="",E161=""),"",IF(NOT(ISNUMBER(B161)),"Needs a date",IF(NOT(ISNUMBER(E161)),"Needs the amount","")))</f>
        <v/>
      </c>
      <c r="G161" s="1">
        <f>IF(ISNUMBER(B161),YEAR(B161),"")</f>
        <v/>
      </c>
      <c r="H161">
        <f>IF(ISNUMBER(B161),YEAR(B161)*100+MONTH(B161),"")</f>
        <v/>
      </c>
    </row>
    <row r="162">
      <c r="A162" s="1" t="n"/>
      <c r="B162" s="17" t="n"/>
      <c r="C162" s="21" t="n"/>
      <c r="D162" s="19" t="n"/>
      <c r="E162" s="24" t="n"/>
      <c r="F162" s="11">
        <f>IF(AND(C162="",E162=""),"",IF(NOT(ISNUMBER(B162)),"Needs a date",IF(NOT(ISNUMBER(E162)),"Needs the amount","")))</f>
        <v/>
      </c>
      <c r="G162" s="1">
        <f>IF(ISNUMBER(B162),YEAR(B162),"")</f>
        <v/>
      </c>
      <c r="H162">
        <f>IF(ISNUMBER(B162),YEAR(B162)*100+MONTH(B162),"")</f>
        <v/>
      </c>
    </row>
    <row r="163">
      <c r="A163" s="1" t="n"/>
      <c r="B163" s="17" t="n"/>
      <c r="C163" s="21" t="n"/>
      <c r="D163" s="19" t="n"/>
      <c r="E163" s="24" t="n"/>
      <c r="F163" s="11">
        <f>IF(AND(C163="",E163=""),"",IF(NOT(ISNUMBER(B163)),"Needs a date",IF(NOT(ISNUMBER(E163)),"Needs the amount","")))</f>
        <v/>
      </c>
      <c r="G163" s="1">
        <f>IF(ISNUMBER(B163),YEAR(B163),"")</f>
        <v/>
      </c>
      <c r="H163">
        <f>IF(ISNUMBER(B163),YEAR(B163)*100+MONTH(B163),"")</f>
        <v/>
      </c>
    </row>
    <row r="164">
      <c r="A164" s="1" t="n"/>
      <c r="B164" s="17" t="n"/>
      <c r="C164" s="21" t="n"/>
      <c r="D164" s="19" t="n"/>
      <c r="E164" s="24" t="n"/>
      <c r="F164" s="11">
        <f>IF(AND(C164="",E164=""),"",IF(NOT(ISNUMBER(B164)),"Needs a date",IF(NOT(ISNUMBER(E164)),"Needs the amount","")))</f>
        <v/>
      </c>
      <c r="G164" s="1">
        <f>IF(ISNUMBER(B164),YEAR(B164),"")</f>
        <v/>
      </c>
      <c r="H164">
        <f>IF(ISNUMBER(B164),YEAR(B164)*100+MONTH(B164),"")</f>
        <v/>
      </c>
    </row>
    <row r="165">
      <c r="A165" s="1" t="n"/>
      <c r="B165" s="17" t="n"/>
      <c r="C165" s="21" t="n"/>
      <c r="D165" s="19" t="n"/>
      <c r="E165" s="24" t="n"/>
      <c r="F165" s="11">
        <f>IF(AND(C165="",E165=""),"",IF(NOT(ISNUMBER(B165)),"Needs a date",IF(NOT(ISNUMBER(E165)),"Needs the amount","")))</f>
        <v/>
      </c>
      <c r="G165" s="1">
        <f>IF(ISNUMBER(B165),YEAR(B165),"")</f>
        <v/>
      </c>
      <c r="H165">
        <f>IF(ISNUMBER(B165),YEAR(B165)*100+MONTH(B165),"")</f>
        <v/>
      </c>
    </row>
    <row r="166">
      <c r="A166" s="1" t="n"/>
      <c r="B166" s="17" t="n"/>
      <c r="C166" s="21" t="n"/>
      <c r="D166" s="19" t="n"/>
      <c r="E166" s="24" t="n"/>
      <c r="F166" s="11">
        <f>IF(AND(C166="",E166=""),"",IF(NOT(ISNUMBER(B166)),"Needs a date",IF(NOT(ISNUMBER(E166)),"Needs the amount","")))</f>
        <v/>
      </c>
      <c r="G166" s="1">
        <f>IF(ISNUMBER(B166),YEAR(B166),"")</f>
        <v/>
      </c>
      <c r="H166">
        <f>IF(ISNUMBER(B166),YEAR(B166)*100+MONTH(B166),"")</f>
        <v/>
      </c>
    </row>
    <row r="167">
      <c r="A167" s="1" t="n"/>
      <c r="B167" s="17" t="n"/>
      <c r="C167" s="21" t="n"/>
      <c r="D167" s="19" t="n"/>
      <c r="E167" s="24" t="n"/>
      <c r="F167" s="11">
        <f>IF(AND(C167="",E167=""),"",IF(NOT(ISNUMBER(B167)),"Needs a date",IF(NOT(ISNUMBER(E167)),"Needs the amount","")))</f>
        <v/>
      </c>
      <c r="G167" s="1">
        <f>IF(ISNUMBER(B167),YEAR(B167),"")</f>
        <v/>
      </c>
      <c r="H167">
        <f>IF(ISNUMBER(B167),YEAR(B167)*100+MONTH(B167),"")</f>
        <v/>
      </c>
    </row>
    <row r="168">
      <c r="A168" s="1" t="n"/>
      <c r="B168" s="17" t="n"/>
      <c r="C168" s="21" t="n"/>
      <c r="D168" s="19" t="n"/>
      <c r="E168" s="24" t="n"/>
      <c r="F168" s="11">
        <f>IF(AND(C168="",E168=""),"",IF(NOT(ISNUMBER(B168)),"Needs a date",IF(NOT(ISNUMBER(E168)),"Needs the amount","")))</f>
        <v/>
      </c>
      <c r="G168" s="1">
        <f>IF(ISNUMBER(B168),YEAR(B168),"")</f>
        <v/>
      </c>
      <c r="H168">
        <f>IF(ISNUMBER(B168),YEAR(B168)*100+MONTH(B168),"")</f>
        <v/>
      </c>
    </row>
    <row r="169">
      <c r="A169" s="1" t="n"/>
      <c r="B169" s="17" t="n"/>
      <c r="C169" s="21" t="n"/>
      <c r="D169" s="19" t="n"/>
      <c r="E169" s="24" t="n"/>
      <c r="F169" s="11">
        <f>IF(AND(C169="",E169=""),"",IF(NOT(ISNUMBER(B169)),"Needs a date",IF(NOT(ISNUMBER(E169)),"Needs the amount","")))</f>
        <v/>
      </c>
      <c r="G169" s="1">
        <f>IF(ISNUMBER(B169),YEAR(B169),"")</f>
        <v/>
      </c>
      <c r="H169">
        <f>IF(ISNUMBER(B169),YEAR(B169)*100+MONTH(B169),"")</f>
        <v/>
      </c>
    </row>
    <row r="170">
      <c r="A170" s="1" t="n"/>
      <c r="B170" s="17" t="n"/>
      <c r="C170" s="21" t="n"/>
      <c r="D170" s="19" t="n"/>
      <c r="E170" s="24" t="n"/>
      <c r="F170" s="11">
        <f>IF(AND(C170="",E170=""),"",IF(NOT(ISNUMBER(B170)),"Needs a date",IF(NOT(ISNUMBER(E170)),"Needs the amount","")))</f>
        <v/>
      </c>
      <c r="G170" s="1">
        <f>IF(ISNUMBER(B170),YEAR(B170),"")</f>
        <v/>
      </c>
      <c r="H170">
        <f>IF(ISNUMBER(B170),YEAR(B170)*100+MONTH(B170),"")</f>
        <v/>
      </c>
    </row>
    <row r="171">
      <c r="A171" s="1" t="n"/>
      <c r="B171" s="17" t="n"/>
      <c r="C171" s="21" t="n"/>
      <c r="D171" s="19" t="n"/>
      <c r="E171" s="24" t="n"/>
      <c r="F171" s="11">
        <f>IF(AND(C171="",E171=""),"",IF(NOT(ISNUMBER(B171)),"Needs a date",IF(NOT(ISNUMBER(E171)),"Needs the amount","")))</f>
        <v/>
      </c>
      <c r="G171" s="1">
        <f>IF(ISNUMBER(B171),YEAR(B171),"")</f>
        <v/>
      </c>
      <c r="H171">
        <f>IF(ISNUMBER(B171),YEAR(B171)*100+MONTH(B171),"")</f>
        <v/>
      </c>
    </row>
    <row r="172">
      <c r="A172" s="1" t="n"/>
      <c r="B172" s="17" t="n"/>
      <c r="C172" s="21" t="n"/>
      <c r="D172" s="19" t="n"/>
      <c r="E172" s="24" t="n"/>
      <c r="F172" s="11">
        <f>IF(AND(C172="",E172=""),"",IF(NOT(ISNUMBER(B172)),"Needs a date",IF(NOT(ISNUMBER(E172)),"Needs the amount","")))</f>
        <v/>
      </c>
      <c r="G172" s="1">
        <f>IF(ISNUMBER(B172),YEAR(B172),"")</f>
        <v/>
      </c>
      <c r="H172">
        <f>IF(ISNUMBER(B172),YEAR(B172)*100+MONTH(B172),"")</f>
        <v/>
      </c>
    </row>
    <row r="173">
      <c r="A173" s="1" t="n"/>
      <c r="B173" s="17" t="n"/>
      <c r="C173" s="21" t="n"/>
      <c r="D173" s="19" t="n"/>
      <c r="E173" s="24" t="n"/>
      <c r="F173" s="11">
        <f>IF(AND(C173="",E173=""),"",IF(NOT(ISNUMBER(B173)),"Needs a date",IF(NOT(ISNUMBER(E173)),"Needs the amount","")))</f>
        <v/>
      </c>
      <c r="G173" s="1">
        <f>IF(ISNUMBER(B173),YEAR(B173),"")</f>
        <v/>
      </c>
      <c r="H173">
        <f>IF(ISNUMBER(B173),YEAR(B173)*100+MONTH(B173),"")</f>
        <v/>
      </c>
    </row>
    <row r="174">
      <c r="A174" s="1" t="n"/>
      <c r="B174" s="17" t="n"/>
      <c r="C174" s="21" t="n"/>
      <c r="D174" s="19" t="n"/>
      <c r="E174" s="24" t="n"/>
      <c r="F174" s="11">
        <f>IF(AND(C174="",E174=""),"",IF(NOT(ISNUMBER(B174)),"Needs a date",IF(NOT(ISNUMBER(E174)),"Needs the amount","")))</f>
        <v/>
      </c>
      <c r="G174" s="1">
        <f>IF(ISNUMBER(B174),YEAR(B174),"")</f>
        <v/>
      </c>
      <c r="H174">
        <f>IF(ISNUMBER(B174),YEAR(B174)*100+MONTH(B174),"")</f>
        <v/>
      </c>
    </row>
    <row r="175">
      <c r="A175" s="1" t="n"/>
      <c r="B175" s="17" t="n"/>
      <c r="C175" s="21" t="n"/>
      <c r="D175" s="19" t="n"/>
      <c r="E175" s="24" t="n"/>
      <c r="F175" s="11">
        <f>IF(AND(C175="",E175=""),"",IF(NOT(ISNUMBER(B175)),"Needs a date",IF(NOT(ISNUMBER(E175)),"Needs the amount","")))</f>
        <v/>
      </c>
      <c r="G175" s="1">
        <f>IF(ISNUMBER(B175),YEAR(B175),"")</f>
        <v/>
      </c>
      <c r="H175">
        <f>IF(ISNUMBER(B175),YEAR(B175)*100+MONTH(B175),"")</f>
        <v/>
      </c>
    </row>
    <row r="176">
      <c r="A176" s="1" t="n"/>
      <c r="B176" s="17" t="n"/>
      <c r="C176" s="21" t="n"/>
      <c r="D176" s="19" t="n"/>
      <c r="E176" s="24" t="n"/>
      <c r="F176" s="11">
        <f>IF(AND(C176="",E176=""),"",IF(NOT(ISNUMBER(B176)),"Needs a date",IF(NOT(ISNUMBER(E176)),"Needs the amount","")))</f>
        <v/>
      </c>
      <c r="G176" s="1">
        <f>IF(ISNUMBER(B176),YEAR(B176),"")</f>
        <v/>
      </c>
      <c r="H176">
        <f>IF(ISNUMBER(B176),YEAR(B176)*100+MONTH(B176),"")</f>
        <v/>
      </c>
    </row>
    <row r="177">
      <c r="A177" s="1" t="n"/>
      <c r="B177" s="17" t="n"/>
      <c r="C177" s="21" t="n"/>
      <c r="D177" s="19" t="n"/>
      <c r="E177" s="24" t="n"/>
      <c r="F177" s="11">
        <f>IF(AND(C177="",E177=""),"",IF(NOT(ISNUMBER(B177)),"Needs a date",IF(NOT(ISNUMBER(E177)),"Needs the amount","")))</f>
        <v/>
      </c>
      <c r="G177" s="1">
        <f>IF(ISNUMBER(B177),YEAR(B177),"")</f>
        <v/>
      </c>
      <c r="H177">
        <f>IF(ISNUMBER(B177),YEAR(B177)*100+MONTH(B177),"")</f>
        <v/>
      </c>
    </row>
    <row r="178">
      <c r="A178" s="1" t="n"/>
      <c r="B178" s="17" t="n"/>
      <c r="C178" s="21" t="n"/>
      <c r="D178" s="19" t="n"/>
      <c r="E178" s="24" t="n"/>
      <c r="F178" s="11">
        <f>IF(AND(C178="",E178=""),"",IF(NOT(ISNUMBER(B178)),"Needs a date",IF(NOT(ISNUMBER(E178)),"Needs the amount","")))</f>
        <v/>
      </c>
      <c r="G178" s="1">
        <f>IF(ISNUMBER(B178),YEAR(B178),"")</f>
        <v/>
      </c>
      <c r="H178">
        <f>IF(ISNUMBER(B178),YEAR(B178)*100+MONTH(B178),"")</f>
        <v/>
      </c>
    </row>
    <row r="179">
      <c r="A179" s="1" t="n"/>
      <c r="B179" s="17" t="n"/>
      <c r="C179" s="21" t="n"/>
      <c r="D179" s="19" t="n"/>
      <c r="E179" s="24" t="n"/>
      <c r="F179" s="11">
        <f>IF(AND(C179="",E179=""),"",IF(NOT(ISNUMBER(B179)),"Needs a date",IF(NOT(ISNUMBER(E179)),"Needs the amount","")))</f>
        <v/>
      </c>
      <c r="G179" s="1">
        <f>IF(ISNUMBER(B179),YEAR(B179),"")</f>
        <v/>
      </c>
      <c r="H179">
        <f>IF(ISNUMBER(B179),YEAR(B179)*100+MONTH(B179),"")</f>
        <v/>
      </c>
    </row>
    <row r="180">
      <c r="A180" s="1" t="n"/>
      <c r="B180" s="17" t="n"/>
      <c r="C180" s="21" t="n"/>
      <c r="D180" s="19" t="n"/>
      <c r="E180" s="24" t="n"/>
      <c r="F180" s="11">
        <f>IF(AND(C180="",E180=""),"",IF(NOT(ISNUMBER(B180)),"Needs a date",IF(NOT(ISNUMBER(E180)),"Needs the amount","")))</f>
        <v/>
      </c>
      <c r="G180" s="1">
        <f>IF(ISNUMBER(B180),YEAR(B180),"")</f>
        <v/>
      </c>
      <c r="H180">
        <f>IF(ISNUMBER(B180),YEAR(B180)*100+MONTH(B180),"")</f>
        <v/>
      </c>
    </row>
    <row r="181">
      <c r="A181" s="1" t="n"/>
      <c r="B181" s="17" t="n"/>
      <c r="C181" s="21" t="n"/>
      <c r="D181" s="19" t="n"/>
      <c r="E181" s="24" t="n"/>
      <c r="F181" s="11">
        <f>IF(AND(C181="",E181=""),"",IF(NOT(ISNUMBER(B181)),"Needs a date",IF(NOT(ISNUMBER(E181)),"Needs the amount","")))</f>
        <v/>
      </c>
      <c r="G181" s="1">
        <f>IF(ISNUMBER(B181),YEAR(B181),"")</f>
        <v/>
      </c>
      <c r="H181">
        <f>IF(ISNUMBER(B181),YEAR(B181)*100+MONTH(B181),"")</f>
        <v/>
      </c>
    </row>
    <row r="182">
      <c r="A182" s="1" t="n"/>
      <c r="B182" s="17" t="n"/>
      <c r="C182" s="21" t="n"/>
      <c r="D182" s="19" t="n"/>
      <c r="E182" s="24" t="n"/>
      <c r="F182" s="11">
        <f>IF(AND(C182="",E182=""),"",IF(NOT(ISNUMBER(B182)),"Needs a date",IF(NOT(ISNUMBER(E182)),"Needs the amount","")))</f>
        <v/>
      </c>
      <c r="G182" s="1">
        <f>IF(ISNUMBER(B182),YEAR(B182),"")</f>
        <v/>
      </c>
      <c r="H182">
        <f>IF(ISNUMBER(B182),YEAR(B182)*100+MONTH(B182),"")</f>
        <v/>
      </c>
    </row>
    <row r="183">
      <c r="A183" s="1" t="n"/>
      <c r="B183" s="17" t="n"/>
      <c r="C183" s="21" t="n"/>
      <c r="D183" s="19" t="n"/>
      <c r="E183" s="24" t="n"/>
      <c r="F183" s="11">
        <f>IF(AND(C183="",E183=""),"",IF(NOT(ISNUMBER(B183)),"Needs a date",IF(NOT(ISNUMBER(E183)),"Needs the amount","")))</f>
        <v/>
      </c>
      <c r="G183" s="1">
        <f>IF(ISNUMBER(B183),YEAR(B183),"")</f>
        <v/>
      </c>
      <c r="H183">
        <f>IF(ISNUMBER(B183),YEAR(B183)*100+MONTH(B183),"")</f>
        <v/>
      </c>
    </row>
    <row r="184">
      <c r="A184" s="1" t="n"/>
      <c r="B184" s="17" t="n"/>
      <c r="C184" s="21" t="n"/>
      <c r="D184" s="19" t="n"/>
      <c r="E184" s="24" t="n"/>
      <c r="F184" s="11">
        <f>IF(AND(C184="",E184=""),"",IF(NOT(ISNUMBER(B184)),"Needs a date",IF(NOT(ISNUMBER(E184)),"Needs the amount","")))</f>
        <v/>
      </c>
      <c r="G184" s="1">
        <f>IF(ISNUMBER(B184),YEAR(B184),"")</f>
        <v/>
      </c>
      <c r="H184">
        <f>IF(ISNUMBER(B184),YEAR(B184)*100+MONTH(B184),"")</f>
        <v/>
      </c>
    </row>
    <row r="185">
      <c r="A185" s="1" t="n"/>
      <c r="B185" s="17" t="n"/>
      <c r="C185" s="21" t="n"/>
      <c r="D185" s="19" t="n"/>
      <c r="E185" s="24" t="n"/>
      <c r="F185" s="11">
        <f>IF(AND(C185="",E185=""),"",IF(NOT(ISNUMBER(B185)),"Needs a date",IF(NOT(ISNUMBER(E185)),"Needs the amount","")))</f>
        <v/>
      </c>
      <c r="G185" s="1">
        <f>IF(ISNUMBER(B185),YEAR(B185),"")</f>
        <v/>
      </c>
      <c r="H185">
        <f>IF(ISNUMBER(B185),YEAR(B185)*100+MONTH(B185),"")</f>
        <v/>
      </c>
    </row>
    <row r="186">
      <c r="A186" s="1" t="n"/>
      <c r="B186" s="17" t="n"/>
      <c r="C186" s="21" t="n"/>
      <c r="D186" s="19" t="n"/>
      <c r="E186" s="24" t="n"/>
      <c r="F186" s="11">
        <f>IF(AND(C186="",E186=""),"",IF(NOT(ISNUMBER(B186)),"Needs a date",IF(NOT(ISNUMBER(E186)),"Needs the amount","")))</f>
        <v/>
      </c>
      <c r="G186" s="1">
        <f>IF(ISNUMBER(B186),YEAR(B186),"")</f>
        <v/>
      </c>
      <c r="H186">
        <f>IF(ISNUMBER(B186),YEAR(B186)*100+MONTH(B186),"")</f>
        <v/>
      </c>
    </row>
    <row r="187">
      <c r="A187" s="1" t="n"/>
      <c r="B187" s="17" t="n"/>
      <c r="C187" s="21" t="n"/>
      <c r="D187" s="19" t="n"/>
      <c r="E187" s="24" t="n"/>
      <c r="F187" s="11">
        <f>IF(AND(C187="",E187=""),"",IF(NOT(ISNUMBER(B187)),"Needs a date",IF(NOT(ISNUMBER(E187)),"Needs the amount","")))</f>
        <v/>
      </c>
      <c r="G187" s="1">
        <f>IF(ISNUMBER(B187),YEAR(B187),"")</f>
        <v/>
      </c>
      <c r="H187">
        <f>IF(ISNUMBER(B187),YEAR(B187)*100+MONTH(B187),"")</f>
        <v/>
      </c>
    </row>
    <row r="188">
      <c r="A188" s="1" t="n"/>
      <c r="B188" s="17" t="n"/>
      <c r="C188" s="21" t="n"/>
      <c r="D188" s="19" t="n"/>
      <c r="E188" s="24" t="n"/>
      <c r="F188" s="11">
        <f>IF(AND(C188="",E188=""),"",IF(NOT(ISNUMBER(B188)),"Needs a date",IF(NOT(ISNUMBER(E188)),"Needs the amount","")))</f>
        <v/>
      </c>
      <c r="G188" s="1">
        <f>IF(ISNUMBER(B188),YEAR(B188),"")</f>
        <v/>
      </c>
      <c r="H188">
        <f>IF(ISNUMBER(B188),YEAR(B188)*100+MONTH(B188),"")</f>
        <v/>
      </c>
    </row>
    <row r="189">
      <c r="A189" s="1" t="n"/>
      <c r="B189" s="17" t="n"/>
      <c r="C189" s="21" t="n"/>
      <c r="D189" s="19" t="n"/>
      <c r="E189" s="24" t="n"/>
      <c r="F189" s="11">
        <f>IF(AND(C189="",E189=""),"",IF(NOT(ISNUMBER(B189)),"Needs a date",IF(NOT(ISNUMBER(E189)),"Needs the amount","")))</f>
        <v/>
      </c>
      <c r="G189" s="1">
        <f>IF(ISNUMBER(B189),YEAR(B189),"")</f>
        <v/>
      </c>
      <c r="H189">
        <f>IF(ISNUMBER(B189),YEAR(B189)*100+MONTH(B189),"")</f>
        <v/>
      </c>
    </row>
    <row r="190">
      <c r="A190" s="1" t="n"/>
      <c r="B190" s="17" t="n"/>
      <c r="C190" s="21" t="n"/>
      <c r="D190" s="19" t="n"/>
      <c r="E190" s="24" t="n"/>
      <c r="F190" s="11">
        <f>IF(AND(C190="",E190=""),"",IF(NOT(ISNUMBER(B190)),"Needs a date",IF(NOT(ISNUMBER(E190)),"Needs the amount","")))</f>
        <v/>
      </c>
      <c r="G190" s="1">
        <f>IF(ISNUMBER(B190),YEAR(B190),"")</f>
        <v/>
      </c>
      <c r="H190">
        <f>IF(ISNUMBER(B190),YEAR(B190)*100+MONTH(B190),"")</f>
        <v/>
      </c>
    </row>
    <row r="191">
      <c r="A191" s="1" t="n"/>
      <c r="B191" s="17" t="n"/>
      <c r="C191" s="21" t="n"/>
      <c r="D191" s="19" t="n"/>
      <c r="E191" s="24" t="n"/>
      <c r="F191" s="11">
        <f>IF(AND(C191="",E191=""),"",IF(NOT(ISNUMBER(B191)),"Needs a date",IF(NOT(ISNUMBER(E191)),"Needs the amount","")))</f>
        <v/>
      </c>
      <c r="G191" s="1">
        <f>IF(ISNUMBER(B191),YEAR(B191),"")</f>
        <v/>
      </c>
      <c r="H191">
        <f>IF(ISNUMBER(B191),YEAR(B191)*100+MONTH(B191),"")</f>
        <v/>
      </c>
    </row>
    <row r="192">
      <c r="A192" s="1" t="n"/>
      <c r="B192" s="17" t="n"/>
      <c r="C192" s="21" t="n"/>
      <c r="D192" s="19" t="n"/>
      <c r="E192" s="24" t="n"/>
      <c r="F192" s="11">
        <f>IF(AND(C192="",E192=""),"",IF(NOT(ISNUMBER(B192)),"Needs a date",IF(NOT(ISNUMBER(E192)),"Needs the amount","")))</f>
        <v/>
      </c>
      <c r="G192" s="1">
        <f>IF(ISNUMBER(B192),YEAR(B192),"")</f>
        <v/>
      </c>
      <c r="H192">
        <f>IF(ISNUMBER(B192),YEAR(B192)*100+MONTH(B192),"")</f>
        <v/>
      </c>
    </row>
    <row r="193">
      <c r="A193" s="1" t="n"/>
      <c r="B193" s="17" t="n"/>
      <c r="C193" s="21" t="n"/>
      <c r="D193" s="19" t="n"/>
      <c r="E193" s="24" t="n"/>
      <c r="F193" s="11">
        <f>IF(AND(C193="",E193=""),"",IF(NOT(ISNUMBER(B193)),"Needs a date",IF(NOT(ISNUMBER(E193)),"Needs the amount","")))</f>
        <v/>
      </c>
      <c r="G193" s="1">
        <f>IF(ISNUMBER(B193),YEAR(B193),"")</f>
        <v/>
      </c>
      <c r="H193">
        <f>IF(ISNUMBER(B193),YEAR(B193)*100+MONTH(B193),"")</f>
        <v/>
      </c>
    </row>
    <row r="194">
      <c r="A194" s="1" t="n"/>
      <c r="B194" s="17" t="n"/>
      <c r="C194" s="21" t="n"/>
      <c r="D194" s="19" t="n"/>
      <c r="E194" s="24" t="n"/>
      <c r="F194" s="11">
        <f>IF(AND(C194="",E194=""),"",IF(NOT(ISNUMBER(B194)),"Needs a date",IF(NOT(ISNUMBER(E194)),"Needs the amount","")))</f>
        <v/>
      </c>
      <c r="G194" s="1">
        <f>IF(ISNUMBER(B194),YEAR(B194),"")</f>
        <v/>
      </c>
      <c r="H194">
        <f>IF(ISNUMBER(B194),YEAR(B194)*100+MONTH(B194),"")</f>
        <v/>
      </c>
    </row>
    <row r="195">
      <c r="A195" s="1" t="n"/>
      <c r="B195" s="17" t="n"/>
      <c r="C195" s="21" t="n"/>
      <c r="D195" s="19" t="n"/>
      <c r="E195" s="24" t="n"/>
      <c r="F195" s="11">
        <f>IF(AND(C195="",E195=""),"",IF(NOT(ISNUMBER(B195)),"Needs a date",IF(NOT(ISNUMBER(E195)),"Needs the amount","")))</f>
        <v/>
      </c>
      <c r="G195" s="1">
        <f>IF(ISNUMBER(B195),YEAR(B195),"")</f>
        <v/>
      </c>
      <c r="H195">
        <f>IF(ISNUMBER(B195),YEAR(B195)*100+MONTH(B195),"")</f>
        <v/>
      </c>
    </row>
    <row r="196">
      <c r="A196" s="1" t="n"/>
      <c r="B196" s="17" t="n"/>
      <c r="C196" s="21" t="n"/>
      <c r="D196" s="19" t="n"/>
      <c r="E196" s="24" t="n"/>
      <c r="F196" s="11">
        <f>IF(AND(C196="",E196=""),"",IF(NOT(ISNUMBER(B196)),"Needs a date",IF(NOT(ISNUMBER(E196)),"Needs the amount","")))</f>
        <v/>
      </c>
      <c r="G196" s="1">
        <f>IF(ISNUMBER(B196),YEAR(B196),"")</f>
        <v/>
      </c>
      <c r="H196">
        <f>IF(ISNUMBER(B196),YEAR(B196)*100+MONTH(B196),"")</f>
        <v/>
      </c>
    </row>
    <row r="197">
      <c r="A197" s="1" t="n"/>
      <c r="B197" s="17" t="n"/>
      <c r="C197" s="21" t="n"/>
      <c r="D197" s="19" t="n"/>
      <c r="E197" s="24" t="n"/>
      <c r="F197" s="11">
        <f>IF(AND(C197="",E197=""),"",IF(NOT(ISNUMBER(B197)),"Needs a date",IF(NOT(ISNUMBER(E197)),"Needs the amount","")))</f>
        <v/>
      </c>
      <c r="G197" s="1">
        <f>IF(ISNUMBER(B197),YEAR(B197),"")</f>
        <v/>
      </c>
      <c r="H197">
        <f>IF(ISNUMBER(B197),YEAR(B197)*100+MONTH(B197),"")</f>
        <v/>
      </c>
    </row>
    <row r="198">
      <c r="A198" s="1" t="n"/>
      <c r="B198" s="17" t="n"/>
      <c r="C198" s="21" t="n"/>
      <c r="D198" s="19" t="n"/>
      <c r="E198" s="24" t="n"/>
      <c r="F198" s="11">
        <f>IF(AND(C198="",E198=""),"",IF(NOT(ISNUMBER(B198)),"Needs a date",IF(NOT(ISNUMBER(E198)),"Needs the amount","")))</f>
        <v/>
      </c>
      <c r="G198" s="1">
        <f>IF(ISNUMBER(B198),YEAR(B198),"")</f>
        <v/>
      </c>
      <c r="H198">
        <f>IF(ISNUMBER(B198),YEAR(B198)*100+MONTH(B198),"")</f>
        <v/>
      </c>
    </row>
    <row r="199">
      <c r="A199" s="1" t="n"/>
      <c r="B199" s="17" t="n"/>
      <c r="C199" s="21" t="n"/>
      <c r="D199" s="19" t="n"/>
      <c r="E199" s="24" t="n"/>
      <c r="F199" s="11">
        <f>IF(AND(C199="",E199=""),"",IF(NOT(ISNUMBER(B199)),"Needs a date",IF(NOT(ISNUMBER(E199)),"Needs the amount","")))</f>
        <v/>
      </c>
      <c r="G199" s="1">
        <f>IF(ISNUMBER(B199),YEAR(B199),"")</f>
        <v/>
      </c>
      <c r="H199">
        <f>IF(ISNUMBER(B199),YEAR(B199)*100+MONTH(B199),"")</f>
        <v/>
      </c>
    </row>
    <row r="200">
      <c r="A200" s="1" t="n"/>
      <c r="B200" s="17" t="n"/>
      <c r="C200" s="21" t="n"/>
      <c r="D200" s="19" t="n"/>
      <c r="E200" s="24" t="n"/>
      <c r="F200" s="11">
        <f>IF(AND(C200="",E200=""),"",IF(NOT(ISNUMBER(B200)),"Needs a date",IF(NOT(ISNUMBER(E200)),"Needs the amount","")))</f>
        <v/>
      </c>
      <c r="G200" s="1">
        <f>IF(ISNUMBER(B200),YEAR(B200),"")</f>
        <v/>
      </c>
      <c r="H200">
        <f>IF(ISNUMBER(B200),YEAR(B200)*100+MONTH(B200),"")</f>
        <v/>
      </c>
    </row>
    <row r="201">
      <c r="A201" s="1" t="n"/>
      <c r="B201" s="17" t="n"/>
      <c r="C201" s="21" t="n"/>
      <c r="D201" s="19" t="n"/>
      <c r="E201" s="24" t="n"/>
      <c r="F201" s="11">
        <f>IF(AND(C201="",E201=""),"",IF(NOT(ISNUMBER(B201)),"Needs a date",IF(NOT(ISNUMBER(E201)),"Needs the amount","")))</f>
        <v/>
      </c>
      <c r="G201" s="1">
        <f>IF(ISNUMBER(B201),YEAR(B201),"")</f>
        <v/>
      </c>
      <c r="H201">
        <f>IF(ISNUMBER(B201),YEAR(B201)*100+MONTH(B201),"")</f>
        <v/>
      </c>
    </row>
    <row r="202">
      <c r="A202" s="1" t="n"/>
      <c r="B202" s="17" t="n"/>
      <c r="C202" s="21" t="n"/>
      <c r="D202" s="19" t="n"/>
      <c r="E202" s="24" t="n"/>
      <c r="F202" s="11">
        <f>IF(AND(C202="",E202=""),"",IF(NOT(ISNUMBER(B202)),"Needs a date",IF(NOT(ISNUMBER(E202)),"Needs the amount","")))</f>
        <v/>
      </c>
      <c r="G202" s="1">
        <f>IF(ISNUMBER(B202),YEAR(B202),"")</f>
        <v/>
      </c>
      <c r="H202">
        <f>IF(ISNUMBER(B202),YEAR(B202)*100+MONTH(B202),"")</f>
        <v/>
      </c>
    </row>
    <row r="203">
      <c r="A203" s="1" t="n"/>
      <c r="B203" s="17" t="n"/>
      <c r="C203" s="21" t="n"/>
      <c r="D203" s="19" t="n"/>
      <c r="E203" s="24" t="n"/>
      <c r="F203" s="11">
        <f>IF(AND(C203="",E203=""),"",IF(NOT(ISNUMBER(B203)),"Needs a date",IF(NOT(ISNUMBER(E203)),"Needs the amount","")))</f>
        <v/>
      </c>
      <c r="G203" s="1">
        <f>IF(ISNUMBER(B203),YEAR(B203),"")</f>
        <v/>
      </c>
      <c r="H203">
        <f>IF(ISNUMBER(B203),YEAR(B203)*100+MONTH(B203),"")</f>
        <v/>
      </c>
    </row>
    <row r="204">
      <c r="A204" s="1" t="n"/>
      <c r="B204" s="17" t="n"/>
      <c r="C204" s="21" t="n"/>
      <c r="D204" s="19" t="n"/>
      <c r="E204" s="24" t="n"/>
      <c r="F204" s="11">
        <f>IF(AND(C204="",E204=""),"",IF(NOT(ISNUMBER(B204)),"Needs a date",IF(NOT(ISNUMBER(E204)),"Needs the amount","")))</f>
        <v/>
      </c>
      <c r="G204" s="1">
        <f>IF(ISNUMBER(B204),YEAR(B204),"")</f>
        <v/>
      </c>
      <c r="H204">
        <f>IF(ISNUMBER(B204),YEAR(B204)*100+MONTH(B204),"")</f>
        <v/>
      </c>
    </row>
    <row r="205">
      <c r="A205" s="1" t="n"/>
      <c r="B205" s="17" t="n"/>
      <c r="C205" s="21" t="n"/>
      <c r="D205" s="19" t="n"/>
      <c r="E205" s="24" t="n"/>
      <c r="F205" s="11">
        <f>IF(AND(C205="",E205=""),"",IF(NOT(ISNUMBER(B205)),"Needs a date",IF(NOT(ISNUMBER(E205)),"Needs the amount","")))</f>
        <v/>
      </c>
      <c r="G205" s="1">
        <f>IF(ISNUMBER(B205),YEAR(B205),"")</f>
        <v/>
      </c>
      <c r="H205">
        <f>IF(ISNUMBER(B205),YEAR(B205)*100+MONTH(B205),"")</f>
        <v/>
      </c>
    </row>
    <row r="206">
      <c r="A206" s="1" t="n"/>
      <c r="B206" s="17" t="n"/>
      <c r="C206" s="21" t="n"/>
      <c r="D206" s="19" t="n"/>
      <c r="E206" s="24" t="n"/>
      <c r="F206" s="11">
        <f>IF(AND(C206="",E206=""),"",IF(NOT(ISNUMBER(B206)),"Needs a date",IF(NOT(ISNUMBER(E206)),"Needs the amount","")))</f>
        <v/>
      </c>
      <c r="G206" s="1">
        <f>IF(ISNUMBER(B206),YEAR(B206),"")</f>
        <v/>
      </c>
      <c r="H206">
        <f>IF(ISNUMBER(B206),YEAR(B206)*100+MONTH(B206),"")</f>
        <v/>
      </c>
    </row>
    <row r="207">
      <c r="A207" s="1" t="n"/>
      <c r="B207" s="17" t="n"/>
      <c r="C207" s="21" t="n"/>
      <c r="D207" s="19" t="n"/>
      <c r="E207" s="24" t="n"/>
      <c r="F207" s="11">
        <f>IF(AND(C207="",E207=""),"",IF(NOT(ISNUMBER(B207)),"Needs a date",IF(NOT(ISNUMBER(E207)),"Needs the amount","")))</f>
        <v/>
      </c>
      <c r="G207" s="1">
        <f>IF(ISNUMBER(B207),YEAR(B207),"")</f>
        <v/>
      </c>
      <c r="H207">
        <f>IF(ISNUMBER(B207),YEAR(B207)*100+MONTH(B207),"")</f>
        <v/>
      </c>
    </row>
    <row r="208">
      <c r="A208" s="1" t="n"/>
      <c r="B208" s="17" t="n"/>
      <c r="C208" s="21" t="n"/>
      <c r="D208" s="19" t="n"/>
      <c r="E208" s="24" t="n"/>
      <c r="F208" s="11">
        <f>IF(AND(C208="",E208=""),"",IF(NOT(ISNUMBER(B208)),"Needs a date",IF(NOT(ISNUMBER(E208)),"Needs the amount","")))</f>
        <v/>
      </c>
      <c r="G208" s="1">
        <f>IF(ISNUMBER(B208),YEAR(B208),"")</f>
        <v/>
      </c>
      <c r="H208">
        <f>IF(ISNUMBER(B208),YEAR(B208)*100+MONTH(B208),"")</f>
        <v/>
      </c>
    </row>
    <row r="209">
      <c r="A209" s="1" t="n"/>
      <c r="B209" s="17" t="n"/>
      <c r="C209" s="21" t="n"/>
      <c r="D209" s="19" t="n"/>
      <c r="E209" s="24" t="n"/>
      <c r="F209" s="11">
        <f>IF(AND(C209="",E209=""),"",IF(NOT(ISNUMBER(B209)),"Needs a date",IF(NOT(ISNUMBER(E209)),"Needs the amount","")))</f>
        <v/>
      </c>
      <c r="G209" s="1">
        <f>IF(ISNUMBER(B209),YEAR(B209),"")</f>
        <v/>
      </c>
      <c r="H209">
        <f>IF(ISNUMBER(B209),YEAR(B209)*100+MONTH(B209),"")</f>
        <v/>
      </c>
    </row>
    <row r="210">
      <c r="A210" s="1" t="n"/>
      <c r="B210" s="17" t="n"/>
      <c r="C210" s="21" t="n"/>
      <c r="D210" s="19" t="n"/>
      <c r="E210" s="24" t="n"/>
      <c r="F210" s="11">
        <f>IF(AND(C210="",E210=""),"",IF(NOT(ISNUMBER(B210)),"Needs a date",IF(NOT(ISNUMBER(E210)),"Needs the amount","")))</f>
        <v/>
      </c>
      <c r="G210" s="1">
        <f>IF(ISNUMBER(B210),YEAR(B210),"")</f>
        <v/>
      </c>
      <c r="H210">
        <f>IF(ISNUMBER(B210),YEAR(B210)*100+MONTH(B210),"")</f>
        <v/>
      </c>
    </row>
    <row r="211">
      <c r="A211" s="1" t="n"/>
      <c r="B211" s="17" t="n"/>
      <c r="C211" s="21" t="n"/>
      <c r="D211" s="19" t="n"/>
      <c r="E211" s="24" t="n"/>
      <c r="F211" s="11">
        <f>IF(AND(C211="",E211=""),"",IF(NOT(ISNUMBER(B211)),"Needs a date",IF(NOT(ISNUMBER(E211)),"Needs the amount","")))</f>
        <v/>
      </c>
      <c r="G211" s="1">
        <f>IF(ISNUMBER(B211),YEAR(B211),"")</f>
        <v/>
      </c>
      <c r="H211">
        <f>IF(ISNUMBER(B211),YEAR(B211)*100+MONTH(B211),"")</f>
        <v/>
      </c>
    </row>
    <row r="212">
      <c r="A212" s="1" t="n"/>
      <c r="B212" s="17" t="n"/>
      <c r="C212" s="21" t="n"/>
      <c r="D212" s="19" t="n"/>
      <c r="E212" s="24" t="n"/>
      <c r="F212" s="11">
        <f>IF(AND(C212="",E212=""),"",IF(NOT(ISNUMBER(B212)),"Needs a date",IF(NOT(ISNUMBER(E212)),"Needs the amount","")))</f>
        <v/>
      </c>
      <c r="G212" s="1">
        <f>IF(ISNUMBER(B212),YEAR(B212),"")</f>
        <v/>
      </c>
      <c r="H212">
        <f>IF(ISNUMBER(B212),YEAR(B212)*100+MONTH(B212),"")</f>
        <v/>
      </c>
    </row>
    <row r="213">
      <c r="A213" s="1" t="n"/>
      <c r="B213" s="17" t="n"/>
      <c r="C213" s="21" t="n"/>
      <c r="D213" s="19" t="n"/>
      <c r="E213" s="24" t="n"/>
      <c r="F213" s="11">
        <f>IF(AND(C213="",E213=""),"",IF(NOT(ISNUMBER(B213)),"Needs a date",IF(NOT(ISNUMBER(E213)),"Needs the amount","")))</f>
        <v/>
      </c>
      <c r="G213" s="1">
        <f>IF(ISNUMBER(B213),YEAR(B213),"")</f>
        <v/>
      </c>
      <c r="H213">
        <f>IF(ISNUMBER(B213),YEAR(B213)*100+MONTH(B213),"")</f>
        <v/>
      </c>
    </row>
    <row r="214">
      <c r="A214" s="1" t="n"/>
      <c r="B214" s="17" t="n"/>
      <c r="C214" s="21" t="n"/>
      <c r="D214" s="19" t="n"/>
      <c r="E214" s="24" t="n"/>
      <c r="F214" s="11">
        <f>IF(AND(C214="",E214=""),"",IF(NOT(ISNUMBER(B214)),"Needs a date",IF(NOT(ISNUMBER(E214)),"Needs the amount","")))</f>
        <v/>
      </c>
      <c r="G214" s="1">
        <f>IF(ISNUMBER(B214),YEAR(B214),"")</f>
        <v/>
      </c>
      <c r="H214">
        <f>IF(ISNUMBER(B214),YEAR(B214)*100+MONTH(B214),"")</f>
        <v/>
      </c>
    </row>
    <row r="215">
      <c r="A215" s="1" t="n"/>
      <c r="B215" s="17" t="n"/>
      <c r="C215" s="21" t="n"/>
      <c r="D215" s="19" t="n"/>
      <c r="E215" s="24" t="n"/>
      <c r="F215" s="11">
        <f>IF(AND(C215="",E215=""),"",IF(NOT(ISNUMBER(B215)),"Needs a date",IF(NOT(ISNUMBER(E215)),"Needs the amount","")))</f>
        <v/>
      </c>
      <c r="G215" s="1">
        <f>IF(ISNUMBER(B215),YEAR(B215),"")</f>
        <v/>
      </c>
      <c r="H215">
        <f>IF(ISNUMBER(B215),YEAR(B215)*100+MONTH(B215),"")</f>
        <v/>
      </c>
    </row>
    <row r="216">
      <c r="A216" s="1" t="n"/>
      <c r="B216" s="17" t="n"/>
      <c r="C216" s="21" t="n"/>
      <c r="D216" s="19" t="n"/>
      <c r="E216" s="24" t="n"/>
      <c r="F216" s="11">
        <f>IF(AND(C216="",E216=""),"",IF(NOT(ISNUMBER(B216)),"Needs a date",IF(NOT(ISNUMBER(E216)),"Needs the amount","")))</f>
        <v/>
      </c>
      <c r="G216" s="1">
        <f>IF(ISNUMBER(B216),YEAR(B216),"")</f>
        <v/>
      </c>
      <c r="H216">
        <f>IF(ISNUMBER(B216),YEAR(B216)*100+MONTH(B216),"")</f>
        <v/>
      </c>
    </row>
    <row r="217">
      <c r="A217" s="1" t="n"/>
      <c r="B217" s="17" t="n"/>
      <c r="C217" s="21" t="n"/>
      <c r="D217" s="19" t="n"/>
      <c r="E217" s="24" t="n"/>
      <c r="F217" s="11">
        <f>IF(AND(C217="",E217=""),"",IF(NOT(ISNUMBER(B217)),"Needs a date",IF(NOT(ISNUMBER(E217)),"Needs the amount","")))</f>
        <v/>
      </c>
      <c r="G217" s="1">
        <f>IF(ISNUMBER(B217),YEAR(B217),"")</f>
        <v/>
      </c>
      <c r="H217">
        <f>IF(ISNUMBER(B217),YEAR(B217)*100+MONTH(B217),"")</f>
        <v/>
      </c>
    </row>
    <row r="218">
      <c r="A218" s="1" t="n"/>
      <c r="B218" s="17" t="n"/>
      <c r="C218" s="21" t="n"/>
      <c r="D218" s="19" t="n"/>
      <c r="E218" s="24" t="n"/>
      <c r="F218" s="11">
        <f>IF(AND(C218="",E218=""),"",IF(NOT(ISNUMBER(B218)),"Needs a date",IF(NOT(ISNUMBER(E218)),"Needs the amount","")))</f>
        <v/>
      </c>
      <c r="G218" s="1">
        <f>IF(ISNUMBER(B218),YEAR(B218),"")</f>
        <v/>
      </c>
      <c r="H218">
        <f>IF(ISNUMBER(B218),YEAR(B218)*100+MONTH(B218),"")</f>
        <v/>
      </c>
    </row>
    <row r="219">
      <c r="A219" s="1" t="n"/>
      <c r="B219" s="17" t="n"/>
      <c r="C219" s="21" t="n"/>
      <c r="D219" s="19" t="n"/>
      <c r="E219" s="24" t="n"/>
      <c r="F219" s="11">
        <f>IF(AND(C219="",E219=""),"",IF(NOT(ISNUMBER(B219)),"Needs a date",IF(NOT(ISNUMBER(E219)),"Needs the amount","")))</f>
        <v/>
      </c>
      <c r="G219" s="1">
        <f>IF(ISNUMBER(B219),YEAR(B219),"")</f>
        <v/>
      </c>
      <c r="H219">
        <f>IF(ISNUMBER(B219),YEAR(B219)*100+MONTH(B219),"")</f>
        <v/>
      </c>
    </row>
    <row r="220">
      <c r="A220" s="1" t="n"/>
      <c r="B220" s="17" t="n"/>
      <c r="C220" s="21" t="n"/>
      <c r="D220" s="19" t="n"/>
      <c r="E220" s="24" t="n"/>
      <c r="F220" s="11">
        <f>IF(AND(C220="",E220=""),"",IF(NOT(ISNUMBER(B220)),"Needs a date",IF(NOT(ISNUMBER(E220)),"Needs the amount","")))</f>
        <v/>
      </c>
      <c r="G220" s="1">
        <f>IF(ISNUMBER(B220),YEAR(B220),"")</f>
        <v/>
      </c>
      <c r="H220">
        <f>IF(ISNUMBER(B220),YEAR(B220)*100+MONTH(B220),"")</f>
        <v/>
      </c>
    </row>
    <row r="221">
      <c r="A221" s="1" t="n"/>
      <c r="B221" s="17" t="n"/>
      <c r="C221" s="21" t="n"/>
      <c r="D221" s="19" t="n"/>
      <c r="E221" s="24" t="n"/>
      <c r="F221" s="11">
        <f>IF(AND(C221="",E221=""),"",IF(NOT(ISNUMBER(B221)),"Needs a date",IF(NOT(ISNUMBER(E221)),"Needs the amount","")))</f>
        <v/>
      </c>
      <c r="G221" s="1">
        <f>IF(ISNUMBER(B221),YEAR(B221),"")</f>
        <v/>
      </c>
      <c r="H221">
        <f>IF(ISNUMBER(B221),YEAR(B221)*100+MONTH(B221),"")</f>
        <v/>
      </c>
    </row>
    <row r="222">
      <c r="A222" s="1" t="n"/>
      <c r="B222" s="17" t="n"/>
      <c r="C222" s="21" t="n"/>
      <c r="D222" s="19" t="n"/>
      <c r="E222" s="24" t="n"/>
      <c r="F222" s="11">
        <f>IF(AND(C222="",E222=""),"",IF(NOT(ISNUMBER(B222)),"Needs a date",IF(NOT(ISNUMBER(E222)),"Needs the amount","")))</f>
        <v/>
      </c>
      <c r="G222" s="1">
        <f>IF(ISNUMBER(B222),YEAR(B222),"")</f>
        <v/>
      </c>
      <c r="H222">
        <f>IF(ISNUMBER(B222),YEAR(B222)*100+MONTH(B222),"")</f>
        <v/>
      </c>
    </row>
    <row r="223">
      <c r="A223" s="1" t="n"/>
      <c r="B223" s="17" t="n"/>
      <c r="C223" s="21" t="n"/>
      <c r="D223" s="19" t="n"/>
      <c r="E223" s="24" t="n"/>
      <c r="F223" s="11">
        <f>IF(AND(C223="",E223=""),"",IF(NOT(ISNUMBER(B223)),"Needs a date",IF(NOT(ISNUMBER(E223)),"Needs the amount","")))</f>
        <v/>
      </c>
      <c r="G223" s="1">
        <f>IF(ISNUMBER(B223),YEAR(B223),"")</f>
        <v/>
      </c>
      <c r="H223">
        <f>IF(ISNUMBER(B223),YEAR(B223)*100+MONTH(B223),"")</f>
        <v/>
      </c>
    </row>
    <row r="224">
      <c r="A224" s="1" t="n"/>
      <c r="B224" s="17" t="n"/>
      <c r="C224" s="21" t="n"/>
      <c r="D224" s="19" t="n"/>
      <c r="E224" s="24" t="n"/>
      <c r="F224" s="11">
        <f>IF(AND(C224="",E224=""),"",IF(NOT(ISNUMBER(B224)),"Needs a date",IF(NOT(ISNUMBER(E224)),"Needs the amount","")))</f>
        <v/>
      </c>
      <c r="G224" s="1">
        <f>IF(ISNUMBER(B224),YEAR(B224),"")</f>
        <v/>
      </c>
      <c r="H224">
        <f>IF(ISNUMBER(B224),YEAR(B224)*100+MONTH(B224),"")</f>
        <v/>
      </c>
    </row>
    <row r="225">
      <c r="A225" s="1" t="n"/>
      <c r="B225" s="17" t="n"/>
      <c r="C225" s="21" t="n"/>
      <c r="D225" s="19" t="n"/>
      <c r="E225" s="24" t="n"/>
      <c r="F225" s="11">
        <f>IF(AND(C225="",E225=""),"",IF(NOT(ISNUMBER(B225)),"Needs a date",IF(NOT(ISNUMBER(E225)),"Needs the amount","")))</f>
        <v/>
      </c>
      <c r="G225" s="1">
        <f>IF(ISNUMBER(B225),YEAR(B225),"")</f>
        <v/>
      </c>
      <c r="H225">
        <f>IF(ISNUMBER(B225),YEAR(B225)*100+MONTH(B225),"")</f>
        <v/>
      </c>
    </row>
    <row r="226">
      <c r="A226" s="1" t="n"/>
      <c r="B226" s="17" t="n"/>
      <c r="C226" s="21" t="n"/>
      <c r="D226" s="19" t="n"/>
      <c r="E226" s="24" t="n"/>
      <c r="F226" s="11">
        <f>IF(AND(C226="",E226=""),"",IF(NOT(ISNUMBER(B226)),"Needs a date",IF(NOT(ISNUMBER(E226)),"Needs the amount","")))</f>
        <v/>
      </c>
      <c r="G226" s="1">
        <f>IF(ISNUMBER(B226),YEAR(B226),"")</f>
        <v/>
      </c>
      <c r="H226">
        <f>IF(ISNUMBER(B226),YEAR(B226)*100+MONTH(B226),"")</f>
        <v/>
      </c>
    </row>
    <row r="227">
      <c r="A227" s="1" t="n"/>
      <c r="B227" s="17" t="n"/>
      <c r="C227" s="21" t="n"/>
      <c r="D227" s="19" t="n"/>
      <c r="E227" s="24" t="n"/>
      <c r="F227" s="11">
        <f>IF(AND(C227="",E227=""),"",IF(NOT(ISNUMBER(B227)),"Needs a date",IF(NOT(ISNUMBER(E227)),"Needs the amount","")))</f>
        <v/>
      </c>
      <c r="G227" s="1">
        <f>IF(ISNUMBER(B227),YEAR(B227),"")</f>
        <v/>
      </c>
      <c r="H227">
        <f>IF(ISNUMBER(B227),YEAR(B227)*100+MONTH(B227),"")</f>
        <v/>
      </c>
    </row>
    <row r="228">
      <c r="A228" s="1" t="n"/>
      <c r="B228" s="17" t="n"/>
      <c r="C228" s="21" t="n"/>
      <c r="D228" s="19" t="n"/>
      <c r="E228" s="24" t="n"/>
      <c r="F228" s="11">
        <f>IF(AND(C228="",E228=""),"",IF(NOT(ISNUMBER(B228)),"Needs a date",IF(NOT(ISNUMBER(E228)),"Needs the amount","")))</f>
        <v/>
      </c>
      <c r="G228" s="1">
        <f>IF(ISNUMBER(B228),YEAR(B228),"")</f>
        <v/>
      </c>
      <c r="H228">
        <f>IF(ISNUMBER(B228),YEAR(B228)*100+MONTH(B228),"")</f>
        <v/>
      </c>
    </row>
    <row r="229">
      <c r="A229" s="1" t="n"/>
      <c r="B229" s="17" t="n"/>
      <c r="C229" s="21" t="n"/>
      <c r="D229" s="19" t="n"/>
      <c r="E229" s="24" t="n"/>
      <c r="F229" s="11">
        <f>IF(AND(C229="",E229=""),"",IF(NOT(ISNUMBER(B229)),"Needs a date",IF(NOT(ISNUMBER(E229)),"Needs the amount","")))</f>
        <v/>
      </c>
      <c r="G229" s="1">
        <f>IF(ISNUMBER(B229),YEAR(B229),"")</f>
        <v/>
      </c>
      <c r="H229">
        <f>IF(ISNUMBER(B229),YEAR(B229)*100+MONTH(B229),"")</f>
        <v/>
      </c>
    </row>
    <row r="230">
      <c r="A230" s="1" t="n"/>
      <c r="B230" s="17" t="n"/>
      <c r="C230" s="21" t="n"/>
      <c r="D230" s="19" t="n"/>
      <c r="E230" s="24" t="n"/>
      <c r="F230" s="11">
        <f>IF(AND(C230="",E230=""),"",IF(NOT(ISNUMBER(B230)),"Needs a date",IF(NOT(ISNUMBER(E230)),"Needs the amount","")))</f>
        <v/>
      </c>
      <c r="G230" s="1">
        <f>IF(ISNUMBER(B230),YEAR(B230),"")</f>
        <v/>
      </c>
      <c r="H230">
        <f>IF(ISNUMBER(B230),YEAR(B230)*100+MONTH(B230),"")</f>
        <v/>
      </c>
    </row>
    <row r="231">
      <c r="A231" s="1" t="n"/>
      <c r="B231" s="17" t="n"/>
      <c r="C231" s="21" t="n"/>
      <c r="D231" s="19" t="n"/>
      <c r="E231" s="24" t="n"/>
      <c r="F231" s="11">
        <f>IF(AND(C231="",E231=""),"",IF(NOT(ISNUMBER(B231)),"Needs a date",IF(NOT(ISNUMBER(E231)),"Needs the amount","")))</f>
        <v/>
      </c>
      <c r="G231" s="1">
        <f>IF(ISNUMBER(B231),YEAR(B231),"")</f>
        <v/>
      </c>
      <c r="H231">
        <f>IF(ISNUMBER(B231),YEAR(B231)*100+MONTH(B231),"")</f>
        <v/>
      </c>
    </row>
    <row r="232">
      <c r="A232" s="1" t="n"/>
      <c r="B232" s="17" t="n"/>
      <c r="C232" s="21" t="n"/>
      <c r="D232" s="19" t="n"/>
      <c r="E232" s="24" t="n"/>
      <c r="F232" s="11">
        <f>IF(AND(C232="",E232=""),"",IF(NOT(ISNUMBER(B232)),"Needs a date",IF(NOT(ISNUMBER(E232)),"Needs the amount","")))</f>
        <v/>
      </c>
      <c r="G232" s="1">
        <f>IF(ISNUMBER(B232),YEAR(B232),"")</f>
        <v/>
      </c>
      <c r="H232">
        <f>IF(ISNUMBER(B232),YEAR(B232)*100+MONTH(B232),"")</f>
        <v/>
      </c>
    </row>
    <row r="233">
      <c r="A233" s="1" t="n"/>
      <c r="B233" s="17" t="n"/>
      <c r="C233" s="21" t="n"/>
      <c r="D233" s="19" t="n"/>
      <c r="E233" s="24" t="n"/>
      <c r="F233" s="11">
        <f>IF(AND(C233="",E233=""),"",IF(NOT(ISNUMBER(B233)),"Needs a date",IF(NOT(ISNUMBER(E233)),"Needs the amount","")))</f>
        <v/>
      </c>
      <c r="G233" s="1">
        <f>IF(ISNUMBER(B233),YEAR(B233),"")</f>
        <v/>
      </c>
      <c r="H233">
        <f>IF(ISNUMBER(B233),YEAR(B233)*100+MONTH(B233),"")</f>
        <v/>
      </c>
    </row>
    <row r="234">
      <c r="A234" s="1" t="n"/>
      <c r="B234" s="17" t="n"/>
      <c r="C234" s="21" t="n"/>
      <c r="D234" s="19" t="n"/>
      <c r="E234" s="24" t="n"/>
      <c r="F234" s="11">
        <f>IF(AND(C234="",E234=""),"",IF(NOT(ISNUMBER(B234)),"Needs a date",IF(NOT(ISNUMBER(E234)),"Needs the amount","")))</f>
        <v/>
      </c>
      <c r="G234" s="1">
        <f>IF(ISNUMBER(B234),YEAR(B234),"")</f>
        <v/>
      </c>
      <c r="H234">
        <f>IF(ISNUMBER(B234),YEAR(B234)*100+MONTH(B234),"")</f>
        <v/>
      </c>
    </row>
    <row r="235">
      <c r="A235" s="1" t="n"/>
      <c r="B235" s="17" t="n"/>
      <c r="C235" s="21" t="n"/>
      <c r="D235" s="19" t="n"/>
      <c r="E235" s="24" t="n"/>
      <c r="F235" s="11">
        <f>IF(AND(C235="",E235=""),"",IF(NOT(ISNUMBER(B235)),"Needs a date",IF(NOT(ISNUMBER(E235)),"Needs the amount","")))</f>
        <v/>
      </c>
      <c r="G235" s="1">
        <f>IF(ISNUMBER(B235),YEAR(B235),"")</f>
        <v/>
      </c>
      <c r="H235">
        <f>IF(ISNUMBER(B235),YEAR(B235)*100+MONTH(B235),"")</f>
        <v/>
      </c>
    </row>
    <row r="236">
      <c r="A236" s="1" t="n"/>
      <c r="B236" s="17" t="n"/>
      <c r="C236" s="21" t="n"/>
      <c r="D236" s="19" t="n"/>
      <c r="E236" s="24" t="n"/>
      <c r="F236" s="11">
        <f>IF(AND(C236="",E236=""),"",IF(NOT(ISNUMBER(B236)),"Needs a date",IF(NOT(ISNUMBER(E236)),"Needs the amount","")))</f>
        <v/>
      </c>
      <c r="G236" s="1">
        <f>IF(ISNUMBER(B236),YEAR(B236),"")</f>
        <v/>
      </c>
      <c r="H236">
        <f>IF(ISNUMBER(B236),YEAR(B236)*100+MONTH(B236),"")</f>
        <v/>
      </c>
    </row>
    <row r="237">
      <c r="A237" s="1" t="n"/>
      <c r="B237" s="17" t="n"/>
      <c r="C237" s="21" t="n"/>
      <c r="D237" s="19" t="n"/>
      <c r="E237" s="24" t="n"/>
      <c r="F237" s="11">
        <f>IF(AND(C237="",E237=""),"",IF(NOT(ISNUMBER(B237)),"Needs a date",IF(NOT(ISNUMBER(E237)),"Needs the amount","")))</f>
        <v/>
      </c>
      <c r="G237" s="1">
        <f>IF(ISNUMBER(B237),YEAR(B237),"")</f>
        <v/>
      </c>
      <c r="H237">
        <f>IF(ISNUMBER(B237),YEAR(B237)*100+MONTH(B237),"")</f>
        <v/>
      </c>
    </row>
    <row r="238">
      <c r="A238" s="1" t="n"/>
      <c r="B238" s="17" t="n"/>
      <c r="C238" s="21" t="n"/>
      <c r="D238" s="19" t="n"/>
      <c r="E238" s="24" t="n"/>
      <c r="F238" s="11">
        <f>IF(AND(C238="",E238=""),"",IF(NOT(ISNUMBER(B238)),"Needs a date",IF(NOT(ISNUMBER(E238)),"Needs the amount","")))</f>
        <v/>
      </c>
      <c r="G238" s="1">
        <f>IF(ISNUMBER(B238),YEAR(B238),"")</f>
        <v/>
      </c>
      <c r="H238">
        <f>IF(ISNUMBER(B238),YEAR(B238)*100+MONTH(B238),"")</f>
        <v/>
      </c>
    </row>
    <row r="239">
      <c r="A239" s="1" t="n"/>
      <c r="B239" s="17" t="n"/>
      <c r="C239" s="21" t="n"/>
      <c r="D239" s="19" t="n"/>
      <c r="E239" s="24" t="n"/>
      <c r="F239" s="11">
        <f>IF(AND(C239="",E239=""),"",IF(NOT(ISNUMBER(B239)),"Needs a date",IF(NOT(ISNUMBER(E239)),"Needs the amount","")))</f>
        <v/>
      </c>
      <c r="G239" s="1">
        <f>IF(ISNUMBER(B239),YEAR(B239),"")</f>
        <v/>
      </c>
      <c r="H239">
        <f>IF(ISNUMBER(B239),YEAR(B239)*100+MONTH(B239),"")</f>
        <v/>
      </c>
    </row>
    <row r="240">
      <c r="A240" s="1" t="n"/>
      <c r="B240" s="17" t="n"/>
      <c r="C240" s="21" t="n"/>
      <c r="D240" s="19" t="n"/>
      <c r="E240" s="24" t="n"/>
      <c r="F240" s="11">
        <f>IF(AND(C240="",E240=""),"",IF(NOT(ISNUMBER(B240)),"Needs a date",IF(NOT(ISNUMBER(E240)),"Needs the amount","")))</f>
        <v/>
      </c>
      <c r="G240" s="1">
        <f>IF(ISNUMBER(B240),YEAR(B240),"")</f>
        <v/>
      </c>
      <c r="H240">
        <f>IF(ISNUMBER(B240),YEAR(B240)*100+MONTH(B240),"")</f>
        <v/>
      </c>
    </row>
    <row r="241">
      <c r="A241" s="1" t="n"/>
      <c r="B241" s="17" t="n"/>
      <c r="C241" s="21" t="n"/>
      <c r="D241" s="19" t="n"/>
      <c r="E241" s="24" t="n"/>
      <c r="F241" s="11">
        <f>IF(AND(C241="",E241=""),"",IF(NOT(ISNUMBER(B241)),"Needs a date",IF(NOT(ISNUMBER(E241)),"Needs the amount","")))</f>
        <v/>
      </c>
      <c r="G241" s="1">
        <f>IF(ISNUMBER(B241),YEAR(B241),"")</f>
        <v/>
      </c>
      <c r="H241">
        <f>IF(ISNUMBER(B241),YEAR(B241)*100+MONTH(B241),"")</f>
        <v/>
      </c>
    </row>
    <row r="242">
      <c r="A242" s="1" t="n"/>
      <c r="B242" s="17" t="n"/>
      <c r="C242" s="21" t="n"/>
      <c r="D242" s="19" t="n"/>
      <c r="E242" s="24" t="n"/>
      <c r="F242" s="11">
        <f>IF(AND(C242="",E242=""),"",IF(NOT(ISNUMBER(B242)),"Needs a date",IF(NOT(ISNUMBER(E242)),"Needs the amount","")))</f>
        <v/>
      </c>
      <c r="G242" s="1">
        <f>IF(ISNUMBER(B242),YEAR(B242),"")</f>
        <v/>
      </c>
      <c r="H242">
        <f>IF(ISNUMBER(B242),YEAR(B242)*100+MONTH(B242),"")</f>
        <v/>
      </c>
    </row>
    <row r="243">
      <c r="A243" s="1" t="n"/>
      <c r="B243" s="17" t="n"/>
      <c r="C243" s="21" t="n"/>
      <c r="D243" s="19" t="n"/>
      <c r="E243" s="24" t="n"/>
      <c r="F243" s="11">
        <f>IF(AND(C243="",E243=""),"",IF(NOT(ISNUMBER(B243)),"Needs a date",IF(NOT(ISNUMBER(E243)),"Needs the amount","")))</f>
        <v/>
      </c>
      <c r="G243" s="1">
        <f>IF(ISNUMBER(B243),YEAR(B243),"")</f>
        <v/>
      </c>
      <c r="H243">
        <f>IF(ISNUMBER(B243),YEAR(B243)*100+MONTH(B243),"")</f>
        <v/>
      </c>
    </row>
    <row r="244">
      <c r="A244" s="1" t="n"/>
      <c r="B244" s="17" t="n"/>
      <c r="C244" s="21" t="n"/>
      <c r="D244" s="19" t="n"/>
      <c r="E244" s="24" t="n"/>
      <c r="F244" s="11">
        <f>IF(AND(C244="",E244=""),"",IF(NOT(ISNUMBER(B244)),"Needs a date",IF(NOT(ISNUMBER(E244)),"Needs the amount","")))</f>
        <v/>
      </c>
      <c r="G244" s="1">
        <f>IF(ISNUMBER(B244),YEAR(B244),"")</f>
        <v/>
      </c>
      <c r="H244">
        <f>IF(ISNUMBER(B244),YEAR(B244)*100+MONTH(B244),"")</f>
        <v/>
      </c>
    </row>
    <row r="245">
      <c r="A245" s="1" t="n"/>
      <c r="B245" s="17" t="n"/>
      <c r="C245" s="21" t="n"/>
      <c r="D245" s="19" t="n"/>
      <c r="E245" s="24" t="n"/>
      <c r="F245" s="11">
        <f>IF(AND(C245="",E245=""),"",IF(NOT(ISNUMBER(B245)),"Needs a date",IF(NOT(ISNUMBER(E245)),"Needs the amount","")))</f>
        <v/>
      </c>
      <c r="G245" s="1">
        <f>IF(ISNUMBER(B245),YEAR(B245),"")</f>
        <v/>
      </c>
      <c r="H245">
        <f>IF(ISNUMBER(B245),YEAR(B245)*100+MONTH(B245),"")</f>
        <v/>
      </c>
    </row>
    <row r="246">
      <c r="A246" s="1" t="n"/>
      <c r="B246" s="17" t="n"/>
      <c r="C246" s="21" t="n"/>
      <c r="D246" s="19" t="n"/>
      <c r="E246" s="24" t="n"/>
      <c r="F246" s="11">
        <f>IF(AND(C246="",E246=""),"",IF(NOT(ISNUMBER(B246)),"Needs a date",IF(NOT(ISNUMBER(E246)),"Needs the amount","")))</f>
        <v/>
      </c>
      <c r="G246" s="1">
        <f>IF(ISNUMBER(B246),YEAR(B246),"")</f>
        <v/>
      </c>
      <c r="H246">
        <f>IF(ISNUMBER(B246),YEAR(B246)*100+MONTH(B246),"")</f>
        <v/>
      </c>
    </row>
    <row r="247">
      <c r="A247" s="1" t="n"/>
      <c r="B247" s="17" t="n"/>
      <c r="C247" s="21" t="n"/>
      <c r="D247" s="19" t="n"/>
      <c r="E247" s="24" t="n"/>
      <c r="F247" s="11">
        <f>IF(AND(C247="",E247=""),"",IF(NOT(ISNUMBER(B247)),"Needs a date",IF(NOT(ISNUMBER(E247)),"Needs the amount","")))</f>
        <v/>
      </c>
      <c r="G247" s="1">
        <f>IF(ISNUMBER(B247),YEAR(B247),"")</f>
        <v/>
      </c>
      <c r="H247">
        <f>IF(ISNUMBER(B247),YEAR(B247)*100+MONTH(B247),"")</f>
        <v/>
      </c>
    </row>
    <row r="248">
      <c r="A248" s="1" t="n"/>
      <c r="B248" s="17" t="n"/>
      <c r="C248" s="21" t="n"/>
      <c r="D248" s="19" t="n"/>
      <c r="E248" s="24" t="n"/>
      <c r="F248" s="11">
        <f>IF(AND(C248="",E248=""),"",IF(NOT(ISNUMBER(B248)),"Needs a date",IF(NOT(ISNUMBER(E248)),"Needs the amount","")))</f>
        <v/>
      </c>
      <c r="G248" s="1">
        <f>IF(ISNUMBER(B248),YEAR(B248),"")</f>
        <v/>
      </c>
      <c r="H248">
        <f>IF(ISNUMBER(B248),YEAR(B248)*100+MONTH(B248),"")</f>
        <v/>
      </c>
    </row>
    <row r="249">
      <c r="A249" s="1" t="n"/>
      <c r="B249" s="17" t="n"/>
      <c r="C249" s="21" t="n"/>
      <c r="D249" s="19" t="n"/>
      <c r="E249" s="24" t="n"/>
      <c r="F249" s="11">
        <f>IF(AND(C249="",E249=""),"",IF(NOT(ISNUMBER(B249)),"Needs a date",IF(NOT(ISNUMBER(E249)),"Needs the amount","")))</f>
        <v/>
      </c>
      <c r="G249" s="1">
        <f>IF(ISNUMBER(B249),YEAR(B249),"")</f>
        <v/>
      </c>
      <c r="H249">
        <f>IF(ISNUMBER(B249),YEAR(B249)*100+MONTH(B249),"")</f>
        <v/>
      </c>
    </row>
    <row r="250">
      <c r="A250" s="1" t="n"/>
      <c r="B250" s="17" t="n"/>
      <c r="C250" s="21" t="n"/>
      <c r="D250" s="19" t="n"/>
      <c r="E250" s="24" t="n"/>
      <c r="F250" s="11">
        <f>IF(AND(C250="",E250=""),"",IF(NOT(ISNUMBER(B250)),"Needs a date",IF(NOT(ISNUMBER(E250)),"Needs the amount","")))</f>
        <v/>
      </c>
      <c r="G250" s="1">
        <f>IF(ISNUMBER(B250),YEAR(B250),"")</f>
        <v/>
      </c>
      <c r="H250">
        <f>IF(ISNUMBER(B250),YEAR(B250)*100+MONTH(B250),"")</f>
        <v/>
      </c>
    </row>
    <row r="251">
      <c r="A251" s="1" t="n"/>
      <c r="B251" s="17" t="n"/>
      <c r="C251" s="21" t="n"/>
      <c r="D251" s="19" t="n"/>
      <c r="E251" s="24" t="n"/>
      <c r="F251" s="11">
        <f>IF(AND(C251="",E251=""),"",IF(NOT(ISNUMBER(B251)),"Needs a date",IF(NOT(ISNUMBER(E251)),"Needs the amount","")))</f>
        <v/>
      </c>
      <c r="G251" s="1">
        <f>IF(ISNUMBER(B251),YEAR(B251),"")</f>
        <v/>
      </c>
      <c r="H251">
        <f>IF(ISNUMBER(B251),YEAR(B251)*100+MONTH(B251),"")</f>
        <v/>
      </c>
    </row>
    <row r="252">
      <c r="A252" s="1" t="n"/>
      <c r="B252" s="17" t="n"/>
      <c r="C252" s="21" t="n"/>
      <c r="D252" s="19" t="n"/>
      <c r="E252" s="24" t="n"/>
      <c r="F252" s="11">
        <f>IF(AND(C252="",E252=""),"",IF(NOT(ISNUMBER(B252)),"Needs a date",IF(NOT(ISNUMBER(E252)),"Needs the amount","")))</f>
        <v/>
      </c>
      <c r="G252" s="1">
        <f>IF(ISNUMBER(B252),YEAR(B252),"")</f>
        <v/>
      </c>
      <c r="H252">
        <f>IF(ISNUMBER(B252),YEAR(B252)*100+MONTH(B252),"")</f>
        <v/>
      </c>
    </row>
    <row r="253">
      <c r="A253" s="1" t="n"/>
      <c r="B253" s="17" t="n"/>
      <c r="C253" s="21" t="n"/>
      <c r="D253" s="19" t="n"/>
      <c r="E253" s="24" t="n"/>
      <c r="F253" s="11">
        <f>IF(AND(C253="",E253=""),"",IF(NOT(ISNUMBER(B253)),"Needs a date",IF(NOT(ISNUMBER(E253)),"Needs the amount","")))</f>
        <v/>
      </c>
      <c r="G253" s="1">
        <f>IF(ISNUMBER(B253),YEAR(B253),"")</f>
        <v/>
      </c>
      <c r="H253">
        <f>IF(ISNUMBER(B253),YEAR(B253)*100+MONTH(B253),"")</f>
        <v/>
      </c>
    </row>
    <row r="254">
      <c r="A254" s="1" t="n"/>
      <c r="B254" s="17" t="n"/>
      <c r="C254" s="21" t="n"/>
      <c r="D254" s="19" t="n"/>
      <c r="E254" s="24" t="n"/>
      <c r="F254" s="11">
        <f>IF(AND(C254="",E254=""),"",IF(NOT(ISNUMBER(B254)),"Needs a date",IF(NOT(ISNUMBER(E254)),"Needs the amount","")))</f>
        <v/>
      </c>
      <c r="G254" s="1">
        <f>IF(ISNUMBER(B254),YEAR(B254),"")</f>
        <v/>
      </c>
      <c r="H254">
        <f>IF(ISNUMBER(B254),YEAR(B254)*100+MONTH(B254),"")</f>
        <v/>
      </c>
    </row>
    <row r="255">
      <c r="A255" s="1" t="n"/>
      <c r="B255" s="17" t="n"/>
      <c r="C255" s="21" t="n"/>
      <c r="D255" s="19" t="n"/>
      <c r="E255" s="24" t="n"/>
      <c r="F255" s="11">
        <f>IF(AND(C255="",E255=""),"",IF(NOT(ISNUMBER(B255)),"Needs a date",IF(NOT(ISNUMBER(E255)),"Needs the amount","")))</f>
        <v/>
      </c>
      <c r="G255" s="1">
        <f>IF(ISNUMBER(B255),YEAR(B255),"")</f>
        <v/>
      </c>
      <c r="H255">
        <f>IF(ISNUMBER(B255),YEAR(B255)*100+MONTH(B255),"")</f>
        <v/>
      </c>
    </row>
    <row r="256">
      <c r="A256" s="1" t="n"/>
      <c r="B256" s="17" t="n"/>
      <c r="C256" s="21" t="n"/>
      <c r="D256" s="19" t="n"/>
      <c r="E256" s="24" t="n"/>
      <c r="F256" s="11">
        <f>IF(AND(C256="",E256=""),"",IF(NOT(ISNUMBER(B256)),"Needs a date",IF(NOT(ISNUMBER(E256)),"Needs the amount","")))</f>
        <v/>
      </c>
      <c r="G256" s="1">
        <f>IF(ISNUMBER(B256),YEAR(B256),"")</f>
        <v/>
      </c>
      <c r="H256">
        <f>IF(ISNUMBER(B256),YEAR(B256)*100+MONTH(B256),"")</f>
        <v/>
      </c>
    </row>
    <row r="257">
      <c r="A257" s="1" t="n"/>
      <c r="B257" s="17" t="n"/>
      <c r="C257" s="21" t="n"/>
      <c r="D257" s="19" t="n"/>
      <c r="E257" s="24" t="n"/>
      <c r="F257" s="11">
        <f>IF(AND(C257="",E257=""),"",IF(NOT(ISNUMBER(B257)),"Needs a date",IF(NOT(ISNUMBER(E257)),"Needs the amount","")))</f>
        <v/>
      </c>
      <c r="G257" s="1">
        <f>IF(ISNUMBER(B257),YEAR(B257),"")</f>
        <v/>
      </c>
      <c r="H257">
        <f>IF(ISNUMBER(B257),YEAR(B257)*100+MONTH(B257),"")</f>
        <v/>
      </c>
    </row>
    <row r="258">
      <c r="A258" s="1" t="n"/>
      <c r="B258" s="17" t="n"/>
      <c r="C258" s="21" t="n"/>
      <c r="D258" s="19" t="n"/>
      <c r="E258" s="24" t="n"/>
      <c r="F258" s="11">
        <f>IF(AND(C258="",E258=""),"",IF(NOT(ISNUMBER(B258)),"Needs a date",IF(NOT(ISNUMBER(E258)),"Needs the amount","")))</f>
        <v/>
      </c>
      <c r="G258" s="1">
        <f>IF(ISNUMBER(B258),YEAR(B258),"")</f>
        <v/>
      </c>
      <c r="H258">
        <f>IF(ISNUMBER(B258),YEAR(B258)*100+MONTH(B258),"")</f>
        <v/>
      </c>
    </row>
    <row r="259">
      <c r="A259" s="1" t="n"/>
      <c r="B259" s="17" t="n"/>
      <c r="C259" s="21" t="n"/>
      <c r="D259" s="19" t="n"/>
      <c r="E259" s="24" t="n"/>
      <c r="F259" s="11">
        <f>IF(AND(C259="",E259=""),"",IF(NOT(ISNUMBER(B259)),"Needs a date",IF(NOT(ISNUMBER(E259)),"Needs the amount","")))</f>
        <v/>
      </c>
      <c r="G259" s="1">
        <f>IF(ISNUMBER(B259),YEAR(B259),"")</f>
        <v/>
      </c>
      <c r="H259">
        <f>IF(ISNUMBER(B259),YEAR(B259)*100+MONTH(B259),"")</f>
        <v/>
      </c>
    </row>
    <row r="260">
      <c r="A260" s="1" t="n"/>
      <c r="B260" s="17" t="n"/>
      <c r="C260" s="21" t="n"/>
      <c r="D260" s="19" t="n"/>
      <c r="E260" s="24" t="n"/>
      <c r="F260" s="11">
        <f>IF(AND(C260="",E260=""),"",IF(NOT(ISNUMBER(B260)),"Needs a date",IF(NOT(ISNUMBER(E260)),"Needs the amount","")))</f>
        <v/>
      </c>
      <c r="G260" s="1">
        <f>IF(ISNUMBER(B260),YEAR(B260),"")</f>
        <v/>
      </c>
      <c r="H260">
        <f>IF(ISNUMBER(B260),YEAR(B260)*100+MONTH(B260),"")</f>
        <v/>
      </c>
    </row>
    <row r="261">
      <c r="A261" s="1" t="n"/>
      <c r="B261" s="17" t="n"/>
      <c r="C261" s="21" t="n"/>
      <c r="D261" s="19" t="n"/>
      <c r="E261" s="24" t="n"/>
      <c r="F261" s="11">
        <f>IF(AND(C261="",E261=""),"",IF(NOT(ISNUMBER(B261)),"Needs a date",IF(NOT(ISNUMBER(E261)),"Needs the amount","")))</f>
        <v/>
      </c>
      <c r="G261" s="1">
        <f>IF(ISNUMBER(B261),YEAR(B261),"")</f>
        <v/>
      </c>
      <c r="H261">
        <f>IF(ISNUMBER(B261),YEAR(B261)*100+MONTH(B261),"")</f>
        <v/>
      </c>
    </row>
    <row r="262">
      <c r="A262" s="1" t="n"/>
      <c r="B262" s="17" t="n"/>
      <c r="C262" s="21" t="n"/>
      <c r="D262" s="19" t="n"/>
      <c r="E262" s="24" t="n"/>
      <c r="F262" s="11">
        <f>IF(AND(C262="",E262=""),"",IF(NOT(ISNUMBER(B262)),"Needs a date",IF(NOT(ISNUMBER(E262)),"Needs the amount","")))</f>
        <v/>
      </c>
      <c r="G262" s="1">
        <f>IF(ISNUMBER(B262),YEAR(B262),"")</f>
        <v/>
      </c>
      <c r="H262">
        <f>IF(ISNUMBER(B262),YEAR(B262)*100+MONTH(B262),"")</f>
        <v/>
      </c>
    </row>
    <row r="263">
      <c r="A263" s="1" t="n"/>
      <c r="B263" s="17" t="n"/>
      <c r="C263" s="21" t="n"/>
      <c r="D263" s="19" t="n"/>
      <c r="E263" s="24" t="n"/>
      <c r="F263" s="11">
        <f>IF(AND(C263="",E263=""),"",IF(NOT(ISNUMBER(B263)),"Needs a date",IF(NOT(ISNUMBER(E263)),"Needs the amount","")))</f>
        <v/>
      </c>
      <c r="G263" s="1">
        <f>IF(ISNUMBER(B263),YEAR(B263),"")</f>
        <v/>
      </c>
      <c r="H263">
        <f>IF(ISNUMBER(B263),YEAR(B263)*100+MONTH(B263),"")</f>
        <v/>
      </c>
    </row>
    <row r="264">
      <c r="A264" s="1" t="n"/>
      <c r="B264" s="17" t="n"/>
      <c r="C264" s="21" t="n"/>
      <c r="D264" s="19" t="n"/>
      <c r="E264" s="24" t="n"/>
      <c r="F264" s="11">
        <f>IF(AND(C264="",E264=""),"",IF(NOT(ISNUMBER(B264)),"Needs a date",IF(NOT(ISNUMBER(E264)),"Needs the amount","")))</f>
        <v/>
      </c>
      <c r="G264" s="1">
        <f>IF(ISNUMBER(B264),YEAR(B264),"")</f>
        <v/>
      </c>
      <c r="H264">
        <f>IF(ISNUMBER(B264),YEAR(B264)*100+MONTH(B264),"")</f>
        <v/>
      </c>
    </row>
    <row r="265">
      <c r="A265" s="1" t="n"/>
      <c r="B265" s="17" t="n"/>
      <c r="C265" s="21" t="n"/>
      <c r="D265" s="19" t="n"/>
      <c r="E265" s="24" t="n"/>
      <c r="F265" s="11">
        <f>IF(AND(C265="",E265=""),"",IF(NOT(ISNUMBER(B265)),"Needs a date",IF(NOT(ISNUMBER(E265)),"Needs the amount","")))</f>
        <v/>
      </c>
      <c r="G265" s="1">
        <f>IF(ISNUMBER(B265),YEAR(B265),"")</f>
        <v/>
      </c>
      <c r="H265">
        <f>IF(ISNUMBER(B265),YEAR(B265)*100+MONTH(B265),"")</f>
        <v/>
      </c>
    </row>
    <row r="266">
      <c r="A266" s="1" t="n"/>
      <c r="B266" s="17" t="n"/>
      <c r="C266" s="21" t="n"/>
      <c r="D266" s="19" t="n"/>
      <c r="E266" s="24" t="n"/>
      <c r="F266" s="11">
        <f>IF(AND(C266="",E266=""),"",IF(NOT(ISNUMBER(B266)),"Needs a date",IF(NOT(ISNUMBER(E266)),"Needs the amount","")))</f>
        <v/>
      </c>
      <c r="G266" s="1">
        <f>IF(ISNUMBER(B266),YEAR(B266),"")</f>
        <v/>
      </c>
      <c r="H266">
        <f>IF(ISNUMBER(B266),YEAR(B266)*100+MONTH(B266),"")</f>
        <v/>
      </c>
    </row>
    <row r="267">
      <c r="A267" s="1" t="n"/>
      <c r="B267" s="17" t="n"/>
      <c r="C267" s="21" t="n"/>
      <c r="D267" s="19" t="n"/>
      <c r="E267" s="24" t="n"/>
      <c r="F267" s="11">
        <f>IF(AND(C267="",E267=""),"",IF(NOT(ISNUMBER(B267)),"Needs a date",IF(NOT(ISNUMBER(E267)),"Needs the amount","")))</f>
        <v/>
      </c>
      <c r="G267" s="1">
        <f>IF(ISNUMBER(B267),YEAR(B267),"")</f>
        <v/>
      </c>
      <c r="H267">
        <f>IF(ISNUMBER(B267),YEAR(B267)*100+MONTH(B267),"")</f>
        <v/>
      </c>
    </row>
    <row r="268">
      <c r="A268" s="1" t="n"/>
      <c r="B268" s="17" t="n"/>
      <c r="C268" s="21" t="n"/>
      <c r="D268" s="19" t="n"/>
      <c r="E268" s="24" t="n"/>
      <c r="F268" s="11">
        <f>IF(AND(C268="",E268=""),"",IF(NOT(ISNUMBER(B268)),"Needs a date",IF(NOT(ISNUMBER(E268)),"Needs the amount","")))</f>
        <v/>
      </c>
      <c r="G268" s="1">
        <f>IF(ISNUMBER(B268),YEAR(B268),"")</f>
        <v/>
      </c>
      <c r="H268">
        <f>IF(ISNUMBER(B268),YEAR(B268)*100+MONTH(B268),"")</f>
        <v/>
      </c>
    </row>
    <row r="269">
      <c r="A269" s="1" t="n"/>
      <c r="B269" s="17" t="n"/>
      <c r="C269" s="21" t="n"/>
      <c r="D269" s="19" t="n"/>
      <c r="E269" s="24" t="n"/>
      <c r="F269" s="11">
        <f>IF(AND(C269="",E269=""),"",IF(NOT(ISNUMBER(B269)),"Needs a date",IF(NOT(ISNUMBER(E269)),"Needs the amount","")))</f>
        <v/>
      </c>
      <c r="G269" s="1">
        <f>IF(ISNUMBER(B269),YEAR(B269),"")</f>
        <v/>
      </c>
      <c r="H269">
        <f>IF(ISNUMBER(B269),YEAR(B269)*100+MONTH(B269),"")</f>
        <v/>
      </c>
    </row>
    <row r="270">
      <c r="A270" s="1" t="n"/>
      <c r="B270" s="17" t="n"/>
      <c r="C270" s="21" t="n"/>
      <c r="D270" s="19" t="n"/>
      <c r="E270" s="24" t="n"/>
      <c r="F270" s="11">
        <f>IF(AND(C270="",E270=""),"",IF(NOT(ISNUMBER(B270)),"Needs a date",IF(NOT(ISNUMBER(E270)),"Needs the amount","")))</f>
        <v/>
      </c>
      <c r="G270" s="1">
        <f>IF(ISNUMBER(B270),YEAR(B270),"")</f>
        <v/>
      </c>
      <c r="H270">
        <f>IF(ISNUMBER(B270),YEAR(B270)*100+MONTH(B270),"")</f>
        <v/>
      </c>
    </row>
    <row r="271">
      <c r="A271" s="1" t="n"/>
      <c r="B271" s="17" t="n"/>
      <c r="C271" s="21" t="n"/>
      <c r="D271" s="19" t="n"/>
      <c r="E271" s="24" t="n"/>
      <c r="F271" s="11">
        <f>IF(AND(C271="",E271=""),"",IF(NOT(ISNUMBER(B271)),"Needs a date",IF(NOT(ISNUMBER(E271)),"Needs the amount","")))</f>
        <v/>
      </c>
      <c r="G271" s="1">
        <f>IF(ISNUMBER(B271),YEAR(B271),"")</f>
        <v/>
      </c>
      <c r="H271">
        <f>IF(ISNUMBER(B271),YEAR(B271)*100+MONTH(B271),"")</f>
        <v/>
      </c>
    </row>
    <row r="272">
      <c r="A272" s="1" t="n"/>
      <c r="B272" s="17" t="n"/>
      <c r="C272" s="21" t="n"/>
      <c r="D272" s="19" t="n"/>
      <c r="E272" s="24" t="n"/>
      <c r="F272" s="11">
        <f>IF(AND(C272="",E272=""),"",IF(NOT(ISNUMBER(B272)),"Needs a date",IF(NOT(ISNUMBER(E272)),"Needs the amount","")))</f>
        <v/>
      </c>
      <c r="G272" s="1">
        <f>IF(ISNUMBER(B272),YEAR(B272),"")</f>
        <v/>
      </c>
      <c r="H272">
        <f>IF(ISNUMBER(B272),YEAR(B272)*100+MONTH(B272),"")</f>
        <v/>
      </c>
    </row>
    <row r="273">
      <c r="A273" s="1" t="n"/>
      <c r="B273" s="17" t="n"/>
      <c r="C273" s="21" t="n"/>
      <c r="D273" s="19" t="n"/>
      <c r="E273" s="24" t="n"/>
      <c r="F273" s="11">
        <f>IF(AND(C273="",E273=""),"",IF(NOT(ISNUMBER(B273)),"Needs a date",IF(NOT(ISNUMBER(E273)),"Needs the amount","")))</f>
        <v/>
      </c>
      <c r="G273" s="1">
        <f>IF(ISNUMBER(B273),YEAR(B273),"")</f>
        <v/>
      </c>
      <c r="H273">
        <f>IF(ISNUMBER(B273),YEAR(B273)*100+MONTH(B273),"")</f>
        <v/>
      </c>
    </row>
    <row r="274">
      <c r="A274" s="1" t="n"/>
      <c r="B274" s="17" t="n"/>
      <c r="C274" s="21" t="n"/>
      <c r="D274" s="19" t="n"/>
      <c r="E274" s="24" t="n"/>
      <c r="F274" s="11">
        <f>IF(AND(C274="",E274=""),"",IF(NOT(ISNUMBER(B274)),"Needs a date",IF(NOT(ISNUMBER(E274)),"Needs the amount","")))</f>
        <v/>
      </c>
      <c r="G274" s="1">
        <f>IF(ISNUMBER(B274),YEAR(B274),"")</f>
        <v/>
      </c>
      <c r="H274">
        <f>IF(ISNUMBER(B274),YEAR(B274)*100+MONTH(B274),"")</f>
        <v/>
      </c>
    </row>
    <row r="275">
      <c r="A275" s="1" t="n"/>
      <c r="B275" s="17" t="n"/>
      <c r="C275" s="21" t="n"/>
      <c r="D275" s="19" t="n"/>
      <c r="E275" s="24" t="n"/>
      <c r="F275" s="11">
        <f>IF(AND(C275="",E275=""),"",IF(NOT(ISNUMBER(B275)),"Needs a date",IF(NOT(ISNUMBER(E275)),"Needs the amount","")))</f>
        <v/>
      </c>
      <c r="G275" s="1">
        <f>IF(ISNUMBER(B275),YEAR(B275),"")</f>
        <v/>
      </c>
      <c r="H275">
        <f>IF(ISNUMBER(B275),YEAR(B275)*100+MONTH(B275),"")</f>
        <v/>
      </c>
    </row>
    <row r="276">
      <c r="A276" s="1" t="n"/>
      <c r="B276" s="17" t="n"/>
      <c r="C276" s="21" t="n"/>
      <c r="D276" s="19" t="n"/>
      <c r="E276" s="24" t="n"/>
      <c r="F276" s="11">
        <f>IF(AND(C276="",E276=""),"",IF(NOT(ISNUMBER(B276)),"Needs a date",IF(NOT(ISNUMBER(E276)),"Needs the amount","")))</f>
        <v/>
      </c>
      <c r="G276" s="1">
        <f>IF(ISNUMBER(B276),YEAR(B276),"")</f>
        <v/>
      </c>
      <c r="H276">
        <f>IF(ISNUMBER(B276),YEAR(B276)*100+MONTH(B276),"")</f>
        <v/>
      </c>
    </row>
    <row r="277">
      <c r="A277" s="1" t="n"/>
      <c r="B277" s="17" t="n"/>
      <c r="C277" s="21" t="n"/>
      <c r="D277" s="19" t="n"/>
      <c r="E277" s="24" t="n"/>
      <c r="F277" s="11">
        <f>IF(AND(C277="",E277=""),"",IF(NOT(ISNUMBER(B277)),"Needs a date",IF(NOT(ISNUMBER(E277)),"Needs the amount","")))</f>
        <v/>
      </c>
      <c r="G277" s="1">
        <f>IF(ISNUMBER(B277),YEAR(B277),"")</f>
        <v/>
      </c>
      <c r="H277">
        <f>IF(ISNUMBER(B277),YEAR(B277)*100+MONTH(B277),"")</f>
        <v/>
      </c>
    </row>
    <row r="278">
      <c r="A278" s="1" t="n"/>
      <c r="B278" s="17" t="n"/>
      <c r="C278" s="21" t="n"/>
      <c r="D278" s="19" t="n"/>
      <c r="E278" s="24" t="n"/>
      <c r="F278" s="11">
        <f>IF(AND(C278="",E278=""),"",IF(NOT(ISNUMBER(B278)),"Needs a date",IF(NOT(ISNUMBER(E278)),"Needs the amount","")))</f>
        <v/>
      </c>
      <c r="G278" s="1">
        <f>IF(ISNUMBER(B278),YEAR(B278),"")</f>
        <v/>
      </c>
      <c r="H278">
        <f>IF(ISNUMBER(B278),YEAR(B278)*100+MONTH(B278),"")</f>
        <v/>
      </c>
    </row>
    <row r="279">
      <c r="A279" s="1" t="n"/>
      <c r="B279" s="17" t="n"/>
      <c r="C279" s="21" t="n"/>
      <c r="D279" s="19" t="n"/>
      <c r="E279" s="24" t="n"/>
      <c r="F279" s="11">
        <f>IF(AND(C279="",E279=""),"",IF(NOT(ISNUMBER(B279)),"Needs a date",IF(NOT(ISNUMBER(E279)),"Needs the amount","")))</f>
        <v/>
      </c>
      <c r="G279" s="1">
        <f>IF(ISNUMBER(B279),YEAR(B279),"")</f>
        <v/>
      </c>
      <c r="H279">
        <f>IF(ISNUMBER(B279),YEAR(B279)*100+MONTH(B279),"")</f>
        <v/>
      </c>
    </row>
    <row r="280">
      <c r="A280" s="1" t="n"/>
      <c r="B280" s="17" t="n"/>
      <c r="C280" s="21" t="n"/>
      <c r="D280" s="19" t="n"/>
      <c r="E280" s="24" t="n"/>
      <c r="F280" s="11">
        <f>IF(AND(C280="",E280=""),"",IF(NOT(ISNUMBER(B280)),"Needs a date",IF(NOT(ISNUMBER(E280)),"Needs the amount","")))</f>
        <v/>
      </c>
      <c r="G280" s="1">
        <f>IF(ISNUMBER(B280),YEAR(B280),"")</f>
        <v/>
      </c>
      <c r="H280">
        <f>IF(ISNUMBER(B280),YEAR(B280)*100+MONTH(B280),"")</f>
        <v/>
      </c>
    </row>
    <row r="281">
      <c r="A281" s="1" t="n"/>
      <c r="B281" s="17" t="n"/>
      <c r="C281" s="21" t="n"/>
      <c r="D281" s="19" t="n"/>
      <c r="E281" s="24" t="n"/>
      <c r="F281" s="11">
        <f>IF(AND(C281="",E281=""),"",IF(NOT(ISNUMBER(B281)),"Needs a date",IF(NOT(ISNUMBER(E281)),"Needs the amount","")))</f>
        <v/>
      </c>
      <c r="G281" s="1">
        <f>IF(ISNUMBER(B281),YEAR(B281),"")</f>
        <v/>
      </c>
      <c r="H281">
        <f>IF(ISNUMBER(B281),YEAR(B281)*100+MONTH(B281),"")</f>
        <v/>
      </c>
    </row>
    <row r="282">
      <c r="A282" s="1" t="n"/>
      <c r="B282" s="17" t="n"/>
      <c r="C282" s="21" t="n"/>
      <c r="D282" s="19" t="n"/>
      <c r="E282" s="24" t="n"/>
      <c r="F282" s="11">
        <f>IF(AND(C282="",E282=""),"",IF(NOT(ISNUMBER(B282)),"Needs a date",IF(NOT(ISNUMBER(E282)),"Needs the amount","")))</f>
        <v/>
      </c>
      <c r="G282" s="1">
        <f>IF(ISNUMBER(B282),YEAR(B282),"")</f>
        <v/>
      </c>
      <c r="H282">
        <f>IF(ISNUMBER(B282),YEAR(B282)*100+MONTH(B282),"")</f>
        <v/>
      </c>
    </row>
    <row r="283">
      <c r="A283" s="1" t="n"/>
      <c r="B283" s="17" t="n"/>
      <c r="C283" s="21" t="n"/>
      <c r="D283" s="19" t="n"/>
      <c r="E283" s="24" t="n"/>
      <c r="F283" s="11">
        <f>IF(AND(C283="",E283=""),"",IF(NOT(ISNUMBER(B283)),"Needs a date",IF(NOT(ISNUMBER(E283)),"Needs the amount","")))</f>
        <v/>
      </c>
      <c r="G283" s="1">
        <f>IF(ISNUMBER(B283),YEAR(B283),"")</f>
        <v/>
      </c>
      <c r="H283">
        <f>IF(ISNUMBER(B283),YEAR(B283)*100+MONTH(B283),"")</f>
        <v/>
      </c>
    </row>
    <row r="284">
      <c r="A284" s="1" t="n"/>
      <c r="B284" s="17" t="n"/>
      <c r="C284" s="21" t="n"/>
      <c r="D284" s="19" t="n"/>
      <c r="E284" s="24" t="n"/>
      <c r="F284" s="11">
        <f>IF(AND(C284="",E284=""),"",IF(NOT(ISNUMBER(B284)),"Needs a date",IF(NOT(ISNUMBER(E284)),"Needs the amount","")))</f>
        <v/>
      </c>
      <c r="G284" s="1">
        <f>IF(ISNUMBER(B284),YEAR(B284),"")</f>
        <v/>
      </c>
      <c r="H284">
        <f>IF(ISNUMBER(B284),YEAR(B284)*100+MONTH(B284),"")</f>
        <v/>
      </c>
    </row>
    <row r="285">
      <c r="A285" s="1" t="n"/>
      <c r="B285" s="17" t="n"/>
      <c r="C285" s="21" t="n"/>
      <c r="D285" s="19" t="n"/>
      <c r="E285" s="24" t="n"/>
      <c r="F285" s="11">
        <f>IF(AND(C285="",E285=""),"",IF(NOT(ISNUMBER(B285)),"Needs a date",IF(NOT(ISNUMBER(E285)),"Needs the amount","")))</f>
        <v/>
      </c>
      <c r="G285" s="1">
        <f>IF(ISNUMBER(B285),YEAR(B285),"")</f>
        <v/>
      </c>
      <c r="H285">
        <f>IF(ISNUMBER(B285),YEAR(B285)*100+MONTH(B285),"")</f>
        <v/>
      </c>
    </row>
    <row r="286">
      <c r="A286" s="1" t="n"/>
      <c r="B286" s="17" t="n"/>
      <c r="C286" s="21" t="n"/>
      <c r="D286" s="19" t="n"/>
      <c r="E286" s="24" t="n"/>
      <c r="F286" s="11">
        <f>IF(AND(C286="",E286=""),"",IF(NOT(ISNUMBER(B286)),"Needs a date",IF(NOT(ISNUMBER(E286)),"Needs the amount","")))</f>
        <v/>
      </c>
      <c r="G286" s="1">
        <f>IF(ISNUMBER(B286),YEAR(B286),"")</f>
        <v/>
      </c>
      <c r="H286">
        <f>IF(ISNUMBER(B286),YEAR(B286)*100+MONTH(B286),"")</f>
        <v/>
      </c>
    </row>
    <row r="287">
      <c r="A287" s="1" t="n"/>
      <c r="B287" s="17" t="n"/>
      <c r="C287" s="21" t="n"/>
      <c r="D287" s="19" t="n"/>
      <c r="E287" s="24" t="n"/>
      <c r="F287" s="11">
        <f>IF(AND(C287="",E287=""),"",IF(NOT(ISNUMBER(B287)),"Needs a date",IF(NOT(ISNUMBER(E287)),"Needs the amount","")))</f>
        <v/>
      </c>
      <c r="G287" s="1">
        <f>IF(ISNUMBER(B287),YEAR(B287),"")</f>
        <v/>
      </c>
      <c r="H287">
        <f>IF(ISNUMBER(B287),YEAR(B287)*100+MONTH(B287),"")</f>
        <v/>
      </c>
    </row>
    <row r="288">
      <c r="A288" s="1" t="n"/>
      <c r="B288" s="17" t="n"/>
      <c r="C288" s="21" t="n"/>
      <c r="D288" s="19" t="n"/>
      <c r="E288" s="24" t="n"/>
      <c r="F288" s="11">
        <f>IF(AND(C288="",E288=""),"",IF(NOT(ISNUMBER(B288)),"Needs a date",IF(NOT(ISNUMBER(E288)),"Needs the amount","")))</f>
        <v/>
      </c>
      <c r="G288" s="1">
        <f>IF(ISNUMBER(B288),YEAR(B288),"")</f>
        <v/>
      </c>
      <c r="H288">
        <f>IF(ISNUMBER(B288),YEAR(B288)*100+MONTH(B288),"")</f>
        <v/>
      </c>
    </row>
    <row r="289">
      <c r="A289" s="1" t="n"/>
      <c r="B289" s="17" t="n"/>
      <c r="C289" s="21" t="n"/>
      <c r="D289" s="19" t="n"/>
      <c r="E289" s="24" t="n"/>
      <c r="F289" s="11">
        <f>IF(AND(C289="",E289=""),"",IF(NOT(ISNUMBER(B289)),"Needs a date",IF(NOT(ISNUMBER(E289)),"Needs the amount","")))</f>
        <v/>
      </c>
      <c r="G289" s="1">
        <f>IF(ISNUMBER(B289),YEAR(B289),"")</f>
        <v/>
      </c>
      <c r="H289">
        <f>IF(ISNUMBER(B289),YEAR(B289)*100+MONTH(B289),"")</f>
        <v/>
      </c>
    </row>
    <row r="290">
      <c r="A290" s="1" t="n"/>
      <c r="B290" s="17" t="n"/>
      <c r="C290" s="21" t="n"/>
      <c r="D290" s="19" t="n"/>
      <c r="E290" s="24" t="n"/>
      <c r="F290" s="11">
        <f>IF(AND(C290="",E290=""),"",IF(NOT(ISNUMBER(B290)),"Needs a date",IF(NOT(ISNUMBER(E290)),"Needs the amount","")))</f>
        <v/>
      </c>
      <c r="G290" s="1">
        <f>IF(ISNUMBER(B290),YEAR(B290),"")</f>
        <v/>
      </c>
      <c r="H290">
        <f>IF(ISNUMBER(B290),YEAR(B290)*100+MONTH(B290),"")</f>
        <v/>
      </c>
    </row>
    <row r="291">
      <c r="A291" s="1" t="n"/>
      <c r="B291" s="17" t="n"/>
      <c r="C291" s="21" t="n"/>
      <c r="D291" s="19" t="n"/>
      <c r="E291" s="24" t="n"/>
      <c r="F291" s="11">
        <f>IF(AND(C291="",E291=""),"",IF(NOT(ISNUMBER(B291)),"Needs a date",IF(NOT(ISNUMBER(E291)),"Needs the amount","")))</f>
        <v/>
      </c>
      <c r="G291" s="1">
        <f>IF(ISNUMBER(B291),YEAR(B291),"")</f>
        <v/>
      </c>
      <c r="H291">
        <f>IF(ISNUMBER(B291),YEAR(B291)*100+MONTH(B291),"")</f>
        <v/>
      </c>
    </row>
    <row r="292">
      <c r="A292" s="1" t="n"/>
      <c r="B292" s="17" t="n"/>
      <c r="C292" s="21" t="n"/>
      <c r="D292" s="19" t="n"/>
      <c r="E292" s="24" t="n"/>
      <c r="F292" s="11">
        <f>IF(AND(C292="",E292=""),"",IF(NOT(ISNUMBER(B292)),"Needs a date",IF(NOT(ISNUMBER(E292)),"Needs the amount","")))</f>
        <v/>
      </c>
      <c r="G292" s="1">
        <f>IF(ISNUMBER(B292),YEAR(B292),"")</f>
        <v/>
      </c>
      <c r="H292">
        <f>IF(ISNUMBER(B292),YEAR(B292)*100+MONTH(B292),"")</f>
        <v/>
      </c>
    </row>
    <row r="293">
      <c r="A293" s="1" t="n"/>
      <c r="B293" s="17" t="n"/>
      <c r="C293" s="21" t="n"/>
      <c r="D293" s="19" t="n"/>
      <c r="E293" s="24" t="n"/>
      <c r="F293" s="11">
        <f>IF(AND(C293="",E293=""),"",IF(NOT(ISNUMBER(B293)),"Needs a date",IF(NOT(ISNUMBER(E293)),"Needs the amount","")))</f>
        <v/>
      </c>
      <c r="G293" s="1">
        <f>IF(ISNUMBER(B293),YEAR(B293),"")</f>
        <v/>
      </c>
      <c r="H293">
        <f>IF(ISNUMBER(B293),YEAR(B293)*100+MONTH(B293),"")</f>
        <v/>
      </c>
    </row>
    <row r="294">
      <c r="A294" s="1" t="n"/>
      <c r="B294" s="17" t="n"/>
      <c r="C294" s="21" t="n"/>
      <c r="D294" s="19" t="n"/>
      <c r="E294" s="24" t="n"/>
      <c r="F294" s="11">
        <f>IF(AND(C294="",E294=""),"",IF(NOT(ISNUMBER(B294)),"Needs a date",IF(NOT(ISNUMBER(E294)),"Needs the amount","")))</f>
        <v/>
      </c>
      <c r="G294" s="1">
        <f>IF(ISNUMBER(B294),YEAR(B294),"")</f>
        <v/>
      </c>
      <c r="H294">
        <f>IF(ISNUMBER(B294),YEAR(B294)*100+MONTH(B294),"")</f>
        <v/>
      </c>
    </row>
    <row r="295">
      <c r="A295" s="1" t="n"/>
      <c r="B295" s="17" t="n"/>
      <c r="C295" s="21" t="n"/>
      <c r="D295" s="19" t="n"/>
      <c r="E295" s="24" t="n"/>
      <c r="F295" s="11">
        <f>IF(AND(C295="",E295=""),"",IF(NOT(ISNUMBER(B295)),"Needs a date",IF(NOT(ISNUMBER(E295)),"Needs the amount","")))</f>
        <v/>
      </c>
      <c r="G295" s="1">
        <f>IF(ISNUMBER(B295),YEAR(B295),"")</f>
        <v/>
      </c>
      <c r="H295">
        <f>IF(ISNUMBER(B295),YEAR(B295)*100+MONTH(B295),"")</f>
        <v/>
      </c>
    </row>
    <row r="296">
      <c r="A296" s="1" t="n"/>
      <c r="B296" s="17" t="n"/>
      <c r="C296" s="21" t="n"/>
      <c r="D296" s="19" t="n"/>
      <c r="E296" s="24" t="n"/>
      <c r="F296" s="11">
        <f>IF(AND(C296="",E296=""),"",IF(NOT(ISNUMBER(B296)),"Needs a date",IF(NOT(ISNUMBER(E296)),"Needs the amount","")))</f>
        <v/>
      </c>
      <c r="G296" s="1">
        <f>IF(ISNUMBER(B296),YEAR(B296),"")</f>
        <v/>
      </c>
      <c r="H296">
        <f>IF(ISNUMBER(B296),YEAR(B296)*100+MONTH(B296),"")</f>
        <v/>
      </c>
    </row>
    <row r="297">
      <c r="A297" s="1" t="n"/>
      <c r="B297" s="17" t="n"/>
      <c r="C297" s="21" t="n"/>
      <c r="D297" s="19" t="n"/>
      <c r="E297" s="24" t="n"/>
      <c r="F297" s="11">
        <f>IF(AND(C297="",E297=""),"",IF(NOT(ISNUMBER(B297)),"Needs a date",IF(NOT(ISNUMBER(E297)),"Needs the amount","")))</f>
        <v/>
      </c>
      <c r="G297" s="1">
        <f>IF(ISNUMBER(B297),YEAR(B297),"")</f>
        <v/>
      </c>
      <c r="H297">
        <f>IF(ISNUMBER(B297),YEAR(B297)*100+MONTH(B297),"")</f>
        <v/>
      </c>
    </row>
    <row r="298">
      <c r="A298" s="1" t="n"/>
      <c r="B298" s="17" t="n"/>
      <c r="C298" s="21" t="n"/>
      <c r="D298" s="19" t="n"/>
      <c r="E298" s="24" t="n"/>
      <c r="F298" s="11">
        <f>IF(AND(C298="",E298=""),"",IF(NOT(ISNUMBER(B298)),"Needs a date",IF(NOT(ISNUMBER(E298)),"Needs the amount","")))</f>
        <v/>
      </c>
      <c r="G298" s="1">
        <f>IF(ISNUMBER(B298),YEAR(B298),"")</f>
        <v/>
      </c>
      <c r="H298">
        <f>IF(ISNUMBER(B298),YEAR(B298)*100+MONTH(B298),"")</f>
        <v/>
      </c>
    </row>
    <row r="299">
      <c r="A299" s="1" t="n"/>
      <c r="B299" s="17" t="n"/>
      <c r="C299" s="21" t="n"/>
      <c r="D299" s="19" t="n"/>
      <c r="E299" s="24" t="n"/>
      <c r="F299" s="11">
        <f>IF(AND(C299="",E299=""),"",IF(NOT(ISNUMBER(B299)),"Needs a date",IF(NOT(ISNUMBER(E299)),"Needs the amount","")))</f>
        <v/>
      </c>
      <c r="G299" s="1">
        <f>IF(ISNUMBER(B299),YEAR(B299),"")</f>
        <v/>
      </c>
      <c r="H299">
        <f>IF(ISNUMBER(B299),YEAR(B299)*100+MONTH(B299),"")</f>
        <v/>
      </c>
    </row>
    <row r="300">
      <c r="A300" s="1" t="n"/>
      <c r="B300" s="17" t="n"/>
      <c r="C300" s="21" t="n"/>
      <c r="D300" s="19" t="n"/>
      <c r="E300" s="24" t="n"/>
      <c r="F300" s="11">
        <f>IF(AND(C300="",E300=""),"",IF(NOT(ISNUMBER(B300)),"Needs a date",IF(NOT(ISNUMBER(E300)),"Needs the amount","")))</f>
        <v/>
      </c>
      <c r="G300" s="1">
        <f>IF(ISNUMBER(B300),YEAR(B300),"")</f>
        <v/>
      </c>
      <c r="H300">
        <f>IF(ISNUMBER(B300),YEAR(B300)*100+MONTH(B300),"")</f>
        <v/>
      </c>
    </row>
    <row r="301">
      <c r="A301" s="1" t="n"/>
      <c r="B301" s="17" t="n"/>
      <c r="C301" s="21" t="n"/>
      <c r="D301" s="19" t="n"/>
      <c r="E301" s="24" t="n"/>
      <c r="F301" s="11">
        <f>IF(AND(C301="",E301=""),"",IF(NOT(ISNUMBER(B301)),"Needs a date",IF(NOT(ISNUMBER(E301)),"Needs the amount","")))</f>
        <v/>
      </c>
      <c r="G301" s="1">
        <f>IF(ISNUMBER(B301),YEAR(B301),"")</f>
        <v/>
      </c>
      <c r="H301">
        <f>IF(ISNUMBER(B301),YEAR(B301)*100+MONTH(B301),"")</f>
        <v/>
      </c>
    </row>
    <row r="302">
      <c r="A302" s="1" t="n"/>
      <c r="B302" s="17" t="n"/>
      <c r="C302" s="21" t="n"/>
      <c r="D302" s="19" t="n"/>
      <c r="E302" s="24" t="n"/>
      <c r="F302" s="11">
        <f>IF(AND(C302="",E302=""),"",IF(NOT(ISNUMBER(B302)),"Needs a date",IF(NOT(ISNUMBER(E302)),"Needs the amount","")))</f>
        <v/>
      </c>
      <c r="G302" s="1">
        <f>IF(ISNUMBER(B302),YEAR(B302),"")</f>
        <v/>
      </c>
      <c r="H302">
        <f>IF(ISNUMBER(B302),YEAR(B302)*100+MONTH(B302),"")</f>
        <v/>
      </c>
    </row>
    <row r="303">
      <c r="A303" s="1" t="n"/>
      <c r="B303" s="17" t="n"/>
      <c r="C303" s="21" t="n"/>
      <c r="D303" s="19" t="n"/>
      <c r="E303" s="24" t="n"/>
      <c r="F303" s="11">
        <f>IF(AND(C303="",E303=""),"",IF(NOT(ISNUMBER(B303)),"Needs a date",IF(NOT(ISNUMBER(E303)),"Needs the amount","")))</f>
        <v/>
      </c>
      <c r="G303" s="1">
        <f>IF(ISNUMBER(B303),YEAR(B303),"")</f>
        <v/>
      </c>
      <c r="H303">
        <f>IF(ISNUMBER(B303),YEAR(B303)*100+MONTH(B303),"")</f>
        <v/>
      </c>
    </row>
    <row r="304">
      <c r="A304" s="1" t="n"/>
      <c r="B304" s="17" t="n"/>
      <c r="C304" s="21" t="n"/>
      <c r="D304" s="19" t="n"/>
      <c r="E304" s="24" t="n"/>
      <c r="F304" s="11">
        <f>IF(AND(C304="",E304=""),"",IF(NOT(ISNUMBER(B304)),"Needs a date",IF(NOT(ISNUMBER(E304)),"Needs the amount","")))</f>
        <v/>
      </c>
      <c r="G304" s="1">
        <f>IF(ISNUMBER(B304),YEAR(B304),"")</f>
        <v/>
      </c>
      <c r="H304">
        <f>IF(ISNUMBER(B304),YEAR(B304)*100+MONTH(B304),"")</f>
        <v/>
      </c>
    </row>
    <row r="305">
      <c r="A305" s="1" t="n"/>
      <c r="B305" s="17" t="n"/>
      <c r="C305" s="21" t="n"/>
      <c r="D305" s="19" t="n"/>
      <c r="E305" s="24" t="n"/>
      <c r="F305" s="11">
        <f>IF(AND(C305="",E305=""),"",IF(NOT(ISNUMBER(B305)),"Needs a date",IF(NOT(ISNUMBER(E305)),"Needs the amount","")))</f>
        <v/>
      </c>
      <c r="G305" s="1">
        <f>IF(ISNUMBER(B305),YEAR(B305),"")</f>
        <v/>
      </c>
      <c r="H305">
        <f>IF(ISNUMBER(B305),YEAR(B305)*100+MONTH(B305),"")</f>
        <v/>
      </c>
    </row>
    <row r="306">
      <c r="A306" s="1" t="n"/>
      <c r="B306" s="17" t="n"/>
      <c r="C306" s="21" t="n"/>
      <c r="D306" s="19" t="n"/>
      <c r="E306" s="24" t="n"/>
      <c r="F306" s="11">
        <f>IF(AND(C306="",E306=""),"",IF(NOT(ISNUMBER(B306)),"Needs a date",IF(NOT(ISNUMBER(E306)),"Needs the amount","")))</f>
        <v/>
      </c>
      <c r="G306" s="1">
        <f>IF(ISNUMBER(B306),YEAR(B306),"")</f>
        <v/>
      </c>
      <c r="H306">
        <f>IF(ISNUMBER(B306),YEAR(B306)*100+MONTH(B306),"")</f>
        <v/>
      </c>
    </row>
    <row r="307">
      <c r="A307" s="1" t="n"/>
      <c r="B307" s="17" t="n"/>
      <c r="C307" s="21" t="n"/>
      <c r="D307" s="19" t="n"/>
      <c r="E307" s="24" t="n"/>
      <c r="F307" s="11">
        <f>IF(AND(C307="",E307=""),"",IF(NOT(ISNUMBER(B307)),"Needs a date",IF(NOT(ISNUMBER(E307)),"Needs the amount","")))</f>
        <v/>
      </c>
      <c r="G307" s="1">
        <f>IF(ISNUMBER(B307),YEAR(B307),"")</f>
        <v/>
      </c>
      <c r="H307">
        <f>IF(ISNUMBER(B307),YEAR(B307)*100+MONTH(B307),"")</f>
        <v/>
      </c>
    </row>
    <row r="308">
      <c r="A308" s="1" t="n"/>
      <c r="B308" s="17" t="n"/>
      <c r="C308" s="21" t="n"/>
      <c r="D308" s="19" t="n"/>
      <c r="E308" s="24" t="n"/>
      <c r="F308" s="11">
        <f>IF(AND(C308="",E308=""),"",IF(NOT(ISNUMBER(B308)),"Needs a date",IF(NOT(ISNUMBER(E308)),"Needs the amount","")))</f>
        <v/>
      </c>
      <c r="G308" s="1">
        <f>IF(ISNUMBER(B308),YEAR(B308),"")</f>
        <v/>
      </c>
      <c r="H308">
        <f>IF(ISNUMBER(B308),YEAR(B308)*100+MONTH(B308),"")</f>
        <v/>
      </c>
    </row>
    <row r="309">
      <c r="A309" s="1" t="n"/>
      <c r="B309" s="17" t="n"/>
      <c r="C309" s="21" t="n"/>
      <c r="D309" s="19" t="n"/>
      <c r="E309" s="24" t="n"/>
      <c r="F309" s="11">
        <f>IF(AND(C309="",E309=""),"",IF(NOT(ISNUMBER(B309)),"Needs a date",IF(NOT(ISNUMBER(E309)),"Needs the amount","")))</f>
        <v/>
      </c>
      <c r="G309" s="1">
        <f>IF(ISNUMBER(B309),YEAR(B309),"")</f>
        <v/>
      </c>
      <c r="H309">
        <f>IF(ISNUMBER(B309),YEAR(B309)*100+MONTH(B309),"")</f>
        <v/>
      </c>
    </row>
    <row r="310">
      <c r="A310" s="1" t="n"/>
      <c r="B310" s="17" t="n"/>
      <c r="C310" s="21" t="n"/>
      <c r="D310" s="19" t="n"/>
      <c r="E310" s="24" t="n"/>
      <c r="F310" s="11">
        <f>IF(AND(C310="",E310=""),"",IF(NOT(ISNUMBER(B310)),"Needs a date",IF(NOT(ISNUMBER(E310)),"Needs the amount","")))</f>
        <v/>
      </c>
      <c r="G310" s="1">
        <f>IF(ISNUMBER(B310),YEAR(B310),"")</f>
        <v/>
      </c>
      <c r="H310">
        <f>IF(ISNUMBER(B310),YEAR(B310)*100+MONTH(B310),"")</f>
        <v/>
      </c>
    </row>
    <row r="311">
      <c r="A311" s="1" t="n"/>
      <c r="B311" s="17" t="n"/>
      <c r="C311" s="21" t="n"/>
      <c r="D311" s="19" t="n"/>
      <c r="E311" s="24" t="n"/>
      <c r="F311" s="11">
        <f>IF(AND(C311="",E311=""),"",IF(NOT(ISNUMBER(B311)),"Needs a date",IF(NOT(ISNUMBER(E311)),"Needs the amount","")))</f>
        <v/>
      </c>
      <c r="G311" s="1">
        <f>IF(ISNUMBER(B311),YEAR(B311),"")</f>
        <v/>
      </c>
      <c r="H311">
        <f>IF(ISNUMBER(B311),YEAR(B311)*100+MONTH(B311),"")</f>
        <v/>
      </c>
    </row>
    <row r="312">
      <c r="A312" s="1" t="n"/>
      <c r="B312" s="17" t="n"/>
      <c r="C312" s="21" t="n"/>
      <c r="D312" s="19" t="n"/>
      <c r="E312" s="24" t="n"/>
      <c r="F312" s="11">
        <f>IF(AND(C312="",E312=""),"",IF(NOT(ISNUMBER(B312)),"Needs a date",IF(NOT(ISNUMBER(E312)),"Needs the amount","")))</f>
        <v/>
      </c>
      <c r="G312" s="1">
        <f>IF(ISNUMBER(B312),YEAR(B312),"")</f>
        <v/>
      </c>
      <c r="H312">
        <f>IF(ISNUMBER(B312),YEAR(B312)*100+MONTH(B312),"")</f>
        <v/>
      </c>
    </row>
    <row r="313">
      <c r="A313" s="1" t="n"/>
      <c r="B313" s="17" t="n"/>
      <c r="C313" s="21" t="n"/>
      <c r="D313" s="19" t="n"/>
      <c r="E313" s="24" t="n"/>
      <c r="F313" s="11">
        <f>IF(AND(C313="",E313=""),"",IF(NOT(ISNUMBER(B313)),"Needs a date",IF(NOT(ISNUMBER(E313)),"Needs the amount","")))</f>
        <v/>
      </c>
      <c r="G313" s="1">
        <f>IF(ISNUMBER(B313),YEAR(B313),"")</f>
        <v/>
      </c>
      <c r="H313">
        <f>IF(ISNUMBER(B313),YEAR(B313)*100+MONTH(B313),"")</f>
        <v/>
      </c>
    </row>
    <row r="314">
      <c r="A314" s="1" t="n"/>
      <c r="B314" s="17" t="n"/>
      <c r="C314" s="21" t="n"/>
      <c r="D314" s="19" t="n"/>
      <c r="E314" s="24" t="n"/>
      <c r="F314" s="11">
        <f>IF(AND(C314="",E314=""),"",IF(NOT(ISNUMBER(B314)),"Needs a date",IF(NOT(ISNUMBER(E314)),"Needs the amount","")))</f>
        <v/>
      </c>
      <c r="G314" s="1">
        <f>IF(ISNUMBER(B314),YEAR(B314),"")</f>
        <v/>
      </c>
      <c r="H314">
        <f>IF(ISNUMBER(B314),YEAR(B314)*100+MONTH(B314),"")</f>
        <v/>
      </c>
    </row>
    <row r="315">
      <c r="A315" s="1" t="n"/>
      <c r="B315" s="17" t="n"/>
      <c r="C315" s="21" t="n"/>
      <c r="D315" s="19" t="n"/>
      <c r="E315" s="24" t="n"/>
      <c r="F315" s="11">
        <f>IF(AND(C315="",E315=""),"",IF(NOT(ISNUMBER(B315)),"Needs a date",IF(NOT(ISNUMBER(E315)),"Needs the amount","")))</f>
        <v/>
      </c>
      <c r="G315" s="1">
        <f>IF(ISNUMBER(B315),YEAR(B315),"")</f>
        <v/>
      </c>
      <c r="H315">
        <f>IF(ISNUMBER(B315),YEAR(B315)*100+MONTH(B315),"")</f>
        <v/>
      </c>
    </row>
    <row r="316">
      <c r="A316" s="1" t="n"/>
      <c r="B316" s="17" t="n"/>
      <c r="C316" s="21" t="n"/>
      <c r="D316" s="19" t="n"/>
      <c r="E316" s="24" t="n"/>
      <c r="F316" s="11">
        <f>IF(AND(C316="",E316=""),"",IF(NOT(ISNUMBER(B316)),"Needs a date",IF(NOT(ISNUMBER(E316)),"Needs the amount","")))</f>
        <v/>
      </c>
      <c r="G316" s="1">
        <f>IF(ISNUMBER(B316),YEAR(B316),"")</f>
        <v/>
      </c>
      <c r="H316">
        <f>IF(ISNUMBER(B316),YEAR(B316)*100+MONTH(B316),"")</f>
        <v/>
      </c>
    </row>
    <row r="317">
      <c r="A317" s="1" t="n"/>
      <c r="B317" s="17" t="n"/>
      <c r="C317" s="21" t="n"/>
      <c r="D317" s="19" t="n"/>
      <c r="E317" s="24" t="n"/>
      <c r="F317" s="11">
        <f>IF(AND(C317="",E317=""),"",IF(NOT(ISNUMBER(B317)),"Needs a date",IF(NOT(ISNUMBER(E317)),"Needs the amount","")))</f>
        <v/>
      </c>
      <c r="G317" s="1">
        <f>IF(ISNUMBER(B317),YEAR(B317),"")</f>
        <v/>
      </c>
      <c r="H317">
        <f>IF(ISNUMBER(B317),YEAR(B317)*100+MONTH(B317),"")</f>
        <v/>
      </c>
    </row>
    <row r="318">
      <c r="A318" s="1" t="n"/>
      <c r="B318" s="17" t="n"/>
      <c r="C318" s="21" t="n"/>
      <c r="D318" s="19" t="n"/>
      <c r="E318" s="24" t="n"/>
      <c r="F318" s="11">
        <f>IF(AND(C318="",E318=""),"",IF(NOT(ISNUMBER(B318)),"Needs a date",IF(NOT(ISNUMBER(E318)),"Needs the amount","")))</f>
        <v/>
      </c>
      <c r="G318" s="1">
        <f>IF(ISNUMBER(B318),YEAR(B318),"")</f>
        <v/>
      </c>
      <c r="H318">
        <f>IF(ISNUMBER(B318),YEAR(B318)*100+MONTH(B318),"")</f>
        <v/>
      </c>
    </row>
    <row r="319">
      <c r="A319" s="1" t="n"/>
      <c r="B319" s="17" t="n"/>
      <c r="C319" s="21" t="n"/>
      <c r="D319" s="19" t="n"/>
      <c r="E319" s="24" t="n"/>
      <c r="F319" s="11">
        <f>IF(AND(C319="",E319=""),"",IF(NOT(ISNUMBER(B319)),"Needs a date",IF(NOT(ISNUMBER(E319)),"Needs the amount","")))</f>
        <v/>
      </c>
      <c r="G319" s="1">
        <f>IF(ISNUMBER(B319),YEAR(B319),"")</f>
        <v/>
      </c>
      <c r="H319">
        <f>IF(ISNUMBER(B319),YEAR(B319)*100+MONTH(B319),"")</f>
        <v/>
      </c>
    </row>
    <row r="320">
      <c r="A320" s="1" t="n"/>
      <c r="B320" s="17" t="n"/>
      <c r="C320" s="21" t="n"/>
      <c r="D320" s="19" t="n"/>
      <c r="E320" s="24" t="n"/>
      <c r="F320" s="11">
        <f>IF(AND(C320="",E320=""),"",IF(NOT(ISNUMBER(B320)),"Needs a date",IF(NOT(ISNUMBER(E320)),"Needs the amount","")))</f>
        <v/>
      </c>
      <c r="G320" s="1">
        <f>IF(ISNUMBER(B320),YEAR(B320),"")</f>
        <v/>
      </c>
      <c r="H320">
        <f>IF(ISNUMBER(B320),YEAR(B320)*100+MONTH(B320),"")</f>
        <v/>
      </c>
    </row>
    <row r="321">
      <c r="A321" s="1" t="n"/>
      <c r="B321" s="17" t="n"/>
      <c r="C321" s="21" t="n"/>
      <c r="D321" s="19" t="n"/>
      <c r="E321" s="24" t="n"/>
      <c r="F321" s="11">
        <f>IF(AND(C321="",E321=""),"",IF(NOT(ISNUMBER(B321)),"Needs a date",IF(NOT(ISNUMBER(E321)),"Needs the amount","")))</f>
        <v/>
      </c>
      <c r="G321" s="1">
        <f>IF(ISNUMBER(B321),YEAR(B321),"")</f>
        <v/>
      </c>
      <c r="H321">
        <f>IF(ISNUMBER(B321),YEAR(B321)*100+MONTH(B321),"")</f>
        <v/>
      </c>
    </row>
    <row r="322">
      <c r="A322" s="1" t="n"/>
      <c r="B322" s="17" t="n"/>
      <c r="C322" s="21" t="n"/>
      <c r="D322" s="19" t="n"/>
      <c r="E322" s="24" t="n"/>
      <c r="F322" s="11">
        <f>IF(AND(C322="",E322=""),"",IF(NOT(ISNUMBER(B322)),"Needs a date",IF(NOT(ISNUMBER(E322)),"Needs the amount","")))</f>
        <v/>
      </c>
      <c r="G322" s="1">
        <f>IF(ISNUMBER(B322),YEAR(B322),"")</f>
        <v/>
      </c>
      <c r="H322">
        <f>IF(ISNUMBER(B322),YEAR(B322)*100+MONTH(B322),"")</f>
        <v/>
      </c>
    </row>
    <row r="323">
      <c r="A323" s="1" t="n"/>
      <c r="B323" s="17" t="n"/>
      <c r="C323" s="21" t="n"/>
      <c r="D323" s="19" t="n"/>
      <c r="E323" s="24" t="n"/>
      <c r="F323" s="11">
        <f>IF(AND(C323="",E323=""),"",IF(NOT(ISNUMBER(B323)),"Needs a date",IF(NOT(ISNUMBER(E323)),"Needs the amount","")))</f>
        <v/>
      </c>
      <c r="G323" s="1">
        <f>IF(ISNUMBER(B323),YEAR(B323),"")</f>
        <v/>
      </c>
      <c r="H323">
        <f>IF(ISNUMBER(B323),YEAR(B323)*100+MONTH(B323),"")</f>
        <v/>
      </c>
    </row>
    <row r="324">
      <c r="A324" s="1" t="n"/>
      <c r="B324" s="17" t="n"/>
      <c r="C324" s="21" t="n"/>
      <c r="D324" s="19" t="n"/>
      <c r="E324" s="24" t="n"/>
      <c r="F324" s="11">
        <f>IF(AND(C324="",E324=""),"",IF(NOT(ISNUMBER(B324)),"Needs a date",IF(NOT(ISNUMBER(E324)),"Needs the amount","")))</f>
        <v/>
      </c>
      <c r="G324" s="1">
        <f>IF(ISNUMBER(B324),YEAR(B324),"")</f>
        <v/>
      </c>
      <c r="H324">
        <f>IF(ISNUMBER(B324),YEAR(B324)*100+MONTH(B324),"")</f>
        <v/>
      </c>
    </row>
    <row r="325">
      <c r="A325" s="1" t="n"/>
      <c r="B325" s="17" t="n"/>
      <c r="C325" s="21" t="n"/>
      <c r="D325" s="19" t="n"/>
      <c r="E325" s="24" t="n"/>
      <c r="F325" s="11">
        <f>IF(AND(C325="",E325=""),"",IF(NOT(ISNUMBER(B325)),"Needs a date",IF(NOT(ISNUMBER(E325)),"Needs the amount","")))</f>
        <v/>
      </c>
      <c r="G325" s="1">
        <f>IF(ISNUMBER(B325),YEAR(B325),"")</f>
        <v/>
      </c>
      <c r="H325">
        <f>IF(ISNUMBER(B325),YEAR(B325)*100+MONTH(B325),"")</f>
        <v/>
      </c>
    </row>
    <row r="326">
      <c r="A326" s="1" t="n"/>
      <c r="B326" s="17" t="n"/>
      <c r="C326" s="21" t="n"/>
      <c r="D326" s="19" t="n"/>
      <c r="E326" s="24" t="n"/>
      <c r="F326" s="11">
        <f>IF(AND(C326="",E326=""),"",IF(NOT(ISNUMBER(B326)),"Needs a date",IF(NOT(ISNUMBER(E326)),"Needs the amount","")))</f>
        <v/>
      </c>
      <c r="G326" s="1">
        <f>IF(ISNUMBER(B326),YEAR(B326),"")</f>
        <v/>
      </c>
      <c r="H326">
        <f>IF(ISNUMBER(B326),YEAR(B326)*100+MONTH(B326),"")</f>
        <v/>
      </c>
    </row>
    <row r="327">
      <c r="A327" s="1" t="n"/>
      <c r="B327" s="17" t="n"/>
      <c r="C327" s="21" t="n"/>
      <c r="D327" s="19" t="n"/>
      <c r="E327" s="24" t="n"/>
      <c r="F327" s="11">
        <f>IF(AND(C327="",E327=""),"",IF(NOT(ISNUMBER(B327)),"Needs a date",IF(NOT(ISNUMBER(E327)),"Needs the amount","")))</f>
        <v/>
      </c>
      <c r="G327" s="1">
        <f>IF(ISNUMBER(B327),YEAR(B327),"")</f>
        <v/>
      </c>
      <c r="H327">
        <f>IF(ISNUMBER(B327),YEAR(B327)*100+MONTH(B327),"")</f>
        <v/>
      </c>
    </row>
    <row r="328">
      <c r="A328" s="1" t="n"/>
      <c r="B328" s="17" t="n"/>
      <c r="C328" s="21" t="n"/>
      <c r="D328" s="19" t="n"/>
      <c r="E328" s="24" t="n"/>
      <c r="F328" s="11">
        <f>IF(AND(C328="",E328=""),"",IF(NOT(ISNUMBER(B328)),"Needs a date",IF(NOT(ISNUMBER(E328)),"Needs the amount","")))</f>
        <v/>
      </c>
      <c r="G328" s="1">
        <f>IF(ISNUMBER(B328),YEAR(B328),"")</f>
        <v/>
      </c>
      <c r="H328">
        <f>IF(ISNUMBER(B328),YEAR(B328)*100+MONTH(B328),"")</f>
        <v/>
      </c>
    </row>
    <row r="329">
      <c r="A329" s="1" t="n"/>
      <c r="B329" s="17" t="n"/>
      <c r="C329" s="21" t="n"/>
      <c r="D329" s="19" t="n"/>
      <c r="E329" s="24" t="n"/>
      <c r="F329" s="11">
        <f>IF(AND(C329="",E329=""),"",IF(NOT(ISNUMBER(B329)),"Needs a date",IF(NOT(ISNUMBER(E329)),"Needs the amount","")))</f>
        <v/>
      </c>
      <c r="G329" s="1">
        <f>IF(ISNUMBER(B329),YEAR(B329),"")</f>
        <v/>
      </c>
      <c r="H329">
        <f>IF(ISNUMBER(B329),YEAR(B329)*100+MONTH(B329),"")</f>
        <v/>
      </c>
    </row>
    <row r="330">
      <c r="A330" s="1" t="n"/>
      <c r="B330" s="17" t="n"/>
      <c r="C330" s="21" t="n"/>
      <c r="D330" s="19" t="n"/>
      <c r="E330" s="24" t="n"/>
      <c r="F330" s="11">
        <f>IF(AND(C330="",E330=""),"",IF(NOT(ISNUMBER(B330)),"Needs a date",IF(NOT(ISNUMBER(E330)),"Needs the amount","")))</f>
        <v/>
      </c>
      <c r="G330" s="1">
        <f>IF(ISNUMBER(B330),YEAR(B330),"")</f>
        <v/>
      </c>
      <c r="H330">
        <f>IF(ISNUMBER(B330),YEAR(B330)*100+MONTH(B330),"")</f>
        <v/>
      </c>
    </row>
    <row r="331">
      <c r="A331" s="1" t="n"/>
      <c r="B331" s="17" t="n"/>
      <c r="C331" s="21" t="n"/>
      <c r="D331" s="19" t="n"/>
      <c r="E331" s="24" t="n"/>
      <c r="F331" s="11">
        <f>IF(AND(C331="",E331=""),"",IF(NOT(ISNUMBER(B331)),"Needs a date",IF(NOT(ISNUMBER(E331)),"Needs the amount","")))</f>
        <v/>
      </c>
      <c r="G331" s="1">
        <f>IF(ISNUMBER(B331),YEAR(B331),"")</f>
        <v/>
      </c>
      <c r="H331">
        <f>IF(ISNUMBER(B331),YEAR(B331)*100+MONTH(B331),"")</f>
        <v/>
      </c>
    </row>
    <row r="332">
      <c r="A332" s="1" t="n"/>
      <c r="B332" s="17" t="n"/>
      <c r="C332" s="21" t="n"/>
      <c r="D332" s="19" t="n"/>
      <c r="E332" s="24" t="n"/>
      <c r="F332" s="11">
        <f>IF(AND(C332="",E332=""),"",IF(NOT(ISNUMBER(B332)),"Needs a date",IF(NOT(ISNUMBER(E332)),"Needs the amount","")))</f>
        <v/>
      </c>
      <c r="G332" s="1">
        <f>IF(ISNUMBER(B332),YEAR(B332),"")</f>
        <v/>
      </c>
      <c r="H332">
        <f>IF(ISNUMBER(B332),YEAR(B332)*100+MONTH(B332),"")</f>
        <v/>
      </c>
    </row>
    <row r="333">
      <c r="A333" s="1" t="n"/>
      <c r="B333" s="17" t="n"/>
      <c r="C333" s="21" t="n"/>
      <c r="D333" s="19" t="n"/>
      <c r="E333" s="24" t="n"/>
      <c r="F333" s="11">
        <f>IF(AND(C333="",E333=""),"",IF(NOT(ISNUMBER(B333)),"Needs a date",IF(NOT(ISNUMBER(E333)),"Needs the amount","")))</f>
        <v/>
      </c>
      <c r="G333" s="1">
        <f>IF(ISNUMBER(B333),YEAR(B333),"")</f>
        <v/>
      </c>
      <c r="H333">
        <f>IF(ISNUMBER(B333),YEAR(B333)*100+MONTH(B333),"")</f>
        <v/>
      </c>
    </row>
    <row r="334">
      <c r="A334" s="1" t="n"/>
      <c r="B334" s="17" t="n"/>
      <c r="C334" s="21" t="n"/>
      <c r="D334" s="19" t="n"/>
      <c r="E334" s="24" t="n"/>
      <c r="F334" s="11">
        <f>IF(AND(C334="",E334=""),"",IF(NOT(ISNUMBER(B334)),"Needs a date",IF(NOT(ISNUMBER(E334)),"Needs the amount","")))</f>
        <v/>
      </c>
      <c r="G334" s="1">
        <f>IF(ISNUMBER(B334),YEAR(B334),"")</f>
        <v/>
      </c>
      <c r="H334">
        <f>IF(ISNUMBER(B334),YEAR(B334)*100+MONTH(B334),"")</f>
        <v/>
      </c>
    </row>
    <row r="335">
      <c r="A335" s="1" t="n"/>
      <c r="B335" s="17" t="n"/>
      <c r="C335" s="21" t="n"/>
      <c r="D335" s="19" t="n"/>
      <c r="E335" s="24" t="n"/>
      <c r="F335" s="11">
        <f>IF(AND(C335="",E335=""),"",IF(NOT(ISNUMBER(B335)),"Needs a date",IF(NOT(ISNUMBER(E335)),"Needs the amount","")))</f>
        <v/>
      </c>
      <c r="G335" s="1">
        <f>IF(ISNUMBER(B335),YEAR(B335),"")</f>
        <v/>
      </c>
      <c r="H335">
        <f>IF(ISNUMBER(B335),YEAR(B335)*100+MONTH(B335),"")</f>
        <v/>
      </c>
    </row>
    <row r="336">
      <c r="A336" s="1" t="n"/>
      <c r="B336" s="17" t="n"/>
      <c r="C336" s="21" t="n"/>
      <c r="D336" s="19" t="n"/>
      <c r="E336" s="24" t="n"/>
      <c r="F336" s="11">
        <f>IF(AND(C336="",E336=""),"",IF(NOT(ISNUMBER(B336)),"Needs a date",IF(NOT(ISNUMBER(E336)),"Needs the amount","")))</f>
        <v/>
      </c>
      <c r="G336" s="1">
        <f>IF(ISNUMBER(B336),YEAR(B336),"")</f>
        <v/>
      </c>
      <c r="H336">
        <f>IF(ISNUMBER(B336),YEAR(B336)*100+MONTH(B336),"")</f>
        <v/>
      </c>
    </row>
    <row r="337">
      <c r="A337" s="1" t="n"/>
      <c r="B337" s="17" t="n"/>
      <c r="C337" s="21" t="n"/>
      <c r="D337" s="19" t="n"/>
      <c r="E337" s="24" t="n"/>
      <c r="F337" s="11">
        <f>IF(AND(C337="",E337=""),"",IF(NOT(ISNUMBER(B337)),"Needs a date",IF(NOT(ISNUMBER(E337)),"Needs the amount","")))</f>
        <v/>
      </c>
      <c r="G337" s="1">
        <f>IF(ISNUMBER(B337),YEAR(B337),"")</f>
        <v/>
      </c>
      <c r="H337">
        <f>IF(ISNUMBER(B337),YEAR(B337)*100+MONTH(B337),"")</f>
        <v/>
      </c>
    </row>
    <row r="338">
      <c r="A338" s="1" t="n"/>
      <c r="B338" s="17" t="n"/>
      <c r="C338" s="21" t="n"/>
      <c r="D338" s="19" t="n"/>
      <c r="E338" s="24" t="n"/>
      <c r="F338" s="11">
        <f>IF(AND(C338="",E338=""),"",IF(NOT(ISNUMBER(B338)),"Needs a date",IF(NOT(ISNUMBER(E338)),"Needs the amount","")))</f>
        <v/>
      </c>
      <c r="G338" s="1">
        <f>IF(ISNUMBER(B338),YEAR(B338),"")</f>
        <v/>
      </c>
      <c r="H338">
        <f>IF(ISNUMBER(B338),YEAR(B338)*100+MONTH(B338),"")</f>
        <v/>
      </c>
    </row>
    <row r="339">
      <c r="A339" s="1" t="n"/>
      <c r="B339" s="17" t="n"/>
      <c r="C339" s="21" t="n"/>
      <c r="D339" s="19" t="n"/>
      <c r="E339" s="24" t="n"/>
      <c r="F339" s="11">
        <f>IF(AND(C339="",E339=""),"",IF(NOT(ISNUMBER(B339)),"Needs a date",IF(NOT(ISNUMBER(E339)),"Needs the amount","")))</f>
        <v/>
      </c>
      <c r="G339" s="1">
        <f>IF(ISNUMBER(B339),YEAR(B339),"")</f>
        <v/>
      </c>
      <c r="H339">
        <f>IF(ISNUMBER(B339),YEAR(B339)*100+MONTH(B339),"")</f>
        <v/>
      </c>
    </row>
    <row r="340">
      <c r="A340" s="1" t="n"/>
      <c r="B340" s="17" t="n"/>
      <c r="C340" s="21" t="n"/>
      <c r="D340" s="19" t="n"/>
      <c r="E340" s="24" t="n"/>
      <c r="F340" s="11">
        <f>IF(AND(C340="",E340=""),"",IF(NOT(ISNUMBER(B340)),"Needs a date",IF(NOT(ISNUMBER(E340)),"Needs the amount","")))</f>
        <v/>
      </c>
      <c r="G340" s="1">
        <f>IF(ISNUMBER(B340),YEAR(B340),"")</f>
        <v/>
      </c>
      <c r="H340">
        <f>IF(ISNUMBER(B340),YEAR(B340)*100+MONTH(B340),"")</f>
        <v/>
      </c>
    </row>
    <row r="341">
      <c r="A341" s="1" t="n"/>
      <c r="B341" s="17" t="n"/>
      <c r="C341" s="21" t="n"/>
      <c r="D341" s="19" t="n"/>
      <c r="E341" s="24" t="n"/>
      <c r="F341" s="11">
        <f>IF(AND(C341="",E341=""),"",IF(NOT(ISNUMBER(B341)),"Needs a date",IF(NOT(ISNUMBER(E341)),"Needs the amount","")))</f>
        <v/>
      </c>
      <c r="G341" s="1">
        <f>IF(ISNUMBER(B341),YEAR(B341),"")</f>
        <v/>
      </c>
      <c r="H341">
        <f>IF(ISNUMBER(B341),YEAR(B341)*100+MONTH(B341),"")</f>
        <v/>
      </c>
    </row>
    <row r="342">
      <c r="A342" s="1" t="n"/>
      <c r="B342" s="17" t="n"/>
      <c r="C342" s="21" t="n"/>
      <c r="D342" s="19" t="n"/>
      <c r="E342" s="24" t="n"/>
      <c r="F342" s="11">
        <f>IF(AND(C342="",E342=""),"",IF(NOT(ISNUMBER(B342)),"Needs a date",IF(NOT(ISNUMBER(E342)),"Needs the amount","")))</f>
        <v/>
      </c>
      <c r="G342" s="1">
        <f>IF(ISNUMBER(B342),YEAR(B342),"")</f>
        <v/>
      </c>
      <c r="H342">
        <f>IF(ISNUMBER(B342),YEAR(B342)*100+MONTH(B342),"")</f>
        <v/>
      </c>
    </row>
    <row r="343">
      <c r="A343" s="1" t="n"/>
      <c r="B343" s="17" t="n"/>
      <c r="C343" s="21" t="n"/>
      <c r="D343" s="19" t="n"/>
      <c r="E343" s="24" t="n"/>
      <c r="F343" s="11">
        <f>IF(AND(C343="",E343=""),"",IF(NOT(ISNUMBER(B343)),"Needs a date",IF(NOT(ISNUMBER(E343)),"Needs the amount","")))</f>
        <v/>
      </c>
      <c r="G343" s="1">
        <f>IF(ISNUMBER(B343),YEAR(B343),"")</f>
        <v/>
      </c>
      <c r="H343">
        <f>IF(ISNUMBER(B343),YEAR(B343)*100+MONTH(B343),"")</f>
        <v/>
      </c>
    </row>
    <row r="344">
      <c r="A344" s="1" t="n"/>
      <c r="B344" s="17" t="n"/>
      <c r="C344" s="21" t="n"/>
      <c r="D344" s="19" t="n"/>
      <c r="E344" s="24" t="n"/>
      <c r="F344" s="11">
        <f>IF(AND(C344="",E344=""),"",IF(NOT(ISNUMBER(B344)),"Needs a date",IF(NOT(ISNUMBER(E344)),"Needs the amount","")))</f>
        <v/>
      </c>
      <c r="G344" s="1">
        <f>IF(ISNUMBER(B344),YEAR(B344),"")</f>
        <v/>
      </c>
      <c r="H344">
        <f>IF(ISNUMBER(B344),YEAR(B344)*100+MONTH(B344),"")</f>
        <v/>
      </c>
    </row>
    <row r="345">
      <c r="A345" s="1" t="n"/>
      <c r="B345" s="17" t="n"/>
      <c r="C345" s="21" t="n"/>
      <c r="D345" s="19" t="n"/>
      <c r="E345" s="24" t="n"/>
      <c r="F345" s="11">
        <f>IF(AND(C345="",E345=""),"",IF(NOT(ISNUMBER(B345)),"Needs a date",IF(NOT(ISNUMBER(E345)),"Needs the amount","")))</f>
        <v/>
      </c>
      <c r="G345" s="1">
        <f>IF(ISNUMBER(B345),YEAR(B345),"")</f>
        <v/>
      </c>
      <c r="H345">
        <f>IF(ISNUMBER(B345),YEAR(B345)*100+MONTH(B345),"")</f>
        <v/>
      </c>
    </row>
    <row r="346">
      <c r="A346" s="1" t="n"/>
      <c r="B346" s="17" t="n"/>
      <c r="C346" s="21" t="n"/>
      <c r="D346" s="19" t="n"/>
      <c r="E346" s="24" t="n"/>
      <c r="F346" s="11">
        <f>IF(AND(C346="",E346=""),"",IF(NOT(ISNUMBER(B346)),"Needs a date",IF(NOT(ISNUMBER(E346)),"Needs the amount","")))</f>
        <v/>
      </c>
      <c r="G346" s="1">
        <f>IF(ISNUMBER(B346),YEAR(B346),"")</f>
        <v/>
      </c>
      <c r="H346">
        <f>IF(ISNUMBER(B346),YEAR(B346)*100+MONTH(B346),"")</f>
        <v/>
      </c>
    </row>
    <row r="347">
      <c r="A347" s="1" t="n"/>
      <c r="B347" s="17" t="n"/>
      <c r="C347" s="21" t="n"/>
      <c r="D347" s="19" t="n"/>
      <c r="E347" s="24" t="n"/>
      <c r="F347" s="11">
        <f>IF(AND(C347="",E347=""),"",IF(NOT(ISNUMBER(B347)),"Needs a date",IF(NOT(ISNUMBER(E347)),"Needs the amount","")))</f>
        <v/>
      </c>
      <c r="G347" s="1">
        <f>IF(ISNUMBER(B347),YEAR(B347),"")</f>
        <v/>
      </c>
      <c r="H347">
        <f>IF(ISNUMBER(B347),YEAR(B347)*100+MONTH(B347),"")</f>
        <v/>
      </c>
    </row>
    <row r="348">
      <c r="A348" s="1" t="n"/>
      <c r="B348" s="17" t="n"/>
      <c r="C348" s="21" t="n"/>
      <c r="D348" s="19" t="n"/>
      <c r="E348" s="24" t="n"/>
      <c r="F348" s="11">
        <f>IF(AND(C348="",E348=""),"",IF(NOT(ISNUMBER(B348)),"Needs a date",IF(NOT(ISNUMBER(E348)),"Needs the amount","")))</f>
        <v/>
      </c>
      <c r="G348" s="1">
        <f>IF(ISNUMBER(B348),YEAR(B348),"")</f>
        <v/>
      </c>
      <c r="H348">
        <f>IF(ISNUMBER(B348),YEAR(B348)*100+MONTH(B348),"")</f>
        <v/>
      </c>
    </row>
    <row r="349">
      <c r="A349" s="1" t="n"/>
      <c r="B349" s="17" t="n"/>
      <c r="C349" s="21" t="n"/>
      <c r="D349" s="19" t="n"/>
      <c r="E349" s="24" t="n"/>
      <c r="F349" s="11">
        <f>IF(AND(C349="",E349=""),"",IF(NOT(ISNUMBER(B349)),"Needs a date",IF(NOT(ISNUMBER(E349)),"Needs the amount","")))</f>
        <v/>
      </c>
      <c r="G349" s="1">
        <f>IF(ISNUMBER(B349),YEAR(B349),"")</f>
        <v/>
      </c>
      <c r="H349">
        <f>IF(ISNUMBER(B349),YEAR(B349)*100+MONTH(B349),"")</f>
        <v/>
      </c>
    </row>
    <row r="350">
      <c r="A350" s="1" t="n"/>
      <c r="B350" s="17" t="n"/>
      <c r="C350" s="21" t="n"/>
      <c r="D350" s="19" t="n"/>
      <c r="E350" s="24" t="n"/>
      <c r="F350" s="11">
        <f>IF(AND(C350="",E350=""),"",IF(NOT(ISNUMBER(B350)),"Needs a date",IF(NOT(ISNUMBER(E350)),"Needs the amount","")))</f>
        <v/>
      </c>
      <c r="G350" s="1">
        <f>IF(ISNUMBER(B350),YEAR(B350),"")</f>
        <v/>
      </c>
      <c r="H350">
        <f>IF(ISNUMBER(B350),YEAR(B350)*100+MONTH(B350),"")</f>
        <v/>
      </c>
    </row>
    <row r="351">
      <c r="A351" s="1" t="n"/>
      <c r="B351" s="17" t="n"/>
      <c r="C351" s="21" t="n"/>
      <c r="D351" s="19" t="n"/>
      <c r="E351" s="24" t="n"/>
      <c r="F351" s="11">
        <f>IF(AND(C351="",E351=""),"",IF(NOT(ISNUMBER(B351)),"Needs a date",IF(NOT(ISNUMBER(E351)),"Needs the amount","")))</f>
        <v/>
      </c>
      <c r="G351" s="1">
        <f>IF(ISNUMBER(B351),YEAR(B351),"")</f>
        <v/>
      </c>
      <c r="H351">
        <f>IF(ISNUMBER(B351),YEAR(B351)*100+MONTH(B351),"")</f>
        <v/>
      </c>
    </row>
    <row r="352">
      <c r="A352" s="1" t="n"/>
      <c r="B352" s="17" t="n"/>
      <c r="C352" s="21" t="n"/>
      <c r="D352" s="19" t="n"/>
      <c r="E352" s="24" t="n"/>
      <c r="F352" s="11">
        <f>IF(AND(C352="",E352=""),"",IF(NOT(ISNUMBER(B352)),"Needs a date",IF(NOT(ISNUMBER(E352)),"Needs the amount","")))</f>
        <v/>
      </c>
      <c r="G352" s="1">
        <f>IF(ISNUMBER(B352),YEAR(B352),"")</f>
        <v/>
      </c>
      <c r="H352">
        <f>IF(ISNUMBER(B352),YEAR(B352)*100+MONTH(B352),"")</f>
        <v/>
      </c>
    </row>
    <row r="353">
      <c r="A353" s="1" t="n"/>
      <c r="B353" s="17" t="n"/>
      <c r="C353" s="21" t="n"/>
      <c r="D353" s="19" t="n"/>
      <c r="E353" s="24" t="n"/>
      <c r="F353" s="11">
        <f>IF(AND(C353="",E353=""),"",IF(NOT(ISNUMBER(B353)),"Needs a date",IF(NOT(ISNUMBER(E353)),"Needs the amount","")))</f>
        <v/>
      </c>
      <c r="G353" s="1">
        <f>IF(ISNUMBER(B353),YEAR(B353),"")</f>
        <v/>
      </c>
      <c r="H353">
        <f>IF(ISNUMBER(B353),YEAR(B353)*100+MONTH(B353),"")</f>
        <v/>
      </c>
    </row>
    <row r="354">
      <c r="A354" s="1" t="n"/>
      <c r="B354" s="17" t="n"/>
      <c r="C354" s="21" t="n"/>
      <c r="D354" s="19" t="n"/>
      <c r="E354" s="24" t="n"/>
      <c r="F354" s="11">
        <f>IF(AND(C354="",E354=""),"",IF(NOT(ISNUMBER(B354)),"Needs a date",IF(NOT(ISNUMBER(E354)),"Needs the amount","")))</f>
        <v/>
      </c>
      <c r="G354" s="1">
        <f>IF(ISNUMBER(B354),YEAR(B354),"")</f>
        <v/>
      </c>
      <c r="H354">
        <f>IF(ISNUMBER(B354),YEAR(B354)*100+MONTH(B354),"")</f>
        <v/>
      </c>
    </row>
    <row r="355">
      <c r="A355" s="1" t="n"/>
      <c r="B355" s="17" t="n"/>
      <c r="C355" s="21" t="n"/>
      <c r="D355" s="19" t="n"/>
      <c r="E355" s="24" t="n"/>
      <c r="F355" s="11">
        <f>IF(AND(C355="",E355=""),"",IF(NOT(ISNUMBER(B355)),"Needs a date",IF(NOT(ISNUMBER(E355)),"Needs the amount","")))</f>
        <v/>
      </c>
      <c r="G355" s="1">
        <f>IF(ISNUMBER(B355),YEAR(B355),"")</f>
        <v/>
      </c>
      <c r="H355">
        <f>IF(ISNUMBER(B355),YEAR(B355)*100+MONTH(B355),"")</f>
        <v/>
      </c>
    </row>
    <row r="356">
      <c r="A356" s="1" t="n"/>
      <c r="B356" s="17" t="n"/>
      <c r="C356" s="21" t="n"/>
      <c r="D356" s="19" t="n"/>
      <c r="E356" s="24" t="n"/>
      <c r="F356" s="11">
        <f>IF(AND(C356="",E356=""),"",IF(NOT(ISNUMBER(B356)),"Needs a date",IF(NOT(ISNUMBER(E356)),"Needs the amount","")))</f>
        <v/>
      </c>
      <c r="G356" s="1">
        <f>IF(ISNUMBER(B356),YEAR(B356),"")</f>
        <v/>
      </c>
      <c r="H356">
        <f>IF(ISNUMBER(B356),YEAR(B356)*100+MONTH(B356),"")</f>
        <v/>
      </c>
    </row>
    <row r="357">
      <c r="A357" s="1" t="n"/>
      <c r="B357" s="17" t="n"/>
      <c r="C357" s="21" t="n"/>
      <c r="D357" s="19" t="n"/>
      <c r="E357" s="24" t="n"/>
      <c r="F357" s="11">
        <f>IF(AND(C357="",E357=""),"",IF(NOT(ISNUMBER(B357)),"Needs a date",IF(NOT(ISNUMBER(E357)),"Needs the amount","")))</f>
        <v/>
      </c>
      <c r="G357" s="1">
        <f>IF(ISNUMBER(B357),YEAR(B357),"")</f>
        <v/>
      </c>
      <c r="H357">
        <f>IF(ISNUMBER(B357),YEAR(B357)*100+MONTH(B357),"")</f>
        <v/>
      </c>
    </row>
    <row r="358">
      <c r="A358" s="1" t="n"/>
      <c r="B358" s="17" t="n"/>
      <c r="C358" s="21" t="n"/>
      <c r="D358" s="19" t="n"/>
      <c r="E358" s="24" t="n"/>
      <c r="F358" s="11">
        <f>IF(AND(C358="",E358=""),"",IF(NOT(ISNUMBER(B358)),"Needs a date",IF(NOT(ISNUMBER(E358)),"Needs the amount","")))</f>
        <v/>
      </c>
      <c r="G358" s="1">
        <f>IF(ISNUMBER(B358),YEAR(B358),"")</f>
        <v/>
      </c>
      <c r="H358">
        <f>IF(ISNUMBER(B358),YEAR(B358)*100+MONTH(B358),"")</f>
        <v/>
      </c>
    </row>
    <row r="359">
      <c r="A359" s="1" t="n"/>
      <c r="B359" s="17" t="n"/>
      <c r="C359" s="21" t="n"/>
      <c r="D359" s="19" t="n"/>
      <c r="E359" s="24" t="n"/>
      <c r="F359" s="11">
        <f>IF(AND(C359="",E359=""),"",IF(NOT(ISNUMBER(B359)),"Needs a date",IF(NOT(ISNUMBER(E359)),"Needs the amount","")))</f>
        <v/>
      </c>
      <c r="G359" s="1">
        <f>IF(ISNUMBER(B359),YEAR(B359),"")</f>
        <v/>
      </c>
      <c r="H359">
        <f>IF(ISNUMBER(B359),YEAR(B359)*100+MONTH(B359),"")</f>
        <v/>
      </c>
    </row>
    <row r="360">
      <c r="A360" s="1" t="n"/>
      <c r="B360" s="17" t="n"/>
      <c r="C360" s="21" t="n"/>
      <c r="D360" s="19" t="n"/>
      <c r="E360" s="24" t="n"/>
      <c r="F360" s="11">
        <f>IF(AND(C360="",E360=""),"",IF(NOT(ISNUMBER(B360)),"Needs a date",IF(NOT(ISNUMBER(E360)),"Needs the amount","")))</f>
        <v/>
      </c>
      <c r="G360" s="1">
        <f>IF(ISNUMBER(B360),YEAR(B360),"")</f>
        <v/>
      </c>
      <c r="H360">
        <f>IF(ISNUMBER(B360),YEAR(B360)*100+MONTH(B360),"")</f>
        <v/>
      </c>
    </row>
    <row r="361">
      <c r="A361" s="1" t="n"/>
      <c r="B361" s="17" t="n"/>
      <c r="C361" s="21" t="n"/>
      <c r="D361" s="19" t="n"/>
      <c r="E361" s="24" t="n"/>
      <c r="F361" s="11">
        <f>IF(AND(C361="",E361=""),"",IF(NOT(ISNUMBER(B361)),"Needs a date",IF(NOT(ISNUMBER(E361)),"Needs the amount","")))</f>
        <v/>
      </c>
      <c r="G361" s="1">
        <f>IF(ISNUMBER(B361),YEAR(B361),"")</f>
        <v/>
      </c>
      <c r="H361">
        <f>IF(ISNUMBER(B361),YEAR(B361)*100+MONTH(B361),"")</f>
        <v/>
      </c>
    </row>
    <row r="362">
      <c r="A362" s="1" t="n"/>
      <c r="B362" s="17" t="n"/>
      <c r="C362" s="21" t="n"/>
      <c r="D362" s="19" t="n"/>
      <c r="E362" s="24" t="n"/>
      <c r="F362" s="11">
        <f>IF(AND(C362="",E362=""),"",IF(NOT(ISNUMBER(B362)),"Needs a date",IF(NOT(ISNUMBER(E362)),"Needs the amount","")))</f>
        <v/>
      </c>
      <c r="G362" s="1">
        <f>IF(ISNUMBER(B362),YEAR(B362),"")</f>
        <v/>
      </c>
      <c r="H362">
        <f>IF(ISNUMBER(B362),YEAR(B362)*100+MONTH(B362),"")</f>
        <v/>
      </c>
    </row>
    <row r="363">
      <c r="A363" s="1" t="n"/>
      <c r="B363" s="17" t="n"/>
      <c r="C363" s="21" t="n"/>
      <c r="D363" s="19" t="n"/>
      <c r="E363" s="24" t="n"/>
      <c r="F363" s="11">
        <f>IF(AND(C363="",E363=""),"",IF(NOT(ISNUMBER(B363)),"Needs a date",IF(NOT(ISNUMBER(E363)),"Needs the amount","")))</f>
        <v/>
      </c>
      <c r="G363" s="1">
        <f>IF(ISNUMBER(B363),YEAR(B363),"")</f>
        <v/>
      </c>
      <c r="H363">
        <f>IF(ISNUMBER(B363),YEAR(B363)*100+MONTH(B363),"")</f>
        <v/>
      </c>
    </row>
    <row r="364">
      <c r="A364" s="1" t="n"/>
      <c r="B364" s="17" t="n"/>
      <c r="C364" s="21" t="n"/>
      <c r="D364" s="19" t="n"/>
      <c r="E364" s="24" t="n"/>
      <c r="F364" s="11">
        <f>IF(AND(C364="",E364=""),"",IF(NOT(ISNUMBER(B364)),"Needs a date",IF(NOT(ISNUMBER(E364)),"Needs the amount","")))</f>
        <v/>
      </c>
      <c r="G364" s="1">
        <f>IF(ISNUMBER(B364),YEAR(B364),"")</f>
        <v/>
      </c>
      <c r="H364">
        <f>IF(ISNUMBER(B364),YEAR(B364)*100+MONTH(B364),"")</f>
        <v/>
      </c>
    </row>
    <row r="365">
      <c r="A365" s="1" t="n"/>
      <c r="B365" s="17" t="n"/>
      <c r="C365" s="21" t="n"/>
      <c r="D365" s="19" t="n"/>
      <c r="E365" s="24" t="n"/>
      <c r="F365" s="11">
        <f>IF(AND(C365="",E365=""),"",IF(NOT(ISNUMBER(B365)),"Needs a date",IF(NOT(ISNUMBER(E365)),"Needs the amount","")))</f>
        <v/>
      </c>
      <c r="G365" s="1">
        <f>IF(ISNUMBER(B365),YEAR(B365),"")</f>
        <v/>
      </c>
      <c r="H365">
        <f>IF(ISNUMBER(B365),YEAR(B365)*100+MONTH(B365),"")</f>
        <v/>
      </c>
    </row>
    <row r="366">
      <c r="A366" s="1" t="n"/>
      <c r="B366" s="17" t="n"/>
      <c r="C366" s="21" t="n"/>
      <c r="D366" s="19" t="n"/>
      <c r="E366" s="24" t="n"/>
      <c r="F366" s="11">
        <f>IF(AND(C366="",E366=""),"",IF(NOT(ISNUMBER(B366)),"Needs a date",IF(NOT(ISNUMBER(E366)),"Needs the amount","")))</f>
        <v/>
      </c>
      <c r="G366" s="1">
        <f>IF(ISNUMBER(B366),YEAR(B366),"")</f>
        <v/>
      </c>
      <c r="H366">
        <f>IF(ISNUMBER(B366),YEAR(B366)*100+MONTH(B366),"")</f>
        <v/>
      </c>
    </row>
    <row r="367">
      <c r="A367" s="1" t="n"/>
      <c r="B367" s="17" t="n"/>
      <c r="C367" s="21" t="n"/>
      <c r="D367" s="19" t="n"/>
      <c r="E367" s="24" t="n"/>
      <c r="F367" s="11">
        <f>IF(AND(C367="",E367=""),"",IF(NOT(ISNUMBER(B367)),"Needs a date",IF(NOT(ISNUMBER(E367)),"Needs the amount","")))</f>
        <v/>
      </c>
      <c r="G367" s="1">
        <f>IF(ISNUMBER(B367),YEAR(B367),"")</f>
        <v/>
      </c>
      <c r="H367">
        <f>IF(ISNUMBER(B367),YEAR(B367)*100+MONTH(B367),"")</f>
        <v/>
      </c>
    </row>
    <row r="368">
      <c r="A368" s="1" t="n"/>
      <c r="B368" s="17" t="n"/>
      <c r="C368" s="21" t="n"/>
      <c r="D368" s="19" t="n"/>
      <c r="E368" s="24" t="n"/>
      <c r="F368" s="11">
        <f>IF(AND(C368="",E368=""),"",IF(NOT(ISNUMBER(B368)),"Needs a date",IF(NOT(ISNUMBER(E368)),"Needs the amount","")))</f>
        <v/>
      </c>
      <c r="G368" s="1">
        <f>IF(ISNUMBER(B368),YEAR(B368),"")</f>
        <v/>
      </c>
      <c r="H368">
        <f>IF(ISNUMBER(B368),YEAR(B368)*100+MONTH(B368),"")</f>
        <v/>
      </c>
    </row>
    <row r="369">
      <c r="A369" s="1" t="n"/>
      <c r="B369" s="17" t="n"/>
      <c r="C369" s="21" t="n"/>
      <c r="D369" s="19" t="n"/>
      <c r="E369" s="24" t="n"/>
      <c r="F369" s="11">
        <f>IF(AND(C369="",E369=""),"",IF(NOT(ISNUMBER(B369)),"Needs a date",IF(NOT(ISNUMBER(E369)),"Needs the amount","")))</f>
        <v/>
      </c>
      <c r="G369" s="1">
        <f>IF(ISNUMBER(B369),YEAR(B369),"")</f>
        <v/>
      </c>
      <c r="H369">
        <f>IF(ISNUMBER(B369),YEAR(B369)*100+MONTH(B369),"")</f>
        <v/>
      </c>
    </row>
    <row r="370">
      <c r="A370" s="1" t="n"/>
      <c r="B370" s="17" t="n"/>
      <c r="C370" s="21" t="n"/>
      <c r="D370" s="19" t="n"/>
      <c r="E370" s="24" t="n"/>
      <c r="F370" s="11">
        <f>IF(AND(C370="",E370=""),"",IF(NOT(ISNUMBER(B370)),"Needs a date",IF(NOT(ISNUMBER(E370)),"Needs the amount","")))</f>
        <v/>
      </c>
      <c r="G370" s="1">
        <f>IF(ISNUMBER(B370),YEAR(B370),"")</f>
        <v/>
      </c>
      <c r="H370">
        <f>IF(ISNUMBER(B370),YEAR(B370)*100+MONTH(B370),"")</f>
        <v/>
      </c>
    </row>
    <row r="371">
      <c r="A371" s="1" t="n"/>
      <c r="B371" s="17" t="n"/>
      <c r="C371" s="21" t="n"/>
      <c r="D371" s="19" t="n"/>
      <c r="E371" s="24" t="n"/>
      <c r="F371" s="11">
        <f>IF(AND(C371="",E371=""),"",IF(NOT(ISNUMBER(B371)),"Needs a date",IF(NOT(ISNUMBER(E371)),"Needs the amount","")))</f>
        <v/>
      </c>
      <c r="G371" s="1">
        <f>IF(ISNUMBER(B371),YEAR(B371),"")</f>
        <v/>
      </c>
      <c r="H371">
        <f>IF(ISNUMBER(B371),YEAR(B371)*100+MONTH(B371),"")</f>
        <v/>
      </c>
    </row>
    <row r="372">
      <c r="A372" s="1" t="n"/>
      <c r="B372" s="17" t="n"/>
      <c r="C372" s="21" t="n"/>
      <c r="D372" s="19" t="n"/>
      <c r="E372" s="24" t="n"/>
      <c r="F372" s="11">
        <f>IF(AND(C372="",E372=""),"",IF(NOT(ISNUMBER(B372)),"Needs a date",IF(NOT(ISNUMBER(E372)),"Needs the amount","")))</f>
        <v/>
      </c>
      <c r="G372" s="1">
        <f>IF(ISNUMBER(B372),YEAR(B372),"")</f>
        <v/>
      </c>
      <c r="H372">
        <f>IF(ISNUMBER(B372),YEAR(B372)*100+MONTH(B372),"")</f>
        <v/>
      </c>
    </row>
    <row r="373">
      <c r="A373" s="1" t="n"/>
      <c r="B373" s="17" t="n"/>
      <c r="C373" s="21" t="n"/>
      <c r="D373" s="19" t="n"/>
      <c r="E373" s="24" t="n"/>
      <c r="F373" s="11">
        <f>IF(AND(C373="",E373=""),"",IF(NOT(ISNUMBER(B373)),"Needs a date",IF(NOT(ISNUMBER(E373)),"Needs the amount","")))</f>
        <v/>
      </c>
      <c r="G373" s="1">
        <f>IF(ISNUMBER(B373),YEAR(B373),"")</f>
        <v/>
      </c>
      <c r="H373">
        <f>IF(ISNUMBER(B373),YEAR(B373)*100+MONTH(B373),"")</f>
        <v/>
      </c>
    </row>
    <row r="374">
      <c r="A374" s="1" t="n"/>
      <c r="B374" s="17" t="n"/>
      <c r="C374" s="21" t="n"/>
      <c r="D374" s="19" t="n"/>
      <c r="E374" s="24" t="n"/>
      <c r="F374" s="11">
        <f>IF(AND(C374="",E374=""),"",IF(NOT(ISNUMBER(B374)),"Needs a date",IF(NOT(ISNUMBER(E374)),"Needs the amount","")))</f>
        <v/>
      </c>
      <c r="G374" s="1">
        <f>IF(ISNUMBER(B374),YEAR(B374),"")</f>
        <v/>
      </c>
      <c r="H374">
        <f>IF(ISNUMBER(B374),YEAR(B374)*100+MONTH(B374),"")</f>
        <v/>
      </c>
    </row>
    <row r="375">
      <c r="A375" s="1" t="n"/>
      <c r="B375" s="17" t="n"/>
      <c r="C375" s="21" t="n"/>
      <c r="D375" s="19" t="n"/>
      <c r="E375" s="24" t="n"/>
      <c r="F375" s="11">
        <f>IF(AND(C375="",E375=""),"",IF(NOT(ISNUMBER(B375)),"Needs a date",IF(NOT(ISNUMBER(E375)),"Needs the amount","")))</f>
        <v/>
      </c>
      <c r="G375" s="1">
        <f>IF(ISNUMBER(B375),YEAR(B375),"")</f>
        <v/>
      </c>
      <c r="H375">
        <f>IF(ISNUMBER(B375),YEAR(B375)*100+MONTH(B375),"")</f>
        <v/>
      </c>
    </row>
    <row r="376">
      <c r="A376" s="1" t="n"/>
      <c r="B376" s="17" t="n"/>
      <c r="C376" s="21" t="n"/>
      <c r="D376" s="19" t="n"/>
      <c r="E376" s="24" t="n"/>
      <c r="F376" s="11">
        <f>IF(AND(C376="",E376=""),"",IF(NOT(ISNUMBER(B376)),"Needs a date",IF(NOT(ISNUMBER(E376)),"Needs the amount","")))</f>
        <v/>
      </c>
      <c r="G376" s="1">
        <f>IF(ISNUMBER(B376),YEAR(B376),"")</f>
        <v/>
      </c>
      <c r="H376">
        <f>IF(ISNUMBER(B376),YEAR(B376)*100+MONTH(B376),"")</f>
        <v/>
      </c>
    </row>
    <row r="377">
      <c r="A377" s="1" t="n"/>
      <c r="B377" s="17" t="n"/>
      <c r="C377" s="21" t="n"/>
      <c r="D377" s="19" t="n"/>
      <c r="E377" s="24" t="n"/>
      <c r="F377" s="11">
        <f>IF(AND(C377="",E377=""),"",IF(NOT(ISNUMBER(B377)),"Needs a date",IF(NOT(ISNUMBER(E377)),"Needs the amount","")))</f>
        <v/>
      </c>
      <c r="G377" s="1">
        <f>IF(ISNUMBER(B377),YEAR(B377),"")</f>
        <v/>
      </c>
      <c r="H377">
        <f>IF(ISNUMBER(B377),YEAR(B377)*100+MONTH(B377),"")</f>
        <v/>
      </c>
    </row>
    <row r="378">
      <c r="A378" s="1" t="n"/>
      <c r="B378" s="17" t="n"/>
      <c r="C378" s="21" t="n"/>
      <c r="D378" s="19" t="n"/>
      <c r="E378" s="24" t="n"/>
      <c r="F378" s="11">
        <f>IF(AND(C378="",E378=""),"",IF(NOT(ISNUMBER(B378)),"Needs a date",IF(NOT(ISNUMBER(E378)),"Needs the amount","")))</f>
        <v/>
      </c>
      <c r="G378" s="1">
        <f>IF(ISNUMBER(B378),YEAR(B378),"")</f>
        <v/>
      </c>
      <c r="H378">
        <f>IF(ISNUMBER(B378),YEAR(B378)*100+MONTH(B378),"")</f>
        <v/>
      </c>
    </row>
    <row r="379">
      <c r="A379" s="1" t="n"/>
      <c r="B379" s="17" t="n"/>
      <c r="C379" s="21" t="n"/>
      <c r="D379" s="19" t="n"/>
      <c r="E379" s="24" t="n"/>
      <c r="F379" s="11">
        <f>IF(AND(C379="",E379=""),"",IF(NOT(ISNUMBER(B379)),"Needs a date",IF(NOT(ISNUMBER(E379)),"Needs the amount","")))</f>
        <v/>
      </c>
      <c r="G379" s="1">
        <f>IF(ISNUMBER(B379),YEAR(B379),"")</f>
        <v/>
      </c>
      <c r="H379">
        <f>IF(ISNUMBER(B379),YEAR(B379)*100+MONTH(B379),"")</f>
        <v/>
      </c>
    </row>
    <row r="380">
      <c r="A380" s="1" t="n"/>
      <c r="B380" s="17" t="n"/>
      <c r="C380" s="21" t="n"/>
      <c r="D380" s="19" t="n"/>
      <c r="E380" s="24" t="n"/>
      <c r="F380" s="11">
        <f>IF(AND(C380="",E380=""),"",IF(NOT(ISNUMBER(B380)),"Needs a date",IF(NOT(ISNUMBER(E380)),"Needs the amount","")))</f>
        <v/>
      </c>
      <c r="G380" s="1">
        <f>IF(ISNUMBER(B380),YEAR(B380),"")</f>
        <v/>
      </c>
      <c r="H380">
        <f>IF(ISNUMBER(B380),YEAR(B380)*100+MONTH(B380),"")</f>
        <v/>
      </c>
    </row>
    <row r="381">
      <c r="A381" s="1" t="n"/>
      <c r="B381" s="17" t="n"/>
      <c r="C381" s="21" t="n"/>
      <c r="D381" s="19" t="n"/>
      <c r="E381" s="24" t="n"/>
      <c r="F381" s="11">
        <f>IF(AND(C381="",E381=""),"",IF(NOT(ISNUMBER(B381)),"Needs a date",IF(NOT(ISNUMBER(E381)),"Needs the amount","")))</f>
        <v/>
      </c>
      <c r="G381" s="1">
        <f>IF(ISNUMBER(B381),YEAR(B381),"")</f>
        <v/>
      </c>
      <c r="H381">
        <f>IF(ISNUMBER(B381),YEAR(B381)*100+MONTH(B381),"")</f>
        <v/>
      </c>
    </row>
    <row r="382">
      <c r="A382" s="1" t="n"/>
      <c r="B382" s="17" t="n"/>
      <c r="C382" s="21" t="n"/>
      <c r="D382" s="19" t="n"/>
      <c r="E382" s="24" t="n"/>
      <c r="F382" s="11">
        <f>IF(AND(C382="",E382=""),"",IF(NOT(ISNUMBER(B382)),"Needs a date",IF(NOT(ISNUMBER(E382)),"Needs the amount","")))</f>
        <v/>
      </c>
      <c r="G382" s="1">
        <f>IF(ISNUMBER(B382),YEAR(B382),"")</f>
        <v/>
      </c>
      <c r="H382">
        <f>IF(ISNUMBER(B382),YEAR(B382)*100+MONTH(B382),"")</f>
        <v/>
      </c>
    </row>
    <row r="383">
      <c r="A383" s="1" t="n"/>
      <c r="B383" s="17" t="n"/>
      <c r="C383" s="21" t="n"/>
      <c r="D383" s="19" t="n"/>
      <c r="E383" s="24" t="n"/>
      <c r="F383" s="11">
        <f>IF(AND(C383="",E383=""),"",IF(NOT(ISNUMBER(B383)),"Needs a date",IF(NOT(ISNUMBER(E383)),"Needs the amount","")))</f>
        <v/>
      </c>
      <c r="G383" s="1">
        <f>IF(ISNUMBER(B383),YEAR(B383),"")</f>
        <v/>
      </c>
      <c r="H383">
        <f>IF(ISNUMBER(B383),YEAR(B383)*100+MONTH(B383),"")</f>
        <v/>
      </c>
    </row>
    <row r="384">
      <c r="A384" s="1" t="n"/>
      <c r="B384" s="17" t="n"/>
      <c r="C384" s="21" t="n"/>
      <c r="D384" s="19" t="n"/>
      <c r="E384" s="24" t="n"/>
      <c r="F384" s="11">
        <f>IF(AND(C384="",E384=""),"",IF(NOT(ISNUMBER(B384)),"Needs a date",IF(NOT(ISNUMBER(E384)),"Needs the amount","")))</f>
        <v/>
      </c>
      <c r="G384" s="1">
        <f>IF(ISNUMBER(B384),YEAR(B384),"")</f>
        <v/>
      </c>
      <c r="H384">
        <f>IF(ISNUMBER(B384),YEAR(B384)*100+MONTH(B384),"")</f>
        <v/>
      </c>
    </row>
    <row r="385">
      <c r="A385" s="1" t="n"/>
      <c r="B385" s="17" t="n"/>
      <c r="C385" s="21" t="n"/>
      <c r="D385" s="19" t="n"/>
      <c r="E385" s="24" t="n"/>
      <c r="F385" s="11">
        <f>IF(AND(C385="",E385=""),"",IF(NOT(ISNUMBER(B385)),"Needs a date",IF(NOT(ISNUMBER(E385)),"Needs the amount","")))</f>
        <v/>
      </c>
      <c r="G385" s="1">
        <f>IF(ISNUMBER(B385),YEAR(B385),"")</f>
        <v/>
      </c>
      <c r="H385">
        <f>IF(ISNUMBER(B385),YEAR(B385)*100+MONTH(B385),"")</f>
        <v/>
      </c>
    </row>
    <row r="386">
      <c r="A386" s="1" t="n"/>
      <c r="B386" s="17" t="n"/>
      <c r="C386" s="21" t="n"/>
      <c r="D386" s="19" t="n"/>
      <c r="E386" s="24" t="n"/>
      <c r="F386" s="11">
        <f>IF(AND(C386="",E386=""),"",IF(NOT(ISNUMBER(B386)),"Needs a date",IF(NOT(ISNUMBER(E386)),"Needs the amount","")))</f>
        <v/>
      </c>
      <c r="G386" s="1">
        <f>IF(ISNUMBER(B386),YEAR(B386),"")</f>
        <v/>
      </c>
      <c r="H386">
        <f>IF(ISNUMBER(B386),YEAR(B386)*100+MONTH(B386),"")</f>
        <v/>
      </c>
    </row>
    <row r="387">
      <c r="A387" s="1" t="n"/>
      <c r="B387" s="17" t="n"/>
      <c r="C387" s="21" t="n"/>
      <c r="D387" s="19" t="n"/>
      <c r="E387" s="24" t="n"/>
      <c r="F387" s="11">
        <f>IF(AND(C387="",E387=""),"",IF(NOT(ISNUMBER(B387)),"Needs a date",IF(NOT(ISNUMBER(E387)),"Needs the amount","")))</f>
        <v/>
      </c>
      <c r="G387" s="1">
        <f>IF(ISNUMBER(B387),YEAR(B387),"")</f>
        <v/>
      </c>
      <c r="H387">
        <f>IF(ISNUMBER(B387),YEAR(B387)*100+MONTH(B387),"")</f>
        <v/>
      </c>
    </row>
    <row r="388">
      <c r="A388" s="1" t="n"/>
      <c r="B388" s="17" t="n"/>
      <c r="C388" s="21" t="n"/>
      <c r="D388" s="19" t="n"/>
      <c r="E388" s="24" t="n"/>
      <c r="F388" s="11">
        <f>IF(AND(C388="",E388=""),"",IF(NOT(ISNUMBER(B388)),"Needs a date",IF(NOT(ISNUMBER(E388)),"Needs the amount","")))</f>
        <v/>
      </c>
      <c r="G388" s="1">
        <f>IF(ISNUMBER(B388),YEAR(B388),"")</f>
        <v/>
      </c>
      <c r="H388">
        <f>IF(ISNUMBER(B388),YEAR(B388)*100+MONTH(B388),"")</f>
        <v/>
      </c>
    </row>
    <row r="389">
      <c r="A389" s="1" t="n"/>
      <c r="B389" s="17" t="n"/>
      <c r="C389" s="21" t="n"/>
      <c r="D389" s="19" t="n"/>
      <c r="E389" s="24" t="n"/>
      <c r="F389" s="11">
        <f>IF(AND(C389="",E389=""),"",IF(NOT(ISNUMBER(B389)),"Needs a date",IF(NOT(ISNUMBER(E389)),"Needs the amount","")))</f>
        <v/>
      </c>
      <c r="G389" s="1">
        <f>IF(ISNUMBER(B389),YEAR(B389),"")</f>
        <v/>
      </c>
      <c r="H389">
        <f>IF(ISNUMBER(B389),YEAR(B389)*100+MONTH(B389),"")</f>
        <v/>
      </c>
    </row>
    <row r="390">
      <c r="A390" s="1" t="n"/>
      <c r="B390" s="17" t="n"/>
      <c r="C390" s="21" t="n"/>
      <c r="D390" s="19" t="n"/>
      <c r="E390" s="24" t="n"/>
      <c r="F390" s="11">
        <f>IF(AND(C390="",E390=""),"",IF(NOT(ISNUMBER(B390)),"Needs a date",IF(NOT(ISNUMBER(E390)),"Needs the amount","")))</f>
        <v/>
      </c>
      <c r="G390" s="1">
        <f>IF(ISNUMBER(B390),YEAR(B390),"")</f>
        <v/>
      </c>
      <c r="H390">
        <f>IF(ISNUMBER(B390),YEAR(B390)*100+MONTH(B390),"")</f>
        <v/>
      </c>
    </row>
    <row r="391">
      <c r="A391" s="1" t="n"/>
      <c r="B391" s="17" t="n"/>
      <c r="C391" s="21" t="n"/>
      <c r="D391" s="19" t="n"/>
      <c r="E391" s="24" t="n"/>
      <c r="F391" s="11">
        <f>IF(AND(C391="",E391=""),"",IF(NOT(ISNUMBER(B391)),"Needs a date",IF(NOT(ISNUMBER(E391)),"Needs the amount","")))</f>
        <v/>
      </c>
      <c r="G391" s="1">
        <f>IF(ISNUMBER(B391),YEAR(B391),"")</f>
        <v/>
      </c>
      <c r="H391">
        <f>IF(ISNUMBER(B391),YEAR(B391)*100+MONTH(B391),"")</f>
        <v/>
      </c>
    </row>
    <row r="392">
      <c r="A392" s="1" t="n"/>
      <c r="B392" s="17" t="n"/>
      <c r="C392" s="21" t="n"/>
      <c r="D392" s="19" t="n"/>
      <c r="E392" s="24" t="n"/>
      <c r="F392" s="11">
        <f>IF(AND(C392="",E392=""),"",IF(NOT(ISNUMBER(B392)),"Needs a date",IF(NOT(ISNUMBER(E392)),"Needs the amount","")))</f>
        <v/>
      </c>
      <c r="G392" s="1">
        <f>IF(ISNUMBER(B392),YEAR(B392),"")</f>
        <v/>
      </c>
      <c r="H392">
        <f>IF(ISNUMBER(B392),YEAR(B392)*100+MONTH(B392),"")</f>
        <v/>
      </c>
    </row>
    <row r="393">
      <c r="A393" s="1" t="n"/>
      <c r="B393" s="17" t="n"/>
      <c r="C393" s="21" t="n"/>
      <c r="D393" s="19" t="n"/>
      <c r="E393" s="24" t="n"/>
      <c r="F393" s="11">
        <f>IF(AND(C393="",E393=""),"",IF(NOT(ISNUMBER(B393)),"Needs a date",IF(NOT(ISNUMBER(E393)),"Needs the amount","")))</f>
        <v/>
      </c>
      <c r="G393" s="1">
        <f>IF(ISNUMBER(B393),YEAR(B393),"")</f>
        <v/>
      </c>
      <c r="H393">
        <f>IF(ISNUMBER(B393),YEAR(B393)*100+MONTH(B393),"")</f>
        <v/>
      </c>
    </row>
    <row r="394">
      <c r="A394" s="1" t="n"/>
      <c r="B394" s="17" t="n"/>
      <c r="C394" s="21" t="n"/>
      <c r="D394" s="19" t="n"/>
      <c r="E394" s="24" t="n"/>
      <c r="F394" s="11">
        <f>IF(AND(C394="",E394=""),"",IF(NOT(ISNUMBER(B394)),"Needs a date",IF(NOT(ISNUMBER(E394)),"Needs the amount","")))</f>
        <v/>
      </c>
      <c r="G394" s="1">
        <f>IF(ISNUMBER(B394),YEAR(B394),"")</f>
        <v/>
      </c>
      <c r="H394">
        <f>IF(ISNUMBER(B394),YEAR(B394)*100+MONTH(B394),"")</f>
        <v/>
      </c>
    </row>
    <row r="395">
      <c r="A395" s="1" t="n"/>
      <c r="B395" s="17" t="n"/>
      <c r="C395" s="21" t="n"/>
      <c r="D395" s="19" t="n"/>
      <c r="E395" s="24" t="n"/>
      <c r="F395" s="11">
        <f>IF(AND(C395="",E395=""),"",IF(NOT(ISNUMBER(B395)),"Needs a date",IF(NOT(ISNUMBER(E395)),"Needs the amount","")))</f>
        <v/>
      </c>
      <c r="G395" s="1">
        <f>IF(ISNUMBER(B395),YEAR(B395),"")</f>
        <v/>
      </c>
      <c r="H395">
        <f>IF(ISNUMBER(B395),YEAR(B395)*100+MONTH(B395),"")</f>
        <v/>
      </c>
    </row>
    <row r="396">
      <c r="A396" s="1" t="n"/>
      <c r="B396" s="17" t="n"/>
      <c r="C396" s="21" t="n"/>
      <c r="D396" s="19" t="n"/>
      <c r="E396" s="24" t="n"/>
      <c r="F396" s="11">
        <f>IF(AND(C396="",E396=""),"",IF(NOT(ISNUMBER(B396)),"Needs a date",IF(NOT(ISNUMBER(E396)),"Needs the amount","")))</f>
        <v/>
      </c>
      <c r="G396" s="1">
        <f>IF(ISNUMBER(B396),YEAR(B396),"")</f>
        <v/>
      </c>
      <c r="H396">
        <f>IF(ISNUMBER(B396),YEAR(B396)*100+MONTH(B396),"")</f>
        <v/>
      </c>
    </row>
    <row r="397">
      <c r="A397" s="1" t="n"/>
      <c r="B397" s="17" t="n"/>
      <c r="C397" s="21" t="n"/>
      <c r="D397" s="19" t="n"/>
      <c r="E397" s="24" t="n"/>
      <c r="F397" s="11">
        <f>IF(AND(C397="",E397=""),"",IF(NOT(ISNUMBER(B397)),"Needs a date",IF(NOT(ISNUMBER(E397)),"Needs the amount","")))</f>
        <v/>
      </c>
      <c r="G397" s="1">
        <f>IF(ISNUMBER(B397),YEAR(B397),"")</f>
        <v/>
      </c>
      <c r="H397">
        <f>IF(ISNUMBER(B397),YEAR(B397)*100+MONTH(B397),"")</f>
        <v/>
      </c>
    </row>
    <row r="398">
      <c r="A398" s="1" t="n"/>
      <c r="B398" s="17" t="n"/>
      <c r="C398" s="21" t="n"/>
      <c r="D398" s="19" t="n"/>
      <c r="E398" s="24" t="n"/>
      <c r="F398" s="11">
        <f>IF(AND(C398="",E398=""),"",IF(NOT(ISNUMBER(B398)),"Needs a date",IF(NOT(ISNUMBER(E398)),"Needs the amount","")))</f>
        <v/>
      </c>
      <c r="G398" s="1">
        <f>IF(ISNUMBER(B398),YEAR(B398),"")</f>
        <v/>
      </c>
      <c r="H398">
        <f>IF(ISNUMBER(B398),YEAR(B398)*100+MONTH(B398),"")</f>
        <v/>
      </c>
    </row>
    <row r="399">
      <c r="A399" s="1" t="n"/>
      <c r="B399" s="17" t="n"/>
      <c r="C399" s="21" t="n"/>
      <c r="D399" s="19" t="n"/>
      <c r="E399" s="24" t="n"/>
      <c r="F399" s="11">
        <f>IF(AND(C399="",E399=""),"",IF(NOT(ISNUMBER(B399)),"Needs a date",IF(NOT(ISNUMBER(E399)),"Needs the amount","")))</f>
        <v/>
      </c>
      <c r="G399" s="1">
        <f>IF(ISNUMBER(B399),YEAR(B399),"")</f>
        <v/>
      </c>
      <c r="H399">
        <f>IF(ISNUMBER(B399),YEAR(B399)*100+MONTH(B399),"")</f>
        <v/>
      </c>
    </row>
    <row r="400">
      <c r="A400" s="1" t="n"/>
      <c r="B400" s="17" t="n"/>
      <c r="C400" s="21" t="n"/>
      <c r="D400" s="19" t="n"/>
      <c r="E400" s="24" t="n"/>
      <c r="F400" s="11">
        <f>IF(AND(C400="",E400=""),"",IF(NOT(ISNUMBER(B400)),"Needs a date",IF(NOT(ISNUMBER(E400)),"Needs the amount","")))</f>
        <v/>
      </c>
      <c r="G400" s="1">
        <f>IF(ISNUMBER(B400),YEAR(B400),"")</f>
        <v/>
      </c>
      <c r="H400">
        <f>IF(ISNUMBER(B400),YEAR(B400)*100+MONTH(B400),"")</f>
        <v/>
      </c>
    </row>
    <row r="401">
      <c r="A401" s="1" t="n"/>
      <c r="B401" s="17" t="n"/>
      <c r="C401" s="21" t="n"/>
      <c r="D401" s="19" t="n"/>
      <c r="E401" s="24" t="n"/>
      <c r="F401" s="11">
        <f>IF(AND(C401="",E401=""),"",IF(NOT(ISNUMBER(B401)),"Needs a date",IF(NOT(ISNUMBER(E401)),"Needs the amount","")))</f>
        <v/>
      </c>
      <c r="G401" s="1">
        <f>IF(ISNUMBER(B401),YEAR(B401),"")</f>
        <v/>
      </c>
      <c r="H401">
        <f>IF(ISNUMBER(B401),YEAR(B401)*100+MONTH(B401),"")</f>
        <v/>
      </c>
    </row>
    <row r="402">
      <c r="A402" s="1" t="n"/>
      <c r="B402" s="17" t="n"/>
      <c r="C402" s="21" t="n"/>
      <c r="D402" s="19" t="n"/>
      <c r="E402" s="24" t="n"/>
      <c r="F402" s="11">
        <f>IF(AND(C402="",E402=""),"",IF(NOT(ISNUMBER(B402)),"Needs a date",IF(NOT(ISNUMBER(E402)),"Needs the amount","")))</f>
        <v/>
      </c>
      <c r="G402" s="1">
        <f>IF(ISNUMBER(B402),YEAR(B402),"")</f>
        <v/>
      </c>
      <c r="H402">
        <f>IF(ISNUMBER(B402),YEAR(B402)*100+MONTH(B402),"")</f>
        <v/>
      </c>
    </row>
    <row r="403">
      <c r="A403" s="1" t="n"/>
      <c r="B403" s="17" t="n"/>
      <c r="C403" s="21" t="n"/>
      <c r="D403" s="19" t="n"/>
      <c r="E403" s="24" t="n"/>
      <c r="F403" s="11">
        <f>IF(AND(C403="",E403=""),"",IF(NOT(ISNUMBER(B403)),"Needs a date",IF(NOT(ISNUMBER(E403)),"Needs the amount","")))</f>
        <v/>
      </c>
      <c r="G403" s="1">
        <f>IF(ISNUMBER(B403),YEAR(B403),"")</f>
        <v/>
      </c>
      <c r="H403">
        <f>IF(ISNUMBER(B403),YEAR(B403)*100+MONTH(B403),"")</f>
        <v/>
      </c>
    </row>
    <row r="404">
      <c r="A404" s="1" t="n"/>
      <c r="B404" s="17" t="n"/>
      <c r="C404" s="21" t="n"/>
      <c r="D404" s="19" t="n"/>
      <c r="E404" s="24" t="n"/>
      <c r="F404" s="11">
        <f>IF(AND(C404="",E404=""),"",IF(NOT(ISNUMBER(B404)),"Needs a date",IF(NOT(ISNUMBER(E404)),"Needs the amount","")))</f>
        <v/>
      </c>
      <c r="G404" s="1">
        <f>IF(ISNUMBER(B404),YEAR(B404),"")</f>
        <v/>
      </c>
      <c r="H404">
        <f>IF(ISNUMBER(B404),YEAR(B404)*100+MONTH(B404),"")</f>
        <v/>
      </c>
    </row>
    <row r="405">
      <c r="A405" s="1" t="n"/>
      <c r="B405" s="17" t="n"/>
      <c r="C405" s="21" t="n"/>
      <c r="D405" s="19" t="n"/>
      <c r="E405" s="24" t="n"/>
      <c r="F405" s="11">
        <f>IF(AND(C405="",E405=""),"",IF(NOT(ISNUMBER(B405)),"Needs a date",IF(NOT(ISNUMBER(E405)),"Needs the amount","")))</f>
        <v/>
      </c>
      <c r="G405" s="1">
        <f>IF(ISNUMBER(B405),YEAR(B405),"")</f>
        <v/>
      </c>
      <c r="H405">
        <f>IF(ISNUMBER(B405),YEAR(B405)*100+MONTH(B405),"")</f>
        <v/>
      </c>
    </row>
    <row r="406">
      <c r="A406" s="1" t="n"/>
      <c r="B406" s="17" t="n"/>
      <c r="C406" s="21" t="n"/>
      <c r="D406" s="19" t="n"/>
      <c r="E406" s="24" t="n"/>
      <c r="F406" s="11">
        <f>IF(AND(C406="",E406=""),"",IF(NOT(ISNUMBER(B406)),"Needs a date",IF(NOT(ISNUMBER(E406)),"Needs the amount","")))</f>
        <v/>
      </c>
      <c r="G406" s="1">
        <f>IF(ISNUMBER(B406),YEAR(B406),"")</f>
        <v/>
      </c>
      <c r="H406">
        <f>IF(ISNUMBER(B406),YEAR(B406)*100+MONTH(B406),"")</f>
        <v/>
      </c>
    </row>
    <row r="407">
      <c r="A407" s="1" t="n"/>
      <c r="B407" s="17" t="n"/>
      <c r="C407" s="21" t="n"/>
      <c r="D407" s="19" t="n"/>
      <c r="E407" s="24" t="n"/>
      <c r="F407" s="11">
        <f>IF(AND(C407="",E407=""),"",IF(NOT(ISNUMBER(B407)),"Needs a date",IF(NOT(ISNUMBER(E407)),"Needs the amount","")))</f>
        <v/>
      </c>
      <c r="G407" s="1">
        <f>IF(ISNUMBER(B407),YEAR(B407),"")</f>
        <v/>
      </c>
      <c r="H407">
        <f>IF(ISNUMBER(B407),YEAR(B407)*100+MONTH(B407),"")</f>
        <v/>
      </c>
    </row>
    <row r="408">
      <c r="A408" s="1" t="n"/>
      <c r="B408" s="17" t="n"/>
      <c r="C408" s="21" t="n"/>
      <c r="D408" s="19" t="n"/>
      <c r="E408" s="24" t="n"/>
      <c r="F408" s="11">
        <f>IF(AND(C408="",E408=""),"",IF(NOT(ISNUMBER(B408)),"Needs a date",IF(NOT(ISNUMBER(E408)),"Needs the amount","")))</f>
        <v/>
      </c>
      <c r="G408" s="1">
        <f>IF(ISNUMBER(B408),YEAR(B408),"")</f>
        <v/>
      </c>
      <c r="H408">
        <f>IF(ISNUMBER(B408),YEAR(B408)*100+MONTH(B408),"")</f>
        <v/>
      </c>
    </row>
    <row r="409">
      <c r="A409" s="1" t="n"/>
      <c r="B409" s="17" t="n"/>
      <c r="C409" s="21" t="n"/>
      <c r="D409" s="19" t="n"/>
      <c r="E409" s="24" t="n"/>
      <c r="F409" s="11">
        <f>IF(AND(C409="",E409=""),"",IF(NOT(ISNUMBER(B409)),"Needs a date",IF(NOT(ISNUMBER(E409)),"Needs the amount","")))</f>
        <v/>
      </c>
      <c r="G409" s="1">
        <f>IF(ISNUMBER(B409),YEAR(B409),"")</f>
        <v/>
      </c>
      <c r="H409">
        <f>IF(ISNUMBER(B409),YEAR(B409)*100+MONTH(B409),"")</f>
        <v/>
      </c>
    </row>
    <row r="410">
      <c r="A410" s="1" t="n"/>
      <c r="B410" s="17" t="n"/>
      <c r="C410" s="21" t="n"/>
      <c r="D410" s="19" t="n"/>
      <c r="E410" s="24" t="n"/>
      <c r="F410" s="11">
        <f>IF(AND(C410="",E410=""),"",IF(NOT(ISNUMBER(B410)),"Needs a date",IF(NOT(ISNUMBER(E410)),"Needs the amount","")))</f>
        <v/>
      </c>
      <c r="G410" s="1">
        <f>IF(ISNUMBER(B410),YEAR(B410),"")</f>
        <v/>
      </c>
      <c r="H410">
        <f>IF(ISNUMBER(B410),YEAR(B410)*100+MONTH(B410),"")</f>
        <v/>
      </c>
    </row>
    <row r="411">
      <c r="A411" s="1" t="n"/>
      <c r="B411" s="17" t="n"/>
      <c r="C411" s="21" t="n"/>
      <c r="D411" s="19" t="n"/>
      <c r="E411" s="24" t="n"/>
      <c r="F411" s="11">
        <f>IF(AND(C411="",E411=""),"",IF(NOT(ISNUMBER(B411)),"Needs a date",IF(NOT(ISNUMBER(E411)),"Needs the amount","")))</f>
        <v/>
      </c>
      <c r="G411" s="1">
        <f>IF(ISNUMBER(B411),YEAR(B411),"")</f>
        <v/>
      </c>
      <c r="H411">
        <f>IF(ISNUMBER(B411),YEAR(B411)*100+MONTH(B411),"")</f>
        <v/>
      </c>
    </row>
    <row r="412">
      <c r="A412" s="1" t="n"/>
      <c r="B412" s="17" t="n"/>
      <c r="C412" s="21" t="n"/>
      <c r="D412" s="19" t="n"/>
      <c r="E412" s="24" t="n"/>
      <c r="F412" s="11">
        <f>IF(AND(C412="",E412=""),"",IF(NOT(ISNUMBER(B412)),"Needs a date",IF(NOT(ISNUMBER(E412)),"Needs the amount","")))</f>
        <v/>
      </c>
      <c r="G412" s="1">
        <f>IF(ISNUMBER(B412),YEAR(B412),"")</f>
        <v/>
      </c>
      <c r="H412">
        <f>IF(ISNUMBER(B412),YEAR(B412)*100+MONTH(B412),"")</f>
        <v/>
      </c>
    </row>
    <row r="413">
      <c r="A413" s="1" t="n"/>
      <c r="B413" s="17" t="n"/>
      <c r="C413" s="21" t="n"/>
      <c r="D413" s="19" t="n"/>
      <c r="E413" s="24" t="n"/>
      <c r="F413" s="11">
        <f>IF(AND(C413="",E413=""),"",IF(NOT(ISNUMBER(B413)),"Needs a date",IF(NOT(ISNUMBER(E413)),"Needs the amount","")))</f>
        <v/>
      </c>
      <c r="G413" s="1">
        <f>IF(ISNUMBER(B413),YEAR(B413),"")</f>
        <v/>
      </c>
      <c r="H413">
        <f>IF(ISNUMBER(B413),YEAR(B413)*100+MONTH(B413),"")</f>
        <v/>
      </c>
    </row>
    <row r="414">
      <c r="A414" s="1" t="n"/>
      <c r="B414" s="17" t="n"/>
      <c r="C414" s="21" t="n"/>
      <c r="D414" s="19" t="n"/>
      <c r="E414" s="24" t="n"/>
      <c r="F414" s="11">
        <f>IF(AND(C414="",E414=""),"",IF(NOT(ISNUMBER(B414)),"Needs a date",IF(NOT(ISNUMBER(E414)),"Needs the amount","")))</f>
        <v/>
      </c>
      <c r="G414" s="1">
        <f>IF(ISNUMBER(B414),YEAR(B414),"")</f>
        <v/>
      </c>
      <c r="H414">
        <f>IF(ISNUMBER(B414),YEAR(B414)*100+MONTH(B414),"")</f>
        <v/>
      </c>
    </row>
    <row r="415">
      <c r="A415" s="1" t="n"/>
      <c r="B415" s="17" t="n"/>
      <c r="C415" s="21" t="n"/>
      <c r="D415" s="19" t="n"/>
      <c r="E415" s="24" t="n"/>
      <c r="F415" s="11">
        <f>IF(AND(C415="",E415=""),"",IF(NOT(ISNUMBER(B415)),"Needs a date",IF(NOT(ISNUMBER(E415)),"Needs the amount","")))</f>
        <v/>
      </c>
      <c r="G415" s="1">
        <f>IF(ISNUMBER(B415),YEAR(B415),"")</f>
        <v/>
      </c>
      <c r="H415">
        <f>IF(ISNUMBER(B415),YEAR(B415)*100+MONTH(B415),"")</f>
        <v/>
      </c>
    </row>
    <row r="416">
      <c r="A416" s="1" t="n"/>
      <c r="B416" s="17" t="n"/>
      <c r="C416" s="21" t="n"/>
      <c r="D416" s="19" t="n"/>
      <c r="E416" s="24" t="n"/>
      <c r="F416" s="11">
        <f>IF(AND(C416="",E416=""),"",IF(NOT(ISNUMBER(B416)),"Needs a date",IF(NOT(ISNUMBER(E416)),"Needs the amount","")))</f>
        <v/>
      </c>
      <c r="G416" s="1">
        <f>IF(ISNUMBER(B416),YEAR(B416),"")</f>
        <v/>
      </c>
      <c r="H416">
        <f>IF(ISNUMBER(B416),YEAR(B416)*100+MONTH(B416),"")</f>
        <v/>
      </c>
    </row>
    <row r="417">
      <c r="A417" s="1" t="n"/>
      <c r="B417" s="17" t="n"/>
      <c r="C417" s="21" t="n"/>
      <c r="D417" s="19" t="n"/>
      <c r="E417" s="24" t="n"/>
      <c r="F417" s="11">
        <f>IF(AND(C417="",E417=""),"",IF(NOT(ISNUMBER(B417)),"Needs a date",IF(NOT(ISNUMBER(E417)),"Needs the amount","")))</f>
        <v/>
      </c>
      <c r="G417" s="1">
        <f>IF(ISNUMBER(B417),YEAR(B417),"")</f>
        <v/>
      </c>
      <c r="H417">
        <f>IF(ISNUMBER(B417),YEAR(B417)*100+MONTH(B417),"")</f>
        <v/>
      </c>
    </row>
    <row r="418">
      <c r="A418" s="1" t="n"/>
      <c r="B418" s="17" t="n"/>
      <c r="C418" s="21" t="n"/>
      <c r="D418" s="19" t="n"/>
      <c r="E418" s="24" t="n"/>
      <c r="F418" s="11">
        <f>IF(AND(C418="",E418=""),"",IF(NOT(ISNUMBER(B418)),"Needs a date",IF(NOT(ISNUMBER(E418)),"Needs the amount","")))</f>
        <v/>
      </c>
      <c r="G418" s="1">
        <f>IF(ISNUMBER(B418),YEAR(B418),"")</f>
        <v/>
      </c>
      <c r="H418">
        <f>IF(ISNUMBER(B418),YEAR(B418)*100+MONTH(B418),"")</f>
        <v/>
      </c>
    </row>
    <row r="419">
      <c r="A419" s="1" t="n"/>
      <c r="B419" s="17" t="n"/>
      <c r="C419" s="21" t="n"/>
      <c r="D419" s="19" t="n"/>
      <c r="E419" s="24" t="n"/>
      <c r="F419" s="11">
        <f>IF(AND(C419="",E419=""),"",IF(NOT(ISNUMBER(B419)),"Needs a date",IF(NOT(ISNUMBER(E419)),"Needs the amount","")))</f>
        <v/>
      </c>
      <c r="G419" s="1">
        <f>IF(ISNUMBER(B419),YEAR(B419),"")</f>
        <v/>
      </c>
      <c r="H419">
        <f>IF(ISNUMBER(B419),YEAR(B419)*100+MONTH(B419),"")</f>
        <v/>
      </c>
    </row>
    <row r="420">
      <c r="A420" s="1" t="n"/>
      <c r="B420" s="17" t="n"/>
      <c r="C420" s="21" t="n"/>
      <c r="D420" s="19" t="n"/>
      <c r="E420" s="24" t="n"/>
      <c r="F420" s="11">
        <f>IF(AND(C420="",E420=""),"",IF(NOT(ISNUMBER(B420)),"Needs a date",IF(NOT(ISNUMBER(E420)),"Needs the amount","")))</f>
        <v/>
      </c>
      <c r="G420" s="1">
        <f>IF(ISNUMBER(B420),YEAR(B420),"")</f>
        <v/>
      </c>
      <c r="H420">
        <f>IF(ISNUMBER(B420),YEAR(B420)*100+MONTH(B420),"")</f>
        <v/>
      </c>
    </row>
    <row r="421">
      <c r="A421" s="1" t="n"/>
      <c r="B421" s="17" t="n"/>
      <c r="C421" s="21" t="n"/>
      <c r="D421" s="19" t="n"/>
      <c r="E421" s="24" t="n"/>
      <c r="F421" s="11">
        <f>IF(AND(C421="",E421=""),"",IF(NOT(ISNUMBER(B421)),"Needs a date",IF(NOT(ISNUMBER(E421)),"Needs the amount","")))</f>
        <v/>
      </c>
      <c r="G421" s="1">
        <f>IF(ISNUMBER(B421),YEAR(B421),"")</f>
        <v/>
      </c>
      <c r="H421">
        <f>IF(ISNUMBER(B421),YEAR(B421)*100+MONTH(B421),"")</f>
        <v/>
      </c>
    </row>
    <row r="422">
      <c r="A422" s="1" t="n"/>
      <c r="B422" s="17" t="n"/>
      <c r="C422" s="21" t="n"/>
      <c r="D422" s="19" t="n"/>
      <c r="E422" s="24" t="n"/>
      <c r="F422" s="11">
        <f>IF(AND(C422="",E422=""),"",IF(NOT(ISNUMBER(B422)),"Needs a date",IF(NOT(ISNUMBER(E422)),"Needs the amount","")))</f>
        <v/>
      </c>
      <c r="G422" s="1">
        <f>IF(ISNUMBER(B422),YEAR(B422),"")</f>
        <v/>
      </c>
      <c r="H422">
        <f>IF(ISNUMBER(B422),YEAR(B422)*100+MONTH(B422),"")</f>
        <v/>
      </c>
    </row>
    <row r="423">
      <c r="A423" s="1" t="n"/>
      <c r="B423" s="17" t="n"/>
      <c r="C423" s="21" t="n"/>
      <c r="D423" s="19" t="n"/>
      <c r="E423" s="24" t="n"/>
      <c r="F423" s="11">
        <f>IF(AND(C423="",E423=""),"",IF(NOT(ISNUMBER(B423)),"Needs a date",IF(NOT(ISNUMBER(E423)),"Needs the amount","")))</f>
        <v/>
      </c>
      <c r="G423" s="1">
        <f>IF(ISNUMBER(B423),YEAR(B423),"")</f>
        <v/>
      </c>
      <c r="H423">
        <f>IF(ISNUMBER(B423),YEAR(B423)*100+MONTH(B423),"")</f>
        <v/>
      </c>
    </row>
    <row r="424">
      <c r="A424" s="1" t="n"/>
      <c r="B424" s="17" t="n"/>
      <c r="C424" s="21" t="n"/>
      <c r="D424" s="19" t="n"/>
      <c r="E424" s="24" t="n"/>
      <c r="F424" s="11">
        <f>IF(AND(C424="",E424=""),"",IF(NOT(ISNUMBER(B424)),"Needs a date",IF(NOT(ISNUMBER(E424)),"Needs the amount","")))</f>
        <v/>
      </c>
      <c r="G424" s="1">
        <f>IF(ISNUMBER(B424),YEAR(B424),"")</f>
        <v/>
      </c>
      <c r="H424">
        <f>IF(ISNUMBER(B424),YEAR(B424)*100+MONTH(B424),"")</f>
        <v/>
      </c>
    </row>
    <row r="425">
      <c r="A425" s="1" t="n"/>
      <c r="B425" s="17" t="n"/>
      <c r="C425" s="21" t="n"/>
      <c r="D425" s="19" t="n"/>
      <c r="E425" s="24" t="n"/>
      <c r="F425" s="11">
        <f>IF(AND(C425="",E425=""),"",IF(NOT(ISNUMBER(B425)),"Needs a date",IF(NOT(ISNUMBER(E425)),"Needs the amount","")))</f>
        <v/>
      </c>
      <c r="G425" s="1">
        <f>IF(ISNUMBER(B425),YEAR(B425),"")</f>
        <v/>
      </c>
      <c r="H425">
        <f>IF(ISNUMBER(B425),YEAR(B425)*100+MONTH(B425),"")</f>
        <v/>
      </c>
    </row>
    <row r="426">
      <c r="A426" s="1" t="n"/>
      <c r="B426" s="17" t="n"/>
      <c r="C426" s="21" t="n"/>
      <c r="D426" s="19" t="n"/>
      <c r="E426" s="24" t="n"/>
      <c r="F426" s="11">
        <f>IF(AND(C426="",E426=""),"",IF(NOT(ISNUMBER(B426)),"Needs a date",IF(NOT(ISNUMBER(E426)),"Needs the amount","")))</f>
        <v/>
      </c>
      <c r="G426" s="1">
        <f>IF(ISNUMBER(B426),YEAR(B426),"")</f>
        <v/>
      </c>
      <c r="H426">
        <f>IF(ISNUMBER(B426),YEAR(B426)*100+MONTH(B426),"")</f>
        <v/>
      </c>
    </row>
    <row r="427">
      <c r="A427" s="1" t="n"/>
      <c r="B427" s="17" t="n"/>
      <c r="C427" s="21" t="n"/>
      <c r="D427" s="19" t="n"/>
      <c r="E427" s="24" t="n"/>
      <c r="F427" s="11">
        <f>IF(AND(C427="",E427=""),"",IF(NOT(ISNUMBER(B427)),"Needs a date",IF(NOT(ISNUMBER(E427)),"Needs the amount","")))</f>
        <v/>
      </c>
      <c r="G427" s="1">
        <f>IF(ISNUMBER(B427),YEAR(B427),"")</f>
        <v/>
      </c>
      <c r="H427">
        <f>IF(ISNUMBER(B427),YEAR(B427)*100+MONTH(B427),"")</f>
        <v/>
      </c>
    </row>
    <row r="428">
      <c r="A428" s="1" t="n"/>
      <c r="B428" s="17" t="n"/>
      <c r="C428" s="21" t="n"/>
      <c r="D428" s="19" t="n"/>
      <c r="E428" s="24" t="n"/>
      <c r="F428" s="11">
        <f>IF(AND(C428="",E428=""),"",IF(NOT(ISNUMBER(B428)),"Needs a date",IF(NOT(ISNUMBER(E428)),"Needs the amount","")))</f>
        <v/>
      </c>
      <c r="G428" s="1">
        <f>IF(ISNUMBER(B428),YEAR(B428),"")</f>
        <v/>
      </c>
      <c r="H428">
        <f>IF(ISNUMBER(B428),YEAR(B428)*100+MONTH(B428),"")</f>
        <v/>
      </c>
    </row>
    <row r="429">
      <c r="A429" s="1" t="n"/>
      <c r="B429" s="17" t="n"/>
      <c r="C429" s="21" t="n"/>
      <c r="D429" s="19" t="n"/>
      <c r="E429" s="24" t="n"/>
      <c r="F429" s="11">
        <f>IF(AND(C429="",E429=""),"",IF(NOT(ISNUMBER(B429)),"Needs a date",IF(NOT(ISNUMBER(E429)),"Needs the amount","")))</f>
        <v/>
      </c>
      <c r="G429" s="1">
        <f>IF(ISNUMBER(B429),YEAR(B429),"")</f>
        <v/>
      </c>
      <c r="H429">
        <f>IF(ISNUMBER(B429),YEAR(B429)*100+MONTH(B429),"")</f>
        <v/>
      </c>
    </row>
    <row r="430">
      <c r="A430" s="1" t="n"/>
      <c r="B430" s="17" t="n"/>
      <c r="C430" s="21" t="n"/>
      <c r="D430" s="19" t="n"/>
      <c r="E430" s="24" t="n"/>
      <c r="F430" s="11">
        <f>IF(AND(C430="",E430=""),"",IF(NOT(ISNUMBER(B430)),"Needs a date",IF(NOT(ISNUMBER(E430)),"Needs the amount","")))</f>
        <v/>
      </c>
      <c r="G430" s="1">
        <f>IF(ISNUMBER(B430),YEAR(B430),"")</f>
        <v/>
      </c>
      <c r="H430">
        <f>IF(ISNUMBER(B430),YEAR(B430)*100+MONTH(B430),"")</f>
        <v/>
      </c>
    </row>
    <row r="431">
      <c r="A431" s="1" t="n"/>
      <c r="B431" s="17" t="n"/>
      <c r="C431" s="21" t="n"/>
      <c r="D431" s="19" t="n"/>
      <c r="E431" s="24" t="n"/>
      <c r="F431" s="11">
        <f>IF(AND(C431="",E431=""),"",IF(NOT(ISNUMBER(B431)),"Needs a date",IF(NOT(ISNUMBER(E431)),"Needs the amount","")))</f>
        <v/>
      </c>
      <c r="G431" s="1">
        <f>IF(ISNUMBER(B431),YEAR(B431),"")</f>
        <v/>
      </c>
      <c r="H431">
        <f>IF(ISNUMBER(B431),YEAR(B431)*100+MONTH(B431),"")</f>
        <v/>
      </c>
    </row>
    <row r="432">
      <c r="A432" s="1" t="n"/>
      <c r="B432" s="17" t="n"/>
      <c r="C432" s="21" t="n"/>
      <c r="D432" s="19" t="n"/>
      <c r="E432" s="24" t="n"/>
      <c r="F432" s="11">
        <f>IF(AND(C432="",E432=""),"",IF(NOT(ISNUMBER(B432)),"Needs a date",IF(NOT(ISNUMBER(E432)),"Needs the amount","")))</f>
        <v/>
      </c>
      <c r="G432" s="1">
        <f>IF(ISNUMBER(B432),YEAR(B432),"")</f>
        <v/>
      </c>
      <c r="H432">
        <f>IF(ISNUMBER(B432),YEAR(B432)*100+MONTH(B432),"")</f>
        <v/>
      </c>
    </row>
    <row r="433">
      <c r="A433" s="1" t="n"/>
      <c r="B433" s="17" t="n"/>
      <c r="C433" s="21" t="n"/>
      <c r="D433" s="19" t="n"/>
      <c r="E433" s="24" t="n"/>
      <c r="F433" s="11">
        <f>IF(AND(C433="",E433=""),"",IF(NOT(ISNUMBER(B433)),"Needs a date",IF(NOT(ISNUMBER(E433)),"Needs the amount","")))</f>
        <v/>
      </c>
      <c r="G433" s="1">
        <f>IF(ISNUMBER(B433),YEAR(B433),"")</f>
        <v/>
      </c>
      <c r="H433">
        <f>IF(ISNUMBER(B433),YEAR(B433)*100+MONTH(B433),"")</f>
        <v/>
      </c>
    </row>
    <row r="434">
      <c r="A434" s="1" t="n"/>
      <c r="B434" s="17" t="n"/>
      <c r="C434" s="21" t="n"/>
      <c r="D434" s="19" t="n"/>
      <c r="E434" s="24" t="n"/>
      <c r="F434" s="11">
        <f>IF(AND(C434="",E434=""),"",IF(NOT(ISNUMBER(B434)),"Needs a date",IF(NOT(ISNUMBER(E434)),"Needs the amount","")))</f>
        <v/>
      </c>
      <c r="G434" s="1">
        <f>IF(ISNUMBER(B434),YEAR(B434),"")</f>
        <v/>
      </c>
      <c r="H434">
        <f>IF(ISNUMBER(B434),YEAR(B434)*100+MONTH(B434),"")</f>
        <v/>
      </c>
    </row>
    <row r="435">
      <c r="A435" s="1" t="n"/>
      <c r="B435" s="17" t="n"/>
      <c r="C435" s="21" t="n"/>
      <c r="D435" s="19" t="n"/>
      <c r="E435" s="24" t="n"/>
      <c r="F435" s="11">
        <f>IF(AND(C435="",E435=""),"",IF(NOT(ISNUMBER(B435)),"Needs a date",IF(NOT(ISNUMBER(E435)),"Needs the amount","")))</f>
        <v/>
      </c>
      <c r="G435" s="1">
        <f>IF(ISNUMBER(B435),YEAR(B435),"")</f>
        <v/>
      </c>
      <c r="H435">
        <f>IF(ISNUMBER(B435),YEAR(B435)*100+MONTH(B435),"")</f>
        <v/>
      </c>
    </row>
    <row r="436">
      <c r="A436" s="1" t="n"/>
      <c r="B436" s="17" t="n"/>
      <c r="C436" s="21" t="n"/>
      <c r="D436" s="19" t="n"/>
      <c r="E436" s="24" t="n"/>
      <c r="F436" s="11">
        <f>IF(AND(C436="",E436=""),"",IF(NOT(ISNUMBER(B436)),"Needs a date",IF(NOT(ISNUMBER(E436)),"Needs the amount","")))</f>
        <v/>
      </c>
      <c r="G436" s="1">
        <f>IF(ISNUMBER(B436),YEAR(B436),"")</f>
        <v/>
      </c>
      <c r="H436">
        <f>IF(ISNUMBER(B436),YEAR(B436)*100+MONTH(B436),"")</f>
        <v/>
      </c>
    </row>
    <row r="437">
      <c r="A437" s="1" t="n"/>
      <c r="B437" s="17" t="n"/>
      <c r="C437" s="21" t="n"/>
      <c r="D437" s="19" t="n"/>
      <c r="E437" s="24" t="n"/>
      <c r="F437" s="11">
        <f>IF(AND(C437="",E437=""),"",IF(NOT(ISNUMBER(B437)),"Needs a date",IF(NOT(ISNUMBER(E437)),"Needs the amount","")))</f>
        <v/>
      </c>
      <c r="G437" s="1">
        <f>IF(ISNUMBER(B437),YEAR(B437),"")</f>
        <v/>
      </c>
      <c r="H437">
        <f>IF(ISNUMBER(B437),YEAR(B437)*100+MONTH(B437),"")</f>
        <v/>
      </c>
    </row>
    <row r="438">
      <c r="A438" s="1" t="n"/>
      <c r="B438" s="17" t="n"/>
      <c r="C438" s="21" t="n"/>
      <c r="D438" s="19" t="n"/>
      <c r="E438" s="24" t="n"/>
      <c r="F438" s="11">
        <f>IF(AND(C438="",E438=""),"",IF(NOT(ISNUMBER(B438)),"Needs a date",IF(NOT(ISNUMBER(E438)),"Needs the amount","")))</f>
        <v/>
      </c>
      <c r="G438" s="1">
        <f>IF(ISNUMBER(B438),YEAR(B438),"")</f>
        <v/>
      </c>
      <c r="H438">
        <f>IF(ISNUMBER(B438),YEAR(B438)*100+MONTH(B438),"")</f>
        <v/>
      </c>
    </row>
    <row r="439">
      <c r="A439" s="1" t="n"/>
      <c r="B439" s="17" t="n"/>
      <c r="C439" s="21" t="n"/>
      <c r="D439" s="19" t="n"/>
      <c r="E439" s="24" t="n"/>
      <c r="F439" s="11">
        <f>IF(AND(C439="",E439=""),"",IF(NOT(ISNUMBER(B439)),"Needs a date",IF(NOT(ISNUMBER(E439)),"Needs the amount","")))</f>
        <v/>
      </c>
      <c r="G439" s="1">
        <f>IF(ISNUMBER(B439),YEAR(B439),"")</f>
        <v/>
      </c>
      <c r="H439">
        <f>IF(ISNUMBER(B439),YEAR(B439)*100+MONTH(B439),"")</f>
        <v/>
      </c>
    </row>
    <row r="440">
      <c r="A440" s="1" t="n"/>
      <c r="B440" s="17" t="n"/>
      <c r="C440" s="21" t="n"/>
      <c r="D440" s="19" t="n"/>
      <c r="E440" s="24" t="n"/>
      <c r="F440" s="11">
        <f>IF(AND(C440="",E440=""),"",IF(NOT(ISNUMBER(B440)),"Needs a date",IF(NOT(ISNUMBER(E440)),"Needs the amount","")))</f>
        <v/>
      </c>
      <c r="G440" s="1">
        <f>IF(ISNUMBER(B440),YEAR(B440),"")</f>
        <v/>
      </c>
      <c r="H440">
        <f>IF(ISNUMBER(B440),YEAR(B440)*100+MONTH(B440),"")</f>
        <v/>
      </c>
    </row>
    <row r="441">
      <c r="A441" s="1" t="n"/>
      <c r="B441" s="17" t="n"/>
      <c r="C441" s="21" t="n"/>
      <c r="D441" s="19" t="n"/>
      <c r="E441" s="24" t="n"/>
      <c r="F441" s="11">
        <f>IF(AND(C441="",E441=""),"",IF(NOT(ISNUMBER(B441)),"Needs a date",IF(NOT(ISNUMBER(E441)),"Needs the amount","")))</f>
        <v/>
      </c>
      <c r="G441" s="1">
        <f>IF(ISNUMBER(B441),YEAR(B441),"")</f>
        <v/>
      </c>
      <c r="H441">
        <f>IF(ISNUMBER(B441),YEAR(B441)*100+MONTH(B441),"")</f>
        <v/>
      </c>
    </row>
    <row r="442">
      <c r="A442" s="1" t="n"/>
      <c r="B442" s="17" t="n"/>
      <c r="C442" s="21" t="n"/>
      <c r="D442" s="19" t="n"/>
      <c r="E442" s="24" t="n"/>
      <c r="F442" s="11">
        <f>IF(AND(C442="",E442=""),"",IF(NOT(ISNUMBER(B442)),"Needs a date",IF(NOT(ISNUMBER(E442)),"Needs the amount","")))</f>
        <v/>
      </c>
      <c r="G442" s="1">
        <f>IF(ISNUMBER(B442),YEAR(B442),"")</f>
        <v/>
      </c>
      <c r="H442">
        <f>IF(ISNUMBER(B442),YEAR(B442)*100+MONTH(B442),"")</f>
        <v/>
      </c>
    </row>
    <row r="443">
      <c r="A443" s="1" t="n"/>
      <c r="B443" s="17" t="n"/>
      <c r="C443" s="21" t="n"/>
      <c r="D443" s="19" t="n"/>
      <c r="E443" s="24" t="n"/>
      <c r="F443" s="11">
        <f>IF(AND(C443="",E443=""),"",IF(NOT(ISNUMBER(B443)),"Needs a date",IF(NOT(ISNUMBER(E443)),"Needs the amount","")))</f>
        <v/>
      </c>
      <c r="G443" s="1">
        <f>IF(ISNUMBER(B443),YEAR(B443),"")</f>
        <v/>
      </c>
      <c r="H443">
        <f>IF(ISNUMBER(B443),YEAR(B443)*100+MONTH(B443),"")</f>
        <v/>
      </c>
    </row>
    <row r="444">
      <c r="A444" s="1" t="n"/>
      <c r="B444" s="17" t="n"/>
      <c r="C444" s="21" t="n"/>
      <c r="D444" s="19" t="n"/>
      <c r="E444" s="24" t="n"/>
      <c r="F444" s="11">
        <f>IF(AND(C444="",E444=""),"",IF(NOT(ISNUMBER(B444)),"Needs a date",IF(NOT(ISNUMBER(E444)),"Needs the amount","")))</f>
        <v/>
      </c>
      <c r="G444" s="1">
        <f>IF(ISNUMBER(B444),YEAR(B444),"")</f>
        <v/>
      </c>
      <c r="H444">
        <f>IF(ISNUMBER(B444),YEAR(B444)*100+MONTH(B444),"")</f>
        <v/>
      </c>
    </row>
    <row r="445">
      <c r="A445" s="1" t="n"/>
      <c r="B445" s="17" t="n"/>
      <c r="C445" s="21" t="n"/>
      <c r="D445" s="19" t="n"/>
      <c r="E445" s="24" t="n"/>
      <c r="F445" s="11">
        <f>IF(AND(C445="",E445=""),"",IF(NOT(ISNUMBER(B445)),"Needs a date",IF(NOT(ISNUMBER(E445)),"Needs the amount","")))</f>
        <v/>
      </c>
      <c r="G445" s="1">
        <f>IF(ISNUMBER(B445),YEAR(B445),"")</f>
        <v/>
      </c>
      <c r="H445">
        <f>IF(ISNUMBER(B445),YEAR(B445)*100+MONTH(B445),"")</f>
        <v/>
      </c>
    </row>
    <row r="446">
      <c r="A446" s="1" t="n"/>
      <c r="B446" s="17" t="n"/>
      <c r="C446" s="21" t="n"/>
      <c r="D446" s="19" t="n"/>
      <c r="E446" s="24" t="n"/>
      <c r="F446" s="11">
        <f>IF(AND(C446="",E446=""),"",IF(NOT(ISNUMBER(B446)),"Needs a date",IF(NOT(ISNUMBER(E446)),"Needs the amount","")))</f>
        <v/>
      </c>
      <c r="G446" s="1">
        <f>IF(ISNUMBER(B446),YEAR(B446),"")</f>
        <v/>
      </c>
      <c r="H446">
        <f>IF(ISNUMBER(B446),YEAR(B446)*100+MONTH(B446),"")</f>
        <v/>
      </c>
    </row>
    <row r="447">
      <c r="A447" s="1" t="n"/>
      <c r="B447" s="17" t="n"/>
      <c r="C447" s="21" t="n"/>
      <c r="D447" s="19" t="n"/>
      <c r="E447" s="24" t="n"/>
      <c r="F447" s="11">
        <f>IF(AND(C447="",E447=""),"",IF(NOT(ISNUMBER(B447)),"Needs a date",IF(NOT(ISNUMBER(E447)),"Needs the amount","")))</f>
        <v/>
      </c>
      <c r="G447" s="1">
        <f>IF(ISNUMBER(B447),YEAR(B447),"")</f>
        <v/>
      </c>
      <c r="H447">
        <f>IF(ISNUMBER(B447),YEAR(B447)*100+MONTH(B447),"")</f>
        <v/>
      </c>
    </row>
    <row r="448">
      <c r="A448" s="1" t="n"/>
      <c r="B448" s="17" t="n"/>
      <c r="C448" s="21" t="n"/>
      <c r="D448" s="19" t="n"/>
      <c r="E448" s="24" t="n"/>
      <c r="F448" s="11">
        <f>IF(AND(C448="",E448=""),"",IF(NOT(ISNUMBER(B448)),"Needs a date",IF(NOT(ISNUMBER(E448)),"Needs the amount","")))</f>
        <v/>
      </c>
      <c r="G448" s="1">
        <f>IF(ISNUMBER(B448),YEAR(B448),"")</f>
        <v/>
      </c>
      <c r="H448">
        <f>IF(ISNUMBER(B448),YEAR(B448)*100+MONTH(B448),"")</f>
        <v/>
      </c>
    </row>
    <row r="449">
      <c r="A449" s="1" t="n"/>
      <c r="B449" s="17" t="n"/>
      <c r="C449" s="21" t="n"/>
      <c r="D449" s="19" t="n"/>
      <c r="E449" s="24" t="n"/>
      <c r="F449" s="11">
        <f>IF(AND(C449="",E449=""),"",IF(NOT(ISNUMBER(B449)),"Needs a date",IF(NOT(ISNUMBER(E449)),"Needs the amount","")))</f>
        <v/>
      </c>
      <c r="G449" s="1">
        <f>IF(ISNUMBER(B449),YEAR(B449),"")</f>
        <v/>
      </c>
      <c r="H449">
        <f>IF(ISNUMBER(B449),YEAR(B449)*100+MONTH(B449),"")</f>
        <v/>
      </c>
    </row>
    <row r="450">
      <c r="A450" s="1" t="n"/>
      <c r="B450" s="17" t="n"/>
      <c r="C450" s="21" t="n"/>
      <c r="D450" s="19" t="n"/>
      <c r="E450" s="24" t="n"/>
      <c r="F450" s="11">
        <f>IF(AND(C450="",E450=""),"",IF(NOT(ISNUMBER(B450)),"Needs a date",IF(NOT(ISNUMBER(E450)),"Needs the amount","")))</f>
        <v/>
      </c>
      <c r="G450" s="1">
        <f>IF(ISNUMBER(B450),YEAR(B450),"")</f>
        <v/>
      </c>
      <c r="H450">
        <f>IF(ISNUMBER(B450),YEAR(B450)*100+MONTH(B450),"")</f>
        <v/>
      </c>
    </row>
    <row r="451">
      <c r="A451" s="1" t="n"/>
      <c r="B451" s="17" t="n"/>
      <c r="C451" s="21" t="n"/>
      <c r="D451" s="19" t="n"/>
      <c r="E451" s="24" t="n"/>
      <c r="F451" s="11">
        <f>IF(AND(C451="",E451=""),"",IF(NOT(ISNUMBER(B451)),"Needs a date",IF(NOT(ISNUMBER(E451)),"Needs the amount","")))</f>
        <v/>
      </c>
      <c r="G451" s="1">
        <f>IF(ISNUMBER(B451),YEAR(B451),"")</f>
        <v/>
      </c>
      <c r="H451">
        <f>IF(ISNUMBER(B451),YEAR(B451)*100+MONTH(B451),"")</f>
        <v/>
      </c>
    </row>
    <row r="452">
      <c r="A452" s="1" t="n"/>
      <c r="B452" s="17" t="n"/>
      <c r="C452" s="21" t="n"/>
      <c r="D452" s="19" t="n"/>
      <c r="E452" s="24" t="n"/>
      <c r="F452" s="11">
        <f>IF(AND(C452="",E452=""),"",IF(NOT(ISNUMBER(B452)),"Needs a date",IF(NOT(ISNUMBER(E452)),"Needs the amount","")))</f>
        <v/>
      </c>
      <c r="G452" s="1">
        <f>IF(ISNUMBER(B452),YEAR(B452),"")</f>
        <v/>
      </c>
      <c r="H452">
        <f>IF(ISNUMBER(B452),YEAR(B452)*100+MONTH(B452),"")</f>
        <v/>
      </c>
    </row>
    <row r="453">
      <c r="A453" s="1" t="n"/>
      <c r="B453" s="17" t="n"/>
      <c r="C453" s="21" t="n"/>
      <c r="D453" s="19" t="n"/>
      <c r="E453" s="24" t="n"/>
      <c r="F453" s="11">
        <f>IF(AND(C453="",E453=""),"",IF(NOT(ISNUMBER(B453)),"Needs a date",IF(NOT(ISNUMBER(E453)),"Needs the amount","")))</f>
        <v/>
      </c>
      <c r="G453" s="1">
        <f>IF(ISNUMBER(B453),YEAR(B453),"")</f>
        <v/>
      </c>
      <c r="H453">
        <f>IF(ISNUMBER(B453),YEAR(B453)*100+MONTH(B453),"")</f>
        <v/>
      </c>
    </row>
    <row r="454">
      <c r="A454" s="1" t="n"/>
      <c r="B454" s="17" t="n"/>
      <c r="C454" s="21" t="n"/>
      <c r="D454" s="19" t="n"/>
      <c r="E454" s="24" t="n"/>
      <c r="F454" s="11">
        <f>IF(AND(C454="",E454=""),"",IF(NOT(ISNUMBER(B454)),"Needs a date",IF(NOT(ISNUMBER(E454)),"Needs the amount","")))</f>
        <v/>
      </c>
      <c r="G454" s="1">
        <f>IF(ISNUMBER(B454),YEAR(B454),"")</f>
        <v/>
      </c>
      <c r="H454">
        <f>IF(ISNUMBER(B454),YEAR(B454)*100+MONTH(B454),"")</f>
        <v/>
      </c>
    </row>
    <row r="455">
      <c r="A455" s="1" t="n"/>
      <c r="B455" s="17" t="n"/>
      <c r="C455" s="21" t="n"/>
      <c r="D455" s="19" t="n"/>
      <c r="E455" s="24" t="n"/>
      <c r="F455" s="11">
        <f>IF(AND(C455="",E455=""),"",IF(NOT(ISNUMBER(B455)),"Needs a date",IF(NOT(ISNUMBER(E455)),"Needs the amount","")))</f>
        <v/>
      </c>
      <c r="G455" s="1">
        <f>IF(ISNUMBER(B455),YEAR(B455),"")</f>
        <v/>
      </c>
      <c r="H455">
        <f>IF(ISNUMBER(B455),YEAR(B455)*100+MONTH(B455),"")</f>
        <v/>
      </c>
    </row>
    <row r="456">
      <c r="A456" s="1" t="n"/>
      <c r="B456" s="17" t="n"/>
      <c r="C456" s="21" t="n"/>
      <c r="D456" s="19" t="n"/>
      <c r="E456" s="24" t="n"/>
      <c r="F456" s="11">
        <f>IF(AND(C456="",E456=""),"",IF(NOT(ISNUMBER(B456)),"Needs a date",IF(NOT(ISNUMBER(E456)),"Needs the amount","")))</f>
        <v/>
      </c>
      <c r="G456" s="1">
        <f>IF(ISNUMBER(B456),YEAR(B456),"")</f>
        <v/>
      </c>
      <c r="H456">
        <f>IF(ISNUMBER(B456),YEAR(B456)*100+MONTH(B456),"")</f>
        <v/>
      </c>
    </row>
    <row r="457">
      <c r="A457" s="1" t="n"/>
      <c r="B457" s="17" t="n"/>
      <c r="C457" s="21" t="n"/>
      <c r="D457" s="19" t="n"/>
      <c r="E457" s="24" t="n"/>
      <c r="F457" s="11">
        <f>IF(AND(C457="",E457=""),"",IF(NOT(ISNUMBER(B457)),"Needs a date",IF(NOT(ISNUMBER(E457)),"Needs the amount","")))</f>
        <v/>
      </c>
      <c r="G457" s="1">
        <f>IF(ISNUMBER(B457),YEAR(B457),"")</f>
        <v/>
      </c>
      <c r="H457">
        <f>IF(ISNUMBER(B457),YEAR(B457)*100+MONTH(B457),"")</f>
        <v/>
      </c>
    </row>
    <row r="458">
      <c r="A458" s="1" t="n"/>
      <c r="B458" s="17" t="n"/>
      <c r="C458" s="21" t="n"/>
      <c r="D458" s="19" t="n"/>
      <c r="E458" s="24" t="n"/>
      <c r="F458" s="11">
        <f>IF(AND(C458="",E458=""),"",IF(NOT(ISNUMBER(B458)),"Needs a date",IF(NOT(ISNUMBER(E458)),"Needs the amount","")))</f>
        <v/>
      </c>
      <c r="G458" s="1">
        <f>IF(ISNUMBER(B458),YEAR(B458),"")</f>
        <v/>
      </c>
      <c r="H458">
        <f>IF(ISNUMBER(B458),YEAR(B458)*100+MONTH(B458),"")</f>
        <v/>
      </c>
    </row>
    <row r="459">
      <c r="A459" s="1" t="n"/>
      <c r="B459" s="17" t="n"/>
      <c r="C459" s="21" t="n"/>
      <c r="D459" s="19" t="n"/>
      <c r="E459" s="24" t="n"/>
      <c r="F459" s="11">
        <f>IF(AND(C459="",E459=""),"",IF(NOT(ISNUMBER(B459)),"Needs a date",IF(NOT(ISNUMBER(E459)),"Needs the amount","")))</f>
        <v/>
      </c>
      <c r="G459" s="1">
        <f>IF(ISNUMBER(B459),YEAR(B459),"")</f>
        <v/>
      </c>
      <c r="H459">
        <f>IF(ISNUMBER(B459),YEAR(B459)*100+MONTH(B459),"")</f>
        <v/>
      </c>
    </row>
    <row r="460">
      <c r="A460" s="1" t="n"/>
      <c r="B460" s="17" t="n"/>
      <c r="C460" s="21" t="n"/>
      <c r="D460" s="19" t="n"/>
      <c r="E460" s="24" t="n"/>
      <c r="F460" s="11">
        <f>IF(AND(C460="",E460=""),"",IF(NOT(ISNUMBER(B460)),"Needs a date",IF(NOT(ISNUMBER(E460)),"Needs the amount","")))</f>
        <v/>
      </c>
      <c r="G460" s="1">
        <f>IF(ISNUMBER(B460),YEAR(B460),"")</f>
        <v/>
      </c>
      <c r="H460">
        <f>IF(ISNUMBER(B460),YEAR(B460)*100+MONTH(B460),"")</f>
        <v/>
      </c>
    </row>
    <row r="461">
      <c r="A461" s="1" t="n"/>
      <c r="B461" s="17" t="n"/>
      <c r="C461" s="21" t="n"/>
      <c r="D461" s="19" t="n"/>
      <c r="E461" s="24" t="n"/>
      <c r="F461" s="11">
        <f>IF(AND(C461="",E461=""),"",IF(NOT(ISNUMBER(B461)),"Needs a date",IF(NOT(ISNUMBER(E461)),"Needs the amount","")))</f>
        <v/>
      </c>
      <c r="G461" s="1">
        <f>IF(ISNUMBER(B461),YEAR(B461),"")</f>
        <v/>
      </c>
      <c r="H461">
        <f>IF(ISNUMBER(B461),YEAR(B461)*100+MONTH(B461),"")</f>
        <v/>
      </c>
    </row>
    <row r="462">
      <c r="A462" s="1" t="n"/>
      <c r="B462" s="17" t="n"/>
      <c r="C462" s="21" t="n"/>
      <c r="D462" s="19" t="n"/>
      <c r="E462" s="24" t="n"/>
      <c r="F462" s="11">
        <f>IF(AND(C462="",E462=""),"",IF(NOT(ISNUMBER(B462)),"Needs a date",IF(NOT(ISNUMBER(E462)),"Needs the amount","")))</f>
        <v/>
      </c>
      <c r="G462" s="1">
        <f>IF(ISNUMBER(B462),YEAR(B462),"")</f>
        <v/>
      </c>
      <c r="H462">
        <f>IF(ISNUMBER(B462),YEAR(B462)*100+MONTH(B462),"")</f>
        <v/>
      </c>
    </row>
    <row r="463">
      <c r="A463" s="1" t="n"/>
      <c r="B463" s="17" t="n"/>
      <c r="C463" s="21" t="n"/>
      <c r="D463" s="19" t="n"/>
      <c r="E463" s="24" t="n"/>
      <c r="F463" s="11">
        <f>IF(AND(C463="",E463=""),"",IF(NOT(ISNUMBER(B463)),"Needs a date",IF(NOT(ISNUMBER(E463)),"Needs the amount","")))</f>
        <v/>
      </c>
      <c r="G463" s="1">
        <f>IF(ISNUMBER(B463),YEAR(B463),"")</f>
        <v/>
      </c>
      <c r="H463">
        <f>IF(ISNUMBER(B463),YEAR(B463)*100+MONTH(B463),"")</f>
        <v/>
      </c>
    </row>
    <row r="464">
      <c r="A464" s="1" t="n"/>
      <c r="B464" s="17" t="n"/>
      <c r="C464" s="21" t="n"/>
      <c r="D464" s="19" t="n"/>
      <c r="E464" s="24" t="n"/>
      <c r="F464" s="11">
        <f>IF(AND(C464="",E464=""),"",IF(NOT(ISNUMBER(B464)),"Needs a date",IF(NOT(ISNUMBER(E464)),"Needs the amount","")))</f>
        <v/>
      </c>
      <c r="G464" s="1">
        <f>IF(ISNUMBER(B464),YEAR(B464),"")</f>
        <v/>
      </c>
      <c r="H464">
        <f>IF(ISNUMBER(B464),YEAR(B464)*100+MONTH(B464),"")</f>
        <v/>
      </c>
    </row>
    <row r="465">
      <c r="A465" s="1" t="n"/>
      <c r="B465" s="17" t="n"/>
      <c r="C465" s="21" t="n"/>
      <c r="D465" s="19" t="n"/>
      <c r="E465" s="24" t="n"/>
      <c r="F465" s="11">
        <f>IF(AND(C465="",E465=""),"",IF(NOT(ISNUMBER(B465)),"Needs a date",IF(NOT(ISNUMBER(E465)),"Needs the amount","")))</f>
        <v/>
      </c>
      <c r="G465" s="1">
        <f>IF(ISNUMBER(B465),YEAR(B465),"")</f>
        <v/>
      </c>
      <c r="H465">
        <f>IF(ISNUMBER(B465),YEAR(B465)*100+MONTH(B465),"")</f>
        <v/>
      </c>
    </row>
    <row r="466">
      <c r="A466" s="1" t="n"/>
      <c r="B466" s="17" t="n"/>
      <c r="C466" s="21" t="n"/>
      <c r="D466" s="19" t="n"/>
      <c r="E466" s="24" t="n"/>
      <c r="F466" s="11">
        <f>IF(AND(C466="",E466=""),"",IF(NOT(ISNUMBER(B466)),"Needs a date",IF(NOT(ISNUMBER(E466)),"Needs the amount","")))</f>
        <v/>
      </c>
      <c r="G466" s="1">
        <f>IF(ISNUMBER(B466),YEAR(B466),"")</f>
        <v/>
      </c>
      <c r="H466">
        <f>IF(ISNUMBER(B466),YEAR(B466)*100+MONTH(B466),"")</f>
        <v/>
      </c>
    </row>
    <row r="467">
      <c r="A467" s="1" t="n"/>
      <c r="B467" s="17" t="n"/>
      <c r="C467" s="21" t="n"/>
      <c r="D467" s="19" t="n"/>
      <c r="E467" s="24" t="n"/>
      <c r="F467" s="11">
        <f>IF(AND(C467="",E467=""),"",IF(NOT(ISNUMBER(B467)),"Needs a date",IF(NOT(ISNUMBER(E467)),"Needs the amount","")))</f>
        <v/>
      </c>
      <c r="G467" s="1">
        <f>IF(ISNUMBER(B467),YEAR(B467),"")</f>
        <v/>
      </c>
      <c r="H467">
        <f>IF(ISNUMBER(B467),YEAR(B467)*100+MONTH(B467),"")</f>
        <v/>
      </c>
    </row>
    <row r="468">
      <c r="A468" s="1" t="n"/>
      <c r="B468" s="17" t="n"/>
      <c r="C468" s="21" t="n"/>
      <c r="D468" s="19" t="n"/>
      <c r="E468" s="24" t="n"/>
      <c r="F468" s="11">
        <f>IF(AND(C468="",E468=""),"",IF(NOT(ISNUMBER(B468)),"Needs a date",IF(NOT(ISNUMBER(E468)),"Needs the amount","")))</f>
        <v/>
      </c>
      <c r="G468" s="1">
        <f>IF(ISNUMBER(B468),YEAR(B468),"")</f>
        <v/>
      </c>
      <c r="H468">
        <f>IF(ISNUMBER(B468),YEAR(B468)*100+MONTH(B468),"")</f>
        <v/>
      </c>
    </row>
    <row r="469">
      <c r="A469" s="1" t="n"/>
      <c r="B469" s="17" t="n"/>
      <c r="C469" s="21" t="n"/>
      <c r="D469" s="19" t="n"/>
      <c r="E469" s="24" t="n"/>
      <c r="F469" s="11">
        <f>IF(AND(C469="",E469=""),"",IF(NOT(ISNUMBER(B469)),"Needs a date",IF(NOT(ISNUMBER(E469)),"Needs the amount","")))</f>
        <v/>
      </c>
      <c r="G469" s="1">
        <f>IF(ISNUMBER(B469),YEAR(B469),"")</f>
        <v/>
      </c>
      <c r="H469">
        <f>IF(ISNUMBER(B469),YEAR(B469)*100+MONTH(B469),"")</f>
        <v/>
      </c>
    </row>
    <row r="470">
      <c r="A470" s="1" t="n"/>
      <c r="B470" s="17" t="n"/>
      <c r="C470" s="21" t="n"/>
      <c r="D470" s="19" t="n"/>
      <c r="E470" s="24" t="n"/>
      <c r="F470" s="11">
        <f>IF(AND(C470="",E470=""),"",IF(NOT(ISNUMBER(B470)),"Needs a date",IF(NOT(ISNUMBER(E470)),"Needs the amount","")))</f>
        <v/>
      </c>
      <c r="G470" s="1">
        <f>IF(ISNUMBER(B470),YEAR(B470),"")</f>
        <v/>
      </c>
      <c r="H470">
        <f>IF(ISNUMBER(B470),YEAR(B470)*100+MONTH(B470),"")</f>
        <v/>
      </c>
    </row>
    <row r="471">
      <c r="A471" s="1" t="n"/>
      <c r="B471" s="17" t="n"/>
      <c r="C471" s="21" t="n"/>
      <c r="D471" s="19" t="n"/>
      <c r="E471" s="24" t="n"/>
      <c r="F471" s="11">
        <f>IF(AND(C471="",E471=""),"",IF(NOT(ISNUMBER(B471)),"Needs a date",IF(NOT(ISNUMBER(E471)),"Needs the amount","")))</f>
        <v/>
      </c>
      <c r="G471" s="1">
        <f>IF(ISNUMBER(B471),YEAR(B471),"")</f>
        <v/>
      </c>
      <c r="H471">
        <f>IF(ISNUMBER(B471),YEAR(B471)*100+MONTH(B471),"")</f>
        <v/>
      </c>
    </row>
    <row r="472">
      <c r="A472" s="1" t="n"/>
      <c r="B472" s="17" t="n"/>
      <c r="C472" s="21" t="n"/>
      <c r="D472" s="19" t="n"/>
      <c r="E472" s="24" t="n"/>
      <c r="F472" s="11">
        <f>IF(AND(C472="",E472=""),"",IF(NOT(ISNUMBER(B472)),"Needs a date",IF(NOT(ISNUMBER(E472)),"Needs the amount","")))</f>
        <v/>
      </c>
      <c r="G472" s="1">
        <f>IF(ISNUMBER(B472),YEAR(B472),"")</f>
        <v/>
      </c>
      <c r="H472">
        <f>IF(ISNUMBER(B472),YEAR(B472)*100+MONTH(B472),"")</f>
        <v/>
      </c>
    </row>
    <row r="473">
      <c r="A473" s="1" t="n"/>
      <c r="B473" s="17" t="n"/>
      <c r="C473" s="21" t="n"/>
      <c r="D473" s="19" t="n"/>
      <c r="E473" s="24" t="n"/>
      <c r="F473" s="11">
        <f>IF(AND(C473="",E473=""),"",IF(NOT(ISNUMBER(B473)),"Needs a date",IF(NOT(ISNUMBER(E473)),"Needs the amount","")))</f>
        <v/>
      </c>
      <c r="G473" s="1">
        <f>IF(ISNUMBER(B473),YEAR(B473),"")</f>
        <v/>
      </c>
      <c r="H473">
        <f>IF(ISNUMBER(B473),YEAR(B473)*100+MONTH(B473),"")</f>
        <v/>
      </c>
    </row>
    <row r="474">
      <c r="A474" s="1" t="n"/>
      <c r="B474" s="17" t="n"/>
      <c r="C474" s="21" t="n"/>
      <c r="D474" s="19" t="n"/>
      <c r="E474" s="24" t="n"/>
      <c r="F474" s="11">
        <f>IF(AND(C474="",E474=""),"",IF(NOT(ISNUMBER(B474)),"Needs a date",IF(NOT(ISNUMBER(E474)),"Needs the amount","")))</f>
        <v/>
      </c>
      <c r="G474" s="1">
        <f>IF(ISNUMBER(B474),YEAR(B474),"")</f>
        <v/>
      </c>
      <c r="H474">
        <f>IF(ISNUMBER(B474),YEAR(B474)*100+MONTH(B474),"")</f>
        <v/>
      </c>
    </row>
    <row r="475">
      <c r="A475" s="1" t="n"/>
      <c r="B475" s="17" t="n"/>
      <c r="C475" s="21" t="n"/>
      <c r="D475" s="19" t="n"/>
      <c r="E475" s="24" t="n"/>
      <c r="F475" s="11">
        <f>IF(AND(C475="",E475=""),"",IF(NOT(ISNUMBER(B475)),"Needs a date",IF(NOT(ISNUMBER(E475)),"Needs the amount","")))</f>
        <v/>
      </c>
      <c r="G475" s="1">
        <f>IF(ISNUMBER(B475),YEAR(B475),"")</f>
        <v/>
      </c>
      <c r="H475">
        <f>IF(ISNUMBER(B475),YEAR(B475)*100+MONTH(B475),"")</f>
        <v/>
      </c>
    </row>
    <row r="476">
      <c r="A476" s="1" t="n"/>
      <c r="B476" s="17" t="n"/>
      <c r="C476" s="21" t="n"/>
      <c r="D476" s="19" t="n"/>
      <c r="E476" s="24" t="n"/>
      <c r="F476" s="11">
        <f>IF(AND(C476="",E476=""),"",IF(NOT(ISNUMBER(B476)),"Needs a date",IF(NOT(ISNUMBER(E476)),"Needs the amount","")))</f>
        <v/>
      </c>
      <c r="G476" s="1">
        <f>IF(ISNUMBER(B476),YEAR(B476),"")</f>
        <v/>
      </c>
      <c r="H476">
        <f>IF(ISNUMBER(B476),YEAR(B476)*100+MONTH(B476),"")</f>
        <v/>
      </c>
    </row>
    <row r="477">
      <c r="A477" s="1" t="n"/>
      <c r="B477" s="17" t="n"/>
      <c r="C477" s="21" t="n"/>
      <c r="D477" s="19" t="n"/>
      <c r="E477" s="24" t="n"/>
      <c r="F477" s="11">
        <f>IF(AND(C477="",E477=""),"",IF(NOT(ISNUMBER(B477)),"Needs a date",IF(NOT(ISNUMBER(E477)),"Needs the amount","")))</f>
        <v/>
      </c>
      <c r="G477" s="1">
        <f>IF(ISNUMBER(B477),YEAR(B477),"")</f>
        <v/>
      </c>
      <c r="H477">
        <f>IF(ISNUMBER(B477),YEAR(B477)*100+MONTH(B477),"")</f>
        <v/>
      </c>
    </row>
    <row r="478">
      <c r="A478" s="1" t="n"/>
      <c r="B478" s="17" t="n"/>
      <c r="C478" s="21" t="n"/>
      <c r="D478" s="19" t="n"/>
      <c r="E478" s="24" t="n"/>
      <c r="F478" s="11">
        <f>IF(AND(C478="",E478=""),"",IF(NOT(ISNUMBER(B478)),"Needs a date",IF(NOT(ISNUMBER(E478)),"Needs the amount","")))</f>
        <v/>
      </c>
      <c r="G478" s="1">
        <f>IF(ISNUMBER(B478),YEAR(B478),"")</f>
        <v/>
      </c>
      <c r="H478">
        <f>IF(ISNUMBER(B478),YEAR(B478)*100+MONTH(B478),"")</f>
        <v/>
      </c>
    </row>
    <row r="479">
      <c r="A479" s="1" t="n"/>
      <c r="B479" s="17" t="n"/>
      <c r="C479" s="21" t="n"/>
      <c r="D479" s="19" t="n"/>
      <c r="E479" s="24" t="n"/>
      <c r="F479" s="11">
        <f>IF(AND(C479="",E479=""),"",IF(NOT(ISNUMBER(B479)),"Needs a date",IF(NOT(ISNUMBER(E479)),"Needs the amount","")))</f>
        <v/>
      </c>
      <c r="G479" s="1">
        <f>IF(ISNUMBER(B479),YEAR(B479),"")</f>
        <v/>
      </c>
      <c r="H479">
        <f>IF(ISNUMBER(B479),YEAR(B479)*100+MONTH(B479),"")</f>
        <v/>
      </c>
    </row>
    <row r="480">
      <c r="A480" s="1" t="n"/>
      <c r="B480" s="17" t="n"/>
      <c r="C480" s="21" t="n"/>
      <c r="D480" s="19" t="n"/>
      <c r="E480" s="24" t="n"/>
      <c r="F480" s="11">
        <f>IF(AND(C480="",E480=""),"",IF(NOT(ISNUMBER(B480)),"Needs a date",IF(NOT(ISNUMBER(E480)),"Needs the amount","")))</f>
        <v/>
      </c>
      <c r="G480" s="1">
        <f>IF(ISNUMBER(B480),YEAR(B480),"")</f>
        <v/>
      </c>
      <c r="H480">
        <f>IF(ISNUMBER(B480),YEAR(B480)*100+MONTH(B480),"")</f>
        <v/>
      </c>
    </row>
    <row r="481">
      <c r="A481" s="1" t="n"/>
      <c r="B481" s="17" t="n"/>
      <c r="C481" s="21" t="n"/>
      <c r="D481" s="19" t="n"/>
      <c r="E481" s="24" t="n"/>
      <c r="F481" s="11">
        <f>IF(AND(C481="",E481=""),"",IF(NOT(ISNUMBER(B481)),"Needs a date",IF(NOT(ISNUMBER(E481)),"Needs the amount","")))</f>
        <v/>
      </c>
      <c r="G481" s="1">
        <f>IF(ISNUMBER(B481),YEAR(B481),"")</f>
        <v/>
      </c>
      <c r="H481">
        <f>IF(ISNUMBER(B481),YEAR(B481)*100+MONTH(B481),"")</f>
        <v/>
      </c>
    </row>
    <row r="482">
      <c r="A482" s="1" t="n"/>
      <c r="B482" s="17" t="n"/>
      <c r="C482" s="21" t="n"/>
      <c r="D482" s="19" t="n"/>
      <c r="E482" s="24" t="n"/>
      <c r="F482" s="11">
        <f>IF(AND(C482="",E482=""),"",IF(NOT(ISNUMBER(B482)),"Needs a date",IF(NOT(ISNUMBER(E482)),"Needs the amount","")))</f>
        <v/>
      </c>
      <c r="G482" s="1">
        <f>IF(ISNUMBER(B482),YEAR(B482),"")</f>
        <v/>
      </c>
      <c r="H482">
        <f>IF(ISNUMBER(B482),YEAR(B482)*100+MONTH(B482),"")</f>
        <v/>
      </c>
    </row>
    <row r="483">
      <c r="A483" s="1" t="n"/>
      <c r="B483" s="17" t="n"/>
      <c r="C483" s="21" t="n"/>
      <c r="D483" s="19" t="n"/>
      <c r="E483" s="24" t="n"/>
      <c r="F483" s="11">
        <f>IF(AND(C483="",E483=""),"",IF(NOT(ISNUMBER(B483)),"Needs a date",IF(NOT(ISNUMBER(E483)),"Needs the amount","")))</f>
        <v/>
      </c>
      <c r="G483" s="1">
        <f>IF(ISNUMBER(B483),YEAR(B483),"")</f>
        <v/>
      </c>
      <c r="H483">
        <f>IF(ISNUMBER(B483),YEAR(B483)*100+MONTH(B483),"")</f>
        <v/>
      </c>
    </row>
    <row r="484">
      <c r="A484" s="1" t="n"/>
      <c r="B484" s="17" t="n"/>
      <c r="C484" s="21" t="n"/>
      <c r="D484" s="19" t="n"/>
      <c r="E484" s="24" t="n"/>
      <c r="F484" s="11">
        <f>IF(AND(C484="",E484=""),"",IF(NOT(ISNUMBER(B484)),"Needs a date",IF(NOT(ISNUMBER(E484)),"Needs the amount","")))</f>
        <v/>
      </c>
      <c r="G484" s="1">
        <f>IF(ISNUMBER(B484),YEAR(B484),"")</f>
        <v/>
      </c>
      <c r="H484">
        <f>IF(ISNUMBER(B484),YEAR(B484)*100+MONTH(B484),"")</f>
        <v/>
      </c>
    </row>
    <row r="485">
      <c r="A485" s="1" t="n"/>
      <c r="B485" s="17" t="n"/>
      <c r="C485" s="21" t="n"/>
      <c r="D485" s="19" t="n"/>
      <c r="E485" s="24" t="n"/>
      <c r="F485" s="11">
        <f>IF(AND(C485="",E485=""),"",IF(NOT(ISNUMBER(B485)),"Needs a date",IF(NOT(ISNUMBER(E485)),"Needs the amount","")))</f>
        <v/>
      </c>
      <c r="G485" s="1">
        <f>IF(ISNUMBER(B485),YEAR(B485),"")</f>
        <v/>
      </c>
      <c r="H485">
        <f>IF(ISNUMBER(B485),YEAR(B485)*100+MONTH(B485),"")</f>
        <v/>
      </c>
    </row>
    <row r="486">
      <c r="A486" s="1" t="n"/>
      <c r="B486" s="17" t="n"/>
      <c r="C486" s="21" t="n"/>
      <c r="D486" s="19" t="n"/>
      <c r="E486" s="24" t="n"/>
      <c r="F486" s="11">
        <f>IF(AND(C486="",E486=""),"",IF(NOT(ISNUMBER(B486)),"Needs a date",IF(NOT(ISNUMBER(E486)),"Needs the amount","")))</f>
        <v/>
      </c>
      <c r="G486" s="1">
        <f>IF(ISNUMBER(B486),YEAR(B486),"")</f>
        <v/>
      </c>
      <c r="H486">
        <f>IF(ISNUMBER(B486),YEAR(B486)*100+MONTH(B486),"")</f>
        <v/>
      </c>
    </row>
    <row r="487">
      <c r="A487" s="1" t="n"/>
      <c r="B487" s="17" t="n"/>
      <c r="C487" s="21" t="n"/>
      <c r="D487" s="19" t="n"/>
      <c r="E487" s="24" t="n"/>
      <c r="F487" s="11">
        <f>IF(AND(C487="",E487=""),"",IF(NOT(ISNUMBER(B487)),"Needs a date",IF(NOT(ISNUMBER(E487)),"Needs the amount","")))</f>
        <v/>
      </c>
      <c r="G487" s="1">
        <f>IF(ISNUMBER(B487),YEAR(B487),"")</f>
        <v/>
      </c>
      <c r="H487">
        <f>IF(ISNUMBER(B487),YEAR(B487)*100+MONTH(B487),"")</f>
        <v/>
      </c>
    </row>
    <row r="488">
      <c r="A488" s="1" t="n"/>
      <c r="B488" s="17" t="n"/>
      <c r="C488" s="21" t="n"/>
      <c r="D488" s="19" t="n"/>
      <c r="E488" s="24" t="n"/>
      <c r="F488" s="11">
        <f>IF(AND(C488="",E488=""),"",IF(NOT(ISNUMBER(B488)),"Needs a date",IF(NOT(ISNUMBER(E488)),"Needs the amount","")))</f>
        <v/>
      </c>
      <c r="G488" s="1">
        <f>IF(ISNUMBER(B488),YEAR(B488),"")</f>
        <v/>
      </c>
      <c r="H488">
        <f>IF(ISNUMBER(B488),YEAR(B488)*100+MONTH(B488),"")</f>
        <v/>
      </c>
    </row>
    <row r="489">
      <c r="A489" s="1" t="n"/>
      <c r="B489" s="17" t="n"/>
      <c r="C489" s="21" t="n"/>
      <c r="D489" s="19" t="n"/>
      <c r="E489" s="24" t="n"/>
      <c r="F489" s="11">
        <f>IF(AND(C489="",E489=""),"",IF(NOT(ISNUMBER(B489)),"Needs a date",IF(NOT(ISNUMBER(E489)),"Needs the amount","")))</f>
        <v/>
      </c>
      <c r="G489" s="1">
        <f>IF(ISNUMBER(B489),YEAR(B489),"")</f>
        <v/>
      </c>
      <c r="H489">
        <f>IF(ISNUMBER(B489),YEAR(B489)*100+MONTH(B489),"")</f>
        <v/>
      </c>
    </row>
    <row r="490">
      <c r="A490" s="1" t="n"/>
      <c r="B490" s="17" t="n"/>
      <c r="C490" s="21" t="n"/>
      <c r="D490" s="19" t="n"/>
      <c r="E490" s="24" t="n"/>
      <c r="F490" s="11">
        <f>IF(AND(C490="",E490=""),"",IF(NOT(ISNUMBER(B490)),"Needs a date",IF(NOT(ISNUMBER(E490)),"Needs the amount","")))</f>
        <v/>
      </c>
      <c r="G490" s="1">
        <f>IF(ISNUMBER(B490),YEAR(B490),"")</f>
        <v/>
      </c>
      <c r="H490">
        <f>IF(ISNUMBER(B490),YEAR(B490)*100+MONTH(B490),"")</f>
        <v/>
      </c>
    </row>
    <row r="491">
      <c r="A491" s="1" t="n"/>
      <c r="B491" s="17" t="n"/>
      <c r="C491" s="21" t="n"/>
      <c r="D491" s="19" t="n"/>
      <c r="E491" s="24" t="n"/>
      <c r="F491" s="11">
        <f>IF(AND(C491="",E491=""),"",IF(NOT(ISNUMBER(B491)),"Needs a date",IF(NOT(ISNUMBER(E491)),"Needs the amount","")))</f>
        <v/>
      </c>
      <c r="G491" s="1">
        <f>IF(ISNUMBER(B491),YEAR(B491),"")</f>
        <v/>
      </c>
      <c r="H491">
        <f>IF(ISNUMBER(B491),YEAR(B491)*100+MONTH(B491),"")</f>
        <v/>
      </c>
    </row>
    <row r="492">
      <c r="A492" s="1" t="n"/>
      <c r="B492" s="17" t="n"/>
      <c r="C492" s="21" t="n"/>
      <c r="D492" s="19" t="n"/>
      <c r="E492" s="24" t="n"/>
      <c r="F492" s="11">
        <f>IF(AND(C492="",E492=""),"",IF(NOT(ISNUMBER(B492)),"Needs a date",IF(NOT(ISNUMBER(E492)),"Needs the amount","")))</f>
        <v/>
      </c>
      <c r="G492" s="1">
        <f>IF(ISNUMBER(B492),YEAR(B492),"")</f>
        <v/>
      </c>
      <c r="H492">
        <f>IF(ISNUMBER(B492),YEAR(B492)*100+MONTH(B492),"")</f>
        <v/>
      </c>
    </row>
    <row r="493">
      <c r="A493" s="1" t="n"/>
      <c r="B493" s="17" t="n"/>
      <c r="C493" s="21" t="n"/>
      <c r="D493" s="19" t="n"/>
      <c r="E493" s="24" t="n"/>
      <c r="F493" s="11">
        <f>IF(AND(C493="",E493=""),"",IF(NOT(ISNUMBER(B493)),"Needs a date",IF(NOT(ISNUMBER(E493)),"Needs the amount","")))</f>
        <v/>
      </c>
      <c r="G493" s="1">
        <f>IF(ISNUMBER(B493),YEAR(B493),"")</f>
        <v/>
      </c>
      <c r="H493">
        <f>IF(ISNUMBER(B493),YEAR(B493)*100+MONTH(B493),"")</f>
        <v/>
      </c>
    </row>
    <row r="494">
      <c r="A494" s="1" t="n"/>
      <c r="B494" s="17" t="n"/>
      <c r="C494" s="21" t="n"/>
      <c r="D494" s="19" t="n"/>
      <c r="E494" s="24" t="n"/>
      <c r="F494" s="11">
        <f>IF(AND(C494="",E494=""),"",IF(NOT(ISNUMBER(B494)),"Needs a date",IF(NOT(ISNUMBER(E494)),"Needs the amount","")))</f>
        <v/>
      </c>
      <c r="G494" s="1">
        <f>IF(ISNUMBER(B494),YEAR(B494),"")</f>
        <v/>
      </c>
      <c r="H494">
        <f>IF(ISNUMBER(B494),YEAR(B494)*100+MONTH(B494),"")</f>
        <v/>
      </c>
    </row>
    <row r="495">
      <c r="A495" s="1" t="n"/>
      <c r="B495" s="17" t="n"/>
      <c r="C495" s="21" t="n"/>
      <c r="D495" s="19" t="n"/>
      <c r="E495" s="24" t="n"/>
      <c r="F495" s="11">
        <f>IF(AND(C495="",E495=""),"",IF(NOT(ISNUMBER(B495)),"Needs a date",IF(NOT(ISNUMBER(E495)),"Needs the amount","")))</f>
        <v/>
      </c>
      <c r="G495" s="1">
        <f>IF(ISNUMBER(B495),YEAR(B495),"")</f>
        <v/>
      </c>
      <c r="H495">
        <f>IF(ISNUMBER(B495),YEAR(B495)*100+MONTH(B495),"")</f>
        <v/>
      </c>
    </row>
    <row r="496">
      <c r="A496" s="1" t="n"/>
      <c r="B496" s="17" t="n"/>
      <c r="C496" s="21" t="n"/>
      <c r="D496" s="19" t="n"/>
      <c r="E496" s="24" t="n"/>
      <c r="F496" s="11">
        <f>IF(AND(C496="",E496=""),"",IF(NOT(ISNUMBER(B496)),"Needs a date",IF(NOT(ISNUMBER(E496)),"Needs the amount","")))</f>
        <v/>
      </c>
      <c r="G496" s="1">
        <f>IF(ISNUMBER(B496),YEAR(B496),"")</f>
        <v/>
      </c>
      <c r="H496">
        <f>IF(ISNUMBER(B496),YEAR(B496)*100+MONTH(B496),"")</f>
        <v/>
      </c>
    </row>
    <row r="497">
      <c r="A497" s="1" t="n"/>
      <c r="B497" s="17" t="n"/>
      <c r="C497" s="21" t="n"/>
      <c r="D497" s="19" t="n"/>
      <c r="E497" s="24" t="n"/>
      <c r="F497" s="11">
        <f>IF(AND(C497="",E497=""),"",IF(NOT(ISNUMBER(B497)),"Needs a date",IF(NOT(ISNUMBER(E497)),"Needs the amount","")))</f>
        <v/>
      </c>
      <c r="G497" s="1">
        <f>IF(ISNUMBER(B497),YEAR(B497),"")</f>
        <v/>
      </c>
      <c r="H497">
        <f>IF(ISNUMBER(B497),YEAR(B497)*100+MONTH(B497),"")</f>
        <v/>
      </c>
    </row>
    <row r="498">
      <c r="A498" s="1" t="n"/>
      <c r="B498" s="17" t="n"/>
      <c r="C498" s="21" t="n"/>
      <c r="D498" s="19" t="n"/>
      <c r="E498" s="24" t="n"/>
      <c r="F498" s="11">
        <f>IF(AND(C498="",E498=""),"",IF(NOT(ISNUMBER(B498)),"Needs a date",IF(NOT(ISNUMBER(E498)),"Needs the amount","")))</f>
        <v/>
      </c>
      <c r="G498" s="1">
        <f>IF(ISNUMBER(B498),YEAR(B498),"")</f>
        <v/>
      </c>
      <c r="H498">
        <f>IF(ISNUMBER(B498),YEAR(B498)*100+MONTH(B498),"")</f>
        <v/>
      </c>
    </row>
    <row r="499">
      <c r="A499" s="1" t="n"/>
      <c r="B499" s="17" t="n"/>
      <c r="C499" s="21" t="n"/>
      <c r="D499" s="19" t="n"/>
      <c r="E499" s="24" t="n"/>
      <c r="F499" s="11">
        <f>IF(AND(C499="",E499=""),"",IF(NOT(ISNUMBER(B499)),"Needs a date",IF(NOT(ISNUMBER(E499)),"Needs the amount","")))</f>
        <v/>
      </c>
      <c r="G499" s="1">
        <f>IF(ISNUMBER(B499),YEAR(B499),"")</f>
        <v/>
      </c>
      <c r="H499">
        <f>IF(ISNUMBER(B499),YEAR(B499)*100+MONTH(B499),"")</f>
        <v/>
      </c>
    </row>
    <row r="500">
      <c r="A500" s="1" t="n"/>
      <c r="B500" s="17" t="n"/>
      <c r="C500" s="21" t="n"/>
      <c r="D500" s="19" t="n"/>
      <c r="E500" s="24" t="n"/>
      <c r="F500" s="11">
        <f>IF(AND(C500="",E500=""),"",IF(NOT(ISNUMBER(B500)),"Needs a date",IF(NOT(ISNUMBER(E500)),"Needs the amount","")))</f>
        <v/>
      </c>
      <c r="G500" s="1">
        <f>IF(ISNUMBER(B500),YEAR(B500),"")</f>
        <v/>
      </c>
      <c r="H500">
        <f>IF(ISNUMBER(B500),YEAR(B500)*100+MONTH(B500),"")</f>
        <v/>
      </c>
    </row>
    <row r="501">
      <c r="A501" s="1" t="n"/>
      <c r="B501" s="17" t="n"/>
      <c r="C501" s="21" t="n"/>
      <c r="D501" s="19" t="n"/>
      <c r="E501" s="24" t="n"/>
      <c r="F501" s="11">
        <f>IF(AND(C501="",E501=""),"",IF(NOT(ISNUMBER(B501)),"Needs a date",IF(NOT(ISNUMBER(E501)),"Needs the amount","")))</f>
        <v/>
      </c>
      <c r="G501" s="1">
        <f>IF(ISNUMBER(B501),YEAR(B501),"")</f>
        <v/>
      </c>
      <c r="H501">
        <f>IF(ISNUMBER(B501),YEAR(B501)*100+MONTH(B501),"")</f>
        <v/>
      </c>
    </row>
    <row r="502">
      <c r="A502" s="1" t="n"/>
      <c r="B502" s="17" t="n"/>
      <c r="C502" s="21" t="n"/>
      <c r="D502" s="19" t="n"/>
      <c r="E502" s="24" t="n"/>
      <c r="F502" s="11">
        <f>IF(AND(C502="",E502=""),"",IF(NOT(ISNUMBER(B502)),"Needs a date",IF(NOT(ISNUMBER(E502)),"Needs the amount","")))</f>
        <v/>
      </c>
      <c r="G502" s="1">
        <f>IF(ISNUMBER(B502),YEAR(B502),"")</f>
        <v/>
      </c>
      <c r="H502">
        <f>IF(ISNUMBER(B502),YEAR(B502)*100+MONTH(B502),"")</f>
        <v/>
      </c>
    </row>
    <row r="503">
      <c r="A503" s="1" t="n"/>
      <c r="B503" s="17" t="n"/>
      <c r="C503" s="21" t="n"/>
      <c r="D503" s="19" t="n"/>
      <c r="E503" s="24" t="n"/>
      <c r="F503" s="11">
        <f>IF(AND(C503="",E503=""),"",IF(NOT(ISNUMBER(B503)),"Needs a date",IF(NOT(ISNUMBER(E503)),"Needs the amount","")))</f>
        <v/>
      </c>
      <c r="G503" s="1">
        <f>IF(ISNUMBER(B503),YEAR(B503),"")</f>
        <v/>
      </c>
      <c r="H503">
        <f>IF(ISNUMBER(B503),YEAR(B503)*100+MONTH(B503),"")</f>
        <v/>
      </c>
    </row>
    <row r="504">
      <c r="A504" s="1" t="n"/>
      <c r="B504" s="17" t="n"/>
      <c r="C504" s="21" t="n"/>
      <c r="D504" s="19" t="n"/>
      <c r="E504" s="24" t="n"/>
      <c r="F504" s="11">
        <f>IF(AND(C504="",E504=""),"",IF(NOT(ISNUMBER(B504)),"Needs a date",IF(NOT(ISNUMBER(E504)),"Needs the amount","")))</f>
        <v/>
      </c>
      <c r="G504" s="1">
        <f>IF(ISNUMBER(B504),YEAR(B504),"")</f>
        <v/>
      </c>
      <c r="H504">
        <f>IF(ISNUMBER(B504),YEAR(B504)*100+MONTH(B504),"")</f>
        <v/>
      </c>
    </row>
    <row r="505">
      <c r="A505" s="1" t="n"/>
      <c r="B505" s="17" t="n"/>
      <c r="C505" s="21" t="n"/>
      <c r="D505" s="19" t="n"/>
      <c r="E505" s="24" t="n"/>
      <c r="F505" s="11">
        <f>IF(AND(C505="",E505=""),"",IF(NOT(ISNUMBER(B505)),"Needs a date",IF(NOT(ISNUMBER(E505)),"Needs the amount","")))</f>
        <v/>
      </c>
      <c r="G505" s="1">
        <f>IF(ISNUMBER(B505),YEAR(B505),"")</f>
        <v/>
      </c>
      <c r="H505">
        <f>IF(ISNUMBER(B505),YEAR(B505)*100+MONTH(B505),"")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</row>
  </sheetData>
  <conditionalFormatting sqref="F6:F505">
    <cfRule type="expression" priority="1" dxfId="1">
      <formula>F6&lt;&gt;""</formula>
    </cfRule>
  </conditionalFormatting>
  <dataValidations count="1">
    <dataValidation sqref="D6:D505" showDropDown="0" showInputMessage="0" showErrorMessage="0" allowBlank="1" type="list">
      <formula1>"Seeds,Plants,Soil and compost,Tools,Water,Other"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58" customWidth="1" min="5" max="5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H1" t="inlineStr">
        <is>
          <t>Jan</t>
        </is>
      </c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  <c r="H2" t="inlineStr">
        <is>
          <t>Feb</t>
        </is>
      </c>
    </row>
    <row r="3">
      <c r="A3" s="1" t="n"/>
      <c r="B3" s="3" t="inlineStr">
        <is>
          <t>The garden's name, the year shown, and when a bed needs water again.</t>
        </is>
      </c>
      <c r="C3" s="1" t="n"/>
      <c r="D3" s="1" t="n"/>
      <c r="E3" s="1" t="n"/>
      <c r="F3" s="1" t="n"/>
      <c r="H3" t="inlineStr">
        <is>
          <t>Mar</t>
        </is>
      </c>
    </row>
    <row r="4">
      <c r="A4" s="1" t="n"/>
      <c r="B4" s="32" t="inlineStr">
        <is>
          <t>Garden</t>
        </is>
      </c>
      <c r="C4" s="33" t="inlineStr">
        <is>
          <t>Back garden</t>
        </is>
      </c>
      <c r="D4" s="1" t="n"/>
      <c r="E4" s="27" t="inlineStr">
        <is>
          <t>On the Dashboard and the calendar.</t>
        </is>
      </c>
      <c r="F4" s="1" t="n"/>
      <c r="H4" t="inlineStr">
        <is>
          <t>Apr</t>
        </is>
      </c>
    </row>
    <row r="5">
      <c r="A5" s="1" t="n"/>
      <c r="B5" s="32" t="inlineStr">
        <is>
          <t>Year</t>
        </is>
      </c>
      <c r="C5" s="20">
        <f>YEAR(TODAY())</f>
        <v/>
      </c>
      <c r="D5" s="1" t="n"/>
      <c r="E5" s="27" t="inlineStr">
        <is>
          <t>The year on the Dashboard. Type another to look back.</t>
        </is>
      </c>
      <c r="F5" s="1" t="n"/>
      <c r="H5" t="inlineStr">
        <is>
          <t>May</t>
        </is>
      </c>
    </row>
    <row r="6">
      <c r="A6" s="1" t="n"/>
      <c r="B6" s="32" t="inlineStr">
        <is>
          <t>Currency</t>
        </is>
      </c>
      <c r="C6" s="19" t="inlineStr">
        <is>
          <t>USD</t>
        </is>
      </c>
      <c r="D6" s="1" t="n"/>
      <c r="E6" s="27" t="inlineStr">
        <is>
          <t>For the shop prices and the costs.</t>
        </is>
      </c>
      <c r="F6" s="1" t="n"/>
      <c r="H6" t="inlineStr">
        <is>
          <t>Jun</t>
        </is>
      </c>
    </row>
    <row r="7">
      <c r="A7" s="1" t="n"/>
      <c r="B7" s="32" t="inlineStr">
        <is>
          <t>Water again after (days)</t>
        </is>
      </c>
      <c r="C7" s="20" t="n">
        <v>3</v>
      </c>
      <c r="D7" s="1" t="n"/>
      <c r="E7" s="27" t="inlineStr">
        <is>
          <t>A bed shows Water when it has not been watered for this long.</t>
        </is>
      </c>
      <c r="F7" s="1" t="n"/>
      <c r="H7" t="inlineStr">
        <is>
          <t>Jul</t>
        </is>
      </c>
    </row>
    <row r="8">
      <c r="A8" s="1" t="n"/>
      <c r="B8" s="1" t="n"/>
      <c r="C8" s="1" t="n"/>
      <c r="D8" s="1" t="n"/>
      <c r="E8" s="1" t="n"/>
      <c r="F8" s="1" t="n"/>
      <c r="H8" t="inlineStr">
        <is>
          <t>Aug</t>
        </is>
      </c>
    </row>
    <row r="9">
      <c r="A9" s="1" t="n"/>
      <c r="B9" s="1" t="n"/>
      <c r="C9" s="1" t="n"/>
      <c r="D9" s="1" t="n"/>
      <c r="E9" s="1" t="n"/>
      <c r="F9" s="1" t="n"/>
      <c r="H9" t="inlineStr">
        <is>
          <t>Sep</t>
        </is>
      </c>
    </row>
    <row r="10">
      <c r="A10" s="1" t="n"/>
      <c r="B10" s="1" t="n"/>
      <c r="C10" s="1" t="n"/>
      <c r="D10" s="1" t="n"/>
      <c r="E10" s="1" t="n"/>
      <c r="F10" s="1" t="n"/>
      <c r="H10" t="inlineStr">
        <is>
          <t>Oct</t>
        </is>
      </c>
    </row>
    <row r="11">
      <c r="A11" s="1" t="n"/>
      <c r="B11" s="1" t="n"/>
      <c r="C11" s="1" t="n"/>
      <c r="D11" s="1" t="n"/>
      <c r="E11" s="1" t="n"/>
      <c r="F11" s="1" t="n"/>
      <c r="H11" t="inlineStr">
        <is>
          <t>Nov</t>
        </is>
      </c>
    </row>
    <row r="12">
      <c r="A12" s="1" t="n"/>
      <c r="B12" s="1" t="n"/>
      <c r="C12" s="1" t="n"/>
      <c r="D12" s="1" t="n"/>
      <c r="E12" s="1" t="n"/>
      <c r="F12" s="1" t="n"/>
      <c r="H12" t="inlineStr">
        <is>
          <t>Dec</t>
        </is>
      </c>
    </row>
    <row r="13">
      <c r="A13" s="1" t="n"/>
      <c r="B13" s="1" t="n"/>
      <c r="C13" s="1" t="n"/>
      <c r="D13" s="1" t="n"/>
      <c r="E13" s="1" t="n"/>
      <c r="F13" s="1" t="n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4" t="inlineStr">
        <is>
          <t>1</t>
        </is>
      </c>
      <c r="C5" s="35" t="inlineStr">
        <is>
          <t>Settings: the garden's name, and after how many days a bed needs water again.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4" t="inlineStr">
        <is>
          <t>2</t>
        </is>
      </c>
      <c r="C7" s="35" t="inlineStr">
        <is>
          <t>Beds and Crops: each bed once, and each crop with its shop price and the months you plan to sow, plant out and harvest it.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4" t="inlineStr">
        <is>
          <t>3</t>
        </is>
      </c>
      <c r="C9" s="35" t="inlineStr">
        <is>
          <t>Plantings: each time you sow or plant something, with the bed. A date under Cleared once it is finished.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4" t="inlineStr">
        <is>
          <t>4</t>
        </is>
      </c>
      <c r="C11" s="35" t="inlineStr">
        <is>
          <t>Harvest and Jobs: each time you pick something, and each watering or other job.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4" t="inlineStr">
        <is>
          <t>5</t>
        </is>
      </c>
      <c r="C13" s="35" t="inlineStr">
        <is>
          <t>Costs: seeds, plants, compost and tools, to see what the garden gave back.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garden and its months are made up. Your own months depend on where you live and on the weather, so use your seed packets and local advice.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Calendar: print it to keep in the shed.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 and any unit.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2026-09-28T20:40:33Z</dcterms:created>
  <dcterms:modified xsi:type="dcterms:W3CDTF">2026-09-28T20:40:37Z</dcterms:modified>
</cp:coreProperties>
</file>