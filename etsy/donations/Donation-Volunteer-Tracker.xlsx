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Gifts" sheetId="2" state="visible" r:id="rId2"/>
    <sheet name="Donors" sheetId="3" state="visible" r:id="rId3"/>
    <sheet name="Campaigns" sheetId="4" state="visible" r:id="rId4"/>
    <sheet name="Statement" sheetId="5" state="visible" r:id="rId5"/>
    <sheet name="Volunteers" sheetId="6" state="visible" r:id="rId6"/>
    <sheet name="Hours" sheetId="7" state="visible" r:id="rId7"/>
    <sheet name="Settings" sheetId="8" state="visible" r:id="rId8"/>
    <sheet name="Start Her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 MMM YYYY"/>
    <numFmt numFmtId="166" formatCode="0.#"/>
    <numFmt numFmtId="167" formatCode="d mmm"/>
    <numFmt numFmtId="168" formatCode="d mmm yy"/>
  </numFmts>
  <fonts count="22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color rgb="001E2A2F"/>
      <sz val="11"/>
    </font>
    <font>
      <name val="Arial"/>
      <b val="1"/>
      <color rgb="00FFFFFF"/>
      <sz val="11"/>
    </font>
    <font>
      <color rgb="001F6F78"/>
      <sz val="9"/>
    </font>
    <font>
      <name val="Arial"/>
      <b val="1"/>
      <color rgb="0015525A"/>
      <sz val="18"/>
    </font>
    <font>
      <name val="Arial"/>
      <color rgb="006B7B80"/>
      <sz val="10"/>
    </font>
    <font>
      <name val="Arial"/>
      <b val="1"/>
      <color rgb="0015525A"/>
      <sz val="15"/>
    </font>
    <font>
      <name val="Arial"/>
      <i val="1"/>
      <color rgb="006B7B80"/>
      <sz val="9"/>
    </font>
    <font>
      <name val="Arial"/>
      <b val="1"/>
      <color rgb="001E2A2F"/>
      <sz val="12"/>
    </font>
    <font>
      <name val="Arial"/>
      <b val="1"/>
      <color rgb="0015525A"/>
      <sz val="12"/>
    </font>
    <font>
      <name val="Arial"/>
      <b val="1"/>
      <color rgb="006B7B80"/>
      <sz val="11"/>
    </font>
    <font>
      <name val="Arial"/>
      <color rgb="001E2A2F"/>
      <sz val="10"/>
    </font>
    <font>
      <name val="Arial"/>
      <b val="1"/>
      <color rgb="006B7B80"/>
      <sz val="10"/>
    </font>
    <font>
      <name val="Arial"/>
      <b val="1"/>
      <color rgb="001F6F78"/>
      <sz val="16"/>
    </font>
    <font>
      <name val="Arial"/>
      <b val="1"/>
      <color rgb="00B86E1C"/>
      <sz val="16"/>
    </font>
    <font>
      <name val="Arial"/>
      <b val="1"/>
      <color rgb="00B23B2E"/>
      <sz val="16"/>
    </font>
    <font>
      <name val="Arial"/>
      <b val="1"/>
      <color rgb="001F6F78"/>
      <sz val="18"/>
    </font>
    <font>
      <name val="Arial"/>
      <color rgb="001E2A2F"/>
      <sz val="13"/>
    </font>
  </fonts>
  <fills count="5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FFF4C2"/>
        <bgColor rgb="00FFF4C2"/>
      </patternFill>
    </fill>
    <fill>
      <patternFill patternType="solid">
        <fgColor rgb="001F6F78"/>
        <bgColor rgb="001F6F78"/>
      </patternFill>
    </fill>
  </fills>
  <borders count="6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  <border>
      <left/>
      <right/>
      <top style="thin">
        <color rgb="00D5DBDB"/>
      </top>
      <bottom/>
      <diagonal/>
    </border>
    <border>
      <left/>
      <right style="thin">
        <color rgb="00D5DBDB"/>
      </right>
      <top style="thin">
        <color rgb="00D5DBDB"/>
      </top>
      <bottom/>
      <diagonal/>
    </border>
    <border>
      <left/>
      <right/>
      <top style="thin">
        <color rgb="00D5DBDB"/>
      </top>
      <bottom style="thin">
        <color rgb="00D5DBDB"/>
      </bottom>
      <diagonal/>
    </border>
    <border>
      <left/>
      <right style="thin">
        <color rgb="00D5DBDB"/>
      </right>
      <top style="thin">
        <color rgb="00D5DBDB"/>
      </top>
      <bottom style="thin">
        <color rgb="00D5DBDB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6" fillId="2" borderId="1" pivotButton="0" quotePrefix="0" xfId="0"/>
    <xf numFmtId="4" fontId="17" fillId="2" borderId="1" applyAlignment="1" pivotButton="0" quotePrefix="0" xfId="0">
      <alignment horizontal="right"/>
    </xf>
    <xf numFmtId="1" fontId="17" fillId="2" borderId="1" applyAlignment="1" pivotButton="0" quotePrefix="0" xfId="0">
      <alignment horizontal="right"/>
    </xf>
    <xf numFmtId="1" fontId="18" fillId="2" borderId="1" applyAlignment="1" pivotButton="0" quotePrefix="0" xfId="0">
      <alignment horizontal="right"/>
    </xf>
    <xf numFmtId="1" fontId="19" fillId="2" borderId="1" applyAlignment="1" pivotButton="0" quotePrefix="0" xfId="0">
      <alignment horizontal="right"/>
    </xf>
    <xf numFmtId="166" fontId="17" fillId="2" borderId="1" applyAlignment="1" pivotButton="0" quotePrefix="0" xfId="0">
      <alignment horizontal="right"/>
    </xf>
    <xf numFmtId="0" fontId="6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vertical="center"/>
    </xf>
    <xf numFmtId="4" fontId="5" fillId="2" borderId="1" applyAlignment="1" pivotButton="0" quotePrefix="0" xfId="0">
      <alignment vertical="center"/>
    </xf>
    <xf numFmtId="9" fontId="5" fillId="2" borderId="1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167" fontId="5" fillId="2" borderId="1" applyAlignment="1" pivotButton="0" quotePrefix="0" xfId="0">
      <alignment horizontal="center" vertical="center"/>
    </xf>
    <xf numFmtId="4" fontId="5" fillId="2" borderId="1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1" fontId="5" fillId="2" borderId="1" applyAlignment="1" pivotButton="0" quotePrefix="0" xfId="0">
      <alignment horizontal="center" vertical="center"/>
    </xf>
    <xf numFmtId="166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0" fontId="3" fillId="3" borderId="1" pivotButton="0" quotePrefix="0" xfId="0"/>
    <xf numFmtId="4" fontId="5" fillId="3" borderId="1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1" pivotButton="0" quotePrefix="0" xfId="0"/>
    <xf numFmtId="165" fontId="5" fillId="2" borderId="1" applyAlignment="1" pivotButton="0" quotePrefix="0" xfId="0">
      <alignment horizontal="center" vertical="center"/>
    </xf>
    <xf numFmtId="4" fontId="3" fillId="2" borderId="1" pivotButton="0" quotePrefix="0" xfId="0"/>
    <xf numFmtId="4" fontId="5" fillId="2" borderId="1" pivotButton="0" quotePrefix="0" xfId="0"/>
    <xf numFmtId="0" fontId="3" fillId="2" borderId="1" applyAlignment="1" pivotButton="0" quotePrefix="0" xfId="0">
      <alignment horizontal="center" vertical="center"/>
    </xf>
    <xf numFmtId="0" fontId="7" fillId="2" borderId="1" pivotButton="0" quotePrefix="0" xfId="0"/>
    <xf numFmtId="0" fontId="8" fillId="2" borderId="0" pivotButton="0" quotePrefix="0" xfId="0"/>
    <xf numFmtId="0" fontId="9" fillId="2" borderId="0" pivotButton="0" quotePrefix="0" xfId="0"/>
    <xf numFmtId="0" fontId="3" fillId="2" borderId="0" pivotButton="0" quotePrefix="0" xfId="0"/>
    <xf numFmtId="0" fontId="0" fillId="0" borderId="4" pivotButton="0" quotePrefix="0" xfId="0"/>
    <xf numFmtId="0" fontId="0" fillId="0" borderId="5" pivotButton="0" quotePrefix="0" xfId="0"/>
    <xf numFmtId="1" fontId="3" fillId="3" borderId="1" applyAlignment="1" pivotButton="0" quotePrefix="0" xfId="0">
      <alignment horizontal="left" vertical="center"/>
    </xf>
    <xf numFmtId="0" fontId="10" fillId="2" borderId="0" pivotButton="0" quotePrefix="0" xfId="0"/>
    <xf numFmtId="0" fontId="5" fillId="2" borderId="0" pivotButton="0" quotePrefix="0" xfId="0"/>
    <xf numFmtId="0" fontId="11" fillId="2" borderId="0" pivotButton="0" quotePrefix="0" xfId="0"/>
    <xf numFmtId="0" fontId="5" fillId="2" borderId="1" pivotButton="0" quotePrefix="0" xfId="0"/>
    <xf numFmtId="0" fontId="12" fillId="2" borderId="0" pivotButton="0" quotePrefix="0" xfId="0"/>
    <xf numFmtId="4" fontId="13" fillId="2" borderId="0" pivotButton="0" quotePrefix="0" xfId="0"/>
    <xf numFmtId="0" fontId="14" fillId="2" borderId="0" pivotButton="0" quotePrefix="0" xfId="0"/>
    <xf numFmtId="0" fontId="15" fillId="2" borderId="0" applyAlignment="1" pivotButton="0" quotePrefix="0" xfId="0">
      <alignment vertical="top" wrapText="1"/>
    </xf>
    <xf numFmtId="166" fontId="3" fillId="2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4" fillId="2" borderId="0" pivotButton="0" quotePrefix="0" xfId="0"/>
    <xf numFmtId="0" fontId="3" fillId="2" borderId="0" applyAlignment="1" pivotButton="0" quotePrefix="0" xfId="0">
      <alignment vertical="top"/>
    </xf>
    <xf numFmtId="0" fontId="5" fillId="3" borderId="1" applyAlignment="1" pivotButton="0" quotePrefix="0" xfId="0">
      <alignment vertical="top" wrapText="1"/>
    </xf>
    <xf numFmtId="0" fontId="4" fillId="2" borderId="0" applyAlignment="1" pivotButton="0" quotePrefix="0" xfId="0">
      <alignment vertical="top"/>
    </xf>
    <xf numFmtId="1" fontId="5" fillId="3" borderId="1" applyAlignment="1" pivotButton="0" quotePrefix="0" xfId="0">
      <alignment horizontal="center" vertical="center"/>
    </xf>
    <xf numFmtId="0" fontId="20" fillId="2" borderId="0" pivotButton="0" quotePrefix="0" xfId="0"/>
    <xf numFmtId="0" fontId="2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8F0DC"/>
          <bgColor rgb="00D8F0DC"/>
        </patternFill>
      </fill>
    </dxf>
    <dxf>
      <fill>
        <patternFill patternType="solid">
          <fgColor rgb="00F9C9C4"/>
          <bgColor rgb="00F9C9C4"/>
        </patternFill>
      </fill>
    </dxf>
    <dxf>
      <fill>
        <patternFill patternType="solid">
          <fgColor rgb="00FFE2B8"/>
          <bgColor rgb="00FFE2B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Given each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'Dashboard'!C15</f>
            </strRef>
          </tx>
          <spPr>
            <a:solidFill>
              <a:srgbClr val="1F6F78"/>
            </a:solidFill>
            <a:ln>
              <a:prstDash val="solid"/>
            </a:ln>
          </spPr>
          <cat>
            <numRef>
              <f>'Dashboard'!$B$16:$B$27</f>
            </numRef>
          </cat>
          <val>
            <numRef>
              <f>'Dashboard'!$C$16:$C$27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24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4" customWidth="1" min="3" max="3"/>
    <col width="14" customWidth="1" min="4" max="4"/>
    <col width="14" customWidth="1" min="5" max="5"/>
    <col width="3" customWidth="1" min="6" max="6"/>
    <col width="22" customWidth="1" min="7" max="7"/>
    <col width="13" customWidth="1" min="8" max="8"/>
    <col width="13" customWidth="1" min="9" max="9"/>
    <col width="13" customWidth="1" min="10" max="10"/>
    <col width="3" customWidth="1" min="11" max="11"/>
    <col hidden="1" width="13" customWidth="1" min="14" max="14"/>
    <col hidden="1" width="13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Giving and volunteering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>
        <f>"The year "&amp;Settings!$C$7&amp;", with the campaigns and the thank-you notes still to send."</f>
        <v/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4" t="inlineStr">
        <is>
          <t>Given this year</t>
        </is>
      </c>
      <c r="C4" s="4" t="inlineStr">
        <is>
          <t>Gifts</t>
        </is>
      </c>
      <c r="D4" s="4" t="inlineStr">
        <is>
          <t>Average gift</t>
        </is>
      </c>
      <c r="E4" s="4" t="inlineStr">
        <is>
          <t>Donors</t>
        </is>
      </c>
      <c r="F4" s="1" t="n"/>
      <c r="G4" s="4" t="inlineStr">
        <is>
          <t>New donors</t>
        </is>
      </c>
      <c r="H4" s="4" t="inlineStr">
        <is>
          <t>Lapsed</t>
        </is>
      </c>
      <c r="I4" s="4" t="inlineStr">
        <is>
          <t>To thank</t>
        </is>
      </c>
      <c r="J4" s="4" t="inlineStr">
        <is>
          <t>Volunteer hours</t>
        </is>
      </c>
      <c r="K4" s="1" t="n"/>
      <c r="L4" s="1" t="n"/>
    </row>
    <row r="5" ht="34" customHeight="1">
      <c r="A5" s="1" t="n"/>
      <c r="B5" s="5">
        <f>SUMIFS(Gifts!$D$6:$D$1005,Gifts!$K$6:$K$1005,Settings!$C$7,Gifts!$D$6:$D$1005,"&gt;0")</f>
        <v/>
      </c>
      <c r="C5" s="6">
        <f>SUMIFS(Gifts!$Q$6:$Q$1005,Gifts!$K$6:$K$1005,Settings!$C$7)</f>
        <v/>
      </c>
      <c r="D5" s="5">
        <f>IF(COUNTIFS(Gifts!$K$6:$K$1005,Settings!$C$7,Gifts!$D$6:$D$1005,"&gt;0")=0,"",B5/COUNTIFS(Gifts!$K$6:$K$1005,Settings!$C$7,Gifts!$D$6:$D$1005,"&gt;0"))</f>
        <v/>
      </c>
      <c r="E5" s="6">
        <f>COUNTIF(Donors!$N$6:$N$305,"&gt;0")</f>
        <v/>
      </c>
      <c r="F5" s="1" t="n"/>
      <c r="G5" s="6">
        <f>COUNTIFS(Donors!$F$6:$F$305,"&gt;="&amp;DATE(N(Settings!$C$7),1,1),Donors!$F$6:$F$305,"&lt;"&amp;DATE(N(Settings!$C$7)+1,1,1))</f>
        <v/>
      </c>
      <c r="H5" s="7">
        <f>COUNTIF(Donors!$K$6:$K$305,"Lapsed")</f>
        <v/>
      </c>
      <c r="I5" s="8">
        <f>COUNT(Gifts!$O$6:$O$1005)</f>
        <v/>
      </c>
      <c r="J5" s="9">
        <f>SUMIFS(Hours!$D$6:$D$1005,Hours!$I$6:$I$1005,Settings!$C$7,Hours!$D$6:$D$1005,"&gt;0")</f>
        <v/>
      </c>
      <c r="K5" s="1" t="n"/>
      <c r="L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30" customHeight="1">
      <c r="A7" s="1" t="n"/>
      <c r="B7" s="10" t="inlineStr">
        <is>
          <t>Campaign</t>
        </is>
      </c>
      <c r="C7" s="10" t="inlineStr">
        <is>
          <t>Goal</t>
        </is>
      </c>
      <c r="D7" s="10" t="inlineStr">
        <is>
          <t>Raised</t>
        </is>
      </c>
      <c r="E7" s="10" t="inlineStr">
        <is>
          <t>Of goal</t>
        </is>
      </c>
      <c r="F7" s="1" t="n"/>
      <c r="G7" s="10" t="inlineStr">
        <is>
          <t>To thank</t>
        </is>
      </c>
      <c r="H7" s="10" t="inlineStr">
        <is>
          <t>Date</t>
        </is>
      </c>
      <c r="I7" s="10" t="inlineStr">
        <is>
          <t>Amount</t>
        </is>
      </c>
      <c r="J7" s="10" t="inlineStr">
        <is>
          <t>Campaign</t>
        </is>
      </c>
      <c r="K7" s="1" t="n"/>
      <c r="L7" s="1" t="n"/>
    </row>
    <row r="8" ht="18" customHeight="1">
      <c r="A8" s="1" t="n"/>
      <c r="B8" s="11">
        <f>IF(Campaigns!B6="","",Campaigns!B6)</f>
        <v/>
      </c>
      <c r="C8" s="12">
        <f>IF(B8="","",IF(N(Campaigns!C6)=0,"",Campaigns!C6))</f>
        <v/>
      </c>
      <c r="D8" s="12">
        <f>IF(B8="","",Campaigns!F6)</f>
        <v/>
      </c>
      <c r="E8" s="13">
        <f>IF(B8="","",Campaigns!G6)</f>
        <v/>
      </c>
      <c r="F8" s="14" t="n"/>
      <c r="G8" s="11">
        <f>IF(N8="","",INDEX(Gifts!$C$1:$C$1005,MOD(N8,10000)))</f>
        <v/>
      </c>
      <c r="H8" s="15">
        <f>IF(N8="","",INDEX(Gifts!$B$1:$B$1005,MOD(N8,10000)))</f>
        <v/>
      </c>
      <c r="I8" s="16">
        <f>IF(N8="","",IF(N(INDEX(Gifts!$D$1:$D$1005,MOD(N8,10000)))=0,"Goods",INDEX(Gifts!$D$1:$D$1005,MOD(N8,10000))))</f>
        <v/>
      </c>
      <c r="J8" s="17">
        <f>IF(N8="","",IF(INDEX(Gifts!$F$1:$F$1005,MOD(N8,10000))="","",INDEX(Gifts!$F$1:$F$1005,MOD(N8,10000))))</f>
        <v/>
      </c>
      <c r="K8" s="1" t="n"/>
      <c r="L8" s="1" t="n"/>
      <c r="N8">
        <f>IFERROR(SMALL(Gifts!$O$6:$O$1005,1),"")</f>
        <v/>
      </c>
    </row>
    <row r="9" ht="18" customHeight="1">
      <c r="A9" s="1" t="n"/>
      <c r="B9" s="11">
        <f>IF(Campaigns!B7="","",Campaigns!B7)</f>
        <v/>
      </c>
      <c r="C9" s="12">
        <f>IF(B9="","",IF(N(Campaigns!C7)=0,"",Campaigns!C7))</f>
        <v/>
      </c>
      <c r="D9" s="12">
        <f>IF(B9="","",Campaigns!F7)</f>
        <v/>
      </c>
      <c r="E9" s="13">
        <f>IF(B9="","",Campaigns!G7)</f>
        <v/>
      </c>
      <c r="F9" s="14" t="n"/>
      <c r="G9" s="11">
        <f>IF(N9="","",INDEX(Gifts!$C$1:$C$1005,MOD(N9,10000)))</f>
        <v/>
      </c>
      <c r="H9" s="15">
        <f>IF(N9="","",INDEX(Gifts!$B$1:$B$1005,MOD(N9,10000)))</f>
        <v/>
      </c>
      <c r="I9" s="16">
        <f>IF(N9="","",IF(N(INDEX(Gifts!$D$1:$D$1005,MOD(N9,10000)))=0,"Goods",INDEX(Gifts!$D$1:$D$1005,MOD(N9,10000))))</f>
        <v/>
      </c>
      <c r="J9" s="17">
        <f>IF(N9="","",IF(INDEX(Gifts!$F$1:$F$1005,MOD(N9,10000))="","",INDEX(Gifts!$F$1:$F$1005,MOD(N9,10000))))</f>
        <v/>
      </c>
      <c r="K9" s="1" t="n"/>
      <c r="L9" s="1" t="n"/>
      <c r="N9">
        <f>IFERROR(SMALL(Gifts!$O$6:$O$1005,2),"")</f>
        <v/>
      </c>
    </row>
    <row r="10" ht="18" customHeight="1">
      <c r="A10" s="1" t="n"/>
      <c r="B10" s="11">
        <f>IF(Campaigns!B8="","",Campaigns!B8)</f>
        <v/>
      </c>
      <c r="C10" s="12">
        <f>IF(B10="","",IF(N(Campaigns!C8)=0,"",Campaigns!C8))</f>
        <v/>
      </c>
      <c r="D10" s="12">
        <f>IF(B10="","",Campaigns!F8)</f>
        <v/>
      </c>
      <c r="E10" s="13">
        <f>IF(B10="","",Campaigns!G8)</f>
        <v/>
      </c>
      <c r="F10" s="14" t="n"/>
      <c r="G10" s="11">
        <f>IF(N10="","",INDEX(Gifts!$C$1:$C$1005,MOD(N10,10000)))</f>
        <v/>
      </c>
      <c r="H10" s="15">
        <f>IF(N10="","",INDEX(Gifts!$B$1:$B$1005,MOD(N10,10000)))</f>
        <v/>
      </c>
      <c r="I10" s="16">
        <f>IF(N10="","",IF(N(INDEX(Gifts!$D$1:$D$1005,MOD(N10,10000)))=0,"Goods",INDEX(Gifts!$D$1:$D$1005,MOD(N10,10000))))</f>
        <v/>
      </c>
      <c r="J10" s="17">
        <f>IF(N10="","",IF(INDEX(Gifts!$F$1:$F$1005,MOD(N10,10000))="","",INDEX(Gifts!$F$1:$F$1005,MOD(N10,10000))))</f>
        <v/>
      </c>
      <c r="K10" s="1" t="n"/>
      <c r="L10" s="1" t="n"/>
      <c r="N10">
        <f>IFERROR(SMALL(Gifts!$O$6:$O$1005,3),"")</f>
        <v/>
      </c>
    </row>
    <row r="11" ht="18" customHeight="1">
      <c r="A11" s="1" t="n"/>
      <c r="B11" s="11">
        <f>IF(Campaigns!B9="","",Campaigns!B9)</f>
        <v/>
      </c>
      <c r="C11" s="12">
        <f>IF(B11="","",IF(N(Campaigns!C9)=0,"",Campaigns!C9))</f>
        <v/>
      </c>
      <c r="D11" s="12">
        <f>IF(B11="","",Campaigns!F9)</f>
        <v/>
      </c>
      <c r="E11" s="13">
        <f>IF(B11="","",Campaigns!G9)</f>
        <v/>
      </c>
      <c r="F11" s="14" t="n"/>
      <c r="G11" s="11">
        <f>IF(N11="","",INDEX(Gifts!$C$1:$C$1005,MOD(N11,10000)))</f>
        <v/>
      </c>
      <c r="H11" s="15">
        <f>IF(N11="","",INDEX(Gifts!$B$1:$B$1005,MOD(N11,10000)))</f>
        <v/>
      </c>
      <c r="I11" s="16">
        <f>IF(N11="","",IF(N(INDEX(Gifts!$D$1:$D$1005,MOD(N11,10000)))=0,"Goods",INDEX(Gifts!$D$1:$D$1005,MOD(N11,10000))))</f>
        <v/>
      </c>
      <c r="J11" s="17">
        <f>IF(N11="","",IF(INDEX(Gifts!$F$1:$F$1005,MOD(N11,10000))="","",INDEX(Gifts!$F$1:$F$1005,MOD(N11,10000))))</f>
        <v/>
      </c>
      <c r="K11" s="1" t="n"/>
      <c r="L11" s="1" t="n"/>
      <c r="N11">
        <f>IFERROR(SMALL(Gifts!$O$6:$O$1005,4),"")</f>
        <v/>
      </c>
    </row>
    <row r="12" ht="18" customHeight="1">
      <c r="A12" s="1" t="n"/>
      <c r="B12" s="11">
        <f>IF(Campaigns!B10="","",Campaigns!B10)</f>
        <v/>
      </c>
      <c r="C12" s="12">
        <f>IF(B12="","",IF(N(Campaigns!C10)=0,"",Campaigns!C10))</f>
        <v/>
      </c>
      <c r="D12" s="12">
        <f>IF(B12="","",Campaigns!F10)</f>
        <v/>
      </c>
      <c r="E12" s="13">
        <f>IF(B12="","",Campaigns!G10)</f>
        <v/>
      </c>
      <c r="F12" s="14" t="n"/>
      <c r="G12" s="11">
        <f>IF(N12="","",INDEX(Gifts!$C$1:$C$1005,MOD(N12,10000)))</f>
        <v/>
      </c>
      <c r="H12" s="15">
        <f>IF(N12="","",INDEX(Gifts!$B$1:$B$1005,MOD(N12,10000)))</f>
        <v/>
      </c>
      <c r="I12" s="16">
        <f>IF(N12="","",IF(N(INDEX(Gifts!$D$1:$D$1005,MOD(N12,10000)))=0,"Goods",INDEX(Gifts!$D$1:$D$1005,MOD(N12,10000))))</f>
        <v/>
      </c>
      <c r="J12" s="17">
        <f>IF(N12="","",IF(INDEX(Gifts!$F$1:$F$1005,MOD(N12,10000))="","",INDEX(Gifts!$F$1:$F$1005,MOD(N12,10000))))</f>
        <v/>
      </c>
      <c r="K12" s="1" t="n"/>
      <c r="L12" s="1" t="n"/>
      <c r="N12">
        <f>IFERROR(SMALL(Gifts!$O$6:$O$1005,5),"")</f>
        <v/>
      </c>
    </row>
    <row r="13" ht="18" customHeight="1">
      <c r="A13" s="1" t="n"/>
      <c r="B13" s="11">
        <f>IF(Campaigns!B11="","",Campaigns!B11)</f>
        <v/>
      </c>
      <c r="C13" s="12">
        <f>IF(B13="","",IF(N(Campaigns!C11)=0,"",Campaigns!C11))</f>
        <v/>
      </c>
      <c r="D13" s="12">
        <f>IF(B13="","",Campaigns!F11)</f>
        <v/>
      </c>
      <c r="E13" s="13">
        <f>IF(B13="","",Campaigns!G11)</f>
        <v/>
      </c>
      <c r="F13" s="14" t="n"/>
      <c r="G13" s="11">
        <f>IF(N13="","",INDEX(Gifts!$C$1:$C$1005,MOD(N13,10000)))</f>
        <v/>
      </c>
      <c r="H13" s="15">
        <f>IF(N13="","",INDEX(Gifts!$B$1:$B$1005,MOD(N13,10000)))</f>
        <v/>
      </c>
      <c r="I13" s="16">
        <f>IF(N13="","",IF(N(INDEX(Gifts!$D$1:$D$1005,MOD(N13,10000)))=0,"Goods",INDEX(Gifts!$D$1:$D$1005,MOD(N13,10000))))</f>
        <v/>
      </c>
      <c r="J13" s="17">
        <f>IF(N13="","",IF(INDEX(Gifts!$F$1:$F$1005,MOD(N13,10000))="","",INDEX(Gifts!$F$1:$F$1005,MOD(N13,10000))))</f>
        <v/>
      </c>
      <c r="K13" s="1" t="n"/>
      <c r="L13" s="1" t="n"/>
      <c r="N13">
        <f>IFERROR(SMALL(Gifts!$O$6:$O$1005,6),"")</f>
        <v/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</row>
    <row r="15" ht="30" customHeight="1">
      <c r="A15" s="1" t="n"/>
      <c r="B15" s="10" t="inlineStr">
        <is>
          <t>Month</t>
        </is>
      </c>
      <c r="C15" s="10" t="inlineStr">
        <is>
          <t>Given</t>
        </is>
      </c>
      <c r="D15" s="10" t="inlineStr">
        <is>
          <t>Gifts</t>
        </is>
      </c>
      <c r="E15" s="10" t="inlineStr">
        <is>
          <t>Hours</t>
        </is>
      </c>
      <c r="F15" s="1" t="n"/>
      <c r="G15" s="10" t="inlineStr">
        <is>
          <t>Top donors</t>
        </is>
      </c>
      <c r="H15" s="10" t="inlineStr">
        <is>
          <t>This year</t>
        </is>
      </c>
      <c r="I15" s="10" t="inlineStr">
        <is>
          <t>Gifts</t>
        </is>
      </c>
      <c r="J15" s="10" t="inlineStr">
        <is>
          <t>Last gift</t>
        </is>
      </c>
      <c r="K15" s="1" t="n"/>
      <c r="L15" s="1" t="n"/>
    </row>
    <row r="16" ht="18" customHeight="1">
      <c r="A16" s="1" t="n"/>
      <c r="B16" s="11" t="inlineStr">
        <is>
          <t>Jan</t>
        </is>
      </c>
      <c r="C16" s="12">
        <f>SUMIFS(Gifts!$D$6:$D$1005,Gifts!$L$6:$L$1005,(Settings!$C$7*100+1),Gifts!$D$6:$D$1005,"&gt;0")</f>
        <v/>
      </c>
      <c r="D16" s="18">
        <f>SUMIFS(Gifts!$Q$6:$Q$1005,Gifts!$L$6:$L$1005,(Settings!$C$7*100+1))</f>
        <v/>
      </c>
      <c r="E16" s="19">
        <f>SUMIFS(Hours!$D$6:$D$1005,Hours!$J$6:$J$1005,(Settings!$C$7*100+1),Hours!$D$6:$D$1005,"&gt;0")</f>
        <v/>
      </c>
      <c r="F16" s="14" t="n"/>
      <c r="G16" s="11">
        <f>IF(O16="","",INDEX(Donors!$B$1:$B$305,1000-MOD(O16,1000)))</f>
        <v/>
      </c>
      <c r="H16" s="12">
        <f>IF(O16="","",INDEX(Donors!$H$1:$H$305,1000-MOD(O16,1000)))</f>
        <v/>
      </c>
      <c r="I16" s="18">
        <f>IF(O16="","",INDEX(Donors!$N$1:$N$305,1000-MOD(O16,1000)))</f>
        <v/>
      </c>
      <c r="J16" s="20">
        <f>IF(O16="","",INDEX(Donors!$G$1:$G$305,1000-MOD(O16,1000)))</f>
        <v/>
      </c>
      <c r="K16" s="1" t="n"/>
      <c r="L16" s="1" t="n"/>
      <c r="O16">
        <f>IFERROR(LARGE(Donors!$M$6:$M$305,1),"")</f>
        <v/>
      </c>
    </row>
    <row r="17" ht="18" customHeight="1">
      <c r="A17" s="1" t="n"/>
      <c r="B17" s="11" t="inlineStr">
        <is>
          <t>Feb</t>
        </is>
      </c>
      <c r="C17" s="12">
        <f>SUMIFS(Gifts!$D$6:$D$1005,Gifts!$L$6:$L$1005,(Settings!$C$7*100+2),Gifts!$D$6:$D$1005,"&gt;0")</f>
        <v/>
      </c>
      <c r="D17" s="18">
        <f>SUMIFS(Gifts!$Q$6:$Q$1005,Gifts!$L$6:$L$1005,(Settings!$C$7*100+2))</f>
        <v/>
      </c>
      <c r="E17" s="19">
        <f>SUMIFS(Hours!$D$6:$D$1005,Hours!$J$6:$J$1005,(Settings!$C$7*100+2),Hours!$D$6:$D$1005,"&gt;0")</f>
        <v/>
      </c>
      <c r="F17" s="14" t="n"/>
      <c r="G17" s="11">
        <f>IF(O17="","",INDEX(Donors!$B$1:$B$305,1000-MOD(O17,1000)))</f>
        <v/>
      </c>
      <c r="H17" s="12">
        <f>IF(O17="","",INDEX(Donors!$H$1:$H$305,1000-MOD(O17,1000)))</f>
        <v/>
      </c>
      <c r="I17" s="18">
        <f>IF(O17="","",INDEX(Donors!$N$1:$N$305,1000-MOD(O17,1000)))</f>
        <v/>
      </c>
      <c r="J17" s="20">
        <f>IF(O17="","",INDEX(Donors!$G$1:$G$305,1000-MOD(O17,1000)))</f>
        <v/>
      </c>
      <c r="K17" s="1" t="n"/>
      <c r="L17" s="1" t="n"/>
      <c r="O17">
        <f>IFERROR(LARGE(Donors!$M$6:$M$305,2),"")</f>
        <v/>
      </c>
    </row>
    <row r="18" ht="18" customHeight="1">
      <c r="A18" s="1" t="n"/>
      <c r="B18" s="11" t="inlineStr">
        <is>
          <t>Mar</t>
        </is>
      </c>
      <c r="C18" s="12">
        <f>SUMIFS(Gifts!$D$6:$D$1005,Gifts!$L$6:$L$1005,(Settings!$C$7*100+3),Gifts!$D$6:$D$1005,"&gt;0")</f>
        <v/>
      </c>
      <c r="D18" s="18">
        <f>SUMIFS(Gifts!$Q$6:$Q$1005,Gifts!$L$6:$L$1005,(Settings!$C$7*100+3))</f>
        <v/>
      </c>
      <c r="E18" s="19">
        <f>SUMIFS(Hours!$D$6:$D$1005,Hours!$J$6:$J$1005,(Settings!$C$7*100+3),Hours!$D$6:$D$1005,"&gt;0")</f>
        <v/>
      </c>
      <c r="F18" s="14" t="n"/>
      <c r="G18" s="11">
        <f>IF(O18="","",INDEX(Donors!$B$1:$B$305,1000-MOD(O18,1000)))</f>
        <v/>
      </c>
      <c r="H18" s="12">
        <f>IF(O18="","",INDEX(Donors!$H$1:$H$305,1000-MOD(O18,1000)))</f>
        <v/>
      </c>
      <c r="I18" s="18">
        <f>IF(O18="","",INDEX(Donors!$N$1:$N$305,1000-MOD(O18,1000)))</f>
        <v/>
      </c>
      <c r="J18" s="20">
        <f>IF(O18="","",INDEX(Donors!$G$1:$G$305,1000-MOD(O18,1000)))</f>
        <v/>
      </c>
      <c r="K18" s="1" t="n"/>
      <c r="L18" s="1" t="n"/>
      <c r="O18">
        <f>IFERROR(LARGE(Donors!$M$6:$M$305,3),"")</f>
        <v/>
      </c>
    </row>
    <row r="19" ht="18" customHeight="1">
      <c r="A19" s="1" t="n"/>
      <c r="B19" s="11" t="inlineStr">
        <is>
          <t>Apr</t>
        </is>
      </c>
      <c r="C19" s="12">
        <f>SUMIFS(Gifts!$D$6:$D$1005,Gifts!$L$6:$L$1005,(Settings!$C$7*100+4),Gifts!$D$6:$D$1005,"&gt;0")</f>
        <v/>
      </c>
      <c r="D19" s="18">
        <f>SUMIFS(Gifts!$Q$6:$Q$1005,Gifts!$L$6:$L$1005,(Settings!$C$7*100+4))</f>
        <v/>
      </c>
      <c r="E19" s="19">
        <f>SUMIFS(Hours!$D$6:$D$1005,Hours!$J$6:$J$1005,(Settings!$C$7*100+4),Hours!$D$6:$D$1005,"&gt;0")</f>
        <v/>
      </c>
      <c r="F19" s="14" t="n"/>
      <c r="G19" s="11">
        <f>IF(O19="","",INDEX(Donors!$B$1:$B$305,1000-MOD(O19,1000)))</f>
        <v/>
      </c>
      <c r="H19" s="12">
        <f>IF(O19="","",INDEX(Donors!$H$1:$H$305,1000-MOD(O19,1000)))</f>
        <v/>
      </c>
      <c r="I19" s="18">
        <f>IF(O19="","",INDEX(Donors!$N$1:$N$305,1000-MOD(O19,1000)))</f>
        <v/>
      </c>
      <c r="J19" s="20">
        <f>IF(O19="","",INDEX(Donors!$G$1:$G$305,1000-MOD(O19,1000)))</f>
        <v/>
      </c>
      <c r="K19" s="1" t="n"/>
      <c r="L19" s="1" t="n"/>
      <c r="O19">
        <f>IFERROR(LARGE(Donors!$M$6:$M$305,4),"")</f>
        <v/>
      </c>
    </row>
    <row r="20" ht="18" customHeight="1">
      <c r="A20" s="1" t="n"/>
      <c r="B20" s="11" t="inlineStr">
        <is>
          <t>May</t>
        </is>
      </c>
      <c r="C20" s="12">
        <f>SUMIFS(Gifts!$D$6:$D$1005,Gifts!$L$6:$L$1005,(Settings!$C$7*100+5),Gifts!$D$6:$D$1005,"&gt;0")</f>
        <v/>
      </c>
      <c r="D20" s="18">
        <f>SUMIFS(Gifts!$Q$6:$Q$1005,Gifts!$L$6:$L$1005,(Settings!$C$7*100+5))</f>
        <v/>
      </c>
      <c r="E20" s="19">
        <f>SUMIFS(Hours!$D$6:$D$1005,Hours!$J$6:$J$1005,(Settings!$C$7*100+5),Hours!$D$6:$D$1005,"&gt;0")</f>
        <v/>
      </c>
      <c r="F20" s="14" t="n"/>
      <c r="G20" s="11">
        <f>IF(O20="","",INDEX(Donors!$B$1:$B$305,1000-MOD(O20,1000)))</f>
        <v/>
      </c>
      <c r="H20" s="12">
        <f>IF(O20="","",INDEX(Donors!$H$1:$H$305,1000-MOD(O20,1000)))</f>
        <v/>
      </c>
      <c r="I20" s="18">
        <f>IF(O20="","",INDEX(Donors!$N$1:$N$305,1000-MOD(O20,1000)))</f>
        <v/>
      </c>
      <c r="J20" s="20">
        <f>IF(O20="","",INDEX(Donors!$G$1:$G$305,1000-MOD(O20,1000)))</f>
        <v/>
      </c>
      <c r="K20" s="1" t="n"/>
      <c r="L20" s="1" t="n"/>
      <c r="O20">
        <f>IFERROR(LARGE(Donors!$M$6:$M$305,5),"")</f>
        <v/>
      </c>
    </row>
    <row r="21" ht="18" customHeight="1">
      <c r="A21" s="1" t="n"/>
      <c r="B21" s="11" t="inlineStr">
        <is>
          <t>Jun</t>
        </is>
      </c>
      <c r="C21" s="12">
        <f>SUMIFS(Gifts!$D$6:$D$1005,Gifts!$L$6:$L$1005,(Settings!$C$7*100+6),Gifts!$D$6:$D$1005,"&gt;0")</f>
        <v/>
      </c>
      <c r="D21" s="18">
        <f>SUMIFS(Gifts!$Q$6:$Q$1005,Gifts!$L$6:$L$1005,(Settings!$C$7*100+6))</f>
        <v/>
      </c>
      <c r="E21" s="19">
        <f>SUMIFS(Hours!$D$6:$D$1005,Hours!$J$6:$J$1005,(Settings!$C$7*100+6),Hours!$D$6:$D$1005,"&gt;0")</f>
        <v/>
      </c>
      <c r="F21" s="14" t="n"/>
      <c r="G21" s="11">
        <f>IF(O21="","",INDEX(Donors!$B$1:$B$305,1000-MOD(O21,1000)))</f>
        <v/>
      </c>
      <c r="H21" s="12">
        <f>IF(O21="","",INDEX(Donors!$H$1:$H$305,1000-MOD(O21,1000)))</f>
        <v/>
      </c>
      <c r="I21" s="18">
        <f>IF(O21="","",INDEX(Donors!$N$1:$N$305,1000-MOD(O21,1000)))</f>
        <v/>
      </c>
      <c r="J21" s="20">
        <f>IF(O21="","",INDEX(Donors!$G$1:$G$305,1000-MOD(O21,1000)))</f>
        <v/>
      </c>
      <c r="K21" s="1" t="n"/>
      <c r="L21" s="1" t="n"/>
      <c r="O21">
        <f>IFERROR(LARGE(Donors!$M$6:$M$305,6),"")</f>
        <v/>
      </c>
    </row>
    <row r="22" ht="18" customHeight="1">
      <c r="A22" s="1" t="n"/>
      <c r="B22" s="11" t="inlineStr">
        <is>
          <t>Jul</t>
        </is>
      </c>
      <c r="C22" s="12">
        <f>SUMIFS(Gifts!$D$6:$D$1005,Gifts!$L$6:$L$1005,(Settings!$C$7*100+7),Gifts!$D$6:$D$1005,"&gt;0")</f>
        <v/>
      </c>
      <c r="D22" s="18">
        <f>SUMIFS(Gifts!$Q$6:$Q$1005,Gifts!$L$6:$L$1005,(Settings!$C$7*100+7))</f>
        <v/>
      </c>
      <c r="E22" s="19">
        <f>SUMIFS(Hours!$D$6:$D$1005,Hours!$J$6:$J$1005,(Settings!$C$7*100+7),Hours!$D$6:$D$1005,"&gt;0")</f>
        <v/>
      </c>
      <c r="F22" s="14" t="n"/>
      <c r="G22" s="11">
        <f>IF(O22="","",INDEX(Donors!$B$1:$B$305,1000-MOD(O22,1000)))</f>
        <v/>
      </c>
      <c r="H22" s="12">
        <f>IF(O22="","",INDEX(Donors!$H$1:$H$305,1000-MOD(O22,1000)))</f>
        <v/>
      </c>
      <c r="I22" s="18">
        <f>IF(O22="","",INDEX(Donors!$N$1:$N$305,1000-MOD(O22,1000)))</f>
        <v/>
      </c>
      <c r="J22" s="20">
        <f>IF(O22="","",INDEX(Donors!$G$1:$G$305,1000-MOD(O22,1000)))</f>
        <v/>
      </c>
      <c r="K22" s="1" t="n"/>
      <c r="L22" s="1" t="n"/>
      <c r="O22">
        <f>IFERROR(LARGE(Donors!$M$6:$M$305,7),"")</f>
        <v/>
      </c>
    </row>
    <row r="23" ht="18" customHeight="1">
      <c r="A23" s="1" t="n"/>
      <c r="B23" s="11" t="inlineStr">
        <is>
          <t>Aug</t>
        </is>
      </c>
      <c r="C23" s="12">
        <f>SUMIFS(Gifts!$D$6:$D$1005,Gifts!$L$6:$L$1005,(Settings!$C$7*100+8),Gifts!$D$6:$D$1005,"&gt;0")</f>
        <v/>
      </c>
      <c r="D23" s="18">
        <f>SUMIFS(Gifts!$Q$6:$Q$1005,Gifts!$L$6:$L$1005,(Settings!$C$7*100+8))</f>
        <v/>
      </c>
      <c r="E23" s="19">
        <f>SUMIFS(Hours!$D$6:$D$1005,Hours!$J$6:$J$1005,(Settings!$C$7*100+8),Hours!$D$6:$D$1005,"&gt;0")</f>
        <v/>
      </c>
      <c r="F23" s="14" t="n"/>
      <c r="G23" s="11">
        <f>IF(O23="","",INDEX(Donors!$B$1:$B$305,1000-MOD(O23,1000)))</f>
        <v/>
      </c>
      <c r="H23" s="12">
        <f>IF(O23="","",INDEX(Donors!$H$1:$H$305,1000-MOD(O23,1000)))</f>
        <v/>
      </c>
      <c r="I23" s="18">
        <f>IF(O23="","",INDEX(Donors!$N$1:$N$305,1000-MOD(O23,1000)))</f>
        <v/>
      </c>
      <c r="J23" s="20">
        <f>IF(O23="","",INDEX(Donors!$G$1:$G$305,1000-MOD(O23,1000)))</f>
        <v/>
      </c>
      <c r="K23" s="1" t="n"/>
      <c r="L23" s="1" t="n"/>
      <c r="O23">
        <f>IFERROR(LARGE(Donors!$M$6:$M$305,8),"")</f>
        <v/>
      </c>
    </row>
    <row r="24" ht="18" customHeight="1">
      <c r="A24" s="1" t="n"/>
      <c r="B24" s="11" t="inlineStr">
        <is>
          <t>Sep</t>
        </is>
      </c>
      <c r="C24" s="12">
        <f>SUMIFS(Gifts!$D$6:$D$1005,Gifts!$L$6:$L$1005,(Settings!$C$7*100+9),Gifts!$D$6:$D$1005,"&gt;0")</f>
        <v/>
      </c>
      <c r="D24" s="18">
        <f>SUMIFS(Gifts!$Q$6:$Q$1005,Gifts!$L$6:$L$1005,(Settings!$C$7*100+9))</f>
        <v/>
      </c>
      <c r="E24" s="19">
        <f>SUMIFS(Hours!$D$6:$D$1005,Hours!$J$6:$J$1005,(Settings!$C$7*100+9),Hours!$D$6:$D$1005,"&gt;0")</f>
        <v/>
      </c>
      <c r="F24" s="14" t="n"/>
      <c r="G24" s="14" t="n"/>
      <c r="H24" s="14" t="n"/>
      <c r="I24" s="14" t="n"/>
      <c r="J24" s="14" t="n"/>
      <c r="K24" s="1" t="n"/>
      <c r="L24" s="1" t="n"/>
    </row>
    <row r="25" ht="18" customHeight="1">
      <c r="A25" s="1" t="n"/>
      <c r="B25" s="11" t="inlineStr">
        <is>
          <t>Oct</t>
        </is>
      </c>
      <c r="C25" s="12">
        <f>SUMIFS(Gifts!$D$6:$D$1005,Gifts!$L$6:$L$1005,(Settings!$C$7*100+10),Gifts!$D$6:$D$1005,"&gt;0")</f>
        <v/>
      </c>
      <c r="D25" s="18">
        <f>SUMIFS(Gifts!$Q$6:$Q$1005,Gifts!$L$6:$L$1005,(Settings!$C$7*100+10))</f>
        <v/>
      </c>
      <c r="E25" s="19">
        <f>SUMIFS(Hours!$D$6:$D$1005,Hours!$J$6:$J$1005,(Settings!$C$7*100+10),Hours!$D$6:$D$1005,"&gt;0")</f>
        <v/>
      </c>
      <c r="F25" s="14" t="n"/>
      <c r="G25" s="14" t="n"/>
      <c r="H25" s="14" t="n"/>
      <c r="I25" s="14" t="n"/>
      <c r="J25" s="14" t="n"/>
      <c r="K25" s="1" t="n"/>
      <c r="L25" s="1" t="n"/>
    </row>
    <row r="26" ht="18" customHeight="1">
      <c r="A26" s="1" t="n"/>
      <c r="B26" s="11" t="inlineStr">
        <is>
          <t>Nov</t>
        </is>
      </c>
      <c r="C26" s="12">
        <f>SUMIFS(Gifts!$D$6:$D$1005,Gifts!$L$6:$L$1005,(Settings!$C$7*100+11),Gifts!$D$6:$D$1005,"&gt;0")</f>
        <v/>
      </c>
      <c r="D26" s="18">
        <f>SUMIFS(Gifts!$Q$6:$Q$1005,Gifts!$L$6:$L$1005,(Settings!$C$7*100+11))</f>
        <v/>
      </c>
      <c r="E26" s="19">
        <f>SUMIFS(Hours!$D$6:$D$1005,Hours!$J$6:$J$1005,(Settings!$C$7*100+11),Hours!$D$6:$D$1005,"&gt;0")</f>
        <v/>
      </c>
      <c r="F26" s="14" t="n"/>
      <c r="G26" s="14" t="n"/>
      <c r="H26" s="14" t="n"/>
      <c r="I26" s="14" t="n"/>
      <c r="J26" s="14" t="n"/>
      <c r="K26" s="1" t="n"/>
      <c r="L26" s="1" t="n"/>
    </row>
    <row r="27" ht="18" customHeight="1">
      <c r="A27" s="1" t="n"/>
      <c r="B27" s="11" t="inlineStr">
        <is>
          <t>Dec</t>
        </is>
      </c>
      <c r="C27" s="12">
        <f>SUMIFS(Gifts!$D$6:$D$1005,Gifts!$L$6:$L$1005,(Settings!$C$7*100+12),Gifts!$D$6:$D$1005,"&gt;0")</f>
        <v/>
      </c>
      <c r="D27" s="18">
        <f>SUMIFS(Gifts!$Q$6:$Q$1005,Gifts!$L$6:$L$1005,(Settings!$C$7*100+12))</f>
        <v/>
      </c>
      <c r="E27" s="19">
        <f>SUMIFS(Hours!$D$6:$D$1005,Hours!$J$6:$J$1005,(Settings!$C$7*100+12),Hours!$D$6:$D$1005,"&gt;0")</f>
        <v/>
      </c>
      <c r="F27" s="14" t="n"/>
      <c r="G27" s="14" t="n"/>
      <c r="H27" s="14" t="n"/>
      <c r="I27" s="14" t="n"/>
      <c r="J27" s="14" t="n"/>
      <c r="K27" s="1" t="n"/>
      <c r="L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</row>
  </sheetData>
  <conditionalFormatting sqref="E8:E13">
    <cfRule type="expression" priority="1" dxfId="0">
      <formula>AND(ISNUMBER(E8),E8&gt;=1)</formula>
    </cfRule>
  </conditionalFormatting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6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4" customWidth="1" min="3" max="3"/>
    <col width="11" customWidth="1" min="4" max="4"/>
    <col width="14" customWidth="1" min="5" max="5"/>
    <col width="20" customWidth="1" min="6" max="6"/>
    <col width="22" customWidth="1" min="7" max="7"/>
    <col width="9" customWidth="1" min="8" max="8"/>
    <col width="18" customWidth="1" min="9" max="9"/>
    <col width="20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2" customHeight="1">
      <c r="A2" s="1" t="n"/>
      <c r="B2" s="2" t="inlineStr">
        <is>
          <t>Gifts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3" t="inlineStr">
        <is>
          <t>Every gift, with its campaign. For goods, leave the amount empty and say what was given. An x once the donor has been thanked.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30" customHeight="1">
      <c r="A5" s="1" t="n"/>
      <c r="B5" s="10" t="inlineStr">
        <is>
          <t>Date</t>
        </is>
      </c>
      <c r="C5" s="10" t="inlineStr">
        <is>
          <t>Donor</t>
        </is>
      </c>
      <c r="D5" s="10" t="inlineStr">
        <is>
          <t>Amount</t>
        </is>
      </c>
      <c r="E5" s="10" t="inlineStr">
        <is>
          <t>How</t>
        </is>
      </c>
      <c r="F5" s="10" t="inlineStr">
        <is>
          <t>Campaign</t>
        </is>
      </c>
      <c r="G5" s="10" t="inlineStr">
        <is>
          <t>Goods given</t>
        </is>
      </c>
      <c r="H5" s="10" t="inlineStr">
        <is>
          <t>Thanked</t>
        </is>
      </c>
      <c r="I5" s="10" t="inlineStr">
        <is>
          <t>Note</t>
        </is>
      </c>
      <c r="J5" s="10" t="inlineStr">
        <is>
          <t>Check</t>
        </is>
      </c>
      <c r="K5" s="1" t="n"/>
    </row>
    <row r="6">
      <c r="A6" s="1" t="n"/>
      <c r="B6" s="21" t="n">
        <v>45843</v>
      </c>
      <c r="C6" s="22" t="inlineStr">
        <is>
          <t>Grace Holloway</t>
        </is>
      </c>
      <c r="D6" s="23" t="n">
        <v>25</v>
      </c>
      <c r="E6" s="24" t="inlineStr">
        <is>
          <t>Bank transfer</t>
        </is>
      </c>
      <c r="F6" s="25" t="inlineStr">
        <is>
          <t>General fund</t>
        </is>
      </c>
      <c r="G6" s="25" t="n"/>
      <c r="H6" s="24" t="inlineStr">
        <is>
          <t>x</t>
        </is>
      </c>
      <c r="I6" s="25" t="inlineStr">
        <is>
          <t>Monthly</t>
        </is>
      </c>
      <c r="J6" s="17">
        <f>IF(AND(C6="",D6="",G6=""),"",IF(NOT(ISNUMBER(B6)),"Needs a date",IF(AND(D6&lt;&gt;"",NOT(ISNUMBER(D6))),"Amount not a number",IF(N(D6)&lt;0,"Amount below zero",IF(AND(N(D6)=0,G6=""),"Needs an amount or goods",IF(C6="","",IF(COUNTIF(Donors!$B$6:$B$305,C6)=0,"Not on Donors","")))))))</f>
        <v/>
      </c>
      <c r="K6" s="1">
        <f>IF(ISNUMBER(B6),YEAR(B6),"")</f>
        <v/>
      </c>
      <c r="L6">
        <f>IF(ISNUMBER(B6),YEAR(B6)*100+MONTH(B6),"")</f>
        <v/>
      </c>
      <c r="M6">
        <f>IF(ISNUMBER(B6),INT(B6),0)</f>
        <v/>
      </c>
      <c r="N6">
        <f>IF(OR(C6="",F6="",Q6=0),0,IF(COUNTIFS(C$6:C6,C6,F$6:F6,F6,Q$6:Q6,1)=1,1,0))</f>
        <v/>
      </c>
      <c r="O6">
        <f>IF(OR(C6="",Q6=0,H6&lt;&gt;""),"",M6*10000+ROW())</f>
        <v/>
      </c>
      <c r="P6">
        <f>IF(OR(C6="",Q6=0),"",IF(AND(C6=Statement!$C$4,K6=Statement!$C$5),M6*10000+ROW(),""))</f>
        <v/>
      </c>
      <c r="Q6">
        <f>IF(AND(ISNUMBER(B6),OR(N(D6)&gt;0,G6&lt;&gt;"")),1,0)</f>
        <v/>
      </c>
    </row>
    <row r="7">
      <c r="A7" s="1" t="n"/>
      <c r="B7" s="21" t="n">
        <v>45846</v>
      </c>
      <c r="C7" s="22" t="inlineStr">
        <is>
          <t>Ravi Patel</t>
        </is>
      </c>
      <c r="D7" s="23" t="n">
        <v>20</v>
      </c>
      <c r="E7" s="24" t="inlineStr">
        <is>
          <t>Bank transfer</t>
        </is>
      </c>
      <c r="F7" s="25" t="inlineStr">
        <is>
          <t>General fund</t>
        </is>
      </c>
      <c r="G7" s="25" t="n"/>
      <c r="H7" s="24" t="inlineStr">
        <is>
          <t>x</t>
        </is>
      </c>
      <c r="I7" s="25" t="inlineStr">
        <is>
          <t>Monthly</t>
        </is>
      </c>
      <c r="J7" s="17">
        <f>IF(AND(C7="",D7="",G7=""),"",IF(NOT(ISNUMBER(B7)),"Needs a date",IF(AND(D7&lt;&gt;"",NOT(ISNUMBER(D7))),"Amount not a number",IF(N(D7)&lt;0,"Amount below zero",IF(AND(N(D7)=0,G7=""),"Needs an amount or goods",IF(C7="","",IF(COUNTIF(Donors!$B$6:$B$305,C7)=0,"Not on Donors","")))))))</f>
        <v/>
      </c>
      <c r="K7" s="1">
        <f>IF(ISNUMBER(B7),YEAR(B7),"")</f>
        <v/>
      </c>
      <c r="L7">
        <f>IF(ISNUMBER(B7),YEAR(B7)*100+MONTH(B7),"")</f>
        <v/>
      </c>
      <c r="M7">
        <f>IF(ISNUMBER(B7),INT(B7),0)</f>
        <v/>
      </c>
      <c r="N7">
        <f>IF(OR(C7="",F7="",Q7=0),0,IF(COUNTIFS(C$6:C7,C7,F$6:F7,F7,Q$6:Q7,1)=1,1,0))</f>
        <v/>
      </c>
      <c r="O7">
        <f>IF(OR(C7="",Q7=0,H7&lt;&gt;""),"",M7*10000+ROW())</f>
        <v/>
      </c>
      <c r="P7">
        <f>IF(OR(C7="",Q7=0),"",IF(AND(C7=Statement!$C$4,K7=Statement!$C$5),M7*10000+ROW(),""))</f>
        <v/>
      </c>
      <c r="Q7">
        <f>IF(AND(ISNUMBER(B7),OR(N(D7)&gt;0,G7&lt;&gt;"")),1,0)</f>
        <v/>
      </c>
    </row>
    <row r="8">
      <c r="A8" s="1" t="n"/>
      <c r="B8" s="21" t="n">
        <v>45847</v>
      </c>
      <c r="C8" s="22" t="inlineStr">
        <is>
          <t>Helen Price</t>
        </is>
      </c>
      <c r="D8" s="23" t="n">
        <v>10</v>
      </c>
      <c r="E8" s="24" t="inlineStr">
        <is>
          <t>Bank transfer</t>
        </is>
      </c>
      <c r="F8" s="25" t="inlineStr">
        <is>
          <t>General fund</t>
        </is>
      </c>
      <c r="G8" s="25" t="n"/>
      <c r="H8" s="24" t="inlineStr">
        <is>
          <t>x</t>
        </is>
      </c>
      <c r="I8" s="25" t="inlineStr">
        <is>
          <t>Monthly</t>
        </is>
      </c>
      <c r="J8" s="17">
        <f>IF(AND(C8="",D8="",G8=""),"",IF(NOT(ISNUMBER(B8)),"Needs a date",IF(AND(D8&lt;&gt;"",NOT(ISNUMBER(D8))),"Amount not a number",IF(N(D8)&lt;0,"Amount below zero",IF(AND(N(D8)=0,G8=""),"Needs an amount or goods",IF(C8="","",IF(COUNTIF(Donors!$B$6:$B$305,C8)=0,"Not on Donors","")))))))</f>
        <v/>
      </c>
      <c r="K8" s="1">
        <f>IF(ISNUMBER(B8),YEAR(B8),"")</f>
        <v/>
      </c>
      <c r="L8">
        <f>IF(ISNUMBER(B8),YEAR(B8)*100+MONTH(B8),"")</f>
        <v/>
      </c>
      <c r="M8">
        <f>IF(ISNUMBER(B8),INT(B8),0)</f>
        <v/>
      </c>
      <c r="N8">
        <f>IF(OR(C8="",F8="",Q8=0),0,IF(COUNTIFS(C$6:C8,C8,F$6:F8,F8,Q$6:Q8,1)=1,1,0))</f>
        <v/>
      </c>
      <c r="O8">
        <f>IF(OR(C8="",Q8=0,H8&lt;&gt;""),"",M8*10000+ROW())</f>
        <v/>
      </c>
      <c r="P8">
        <f>IF(OR(C8="",Q8=0),"",IF(AND(C8=Statement!$C$4,K8=Statement!$C$5),M8*10000+ROW(),""))</f>
        <v/>
      </c>
      <c r="Q8">
        <f>IF(AND(ISNUMBER(B8),OR(N(D8)&gt;0,G8&lt;&gt;"")),1,0)</f>
        <v/>
      </c>
    </row>
    <row r="9">
      <c r="A9" s="1" t="n"/>
      <c r="B9" s="21" t="n">
        <v>45847</v>
      </c>
      <c r="C9" s="22" t="inlineStr">
        <is>
          <t>Amina Yusuf</t>
        </is>
      </c>
      <c r="D9" s="23" t="n">
        <v>15</v>
      </c>
      <c r="E9" s="24" t="inlineStr">
        <is>
          <t>Bank transfer</t>
        </is>
      </c>
      <c r="F9" s="25" t="inlineStr">
        <is>
          <t>General fund</t>
        </is>
      </c>
      <c r="G9" s="25" t="n"/>
      <c r="H9" s="24" t="inlineStr">
        <is>
          <t>x</t>
        </is>
      </c>
      <c r="I9" s="25" t="inlineStr">
        <is>
          <t>Monthly</t>
        </is>
      </c>
      <c r="J9" s="17">
        <f>IF(AND(C9="",D9="",G9=""),"",IF(NOT(ISNUMBER(B9)),"Needs a date",IF(AND(D9&lt;&gt;"",NOT(ISNUMBER(D9))),"Amount not a number",IF(N(D9)&lt;0,"Amount below zero",IF(AND(N(D9)=0,G9=""),"Needs an amount or goods",IF(C9="","",IF(COUNTIF(Donors!$B$6:$B$305,C9)=0,"Not on Donors","")))))))</f>
        <v/>
      </c>
      <c r="K9" s="1">
        <f>IF(ISNUMBER(B9),YEAR(B9),"")</f>
        <v/>
      </c>
      <c r="L9">
        <f>IF(ISNUMBER(B9),YEAR(B9)*100+MONTH(B9),"")</f>
        <v/>
      </c>
      <c r="M9">
        <f>IF(ISNUMBER(B9),INT(B9),0)</f>
        <v/>
      </c>
      <c r="N9">
        <f>IF(OR(C9="",F9="",Q9=0),0,IF(COUNTIFS(C$6:C9,C9,F$6:F9,F9,Q$6:Q9,1)=1,1,0))</f>
        <v/>
      </c>
      <c r="O9">
        <f>IF(OR(C9="",Q9=0,H9&lt;&gt;""),"",M9*10000+ROW())</f>
        <v/>
      </c>
      <c r="P9">
        <f>IF(OR(C9="",Q9=0),"",IF(AND(C9=Statement!$C$4,K9=Statement!$C$5),M9*10000+ROW(),""))</f>
        <v/>
      </c>
      <c r="Q9">
        <f>IF(AND(ISNUMBER(B9),OR(N(D9)&gt;0,G9&lt;&gt;"")),1,0)</f>
        <v/>
      </c>
    </row>
    <row r="10">
      <c r="A10" s="1" t="n"/>
      <c r="B10" s="21" t="n">
        <v>45874</v>
      </c>
      <c r="C10" s="22" t="inlineStr">
        <is>
          <t>Grace Holloway</t>
        </is>
      </c>
      <c r="D10" s="23" t="n">
        <v>25</v>
      </c>
      <c r="E10" s="24" t="inlineStr">
        <is>
          <t>Bank transfer</t>
        </is>
      </c>
      <c r="F10" s="25" t="inlineStr">
        <is>
          <t>General fund</t>
        </is>
      </c>
      <c r="G10" s="25" t="n"/>
      <c r="H10" s="24" t="inlineStr">
        <is>
          <t>x</t>
        </is>
      </c>
      <c r="I10" s="25" t="inlineStr">
        <is>
          <t>Monthly</t>
        </is>
      </c>
      <c r="J10" s="17">
        <f>IF(AND(C10="",D10="",G10=""),"",IF(NOT(ISNUMBER(B10)),"Needs a date",IF(AND(D10&lt;&gt;"",NOT(ISNUMBER(D10))),"Amount not a number",IF(N(D10)&lt;0,"Amount below zero",IF(AND(N(D10)=0,G10=""),"Needs an amount or goods",IF(C10="","",IF(COUNTIF(Donors!$B$6:$B$305,C10)=0,"Not on Donors","")))))))</f>
        <v/>
      </c>
      <c r="K10" s="1">
        <f>IF(ISNUMBER(B10),YEAR(B10),"")</f>
        <v/>
      </c>
      <c r="L10">
        <f>IF(ISNUMBER(B10),YEAR(B10)*100+MONTH(B10),"")</f>
        <v/>
      </c>
      <c r="M10">
        <f>IF(ISNUMBER(B10),INT(B10),0)</f>
        <v/>
      </c>
      <c r="N10">
        <f>IF(OR(C10="",F10="",Q10=0),0,IF(COUNTIFS(C$6:C10,C10,F$6:F10,F10,Q$6:Q10,1)=1,1,0))</f>
        <v/>
      </c>
      <c r="O10">
        <f>IF(OR(C10="",Q10=0,H10&lt;&gt;""),"",M10*10000+ROW())</f>
        <v/>
      </c>
      <c r="P10">
        <f>IF(OR(C10="",Q10=0),"",IF(AND(C10=Statement!$C$4,K10=Statement!$C$5),M10*10000+ROW(),""))</f>
        <v/>
      </c>
      <c r="Q10">
        <f>IF(AND(ISNUMBER(B10),OR(N(D10)&gt;0,G10&lt;&gt;"")),1,0)</f>
        <v/>
      </c>
    </row>
    <row r="11">
      <c r="A11" s="1" t="n"/>
      <c r="B11" s="21" t="n">
        <v>45877</v>
      </c>
      <c r="C11" s="22" t="inlineStr">
        <is>
          <t>Ravi Patel</t>
        </is>
      </c>
      <c r="D11" s="23" t="n">
        <v>20</v>
      </c>
      <c r="E11" s="24" t="inlineStr">
        <is>
          <t>Bank transfer</t>
        </is>
      </c>
      <c r="F11" s="25" t="inlineStr">
        <is>
          <t>General fund</t>
        </is>
      </c>
      <c r="G11" s="25" t="n"/>
      <c r="H11" s="24" t="inlineStr">
        <is>
          <t>x</t>
        </is>
      </c>
      <c r="I11" s="25" t="inlineStr">
        <is>
          <t>Monthly</t>
        </is>
      </c>
      <c r="J11" s="17">
        <f>IF(AND(C11="",D11="",G11=""),"",IF(NOT(ISNUMBER(B11)),"Needs a date",IF(AND(D11&lt;&gt;"",NOT(ISNUMBER(D11))),"Amount not a number",IF(N(D11)&lt;0,"Amount below zero",IF(AND(N(D11)=0,G11=""),"Needs an amount or goods",IF(C11="","",IF(COUNTIF(Donors!$B$6:$B$305,C11)=0,"Not on Donors","")))))))</f>
        <v/>
      </c>
      <c r="K11" s="1">
        <f>IF(ISNUMBER(B11),YEAR(B11),"")</f>
        <v/>
      </c>
      <c r="L11">
        <f>IF(ISNUMBER(B11),YEAR(B11)*100+MONTH(B11),"")</f>
        <v/>
      </c>
      <c r="M11">
        <f>IF(ISNUMBER(B11),INT(B11),0)</f>
        <v/>
      </c>
      <c r="N11">
        <f>IF(OR(C11="",F11="",Q11=0),0,IF(COUNTIFS(C$6:C11,C11,F$6:F11,F11,Q$6:Q11,1)=1,1,0))</f>
        <v/>
      </c>
      <c r="O11">
        <f>IF(OR(C11="",Q11=0,H11&lt;&gt;""),"",M11*10000+ROW())</f>
        <v/>
      </c>
      <c r="P11">
        <f>IF(OR(C11="",Q11=0),"",IF(AND(C11=Statement!$C$4,K11=Statement!$C$5),M11*10000+ROW(),""))</f>
        <v/>
      </c>
      <c r="Q11">
        <f>IF(AND(ISNUMBER(B11),OR(N(D11)&gt;0,G11&lt;&gt;"")),1,0)</f>
        <v/>
      </c>
    </row>
    <row r="12">
      <c r="A12" s="1" t="n"/>
      <c r="B12" s="21" t="n">
        <v>45878</v>
      </c>
      <c r="C12" s="22" t="inlineStr">
        <is>
          <t>Helen Price</t>
        </is>
      </c>
      <c r="D12" s="23" t="n">
        <v>10</v>
      </c>
      <c r="E12" s="24" t="inlineStr">
        <is>
          <t>Bank transfer</t>
        </is>
      </c>
      <c r="F12" s="25" t="inlineStr">
        <is>
          <t>General fund</t>
        </is>
      </c>
      <c r="G12" s="25" t="n"/>
      <c r="H12" s="24" t="inlineStr">
        <is>
          <t>x</t>
        </is>
      </c>
      <c r="I12" s="25" t="inlineStr">
        <is>
          <t>Monthly</t>
        </is>
      </c>
      <c r="J12" s="17">
        <f>IF(AND(C12="",D12="",G12=""),"",IF(NOT(ISNUMBER(B12)),"Needs a date",IF(AND(D12&lt;&gt;"",NOT(ISNUMBER(D12))),"Amount not a number",IF(N(D12)&lt;0,"Amount below zero",IF(AND(N(D12)=0,G12=""),"Needs an amount or goods",IF(C12="","",IF(COUNTIF(Donors!$B$6:$B$305,C12)=0,"Not on Donors","")))))))</f>
        <v/>
      </c>
      <c r="K12" s="1">
        <f>IF(ISNUMBER(B12),YEAR(B12),"")</f>
        <v/>
      </c>
      <c r="L12">
        <f>IF(ISNUMBER(B12),YEAR(B12)*100+MONTH(B12),"")</f>
        <v/>
      </c>
      <c r="M12">
        <f>IF(ISNUMBER(B12),INT(B12),0)</f>
        <v/>
      </c>
      <c r="N12">
        <f>IF(OR(C12="",F12="",Q12=0),0,IF(COUNTIFS(C$6:C12,C12,F$6:F12,F12,Q$6:Q12,1)=1,1,0))</f>
        <v/>
      </c>
      <c r="O12">
        <f>IF(OR(C12="",Q12=0,H12&lt;&gt;""),"",M12*10000+ROW())</f>
        <v/>
      </c>
      <c r="P12">
        <f>IF(OR(C12="",Q12=0),"",IF(AND(C12=Statement!$C$4,K12=Statement!$C$5),M12*10000+ROW(),""))</f>
        <v/>
      </c>
      <c r="Q12">
        <f>IF(AND(ISNUMBER(B12),OR(N(D12)&gt;0,G12&lt;&gt;"")),1,0)</f>
        <v/>
      </c>
    </row>
    <row r="13">
      <c r="A13" s="1" t="n"/>
      <c r="B13" s="21" t="n">
        <v>45878</v>
      </c>
      <c r="C13" s="22" t="inlineStr">
        <is>
          <t>Amina Yusuf</t>
        </is>
      </c>
      <c r="D13" s="23" t="n">
        <v>15</v>
      </c>
      <c r="E13" s="24" t="inlineStr">
        <is>
          <t>Bank transfer</t>
        </is>
      </c>
      <c r="F13" s="25" t="inlineStr">
        <is>
          <t>General fund</t>
        </is>
      </c>
      <c r="G13" s="25" t="n"/>
      <c r="H13" s="24" t="inlineStr">
        <is>
          <t>x</t>
        </is>
      </c>
      <c r="I13" s="25" t="inlineStr">
        <is>
          <t>Monthly</t>
        </is>
      </c>
      <c r="J13" s="17">
        <f>IF(AND(C13="",D13="",G13=""),"",IF(NOT(ISNUMBER(B13)),"Needs a date",IF(AND(D13&lt;&gt;"",NOT(ISNUMBER(D13))),"Amount not a number",IF(N(D13)&lt;0,"Amount below zero",IF(AND(N(D13)=0,G13=""),"Needs an amount or goods",IF(C13="","",IF(COUNTIF(Donors!$B$6:$B$305,C13)=0,"Not on Donors","")))))))</f>
        <v/>
      </c>
      <c r="K13" s="1">
        <f>IF(ISNUMBER(B13),YEAR(B13),"")</f>
        <v/>
      </c>
      <c r="L13">
        <f>IF(ISNUMBER(B13),YEAR(B13)*100+MONTH(B13),"")</f>
        <v/>
      </c>
      <c r="M13">
        <f>IF(ISNUMBER(B13),INT(B13),0)</f>
        <v/>
      </c>
      <c r="N13">
        <f>IF(OR(C13="",F13="",Q13=0),0,IF(COUNTIFS(C$6:C13,C13,F$6:F13,F13,Q$6:Q13,1)=1,1,0))</f>
        <v/>
      </c>
      <c r="O13">
        <f>IF(OR(C13="",Q13=0,H13&lt;&gt;""),"",M13*10000+ROW())</f>
        <v/>
      </c>
      <c r="P13">
        <f>IF(OR(C13="",Q13=0),"",IF(AND(C13=Statement!$C$4,K13=Statement!$C$5),M13*10000+ROW(),""))</f>
        <v/>
      </c>
      <c r="Q13">
        <f>IF(AND(ISNUMBER(B13),OR(N(D13)&gt;0,G13&lt;&gt;"")),1,0)</f>
        <v/>
      </c>
    </row>
    <row r="14">
      <c r="A14" s="1" t="n"/>
      <c r="B14" s="21" t="n">
        <v>45893</v>
      </c>
      <c r="C14" s="22" t="inlineStr">
        <is>
          <t>Riverton Hardware</t>
        </is>
      </c>
      <c r="D14" s="23" t="n">
        <v>400</v>
      </c>
      <c r="E14" s="24" t="inlineStr">
        <is>
          <t>Check</t>
        </is>
      </c>
      <c r="F14" s="25" t="inlineStr">
        <is>
          <t>General fund</t>
        </is>
      </c>
      <c r="G14" s="25" t="n"/>
      <c r="H14" s="24" t="inlineStr">
        <is>
          <t>x</t>
        </is>
      </c>
      <c r="I14" s="25" t="n"/>
      <c r="J14" s="17">
        <f>IF(AND(C14="",D14="",G14=""),"",IF(NOT(ISNUMBER(B14)),"Needs a date",IF(AND(D14&lt;&gt;"",NOT(ISNUMBER(D14))),"Amount not a number",IF(N(D14)&lt;0,"Amount below zero",IF(AND(N(D14)=0,G14=""),"Needs an amount or goods",IF(C14="","",IF(COUNTIF(Donors!$B$6:$B$305,C14)=0,"Not on Donors","")))))))</f>
        <v/>
      </c>
      <c r="K14" s="1">
        <f>IF(ISNUMBER(B14),YEAR(B14),"")</f>
        <v/>
      </c>
      <c r="L14">
        <f>IF(ISNUMBER(B14),YEAR(B14)*100+MONTH(B14),"")</f>
        <v/>
      </c>
      <c r="M14">
        <f>IF(ISNUMBER(B14),INT(B14),0)</f>
        <v/>
      </c>
      <c r="N14">
        <f>IF(OR(C14="",F14="",Q14=0),0,IF(COUNTIFS(C$6:C14,C14,F$6:F14,F14,Q$6:Q14,1)=1,1,0))</f>
        <v/>
      </c>
      <c r="O14">
        <f>IF(OR(C14="",Q14=0,H14&lt;&gt;""),"",M14*10000+ROW())</f>
        <v/>
      </c>
      <c r="P14">
        <f>IF(OR(C14="",Q14=0),"",IF(AND(C14=Statement!$C$4,K14=Statement!$C$5),M14*10000+ROW(),""))</f>
        <v/>
      </c>
      <c r="Q14">
        <f>IF(AND(ISNUMBER(B14),OR(N(D14)&gt;0,G14&lt;&gt;"")),1,0)</f>
        <v/>
      </c>
    </row>
    <row r="15">
      <c r="A15" s="1" t="n"/>
      <c r="B15" s="21" t="n">
        <v>45905</v>
      </c>
      <c r="C15" s="22" t="inlineStr">
        <is>
          <t>Grace Holloway</t>
        </is>
      </c>
      <c r="D15" s="23" t="n">
        <v>25</v>
      </c>
      <c r="E15" s="24" t="inlineStr">
        <is>
          <t>Bank transfer</t>
        </is>
      </c>
      <c r="F15" s="25" t="inlineStr">
        <is>
          <t>General fund</t>
        </is>
      </c>
      <c r="G15" s="25" t="n"/>
      <c r="H15" s="24" t="inlineStr">
        <is>
          <t>x</t>
        </is>
      </c>
      <c r="I15" s="25" t="inlineStr">
        <is>
          <t>Monthly</t>
        </is>
      </c>
      <c r="J15" s="17">
        <f>IF(AND(C15="",D15="",G15=""),"",IF(NOT(ISNUMBER(B15)),"Needs a date",IF(AND(D15&lt;&gt;"",NOT(ISNUMBER(D15))),"Amount not a number",IF(N(D15)&lt;0,"Amount below zero",IF(AND(N(D15)=0,G15=""),"Needs an amount or goods",IF(C15="","",IF(COUNTIF(Donors!$B$6:$B$305,C15)=0,"Not on Donors","")))))))</f>
        <v/>
      </c>
      <c r="K15" s="1">
        <f>IF(ISNUMBER(B15),YEAR(B15),"")</f>
        <v/>
      </c>
      <c r="L15">
        <f>IF(ISNUMBER(B15),YEAR(B15)*100+MONTH(B15),"")</f>
        <v/>
      </c>
      <c r="M15">
        <f>IF(ISNUMBER(B15),INT(B15),0)</f>
        <v/>
      </c>
      <c r="N15">
        <f>IF(OR(C15="",F15="",Q15=0),0,IF(COUNTIFS(C$6:C15,C15,F$6:F15,F15,Q$6:Q15,1)=1,1,0))</f>
        <v/>
      </c>
      <c r="O15">
        <f>IF(OR(C15="",Q15=0,H15&lt;&gt;""),"",M15*10000+ROW())</f>
        <v/>
      </c>
      <c r="P15">
        <f>IF(OR(C15="",Q15=0),"",IF(AND(C15=Statement!$C$4,K15=Statement!$C$5),M15*10000+ROW(),""))</f>
        <v/>
      </c>
      <c r="Q15">
        <f>IF(AND(ISNUMBER(B15),OR(N(D15)&gt;0,G15&lt;&gt;"")),1,0)</f>
        <v/>
      </c>
    </row>
    <row r="16">
      <c r="A16" s="1" t="n"/>
      <c r="B16" s="21" t="n">
        <v>45908</v>
      </c>
      <c r="C16" s="22" t="inlineStr">
        <is>
          <t>Ravi Patel</t>
        </is>
      </c>
      <c r="D16" s="23" t="n">
        <v>20</v>
      </c>
      <c r="E16" s="24" t="inlineStr">
        <is>
          <t>Bank transfer</t>
        </is>
      </c>
      <c r="F16" s="25" t="inlineStr">
        <is>
          <t>General fund</t>
        </is>
      </c>
      <c r="G16" s="25" t="n"/>
      <c r="H16" s="24" t="inlineStr">
        <is>
          <t>x</t>
        </is>
      </c>
      <c r="I16" s="25" t="inlineStr">
        <is>
          <t>Monthly</t>
        </is>
      </c>
      <c r="J16" s="17">
        <f>IF(AND(C16="",D16="",G16=""),"",IF(NOT(ISNUMBER(B16)),"Needs a date",IF(AND(D16&lt;&gt;"",NOT(ISNUMBER(D16))),"Amount not a number",IF(N(D16)&lt;0,"Amount below zero",IF(AND(N(D16)=0,G16=""),"Needs an amount or goods",IF(C16="","",IF(COUNTIF(Donors!$B$6:$B$305,C16)=0,"Not on Donors","")))))))</f>
        <v/>
      </c>
      <c r="K16" s="1">
        <f>IF(ISNUMBER(B16),YEAR(B16),"")</f>
        <v/>
      </c>
      <c r="L16">
        <f>IF(ISNUMBER(B16),YEAR(B16)*100+MONTH(B16),"")</f>
        <v/>
      </c>
      <c r="M16">
        <f>IF(ISNUMBER(B16),INT(B16),0)</f>
        <v/>
      </c>
      <c r="N16">
        <f>IF(OR(C16="",F16="",Q16=0),0,IF(COUNTIFS(C$6:C16,C16,F$6:F16,F16,Q$6:Q16,1)=1,1,0))</f>
        <v/>
      </c>
      <c r="O16">
        <f>IF(OR(C16="",Q16=0,H16&lt;&gt;""),"",M16*10000+ROW())</f>
        <v/>
      </c>
      <c r="P16">
        <f>IF(OR(C16="",Q16=0),"",IF(AND(C16=Statement!$C$4,K16=Statement!$C$5),M16*10000+ROW(),""))</f>
        <v/>
      </c>
      <c r="Q16">
        <f>IF(AND(ISNUMBER(B16),OR(N(D16)&gt;0,G16&lt;&gt;"")),1,0)</f>
        <v/>
      </c>
    </row>
    <row r="17">
      <c r="A17" s="1" t="n"/>
      <c r="B17" s="21" t="n">
        <v>45909</v>
      </c>
      <c r="C17" s="22" t="inlineStr">
        <is>
          <t>Amina Yusuf</t>
        </is>
      </c>
      <c r="D17" s="23" t="n">
        <v>15</v>
      </c>
      <c r="E17" s="24" t="inlineStr">
        <is>
          <t>Bank transfer</t>
        </is>
      </c>
      <c r="F17" s="25" t="inlineStr">
        <is>
          <t>General fund</t>
        </is>
      </c>
      <c r="G17" s="25" t="n"/>
      <c r="H17" s="24" t="inlineStr">
        <is>
          <t>x</t>
        </is>
      </c>
      <c r="I17" s="25" t="inlineStr">
        <is>
          <t>Monthly</t>
        </is>
      </c>
      <c r="J17" s="17">
        <f>IF(AND(C17="",D17="",G17=""),"",IF(NOT(ISNUMBER(B17)),"Needs a date",IF(AND(D17&lt;&gt;"",NOT(ISNUMBER(D17))),"Amount not a number",IF(N(D17)&lt;0,"Amount below zero",IF(AND(N(D17)=0,G17=""),"Needs an amount or goods",IF(C17="","",IF(COUNTIF(Donors!$B$6:$B$305,C17)=0,"Not on Donors","")))))))</f>
        <v/>
      </c>
      <c r="K17" s="1">
        <f>IF(ISNUMBER(B17),YEAR(B17),"")</f>
        <v/>
      </c>
      <c r="L17">
        <f>IF(ISNUMBER(B17),YEAR(B17)*100+MONTH(B17),"")</f>
        <v/>
      </c>
      <c r="M17">
        <f>IF(ISNUMBER(B17),INT(B17),0)</f>
        <v/>
      </c>
      <c r="N17">
        <f>IF(OR(C17="",F17="",Q17=0),0,IF(COUNTIFS(C$6:C17,C17,F$6:F17,F17,Q$6:Q17,1)=1,1,0))</f>
        <v/>
      </c>
      <c r="O17">
        <f>IF(OR(C17="",Q17=0,H17&lt;&gt;""),"",M17*10000+ROW())</f>
        <v/>
      </c>
      <c r="P17">
        <f>IF(OR(C17="",Q17=0),"",IF(AND(C17=Statement!$C$4,K17=Statement!$C$5),M17*10000+ROW(),""))</f>
        <v/>
      </c>
      <c r="Q17">
        <f>IF(AND(ISNUMBER(B17),OR(N(D17)&gt;0,G17&lt;&gt;"")),1,0)</f>
        <v/>
      </c>
    </row>
    <row r="18">
      <c r="A18" s="1" t="n"/>
      <c r="B18" s="21" t="n">
        <v>45913</v>
      </c>
      <c r="C18" s="22" t="inlineStr">
        <is>
          <t>Old Mill Trust</t>
        </is>
      </c>
      <c r="D18" s="23" t="n">
        <v>2000</v>
      </c>
      <c r="E18" s="24" t="inlineStr">
        <is>
          <t>Bank transfer</t>
        </is>
      </c>
      <c r="F18" s="25" t="inlineStr">
        <is>
          <t>General fund</t>
        </is>
      </c>
      <c r="G18" s="25" t="n"/>
      <c r="H18" s="24" t="inlineStr">
        <is>
          <t>x</t>
        </is>
      </c>
      <c r="I18" s="25" t="inlineStr">
        <is>
          <t>Yearly grant</t>
        </is>
      </c>
      <c r="J18" s="17">
        <f>IF(AND(C18="",D18="",G18=""),"",IF(NOT(ISNUMBER(B18)),"Needs a date",IF(AND(D18&lt;&gt;"",NOT(ISNUMBER(D18))),"Amount not a number",IF(N(D18)&lt;0,"Amount below zero",IF(AND(N(D18)=0,G18=""),"Needs an amount or goods",IF(C18="","",IF(COUNTIF(Donors!$B$6:$B$305,C18)=0,"Not on Donors","")))))))</f>
        <v/>
      </c>
      <c r="K18" s="1">
        <f>IF(ISNUMBER(B18),YEAR(B18),"")</f>
        <v/>
      </c>
      <c r="L18">
        <f>IF(ISNUMBER(B18),YEAR(B18)*100+MONTH(B18),"")</f>
        <v/>
      </c>
      <c r="M18">
        <f>IF(ISNUMBER(B18),INT(B18),0)</f>
        <v/>
      </c>
      <c r="N18">
        <f>IF(OR(C18="",F18="",Q18=0),0,IF(COUNTIFS(C$6:C18,C18,F$6:F18,F18,Q$6:Q18,1)=1,1,0))</f>
        <v/>
      </c>
      <c r="O18">
        <f>IF(OR(C18="",Q18=0,H18&lt;&gt;""),"",M18*10000+ROW())</f>
        <v/>
      </c>
      <c r="P18">
        <f>IF(OR(C18="",Q18=0),"",IF(AND(C18=Statement!$C$4,K18=Statement!$C$5),M18*10000+ROW(),""))</f>
        <v/>
      </c>
      <c r="Q18">
        <f>IF(AND(ISNUMBER(B18),OR(N(D18)&gt;0,G18&lt;&gt;"")),1,0)</f>
        <v/>
      </c>
    </row>
    <row r="19">
      <c r="A19" s="1" t="n"/>
      <c r="B19" s="21" t="n">
        <v>45935</v>
      </c>
      <c r="C19" s="22" t="inlineStr">
        <is>
          <t>Grace Holloway</t>
        </is>
      </c>
      <c r="D19" s="23" t="n">
        <v>25</v>
      </c>
      <c r="E19" s="24" t="inlineStr">
        <is>
          <t>Bank transfer</t>
        </is>
      </c>
      <c r="F19" s="25" t="inlineStr">
        <is>
          <t>General fund</t>
        </is>
      </c>
      <c r="G19" s="25" t="n"/>
      <c r="H19" s="24" t="inlineStr">
        <is>
          <t>x</t>
        </is>
      </c>
      <c r="I19" s="25" t="inlineStr">
        <is>
          <t>Monthly</t>
        </is>
      </c>
      <c r="J19" s="17">
        <f>IF(AND(C19="",D19="",G19=""),"",IF(NOT(ISNUMBER(B19)),"Needs a date",IF(AND(D19&lt;&gt;"",NOT(ISNUMBER(D19))),"Amount not a number",IF(N(D19)&lt;0,"Amount below zero",IF(AND(N(D19)=0,G19=""),"Needs an amount or goods",IF(C19="","",IF(COUNTIF(Donors!$B$6:$B$305,C19)=0,"Not on Donors","")))))))</f>
        <v/>
      </c>
      <c r="K19" s="1">
        <f>IF(ISNUMBER(B19),YEAR(B19),"")</f>
        <v/>
      </c>
      <c r="L19">
        <f>IF(ISNUMBER(B19),YEAR(B19)*100+MONTH(B19),"")</f>
        <v/>
      </c>
      <c r="M19">
        <f>IF(ISNUMBER(B19),INT(B19),0)</f>
        <v/>
      </c>
      <c r="N19">
        <f>IF(OR(C19="",F19="",Q19=0),0,IF(COUNTIFS(C$6:C19,C19,F$6:F19,F19,Q$6:Q19,1)=1,1,0))</f>
        <v/>
      </c>
      <c r="O19">
        <f>IF(OR(C19="",Q19=0,H19&lt;&gt;""),"",M19*10000+ROW())</f>
        <v/>
      </c>
      <c r="P19">
        <f>IF(OR(C19="",Q19=0),"",IF(AND(C19=Statement!$C$4,K19=Statement!$C$5),M19*10000+ROW(),""))</f>
        <v/>
      </c>
      <c r="Q19">
        <f>IF(AND(ISNUMBER(B19),OR(N(D19)&gt;0,G19&lt;&gt;"")),1,0)</f>
        <v/>
      </c>
    </row>
    <row r="20">
      <c r="A20" s="1" t="n"/>
      <c r="B20" s="21" t="n">
        <v>45938</v>
      </c>
      <c r="C20" s="22" t="inlineStr">
        <is>
          <t>Ravi Patel</t>
        </is>
      </c>
      <c r="D20" s="23" t="n">
        <v>20</v>
      </c>
      <c r="E20" s="24" t="inlineStr">
        <is>
          <t>Bank transfer</t>
        </is>
      </c>
      <c r="F20" s="25" t="inlineStr">
        <is>
          <t>General fund</t>
        </is>
      </c>
      <c r="G20" s="25" t="n"/>
      <c r="H20" s="24" t="inlineStr">
        <is>
          <t>x</t>
        </is>
      </c>
      <c r="I20" s="25" t="inlineStr">
        <is>
          <t>Monthly</t>
        </is>
      </c>
      <c r="J20" s="17">
        <f>IF(AND(C20="",D20="",G20=""),"",IF(NOT(ISNUMBER(B20)),"Needs a date",IF(AND(D20&lt;&gt;"",NOT(ISNUMBER(D20))),"Amount not a number",IF(N(D20)&lt;0,"Amount below zero",IF(AND(N(D20)=0,G20=""),"Needs an amount or goods",IF(C20="","",IF(COUNTIF(Donors!$B$6:$B$305,C20)=0,"Not on Donors","")))))))</f>
        <v/>
      </c>
      <c r="K20" s="1">
        <f>IF(ISNUMBER(B20),YEAR(B20),"")</f>
        <v/>
      </c>
      <c r="L20">
        <f>IF(ISNUMBER(B20),YEAR(B20)*100+MONTH(B20),"")</f>
        <v/>
      </c>
      <c r="M20">
        <f>IF(ISNUMBER(B20),INT(B20),0)</f>
        <v/>
      </c>
      <c r="N20">
        <f>IF(OR(C20="",F20="",Q20=0),0,IF(COUNTIFS(C$6:C20,C20,F$6:F20,F20,Q$6:Q20,1)=1,1,0))</f>
        <v/>
      </c>
      <c r="O20">
        <f>IF(OR(C20="",Q20=0,H20&lt;&gt;""),"",M20*10000+ROW())</f>
        <v/>
      </c>
      <c r="P20">
        <f>IF(OR(C20="",Q20=0),"",IF(AND(C20=Statement!$C$4,K20=Statement!$C$5),M20*10000+ROW(),""))</f>
        <v/>
      </c>
      <c r="Q20">
        <f>IF(AND(ISNUMBER(B20),OR(N(D20)&gt;0,G20&lt;&gt;"")),1,0)</f>
        <v/>
      </c>
    </row>
    <row r="21">
      <c r="A21" s="1" t="n"/>
      <c r="B21" s="21" t="n">
        <v>45939</v>
      </c>
      <c r="C21" s="22" t="inlineStr">
        <is>
          <t>Amina Yusuf</t>
        </is>
      </c>
      <c r="D21" s="23" t="n">
        <v>15</v>
      </c>
      <c r="E21" s="24" t="inlineStr">
        <is>
          <t>Bank transfer</t>
        </is>
      </c>
      <c r="F21" s="25" t="inlineStr">
        <is>
          <t>General fund</t>
        </is>
      </c>
      <c r="G21" s="25" t="n"/>
      <c r="H21" s="24" t="inlineStr">
        <is>
          <t>x</t>
        </is>
      </c>
      <c r="I21" s="25" t="inlineStr">
        <is>
          <t>Monthly</t>
        </is>
      </c>
      <c r="J21" s="17">
        <f>IF(AND(C21="",D21="",G21=""),"",IF(NOT(ISNUMBER(B21)),"Needs a date",IF(AND(D21&lt;&gt;"",NOT(ISNUMBER(D21))),"Amount not a number",IF(N(D21)&lt;0,"Amount below zero",IF(AND(N(D21)=0,G21=""),"Needs an amount or goods",IF(C21="","",IF(COUNTIF(Donors!$B$6:$B$305,C21)=0,"Not on Donors","")))))))</f>
        <v/>
      </c>
      <c r="K21" s="1">
        <f>IF(ISNUMBER(B21),YEAR(B21),"")</f>
        <v/>
      </c>
      <c r="L21">
        <f>IF(ISNUMBER(B21),YEAR(B21)*100+MONTH(B21),"")</f>
        <v/>
      </c>
      <c r="M21">
        <f>IF(ISNUMBER(B21),INT(B21),0)</f>
        <v/>
      </c>
      <c r="N21">
        <f>IF(OR(C21="",F21="",Q21=0),0,IF(COUNTIFS(C$6:C21,C21,F$6:F21,F21,Q$6:Q21,1)=1,1,0))</f>
        <v/>
      </c>
      <c r="O21">
        <f>IF(OR(C21="",Q21=0,H21&lt;&gt;""),"",M21*10000+ROW())</f>
        <v/>
      </c>
      <c r="P21">
        <f>IF(OR(C21="",Q21=0),"",IF(AND(C21=Statement!$C$4,K21=Statement!$C$5),M21*10000+ROW(),""))</f>
        <v/>
      </c>
      <c r="Q21">
        <f>IF(AND(ISNUMBER(B21),OR(N(D21)&gt;0,G21&lt;&gt;"")),1,0)</f>
        <v/>
      </c>
    </row>
    <row r="22">
      <c r="A22" s="1" t="n"/>
      <c r="B22" s="21" t="n">
        <v>45963</v>
      </c>
      <c r="C22" s="22" t="inlineStr">
        <is>
          <t>Corner Bakery</t>
        </is>
      </c>
      <c r="D22" s="23" t="n">
        <v>120</v>
      </c>
      <c r="E22" s="24" t="inlineStr">
        <is>
          <t>Card</t>
        </is>
      </c>
      <c r="F22" s="25" t="inlineStr">
        <is>
          <t>General fund</t>
        </is>
      </c>
      <c r="G22" s="25" t="n"/>
      <c r="H22" s="24" t="inlineStr">
        <is>
          <t>x</t>
        </is>
      </c>
      <c r="I22" s="25" t="n"/>
      <c r="J22" s="17">
        <f>IF(AND(C22="",D22="",G22=""),"",IF(NOT(ISNUMBER(B22)),"Needs a date",IF(AND(D22&lt;&gt;"",NOT(ISNUMBER(D22))),"Amount not a number",IF(N(D22)&lt;0,"Amount below zero",IF(AND(N(D22)=0,G22=""),"Needs an amount or goods",IF(C22="","",IF(COUNTIF(Donors!$B$6:$B$305,C22)=0,"Not on Donors","")))))))</f>
        <v/>
      </c>
      <c r="K22" s="1">
        <f>IF(ISNUMBER(B22),YEAR(B22),"")</f>
        <v/>
      </c>
      <c r="L22">
        <f>IF(ISNUMBER(B22),YEAR(B22)*100+MONTH(B22),"")</f>
        <v/>
      </c>
      <c r="M22">
        <f>IF(ISNUMBER(B22),INT(B22),0)</f>
        <v/>
      </c>
      <c r="N22">
        <f>IF(OR(C22="",F22="",Q22=0),0,IF(COUNTIFS(C$6:C22,C22,F$6:F22,F22,Q$6:Q22,1)=1,1,0))</f>
        <v/>
      </c>
      <c r="O22">
        <f>IF(OR(C22="",Q22=0,H22&lt;&gt;""),"",M22*10000+ROW())</f>
        <v/>
      </c>
      <c r="P22">
        <f>IF(OR(C22="",Q22=0),"",IF(AND(C22=Statement!$C$4,K22=Statement!$C$5),M22*10000+ROW(),""))</f>
        <v/>
      </c>
      <c r="Q22">
        <f>IF(AND(ISNUMBER(B22),OR(N(D22)&gt;0,G22&lt;&gt;"")),1,0)</f>
        <v/>
      </c>
    </row>
    <row r="23">
      <c r="A23" s="1" t="n"/>
      <c r="B23" s="21" t="n">
        <v>45966</v>
      </c>
      <c r="C23" s="22" t="inlineStr">
        <is>
          <t>Grace Holloway</t>
        </is>
      </c>
      <c r="D23" s="23" t="n">
        <v>25</v>
      </c>
      <c r="E23" s="24" t="inlineStr">
        <is>
          <t>Bank transfer</t>
        </is>
      </c>
      <c r="F23" s="25" t="inlineStr">
        <is>
          <t>General fund</t>
        </is>
      </c>
      <c r="G23" s="25" t="n"/>
      <c r="H23" s="24" t="inlineStr">
        <is>
          <t>x</t>
        </is>
      </c>
      <c r="I23" s="25" t="inlineStr">
        <is>
          <t>Monthly</t>
        </is>
      </c>
      <c r="J23" s="17">
        <f>IF(AND(C23="",D23="",G23=""),"",IF(NOT(ISNUMBER(B23)),"Needs a date",IF(AND(D23&lt;&gt;"",NOT(ISNUMBER(D23))),"Amount not a number",IF(N(D23)&lt;0,"Amount below zero",IF(AND(N(D23)=0,G23=""),"Needs an amount or goods",IF(C23="","",IF(COUNTIF(Donors!$B$6:$B$305,C23)=0,"Not on Donors","")))))))</f>
        <v/>
      </c>
      <c r="K23" s="1">
        <f>IF(ISNUMBER(B23),YEAR(B23),"")</f>
        <v/>
      </c>
      <c r="L23">
        <f>IF(ISNUMBER(B23),YEAR(B23)*100+MONTH(B23),"")</f>
        <v/>
      </c>
      <c r="M23">
        <f>IF(ISNUMBER(B23),INT(B23),0)</f>
        <v/>
      </c>
      <c r="N23">
        <f>IF(OR(C23="",F23="",Q23=0),0,IF(COUNTIFS(C$6:C23,C23,F$6:F23,F23,Q$6:Q23,1)=1,1,0))</f>
        <v/>
      </c>
      <c r="O23">
        <f>IF(OR(C23="",Q23=0,H23&lt;&gt;""),"",M23*10000+ROW())</f>
        <v/>
      </c>
      <c r="P23">
        <f>IF(OR(C23="",Q23=0),"",IF(AND(C23=Statement!$C$4,K23=Statement!$C$5),M23*10000+ROW(),""))</f>
        <v/>
      </c>
      <c r="Q23">
        <f>IF(AND(ISNUMBER(B23),OR(N(D23)&gt;0,G23&lt;&gt;"")),1,0)</f>
        <v/>
      </c>
    </row>
    <row r="24">
      <c r="A24" s="1" t="n"/>
      <c r="B24" s="21" t="n">
        <v>45969</v>
      </c>
      <c r="C24" s="22" t="inlineStr">
        <is>
          <t>Ravi Patel</t>
        </is>
      </c>
      <c r="D24" s="23" t="n">
        <v>20</v>
      </c>
      <c r="E24" s="24" t="inlineStr">
        <is>
          <t>Bank transfer</t>
        </is>
      </c>
      <c r="F24" s="25" t="inlineStr">
        <is>
          <t>General fund</t>
        </is>
      </c>
      <c r="G24" s="25" t="n"/>
      <c r="H24" s="24" t="inlineStr">
        <is>
          <t>x</t>
        </is>
      </c>
      <c r="I24" s="25" t="inlineStr">
        <is>
          <t>Monthly</t>
        </is>
      </c>
      <c r="J24" s="17">
        <f>IF(AND(C24="",D24="",G24=""),"",IF(NOT(ISNUMBER(B24)),"Needs a date",IF(AND(D24&lt;&gt;"",NOT(ISNUMBER(D24))),"Amount not a number",IF(N(D24)&lt;0,"Amount below zero",IF(AND(N(D24)=0,G24=""),"Needs an amount or goods",IF(C24="","",IF(COUNTIF(Donors!$B$6:$B$305,C24)=0,"Not on Donors","")))))))</f>
        <v/>
      </c>
      <c r="K24" s="1">
        <f>IF(ISNUMBER(B24),YEAR(B24),"")</f>
        <v/>
      </c>
      <c r="L24">
        <f>IF(ISNUMBER(B24),YEAR(B24)*100+MONTH(B24),"")</f>
        <v/>
      </c>
      <c r="M24">
        <f>IF(ISNUMBER(B24),INT(B24),0)</f>
        <v/>
      </c>
      <c r="N24">
        <f>IF(OR(C24="",F24="",Q24=0),0,IF(COUNTIFS(C$6:C24,C24,F$6:F24,F24,Q$6:Q24,1)=1,1,0))</f>
        <v/>
      </c>
      <c r="O24">
        <f>IF(OR(C24="",Q24=0,H24&lt;&gt;""),"",M24*10000+ROW())</f>
        <v/>
      </c>
      <c r="P24">
        <f>IF(OR(C24="",Q24=0),"",IF(AND(C24=Statement!$C$4,K24=Statement!$C$5),M24*10000+ROW(),""))</f>
        <v/>
      </c>
      <c r="Q24">
        <f>IF(AND(ISNUMBER(B24),OR(N(D24)&gt;0,G24&lt;&gt;"")),1,0)</f>
        <v/>
      </c>
    </row>
    <row r="25">
      <c r="A25" s="1" t="n"/>
      <c r="B25" s="21" t="n">
        <v>45970</v>
      </c>
      <c r="C25" s="22" t="inlineStr">
        <is>
          <t>Amina Yusuf</t>
        </is>
      </c>
      <c r="D25" s="23" t="n">
        <v>15</v>
      </c>
      <c r="E25" s="24" t="inlineStr">
        <is>
          <t>Bank transfer</t>
        </is>
      </c>
      <c r="F25" s="25" t="inlineStr">
        <is>
          <t>General fund</t>
        </is>
      </c>
      <c r="G25" s="25" t="n"/>
      <c r="H25" s="24" t="inlineStr">
        <is>
          <t>x</t>
        </is>
      </c>
      <c r="I25" s="25" t="inlineStr">
        <is>
          <t>Monthly</t>
        </is>
      </c>
      <c r="J25" s="17">
        <f>IF(AND(C25="",D25="",G25=""),"",IF(NOT(ISNUMBER(B25)),"Needs a date",IF(AND(D25&lt;&gt;"",NOT(ISNUMBER(D25))),"Amount not a number",IF(N(D25)&lt;0,"Amount below zero",IF(AND(N(D25)=0,G25=""),"Needs an amount or goods",IF(C25="","",IF(COUNTIF(Donors!$B$6:$B$305,C25)=0,"Not on Donors","")))))))</f>
        <v/>
      </c>
      <c r="K25" s="1">
        <f>IF(ISNUMBER(B25),YEAR(B25),"")</f>
        <v/>
      </c>
      <c r="L25">
        <f>IF(ISNUMBER(B25),YEAR(B25)*100+MONTH(B25),"")</f>
        <v/>
      </c>
      <c r="M25">
        <f>IF(ISNUMBER(B25),INT(B25),0)</f>
        <v/>
      </c>
      <c r="N25">
        <f>IF(OR(C25="",F25="",Q25=0),0,IF(COUNTIFS(C$6:C25,C25,F$6:F25,F25,Q$6:Q25,1)=1,1,0))</f>
        <v/>
      </c>
      <c r="O25">
        <f>IF(OR(C25="",Q25=0,H25&lt;&gt;""),"",M25*10000+ROW())</f>
        <v/>
      </c>
      <c r="P25">
        <f>IF(OR(C25="",Q25=0),"",IF(AND(C25=Statement!$C$4,K25=Statement!$C$5),M25*10000+ROW(),""))</f>
        <v/>
      </c>
      <c r="Q25">
        <f>IF(AND(ISNUMBER(B25),OR(N(D25)&gt;0,G25&lt;&gt;"")),1,0)</f>
        <v/>
      </c>
    </row>
    <row r="26">
      <c r="A26" s="1" t="n"/>
      <c r="B26" s="21" t="n">
        <v>45993</v>
      </c>
      <c r="C26" s="22" t="inlineStr">
        <is>
          <t>St Luke's Youth Group</t>
        </is>
      </c>
      <c r="D26" s="23" t="n">
        <v>260</v>
      </c>
      <c r="E26" s="24" t="inlineStr">
        <is>
          <t>Cash</t>
        </is>
      </c>
      <c r="F26" s="25" t="inlineStr">
        <is>
          <t>General fund</t>
        </is>
      </c>
      <c r="G26" s="25" t="n"/>
      <c r="H26" s="24" t="inlineStr">
        <is>
          <t>x</t>
        </is>
      </c>
      <c r="I26" s="25" t="inlineStr">
        <is>
          <t>Carol singing</t>
        </is>
      </c>
      <c r="J26" s="17">
        <f>IF(AND(C26="",D26="",G26=""),"",IF(NOT(ISNUMBER(B26)),"Needs a date",IF(AND(D26&lt;&gt;"",NOT(ISNUMBER(D26))),"Amount not a number",IF(N(D26)&lt;0,"Amount below zero",IF(AND(N(D26)=0,G26=""),"Needs an amount or goods",IF(C26="","",IF(COUNTIF(Donors!$B$6:$B$305,C26)=0,"Not on Donors","")))))))</f>
        <v/>
      </c>
      <c r="K26" s="1">
        <f>IF(ISNUMBER(B26),YEAR(B26),"")</f>
        <v/>
      </c>
      <c r="L26">
        <f>IF(ISNUMBER(B26),YEAR(B26)*100+MONTH(B26),"")</f>
        <v/>
      </c>
      <c r="M26">
        <f>IF(ISNUMBER(B26),INT(B26),0)</f>
        <v/>
      </c>
      <c r="N26">
        <f>IF(OR(C26="",F26="",Q26=0),0,IF(COUNTIFS(C$6:C26,C26,F$6:F26,F26,Q$6:Q26,1)=1,1,0))</f>
        <v/>
      </c>
      <c r="O26">
        <f>IF(OR(C26="",Q26=0,H26&lt;&gt;""),"",M26*10000+ROW())</f>
        <v/>
      </c>
      <c r="P26">
        <f>IF(OR(C26="",Q26=0),"",IF(AND(C26=Statement!$C$4,K26=Statement!$C$5),M26*10000+ROW(),""))</f>
        <v/>
      </c>
      <c r="Q26">
        <f>IF(AND(ISNUMBER(B26),OR(N(D26)&gt;0,G26&lt;&gt;"")),1,0)</f>
        <v/>
      </c>
    </row>
    <row r="27">
      <c r="A27" s="1" t="n"/>
      <c r="B27" s="21" t="n">
        <v>45996</v>
      </c>
      <c r="C27" s="22" t="inlineStr">
        <is>
          <t>Grace Holloway</t>
        </is>
      </c>
      <c r="D27" s="23" t="n">
        <v>25</v>
      </c>
      <c r="E27" s="24" t="inlineStr">
        <is>
          <t>Bank transfer</t>
        </is>
      </c>
      <c r="F27" s="25" t="inlineStr">
        <is>
          <t>General fund</t>
        </is>
      </c>
      <c r="G27" s="25" t="n"/>
      <c r="H27" s="24" t="inlineStr">
        <is>
          <t>x</t>
        </is>
      </c>
      <c r="I27" s="25" t="inlineStr">
        <is>
          <t>Monthly</t>
        </is>
      </c>
      <c r="J27" s="17">
        <f>IF(AND(C27="",D27="",G27=""),"",IF(NOT(ISNUMBER(B27)),"Needs a date",IF(AND(D27&lt;&gt;"",NOT(ISNUMBER(D27))),"Amount not a number",IF(N(D27)&lt;0,"Amount below zero",IF(AND(N(D27)=0,G27=""),"Needs an amount or goods",IF(C27="","",IF(COUNTIF(Donors!$B$6:$B$305,C27)=0,"Not on Donors","")))))))</f>
        <v/>
      </c>
      <c r="K27" s="1">
        <f>IF(ISNUMBER(B27),YEAR(B27),"")</f>
        <v/>
      </c>
      <c r="L27">
        <f>IF(ISNUMBER(B27),YEAR(B27)*100+MONTH(B27),"")</f>
        <v/>
      </c>
      <c r="M27">
        <f>IF(ISNUMBER(B27),INT(B27),0)</f>
        <v/>
      </c>
      <c r="N27">
        <f>IF(OR(C27="",F27="",Q27=0),0,IF(COUNTIFS(C$6:C27,C27,F$6:F27,F27,Q$6:Q27,1)=1,1,0))</f>
        <v/>
      </c>
      <c r="O27">
        <f>IF(OR(C27="",Q27=0,H27&lt;&gt;""),"",M27*10000+ROW())</f>
        <v/>
      </c>
      <c r="P27">
        <f>IF(OR(C27="",Q27=0),"",IF(AND(C27=Statement!$C$4,K27=Statement!$C$5),M27*10000+ROW(),""))</f>
        <v/>
      </c>
      <c r="Q27">
        <f>IF(AND(ISNUMBER(B27),OR(N(D27)&gt;0,G27&lt;&gt;"")),1,0)</f>
        <v/>
      </c>
    </row>
    <row r="28">
      <c r="A28" s="1" t="n"/>
      <c r="B28" s="21" t="n">
        <v>45999</v>
      </c>
      <c r="C28" s="22" t="inlineStr">
        <is>
          <t>Ravi Patel</t>
        </is>
      </c>
      <c r="D28" s="23" t="n">
        <v>20</v>
      </c>
      <c r="E28" s="24" t="inlineStr">
        <is>
          <t>Bank transfer</t>
        </is>
      </c>
      <c r="F28" s="25" t="inlineStr">
        <is>
          <t>General fund</t>
        </is>
      </c>
      <c r="G28" s="25" t="n"/>
      <c r="H28" s="24" t="inlineStr">
        <is>
          <t>x</t>
        </is>
      </c>
      <c r="I28" s="25" t="inlineStr">
        <is>
          <t>Monthly</t>
        </is>
      </c>
      <c r="J28" s="17">
        <f>IF(AND(C28="",D28="",G28=""),"",IF(NOT(ISNUMBER(B28)),"Needs a date",IF(AND(D28&lt;&gt;"",NOT(ISNUMBER(D28))),"Amount not a number",IF(N(D28)&lt;0,"Amount below zero",IF(AND(N(D28)=0,G28=""),"Needs an amount or goods",IF(C28="","",IF(COUNTIF(Donors!$B$6:$B$305,C28)=0,"Not on Donors","")))))))</f>
        <v/>
      </c>
      <c r="K28" s="1">
        <f>IF(ISNUMBER(B28),YEAR(B28),"")</f>
        <v/>
      </c>
      <c r="L28">
        <f>IF(ISNUMBER(B28),YEAR(B28)*100+MONTH(B28),"")</f>
        <v/>
      </c>
      <c r="M28">
        <f>IF(ISNUMBER(B28),INT(B28),0)</f>
        <v/>
      </c>
      <c r="N28">
        <f>IF(OR(C28="",F28="",Q28=0),0,IF(COUNTIFS(C$6:C28,C28,F$6:F28,F28,Q$6:Q28,1)=1,1,0))</f>
        <v/>
      </c>
      <c r="O28">
        <f>IF(OR(C28="",Q28=0,H28&lt;&gt;""),"",M28*10000+ROW())</f>
        <v/>
      </c>
      <c r="P28">
        <f>IF(OR(C28="",Q28=0),"",IF(AND(C28=Statement!$C$4,K28=Statement!$C$5),M28*10000+ROW(),""))</f>
        <v/>
      </c>
      <c r="Q28">
        <f>IF(AND(ISNUMBER(B28),OR(N(D28)&gt;0,G28&lt;&gt;"")),1,0)</f>
        <v/>
      </c>
    </row>
    <row r="29">
      <c r="A29" s="1" t="n"/>
      <c r="B29" s="21" t="n">
        <v>46000</v>
      </c>
      <c r="C29" s="22" t="inlineStr">
        <is>
          <t>Amina Yusuf</t>
        </is>
      </c>
      <c r="D29" s="23" t="n">
        <v>15</v>
      </c>
      <c r="E29" s="24" t="inlineStr">
        <is>
          <t>Bank transfer</t>
        </is>
      </c>
      <c r="F29" s="25" t="inlineStr">
        <is>
          <t>General fund</t>
        </is>
      </c>
      <c r="G29" s="25" t="n"/>
      <c r="H29" s="24" t="inlineStr">
        <is>
          <t>x</t>
        </is>
      </c>
      <c r="I29" s="25" t="inlineStr">
        <is>
          <t>Monthly</t>
        </is>
      </c>
      <c r="J29" s="17">
        <f>IF(AND(C29="",D29="",G29=""),"",IF(NOT(ISNUMBER(B29)),"Needs a date",IF(AND(D29&lt;&gt;"",NOT(ISNUMBER(D29))),"Amount not a number",IF(N(D29)&lt;0,"Amount below zero",IF(AND(N(D29)=0,G29=""),"Needs an amount or goods",IF(C29="","",IF(COUNTIF(Donors!$B$6:$B$305,C29)=0,"Not on Donors","")))))))</f>
        <v/>
      </c>
      <c r="K29" s="1">
        <f>IF(ISNUMBER(B29),YEAR(B29),"")</f>
        <v/>
      </c>
      <c r="L29">
        <f>IF(ISNUMBER(B29),YEAR(B29)*100+MONTH(B29),"")</f>
        <v/>
      </c>
      <c r="M29">
        <f>IF(ISNUMBER(B29),INT(B29),0)</f>
        <v/>
      </c>
      <c r="N29">
        <f>IF(OR(C29="",F29="",Q29=0),0,IF(COUNTIFS(C$6:C29,C29,F$6:F29,F29,Q$6:Q29,1)=1,1,0))</f>
        <v/>
      </c>
      <c r="O29">
        <f>IF(OR(C29="",Q29=0,H29&lt;&gt;""),"",M29*10000+ROW())</f>
        <v/>
      </c>
      <c r="P29">
        <f>IF(OR(C29="",Q29=0),"",IF(AND(C29=Statement!$C$4,K29=Statement!$C$5),M29*10000+ROW(),""))</f>
        <v/>
      </c>
      <c r="Q29">
        <f>IF(AND(ISNUMBER(B29),OR(N(D29)&gt;0,G29&lt;&gt;"")),1,0)</f>
        <v/>
      </c>
    </row>
    <row r="30">
      <c r="A30" s="1" t="n"/>
      <c r="B30" s="21" t="n">
        <v>46027</v>
      </c>
      <c r="C30" s="22" t="inlineStr">
        <is>
          <t>Grace Holloway</t>
        </is>
      </c>
      <c r="D30" s="23" t="n">
        <v>25</v>
      </c>
      <c r="E30" s="24" t="inlineStr">
        <is>
          <t>Bank transfer</t>
        </is>
      </c>
      <c r="F30" s="25" t="inlineStr">
        <is>
          <t>General fund</t>
        </is>
      </c>
      <c r="G30" s="25" t="n"/>
      <c r="H30" s="24" t="inlineStr">
        <is>
          <t>x</t>
        </is>
      </c>
      <c r="I30" s="25" t="inlineStr">
        <is>
          <t>Monthly</t>
        </is>
      </c>
      <c r="J30" s="17">
        <f>IF(AND(C30="",D30="",G30=""),"",IF(NOT(ISNUMBER(B30)),"Needs a date",IF(AND(D30&lt;&gt;"",NOT(ISNUMBER(D30))),"Amount not a number",IF(N(D30)&lt;0,"Amount below zero",IF(AND(N(D30)=0,G30=""),"Needs an amount or goods",IF(C30="","",IF(COUNTIF(Donors!$B$6:$B$305,C30)=0,"Not on Donors","")))))))</f>
        <v/>
      </c>
      <c r="K30" s="1">
        <f>IF(ISNUMBER(B30),YEAR(B30),"")</f>
        <v/>
      </c>
      <c r="L30">
        <f>IF(ISNUMBER(B30),YEAR(B30)*100+MONTH(B30),"")</f>
        <v/>
      </c>
      <c r="M30">
        <f>IF(ISNUMBER(B30),INT(B30),0)</f>
        <v/>
      </c>
      <c r="N30">
        <f>IF(OR(C30="",F30="",Q30=0),0,IF(COUNTIFS(C$6:C30,C30,F$6:F30,F30,Q$6:Q30,1)=1,1,0))</f>
        <v/>
      </c>
      <c r="O30">
        <f>IF(OR(C30="",Q30=0,H30&lt;&gt;""),"",M30*10000+ROW())</f>
        <v/>
      </c>
      <c r="P30">
        <f>IF(OR(C30="",Q30=0),"",IF(AND(C30=Statement!$C$4,K30=Statement!$C$5),M30*10000+ROW(),""))</f>
        <v/>
      </c>
      <c r="Q30">
        <f>IF(AND(ISNUMBER(B30),OR(N(D30)&gt;0,G30&lt;&gt;"")),1,0)</f>
        <v/>
      </c>
    </row>
    <row r="31">
      <c r="A31" s="1" t="n"/>
      <c r="B31" s="21" t="n">
        <v>46030</v>
      </c>
      <c r="C31" s="22" t="inlineStr">
        <is>
          <t>Ravi Patel</t>
        </is>
      </c>
      <c r="D31" s="23" t="n">
        <v>20</v>
      </c>
      <c r="E31" s="24" t="inlineStr">
        <is>
          <t>Bank transfer</t>
        </is>
      </c>
      <c r="F31" s="25" t="inlineStr">
        <is>
          <t>General fund</t>
        </is>
      </c>
      <c r="G31" s="25" t="n"/>
      <c r="H31" s="24" t="inlineStr">
        <is>
          <t>x</t>
        </is>
      </c>
      <c r="I31" s="25" t="inlineStr">
        <is>
          <t>Monthly</t>
        </is>
      </c>
      <c r="J31" s="17">
        <f>IF(AND(C31="",D31="",G31=""),"",IF(NOT(ISNUMBER(B31)),"Needs a date",IF(AND(D31&lt;&gt;"",NOT(ISNUMBER(D31))),"Amount not a number",IF(N(D31)&lt;0,"Amount below zero",IF(AND(N(D31)=0,G31=""),"Needs an amount or goods",IF(C31="","",IF(COUNTIF(Donors!$B$6:$B$305,C31)=0,"Not on Donors","")))))))</f>
        <v/>
      </c>
      <c r="K31" s="1">
        <f>IF(ISNUMBER(B31),YEAR(B31),"")</f>
        <v/>
      </c>
      <c r="L31">
        <f>IF(ISNUMBER(B31),YEAR(B31)*100+MONTH(B31),"")</f>
        <v/>
      </c>
      <c r="M31">
        <f>IF(ISNUMBER(B31),INT(B31),0)</f>
        <v/>
      </c>
      <c r="N31">
        <f>IF(OR(C31="",F31="",Q31=0),0,IF(COUNTIFS(C$6:C31,C31,F$6:F31,F31,Q$6:Q31,1)=1,1,0))</f>
        <v/>
      </c>
      <c r="O31">
        <f>IF(OR(C31="",Q31=0,H31&lt;&gt;""),"",M31*10000+ROW())</f>
        <v/>
      </c>
      <c r="P31">
        <f>IF(OR(C31="",Q31=0),"",IF(AND(C31=Statement!$C$4,K31=Statement!$C$5),M31*10000+ROW(),""))</f>
        <v/>
      </c>
      <c r="Q31">
        <f>IF(AND(ISNUMBER(B31),OR(N(D31)&gt;0,G31&lt;&gt;"")),1,0)</f>
        <v/>
      </c>
    </row>
    <row r="32">
      <c r="A32" s="1" t="n"/>
      <c r="B32" s="21" t="n">
        <v>46031</v>
      </c>
      <c r="C32" s="22" t="inlineStr">
        <is>
          <t>Amina Yusuf</t>
        </is>
      </c>
      <c r="D32" s="23" t="n">
        <v>15</v>
      </c>
      <c r="E32" s="24" t="inlineStr">
        <is>
          <t>Bank transfer</t>
        </is>
      </c>
      <c r="F32" s="25" t="inlineStr">
        <is>
          <t>General fund</t>
        </is>
      </c>
      <c r="G32" s="25" t="n"/>
      <c r="H32" s="24" t="inlineStr">
        <is>
          <t>x</t>
        </is>
      </c>
      <c r="I32" s="25" t="inlineStr">
        <is>
          <t>Monthly</t>
        </is>
      </c>
      <c r="J32" s="17">
        <f>IF(AND(C32="",D32="",G32=""),"",IF(NOT(ISNUMBER(B32)),"Needs a date",IF(AND(D32&lt;&gt;"",NOT(ISNUMBER(D32))),"Amount not a number",IF(N(D32)&lt;0,"Amount below zero",IF(AND(N(D32)=0,G32=""),"Needs an amount or goods",IF(C32="","",IF(COUNTIF(Donors!$B$6:$B$305,C32)=0,"Not on Donors","")))))))</f>
        <v/>
      </c>
      <c r="K32" s="1">
        <f>IF(ISNUMBER(B32),YEAR(B32),"")</f>
        <v/>
      </c>
      <c r="L32">
        <f>IF(ISNUMBER(B32),YEAR(B32)*100+MONTH(B32),"")</f>
        <v/>
      </c>
      <c r="M32">
        <f>IF(ISNUMBER(B32),INT(B32),0)</f>
        <v/>
      </c>
      <c r="N32">
        <f>IF(OR(C32="",F32="",Q32=0),0,IF(COUNTIFS(C$6:C32,C32,F$6:F32,F32,Q$6:Q32,1)=1,1,0))</f>
        <v/>
      </c>
      <c r="O32">
        <f>IF(OR(C32="",Q32=0,H32&lt;&gt;""),"",M32*10000+ROW())</f>
        <v/>
      </c>
      <c r="P32">
        <f>IF(OR(C32="",Q32=0),"",IF(AND(C32=Statement!$C$4,K32=Statement!$C$5),M32*10000+ROW(),""))</f>
        <v/>
      </c>
      <c r="Q32">
        <f>IF(AND(ISNUMBER(B32),OR(N(D32)&gt;0,G32&lt;&gt;"")),1,0)</f>
        <v/>
      </c>
    </row>
    <row r="33">
      <c r="A33" s="1" t="n"/>
      <c r="B33" s="21" t="n">
        <v>46058</v>
      </c>
      <c r="C33" s="22" t="inlineStr">
        <is>
          <t>Grace Holloway</t>
        </is>
      </c>
      <c r="D33" s="23" t="n">
        <v>25</v>
      </c>
      <c r="E33" s="24" t="inlineStr">
        <is>
          <t>Bank transfer</t>
        </is>
      </c>
      <c r="F33" s="25" t="inlineStr">
        <is>
          <t>General fund</t>
        </is>
      </c>
      <c r="G33" s="25" t="n"/>
      <c r="H33" s="24" t="inlineStr">
        <is>
          <t>x</t>
        </is>
      </c>
      <c r="I33" s="25" t="inlineStr">
        <is>
          <t>Monthly</t>
        </is>
      </c>
      <c r="J33" s="17">
        <f>IF(AND(C33="",D33="",G33=""),"",IF(NOT(ISNUMBER(B33)),"Needs a date",IF(AND(D33&lt;&gt;"",NOT(ISNUMBER(D33))),"Amount not a number",IF(N(D33)&lt;0,"Amount below zero",IF(AND(N(D33)=0,G33=""),"Needs an amount or goods",IF(C33="","",IF(COUNTIF(Donors!$B$6:$B$305,C33)=0,"Not on Donors","")))))))</f>
        <v/>
      </c>
      <c r="K33" s="1">
        <f>IF(ISNUMBER(B33),YEAR(B33),"")</f>
        <v/>
      </c>
      <c r="L33">
        <f>IF(ISNUMBER(B33),YEAR(B33)*100+MONTH(B33),"")</f>
        <v/>
      </c>
      <c r="M33">
        <f>IF(ISNUMBER(B33),INT(B33),0)</f>
        <v/>
      </c>
      <c r="N33">
        <f>IF(OR(C33="",F33="",Q33=0),0,IF(COUNTIFS(C$6:C33,C33,F$6:F33,F33,Q$6:Q33,1)=1,1,0))</f>
        <v/>
      </c>
      <c r="O33">
        <f>IF(OR(C33="",Q33=0,H33&lt;&gt;""),"",M33*10000+ROW())</f>
        <v/>
      </c>
      <c r="P33">
        <f>IF(OR(C33="",Q33=0),"",IF(AND(C33=Statement!$C$4,K33=Statement!$C$5),M33*10000+ROW(),""))</f>
        <v/>
      </c>
      <c r="Q33">
        <f>IF(AND(ISNUMBER(B33),OR(N(D33)&gt;0,G33&lt;&gt;"")),1,0)</f>
        <v/>
      </c>
    </row>
    <row r="34">
      <c r="A34" s="1" t="n"/>
      <c r="B34" s="21" t="n">
        <v>46061</v>
      </c>
      <c r="C34" s="22" t="inlineStr">
        <is>
          <t>Ravi Patel</t>
        </is>
      </c>
      <c r="D34" s="23" t="n">
        <v>20</v>
      </c>
      <c r="E34" s="24" t="inlineStr">
        <is>
          <t>Bank transfer</t>
        </is>
      </c>
      <c r="F34" s="25" t="inlineStr">
        <is>
          <t>General fund</t>
        </is>
      </c>
      <c r="G34" s="25" t="n"/>
      <c r="H34" s="24" t="inlineStr">
        <is>
          <t>x</t>
        </is>
      </c>
      <c r="I34" s="25" t="inlineStr">
        <is>
          <t>Monthly</t>
        </is>
      </c>
      <c r="J34" s="17">
        <f>IF(AND(C34="",D34="",G34=""),"",IF(NOT(ISNUMBER(B34)),"Needs a date",IF(AND(D34&lt;&gt;"",NOT(ISNUMBER(D34))),"Amount not a number",IF(N(D34)&lt;0,"Amount below zero",IF(AND(N(D34)=0,G34=""),"Needs an amount or goods",IF(C34="","",IF(COUNTIF(Donors!$B$6:$B$305,C34)=0,"Not on Donors","")))))))</f>
        <v/>
      </c>
      <c r="K34" s="1">
        <f>IF(ISNUMBER(B34),YEAR(B34),"")</f>
        <v/>
      </c>
      <c r="L34">
        <f>IF(ISNUMBER(B34),YEAR(B34)*100+MONTH(B34),"")</f>
        <v/>
      </c>
      <c r="M34">
        <f>IF(ISNUMBER(B34),INT(B34),0)</f>
        <v/>
      </c>
      <c r="N34">
        <f>IF(OR(C34="",F34="",Q34=0),0,IF(COUNTIFS(C$6:C34,C34,F$6:F34,F34,Q$6:Q34,1)=1,1,0))</f>
        <v/>
      </c>
      <c r="O34">
        <f>IF(OR(C34="",Q34=0,H34&lt;&gt;""),"",M34*10000+ROW())</f>
        <v/>
      </c>
      <c r="P34">
        <f>IF(OR(C34="",Q34=0),"",IF(AND(C34=Statement!$C$4,K34=Statement!$C$5),M34*10000+ROW(),""))</f>
        <v/>
      </c>
      <c r="Q34">
        <f>IF(AND(ISNUMBER(B34),OR(N(D34)&gt;0,G34&lt;&gt;"")),1,0)</f>
        <v/>
      </c>
    </row>
    <row r="35">
      <c r="A35" s="1" t="n"/>
      <c r="B35" s="21" t="n">
        <v>46062</v>
      </c>
      <c r="C35" s="22" t="inlineStr">
        <is>
          <t>Amina Yusuf</t>
        </is>
      </c>
      <c r="D35" s="23" t="n">
        <v>15</v>
      </c>
      <c r="E35" s="24" t="inlineStr">
        <is>
          <t>Bank transfer</t>
        </is>
      </c>
      <c r="F35" s="25" t="inlineStr">
        <is>
          <t>General fund</t>
        </is>
      </c>
      <c r="G35" s="25" t="n"/>
      <c r="H35" s="24" t="inlineStr">
        <is>
          <t>x</t>
        </is>
      </c>
      <c r="I35" s="25" t="inlineStr">
        <is>
          <t>Monthly</t>
        </is>
      </c>
      <c r="J35" s="17">
        <f>IF(AND(C35="",D35="",G35=""),"",IF(NOT(ISNUMBER(B35)),"Needs a date",IF(AND(D35&lt;&gt;"",NOT(ISNUMBER(D35))),"Amount not a number",IF(N(D35)&lt;0,"Amount below zero",IF(AND(N(D35)=0,G35=""),"Needs an amount or goods",IF(C35="","",IF(COUNTIF(Donors!$B$6:$B$305,C35)=0,"Not on Donors","")))))))</f>
        <v/>
      </c>
      <c r="K35" s="1">
        <f>IF(ISNUMBER(B35),YEAR(B35),"")</f>
        <v/>
      </c>
      <c r="L35">
        <f>IF(ISNUMBER(B35),YEAR(B35)*100+MONTH(B35),"")</f>
        <v/>
      </c>
      <c r="M35">
        <f>IF(ISNUMBER(B35),INT(B35),0)</f>
        <v/>
      </c>
      <c r="N35">
        <f>IF(OR(C35="",F35="",Q35=0),0,IF(COUNTIFS(C$6:C35,C35,F$6:F35,F35,Q$6:Q35,1)=1,1,0))</f>
        <v/>
      </c>
      <c r="O35">
        <f>IF(OR(C35="",Q35=0,H35&lt;&gt;""),"",M35*10000+ROW())</f>
        <v/>
      </c>
      <c r="P35">
        <f>IF(OR(C35="",Q35=0),"",IF(AND(C35=Statement!$C$4,K35=Statement!$C$5),M35*10000+ROW(),""))</f>
        <v/>
      </c>
      <c r="Q35">
        <f>IF(AND(ISNUMBER(B35),OR(N(D35)&gt;0,G35&lt;&gt;"")),1,0)</f>
        <v/>
      </c>
    </row>
    <row r="36">
      <c r="A36" s="1" t="n"/>
      <c r="B36" s="21" t="n">
        <v>46086</v>
      </c>
      <c r="C36" s="22" t="inlineStr">
        <is>
          <t>Grace Holloway</t>
        </is>
      </c>
      <c r="D36" s="23" t="n">
        <v>25</v>
      </c>
      <c r="E36" s="24" t="inlineStr">
        <is>
          <t>Bank transfer</t>
        </is>
      </c>
      <c r="F36" s="25" t="inlineStr">
        <is>
          <t>General fund</t>
        </is>
      </c>
      <c r="G36" s="25" t="n"/>
      <c r="H36" s="24" t="inlineStr">
        <is>
          <t>x</t>
        </is>
      </c>
      <c r="I36" s="25" t="inlineStr">
        <is>
          <t>Monthly</t>
        </is>
      </c>
      <c r="J36" s="17">
        <f>IF(AND(C36="",D36="",G36=""),"",IF(NOT(ISNUMBER(B36)),"Needs a date",IF(AND(D36&lt;&gt;"",NOT(ISNUMBER(D36))),"Amount not a number",IF(N(D36)&lt;0,"Amount below zero",IF(AND(N(D36)=0,G36=""),"Needs an amount or goods",IF(C36="","",IF(COUNTIF(Donors!$B$6:$B$305,C36)=0,"Not on Donors","")))))))</f>
        <v/>
      </c>
      <c r="K36" s="1">
        <f>IF(ISNUMBER(B36),YEAR(B36),"")</f>
        <v/>
      </c>
      <c r="L36">
        <f>IF(ISNUMBER(B36),YEAR(B36)*100+MONTH(B36),"")</f>
        <v/>
      </c>
      <c r="M36">
        <f>IF(ISNUMBER(B36),INT(B36),0)</f>
        <v/>
      </c>
      <c r="N36">
        <f>IF(OR(C36="",F36="",Q36=0),0,IF(COUNTIFS(C$6:C36,C36,F$6:F36,F36,Q$6:Q36,1)=1,1,0))</f>
        <v/>
      </c>
      <c r="O36">
        <f>IF(OR(C36="",Q36=0,H36&lt;&gt;""),"",M36*10000+ROW())</f>
        <v/>
      </c>
      <c r="P36">
        <f>IF(OR(C36="",Q36=0),"",IF(AND(C36=Statement!$C$4,K36=Statement!$C$5),M36*10000+ROW(),""))</f>
        <v/>
      </c>
      <c r="Q36">
        <f>IF(AND(ISNUMBER(B36),OR(N(D36)&gt;0,G36&lt;&gt;"")),1,0)</f>
        <v/>
      </c>
    </row>
    <row r="37">
      <c r="A37" s="1" t="n"/>
      <c r="B37" s="21" t="n">
        <v>46089</v>
      </c>
      <c r="C37" s="22" t="inlineStr">
        <is>
          <t>Ravi Patel</t>
        </is>
      </c>
      <c r="D37" s="23" t="n">
        <v>20</v>
      </c>
      <c r="E37" s="24" t="inlineStr">
        <is>
          <t>Bank transfer</t>
        </is>
      </c>
      <c r="F37" s="25" t="inlineStr">
        <is>
          <t>General fund</t>
        </is>
      </c>
      <c r="G37" s="25" t="n"/>
      <c r="H37" s="24" t="inlineStr">
        <is>
          <t>x</t>
        </is>
      </c>
      <c r="I37" s="25" t="inlineStr">
        <is>
          <t>Monthly</t>
        </is>
      </c>
      <c r="J37" s="17">
        <f>IF(AND(C37="",D37="",G37=""),"",IF(NOT(ISNUMBER(B37)),"Needs a date",IF(AND(D37&lt;&gt;"",NOT(ISNUMBER(D37))),"Amount not a number",IF(N(D37)&lt;0,"Amount below zero",IF(AND(N(D37)=0,G37=""),"Needs an amount or goods",IF(C37="","",IF(COUNTIF(Donors!$B$6:$B$305,C37)=0,"Not on Donors","")))))))</f>
        <v/>
      </c>
      <c r="K37" s="1">
        <f>IF(ISNUMBER(B37),YEAR(B37),"")</f>
        <v/>
      </c>
      <c r="L37">
        <f>IF(ISNUMBER(B37),YEAR(B37)*100+MONTH(B37),"")</f>
        <v/>
      </c>
      <c r="M37">
        <f>IF(ISNUMBER(B37),INT(B37),0)</f>
        <v/>
      </c>
      <c r="N37">
        <f>IF(OR(C37="",F37="",Q37=0),0,IF(COUNTIFS(C$6:C37,C37,F$6:F37,F37,Q$6:Q37,1)=1,1,0))</f>
        <v/>
      </c>
      <c r="O37">
        <f>IF(OR(C37="",Q37=0,H37&lt;&gt;""),"",M37*10000+ROW())</f>
        <v/>
      </c>
      <c r="P37">
        <f>IF(OR(C37="",Q37=0),"",IF(AND(C37=Statement!$C$4,K37=Statement!$C$5),M37*10000+ROW(),""))</f>
        <v/>
      </c>
      <c r="Q37">
        <f>IF(AND(ISNUMBER(B37),OR(N(D37)&gt;0,G37&lt;&gt;"")),1,0)</f>
        <v/>
      </c>
    </row>
    <row r="38">
      <c r="A38" s="1" t="n"/>
      <c r="B38" s="21" t="n">
        <v>46090</v>
      </c>
      <c r="C38" s="22" t="inlineStr">
        <is>
          <t>Amina Yusuf</t>
        </is>
      </c>
      <c r="D38" s="23" t="n">
        <v>15</v>
      </c>
      <c r="E38" s="24" t="inlineStr">
        <is>
          <t>Bank transfer</t>
        </is>
      </c>
      <c r="F38" s="25" t="inlineStr">
        <is>
          <t>General fund</t>
        </is>
      </c>
      <c r="G38" s="25" t="n"/>
      <c r="H38" s="24" t="inlineStr">
        <is>
          <t>x</t>
        </is>
      </c>
      <c r="I38" s="25" t="inlineStr">
        <is>
          <t>Monthly</t>
        </is>
      </c>
      <c r="J38" s="17">
        <f>IF(AND(C38="",D38="",G38=""),"",IF(NOT(ISNUMBER(B38)),"Needs a date",IF(AND(D38&lt;&gt;"",NOT(ISNUMBER(D38))),"Amount not a number",IF(N(D38)&lt;0,"Amount below zero",IF(AND(N(D38)=0,G38=""),"Needs an amount or goods",IF(C38="","",IF(COUNTIF(Donors!$B$6:$B$305,C38)=0,"Not on Donors","")))))))</f>
        <v/>
      </c>
      <c r="K38" s="1">
        <f>IF(ISNUMBER(B38),YEAR(B38),"")</f>
        <v/>
      </c>
      <c r="L38">
        <f>IF(ISNUMBER(B38),YEAR(B38)*100+MONTH(B38),"")</f>
        <v/>
      </c>
      <c r="M38">
        <f>IF(ISNUMBER(B38),INT(B38),0)</f>
        <v/>
      </c>
      <c r="N38">
        <f>IF(OR(C38="",F38="",Q38=0),0,IF(COUNTIFS(C$6:C38,C38,F$6:F38,F38,Q$6:Q38,1)=1,1,0))</f>
        <v/>
      </c>
      <c r="O38">
        <f>IF(OR(C38="",Q38=0,H38&lt;&gt;""),"",M38*10000+ROW())</f>
        <v/>
      </c>
      <c r="P38">
        <f>IF(OR(C38="",Q38=0),"",IF(AND(C38=Statement!$C$4,K38=Statement!$C$5),M38*10000+ROW(),""))</f>
        <v/>
      </c>
      <c r="Q38">
        <f>IF(AND(ISNUMBER(B38),OR(N(D38)&gt;0,G38&lt;&gt;"")),1,0)</f>
        <v/>
      </c>
    </row>
    <row r="39">
      <c r="A39" s="1" t="n"/>
      <c r="B39" s="21" t="n">
        <v>46117</v>
      </c>
      <c r="C39" s="22" t="inlineStr">
        <is>
          <t>Grace Holloway</t>
        </is>
      </c>
      <c r="D39" s="23" t="n">
        <v>25</v>
      </c>
      <c r="E39" s="24" t="inlineStr">
        <is>
          <t>Bank transfer</t>
        </is>
      </c>
      <c r="F39" s="25" t="inlineStr">
        <is>
          <t>General fund</t>
        </is>
      </c>
      <c r="G39" s="25" t="n"/>
      <c r="H39" s="24" t="inlineStr">
        <is>
          <t>x</t>
        </is>
      </c>
      <c r="I39" s="25" t="inlineStr">
        <is>
          <t>Monthly</t>
        </is>
      </c>
      <c r="J39" s="17">
        <f>IF(AND(C39="",D39="",G39=""),"",IF(NOT(ISNUMBER(B39)),"Needs a date",IF(AND(D39&lt;&gt;"",NOT(ISNUMBER(D39))),"Amount not a number",IF(N(D39)&lt;0,"Amount below zero",IF(AND(N(D39)=0,G39=""),"Needs an amount or goods",IF(C39="","",IF(COUNTIF(Donors!$B$6:$B$305,C39)=0,"Not on Donors","")))))))</f>
        <v/>
      </c>
      <c r="K39" s="1">
        <f>IF(ISNUMBER(B39),YEAR(B39),"")</f>
        <v/>
      </c>
      <c r="L39">
        <f>IF(ISNUMBER(B39),YEAR(B39)*100+MONTH(B39),"")</f>
        <v/>
      </c>
      <c r="M39">
        <f>IF(ISNUMBER(B39),INT(B39),0)</f>
        <v/>
      </c>
      <c r="N39">
        <f>IF(OR(C39="",F39="",Q39=0),0,IF(COUNTIFS(C$6:C39,C39,F$6:F39,F39,Q$6:Q39,1)=1,1,0))</f>
        <v/>
      </c>
      <c r="O39">
        <f>IF(OR(C39="",Q39=0,H39&lt;&gt;""),"",M39*10000+ROW())</f>
        <v/>
      </c>
      <c r="P39">
        <f>IF(OR(C39="",Q39=0),"",IF(AND(C39=Statement!$C$4,K39=Statement!$C$5),M39*10000+ROW(),""))</f>
        <v/>
      </c>
      <c r="Q39">
        <f>IF(AND(ISNUMBER(B39),OR(N(D39)&gt;0,G39&lt;&gt;"")),1,0)</f>
        <v/>
      </c>
    </row>
    <row r="40">
      <c r="A40" s="1" t="n"/>
      <c r="B40" s="21" t="n">
        <v>46120</v>
      </c>
      <c r="C40" s="22" t="inlineStr">
        <is>
          <t>Ravi Patel</t>
        </is>
      </c>
      <c r="D40" s="23" t="n">
        <v>20</v>
      </c>
      <c r="E40" s="24" t="inlineStr">
        <is>
          <t>Bank transfer</t>
        </is>
      </c>
      <c r="F40" s="25" t="inlineStr">
        <is>
          <t>General fund</t>
        </is>
      </c>
      <c r="G40" s="25" t="n"/>
      <c r="H40" s="24" t="inlineStr">
        <is>
          <t>x</t>
        </is>
      </c>
      <c r="I40" s="25" t="inlineStr">
        <is>
          <t>Monthly</t>
        </is>
      </c>
      <c r="J40" s="17">
        <f>IF(AND(C40="",D40="",G40=""),"",IF(NOT(ISNUMBER(B40)),"Needs a date",IF(AND(D40&lt;&gt;"",NOT(ISNUMBER(D40))),"Amount not a number",IF(N(D40)&lt;0,"Amount below zero",IF(AND(N(D40)=0,G40=""),"Needs an amount or goods",IF(C40="","",IF(COUNTIF(Donors!$B$6:$B$305,C40)=0,"Not on Donors","")))))))</f>
        <v/>
      </c>
      <c r="K40" s="1">
        <f>IF(ISNUMBER(B40),YEAR(B40),"")</f>
        <v/>
      </c>
      <c r="L40">
        <f>IF(ISNUMBER(B40),YEAR(B40)*100+MONTH(B40),"")</f>
        <v/>
      </c>
      <c r="M40">
        <f>IF(ISNUMBER(B40),INT(B40),0)</f>
        <v/>
      </c>
      <c r="N40">
        <f>IF(OR(C40="",F40="",Q40=0),0,IF(COUNTIFS(C$6:C40,C40,F$6:F40,F40,Q$6:Q40,1)=1,1,0))</f>
        <v/>
      </c>
      <c r="O40">
        <f>IF(OR(C40="",Q40=0,H40&lt;&gt;""),"",M40*10000+ROW())</f>
        <v/>
      </c>
      <c r="P40">
        <f>IF(OR(C40="",Q40=0),"",IF(AND(C40=Statement!$C$4,K40=Statement!$C$5),M40*10000+ROW(),""))</f>
        <v/>
      </c>
      <c r="Q40">
        <f>IF(AND(ISNUMBER(B40),OR(N(D40)&gt;0,G40&lt;&gt;"")),1,0)</f>
        <v/>
      </c>
    </row>
    <row r="41">
      <c r="A41" s="1" t="n"/>
      <c r="B41" s="21" t="n">
        <v>46121</v>
      </c>
      <c r="C41" s="22" t="inlineStr">
        <is>
          <t>Amina Yusuf</t>
        </is>
      </c>
      <c r="D41" s="23" t="n">
        <v>15</v>
      </c>
      <c r="E41" s="24" t="inlineStr">
        <is>
          <t>Bank transfer</t>
        </is>
      </c>
      <c r="F41" s="25" t="inlineStr">
        <is>
          <t>General fund</t>
        </is>
      </c>
      <c r="G41" s="25" t="n"/>
      <c r="H41" s="24" t="inlineStr">
        <is>
          <t>x</t>
        </is>
      </c>
      <c r="I41" s="25" t="inlineStr">
        <is>
          <t>Monthly</t>
        </is>
      </c>
      <c r="J41" s="17">
        <f>IF(AND(C41="",D41="",G41=""),"",IF(NOT(ISNUMBER(B41)),"Needs a date",IF(AND(D41&lt;&gt;"",NOT(ISNUMBER(D41))),"Amount not a number",IF(N(D41)&lt;0,"Amount below zero",IF(AND(N(D41)=0,G41=""),"Needs an amount or goods",IF(C41="","",IF(COUNTIF(Donors!$B$6:$B$305,C41)=0,"Not on Donors","")))))))</f>
        <v/>
      </c>
      <c r="K41" s="1">
        <f>IF(ISNUMBER(B41),YEAR(B41),"")</f>
        <v/>
      </c>
      <c r="L41">
        <f>IF(ISNUMBER(B41),YEAR(B41)*100+MONTH(B41),"")</f>
        <v/>
      </c>
      <c r="M41">
        <f>IF(ISNUMBER(B41),INT(B41),0)</f>
        <v/>
      </c>
      <c r="N41">
        <f>IF(OR(C41="",F41="",Q41=0),0,IF(COUNTIFS(C$6:C41,C41,F$6:F41,F41,Q$6:Q41,1)=1,1,0))</f>
        <v/>
      </c>
      <c r="O41">
        <f>IF(OR(C41="",Q41=0,H41&lt;&gt;""),"",M41*10000+ROW())</f>
        <v/>
      </c>
      <c r="P41">
        <f>IF(OR(C41="",Q41=0),"",IF(AND(C41=Statement!$C$4,K41=Statement!$C$5),M41*10000+ROW(),""))</f>
        <v/>
      </c>
      <c r="Q41">
        <f>IF(AND(ISNUMBER(B41),OR(N(D41)&gt;0,G41&lt;&gt;"")),1,0)</f>
        <v/>
      </c>
    </row>
    <row r="42">
      <c r="A42" s="1" t="n"/>
      <c r="B42" s="21" t="n">
        <v>46147</v>
      </c>
      <c r="C42" s="22" t="inlineStr">
        <is>
          <t>Grace Holloway</t>
        </is>
      </c>
      <c r="D42" s="23" t="n">
        <v>25</v>
      </c>
      <c r="E42" s="24" t="inlineStr">
        <is>
          <t>Bank transfer</t>
        </is>
      </c>
      <c r="F42" s="25" t="inlineStr">
        <is>
          <t>General fund</t>
        </is>
      </c>
      <c r="G42" s="25" t="n"/>
      <c r="H42" s="24" t="inlineStr">
        <is>
          <t>x</t>
        </is>
      </c>
      <c r="I42" s="25" t="inlineStr">
        <is>
          <t>Monthly</t>
        </is>
      </c>
      <c r="J42" s="17">
        <f>IF(AND(C42="",D42="",G42=""),"",IF(NOT(ISNUMBER(B42)),"Needs a date",IF(AND(D42&lt;&gt;"",NOT(ISNUMBER(D42))),"Amount not a number",IF(N(D42)&lt;0,"Amount below zero",IF(AND(N(D42)=0,G42=""),"Needs an amount or goods",IF(C42="","",IF(COUNTIF(Donors!$B$6:$B$305,C42)=0,"Not on Donors","")))))))</f>
        <v/>
      </c>
      <c r="K42" s="1">
        <f>IF(ISNUMBER(B42),YEAR(B42),"")</f>
        <v/>
      </c>
      <c r="L42">
        <f>IF(ISNUMBER(B42),YEAR(B42)*100+MONTH(B42),"")</f>
        <v/>
      </c>
      <c r="M42">
        <f>IF(ISNUMBER(B42),INT(B42),0)</f>
        <v/>
      </c>
      <c r="N42">
        <f>IF(OR(C42="",F42="",Q42=0),0,IF(COUNTIFS(C$6:C42,C42,F$6:F42,F42,Q$6:Q42,1)=1,1,0))</f>
        <v/>
      </c>
      <c r="O42">
        <f>IF(OR(C42="",Q42=0,H42&lt;&gt;""),"",M42*10000+ROW())</f>
        <v/>
      </c>
      <c r="P42">
        <f>IF(OR(C42="",Q42=0),"",IF(AND(C42=Statement!$C$4,K42=Statement!$C$5),M42*10000+ROW(),""))</f>
        <v/>
      </c>
      <c r="Q42">
        <f>IF(AND(ISNUMBER(B42),OR(N(D42)&gt;0,G42&lt;&gt;"")),1,0)</f>
        <v/>
      </c>
    </row>
    <row r="43">
      <c r="A43" s="1" t="n"/>
      <c r="B43" s="21" t="n">
        <v>46150</v>
      </c>
      <c r="C43" s="22" t="inlineStr">
        <is>
          <t>Ravi Patel</t>
        </is>
      </c>
      <c r="D43" s="23" t="n">
        <v>20</v>
      </c>
      <c r="E43" s="24" t="inlineStr">
        <is>
          <t>Bank transfer</t>
        </is>
      </c>
      <c r="F43" s="25" t="inlineStr">
        <is>
          <t>General fund</t>
        </is>
      </c>
      <c r="G43" s="25" t="n"/>
      <c r="H43" s="24" t="inlineStr">
        <is>
          <t>x</t>
        </is>
      </c>
      <c r="I43" s="25" t="inlineStr">
        <is>
          <t>Monthly</t>
        </is>
      </c>
      <c r="J43" s="17">
        <f>IF(AND(C43="",D43="",G43=""),"",IF(NOT(ISNUMBER(B43)),"Needs a date",IF(AND(D43&lt;&gt;"",NOT(ISNUMBER(D43))),"Amount not a number",IF(N(D43)&lt;0,"Amount below zero",IF(AND(N(D43)=0,G43=""),"Needs an amount or goods",IF(C43="","",IF(COUNTIF(Donors!$B$6:$B$305,C43)=0,"Not on Donors","")))))))</f>
        <v/>
      </c>
      <c r="K43" s="1">
        <f>IF(ISNUMBER(B43),YEAR(B43),"")</f>
        <v/>
      </c>
      <c r="L43">
        <f>IF(ISNUMBER(B43),YEAR(B43)*100+MONTH(B43),"")</f>
        <v/>
      </c>
      <c r="M43">
        <f>IF(ISNUMBER(B43),INT(B43),0)</f>
        <v/>
      </c>
      <c r="N43">
        <f>IF(OR(C43="",F43="",Q43=0),0,IF(COUNTIFS(C$6:C43,C43,F$6:F43,F43,Q$6:Q43,1)=1,1,0))</f>
        <v/>
      </c>
      <c r="O43">
        <f>IF(OR(C43="",Q43=0,H43&lt;&gt;""),"",M43*10000+ROW())</f>
        <v/>
      </c>
      <c r="P43">
        <f>IF(OR(C43="",Q43=0),"",IF(AND(C43=Statement!$C$4,K43=Statement!$C$5),M43*10000+ROW(),""))</f>
        <v/>
      </c>
      <c r="Q43">
        <f>IF(AND(ISNUMBER(B43),OR(N(D43)&gt;0,G43&lt;&gt;"")),1,0)</f>
        <v/>
      </c>
    </row>
    <row r="44">
      <c r="A44" s="1" t="n"/>
      <c r="B44" s="21" t="n">
        <v>46151</v>
      </c>
      <c r="C44" s="22" t="inlineStr">
        <is>
          <t>Amina Yusuf</t>
        </is>
      </c>
      <c r="D44" s="23" t="n">
        <v>15</v>
      </c>
      <c r="E44" s="24" t="inlineStr">
        <is>
          <t>Bank transfer</t>
        </is>
      </c>
      <c r="F44" s="25" t="inlineStr">
        <is>
          <t>General fund</t>
        </is>
      </c>
      <c r="G44" s="25" t="n"/>
      <c r="H44" s="24" t="inlineStr">
        <is>
          <t>x</t>
        </is>
      </c>
      <c r="I44" s="25" t="inlineStr">
        <is>
          <t>Monthly</t>
        </is>
      </c>
      <c r="J44" s="17">
        <f>IF(AND(C44="",D44="",G44=""),"",IF(NOT(ISNUMBER(B44)),"Needs a date",IF(AND(D44&lt;&gt;"",NOT(ISNUMBER(D44))),"Amount not a number",IF(N(D44)&lt;0,"Amount below zero",IF(AND(N(D44)=0,G44=""),"Needs an amount or goods",IF(C44="","",IF(COUNTIF(Donors!$B$6:$B$305,C44)=0,"Not on Donors","")))))))</f>
        <v/>
      </c>
      <c r="K44" s="1">
        <f>IF(ISNUMBER(B44),YEAR(B44),"")</f>
        <v/>
      </c>
      <c r="L44">
        <f>IF(ISNUMBER(B44),YEAR(B44)*100+MONTH(B44),"")</f>
        <v/>
      </c>
      <c r="M44">
        <f>IF(ISNUMBER(B44),INT(B44),0)</f>
        <v/>
      </c>
      <c r="N44">
        <f>IF(OR(C44="",F44="",Q44=0),0,IF(COUNTIFS(C$6:C44,C44,F$6:F44,F44,Q$6:Q44,1)=1,1,0))</f>
        <v/>
      </c>
      <c r="O44">
        <f>IF(OR(C44="",Q44=0,H44&lt;&gt;""),"",M44*10000+ROW())</f>
        <v/>
      </c>
      <c r="P44">
        <f>IF(OR(C44="",Q44=0),"",IF(AND(C44=Statement!$C$4,K44=Statement!$C$5),M44*10000+ROW(),""))</f>
        <v/>
      </c>
      <c r="Q44">
        <f>IF(AND(ISNUMBER(B44),OR(N(D44)&gt;0,G44&lt;&gt;"")),1,0)</f>
        <v/>
      </c>
    </row>
    <row r="45">
      <c r="A45" s="1" t="n"/>
      <c r="B45" s="21" t="n">
        <v>46153</v>
      </c>
      <c r="C45" s="22" t="inlineStr">
        <is>
          <t>Riverton Hardware</t>
        </is>
      </c>
      <c r="D45" s="23" t="n">
        <v>500</v>
      </c>
      <c r="E45" s="24" t="inlineStr">
        <is>
          <t>Check</t>
        </is>
      </c>
      <c r="F45" s="25" t="inlineStr">
        <is>
          <t>New freezer</t>
        </is>
      </c>
      <c r="G45" s="25" t="n"/>
      <c r="H45" s="24" t="inlineStr">
        <is>
          <t>x</t>
        </is>
      </c>
      <c r="I45" s="25" t="n"/>
      <c r="J45" s="17">
        <f>IF(AND(C45="",D45="",G45=""),"",IF(NOT(ISNUMBER(B45)),"Needs a date",IF(AND(D45&lt;&gt;"",NOT(ISNUMBER(D45))),"Amount not a number",IF(N(D45)&lt;0,"Amount below zero",IF(AND(N(D45)=0,G45=""),"Needs an amount or goods",IF(C45="","",IF(COUNTIF(Donors!$B$6:$B$305,C45)=0,"Not on Donors","")))))))</f>
        <v/>
      </c>
      <c r="K45" s="1">
        <f>IF(ISNUMBER(B45),YEAR(B45),"")</f>
        <v/>
      </c>
      <c r="L45">
        <f>IF(ISNUMBER(B45),YEAR(B45)*100+MONTH(B45),"")</f>
        <v/>
      </c>
      <c r="M45">
        <f>IF(ISNUMBER(B45),INT(B45),0)</f>
        <v/>
      </c>
      <c r="N45">
        <f>IF(OR(C45="",F45="",Q45=0),0,IF(COUNTIFS(C$6:C45,C45,F$6:F45,F45,Q$6:Q45,1)=1,1,0))</f>
        <v/>
      </c>
      <c r="O45">
        <f>IF(OR(C45="",Q45=0,H45&lt;&gt;""),"",M45*10000+ROW())</f>
        <v/>
      </c>
      <c r="P45">
        <f>IF(OR(C45="",Q45=0),"",IF(AND(C45=Statement!$C$4,K45=Statement!$C$5),M45*10000+ROW(),""))</f>
        <v/>
      </c>
      <c r="Q45">
        <f>IF(AND(ISNUMBER(B45),OR(N(D45)&gt;0,G45&lt;&gt;"")),1,0)</f>
        <v/>
      </c>
    </row>
    <row r="46">
      <c r="A46" s="1" t="n"/>
      <c r="B46" s="21" t="n">
        <v>46173</v>
      </c>
      <c r="C46" s="22" t="inlineStr">
        <is>
          <t>Old Mill Trust</t>
        </is>
      </c>
      <c r="D46" s="23" t="n">
        <v>2500</v>
      </c>
      <c r="E46" s="24" t="inlineStr">
        <is>
          <t>Bank transfer</t>
        </is>
      </c>
      <c r="F46" s="25" t="inlineStr">
        <is>
          <t>New freezer</t>
        </is>
      </c>
      <c r="G46" s="25" t="n"/>
      <c r="H46" s="24" t="inlineStr">
        <is>
          <t>x</t>
        </is>
      </c>
      <c r="I46" s="25" t="inlineStr">
        <is>
          <t>Yearly grant</t>
        </is>
      </c>
      <c r="J46" s="17">
        <f>IF(AND(C46="",D46="",G46=""),"",IF(NOT(ISNUMBER(B46)),"Needs a date",IF(AND(D46&lt;&gt;"",NOT(ISNUMBER(D46))),"Amount not a number",IF(N(D46)&lt;0,"Amount below zero",IF(AND(N(D46)=0,G46=""),"Needs an amount or goods",IF(C46="","",IF(COUNTIF(Donors!$B$6:$B$305,C46)=0,"Not on Donors","")))))))</f>
        <v/>
      </c>
      <c r="K46" s="1">
        <f>IF(ISNUMBER(B46),YEAR(B46),"")</f>
        <v/>
      </c>
      <c r="L46">
        <f>IF(ISNUMBER(B46),YEAR(B46)*100+MONTH(B46),"")</f>
        <v/>
      </c>
      <c r="M46">
        <f>IF(ISNUMBER(B46),INT(B46),0)</f>
        <v/>
      </c>
      <c r="N46">
        <f>IF(OR(C46="",F46="",Q46=0),0,IF(COUNTIFS(C$6:C46,C46,F$6:F46,F46,Q$6:Q46,1)=1,1,0))</f>
        <v/>
      </c>
      <c r="O46">
        <f>IF(OR(C46="",Q46=0,H46&lt;&gt;""),"",M46*10000+ROW())</f>
        <v/>
      </c>
      <c r="P46">
        <f>IF(OR(C46="",Q46=0),"",IF(AND(C46=Statement!$C$4,K46=Statement!$C$5),M46*10000+ROW(),""))</f>
        <v/>
      </c>
      <c r="Q46">
        <f>IF(AND(ISNUMBER(B46),OR(N(D46)&gt;0,G46&lt;&gt;"")),1,0)</f>
        <v/>
      </c>
    </row>
    <row r="47">
      <c r="A47" s="1" t="n"/>
      <c r="B47" s="21" t="n">
        <v>46178</v>
      </c>
      <c r="C47" s="22" t="inlineStr">
        <is>
          <t>Grace Holloway</t>
        </is>
      </c>
      <c r="D47" s="23" t="n">
        <v>25</v>
      </c>
      <c r="E47" s="24" t="inlineStr">
        <is>
          <t>Bank transfer</t>
        </is>
      </c>
      <c r="F47" s="25" t="inlineStr">
        <is>
          <t>General fund</t>
        </is>
      </c>
      <c r="G47" s="25" t="n"/>
      <c r="H47" s="24" t="inlineStr">
        <is>
          <t>x</t>
        </is>
      </c>
      <c r="I47" s="25" t="inlineStr">
        <is>
          <t>Monthly</t>
        </is>
      </c>
      <c r="J47" s="17">
        <f>IF(AND(C47="",D47="",G47=""),"",IF(NOT(ISNUMBER(B47)),"Needs a date",IF(AND(D47&lt;&gt;"",NOT(ISNUMBER(D47))),"Amount not a number",IF(N(D47)&lt;0,"Amount below zero",IF(AND(N(D47)=0,G47=""),"Needs an amount or goods",IF(C47="","",IF(COUNTIF(Donors!$B$6:$B$305,C47)=0,"Not on Donors","")))))))</f>
        <v/>
      </c>
      <c r="K47" s="1">
        <f>IF(ISNUMBER(B47),YEAR(B47),"")</f>
        <v/>
      </c>
      <c r="L47">
        <f>IF(ISNUMBER(B47),YEAR(B47)*100+MONTH(B47),"")</f>
        <v/>
      </c>
      <c r="M47">
        <f>IF(ISNUMBER(B47),INT(B47),0)</f>
        <v/>
      </c>
      <c r="N47">
        <f>IF(OR(C47="",F47="",Q47=0),0,IF(COUNTIFS(C$6:C47,C47,F$6:F47,F47,Q$6:Q47,1)=1,1,0))</f>
        <v/>
      </c>
      <c r="O47">
        <f>IF(OR(C47="",Q47=0,H47&lt;&gt;""),"",M47*10000+ROW())</f>
        <v/>
      </c>
      <c r="P47">
        <f>IF(OR(C47="",Q47=0),"",IF(AND(C47=Statement!$C$4,K47=Statement!$C$5),M47*10000+ROW(),""))</f>
        <v/>
      </c>
      <c r="Q47">
        <f>IF(AND(ISNUMBER(B47),OR(N(D47)&gt;0,G47&lt;&gt;"")),1,0)</f>
        <v/>
      </c>
    </row>
    <row r="48">
      <c r="A48" s="1" t="n"/>
      <c r="B48" s="21" t="n">
        <v>46181</v>
      </c>
      <c r="C48" s="22" t="inlineStr">
        <is>
          <t>Ravi Patel</t>
        </is>
      </c>
      <c r="D48" s="23" t="n">
        <v>20</v>
      </c>
      <c r="E48" s="24" t="inlineStr">
        <is>
          <t>Bank transfer</t>
        </is>
      </c>
      <c r="F48" s="25" t="inlineStr">
        <is>
          <t>General fund</t>
        </is>
      </c>
      <c r="G48" s="25" t="n"/>
      <c r="H48" s="24" t="inlineStr">
        <is>
          <t>x</t>
        </is>
      </c>
      <c r="I48" s="25" t="inlineStr">
        <is>
          <t>Monthly</t>
        </is>
      </c>
      <c r="J48" s="17">
        <f>IF(AND(C48="",D48="",G48=""),"",IF(NOT(ISNUMBER(B48)),"Needs a date",IF(AND(D48&lt;&gt;"",NOT(ISNUMBER(D48))),"Amount not a number",IF(N(D48)&lt;0,"Amount below zero",IF(AND(N(D48)=0,G48=""),"Needs an amount or goods",IF(C48="","",IF(COUNTIF(Donors!$B$6:$B$305,C48)=0,"Not on Donors","")))))))</f>
        <v/>
      </c>
      <c r="K48" s="1">
        <f>IF(ISNUMBER(B48),YEAR(B48),"")</f>
        <v/>
      </c>
      <c r="L48">
        <f>IF(ISNUMBER(B48),YEAR(B48)*100+MONTH(B48),"")</f>
        <v/>
      </c>
      <c r="M48">
        <f>IF(ISNUMBER(B48),INT(B48),0)</f>
        <v/>
      </c>
      <c r="N48">
        <f>IF(OR(C48="",F48="",Q48=0),0,IF(COUNTIFS(C$6:C48,C48,F$6:F48,F48,Q$6:Q48,1)=1,1,0))</f>
        <v/>
      </c>
      <c r="O48">
        <f>IF(OR(C48="",Q48=0,H48&lt;&gt;""),"",M48*10000+ROW())</f>
        <v/>
      </c>
      <c r="P48">
        <f>IF(OR(C48="",Q48=0),"",IF(AND(C48=Statement!$C$4,K48=Statement!$C$5),M48*10000+ROW(),""))</f>
        <v/>
      </c>
      <c r="Q48">
        <f>IF(AND(ISNUMBER(B48),OR(N(D48)&gt;0,G48&lt;&gt;"")),1,0)</f>
        <v/>
      </c>
    </row>
    <row r="49">
      <c r="A49" s="1" t="n"/>
      <c r="B49" s="21" t="n">
        <v>46182</v>
      </c>
      <c r="C49" s="22" t="inlineStr">
        <is>
          <t>Amina Yusuf</t>
        </is>
      </c>
      <c r="D49" s="23" t="n">
        <v>15</v>
      </c>
      <c r="E49" s="24" t="inlineStr">
        <is>
          <t>Bank transfer</t>
        </is>
      </c>
      <c r="F49" s="25" t="inlineStr">
        <is>
          <t>General fund</t>
        </is>
      </c>
      <c r="G49" s="25" t="n"/>
      <c r="H49" s="24" t="inlineStr">
        <is>
          <t>x</t>
        </is>
      </c>
      <c r="I49" s="25" t="inlineStr">
        <is>
          <t>Monthly</t>
        </is>
      </c>
      <c r="J49" s="17">
        <f>IF(AND(C49="",D49="",G49=""),"",IF(NOT(ISNUMBER(B49)),"Needs a date",IF(AND(D49&lt;&gt;"",NOT(ISNUMBER(D49))),"Amount not a number",IF(N(D49)&lt;0,"Amount below zero",IF(AND(N(D49)=0,G49=""),"Needs an amount or goods",IF(C49="","",IF(COUNTIF(Donors!$B$6:$B$305,C49)=0,"Not on Donors","")))))))</f>
        <v/>
      </c>
      <c r="K49" s="1">
        <f>IF(ISNUMBER(B49),YEAR(B49),"")</f>
        <v/>
      </c>
      <c r="L49">
        <f>IF(ISNUMBER(B49),YEAR(B49)*100+MONTH(B49),"")</f>
        <v/>
      </c>
      <c r="M49">
        <f>IF(ISNUMBER(B49),INT(B49),0)</f>
        <v/>
      </c>
      <c r="N49">
        <f>IF(OR(C49="",F49="",Q49=0),0,IF(COUNTIFS(C$6:C49,C49,F$6:F49,F49,Q$6:Q49,1)=1,1,0))</f>
        <v/>
      </c>
      <c r="O49">
        <f>IF(OR(C49="",Q49=0,H49&lt;&gt;""),"",M49*10000+ROW())</f>
        <v/>
      </c>
      <c r="P49">
        <f>IF(OR(C49="",Q49=0),"",IF(AND(C49=Statement!$C$4,K49=Statement!$C$5),M49*10000+ROW(),""))</f>
        <v/>
      </c>
      <c r="Q49">
        <f>IF(AND(ISNUMBER(B49),OR(N(D49)&gt;0,G49&lt;&gt;"")),1,0)</f>
        <v/>
      </c>
    </row>
    <row r="50">
      <c r="A50" s="1" t="n"/>
      <c r="B50" s="21" t="n">
        <v>46193</v>
      </c>
      <c r="C50" s="22" t="inlineStr">
        <is>
          <t>Corner Bakery</t>
        </is>
      </c>
      <c r="D50" s="23" t="n">
        <v>150</v>
      </c>
      <c r="E50" s="24" t="inlineStr">
        <is>
          <t>Card</t>
        </is>
      </c>
      <c r="F50" s="25" t="inlineStr">
        <is>
          <t>Back to school</t>
        </is>
      </c>
      <c r="G50" s="25" t="n"/>
      <c r="H50" s="24" t="inlineStr">
        <is>
          <t>x</t>
        </is>
      </c>
      <c r="I50" s="25" t="n"/>
      <c r="J50" s="17">
        <f>IF(AND(C50="",D50="",G50=""),"",IF(NOT(ISNUMBER(B50)),"Needs a date",IF(AND(D50&lt;&gt;"",NOT(ISNUMBER(D50))),"Amount not a number",IF(N(D50)&lt;0,"Amount below zero",IF(AND(N(D50)=0,G50=""),"Needs an amount or goods",IF(C50="","",IF(COUNTIF(Donors!$B$6:$B$305,C50)=0,"Not on Donors","")))))))</f>
        <v/>
      </c>
      <c r="K50" s="1">
        <f>IF(ISNUMBER(B50),YEAR(B50),"")</f>
        <v/>
      </c>
      <c r="L50">
        <f>IF(ISNUMBER(B50),YEAR(B50)*100+MONTH(B50),"")</f>
        <v/>
      </c>
      <c r="M50">
        <f>IF(ISNUMBER(B50),INT(B50),0)</f>
        <v/>
      </c>
      <c r="N50">
        <f>IF(OR(C50="",F50="",Q50=0),0,IF(COUNTIFS(C$6:C50,C50,F$6:F50,F50,Q$6:Q50,1)=1,1,0))</f>
        <v/>
      </c>
      <c r="O50">
        <f>IF(OR(C50="",Q50=0,H50&lt;&gt;""),"",M50*10000+ROW())</f>
        <v/>
      </c>
      <c r="P50">
        <f>IF(OR(C50="",Q50=0),"",IF(AND(C50=Statement!$C$4,K50=Statement!$C$5),M50*10000+ROW(),""))</f>
        <v/>
      </c>
      <c r="Q50">
        <f>IF(AND(ISNUMBER(B50),OR(N(D50)&gt;0,G50&lt;&gt;"")),1,0)</f>
        <v/>
      </c>
    </row>
    <row r="51">
      <c r="A51" s="1" t="n"/>
      <c r="B51" s="21" t="n">
        <v>46198</v>
      </c>
      <c r="C51" s="22" t="inlineStr">
        <is>
          <t>St Luke's Youth Group</t>
        </is>
      </c>
      <c r="D51" s="23" t="n">
        <v>320</v>
      </c>
      <c r="E51" s="24" t="inlineStr">
        <is>
          <t>Cash</t>
        </is>
      </c>
      <c r="F51" s="25" t="inlineStr">
        <is>
          <t>Back to school</t>
        </is>
      </c>
      <c r="G51" s="25" t="n"/>
      <c r="H51" s="24" t="inlineStr">
        <is>
          <t>x</t>
        </is>
      </c>
      <c r="I51" s="25" t="inlineStr">
        <is>
          <t>Car wash</t>
        </is>
      </c>
      <c r="J51" s="17">
        <f>IF(AND(C51="",D51="",G51=""),"",IF(NOT(ISNUMBER(B51)),"Needs a date",IF(AND(D51&lt;&gt;"",NOT(ISNUMBER(D51))),"Amount not a number",IF(N(D51)&lt;0,"Amount below zero",IF(AND(N(D51)=0,G51=""),"Needs an amount or goods",IF(C51="","",IF(COUNTIF(Donors!$B$6:$B$305,C51)=0,"Not on Donors","")))))))</f>
        <v/>
      </c>
      <c r="K51" s="1">
        <f>IF(ISNUMBER(B51),YEAR(B51),"")</f>
        <v/>
      </c>
      <c r="L51">
        <f>IF(ISNUMBER(B51),YEAR(B51)*100+MONTH(B51),"")</f>
        <v/>
      </c>
      <c r="M51">
        <f>IF(ISNUMBER(B51),INT(B51),0)</f>
        <v/>
      </c>
      <c r="N51">
        <f>IF(OR(C51="",F51="",Q51=0),0,IF(COUNTIFS(C$6:C51,C51,F$6:F51,F51,Q$6:Q51,1)=1,1,0))</f>
        <v/>
      </c>
      <c r="O51">
        <f>IF(OR(C51="",Q51=0,H51&lt;&gt;""),"",M51*10000+ROW())</f>
        <v/>
      </c>
      <c r="P51">
        <f>IF(OR(C51="",Q51=0),"",IF(AND(C51=Statement!$C$4,K51=Statement!$C$5),M51*10000+ROW(),""))</f>
        <v/>
      </c>
      <c r="Q51">
        <f>IF(AND(ISNUMBER(B51),OR(N(D51)&gt;0,G51&lt;&gt;"")),1,0)</f>
        <v/>
      </c>
    </row>
    <row r="52">
      <c r="A52" s="1" t="n"/>
      <c r="B52" s="21" t="n">
        <v>46203</v>
      </c>
      <c r="C52" s="22" t="inlineStr">
        <is>
          <t>Tom and Jess Carter</t>
        </is>
      </c>
      <c r="D52" s="23" t="n">
        <v>100</v>
      </c>
      <c r="E52" s="24" t="inlineStr">
        <is>
          <t>Card</t>
        </is>
      </c>
      <c r="F52" s="25" t="inlineStr">
        <is>
          <t>Back to school</t>
        </is>
      </c>
      <c r="G52" s="25" t="n"/>
      <c r="H52" s="24" t="inlineStr">
        <is>
          <t>x</t>
        </is>
      </c>
      <c r="I52" s="25" t="n"/>
      <c r="J52" s="17">
        <f>IF(AND(C52="",D52="",G52=""),"",IF(NOT(ISNUMBER(B52)),"Needs a date",IF(AND(D52&lt;&gt;"",NOT(ISNUMBER(D52))),"Amount not a number",IF(N(D52)&lt;0,"Amount below zero",IF(AND(N(D52)=0,G52=""),"Needs an amount or goods",IF(C52="","",IF(COUNTIF(Donors!$B$6:$B$305,C52)=0,"Not on Donors","")))))))</f>
        <v/>
      </c>
      <c r="K52" s="1">
        <f>IF(ISNUMBER(B52),YEAR(B52),"")</f>
        <v/>
      </c>
      <c r="L52">
        <f>IF(ISNUMBER(B52),YEAR(B52)*100+MONTH(B52),"")</f>
        <v/>
      </c>
      <c r="M52">
        <f>IF(ISNUMBER(B52),INT(B52),0)</f>
        <v/>
      </c>
      <c r="N52">
        <f>IF(OR(C52="",F52="",Q52=0),0,IF(COUNTIFS(C$6:C52,C52,F$6:F52,F52,Q$6:Q52,1)=1,1,0))</f>
        <v/>
      </c>
      <c r="O52">
        <f>IF(OR(C52="",Q52=0,H52&lt;&gt;""),"",M52*10000+ROW())</f>
        <v/>
      </c>
      <c r="P52">
        <f>IF(OR(C52="",Q52=0),"",IF(AND(C52=Statement!$C$4,K52=Statement!$C$5),M52*10000+ROW(),""))</f>
        <v/>
      </c>
      <c r="Q52">
        <f>IF(AND(ISNUMBER(B52),OR(N(D52)&gt;0,G52&lt;&gt;"")),1,0)</f>
        <v/>
      </c>
    </row>
    <row r="53">
      <c r="A53" s="1" t="n"/>
      <c r="B53" s="21" t="n">
        <v>46208</v>
      </c>
      <c r="C53" s="22" t="inlineStr">
        <is>
          <t>Grace Holloway</t>
        </is>
      </c>
      <c r="D53" s="23" t="n">
        <v>25</v>
      </c>
      <c r="E53" s="24" t="inlineStr">
        <is>
          <t>Bank transfer</t>
        </is>
      </c>
      <c r="F53" s="25" t="inlineStr">
        <is>
          <t>General fund</t>
        </is>
      </c>
      <c r="G53" s="25" t="n"/>
      <c r="H53" s="24" t="inlineStr">
        <is>
          <t>x</t>
        </is>
      </c>
      <c r="I53" s="25" t="inlineStr">
        <is>
          <t>Monthly</t>
        </is>
      </c>
      <c r="J53" s="17">
        <f>IF(AND(C53="",D53="",G53=""),"",IF(NOT(ISNUMBER(B53)),"Needs a date",IF(AND(D53&lt;&gt;"",NOT(ISNUMBER(D53))),"Amount not a number",IF(N(D53)&lt;0,"Amount below zero",IF(AND(N(D53)=0,G53=""),"Needs an amount or goods",IF(C53="","",IF(COUNTIF(Donors!$B$6:$B$305,C53)=0,"Not on Donors","")))))))</f>
        <v/>
      </c>
      <c r="K53" s="1">
        <f>IF(ISNUMBER(B53),YEAR(B53),"")</f>
        <v/>
      </c>
      <c r="L53">
        <f>IF(ISNUMBER(B53),YEAR(B53)*100+MONTH(B53),"")</f>
        <v/>
      </c>
      <c r="M53">
        <f>IF(ISNUMBER(B53),INT(B53),0)</f>
        <v/>
      </c>
      <c r="N53">
        <f>IF(OR(C53="",F53="",Q53=0),0,IF(COUNTIFS(C$6:C53,C53,F$6:F53,F53,Q$6:Q53,1)=1,1,0))</f>
        <v/>
      </c>
      <c r="O53">
        <f>IF(OR(C53="",Q53=0,H53&lt;&gt;""),"",M53*10000+ROW())</f>
        <v/>
      </c>
      <c r="P53">
        <f>IF(OR(C53="",Q53=0),"",IF(AND(C53=Statement!$C$4,K53=Statement!$C$5),M53*10000+ROW(),""))</f>
        <v/>
      </c>
      <c r="Q53">
        <f>IF(AND(ISNUMBER(B53),OR(N(D53)&gt;0,G53&lt;&gt;"")),1,0)</f>
        <v/>
      </c>
    </row>
    <row r="54">
      <c r="A54" s="1" t="n"/>
      <c r="B54" s="21" t="n">
        <v>46211</v>
      </c>
      <c r="C54" s="22" t="inlineStr">
        <is>
          <t>Ravi Patel</t>
        </is>
      </c>
      <c r="D54" s="23" t="n">
        <v>20</v>
      </c>
      <c r="E54" s="24" t="inlineStr">
        <is>
          <t>Bank transfer</t>
        </is>
      </c>
      <c r="F54" s="25" t="inlineStr">
        <is>
          <t>General fund</t>
        </is>
      </c>
      <c r="G54" s="25" t="n"/>
      <c r="H54" s="24" t="inlineStr">
        <is>
          <t>x</t>
        </is>
      </c>
      <c r="I54" s="25" t="inlineStr">
        <is>
          <t>Monthly</t>
        </is>
      </c>
      <c r="J54" s="17">
        <f>IF(AND(C54="",D54="",G54=""),"",IF(NOT(ISNUMBER(B54)),"Needs a date",IF(AND(D54&lt;&gt;"",NOT(ISNUMBER(D54))),"Amount not a number",IF(N(D54)&lt;0,"Amount below zero",IF(AND(N(D54)=0,G54=""),"Needs an amount or goods",IF(C54="","",IF(COUNTIF(Donors!$B$6:$B$305,C54)=0,"Not on Donors","")))))))</f>
        <v/>
      </c>
      <c r="K54" s="1">
        <f>IF(ISNUMBER(B54),YEAR(B54),"")</f>
        <v/>
      </c>
      <c r="L54">
        <f>IF(ISNUMBER(B54),YEAR(B54)*100+MONTH(B54),"")</f>
        <v/>
      </c>
      <c r="M54">
        <f>IF(ISNUMBER(B54),INT(B54),0)</f>
        <v/>
      </c>
      <c r="N54">
        <f>IF(OR(C54="",F54="",Q54=0),0,IF(COUNTIFS(C$6:C54,C54,F$6:F54,F54,Q$6:Q54,1)=1,1,0))</f>
        <v/>
      </c>
      <c r="O54">
        <f>IF(OR(C54="",Q54=0,H54&lt;&gt;""),"",M54*10000+ROW())</f>
        <v/>
      </c>
      <c r="P54">
        <f>IF(OR(C54="",Q54=0),"",IF(AND(C54=Statement!$C$4,K54=Statement!$C$5),M54*10000+ROW(),""))</f>
        <v/>
      </c>
      <c r="Q54">
        <f>IF(AND(ISNUMBER(B54),OR(N(D54)&gt;0,G54&lt;&gt;"")),1,0)</f>
        <v/>
      </c>
    </row>
    <row r="55">
      <c r="A55" s="1" t="n"/>
      <c r="B55" s="21" t="n">
        <v>46212</v>
      </c>
      <c r="C55" s="22" t="inlineStr">
        <is>
          <t>Amina Yusuf</t>
        </is>
      </c>
      <c r="D55" s="23" t="n">
        <v>15</v>
      </c>
      <c r="E55" s="24" t="inlineStr">
        <is>
          <t>Bank transfer</t>
        </is>
      </c>
      <c r="F55" s="25" t="inlineStr">
        <is>
          <t>General fund</t>
        </is>
      </c>
      <c r="G55" s="25" t="n"/>
      <c r="H55" s="24" t="inlineStr">
        <is>
          <t>x</t>
        </is>
      </c>
      <c r="I55" s="25" t="inlineStr">
        <is>
          <t>Monthly</t>
        </is>
      </c>
      <c r="J55" s="17">
        <f>IF(AND(C55="",D55="",G55=""),"",IF(NOT(ISNUMBER(B55)),"Needs a date",IF(AND(D55&lt;&gt;"",NOT(ISNUMBER(D55))),"Amount not a number",IF(N(D55)&lt;0,"Amount below zero",IF(AND(N(D55)=0,G55=""),"Needs an amount or goods",IF(C55="","",IF(COUNTIF(Donors!$B$6:$B$305,C55)=0,"Not on Donors","")))))))</f>
        <v/>
      </c>
      <c r="K55" s="1">
        <f>IF(ISNUMBER(B55),YEAR(B55),"")</f>
        <v/>
      </c>
      <c r="L55">
        <f>IF(ISNUMBER(B55),YEAR(B55)*100+MONTH(B55),"")</f>
        <v/>
      </c>
      <c r="M55">
        <f>IF(ISNUMBER(B55),INT(B55),0)</f>
        <v/>
      </c>
      <c r="N55">
        <f>IF(OR(C55="",F55="",Q55=0),0,IF(COUNTIFS(C$6:C55,C55,F$6:F55,F55,Q$6:Q55,1)=1,1,0))</f>
        <v/>
      </c>
      <c r="O55">
        <f>IF(OR(C55="",Q55=0,H55&lt;&gt;""),"",M55*10000+ROW())</f>
        <v/>
      </c>
      <c r="P55">
        <f>IF(OR(C55="",Q55=0),"",IF(AND(C55=Statement!$C$4,K55=Statement!$C$5),M55*10000+ROW(),""))</f>
        <v/>
      </c>
      <c r="Q55">
        <f>IF(AND(ISNUMBER(B55),OR(N(D55)&gt;0,G55&lt;&gt;"")),1,0)</f>
        <v/>
      </c>
    </row>
    <row r="56">
      <c r="A56" s="1" t="n"/>
      <c r="B56" s="21" t="n">
        <v>46218</v>
      </c>
      <c r="C56" s="22" t="n"/>
      <c r="D56" s="23" t="n">
        <v>64</v>
      </c>
      <c r="E56" s="24" t="inlineStr">
        <is>
          <t>Cash</t>
        </is>
      </c>
      <c r="F56" s="25" t="inlineStr">
        <is>
          <t>General fund</t>
        </is>
      </c>
      <c r="G56" s="25" t="n"/>
      <c r="H56" s="24" t="n"/>
      <c r="I56" s="25" t="inlineStr">
        <is>
          <t>Collection box</t>
        </is>
      </c>
      <c r="J56" s="17">
        <f>IF(AND(C56="",D56="",G56=""),"",IF(NOT(ISNUMBER(B56)),"Needs a date",IF(AND(D56&lt;&gt;"",NOT(ISNUMBER(D56))),"Amount not a number",IF(N(D56)&lt;0,"Amount below zero",IF(AND(N(D56)=0,G56=""),"Needs an amount or goods",IF(C56="","",IF(COUNTIF(Donors!$B$6:$B$305,C56)=0,"Not on Donors","")))))))</f>
        <v/>
      </c>
      <c r="K56" s="1">
        <f>IF(ISNUMBER(B56),YEAR(B56),"")</f>
        <v/>
      </c>
      <c r="L56">
        <f>IF(ISNUMBER(B56),YEAR(B56)*100+MONTH(B56),"")</f>
        <v/>
      </c>
      <c r="M56">
        <f>IF(ISNUMBER(B56),INT(B56),0)</f>
        <v/>
      </c>
      <c r="N56">
        <f>IF(OR(C56="",F56="",Q56=0),0,IF(COUNTIFS(C$6:C56,C56,F$6:F56,F56,Q$6:Q56,1)=1,1,0))</f>
        <v/>
      </c>
      <c r="O56">
        <f>IF(OR(C56="",Q56=0,H56&lt;&gt;""),"",M56*10000+ROW())</f>
        <v/>
      </c>
      <c r="P56">
        <f>IF(OR(C56="",Q56=0),"",IF(AND(C56=Statement!$C$4,K56=Statement!$C$5),M56*10000+ROW(),""))</f>
        <v/>
      </c>
      <c r="Q56">
        <f>IF(AND(ISNUMBER(B56),OR(N(D56)&gt;0,G56&lt;&gt;"")),1,0)</f>
        <v/>
      </c>
    </row>
    <row r="57">
      <c r="A57" s="1" t="n"/>
      <c r="B57" s="21" t="n">
        <v>46233</v>
      </c>
      <c r="C57" s="22" t="inlineStr">
        <is>
          <t>Riverton Rotary</t>
        </is>
      </c>
      <c r="D57" s="23" t="n">
        <v>750</v>
      </c>
      <c r="E57" s="24" t="inlineStr">
        <is>
          <t>Check</t>
        </is>
      </c>
      <c r="F57" s="25" t="inlineStr">
        <is>
          <t>New freezer</t>
        </is>
      </c>
      <c r="G57" s="25" t="n"/>
      <c r="H57" s="24" t="inlineStr">
        <is>
          <t>x</t>
        </is>
      </c>
      <c r="I57" s="25" t="n"/>
      <c r="J57" s="17">
        <f>IF(AND(C57="",D57="",G57=""),"",IF(NOT(ISNUMBER(B57)),"Needs a date",IF(AND(D57&lt;&gt;"",NOT(ISNUMBER(D57))),"Amount not a number",IF(N(D57)&lt;0,"Amount below zero",IF(AND(N(D57)=0,G57=""),"Needs an amount or goods",IF(C57="","",IF(COUNTIF(Donors!$B$6:$B$305,C57)=0,"Not on Donors","")))))))</f>
        <v/>
      </c>
      <c r="K57" s="1">
        <f>IF(ISNUMBER(B57),YEAR(B57),"")</f>
        <v/>
      </c>
      <c r="L57">
        <f>IF(ISNUMBER(B57),YEAR(B57)*100+MONTH(B57),"")</f>
        <v/>
      </c>
      <c r="M57">
        <f>IF(ISNUMBER(B57),INT(B57),0)</f>
        <v/>
      </c>
      <c r="N57">
        <f>IF(OR(C57="",F57="",Q57=0),0,IF(COUNTIFS(C$6:C57,C57,F$6:F57,F57,Q$6:Q57,1)=1,1,0))</f>
        <v/>
      </c>
      <c r="O57">
        <f>IF(OR(C57="",Q57=0,H57&lt;&gt;""),"",M57*10000+ROW())</f>
        <v/>
      </c>
      <c r="P57">
        <f>IF(OR(C57="",Q57=0),"",IF(AND(C57=Statement!$C$4,K57=Statement!$C$5),M57*10000+ROW(),""))</f>
        <v/>
      </c>
      <c r="Q57">
        <f>IF(AND(ISNUMBER(B57),OR(N(D57)&gt;0,G57&lt;&gt;"")),1,0)</f>
        <v/>
      </c>
    </row>
    <row r="58">
      <c r="A58" s="1" t="n"/>
      <c r="B58" s="21" t="n">
        <v>46239</v>
      </c>
      <c r="C58" s="22" t="inlineStr">
        <is>
          <t>Grace Holloway</t>
        </is>
      </c>
      <c r="D58" s="23" t="n">
        <v>25</v>
      </c>
      <c r="E58" s="24" t="inlineStr">
        <is>
          <t>Bank transfer</t>
        </is>
      </c>
      <c r="F58" s="25" t="inlineStr">
        <is>
          <t>General fund</t>
        </is>
      </c>
      <c r="G58" s="25" t="n"/>
      <c r="H58" s="24" t="inlineStr">
        <is>
          <t>x</t>
        </is>
      </c>
      <c r="I58" s="25" t="inlineStr">
        <is>
          <t>Monthly</t>
        </is>
      </c>
      <c r="J58" s="17">
        <f>IF(AND(C58="",D58="",G58=""),"",IF(NOT(ISNUMBER(B58)),"Needs a date",IF(AND(D58&lt;&gt;"",NOT(ISNUMBER(D58))),"Amount not a number",IF(N(D58)&lt;0,"Amount below zero",IF(AND(N(D58)=0,G58=""),"Needs an amount or goods",IF(C58="","",IF(COUNTIF(Donors!$B$6:$B$305,C58)=0,"Not on Donors","")))))))</f>
        <v/>
      </c>
      <c r="K58" s="1">
        <f>IF(ISNUMBER(B58),YEAR(B58),"")</f>
        <v/>
      </c>
      <c r="L58">
        <f>IF(ISNUMBER(B58),YEAR(B58)*100+MONTH(B58),"")</f>
        <v/>
      </c>
      <c r="M58">
        <f>IF(ISNUMBER(B58),INT(B58),0)</f>
        <v/>
      </c>
      <c r="N58">
        <f>IF(OR(C58="",F58="",Q58=0),0,IF(COUNTIFS(C$6:C58,C58,F$6:F58,F58,Q$6:Q58,1)=1,1,0))</f>
        <v/>
      </c>
      <c r="O58">
        <f>IF(OR(C58="",Q58=0,H58&lt;&gt;""),"",M58*10000+ROW())</f>
        <v/>
      </c>
      <c r="P58">
        <f>IF(OR(C58="",Q58=0),"",IF(AND(C58=Statement!$C$4,K58=Statement!$C$5),M58*10000+ROW(),""))</f>
        <v/>
      </c>
      <c r="Q58">
        <f>IF(AND(ISNUMBER(B58),OR(N(D58)&gt;0,G58&lt;&gt;"")),1,0)</f>
        <v/>
      </c>
    </row>
    <row r="59">
      <c r="A59" s="1" t="n"/>
      <c r="B59" s="21" t="n">
        <v>46242</v>
      </c>
      <c r="C59" s="22" t="inlineStr">
        <is>
          <t>Ravi Patel</t>
        </is>
      </c>
      <c r="D59" s="23" t="n">
        <v>20</v>
      </c>
      <c r="E59" s="24" t="inlineStr">
        <is>
          <t>Bank transfer</t>
        </is>
      </c>
      <c r="F59" s="25" t="inlineStr">
        <is>
          <t>General fund</t>
        </is>
      </c>
      <c r="G59" s="25" t="n"/>
      <c r="H59" s="24" t="inlineStr">
        <is>
          <t>x</t>
        </is>
      </c>
      <c r="I59" s="25" t="inlineStr">
        <is>
          <t>Monthly</t>
        </is>
      </c>
      <c r="J59" s="17">
        <f>IF(AND(C59="",D59="",G59=""),"",IF(NOT(ISNUMBER(B59)),"Needs a date",IF(AND(D59&lt;&gt;"",NOT(ISNUMBER(D59))),"Amount not a number",IF(N(D59)&lt;0,"Amount below zero",IF(AND(N(D59)=0,G59=""),"Needs an amount or goods",IF(C59="","",IF(COUNTIF(Donors!$B$6:$B$305,C59)=0,"Not on Donors","")))))))</f>
        <v/>
      </c>
      <c r="K59" s="1">
        <f>IF(ISNUMBER(B59),YEAR(B59),"")</f>
        <v/>
      </c>
      <c r="L59">
        <f>IF(ISNUMBER(B59),YEAR(B59)*100+MONTH(B59),"")</f>
        <v/>
      </c>
      <c r="M59">
        <f>IF(ISNUMBER(B59),INT(B59),0)</f>
        <v/>
      </c>
      <c r="N59">
        <f>IF(OR(C59="",F59="",Q59=0),0,IF(COUNTIFS(C$6:C59,C59,F$6:F59,F59,Q$6:Q59,1)=1,1,0))</f>
        <v/>
      </c>
      <c r="O59">
        <f>IF(OR(C59="",Q59=0,H59&lt;&gt;""),"",M59*10000+ROW())</f>
        <v/>
      </c>
      <c r="P59">
        <f>IF(OR(C59="",Q59=0),"",IF(AND(C59=Statement!$C$4,K59=Statement!$C$5),M59*10000+ROW(),""))</f>
        <v/>
      </c>
      <c r="Q59">
        <f>IF(AND(ISNUMBER(B59),OR(N(D59)&gt;0,G59&lt;&gt;"")),1,0)</f>
        <v/>
      </c>
    </row>
    <row r="60">
      <c r="A60" s="1" t="n"/>
      <c r="B60" s="21" t="n">
        <v>46243</v>
      </c>
      <c r="C60" s="22" t="inlineStr">
        <is>
          <t>Amina Yusuf</t>
        </is>
      </c>
      <c r="D60" s="23" t="n">
        <v>15</v>
      </c>
      <c r="E60" s="24" t="inlineStr">
        <is>
          <t>Bank transfer</t>
        </is>
      </c>
      <c r="F60" s="25" t="inlineStr">
        <is>
          <t>General fund</t>
        </is>
      </c>
      <c r="G60" s="25" t="n"/>
      <c r="H60" s="24" t="inlineStr">
        <is>
          <t>x</t>
        </is>
      </c>
      <c r="I60" s="25" t="inlineStr">
        <is>
          <t>Monthly</t>
        </is>
      </c>
      <c r="J60" s="17">
        <f>IF(AND(C60="",D60="",G60=""),"",IF(NOT(ISNUMBER(B60)),"Needs a date",IF(AND(D60&lt;&gt;"",NOT(ISNUMBER(D60))),"Amount not a number",IF(N(D60)&lt;0,"Amount below zero",IF(AND(N(D60)=0,G60=""),"Needs an amount or goods",IF(C60="","",IF(COUNTIF(Donors!$B$6:$B$305,C60)=0,"Not on Donors","")))))))</f>
        <v/>
      </c>
      <c r="K60" s="1">
        <f>IF(ISNUMBER(B60),YEAR(B60),"")</f>
        <v/>
      </c>
      <c r="L60">
        <f>IF(ISNUMBER(B60),YEAR(B60)*100+MONTH(B60),"")</f>
        <v/>
      </c>
      <c r="M60">
        <f>IF(ISNUMBER(B60),INT(B60),0)</f>
        <v/>
      </c>
      <c r="N60">
        <f>IF(OR(C60="",F60="",Q60=0),0,IF(COUNTIFS(C$6:C60,C60,F$6:F60,F60,Q$6:Q60,1)=1,1,0))</f>
        <v/>
      </c>
      <c r="O60">
        <f>IF(OR(C60="",Q60=0,H60&lt;&gt;""),"",M60*10000+ROW())</f>
        <v/>
      </c>
      <c r="P60">
        <f>IF(OR(C60="",Q60=0),"",IF(AND(C60=Statement!$C$4,K60=Statement!$C$5),M60*10000+ROW(),""))</f>
        <v/>
      </c>
      <c r="Q60">
        <f>IF(AND(ISNUMBER(B60),OR(N(D60)&gt;0,G60&lt;&gt;"")),1,0)</f>
        <v/>
      </c>
    </row>
    <row r="61">
      <c r="A61" s="1" t="n"/>
      <c r="B61" s="21" t="n">
        <v>46248</v>
      </c>
      <c r="C61" s="22" t="inlineStr">
        <is>
          <t>Daniel Mercer</t>
        </is>
      </c>
      <c r="D61" s="23" t="n">
        <v>60</v>
      </c>
      <c r="E61" s="24" t="inlineStr">
        <is>
          <t>Online</t>
        </is>
      </c>
      <c r="F61" s="25" t="inlineStr">
        <is>
          <t>Back to school</t>
        </is>
      </c>
      <c r="G61" s="25" t="n"/>
      <c r="H61" s="24" t="inlineStr">
        <is>
          <t>x</t>
        </is>
      </c>
      <c r="I61" s="25" t="n"/>
      <c r="J61" s="17">
        <f>IF(AND(C61="",D61="",G61=""),"",IF(NOT(ISNUMBER(B61)),"Needs a date",IF(AND(D61&lt;&gt;"",NOT(ISNUMBER(D61))),"Amount not a number",IF(N(D61)&lt;0,"Amount below zero",IF(AND(N(D61)=0,G61=""),"Needs an amount or goods",IF(C61="","",IF(COUNTIF(Donors!$B$6:$B$305,C61)=0,"Not on Donors","")))))))</f>
        <v/>
      </c>
      <c r="K61" s="1">
        <f>IF(ISNUMBER(B61),YEAR(B61),"")</f>
        <v/>
      </c>
      <c r="L61">
        <f>IF(ISNUMBER(B61),YEAR(B61)*100+MONTH(B61),"")</f>
        <v/>
      </c>
      <c r="M61">
        <f>IF(ISNUMBER(B61),INT(B61),0)</f>
        <v/>
      </c>
      <c r="N61">
        <f>IF(OR(C61="",F61="",Q61=0),0,IF(COUNTIFS(C$6:C61,C61,F$6:F61,F61,Q$6:Q61,1)=1,1,0))</f>
        <v/>
      </c>
      <c r="O61">
        <f>IF(OR(C61="",Q61=0,H61&lt;&gt;""),"",M61*10000+ROW())</f>
        <v/>
      </c>
      <c r="P61">
        <f>IF(OR(C61="",Q61=0),"",IF(AND(C61=Statement!$C$4,K61=Statement!$C$5),M61*10000+ROW(),""))</f>
        <v/>
      </c>
      <c r="Q61">
        <f>IF(AND(ISNUMBER(B61),OR(N(D61)&gt;0,G61&lt;&gt;"")),1,0)</f>
        <v/>
      </c>
    </row>
    <row r="62">
      <c r="A62" s="1" t="n"/>
      <c r="B62" s="21" t="n">
        <v>46258</v>
      </c>
      <c r="C62" s="22" t="inlineStr">
        <is>
          <t>Sofia Rossi</t>
        </is>
      </c>
      <c r="D62" s="23" t="n">
        <v>40</v>
      </c>
      <c r="E62" s="24" t="inlineStr">
        <is>
          <t>Online</t>
        </is>
      </c>
      <c r="F62" s="25" t="inlineStr">
        <is>
          <t>Winter coat drive</t>
        </is>
      </c>
      <c r="G62" s="25" t="n"/>
      <c r="H62" s="24" t="inlineStr">
        <is>
          <t>x</t>
        </is>
      </c>
      <c r="I62" s="25" t="n"/>
      <c r="J62" s="17">
        <f>IF(AND(C62="",D62="",G62=""),"",IF(NOT(ISNUMBER(B62)),"Needs a date",IF(AND(D62&lt;&gt;"",NOT(ISNUMBER(D62))),"Amount not a number",IF(N(D62)&lt;0,"Amount below zero",IF(AND(N(D62)=0,G62=""),"Needs an amount or goods",IF(C62="","",IF(COUNTIF(Donors!$B$6:$B$305,C62)=0,"Not on Donors","")))))))</f>
        <v/>
      </c>
      <c r="K62" s="1">
        <f>IF(ISNUMBER(B62),YEAR(B62),"")</f>
        <v/>
      </c>
      <c r="L62">
        <f>IF(ISNUMBER(B62),YEAR(B62)*100+MONTH(B62),"")</f>
        <v/>
      </c>
      <c r="M62">
        <f>IF(ISNUMBER(B62),INT(B62),0)</f>
        <v/>
      </c>
      <c r="N62">
        <f>IF(OR(C62="",F62="",Q62=0),0,IF(COUNTIFS(C$6:C62,C62,F$6:F62,F62,Q$6:Q62,1)=1,1,0))</f>
        <v/>
      </c>
      <c r="O62">
        <f>IF(OR(C62="",Q62=0,H62&lt;&gt;""),"",M62*10000+ROW())</f>
        <v/>
      </c>
      <c r="P62">
        <f>IF(OR(C62="",Q62=0),"",IF(AND(C62=Statement!$C$4,K62=Statement!$C$5),M62*10000+ROW(),""))</f>
        <v/>
      </c>
      <c r="Q62">
        <f>IF(AND(ISNUMBER(B62),OR(N(D62)&gt;0,G62&lt;&gt;"")),1,0)</f>
        <v/>
      </c>
    </row>
    <row r="63">
      <c r="A63" s="1" t="n"/>
      <c r="B63" s="21" t="n">
        <v>46263</v>
      </c>
      <c r="C63" s="22" t="inlineStr">
        <is>
          <t>Corner Bakery</t>
        </is>
      </c>
      <c r="D63" s="23" t="n">
        <v>200</v>
      </c>
      <c r="E63" s="24" t="inlineStr">
        <is>
          <t>Card</t>
        </is>
      </c>
      <c r="F63" s="25" t="inlineStr">
        <is>
          <t>Winter coat drive</t>
        </is>
      </c>
      <c r="G63" s="25" t="n"/>
      <c r="H63" s="24" t="inlineStr">
        <is>
          <t>x</t>
        </is>
      </c>
      <c r="I63" s="25" t="n"/>
      <c r="J63" s="17">
        <f>IF(AND(C63="",D63="",G63=""),"",IF(NOT(ISNUMBER(B63)),"Needs a date",IF(AND(D63&lt;&gt;"",NOT(ISNUMBER(D63))),"Amount not a number",IF(N(D63)&lt;0,"Amount below zero",IF(AND(N(D63)=0,G63=""),"Needs an amount or goods",IF(C63="","",IF(COUNTIF(Donors!$B$6:$B$305,C63)=0,"Not on Donors","")))))))</f>
        <v/>
      </c>
      <c r="K63" s="1">
        <f>IF(ISNUMBER(B63),YEAR(B63),"")</f>
        <v/>
      </c>
      <c r="L63">
        <f>IF(ISNUMBER(B63),YEAR(B63)*100+MONTH(B63),"")</f>
        <v/>
      </c>
      <c r="M63">
        <f>IF(ISNUMBER(B63),INT(B63),0)</f>
        <v/>
      </c>
      <c r="N63">
        <f>IF(OR(C63="",F63="",Q63=0),0,IF(COUNTIFS(C$6:C63,C63,F$6:F63,F63,Q$6:Q63,1)=1,1,0))</f>
        <v/>
      </c>
      <c r="O63">
        <f>IF(OR(C63="",Q63=0,H63&lt;&gt;""),"",M63*10000+ROW())</f>
        <v/>
      </c>
      <c r="P63">
        <f>IF(OR(C63="",Q63=0),"",IF(AND(C63=Statement!$C$4,K63=Statement!$C$5),M63*10000+ROW(),""))</f>
        <v/>
      </c>
      <c r="Q63">
        <f>IF(AND(ISNUMBER(B63),OR(N(D63)&gt;0,G63&lt;&gt;"")),1,0)</f>
        <v/>
      </c>
    </row>
    <row r="64">
      <c r="A64" s="1" t="n"/>
      <c r="B64" s="21" t="n">
        <v>46270</v>
      </c>
      <c r="C64" s="22" t="inlineStr">
        <is>
          <t>Grace Holloway</t>
        </is>
      </c>
      <c r="D64" s="23" t="n">
        <v>25</v>
      </c>
      <c r="E64" s="24" t="inlineStr">
        <is>
          <t>Bank transfer</t>
        </is>
      </c>
      <c r="F64" s="25" t="inlineStr">
        <is>
          <t>General fund</t>
        </is>
      </c>
      <c r="G64" s="25" t="n"/>
      <c r="H64" s="24" t="inlineStr">
        <is>
          <t>x</t>
        </is>
      </c>
      <c r="I64" s="25" t="inlineStr">
        <is>
          <t>Monthly</t>
        </is>
      </c>
      <c r="J64" s="17">
        <f>IF(AND(C64="",D64="",G64=""),"",IF(NOT(ISNUMBER(B64)),"Needs a date",IF(AND(D64&lt;&gt;"",NOT(ISNUMBER(D64))),"Amount not a number",IF(N(D64)&lt;0,"Amount below zero",IF(AND(N(D64)=0,G64=""),"Needs an amount or goods",IF(C64="","",IF(COUNTIF(Donors!$B$6:$B$305,C64)=0,"Not on Donors","")))))))</f>
        <v/>
      </c>
      <c r="K64" s="1">
        <f>IF(ISNUMBER(B64),YEAR(B64),"")</f>
        <v/>
      </c>
      <c r="L64">
        <f>IF(ISNUMBER(B64),YEAR(B64)*100+MONTH(B64),"")</f>
        <v/>
      </c>
      <c r="M64">
        <f>IF(ISNUMBER(B64),INT(B64),0)</f>
        <v/>
      </c>
      <c r="N64">
        <f>IF(OR(C64="",F64="",Q64=0),0,IF(COUNTIFS(C$6:C64,C64,F$6:F64,F64,Q$6:Q64,1)=1,1,0))</f>
        <v/>
      </c>
      <c r="O64">
        <f>IF(OR(C64="",Q64=0,H64&lt;&gt;""),"",M64*10000+ROW())</f>
        <v/>
      </c>
      <c r="P64">
        <f>IF(OR(C64="",Q64=0),"",IF(AND(C64=Statement!$C$4,K64=Statement!$C$5),M64*10000+ROW(),""))</f>
        <v/>
      </c>
      <c r="Q64">
        <f>IF(AND(ISNUMBER(B64),OR(N(D64)&gt;0,G64&lt;&gt;"")),1,0)</f>
        <v/>
      </c>
    </row>
    <row r="65">
      <c r="A65" s="1" t="n"/>
      <c r="B65" s="21" t="n">
        <v>46272</v>
      </c>
      <c r="C65" s="22" t="inlineStr">
        <is>
          <t>Tom and Jess Carter</t>
        </is>
      </c>
      <c r="D65" s="23" t="n">
        <v>120</v>
      </c>
      <c r="E65" s="24" t="inlineStr">
        <is>
          <t>Online</t>
        </is>
      </c>
      <c r="F65" s="25" t="inlineStr">
        <is>
          <t>Winter coat drive</t>
        </is>
      </c>
      <c r="G65" s="25" t="n"/>
      <c r="H65" s="24" t="inlineStr">
        <is>
          <t>x</t>
        </is>
      </c>
      <c r="I65" s="25" t="n"/>
      <c r="J65" s="17">
        <f>IF(AND(C65="",D65="",G65=""),"",IF(NOT(ISNUMBER(B65)),"Needs a date",IF(AND(D65&lt;&gt;"",NOT(ISNUMBER(D65))),"Amount not a number",IF(N(D65)&lt;0,"Amount below zero",IF(AND(N(D65)=0,G65=""),"Needs an amount or goods",IF(C65="","",IF(COUNTIF(Donors!$B$6:$B$305,C65)=0,"Not on Donors","")))))))</f>
        <v/>
      </c>
      <c r="K65" s="1">
        <f>IF(ISNUMBER(B65),YEAR(B65),"")</f>
        <v/>
      </c>
      <c r="L65">
        <f>IF(ISNUMBER(B65),YEAR(B65)*100+MONTH(B65),"")</f>
        <v/>
      </c>
      <c r="M65">
        <f>IF(ISNUMBER(B65),INT(B65),0)</f>
        <v/>
      </c>
      <c r="N65">
        <f>IF(OR(C65="",F65="",Q65=0),0,IF(COUNTIFS(C$6:C65,C65,F$6:F65,F65,Q$6:Q65,1)=1,1,0))</f>
        <v/>
      </c>
      <c r="O65">
        <f>IF(OR(C65="",Q65=0,H65&lt;&gt;""),"",M65*10000+ROW())</f>
        <v/>
      </c>
      <c r="P65">
        <f>IF(OR(C65="",Q65=0),"",IF(AND(C65=Statement!$C$4,K65=Statement!$C$5),M65*10000+ROW(),""))</f>
        <v/>
      </c>
      <c r="Q65">
        <f>IF(AND(ISNUMBER(B65),OR(N(D65)&gt;0,G65&lt;&gt;"")),1,0)</f>
        <v/>
      </c>
    </row>
    <row r="66">
      <c r="A66" s="1" t="n"/>
      <c r="B66" s="21" t="n">
        <v>46273</v>
      </c>
      <c r="C66" s="22" t="inlineStr">
        <is>
          <t>Ravi Patel</t>
        </is>
      </c>
      <c r="D66" s="23" t="n">
        <v>20</v>
      </c>
      <c r="E66" s="24" t="inlineStr">
        <is>
          <t>Bank transfer</t>
        </is>
      </c>
      <c r="F66" s="25" t="inlineStr">
        <is>
          <t>General fund</t>
        </is>
      </c>
      <c r="G66" s="25" t="n"/>
      <c r="H66" s="24" t="inlineStr">
        <is>
          <t>x</t>
        </is>
      </c>
      <c r="I66" s="25" t="inlineStr">
        <is>
          <t>Monthly</t>
        </is>
      </c>
      <c r="J66" s="17">
        <f>IF(AND(C66="",D66="",G66=""),"",IF(NOT(ISNUMBER(B66)),"Needs a date",IF(AND(D66&lt;&gt;"",NOT(ISNUMBER(D66))),"Amount not a number",IF(N(D66)&lt;0,"Amount below zero",IF(AND(N(D66)=0,G66=""),"Needs an amount or goods",IF(C66="","",IF(COUNTIF(Donors!$B$6:$B$305,C66)=0,"Not on Donors","")))))))</f>
        <v/>
      </c>
      <c r="K66" s="1">
        <f>IF(ISNUMBER(B66),YEAR(B66),"")</f>
        <v/>
      </c>
      <c r="L66">
        <f>IF(ISNUMBER(B66),YEAR(B66)*100+MONTH(B66),"")</f>
        <v/>
      </c>
      <c r="M66">
        <f>IF(ISNUMBER(B66),INT(B66),0)</f>
        <v/>
      </c>
      <c r="N66">
        <f>IF(OR(C66="",F66="",Q66=0),0,IF(COUNTIFS(C$6:C66,C66,F$6:F66,F66,Q$6:Q66,1)=1,1,0))</f>
        <v/>
      </c>
      <c r="O66">
        <f>IF(OR(C66="",Q66=0,H66&lt;&gt;""),"",M66*10000+ROW())</f>
        <v/>
      </c>
      <c r="P66">
        <f>IF(OR(C66="",Q66=0),"",IF(AND(C66=Statement!$C$4,K66=Statement!$C$5),M66*10000+ROW(),""))</f>
        <v/>
      </c>
      <c r="Q66">
        <f>IF(AND(ISNUMBER(B66),OR(N(D66)&gt;0,G66&lt;&gt;"")),1,0)</f>
        <v/>
      </c>
    </row>
    <row r="67">
      <c r="A67" s="1" t="n"/>
      <c r="B67" s="21" t="n">
        <v>46274</v>
      </c>
      <c r="C67" s="22" t="inlineStr">
        <is>
          <t>Amina Yusuf</t>
        </is>
      </c>
      <c r="D67" s="23" t="n">
        <v>15</v>
      </c>
      <c r="E67" s="24" t="inlineStr">
        <is>
          <t>Bank transfer</t>
        </is>
      </c>
      <c r="F67" s="25" t="inlineStr">
        <is>
          <t>General fund</t>
        </is>
      </c>
      <c r="G67" s="25" t="n"/>
      <c r="H67" s="24" t="inlineStr">
        <is>
          <t>x</t>
        </is>
      </c>
      <c r="I67" s="25" t="inlineStr">
        <is>
          <t>Monthly</t>
        </is>
      </c>
      <c r="J67" s="17">
        <f>IF(AND(C67="",D67="",G67=""),"",IF(NOT(ISNUMBER(B67)),"Needs a date",IF(AND(D67&lt;&gt;"",NOT(ISNUMBER(D67))),"Amount not a number",IF(N(D67)&lt;0,"Amount below zero",IF(AND(N(D67)=0,G67=""),"Needs an amount or goods",IF(C67="","",IF(COUNTIF(Donors!$B$6:$B$305,C67)=0,"Not on Donors","")))))))</f>
        <v/>
      </c>
      <c r="K67" s="1">
        <f>IF(ISNUMBER(B67),YEAR(B67),"")</f>
        <v/>
      </c>
      <c r="L67">
        <f>IF(ISNUMBER(B67),YEAR(B67)*100+MONTH(B67),"")</f>
        <v/>
      </c>
      <c r="M67">
        <f>IF(ISNUMBER(B67),INT(B67),0)</f>
        <v/>
      </c>
      <c r="N67">
        <f>IF(OR(C67="",F67="",Q67=0),0,IF(COUNTIFS(C$6:C67,C67,F$6:F67,F67,Q$6:Q67,1)=1,1,0))</f>
        <v/>
      </c>
      <c r="O67">
        <f>IF(OR(C67="",Q67=0,H67&lt;&gt;""),"",M67*10000+ROW())</f>
        <v/>
      </c>
      <c r="P67">
        <f>IF(OR(C67="",Q67=0),"",IF(AND(C67=Statement!$C$4,K67=Statement!$C$5),M67*10000+ROW(),""))</f>
        <v/>
      </c>
      <c r="Q67">
        <f>IF(AND(ISNUMBER(B67),OR(N(D67)&gt;0,G67&lt;&gt;"")),1,0)</f>
        <v/>
      </c>
    </row>
    <row r="68">
      <c r="A68" s="1" t="n"/>
      <c r="B68" s="21" t="n">
        <v>46275</v>
      </c>
      <c r="C68" s="22" t="inlineStr">
        <is>
          <t>Riverton Hardware</t>
        </is>
      </c>
      <c r="D68" s="23" t="n"/>
      <c r="E68" s="24" t="inlineStr">
        <is>
          <t>Goods</t>
        </is>
      </c>
      <c r="F68" s="25" t="inlineStr">
        <is>
          <t>Winter coat drive</t>
        </is>
      </c>
      <c r="G68" s="25" t="inlineStr">
        <is>
          <t>12 boxes of gloves</t>
        </is>
      </c>
      <c r="H68" s="24" t="inlineStr">
        <is>
          <t>x</t>
        </is>
      </c>
      <c r="I68" s="25" t="n"/>
      <c r="J68" s="17">
        <f>IF(AND(C68="",D68="",G68=""),"",IF(NOT(ISNUMBER(B68)),"Needs a date",IF(AND(D68&lt;&gt;"",NOT(ISNUMBER(D68))),"Amount not a number",IF(N(D68)&lt;0,"Amount below zero",IF(AND(N(D68)=0,G68=""),"Needs an amount or goods",IF(C68="","",IF(COUNTIF(Donors!$B$6:$B$305,C68)=0,"Not on Donors","")))))))</f>
        <v/>
      </c>
      <c r="K68" s="1">
        <f>IF(ISNUMBER(B68),YEAR(B68),"")</f>
        <v/>
      </c>
      <c r="L68">
        <f>IF(ISNUMBER(B68),YEAR(B68)*100+MONTH(B68),"")</f>
        <v/>
      </c>
      <c r="M68">
        <f>IF(ISNUMBER(B68),INT(B68),0)</f>
        <v/>
      </c>
      <c r="N68">
        <f>IF(OR(C68="",F68="",Q68=0),0,IF(COUNTIFS(C$6:C68,C68,F$6:F68,F68,Q$6:Q68,1)=1,1,0))</f>
        <v/>
      </c>
      <c r="O68">
        <f>IF(OR(C68="",Q68=0,H68&lt;&gt;""),"",M68*10000+ROW())</f>
        <v/>
      </c>
      <c r="P68">
        <f>IF(OR(C68="",Q68=0),"",IF(AND(C68=Statement!$C$4,K68=Statement!$C$5),M68*10000+ROW(),""))</f>
        <v/>
      </c>
      <c r="Q68">
        <f>IF(AND(ISNUMBER(B68),OR(N(D68)&gt;0,G68&lt;&gt;"")),1,0)</f>
        <v/>
      </c>
    </row>
    <row r="69">
      <c r="A69" s="1" t="n"/>
      <c r="B69" s="21" t="n">
        <v>46279</v>
      </c>
      <c r="C69" s="22" t="inlineStr">
        <is>
          <t>Riverton Hardware</t>
        </is>
      </c>
      <c r="D69" s="23" t="n">
        <v>300</v>
      </c>
      <c r="E69" s="24" t="inlineStr">
        <is>
          <t>Check</t>
        </is>
      </c>
      <c r="F69" s="25" t="inlineStr">
        <is>
          <t>Winter coat drive</t>
        </is>
      </c>
      <c r="G69" s="25" t="n"/>
      <c r="H69" s="24" t="inlineStr">
        <is>
          <t>x</t>
        </is>
      </c>
      <c r="I69" s="25" t="n"/>
      <c r="J69" s="17">
        <f>IF(AND(C69="",D69="",G69=""),"",IF(NOT(ISNUMBER(B69)),"Needs a date",IF(AND(D69&lt;&gt;"",NOT(ISNUMBER(D69))),"Amount not a number",IF(N(D69)&lt;0,"Amount below zero",IF(AND(N(D69)=0,G69=""),"Needs an amount or goods",IF(C69="","",IF(COUNTIF(Donors!$B$6:$B$305,C69)=0,"Not on Donors","")))))))</f>
        <v/>
      </c>
      <c r="K69" s="1">
        <f>IF(ISNUMBER(B69),YEAR(B69),"")</f>
        <v/>
      </c>
      <c r="L69">
        <f>IF(ISNUMBER(B69),YEAR(B69)*100+MONTH(B69),"")</f>
        <v/>
      </c>
      <c r="M69">
        <f>IF(ISNUMBER(B69),INT(B69),0)</f>
        <v/>
      </c>
      <c r="N69">
        <f>IF(OR(C69="",F69="",Q69=0),0,IF(COUNTIFS(C$6:C69,C69,F$6:F69,F69,Q$6:Q69,1)=1,1,0))</f>
        <v/>
      </c>
      <c r="O69">
        <f>IF(OR(C69="",Q69=0,H69&lt;&gt;""),"",M69*10000+ROW())</f>
        <v/>
      </c>
      <c r="P69">
        <f>IF(OR(C69="",Q69=0),"",IF(AND(C69=Statement!$C$4,K69=Statement!$C$5),M69*10000+ROW(),""))</f>
        <v/>
      </c>
      <c r="Q69">
        <f>IF(AND(ISNUMBER(B69),OR(N(D69)&gt;0,G69&lt;&gt;"")),1,0)</f>
        <v/>
      </c>
    </row>
    <row r="70">
      <c r="A70" s="1" t="n"/>
      <c r="B70" s="21" t="n">
        <v>46283</v>
      </c>
      <c r="C70" s="22" t="inlineStr">
        <is>
          <t>Daniel Mercer</t>
        </is>
      </c>
      <c r="D70" s="23" t="n">
        <v>80</v>
      </c>
      <c r="E70" s="24" t="inlineStr">
        <is>
          <t>Online</t>
        </is>
      </c>
      <c r="F70" s="25" t="inlineStr">
        <is>
          <t>Winter coat drive</t>
        </is>
      </c>
      <c r="G70" s="25" t="n"/>
      <c r="H70" s="24" t="n"/>
      <c r="I70" s="25" t="n"/>
      <c r="J70" s="17">
        <f>IF(AND(C70="",D70="",G70=""),"",IF(NOT(ISNUMBER(B70)),"Needs a date",IF(AND(D70&lt;&gt;"",NOT(ISNUMBER(D70))),"Amount not a number",IF(N(D70)&lt;0,"Amount below zero",IF(AND(N(D70)=0,G70=""),"Needs an amount or goods",IF(C70="","",IF(COUNTIF(Donors!$B$6:$B$305,C70)=0,"Not on Donors","")))))))</f>
        <v/>
      </c>
      <c r="K70" s="1">
        <f>IF(ISNUMBER(B70),YEAR(B70),"")</f>
        <v/>
      </c>
      <c r="L70">
        <f>IF(ISNUMBER(B70),YEAR(B70)*100+MONTH(B70),"")</f>
        <v/>
      </c>
      <c r="M70">
        <f>IF(ISNUMBER(B70),INT(B70),0)</f>
        <v/>
      </c>
      <c r="N70">
        <f>IF(OR(C70="",F70="",Q70=0),0,IF(COUNTIFS(C$6:C70,C70,F$6:F70,F70,Q$6:Q70,1)=1,1,0))</f>
        <v/>
      </c>
      <c r="O70">
        <f>IF(OR(C70="",Q70=0,H70&lt;&gt;""),"",M70*10000+ROW())</f>
        <v/>
      </c>
      <c r="P70">
        <f>IF(OR(C70="",Q70=0),"",IF(AND(C70=Statement!$C$4,K70=Statement!$C$5),M70*10000+ROW(),""))</f>
        <v/>
      </c>
      <c r="Q70">
        <f>IF(AND(ISNUMBER(B70),OR(N(D70)&gt;0,G70&lt;&gt;"")),1,0)</f>
        <v/>
      </c>
    </row>
    <row r="71">
      <c r="A71" s="1" t="n"/>
      <c r="B71" s="21" t="n">
        <v>46285</v>
      </c>
      <c r="C71" s="22" t="inlineStr">
        <is>
          <t>Corner Bakery</t>
        </is>
      </c>
      <c r="D71" s="23" t="n"/>
      <c r="E71" s="24" t="inlineStr">
        <is>
          <t>Goods</t>
        </is>
      </c>
      <c r="F71" s="25" t="inlineStr">
        <is>
          <t>General fund</t>
        </is>
      </c>
      <c r="G71" s="25" t="inlineStr">
        <is>
          <t>40 loaves of bread</t>
        </is>
      </c>
      <c r="H71" s="24" t="n"/>
      <c r="I71" s="25" t="n"/>
      <c r="J71" s="17">
        <f>IF(AND(C71="",D71="",G71=""),"",IF(NOT(ISNUMBER(B71)),"Needs a date",IF(AND(D71&lt;&gt;"",NOT(ISNUMBER(D71))),"Amount not a number",IF(N(D71)&lt;0,"Amount below zero",IF(AND(N(D71)=0,G71=""),"Needs an amount or goods",IF(C71="","",IF(COUNTIF(Donors!$B$6:$B$305,C71)=0,"Not on Donors","")))))))</f>
        <v/>
      </c>
      <c r="K71" s="1">
        <f>IF(ISNUMBER(B71),YEAR(B71),"")</f>
        <v/>
      </c>
      <c r="L71">
        <f>IF(ISNUMBER(B71),YEAR(B71)*100+MONTH(B71),"")</f>
        <v/>
      </c>
      <c r="M71">
        <f>IF(ISNUMBER(B71),INT(B71),0)</f>
        <v/>
      </c>
      <c r="N71">
        <f>IF(OR(C71="",F71="",Q71=0),0,IF(COUNTIFS(C$6:C71,C71,F$6:F71,F71,Q$6:Q71,1)=1,1,0))</f>
        <v/>
      </c>
      <c r="O71">
        <f>IF(OR(C71="",Q71=0,H71&lt;&gt;""),"",M71*10000+ROW())</f>
        <v/>
      </c>
      <c r="P71">
        <f>IF(OR(C71="",Q71=0),"",IF(AND(C71=Statement!$C$4,K71=Statement!$C$5),M71*10000+ROW(),""))</f>
        <v/>
      </c>
      <c r="Q71">
        <f>IF(AND(ISNUMBER(B71),OR(N(D71)&gt;0,G71&lt;&gt;"")),1,0)</f>
        <v/>
      </c>
    </row>
    <row r="72">
      <c r="A72" s="1" t="n"/>
      <c r="B72" s="21" t="n">
        <v>46287</v>
      </c>
      <c r="C72" s="22" t="inlineStr">
        <is>
          <t>St Luke's Youth Group</t>
        </is>
      </c>
      <c r="D72" s="23" t="n">
        <v>185</v>
      </c>
      <c r="E72" s="24" t="inlineStr">
        <is>
          <t>Cash</t>
        </is>
      </c>
      <c r="F72" s="25" t="inlineStr">
        <is>
          <t>Winter coat drive</t>
        </is>
      </c>
      <c r="G72" s="25" t="n"/>
      <c r="H72" s="24" t="n"/>
      <c r="I72" s="25" t="inlineStr">
        <is>
          <t>Bake sale</t>
        </is>
      </c>
      <c r="J72" s="17">
        <f>IF(AND(C72="",D72="",G72=""),"",IF(NOT(ISNUMBER(B72)),"Needs a date",IF(AND(D72&lt;&gt;"",NOT(ISNUMBER(D72))),"Amount not a number",IF(N(D72)&lt;0,"Amount below zero",IF(AND(N(D72)=0,G72=""),"Needs an amount or goods",IF(C72="","",IF(COUNTIF(Donors!$B$6:$B$305,C72)=0,"Not on Donors","")))))))</f>
        <v/>
      </c>
      <c r="K72" s="1">
        <f>IF(ISNUMBER(B72),YEAR(B72),"")</f>
        <v/>
      </c>
      <c r="L72">
        <f>IF(ISNUMBER(B72),YEAR(B72)*100+MONTH(B72),"")</f>
        <v/>
      </c>
      <c r="M72">
        <f>IF(ISNUMBER(B72),INT(B72),0)</f>
        <v/>
      </c>
      <c r="N72">
        <f>IF(OR(C72="",F72="",Q72=0),0,IF(COUNTIFS(C$6:C72,C72,F$6:F72,F72,Q$6:Q72,1)=1,1,0))</f>
        <v/>
      </c>
      <c r="O72">
        <f>IF(OR(C72="",Q72=0,H72&lt;&gt;""),"",M72*10000+ROW())</f>
        <v/>
      </c>
      <c r="P72">
        <f>IF(OR(C72="",Q72=0),"",IF(AND(C72=Statement!$C$4,K72=Statement!$C$5),M72*10000+ROW(),""))</f>
        <v/>
      </c>
      <c r="Q72">
        <f>IF(AND(ISNUMBER(B72),OR(N(D72)&gt;0,G72&lt;&gt;"")),1,0)</f>
        <v/>
      </c>
    </row>
    <row r="73">
      <c r="A73" s="1" t="n"/>
      <c r="B73" s="21" t="n">
        <v>46289</v>
      </c>
      <c r="C73" s="22" t="n"/>
      <c r="D73" s="23" t="n">
        <v>48</v>
      </c>
      <c r="E73" s="24" t="inlineStr">
        <is>
          <t>Cash</t>
        </is>
      </c>
      <c r="F73" s="25" t="inlineStr">
        <is>
          <t>General fund</t>
        </is>
      </c>
      <c r="G73" s="25" t="n"/>
      <c r="H73" s="24" t="n"/>
      <c r="I73" s="25" t="inlineStr">
        <is>
          <t>Collection box</t>
        </is>
      </c>
      <c r="J73" s="17">
        <f>IF(AND(C73="",D73="",G73=""),"",IF(NOT(ISNUMBER(B73)),"Needs a date",IF(AND(D73&lt;&gt;"",NOT(ISNUMBER(D73))),"Amount not a number",IF(N(D73)&lt;0,"Amount below zero",IF(AND(N(D73)=0,G73=""),"Needs an amount or goods",IF(C73="","",IF(COUNTIF(Donors!$B$6:$B$305,C73)=0,"Not on Donors","")))))))</f>
        <v/>
      </c>
      <c r="K73" s="1">
        <f>IF(ISNUMBER(B73),YEAR(B73),"")</f>
        <v/>
      </c>
      <c r="L73">
        <f>IF(ISNUMBER(B73),YEAR(B73)*100+MONTH(B73),"")</f>
        <v/>
      </c>
      <c r="M73">
        <f>IF(ISNUMBER(B73),INT(B73),0)</f>
        <v/>
      </c>
      <c r="N73">
        <f>IF(OR(C73="",F73="",Q73=0),0,IF(COUNTIFS(C$6:C73,C73,F$6:F73,F73,Q$6:Q73,1)=1,1,0))</f>
        <v/>
      </c>
      <c r="O73">
        <f>IF(OR(C73="",Q73=0,H73&lt;&gt;""),"",M73*10000+ROW())</f>
        <v/>
      </c>
      <c r="P73">
        <f>IF(OR(C73="",Q73=0),"",IF(AND(C73=Statement!$C$4,K73=Statement!$C$5),M73*10000+ROW(),""))</f>
        <v/>
      </c>
      <c r="Q73">
        <f>IF(AND(ISNUMBER(B73),OR(N(D73)&gt;0,G73&lt;&gt;"")),1,0)</f>
        <v/>
      </c>
    </row>
    <row r="74">
      <c r="A74" s="1" t="n"/>
      <c r="B74" s="21" t="n">
        <v>46290</v>
      </c>
      <c r="C74" s="22" t="inlineStr">
        <is>
          <t>Sofia Rossi</t>
        </is>
      </c>
      <c r="D74" s="23" t="n">
        <v>50</v>
      </c>
      <c r="E74" s="24" t="inlineStr">
        <is>
          <t>Online</t>
        </is>
      </c>
      <c r="F74" s="25" t="inlineStr">
        <is>
          <t>New freezer</t>
        </is>
      </c>
      <c r="G74" s="25" t="n"/>
      <c r="H74" s="24" t="n"/>
      <c r="I74" s="25" t="n"/>
      <c r="J74" s="17">
        <f>IF(AND(C74="",D74="",G74=""),"",IF(NOT(ISNUMBER(B74)),"Needs a date",IF(AND(D74&lt;&gt;"",NOT(ISNUMBER(D74))),"Amount not a number",IF(N(D74)&lt;0,"Amount below zero",IF(AND(N(D74)=0,G74=""),"Needs an amount or goods",IF(C74="","",IF(COUNTIF(Donors!$B$6:$B$305,C74)=0,"Not on Donors","")))))))</f>
        <v/>
      </c>
      <c r="K74" s="1">
        <f>IF(ISNUMBER(B74),YEAR(B74),"")</f>
        <v/>
      </c>
      <c r="L74">
        <f>IF(ISNUMBER(B74),YEAR(B74)*100+MONTH(B74),"")</f>
        <v/>
      </c>
      <c r="M74">
        <f>IF(ISNUMBER(B74),INT(B74),0)</f>
        <v/>
      </c>
      <c r="N74">
        <f>IF(OR(C74="",F74="",Q74=0),0,IF(COUNTIFS(C$6:C74,C74,F$6:F74,F74,Q$6:Q74,1)=1,1,0))</f>
        <v/>
      </c>
      <c r="O74">
        <f>IF(OR(C74="",Q74=0,H74&lt;&gt;""),"",M74*10000+ROW())</f>
        <v/>
      </c>
      <c r="P74">
        <f>IF(OR(C74="",Q74=0),"",IF(AND(C74=Statement!$C$4,K74=Statement!$C$5),M74*10000+ROW(),""))</f>
        <v/>
      </c>
      <c r="Q74">
        <f>IF(AND(ISNUMBER(B74),OR(N(D74)&gt;0,G74&lt;&gt;"")),1,0)</f>
        <v/>
      </c>
    </row>
    <row r="75">
      <c r="A75" s="1" t="n"/>
      <c r="B75" s="21" t="n">
        <v>46291</v>
      </c>
      <c r="C75" s="22" t="inlineStr">
        <is>
          <t>Riverton Rotary</t>
        </is>
      </c>
      <c r="D75" s="23" t="n">
        <v>400</v>
      </c>
      <c r="E75" s="24" t="inlineStr">
        <is>
          <t>Check</t>
        </is>
      </c>
      <c r="F75" s="25" t="inlineStr">
        <is>
          <t>Winter coat drive</t>
        </is>
      </c>
      <c r="G75" s="25" t="n"/>
      <c r="H75" s="24" t="n"/>
      <c r="I75" s="25" t="n"/>
      <c r="J75" s="17">
        <f>IF(AND(C75="",D75="",G75=""),"",IF(NOT(ISNUMBER(B75)),"Needs a date",IF(AND(D75&lt;&gt;"",NOT(ISNUMBER(D75))),"Amount not a number",IF(N(D75)&lt;0,"Amount below zero",IF(AND(N(D75)=0,G75=""),"Needs an amount or goods",IF(C75="","",IF(COUNTIF(Donors!$B$6:$B$305,C75)=0,"Not on Donors","")))))))</f>
        <v/>
      </c>
      <c r="K75" s="1">
        <f>IF(ISNUMBER(B75),YEAR(B75),"")</f>
        <v/>
      </c>
      <c r="L75">
        <f>IF(ISNUMBER(B75),YEAR(B75)*100+MONTH(B75),"")</f>
        <v/>
      </c>
      <c r="M75">
        <f>IF(ISNUMBER(B75),INT(B75),0)</f>
        <v/>
      </c>
      <c r="N75">
        <f>IF(OR(C75="",F75="",Q75=0),0,IF(COUNTIFS(C$6:C75,C75,F$6:F75,F75,Q$6:Q75,1)=1,1,0))</f>
        <v/>
      </c>
      <c r="O75">
        <f>IF(OR(C75="",Q75=0,H75&lt;&gt;""),"",M75*10000+ROW())</f>
        <v/>
      </c>
      <c r="P75">
        <f>IF(OR(C75="",Q75=0),"",IF(AND(C75=Statement!$C$4,K75=Statement!$C$5),M75*10000+ROW(),""))</f>
        <v/>
      </c>
      <c r="Q75">
        <f>IF(AND(ISNUMBER(B75),OR(N(D75)&gt;0,G75&lt;&gt;"")),1,0)</f>
        <v/>
      </c>
    </row>
    <row r="76">
      <c r="A76" s="1" t="n"/>
      <c r="B76" s="21" t="n">
        <v>46292</v>
      </c>
      <c r="C76" s="22" t="inlineStr">
        <is>
          <t>Lena Brooks</t>
        </is>
      </c>
      <c r="D76" s="23" t="n">
        <v>30</v>
      </c>
      <c r="E76" s="24" t="inlineStr">
        <is>
          <t>Online</t>
        </is>
      </c>
      <c r="F76" s="25" t="inlineStr">
        <is>
          <t>Winter coat drive</t>
        </is>
      </c>
      <c r="G76" s="25" t="n"/>
      <c r="H76" s="24" t="n"/>
      <c r="I76" s="25" t="inlineStr">
        <is>
          <t>First gift</t>
        </is>
      </c>
      <c r="J76" s="17">
        <f>IF(AND(C76="",D76="",G76=""),"",IF(NOT(ISNUMBER(B76)),"Needs a date",IF(AND(D76&lt;&gt;"",NOT(ISNUMBER(D76))),"Amount not a number",IF(N(D76)&lt;0,"Amount below zero",IF(AND(N(D76)=0,G76=""),"Needs an amount or goods",IF(C76="","",IF(COUNTIF(Donors!$B$6:$B$305,C76)=0,"Not on Donors","")))))))</f>
        <v/>
      </c>
      <c r="K76" s="1">
        <f>IF(ISNUMBER(B76),YEAR(B76),"")</f>
        <v/>
      </c>
      <c r="L76">
        <f>IF(ISNUMBER(B76),YEAR(B76)*100+MONTH(B76),"")</f>
        <v/>
      </c>
      <c r="M76">
        <f>IF(ISNUMBER(B76),INT(B76),0)</f>
        <v/>
      </c>
      <c r="N76">
        <f>IF(OR(C76="",F76="",Q76=0),0,IF(COUNTIFS(C$6:C76,C76,F$6:F76,F76,Q$6:Q76,1)=1,1,0))</f>
        <v/>
      </c>
      <c r="O76">
        <f>IF(OR(C76="",Q76=0,H76&lt;&gt;""),"",M76*10000+ROW())</f>
        <v/>
      </c>
      <c r="P76">
        <f>IF(OR(C76="",Q76=0),"",IF(AND(C76=Statement!$C$4,K76=Statement!$C$5),M76*10000+ROW(),""))</f>
        <v/>
      </c>
      <c r="Q76">
        <f>IF(AND(ISNUMBER(B76),OR(N(D76)&gt;0,G76&lt;&gt;"")),1,0)</f>
        <v/>
      </c>
    </row>
    <row r="77">
      <c r="A77" s="1" t="n"/>
      <c r="B77" s="21" t="n"/>
      <c r="C77" s="22" t="n"/>
      <c r="D77" s="23" t="n"/>
      <c r="E77" s="24" t="n"/>
      <c r="F77" s="25" t="n"/>
      <c r="G77" s="25" t="n"/>
      <c r="H77" s="24" t="n"/>
      <c r="I77" s="25" t="n"/>
      <c r="J77" s="17">
        <f>IF(AND(C77="",D77="",G77=""),"",IF(NOT(ISNUMBER(B77)),"Needs a date",IF(AND(D77&lt;&gt;"",NOT(ISNUMBER(D77))),"Amount not a number",IF(N(D77)&lt;0,"Amount below zero",IF(AND(N(D77)=0,G77=""),"Needs an amount or goods",IF(C77="","",IF(COUNTIF(Donors!$B$6:$B$305,C77)=0,"Not on Donors","")))))))</f>
        <v/>
      </c>
      <c r="K77" s="1">
        <f>IF(ISNUMBER(B77),YEAR(B77),"")</f>
        <v/>
      </c>
      <c r="L77">
        <f>IF(ISNUMBER(B77),YEAR(B77)*100+MONTH(B77),"")</f>
        <v/>
      </c>
      <c r="M77">
        <f>IF(ISNUMBER(B77),INT(B77),0)</f>
        <v/>
      </c>
      <c r="N77">
        <f>IF(OR(C77="",F77="",Q77=0),0,IF(COUNTIFS(C$6:C77,C77,F$6:F77,F77,Q$6:Q77,1)=1,1,0))</f>
        <v/>
      </c>
      <c r="O77">
        <f>IF(OR(C77="",Q77=0,H77&lt;&gt;""),"",M77*10000+ROW())</f>
        <v/>
      </c>
      <c r="P77">
        <f>IF(OR(C77="",Q77=0),"",IF(AND(C77=Statement!$C$4,K77=Statement!$C$5),M77*10000+ROW(),""))</f>
        <v/>
      </c>
      <c r="Q77">
        <f>IF(AND(ISNUMBER(B77),OR(N(D77)&gt;0,G77&lt;&gt;"")),1,0)</f>
        <v/>
      </c>
    </row>
    <row r="78">
      <c r="A78" s="1" t="n"/>
      <c r="B78" s="21" t="n"/>
      <c r="C78" s="22" t="n"/>
      <c r="D78" s="23" t="n"/>
      <c r="E78" s="24" t="n"/>
      <c r="F78" s="25" t="n"/>
      <c r="G78" s="25" t="n"/>
      <c r="H78" s="24" t="n"/>
      <c r="I78" s="25" t="n"/>
      <c r="J78" s="17">
        <f>IF(AND(C78="",D78="",G78=""),"",IF(NOT(ISNUMBER(B78)),"Needs a date",IF(AND(D78&lt;&gt;"",NOT(ISNUMBER(D78))),"Amount not a number",IF(N(D78)&lt;0,"Amount below zero",IF(AND(N(D78)=0,G78=""),"Needs an amount or goods",IF(C78="","",IF(COUNTIF(Donors!$B$6:$B$305,C78)=0,"Not on Donors","")))))))</f>
        <v/>
      </c>
      <c r="K78" s="1">
        <f>IF(ISNUMBER(B78),YEAR(B78),"")</f>
        <v/>
      </c>
      <c r="L78">
        <f>IF(ISNUMBER(B78),YEAR(B78)*100+MONTH(B78),"")</f>
        <v/>
      </c>
      <c r="M78">
        <f>IF(ISNUMBER(B78),INT(B78),0)</f>
        <v/>
      </c>
      <c r="N78">
        <f>IF(OR(C78="",F78="",Q78=0),0,IF(COUNTIFS(C$6:C78,C78,F$6:F78,F78,Q$6:Q78,1)=1,1,0))</f>
        <v/>
      </c>
      <c r="O78">
        <f>IF(OR(C78="",Q78=0,H78&lt;&gt;""),"",M78*10000+ROW())</f>
        <v/>
      </c>
      <c r="P78">
        <f>IF(OR(C78="",Q78=0),"",IF(AND(C78=Statement!$C$4,K78=Statement!$C$5),M78*10000+ROW(),""))</f>
        <v/>
      </c>
      <c r="Q78">
        <f>IF(AND(ISNUMBER(B78),OR(N(D78)&gt;0,G78&lt;&gt;"")),1,0)</f>
        <v/>
      </c>
    </row>
    <row r="79">
      <c r="A79" s="1" t="n"/>
      <c r="B79" s="21" t="n"/>
      <c r="C79" s="22" t="n"/>
      <c r="D79" s="23" t="n"/>
      <c r="E79" s="24" t="n"/>
      <c r="F79" s="25" t="n"/>
      <c r="G79" s="25" t="n"/>
      <c r="H79" s="24" t="n"/>
      <c r="I79" s="25" t="n"/>
      <c r="J79" s="17">
        <f>IF(AND(C79="",D79="",G79=""),"",IF(NOT(ISNUMBER(B79)),"Needs a date",IF(AND(D79&lt;&gt;"",NOT(ISNUMBER(D79))),"Amount not a number",IF(N(D79)&lt;0,"Amount below zero",IF(AND(N(D79)=0,G79=""),"Needs an amount or goods",IF(C79="","",IF(COUNTIF(Donors!$B$6:$B$305,C79)=0,"Not on Donors","")))))))</f>
        <v/>
      </c>
      <c r="K79" s="1">
        <f>IF(ISNUMBER(B79),YEAR(B79),"")</f>
        <v/>
      </c>
      <c r="L79">
        <f>IF(ISNUMBER(B79),YEAR(B79)*100+MONTH(B79),"")</f>
        <v/>
      </c>
      <c r="M79">
        <f>IF(ISNUMBER(B79),INT(B79),0)</f>
        <v/>
      </c>
      <c r="N79">
        <f>IF(OR(C79="",F79="",Q79=0),0,IF(COUNTIFS(C$6:C79,C79,F$6:F79,F79,Q$6:Q79,1)=1,1,0))</f>
        <v/>
      </c>
      <c r="O79">
        <f>IF(OR(C79="",Q79=0,H79&lt;&gt;""),"",M79*10000+ROW())</f>
        <v/>
      </c>
      <c r="P79">
        <f>IF(OR(C79="",Q79=0),"",IF(AND(C79=Statement!$C$4,K79=Statement!$C$5),M79*10000+ROW(),""))</f>
        <v/>
      </c>
      <c r="Q79">
        <f>IF(AND(ISNUMBER(B79),OR(N(D79)&gt;0,G79&lt;&gt;"")),1,0)</f>
        <v/>
      </c>
    </row>
    <row r="80">
      <c r="A80" s="1" t="n"/>
      <c r="B80" s="21" t="n"/>
      <c r="C80" s="22" t="n"/>
      <c r="D80" s="23" t="n"/>
      <c r="E80" s="24" t="n"/>
      <c r="F80" s="25" t="n"/>
      <c r="G80" s="25" t="n"/>
      <c r="H80" s="24" t="n"/>
      <c r="I80" s="25" t="n"/>
      <c r="J80" s="17">
        <f>IF(AND(C80="",D80="",G80=""),"",IF(NOT(ISNUMBER(B80)),"Needs a date",IF(AND(D80&lt;&gt;"",NOT(ISNUMBER(D80))),"Amount not a number",IF(N(D80)&lt;0,"Amount below zero",IF(AND(N(D80)=0,G80=""),"Needs an amount or goods",IF(C80="","",IF(COUNTIF(Donors!$B$6:$B$305,C80)=0,"Not on Donors","")))))))</f>
        <v/>
      </c>
      <c r="K80" s="1">
        <f>IF(ISNUMBER(B80),YEAR(B80),"")</f>
        <v/>
      </c>
      <c r="L80">
        <f>IF(ISNUMBER(B80),YEAR(B80)*100+MONTH(B80),"")</f>
        <v/>
      </c>
      <c r="M80">
        <f>IF(ISNUMBER(B80),INT(B80),0)</f>
        <v/>
      </c>
      <c r="N80">
        <f>IF(OR(C80="",F80="",Q80=0),0,IF(COUNTIFS(C$6:C80,C80,F$6:F80,F80,Q$6:Q80,1)=1,1,0))</f>
        <v/>
      </c>
      <c r="O80">
        <f>IF(OR(C80="",Q80=0,H80&lt;&gt;""),"",M80*10000+ROW())</f>
        <v/>
      </c>
      <c r="P80">
        <f>IF(OR(C80="",Q80=0),"",IF(AND(C80=Statement!$C$4,K80=Statement!$C$5),M80*10000+ROW(),""))</f>
        <v/>
      </c>
      <c r="Q80">
        <f>IF(AND(ISNUMBER(B80),OR(N(D80)&gt;0,G80&lt;&gt;"")),1,0)</f>
        <v/>
      </c>
    </row>
    <row r="81">
      <c r="A81" s="1" t="n"/>
      <c r="B81" s="21" t="n"/>
      <c r="C81" s="22" t="n"/>
      <c r="D81" s="23" t="n"/>
      <c r="E81" s="24" t="n"/>
      <c r="F81" s="25" t="n"/>
      <c r="G81" s="25" t="n"/>
      <c r="H81" s="24" t="n"/>
      <c r="I81" s="25" t="n"/>
      <c r="J81" s="17">
        <f>IF(AND(C81="",D81="",G81=""),"",IF(NOT(ISNUMBER(B81)),"Needs a date",IF(AND(D81&lt;&gt;"",NOT(ISNUMBER(D81))),"Amount not a number",IF(N(D81)&lt;0,"Amount below zero",IF(AND(N(D81)=0,G81=""),"Needs an amount or goods",IF(C81="","",IF(COUNTIF(Donors!$B$6:$B$305,C81)=0,"Not on Donors","")))))))</f>
        <v/>
      </c>
      <c r="K81" s="1">
        <f>IF(ISNUMBER(B81),YEAR(B81),"")</f>
        <v/>
      </c>
      <c r="L81">
        <f>IF(ISNUMBER(B81),YEAR(B81)*100+MONTH(B81),"")</f>
        <v/>
      </c>
      <c r="M81">
        <f>IF(ISNUMBER(B81),INT(B81),0)</f>
        <v/>
      </c>
      <c r="N81">
        <f>IF(OR(C81="",F81="",Q81=0),0,IF(COUNTIFS(C$6:C81,C81,F$6:F81,F81,Q$6:Q81,1)=1,1,0))</f>
        <v/>
      </c>
      <c r="O81">
        <f>IF(OR(C81="",Q81=0,H81&lt;&gt;""),"",M81*10000+ROW())</f>
        <v/>
      </c>
      <c r="P81">
        <f>IF(OR(C81="",Q81=0),"",IF(AND(C81=Statement!$C$4,K81=Statement!$C$5),M81*10000+ROW(),""))</f>
        <v/>
      </c>
      <c r="Q81">
        <f>IF(AND(ISNUMBER(B81),OR(N(D81)&gt;0,G81&lt;&gt;"")),1,0)</f>
        <v/>
      </c>
    </row>
    <row r="82">
      <c r="A82" s="1" t="n"/>
      <c r="B82" s="21" t="n"/>
      <c r="C82" s="22" t="n"/>
      <c r="D82" s="23" t="n"/>
      <c r="E82" s="24" t="n"/>
      <c r="F82" s="25" t="n"/>
      <c r="G82" s="25" t="n"/>
      <c r="H82" s="24" t="n"/>
      <c r="I82" s="25" t="n"/>
      <c r="J82" s="17">
        <f>IF(AND(C82="",D82="",G82=""),"",IF(NOT(ISNUMBER(B82)),"Needs a date",IF(AND(D82&lt;&gt;"",NOT(ISNUMBER(D82))),"Amount not a number",IF(N(D82)&lt;0,"Amount below zero",IF(AND(N(D82)=0,G82=""),"Needs an amount or goods",IF(C82="","",IF(COUNTIF(Donors!$B$6:$B$305,C82)=0,"Not on Donors","")))))))</f>
        <v/>
      </c>
      <c r="K82" s="1">
        <f>IF(ISNUMBER(B82),YEAR(B82),"")</f>
        <v/>
      </c>
      <c r="L82">
        <f>IF(ISNUMBER(B82),YEAR(B82)*100+MONTH(B82),"")</f>
        <v/>
      </c>
      <c r="M82">
        <f>IF(ISNUMBER(B82),INT(B82),0)</f>
        <v/>
      </c>
      <c r="N82">
        <f>IF(OR(C82="",F82="",Q82=0),0,IF(COUNTIFS(C$6:C82,C82,F$6:F82,F82,Q$6:Q82,1)=1,1,0))</f>
        <v/>
      </c>
      <c r="O82">
        <f>IF(OR(C82="",Q82=0,H82&lt;&gt;""),"",M82*10000+ROW())</f>
        <v/>
      </c>
      <c r="P82">
        <f>IF(OR(C82="",Q82=0),"",IF(AND(C82=Statement!$C$4,K82=Statement!$C$5),M82*10000+ROW(),""))</f>
        <v/>
      </c>
      <c r="Q82">
        <f>IF(AND(ISNUMBER(B82),OR(N(D82)&gt;0,G82&lt;&gt;"")),1,0)</f>
        <v/>
      </c>
    </row>
    <row r="83">
      <c r="A83" s="1" t="n"/>
      <c r="B83" s="21" t="n"/>
      <c r="C83" s="22" t="n"/>
      <c r="D83" s="23" t="n"/>
      <c r="E83" s="24" t="n"/>
      <c r="F83" s="25" t="n"/>
      <c r="G83" s="25" t="n"/>
      <c r="H83" s="24" t="n"/>
      <c r="I83" s="25" t="n"/>
      <c r="J83" s="17">
        <f>IF(AND(C83="",D83="",G83=""),"",IF(NOT(ISNUMBER(B83)),"Needs a date",IF(AND(D83&lt;&gt;"",NOT(ISNUMBER(D83))),"Amount not a number",IF(N(D83)&lt;0,"Amount below zero",IF(AND(N(D83)=0,G83=""),"Needs an amount or goods",IF(C83="","",IF(COUNTIF(Donors!$B$6:$B$305,C83)=0,"Not on Donors","")))))))</f>
        <v/>
      </c>
      <c r="K83" s="1">
        <f>IF(ISNUMBER(B83),YEAR(B83),"")</f>
        <v/>
      </c>
      <c r="L83">
        <f>IF(ISNUMBER(B83),YEAR(B83)*100+MONTH(B83),"")</f>
        <v/>
      </c>
      <c r="M83">
        <f>IF(ISNUMBER(B83),INT(B83),0)</f>
        <v/>
      </c>
      <c r="N83">
        <f>IF(OR(C83="",F83="",Q83=0),0,IF(COUNTIFS(C$6:C83,C83,F$6:F83,F83,Q$6:Q83,1)=1,1,0))</f>
        <v/>
      </c>
      <c r="O83">
        <f>IF(OR(C83="",Q83=0,H83&lt;&gt;""),"",M83*10000+ROW())</f>
        <v/>
      </c>
      <c r="P83">
        <f>IF(OR(C83="",Q83=0),"",IF(AND(C83=Statement!$C$4,K83=Statement!$C$5),M83*10000+ROW(),""))</f>
        <v/>
      </c>
      <c r="Q83">
        <f>IF(AND(ISNUMBER(B83),OR(N(D83)&gt;0,G83&lt;&gt;"")),1,0)</f>
        <v/>
      </c>
    </row>
    <row r="84">
      <c r="A84" s="1" t="n"/>
      <c r="B84" s="21" t="n"/>
      <c r="C84" s="22" t="n"/>
      <c r="D84" s="23" t="n"/>
      <c r="E84" s="24" t="n"/>
      <c r="F84" s="25" t="n"/>
      <c r="G84" s="25" t="n"/>
      <c r="H84" s="24" t="n"/>
      <c r="I84" s="25" t="n"/>
      <c r="J84" s="17">
        <f>IF(AND(C84="",D84="",G84=""),"",IF(NOT(ISNUMBER(B84)),"Needs a date",IF(AND(D84&lt;&gt;"",NOT(ISNUMBER(D84))),"Amount not a number",IF(N(D84)&lt;0,"Amount below zero",IF(AND(N(D84)=0,G84=""),"Needs an amount or goods",IF(C84="","",IF(COUNTIF(Donors!$B$6:$B$305,C84)=0,"Not on Donors","")))))))</f>
        <v/>
      </c>
      <c r="K84" s="1">
        <f>IF(ISNUMBER(B84),YEAR(B84),"")</f>
        <v/>
      </c>
      <c r="L84">
        <f>IF(ISNUMBER(B84),YEAR(B84)*100+MONTH(B84),"")</f>
        <v/>
      </c>
      <c r="M84">
        <f>IF(ISNUMBER(B84),INT(B84),0)</f>
        <v/>
      </c>
      <c r="N84">
        <f>IF(OR(C84="",F84="",Q84=0),0,IF(COUNTIFS(C$6:C84,C84,F$6:F84,F84,Q$6:Q84,1)=1,1,0))</f>
        <v/>
      </c>
      <c r="O84">
        <f>IF(OR(C84="",Q84=0,H84&lt;&gt;""),"",M84*10000+ROW())</f>
        <v/>
      </c>
      <c r="P84">
        <f>IF(OR(C84="",Q84=0),"",IF(AND(C84=Statement!$C$4,K84=Statement!$C$5),M84*10000+ROW(),""))</f>
        <v/>
      </c>
      <c r="Q84">
        <f>IF(AND(ISNUMBER(B84),OR(N(D84)&gt;0,G84&lt;&gt;"")),1,0)</f>
        <v/>
      </c>
    </row>
    <row r="85">
      <c r="A85" s="1" t="n"/>
      <c r="B85" s="21" t="n"/>
      <c r="C85" s="22" t="n"/>
      <c r="D85" s="23" t="n"/>
      <c r="E85" s="24" t="n"/>
      <c r="F85" s="25" t="n"/>
      <c r="G85" s="25" t="n"/>
      <c r="H85" s="24" t="n"/>
      <c r="I85" s="25" t="n"/>
      <c r="J85" s="17">
        <f>IF(AND(C85="",D85="",G85=""),"",IF(NOT(ISNUMBER(B85)),"Needs a date",IF(AND(D85&lt;&gt;"",NOT(ISNUMBER(D85))),"Amount not a number",IF(N(D85)&lt;0,"Amount below zero",IF(AND(N(D85)=0,G85=""),"Needs an amount or goods",IF(C85="","",IF(COUNTIF(Donors!$B$6:$B$305,C85)=0,"Not on Donors","")))))))</f>
        <v/>
      </c>
      <c r="K85" s="1">
        <f>IF(ISNUMBER(B85),YEAR(B85),"")</f>
        <v/>
      </c>
      <c r="L85">
        <f>IF(ISNUMBER(B85),YEAR(B85)*100+MONTH(B85),"")</f>
        <v/>
      </c>
      <c r="M85">
        <f>IF(ISNUMBER(B85),INT(B85),0)</f>
        <v/>
      </c>
      <c r="N85">
        <f>IF(OR(C85="",F85="",Q85=0),0,IF(COUNTIFS(C$6:C85,C85,F$6:F85,F85,Q$6:Q85,1)=1,1,0))</f>
        <v/>
      </c>
      <c r="O85">
        <f>IF(OR(C85="",Q85=0,H85&lt;&gt;""),"",M85*10000+ROW())</f>
        <v/>
      </c>
      <c r="P85">
        <f>IF(OR(C85="",Q85=0),"",IF(AND(C85=Statement!$C$4,K85=Statement!$C$5),M85*10000+ROW(),""))</f>
        <v/>
      </c>
      <c r="Q85">
        <f>IF(AND(ISNUMBER(B85),OR(N(D85)&gt;0,G85&lt;&gt;"")),1,0)</f>
        <v/>
      </c>
    </row>
    <row r="86">
      <c r="A86" s="1" t="n"/>
      <c r="B86" s="21" t="n"/>
      <c r="C86" s="22" t="n"/>
      <c r="D86" s="23" t="n"/>
      <c r="E86" s="24" t="n"/>
      <c r="F86" s="25" t="n"/>
      <c r="G86" s="25" t="n"/>
      <c r="H86" s="24" t="n"/>
      <c r="I86" s="25" t="n"/>
      <c r="J86" s="17">
        <f>IF(AND(C86="",D86="",G86=""),"",IF(NOT(ISNUMBER(B86)),"Needs a date",IF(AND(D86&lt;&gt;"",NOT(ISNUMBER(D86))),"Amount not a number",IF(N(D86)&lt;0,"Amount below zero",IF(AND(N(D86)=0,G86=""),"Needs an amount or goods",IF(C86="","",IF(COUNTIF(Donors!$B$6:$B$305,C86)=0,"Not on Donors","")))))))</f>
        <v/>
      </c>
      <c r="K86" s="1">
        <f>IF(ISNUMBER(B86),YEAR(B86),"")</f>
        <v/>
      </c>
      <c r="L86">
        <f>IF(ISNUMBER(B86),YEAR(B86)*100+MONTH(B86),"")</f>
        <v/>
      </c>
      <c r="M86">
        <f>IF(ISNUMBER(B86),INT(B86),0)</f>
        <v/>
      </c>
      <c r="N86">
        <f>IF(OR(C86="",F86="",Q86=0),0,IF(COUNTIFS(C$6:C86,C86,F$6:F86,F86,Q$6:Q86,1)=1,1,0))</f>
        <v/>
      </c>
      <c r="O86">
        <f>IF(OR(C86="",Q86=0,H86&lt;&gt;""),"",M86*10000+ROW())</f>
        <v/>
      </c>
      <c r="P86">
        <f>IF(OR(C86="",Q86=0),"",IF(AND(C86=Statement!$C$4,K86=Statement!$C$5),M86*10000+ROW(),""))</f>
        <v/>
      </c>
      <c r="Q86">
        <f>IF(AND(ISNUMBER(B86),OR(N(D86)&gt;0,G86&lt;&gt;"")),1,0)</f>
        <v/>
      </c>
    </row>
    <row r="87">
      <c r="A87" s="1" t="n"/>
      <c r="B87" s="21" t="n"/>
      <c r="C87" s="22" t="n"/>
      <c r="D87" s="23" t="n"/>
      <c r="E87" s="24" t="n"/>
      <c r="F87" s="25" t="n"/>
      <c r="G87" s="25" t="n"/>
      <c r="H87" s="24" t="n"/>
      <c r="I87" s="25" t="n"/>
      <c r="J87" s="17">
        <f>IF(AND(C87="",D87="",G87=""),"",IF(NOT(ISNUMBER(B87)),"Needs a date",IF(AND(D87&lt;&gt;"",NOT(ISNUMBER(D87))),"Amount not a number",IF(N(D87)&lt;0,"Amount below zero",IF(AND(N(D87)=0,G87=""),"Needs an amount or goods",IF(C87="","",IF(COUNTIF(Donors!$B$6:$B$305,C87)=0,"Not on Donors","")))))))</f>
        <v/>
      </c>
      <c r="K87" s="1">
        <f>IF(ISNUMBER(B87),YEAR(B87),"")</f>
        <v/>
      </c>
      <c r="L87">
        <f>IF(ISNUMBER(B87),YEAR(B87)*100+MONTH(B87),"")</f>
        <v/>
      </c>
      <c r="M87">
        <f>IF(ISNUMBER(B87),INT(B87),0)</f>
        <v/>
      </c>
      <c r="N87">
        <f>IF(OR(C87="",F87="",Q87=0),0,IF(COUNTIFS(C$6:C87,C87,F$6:F87,F87,Q$6:Q87,1)=1,1,0))</f>
        <v/>
      </c>
      <c r="O87">
        <f>IF(OR(C87="",Q87=0,H87&lt;&gt;""),"",M87*10000+ROW())</f>
        <v/>
      </c>
      <c r="P87">
        <f>IF(OR(C87="",Q87=0),"",IF(AND(C87=Statement!$C$4,K87=Statement!$C$5),M87*10000+ROW(),""))</f>
        <v/>
      </c>
      <c r="Q87">
        <f>IF(AND(ISNUMBER(B87),OR(N(D87)&gt;0,G87&lt;&gt;"")),1,0)</f>
        <v/>
      </c>
    </row>
    <row r="88">
      <c r="A88" s="1" t="n"/>
      <c r="B88" s="21" t="n"/>
      <c r="C88" s="22" t="n"/>
      <c r="D88" s="23" t="n"/>
      <c r="E88" s="24" t="n"/>
      <c r="F88" s="25" t="n"/>
      <c r="G88" s="25" t="n"/>
      <c r="H88" s="24" t="n"/>
      <c r="I88" s="25" t="n"/>
      <c r="J88" s="17">
        <f>IF(AND(C88="",D88="",G88=""),"",IF(NOT(ISNUMBER(B88)),"Needs a date",IF(AND(D88&lt;&gt;"",NOT(ISNUMBER(D88))),"Amount not a number",IF(N(D88)&lt;0,"Amount below zero",IF(AND(N(D88)=0,G88=""),"Needs an amount or goods",IF(C88="","",IF(COUNTIF(Donors!$B$6:$B$305,C88)=0,"Not on Donors","")))))))</f>
        <v/>
      </c>
      <c r="K88" s="1">
        <f>IF(ISNUMBER(B88),YEAR(B88),"")</f>
        <v/>
      </c>
      <c r="L88">
        <f>IF(ISNUMBER(B88),YEAR(B88)*100+MONTH(B88),"")</f>
        <v/>
      </c>
      <c r="M88">
        <f>IF(ISNUMBER(B88),INT(B88),0)</f>
        <v/>
      </c>
      <c r="N88">
        <f>IF(OR(C88="",F88="",Q88=0),0,IF(COUNTIFS(C$6:C88,C88,F$6:F88,F88,Q$6:Q88,1)=1,1,0))</f>
        <v/>
      </c>
      <c r="O88">
        <f>IF(OR(C88="",Q88=0,H88&lt;&gt;""),"",M88*10000+ROW())</f>
        <v/>
      </c>
      <c r="P88">
        <f>IF(OR(C88="",Q88=0),"",IF(AND(C88=Statement!$C$4,K88=Statement!$C$5),M88*10000+ROW(),""))</f>
        <v/>
      </c>
      <c r="Q88">
        <f>IF(AND(ISNUMBER(B88),OR(N(D88)&gt;0,G88&lt;&gt;"")),1,0)</f>
        <v/>
      </c>
    </row>
    <row r="89">
      <c r="A89" s="1" t="n"/>
      <c r="B89" s="21" t="n"/>
      <c r="C89" s="22" t="n"/>
      <c r="D89" s="23" t="n"/>
      <c r="E89" s="24" t="n"/>
      <c r="F89" s="25" t="n"/>
      <c r="G89" s="25" t="n"/>
      <c r="H89" s="24" t="n"/>
      <c r="I89" s="25" t="n"/>
      <c r="J89" s="17">
        <f>IF(AND(C89="",D89="",G89=""),"",IF(NOT(ISNUMBER(B89)),"Needs a date",IF(AND(D89&lt;&gt;"",NOT(ISNUMBER(D89))),"Amount not a number",IF(N(D89)&lt;0,"Amount below zero",IF(AND(N(D89)=0,G89=""),"Needs an amount or goods",IF(C89="","",IF(COUNTIF(Donors!$B$6:$B$305,C89)=0,"Not on Donors","")))))))</f>
        <v/>
      </c>
      <c r="K89" s="1">
        <f>IF(ISNUMBER(B89),YEAR(B89),"")</f>
        <v/>
      </c>
      <c r="L89">
        <f>IF(ISNUMBER(B89),YEAR(B89)*100+MONTH(B89),"")</f>
        <v/>
      </c>
      <c r="M89">
        <f>IF(ISNUMBER(B89),INT(B89),0)</f>
        <v/>
      </c>
      <c r="N89">
        <f>IF(OR(C89="",F89="",Q89=0),0,IF(COUNTIFS(C$6:C89,C89,F$6:F89,F89,Q$6:Q89,1)=1,1,0))</f>
        <v/>
      </c>
      <c r="O89">
        <f>IF(OR(C89="",Q89=0,H89&lt;&gt;""),"",M89*10000+ROW())</f>
        <v/>
      </c>
      <c r="P89">
        <f>IF(OR(C89="",Q89=0),"",IF(AND(C89=Statement!$C$4,K89=Statement!$C$5),M89*10000+ROW(),""))</f>
        <v/>
      </c>
      <c r="Q89">
        <f>IF(AND(ISNUMBER(B89),OR(N(D89)&gt;0,G89&lt;&gt;"")),1,0)</f>
        <v/>
      </c>
    </row>
    <row r="90">
      <c r="A90" s="1" t="n"/>
      <c r="B90" s="21" t="n"/>
      <c r="C90" s="22" t="n"/>
      <c r="D90" s="23" t="n"/>
      <c r="E90" s="24" t="n"/>
      <c r="F90" s="25" t="n"/>
      <c r="G90" s="25" t="n"/>
      <c r="H90" s="24" t="n"/>
      <c r="I90" s="25" t="n"/>
      <c r="J90" s="17">
        <f>IF(AND(C90="",D90="",G90=""),"",IF(NOT(ISNUMBER(B90)),"Needs a date",IF(AND(D90&lt;&gt;"",NOT(ISNUMBER(D90))),"Amount not a number",IF(N(D90)&lt;0,"Amount below zero",IF(AND(N(D90)=0,G90=""),"Needs an amount or goods",IF(C90="","",IF(COUNTIF(Donors!$B$6:$B$305,C90)=0,"Not on Donors","")))))))</f>
        <v/>
      </c>
      <c r="K90" s="1">
        <f>IF(ISNUMBER(B90),YEAR(B90),"")</f>
        <v/>
      </c>
      <c r="L90">
        <f>IF(ISNUMBER(B90),YEAR(B90)*100+MONTH(B90),"")</f>
        <v/>
      </c>
      <c r="M90">
        <f>IF(ISNUMBER(B90),INT(B90),0)</f>
        <v/>
      </c>
      <c r="N90">
        <f>IF(OR(C90="",F90="",Q90=0),0,IF(COUNTIFS(C$6:C90,C90,F$6:F90,F90,Q$6:Q90,1)=1,1,0))</f>
        <v/>
      </c>
      <c r="O90">
        <f>IF(OR(C90="",Q90=0,H90&lt;&gt;""),"",M90*10000+ROW())</f>
        <v/>
      </c>
      <c r="P90">
        <f>IF(OR(C90="",Q90=0),"",IF(AND(C90=Statement!$C$4,K90=Statement!$C$5),M90*10000+ROW(),""))</f>
        <v/>
      </c>
      <c r="Q90">
        <f>IF(AND(ISNUMBER(B90),OR(N(D90)&gt;0,G90&lt;&gt;"")),1,0)</f>
        <v/>
      </c>
    </row>
    <row r="91">
      <c r="A91" s="1" t="n"/>
      <c r="B91" s="21" t="n"/>
      <c r="C91" s="22" t="n"/>
      <c r="D91" s="23" t="n"/>
      <c r="E91" s="24" t="n"/>
      <c r="F91" s="25" t="n"/>
      <c r="G91" s="25" t="n"/>
      <c r="H91" s="24" t="n"/>
      <c r="I91" s="25" t="n"/>
      <c r="J91" s="17">
        <f>IF(AND(C91="",D91="",G91=""),"",IF(NOT(ISNUMBER(B91)),"Needs a date",IF(AND(D91&lt;&gt;"",NOT(ISNUMBER(D91))),"Amount not a number",IF(N(D91)&lt;0,"Amount below zero",IF(AND(N(D91)=0,G91=""),"Needs an amount or goods",IF(C91="","",IF(COUNTIF(Donors!$B$6:$B$305,C91)=0,"Not on Donors","")))))))</f>
        <v/>
      </c>
      <c r="K91" s="1">
        <f>IF(ISNUMBER(B91),YEAR(B91),"")</f>
        <v/>
      </c>
      <c r="L91">
        <f>IF(ISNUMBER(B91),YEAR(B91)*100+MONTH(B91),"")</f>
        <v/>
      </c>
      <c r="M91">
        <f>IF(ISNUMBER(B91),INT(B91),0)</f>
        <v/>
      </c>
      <c r="N91">
        <f>IF(OR(C91="",F91="",Q91=0),0,IF(COUNTIFS(C$6:C91,C91,F$6:F91,F91,Q$6:Q91,1)=1,1,0))</f>
        <v/>
      </c>
      <c r="O91">
        <f>IF(OR(C91="",Q91=0,H91&lt;&gt;""),"",M91*10000+ROW())</f>
        <v/>
      </c>
      <c r="P91">
        <f>IF(OR(C91="",Q91=0),"",IF(AND(C91=Statement!$C$4,K91=Statement!$C$5),M91*10000+ROW(),""))</f>
        <v/>
      </c>
      <c r="Q91">
        <f>IF(AND(ISNUMBER(B91),OR(N(D91)&gt;0,G91&lt;&gt;"")),1,0)</f>
        <v/>
      </c>
    </row>
    <row r="92">
      <c r="A92" s="1" t="n"/>
      <c r="B92" s="21" t="n"/>
      <c r="C92" s="22" t="n"/>
      <c r="D92" s="23" t="n"/>
      <c r="E92" s="24" t="n"/>
      <c r="F92" s="25" t="n"/>
      <c r="G92" s="25" t="n"/>
      <c r="H92" s="24" t="n"/>
      <c r="I92" s="25" t="n"/>
      <c r="J92" s="17">
        <f>IF(AND(C92="",D92="",G92=""),"",IF(NOT(ISNUMBER(B92)),"Needs a date",IF(AND(D92&lt;&gt;"",NOT(ISNUMBER(D92))),"Amount not a number",IF(N(D92)&lt;0,"Amount below zero",IF(AND(N(D92)=0,G92=""),"Needs an amount or goods",IF(C92="","",IF(COUNTIF(Donors!$B$6:$B$305,C92)=0,"Not on Donors","")))))))</f>
        <v/>
      </c>
      <c r="K92" s="1">
        <f>IF(ISNUMBER(B92),YEAR(B92),"")</f>
        <v/>
      </c>
      <c r="L92">
        <f>IF(ISNUMBER(B92),YEAR(B92)*100+MONTH(B92),"")</f>
        <v/>
      </c>
      <c r="M92">
        <f>IF(ISNUMBER(B92),INT(B92),0)</f>
        <v/>
      </c>
      <c r="N92">
        <f>IF(OR(C92="",F92="",Q92=0),0,IF(COUNTIFS(C$6:C92,C92,F$6:F92,F92,Q$6:Q92,1)=1,1,0))</f>
        <v/>
      </c>
      <c r="O92">
        <f>IF(OR(C92="",Q92=0,H92&lt;&gt;""),"",M92*10000+ROW())</f>
        <v/>
      </c>
      <c r="P92">
        <f>IF(OR(C92="",Q92=0),"",IF(AND(C92=Statement!$C$4,K92=Statement!$C$5),M92*10000+ROW(),""))</f>
        <v/>
      </c>
      <c r="Q92">
        <f>IF(AND(ISNUMBER(B92),OR(N(D92)&gt;0,G92&lt;&gt;"")),1,0)</f>
        <v/>
      </c>
    </row>
    <row r="93">
      <c r="A93" s="1" t="n"/>
      <c r="B93" s="21" t="n"/>
      <c r="C93" s="22" t="n"/>
      <c r="D93" s="23" t="n"/>
      <c r="E93" s="24" t="n"/>
      <c r="F93" s="25" t="n"/>
      <c r="G93" s="25" t="n"/>
      <c r="H93" s="24" t="n"/>
      <c r="I93" s="25" t="n"/>
      <c r="J93" s="17">
        <f>IF(AND(C93="",D93="",G93=""),"",IF(NOT(ISNUMBER(B93)),"Needs a date",IF(AND(D93&lt;&gt;"",NOT(ISNUMBER(D93))),"Amount not a number",IF(N(D93)&lt;0,"Amount below zero",IF(AND(N(D93)=0,G93=""),"Needs an amount or goods",IF(C93="","",IF(COUNTIF(Donors!$B$6:$B$305,C93)=0,"Not on Donors","")))))))</f>
        <v/>
      </c>
      <c r="K93" s="1">
        <f>IF(ISNUMBER(B93),YEAR(B93),"")</f>
        <v/>
      </c>
      <c r="L93">
        <f>IF(ISNUMBER(B93),YEAR(B93)*100+MONTH(B93),"")</f>
        <v/>
      </c>
      <c r="M93">
        <f>IF(ISNUMBER(B93),INT(B93),0)</f>
        <v/>
      </c>
      <c r="N93">
        <f>IF(OR(C93="",F93="",Q93=0),0,IF(COUNTIFS(C$6:C93,C93,F$6:F93,F93,Q$6:Q93,1)=1,1,0))</f>
        <v/>
      </c>
      <c r="O93">
        <f>IF(OR(C93="",Q93=0,H93&lt;&gt;""),"",M93*10000+ROW())</f>
        <v/>
      </c>
      <c r="P93">
        <f>IF(OR(C93="",Q93=0),"",IF(AND(C93=Statement!$C$4,K93=Statement!$C$5),M93*10000+ROW(),""))</f>
        <v/>
      </c>
      <c r="Q93">
        <f>IF(AND(ISNUMBER(B93),OR(N(D93)&gt;0,G93&lt;&gt;"")),1,0)</f>
        <v/>
      </c>
    </row>
    <row r="94">
      <c r="A94" s="1" t="n"/>
      <c r="B94" s="21" t="n"/>
      <c r="C94" s="22" t="n"/>
      <c r="D94" s="23" t="n"/>
      <c r="E94" s="24" t="n"/>
      <c r="F94" s="25" t="n"/>
      <c r="G94" s="25" t="n"/>
      <c r="H94" s="24" t="n"/>
      <c r="I94" s="25" t="n"/>
      <c r="J94" s="17">
        <f>IF(AND(C94="",D94="",G94=""),"",IF(NOT(ISNUMBER(B94)),"Needs a date",IF(AND(D94&lt;&gt;"",NOT(ISNUMBER(D94))),"Amount not a number",IF(N(D94)&lt;0,"Amount below zero",IF(AND(N(D94)=0,G94=""),"Needs an amount or goods",IF(C94="","",IF(COUNTIF(Donors!$B$6:$B$305,C94)=0,"Not on Donors","")))))))</f>
        <v/>
      </c>
      <c r="K94" s="1">
        <f>IF(ISNUMBER(B94),YEAR(B94),"")</f>
        <v/>
      </c>
      <c r="L94">
        <f>IF(ISNUMBER(B94),YEAR(B94)*100+MONTH(B94),"")</f>
        <v/>
      </c>
      <c r="M94">
        <f>IF(ISNUMBER(B94),INT(B94),0)</f>
        <v/>
      </c>
      <c r="N94">
        <f>IF(OR(C94="",F94="",Q94=0),0,IF(COUNTIFS(C$6:C94,C94,F$6:F94,F94,Q$6:Q94,1)=1,1,0))</f>
        <v/>
      </c>
      <c r="O94">
        <f>IF(OR(C94="",Q94=0,H94&lt;&gt;""),"",M94*10000+ROW())</f>
        <v/>
      </c>
      <c r="P94">
        <f>IF(OR(C94="",Q94=0),"",IF(AND(C94=Statement!$C$4,K94=Statement!$C$5),M94*10000+ROW(),""))</f>
        <v/>
      </c>
      <c r="Q94">
        <f>IF(AND(ISNUMBER(B94),OR(N(D94)&gt;0,G94&lt;&gt;"")),1,0)</f>
        <v/>
      </c>
    </row>
    <row r="95">
      <c r="A95" s="1" t="n"/>
      <c r="B95" s="21" t="n"/>
      <c r="C95" s="22" t="n"/>
      <c r="D95" s="23" t="n"/>
      <c r="E95" s="24" t="n"/>
      <c r="F95" s="25" t="n"/>
      <c r="G95" s="25" t="n"/>
      <c r="H95" s="24" t="n"/>
      <c r="I95" s="25" t="n"/>
      <c r="J95" s="17">
        <f>IF(AND(C95="",D95="",G95=""),"",IF(NOT(ISNUMBER(B95)),"Needs a date",IF(AND(D95&lt;&gt;"",NOT(ISNUMBER(D95))),"Amount not a number",IF(N(D95)&lt;0,"Amount below zero",IF(AND(N(D95)=0,G95=""),"Needs an amount or goods",IF(C95="","",IF(COUNTIF(Donors!$B$6:$B$305,C95)=0,"Not on Donors","")))))))</f>
        <v/>
      </c>
      <c r="K95" s="1">
        <f>IF(ISNUMBER(B95),YEAR(B95),"")</f>
        <v/>
      </c>
      <c r="L95">
        <f>IF(ISNUMBER(B95),YEAR(B95)*100+MONTH(B95),"")</f>
        <v/>
      </c>
      <c r="M95">
        <f>IF(ISNUMBER(B95),INT(B95),0)</f>
        <v/>
      </c>
      <c r="N95">
        <f>IF(OR(C95="",F95="",Q95=0),0,IF(COUNTIFS(C$6:C95,C95,F$6:F95,F95,Q$6:Q95,1)=1,1,0))</f>
        <v/>
      </c>
      <c r="O95">
        <f>IF(OR(C95="",Q95=0,H95&lt;&gt;""),"",M95*10000+ROW())</f>
        <v/>
      </c>
      <c r="P95">
        <f>IF(OR(C95="",Q95=0),"",IF(AND(C95=Statement!$C$4,K95=Statement!$C$5),M95*10000+ROW(),""))</f>
        <v/>
      </c>
      <c r="Q95">
        <f>IF(AND(ISNUMBER(B95),OR(N(D95)&gt;0,G95&lt;&gt;"")),1,0)</f>
        <v/>
      </c>
    </row>
    <row r="96">
      <c r="A96" s="1" t="n"/>
      <c r="B96" s="21" t="n"/>
      <c r="C96" s="22" t="n"/>
      <c r="D96" s="23" t="n"/>
      <c r="E96" s="24" t="n"/>
      <c r="F96" s="25" t="n"/>
      <c r="G96" s="25" t="n"/>
      <c r="H96" s="24" t="n"/>
      <c r="I96" s="25" t="n"/>
      <c r="J96" s="17">
        <f>IF(AND(C96="",D96="",G96=""),"",IF(NOT(ISNUMBER(B96)),"Needs a date",IF(AND(D96&lt;&gt;"",NOT(ISNUMBER(D96))),"Amount not a number",IF(N(D96)&lt;0,"Amount below zero",IF(AND(N(D96)=0,G96=""),"Needs an amount or goods",IF(C96="","",IF(COUNTIF(Donors!$B$6:$B$305,C96)=0,"Not on Donors","")))))))</f>
        <v/>
      </c>
      <c r="K96" s="1">
        <f>IF(ISNUMBER(B96),YEAR(B96),"")</f>
        <v/>
      </c>
      <c r="L96">
        <f>IF(ISNUMBER(B96),YEAR(B96)*100+MONTH(B96),"")</f>
        <v/>
      </c>
      <c r="M96">
        <f>IF(ISNUMBER(B96),INT(B96),0)</f>
        <v/>
      </c>
      <c r="N96">
        <f>IF(OR(C96="",F96="",Q96=0),0,IF(COUNTIFS(C$6:C96,C96,F$6:F96,F96,Q$6:Q96,1)=1,1,0))</f>
        <v/>
      </c>
      <c r="O96">
        <f>IF(OR(C96="",Q96=0,H96&lt;&gt;""),"",M96*10000+ROW())</f>
        <v/>
      </c>
      <c r="P96">
        <f>IF(OR(C96="",Q96=0),"",IF(AND(C96=Statement!$C$4,K96=Statement!$C$5),M96*10000+ROW(),""))</f>
        <v/>
      </c>
      <c r="Q96">
        <f>IF(AND(ISNUMBER(B96),OR(N(D96)&gt;0,G96&lt;&gt;"")),1,0)</f>
        <v/>
      </c>
    </row>
    <row r="97">
      <c r="A97" s="1" t="n"/>
      <c r="B97" s="21" t="n"/>
      <c r="C97" s="22" t="n"/>
      <c r="D97" s="23" t="n"/>
      <c r="E97" s="24" t="n"/>
      <c r="F97" s="25" t="n"/>
      <c r="G97" s="25" t="n"/>
      <c r="H97" s="24" t="n"/>
      <c r="I97" s="25" t="n"/>
      <c r="J97" s="17">
        <f>IF(AND(C97="",D97="",G97=""),"",IF(NOT(ISNUMBER(B97)),"Needs a date",IF(AND(D97&lt;&gt;"",NOT(ISNUMBER(D97))),"Amount not a number",IF(N(D97)&lt;0,"Amount below zero",IF(AND(N(D97)=0,G97=""),"Needs an amount or goods",IF(C97="","",IF(COUNTIF(Donors!$B$6:$B$305,C97)=0,"Not on Donors","")))))))</f>
        <v/>
      </c>
      <c r="K97" s="1">
        <f>IF(ISNUMBER(B97),YEAR(B97),"")</f>
        <v/>
      </c>
      <c r="L97">
        <f>IF(ISNUMBER(B97),YEAR(B97)*100+MONTH(B97),"")</f>
        <v/>
      </c>
      <c r="M97">
        <f>IF(ISNUMBER(B97),INT(B97),0)</f>
        <v/>
      </c>
      <c r="N97">
        <f>IF(OR(C97="",F97="",Q97=0),0,IF(COUNTIFS(C$6:C97,C97,F$6:F97,F97,Q$6:Q97,1)=1,1,0))</f>
        <v/>
      </c>
      <c r="O97">
        <f>IF(OR(C97="",Q97=0,H97&lt;&gt;""),"",M97*10000+ROW())</f>
        <v/>
      </c>
      <c r="P97">
        <f>IF(OR(C97="",Q97=0),"",IF(AND(C97=Statement!$C$4,K97=Statement!$C$5),M97*10000+ROW(),""))</f>
        <v/>
      </c>
      <c r="Q97">
        <f>IF(AND(ISNUMBER(B97),OR(N(D97)&gt;0,G97&lt;&gt;"")),1,0)</f>
        <v/>
      </c>
    </row>
    <row r="98">
      <c r="A98" s="1" t="n"/>
      <c r="B98" s="21" t="n"/>
      <c r="C98" s="22" t="n"/>
      <c r="D98" s="23" t="n"/>
      <c r="E98" s="24" t="n"/>
      <c r="F98" s="25" t="n"/>
      <c r="G98" s="25" t="n"/>
      <c r="H98" s="24" t="n"/>
      <c r="I98" s="25" t="n"/>
      <c r="J98" s="17">
        <f>IF(AND(C98="",D98="",G98=""),"",IF(NOT(ISNUMBER(B98)),"Needs a date",IF(AND(D98&lt;&gt;"",NOT(ISNUMBER(D98))),"Amount not a number",IF(N(D98)&lt;0,"Amount below zero",IF(AND(N(D98)=0,G98=""),"Needs an amount or goods",IF(C98="","",IF(COUNTIF(Donors!$B$6:$B$305,C98)=0,"Not on Donors","")))))))</f>
        <v/>
      </c>
      <c r="K98" s="1">
        <f>IF(ISNUMBER(B98),YEAR(B98),"")</f>
        <v/>
      </c>
      <c r="L98">
        <f>IF(ISNUMBER(B98),YEAR(B98)*100+MONTH(B98),"")</f>
        <v/>
      </c>
      <c r="M98">
        <f>IF(ISNUMBER(B98),INT(B98),0)</f>
        <v/>
      </c>
      <c r="N98">
        <f>IF(OR(C98="",F98="",Q98=0),0,IF(COUNTIFS(C$6:C98,C98,F$6:F98,F98,Q$6:Q98,1)=1,1,0))</f>
        <v/>
      </c>
      <c r="O98">
        <f>IF(OR(C98="",Q98=0,H98&lt;&gt;""),"",M98*10000+ROW())</f>
        <v/>
      </c>
      <c r="P98">
        <f>IF(OR(C98="",Q98=0),"",IF(AND(C98=Statement!$C$4,K98=Statement!$C$5),M98*10000+ROW(),""))</f>
        <v/>
      </c>
      <c r="Q98">
        <f>IF(AND(ISNUMBER(B98),OR(N(D98)&gt;0,G98&lt;&gt;"")),1,0)</f>
        <v/>
      </c>
    </row>
    <row r="99">
      <c r="A99" s="1" t="n"/>
      <c r="B99" s="21" t="n"/>
      <c r="C99" s="22" t="n"/>
      <c r="D99" s="23" t="n"/>
      <c r="E99" s="24" t="n"/>
      <c r="F99" s="25" t="n"/>
      <c r="G99" s="25" t="n"/>
      <c r="H99" s="24" t="n"/>
      <c r="I99" s="25" t="n"/>
      <c r="J99" s="17">
        <f>IF(AND(C99="",D99="",G99=""),"",IF(NOT(ISNUMBER(B99)),"Needs a date",IF(AND(D99&lt;&gt;"",NOT(ISNUMBER(D99))),"Amount not a number",IF(N(D99)&lt;0,"Amount below zero",IF(AND(N(D99)=0,G99=""),"Needs an amount or goods",IF(C99="","",IF(COUNTIF(Donors!$B$6:$B$305,C99)=0,"Not on Donors","")))))))</f>
        <v/>
      </c>
      <c r="K99" s="1">
        <f>IF(ISNUMBER(B99),YEAR(B99),"")</f>
        <v/>
      </c>
      <c r="L99">
        <f>IF(ISNUMBER(B99),YEAR(B99)*100+MONTH(B99),"")</f>
        <v/>
      </c>
      <c r="M99">
        <f>IF(ISNUMBER(B99),INT(B99),0)</f>
        <v/>
      </c>
      <c r="N99">
        <f>IF(OR(C99="",F99="",Q99=0),0,IF(COUNTIFS(C$6:C99,C99,F$6:F99,F99,Q$6:Q99,1)=1,1,0))</f>
        <v/>
      </c>
      <c r="O99">
        <f>IF(OR(C99="",Q99=0,H99&lt;&gt;""),"",M99*10000+ROW())</f>
        <v/>
      </c>
      <c r="P99">
        <f>IF(OR(C99="",Q99=0),"",IF(AND(C99=Statement!$C$4,K99=Statement!$C$5),M99*10000+ROW(),""))</f>
        <v/>
      </c>
      <c r="Q99">
        <f>IF(AND(ISNUMBER(B99),OR(N(D99)&gt;0,G99&lt;&gt;"")),1,0)</f>
        <v/>
      </c>
    </row>
    <row r="100">
      <c r="A100" s="1" t="n"/>
      <c r="B100" s="21" t="n"/>
      <c r="C100" s="22" t="n"/>
      <c r="D100" s="23" t="n"/>
      <c r="E100" s="24" t="n"/>
      <c r="F100" s="25" t="n"/>
      <c r="G100" s="25" t="n"/>
      <c r="H100" s="24" t="n"/>
      <c r="I100" s="25" t="n"/>
      <c r="J100" s="17">
        <f>IF(AND(C100="",D100="",G100=""),"",IF(NOT(ISNUMBER(B100)),"Needs a date",IF(AND(D100&lt;&gt;"",NOT(ISNUMBER(D100))),"Amount not a number",IF(N(D100)&lt;0,"Amount below zero",IF(AND(N(D100)=0,G100=""),"Needs an amount or goods",IF(C100="","",IF(COUNTIF(Donors!$B$6:$B$305,C100)=0,"Not on Donors","")))))))</f>
        <v/>
      </c>
      <c r="K100" s="1">
        <f>IF(ISNUMBER(B100),YEAR(B100),"")</f>
        <v/>
      </c>
      <c r="L100">
        <f>IF(ISNUMBER(B100),YEAR(B100)*100+MONTH(B100),"")</f>
        <v/>
      </c>
      <c r="M100">
        <f>IF(ISNUMBER(B100),INT(B100),0)</f>
        <v/>
      </c>
      <c r="N100">
        <f>IF(OR(C100="",F100="",Q100=0),0,IF(COUNTIFS(C$6:C100,C100,F$6:F100,F100,Q$6:Q100,1)=1,1,0))</f>
        <v/>
      </c>
      <c r="O100">
        <f>IF(OR(C100="",Q100=0,H100&lt;&gt;""),"",M100*10000+ROW())</f>
        <v/>
      </c>
      <c r="P100">
        <f>IF(OR(C100="",Q100=0),"",IF(AND(C100=Statement!$C$4,K100=Statement!$C$5),M100*10000+ROW(),""))</f>
        <v/>
      </c>
      <c r="Q100">
        <f>IF(AND(ISNUMBER(B100),OR(N(D100)&gt;0,G100&lt;&gt;"")),1,0)</f>
        <v/>
      </c>
    </row>
    <row r="101">
      <c r="A101" s="1" t="n"/>
      <c r="B101" s="21" t="n"/>
      <c r="C101" s="22" t="n"/>
      <c r="D101" s="23" t="n"/>
      <c r="E101" s="24" t="n"/>
      <c r="F101" s="25" t="n"/>
      <c r="G101" s="25" t="n"/>
      <c r="H101" s="24" t="n"/>
      <c r="I101" s="25" t="n"/>
      <c r="J101" s="17">
        <f>IF(AND(C101="",D101="",G101=""),"",IF(NOT(ISNUMBER(B101)),"Needs a date",IF(AND(D101&lt;&gt;"",NOT(ISNUMBER(D101))),"Amount not a number",IF(N(D101)&lt;0,"Amount below zero",IF(AND(N(D101)=0,G101=""),"Needs an amount or goods",IF(C101="","",IF(COUNTIF(Donors!$B$6:$B$305,C101)=0,"Not on Donors","")))))))</f>
        <v/>
      </c>
      <c r="K101" s="1">
        <f>IF(ISNUMBER(B101),YEAR(B101),"")</f>
        <v/>
      </c>
      <c r="L101">
        <f>IF(ISNUMBER(B101),YEAR(B101)*100+MONTH(B101),"")</f>
        <v/>
      </c>
      <c r="M101">
        <f>IF(ISNUMBER(B101),INT(B101),0)</f>
        <v/>
      </c>
      <c r="N101">
        <f>IF(OR(C101="",F101="",Q101=0),0,IF(COUNTIFS(C$6:C101,C101,F$6:F101,F101,Q$6:Q101,1)=1,1,0))</f>
        <v/>
      </c>
      <c r="O101">
        <f>IF(OR(C101="",Q101=0,H101&lt;&gt;""),"",M101*10000+ROW())</f>
        <v/>
      </c>
      <c r="P101">
        <f>IF(OR(C101="",Q101=0),"",IF(AND(C101=Statement!$C$4,K101=Statement!$C$5),M101*10000+ROW(),""))</f>
        <v/>
      </c>
      <c r="Q101">
        <f>IF(AND(ISNUMBER(B101),OR(N(D101)&gt;0,G101&lt;&gt;"")),1,0)</f>
        <v/>
      </c>
    </row>
    <row r="102">
      <c r="A102" s="1" t="n"/>
      <c r="B102" s="21" t="n"/>
      <c r="C102" s="22" t="n"/>
      <c r="D102" s="23" t="n"/>
      <c r="E102" s="24" t="n"/>
      <c r="F102" s="25" t="n"/>
      <c r="G102" s="25" t="n"/>
      <c r="H102" s="24" t="n"/>
      <c r="I102" s="25" t="n"/>
      <c r="J102" s="17">
        <f>IF(AND(C102="",D102="",G102=""),"",IF(NOT(ISNUMBER(B102)),"Needs a date",IF(AND(D102&lt;&gt;"",NOT(ISNUMBER(D102))),"Amount not a number",IF(N(D102)&lt;0,"Amount below zero",IF(AND(N(D102)=0,G102=""),"Needs an amount or goods",IF(C102="","",IF(COUNTIF(Donors!$B$6:$B$305,C102)=0,"Not on Donors","")))))))</f>
        <v/>
      </c>
      <c r="K102" s="1">
        <f>IF(ISNUMBER(B102),YEAR(B102),"")</f>
        <v/>
      </c>
      <c r="L102">
        <f>IF(ISNUMBER(B102),YEAR(B102)*100+MONTH(B102),"")</f>
        <v/>
      </c>
      <c r="M102">
        <f>IF(ISNUMBER(B102),INT(B102),0)</f>
        <v/>
      </c>
      <c r="N102">
        <f>IF(OR(C102="",F102="",Q102=0),0,IF(COUNTIFS(C$6:C102,C102,F$6:F102,F102,Q$6:Q102,1)=1,1,0))</f>
        <v/>
      </c>
      <c r="O102">
        <f>IF(OR(C102="",Q102=0,H102&lt;&gt;""),"",M102*10000+ROW())</f>
        <v/>
      </c>
      <c r="P102">
        <f>IF(OR(C102="",Q102=0),"",IF(AND(C102=Statement!$C$4,K102=Statement!$C$5),M102*10000+ROW(),""))</f>
        <v/>
      </c>
      <c r="Q102">
        <f>IF(AND(ISNUMBER(B102),OR(N(D102)&gt;0,G102&lt;&gt;"")),1,0)</f>
        <v/>
      </c>
    </row>
    <row r="103">
      <c r="A103" s="1" t="n"/>
      <c r="B103" s="21" t="n"/>
      <c r="C103" s="22" t="n"/>
      <c r="D103" s="23" t="n"/>
      <c r="E103" s="24" t="n"/>
      <c r="F103" s="25" t="n"/>
      <c r="G103" s="25" t="n"/>
      <c r="H103" s="24" t="n"/>
      <c r="I103" s="25" t="n"/>
      <c r="J103" s="17">
        <f>IF(AND(C103="",D103="",G103=""),"",IF(NOT(ISNUMBER(B103)),"Needs a date",IF(AND(D103&lt;&gt;"",NOT(ISNUMBER(D103))),"Amount not a number",IF(N(D103)&lt;0,"Amount below zero",IF(AND(N(D103)=0,G103=""),"Needs an amount or goods",IF(C103="","",IF(COUNTIF(Donors!$B$6:$B$305,C103)=0,"Not on Donors","")))))))</f>
        <v/>
      </c>
      <c r="K103" s="1">
        <f>IF(ISNUMBER(B103),YEAR(B103),"")</f>
        <v/>
      </c>
      <c r="L103">
        <f>IF(ISNUMBER(B103),YEAR(B103)*100+MONTH(B103),"")</f>
        <v/>
      </c>
      <c r="M103">
        <f>IF(ISNUMBER(B103),INT(B103),0)</f>
        <v/>
      </c>
      <c r="N103">
        <f>IF(OR(C103="",F103="",Q103=0),0,IF(COUNTIFS(C$6:C103,C103,F$6:F103,F103,Q$6:Q103,1)=1,1,0))</f>
        <v/>
      </c>
      <c r="O103">
        <f>IF(OR(C103="",Q103=0,H103&lt;&gt;""),"",M103*10000+ROW())</f>
        <v/>
      </c>
      <c r="P103">
        <f>IF(OR(C103="",Q103=0),"",IF(AND(C103=Statement!$C$4,K103=Statement!$C$5),M103*10000+ROW(),""))</f>
        <v/>
      </c>
      <c r="Q103">
        <f>IF(AND(ISNUMBER(B103),OR(N(D103)&gt;0,G103&lt;&gt;"")),1,0)</f>
        <v/>
      </c>
    </row>
    <row r="104">
      <c r="A104" s="1" t="n"/>
      <c r="B104" s="21" t="n"/>
      <c r="C104" s="22" t="n"/>
      <c r="D104" s="23" t="n"/>
      <c r="E104" s="24" t="n"/>
      <c r="F104" s="25" t="n"/>
      <c r="G104" s="25" t="n"/>
      <c r="H104" s="24" t="n"/>
      <c r="I104" s="25" t="n"/>
      <c r="J104" s="17">
        <f>IF(AND(C104="",D104="",G104=""),"",IF(NOT(ISNUMBER(B104)),"Needs a date",IF(AND(D104&lt;&gt;"",NOT(ISNUMBER(D104))),"Amount not a number",IF(N(D104)&lt;0,"Amount below zero",IF(AND(N(D104)=0,G104=""),"Needs an amount or goods",IF(C104="","",IF(COUNTIF(Donors!$B$6:$B$305,C104)=0,"Not on Donors","")))))))</f>
        <v/>
      </c>
      <c r="K104" s="1">
        <f>IF(ISNUMBER(B104),YEAR(B104),"")</f>
        <v/>
      </c>
      <c r="L104">
        <f>IF(ISNUMBER(B104),YEAR(B104)*100+MONTH(B104),"")</f>
        <v/>
      </c>
      <c r="M104">
        <f>IF(ISNUMBER(B104),INT(B104),0)</f>
        <v/>
      </c>
      <c r="N104">
        <f>IF(OR(C104="",F104="",Q104=0),0,IF(COUNTIFS(C$6:C104,C104,F$6:F104,F104,Q$6:Q104,1)=1,1,0))</f>
        <v/>
      </c>
      <c r="O104">
        <f>IF(OR(C104="",Q104=0,H104&lt;&gt;""),"",M104*10000+ROW())</f>
        <v/>
      </c>
      <c r="P104">
        <f>IF(OR(C104="",Q104=0),"",IF(AND(C104=Statement!$C$4,K104=Statement!$C$5),M104*10000+ROW(),""))</f>
        <v/>
      </c>
      <c r="Q104">
        <f>IF(AND(ISNUMBER(B104),OR(N(D104)&gt;0,G104&lt;&gt;"")),1,0)</f>
        <v/>
      </c>
    </row>
    <row r="105">
      <c r="A105" s="1" t="n"/>
      <c r="B105" s="21" t="n"/>
      <c r="C105" s="22" t="n"/>
      <c r="D105" s="23" t="n"/>
      <c r="E105" s="24" t="n"/>
      <c r="F105" s="25" t="n"/>
      <c r="G105" s="25" t="n"/>
      <c r="H105" s="24" t="n"/>
      <c r="I105" s="25" t="n"/>
      <c r="J105" s="17">
        <f>IF(AND(C105="",D105="",G105=""),"",IF(NOT(ISNUMBER(B105)),"Needs a date",IF(AND(D105&lt;&gt;"",NOT(ISNUMBER(D105))),"Amount not a number",IF(N(D105)&lt;0,"Amount below zero",IF(AND(N(D105)=0,G105=""),"Needs an amount or goods",IF(C105="","",IF(COUNTIF(Donors!$B$6:$B$305,C105)=0,"Not on Donors","")))))))</f>
        <v/>
      </c>
      <c r="K105" s="1">
        <f>IF(ISNUMBER(B105),YEAR(B105),"")</f>
        <v/>
      </c>
      <c r="L105">
        <f>IF(ISNUMBER(B105),YEAR(B105)*100+MONTH(B105),"")</f>
        <v/>
      </c>
      <c r="M105">
        <f>IF(ISNUMBER(B105),INT(B105),0)</f>
        <v/>
      </c>
      <c r="N105">
        <f>IF(OR(C105="",F105="",Q105=0),0,IF(COUNTIFS(C$6:C105,C105,F$6:F105,F105,Q$6:Q105,1)=1,1,0))</f>
        <v/>
      </c>
      <c r="O105">
        <f>IF(OR(C105="",Q105=0,H105&lt;&gt;""),"",M105*10000+ROW())</f>
        <v/>
      </c>
      <c r="P105">
        <f>IF(OR(C105="",Q105=0),"",IF(AND(C105=Statement!$C$4,K105=Statement!$C$5),M105*10000+ROW(),""))</f>
        <v/>
      </c>
      <c r="Q105">
        <f>IF(AND(ISNUMBER(B105),OR(N(D105)&gt;0,G105&lt;&gt;"")),1,0)</f>
        <v/>
      </c>
    </row>
    <row r="106">
      <c r="A106" s="1" t="n"/>
      <c r="B106" s="21" t="n"/>
      <c r="C106" s="22" t="n"/>
      <c r="D106" s="23" t="n"/>
      <c r="E106" s="24" t="n"/>
      <c r="F106" s="25" t="n"/>
      <c r="G106" s="25" t="n"/>
      <c r="H106" s="24" t="n"/>
      <c r="I106" s="25" t="n"/>
      <c r="J106" s="17">
        <f>IF(AND(C106="",D106="",G106=""),"",IF(NOT(ISNUMBER(B106)),"Needs a date",IF(AND(D106&lt;&gt;"",NOT(ISNUMBER(D106))),"Amount not a number",IF(N(D106)&lt;0,"Amount below zero",IF(AND(N(D106)=0,G106=""),"Needs an amount or goods",IF(C106="","",IF(COUNTIF(Donors!$B$6:$B$305,C106)=0,"Not on Donors","")))))))</f>
        <v/>
      </c>
      <c r="K106" s="1">
        <f>IF(ISNUMBER(B106),YEAR(B106),"")</f>
        <v/>
      </c>
      <c r="L106">
        <f>IF(ISNUMBER(B106),YEAR(B106)*100+MONTH(B106),"")</f>
        <v/>
      </c>
      <c r="M106">
        <f>IF(ISNUMBER(B106),INT(B106),0)</f>
        <v/>
      </c>
      <c r="N106">
        <f>IF(OR(C106="",F106="",Q106=0),0,IF(COUNTIFS(C$6:C106,C106,F$6:F106,F106,Q$6:Q106,1)=1,1,0))</f>
        <v/>
      </c>
      <c r="O106">
        <f>IF(OR(C106="",Q106=0,H106&lt;&gt;""),"",M106*10000+ROW())</f>
        <v/>
      </c>
      <c r="P106">
        <f>IF(OR(C106="",Q106=0),"",IF(AND(C106=Statement!$C$4,K106=Statement!$C$5),M106*10000+ROW(),""))</f>
        <v/>
      </c>
      <c r="Q106">
        <f>IF(AND(ISNUMBER(B106),OR(N(D106)&gt;0,G106&lt;&gt;"")),1,0)</f>
        <v/>
      </c>
    </row>
    <row r="107">
      <c r="A107" s="1" t="n"/>
      <c r="B107" s="21" t="n"/>
      <c r="C107" s="22" t="n"/>
      <c r="D107" s="23" t="n"/>
      <c r="E107" s="24" t="n"/>
      <c r="F107" s="25" t="n"/>
      <c r="G107" s="25" t="n"/>
      <c r="H107" s="24" t="n"/>
      <c r="I107" s="25" t="n"/>
      <c r="J107" s="17">
        <f>IF(AND(C107="",D107="",G107=""),"",IF(NOT(ISNUMBER(B107)),"Needs a date",IF(AND(D107&lt;&gt;"",NOT(ISNUMBER(D107))),"Amount not a number",IF(N(D107)&lt;0,"Amount below zero",IF(AND(N(D107)=0,G107=""),"Needs an amount or goods",IF(C107="","",IF(COUNTIF(Donors!$B$6:$B$305,C107)=0,"Not on Donors","")))))))</f>
        <v/>
      </c>
      <c r="K107" s="1">
        <f>IF(ISNUMBER(B107),YEAR(B107),"")</f>
        <v/>
      </c>
      <c r="L107">
        <f>IF(ISNUMBER(B107),YEAR(B107)*100+MONTH(B107),"")</f>
        <v/>
      </c>
      <c r="M107">
        <f>IF(ISNUMBER(B107),INT(B107),0)</f>
        <v/>
      </c>
      <c r="N107">
        <f>IF(OR(C107="",F107="",Q107=0),0,IF(COUNTIFS(C$6:C107,C107,F$6:F107,F107,Q$6:Q107,1)=1,1,0))</f>
        <v/>
      </c>
      <c r="O107">
        <f>IF(OR(C107="",Q107=0,H107&lt;&gt;""),"",M107*10000+ROW())</f>
        <v/>
      </c>
      <c r="P107">
        <f>IF(OR(C107="",Q107=0),"",IF(AND(C107=Statement!$C$4,K107=Statement!$C$5),M107*10000+ROW(),""))</f>
        <v/>
      </c>
      <c r="Q107">
        <f>IF(AND(ISNUMBER(B107),OR(N(D107)&gt;0,G107&lt;&gt;"")),1,0)</f>
        <v/>
      </c>
    </row>
    <row r="108">
      <c r="A108" s="1" t="n"/>
      <c r="B108" s="21" t="n"/>
      <c r="C108" s="22" t="n"/>
      <c r="D108" s="23" t="n"/>
      <c r="E108" s="24" t="n"/>
      <c r="F108" s="25" t="n"/>
      <c r="G108" s="25" t="n"/>
      <c r="H108" s="24" t="n"/>
      <c r="I108" s="25" t="n"/>
      <c r="J108" s="17">
        <f>IF(AND(C108="",D108="",G108=""),"",IF(NOT(ISNUMBER(B108)),"Needs a date",IF(AND(D108&lt;&gt;"",NOT(ISNUMBER(D108))),"Amount not a number",IF(N(D108)&lt;0,"Amount below zero",IF(AND(N(D108)=0,G108=""),"Needs an amount or goods",IF(C108="","",IF(COUNTIF(Donors!$B$6:$B$305,C108)=0,"Not on Donors","")))))))</f>
        <v/>
      </c>
      <c r="K108" s="1">
        <f>IF(ISNUMBER(B108),YEAR(B108),"")</f>
        <v/>
      </c>
      <c r="L108">
        <f>IF(ISNUMBER(B108),YEAR(B108)*100+MONTH(B108),"")</f>
        <v/>
      </c>
      <c r="M108">
        <f>IF(ISNUMBER(B108),INT(B108),0)</f>
        <v/>
      </c>
      <c r="N108">
        <f>IF(OR(C108="",F108="",Q108=0),0,IF(COUNTIFS(C$6:C108,C108,F$6:F108,F108,Q$6:Q108,1)=1,1,0))</f>
        <v/>
      </c>
      <c r="O108">
        <f>IF(OR(C108="",Q108=0,H108&lt;&gt;""),"",M108*10000+ROW())</f>
        <v/>
      </c>
      <c r="P108">
        <f>IF(OR(C108="",Q108=0),"",IF(AND(C108=Statement!$C$4,K108=Statement!$C$5),M108*10000+ROW(),""))</f>
        <v/>
      </c>
      <c r="Q108">
        <f>IF(AND(ISNUMBER(B108),OR(N(D108)&gt;0,G108&lt;&gt;"")),1,0)</f>
        <v/>
      </c>
    </row>
    <row r="109">
      <c r="A109" s="1" t="n"/>
      <c r="B109" s="21" t="n"/>
      <c r="C109" s="22" t="n"/>
      <c r="D109" s="23" t="n"/>
      <c r="E109" s="24" t="n"/>
      <c r="F109" s="25" t="n"/>
      <c r="G109" s="25" t="n"/>
      <c r="H109" s="24" t="n"/>
      <c r="I109" s="25" t="n"/>
      <c r="J109" s="17">
        <f>IF(AND(C109="",D109="",G109=""),"",IF(NOT(ISNUMBER(B109)),"Needs a date",IF(AND(D109&lt;&gt;"",NOT(ISNUMBER(D109))),"Amount not a number",IF(N(D109)&lt;0,"Amount below zero",IF(AND(N(D109)=0,G109=""),"Needs an amount or goods",IF(C109="","",IF(COUNTIF(Donors!$B$6:$B$305,C109)=0,"Not on Donors","")))))))</f>
        <v/>
      </c>
      <c r="K109" s="1">
        <f>IF(ISNUMBER(B109),YEAR(B109),"")</f>
        <v/>
      </c>
      <c r="L109">
        <f>IF(ISNUMBER(B109),YEAR(B109)*100+MONTH(B109),"")</f>
        <v/>
      </c>
      <c r="M109">
        <f>IF(ISNUMBER(B109),INT(B109),0)</f>
        <v/>
      </c>
      <c r="N109">
        <f>IF(OR(C109="",F109="",Q109=0),0,IF(COUNTIFS(C$6:C109,C109,F$6:F109,F109,Q$6:Q109,1)=1,1,0))</f>
        <v/>
      </c>
      <c r="O109">
        <f>IF(OR(C109="",Q109=0,H109&lt;&gt;""),"",M109*10000+ROW())</f>
        <v/>
      </c>
      <c r="P109">
        <f>IF(OR(C109="",Q109=0),"",IF(AND(C109=Statement!$C$4,K109=Statement!$C$5),M109*10000+ROW(),""))</f>
        <v/>
      </c>
      <c r="Q109">
        <f>IF(AND(ISNUMBER(B109),OR(N(D109)&gt;0,G109&lt;&gt;"")),1,0)</f>
        <v/>
      </c>
    </row>
    <row r="110">
      <c r="A110" s="1" t="n"/>
      <c r="B110" s="21" t="n"/>
      <c r="C110" s="22" t="n"/>
      <c r="D110" s="23" t="n"/>
      <c r="E110" s="24" t="n"/>
      <c r="F110" s="25" t="n"/>
      <c r="G110" s="25" t="n"/>
      <c r="H110" s="24" t="n"/>
      <c r="I110" s="25" t="n"/>
      <c r="J110" s="17">
        <f>IF(AND(C110="",D110="",G110=""),"",IF(NOT(ISNUMBER(B110)),"Needs a date",IF(AND(D110&lt;&gt;"",NOT(ISNUMBER(D110))),"Amount not a number",IF(N(D110)&lt;0,"Amount below zero",IF(AND(N(D110)=0,G110=""),"Needs an amount or goods",IF(C110="","",IF(COUNTIF(Donors!$B$6:$B$305,C110)=0,"Not on Donors","")))))))</f>
        <v/>
      </c>
      <c r="K110" s="1">
        <f>IF(ISNUMBER(B110),YEAR(B110),"")</f>
        <v/>
      </c>
      <c r="L110">
        <f>IF(ISNUMBER(B110),YEAR(B110)*100+MONTH(B110),"")</f>
        <v/>
      </c>
      <c r="M110">
        <f>IF(ISNUMBER(B110),INT(B110),0)</f>
        <v/>
      </c>
      <c r="N110">
        <f>IF(OR(C110="",F110="",Q110=0),0,IF(COUNTIFS(C$6:C110,C110,F$6:F110,F110,Q$6:Q110,1)=1,1,0))</f>
        <v/>
      </c>
      <c r="O110">
        <f>IF(OR(C110="",Q110=0,H110&lt;&gt;""),"",M110*10000+ROW())</f>
        <v/>
      </c>
      <c r="P110">
        <f>IF(OR(C110="",Q110=0),"",IF(AND(C110=Statement!$C$4,K110=Statement!$C$5),M110*10000+ROW(),""))</f>
        <v/>
      </c>
      <c r="Q110">
        <f>IF(AND(ISNUMBER(B110),OR(N(D110)&gt;0,G110&lt;&gt;"")),1,0)</f>
        <v/>
      </c>
    </row>
    <row r="111">
      <c r="A111" s="1" t="n"/>
      <c r="B111" s="21" t="n"/>
      <c r="C111" s="22" t="n"/>
      <c r="D111" s="23" t="n"/>
      <c r="E111" s="24" t="n"/>
      <c r="F111" s="25" t="n"/>
      <c r="G111" s="25" t="n"/>
      <c r="H111" s="24" t="n"/>
      <c r="I111" s="25" t="n"/>
      <c r="J111" s="17">
        <f>IF(AND(C111="",D111="",G111=""),"",IF(NOT(ISNUMBER(B111)),"Needs a date",IF(AND(D111&lt;&gt;"",NOT(ISNUMBER(D111))),"Amount not a number",IF(N(D111)&lt;0,"Amount below zero",IF(AND(N(D111)=0,G111=""),"Needs an amount or goods",IF(C111="","",IF(COUNTIF(Donors!$B$6:$B$305,C111)=0,"Not on Donors","")))))))</f>
        <v/>
      </c>
      <c r="K111" s="1">
        <f>IF(ISNUMBER(B111),YEAR(B111),"")</f>
        <v/>
      </c>
      <c r="L111">
        <f>IF(ISNUMBER(B111),YEAR(B111)*100+MONTH(B111),"")</f>
        <v/>
      </c>
      <c r="M111">
        <f>IF(ISNUMBER(B111),INT(B111),0)</f>
        <v/>
      </c>
      <c r="N111">
        <f>IF(OR(C111="",F111="",Q111=0),0,IF(COUNTIFS(C$6:C111,C111,F$6:F111,F111,Q$6:Q111,1)=1,1,0))</f>
        <v/>
      </c>
      <c r="O111">
        <f>IF(OR(C111="",Q111=0,H111&lt;&gt;""),"",M111*10000+ROW())</f>
        <v/>
      </c>
      <c r="P111">
        <f>IF(OR(C111="",Q111=0),"",IF(AND(C111=Statement!$C$4,K111=Statement!$C$5),M111*10000+ROW(),""))</f>
        <v/>
      </c>
      <c r="Q111">
        <f>IF(AND(ISNUMBER(B111),OR(N(D111)&gt;0,G111&lt;&gt;"")),1,0)</f>
        <v/>
      </c>
    </row>
    <row r="112">
      <c r="A112" s="1" t="n"/>
      <c r="B112" s="21" t="n"/>
      <c r="C112" s="22" t="n"/>
      <c r="D112" s="23" t="n"/>
      <c r="E112" s="24" t="n"/>
      <c r="F112" s="25" t="n"/>
      <c r="G112" s="25" t="n"/>
      <c r="H112" s="24" t="n"/>
      <c r="I112" s="25" t="n"/>
      <c r="J112" s="17">
        <f>IF(AND(C112="",D112="",G112=""),"",IF(NOT(ISNUMBER(B112)),"Needs a date",IF(AND(D112&lt;&gt;"",NOT(ISNUMBER(D112))),"Amount not a number",IF(N(D112)&lt;0,"Amount below zero",IF(AND(N(D112)=0,G112=""),"Needs an amount or goods",IF(C112="","",IF(COUNTIF(Donors!$B$6:$B$305,C112)=0,"Not on Donors","")))))))</f>
        <v/>
      </c>
      <c r="K112" s="1">
        <f>IF(ISNUMBER(B112),YEAR(B112),"")</f>
        <v/>
      </c>
      <c r="L112">
        <f>IF(ISNUMBER(B112),YEAR(B112)*100+MONTH(B112),"")</f>
        <v/>
      </c>
      <c r="M112">
        <f>IF(ISNUMBER(B112),INT(B112),0)</f>
        <v/>
      </c>
      <c r="N112">
        <f>IF(OR(C112="",F112="",Q112=0),0,IF(COUNTIFS(C$6:C112,C112,F$6:F112,F112,Q$6:Q112,1)=1,1,0))</f>
        <v/>
      </c>
      <c r="O112">
        <f>IF(OR(C112="",Q112=0,H112&lt;&gt;""),"",M112*10000+ROW())</f>
        <v/>
      </c>
      <c r="P112">
        <f>IF(OR(C112="",Q112=0),"",IF(AND(C112=Statement!$C$4,K112=Statement!$C$5),M112*10000+ROW(),""))</f>
        <v/>
      </c>
      <c r="Q112">
        <f>IF(AND(ISNUMBER(B112),OR(N(D112)&gt;0,G112&lt;&gt;"")),1,0)</f>
        <v/>
      </c>
    </row>
    <row r="113">
      <c r="A113" s="1" t="n"/>
      <c r="B113" s="21" t="n"/>
      <c r="C113" s="22" t="n"/>
      <c r="D113" s="23" t="n"/>
      <c r="E113" s="24" t="n"/>
      <c r="F113" s="25" t="n"/>
      <c r="G113" s="25" t="n"/>
      <c r="H113" s="24" t="n"/>
      <c r="I113" s="25" t="n"/>
      <c r="J113" s="17">
        <f>IF(AND(C113="",D113="",G113=""),"",IF(NOT(ISNUMBER(B113)),"Needs a date",IF(AND(D113&lt;&gt;"",NOT(ISNUMBER(D113))),"Amount not a number",IF(N(D113)&lt;0,"Amount below zero",IF(AND(N(D113)=0,G113=""),"Needs an amount or goods",IF(C113="","",IF(COUNTIF(Donors!$B$6:$B$305,C113)=0,"Not on Donors","")))))))</f>
        <v/>
      </c>
      <c r="K113" s="1">
        <f>IF(ISNUMBER(B113),YEAR(B113),"")</f>
        <v/>
      </c>
      <c r="L113">
        <f>IF(ISNUMBER(B113),YEAR(B113)*100+MONTH(B113),"")</f>
        <v/>
      </c>
      <c r="M113">
        <f>IF(ISNUMBER(B113),INT(B113),0)</f>
        <v/>
      </c>
      <c r="N113">
        <f>IF(OR(C113="",F113="",Q113=0),0,IF(COUNTIFS(C$6:C113,C113,F$6:F113,F113,Q$6:Q113,1)=1,1,0))</f>
        <v/>
      </c>
      <c r="O113">
        <f>IF(OR(C113="",Q113=0,H113&lt;&gt;""),"",M113*10000+ROW())</f>
        <v/>
      </c>
      <c r="P113">
        <f>IF(OR(C113="",Q113=0),"",IF(AND(C113=Statement!$C$4,K113=Statement!$C$5),M113*10000+ROW(),""))</f>
        <v/>
      </c>
      <c r="Q113">
        <f>IF(AND(ISNUMBER(B113),OR(N(D113)&gt;0,G113&lt;&gt;"")),1,0)</f>
        <v/>
      </c>
    </row>
    <row r="114">
      <c r="A114" s="1" t="n"/>
      <c r="B114" s="21" t="n"/>
      <c r="C114" s="22" t="n"/>
      <c r="D114" s="23" t="n"/>
      <c r="E114" s="24" t="n"/>
      <c r="F114" s="25" t="n"/>
      <c r="G114" s="25" t="n"/>
      <c r="H114" s="24" t="n"/>
      <c r="I114" s="25" t="n"/>
      <c r="J114" s="17">
        <f>IF(AND(C114="",D114="",G114=""),"",IF(NOT(ISNUMBER(B114)),"Needs a date",IF(AND(D114&lt;&gt;"",NOT(ISNUMBER(D114))),"Amount not a number",IF(N(D114)&lt;0,"Amount below zero",IF(AND(N(D114)=0,G114=""),"Needs an amount or goods",IF(C114="","",IF(COUNTIF(Donors!$B$6:$B$305,C114)=0,"Not on Donors","")))))))</f>
        <v/>
      </c>
      <c r="K114" s="1">
        <f>IF(ISNUMBER(B114),YEAR(B114),"")</f>
        <v/>
      </c>
      <c r="L114">
        <f>IF(ISNUMBER(B114),YEAR(B114)*100+MONTH(B114),"")</f>
        <v/>
      </c>
      <c r="M114">
        <f>IF(ISNUMBER(B114),INT(B114),0)</f>
        <v/>
      </c>
      <c r="N114">
        <f>IF(OR(C114="",F114="",Q114=0),0,IF(COUNTIFS(C$6:C114,C114,F$6:F114,F114,Q$6:Q114,1)=1,1,0))</f>
        <v/>
      </c>
      <c r="O114">
        <f>IF(OR(C114="",Q114=0,H114&lt;&gt;""),"",M114*10000+ROW())</f>
        <v/>
      </c>
      <c r="P114">
        <f>IF(OR(C114="",Q114=0),"",IF(AND(C114=Statement!$C$4,K114=Statement!$C$5),M114*10000+ROW(),""))</f>
        <v/>
      </c>
      <c r="Q114">
        <f>IF(AND(ISNUMBER(B114),OR(N(D114)&gt;0,G114&lt;&gt;"")),1,0)</f>
        <v/>
      </c>
    </row>
    <row r="115">
      <c r="A115" s="1" t="n"/>
      <c r="B115" s="21" t="n"/>
      <c r="C115" s="22" t="n"/>
      <c r="D115" s="23" t="n"/>
      <c r="E115" s="24" t="n"/>
      <c r="F115" s="25" t="n"/>
      <c r="G115" s="25" t="n"/>
      <c r="H115" s="24" t="n"/>
      <c r="I115" s="25" t="n"/>
      <c r="J115" s="17">
        <f>IF(AND(C115="",D115="",G115=""),"",IF(NOT(ISNUMBER(B115)),"Needs a date",IF(AND(D115&lt;&gt;"",NOT(ISNUMBER(D115))),"Amount not a number",IF(N(D115)&lt;0,"Amount below zero",IF(AND(N(D115)=0,G115=""),"Needs an amount or goods",IF(C115="","",IF(COUNTIF(Donors!$B$6:$B$305,C115)=0,"Not on Donors","")))))))</f>
        <v/>
      </c>
      <c r="K115" s="1">
        <f>IF(ISNUMBER(B115),YEAR(B115),"")</f>
        <v/>
      </c>
      <c r="L115">
        <f>IF(ISNUMBER(B115),YEAR(B115)*100+MONTH(B115),"")</f>
        <v/>
      </c>
      <c r="M115">
        <f>IF(ISNUMBER(B115),INT(B115),0)</f>
        <v/>
      </c>
      <c r="N115">
        <f>IF(OR(C115="",F115="",Q115=0),0,IF(COUNTIFS(C$6:C115,C115,F$6:F115,F115,Q$6:Q115,1)=1,1,0))</f>
        <v/>
      </c>
      <c r="O115">
        <f>IF(OR(C115="",Q115=0,H115&lt;&gt;""),"",M115*10000+ROW())</f>
        <v/>
      </c>
      <c r="P115">
        <f>IF(OR(C115="",Q115=0),"",IF(AND(C115=Statement!$C$4,K115=Statement!$C$5),M115*10000+ROW(),""))</f>
        <v/>
      </c>
      <c r="Q115">
        <f>IF(AND(ISNUMBER(B115),OR(N(D115)&gt;0,G115&lt;&gt;"")),1,0)</f>
        <v/>
      </c>
    </row>
    <row r="116">
      <c r="A116" s="1" t="n"/>
      <c r="B116" s="21" t="n"/>
      <c r="C116" s="22" t="n"/>
      <c r="D116" s="23" t="n"/>
      <c r="E116" s="24" t="n"/>
      <c r="F116" s="25" t="n"/>
      <c r="G116" s="25" t="n"/>
      <c r="H116" s="24" t="n"/>
      <c r="I116" s="25" t="n"/>
      <c r="J116" s="17">
        <f>IF(AND(C116="",D116="",G116=""),"",IF(NOT(ISNUMBER(B116)),"Needs a date",IF(AND(D116&lt;&gt;"",NOT(ISNUMBER(D116))),"Amount not a number",IF(N(D116)&lt;0,"Amount below zero",IF(AND(N(D116)=0,G116=""),"Needs an amount or goods",IF(C116="","",IF(COUNTIF(Donors!$B$6:$B$305,C116)=0,"Not on Donors","")))))))</f>
        <v/>
      </c>
      <c r="K116" s="1">
        <f>IF(ISNUMBER(B116),YEAR(B116),"")</f>
        <v/>
      </c>
      <c r="L116">
        <f>IF(ISNUMBER(B116),YEAR(B116)*100+MONTH(B116),"")</f>
        <v/>
      </c>
      <c r="M116">
        <f>IF(ISNUMBER(B116),INT(B116),0)</f>
        <v/>
      </c>
      <c r="N116">
        <f>IF(OR(C116="",F116="",Q116=0),0,IF(COUNTIFS(C$6:C116,C116,F$6:F116,F116,Q$6:Q116,1)=1,1,0))</f>
        <v/>
      </c>
      <c r="O116">
        <f>IF(OR(C116="",Q116=0,H116&lt;&gt;""),"",M116*10000+ROW())</f>
        <v/>
      </c>
      <c r="P116">
        <f>IF(OR(C116="",Q116=0),"",IF(AND(C116=Statement!$C$4,K116=Statement!$C$5),M116*10000+ROW(),""))</f>
        <v/>
      </c>
      <c r="Q116">
        <f>IF(AND(ISNUMBER(B116),OR(N(D116)&gt;0,G116&lt;&gt;"")),1,0)</f>
        <v/>
      </c>
    </row>
    <row r="117">
      <c r="A117" s="1" t="n"/>
      <c r="B117" s="21" t="n"/>
      <c r="C117" s="22" t="n"/>
      <c r="D117" s="23" t="n"/>
      <c r="E117" s="24" t="n"/>
      <c r="F117" s="25" t="n"/>
      <c r="G117" s="25" t="n"/>
      <c r="H117" s="24" t="n"/>
      <c r="I117" s="25" t="n"/>
      <c r="J117" s="17">
        <f>IF(AND(C117="",D117="",G117=""),"",IF(NOT(ISNUMBER(B117)),"Needs a date",IF(AND(D117&lt;&gt;"",NOT(ISNUMBER(D117))),"Amount not a number",IF(N(D117)&lt;0,"Amount below zero",IF(AND(N(D117)=0,G117=""),"Needs an amount or goods",IF(C117="","",IF(COUNTIF(Donors!$B$6:$B$305,C117)=0,"Not on Donors","")))))))</f>
        <v/>
      </c>
      <c r="K117" s="1">
        <f>IF(ISNUMBER(B117),YEAR(B117),"")</f>
        <v/>
      </c>
      <c r="L117">
        <f>IF(ISNUMBER(B117),YEAR(B117)*100+MONTH(B117),"")</f>
        <v/>
      </c>
      <c r="M117">
        <f>IF(ISNUMBER(B117),INT(B117),0)</f>
        <v/>
      </c>
      <c r="N117">
        <f>IF(OR(C117="",F117="",Q117=0),0,IF(COUNTIFS(C$6:C117,C117,F$6:F117,F117,Q$6:Q117,1)=1,1,0))</f>
        <v/>
      </c>
      <c r="O117">
        <f>IF(OR(C117="",Q117=0,H117&lt;&gt;""),"",M117*10000+ROW())</f>
        <v/>
      </c>
      <c r="P117">
        <f>IF(OR(C117="",Q117=0),"",IF(AND(C117=Statement!$C$4,K117=Statement!$C$5),M117*10000+ROW(),""))</f>
        <v/>
      </c>
      <c r="Q117">
        <f>IF(AND(ISNUMBER(B117),OR(N(D117)&gt;0,G117&lt;&gt;"")),1,0)</f>
        <v/>
      </c>
    </row>
    <row r="118">
      <c r="A118" s="1" t="n"/>
      <c r="B118" s="21" t="n"/>
      <c r="C118" s="22" t="n"/>
      <c r="D118" s="23" t="n"/>
      <c r="E118" s="24" t="n"/>
      <c r="F118" s="25" t="n"/>
      <c r="G118" s="25" t="n"/>
      <c r="H118" s="24" t="n"/>
      <c r="I118" s="25" t="n"/>
      <c r="J118" s="17">
        <f>IF(AND(C118="",D118="",G118=""),"",IF(NOT(ISNUMBER(B118)),"Needs a date",IF(AND(D118&lt;&gt;"",NOT(ISNUMBER(D118))),"Amount not a number",IF(N(D118)&lt;0,"Amount below zero",IF(AND(N(D118)=0,G118=""),"Needs an amount or goods",IF(C118="","",IF(COUNTIF(Donors!$B$6:$B$305,C118)=0,"Not on Donors","")))))))</f>
        <v/>
      </c>
      <c r="K118" s="1">
        <f>IF(ISNUMBER(B118),YEAR(B118),"")</f>
        <v/>
      </c>
      <c r="L118">
        <f>IF(ISNUMBER(B118),YEAR(B118)*100+MONTH(B118),"")</f>
        <v/>
      </c>
      <c r="M118">
        <f>IF(ISNUMBER(B118),INT(B118),0)</f>
        <v/>
      </c>
      <c r="N118">
        <f>IF(OR(C118="",F118="",Q118=0),0,IF(COUNTIFS(C$6:C118,C118,F$6:F118,F118,Q$6:Q118,1)=1,1,0))</f>
        <v/>
      </c>
      <c r="O118">
        <f>IF(OR(C118="",Q118=0,H118&lt;&gt;""),"",M118*10000+ROW())</f>
        <v/>
      </c>
      <c r="P118">
        <f>IF(OR(C118="",Q118=0),"",IF(AND(C118=Statement!$C$4,K118=Statement!$C$5),M118*10000+ROW(),""))</f>
        <v/>
      </c>
      <c r="Q118">
        <f>IF(AND(ISNUMBER(B118),OR(N(D118)&gt;0,G118&lt;&gt;"")),1,0)</f>
        <v/>
      </c>
    </row>
    <row r="119">
      <c r="A119" s="1" t="n"/>
      <c r="B119" s="21" t="n"/>
      <c r="C119" s="22" t="n"/>
      <c r="D119" s="23" t="n"/>
      <c r="E119" s="24" t="n"/>
      <c r="F119" s="25" t="n"/>
      <c r="G119" s="25" t="n"/>
      <c r="H119" s="24" t="n"/>
      <c r="I119" s="25" t="n"/>
      <c r="J119" s="17">
        <f>IF(AND(C119="",D119="",G119=""),"",IF(NOT(ISNUMBER(B119)),"Needs a date",IF(AND(D119&lt;&gt;"",NOT(ISNUMBER(D119))),"Amount not a number",IF(N(D119)&lt;0,"Amount below zero",IF(AND(N(D119)=0,G119=""),"Needs an amount or goods",IF(C119="","",IF(COUNTIF(Donors!$B$6:$B$305,C119)=0,"Not on Donors","")))))))</f>
        <v/>
      </c>
      <c r="K119" s="1">
        <f>IF(ISNUMBER(B119),YEAR(B119),"")</f>
        <v/>
      </c>
      <c r="L119">
        <f>IF(ISNUMBER(B119),YEAR(B119)*100+MONTH(B119),"")</f>
        <v/>
      </c>
      <c r="M119">
        <f>IF(ISNUMBER(B119),INT(B119),0)</f>
        <v/>
      </c>
      <c r="N119">
        <f>IF(OR(C119="",F119="",Q119=0),0,IF(COUNTIFS(C$6:C119,C119,F$6:F119,F119,Q$6:Q119,1)=1,1,0))</f>
        <v/>
      </c>
      <c r="O119">
        <f>IF(OR(C119="",Q119=0,H119&lt;&gt;""),"",M119*10000+ROW())</f>
        <v/>
      </c>
      <c r="P119">
        <f>IF(OR(C119="",Q119=0),"",IF(AND(C119=Statement!$C$4,K119=Statement!$C$5),M119*10000+ROW(),""))</f>
        <v/>
      </c>
      <c r="Q119">
        <f>IF(AND(ISNUMBER(B119),OR(N(D119)&gt;0,G119&lt;&gt;"")),1,0)</f>
        <v/>
      </c>
    </row>
    <row r="120">
      <c r="A120" s="1" t="n"/>
      <c r="B120" s="21" t="n"/>
      <c r="C120" s="22" t="n"/>
      <c r="D120" s="23" t="n"/>
      <c r="E120" s="24" t="n"/>
      <c r="F120" s="25" t="n"/>
      <c r="G120" s="25" t="n"/>
      <c r="H120" s="24" t="n"/>
      <c r="I120" s="25" t="n"/>
      <c r="J120" s="17">
        <f>IF(AND(C120="",D120="",G120=""),"",IF(NOT(ISNUMBER(B120)),"Needs a date",IF(AND(D120&lt;&gt;"",NOT(ISNUMBER(D120))),"Amount not a number",IF(N(D120)&lt;0,"Amount below zero",IF(AND(N(D120)=0,G120=""),"Needs an amount or goods",IF(C120="","",IF(COUNTIF(Donors!$B$6:$B$305,C120)=0,"Not on Donors","")))))))</f>
        <v/>
      </c>
      <c r="K120" s="1">
        <f>IF(ISNUMBER(B120),YEAR(B120),"")</f>
        <v/>
      </c>
      <c r="L120">
        <f>IF(ISNUMBER(B120),YEAR(B120)*100+MONTH(B120),"")</f>
        <v/>
      </c>
      <c r="M120">
        <f>IF(ISNUMBER(B120),INT(B120),0)</f>
        <v/>
      </c>
      <c r="N120">
        <f>IF(OR(C120="",F120="",Q120=0),0,IF(COUNTIFS(C$6:C120,C120,F$6:F120,F120,Q$6:Q120,1)=1,1,0))</f>
        <v/>
      </c>
      <c r="O120">
        <f>IF(OR(C120="",Q120=0,H120&lt;&gt;""),"",M120*10000+ROW())</f>
        <v/>
      </c>
      <c r="P120">
        <f>IF(OR(C120="",Q120=0),"",IF(AND(C120=Statement!$C$4,K120=Statement!$C$5),M120*10000+ROW(),""))</f>
        <v/>
      </c>
      <c r="Q120">
        <f>IF(AND(ISNUMBER(B120),OR(N(D120)&gt;0,G120&lt;&gt;"")),1,0)</f>
        <v/>
      </c>
    </row>
    <row r="121">
      <c r="A121" s="1" t="n"/>
      <c r="B121" s="21" t="n"/>
      <c r="C121" s="22" t="n"/>
      <c r="D121" s="23" t="n"/>
      <c r="E121" s="24" t="n"/>
      <c r="F121" s="25" t="n"/>
      <c r="G121" s="25" t="n"/>
      <c r="H121" s="24" t="n"/>
      <c r="I121" s="25" t="n"/>
      <c r="J121" s="17">
        <f>IF(AND(C121="",D121="",G121=""),"",IF(NOT(ISNUMBER(B121)),"Needs a date",IF(AND(D121&lt;&gt;"",NOT(ISNUMBER(D121))),"Amount not a number",IF(N(D121)&lt;0,"Amount below zero",IF(AND(N(D121)=0,G121=""),"Needs an amount or goods",IF(C121="","",IF(COUNTIF(Donors!$B$6:$B$305,C121)=0,"Not on Donors","")))))))</f>
        <v/>
      </c>
      <c r="K121" s="1">
        <f>IF(ISNUMBER(B121),YEAR(B121),"")</f>
        <v/>
      </c>
      <c r="L121">
        <f>IF(ISNUMBER(B121),YEAR(B121)*100+MONTH(B121),"")</f>
        <v/>
      </c>
      <c r="M121">
        <f>IF(ISNUMBER(B121),INT(B121),0)</f>
        <v/>
      </c>
      <c r="N121">
        <f>IF(OR(C121="",F121="",Q121=0),0,IF(COUNTIFS(C$6:C121,C121,F$6:F121,F121,Q$6:Q121,1)=1,1,0))</f>
        <v/>
      </c>
      <c r="O121">
        <f>IF(OR(C121="",Q121=0,H121&lt;&gt;""),"",M121*10000+ROW())</f>
        <v/>
      </c>
      <c r="P121">
        <f>IF(OR(C121="",Q121=0),"",IF(AND(C121=Statement!$C$4,K121=Statement!$C$5),M121*10000+ROW(),""))</f>
        <v/>
      </c>
      <c r="Q121">
        <f>IF(AND(ISNUMBER(B121),OR(N(D121)&gt;0,G121&lt;&gt;"")),1,0)</f>
        <v/>
      </c>
    </row>
    <row r="122">
      <c r="A122" s="1" t="n"/>
      <c r="B122" s="21" t="n"/>
      <c r="C122" s="22" t="n"/>
      <c r="D122" s="23" t="n"/>
      <c r="E122" s="24" t="n"/>
      <c r="F122" s="25" t="n"/>
      <c r="G122" s="25" t="n"/>
      <c r="H122" s="24" t="n"/>
      <c r="I122" s="25" t="n"/>
      <c r="J122" s="17">
        <f>IF(AND(C122="",D122="",G122=""),"",IF(NOT(ISNUMBER(B122)),"Needs a date",IF(AND(D122&lt;&gt;"",NOT(ISNUMBER(D122))),"Amount not a number",IF(N(D122)&lt;0,"Amount below zero",IF(AND(N(D122)=0,G122=""),"Needs an amount or goods",IF(C122="","",IF(COUNTIF(Donors!$B$6:$B$305,C122)=0,"Not on Donors","")))))))</f>
        <v/>
      </c>
      <c r="K122" s="1">
        <f>IF(ISNUMBER(B122),YEAR(B122),"")</f>
        <v/>
      </c>
      <c r="L122">
        <f>IF(ISNUMBER(B122),YEAR(B122)*100+MONTH(B122),"")</f>
        <v/>
      </c>
      <c r="M122">
        <f>IF(ISNUMBER(B122),INT(B122),0)</f>
        <v/>
      </c>
      <c r="N122">
        <f>IF(OR(C122="",F122="",Q122=0),0,IF(COUNTIFS(C$6:C122,C122,F$6:F122,F122,Q$6:Q122,1)=1,1,0))</f>
        <v/>
      </c>
      <c r="O122">
        <f>IF(OR(C122="",Q122=0,H122&lt;&gt;""),"",M122*10000+ROW())</f>
        <v/>
      </c>
      <c r="P122">
        <f>IF(OR(C122="",Q122=0),"",IF(AND(C122=Statement!$C$4,K122=Statement!$C$5),M122*10000+ROW(),""))</f>
        <v/>
      </c>
      <c r="Q122">
        <f>IF(AND(ISNUMBER(B122),OR(N(D122)&gt;0,G122&lt;&gt;"")),1,0)</f>
        <v/>
      </c>
    </row>
    <row r="123">
      <c r="A123" s="1" t="n"/>
      <c r="B123" s="21" t="n"/>
      <c r="C123" s="22" t="n"/>
      <c r="D123" s="23" t="n"/>
      <c r="E123" s="24" t="n"/>
      <c r="F123" s="25" t="n"/>
      <c r="G123" s="25" t="n"/>
      <c r="H123" s="24" t="n"/>
      <c r="I123" s="25" t="n"/>
      <c r="J123" s="17">
        <f>IF(AND(C123="",D123="",G123=""),"",IF(NOT(ISNUMBER(B123)),"Needs a date",IF(AND(D123&lt;&gt;"",NOT(ISNUMBER(D123))),"Amount not a number",IF(N(D123)&lt;0,"Amount below zero",IF(AND(N(D123)=0,G123=""),"Needs an amount or goods",IF(C123="","",IF(COUNTIF(Donors!$B$6:$B$305,C123)=0,"Not on Donors","")))))))</f>
        <v/>
      </c>
      <c r="K123" s="1">
        <f>IF(ISNUMBER(B123),YEAR(B123),"")</f>
        <v/>
      </c>
      <c r="L123">
        <f>IF(ISNUMBER(B123),YEAR(B123)*100+MONTH(B123),"")</f>
        <v/>
      </c>
      <c r="M123">
        <f>IF(ISNUMBER(B123),INT(B123),0)</f>
        <v/>
      </c>
      <c r="N123">
        <f>IF(OR(C123="",F123="",Q123=0),0,IF(COUNTIFS(C$6:C123,C123,F$6:F123,F123,Q$6:Q123,1)=1,1,0))</f>
        <v/>
      </c>
      <c r="O123">
        <f>IF(OR(C123="",Q123=0,H123&lt;&gt;""),"",M123*10000+ROW())</f>
        <v/>
      </c>
      <c r="P123">
        <f>IF(OR(C123="",Q123=0),"",IF(AND(C123=Statement!$C$4,K123=Statement!$C$5),M123*10000+ROW(),""))</f>
        <v/>
      </c>
      <c r="Q123">
        <f>IF(AND(ISNUMBER(B123),OR(N(D123)&gt;0,G123&lt;&gt;"")),1,0)</f>
        <v/>
      </c>
    </row>
    <row r="124">
      <c r="A124" s="1" t="n"/>
      <c r="B124" s="21" t="n"/>
      <c r="C124" s="22" t="n"/>
      <c r="D124" s="23" t="n"/>
      <c r="E124" s="24" t="n"/>
      <c r="F124" s="25" t="n"/>
      <c r="G124" s="25" t="n"/>
      <c r="H124" s="24" t="n"/>
      <c r="I124" s="25" t="n"/>
      <c r="J124" s="17">
        <f>IF(AND(C124="",D124="",G124=""),"",IF(NOT(ISNUMBER(B124)),"Needs a date",IF(AND(D124&lt;&gt;"",NOT(ISNUMBER(D124))),"Amount not a number",IF(N(D124)&lt;0,"Amount below zero",IF(AND(N(D124)=0,G124=""),"Needs an amount or goods",IF(C124="","",IF(COUNTIF(Donors!$B$6:$B$305,C124)=0,"Not on Donors","")))))))</f>
        <v/>
      </c>
      <c r="K124" s="1">
        <f>IF(ISNUMBER(B124),YEAR(B124),"")</f>
        <v/>
      </c>
      <c r="L124">
        <f>IF(ISNUMBER(B124),YEAR(B124)*100+MONTH(B124),"")</f>
        <v/>
      </c>
      <c r="M124">
        <f>IF(ISNUMBER(B124),INT(B124),0)</f>
        <v/>
      </c>
      <c r="N124">
        <f>IF(OR(C124="",F124="",Q124=0),0,IF(COUNTIFS(C$6:C124,C124,F$6:F124,F124,Q$6:Q124,1)=1,1,0))</f>
        <v/>
      </c>
      <c r="O124">
        <f>IF(OR(C124="",Q124=0,H124&lt;&gt;""),"",M124*10000+ROW())</f>
        <v/>
      </c>
      <c r="P124">
        <f>IF(OR(C124="",Q124=0),"",IF(AND(C124=Statement!$C$4,K124=Statement!$C$5),M124*10000+ROW(),""))</f>
        <v/>
      </c>
      <c r="Q124">
        <f>IF(AND(ISNUMBER(B124),OR(N(D124)&gt;0,G124&lt;&gt;"")),1,0)</f>
        <v/>
      </c>
    </row>
    <row r="125">
      <c r="A125" s="1" t="n"/>
      <c r="B125" s="21" t="n"/>
      <c r="C125" s="22" t="n"/>
      <c r="D125" s="23" t="n"/>
      <c r="E125" s="24" t="n"/>
      <c r="F125" s="25" t="n"/>
      <c r="G125" s="25" t="n"/>
      <c r="H125" s="24" t="n"/>
      <c r="I125" s="25" t="n"/>
      <c r="J125" s="17">
        <f>IF(AND(C125="",D125="",G125=""),"",IF(NOT(ISNUMBER(B125)),"Needs a date",IF(AND(D125&lt;&gt;"",NOT(ISNUMBER(D125))),"Amount not a number",IF(N(D125)&lt;0,"Amount below zero",IF(AND(N(D125)=0,G125=""),"Needs an amount or goods",IF(C125="","",IF(COUNTIF(Donors!$B$6:$B$305,C125)=0,"Not on Donors","")))))))</f>
        <v/>
      </c>
      <c r="K125" s="1">
        <f>IF(ISNUMBER(B125),YEAR(B125),"")</f>
        <v/>
      </c>
      <c r="L125">
        <f>IF(ISNUMBER(B125),YEAR(B125)*100+MONTH(B125),"")</f>
        <v/>
      </c>
      <c r="M125">
        <f>IF(ISNUMBER(B125),INT(B125),0)</f>
        <v/>
      </c>
      <c r="N125">
        <f>IF(OR(C125="",F125="",Q125=0),0,IF(COUNTIFS(C$6:C125,C125,F$6:F125,F125,Q$6:Q125,1)=1,1,0))</f>
        <v/>
      </c>
      <c r="O125">
        <f>IF(OR(C125="",Q125=0,H125&lt;&gt;""),"",M125*10000+ROW())</f>
        <v/>
      </c>
      <c r="P125">
        <f>IF(OR(C125="",Q125=0),"",IF(AND(C125=Statement!$C$4,K125=Statement!$C$5),M125*10000+ROW(),""))</f>
        <v/>
      </c>
      <c r="Q125">
        <f>IF(AND(ISNUMBER(B125),OR(N(D125)&gt;0,G125&lt;&gt;"")),1,0)</f>
        <v/>
      </c>
    </row>
    <row r="126">
      <c r="A126" s="1" t="n"/>
      <c r="B126" s="21" t="n"/>
      <c r="C126" s="22" t="n"/>
      <c r="D126" s="23" t="n"/>
      <c r="E126" s="24" t="n"/>
      <c r="F126" s="25" t="n"/>
      <c r="G126" s="25" t="n"/>
      <c r="H126" s="24" t="n"/>
      <c r="I126" s="25" t="n"/>
      <c r="J126" s="17">
        <f>IF(AND(C126="",D126="",G126=""),"",IF(NOT(ISNUMBER(B126)),"Needs a date",IF(AND(D126&lt;&gt;"",NOT(ISNUMBER(D126))),"Amount not a number",IF(N(D126)&lt;0,"Amount below zero",IF(AND(N(D126)=0,G126=""),"Needs an amount or goods",IF(C126="","",IF(COUNTIF(Donors!$B$6:$B$305,C126)=0,"Not on Donors","")))))))</f>
        <v/>
      </c>
      <c r="K126" s="1">
        <f>IF(ISNUMBER(B126),YEAR(B126),"")</f>
        <v/>
      </c>
      <c r="L126">
        <f>IF(ISNUMBER(B126),YEAR(B126)*100+MONTH(B126),"")</f>
        <v/>
      </c>
      <c r="M126">
        <f>IF(ISNUMBER(B126),INT(B126),0)</f>
        <v/>
      </c>
      <c r="N126">
        <f>IF(OR(C126="",F126="",Q126=0),0,IF(COUNTIFS(C$6:C126,C126,F$6:F126,F126,Q$6:Q126,1)=1,1,0))</f>
        <v/>
      </c>
      <c r="O126">
        <f>IF(OR(C126="",Q126=0,H126&lt;&gt;""),"",M126*10000+ROW())</f>
        <v/>
      </c>
      <c r="P126">
        <f>IF(OR(C126="",Q126=0),"",IF(AND(C126=Statement!$C$4,K126=Statement!$C$5),M126*10000+ROW(),""))</f>
        <v/>
      </c>
      <c r="Q126">
        <f>IF(AND(ISNUMBER(B126),OR(N(D126)&gt;0,G126&lt;&gt;"")),1,0)</f>
        <v/>
      </c>
    </row>
    <row r="127">
      <c r="A127" s="1" t="n"/>
      <c r="B127" s="21" t="n"/>
      <c r="C127" s="22" t="n"/>
      <c r="D127" s="23" t="n"/>
      <c r="E127" s="24" t="n"/>
      <c r="F127" s="25" t="n"/>
      <c r="G127" s="25" t="n"/>
      <c r="H127" s="24" t="n"/>
      <c r="I127" s="25" t="n"/>
      <c r="J127" s="17">
        <f>IF(AND(C127="",D127="",G127=""),"",IF(NOT(ISNUMBER(B127)),"Needs a date",IF(AND(D127&lt;&gt;"",NOT(ISNUMBER(D127))),"Amount not a number",IF(N(D127)&lt;0,"Amount below zero",IF(AND(N(D127)=0,G127=""),"Needs an amount or goods",IF(C127="","",IF(COUNTIF(Donors!$B$6:$B$305,C127)=0,"Not on Donors","")))))))</f>
        <v/>
      </c>
      <c r="K127" s="1">
        <f>IF(ISNUMBER(B127),YEAR(B127),"")</f>
        <v/>
      </c>
      <c r="L127">
        <f>IF(ISNUMBER(B127),YEAR(B127)*100+MONTH(B127),"")</f>
        <v/>
      </c>
      <c r="M127">
        <f>IF(ISNUMBER(B127),INT(B127),0)</f>
        <v/>
      </c>
      <c r="N127">
        <f>IF(OR(C127="",F127="",Q127=0),0,IF(COUNTIFS(C$6:C127,C127,F$6:F127,F127,Q$6:Q127,1)=1,1,0))</f>
        <v/>
      </c>
      <c r="O127">
        <f>IF(OR(C127="",Q127=0,H127&lt;&gt;""),"",M127*10000+ROW())</f>
        <v/>
      </c>
      <c r="P127">
        <f>IF(OR(C127="",Q127=0),"",IF(AND(C127=Statement!$C$4,K127=Statement!$C$5),M127*10000+ROW(),""))</f>
        <v/>
      </c>
      <c r="Q127">
        <f>IF(AND(ISNUMBER(B127),OR(N(D127)&gt;0,G127&lt;&gt;"")),1,0)</f>
        <v/>
      </c>
    </row>
    <row r="128">
      <c r="A128" s="1" t="n"/>
      <c r="B128" s="21" t="n"/>
      <c r="C128" s="22" t="n"/>
      <c r="D128" s="23" t="n"/>
      <c r="E128" s="24" t="n"/>
      <c r="F128" s="25" t="n"/>
      <c r="G128" s="25" t="n"/>
      <c r="H128" s="24" t="n"/>
      <c r="I128" s="25" t="n"/>
      <c r="J128" s="17">
        <f>IF(AND(C128="",D128="",G128=""),"",IF(NOT(ISNUMBER(B128)),"Needs a date",IF(AND(D128&lt;&gt;"",NOT(ISNUMBER(D128))),"Amount not a number",IF(N(D128)&lt;0,"Amount below zero",IF(AND(N(D128)=0,G128=""),"Needs an amount or goods",IF(C128="","",IF(COUNTIF(Donors!$B$6:$B$305,C128)=0,"Not on Donors","")))))))</f>
        <v/>
      </c>
      <c r="K128" s="1">
        <f>IF(ISNUMBER(B128),YEAR(B128),"")</f>
        <v/>
      </c>
      <c r="L128">
        <f>IF(ISNUMBER(B128),YEAR(B128)*100+MONTH(B128),"")</f>
        <v/>
      </c>
      <c r="M128">
        <f>IF(ISNUMBER(B128),INT(B128),0)</f>
        <v/>
      </c>
      <c r="N128">
        <f>IF(OR(C128="",F128="",Q128=0),0,IF(COUNTIFS(C$6:C128,C128,F$6:F128,F128,Q$6:Q128,1)=1,1,0))</f>
        <v/>
      </c>
      <c r="O128">
        <f>IF(OR(C128="",Q128=0,H128&lt;&gt;""),"",M128*10000+ROW())</f>
        <v/>
      </c>
      <c r="P128">
        <f>IF(OR(C128="",Q128=0),"",IF(AND(C128=Statement!$C$4,K128=Statement!$C$5),M128*10000+ROW(),""))</f>
        <v/>
      </c>
      <c r="Q128">
        <f>IF(AND(ISNUMBER(B128),OR(N(D128)&gt;0,G128&lt;&gt;"")),1,0)</f>
        <v/>
      </c>
    </row>
    <row r="129">
      <c r="A129" s="1" t="n"/>
      <c r="B129" s="21" t="n"/>
      <c r="C129" s="22" t="n"/>
      <c r="D129" s="23" t="n"/>
      <c r="E129" s="24" t="n"/>
      <c r="F129" s="25" t="n"/>
      <c r="G129" s="25" t="n"/>
      <c r="H129" s="24" t="n"/>
      <c r="I129" s="25" t="n"/>
      <c r="J129" s="17">
        <f>IF(AND(C129="",D129="",G129=""),"",IF(NOT(ISNUMBER(B129)),"Needs a date",IF(AND(D129&lt;&gt;"",NOT(ISNUMBER(D129))),"Amount not a number",IF(N(D129)&lt;0,"Amount below zero",IF(AND(N(D129)=0,G129=""),"Needs an amount or goods",IF(C129="","",IF(COUNTIF(Donors!$B$6:$B$305,C129)=0,"Not on Donors","")))))))</f>
        <v/>
      </c>
      <c r="K129" s="1">
        <f>IF(ISNUMBER(B129),YEAR(B129),"")</f>
        <v/>
      </c>
      <c r="L129">
        <f>IF(ISNUMBER(B129),YEAR(B129)*100+MONTH(B129),"")</f>
        <v/>
      </c>
      <c r="M129">
        <f>IF(ISNUMBER(B129),INT(B129),0)</f>
        <v/>
      </c>
      <c r="N129">
        <f>IF(OR(C129="",F129="",Q129=0),0,IF(COUNTIFS(C$6:C129,C129,F$6:F129,F129,Q$6:Q129,1)=1,1,0))</f>
        <v/>
      </c>
      <c r="O129">
        <f>IF(OR(C129="",Q129=0,H129&lt;&gt;""),"",M129*10000+ROW())</f>
        <v/>
      </c>
      <c r="P129">
        <f>IF(OR(C129="",Q129=0),"",IF(AND(C129=Statement!$C$4,K129=Statement!$C$5),M129*10000+ROW(),""))</f>
        <v/>
      </c>
      <c r="Q129">
        <f>IF(AND(ISNUMBER(B129),OR(N(D129)&gt;0,G129&lt;&gt;"")),1,0)</f>
        <v/>
      </c>
    </row>
    <row r="130">
      <c r="A130" s="1" t="n"/>
      <c r="B130" s="21" t="n"/>
      <c r="C130" s="22" t="n"/>
      <c r="D130" s="23" t="n"/>
      <c r="E130" s="24" t="n"/>
      <c r="F130" s="25" t="n"/>
      <c r="G130" s="25" t="n"/>
      <c r="H130" s="24" t="n"/>
      <c r="I130" s="25" t="n"/>
      <c r="J130" s="17">
        <f>IF(AND(C130="",D130="",G130=""),"",IF(NOT(ISNUMBER(B130)),"Needs a date",IF(AND(D130&lt;&gt;"",NOT(ISNUMBER(D130))),"Amount not a number",IF(N(D130)&lt;0,"Amount below zero",IF(AND(N(D130)=0,G130=""),"Needs an amount or goods",IF(C130="","",IF(COUNTIF(Donors!$B$6:$B$305,C130)=0,"Not on Donors","")))))))</f>
        <v/>
      </c>
      <c r="K130" s="1">
        <f>IF(ISNUMBER(B130),YEAR(B130),"")</f>
        <v/>
      </c>
      <c r="L130">
        <f>IF(ISNUMBER(B130),YEAR(B130)*100+MONTH(B130),"")</f>
        <v/>
      </c>
      <c r="M130">
        <f>IF(ISNUMBER(B130),INT(B130),0)</f>
        <v/>
      </c>
      <c r="N130">
        <f>IF(OR(C130="",F130="",Q130=0),0,IF(COUNTIFS(C$6:C130,C130,F$6:F130,F130,Q$6:Q130,1)=1,1,0))</f>
        <v/>
      </c>
      <c r="O130">
        <f>IF(OR(C130="",Q130=0,H130&lt;&gt;""),"",M130*10000+ROW())</f>
        <v/>
      </c>
      <c r="P130">
        <f>IF(OR(C130="",Q130=0),"",IF(AND(C130=Statement!$C$4,K130=Statement!$C$5),M130*10000+ROW(),""))</f>
        <v/>
      </c>
      <c r="Q130">
        <f>IF(AND(ISNUMBER(B130),OR(N(D130)&gt;0,G130&lt;&gt;"")),1,0)</f>
        <v/>
      </c>
    </row>
    <row r="131">
      <c r="A131" s="1" t="n"/>
      <c r="B131" s="21" t="n"/>
      <c r="C131" s="22" t="n"/>
      <c r="D131" s="23" t="n"/>
      <c r="E131" s="24" t="n"/>
      <c r="F131" s="25" t="n"/>
      <c r="G131" s="25" t="n"/>
      <c r="H131" s="24" t="n"/>
      <c r="I131" s="25" t="n"/>
      <c r="J131" s="17">
        <f>IF(AND(C131="",D131="",G131=""),"",IF(NOT(ISNUMBER(B131)),"Needs a date",IF(AND(D131&lt;&gt;"",NOT(ISNUMBER(D131))),"Amount not a number",IF(N(D131)&lt;0,"Amount below zero",IF(AND(N(D131)=0,G131=""),"Needs an amount or goods",IF(C131="","",IF(COUNTIF(Donors!$B$6:$B$305,C131)=0,"Not on Donors","")))))))</f>
        <v/>
      </c>
      <c r="K131" s="1">
        <f>IF(ISNUMBER(B131),YEAR(B131),"")</f>
        <v/>
      </c>
      <c r="L131">
        <f>IF(ISNUMBER(B131),YEAR(B131)*100+MONTH(B131),"")</f>
        <v/>
      </c>
      <c r="M131">
        <f>IF(ISNUMBER(B131),INT(B131),0)</f>
        <v/>
      </c>
      <c r="N131">
        <f>IF(OR(C131="",F131="",Q131=0),0,IF(COUNTIFS(C$6:C131,C131,F$6:F131,F131,Q$6:Q131,1)=1,1,0))</f>
        <v/>
      </c>
      <c r="O131">
        <f>IF(OR(C131="",Q131=0,H131&lt;&gt;""),"",M131*10000+ROW())</f>
        <v/>
      </c>
      <c r="P131">
        <f>IF(OR(C131="",Q131=0),"",IF(AND(C131=Statement!$C$4,K131=Statement!$C$5),M131*10000+ROW(),""))</f>
        <v/>
      </c>
      <c r="Q131">
        <f>IF(AND(ISNUMBER(B131),OR(N(D131)&gt;0,G131&lt;&gt;"")),1,0)</f>
        <v/>
      </c>
    </row>
    <row r="132">
      <c r="A132" s="1" t="n"/>
      <c r="B132" s="21" t="n"/>
      <c r="C132" s="22" t="n"/>
      <c r="D132" s="23" t="n"/>
      <c r="E132" s="24" t="n"/>
      <c r="F132" s="25" t="n"/>
      <c r="G132" s="25" t="n"/>
      <c r="H132" s="24" t="n"/>
      <c r="I132" s="25" t="n"/>
      <c r="J132" s="17">
        <f>IF(AND(C132="",D132="",G132=""),"",IF(NOT(ISNUMBER(B132)),"Needs a date",IF(AND(D132&lt;&gt;"",NOT(ISNUMBER(D132))),"Amount not a number",IF(N(D132)&lt;0,"Amount below zero",IF(AND(N(D132)=0,G132=""),"Needs an amount or goods",IF(C132="","",IF(COUNTIF(Donors!$B$6:$B$305,C132)=0,"Not on Donors","")))))))</f>
        <v/>
      </c>
      <c r="K132" s="1">
        <f>IF(ISNUMBER(B132),YEAR(B132),"")</f>
        <v/>
      </c>
      <c r="L132">
        <f>IF(ISNUMBER(B132),YEAR(B132)*100+MONTH(B132),"")</f>
        <v/>
      </c>
      <c r="M132">
        <f>IF(ISNUMBER(B132),INT(B132),0)</f>
        <v/>
      </c>
      <c r="N132">
        <f>IF(OR(C132="",F132="",Q132=0),0,IF(COUNTIFS(C$6:C132,C132,F$6:F132,F132,Q$6:Q132,1)=1,1,0))</f>
        <v/>
      </c>
      <c r="O132">
        <f>IF(OR(C132="",Q132=0,H132&lt;&gt;""),"",M132*10000+ROW())</f>
        <v/>
      </c>
      <c r="P132">
        <f>IF(OR(C132="",Q132=0),"",IF(AND(C132=Statement!$C$4,K132=Statement!$C$5),M132*10000+ROW(),""))</f>
        <v/>
      </c>
      <c r="Q132">
        <f>IF(AND(ISNUMBER(B132),OR(N(D132)&gt;0,G132&lt;&gt;"")),1,0)</f>
        <v/>
      </c>
    </row>
    <row r="133">
      <c r="A133" s="1" t="n"/>
      <c r="B133" s="21" t="n"/>
      <c r="C133" s="22" t="n"/>
      <c r="D133" s="23" t="n"/>
      <c r="E133" s="24" t="n"/>
      <c r="F133" s="25" t="n"/>
      <c r="G133" s="25" t="n"/>
      <c r="H133" s="24" t="n"/>
      <c r="I133" s="25" t="n"/>
      <c r="J133" s="17">
        <f>IF(AND(C133="",D133="",G133=""),"",IF(NOT(ISNUMBER(B133)),"Needs a date",IF(AND(D133&lt;&gt;"",NOT(ISNUMBER(D133))),"Amount not a number",IF(N(D133)&lt;0,"Amount below zero",IF(AND(N(D133)=0,G133=""),"Needs an amount or goods",IF(C133="","",IF(COUNTIF(Donors!$B$6:$B$305,C133)=0,"Not on Donors","")))))))</f>
        <v/>
      </c>
      <c r="K133" s="1">
        <f>IF(ISNUMBER(B133),YEAR(B133),"")</f>
        <v/>
      </c>
      <c r="L133">
        <f>IF(ISNUMBER(B133),YEAR(B133)*100+MONTH(B133),"")</f>
        <v/>
      </c>
      <c r="M133">
        <f>IF(ISNUMBER(B133),INT(B133),0)</f>
        <v/>
      </c>
      <c r="N133">
        <f>IF(OR(C133="",F133="",Q133=0),0,IF(COUNTIFS(C$6:C133,C133,F$6:F133,F133,Q$6:Q133,1)=1,1,0))</f>
        <v/>
      </c>
      <c r="O133">
        <f>IF(OR(C133="",Q133=0,H133&lt;&gt;""),"",M133*10000+ROW())</f>
        <v/>
      </c>
      <c r="P133">
        <f>IF(OR(C133="",Q133=0),"",IF(AND(C133=Statement!$C$4,K133=Statement!$C$5),M133*10000+ROW(),""))</f>
        <v/>
      </c>
      <c r="Q133">
        <f>IF(AND(ISNUMBER(B133),OR(N(D133)&gt;0,G133&lt;&gt;"")),1,0)</f>
        <v/>
      </c>
    </row>
    <row r="134">
      <c r="A134" s="1" t="n"/>
      <c r="B134" s="21" t="n"/>
      <c r="C134" s="22" t="n"/>
      <c r="D134" s="23" t="n"/>
      <c r="E134" s="24" t="n"/>
      <c r="F134" s="25" t="n"/>
      <c r="G134" s="25" t="n"/>
      <c r="H134" s="24" t="n"/>
      <c r="I134" s="25" t="n"/>
      <c r="J134" s="17">
        <f>IF(AND(C134="",D134="",G134=""),"",IF(NOT(ISNUMBER(B134)),"Needs a date",IF(AND(D134&lt;&gt;"",NOT(ISNUMBER(D134))),"Amount not a number",IF(N(D134)&lt;0,"Amount below zero",IF(AND(N(D134)=0,G134=""),"Needs an amount or goods",IF(C134="","",IF(COUNTIF(Donors!$B$6:$B$305,C134)=0,"Not on Donors","")))))))</f>
        <v/>
      </c>
      <c r="K134" s="1">
        <f>IF(ISNUMBER(B134),YEAR(B134),"")</f>
        <v/>
      </c>
      <c r="L134">
        <f>IF(ISNUMBER(B134),YEAR(B134)*100+MONTH(B134),"")</f>
        <v/>
      </c>
      <c r="M134">
        <f>IF(ISNUMBER(B134),INT(B134),0)</f>
        <v/>
      </c>
      <c r="N134">
        <f>IF(OR(C134="",F134="",Q134=0),0,IF(COUNTIFS(C$6:C134,C134,F$6:F134,F134,Q$6:Q134,1)=1,1,0))</f>
        <v/>
      </c>
      <c r="O134">
        <f>IF(OR(C134="",Q134=0,H134&lt;&gt;""),"",M134*10000+ROW())</f>
        <v/>
      </c>
      <c r="P134">
        <f>IF(OR(C134="",Q134=0),"",IF(AND(C134=Statement!$C$4,K134=Statement!$C$5),M134*10000+ROW(),""))</f>
        <v/>
      </c>
      <c r="Q134">
        <f>IF(AND(ISNUMBER(B134),OR(N(D134)&gt;0,G134&lt;&gt;"")),1,0)</f>
        <v/>
      </c>
    </row>
    <row r="135">
      <c r="A135" s="1" t="n"/>
      <c r="B135" s="21" t="n"/>
      <c r="C135" s="22" t="n"/>
      <c r="D135" s="23" t="n"/>
      <c r="E135" s="24" t="n"/>
      <c r="F135" s="25" t="n"/>
      <c r="G135" s="25" t="n"/>
      <c r="H135" s="24" t="n"/>
      <c r="I135" s="25" t="n"/>
      <c r="J135" s="17">
        <f>IF(AND(C135="",D135="",G135=""),"",IF(NOT(ISNUMBER(B135)),"Needs a date",IF(AND(D135&lt;&gt;"",NOT(ISNUMBER(D135))),"Amount not a number",IF(N(D135)&lt;0,"Amount below zero",IF(AND(N(D135)=0,G135=""),"Needs an amount or goods",IF(C135="","",IF(COUNTIF(Donors!$B$6:$B$305,C135)=0,"Not on Donors","")))))))</f>
        <v/>
      </c>
      <c r="K135" s="1">
        <f>IF(ISNUMBER(B135),YEAR(B135),"")</f>
        <v/>
      </c>
      <c r="L135">
        <f>IF(ISNUMBER(B135),YEAR(B135)*100+MONTH(B135),"")</f>
        <v/>
      </c>
      <c r="M135">
        <f>IF(ISNUMBER(B135),INT(B135),0)</f>
        <v/>
      </c>
      <c r="N135">
        <f>IF(OR(C135="",F135="",Q135=0),0,IF(COUNTIFS(C$6:C135,C135,F$6:F135,F135,Q$6:Q135,1)=1,1,0))</f>
        <v/>
      </c>
      <c r="O135">
        <f>IF(OR(C135="",Q135=0,H135&lt;&gt;""),"",M135*10000+ROW())</f>
        <v/>
      </c>
      <c r="P135">
        <f>IF(OR(C135="",Q135=0),"",IF(AND(C135=Statement!$C$4,K135=Statement!$C$5),M135*10000+ROW(),""))</f>
        <v/>
      </c>
      <c r="Q135">
        <f>IF(AND(ISNUMBER(B135),OR(N(D135)&gt;0,G135&lt;&gt;"")),1,0)</f>
        <v/>
      </c>
    </row>
    <row r="136">
      <c r="A136" s="1" t="n"/>
      <c r="B136" s="21" t="n"/>
      <c r="C136" s="22" t="n"/>
      <c r="D136" s="23" t="n"/>
      <c r="E136" s="24" t="n"/>
      <c r="F136" s="25" t="n"/>
      <c r="G136" s="25" t="n"/>
      <c r="H136" s="24" t="n"/>
      <c r="I136" s="25" t="n"/>
      <c r="J136" s="17">
        <f>IF(AND(C136="",D136="",G136=""),"",IF(NOT(ISNUMBER(B136)),"Needs a date",IF(AND(D136&lt;&gt;"",NOT(ISNUMBER(D136))),"Amount not a number",IF(N(D136)&lt;0,"Amount below zero",IF(AND(N(D136)=0,G136=""),"Needs an amount or goods",IF(C136="","",IF(COUNTIF(Donors!$B$6:$B$305,C136)=0,"Not on Donors","")))))))</f>
        <v/>
      </c>
      <c r="K136" s="1">
        <f>IF(ISNUMBER(B136),YEAR(B136),"")</f>
        <v/>
      </c>
      <c r="L136">
        <f>IF(ISNUMBER(B136),YEAR(B136)*100+MONTH(B136),"")</f>
        <v/>
      </c>
      <c r="M136">
        <f>IF(ISNUMBER(B136),INT(B136),0)</f>
        <v/>
      </c>
      <c r="N136">
        <f>IF(OR(C136="",F136="",Q136=0),0,IF(COUNTIFS(C$6:C136,C136,F$6:F136,F136,Q$6:Q136,1)=1,1,0))</f>
        <v/>
      </c>
      <c r="O136">
        <f>IF(OR(C136="",Q136=0,H136&lt;&gt;""),"",M136*10000+ROW())</f>
        <v/>
      </c>
      <c r="P136">
        <f>IF(OR(C136="",Q136=0),"",IF(AND(C136=Statement!$C$4,K136=Statement!$C$5),M136*10000+ROW(),""))</f>
        <v/>
      </c>
      <c r="Q136">
        <f>IF(AND(ISNUMBER(B136),OR(N(D136)&gt;0,G136&lt;&gt;"")),1,0)</f>
        <v/>
      </c>
    </row>
    <row r="137">
      <c r="A137" s="1" t="n"/>
      <c r="B137" s="21" t="n"/>
      <c r="C137" s="22" t="n"/>
      <c r="D137" s="23" t="n"/>
      <c r="E137" s="24" t="n"/>
      <c r="F137" s="25" t="n"/>
      <c r="G137" s="25" t="n"/>
      <c r="H137" s="24" t="n"/>
      <c r="I137" s="25" t="n"/>
      <c r="J137" s="17">
        <f>IF(AND(C137="",D137="",G137=""),"",IF(NOT(ISNUMBER(B137)),"Needs a date",IF(AND(D137&lt;&gt;"",NOT(ISNUMBER(D137))),"Amount not a number",IF(N(D137)&lt;0,"Amount below zero",IF(AND(N(D137)=0,G137=""),"Needs an amount or goods",IF(C137="","",IF(COUNTIF(Donors!$B$6:$B$305,C137)=0,"Not on Donors","")))))))</f>
        <v/>
      </c>
      <c r="K137" s="1">
        <f>IF(ISNUMBER(B137),YEAR(B137),"")</f>
        <v/>
      </c>
      <c r="L137">
        <f>IF(ISNUMBER(B137),YEAR(B137)*100+MONTH(B137),"")</f>
        <v/>
      </c>
      <c r="M137">
        <f>IF(ISNUMBER(B137),INT(B137),0)</f>
        <v/>
      </c>
      <c r="N137">
        <f>IF(OR(C137="",F137="",Q137=0),0,IF(COUNTIFS(C$6:C137,C137,F$6:F137,F137,Q$6:Q137,1)=1,1,0))</f>
        <v/>
      </c>
      <c r="O137">
        <f>IF(OR(C137="",Q137=0,H137&lt;&gt;""),"",M137*10000+ROW())</f>
        <v/>
      </c>
      <c r="P137">
        <f>IF(OR(C137="",Q137=0),"",IF(AND(C137=Statement!$C$4,K137=Statement!$C$5),M137*10000+ROW(),""))</f>
        <v/>
      </c>
      <c r="Q137">
        <f>IF(AND(ISNUMBER(B137),OR(N(D137)&gt;0,G137&lt;&gt;"")),1,0)</f>
        <v/>
      </c>
    </row>
    <row r="138">
      <c r="A138" s="1" t="n"/>
      <c r="B138" s="21" t="n"/>
      <c r="C138" s="22" t="n"/>
      <c r="D138" s="23" t="n"/>
      <c r="E138" s="24" t="n"/>
      <c r="F138" s="25" t="n"/>
      <c r="G138" s="25" t="n"/>
      <c r="H138" s="24" t="n"/>
      <c r="I138" s="25" t="n"/>
      <c r="J138" s="17">
        <f>IF(AND(C138="",D138="",G138=""),"",IF(NOT(ISNUMBER(B138)),"Needs a date",IF(AND(D138&lt;&gt;"",NOT(ISNUMBER(D138))),"Amount not a number",IF(N(D138)&lt;0,"Amount below zero",IF(AND(N(D138)=0,G138=""),"Needs an amount or goods",IF(C138="","",IF(COUNTIF(Donors!$B$6:$B$305,C138)=0,"Not on Donors","")))))))</f>
        <v/>
      </c>
      <c r="K138" s="1">
        <f>IF(ISNUMBER(B138),YEAR(B138),"")</f>
        <v/>
      </c>
      <c r="L138">
        <f>IF(ISNUMBER(B138),YEAR(B138)*100+MONTH(B138),"")</f>
        <v/>
      </c>
      <c r="M138">
        <f>IF(ISNUMBER(B138),INT(B138),0)</f>
        <v/>
      </c>
      <c r="N138">
        <f>IF(OR(C138="",F138="",Q138=0),0,IF(COUNTIFS(C$6:C138,C138,F$6:F138,F138,Q$6:Q138,1)=1,1,0))</f>
        <v/>
      </c>
      <c r="O138">
        <f>IF(OR(C138="",Q138=0,H138&lt;&gt;""),"",M138*10000+ROW())</f>
        <v/>
      </c>
      <c r="P138">
        <f>IF(OR(C138="",Q138=0),"",IF(AND(C138=Statement!$C$4,K138=Statement!$C$5),M138*10000+ROW(),""))</f>
        <v/>
      </c>
      <c r="Q138">
        <f>IF(AND(ISNUMBER(B138),OR(N(D138)&gt;0,G138&lt;&gt;"")),1,0)</f>
        <v/>
      </c>
    </row>
    <row r="139">
      <c r="A139" s="1" t="n"/>
      <c r="B139" s="21" t="n"/>
      <c r="C139" s="22" t="n"/>
      <c r="D139" s="23" t="n"/>
      <c r="E139" s="24" t="n"/>
      <c r="F139" s="25" t="n"/>
      <c r="G139" s="25" t="n"/>
      <c r="H139" s="24" t="n"/>
      <c r="I139" s="25" t="n"/>
      <c r="J139" s="17">
        <f>IF(AND(C139="",D139="",G139=""),"",IF(NOT(ISNUMBER(B139)),"Needs a date",IF(AND(D139&lt;&gt;"",NOT(ISNUMBER(D139))),"Amount not a number",IF(N(D139)&lt;0,"Amount below zero",IF(AND(N(D139)=0,G139=""),"Needs an amount or goods",IF(C139="","",IF(COUNTIF(Donors!$B$6:$B$305,C139)=0,"Not on Donors","")))))))</f>
        <v/>
      </c>
      <c r="K139" s="1">
        <f>IF(ISNUMBER(B139),YEAR(B139),"")</f>
        <v/>
      </c>
      <c r="L139">
        <f>IF(ISNUMBER(B139),YEAR(B139)*100+MONTH(B139),"")</f>
        <v/>
      </c>
      <c r="M139">
        <f>IF(ISNUMBER(B139),INT(B139),0)</f>
        <v/>
      </c>
      <c r="N139">
        <f>IF(OR(C139="",F139="",Q139=0),0,IF(COUNTIFS(C$6:C139,C139,F$6:F139,F139,Q$6:Q139,1)=1,1,0))</f>
        <v/>
      </c>
      <c r="O139">
        <f>IF(OR(C139="",Q139=0,H139&lt;&gt;""),"",M139*10000+ROW())</f>
        <v/>
      </c>
      <c r="P139">
        <f>IF(OR(C139="",Q139=0),"",IF(AND(C139=Statement!$C$4,K139=Statement!$C$5),M139*10000+ROW(),""))</f>
        <v/>
      </c>
      <c r="Q139">
        <f>IF(AND(ISNUMBER(B139),OR(N(D139)&gt;0,G139&lt;&gt;"")),1,0)</f>
        <v/>
      </c>
    </row>
    <row r="140">
      <c r="A140" s="1" t="n"/>
      <c r="B140" s="21" t="n"/>
      <c r="C140" s="22" t="n"/>
      <c r="D140" s="23" t="n"/>
      <c r="E140" s="24" t="n"/>
      <c r="F140" s="25" t="n"/>
      <c r="G140" s="25" t="n"/>
      <c r="H140" s="24" t="n"/>
      <c r="I140" s="25" t="n"/>
      <c r="J140" s="17">
        <f>IF(AND(C140="",D140="",G140=""),"",IF(NOT(ISNUMBER(B140)),"Needs a date",IF(AND(D140&lt;&gt;"",NOT(ISNUMBER(D140))),"Amount not a number",IF(N(D140)&lt;0,"Amount below zero",IF(AND(N(D140)=0,G140=""),"Needs an amount or goods",IF(C140="","",IF(COUNTIF(Donors!$B$6:$B$305,C140)=0,"Not on Donors","")))))))</f>
        <v/>
      </c>
      <c r="K140" s="1">
        <f>IF(ISNUMBER(B140),YEAR(B140),"")</f>
        <v/>
      </c>
      <c r="L140">
        <f>IF(ISNUMBER(B140),YEAR(B140)*100+MONTH(B140),"")</f>
        <v/>
      </c>
      <c r="M140">
        <f>IF(ISNUMBER(B140),INT(B140),0)</f>
        <v/>
      </c>
      <c r="N140">
        <f>IF(OR(C140="",F140="",Q140=0),0,IF(COUNTIFS(C$6:C140,C140,F$6:F140,F140,Q$6:Q140,1)=1,1,0))</f>
        <v/>
      </c>
      <c r="O140">
        <f>IF(OR(C140="",Q140=0,H140&lt;&gt;""),"",M140*10000+ROW())</f>
        <v/>
      </c>
      <c r="P140">
        <f>IF(OR(C140="",Q140=0),"",IF(AND(C140=Statement!$C$4,K140=Statement!$C$5),M140*10000+ROW(),""))</f>
        <v/>
      </c>
      <c r="Q140">
        <f>IF(AND(ISNUMBER(B140),OR(N(D140)&gt;0,G140&lt;&gt;"")),1,0)</f>
        <v/>
      </c>
    </row>
    <row r="141">
      <c r="A141" s="1" t="n"/>
      <c r="B141" s="21" t="n"/>
      <c r="C141" s="22" t="n"/>
      <c r="D141" s="23" t="n"/>
      <c r="E141" s="24" t="n"/>
      <c r="F141" s="25" t="n"/>
      <c r="G141" s="25" t="n"/>
      <c r="H141" s="24" t="n"/>
      <c r="I141" s="25" t="n"/>
      <c r="J141" s="17">
        <f>IF(AND(C141="",D141="",G141=""),"",IF(NOT(ISNUMBER(B141)),"Needs a date",IF(AND(D141&lt;&gt;"",NOT(ISNUMBER(D141))),"Amount not a number",IF(N(D141)&lt;0,"Amount below zero",IF(AND(N(D141)=0,G141=""),"Needs an amount or goods",IF(C141="","",IF(COUNTIF(Donors!$B$6:$B$305,C141)=0,"Not on Donors","")))))))</f>
        <v/>
      </c>
      <c r="K141" s="1">
        <f>IF(ISNUMBER(B141),YEAR(B141),"")</f>
        <v/>
      </c>
      <c r="L141">
        <f>IF(ISNUMBER(B141),YEAR(B141)*100+MONTH(B141),"")</f>
        <v/>
      </c>
      <c r="M141">
        <f>IF(ISNUMBER(B141),INT(B141),0)</f>
        <v/>
      </c>
      <c r="N141">
        <f>IF(OR(C141="",F141="",Q141=0),0,IF(COUNTIFS(C$6:C141,C141,F$6:F141,F141,Q$6:Q141,1)=1,1,0))</f>
        <v/>
      </c>
      <c r="O141">
        <f>IF(OR(C141="",Q141=0,H141&lt;&gt;""),"",M141*10000+ROW())</f>
        <v/>
      </c>
      <c r="P141">
        <f>IF(OR(C141="",Q141=0),"",IF(AND(C141=Statement!$C$4,K141=Statement!$C$5),M141*10000+ROW(),""))</f>
        <v/>
      </c>
      <c r="Q141">
        <f>IF(AND(ISNUMBER(B141),OR(N(D141)&gt;0,G141&lt;&gt;"")),1,0)</f>
        <v/>
      </c>
    </row>
    <row r="142">
      <c r="A142" s="1" t="n"/>
      <c r="B142" s="21" t="n"/>
      <c r="C142" s="22" t="n"/>
      <c r="D142" s="23" t="n"/>
      <c r="E142" s="24" t="n"/>
      <c r="F142" s="25" t="n"/>
      <c r="G142" s="25" t="n"/>
      <c r="H142" s="24" t="n"/>
      <c r="I142" s="25" t="n"/>
      <c r="J142" s="17">
        <f>IF(AND(C142="",D142="",G142=""),"",IF(NOT(ISNUMBER(B142)),"Needs a date",IF(AND(D142&lt;&gt;"",NOT(ISNUMBER(D142))),"Amount not a number",IF(N(D142)&lt;0,"Amount below zero",IF(AND(N(D142)=0,G142=""),"Needs an amount or goods",IF(C142="","",IF(COUNTIF(Donors!$B$6:$B$305,C142)=0,"Not on Donors","")))))))</f>
        <v/>
      </c>
      <c r="K142" s="1">
        <f>IF(ISNUMBER(B142),YEAR(B142),"")</f>
        <v/>
      </c>
      <c r="L142">
        <f>IF(ISNUMBER(B142),YEAR(B142)*100+MONTH(B142),"")</f>
        <v/>
      </c>
      <c r="M142">
        <f>IF(ISNUMBER(B142),INT(B142),0)</f>
        <v/>
      </c>
      <c r="N142">
        <f>IF(OR(C142="",F142="",Q142=0),0,IF(COUNTIFS(C$6:C142,C142,F$6:F142,F142,Q$6:Q142,1)=1,1,0))</f>
        <v/>
      </c>
      <c r="O142">
        <f>IF(OR(C142="",Q142=0,H142&lt;&gt;""),"",M142*10000+ROW())</f>
        <v/>
      </c>
      <c r="P142">
        <f>IF(OR(C142="",Q142=0),"",IF(AND(C142=Statement!$C$4,K142=Statement!$C$5),M142*10000+ROW(),""))</f>
        <v/>
      </c>
      <c r="Q142">
        <f>IF(AND(ISNUMBER(B142),OR(N(D142)&gt;0,G142&lt;&gt;"")),1,0)</f>
        <v/>
      </c>
    </row>
    <row r="143">
      <c r="A143" s="1" t="n"/>
      <c r="B143" s="21" t="n"/>
      <c r="C143" s="22" t="n"/>
      <c r="D143" s="23" t="n"/>
      <c r="E143" s="24" t="n"/>
      <c r="F143" s="25" t="n"/>
      <c r="G143" s="25" t="n"/>
      <c r="H143" s="24" t="n"/>
      <c r="I143" s="25" t="n"/>
      <c r="J143" s="17">
        <f>IF(AND(C143="",D143="",G143=""),"",IF(NOT(ISNUMBER(B143)),"Needs a date",IF(AND(D143&lt;&gt;"",NOT(ISNUMBER(D143))),"Amount not a number",IF(N(D143)&lt;0,"Amount below zero",IF(AND(N(D143)=0,G143=""),"Needs an amount or goods",IF(C143="","",IF(COUNTIF(Donors!$B$6:$B$305,C143)=0,"Not on Donors","")))))))</f>
        <v/>
      </c>
      <c r="K143" s="1">
        <f>IF(ISNUMBER(B143),YEAR(B143),"")</f>
        <v/>
      </c>
      <c r="L143">
        <f>IF(ISNUMBER(B143),YEAR(B143)*100+MONTH(B143),"")</f>
        <v/>
      </c>
      <c r="M143">
        <f>IF(ISNUMBER(B143),INT(B143),0)</f>
        <v/>
      </c>
      <c r="N143">
        <f>IF(OR(C143="",F143="",Q143=0),0,IF(COUNTIFS(C$6:C143,C143,F$6:F143,F143,Q$6:Q143,1)=1,1,0))</f>
        <v/>
      </c>
      <c r="O143">
        <f>IF(OR(C143="",Q143=0,H143&lt;&gt;""),"",M143*10000+ROW())</f>
        <v/>
      </c>
      <c r="P143">
        <f>IF(OR(C143="",Q143=0),"",IF(AND(C143=Statement!$C$4,K143=Statement!$C$5),M143*10000+ROW(),""))</f>
        <v/>
      </c>
      <c r="Q143">
        <f>IF(AND(ISNUMBER(B143),OR(N(D143)&gt;0,G143&lt;&gt;"")),1,0)</f>
        <v/>
      </c>
    </row>
    <row r="144">
      <c r="A144" s="1" t="n"/>
      <c r="B144" s="21" t="n"/>
      <c r="C144" s="22" t="n"/>
      <c r="D144" s="23" t="n"/>
      <c r="E144" s="24" t="n"/>
      <c r="F144" s="25" t="n"/>
      <c r="G144" s="25" t="n"/>
      <c r="H144" s="24" t="n"/>
      <c r="I144" s="25" t="n"/>
      <c r="J144" s="17">
        <f>IF(AND(C144="",D144="",G144=""),"",IF(NOT(ISNUMBER(B144)),"Needs a date",IF(AND(D144&lt;&gt;"",NOT(ISNUMBER(D144))),"Amount not a number",IF(N(D144)&lt;0,"Amount below zero",IF(AND(N(D144)=0,G144=""),"Needs an amount or goods",IF(C144="","",IF(COUNTIF(Donors!$B$6:$B$305,C144)=0,"Not on Donors","")))))))</f>
        <v/>
      </c>
      <c r="K144" s="1">
        <f>IF(ISNUMBER(B144),YEAR(B144),"")</f>
        <v/>
      </c>
      <c r="L144">
        <f>IF(ISNUMBER(B144),YEAR(B144)*100+MONTH(B144),"")</f>
        <v/>
      </c>
      <c r="M144">
        <f>IF(ISNUMBER(B144),INT(B144),0)</f>
        <v/>
      </c>
      <c r="N144">
        <f>IF(OR(C144="",F144="",Q144=0),0,IF(COUNTIFS(C$6:C144,C144,F$6:F144,F144,Q$6:Q144,1)=1,1,0))</f>
        <v/>
      </c>
      <c r="O144">
        <f>IF(OR(C144="",Q144=0,H144&lt;&gt;""),"",M144*10000+ROW())</f>
        <v/>
      </c>
      <c r="P144">
        <f>IF(OR(C144="",Q144=0),"",IF(AND(C144=Statement!$C$4,K144=Statement!$C$5),M144*10000+ROW(),""))</f>
        <v/>
      </c>
      <c r="Q144">
        <f>IF(AND(ISNUMBER(B144),OR(N(D144)&gt;0,G144&lt;&gt;"")),1,0)</f>
        <v/>
      </c>
    </row>
    <row r="145">
      <c r="A145" s="1" t="n"/>
      <c r="B145" s="21" t="n"/>
      <c r="C145" s="22" t="n"/>
      <c r="D145" s="23" t="n"/>
      <c r="E145" s="24" t="n"/>
      <c r="F145" s="25" t="n"/>
      <c r="G145" s="25" t="n"/>
      <c r="H145" s="24" t="n"/>
      <c r="I145" s="25" t="n"/>
      <c r="J145" s="17">
        <f>IF(AND(C145="",D145="",G145=""),"",IF(NOT(ISNUMBER(B145)),"Needs a date",IF(AND(D145&lt;&gt;"",NOT(ISNUMBER(D145))),"Amount not a number",IF(N(D145)&lt;0,"Amount below zero",IF(AND(N(D145)=0,G145=""),"Needs an amount or goods",IF(C145="","",IF(COUNTIF(Donors!$B$6:$B$305,C145)=0,"Not on Donors","")))))))</f>
        <v/>
      </c>
      <c r="K145" s="1">
        <f>IF(ISNUMBER(B145),YEAR(B145),"")</f>
        <v/>
      </c>
      <c r="L145">
        <f>IF(ISNUMBER(B145),YEAR(B145)*100+MONTH(B145),"")</f>
        <v/>
      </c>
      <c r="M145">
        <f>IF(ISNUMBER(B145),INT(B145),0)</f>
        <v/>
      </c>
      <c r="N145">
        <f>IF(OR(C145="",F145="",Q145=0),0,IF(COUNTIFS(C$6:C145,C145,F$6:F145,F145,Q$6:Q145,1)=1,1,0))</f>
        <v/>
      </c>
      <c r="O145">
        <f>IF(OR(C145="",Q145=0,H145&lt;&gt;""),"",M145*10000+ROW())</f>
        <v/>
      </c>
      <c r="P145">
        <f>IF(OR(C145="",Q145=0),"",IF(AND(C145=Statement!$C$4,K145=Statement!$C$5),M145*10000+ROW(),""))</f>
        <v/>
      </c>
      <c r="Q145">
        <f>IF(AND(ISNUMBER(B145),OR(N(D145)&gt;0,G145&lt;&gt;"")),1,0)</f>
        <v/>
      </c>
    </row>
    <row r="146">
      <c r="A146" s="1" t="n"/>
      <c r="B146" s="21" t="n"/>
      <c r="C146" s="22" t="n"/>
      <c r="D146" s="23" t="n"/>
      <c r="E146" s="24" t="n"/>
      <c r="F146" s="25" t="n"/>
      <c r="G146" s="25" t="n"/>
      <c r="H146" s="24" t="n"/>
      <c r="I146" s="25" t="n"/>
      <c r="J146" s="17">
        <f>IF(AND(C146="",D146="",G146=""),"",IF(NOT(ISNUMBER(B146)),"Needs a date",IF(AND(D146&lt;&gt;"",NOT(ISNUMBER(D146))),"Amount not a number",IF(N(D146)&lt;0,"Amount below zero",IF(AND(N(D146)=0,G146=""),"Needs an amount or goods",IF(C146="","",IF(COUNTIF(Donors!$B$6:$B$305,C146)=0,"Not on Donors","")))))))</f>
        <v/>
      </c>
      <c r="K146" s="1">
        <f>IF(ISNUMBER(B146),YEAR(B146),"")</f>
        <v/>
      </c>
      <c r="L146">
        <f>IF(ISNUMBER(B146),YEAR(B146)*100+MONTH(B146),"")</f>
        <v/>
      </c>
      <c r="M146">
        <f>IF(ISNUMBER(B146),INT(B146),0)</f>
        <v/>
      </c>
      <c r="N146">
        <f>IF(OR(C146="",F146="",Q146=0),0,IF(COUNTIFS(C$6:C146,C146,F$6:F146,F146,Q$6:Q146,1)=1,1,0))</f>
        <v/>
      </c>
      <c r="O146">
        <f>IF(OR(C146="",Q146=0,H146&lt;&gt;""),"",M146*10000+ROW())</f>
        <v/>
      </c>
      <c r="P146">
        <f>IF(OR(C146="",Q146=0),"",IF(AND(C146=Statement!$C$4,K146=Statement!$C$5),M146*10000+ROW(),""))</f>
        <v/>
      </c>
      <c r="Q146">
        <f>IF(AND(ISNUMBER(B146),OR(N(D146)&gt;0,G146&lt;&gt;"")),1,0)</f>
        <v/>
      </c>
    </row>
    <row r="147">
      <c r="A147" s="1" t="n"/>
      <c r="B147" s="21" t="n"/>
      <c r="C147" s="22" t="n"/>
      <c r="D147" s="23" t="n"/>
      <c r="E147" s="24" t="n"/>
      <c r="F147" s="25" t="n"/>
      <c r="G147" s="25" t="n"/>
      <c r="H147" s="24" t="n"/>
      <c r="I147" s="25" t="n"/>
      <c r="J147" s="17">
        <f>IF(AND(C147="",D147="",G147=""),"",IF(NOT(ISNUMBER(B147)),"Needs a date",IF(AND(D147&lt;&gt;"",NOT(ISNUMBER(D147))),"Amount not a number",IF(N(D147)&lt;0,"Amount below zero",IF(AND(N(D147)=0,G147=""),"Needs an amount or goods",IF(C147="","",IF(COUNTIF(Donors!$B$6:$B$305,C147)=0,"Not on Donors","")))))))</f>
        <v/>
      </c>
      <c r="K147" s="1">
        <f>IF(ISNUMBER(B147),YEAR(B147),"")</f>
        <v/>
      </c>
      <c r="L147">
        <f>IF(ISNUMBER(B147),YEAR(B147)*100+MONTH(B147),"")</f>
        <v/>
      </c>
      <c r="M147">
        <f>IF(ISNUMBER(B147),INT(B147),0)</f>
        <v/>
      </c>
      <c r="N147">
        <f>IF(OR(C147="",F147="",Q147=0),0,IF(COUNTIFS(C$6:C147,C147,F$6:F147,F147,Q$6:Q147,1)=1,1,0))</f>
        <v/>
      </c>
      <c r="O147">
        <f>IF(OR(C147="",Q147=0,H147&lt;&gt;""),"",M147*10000+ROW())</f>
        <v/>
      </c>
      <c r="P147">
        <f>IF(OR(C147="",Q147=0),"",IF(AND(C147=Statement!$C$4,K147=Statement!$C$5),M147*10000+ROW(),""))</f>
        <v/>
      </c>
      <c r="Q147">
        <f>IF(AND(ISNUMBER(B147),OR(N(D147)&gt;0,G147&lt;&gt;"")),1,0)</f>
        <v/>
      </c>
    </row>
    <row r="148">
      <c r="A148" s="1" t="n"/>
      <c r="B148" s="21" t="n"/>
      <c r="C148" s="22" t="n"/>
      <c r="D148" s="23" t="n"/>
      <c r="E148" s="24" t="n"/>
      <c r="F148" s="25" t="n"/>
      <c r="G148" s="25" t="n"/>
      <c r="H148" s="24" t="n"/>
      <c r="I148" s="25" t="n"/>
      <c r="J148" s="17">
        <f>IF(AND(C148="",D148="",G148=""),"",IF(NOT(ISNUMBER(B148)),"Needs a date",IF(AND(D148&lt;&gt;"",NOT(ISNUMBER(D148))),"Amount not a number",IF(N(D148)&lt;0,"Amount below zero",IF(AND(N(D148)=0,G148=""),"Needs an amount or goods",IF(C148="","",IF(COUNTIF(Donors!$B$6:$B$305,C148)=0,"Not on Donors","")))))))</f>
        <v/>
      </c>
      <c r="K148" s="1">
        <f>IF(ISNUMBER(B148),YEAR(B148),"")</f>
        <v/>
      </c>
      <c r="L148">
        <f>IF(ISNUMBER(B148),YEAR(B148)*100+MONTH(B148),"")</f>
        <v/>
      </c>
      <c r="M148">
        <f>IF(ISNUMBER(B148),INT(B148),0)</f>
        <v/>
      </c>
      <c r="N148">
        <f>IF(OR(C148="",F148="",Q148=0),0,IF(COUNTIFS(C$6:C148,C148,F$6:F148,F148,Q$6:Q148,1)=1,1,0))</f>
        <v/>
      </c>
      <c r="O148">
        <f>IF(OR(C148="",Q148=0,H148&lt;&gt;""),"",M148*10000+ROW())</f>
        <v/>
      </c>
      <c r="P148">
        <f>IF(OR(C148="",Q148=0),"",IF(AND(C148=Statement!$C$4,K148=Statement!$C$5),M148*10000+ROW(),""))</f>
        <v/>
      </c>
      <c r="Q148">
        <f>IF(AND(ISNUMBER(B148),OR(N(D148)&gt;0,G148&lt;&gt;"")),1,0)</f>
        <v/>
      </c>
    </row>
    <row r="149">
      <c r="A149" s="1" t="n"/>
      <c r="B149" s="21" t="n"/>
      <c r="C149" s="22" t="n"/>
      <c r="D149" s="23" t="n"/>
      <c r="E149" s="24" t="n"/>
      <c r="F149" s="25" t="n"/>
      <c r="G149" s="25" t="n"/>
      <c r="H149" s="24" t="n"/>
      <c r="I149" s="25" t="n"/>
      <c r="J149" s="17">
        <f>IF(AND(C149="",D149="",G149=""),"",IF(NOT(ISNUMBER(B149)),"Needs a date",IF(AND(D149&lt;&gt;"",NOT(ISNUMBER(D149))),"Amount not a number",IF(N(D149)&lt;0,"Amount below zero",IF(AND(N(D149)=0,G149=""),"Needs an amount or goods",IF(C149="","",IF(COUNTIF(Donors!$B$6:$B$305,C149)=0,"Not on Donors","")))))))</f>
        <v/>
      </c>
      <c r="K149" s="1">
        <f>IF(ISNUMBER(B149),YEAR(B149),"")</f>
        <v/>
      </c>
      <c r="L149">
        <f>IF(ISNUMBER(B149),YEAR(B149)*100+MONTH(B149),"")</f>
        <v/>
      </c>
      <c r="M149">
        <f>IF(ISNUMBER(B149),INT(B149),0)</f>
        <v/>
      </c>
      <c r="N149">
        <f>IF(OR(C149="",F149="",Q149=0),0,IF(COUNTIFS(C$6:C149,C149,F$6:F149,F149,Q$6:Q149,1)=1,1,0))</f>
        <v/>
      </c>
      <c r="O149">
        <f>IF(OR(C149="",Q149=0,H149&lt;&gt;""),"",M149*10000+ROW())</f>
        <v/>
      </c>
      <c r="P149">
        <f>IF(OR(C149="",Q149=0),"",IF(AND(C149=Statement!$C$4,K149=Statement!$C$5),M149*10000+ROW(),""))</f>
        <v/>
      </c>
      <c r="Q149">
        <f>IF(AND(ISNUMBER(B149),OR(N(D149)&gt;0,G149&lt;&gt;"")),1,0)</f>
        <v/>
      </c>
    </row>
    <row r="150">
      <c r="A150" s="1" t="n"/>
      <c r="B150" s="21" t="n"/>
      <c r="C150" s="22" t="n"/>
      <c r="D150" s="23" t="n"/>
      <c r="E150" s="24" t="n"/>
      <c r="F150" s="25" t="n"/>
      <c r="G150" s="25" t="n"/>
      <c r="H150" s="24" t="n"/>
      <c r="I150" s="25" t="n"/>
      <c r="J150" s="17">
        <f>IF(AND(C150="",D150="",G150=""),"",IF(NOT(ISNUMBER(B150)),"Needs a date",IF(AND(D150&lt;&gt;"",NOT(ISNUMBER(D150))),"Amount not a number",IF(N(D150)&lt;0,"Amount below zero",IF(AND(N(D150)=0,G150=""),"Needs an amount or goods",IF(C150="","",IF(COUNTIF(Donors!$B$6:$B$305,C150)=0,"Not on Donors","")))))))</f>
        <v/>
      </c>
      <c r="K150" s="1">
        <f>IF(ISNUMBER(B150),YEAR(B150),"")</f>
        <v/>
      </c>
      <c r="L150">
        <f>IF(ISNUMBER(B150),YEAR(B150)*100+MONTH(B150),"")</f>
        <v/>
      </c>
      <c r="M150">
        <f>IF(ISNUMBER(B150),INT(B150),0)</f>
        <v/>
      </c>
      <c r="N150">
        <f>IF(OR(C150="",F150="",Q150=0),0,IF(COUNTIFS(C$6:C150,C150,F$6:F150,F150,Q$6:Q150,1)=1,1,0))</f>
        <v/>
      </c>
      <c r="O150">
        <f>IF(OR(C150="",Q150=0,H150&lt;&gt;""),"",M150*10000+ROW())</f>
        <v/>
      </c>
      <c r="P150">
        <f>IF(OR(C150="",Q150=0),"",IF(AND(C150=Statement!$C$4,K150=Statement!$C$5),M150*10000+ROW(),""))</f>
        <v/>
      </c>
      <c r="Q150">
        <f>IF(AND(ISNUMBER(B150),OR(N(D150)&gt;0,G150&lt;&gt;"")),1,0)</f>
        <v/>
      </c>
    </row>
    <row r="151">
      <c r="A151" s="1" t="n"/>
      <c r="B151" s="21" t="n"/>
      <c r="C151" s="22" t="n"/>
      <c r="D151" s="23" t="n"/>
      <c r="E151" s="24" t="n"/>
      <c r="F151" s="25" t="n"/>
      <c r="G151" s="25" t="n"/>
      <c r="H151" s="24" t="n"/>
      <c r="I151" s="25" t="n"/>
      <c r="J151" s="17">
        <f>IF(AND(C151="",D151="",G151=""),"",IF(NOT(ISNUMBER(B151)),"Needs a date",IF(AND(D151&lt;&gt;"",NOT(ISNUMBER(D151))),"Amount not a number",IF(N(D151)&lt;0,"Amount below zero",IF(AND(N(D151)=0,G151=""),"Needs an amount or goods",IF(C151="","",IF(COUNTIF(Donors!$B$6:$B$305,C151)=0,"Not on Donors","")))))))</f>
        <v/>
      </c>
      <c r="K151" s="1">
        <f>IF(ISNUMBER(B151),YEAR(B151),"")</f>
        <v/>
      </c>
      <c r="L151">
        <f>IF(ISNUMBER(B151),YEAR(B151)*100+MONTH(B151),"")</f>
        <v/>
      </c>
      <c r="M151">
        <f>IF(ISNUMBER(B151),INT(B151),0)</f>
        <v/>
      </c>
      <c r="N151">
        <f>IF(OR(C151="",F151="",Q151=0),0,IF(COUNTIFS(C$6:C151,C151,F$6:F151,F151,Q$6:Q151,1)=1,1,0))</f>
        <v/>
      </c>
      <c r="O151">
        <f>IF(OR(C151="",Q151=0,H151&lt;&gt;""),"",M151*10000+ROW())</f>
        <v/>
      </c>
      <c r="P151">
        <f>IF(OR(C151="",Q151=0),"",IF(AND(C151=Statement!$C$4,K151=Statement!$C$5),M151*10000+ROW(),""))</f>
        <v/>
      </c>
      <c r="Q151">
        <f>IF(AND(ISNUMBER(B151),OR(N(D151)&gt;0,G151&lt;&gt;"")),1,0)</f>
        <v/>
      </c>
    </row>
    <row r="152">
      <c r="A152" s="1" t="n"/>
      <c r="B152" s="21" t="n"/>
      <c r="C152" s="22" t="n"/>
      <c r="D152" s="23" t="n"/>
      <c r="E152" s="24" t="n"/>
      <c r="F152" s="25" t="n"/>
      <c r="G152" s="25" t="n"/>
      <c r="H152" s="24" t="n"/>
      <c r="I152" s="25" t="n"/>
      <c r="J152" s="17">
        <f>IF(AND(C152="",D152="",G152=""),"",IF(NOT(ISNUMBER(B152)),"Needs a date",IF(AND(D152&lt;&gt;"",NOT(ISNUMBER(D152))),"Amount not a number",IF(N(D152)&lt;0,"Amount below zero",IF(AND(N(D152)=0,G152=""),"Needs an amount or goods",IF(C152="","",IF(COUNTIF(Donors!$B$6:$B$305,C152)=0,"Not on Donors","")))))))</f>
        <v/>
      </c>
      <c r="K152" s="1">
        <f>IF(ISNUMBER(B152),YEAR(B152),"")</f>
        <v/>
      </c>
      <c r="L152">
        <f>IF(ISNUMBER(B152),YEAR(B152)*100+MONTH(B152),"")</f>
        <v/>
      </c>
      <c r="M152">
        <f>IF(ISNUMBER(B152),INT(B152),0)</f>
        <v/>
      </c>
      <c r="N152">
        <f>IF(OR(C152="",F152="",Q152=0),0,IF(COUNTIFS(C$6:C152,C152,F$6:F152,F152,Q$6:Q152,1)=1,1,0))</f>
        <v/>
      </c>
      <c r="O152">
        <f>IF(OR(C152="",Q152=0,H152&lt;&gt;""),"",M152*10000+ROW())</f>
        <v/>
      </c>
      <c r="P152">
        <f>IF(OR(C152="",Q152=0),"",IF(AND(C152=Statement!$C$4,K152=Statement!$C$5),M152*10000+ROW(),""))</f>
        <v/>
      </c>
      <c r="Q152">
        <f>IF(AND(ISNUMBER(B152),OR(N(D152)&gt;0,G152&lt;&gt;"")),1,0)</f>
        <v/>
      </c>
    </row>
    <row r="153">
      <c r="A153" s="1" t="n"/>
      <c r="B153" s="21" t="n"/>
      <c r="C153" s="22" t="n"/>
      <c r="D153" s="23" t="n"/>
      <c r="E153" s="24" t="n"/>
      <c r="F153" s="25" t="n"/>
      <c r="G153" s="25" t="n"/>
      <c r="H153" s="24" t="n"/>
      <c r="I153" s="25" t="n"/>
      <c r="J153" s="17">
        <f>IF(AND(C153="",D153="",G153=""),"",IF(NOT(ISNUMBER(B153)),"Needs a date",IF(AND(D153&lt;&gt;"",NOT(ISNUMBER(D153))),"Amount not a number",IF(N(D153)&lt;0,"Amount below zero",IF(AND(N(D153)=0,G153=""),"Needs an amount or goods",IF(C153="","",IF(COUNTIF(Donors!$B$6:$B$305,C153)=0,"Not on Donors","")))))))</f>
        <v/>
      </c>
      <c r="K153" s="1">
        <f>IF(ISNUMBER(B153),YEAR(B153),"")</f>
        <v/>
      </c>
      <c r="L153">
        <f>IF(ISNUMBER(B153),YEAR(B153)*100+MONTH(B153),"")</f>
        <v/>
      </c>
      <c r="M153">
        <f>IF(ISNUMBER(B153),INT(B153),0)</f>
        <v/>
      </c>
      <c r="N153">
        <f>IF(OR(C153="",F153="",Q153=0),0,IF(COUNTIFS(C$6:C153,C153,F$6:F153,F153,Q$6:Q153,1)=1,1,0))</f>
        <v/>
      </c>
      <c r="O153">
        <f>IF(OR(C153="",Q153=0,H153&lt;&gt;""),"",M153*10000+ROW())</f>
        <v/>
      </c>
      <c r="P153">
        <f>IF(OR(C153="",Q153=0),"",IF(AND(C153=Statement!$C$4,K153=Statement!$C$5),M153*10000+ROW(),""))</f>
        <v/>
      </c>
      <c r="Q153">
        <f>IF(AND(ISNUMBER(B153),OR(N(D153)&gt;0,G153&lt;&gt;"")),1,0)</f>
        <v/>
      </c>
    </row>
    <row r="154">
      <c r="A154" s="1" t="n"/>
      <c r="B154" s="21" t="n"/>
      <c r="C154" s="22" t="n"/>
      <c r="D154" s="23" t="n"/>
      <c r="E154" s="24" t="n"/>
      <c r="F154" s="25" t="n"/>
      <c r="G154" s="25" t="n"/>
      <c r="H154" s="24" t="n"/>
      <c r="I154" s="25" t="n"/>
      <c r="J154" s="17">
        <f>IF(AND(C154="",D154="",G154=""),"",IF(NOT(ISNUMBER(B154)),"Needs a date",IF(AND(D154&lt;&gt;"",NOT(ISNUMBER(D154))),"Amount not a number",IF(N(D154)&lt;0,"Amount below zero",IF(AND(N(D154)=0,G154=""),"Needs an amount or goods",IF(C154="","",IF(COUNTIF(Donors!$B$6:$B$305,C154)=0,"Not on Donors","")))))))</f>
        <v/>
      </c>
      <c r="K154" s="1">
        <f>IF(ISNUMBER(B154),YEAR(B154),"")</f>
        <v/>
      </c>
      <c r="L154">
        <f>IF(ISNUMBER(B154),YEAR(B154)*100+MONTH(B154),"")</f>
        <v/>
      </c>
      <c r="M154">
        <f>IF(ISNUMBER(B154),INT(B154),0)</f>
        <v/>
      </c>
      <c r="N154">
        <f>IF(OR(C154="",F154="",Q154=0),0,IF(COUNTIFS(C$6:C154,C154,F$6:F154,F154,Q$6:Q154,1)=1,1,0))</f>
        <v/>
      </c>
      <c r="O154">
        <f>IF(OR(C154="",Q154=0,H154&lt;&gt;""),"",M154*10000+ROW())</f>
        <v/>
      </c>
      <c r="P154">
        <f>IF(OR(C154="",Q154=0),"",IF(AND(C154=Statement!$C$4,K154=Statement!$C$5),M154*10000+ROW(),""))</f>
        <v/>
      </c>
      <c r="Q154">
        <f>IF(AND(ISNUMBER(B154),OR(N(D154)&gt;0,G154&lt;&gt;"")),1,0)</f>
        <v/>
      </c>
    </row>
    <row r="155">
      <c r="A155" s="1" t="n"/>
      <c r="B155" s="21" t="n"/>
      <c r="C155" s="22" t="n"/>
      <c r="D155" s="23" t="n"/>
      <c r="E155" s="24" t="n"/>
      <c r="F155" s="25" t="n"/>
      <c r="G155" s="25" t="n"/>
      <c r="H155" s="24" t="n"/>
      <c r="I155" s="25" t="n"/>
      <c r="J155" s="17">
        <f>IF(AND(C155="",D155="",G155=""),"",IF(NOT(ISNUMBER(B155)),"Needs a date",IF(AND(D155&lt;&gt;"",NOT(ISNUMBER(D155))),"Amount not a number",IF(N(D155)&lt;0,"Amount below zero",IF(AND(N(D155)=0,G155=""),"Needs an amount or goods",IF(C155="","",IF(COUNTIF(Donors!$B$6:$B$305,C155)=0,"Not on Donors","")))))))</f>
        <v/>
      </c>
      <c r="K155" s="1">
        <f>IF(ISNUMBER(B155),YEAR(B155),"")</f>
        <v/>
      </c>
      <c r="L155">
        <f>IF(ISNUMBER(B155),YEAR(B155)*100+MONTH(B155),"")</f>
        <v/>
      </c>
      <c r="M155">
        <f>IF(ISNUMBER(B155),INT(B155),0)</f>
        <v/>
      </c>
      <c r="N155">
        <f>IF(OR(C155="",F155="",Q155=0),0,IF(COUNTIFS(C$6:C155,C155,F$6:F155,F155,Q$6:Q155,1)=1,1,0))</f>
        <v/>
      </c>
      <c r="O155">
        <f>IF(OR(C155="",Q155=0,H155&lt;&gt;""),"",M155*10000+ROW())</f>
        <v/>
      </c>
      <c r="P155">
        <f>IF(OR(C155="",Q155=0),"",IF(AND(C155=Statement!$C$4,K155=Statement!$C$5),M155*10000+ROW(),""))</f>
        <v/>
      </c>
      <c r="Q155">
        <f>IF(AND(ISNUMBER(B155),OR(N(D155)&gt;0,G155&lt;&gt;"")),1,0)</f>
        <v/>
      </c>
    </row>
    <row r="156">
      <c r="A156" s="1" t="n"/>
      <c r="B156" s="21" t="n"/>
      <c r="C156" s="22" t="n"/>
      <c r="D156" s="23" t="n"/>
      <c r="E156" s="24" t="n"/>
      <c r="F156" s="25" t="n"/>
      <c r="G156" s="25" t="n"/>
      <c r="H156" s="24" t="n"/>
      <c r="I156" s="25" t="n"/>
      <c r="J156" s="17">
        <f>IF(AND(C156="",D156="",G156=""),"",IF(NOT(ISNUMBER(B156)),"Needs a date",IF(AND(D156&lt;&gt;"",NOT(ISNUMBER(D156))),"Amount not a number",IF(N(D156)&lt;0,"Amount below zero",IF(AND(N(D156)=0,G156=""),"Needs an amount or goods",IF(C156="","",IF(COUNTIF(Donors!$B$6:$B$305,C156)=0,"Not on Donors","")))))))</f>
        <v/>
      </c>
      <c r="K156" s="1">
        <f>IF(ISNUMBER(B156),YEAR(B156),"")</f>
        <v/>
      </c>
      <c r="L156">
        <f>IF(ISNUMBER(B156),YEAR(B156)*100+MONTH(B156),"")</f>
        <v/>
      </c>
      <c r="M156">
        <f>IF(ISNUMBER(B156),INT(B156),0)</f>
        <v/>
      </c>
      <c r="N156">
        <f>IF(OR(C156="",F156="",Q156=0),0,IF(COUNTIFS(C$6:C156,C156,F$6:F156,F156,Q$6:Q156,1)=1,1,0))</f>
        <v/>
      </c>
      <c r="O156">
        <f>IF(OR(C156="",Q156=0,H156&lt;&gt;""),"",M156*10000+ROW())</f>
        <v/>
      </c>
      <c r="P156">
        <f>IF(OR(C156="",Q156=0),"",IF(AND(C156=Statement!$C$4,K156=Statement!$C$5),M156*10000+ROW(),""))</f>
        <v/>
      </c>
      <c r="Q156">
        <f>IF(AND(ISNUMBER(B156),OR(N(D156)&gt;0,G156&lt;&gt;"")),1,0)</f>
        <v/>
      </c>
    </row>
    <row r="157">
      <c r="A157" s="1" t="n"/>
      <c r="B157" s="21" t="n"/>
      <c r="C157" s="22" t="n"/>
      <c r="D157" s="23" t="n"/>
      <c r="E157" s="24" t="n"/>
      <c r="F157" s="25" t="n"/>
      <c r="G157" s="25" t="n"/>
      <c r="H157" s="24" t="n"/>
      <c r="I157" s="25" t="n"/>
      <c r="J157" s="17">
        <f>IF(AND(C157="",D157="",G157=""),"",IF(NOT(ISNUMBER(B157)),"Needs a date",IF(AND(D157&lt;&gt;"",NOT(ISNUMBER(D157))),"Amount not a number",IF(N(D157)&lt;0,"Amount below zero",IF(AND(N(D157)=0,G157=""),"Needs an amount or goods",IF(C157="","",IF(COUNTIF(Donors!$B$6:$B$305,C157)=0,"Not on Donors","")))))))</f>
        <v/>
      </c>
      <c r="K157" s="1">
        <f>IF(ISNUMBER(B157),YEAR(B157),"")</f>
        <v/>
      </c>
      <c r="L157">
        <f>IF(ISNUMBER(B157),YEAR(B157)*100+MONTH(B157),"")</f>
        <v/>
      </c>
      <c r="M157">
        <f>IF(ISNUMBER(B157),INT(B157),0)</f>
        <v/>
      </c>
      <c r="N157">
        <f>IF(OR(C157="",F157="",Q157=0),0,IF(COUNTIFS(C$6:C157,C157,F$6:F157,F157,Q$6:Q157,1)=1,1,0))</f>
        <v/>
      </c>
      <c r="O157">
        <f>IF(OR(C157="",Q157=0,H157&lt;&gt;""),"",M157*10000+ROW())</f>
        <v/>
      </c>
      <c r="P157">
        <f>IF(OR(C157="",Q157=0),"",IF(AND(C157=Statement!$C$4,K157=Statement!$C$5),M157*10000+ROW(),""))</f>
        <v/>
      </c>
      <c r="Q157">
        <f>IF(AND(ISNUMBER(B157),OR(N(D157)&gt;0,G157&lt;&gt;"")),1,0)</f>
        <v/>
      </c>
    </row>
    <row r="158">
      <c r="A158" s="1" t="n"/>
      <c r="B158" s="21" t="n"/>
      <c r="C158" s="22" t="n"/>
      <c r="D158" s="23" t="n"/>
      <c r="E158" s="24" t="n"/>
      <c r="F158" s="25" t="n"/>
      <c r="G158" s="25" t="n"/>
      <c r="H158" s="24" t="n"/>
      <c r="I158" s="25" t="n"/>
      <c r="J158" s="17">
        <f>IF(AND(C158="",D158="",G158=""),"",IF(NOT(ISNUMBER(B158)),"Needs a date",IF(AND(D158&lt;&gt;"",NOT(ISNUMBER(D158))),"Amount not a number",IF(N(D158)&lt;0,"Amount below zero",IF(AND(N(D158)=0,G158=""),"Needs an amount or goods",IF(C158="","",IF(COUNTIF(Donors!$B$6:$B$305,C158)=0,"Not on Donors","")))))))</f>
        <v/>
      </c>
      <c r="K158" s="1">
        <f>IF(ISNUMBER(B158),YEAR(B158),"")</f>
        <v/>
      </c>
      <c r="L158">
        <f>IF(ISNUMBER(B158),YEAR(B158)*100+MONTH(B158),"")</f>
        <v/>
      </c>
      <c r="M158">
        <f>IF(ISNUMBER(B158),INT(B158),0)</f>
        <v/>
      </c>
      <c r="N158">
        <f>IF(OR(C158="",F158="",Q158=0),0,IF(COUNTIFS(C$6:C158,C158,F$6:F158,F158,Q$6:Q158,1)=1,1,0))</f>
        <v/>
      </c>
      <c r="O158">
        <f>IF(OR(C158="",Q158=0,H158&lt;&gt;""),"",M158*10000+ROW())</f>
        <v/>
      </c>
      <c r="P158">
        <f>IF(OR(C158="",Q158=0),"",IF(AND(C158=Statement!$C$4,K158=Statement!$C$5),M158*10000+ROW(),""))</f>
        <v/>
      </c>
      <c r="Q158">
        <f>IF(AND(ISNUMBER(B158),OR(N(D158)&gt;0,G158&lt;&gt;"")),1,0)</f>
        <v/>
      </c>
    </row>
    <row r="159">
      <c r="A159" s="1" t="n"/>
      <c r="B159" s="21" t="n"/>
      <c r="C159" s="22" t="n"/>
      <c r="D159" s="23" t="n"/>
      <c r="E159" s="24" t="n"/>
      <c r="F159" s="25" t="n"/>
      <c r="G159" s="25" t="n"/>
      <c r="H159" s="24" t="n"/>
      <c r="I159" s="25" t="n"/>
      <c r="J159" s="17">
        <f>IF(AND(C159="",D159="",G159=""),"",IF(NOT(ISNUMBER(B159)),"Needs a date",IF(AND(D159&lt;&gt;"",NOT(ISNUMBER(D159))),"Amount not a number",IF(N(D159)&lt;0,"Amount below zero",IF(AND(N(D159)=0,G159=""),"Needs an amount or goods",IF(C159="","",IF(COUNTIF(Donors!$B$6:$B$305,C159)=0,"Not on Donors","")))))))</f>
        <v/>
      </c>
      <c r="K159" s="1">
        <f>IF(ISNUMBER(B159),YEAR(B159),"")</f>
        <v/>
      </c>
      <c r="L159">
        <f>IF(ISNUMBER(B159),YEAR(B159)*100+MONTH(B159),"")</f>
        <v/>
      </c>
      <c r="M159">
        <f>IF(ISNUMBER(B159),INT(B159),0)</f>
        <v/>
      </c>
      <c r="N159">
        <f>IF(OR(C159="",F159="",Q159=0),0,IF(COUNTIFS(C$6:C159,C159,F$6:F159,F159,Q$6:Q159,1)=1,1,0))</f>
        <v/>
      </c>
      <c r="O159">
        <f>IF(OR(C159="",Q159=0,H159&lt;&gt;""),"",M159*10000+ROW())</f>
        <v/>
      </c>
      <c r="P159">
        <f>IF(OR(C159="",Q159=0),"",IF(AND(C159=Statement!$C$4,K159=Statement!$C$5),M159*10000+ROW(),""))</f>
        <v/>
      </c>
      <c r="Q159">
        <f>IF(AND(ISNUMBER(B159),OR(N(D159)&gt;0,G159&lt;&gt;"")),1,0)</f>
        <v/>
      </c>
    </row>
    <row r="160">
      <c r="A160" s="1" t="n"/>
      <c r="B160" s="21" t="n"/>
      <c r="C160" s="22" t="n"/>
      <c r="D160" s="23" t="n"/>
      <c r="E160" s="24" t="n"/>
      <c r="F160" s="25" t="n"/>
      <c r="G160" s="25" t="n"/>
      <c r="H160" s="24" t="n"/>
      <c r="I160" s="25" t="n"/>
      <c r="J160" s="17">
        <f>IF(AND(C160="",D160="",G160=""),"",IF(NOT(ISNUMBER(B160)),"Needs a date",IF(AND(D160&lt;&gt;"",NOT(ISNUMBER(D160))),"Amount not a number",IF(N(D160)&lt;0,"Amount below zero",IF(AND(N(D160)=0,G160=""),"Needs an amount or goods",IF(C160="","",IF(COUNTIF(Donors!$B$6:$B$305,C160)=0,"Not on Donors","")))))))</f>
        <v/>
      </c>
      <c r="K160" s="1">
        <f>IF(ISNUMBER(B160),YEAR(B160),"")</f>
        <v/>
      </c>
      <c r="L160">
        <f>IF(ISNUMBER(B160),YEAR(B160)*100+MONTH(B160),"")</f>
        <v/>
      </c>
      <c r="M160">
        <f>IF(ISNUMBER(B160),INT(B160),0)</f>
        <v/>
      </c>
      <c r="N160">
        <f>IF(OR(C160="",F160="",Q160=0),0,IF(COUNTIFS(C$6:C160,C160,F$6:F160,F160,Q$6:Q160,1)=1,1,0))</f>
        <v/>
      </c>
      <c r="O160">
        <f>IF(OR(C160="",Q160=0,H160&lt;&gt;""),"",M160*10000+ROW())</f>
        <v/>
      </c>
      <c r="P160">
        <f>IF(OR(C160="",Q160=0),"",IF(AND(C160=Statement!$C$4,K160=Statement!$C$5),M160*10000+ROW(),""))</f>
        <v/>
      </c>
      <c r="Q160">
        <f>IF(AND(ISNUMBER(B160),OR(N(D160)&gt;0,G160&lt;&gt;"")),1,0)</f>
        <v/>
      </c>
    </row>
    <row r="161">
      <c r="A161" s="1" t="n"/>
      <c r="B161" s="21" t="n"/>
      <c r="C161" s="22" t="n"/>
      <c r="D161" s="23" t="n"/>
      <c r="E161" s="24" t="n"/>
      <c r="F161" s="25" t="n"/>
      <c r="G161" s="25" t="n"/>
      <c r="H161" s="24" t="n"/>
      <c r="I161" s="25" t="n"/>
      <c r="J161" s="17">
        <f>IF(AND(C161="",D161="",G161=""),"",IF(NOT(ISNUMBER(B161)),"Needs a date",IF(AND(D161&lt;&gt;"",NOT(ISNUMBER(D161))),"Amount not a number",IF(N(D161)&lt;0,"Amount below zero",IF(AND(N(D161)=0,G161=""),"Needs an amount or goods",IF(C161="","",IF(COUNTIF(Donors!$B$6:$B$305,C161)=0,"Not on Donors","")))))))</f>
        <v/>
      </c>
      <c r="K161" s="1">
        <f>IF(ISNUMBER(B161),YEAR(B161),"")</f>
        <v/>
      </c>
      <c r="L161">
        <f>IF(ISNUMBER(B161),YEAR(B161)*100+MONTH(B161),"")</f>
        <v/>
      </c>
      <c r="M161">
        <f>IF(ISNUMBER(B161),INT(B161),0)</f>
        <v/>
      </c>
      <c r="N161">
        <f>IF(OR(C161="",F161="",Q161=0),0,IF(COUNTIFS(C$6:C161,C161,F$6:F161,F161,Q$6:Q161,1)=1,1,0))</f>
        <v/>
      </c>
      <c r="O161">
        <f>IF(OR(C161="",Q161=0,H161&lt;&gt;""),"",M161*10000+ROW())</f>
        <v/>
      </c>
      <c r="P161">
        <f>IF(OR(C161="",Q161=0),"",IF(AND(C161=Statement!$C$4,K161=Statement!$C$5),M161*10000+ROW(),""))</f>
        <v/>
      </c>
      <c r="Q161">
        <f>IF(AND(ISNUMBER(B161),OR(N(D161)&gt;0,G161&lt;&gt;"")),1,0)</f>
        <v/>
      </c>
    </row>
    <row r="162">
      <c r="A162" s="1" t="n"/>
      <c r="B162" s="21" t="n"/>
      <c r="C162" s="22" t="n"/>
      <c r="D162" s="23" t="n"/>
      <c r="E162" s="24" t="n"/>
      <c r="F162" s="25" t="n"/>
      <c r="G162" s="25" t="n"/>
      <c r="H162" s="24" t="n"/>
      <c r="I162" s="25" t="n"/>
      <c r="J162" s="17">
        <f>IF(AND(C162="",D162="",G162=""),"",IF(NOT(ISNUMBER(B162)),"Needs a date",IF(AND(D162&lt;&gt;"",NOT(ISNUMBER(D162))),"Amount not a number",IF(N(D162)&lt;0,"Amount below zero",IF(AND(N(D162)=0,G162=""),"Needs an amount or goods",IF(C162="","",IF(COUNTIF(Donors!$B$6:$B$305,C162)=0,"Not on Donors","")))))))</f>
        <v/>
      </c>
      <c r="K162" s="1">
        <f>IF(ISNUMBER(B162),YEAR(B162),"")</f>
        <v/>
      </c>
      <c r="L162">
        <f>IF(ISNUMBER(B162),YEAR(B162)*100+MONTH(B162),"")</f>
        <v/>
      </c>
      <c r="M162">
        <f>IF(ISNUMBER(B162),INT(B162),0)</f>
        <v/>
      </c>
      <c r="N162">
        <f>IF(OR(C162="",F162="",Q162=0),0,IF(COUNTIFS(C$6:C162,C162,F$6:F162,F162,Q$6:Q162,1)=1,1,0))</f>
        <v/>
      </c>
      <c r="O162">
        <f>IF(OR(C162="",Q162=0,H162&lt;&gt;""),"",M162*10000+ROW())</f>
        <v/>
      </c>
      <c r="P162">
        <f>IF(OR(C162="",Q162=0),"",IF(AND(C162=Statement!$C$4,K162=Statement!$C$5),M162*10000+ROW(),""))</f>
        <v/>
      </c>
      <c r="Q162">
        <f>IF(AND(ISNUMBER(B162),OR(N(D162)&gt;0,G162&lt;&gt;"")),1,0)</f>
        <v/>
      </c>
    </row>
    <row r="163">
      <c r="A163" s="1" t="n"/>
      <c r="B163" s="21" t="n"/>
      <c r="C163" s="22" t="n"/>
      <c r="D163" s="23" t="n"/>
      <c r="E163" s="24" t="n"/>
      <c r="F163" s="25" t="n"/>
      <c r="G163" s="25" t="n"/>
      <c r="H163" s="24" t="n"/>
      <c r="I163" s="25" t="n"/>
      <c r="J163" s="17">
        <f>IF(AND(C163="",D163="",G163=""),"",IF(NOT(ISNUMBER(B163)),"Needs a date",IF(AND(D163&lt;&gt;"",NOT(ISNUMBER(D163))),"Amount not a number",IF(N(D163)&lt;0,"Amount below zero",IF(AND(N(D163)=0,G163=""),"Needs an amount or goods",IF(C163="","",IF(COUNTIF(Donors!$B$6:$B$305,C163)=0,"Not on Donors","")))))))</f>
        <v/>
      </c>
      <c r="K163" s="1">
        <f>IF(ISNUMBER(B163),YEAR(B163),"")</f>
        <v/>
      </c>
      <c r="L163">
        <f>IF(ISNUMBER(B163),YEAR(B163)*100+MONTH(B163),"")</f>
        <v/>
      </c>
      <c r="M163">
        <f>IF(ISNUMBER(B163),INT(B163),0)</f>
        <v/>
      </c>
      <c r="N163">
        <f>IF(OR(C163="",F163="",Q163=0),0,IF(COUNTIFS(C$6:C163,C163,F$6:F163,F163,Q$6:Q163,1)=1,1,0))</f>
        <v/>
      </c>
      <c r="O163">
        <f>IF(OR(C163="",Q163=0,H163&lt;&gt;""),"",M163*10000+ROW())</f>
        <v/>
      </c>
      <c r="P163">
        <f>IF(OR(C163="",Q163=0),"",IF(AND(C163=Statement!$C$4,K163=Statement!$C$5),M163*10000+ROW(),""))</f>
        <v/>
      </c>
      <c r="Q163">
        <f>IF(AND(ISNUMBER(B163),OR(N(D163)&gt;0,G163&lt;&gt;"")),1,0)</f>
        <v/>
      </c>
    </row>
    <row r="164">
      <c r="A164" s="1" t="n"/>
      <c r="B164" s="21" t="n"/>
      <c r="C164" s="22" t="n"/>
      <c r="D164" s="23" t="n"/>
      <c r="E164" s="24" t="n"/>
      <c r="F164" s="25" t="n"/>
      <c r="G164" s="25" t="n"/>
      <c r="H164" s="24" t="n"/>
      <c r="I164" s="25" t="n"/>
      <c r="J164" s="17">
        <f>IF(AND(C164="",D164="",G164=""),"",IF(NOT(ISNUMBER(B164)),"Needs a date",IF(AND(D164&lt;&gt;"",NOT(ISNUMBER(D164))),"Amount not a number",IF(N(D164)&lt;0,"Amount below zero",IF(AND(N(D164)=0,G164=""),"Needs an amount or goods",IF(C164="","",IF(COUNTIF(Donors!$B$6:$B$305,C164)=0,"Not on Donors","")))))))</f>
        <v/>
      </c>
      <c r="K164" s="1">
        <f>IF(ISNUMBER(B164),YEAR(B164),"")</f>
        <v/>
      </c>
      <c r="L164">
        <f>IF(ISNUMBER(B164),YEAR(B164)*100+MONTH(B164),"")</f>
        <v/>
      </c>
      <c r="M164">
        <f>IF(ISNUMBER(B164),INT(B164),0)</f>
        <v/>
      </c>
      <c r="N164">
        <f>IF(OR(C164="",F164="",Q164=0),0,IF(COUNTIFS(C$6:C164,C164,F$6:F164,F164,Q$6:Q164,1)=1,1,0))</f>
        <v/>
      </c>
      <c r="O164">
        <f>IF(OR(C164="",Q164=0,H164&lt;&gt;""),"",M164*10000+ROW())</f>
        <v/>
      </c>
      <c r="P164">
        <f>IF(OR(C164="",Q164=0),"",IF(AND(C164=Statement!$C$4,K164=Statement!$C$5),M164*10000+ROW(),""))</f>
        <v/>
      </c>
      <c r="Q164">
        <f>IF(AND(ISNUMBER(B164),OR(N(D164)&gt;0,G164&lt;&gt;"")),1,0)</f>
        <v/>
      </c>
    </row>
    <row r="165">
      <c r="A165" s="1" t="n"/>
      <c r="B165" s="21" t="n"/>
      <c r="C165" s="22" t="n"/>
      <c r="D165" s="23" t="n"/>
      <c r="E165" s="24" t="n"/>
      <c r="F165" s="25" t="n"/>
      <c r="G165" s="25" t="n"/>
      <c r="H165" s="24" t="n"/>
      <c r="I165" s="25" t="n"/>
      <c r="J165" s="17">
        <f>IF(AND(C165="",D165="",G165=""),"",IF(NOT(ISNUMBER(B165)),"Needs a date",IF(AND(D165&lt;&gt;"",NOT(ISNUMBER(D165))),"Amount not a number",IF(N(D165)&lt;0,"Amount below zero",IF(AND(N(D165)=0,G165=""),"Needs an amount or goods",IF(C165="","",IF(COUNTIF(Donors!$B$6:$B$305,C165)=0,"Not on Donors","")))))))</f>
        <v/>
      </c>
      <c r="K165" s="1">
        <f>IF(ISNUMBER(B165),YEAR(B165),"")</f>
        <v/>
      </c>
      <c r="L165">
        <f>IF(ISNUMBER(B165),YEAR(B165)*100+MONTH(B165),"")</f>
        <v/>
      </c>
      <c r="M165">
        <f>IF(ISNUMBER(B165),INT(B165),0)</f>
        <v/>
      </c>
      <c r="N165">
        <f>IF(OR(C165="",F165="",Q165=0),0,IF(COUNTIFS(C$6:C165,C165,F$6:F165,F165,Q$6:Q165,1)=1,1,0))</f>
        <v/>
      </c>
      <c r="O165">
        <f>IF(OR(C165="",Q165=0,H165&lt;&gt;""),"",M165*10000+ROW())</f>
        <v/>
      </c>
      <c r="P165">
        <f>IF(OR(C165="",Q165=0),"",IF(AND(C165=Statement!$C$4,K165=Statement!$C$5),M165*10000+ROW(),""))</f>
        <v/>
      </c>
      <c r="Q165">
        <f>IF(AND(ISNUMBER(B165),OR(N(D165)&gt;0,G165&lt;&gt;"")),1,0)</f>
        <v/>
      </c>
    </row>
    <row r="166">
      <c r="A166" s="1" t="n"/>
      <c r="B166" s="21" t="n"/>
      <c r="C166" s="22" t="n"/>
      <c r="D166" s="23" t="n"/>
      <c r="E166" s="24" t="n"/>
      <c r="F166" s="25" t="n"/>
      <c r="G166" s="25" t="n"/>
      <c r="H166" s="24" t="n"/>
      <c r="I166" s="25" t="n"/>
      <c r="J166" s="17">
        <f>IF(AND(C166="",D166="",G166=""),"",IF(NOT(ISNUMBER(B166)),"Needs a date",IF(AND(D166&lt;&gt;"",NOT(ISNUMBER(D166))),"Amount not a number",IF(N(D166)&lt;0,"Amount below zero",IF(AND(N(D166)=0,G166=""),"Needs an amount or goods",IF(C166="","",IF(COUNTIF(Donors!$B$6:$B$305,C166)=0,"Not on Donors","")))))))</f>
        <v/>
      </c>
      <c r="K166" s="1">
        <f>IF(ISNUMBER(B166),YEAR(B166),"")</f>
        <v/>
      </c>
      <c r="L166">
        <f>IF(ISNUMBER(B166),YEAR(B166)*100+MONTH(B166),"")</f>
        <v/>
      </c>
      <c r="M166">
        <f>IF(ISNUMBER(B166),INT(B166),0)</f>
        <v/>
      </c>
      <c r="N166">
        <f>IF(OR(C166="",F166="",Q166=0),0,IF(COUNTIFS(C$6:C166,C166,F$6:F166,F166,Q$6:Q166,1)=1,1,0))</f>
        <v/>
      </c>
      <c r="O166">
        <f>IF(OR(C166="",Q166=0,H166&lt;&gt;""),"",M166*10000+ROW())</f>
        <v/>
      </c>
      <c r="P166">
        <f>IF(OR(C166="",Q166=0),"",IF(AND(C166=Statement!$C$4,K166=Statement!$C$5),M166*10000+ROW(),""))</f>
        <v/>
      </c>
      <c r="Q166">
        <f>IF(AND(ISNUMBER(B166),OR(N(D166)&gt;0,G166&lt;&gt;"")),1,0)</f>
        <v/>
      </c>
    </row>
    <row r="167">
      <c r="A167" s="1" t="n"/>
      <c r="B167" s="21" t="n"/>
      <c r="C167" s="22" t="n"/>
      <c r="D167" s="23" t="n"/>
      <c r="E167" s="24" t="n"/>
      <c r="F167" s="25" t="n"/>
      <c r="G167" s="25" t="n"/>
      <c r="H167" s="24" t="n"/>
      <c r="I167" s="25" t="n"/>
      <c r="J167" s="17">
        <f>IF(AND(C167="",D167="",G167=""),"",IF(NOT(ISNUMBER(B167)),"Needs a date",IF(AND(D167&lt;&gt;"",NOT(ISNUMBER(D167))),"Amount not a number",IF(N(D167)&lt;0,"Amount below zero",IF(AND(N(D167)=0,G167=""),"Needs an amount or goods",IF(C167="","",IF(COUNTIF(Donors!$B$6:$B$305,C167)=0,"Not on Donors","")))))))</f>
        <v/>
      </c>
      <c r="K167" s="1">
        <f>IF(ISNUMBER(B167),YEAR(B167),"")</f>
        <v/>
      </c>
      <c r="L167">
        <f>IF(ISNUMBER(B167),YEAR(B167)*100+MONTH(B167),"")</f>
        <v/>
      </c>
      <c r="M167">
        <f>IF(ISNUMBER(B167),INT(B167),0)</f>
        <v/>
      </c>
      <c r="N167">
        <f>IF(OR(C167="",F167="",Q167=0),0,IF(COUNTIFS(C$6:C167,C167,F$6:F167,F167,Q$6:Q167,1)=1,1,0))</f>
        <v/>
      </c>
      <c r="O167">
        <f>IF(OR(C167="",Q167=0,H167&lt;&gt;""),"",M167*10000+ROW())</f>
        <v/>
      </c>
      <c r="P167">
        <f>IF(OR(C167="",Q167=0),"",IF(AND(C167=Statement!$C$4,K167=Statement!$C$5),M167*10000+ROW(),""))</f>
        <v/>
      </c>
      <c r="Q167">
        <f>IF(AND(ISNUMBER(B167),OR(N(D167)&gt;0,G167&lt;&gt;"")),1,0)</f>
        <v/>
      </c>
    </row>
    <row r="168">
      <c r="A168" s="1" t="n"/>
      <c r="B168" s="21" t="n"/>
      <c r="C168" s="22" t="n"/>
      <c r="D168" s="23" t="n"/>
      <c r="E168" s="24" t="n"/>
      <c r="F168" s="25" t="n"/>
      <c r="G168" s="25" t="n"/>
      <c r="H168" s="24" t="n"/>
      <c r="I168" s="25" t="n"/>
      <c r="J168" s="17">
        <f>IF(AND(C168="",D168="",G168=""),"",IF(NOT(ISNUMBER(B168)),"Needs a date",IF(AND(D168&lt;&gt;"",NOT(ISNUMBER(D168))),"Amount not a number",IF(N(D168)&lt;0,"Amount below zero",IF(AND(N(D168)=0,G168=""),"Needs an amount or goods",IF(C168="","",IF(COUNTIF(Donors!$B$6:$B$305,C168)=0,"Not on Donors","")))))))</f>
        <v/>
      </c>
      <c r="K168" s="1">
        <f>IF(ISNUMBER(B168),YEAR(B168),"")</f>
        <v/>
      </c>
      <c r="L168">
        <f>IF(ISNUMBER(B168),YEAR(B168)*100+MONTH(B168),"")</f>
        <v/>
      </c>
      <c r="M168">
        <f>IF(ISNUMBER(B168),INT(B168),0)</f>
        <v/>
      </c>
      <c r="N168">
        <f>IF(OR(C168="",F168="",Q168=0),0,IF(COUNTIFS(C$6:C168,C168,F$6:F168,F168,Q$6:Q168,1)=1,1,0))</f>
        <v/>
      </c>
      <c r="O168">
        <f>IF(OR(C168="",Q168=0,H168&lt;&gt;""),"",M168*10000+ROW())</f>
        <v/>
      </c>
      <c r="P168">
        <f>IF(OR(C168="",Q168=0),"",IF(AND(C168=Statement!$C$4,K168=Statement!$C$5),M168*10000+ROW(),""))</f>
        <v/>
      </c>
      <c r="Q168">
        <f>IF(AND(ISNUMBER(B168),OR(N(D168)&gt;0,G168&lt;&gt;"")),1,0)</f>
        <v/>
      </c>
    </row>
    <row r="169">
      <c r="A169" s="1" t="n"/>
      <c r="B169" s="21" t="n"/>
      <c r="C169" s="22" t="n"/>
      <c r="D169" s="23" t="n"/>
      <c r="E169" s="24" t="n"/>
      <c r="F169" s="25" t="n"/>
      <c r="G169" s="25" t="n"/>
      <c r="H169" s="24" t="n"/>
      <c r="I169" s="25" t="n"/>
      <c r="J169" s="17">
        <f>IF(AND(C169="",D169="",G169=""),"",IF(NOT(ISNUMBER(B169)),"Needs a date",IF(AND(D169&lt;&gt;"",NOT(ISNUMBER(D169))),"Amount not a number",IF(N(D169)&lt;0,"Amount below zero",IF(AND(N(D169)=0,G169=""),"Needs an amount or goods",IF(C169="","",IF(COUNTIF(Donors!$B$6:$B$305,C169)=0,"Not on Donors","")))))))</f>
        <v/>
      </c>
      <c r="K169" s="1">
        <f>IF(ISNUMBER(B169),YEAR(B169),"")</f>
        <v/>
      </c>
      <c r="L169">
        <f>IF(ISNUMBER(B169),YEAR(B169)*100+MONTH(B169),"")</f>
        <v/>
      </c>
      <c r="M169">
        <f>IF(ISNUMBER(B169),INT(B169),0)</f>
        <v/>
      </c>
      <c r="N169">
        <f>IF(OR(C169="",F169="",Q169=0),0,IF(COUNTIFS(C$6:C169,C169,F$6:F169,F169,Q$6:Q169,1)=1,1,0))</f>
        <v/>
      </c>
      <c r="O169">
        <f>IF(OR(C169="",Q169=0,H169&lt;&gt;""),"",M169*10000+ROW())</f>
        <v/>
      </c>
      <c r="P169">
        <f>IF(OR(C169="",Q169=0),"",IF(AND(C169=Statement!$C$4,K169=Statement!$C$5),M169*10000+ROW(),""))</f>
        <v/>
      </c>
      <c r="Q169">
        <f>IF(AND(ISNUMBER(B169),OR(N(D169)&gt;0,G169&lt;&gt;"")),1,0)</f>
        <v/>
      </c>
    </row>
    <row r="170">
      <c r="A170" s="1" t="n"/>
      <c r="B170" s="21" t="n"/>
      <c r="C170" s="22" t="n"/>
      <c r="D170" s="23" t="n"/>
      <c r="E170" s="24" t="n"/>
      <c r="F170" s="25" t="n"/>
      <c r="G170" s="25" t="n"/>
      <c r="H170" s="24" t="n"/>
      <c r="I170" s="25" t="n"/>
      <c r="J170" s="17">
        <f>IF(AND(C170="",D170="",G170=""),"",IF(NOT(ISNUMBER(B170)),"Needs a date",IF(AND(D170&lt;&gt;"",NOT(ISNUMBER(D170))),"Amount not a number",IF(N(D170)&lt;0,"Amount below zero",IF(AND(N(D170)=0,G170=""),"Needs an amount or goods",IF(C170="","",IF(COUNTIF(Donors!$B$6:$B$305,C170)=0,"Not on Donors","")))))))</f>
        <v/>
      </c>
      <c r="K170" s="1">
        <f>IF(ISNUMBER(B170),YEAR(B170),"")</f>
        <v/>
      </c>
      <c r="L170">
        <f>IF(ISNUMBER(B170),YEAR(B170)*100+MONTH(B170),"")</f>
        <v/>
      </c>
      <c r="M170">
        <f>IF(ISNUMBER(B170),INT(B170),0)</f>
        <v/>
      </c>
      <c r="N170">
        <f>IF(OR(C170="",F170="",Q170=0),0,IF(COUNTIFS(C$6:C170,C170,F$6:F170,F170,Q$6:Q170,1)=1,1,0))</f>
        <v/>
      </c>
      <c r="O170">
        <f>IF(OR(C170="",Q170=0,H170&lt;&gt;""),"",M170*10000+ROW())</f>
        <v/>
      </c>
      <c r="P170">
        <f>IF(OR(C170="",Q170=0),"",IF(AND(C170=Statement!$C$4,K170=Statement!$C$5),M170*10000+ROW(),""))</f>
        <v/>
      </c>
      <c r="Q170">
        <f>IF(AND(ISNUMBER(B170),OR(N(D170)&gt;0,G170&lt;&gt;"")),1,0)</f>
        <v/>
      </c>
    </row>
    <row r="171">
      <c r="A171" s="1" t="n"/>
      <c r="B171" s="21" t="n"/>
      <c r="C171" s="22" t="n"/>
      <c r="D171" s="23" t="n"/>
      <c r="E171" s="24" t="n"/>
      <c r="F171" s="25" t="n"/>
      <c r="G171" s="25" t="n"/>
      <c r="H171" s="24" t="n"/>
      <c r="I171" s="25" t="n"/>
      <c r="J171" s="17">
        <f>IF(AND(C171="",D171="",G171=""),"",IF(NOT(ISNUMBER(B171)),"Needs a date",IF(AND(D171&lt;&gt;"",NOT(ISNUMBER(D171))),"Amount not a number",IF(N(D171)&lt;0,"Amount below zero",IF(AND(N(D171)=0,G171=""),"Needs an amount or goods",IF(C171="","",IF(COUNTIF(Donors!$B$6:$B$305,C171)=0,"Not on Donors","")))))))</f>
        <v/>
      </c>
      <c r="K171" s="1">
        <f>IF(ISNUMBER(B171),YEAR(B171),"")</f>
        <v/>
      </c>
      <c r="L171">
        <f>IF(ISNUMBER(B171),YEAR(B171)*100+MONTH(B171),"")</f>
        <v/>
      </c>
      <c r="M171">
        <f>IF(ISNUMBER(B171),INT(B171),0)</f>
        <v/>
      </c>
      <c r="N171">
        <f>IF(OR(C171="",F171="",Q171=0),0,IF(COUNTIFS(C$6:C171,C171,F$6:F171,F171,Q$6:Q171,1)=1,1,0))</f>
        <v/>
      </c>
      <c r="O171">
        <f>IF(OR(C171="",Q171=0,H171&lt;&gt;""),"",M171*10000+ROW())</f>
        <v/>
      </c>
      <c r="P171">
        <f>IF(OR(C171="",Q171=0),"",IF(AND(C171=Statement!$C$4,K171=Statement!$C$5),M171*10000+ROW(),""))</f>
        <v/>
      </c>
      <c r="Q171">
        <f>IF(AND(ISNUMBER(B171),OR(N(D171)&gt;0,G171&lt;&gt;"")),1,0)</f>
        <v/>
      </c>
    </row>
    <row r="172">
      <c r="A172" s="1" t="n"/>
      <c r="B172" s="21" t="n"/>
      <c r="C172" s="22" t="n"/>
      <c r="D172" s="23" t="n"/>
      <c r="E172" s="24" t="n"/>
      <c r="F172" s="25" t="n"/>
      <c r="G172" s="25" t="n"/>
      <c r="H172" s="24" t="n"/>
      <c r="I172" s="25" t="n"/>
      <c r="J172" s="17">
        <f>IF(AND(C172="",D172="",G172=""),"",IF(NOT(ISNUMBER(B172)),"Needs a date",IF(AND(D172&lt;&gt;"",NOT(ISNUMBER(D172))),"Amount not a number",IF(N(D172)&lt;0,"Amount below zero",IF(AND(N(D172)=0,G172=""),"Needs an amount or goods",IF(C172="","",IF(COUNTIF(Donors!$B$6:$B$305,C172)=0,"Not on Donors","")))))))</f>
        <v/>
      </c>
      <c r="K172" s="1">
        <f>IF(ISNUMBER(B172),YEAR(B172),"")</f>
        <v/>
      </c>
      <c r="L172">
        <f>IF(ISNUMBER(B172),YEAR(B172)*100+MONTH(B172),"")</f>
        <v/>
      </c>
      <c r="M172">
        <f>IF(ISNUMBER(B172),INT(B172),0)</f>
        <v/>
      </c>
      <c r="N172">
        <f>IF(OR(C172="",F172="",Q172=0),0,IF(COUNTIFS(C$6:C172,C172,F$6:F172,F172,Q$6:Q172,1)=1,1,0))</f>
        <v/>
      </c>
      <c r="O172">
        <f>IF(OR(C172="",Q172=0,H172&lt;&gt;""),"",M172*10000+ROW())</f>
        <v/>
      </c>
      <c r="P172">
        <f>IF(OR(C172="",Q172=0),"",IF(AND(C172=Statement!$C$4,K172=Statement!$C$5),M172*10000+ROW(),""))</f>
        <v/>
      </c>
      <c r="Q172">
        <f>IF(AND(ISNUMBER(B172),OR(N(D172)&gt;0,G172&lt;&gt;"")),1,0)</f>
        <v/>
      </c>
    </row>
    <row r="173">
      <c r="A173" s="1" t="n"/>
      <c r="B173" s="21" t="n"/>
      <c r="C173" s="22" t="n"/>
      <c r="D173" s="23" t="n"/>
      <c r="E173" s="24" t="n"/>
      <c r="F173" s="25" t="n"/>
      <c r="G173" s="25" t="n"/>
      <c r="H173" s="24" t="n"/>
      <c r="I173" s="25" t="n"/>
      <c r="J173" s="17">
        <f>IF(AND(C173="",D173="",G173=""),"",IF(NOT(ISNUMBER(B173)),"Needs a date",IF(AND(D173&lt;&gt;"",NOT(ISNUMBER(D173))),"Amount not a number",IF(N(D173)&lt;0,"Amount below zero",IF(AND(N(D173)=0,G173=""),"Needs an amount or goods",IF(C173="","",IF(COUNTIF(Donors!$B$6:$B$305,C173)=0,"Not on Donors","")))))))</f>
        <v/>
      </c>
      <c r="K173" s="1">
        <f>IF(ISNUMBER(B173),YEAR(B173),"")</f>
        <v/>
      </c>
      <c r="L173">
        <f>IF(ISNUMBER(B173),YEAR(B173)*100+MONTH(B173),"")</f>
        <v/>
      </c>
      <c r="M173">
        <f>IF(ISNUMBER(B173),INT(B173),0)</f>
        <v/>
      </c>
      <c r="N173">
        <f>IF(OR(C173="",F173="",Q173=0),0,IF(COUNTIFS(C$6:C173,C173,F$6:F173,F173,Q$6:Q173,1)=1,1,0))</f>
        <v/>
      </c>
      <c r="O173">
        <f>IF(OR(C173="",Q173=0,H173&lt;&gt;""),"",M173*10000+ROW())</f>
        <v/>
      </c>
      <c r="P173">
        <f>IF(OR(C173="",Q173=0),"",IF(AND(C173=Statement!$C$4,K173=Statement!$C$5),M173*10000+ROW(),""))</f>
        <v/>
      </c>
      <c r="Q173">
        <f>IF(AND(ISNUMBER(B173),OR(N(D173)&gt;0,G173&lt;&gt;"")),1,0)</f>
        <v/>
      </c>
    </row>
    <row r="174">
      <c r="A174" s="1" t="n"/>
      <c r="B174" s="21" t="n"/>
      <c r="C174" s="22" t="n"/>
      <c r="D174" s="23" t="n"/>
      <c r="E174" s="24" t="n"/>
      <c r="F174" s="25" t="n"/>
      <c r="G174" s="25" t="n"/>
      <c r="H174" s="24" t="n"/>
      <c r="I174" s="25" t="n"/>
      <c r="J174" s="17">
        <f>IF(AND(C174="",D174="",G174=""),"",IF(NOT(ISNUMBER(B174)),"Needs a date",IF(AND(D174&lt;&gt;"",NOT(ISNUMBER(D174))),"Amount not a number",IF(N(D174)&lt;0,"Amount below zero",IF(AND(N(D174)=0,G174=""),"Needs an amount or goods",IF(C174="","",IF(COUNTIF(Donors!$B$6:$B$305,C174)=0,"Not on Donors","")))))))</f>
        <v/>
      </c>
      <c r="K174" s="1">
        <f>IF(ISNUMBER(B174),YEAR(B174),"")</f>
        <v/>
      </c>
      <c r="L174">
        <f>IF(ISNUMBER(B174),YEAR(B174)*100+MONTH(B174),"")</f>
        <v/>
      </c>
      <c r="M174">
        <f>IF(ISNUMBER(B174),INT(B174),0)</f>
        <v/>
      </c>
      <c r="N174">
        <f>IF(OR(C174="",F174="",Q174=0),0,IF(COUNTIFS(C$6:C174,C174,F$6:F174,F174,Q$6:Q174,1)=1,1,0))</f>
        <v/>
      </c>
      <c r="O174">
        <f>IF(OR(C174="",Q174=0,H174&lt;&gt;""),"",M174*10000+ROW())</f>
        <v/>
      </c>
      <c r="P174">
        <f>IF(OR(C174="",Q174=0),"",IF(AND(C174=Statement!$C$4,K174=Statement!$C$5),M174*10000+ROW(),""))</f>
        <v/>
      </c>
      <c r="Q174">
        <f>IF(AND(ISNUMBER(B174),OR(N(D174)&gt;0,G174&lt;&gt;"")),1,0)</f>
        <v/>
      </c>
    </row>
    <row r="175">
      <c r="A175" s="1" t="n"/>
      <c r="B175" s="21" t="n"/>
      <c r="C175" s="22" t="n"/>
      <c r="D175" s="23" t="n"/>
      <c r="E175" s="24" t="n"/>
      <c r="F175" s="25" t="n"/>
      <c r="G175" s="25" t="n"/>
      <c r="H175" s="24" t="n"/>
      <c r="I175" s="25" t="n"/>
      <c r="J175" s="17">
        <f>IF(AND(C175="",D175="",G175=""),"",IF(NOT(ISNUMBER(B175)),"Needs a date",IF(AND(D175&lt;&gt;"",NOT(ISNUMBER(D175))),"Amount not a number",IF(N(D175)&lt;0,"Amount below zero",IF(AND(N(D175)=0,G175=""),"Needs an amount or goods",IF(C175="","",IF(COUNTIF(Donors!$B$6:$B$305,C175)=0,"Not on Donors","")))))))</f>
        <v/>
      </c>
      <c r="K175" s="1">
        <f>IF(ISNUMBER(B175),YEAR(B175),"")</f>
        <v/>
      </c>
      <c r="L175">
        <f>IF(ISNUMBER(B175),YEAR(B175)*100+MONTH(B175),"")</f>
        <v/>
      </c>
      <c r="M175">
        <f>IF(ISNUMBER(B175),INT(B175),0)</f>
        <v/>
      </c>
      <c r="N175">
        <f>IF(OR(C175="",F175="",Q175=0),0,IF(COUNTIFS(C$6:C175,C175,F$6:F175,F175,Q$6:Q175,1)=1,1,0))</f>
        <v/>
      </c>
      <c r="O175">
        <f>IF(OR(C175="",Q175=0,H175&lt;&gt;""),"",M175*10000+ROW())</f>
        <v/>
      </c>
      <c r="P175">
        <f>IF(OR(C175="",Q175=0),"",IF(AND(C175=Statement!$C$4,K175=Statement!$C$5),M175*10000+ROW(),""))</f>
        <v/>
      </c>
      <c r="Q175">
        <f>IF(AND(ISNUMBER(B175),OR(N(D175)&gt;0,G175&lt;&gt;"")),1,0)</f>
        <v/>
      </c>
    </row>
    <row r="176">
      <c r="A176" s="1" t="n"/>
      <c r="B176" s="21" t="n"/>
      <c r="C176" s="22" t="n"/>
      <c r="D176" s="23" t="n"/>
      <c r="E176" s="24" t="n"/>
      <c r="F176" s="25" t="n"/>
      <c r="G176" s="25" t="n"/>
      <c r="H176" s="24" t="n"/>
      <c r="I176" s="25" t="n"/>
      <c r="J176" s="17">
        <f>IF(AND(C176="",D176="",G176=""),"",IF(NOT(ISNUMBER(B176)),"Needs a date",IF(AND(D176&lt;&gt;"",NOT(ISNUMBER(D176))),"Amount not a number",IF(N(D176)&lt;0,"Amount below zero",IF(AND(N(D176)=0,G176=""),"Needs an amount or goods",IF(C176="","",IF(COUNTIF(Donors!$B$6:$B$305,C176)=0,"Not on Donors","")))))))</f>
        <v/>
      </c>
      <c r="K176" s="1">
        <f>IF(ISNUMBER(B176),YEAR(B176),"")</f>
        <v/>
      </c>
      <c r="L176">
        <f>IF(ISNUMBER(B176),YEAR(B176)*100+MONTH(B176),"")</f>
        <v/>
      </c>
      <c r="M176">
        <f>IF(ISNUMBER(B176),INT(B176),0)</f>
        <v/>
      </c>
      <c r="N176">
        <f>IF(OR(C176="",F176="",Q176=0),0,IF(COUNTIFS(C$6:C176,C176,F$6:F176,F176,Q$6:Q176,1)=1,1,0))</f>
        <v/>
      </c>
      <c r="O176">
        <f>IF(OR(C176="",Q176=0,H176&lt;&gt;""),"",M176*10000+ROW())</f>
        <v/>
      </c>
      <c r="P176">
        <f>IF(OR(C176="",Q176=0),"",IF(AND(C176=Statement!$C$4,K176=Statement!$C$5),M176*10000+ROW(),""))</f>
        <v/>
      </c>
      <c r="Q176">
        <f>IF(AND(ISNUMBER(B176),OR(N(D176)&gt;0,G176&lt;&gt;"")),1,0)</f>
        <v/>
      </c>
    </row>
    <row r="177">
      <c r="A177" s="1" t="n"/>
      <c r="B177" s="21" t="n"/>
      <c r="C177" s="22" t="n"/>
      <c r="D177" s="23" t="n"/>
      <c r="E177" s="24" t="n"/>
      <c r="F177" s="25" t="n"/>
      <c r="G177" s="25" t="n"/>
      <c r="H177" s="24" t="n"/>
      <c r="I177" s="25" t="n"/>
      <c r="J177" s="17">
        <f>IF(AND(C177="",D177="",G177=""),"",IF(NOT(ISNUMBER(B177)),"Needs a date",IF(AND(D177&lt;&gt;"",NOT(ISNUMBER(D177))),"Amount not a number",IF(N(D177)&lt;0,"Amount below zero",IF(AND(N(D177)=0,G177=""),"Needs an amount or goods",IF(C177="","",IF(COUNTIF(Donors!$B$6:$B$305,C177)=0,"Not on Donors","")))))))</f>
        <v/>
      </c>
      <c r="K177" s="1">
        <f>IF(ISNUMBER(B177),YEAR(B177),"")</f>
        <v/>
      </c>
      <c r="L177">
        <f>IF(ISNUMBER(B177),YEAR(B177)*100+MONTH(B177),"")</f>
        <v/>
      </c>
      <c r="M177">
        <f>IF(ISNUMBER(B177),INT(B177),0)</f>
        <v/>
      </c>
      <c r="N177">
        <f>IF(OR(C177="",F177="",Q177=0),0,IF(COUNTIFS(C$6:C177,C177,F$6:F177,F177,Q$6:Q177,1)=1,1,0))</f>
        <v/>
      </c>
      <c r="O177">
        <f>IF(OR(C177="",Q177=0,H177&lt;&gt;""),"",M177*10000+ROW())</f>
        <v/>
      </c>
      <c r="P177">
        <f>IF(OR(C177="",Q177=0),"",IF(AND(C177=Statement!$C$4,K177=Statement!$C$5),M177*10000+ROW(),""))</f>
        <v/>
      </c>
      <c r="Q177">
        <f>IF(AND(ISNUMBER(B177),OR(N(D177)&gt;0,G177&lt;&gt;"")),1,0)</f>
        <v/>
      </c>
    </row>
    <row r="178">
      <c r="A178" s="1" t="n"/>
      <c r="B178" s="21" t="n"/>
      <c r="C178" s="22" t="n"/>
      <c r="D178" s="23" t="n"/>
      <c r="E178" s="24" t="n"/>
      <c r="F178" s="25" t="n"/>
      <c r="G178" s="25" t="n"/>
      <c r="H178" s="24" t="n"/>
      <c r="I178" s="25" t="n"/>
      <c r="J178" s="17">
        <f>IF(AND(C178="",D178="",G178=""),"",IF(NOT(ISNUMBER(B178)),"Needs a date",IF(AND(D178&lt;&gt;"",NOT(ISNUMBER(D178))),"Amount not a number",IF(N(D178)&lt;0,"Amount below zero",IF(AND(N(D178)=0,G178=""),"Needs an amount or goods",IF(C178="","",IF(COUNTIF(Donors!$B$6:$B$305,C178)=0,"Not on Donors","")))))))</f>
        <v/>
      </c>
      <c r="K178" s="1">
        <f>IF(ISNUMBER(B178),YEAR(B178),"")</f>
        <v/>
      </c>
      <c r="L178">
        <f>IF(ISNUMBER(B178),YEAR(B178)*100+MONTH(B178),"")</f>
        <v/>
      </c>
      <c r="M178">
        <f>IF(ISNUMBER(B178),INT(B178),0)</f>
        <v/>
      </c>
      <c r="N178">
        <f>IF(OR(C178="",F178="",Q178=0),0,IF(COUNTIFS(C$6:C178,C178,F$6:F178,F178,Q$6:Q178,1)=1,1,0))</f>
        <v/>
      </c>
      <c r="O178">
        <f>IF(OR(C178="",Q178=0,H178&lt;&gt;""),"",M178*10000+ROW())</f>
        <v/>
      </c>
      <c r="P178">
        <f>IF(OR(C178="",Q178=0),"",IF(AND(C178=Statement!$C$4,K178=Statement!$C$5),M178*10000+ROW(),""))</f>
        <v/>
      </c>
      <c r="Q178">
        <f>IF(AND(ISNUMBER(B178),OR(N(D178)&gt;0,G178&lt;&gt;"")),1,0)</f>
        <v/>
      </c>
    </row>
    <row r="179">
      <c r="A179" s="1" t="n"/>
      <c r="B179" s="21" t="n"/>
      <c r="C179" s="22" t="n"/>
      <c r="D179" s="23" t="n"/>
      <c r="E179" s="24" t="n"/>
      <c r="F179" s="25" t="n"/>
      <c r="G179" s="25" t="n"/>
      <c r="H179" s="24" t="n"/>
      <c r="I179" s="25" t="n"/>
      <c r="J179" s="17">
        <f>IF(AND(C179="",D179="",G179=""),"",IF(NOT(ISNUMBER(B179)),"Needs a date",IF(AND(D179&lt;&gt;"",NOT(ISNUMBER(D179))),"Amount not a number",IF(N(D179)&lt;0,"Amount below zero",IF(AND(N(D179)=0,G179=""),"Needs an amount or goods",IF(C179="","",IF(COUNTIF(Donors!$B$6:$B$305,C179)=0,"Not on Donors","")))))))</f>
        <v/>
      </c>
      <c r="K179" s="1">
        <f>IF(ISNUMBER(B179),YEAR(B179),"")</f>
        <v/>
      </c>
      <c r="L179">
        <f>IF(ISNUMBER(B179),YEAR(B179)*100+MONTH(B179),"")</f>
        <v/>
      </c>
      <c r="M179">
        <f>IF(ISNUMBER(B179),INT(B179),0)</f>
        <v/>
      </c>
      <c r="N179">
        <f>IF(OR(C179="",F179="",Q179=0),0,IF(COUNTIFS(C$6:C179,C179,F$6:F179,F179,Q$6:Q179,1)=1,1,0))</f>
        <v/>
      </c>
      <c r="O179">
        <f>IF(OR(C179="",Q179=0,H179&lt;&gt;""),"",M179*10000+ROW())</f>
        <v/>
      </c>
      <c r="P179">
        <f>IF(OR(C179="",Q179=0),"",IF(AND(C179=Statement!$C$4,K179=Statement!$C$5),M179*10000+ROW(),""))</f>
        <v/>
      </c>
      <c r="Q179">
        <f>IF(AND(ISNUMBER(B179),OR(N(D179)&gt;0,G179&lt;&gt;"")),1,0)</f>
        <v/>
      </c>
    </row>
    <row r="180">
      <c r="A180" s="1" t="n"/>
      <c r="B180" s="21" t="n"/>
      <c r="C180" s="22" t="n"/>
      <c r="D180" s="23" t="n"/>
      <c r="E180" s="24" t="n"/>
      <c r="F180" s="25" t="n"/>
      <c r="G180" s="25" t="n"/>
      <c r="H180" s="24" t="n"/>
      <c r="I180" s="25" t="n"/>
      <c r="J180" s="17">
        <f>IF(AND(C180="",D180="",G180=""),"",IF(NOT(ISNUMBER(B180)),"Needs a date",IF(AND(D180&lt;&gt;"",NOT(ISNUMBER(D180))),"Amount not a number",IF(N(D180)&lt;0,"Amount below zero",IF(AND(N(D180)=0,G180=""),"Needs an amount or goods",IF(C180="","",IF(COUNTIF(Donors!$B$6:$B$305,C180)=0,"Not on Donors","")))))))</f>
        <v/>
      </c>
      <c r="K180" s="1">
        <f>IF(ISNUMBER(B180),YEAR(B180),"")</f>
        <v/>
      </c>
      <c r="L180">
        <f>IF(ISNUMBER(B180),YEAR(B180)*100+MONTH(B180),"")</f>
        <v/>
      </c>
      <c r="M180">
        <f>IF(ISNUMBER(B180),INT(B180),0)</f>
        <v/>
      </c>
      <c r="N180">
        <f>IF(OR(C180="",F180="",Q180=0),0,IF(COUNTIFS(C$6:C180,C180,F$6:F180,F180,Q$6:Q180,1)=1,1,0))</f>
        <v/>
      </c>
      <c r="O180">
        <f>IF(OR(C180="",Q180=0,H180&lt;&gt;""),"",M180*10000+ROW())</f>
        <v/>
      </c>
      <c r="P180">
        <f>IF(OR(C180="",Q180=0),"",IF(AND(C180=Statement!$C$4,K180=Statement!$C$5),M180*10000+ROW(),""))</f>
        <v/>
      </c>
      <c r="Q180">
        <f>IF(AND(ISNUMBER(B180),OR(N(D180)&gt;0,G180&lt;&gt;"")),1,0)</f>
        <v/>
      </c>
    </row>
    <row r="181">
      <c r="A181" s="1" t="n"/>
      <c r="B181" s="21" t="n"/>
      <c r="C181" s="22" t="n"/>
      <c r="D181" s="23" t="n"/>
      <c r="E181" s="24" t="n"/>
      <c r="F181" s="25" t="n"/>
      <c r="G181" s="25" t="n"/>
      <c r="H181" s="24" t="n"/>
      <c r="I181" s="25" t="n"/>
      <c r="J181" s="17">
        <f>IF(AND(C181="",D181="",G181=""),"",IF(NOT(ISNUMBER(B181)),"Needs a date",IF(AND(D181&lt;&gt;"",NOT(ISNUMBER(D181))),"Amount not a number",IF(N(D181)&lt;0,"Amount below zero",IF(AND(N(D181)=0,G181=""),"Needs an amount or goods",IF(C181="","",IF(COUNTIF(Donors!$B$6:$B$305,C181)=0,"Not on Donors","")))))))</f>
        <v/>
      </c>
      <c r="K181" s="1">
        <f>IF(ISNUMBER(B181),YEAR(B181),"")</f>
        <v/>
      </c>
      <c r="L181">
        <f>IF(ISNUMBER(B181),YEAR(B181)*100+MONTH(B181),"")</f>
        <v/>
      </c>
      <c r="M181">
        <f>IF(ISNUMBER(B181),INT(B181),0)</f>
        <v/>
      </c>
      <c r="N181">
        <f>IF(OR(C181="",F181="",Q181=0),0,IF(COUNTIFS(C$6:C181,C181,F$6:F181,F181,Q$6:Q181,1)=1,1,0))</f>
        <v/>
      </c>
      <c r="O181">
        <f>IF(OR(C181="",Q181=0,H181&lt;&gt;""),"",M181*10000+ROW())</f>
        <v/>
      </c>
      <c r="P181">
        <f>IF(OR(C181="",Q181=0),"",IF(AND(C181=Statement!$C$4,K181=Statement!$C$5),M181*10000+ROW(),""))</f>
        <v/>
      </c>
      <c r="Q181">
        <f>IF(AND(ISNUMBER(B181),OR(N(D181)&gt;0,G181&lt;&gt;"")),1,0)</f>
        <v/>
      </c>
    </row>
    <row r="182">
      <c r="A182" s="1" t="n"/>
      <c r="B182" s="21" t="n"/>
      <c r="C182" s="22" t="n"/>
      <c r="D182" s="23" t="n"/>
      <c r="E182" s="24" t="n"/>
      <c r="F182" s="25" t="n"/>
      <c r="G182" s="25" t="n"/>
      <c r="H182" s="24" t="n"/>
      <c r="I182" s="25" t="n"/>
      <c r="J182" s="17">
        <f>IF(AND(C182="",D182="",G182=""),"",IF(NOT(ISNUMBER(B182)),"Needs a date",IF(AND(D182&lt;&gt;"",NOT(ISNUMBER(D182))),"Amount not a number",IF(N(D182)&lt;0,"Amount below zero",IF(AND(N(D182)=0,G182=""),"Needs an amount or goods",IF(C182="","",IF(COUNTIF(Donors!$B$6:$B$305,C182)=0,"Not on Donors","")))))))</f>
        <v/>
      </c>
      <c r="K182" s="1">
        <f>IF(ISNUMBER(B182),YEAR(B182),"")</f>
        <v/>
      </c>
      <c r="L182">
        <f>IF(ISNUMBER(B182),YEAR(B182)*100+MONTH(B182),"")</f>
        <v/>
      </c>
      <c r="M182">
        <f>IF(ISNUMBER(B182),INT(B182),0)</f>
        <v/>
      </c>
      <c r="N182">
        <f>IF(OR(C182="",F182="",Q182=0),0,IF(COUNTIFS(C$6:C182,C182,F$6:F182,F182,Q$6:Q182,1)=1,1,0))</f>
        <v/>
      </c>
      <c r="O182">
        <f>IF(OR(C182="",Q182=0,H182&lt;&gt;""),"",M182*10000+ROW())</f>
        <v/>
      </c>
      <c r="P182">
        <f>IF(OR(C182="",Q182=0),"",IF(AND(C182=Statement!$C$4,K182=Statement!$C$5),M182*10000+ROW(),""))</f>
        <v/>
      </c>
      <c r="Q182">
        <f>IF(AND(ISNUMBER(B182),OR(N(D182)&gt;0,G182&lt;&gt;"")),1,0)</f>
        <v/>
      </c>
    </row>
    <row r="183">
      <c r="A183" s="1" t="n"/>
      <c r="B183" s="21" t="n"/>
      <c r="C183" s="22" t="n"/>
      <c r="D183" s="23" t="n"/>
      <c r="E183" s="24" t="n"/>
      <c r="F183" s="25" t="n"/>
      <c r="G183" s="25" t="n"/>
      <c r="H183" s="24" t="n"/>
      <c r="I183" s="25" t="n"/>
      <c r="J183" s="17">
        <f>IF(AND(C183="",D183="",G183=""),"",IF(NOT(ISNUMBER(B183)),"Needs a date",IF(AND(D183&lt;&gt;"",NOT(ISNUMBER(D183))),"Amount not a number",IF(N(D183)&lt;0,"Amount below zero",IF(AND(N(D183)=0,G183=""),"Needs an amount or goods",IF(C183="","",IF(COUNTIF(Donors!$B$6:$B$305,C183)=0,"Not on Donors","")))))))</f>
        <v/>
      </c>
      <c r="K183" s="1">
        <f>IF(ISNUMBER(B183),YEAR(B183),"")</f>
        <v/>
      </c>
      <c r="L183">
        <f>IF(ISNUMBER(B183),YEAR(B183)*100+MONTH(B183),"")</f>
        <v/>
      </c>
      <c r="M183">
        <f>IF(ISNUMBER(B183),INT(B183),0)</f>
        <v/>
      </c>
      <c r="N183">
        <f>IF(OR(C183="",F183="",Q183=0),0,IF(COUNTIFS(C$6:C183,C183,F$6:F183,F183,Q$6:Q183,1)=1,1,0))</f>
        <v/>
      </c>
      <c r="O183">
        <f>IF(OR(C183="",Q183=0,H183&lt;&gt;""),"",M183*10000+ROW())</f>
        <v/>
      </c>
      <c r="P183">
        <f>IF(OR(C183="",Q183=0),"",IF(AND(C183=Statement!$C$4,K183=Statement!$C$5),M183*10000+ROW(),""))</f>
        <v/>
      </c>
      <c r="Q183">
        <f>IF(AND(ISNUMBER(B183),OR(N(D183)&gt;0,G183&lt;&gt;"")),1,0)</f>
        <v/>
      </c>
    </row>
    <row r="184">
      <c r="A184" s="1" t="n"/>
      <c r="B184" s="21" t="n"/>
      <c r="C184" s="22" t="n"/>
      <c r="D184" s="23" t="n"/>
      <c r="E184" s="24" t="n"/>
      <c r="F184" s="25" t="n"/>
      <c r="G184" s="25" t="n"/>
      <c r="H184" s="24" t="n"/>
      <c r="I184" s="25" t="n"/>
      <c r="J184" s="17">
        <f>IF(AND(C184="",D184="",G184=""),"",IF(NOT(ISNUMBER(B184)),"Needs a date",IF(AND(D184&lt;&gt;"",NOT(ISNUMBER(D184))),"Amount not a number",IF(N(D184)&lt;0,"Amount below zero",IF(AND(N(D184)=0,G184=""),"Needs an amount or goods",IF(C184="","",IF(COUNTIF(Donors!$B$6:$B$305,C184)=0,"Not on Donors","")))))))</f>
        <v/>
      </c>
      <c r="K184" s="1">
        <f>IF(ISNUMBER(B184),YEAR(B184),"")</f>
        <v/>
      </c>
      <c r="L184">
        <f>IF(ISNUMBER(B184),YEAR(B184)*100+MONTH(B184),"")</f>
        <v/>
      </c>
      <c r="M184">
        <f>IF(ISNUMBER(B184),INT(B184),0)</f>
        <v/>
      </c>
      <c r="N184">
        <f>IF(OR(C184="",F184="",Q184=0),0,IF(COUNTIFS(C$6:C184,C184,F$6:F184,F184,Q$6:Q184,1)=1,1,0))</f>
        <v/>
      </c>
      <c r="O184">
        <f>IF(OR(C184="",Q184=0,H184&lt;&gt;""),"",M184*10000+ROW())</f>
        <v/>
      </c>
      <c r="P184">
        <f>IF(OR(C184="",Q184=0),"",IF(AND(C184=Statement!$C$4,K184=Statement!$C$5),M184*10000+ROW(),""))</f>
        <v/>
      </c>
      <c r="Q184">
        <f>IF(AND(ISNUMBER(B184),OR(N(D184)&gt;0,G184&lt;&gt;"")),1,0)</f>
        <v/>
      </c>
    </row>
    <row r="185">
      <c r="A185" s="1" t="n"/>
      <c r="B185" s="21" t="n"/>
      <c r="C185" s="22" t="n"/>
      <c r="D185" s="23" t="n"/>
      <c r="E185" s="24" t="n"/>
      <c r="F185" s="25" t="n"/>
      <c r="G185" s="25" t="n"/>
      <c r="H185" s="24" t="n"/>
      <c r="I185" s="25" t="n"/>
      <c r="J185" s="17">
        <f>IF(AND(C185="",D185="",G185=""),"",IF(NOT(ISNUMBER(B185)),"Needs a date",IF(AND(D185&lt;&gt;"",NOT(ISNUMBER(D185))),"Amount not a number",IF(N(D185)&lt;0,"Amount below zero",IF(AND(N(D185)=0,G185=""),"Needs an amount or goods",IF(C185="","",IF(COUNTIF(Donors!$B$6:$B$305,C185)=0,"Not on Donors","")))))))</f>
        <v/>
      </c>
      <c r="K185" s="1">
        <f>IF(ISNUMBER(B185),YEAR(B185),"")</f>
        <v/>
      </c>
      <c r="L185">
        <f>IF(ISNUMBER(B185),YEAR(B185)*100+MONTH(B185),"")</f>
        <v/>
      </c>
      <c r="M185">
        <f>IF(ISNUMBER(B185),INT(B185),0)</f>
        <v/>
      </c>
      <c r="N185">
        <f>IF(OR(C185="",F185="",Q185=0),0,IF(COUNTIFS(C$6:C185,C185,F$6:F185,F185,Q$6:Q185,1)=1,1,0))</f>
        <v/>
      </c>
      <c r="O185">
        <f>IF(OR(C185="",Q185=0,H185&lt;&gt;""),"",M185*10000+ROW())</f>
        <v/>
      </c>
      <c r="P185">
        <f>IF(OR(C185="",Q185=0),"",IF(AND(C185=Statement!$C$4,K185=Statement!$C$5),M185*10000+ROW(),""))</f>
        <v/>
      </c>
      <c r="Q185">
        <f>IF(AND(ISNUMBER(B185),OR(N(D185)&gt;0,G185&lt;&gt;"")),1,0)</f>
        <v/>
      </c>
    </row>
    <row r="186">
      <c r="A186" s="1" t="n"/>
      <c r="B186" s="21" t="n"/>
      <c r="C186" s="22" t="n"/>
      <c r="D186" s="23" t="n"/>
      <c r="E186" s="24" t="n"/>
      <c r="F186" s="25" t="n"/>
      <c r="G186" s="25" t="n"/>
      <c r="H186" s="24" t="n"/>
      <c r="I186" s="25" t="n"/>
      <c r="J186" s="17">
        <f>IF(AND(C186="",D186="",G186=""),"",IF(NOT(ISNUMBER(B186)),"Needs a date",IF(AND(D186&lt;&gt;"",NOT(ISNUMBER(D186))),"Amount not a number",IF(N(D186)&lt;0,"Amount below zero",IF(AND(N(D186)=0,G186=""),"Needs an amount or goods",IF(C186="","",IF(COUNTIF(Donors!$B$6:$B$305,C186)=0,"Not on Donors","")))))))</f>
        <v/>
      </c>
      <c r="K186" s="1">
        <f>IF(ISNUMBER(B186),YEAR(B186),"")</f>
        <v/>
      </c>
      <c r="L186">
        <f>IF(ISNUMBER(B186),YEAR(B186)*100+MONTH(B186),"")</f>
        <v/>
      </c>
      <c r="M186">
        <f>IF(ISNUMBER(B186),INT(B186),0)</f>
        <v/>
      </c>
      <c r="N186">
        <f>IF(OR(C186="",F186="",Q186=0),0,IF(COUNTIFS(C$6:C186,C186,F$6:F186,F186,Q$6:Q186,1)=1,1,0))</f>
        <v/>
      </c>
      <c r="O186">
        <f>IF(OR(C186="",Q186=0,H186&lt;&gt;""),"",M186*10000+ROW())</f>
        <v/>
      </c>
      <c r="P186">
        <f>IF(OR(C186="",Q186=0),"",IF(AND(C186=Statement!$C$4,K186=Statement!$C$5),M186*10000+ROW(),""))</f>
        <v/>
      </c>
      <c r="Q186">
        <f>IF(AND(ISNUMBER(B186),OR(N(D186)&gt;0,G186&lt;&gt;"")),1,0)</f>
        <v/>
      </c>
    </row>
    <row r="187">
      <c r="A187" s="1" t="n"/>
      <c r="B187" s="21" t="n"/>
      <c r="C187" s="22" t="n"/>
      <c r="D187" s="23" t="n"/>
      <c r="E187" s="24" t="n"/>
      <c r="F187" s="25" t="n"/>
      <c r="G187" s="25" t="n"/>
      <c r="H187" s="24" t="n"/>
      <c r="I187" s="25" t="n"/>
      <c r="J187" s="17">
        <f>IF(AND(C187="",D187="",G187=""),"",IF(NOT(ISNUMBER(B187)),"Needs a date",IF(AND(D187&lt;&gt;"",NOT(ISNUMBER(D187))),"Amount not a number",IF(N(D187)&lt;0,"Amount below zero",IF(AND(N(D187)=0,G187=""),"Needs an amount or goods",IF(C187="","",IF(COUNTIF(Donors!$B$6:$B$305,C187)=0,"Not on Donors","")))))))</f>
        <v/>
      </c>
      <c r="K187" s="1">
        <f>IF(ISNUMBER(B187),YEAR(B187),"")</f>
        <v/>
      </c>
      <c r="L187">
        <f>IF(ISNUMBER(B187),YEAR(B187)*100+MONTH(B187),"")</f>
        <v/>
      </c>
      <c r="M187">
        <f>IF(ISNUMBER(B187),INT(B187),0)</f>
        <v/>
      </c>
      <c r="N187">
        <f>IF(OR(C187="",F187="",Q187=0),0,IF(COUNTIFS(C$6:C187,C187,F$6:F187,F187,Q$6:Q187,1)=1,1,0))</f>
        <v/>
      </c>
      <c r="O187">
        <f>IF(OR(C187="",Q187=0,H187&lt;&gt;""),"",M187*10000+ROW())</f>
        <v/>
      </c>
      <c r="P187">
        <f>IF(OR(C187="",Q187=0),"",IF(AND(C187=Statement!$C$4,K187=Statement!$C$5),M187*10000+ROW(),""))</f>
        <v/>
      </c>
      <c r="Q187">
        <f>IF(AND(ISNUMBER(B187),OR(N(D187)&gt;0,G187&lt;&gt;"")),1,0)</f>
        <v/>
      </c>
    </row>
    <row r="188">
      <c r="A188" s="1" t="n"/>
      <c r="B188" s="21" t="n"/>
      <c r="C188" s="22" t="n"/>
      <c r="D188" s="23" t="n"/>
      <c r="E188" s="24" t="n"/>
      <c r="F188" s="25" t="n"/>
      <c r="G188" s="25" t="n"/>
      <c r="H188" s="24" t="n"/>
      <c r="I188" s="25" t="n"/>
      <c r="J188" s="17">
        <f>IF(AND(C188="",D188="",G188=""),"",IF(NOT(ISNUMBER(B188)),"Needs a date",IF(AND(D188&lt;&gt;"",NOT(ISNUMBER(D188))),"Amount not a number",IF(N(D188)&lt;0,"Amount below zero",IF(AND(N(D188)=0,G188=""),"Needs an amount or goods",IF(C188="","",IF(COUNTIF(Donors!$B$6:$B$305,C188)=0,"Not on Donors","")))))))</f>
        <v/>
      </c>
      <c r="K188" s="1">
        <f>IF(ISNUMBER(B188),YEAR(B188),"")</f>
        <v/>
      </c>
      <c r="L188">
        <f>IF(ISNUMBER(B188),YEAR(B188)*100+MONTH(B188),"")</f>
        <v/>
      </c>
      <c r="M188">
        <f>IF(ISNUMBER(B188),INT(B188),0)</f>
        <v/>
      </c>
      <c r="N188">
        <f>IF(OR(C188="",F188="",Q188=0),0,IF(COUNTIFS(C$6:C188,C188,F$6:F188,F188,Q$6:Q188,1)=1,1,0))</f>
        <v/>
      </c>
      <c r="O188">
        <f>IF(OR(C188="",Q188=0,H188&lt;&gt;""),"",M188*10000+ROW())</f>
        <v/>
      </c>
      <c r="P188">
        <f>IF(OR(C188="",Q188=0),"",IF(AND(C188=Statement!$C$4,K188=Statement!$C$5),M188*10000+ROW(),""))</f>
        <v/>
      </c>
      <c r="Q188">
        <f>IF(AND(ISNUMBER(B188),OR(N(D188)&gt;0,G188&lt;&gt;"")),1,0)</f>
        <v/>
      </c>
    </row>
    <row r="189">
      <c r="A189" s="1" t="n"/>
      <c r="B189" s="21" t="n"/>
      <c r="C189" s="22" t="n"/>
      <c r="D189" s="23" t="n"/>
      <c r="E189" s="24" t="n"/>
      <c r="F189" s="25" t="n"/>
      <c r="G189" s="25" t="n"/>
      <c r="H189" s="24" t="n"/>
      <c r="I189" s="25" t="n"/>
      <c r="J189" s="17">
        <f>IF(AND(C189="",D189="",G189=""),"",IF(NOT(ISNUMBER(B189)),"Needs a date",IF(AND(D189&lt;&gt;"",NOT(ISNUMBER(D189))),"Amount not a number",IF(N(D189)&lt;0,"Amount below zero",IF(AND(N(D189)=0,G189=""),"Needs an amount or goods",IF(C189="","",IF(COUNTIF(Donors!$B$6:$B$305,C189)=0,"Not on Donors","")))))))</f>
        <v/>
      </c>
      <c r="K189" s="1">
        <f>IF(ISNUMBER(B189),YEAR(B189),"")</f>
        <v/>
      </c>
      <c r="L189">
        <f>IF(ISNUMBER(B189),YEAR(B189)*100+MONTH(B189),"")</f>
        <v/>
      </c>
      <c r="M189">
        <f>IF(ISNUMBER(B189),INT(B189),0)</f>
        <v/>
      </c>
      <c r="N189">
        <f>IF(OR(C189="",F189="",Q189=0),0,IF(COUNTIFS(C$6:C189,C189,F$6:F189,F189,Q$6:Q189,1)=1,1,0))</f>
        <v/>
      </c>
      <c r="O189">
        <f>IF(OR(C189="",Q189=0,H189&lt;&gt;""),"",M189*10000+ROW())</f>
        <v/>
      </c>
      <c r="P189">
        <f>IF(OR(C189="",Q189=0),"",IF(AND(C189=Statement!$C$4,K189=Statement!$C$5),M189*10000+ROW(),""))</f>
        <v/>
      </c>
      <c r="Q189">
        <f>IF(AND(ISNUMBER(B189),OR(N(D189)&gt;0,G189&lt;&gt;"")),1,0)</f>
        <v/>
      </c>
    </row>
    <row r="190">
      <c r="A190" s="1" t="n"/>
      <c r="B190" s="21" t="n"/>
      <c r="C190" s="22" t="n"/>
      <c r="D190" s="23" t="n"/>
      <c r="E190" s="24" t="n"/>
      <c r="F190" s="25" t="n"/>
      <c r="G190" s="25" t="n"/>
      <c r="H190" s="24" t="n"/>
      <c r="I190" s="25" t="n"/>
      <c r="J190" s="17">
        <f>IF(AND(C190="",D190="",G190=""),"",IF(NOT(ISNUMBER(B190)),"Needs a date",IF(AND(D190&lt;&gt;"",NOT(ISNUMBER(D190))),"Amount not a number",IF(N(D190)&lt;0,"Amount below zero",IF(AND(N(D190)=0,G190=""),"Needs an amount or goods",IF(C190="","",IF(COUNTIF(Donors!$B$6:$B$305,C190)=0,"Not on Donors","")))))))</f>
        <v/>
      </c>
      <c r="K190" s="1">
        <f>IF(ISNUMBER(B190),YEAR(B190),"")</f>
        <v/>
      </c>
      <c r="L190">
        <f>IF(ISNUMBER(B190),YEAR(B190)*100+MONTH(B190),"")</f>
        <v/>
      </c>
      <c r="M190">
        <f>IF(ISNUMBER(B190),INT(B190),0)</f>
        <v/>
      </c>
      <c r="N190">
        <f>IF(OR(C190="",F190="",Q190=0),0,IF(COUNTIFS(C$6:C190,C190,F$6:F190,F190,Q$6:Q190,1)=1,1,0))</f>
        <v/>
      </c>
      <c r="O190">
        <f>IF(OR(C190="",Q190=0,H190&lt;&gt;""),"",M190*10000+ROW())</f>
        <v/>
      </c>
      <c r="P190">
        <f>IF(OR(C190="",Q190=0),"",IF(AND(C190=Statement!$C$4,K190=Statement!$C$5),M190*10000+ROW(),""))</f>
        <v/>
      </c>
      <c r="Q190">
        <f>IF(AND(ISNUMBER(B190),OR(N(D190)&gt;0,G190&lt;&gt;"")),1,0)</f>
        <v/>
      </c>
    </row>
    <row r="191">
      <c r="A191" s="1" t="n"/>
      <c r="B191" s="21" t="n"/>
      <c r="C191" s="22" t="n"/>
      <c r="D191" s="23" t="n"/>
      <c r="E191" s="24" t="n"/>
      <c r="F191" s="25" t="n"/>
      <c r="G191" s="25" t="n"/>
      <c r="H191" s="24" t="n"/>
      <c r="I191" s="25" t="n"/>
      <c r="J191" s="17">
        <f>IF(AND(C191="",D191="",G191=""),"",IF(NOT(ISNUMBER(B191)),"Needs a date",IF(AND(D191&lt;&gt;"",NOT(ISNUMBER(D191))),"Amount not a number",IF(N(D191)&lt;0,"Amount below zero",IF(AND(N(D191)=0,G191=""),"Needs an amount or goods",IF(C191="","",IF(COUNTIF(Donors!$B$6:$B$305,C191)=0,"Not on Donors","")))))))</f>
        <v/>
      </c>
      <c r="K191" s="1">
        <f>IF(ISNUMBER(B191),YEAR(B191),"")</f>
        <v/>
      </c>
      <c r="L191">
        <f>IF(ISNUMBER(B191),YEAR(B191)*100+MONTH(B191),"")</f>
        <v/>
      </c>
      <c r="M191">
        <f>IF(ISNUMBER(B191),INT(B191),0)</f>
        <v/>
      </c>
      <c r="N191">
        <f>IF(OR(C191="",F191="",Q191=0),0,IF(COUNTIFS(C$6:C191,C191,F$6:F191,F191,Q$6:Q191,1)=1,1,0))</f>
        <v/>
      </c>
      <c r="O191">
        <f>IF(OR(C191="",Q191=0,H191&lt;&gt;""),"",M191*10000+ROW())</f>
        <v/>
      </c>
      <c r="P191">
        <f>IF(OR(C191="",Q191=0),"",IF(AND(C191=Statement!$C$4,K191=Statement!$C$5),M191*10000+ROW(),""))</f>
        <v/>
      </c>
      <c r="Q191">
        <f>IF(AND(ISNUMBER(B191),OR(N(D191)&gt;0,G191&lt;&gt;"")),1,0)</f>
        <v/>
      </c>
    </row>
    <row r="192">
      <c r="A192" s="1" t="n"/>
      <c r="B192" s="21" t="n"/>
      <c r="C192" s="22" t="n"/>
      <c r="D192" s="23" t="n"/>
      <c r="E192" s="24" t="n"/>
      <c r="F192" s="25" t="n"/>
      <c r="G192" s="25" t="n"/>
      <c r="H192" s="24" t="n"/>
      <c r="I192" s="25" t="n"/>
      <c r="J192" s="17">
        <f>IF(AND(C192="",D192="",G192=""),"",IF(NOT(ISNUMBER(B192)),"Needs a date",IF(AND(D192&lt;&gt;"",NOT(ISNUMBER(D192))),"Amount not a number",IF(N(D192)&lt;0,"Amount below zero",IF(AND(N(D192)=0,G192=""),"Needs an amount or goods",IF(C192="","",IF(COUNTIF(Donors!$B$6:$B$305,C192)=0,"Not on Donors","")))))))</f>
        <v/>
      </c>
      <c r="K192" s="1">
        <f>IF(ISNUMBER(B192),YEAR(B192),"")</f>
        <v/>
      </c>
      <c r="L192">
        <f>IF(ISNUMBER(B192),YEAR(B192)*100+MONTH(B192),"")</f>
        <v/>
      </c>
      <c r="M192">
        <f>IF(ISNUMBER(B192),INT(B192),0)</f>
        <v/>
      </c>
      <c r="N192">
        <f>IF(OR(C192="",F192="",Q192=0),0,IF(COUNTIFS(C$6:C192,C192,F$6:F192,F192,Q$6:Q192,1)=1,1,0))</f>
        <v/>
      </c>
      <c r="O192">
        <f>IF(OR(C192="",Q192=0,H192&lt;&gt;""),"",M192*10000+ROW())</f>
        <v/>
      </c>
      <c r="P192">
        <f>IF(OR(C192="",Q192=0),"",IF(AND(C192=Statement!$C$4,K192=Statement!$C$5),M192*10000+ROW(),""))</f>
        <v/>
      </c>
      <c r="Q192">
        <f>IF(AND(ISNUMBER(B192),OR(N(D192)&gt;0,G192&lt;&gt;"")),1,0)</f>
        <v/>
      </c>
    </row>
    <row r="193">
      <c r="A193" s="1" t="n"/>
      <c r="B193" s="21" t="n"/>
      <c r="C193" s="22" t="n"/>
      <c r="D193" s="23" t="n"/>
      <c r="E193" s="24" t="n"/>
      <c r="F193" s="25" t="n"/>
      <c r="G193" s="25" t="n"/>
      <c r="H193" s="24" t="n"/>
      <c r="I193" s="25" t="n"/>
      <c r="J193" s="17">
        <f>IF(AND(C193="",D193="",G193=""),"",IF(NOT(ISNUMBER(B193)),"Needs a date",IF(AND(D193&lt;&gt;"",NOT(ISNUMBER(D193))),"Amount not a number",IF(N(D193)&lt;0,"Amount below zero",IF(AND(N(D193)=0,G193=""),"Needs an amount or goods",IF(C193="","",IF(COUNTIF(Donors!$B$6:$B$305,C193)=0,"Not on Donors","")))))))</f>
        <v/>
      </c>
      <c r="K193" s="1">
        <f>IF(ISNUMBER(B193),YEAR(B193),"")</f>
        <v/>
      </c>
      <c r="L193">
        <f>IF(ISNUMBER(B193),YEAR(B193)*100+MONTH(B193),"")</f>
        <v/>
      </c>
      <c r="M193">
        <f>IF(ISNUMBER(B193),INT(B193),0)</f>
        <v/>
      </c>
      <c r="N193">
        <f>IF(OR(C193="",F193="",Q193=0),0,IF(COUNTIFS(C$6:C193,C193,F$6:F193,F193,Q$6:Q193,1)=1,1,0))</f>
        <v/>
      </c>
      <c r="O193">
        <f>IF(OR(C193="",Q193=0,H193&lt;&gt;""),"",M193*10000+ROW())</f>
        <v/>
      </c>
      <c r="P193">
        <f>IF(OR(C193="",Q193=0),"",IF(AND(C193=Statement!$C$4,K193=Statement!$C$5),M193*10000+ROW(),""))</f>
        <v/>
      </c>
      <c r="Q193">
        <f>IF(AND(ISNUMBER(B193),OR(N(D193)&gt;0,G193&lt;&gt;"")),1,0)</f>
        <v/>
      </c>
    </row>
    <row r="194">
      <c r="A194" s="1" t="n"/>
      <c r="B194" s="21" t="n"/>
      <c r="C194" s="22" t="n"/>
      <c r="D194" s="23" t="n"/>
      <c r="E194" s="24" t="n"/>
      <c r="F194" s="25" t="n"/>
      <c r="G194" s="25" t="n"/>
      <c r="H194" s="24" t="n"/>
      <c r="I194" s="25" t="n"/>
      <c r="J194" s="17">
        <f>IF(AND(C194="",D194="",G194=""),"",IF(NOT(ISNUMBER(B194)),"Needs a date",IF(AND(D194&lt;&gt;"",NOT(ISNUMBER(D194))),"Amount not a number",IF(N(D194)&lt;0,"Amount below zero",IF(AND(N(D194)=0,G194=""),"Needs an amount or goods",IF(C194="","",IF(COUNTIF(Donors!$B$6:$B$305,C194)=0,"Not on Donors","")))))))</f>
        <v/>
      </c>
      <c r="K194" s="1">
        <f>IF(ISNUMBER(B194),YEAR(B194),"")</f>
        <v/>
      </c>
      <c r="L194">
        <f>IF(ISNUMBER(B194),YEAR(B194)*100+MONTH(B194),"")</f>
        <v/>
      </c>
      <c r="M194">
        <f>IF(ISNUMBER(B194),INT(B194),0)</f>
        <v/>
      </c>
      <c r="N194">
        <f>IF(OR(C194="",F194="",Q194=0),0,IF(COUNTIFS(C$6:C194,C194,F$6:F194,F194,Q$6:Q194,1)=1,1,0))</f>
        <v/>
      </c>
      <c r="O194">
        <f>IF(OR(C194="",Q194=0,H194&lt;&gt;""),"",M194*10000+ROW())</f>
        <v/>
      </c>
      <c r="P194">
        <f>IF(OR(C194="",Q194=0),"",IF(AND(C194=Statement!$C$4,K194=Statement!$C$5),M194*10000+ROW(),""))</f>
        <v/>
      </c>
      <c r="Q194">
        <f>IF(AND(ISNUMBER(B194),OR(N(D194)&gt;0,G194&lt;&gt;"")),1,0)</f>
        <v/>
      </c>
    </row>
    <row r="195">
      <c r="A195" s="1" t="n"/>
      <c r="B195" s="21" t="n"/>
      <c r="C195" s="22" t="n"/>
      <c r="D195" s="23" t="n"/>
      <c r="E195" s="24" t="n"/>
      <c r="F195" s="25" t="n"/>
      <c r="G195" s="25" t="n"/>
      <c r="H195" s="24" t="n"/>
      <c r="I195" s="25" t="n"/>
      <c r="J195" s="17">
        <f>IF(AND(C195="",D195="",G195=""),"",IF(NOT(ISNUMBER(B195)),"Needs a date",IF(AND(D195&lt;&gt;"",NOT(ISNUMBER(D195))),"Amount not a number",IF(N(D195)&lt;0,"Amount below zero",IF(AND(N(D195)=0,G195=""),"Needs an amount or goods",IF(C195="","",IF(COUNTIF(Donors!$B$6:$B$305,C195)=0,"Not on Donors","")))))))</f>
        <v/>
      </c>
      <c r="K195" s="1">
        <f>IF(ISNUMBER(B195),YEAR(B195),"")</f>
        <v/>
      </c>
      <c r="L195">
        <f>IF(ISNUMBER(B195),YEAR(B195)*100+MONTH(B195),"")</f>
        <v/>
      </c>
      <c r="M195">
        <f>IF(ISNUMBER(B195),INT(B195),0)</f>
        <v/>
      </c>
      <c r="N195">
        <f>IF(OR(C195="",F195="",Q195=0),0,IF(COUNTIFS(C$6:C195,C195,F$6:F195,F195,Q$6:Q195,1)=1,1,0))</f>
        <v/>
      </c>
      <c r="O195">
        <f>IF(OR(C195="",Q195=0,H195&lt;&gt;""),"",M195*10000+ROW())</f>
        <v/>
      </c>
      <c r="P195">
        <f>IF(OR(C195="",Q195=0),"",IF(AND(C195=Statement!$C$4,K195=Statement!$C$5),M195*10000+ROW(),""))</f>
        <v/>
      </c>
      <c r="Q195">
        <f>IF(AND(ISNUMBER(B195),OR(N(D195)&gt;0,G195&lt;&gt;"")),1,0)</f>
        <v/>
      </c>
    </row>
    <row r="196">
      <c r="A196" s="1" t="n"/>
      <c r="B196" s="21" t="n"/>
      <c r="C196" s="22" t="n"/>
      <c r="D196" s="23" t="n"/>
      <c r="E196" s="24" t="n"/>
      <c r="F196" s="25" t="n"/>
      <c r="G196" s="25" t="n"/>
      <c r="H196" s="24" t="n"/>
      <c r="I196" s="25" t="n"/>
      <c r="J196" s="17">
        <f>IF(AND(C196="",D196="",G196=""),"",IF(NOT(ISNUMBER(B196)),"Needs a date",IF(AND(D196&lt;&gt;"",NOT(ISNUMBER(D196))),"Amount not a number",IF(N(D196)&lt;0,"Amount below zero",IF(AND(N(D196)=0,G196=""),"Needs an amount or goods",IF(C196="","",IF(COUNTIF(Donors!$B$6:$B$305,C196)=0,"Not on Donors","")))))))</f>
        <v/>
      </c>
      <c r="K196" s="1">
        <f>IF(ISNUMBER(B196),YEAR(B196),"")</f>
        <v/>
      </c>
      <c r="L196">
        <f>IF(ISNUMBER(B196),YEAR(B196)*100+MONTH(B196),"")</f>
        <v/>
      </c>
      <c r="M196">
        <f>IF(ISNUMBER(B196),INT(B196),0)</f>
        <v/>
      </c>
      <c r="N196">
        <f>IF(OR(C196="",F196="",Q196=0),0,IF(COUNTIFS(C$6:C196,C196,F$6:F196,F196,Q$6:Q196,1)=1,1,0))</f>
        <v/>
      </c>
      <c r="O196">
        <f>IF(OR(C196="",Q196=0,H196&lt;&gt;""),"",M196*10000+ROW())</f>
        <v/>
      </c>
      <c r="P196">
        <f>IF(OR(C196="",Q196=0),"",IF(AND(C196=Statement!$C$4,K196=Statement!$C$5),M196*10000+ROW(),""))</f>
        <v/>
      </c>
      <c r="Q196">
        <f>IF(AND(ISNUMBER(B196),OR(N(D196)&gt;0,G196&lt;&gt;"")),1,0)</f>
        <v/>
      </c>
    </row>
    <row r="197">
      <c r="A197" s="1" t="n"/>
      <c r="B197" s="21" t="n"/>
      <c r="C197" s="22" t="n"/>
      <c r="D197" s="23" t="n"/>
      <c r="E197" s="24" t="n"/>
      <c r="F197" s="25" t="n"/>
      <c r="G197" s="25" t="n"/>
      <c r="H197" s="24" t="n"/>
      <c r="I197" s="25" t="n"/>
      <c r="J197" s="17">
        <f>IF(AND(C197="",D197="",G197=""),"",IF(NOT(ISNUMBER(B197)),"Needs a date",IF(AND(D197&lt;&gt;"",NOT(ISNUMBER(D197))),"Amount not a number",IF(N(D197)&lt;0,"Amount below zero",IF(AND(N(D197)=0,G197=""),"Needs an amount or goods",IF(C197="","",IF(COUNTIF(Donors!$B$6:$B$305,C197)=0,"Not on Donors","")))))))</f>
        <v/>
      </c>
      <c r="K197" s="1">
        <f>IF(ISNUMBER(B197),YEAR(B197),"")</f>
        <v/>
      </c>
      <c r="L197">
        <f>IF(ISNUMBER(B197),YEAR(B197)*100+MONTH(B197),"")</f>
        <v/>
      </c>
      <c r="M197">
        <f>IF(ISNUMBER(B197),INT(B197),0)</f>
        <v/>
      </c>
      <c r="N197">
        <f>IF(OR(C197="",F197="",Q197=0),0,IF(COUNTIFS(C$6:C197,C197,F$6:F197,F197,Q$6:Q197,1)=1,1,0))</f>
        <v/>
      </c>
      <c r="O197">
        <f>IF(OR(C197="",Q197=0,H197&lt;&gt;""),"",M197*10000+ROW())</f>
        <v/>
      </c>
      <c r="P197">
        <f>IF(OR(C197="",Q197=0),"",IF(AND(C197=Statement!$C$4,K197=Statement!$C$5),M197*10000+ROW(),""))</f>
        <v/>
      </c>
      <c r="Q197">
        <f>IF(AND(ISNUMBER(B197),OR(N(D197)&gt;0,G197&lt;&gt;"")),1,0)</f>
        <v/>
      </c>
    </row>
    <row r="198">
      <c r="A198" s="1" t="n"/>
      <c r="B198" s="21" t="n"/>
      <c r="C198" s="22" t="n"/>
      <c r="D198" s="23" t="n"/>
      <c r="E198" s="24" t="n"/>
      <c r="F198" s="25" t="n"/>
      <c r="G198" s="25" t="n"/>
      <c r="H198" s="24" t="n"/>
      <c r="I198" s="25" t="n"/>
      <c r="J198" s="17">
        <f>IF(AND(C198="",D198="",G198=""),"",IF(NOT(ISNUMBER(B198)),"Needs a date",IF(AND(D198&lt;&gt;"",NOT(ISNUMBER(D198))),"Amount not a number",IF(N(D198)&lt;0,"Amount below zero",IF(AND(N(D198)=0,G198=""),"Needs an amount or goods",IF(C198="","",IF(COUNTIF(Donors!$B$6:$B$305,C198)=0,"Not on Donors","")))))))</f>
        <v/>
      </c>
      <c r="K198" s="1">
        <f>IF(ISNUMBER(B198),YEAR(B198),"")</f>
        <v/>
      </c>
      <c r="L198">
        <f>IF(ISNUMBER(B198),YEAR(B198)*100+MONTH(B198),"")</f>
        <v/>
      </c>
      <c r="M198">
        <f>IF(ISNUMBER(B198),INT(B198),0)</f>
        <v/>
      </c>
      <c r="N198">
        <f>IF(OR(C198="",F198="",Q198=0),0,IF(COUNTIFS(C$6:C198,C198,F$6:F198,F198,Q$6:Q198,1)=1,1,0))</f>
        <v/>
      </c>
      <c r="O198">
        <f>IF(OR(C198="",Q198=0,H198&lt;&gt;""),"",M198*10000+ROW())</f>
        <v/>
      </c>
      <c r="P198">
        <f>IF(OR(C198="",Q198=0),"",IF(AND(C198=Statement!$C$4,K198=Statement!$C$5),M198*10000+ROW(),""))</f>
        <v/>
      </c>
      <c r="Q198">
        <f>IF(AND(ISNUMBER(B198),OR(N(D198)&gt;0,G198&lt;&gt;"")),1,0)</f>
        <v/>
      </c>
    </row>
    <row r="199">
      <c r="A199" s="1" t="n"/>
      <c r="B199" s="21" t="n"/>
      <c r="C199" s="22" t="n"/>
      <c r="D199" s="23" t="n"/>
      <c r="E199" s="24" t="n"/>
      <c r="F199" s="25" t="n"/>
      <c r="G199" s="25" t="n"/>
      <c r="H199" s="24" t="n"/>
      <c r="I199" s="25" t="n"/>
      <c r="J199" s="17">
        <f>IF(AND(C199="",D199="",G199=""),"",IF(NOT(ISNUMBER(B199)),"Needs a date",IF(AND(D199&lt;&gt;"",NOT(ISNUMBER(D199))),"Amount not a number",IF(N(D199)&lt;0,"Amount below zero",IF(AND(N(D199)=0,G199=""),"Needs an amount or goods",IF(C199="","",IF(COUNTIF(Donors!$B$6:$B$305,C199)=0,"Not on Donors","")))))))</f>
        <v/>
      </c>
      <c r="K199" s="1">
        <f>IF(ISNUMBER(B199),YEAR(B199),"")</f>
        <v/>
      </c>
      <c r="L199">
        <f>IF(ISNUMBER(B199),YEAR(B199)*100+MONTH(B199),"")</f>
        <v/>
      </c>
      <c r="M199">
        <f>IF(ISNUMBER(B199),INT(B199),0)</f>
        <v/>
      </c>
      <c r="N199">
        <f>IF(OR(C199="",F199="",Q199=0),0,IF(COUNTIFS(C$6:C199,C199,F$6:F199,F199,Q$6:Q199,1)=1,1,0))</f>
        <v/>
      </c>
      <c r="O199">
        <f>IF(OR(C199="",Q199=0,H199&lt;&gt;""),"",M199*10000+ROW())</f>
        <v/>
      </c>
      <c r="P199">
        <f>IF(OR(C199="",Q199=0),"",IF(AND(C199=Statement!$C$4,K199=Statement!$C$5),M199*10000+ROW(),""))</f>
        <v/>
      </c>
      <c r="Q199">
        <f>IF(AND(ISNUMBER(B199),OR(N(D199)&gt;0,G199&lt;&gt;"")),1,0)</f>
        <v/>
      </c>
    </row>
    <row r="200">
      <c r="A200" s="1" t="n"/>
      <c r="B200" s="21" t="n"/>
      <c r="C200" s="22" t="n"/>
      <c r="D200" s="23" t="n"/>
      <c r="E200" s="24" t="n"/>
      <c r="F200" s="25" t="n"/>
      <c r="G200" s="25" t="n"/>
      <c r="H200" s="24" t="n"/>
      <c r="I200" s="25" t="n"/>
      <c r="J200" s="17">
        <f>IF(AND(C200="",D200="",G200=""),"",IF(NOT(ISNUMBER(B200)),"Needs a date",IF(AND(D200&lt;&gt;"",NOT(ISNUMBER(D200))),"Amount not a number",IF(N(D200)&lt;0,"Amount below zero",IF(AND(N(D200)=0,G200=""),"Needs an amount or goods",IF(C200="","",IF(COUNTIF(Donors!$B$6:$B$305,C200)=0,"Not on Donors","")))))))</f>
        <v/>
      </c>
      <c r="K200" s="1">
        <f>IF(ISNUMBER(B200),YEAR(B200),"")</f>
        <v/>
      </c>
      <c r="L200">
        <f>IF(ISNUMBER(B200),YEAR(B200)*100+MONTH(B200),"")</f>
        <v/>
      </c>
      <c r="M200">
        <f>IF(ISNUMBER(B200),INT(B200),0)</f>
        <v/>
      </c>
      <c r="N200">
        <f>IF(OR(C200="",F200="",Q200=0),0,IF(COUNTIFS(C$6:C200,C200,F$6:F200,F200,Q$6:Q200,1)=1,1,0))</f>
        <v/>
      </c>
      <c r="O200">
        <f>IF(OR(C200="",Q200=0,H200&lt;&gt;""),"",M200*10000+ROW())</f>
        <v/>
      </c>
      <c r="P200">
        <f>IF(OR(C200="",Q200=0),"",IF(AND(C200=Statement!$C$4,K200=Statement!$C$5),M200*10000+ROW(),""))</f>
        <v/>
      </c>
      <c r="Q200">
        <f>IF(AND(ISNUMBER(B200),OR(N(D200)&gt;0,G200&lt;&gt;"")),1,0)</f>
        <v/>
      </c>
    </row>
    <row r="201">
      <c r="A201" s="1" t="n"/>
      <c r="B201" s="21" t="n"/>
      <c r="C201" s="22" t="n"/>
      <c r="D201" s="23" t="n"/>
      <c r="E201" s="24" t="n"/>
      <c r="F201" s="25" t="n"/>
      <c r="G201" s="25" t="n"/>
      <c r="H201" s="24" t="n"/>
      <c r="I201" s="25" t="n"/>
      <c r="J201" s="17">
        <f>IF(AND(C201="",D201="",G201=""),"",IF(NOT(ISNUMBER(B201)),"Needs a date",IF(AND(D201&lt;&gt;"",NOT(ISNUMBER(D201))),"Amount not a number",IF(N(D201)&lt;0,"Amount below zero",IF(AND(N(D201)=0,G201=""),"Needs an amount or goods",IF(C201="","",IF(COUNTIF(Donors!$B$6:$B$305,C201)=0,"Not on Donors","")))))))</f>
        <v/>
      </c>
      <c r="K201" s="1">
        <f>IF(ISNUMBER(B201),YEAR(B201),"")</f>
        <v/>
      </c>
      <c r="L201">
        <f>IF(ISNUMBER(B201),YEAR(B201)*100+MONTH(B201),"")</f>
        <v/>
      </c>
      <c r="M201">
        <f>IF(ISNUMBER(B201),INT(B201),0)</f>
        <v/>
      </c>
      <c r="N201">
        <f>IF(OR(C201="",F201="",Q201=0),0,IF(COUNTIFS(C$6:C201,C201,F$6:F201,F201,Q$6:Q201,1)=1,1,0))</f>
        <v/>
      </c>
      <c r="O201">
        <f>IF(OR(C201="",Q201=0,H201&lt;&gt;""),"",M201*10000+ROW())</f>
        <v/>
      </c>
      <c r="P201">
        <f>IF(OR(C201="",Q201=0),"",IF(AND(C201=Statement!$C$4,K201=Statement!$C$5),M201*10000+ROW(),""))</f>
        <v/>
      </c>
      <c r="Q201">
        <f>IF(AND(ISNUMBER(B201),OR(N(D201)&gt;0,G201&lt;&gt;"")),1,0)</f>
        <v/>
      </c>
    </row>
    <row r="202">
      <c r="A202" s="1" t="n"/>
      <c r="B202" s="21" t="n"/>
      <c r="C202" s="22" t="n"/>
      <c r="D202" s="23" t="n"/>
      <c r="E202" s="24" t="n"/>
      <c r="F202" s="25" t="n"/>
      <c r="G202" s="25" t="n"/>
      <c r="H202" s="24" t="n"/>
      <c r="I202" s="25" t="n"/>
      <c r="J202" s="17">
        <f>IF(AND(C202="",D202="",G202=""),"",IF(NOT(ISNUMBER(B202)),"Needs a date",IF(AND(D202&lt;&gt;"",NOT(ISNUMBER(D202))),"Amount not a number",IF(N(D202)&lt;0,"Amount below zero",IF(AND(N(D202)=0,G202=""),"Needs an amount or goods",IF(C202="","",IF(COUNTIF(Donors!$B$6:$B$305,C202)=0,"Not on Donors","")))))))</f>
        <v/>
      </c>
      <c r="K202" s="1">
        <f>IF(ISNUMBER(B202),YEAR(B202),"")</f>
        <v/>
      </c>
      <c r="L202">
        <f>IF(ISNUMBER(B202),YEAR(B202)*100+MONTH(B202),"")</f>
        <v/>
      </c>
      <c r="M202">
        <f>IF(ISNUMBER(B202),INT(B202),0)</f>
        <v/>
      </c>
      <c r="N202">
        <f>IF(OR(C202="",F202="",Q202=0),0,IF(COUNTIFS(C$6:C202,C202,F$6:F202,F202,Q$6:Q202,1)=1,1,0))</f>
        <v/>
      </c>
      <c r="O202">
        <f>IF(OR(C202="",Q202=0,H202&lt;&gt;""),"",M202*10000+ROW())</f>
        <v/>
      </c>
      <c r="P202">
        <f>IF(OR(C202="",Q202=0),"",IF(AND(C202=Statement!$C$4,K202=Statement!$C$5),M202*10000+ROW(),""))</f>
        <v/>
      </c>
      <c r="Q202">
        <f>IF(AND(ISNUMBER(B202),OR(N(D202)&gt;0,G202&lt;&gt;"")),1,0)</f>
        <v/>
      </c>
    </row>
    <row r="203">
      <c r="A203" s="1" t="n"/>
      <c r="B203" s="21" t="n"/>
      <c r="C203" s="22" t="n"/>
      <c r="D203" s="23" t="n"/>
      <c r="E203" s="24" t="n"/>
      <c r="F203" s="25" t="n"/>
      <c r="G203" s="25" t="n"/>
      <c r="H203" s="24" t="n"/>
      <c r="I203" s="25" t="n"/>
      <c r="J203" s="17">
        <f>IF(AND(C203="",D203="",G203=""),"",IF(NOT(ISNUMBER(B203)),"Needs a date",IF(AND(D203&lt;&gt;"",NOT(ISNUMBER(D203))),"Amount not a number",IF(N(D203)&lt;0,"Amount below zero",IF(AND(N(D203)=0,G203=""),"Needs an amount or goods",IF(C203="","",IF(COUNTIF(Donors!$B$6:$B$305,C203)=0,"Not on Donors","")))))))</f>
        <v/>
      </c>
      <c r="K203" s="1">
        <f>IF(ISNUMBER(B203),YEAR(B203),"")</f>
        <v/>
      </c>
      <c r="L203">
        <f>IF(ISNUMBER(B203),YEAR(B203)*100+MONTH(B203),"")</f>
        <v/>
      </c>
      <c r="M203">
        <f>IF(ISNUMBER(B203),INT(B203),0)</f>
        <v/>
      </c>
      <c r="N203">
        <f>IF(OR(C203="",F203="",Q203=0),0,IF(COUNTIFS(C$6:C203,C203,F$6:F203,F203,Q$6:Q203,1)=1,1,0))</f>
        <v/>
      </c>
      <c r="O203">
        <f>IF(OR(C203="",Q203=0,H203&lt;&gt;""),"",M203*10000+ROW())</f>
        <v/>
      </c>
      <c r="P203">
        <f>IF(OR(C203="",Q203=0),"",IF(AND(C203=Statement!$C$4,K203=Statement!$C$5),M203*10000+ROW(),""))</f>
        <v/>
      </c>
      <c r="Q203">
        <f>IF(AND(ISNUMBER(B203),OR(N(D203)&gt;0,G203&lt;&gt;"")),1,0)</f>
        <v/>
      </c>
    </row>
    <row r="204">
      <c r="A204" s="1" t="n"/>
      <c r="B204" s="21" t="n"/>
      <c r="C204" s="22" t="n"/>
      <c r="D204" s="23" t="n"/>
      <c r="E204" s="24" t="n"/>
      <c r="F204" s="25" t="n"/>
      <c r="G204" s="25" t="n"/>
      <c r="H204" s="24" t="n"/>
      <c r="I204" s="25" t="n"/>
      <c r="J204" s="17">
        <f>IF(AND(C204="",D204="",G204=""),"",IF(NOT(ISNUMBER(B204)),"Needs a date",IF(AND(D204&lt;&gt;"",NOT(ISNUMBER(D204))),"Amount not a number",IF(N(D204)&lt;0,"Amount below zero",IF(AND(N(D204)=0,G204=""),"Needs an amount or goods",IF(C204="","",IF(COUNTIF(Donors!$B$6:$B$305,C204)=0,"Not on Donors","")))))))</f>
        <v/>
      </c>
      <c r="K204" s="1">
        <f>IF(ISNUMBER(B204),YEAR(B204),"")</f>
        <v/>
      </c>
      <c r="L204">
        <f>IF(ISNUMBER(B204),YEAR(B204)*100+MONTH(B204),"")</f>
        <v/>
      </c>
      <c r="M204">
        <f>IF(ISNUMBER(B204),INT(B204),0)</f>
        <v/>
      </c>
      <c r="N204">
        <f>IF(OR(C204="",F204="",Q204=0),0,IF(COUNTIFS(C$6:C204,C204,F$6:F204,F204,Q$6:Q204,1)=1,1,0))</f>
        <v/>
      </c>
      <c r="O204">
        <f>IF(OR(C204="",Q204=0,H204&lt;&gt;""),"",M204*10000+ROW())</f>
        <v/>
      </c>
      <c r="P204">
        <f>IF(OR(C204="",Q204=0),"",IF(AND(C204=Statement!$C$4,K204=Statement!$C$5),M204*10000+ROW(),""))</f>
        <v/>
      </c>
      <c r="Q204">
        <f>IF(AND(ISNUMBER(B204),OR(N(D204)&gt;0,G204&lt;&gt;"")),1,0)</f>
        <v/>
      </c>
    </row>
    <row r="205">
      <c r="A205" s="1" t="n"/>
      <c r="B205" s="21" t="n"/>
      <c r="C205" s="22" t="n"/>
      <c r="D205" s="23" t="n"/>
      <c r="E205" s="24" t="n"/>
      <c r="F205" s="25" t="n"/>
      <c r="G205" s="25" t="n"/>
      <c r="H205" s="24" t="n"/>
      <c r="I205" s="25" t="n"/>
      <c r="J205" s="17">
        <f>IF(AND(C205="",D205="",G205=""),"",IF(NOT(ISNUMBER(B205)),"Needs a date",IF(AND(D205&lt;&gt;"",NOT(ISNUMBER(D205))),"Amount not a number",IF(N(D205)&lt;0,"Amount below zero",IF(AND(N(D205)=0,G205=""),"Needs an amount or goods",IF(C205="","",IF(COUNTIF(Donors!$B$6:$B$305,C205)=0,"Not on Donors","")))))))</f>
        <v/>
      </c>
      <c r="K205" s="1">
        <f>IF(ISNUMBER(B205),YEAR(B205),"")</f>
        <v/>
      </c>
      <c r="L205">
        <f>IF(ISNUMBER(B205),YEAR(B205)*100+MONTH(B205),"")</f>
        <v/>
      </c>
      <c r="M205">
        <f>IF(ISNUMBER(B205),INT(B205),0)</f>
        <v/>
      </c>
      <c r="N205">
        <f>IF(OR(C205="",F205="",Q205=0),0,IF(COUNTIFS(C$6:C205,C205,F$6:F205,F205,Q$6:Q205,1)=1,1,0))</f>
        <v/>
      </c>
      <c r="O205">
        <f>IF(OR(C205="",Q205=0,H205&lt;&gt;""),"",M205*10000+ROW())</f>
        <v/>
      </c>
      <c r="P205">
        <f>IF(OR(C205="",Q205=0),"",IF(AND(C205=Statement!$C$4,K205=Statement!$C$5),M205*10000+ROW(),""))</f>
        <v/>
      </c>
      <c r="Q205">
        <f>IF(AND(ISNUMBER(B205),OR(N(D205)&gt;0,G205&lt;&gt;"")),1,0)</f>
        <v/>
      </c>
    </row>
    <row r="206">
      <c r="A206" s="1" t="n"/>
      <c r="B206" s="21" t="n"/>
      <c r="C206" s="22" t="n"/>
      <c r="D206" s="23" t="n"/>
      <c r="E206" s="24" t="n"/>
      <c r="F206" s="25" t="n"/>
      <c r="G206" s="25" t="n"/>
      <c r="H206" s="24" t="n"/>
      <c r="I206" s="25" t="n"/>
      <c r="J206" s="17">
        <f>IF(AND(C206="",D206="",G206=""),"",IF(NOT(ISNUMBER(B206)),"Needs a date",IF(AND(D206&lt;&gt;"",NOT(ISNUMBER(D206))),"Amount not a number",IF(N(D206)&lt;0,"Amount below zero",IF(AND(N(D206)=0,G206=""),"Needs an amount or goods",IF(C206="","",IF(COUNTIF(Donors!$B$6:$B$305,C206)=0,"Not on Donors","")))))))</f>
        <v/>
      </c>
      <c r="K206" s="1">
        <f>IF(ISNUMBER(B206),YEAR(B206),"")</f>
        <v/>
      </c>
      <c r="L206">
        <f>IF(ISNUMBER(B206),YEAR(B206)*100+MONTH(B206),"")</f>
        <v/>
      </c>
      <c r="M206">
        <f>IF(ISNUMBER(B206),INT(B206),0)</f>
        <v/>
      </c>
      <c r="N206">
        <f>IF(OR(C206="",F206="",Q206=0),0,IF(COUNTIFS(C$6:C206,C206,F$6:F206,F206,Q$6:Q206,1)=1,1,0))</f>
        <v/>
      </c>
      <c r="O206">
        <f>IF(OR(C206="",Q206=0,H206&lt;&gt;""),"",M206*10000+ROW())</f>
        <v/>
      </c>
      <c r="P206">
        <f>IF(OR(C206="",Q206=0),"",IF(AND(C206=Statement!$C$4,K206=Statement!$C$5),M206*10000+ROW(),""))</f>
        <v/>
      </c>
      <c r="Q206">
        <f>IF(AND(ISNUMBER(B206),OR(N(D206)&gt;0,G206&lt;&gt;"")),1,0)</f>
        <v/>
      </c>
    </row>
    <row r="207">
      <c r="A207" s="1" t="n"/>
      <c r="B207" s="21" t="n"/>
      <c r="C207" s="22" t="n"/>
      <c r="D207" s="23" t="n"/>
      <c r="E207" s="24" t="n"/>
      <c r="F207" s="25" t="n"/>
      <c r="G207" s="25" t="n"/>
      <c r="H207" s="24" t="n"/>
      <c r="I207" s="25" t="n"/>
      <c r="J207" s="17">
        <f>IF(AND(C207="",D207="",G207=""),"",IF(NOT(ISNUMBER(B207)),"Needs a date",IF(AND(D207&lt;&gt;"",NOT(ISNUMBER(D207))),"Amount not a number",IF(N(D207)&lt;0,"Amount below zero",IF(AND(N(D207)=0,G207=""),"Needs an amount or goods",IF(C207="","",IF(COUNTIF(Donors!$B$6:$B$305,C207)=0,"Not on Donors","")))))))</f>
        <v/>
      </c>
      <c r="K207" s="1">
        <f>IF(ISNUMBER(B207),YEAR(B207),"")</f>
        <v/>
      </c>
      <c r="L207">
        <f>IF(ISNUMBER(B207),YEAR(B207)*100+MONTH(B207),"")</f>
        <v/>
      </c>
      <c r="M207">
        <f>IF(ISNUMBER(B207),INT(B207),0)</f>
        <v/>
      </c>
      <c r="N207">
        <f>IF(OR(C207="",F207="",Q207=0),0,IF(COUNTIFS(C$6:C207,C207,F$6:F207,F207,Q$6:Q207,1)=1,1,0))</f>
        <v/>
      </c>
      <c r="O207">
        <f>IF(OR(C207="",Q207=0,H207&lt;&gt;""),"",M207*10000+ROW())</f>
        <v/>
      </c>
      <c r="P207">
        <f>IF(OR(C207="",Q207=0),"",IF(AND(C207=Statement!$C$4,K207=Statement!$C$5),M207*10000+ROW(),""))</f>
        <v/>
      </c>
      <c r="Q207">
        <f>IF(AND(ISNUMBER(B207),OR(N(D207)&gt;0,G207&lt;&gt;"")),1,0)</f>
        <v/>
      </c>
    </row>
    <row r="208">
      <c r="A208" s="1" t="n"/>
      <c r="B208" s="21" t="n"/>
      <c r="C208" s="22" t="n"/>
      <c r="D208" s="23" t="n"/>
      <c r="E208" s="24" t="n"/>
      <c r="F208" s="25" t="n"/>
      <c r="G208" s="25" t="n"/>
      <c r="H208" s="24" t="n"/>
      <c r="I208" s="25" t="n"/>
      <c r="J208" s="17">
        <f>IF(AND(C208="",D208="",G208=""),"",IF(NOT(ISNUMBER(B208)),"Needs a date",IF(AND(D208&lt;&gt;"",NOT(ISNUMBER(D208))),"Amount not a number",IF(N(D208)&lt;0,"Amount below zero",IF(AND(N(D208)=0,G208=""),"Needs an amount or goods",IF(C208="","",IF(COUNTIF(Donors!$B$6:$B$305,C208)=0,"Not on Donors","")))))))</f>
        <v/>
      </c>
      <c r="K208" s="1">
        <f>IF(ISNUMBER(B208),YEAR(B208),"")</f>
        <v/>
      </c>
      <c r="L208">
        <f>IF(ISNUMBER(B208),YEAR(B208)*100+MONTH(B208),"")</f>
        <v/>
      </c>
      <c r="M208">
        <f>IF(ISNUMBER(B208),INT(B208),0)</f>
        <v/>
      </c>
      <c r="N208">
        <f>IF(OR(C208="",F208="",Q208=0),0,IF(COUNTIFS(C$6:C208,C208,F$6:F208,F208,Q$6:Q208,1)=1,1,0))</f>
        <v/>
      </c>
      <c r="O208">
        <f>IF(OR(C208="",Q208=0,H208&lt;&gt;""),"",M208*10000+ROW())</f>
        <v/>
      </c>
      <c r="P208">
        <f>IF(OR(C208="",Q208=0),"",IF(AND(C208=Statement!$C$4,K208=Statement!$C$5),M208*10000+ROW(),""))</f>
        <v/>
      </c>
      <c r="Q208">
        <f>IF(AND(ISNUMBER(B208),OR(N(D208)&gt;0,G208&lt;&gt;"")),1,0)</f>
        <v/>
      </c>
    </row>
    <row r="209">
      <c r="A209" s="1" t="n"/>
      <c r="B209" s="21" t="n"/>
      <c r="C209" s="22" t="n"/>
      <c r="D209" s="23" t="n"/>
      <c r="E209" s="24" t="n"/>
      <c r="F209" s="25" t="n"/>
      <c r="G209" s="25" t="n"/>
      <c r="H209" s="24" t="n"/>
      <c r="I209" s="25" t="n"/>
      <c r="J209" s="17">
        <f>IF(AND(C209="",D209="",G209=""),"",IF(NOT(ISNUMBER(B209)),"Needs a date",IF(AND(D209&lt;&gt;"",NOT(ISNUMBER(D209))),"Amount not a number",IF(N(D209)&lt;0,"Amount below zero",IF(AND(N(D209)=0,G209=""),"Needs an amount or goods",IF(C209="","",IF(COUNTIF(Donors!$B$6:$B$305,C209)=0,"Not on Donors","")))))))</f>
        <v/>
      </c>
      <c r="K209" s="1">
        <f>IF(ISNUMBER(B209),YEAR(B209),"")</f>
        <v/>
      </c>
      <c r="L209">
        <f>IF(ISNUMBER(B209),YEAR(B209)*100+MONTH(B209),"")</f>
        <v/>
      </c>
      <c r="M209">
        <f>IF(ISNUMBER(B209),INT(B209),0)</f>
        <v/>
      </c>
      <c r="N209">
        <f>IF(OR(C209="",F209="",Q209=0),0,IF(COUNTIFS(C$6:C209,C209,F$6:F209,F209,Q$6:Q209,1)=1,1,0))</f>
        <v/>
      </c>
      <c r="O209">
        <f>IF(OR(C209="",Q209=0,H209&lt;&gt;""),"",M209*10000+ROW())</f>
        <v/>
      </c>
      <c r="P209">
        <f>IF(OR(C209="",Q209=0),"",IF(AND(C209=Statement!$C$4,K209=Statement!$C$5),M209*10000+ROW(),""))</f>
        <v/>
      </c>
      <c r="Q209">
        <f>IF(AND(ISNUMBER(B209),OR(N(D209)&gt;0,G209&lt;&gt;"")),1,0)</f>
        <v/>
      </c>
    </row>
    <row r="210">
      <c r="A210" s="1" t="n"/>
      <c r="B210" s="21" t="n"/>
      <c r="C210" s="22" t="n"/>
      <c r="D210" s="23" t="n"/>
      <c r="E210" s="24" t="n"/>
      <c r="F210" s="25" t="n"/>
      <c r="G210" s="25" t="n"/>
      <c r="H210" s="24" t="n"/>
      <c r="I210" s="25" t="n"/>
      <c r="J210" s="17">
        <f>IF(AND(C210="",D210="",G210=""),"",IF(NOT(ISNUMBER(B210)),"Needs a date",IF(AND(D210&lt;&gt;"",NOT(ISNUMBER(D210))),"Amount not a number",IF(N(D210)&lt;0,"Amount below zero",IF(AND(N(D210)=0,G210=""),"Needs an amount or goods",IF(C210="","",IF(COUNTIF(Donors!$B$6:$B$305,C210)=0,"Not on Donors","")))))))</f>
        <v/>
      </c>
      <c r="K210" s="1">
        <f>IF(ISNUMBER(B210),YEAR(B210),"")</f>
        <v/>
      </c>
      <c r="L210">
        <f>IF(ISNUMBER(B210),YEAR(B210)*100+MONTH(B210),"")</f>
        <v/>
      </c>
      <c r="M210">
        <f>IF(ISNUMBER(B210),INT(B210),0)</f>
        <v/>
      </c>
      <c r="N210">
        <f>IF(OR(C210="",F210="",Q210=0),0,IF(COUNTIFS(C$6:C210,C210,F$6:F210,F210,Q$6:Q210,1)=1,1,0))</f>
        <v/>
      </c>
      <c r="O210">
        <f>IF(OR(C210="",Q210=0,H210&lt;&gt;""),"",M210*10000+ROW())</f>
        <v/>
      </c>
      <c r="P210">
        <f>IF(OR(C210="",Q210=0),"",IF(AND(C210=Statement!$C$4,K210=Statement!$C$5),M210*10000+ROW(),""))</f>
        <v/>
      </c>
      <c r="Q210">
        <f>IF(AND(ISNUMBER(B210),OR(N(D210)&gt;0,G210&lt;&gt;"")),1,0)</f>
        <v/>
      </c>
    </row>
    <row r="211">
      <c r="A211" s="1" t="n"/>
      <c r="B211" s="21" t="n"/>
      <c r="C211" s="22" t="n"/>
      <c r="D211" s="23" t="n"/>
      <c r="E211" s="24" t="n"/>
      <c r="F211" s="25" t="n"/>
      <c r="G211" s="25" t="n"/>
      <c r="H211" s="24" t="n"/>
      <c r="I211" s="25" t="n"/>
      <c r="J211" s="17">
        <f>IF(AND(C211="",D211="",G211=""),"",IF(NOT(ISNUMBER(B211)),"Needs a date",IF(AND(D211&lt;&gt;"",NOT(ISNUMBER(D211))),"Amount not a number",IF(N(D211)&lt;0,"Amount below zero",IF(AND(N(D211)=0,G211=""),"Needs an amount or goods",IF(C211="","",IF(COUNTIF(Donors!$B$6:$B$305,C211)=0,"Not on Donors","")))))))</f>
        <v/>
      </c>
      <c r="K211" s="1">
        <f>IF(ISNUMBER(B211),YEAR(B211),"")</f>
        <v/>
      </c>
      <c r="L211">
        <f>IF(ISNUMBER(B211),YEAR(B211)*100+MONTH(B211),"")</f>
        <v/>
      </c>
      <c r="M211">
        <f>IF(ISNUMBER(B211),INT(B211),0)</f>
        <v/>
      </c>
      <c r="N211">
        <f>IF(OR(C211="",F211="",Q211=0),0,IF(COUNTIFS(C$6:C211,C211,F$6:F211,F211,Q$6:Q211,1)=1,1,0))</f>
        <v/>
      </c>
      <c r="O211">
        <f>IF(OR(C211="",Q211=0,H211&lt;&gt;""),"",M211*10000+ROW())</f>
        <v/>
      </c>
      <c r="P211">
        <f>IF(OR(C211="",Q211=0),"",IF(AND(C211=Statement!$C$4,K211=Statement!$C$5),M211*10000+ROW(),""))</f>
        <v/>
      </c>
      <c r="Q211">
        <f>IF(AND(ISNUMBER(B211),OR(N(D211)&gt;0,G211&lt;&gt;"")),1,0)</f>
        <v/>
      </c>
    </row>
    <row r="212">
      <c r="A212" s="1" t="n"/>
      <c r="B212" s="21" t="n"/>
      <c r="C212" s="22" t="n"/>
      <c r="D212" s="23" t="n"/>
      <c r="E212" s="24" t="n"/>
      <c r="F212" s="25" t="n"/>
      <c r="G212" s="25" t="n"/>
      <c r="H212" s="24" t="n"/>
      <c r="I212" s="25" t="n"/>
      <c r="J212" s="17">
        <f>IF(AND(C212="",D212="",G212=""),"",IF(NOT(ISNUMBER(B212)),"Needs a date",IF(AND(D212&lt;&gt;"",NOT(ISNUMBER(D212))),"Amount not a number",IF(N(D212)&lt;0,"Amount below zero",IF(AND(N(D212)=0,G212=""),"Needs an amount or goods",IF(C212="","",IF(COUNTIF(Donors!$B$6:$B$305,C212)=0,"Not on Donors","")))))))</f>
        <v/>
      </c>
      <c r="K212" s="1">
        <f>IF(ISNUMBER(B212),YEAR(B212),"")</f>
        <v/>
      </c>
      <c r="L212">
        <f>IF(ISNUMBER(B212),YEAR(B212)*100+MONTH(B212),"")</f>
        <v/>
      </c>
      <c r="M212">
        <f>IF(ISNUMBER(B212),INT(B212),0)</f>
        <v/>
      </c>
      <c r="N212">
        <f>IF(OR(C212="",F212="",Q212=0),0,IF(COUNTIFS(C$6:C212,C212,F$6:F212,F212,Q$6:Q212,1)=1,1,0))</f>
        <v/>
      </c>
      <c r="O212">
        <f>IF(OR(C212="",Q212=0,H212&lt;&gt;""),"",M212*10000+ROW())</f>
        <v/>
      </c>
      <c r="P212">
        <f>IF(OR(C212="",Q212=0),"",IF(AND(C212=Statement!$C$4,K212=Statement!$C$5),M212*10000+ROW(),""))</f>
        <v/>
      </c>
      <c r="Q212">
        <f>IF(AND(ISNUMBER(B212),OR(N(D212)&gt;0,G212&lt;&gt;"")),1,0)</f>
        <v/>
      </c>
    </row>
    <row r="213">
      <c r="A213" s="1" t="n"/>
      <c r="B213" s="21" t="n"/>
      <c r="C213" s="22" t="n"/>
      <c r="D213" s="23" t="n"/>
      <c r="E213" s="24" t="n"/>
      <c r="F213" s="25" t="n"/>
      <c r="G213" s="25" t="n"/>
      <c r="H213" s="24" t="n"/>
      <c r="I213" s="25" t="n"/>
      <c r="J213" s="17">
        <f>IF(AND(C213="",D213="",G213=""),"",IF(NOT(ISNUMBER(B213)),"Needs a date",IF(AND(D213&lt;&gt;"",NOT(ISNUMBER(D213))),"Amount not a number",IF(N(D213)&lt;0,"Amount below zero",IF(AND(N(D213)=0,G213=""),"Needs an amount or goods",IF(C213="","",IF(COUNTIF(Donors!$B$6:$B$305,C213)=0,"Not on Donors","")))))))</f>
        <v/>
      </c>
      <c r="K213" s="1">
        <f>IF(ISNUMBER(B213),YEAR(B213),"")</f>
        <v/>
      </c>
      <c r="L213">
        <f>IF(ISNUMBER(B213),YEAR(B213)*100+MONTH(B213),"")</f>
        <v/>
      </c>
      <c r="M213">
        <f>IF(ISNUMBER(B213),INT(B213),0)</f>
        <v/>
      </c>
      <c r="N213">
        <f>IF(OR(C213="",F213="",Q213=0),0,IF(COUNTIFS(C$6:C213,C213,F$6:F213,F213,Q$6:Q213,1)=1,1,0))</f>
        <v/>
      </c>
      <c r="O213">
        <f>IF(OR(C213="",Q213=0,H213&lt;&gt;""),"",M213*10000+ROW())</f>
        <v/>
      </c>
      <c r="P213">
        <f>IF(OR(C213="",Q213=0),"",IF(AND(C213=Statement!$C$4,K213=Statement!$C$5),M213*10000+ROW(),""))</f>
        <v/>
      </c>
      <c r="Q213">
        <f>IF(AND(ISNUMBER(B213),OR(N(D213)&gt;0,G213&lt;&gt;"")),1,0)</f>
        <v/>
      </c>
    </row>
    <row r="214">
      <c r="A214" s="1" t="n"/>
      <c r="B214" s="21" t="n"/>
      <c r="C214" s="22" t="n"/>
      <c r="D214" s="23" t="n"/>
      <c r="E214" s="24" t="n"/>
      <c r="F214" s="25" t="n"/>
      <c r="G214" s="25" t="n"/>
      <c r="H214" s="24" t="n"/>
      <c r="I214" s="25" t="n"/>
      <c r="J214" s="17">
        <f>IF(AND(C214="",D214="",G214=""),"",IF(NOT(ISNUMBER(B214)),"Needs a date",IF(AND(D214&lt;&gt;"",NOT(ISNUMBER(D214))),"Amount not a number",IF(N(D214)&lt;0,"Amount below zero",IF(AND(N(D214)=0,G214=""),"Needs an amount or goods",IF(C214="","",IF(COUNTIF(Donors!$B$6:$B$305,C214)=0,"Not on Donors","")))))))</f>
        <v/>
      </c>
      <c r="K214" s="1">
        <f>IF(ISNUMBER(B214),YEAR(B214),"")</f>
        <v/>
      </c>
      <c r="L214">
        <f>IF(ISNUMBER(B214),YEAR(B214)*100+MONTH(B214),"")</f>
        <v/>
      </c>
      <c r="M214">
        <f>IF(ISNUMBER(B214),INT(B214),0)</f>
        <v/>
      </c>
      <c r="N214">
        <f>IF(OR(C214="",F214="",Q214=0),0,IF(COUNTIFS(C$6:C214,C214,F$6:F214,F214,Q$6:Q214,1)=1,1,0))</f>
        <v/>
      </c>
      <c r="O214">
        <f>IF(OR(C214="",Q214=0,H214&lt;&gt;""),"",M214*10000+ROW())</f>
        <v/>
      </c>
      <c r="P214">
        <f>IF(OR(C214="",Q214=0),"",IF(AND(C214=Statement!$C$4,K214=Statement!$C$5),M214*10000+ROW(),""))</f>
        <v/>
      </c>
      <c r="Q214">
        <f>IF(AND(ISNUMBER(B214),OR(N(D214)&gt;0,G214&lt;&gt;"")),1,0)</f>
        <v/>
      </c>
    </row>
    <row r="215">
      <c r="A215" s="1" t="n"/>
      <c r="B215" s="21" t="n"/>
      <c r="C215" s="22" t="n"/>
      <c r="D215" s="23" t="n"/>
      <c r="E215" s="24" t="n"/>
      <c r="F215" s="25" t="n"/>
      <c r="G215" s="25" t="n"/>
      <c r="H215" s="24" t="n"/>
      <c r="I215" s="25" t="n"/>
      <c r="J215" s="17">
        <f>IF(AND(C215="",D215="",G215=""),"",IF(NOT(ISNUMBER(B215)),"Needs a date",IF(AND(D215&lt;&gt;"",NOT(ISNUMBER(D215))),"Amount not a number",IF(N(D215)&lt;0,"Amount below zero",IF(AND(N(D215)=0,G215=""),"Needs an amount or goods",IF(C215="","",IF(COUNTIF(Donors!$B$6:$B$305,C215)=0,"Not on Donors","")))))))</f>
        <v/>
      </c>
      <c r="K215" s="1">
        <f>IF(ISNUMBER(B215),YEAR(B215),"")</f>
        <v/>
      </c>
      <c r="L215">
        <f>IF(ISNUMBER(B215),YEAR(B215)*100+MONTH(B215),"")</f>
        <v/>
      </c>
      <c r="M215">
        <f>IF(ISNUMBER(B215),INT(B215),0)</f>
        <v/>
      </c>
      <c r="N215">
        <f>IF(OR(C215="",F215="",Q215=0),0,IF(COUNTIFS(C$6:C215,C215,F$6:F215,F215,Q$6:Q215,1)=1,1,0))</f>
        <v/>
      </c>
      <c r="O215">
        <f>IF(OR(C215="",Q215=0,H215&lt;&gt;""),"",M215*10000+ROW())</f>
        <v/>
      </c>
      <c r="P215">
        <f>IF(OR(C215="",Q215=0),"",IF(AND(C215=Statement!$C$4,K215=Statement!$C$5),M215*10000+ROW(),""))</f>
        <v/>
      </c>
      <c r="Q215">
        <f>IF(AND(ISNUMBER(B215),OR(N(D215)&gt;0,G215&lt;&gt;"")),1,0)</f>
        <v/>
      </c>
    </row>
    <row r="216">
      <c r="A216" s="1" t="n"/>
      <c r="B216" s="21" t="n"/>
      <c r="C216" s="22" t="n"/>
      <c r="D216" s="23" t="n"/>
      <c r="E216" s="24" t="n"/>
      <c r="F216" s="25" t="n"/>
      <c r="G216" s="25" t="n"/>
      <c r="H216" s="24" t="n"/>
      <c r="I216" s="25" t="n"/>
      <c r="J216" s="17">
        <f>IF(AND(C216="",D216="",G216=""),"",IF(NOT(ISNUMBER(B216)),"Needs a date",IF(AND(D216&lt;&gt;"",NOT(ISNUMBER(D216))),"Amount not a number",IF(N(D216)&lt;0,"Amount below zero",IF(AND(N(D216)=0,G216=""),"Needs an amount or goods",IF(C216="","",IF(COUNTIF(Donors!$B$6:$B$305,C216)=0,"Not on Donors","")))))))</f>
        <v/>
      </c>
      <c r="K216" s="1">
        <f>IF(ISNUMBER(B216),YEAR(B216),"")</f>
        <v/>
      </c>
      <c r="L216">
        <f>IF(ISNUMBER(B216),YEAR(B216)*100+MONTH(B216),"")</f>
        <v/>
      </c>
      <c r="M216">
        <f>IF(ISNUMBER(B216),INT(B216),0)</f>
        <v/>
      </c>
      <c r="N216">
        <f>IF(OR(C216="",F216="",Q216=0),0,IF(COUNTIFS(C$6:C216,C216,F$6:F216,F216,Q$6:Q216,1)=1,1,0))</f>
        <v/>
      </c>
      <c r="O216">
        <f>IF(OR(C216="",Q216=0,H216&lt;&gt;""),"",M216*10000+ROW())</f>
        <v/>
      </c>
      <c r="P216">
        <f>IF(OR(C216="",Q216=0),"",IF(AND(C216=Statement!$C$4,K216=Statement!$C$5),M216*10000+ROW(),""))</f>
        <v/>
      </c>
      <c r="Q216">
        <f>IF(AND(ISNUMBER(B216),OR(N(D216)&gt;0,G216&lt;&gt;"")),1,0)</f>
        <v/>
      </c>
    </row>
    <row r="217">
      <c r="A217" s="1" t="n"/>
      <c r="B217" s="21" t="n"/>
      <c r="C217" s="22" t="n"/>
      <c r="D217" s="23" t="n"/>
      <c r="E217" s="24" t="n"/>
      <c r="F217" s="25" t="n"/>
      <c r="G217" s="25" t="n"/>
      <c r="H217" s="24" t="n"/>
      <c r="I217" s="25" t="n"/>
      <c r="J217" s="17">
        <f>IF(AND(C217="",D217="",G217=""),"",IF(NOT(ISNUMBER(B217)),"Needs a date",IF(AND(D217&lt;&gt;"",NOT(ISNUMBER(D217))),"Amount not a number",IF(N(D217)&lt;0,"Amount below zero",IF(AND(N(D217)=0,G217=""),"Needs an amount or goods",IF(C217="","",IF(COUNTIF(Donors!$B$6:$B$305,C217)=0,"Not on Donors","")))))))</f>
        <v/>
      </c>
      <c r="K217" s="1">
        <f>IF(ISNUMBER(B217),YEAR(B217),"")</f>
        <v/>
      </c>
      <c r="L217">
        <f>IF(ISNUMBER(B217),YEAR(B217)*100+MONTH(B217),"")</f>
        <v/>
      </c>
      <c r="M217">
        <f>IF(ISNUMBER(B217),INT(B217),0)</f>
        <v/>
      </c>
      <c r="N217">
        <f>IF(OR(C217="",F217="",Q217=0),0,IF(COUNTIFS(C$6:C217,C217,F$6:F217,F217,Q$6:Q217,1)=1,1,0))</f>
        <v/>
      </c>
      <c r="O217">
        <f>IF(OR(C217="",Q217=0,H217&lt;&gt;""),"",M217*10000+ROW())</f>
        <v/>
      </c>
      <c r="P217">
        <f>IF(OR(C217="",Q217=0),"",IF(AND(C217=Statement!$C$4,K217=Statement!$C$5),M217*10000+ROW(),""))</f>
        <v/>
      </c>
      <c r="Q217">
        <f>IF(AND(ISNUMBER(B217),OR(N(D217)&gt;0,G217&lt;&gt;"")),1,0)</f>
        <v/>
      </c>
    </row>
    <row r="218">
      <c r="A218" s="1" t="n"/>
      <c r="B218" s="21" t="n"/>
      <c r="C218" s="22" t="n"/>
      <c r="D218" s="23" t="n"/>
      <c r="E218" s="24" t="n"/>
      <c r="F218" s="25" t="n"/>
      <c r="G218" s="25" t="n"/>
      <c r="H218" s="24" t="n"/>
      <c r="I218" s="25" t="n"/>
      <c r="J218" s="17">
        <f>IF(AND(C218="",D218="",G218=""),"",IF(NOT(ISNUMBER(B218)),"Needs a date",IF(AND(D218&lt;&gt;"",NOT(ISNUMBER(D218))),"Amount not a number",IF(N(D218)&lt;0,"Amount below zero",IF(AND(N(D218)=0,G218=""),"Needs an amount or goods",IF(C218="","",IF(COUNTIF(Donors!$B$6:$B$305,C218)=0,"Not on Donors","")))))))</f>
        <v/>
      </c>
      <c r="K218" s="1">
        <f>IF(ISNUMBER(B218),YEAR(B218),"")</f>
        <v/>
      </c>
      <c r="L218">
        <f>IF(ISNUMBER(B218),YEAR(B218)*100+MONTH(B218),"")</f>
        <v/>
      </c>
      <c r="M218">
        <f>IF(ISNUMBER(B218),INT(B218),0)</f>
        <v/>
      </c>
      <c r="N218">
        <f>IF(OR(C218="",F218="",Q218=0),0,IF(COUNTIFS(C$6:C218,C218,F$6:F218,F218,Q$6:Q218,1)=1,1,0))</f>
        <v/>
      </c>
      <c r="O218">
        <f>IF(OR(C218="",Q218=0,H218&lt;&gt;""),"",M218*10000+ROW())</f>
        <v/>
      </c>
      <c r="P218">
        <f>IF(OR(C218="",Q218=0),"",IF(AND(C218=Statement!$C$4,K218=Statement!$C$5),M218*10000+ROW(),""))</f>
        <v/>
      </c>
      <c r="Q218">
        <f>IF(AND(ISNUMBER(B218),OR(N(D218)&gt;0,G218&lt;&gt;"")),1,0)</f>
        <v/>
      </c>
    </row>
    <row r="219">
      <c r="A219" s="1" t="n"/>
      <c r="B219" s="21" t="n"/>
      <c r="C219" s="22" t="n"/>
      <c r="D219" s="23" t="n"/>
      <c r="E219" s="24" t="n"/>
      <c r="F219" s="25" t="n"/>
      <c r="G219" s="25" t="n"/>
      <c r="H219" s="24" t="n"/>
      <c r="I219" s="25" t="n"/>
      <c r="J219" s="17">
        <f>IF(AND(C219="",D219="",G219=""),"",IF(NOT(ISNUMBER(B219)),"Needs a date",IF(AND(D219&lt;&gt;"",NOT(ISNUMBER(D219))),"Amount not a number",IF(N(D219)&lt;0,"Amount below zero",IF(AND(N(D219)=0,G219=""),"Needs an amount or goods",IF(C219="","",IF(COUNTIF(Donors!$B$6:$B$305,C219)=0,"Not on Donors","")))))))</f>
        <v/>
      </c>
      <c r="K219" s="1">
        <f>IF(ISNUMBER(B219),YEAR(B219),"")</f>
        <v/>
      </c>
      <c r="L219">
        <f>IF(ISNUMBER(B219),YEAR(B219)*100+MONTH(B219),"")</f>
        <v/>
      </c>
      <c r="M219">
        <f>IF(ISNUMBER(B219),INT(B219),0)</f>
        <v/>
      </c>
      <c r="N219">
        <f>IF(OR(C219="",F219="",Q219=0),0,IF(COUNTIFS(C$6:C219,C219,F$6:F219,F219,Q$6:Q219,1)=1,1,0))</f>
        <v/>
      </c>
      <c r="O219">
        <f>IF(OR(C219="",Q219=0,H219&lt;&gt;""),"",M219*10000+ROW())</f>
        <v/>
      </c>
      <c r="P219">
        <f>IF(OR(C219="",Q219=0),"",IF(AND(C219=Statement!$C$4,K219=Statement!$C$5),M219*10000+ROW(),""))</f>
        <v/>
      </c>
      <c r="Q219">
        <f>IF(AND(ISNUMBER(B219),OR(N(D219)&gt;0,G219&lt;&gt;"")),1,0)</f>
        <v/>
      </c>
    </row>
    <row r="220">
      <c r="A220" s="1" t="n"/>
      <c r="B220" s="21" t="n"/>
      <c r="C220" s="22" t="n"/>
      <c r="D220" s="23" t="n"/>
      <c r="E220" s="24" t="n"/>
      <c r="F220" s="25" t="n"/>
      <c r="G220" s="25" t="n"/>
      <c r="H220" s="24" t="n"/>
      <c r="I220" s="25" t="n"/>
      <c r="J220" s="17">
        <f>IF(AND(C220="",D220="",G220=""),"",IF(NOT(ISNUMBER(B220)),"Needs a date",IF(AND(D220&lt;&gt;"",NOT(ISNUMBER(D220))),"Amount not a number",IF(N(D220)&lt;0,"Amount below zero",IF(AND(N(D220)=0,G220=""),"Needs an amount or goods",IF(C220="","",IF(COUNTIF(Donors!$B$6:$B$305,C220)=0,"Not on Donors","")))))))</f>
        <v/>
      </c>
      <c r="K220" s="1">
        <f>IF(ISNUMBER(B220),YEAR(B220),"")</f>
        <v/>
      </c>
      <c r="L220">
        <f>IF(ISNUMBER(B220),YEAR(B220)*100+MONTH(B220),"")</f>
        <v/>
      </c>
      <c r="M220">
        <f>IF(ISNUMBER(B220),INT(B220),0)</f>
        <v/>
      </c>
      <c r="N220">
        <f>IF(OR(C220="",F220="",Q220=0),0,IF(COUNTIFS(C$6:C220,C220,F$6:F220,F220,Q$6:Q220,1)=1,1,0))</f>
        <v/>
      </c>
      <c r="O220">
        <f>IF(OR(C220="",Q220=0,H220&lt;&gt;""),"",M220*10000+ROW())</f>
        <v/>
      </c>
      <c r="P220">
        <f>IF(OR(C220="",Q220=0),"",IF(AND(C220=Statement!$C$4,K220=Statement!$C$5),M220*10000+ROW(),""))</f>
        <v/>
      </c>
      <c r="Q220">
        <f>IF(AND(ISNUMBER(B220),OR(N(D220)&gt;0,G220&lt;&gt;"")),1,0)</f>
        <v/>
      </c>
    </row>
    <row r="221">
      <c r="A221" s="1" t="n"/>
      <c r="B221" s="21" t="n"/>
      <c r="C221" s="22" t="n"/>
      <c r="D221" s="23" t="n"/>
      <c r="E221" s="24" t="n"/>
      <c r="F221" s="25" t="n"/>
      <c r="G221" s="25" t="n"/>
      <c r="H221" s="24" t="n"/>
      <c r="I221" s="25" t="n"/>
      <c r="J221" s="17">
        <f>IF(AND(C221="",D221="",G221=""),"",IF(NOT(ISNUMBER(B221)),"Needs a date",IF(AND(D221&lt;&gt;"",NOT(ISNUMBER(D221))),"Amount not a number",IF(N(D221)&lt;0,"Amount below zero",IF(AND(N(D221)=0,G221=""),"Needs an amount or goods",IF(C221="","",IF(COUNTIF(Donors!$B$6:$B$305,C221)=0,"Not on Donors","")))))))</f>
        <v/>
      </c>
      <c r="K221" s="1">
        <f>IF(ISNUMBER(B221),YEAR(B221),"")</f>
        <v/>
      </c>
      <c r="L221">
        <f>IF(ISNUMBER(B221),YEAR(B221)*100+MONTH(B221),"")</f>
        <v/>
      </c>
      <c r="M221">
        <f>IF(ISNUMBER(B221),INT(B221),0)</f>
        <v/>
      </c>
      <c r="N221">
        <f>IF(OR(C221="",F221="",Q221=0),0,IF(COUNTIFS(C$6:C221,C221,F$6:F221,F221,Q$6:Q221,1)=1,1,0))</f>
        <v/>
      </c>
      <c r="O221">
        <f>IF(OR(C221="",Q221=0,H221&lt;&gt;""),"",M221*10000+ROW())</f>
        <v/>
      </c>
      <c r="P221">
        <f>IF(OR(C221="",Q221=0),"",IF(AND(C221=Statement!$C$4,K221=Statement!$C$5),M221*10000+ROW(),""))</f>
        <v/>
      </c>
      <c r="Q221">
        <f>IF(AND(ISNUMBER(B221),OR(N(D221)&gt;0,G221&lt;&gt;"")),1,0)</f>
        <v/>
      </c>
    </row>
    <row r="222">
      <c r="A222" s="1" t="n"/>
      <c r="B222" s="21" t="n"/>
      <c r="C222" s="22" t="n"/>
      <c r="D222" s="23" t="n"/>
      <c r="E222" s="24" t="n"/>
      <c r="F222" s="25" t="n"/>
      <c r="G222" s="25" t="n"/>
      <c r="H222" s="24" t="n"/>
      <c r="I222" s="25" t="n"/>
      <c r="J222" s="17">
        <f>IF(AND(C222="",D222="",G222=""),"",IF(NOT(ISNUMBER(B222)),"Needs a date",IF(AND(D222&lt;&gt;"",NOT(ISNUMBER(D222))),"Amount not a number",IF(N(D222)&lt;0,"Amount below zero",IF(AND(N(D222)=0,G222=""),"Needs an amount or goods",IF(C222="","",IF(COUNTIF(Donors!$B$6:$B$305,C222)=0,"Not on Donors","")))))))</f>
        <v/>
      </c>
      <c r="K222" s="1">
        <f>IF(ISNUMBER(B222),YEAR(B222),"")</f>
        <v/>
      </c>
      <c r="L222">
        <f>IF(ISNUMBER(B222),YEAR(B222)*100+MONTH(B222),"")</f>
        <v/>
      </c>
      <c r="M222">
        <f>IF(ISNUMBER(B222),INT(B222),0)</f>
        <v/>
      </c>
      <c r="N222">
        <f>IF(OR(C222="",F222="",Q222=0),0,IF(COUNTIFS(C$6:C222,C222,F$6:F222,F222,Q$6:Q222,1)=1,1,0))</f>
        <v/>
      </c>
      <c r="O222">
        <f>IF(OR(C222="",Q222=0,H222&lt;&gt;""),"",M222*10000+ROW())</f>
        <v/>
      </c>
      <c r="P222">
        <f>IF(OR(C222="",Q222=0),"",IF(AND(C222=Statement!$C$4,K222=Statement!$C$5),M222*10000+ROW(),""))</f>
        <v/>
      </c>
      <c r="Q222">
        <f>IF(AND(ISNUMBER(B222),OR(N(D222)&gt;0,G222&lt;&gt;"")),1,0)</f>
        <v/>
      </c>
    </row>
    <row r="223">
      <c r="A223" s="1" t="n"/>
      <c r="B223" s="21" t="n"/>
      <c r="C223" s="22" t="n"/>
      <c r="D223" s="23" t="n"/>
      <c r="E223" s="24" t="n"/>
      <c r="F223" s="25" t="n"/>
      <c r="G223" s="25" t="n"/>
      <c r="H223" s="24" t="n"/>
      <c r="I223" s="25" t="n"/>
      <c r="J223" s="17">
        <f>IF(AND(C223="",D223="",G223=""),"",IF(NOT(ISNUMBER(B223)),"Needs a date",IF(AND(D223&lt;&gt;"",NOT(ISNUMBER(D223))),"Amount not a number",IF(N(D223)&lt;0,"Amount below zero",IF(AND(N(D223)=0,G223=""),"Needs an amount or goods",IF(C223="","",IF(COUNTIF(Donors!$B$6:$B$305,C223)=0,"Not on Donors","")))))))</f>
        <v/>
      </c>
      <c r="K223" s="1">
        <f>IF(ISNUMBER(B223),YEAR(B223),"")</f>
        <v/>
      </c>
      <c r="L223">
        <f>IF(ISNUMBER(B223),YEAR(B223)*100+MONTH(B223),"")</f>
        <v/>
      </c>
      <c r="M223">
        <f>IF(ISNUMBER(B223),INT(B223),0)</f>
        <v/>
      </c>
      <c r="N223">
        <f>IF(OR(C223="",F223="",Q223=0),0,IF(COUNTIFS(C$6:C223,C223,F$6:F223,F223,Q$6:Q223,1)=1,1,0))</f>
        <v/>
      </c>
      <c r="O223">
        <f>IF(OR(C223="",Q223=0,H223&lt;&gt;""),"",M223*10000+ROW())</f>
        <v/>
      </c>
      <c r="P223">
        <f>IF(OR(C223="",Q223=0),"",IF(AND(C223=Statement!$C$4,K223=Statement!$C$5),M223*10000+ROW(),""))</f>
        <v/>
      </c>
      <c r="Q223">
        <f>IF(AND(ISNUMBER(B223),OR(N(D223)&gt;0,G223&lt;&gt;"")),1,0)</f>
        <v/>
      </c>
    </row>
    <row r="224">
      <c r="A224" s="1" t="n"/>
      <c r="B224" s="21" t="n"/>
      <c r="C224" s="22" t="n"/>
      <c r="D224" s="23" t="n"/>
      <c r="E224" s="24" t="n"/>
      <c r="F224" s="25" t="n"/>
      <c r="G224" s="25" t="n"/>
      <c r="H224" s="24" t="n"/>
      <c r="I224" s="25" t="n"/>
      <c r="J224" s="17">
        <f>IF(AND(C224="",D224="",G224=""),"",IF(NOT(ISNUMBER(B224)),"Needs a date",IF(AND(D224&lt;&gt;"",NOT(ISNUMBER(D224))),"Amount not a number",IF(N(D224)&lt;0,"Amount below zero",IF(AND(N(D224)=0,G224=""),"Needs an amount or goods",IF(C224="","",IF(COUNTIF(Donors!$B$6:$B$305,C224)=0,"Not on Donors","")))))))</f>
        <v/>
      </c>
      <c r="K224" s="1">
        <f>IF(ISNUMBER(B224),YEAR(B224),"")</f>
        <v/>
      </c>
      <c r="L224">
        <f>IF(ISNUMBER(B224),YEAR(B224)*100+MONTH(B224),"")</f>
        <v/>
      </c>
      <c r="M224">
        <f>IF(ISNUMBER(B224),INT(B224),0)</f>
        <v/>
      </c>
      <c r="N224">
        <f>IF(OR(C224="",F224="",Q224=0),0,IF(COUNTIFS(C$6:C224,C224,F$6:F224,F224,Q$6:Q224,1)=1,1,0))</f>
        <v/>
      </c>
      <c r="O224">
        <f>IF(OR(C224="",Q224=0,H224&lt;&gt;""),"",M224*10000+ROW())</f>
        <v/>
      </c>
      <c r="P224">
        <f>IF(OR(C224="",Q224=0),"",IF(AND(C224=Statement!$C$4,K224=Statement!$C$5),M224*10000+ROW(),""))</f>
        <v/>
      </c>
      <c r="Q224">
        <f>IF(AND(ISNUMBER(B224),OR(N(D224)&gt;0,G224&lt;&gt;"")),1,0)</f>
        <v/>
      </c>
    </row>
    <row r="225">
      <c r="A225" s="1" t="n"/>
      <c r="B225" s="21" t="n"/>
      <c r="C225" s="22" t="n"/>
      <c r="D225" s="23" t="n"/>
      <c r="E225" s="24" t="n"/>
      <c r="F225" s="25" t="n"/>
      <c r="G225" s="25" t="n"/>
      <c r="H225" s="24" t="n"/>
      <c r="I225" s="25" t="n"/>
      <c r="J225" s="17">
        <f>IF(AND(C225="",D225="",G225=""),"",IF(NOT(ISNUMBER(B225)),"Needs a date",IF(AND(D225&lt;&gt;"",NOT(ISNUMBER(D225))),"Amount not a number",IF(N(D225)&lt;0,"Amount below zero",IF(AND(N(D225)=0,G225=""),"Needs an amount or goods",IF(C225="","",IF(COUNTIF(Donors!$B$6:$B$305,C225)=0,"Not on Donors","")))))))</f>
        <v/>
      </c>
      <c r="K225" s="1">
        <f>IF(ISNUMBER(B225),YEAR(B225),"")</f>
        <v/>
      </c>
      <c r="L225">
        <f>IF(ISNUMBER(B225),YEAR(B225)*100+MONTH(B225),"")</f>
        <v/>
      </c>
      <c r="M225">
        <f>IF(ISNUMBER(B225),INT(B225),0)</f>
        <v/>
      </c>
      <c r="N225">
        <f>IF(OR(C225="",F225="",Q225=0),0,IF(COUNTIFS(C$6:C225,C225,F$6:F225,F225,Q$6:Q225,1)=1,1,0))</f>
        <v/>
      </c>
      <c r="O225">
        <f>IF(OR(C225="",Q225=0,H225&lt;&gt;""),"",M225*10000+ROW())</f>
        <v/>
      </c>
      <c r="P225">
        <f>IF(OR(C225="",Q225=0),"",IF(AND(C225=Statement!$C$4,K225=Statement!$C$5),M225*10000+ROW(),""))</f>
        <v/>
      </c>
      <c r="Q225">
        <f>IF(AND(ISNUMBER(B225),OR(N(D225)&gt;0,G225&lt;&gt;"")),1,0)</f>
        <v/>
      </c>
    </row>
    <row r="226">
      <c r="A226" s="1" t="n"/>
      <c r="B226" s="21" t="n"/>
      <c r="C226" s="22" t="n"/>
      <c r="D226" s="23" t="n"/>
      <c r="E226" s="24" t="n"/>
      <c r="F226" s="25" t="n"/>
      <c r="G226" s="25" t="n"/>
      <c r="H226" s="24" t="n"/>
      <c r="I226" s="25" t="n"/>
      <c r="J226" s="17">
        <f>IF(AND(C226="",D226="",G226=""),"",IF(NOT(ISNUMBER(B226)),"Needs a date",IF(AND(D226&lt;&gt;"",NOT(ISNUMBER(D226))),"Amount not a number",IF(N(D226)&lt;0,"Amount below zero",IF(AND(N(D226)=0,G226=""),"Needs an amount or goods",IF(C226="","",IF(COUNTIF(Donors!$B$6:$B$305,C226)=0,"Not on Donors","")))))))</f>
        <v/>
      </c>
      <c r="K226" s="1">
        <f>IF(ISNUMBER(B226),YEAR(B226),"")</f>
        <v/>
      </c>
      <c r="L226">
        <f>IF(ISNUMBER(B226),YEAR(B226)*100+MONTH(B226),"")</f>
        <v/>
      </c>
      <c r="M226">
        <f>IF(ISNUMBER(B226),INT(B226),0)</f>
        <v/>
      </c>
      <c r="N226">
        <f>IF(OR(C226="",F226="",Q226=0),0,IF(COUNTIFS(C$6:C226,C226,F$6:F226,F226,Q$6:Q226,1)=1,1,0))</f>
        <v/>
      </c>
      <c r="O226">
        <f>IF(OR(C226="",Q226=0,H226&lt;&gt;""),"",M226*10000+ROW())</f>
        <v/>
      </c>
      <c r="P226">
        <f>IF(OR(C226="",Q226=0),"",IF(AND(C226=Statement!$C$4,K226=Statement!$C$5),M226*10000+ROW(),""))</f>
        <v/>
      </c>
      <c r="Q226">
        <f>IF(AND(ISNUMBER(B226),OR(N(D226)&gt;0,G226&lt;&gt;"")),1,0)</f>
        <v/>
      </c>
    </row>
    <row r="227">
      <c r="A227" s="1" t="n"/>
      <c r="B227" s="21" t="n"/>
      <c r="C227" s="22" t="n"/>
      <c r="D227" s="23" t="n"/>
      <c r="E227" s="24" t="n"/>
      <c r="F227" s="25" t="n"/>
      <c r="G227" s="25" t="n"/>
      <c r="H227" s="24" t="n"/>
      <c r="I227" s="25" t="n"/>
      <c r="J227" s="17">
        <f>IF(AND(C227="",D227="",G227=""),"",IF(NOT(ISNUMBER(B227)),"Needs a date",IF(AND(D227&lt;&gt;"",NOT(ISNUMBER(D227))),"Amount not a number",IF(N(D227)&lt;0,"Amount below zero",IF(AND(N(D227)=0,G227=""),"Needs an amount or goods",IF(C227="","",IF(COUNTIF(Donors!$B$6:$B$305,C227)=0,"Not on Donors","")))))))</f>
        <v/>
      </c>
      <c r="K227" s="1">
        <f>IF(ISNUMBER(B227),YEAR(B227),"")</f>
        <v/>
      </c>
      <c r="L227">
        <f>IF(ISNUMBER(B227),YEAR(B227)*100+MONTH(B227),"")</f>
        <v/>
      </c>
      <c r="M227">
        <f>IF(ISNUMBER(B227),INT(B227),0)</f>
        <v/>
      </c>
      <c r="N227">
        <f>IF(OR(C227="",F227="",Q227=0),0,IF(COUNTIFS(C$6:C227,C227,F$6:F227,F227,Q$6:Q227,1)=1,1,0))</f>
        <v/>
      </c>
      <c r="O227">
        <f>IF(OR(C227="",Q227=0,H227&lt;&gt;""),"",M227*10000+ROW())</f>
        <v/>
      </c>
      <c r="P227">
        <f>IF(OR(C227="",Q227=0),"",IF(AND(C227=Statement!$C$4,K227=Statement!$C$5),M227*10000+ROW(),""))</f>
        <v/>
      </c>
      <c r="Q227">
        <f>IF(AND(ISNUMBER(B227),OR(N(D227)&gt;0,G227&lt;&gt;"")),1,0)</f>
        <v/>
      </c>
    </row>
    <row r="228">
      <c r="A228" s="1" t="n"/>
      <c r="B228" s="21" t="n"/>
      <c r="C228" s="22" t="n"/>
      <c r="D228" s="23" t="n"/>
      <c r="E228" s="24" t="n"/>
      <c r="F228" s="25" t="n"/>
      <c r="G228" s="25" t="n"/>
      <c r="H228" s="24" t="n"/>
      <c r="I228" s="25" t="n"/>
      <c r="J228" s="17">
        <f>IF(AND(C228="",D228="",G228=""),"",IF(NOT(ISNUMBER(B228)),"Needs a date",IF(AND(D228&lt;&gt;"",NOT(ISNUMBER(D228))),"Amount not a number",IF(N(D228)&lt;0,"Amount below zero",IF(AND(N(D228)=0,G228=""),"Needs an amount or goods",IF(C228="","",IF(COUNTIF(Donors!$B$6:$B$305,C228)=0,"Not on Donors","")))))))</f>
        <v/>
      </c>
      <c r="K228" s="1">
        <f>IF(ISNUMBER(B228),YEAR(B228),"")</f>
        <v/>
      </c>
      <c r="L228">
        <f>IF(ISNUMBER(B228),YEAR(B228)*100+MONTH(B228),"")</f>
        <v/>
      </c>
      <c r="M228">
        <f>IF(ISNUMBER(B228),INT(B228),0)</f>
        <v/>
      </c>
      <c r="N228">
        <f>IF(OR(C228="",F228="",Q228=0),0,IF(COUNTIFS(C$6:C228,C228,F$6:F228,F228,Q$6:Q228,1)=1,1,0))</f>
        <v/>
      </c>
      <c r="O228">
        <f>IF(OR(C228="",Q228=0,H228&lt;&gt;""),"",M228*10000+ROW())</f>
        <v/>
      </c>
      <c r="P228">
        <f>IF(OR(C228="",Q228=0),"",IF(AND(C228=Statement!$C$4,K228=Statement!$C$5),M228*10000+ROW(),""))</f>
        <v/>
      </c>
      <c r="Q228">
        <f>IF(AND(ISNUMBER(B228),OR(N(D228)&gt;0,G228&lt;&gt;"")),1,0)</f>
        <v/>
      </c>
    </row>
    <row r="229">
      <c r="A229" s="1" t="n"/>
      <c r="B229" s="21" t="n"/>
      <c r="C229" s="22" t="n"/>
      <c r="D229" s="23" t="n"/>
      <c r="E229" s="24" t="n"/>
      <c r="F229" s="25" t="n"/>
      <c r="G229" s="25" t="n"/>
      <c r="H229" s="24" t="n"/>
      <c r="I229" s="25" t="n"/>
      <c r="J229" s="17">
        <f>IF(AND(C229="",D229="",G229=""),"",IF(NOT(ISNUMBER(B229)),"Needs a date",IF(AND(D229&lt;&gt;"",NOT(ISNUMBER(D229))),"Amount not a number",IF(N(D229)&lt;0,"Amount below zero",IF(AND(N(D229)=0,G229=""),"Needs an amount or goods",IF(C229="","",IF(COUNTIF(Donors!$B$6:$B$305,C229)=0,"Not on Donors","")))))))</f>
        <v/>
      </c>
      <c r="K229" s="1">
        <f>IF(ISNUMBER(B229),YEAR(B229),"")</f>
        <v/>
      </c>
      <c r="L229">
        <f>IF(ISNUMBER(B229),YEAR(B229)*100+MONTH(B229),"")</f>
        <v/>
      </c>
      <c r="M229">
        <f>IF(ISNUMBER(B229),INT(B229),0)</f>
        <v/>
      </c>
      <c r="N229">
        <f>IF(OR(C229="",F229="",Q229=0),0,IF(COUNTIFS(C$6:C229,C229,F$6:F229,F229,Q$6:Q229,1)=1,1,0))</f>
        <v/>
      </c>
      <c r="O229">
        <f>IF(OR(C229="",Q229=0,H229&lt;&gt;""),"",M229*10000+ROW())</f>
        <v/>
      </c>
      <c r="P229">
        <f>IF(OR(C229="",Q229=0),"",IF(AND(C229=Statement!$C$4,K229=Statement!$C$5),M229*10000+ROW(),""))</f>
        <v/>
      </c>
      <c r="Q229">
        <f>IF(AND(ISNUMBER(B229),OR(N(D229)&gt;0,G229&lt;&gt;"")),1,0)</f>
        <v/>
      </c>
    </row>
    <row r="230">
      <c r="A230" s="1" t="n"/>
      <c r="B230" s="21" t="n"/>
      <c r="C230" s="22" t="n"/>
      <c r="D230" s="23" t="n"/>
      <c r="E230" s="24" t="n"/>
      <c r="F230" s="25" t="n"/>
      <c r="G230" s="25" t="n"/>
      <c r="H230" s="24" t="n"/>
      <c r="I230" s="25" t="n"/>
      <c r="J230" s="17">
        <f>IF(AND(C230="",D230="",G230=""),"",IF(NOT(ISNUMBER(B230)),"Needs a date",IF(AND(D230&lt;&gt;"",NOT(ISNUMBER(D230))),"Amount not a number",IF(N(D230)&lt;0,"Amount below zero",IF(AND(N(D230)=0,G230=""),"Needs an amount or goods",IF(C230="","",IF(COUNTIF(Donors!$B$6:$B$305,C230)=0,"Not on Donors","")))))))</f>
        <v/>
      </c>
      <c r="K230" s="1">
        <f>IF(ISNUMBER(B230),YEAR(B230),"")</f>
        <v/>
      </c>
      <c r="L230">
        <f>IF(ISNUMBER(B230),YEAR(B230)*100+MONTH(B230),"")</f>
        <v/>
      </c>
      <c r="M230">
        <f>IF(ISNUMBER(B230),INT(B230),0)</f>
        <v/>
      </c>
      <c r="N230">
        <f>IF(OR(C230="",F230="",Q230=0),0,IF(COUNTIFS(C$6:C230,C230,F$6:F230,F230,Q$6:Q230,1)=1,1,0))</f>
        <v/>
      </c>
      <c r="O230">
        <f>IF(OR(C230="",Q230=0,H230&lt;&gt;""),"",M230*10000+ROW())</f>
        <v/>
      </c>
      <c r="P230">
        <f>IF(OR(C230="",Q230=0),"",IF(AND(C230=Statement!$C$4,K230=Statement!$C$5),M230*10000+ROW(),""))</f>
        <v/>
      </c>
      <c r="Q230">
        <f>IF(AND(ISNUMBER(B230),OR(N(D230)&gt;0,G230&lt;&gt;"")),1,0)</f>
        <v/>
      </c>
    </row>
    <row r="231">
      <c r="A231" s="1" t="n"/>
      <c r="B231" s="21" t="n"/>
      <c r="C231" s="22" t="n"/>
      <c r="D231" s="23" t="n"/>
      <c r="E231" s="24" t="n"/>
      <c r="F231" s="25" t="n"/>
      <c r="G231" s="25" t="n"/>
      <c r="H231" s="24" t="n"/>
      <c r="I231" s="25" t="n"/>
      <c r="J231" s="17">
        <f>IF(AND(C231="",D231="",G231=""),"",IF(NOT(ISNUMBER(B231)),"Needs a date",IF(AND(D231&lt;&gt;"",NOT(ISNUMBER(D231))),"Amount not a number",IF(N(D231)&lt;0,"Amount below zero",IF(AND(N(D231)=0,G231=""),"Needs an amount or goods",IF(C231="","",IF(COUNTIF(Donors!$B$6:$B$305,C231)=0,"Not on Donors","")))))))</f>
        <v/>
      </c>
      <c r="K231" s="1">
        <f>IF(ISNUMBER(B231),YEAR(B231),"")</f>
        <v/>
      </c>
      <c r="L231">
        <f>IF(ISNUMBER(B231),YEAR(B231)*100+MONTH(B231),"")</f>
        <v/>
      </c>
      <c r="M231">
        <f>IF(ISNUMBER(B231),INT(B231),0)</f>
        <v/>
      </c>
      <c r="N231">
        <f>IF(OR(C231="",F231="",Q231=0),0,IF(COUNTIFS(C$6:C231,C231,F$6:F231,F231,Q$6:Q231,1)=1,1,0))</f>
        <v/>
      </c>
      <c r="O231">
        <f>IF(OR(C231="",Q231=0,H231&lt;&gt;""),"",M231*10000+ROW())</f>
        <v/>
      </c>
      <c r="P231">
        <f>IF(OR(C231="",Q231=0),"",IF(AND(C231=Statement!$C$4,K231=Statement!$C$5),M231*10000+ROW(),""))</f>
        <v/>
      </c>
      <c r="Q231">
        <f>IF(AND(ISNUMBER(B231),OR(N(D231)&gt;0,G231&lt;&gt;"")),1,0)</f>
        <v/>
      </c>
    </row>
    <row r="232">
      <c r="A232" s="1" t="n"/>
      <c r="B232" s="21" t="n"/>
      <c r="C232" s="22" t="n"/>
      <c r="D232" s="23" t="n"/>
      <c r="E232" s="24" t="n"/>
      <c r="F232" s="25" t="n"/>
      <c r="G232" s="25" t="n"/>
      <c r="H232" s="24" t="n"/>
      <c r="I232" s="25" t="n"/>
      <c r="J232" s="17">
        <f>IF(AND(C232="",D232="",G232=""),"",IF(NOT(ISNUMBER(B232)),"Needs a date",IF(AND(D232&lt;&gt;"",NOT(ISNUMBER(D232))),"Amount not a number",IF(N(D232)&lt;0,"Amount below zero",IF(AND(N(D232)=0,G232=""),"Needs an amount or goods",IF(C232="","",IF(COUNTIF(Donors!$B$6:$B$305,C232)=0,"Not on Donors","")))))))</f>
        <v/>
      </c>
      <c r="K232" s="1">
        <f>IF(ISNUMBER(B232),YEAR(B232),"")</f>
        <v/>
      </c>
      <c r="L232">
        <f>IF(ISNUMBER(B232),YEAR(B232)*100+MONTH(B232),"")</f>
        <v/>
      </c>
      <c r="M232">
        <f>IF(ISNUMBER(B232),INT(B232),0)</f>
        <v/>
      </c>
      <c r="N232">
        <f>IF(OR(C232="",F232="",Q232=0),0,IF(COUNTIFS(C$6:C232,C232,F$6:F232,F232,Q$6:Q232,1)=1,1,0))</f>
        <v/>
      </c>
      <c r="O232">
        <f>IF(OR(C232="",Q232=0,H232&lt;&gt;""),"",M232*10000+ROW())</f>
        <v/>
      </c>
      <c r="P232">
        <f>IF(OR(C232="",Q232=0),"",IF(AND(C232=Statement!$C$4,K232=Statement!$C$5),M232*10000+ROW(),""))</f>
        <v/>
      </c>
      <c r="Q232">
        <f>IF(AND(ISNUMBER(B232),OR(N(D232)&gt;0,G232&lt;&gt;"")),1,0)</f>
        <v/>
      </c>
    </row>
    <row r="233">
      <c r="A233" s="1" t="n"/>
      <c r="B233" s="21" t="n"/>
      <c r="C233" s="22" t="n"/>
      <c r="D233" s="23" t="n"/>
      <c r="E233" s="24" t="n"/>
      <c r="F233" s="25" t="n"/>
      <c r="G233" s="25" t="n"/>
      <c r="H233" s="24" t="n"/>
      <c r="I233" s="25" t="n"/>
      <c r="J233" s="17">
        <f>IF(AND(C233="",D233="",G233=""),"",IF(NOT(ISNUMBER(B233)),"Needs a date",IF(AND(D233&lt;&gt;"",NOT(ISNUMBER(D233))),"Amount not a number",IF(N(D233)&lt;0,"Amount below zero",IF(AND(N(D233)=0,G233=""),"Needs an amount or goods",IF(C233="","",IF(COUNTIF(Donors!$B$6:$B$305,C233)=0,"Not on Donors","")))))))</f>
        <v/>
      </c>
      <c r="K233" s="1">
        <f>IF(ISNUMBER(B233),YEAR(B233),"")</f>
        <v/>
      </c>
      <c r="L233">
        <f>IF(ISNUMBER(B233),YEAR(B233)*100+MONTH(B233),"")</f>
        <v/>
      </c>
      <c r="M233">
        <f>IF(ISNUMBER(B233),INT(B233),0)</f>
        <v/>
      </c>
      <c r="N233">
        <f>IF(OR(C233="",F233="",Q233=0),0,IF(COUNTIFS(C$6:C233,C233,F$6:F233,F233,Q$6:Q233,1)=1,1,0))</f>
        <v/>
      </c>
      <c r="O233">
        <f>IF(OR(C233="",Q233=0,H233&lt;&gt;""),"",M233*10000+ROW())</f>
        <v/>
      </c>
      <c r="P233">
        <f>IF(OR(C233="",Q233=0),"",IF(AND(C233=Statement!$C$4,K233=Statement!$C$5),M233*10000+ROW(),""))</f>
        <v/>
      </c>
      <c r="Q233">
        <f>IF(AND(ISNUMBER(B233),OR(N(D233)&gt;0,G233&lt;&gt;"")),1,0)</f>
        <v/>
      </c>
    </row>
    <row r="234">
      <c r="A234" s="1" t="n"/>
      <c r="B234" s="21" t="n"/>
      <c r="C234" s="22" t="n"/>
      <c r="D234" s="23" t="n"/>
      <c r="E234" s="24" t="n"/>
      <c r="F234" s="25" t="n"/>
      <c r="G234" s="25" t="n"/>
      <c r="H234" s="24" t="n"/>
      <c r="I234" s="25" t="n"/>
      <c r="J234" s="17">
        <f>IF(AND(C234="",D234="",G234=""),"",IF(NOT(ISNUMBER(B234)),"Needs a date",IF(AND(D234&lt;&gt;"",NOT(ISNUMBER(D234))),"Amount not a number",IF(N(D234)&lt;0,"Amount below zero",IF(AND(N(D234)=0,G234=""),"Needs an amount or goods",IF(C234="","",IF(COUNTIF(Donors!$B$6:$B$305,C234)=0,"Not on Donors","")))))))</f>
        <v/>
      </c>
      <c r="K234" s="1">
        <f>IF(ISNUMBER(B234),YEAR(B234),"")</f>
        <v/>
      </c>
      <c r="L234">
        <f>IF(ISNUMBER(B234),YEAR(B234)*100+MONTH(B234),"")</f>
        <v/>
      </c>
      <c r="M234">
        <f>IF(ISNUMBER(B234),INT(B234),0)</f>
        <v/>
      </c>
      <c r="N234">
        <f>IF(OR(C234="",F234="",Q234=0),0,IF(COUNTIFS(C$6:C234,C234,F$6:F234,F234,Q$6:Q234,1)=1,1,0))</f>
        <v/>
      </c>
      <c r="O234">
        <f>IF(OR(C234="",Q234=0,H234&lt;&gt;""),"",M234*10000+ROW())</f>
        <v/>
      </c>
      <c r="P234">
        <f>IF(OR(C234="",Q234=0),"",IF(AND(C234=Statement!$C$4,K234=Statement!$C$5),M234*10000+ROW(),""))</f>
        <v/>
      </c>
      <c r="Q234">
        <f>IF(AND(ISNUMBER(B234),OR(N(D234)&gt;0,G234&lt;&gt;"")),1,0)</f>
        <v/>
      </c>
    </row>
    <row r="235">
      <c r="A235" s="1" t="n"/>
      <c r="B235" s="21" t="n"/>
      <c r="C235" s="22" t="n"/>
      <c r="D235" s="23" t="n"/>
      <c r="E235" s="24" t="n"/>
      <c r="F235" s="25" t="n"/>
      <c r="G235" s="25" t="n"/>
      <c r="H235" s="24" t="n"/>
      <c r="I235" s="25" t="n"/>
      <c r="J235" s="17">
        <f>IF(AND(C235="",D235="",G235=""),"",IF(NOT(ISNUMBER(B235)),"Needs a date",IF(AND(D235&lt;&gt;"",NOT(ISNUMBER(D235))),"Amount not a number",IF(N(D235)&lt;0,"Amount below zero",IF(AND(N(D235)=0,G235=""),"Needs an amount or goods",IF(C235="","",IF(COUNTIF(Donors!$B$6:$B$305,C235)=0,"Not on Donors","")))))))</f>
        <v/>
      </c>
      <c r="K235" s="1">
        <f>IF(ISNUMBER(B235),YEAR(B235),"")</f>
        <v/>
      </c>
      <c r="L235">
        <f>IF(ISNUMBER(B235),YEAR(B235)*100+MONTH(B235),"")</f>
        <v/>
      </c>
      <c r="M235">
        <f>IF(ISNUMBER(B235),INT(B235),0)</f>
        <v/>
      </c>
      <c r="N235">
        <f>IF(OR(C235="",F235="",Q235=0),0,IF(COUNTIFS(C$6:C235,C235,F$6:F235,F235,Q$6:Q235,1)=1,1,0))</f>
        <v/>
      </c>
      <c r="O235">
        <f>IF(OR(C235="",Q235=0,H235&lt;&gt;""),"",M235*10000+ROW())</f>
        <v/>
      </c>
      <c r="P235">
        <f>IF(OR(C235="",Q235=0),"",IF(AND(C235=Statement!$C$4,K235=Statement!$C$5),M235*10000+ROW(),""))</f>
        <v/>
      </c>
      <c r="Q235">
        <f>IF(AND(ISNUMBER(B235),OR(N(D235)&gt;0,G235&lt;&gt;"")),1,0)</f>
        <v/>
      </c>
    </row>
    <row r="236">
      <c r="A236" s="1" t="n"/>
      <c r="B236" s="21" t="n"/>
      <c r="C236" s="22" t="n"/>
      <c r="D236" s="23" t="n"/>
      <c r="E236" s="24" t="n"/>
      <c r="F236" s="25" t="n"/>
      <c r="G236" s="25" t="n"/>
      <c r="H236" s="24" t="n"/>
      <c r="I236" s="25" t="n"/>
      <c r="J236" s="17">
        <f>IF(AND(C236="",D236="",G236=""),"",IF(NOT(ISNUMBER(B236)),"Needs a date",IF(AND(D236&lt;&gt;"",NOT(ISNUMBER(D236))),"Amount not a number",IF(N(D236)&lt;0,"Amount below zero",IF(AND(N(D236)=0,G236=""),"Needs an amount or goods",IF(C236="","",IF(COUNTIF(Donors!$B$6:$B$305,C236)=0,"Not on Donors","")))))))</f>
        <v/>
      </c>
      <c r="K236" s="1">
        <f>IF(ISNUMBER(B236),YEAR(B236),"")</f>
        <v/>
      </c>
      <c r="L236">
        <f>IF(ISNUMBER(B236),YEAR(B236)*100+MONTH(B236),"")</f>
        <v/>
      </c>
      <c r="M236">
        <f>IF(ISNUMBER(B236),INT(B236),0)</f>
        <v/>
      </c>
      <c r="N236">
        <f>IF(OR(C236="",F236="",Q236=0),0,IF(COUNTIFS(C$6:C236,C236,F$6:F236,F236,Q$6:Q236,1)=1,1,0))</f>
        <v/>
      </c>
      <c r="O236">
        <f>IF(OR(C236="",Q236=0,H236&lt;&gt;""),"",M236*10000+ROW())</f>
        <v/>
      </c>
      <c r="P236">
        <f>IF(OR(C236="",Q236=0),"",IF(AND(C236=Statement!$C$4,K236=Statement!$C$5),M236*10000+ROW(),""))</f>
        <v/>
      </c>
      <c r="Q236">
        <f>IF(AND(ISNUMBER(B236),OR(N(D236)&gt;0,G236&lt;&gt;"")),1,0)</f>
        <v/>
      </c>
    </row>
    <row r="237">
      <c r="A237" s="1" t="n"/>
      <c r="B237" s="21" t="n"/>
      <c r="C237" s="22" t="n"/>
      <c r="D237" s="23" t="n"/>
      <c r="E237" s="24" t="n"/>
      <c r="F237" s="25" t="n"/>
      <c r="G237" s="25" t="n"/>
      <c r="H237" s="24" t="n"/>
      <c r="I237" s="25" t="n"/>
      <c r="J237" s="17">
        <f>IF(AND(C237="",D237="",G237=""),"",IF(NOT(ISNUMBER(B237)),"Needs a date",IF(AND(D237&lt;&gt;"",NOT(ISNUMBER(D237))),"Amount not a number",IF(N(D237)&lt;0,"Amount below zero",IF(AND(N(D237)=0,G237=""),"Needs an amount or goods",IF(C237="","",IF(COUNTIF(Donors!$B$6:$B$305,C237)=0,"Not on Donors","")))))))</f>
        <v/>
      </c>
      <c r="K237" s="1">
        <f>IF(ISNUMBER(B237),YEAR(B237),"")</f>
        <v/>
      </c>
      <c r="L237">
        <f>IF(ISNUMBER(B237),YEAR(B237)*100+MONTH(B237),"")</f>
        <v/>
      </c>
      <c r="M237">
        <f>IF(ISNUMBER(B237),INT(B237),0)</f>
        <v/>
      </c>
      <c r="N237">
        <f>IF(OR(C237="",F237="",Q237=0),0,IF(COUNTIFS(C$6:C237,C237,F$6:F237,F237,Q$6:Q237,1)=1,1,0))</f>
        <v/>
      </c>
      <c r="O237">
        <f>IF(OR(C237="",Q237=0,H237&lt;&gt;""),"",M237*10000+ROW())</f>
        <v/>
      </c>
      <c r="P237">
        <f>IF(OR(C237="",Q237=0),"",IF(AND(C237=Statement!$C$4,K237=Statement!$C$5),M237*10000+ROW(),""))</f>
        <v/>
      </c>
      <c r="Q237">
        <f>IF(AND(ISNUMBER(B237),OR(N(D237)&gt;0,G237&lt;&gt;"")),1,0)</f>
        <v/>
      </c>
    </row>
    <row r="238">
      <c r="A238" s="1" t="n"/>
      <c r="B238" s="21" t="n"/>
      <c r="C238" s="22" t="n"/>
      <c r="D238" s="23" t="n"/>
      <c r="E238" s="24" t="n"/>
      <c r="F238" s="25" t="n"/>
      <c r="G238" s="25" t="n"/>
      <c r="H238" s="24" t="n"/>
      <c r="I238" s="25" t="n"/>
      <c r="J238" s="17">
        <f>IF(AND(C238="",D238="",G238=""),"",IF(NOT(ISNUMBER(B238)),"Needs a date",IF(AND(D238&lt;&gt;"",NOT(ISNUMBER(D238))),"Amount not a number",IF(N(D238)&lt;0,"Amount below zero",IF(AND(N(D238)=0,G238=""),"Needs an amount or goods",IF(C238="","",IF(COUNTIF(Donors!$B$6:$B$305,C238)=0,"Not on Donors","")))))))</f>
        <v/>
      </c>
      <c r="K238" s="1">
        <f>IF(ISNUMBER(B238),YEAR(B238),"")</f>
        <v/>
      </c>
      <c r="L238">
        <f>IF(ISNUMBER(B238),YEAR(B238)*100+MONTH(B238),"")</f>
        <v/>
      </c>
      <c r="M238">
        <f>IF(ISNUMBER(B238),INT(B238),0)</f>
        <v/>
      </c>
      <c r="N238">
        <f>IF(OR(C238="",F238="",Q238=0),0,IF(COUNTIFS(C$6:C238,C238,F$6:F238,F238,Q$6:Q238,1)=1,1,0))</f>
        <v/>
      </c>
      <c r="O238">
        <f>IF(OR(C238="",Q238=0,H238&lt;&gt;""),"",M238*10000+ROW())</f>
        <v/>
      </c>
      <c r="P238">
        <f>IF(OR(C238="",Q238=0),"",IF(AND(C238=Statement!$C$4,K238=Statement!$C$5),M238*10000+ROW(),""))</f>
        <v/>
      </c>
      <c r="Q238">
        <f>IF(AND(ISNUMBER(B238),OR(N(D238)&gt;0,G238&lt;&gt;"")),1,0)</f>
        <v/>
      </c>
    </row>
    <row r="239">
      <c r="A239" s="1" t="n"/>
      <c r="B239" s="21" t="n"/>
      <c r="C239" s="22" t="n"/>
      <c r="D239" s="23" t="n"/>
      <c r="E239" s="24" t="n"/>
      <c r="F239" s="25" t="n"/>
      <c r="G239" s="25" t="n"/>
      <c r="H239" s="24" t="n"/>
      <c r="I239" s="25" t="n"/>
      <c r="J239" s="17">
        <f>IF(AND(C239="",D239="",G239=""),"",IF(NOT(ISNUMBER(B239)),"Needs a date",IF(AND(D239&lt;&gt;"",NOT(ISNUMBER(D239))),"Amount not a number",IF(N(D239)&lt;0,"Amount below zero",IF(AND(N(D239)=0,G239=""),"Needs an amount or goods",IF(C239="","",IF(COUNTIF(Donors!$B$6:$B$305,C239)=0,"Not on Donors","")))))))</f>
        <v/>
      </c>
      <c r="K239" s="1">
        <f>IF(ISNUMBER(B239),YEAR(B239),"")</f>
        <v/>
      </c>
      <c r="L239">
        <f>IF(ISNUMBER(B239),YEAR(B239)*100+MONTH(B239),"")</f>
        <v/>
      </c>
      <c r="M239">
        <f>IF(ISNUMBER(B239),INT(B239),0)</f>
        <v/>
      </c>
      <c r="N239">
        <f>IF(OR(C239="",F239="",Q239=0),0,IF(COUNTIFS(C$6:C239,C239,F$6:F239,F239,Q$6:Q239,1)=1,1,0))</f>
        <v/>
      </c>
      <c r="O239">
        <f>IF(OR(C239="",Q239=0,H239&lt;&gt;""),"",M239*10000+ROW())</f>
        <v/>
      </c>
      <c r="P239">
        <f>IF(OR(C239="",Q239=0),"",IF(AND(C239=Statement!$C$4,K239=Statement!$C$5),M239*10000+ROW(),""))</f>
        <v/>
      </c>
      <c r="Q239">
        <f>IF(AND(ISNUMBER(B239),OR(N(D239)&gt;0,G239&lt;&gt;"")),1,0)</f>
        <v/>
      </c>
    </row>
    <row r="240">
      <c r="A240" s="1" t="n"/>
      <c r="B240" s="21" t="n"/>
      <c r="C240" s="22" t="n"/>
      <c r="D240" s="23" t="n"/>
      <c r="E240" s="24" t="n"/>
      <c r="F240" s="25" t="n"/>
      <c r="G240" s="25" t="n"/>
      <c r="H240" s="24" t="n"/>
      <c r="I240" s="25" t="n"/>
      <c r="J240" s="17">
        <f>IF(AND(C240="",D240="",G240=""),"",IF(NOT(ISNUMBER(B240)),"Needs a date",IF(AND(D240&lt;&gt;"",NOT(ISNUMBER(D240))),"Amount not a number",IF(N(D240)&lt;0,"Amount below zero",IF(AND(N(D240)=0,G240=""),"Needs an amount or goods",IF(C240="","",IF(COUNTIF(Donors!$B$6:$B$305,C240)=0,"Not on Donors","")))))))</f>
        <v/>
      </c>
      <c r="K240" s="1">
        <f>IF(ISNUMBER(B240),YEAR(B240),"")</f>
        <v/>
      </c>
      <c r="L240">
        <f>IF(ISNUMBER(B240),YEAR(B240)*100+MONTH(B240),"")</f>
        <v/>
      </c>
      <c r="M240">
        <f>IF(ISNUMBER(B240),INT(B240),0)</f>
        <v/>
      </c>
      <c r="N240">
        <f>IF(OR(C240="",F240="",Q240=0),0,IF(COUNTIFS(C$6:C240,C240,F$6:F240,F240,Q$6:Q240,1)=1,1,0))</f>
        <v/>
      </c>
      <c r="O240">
        <f>IF(OR(C240="",Q240=0,H240&lt;&gt;""),"",M240*10000+ROW())</f>
        <v/>
      </c>
      <c r="P240">
        <f>IF(OR(C240="",Q240=0),"",IF(AND(C240=Statement!$C$4,K240=Statement!$C$5),M240*10000+ROW(),""))</f>
        <v/>
      </c>
      <c r="Q240">
        <f>IF(AND(ISNUMBER(B240),OR(N(D240)&gt;0,G240&lt;&gt;"")),1,0)</f>
        <v/>
      </c>
    </row>
    <row r="241">
      <c r="A241" s="1" t="n"/>
      <c r="B241" s="21" t="n"/>
      <c r="C241" s="22" t="n"/>
      <c r="D241" s="23" t="n"/>
      <c r="E241" s="24" t="n"/>
      <c r="F241" s="25" t="n"/>
      <c r="G241" s="25" t="n"/>
      <c r="H241" s="24" t="n"/>
      <c r="I241" s="25" t="n"/>
      <c r="J241" s="17">
        <f>IF(AND(C241="",D241="",G241=""),"",IF(NOT(ISNUMBER(B241)),"Needs a date",IF(AND(D241&lt;&gt;"",NOT(ISNUMBER(D241))),"Amount not a number",IF(N(D241)&lt;0,"Amount below zero",IF(AND(N(D241)=0,G241=""),"Needs an amount or goods",IF(C241="","",IF(COUNTIF(Donors!$B$6:$B$305,C241)=0,"Not on Donors","")))))))</f>
        <v/>
      </c>
      <c r="K241" s="1">
        <f>IF(ISNUMBER(B241),YEAR(B241),"")</f>
        <v/>
      </c>
      <c r="L241">
        <f>IF(ISNUMBER(B241),YEAR(B241)*100+MONTH(B241),"")</f>
        <v/>
      </c>
      <c r="M241">
        <f>IF(ISNUMBER(B241),INT(B241),0)</f>
        <v/>
      </c>
      <c r="N241">
        <f>IF(OR(C241="",F241="",Q241=0),0,IF(COUNTIFS(C$6:C241,C241,F$6:F241,F241,Q$6:Q241,1)=1,1,0))</f>
        <v/>
      </c>
      <c r="O241">
        <f>IF(OR(C241="",Q241=0,H241&lt;&gt;""),"",M241*10000+ROW())</f>
        <v/>
      </c>
      <c r="P241">
        <f>IF(OR(C241="",Q241=0),"",IF(AND(C241=Statement!$C$4,K241=Statement!$C$5),M241*10000+ROW(),""))</f>
        <v/>
      </c>
      <c r="Q241">
        <f>IF(AND(ISNUMBER(B241),OR(N(D241)&gt;0,G241&lt;&gt;"")),1,0)</f>
        <v/>
      </c>
    </row>
    <row r="242">
      <c r="A242" s="1" t="n"/>
      <c r="B242" s="21" t="n"/>
      <c r="C242" s="22" t="n"/>
      <c r="D242" s="23" t="n"/>
      <c r="E242" s="24" t="n"/>
      <c r="F242" s="25" t="n"/>
      <c r="G242" s="25" t="n"/>
      <c r="H242" s="24" t="n"/>
      <c r="I242" s="25" t="n"/>
      <c r="J242" s="17">
        <f>IF(AND(C242="",D242="",G242=""),"",IF(NOT(ISNUMBER(B242)),"Needs a date",IF(AND(D242&lt;&gt;"",NOT(ISNUMBER(D242))),"Amount not a number",IF(N(D242)&lt;0,"Amount below zero",IF(AND(N(D242)=0,G242=""),"Needs an amount or goods",IF(C242="","",IF(COUNTIF(Donors!$B$6:$B$305,C242)=0,"Not on Donors","")))))))</f>
        <v/>
      </c>
      <c r="K242" s="1">
        <f>IF(ISNUMBER(B242),YEAR(B242),"")</f>
        <v/>
      </c>
      <c r="L242">
        <f>IF(ISNUMBER(B242),YEAR(B242)*100+MONTH(B242),"")</f>
        <v/>
      </c>
      <c r="M242">
        <f>IF(ISNUMBER(B242),INT(B242),0)</f>
        <v/>
      </c>
      <c r="N242">
        <f>IF(OR(C242="",F242="",Q242=0),0,IF(COUNTIFS(C$6:C242,C242,F$6:F242,F242,Q$6:Q242,1)=1,1,0))</f>
        <v/>
      </c>
      <c r="O242">
        <f>IF(OR(C242="",Q242=0,H242&lt;&gt;""),"",M242*10000+ROW())</f>
        <v/>
      </c>
      <c r="P242">
        <f>IF(OR(C242="",Q242=0),"",IF(AND(C242=Statement!$C$4,K242=Statement!$C$5),M242*10000+ROW(),""))</f>
        <v/>
      </c>
      <c r="Q242">
        <f>IF(AND(ISNUMBER(B242),OR(N(D242)&gt;0,G242&lt;&gt;"")),1,0)</f>
        <v/>
      </c>
    </row>
    <row r="243">
      <c r="A243" s="1" t="n"/>
      <c r="B243" s="21" t="n"/>
      <c r="C243" s="22" t="n"/>
      <c r="D243" s="23" t="n"/>
      <c r="E243" s="24" t="n"/>
      <c r="F243" s="25" t="n"/>
      <c r="G243" s="25" t="n"/>
      <c r="H243" s="24" t="n"/>
      <c r="I243" s="25" t="n"/>
      <c r="J243" s="17">
        <f>IF(AND(C243="",D243="",G243=""),"",IF(NOT(ISNUMBER(B243)),"Needs a date",IF(AND(D243&lt;&gt;"",NOT(ISNUMBER(D243))),"Amount not a number",IF(N(D243)&lt;0,"Amount below zero",IF(AND(N(D243)=0,G243=""),"Needs an amount or goods",IF(C243="","",IF(COUNTIF(Donors!$B$6:$B$305,C243)=0,"Not on Donors","")))))))</f>
        <v/>
      </c>
      <c r="K243" s="1">
        <f>IF(ISNUMBER(B243),YEAR(B243),"")</f>
        <v/>
      </c>
      <c r="L243">
        <f>IF(ISNUMBER(B243),YEAR(B243)*100+MONTH(B243),"")</f>
        <v/>
      </c>
      <c r="M243">
        <f>IF(ISNUMBER(B243),INT(B243),0)</f>
        <v/>
      </c>
      <c r="N243">
        <f>IF(OR(C243="",F243="",Q243=0),0,IF(COUNTIFS(C$6:C243,C243,F$6:F243,F243,Q$6:Q243,1)=1,1,0))</f>
        <v/>
      </c>
      <c r="O243">
        <f>IF(OR(C243="",Q243=0,H243&lt;&gt;""),"",M243*10000+ROW())</f>
        <v/>
      </c>
      <c r="P243">
        <f>IF(OR(C243="",Q243=0),"",IF(AND(C243=Statement!$C$4,K243=Statement!$C$5),M243*10000+ROW(),""))</f>
        <v/>
      </c>
      <c r="Q243">
        <f>IF(AND(ISNUMBER(B243),OR(N(D243)&gt;0,G243&lt;&gt;"")),1,0)</f>
        <v/>
      </c>
    </row>
    <row r="244">
      <c r="A244" s="1" t="n"/>
      <c r="B244" s="21" t="n"/>
      <c r="C244" s="22" t="n"/>
      <c r="D244" s="23" t="n"/>
      <c r="E244" s="24" t="n"/>
      <c r="F244" s="25" t="n"/>
      <c r="G244" s="25" t="n"/>
      <c r="H244" s="24" t="n"/>
      <c r="I244" s="25" t="n"/>
      <c r="J244" s="17">
        <f>IF(AND(C244="",D244="",G244=""),"",IF(NOT(ISNUMBER(B244)),"Needs a date",IF(AND(D244&lt;&gt;"",NOT(ISNUMBER(D244))),"Amount not a number",IF(N(D244)&lt;0,"Amount below zero",IF(AND(N(D244)=0,G244=""),"Needs an amount or goods",IF(C244="","",IF(COUNTIF(Donors!$B$6:$B$305,C244)=0,"Not on Donors","")))))))</f>
        <v/>
      </c>
      <c r="K244" s="1">
        <f>IF(ISNUMBER(B244),YEAR(B244),"")</f>
        <v/>
      </c>
      <c r="L244">
        <f>IF(ISNUMBER(B244),YEAR(B244)*100+MONTH(B244),"")</f>
        <v/>
      </c>
      <c r="M244">
        <f>IF(ISNUMBER(B244),INT(B244),0)</f>
        <v/>
      </c>
      <c r="N244">
        <f>IF(OR(C244="",F244="",Q244=0),0,IF(COUNTIFS(C$6:C244,C244,F$6:F244,F244,Q$6:Q244,1)=1,1,0))</f>
        <v/>
      </c>
      <c r="O244">
        <f>IF(OR(C244="",Q244=0,H244&lt;&gt;""),"",M244*10000+ROW())</f>
        <v/>
      </c>
      <c r="P244">
        <f>IF(OR(C244="",Q244=0),"",IF(AND(C244=Statement!$C$4,K244=Statement!$C$5),M244*10000+ROW(),""))</f>
        <v/>
      </c>
      <c r="Q244">
        <f>IF(AND(ISNUMBER(B244),OR(N(D244)&gt;0,G244&lt;&gt;"")),1,0)</f>
        <v/>
      </c>
    </row>
    <row r="245">
      <c r="A245" s="1" t="n"/>
      <c r="B245" s="21" t="n"/>
      <c r="C245" s="22" t="n"/>
      <c r="D245" s="23" t="n"/>
      <c r="E245" s="24" t="n"/>
      <c r="F245" s="25" t="n"/>
      <c r="G245" s="25" t="n"/>
      <c r="H245" s="24" t="n"/>
      <c r="I245" s="25" t="n"/>
      <c r="J245" s="17">
        <f>IF(AND(C245="",D245="",G245=""),"",IF(NOT(ISNUMBER(B245)),"Needs a date",IF(AND(D245&lt;&gt;"",NOT(ISNUMBER(D245))),"Amount not a number",IF(N(D245)&lt;0,"Amount below zero",IF(AND(N(D245)=0,G245=""),"Needs an amount or goods",IF(C245="","",IF(COUNTIF(Donors!$B$6:$B$305,C245)=0,"Not on Donors","")))))))</f>
        <v/>
      </c>
      <c r="K245" s="1">
        <f>IF(ISNUMBER(B245),YEAR(B245),"")</f>
        <v/>
      </c>
      <c r="L245">
        <f>IF(ISNUMBER(B245),YEAR(B245)*100+MONTH(B245),"")</f>
        <v/>
      </c>
      <c r="M245">
        <f>IF(ISNUMBER(B245),INT(B245),0)</f>
        <v/>
      </c>
      <c r="N245">
        <f>IF(OR(C245="",F245="",Q245=0),0,IF(COUNTIFS(C$6:C245,C245,F$6:F245,F245,Q$6:Q245,1)=1,1,0))</f>
        <v/>
      </c>
      <c r="O245">
        <f>IF(OR(C245="",Q245=0,H245&lt;&gt;""),"",M245*10000+ROW())</f>
        <v/>
      </c>
      <c r="P245">
        <f>IF(OR(C245="",Q245=0),"",IF(AND(C245=Statement!$C$4,K245=Statement!$C$5),M245*10000+ROW(),""))</f>
        <v/>
      </c>
      <c r="Q245">
        <f>IF(AND(ISNUMBER(B245),OR(N(D245)&gt;0,G245&lt;&gt;"")),1,0)</f>
        <v/>
      </c>
    </row>
    <row r="246">
      <c r="A246" s="1" t="n"/>
      <c r="B246" s="21" t="n"/>
      <c r="C246" s="22" t="n"/>
      <c r="D246" s="23" t="n"/>
      <c r="E246" s="24" t="n"/>
      <c r="F246" s="25" t="n"/>
      <c r="G246" s="25" t="n"/>
      <c r="H246" s="24" t="n"/>
      <c r="I246" s="25" t="n"/>
      <c r="J246" s="17">
        <f>IF(AND(C246="",D246="",G246=""),"",IF(NOT(ISNUMBER(B246)),"Needs a date",IF(AND(D246&lt;&gt;"",NOT(ISNUMBER(D246))),"Amount not a number",IF(N(D246)&lt;0,"Amount below zero",IF(AND(N(D246)=0,G246=""),"Needs an amount or goods",IF(C246="","",IF(COUNTIF(Donors!$B$6:$B$305,C246)=0,"Not on Donors","")))))))</f>
        <v/>
      </c>
      <c r="K246" s="1">
        <f>IF(ISNUMBER(B246),YEAR(B246),"")</f>
        <v/>
      </c>
      <c r="L246">
        <f>IF(ISNUMBER(B246),YEAR(B246)*100+MONTH(B246),"")</f>
        <v/>
      </c>
      <c r="M246">
        <f>IF(ISNUMBER(B246),INT(B246),0)</f>
        <v/>
      </c>
      <c r="N246">
        <f>IF(OR(C246="",F246="",Q246=0),0,IF(COUNTIFS(C$6:C246,C246,F$6:F246,F246,Q$6:Q246,1)=1,1,0))</f>
        <v/>
      </c>
      <c r="O246">
        <f>IF(OR(C246="",Q246=0,H246&lt;&gt;""),"",M246*10000+ROW())</f>
        <v/>
      </c>
      <c r="P246">
        <f>IF(OR(C246="",Q246=0),"",IF(AND(C246=Statement!$C$4,K246=Statement!$C$5),M246*10000+ROW(),""))</f>
        <v/>
      </c>
      <c r="Q246">
        <f>IF(AND(ISNUMBER(B246),OR(N(D246)&gt;0,G246&lt;&gt;"")),1,0)</f>
        <v/>
      </c>
    </row>
    <row r="247">
      <c r="A247" s="1" t="n"/>
      <c r="B247" s="21" t="n"/>
      <c r="C247" s="22" t="n"/>
      <c r="D247" s="23" t="n"/>
      <c r="E247" s="24" t="n"/>
      <c r="F247" s="25" t="n"/>
      <c r="G247" s="25" t="n"/>
      <c r="H247" s="24" t="n"/>
      <c r="I247" s="25" t="n"/>
      <c r="J247" s="17">
        <f>IF(AND(C247="",D247="",G247=""),"",IF(NOT(ISNUMBER(B247)),"Needs a date",IF(AND(D247&lt;&gt;"",NOT(ISNUMBER(D247))),"Amount not a number",IF(N(D247)&lt;0,"Amount below zero",IF(AND(N(D247)=0,G247=""),"Needs an amount or goods",IF(C247="","",IF(COUNTIF(Donors!$B$6:$B$305,C247)=0,"Not on Donors","")))))))</f>
        <v/>
      </c>
      <c r="K247" s="1">
        <f>IF(ISNUMBER(B247),YEAR(B247),"")</f>
        <v/>
      </c>
      <c r="L247">
        <f>IF(ISNUMBER(B247),YEAR(B247)*100+MONTH(B247),"")</f>
        <v/>
      </c>
      <c r="M247">
        <f>IF(ISNUMBER(B247),INT(B247),0)</f>
        <v/>
      </c>
      <c r="N247">
        <f>IF(OR(C247="",F247="",Q247=0),0,IF(COUNTIFS(C$6:C247,C247,F$6:F247,F247,Q$6:Q247,1)=1,1,0))</f>
        <v/>
      </c>
      <c r="O247">
        <f>IF(OR(C247="",Q247=0,H247&lt;&gt;""),"",M247*10000+ROW())</f>
        <v/>
      </c>
      <c r="P247">
        <f>IF(OR(C247="",Q247=0),"",IF(AND(C247=Statement!$C$4,K247=Statement!$C$5),M247*10000+ROW(),""))</f>
        <v/>
      </c>
      <c r="Q247">
        <f>IF(AND(ISNUMBER(B247),OR(N(D247)&gt;0,G247&lt;&gt;"")),1,0)</f>
        <v/>
      </c>
    </row>
    <row r="248">
      <c r="A248" s="1" t="n"/>
      <c r="B248" s="21" t="n"/>
      <c r="C248" s="22" t="n"/>
      <c r="D248" s="23" t="n"/>
      <c r="E248" s="24" t="n"/>
      <c r="F248" s="25" t="n"/>
      <c r="G248" s="25" t="n"/>
      <c r="H248" s="24" t="n"/>
      <c r="I248" s="25" t="n"/>
      <c r="J248" s="17">
        <f>IF(AND(C248="",D248="",G248=""),"",IF(NOT(ISNUMBER(B248)),"Needs a date",IF(AND(D248&lt;&gt;"",NOT(ISNUMBER(D248))),"Amount not a number",IF(N(D248)&lt;0,"Amount below zero",IF(AND(N(D248)=0,G248=""),"Needs an amount or goods",IF(C248="","",IF(COUNTIF(Donors!$B$6:$B$305,C248)=0,"Not on Donors","")))))))</f>
        <v/>
      </c>
      <c r="K248" s="1">
        <f>IF(ISNUMBER(B248),YEAR(B248),"")</f>
        <v/>
      </c>
      <c r="L248">
        <f>IF(ISNUMBER(B248),YEAR(B248)*100+MONTH(B248),"")</f>
        <v/>
      </c>
      <c r="M248">
        <f>IF(ISNUMBER(B248),INT(B248),0)</f>
        <v/>
      </c>
      <c r="N248">
        <f>IF(OR(C248="",F248="",Q248=0),0,IF(COUNTIFS(C$6:C248,C248,F$6:F248,F248,Q$6:Q248,1)=1,1,0))</f>
        <v/>
      </c>
      <c r="O248">
        <f>IF(OR(C248="",Q248=0,H248&lt;&gt;""),"",M248*10000+ROW())</f>
        <v/>
      </c>
      <c r="P248">
        <f>IF(OR(C248="",Q248=0),"",IF(AND(C248=Statement!$C$4,K248=Statement!$C$5),M248*10000+ROW(),""))</f>
        <v/>
      </c>
      <c r="Q248">
        <f>IF(AND(ISNUMBER(B248),OR(N(D248)&gt;0,G248&lt;&gt;"")),1,0)</f>
        <v/>
      </c>
    </row>
    <row r="249">
      <c r="A249" s="1" t="n"/>
      <c r="B249" s="21" t="n"/>
      <c r="C249" s="22" t="n"/>
      <c r="D249" s="23" t="n"/>
      <c r="E249" s="24" t="n"/>
      <c r="F249" s="25" t="n"/>
      <c r="G249" s="25" t="n"/>
      <c r="H249" s="24" t="n"/>
      <c r="I249" s="25" t="n"/>
      <c r="J249" s="17">
        <f>IF(AND(C249="",D249="",G249=""),"",IF(NOT(ISNUMBER(B249)),"Needs a date",IF(AND(D249&lt;&gt;"",NOT(ISNUMBER(D249))),"Amount not a number",IF(N(D249)&lt;0,"Amount below zero",IF(AND(N(D249)=0,G249=""),"Needs an amount or goods",IF(C249="","",IF(COUNTIF(Donors!$B$6:$B$305,C249)=0,"Not on Donors","")))))))</f>
        <v/>
      </c>
      <c r="K249" s="1">
        <f>IF(ISNUMBER(B249),YEAR(B249),"")</f>
        <v/>
      </c>
      <c r="L249">
        <f>IF(ISNUMBER(B249),YEAR(B249)*100+MONTH(B249),"")</f>
        <v/>
      </c>
      <c r="M249">
        <f>IF(ISNUMBER(B249),INT(B249),0)</f>
        <v/>
      </c>
      <c r="N249">
        <f>IF(OR(C249="",F249="",Q249=0),0,IF(COUNTIFS(C$6:C249,C249,F$6:F249,F249,Q$6:Q249,1)=1,1,0))</f>
        <v/>
      </c>
      <c r="O249">
        <f>IF(OR(C249="",Q249=0,H249&lt;&gt;""),"",M249*10000+ROW())</f>
        <v/>
      </c>
      <c r="P249">
        <f>IF(OR(C249="",Q249=0),"",IF(AND(C249=Statement!$C$4,K249=Statement!$C$5),M249*10000+ROW(),""))</f>
        <v/>
      </c>
      <c r="Q249">
        <f>IF(AND(ISNUMBER(B249),OR(N(D249)&gt;0,G249&lt;&gt;"")),1,0)</f>
        <v/>
      </c>
    </row>
    <row r="250">
      <c r="A250" s="1" t="n"/>
      <c r="B250" s="21" t="n"/>
      <c r="C250" s="22" t="n"/>
      <c r="D250" s="23" t="n"/>
      <c r="E250" s="24" t="n"/>
      <c r="F250" s="25" t="n"/>
      <c r="G250" s="25" t="n"/>
      <c r="H250" s="24" t="n"/>
      <c r="I250" s="25" t="n"/>
      <c r="J250" s="17">
        <f>IF(AND(C250="",D250="",G250=""),"",IF(NOT(ISNUMBER(B250)),"Needs a date",IF(AND(D250&lt;&gt;"",NOT(ISNUMBER(D250))),"Amount not a number",IF(N(D250)&lt;0,"Amount below zero",IF(AND(N(D250)=0,G250=""),"Needs an amount or goods",IF(C250="","",IF(COUNTIF(Donors!$B$6:$B$305,C250)=0,"Not on Donors","")))))))</f>
        <v/>
      </c>
      <c r="K250" s="1">
        <f>IF(ISNUMBER(B250),YEAR(B250),"")</f>
        <v/>
      </c>
      <c r="L250">
        <f>IF(ISNUMBER(B250),YEAR(B250)*100+MONTH(B250),"")</f>
        <v/>
      </c>
      <c r="M250">
        <f>IF(ISNUMBER(B250),INT(B250),0)</f>
        <v/>
      </c>
      <c r="N250">
        <f>IF(OR(C250="",F250="",Q250=0),0,IF(COUNTIFS(C$6:C250,C250,F$6:F250,F250,Q$6:Q250,1)=1,1,0))</f>
        <v/>
      </c>
      <c r="O250">
        <f>IF(OR(C250="",Q250=0,H250&lt;&gt;""),"",M250*10000+ROW())</f>
        <v/>
      </c>
      <c r="P250">
        <f>IF(OR(C250="",Q250=0),"",IF(AND(C250=Statement!$C$4,K250=Statement!$C$5),M250*10000+ROW(),""))</f>
        <v/>
      </c>
      <c r="Q250">
        <f>IF(AND(ISNUMBER(B250),OR(N(D250)&gt;0,G250&lt;&gt;"")),1,0)</f>
        <v/>
      </c>
    </row>
    <row r="251">
      <c r="A251" s="1" t="n"/>
      <c r="B251" s="21" t="n"/>
      <c r="C251" s="22" t="n"/>
      <c r="D251" s="23" t="n"/>
      <c r="E251" s="24" t="n"/>
      <c r="F251" s="25" t="n"/>
      <c r="G251" s="25" t="n"/>
      <c r="H251" s="24" t="n"/>
      <c r="I251" s="25" t="n"/>
      <c r="J251" s="17">
        <f>IF(AND(C251="",D251="",G251=""),"",IF(NOT(ISNUMBER(B251)),"Needs a date",IF(AND(D251&lt;&gt;"",NOT(ISNUMBER(D251))),"Amount not a number",IF(N(D251)&lt;0,"Amount below zero",IF(AND(N(D251)=0,G251=""),"Needs an amount or goods",IF(C251="","",IF(COUNTIF(Donors!$B$6:$B$305,C251)=0,"Not on Donors","")))))))</f>
        <v/>
      </c>
      <c r="K251" s="1">
        <f>IF(ISNUMBER(B251),YEAR(B251),"")</f>
        <v/>
      </c>
      <c r="L251">
        <f>IF(ISNUMBER(B251),YEAR(B251)*100+MONTH(B251),"")</f>
        <v/>
      </c>
      <c r="M251">
        <f>IF(ISNUMBER(B251),INT(B251),0)</f>
        <v/>
      </c>
      <c r="N251">
        <f>IF(OR(C251="",F251="",Q251=0),0,IF(COUNTIFS(C$6:C251,C251,F$6:F251,F251,Q$6:Q251,1)=1,1,0))</f>
        <v/>
      </c>
      <c r="O251">
        <f>IF(OR(C251="",Q251=0,H251&lt;&gt;""),"",M251*10000+ROW())</f>
        <v/>
      </c>
      <c r="P251">
        <f>IF(OR(C251="",Q251=0),"",IF(AND(C251=Statement!$C$4,K251=Statement!$C$5),M251*10000+ROW(),""))</f>
        <v/>
      </c>
      <c r="Q251">
        <f>IF(AND(ISNUMBER(B251),OR(N(D251)&gt;0,G251&lt;&gt;"")),1,0)</f>
        <v/>
      </c>
    </row>
    <row r="252">
      <c r="A252" s="1" t="n"/>
      <c r="B252" s="21" t="n"/>
      <c r="C252" s="22" t="n"/>
      <c r="D252" s="23" t="n"/>
      <c r="E252" s="24" t="n"/>
      <c r="F252" s="25" t="n"/>
      <c r="G252" s="25" t="n"/>
      <c r="H252" s="24" t="n"/>
      <c r="I252" s="25" t="n"/>
      <c r="J252" s="17">
        <f>IF(AND(C252="",D252="",G252=""),"",IF(NOT(ISNUMBER(B252)),"Needs a date",IF(AND(D252&lt;&gt;"",NOT(ISNUMBER(D252))),"Amount not a number",IF(N(D252)&lt;0,"Amount below zero",IF(AND(N(D252)=0,G252=""),"Needs an amount or goods",IF(C252="","",IF(COUNTIF(Donors!$B$6:$B$305,C252)=0,"Not on Donors","")))))))</f>
        <v/>
      </c>
      <c r="K252" s="1">
        <f>IF(ISNUMBER(B252),YEAR(B252),"")</f>
        <v/>
      </c>
      <c r="L252">
        <f>IF(ISNUMBER(B252),YEAR(B252)*100+MONTH(B252),"")</f>
        <v/>
      </c>
      <c r="M252">
        <f>IF(ISNUMBER(B252),INT(B252),0)</f>
        <v/>
      </c>
      <c r="N252">
        <f>IF(OR(C252="",F252="",Q252=0),0,IF(COUNTIFS(C$6:C252,C252,F$6:F252,F252,Q$6:Q252,1)=1,1,0))</f>
        <v/>
      </c>
      <c r="O252">
        <f>IF(OR(C252="",Q252=0,H252&lt;&gt;""),"",M252*10000+ROW())</f>
        <v/>
      </c>
      <c r="P252">
        <f>IF(OR(C252="",Q252=0),"",IF(AND(C252=Statement!$C$4,K252=Statement!$C$5),M252*10000+ROW(),""))</f>
        <v/>
      </c>
      <c r="Q252">
        <f>IF(AND(ISNUMBER(B252),OR(N(D252)&gt;0,G252&lt;&gt;"")),1,0)</f>
        <v/>
      </c>
    </row>
    <row r="253">
      <c r="A253" s="1" t="n"/>
      <c r="B253" s="21" t="n"/>
      <c r="C253" s="22" t="n"/>
      <c r="D253" s="23" t="n"/>
      <c r="E253" s="24" t="n"/>
      <c r="F253" s="25" t="n"/>
      <c r="G253" s="25" t="n"/>
      <c r="H253" s="24" t="n"/>
      <c r="I253" s="25" t="n"/>
      <c r="J253" s="17">
        <f>IF(AND(C253="",D253="",G253=""),"",IF(NOT(ISNUMBER(B253)),"Needs a date",IF(AND(D253&lt;&gt;"",NOT(ISNUMBER(D253))),"Amount not a number",IF(N(D253)&lt;0,"Amount below zero",IF(AND(N(D253)=0,G253=""),"Needs an amount or goods",IF(C253="","",IF(COUNTIF(Donors!$B$6:$B$305,C253)=0,"Not on Donors","")))))))</f>
        <v/>
      </c>
      <c r="K253" s="1">
        <f>IF(ISNUMBER(B253),YEAR(B253),"")</f>
        <v/>
      </c>
      <c r="L253">
        <f>IF(ISNUMBER(B253),YEAR(B253)*100+MONTH(B253),"")</f>
        <v/>
      </c>
      <c r="M253">
        <f>IF(ISNUMBER(B253),INT(B253),0)</f>
        <v/>
      </c>
      <c r="N253">
        <f>IF(OR(C253="",F253="",Q253=0),0,IF(COUNTIFS(C$6:C253,C253,F$6:F253,F253,Q$6:Q253,1)=1,1,0))</f>
        <v/>
      </c>
      <c r="O253">
        <f>IF(OR(C253="",Q253=0,H253&lt;&gt;""),"",M253*10000+ROW())</f>
        <v/>
      </c>
      <c r="P253">
        <f>IF(OR(C253="",Q253=0),"",IF(AND(C253=Statement!$C$4,K253=Statement!$C$5),M253*10000+ROW(),""))</f>
        <v/>
      </c>
      <c r="Q253">
        <f>IF(AND(ISNUMBER(B253),OR(N(D253)&gt;0,G253&lt;&gt;"")),1,0)</f>
        <v/>
      </c>
    </row>
    <row r="254">
      <c r="A254" s="1" t="n"/>
      <c r="B254" s="21" t="n"/>
      <c r="C254" s="22" t="n"/>
      <c r="D254" s="23" t="n"/>
      <c r="E254" s="24" t="n"/>
      <c r="F254" s="25" t="n"/>
      <c r="G254" s="25" t="n"/>
      <c r="H254" s="24" t="n"/>
      <c r="I254" s="25" t="n"/>
      <c r="J254" s="17">
        <f>IF(AND(C254="",D254="",G254=""),"",IF(NOT(ISNUMBER(B254)),"Needs a date",IF(AND(D254&lt;&gt;"",NOT(ISNUMBER(D254))),"Amount not a number",IF(N(D254)&lt;0,"Amount below zero",IF(AND(N(D254)=0,G254=""),"Needs an amount or goods",IF(C254="","",IF(COUNTIF(Donors!$B$6:$B$305,C254)=0,"Not on Donors","")))))))</f>
        <v/>
      </c>
      <c r="K254" s="1">
        <f>IF(ISNUMBER(B254),YEAR(B254),"")</f>
        <v/>
      </c>
      <c r="L254">
        <f>IF(ISNUMBER(B254),YEAR(B254)*100+MONTH(B254),"")</f>
        <v/>
      </c>
      <c r="M254">
        <f>IF(ISNUMBER(B254),INT(B254),0)</f>
        <v/>
      </c>
      <c r="N254">
        <f>IF(OR(C254="",F254="",Q254=0),0,IF(COUNTIFS(C$6:C254,C254,F$6:F254,F254,Q$6:Q254,1)=1,1,0))</f>
        <v/>
      </c>
      <c r="O254">
        <f>IF(OR(C254="",Q254=0,H254&lt;&gt;""),"",M254*10000+ROW())</f>
        <v/>
      </c>
      <c r="P254">
        <f>IF(OR(C254="",Q254=0),"",IF(AND(C254=Statement!$C$4,K254=Statement!$C$5),M254*10000+ROW(),""))</f>
        <v/>
      </c>
      <c r="Q254">
        <f>IF(AND(ISNUMBER(B254),OR(N(D254)&gt;0,G254&lt;&gt;"")),1,0)</f>
        <v/>
      </c>
    </row>
    <row r="255">
      <c r="A255" s="1" t="n"/>
      <c r="B255" s="21" t="n"/>
      <c r="C255" s="22" t="n"/>
      <c r="D255" s="23" t="n"/>
      <c r="E255" s="24" t="n"/>
      <c r="F255" s="25" t="n"/>
      <c r="G255" s="25" t="n"/>
      <c r="H255" s="24" t="n"/>
      <c r="I255" s="25" t="n"/>
      <c r="J255" s="17">
        <f>IF(AND(C255="",D255="",G255=""),"",IF(NOT(ISNUMBER(B255)),"Needs a date",IF(AND(D255&lt;&gt;"",NOT(ISNUMBER(D255))),"Amount not a number",IF(N(D255)&lt;0,"Amount below zero",IF(AND(N(D255)=0,G255=""),"Needs an amount or goods",IF(C255="","",IF(COUNTIF(Donors!$B$6:$B$305,C255)=0,"Not on Donors","")))))))</f>
        <v/>
      </c>
      <c r="K255" s="1">
        <f>IF(ISNUMBER(B255),YEAR(B255),"")</f>
        <v/>
      </c>
      <c r="L255">
        <f>IF(ISNUMBER(B255),YEAR(B255)*100+MONTH(B255),"")</f>
        <v/>
      </c>
      <c r="M255">
        <f>IF(ISNUMBER(B255),INT(B255),0)</f>
        <v/>
      </c>
      <c r="N255">
        <f>IF(OR(C255="",F255="",Q255=0),0,IF(COUNTIFS(C$6:C255,C255,F$6:F255,F255,Q$6:Q255,1)=1,1,0))</f>
        <v/>
      </c>
      <c r="O255">
        <f>IF(OR(C255="",Q255=0,H255&lt;&gt;""),"",M255*10000+ROW())</f>
        <v/>
      </c>
      <c r="P255">
        <f>IF(OR(C255="",Q255=0),"",IF(AND(C255=Statement!$C$4,K255=Statement!$C$5),M255*10000+ROW(),""))</f>
        <v/>
      </c>
      <c r="Q255">
        <f>IF(AND(ISNUMBER(B255),OR(N(D255)&gt;0,G255&lt;&gt;"")),1,0)</f>
        <v/>
      </c>
    </row>
    <row r="256">
      <c r="A256" s="1" t="n"/>
      <c r="B256" s="21" t="n"/>
      <c r="C256" s="22" t="n"/>
      <c r="D256" s="23" t="n"/>
      <c r="E256" s="24" t="n"/>
      <c r="F256" s="25" t="n"/>
      <c r="G256" s="25" t="n"/>
      <c r="H256" s="24" t="n"/>
      <c r="I256" s="25" t="n"/>
      <c r="J256" s="17">
        <f>IF(AND(C256="",D256="",G256=""),"",IF(NOT(ISNUMBER(B256)),"Needs a date",IF(AND(D256&lt;&gt;"",NOT(ISNUMBER(D256))),"Amount not a number",IF(N(D256)&lt;0,"Amount below zero",IF(AND(N(D256)=0,G256=""),"Needs an amount or goods",IF(C256="","",IF(COUNTIF(Donors!$B$6:$B$305,C256)=0,"Not on Donors","")))))))</f>
        <v/>
      </c>
      <c r="K256" s="1">
        <f>IF(ISNUMBER(B256),YEAR(B256),"")</f>
        <v/>
      </c>
      <c r="L256">
        <f>IF(ISNUMBER(B256),YEAR(B256)*100+MONTH(B256),"")</f>
        <v/>
      </c>
      <c r="M256">
        <f>IF(ISNUMBER(B256),INT(B256),0)</f>
        <v/>
      </c>
      <c r="N256">
        <f>IF(OR(C256="",F256="",Q256=0),0,IF(COUNTIFS(C$6:C256,C256,F$6:F256,F256,Q$6:Q256,1)=1,1,0))</f>
        <v/>
      </c>
      <c r="O256">
        <f>IF(OR(C256="",Q256=0,H256&lt;&gt;""),"",M256*10000+ROW())</f>
        <v/>
      </c>
      <c r="P256">
        <f>IF(OR(C256="",Q256=0),"",IF(AND(C256=Statement!$C$4,K256=Statement!$C$5),M256*10000+ROW(),""))</f>
        <v/>
      </c>
      <c r="Q256">
        <f>IF(AND(ISNUMBER(B256),OR(N(D256)&gt;0,G256&lt;&gt;"")),1,0)</f>
        <v/>
      </c>
    </row>
    <row r="257">
      <c r="A257" s="1" t="n"/>
      <c r="B257" s="21" t="n"/>
      <c r="C257" s="22" t="n"/>
      <c r="D257" s="23" t="n"/>
      <c r="E257" s="24" t="n"/>
      <c r="F257" s="25" t="n"/>
      <c r="G257" s="25" t="n"/>
      <c r="H257" s="24" t="n"/>
      <c r="I257" s="25" t="n"/>
      <c r="J257" s="17">
        <f>IF(AND(C257="",D257="",G257=""),"",IF(NOT(ISNUMBER(B257)),"Needs a date",IF(AND(D257&lt;&gt;"",NOT(ISNUMBER(D257))),"Amount not a number",IF(N(D257)&lt;0,"Amount below zero",IF(AND(N(D257)=0,G257=""),"Needs an amount or goods",IF(C257="","",IF(COUNTIF(Donors!$B$6:$B$305,C257)=0,"Not on Donors","")))))))</f>
        <v/>
      </c>
      <c r="K257" s="1">
        <f>IF(ISNUMBER(B257),YEAR(B257),"")</f>
        <v/>
      </c>
      <c r="L257">
        <f>IF(ISNUMBER(B257),YEAR(B257)*100+MONTH(B257),"")</f>
        <v/>
      </c>
      <c r="M257">
        <f>IF(ISNUMBER(B257),INT(B257),0)</f>
        <v/>
      </c>
      <c r="N257">
        <f>IF(OR(C257="",F257="",Q257=0),0,IF(COUNTIFS(C$6:C257,C257,F$6:F257,F257,Q$6:Q257,1)=1,1,0))</f>
        <v/>
      </c>
      <c r="O257">
        <f>IF(OR(C257="",Q257=0,H257&lt;&gt;""),"",M257*10000+ROW())</f>
        <v/>
      </c>
      <c r="P257">
        <f>IF(OR(C257="",Q257=0),"",IF(AND(C257=Statement!$C$4,K257=Statement!$C$5),M257*10000+ROW(),""))</f>
        <v/>
      </c>
      <c r="Q257">
        <f>IF(AND(ISNUMBER(B257),OR(N(D257)&gt;0,G257&lt;&gt;"")),1,0)</f>
        <v/>
      </c>
    </row>
    <row r="258">
      <c r="A258" s="1" t="n"/>
      <c r="B258" s="21" t="n"/>
      <c r="C258" s="22" t="n"/>
      <c r="D258" s="23" t="n"/>
      <c r="E258" s="24" t="n"/>
      <c r="F258" s="25" t="n"/>
      <c r="G258" s="25" t="n"/>
      <c r="H258" s="24" t="n"/>
      <c r="I258" s="25" t="n"/>
      <c r="J258" s="17">
        <f>IF(AND(C258="",D258="",G258=""),"",IF(NOT(ISNUMBER(B258)),"Needs a date",IF(AND(D258&lt;&gt;"",NOT(ISNUMBER(D258))),"Amount not a number",IF(N(D258)&lt;0,"Amount below zero",IF(AND(N(D258)=0,G258=""),"Needs an amount or goods",IF(C258="","",IF(COUNTIF(Donors!$B$6:$B$305,C258)=0,"Not on Donors","")))))))</f>
        <v/>
      </c>
      <c r="K258" s="1">
        <f>IF(ISNUMBER(B258),YEAR(B258),"")</f>
        <v/>
      </c>
      <c r="L258">
        <f>IF(ISNUMBER(B258),YEAR(B258)*100+MONTH(B258),"")</f>
        <v/>
      </c>
      <c r="M258">
        <f>IF(ISNUMBER(B258),INT(B258),0)</f>
        <v/>
      </c>
      <c r="N258">
        <f>IF(OR(C258="",F258="",Q258=0),0,IF(COUNTIFS(C$6:C258,C258,F$6:F258,F258,Q$6:Q258,1)=1,1,0))</f>
        <v/>
      </c>
      <c r="O258">
        <f>IF(OR(C258="",Q258=0,H258&lt;&gt;""),"",M258*10000+ROW())</f>
        <v/>
      </c>
      <c r="P258">
        <f>IF(OR(C258="",Q258=0),"",IF(AND(C258=Statement!$C$4,K258=Statement!$C$5),M258*10000+ROW(),""))</f>
        <v/>
      </c>
      <c r="Q258">
        <f>IF(AND(ISNUMBER(B258),OR(N(D258)&gt;0,G258&lt;&gt;"")),1,0)</f>
        <v/>
      </c>
    </row>
    <row r="259">
      <c r="A259" s="1" t="n"/>
      <c r="B259" s="21" t="n"/>
      <c r="C259" s="22" t="n"/>
      <c r="D259" s="23" t="n"/>
      <c r="E259" s="24" t="n"/>
      <c r="F259" s="25" t="n"/>
      <c r="G259" s="25" t="n"/>
      <c r="H259" s="24" t="n"/>
      <c r="I259" s="25" t="n"/>
      <c r="J259" s="17">
        <f>IF(AND(C259="",D259="",G259=""),"",IF(NOT(ISNUMBER(B259)),"Needs a date",IF(AND(D259&lt;&gt;"",NOT(ISNUMBER(D259))),"Amount not a number",IF(N(D259)&lt;0,"Amount below zero",IF(AND(N(D259)=0,G259=""),"Needs an amount or goods",IF(C259="","",IF(COUNTIF(Donors!$B$6:$B$305,C259)=0,"Not on Donors","")))))))</f>
        <v/>
      </c>
      <c r="K259" s="1">
        <f>IF(ISNUMBER(B259),YEAR(B259),"")</f>
        <v/>
      </c>
      <c r="L259">
        <f>IF(ISNUMBER(B259),YEAR(B259)*100+MONTH(B259),"")</f>
        <v/>
      </c>
      <c r="M259">
        <f>IF(ISNUMBER(B259),INT(B259),0)</f>
        <v/>
      </c>
      <c r="N259">
        <f>IF(OR(C259="",F259="",Q259=0),0,IF(COUNTIFS(C$6:C259,C259,F$6:F259,F259,Q$6:Q259,1)=1,1,0))</f>
        <v/>
      </c>
      <c r="O259">
        <f>IF(OR(C259="",Q259=0,H259&lt;&gt;""),"",M259*10000+ROW())</f>
        <v/>
      </c>
      <c r="P259">
        <f>IF(OR(C259="",Q259=0),"",IF(AND(C259=Statement!$C$4,K259=Statement!$C$5),M259*10000+ROW(),""))</f>
        <v/>
      </c>
      <c r="Q259">
        <f>IF(AND(ISNUMBER(B259),OR(N(D259)&gt;0,G259&lt;&gt;"")),1,0)</f>
        <v/>
      </c>
    </row>
    <row r="260">
      <c r="A260" s="1" t="n"/>
      <c r="B260" s="21" t="n"/>
      <c r="C260" s="22" t="n"/>
      <c r="D260" s="23" t="n"/>
      <c r="E260" s="24" t="n"/>
      <c r="F260" s="25" t="n"/>
      <c r="G260" s="25" t="n"/>
      <c r="H260" s="24" t="n"/>
      <c r="I260" s="25" t="n"/>
      <c r="J260" s="17">
        <f>IF(AND(C260="",D260="",G260=""),"",IF(NOT(ISNUMBER(B260)),"Needs a date",IF(AND(D260&lt;&gt;"",NOT(ISNUMBER(D260))),"Amount not a number",IF(N(D260)&lt;0,"Amount below zero",IF(AND(N(D260)=0,G260=""),"Needs an amount or goods",IF(C260="","",IF(COUNTIF(Donors!$B$6:$B$305,C260)=0,"Not on Donors","")))))))</f>
        <v/>
      </c>
      <c r="K260" s="1">
        <f>IF(ISNUMBER(B260),YEAR(B260),"")</f>
        <v/>
      </c>
      <c r="L260">
        <f>IF(ISNUMBER(B260),YEAR(B260)*100+MONTH(B260),"")</f>
        <v/>
      </c>
      <c r="M260">
        <f>IF(ISNUMBER(B260),INT(B260),0)</f>
        <v/>
      </c>
      <c r="N260">
        <f>IF(OR(C260="",F260="",Q260=0),0,IF(COUNTIFS(C$6:C260,C260,F$6:F260,F260,Q$6:Q260,1)=1,1,0))</f>
        <v/>
      </c>
      <c r="O260">
        <f>IF(OR(C260="",Q260=0,H260&lt;&gt;""),"",M260*10000+ROW())</f>
        <v/>
      </c>
      <c r="P260">
        <f>IF(OR(C260="",Q260=0),"",IF(AND(C260=Statement!$C$4,K260=Statement!$C$5),M260*10000+ROW(),""))</f>
        <v/>
      </c>
      <c r="Q260">
        <f>IF(AND(ISNUMBER(B260),OR(N(D260)&gt;0,G260&lt;&gt;"")),1,0)</f>
        <v/>
      </c>
    </row>
    <row r="261">
      <c r="A261" s="1" t="n"/>
      <c r="B261" s="21" t="n"/>
      <c r="C261" s="22" t="n"/>
      <c r="D261" s="23" t="n"/>
      <c r="E261" s="24" t="n"/>
      <c r="F261" s="25" t="n"/>
      <c r="G261" s="25" t="n"/>
      <c r="H261" s="24" t="n"/>
      <c r="I261" s="25" t="n"/>
      <c r="J261" s="17">
        <f>IF(AND(C261="",D261="",G261=""),"",IF(NOT(ISNUMBER(B261)),"Needs a date",IF(AND(D261&lt;&gt;"",NOT(ISNUMBER(D261))),"Amount not a number",IF(N(D261)&lt;0,"Amount below zero",IF(AND(N(D261)=0,G261=""),"Needs an amount or goods",IF(C261="","",IF(COUNTIF(Donors!$B$6:$B$305,C261)=0,"Not on Donors","")))))))</f>
        <v/>
      </c>
      <c r="K261" s="1">
        <f>IF(ISNUMBER(B261),YEAR(B261),"")</f>
        <v/>
      </c>
      <c r="L261">
        <f>IF(ISNUMBER(B261),YEAR(B261)*100+MONTH(B261),"")</f>
        <v/>
      </c>
      <c r="M261">
        <f>IF(ISNUMBER(B261),INT(B261),0)</f>
        <v/>
      </c>
      <c r="N261">
        <f>IF(OR(C261="",F261="",Q261=0),0,IF(COUNTIFS(C$6:C261,C261,F$6:F261,F261,Q$6:Q261,1)=1,1,0))</f>
        <v/>
      </c>
      <c r="O261">
        <f>IF(OR(C261="",Q261=0,H261&lt;&gt;""),"",M261*10000+ROW())</f>
        <v/>
      </c>
      <c r="P261">
        <f>IF(OR(C261="",Q261=0),"",IF(AND(C261=Statement!$C$4,K261=Statement!$C$5),M261*10000+ROW(),""))</f>
        <v/>
      </c>
      <c r="Q261">
        <f>IF(AND(ISNUMBER(B261),OR(N(D261)&gt;0,G261&lt;&gt;"")),1,0)</f>
        <v/>
      </c>
    </row>
    <row r="262">
      <c r="A262" s="1" t="n"/>
      <c r="B262" s="21" t="n"/>
      <c r="C262" s="22" t="n"/>
      <c r="D262" s="23" t="n"/>
      <c r="E262" s="24" t="n"/>
      <c r="F262" s="25" t="n"/>
      <c r="G262" s="25" t="n"/>
      <c r="H262" s="24" t="n"/>
      <c r="I262" s="25" t="n"/>
      <c r="J262" s="17">
        <f>IF(AND(C262="",D262="",G262=""),"",IF(NOT(ISNUMBER(B262)),"Needs a date",IF(AND(D262&lt;&gt;"",NOT(ISNUMBER(D262))),"Amount not a number",IF(N(D262)&lt;0,"Amount below zero",IF(AND(N(D262)=0,G262=""),"Needs an amount or goods",IF(C262="","",IF(COUNTIF(Donors!$B$6:$B$305,C262)=0,"Not on Donors","")))))))</f>
        <v/>
      </c>
      <c r="K262" s="1">
        <f>IF(ISNUMBER(B262),YEAR(B262),"")</f>
        <v/>
      </c>
      <c r="L262">
        <f>IF(ISNUMBER(B262),YEAR(B262)*100+MONTH(B262),"")</f>
        <v/>
      </c>
      <c r="M262">
        <f>IF(ISNUMBER(B262),INT(B262),0)</f>
        <v/>
      </c>
      <c r="N262">
        <f>IF(OR(C262="",F262="",Q262=0),0,IF(COUNTIFS(C$6:C262,C262,F$6:F262,F262,Q$6:Q262,1)=1,1,0))</f>
        <v/>
      </c>
      <c r="O262">
        <f>IF(OR(C262="",Q262=0,H262&lt;&gt;""),"",M262*10000+ROW())</f>
        <v/>
      </c>
      <c r="P262">
        <f>IF(OR(C262="",Q262=0),"",IF(AND(C262=Statement!$C$4,K262=Statement!$C$5),M262*10000+ROW(),""))</f>
        <v/>
      </c>
      <c r="Q262">
        <f>IF(AND(ISNUMBER(B262),OR(N(D262)&gt;0,G262&lt;&gt;"")),1,0)</f>
        <v/>
      </c>
    </row>
    <row r="263">
      <c r="A263" s="1" t="n"/>
      <c r="B263" s="21" t="n"/>
      <c r="C263" s="22" t="n"/>
      <c r="D263" s="23" t="n"/>
      <c r="E263" s="24" t="n"/>
      <c r="F263" s="25" t="n"/>
      <c r="G263" s="25" t="n"/>
      <c r="H263" s="24" t="n"/>
      <c r="I263" s="25" t="n"/>
      <c r="J263" s="17">
        <f>IF(AND(C263="",D263="",G263=""),"",IF(NOT(ISNUMBER(B263)),"Needs a date",IF(AND(D263&lt;&gt;"",NOT(ISNUMBER(D263))),"Amount not a number",IF(N(D263)&lt;0,"Amount below zero",IF(AND(N(D263)=0,G263=""),"Needs an amount or goods",IF(C263="","",IF(COUNTIF(Donors!$B$6:$B$305,C263)=0,"Not on Donors","")))))))</f>
        <v/>
      </c>
      <c r="K263" s="1">
        <f>IF(ISNUMBER(B263),YEAR(B263),"")</f>
        <v/>
      </c>
      <c r="L263">
        <f>IF(ISNUMBER(B263),YEAR(B263)*100+MONTH(B263),"")</f>
        <v/>
      </c>
      <c r="M263">
        <f>IF(ISNUMBER(B263),INT(B263),0)</f>
        <v/>
      </c>
      <c r="N263">
        <f>IF(OR(C263="",F263="",Q263=0),0,IF(COUNTIFS(C$6:C263,C263,F$6:F263,F263,Q$6:Q263,1)=1,1,0))</f>
        <v/>
      </c>
      <c r="O263">
        <f>IF(OR(C263="",Q263=0,H263&lt;&gt;""),"",M263*10000+ROW())</f>
        <v/>
      </c>
      <c r="P263">
        <f>IF(OR(C263="",Q263=0),"",IF(AND(C263=Statement!$C$4,K263=Statement!$C$5),M263*10000+ROW(),""))</f>
        <v/>
      </c>
      <c r="Q263">
        <f>IF(AND(ISNUMBER(B263),OR(N(D263)&gt;0,G263&lt;&gt;"")),1,0)</f>
        <v/>
      </c>
    </row>
    <row r="264">
      <c r="A264" s="1" t="n"/>
      <c r="B264" s="21" t="n"/>
      <c r="C264" s="22" t="n"/>
      <c r="D264" s="23" t="n"/>
      <c r="E264" s="24" t="n"/>
      <c r="F264" s="25" t="n"/>
      <c r="G264" s="25" t="n"/>
      <c r="H264" s="24" t="n"/>
      <c r="I264" s="25" t="n"/>
      <c r="J264" s="17">
        <f>IF(AND(C264="",D264="",G264=""),"",IF(NOT(ISNUMBER(B264)),"Needs a date",IF(AND(D264&lt;&gt;"",NOT(ISNUMBER(D264))),"Amount not a number",IF(N(D264)&lt;0,"Amount below zero",IF(AND(N(D264)=0,G264=""),"Needs an amount or goods",IF(C264="","",IF(COUNTIF(Donors!$B$6:$B$305,C264)=0,"Not on Donors","")))))))</f>
        <v/>
      </c>
      <c r="K264" s="1">
        <f>IF(ISNUMBER(B264),YEAR(B264),"")</f>
        <v/>
      </c>
      <c r="L264">
        <f>IF(ISNUMBER(B264),YEAR(B264)*100+MONTH(B264),"")</f>
        <v/>
      </c>
      <c r="M264">
        <f>IF(ISNUMBER(B264),INT(B264),0)</f>
        <v/>
      </c>
      <c r="N264">
        <f>IF(OR(C264="",F264="",Q264=0),0,IF(COUNTIFS(C$6:C264,C264,F$6:F264,F264,Q$6:Q264,1)=1,1,0))</f>
        <v/>
      </c>
      <c r="O264">
        <f>IF(OR(C264="",Q264=0,H264&lt;&gt;""),"",M264*10000+ROW())</f>
        <v/>
      </c>
      <c r="P264">
        <f>IF(OR(C264="",Q264=0),"",IF(AND(C264=Statement!$C$4,K264=Statement!$C$5),M264*10000+ROW(),""))</f>
        <v/>
      </c>
      <c r="Q264">
        <f>IF(AND(ISNUMBER(B264),OR(N(D264)&gt;0,G264&lt;&gt;"")),1,0)</f>
        <v/>
      </c>
    </row>
    <row r="265">
      <c r="A265" s="1" t="n"/>
      <c r="B265" s="21" t="n"/>
      <c r="C265" s="22" t="n"/>
      <c r="D265" s="23" t="n"/>
      <c r="E265" s="24" t="n"/>
      <c r="F265" s="25" t="n"/>
      <c r="G265" s="25" t="n"/>
      <c r="H265" s="24" t="n"/>
      <c r="I265" s="25" t="n"/>
      <c r="J265" s="17">
        <f>IF(AND(C265="",D265="",G265=""),"",IF(NOT(ISNUMBER(B265)),"Needs a date",IF(AND(D265&lt;&gt;"",NOT(ISNUMBER(D265))),"Amount not a number",IF(N(D265)&lt;0,"Amount below zero",IF(AND(N(D265)=0,G265=""),"Needs an amount or goods",IF(C265="","",IF(COUNTIF(Donors!$B$6:$B$305,C265)=0,"Not on Donors","")))))))</f>
        <v/>
      </c>
      <c r="K265" s="1">
        <f>IF(ISNUMBER(B265),YEAR(B265),"")</f>
        <v/>
      </c>
      <c r="L265">
        <f>IF(ISNUMBER(B265),YEAR(B265)*100+MONTH(B265),"")</f>
        <v/>
      </c>
      <c r="M265">
        <f>IF(ISNUMBER(B265),INT(B265),0)</f>
        <v/>
      </c>
      <c r="N265">
        <f>IF(OR(C265="",F265="",Q265=0),0,IF(COUNTIFS(C$6:C265,C265,F$6:F265,F265,Q$6:Q265,1)=1,1,0))</f>
        <v/>
      </c>
      <c r="O265">
        <f>IF(OR(C265="",Q265=0,H265&lt;&gt;""),"",M265*10000+ROW())</f>
        <v/>
      </c>
      <c r="P265">
        <f>IF(OR(C265="",Q265=0),"",IF(AND(C265=Statement!$C$4,K265=Statement!$C$5),M265*10000+ROW(),""))</f>
        <v/>
      </c>
      <c r="Q265">
        <f>IF(AND(ISNUMBER(B265),OR(N(D265)&gt;0,G265&lt;&gt;"")),1,0)</f>
        <v/>
      </c>
    </row>
    <row r="266">
      <c r="A266" s="1" t="n"/>
      <c r="B266" s="21" t="n"/>
      <c r="C266" s="22" t="n"/>
      <c r="D266" s="23" t="n"/>
      <c r="E266" s="24" t="n"/>
      <c r="F266" s="25" t="n"/>
      <c r="G266" s="25" t="n"/>
      <c r="H266" s="24" t="n"/>
      <c r="I266" s="25" t="n"/>
      <c r="J266" s="17">
        <f>IF(AND(C266="",D266="",G266=""),"",IF(NOT(ISNUMBER(B266)),"Needs a date",IF(AND(D266&lt;&gt;"",NOT(ISNUMBER(D266))),"Amount not a number",IF(N(D266)&lt;0,"Amount below zero",IF(AND(N(D266)=0,G266=""),"Needs an amount or goods",IF(C266="","",IF(COUNTIF(Donors!$B$6:$B$305,C266)=0,"Not on Donors","")))))))</f>
        <v/>
      </c>
      <c r="K266" s="1">
        <f>IF(ISNUMBER(B266),YEAR(B266),"")</f>
        <v/>
      </c>
      <c r="L266">
        <f>IF(ISNUMBER(B266),YEAR(B266)*100+MONTH(B266),"")</f>
        <v/>
      </c>
      <c r="M266">
        <f>IF(ISNUMBER(B266),INT(B266),0)</f>
        <v/>
      </c>
      <c r="N266">
        <f>IF(OR(C266="",F266="",Q266=0),0,IF(COUNTIFS(C$6:C266,C266,F$6:F266,F266,Q$6:Q266,1)=1,1,0))</f>
        <v/>
      </c>
      <c r="O266">
        <f>IF(OR(C266="",Q266=0,H266&lt;&gt;""),"",M266*10000+ROW())</f>
        <v/>
      </c>
      <c r="P266">
        <f>IF(OR(C266="",Q266=0),"",IF(AND(C266=Statement!$C$4,K266=Statement!$C$5),M266*10000+ROW(),""))</f>
        <v/>
      </c>
      <c r="Q266">
        <f>IF(AND(ISNUMBER(B266),OR(N(D266)&gt;0,G266&lt;&gt;"")),1,0)</f>
        <v/>
      </c>
    </row>
    <row r="267">
      <c r="A267" s="1" t="n"/>
      <c r="B267" s="21" t="n"/>
      <c r="C267" s="22" t="n"/>
      <c r="D267" s="23" t="n"/>
      <c r="E267" s="24" t="n"/>
      <c r="F267" s="25" t="n"/>
      <c r="G267" s="25" t="n"/>
      <c r="H267" s="24" t="n"/>
      <c r="I267" s="25" t="n"/>
      <c r="J267" s="17">
        <f>IF(AND(C267="",D267="",G267=""),"",IF(NOT(ISNUMBER(B267)),"Needs a date",IF(AND(D267&lt;&gt;"",NOT(ISNUMBER(D267))),"Amount not a number",IF(N(D267)&lt;0,"Amount below zero",IF(AND(N(D267)=0,G267=""),"Needs an amount or goods",IF(C267="","",IF(COUNTIF(Donors!$B$6:$B$305,C267)=0,"Not on Donors","")))))))</f>
        <v/>
      </c>
      <c r="K267" s="1">
        <f>IF(ISNUMBER(B267),YEAR(B267),"")</f>
        <v/>
      </c>
      <c r="L267">
        <f>IF(ISNUMBER(B267),YEAR(B267)*100+MONTH(B267),"")</f>
        <v/>
      </c>
      <c r="M267">
        <f>IF(ISNUMBER(B267),INT(B267),0)</f>
        <v/>
      </c>
      <c r="N267">
        <f>IF(OR(C267="",F267="",Q267=0),0,IF(COUNTIFS(C$6:C267,C267,F$6:F267,F267,Q$6:Q267,1)=1,1,0))</f>
        <v/>
      </c>
      <c r="O267">
        <f>IF(OR(C267="",Q267=0,H267&lt;&gt;""),"",M267*10000+ROW())</f>
        <v/>
      </c>
      <c r="P267">
        <f>IF(OR(C267="",Q267=0),"",IF(AND(C267=Statement!$C$4,K267=Statement!$C$5),M267*10000+ROW(),""))</f>
        <v/>
      </c>
      <c r="Q267">
        <f>IF(AND(ISNUMBER(B267),OR(N(D267)&gt;0,G267&lt;&gt;"")),1,0)</f>
        <v/>
      </c>
    </row>
    <row r="268">
      <c r="A268" s="1" t="n"/>
      <c r="B268" s="21" t="n"/>
      <c r="C268" s="22" t="n"/>
      <c r="D268" s="23" t="n"/>
      <c r="E268" s="24" t="n"/>
      <c r="F268" s="25" t="n"/>
      <c r="G268" s="25" t="n"/>
      <c r="H268" s="24" t="n"/>
      <c r="I268" s="25" t="n"/>
      <c r="J268" s="17">
        <f>IF(AND(C268="",D268="",G268=""),"",IF(NOT(ISNUMBER(B268)),"Needs a date",IF(AND(D268&lt;&gt;"",NOT(ISNUMBER(D268))),"Amount not a number",IF(N(D268)&lt;0,"Amount below zero",IF(AND(N(D268)=0,G268=""),"Needs an amount or goods",IF(C268="","",IF(COUNTIF(Donors!$B$6:$B$305,C268)=0,"Not on Donors","")))))))</f>
        <v/>
      </c>
      <c r="K268" s="1">
        <f>IF(ISNUMBER(B268),YEAR(B268),"")</f>
        <v/>
      </c>
      <c r="L268">
        <f>IF(ISNUMBER(B268),YEAR(B268)*100+MONTH(B268),"")</f>
        <v/>
      </c>
      <c r="M268">
        <f>IF(ISNUMBER(B268),INT(B268),0)</f>
        <v/>
      </c>
      <c r="N268">
        <f>IF(OR(C268="",F268="",Q268=0),0,IF(COUNTIFS(C$6:C268,C268,F$6:F268,F268,Q$6:Q268,1)=1,1,0))</f>
        <v/>
      </c>
      <c r="O268">
        <f>IF(OR(C268="",Q268=0,H268&lt;&gt;""),"",M268*10000+ROW())</f>
        <v/>
      </c>
      <c r="P268">
        <f>IF(OR(C268="",Q268=0),"",IF(AND(C268=Statement!$C$4,K268=Statement!$C$5),M268*10000+ROW(),""))</f>
        <v/>
      </c>
      <c r="Q268">
        <f>IF(AND(ISNUMBER(B268),OR(N(D268)&gt;0,G268&lt;&gt;"")),1,0)</f>
        <v/>
      </c>
    </row>
    <row r="269">
      <c r="A269" s="1" t="n"/>
      <c r="B269" s="21" t="n"/>
      <c r="C269" s="22" t="n"/>
      <c r="D269" s="23" t="n"/>
      <c r="E269" s="24" t="n"/>
      <c r="F269" s="25" t="n"/>
      <c r="G269" s="25" t="n"/>
      <c r="H269" s="24" t="n"/>
      <c r="I269" s="25" t="n"/>
      <c r="J269" s="17">
        <f>IF(AND(C269="",D269="",G269=""),"",IF(NOT(ISNUMBER(B269)),"Needs a date",IF(AND(D269&lt;&gt;"",NOT(ISNUMBER(D269))),"Amount not a number",IF(N(D269)&lt;0,"Amount below zero",IF(AND(N(D269)=0,G269=""),"Needs an amount or goods",IF(C269="","",IF(COUNTIF(Donors!$B$6:$B$305,C269)=0,"Not on Donors","")))))))</f>
        <v/>
      </c>
      <c r="K269" s="1">
        <f>IF(ISNUMBER(B269),YEAR(B269),"")</f>
        <v/>
      </c>
      <c r="L269">
        <f>IF(ISNUMBER(B269),YEAR(B269)*100+MONTH(B269),"")</f>
        <v/>
      </c>
      <c r="M269">
        <f>IF(ISNUMBER(B269),INT(B269),0)</f>
        <v/>
      </c>
      <c r="N269">
        <f>IF(OR(C269="",F269="",Q269=0),0,IF(COUNTIFS(C$6:C269,C269,F$6:F269,F269,Q$6:Q269,1)=1,1,0))</f>
        <v/>
      </c>
      <c r="O269">
        <f>IF(OR(C269="",Q269=0,H269&lt;&gt;""),"",M269*10000+ROW())</f>
        <v/>
      </c>
      <c r="P269">
        <f>IF(OR(C269="",Q269=0),"",IF(AND(C269=Statement!$C$4,K269=Statement!$C$5),M269*10000+ROW(),""))</f>
        <v/>
      </c>
      <c r="Q269">
        <f>IF(AND(ISNUMBER(B269),OR(N(D269)&gt;0,G269&lt;&gt;"")),1,0)</f>
        <v/>
      </c>
    </row>
    <row r="270">
      <c r="A270" s="1" t="n"/>
      <c r="B270" s="21" t="n"/>
      <c r="C270" s="22" t="n"/>
      <c r="D270" s="23" t="n"/>
      <c r="E270" s="24" t="n"/>
      <c r="F270" s="25" t="n"/>
      <c r="G270" s="25" t="n"/>
      <c r="H270" s="24" t="n"/>
      <c r="I270" s="25" t="n"/>
      <c r="J270" s="17">
        <f>IF(AND(C270="",D270="",G270=""),"",IF(NOT(ISNUMBER(B270)),"Needs a date",IF(AND(D270&lt;&gt;"",NOT(ISNUMBER(D270))),"Amount not a number",IF(N(D270)&lt;0,"Amount below zero",IF(AND(N(D270)=0,G270=""),"Needs an amount or goods",IF(C270="","",IF(COUNTIF(Donors!$B$6:$B$305,C270)=0,"Not on Donors","")))))))</f>
        <v/>
      </c>
      <c r="K270" s="1">
        <f>IF(ISNUMBER(B270),YEAR(B270),"")</f>
        <v/>
      </c>
      <c r="L270">
        <f>IF(ISNUMBER(B270),YEAR(B270)*100+MONTH(B270),"")</f>
        <v/>
      </c>
      <c r="M270">
        <f>IF(ISNUMBER(B270),INT(B270),0)</f>
        <v/>
      </c>
      <c r="N270">
        <f>IF(OR(C270="",F270="",Q270=0),0,IF(COUNTIFS(C$6:C270,C270,F$6:F270,F270,Q$6:Q270,1)=1,1,0))</f>
        <v/>
      </c>
      <c r="O270">
        <f>IF(OR(C270="",Q270=0,H270&lt;&gt;""),"",M270*10000+ROW())</f>
        <v/>
      </c>
      <c r="P270">
        <f>IF(OR(C270="",Q270=0),"",IF(AND(C270=Statement!$C$4,K270=Statement!$C$5),M270*10000+ROW(),""))</f>
        <v/>
      </c>
      <c r="Q270">
        <f>IF(AND(ISNUMBER(B270),OR(N(D270)&gt;0,G270&lt;&gt;"")),1,0)</f>
        <v/>
      </c>
    </row>
    <row r="271">
      <c r="A271" s="1" t="n"/>
      <c r="B271" s="21" t="n"/>
      <c r="C271" s="22" t="n"/>
      <c r="D271" s="23" t="n"/>
      <c r="E271" s="24" t="n"/>
      <c r="F271" s="25" t="n"/>
      <c r="G271" s="25" t="n"/>
      <c r="H271" s="24" t="n"/>
      <c r="I271" s="25" t="n"/>
      <c r="J271" s="17">
        <f>IF(AND(C271="",D271="",G271=""),"",IF(NOT(ISNUMBER(B271)),"Needs a date",IF(AND(D271&lt;&gt;"",NOT(ISNUMBER(D271))),"Amount not a number",IF(N(D271)&lt;0,"Amount below zero",IF(AND(N(D271)=0,G271=""),"Needs an amount or goods",IF(C271="","",IF(COUNTIF(Donors!$B$6:$B$305,C271)=0,"Not on Donors","")))))))</f>
        <v/>
      </c>
      <c r="K271" s="1">
        <f>IF(ISNUMBER(B271),YEAR(B271),"")</f>
        <v/>
      </c>
      <c r="L271">
        <f>IF(ISNUMBER(B271),YEAR(B271)*100+MONTH(B271),"")</f>
        <v/>
      </c>
      <c r="M271">
        <f>IF(ISNUMBER(B271),INT(B271),0)</f>
        <v/>
      </c>
      <c r="N271">
        <f>IF(OR(C271="",F271="",Q271=0),0,IF(COUNTIFS(C$6:C271,C271,F$6:F271,F271,Q$6:Q271,1)=1,1,0))</f>
        <v/>
      </c>
      <c r="O271">
        <f>IF(OR(C271="",Q271=0,H271&lt;&gt;""),"",M271*10000+ROW())</f>
        <v/>
      </c>
      <c r="P271">
        <f>IF(OR(C271="",Q271=0),"",IF(AND(C271=Statement!$C$4,K271=Statement!$C$5),M271*10000+ROW(),""))</f>
        <v/>
      </c>
      <c r="Q271">
        <f>IF(AND(ISNUMBER(B271),OR(N(D271)&gt;0,G271&lt;&gt;"")),1,0)</f>
        <v/>
      </c>
    </row>
    <row r="272">
      <c r="A272" s="1" t="n"/>
      <c r="B272" s="21" t="n"/>
      <c r="C272" s="22" t="n"/>
      <c r="D272" s="23" t="n"/>
      <c r="E272" s="24" t="n"/>
      <c r="F272" s="25" t="n"/>
      <c r="G272" s="25" t="n"/>
      <c r="H272" s="24" t="n"/>
      <c r="I272" s="25" t="n"/>
      <c r="J272" s="17">
        <f>IF(AND(C272="",D272="",G272=""),"",IF(NOT(ISNUMBER(B272)),"Needs a date",IF(AND(D272&lt;&gt;"",NOT(ISNUMBER(D272))),"Amount not a number",IF(N(D272)&lt;0,"Amount below zero",IF(AND(N(D272)=0,G272=""),"Needs an amount or goods",IF(C272="","",IF(COUNTIF(Donors!$B$6:$B$305,C272)=0,"Not on Donors","")))))))</f>
        <v/>
      </c>
      <c r="K272" s="1">
        <f>IF(ISNUMBER(B272),YEAR(B272),"")</f>
        <v/>
      </c>
      <c r="L272">
        <f>IF(ISNUMBER(B272),YEAR(B272)*100+MONTH(B272),"")</f>
        <v/>
      </c>
      <c r="M272">
        <f>IF(ISNUMBER(B272),INT(B272),0)</f>
        <v/>
      </c>
      <c r="N272">
        <f>IF(OR(C272="",F272="",Q272=0),0,IF(COUNTIFS(C$6:C272,C272,F$6:F272,F272,Q$6:Q272,1)=1,1,0))</f>
        <v/>
      </c>
      <c r="O272">
        <f>IF(OR(C272="",Q272=0,H272&lt;&gt;""),"",M272*10000+ROW())</f>
        <v/>
      </c>
      <c r="P272">
        <f>IF(OR(C272="",Q272=0),"",IF(AND(C272=Statement!$C$4,K272=Statement!$C$5),M272*10000+ROW(),""))</f>
        <v/>
      </c>
      <c r="Q272">
        <f>IF(AND(ISNUMBER(B272),OR(N(D272)&gt;0,G272&lt;&gt;"")),1,0)</f>
        <v/>
      </c>
    </row>
    <row r="273">
      <c r="A273" s="1" t="n"/>
      <c r="B273" s="21" t="n"/>
      <c r="C273" s="22" t="n"/>
      <c r="D273" s="23" t="n"/>
      <c r="E273" s="24" t="n"/>
      <c r="F273" s="25" t="n"/>
      <c r="G273" s="25" t="n"/>
      <c r="H273" s="24" t="n"/>
      <c r="I273" s="25" t="n"/>
      <c r="J273" s="17">
        <f>IF(AND(C273="",D273="",G273=""),"",IF(NOT(ISNUMBER(B273)),"Needs a date",IF(AND(D273&lt;&gt;"",NOT(ISNUMBER(D273))),"Amount not a number",IF(N(D273)&lt;0,"Amount below zero",IF(AND(N(D273)=0,G273=""),"Needs an amount or goods",IF(C273="","",IF(COUNTIF(Donors!$B$6:$B$305,C273)=0,"Not on Donors","")))))))</f>
        <v/>
      </c>
      <c r="K273" s="1">
        <f>IF(ISNUMBER(B273),YEAR(B273),"")</f>
        <v/>
      </c>
      <c r="L273">
        <f>IF(ISNUMBER(B273),YEAR(B273)*100+MONTH(B273),"")</f>
        <v/>
      </c>
      <c r="M273">
        <f>IF(ISNUMBER(B273),INT(B273),0)</f>
        <v/>
      </c>
      <c r="N273">
        <f>IF(OR(C273="",F273="",Q273=0),0,IF(COUNTIFS(C$6:C273,C273,F$6:F273,F273,Q$6:Q273,1)=1,1,0))</f>
        <v/>
      </c>
      <c r="O273">
        <f>IF(OR(C273="",Q273=0,H273&lt;&gt;""),"",M273*10000+ROW())</f>
        <v/>
      </c>
      <c r="P273">
        <f>IF(OR(C273="",Q273=0),"",IF(AND(C273=Statement!$C$4,K273=Statement!$C$5),M273*10000+ROW(),""))</f>
        <v/>
      </c>
      <c r="Q273">
        <f>IF(AND(ISNUMBER(B273),OR(N(D273)&gt;0,G273&lt;&gt;"")),1,0)</f>
        <v/>
      </c>
    </row>
    <row r="274">
      <c r="A274" s="1" t="n"/>
      <c r="B274" s="21" t="n"/>
      <c r="C274" s="22" t="n"/>
      <c r="D274" s="23" t="n"/>
      <c r="E274" s="24" t="n"/>
      <c r="F274" s="25" t="n"/>
      <c r="G274" s="25" t="n"/>
      <c r="H274" s="24" t="n"/>
      <c r="I274" s="25" t="n"/>
      <c r="J274" s="17">
        <f>IF(AND(C274="",D274="",G274=""),"",IF(NOT(ISNUMBER(B274)),"Needs a date",IF(AND(D274&lt;&gt;"",NOT(ISNUMBER(D274))),"Amount not a number",IF(N(D274)&lt;0,"Amount below zero",IF(AND(N(D274)=0,G274=""),"Needs an amount or goods",IF(C274="","",IF(COUNTIF(Donors!$B$6:$B$305,C274)=0,"Not on Donors","")))))))</f>
        <v/>
      </c>
      <c r="K274" s="1">
        <f>IF(ISNUMBER(B274),YEAR(B274),"")</f>
        <v/>
      </c>
      <c r="L274">
        <f>IF(ISNUMBER(B274),YEAR(B274)*100+MONTH(B274),"")</f>
        <v/>
      </c>
      <c r="M274">
        <f>IF(ISNUMBER(B274),INT(B274),0)</f>
        <v/>
      </c>
      <c r="N274">
        <f>IF(OR(C274="",F274="",Q274=0),0,IF(COUNTIFS(C$6:C274,C274,F$6:F274,F274,Q$6:Q274,1)=1,1,0))</f>
        <v/>
      </c>
      <c r="O274">
        <f>IF(OR(C274="",Q274=0,H274&lt;&gt;""),"",M274*10000+ROW())</f>
        <v/>
      </c>
      <c r="P274">
        <f>IF(OR(C274="",Q274=0),"",IF(AND(C274=Statement!$C$4,K274=Statement!$C$5),M274*10000+ROW(),""))</f>
        <v/>
      </c>
      <c r="Q274">
        <f>IF(AND(ISNUMBER(B274),OR(N(D274)&gt;0,G274&lt;&gt;"")),1,0)</f>
        <v/>
      </c>
    </row>
    <row r="275">
      <c r="A275" s="1" t="n"/>
      <c r="B275" s="21" t="n"/>
      <c r="C275" s="22" t="n"/>
      <c r="D275" s="23" t="n"/>
      <c r="E275" s="24" t="n"/>
      <c r="F275" s="25" t="n"/>
      <c r="G275" s="25" t="n"/>
      <c r="H275" s="24" t="n"/>
      <c r="I275" s="25" t="n"/>
      <c r="J275" s="17">
        <f>IF(AND(C275="",D275="",G275=""),"",IF(NOT(ISNUMBER(B275)),"Needs a date",IF(AND(D275&lt;&gt;"",NOT(ISNUMBER(D275))),"Amount not a number",IF(N(D275)&lt;0,"Amount below zero",IF(AND(N(D275)=0,G275=""),"Needs an amount or goods",IF(C275="","",IF(COUNTIF(Donors!$B$6:$B$305,C275)=0,"Not on Donors","")))))))</f>
        <v/>
      </c>
      <c r="K275" s="1">
        <f>IF(ISNUMBER(B275),YEAR(B275),"")</f>
        <v/>
      </c>
      <c r="L275">
        <f>IF(ISNUMBER(B275),YEAR(B275)*100+MONTH(B275),"")</f>
        <v/>
      </c>
      <c r="M275">
        <f>IF(ISNUMBER(B275),INT(B275),0)</f>
        <v/>
      </c>
      <c r="N275">
        <f>IF(OR(C275="",F275="",Q275=0),0,IF(COUNTIFS(C$6:C275,C275,F$6:F275,F275,Q$6:Q275,1)=1,1,0))</f>
        <v/>
      </c>
      <c r="O275">
        <f>IF(OR(C275="",Q275=0,H275&lt;&gt;""),"",M275*10000+ROW())</f>
        <v/>
      </c>
      <c r="P275">
        <f>IF(OR(C275="",Q275=0),"",IF(AND(C275=Statement!$C$4,K275=Statement!$C$5),M275*10000+ROW(),""))</f>
        <v/>
      </c>
      <c r="Q275">
        <f>IF(AND(ISNUMBER(B275),OR(N(D275)&gt;0,G275&lt;&gt;"")),1,0)</f>
        <v/>
      </c>
    </row>
    <row r="276">
      <c r="A276" s="1" t="n"/>
      <c r="B276" s="21" t="n"/>
      <c r="C276" s="22" t="n"/>
      <c r="D276" s="23" t="n"/>
      <c r="E276" s="24" t="n"/>
      <c r="F276" s="25" t="n"/>
      <c r="G276" s="25" t="n"/>
      <c r="H276" s="24" t="n"/>
      <c r="I276" s="25" t="n"/>
      <c r="J276" s="17">
        <f>IF(AND(C276="",D276="",G276=""),"",IF(NOT(ISNUMBER(B276)),"Needs a date",IF(AND(D276&lt;&gt;"",NOT(ISNUMBER(D276))),"Amount not a number",IF(N(D276)&lt;0,"Amount below zero",IF(AND(N(D276)=0,G276=""),"Needs an amount or goods",IF(C276="","",IF(COUNTIF(Donors!$B$6:$B$305,C276)=0,"Not on Donors","")))))))</f>
        <v/>
      </c>
      <c r="K276" s="1">
        <f>IF(ISNUMBER(B276),YEAR(B276),"")</f>
        <v/>
      </c>
      <c r="L276">
        <f>IF(ISNUMBER(B276),YEAR(B276)*100+MONTH(B276),"")</f>
        <v/>
      </c>
      <c r="M276">
        <f>IF(ISNUMBER(B276),INT(B276),0)</f>
        <v/>
      </c>
      <c r="N276">
        <f>IF(OR(C276="",F276="",Q276=0),0,IF(COUNTIFS(C$6:C276,C276,F$6:F276,F276,Q$6:Q276,1)=1,1,0))</f>
        <v/>
      </c>
      <c r="O276">
        <f>IF(OR(C276="",Q276=0,H276&lt;&gt;""),"",M276*10000+ROW())</f>
        <v/>
      </c>
      <c r="P276">
        <f>IF(OR(C276="",Q276=0),"",IF(AND(C276=Statement!$C$4,K276=Statement!$C$5),M276*10000+ROW(),""))</f>
        <v/>
      </c>
      <c r="Q276">
        <f>IF(AND(ISNUMBER(B276),OR(N(D276)&gt;0,G276&lt;&gt;"")),1,0)</f>
        <v/>
      </c>
    </row>
    <row r="277">
      <c r="A277" s="1" t="n"/>
      <c r="B277" s="21" t="n"/>
      <c r="C277" s="22" t="n"/>
      <c r="D277" s="23" t="n"/>
      <c r="E277" s="24" t="n"/>
      <c r="F277" s="25" t="n"/>
      <c r="G277" s="25" t="n"/>
      <c r="H277" s="24" t="n"/>
      <c r="I277" s="25" t="n"/>
      <c r="J277" s="17">
        <f>IF(AND(C277="",D277="",G277=""),"",IF(NOT(ISNUMBER(B277)),"Needs a date",IF(AND(D277&lt;&gt;"",NOT(ISNUMBER(D277))),"Amount not a number",IF(N(D277)&lt;0,"Amount below zero",IF(AND(N(D277)=0,G277=""),"Needs an amount or goods",IF(C277="","",IF(COUNTIF(Donors!$B$6:$B$305,C277)=0,"Not on Donors","")))))))</f>
        <v/>
      </c>
      <c r="K277" s="1">
        <f>IF(ISNUMBER(B277),YEAR(B277),"")</f>
        <v/>
      </c>
      <c r="L277">
        <f>IF(ISNUMBER(B277),YEAR(B277)*100+MONTH(B277),"")</f>
        <v/>
      </c>
      <c r="M277">
        <f>IF(ISNUMBER(B277),INT(B277),0)</f>
        <v/>
      </c>
      <c r="N277">
        <f>IF(OR(C277="",F277="",Q277=0),0,IF(COUNTIFS(C$6:C277,C277,F$6:F277,F277,Q$6:Q277,1)=1,1,0))</f>
        <v/>
      </c>
      <c r="O277">
        <f>IF(OR(C277="",Q277=0,H277&lt;&gt;""),"",M277*10000+ROW())</f>
        <v/>
      </c>
      <c r="P277">
        <f>IF(OR(C277="",Q277=0),"",IF(AND(C277=Statement!$C$4,K277=Statement!$C$5),M277*10000+ROW(),""))</f>
        <v/>
      </c>
      <c r="Q277">
        <f>IF(AND(ISNUMBER(B277),OR(N(D277)&gt;0,G277&lt;&gt;"")),1,0)</f>
        <v/>
      </c>
    </row>
    <row r="278">
      <c r="A278" s="1" t="n"/>
      <c r="B278" s="21" t="n"/>
      <c r="C278" s="22" t="n"/>
      <c r="D278" s="23" t="n"/>
      <c r="E278" s="24" t="n"/>
      <c r="F278" s="25" t="n"/>
      <c r="G278" s="25" t="n"/>
      <c r="H278" s="24" t="n"/>
      <c r="I278" s="25" t="n"/>
      <c r="J278" s="17">
        <f>IF(AND(C278="",D278="",G278=""),"",IF(NOT(ISNUMBER(B278)),"Needs a date",IF(AND(D278&lt;&gt;"",NOT(ISNUMBER(D278))),"Amount not a number",IF(N(D278)&lt;0,"Amount below zero",IF(AND(N(D278)=0,G278=""),"Needs an amount or goods",IF(C278="","",IF(COUNTIF(Donors!$B$6:$B$305,C278)=0,"Not on Donors","")))))))</f>
        <v/>
      </c>
      <c r="K278" s="1">
        <f>IF(ISNUMBER(B278),YEAR(B278),"")</f>
        <v/>
      </c>
      <c r="L278">
        <f>IF(ISNUMBER(B278),YEAR(B278)*100+MONTH(B278),"")</f>
        <v/>
      </c>
      <c r="M278">
        <f>IF(ISNUMBER(B278),INT(B278),0)</f>
        <v/>
      </c>
      <c r="N278">
        <f>IF(OR(C278="",F278="",Q278=0),0,IF(COUNTIFS(C$6:C278,C278,F$6:F278,F278,Q$6:Q278,1)=1,1,0))</f>
        <v/>
      </c>
      <c r="O278">
        <f>IF(OR(C278="",Q278=0,H278&lt;&gt;""),"",M278*10000+ROW())</f>
        <v/>
      </c>
      <c r="P278">
        <f>IF(OR(C278="",Q278=0),"",IF(AND(C278=Statement!$C$4,K278=Statement!$C$5),M278*10000+ROW(),""))</f>
        <v/>
      </c>
      <c r="Q278">
        <f>IF(AND(ISNUMBER(B278),OR(N(D278)&gt;0,G278&lt;&gt;"")),1,0)</f>
        <v/>
      </c>
    </row>
    <row r="279">
      <c r="A279" s="1" t="n"/>
      <c r="B279" s="21" t="n"/>
      <c r="C279" s="22" t="n"/>
      <c r="D279" s="23" t="n"/>
      <c r="E279" s="24" t="n"/>
      <c r="F279" s="25" t="n"/>
      <c r="G279" s="25" t="n"/>
      <c r="H279" s="24" t="n"/>
      <c r="I279" s="25" t="n"/>
      <c r="J279" s="17">
        <f>IF(AND(C279="",D279="",G279=""),"",IF(NOT(ISNUMBER(B279)),"Needs a date",IF(AND(D279&lt;&gt;"",NOT(ISNUMBER(D279))),"Amount not a number",IF(N(D279)&lt;0,"Amount below zero",IF(AND(N(D279)=0,G279=""),"Needs an amount or goods",IF(C279="","",IF(COUNTIF(Donors!$B$6:$B$305,C279)=0,"Not on Donors","")))))))</f>
        <v/>
      </c>
      <c r="K279" s="1">
        <f>IF(ISNUMBER(B279),YEAR(B279),"")</f>
        <v/>
      </c>
      <c r="L279">
        <f>IF(ISNUMBER(B279),YEAR(B279)*100+MONTH(B279),"")</f>
        <v/>
      </c>
      <c r="M279">
        <f>IF(ISNUMBER(B279),INT(B279),0)</f>
        <v/>
      </c>
      <c r="N279">
        <f>IF(OR(C279="",F279="",Q279=0),0,IF(COUNTIFS(C$6:C279,C279,F$6:F279,F279,Q$6:Q279,1)=1,1,0))</f>
        <v/>
      </c>
      <c r="O279">
        <f>IF(OR(C279="",Q279=0,H279&lt;&gt;""),"",M279*10000+ROW())</f>
        <v/>
      </c>
      <c r="P279">
        <f>IF(OR(C279="",Q279=0),"",IF(AND(C279=Statement!$C$4,K279=Statement!$C$5),M279*10000+ROW(),""))</f>
        <v/>
      </c>
      <c r="Q279">
        <f>IF(AND(ISNUMBER(B279),OR(N(D279)&gt;0,G279&lt;&gt;"")),1,0)</f>
        <v/>
      </c>
    </row>
    <row r="280">
      <c r="A280" s="1" t="n"/>
      <c r="B280" s="21" t="n"/>
      <c r="C280" s="22" t="n"/>
      <c r="D280" s="23" t="n"/>
      <c r="E280" s="24" t="n"/>
      <c r="F280" s="25" t="n"/>
      <c r="G280" s="25" t="n"/>
      <c r="H280" s="24" t="n"/>
      <c r="I280" s="25" t="n"/>
      <c r="J280" s="17">
        <f>IF(AND(C280="",D280="",G280=""),"",IF(NOT(ISNUMBER(B280)),"Needs a date",IF(AND(D280&lt;&gt;"",NOT(ISNUMBER(D280))),"Amount not a number",IF(N(D280)&lt;0,"Amount below zero",IF(AND(N(D280)=0,G280=""),"Needs an amount or goods",IF(C280="","",IF(COUNTIF(Donors!$B$6:$B$305,C280)=0,"Not on Donors","")))))))</f>
        <v/>
      </c>
      <c r="K280" s="1">
        <f>IF(ISNUMBER(B280),YEAR(B280),"")</f>
        <v/>
      </c>
      <c r="L280">
        <f>IF(ISNUMBER(B280),YEAR(B280)*100+MONTH(B280),"")</f>
        <v/>
      </c>
      <c r="M280">
        <f>IF(ISNUMBER(B280),INT(B280),0)</f>
        <v/>
      </c>
      <c r="N280">
        <f>IF(OR(C280="",F280="",Q280=0),0,IF(COUNTIFS(C$6:C280,C280,F$6:F280,F280,Q$6:Q280,1)=1,1,0))</f>
        <v/>
      </c>
      <c r="O280">
        <f>IF(OR(C280="",Q280=0,H280&lt;&gt;""),"",M280*10000+ROW())</f>
        <v/>
      </c>
      <c r="P280">
        <f>IF(OR(C280="",Q280=0),"",IF(AND(C280=Statement!$C$4,K280=Statement!$C$5),M280*10000+ROW(),""))</f>
        <v/>
      </c>
      <c r="Q280">
        <f>IF(AND(ISNUMBER(B280),OR(N(D280)&gt;0,G280&lt;&gt;"")),1,0)</f>
        <v/>
      </c>
    </row>
    <row r="281">
      <c r="A281" s="1" t="n"/>
      <c r="B281" s="21" t="n"/>
      <c r="C281" s="22" t="n"/>
      <c r="D281" s="23" t="n"/>
      <c r="E281" s="24" t="n"/>
      <c r="F281" s="25" t="n"/>
      <c r="G281" s="25" t="n"/>
      <c r="H281" s="24" t="n"/>
      <c r="I281" s="25" t="n"/>
      <c r="J281" s="17">
        <f>IF(AND(C281="",D281="",G281=""),"",IF(NOT(ISNUMBER(B281)),"Needs a date",IF(AND(D281&lt;&gt;"",NOT(ISNUMBER(D281))),"Amount not a number",IF(N(D281)&lt;0,"Amount below zero",IF(AND(N(D281)=0,G281=""),"Needs an amount or goods",IF(C281="","",IF(COUNTIF(Donors!$B$6:$B$305,C281)=0,"Not on Donors","")))))))</f>
        <v/>
      </c>
      <c r="K281" s="1">
        <f>IF(ISNUMBER(B281),YEAR(B281),"")</f>
        <v/>
      </c>
      <c r="L281">
        <f>IF(ISNUMBER(B281),YEAR(B281)*100+MONTH(B281),"")</f>
        <v/>
      </c>
      <c r="M281">
        <f>IF(ISNUMBER(B281),INT(B281),0)</f>
        <v/>
      </c>
      <c r="N281">
        <f>IF(OR(C281="",F281="",Q281=0),0,IF(COUNTIFS(C$6:C281,C281,F$6:F281,F281,Q$6:Q281,1)=1,1,0))</f>
        <v/>
      </c>
      <c r="O281">
        <f>IF(OR(C281="",Q281=0,H281&lt;&gt;""),"",M281*10000+ROW())</f>
        <v/>
      </c>
      <c r="P281">
        <f>IF(OR(C281="",Q281=0),"",IF(AND(C281=Statement!$C$4,K281=Statement!$C$5),M281*10000+ROW(),""))</f>
        <v/>
      </c>
      <c r="Q281">
        <f>IF(AND(ISNUMBER(B281),OR(N(D281)&gt;0,G281&lt;&gt;"")),1,0)</f>
        <v/>
      </c>
    </row>
    <row r="282">
      <c r="A282" s="1" t="n"/>
      <c r="B282" s="21" t="n"/>
      <c r="C282" s="22" t="n"/>
      <c r="D282" s="23" t="n"/>
      <c r="E282" s="24" t="n"/>
      <c r="F282" s="25" t="n"/>
      <c r="G282" s="25" t="n"/>
      <c r="H282" s="24" t="n"/>
      <c r="I282" s="25" t="n"/>
      <c r="J282" s="17">
        <f>IF(AND(C282="",D282="",G282=""),"",IF(NOT(ISNUMBER(B282)),"Needs a date",IF(AND(D282&lt;&gt;"",NOT(ISNUMBER(D282))),"Amount not a number",IF(N(D282)&lt;0,"Amount below zero",IF(AND(N(D282)=0,G282=""),"Needs an amount or goods",IF(C282="","",IF(COUNTIF(Donors!$B$6:$B$305,C282)=0,"Not on Donors","")))))))</f>
        <v/>
      </c>
      <c r="K282" s="1">
        <f>IF(ISNUMBER(B282),YEAR(B282),"")</f>
        <v/>
      </c>
      <c r="L282">
        <f>IF(ISNUMBER(B282),YEAR(B282)*100+MONTH(B282),"")</f>
        <v/>
      </c>
      <c r="M282">
        <f>IF(ISNUMBER(B282),INT(B282),0)</f>
        <v/>
      </c>
      <c r="N282">
        <f>IF(OR(C282="",F282="",Q282=0),0,IF(COUNTIFS(C$6:C282,C282,F$6:F282,F282,Q$6:Q282,1)=1,1,0))</f>
        <v/>
      </c>
      <c r="O282">
        <f>IF(OR(C282="",Q282=0,H282&lt;&gt;""),"",M282*10000+ROW())</f>
        <v/>
      </c>
      <c r="P282">
        <f>IF(OR(C282="",Q282=0),"",IF(AND(C282=Statement!$C$4,K282=Statement!$C$5),M282*10000+ROW(),""))</f>
        <v/>
      </c>
      <c r="Q282">
        <f>IF(AND(ISNUMBER(B282),OR(N(D282)&gt;0,G282&lt;&gt;"")),1,0)</f>
        <v/>
      </c>
    </row>
    <row r="283">
      <c r="A283" s="1" t="n"/>
      <c r="B283" s="21" t="n"/>
      <c r="C283" s="22" t="n"/>
      <c r="D283" s="23" t="n"/>
      <c r="E283" s="24" t="n"/>
      <c r="F283" s="25" t="n"/>
      <c r="G283" s="25" t="n"/>
      <c r="H283" s="24" t="n"/>
      <c r="I283" s="25" t="n"/>
      <c r="J283" s="17">
        <f>IF(AND(C283="",D283="",G283=""),"",IF(NOT(ISNUMBER(B283)),"Needs a date",IF(AND(D283&lt;&gt;"",NOT(ISNUMBER(D283))),"Amount not a number",IF(N(D283)&lt;0,"Amount below zero",IF(AND(N(D283)=0,G283=""),"Needs an amount or goods",IF(C283="","",IF(COUNTIF(Donors!$B$6:$B$305,C283)=0,"Not on Donors","")))))))</f>
        <v/>
      </c>
      <c r="K283" s="1">
        <f>IF(ISNUMBER(B283),YEAR(B283),"")</f>
        <v/>
      </c>
      <c r="L283">
        <f>IF(ISNUMBER(B283),YEAR(B283)*100+MONTH(B283),"")</f>
        <v/>
      </c>
      <c r="M283">
        <f>IF(ISNUMBER(B283),INT(B283),0)</f>
        <v/>
      </c>
      <c r="N283">
        <f>IF(OR(C283="",F283="",Q283=0),0,IF(COUNTIFS(C$6:C283,C283,F$6:F283,F283,Q$6:Q283,1)=1,1,0))</f>
        <v/>
      </c>
      <c r="O283">
        <f>IF(OR(C283="",Q283=0,H283&lt;&gt;""),"",M283*10000+ROW())</f>
        <v/>
      </c>
      <c r="P283">
        <f>IF(OR(C283="",Q283=0),"",IF(AND(C283=Statement!$C$4,K283=Statement!$C$5),M283*10000+ROW(),""))</f>
        <v/>
      </c>
      <c r="Q283">
        <f>IF(AND(ISNUMBER(B283),OR(N(D283)&gt;0,G283&lt;&gt;"")),1,0)</f>
        <v/>
      </c>
    </row>
    <row r="284">
      <c r="A284" s="1" t="n"/>
      <c r="B284" s="21" t="n"/>
      <c r="C284" s="22" t="n"/>
      <c r="D284" s="23" t="n"/>
      <c r="E284" s="24" t="n"/>
      <c r="F284" s="25" t="n"/>
      <c r="G284" s="25" t="n"/>
      <c r="H284" s="24" t="n"/>
      <c r="I284" s="25" t="n"/>
      <c r="J284" s="17">
        <f>IF(AND(C284="",D284="",G284=""),"",IF(NOT(ISNUMBER(B284)),"Needs a date",IF(AND(D284&lt;&gt;"",NOT(ISNUMBER(D284))),"Amount not a number",IF(N(D284)&lt;0,"Amount below zero",IF(AND(N(D284)=0,G284=""),"Needs an amount or goods",IF(C284="","",IF(COUNTIF(Donors!$B$6:$B$305,C284)=0,"Not on Donors","")))))))</f>
        <v/>
      </c>
      <c r="K284" s="1">
        <f>IF(ISNUMBER(B284),YEAR(B284),"")</f>
        <v/>
      </c>
      <c r="L284">
        <f>IF(ISNUMBER(B284),YEAR(B284)*100+MONTH(B284),"")</f>
        <v/>
      </c>
      <c r="M284">
        <f>IF(ISNUMBER(B284),INT(B284),0)</f>
        <v/>
      </c>
      <c r="N284">
        <f>IF(OR(C284="",F284="",Q284=0),0,IF(COUNTIFS(C$6:C284,C284,F$6:F284,F284,Q$6:Q284,1)=1,1,0))</f>
        <v/>
      </c>
      <c r="O284">
        <f>IF(OR(C284="",Q284=0,H284&lt;&gt;""),"",M284*10000+ROW())</f>
        <v/>
      </c>
      <c r="P284">
        <f>IF(OR(C284="",Q284=0),"",IF(AND(C284=Statement!$C$4,K284=Statement!$C$5),M284*10000+ROW(),""))</f>
        <v/>
      </c>
      <c r="Q284">
        <f>IF(AND(ISNUMBER(B284),OR(N(D284)&gt;0,G284&lt;&gt;"")),1,0)</f>
        <v/>
      </c>
    </row>
    <row r="285">
      <c r="A285" s="1" t="n"/>
      <c r="B285" s="21" t="n"/>
      <c r="C285" s="22" t="n"/>
      <c r="D285" s="23" t="n"/>
      <c r="E285" s="24" t="n"/>
      <c r="F285" s="25" t="n"/>
      <c r="G285" s="25" t="n"/>
      <c r="H285" s="24" t="n"/>
      <c r="I285" s="25" t="n"/>
      <c r="J285" s="17">
        <f>IF(AND(C285="",D285="",G285=""),"",IF(NOT(ISNUMBER(B285)),"Needs a date",IF(AND(D285&lt;&gt;"",NOT(ISNUMBER(D285))),"Amount not a number",IF(N(D285)&lt;0,"Amount below zero",IF(AND(N(D285)=0,G285=""),"Needs an amount or goods",IF(C285="","",IF(COUNTIF(Donors!$B$6:$B$305,C285)=0,"Not on Donors","")))))))</f>
        <v/>
      </c>
      <c r="K285" s="1">
        <f>IF(ISNUMBER(B285),YEAR(B285),"")</f>
        <v/>
      </c>
      <c r="L285">
        <f>IF(ISNUMBER(B285),YEAR(B285)*100+MONTH(B285),"")</f>
        <v/>
      </c>
      <c r="M285">
        <f>IF(ISNUMBER(B285),INT(B285),0)</f>
        <v/>
      </c>
      <c r="N285">
        <f>IF(OR(C285="",F285="",Q285=0),0,IF(COUNTIFS(C$6:C285,C285,F$6:F285,F285,Q$6:Q285,1)=1,1,0))</f>
        <v/>
      </c>
      <c r="O285">
        <f>IF(OR(C285="",Q285=0,H285&lt;&gt;""),"",M285*10000+ROW())</f>
        <v/>
      </c>
      <c r="P285">
        <f>IF(OR(C285="",Q285=0),"",IF(AND(C285=Statement!$C$4,K285=Statement!$C$5),M285*10000+ROW(),""))</f>
        <v/>
      </c>
      <c r="Q285">
        <f>IF(AND(ISNUMBER(B285),OR(N(D285)&gt;0,G285&lt;&gt;"")),1,0)</f>
        <v/>
      </c>
    </row>
    <row r="286">
      <c r="A286" s="1" t="n"/>
      <c r="B286" s="21" t="n"/>
      <c r="C286" s="22" t="n"/>
      <c r="D286" s="23" t="n"/>
      <c r="E286" s="24" t="n"/>
      <c r="F286" s="25" t="n"/>
      <c r="G286" s="25" t="n"/>
      <c r="H286" s="24" t="n"/>
      <c r="I286" s="25" t="n"/>
      <c r="J286" s="17">
        <f>IF(AND(C286="",D286="",G286=""),"",IF(NOT(ISNUMBER(B286)),"Needs a date",IF(AND(D286&lt;&gt;"",NOT(ISNUMBER(D286))),"Amount not a number",IF(N(D286)&lt;0,"Amount below zero",IF(AND(N(D286)=0,G286=""),"Needs an amount or goods",IF(C286="","",IF(COUNTIF(Donors!$B$6:$B$305,C286)=0,"Not on Donors","")))))))</f>
        <v/>
      </c>
      <c r="K286" s="1">
        <f>IF(ISNUMBER(B286),YEAR(B286),"")</f>
        <v/>
      </c>
      <c r="L286">
        <f>IF(ISNUMBER(B286),YEAR(B286)*100+MONTH(B286),"")</f>
        <v/>
      </c>
      <c r="M286">
        <f>IF(ISNUMBER(B286),INT(B286),0)</f>
        <v/>
      </c>
      <c r="N286">
        <f>IF(OR(C286="",F286="",Q286=0),0,IF(COUNTIFS(C$6:C286,C286,F$6:F286,F286,Q$6:Q286,1)=1,1,0))</f>
        <v/>
      </c>
      <c r="O286">
        <f>IF(OR(C286="",Q286=0,H286&lt;&gt;""),"",M286*10000+ROW())</f>
        <v/>
      </c>
      <c r="P286">
        <f>IF(OR(C286="",Q286=0),"",IF(AND(C286=Statement!$C$4,K286=Statement!$C$5),M286*10000+ROW(),""))</f>
        <v/>
      </c>
      <c r="Q286">
        <f>IF(AND(ISNUMBER(B286),OR(N(D286)&gt;0,G286&lt;&gt;"")),1,0)</f>
        <v/>
      </c>
    </row>
    <row r="287">
      <c r="A287" s="1" t="n"/>
      <c r="B287" s="21" t="n"/>
      <c r="C287" s="22" t="n"/>
      <c r="D287" s="23" t="n"/>
      <c r="E287" s="24" t="n"/>
      <c r="F287" s="25" t="n"/>
      <c r="G287" s="25" t="n"/>
      <c r="H287" s="24" t="n"/>
      <c r="I287" s="25" t="n"/>
      <c r="J287" s="17">
        <f>IF(AND(C287="",D287="",G287=""),"",IF(NOT(ISNUMBER(B287)),"Needs a date",IF(AND(D287&lt;&gt;"",NOT(ISNUMBER(D287))),"Amount not a number",IF(N(D287)&lt;0,"Amount below zero",IF(AND(N(D287)=0,G287=""),"Needs an amount or goods",IF(C287="","",IF(COUNTIF(Donors!$B$6:$B$305,C287)=0,"Not on Donors","")))))))</f>
        <v/>
      </c>
      <c r="K287" s="1">
        <f>IF(ISNUMBER(B287),YEAR(B287),"")</f>
        <v/>
      </c>
      <c r="L287">
        <f>IF(ISNUMBER(B287),YEAR(B287)*100+MONTH(B287),"")</f>
        <v/>
      </c>
      <c r="M287">
        <f>IF(ISNUMBER(B287),INT(B287),0)</f>
        <v/>
      </c>
      <c r="N287">
        <f>IF(OR(C287="",F287="",Q287=0),0,IF(COUNTIFS(C$6:C287,C287,F$6:F287,F287,Q$6:Q287,1)=1,1,0))</f>
        <v/>
      </c>
      <c r="O287">
        <f>IF(OR(C287="",Q287=0,H287&lt;&gt;""),"",M287*10000+ROW())</f>
        <v/>
      </c>
      <c r="P287">
        <f>IF(OR(C287="",Q287=0),"",IF(AND(C287=Statement!$C$4,K287=Statement!$C$5),M287*10000+ROW(),""))</f>
        <v/>
      </c>
      <c r="Q287">
        <f>IF(AND(ISNUMBER(B287),OR(N(D287)&gt;0,G287&lt;&gt;"")),1,0)</f>
        <v/>
      </c>
    </row>
    <row r="288">
      <c r="A288" s="1" t="n"/>
      <c r="B288" s="21" t="n"/>
      <c r="C288" s="22" t="n"/>
      <c r="D288" s="23" t="n"/>
      <c r="E288" s="24" t="n"/>
      <c r="F288" s="25" t="n"/>
      <c r="G288" s="25" t="n"/>
      <c r="H288" s="24" t="n"/>
      <c r="I288" s="25" t="n"/>
      <c r="J288" s="17">
        <f>IF(AND(C288="",D288="",G288=""),"",IF(NOT(ISNUMBER(B288)),"Needs a date",IF(AND(D288&lt;&gt;"",NOT(ISNUMBER(D288))),"Amount not a number",IF(N(D288)&lt;0,"Amount below zero",IF(AND(N(D288)=0,G288=""),"Needs an amount or goods",IF(C288="","",IF(COUNTIF(Donors!$B$6:$B$305,C288)=0,"Not on Donors","")))))))</f>
        <v/>
      </c>
      <c r="K288" s="1">
        <f>IF(ISNUMBER(B288),YEAR(B288),"")</f>
        <v/>
      </c>
      <c r="L288">
        <f>IF(ISNUMBER(B288),YEAR(B288)*100+MONTH(B288),"")</f>
        <v/>
      </c>
      <c r="M288">
        <f>IF(ISNUMBER(B288),INT(B288),0)</f>
        <v/>
      </c>
      <c r="N288">
        <f>IF(OR(C288="",F288="",Q288=0),0,IF(COUNTIFS(C$6:C288,C288,F$6:F288,F288,Q$6:Q288,1)=1,1,0))</f>
        <v/>
      </c>
      <c r="O288">
        <f>IF(OR(C288="",Q288=0,H288&lt;&gt;""),"",M288*10000+ROW())</f>
        <v/>
      </c>
      <c r="P288">
        <f>IF(OR(C288="",Q288=0),"",IF(AND(C288=Statement!$C$4,K288=Statement!$C$5),M288*10000+ROW(),""))</f>
        <v/>
      </c>
      <c r="Q288">
        <f>IF(AND(ISNUMBER(B288),OR(N(D288)&gt;0,G288&lt;&gt;"")),1,0)</f>
        <v/>
      </c>
    </row>
    <row r="289">
      <c r="A289" s="1" t="n"/>
      <c r="B289" s="21" t="n"/>
      <c r="C289" s="22" t="n"/>
      <c r="D289" s="23" t="n"/>
      <c r="E289" s="24" t="n"/>
      <c r="F289" s="25" t="n"/>
      <c r="G289" s="25" t="n"/>
      <c r="H289" s="24" t="n"/>
      <c r="I289" s="25" t="n"/>
      <c r="J289" s="17">
        <f>IF(AND(C289="",D289="",G289=""),"",IF(NOT(ISNUMBER(B289)),"Needs a date",IF(AND(D289&lt;&gt;"",NOT(ISNUMBER(D289))),"Amount not a number",IF(N(D289)&lt;0,"Amount below zero",IF(AND(N(D289)=0,G289=""),"Needs an amount or goods",IF(C289="","",IF(COUNTIF(Donors!$B$6:$B$305,C289)=0,"Not on Donors","")))))))</f>
        <v/>
      </c>
      <c r="K289" s="1">
        <f>IF(ISNUMBER(B289),YEAR(B289),"")</f>
        <v/>
      </c>
      <c r="L289">
        <f>IF(ISNUMBER(B289),YEAR(B289)*100+MONTH(B289),"")</f>
        <v/>
      </c>
      <c r="M289">
        <f>IF(ISNUMBER(B289),INT(B289),0)</f>
        <v/>
      </c>
      <c r="N289">
        <f>IF(OR(C289="",F289="",Q289=0),0,IF(COUNTIFS(C$6:C289,C289,F$6:F289,F289,Q$6:Q289,1)=1,1,0))</f>
        <v/>
      </c>
      <c r="O289">
        <f>IF(OR(C289="",Q289=0,H289&lt;&gt;""),"",M289*10000+ROW())</f>
        <v/>
      </c>
      <c r="P289">
        <f>IF(OR(C289="",Q289=0),"",IF(AND(C289=Statement!$C$4,K289=Statement!$C$5),M289*10000+ROW(),""))</f>
        <v/>
      </c>
      <c r="Q289">
        <f>IF(AND(ISNUMBER(B289),OR(N(D289)&gt;0,G289&lt;&gt;"")),1,0)</f>
        <v/>
      </c>
    </row>
    <row r="290">
      <c r="A290" s="1" t="n"/>
      <c r="B290" s="21" t="n"/>
      <c r="C290" s="22" t="n"/>
      <c r="D290" s="23" t="n"/>
      <c r="E290" s="24" t="n"/>
      <c r="F290" s="25" t="n"/>
      <c r="G290" s="25" t="n"/>
      <c r="H290" s="24" t="n"/>
      <c r="I290" s="25" t="n"/>
      <c r="J290" s="17">
        <f>IF(AND(C290="",D290="",G290=""),"",IF(NOT(ISNUMBER(B290)),"Needs a date",IF(AND(D290&lt;&gt;"",NOT(ISNUMBER(D290))),"Amount not a number",IF(N(D290)&lt;0,"Amount below zero",IF(AND(N(D290)=0,G290=""),"Needs an amount or goods",IF(C290="","",IF(COUNTIF(Donors!$B$6:$B$305,C290)=0,"Not on Donors","")))))))</f>
        <v/>
      </c>
      <c r="K290" s="1">
        <f>IF(ISNUMBER(B290),YEAR(B290),"")</f>
        <v/>
      </c>
      <c r="L290">
        <f>IF(ISNUMBER(B290),YEAR(B290)*100+MONTH(B290),"")</f>
        <v/>
      </c>
      <c r="M290">
        <f>IF(ISNUMBER(B290),INT(B290),0)</f>
        <v/>
      </c>
      <c r="N290">
        <f>IF(OR(C290="",F290="",Q290=0),0,IF(COUNTIFS(C$6:C290,C290,F$6:F290,F290,Q$6:Q290,1)=1,1,0))</f>
        <v/>
      </c>
      <c r="O290">
        <f>IF(OR(C290="",Q290=0,H290&lt;&gt;""),"",M290*10000+ROW())</f>
        <v/>
      </c>
      <c r="P290">
        <f>IF(OR(C290="",Q290=0),"",IF(AND(C290=Statement!$C$4,K290=Statement!$C$5),M290*10000+ROW(),""))</f>
        <v/>
      </c>
      <c r="Q290">
        <f>IF(AND(ISNUMBER(B290),OR(N(D290)&gt;0,G290&lt;&gt;"")),1,0)</f>
        <v/>
      </c>
    </row>
    <row r="291">
      <c r="A291" s="1" t="n"/>
      <c r="B291" s="21" t="n"/>
      <c r="C291" s="22" t="n"/>
      <c r="D291" s="23" t="n"/>
      <c r="E291" s="24" t="n"/>
      <c r="F291" s="25" t="n"/>
      <c r="G291" s="25" t="n"/>
      <c r="H291" s="24" t="n"/>
      <c r="I291" s="25" t="n"/>
      <c r="J291" s="17">
        <f>IF(AND(C291="",D291="",G291=""),"",IF(NOT(ISNUMBER(B291)),"Needs a date",IF(AND(D291&lt;&gt;"",NOT(ISNUMBER(D291))),"Amount not a number",IF(N(D291)&lt;0,"Amount below zero",IF(AND(N(D291)=0,G291=""),"Needs an amount or goods",IF(C291="","",IF(COUNTIF(Donors!$B$6:$B$305,C291)=0,"Not on Donors","")))))))</f>
        <v/>
      </c>
      <c r="K291" s="1">
        <f>IF(ISNUMBER(B291),YEAR(B291),"")</f>
        <v/>
      </c>
      <c r="L291">
        <f>IF(ISNUMBER(B291),YEAR(B291)*100+MONTH(B291),"")</f>
        <v/>
      </c>
      <c r="M291">
        <f>IF(ISNUMBER(B291),INT(B291),0)</f>
        <v/>
      </c>
      <c r="N291">
        <f>IF(OR(C291="",F291="",Q291=0),0,IF(COUNTIFS(C$6:C291,C291,F$6:F291,F291,Q$6:Q291,1)=1,1,0))</f>
        <v/>
      </c>
      <c r="O291">
        <f>IF(OR(C291="",Q291=0,H291&lt;&gt;""),"",M291*10000+ROW())</f>
        <v/>
      </c>
      <c r="P291">
        <f>IF(OR(C291="",Q291=0),"",IF(AND(C291=Statement!$C$4,K291=Statement!$C$5),M291*10000+ROW(),""))</f>
        <v/>
      </c>
      <c r="Q291">
        <f>IF(AND(ISNUMBER(B291),OR(N(D291)&gt;0,G291&lt;&gt;"")),1,0)</f>
        <v/>
      </c>
    </row>
    <row r="292">
      <c r="A292" s="1" t="n"/>
      <c r="B292" s="21" t="n"/>
      <c r="C292" s="22" t="n"/>
      <c r="D292" s="23" t="n"/>
      <c r="E292" s="24" t="n"/>
      <c r="F292" s="25" t="n"/>
      <c r="G292" s="25" t="n"/>
      <c r="H292" s="24" t="n"/>
      <c r="I292" s="25" t="n"/>
      <c r="J292" s="17">
        <f>IF(AND(C292="",D292="",G292=""),"",IF(NOT(ISNUMBER(B292)),"Needs a date",IF(AND(D292&lt;&gt;"",NOT(ISNUMBER(D292))),"Amount not a number",IF(N(D292)&lt;0,"Amount below zero",IF(AND(N(D292)=0,G292=""),"Needs an amount or goods",IF(C292="","",IF(COUNTIF(Donors!$B$6:$B$305,C292)=0,"Not on Donors","")))))))</f>
        <v/>
      </c>
      <c r="K292" s="1">
        <f>IF(ISNUMBER(B292),YEAR(B292),"")</f>
        <v/>
      </c>
      <c r="L292">
        <f>IF(ISNUMBER(B292),YEAR(B292)*100+MONTH(B292),"")</f>
        <v/>
      </c>
      <c r="M292">
        <f>IF(ISNUMBER(B292),INT(B292),0)</f>
        <v/>
      </c>
      <c r="N292">
        <f>IF(OR(C292="",F292="",Q292=0),0,IF(COUNTIFS(C$6:C292,C292,F$6:F292,F292,Q$6:Q292,1)=1,1,0))</f>
        <v/>
      </c>
      <c r="O292">
        <f>IF(OR(C292="",Q292=0,H292&lt;&gt;""),"",M292*10000+ROW())</f>
        <v/>
      </c>
      <c r="P292">
        <f>IF(OR(C292="",Q292=0),"",IF(AND(C292=Statement!$C$4,K292=Statement!$C$5),M292*10000+ROW(),""))</f>
        <v/>
      </c>
      <c r="Q292">
        <f>IF(AND(ISNUMBER(B292),OR(N(D292)&gt;0,G292&lt;&gt;"")),1,0)</f>
        <v/>
      </c>
    </row>
    <row r="293">
      <c r="A293" s="1" t="n"/>
      <c r="B293" s="21" t="n"/>
      <c r="C293" s="22" t="n"/>
      <c r="D293" s="23" t="n"/>
      <c r="E293" s="24" t="n"/>
      <c r="F293" s="25" t="n"/>
      <c r="G293" s="25" t="n"/>
      <c r="H293" s="24" t="n"/>
      <c r="I293" s="25" t="n"/>
      <c r="J293" s="17">
        <f>IF(AND(C293="",D293="",G293=""),"",IF(NOT(ISNUMBER(B293)),"Needs a date",IF(AND(D293&lt;&gt;"",NOT(ISNUMBER(D293))),"Amount not a number",IF(N(D293)&lt;0,"Amount below zero",IF(AND(N(D293)=0,G293=""),"Needs an amount or goods",IF(C293="","",IF(COUNTIF(Donors!$B$6:$B$305,C293)=0,"Not on Donors","")))))))</f>
        <v/>
      </c>
      <c r="K293" s="1">
        <f>IF(ISNUMBER(B293),YEAR(B293),"")</f>
        <v/>
      </c>
      <c r="L293">
        <f>IF(ISNUMBER(B293),YEAR(B293)*100+MONTH(B293),"")</f>
        <v/>
      </c>
      <c r="M293">
        <f>IF(ISNUMBER(B293),INT(B293),0)</f>
        <v/>
      </c>
      <c r="N293">
        <f>IF(OR(C293="",F293="",Q293=0),0,IF(COUNTIFS(C$6:C293,C293,F$6:F293,F293,Q$6:Q293,1)=1,1,0))</f>
        <v/>
      </c>
      <c r="O293">
        <f>IF(OR(C293="",Q293=0,H293&lt;&gt;""),"",M293*10000+ROW())</f>
        <v/>
      </c>
      <c r="P293">
        <f>IF(OR(C293="",Q293=0),"",IF(AND(C293=Statement!$C$4,K293=Statement!$C$5),M293*10000+ROW(),""))</f>
        <v/>
      </c>
      <c r="Q293">
        <f>IF(AND(ISNUMBER(B293),OR(N(D293)&gt;0,G293&lt;&gt;"")),1,0)</f>
        <v/>
      </c>
    </row>
    <row r="294">
      <c r="A294" s="1" t="n"/>
      <c r="B294" s="21" t="n"/>
      <c r="C294" s="22" t="n"/>
      <c r="D294" s="23" t="n"/>
      <c r="E294" s="24" t="n"/>
      <c r="F294" s="25" t="n"/>
      <c r="G294" s="25" t="n"/>
      <c r="H294" s="24" t="n"/>
      <c r="I294" s="25" t="n"/>
      <c r="J294" s="17">
        <f>IF(AND(C294="",D294="",G294=""),"",IF(NOT(ISNUMBER(B294)),"Needs a date",IF(AND(D294&lt;&gt;"",NOT(ISNUMBER(D294))),"Amount not a number",IF(N(D294)&lt;0,"Amount below zero",IF(AND(N(D294)=0,G294=""),"Needs an amount or goods",IF(C294="","",IF(COUNTIF(Donors!$B$6:$B$305,C294)=0,"Not on Donors","")))))))</f>
        <v/>
      </c>
      <c r="K294" s="1">
        <f>IF(ISNUMBER(B294),YEAR(B294),"")</f>
        <v/>
      </c>
      <c r="L294">
        <f>IF(ISNUMBER(B294),YEAR(B294)*100+MONTH(B294),"")</f>
        <v/>
      </c>
      <c r="M294">
        <f>IF(ISNUMBER(B294),INT(B294),0)</f>
        <v/>
      </c>
      <c r="N294">
        <f>IF(OR(C294="",F294="",Q294=0),0,IF(COUNTIFS(C$6:C294,C294,F$6:F294,F294,Q$6:Q294,1)=1,1,0))</f>
        <v/>
      </c>
      <c r="O294">
        <f>IF(OR(C294="",Q294=0,H294&lt;&gt;""),"",M294*10000+ROW())</f>
        <v/>
      </c>
      <c r="P294">
        <f>IF(OR(C294="",Q294=0),"",IF(AND(C294=Statement!$C$4,K294=Statement!$C$5),M294*10000+ROW(),""))</f>
        <v/>
      </c>
      <c r="Q294">
        <f>IF(AND(ISNUMBER(B294),OR(N(D294)&gt;0,G294&lt;&gt;"")),1,0)</f>
        <v/>
      </c>
    </row>
    <row r="295">
      <c r="A295" s="1" t="n"/>
      <c r="B295" s="21" t="n"/>
      <c r="C295" s="22" t="n"/>
      <c r="D295" s="23" t="n"/>
      <c r="E295" s="24" t="n"/>
      <c r="F295" s="25" t="n"/>
      <c r="G295" s="25" t="n"/>
      <c r="H295" s="24" t="n"/>
      <c r="I295" s="25" t="n"/>
      <c r="J295" s="17">
        <f>IF(AND(C295="",D295="",G295=""),"",IF(NOT(ISNUMBER(B295)),"Needs a date",IF(AND(D295&lt;&gt;"",NOT(ISNUMBER(D295))),"Amount not a number",IF(N(D295)&lt;0,"Amount below zero",IF(AND(N(D295)=0,G295=""),"Needs an amount or goods",IF(C295="","",IF(COUNTIF(Donors!$B$6:$B$305,C295)=0,"Not on Donors","")))))))</f>
        <v/>
      </c>
      <c r="K295" s="1">
        <f>IF(ISNUMBER(B295),YEAR(B295),"")</f>
        <v/>
      </c>
      <c r="L295">
        <f>IF(ISNUMBER(B295),YEAR(B295)*100+MONTH(B295),"")</f>
        <v/>
      </c>
      <c r="M295">
        <f>IF(ISNUMBER(B295),INT(B295),0)</f>
        <v/>
      </c>
      <c r="N295">
        <f>IF(OR(C295="",F295="",Q295=0),0,IF(COUNTIFS(C$6:C295,C295,F$6:F295,F295,Q$6:Q295,1)=1,1,0))</f>
        <v/>
      </c>
      <c r="O295">
        <f>IF(OR(C295="",Q295=0,H295&lt;&gt;""),"",M295*10000+ROW())</f>
        <v/>
      </c>
      <c r="P295">
        <f>IF(OR(C295="",Q295=0),"",IF(AND(C295=Statement!$C$4,K295=Statement!$C$5),M295*10000+ROW(),""))</f>
        <v/>
      </c>
      <c r="Q295">
        <f>IF(AND(ISNUMBER(B295),OR(N(D295)&gt;0,G295&lt;&gt;"")),1,0)</f>
        <v/>
      </c>
    </row>
    <row r="296">
      <c r="A296" s="1" t="n"/>
      <c r="B296" s="21" t="n"/>
      <c r="C296" s="22" t="n"/>
      <c r="D296" s="23" t="n"/>
      <c r="E296" s="24" t="n"/>
      <c r="F296" s="25" t="n"/>
      <c r="G296" s="25" t="n"/>
      <c r="H296" s="24" t="n"/>
      <c r="I296" s="25" t="n"/>
      <c r="J296" s="17">
        <f>IF(AND(C296="",D296="",G296=""),"",IF(NOT(ISNUMBER(B296)),"Needs a date",IF(AND(D296&lt;&gt;"",NOT(ISNUMBER(D296))),"Amount not a number",IF(N(D296)&lt;0,"Amount below zero",IF(AND(N(D296)=0,G296=""),"Needs an amount or goods",IF(C296="","",IF(COUNTIF(Donors!$B$6:$B$305,C296)=0,"Not on Donors","")))))))</f>
        <v/>
      </c>
      <c r="K296" s="1">
        <f>IF(ISNUMBER(B296),YEAR(B296),"")</f>
        <v/>
      </c>
      <c r="L296">
        <f>IF(ISNUMBER(B296),YEAR(B296)*100+MONTH(B296),"")</f>
        <v/>
      </c>
      <c r="M296">
        <f>IF(ISNUMBER(B296),INT(B296),0)</f>
        <v/>
      </c>
      <c r="N296">
        <f>IF(OR(C296="",F296="",Q296=0),0,IF(COUNTIFS(C$6:C296,C296,F$6:F296,F296,Q$6:Q296,1)=1,1,0))</f>
        <v/>
      </c>
      <c r="O296">
        <f>IF(OR(C296="",Q296=0,H296&lt;&gt;""),"",M296*10000+ROW())</f>
        <v/>
      </c>
      <c r="P296">
        <f>IF(OR(C296="",Q296=0),"",IF(AND(C296=Statement!$C$4,K296=Statement!$C$5),M296*10000+ROW(),""))</f>
        <v/>
      </c>
      <c r="Q296">
        <f>IF(AND(ISNUMBER(B296),OR(N(D296)&gt;0,G296&lt;&gt;"")),1,0)</f>
        <v/>
      </c>
    </row>
    <row r="297">
      <c r="A297" s="1" t="n"/>
      <c r="B297" s="21" t="n"/>
      <c r="C297" s="22" t="n"/>
      <c r="D297" s="23" t="n"/>
      <c r="E297" s="24" t="n"/>
      <c r="F297" s="25" t="n"/>
      <c r="G297" s="25" t="n"/>
      <c r="H297" s="24" t="n"/>
      <c r="I297" s="25" t="n"/>
      <c r="J297" s="17">
        <f>IF(AND(C297="",D297="",G297=""),"",IF(NOT(ISNUMBER(B297)),"Needs a date",IF(AND(D297&lt;&gt;"",NOT(ISNUMBER(D297))),"Amount not a number",IF(N(D297)&lt;0,"Amount below zero",IF(AND(N(D297)=0,G297=""),"Needs an amount or goods",IF(C297="","",IF(COUNTIF(Donors!$B$6:$B$305,C297)=0,"Not on Donors","")))))))</f>
        <v/>
      </c>
      <c r="K297" s="1">
        <f>IF(ISNUMBER(B297),YEAR(B297),"")</f>
        <v/>
      </c>
      <c r="L297">
        <f>IF(ISNUMBER(B297),YEAR(B297)*100+MONTH(B297),"")</f>
        <v/>
      </c>
      <c r="M297">
        <f>IF(ISNUMBER(B297),INT(B297),0)</f>
        <v/>
      </c>
      <c r="N297">
        <f>IF(OR(C297="",F297="",Q297=0),0,IF(COUNTIFS(C$6:C297,C297,F$6:F297,F297,Q$6:Q297,1)=1,1,0))</f>
        <v/>
      </c>
      <c r="O297">
        <f>IF(OR(C297="",Q297=0,H297&lt;&gt;""),"",M297*10000+ROW())</f>
        <v/>
      </c>
      <c r="P297">
        <f>IF(OR(C297="",Q297=0),"",IF(AND(C297=Statement!$C$4,K297=Statement!$C$5),M297*10000+ROW(),""))</f>
        <v/>
      </c>
      <c r="Q297">
        <f>IF(AND(ISNUMBER(B297),OR(N(D297)&gt;0,G297&lt;&gt;"")),1,0)</f>
        <v/>
      </c>
    </row>
    <row r="298">
      <c r="A298" s="1" t="n"/>
      <c r="B298" s="21" t="n"/>
      <c r="C298" s="22" t="n"/>
      <c r="D298" s="23" t="n"/>
      <c r="E298" s="24" t="n"/>
      <c r="F298" s="25" t="n"/>
      <c r="G298" s="25" t="n"/>
      <c r="H298" s="24" t="n"/>
      <c r="I298" s="25" t="n"/>
      <c r="J298" s="17">
        <f>IF(AND(C298="",D298="",G298=""),"",IF(NOT(ISNUMBER(B298)),"Needs a date",IF(AND(D298&lt;&gt;"",NOT(ISNUMBER(D298))),"Amount not a number",IF(N(D298)&lt;0,"Amount below zero",IF(AND(N(D298)=0,G298=""),"Needs an amount or goods",IF(C298="","",IF(COUNTIF(Donors!$B$6:$B$305,C298)=0,"Not on Donors","")))))))</f>
        <v/>
      </c>
      <c r="K298" s="1">
        <f>IF(ISNUMBER(B298),YEAR(B298),"")</f>
        <v/>
      </c>
      <c r="L298">
        <f>IF(ISNUMBER(B298),YEAR(B298)*100+MONTH(B298),"")</f>
        <v/>
      </c>
      <c r="M298">
        <f>IF(ISNUMBER(B298),INT(B298),0)</f>
        <v/>
      </c>
      <c r="N298">
        <f>IF(OR(C298="",F298="",Q298=0),0,IF(COUNTIFS(C$6:C298,C298,F$6:F298,F298,Q$6:Q298,1)=1,1,0))</f>
        <v/>
      </c>
      <c r="O298">
        <f>IF(OR(C298="",Q298=0,H298&lt;&gt;""),"",M298*10000+ROW())</f>
        <v/>
      </c>
      <c r="P298">
        <f>IF(OR(C298="",Q298=0),"",IF(AND(C298=Statement!$C$4,K298=Statement!$C$5),M298*10000+ROW(),""))</f>
        <v/>
      </c>
      <c r="Q298">
        <f>IF(AND(ISNUMBER(B298),OR(N(D298)&gt;0,G298&lt;&gt;"")),1,0)</f>
        <v/>
      </c>
    </row>
    <row r="299">
      <c r="A299" s="1" t="n"/>
      <c r="B299" s="21" t="n"/>
      <c r="C299" s="22" t="n"/>
      <c r="D299" s="23" t="n"/>
      <c r="E299" s="24" t="n"/>
      <c r="F299" s="25" t="n"/>
      <c r="G299" s="25" t="n"/>
      <c r="H299" s="24" t="n"/>
      <c r="I299" s="25" t="n"/>
      <c r="J299" s="17">
        <f>IF(AND(C299="",D299="",G299=""),"",IF(NOT(ISNUMBER(B299)),"Needs a date",IF(AND(D299&lt;&gt;"",NOT(ISNUMBER(D299))),"Amount not a number",IF(N(D299)&lt;0,"Amount below zero",IF(AND(N(D299)=0,G299=""),"Needs an amount or goods",IF(C299="","",IF(COUNTIF(Donors!$B$6:$B$305,C299)=0,"Not on Donors","")))))))</f>
        <v/>
      </c>
      <c r="K299" s="1">
        <f>IF(ISNUMBER(B299),YEAR(B299),"")</f>
        <v/>
      </c>
      <c r="L299">
        <f>IF(ISNUMBER(B299),YEAR(B299)*100+MONTH(B299),"")</f>
        <v/>
      </c>
      <c r="M299">
        <f>IF(ISNUMBER(B299),INT(B299),0)</f>
        <v/>
      </c>
      <c r="N299">
        <f>IF(OR(C299="",F299="",Q299=0),0,IF(COUNTIFS(C$6:C299,C299,F$6:F299,F299,Q$6:Q299,1)=1,1,0))</f>
        <v/>
      </c>
      <c r="O299">
        <f>IF(OR(C299="",Q299=0,H299&lt;&gt;""),"",M299*10000+ROW())</f>
        <v/>
      </c>
      <c r="P299">
        <f>IF(OR(C299="",Q299=0),"",IF(AND(C299=Statement!$C$4,K299=Statement!$C$5),M299*10000+ROW(),""))</f>
        <v/>
      </c>
      <c r="Q299">
        <f>IF(AND(ISNUMBER(B299),OR(N(D299)&gt;0,G299&lt;&gt;"")),1,0)</f>
        <v/>
      </c>
    </row>
    <row r="300">
      <c r="A300" s="1" t="n"/>
      <c r="B300" s="21" t="n"/>
      <c r="C300" s="22" t="n"/>
      <c r="D300" s="23" t="n"/>
      <c r="E300" s="24" t="n"/>
      <c r="F300" s="25" t="n"/>
      <c r="G300" s="25" t="n"/>
      <c r="H300" s="24" t="n"/>
      <c r="I300" s="25" t="n"/>
      <c r="J300" s="17">
        <f>IF(AND(C300="",D300="",G300=""),"",IF(NOT(ISNUMBER(B300)),"Needs a date",IF(AND(D300&lt;&gt;"",NOT(ISNUMBER(D300))),"Amount not a number",IF(N(D300)&lt;0,"Amount below zero",IF(AND(N(D300)=0,G300=""),"Needs an amount or goods",IF(C300="","",IF(COUNTIF(Donors!$B$6:$B$305,C300)=0,"Not on Donors","")))))))</f>
        <v/>
      </c>
      <c r="K300" s="1">
        <f>IF(ISNUMBER(B300),YEAR(B300),"")</f>
        <v/>
      </c>
      <c r="L300">
        <f>IF(ISNUMBER(B300),YEAR(B300)*100+MONTH(B300),"")</f>
        <v/>
      </c>
      <c r="M300">
        <f>IF(ISNUMBER(B300),INT(B300),0)</f>
        <v/>
      </c>
      <c r="N300">
        <f>IF(OR(C300="",F300="",Q300=0),0,IF(COUNTIFS(C$6:C300,C300,F$6:F300,F300,Q$6:Q300,1)=1,1,0))</f>
        <v/>
      </c>
      <c r="O300">
        <f>IF(OR(C300="",Q300=0,H300&lt;&gt;""),"",M300*10000+ROW())</f>
        <v/>
      </c>
      <c r="P300">
        <f>IF(OR(C300="",Q300=0),"",IF(AND(C300=Statement!$C$4,K300=Statement!$C$5),M300*10000+ROW(),""))</f>
        <v/>
      </c>
      <c r="Q300">
        <f>IF(AND(ISNUMBER(B300),OR(N(D300)&gt;0,G300&lt;&gt;"")),1,0)</f>
        <v/>
      </c>
    </row>
    <row r="301">
      <c r="A301" s="1" t="n"/>
      <c r="B301" s="21" t="n"/>
      <c r="C301" s="22" t="n"/>
      <c r="D301" s="23" t="n"/>
      <c r="E301" s="24" t="n"/>
      <c r="F301" s="25" t="n"/>
      <c r="G301" s="25" t="n"/>
      <c r="H301" s="24" t="n"/>
      <c r="I301" s="25" t="n"/>
      <c r="J301" s="17">
        <f>IF(AND(C301="",D301="",G301=""),"",IF(NOT(ISNUMBER(B301)),"Needs a date",IF(AND(D301&lt;&gt;"",NOT(ISNUMBER(D301))),"Amount not a number",IF(N(D301)&lt;0,"Amount below zero",IF(AND(N(D301)=0,G301=""),"Needs an amount or goods",IF(C301="","",IF(COUNTIF(Donors!$B$6:$B$305,C301)=0,"Not on Donors","")))))))</f>
        <v/>
      </c>
      <c r="K301" s="1">
        <f>IF(ISNUMBER(B301),YEAR(B301),"")</f>
        <v/>
      </c>
      <c r="L301">
        <f>IF(ISNUMBER(B301),YEAR(B301)*100+MONTH(B301),"")</f>
        <v/>
      </c>
      <c r="M301">
        <f>IF(ISNUMBER(B301),INT(B301),0)</f>
        <v/>
      </c>
      <c r="N301">
        <f>IF(OR(C301="",F301="",Q301=0),0,IF(COUNTIFS(C$6:C301,C301,F$6:F301,F301,Q$6:Q301,1)=1,1,0))</f>
        <v/>
      </c>
      <c r="O301">
        <f>IF(OR(C301="",Q301=0,H301&lt;&gt;""),"",M301*10000+ROW())</f>
        <v/>
      </c>
      <c r="P301">
        <f>IF(OR(C301="",Q301=0),"",IF(AND(C301=Statement!$C$4,K301=Statement!$C$5),M301*10000+ROW(),""))</f>
        <v/>
      </c>
      <c r="Q301">
        <f>IF(AND(ISNUMBER(B301),OR(N(D301)&gt;0,G301&lt;&gt;"")),1,0)</f>
        <v/>
      </c>
    </row>
    <row r="302">
      <c r="A302" s="1" t="n"/>
      <c r="B302" s="21" t="n"/>
      <c r="C302" s="22" t="n"/>
      <c r="D302" s="23" t="n"/>
      <c r="E302" s="24" t="n"/>
      <c r="F302" s="25" t="n"/>
      <c r="G302" s="25" t="n"/>
      <c r="H302" s="24" t="n"/>
      <c r="I302" s="25" t="n"/>
      <c r="J302" s="17">
        <f>IF(AND(C302="",D302="",G302=""),"",IF(NOT(ISNUMBER(B302)),"Needs a date",IF(AND(D302&lt;&gt;"",NOT(ISNUMBER(D302))),"Amount not a number",IF(N(D302)&lt;0,"Amount below zero",IF(AND(N(D302)=0,G302=""),"Needs an amount or goods",IF(C302="","",IF(COUNTIF(Donors!$B$6:$B$305,C302)=0,"Not on Donors","")))))))</f>
        <v/>
      </c>
      <c r="K302" s="1">
        <f>IF(ISNUMBER(B302),YEAR(B302),"")</f>
        <v/>
      </c>
      <c r="L302">
        <f>IF(ISNUMBER(B302),YEAR(B302)*100+MONTH(B302),"")</f>
        <v/>
      </c>
      <c r="M302">
        <f>IF(ISNUMBER(B302),INT(B302),0)</f>
        <v/>
      </c>
      <c r="N302">
        <f>IF(OR(C302="",F302="",Q302=0),0,IF(COUNTIFS(C$6:C302,C302,F$6:F302,F302,Q$6:Q302,1)=1,1,0))</f>
        <v/>
      </c>
      <c r="O302">
        <f>IF(OR(C302="",Q302=0,H302&lt;&gt;""),"",M302*10000+ROW())</f>
        <v/>
      </c>
      <c r="P302">
        <f>IF(OR(C302="",Q302=0),"",IF(AND(C302=Statement!$C$4,K302=Statement!$C$5),M302*10000+ROW(),""))</f>
        <v/>
      </c>
      <c r="Q302">
        <f>IF(AND(ISNUMBER(B302),OR(N(D302)&gt;0,G302&lt;&gt;"")),1,0)</f>
        <v/>
      </c>
    </row>
    <row r="303">
      <c r="A303" s="1" t="n"/>
      <c r="B303" s="21" t="n"/>
      <c r="C303" s="22" t="n"/>
      <c r="D303" s="23" t="n"/>
      <c r="E303" s="24" t="n"/>
      <c r="F303" s="25" t="n"/>
      <c r="G303" s="25" t="n"/>
      <c r="H303" s="24" t="n"/>
      <c r="I303" s="25" t="n"/>
      <c r="J303" s="17">
        <f>IF(AND(C303="",D303="",G303=""),"",IF(NOT(ISNUMBER(B303)),"Needs a date",IF(AND(D303&lt;&gt;"",NOT(ISNUMBER(D303))),"Amount not a number",IF(N(D303)&lt;0,"Amount below zero",IF(AND(N(D303)=0,G303=""),"Needs an amount or goods",IF(C303="","",IF(COUNTIF(Donors!$B$6:$B$305,C303)=0,"Not on Donors","")))))))</f>
        <v/>
      </c>
      <c r="K303" s="1">
        <f>IF(ISNUMBER(B303),YEAR(B303),"")</f>
        <v/>
      </c>
      <c r="L303">
        <f>IF(ISNUMBER(B303),YEAR(B303)*100+MONTH(B303),"")</f>
        <v/>
      </c>
      <c r="M303">
        <f>IF(ISNUMBER(B303),INT(B303),0)</f>
        <v/>
      </c>
      <c r="N303">
        <f>IF(OR(C303="",F303="",Q303=0),0,IF(COUNTIFS(C$6:C303,C303,F$6:F303,F303,Q$6:Q303,1)=1,1,0))</f>
        <v/>
      </c>
      <c r="O303">
        <f>IF(OR(C303="",Q303=0,H303&lt;&gt;""),"",M303*10000+ROW())</f>
        <v/>
      </c>
      <c r="P303">
        <f>IF(OR(C303="",Q303=0),"",IF(AND(C303=Statement!$C$4,K303=Statement!$C$5),M303*10000+ROW(),""))</f>
        <v/>
      </c>
      <c r="Q303">
        <f>IF(AND(ISNUMBER(B303),OR(N(D303)&gt;0,G303&lt;&gt;"")),1,0)</f>
        <v/>
      </c>
    </row>
    <row r="304">
      <c r="A304" s="1" t="n"/>
      <c r="B304" s="21" t="n"/>
      <c r="C304" s="22" t="n"/>
      <c r="D304" s="23" t="n"/>
      <c r="E304" s="24" t="n"/>
      <c r="F304" s="25" t="n"/>
      <c r="G304" s="25" t="n"/>
      <c r="H304" s="24" t="n"/>
      <c r="I304" s="25" t="n"/>
      <c r="J304" s="17">
        <f>IF(AND(C304="",D304="",G304=""),"",IF(NOT(ISNUMBER(B304)),"Needs a date",IF(AND(D304&lt;&gt;"",NOT(ISNUMBER(D304))),"Amount not a number",IF(N(D304)&lt;0,"Amount below zero",IF(AND(N(D304)=0,G304=""),"Needs an amount or goods",IF(C304="","",IF(COUNTIF(Donors!$B$6:$B$305,C304)=0,"Not on Donors","")))))))</f>
        <v/>
      </c>
      <c r="K304" s="1">
        <f>IF(ISNUMBER(B304),YEAR(B304),"")</f>
        <v/>
      </c>
      <c r="L304">
        <f>IF(ISNUMBER(B304),YEAR(B304)*100+MONTH(B304),"")</f>
        <v/>
      </c>
      <c r="M304">
        <f>IF(ISNUMBER(B304),INT(B304),0)</f>
        <v/>
      </c>
      <c r="N304">
        <f>IF(OR(C304="",F304="",Q304=0),0,IF(COUNTIFS(C$6:C304,C304,F$6:F304,F304,Q$6:Q304,1)=1,1,0))</f>
        <v/>
      </c>
      <c r="O304">
        <f>IF(OR(C304="",Q304=0,H304&lt;&gt;""),"",M304*10000+ROW())</f>
        <v/>
      </c>
      <c r="P304">
        <f>IF(OR(C304="",Q304=0),"",IF(AND(C304=Statement!$C$4,K304=Statement!$C$5),M304*10000+ROW(),""))</f>
        <v/>
      </c>
      <c r="Q304">
        <f>IF(AND(ISNUMBER(B304),OR(N(D304)&gt;0,G304&lt;&gt;"")),1,0)</f>
        <v/>
      </c>
    </row>
    <row r="305">
      <c r="A305" s="1" t="n"/>
      <c r="B305" s="21" t="n"/>
      <c r="C305" s="22" t="n"/>
      <c r="D305" s="23" t="n"/>
      <c r="E305" s="24" t="n"/>
      <c r="F305" s="25" t="n"/>
      <c r="G305" s="25" t="n"/>
      <c r="H305" s="24" t="n"/>
      <c r="I305" s="25" t="n"/>
      <c r="J305" s="17">
        <f>IF(AND(C305="",D305="",G305=""),"",IF(NOT(ISNUMBER(B305)),"Needs a date",IF(AND(D305&lt;&gt;"",NOT(ISNUMBER(D305))),"Amount not a number",IF(N(D305)&lt;0,"Amount below zero",IF(AND(N(D305)=0,G305=""),"Needs an amount or goods",IF(C305="","",IF(COUNTIF(Donors!$B$6:$B$305,C305)=0,"Not on Donors","")))))))</f>
        <v/>
      </c>
      <c r="K305" s="1">
        <f>IF(ISNUMBER(B305),YEAR(B305),"")</f>
        <v/>
      </c>
      <c r="L305">
        <f>IF(ISNUMBER(B305),YEAR(B305)*100+MONTH(B305),"")</f>
        <v/>
      </c>
      <c r="M305">
        <f>IF(ISNUMBER(B305),INT(B305),0)</f>
        <v/>
      </c>
      <c r="N305">
        <f>IF(OR(C305="",F305="",Q305=0),0,IF(COUNTIFS(C$6:C305,C305,F$6:F305,F305,Q$6:Q305,1)=1,1,0))</f>
        <v/>
      </c>
      <c r="O305">
        <f>IF(OR(C305="",Q305=0,H305&lt;&gt;""),"",M305*10000+ROW())</f>
        <v/>
      </c>
      <c r="P305">
        <f>IF(OR(C305="",Q305=0),"",IF(AND(C305=Statement!$C$4,K305=Statement!$C$5),M305*10000+ROW(),""))</f>
        <v/>
      </c>
      <c r="Q305">
        <f>IF(AND(ISNUMBER(B305),OR(N(D305)&gt;0,G305&lt;&gt;"")),1,0)</f>
        <v/>
      </c>
    </row>
    <row r="306">
      <c r="A306" s="1" t="n"/>
      <c r="B306" s="21" t="n"/>
      <c r="C306" s="22" t="n"/>
      <c r="D306" s="23" t="n"/>
      <c r="E306" s="24" t="n"/>
      <c r="F306" s="25" t="n"/>
      <c r="G306" s="25" t="n"/>
      <c r="H306" s="24" t="n"/>
      <c r="I306" s="25" t="n"/>
      <c r="J306" s="17">
        <f>IF(AND(C306="",D306="",G306=""),"",IF(NOT(ISNUMBER(B306)),"Needs a date",IF(AND(D306&lt;&gt;"",NOT(ISNUMBER(D306))),"Amount not a number",IF(N(D306)&lt;0,"Amount below zero",IF(AND(N(D306)=0,G306=""),"Needs an amount or goods",IF(C306="","",IF(COUNTIF(Donors!$B$6:$B$305,C306)=0,"Not on Donors","")))))))</f>
        <v/>
      </c>
      <c r="K306" s="1">
        <f>IF(ISNUMBER(B306),YEAR(B306),"")</f>
        <v/>
      </c>
      <c r="L306">
        <f>IF(ISNUMBER(B306),YEAR(B306)*100+MONTH(B306),"")</f>
        <v/>
      </c>
      <c r="M306">
        <f>IF(ISNUMBER(B306),INT(B306),0)</f>
        <v/>
      </c>
      <c r="N306">
        <f>IF(OR(C306="",F306="",Q306=0),0,IF(COUNTIFS(C$6:C306,C306,F$6:F306,F306,Q$6:Q306,1)=1,1,0))</f>
        <v/>
      </c>
      <c r="O306">
        <f>IF(OR(C306="",Q306=0,H306&lt;&gt;""),"",M306*10000+ROW())</f>
        <v/>
      </c>
      <c r="P306">
        <f>IF(OR(C306="",Q306=0),"",IF(AND(C306=Statement!$C$4,K306=Statement!$C$5),M306*10000+ROW(),""))</f>
        <v/>
      </c>
      <c r="Q306">
        <f>IF(AND(ISNUMBER(B306),OR(N(D306)&gt;0,G306&lt;&gt;"")),1,0)</f>
        <v/>
      </c>
    </row>
    <row r="307">
      <c r="A307" s="1" t="n"/>
      <c r="B307" s="21" t="n"/>
      <c r="C307" s="22" t="n"/>
      <c r="D307" s="23" t="n"/>
      <c r="E307" s="24" t="n"/>
      <c r="F307" s="25" t="n"/>
      <c r="G307" s="25" t="n"/>
      <c r="H307" s="24" t="n"/>
      <c r="I307" s="25" t="n"/>
      <c r="J307" s="17">
        <f>IF(AND(C307="",D307="",G307=""),"",IF(NOT(ISNUMBER(B307)),"Needs a date",IF(AND(D307&lt;&gt;"",NOT(ISNUMBER(D307))),"Amount not a number",IF(N(D307)&lt;0,"Amount below zero",IF(AND(N(D307)=0,G307=""),"Needs an amount or goods",IF(C307="","",IF(COUNTIF(Donors!$B$6:$B$305,C307)=0,"Not on Donors","")))))))</f>
        <v/>
      </c>
      <c r="K307" s="1">
        <f>IF(ISNUMBER(B307),YEAR(B307),"")</f>
        <v/>
      </c>
      <c r="L307">
        <f>IF(ISNUMBER(B307),YEAR(B307)*100+MONTH(B307),"")</f>
        <v/>
      </c>
      <c r="M307">
        <f>IF(ISNUMBER(B307),INT(B307),0)</f>
        <v/>
      </c>
      <c r="N307">
        <f>IF(OR(C307="",F307="",Q307=0),0,IF(COUNTIFS(C$6:C307,C307,F$6:F307,F307,Q$6:Q307,1)=1,1,0))</f>
        <v/>
      </c>
      <c r="O307">
        <f>IF(OR(C307="",Q307=0,H307&lt;&gt;""),"",M307*10000+ROW())</f>
        <v/>
      </c>
      <c r="P307">
        <f>IF(OR(C307="",Q307=0),"",IF(AND(C307=Statement!$C$4,K307=Statement!$C$5),M307*10000+ROW(),""))</f>
        <v/>
      </c>
      <c r="Q307">
        <f>IF(AND(ISNUMBER(B307),OR(N(D307)&gt;0,G307&lt;&gt;"")),1,0)</f>
        <v/>
      </c>
    </row>
    <row r="308">
      <c r="A308" s="1" t="n"/>
      <c r="B308" s="21" t="n"/>
      <c r="C308" s="22" t="n"/>
      <c r="D308" s="23" t="n"/>
      <c r="E308" s="24" t="n"/>
      <c r="F308" s="25" t="n"/>
      <c r="G308" s="25" t="n"/>
      <c r="H308" s="24" t="n"/>
      <c r="I308" s="25" t="n"/>
      <c r="J308" s="17">
        <f>IF(AND(C308="",D308="",G308=""),"",IF(NOT(ISNUMBER(B308)),"Needs a date",IF(AND(D308&lt;&gt;"",NOT(ISNUMBER(D308))),"Amount not a number",IF(N(D308)&lt;0,"Amount below zero",IF(AND(N(D308)=0,G308=""),"Needs an amount or goods",IF(C308="","",IF(COUNTIF(Donors!$B$6:$B$305,C308)=0,"Not on Donors","")))))))</f>
        <v/>
      </c>
      <c r="K308" s="1">
        <f>IF(ISNUMBER(B308),YEAR(B308),"")</f>
        <v/>
      </c>
      <c r="L308">
        <f>IF(ISNUMBER(B308),YEAR(B308)*100+MONTH(B308),"")</f>
        <v/>
      </c>
      <c r="M308">
        <f>IF(ISNUMBER(B308),INT(B308),0)</f>
        <v/>
      </c>
      <c r="N308">
        <f>IF(OR(C308="",F308="",Q308=0),0,IF(COUNTIFS(C$6:C308,C308,F$6:F308,F308,Q$6:Q308,1)=1,1,0))</f>
        <v/>
      </c>
      <c r="O308">
        <f>IF(OR(C308="",Q308=0,H308&lt;&gt;""),"",M308*10000+ROW())</f>
        <v/>
      </c>
      <c r="P308">
        <f>IF(OR(C308="",Q308=0),"",IF(AND(C308=Statement!$C$4,K308=Statement!$C$5),M308*10000+ROW(),""))</f>
        <v/>
      </c>
      <c r="Q308">
        <f>IF(AND(ISNUMBER(B308),OR(N(D308)&gt;0,G308&lt;&gt;"")),1,0)</f>
        <v/>
      </c>
    </row>
    <row r="309">
      <c r="A309" s="1" t="n"/>
      <c r="B309" s="21" t="n"/>
      <c r="C309" s="22" t="n"/>
      <c r="D309" s="23" t="n"/>
      <c r="E309" s="24" t="n"/>
      <c r="F309" s="25" t="n"/>
      <c r="G309" s="25" t="n"/>
      <c r="H309" s="24" t="n"/>
      <c r="I309" s="25" t="n"/>
      <c r="J309" s="17">
        <f>IF(AND(C309="",D309="",G309=""),"",IF(NOT(ISNUMBER(B309)),"Needs a date",IF(AND(D309&lt;&gt;"",NOT(ISNUMBER(D309))),"Amount not a number",IF(N(D309)&lt;0,"Amount below zero",IF(AND(N(D309)=0,G309=""),"Needs an amount or goods",IF(C309="","",IF(COUNTIF(Donors!$B$6:$B$305,C309)=0,"Not on Donors","")))))))</f>
        <v/>
      </c>
      <c r="K309" s="1">
        <f>IF(ISNUMBER(B309),YEAR(B309),"")</f>
        <v/>
      </c>
      <c r="L309">
        <f>IF(ISNUMBER(B309),YEAR(B309)*100+MONTH(B309),"")</f>
        <v/>
      </c>
      <c r="M309">
        <f>IF(ISNUMBER(B309),INT(B309),0)</f>
        <v/>
      </c>
      <c r="N309">
        <f>IF(OR(C309="",F309="",Q309=0),0,IF(COUNTIFS(C$6:C309,C309,F$6:F309,F309,Q$6:Q309,1)=1,1,0))</f>
        <v/>
      </c>
      <c r="O309">
        <f>IF(OR(C309="",Q309=0,H309&lt;&gt;""),"",M309*10000+ROW())</f>
        <v/>
      </c>
      <c r="P309">
        <f>IF(OR(C309="",Q309=0),"",IF(AND(C309=Statement!$C$4,K309=Statement!$C$5),M309*10000+ROW(),""))</f>
        <v/>
      </c>
      <c r="Q309">
        <f>IF(AND(ISNUMBER(B309),OR(N(D309)&gt;0,G309&lt;&gt;"")),1,0)</f>
        <v/>
      </c>
    </row>
    <row r="310">
      <c r="A310" s="1" t="n"/>
      <c r="B310" s="21" t="n"/>
      <c r="C310" s="22" t="n"/>
      <c r="D310" s="23" t="n"/>
      <c r="E310" s="24" t="n"/>
      <c r="F310" s="25" t="n"/>
      <c r="G310" s="25" t="n"/>
      <c r="H310" s="24" t="n"/>
      <c r="I310" s="25" t="n"/>
      <c r="J310" s="17">
        <f>IF(AND(C310="",D310="",G310=""),"",IF(NOT(ISNUMBER(B310)),"Needs a date",IF(AND(D310&lt;&gt;"",NOT(ISNUMBER(D310))),"Amount not a number",IF(N(D310)&lt;0,"Amount below zero",IF(AND(N(D310)=0,G310=""),"Needs an amount or goods",IF(C310="","",IF(COUNTIF(Donors!$B$6:$B$305,C310)=0,"Not on Donors","")))))))</f>
        <v/>
      </c>
      <c r="K310" s="1">
        <f>IF(ISNUMBER(B310),YEAR(B310),"")</f>
        <v/>
      </c>
      <c r="L310">
        <f>IF(ISNUMBER(B310),YEAR(B310)*100+MONTH(B310),"")</f>
        <v/>
      </c>
      <c r="M310">
        <f>IF(ISNUMBER(B310),INT(B310),0)</f>
        <v/>
      </c>
      <c r="N310">
        <f>IF(OR(C310="",F310="",Q310=0),0,IF(COUNTIFS(C$6:C310,C310,F$6:F310,F310,Q$6:Q310,1)=1,1,0))</f>
        <v/>
      </c>
      <c r="O310">
        <f>IF(OR(C310="",Q310=0,H310&lt;&gt;""),"",M310*10000+ROW())</f>
        <v/>
      </c>
      <c r="P310">
        <f>IF(OR(C310="",Q310=0),"",IF(AND(C310=Statement!$C$4,K310=Statement!$C$5),M310*10000+ROW(),""))</f>
        <v/>
      </c>
      <c r="Q310">
        <f>IF(AND(ISNUMBER(B310),OR(N(D310)&gt;0,G310&lt;&gt;"")),1,0)</f>
        <v/>
      </c>
    </row>
    <row r="311">
      <c r="A311" s="1" t="n"/>
      <c r="B311" s="21" t="n"/>
      <c r="C311" s="22" t="n"/>
      <c r="D311" s="23" t="n"/>
      <c r="E311" s="24" t="n"/>
      <c r="F311" s="25" t="n"/>
      <c r="G311" s="25" t="n"/>
      <c r="H311" s="24" t="n"/>
      <c r="I311" s="25" t="n"/>
      <c r="J311" s="17">
        <f>IF(AND(C311="",D311="",G311=""),"",IF(NOT(ISNUMBER(B311)),"Needs a date",IF(AND(D311&lt;&gt;"",NOT(ISNUMBER(D311))),"Amount not a number",IF(N(D311)&lt;0,"Amount below zero",IF(AND(N(D311)=0,G311=""),"Needs an amount or goods",IF(C311="","",IF(COUNTIF(Donors!$B$6:$B$305,C311)=0,"Not on Donors","")))))))</f>
        <v/>
      </c>
      <c r="K311" s="1">
        <f>IF(ISNUMBER(B311),YEAR(B311),"")</f>
        <v/>
      </c>
      <c r="L311">
        <f>IF(ISNUMBER(B311),YEAR(B311)*100+MONTH(B311),"")</f>
        <v/>
      </c>
      <c r="M311">
        <f>IF(ISNUMBER(B311),INT(B311),0)</f>
        <v/>
      </c>
      <c r="N311">
        <f>IF(OR(C311="",F311="",Q311=0),0,IF(COUNTIFS(C$6:C311,C311,F$6:F311,F311,Q$6:Q311,1)=1,1,0))</f>
        <v/>
      </c>
      <c r="O311">
        <f>IF(OR(C311="",Q311=0,H311&lt;&gt;""),"",M311*10000+ROW())</f>
        <v/>
      </c>
      <c r="P311">
        <f>IF(OR(C311="",Q311=0),"",IF(AND(C311=Statement!$C$4,K311=Statement!$C$5),M311*10000+ROW(),""))</f>
        <v/>
      </c>
      <c r="Q311">
        <f>IF(AND(ISNUMBER(B311),OR(N(D311)&gt;0,G311&lt;&gt;"")),1,0)</f>
        <v/>
      </c>
    </row>
    <row r="312">
      <c r="A312" s="1" t="n"/>
      <c r="B312" s="21" t="n"/>
      <c r="C312" s="22" t="n"/>
      <c r="D312" s="23" t="n"/>
      <c r="E312" s="24" t="n"/>
      <c r="F312" s="25" t="n"/>
      <c r="G312" s="25" t="n"/>
      <c r="H312" s="24" t="n"/>
      <c r="I312" s="25" t="n"/>
      <c r="J312" s="17">
        <f>IF(AND(C312="",D312="",G312=""),"",IF(NOT(ISNUMBER(B312)),"Needs a date",IF(AND(D312&lt;&gt;"",NOT(ISNUMBER(D312))),"Amount not a number",IF(N(D312)&lt;0,"Amount below zero",IF(AND(N(D312)=0,G312=""),"Needs an amount or goods",IF(C312="","",IF(COUNTIF(Donors!$B$6:$B$305,C312)=0,"Not on Donors","")))))))</f>
        <v/>
      </c>
      <c r="K312" s="1">
        <f>IF(ISNUMBER(B312),YEAR(B312),"")</f>
        <v/>
      </c>
      <c r="L312">
        <f>IF(ISNUMBER(B312),YEAR(B312)*100+MONTH(B312),"")</f>
        <v/>
      </c>
      <c r="M312">
        <f>IF(ISNUMBER(B312),INT(B312),0)</f>
        <v/>
      </c>
      <c r="N312">
        <f>IF(OR(C312="",F312="",Q312=0),0,IF(COUNTIFS(C$6:C312,C312,F$6:F312,F312,Q$6:Q312,1)=1,1,0))</f>
        <v/>
      </c>
      <c r="O312">
        <f>IF(OR(C312="",Q312=0,H312&lt;&gt;""),"",M312*10000+ROW())</f>
        <v/>
      </c>
      <c r="P312">
        <f>IF(OR(C312="",Q312=0),"",IF(AND(C312=Statement!$C$4,K312=Statement!$C$5),M312*10000+ROW(),""))</f>
        <v/>
      </c>
      <c r="Q312">
        <f>IF(AND(ISNUMBER(B312),OR(N(D312)&gt;0,G312&lt;&gt;"")),1,0)</f>
        <v/>
      </c>
    </row>
    <row r="313">
      <c r="A313" s="1" t="n"/>
      <c r="B313" s="21" t="n"/>
      <c r="C313" s="22" t="n"/>
      <c r="D313" s="23" t="n"/>
      <c r="E313" s="24" t="n"/>
      <c r="F313" s="25" t="n"/>
      <c r="G313" s="25" t="n"/>
      <c r="H313" s="24" t="n"/>
      <c r="I313" s="25" t="n"/>
      <c r="J313" s="17">
        <f>IF(AND(C313="",D313="",G313=""),"",IF(NOT(ISNUMBER(B313)),"Needs a date",IF(AND(D313&lt;&gt;"",NOT(ISNUMBER(D313))),"Amount not a number",IF(N(D313)&lt;0,"Amount below zero",IF(AND(N(D313)=0,G313=""),"Needs an amount or goods",IF(C313="","",IF(COUNTIF(Donors!$B$6:$B$305,C313)=0,"Not on Donors","")))))))</f>
        <v/>
      </c>
      <c r="K313" s="1">
        <f>IF(ISNUMBER(B313),YEAR(B313),"")</f>
        <v/>
      </c>
      <c r="L313">
        <f>IF(ISNUMBER(B313),YEAR(B313)*100+MONTH(B313),"")</f>
        <v/>
      </c>
      <c r="M313">
        <f>IF(ISNUMBER(B313),INT(B313),0)</f>
        <v/>
      </c>
      <c r="N313">
        <f>IF(OR(C313="",F313="",Q313=0),0,IF(COUNTIFS(C$6:C313,C313,F$6:F313,F313,Q$6:Q313,1)=1,1,0))</f>
        <v/>
      </c>
      <c r="O313">
        <f>IF(OR(C313="",Q313=0,H313&lt;&gt;""),"",M313*10000+ROW())</f>
        <v/>
      </c>
      <c r="P313">
        <f>IF(OR(C313="",Q313=0),"",IF(AND(C313=Statement!$C$4,K313=Statement!$C$5),M313*10000+ROW(),""))</f>
        <v/>
      </c>
      <c r="Q313">
        <f>IF(AND(ISNUMBER(B313),OR(N(D313)&gt;0,G313&lt;&gt;"")),1,0)</f>
        <v/>
      </c>
    </row>
    <row r="314">
      <c r="A314" s="1" t="n"/>
      <c r="B314" s="21" t="n"/>
      <c r="C314" s="22" t="n"/>
      <c r="D314" s="23" t="n"/>
      <c r="E314" s="24" t="n"/>
      <c r="F314" s="25" t="n"/>
      <c r="G314" s="25" t="n"/>
      <c r="H314" s="24" t="n"/>
      <c r="I314" s="25" t="n"/>
      <c r="J314" s="17">
        <f>IF(AND(C314="",D314="",G314=""),"",IF(NOT(ISNUMBER(B314)),"Needs a date",IF(AND(D314&lt;&gt;"",NOT(ISNUMBER(D314))),"Amount not a number",IF(N(D314)&lt;0,"Amount below zero",IF(AND(N(D314)=0,G314=""),"Needs an amount or goods",IF(C314="","",IF(COUNTIF(Donors!$B$6:$B$305,C314)=0,"Not on Donors","")))))))</f>
        <v/>
      </c>
      <c r="K314" s="1">
        <f>IF(ISNUMBER(B314),YEAR(B314),"")</f>
        <v/>
      </c>
      <c r="L314">
        <f>IF(ISNUMBER(B314),YEAR(B314)*100+MONTH(B314),"")</f>
        <v/>
      </c>
      <c r="M314">
        <f>IF(ISNUMBER(B314),INT(B314),0)</f>
        <v/>
      </c>
      <c r="N314">
        <f>IF(OR(C314="",F314="",Q314=0),0,IF(COUNTIFS(C$6:C314,C314,F$6:F314,F314,Q$6:Q314,1)=1,1,0))</f>
        <v/>
      </c>
      <c r="O314">
        <f>IF(OR(C314="",Q314=0,H314&lt;&gt;""),"",M314*10000+ROW())</f>
        <v/>
      </c>
      <c r="P314">
        <f>IF(OR(C314="",Q314=0),"",IF(AND(C314=Statement!$C$4,K314=Statement!$C$5),M314*10000+ROW(),""))</f>
        <v/>
      </c>
      <c r="Q314">
        <f>IF(AND(ISNUMBER(B314),OR(N(D314)&gt;0,G314&lt;&gt;"")),1,0)</f>
        <v/>
      </c>
    </row>
    <row r="315">
      <c r="A315" s="1" t="n"/>
      <c r="B315" s="21" t="n"/>
      <c r="C315" s="22" t="n"/>
      <c r="D315" s="23" t="n"/>
      <c r="E315" s="24" t="n"/>
      <c r="F315" s="25" t="n"/>
      <c r="G315" s="25" t="n"/>
      <c r="H315" s="24" t="n"/>
      <c r="I315" s="25" t="n"/>
      <c r="J315" s="17">
        <f>IF(AND(C315="",D315="",G315=""),"",IF(NOT(ISNUMBER(B315)),"Needs a date",IF(AND(D315&lt;&gt;"",NOT(ISNUMBER(D315))),"Amount not a number",IF(N(D315)&lt;0,"Amount below zero",IF(AND(N(D315)=0,G315=""),"Needs an amount or goods",IF(C315="","",IF(COUNTIF(Donors!$B$6:$B$305,C315)=0,"Not on Donors","")))))))</f>
        <v/>
      </c>
      <c r="K315" s="1">
        <f>IF(ISNUMBER(B315),YEAR(B315),"")</f>
        <v/>
      </c>
      <c r="L315">
        <f>IF(ISNUMBER(B315),YEAR(B315)*100+MONTH(B315),"")</f>
        <v/>
      </c>
      <c r="M315">
        <f>IF(ISNUMBER(B315),INT(B315),0)</f>
        <v/>
      </c>
      <c r="N315">
        <f>IF(OR(C315="",F315="",Q315=0),0,IF(COUNTIFS(C$6:C315,C315,F$6:F315,F315,Q$6:Q315,1)=1,1,0))</f>
        <v/>
      </c>
      <c r="O315">
        <f>IF(OR(C315="",Q315=0,H315&lt;&gt;""),"",M315*10000+ROW())</f>
        <v/>
      </c>
      <c r="P315">
        <f>IF(OR(C315="",Q315=0),"",IF(AND(C315=Statement!$C$4,K315=Statement!$C$5),M315*10000+ROW(),""))</f>
        <v/>
      </c>
      <c r="Q315">
        <f>IF(AND(ISNUMBER(B315),OR(N(D315)&gt;0,G315&lt;&gt;"")),1,0)</f>
        <v/>
      </c>
    </row>
    <row r="316">
      <c r="A316" s="1" t="n"/>
      <c r="B316" s="21" t="n"/>
      <c r="C316" s="22" t="n"/>
      <c r="D316" s="23" t="n"/>
      <c r="E316" s="24" t="n"/>
      <c r="F316" s="25" t="n"/>
      <c r="G316" s="25" t="n"/>
      <c r="H316" s="24" t="n"/>
      <c r="I316" s="25" t="n"/>
      <c r="J316" s="17">
        <f>IF(AND(C316="",D316="",G316=""),"",IF(NOT(ISNUMBER(B316)),"Needs a date",IF(AND(D316&lt;&gt;"",NOT(ISNUMBER(D316))),"Amount not a number",IF(N(D316)&lt;0,"Amount below zero",IF(AND(N(D316)=0,G316=""),"Needs an amount or goods",IF(C316="","",IF(COUNTIF(Donors!$B$6:$B$305,C316)=0,"Not on Donors","")))))))</f>
        <v/>
      </c>
      <c r="K316" s="1">
        <f>IF(ISNUMBER(B316),YEAR(B316),"")</f>
        <v/>
      </c>
      <c r="L316">
        <f>IF(ISNUMBER(B316),YEAR(B316)*100+MONTH(B316),"")</f>
        <v/>
      </c>
      <c r="M316">
        <f>IF(ISNUMBER(B316),INT(B316),0)</f>
        <v/>
      </c>
      <c r="N316">
        <f>IF(OR(C316="",F316="",Q316=0),0,IF(COUNTIFS(C$6:C316,C316,F$6:F316,F316,Q$6:Q316,1)=1,1,0))</f>
        <v/>
      </c>
      <c r="O316">
        <f>IF(OR(C316="",Q316=0,H316&lt;&gt;""),"",M316*10000+ROW())</f>
        <v/>
      </c>
      <c r="P316">
        <f>IF(OR(C316="",Q316=0),"",IF(AND(C316=Statement!$C$4,K316=Statement!$C$5),M316*10000+ROW(),""))</f>
        <v/>
      </c>
      <c r="Q316">
        <f>IF(AND(ISNUMBER(B316),OR(N(D316)&gt;0,G316&lt;&gt;"")),1,0)</f>
        <v/>
      </c>
    </row>
    <row r="317">
      <c r="A317" s="1" t="n"/>
      <c r="B317" s="21" t="n"/>
      <c r="C317" s="22" t="n"/>
      <c r="D317" s="23" t="n"/>
      <c r="E317" s="24" t="n"/>
      <c r="F317" s="25" t="n"/>
      <c r="G317" s="25" t="n"/>
      <c r="H317" s="24" t="n"/>
      <c r="I317" s="25" t="n"/>
      <c r="J317" s="17">
        <f>IF(AND(C317="",D317="",G317=""),"",IF(NOT(ISNUMBER(B317)),"Needs a date",IF(AND(D317&lt;&gt;"",NOT(ISNUMBER(D317))),"Amount not a number",IF(N(D317)&lt;0,"Amount below zero",IF(AND(N(D317)=0,G317=""),"Needs an amount or goods",IF(C317="","",IF(COUNTIF(Donors!$B$6:$B$305,C317)=0,"Not on Donors","")))))))</f>
        <v/>
      </c>
      <c r="K317" s="1">
        <f>IF(ISNUMBER(B317),YEAR(B317),"")</f>
        <v/>
      </c>
      <c r="L317">
        <f>IF(ISNUMBER(B317),YEAR(B317)*100+MONTH(B317),"")</f>
        <v/>
      </c>
      <c r="M317">
        <f>IF(ISNUMBER(B317),INT(B317),0)</f>
        <v/>
      </c>
      <c r="N317">
        <f>IF(OR(C317="",F317="",Q317=0),0,IF(COUNTIFS(C$6:C317,C317,F$6:F317,F317,Q$6:Q317,1)=1,1,0))</f>
        <v/>
      </c>
      <c r="O317">
        <f>IF(OR(C317="",Q317=0,H317&lt;&gt;""),"",M317*10000+ROW())</f>
        <v/>
      </c>
      <c r="P317">
        <f>IF(OR(C317="",Q317=0),"",IF(AND(C317=Statement!$C$4,K317=Statement!$C$5),M317*10000+ROW(),""))</f>
        <v/>
      </c>
      <c r="Q317">
        <f>IF(AND(ISNUMBER(B317),OR(N(D317)&gt;0,G317&lt;&gt;"")),1,0)</f>
        <v/>
      </c>
    </row>
    <row r="318">
      <c r="A318" s="1" t="n"/>
      <c r="B318" s="21" t="n"/>
      <c r="C318" s="22" t="n"/>
      <c r="D318" s="23" t="n"/>
      <c r="E318" s="24" t="n"/>
      <c r="F318" s="25" t="n"/>
      <c r="G318" s="25" t="n"/>
      <c r="H318" s="24" t="n"/>
      <c r="I318" s="25" t="n"/>
      <c r="J318" s="17">
        <f>IF(AND(C318="",D318="",G318=""),"",IF(NOT(ISNUMBER(B318)),"Needs a date",IF(AND(D318&lt;&gt;"",NOT(ISNUMBER(D318))),"Amount not a number",IF(N(D318)&lt;0,"Amount below zero",IF(AND(N(D318)=0,G318=""),"Needs an amount or goods",IF(C318="","",IF(COUNTIF(Donors!$B$6:$B$305,C318)=0,"Not on Donors","")))))))</f>
        <v/>
      </c>
      <c r="K318" s="1">
        <f>IF(ISNUMBER(B318),YEAR(B318),"")</f>
        <v/>
      </c>
      <c r="L318">
        <f>IF(ISNUMBER(B318),YEAR(B318)*100+MONTH(B318),"")</f>
        <v/>
      </c>
      <c r="M318">
        <f>IF(ISNUMBER(B318),INT(B318),0)</f>
        <v/>
      </c>
      <c r="N318">
        <f>IF(OR(C318="",F318="",Q318=0),0,IF(COUNTIFS(C$6:C318,C318,F$6:F318,F318,Q$6:Q318,1)=1,1,0))</f>
        <v/>
      </c>
      <c r="O318">
        <f>IF(OR(C318="",Q318=0,H318&lt;&gt;""),"",M318*10000+ROW())</f>
        <v/>
      </c>
      <c r="P318">
        <f>IF(OR(C318="",Q318=0),"",IF(AND(C318=Statement!$C$4,K318=Statement!$C$5),M318*10000+ROW(),""))</f>
        <v/>
      </c>
      <c r="Q318">
        <f>IF(AND(ISNUMBER(B318),OR(N(D318)&gt;0,G318&lt;&gt;"")),1,0)</f>
        <v/>
      </c>
    </row>
    <row r="319">
      <c r="A319" s="1" t="n"/>
      <c r="B319" s="21" t="n"/>
      <c r="C319" s="22" t="n"/>
      <c r="D319" s="23" t="n"/>
      <c r="E319" s="24" t="n"/>
      <c r="F319" s="25" t="n"/>
      <c r="G319" s="25" t="n"/>
      <c r="H319" s="24" t="n"/>
      <c r="I319" s="25" t="n"/>
      <c r="J319" s="17">
        <f>IF(AND(C319="",D319="",G319=""),"",IF(NOT(ISNUMBER(B319)),"Needs a date",IF(AND(D319&lt;&gt;"",NOT(ISNUMBER(D319))),"Amount not a number",IF(N(D319)&lt;0,"Amount below zero",IF(AND(N(D319)=0,G319=""),"Needs an amount or goods",IF(C319="","",IF(COUNTIF(Donors!$B$6:$B$305,C319)=0,"Not on Donors","")))))))</f>
        <v/>
      </c>
      <c r="K319" s="1">
        <f>IF(ISNUMBER(B319),YEAR(B319),"")</f>
        <v/>
      </c>
      <c r="L319">
        <f>IF(ISNUMBER(B319),YEAR(B319)*100+MONTH(B319),"")</f>
        <v/>
      </c>
      <c r="M319">
        <f>IF(ISNUMBER(B319),INT(B319),0)</f>
        <v/>
      </c>
      <c r="N319">
        <f>IF(OR(C319="",F319="",Q319=0),0,IF(COUNTIFS(C$6:C319,C319,F$6:F319,F319,Q$6:Q319,1)=1,1,0))</f>
        <v/>
      </c>
      <c r="O319">
        <f>IF(OR(C319="",Q319=0,H319&lt;&gt;""),"",M319*10000+ROW())</f>
        <v/>
      </c>
      <c r="P319">
        <f>IF(OR(C319="",Q319=0),"",IF(AND(C319=Statement!$C$4,K319=Statement!$C$5),M319*10000+ROW(),""))</f>
        <v/>
      </c>
      <c r="Q319">
        <f>IF(AND(ISNUMBER(B319),OR(N(D319)&gt;0,G319&lt;&gt;"")),1,0)</f>
        <v/>
      </c>
    </row>
    <row r="320">
      <c r="A320" s="1" t="n"/>
      <c r="B320" s="21" t="n"/>
      <c r="C320" s="22" t="n"/>
      <c r="D320" s="23" t="n"/>
      <c r="E320" s="24" t="n"/>
      <c r="F320" s="25" t="n"/>
      <c r="G320" s="25" t="n"/>
      <c r="H320" s="24" t="n"/>
      <c r="I320" s="25" t="n"/>
      <c r="J320" s="17">
        <f>IF(AND(C320="",D320="",G320=""),"",IF(NOT(ISNUMBER(B320)),"Needs a date",IF(AND(D320&lt;&gt;"",NOT(ISNUMBER(D320))),"Amount not a number",IF(N(D320)&lt;0,"Amount below zero",IF(AND(N(D320)=0,G320=""),"Needs an amount or goods",IF(C320="","",IF(COUNTIF(Donors!$B$6:$B$305,C320)=0,"Not on Donors","")))))))</f>
        <v/>
      </c>
      <c r="K320" s="1">
        <f>IF(ISNUMBER(B320),YEAR(B320),"")</f>
        <v/>
      </c>
      <c r="L320">
        <f>IF(ISNUMBER(B320),YEAR(B320)*100+MONTH(B320),"")</f>
        <v/>
      </c>
      <c r="M320">
        <f>IF(ISNUMBER(B320),INT(B320),0)</f>
        <v/>
      </c>
      <c r="N320">
        <f>IF(OR(C320="",F320="",Q320=0),0,IF(COUNTIFS(C$6:C320,C320,F$6:F320,F320,Q$6:Q320,1)=1,1,0))</f>
        <v/>
      </c>
      <c r="O320">
        <f>IF(OR(C320="",Q320=0,H320&lt;&gt;""),"",M320*10000+ROW())</f>
        <v/>
      </c>
      <c r="P320">
        <f>IF(OR(C320="",Q320=0),"",IF(AND(C320=Statement!$C$4,K320=Statement!$C$5),M320*10000+ROW(),""))</f>
        <v/>
      </c>
      <c r="Q320">
        <f>IF(AND(ISNUMBER(B320),OR(N(D320)&gt;0,G320&lt;&gt;"")),1,0)</f>
        <v/>
      </c>
    </row>
    <row r="321">
      <c r="A321" s="1" t="n"/>
      <c r="B321" s="21" t="n"/>
      <c r="C321" s="22" t="n"/>
      <c r="D321" s="23" t="n"/>
      <c r="E321" s="24" t="n"/>
      <c r="F321" s="25" t="n"/>
      <c r="G321" s="25" t="n"/>
      <c r="H321" s="24" t="n"/>
      <c r="I321" s="25" t="n"/>
      <c r="J321" s="17">
        <f>IF(AND(C321="",D321="",G321=""),"",IF(NOT(ISNUMBER(B321)),"Needs a date",IF(AND(D321&lt;&gt;"",NOT(ISNUMBER(D321))),"Amount not a number",IF(N(D321)&lt;0,"Amount below zero",IF(AND(N(D321)=0,G321=""),"Needs an amount or goods",IF(C321="","",IF(COUNTIF(Donors!$B$6:$B$305,C321)=0,"Not on Donors","")))))))</f>
        <v/>
      </c>
      <c r="K321" s="1">
        <f>IF(ISNUMBER(B321),YEAR(B321),"")</f>
        <v/>
      </c>
      <c r="L321">
        <f>IF(ISNUMBER(B321),YEAR(B321)*100+MONTH(B321),"")</f>
        <v/>
      </c>
      <c r="M321">
        <f>IF(ISNUMBER(B321),INT(B321),0)</f>
        <v/>
      </c>
      <c r="N321">
        <f>IF(OR(C321="",F321="",Q321=0),0,IF(COUNTIFS(C$6:C321,C321,F$6:F321,F321,Q$6:Q321,1)=1,1,0))</f>
        <v/>
      </c>
      <c r="O321">
        <f>IF(OR(C321="",Q321=0,H321&lt;&gt;""),"",M321*10000+ROW())</f>
        <v/>
      </c>
      <c r="P321">
        <f>IF(OR(C321="",Q321=0),"",IF(AND(C321=Statement!$C$4,K321=Statement!$C$5),M321*10000+ROW(),""))</f>
        <v/>
      </c>
      <c r="Q321">
        <f>IF(AND(ISNUMBER(B321),OR(N(D321)&gt;0,G321&lt;&gt;"")),1,0)</f>
        <v/>
      </c>
    </row>
    <row r="322">
      <c r="A322" s="1" t="n"/>
      <c r="B322" s="21" t="n"/>
      <c r="C322" s="22" t="n"/>
      <c r="D322" s="23" t="n"/>
      <c r="E322" s="24" t="n"/>
      <c r="F322" s="25" t="n"/>
      <c r="G322" s="25" t="n"/>
      <c r="H322" s="24" t="n"/>
      <c r="I322" s="25" t="n"/>
      <c r="J322" s="17">
        <f>IF(AND(C322="",D322="",G322=""),"",IF(NOT(ISNUMBER(B322)),"Needs a date",IF(AND(D322&lt;&gt;"",NOT(ISNUMBER(D322))),"Amount not a number",IF(N(D322)&lt;0,"Amount below zero",IF(AND(N(D322)=0,G322=""),"Needs an amount or goods",IF(C322="","",IF(COUNTIF(Donors!$B$6:$B$305,C322)=0,"Not on Donors","")))))))</f>
        <v/>
      </c>
      <c r="K322" s="1">
        <f>IF(ISNUMBER(B322),YEAR(B322),"")</f>
        <v/>
      </c>
      <c r="L322">
        <f>IF(ISNUMBER(B322),YEAR(B322)*100+MONTH(B322),"")</f>
        <v/>
      </c>
      <c r="M322">
        <f>IF(ISNUMBER(B322),INT(B322),0)</f>
        <v/>
      </c>
      <c r="N322">
        <f>IF(OR(C322="",F322="",Q322=0),0,IF(COUNTIFS(C$6:C322,C322,F$6:F322,F322,Q$6:Q322,1)=1,1,0))</f>
        <v/>
      </c>
      <c r="O322">
        <f>IF(OR(C322="",Q322=0,H322&lt;&gt;""),"",M322*10000+ROW())</f>
        <v/>
      </c>
      <c r="P322">
        <f>IF(OR(C322="",Q322=0),"",IF(AND(C322=Statement!$C$4,K322=Statement!$C$5),M322*10000+ROW(),""))</f>
        <v/>
      </c>
      <c r="Q322">
        <f>IF(AND(ISNUMBER(B322),OR(N(D322)&gt;0,G322&lt;&gt;"")),1,0)</f>
        <v/>
      </c>
    </row>
    <row r="323">
      <c r="A323" s="1" t="n"/>
      <c r="B323" s="21" t="n"/>
      <c r="C323" s="22" t="n"/>
      <c r="D323" s="23" t="n"/>
      <c r="E323" s="24" t="n"/>
      <c r="F323" s="25" t="n"/>
      <c r="G323" s="25" t="n"/>
      <c r="H323" s="24" t="n"/>
      <c r="I323" s="25" t="n"/>
      <c r="J323" s="17">
        <f>IF(AND(C323="",D323="",G323=""),"",IF(NOT(ISNUMBER(B323)),"Needs a date",IF(AND(D323&lt;&gt;"",NOT(ISNUMBER(D323))),"Amount not a number",IF(N(D323)&lt;0,"Amount below zero",IF(AND(N(D323)=0,G323=""),"Needs an amount or goods",IF(C323="","",IF(COUNTIF(Donors!$B$6:$B$305,C323)=0,"Not on Donors","")))))))</f>
        <v/>
      </c>
      <c r="K323" s="1">
        <f>IF(ISNUMBER(B323),YEAR(B323),"")</f>
        <v/>
      </c>
      <c r="L323">
        <f>IF(ISNUMBER(B323),YEAR(B323)*100+MONTH(B323),"")</f>
        <v/>
      </c>
      <c r="M323">
        <f>IF(ISNUMBER(B323),INT(B323),0)</f>
        <v/>
      </c>
      <c r="N323">
        <f>IF(OR(C323="",F323="",Q323=0),0,IF(COUNTIFS(C$6:C323,C323,F$6:F323,F323,Q$6:Q323,1)=1,1,0))</f>
        <v/>
      </c>
      <c r="O323">
        <f>IF(OR(C323="",Q323=0,H323&lt;&gt;""),"",M323*10000+ROW())</f>
        <v/>
      </c>
      <c r="P323">
        <f>IF(OR(C323="",Q323=0),"",IF(AND(C323=Statement!$C$4,K323=Statement!$C$5),M323*10000+ROW(),""))</f>
        <v/>
      </c>
      <c r="Q323">
        <f>IF(AND(ISNUMBER(B323),OR(N(D323)&gt;0,G323&lt;&gt;"")),1,0)</f>
        <v/>
      </c>
    </row>
    <row r="324">
      <c r="A324" s="1" t="n"/>
      <c r="B324" s="21" t="n"/>
      <c r="C324" s="22" t="n"/>
      <c r="D324" s="23" t="n"/>
      <c r="E324" s="24" t="n"/>
      <c r="F324" s="25" t="n"/>
      <c r="G324" s="25" t="n"/>
      <c r="H324" s="24" t="n"/>
      <c r="I324" s="25" t="n"/>
      <c r="J324" s="17">
        <f>IF(AND(C324="",D324="",G324=""),"",IF(NOT(ISNUMBER(B324)),"Needs a date",IF(AND(D324&lt;&gt;"",NOT(ISNUMBER(D324))),"Amount not a number",IF(N(D324)&lt;0,"Amount below zero",IF(AND(N(D324)=0,G324=""),"Needs an amount or goods",IF(C324="","",IF(COUNTIF(Donors!$B$6:$B$305,C324)=0,"Not on Donors","")))))))</f>
        <v/>
      </c>
      <c r="K324" s="1">
        <f>IF(ISNUMBER(B324),YEAR(B324),"")</f>
        <v/>
      </c>
      <c r="L324">
        <f>IF(ISNUMBER(B324),YEAR(B324)*100+MONTH(B324),"")</f>
        <v/>
      </c>
      <c r="M324">
        <f>IF(ISNUMBER(B324),INT(B324),0)</f>
        <v/>
      </c>
      <c r="N324">
        <f>IF(OR(C324="",F324="",Q324=0),0,IF(COUNTIFS(C$6:C324,C324,F$6:F324,F324,Q$6:Q324,1)=1,1,0))</f>
        <v/>
      </c>
      <c r="O324">
        <f>IF(OR(C324="",Q324=0,H324&lt;&gt;""),"",M324*10000+ROW())</f>
        <v/>
      </c>
      <c r="P324">
        <f>IF(OR(C324="",Q324=0),"",IF(AND(C324=Statement!$C$4,K324=Statement!$C$5),M324*10000+ROW(),""))</f>
        <v/>
      </c>
      <c r="Q324">
        <f>IF(AND(ISNUMBER(B324),OR(N(D324)&gt;0,G324&lt;&gt;"")),1,0)</f>
        <v/>
      </c>
    </row>
    <row r="325">
      <c r="A325" s="1" t="n"/>
      <c r="B325" s="21" t="n"/>
      <c r="C325" s="22" t="n"/>
      <c r="D325" s="23" t="n"/>
      <c r="E325" s="24" t="n"/>
      <c r="F325" s="25" t="n"/>
      <c r="G325" s="25" t="n"/>
      <c r="H325" s="24" t="n"/>
      <c r="I325" s="25" t="n"/>
      <c r="J325" s="17">
        <f>IF(AND(C325="",D325="",G325=""),"",IF(NOT(ISNUMBER(B325)),"Needs a date",IF(AND(D325&lt;&gt;"",NOT(ISNUMBER(D325))),"Amount not a number",IF(N(D325)&lt;0,"Amount below zero",IF(AND(N(D325)=0,G325=""),"Needs an amount or goods",IF(C325="","",IF(COUNTIF(Donors!$B$6:$B$305,C325)=0,"Not on Donors","")))))))</f>
        <v/>
      </c>
      <c r="K325" s="1">
        <f>IF(ISNUMBER(B325),YEAR(B325),"")</f>
        <v/>
      </c>
      <c r="L325">
        <f>IF(ISNUMBER(B325),YEAR(B325)*100+MONTH(B325),"")</f>
        <v/>
      </c>
      <c r="M325">
        <f>IF(ISNUMBER(B325),INT(B325),0)</f>
        <v/>
      </c>
      <c r="N325">
        <f>IF(OR(C325="",F325="",Q325=0),0,IF(COUNTIFS(C$6:C325,C325,F$6:F325,F325,Q$6:Q325,1)=1,1,0))</f>
        <v/>
      </c>
      <c r="O325">
        <f>IF(OR(C325="",Q325=0,H325&lt;&gt;""),"",M325*10000+ROW())</f>
        <v/>
      </c>
      <c r="P325">
        <f>IF(OR(C325="",Q325=0),"",IF(AND(C325=Statement!$C$4,K325=Statement!$C$5),M325*10000+ROW(),""))</f>
        <v/>
      </c>
      <c r="Q325">
        <f>IF(AND(ISNUMBER(B325),OR(N(D325)&gt;0,G325&lt;&gt;"")),1,0)</f>
        <v/>
      </c>
    </row>
    <row r="326">
      <c r="A326" s="1" t="n"/>
      <c r="B326" s="21" t="n"/>
      <c r="C326" s="22" t="n"/>
      <c r="D326" s="23" t="n"/>
      <c r="E326" s="24" t="n"/>
      <c r="F326" s="25" t="n"/>
      <c r="G326" s="25" t="n"/>
      <c r="H326" s="24" t="n"/>
      <c r="I326" s="25" t="n"/>
      <c r="J326" s="17">
        <f>IF(AND(C326="",D326="",G326=""),"",IF(NOT(ISNUMBER(B326)),"Needs a date",IF(AND(D326&lt;&gt;"",NOT(ISNUMBER(D326))),"Amount not a number",IF(N(D326)&lt;0,"Amount below zero",IF(AND(N(D326)=0,G326=""),"Needs an amount or goods",IF(C326="","",IF(COUNTIF(Donors!$B$6:$B$305,C326)=0,"Not on Donors","")))))))</f>
        <v/>
      </c>
      <c r="K326" s="1">
        <f>IF(ISNUMBER(B326),YEAR(B326),"")</f>
        <v/>
      </c>
      <c r="L326">
        <f>IF(ISNUMBER(B326),YEAR(B326)*100+MONTH(B326),"")</f>
        <v/>
      </c>
      <c r="M326">
        <f>IF(ISNUMBER(B326),INT(B326),0)</f>
        <v/>
      </c>
      <c r="N326">
        <f>IF(OR(C326="",F326="",Q326=0),0,IF(COUNTIFS(C$6:C326,C326,F$6:F326,F326,Q$6:Q326,1)=1,1,0))</f>
        <v/>
      </c>
      <c r="O326">
        <f>IF(OR(C326="",Q326=0,H326&lt;&gt;""),"",M326*10000+ROW())</f>
        <v/>
      </c>
      <c r="P326">
        <f>IF(OR(C326="",Q326=0),"",IF(AND(C326=Statement!$C$4,K326=Statement!$C$5),M326*10000+ROW(),""))</f>
        <v/>
      </c>
      <c r="Q326">
        <f>IF(AND(ISNUMBER(B326),OR(N(D326)&gt;0,G326&lt;&gt;"")),1,0)</f>
        <v/>
      </c>
    </row>
    <row r="327">
      <c r="A327" s="1" t="n"/>
      <c r="B327" s="21" t="n"/>
      <c r="C327" s="22" t="n"/>
      <c r="D327" s="23" t="n"/>
      <c r="E327" s="24" t="n"/>
      <c r="F327" s="25" t="n"/>
      <c r="G327" s="25" t="n"/>
      <c r="H327" s="24" t="n"/>
      <c r="I327" s="25" t="n"/>
      <c r="J327" s="17">
        <f>IF(AND(C327="",D327="",G327=""),"",IF(NOT(ISNUMBER(B327)),"Needs a date",IF(AND(D327&lt;&gt;"",NOT(ISNUMBER(D327))),"Amount not a number",IF(N(D327)&lt;0,"Amount below zero",IF(AND(N(D327)=0,G327=""),"Needs an amount or goods",IF(C327="","",IF(COUNTIF(Donors!$B$6:$B$305,C327)=0,"Not on Donors","")))))))</f>
        <v/>
      </c>
      <c r="K327" s="1">
        <f>IF(ISNUMBER(B327),YEAR(B327),"")</f>
        <v/>
      </c>
      <c r="L327">
        <f>IF(ISNUMBER(B327),YEAR(B327)*100+MONTH(B327),"")</f>
        <v/>
      </c>
      <c r="M327">
        <f>IF(ISNUMBER(B327),INT(B327),0)</f>
        <v/>
      </c>
      <c r="N327">
        <f>IF(OR(C327="",F327="",Q327=0),0,IF(COUNTIFS(C$6:C327,C327,F$6:F327,F327,Q$6:Q327,1)=1,1,0))</f>
        <v/>
      </c>
      <c r="O327">
        <f>IF(OR(C327="",Q327=0,H327&lt;&gt;""),"",M327*10000+ROW())</f>
        <v/>
      </c>
      <c r="P327">
        <f>IF(OR(C327="",Q327=0),"",IF(AND(C327=Statement!$C$4,K327=Statement!$C$5),M327*10000+ROW(),""))</f>
        <v/>
      </c>
      <c r="Q327">
        <f>IF(AND(ISNUMBER(B327),OR(N(D327)&gt;0,G327&lt;&gt;"")),1,0)</f>
        <v/>
      </c>
    </row>
    <row r="328">
      <c r="A328" s="1" t="n"/>
      <c r="B328" s="21" t="n"/>
      <c r="C328" s="22" t="n"/>
      <c r="D328" s="23" t="n"/>
      <c r="E328" s="24" t="n"/>
      <c r="F328" s="25" t="n"/>
      <c r="G328" s="25" t="n"/>
      <c r="H328" s="24" t="n"/>
      <c r="I328" s="25" t="n"/>
      <c r="J328" s="17">
        <f>IF(AND(C328="",D328="",G328=""),"",IF(NOT(ISNUMBER(B328)),"Needs a date",IF(AND(D328&lt;&gt;"",NOT(ISNUMBER(D328))),"Amount not a number",IF(N(D328)&lt;0,"Amount below zero",IF(AND(N(D328)=0,G328=""),"Needs an amount or goods",IF(C328="","",IF(COUNTIF(Donors!$B$6:$B$305,C328)=0,"Not on Donors","")))))))</f>
        <v/>
      </c>
      <c r="K328" s="1">
        <f>IF(ISNUMBER(B328),YEAR(B328),"")</f>
        <v/>
      </c>
      <c r="L328">
        <f>IF(ISNUMBER(B328),YEAR(B328)*100+MONTH(B328),"")</f>
        <v/>
      </c>
      <c r="M328">
        <f>IF(ISNUMBER(B328),INT(B328),0)</f>
        <v/>
      </c>
      <c r="N328">
        <f>IF(OR(C328="",F328="",Q328=0),0,IF(COUNTIFS(C$6:C328,C328,F$6:F328,F328,Q$6:Q328,1)=1,1,0))</f>
        <v/>
      </c>
      <c r="O328">
        <f>IF(OR(C328="",Q328=0,H328&lt;&gt;""),"",M328*10000+ROW())</f>
        <v/>
      </c>
      <c r="P328">
        <f>IF(OR(C328="",Q328=0),"",IF(AND(C328=Statement!$C$4,K328=Statement!$C$5),M328*10000+ROW(),""))</f>
        <v/>
      </c>
      <c r="Q328">
        <f>IF(AND(ISNUMBER(B328),OR(N(D328)&gt;0,G328&lt;&gt;"")),1,0)</f>
        <v/>
      </c>
    </row>
    <row r="329">
      <c r="A329" s="1" t="n"/>
      <c r="B329" s="21" t="n"/>
      <c r="C329" s="22" t="n"/>
      <c r="D329" s="23" t="n"/>
      <c r="E329" s="24" t="n"/>
      <c r="F329" s="25" t="n"/>
      <c r="G329" s="25" t="n"/>
      <c r="H329" s="24" t="n"/>
      <c r="I329" s="25" t="n"/>
      <c r="J329" s="17">
        <f>IF(AND(C329="",D329="",G329=""),"",IF(NOT(ISNUMBER(B329)),"Needs a date",IF(AND(D329&lt;&gt;"",NOT(ISNUMBER(D329))),"Amount not a number",IF(N(D329)&lt;0,"Amount below zero",IF(AND(N(D329)=0,G329=""),"Needs an amount or goods",IF(C329="","",IF(COUNTIF(Donors!$B$6:$B$305,C329)=0,"Not on Donors","")))))))</f>
        <v/>
      </c>
      <c r="K329" s="1">
        <f>IF(ISNUMBER(B329),YEAR(B329),"")</f>
        <v/>
      </c>
      <c r="L329">
        <f>IF(ISNUMBER(B329),YEAR(B329)*100+MONTH(B329),"")</f>
        <v/>
      </c>
      <c r="M329">
        <f>IF(ISNUMBER(B329),INT(B329),0)</f>
        <v/>
      </c>
      <c r="N329">
        <f>IF(OR(C329="",F329="",Q329=0),0,IF(COUNTIFS(C$6:C329,C329,F$6:F329,F329,Q$6:Q329,1)=1,1,0))</f>
        <v/>
      </c>
      <c r="O329">
        <f>IF(OR(C329="",Q329=0,H329&lt;&gt;""),"",M329*10000+ROW())</f>
        <v/>
      </c>
      <c r="P329">
        <f>IF(OR(C329="",Q329=0),"",IF(AND(C329=Statement!$C$4,K329=Statement!$C$5),M329*10000+ROW(),""))</f>
        <v/>
      </c>
      <c r="Q329">
        <f>IF(AND(ISNUMBER(B329),OR(N(D329)&gt;0,G329&lt;&gt;"")),1,0)</f>
        <v/>
      </c>
    </row>
    <row r="330">
      <c r="A330" s="1" t="n"/>
      <c r="B330" s="21" t="n"/>
      <c r="C330" s="22" t="n"/>
      <c r="D330" s="23" t="n"/>
      <c r="E330" s="24" t="n"/>
      <c r="F330" s="25" t="n"/>
      <c r="G330" s="25" t="n"/>
      <c r="H330" s="24" t="n"/>
      <c r="I330" s="25" t="n"/>
      <c r="J330" s="17">
        <f>IF(AND(C330="",D330="",G330=""),"",IF(NOT(ISNUMBER(B330)),"Needs a date",IF(AND(D330&lt;&gt;"",NOT(ISNUMBER(D330))),"Amount not a number",IF(N(D330)&lt;0,"Amount below zero",IF(AND(N(D330)=0,G330=""),"Needs an amount or goods",IF(C330="","",IF(COUNTIF(Donors!$B$6:$B$305,C330)=0,"Not on Donors","")))))))</f>
        <v/>
      </c>
      <c r="K330" s="1">
        <f>IF(ISNUMBER(B330),YEAR(B330),"")</f>
        <v/>
      </c>
      <c r="L330">
        <f>IF(ISNUMBER(B330),YEAR(B330)*100+MONTH(B330),"")</f>
        <v/>
      </c>
      <c r="M330">
        <f>IF(ISNUMBER(B330),INT(B330),0)</f>
        <v/>
      </c>
      <c r="N330">
        <f>IF(OR(C330="",F330="",Q330=0),0,IF(COUNTIFS(C$6:C330,C330,F$6:F330,F330,Q$6:Q330,1)=1,1,0))</f>
        <v/>
      </c>
      <c r="O330">
        <f>IF(OR(C330="",Q330=0,H330&lt;&gt;""),"",M330*10000+ROW())</f>
        <v/>
      </c>
      <c r="P330">
        <f>IF(OR(C330="",Q330=0),"",IF(AND(C330=Statement!$C$4,K330=Statement!$C$5),M330*10000+ROW(),""))</f>
        <v/>
      </c>
      <c r="Q330">
        <f>IF(AND(ISNUMBER(B330),OR(N(D330)&gt;0,G330&lt;&gt;"")),1,0)</f>
        <v/>
      </c>
    </row>
    <row r="331">
      <c r="A331" s="1" t="n"/>
      <c r="B331" s="21" t="n"/>
      <c r="C331" s="22" t="n"/>
      <c r="D331" s="23" t="n"/>
      <c r="E331" s="24" t="n"/>
      <c r="F331" s="25" t="n"/>
      <c r="G331" s="25" t="n"/>
      <c r="H331" s="24" t="n"/>
      <c r="I331" s="25" t="n"/>
      <c r="J331" s="17">
        <f>IF(AND(C331="",D331="",G331=""),"",IF(NOT(ISNUMBER(B331)),"Needs a date",IF(AND(D331&lt;&gt;"",NOT(ISNUMBER(D331))),"Amount not a number",IF(N(D331)&lt;0,"Amount below zero",IF(AND(N(D331)=0,G331=""),"Needs an amount or goods",IF(C331="","",IF(COUNTIF(Donors!$B$6:$B$305,C331)=0,"Not on Donors","")))))))</f>
        <v/>
      </c>
      <c r="K331" s="1">
        <f>IF(ISNUMBER(B331),YEAR(B331),"")</f>
        <v/>
      </c>
      <c r="L331">
        <f>IF(ISNUMBER(B331),YEAR(B331)*100+MONTH(B331),"")</f>
        <v/>
      </c>
      <c r="M331">
        <f>IF(ISNUMBER(B331),INT(B331),0)</f>
        <v/>
      </c>
      <c r="N331">
        <f>IF(OR(C331="",F331="",Q331=0),0,IF(COUNTIFS(C$6:C331,C331,F$6:F331,F331,Q$6:Q331,1)=1,1,0))</f>
        <v/>
      </c>
      <c r="O331">
        <f>IF(OR(C331="",Q331=0,H331&lt;&gt;""),"",M331*10000+ROW())</f>
        <v/>
      </c>
      <c r="P331">
        <f>IF(OR(C331="",Q331=0),"",IF(AND(C331=Statement!$C$4,K331=Statement!$C$5),M331*10000+ROW(),""))</f>
        <v/>
      </c>
      <c r="Q331">
        <f>IF(AND(ISNUMBER(B331),OR(N(D331)&gt;0,G331&lt;&gt;"")),1,0)</f>
        <v/>
      </c>
    </row>
    <row r="332">
      <c r="A332" s="1" t="n"/>
      <c r="B332" s="21" t="n"/>
      <c r="C332" s="22" t="n"/>
      <c r="D332" s="23" t="n"/>
      <c r="E332" s="24" t="n"/>
      <c r="F332" s="25" t="n"/>
      <c r="G332" s="25" t="n"/>
      <c r="H332" s="24" t="n"/>
      <c r="I332" s="25" t="n"/>
      <c r="J332" s="17">
        <f>IF(AND(C332="",D332="",G332=""),"",IF(NOT(ISNUMBER(B332)),"Needs a date",IF(AND(D332&lt;&gt;"",NOT(ISNUMBER(D332))),"Amount not a number",IF(N(D332)&lt;0,"Amount below zero",IF(AND(N(D332)=0,G332=""),"Needs an amount or goods",IF(C332="","",IF(COUNTIF(Donors!$B$6:$B$305,C332)=0,"Not on Donors","")))))))</f>
        <v/>
      </c>
      <c r="K332" s="1">
        <f>IF(ISNUMBER(B332),YEAR(B332),"")</f>
        <v/>
      </c>
      <c r="L332">
        <f>IF(ISNUMBER(B332),YEAR(B332)*100+MONTH(B332),"")</f>
        <v/>
      </c>
      <c r="M332">
        <f>IF(ISNUMBER(B332),INT(B332),0)</f>
        <v/>
      </c>
      <c r="N332">
        <f>IF(OR(C332="",F332="",Q332=0),0,IF(COUNTIFS(C$6:C332,C332,F$6:F332,F332,Q$6:Q332,1)=1,1,0))</f>
        <v/>
      </c>
      <c r="O332">
        <f>IF(OR(C332="",Q332=0,H332&lt;&gt;""),"",M332*10000+ROW())</f>
        <v/>
      </c>
      <c r="P332">
        <f>IF(OR(C332="",Q332=0),"",IF(AND(C332=Statement!$C$4,K332=Statement!$C$5),M332*10000+ROW(),""))</f>
        <v/>
      </c>
      <c r="Q332">
        <f>IF(AND(ISNUMBER(B332),OR(N(D332)&gt;0,G332&lt;&gt;"")),1,0)</f>
        <v/>
      </c>
    </row>
    <row r="333">
      <c r="A333" s="1" t="n"/>
      <c r="B333" s="21" t="n"/>
      <c r="C333" s="22" t="n"/>
      <c r="D333" s="23" t="n"/>
      <c r="E333" s="24" t="n"/>
      <c r="F333" s="25" t="n"/>
      <c r="G333" s="25" t="n"/>
      <c r="H333" s="24" t="n"/>
      <c r="I333" s="25" t="n"/>
      <c r="J333" s="17">
        <f>IF(AND(C333="",D333="",G333=""),"",IF(NOT(ISNUMBER(B333)),"Needs a date",IF(AND(D333&lt;&gt;"",NOT(ISNUMBER(D333))),"Amount not a number",IF(N(D333)&lt;0,"Amount below zero",IF(AND(N(D333)=0,G333=""),"Needs an amount or goods",IF(C333="","",IF(COUNTIF(Donors!$B$6:$B$305,C333)=0,"Not on Donors","")))))))</f>
        <v/>
      </c>
      <c r="K333" s="1">
        <f>IF(ISNUMBER(B333),YEAR(B333),"")</f>
        <v/>
      </c>
      <c r="L333">
        <f>IF(ISNUMBER(B333),YEAR(B333)*100+MONTH(B333),"")</f>
        <v/>
      </c>
      <c r="M333">
        <f>IF(ISNUMBER(B333),INT(B333),0)</f>
        <v/>
      </c>
      <c r="N333">
        <f>IF(OR(C333="",F333="",Q333=0),0,IF(COUNTIFS(C$6:C333,C333,F$6:F333,F333,Q$6:Q333,1)=1,1,0))</f>
        <v/>
      </c>
      <c r="O333">
        <f>IF(OR(C333="",Q333=0,H333&lt;&gt;""),"",M333*10000+ROW())</f>
        <v/>
      </c>
      <c r="P333">
        <f>IF(OR(C333="",Q333=0),"",IF(AND(C333=Statement!$C$4,K333=Statement!$C$5),M333*10000+ROW(),""))</f>
        <v/>
      </c>
      <c r="Q333">
        <f>IF(AND(ISNUMBER(B333),OR(N(D333)&gt;0,G333&lt;&gt;"")),1,0)</f>
        <v/>
      </c>
    </row>
    <row r="334">
      <c r="A334" s="1" t="n"/>
      <c r="B334" s="21" t="n"/>
      <c r="C334" s="22" t="n"/>
      <c r="D334" s="23" t="n"/>
      <c r="E334" s="24" t="n"/>
      <c r="F334" s="25" t="n"/>
      <c r="G334" s="25" t="n"/>
      <c r="H334" s="24" t="n"/>
      <c r="I334" s="25" t="n"/>
      <c r="J334" s="17">
        <f>IF(AND(C334="",D334="",G334=""),"",IF(NOT(ISNUMBER(B334)),"Needs a date",IF(AND(D334&lt;&gt;"",NOT(ISNUMBER(D334))),"Amount not a number",IF(N(D334)&lt;0,"Amount below zero",IF(AND(N(D334)=0,G334=""),"Needs an amount or goods",IF(C334="","",IF(COUNTIF(Donors!$B$6:$B$305,C334)=0,"Not on Donors","")))))))</f>
        <v/>
      </c>
      <c r="K334" s="1">
        <f>IF(ISNUMBER(B334),YEAR(B334),"")</f>
        <v/>
      </c>
      <c r="L334">
        <f>IF(ISNUMBER(B334),YEAR(B334)*100+MONTH(B334),"")</f>
        <v/>
      </c>
      <c r="M334">
        <f>IF(ISNUMBER(B334),INT(B334),0)</f>
        <v/>
      </c>
      <c r="N334">
        <f>IF(OR(C334="",F334="",Q334=0),0,IF(COUNTIFS(C$6:C334,C334,F$6:F334,F334,Q$6:Q334,1)=1,1,0))</f>
        <v/>
      </c>
      <c r="O334">
        <f>IF(OR(C334="",Q334=0,H334&lt;&gt;""),"",M334*10000+ROW())</f>
        <v/>
      </c>
      <c r="P334">
        <f>IF(OR(C334="",Q334=0),"",IF(AND(C334=Statement!$C$4,K334=Statement!$C$5),M334*10000+ROW(),""))</f>
        <v/>
      </c>
      <c r="Q334">
        <f>IF(AND(ISNUMBER(B334),OR(N(D334)&gt;0,G334&lt;&gt;"")),1,0)</f>
        <v/>
      </c>
    </row>
    <row r="335">
      <c r="A335" s="1" t="n"/>
      <c r="B335" s="21" t="n"/>
      <c r="C335" s="22" t="n"/>
      <c r="D335" s="23" t="n"/>
      <c r="E335" s="24" t="n"/>
      <c r="F335" s="25" t="n"/>
      <c r="G335" s="25" t="n"/>
      <c r="H335" s="24" t="n"/>
      <c r="I335" s="25" t="n"/>
      <c r="J335" s="17">
        <f>IF(AND(C335="",D335="",G335=""),"",IF(NOT(ISNUMBER(B335)),"Needs a date",IF(AND(D335&lt;&gt;"",NOT(ISNUMBER(D335))),"Amount not a number",IF(N(D335)&lt;0,"Amount below zero",IF(AND(N(D335)=0,G335=""),"Needs an amount or goods",IF(C335="","",IF(COUNTIF(Donors!$B$6:$B$305,C335)=0,"Not on Donors","")))))))</f>
        <v/>
      </c>
      <c r="K335" s="1">
        <f>IF(ISNUMBER(B335),YEAR(B335),"")</f>
        <v/>
      </c>
      <c r="L335">
        <f>IF(ISNUMBER(B335),YEAR(B335)*100+MONTH(B335),"")</f>
        <v/>
      </c>
      <c r="M335">
        <f>IF(ISNUMBER(B335),INT(B335),0)</f>
        <v/>
      </c>
      <c r="N335">
        <f>IF(OR(C335="",F335="",Q335=0),0,IF(COUNTIFS(C$6:C335,C335,F$6:F335,F335,Q$6:Q335,1)=1,1,0))</f>
        <v/>
      </c>
      <c r="O335">
        <f>IF(OR(C335="",Q335=0,H335&lt;&gt;""),"",M335*10000+ROW())</f>
        <v/>
      </c>
      <c r="P335">
        <f>IF(OR(C335="",Q335=0),"",IF(AND(C335=Statement!$C$4,K335=Statement!$C$5),M335*10000+ROW(),""))</f>
        <v/>
      </c>
      <c r="Q335">
        <f>IF(AND(ISNUMBER(B335),OR(N(D335)&gt;0,G335&lt;&gt;"")),1,0)</f>
        <v/>
      </c>
    </row>
    <row r="336">
      <c r="A336" s="1" t="n"/>
      <c r="B336" s="21" t="n"/>
      <c r="C336" s="22" t="n"/>
      <c r="D336" s="23" t="n"/>
      <c r="E336" s="24" t="n"/>
      <c r="F336" s="25" t="n"/>
      <c r="G336" s="25" t="n"/>
      <c r="H336" s="24" t="n"/>
      <c r="I336" s="25" t="n"/>
      <c r="J336" s="17">
        <f>IF(AND(C336="",D336="",G336=""),"",IF(NOT(ISNUMBER(B336)),"Needs a date",IF(AND(D336&lt;&gt;"",NOT(ISNUMBER(D336))),"Amount not a number",IF(N(D336)&lt;0,"Amount below zero",IF(AND(N(D336)=0,G336=""),"Needs an amount or goods",IF(C336="","",IF(COUNTIF(Donors!$B$6:$B$305,C336)=0,"Not on Donors","")))))))</f>
        <v/>
      </c>
      <c r="K336" s="1">
        <f>IF(ISNUMBER(B336),YEAR(B336),"")</f>
        <v/>
      </c>
      <c r="L336">
        <f>IF(ISNUMBER(B336),YEAR(B336)*100+MONTH(B336),"")</f>
        <v/>
      </c>
      <c r="M336">
        <f>IF(ISNUMBER(B336),INT(B336),0)</f>
        <v/>
      </c>
      <c r="N336">
        <f>IF(OR(C336="",F336="",Q336=0),0,IF(COUNTIFS(C$6:C336,C336,F$6:F336,F336,Q$6:Q336,1)=1,1,0))</f>
        <v/>
      </c>
      <c r="O336">
        <f>IF(OR(C336="",Q336=0,H336&lt;&gt;""),"",M336*10000+ROW())</f>
        <v/>
      </c>
      <c r="P336">
        <f>IF(OR(C336="",Q336=0),"",IF(AND(C336=Statement!$C$4,K336=Statement!$C$5),M336*10000+ROW(),""))</f>
        <v/>
      </c>
      <c r="Q336">
        <f>IF(AND(ISNUMBER(B336),OR(N(D336)&gt;0,G336&lt;&gt;"")),1,0)</f>
        <v/>
      </c>
    </row>
    <row r="337">
      <c r="A337" s="1" t="n"/>
      <c r="B337" s="21" t="n"/>
      <c r="C337" s="22" t="n"/>
      <c r="D337" s="23" t="n"/>
      <c r="E337" s="24" t="n"/>
      <c r="F337" s="25" t="n"/>
      <c r="G337" s="25" t="n"/>
      <c r="H337" s="24" t="n"/>
      <c r="I337" s="25" t="n"/>
      <c r="J337" s="17">
        <f>IF(AND(C337="",D337="",G337=""),"",IF(NOT(ISNUMBER(B337)),"Needs a date",IF(AND(D337&lt;&gt;"",NOT(ISNUMBER(D337))),"Amount not a number",IF(N(D337)&lt;0,"Amount below zero",IF(AND(N(D337)=0,G337=""),"Needs an amount or goods",IF(C337="","",IF(COUNTIF(Donors!$B$6:$B$305,C337)=0,"Not on Donors","")))))))</f>
        <v/>
      </c>
      <c r="K337" s="1">
        <f>IF(ISNUMBER(B337),YEAR(B337),"")</f>
        <v/>
      </c>
      <c r="L337">
        <f>IF(ISNUMBER(B337),YEAR(B337)*100+MONTH(B337),"")</f>
        <v/>
      </c>
      <c r="M337">
        <f>IF(ISNUMBER(B337),INT(B337),0)</f>
        <v/>
      </c>
      <c r="N337">
        <f>IF(OR(C337="",F337="",Q337=0),0,IF(COUNTIFS(C$6:C337,C337,F$6:F337,F337,Q$6:Q337,1)=1,1,0))</f>
        <v/>
      </c>
      <c r="O337">
        <f>IF(OR(C337="",Q337=0,H337&lt;&gt;""),"",M337*10000+ROW())</f>
        <v/>
      </c>
      <c r="P337">
        <f>IF(OR(C337="",Q337=0),"",IF(AND(C337=Statement!$C$4,K337=Statement!$C$5),M337*10000+ROW(),""))</f>
        <v/>
      </c>
      <c r="Q337">
        <f>IF(AND(ISNUMBER(B337),OR(N(D337)&gt;0,G337&lt;&gt;"")),1,0)</f>
        <v/>
      </c>
    </row>
    <row r="338">
      <c r="A338" s="1" t="n"/>
      <c r="B338" s="21" t="n"/>
      <c r="C338" s="22" t="n"/>
      <c r="D338" s="23" t="n"/>
      <c r="E338" s="24" t="n"/>
      <c r="F338" s="25" t="n"/>
      <c r="G338" s="25" t="n"/>
      <c r="H338" s="24" t="n"/>
      <c r="I338" s="25" t="n"/>
      <c r="J338" s="17">
        <f>IF(AND(C338="",D338="",G338=""),"",IF(NOT(ISNUMBER(B338)),"Needs a date",IF(AND(D338&lt;&gt;"",NOT(ISNUMBER(D338))),"Amount not a number",IF(N(D338)&lt;0,"Amount below zero",IF(AND(N(D338)=0,G338=""),"Needs an amount or goods",IF(C338="","",IF(COUNTIF(Donors!$B$6:$B$305,C338)=0,"Not on Donors","")))))))</f>
        <v/>
      </c>
      <c r="K338" s="1">
        <f>IF(ISNUMBER(B338),YEAR(B338),"")</f>
        <v/>
      </c>
      <c r="L338">
        <f>IF(ISNUMBER(B338),YEAR(B338)*100+MONTH(B338),"")</f>
        <v/>
      </c>
      <c r="M338">
        <f>IF(ISNUMBER(B338),INT(B338),0)</f>
        <v/>
      </c>
      <c r="N338">
        <f>IF(OR(C338="",F338="",Q338=0),0,IF(COUNTIFS(C$6:C338,C338,F$6:F338,F338,Q$6:Q338,1)=1,1,0))</f>
        <v/>
      </c>
      <c r="O338">
        <f>IF(OR(C338="",Q338=0,H338&lt;&gt;""),"",M338*10000+ROW())</f>
        <v/>
      </c>
      <c r="P338">
        <f>IF(OR(C338="",Q338=0),"",IF(AND(C338=Statement!$C$4,K338=Statement!$C$5),M338*10000+ROW(),""))</f>
        <v/>
      </c>
      <c r="Q338">
        <f>IF(AND(ISNUMBER(B338),OR(N(D338)&gt;0,G338&lt;&gt;"")),1,0)</f>
        <v/>
      </c>
    </row>
    <row r="339">
      <c r="A339" s="1" t="n"/>
      <c r="B339" s="21" t="n"/>
      <c r="C339" s="22" t="n"/>
      <c r="D339" s="23" t="n"/>
      <c r="E339" s="24" t="n"/>
      <c r="F339" s="25" t="n"/>
      <c r="G339" s="25" t="n"/>
      <c r="H339" s="24" t="n"/>
      <c r="I339" s="25" t="n"/>
      <c r="J339" s="17">
        <f>IF(AND(C339="",D339="",G339=""),"",IF(NOT(ISNUMBER(B339)),"Needs a date",IF(AND(D339&lt;&gt;"",NOT(ISNUMBER(D339))),"Amount not a number",IF(N(D339)&lt;0,"Amount below zero",IF(AND(N(D339)=0,G339=""),"Needs an amount or goods",IF(C339="","",IF(COUNTIF(Donors!$B$6:$B$305,C339)=0,"Not on Donors","")))))))</f>
        <v/>
      </c>
      <c r="K339" s="1">
        <f>IF(ISNUMBER(B339),YEAR(B339),"")</f>
        <v/>
      </c>
      <c r="L339">
        <f>IF(ISNUMBER(B339),YEAR(B339)*100+MONTH(B339),"")</f>
        <v/>
      </c>
      <c r="M339">
        <f>IF(ISNUMBER(B339),INT(B339),0)</f>
        <v/>
      </c>
      <c r="N339">
        <f>IF(OR(C339="",F339="",Q339=0),0,IF(COUNTIFS(C$6:C339,C339,F$6:F339,F339,Q$6:Q339,1)=1,1,0))</f>
        <v/>
      </c>
      <c r="O339">
        <f>IF(OR(C339="",Q339=0,H339&lt;&gt;""),"",M339*10000+ROW())</f>
        <v/>
      </c>
      <c r="P339">
        <f>IF(OR(C339="",Q339=0),"",IF(AND(C339=Statement!$C$4,K339=Statement!$C$5),M339*10000+ROW(),""))</f>
        <v/>
      </c>
      <c r="Q339">
        <f>IF(AND(ISNUMBER(B339),OR(N(D339)&gt;0,G339&lt;&gt;"")),1,0)</f>
        <v/>
      </c>
    </row>
    <row r="340">
      <c r="A340" s="1" t="n"/>
      <c r="B340" s="21" t="n"/>
      <c r="C340" s="22" t="n"/>
      <c r="D340" s="23" t="n"/>
      <c r="E340" s="24" t="n"/>
      <c r="F340" s="25" t="n"/>
      <c r="G340" s="25" t="n"/>
      <c r="H340" s="24" t="n"/>
      <c r="I340" s="25" t="n"/>
      <c r="J340" s="17">
        <f>IF(AND(C340="",D340="",G340=""),"",IF(NOT(ISNUMBER(B340)),"Needs a date",IF(AND(D340&lt;&gt;"",NOT(ISNUMBER(D340))),"Amount not a number",IF(N(D340)&lt;0,"Amount below zero",IF(AND(N(D340)=0,G340=""),"Needs an amount or goods",IF(C340="","",IF(COUNTIF(Donors!$B$6:$B$305,C340)=0,"Not on Donors","")))))))</f>
        <v/>
      </c>
      <c r="K340" s="1">
        <f>IF(ISNUMBER(B340),YEAR(B340),"")</f>
        <v/>
      </c>
      <c r="L340">
        <f>IF(ISNUMBER(B340),YEAR(B340)*100+MONTH(B340),"")</f>
        <v/>
      </c>
      <c r="M340">
        <f>IF(ISNUMBER(B340),INT(B340),0)</f>
        <v/>
      </c>
      <c r="N340">
        <f>IF(OR(C340="",F340="",Q340=0),0,IF(COUNTIFS(C$6:C340,C340,F$6:F340,F340,Q$6:Q340,1)=1,1,0))</f>
        <v/>
      </c>
      <c r="O340">
        <f>IF(OR(C340="",Q340=0,H340&lt;&gt;""),"",M340*10000+ROW())</f>
        <v/>
      </c>
      <c r="P340">
        <f>IF(OR(C340="",Q340=0),"",IF(AND(C340=Statement!$C$4,K340=Statement!$C$5),M340*10000+ROW(),""))</f>
        <v/>
      </c>
      <c r="Q340">
        <f>IF(AND(ISNUMBER(B340),OR(N(D340)&gt;0,G340&lt;&gt;"")),1,0)</f>
        <v/>
      </c>
    </row>
    <row r="341">
      <c r="A341" s="1" t="n"/>
      <c r="B341" s="21" t="n"/>
      <c r="C341" s="22" t="n"/>
      <c r="D341" s="23" t="n"/>
      <c r="E341" s="24" t="n"/>
      <c r="F341" s="25" t="n"/>
      <c r="G341" s="25" t="n"/>
      <c r="H341" s="24" t="n"/>
      <c r="I341" s="25" t="n"/>
      <c r="J341" s="17">
        <f>IF(AND(C341="",D341="",G341=""),"",IF(NOT(ISNUMBER(B341)),"Needs a date",IF(AND(D341&lt;&gt;"",NOT(ISNUMBER(D341))),"Amount not a number",IF(N(D341)&lt;0,"Amount below zero",IF(AND(N(D341)=0,G341=""),"Needs an amount or goods",IF(C341="","",IF(COUNTIF(Donors!$B$6:$B$305,C341)=0,"Not on Donors","")))))))</f>
        <v/>
      </c>
      <c r="K341" s="1">
        <f>IF(ISNUMBER(B341),YEAR(B341),"")</f>
        <v/>
      </c>
      <c r="L341">
        <f>IF(ISNUMBER(B341),YEAR(B341)*100+MONTH(B341),"")</f>
        <v/>
      </c>
      <c r="M341">
        <f>IF(ISNUMBER(B341),INT(B341),0)</f>
        <v/>
      </c>
      <c r="N341">
        <f>IF(OR(C341="",F341="",Q341=0),0,IF(COUNTIFS(C$6:C341,C341,F$6:F341,F341,Q$6:Q341,1)=1,1,0))</f>
        <v/>
      </c>
      <c r="O341">
        <f>IF(OR(C341="",Q341=0,H341&lt;&gt;""),"",M341*10000+ROW())</f>
        <v/>
      </c>
      <c r="P341">
        <f>IF(OR(C341="",Q341=0),"",IF(AND(C341=Statement!$C$4,K341=Statement!$C$5),M341*10000+ROW(),""))</f>
        <v/>
      </c>
      <c r="Q341">
        <f>IF(AND(ISNUMBER(B341),OR(N(D341)&gt;0,G341&lt;&gt;"")),1,0)</f>
        <v/>
      </c>
    </row>
    <row r="342">
      <c r="A342" s="1" t="n"/>
      <c r="B342" s="21" t="n"/>
      <c r="C342" s="22" t="n"/>
      <c r="D342" s="23" t="n"/>
      <c r="E342" s="24" t="n"/>
      <c r="F342" s="25" t="n"/>
      <c r="G342" s="25" t="n"/>
      <c r="H342" s="24" t="n"/>
      <c r="I342" s="25" t="n"/>
      <c r="J342" s="17">
        <f>IF(AND(C342="",D342="",G342=""),"",IF(NOT(ISNUMBER(B342)),"Needs a date",IF(AND(D342&lt;&gt;"",NOT(ISNUMBER(D342))),"Amount not a number",IF(N(D342)&lt;0,"Amount below zero",IF(AND(N(D342)=0,G342=""),"Needs an amount or goods",IF(C342="","",IF(COUNTIF(Donors!$B$6:$B$305,C342)=0,"Not on Donors","")))))))</f>
        <v/>
      </c>
      <c r="K342" s="1">
        <f>IF(ISNUMBER(B342),YEAR(B342),"")</f>
        <v/>
      </c>
      <c r="L342">
        <f>IF(ISNUMBER(B342),YEAR(B342)*100+MONTH(B342),"")</f>
        <v/>
      </c>
      <c r="M342">
        <f>IF(ISNUMBER(B342),INT(B342),0)</f>
        <v/>
      </c>
      <c r="N342">
        <f>IF(OR(C342="",F342="",Q342=0),0,IF(COUNTIFS(C$6:C342,C342,F$6:F342,F342,Q$6:Q342,1)=1,1,0))</f>
        <v/>
      </c>
      <c r="O342">
        <f>IF(OR(C342="",Q342=0,H342&lt;&gt;""),"",M342*10000+ROW())</f>
        <v/>
      </c>
      <c r="P342">
        <f>IF(OR(C342="",Q342=0),"",IF(AND(C342=Statement!$C$4,K342=Statement!$C$5),M342*10000+ROW(),""))</f>
        <v/>
      </c>
      <c r="Q342">
        <f>IF(AND(ISNUMBER(B342),OR(N(D342)&gt;0,G342&lt;&gt;"")),1,0)</f>
        <v/>
      </c>
    </row>
    <row r="343">
      <c r="A343" s="1" t="n"/>
      <c r="B343" s="21" t="n"/>
      <c r="C343" s="22" t="n"/>
      <c r="D343" s="23" t="n"/>
      <c r="E343" s="24" t="n"/>
      <c r="F343" s="25" t="n"/>
      <c r="G343" s="25" t="n"/>
      <c r="H343" s="24" t="n"/>
      <c r="I343" s="25" t="n"/>
      <c r="J343" s="17">
        <f>IF(AND(C343="",D343="",G343=""),"",IF(NOT(ISNUMBER(B343)),"Needs a date",IF(AND(D343&lt;&gt;"",NOT(ISNUMBER(D343))),"Amount not a number",IF(N(D343)&lt;0,"Amount below zero",IF(AND(N(D343)=0,G343=""),"Needs an amount or goods",IF(C343="","",IF(COUNTIF(Donors!$B$6:$B$305,C343)=0,"Not on Donors","")))))))</f>
        <v/>
      </c>
      <c r="K343" s="1">
        <f>IF(ISNUMBER(B343),YEAR(B343),"")</f>
        <v/>
      </c>
      <c r="L343">
        <f>IF(ISNUMBER(B343),YEAR(B343)*100+MONTH(B343),"")</f>
        <v/>
      </c>
      <c r="M343">
        <f>IF(ISNUMBER(B343),INT(B343),0)</f>
        <v/>
      </c>
      <c r="N343">
        <f>IF(OR(C343="",F343="",Q343=0),0,IF(COUNTIFS(C$6:C343,C343,F$6:F343,F343,Q$6:Q343,1)=1,1,0))</f>
        <v/>
      </c>
      <c r="O343">
        <f>IF(OR(C343="",Q343=0,H343&lt;&gt;""),"",M343*10000+ROW())</f>
        <v/>
      </c>
      <c r="P343">
        <f>IF(OR(C343="",Q343=0),"",IF(AND(C343=Statement!$C$4,K343=Statement!$C$5),M343*10000+ROW(),""))</f>
        <v/>
      </c>
      <c r="Q343">
        <f>IF(AND(ISNUMBER(B343),OR(N(D343)&gt;0,G343&lt;&gt;"")),1,0)</f>
        <v/>
      </c>
    </row>
    <row r="344">
      <c r="A344" s="1" t="n"/>
      <c r="B344" s="21" t="n"/>
      <c r="C344" s="22" t="n"/>
      <c r="D344" s="23" t="n"/>
      <c r="E344" s="24" t="n"/>
      <c r="F344" s="25" t="n"/>
      <c r="G344" s="25" t="n"/>
      <c r="H344" s="24" t="n"/>
      <c r="I344" s="25" t="n"/>
      <c r="J344" s="17">
        <f>IF(AND(C344="",D344="",G344=""),"",IF(NOT(ISNUMBER(B344)),"Needs a date",IF(AND(D344&lt;&gt;"",NOT(ISNUMBER(D344))),"Amount not a number",IF(N(D344)&lt;0,"Amount below zero",IF(AND(N(D344)=0,G344=""),"Needs an amount or goods",IF(C344="","",IF(COUNTIF(Donors!$B$6:$B$305,C344)=0,"Not on Donors","")))))))</f>
        <v/>
      </c>
      <c r="K344" s="1">
        <f>IF(ISNUMBER(B344),YEAR(B344),"")</f>
        <v/>
      </c>
      <c r="L344">
        <f>IF(ISNUMBER(B344),YEAR(B344)*100+MONTH(B344),"")</f>
        <v/>
      </c>
      <c r="M344">
        <f>IF(ISNUMBER(B344),INT(B344),0)</f>
        <v/>
      </c>
      <c r="N344">
        <f>IF(OR(C344="",F344="",Q344=0),0,IF(COUNTIFS(C$6:C344,C344,F$6:F344,F344,Q$6:Q344,1)=1,1,0))</f>
        <v/>
      </c>
      <c r="O344">
        <f>IF(OR(C344="",Q344=0,H344&lt;&gt;""),"",M344*10000+ROW())</f>
        <v/>
      </c>
      <c r="P344">
        <f>IF(OR(C344="",Q344=0),"",IF(AND(C344=Statement!$C$4,K344=Statement!$C$5),M344*10000+ROW(),""))</f>
        <v/>
      </c>
      <c r="Q344">
        <f>IF(AND(ISNUMBER(B344),OR(N(D344)&gt;0,G344&lt;&gt;"")),1,0)</f>
        <v/>
      </c>
    </row>
    <row r="345">
      <c r="A345" s="1" t="n"/>
      <c r="B345" s="21" t="n"/>
      <c r="C345" s="22" t="n"/>
      <c r="D345" s="23" t="n"/>
      <c r="E345" s="24" t="n"/>
      <c r="F345" s="25" t="n"/>
      <c r="G345" s="25" t="n"/>
      <c r="H345" s="24" t="n"/>
      <c r="I345" s="25" t="n"/>
      <c r="J345" s="17">
        <f>IF(AND(C345="",D345="",G345=""),"",IF(NOT(ISNUMBER(B345)),"Needs a date",IF(AND(D345&lt;&gt;"",NOT(ISNUMBER(D345))),"Amount not a number",IF(N(D345)&lt;0,"Amount below zero",IF(AND(N(D345)=0,G345=""),"Needs an amount or goods",IF(C345="","",IF(COUNTIF(Donors!$B$6:$B$305,C345)=0,"Not on Donors","")))))))</f>
        <v/>
      </c>
      <c r="K345" s="1">
        <f>IF(ISNUMBER(B345),YEAR(B345),"")</f>
        <v/>
      </c>
      <c r="L345">
        <f>IF(ISNUMBER(B345),YEAR(B345)*100+MONTH(B345),"")</f>
        <v/>
      </c>
      <c r="M345">
        <f>IF(ISNUMBER(B345),INT(B345),0)</f>
        <v/>
      </c>
      <c r="N345">
        <f>IF(OR(C345="",F345="",Q345=0),0,IF(COUNTIFS(C$6:C345,C345,F$6:F345,F345,Q$6:Q345,1)=1,1,0))</f>
        <v/>
      </c>
      <c r="O345">
        <f>IF(OR(C345="",Q345=0,H345&lt;&gt;""),"",M345*10000+ROW())</f>
        <v/>
      </c>
      <c r="P345">
        <f>IF(OR(C345="",Q345=0),"",IF(AND(C345=Statement!$C$4,K345=Statement!$C$5),M345*10000+ROW(),""))</f>
        <v/>
      </c>
      <c r="Q345">
        <f>IF(AND(ISNUMBER(B345),OR(N(D345)&gt;0,G345&lt;&gt;"")),1,0)</f>
        <v/>
      </c>
    </row>
    <row r="346">
      <c r="A346" s="1" t="n"/>
      <c r="B346" s="21" t="n"/>
      <c r="C346" s="22" t="n"/>
      <c r="D346" s="23" t="n"/>
      <c r="E346" s="24" t="n"/>
      <c r="F346" s="25" t="n"/>
      <c r="G346" s="25" t="n"/>
      <c r="H346" s="24" t="n"/>
      <c r="I346" s="25" t="n"/>
      <c r="J346" s="17">
        <f>IF(AND(C346="",D346="",G346=""),"",IF(NOT(ISNUMBER(B346)),"Needs a date",IF(AND(D346&lt;&gt;"",NOT(ISNUMBER(D346))),"Amount not a number",IF(N(D346)&lt;0,"Amount below zero",IF(AND(N(D346)=0,G346=""),"Needs an amount or goods",IF(C346="","",IF(COUNTIF(Donors!$B$6:$B$305,C346)=0,"Not on Donors","")))))))</f>
        <v/>
      </c>
      <c r="K346" s="1">
        <f>IF(ISNUMBER(B346),YEAR(B346),"")</f>
        <v/>
      </c>
      <c r="L346">
        <f>IF(ISNUMBER(B346),YEAR(B346)*100+MONTH(B346),"")</f>
        <v/>
      </c>
      <c r="M346">
        <f>IF(ISNUMBER(B346),INT(B346),0)</f>
        <v/>
      </c>
      <c r="N346">
        <f>IF(OR(C346="",F346="",Q346=0),0,IF(COUNTIFS(C$6:C346,C346,F$6:F346,F346,Q$6:Q346,1)=1,1,0))</f>
        <v/>
      </c>
      <c r="O346">
        <f>IF(OR(C346="",Q346=0,H346&lt;&gt;""),"",M346*10000+ROW())</f>
        <v/>
      </c>
      <c r="P346">
        <f>IF(OR(C346="",Q346=0),"",IF(AND(C346=Statement!$C$4,K346=Statement!$C$5),M346*10000+ROW(),""))</f>
        <v/>
      </c>
      <c r="Q346">
        <f>IF(AND(ISNUMBER(B346),OR(N(D346)&gt;0,G346&lt;&gt;"")),1,0)</f>
        <v/>
      </c>
    </row>
    <row r="347">
      <c r="A347" s="1" t="n"/>
      <c r="B347" s="21" t="n"/>
      <c r="C347" s="22" t="n"/>
      <c r="D347" s="23" t="n"/>
      <c r="E347" s="24" t="n"/>
      <c r="F347" s="25" t="n"/>
      <c r="G347" s="25" t="n"/>
      <c r="H347" s="24" t="n"/>
      <c r="I347" s="25" t="n"/>
      <c r="J347" s="17">
        <f>IF(AND(C347="",D347="",G347=""),"",IF(NOT(ISNUMBER(B347)),"Needs a date",IF(AND(D347&lt;&gt;"",NOT(ISNUMBER(D347))),"Amount not a number",IF(N(D347)&lt;0,"Amount below zero",IF(AND(N(D347)=0,G347=""),"Needs an amount or goods",IF(C347="","",IF(COUNTIF(Donors!$B$6:$B$305,C347)=0,"Not on Donors","")))))))</f>
        <v/>
      </c>
      <c r="K347" s="1">
        <f>IF(ISNUMBER(B347),YEAR(B347),"")</f>
        <v/>
      </c>
      <c r="L347">
        <f>IF(ISNUMBER(B347),YEAR(B347)*100+MONTH(B347),"")</f>
        <v/>
      </c>
      <c r="M347">
        <f>IF(ISNUMBER(B347),INT(B347),0)</f>
        <v/>
      </c>
      <c r="N347">
        <f>IF(OR(C347="",F347="",Q347=0),0,IF(COUNTIFS(C$6:C347,C347,F$6:F347,F347,Q$6:Q347,1)=1,1,0))</f>
        <v/>
      </c>
      <c r="O347">
        <f>IF(OR(C347="",Q347=0,H347&lt;&gt;""),"",M347*10000+ROW())</f>
        <v/>
      </c>
      <c r="P347">
        <f>IF(OR(C347="",Q347=0),"",IF(AND(C347=Statement!$C$4,K347=Statement!$C$5),M347*10000+ROW(),""))</f>
        <v/>
      </c>
      <c r="Q347">
        <f>IF(AND(ISNUMBER(B347),OR(N(D347)&gt;0,G347&lt;&gt;"")),1,0)</f>
        <v/>
      </c>
    </row>
    <row r="348">
      <c r="A348" s="1" t="n"/>
      <c r="B348" s="21" t="n"/>
      <c r="C348" s="22" t="n"/>
      <c r="D348" s="23" t="n"/>
      <c r="E348" s="24" t="n"/>
      <c r="F348" s="25" t="n"/>
      <c r="G348" s="25" t="n"/>
      <c r="H348" s="24" t="n"/>
      <c r="I348" s="25" t="n"/>
      <c r="J348" s="17">
        <f>IF(AND(C348="",D348="",G348=""),"",IF(NOT(ISNUMBER(B348)),"Needs a date",IF(AND(D348&lt;&gt;"",NOT(ISNUMBER(D348))),"Amount not a number",IF(N(D348)&lt;0,"Amount below zero",IF(AND(N(D348)=0,G348=""),"Needs an amount or goods",IF(C348="","",IF(COUNTIF(Donors!$B$6:$B$305,C348)=0,"Not on Donors","")))))))</f>
        <v/>
      </c>
      <c r="K348" s="1">
        <f>IF(ISNUMBER(B348),YEAR(B348),"")</f>
        <v/>
      </c>
      <c r="L348">
        <f>IF(ISNUMBER(B348),YEAR(B348)*100+MONTH(B348),"")</f>
        <v/>
      </c>
      <c r="M348">
        <f>IF(ISNUMBER(B348),INT(B348),0)</f>
        <v/>
      </c>
      <c r="N348">
        <f>IF(OR(C348="",F348="",Q348=0),0,IF(COUNTIFS(C$6:C348,C348,F$6:F348,F348,Q$6:Q348,1)=1,1,0))</f>
        <v/>
      </c>
      <c r="O348">
        <f>IF(OR(C348="",Q348=0,H348&lt;&gt;""),"",M348*10000+ROW())</f>
        <v/>
      </c>
      <c r="P348">
        <f>IF(OR(C348="",Q348=0),"",IF(AND(C348=Statement!$C$4,K348=Statement!$C$5),M348*10000+ROW(),""))</f>
        <v/>
      </c>
      <c r="Q348">
        <f>IF(AND(ISNUMBER(B348),OR(N(D348)&gt;0,G348&lt;&gt;"")),1,0)</f>
        <v/>
      </c>
    </row>
    <row r="349">
      <c r="A349" s="1" t="n"/>
      <c r="B349" s="21" t="n"/>
      <c r="C349" s="22" t="n"/>
      <c r="D349" s="23" t="n"/>
      <c r="E349" s="24" t="n"/>
      <c r="F349" s="25" t="n"/>
      <c r="G349" s="25" t="n"/>
      <c r="H349" s="24" t="n"/>
      <c r="I349" s="25" t="n"/>
      <c r="J349" s="17">
        <f>IF(AND(C349="",D349="",G349=""),"",IF(NOT(ISNUMBER(B349)),"Needs a date",IF(AND(D349&lt;&gt;"",NOT(ISNUMBER(D349))),"Amount not a number",IF(N(D349)&lt;0,"Amount below zero",IF(AND(N(D349)=0,G349=""),"Needs an amount or goods",IF(C349="","",IF(COUNTIF(Donors!$B$6:$B$305,C349)=0,"Not on Donors","")))))))</f>
        <v/>
      </c>
      <c r="K349" s="1">
        <f>IF(ISNUMBER(B349),YEAR(B349),"")</f>
        <v/>
      </c>
      <c r="L349">
        <f>IF(ISNUMBER(B349),YEAR(B349)*100+MONTH(B349),"")</f>
        <v/>
      </c>
      <c r="M349">
        <f>IF(ISNUMBER(B349),INT(B349),0)</f>
        <v/>
      </c>
      <c r="N349">
        <f>IF(OR(C349="",F349="",Q349=0),0,IF(COUNTIFS(C$6:C349,C349,F$6:F349,F349,Q$6:Q349,1)=1,1,0))</f>
        <v/>
      </c>
      <c r="O349">
        <f>IF(OR(C349="",Q349=0,H349&lt;&gt;""),"",M349*10000+ROW())</f>
        <v/>
      </c>
      <c r="P349">
        <f>IF(OR(C349="",Q349=0),"",IF(AND(C349=Statement!$C$4,K349=Statement!$C$5),M349*10000+ROW(),""))</f>
        <v/>
      </c>
      <c r="Q349">
        <f>IF(AND(ISNUMBER(B349),OR(N(D349)&gt;0,G349&lt;&gt;"")),1,0)</f>
        <v/>
      </c>
    </row>
    <row r="350">
      <c r="A350" s="1" t="n"/>
      <c r="B350" s="21" t="n"/>
      <c r="C350" s="22" t="n"/>
      <c r="D350" s="23" t="n"/>
      <c r="E350" s="24" t="n"/>
      <c r="F350" s="25" t="n"/>
      <c r="G350" s="25" t="n"/>
      <c r="H350" s="24" t="n"/>
      <c r="I350" s="25" t="n"/>
      <c r="J350" s="17">
        <f>IF(AND(C350="",D350="",G350=""),"",IF(NOT(ISNUMBER(B350)),"Needs a date",IF(AND(D350&lt;&gt;"",NOT(ISNUMBER(D350))),"Amount not a number",IF(N(D350)&lt;0,"Amount below zero",IF(AND(N(D350)=0,G350=""),"Needs an amount or goods",IF(C350="","",IF(COUNTIF(Donors!$B$6:$B$305,C350)=0,"Not on Donors","")))))))</f>
        <v/>
      </c>
      <c r="K350" s="1">
        <f>IF(ISNUMBER(B350),YEAR(B350),"")</f>
        <v/>
      </c>
      <c r="L350">
        <f>IF(ISNUMBER(B350),YEAR(B350)*100+MONTH(B350),"")</f>
        <v/>
      </c>
      <c r="M350">
        <f>IF(ISNUMBER(B350),INT(B350),0)</f>
        <v/>
      </c>
      <c r="N350">
        <f>IF(OR(C350="",F350="",Q350=0),0,IF(COUNTIFS(C$6:C350,C350,F$6:F350,F350,Q$6:Q350,1)=1,1,0))</f>
        <v/>
      </c>
      <c r="O350">
        <f>IF(OR(C350="",Q350=0,H350&lt;&gt;""),"",M350*10000+ROW())</f>
        <v/>
      </c>
      <c r="P350">
        <f>IF(OR(C350="",Q350=0),"",IF(AND(C350=Statement!$C$4,K350=Statement!$C$5),M350*10000+ROW(),""))</f>
        <v/>
      </c>
      <c r="Q350">
        <f>IF(AND(ISNUMBER(B350),OR(N(D350)&gt;0,G350&lt;&gt;"")),1,0)</f>
        <v/>
      </c>
    </row>
    <row r="351">
      <c r="A351" s="1" t="n"/>
      <c r="B351" s="21" t="n"/>
      <c r="C351" s="22" t="n"/>
      <c r="D351" s="23" t="n"/>
      <c r="E351" s="24" t="n"/>
      <c r="F351" s="25" t="n"/>
      <c r="G351" s="25" t="n"/>
      <c r="H351" s="24" t="n"/>
      <c r="I351" s="25" t="n"/>
      <c r="J351" s="17">
        <f>IF(AND(C351="",D351="",G351=""),"",IF(NOT(ISNUMBER(B351)),"Needs a date",IF(AND(D351&lt;&gt;"",NOT(ISNUMBER(D351))),"Amount not a number",IF(N(D351)&lt;0,"Amount below zero",IF(AND(N(D351)=0,G351=""),"Needs an amount or goods",IF(C351="","",IF(COUNTIF(Donors!$B$6:$B$305,C351)=0,"Not on Donors","")))))))</f>
        <v/>
      </c>
      <c r="K351" s="1">
        <f>IF(ISNUMBER(B351),YEAR(B351),"")</f>
        <v/>
      </c>
      <c r="L351">
        <f>IF(ISNUMBER(B351),YEAR(B351)*100+MONTH(B351),"")</f>
        <v/>
      </c>
      <c r="M351">
        <f>IF(ISNUMBER(B351),INT(B351),0)</f>
        <v/>
      </c>
      <c r="N351">
        <f>IF(OR(C351="",F351="",Q351=0),0,IF(COUNTIFS(C$6:C351,C351,F$6:F351,F351,Q$6:Q351,1)=1,1,0))</f>
        <v/>
      </c>
      <c r="O351">
        <f>IF(OR(C351="",Q351=0,H351&lt;&gt;""),"",M351*10000+ROW())</f>
        <v/>
      </c>
      <c r="P351">
        <f>IF(OR(C351="",Q351=0),"",IF(AND(C351=Statement!$C$4,K351=Statement!$C$5),M351*10000+ROW(),""))</f>
        <v/>
      </c>
      <c r="Q351">
        <f>IF(AND(ISNUMBER(B351),OR(N(D351)&gt;0,G351&lt;&gt;"")),1,0)</f>
        <v/>
      </c>
    </row>
    <row r="352">
      <c r="A352" s="1" t="n"/>
      <c r="B352" s="21" t="n"/>
      <c r="C352" s="22" t="n"/>
      <c r="D352" s="23" t="n"/>
      <c r="E352" s="24" t="n"/>
      <c r="F352" s="25" t="n"/>
      <c r="G352" s="25" t="n"/>
      <c r="H352" s="24" t="n"/>
      <c r="I352" s="25" t="n"/>
      <c r="J352" s="17">
        <f>IF(AND(C352="",D352="",G352=""),"",IF(NOT(ISNUMBER(B352)),"Needs a date",IF(AND(D352&lt;&gt;"",NOT(ISNUMBER(D352))),"Amount not a number",IF(N(D352)&lt;0,"Amount below zero",IF(AND(N(D352)=0,G352=""),"Needs an amount or goods",IF(C352="","",IF(COUNTIF(Donors!$B$6:$B$305,C352)=0,"Not on Donors","")))))))</f>
        <v/>
      </c>
      <c r="K352" s="1">
        <f>IF(ISNUMBER(B352),YEAR(B352),"")</f>
        <v/>
      </c>
      <c r="L352">
        <f>IF(ISNUMBER(B352),YEAR(B352)*100+MONTH(B352),"")</f>
        <v/>
      </c>
      <c r="M352">
        <f>IF(ISNUMBER(B352),INT(B352),0)</f>
        <v/>
      </c>
      <c r="N352">
        <f>IF(OR(C352="",F352="",Q352=0),0,IF(COUNTIFS(C$6:C352,C352,F$6:F352,F352,Q$6:Q352,1)=1,1,0))</f>
        <v/>
      </c>
      <c r="O352">
        <f>IF(OR(C352="",Q352=0,H352&lt;&gt;""),"",M352*10000+ROW())</f>
        <v/>
      </c>
      <c r="P352">
        <f>IF(OR(C352="",Q352=0),"",IF(AND(C352=Statement!$C$4,K352=Statement!$C$5),M352*10000+ROW(),""))</f>
        <v/>
      </c>
      <c r="Q352">
        <f>IF(AND(ISNUMBER(B352),OR(N(D352)&gt;0,G352&lt;&gt;"")),1,0)</f>
        <v/>
      </c>
    </row>
    <row r="353">
      <c r="A353" s="1" t="n"/>
      <c r="B353" s="21" t="n"/>
      <c r="C353" s="22" t="n"/>
      <c r="D353" s="23" t="n"/>
      <c r="E353" s="24" t="n"/>
      <c r="F353" s="25" t="n"/>
      <c r="G353" s="25" t="n"/>
      <c r="H353" s="24" t="n"/>
      <c r="I353" s="25" t="n"/>
      <c r="J353" s="17">
        <f>IF(AND(C353="",D353="",G353=""),"",IF(NOT(ISNUMBER(B353)),"Needs a date",IF(AND(D353&lt;&gt;"",NOT(ISNUMBER(D353))),"Amount not a number",IF(N(D353)&lt;0,"Amount below zero",IF(AND(N(D353)=0,G353=""),"Needs an amount or goods",IF(C353="","",IF(COUNTIF(Donors!$B$6:$B$305,C353)=0,"Not on Donors","")))))))</f>
        <v/>
      </c>
      <c r="K353" s="1">
        <f>IF(ISNUMBER(B353),YEAR(B353),"")</f>
        <v/>
      </c>
      <c r="L353">
        <f>IF(ISNUMBER(B353),YEAR(B353)*100+MONTH(B353),"")</f>
        <v/>
      </c>
      <c r="M353">
        <f>IF(ISNUMBER(B353),INT(B353),0)</f>
        <v/>
      </c>
      <c r="N353">
        <f>IF(OR(C353="",F353="",Q353=0),0,IF(COUNTIFS(C$6:C353,C353,F$6:F353,F353,Q$6:Q353,1)=1,1,0))</f>
        <v/>
      </c>
      <c r="O353">
        <f>IF(OR(C353="",Q353=0,H353&lt;&gt;""),"",M353*10000+ROW())</f>
        <v/>
      </c>
      <c r="P353">
        <f>IF(OR(C353="",Q353=0),"",IF(AND(C353=Statement!$C$4,K353=Statement!$C$5),M353*10000+ROW(),""))</f>
        <v/>
      </c>
      <c r="Q353">
        <f>IF(AND(ISNUMBER(B353),OR(N(D353)&gt;0,G353&lt;&gt;"")),1,0)</f>
        <v/>
      </c>
    </row>
    <row r="354">
      <c r="A354" s="1" t="n"/>
      <c r="B354" s="21" t="n"/>
      <c r="C354" s="22" t="n"/>
      <c r="D354" s="23" t="n"/>
      <c r="E354" s="24" t="n"/>
      <c r="F354" s="25" t="n"/>
      <c r="G354" s="25" t="n"/>
      <c r="H354" s="24" t="n"/>
      <c r="I354" s="25" t="n"/>
      <c r="J354" s="17">
        <f>IF(AND(C354="",D354="",G354=""),"",IF(NOT(ISNUMBER(B354)),"Needs a date",IF(AND(D354&lt;&gt;"",NOT(ISNUMBER(D354))),"Amount not a number",IF(N(D354)&lt;0,"Amount below zero",IF(AND(N(D354)=0,G354=""),"Needs an amount or goods",IF(C354="","",IF(COUNTIF(Donors!$B$6:$B$305,C354)=0,"Not on Donors","")))))))</f>
        <v/>
      </c>
      <c r="K354" s="1">
        <f>IF(ISNUMBER(B354),YEAR(B354),"")</f>
        <v/>
      </c>
      <c r="L354">
        <f>IF(ISNUMBER(B354),YEAR(B354)*100+MONTH(B354),"")</f>
        <v/>
      </c>
      <c r="M354">
        <f>IF(ISNUMBER(B354),INT(B354),0)</f>
        <v/>
      </c>
      <c r="N354">
        <f>IF(OR(C354="",F354="",Q354=0),0,IF(COUNTIFS(C$6:C354,C354,F$6:F354,F354,Q$6:Q354,1)=1,1,0))</f>
        <v/>
      </c>
      <c r="O354">
        <f>IF(OR(C354="",Q354=0,H354&lt;&gt;""),"",M354*10000+ROW())</f>
        <v/>
      </c>
      <c r="P354">
        <f>IF(OR(C354="",Q354=0),"",IF(AND(C354=Statement!$C$4,K354=Statement!$C$5),M354*10000+ROW(),""))</f>
        <v/>
      </c>
      <c r="Q354">
        <f>IF(AND(ISNUMBER(B354),OR(N(D354)&gt;0,G354&lt;&gt;"")),1,0)</f>
        <v/>
      </c>
    </row>
    <row r="355">
      <c r="A355" s="1" t="n"/>
      <c r="B355" s="21" t="n"/>
      <c r="C355" s="22" t="n"/>
      <c r="D355" s="23" t="n"/>
      <c r="E355" s="24" t="n"/>
      <c r="F355" s="25" t="n"/>
      <c r="G355" s="25" t="n"/>
      <c r="H355" s="24" t="n"/>
      <c r="I355" s="25" t="n"/>
      <c r="J355" s="17">
        <f>IF(AND(C355="",D355="",G355=""),"",IF(NOT(ISNUMBER(B355)),"Needs a date",IF(AND(D355&lt;&gt;"",NOT(ISNUMBER(D355))),"Amount not a number",IF(N(D355)&lt;0,"Amount below zero",IF(AND(N(D355)=0,G355=""),"Needs an amount or goods",IF(C355="","",IF(COUNTIF(Donors!$B$6:$B$305,C355)=0,"Not on Donors","")))))))</f>
        <v/>
      </c>
      <c r="K355" s="1">
        <f>IF(ISNUMBER(B355),YEAR(B355),"")</f>
        <v/>
      </c>
      <c r="L355">
        <f>IF(ISNUMBER(B355),YEAR(B355)*100+MONTH(B355),"")</f>
        <v/>
      </c>
      <c r="M355">
        <f>IF(ISNUMBER(B355),INT(B355),0)</f>
        <v/>
      </c>
      <c r="N355">
        <f>IF(OR(C355="",F355="",Q355=0),0,IF(COUNTIFS(C$6:C355,C355,F$6:F355,F355,Q$6:Q355,1)=1,1,0))</f>
        <v/>
      </c>
      <c r="O355">
        <f>IF(OR(C355="",Q355=0,H355&lt;&gt;""),"",M355*10000+ROW())</f>
        <v/>
      </c>
      <c r="P355">
        <f>IF(OR(C355="",Q355=0),"",IF(AND(C355=Statement!$C$4,K355=Statement!$C$5),M355*10000+ROW(),""))</f>
        <v/>
      </c>
      <c r="Q355">
        <f>IF(AND(ISNUMBER(B355),OR(N(D355)&gt;0,G355&lt;&gt;"")),1,0)</f>
        <v/>
      </c>
    </row>
    <row r="356">
      <c r="A356" s="1" t="n"/>
      <c r="B356" s="21" t="n"/>
      <c r="C356" s="22" t="n"/>
      <c r="D356" s="23" t="n"/>
      <c r="E356" s="24" t="n"/>
      <c r="F356" s="25" t="n"/>
      <c r="G356" s="25" t="n"/>
      <c r="H356" s="24" t="n"/>
      <c r="I356" s="25" t="n"/>
      <c r="J356" s="17">
        <f>IF(AND(C356="",D356="",G356=""),"",IF(NOT(ISNUMBER(B356)),"Needs a date",IF(AND(D356&lt;&gt;"",NOT(ISNUMBER(D356))),"Amount not a number",IF(N(D356)&lt;0,"Amount below zero",IF(AND(N(D356)=0,G356=""),"Needs an amount or goods",IF(C356="","",IF(COUNTIF(Donors!$B$6:$B$305,C356)=0,"Not on Donors","")))))))</f>
        <v/>
      </c>
      <c r="K356" s="1">
        <f>IF(ISNUMBER(B356),YEAR(B356),"")</f>
        <v/>
      </c>
      <c r="L356">
        <f>IF(ISNUMBER(B356),YEAR(B356)*100+MONTH(B356),"")</f>
        <v/>
      </c>
      <c r="M356">
        <f>IF(ISNUMBER(B356),INT(B356),0)</f>
        <v/>
      </c>
      <c r="N356">
        <f>IF(OR(C356="",F356="",Q356=0),0,IF(COUNTIFS(C$6:C356,C356,F$6:F356,F356,Q$6:Q356,1)=1,1,0))</f>
        <v/>
      </c>
      <c r="O356">
        <f>IF(OR(C356="",Q356=0,H356&lt;&gt;""),"",M356*10000+ROW())</f>
        <v/>
      </c>
      <c r="P356">
        <f>IF(OR(C356="",Q356=0),"",IF(AND(C356=Statement!$C$4,K356=Statement!$C$5),M356*10000+ROW(),""))</f>
        <v/>
      </c>
      <c r="Q356">
        <f>IF(AND(ISNUMBER(B356),OR(N(D356)&gt;0,G356&lt;&gt;"")),1,0)</f>
        <v/>
      </c>
    </row>
    <row r="357">
      <c r="A357" s="1" t="n"/>
      <c r="B357" s="21" t="n"/>
      <c r="C357" s="22" t="n"/>
      <c r="D357" s="23" t="n"/>
      <c r="E357" s="24" t="n"/>
      <c r="F357" s="25" t="n"/>
      <c r="G357" s="25" t="n"/>
      <c r="H357" s="24" t="n"/>
      <c r="I357" s="25" t="n"/>
      <c r="J357" s="17">
        <f>IF(AND(C357="",D357="",G357=""),"",IF(NOT(ISNUMBER(B357)),"Needs a date",IF(AND(D357&lt;&gt;"",NOT(ISNUMBER(D357))),"Amount not a number",IF(N(D357)&lt;0,"Amount below zero",IF(AND(N(D357)=0,G357=""),"Needs an amount or goods",IF(C357="","",IF(COUNTIF(Donors!$B$6:$B$305,C357)=0,"Not on Donors","")))))))</f>
        <v/>
      </c>
      <c r="K357" s="1">
        <f>IF(ISNUMBER(B357),YEAR(B357),"")</f>
        <v/>
      </c>
      <c r="L357">
        <f>IF(ISNUMBER(B357),YEAR(B357)*100+MONTH(B357),"")</f>
        <v/>
      </c>
      <c r="M357">
        <f>IF(ISNUMBER(B357),INT(B357),0)</f>
        <v/>
      </c>
      <c r="N357">
        <f>IF(OR(C357="",F357="",Q357=0),0,IF(COUNTIFS(C$6:C357,C357,F$6:F357,F357,Q$6:Q357,1)=1,1,0))</f>
        <v/>
      </c>
      <c r="O357">
        <f>IF(OR(C357="",Q357=0,H357&lt;&gt;""),"",M357*10000+ROW())</f>
        <v/>
      </c>
      <c r="P357">
        <f>IF(OR(C357="",Q357=0),"",IF(AND(C357=Statement!$C$4,K357=Statement!$C$5),M357*10000+ROW(),""))</f>
        <v/>
      </c>
      <c r="Q357">
        <f>IF(AND(ISNUMBER(B357),OR(N(D357)&gt;0,G357&lt;&gt;"")),1,0)</f>
        <v/>
      </c>
    </row>
    <row r="358">
      <c r="A358" s="1" t="n"/>
      <c r="B358" s="21" t="n"/>
      <c r="C358" s="22" t="n"/>
      <c r="D358" s="23" t="n"/>
      <c r="E358" s="24" t="n"/>
      <c r="F358" s="25" t="n"/>
      <c r="G358" s="25" t="n"/>
      <c r="H358" s="24" t="n"/>
      <c r="I358" s="25" t="n"/>
      <c r="J358" s="17">
        <f>IF(AND(C358="",D358="",G358=""),"",IF(NOT(ISNUMBER(B358)),"Needs a date",IF(AND(D358&lt;&gt;"",NOT(ISNUMBER(D358))),"Amount not a number",IF(N(D358)&lt;0,"Amount below zero",IF(AND(N(D358)=0,G358=""),"Needs an amount or goods",IF(C358="","",IF(COUNTIF(Donors!$B$6:$B$305,C358)=0,"Not on Donors","")))))))</f>
        <v/>
      </c>
      <c r="K358" s="1">
        <f>IF(ISNUMBER(B358),YEAR(B358),"")</f>
        <v/>
      </c>
      <c r="L358">
        <f>IF(ISNUMBER(B358),YEAR(B358)*100+MONTH(B358),"")</f>
        <v/>
      </c>
      <c r="M358">
        <f>IF(ISNUMBER(B358),INT(B358),0)</f>
        <v/>
      </c>
      <c r="N358">
        <f>IF(OR(C358="",F358="",Q358=0),0,IF(COUNTIFS(C$6:C358,C358,F$6:F358,F358,Q$6:Q358,1)=1,1,0))</f>
        <v/>
      </c>
      <c r="O358">
        <f>IF(OR(C358="",Q358=0,H358&lt;&gt;""),"",M358*10000+ROW())</f>
        <v/>
      </c>
      <c r="P358">
        <f>IF(OR(C358="",Q358=0),"",IF(AND(C358=Statement!$C$4,K358=Statement!$C$5),M358*10000+ROW(),""))</f>
        <v/>
      </c>
      <c r="Q358">
        <f>IF(AND(ISNUMBER(B358),OR(N(D358)&gt;0,G358&lt;&gt;"")),1,0)</f>
        <v/>
      </c>
    </row>
    <row r="359">
      <c r="A359" s="1" t="n"/>
      <c r="B359" s="21" t="n"/>
      <c r="C359" s="22" t="n"/>
      <c r="D359" s="23" t="n"/>
      <c r="E359" s="24" t="n"/>
      <c r="F359" s="25" t="n"/>
      <c r="G359" s="25" t="n"/>
      <c r="H359" s="24" t="n"/>
      <c r="I359" s="25" t="n"/>
      <c r="J359" s="17">
        <f>IF(AND(C359="",D359="",G359=""),"",IF(NOT(ISNUMBER(B359)),"Needs a date",IF(AND(D359&lt;&gt;"",NOT(ISNUMBER(D359))),"Amount not a number",IF(N(D359)&lt;0,"Amount below zero",IF(AND(N(D359)=0,G359=""),"Needs an amount or goods",IF(C359="","",IF(COUNTIF(Donors!$B$6:$B$305,C359)=0,"Not on Donors","")))))))</f>
        <v/>
      </c>
      <c r="K359" s="1">
        <f>IF(ISNUMBER(B359),YEAR(B359),"")</f>
        <v/>
      </c>
      <c r="L359">
        <f>IF(ISNUMBER(B359),YEAR(B359)*100+MONTH(B359),"")</f>
        <v/>
      </c>
      <c r="M359">
        <f>IF(ISNUMBER(B359),INT(B359),0)</f>
        <v/>
      </c>
      <c r="N359">
        <f>IF(OR(C359="",F359="",Q359=0),0,IF(COUNTIFS(C$6:C359,C359,F$6:F359,F359,Q$6:Q359,1)=1,1,0))</f>
        <v/>
      </c>
      <c r="O359">
        <f>IF(OR(C359="",Q359=0,H359&lt;&gt;""),"",M359*10000+ROW())</f>
        <v/>
      </c>
      <c r="P359">
        <f>IF(OR(C359="",Q359=0),"",IF(AND(C359=Statement!$C$4,K359=Statement!$C$5),M359*10000+ROW(),""))</f>
        <v/>
      </c>
      <c r="Q359">
        <f>IF(AND(ISNUMBER(B359),OR(N(D359)&gt;0,G359&lt;&gt;"")),1,0)</f>
        <v/>
      </c>
    </row>
    <row r="360">
      <c r="A360" s="1" t="n"/>
      <c r="B360" s="21" t="n"/>
      <c r="C360" s="22" t="n"/>
      <c r="D360" s="23" t="n"/>
      <c r="E360" s="24" t="n"/>
      <c r="F360" s="25" t="n"/>
      <c r="G360" s="25" t="n"/>
      <c r="H360" s="24" t="n"/>
      <c r="I360" s="25" t="n"/>
      <c r="J360" s="17">
        <f>IF(AND(C360="",D360="",G360=""),"",IF(NOT(ISNUMBER(B360)),"Needs a date",IF(AND(D360&lt;&gt;"",NOT(ISNUMBER(D360))),"Amount not a number",IF(N(D360)&lt;0,"Amount below zero",IF(AND(N(D360)=0,G360=""),"Needs an amount or goods",IF(C360="","",IF(COUNTIF(Donors!$B$6:$B$305,C360)=0,"Not on Donors","")))))))</f>
        <v/>
      </c>
      <c r="K360" s="1">
        <f>IF(ISNUMBER(B360),YEAR(B360),"")</f>
        <v/>
      </c>
      <c r="L360">
        <f>IF(ISNUMBER(B360),YEAR(B360)*100+MONTH(B360),"")</f>
        <v/>
      </c>
      <c r="M360">
        <f>IF(ISNUMBER(B360),INT(B360),0)</f>
        <v/>
      </c>
      <c r="N360">
        <f>IF(OR(C360="",F360="",Q360=0),0,IF(COUNTIFS(C$6:C360,C360,F$6:F360,F360,Q$6:Q360,1)=1,1,0))</f>
        <v/>
      </c>
      <c r="O360">
        <f>IF(OR(C360="",Q360=0,H360&lt;&gt;""),"",M360*10000+ROW())</f>
        <v/>
      </c>
      <c r="P360">
        <f>IF(OR(C360="",Q360=0),"",IF(AND(C360=Statement!$C$4,K360=Statement!$C$5),M360*10000+ROW(),""))</f>
        <v/>
      </c>
      <c r="Q360">
        <f>IF(AND(ISNUMBER(B360),OR(N(D360)&gt;0,G360&lt;&gt;"")),1,0)</f>
        <v/>
      </c>
    </row>
    <row r="361">
      <c r="A361" s="1" t="n"/>
      <c r="B361" s="21" t="n"/>
      <c r="C361" s="22" t="n"/>
      <c r="D361" s="23" t="n"/>
      <c r="E361" s="24" t="n"/>
      <c r="F361" s="25" t="n"/>
      <c r="G361" s="25" t="n"/>
      <c r="H361" s="24" t="n"/>
      <c r="I361" s="25" t="n"/>
      <c r="J361" s="17">
        <f>IF(AND(C361="",D361="",G361=""),"",IF(NOT(ISNUMBER(B361)),"Needs a date",IF(AND(D361&lt;&gt;"",NOT(ISNUMBER(D361))),"Amount not a number",IF(N(D361)&lt;0,"Amount below zero",IF(AND(N(D361)=0,G361=""),"Needs an amount or goods",IF(C361="","",IF(COUNTIF(Donors!$B$6:$B$305,C361)=0,"Not on Donors","")))))))</f>
        <v/>
      </c>
      <c r="K361" s="1">
        <f>IF(ISNUMBER(B361),YEAR(B361),"")</f>
        <v/>
      </c>
      <c r="L361">
        <f>IF(ISNUMBER(B361),YEAR(B361)*100+MONTH(B361),"")</f>
        <v/>
      </c>
      <c r="M361">
        <f>IF(ISNUMBER(B361),INT(B361),0)</f>
        <v/>
      </c>
      <c r="N361">
        <f>IF(OR(C361="",F361="",Q361=0),0,IF(COUNTIFS(C$6:C361,C361,F$6:F361,F361,Q$6:Q361,1)=1,1,0))</f>
        <v/>
      </c>
      <c r="O361">
        <f>IF(OR(C361="",Q361=0,H361&lt;&gt;""),"",M361*10000+ROW())</f>
        <v/>
      </c>
      <c r="P361">
        <f>IF(OR(C361="",Q361=0),"",IF(AND(C361=Statement!$C$4,K361=Statement!$C$5),M361*10000+ROW(),""))</f>
        <v/>
      </c>
      <c r="Q361">
        <f>IF(AND(ISNUMBER(B361),OR(N(D361)&gt;0,G361&lt;&gt;"")),1,0)</f>
        <v/>
      </c>
    </row>
    <row r="362">
      <c r="A362" s="1" t="n"/>
      <c r="B362" s="21" t="n"/>
      <c r="C362" s="22" t="n"/>
      <c r="D362" s="23" t="n"/>
      <c r="E362" s="24" t="n"/>
      <c r="F362" s="25" t="n"/>
      <c r="G362" s="25" t="n"/>
      <c r="H362" s="24" t="n"/>
      <c r="I362" s="25" t="n"/>
      <c r="J362" s="17">
        <f>IF(AND(C362="",D362="",G362=""),"",IF(NOT(ISNUMBER(B362)),"Needs a date",IF(AND(D362&lt;&gt;"",NOT(ISNUMBER(D362))),"Amount not a number",IF(N(D362)&lt;0,"Amount below zero",IF(AND(N(D362)=0,G362=""),"Needs an amount or goods",IF(C362="","",IF(COUNTIF(Donors!$B$6:$B$305,C362)=0,"Not on Donors","")))))))</f>
        <v/>
      </c>
      <c r="K362" s="1">
        <f>IF(ISNUMBER(B362),YEAR(B362),"")</f>
        <v/>
      </c>
      <c r="L362">
        <f>IF(ISNUMBER(B362),YEAR(B362)*100+MONTH(B362),"")</f>
        <v/>
      </c>
      <c r="M362">
        <f>IF(ISNUMBER(B362),INT(B362),0)</f>
        <v/>
      </c>
      <c r="N362">
        <f>IF(OR(C362="",F362="",Q362=0),0,IF(COUNTIFS(C$6:C362,C362,F$6:F362,F362,Q$6:Q362,1)=1,1,0))</f>
        <v/>
      </c>
      <c r="O362">
        <f>IF(OR(C362="",Q362=0,H362&lt;&gt;""),"",M362*10000+ROW())</f>
        <v/>
      </c>
      <c r="P362">
        <f>IF(OR(C362="",Q362=0),"",IF(AND(C362=Statement!$C$4,K362=Statement!$C$5),M362*10000+ROW(),""))</f>
        <v/>
      </c>
      <c r="Q362">
        <f>IF(AND(ISNUMBER(B362),OR(N(D362)&gt;0,G362&lt;&gt;"")),1,0)</f>
        <v/>
      </c>
    </row>
    <row r="363">
      <c r="A363" s="1" t="n"/>
      <c r="B363" s="21" t="n"/>
      <c r="C363" s="22" t="n"/>
      <c r="D363" s="23" t="n"/>
      <c r="E363" s="24" t="n"/>
      <c r="F363" s="25" t="n"/>
      <c r="G363" s="25" t="n"/>
      <c r="H363" s="24" t="n"/>
      <c r="I363" s="25" t="n"/>
      <c r="J363" s="17">
        <f>IF(AND(C363="",D363="",G363=""),"",IF(NOT(ISNUMBER(B363)),"Needs a date",IF(AND(D363&lt;&gt;"",NOT(ISNUMBER(D363))),"Amount not a number",IF(N(D363)&lt;0,"Amount below zero",IF(AND(N(D363)=0,G363=""),"Needs an amount or goods",IF(C363="","",IF(COUNTIF(Donors!$B$6:$B$305,C363)=0,"Not on Donors","")))))))</f>
        <v/>
      </c>
      <c r="K363" s="1">
        <f>IF(ISNUMBER(B363),YEAR(B363),"")</f>
        <v/>
      </c>
      <c r="L363">
        <f>IF(ISNUMBER(B363),YEAR(B363)*100+MONTH(B363),"")</f>
        <v/>
      </c>
      <c r="M363">
        <f>IF(ISNUMBER(B363),INT(B363),0)</f>
        <v/>
      </c>
      <c r="N363">
        <f>IF(OR(C363="",F363="",Q363=0),0,IF(COUNTIFS(C$6:C363,C363,F$6:F363,F363,Q$6:Q363,1)=1,1,0))</f>
        <v/>
      </c>
      <c r="O363">
        <f>IF(OR(C363="",Q363=0,H363&lt;&gt;""),"",M363*10000+ROW())</f>
        <v/>
      </c>
      <c r="P363">
        <f>IF(OR(C363="",Q363=0),"",IF(AND(C363=Statement!$C$4,K363=Statement!$C$5),M363*10000+ROW(),""))</f>
        <v/>
      </c>
      <c r="Q363">
        <f>IF(AND(ISNUMBER(B363),OR(N(D363)&gt;0,G363&lt;&gt;"")),1,0)</f>
        <v/>
      </c>
    </row>
    <row r="364">
      <c r="A364" s="1" t="n"/>
      <c r="B364" s="21" t="n"/>
      <c r="C364" s="22" t="n"/>
      <c r="D364" s="23" t="n"/>
      <c r="E364" s="24" t="n"/>
      <c r="F364" s="25" t="n"/>
      <c r="G364" s="25" t="n"/>
      <c r="H364" s="24" t="n"/>
      <c r="I364" s="25" t="n"/>
      <c r="J364" s="17">
        <f>IF(AND(C364="",D364="",G364=""),"",IF(NOT(ISNUMBER(B364)),"Needs a date",IF(AND(D364&lt;&gt;"",NOT(ISNUMBER(D364))),"Amount not a number",IF(N(D364)&lt;0,"Amount below zero",IF(AND(N(D364)=0,G364=""),"Needs an amount or goods",IF(C364="","",IF(COUNTIF(Donors!$B$6:$B$305,C364)=0,"Not on Donors","")))))))</f>
        <v/>
      </c>
      <c r="K364" s="1">
        <f>IF(ISNUMBER(B364),YEAR(B364),"")</f>
        <v/>
      </c>
      <c r="L364">
        <f>IF(ISNUMBER(B364),YEAR(B364)*100+MONTH(B364),"")</f>
        <v/>
      </c>
      <c r="M364">
        <f>IF(ISNUMBER(B364),INT(B364),0)</f>
        <v/>
      </c>
      <c r="N364">
        <f>IF(OR(C364="",F364="",Q364=0),0,IF(COUNTIFS(C$6:C364,C364,F$6:F364,F364,Q$6:Q364,1)=1,1,0))</f>
        <v/>
      </c>
      <c r="O364">
        <f>IF(OR(C364="",Q364=0,H364&lt;&gt;""),"",M364*10000+ROW())</f>
        <v/>
      </c>
      <c r="P364">
        <f>IF(OR(C364="",Q364=0),"",IF(AND(C364=Statement!$C$4,K364=Statement!$C$5),M364*10000+ROW(),""))</f>
        <v/>
      </c>
      <c r="Q364">
        <f>IF(AND(ISNUMBER(B364),OR(N(D364)&gt;0,G364&lt;&gt;"")),1,0)</f>
        <v/>
      </c>
    </row>
    <row r="365">
      <c r="A365" s="1" t="n"/>
      <c r="B365" s="21" t="n"/>
      <c r="C365" s="22" t="n"/>
      <c r="D365" s="23" t="n"/>
      <c r="E365" s="24" t="n"/>
      <c r="F365" s="25" t="n"/>
      <c r="G365" s="25" t="n"/>
      <c r="H365" s="24" t="n"/>
      <c r="I365" s="25" t="n"/>
      <c r="J365" s="17">
        <f>IF(AND(C365="",D365="",G365=""),"",IF(NOT(ISNUMBER(B365)),"Needs a date",IF(AND(D365&lt;&gt;"",NOT(ISNUMBER(D365))),"Amount not a number",IF(N(D365)&lt;0,"Amount below zero",IF(AND(N(D365)=0,G365=""),"Needs an amount or goods",IF(C365="","",IF(COUNTIF(Donors!$B$6:$B$305,C365)=0,"Not on Donors","")))))))</f>
        <v/>
      </c>
      <c r="K365" s="1">
        <f>IF(ISNUMBER(B365),YEAR(B365),"")</f>
        <v/>
      </c>
      <c r="L365">
        <f>IF(ISNUMBER(B365),YEAR(B365)*100+MONTH(B365),"")</f>
        <v/>
      </c>
      <c r="M365">
        <f>IF(ISNUMBER(B365),INT(B365),0)</f>
        <v/>
      </c>
      <c r="N365">
        <f>IF(OR(C365="",F365="",Q365=0),0,IF(COUNTIFS(C$6:C365,C365,F$6:F365,F365,Q$6:Q365,1)=1,1,0))</f>
        <v/>
      </c>
      <c r="O365">
        <f>IF(OR(C365="",Q365=0,H365&lt;&gt;""),"",M365*10000+ROW())</f>
        <v/>
      </c>
      <c r="P365">
        <f>IF(OR(C365="",Q365=0),"",IF(AND(C365=Statement!$C$4,K365=Statement!$C$5),M365*10000+ROW(),""))</f>
        <v/>
      </c>
      <c r="Q365">
        <f>IF(AND(ISNUMBER(B365),OR(N(D365)&gt;0,G365&lt;&gt;"")),1,0)</f>
        <v/>
      </c>
    </row>
    <row r="366">
      <c r="A366" s="1" t="n"/>
      <c r="B366" s="21" t="n"/>
      <c r="C366" s="22" t="n"/>
      <c r="D366" s="23" t="n"/>
      <c r="E366" s="24" t="n"/>
      <c r="F366" s="25" t="n"/>
      <c r="G366" s="25" t="n"/>
      <c r="H366" s="24" t="n"/>
      <c r="I366" s="25" t="n"/>
      <c r="J366" s="17">
        <f>IF(AND(C366="",D366="",G366=""),"",IF(NOT(ISNUMBER(B366)),"Needs a date",IF(AND(D366&lt;&gt;"",NOT(ISNUMBER(D366))),"Amount not a number",IF(N(D366)&lt;0,"Amount below zero",IF(AND(N(D366)=0,G366=""),"Needs an amount or goods",IF(C366="","",IF(COUNTIF(Donors!$B$6:$B$305,C366)=0,"Not on Donors","")))))))</f>
        <v/>
      </c>
      <c r="K366" s="1">
        <f>IF(ISNUMBER(B366),YEAR(B366),"")</f>
        <v/>
      </c>
      <c r="L366">
        <f>IF(ISNUMBER(B366),YEAR(B366)*100+MONTH(B366),"")</f>
        <v/>
      </c>
      <c r="M366">
        <f>IF(ISNUMBER(B366),INT(B366),0)</f>
        <v/>
      </c>
      <c r="N366">
        <f>IF(OR(C366="",F366="",Q366=0),0,IF(COUNTIFS(C$6:C366,C366,F$6:F366,F366,Q$6:Q366,1)=1,1,0))</f>
        <v/>
      </c>
      <c r="O366">
        <f>IF(OR(C366="",Q366=0,H366&lt;&gt;""),"",M366*10000+ROW())</f>
        <v/>
      </c>
      <c r="P366">
        <f>IF(OR(C366="",Q366=0),"",IF(AND(C366=Statement!$C$4,K366=Statement!$C$5),M366*10000+ROW(),""))</f>
        <v/>
      </c>
      <c r="Q366">
        <f>IF(AND(ISNUMBER(B366),OR(N(D366)&gt;0,G366&lt;&gt;"")),1,0)</f>
        <v/>
      </c>
    </row>
    <row r="367">
      <c r="A367" s="1" t="n"/>
      <c r="B367" s="21" t="n"/>
      <c r="C367" s="22" t="n"/>
      <c r="D367" s="23" t="n"/>
      <c r="E367" s="24" t="n"/>
      <c r="F367" s="25" t="n"/>
      <c r="G367" s="25" t="n"/>
      <c r="H367" s="24" t="n"/>
      <c r="I367" s="25" t="n"/>
      <c r="J367" s="17">
        <f>IF(AND(C367="",D367="",G367=""),"",IF(NOT(ISNUMBER(B367)),"Needs a date",IF(AND(D367&lt;&gt;"",NOT(ISNUMBER(D367))),"Amount not a number",IF(N(D367)&lt;0,"Amount below zero",IF(AND(N(D367)=0,G367=""),"Needs an amount or goods",IF(C367="","",IF(COUNTIF(Donors!$B$6:$B$305,C367)=0,"Not on Donors","")))))))</f>
        <v/>
      </c>
      <c r="K367" s="1">
        <f>IF(ISNUMBER(B367),YEAR(B367),"")</f>
        <v/>
      </c>
      <c r="L367">
        <f>IF(ISNUMBER(B367),YEAR(B367)*100+MONTH(B367),"")</f>
        <v/>
      </c>
      <c r="M367">
        <f>IF(ISNUMBER(B367),INT(B367),0)</f>
        <v/>
      </c>
      <c r="N367">
        <f>IF(OR(C367="",F367="",Q367=0),0,IF(COUNTIFS(C$6:C367,C367,F$6:F367,F367,Q$6:Q367,1)=1,1,0))</f>
        <v/>
      </c>
      <c r="O367">
        <f>IF(OR(C367="",Q367=0,H367&lt;&gt;""),"",M367*10000+ROW())</f>
        <v/>
      </c>
      <c r="P367">
        <f>IF(OR(C367="",Q367=0),"",IF(AND(C367=Statement!$C$4,K367=Statement!$C$5),M367*10000+ROW(),""))</f>
        <v/>
      </c>
      <c r="Q367">
        <f>IF(AND(ISNUMBER(B367),OR(N(D367)&gt;0,G367&lt;&gt;"")),1,0)</f>
        <v/>
      </c>
    </row>
    <row r="368">
      <c r="A368" s="1" t="n"/>
      <c r="B368" s="21" t="n"/>
      <c r="C368" s="22" t="n"/>
      <c r="D368" s="23" t="n"/>
      <c r="E368" s="24" t="n"/>
      <c r="F368" s="25" t="n"/>
      <c r="G368" s="25" t="n"/>
      <c r="H368" s="24" t="n"/>
      <c r="I368" s="25" t="n"/>
      <c r="J368" s="17">
        <f>IF(AND(C368="",D368="",G368=""),"",IF(NOT(ISNUMBER(B368)),"Needs a date",IF(AND(D368&lt;&gt;"",NOT(ISNUMBER(D368))),"Amount not a number",IF(N(D368)&lt;0,"Amount below zero",IF(AND(N(D368)=0,G368=""),"Needs an amount or goods",IF(C368="","",IF(COUNTIF(Donors!$B$6:$B$305,C368)=0,"Not on Donors","")))))))</f>
        <v/>
      </c>
      <c r="K368" s="1">
        <f>IF(ISNUMBER(B368),YEAR(B368),"")</f>
        <v/>
      </c>
      <c r="L368">
        <f>IF(ISNUMBER(B368),YEAR(B368)*100+MONTH(B368),"")</f>
        <v/>
      </c>
      <c r="M368">
        <f>IF(ISNUMBER(B368),INT(B368),0)</f>
        <v/>
      </c>
      <c r="N368">
        <f>IF(OR(C368="",F368="",Q368=0),0,IF(COUNTIFS(C$6:C368,C368,F$6:F368,F368,Q$6:Q368,1)=1,1,0))</f>
        <v/>
      </c>
      <c r="O368">
        <f>IF(OR(C368="",Q368=0,H368&lt;&gt;""),"",M368*10000+ROW())</f>
        <v/>
      </c>
      <c r="P368">
        <f>IF(OR(C368="",Q368=0),"",IF(AND(C368=Statement!$C$4,K368=Statement!$C$5),M368*10000+ROW(),""))</f>
        <v/>
      </c>
      <c r="Q368">
        <f>IF(AND(ISNUMBER(B368),OR(N(D368)&gt;0,G368&lt;&gt;"")),1,0)</f>
        <v/>
      </c>
    </row>
    <row r="369">
      <c r="A369" s="1" t="n"/>
      <c r="B369" s="21" t="n"/>
      <c r="C369" s="22" t="n"/>
      <c r="D369" s="23" t="n"/>
      <c r="E369" s="24" t="n"/>
      <c r="F369" s="25" t="n"/>
      <c r="G369" s="25" t="n"/>
      <c r="H369" s="24" t="n"/>
      <c r="I369" s="25" t="n"/>
      <c r="J369" s="17">
        <f>IF(AND(C369="",D369="",G369=""),"",IF(NOT(ISNUMBER(B369)),"Needs a date",IF(AND(D369&lt;&gt;"",NOT(ISNUMBER(D369))),"Amount not a number",IF(N(D369)&lt;0,"Amount below zero",IF(AND(N(D369)=0,G369=""),"Needs an amount or goods",IF(C369="","",IF(COUNTIF(Donors!$B$6:$B$305,C369)=0,"Not on Donors","")))))))</f>
        <v/>
      </c>
      <c r="K369" s="1">
        <f>IF(ISNUMBER(B369),YEAR(B369),"")</f>
        <v/>
      </c>
      <c r="L369">
        <f>IF(ISNUMBER(B369),YEAR(B369)*100+MONTH(B369),"")</f>
        <v/>
      </c>
      <c r="M369">
        <f>IF(ISNUMBER(B369),INT(B369),0)</f>
        <v/>
      </c>
      <c r="N369">
        <f>IF(OR(C369="",F369="",Q369=0),0,IF(COUNTIFS(C$6:C369,C369,F$6:F369,F369,Q$6:Q369,1)=1,1,0))</f>
        <v/>
      </c>
      <c r="O369">
        <f>IF(OR(C369="",Q369=0,H369&lt;&gt;""),"",M369*10000+ROW())</f>
        <v/>
      </c>
      <c r="P369">
        <f>IF(OR(C369="",Q369=0),"",IF(AND(C369=Statement!$C$4,K369=Statement!$C$5),M369*10000+ROW(),""))</f>
        <v/>
      </c>
      <c r="Q369">
        <f>IF(AND(ISNUMBER(B369),OR(N(D369)&gt;0,G369&lt;&gt;"")),1,0)</f>
        <v/>
      </c>
    </row>
    <row r="370">
      <c r="A370" s="1" t="n"/>
      <c r="B370" s="21" t="n"/>
      <c r="C370" s="22" t="n"/>
      <c r="D370" s="23" t="n"/>
      <c r="E370" s="24" t="n"/>
      <c r="F370" s="25" t="n"/>
      <c r="G370" s="25" t="n"/>
      <c r="H370" s="24" t="n"/>
      <c r="I370" s="25" t="n"/>
      <c r="J370" s="17">
        <f>IF(AND(C370="",D370="",G370=""),"",IF(NOT(ISNUMBER(B370)),"Needs a date",IF(AND(D370&lt;&gt;"",NOT(ISNUMBER(D370))),"Amount not a number",IF(N(D370)&lt;0,"Amount below zero",IF(AND(N(D370)=0,G370=""),"Needs an amount or goods",IF(C370="","",IF(COUNTIF(Donors!$B$6:$B$305,C370)=0,"Not on Donors","")))))))</f>
        <v/>
      </c>
      <c r="K370" s="1">
        <f>IF(ISNUMBER(B370),YEAR(B370),"")</f>
        <v/>
      </c>
      <c r="L370">
        <f>IF(ISNUMBER(B370),YEAR(B370)*100+MONTH(B370),"")</f>
        <v/>
      </c>
      <c r="M370">
        <f>IF(ISNUMBER(B370),INT(B370),0)</f>
        <v/>
      </c>
      <c r="N370">
        <f>IF(OR(C370="",F370="",Q370=0),0,IF(COUNTIFS(C$6:C370,C370,F$6:F370,F370,Q$6:Q370,1)=1,1,0))</f>
        <v/>
      </c>
      <c r="O370">
        <f>IF(OR(C370="",Q370=0,H370&lt;&gt;""),"",M370*10000+ROW())</f>
        <v/>
      </c>
      <c r="P370">
        <f>IF(OR(C370="",Q370=0),"",IF(AND(C370=Statement!$C$4,K370=Statement!$C$5),M370*10000+ROW(),""))</f>
        <v/>
      </c>
      <c r="Q370">
        <f>IF(AND(ISNUMBER(B370),OR(N(D370)&gt;0,G370&lt;&gt;"")),1,0)</f>
        <v/>
      </c>
    </row>
    <row r="371">
      <c r="A371" s="1" t="n"/>
      <c r="B371" s="21" t="n"/>
      <c r="C371" s="22" t="n"/>
      <c r="D371" s="23" t="n"/>
      <c r="E371" s="24" t="n"/>
      <c r="F371" s="25" t="n"/>
      <c r="G371" s="25" t="n"/>
      <c r="H371" s="24" t="n"/>
      <c r="I371" s="25" t="n"/>
      <c r="J371" s="17">
        <f>IF(AND(C371="",D371="",G371=""),"",IF(NOT(ISNUMBER(B371)),"Needs a date",IF(AND(D371&lt;&gt;"",NOT(ISNUMBER(D371))),"Amount not a number",IF(N(D371)&lt;0,"Amount below zero",IF(AND(N(D371)=0,G371=""),"Needs an amount or goods",IF(C371="","",IF(COUNTIF(Donors!$B$6:$B$305,C371)=0,"Not on Donors","")))))))</f>
        <v/>
      </c>
      <c r="K371" s="1">
        <f>IF(ISNUMBER(B371),YEAR(B371),"")</f>
        <v/>
      </c>
      <c r="L371">
        <f>IF(ISNUMBER(B371),YEAR(B371)*100+MONTH(B371),"")</f>
        <v/>
      </c>
      <c r="M371">
        <f>IF(ISNUMBER(B371),INT(B371),0)</f>
        <v/>
      </c>
      <c r="N371">
        <f>IF(OR(C371="",F371="",Q371=0),0,IF(COUNTIFS(C$6:C371,C371,F$6:F371,F371,Q$6:Q371,1)=1,1,0))</f>
        <v/>
      </c>
      <c r="O371">
        <f>IF(OR(C371="",Q371=0,H371&lt;&gt;""),"",M371*10000+ROW())</f>
        <v/>
      </c>
      <c r="P371">
        <f>IF(OR(C371="",Q371=0),"",IF(AND(C371=Statement!$C$4,K371=Statement!$C$5),M371*10000+ROW(),""))</f>
        <v/>
      </c>
      <c r="Q371">
        <f>IF(AND(ISNUMBER(B371),OR(N(D371)&gt;0,G371&lt;&gt;"")),1,0)</f>
        <v/>
      </c>
    </row>
    <row r="372">
      <c r="A372" s="1" t="n"/>
      <c r="B372" s="21" t="n"/>
      <c r="C372" s="22" t="n"/>
      <c r="D372" s="23" t="n"/>
      <c r="E372" s="24" t="n"/>
      <c r="F372" s="25" t="n"/>
      <c r="G372" s="25" t="n"/>
      <c r="H372" s="24" t="n"/>
      <c r="I372" s="25" t="n"/>
      <c r="J372" s="17">
        <f>IF(AND(C372="",D372="",G372=""),"",IF(NOT(ISNUMBER(B372)),"Needs a date",IF(AND(D372&lt;&gt;"",NOT(ISNUMBER(D372))),"Amount not a number",IF(N(D372)&lt;0,"Amount below zero",IF(AND(N(D372)=0,G372=""),"Needs an amount or goods",IF(C372="","",IF(COUNTIF(Donors!$B$6:$B$305,C372)=0,"Not on Donors","")))))))</f>
        <v/>
      </c>
      <c r="K372" s="1">
        <f>IF(ISNUMBER(B372),YEAR(B372),"")</f>
        <v/>
      </c>
      <c r="L372">
        <f>IF(ISNUMBER(B372),YEAR(B372)*100+MONTH(B372),"")</f>
        <v/>
      </c>
      <c r="M372">
        <f>IF(ISNUMBER(B372),INT(B372),0)</f>
        <v/>
      </c>
      <c r="N372">
        <f>IF(OR(C372="",F372="",Q372=0),0,IF(COUNTIFS(C$6:C372,C372,F$6:F372,F372,Q$6:Q372,1)=1,1,0))</f>
        <v/>
      </c>
      <c r="O372">
        <f>IF(OR(C372="",Q372=0,H372&lt;&gt;""),"",M372*10000+ROW())</f>
        <v/>
      </c>
      <c r="P372">
        <f>IF(OR(C372="",Q372=0),"",IF(AND(C372=Statement!$C$4,K372=Statement!$C$5),M372*10000+ROW(),""))</f>
        <v/>
      </c>
      <c r="Q372">
        <f>IF(AND(ISNUMBER(B372),OR(N(D372)&gt;0,G372&lt;&gt;"")),1,0)</f>
        <v/>
      </c>
    </row>
    <row r="373">
      <c r="A373" s="1" t="n"/>
      <c r="B373" s="21" t="n"/>
      <c r="C373" s="22" t="n"/>
      <c r="D373" s="23" t="n"/>
      <c r="E373" s="24" t="n"/>
      <c r="F373" s="25" t="n"/>
      <c r="G373" s="25" t="n"/>
      <c r="H373" s="24" t="n"/>
      <c r="I373" s="25" t="n"/>
      <c r="J373" s="17">
        <f>IF(AND(C373="",D373="",G373=""),"",IF(NOT(ISNUMBER(B373)),"Needs a date",IF(AND(D373&lt;&gt;"",NOT(ISNUMBER(D373))),"Amount not a number",IF(N(D373)&lt;0,"Amount below zero",IF(AND(N(D373)=0,G373=""),"Needs an amount or goods",IF(C373="","",IF(COUNTIF(Donors!$B$6:$B$305,C373)=0,"Not on Donors","")))))))</f>
        <v/>
      </c>
      <c r="K373" s="1">
        <f>IF(ISNUMBER(B373),YEAR(B373),"")</f>
        <v/>
      </c>
      <c r="L373">
        <f>IF(ISNUMBER(B373),YEAR(B373)*100+MONTH(B373),"")</f>
        <v/>
      </c>
      <c r="M373">
        <f>IF(ISNUMBER(B373),INT(B373),0)</f>
        <v/>
      </c>
      <c r="N373">
        <f>IF(OR(C373="",F373="",Q373=0),0,IF(COUNTIFS(C$6:C373,C373,F$6:F373,F373,Q$6:Q373,1)=1,1,0))</f>
        <v/>
      </c>
      <c r="O373">
        <f>IF(OR(C373="",Q373=0,H373&lt;&gt;""),"",M373*10000+ROW())</f>
        <v/>
      </c>
      <c r="P373">
        <f>IF(OR(C373="",Q373=0),"",IF(AND(C373=Statement!$C$4,K373=Statement!$C$5),M373*10000+ROW(),""))</f>
        <v/>
      </c>
      <c r="Q373">
        <f>IF(AND(ISNUMBER(B373),OR(N(D373)&gt;0,G373&lt;&gt;"")),1,0)</f>
        <v/>
      </c>
    </row>
    <row r="374">
      <c r="A374" s="1" t="n"/>
      <c r="B374" s="21" t="n"/>
      <c r="C374" s="22" t="n"/>
      <c r="D374" s="23" t="n"/>
      <c r="E374" s="24" t="n"/>
      <c r="F374" s="25" t="n"/>
      <c r="G374" s="25" t="n"/>
      <c r="H374" s="24" t="n"/>
      <c r="I374" s="25" t="n"/>
      <c r="J374" s="17">
        <f>IF(AND(C374="",D374="",G374=""),"",IF(NOT(ISNUMBER(B374)),"Needs a date",IF(AND(D374&lt;&gt;"",NOT(ISNUMBER(D374))),"Amount not a number",IF(N(D374)&lt;0,"Amount below zero",IF(AND(N(D374)=0,G374=""),"Needs an amount or goods",IF(C374="","",IF(COUNTIF(Donors!$B$6:$B$305,C374)=0,"Not on Donors","")))))))</f>
        <v/>
      </c>
      <c r="K374" s="1">
        <f>IF(ISNUMBER(B374),YEAR(B374),"")</f>
        <v/>
      </c>
      <c r="L374">
        <f>IF(ISNUMBER(B374),YEAR(B374)*100+MONTH(B374),"")</f>
        <v/>
      </c>
      <c r="M374">
        <f>IF(ISNUMBER(B374),INT(B374),0)</f>
        <v/>
      </c>
      <c r="N374">
        <f>IF(OR(C374="",F374="",Q374=0),0,IF(COUNTIFS(C$6:C374,C374,F$6:F374,F374,Q$6:Q374,1)=1,1,0))</f>
        <v/>
      </c>
      <c r="O374">
        <f>IF(OR(C374="",Q374=0,H374&lt;&gt;""),"",M374*10000+ROW())</f>
        <v/>
      </c>
      <c r="P374">
        <f>IF(OR(C374="",Q374=0),"",IF(AND(C374=Statement!$C$4,K374=Statement!$C$5),M374*10000+ROW(),""))</f>
        <v/>
      </c>
      <c r="Q374">
        <f>IF(AND(ISNUMBER(B374),OR(N(D374)&gt;0,G374&lt;&gt;"")),1,0)</f>
        <v/>
      </c>
    </row>
    <row r="375">
      <c r="A375" s="1" t="n"/>
      <c r="B375" s="21" t="n"/>
      <c r="C375" s="22" t="n"/>
      <c r="D375" s="23" t="n"/>
      <c r="E375" s="24" t="n"/>
      <c r="F375" s="25" t="n"/>
      <c r="G375" s="25" t="n"/>
      <c r="H375" s="24" t="n"/>
      <c r="I375" s="25" t="n"/>
      <c r="J375" s="17">
        <f>IF(AND(C375="",D375="",G375=""),"",IF(NOT(ISNUMBER(B375)),"Needs a date",IF(AND(D375&lt;&gt;"",NOT(ISNUMBER(D375))),"Amount not a number",IF(N(D375)&lt;0,"Amount below zero",IF(AND(N(D375)=0,G375=""),"Needs an amount or goods",IF(C375="","",IF(COUNTIF(Donors!$B$6:$B$305,C375)=0,"Not on Donors","")))))))</f>
        <v/>
      </c>
      <c r="K375" s="1">
        <f>IF(ISNUMBER(B375),YEAR(B375),"")</f>
        <v/>
      </c>
      <c r="L375">
        <f>IF(ISNUMBER(B375),YEAR(B375)*100+MONTH(B375),"")</f>
        <v/>
      </c>
      <c r="M375">
        <f>IF(ISNUMBER(B375),INT(B375),0)</f>
        <v/>
      </c>
      <c r="N375">
        <f>IF(OR(C375="",F375="",Q375=0),0,IF(COUNTIFS(C$6:C375,C375,F$6:F375,F375,Q$6:Q375,1)=1,1,0))</f>
        <v/>
      </c>
      <c r="O375">
        <f>IF(OR(C375="",Q375=0,H375&lt;&gt;""),"",M375*10000+ROW())</f>
        <v/>
      </c>
      <c r="P375">
        <f>IF(OR(C375="",Q375=0),"",IF(AND(C375=Statement!$C$4,K375=Statement!$C$5),M375*10000+ROW(),""))</f>
        <v/>
      </c>
      <c r="Q375">
        <f>IF(AND(ISNUMBER(B375),OR(N(D375)&gt;0,G375&lt;&gt;"")),1,0)</f>
        <v/>
      </c>
    </row>
    <row r="376">
      <c r="A376" s="1" t="n"/>
      <c r="B376" s="21" t="n"/>
      <c r="C376" s="22" t="n"/>
      <c r="D376" s="23" t="n"/>
      <c r="E376" s="24" t="n"/>
      <c r="F376" s="25" t="n"/>
      <c r="G376" s="25" t="n"/>
      <c r="H376" s="24" t="n"/>
      <c r="I376" s="25" t="n"/>
      <c r="J376" s="17">
        <f>IF(AND(C376="",D376="",G376=""),"",IF(NOT(ISNUMBER(B376)),"Needs a date",IF(AND(D376&lt;&gt;"",NOT(ISNUMBER(D376))),"Amount not a number",IF(N(D376)&lt;0,"Amount below zero",IF(AND(N(D376)=0,G376=""),"Needs an amount or goods",IF(C376="","",IF(COUNTIF(Donors!$B$6:$B$305,C376)=0,"Not on Donors","")))))))</f>
        <v/>
      </c>
      <c r="K376" s="1">
        <f>IF(ISNUMBER(B376),YEAR(B376),"")</f>
        <v/>
      </c>
      <c r="L376">
        <f>IF(ISNUMBER(B376),YEAR(B376)*100+MONTH(B376),"")</f>
        <v/>
      </c>
      <c r="M376">
        <f>IF(ISNUMBER(B376),INT(B376),0)</f>
        <v/>
      </c>
      <c r="N376">
        <f>IF(OR(C376="",F376="",Q376=0),0,IF(COUNTIFS(C$6:C376,C376,F$6:F376,F376,Q$6:Q376,1)=1,1,0))</f>
        <v/>
      </c>
      <c r="O376">
        <f>IF(OR(C376="",Q376=0,H376&lt;&gt;""),"",M376*10000+ROW())</f>
        <v/>
      </c>
      <c r="P376">
        <f>IF(OR(C376="",Q376=0),"",IF(AND(C376=Statement!$C$4,K376=Statement!$C$5),M376*10000+ROW(),""))</f>
        <v/>
      </c>
      <c r="Q376">
        <f>IF(AND(ISNUMBER(B376),OR(N(D376)&gt;0,G376&lt;&gt;"")),1,0)</f>
        <v/>
      </c>
    </row>
    <row r="377">
      <c r="A377" s="1" t="n"/>
      <c r="B377" s="21" t="n"/>
      <c r="C377" s="22" t="n"/>
      <c r="D377" s="23" t="n"/>
      <c r="E377" s="24" t="n"/>
      <c r="F377" s="25" t="n"/>
      <c r="G377" s="25" t="n"/>
      <c r="H377" s="24" t="n"/>
      <c r="I377" s="25" t="n"/>
      <c r="J377" s="17">
        <f>IF(AND(C377="",D377="",G377=""),"",IF(NOT(ISNUMBER(B377)),"Needs a date",IF(AND(D377&lt;&gt;"",NOT(ISNUMBER(D377))),"Amount not a number",IF(N(D377)&lt;0,"Amount below zero",IF(AND(N(D377)=0,G377=""),"Needs an amount or goods",IF(C377="","",IF(COUNTIF(Donors!$B$6:$B$305,C377)=0,"Not on Donors","")))))))</f>
        <v/>
      </c>
      <c r="K377" s="1">
        <f>IF(ISNUMBER(B377),YEAR(B377),"")</f>
        <v/>
      </c>
      <c r="L377">
        <f>IF(ISNUMBER(B377),YEAR(B377)*100+MONTH(B377),"")</f>
        <v/>
      </c>
      <c r="M377">
        <f>IF(ISNUMBER(B377),INT(B377),0)</f>
        <v/>
      </c>
      <c r="N377">
        <f>IF(OR(C377="",F377="",Q377=0),0,IF(COUNTIFS(C$6:C377,C377,F$6:F377,F377,Q$6:Q377,1)=1,1,0))</f>
        <v/>
      </c>
      <c r="O377">
        <f>IF(OR(C377="",Q377=0,H377&lt;&gt;""),"",M377*10000+ROW())</f>
        <v/>
      </c>
      <c r="P377">
        <f>IF(OR(C377="",Q377=0),"",IF(AND(C377=Statement!$C$4,K377=Statement!$C$5),M377*10000+ROW(),""))</f>
        <v/>
      </c>
      <c r="Q377">
        <f>IF(AND(ISNUMBER(B377),OR(N(D377)&gt;0,G377&lt;&gt;"")),1,0)</f>
        <v/>
      </c>
    </row>
    <row r="378">
      <c r="A378" s="1" t="n"/>
      <c r="B378" s="21" t="n"/>
      <c r="C378" s="22" t="n"/>
      <c r="D378" s="23" t="n"/>
      <c r="E378" s="24" t="n"/>
      <c r="F378" s="25" t="n"/>
      <c r="G378" s="25" t="n"/>
      <c r="H378" s="24" t="n"/>
      <c r="I378" s="25" t="n"/>
      <c r="J378" s="17">
        <f>IF(AND(C378="",D378="",G378=""),"",IF(NOT(ISNUMBER(B378)),"Needs a date",IF(AND(D378&lt;&gt;"",NOT(ISNUMBER(D378))),"Amount not a number",IF(N(D378)&lt;0,"Amount below zero",IF(AND(N(D378)=0,G378=""),"Needs an amount or goods",IF(C378="","",IF(COUNTIF(Donors!$B$6:$B$305,C378)=0,"Not on Donors","")))))))</f>
        <v/>
      </c>
      <c r="K378" s="1">
        <f>IF(ISNUMBER(B378),YEAR(B378),"")</f>
        <v/>
      </c>
      <c r="L378">
        <f>IF(ISNUMBER(B378),YEAR(B378)*100+MONTH(B378),"")</f>
        <v/>
      </c>
      <c r="M378">
        <f>IF(ISNUMBER(B378),INT(B378),0)</f>
        <v/>
      </c>
      <c r="N378">
        <f>IF(OR(C378="",F378="",Q378=0),0,IF(COUNTIFS(C$6:C378,C378,F$6:F378,F378,Q$6:Q378,1)=1,1,0))</f>
        <v/>
      </c>
      <c r="O378">
        <f>IF(OR(C378="",Q378=0,H378&lt;&gt;""),"",M378*10000+ROW())</f>
        <v/>
      </c>
      <c r="P378">
        <f>IF(OR(C378="",Q378=0),"",IF(AND(C378=Statement!$C$4,K378=Statement!$C$5),M378*10000+ROW(),""))</f>
        <v/>
      </c>
      <c r="Q378">
        <f>IF(AND(ISNUMBER(B378),OR(N(D378)&gt;0,G378&lt;&gt;"")),1,0)</f>
        <v/>
      </c>
    </row>
    <row r="379">
      <c r="A379" s="1" t="n"/>
      <c r="B379" s="21" t="n"/>
      <c r="C379" s="22" t="n"/>
      <c r="D379" s="23" t="n"/>
      <c r="E379" s="24" t="n"/>
      <c r="F379" s="25" t="n"/>
      <c r="G379" s="25" t="n"/>
      <c r="H379" s="24" t="n"/>
      <c r="I379" s="25" t="n"/>
      <c r="J379" s="17">
        <f>IF(AND(C379="",D379="",G379=""),"",IF(NOT(ISNUMBER(B379)),"Needs a date",IF(AND(D379&lt;&gt;"",NOT(ISNUMBER(D379))),"Amount not a number",IF(N(D379)&lt;0,"Amount below zero",IF(AND(N(D379)=0,G379=""),"Needs an amount or goods",IF(C379="","",IF(COUNTIF(Donors!$B$6:$B$305,C379)=0,"Not on Donors","")))))))</f>
        <v/>
      </c>
      <c r="K379" s="1">
        <f>IF(ISNUMBER(B379),YEAR(B379),"")</f>
        <v/>
      </c>
      <c r="L379">
        <f>IF(ISNUMBER(B379),YEAR(B379)*100+MONTH(B379),"")</f>
        <v/>
      </c>
      <c r="M379">
        <f>IF(ISNUMBER(B379),INT(B379),0)</f>
        <v/>
      </c>
      <c r="N379">
        <f>IF(OR(C379="",F379="",Q379=0),0,IF(COUNTIFS(C$6:C379,C379,F$6:F379,F379,Q$6:Q379,1)=1,1,0))</f>
        <v/>
      </c>
      <c r="O379">
        <f>IF(OR(C379="",Q379=0,H379&lt;&gt;""),"",M379*10000+ROW())</f>
        <v/>
      </c>
      <c r="P379">
        <f>IF(OR(C379="",Q379=0),"",IF(AND(C379=Statement!$C$4,K379=Statement!$C$5),M379*10000+ROW(),""))</f>
        <v/>
      </c>
      <c r="Q379">
        <f>IF(AND(ISNUMBER(B379),OR(N(D379)&gt;0,G379&lt;&gt;"")),1,0)</f>
        <v/>
      </c>
    </row>
    <row r="380">
      <c r="A380" s="1" t="n"/>
      <c r="B380" s="21" t="n"/>
      <c r="C380" s="22" t="n"/>
      <c r="D380" s="23" t="n"/>
      <c r="E380" s="24" t="n"/>
      <c r="F380" s="25" t="n"/>
      <c r="G380" s="25" t="n"/>
      <c r="H380" s="24" t="n"/>
      <c r="I380" s="25" t="n"/>
      <c r="J380" s="17">
        <f>IF(AND(C380="",D380="",G380=""),"",IF(NOT(ISNUMBER(B380)),"Needs a date",IF(AND(D380&lt;&gt;"",NOT(ISNUMBER(D380))),"Amount not a number",IF(N(D380)&lt;0,"Amount below zero",IF(AND(N(D380)=0,G380=""),"Needs an amount or goods",IF(C380="","",IF(COUNTIF(Donors!$B$6:$B$305,C380)=0,"Not on Donors","")))))))</f>
        <v/>
      </c>
      <c r="K380" s="1">
        <f>IF(ISNUMBER(B380),YEAR(B380),"")</f>
        <v/>
      </c>
      <c r="L380">
        <f>IF(ISNUMBER(B380),YEAR(B380)*100+MONTH(B380),"")</f>
        <v/>
      </c>
      <c r="M380">
        <f>IF(ISNUMBER(B380),INT(B380),0)</f>
        <v/>
      </c>
      <c r="N380">
        <f>IF(OR(C380="",F380="",Q380=0),0,IF(COUNTIFS(C$6:C380,C380,F$6:F380,F380,Q$6:Q380,1)=1,1,0))</f>
        <v/>
      </c>
      <c r="O380">
        <f>IF(OR(C380="",Q380=0,H380&lt;&gt;""),"",M380*10000+ROW())</f>
        <v/>
      </c>
      <c r="P380">
        <f>IF(OR(C380="",Q380=0),"",IF(AND(C380=Statement!$C$4,K380=Statement!$C$5),M380*10000+ROW(),""))</f>
        <v/>
      </c>
      <c r="Q380">
        <f>IF(AND(ISNUMBER(B380),OR(N(D380)&gt;0,G380&lt;&gt;"")),1,0)</f>
        <v/>
      </c>
    </row>
    <row r="381">
      <c r="A381" s="1" t="n"/>
      <c r="B381" s="21" t="n"/>
      <c r="C381" s="22" t="n"/>
      <c r="D381" s="23" t="n"/>
      <c r="E381" s="24" t="n"/>
      <c r="F381" s="25" t="n"/>
      <c r="G381" s="25" t="n"/>
      <c r="H381" s="24" t="n"/>
      <c r="I381" s="25" t="n"/>
      <c r="J381" s="17">
        <f>IF(AND(C381="",D381="",G381=""),"",IF(NOT(ISNUMBER(B381)),"Needs a date",IF(AND(D381&lt;&gt;"",NOT(ISNUMBER(D381))),"Amount not a number",IF(N(D381)&lt;0,"Amount below zero",IF(AND(N(D381)=0,G381=""),"Needs an amount or goods",IF(C381="","",IF(COUNTIF(Donors!$B$6:$B$305,C381)=0,"Not on Donors","")))))))</f>
        <v/>
      </c>
      <c r="K381" s="1">
        <f>IF(ISNUMBER(B381),YEAR(B381),"")</f>
        <v/>
      </c>
      <c r="L381">
        <f>IF(ISNUMBER(B381),YEAR(B381)*100+MONTH(B381),"")</f>
        <v/>
      </c>
      <c r="M381">
        <f>IF(ISNUMBER(B381),INT(B381),0)</f>
        <v/>
      </c>
      <c r="N381">
        <f>IF(OR(C381="",F381="",Q381=0),0,IF(COUNTIFS(C$6:C381,C381,F$6:F381,F381,Q$6:Q381,1)=1,1,0))</f>
        <v/>
      </c>
      <c r="O381">
        <f>IF(OR(C381="",Q381=0,H381&lt;&gt;""),"",M381*10000+ROW())</f>
        <v/>
      </c>
      <c r="P381">
        <f>IF(OR(C381="",Q381=0),"",IF(AND(C381=Statement!$C$4,K381=Statement!$C$5),M381*10000+ROW(),""))</f>
        <v/>
      </c>
      <c r="Q381">
        <f>IF(AND(ISNUMBER(B381),OR(N(D381)&gt;0,G381&lt;&gt;"")),1,0)</f>
        <v/>
      </c>
    </row>
    <row r="382">
      <c r="A382" s="1" t="n"/>
      <c r="B382" s="21" t="n"/>
      <c r="C382" s="22" t="n"/>
      <c r="D382" s="23" t="n"/>
      <c r="E382" s="24" t="n"/>
      <c r="F382" s="25" t="n"/>
      <c r="G382" s="25" t="n"/>
      <c r="H382" s="24" t="n"/>
      <c r="I382" s="25" t="n"/>
      <c r="J382" s="17">
        <f>IF(AND(C382="",D382="",G382=""),"",IF(NOT(ISNUMBER(B382)),"Needs a date",IF(AND(D382&lt;&gt;"",NOT(ISNUMBER(D382))),"Amount not a number",IF(N(D382)&lt;0,"Amount below zero",IF(AND(N(D382)=0,G382=""),"Needs an amount or goods",IF(C382="","",IF(COUNTIF(Donors!$B$6:$B$305,C382)=0,"Not on Donors","")))))))</f>
        <v/>
      </c>
      <c r="K382" s="1">
        <f>IF(ISNUMBER(B382),YEAR(B382),"")</f>
        <v/>
      </c>
      <c r="L382">
        <f>IF(ISNUMBER(B382),YEAR(B382)*100+MONTH(B382),"")</f>
        <v/>
      </c>
      <c r="M382">
        <f>IF(ISNUMBER(B382),INT(B382),0)</f>
        <v/>
      </c>
      <c r="N382">
        <f>IF(OR(C382="",F382="",Q382=0),0,IF(COUNTIFS(C$6:C382,C382,F$6:F382,F382,Q$6:Q382,1)=1,1,0))</f>
        <v/>
      </c>
      <c r="O382">
        <f>IF(OR(C382="",Q382=0,H382&lt;&gt;""),"",M382*10000+ROW())</f>
        <v/>
      </c>
      <c r="P382">
        <f>IF(OR(C382="",Q382=0),"",IF(AND(C382=Statement!$C$4,K382=Statement!$C$5),M382*10000+ROW(),""))</f>
        <v/>
      </c>
      <c r="Q382">
        <f>IF(AND(ISNUMBER(B382),OR(N(D382)&gt;0,G382&lt;&gt;"")),1,0)</f>
        <v/>
      </c>
    </row>
    <row r="383">
      <c r="A383" s="1" t="n"/>
      <c r="B383" s="21" t="n"/>
      <c r="C383" s="22" t="n"/>
      <c r="D383" s="23" t="n"/>
      <c r="E383" s="24" t="n"/>
      <c r="F383" s="25" t="n"/>
      <c r="G383" s="25" t="n"/>
      <c r="H383" s="24" t="n"/>
      <c r="I383" s="25" t="n"/>
      <c r="J383" s="17">
        <f>IF(AND(C383="",D383="",G383=""),"",IF(NOT(ISNUMBER(B383)),"Needs a date",IF(AND(D383&lt;&gt;"",NOT(ISNUMBER(D383))),"Amount not a number",IF(N(D383)&lt;0,"Amount below zero",IF(AND(N(D383)=0,G383=""),"Needs an amount or goods",IF(C383="","",IF(COUNTIF(Donors!$B$6:$B$305,C383)=0,"Not on Donors","")))))))</f>
        <v/>
      </c>
      <c r="K383" s="1">
        <f>IF(ISNUMBER(B383),YEAR(B383),"")</f>
        <v/>
      </c>
      <c r="L383">
        <f>IF(ISNUMBER(B383),YEAR(B383)*100+MONTH(B383),"")</f>
        <v/>
      </c>
      <c r="M383">
        <f>IF(ISNUMBER(B383),INT(B383),0)</f>
        <v/>
      </c>
      <c r="N383">
        <f>IF(OR(C383="",F383="",Q383=0),0,IF(COUNTIFS(C$6:C383,C383,F$6:F383,F383,Q$6:Q383,1)=1,1,0))</f>
        <v/>
      </c>
      <c r="O383">
        <f>IF(OR(C383="",Q383=0,H383&lt;&gt;""),"",M383*10000+ROW())</f>
        <v/>
      </c>
      <c r="P383">
        <f>IF(OR(C383="",Q383=0),"",IF(AND(C383=Statement!$C$4,K383=Statement!$C$5),M383*10000+ROW(),""))</f>
        <v/>
      </c>
      <c r="Q383">
        <f>IF(AND(ISNUMBER(B383),OR(N(D383)&gt;0,G383&lt;&gt;"")),1,0)</f>
        <v/>
      </c>
    </row>
    <row r="384">
      <c r="A384" s="1" t="n"/>
      <c r="B384" s="21" t="n"/>
      <c r="C384" s="22" t="n"/>
      <c r="D384" s="23" t="n"/>
      <c r="E384" s="24" t="n"/>
      <c r="F384" s="25" t="n"/>
      <c r="G384" s="25" t="n"/>
      <c r="H384" s="24" t="n"/>
      <c r="I384" s="25" t="n"/>
      <c r="J384" s="17">
        <f>IF(AND(C384="",D384="",G384=""),"",IF(NOT(ISNUMBER(B384)),"Needs a date",IF(AND(D384&lt;&gt;"",NOT(ISNUMBER(D384))),"Amount not a number",IF(N(D384)&lt;0,"Amount below zero",IF(AND(N(D384)=0,G384=""),"Needs an amount or goods",IF(C384="","",IF(COUNTIF(Donors!$B$6:$B$305,C384)=0,"Not on Donors","")))))))</f>
        <v/>
      </c>
      <c r="K384" s="1">
        <f>IF(ISNUMBER(B384),YEAR(B384),"")</f>
        <v/>
      </c>
      <c r="L384">
        <f>IF(ISNUMBER(B384),YEAR(B384)*100+MONTH(B384),"")</f>
        <v/>
      </c>
      <c r="M384">
        <f>IF(ISNUMBER(B384),INT(B384),0)</f>
        <v/>
      </c>
      <c r="N384">
        <f>IF(OR(C384="",F384="",Q384=0),0,IF(COUNTIFS(C$6:C384,C384,F$6:F384,F384,Q$6:Q384,1)=1,1,0))</f>
        <v/>
      </c>
      <c r="O384">
        <f>IF(OR(C384="",Q384=0,H384&lt;&gt;""),"",M384*10000+ROW())</f>
        <v/>
      </c>
      <c r="P384">
        <f>IF(OR(C384="",Q384=0),"",IF(AND(C384=Statement!$C$4,K384=Statement!$C$5),M384*10000+ROW(),""))</f>
        <v/>
      </c>
      <c r="Q384">
        <f>IF(AND(ISNUMBER(B384),OR(N(D384)&gt;0,G384&lt;&gt;"")),1,0)</f>
        <v/>
      </c>
    </row>
    <row r="385">
      <c r="A385" s="1" t="n"/>
      <c r="B385" s="21" t="n"/>
      <c r="C385" s="22" t="n"/>
      <c r="D385" s="23" t="n"/>
      <c r="E385" s="24" t="n"/>
      <c r="F385" s="25" t="n"/>
      <c r="G385" s="25" t="n"/>
      <c r="H385" s="24" t="n"/>
      <c r="I385" s="25" t="n"/>
      <c r="J385" s="17">
        <f>IF(AND(C385="",D385="",G385=""),"",IF(NOT(ISNUMBER(B385)),"Needs a date",IF(AND(D385&lt;&gt;"",NOT(ISNUMBER(D385))),"Amount not a number",IF(N(D385)&lt;0,"Amount below zero",IF(AND(N(D385)=0,G385=""),"Needs an amount or goods",IF(C385="","",IF(COUNTIF(Donors!$B$6:$B$305,C385)=0,"Not on Donors","")))))))</f>
        <v/>
      </c>
      <c r="K385" s="1">
        <f>IF(ISNUMBER(B385),YEAR(B385),"")</f>
        <v/>
      </c>
      <c r="L385">
        <f>IF(ISNUMBER(B385),YEAR(B385)*100+MONTH(B385),"")</f>
        <v/>
      </c>
      <c r="M385">
        <f>IF(ISNUMBER(B385),INT(B385),0)</f>
        <v/>
      </c>
      <c r="N385">
        <f>IF(OR(C385="",F385="",Q385=0),0,IF(COUNTIFS(C$6:C385,C385,F$6:F385,F385,Q$6:Q385,1)=1,1,0))</f>
        <v/>
      </c>
      <c r="O385">
        <f>IF(OR(C385="",Q385=0,H385&lt;&gt;""),"",M385*10000+ROW())</f>
        <v/>
      </c>
      <c r="P385">
        <f>IF(OR(C385="",Q385=0),"",IF(AND(C385=Statement!$C$4,K385=Statement!$C$5),M385*10000+ROW(),""))</f>
        <v/>
      </c>
      <c r="Q385">
        <f>IF(AND(ISNUMBER(B385),OR(N(D385)&gt;0,G385&lt;&gt;"")),1,0)</f>
        <v/>
      </c>
    </row>
    <row r="386">
      <c r="A386" s="1" t="n"/>
      <c r="B386" s="21" t="n"/>
      <c r="C386" s="22" t="n"/>
      <c r="D386" s="23" t="n"/>
      <c r="E386" s="24" t="n"/>
      <c r="F386" s="25" t="n"/>
      <c r="G386" s="25" t="n"/>
      <c r="H386" s="24" t="n"/>
      <c r="I386" s="25" t="n"/>
      <c r="J386" s="17">
        <f>IF(AND(C386="",D386="",G386=""),"",IF(NOT(ISNUMBER(B386)),"Needs a date",IF(AND(D386&lt;&gt;"",NOT(ISNUMBER(D386))),"Amount not a number",IF(N(D386)&lt;0,"Amount below zero",IF(AND(N(D386)=0,G386=""),"Needs an amount or goods",IF(C386="","",IF(COUNTIF(Donors!$B$6:$B$305,C386)=0,"Not on Donors","")))))))</f>
        <v/>
      </c>
      <c r="K386" s="1">
        <f>IF(ISNUMBER(B386),YEAR(B386),"")</f>
        <v/>
      </c>
      <c r="L386">
        <f>IF(ISNUMBER(B386),YEAR(B386)*100+MONTH(B386),"")</f>
        <v/>
      </c>
      <c r="M386">
        <f>IF(ISNUMBER(B386),INT(B386),0)</f>
        <v/>
      </c>
      <c r="N386">
        <f>IF(OR(C386="",F386="",Q386=0),0,IF(COUNTIFS(C$6:C386,C386,F$6:F386,F386,Q$6:Q386,1)=1,1,0))</f>
        <v/>
      </c>
      <c r="O386">
        <f>IF(OR(C386="",Q386=0,H386&lt;&gt;""),"",M386*10000+ROW())</f>
        <v/>
      </c>
      <c r="P386">
        <f>IF(OR(C386="",Q386=0),"",IF(AND(C386=Statement!$C$4,K386=Statement!$C$5),M386*10000+ROW(),""))</f>
        <v/>
      </c>
      <c r="Q386">
        <f>IF(AND(ISNUMBER(B386),OR(N(D386)&gt;0,G386&lt;&gt;"")),1,0)</f>
        <v/>
      </c>
    </row>
    <row r="387">
      <c r="A387" s="1" t="n"/>
      <c r="B387" s="21" t="n"/>
      <c r="C387" s="22" t="n"/>
      <c r="D387" s="23" t="n"/>
      <c r="E387" s="24" t="n"/>
      <c r="F387" s="25" t="n"/>
      <c r="G387" s="25" t="n"/>
      <c r="H387" s="24" t="n"/>
      <c r="I387" s="25" t="n"/>
      <c r="J387" s="17">
        <f>IF(AND(C387="",D387="",G387=""),"",IF(NOT(ISNUMBER(B387)),"Needs a date",IF(AND(D387&lt;&gt;"",NOT(ISNUMBER(D387))),"Amount not a number",IF(N(D387)&lt;0,"Amount below zero",IF(AND(N(D387)=0,G387=""),"Needs an amount or goods",IF(C387="","",IF(COUNTIF(Donors!$B$6:$B$305,C387)=0,"Not on Donors","")))))))</f>
        <v/>
      </c>
      <c r="K387" s="1">
        <f>IF(ISNUMBER(B387),YEAR(B387),"")</f>
        <v/>
      </c>
      <c r="L387">
        <f>IF(ISNUMBER(B387),YEAR(B387)*100+MONTH(B387),"")</f>
        <v/>
      </c>
      <c r="M387">
        <f>IF(ISNUMBER(B387),INT(B387),0)</f>
        <v/>
      </c>
      <c r="N387">
        <f>IF(OR(C387="",F387="",Q387=0),0,IF(COUNTIFS(C$6:C387,C387,F$6:F387,F387,Q$6:Q387,1)=1,1,0))</f>
        <v/>
      </c>
      <c r="O387">
        <f>IF(OR(C387="",Q387=0,H387&lt;&gt;""),"",M387*10000+ROW())</f>
        <v/>
      </c>
      <c r="P387">
        <f>IF(OR(C387="",Q387=0),"",IF(AND(C387=Statement!$C$4,K387=Statement!$C$5),M387*10000+ROW(),""))</f>
        <v/>
      </c>
      <c r="Q387">
        <f>IF(AND(ISNUMBER(B387),OR(N(D387)&gt;0,G387&lt;&gt;"")),1,0)</f>
        <v/>
      </c>
    </row>
    <row r="388">
      <c r="A388" s="1" t="n"/>
      <c r="B388" s="21" t="n"/>
      <c r="C388" s="22" t="n"/>
      <c r="D388" s="23" t="n"/>
      <c r="E388" s="24" t="n"/>
      <c r="F388" s="25" t="n"/>
      <c r="G388" s="25" t="n"/>
      <c r="H388" s="24" t="n"/>
      <c r="I388" s="25" t="n"/>
      <c r="J388" s="17">
        <f>IF(AND(C388="",D388="",G388=""),"",IF(NOT(ISNUMBER(B388)),"Needs a date",IF(AND(D388&lt;&gt;"",NOT(ISNUMBER(D388))),"Amount not a number",IF(N(D388)&lt;0,"Amount below zero",IF(AND(N(D388)=0,G388=""),"Needs an amount or goods",IF(C388="","",IF(COUNTIF(Donors!$B$6:$B$305,C388)=0,"Not on Donors","")))))))</f>
        <v/>
      </c>
      <c r="K388" s="1">
        <f>IF(ISNUMBER(B388),YEAR(B388),"")</f>
        <v/>
      </c>
      <c r="L388">
        <f>IF(ISNUMBER(B388),YEAR(B388)*100+MONTH(B388),"")</f>
        <v/>
      </c>
      <c r="M388">
        <f>IF(ISNUMBER(B388),INT(B388),0)</f>
        <v/>
      </c>
      <c r="N388">
        <f>IF(OR(C388="",F388="",Q388=0),0,IF(COUNTIFS(C$6:C388,C388,F$6:F388,F388,Q$6:Q388,1)=1,1,0))</f>
        <v/>
      </c>
      <c r="O388">
        <f>IF(OR(C388="",Q388=0,H388&lt;&gt;""),"",M388*10000+ROW())</f>
        <v/>
      </c>
      <c r="P388">
        <f>IF(OR(C388="",Q388=0),"",IF(AND(C388=Statement!$C$4,K388=Statement!$C$5),M388*10000+ROW(),""))</f>
        <v/>
      </c>
      <c r="Q388">
        <f>IF(AND(ISNUMBER(B388),OR(N(D388)&gt;0,G388&lt;&gt;"")),1,0)</f>
        <v/>
      </c>
    </row>
    <row r="389">
      <c r="A389" s="1" t="n"/>
      <c r="B389" s="21" t="n"/>
      <c r="C389" s="22" t="n"/>
      <c r="D389" s="23" t="n"/>
      <c r="E389" s="24" t="n"/>
      <c r="F389" s="25" t="n"/>
      <c r="G389" s="25" t="n"/>
      <c r="H389" s="24" t="n"/>
      <c r="I389" s="25" t="n"/>
      <c r="J389" s="17">
        <f>IF(AND(C389="",D389="",G389=""),"",IF(NOT(ISNUMBER(B389)),"Needs a date",IF(AND(D389&lt;&gt;"",NOT(ISNUMBER(D389))),"Amount not a number",IF(N(D389)&lt;0,"Amount below zero",IF(AND(N(D389)=0,G389=""),"Needs an amount or goods",IF(C389="","",IF(COUNTIF(Donors!$B$6:$B$305,C389)=0,"Not on Donors","")))))))</f>
        <v/>
      </c>
      <c r="K389" s="1">
        <f>IF(ISNUMBER(B389),YEAR(B389),"")</f>
        <v/>
      </c>
      <c r="L389">
        <f>IF(ISNUMBER(B389),YEAR(B389)*100+MONTH(B389),"")</f>
        <v/>
      </c>
      <c r="M389">
        <f>IF(ISNUMBER(B389),INT(B389),0)</f>
        <v/>
      </c>
      <c r="N389">
        <f>IF(OR(C389="",F389="",Q389=0),0,IF(COUNTIFS(C$6:C389,C389,F$6:F389,F389,Q$6:Q389,1)=1,1,0))</f>
        <v/>
      </c>
      <c r="O389">
        <f>IF(OR(C389="",Q389=0,H389&lt;&gt;""),"",M389*10000+ROW())</f>
        <v/>
      </c>
      <c r="P389">
        <f>IF(OR(C389="",Q389=0),"",IF(AND(C389=Statement!$C$4,K389=Statement!$C$5),M389*10000+ROW(),""))</f>
        <v/>
      </c>
      <c r="Q389">
        <f>IF(AND(ISNUMBER(B389),OR(N(D389)&gt;0,G389&lt;&gt;"")),1,0)</f>
        <v/>
      </c>
    </row>
    <row r="390">
      <c r="A390" s="1" t="n"/>
      <c r="B390" s="21" t="n"/>
      <c r="C390" s="22" t="n"/>
      <c r="D390" s="23" t="n"/>
      <c r="E390" s="24" t="n"/>
      <c r="F390" s="25" t="n"/>
      <c r="G390" s="25" t="n"/>
      <c r="H390" s="24" t="n"/>
      <c r="I390" s="25" t="n"/>
      <c r="J390" s="17">
        <f>IF(AND(C390="",D390="",G390=""),"",IF(NOT(ISNUMBER(B390)),"Needs a date",IF(AND(D390&lt;&gt;"",NOT(ISNUMBER(D390))),"Amount not a number",IF(N(D390)&lt;0,"Amount below zero",IF(AND(N(D390)=0,G390=""),"Needs an amount or goods",IF(C390="","",IF(COUNTIF(Donors!$B$6:$B$305,C390)=0,"Not on Donors","")))))))</f>
        <v/>
      </c>
      <c r="K390" s="1">
        <f>IF(ISNUMBER(B390),YEAR(B390),"")</f>
        <v/>
      </c>
      <c r="L390">
        <f>IF(ISNUMBER(B390),YEAR(B390)*100+MONTH(B390),"")</f>
        <v/>
      </c>
      <c r="M390">
        <f>IF(ISNUMBER(B390),INT(B390),0)</f>
        <v/>
      </c>
      <c r="N390">
        <f>IF(OR(C390="",F390="",Q390=0),0,IF(COUNTIFS(C$6:C390,C390,F$6:F390,F390,Q$6:Q390,1)=1,1,0))</f>
        <v/>
      </c>
      <c r="O390">
        <f>IF(OR(C390="",Q390=0,H390&lt;&gt;""),"",M390*10000+ROW())</f>
        <v/>
      </c>
      <c r="P390">
        <f>IF(OR(C390="",Q390=0),"",IF(AND(C390=Statement!$C$4,K390=Statement!$C$5),M390*10000+ROW(),""))</f>
        <v/>
      </c>
      <c r="Q390">
        <f>IF(AND(ISNUMBER(B390),OR(N(D390)&gt;0,G390&lt;&gt;"")),1,0)</f>
        <v/>
      </c>
    </row>
    <row r="391">
      <c r="A391" s="1" t="n"/>
      <c r="B391" s="21" t="n"/>
      <c r="C391" s="22" t="n"/>
      <c r="D391" s="23" t="n"/>
      <c r="E391" s="24" t="n"/>
      <c r="F391" s="25" t="n"/>
      <c r="G391" s="25" t="n"/>
      <c r="H391" s="24" t="n"/>
      <c r="I391" s="25" t="n"/>
      <c r="J391" s="17">
        <f>IF(AND(C391="",D391="",G391=""),"",IF(NOT(ISNUMBER(B391)),"Needs a date",IF(AND(D391&lt;&gt;"",NOT(ISNUMBER(D391))),"Amount not a number",IF(N(D391)&lt;0,"Amount below zero",IF(AND(N(D391)=0,G391=""),"Needs an amount or goods",IF(C391="","",IF(COUNTIF(Donors!$B$6:$B$305,C391)=0,"Not on Donors","")))))))</f>
        <v/>
      </c>
      <c r="K391" s="1">
        <f>IF(ISNUMBER(B391),YEAR(B391),"")</f>
        <v/>
      </c>
      <c r="L391">
        <f>IF(ISNUMBER(B391),YEAR(B391)*100+MONTH(B391),"")</f>
        <v/>
      </c>
      <c r="M391">
        <f>IF(ISNUMBER(B391),INT(B391),0)</f>
        <v/>
      </c>
      <c r="N391">
        <f>IF(OR(C391="",F391="",Q391=0),0,IF(COUNTIFS(C$6:C391,C391,F$6:F391,F391,Q$6:Q391,1)=1,1,0))</f>
        <v/>
      </c>
      <c r="O391">
        <f>IF(OR(C391="",Q391=0,H391&lt;&gt;""),"",M391*10000+ROW())</f>
        <v/>
      </c>
      <c r="P391">
        <f>IF(OR(C391="",Q391=0),"",IF(AND(C391=Statement!$C$4,K391=Statement!$C$5),M391*10000+ROW(),""))</f>
        <v/>
      </c>
      <c r="Q391">
        <f>IF(AND(ISNUMBER(B391),OR(N(D391)&gt;0,G391&lt;&gt;"")),1,0)</f>
        <v/>
      </c>
    </row>
    <row r="392">
      <c r="A392" s="1" t="n"/>
      <c r="B392" s="21" t="n"/>
      <c r="C392" s="22" t="n"/>
      <c r="D392" s="23" t="n"/>
      <c r="E392" s="24" t="n"/>
      <c r="F392" s="25" t="n"/>
      <c r="G392" s="25" t="n"/>
      <c r="H392" s="24" t="n"/>
      <c r="I392" s="25" t="n"/>
      <c r="J392" s="17">
        <f>IF(AND(C392="",D392="",G392=""),"",IF(NOT(ISNUMBER(B392)),"Needs a date",IF(AND(D392&lt;&gt;"",NOT(ISNUMBER(D392))),"Amount not a number",IF(N(D392)&lt;0,"Amount below zero",IF(AND(N(D392)=0,G392=""),"Needs an amount or goods",IF(C392="","",IF(COUNTIF(Donors!$B$6:$B$305,C392)=0,"Not on Donors","")))))))</f>
        <v/>
      </c>
      <c r="K392" s="1">
        <f>IF(ISNUMBER(B392),YEAR(B392),"")</f>
        <v/>
      </c>
      <c r="L392">
        <f>IF(ISNUMBER(B392),YEAR(B392)*100+MONTH(B392),"")</f>
        <v/>
      </c>
      <c r="M392">
        <f>IF(ISNUMBER(B392),INT(B392),0)</f>
        <v/>
      </c>
      <c r="N392">
        <f>IF(OR(C392="",F392="",Q392=0),0,IF(COUNTIFS(C$6:C392,C392,F$6:F392,F392,Q$6:Q392,1)=1,1,0))</f>
        <v/>
      </c>
      <c r="O392">
        <f>IF(OR(C392="",Q392=0,H392&lt;&gt;""),"",M392*10000+ROW())</f>
        <v/>
      </c>
      <c r="P392">
        <f>IF(OR(C392="",Q392=0),"",IF(AND(C392=Statement!$C$4,K392=Statement!$C$5),M392*10000+ROW(),""))</f>
        <v/>
      </c>
      <c r="Q392">
        <f>IF(AND(ISNUMBER(B392),OR(N(D392)&gt;0,G392&lt;&gt;"")),1,0)</f>
        <v/>
      </c>
    </row>
    <row r="393">
      <c r="A393" s="1" t="n"/>
      <c r="B393" s="21" t="n"/>
      <c r="C393" s="22" t="n"/>
      <c r="D393" s="23" t="n"/>
      <c r="E393" s="24" t="n"/>
      <c r="F393" s="25" t="n"/>
      <c r="G393" s="25" t="n"/>
      <c r="H393" s="24" t="n"/>
      <c r="I393" s="25" t="n"/>
      <c r="J393" s="17">
        <f>IF(AND(C393="",D393="",G393=""),"",IF(NOT(ISNUMBER(B393)),"Needs a date",IF(AND(D393&lt;&gt;"",NOT(ISNUMBER(D393))),"Amount not a number",IF(N(D393)&lt;0,"Amount below zero",IF(AND(N(D393)=0,G393=""),"Needs an amount or goods",IF(C393="","",IF(COUNTIF(Donors!$B$6:$B$305,C393)=0,"Not on Donors","")))))))</f>
        <v/>
      </c>
      <c r="K393" s="1">
        <f>IF(ISNUMBER(B393),YEAR(B393),"")</f>
        <v/>
      </c>
      <c r="L393">
        <f>IF(ISNUMBER(B393),YEAR(B393)*100+MONTH(B393),"")</f>
        <v/>
      </c>
      <c r="M393">
        <f>IF(ISNUMBER(B393),INT(B393),0)</f>
        <v/>
      </c>
      <c r="N393">
        <f>IF(OR(C393="",F393="",Q393=0),0,IF(COUNTIFS(C$6:C393,C393,F$6:F393,F393,Q$6:Q393,1)=1,1,0))</f>
        <v/>
      </c>
      <c r="O393">
        <f>IF(OR(C393="",Q393=0,H393&lt;&gt;""),"",M393*10000+ROW())</f>
        <v/>
      </c>
      <c r="P393">
        <f>IF(OR(C393="",Q393=0),"",IF(AND(C393=Statement!$C$4,K393=Statement!$C$5),M393*10000+ROW(),""))</f>
        <v/>
      </c>
      <c r="Q393">
        <f>IF(AND(ISNUMBER(B393),OR(N(D393)&gt;0,G393&lt;&gt;"")),1,0)</f>
        <v/>
      </c>
    </row>
    <row r="394">
      <c r="A394" s="1" t="n"/>
      <c r="B394" s="21" t="n"/>
      <c r="C394" s="22" t="n"/>
      <c r="D394" s="23" t="n"/>
      <c r="E394" s="24" t="n"/>
      <c r="F394" s="25" t="n"/>
      <c r="G394" s="25" t="n"/>
      <c r="H394" s="24" t="n"/>
      <c r="I394" s="25" t="n"/>
      <c r="J394" s="17">
        <f>IF(AND(C394="",D394="",G394=""),"",IF(NOT(ISNUMBER(B394)),"Needs a date",IF(AND(D394&lt;&gt;"",NOT(ISNUMBER(D394))),"Amount not a number",IF(N(D394)&lt;0,"Amount below zero",IF(AND(N(D394)=0,G394=""),"Needs an amount or goods",IF(C394="","",IF(COUNTIF(Donors!$B$6:$B$305,C394)=0,"Not on Donors","")))))))</f>
        <v/>
      </c>
      <c r="K394" s="1">
        <f>IF(ISNUMBER(B394),YEAR(B394),"")</f>
        <v/>
      </c>
      <c r="L394">
        <f>IF(ISNUMBER(B394),YEAR(B394)*100+MONTH(B394),"")</f>
        <v/>
      </c>
      <c r="M394">
        <f>IF(ISNUMBER(B394),INT(B394),0)</f>
        <v/>
      </c>
      <c r="N394">
        <f>IF(OR(C394="",F394="",Q394=0),0,IF(COUNTIFS(C$6:C394,C394,F$6:F394,F394,Q$6:Q394,1)=1,1,0))</f>
        <v/>
      </c>
      <c r="O394">
        <f>IF(OR(C394="",Q394=0,H394&lt;&gt;""),"",M394*10000+ROW())</f>
        <v/>
      </c>
      <c r="P394">
        <f>IF(OR(C394="",Q394=0),"",IF(AND(C394=Statement!$C$4,K394=Statement!$C$5),M394*10000+ROW(),""))</f>
        <v/>
      </c>
      <c r="Q394">
        <f>IF(AND(ISNUMBER(B394),OR(N(D394)&gt;0,G394&lt;&gt;"")),1,0)</f>
        <v/>
      </c>
    </row>
    <row r="395">
      <c r="A395" s="1" t="n"/>
      <c r="B395" s="21" t="n"/>
      <c r="C395" s="22" t="n"/>
      <c r="D395" s="23" t="n"/>
      <c r="E395" s="24" t="n"/>
      <c r="F395" s="25" t="n"/>
      <c r="G395" s="25" t="n"/>
      <c r="H395" s="24" t="n"/>
      <c r="I395" s="25" t="n"/>
      <c r="J395" s="17">
        <f>IF(AND(C395="",D395="",G395=""),"",IF(NOT(ISNUMBER(B395)),"Needs a date",IF(AND(D395&lt;&gt;"",NOT(ISNUMBER(D395))),"Amount not a number",IF(N(D395)&lt;0,"Amount below zero",IF(AND(N(D395)=0,G395=""),"Needs an amount or goods",IF(C395="","",IF(COUNTIF(Donors!$B$6:$B$305,C395)=0,"Not on Donors","")))))))</f>
        <v/>
      </c>
      <c r="K395" s="1">
        <f>IF(ISNUMBER(B395),YEAR(B395),"")</f>
        <v/>
      </c>
      <c r="L395">
        <f>IF(ISNUMBER(B395),YEAR(B395)*100+MONTH(B395),"")</f>
        <v/>
      </c>
      <c r="M395">
        <f>IF(ISNUMBER(B395),INT(B395),0)</f>
        <v/>
      </c>
      <c r="N395">
        <f>IF(OR(C395="",F395="",Q395=0),0,IF(COUNTIFS(C$6:C395,C395,F$6:F395,F395,Q$6:Q395,1)=1,1,0))</f>
        <v/>
      </c>
      <c r="O395">
        <f>IF(OR(C395="",Q395=0,H395&lt;&gt;""),"",M395*10000+ROW())</f>
        <v/>
      </c>
      <c r="P395">
        <f>IF(OR(C395="",Q395=0),"",IF(AND(C395=Statement!$C$4,K395=Statement!$C$5),M395*10000+ROW(),""))</f>
        <v/>
      </c>
      <c r="Q395">
        <f>IF(AND(ISNUMBER(B395),OR(N(D395)&gt;0,G395&lt;&gt;"")),1,0)</f>
        <v/>
      </c>
    </row>
    <row r="396">
      <c r="A396" s="1" t="n"/>
      <c r="B396" s="21" t="n"/>
      <c r="C396" s="22" t="n"/>
      <c r="D396" s="23" t="n"/>
      <c r="E396" s="24" t="n"/>
      <c r="F396" s="25" t="n"/>
      <c r="G396" s="25" t="n"/>
      <c r="H396" s="24" t="n"/>
      <c r="I396" s="25" t="n"/>
      <c r="J396" s="17">
        <f>IF(AND(C396="",D396="",G396=""),"",IF(NOT(ISNUMBER(B396)),"Needs a date",IF(AND(D396&lt;&gt;"",NOT(ISNUMBER(D396))),"Amount not a number",IF(N(D396)&lt;0,"Amount below zero",IF(AND(N(D396)=0,G396=""),"Needs an amount or goods",IF(C396="","",IF(COUNTIF(Donors!$B$6:$B$305,C396)=0,"Not on Donors","")))))))</f>
        <v/>
      </c>
      <c r="K396" s="1">
        <f>IF(ISNUMBER(B396),YEAR(B396),"")</f>
        <v/>
      </c>
      <c r="L396">
        <f>IF(ISNUMBER(B396),YEAR(B396)*100+MONTH(B396),"")</f>
        <v/>
      </c>
      <c r="M396">
        <f>IF(ISNUMBER(B396),INT(B396),0)</f>
        <v/>
      </c>
      <c r="N396">
        <f>IF(OR(C396="",F396="",Q396=0),0,IF(COUNTIFS(C$6:C396,C396,F$6:F396,F396,Q$6:Q396,1)=1,1,0))</f>
        <v/>
      </c>
      <c r="O396">
        <f>IF(OR(C396="",Q396=0,H396&lt;&gt;""),"",M396*10000+ROW())</f>
        <v/>
      </c>
      <c r="P396">
        <f>IF(OR(C396="",Q396=0),"",IF(AND(C396=Statement!$C$4,K396=Statement!$C$5),M396*10000+ROW(),""))</f>
        <v/>
      </c>
      <c r="Q396">
        <f>IF(AND(ISNUMBER(B396),OR(N(D396)&gt;0,G396&lt;&gt;"")),1,0)</f>
        <v/>
      </c>
    </row>
    <row r="397">
      <c r="A397" s="1" t="n"/>
      <c r="B397" s="21" t="n"/>
      <c r="C397" s="22" t="n"/>
      <c r="D397" s="23" t="n"/>
      <c r="E397" s="24" t="n"/>
      <c r="F397" s="25" t="n"/>
      <c r="G397" s="25" t="n"/>
      <c r="H397" s="24" t="n"/>
      <c r="I397" s="25" t="n"/>
      <c r="J397" s="17">
        <f>IF(AND(C397="",D397="",G397=""),"",IF(NOT(ISNUMBER(B397)),"Needs a date",IF(AND(D397&lt;&gt;"",NOT(ISNUMBER(D397))),"Amount not a number",IF(N(D397)&lt;0,"Amount below zero",IF(AND(N(D397)=0,G397=""),"Needs an amount or goods",IF(C397="","",IF(COUNTIF(Donors!$B$6:$B$305,C397)=0,"Not on Donors","")))))))</f>
        <v/>
      </c>
      <c r="K397" s="1">
        <f>IF(ISNUMBER(B397),YEAR(B397),"")</f>
        <v/>
      </c>
      <c r="L397">
        <f>IF(ISNUMBER(B397),YEAR(B397)*100+MONTH(B397),"")</f>
        <v/>
      </c>
      <c r="M397">
        <f>IF(ISNUMBER(B397),INT(B397),0)</f>
        <v/>
      </c>
      <c r="N397">
        <f>IF(OR(C397="",F397="",Q397=0),0,IF(COUNTIFS(C$6:C397,C397,F$6:F397,F397,Q$6:Q397,1)=1,1,0))</f>
        <v/>
      </c>
      <c r="O397">
        <f>IF(OR(C397="",Q397=0,H397&lt;&gt;""),"",M397*10000+ROW())</f>
        <v/>
      </c>
      <c r="P397">
        <f>IF(OR(C397="",Q397=0),"",IF(AND(C397=Statement!$C$4,K397=Statement!$C$5),M397*10000+ROW(),""))</f>
        <v/>
      </c>
      <c r="Q397">
        <f>IF(AND(ISNUMBER(B397),OR(N(D397)&gt;0,G397&lt;&gt;"")),1,0)</f>
        <v/>
      </c>
    </row>
    <row r="398">
      <c r="A398" s="1" t="n"/>
      <c r="B398" s="21" t="n"/>
      <c r="C398" s="22" t="n"/>
      <c r="D398" s="23" t="n"/>
      <c r="E398" s="24" t="n"/>
      <c r="F398" s="25" t="n"/>
      <c r="G398" s="25" t="n"/>
      <c r="H398" s="24" t="n"/>
      <c r="I398" s="25" t="n"/>
      <c r="J398" s="17">
        <f>IF(AND(C398="",D398="",G398=""),"",IF(NOT(ISNUMBER(B398)),"Needs a date",IF(AND(D398&lt;&gt;"",NOT(ISNUMBER(D398))),"Amount not a number",IF(N(D398)&lt;0,"Amount below zero",IF(AND(N(D398)=0,G398=""),"Needs an amount or goods",IF(C398="","",IF(COUNTIF(Donors!$B$6:$B$305,C398)=0,"Not on Donors","")))))))</f>
        <v/>
      </c>
      <c r="K398" s="1">
        <f>IF(ISNUMBER(B398),YEAR(B398),"")</f>
        <v/>
      </c>
      <c r="L398">
        <f>IF(ISNUMBER(B398),YEAR(B398)*100+MONTH(B398),"")</f>
        <v/>
      </c>
      <c r="M398">
        <f>IF(ISNUMBER(B398),INT(B398),0)</f>
        <v/>
      </c>
      <c r="N398">
        <f>IF(OR(C398="",F398="",Q398=0),0,IF(COUNTIFS(C$6:C398,C398,F$6:F398,F398,Q$6:Q398,1)=1,1,0))</f>
        <v/>
      </c>
      <c r="O398">
        <f>IF(OR(C398="",Q398=0,H398&lt;&gt;""),"",M398*10000+ROW())</f>
        <v/>
      </c>
      <c r="P398">
        <f>IF(OR(C398="",Q398=0),"",IF(AND(C398=Statement!$C$4,K398=Statement!$C$5),M398*10000+ROW(),""))</f>
        <v/>
      </c>
      <c r="Q398">
        <f>IF(AND(ISNUMBER(B398),OR(N(D398)&gt;0,G398&lt;&gt;"")),1,0)</f>
        <v/>
      </c>
    </row>
    <row r="399">
      <c r="A399" s="1" t="n"/>
      <c r="B399" s="21" t="n"/>
      <c r="C399" s="22" t="n"/>
      <c r="D399" s="23" t="n"/>
      <c r="E399" s="24" t="n"/>
      <c r="F399" s="25" t="n"/>
      <c r="G399" s="25" t="n"/>
      <c r="H399" s="24" t="n"/>
      <c r="I399" s="25" t="n"/>
      <c r="J399" s="17">
        <f>IF(AND(C399="",D399="",G399=""),"",IF(NOT(ISNUMBER(B399)),"Needs a date",IF(AND(D399&lt;&gt;"",NOT(ISNUMBER(D399))),"Amount not a number",IF(N(D399)&lt;0,"Amount below zero",IF(AND(N(D399)=0,G399=""),"Needs an amount or goods",IF(C399="","",IF(COUNTIF(Donors!$B$6:$B$305,C399)=0,"Not on Donors","")))))))</f>
        <v/>
      </c>
      <c r="K399" s="1">
        <f>IF(ISNUMBER(B399),YEAR(B399),"")</f>
        <v/>
      </c>
      <c r="L399">
        <f>IF(ISNUMBER(B399),YEAR(B399)*100+MONTH(B399),"")</f>
        <v/>
      </c>
      <c r="M399">
        <f>IF(ISNUMBER(B399),INT(B399),0)</f>
        <v/>
      </c>
      <c r="N399">
        <f>IF(OR(C399="",F399="",Q399=0),0,IF(COUNTIFS(C$6:C399,C399,F$6:F399,F399,Q$6:Q399,1)=1,1,0))</f>
        <v/>
      </c>
      <c r="O399">
        <f>IF(OR(C399="",Q399=0,H399&lt;&gt;""),"",M399*10000+ROW())</f>
        <v/>
      </c>
      <c r="P399">
        <f>IF(OR(C399="",Q399=0),"",IF(AND(C399=Statement!$C$4,K399=Statement!$C$5),M399*10000+ROW(),""))</f>
        <v/>
      </c>
      <c r="Q399">
        <f>IF(AND(ISNUMBER(B399),OR(N(D399)&gt;0,G399&lt;&gt;"")),1,0)</f>
        <v/>
      </c>
    </row>
    <row r="400">
      <c r="A400" s="1" t="n"/>
      <c r="B400" s="21" t="n"/>
      <c r="C400" s="22" t="n"/>
      <c r="D400" s="23" t="n"/>
      <c r="E400" s="24" t="n"/>
      <c r="F400" s="25" t="n"/>
      <c r="G400" s="25" t="n"/>
      <c r="H400" s="24" t="n"/>
      <c r="I400" s="25" t="n"/>
      <c r="J400" s="17">
        <f>IF(AND(C400="",D400="",G400=""),"",IF(NOT(ISNUMBER(B400)),"Needs a date",IF(AND(D400&lt;&gt;"",NOT(ISNUMBER(D400))),"Amount not a number",IF(N(D400)&lt;0,"Amount below zero",IF(AND(N(D400)=0,G400=""),"Needs an amount or goods",IF(C400="","",IF(COUNTIF(Donors!$B$6:$B$305,C400)=0,"Not on Donors","")))))))</f>
        <v/>
      </c>
      <c r="K400" s="1">
        <f>IF(ISNUMBER(B400),YEAR(B400),"")</f>
        <v/>
      </c>
      <c r="L400">
        <f>IF(ISNUMBER(B400),YEAR(B400)*100+MONTH(B400),"")</f>
        <v/>
      </c>
      <c r="M400">
        <f>IF(ISNUMBER(B400),INT(B400),0)</f>
        <v/>
      </c>
      <c r="N400">
        <f>IF(OR(C400="",F400="",Q400=0),0,IF(COUNTIFS(C$6:C400,C400,F$6:F400,F400,Q$6:Q400,1)=1,1,0))</f>
        <v/>
      </c>
      <c r="O400">
        <f>IF(OR(C400="",Q400=0,H400&lt;&gt;""),"",M400*10000+ROW())</f>
        <v/>
      </c>
      <c r="P400">
        <f>IF(OR(C400="",Q400=0),"",IF(AND(C400=Statement!$C$4,K400=Statement!$C$5),M400*10000+ROW(),""))</f>
        <v/>
      </c>
      <c r="Q400">
        <f>IF(AND(ISNUMBER(B400),OR(N(D400)&gt;0,G400&lt;&gt;"")),1,0)</f>
        <v/>
      </c>
    </row>
    <row r="401">
      <c r="A401" s="1" t="n"/>
      <c r="B401" s="21" t="n"/>
      <c r="C401" s="22" t="n"/>
      <c r="D401" s="23" t="n"/>
      <c r="E401" s="24" t="n"/>
      <c r="F401" s="25" t="n"/>
      <c r="G401" s="25" t="n"/>
      <c r="H401" s="24" t="n"/>
      <c r="I401" s="25" t="n"/>
      <c r="J401" s="17">
        <f>IF(AND(C401="",D401="",G401=""),"",IF(NOT(ISNUMBER(B401)),"Needs a date",IF(AND(D401&lt;&gt;"",NOT(ISNUMBER(D401))),"Amount not a number",IF(N(D401)&lt;0,"Amount below zero",IF(AND(N(D401)=0,G401=""),"Needs an amount or goods",IF(C401="","",IF(COUNTIF(Donors!$B$6:$B$305,C401)=0,"Not on Donors","")))))))</f>
        <v/>
      </c>
      <c r="K401" s="1">
        <f>IF(ISNUMBER(B401),YEAR(B401),"")</f>
        <v/>
      </c>
      <c r="L401">
        <f>IF(ISNUMBER(B401),YEAR(B401)*100+MONTH(B401),"")</f>
        <v/>
      </c>
      <c r="M401">
        <f>IF(ISNUMBER(B401),INT(B401),0)</f>
        <v/>
      </c>
      <c r="N401">
        <f>IF(OR(C401="",F401="",Q401=0),0,IF(COUNTIFS(C$6:C401,C401,F$6:F401,F401,Q$6:Q401,1)=1,1,0))</f>
        <v/>
      </c>
      <c r="O401">
        <f>IF(OR(C401="",Q401=0,H401&lt;&gt;""),"",M401*10000+ROW())</f>
        <v/>
      </c>
      <c r="P401">
        <f>IF(OR(C401="",Q401=0),"",IF(AND(C401=Statement!$C$4,K401=Statement!$C$5),M401*10000+ROW(),""))</f>
        <v/>
      </c>
      <c r="Q401">
        <f>IF(AND(ISNUMBER(B401),OR(N(D401)&gt;0,G401&lt;&gt;"")),1,0)</f>
        <v/>
      </c>
    </row>
    <row r="402">
      <c r="A402" s="1" t="n"/>
      <c r="B402" s="21" t="n"/>
      <c r="C402" s="22" t="n"/>
      <c r="D402" s="23" t="n"/>
      <c r="E402" s="24" t="n"/>
      <c r="F402" s="25" t="n"/>
      <c r="G402" s="25" t="n"/>
      <c r="H402" s="24" t="n"/>
      <c r="I402" s="25" t="n"/>
      <c r="J402" s="17">
        <f>IF(AND(C402="",D402="",G402=""),"",IF(NOT(ISNUMBER(B402)),"Needs a date",IF(AND(D402&lt;&gt;"",NOT(ISNUMBER(D402))),"Amount not a number",IF(N(D402)&lt;0,"Amount below zero",IF(AND(N(D402)=0,G402=""),"Needs an amount or goods",IF(C402="","",IF(COUNTIF(Donors!$B$6:$B$305,C402)=0,"Not on Donors","")))))))</f>
        <v/>
      </c>
      <c r="K402" s="1">
        <f>IF(ISNUMBER(B402),YEAR(B402),"")</f>
        <v/>
      </c>
      <c r="L402">
        <f>IF(ISNUMBER(B402),YEAR(B402)*100+MONTH(B402),"")</f>
        <v/>
      </c>
      <c r="M402">
        <f>IF(ISNUMBER(B402),INT(B402),0)</f>
        <v/>
      </c>
      <c r="N402">
        <f>IF(OR(C402="",F402="",Q402=0),0,IF(COUNTIFS(C$6:C402,C402,F$6:F402,F402,Q$6:Q402,1)=1,1,0))</f>
        <v/>
      </c>
      <c r="O402">
        <f>IF(OR(C402="",Q402=0,H402&lt;&gt;""),"",M402*10000+ROW())</f>
        <v/>
      </c>
      <c r="P402">
        <f>IF(OR(C402="",Q402=0),"",IF(AND(C402=Statement!$C$4,K402=Statement!$C$5),M402*10000+ROW(),""))</f>
        <v/>
      </c>
      <c r="Q402">
        <f>IF(AND(ISNUMBER(B402),OR(N(D402)&gt;0,G402&lt;&gt;"")),1,0)</f>
        <v/>
      </c>
    </row>
    <row r="403">
      <c r="A403" s="1" t="n"/>
      <c r="B403" s="21" t="n"/>
      <c r="C403" s="22" t="n"/>
      <c r="D403" s="23" t="n"/>
      <c r="E403" s="24" t="n"/>
      <c r="F403" s="25" t="n"/>
      <c r="G403" s="25" t="n"/>
      <c r="H403" s="24" t="n"/>
      <c r="I403" s="25" t="n"/>
      <c r="J403" s="17">
        <f>IF(AND(C403="",D403="",G403=""),"",IF(NOT(ISNUMBER(B403)),"Needs a date",IF(AND(D403&lt;&gt;"",NOT(ISNUMBER(D403))),"Amount not a number",IF(N(D403)&lt;0,"Amount below zero",IF(AND(N(D403)=0,G403=""),"Needs an amount or goods",IF(C403="","",IF(COUNTIF(Donors!$B$6:$B$305,C403)=0,"Not on Donors","")))))))</f>
        <v/>
      </c>
      <c r="K403" s="1">
        <f>IF(ISNUMBER(B403),YEAR(B403),"")</f>
        <v/>
      </c>
      <c r="L403">
        <f>IF(ISNUMBER(B403),YEAR(B403)*100+MONTH(B403),"")</f>
        <v/>
      </c>
      <c r="M403">
        <f>IF(ISNUMBER(B403),INT(B403),0)</f>
        <v/>
      </c>
      <c r="N403">
        <f>IF(OR(C403="",F403="",Q403=0),0,IF(COUNTIFS(C$6:C403,C403,F$6:F403,F403,Q$6:Q403,1)=1,1,0))</f>
        <v/>
      </c>
      <c r="O403">
        <f>IF(OR(C403="",Q403=0,H403&lt;&gt;""),"",M403*10000+ROW())</f>
        <v/>
      </c>
      <c r="P403">
        <f>IF(OR(C403="",Q403=0),"",IF(AND(C403=Statement!$C$4,K403=Statement!$C$5),M403*10000+ROW(),""))</f>
        <v/>
      </c>
      <c r="Q403">
        <f>IF(AND(ISNUMBER(B403),OR(N(D403)&gt;0,G403&lt;&gt;"")),1,0)</f>
        <v/>
      </c>
    </row>
    <row r="404">
      <c r="A404" s="1" t="n"/>
      <c r="B404" s="21" t="n"/>
      <c r="C404" s="22" t="n"/>
      <c r="D404" s="23" t="n"/>
      <c r="E404" s="24" t="n"/>
      <c r="F404" s="25" t="n"/>
      <c r="G404" s="25" t="n"/>
      <c r="H404" s="24" t="n"/>
      <c r="I404" s="25" t="n"/>
      <c r="J404" s="17">
        <f>IF(AND(C404="",D404="",G404=""),"",IF(NOT(ISNUMBER(B404)),"Needs a date",IF(AND(D404&lt;&gt;"",NOT(ISNUMBER(D404))),"Amount not a number",IF(N(D404)&lt;0,"Amount below zero",IF(AND(N(D404)=0,G404=""),"Needs an amount or goods",IF(C404="","",IF(COUNTIF(Donors!$B$6:$B$305,C404)=0,"Not on Donors","")))))))</f>
        <v/>
      </c>
      <c r="K404" s="1">
        <f>IF(ISNUMBER(B404),YEAR(B404),"")</f>
        <v/>
      </c>
      <c r="L404">
        <f>IF(ISNUMBER(B404),YEAR(B404)*100+MONTH(B404),"")</f>
        <v/>
      </c>
      <c r="M404">
        <f>IF(ISNUMBER(B404),INT(B404),0)</f>
        <v/>
      </c>
      <c r="N404">
        <f>IF(OR(C404="",F404="",Q404=0),0,IF(COUNTIFS(C$6:C404,C404,F$6:F404,F404,Q$6:Q404,1)=1,1,0))</f>
        <v/>
      </c>
      <c r="O404">
        <f>IF(OR(C404="",Q404=0,H404&lt;&gt;""),"",M404*10000+ROW())</f>
        <v/>
      </c>
      <c r="P404">
        <f>IF(OR(C404="",Q404=0),"",IF(AND(C404=Statement!$C$4,K404=Statement!$C$5),M404*10000+ROW(),""))</f>
        <v/>
      </c>
      <c r="Q404">
        <f>IF(AND(ISNUMBER(B404),OR(N(D404)&gt;0,G404&lt;&gt;"")),1,0)</f>
        <v/>
      </c>
    </row>
    <row r="405">
      <c r="A405" s="1" t="n"/>
      <c r="B405" s="21" t="n"/>
      <c r="C405" s="22" t="n"/>
      <c r="D405" s="23" t="n"/>
      <c r="E405" s="24" t="n"/>
      <c r="F405" s="25" t="n"/>
      <c r="G405" s="25" t="n"/>
      <c r="H405" s="24" t="n"/>
      <c r="I405" s="25" t="n"/>
      <c r="J405" s="17">
        <f>IF(AND(C405="",D405="",G405=""),"",IF(NOT(ISNUMBER(B405)),"Needs a date",IF(AND(D405&lt;&gt;"",NOT(ISNUMBER(D405))),"Amount not a number",IF(N(D405)&lt;0,"Amount below zero",IF(AND(N(D405)=0,G405=""),"Needs an amount or goods",IF(C405="","",IF(COUNTIF(Donors!$B$6:$B$305,C405)=0,"Not on Donors","")))))))</f>
        <v/>
      </c>
      <c r="K405" s="1">
        <f>IF(ISNUMBER(B405),YEAR(B405),"")</f>
        <v/>
      </c>
      <c r="L405">
        <f>IF(ISNUMBER(B405),YEAR(B405)*100+MONTH(B405),"")</f>
        <v/>
      </c>
      <c r="M405">
        <f>IF(ISNUMBER(B405),INT(B405),0)</f>
        <v/>
      </c>
      <c r="N405">
        <f>IF(OR(C405="",F405="",Q405=0),0,IF(COUNTIFS(C$6:C405,C405,F$6:F405,F405,Q$6:Q405,1)=1,1,0))</f>
        <v/>
      </c>
      <c r="O405">
        <f>IF(OR(C405="",Q405=0,H405&lt;&gt;""),"",M405*10000+ROW())</f>
        <v/>
      </c>
      <c r="P405">
        <f>IF(OR(C405="",Q405=0),"",IF(AND(C405=Statement!$C$4,K405=Statement!$C$5),M405*10000+ROW(),""))</f>
        <v/>
      </c>
      <c r="Q405">
        <f>IF(AND(ISNUMBER(B405),OR(N(D405)&gt;0,G405&lt;&gt;"")),1,0)</f>
        <v/>
      </c>
    </row>
    <row r="406">
      <c r="A406" s="1" t="n"/>
      <c r="B406" s="21" t="n"/>
      <c r="C406" s="22" t="n"/>
      <c r="D406" s="23" t="n"/>
      <c r="E406" s="24" t="n"/>
      <c r="F406" s="25" t="n"/>
      <c r="G406" s="25" t="n"/>
      <c r="H406" s="24" t="n"/>
      <c r="I406" s="25" t="n"/>
      <c r="J406" s="17">
        <f>IF(AND(C406="",D406="",G406=""),"",IF(NOT(ISNUMBER(B406)),"Needs a date",IF(AND(D406&lt;&gt;"",NOT(ISNUMBER(D406))),"Amount not a number",IF(N(D406)&lt;0,"Amount below zero",IF(AND(N(D406)=0,G406=""),"Needs an amount or goods",IF(C406="","",IF(COUNTIF(Donors!$B$6:$B$305,C406)=0,"Not on Donors","")))))))</f>
        <v/>
      </c>
      <c r="K406" s="1">
        <f>IF(ISNUMBER(B406),YEAR(B406),"")</f>
        <v/>
      </c>
      <c r="L406">
        <f>IF(ISNUMBER(B406),YEAR(B406)*100+MONTH(B406),"")</f>
        <v/>
      </c>
      <c r="M406">
        <f>IF(ISNUMBER(B406),INT(B406),0)</f>
        <v/>
      </c>
      <c r="N406">
        <f>IF(OR(C406="",F406="",Q406=0),0,IF(COUNTIFS(C$6:C406,C406,F$6:F406,F406,Q$6:Q406,1)=1,1,0))</f>
        <v/>
      </c>
      <c r="O406">
        <f>IF(OR(C406="",Q406=0,H406&lt;&gt;""),"",M406*10000+ROW())</f>
        <v/>
      </c>
      <c r="P406">
        <f>IF(OR(C406="",Q406=0),"",IF(AND(C406=Statement!$C$4,K406=Statement!$C$5),M406*10000+ROW(),""))</f>
        <v/>
      </c>
      <c r="Q406">
        <f>IF(AND(ISNUMBER(B406),OR(N(D406)&gt;0,G406&lt;&gt;"")),1,0)</f>
        <v/>
      </c>
    </row>
    <row r="407">
      <c r="A407" s="1" t="n"/>
      <c r="B407" s="21" t="n"/>
      <c r="C407" s="22" t="n"/>
      <c r="D407" s="23" t="n"/>
      <c r="E407" s="24" t="n"/>
      <c r="F407" s="25" t="n"/>
      <c r="G407" s="25" t="n"/>
      <c r="H407" s="24" t="n"/>
      <c r="I407" s="25" t="n"/>
      <c r="J407" s="17">
        <f>IF(AND(C407="",D407="",G407=""),"",IF(NOT(ISNUMBER(B407)),"Needs a date",IF(AND(D407&lt;&gt;"",NOT(ISNUMBER(D407))),"Amount not a number",IF(N(D407)&lt;0,"Amount below zero",IF(AND(N(D407)=0,G407=""),"Needs an amount or goods",IF(C407="","",IF(COUNTIF(Donors!$B$6:$B$305,C407)=0,"Not on Donors","")))))))</f>
        <v/>
      </c>
      <c r="K407" s="1">
        <f>IF(ISNUMBER(B407),YEAR(B407),"")</f>
        <v/>
      </c>
      <c r="L407">
        <f>IF(ISNUMBER(B407),YEAR(B407)*100+MONTH(B407),"")</f>
        <v/>
      </c>
      <c r="M407">
        <f>IF(ISNUMBER(B407),INT(B407),0)</f>
        <v/>
      </c>
      <c r="N407">
        <f>IF(OR(C407="",F407="",Q407=0),0,IF(COUNTIFS(C$6:C407,C407,F$6:F407,F407,Q$6:Q407,1)=1,1,0))</f>
        <v/>
      </c>
      <c r="O407">
        <f>IF(OR(C407="",Q407=0,H407&lt;&gt;""),"",M407*10000+ROW())</f>
        <v/>
      </c>
      <c r="P407">
        <f>IF(OR(C407="",Q407=0),"",IF(AND(C407=Statement!$C$4,K407=Statement!$C$5),M407*10000+ROW(),""))</f>
        <v/>
      </c>
      <c r="Q407">
        <f>IF(AND(ISNUMBER(B407),OR(N(D407)&gt;0,G407&lt;&gt;"")),1,0)</f>
        <v/>
      </c>
    </row>
    <row r="408">
      <c r="A408" s="1" t="n"/>
      <c r="B408" s="21" t="n"/>
      <c r="C408" s="22" t="n"/>
      <c r="D408" s="23" t="n"/>
      <c r="E408" s="24" t="n"/>
      <c r="F408" s="25" t="n"/>
      <c r="G408" s="25" t="n"/>
      <c r="H408" s="24" t="n"/>
      <c r="I408" s="25" t="n"/>
      <c r="J408" s="17">
        <f>IF(AND(C408="",D408="",G408=""),"",IF(NOT(ISNUMBER(B408)),"Needs a date",IF(AND(D408&lt;&gt;"",NOT(ISNUMBER(D408))),"Amount not a number",IF(N(D408)&lt;0,"Amount below zero",IF(AND(N(D408)=0,G408=""),"Needs an amount or goods",IF(C408="","",IF(COUNTIF(Donors!$B$6:$B$305,C408)=0,"Not on Donors","")))))))</f>
        <v/>
      </c>
      <c r="K408" s="1">
        <f>IF(ISNUMBER(B408),YEAR(B408),"")</f>
        <v/>
      </c>
      <c r="L408">
        <f>IF(ISNUMBER(B408),YEAR(B408)*100+MONTH(B408),"")</f>
        <v/>
      </c>
      <c r="M408">
        <f>IF(ISNUMBER(B408),INT(B408),0)</f>
        <v/>
      </c>
      <c r="N408">
        <f>IF(OR(C408="",F408="",Q408=0),0,IF(COUNTIFS(C$6:C408,C408,F$6:F408,F408,Q$6:Q408,1)=1,1,0))</f>
        <v/>
      </c>
      <c r="O408">
        <f>IF(OR(C408="",Q408=0,H408&lt;&gt;""),"",M408*10000+ROW())</f>
        <v/>
      </c>
      <c r="P408">
        <f>IF(OR(C408="",Q408=0),"",IF(AND(C408=Statement!$C$4,K408=Statement!$C$5),M408*10000+ROW(),""))</f>
        <v/>
      </c>
      <c r="Q408">
        <f>IF(AND(ISNUMBER(B408),OR(N(D408)&gt;0,G408&lt;&gt;"")),1,0)</f>
        <v/>
      </c>
    </row>
    <row r="409">
      <c r="A409" s="1" t="n"/>
      <c r="B409" s="21" t="n"/>
      <c r="C409" s="22" t="n"/>
      <c r="D409" s="23" t="n"/>
      <c r="E409" s="24" t="n"/>
      <c r="F409" s="25" t="n"/>
      <c r="G409" s="25" t="n"/>
      <c r="H409" s="24" t="n"/>
      <c r="I409" s="25" t="n"/>
      <c r="J409" s="17">
        <f>IF(AND(C409="",D409="",G409=""),"",IF(NOT(ISNUMBER(B409)),"Needs a date",IF(AND(D409&lt;&gt;"",NOT(ISNUMBER(D409))),"Amount not a number",IF(N(D409)&lt;0,"Amount below zero",IF(AND(N(D409)=0,G409=""),"Needs an amount or goods",IF(C409="","",IF(COUNTIF(Donors!$B$6:$B$305,C409)=0,"Not on Donors","")))))))</f>
        <v/>
      </c>
      <c r="K409" s="1">
        <f>IF(ISNUMBER(B409),YEAR(B409),"")</f>
        <v/>
      </c>
      <c r="L409">
        <f>IF(ISNUMBER(B409),YEAR(B409)*100+MONTH(B409),"")</f>
        <v/>
      </c>
      <c r="M409">
        <f>IF(ISNUMBER(B409),INT(B409),0)</f>
        <v/>
      </c>
      <c r="N409">
        <f>IF(OR(C409="",F409="",Q409=0),0,IF(COUNTIFS(C$6:C409,C409,F$6:F409,F409,Q$6:Q409,1)=1,1,0))</f>
        <v/>
      </c>
      <c r="O409">
        <f>IF(OR(C409="",Q409=0,H409&lt;&gt;""),"",M409*10000+ROW())</f>
        <v/>
      </c>
      <c r="P409">
        <f>IF(OR(C409="",Q409=0),"",IF(AND(C409=Statement!$C$4,K409=Statement!$C$5),M409*10000+ROW(),""))</f>
        <v/>
      </c>
      <c r="Q409">
        <f>IF(AND(ISNUMBER(B409),OR(N(D409)&gt;0,G409&lt;&gt;"")),1,0)</f>
        <v/>
      </c>
    </row>
    <row r="410">
      <c r="A410" s="1" t="n"/>
      <c r="B410" s="21" t="n"/>
      <c r="C410" s="22" t="n"/>
      <c r="D410" s="23" t="n"/>
      <c r="E410" s="24" t="n"/>
      <c r="F410" s="25" t="n"/>
      <c r="G410" s="25" t="n"/>
      <c r="H410" s="24" t="n"/>
      <c r="I410" s="25" t="n"/>
      <c r="J410" s="17">
        <f>IF(AND(C410="",D410="",G410=""),"",IF(NOT(ISNUMBER(B410)),"Needs a date",IF(AND(D410&lt;&gt;"",NOT(ISNUMBER(D410))),"Amount not a number",IF(N(D410)&lt;0,"Amount below zero",IF(AND(N(D410)=0,G410=""),"Needs an amount or goods",IF(C410="","",IF(COUNTIF(Donors!$B$6:$B$305,C410)=0,"Not on Donors","")))))))</f>
        <v/>
      </c>
      <c r="K410" s="1">
        <f>IF(ISNUMBER(B410),YEAR(B410),"")</f>
        <v/>
      </c>
      <c r="L410">
        <f>IF(ISNUMBER(B410),YEAR(B410)*100+MONTH(B410),"")</f>
        <v/>
      </c>
      <c r="M410">
        <f>IF(ISNUMBER(B410),INT(B410),0)</f>
        <v/>
      </c>
      <c r="N410">
        <f>IF(OR(C410="",F410="",Q410=0),0,IF(COUNTIFS(C$6:C410,C410,F$6:F410,F410,Q$6:Q410,1)=1,1,0))</f>
        <v/>
      </c>
      <c r="O410">
        <f>IF(OR(C410="",Q410=0,H410&lt;&gt;""),"",M410*10000+ROW())</f>
        <v/>
      </c>
      <c r="P410">
        <f>IF(OR(C410="",Q410=0),"",IF(AND(C410=Statement!$C$4,K410=Statement!$C$5),M410*10000+ROW(),""))</f>
        <v/>
      </c>
      <c r="Q410">
        <f>IF(AND(ISNUMBER(B410),OR(N(D410)&gt;0,G410&lt;&gt;"")),1,0)</f>
        <v/>
      </c>
    </row>
    <row r="411">
      <c r="A411" s="1" t="n"/>
      <c r="B411" s="21" t="n"/>
      <c r="C411" s="22" t="n"/>
      <c r="D411" s="23" t="n"/>
      <c r="E411" s="24" t="n"/>
      <c r="F411" s="25" t="n"/>
      <c r="G411" s="25" t="n"/>
      <c r="H411" s="24" t="n"/>
      <c r="I411" s="25" t="n"/>
      <c r="J411" s="17">
        <f>IF(AND(C411="",D411="",G411=""),"",IF(NOT(ISNUMBER(B411)),"Needs a date",IF(AND(D411&lt;&gt;"",NOT(ISNUMBER(D411))),"Amount not a number",IF(N(D411)&lt;0,"Amount below zero",IF(AND(N(D411)=0,G411=""),"Needs an amount or goods",IF(C411="","",IF(COUNTIF(Donors!$B$6:$B$305,C411)=0,"Not on Donors","")))))))</f>
        <v/>
      </c>
      <c r="K411" s="1">
        <f>IF(ISNUMBER(B411),YEAR(B411),"")</f>
        <v/>
      </c>
      <c r="L411">
        <f>IF(ISNUMBER(B411),YEAR(B411)*100+MONTH(B411),"")</f>
        <v/>
      </c>
      <c r="M411">
        <f>IF(ISNUMBER(B411),INT(B411),0)</f>
        <v/>
      </c>
      <c r="N411">
        <f>IF(OR(C411="",F411="",Q411=0),0,IF(COUNTIFS(C$6:C411,C411,F$6:F411,F411,Q$6:Q411,1)=1,1,0))</f>
        <v/>
      </c>
      <c r="O411">
        <f>IF(OR(C411="",Q411=0,H411&lt;&gt;""),"",M411*10000+ROW())</f>
        <v/>
      </c>
      <c r="P411">
        <f>IF(OR(C411="",Q411=0),"",IF(AND(C411=Statement!$C$4,K411=Statement!$C$5),M411*10000+ROW(),""))</f>
        <v/>
      </c>
      <c r="Q411">
        <f>IF(AND(ISNUMBER(B411),OR(N(D411)&gt;0,G411&lt;&gt;"")),1,0)</f>
        <v/>
      </c>
    </row>
    <row r="412">
      <c r="A412" s="1" t="n"/>
      <c r="B412" s="21" t="n"/>
      <c r="C412" s="22" t="n"/>
      <c r="D412" s="23" t="n"/>
      <c r="E412" s="24" t="n"/>
      <c r="F412" s="25" t="n"/>
      <c r="G412" s="25" t="n"/>
      <c r="H412" s="24" t="n"/>
      <c r="I412" s="25" t="n"/>
      <c r="J412" s="17">
        <f>IF(AND(C412="",D412="",G412=""),"",IF(NOT(ISNUMBER(B412)),"Needs a date",IF(AND(D412&lt;&gt;"",NOT(ISNUMBER(D412))),"Amount not a number",IF(N(D412)&lt;0,"Amount below zero",IF(AND(N(D412)=0,G412=""),"Needs an amount or goods",IF(C412="","",IF(COUNTIF(Donors!$B$6:$B$305,C412)=0,"Not on Donors","")))))))</f>
        <v/>
      </c>
      <c r="K412" s="1">
        <f>IF(ISNUMBER(B412),YEAR(B412),"")</f>
        <v/>
      </c>
      <c r="L412">
        <f>IF(ISNUMBER(B412),YEAR(B412)*100+MONTH(B412),"")</f>
        <v/>
      </c>
      <c r="M412">
        <f>IF(ISNUMBER(B412),INT(B412),0)</f>
        <v/>
      </c>
      <c r="N412">
        <f>IF(OR(C412="",F412="",Q412=0),0,IF(COUNTIFS(C$6:C412,C412,F$6:F412,F412,Q$6:Q412,1)=1,1,0))</f>
        <v/>
      </c>
      <c r="O412">
        <f>IF(OR(C412="",Q412=0,H412&lt;&gt;""),"",M412*10000+ROW())</f>
        <v/>
      </c>
      <c r="P412">
        <f>IF(OR(C412="",Q412=0),"",IF(AND(C412=Statement!$C$4,K412=Statement!$C$5),M412*10000+ROW(),""))</f>
        <v/>
      </c>
      <c r="Q412">
        <f>IF(AND(ISNUMBER(B412),OR(N(D412)&gt;0,G412&lt;&gt;"")),1,0)</f>
        <v/>
      </c>
    </row>
    <row r="413">
      <c r="A413" s="1" t="n"/>
      <c r="B413" s="21" t="n"/>
      <c r="C413" s="22" t="n"/>
      <c r="D413" s="23" t="n"/>
      <c r="E413" s="24" t="n"/>
      <c r="F413" s="25" t="n"/>
      <c r="G413" s="25" t="n"/>
      <c r="H413" s="24" t="n"/>
      <c r="I413" s="25" t="n"/>
      <c r="J413" s="17">
        <f>IF(AND(C413="",D413="",G413=""),"",IF(NOT(ISNUMBER(B413)),"Needs a date",IF(AND(D413&lt;&gt;"",NOT(ISNUMBER(D413))),"Amount not a number",IF(N(D413)&lt;0,"Amount below zero",IF(AND(N(D413)=0,G413=""),"Needs an amount or goods",IF(C413="","",IF(COUNTIF(Donors!$B$6:$B$305,C413)=0,"Not on Donors","")))))))</f>
        <v/>
      </c>
      <c r="K413" s="1">
        <f>IF(ISNUMBER(B413),YEAR(B413),"")</f>
        <v/>
      </c>
      <c r="L413">
        <f>IF(ISNUMBER(B413),YEAR(B413)*100+MONTH(B413),"")</f>
        <v/>
      </c>
      <c r="M413">
        <f>IF(ISNUMBER(B413),INT(B413),0)</f>
        <v/>
      </c>
      <c r="N413">
        <f>IF(OR(C413="",F413="",Q413=0),0,IF(COUNTIFS(C$6:C413,C413,F$6:F413,F413,Q$6:Q413,1)=1,1,0))</f>
        <v/>
      </c>
      <c r="O413">
        <f>IF(OR(C413="",Q413=0,H413&lt;&gt;""),"",M413*10000+ROW())</f>
        <v/>
      </c>
      <c r="P413">
        <f>IF(OR(C413="",Q413=0),"",IF(AND(C413=Statement!$C$4,K413=Statement!$C$5),M413*10000+ROW(),""))</f>
        <v/>
      </c>
      <c r="Q413">
        <f>IF(AND(ISNUMBER(B413),OR(N(D413)&gt;0,G413&lt;&gt;"")),1,0)</f>
        <v/>
      </c>
    </row>
    <row r="414">
      <c r="A414" s="1" t="n"/>
      <c r="B414" s="21" t="n"/>
      <c r="C414" s="22" t="n"/>
      <c r="D414" s="23" t="n"/>
      <c r="E414" s="24" t="n"/>
      <c r="F414" s="25" t="n"/>
      <c r="G414" s="25" t="n"/>
      <c r="H414" s="24" t="n"/>
      <c r="I414" s="25" t="n"/>
      <c r="J414" s="17">
        <f>IF(AND(C414="",D414="",G414=""),"",IF(NOT(ISNUMBER(B414)),"Needs a date",IF(AND(D414&lt;&gt;"",NOT(ISNUMBER(D414))),"Amount not a number",IF(N(D414)&lt;0,"Amount below zero",IF(AND(N(D414)=0,G414=""),"Needs an amount or goods",IF(C414="","",IF(COUNTIF(Donors!$B$6:$B$305,C414)=0,"Not on Donors","")))))))</f>
        <v/>
      </c>
      <c r="K414" s="1">
        <f>IF(ISNUMBER(B414),YEAR(B414),"")</f>
        <v/>
      </c>
      <c r="L414">
        <f>IF(ISNUMBER(B414),YEAR(B414)*100+MONTH(B414),"")</f>
        <v/>
      </c>
      <c r="M414">
        <f>IF(ISNUMBER(B414),INT(B414),0)</f>
        <v/>
      </c>
      <c r="N414">
        <f>IF(OR(C414="",F414="",Q414=0),0,IF(COUNTIFS(C$6:C414,C414,F$6:F414,F414,Q$6:Q414,1)=1,1,0))</f>
        <v/>
      </c>
      <c r="O414">
        <f>IF(OR(C414="",Q414=0,H414&lt;&gt;""),"",M414*10000+ROW())</f>
        <v/>
      </c>
      <c r="P414">
        <f>IF(OR(C414="",Q414=0),"",IF(AND(C414=Statement!$C$4,K414=Statement!$C$5),M414*10000+ROW(),""))</f>
        <v/>
      </c>
      <c r="Q414">
        <f>IF(AND(ISNUMBER(B414),OR(N(D414)&gt;0,G414&lt;&gt;"")),1,0)</f>
        <v/>
      </c>
    </row>
    <row r="415">
      <c r="A415" s="1" t="n"/>
      <c r="B415" s="21" t="n"/>
      <c r="C415" s="22" t="n"/>
      <c r="D415" s="23" t="n"/>
      <c r="E415" s="24" t="n"/>
      <c r="F415" s="25" t="n"/>
      <c r="G415" s="25" t="n"/>
      <c r="H415" s="24" t="n"/>
      <c r="I415" s="25" t="n"/>
      <c r="J415" s="17">
        <f>IF(AND(C415="",D415="",G415=""),"",IF(NOT(ISNUMBER(B415)),"Needs a date",IF(AND(D415&lt;&gt;"",NOT(ISNUMBER(D415))),"Amount not a number",IF(N(D415)&lt;0,"Amount below zero",IF(AND(N(D415)=0,G415=""),"Needs an amount or goods",IF(C415="","",IF(COUNTIF(Donors!$B$6:$B$305,C415)=0,"Not on Donors","")))))))</f>
        <v/>
      </c>
      <c r="K415" s="1">
        <f>IF(ISNUMBER(B415),YEAR(B415),"")</f>
        <v/>
      </c>
      <c r="L415">
        <f>IF(ISNUMBER(B415),YEAR(B415)*100+MONTH(B415),"")</f>
        <v/>
      </c>
      <c r="M415">
        <f>IF(ISNUMBER(B415),INT(B415),0)</f>
        <v/>
      </c>
      <c r="N415">
        <f>IF(OR(C415="",F415="",Q415=0),0,IF(COUNTIFS(C$6:C415,C415,F$6:F415,F415,Q$6:Q415,1)=1,1,0))</f>
        <v/>
      </c>
      <c r="O415">
        <f>IF(OR(C415="",Q415=0,H415&lt;&gt;""),"",M415*10000+ROW())</f>
        <v/>
      </c>
      <c r="P415">
        <f>IF(OR(C415="",Q415=0),"",IF(AND(C415=Statement!$C$4,K415=Statement!$C$5),M415*10000+ROW(),""))</f>
        <v/>
      </c>
      <c r="Q415">
        <f>IF(AND(ISNUMBER(B415),OR(N(D415)&gt;0,G415&lt;&gt;"")),1,0)</f>
        <v/>
      </c>
    </row>
    <row r="416">
      <c r="A416" s="1" t="n"/>
      <c r="B416" s="21" t="n"/>
      <c r="C416" s="22" t="n"/>
      <c r="D416" s="23" t="n"/>
      <c r="E416" s="24" t="n"/>
      <c r="F416" s="25" t="n"/>
      <c r="G416" s="25" t="n"/>
      <c r="H416" s="24" t="n"/>
      <c r="I416" s="25" t="n"/>
      <c r="J416" s="17">
        <f>IF(AND(C416="",D416="",G416=""),"",IF(NOT(ISNUMBER(B416)),"Needs a date",IF(AND(D416&lt;&gt;"",NOT(ISNUMBER(D416))),"Amount not a number",IF(N(D416)&lt;0,"Amount below zero",IF(AND(N(D416)=0,G416=""),"Needs an amount or goods",IF(C416="","",IF(COUNTIF(Donors!$B$6:$B$305,C416)=0,"Not on Donors","")))))))</f>
        <v/>
      </c>
      <c r="K416" s="1">
        <f>IF(ISNUMBER(B416),YEAR(B416),"")</f>
        <v/>
      </c>
      <c r="L416">
        <f>IF(ISNUMBER(B416),YEAR(B416)*100+MONTH(B416),"")</f>
        <v/>
      </c>
      <c r="M416">
        <f>IF(ISNUMBER(B416),INT(B416),0)</f>
        <v/>
      </c>
      <c r="N416">
        <f>IF(OR(C416="",F416="",Q416=0),0,IF(COUNTIFS(C$6:C416,C416,F$6:F416,F416,Q$6:Q416,1)=1,1,0))</f>
        <v/>
      </c>
      <c r="O416">
        <f>IF(OR(C416="",Q416=0,H416&lt;&gt;""),"",M416*10000+ROW())</f>
        <v/>
      </c>
      <c r="P416">
        <f>IF(OR(C416="",Q416=0),"",IF(AND(C416=Statement!$C$4,K416=Statement!$C$5),M416*10000+ROW(),""))</f>
        <v/>
      </c>
      <c r="Q416">
        <f>IF(AND(ISNUMBER(B416),OR(N(D416)&gt;0,G416&lt;&gt;"")),1,0)</f>
        <v/>
      </c>
    </row>
    <row r="417">
      <c r="A417" s="1" t="n"/>
      <c r="B417" s="21" t="n"/>
      <c r="C417" s="22" t="n"/>
      <c r="D417" s="23" t="n"/>
      <c r="E417" s="24" t="n"/>
      <c r="F417" s="25" t="n"/>
      <c r="G417" s="25" t="n"/>
      <c r="H417" s="24" t="n"/>
      <c r="I417" s="25" t="n"/>
      <c r="J417" s="17">
        <f>IF(AND(C417="",D417="",G417=""),"",IF(NOT(ISNUMBER(B417)),"Needs a date",IF(AND(D417&lt;&gt;"",NOT(ISNUMBER(D417))),"Amount not a number",IF(N(D417)&lt;0,"Amount below zero",IF(AND(N(D417)=0,G417=""),"Needs an amount or goods",IF(C417="","",IF(COUNTIF(Donors!$B$6:$B$305,C417)=0,"Not on Donors","")))))))</f>
        <v/>
      </c>
      <c r="K417" s="1">
        <f>IF(ISNUMBER(B417),YEAR(B417),"")</f>
        <v/>
      </c>
      <c r="L417">
        <f>IF(ISNUMBER(B417),YEAR(B417)*100+MONTH(B417),"")</f>
        <v/>
      </c>
      <c r="M417">
        <f>IF(ISNUMBER(B417),INT(B417),0)</f>
        <v/>
      </c>
      <c r="N417">
        <f>IF(OR(C417="",F417="",Q417=0),0,IF(COUNTIFS(C$6:C417,C417,F$6:F417,F417,Q$6:Q417,1)=1,1,0))</f>
        <v/>
      </c>
      <c r="O417">
        <f>IF(OR(C417="",Q417=0,H417&lt;&gt;""),"",M417*10000+ROW())</f>
        <v/>
      </c>
      <c r="P417">
        <f>IF(OR(C417="",Q417=0),"",IF(AND(C417=Statement!$C$4,K417=Statement!$C$5),M417*10000+ROW(),""))</f>
        <v/>
      </c>
      <c r="Q417">
        <f>IF(AND(ISNUMBER(B417),OR(N(D417)&gt;0,G417&lt;&gt;"")),1,0)</f>
        <v/>
      </c>
    </row>
    <row r="418">
      <c r="A418" s="1" t="n"/>
      <c r="B418" s="21" t="n"/>
      <c r="C418" s="22" t="n"/>
      <c r="D418" s="23" t="n"/>
      <c r="E418" s="24" t="n"/>
      <c r="F418" s="25" t="n"/>
      <c r="G418" s="25" t="n"/>
      <c r="H418" s="24" t="n"/>
      <c r="I418" s="25" t="n"/>
      <c r="J418" s="17">
        <f>IF(AND(C418="",D418="",G418=""),"",IF(NOT(ISNUMBER(B418)),"Needs a date",IF(AND(D418&lt;&gt;"",NOT(ISNUMBER(D418))),"Amount not a number",IF(N(D418)&lt;0,"Amount below zero",IF(AND(N(D418)=0,G418=""),"Needs an amount or goods",IF(C418="","",IF(COUNTIF(Donors!$B$6:$B$305,C418)=0,"Not on Donors","")))))))</f>
        <v/>
      </c>
      <c r="K418" s="1">
        <f>IF(ISNUMBER(B418),YEAR(B418),"")</f>
        <v/>
      </c>
      <c r="L418">
        <f>IF(ISNUMBER(B418),YEAR(B418)*100+MONTH(B418),"")</f>
        <v/>
      </c>
      <c r="M418">
        <f>IF(ISNUMBER(B418),INT(B418),0)</f>
        <v/>
      </c>
      <c r="N418">
        <f>IF(OR(C418="",F418="",Q418=0),0,IF(COUNTIFS(C$6:C418,C418,F$6:F418,F418,Q$6:Q418,1)=1,1,0))</f>
        <v/>
      </c>
      <c r="O418">
        <f>IF(OR(C418="",Q418=0,H418&lt;&gt;""),"",M418*10000+ROW())</f>
        <v/>
      </c>
      <c r="P418">
        <f>IF(OR(C418="",Q418=0),"",IF(AND(C418=Statement!$C$4,K418=Statement!$C$5),M418*10000+ROW(),""))</f>
        <v/>
      </c>
      <c r="Q418">
        <f>IF(AND(ISNUMBER(B418),OR(N(D418)&gt;0,G418&lt;&gt;"")),1,0)</f>
        <v/>
      </c>
    </row>
    <row r="419">
      <c r="A419" s="1" t="n"/>
      <c r="B419" s="21" t="n"/>
      <c r="C419" s="22" t="n"/>
      <c r="D419" s="23" t="n"/>
      <c r="E419" s="24" t="n"/>
      <c r="F419" s="25" t="n"/>
      <c r="G419" s="25" t="n"/>
      <c r="H419" s="24" t="n"/>
      <c r="I419" s="25" t="n"/>
      <c r="J419" s="17">
        <f>IF(AND(C419="",D419="",G419=""),"",IF(NOT(ISNUMBER(B419)),"Needs a date",IF(AND(D419&lt;&gt;"",NOT(ISNUMBER(D419))),"Amount not a number",IF(N(D419)&lt;0,"Amount below zero",IF(AND(N(D419)=0,G419=""),"Needs an amount or goods",IF(C419="","",IF(COUNTIF(Donors!$B$6:$B$305,C419)=0,"Not on Donors","")))))))</f>
        <v/>
      </c>
      <c r="K419" s="1">
        <f>IF(ISNUMBER(B419),YEAR(B419),"")</f>
        <v/>
      </c>
      <c r="L419">
        <f>IF(ISNUMBER(B419),YEAR(B419)*100+MONTH(B419),"")</f>
        <v/>
      </c>
      <c r="M419">
        <f>IF(ISNUMBER(B419),INT(B419),0)</f>
        <v/>
      </c>
      <c r="N419">
        <f>IF(OR(C419="",F419="",Q419=0),0,IF(COUNTIFS(C$6:C419,C419,F$6:F419,F419,Q$6:Q419,1)=1,1,0))</f>
        <v/>
      </c>
      <c r="O419">
        <f>IF(OR(C419="",Q419=0,H419&lt;&gt;""),"",M419*10000+ROW())</f>
        <v/>
      </c>
      <c r="P419">
        <f>IF(OR(C419="",Q419=0),"",IF(AND(C419=Statement!$C$4,K419=Statement!$C$5),M419*10000+ROW(),""))</f>
        <v/>
      </c>
      <c r="Q419">
        <f>IF(AND(ISNUMBER(B419),OR(N(D419)&gt;0,G419&lt;&gt;"")),1,0)</f>
        <v/>
      </c>
    </row>
    <row r="420">
      <c r="A420" s="1" t="n"/>
      <c r="B420" s="21" t="n"/>
      <c r="C420" s="22" t="n"/>
      <c r="D420" s="23" t="n"/>
      <c r="E420" s="24" t="n"/>
      <c r="F420" s="25" t="n"/>
      <c r="G420" s="25" t="n"/>
      <c r="H420" s="24" t="n"/>
      <c r="I420" s="25" t="n"/>
      <c r="J420" s="17">
        <f>IF(AND(C420="",D420="",G420=""),"",IF(NOT(ISNUMBER(B420)),"Needs a date",IF(AND(D420&lt;&gt;"",NOT(ISNUMBER(D420))),"Amount not a number",IF(N(D420)&lt;0,"Amount below zero",IF(AND(N(D420)=0,G420=""),"Needs an amount or goods",IF(C420="","",IF(COUNTIF(Donors!$B$6:$B$305,C420)=0,"Not on Donors","")))))))</f>
        <v/>
      </c>
      <c r="K420" s="1">
        <f>IF(ISNUMBER(B420),YEAR(B420),"")</f>
        <v/>
      </c>
      <c r="L420">
        <f>IF(ISNUMBER(B420),YEAR(B420)*100+MONTH(B420),"")</f>
        <v/>
      </c>
      <c r="M420">
        <f>IF(ISNUMBER(B420),INT(B420),0)</f>
        <v/>
      </c>
      <c r="N420">
        <f>IF(OR(C420="",F420="",Q420=0),0,IF(COUNTIFS(C$6:C420,C420,F$6:F420,F420,Q$6:Q420,1)=1,1,0))</f>
        <v/>
      </c>
      <c r="O420">
        <f>IF(OR(C420="",Q420=0,H420&lt;&gt;""),"",M420*10000+ROW())</f>
        <v/>
      </c>
      <c r="P420">
        <f>IF(OR(C420="",Q420=0),"",IF(AND(C420=Statement!$C$4,K420=Statement!$C$5),M420*10000+ROW(),""))</f>
        <v/>
      </c>
      <c r="Q420">
        <f>IF(AND(ISNUMBER(B420),OR(N(D420)&gt;0,G420&lt;&gt;"")),1,0)</f>
        <v/>
      </c>
    </row>
    <row r="421">
      <c r="A421" s="1" t="n"/>
      <c r="B421" s="21" t="n"/>
      <c r="C421" s="22" t="n"/>
      <c r="D421" s="23" t="n"/>
      <c r="E421" s="24" t="n"/>
      <c r="F421" s="25" t="n"/>
      <c r="G421" s="25" t="n"/>
      <c r="H421" s="24" t="n"/>
      <c r="I421" s="25" t="n"/>
      <c r="J421" s="17">
        <f>IF(AND(C421="",D421="",G421=""),"",IF(NOT(ISNUMBER(B421)),"Needs a date",IF(AND(D421&lt;&gt;"",NOT(ISNUMBER(D421))),"Amount not a number",IF(N(D421)&lt;0,"Amount below zero",IF(AND(N(D421)=0,G421=""),"Needs an amount or goods",IF(C421="","",IF(COUNTIF(Donors!$B$6:$B$305,C421)=0,"Not on Donors","")))))))</f>
        <v/>
      </c>
      <c r="K421" s="1">
        <f>IF(ISNUMBER(B421),YEAR(B421),"")</f>
        <v/>
      </c>
      <c r="L421">
        <f>IF(ISNUMBER(B421),YEAR(B421)*100+MONTH(B421),"")</f>
        <v/>
      </c>
      <c r="M421">
        <f>IF(ISNUMBER(B421),INT(B421),0)</f>
        <v/>
      </c>
      <c r="N421">
        <f>IF(OR(C421="",F421="",Q421=0),0,IF(COUNTIFS(C$6:C421,C421,F$6:F421,F421,Q$6:Q421,1)=1,1,0))</f>
        <v/>
      </c>
      <c r="O421">
        <f>IF(OR(C421="",Q421=0,H421&lt;&gt;""),"",M421*10000+ROW())</f>
        <v/>
      </c>
      <c r="P421">
        <f>IF(OR(C421="",Q421=0),"",IF(AND(C421=Statement!$C$4,K421=Statement!$C$5),M421*10000+ROW(),""))</f>
        <v/>
      </c>
      <c r="Q421">
        <f>IF(AND(ISNUMBER(B421),OR(N(D421)&gt;0,G421&lt;&gt;"")),1,0)</f>
        <v/>
      </c>
    </row>
    <row r="422">
      <c r="A422" s="1" t="n"/>
      <c r="B422" s="21" t="n"/>
      <c r="C422" s="22" t="n"/>
      <c r="D422" s="23" t="n"/>
      <c r="E422" s="24" t="n"/>
      <c r="F422" s="25" t="n"/>
      <c r="G422" s="25" t="n"/>
      <c r="H422" s="24" t="n"/>
      <c r="I422" s="25" t="n"/>
      <c r="J422" s="17">
        <f>IF(AND(C422="",D422="",G422=""),"",IF(NOT(ISNUMBER(B422)),"Needs a date",IF(AND(D422&lt;&gt;"",NOT(ISNUMBER(D422))),"Amount not a number",IF(N(D422)&lt;0,"Amount below zero",IF(AND(N(D422)=0,G422=""),"Needs an amount or goods",IF(C422="","",IF(COUNTIF(Donors!$B$6:$B$305,C422)=0,"Not on Donors","")))))))</f>
        <v/>
      </c>
      <c r="K422" s="1">
        <f>IF(ISNUMBER(B422),YEAR(B422),"")</f>
        <v/>
      </c>
      <c r="L422">
        <f>IF(ISNUMBER(B422),YEAR(B422)*100+MONTH(B422),"")</f>
        <v/>
      </c>
      <c r="M422">
        <f>IF(ISNUMBER(B422),INT(B422),0)</f>
        <v/>
      </c>
      <c r="N422">
        <f>IF(OR(C422="",F422="",Q422=0),0,IF(COUNTIFS(C$6:C422,C422,F$6:F422,F422,Q$6:Q422,1)=1,1,0))</f>
        <v/>
      </c>
      <c r="O422">
        <f>IF(OR(C422="",Q422=0,H422&lt;&gt;""),"",M422*10000+ROW())</f>
        <v/>
      </c>
      <c r="P422">
        <f>IF(OR(C422="",Q422=0),"",IF(AND(C422=Statement!$C$4,K422=Statement!$C$5),M422*10000+ROW(),""))</f>
        <v/>
      </c>
      <c r="Q422">
        <f>IF(AND(ISNUMBER(B422),OR(N(D422)&gt;0,G422&lt;&gt;"")),1,0)</f>
        <v/>
      </c>
    </row>
    <row r="423">
      <c r="A423" s="1" t="n"/>
      <c r="B423" s="21" t="n"/>
      <c r="C423" s="22" t="n"/>
      <c r="D423" s="23" t="n"/>
      <c r="E423" s="24" t="n"/>
      <c r="F423" s="25" t="n"/>
      <c r="G423" s="25" t="n"/>
      <c r="H423" s="24" t="n"/>
      <c r="I423" s="25" t="n"/>
      <c r="J423" s="17">
        <f>IF(AND(C423="",D423="",G423=""),"",IF(NOT(ISNUMBER(B423)),"Needs a date",IF(AND(D423&lt;&gt;"",NOT(ISNUMBER(D423))),"Amount not a number",IF(N(D423)&lt;0,"Amount below zero",IF(AND(N(D423)=0,G423=""),"Needs an amount or goods",IF(C423="","",IF(COUNTIF(Donors!$B$6:$B$305,C423)=0,"Not on Donors","")))))))</f>
        <v/>
      </c>
      <c r="K423" s="1">
        <f>IF(ISNUMBER(B423),YEAR(B423),"")</f>
        <v/>
      </c>
      <c r="L423">
        <f>IF(ISNUMBER(B423),YEAR(B423)*100+MONTH(B423),"")</f>
        <v/>
      </c>
      <c r="M423">
        <f>IF(ISNUMBER(B423),INT(B423),0)</f>
        <v/>
      </c>
      <c r="N423">
        <f>IF(OR(C423="",F423="",Q423=0),0,IF(COUNTIFS(C$6:C423,C423,F$6:F423,F423,Q$6:Q423,1)=1,1,0))</f>
        <v/>
      </c>
      <c r="O423">
        <f>IF(OR(C423="",Q423=0,H423&lt;&gt;""),"",M423*10000+ROW())</f>
        <v/>
      </c>
      <c r="P423">
        <f>IF(OR(C423="",Q423=0),"",IF(AND(C423=Statement!$C$4,K423=Statement!$C$5),M423*10000+ROW(),""))</f>
        <v/>
      </c>
      <c r="Q423">
        <f>IF(AND(ISNUMBER(B423),OR(N(D423)&gt;0,G423&lt;&gt;"")),1,0)</f>
        <v/>
      </c>
    </row>
    <row r="424">
      <c r="A424" s="1" t="n"/>
      <c r="B424" s="21" t="n"/>
      <c r="C424" s="22" t="n"/>
      <c r="D424" s="23" t="n"/>
      <c r="E424" s="24" t="n"/>
      <c r="F424" s="25" t="n"/>
      <c r="G424" s="25" t="n"/>
      <c r="H424" s="24" t="n"/>
      <c r="I424" s="25" t="n"/>
      <c r="J424" s="17">
        <f>IF(AND(C424="",D424="",G424=""),"",IF(NOT(ISNUMBER(B424)),"Needs a date",IF(AND(D424&lt;&gt;"",NOT(ISNUMBER(D424))),"Amount not a number",IF(N(D424)&lt;0,"Amount below zero",IF(AND(N(D424)=0,G424=""),"Needs an amount or goods",IF(C424="","",IF(COUNTIF(Donors!$B$6:$B$305,C424)=0,"Not on Donors","")))))))</f>
        <v/>
      </c>
      <c r="K424" s="1">
        <f>IF(ISNUMBER(B424),YEAR(B424),"")</f>
        <v/>
      </c>
      <c r="L424">
        <f>IF(ISNUMBER(B424),YEAR(B424)*100+MONTH(B424),"")</f>
        <v/>
      </c>
      <c r="M424">
        <f>IF(ISNUMBER(B424),INT(B424),0)</f>
        <v/>
      </c>
      <c r="N424">
        <f>IF(OR(C424="",F424="",Q424=0),0,IF(COUNTIFS(C$6:C424,C424,F$6:F424,F424,Q$6:Q424,1)=1,1,0))</f>
        <v/>
      </c>
      <c r="O424">
        <f>IF(OR(C424="",Q424=0,H424&lt;&gt;""),"",M424*10000+ROW())</f>
        <v/>
      </c>
      <c r="P424">
        <f>IF(OR(C424="",Q424=0),"",IF(AND(C424=Statement!$C$4,K424=Statement!$C$5),M424*10000+ROW(),""))</f>
        <v/>
      </c>
      <c r="Q424">
        <f>IF(AND(ISNUMBER(B424),OR(N(D424)&gt;0,G424&lt;&gt;"")),1,0)</f>
        <v/>
      </c>
    </row>
    <row r="425">
      <c r="A425" s="1" t="n"/>
      <c r="B425" s="21" t="n"/>
      <c r="C425" s="22" t="n"/>
      <c r="D425" s="23" t="n"/>
      <c r="E425" s="24" t="n"/>
      <c r="F425" s="25" t="n"/>
      <c r="G425" s="25" t="n"/>
      <c r="H425" s="24" t="n"/>
      <c r="I425" s="25" t="n"/>
      <c r="J425" s="17">
        <f>IF(AND(C425="",D425="",G425=""),"",IF(NOT(ISNUMBER(B425)),"Needs a date",IF(AND(D425&lt;&gt;"",NOT(ISNUMBER(D425))),"Amount not a number",IF(N(D425)&lt;0,"Amount below zero",IF(AND(N(D425)=0,G425=""),"Needs an amount or goods",IF(C425="","",IF(COUNTIF(Donors!$B$6:$B$305,C425)=0,"Not on Donors","")))))))</f>
        <v/>
      </c>
      <c r="K425" s="1">
        <f>IF(ISNUMBER(B425),YEAR(B425),"")</f>
        <v/>
      </c>
      <c r="L425">
        <f>IF(ISNUMBER(B425),YEAR(B425)*100+MONTH(B425),"")</f>
        <v/>
      </c>
      <c r="M425">
        <f>IF(ISNUMBER(B425),INT(B425),0)</f>
        <v/>
      </c>
      <c r="N425">
        <f>IF(OR(C425="",F425="",Q425=0),0,IF(COUNTIFS(C$6:C425,C425,F$6:F425,F425,Q$6:Q425,1)=1,1,0))</f>
        <v/>
      </c>
      <c r="O425">
        <f>IF(OR(C425="",Q425=0,H425&lt;&gt;""),"",M425*10000+ROW())</f>
        <v/>
      </c>
      <c r="P425">
        <f>IF(OR(C425="",Q425=0),"",IF(AND(C425=Statement!$C$4,K425=Statement!$C$5),M425*10000+ROW(),""))</f>
        <v/>
      </c>
      <c r="Q425">
        <f>IF(AND(ISNUMBER(B425),OR(N(D425)&gt;0,G425&lt;&gt;"")),1,0)</f>
        <v/>
      </c>
    </row>
    <row r="426">
      <c r="A426" s="1" t="n"/>
      <c r="B426" s="21" t="n"/>
      <c r="C426" s="22" t="n"/>
      <c r="D426" s="23" t="n"/>
      <c r="E426" s="24" t="n"/>
      <c r="F426" s="25" t="n"/>
      <c r="G426" s="25" t="n"/>
      <c r="H426" s="24" t="n"/>
      <c r="I426" s="25" t="n"/>
      <c r="J426" s="17">
        <f>IF(AND(C426="",D426="",G426=""),"",IF(NOT(ISNUMBER(B426)),"Needs a date",IF(AND(D426&lt;&gt;"",NOT(ISNUMBER(D426))),"Amount not a number",IF(N(D426)&lt;0,"Amount below zero",IF(AND(N(D426)=0,G426=""),"Needs an amount or goods",IF(C426="","",IF(COUNTIF(Donors!$B$6:$B$305,C426)=0,"Not on Donors","")))))))</f>
        <v/>
      </c>
      <c r="K426" s="1">
        <f>IF(ISNUMBER(B426),YEAR(B426),"")</f>
        <v/>
      </c>
      <c r="L426">
        <f>IF(ISNUMBER(B426),YEAR(B426)*100+MONTH(B426),"")</f>
        <v/>
      </c>
      <c r="M426">
        <f>IF(ISNUMBER(B426),INT(B426),0)</f>
        <v/>
      </c>
      <c r="N426">
        <f>IF(OR(C426="",F426="",Q426=0),0,IF(COUNTIFS(C$6:C426,C426,F$6:F426,F426,Q$6:Q426,1)=1,1,0))</f>
        <v/>
      </c>
      <c r="O426">
        <f>IF(OR(C426="",Q426=0,H426&lt;&gt;""),"",M426*10000+ROW())</f>
        <v/>
      </c>
      <c r="P426">
        <f>IF(OR(C426="",Q426=0),"",IF(AND(C426=Statement!$C$4,K426=Statement!$C$5),M426*10000+ROW(),""))</f>
        <v/>
      </c>
      <c r="Q426">
        <f>IF(AND(ISNUMBER(B426),OR(N(D426)&gt;0,G426&lt;&gt;"")),1,0)</f>
        <v/>
      </c>
    </row>
    <row r="427">
      <c r="A427" s="1" t="n"/>
      <c r="B427" s="21" t="n"/>
      <c r="C427" s="22" t="n"/>
      <c r="D427" s="23" t="n"/>
      <c r="E427" s="24" t="n"/>
      <c r="F427" s="25" t="n"/>
      <c r="G427" s="25" t="n"/>
      <c r="H427" s="24" t="n"/>
      <c r="I427" s="25" t="n"/>
      <c r="J427" s="17">
        <f>IF(AND(C427="",D427="",G427=""),"",IF(NOT(ISNUMBER(B427)),"Needs a date",IF(AND(D427&lt;&gt;"",NOT(ISNUMBER(D427))),"Amount not a number",IF(N(D427)&lt;0,"Amount below zero",IF(AND(N(D427)=0,G427=""),"Needs an amount or goods",IF(C427="","",IF(COUNTIF(Donors!$B$6:$B$305,C427)=0,"Not on Donors","")))))))</f>
        <v/>
      </c>
      <c r="K427" s="1">
        <f>IF(ISNUMBER(B427),YEAR(B427),"")</f>
        <v/>
      </c>
      <c r="L427">
        <f>IF(ISNUMBER(B427),YEAR(B427)*100+MONTH(B427),"")</f>
        <v/>
      </c>
      <c r="M427">
        <f>IF(ISNUMBER(B427),INT(B427),0)</f>
        <v/>
      </c>
      <c r="N427">
        <f>IF(OR(C427="",F427="",Q427=0),0,IF(COUNTIFS(C$6:C427,C427,F$6:F427,F427,Q$6:Q427,1)=1,1,0))</f>
        <v/>
      </c>
      <c r="O427">
        <f>IF(OR(C427="",Q427=0,H427&lt;&gt;""),"",M427*10000+ROW())</f>
        <v/>
      </c>
      <c r="P427">
        <f>IF(OR(C427="",Q427=0),"",IF(AND(C427=Statement!$C$4,K427=Statement!$C$5),M427*10000+ROW(),""))</f>
        <v/>
      </c>
      <c r="Q427">
        <f>IF(AND(ISNUMBER(B427),OR(N(D427)&gt;0,G427&lt;&gt;"")),1,0)</f>
        <v/>
      </c>
    </row>
    <row r="428">
      <c r="A428" s="1" t="n"/>
      <c r="B428" s="21" t="n"/>
      <c r="C428" s="22" t="n"/>
      <c r="D428" s="23" t="n"/>
      <c r="E428" s="24" t="n"/>
      <c r="F428" s="25" t="n"/>
      <c r="G428" s="25" t="n"/>
      <c r="H428" s="24" t="n"/>
      <c r="I428" s="25" t="n"/>
      <c r="J428" s="17">
        <f>IF(AND(C428="",D428="",G428=""),"",IF(NOT(ISNUMBER(B428)),"Needs a date",IF(AND(D428&lt;&gt;"",NOT(ISNUMBER(D428))),"Amount not a number",IF(N(D428)&lt;0,"Amount below zero",IF(AND(N(D428)=0,G428=""),"Needs an amount or goods",IF(C428="","",IF(COUNTIF(Donors!$B$6:$B$305,C428)=0,"Not on Donors","")))))))</f>
        <v/>
      </c>
      <c r="K428" s="1">
        <f>IF(ISNUMBER(B428),YEAR(B428),"")</f>
        <v/>
      </c>
      <c r="L428">
        <f>IF(ISNUMBER(B428),YEAR(B428)*100+MONTH(B428),"")</f>
        <v/>
      </c>
      <c r="M428">
        <f>IF(ISNUMBER(B428),INT(B428),0)</f>
        <v/>
      </c>
      <c r="N428">
        <f>IF(OR(C428="",F428="",Q428=0),0,IF(COUNTIFS(C$6:C428,C428,F$6:F428,F428,Q$6:Q428,1)=1,1,0))</f>
        <v/>
      </c>
      <c r="O428">
        <f>IF(OR(C428="",Q428=0,H428&lt;&gt;""),"",M428*10000+ROW())</f>
        <v/>
      </c>
      <c r="P428">
        <f>IF(OR(C428="",Q428=0),"",IF(AND(C428=Statement!$C$4,K428=Statement!$C$5),M428*10000+ROW(),""))</f>
        <v/>
      </c>
      <c r="Q428">
        <f>IF(AND(ISNUMBER(B428),OR(N(D428)&gt;0,G428&lt;&gt;"")),1,0)</f>
        <v/>
      </c>
    </row>
    <row r="429">
      <c r="A429" s="1" t="n"/>
      <c r="B429" s="21" t="n"/>
      <c r="C429" s="22" t="n"/>
      <c r="D429" s="23" t="n"/>
      <c r="E429" s="24" t="n"/>
      <c r="F429" s="25" t="n"/>
      <c r="G429" s="25" t="n"/>
      <c r="H429" s="24" t="n"/>
      <c r="I429" s="25" t="n"/>
      <c r="J429" s="17">
        <f>IF(AND(C429="",D429="",G429=""),"",IF(NOT(ISNUMBER(B429)),"Needs a date",IF(AND(D429&lt;&gt;"",NOT(ISNUMBER(D429))),"Amount not a number",IF(N(D429)&lt;0,"Amount below zero",IF(AND(N(D429)=0,G429=""),"Needs an amount or goods",IF(C429="","",IF(COUNTIF(Donors!$B$6:$B$305,C429)=0,"Not on Donors","")))))))</f>
        <v/>
      </c>
      <c r="K429" s="1">
        <f>IF(ISNUMBER(B429),YEAR(B429),"")</f>
        <v/>
      </c>
      <c r="L429">
        <f>IF(ISNUMBER(B429),YEAR(B429)*100+MONTH(B429),"")</f>
        <v/>
      </c>
      <c r="M429">
        <f>IF(ISNUMBER(B429),INT(B429),0)</f>
        <v/>
      </c>
      <c r="N429">
        <f>IF(OR(C429="",F429="",Q429=0),0,IF(COUNTIFS(C$6:C429,C429,F$6:F429,F429,Q$6:Q429,1)=1,1,0))</f>
        <v/>
      </c>
      <c r="O429">
        <f>IF(OR(C429="",Q429=0,H429&lt;&gt;""),"",M429*10000+ROW())</f>
        <v/>
      </c>
      <c r="P429">
        <f>IF(OR(C429="",Q429=0),"",IF(AND(C429=Statement!$C$4,K429=Statement!$C$5),M429*10000+ROW(),""))</f>
        <v/>
      </c>
      <c r="Q429">
        <f>IF(AND(ISNUMBER(B429),OR(N(D429)&gt;0,G429&lt;&gt;"")),1,0)</f>
        <v/>
      </c>
    </row>
    <row r="430">
      <c r="A430" s="1" t="n"/>
      <c r="B430" s="21" t="n"/>
      <c r="C430" s="22" t="n"/>
      <c r="D430" s="23" t="n"/>
      <c r="E430" s="24" t="n"/>
      <c r="F430" s="25" t="n"/>
      <c r="G430" s="25" t="n"/>
      <c r="H430" s="24" t="n"/>
      <c r="I430" s="25" t="n"/>
      <c r="J430" s="17">
        <f>IF(AND(C430="",D430="",G430=""),"",IF(NOT(ISNUMBER(B430)),"Needs a date",IF(AND(D430&lt;&gt;"",NOT(ISNUMBER(D430))),"Amount not a number",IF(N(D430)&lt;0,"Amount below zero",IF(AND(N(D430)=0,G430=""),"Needs an amount or goods",IF(C430="","",IF(COUNTIF(Donors!$B$6:$B$305,C430)=0,"Not on Donors","")))))))</f>
        <v/>
      </c>
      <c r="K430" s="1">
        <f>IF(ISNUMBER(B430),YEAR(B430),"")</f>
        <v/>
      </c>
      <c r="L430">
        <f>IF(ISNUMBER(B430),YEAR(B430)*100+MONTH(B430),"")</f>
        <v/>
      </c>
      <c r="M430">
        <f>IF(ISNUMBER(B430),INT(B430),0)</f>
        <v/>
      </c>
      <c r="N430">
        <f>IF(OR(C430="",F430="",Q430=0),0,IF(COUNTIFS(C$6:C430,C430,F$6:F430,F430,Q$6:Q430,1)=1,1,0))</f>
        <v/>
      </c>
      <c r="O430">
        <f>IF(OR(C430="",Q430=0,H430&lt;&gt;""),"",M430*10000+ROW())</f>
        <v/>
      </c>
      <c r="P430">
        <f>IF(OR(C430="",Q430=0),"",IF(AND(C430=Statement!$C$4,K430=Statement!$C$5),M430*10000+ROW(),""))</f>
        <v/>
      </c>
      <c r="Q430">
        <f>IF(AND(ISNUMBER(B430),OR(N(D430)&gt;0,G430&lt;&gt;"")),1,0)</f>
        <v/>
      </c>
    </row>
    <row r="431">
      <c r="A431" s="1" t="n"/>
      <c r="B431" s="21" t="n"/>
      <c r="C431" s="22" t="n"/>
      <c r="D431" s="23" t="n"/>
      <c r="E431" s="24" t="n"/>
      <c r="F431" s="25" t="n"/>
      <c r="G431" s="25" t="n"/>
      <c r="H431" s="24" t="n"/>
      <c r="I431" s="25" t="n"/>
      <c r="J431" s="17">
        <f>IF(AND(C431="",D431="",G431=""),"",IF(NOT(ISNUMBER(B431)),"Needs a date",IF(AND(D431&lt;&gt;"",NOT(ISNUMBER(D431))),"Amount not a number",IF(N(D431)&lt;0,"Amount below zero",IF(AND(N(D431)=0,G431=""),"Needs an amount or goods",IF(C431="","",IF(COUNTIF(Donors!$B$6:$B$305,C431)=0,"Not on Donors","")))))))</f>
        <v/>
      </c>
      <c r="K431" s="1">
        <f>IF(ISNUMBER(B431),YEAR(B431),"")</f>
        <v/>
      </c>
      <c r="L431">
        <f>IF(ISNUMBER(B431),YEAR(B431)*100+MONTH(B431),"")</f>
        <v/>
      </c>
      <c r="M431">
        <f>IF(ISNUMBER(B431),INT(B431),0)</f>
        <v/>
      </c>
      <c r="N431">
        <f>IF(OR(C431="",F431="",Q431=0),0,IF(COUNTIFS(C$6:C431,C431,F$6:F431,F431,Q$6:Q431,1)=1,1,0))</f>
        <v/>
      </c>
      <c r="O431">
        <f>IF(OR(C431="",Q431=0,H431&lt;&gt;""),"",M431*10000+ROW())</f>
        <v/>
      </c>
      <c r="P431">
        <f>IF(OR(C431="",Q431=0),"",IF(AND(C431=Statement!$C$4,K431=Statement!$C$5),M431*10000+ROW(),""))</f>
        <v/>
      </c>
      <c r="Q431">
        <f>IF(AND(ISNUMBER(B431),OR(N(D431)&gt;0,G431&lt;&gt;"")),1,0)</f>
        <v/>
      </c>
    </row>
    <row r="432">
      <c r="A432" s="1" t="n"/>
      <c r="B432" s="21" t="n"/>
      <c r="C432" s="22" t="n"/>
      <c r="D432" s="23" t="n"/>
      <c r="E432" s="24" t="n"/>
      <c r="F432" s="25" t="n"/>
      <c r="G432" s="25" t="n"/>
      <c r="H432" s="24" t="n"/>
      <c r="I432" s="25" t="n"/>
      <c r="J432" s="17">
        <f>IF(AND(C432="",D432="",G432=""),"",IF(NOT(ISNUMBER(B432)),"Needs a date",IF(AND(D432&lt;&gt;"",NOT(ISNUMBER(D432))),"Amount not a number",IF(N(D432)&lt;0,"Amount below zero",IF(AND(N(D432)=0,G432=""),"Needs an amount or goods",IF(C432="","",IF(COUNTIF(Donors!$B$6:$B$305,C432)=0,"Not on Donors","")))))))</f>
        <v/>
      </c>
      <c r="K432" s="1">
        <f>IF(ISNUMBER(B432),YEAR(B432),"")</f>
        <v/>
      </c>
      <c r="L432">
        <f>IF(ISNUMBER(B432),YEAR(B432)*100+MONTH(B432),"")</f>
        <v/>
      </c>
      <c r="M432">
        <f>IF(ISNUMBER(B432),INT(B432),0)</f>
        <v/>
      </c>
      <c r="N432">
        <f>IF(OR(C432="",F432="",Q432=0),0,IF(COUNTIFS(C$6:C432,C432,F$6:F432,F432,Q$6:Q432,1)=1,1,0))</f>
        <v/>
      </c>
      <c r="O432">
        <f>IF(OR(C432="",Q432=0,H432&lt;&gt;""),"",M432*10000+ROW())</f>
        <v/>
      </c>
      <c r="P432">
        <f>IF(OR(C432="",Q432=0),"",IF(AND(C432=Statement!$C$4,K432=Statement!$C$5),M432*10000+ROW(),""))</f>
        <v/>
      </c>
      <c r="Q432">
        <f>IF(AND(ISNUMBER(B432),OR(N(D432)&gt;0,G432&lt;&gt;"")),1,0)</f>
        <v/>
      </c>
    </row>
    <row r="433">
      <c r="A433" s="1" t="n"/>
      <c r="B433" s="21" t="n"/>
      <c r="C433" s="22" t="n"/>
      <c r="D433" s="23" t="n"/>
      <c r="E433" s="24" t="n"/>
      <c r="F433" s="25" t="n"/>
      <c r="G433" s="25" t="n"/>
      <c r="H433" s="24" t="n"/>
      <c r="I433" s="25" t="n"/>
      <c r="J433" s="17">
        <f>IF(AND(C433="",D433="",G433=""),"",IF(NOT(ISNUMBER(B433)),"Needs a date",IF(AND(D433&lt;&gt;"",NOT(ISNUMBER(D433))),"Amount not a number",IF(N(D433)&lt;0,"Amount below zero",IF(AND(N(D433)=0,G433=""),"Needs an amount or goods",IF(C433="","",IF(COUNTIF(Donors!$B$6:$B$305,C433)=0,"Not on Donors","")))))))</f>
        <v/>
      </c>
      <c r="K433" s="1">
        <f>IF(ISNUMBER(B433),YEAR(B433),"")</f>
        <v/>
      </c>
      <c r="L433">
        <f>IF(ISNUMBER(B433),YEAR(B433)*100+MONTH(B433),"")</f>
        <v/>
      </c>
      <c r="M433">
        <f>IF(ISNUMBER(B433),INT(B433),0)</f>
        <v/>
      </c>
      <c r="N433">
        <f>IF(OR(C433="",F433="",Q433=0),0,IF(COUNTIFS(C$6:C433,C433,F$6:F433,F433,Q$6:Q433,1)=1,1,0))</f>
        <v/>
      </c>
      <c r="O433">
        <f>IF(OR(C433="",Q433=0,H433&lt;&gt;""),"",M433*10000+ROW())</f>
        <v/>
      </c>
      <c r="P433">
        <f>IF(OR(C433="",Q433=0),"",IF(AND(C433=Statement!$C$4,K433=Statement!$C$5),M433*10000+ROW(),""))</f>
        <v/>
      </c>
      <c r="Q433">
        <f>IF(AND(ISNUMBER(B433),OR(N(D433)&gt;0,G433&lt;&gt;"")),1,0)</f>
        <v/>
      </c>
    </row>
    <row r="434">
      <c r="A434" s="1" t="n"/>
      <c r="B434" s="21" t="n"/>
      <c r="C434" s="22" t="n"/>
      <c r="D434" s="23" t="n"/>
      <c r="E434" s="24" t="n"/>
      <c r="F434" s="25" t="n"/>
      <c r="G434" s="25" t="n"/>
      <c r="H434" s="24" t="n"/>
      <c r="I434" s="25" t="n"/>
      <c r="J434" s="17">
        <f>IF(AND(C434="",D434="",G434=""),"",IF(NOT(ISNUMBER(B434)),"Needs a date",IF(AND(D434&lt;&gt;"",NOT(ISNUMBER(D434))),"Amount not a number",IF(N(D434)&lt;0,"Amount below zero",IF(AND(N(D434)=0,G434=""),"Needs an amount or goods",IF(C434="","",IF(COUNTIF(Donors!$B$6:$B$305,C434)=0,"Not on Donors","")))))))</f>
        <v/>
      </c>
      <c r="K434" s="1">
        <f>IF(ISNUMBER(B434),YEAR(B434),"")</f>
        <v/>
      </c>
      <c r="L434">
        <f>IF(ISNUMBER(B434),YEAR(B434)*100+MONTH(B434),"")</f>
        <v/>
      </c>
      <c r="M434">
        <f>IF(ISNUMBER(B434),INT(B434),0)</f>
        <v/>
      </c>
      <c r="N434">
        <f>IF(OR(C434="",F434="",Q434=0),0,IF(COUNTIFS(C$6:C434,C434,F$6:F434,F434,Q$6:Q434,1)=1,1,0))</f>
        <v/>
      </c>
      <c r="O434">
        <f>IF(OR(C434="",Q434=0,H434&lt;&gt;""),"",M434*10000+ROW())</f>
        <v/>
      </c>
      <c r="P434">
        <f>IF(OR(C434="",Q434=0),"",IF(AND(C434=Statement!$C$4,K434=Statement!$C$5),M434*10000+ROW(),""))</f>
        <v/>
      </c>
      <c r="Q434">
        <f>IF(AND(ISNUMBER(B434),OR(N(D434)&gt;0,G434&lt;&gt;"")),1,0)</f>
        <v/>
      </c>
    </row>
    <row r="435">
      <c r="A435" s="1" t="n"/>
      <c r="B435" s="21" t="n"/>
      <c r="C435" s="22" t="n"/>
      <c r="D435" s="23" t="n"/>
      <c r="E435" s="24" t="n"/>
      <c r="F435" s="25" t="n"/>
      <c r="G435" s="25" t="n"/>
      <c r="H435" s="24" t="n"/>
      <c r="I435" s="25" t="n"/>
      <c r="J435" s="17">
        <f>IF(AND(C435="",D435="",G435=""),"",IF(NOT(ISNUMBER(B435)),"Needs a date",IF(AND(D435&lt;&gt;"",NOT(ISNUMBER(D435))),"Amount not a number",IF(N(D435)&lt;0,"Amount below zero",IF(AND(N(D435)=0,G435=""),"Needs an amount or goods",IF(C435="","",IF(COUNTIF(Donors!$B$6:$B$305,C435)=0,"Not on Donors","")))))))</f>
        <v/>
      </c>
      <c r="K435" s="1">
        <f>IF(ISNUMBER(B435),YEAR(B435),"")</f>
        <v/>
      </c>
      <c r="L435">
        <f>IF(ISNUMBER(B435),YEAR(B435)*100+MONTH(B435),"")</f>
        <v/>
      </c>
      <c r="M435">
        <f>IF(ISNUMBER(B435),INT(B435),0)</f>
        <v/>
      </c>
      <c r="N435">
        <f>IF(OR(C435="",F435="",Q435=0),0,IF(COUNTIFS(C$6:C435,C435,F$6:F435,F435,Q$6:Q435,1)=1,1,0))</f>
        <v/>
      </c>
      <c r="O435">
        <f>IF(OR(C435="",Q435=0,H435&lt;&gt;""),"",M435*10000+ROW())</f>
        <v/>
      </c>
      <c r="P435">
        <f>IF(OR(C435="",Q435=0),"",IF(AND(C435=Statement!$C$4,K435=Statement!$C$5),M435*10000+ROW(),""))</f>
        <v/>
      </c>
      <c r="Q435">
        <f>IF(AND(ISNUMBER(B435),OR(N(D435)&gt;0,G435&lt;&gt;"")),1,0)</f>
        <v/>
      </c>
    </row>
    <row r="436">
      <c r="A436" s="1" t="n"/>
      <c r="B436" s="21" t="n"/>
      <c r="C436" s="22" t="n"/>
      <c r="D436" s="23" t="n"/>
      <c r="E436" s="24" t="n"/>
      <c r="F436" s="25" t="n"/>
      <c r="G436" s="25" t="n"/>
      <c r="H436" s="24" t="n"/>
      <c r="I436" s="25" t="n"/>
      <c r="J436" s="17">
        <f>IF(AND(C436="",D436="",G436=""),"",IF(NOT(ISNUMBER(B436)),"Needs a date",IF(AND(D436&lt;&gt;"",NOT(ISNUMBER(D436))),"Amount not a number",IF(N(D436)&lt;0,"Amount below zero",IF(AND(N(D436)=0,G436=""),"Needs an amount or goods",IF(C436="","",IF(COUNTIF(Donors!$B$6:$B$305,C436)=0,"Not on Donors","")))))))</f>
        <v/>
      </c>
      <c r="K436" s="1">
        <f>IF(ISNUMBER(B436),YEAR(B436),"")</f>
        <v/>
      </c>
      <c r="L436">
        <f>IF(ISNUMBER(B436),YEAR(B436)*100+MONTH(B436),"")</f>
        <v/>
      </c>
      <c r="M436">
        <f>IF(ISNUMBER(B436),INT(B436),0)</f>
        <v/>
      </c>
      <c r="N436">
        <f>IF(OR(C436="",F436="",Q436=0),0,IF(COUNTIFS(C$6:C436,C436,F$6:F436,F436,Q$6:Q436,1)=1,1,0))</f>
        <v/>
      </c>
      <c r="O436">
        <f>IF(OR(C436="",Q436=0,H436&lt;&gt;""),"",M436*10000+ROW())</f>
        <v/>
      </c>
      <c r="P436">
        <f>IF(OR(C436="",Q436=0),"",IF(AND(C436=Statement!$C$4,K436=Statement!$C$5),M436*10000+ROW(),""))</f>
        <v/>
      </c>
      <c r="Q436">
        <f>IF(AND(ISNUMBER(B436),OR(N(D436)&gt;0,G436&lt;&gt;"")),1,0)</f>
        <v/>
      </c>
    </row>
    <row r="437">
      <c r="A437" s="1" t="n"/>
      <c r="B437" s="21" t="n"/>
      <c r="C437" s="22" t="n"/>
      <c r="D437" s="23" t="n"/>
      <c r="E437" s="24" t="n"/>
      <c r="F437" s="25" t="n"/>
      <c r="G437" s="25" t="n"/>
      <c r="H437" s="24" t="n"/>
      <c r="I437" s="25" t="n"/>
      <c r="J437" s="17">
        <f>IF(AND(C437="",D437="",G437=""),"",IF(NOT(ISNUMBER(B437)),"Needs a date",IF(AND(D437&lt;&gt;"",NOT(ISNUMBER(D437))),"Amount not a number",IF(N(D437)&lt;0,"Amount below zero",IF(AND(N(D437)=0,G437=""),"Needs an amount or goods",IF(C437="","",IF(COUNTIF(Donors!$B$6:$B$305,C437)=0,"Not on Donors","")))))))</f>
        <v/>
      </c>
      <c r="K437" s="1">
        <f>IF(ISNUMBER(B437),YEAR(B437),"")</f>
        <v/>
      </c>
      <c r="L437">
        <f>IF(ISNUMBER(B437),YEAR(B437)*100+MONTH(B437),"")</f>
        <v/>
      </c>
      <c r="M437">
        <f>IF(ISNUMBER(B437),INT(B437),0)</f>
        <v/>
      </c>
      <c r="N437">
        <f>IF(OR(C437="",F437="",Q437=0),0,IF(COUNTIFS(C$6:C437,C437,F$6:F437,F437,Q$6:Q437,1)=1,1,0))</f>
        <v/>
      </c>
      <c r="O437">
        <f>IF(OR(C437="",Q437=0,H437&lt;&gt;""),"",M437*10000+ROW())</f>
        <v/>
      </c>
      <c r="P437">
        <f>IF(OR(C437="",Q437=0),"",IF(AND(C437=Statement!$C$4,K437=Statement!$C$5),M437*10000+ROW(),""))</f>
        <v/>
      </c>
      <c r="Q437">
        <f>IF(AND(ISNUMBER(B437),OR(N(D437)&gt;0,G437&lt;&gt;"")),1,0)</f>
        <v/>
      </c>
    </row>
    <row r="438">
      <c r="A438" s="1" t="n"/>
      <c r="B438" s="21" t="n"/>
      <c r="C438" s="22" t="n"/>
      <c r="D438" s="23" t="n"/>
      <c r="E438" s="24" t="n"/>
      <c r="F438" s="25" t="n"/>
      <c r="G438" s="25" t="n"/>
      <c r="H438" s="24" t="n"/>
      <c r="I438" s="25" t="n"/>
      <c r="J438" s="17">
        <f>IF(AND(C438="",D438="",G438=""),"",IF(NOT(ISNUMBER(B438)),"Needs a date",IF(AND(D438&lt;&gt;"",NOT(ISNUMBER(D438))),"Amount not a number",IF(N(D438)&lt;0,"Amount below zero",IF(AND(N(D438)=0,G438=""),"Needs an amount or goods",IF(C438="","",IF(COUNTIF(Donors!$B$6:$B$305,C438)=0,"Not on Donors","")))))))</f>
        <v/>
      </c>
      <c r="K438" s="1">
        <f>IF(ISNUMBER(B438),YEAR(B438),"")</f>
        <v/>
      </c>
      <c r="L438">
        <f>IF(ISNUMBER(B438),YEAR(B438)*100+MONTH(B438),"")</f>
        <v/>
      </c>
      <c r="M438">
        <f>IF(ISNUMBER(B438),INT(B438),0)</f>
        <v/>
      </c>
      <c r="N438">
        <f>IF(OR(C438="",F438="",Q438=0),0,IF(COUNTIFS(C$6:C438,C438,F$6:F438,F438,Q$6:Q438,1)=1,1,0))</f>
        <v/>
      </c>
      <c r="O438">
        <f>IF(OR(C438="",Q438=0,H438&lt;&gt;""),"",M438*10000+ROW())</f>
        <v/>
      </c>
      <c r="P438">
        <f>IF(OR(C438="",Q438=0),"",IF(AND(C438=Statement!$C$4,K438=Statement!$C$5),M438*10000+ROW(),""))</f>
        <v/>
      </c>
      <c r="Q438">
        <f>IF(AND(ISNUMBER(B438),OR(N(D438)&gt;0,G438&lt;&gt;"")),1,0)</f>
        <v/>
      </c>
    </row>
    <row r="439">
      <c r="A439" s="1" t="n"/>
      <c r="B439" s="21" t="n"/>
      <c r="C439" s="22" t="n"/>
      <c r="D439" s="23" t="n"/>
      <c r="E439" s="24" t="n"/>
      <c r="F439" s="25" t="n"/>
      <c r="G439" s="25" t="n"/>
      <c r="H439" s="24" t="n"/>
      <c r="I439" s="25" t="n"/>
      <c r="J439" s="17">
        <f>IF(AND(C439="",D439="",G439=""),"",IF(NOT(ISNUMBER(B439)),"Needs a date",IF(AND(D439&lt;&gt;"",NOT(ISNUMBER(D439))),"Amount not a number",IF(N(D439)&lt;0,"Amount below zero",IF(AND(N(D439)=0,G439=""),"Needs an amount or goods",IF(C439="","",IF(COUNTIF(Donors!$B$6:$B$305,C439)=0,"Not on Donors","")))))))</f>
        <v/>
      </c>
      <c r="K439" s="1">
        <f>IF(ISNUMBER(B439),YEAR(B439),"")</f>
        <v/>
      </c>
      <c r="L439">
        <f>IF(ISNUMBER(B439),YEAR(B439)*100+MONTH(B439),"")</f>
        <v/>
      </c>
      <c r="M439">
        <f>IF(ISNUMBER(B439),INT(B439),0)</f>
        <v/>
      </c>
      <c r="N439">
        <f>IF(OR(C439="",F439="",Q439=0),0,IF(COUNTIFS(C$6:C439,C439,F$6:F439,F439,Q$6:Q439,1)=1,1,0))</f>
        <v/>
      </c>
      <c r="O439">
        <f>IF(OR(C439="",Q439=0,H439&lt;&gt;""),"",M439*10000+ROW())</f>
        <v/>
      </c>
      <c r="P439">
        <f>IF(OR(C439="",Q439=0),"",IF(AND(C439=Statement!$C$4,K439=Statement!$C$5),M439*10000+ROW(),""))</f>
        <v/>
      </c>
      <c r="Q439">
        <f>IF(AND(ISNUMBER(B439),OR(N(D439)&gt;0,G439&lt;&gt;"")),1,0)</f>
        <v/>
      </c>
    </row>
    <row r="440">
      <c r="A440" s="1" t="n"/>
      <c r="B440" s="21" t="n"/>
      <c r="C440" s="22" t="n"/>
      <c r="D440" s="23" t="n"/>
      <c r="E440" s="24" t="n"/>
      <c r="F440" s="25" t="n"/>
      <c r="G440" s="25" t="n"/>
      <c r="H440" s="24" t="n"/>
      <c r="I440" s="25" t="n"/>
      <c r="J440" s="17">
        <f>IF(AND(C440="",D440="",G440=""),"",IF(NOT(ISNUMBER(B440)),"Needs a date",IF(AND(D440&lt;&gt;"",NOT(ISNUMBER(D440))),"Amount not a number",IF(N(D440)&lt;0,"Amount below zero",IF(AND(N(D440)=0,G440=""),"Needs an amount or goods",IF(C440="","",IF(COUNTIF(Donors!$B$6:$B$305,C440)=0,"Not on Donors","")))))))</f>
        <v/>
      </c>
      <c r="K440" s="1">
        <f>IF(ISNUMBER(B440),YEAR(B440),"")</f>
        <v/>
      </c>
      <c r="L440">
        <f>IF(ISNUMBER(B440),YEAR(B440)*100+MONTH(B440),"")</f>
        <v/>
      </c>
      <c r="M440">
        <f>IF(ISNUMBER(B440),INT(B440),0)</f>
        <v/>
      </c>
      <c r="N440">
        <f>IF(OR(C440="",F440="",Q440=0),0,IF(COUNTIFS(C$6:C440,C440,F$6:F440,F440,Q$6:Q440,1)=1,1,0))</f>
        <v/>
      </c>
      <c r="O440">
        <f>IF(OR(C440="",Q440=0,H440&lt;&gt;""),"",M440*10000+ROW())</f>
        <v/>
      </c>
      <c r="P440">
        <f>IF(OR(C440="",Q440=0),"",IF(AND(C440=Statement!$C$4,K440=Statement!$C$5),M440*10000+ROW(),""))</f>
        <v/>
      </c>
      <c r="Q440">
        <f>IF(AND(ISNUMBER(B440),OR(N(D440)&gt;0,G440&lt;&gt;"")),1,0)</f>
        <v/>
      </c>
    </row>
    <row r="441">
      <c r="A441" s="1" t="n"/>
      <c r="B441" s="21" t="n"/>
      <c r="C441" s="22" t="n"/>
      <c r="D441" s="23" t="n"/>
      <c r="E441" s="24" t="n"/>
      <c r="F441" s="25" t="n"/>
      <c r="G441" s="25" t="n"/>
      <c r="H441" s="24" t="n"/>
      <c r="I441" s="25" t="n"/>
      <c r="J441" s="17">
        <f>IF(AND(C441="",D441="",G441=""),"",IF(NOT(ISNUMBER(B441)),"Needs a date",IF(AND(D441&lt;&gt;"",NOT(ISNUMBER(D441))),"Amount not a number",IF(N(D441)&lt;0,"Amount below zero",IF(AND(N(D441)=0,G441=""),"Needs an amount or goods",IF(C441="","",IF(COUNTIF(Donors!$B$6:$B$305,C441)=0,"Not on Donors","")))))))</f>
        <v/>
      </c>
      <c r="K441" s="1">
        <f>IF(ISNUMBER(B441),YEAR(B441),"")</f>
        <v/>
      </c>
      <c r="L441">
        <f>IF(ISNUMBER(B441),YEAR(B441)*100+MONTH(B441),"")</f>
        <v/>
      </c>
      <c r="M441">
        <f>IF(ISNUMBER(B441),INT(B441),0)</f>
        <v/>
      </c>
      <c r="N441">
        <f>IF(OR(C441="",F441="",Q441=0),0,IF(COUNTIFS(C$6:C441,C441,F$6:F441,F441,Q$6:Q441,1)=1,1,0))</f>
        <v/>
      </c>
      <c r="O441">
        <f>IF(OR(C441="",Q441=0,H441&lt;&gt;""),"",M441*10000+ROW())</f>
        <v/>
      </c>
      <c r="P441">
        <f>IF(OR(C441="",Q441=0),"",IF(AND(C441=Statement!$C$4,K441=Statement!$C$5),M441*10000+ROW(),""))</f>
        <v/>
      </c>
      <c r="Q441">
        <f>IF(AND(ISNUMBER(B441),OR(N(D441)&gt;0,G441&lt;&gt;"")),1,0)</f>
        <v/>
      </c>
    </row>
    <row r="442">
      <c r="A442" s="1" t="n"/>
      <c r="B442" s="21" t="n"/>
      <c r="C442" s="22" t="n"/>
      <c r="D442" s="23" t="n"/>
      <c r="E442" s="24" t="n"/>
      <c r="F442" s="25" t="n"/>
      <c r="G442" s="25" t="n"/>
      <c r="H442" s="24" t="n"/>
      <c r="I442" s="25" t="n"/>
      <c r="J442" s="17">
        <f>IF(AND(C442="",D442="",G442=""),"",IF(NOT(ISNUMBER(B442)),"Needs a date",IF(AND(D442&lt;&gt;"",NOT(ISNUMBER(D442))),"Amount not a number",IF(N(D442)&lt;0,"Amount below zero",IF(AND(N(D442)=0,G442=""),"Needs an amount or goods",IF(C442="","",IF(COUNTIF(Donors!$B$6:$B$305,C442)=0,"Not on Donors","")))))))</f>
        <v/>
      </c>
      <c r="K442" s="1">
        <f>IF(ISNUMBER(B442),YEAR(B442),"")</f>
        <v/>
      </c>
      <c r="L442">
        <f>IF(ISNUMBER(B442),YEAR(B442)*100+MONTH(B442),"")</f>
        <v/>
      </c>
      <c r="M442">
        <f>IF(ISNUMBER(B442),INT(B442),0)</f>
        <v/>
      </c>
      <c r="N442">
        <f>IF(OR(C442="",F442="",Q442=0),0,IF(COUNTIFS(C$6:C442,C442,F$6:F442,F442,Q$6:Q442,1)=1,1,0))</f>
        <v/>
      </c>
      <c r="O442">
        <f>IF(OR(C442="",Q442=0,H442&lt;&gt;""),"",M442*10000+ROW())</f>
        <v/>
      </c>
      <c r="P442">
        <f>IF(OR(C442="",Q442=0),"",IF(AND(C442=Statement!$C$4,K442=Statement!$C$5),M442*10000+ROW(),""))</f>
        <v/>
      </c>
      <c r="Q442">
        <f>IF(AND(ISNUMBER(B442),OR(N(D442)&gt;0,G442&lt;&gt;"")),1,0)</f>
        <v/>
      </c>
    </row>
    <row r="443">
      <c r="A443" s="1" t="n"/>
      <c r="B443" s="21" t="n"/>
      <c r="C443" s="22" t="n"/>
      <c r="D443" s="23" t="n"/>
      <c r="E443" s="24" t="n"/>
      <c r="F443" s="25" t="n"/>
      <c r="G443" s="25" t="n"/>
      <c r="H443" s="24" t="n"/>
      <c r="I443" s="25" t="n"/>
      <c r="J443" s="17">
        <f>IF(AND(C443="",D443="",G443=""),"",IF(NOT(ISNUMBER(B443)),"Needs a date",IF(AND(D443&lt;&gt;"",NOT(ISNUMBER(D443))),"Amount not a number",IF(N(D443)&lt;0,"Amount below zero",IF(AND(N(D443)=0,G443=""),"Needs an amount or goods",IF(C443="","",IF(COUNTIF(Donors!$B$6:$B$305,C443)=0,"Not on Donors","")))))))</f>
        <v/>
      </c>
      <c r="K443" s="1">
        <f>IF(ISNUMBER(B443),YEAR(B443),"")</f>
        <v/>
      </c>
      <c r="L443">
        <f>IF(ISNUMBER(B443),YEAR(B443)*100+MONTH(B443),"")</f>
        <v/>
      </c>
      <c r="M443">
        <f>IF(ISNUMBER(B443),INT(B443),0)</f>
        <v/>
      </c>
      <c r="N443">
        <f>IF(OR(C443="",F443="",Q443=0),0,IF(COUNTIFS(C$6:C443,C443,F$6:F443,F443,Q$6:Q443,1)=1,1,0))</f>
        <v/>
      </c>
      <c r="O443">
        <f>IF(OR(C443="",Q443=0,H443&lt;&gt;""),"",M443*10000+ROW())</f>
        <v/>
      </c>
      <c r="P443">
        <f>IF(OR(C443="",Q443=0),"",IF(AND(C443=Statement!$C$4,K443=Statement!$C$5),M443*10000+ROW(),""))</f>
        <v/>
      </c>
      <c r="Q443">
        <f>IF(AND(ISNUMBER(B443),OR(N(D443)&gt;0,G443&lt;&gt;"")),1,0)</f>
        <v/>
      </c>
    </row>
    <row r="444">
      <c r="A444" s="1" t="n"/>
      <c r="B444" s="21" t="n"/>
      <c r="C444" s="22" t="n"/>
      <c r="D444" s="23" t="n"/>
      <c r="E444" s="24" t="n"/>
      <c r="F444" s="25" t="n"/>
      <c r="G444" s="25" t="n"/>
      <c r="H444" s="24" t="n"/>
      <c r="I444" s="25" t="n"/>
      <c r="J444" s="17">
        <f>IF(AND(C444="",D444="",G444=""),"",IF(NOT(ISNUMBER(B444)),"Needs a date",IF(AND(D444&lt;&gt;"",NOT(ISNUMBER(D444))),"Amount not a number",IF(N(D444)&lt;0,"Amount below zero",IF(AND(N(D444)=0,G444=""),"Needs an amount or goods",IF(C444="","",IF(COUNTIF(Donors!$B$6:$B$305,C444)=0,"Not on Donors","")))))))</f>
        <v/>
      </c>
      <c r="K444" s="1">
        <f>IF(ISNUMBER(B444),YEAR(B444),"")</f>
        <v/>
      </c>
      <c r="L444">
        <f>IF(ISNUMBER(B444),YEAR(B444)*100+MONTH(B444),"")</f>
        <v/>
      </c>
      <c r="M444">
        <f>IF(ISNUMBER(B444),INT(B444),0)</f>
        <v/>
      </c>
      <c r="N444">
        <f>IF(OR(C444="",F444="",Q444=0),0,IF(COUNTIFS(C$6:C444,C444,F$6:F444,F444,Q$6:Q444,1)=1,1,0))</f>
        <v/>
      </c>
      <c r="O444">
        <f>IF(OR(C444="",Q444=0,H444&lt;&gt;""),"",M444*10000+ROW())</f>
        <v/>
      </c>
      <c r="P444">
        <f>IF(OR(C444="",Q444=0),"",IF(AND(C444=Statement!$C$4,K444=Statement!$C$5),M444*10000+ROW(),""))</f>
        <v/>
      </c>
      <c r="Q444">
        <f>IF(AND(ISNUMBER(B444),OR(N(D444)&gt;0,G444&lt;&gt;"")),1,0)</f>
        <v/>
      </c>
    </row>
    <row r="445">
      <c r="A445" s="1" t="n"/>
      <c r="B445" s="21" t="n"/>
      <c r="C445" s="22" t="n"/>
      <c r="D445" s="23" t="n"/>
      <c r="E445" s="24" t="n"/>
      <c r="F445" s="25" t="n"/>
      <c r="G445" s="25" t="n"/>
      <c r="H445" s="24" t="n"/>
      <c r="I445" s="25" t="n"/>
      <c r="J445" s="17">
        <f>IF(AND(C445="",D445="",G445=""),"",IF(NOT(ISNUMBER(B445)),"Needs a date",IF(AND(D445&lt;&gt;"",NOT(ISNUMBER(D445))),"Amount not a number",IF(N(D445)&lt;0,"Amount below zero",IF(AND(N(D445)=0,G445=""),"Needs an amount or goods",IF(C445="","",IF(COUNTIF(Donors!$B$6:$B$305,C445)=0,"Not on Donors","")))))))</f>
        <v/>
      </c>
      <c r="K445" s="1">
        <f>IF(ISNUMBER(B445),YEAR(B445),"")</f>
        <v/>
      </c>
      <c r="L445">
        <f>IF(ISNUMBER(B445),YEAR(B445)*100+MONTH(B445),"")</f>
        <v/>
      </c>
      <c r="M445">
        <f>IF(ISNUMBER(B445),INT(B445),0)</f>
        <v/>
      </c>
      <c r="N445">
        <f>IF(OR(C445="",F445="",Q445=0),0,IF(COUNTIFS(C$6:C445,C445,F$6:F445,F445,Q$6:Q445,1)=1,1,0))</f>
        <v/>
      </c>
      <c r="O445">
        <f>IF(OR(C445="",Q445=0,H445&lt;&gt;""),"",M445*10000+ROW())</f>
        <v/>
      </c>
      <c r="P445">
        <f>IF(OR(C445="",Q445=0),"",IF(AND(C445=Statement!$C$4,K445=Statement!$C$5),M445*10000+ROW(),""))</f>
        <v/>
      </c>
      <c r="Q445">
        <f>IF(AND(ISNUMBER(B445),OR(N(D445)&gt;0,G445&lt;&gt;"")),1,0)</f>
        <v/>
      </c>
    </row>
    <row r="446">
      <c r="A446" s="1" t="n"/>
      <c r="B446" s="21" t="n"/>
      <c r="C446" s="22" t="n"/>
      <c r="D446" s="23" t="n"/>
      <c r="E446" s="24" t="n"/>
      <c r="F446" s="25" t="n"/>
      <c r="G446" s="25" t="n"/>
      <c r="H446" s="24" t="n"/>
      <c r="I446" s="25" t="n"/>
      <c r="J446" s="17">
        <f>IF(AND(C446="",D446="",G446=""),"",IF(NOT(ISNUMBER(B446)),"Needs a date",IF(AND(D446&lt;&gt;"",NOT(ISNUMBER(D446))),"Amount not a number",IF(N(D446)&lt;0,"Amount below zero",IF(AND(N(D446)=0,G446=""),"Needs an amount or goods",IF(C446="","",IF(COUNTIF(Donors!$B$6:$B$305,C446)=0,"Not on Donors","")))))))</f>
        <v/>
      </c>
      <c r="K446" s="1">
        <f>IF(ISNUMBER(B446),YEAR(B446),"")</f>
        <v/>
      </c>
      <c r="L446">
        <f>IF(ISNUMBER(B446),YEAR(B446)*100+MONTH(B446),"")</f>
        <v/>
      </c>
      <c r="M446">
        <f>IF(ISNUMBER(B446),INT(B446),0)</f>
        <v/>
      </c>
      <c r="N446">
        <f>IF(OR(C446="",F446="",Q446=0),0,IF(COUNTIFS(C$6:C446,C446,F$6:F446,F446,Q$6:Q446,1)=1,1,0))</f>
        <v/>
      </c>
      <c r="O446">
        <f>IF(OR(C446="",Q446=0,H446&lt;&gt;""),"",M446*10000+ROW())</f>
        <v/>
      </c>
      <c r="P446">
        <f>IF(OR(C446="",Q446=0),"",IF(AND(C446=Statement!$C$4,K446=Statement!$C$5),M446*10000+ROW(),""))</f>
        <v/>
      </c>
      <c r="Q446">
        <f>IF(AND(ISNUMBER(B446),OR(N(D446)&gt;0,G446&lt;&gt;"")),1,0)</f>
        <v/>
      </c>
    </row>
    <row r="447">
      <c r="A447" s="1" t="n"/>
      <c r="B447" s="21" t="n"/>
      <c r="C447" s="22" t="n"/>
      <c r="D447" s="23" t="n"/>
      <c r="E447" s="24" t="n"/>
      <c r="F447" s="25" t="n"/>
      <c r="G447" s="25" t="n"/>
      <c r="H447" s="24" t="n"/>
      <c r="I447" s="25" t="n"/>
      <c r="J447" s="17">
        <f>IF(AND(C447="",D447="",G447=""),"",IF(NOT(ISNUMBER(B447)),"Needs a date",IF(AND(D447&lt;&gt;"",NOT(ISNUMBER(D447))),"Amount not a number",IF(N(D447)&lt;0,"Amount below zero",IF(AND(N(D447)=0,G447=""),"Needs an amount or goods",IF(C447="","",IF(COUNTIF(Donors!$B$6:$B$305,C447)=0,"Not on Donors","")))))))</f>
        <v/>
      </c>
      <c r="K447" s="1">
        <f>IF(ISNUMBER(B447),YEAR(B447),"")</f>
        <v/>
      </c>
      <c r="L447">
        <f>IF(ISNUMBER(B447),YEAR(B447)*100+MONTH(B447),"")</f>
        <v/>
      </c>
      <c r="M447">
        <f>IF(ISNUMBER(B447),INT(B447),0)</f>
        <v/>
      </c>
      <c r="N447">
        <f>IF(OR(C447="",F447="",Q447=0),0,IF(COUNTIFS(C$6:C447,C447,F$6:F447,F447,Q$6:Q447,1)=1,1,0))</f>
        <v/>
      </c>
      <c r="O447">
        <f>IF(OR(C447="",Q447=0,H447&lt;&gt;""),"",M447*10000+ROW())</f>
        <v/>
      </c>
      <c r="P447">
        <f>IF(OR(C447="",Q447=0),"",IF(AND(C447=Statement!$C$4,K447=Statement!$C$5),M447*10000+ROW(),""))</f>
        <v/>
      </c>
      <c r="Q447">
        <f>IF(AND(ISNUMBER(B447),OR(N(D447)&gt;0,G447&lt;&gt;"")),1,0)</f>
        <v/>
      </c>
    </row>
    <row r="448">
      <c r="A448" s="1" t="n"/>
      <c r="B448" s="21" t="n"/>
      <c r="C448" s="22" t="n"/>
      <c r="D448" s="23" t="n"/>
      <c r="E448" s="24" t="n"/>
      <c r="F448" s="25" t="n"/>
      <c r="G448" s="25" t="n"/>
      <c r="H448" s="24" t="n"/>
      <c r="I448" s="25" t="n"/>
      <c r="J448" s="17">
        <f>IF(AND(C448="",D448="",G448=""),"",IF(NOT(ISNUMBER(B448)),"Needs a date",IF(AND(D448&lt;&gt;"",NOT(ISNUMBER(D448))),"Amount not a number",IF(N(D448)&lt;0,"Amount below zero",IF(AND(N(D448)=0,G448=""),"Needs an amount or goods",IF(C448="","",IF(COUNTIF(Donors!$B$6:$B$305,C448)=0,"Not on Donors","")))))))</f>
        <v/>
      </c>
      <c r="K448" s="1">
        <f>IF(ISNUMBER(B448),YEAR(B448),"")</f>
        <v/>
      </c>
      <c r="L448">
        <f>IF(ISNUMBER(B448),YEAR(B448)*100+MONTH(B448),"")</f>
        <v/>
      </c>
      <c r="M448">
        <f>IF(ISNUMBER(B448),INT(B448),0)</f>
        <v/>
      </c>
      <c r="N448">
        <f>IF(OR(C448="",F448="",Q448=0),0,IF(COUNTIFS(C$6:C448,C448,F$6:F448,F448,Q$6:Q448,1)=1,1,0))</f>
        <v/>
      </c>
      <c r="O448">
        <f>IF(OR(C448="",Q448=0,H448&lt;&gt;""),"",M448*10000+ROW())</f>
        <v/>
      </c>
      <c r="P448">
        <f>IF(OR(C448="",Q448=0),"",IF(AND(C448=Statement!$C$4,K448=Statement!$C$5),M448*10000+ROW(),""))</f>
        <v/>
      </c>
      <c r="Q448">
        <f>IF(AND(ISNUMBER(B448),OR(N(D448)&gt;0,G448&lt;&gt;"")),1,0)</f>
        <v/>
      </c>
    </row>
    <row r="449">
      <c r="A449" s="1" t="n"/>
      <c r="B449" s="21" t="n"/>
      <c r="C449" s="22" t="n"/>
      <c r="D449" s="23" t="n"/>
      <c r="E449" s="24" t="n"/>
      <c r="F449" s="25" t="n"/>
      <c r="G449" s="25" t="n"/>
      <c r="H449" s="24" t="n"/>
      <c r="I449" s="25" t="n"/>
      <c r="J449" s="17">
        <f>IF(AND(C449="",D449="",G449=""),"",IF(NOT(ISNUMBER(B449)),"Needs a date",IF(AND(D449&lt;&gt;"",NOT(ISNUMBER(D449))),"Amount not a number",IF(N(D449)&lt;0,"Amount below zero",IF(AND(N(D449)=0,G449=""),"Needs an amount or goods",IF(C449="","",IF(COUNTIF(Donors!$B$6:$B$305,C449)=0,"Not on Donors","")))))))</f>
        <v/>
      </c>
      <c r="K449" s="1">
        <f>IF(ISNUMBER(B449),YEAR(B449),"")</f>
        <v/>
      </c>
      <c r="L449">
        <f>IF(ISNUMBER(B449),YEAR(B449)*100+MONTH(B449),"")</f>
        <v/>
      </c>
      <c r="M449">
        <f>IF(ISNUMBER(B449),INT(B449),0)</f>
        <v/>
      </c>
      <c r="N449">
        <f>IF(OR(C449="",F449="",Q449=0),0,IF(COUNTIFS(C$6:C449,C449,F$6:F449,F449,Q$6:Q449,1)=1,1,0))</f>
        <v/>
      </c>
      <c r="O449">
        <f>IF(OR(C449="",Q449=0,H449&lt;&gt;""),"",M449*10000+ROW())</f>
        <v/>
      </c>
      <c r="P449">
        <f>IF(OR(C449="",Q449=0),"",IF(AND(C449=Statement!$C$4,K449=Statement!$C$5),M449*10000+ROW(),""))</f>
        <v/>
      </c>
      <c r="Q449">
        <f>IF(AND(ISNUMBER(B449),OR(N(D449)&gt;0,G449&lt;&gt;"")),1,0)</f>
        <v/>
      </c>
    </row>
    <row r="450">
      <c r="A450" s="1" t="n"/>
      <c r="B450" s="21" t="n"/>
      <c r="C450" s="22" t="n"/>
      <c r="D450" s="23" t="n"/>
      <c r="E450" s="24" t="n"/>
      <c r="F450" s="25" t="n"/>
      <c r="G450" s="25" t="n"/>
      <c r="H450" s="24" t="n"/>
      <c r="I450" s="25" t="n"/>
      <c r="J450" s="17">
        <f>IF(AND(C450="",D450="",G450=""),"",IF(NOT(ISNUMBER(B450)),"Needs a date",IF(AND(D450&lt;&gt;"",NOT(ISNUMBER(D450))),"Amount not a number",IF(N(D450)&lt;0,"Amount below zero",IF(AND(N(D450)=0,G450=""),"Needs an amount or goods",IF(C450="","",IF(COUNTIF(Donors!$B$6:$B$305,C450)=0,"Not on Donors","")))))))</f>
        <v/>
      </c>
      <c r="K450" s="1">
        <f>IF(ISNUMBER(B450),YEAR(B450),"")</f>
        <v/>
      </c>
      <c r="L450">
        <f>IF(ISNUMBER(B450),YEAR(B450)*100+MONTH(B450),"")</f>
        <v/>
      </c>
      <c r="M450">
        <f>IF(ISNUMBER(B450),INT(B450),0)</f>
        <v/>
      </c>
      <c r="N450">
        <f>IF(OR(C450="",F450="",Q450=0),0,IF(COUNTIFS(C$6:C450,C450,F$6:F450,F450,Q$6:Q450,1)=1,1,0))</f>
        <v/>
      </c>
      <c r="O450">
        <f>IF(OR(C450="",Q450=0,H450&lt;&gt;""),"",M450*10000+ROW())</f>
        <v/>
      </c>
      <c r="P450">
        <f>IF(OR(C450="",Q450=0),"",IF(AND(C450=Statement!$C$4,K450=Statement!$C$5),M450*10000+ROW(),""))</f>
        <v/>
      </c>
      <c r="Q450">
        <f>IF(AND(ISNUMBER(B450),OR(N(D450)&gt;0,G450&lt;&gt;"")),1,0)</f>
        <v/>
      </c>
    </row>
    <row r="451">
      <c r="A451" s="1" t="n"/>
      <c r="B451" s="21" t="n"/>
      <c r="C451" s="22" t="n"/>
      <c r="D451" s="23" t="n"/>
      <c r="E451" s="24" t="n"/>
      <c r="F451" s="25" t="n"/>
      <c r="G451" s="25" t="n"/>
      <c r="H451" s="24" t="n"/>
      <c r="I451" s="25" t="n"/>
      <c r="J451" s="17">
        <f>IF(AND(C451="",D451="",G451=""),"",IF(NOT(ISNUMBER(B451)),"Needs a date",IF(AND(D451&lt;&gt;"",NOT(ISNUMBER(D451))),"Amount not a number",IF(N(D451)&lt;0,"Amount below zero",IF(AND(N(D451)=0,G451=""),"Needs an amount or goods",IF(C451="","",IF(COUNTIF(Donors!$B$6:$B$305,C451)=0,"Not on Donors","")))))))</f>
        <v/>
      </c>
      <c r="K451" s="1">
        <f>IF(ISNUMBER(B451),YEAR(B451),"")</f>
        <v/>
      </c>
      <c r="L451">
        <f>IF(ISNUMBER(B451),YEAR(B451)*100+MONTH(B451),"")</f>
        <v/>
      </c>
      <c r="M451">
        <f>IF(ISNUMBER(B451),INT(B451),0)</f>
        <v/>
      </c>
      <c r="N451">
        <f>IF(OR(C451="",F451="",Q451=0),0,IF(COUNTIFS(C$6:C451,C451,F$6:F451,F451,Q$6:Q451,1)=1,1,0))</f>
        <v/>
      </c>
      <c r="O451">
        <f>IF(OR(C451="",Q451=0,H451&lt;&gt;""),"",M451*10000+ROW())</f>
        <v/>
      </c>
      <c r="P451">
        <f>IF(OR(C451="",Q451=0),"",IF(AND(C451=Statement!$C$4,K451=Statement!$C$5),M451*10000+ROW(),""))</f>
        <v/>
      </c>
      <c r="Q451">
        <f>IF(AND(ISNUMBER(B451),OR(N(D451)&gt;0,G451&lt;&gt;"")),1,0)</f>
        <v/>
      </c>
    </row>
    <row r="452">
      <c r="A452" s="1" t="n"/>
      <c r="B452" s="21" t="n"/>
      <c r="C452" s="22" t="n"/>
      <c r="D452" s="23" t="n"/>
      <c r="E452" s="24" t="n"/>
      <c r="F452" s="25" t="n"/>
      <c r="G452" s="25" t="n"/>
      <c r="H452" s="24" t="n"/>
      <c r="I452" s="25" t="n"/>
      <c r="J452" s="17">
        <f>IF(AND(C452="",D452="",G452=""),"",IF(NOT(ISNUMBER(B452)),"Needs a date",IF(AND(D452&lt;&gt;"",NOT(ISNUMBER(D452))),"Amount not a number",IF(N(D452)&lt;0,"Amount below zero",IF(AND(N(D452)=0,G452=""),"Needs an amount or goods",IF(C452="","",IF(COUNTIF(Donors!$B$6:$B$305,C452)=0,"Not on Donors","")))))))</f>
        <v/>
      </c>
      <c r="K452" s="1">
        <f>IF(ISNUMBER(B452),YEAR(B452),"")</f>
        <v/>
      </c>
      <c r="L452">
        <f>IF(ISNUMBER(B452),YEAR(B452)*100+MONTH(B452),"")</f>
        <v/>
      </c>
      <c r="M452">
        <f>IF(ISNUMBER(B452),INT(B452),0)</f>
        <v/>
      </c>
      <c r="N452">
        <f>IF(OR(C452="",F452="",Q452=0),0,IF(COUNTIFS(C$6:C452,C452,F$6:F452,F452,Q$6:Q452,1)=1,1,0))</f>
        <v/>
      </c>
      <c r="O452">
        <f>IF(OR(C452="",Q452=0,H452&lt;&gt;""),"",M452*10000+ROW())</f>
        <v/>
      </c>
      <c r="P452">
        <f>IF(OR(C452="",Q452=0),"",IF(AND(C452=Statement!$C$4,K452=Statement!$C$5),M452*10000+ROW(),""))</f>
        <v/>
      </c>
      <c r="Q452">
        <f>IF(AND(ISNUMBER(B452),OR(N(D452)&gt;0,G452&lt;&gt;"")),1,0)</f>
        <v/>
      </c>
    </row>
    <row r="453">
      <c r="A453" s="1" t="n"/>
      <c r="B453" s="21" t="n"/>
      <c r="C453" s="22" t="n"/>
      <c r="D453" s="23" t="n"/>
      <c r="E453" s="24" t="n"/>
      <c r="F453" s="25" t="n"/>
      <c r="G453" s="25" t="n"/>
      <c r="H453" s="24" t="n"/>
      <c r="I453" s="25" t="n"/>
      <c r="J453" s="17">
        <f>IF(AND(C453="",D453="",G453=""),"",IF(NOT(ISNUMBER(B453)),"Needs a date",IF(AND(D453&lt;&gt;"",NOT(ISNUMBER(D453))),"Amount not a number",IF(N(D453)&lt;0,"Amount below zero",IF(AND(N(D453)=0,G453=""),"Needs an amount or goods",IF(C453="","",IF(COUNTIF(Donors!$B$6:$B$305,C453)=0,"Not on Donors","")))))))</f>
        <v/>
      </c>
      <c r="K453" s="1">
        <f>IF(ISNUMBER(B453),YEAR(B453),"")</f>
        <v/>
      </c>
      <c r="L453">
        <f>IF(ISNUMBER(B453),YEAR(B453)*100+MONTH(B453),"")</f>
        <v/>
      </c>
      <c r="M453">
        <f>IF(ISNUMBER(B453),INT(B453),0)</f>
        <v/>
      </c>
      <c r="N453">
        <f>IF(OR(C453="",F453="",Q453=0),0,IF(COUNTIFS(C$6:C453,C453,F$6:F453,F453,Q$6:Q453,1)=1,1,0))</f>
        <v/>
      </c>
      <c r="O453">
        <f>IF(OR(C453="",Q453=0,H453&lt;&gt;""),"",M453*10000+ROW())</f>
        <v/>
      </c>
      <c r="P453">
        <f>IF(OR(C453="",Q453=0),"",IF(AND(C453=Statement!$C$4,K453=Statement!$C$5),M453*10000+ROW(),""))</f>
        <v/>
      </c>
      <c r="Q453">
        <f>IF(AND(ISNUMBER(B453),OR(N(D453)&gt;0,G453&lt;&gt;"")),1,0)</f>
        <v/>
      </c>
    </row>
    <row r="454">
      <c r="A454" s="1" t="n"/>
      <c r="B454" s="21" t="n"/>
      <c r="C454" s="22" t="n"/>
      <c r="D454" s="23" t="n"/>
      <c r="E454" s="24" t="n"/>
      <c r="F454" s="25" t="n"/>
      <c r="G454" s="25" t="n"/>
      <c r="H454" s="24" t="n"/>
      <c r="I454" s="25" t="n"/>
      <c r="J454" s="17">
        <f>IF(AND(C454="",D454="",G454=""),"",IF(NOT(ISNUMBER(B454)),"Needs a date",IF(AND(D454&lt;&gt;"",NOT(ISNUMBER(D454))),"Amount not a number",IF(N(D454)&lt;0,"Amount below zero",IF(AND(N(D454)=0,G454=""),"Needs an amount or goods",IF(C454="","",IF(COUNTIF(Donors!$B$6:$B$305,C454)=0,"Not on Donors","")))))))</f>
        <v/>
      </c>
      <c r="K454" s="1">
        <f>IF(ISNUMBER(B454),YEAR(B454),"")</f>
        <v/>
      </c>
      <c r="L454">
        <f>IF(ISNUMBER(B454),YEAR(B454)*100+MONTH(B454),"")</f>
        <v/>
      </c>
      <c r="M454">
        <f>IF(ISNUMBER(B454),INT(B454),0)</f>
        <v/>
      </c>
      <c r="N454">
        <f>IF(OR(C454="",F454="",Q454=0),0,IF(COUNTIFS(C$6:C454,C454,F$6:F454,F454,Q$6:Q454,1)=1,1,0))</f>
        <v/>
      </c>
      <c r="O454">
        <f>IF(OR(C454="",Q454=0,H454&lt;&gt;""),"",M454*10000+ROW())</f>
        <v/>
      </c>
      <c r="P454">
        <f>IF(OR(C454="",Q454=0),"",IF(AND(C454=Statement!$C$4,K454=Statement!$C$5),M454*10000+ROW(),""))</f>
        <v/>
      </c>
      <c r="Q454">
        <f>IF(AND(ISNUMBER(B454),OR(N(D454)&gt;0,G454&lt;&gt;"")),1,0)</f>
        <v/>
      </c>
    </row>
    <row r="455">
      <c r="A455" s="1" t="n"/>
      <c r="B455" s="21" t="n"/>
      <c r="C455" s="22" t="n"/>
      <c r="D455" s="23" t="n"/>
      <c r="E455" s="24" t="n"/>
      <c r="F455" s="25" t="n"/>
      <c r="G455" s="25" t="n"/>
      <c r="H455" s="24" t="n"/>
      <c r="I455" s="25" t="n"/>
      <c r="J455" s="17">
        <f>IF(AND(C455="",D455="",G455=""),"",IF(NOT(ISNUMBER(B455)),"Needs a date",IF(AND(D455&lt;&gt;"",NOT(ISNUMBER(D455))),"Amount not a number",IF(N(D455)&lt;0,"Amount below zero",IF(AND(N(D455)=0,G455=""),"Needs an amount or goods",IF(C455="","",IF(COUNTIF(Donors!$B$6:$B$305,C455)=0,"Not on Donors","")))))))</f>
        <v/>
      </c>
      <c r="K455" s="1">
        <f>IF(ISNUMBER(B455),YEAR(B455),"")</f>
        <v/>
      </c>
      <c r="L455">
        <f>IF(ISNUMBER(B455),YEAR(B455)*100+MONTH(B455),"")</f>
        <v/>
      </c>
      <c r="M455">
        <f>IF(ISNUMBER(B455),INT(B455),0)</f>
        <v/>
      </c>
      <c r="N455">
        <f>IF(OR(C455="",F455="",Q455=0),0,IF(COUNTIFS(C$6:C455,C455,F$6:F455,F455,Q$6:Q455,1)=1,1,0))</f>
        <v/>
      </c>
      <c r="O455">
        <f>IF(OR(C455="",Q455=0,H455&lt;&gt;""),"",M455*10000+ROW())</f>
        <v/>
      </c>
      <c r="P455">
        <f>IF(OR(C455="",Q455=0),"",IF(AND(C455=Statement!$C$4,K455=Statement!$C$5),M455*10000+ROW(),""))</f>
        <v/>
      </c>
      <c r="Q455">
        <f>IF(AND(ISNUMBER(B455),OR(N(D455)&gt;0,G455&lt;&gt;"")),1,0)</f>
        <v/>
      </c>
    </row>
    <row r="456">
      <c r="A456" s="1" t="n"/>
      <c r="B456" s="21" t="n"/>
      <c r="C456" s="22" t="n"/>
      <c r="D456" s="23" t="n"/>
      <c r="E456" s="24" t="n"/>
      <c r="F456" s="25" t="n"/>
      <c r="G456" s="25" t="n"/>
      <c r="H456" s="24" t="n"/>
      <c r="I456" s="25" t="n"/>
      <c r="J456" s="17">
        <f>IF(AND(C456="",D456="",G456=""),"",IF(NOT(ISNUMBER(B456)),"Needs a date",IF(AND(D456&lt;&gt;"",NOT(ISNUMBER(D456))),"Amount not a number",IF(N(D456)&lt;0,"Amount below zero",IF(AND(N(D456)=0,G456=""),"Needs an amount or goods",IF(C456="","",IF(COUNTIF(Donors!$B$6:$B$305,C456)=0,"Not on Donors","")))))))</f>
        <v/>
      </c>
      <c r="K456" s="1">
        <f>IF(ISNUMBER(B456),YEAR(B456),"")</f>
        <v/>
      </c>
      <c r="L456">
        <f>IF(ISNUMBER(B456),YEAR(B456)*100+MONTH(B456),"")</f>
        <v/>
      </c>
      <c r="M456">
        <f>IF(ISNUMBER(B456),INT(B456),0)</f>
        <v/>
      </c>
      <c r="N456">
        <f>IF(OR(C456="",F456="",Q456=0),0,IF(COUNTIFS(C$6:C456,C456,F$6:F456,F456,Q$6:Q456,1)=1,1,0))</f>
        <v/>
      </c>
      <c r="O456">
        <f>IF(OR(C456="",Q456=0,H456&lt;&gt;""),"",M456*10000+ROW())</f>
        <v/>
      </c>
      <c r="P456">
        <f>IF(OR(C456="",Q456=0),"",IF(AND(C456=Statement!$C$4,K456=Statement!$C$5),M456*10000+ROW(),""))</f>
        <v/>
      </c>
      <c r="Q456">
        <f>IF(AND(ISNUMBER(B456),OR(N(D456)&gt;0,G456&lt;&gt;"")),1,0)</f>
        <v/>
      </c>
    </row>
    <row r="457">
      <c r="A457" s="1" t="n"/>
      <c r="B457" s="21" t="n"/>
      <c r="C457" s="22" t="n"/>
      <c r="D457" s="23" t="n"/>
      <c r="E457" s="24" t="n"/>
      <c r="F457" s="25" t="n"/>
      <c r="G457" s="25" t="n"/>
      <c r="H457" s="24" t="n"/>
      <c r="I457" s="25" t="n"/>
      <c r="J457" s="17">
        <f>IF(AND(C457="",D457="",G457=""),"",IF(NOT(ISNUMBER(B457)),"Needs a date",IF(AND(D457&lt;&gt;"",NOT(ISNUMBER(D457))),"Amount not a number",IF(N(D457)&lt;0,"Amount below zero",IF(AND(N(D457)=0,G457=""),"Needs an amount or goods",IF(C457="","",IF(COUNTIF(Donors!$B$6:$B$305,C457)=0,"Not on Donors","")))))))</f>
        <v/>
      </c>
      <c r="K457" s="1">
        <f>IF(ISNUMBER(B457),YEAR(B457),"")</f>
        <v/>
      </c>
      <c r="L457">
        <f>IF(ISNUMBER(B457),YEAR(B457)*100+MONTH(B457),"")</f>
        <v/>
      </c>
      <c r="M457">
        <f>IF(ISNUMBER(B457),INT(B457),0)</f>
        <v/>
      </c>
      <c r="N457">
        <f>IF(OR(C457="",F457="",Q457=0),0,IF(COUNTIFS(C$6:C457,C457,F$6:F457,F457,Q$6:Q457,1)=1,1,0))</f>
        <v/>
      </c>
      <c r="O457">
        <f>IF(OR(C457="",Q457=0,H457&lt;&gt;""),"",M457*10000+ROW())</f>
        <v/>
      </c>
      <c r="P457">
        <f>IF(OR(C457="",Q457=0),"",IF(AND(C457=Statement!$C$4,K457=Statement!$C$5),M457*10000+ROW(),""))</f>
        <v/>
      </c>
      <c r="Q457">
        <f>IF(AND(ISNUMBER(B457),OR(N(D457)&gt;0,G457&lt;&gt;"")),1,0)</f>
        <v/>
      </c>
    </row>
    <row r="458">
      <c r="A458" s="1" t="n"/>
      <c r="B458" s="21" t="n"/>
      <c r="C458" s="22" t="n"/>
      <c r="D458" s="23" t="n"/>
      <c r="E458" s="24" t="n"/>
      <c r="F458" s="25" t="n"/>
      <c r="G458" s="25" t="n"/>
      <c r="H458" s="24" t="n"/>
      <c r="I458" s="25" t="n"/>
      <c r="J458" s="17">
        <f>IF(AND(C458="",D458="",G458=""),"",IF(NOT(ISNUMBER(B458)),"Needs a date",IF(AND(D458&lt;&gt;"",NOT(ISNUMBER(D458))),"Amount not a number",IF(N(D458)&lt;0,"Amount below zero",IF(AND(N(D458)=0,G458=""),"Needs an amount or goods",IF(C458="","",IF(COUNTIF(Donors!$B$6:$B$305,C458)=0,"Not on Donors","")))))))</f>
        <v/>
      </c>
      <c r="K458" s="1">
        <f>IF(ISNUMBER(B458),YEAR(B458),"")</f>
        <v/>
      </c>
      <c r="L458">
        <f>IF(ISNUMBER(B458),YEAR(B458)*100+MONTH(B458),"")</f>
        <v/>
      </c>
      <c r="M458">
        <f>IF(ISNUMBER(B458),INT(B458),0)</f>
        <v/>
      </c>
      <c r="N458">
        <f>IF(OR(C458="",F458="",Q458=0),0,IF(COUNTIFS(C$6:C458,C458,F$6:F458,F458,Q$6:Q458,1)=1,1,0))</f>
        <v/>
      </c>
      <c r="O458">
        <f>IF(OR(C458="",Q458=0,H458&lt;&gt;""),"",M458*10000+ROW())</f>
        <v/>
      </c>
      <c r="P458">
        <f>IF(OR(C458="",Q458=0),"",IF(AND(C458=Statement!$C$4,K458=Statement!$C$5),M458*10000+ROW(),""))</f>
        <v/>
      </c>
      <c r="Q458">
        <f>IF(AND(ISNUMBER(B458),OR(N(D458)&gt;0,G458&lt;&gt;"")),1,0)</f>
        <v/>
      </c>
    </row>
    <row r="459">
      <c r="A459" s="1" t="n"/>
      <c r="B459" s="21" t="n"/>
      <c r="C459" s="22" t="n"/>
      <c r="D459" s="23" t="n"/>
      <c r="E459" s="24" t="n"/>
      <c r="F459" s="25" t="n"/>
      <c r="G459" s="25" t="n"/>
      <c r="H459" s="24" t="n"/>
      <c r="I459" s="25" t="n"/>
      <c r="J459" s="17">
        <f>IF(AND(C459="",D459="",G459=""),"",IF(NOT(ISNUMBER(B459)),"Needs a date",IF(AND(D459&lt;&gt;"",NOT(ISNUMBER(D459))),"Amount not a number",IF(N(D459)&lt;0,"Amount below zero",IF(AND(N(D459)=0,G459=""),"Needs an amount or goods",IF(C459="","",IF(COUNTIF(Donors!$B$6:$B$305,C459)=0,"Not on Donors","")))))))</f>
        <v/>
      </c>
      <c r="K459" s="1">
        <f>IF(ISNUMBER(B459),YEAR(B459),"")</f>
        <v/>
      </c>
      <c r="L459">
        <f>IF(ISNUMBER(B459),YEAR(B459)*100+MONTH(B459),"")</f>
        <v/>
      </c>
      <c r="M459">
        <f>IF(ISNUMBER(B459),INT(B459),0)</f>
        <v/>
      </c>
      <c r="N459">
        <f>IF(OR(C459="",F459="",Q459=0),0,IF(COUNTIFS(C$6:C459,C459,F$6:F459,F459,Q$6:Q459,1)=1,1,0))</f>
        <v/>
      </c>
      <c r="O459">
        <f>IF(OR(C459="",Q459=0,H459&lt;&gt;""),"",M459*10000+ROW())</f>
        <v/>
      </c>
      <c r="P459">
        <f>IF(OR(C459="",Q459=0),"",IF(AND(C459=Statement!$C$4,K459=Statement!$C$5),M459*10000+ROW(),""))</f>
        <v/>
      </c>
      <c r="Q459">
        <f>IF(AND(ISNUMBER(B459),OR(N(D459)&gt;0,G459&lt;&gt;"")),1,0)</f>
        <v/>
      </c>
    </row>
    <row r="460">
      <c r="A460" s="1" t="n"/>
      <c r="B460" s="21" t="n"/>
      <c r="C460" s="22" t="n"/>
      <c r="D460" s="23" t="n"/>
      <c r="E460" s="24" t="n"/>
      <c r="F460" s="25" t="n"/>
      <c r="G460" s="25" t="n"/>
      <c r="H460" s="24" t="n"/>
      <c r="I460" s="25" t="n"/>
      <c r="J460" s="17">
        <f>IF(AND(C460="",D460="",G460=""),"",IF(NOT(ISNUMBER(B460)),"Needs a date",IF(AND(D460&lt;&gt;"",NOT(ISNUMBER(D460))),"Amount not a number",IF(N(D460)&lt;0,"Amount below zero",IF(AND(N(D460)=0,G460=""),"Needs an amount or goods",IF(C460="","",IF(COUNTIF(Donors!$B$6:$B$305,C460)=0,"Not on Donors","")))))))</f>
        <v/>
      </c>
      <c r="K460" s="1">
        <f>IF(ISNUMBER(B460),YEAR(B460),"")</f>
        <v/>
      </c>
      <c r="L460">
        <f>IF(ISNUMBER(B460),YEAR(B460)*100+MONTH(B460),"")</f>
        <v/>
      </c>
      <c r="M460">
        <f>IF(ISNUMBER(B460),INT(B460),0)</f>
        <v/>
      </c>
      <c r="N460">
        <f>IF(OR(C460="",F460="",Q460=0),0,IF(COUNTIFS(C$6:C460,C460,F$6:F460,F460,Q$6:Q460,1)=1,1,0))</f>
        <v/>
      </c>
      <c r="O460">
        <f>IF(OR(C460="",Q460=0,H460&lt;&gt;""),"",M460*10000+ROW())</f>
        <v/>
      </c>
      <c r="P460">
        <f>IF(OR(C460="",Q460=0),"",IF(AND(C460=Statement!$C$4,K460=Statement!$C$5),M460*10000+ROW(),""))</f>
        <v/>
      </c>
      <c r="Q460">
        <f>IF(AND(ISNUMBER(B460),OR(N(D460)&gt;0,G460&lt;&gt;"")),1,0)</f>
        <v/>
      </c>
    </row>
    <row r="461">
      <c r="A461" s="1" t="n"/>
      <c r="B461" s="21" t="n"/>
      <c r="C461" s="22" t="n"/>
      <c r="D461" s="23" t="n"/>
      <c r="E461" s="24" t="n"/>
      <c r="F461" s="25" t="n"/>
      <c r="G461" s="25" t="n"/>
      <c r="H461" s="24" t="n"/>
      <c r="I461" s="25" t="n"/>
      <c r="J461" s="17">
        <f>IF(AND(C461="",D461="",G461=""),"",IF(NOT(ISNUMBER(B461)),"Needs a date",IF(AND(D461&lt;&gt;"",NOT(ISNUMBER(D461))),"Amount not a number",IF(N(D461)&lt;0,"Amount below zero",IF(AND(N(D461)=0,G461=""),"Needs an amount or goods",IF(C461="","",IF(COUNTIF(Donors!$B$6:$B$305,C461)=0,"Not on Donors","")))))))</f>
        <v/>
      </c>
      <c r="K461" s="1">
        <f>IF(ISNUMBER(B461),YEAR(B461),"")</f>
        <v/>
      </c>
      <c r="L461">
        <f>IF(ISNUMBER(B461),YEAR(B461)*100+MONTH(B461),"")</f>
        <v/>
      </c>
      <c r="M461">
        <f>IF(ISNUMBER(B461),INT(B461),0)</f>
        <v/>
      </c>
      <c r="N461">
        <f>IF(OR(C461="",F461="",Q461=0),0,IF(COUNTIFS(C$6:C461,C461,F$6:F461,F461,Q$6:Q461,1)=1,1,0))</f>
        <v/>
      </c>
      <c r="O461">
        <f>IF(OR(C461="",Q461=0,H461&lt;&gt;""),"",M461*10000+ROW())</f>
        <v/>
      </c>
      <c r="P461">
        <f>IF(OR(C461="",Q461=0),"",IF(AND(C461=Statement!$C$4,K461=Statement!$C$5),M461*10000+ROW(),""))</f>
        <v/>
      </c>
      <c r="Q461">
        <f>IF(AND(ISNUMBER(B461),OR(N(D461)&gt;0,G461&lt;&gt;"")),1,0)</f>
        <v/>
      </c>
    </row>
    <row r="462">
      <c r="A462" s="1" t="n"/>
      <c r="B462" s="21" t="n"/>
      <c r="C462" s="22" t="n"/>
      <c r="D462" s="23" t="n"/>
      <c r="E462" s="24" t="n"/>
      <c r="F462" s="25" t="n"/>
      <c r="G462" s="25" t="n"/>
      <c r="H462" s="24" t="n"/>
      <c r="I462" s="25" t="n"/>
      <c r="J462" s="17">
        <f>IF(AND(C462="",D462="",G462=""),"",IF(NOT(ISNUMBER(B462)),"Needs a date",IF(AND(D462&lt;&gt;"",NOT(ISNUMBER(D462))),"Amount not a number",IF(N(D462)&lt;0,"Amount below zero",IF(AND(N(D462)=0,G462=""),"Needs an amount or goods",IF(C462="","",IF(COUNTIF(Donors!$B$6:$B$305,C462)=0,"Not on Donors","")))))))</f>
        <v/>
      </c>
      <c r="K462" s="1">
        <f>IF(ISNUMBER(B462),YEAR(B462),"")</f>
        <v/>
      </c>
      <c r="L462">
        <f>IF(ISNUMBER(B462),YEAR(B462)*100+MONTH(B462),"")</f>
        <v/>
      </c>
      <c r="M462">
        <f>IF(ISNUMBER(B462),INT(B462),0)</f>
        <v/>
      </c>
      <c r="N462">
        <f>IF(OR(C462="",F462="",Q462=0),0,IF(COUNTIFS(C$6:C462,C462,F$6:F462,F462,Q$6:Q462,1)=1,1,0))</f>
        <v/>
      </c>
      <c r="O462">
        <f>IF(OR(C462="",Q462=0,H462&lt;&gt;""),"",M462*10000+ROW())</f>
        <v/>
      </c>
      <c r="P462">
        <f>IF(OR(C462="",Q462=0),"",IF(AND(C462=Statement!$C$4,K462=Statement!$C$5),M462*10000+ROW(),""))</f>
        <v/>
      </c>
      <c r="Q462">
        <f>IF(AND(ISNUMBER(B462),OR(N(D462)&gt;0,G462&lt;&gt;"")),1,0)</f>
        <v/>
      </c>
    </row>
    <row r="463">
      <c r="A463" s="1" t="n"/>
      <c r="B463" s="21" t="n"/>
      <c r="C463" s="22" t="n"/>
      <c r="D463" s="23" t="n"/>
      <c r="E463" s="24" t="n"/>
      <c r="F463" s="25" t="n"/>
      <c r="G463" s="25" t="n"/>
      <c r="H463" s="24" t="n"/>
      <c r="I463" s="25" t="n"/>
      <c r="J463" s="17">
        <f>IF(AND(C463="",D463="",G463=""),"",IF(NOT(ISNUMBER(B463)),"Needs a date",IF(AND(D463&lt;&gt;"",NOT(ISNUMBER(D463))),"Amount not a number",IF(N(D463)&lt;0,"Amount below zero",IF(AND(N(D463)=0,G463=""),"Needs an amount or goods",IF(C463="","",IF(COUNTIF(Donors!$B$6:$B$305,C463)=0,"Not on Donors","")))))))</f>
        <v/>
      </c>
      <c r="K463" s="1">
        <f>IF(ISNUMBER(B463),YEAR(B463),"")</f>
        <v/>
      </c>
      <c r="L463">
        <f>IF(ISNUMBER(B463),YEAR(B463)*100+MONTH(B463),"")</f>
        <v/>
      </c>
      <c r="M463">
        <f>IF(ISNUMBER(B463),INT(B463),0)</f>
        <v/>
      </c>
      <c r="N463">
        <f>IF(OR(C463="",F463="",Q463=0),0,IF(COUNTIFS(C$6:C463,C463,F$6:F463,F463,Q$6:Q463,1)=1,1,0))</f>
        <v/>
      </c>
      <c r="O463">
        <f>IF(OR(C463="",Q463=0,H463&lt;&gt;""),"",M463*10000+ROW())</f>
        <v/>
      </c>
      <c r="P463">
        <f>IF(OR(C463="",Q463=0),"",IF(AND(C463=Statement!$C$4,K463=Statement!$C$5),M463*10000+ROW(),""))</f>
        <v/>
      </c>
      <c r="Q463">
        <f>IF(AND(ISNUMBER(B463),OR(N(D463)&gt;0,G463&lt;&gt;"")),1,0)</f>
        <v/>
      </c>
    </row>
    <row r="464">
      <c r="A464" s="1" t="n"/>
      <c r="B464" s="21" t="n"/>
      <c r="C464" s="22" t="n"/>
      <c r="D464" s="23" t="n"/>
      <c r="E464" s="24" t="n"/>
      <c r="F464" s="25" t="n"/>
      <c r="G464" s="25" t="n"/>
      <c r="H464" s="24" t="n"/>
      <c r="I464" s="25" t="n"/>
      <c r="J464" s="17">
        <f>IF(AND(C464="",D464="",G464=""),"",IF(NOT(ISNUMBER(B464)),"Needs a date",IF(AND(D464&lt;&gt;"",NOT(ISNUMBER(D464))),"Amount not a number",IF(N(D464)&lt;0,"Amount below zero",IF(AND(N(D464)=0,G464=""),"Needs an amount or goods",IF(C464="","",IF(COUNTIF(Donors!$B$6:$B$305,C464)=0,"Not on Donors","")))))))</f>
        <v/>
      </c>
      <c r="K464" s="1">
        <f>IF(ISNUMBER(B464),YEAR(B464),"")</f>
        <v/>
      </c>
      <c r="L464">
        <f>IF(ISNUMBER(B464),YEAR(B464)*100+MONTH(B464),"")</f>
        <v/>
      </c>
      <c r="M464">
        <f>IF(ISNUMBER(B464),INT(B464),0)</f>
        <v/>
      </c>
      <c r="N464">
        <f>IF(OR(C464="",F464="",Q464=0),0,IF(COUNTIFS(C$6:C464,C464,F$6:F464,F464,Q$6:Q464,1)=1,1,0))</f>
        <v/>
      </c>
      <c r="O464">
        <f>IF(OR(C464="",Q464=0,H464&lt;&gt;""),"",M464*10000+ROW())</f>
        <v/>
      </c>
      <c r="P464">
        <f>IF(OR(C464="",Q464=0),"",IF(AND(C464=Statement!$C$4,K464=Statement!$C$5),M464*10000+ROW(),""))</f>
        <v/>
      </c>
      <c r="Q464">
        <f>IF(AND(ISNUMBER(B464),OR(N(D464)&gt;0,G464&lt;&gt;"")),1,0)</f>
        <v/>
      </c>
    </row>
    <row r="465">
      <c r="A465" s="1" t="n"/>
      <c r="B465" s="21" t="n"/>
      <c r="C465" s="22" t="n"/>
      <c r="D465" s="23" t="n"/>
      <c r="E465" s="24" t="n"/>
      <c r="F465" s="25" t="n"/>
      <c r="G465" s="25" t="n"/>
      <c r="H465" s="24" t="n"/>
      <c r="I465" s="25" t="n"/>
      <c r="J465" s="17">
        <f>IF(AND(C465="",D465="",G465=""),"",IF(NOT(ISNUMBER(B465)),"Needs a date",IF(AND(D465&lt;&gt;"",NOT(ISNUMBER(D465))),"Amount not a number",IF(N(D465)&lt;0,"Amount below zero",IF(AND(N(D465)=0,G465=""),"Needs an amount or goods",IF(C465="","",IF(COUNTIF(Donors!$B$6:$B$305,C465)=0,"Not on Donors","")))))))</f>
        <v/>
      </c>
      <c r="K465" s="1">
        <f>IF(ISNUMBER(B465),YEAR(B465),"")</f>
        <v/>
      </c>
      <c r="L465">
        <f>IF(ISNUMBER(B465),YEAR(B465)*100+MONTH(B465),"")</f>
        <v/>
      </c>
      <c r="M465">
        <f>IF(ISNUMBER(B465),INT(B465),0)</f>
        <v/>
      </c>
      <c r="N465">
        <f>IF(OR(C465="",F465="",Q465=0),0,IF(COUNTIFS(C$6:C465,C465,F$6:F465,F465,Q$6:Q465,1)=1,1,0))</f>
        <v/>
      </c>
      <c r="O465">
        <f>IF(OR(C465="",Q465=0,H465&lt;&gt;""),"",M465*10000+ROW())</f>
        <v/>
      </c>
      <c r="P465">
        <f>IF(OR(C465="",Q465=0),"",IF(AND(C465=Statement!$C$4,K465=Statement!$C$5),M465*10000+ROW(),""))</f>
        <v/>
      </c>
      <c r="Q465">
        <f>IF(AND(ISNUMBER(B465),OR(N(D465)&gt;0,G465&lt;&gt;"")),1,0)</f>
        <v/>
      </c>
    </row>
    <row r="466">
      <c r="A466" s="1" t="n"/>
      <c r="B466" s="21" t="n"/>
      <c r="C466" s="22" t="n"/>
      <c r="D466" s="23" t="n"/>
      <c r="E466" s="24" t="n"/>
      <c r="F466" s="25" t="n"/>
      <c r="G466" s="25" t="n"/>
      <c r="H466" s="24" t="n"/>
      <c r="I466" s="25" t="n"/>
      <c r="J466" s="17">
        <f>IF(AND(C466="",D466="",G466=""),"",IF(NOT(ISNUMBER(B466)),"Needs a date",IF(AND(D466&lt;&gt;"",NOT(ISNUMBER(D466))),"Amount not a number",IF(N(D466)&lt;0,"Amount below zero",IF(AND(N(D466)=0,G466=""),"Needs an amount or goods",IF(C466="","",IF(COUNTIF(Donors!$B$6:$B$305,C466)=0,"Not on Donors","")))))))</f>
        <v/>
      </c>
      <c r="K466" s="1">
        <f>IF(ISNUMBER(B466),YEAR(B466),"")</f>
        <v/>
      </c>
      <c r="L466">
        <f>IF(ISNUMBER(B466),YEAR(B466)*100+MONTH(B466),"")</f>
        <v/>
      </c>
      <c r="M466">
        <f>IF(ISNUMBER(B466),INT(B466),0)</f>
        <v/>
      </c>
      <c r="N466">
        <f>IF(OR(C466="",F466="",Q466=0),0,IF(COUNTIFS(C$6:C466,C466,F$6:F466,F466,Q$6:Q466,1)=1,1,0))</f>
        <v/>
      </c>
      <c r="O466">
        <f>IF(OR(C466="",Q466=0,H466&lt;&gt;""),"",M466*10000+ROW())</f>
        <v/>
      </c>
      <c r="P466">
        <f>IF(OR(C466="",Q466=0),"",IF(AND(C466=Statement!$C$4,K466=Statement!$C$5),M466*10000+ROW(),""))</f>
        <v/>
      </c>
      <c r="Q466">
        <f>IF(AND(ISNUMBER(B466),OR(N(D466)&gt;0,G466&lt;&gt;"")),1,0)</f>
        <v/>
      </c>
    </row>
    <row r="467">
      <c r="A467" s="1" t="n"/>
      <c r="B467" s="21" t="n"/>
      <c r="C467" s="22" t="n"/>
      <c r="D467" s="23" t="n"/>
      <c r="E467" s="24" t="n"/>
      <c r="F467" s="25" t="n"/>
      <c r="G467" s="25" t="n"/>
      <c r="H467" s="24" t="n"/>
      <c r="I467" s="25" t="n"/>
      <c r="J467" s="17">
        <f>IF(AND(C467="",D467="",G467=""),"",IF(NOT(ISNUMBER(B467)),"Needs a date",IF(AND(D467&lt;&gt;"",NOT(ISNUMBER(D467))),"Amount not a number",IF(N(D467)&lt;0,"Amount below zero",IF(AND(N(D467)=0,G467=""),"Needs an amount or goods",IF(C467="","",IF(COUNTIF(Donors!$B$6:$B$305,C467)=0,"Not on Donors","")))))))</f>
        <v/>
      </c>
      <c r="K467" s="1">
        <f>IF(ISNUMBER(B467),YEAR(B467),"")</f>
        <v/>
      </c>
      <c r="L467">
        <f>IF(ISNUMBER(B467),YEAR(B467)*100+MONTH(B467),"")</f>
        <v/>
      </c>
      <c r="M467">
        <f>IF(ISNUMBER(B467),INT(B467),0)</f>
        <v/>
      </c>
      <c r="N467">
        <f>IF(OR(C467="",F467="",Q467=0),0,IF(COUNTIFS(C$6:C467,C467,F$6:F467,F467,Q$6:Q467,1)=1,1,0))</f>
        <v/>
      </c>
      <c r="O467">
        <f>IF(OR(C467="",Q467=0,H467&lt;&gt;""),"",M467*10000+ROW())</f>
        <v/>
      </c>
      <c r="P467">
        <f>IF(OR(C467="",Q467=0),"",IF(AND(C467=Statement!$C$4,K467=Statement!$C$5),M467*10000+ROW(),""))</f>
        <v/>
      </c>
      <c r="Q467">
        <f>IF(AND(ISNUMBER(B467),OR(N(D467)&gt;0,G467&lt;&gt;"")),1,0)</f>
        <v/>
      </c>
    </row>
    <row r="468">
      <c r="A468" s="1" t="n"/>
      <c r="B468" s="21" t="n"/>
      <c r="C468" s="22" t="n"/>
      <c r="D468" s="23" t="n"/>
      <c r="E468" s="24" t="n"/>
      <c r="F468" s="25" t="n"/>
      <c r="G468" s="25" t="n"/>
      <c r="H468" s="24" t="n"/>
      <c r="I468" s="25" t="n"/>
      <c r="J468" s="17">
        <f>IF(AND(C468="",D468="",G468=""),"",IF(NOT(ISNUMBER(B468)),"Needs a date",IF(AND(D468&lt;&gt;"",NOT(ISNUMBER(D468))),"Amount not a number",IF(N(D468)&lt;0,"Amount below zero",IF(AND(N(D468)=0,G468=""),"Needs an amount or goods",IF(C468="","",IF(COUNTIF(Donors!$B$6:$B$305,C468)=0,"Not on Donors","")))))))</f>
        <v/>
      </c>
      <c r="K468" s="1">
        <f>IF(ISNUMBER(B468),YEAR(B468),"")</f>
        <v/>
      </c>
      <c r="L468">
        <f>IF(ISNUMBER(B468),YEAR(B468)*100+MONTH(B468),"")</f>
        <v/>
      </c>
      <c r="M468">
        <f>IF(ISNUMBER(B468),INT(B468),0)</f>
        <v/>
      </c>
      <c r="N468">
        <f>IF(OR(C468="",F468="",Q468=0),0,IF(COUNTIFS(C$6:C468,C468,F$6:F468,F468,Q$6:Q468,1)=1,1,0))</f>
        <v/>
      </c>
      <c r="O468">
        <f>IF(OR(C468="",Q468=0,H468&lt;&gt;""),"",M468*10000+ROW())</f>
        <v/>
      </c>
      <c r="P468">
        <f>IF(OR(C468="",Q468=0),"",IF(AND(C468=Statement!$C$4,K468=Statement!$C$5),M468*10000+ROW(),""))</f>
        <v/>
      </c>
      <c r="Q468">
        <f>IF(AND(ISNUMBER(B468),OR(N(D468)&gt;0,G468&lt;&gt;"")),1,0)</f>
        <v/>
      </c>
    </row>
    <row r="469">
      <c r="A469" s="1" t="n"/>
      <c r="B469" s="21" t="n"/>
      <c r="C469" s="22" t="n"/>
      <c r="D469" s="23" t="n"/>
      <c r="E469" s="24" t="n"/>
      <c r="F469" s="25" t="n"/>
      <c r="G469" s="25" t="n"/>
      <c r="H469" s="24" t="n"/>
      <c r="I469" s="25" t="n"/>
      <c r="J469" s="17">
        <f>IF(AND(C469="",D469="",G469=""),"",IF(NOT(ISNUMBER(B469)),"Needs a date",IF(AND(D469&lt;&gt;"",NOT(ISNUMBER(D469))),"Amount not a number",IF(N(D469)&lt;0,"Amount below zero",IF(AND(N(D469)=0,G469=""),"Needs an amount or goods",IF(C469="","",IF(COUNTIF(Donors!$B$6:$B$305,C469)=0,"Not on Donors","")))))))</f>
        <v/>
      </c>
      <c r="K469" s="1">
        <f>IF(ISNUMBER(B469),YEAR(B469),"")</f>
        <v/>
      </c>
      <c r="L469">
        <f>IF(ISNUMBER(B469),YEAR(B469)*100+MONTH(B469),"")</f>
        <v/>
      </c>
      <c r="M469">
        <f>IF(ISNUMBER(B469),INT(B469),0)</f>
        <v/>
      </c>
      <c r="N469">
        <f>IF(OR(C469="",F469="",Q469=0),0,IF(COUNTIFS(C$6:C469,C469,F$6:F469,F469,Q$6:Q469,1)=1,1,0))</f>
        <v/>
      </c>
      <c r="O469">
        <f>IF(OR(C469="",Q469=0,H469&lt;&gt;""),"",M469*10000+ROW())</f>
        <v/>
      </c>
      <c r="P469">
        <f>IF(OR(C469="",Q469=0),"",IF(AND(C469=Statement!$C$4,K469=Statement!$C$5),M469*10000+ROW(),""))</f>
        <v/>
      </c>
      <c r="Q469">
        <f>IF(AND(ISNUMBER(B469),OR(N(D469)&gt;0,G469&lt;&gt;"")),1,0)</f>
        <v/>
      </c>
    </row>
    <row r="470">
      <c r="A470" s="1" t="n"/>
      <c r="B470" s="21" t="n"/>
      <c r="C470" s="22" t="n"/>
      <c r="D470" s="23" t="n"/>
      <c r="E470" s="24" t="n"/>
      <c r="F470" s="25" t="n"/>
      <c r="G470" s="25" t="n"/>
      <c r="H470" s="24" t="n"/>
      <c r="I470" s="25" t="n"/>
      <c r="J470" s="17">
        <f>IF(AND(C470="",D470="",G470=""),"",IF(NOT(ISNUMBER(B470)),"Needs a date",IF(AND(D470&lt;&gt;"",NOT(ISNUMBER(D470))),"Amount not a number",IF(N(D470)&lt;0,"Amount below zero",IF(AND(N(D470)=0,G470=""),"Needs an amount or goods",IF(C470="","",IF(COUNTIF(Donors!$B$6:$B$305,C470)=0,"Not on Donors","")))))))</f>
        <v/>
      </c>
      <c r="K470" s="1">
        <f>IF(ISNUMBER(B470),YEAR(B470),"")</f>
        <v/>
      </c>
      <c r="L470">
        <f>IF(ISNUMBER(B470),YEAR(B470)*100+MONTH(B470),"")</f>
        <v/>
      </c>
      <c r="M470">
        <f>IF(ISNUMBER(B470),INT(B470),0)</f>
        <v/>
      </c>
      <c r="N470">
        <f>IF(OR(C470="",F470="",Q470=0),0,IF(COUNTIFS(C$6:C470,C470,F$6:F470,F470,Q$6:Q470,1)=1,1,0))</f>
        <v/>
      </c>
      <c r="O470">
        <f>IF(OR(C470="",Q470=0,H470&lt;&gt;""),"",M470*10000+ROW())</f>
        <v/>
      </c>
      <c r="P470">
        <f>IF(OR(C470="",Q470=0),"",IF(AND(C470=Statement!$C$4,K470=Statement!$C$5),M470*10000+ROW(),""))</f>
        <v/>
      </c>
      <c r="Q470">
        <f>IF(AND(ISNUMBER(B470),OR(N(D470)&gt;0,G470&lt;&gt;"")),1,0)</f>
        <v/>
      </c>
    </row>
    <row r="471">
      <c r="A471" s="1" t="n"/>
      <c r="B471" s="21" t="n"/>
      <c r="C471" s="22" t="n"/>
      <c r="D471" s="23" t="n"/>
      <c r="E471" s="24" t="n"/>
      <c r="F471" s="25" t="n"/>
      <c r="G471" s="25" t="n"/>
      <c r="H471" s="24" t="n"/>
      <c r="I471" s="25" t="n"/>
      <c r="J471" s="17">
        <f>IF(AND(C471="",D471="",G471=""),"",IF(NOT(ISNUMBER(B471)),"Needs a date",IF(AND(D471&lt;&gt;"",NOT(ISNUMBER(D471))),"Amount not a number",IF(N(D471)&lt;0,"Amount below zero",IF(AND(N(D471)=0,G471=""),"Needs an amount or goods",IF(C471="","",IF(COUNTIF(Donors!$B$6:$B$305,C471)=0,"Not on Donors","")))))))</f>
        <v/>
      </c>
      <c r="K471" s="1">
        <f>IF(ISNUMBER(B471),YEAR(B471),"")</f>
        <v/>
      </c>
      <c r="L471">
        <f>IF(ISNUMBER(B471),YEAR(B471)*100+MONTH(B471),"")</f>
        <v/>
      </c>
      <c r="M471">
        <f>IF(ISNUMBER(B471),INT(B471),0)</f>
        <v/>
      </c>
      <c r="N471">
        <f>IF(OR(C471="",F471="",Q471=0),0,IF(COUNTIFS(C$6:C471,C471,F$6:F471,F471,Q$6:Q471,1)=1,1,0))</f>
        <v/>
      </c>
      <c r="O471">
        <f>IF(OR(C471="",Q471=0,H471&lt;&gt;""),"",M471*10000+ROW())</f>
        <v/>
      </c>
      <c r="P471">
        <f>IF(OR(C471="",Q471=0),"",IF(AND(C471=Statement!$C$4,K471=Statement!$C$5),M471*10000+ROW(),""))</f>
        <v/>
      </c>
      <c r="Q471">
        <f>IF(AND(ISNUMBER(B471),OR(N(D471)&gt;0,G471&lt;&gt;"")),1,0)</f>
        <v/>
      </c>
    </row>
    <row r="472">
      <c r="A472" s="1" t="n"/>
      <c r="B472" s="21" t="n"/>
      <c r="C472" s="22" t="n"/>
      <c r="D472" s="23" t="n"/>
      <c r="E472" s="24" t="n"/>
      <c r="F472" s="25" t="n"/>
      <c r="G472" s="25" t="n"/>
      <c r="H472" s="24" t="n"/>
      <c r="I472" s="25" t="n"/>
      <c r="J472" s="17">
        <f>IF(AND(C472="",D472="",G472=""),"",IF(NOT(ISNUMBER(B472)),"Needs a date",IF(AND(D472&lt;&gt;"",NOT(ISNUMBER(D472))),"Amount not a number",IF(N(D472)&lt;0,"Amount below zero",IF(AND(N(D472)=0,G472=""),"Needs an amount or goods",IF(C472="","",IF(COUNTIF(Donors!$B$6:$B$305,C472)=0,"Not on Donors","")))))))</f>
        <v/>
      </c>
      <c r="K472" s="1">
        <f>IF(ISNUMBER(B472),YEAR(B472),"")</f>
        <v/>
      </c>
      <c r="L472">
        <f>IF(ISNUMBER(B472),YEAR(B472)*100+MONTH(B472),"")</f>
        <v/>
      </c>
      <c r="M472">
        <f>IF(ISNUMBER(B472),INT(B472),0)</f>
        <v/>
      </c>
      <c r="N472">
        <f>IF(OR(C472="",F472="",Q472=0),0,IF(COUNTIFS(C$6:C472,C472,F$6:F472,F472,Q$6:Q472,1)=1,1,0))</f>
        <v/>
      </c>
      <c r="O472">
        <f>IF(OR(C472="",Q472=0,H472&lt;&gt;""),"",M472*10000+ROW())</f>
        <v/>
      </c>
      <c r="P472">
        <f>IF(OR(C472="",Q472=0),"",IF(AND(C472=Statement!$C$4,K472=Statement!$C$5),M472*10000+ROW(),""))</f>
        <v/>
      </c>
      <c r="Q472">
        <f>IF(AND(ISNUMBER(B472),OR(N(D472)&gt;0,G472&lt;&gt;"")),1,0)</f>
        <v/>
      </c>
    </row>
    <row r="473">
      <c r="A473" s="1" t="n"/>
      <c r="B473" s="21" t="n"/>
      <c r="C473" s="22" t="n"/>
      <c r="D473" s="23" t="n"/>
      <c r="E473" s="24" t="n"/>
      <c r="F473" s="25" t="n"/>
      <c r="G473" s="25" t="n"/>
      <c r="H473" s="24" t="n"/>
      <c r="I473" s="25" t="n"/>
      <c r="J473" s="17">
        <f>IF(AND(C473="",D473="",G473=""),"",IF(NOT(ISNUMBER(B473)),"Needs a date",IF(AND(D473&lt;&gt;"",NOT(ISNUMBER(D473))),"Amount not a number",IF(N(D473)&lt;0,"Amount below zero",IF(AND(N(D473)=0,G473=""),"Needs an amount or goods",IF(C473="","",IF(COUNTIF(Donors!$B$6:$B$305,C473)=0,"Not on Donors","")))))))</f>
        <v/>
      </c>
      <c r="K473" s="1">
        <f>IF(ISNUMBER(B473),YEAR(B473),"")</f>
        <v/>
      </c>
      <c r="L473">
        <f>IF(ISNUMBER(B473),YEAR(B473)*100+MONTH(B473),"")</f>
        <v/>
      </c>
      <c r="M473">
        <f>IF(ISNUMBER(B473),INT(B473),0)</f>
        <v/>
      </c>
      <c r="N473">
        <f>IF(OR(C473="",F473="",Q473=0),0,IF(COUNTIFS(C$6:C473,C473,F$6:F473,F473,Q$6:Q473,1)=1,1,0))</f>
        <v/>
      </c>
      <c r="O473">
        <f>IF(OR(C473="",Q473=0,H473&lt;&gt;""),"",M473*10000+ROW())</f>
        <v/>
      </c>
      <c r="P473">
        <f>IF(OR(C473="",Q473=0),"",IF(AND(C473=Statement!$C$4,K473=Statement!$C$5),M473*10000+ROW(),""))</f>
        <v/>
      </c>
      <c r="Q473">
        <f>IF(AND(ISNUMBER(B473),OR(N(D473)&gt;0,G473&lt;&gt;"")),1,0)</f>
        <v/>
      </c>
    </row>
    <row r="474">
      <c r="A474" s="1" t="n"/>
      <c r="B474" s="21" t="n"/>
      <c r="C474" s="22" t="n"/>
      <c r="D474" s="23" t="n"/>
      <c r="E474" s="24" t="n"/>
      <c r="F474" s="25" t="n"/>
      <c r="G474" s="25" t="n"/>
      <c r="H474" s="24" t="n"/>
      <c r="I474" s="25" t="n"/>
      <c r="J474" s="17">
        <f>IF(AND(C474="",D474="",G474=""),"",IF(NOT(ISNUMBER(B474)),"Needs a date",IF(AND(D474&lt;&gt;"",NOT(ISNUMBER(D474))),"Amount not a number",IF(N(D474)&lt;0,"Amount below zero",IF(AND(N(D474)=0,G474=""),"Needs an amount or goods",IF(C474="","",IF(COUNTIF(Donors!$B$6:$B$305,C474)=0,"Not on Donors","")))))))</f>
        <v/>
      </c>
      <c r="K474" s="1">
        <f>IF(ISNUMBER(B474),YEAR(B474),"")</f>
        <v/>
      </c>
      <c r="L474">
        <f>IF(ISNUMBER(B474),YEAR(B474)*100+MONTH(B474),"")</f>
        <v/>
      </c>
      <c r="M474">
        <f>IF(ISNUMBER(B474),INT(B474),0)</f>
        <v/>
      </c>
      <c r="N474">
        <f>IF(OR(C474="",F474="",Q474=0),0,IF(COUNTIFS(C$6:C474,C474,F$6:F474,F474,Q$6:Q474,1)=1,1,0))</f>
        <v/>
      </c>
      <c r="O474">
        <f>IF(OR(C474="",Q474=0,H474&lt;&gt;""),"",M474*10000+ROW())</f>
        <v/>
      </c>
      <c r="P474">
        <f>IF(OR(C474="",Q474=0),"",IF(AND(C474=Statement!$C$4,K474=Statement!$C$5),M474*10000+ROW(),""))</f>
        <v/>
      </c>
      <c r="Q474">
        <f>IF(AND(ISNUMBER(B474),OR(N(D474)&gt;0,G474&lt;&gt;"")),1,0)</f>
        <v/>
      </c>
    </row>
    <row r="475">
      <c r="A475" s="1" t="n"/>
      <c r="B475" s="21" t="n"/>
      <c r="C475" s="22" t="n"/>
      <c r="D475" s="23" t="n"/>
      <c r="E475" s="24" t="n"/>
      <c r="F475" s="25" t="n"/>
      <c r="G475" s="25" t="n"/>
      <c r="H475" s="24" t="n"/>
      <c r="I475" s="25" t="n"/>
      <c r="J475" s="17">
        <f>IF(AND(C475="",D475="",G475=""),"",IF(NOT(ISNUMBER(B475)),"Needs a date",IF(AND(D475&lt;&gt;"",NOT(ISNUMBER(D475))),"Amount not a number",IF(N(D475)&lt;0,"Amount below zero",IF(AND(N(D475)=0,G475=""),"Needs an amount or goods",IF(C475="","",IF(COUNTIF(Donors!$B$6:$B$305,C475)=0,"Not on Donors","")))))))</f>
        <v/>
      </c>
      <c r="K475" s="1">
        <f>IF(ISNUMBER(B475),YEAR(B475),"")</f>
        <v/>
      </c>
      <c r="L475">
        <f>IF(ISNUMBER(B475),YEAR(B475)*100+MONTH(B475),"")</f>
        <v/>
      </c>
      <c r="M475">
        <f>IF(ISNUMBER(B475),INT(B475),0)</f>
        <v/>
      </c>
      <c r="N475">
        <f>IF(OR(C475="",F475="",Q475=0),0,IF(COUNTIFS(C$6:C475,C475,F$6:F475,F475,Q$6:Q475,1)=1,1,0))</f>
        <v/>
      </c>
      <c r="O475">
        <f>IF(OR(C475="",Q475=0,H475&lt;&gt;""),"",M475*10000+ROW())</f>
        <v/>
      </c>
      <c r="P475">
        <f>IF(OR(C475="",Q475=0),"",IF(AND(C475=Statement!$C$4,K475=Statement!$C$5),M475*10000+ROW(),""))</f>
        <v/>
      </c>
      <c r="Q475">
        <f>IF(AND(ISNUMBER(B475),OR(N(D475)&gt;0,G475&lt;&gt;"")),1,0)</f>
        <v/>
      </c>
    </row>
    <row r="476">
      <c r="A476" s="1" t="n"/>
      <c r="B476" s="21" t="n"/>
      <c r="C476" s="22" t="n"/>
      <c r="D476" s="23" t="n"/>
      <c r="E476" s="24" t="n"/>
      <c r="F476" s="25" t="n"/>
      <c r="G476" s="25" t="n"/>
      <c r="H476" s="24" t="n"/>
      <c r="I476" s="25" t="n"/>
      <c r="J476" s="17">
        <f>IF(AND(C476="",D476="",G476=""),"",IF(NOT(ISNUMBER(B476)),"Needs a date",IF(AND(D476&lt;&gt;"",NOT(ISNUMBER(D476))),"Amount not a number",IF(N(D476)&lt;0,"Amount below zero",IF(AND(N(D476)=0,G476=""),"Needs an amount or goods",IF(C476="","",IF(COUNTIF(Donors!$B$6:$B$305,C476)=0,"Not on Donors","")))))))</f>
        <v/>
      </c>
      <c r="K476" s="1">
        <f>IF(ISNUMBER(B476),YEAR(B476),"")</f>
        <v/>
      </c>
      <c r="L476">
        <f>IF(ISNUMBER(B476),YEAR(B476)*100+MONTH(B476),"")</f>
        <v/>
      </c>
      <c r="M476">
        <f>IF(ISNUMBER(B476),INT(B476),0)</f>
        <v/>
      </c>
      <c r="N476">
        <f>IF(OR(C476="",F476="",Q476=0),0,IF(COUNTIFS(C$6:C476,C476,F$6:F476,F476,Q$6:Q476,1)=1,1,0))</f>
        <v/>
      </c>
      <c r="O476">
        <f>IF(OR(C476="",Q476=0,H476&lt;&gt;""),"",M476*10000+ROW())</f>
        <v/>
      </c>
      <c r="P476">
        <f>IF(OR(C476="",Q476=0),"",IF(AND(C476=Statement!$C$4,K476=Statement!$C$5),M476*10000+ROW(),""))</f>
        <v/>
      </c>
      <c r="Q476">
        <f>IF(AND(ISNUMBER(B476),OR(N(D476)&gt;0,G476&lt;&gt;"")),1,0)</f>
        <v/>
      </c>
    </row>
    <row r="477">
      <c r="A477" s="1" t="n"/>
      <c r="B477" s="21" t="n"/>
      <c r="C477" s="22" t="n"/>
      <c r="D477" s="23" t="n"/>
      <c r="E477" s="24" t="n"/>
      <c r="F477" s="25" t="n"/>
      <c r="G477" s="25" t="n"/>
      <c r="H477" s="24" t="n"/>
      <c r="I477" s="25" t="n"/>
      <c r="J477" s="17">
        <f>IF(AND(C477="",D477="",G477=""),"",IF(NOT(ISNUMBER(B477)),"Needs a date",IF(AND(D477&lt;&gt;"",NOT(ISNUMBER(D477))),"Amount not a number",IF(N(D477)&lt;0,"Amount below zero",IF(AND(N(D477)=0,G477=""),"Needs an amount or goods",IF(C477="","",IF(COUNTIF(Donors!$B$6:$B$305,C477)=0,"Not on Donors","")))))))</f>
        <v/>
      </c>
      <c r="K477" s="1">
        <f>IF(ISNUMBER(B477),YEAR(B477),"")</f>
        <v/>
      </c>
      <c r="L477">
        <f>IF(ISNUMBER(B477),YEAR(B477)*100+MONTH(B477),"")</f>
        <v/>
      </c>
      <c r="M477">
        <f>IF(ISNUMBER(B477),INT(B477),0)</f>
        <v/>
      </c>
      <c r="N477">
        <f>IF(OR(C477="",F477="",Q477=0),0,IF(COUNTIFS(C$6:C477,C477,F$6:F477,F477,Q$6:Q477,1)=1,1,0))</f>
        <v/>
      </c>
      <c r="O477">
        <f>IF(OR(C477="",Q477=0,H477&lt;&gt;""),"",M477*10000+ROW())</f>
        <v/>
      </c>
      <c r="P477">
        <f>IF(OR(C477="",Q477=0),"",IF(AND(C477=Statement!$C$4,K477=Statement!$C$5),M477*10000+ROW(),""))</f>
        <v/>
      </c>
      <c r="Q477">
        <f>IF(AND(ISNUMBER(B477),OR(N(D477)&gt;0,G477&lt;&gt;"")),1,0)</f>
        <v/>
      </c>
    </row>
    <row r="478">
      <c r="A478" s="1" t="n"/>
      <c r="B478" s="21" t="n"/>
      <c r="C478" s="22" t="n"/>
      <c r="D478" s="23" t="n"/>
      <c r="E478" s="24" t="n"/>
      <c r="F478" s="25" t="n"/>
      <c r="G478" s="25" t="n"/>
      <c r="H478" s="24" t="n"/>
      <c r="I478" s="25" t="n"/>
      <c r="J478" s="17">
        <f>IF(AND(C478="",D478="",G478=""),"",IF(NOT(ISNUMBER(B478)),"Needs a date",IF(AND(D478&lt;&gt;"",NOT(ISNUMBER(D478))),"Amount not a number",IF(N(D478)&lt;0,"Amount below zero",IF(AND(N(D478)=0,G478=""),"Needs an amount or goods",IF(C478="","",IF(COUNTIF(Donors!$B$6:$B$305,C478)=0,"Not on Donors","")))))))</f>
        <v/>
      </c>
      <c r="K478" s="1">
        <f>IF(ISNUMBER(B478),YEAR(B478),"")</f>
        <v/>
      </c>
      <c r="L478">
        <f>IF(ISNUMBER(B478),YEAR(B478)*100+MONTH(B478),"")</f>
        <v/>
      </c>
      <c r="M478">
        <f>IF(ISNUMBER(B478),INT(B478),0)</f>
        <v/>
      </c>
      <c r="N478">
        <f>IF(OR(C478="",F478="",Q478=0),0,IF(COUNTIFS(C$6:C478,C478,F$6:F478,F478,Q$6:Q478,1)=1,1,0))</f>
        <v/>
      </c>
      <c r="O478">
        <f>IF(OR(C478="",Q478=0,H478&lt;&gt;""),"",M478*10000+ROW())</f>
        <v/>
      </c>
      <c r="P478">
        <f>IF(OR(C478="",Q478=0),"",IF(AND(C478=Statement!$C$4,K478=Statement!$C$5),M478*10000+ROW(),""))</f>
        <v/>
      </c>
      <c r="Q478">
        <f>IF(AND(ISNUMBER(B478),OR(N(D478)&gt;0,G478&lt;&gt;"")),1,0)</f>
        <v/>
      </c>
    </row>
    <row r="479">
      <c r="A479" s="1" t="n"/>
      <c r="B479" s="21" t="n"/>
      <c r="C479" s="22" t="n"/>
      <c r="D479" s="23" t="n"/>
      <c r="E479" s="24" t="n"/>
      <c r="F479" s="25" t="n"/>
      <c r="G479" s="25" t="n"/>
      <c r="H479" s="24" t="n"/>
      <c r="I479" s="25" t="n"/>
      <c r="J479" s="17">
        <f>IF(AND(C479="",D479="",G479=""),"",IF(NOT(ISNUMBER(B479)),"Needs a date",IF(AND(D479&lt;&gt;"",NOT(ISNUMBER(D479))),"Amount not a number",IF(N(D479)&lt;0,"Amount below zero",IF(AND(N(D479)=0,G479=""),"Needs an amount or goods",IF(C479="","",IF(COUNTIF(Donors!$B$6:$B$305,C479)=0,"Not on Donors","")))))))</f>
        <v/>
      </c>
      <c r="K479" s="1">
        <f>IF(ISNUMBER(B479),YEAR(B479),"")</f>
        <v/>
      </c>
      <c r="L479">
        <f>IF(ISNUMBER(B479),YEAR(B479)*100+MONTH(B479),"")</f>
        <v/>
      </c>
      <c r="M479">
        <f>IF(ISNUMBER(B479),INT(B479),0)</f>
        <v/>
      </c>
      <c r="N479">
        <f>IF(OR(C479="",F479="",Q479=0),0,IF(COUNTIFS(C$6:C479,C479,F$6:F479,F479,Q$6:Q479,1)=1,1,0))</f>
        <v/>
      </c>
      <c r="O479">
        <f>IF(OR(C479="",Q479=0,H479&lt;&gt;""),"",M479*10000+ROW())</f>
        <v/>
      </c>
      <c r="P479">
        <f>IF(OR(C479="",Q479=0),"",IF(AND(C479=Statement!$C$4,K479=Statement!$C$5),M479*10000+ROW(),""))</f>
        <v/>
      </c>
      <c r="Q479">
        <f>IF(AND(ISNUMBER(B479),OR(N(D479)&gt;0,G479&lt;&gt;"")),1,0)</f>
        <v/>
      </c>
    </row>
    <row r="480">
      <c r="A480" s="1" t="n"/>
      <c r="B480" s="21" t="n"/>
      <c r="C480" s="22" t="n"/>
      <c r="D480" s="23" t="n"/>
      <c r="E480" s="24" t="n"/>
      <c r="F480" s="25" t="n"/>
      <c r="G480" s="25" t="n"/>
      <c r="H480" s="24" t="n"/>
      <c r="I480" s="25" t="n"/>
      <c r="J480" s="17">
        <f>IF(AND(C480="",D480="",G480=""),"",IF(NOT(ISNUMBER(B480)),"Needs a date",IF(AND(D480&lt;&gt;"",NOT(ISNUMBER(D480))),"Amount not a number",IF(N(D480)&lt;0,"Amount below zero",IF(AND(N(D480)=0,G480=""),"Needs an amount or goods",IF(C480="","",IF(COUNTIF(Donors!$B$6:$B$305,C480)=0,"Not on Donors","")))))))</f>
        <v/>
      </c>
      <c r="K480" s="1">
        <f>IF(ISNUMBER(B480),YEAR(B480),"")</f>
        <v/>
      </c>
      <c r="L480">
        <f>IF(ISNUMBER(B480),YEAR(B480)*100+MONTH(B480),"")</f>
        <v/>
      </c>
      <c r="M480">
        <f>IF(ISNUMBER(B480),INT(B480),0)</f>
        <v/>
      </c>
      <c r="N480">
        <f>IF(OR(C480="",F480="",Q480=0),0,IF(COUNTIFS(C$6:C480,C480,F$6:F480,F480,Q$6:Q480,1)=1,1,0))</f>
        <v/>
      </c>
      <c r="O480">
        <f>IF(OR(C480="",Q480=0,H480&lt;&gt;""),"",M480*10000+ROW())</f>
        <v/>
      </c>
      <c r="P480">
        <f>IF(OR(C480="",Q480=0),"",IF(AND(C480=Statement!$C$4,K480=Statement!$C$5),M480*10000+ROW(),""))</f>
        <v/>
      </c>
      <c r="Q480">
        <f>IF(AND(ISNUMBER(B480),OR(N(D480)&gt;0,G480&lt;&gt;"")),1,0)</f>
        <v/>
      </c>
    </row>
    <row r="481">
      <c r="A481" s="1" t="n"/>
      <c r="B481" s="21" t="n"/>
      <c r="C481" s="22" t="n"/>
      <c r="D481" s="23" t="n"/>
      <c r="E481" s="24" t="n"/>
      <c r="F481" s="25" t="n"/>
      <c r="G481" s="25" t="n"/>
      <c r="H481" s="24" t="n"/>
      <c r="I481" s="25" t="n"/>
      <c r="J481" s="17">
        <f>IF(AND(C481="",D481="",G481=""),"",IF(NOT(ISNUMBER(B481)),"Needs a date",IF(AND(D481&lt;&gt;"",NOT(ISNUMBER(D481))),"Amount not a number",IF(N(D481)&lt;0,"Amount below zero",IF(AND(N(D481)=0,G481=""),"Needs an amount or goods",IF(C481="","",IF(COUNTIF(Donors!$B$6:$B$305,C481)=0,"Not on Donors","")))))))</f>
        <v/>
      </c>
      <c r="K481" s="1">
        <f>IF(ISNUMBER(B481),YEAR(B481),"")</f>
        <v/>
      </c>
      <c r="L481">
        <f>IF(ISNUMBER(B481),YEAR(B481)*100+MONTH(B481),"")</f>
        <v/>
      </c>
      <c r="M481">
        <f>IF(ISNUMBER(B481),INT(B481),0)</f>
        <v/>
      </c>
      <c r="N481">
        <f>IF(OR(C481="",F481="",Q481=0),0,IF(COUNTIFS(C$6:C481,C481,F$6:F481,F481,Q$6:Q481,1)=1,1,0))</f>
        <v/>
      </c>
      <c r="O481">
        <f>IF(OR(C481="",Q481=0,H481&lt;&gt;""),"",M481*10000+ROW())</f>
        <v/>
      </c>
      <c r="P481">
        <f>IF(OR(C481="",Q481=0),"",IF(AND(C481=Statement!$C$4,K481=Statement!$C$5),M481*10000+ROW(),""))</f>
        <v/>
      </c>
      <c r="Q481">
        <f>IF(AND(ISNUMBER(B481),OR(N(D481)&gt;0,G481&lt;&gt;"")),1,0)</f>
        <v/>
      </c>
    </row>
    <row r="482">
      <c r="A482" s="1" t="n"/>
      <c r="B482" s="21" t="n"/>
      <c r="C482" s="22" t="n"/>
      <c r="D482" s="23" t="n"/>
      <c r="E482" s="24" t="n"/>
      <c r="F482" s="25" t="n"/>
      <c r="G482" s="25" t="n"/>
      <c r="H482" s="24" t="n"/>
      <c r="I482" s="25" t="n"/>
      <c r="J482" s="17">
        <f>IF(AND(C482="",D482="",G482=""),"",IF(NOT(ISNUMBER(B482)),"Needs a date",IF(AND(D482&lt;&gt;"",NOT(ISNUMBER(D482))),"Amount not a number",IF(N(D482)&lt;0,"Amount below zero",IF(AND(N(D482)=0,G482=""),"Needs an amount or goods",IF(C482="","",IF(COUNTIF(Donors!$B$6:$B$305,C482)=0,"Not on Donors","")))))))</f>
        <v/>
      </c>
      <c r="K482" s="1">
        <f>IF(ISNUMBER(B482),YEAR(B482),"")</f>
        <v/>
      </c>
      <c r="L482">
        <f>IF(ISNUMBER(B482),YEAR(B482)*100+MONTH(B482),"")</f>
        <v/>
      </c>
      <c r="M482">
        <f>IF(ISNUMBER(B482),INT(B482),0)</f>
        <v/>
      </c>
      <c r="N482">
        <f>IF(OR(C482="",F482="",Q482=0),0,IF(COUNTIFS(C$6:C482,C482,F$6:F482,F482,Q$6:Q482,1)=1,1,0))</f>
        <v/>
      </c>
      <c r="O482">
        <f>IF(OR(C482="",Q482=0,H482&lt;&gt;""),"",M482*10000+ROW())</f>
        <v/>
      </c>
      <c r="P482">
        <f>IF(OR(C482="",Q482=0),"",IF(AND(C482=Statement!$C$4,K482=Statement!$C$5),M482*10000+ROW(),""))</f>
        <v/>
      </c>
      <c r="Q482">
        <f>IF(AND(ISNUMBER(B482),OR(N(D482)&gt;0,G482&lt;&gt;"")),1,0)</f>
        <v/>
      </c>
    </row>
    <row r="483">
      <c r="A483" s="1" t="n"/>
      <c r="B483" s="21" t="n"/>
      <c r="C483" s="22" t="n"/>
      <c r="D483" s="23" t="n"/>
      <c r="E483" s="24" t="n"/>
      <c r="F483" s="25" t="n"/>
      <c r="G483" s="25" t="n"/>
      <c r="H483" s="24" t="n"/>
      <c r="I483" s="25" t="n"/>
      <c r="J483" s="17">
        <f>IF(AND(C483="",D483="",G483=""),"",IF(NOT(ISNUMBER(B483)),"Needs a date",IF(AND(D483&lt;&gt;"",NOT(ISNUMBER(D483))),"Amount not a number",IF(N(D483)&lt;0,"Amount below zero",IF(AND(N(D483)=0,G483=""),"Needs an amount or goods",IF(C483="","",IF(COUNTIF(Donors!$B$6:$B$305,C483)=0,"Not on Donors","")))))))</f>
        <v/>
      </c>
      <c r="K483" s="1">
        <f>IF(ISNUMBER(B483),YEAR(B483),"")</f>
        <v/>
      </c>
      <c r="L483">
        <f>IF(ISNUMBER(B483),YEAR(B483)*100+MONTH(B483),"")</f>
        <v/>
      </c>
      <c r="M483">
        <f>IF(ISNUMBER(B483),INT(B483),0)</f>
        <v/>
      </c>
      <c r="N483">
        <f>IF(OR(C483="",F483="",Q483=0),0,IF(COUNTIFS(C$6:C483,C483,F$6:F483,F483,Q$6:Q483,1)=1,1,0))</f>
        <v/>
      </c>
      <c r="O483">
        <f>IF(OR(C483="",Q483=0,H483&lt;&gt;""),"",M483*10000+ROW())</f>
        <v/>
      </c>
      <c r="P483">
        <f>IF(OR(C483="",Q483=0),"",IF(AND(C483=Statement!$C$4,K483=Statement!$C$5),M483*10000+ROW(),""))</f>
        <v/>
      </c>
      <c r="Q483">
        <f>IF(AND(ISNUMBER(B483),OR(N(D483)&gt;0,G483&lt;&gt;"")),1,0)</f>
        <v/>
      </c>
    </row>
    <row r="484">
      <c r="A484" s="1" t="n"/>
      <c r="B484" s="21" t="n"/>
      <c r="C484" s="22" t="n"/>
      <c r="D484" s="23" t="n"/>
      <c r="E484" s="24" t="n"/>
      <c r="F484" s="25" t="n"/>
      <c r="G484" s="25" t="n"/>
      <c r="H484" s="24" t="n"/>
      <c r="I484" s="25" t="n"/>
      <c r="J484" s="17">
        <f>IF(AND(C484="",D484="",G484=""),"",IF(NOT(ISNUMBER(B484)),"Needs a date",IF(AND(D484&lt;&gt;"",NOT(ISNUMBER(D484))),"Amount not a number",IF(N(D484)&lt;0,"Amount below zero",IF(AND(N(D484)=0,G484=""),"Needs an amount or goods",IF(C484="","",IF(COUNTIF(Donors!$B$6:$B$305,C484)=0,"Not on Donors","")))))))</f>
        <v/>
      </c>
      <c r="K484" s="1">
        <f>IF(ISNUMBER(B484),YEAR(B484),"")</f>
        <v/>
      </c>
      <c r="L484">
        <f>IF(ISNUMBER(B484),YEAR(B484)*100+MONTH(B484),"")</f>
        <v/>
      </c>
      <c r="M484">
        <f>IF(ISNUMBER(B484),INT(B484),0)</f>
        <v/>
      </c>
      <c r="N484">
        <f>IF(OR(C484="",F484="",Q484=0),0,IF(COUNTIFS(C$6:C484,C484,F$6:F484,F484,Q$6:Q484,1)=1,1,0))</f>
        <v/>
      </c>
      <c r="O484">
        <f>IF(OR(C484="",Q484=0,H484&lt;&gt;""),"",M484*10000+ROW())</f>
        <v/>
      </c>
      <c r="P484">
        <f>IF(OR(C484="",Q484=0),"",IF(AND(C484=Statement!$C$4,K484=Statement!$C$5),M484*10000+ROW(),""))</f>
        <v/>
      </c>
      <c r="Q484">
        <f>IF(AND(ISNUMBER(B484),OR(N(D484)&gt;0,G484&lt;&gt;"")),1,0)</f>
        <v/>
      </c>
    </row>
    <row r="485">
      <c r="A485" s="1" t="n"/>
      <c r="B485" s="21" t="n"/>
      <c r="C485" s="22" t="n"/>
      <c r="D485" s="23" t="n"/>
      <c r="E485" s="24" t="n"/>
      <c r="F485" s="25" t="n"/>
      <c r="G485" s="25" t="n"/>
      <c r="H485" s="24" t="n"/>
      <c r="I485" s="25" t="n"/>
      <c r="J485" s="17">
        <f>IF(AND(C485="",D485="",G485=""),"",IF(NOT(ISNUMBER(B485)),"Needs a date",IF(AND(D485&lt;&gt;"",NOT(ISNUMBER(D485))),"Amount not a number",IF(N(D485)&lt;0,"Amount below zero",IF(AND(N(D485)=0,G485=""),"Needs an amount or goods",IF(C485="","",IF(COUNTIF(Donors!$B$6:$B$305,C485)=0,"Not on Donors","")))))))</f>
        <v/>
      </c>
      <c r="K485" s="1">
        <f>IF(ISNUMBER(B485),YEAR(B485),"")</f>
        <v/>
      </c>
      <c r="L485">
        <f>IF(ISNUMBER(B485),YEAR(B485)*100+MONTH(B485),"")</f>
        <v/>
      </c>
      <c r="M485">
        <f>IF(ISNUMBER(B485),INT(B485),0)</f>
        <v/>
      </c>
      <c r="N485">
        <f>IF(OR(C485="",F485="",Q485=0),0,IF(COUNTIFS(C$6:C485,C485,F$6:F485,F485,Q$6:Q485,1)=1,1,0))</f>
        <v/>
      </c>
      <c r="O485">
        <f>IF(OR(C485="",Q485=0,H485&lt;&gt;""),"",M485*10000+ROW())</f>
        <v/>
      </c>
      <c r="P485">
        <f>IF(OR(C485="",Q485=0),"",IF(AND(C485=Statement!$C$4,K485=Statement!$C$5),M485*10000+ROW(),""))</f>
        <v/>
      </c>
      <c r="Q485">
        <f>IF(AND(ISNUMBER(B485),OR(N(D485)&gt;0,G485&lt;&gt;"")),1,0)</f>
        <v/>
      </c>
    </row>
    <row r="486">
      <c r="A486" s="1" t="n"/>
      <c r="B486" s="21" t="n"/>
      <c r="C486" s="22" t="n"/>
      <c r="D486" s="23" t="n"/>
      <c r="E486" s="24" t="n"/>
      <c r="F486" s="25" t="n"/>
      <c r="G486" s="25" t="n"/>
      <c r="H486" s="24" t="n"/>
      <c r="I486" s="25" t="n"/>
      <c r="J486" s="17">
        <f>IF(AND(C486="",D486="",G486=""),"",IF(NOT(ISNUMBER(B486)),"Needs a date",IF(AND(D486&lt;&gt;"",NOT(ISNUMBER(D486))),"Amount not a number",IF(N(D486)&lt;0,"Amount below zero",IF(AND(N(D486)=0,G486=""),"Needs an amount or goods",IF(C486="","",IF(COUNTIF(Donors!$B$6:$B$305,C486)=0,"Not on Donors","")))))))</f>
        <v/>
      </c>
      <c r="K486" s="1">
        <f>IF(ISNUMBER(B486),YEAR(B486),"")</f>
        <v/>
      </c>
      <c r="L486">
        <f>IF(ISNUMBER(B486),YEAR(B486)*100+MONTH(B486),"")</f>
        <v/>
      </c>
      <c r="M486">
        <f>IF(ISNUMBER(B486),INT(B486),0)</f>
        <v/>
      </c>
      <c r="N486">
        <f>IF(OR(C486="",F486="",Q486=0),0,IF(COUNTIFS(C$6:C486,C486,F$6:F486,F486,Q$6:Q486,1)=1,1,0))</f>
        <v/>
      </c>
      <c r="O486">
        <f>IF(OR(C486="",Q486=0,H486&lt;&gt;""),"",M486*10000+ROW())</f>
        <v/>
      </c>
      <c r="P486">
        <f>IF(OR(C486="",Q486=0),"",IF(AND(C486=Statement!$C$4,K486=Statement!$C$5),M486*10000+ROW(),""))</f>
        <v/>
      </c>
      <c r="Q486">
        <f>IF(AND(ISNUMBER(B486),OR(N(D486)&gt;0,G486&lt;&gt;"")),1,0)</f>
        <v/>
      </c>
    </row>
    <row r="487">
      <c r="A487" s="1" t="n"/>
      <c r="B487" s="21" t="n"/>
      <c r="C487" s="22" t="n"/>
      <c r="D487" s="23" t="n"/>
      <c r="E487" s="24" t="n"/>
      <c r="F487" s="25" t="n"/>
      <c r="G487" s="25" t="n"/>
      <c r="H487" s="24" t="n"/>
      <c r="I487" s="25" t="n"/>
      <c r="J487" s="17">
        <f>IF(AND(C487="",D487="",G487=""),"",IF(NOT(ISNUMBER(B487)),"Needs a date",IF(AND(D487&lt;&gt;"",NOT(ISNUMBER(D487))),"Amount not a number",IF(N(D487)&lt;0,"Amount below zero",IF(AND(N(D487)=0,G487=""),"Needs an amount or goods",IF(C487="","",IF(COUNTIF(Donors!$B$6:$B$305,C487)=0,"Not on Donors","")))))))</f>
        <v/>
      </c>
      <c r="K487" s="1">
        <f>IF(ISNUMBER(B487),YEAR(B487),"")</f>
        <v/>
      </c>
      <c r="L487">
        <f>IF(ISNUMBER(B487),YEAR(B487)*100+MONTH(B487),"")</f>
        <v/>
      </c>
      <c r="M487">
        <f>IF(ISNUMBER(B487),INT(B487),0)</f>
        <v/>
      </c>
      <c r="N487">
        <f>IF(OR(C487="",F487="",Q487=0),0,IF(COUNTIFS(C$6:C487,C487,F$6:F487,F487,Q$6:Q487,1)=1,1,0))</f>
        <v/>
      </c>
      <c r="O487">
        <f>IF(OR(C487="",Q487=0,H487&lt;&gt;""),"",M487*10000+ROW())</f>
        <v/>
      </c>
      <c r="P487">
        <f>IF(OR(C487="",Q487=0),"",IF(AND(C487=Statement!$C$4,K487=Statement!$C$5),M487*10000+ROW(),""))</f>
        <v/>
      </c>
      <c r="Q487">
        <f>IF(AND(ISNUMBER(B487),OR(N(D487)&gt;0,G487&lt;&gt;"")),1,0)</f>
        <v/>
      </c>
    </row>
    <row r="488">
      <c r="A488" s="1" t="n"/>
      <c r="B488" s="21" t="n"/>
      <c r="C488" s="22" t="n"/>
      <c r="D488" s="23" t="n"/>
      <c r="E488" s="24" t="n"/>
      <c r="F488" s="25" t="n"/>
      <c r="G488" s="25" t="n"/>
      <c r="H488" s="24" t="n"/>
      <c r="I488" s="25" t="n"/>
      <c r="J488" s="17">
        <f>IF(AND(C488="",D488="",G488=""),"",IF(NOT(ISNUMBER(B488)),"Needs a date",IF(AND(D488&lt;&gt;"",NOT(ISNUMBER(D488))),"Amount not a number",IF(N(D488)&lt;0,"Amount below zero",IF(AND(N(D488)=0,G488=""),"Needs an amount or goods",IF(C488="","",IF(COUNTIF(Donors!$B$6:$B$305,C488)=0,"Not on Donors","")))))))</f>
        <v/>
      </c>
      <c r="K488" s="1">
        <f>IF(ISNUMBER(B488),YEAR(B488),"")</f>
        <v/>
      </c>
      <c r="L488">
        <f>IF(ISNUMBER(B488),YEAR(B488)*100+MONTH(B488),"")</f>
        <v/>
      </c>
      <c r="M488">
        <f>IF(ISNUMBER(B488),INT(B488),0)</f>
        <v/>
      </c>
      <c r="N488">
        <f>IF(OR(C488="",F488="",Q488=0),0,IF(COUNTIFS(C$6:C488,C488,F$6:F488,F488,Q$6:Q488,1)=1,1,0))</f>
        <v/>
      </c>
      <c r="O488">
        <f>IF(OR(C488="",Q488=0,H488&lt;&gt;""),"",M488*10000+ROW())</f>
        <v/>
      </c>
      <c r="P488">
        <f>IF(OR(C488="",Q488=0),"",IF(AND(C488=Statement!$C$4,K488=Statement!$C$5),M488*10000+ROW(),""))</f>
        <v/>
      </c>
      <c r="Q488">
        <f>IF(AND(ISNUMBER(B488),OR(N(D488)&gt;0,G488&lt;&gt;"")),1,0)</f>
        <v/>
      </c>
    </row>
    <row r="489">
      <c r="A489" s="1" t="n"/>
      <c r="B489" s="21" t="n"/>
      <c r="C489" s="22" t="n"/>
      <c r="D489" s="23" t="n"/>
      <c r="E489" s="24" t="n"/>
      <c r="F489" s="25" t="n"/>
      <c r="G489" s="25" t="n"/>
      <c r="H489" s="24" t="n"/>
      <c r="I489" s="25" t="n"/>
      <c r="J489" s="17">
        <f>IF(AND(C489="",D489="",G489=""),"",IF(NOT(ISNUMBER(B489)),"Needs a date",IF(AND(D489&lt;&gt;"",NOT(ISNUMBER(D489))),"Amount not a number",IF(N(D489)&lt;0,"Amount below zero",IF(AND(N(D489)=0,G489=""),"Needs an amount or goods",IF(C489="","",IF(COUNTIF(Donors!$B$6:$B$305,C489)=0,"Not on Donors","")))))))</f>
        <v/>
      </c>
      <c r="K489" s="1">
        <f>IF(ISNUMBER(B489),YEAR(B489),"")</f>
        <v/>
      </c>
      <c r="L489">
        <f>IF(ISNUMBER(B489),YEAR(B489)*100+MONTH(B489),"")</f>
        <v/>
      </c>
      <c r="M489">
        <f>IF(ISNUMBER(B489),INT(B489),0)</f>
        <v/>
      </c>
      <c r="N489">
        <f>IF(OR(C489="",F489="",Q489=0),0,IF(COUNTIFS(C$6:C489,C489,F$6:F489,F489,Q$6:Q489,1)=1,1,0))</f>
        <v/>
      </c>
      <c r="O489">
        <f>IF(OR(C489="",Q489=0,H489&lt;&gt;""),"",M489*10000+ROW())</f>
        <v/>
      </c>
      <c r="P489">
        <f>IF(OR(C489="",Q489=0),"",IF(AND(C489=Statement!$C$4,K489=Statement!$C$5),M489*10000+ROW(),""))</f>
        <v/>
      </c>
      <c r="Q489">
        <f>IF(AND(ISNUMBER(B489),OR(N(D489)&gt;0,G489&lt;&gt;"")),1,0)</f>
        <v/>
      </c>
    </row>
    <row r="490">
      <c r="A490" s="1" t="n"/>
      <c r="B490" s="21" t="n"/>
      <c r="C490" s="22" t="n"/>
      <c r="D490" s="23" t="n"/>
      <c r="E490" s="24" t="n"/>
      <c r="F490" s="25" t="n"/>
      <c r="G490" s="25" t="n"/>
      <c r="H490" s="24" t="n"/>
      <c r="I490" s="25" t="n"/>
      <c r="J490" s="17">
        <f>IF(AND(C490="",D490="",G490=""),"",IF(NOT(ISNUMBER(B490)),"Needs a date",IF(AND(D490&lt;&gt;"",NOT(ISNUMBER(D490))),"Amount not a number",IF(N(D490)&lt;0,"Amount below zero",IF(AND(N(D490)=0,G490=""),"Needs an amount or goods",IF(C490="","",IF(COUNTIF(Donors!$B$6:$B$305,C490)=0,"Not on Donors","")))))))</f>
        <v/>
      </c>
      <c r="K490" s="1">
        <f>IF(ISNUMBER(B490),YEAR(B490),"")</f>
        <v/>
      </c>
      <c r="L490">
        <f>IF(ISNUMBER(B490),YEAR(B490)*100+MONTH(B490),"")</f>
        <v/>
      </c>
      <c r="M490">
        <f>IF(ISNUMBER(B490),INT(B490),0)</f>
        <v/>
      </c>
      <c r="N490">
        <f>IF(OR(C490="",F490="",Q490=0),0,IF(COUNTIFS(C$6:C490,C490,F$6:F490,F490,Q$6:Q490,1)=1,1,0))</f>
        <v/>
      </c>
      <c r="O490">
        <f>IF(OR(C490="",Q490=0,H490&lt;&gt;""),"",M490*10000+ROW())</f>
        <v/>
      </c>
      <c r="P490">
        <f>IF(OR(C490="",Q490=0),"",IF(AND(C490=Statement!$C$4,K490=Statement!$C$5),M490*10000+ROW(),""))</f>
        <v/>
      </c>
      <c r="Q490">
        <f>IF(AND(ISNUMBER(B490),OR(N(D490)&gt;0,G490&lt;&gt;"")),1,0)</f>
        <v/>
      </c>
    </row>
    <row r="491">
      <c r="A491" s="1" t="n"/>
      <c r="B491" s="21" t="n"/>
      <c r="C491" s="22" t="n"/>
      <c r="D491" s="23" t="n"/>
      <c r="E491" s="24" t="n"/>
      <c r="F491" s="25" t="n"/>
      <c r="G491" s="25" t="n"/>
      <c r="H491" s="24" t="n"/>
      <c r="I491" s="25" t="n"/>
      <c r="J491" s="17">
        <f>IF(AND(C491="",D491="",G491=""),"",IF(NOT(ISNUMBER(B491)),"Needs a date",IF(AND(D491&lt;&gt;"",NOT(ISNUMBER(D491))),"Amount not a number",IF(N(D491)&lt;0,"Amount below zero",IF(AND(N(D491)=0,G491=""),"Needs an amount or goods",IF(C491="","",IF(COUNTIF(Donors!$B$6:$B$305,C491)=0,"Not on Donors","")))))))</f>
        <v/>
      </c>
      <c r="K491" s="1">
        <f>IF(ISNUMBER(B491),YEAR(B491),"")</f>
        <v/>
      </c>
      <c r="L491">
        <f>IF(ISNUMBER(B491),YEAR(B491)*100+MONTH(B491),"")</f>
        <v/>
      </c>
      <c r="M491">
        <f>IF(ISNUMBER(B491),INT(B491),0)</f>
        <v/>
      </c>
      <c r="N491">
        <f>IF(OR(C491="",F491="",Q491=0),0,IF(COUNTIFS(C$6:C491,C491,F$6:F491,F491,Q$6:Q491,1)=1,1,0))</f>
        <v/>
      </c>
      <c r="O491">
        <f>IF(OR(C491="",Q491=0,H491&lt;&gt;""),"",M491*10000+ROW())</f>
        <v/>
      </c>
      <c r="P491">
        <f>IF(OR(C491="",Q491=0),"",IF(AND(C491=Statement!$C$4,K491=Statement!$C$5),M491*10000+ROW(),""))</f>
        <v/>
      </c>
      <c r="Q491">
        <f>IF(AND(ISNUMBER(B491),OR(N(D491)&gt;0,G491&lt;&gt;"")),1,0)</f>
        <v/>
      </c>
    </row>
    <row r="492">
      <c r="A492" s="1" t="n"/>
      <c r="B492" s="21" t="n"/>
      <c r="C492" s="22" t="n"/>
      <c r="D492" s="23" t="n"/>
      <c r="E492" s="24" t="n"/>
      <c r="F492" s="25" t="n"/>
      <c r="G492" s="25" t="n"/>
      <c r="H492" s="24" t="n"/>
      <c r="I492" s="25" t="n"/>
      <c r="J492" s="17">
        <f>IF(AND(C492="",D492="",G492=""),"",IF(NOT(ISNUMBER(B492)),"Needs a date",IF(AND(D492&lt;&gt;"",NOT(ISNUMBER(D492))),"Amount not a number",IF(N(D492)&lt;0,"Amount below zero",IF(AND(N(D492)=0,G492=""),"Needs an amount or goods",IF(C492="","",IF(COUNTIF(Donors!$B$6:$B$305,C492)=0,"Not on Donors","")))))))</f>
        <v/>
      </c>
      <c r="K492" s="1">
        <f>IF(ISNUMBER(B492),YEAR(B492),"")</f>
        <v/>
      </c>
      <c r="L492">
        <f>IF(ISNUMBER(B492),YEAR(B492)*100+MONTH(B492),"")</f>
        <v/>
      </c>
      <c r="M492">
        <f>IF(ISNUMBER(B492),INT(B492),0)</f>
        <v/>
      </c>
      <c r="N492">
        <f>IF(OR(C492="",F492="",Q492=0),0,IF(COUNTIFS(C$6:C492,C492,F$6:F492,F492,Q$6:Q492,1)=1,1,0))</f>
        <v/>
      </c>
      <c r="O492">
        <f>IF(OR(C492="",Q492=0,H492&lt;&gt;""),"",M492*10000+ROW())</f>
        <v/>
      </c>
      <c r="P492">
        <f>IF(OR(C492="",Q492=0),"",IF(AND(C492=Statement!$C$4,K492=Statement!$C$5),M492*10000+ROW(),""))</f>
        <v/>
      </c>
      <c r="Q492">
        <f>IF(AND(ISNUMBER(B492),OR(N(D492)&gt;0,G492&lt;&gt;"")),1,0)</f>
        <v/>
      </c>
    </row>
    <row r="493">
      <c r="A493" s="1" t="n"/>
      <c r="B493" s="21" t="n"/>
      <c r="C493" s="22" t="n"/>
      <c r="D493" s="23" t="n"/>
      <c r="E493" s="24" t="n"/>
      <c r="F493" s="25" t="n"/>
      <c r="G493" s="25" t="n"/>
      <c r="H493" s="24" t="n"/>
      <c r="I493" s="25" t="n"/>
      <c r="J493" s="17">
        <f>IF(AND(C493="",D493="",G493=""),"",IF(NOT(ISNUMBER(B493)),"Needs a date",IF(AND(D493&lt;&gt;"",NOT(ISNUMBER(D493))),"Amount not a number",IF(N(D493)&lt;0,"Amount below zero",IF(AND(N(D493)=0,G493=""),"Needs an amount or goods",IF(C493="","",IF(COUNTIF(Donors!$B$6:$B$305,C493)=0,"Not on Donors","")))))))</f>
        <v/>
      </c>
      <c r="K493" s="1">
        <f>IF(ISNUMBER(B493),YEAR(B493),"")</f>
        <v/>
      </c>
      <c r="L493">
        <f>IF(ISNUMBER(B493),YEAR(B493)*100+MONTH(B493),"")</f>
        <v/>
      </c>
      <c r="M493">
        <f>IF(ISNUMBER(B493),INT(B493),0)</f>
        <v/>
      </c>
      <c r="N493">
        <f>IF(OR(C493="",F493="",Q493=0),0,IF(COUNTIFS(C$6:C493,C493,F$6:F493,F493,Q$6:Q493,1)=1,1,0))</f>
        <v/>
      </c>
      <c r="O493">
        <f>IF(OR(C493="",Q493=0,H493&lt;&gt;""),"",M493*10000+ROW())</f>
        <v/>
      </c>
      <c r="P493">
        <f>IF(OR(C493="",Q493=0),"",IF(AND(C493=Statement!$C$4,K493=Statement!$C$5),M493*10000+ROW(),""))</f>
        <v/>
      </c>
      <c r="Q493">
        <f>IF(AND(ISNUMBER(B493),OR(N(D493)&gt;0,G493&lt;&gt;"")),1,0)</f>
        <v/>
      </c>
    </row>
    <row r="494">
      <c r="A494" s="1" t="n"/>
      <c r="B494" s="21" t="n"/>
      <c r="C494" s="22" t="n"/>
      <c r="D494" s="23" t="n"/>
      <c r="E494" s="24" t="n"/>
      <c r="F494" s="25" t="n"/>
      <c r="G494" s="25" t="n"/>
      <c r="H494" s="24" t="n"/>
      <c r="I494" s="25" t="n"/>
      <c r="J494" s="17">
        <f>IF(AND(C494="",D494="",G494=""),"",IF(NOT(ISNUMBER(B494)),"Needs a date",IF(AND(D494&lt;&gt;"",NOT(ISNUMBER(D494))),"Amount not a number",IF(N(D494)&lt;0,"Amount below zero",IF(AND(N(D494)=0,G494=""),"Needs an amount or goods",IF(C494="","",IF(COUNTIF(Donors!$B$6:$B$305,C494)=0,"Not on Donors","")))))))</f>
        <v/>
      </c>
      <c r="K494" s="1">
        <f>IF(ISNUMBER(B494),YEAR(B494),"")</f>
        <v/>
      </c>
      <c r="L494">
        <f>IF(ISNUMBER(B494),YEAR(B494)*100+MONTH(B494),"")</f>
        <v/>
      </c>
      <c r="M494">
        <f>IF(ISNUMBER(B494),INT(B494),0)</f>
        <v/>
      </c>
      <c r="N494">
        <f>IF(OR(C494="",F494="",Q494=0),0,IF(COUNTIFS(C$6:C494,C494,F$6:F494,F494,Q$6:Q494,1)=1,1,0))</f>
        <v/>
      </c>
      <c r="O494">
        <f>IF(OR(C494="",Q494=0,H494&lt;&gt;""),"",M494*10000+ROW())</f>
        <v/>
      </c>
      <c r="P494">
        <f>IF(OR(C494="",Q494=0),"",IF(AND(C494=Statement!$C$4,K494=Statement!$C$5),M494*10000+ROW(),""))</f>
        <v/>
      </c>
      <c r="Q494">
        <f>IF(AND(ISNUMBER(B494),OR(N(D494)&gt;0,G494&lt;&gt;"")),1,0)</f>
        <v/>
      </c>
    </row>
    <row r="495">
      <c r="A495" s="1" t="n"/>
      <c r="B495" s="21" t="n"/>
      <c r="C495" s="22" t="n"/>
      <c r="D495" s="23" t="n"/>
      <c r="E495" s="24" t="n"/>
      <c r="F495" s="25" t="n"/>
      <c r="G495" s="25" t="n"/>
      <c r="H495" s="24" t="n"/>
      <c r="I495" s="25" t="n"/>
      <c r="J495" s="17">
        <f>IF(AND(C495="",D495="",G495=""),"",IF(NOT(ISNUMBER(B495)),"Needs a date",IF(AND(D495&lt;&gt;"",NOT(ISNUMBER(D495))),"Amount not a number",IF(N(D495)&lt;0,"Amount below zero",IF(AND(N(D495)=0,G495=""),"Needs an amount or goods",IF(C495="","",IF(COUNTIF(Donors!$B$6:$B$305,C495)=0,"Not on Donors","")))))))</f>
        <v/>
      </c>
      <c r="K495" s="1">
        <f>IF(ISNUMBER(B495),YEAR(B495),"")</f>
        <v/>
      </c>
      <c r="L495">
        <f>IF(ISNUMBER(B495),YEAR(B495)*100+MONTH(B495),"")</f>
        <v/>
      </c>
      <c r="M495">
        <f>IF(ISNUMBER(B495),INT(B495),0)</f>
        <v/>
      </c>
      <c r="N495">
        <f>IF(OR(C495="",F495="",Q495=0),0,IF(COUNTIFS(C$6:C495,C495,F$6:F495,F495,Q$6:Q495,1)=1,1,0))</f>
        <v/>
      </c>
      <c r="O495">
        <f>IF(OR(C495="",Q495=0,H495&lt;&gt;""),"",M495*10000+ROW())</f>
        <v/>
      </c>
      <c r="P495">
        <f>IF(OR(C495="",Q495=0),"",IF(AND(C495=Statement!$C$4,K495=Statement!$C$5),M495*10000+ROW(),""))</f>
        <v/>
      </c>
      <c r="Q495">
        <f>IF(AND(ISNUMBER(B495),OR(N(D495)&gt;0,G495&lt;&gt;"")),1,0)</f>
        <v/>
      </c>
    </row>
    <row r="496">
      <c r="A496" s="1" t="n"/>
      <c r="B496" s="21" t="n"/>
      <c r="C496" s="22" t="n"/>
      <c r="D496" s="23" t="n"/>
      <c r="E496" s="24" t="n"/>
      <c r="F496" s="25" t="n"/>
      <c r="G496" s="25" t="n"/>
      <c r="H496" s="24" t="n"/>
      <c r="I496" s="25" t="n"/>
      <c r="J496" s="17">
        <f>IF(AND(C496="",D496="",G496=""),"",IF(NOT(ISNUMBER(B496)),"Needs a date",IF(AND(D496&lt;&gt;"",NOT(ISNUMBER(D496))),"Amount not a number",IF(N(D496)&lt;0,"Amount below zero",IF(AND(N(D496)=0,G496=""),"Needs an amount or goods",IF(C496="","",IF(COUNTIF(Donors!$B$6:$B$305,C496)=0,"Not on Donors","")))))))</f>
        <v/>
      </c>
      <c r="K496" s="1">
        <f>IF(ISNUMBER(B496),YEAR(B496),"")</f>
        <v/>
      </c>
      <c r="L496">
        <f>IF(ISNUMBER(B496),YEAR(B496)*100+MONTH(B496),"")</f>
        <v/>
      </c>
      <c r="M496">
        <f>IF(ISNUMBER(B496),INT(B496),0)</f>
        <v/>
      </c>
      <c r="N496">
        <f>IF(OR(C496="",F496="",Q496=0),0,IF(COUNTIFS(C$6:C496,C496,F$6:F496,F496,Q$6:Q496,1)=1,1,0))</f>
        <v/>
      </c>
      <c r="O496">
        <f>IF(OR(C496="",Q496=0,H496&lt;&gt;""),"",M496*10000+ROW())</f>
        <v/>
      </c>
      <c r="P496">
        <f>IF(OR(C496="",Q496=0),"",IF(AND(C496=Statement!$C$4,K496=Statement!$C$5),M496*10000+ROW(),""))</f>
        <v/>
      </c>
      <c r="Q496">
        <f>IF(AND(ISNUMBER(B496),OR(N(D496)&gt;0,G496&lt;&gt;"")),1,0)</f>
        <v/>
      </c>
    </row>
    <row r="497">
      <c r="A497" s="1" t="n"/>
      <c r="B497" s="21" t="n"/>
      <c r="C497" s="22" t="n"/>
      <c r="D497" s="23" t="n"/>
      <c r="E497" s="24" t="n"/>
      <c r="F497" s="25" t="n"/>
      <c r="G497" s="25" t="n"/>
      <c r="H497" s="24" t="n"/>
      <c r="I497" s="25" t="n"/>
      <c r="J497" s="17">
        <f>IF(AND(C497="",D497="",G497=""),"",IF(NOT(ISNUMBER(B497)),"Needs a date",IF(AND(D497&lt;&gt;"",NOT(ISNUMBER(D497))),"Amount not a number",IF(N(D497)&lt;0,"Amount below zero",IF(AND(N(D497)=0,G497=""),"Needs an amount or goods",IF(C497="","",IF(COUNTIF(Donors!$B$6:$B$305,C497)=0,"Not on Donors","")))))))</f>
        <v/>
      </c>
      <c r="K497" s="1">
        <f>IF(ISNUMBER(B497),YEAR(B497),"")</f>
        <v/>
      </c>
      <c r="L497">
        <f>IF(ISNUMBER(B497),YEAR(B497)*100+MONTH(B497),"")</f>
        <v/>
      </c>
      <c r="M497">
        <f>IF(ISNUMBER(B497),INT(B497),0)</f>
        <v/>
      </c>
      <c r="N497">
        <f>IF(OR(C497="",F497="",Q497=0),0,IF(COUNTIFS(C$6:C497,C497,F$6:F497,F497,Q$6:Q497,1)=1,1,0))</f>
        <v/>
      </c>
      <c r="O497">
        <f>IF(OR(C497="",Q497=0,H497&lt;&gt;""),"",M497*10000+ROW())</f>
        <v/>
      </c>
      <c r="P497">
        <f>IF(OR(C497="",Q497=0),"",IF(AND(C497=Statement!$C$4,K497=Statement!$C$5),M497*10000+ROW(),""))</f>
        <v/>
      </c>
      <c r="Q497">
        <f>IF(AND(ISNUMBER(B497),OR(N(D497)&gt;0,G497&lt;&gt;"")),1,0)</f>
        <v/>
      </c>
    </row>
    <row r="498">
      <c r="A498" s="1" t="n"/>
      <c r="B498" s="21" t="n"/>
      <c r="C498" s="22" t="n"/>
      <c r="D498" s="23" t="n"/>
      <c r="E498" s="24" t="n"/>
      <c r="F498" s="25" t="n"/>
      <c r="G498" s="25" t="n"/>
      <c r="H498" s="24" t="n"/>
      <c r="I498" s="25" t="n"/>
      <c r="J498" s="17">
        <f>IF(AND(C498="",D498="",G498=""),"",IF(NOT(ISNUMBER(B498)),"Needs a date",IF(AND(D498&lt;&gt;"",NOT(ISNUMBER(D498))),"Amount not a number",IF(N(D498)&lt;0,"Amount below zero",IF(AND(N(D498)=0,G498=""),"Needs an amount or goods",IF(C498="","",IF(COUNTIF(Donors!$B$6:$B$305,C498)=0,"Not on Donors","")))))))</f>
        <v/>
      </c>
      <c r="K498" s="1">
        <f>IF(ISNUMBER(B498),YEAR(B498),"")</f>
        <v/>
      </c>
      <c r="L498">
        <f>IF(ISNUMBER(B498),YEAR(B498)*100+MONTH(B498),"")</f>
        <v/>
      </c>
      <c r="M498">
        <f>IF(ISNUMBER(B498),INT(B498),0)</f>
        <v/>
      </c>
      <c r="N498">
        <f>IF(OR(C498="",F498="",Q498=0),0,IF(COUNTIFS(C$6:C498,C498,F$6:F498,F498,Q$6:Q498,1)=1,1,0))</f>
        <v/>
      </c>
      <c r="O498">
        <f>IF(OR(C498="",Q498=0,H498&lt;&gt;""),"",M498*10000+ROW())</f>
        <v/>
      </c>
      <c r="P498">
        <f>IF(OR(C498="",Q498=0),"",IF(AND(C498=Statement!$C$4,K498=Statement!$C$5),M498*10000+ROW(),""))</f>
        <v/>
      </c>
      <c r="Q498">
        <f>IF(AND(ISNUMBER(B498),OR(N(D498)&gt;0,G498&lt;&gt;"")),1,0)</f>
        <v/>
      </c>
    </row>
    <row r="499">
      <c r="A499" s="1" t="n"/>
      <c r="B499" s="21" t="n"/>
      <c r="C499" s="22" t="n"/>
      <c r="D499" s="23" t="n"/>
      <c r="E499" s="24" t="n"/>
      <c r="F499" s="25" t="n"/>
      <c r="G499" s="25" t="n"/>
      <c r="H499" s="24" t="n"/>
      <c r="I499" s="25" t="n"/>
      <c r="J499" s="17">
        <f>IF(AND(C499="",D499="",G499=""),"",IF(NOT(ISNUMBER(B499)),"Needs a date",IF(AND(D499&lt;&gt;"",NOT(ISNUMBER(D499))),"Amount not a number",IF(N(D499)&lt;0,"Amount below zero",IF(AND(N(D499)=0,G499=""),"Needs an amount or goods",IF(C499="","",IF(COUNTIF(Donors!$B$6:$B$305,C499)=0,"Not on Donors","")))))))</f>
        <v/>
      </c>
      <c r="K499" s="1">
        <f>IF(ISNUMBER(B499),YEAR(B499),"")</f>
        <v/>
      </c>
      <c r="L499">
        <f>IF(ISNUMBER(B499),YEAR(B499)*100+MONTH(B499),"")</f>
        <v/>
      </c>
      <c r="M499">
        <f>IF(ISNUMBER(B499),INT(B499),0)</f>
        <v/>
      </c>
      <c r="N499">
        <f>IF(OR(C499="",F499="",Q499=0),0,IF(COUNTIFS(C$6:C499,C499,F$6:F499,F499,Q$6:Q499,1)=1,1,0))</f>
        <v/>
      </c>
      <c r="O499">
        <f>IF(OR(C499="",Q499=0,H499&lt;&gt;""),"",M499*10000+ROW())</f>
        <v/>
      </c>
      <c r="P499">
        <f>IF(OR(C499="",Q499=0),"",IF(AND(C499=Statement!$C$4,K499=Statement!$C$5),M499*10000+ROW(),""))</f>
        <v/>
      </c>
      <c r="Q499">
        <f>IF(AND(ISNUMBER(B499),OR(N(D499)&gt;0,G499&lt;&gt;"")),1,0)</f>
        <v/>
      </c>
    </row>
    <row r="500">
      <c r="A500" s="1" t="n"/>
      <c r="B500" s="21" t="n"/>
      <c r="C500" s="22" t="n"/>
      <c r="D500" s="23" t="n"/>
      <c r="E500" s="24" t="n"/>
      <c r="F500" s="25" t="n"/>
      <c r="G500" s="25" t="n"/>
      <c r="H500" s="24" t="n"/>
      <c r="I500" s="25" t="n"/>
      <c r="J500" s="17">
        <f>IF(AND(C500="",D500="",G500=""),"",IF(NOT(ISNUMBER(B500)),"Needs a date",IF(AND(D500&lt;&gt;"",NOT(ISNUMBER(D500))),"Amount not a number",IF(N(D500)&lt;0,"Amount below zero",IF(AND(N(D500)=0,G500=""),"Needs an amount or goods",IF(C500="","",IF(COUNTIF(Donors!$B$6:$B$305,C500)=0,"Not on Donors","")))))))</f>
        <v/>
      </c>
      <c r="K500" s="1">
        <f>IF(ISNUMBER(B500),YEAR(B500),"")</f>
        <v/>
      </c>
      <c r="L500">
        <f>IF(ISNUMBER(B500),YEAR(B500)*100+MONTH(B500),"")</f>
        <v/>
      </c>
      <c r="M500">
        <f>IF(ISNUMBER(B500),INT(B500),0)</f>
        <v/>
      </c>
      <c r="N500">
        <f>IF(OR(C500="",F500="",Q500=0),0,IF(COUNTIFS(C$6:C500,C500,F$6:F500,F500,Q$6:Q500,1)=1,1,0))</f>
        <v/>
      </c>
      <c r="O500">
        <f>IF(OR(C500="",Q500=0,H500&lt;&gt;""),"",M500*10000+ROW())</f>
        <v/>
      </c>
      <c r="P500">
        <f>IF(OR(C500="",Q500=0),"",IF(AND(C500=Statement!$C$4,K500=Statement!$C$5),M500*10000+ROW(),""))</f>
        <v/>
      </c>
      <c r="Q500">
        <f>IF(AND(ISNUMBER(B500),OR(N(D500)&gt;0,G500&lt;&gt;"")),1,0)</f>
        <v/>
      </c>
    </row>
    <row r="501">
      <c r="A501" s="1" t="n"/>
      <c r="B501" s="21" t="n"/>
      <c r="C501" s="22" t="n"/>
      <c r="D501" s="23" t="n"/>
      <c r="E501" s="24" t="n"/>
      <c r="F501" s="25" t="n"/>
      <c r="G501" s="25" t="n"/>
      <c r="H501" s="24" t="n"/>
      <c r="I501" s="25" t="n"/>
      <c r="J501" s="17">
        <f>IF(AND(C501="",D501="",G501=""),"",IF(NOT(ISNUMBER(B501)),"Needs a date",IF(AND(D501&lt;&gt;"",NOT(ISNUMBER(D501))),"Amount not a number",IF(N(D501)&lt;0,"Amount below zero",IF(AND(N(D501)=0,G501=""),"Needs an amount or goods",IF(C501="","",IF(COUNTIF(Donors!$B$6:$B$305,C501)=0,"Not on Donors","")))))))</f>
        <v/>
      </c>
      <c r="K501" s="1">
        <f>IF(ISNUMBER(B501),YEAR(B501),"")</f>
        <v/>
      </c>
      <c r="L501">
        <f>IF(ISNUMBER(B501),YEAR(B501)*100+MONTH(B501),"")</f>
        <v/>
      </c>
      <c r="M501">
        <f>IF(ISNUMBER(B501),INT(B501),0)</f>
        <v/>
      </c>
      <c r="N501">
        <f>IF(OR(C501="",F501="",Q501=0),0,IF(COUNTIFS(C$6:C501,C501,F$6:F501,F501,Q$6:Q501,1)=1,1,0))</f>
        <v/>
      </c>
      <c r="O501">
        <f>IF(OR(C501="",Q501=0,H501&lt;&gt;""),"",M501*10000+ROW())</f>
        <v/>
      </c>
      <c r="P501">
        <f>IF(OR(C501="",Q501=0),"",IF(AND(C501=Statement!$C$4,K501=Statement!$C$5),M501*10000+ROW(),""))</f>
        <v/>
      </c>
      <c r="Q501">
        <f>IF(AND(ISNUMBER(B501),OR(N(D501)&gt;0,G501&lt;&gt;"")),1,0)</f>
        <v/>
      </c>
    </row>
    <row r="502">
      <c r="A502" s="1" t="n"/>
      <c r="B502" s="21" t="n"/>
      <c r="C502" s="22" t="n"/>
      <c r="D502" s="23" t="n"/>
      <c r="E502" s="24" t="n"/>
      <c r="F502" s="25" t="n"/>
      <c r="G502" s="25" t="n"/>
      <c r="H502" s="24" t="n"/>
      <c r="I502" s="25" t="n"/>
      <c r="J502" s="17">
        <f>IF(AND(C502="",D502="",G502=""),"",IF(NOT(ISNUMBER(B502)),"Needs a date",IF(AND(D502&lt;&gt;"",NOT(ISNUMBER(D502))),"Amount not a number",IF(N(D502)&lt;0,"Amount below zero",IF(AND(N(D502)=0,G502=""),"Needs an amount or goods",IF(C502="","",IF(COUNTIF(Donors!$B$6:$B$305,C502)=0,"Not on Donors","")))))))</f>
        <v/>
      </c>
      <c r="K502" s="1">
        <f>IF(ISNUMBER(B502),YEAR(B502),"")</f>
        <v/>
      </c>
      <c r="L502">
        <f>IF(ISNUMBER(B502),YEAR(B502)*100+MONTH(B502),"")</f>
        <v/>
      </c>
      <c r="M502">
        <f>IF(ISNUMBER(B502),INT(B502),0)</f>
        <v/>
      </c>
      <c r="N502">
        <f>IF(OR(C502="",F502="",Q502=0),0,IF(COUNTIFS(C$6:C502,C502,F$6:F502,F502,Q$6:Q502,1)=1,1,0))</f>
        <v/>
      </c>
      <c r="O502">
        <f>IF(OR(C502="",Q502=0,H502&lt;&gt;""),"",M502*10000+ROW())</f>
        <v/>
      </c>
      <c r="P502">
        <f>IF(OR(C502="",Q502=0),"",IF(AND(C502=Statement!$C$4,K502=Statement!$C$5),M502*10000+ROW(),""))</f>
        <v/>
      </c>
      <c r="Q502">
        <f>IF(AND(ISNUMBER(B502),OR(N(D502)&gt;0,G502&lt;&gt;"")),1,0)</f>
        <v/>
      </c>
    </row>
    <row r="503">
      <c r="A503" s="1" t="n"/>
      <c r="B503" s="21" t="n"/>
      <c r="C503" s="22" t="n"/>
      <c r="D503" s="23" t="n"/>
      <c r="E503" s="24" t="n"/>
      <c r="F503" s="25" t="n"/>
      <c r="G503" s="25" t="n"/>
      <c r="H503" s="24" t="n"/>
      <c r="I503" s="25" t="n"/>
      <c r="J503" s="17">
        <f>IF(AND(C503="",D503="",G503=""),"",IF(NOT(ISNUMBER(B503)),"Needs a date",IF(AND(D503&lt;&gt;"",NOT(ISNUMBER(D503))),"Amount not a number",IF(N(D503)&lt;0,"Amount below zero",IF(AND(N(D503)=0,G503=""),"Needs an amount or goods",IF(C503="","",IF(COUNTIF(Donors!$B$6:$B$305,C503)=0,"Not on Donors","")))))))</f>
        <v/>
      </c>
      <c r="K503" s="1">
        <f>IF(ISNUMBER(B503),YEAR(B503),"")</f>
        <v/>
      </c>
      <c r="L503">
        <f>IF(ISNUMBER(B503),YEAR(B503)*100+MONTH(B503),"")</f>
        <v/>
      </c>
      <c r="M503">
        <f>IF(ISNUMBER(B503),INT(B503),0)</f>
        <v/>
      </c>
      <c r="N503">
        <f>IF(OR(C503="",F503="",Q503=0),0,IF(COUNTIFS(C$6:C503,C503,F$6:F503,F503,Q$6:Q503,1)=1,1,0))</f>
        <v/>
      </c>
      <c r="O503">
        <f>IF(OR(C503="",Q503=0,H503&lt;&gt;""),"",M503*10000+ROW())</f>
        <v/>
      </c>
      <c r="P503">
        <f>IF(OR(C503="",Q503=0),"",IF(AND(C503=Statement!$C$4,K503=Statement!$C$5),M503*10000+ROW(),""))</f>
        <v/>
      </c>
      <c r="Q503">
        <f>IF(AND(ISNUMBER(B503),OR(N(D503)&gt;0,G503&lt;&gt;"")),1,0)</f>
        <v/>
      </c>
    </row>
    <row r="504">
      <c r="A504" s="1" t="n"/>
      <c r="B504" s="21" t="n"/>
      <c r="C504" s="22" t="n"/>
      <c r="D504" s="23" t="n"/>
      <c r="E504" s="24" t="n"/>
      <c r="F504" s="25" t="n"/>
      <c r="G504" s="25" t="n"/>
      <c r="H504" s="24" t="n"/>
      <c r="I504" s="25" t="n"/>
      <c r="J504" s="17">
        <f>IF(AND(C504="",D504="",G504=""),"",IF(NOT(ISNUMBER(B504)),"Needs a date",IF(AND(D504&lt;&gt;"",NOT(ISNUMBER(D504))),"Amount not a number",IF(N(D504)&lt;0,"Amount below zero",IF(AND(N(D504)=0,G504=""),"Needs an amount or goods",IF(C504="","",IF(COUNTIF(Donors!$B$6:$B$305,C504)=0,"Not on Donors","")))))))</f>
        <v/>
      </c>
      <c r="K504" s="1">
        <f>IF(ISNUMBER(B504),YEAR(B504),"")</f>
        <v/>
      </c>
      <c r="L504">
        <f>IF(ISNUMBER(B504),YEAR(B504)*100+MONTH(B504),"")</f>
        <v/>
      </c>
      <c r="M504">
        <f>IF(ISNUMBER(B504),INT(B504),0)</f>
        <v/>
      </c>
      <c r="N504">
        <f>IF(OR(C504="",F504="",Q504=0),0,IF(COUNTIFS(C$6:C504,C504,F$6:F504,F504,Q$6:Q504,1)=1,1,0))</f>
        <v/>
      </c>
      <c r="O504">
        <f>IF(OR(C504="",Q504=0,H504&lt;&gt;""),"",M504*10000+ROW())</f>
        <v/>
      </c>
      <c r="P504">
        <f>IF(OR(C504="",Q504=0),"",IF(AND(C504=Statement!$C$4,K504=Statement!$C$5),M504*10000+ROW(),""))</f>
        <v/>
      </c>
      <c r="Q504">
        <f>IF(AND(ISNUMBER(B504),OR(N(D504)&gt;0,G504&lt;&gt;"")),1,0)</f>
        <v/>
      </c>
    </row>
    <row r="505">
      <c r="A505" s="1" t="n"/>
      <c r="B505" s="21" t="n"/>
      <c r="C505" s="22" t="n"/>
      <c r="D505" s="23" t="n"/>
      <c r="E505" s="24" t="n"/>
      <c r="F505" s="25" t="n"/>
      <c r="G505" s="25" t="n"/>
      <c r="H505" s="24" t="n"/>
      <c r="I505" s="25" t="n"/>
      <c r="J505" s="17">
        <f>IF(AND(C505="",D505="",G505=""),"",IF(NOT(ISNUMBER(B505)),"Needs a date",IF(AND(D505&lt;&gt;"",NOT(ISNUMBER(D505))),"Amount not a number",IF(N(D505)&lt;0,"Amount below zero",IF(AND(N(D505)=0,G505=""),"Needs an amount or goods",IF(C505="","",IF(COUNTIF(Donors!$B$6:$B$305,C505)=0,"Not on Donors","")))))))</f>
        <v/>
      </c>
      <c r="K505" s="1">
        <f>IF(ISNUMBER(B505),YEAR(B505),"")</f>
        <v/>
      </c>
      <c r="L505">
        <f>IF(ISNUMBER(B505),YEAR(B505)*100+MONTH(B505),"")</f>
        <v/>
      </c>
      <c r="M505">
        <f>IF(ISNUMBER(B505),INT(B505),0)</f>
        <v/>
      </c>
      <c r="N505">
        <f>IF(OR(C505="",F505="",Q505=0),0,IF(COUNTIFS(C$6:C505,C505,F$6:F505,F505,Q$6:Q505,1)=1,1,0))</f>
        <v/>
      </c>
      <c r="O505">
        <f>IF(OR(C505="",Q505=0,H505&lt;&gt;""),"",M505*10000+ROW())</f>
        <v/>
      </c>
      <c r="P505">
        <f>IF(OR(C505="",Q505=0),"",IF(AND(C505=Statement!$C$4,K505=Statement!$C$5),M505*10000+ROW(),""))</f>
        <v/>
      </c>
      <c r="Q505">
        <f>IF(AND(ISNUMBER(B505),OR(N(D505)&gt;0,G505&lt;&gt;"")),1,0)</f>
        <v/>
      </c>
    </row>
    <row r="506">
      <c r="A506" s="1" t="n"/>
      <c r="B506" s="21" t="n"/>
      <c r="C506" s="22" t="n"/>
      <c r="D506" s="23" t="n"/>
      <c r="E506" s="24" t="n"/>
      <c r="F506" s="25" t="n"/>
      <c r="G506" s="25" t="n"/>
      <c r="H506" s="24" t="n"/>
      <c r="I506" s="25" t="n"/>
      <c r="J506" s="17">
        <f>IF(AND(C506="",D506="",G506=""),"",IF(NOT(ISNUMBER(B506)),"Needs a date",IF(AND(D506&lt;&gt;"",NOT(ISNUMBER(D506))),"Amount not a number",IF(N(D506)&lt;0,"Amount below zero",IF(AND(N(D506)=0,G506=""),"Needs an amount or goods",IF(C506="","",IF(COUNTIF(Donors!$B$6:$B$305,C506)=0,"Not on Donors","")))))))</f>
        <v/>
      </c>
      <c r="K506" s="1">
        <f>IF(ISNUMBER(B506),YEAR(B506),"")</f>
        <v/>
      </c>
      <c r="L506">
        <f>IF(ISNUMBER(B506),YEAR(B506)*100+MONTH(B506),"")</f>
        <v/>
      </c>
      <c r="M506">
        <f>IF(ISNUMBER(B506),INT(B506),0)</f>
        <v/>
      </c>
      <c r="N506">
        <f>IF(OR(C506="",F506="",Q506=0),0,IF(COUNTIFS(C$6:C506,C506,F$6:F506,F506,Q$6:Q506,1)=1,1,0))</f>
        <v/>
      </c>
      <c r="O506">
        <f>IF(OR(C506="",Q506=0,H506&lt;&gt;""),"",M506*10000+ROW())</f>
        <v/>
      </c>
      <c r="P506">
        <f>IF(OR(C506="",Q506=0),"",IF(AND(C506=Statement!$C$4,K506=Statement!$C$5),M506*10000+ROW(),""))</f>
        <v/>
      </c>
      <c r="Q506">
        <f>IF(AND(ISNUMBER(B506),OR(N(D506)&gt;0,G506&lt;&gt;"")),1,0)</f>
        <v/>
      </c>
    </row>
    <row r="507">
      <c r="A507" s="1" t="n"/>
      <c r="B507" s="21" t="n"/>
      <c r="C507" s="22" t="n"/>
      <c r="D507" s="23" t="n"/>
      <c r="E507" s="24" t="n"/>
      <c r="F507" s="25" t="n"/>
      <c r="G507" s="25" t="n"/>
      <c r="H507" s="24" t="n"/>
      <c r="I507" s="25" t="n"/>
      <c r="J507" s="17">
        <f>IF(AND(C507="",D507="",G507=""),"",IF(NOT(ISNUMBER(B507)),"Needs a date",IF(AND(D507&lt;&gt;"",NOT(ISNUMBER(D507))),"Amount not a number",IF(N(D507)&lt;0,"Amount below zero",IF(AND(N(D507)=0,G507=""),"Needs an amount or goods",IF(C507="","",IF(COUNTIF(Donors!$B$6:$B$305,C507)=0,"Not on Donors","")))))))</f>
        <v/>
      </c>
      <c r="K507" s="1">
        <f>IF(ISNUMBER(B507),YEAR(B507),"")</f>
        <v/>
      </c>
      <c r="L507">
        <f>IF(ISNUMBER(B507),YEAR(B507)*100+MONTH(B507),"")</f>
        <v/>
      </c>
      <c r="M507">
        <f>IF(ISNUMBER(B507),INT(B507),0)</f>
        <v/>
      </c>
      <c r="N507">
        <f>IF(OR(C507="",F507="",Q507=0),0,IF(COUNTIFS(C$6:C507,C507,F$6:F507,F507,Q$6:Q507,1)=1,1,0))</f>
        <v/>
      </c>
      <c r="O507">
        <f>IF(OR(C507="",Q507=0,H507&lt;&gt;""),"",M507*10000+ROW())</f>
        <v/>
      </c>
      <c r="P507">
        <f>IF(OR(C507="",Q507=0),"",IF(AND(C507=Statement!$C$4,K507=Statement!$C$5),M507*10000+ROW(),""))</f>
        <v/>
      </c>
      <c r="Q507">
        <f>IF(AND(ISNUMBER(B507),OR(N(D507)&gt;0,G507&lt;&gt;"")),1,0)</f>
        <v/>
      </c>
    </row>
    <row r="508">
      <c r="A508" s="1" t="n"/>
      <c r="B508" s="21" t="n"/>
      <c r="C508" s="22" t="n"/>
      <c r="D508" s="23" t="n"/>
      <c r="E508" s="24" t="n"/>
      <c r="F508" s="25" t="n"/>
      <c r="G508" s="25" t="n"/>
      <c r="H508" s="24" t="n"/>
      <c r="I508" s="25" t="n"/>
      <c r="J508" s="17">
        <f>IF(AND(C508="",D508="",G508=""),"",IF(NOT(ISNUMBER(B508)),"Needs a date",IF(AND(D508&lt;&gt;"",NOT(ISNUMBER(D508))),"Amount not a number",IF(N(D508)&lt;0,"Amount below zero",IF(AND(N(D508)=0,G508=""),"Needs an amount or goods",IF(C508="","",IF(COUNTIF(Donors!$B$6:$B$305,C508)=0,"Not on Donors","")))))))</f>
        <v/>
      </c>
      <c r="K508" s="1">
        <f>IF(ISNUMBER(B508),YEAR(B508),"")</f>
        <v/>
      </c>
      <c r="L508">
        <f>IF(ISNUMBER(B508),YEAR(B508)*100+MONTH(B508),"")</f>
        <v/>
      </c>
      <c r="M508">
        <f>IF(ISNUMBER(B508),INT(B508),0)</f>
        <v/>
      </c>
      <c r="N508">
        <f>IF(OR(C508="",F508="",Q508=0),0,IF(COUNTIFS(C$6:C508,C508,F$6:F508,F508,Q$6:Q508,1)=1,1,0))</f>
        <v/>
      </c>
      <c r="O508">
        <f>IF(OR(C508="",Q508=0,H508&lt;&gt;""),"",M508*10000+ROW())</f>
        <v/>
      </c>
      <c r="P508">
        <f>IF(OR(C508="",Q508=0),"",IF(AND(C508=Statement!$C$4,K508=Statement!$C$5),M508*10000+ROW(),""))</f>
        <v/>
      </c>
      <c r="Q508">
        <f>IF(AND(ISNUMBER(B508),OR(N(D508)&gt;0,G508&lt;&gt;"")),1,0)</f>
        <v/>
      </c>
    </row>
    <row r="509">
      <c r="A509" s="1" t="n"/>
      <c r="B509" s="21" t="n"/>
      <c r="C509" s="22" t="n"/>
      <c r="D509" s="23" t="n"/>
      <c r="E509" s="24" t="n"/>
      <c r="F509" s="25" t="n"/>
      <c r="G509" s="25" t="n"/>
      <c r="H509" s="24" t="n"/>
      <c r="I509" s="25" t="n"/>
      <c r="J509" s="17">
        <f>IF(AND(C509="",D509="",G509=""),"",IF(NOT(ISNUMBER(B509)),"Needs a date",IF(AND(D509&lt;&gt;"",NOT(ISNUMBER(D509))),"Amount not a number",IF(N(D509)&lt;0,"Amount below zero",IF(AND(N(D509)=0,G509=""),"Needs an amount or goods",IF(C509="","",IF(COUNTIF(Donors!$B$6:$B$305,C509)=0,"Not on Donors","")))))))</f>
        <v/>
      </c>
      <c r="K509" s="1">
        <f>IF(ISNUMBER(B509),YEAR(B509),"")</f>
        <v/>
      </c>
      <c r="L509">
        <f>IF(ISNUMBER(B509),YEAR(B509)*100+MONTH(B509),"")</f>
        <v/>
      </c>
      <c r="M509">
        <f>IF(ISNUMBER(B509),INT(B509),0)</f>
        <v/>
      </c>
      <c r="N509">
        <f>IF(OR(C509="",F509="",Q509=0),0,IF(COUNTIFS(C$6:C509,C509,F$6:F509,F509,Q$6:Q509,1)=1,1,0))</f>
        <v/>
      </c>
      <c r="O509">
        <f>IF(OR(C509="",Q509=0,H509&lt;&gt;""),"",M509*10000+ROW())</f>
        <v/>
      </c>
      <c r="P509">
        <f>IF(OR(C509="",Q509=0),"",IF(AND(C509=Statement!$C$4,K509=Statement!$C$5),M509*10000+ROW(),""))</f>
        <v/>
      </c>
      <c r="Q509">
        <f>IF(AND(ISNUMBER(B509),OR(N(D509)&gt;0,G509&lt;&gt;"")),1,0)</f>
        <v/>
      </c>
    </row>
    <row r="510">
      <c r="A510" s="1" t="n"/>
      <c r="B510" s="21" t="n"/>
      <c r="C510" s="22" t="n"/>
      <c r="D510" s="23" t="n"/>
      <c r="E510" s="24" t="n"/>
      <c r="F510" s="25" t="n"/>
      <c r="G510" s="25" t="n"/>
      <c r="H510" s="24" t="n"/>
      <c r="I510" s="25" t="n"/>
      <c r="J510" s="17">
        <f>IF(AND(C510="",D510="",G510=""),"",IF(NOT(ISNUMBER(B510)),"Needs a date",IF(AND(D510&lt;&gt;"",NOT(ISNUMBER(D510))),"Amount not a number",IF(N(D510)&lt;0,"Amount below zero",IF(AND(N(D510)=0,G510=""),"Needs an amount or goods",IF(C510="","",IF(COUNTIF(Donors!$B$6:$B$305,C510)=0,"Not on Donors","")))))))</f>
        <v/>
      </c>
      <c r="K510" s="1">
        <f>IF(ISNUMBER(B510),YEAR(B510),"")</f>
        <v/>
      </c>
      <c r="L510">
        <f>IF(ISNUMBER(B510),YEAR(B510)*100+MONTH(B510),"")</f>
        <v/>
      </c>
      <c r="M510">
        <f>IF(ISNUMBER(B510),INT(B510),0)</f>
        <v/>
      </c>
      <c r="N510">
        <f>IF(OR(C510="",F510="",Q510=0),0,IF(COUNTIFS(C$6:C510,C510,F$6:F510,F510,Q$6:Q510,1)=1,1,0))</f>
        <v/>
      </c>
      <c r="O510">
        <f>IF(OR(C510="",Q510=0,H510&lt;&gt;""),"",M510*10000+ROW())</f>
        <v/>
      </c>
      <c r="P510">
        <f>IF(OR(C510="",Q510=0),"",IF(AND(C510=Statement!$C$4,K510=Statement!$C$5),M510*10000+ROW(),""))</f>
        <v/>
      </c>
      <c r="Q510">
        <f>IF(AND(ISNUMBER(B510),OR(N(D510)&gt;0,G510&lt;&gt;"")),1,0)</f>
        <v/>
      </c>
    </row>
    <row r="511">
      <c r="A511" s="1" t="n"/>
      <c r="B511" s="21" t="n"/>
      <c r="C511" s="22" t="n"/>
      <c r="D511" s="23" t="n"/>
      <c r="E511" s="24" t="n"/>
      <c r="F511" s="25" t="n"/>
      <c r="G511" s="25" t="n"/>
      <c r="H511" s="24" t="n"/>
      <c r="I511" s="25" t="n"/>
      <c r="J511" s="17">
        <f>IF(AND(C511="",D511="",G511=""),"",IF(NOT(ISNUMBER(B511)),"Needs a date",IF(AND(D511&lt;&gt;"",NOT(ISNUMBER(D511))),"Amount not a number",IF(N(D511)&lt;0,"Amount below zero",IF(AND(N(D511)=0,G511=""),"Needs an amount or goods",IF(C511="","",IF(COUNTIF(Donors!$B$6:$B$305,C511)=0,"Not on Donors","")))))))</f>
        <v/>
      </c>
      <c r="K511" s="1">
        <f>IF(ISNUMBER(B511),YEAR(B511),"")</f>
        <v/>
      </c>
      <c r="L511">
        <f>IF(ISNUMBER(B511),YEAR(B511)*100+MONTH(B511),"")</f>
        <v/>
      </c>
      <c r="M511">
        <f>IF(ISNUMBER(B511),INT(B511),0)</f>
        <v/>
      </c>
      <c r="N511">
        <f>IF(OR(C511="",F511="",Q511=0),0,IF(COUNTIFS(C$6:C511,C511,F$6:F511,F511,Q$6:Q511,1)=1,1,0))</f>
        <v/>
      </c>
      <c r="O511">
        <f>IF(OR(C511="",Q511=0,H511&lt;&gt;""),"",M511*10000+ROW())</f>
        <v/>
      </c>
      <c r="P511">
        <f>IF(OR(C511="",Q511=0),"",IF(AND(C511=Statement!$C$4,K511=Statement!$C$5),M511*10000+ROW(),""))</f>
        <v/>
      </c>
      <c r="Q511">
        <f>IF(AND(ISNUMBER(B511),OR(N(D511)&gt;0,G511&lt;&gt;"")),1,0)</f>
        <v/>
      </c>
    </row>
    <row r="512">
      <c r="A512" s="1" t="n"/>
      <c r="B512" s="21" t="n"/>
      <c r="C512" s="22" t="n"/>
      <c r="D512" s="23" t="n"/>
      <c r="E512" s="24" t="n"/>
      <c r="F512" s="25" t="n"/>
      <c r="G512" s="25" t="n"/>
      <c r="H512" s="24" t="n"/>
      <c r="I512" s="25" t="n"/>
      <c r="J512" s="17">
        <f>IF(AND(C512="",D512="",G512=""),"",IF(NOT(ISNUMBER(B512)),"Needs a date",IF(AND(D512&lt;&gt;"",NOT(ISNUMBER(D512))),"Amount not a number",IF(N(D512)&lt;0,"Amount below zero",IF(AND(N(D512)=0,G512=""),"Needs an amount or goods",IF(C512="","",IF(COUNTIF(Donors!$B$6:$B$305,C512)=0,"Not on Donors","")))))))</f>
        <v/>
      </c>
      <c r="K512" s="1">
        <f>IF(ISNUMBER(B512),YEAR(B512),"")</f>
        <v/>
      </c>
      <c r="L512">
        <f>IF(ISNUMBER(B512),YEAR(B512)*100+MONTH(B512),"")</f>
        <v/>
      </c>
      <c r="M512">
        <f>IF(ISNUMBER(B512),INT(B512),0)</f>
        <v/>
      </c>
      <c r="N512">
        <f>IF(OR(C512="",F512="",Q512=0),0,IF(COUNTIFS(C$6:C512,C512,F$6:F512,F512,Q$6:Q512,1)=1,1,0))</f>
        <v/>
      </c>
      <c r="O512">
        <f>IF(OR(C512="",Q512=0,H512&lt;&gt;""),"",M512*10000+ROW())</f>
        <v/>
      </c>
      <c r="P512">
        <f>IF(OR(C512="",Q512=0),"",IF(AND(C512=Statement!$C$4,K512=Statement!$C$5),M512*10000+ROW(),""))</f>
        <v/>
      </c>
      <c r="Q512">
        <f>IF(AND(ISNUMBER(B512),OR(N(D512)&gt;0,G512&lt;&gt;"")),1,0)</f>
        <v/>
      </c>
    </row>
    <row r="513">
      <c r="A513" s="1" t="n"/>
      <c r="B513" s="21" t="n"/>
      <c r="C513" s="22" t="n"/>
      <c r="D513" s="23" t="n"/>
      <c r="E513" s="24" t="n"/>
      <c r="F513" s="25" t="n"/>
      <c r="G513" s="25" t="n"/>
      <c r="H513" s="24" t="n"/>
      <c r="I513" s="25" t="n"/>
      <c r="J513" s="17">
        <f>IF(AND(C513="",D513="",G513=""),"",IF(NOT(ISNUMBER(B513)),"Needs a date",IF(AND(D513&lt;&gt;"",NOT(ISNUMBER(D513))),"Amount not a number",IF(N(D513)&lt;0,"Amount below zero",IF(AND(N(D513)=0,G513=""),"Needs an amount or goods",IF(C513="","",IF(COUNTIF(Donors!$B$6:$B$305,C513)=0,"Not on Donors","")))))))</f>
        <v/>
      </c>
      <c r="K513" s="1">
        <f>IF(ISNUMBER(B513),YEAR(B513),"")</f>
        <v/>
      </c>
      <c r="L513">
        <f>IF(ISNUMBER(B513),YEAR(B513)*100+MONTH(B513),"")</f>
        <v/>
      </c>
      <c r="M513">
        <f>IF(ISNUMBER(B513),INT(B513),0)</f>
        <v/>
      </c>
      <c r="N513">
        <f>IF(OR(C513="",F513="",Q513=0),0,IF(COUNTIFS(C$6:C513,C513,F$6:F513,F513,Q$6:Q513,1)=1,1,0))</f>
        <v/>
      </c>
      <c r="O513">
        <f>IF(OR(C513="",Q513=0,H513&lt;&gt;""),"",M513*10000+ROW())</f>
        <v/>
      </c>
      <c r="P513">
        <f>IF(OR(C513="",Q513=0),"",IF(AND(C513=Statement!$C$4,K513=Statement!$C$5),M513*10000+ROW(),""))</f>
        <v/>
      </c>
      <c r="Q513">
        <f>IF(AND(ISNUMBER(B513),OR(N(D513)&gt;0,G513&lt;&gt;"")),1,0)</f>
        <v/>
      </c>
    </row>
    <row r="514">
      <c r="A514" s="1" t="n"/>
      <c r="B514" s="21" t="n"/>
      <c r="C514" s="22" t="n"/>
      <c r="D514" s="23" t="n"/>
      <c r="E514" s="24" t="n"/>
      <c r="F514" s="25" t="n"/>
      <c r="G514" s="25" t="n"/>
      <c r="H514" s="24" t="n"/>
      <c r="I514" s="25" t="n"/>
      <c r="J514" s="17">
        <f>IF(AND(C514="",D514="",G514=""),"",IF(NOT(ISNUMBER(B514)),"Needs a date",IF(AND(D514&lt;&gt;"",NOT(ISNUMBER(D514))),"Amount not a number",IF(N(D514)&lt;0,"Amount below zero",IF(AND(N(D514)=0,G514=""),"Needs an amount or goods",IF(C514="","",IF(COUNTIF(Donors!$B$6:$B$305,C514)=0,"Not on Donors","")))))))</f>
        <v/>
      </c>
      <c r="K514" s="1">
        <f>IF(ISNUMBER(B514),YEAR(B514),"")</f>
        <v/>
      </c>
      <c r="L514">
        <f>IF(ISNUMBER(B514),YEAR(B514)*100+MONTH(B514),"")</f>
        <v/>
      </c>
      <c r="M514">
        <f>IF(ISNUMBER(B514),INT(B514),0)</f>
        <v/>
      </c>
      <c r="N514">
        <f>IF(OR(C514="",F514="",Q514=0),0,IF(COUNTIFS(C$6:C514,C514,F$6:F514,F514,Q$6:Q514,1)=1,1,0))</f>
        <v/>
      </c>
      <c r="O514">
        <f>IF(OR(C514="",Q514=0,H514&lt;&gt;""),"",M514*10000+ROW())</f>
        <v/>
      </c>
      <c r="P514">
        <f>IF(OR(C514="",Q514=0),"",IF(AND(C514=Statement!$C$4,K514=Statement!$C$5),M514*10000+ROW(),""))</f>
        <v/>
      </c>
      <c r="Q514">
        <f>IF(AND(ISNUMBER(B514),OR(N(D514)&gt;0,G514&lt;&gt;"")),1,0)</f>
        <v/>
      </c>
    </row>
    <row r="515">
      <c r="A515" s="1" t="n"/>
      <c r="B515" s="21" t="n"/>
      <c r="C515" s="22" t="n"/>
      <c r="D515" s="23" t="n"/>
      <c r="E515" s="24" t="n"/>
      <c r="F515" s="25" t="n"/>
      <c r="G515" s="25" t="n"/>
      <c r="H515" s="24" t="n"/>
      <c r="I515" s="25" t="n"/>
      <c r="J515" s="17">
        <f>IF(AND(C515="",D515="",G515=""),"",IF(NOT(ISNUMBER(B515)),"Needs a date",IF(AND(D515&lt;&gt;"",NOT(ISNUMBER(D515))),"Amount not a number",IF(N(D515)&lt;0,"Amount below zero",IF(AND(N(D515)=0,G515=""),"Needs an amount or goods",IF(C515="","",IF(COUNTIF(Donors!$B$6:$B$305,C515)=0,"Not on Donors","")))))))</f>
        <v/>
      </c>
      <c r="K515" s="1">
        <f>IF(ISNUMBER(B515),YEAR(B515),"")</f>
        <v/>
      </c>
      <c r="L515">
        <f>IF(ISNUMBER(B515),YEAR(B515)*100+MONTH(B515),"")</f>
        <v/>
      </c>
      <c r="M515">
        <f>IF(ISNUMBER(B515),INT(B515),0)</f>
        <v/>
      </c>
      <c r="N515">
        <f>IF(OR(C515="",F515="",Q515=0),0,IF(COUNTIFS(C$6:C515,C515,F$6:F515,F515,Q$6:Q515,1)=1,1,0))</f>
        <v/>
      </c>
      <c r="O515">
        <f>IF(OR(C515="",Q515=0,H515&lt;&gt;""),"",M515*10000+ROW())</f>
        <v/>
      </c>
      <c r="P515">
        <f>IF(OR(C515="",Q515=0),"",IF(AND(C515=Statement!$C$4,K515=Statement!$C$5),M515*10000+ROW(),""))</f>
        <v/>
      </c>
      <c r="Q515">
        <f>IF(AND(ISNUMBER(B515),OR(N(D515)&gt;0,G515&lt;&gt;"")),1,0)</f>
        <v/>
      </c>
    </row>
    <row r="516">
      <c r="A516" s="1" t="n"/>
      <c r="B516" s="21" t="n"/>
      <c r="C516" s="22" t="n"/>
      <c r="D516" s="23" t="n"/>
      <c r="E516" s="24" t="n"/>
      <c r="F516" s="25" t="n"/>
      <c r="G516" s="25" t="n"/>
      <c r="H516" s="24" t="n"/>
      <c r="I516" s="25" t="n"/>
      <c r="J516" s="17">
        <f>IF(AND(C516="",D516="",G516=""),"",IF(NOT(ISNUMBER(B516)),"Needs a date",IF(AND(D516&lt;&gt;"",NOT(ISNUMBER(D516))),"Amount not a number",IF(N(D516)&lt;0,"Amount below zero",IF(AND(N(D516)=0,G516=""),"Needs an amount or goods",IF(C516="","",IF(COUNTIF(Donors!$B$6:$B$305,C516)=0,"Not on Donors","")))))))</f>
        <v/>
      </c>
      <c r="K516" s="1">
        <f>IF(ISNUMBER(B516),YEAR(B516),"")</f>
        <v/>
      </c>
      <c r="L516">
        <f>IF(ISNUMBER(B516),YEAR(B516)*100+MONTH(B516),"")</f>
        <v/>
      </c>
      <c r="M516">
        <f>IF(ISNUMBER(B516),INT(B516),0)</f>
        <v/>
      </c>
      <c r="N516">
        <f>IF(OR(C516="",F516="",Q516=0),0,IF(COUNTIFS(C$6:C516,C516,F$6:F516,F516,Q$6:Q516,1)=1,1,0))</f>
        <v/>
      </c>
      <c r="O516">
        <f>IF(OR(C516="",Q516=0,H516&lt;&gt;""),"",M516*10000+ROW())</f>
        <v/>
      </c>
      <c r="P516">
        <f>IF(OR(C516="",Q516=0),"",IF(AND(C516=Statement!$C$4,K516=Statement!$C$5),M516*10000+ROW(),""))</f>
        <v/>
      </c>
      <c r="Q516">
        <f>IF(AND(ISNUMBER(B516),OR(N(D516)&gt;0,G516&lt;&gt;"")),1,0)</f>
        <v/>
      </c>
    </row>
    <row r="517">
      <c r="A517" s="1" t="n"/>
      <c r="B517" s="21" t="n"/>
      <c r="C517" s="22" t="n"/>
      <c r="D517" s="23" t="n"/>
      <c r="E517" s="24" t="n"/>
      <c r="F517" s="25" t="n"/>
      <c r="G517" s="25" t="n"/>
      <c r="H517" s="24" t="n"/>
      <c r="I517" s="25" t="n"/>
      <c r="J517" s="17">
        <f>IF(AND(C517="",D517="",G517=""),"",IF(NOT(ISNUMBER(B517)),"Needs a date",IF(AND(D517&lt;&gt;"",NOT(ISNUMBER(D517))),"Amount not a number",IF(N(D517)&lt;0,"Amount below zero",IF(AND(N(D517)=0,G517=""),"Needs an amount or goods",IF(C517="","",IF(COUNTIF(Donors!$B$6:$B$305,C517)=0,"Not on Donors","")))))))</f>
        <v/>
      </c>
      <c r="K517" s="1">
        <f>IF(ISNUMBER(B517),YEAR(B517),"")</f>
        <v/>
      </c>
      <c r="L517">
        <f>IF(ISNUMBER(B517),YEAR(B517)*100+MONTH(B517),"")</f>
        <v/>
      </c>
      <c r="M517">
        <f>IF(ISNUMBER(B517),INT(B517),0)</f>
        <v/>
      </c>
      <c r="N517">
        <f>IF(OR(C517="",F517="",Q517=0),0,IF(COUNTIFS(C$6:C517,C517,F$6:F517,F517,Q$6:Q517,1)=1,1,0))</f>
        <v/>
      </c>
      <c r="O517">
        <f>IF(OR(C517="",Q517=0,H517&lt;&gt;""),"",M517*10000+ROW())</f>
        <v/>
      </c>
      <c r="P517">
        <f>IF(OR(C517="",Q517=0),"",IF(AND(C517=Statement!$C$4,K517=Statement!$C$5),M517*10000+ROW(),""))</f>
        <v/>
      </c>
      <c r="Q517">
        <f>IF(AND(ISNUMBER(B517),OR(N(D517)&gt;0,G517&lt;&gt;"")),1,0)</f>
        <v/>
      </c>
    </row>
    <row r="518">
      <c r="A518" s="1" t="n"/>
      <c r="B518" s="21" t="n"/>
      <c r="C518" s="22" t="n"/>
      <c r="D518" s="23" t="n"/>
      <c r="E518" s="24" t="n"/>
      <c r="F518" s="25" t="n"/>
      <c r="G518" s="25" t="n"/>
      <c r="H518" s="24" t="n"/>
      <c r="I518" s="25" t="n"/>
      <c r="J518" s="17">
        <f>IF(AND(C518="",D518="",G518=""),"",IF(NOT(ISNUMBER(B518)),"Needs a date",IF(AND(D518&lt;&gt;"",NOT(ISNUMBER(D518))),"Amount not a number",IF(N(D518)&lt;0,"Amount below zero",IF(AND(N(D518)=0,G518=""),"Needs an amount or goods",IF(C518="","",IF(COUNTIF(Donors!$B$6:$B$305,C518)=0,"Not on Donors","")))))))</f>
        <v/>
      </c>
      <c r="K518" s="1">
        <f>IF(ISNUMBER(B518),YEAR(B518),"")</f>
        <v/>
      </c>
      <c r="L518">
        <f>IF(ISNUMBER(B518),YEAR(B518)*100+MONTH(B518),"")</f>
        <v/>
      </c>
      <c r="M518">
        <f>IF(ISNUMBER(B518),INT(B518),0)</f>
        <v/>
      </c>
      <c r="N518">
        <f>IF(OR(C518="",F518="",Q518=0),0,IF(COUNTIFS(C$6:C518,C518,F$6:F518,F518,Q$6:Q518,1)=1,1,0))</f>
        <v/>
      </c>
      <c r="O518">
        <f>IF(OR(C518="",Q518=0,H518&lt;&gt;""),"",M518*10000+ROW())</f>
        <v/>
      </c>
      <c r="P518">
        <f>IF(OR(C518="",Q518=0),"",IF(AND(C518=Statement!$C$4,K518=Statement!$C$5),M518*10000+ROW(),""))</f>
        <v/>
      </c>
      <c r="Q518">
        <f>IF(AND(ISNUMBER(B518),OR(N(D518)&gt;0,G518&lt;&gt;"")),1,0)</f>
        <v/>
      </c>
    </row>
    <row r="519">
      <c r="A519" s="1" t="n"/>
      <c r="B519" s="21" t="n"/>
      <c r="C519" s="22" t="n"/>
      <c r="D519" s="23" t="n"/>
      <c r="E519" s="24" t="n"/>
      <c r="F519" s="25" t="n"/>
      <c r="G519" s="25" t="n"/>
      <c r="H519" s="24" t="n"/>
      <c r="I519" s="25" t="n"/>
      <c r="J519" s="17">
        <f>IF(AND(C519="",D519="",G519=""),"",IF(NOT(ISNUMBER(B519)),"Needs a date",IF(AND(D519&lt;&gt;"",NOT(ISNUMBER(D519))),"Amount not a number",IF(N(D519)&lt;0,"Amount below zero",IF(AND(N(D519)=0,G519=""),"Needs an amount or goods",IF(C519="","",IF(COUNTIF(Donors!$B$6:$B$305,C519)=0,"Not on Donors","")))))))</f>
        <v/>
      </c>
      <c r="K519" s="1">
        <f>IF(ISNUMBER(B519),YEAR(B519),"")</f>
        <v/>
      </c>
      <c r="L519">
        <f>IF(ISNUMBER(B519),YEAR(B519)*100+MONTH(B519),"")</f>
        <v/>
      </c>
      <c r="M519">
        <f>IF(ISNUMBER(B519),INT(B519),0)</f>
        <v/>
      </c>
      <c r="N519">
        <f>IF(OR(C519="",F519="",Q519=0),0,IF(COUNTIFS(C$6:C519,C519,F$6:F519,F519,Q$6:Q519,1)=1,1,0))</f>
        <v/>
      </c>
      <c r="O519">
        <f>IF(OR(C519="",Q519=0,H519&lt;&gt;""),"",M519*10000+ROW())</f>
        <v/>
      </c>
      <c r="P519">
        <f>IF(OR(C519="",Q519=0),"",IF(AND(C519=Statement!$C$4,K519=Statement!$C$5),M519*10000+ROW(),""))</f>
        <v/>
      </c>
      <c r="Q519">
        <f>IF(AND(ISNUMBER(B519),OR(N(D519)&gt;0,G519&lt;&gt;"")),1,0)</f>
        <v/>
      </c>
    </row>
    <row r="520">
      <c r="A520" s="1" t="n"/>
      <c r="B520" s="21" t="n"/>
      <c r="C520" s="22" t="n"/>
      <c r="D520" s="23" t="n"/>
      <c r="E520" s="24" t="n"/>
      <c r="F520" s="25" t="n"/>
      <c r="G520" s="25" t="n"/>
      <c r="H520" s="24" t="n"/>
      <c r="I520" s="25" t="n"/>
      <c r="J520" s="17">
        <f>IF(AND(C520="",D520="",G520=""),"",IF(NOT(ISNUMBER(B520)),"Needs a date",IF(AND(D520&lt;&gt;"",NOT(ISNUMBER(D520))),"Amount not a number",IF(N(D520)&lt;0,"Amount below zero",IF(AND(N(D520)=0,G520=""),"Needs an amount or goods",IF(C520="","",IF(COUNTIF(Donors!$B$6:$B$305,C520)=0,"Not on Donors","")))))))</f>
        <v/>
      </c>
      <c r="K520" s="1">
        <f>IF(ISNUMBER(B520),YEAR(B520),"")</f>
        <v/>
      </c>
      <c r="L520">
        <f>IF(ISNUMBER(B520),YEAR(B520)*100+MONTH(B520),"")</f>
        <v/>
      </c>
      <c r="M520">
        <f>IF(ISNUMBER(B520),INT(B520),0)</f>
        <v/>
      </c>
      <c r="N520">
        <f>IF(OR(C520="",F520="",Q520=0),0,IF(COUNTIFS(C$6:C520,C520,F$6:F520,F520,Q$6:Q520,1)=1,1,0))</f>
        <v/>
      </c>
      <c r="O520">
        <f>IF(OR(C520="",Q520=0,H520&lt;&gt;""),"",M520*10000+ROW())</f>
        <v/>
      </c>
      <c r="P520">
        <f>IF(OR(C520="",Q520=0),"",IF(AND(C520=Statement!$C$4,K520=Statement!$C$5),M520*10000+ROW(),""))</f>
        <v/>
      </c>
      <c r="Q520">
        <f>IF(AND(ISNUMBER(B520),OR(N(D520)&gt;0,G520&lt;&gt;"")),1,0)</f>
        <v/>
      </c>
    </row>
    <row r="521">
      <c r="A521" s="1" t="n"/>
      <c r="B521" s="21" t="n"/>
      <c r="C521" s="22" t="n"/>
      <c r="D521" s="23" t="n"/>
      <c r="E521" s="24" t="n"/>
      <c r="F521" s="25" t="n"/>
      <c r="G521" s="25" t="n"/>
      <c r="H521" s="24" t="n"/>
      <c r="I521" s="25" t="n"/>
      <c r="J521" s="17">
        <f>IF(AND(C521="",D521="",G521=""),"",IF(NOT(ISNUMBER(B521)),"Needs a date",IF(AND(D521&lt;&gt;"",NOT(ISNUMBER(D521))),"Amount not a number",IF(N(D521)&lt;0,"Amount below zero",IF(AND(N(D521)=0,G521=""),"Needs an amount or goods",IF(C521="","",IF(COUNTIF(Donors!$B$6:$B$305,C521)=0,"Not on Donors","")))))))</f>
        <v/>
      </c>
      <c r="K521" s="1">
        <f>IF(ISNUMBER(B521),YEAR(B521),"")</f>
        <v/>
      </c>
      <c r="L521">
        <f>IF(ISNUMBER(B521),YEAR(B521)*100+MONTH(B521),"")</f>
        <v/>
      </c>
      <c r="M521">
        <f>IF(ISNUMBER(B521),INT(B521),0)</f>
        <v/>
      </c>
      <c r="N521">
        <f>IF(OR(C521="",F521="",Q521=0),0,IF(COUNTIFS(C$6:C521,C521,F$6:F521,F521,Q$6:Q521,1)=1,1,0))</f>
        <v/>
      </c>
      <c r="O521">
        <f>IF(OR(C521="",Q521=0,H521&lt;&gt;""),"",M521*10000+ROW())</f>
        <v/>
      </c>
      <c r="P521">
        <f>IF(OR(C521="",Q521=0),"",IF(AND(C521=Statement!$C$4,K521=Statement!$C$5),M521*10000+ROW(),""))</f>
        <v/>
      </c>
      <c r="Q521">
        <f>IF(AND(ISNUMBER(B521),OR(N(D521)&gt;0,G521&lt;&gt;"")),1,0)</f>
        <v/>
      </c>
    </row>
    <row r="522">
      <c r="A522" s="1" t="n"/>
      <c r="B522" s="21" t="n"/>
      <c r="C522" s="22" t="n"/>
      <c r="D522" s="23" t="n"/>
      <c r="E522" s="24" t="n"/>
      <c r="F522" s="25" t="n"/>
      <c r="G522" s="25" t="n"/>
      <c r="H522" s="24" t="n"/>
      <c r="I522" s="25" t="n"/>
      <c r="J522" s="17">
        <f>IF(AND(C522="",D522="",G522=""),"",IF(NOT(ISNUMBER(B522)),"Needs a date",IF(AND(D522&lt;&gt;"",NOT(ISNUMBER(D522))),"Amount not a number",IF(N(D522)&lt;0,"Amount below zero",IF(AND(N(D522)=0,G522=""),"Needs an amount or goods",IF(C522="","",IF(COUNTIF(Donors!$B$6:$B$305,C522)=0,"Not on Donors","")))))))</f>
        <v/>
      </c>
      <c r="K522" s="1">
        <f>IF(ISNUMBER(B522),YEAR(B522),"")</f>
        <v/>
      </c>
      <c r="L522">
        <f>IF(ISNUMBER(B522),YEAR(B522)*100+MONTH(B522),"")</f>
        <v/>
      </c>
      <c r="M522">
        <f>IF(ISNUMBER(B522),INT(B522),0)</f>
        <v/>
      </c>
      <c r="N522">
        <f>IF(OR(C522="",F522="",Q522=0),0,IF(COUNTIFS(C$6:C522,C522,F$6:F522,F522,Q$6:Q522,1)=1,1,0))</f>
        <v/>
      </c>
      <c r="O522">
        <f>IF(OR(C522="",Q522=0,H522&lt;&gt;""),"",M522*10000+ROW())</f>
        <v/>
      </c>
      <c r="P522">
        <f>IF(OR(C522="",Q522=0),"",IF(AND(C522=Statement!$C$4,K522=Statement!$C$5),M522*10000+ROW(),""))</f>
        <v/>
      </c>
      <c r="Q522">
        <f>IF(AND(ISNUMBER(B522),OR(N(D522)&gt;0,G522&lt;&gt;"")),1,0)</f>
        <v/>
      </c>
    </row>
    <row r="523">
      <c r="A523" s="1" t="n"/>
      <c r="B523" s="21" t="n"/>
      <c r="C523" s="22" t="n"/>
      <c r="D523" s="23" t="n"/>
      <c r="E523" s="24" t="n"/>
      <c r="F523" s="25" t="n"/>
      <c r="G523" s="25" t="n"/>
      <c r="H523" s="24" t="n"/>
      <c r="I523" s="25" t="n"/>
      <c r="J523" s="17">
        <f>IF(AND(C523="",D523="",G523=""),"",IF(NOT(ISNUMBER(B523)),"Needs a date",IF(AND(D523&lt;&gt;"",NOT(ISNUMBER(D523))),"Amount not a number",IF(N(D523)&lt;0,"Amount below zero",IF(AND(N(D523)=0,G523=""),"Needs an amount or goods",IF(C523="","",IF(COUNTIF(Donors!$B$6:$B$305,C523)=0,"Not on Donors","")))))))</f>
        <v/>
      </c>
      <c r="K523" s="1">
        <f>IF(ISNUMBER(B523),YEAR(B523),"")</f>
        <v/>
      </c>
      <c r="L523">
        <f>IF(ISNUMBER(B523),YEAR(B523)*100+MONTH(B523),"")</f>
        <v/>
      </c>
      <c r="M523">
        <f>IF(ISNUMBER(B523),INT(B523),0)</f>
        <v/>
      </c>
      <c r="N523">
        <f>IF(OR(C523="",F523="",Q523=0),0,IF(COUNTIFS(C$6:C523,C523,F$6:F523,F523,Q$6:Q523,1)=1,1,0))</f>
        <v/>
      </c>
      <c r="O523">
        <f>IF(OR(C523="",Q523=0,H523&lt;&gt;""),"",M523*10000+ROW())</f>
        <v/>
      </c>
      <c r="P523">
        <f>IF(OR(C523="",Q523=0),"",IF(AND(C523=Statement!$C$4,K523=Statement!$C$5),M523*10000+ROW(),""))</f>
        <v/>
      </c>
      <c r="Q523">
        <f>IF(AND(ISNUMBER(B523),OR(N(D523)&gt;0,G523&lt;&gt;"")),1,0)</f>
        <v/>
      </c>
    </row>
    <row r="524">
      <c r="A524" s="1" t="n"/>
      <c r="B524" s="21" t="n"/>
      <c r="C524" s="22" t="n"/>
      <c r="D524" s="23" t="n"/>
      <c r="E524" s="24" t="n"/>
      <c r="F524" s="25" t="n"/>
      <c r="G524" s="25" t="n"/>
      <c r="H524" s="24" t="n"/>
      <c r="I524" s="25" t="n"/>
      <c r="J524" s="17">
        <f>IF(AND(C524="",D524="",G524=""),"",IF(NOT(ISNUMBER(B524)),"Needs a date",IF(AND(D524&lt;&gt;"",NOT(ISNUMBER(D524))),"Amount not a number",IF(N(D524)&lt;0,"Amount below zero",IF(AND(N(D524)=0,G524=""),"Needs an amount or goods",IF(C524="","",IF(COUNTIF(Donors!$B$6:$B$305,C524)=0,"Not on Donors","")))))))</f>
        <v/>
      </c>
      <c r="K524" s="1">
        <f>IF(ISNUMBER(B524),YEAR(B524),"")</f>
        <v/>
      </c>
      <c r="L524">
        <f>IF(ISNUMBER(B524),YEAR(B524)*100+MONTH(B524),"")</f>
        <v/>
      </c>
      <c r="M524">
        <f>IF(ISNUMBER(B524),INT(B524),0)</f>
        <v/>
      </c>
      <c r="N524">
        <f>IF(OR(C524="",F524="",Q524=0),0,IF(COUNTIFS(C$6:C524,C524,F$6:F524,F524,Q$6:Q524,1)=1,1,0))</f>
        <v/>
      </c>
      <c r="O524">
        <f>IF(OR(C524="",Q524=0,H524&lt;&gt;""),"",M524*10000+ROW())</f>
        <v/>
      </c>
      <c r="P524">
        <f>IF(OR(C524="",Q524=0),"",IF(AND(C524=Statement!$C$4,K524=Statement!$C$5),M524*10000+ROW(),""))</f>
        <v/>
      </c>
      <c r="Q524">
        <f>IF(AND(ISNUMBER(B524),OR(N(D524)&gt;0,G524&lt;&gt;"")),1,0)</f>
        <v/>
      </c>
    </row>
    <row r="525">
      <c r="A525" s="1" t="n"/>
      <c r="B525" s="21" t="n"/>
      <c r="C525" s="22" t="n"/>
      <c r="D525" s="23" t="n"/>
      <c r="E525" s="24" t="n"/>
      <c r="F525" s="25" t="n"/>
      <c r="G525" s="25" t="n"/>
      <c r="H525" s="24" t="n"/>
      <c r="I525" s="25" t="n"/>
      <c r="J525" s="17">
        <f>IF(AND(C525="",D525="",G525=""),"",IF(NOT(ISNUMBER(B525)),"Needs a date",IF(AND(D525&lt;&gt;"",NOT(ISNUMBER(D525))),"Amount not a number",IF(N(D525)&lt;0,"Amount below zero",IF(AND(N(D525)=0,G525=""),"Needs an amount or goods",IF(C525="","",IF(COUNTIF(Donors!$B$6:$B$305,C525)=0,"Not on Donors","")))))))</f>
        <v/>
      </c>
      <c r="K525" s="1">
        <f>IF(ISNUMBER(B525),YEAR(B525),"")</f>
        <v/>
      </c>
      <c r="L525">
        <f>IF(ISNUMBER(B525),YEAR(B525)*100+MONTH(B525),"")</f>
        <v/>
      </c>
      <c r="M525">
        <f>IF(ISNUMBER(B525),INT(B525),0)</f>
        <v/>
      </c>
      <c r="N525">
        <f>IF(OR(C525="",F525="",Q525=0),0,IF(COUNTIFS(C$6:C525,C525,F$6:F525,F525,Q$6:Q525,1)=1,1,0))</f>
        <v/>
      </c>
      <c r="O525">
        <f>IF(OR(C525="",Q525=0,H525&lt;&gt;""),"",M525*10000+ROW())</f>
        <v/>
      </c>
      <c r="P525">
        <f>IF(OR(C525="",Q525=0),"",IF(AND(C525=Statement!$C$4,K525=Statement!$C$5),M525*10000+ROW(),""))</f>
        <v/>
      </c>
      <c r="Q525">
        <f>IF(AND(ISNUMBER(B525),OR(N(D525)&gt;0,G525&lt;&gt;"")),1,0)</f>
        <v/>
      </c>
    </row>
    <row r="526">
      <c r="A526" s="1" t="n"/>
      <c r="B526" s="21" t="n"/>
      <c r="C526" s="22" t="n"/>
      <c r="D526" s="23" t="n"/>
      <c r="E526" s="24" t="n"/>
      <c r="F526" s="25" t="n"/>
      <c r="G526" s="25" t="n"/>
      <c r="H526" s="24" t="n"/>
      <c r="I526" s="25" t="n"/>
      <c r="J526" s="17">
        <f>IF(AND(C526="",D526="",G526=""),"",IF(NOT(ISNUMBER(B526)),"Needs a date",IF(AND(D526&lt;&gt;"",NOT(ISNUMBER(D526))),"Amount not a number",IF(N(D526)&lt;0,"Amount below zero",IF(AND(N(D526)=0,G526=""),"Needs an amount or goods",IF(C526="","",IF(COUNTIF(Donors!$B$6:$B$305,C526)=0,"Not on Donors","")))))))</f>
        <v/>
      </c>
      <c r="K526" s="1">
        <f>IF(ISNUMBER(B526),YEAR(B526),"")</f>
        <v/>
      </c>
      <c r="L526">
        <f>IF(ISNUMBER(B526),YEAR(B526)*100+MONTH(B526),"")</f>
        <v/>
      </c>
      <c r="M526">
        <f>IF(ISNUMBER(B526),INT(B526),0)</f>
        <v/>
      </c>
      <c r="N526">
        <f>IF(OR(C526="",F526="",Q526=0),0,IF(COUNTIFS(C$6:C526,C526,F$6:F526,F526,Q$6:Q526,1)=1,1,0))</f>
        <v/>
      </c>
      <c r="O526">
        <f>IF(OR(C526="",Q526=0,H526&lt;&gt;""),"",M526*10000+ROW())</f>
        <v/>
      </c>
      <c r="P526">
        <f>IF(OR(C526="",Q526=0),"",IF(AND(C526=Statement!$C$4,K526=Statement!$C$5),M526*10000+ROW(),""))</f>
        <v/>
      </c>
      <c r="Q526">
        <f>IF(AND(ISNUMBER(B526),OR(N(D526)&gt;0,G526&lt;&gt;"")),1,0)</f>
        <v/>
      </c>
    </row>
    <row r="527">
      <c r="A527" s="1" t="n"/>
      <c r="B527" s="21" t="n"/>
      <c r="C527" s="22" t="n"/>
      <c r="D527" s="23" t="n"/>
      <c r="E527" s="24" t="n"/>
      <c r="F527" s="25" t="n"/>
      <c r="G527" s="25" t="n"/>
      <c r="H527" s="24" t="n"/>
      <c r="I527" s="25" t="n"/>
      <c r="J527" s="17">
        <f>IF(AND(C527="",D527="",G527=""),"",IF(NOT(ISNUMBER(B527)),"Needs a date",IF(AND(D527&lt;&gt;"",NOT(ISNUMBER(D527))),"Amount not a number",IF(N(D527)&lt;0,"Amount below zero",IF(AND(N(D527)=0,G527=""),"Needs an amount or goods",IF(C527="","",IF(COUNTIF(Donors!$B$6:$B$305,C527)=0,"Not on Donors","")))))))</f>
        <v/>
      </c>
      <c r="K527" s="1">
        <f>IF(ISNUMBER(B527),YEAR(B527),"")</f>
        <v/>
      </c>
      <c r="L527">
        <f>IF(ISNUMBER(B527),YEAR(B527)*100+MONTH(B527),"")</f>
        <v/>
      </c>
      <c r="M527">
        <f>IF(ISNUMBER(B527),INT(B527),0)</f>
        <v/>
      </c>
      <c r="N527">
        <f>IF(OR(C527="",F527="",Q527=0),0,IF(COUNTIFS(C$6:C527,C527,F$6:F527,F527,Q$6:Q527,1)=1,1,0))</f>
        <v/>
      </c>
      <c r="O527">
        <f>IF(OR(C527="",Q527=0,H527&lt;&gt;""),"",M527*10000+ROW())</f>
        <v/>
      </c>
      <c r="P527">
        <f>IF(OR(C527="",Q527=0),"",IF(AND(C527=Statement!$C$4,K527=Statement!$C$5),M527*10000+ROW(),""))</f>
        <v/>
      </c>
      <c r="Q527">
        <f>IF(AND(ISNUMBER(B527),OR(N(D527)&gt;0,G527&lt;&gt;"")),1,0)</f>
        <v/>
      </c>
    </row>
    <row r="528">
      <c r="A528" s="1" t="n"/>
      <c r="B528" s="21" t="n"/>
      <c r="C528" s="22" t="n"/>
      <c r="D528" s="23" t="n"/>
      <c r="E528" s="24" t="n"/>
      <c r="F528" s="25" t="n"/>
      <c r="G528" s="25" t="n"/>
      <c r="H528" s="24" t="n"/>
      <c r="I528" s="25" t="n"/>
      <c r="J528" s="17">
        <f>IF(AND(C528="",D528="",G528=""),"",IF(NOT(ISNUMBER(B528)),"Needs a date",IF(AND(D528&lt;&gt;"",NOT(ISNUMBER(D528))),"Amount not a number",IF(N(D528)&lt;0,"Amount below zero",IF(AND(N(D528)=0,G528=""),"Needs an amount or goods",IF(C528="","",IF(COUNTIF(Donors!$B$6:$B$305,C528)=0,"Not on Donors","")))))))</f>
        <v/>
      </c>
      <c r="K528" s="1">
        <f>IF(ISNUMBER(B528),YEAR(B528),"")</f>
        <v/>
      </c>
      <c r="L528">
        <f>IF(ISNUMBER(B528),YEAR(B528)*100+MONTH(B528),"")</f>
        <v/>
      </c>
      <c r="M528">
        <f>IF(ISNUMBER(B528),INT(B528),0)</f>
        <v/>
      </c>
      <c r="N528">
        <f>IF(OR(C528="",F528="",Q528=0),0,IF(COUNTIFS(C$6:C528,C528,F$6:F528,F528,Q$6:Q528,1)=1,1,0))</f>
        <v/>
      </c>
      <c r="O528">
        <f>IF(OR(C528="",Q528=0,H528&lt;&gt;""),"",M528*10000+ROW())</f>
        <v/>
      </c>
      <c r="P528">
        <f>IF(OR(C528="",Q528=0),"",IF(AND(C528=Statement!$C$4,K528=Statement!$C$5),M528*10000+ROW(),""))</f>
        <v/>
      </c>
      <c r="Q528">
        <f>IF(AND(ISNUMBER(B528),OR(N(D528)&gt;0,G528&lt;&gt;"")),1,0)</f>
        <v/>
      </c>
    </row>
    <row r="529">
      <c r="A529" s="1" t="n"/>
      <c r="B529" s="21" t="n"/>
      <c r="C529" s="22" t="n"/>
      <c r="D529" s="23" t="n"/>
      <c r="E529" s="24" t="n"/>
      <c r="F529" s="25" t="n"/>
      <c r="G529" s="25" t="n"/>
      <c r="H529" s="24" t="n"/>
      <c r="I529" s="25" t="n"/>
      <c r="J529" s="17">
        <f>IF(AND(C529="",D529="",G529=""),"",IF(NOT(ISNUMBER(B529)),"Needs a date",IF(AND(D529&lt;&gt;"",NOT(ISNUMBER(D529))),"Amount not a number",IF(N(D529)&lt;0,"Amount below zero",IF(AND(N(D529)=0,G529=""),"Needs an amount or goods",IF(C529="","",IF(COUNTIF(Donors!$B$6:$B$305,C529)=0,"Not on Donors","")))))))</f>
        <v/>
      </c>
      <c r="K529" s="1">
        <f>IF(ISNUMBER(B529),YEAR(B529),"")</f>
        <v/>
      </c>
      <c r="L529">
        <f>IF(ISNUMBER(B529),YEAR(B529)*100+MONTH(B529),"")</f>
        <v/>
      </c>
      <c r="M529">
        <f>IF(ISNUMBER(B529),INT(B529),0)</f>
        <v/>
      </c>
      <c r="N529">
        <f>IF(OR(C529="",F529="",Q529=0),0,IF(COUNTIFS(C$6:C529,C529,F$6:F529,F529,Q$6:Q529,1)=1,1,0))</f>
        <v/>
      </c>
      <c r="O529">
        <f>IF(OR(C529="",Q529=0,H529&lt;&gt;""),"",M529*10000+ROW())</f>
        <v/>
      </c>
      <c r="P529">
        <f>IF(OR(C529="",Q529=0),"",IF(AND(C529=Statement!$C$4,K529=Statement!$C$5),M529*10000+ROW(),""))</f>
        <v/>
      </c>
      <c r="Q529">
        <f>IF(AND(ISNUMBER(B529),OR(N(D529)&gt;0,G529&lt;&gt;"")),1,0)</f>
        <v/>
      </c>
    </row>
    <row r="530">
      <c r="A530" s="1" t="n"/>
      <c r="B530" s="21" t="n"/>
      <c r="C530" s="22" t="n"/>
      <c r="D530" s="23" t="n"/>
      <c r="E530" s="24" t="n"/>
      <c r="F530" s="25" t="n"/>
      <c r="G530" s="25" t="n"/>
      <c r="H530" s="24" t="n"/>
      <c r="I530" s="25" t="n"/>
      <c r="J530" s="17">
        <f>IF(AND(C530="",D530="",G530=""),"",IF(NOT(ISNUMBER(B530)),"Needs a date",IF(AND(D530&lt;&gt;"",NOT(ISNUMBER(D530))),"Amount not a number",IF(N(D530)&lt;0,"Amount below zero",IF(AND(N(D530)=0,G530=""),"Needs an amount or goods",IF(C530="","",IF(COUNTIF(Donors!$B$6:$B$305,C530)=0,"Not on Donors","")))))))</f>
        <v/>
      </c>
      <c r="K530" s="1">
        <f>IF(ISNUMBER(B530),YEAR(B530),"")</f>
        <v/>
      </c>
      <c r="L530">
        <f>IF(ISNUMBER(B530),YEAR(B530)*100+MONTH(B530),"")</f>
        <v/>
      </c>
      <c r="M530">
        <f>IF(ISNUMBER(B530),INT(B530),0)</f>
        <v/>
      </c>
      <c r="N530">
        <f>IF(OR(C530="",F530="",Q530=0),0,IF(COUNTIFS(C$6:C530,C530,F$6:F530,F530,Q$6:Q530,1)=1,1,0))</f>
        <v/>
      </c>
      <c r="O530">
        <f>IF(OR(C530="",Q530=0,H530&lt;&gt;""),"",M530*10000+ROW())</f>
        <v/>
      </c>
      <c r="P530">
        <f>IF(OR(C530="",Q530=0),"",IF(AND(C530=Statement!$C$4,K530=Statement!$C$5),M530*10000+ROW(),""))</f>
        <v/>
      </c>
      <c r="Q530">
        <f>IF(AND(ISNUMBER(B530),OR(N(D530)&gt;0,G530&lt;&gt;"")),1,0)</f>
        <v/>
      </c>
    </row>
    <row r="531">
      <c r="A531" s="1" t="n"/>
      <c r="B531" s="21" t="n"/>
      <c r="C531" s="22" t="n"/>
      <c r="D531" s="23" t="n"/>
      <c r="E531" s="24" t="n"/>
      <c r="F531" s="25" t="n"/>
      <c r="G531" s="25" t="n"/>
      <c r="H531" s="24" t="n"/>
      <c r="I531" s="25" t="n"/>
      <c r="J531" s="17">
        <f>IF(AND(C531="",D531="",G531=""),"",IF(NOT(ISNUMBER(B531)),"Needs a date",IF(AND(D531&lt;&gt;"",NOT(ISNUMBER(D531))),"Amount not a number",IF(N(D531)&lt;0,"Amount below zero",IF(AND(N(D531)=0,G531=""),"Needs an amount or goods",IF(C531="","",IF(COUNTIF(Donors!$B$6:$B$305,C531)=0,"Not on Donors","")))))))</f>
        <v/>
      </c>
      <c r="K531" s="1">
        <f>IF(ISNUMBER(B531),YEAR(B531),"")</f>
        <v/>
      </c>
      <c r="L531">
        <f>IF(ISNUMBER(B531),YEAR(B531)*100+MONTH(B531),"")</f>
        <v/>
      </c>
      <c r="M531">
        <f>IF(ISNUMBER(B531),INT(B531),0)</f>
        <v/>
      </c>
      <c r="N531">
        <f>IF(OR(C531="",F531="",Q531=0),0,IF(COUNTIFS(C$6:C531,C531,F$6:F531,F531,Q$6:Q531,1)=1,1,0))</f>
        <v/>
      </c>
      <c r="O531">
        <f>IF(OR(C531="",Q531=0,H531&lt;&gt;""),"",M531*10000+ROW())</f>
        <v/>
      </c>
      <c r="P531">
        <f>IF(OR(C531="",Q531=0),"",IF(AND(C531=Statement!$C$4,K531=Statement!$C$5),M531*10000+ROW(),""))</f>
        <v/>
      </c>
      <c r="Q531">
        <f>IF(AND(ISNUMBER(B531),OR(N(D531)&gt;0,G531&lt;&gt;"")),1,0)</f>
        <v/>
      </c>
    </row>
    <row r="532">
      <c r="A532" s="1" t="n"/>
      <c r="B532" s="21" t="n"/>
      <c r="C532" s="22" t="n"/>
      <c r="D532" s="23" t="n"/>
      <c r="E532" s="24" t="n"/>
      <c r="F532" s="25" t="n"/>
      <c r="G532" s="25" t="n"/>
      <c r="H532" s="24" t="n"/>
      <c r="I532" s="25" t="n"/>
      <c r="J532" s="17">
        <f>IF(AND(C532="",D532="",G532=""),"",IF(NOT(ISNUMBER(B532)),"Needs a date",IF(AND(D532&lt;&gt;"",NOT(ISNUMBER(D532))),"Amount not a number",IF(N(D532)&lt;0,"Amount below zero",IF(AND(N(D532)=0,G532=""),"Needs an amount or goods",IF(C532="","",IF(COUNTIF(Donors!$B$6:$B$305,C532)=0,"Not on Donors","")))))))</f>
        <v/>
      </c>
      <c r="K532" s="1">
        <f>IF(ISNUMBER(B532),YEAR(B532),"")</f>
        <v/>
      </c>
      <c r="L532">
        <f>IF(ISNUMBER(B532),YEAR(B532)*100+MONTH(B532),"")</f>
        <v/>
      </c>
      <c r="M532">
        <f>IF(ISNUMBER(B532),INT(B532),0)</f>
        <v/>
      </c>
      <c r="N532">
        <f>IF(OR(C532="",F532="",Q532=0),0,IF(COUNTIFS(C$6:C532,C532,F$6:F532,F532,Q$6:Q532,1)=1,1,0))</f>
        <v/>
      </c>
      <c r="O532">
        <f>IF(OR(C532="",Q532=0,H532&lt;&gt;""),"",M532*10000+ROW())</f>
        <v/>
      </c>
      <c r="P532">
        <f>IF(OR(C532="",Q532=0),"",IF(AND(C532=Statement!$C$4,K532=Statement!$C$5),M532*10000+ROW(),""))</f>
        <v/>
      </c>
      <c r="Q532">
        <f>IF(AND(ISNUMBER(B532),OR(N(D532)&gt;0,G532&lt;&gt;"")),1,0)</f>
        <v/>
      </c>
    </row>
    <row r="533">
      <c r="A533" s="1" t="n"/>
      <c r="B533" s="21" t="n"/>
      <c r="C533" s="22" t="n"/>
      <c r="D533" s="23" t="n"/>
      <c r="E533" s="24" t="n"/>
      <c r="F533" s="25" t="n"/>
      <c r="G533" s="25" t="n"/>
      <c r="H533" s="24" t="n"/>
      <c r="I533" s="25" t="n"/>
      <c r="J533" s="17">
        <f>IF(AND(C533="",D533="",G533=""),"",IF(NOT(ISNUMBER(B533)),"Needs a date",IF(AND(D533&lt;&gt;"",NOT(ISNUMBER(D533))),"Amount not a number",IF(N(D533)&lt;0,"Amount below zero",IF(AND(N(D533)=0,G533=""),"Needs an amount or goods",IF(C533="","",IF(COUNTIF(Donors!$B$6:$B$305,C533)=0,"Not on Donors","")))))))</f>
        <v/>
      </c>
      <c r="K533" s="1">
        <f>IF(ISNUMBER(B533),YEAR(B533),"")</f>
        <v/>
      </c>
      <c r="L533">
        <f>IF(ISNUMBER(B533),YEAR(B533)*100+MONTH(B533),"")</f>
        <v/>
      </c>
      <c r="M533">
        <f>IF(ISNUMBER(B533),INT(B533),0)</f>
        <v/>
      </c>
      <c r="N533">
        <f>IF(OR(C533="",F533="",Q533=0),0,IF(COUNTIFS(C$6:C533,C533,F$6:F533,F533,Q$6:Q533,1)=1,1,0))</f>
        <v/>
      </c>
      <c r="O533">
        <f>IF(OR(C533="",Q533=0,H533&lt;&gt;""),"",M533*10000+ROW())</f>
        <v/>
      </c>
      <c r="P533">
        <f>IF(OR(C533="",Q533=0),"",IF(AND(C533=Statement!$C$4,K533=Statement!$C$5),M533*10000+ROW(),""))</f>
        <v/>
      </c>
      <c r="Q533">
        <f>IF(AND(ISNUMBER(B533),OR(N(D533)&gt;0,G533&lt;&gt;"")),1,0)</f>
        <v/>
      </c>
    </row>
    <row r="534">
      <c r="A534" s="1" t="n"/>
      <c r="B534" s="21" t="n"/>
      <c r="C534" s="22" t="n"/>
      <c r="D534" s="23" t="n"/>
      <c r="E534" s="24" t="n"/>
      <c r="F534" s="25" t="n"/>
      <c r="G534" s="25" t="n"/>
      <c r="H534" s="24" t="n"/>
      <c r="I534" s="25" t="n"/>
      <c r="J534" s="17">
        <f>IF(AND(C534="",D534="",G534=""),"",IF(NOT(ISNUMBER(B534)),"Needs a date",IF(AND(D534&lt;&gt;"",NOT(ISNUMBER(D534))),"Amount not a number",IF(N(D534)&lt;0,"Amount below zero",IF(AND(N(D534)=0,G534=""),"Needs an amount or goods",IF(C534="","",IF(COUNTIF(Donors!$B$6:$B$305,C534)=0,"Not on Donors","")))))))</f>
        <v/>
      </c>
      <c r="K534" s="1">
        <f>IF(ISNUMBER(B534),YEAR(B534),"")</f>
        <v/>
      </c>
      <c r="L534">
        <f>IF(ISNUMBER(B534),YEAR(B534)*100+MONTH(B534),"")</f>
        <v/>
      </c>
      <c r="M534">
        <f>IF(ISNUMBER(B534),INT(B534),0)</f>
        <v/>
      </c>
      <c r="N534">
        <f>IF(OR(C534="",F534="",Q534=0),0,IF(COUNTIFS(C$6:C534,C534,F$6:F534,F534,Q$6:Q534,1)=1,1,0))</f>
        <v/>
      </c>
      <c r="O534">
        <f>IF(OR(C534="",Q534=0,H534&lt;&gt;""),"",M534*10000+ROW())</f>
        <v/>
      </c>
      <c r="P534">
        <f>IF(OR(C534="",Q534=0),"",IF(AND(C534=Statement!$C$4,K534=Statement!$C$5),M534*10000+ROW(),""))</f>
        <v/>
      </c>
      <c r="Q534">
        <f>IF(AND(ISNUMBER(B534),OR(N(D534)&gt;0,G534&lt;&gt;"")),1,0)</f>
        <v/>
      </c>
    </row>
    <row r="535">
      <c r="A535" s="1" t="n"/>
      <c r="B535" s="21" t="n"/>
      <c r="C535" s="22" t="n"/>
      <c r="D535" s="23" t="n"/>
      <c r="E535" s="24" t="n"/>
      <c r="F535" s="25" t="n"/>
      <c r="G535" s="25" t="n"/>
      <c r="H535" s="24" t="n"/>
      <c r="I535" s="25" t="n"/>
      <c r="J535" s="17">
        <f>IF(AND(C535="",D535="",G535=""),"",IF(NOT(ISNUMBER(B535)),"Needs a date",IF(AND(D535&lt;&gt;"",NOT(ISNUMBER(D535))),"Amount not a number",IF(N(D535)&lt;0,"Amount below zero",IF(AND(N(D535)=0,G535=""),"Needs an amount or goods",IF(C535="","",IF(COUNTIF(Donors!$B$6:$B$305,C535)=0,"Not on Donors","")))))))</f>
        <v/>
      </c>
      <c r="K535" s="1">
        <f>IF(ISNUMBER(B535),YEAR(B535),"")</f>
        <v/>
      </c>
      <c r="L535">
        <f>IF(ISNUMBER(B535),YEAR(B535)*100+MONTH(B535),"")</f>
        <v/>
      </c>
      <c r="M535">
        <f>IF(ISNUMBER(B535),INT(B535),0)</f>
        <v/>
      </c>
      <c r="N535">
        <f>IF(OR(C535="",F535="",Q535=0),0,IF(COUNTIFS(C$6:C535,C535,F$6:F535,F535,Q$6:Q535,1)=1,1,0))</f>
        <v/>
      </c>
      <c r="O535">
        <f>IF(OR(C535="",Q535=0,H535&lt;&gt;""),"",M535*10000+ROW())</f>
        <v/>
      </c>
      <c r="P535">
        <f>IF(OR(C535="",Q535=0),"",IF(AND(C535=Statement!$C$4,K535=Statement!$C$5),M535*10000+ROW(),""))</f>
        <v/>
      </c>
      <c r="Q535">
        <f>IF(AND(ISNUMBER(B535),OR(N(D535)&gt;0,G535&lt;&gt;"")),1,0)</f>
        <v/>
      </c>
    </row>
    <row r="536">
      <c r="A536" s="1" t="n"/>
      <c r="B536" s="21" t="n"/>
      <c r="C536" s="22" t="n"/>
      <c r="D536" s="23" t="n"/>
      <c r="E536" s="24" t="n"/>
      <c r="F536" s="25" t="n"/>
      <c r="G536" s="25" t="n"/>
      <c r="H536" s="24" t="n"/>
      <c r="I536" s="25" t="n"/>
      <c r="J536" s="17">
        <f>IF(AND(C536="",D536="",G536=""),"",IF(NOT(ISNUMBER(B536)),"Needs a date",IF(AND(D536&lt;&gt;"",NOT(ISNUMBER(D536))),"Amount not a number",IF(N(D536)&lt;0,"Amount below zero",IF(AND(N(D536)=0,G536=""),"Needs an amount or goods",IF(C536="","",IF(COUNTIF(Donors!$B$6:$B$305,C536)=0,"Not on Donors","")))))))</f>
        <v/>
      </c>
      <c r="K536" s="1">
        <f>IF(ISNUMBER(B536),YEAR(B536),"")</f>
        <v/>
      </c>
      <c r="L536">
        <f>IF(ISNUMBER(B536),YEAR(B536)*100+MONTH(B536),"")</f>
        <v/>
      </c>
      <c r="M536">
        <f>IF(ISNUMBER(B536),INT(B536),0)</f>
        <v/>
      </c>
      <c r="N536">
        <f>IF(OR(C536="",F536="",Q536=0),0,IF(COUNTIFS(C$6:C536,C536,F$6:F536,F536,Q$6:Q536,1)=1,1,0))</f>
        <v/>
      </c>
      <c r="O536">
        <f>IF(OR(C536="",Q536=0,H536&lt;&gt;""),"",M536*10000+ROW())</f>
        <v/>
      </c>
      <c r="P536">
        <f>IF(OR(C536="",Q536=0),"",IF(AND(C536=Statement!$C$4,K536=Statement!$C$5),M536*10000+ROW(),""))</f>
        <v/>
      </c>
      <c r="Q536">
        <f>IF(AND(ISNUMBER(B536),OR(N(D536)&gt;0,G536&lt;&gt;"")),1,0)</f>
        <v/>
      </c>
    </row>
    <row r="537">
      <c r="A537" s="1" t="n"/>
      <c r="B537" s="21" t="n"/>
      <c r="C537" s="22" t="n"/>
      <c r="D537" s="23" t="n"/>
      <c r="E537" s="24" t="n"/>
      <c r="F537" s="25" t="n"/>
      <c r="G537" s="25" t="n"/>
      <c r="H537" s="24" t="n"/>
      <c r="I537" s="25" t="n"/>
      <c r="J537" s="17">
        <f>IF(AND(C537="",D537="",G537=""),"",IF(NOT(ISNUMBER(B537)),"Needs a date",IF(AND(D537&lt;&gt;"",NOT(ISNUMBER(D537))),"Amount not a number",IF(N(D537)&lt;0,"Amount below zero",IF(AND(N(D537)=0,G537=""),"Needs an amount or goods",IF(C537="","",IF(COUNTIF(Donors!$B$6:$B$305,C537)=0,"Not on Donors","")))))))</f>
        <v/>
      </c>
      <c r="K537" s="1">
        <f>IF(ISNUMBER(B537),YEAR(B537),"")</f>
        <v/>
      </c>
      <c r="L537">
        <f>IF(ISNUMBER(B537),YEAR(B537)*100+MONTH(B537),"")</f>
        <v/>
      </c>
      <c r="M537">
        <f>IF(ISNUMBER(B537),INT(B537),0)</f>
        <v/>
      </c>
      <c r="N537">
        <f>IF(OR(C537="",F537="",Q537=0),0,IF(COUNTIFS(C$6:C537,C537,F$6:F537,F537,Q$6:Q537,1)=1,1,0))</f>
        <v/>
      </c>
      <c r="O537">
        <f>IF(OR(C537="",Q537=0,H537&lt;&gt;""),"",M537*10000+ROW())</f>
        <v/>
      </c>
      <c r="P537">
        <f>IF(OR(C537="",Q537=0),"",IF(AND(C537=Statement!$C$4,K537=Statement!$C$5),M537*10000+ROW(),""))</f>
        <v/>
      </c>
      <c r="Q537">
        <f>IF(AND(ISNUMBER(B537),OR(N(D537)&gt;0,G537&lt;&gt;"")),1,0)</f>
        <v/>
      </c>
    </row>
    <row r="538">
      <c r="A538" s="1" t="n"/>
      <c r="B538" s="21" t="n"/>
      <c r="C538" s="22" t="n"/>
      <c r="D538" s="23" t="n"/>
      <c r="E538" s="24" t="n"/>
      <c r="F538" s="25" t="n"/>
      <c r="G538" s="25" t="n"/>
      <c r="H538" s="24" t="n"/>
      <c r="I538" s="25" t="n"/>
      <c r="J538" s="17">
        <f>IF(AND(C538="",D538="",G538=""),"",IF(NOT(ISNUMBER(B538)),"Needs a date",IF(AND(D538&lt;&gt;"",NOT(ISNUMBER(D538))),"Amount not a number",IF(N(D538)&lt;0,"Amount below zero",IF(AND(N(D538)=0,G538=""),"Needs an amount or goods",IF(C538="","",IF(COUNTIF(Donors!$B$6:$B$305,C538)=0,"Not on Donors","")))))))</f>
        <v/>
      </c>
      <c r="K538" s="1">
        <f>IF(ISNUMBER(B538),YEAR(B538),"")</f>
        <v/>
      </c>
      <c r="L538">
        <f>IF(ISNUMBER(B538),YEAR(B538)*100+MONTH(B538),"")</f>
        <v/>
      </c>
      <c r="M538">
        <f>IF(ISNUMBER(B538),INT(B538),0)</f>
        <v/>
      </c>
      <c r="N538">
        <f>IF(OR(C538="",F538="",Q538=0),0,IF(COUNTIFS(C$6:C538,C538,F$6:F538,F538,Q$6:Q538,1)=1,1,0))</f>
        <v/>
      </c>
      <c r="O538">
        <f>IF(OR(C538="",Q538=0,H538&lt;&gt;""),"",M538*10000+ROW())</f>
        <v/>
      </c>
      <c r="P538">
        <f>IF(OR(C538="",Q538=0),"",IF(AND(C538=Statement!$C$4,K538=Statement!$C$5),M538*10000+ROW(),""))</f>
        <v/>
      </c>
      <c r="Q538">
        <f>IF(AND(ISNUMBER(B538),OR(N(D538)&gt;0,G538&lt;&gt;"")),1,0)</f>
        <v/>
      </c>
    </row>
    <row r="539">
      <c r="A539" s="1" t="n"/>
      <c r="B539" s="21" t="n"/>
      <c r="C539" s="22" t="n"/>
      <c r="D539" s="23" t="n"/>
      <c r="E539" s="24" t="n"/>
      <c r="F539" s="25" t="n"/>
      <c r="G539" s="25" t="n"/>
      <c r="H539" s="24" t="n"/>
      <c r="I539" s="25" t="n"/>
      <c r="J539" s="17">
        <f>IF(AND(C539="",D539="",G539=""),"",IF(NOT(ISNUMBER(B539)),"Needs a date",IF(AND(D539&lt;&gt;"",NOT(ISNUMBER(D539))),"Amount not a number",IF(N(D539)&lt;0,"Amount below zero",IF(AND(N(D539)=0,G539=""),"Needs an amount or goods",IF(C539="","",IF(COUNTIF(Donors!$B$6:$B$305,C539)=0,"Not on Donors","")))))))</f>
        <v/>
      </c>
      <c r="K539" s="1">
        <f>IF(ISNUMBER(B539),YEAR(B539),"")</f>
        <v/>
      </c>
      <c r="L539">
        <f>IF(ISNUMBER(B539),YEAR(B539)*100+MONTH(B539),"")</f>
        <v/>
      </c>
      <c r="M539">
        <f>IF(ISNUMBER(B539),INT(B539),0)</f>
        <v/>
      </c>
      <c r="N539">
        <f>IF(OR(C539="",F539="",Q539=0),0,IF(COUNTIFS(C$6:C539,C539,F$6:F539,F539,Q$6:Q539,1)=1,1,0))</f>
        <v/>
      </c>
      <c r="O539">
        <f>IF(OR(C539="",Q539=0,H539&lt;&gt;""),"",M539*10000+ROW())</f>
        <v/>
      </c>
      <c r="P539">
        <f>IF(OR(C539="",Q539=0),"",IF(AND(C539=Statement!$C$4,K539=Statement!$C$5),M539*10000+ROW(),""))</f>
        <v/>
      </c>
      <c r="Q539">
        <f>IF(AND(ISNUMBER(B539),OR(N(D539)&gt;0,G539&lt;&gt;"")),1,0)</f>
        <v/>
      </c>
    </row>
    <row r="540">
      <c r="A540" s="1" t="n"/>
      <c r="B540" s="21" t="n"/>
      <c r="C540" s="22" t="n"/>
      <c r="D540" s="23" t="n"/>
      <c r="E540" s="24" t="n"/>
      <c r="F540" s="25" t="n"/>
      <c r="G540" s="25" t="n"/>
      <c r="H540" s="24" t="n"/>
      <c r="I540" s="25" t="n"/>
      <c r="J540" s="17">
        <f>IF(AND(C540="",D540="",G540=""),"",IF(NOT(ISNUMBER(B540)),"Needs a date",IF(AND(D540&lt;&gt;"",NOT(ISNUMBER(D540))),"Amount not a number",IF(N(D540)&lt;0,"Amount below zero",IF(AND(N(D540)=0,G540=""),"Needs an amount or goods",IF(C540="","",IF(COUNTIF(Donors!$B$6:$B$305,C540)=0,"Not on Donors","")))))))</f>
        <v/>
      </c>
      <c r="K540" s="1">
        <f>IF(ISNUMBER(B540),YEAR(B540),"")</f>
        <v/>
      </c>
      <c r="L540">
        <f>IF(ISNUMBER(B540),YEAR(B540)*100+MONTH(B540),"")</f>
        <v/>
      </c>
      <c r="M540">
        <f>IF(ISNUMBER(B540),INT(B540),0)</f>
        <v/>
      </c>
      <c r="N540">
        <f>IF(OR(C540="",F540="",Q540=0),0,IF(COUNTIFS(C$6:C540,C540,F$6:F540,F540,Q$6:Q540,1)=1,1,0))</f>
        <v/>
      </c>
      <c r="O540">
        <f>IF(OR(C540="",Q540=0,H540&lt;&gt;""),"",M540*10000+ROW())</f>
        <v/>
      </c>
      <c r="P540">
        <f>IF(OR(C540="",Q540=0),"",IF(AND(C540=Statement!$C$4,K540=Statement!$C$5),M540*10000+ROW(),""))</f>
        <v/>
      </c>
      <c r="Q540">
        <f>IF(AND(ISNUMBER(B540),OR(N(D540)&gt;0,G540&lt;&gt;"")),1,0)</f>
        <v/>
      </c>
    </row>
    <row r="541">
      <c r="A541" s="1" t="n"/>
      <c r="B541" s="21" t="n"/>
      <c r="C541" s="22" t="n"/>
      <c r="D541" s="23" t="n"/>
      <c r="E541" s="24" t="n"/>
      <c r="F541" s="25" t="n"/>
      <c r="G541" s="25" t="n"/>
      <c r="H541" s="24" t="n"/>
      <c r="I541" s="25" t="n"/>
      <c r="J541" s="17">
        <f>IF(AND(C541="",D541="",G541=""),"",IF(NOT(ISNUMBER(B541)),"Needs a date",IF(AND(D541&lt;&gt;"",NOT(ISNUMBER(D541))),"Amount not a number",IF(N(D541)&lt;0,"Amount below zero",IF(AND(N(D541)=0,G541=""),"Needs an amount or goods",IF(C541="","",IF(COUNTIF(Donors!$B$6:$B$305,C541)=0,"Not on Donors","")))))))</f>
        <v/>
      </c>
      <c r="K541" s="1">
        <f>IF(ISNUMBER(B541),YEAR(B541),"")</f>
        <v/>
      </c>
      <c r="L541">
        <f>IF(ISNUMBER(B541),YEAR(B541)*100+MONTH(B541),"")</f>
        <v/>
      </c>
      <c r="M541">
        <f>IF(ISNUMBER(B541),INT(B541),0)</f>
        <v/>
      </c>
      <c r="N541">
        <f>IF(OR(C541="",F541="",Q541=0),0,IF(COUNTIFS(C$6:C541,C541,F$6:F541,F541,Q$6:Q541,1)=1,1,0))</f>
        <v/>
      </c>
      <c r="O541">
        <f>IF(OR(C541="",Q541=0,H541&lt;&gt;""),"",M541*10000+ROW())</f>
        <v/>
      </c>
      <c r="P541">
        <f>IF(OR(C541="",Q541=0),"",IF(AND(C541=Statement!$C$4,K541=Statement!$C$5),M541*10000+ROW(),""))</f>
        <v/>
      </c>
      <c r="Q541">
        <f>IF(AND(ISNUMBER(B541),OR(N(D541)&gt;0,G541&lt;&gt;"")),1,0)</f>
        <v/>
      </c>
    </row>
    <row r="542">
      <c r="A542" s="1" t="n"/>
      <c r="B542" s="21" t="n"/>
      <c r="C542" s="22" t="n"/>
      <c r="D542" s="23" t="n"/>
      <c r="E542" s="24" t="n"/>
      <c r="F542" s="25" t="n"/>
      <c r="G542" s="25" t="n"/>
      <c r="H542" s="24" t="n"/>
      <c r="I542" s="25" t="n"/>
      <c r="J542" s="17">
        <f>IF(AND(C542="",D542="",G542=""),"",IF(NOT(ISNUMBER(B542)),"Needs a date",IF(AND(D542&lt;&gt;"",NOT(ISNUMBER(D542))),"Amount not a number",IF(N(D542)&lt;0,"Amount below zero",IF(AND(N(D542)=0,G542=""),"Needs an amount or goods",IF(C542="","",IF(COUNTIF(Donors!$B$6:$B$305,C542)=0,"Not on Donors","")))))))</f>
        <v/>
      </c>
      <c r="K542" s="1">
        <f>IF(ISNUMBER(B542),YEAR(B542),"")</f>
        <v/>
      </c>
      <c r="L542">
        <f>IF(ISNUMBER(B542),YEAR(B542)*100+MONTH(B542),"")</f>
        <v/>
      </c>
      <c r="M542">
        <f>IF(ISNUMBER(B542),INT(B542),0)</f>
        <v/>
      </c>
      <c r="N542">
        <f>IF(OR(C542="",F542="",Q542=0),0,IF(COUNTIFS(C$6:C542,C542,F$6:F542,F542,Q$6:Q542,1)=1,1,0))</f>
        <v/>
      </c>
      <c r="O542">
        <f>IF(OR(C542="",Q542=0,H542&lt;&gt;""),"",M542*10000+ROW())</f>
        <v/>
      </c>
      <c r="P542">
        <f>IF(OR(C542="",Q542=0),"",IF(AND(C542=Statement!$C$4,K542=Statement!$C$5),M542*10000+ROW(),""))</f>
        <v/>
      </c>
      <c r="Q542">
        <f>IF(AND(ISNUMBER(B542),OR(N(D542)&gt;0,G542&lt;&gt;"")),1,0)</f>
        <v/>
      </c>
    </row>
    <row r="543">
      <c r="A543" s="1" t="n"/>
      <c r="B543" s="21" t="n"/>
      <c r="C543" s="22" t="n"/>
      <c r="D543" s="23" t="n"/>
      <c r="E543" s="24" t="n"/>
      <c r="F543" s="25" t="n"/>
      <c r="G543" s="25" t="n"/>
      <c r="H543" s="24" t="n"/>
      <c r="I543" s="25" t="n"/>
      <c r="J543" s="17">
        <f>IF(AND(C543="",D543="",G543=""),"",IF(NOT(ISNUMBER(B543)),"Needs a date",IF(AND(D543&lt;&gt;"",NOT(ISNUMBER(D543))),"Amount not a number",IF(N(D543)&lt;0,"Amount below zero",IF(AND(N(D543)=0,G543=""),"Needs an amount or goods",IF(C543="","",IF(COUNTIF(Donors!$B$6:$B$305,C543)=0,"Not on Donors","")))))))</f>
        <v/>
      </c>
      <c r="K543" s="1">
        <f>IF(ISNUMBER(B543),YEAR(B543),"")</f>
        <v/>
      </c>
      <c r="L543">
        <f>IF(ISNUMBER(B543),YEAR(B543)*100+MONTH(B543),"")</f>
        <v/>
      </c>
      <c r="M543">
        <f>IF(ISNUMBER(B543),INT(B543),0)</f>
        <v/>
      </c>
      <c r="N543">
        <f>IF(OR(C543="",F543="",Q543=0),0,IF(COUNTIFS(C$6:C543,C543,F$6:F543,F543,Q$6:Q543,1)=1,1,0))</f>
        <v/>
      </c>
      <c r="O543">
        <f>IF(OR(C543="",Q543=0,H543&lt;&gt;""),"",M543*10000+ROW())</f>
        <v/>
      </c>
      <c r="P543">
        <f>IF(OR(C543="",Q543=0),"",IF(AND(C543=Statement!$C$4,K543=Statement!$C$5),M543*10000+ROW(),""))</f>
        <v/>
      </c>
      <c r="Q543">
        <f>IF(AND(ISNUMBER(B543),OR(N(D543)&gt;0,G543&lt;&gt;"")),1,0)</f>
        <v/>
      </c>
    </row>
    <row r="544">
      <c r="A544" s="1" t="n"/>
      <c r="B544" s="21" t="n"/>
      <c r="C544" s="22" t="n"/>
      <c r="D544" s="23" t="n"/>
      <c r="E544" s="24" t="n"/>
      <c r="F544" s="25" t="n"/>
      <c r="G544" s="25" t="n"/>
      <c r="H544" s="24" t="n"/>
      <c r="I544" s="25" t="n"/>
      <c r="J544" s="17">
        <f>IF(AND(C544="",D544="",G544=""),"",IF(NOT(ISNUMBER(B544)),"Needs a date",IF(AND(D544&lt;&gt;"",NOT(ISNUMBER(D544))),"Amount not a number",IF(N(D544)&lt;0,"Amount below zero",IF(AND(N(D544)=0,G544=""),"Needs an amount or goods",IF(C544="","",IF(COUNTIF(Donors!$B$6:$B$305,C544)=0,"Not on Donors","")))))))</f>
        <v/>
      </c>
      <c r="K544" s="1">
        <f>IF(ISNUMBER(B544),YEAR(B544),"")</f>
        <v/>
      </c>
      <c r="L544">
        <f>IF(ISNUMBER(B544),YEAR(B544)*100+MONTH(B544),"")</f>
        <v/>
      </c>
      <c r="M544">
        <f>IF(ISNUMBER(B544),INT(B544),0)</f>
        <v/>
      </c>
      <c r="N544">
        <f>IF(OR(C544="",F544="",Q544=0),0,IF(COUNTIFS(C$6:C544,C544,F$6:F544,F544,Q$6:Q544,1)=1,1,0))</f>
        <v/>
      </c>
      <c r="O544">
        <f>IF(OR(C544="",Q544=0,H544&lt;&gt;""),"",M544*10000+ROW())</f>
        <v/>
      </c>
      <c r="P544">
        <f>IF(OR(C544="",Q544=0),"",IF(AND(C544=Statement!$C$4,K544=Statement!$C$5),M544*10000+ROW(),""))</f>
        <v/>
      </c>
      <c r="Q544">
        <f>IF(AND(ISNUMBER(B544),OR(N(D544)&gt;0,G544&lt;&gt;"")),1,0)</f>
        <v/>
      </c>
    </row>
    <row r="545">
      <c r="A545" s="1" t="n"/>
      <c r="B545" s="21" t="n"/>
      <c r="C545" s="22" t="n"/>
      <c r="D545" s="23" t="n"/>
      <c r="E545" s="24" t="n"/>
      <c r="F545" s="25" t="n"/>
      <c r="G545" s="25" t="n"/>
      <c r="H545" s="24" t="n"/>
      <c r="I545" s="25" t="n"/>
      <c r="J545" s="17">
        <f>IF(AND(C545="",D545="",G545=""),"",IF(NOT(ISNUMBER(B545)),"Needs a date",IF(AND(D545&lt;&gt;"",NOT(ISNUMBER(D545))),"Amount not a number",IF(N(D545)&lt;0,"Amount below zero",IF(AND(N(D545)=0,G545=""),"Needs an amount or goods",IF(C545="","",IF(COUNTIF(Donors!$B$6:$B$305,C545)=0,"Not on Donors","")))))))</f>
        <v/>
      </c>
      <c r="K545" s="1">
        <f>IF(ISNUMBER(B545),YEAR(B545),"")</f>
        <v/>
      </c>
      <c r="L545">
        <f>IF(ISNUMBER(B545),YEAR(B545)*100+MONTH(B545),"")</f>
        <v/>
      </c>
      <c r="M545">
        <f>IF(ISNUMBER(B545),INT(B545),0)</f>
        <v/>
      </c>
      <c r="N545">
        <f>IF(OR(C545="",F545="",Q545=0),0,IF(COUNTIFS(C$6:C545,C545,F$6:F545,F545,Q$6:Q545,1)=1,1,0))</f>
        <v/>
      </c>
      <c r="O545">
        <f>IF(OR(C545="",Q545=0,H545&lt;&gt;""),"",M545*10000+ROW())</f>
        <v/>
      </c>
      <c r="P545">
        <f>IF(OR(C545="",Q545=0),"",IF(AND(C545=Statement!$C$4,K545=Statement!$C$5),M545*10000+ROW(),""))</f>
        <v/>
      </c>
      <c r="Q545">
        <f>IF(AND(ISNUMBER(B545),OR(N(D545)&gt;0,G545&lt;&gt;"")),1,0)</f>
        <v/>
      </c>
    </row>
    <row r="546">
      <c r="A546" s="1" t="n"/>
      <c r="B546" s="21" t="n"/>
      <c r="C546" s="22" t="n"/>
      <c r="D546" s="23" t="n"/>
      <c r="E546" s="24" t="n"/>
      <c r="F546" s="25" t="n"/>
      <c r="G546" s="25" t="n"/>
      <c r="H546" s="24" t="n"/>
      <c r="I546" s="25" t="n"/>
      <c r="J546" s="17">
        <f>IF(AND(C546="",D546="",G546=""),"",IF(NOT(ISNUMBER(B546)),"Needs a date",IF(AND(D546&lt;&gt;"",NOT(ISNUMBER(D546))),"Amount not a number",IF(N(D546)&lt;0,"Amount below zero",IF(AND(N(D546)=0,G546=""),"Needs an amount or goods",IF(C546="","",IF(COUNTIF(Donors!$B$6:$B$305,C546)=0,"Not on Donors","")))))))</f>
        <v/>
      </c>
      <c r="K546" s="1">
        <f>IF(ISNUMBER(B546),YEAR(B546),"")</f>
        <v/>
      </c>
      <c r="L546">
        <f>IF(ISNUMBER(B546),YEAR(B546)*100+MONTH(B546),"")</f>
        <v/>
      </c>
      <c r="M546">
        <f>IF(ISNUMBER(B546),INT(B546),0)</f>
        <v/>
      </c>
      <c r="N546">
        <f>IF(OR(C546="",F546="",Q546=0),0,IF(COUNTIFS(C$6:C546,C546,F$6:F546,F546,Q$6:Q546,1)=1,1,0))</f>
        <v/>
      </c>
      <c r="O546">
        <f>IF(OR(C546="",Q546=0,H546&lt;&gt;""),"",M546*10000+ROW())</f>
        <v/>
      </c>
      <c r="P546">
        <f>IF(OR(C546="",Q546=0),"",IF(AND(C546=Statement!$C$4,K546=Statement!$C$5),M546*10000+ROW(),""))</f>
        <v/>
      </c>
      <c r="Q546">
        <f>IF(AND(ISNUMBER(B546),OR(N(D546)&gt;0,G546&lt;&gt;"")),1,0)</f>
        <v/>
      </c>
    </row>
    <row r="547">
      <c r="A547" s="1" t="n"/>
      <c r="B547" s="21" t="n"/>
      <c r="C547" s="22" t="n"/>
      <c r="D547" s="23" t="n"/>
      <c r="E547" s="24" t="n"/>
      <c r="F547" s="25" t="n"/>
      <c r="G547" s="25" t="n"/>
      <c r="H547" s="24" t="n"/>
      <c r="I547" s="25" t="n"/>
      <c r="J547" s="17">
        <f>IF(AND(C547="",D547="",G547=""),"",IF(NOT(ISNUMBER(B547)),"Needs a date",IF(AND(D547&lt;&gt;"",NOT(ISNUMBER(D547))),"Amount not a number",IF(N(D547)&lt;0,"Amount below zero",IF(AND(N(D547)=0,G547=""),"Needs an amount or goods",IF(C547="","",IF(COUNTIF(Donors!$B$6:$B$305,C547)=0,"Not on Donors","")))))))</f>
        <v/>
      </c>
      <c r="K547" s="1">
        <f>IF(ISNUMBER(B547),YEAR(B547),"")</f>
        <v/>
      </c>
      <c r="L547">
        <f>IF(ISNUMBER(B547),YEAR(B547)*100+MONTH(B547),"")</f>
        <v/>
      </c>
      <c r="M547">
        <f>IF(ISNUMBER(B547),INT(B547),0)</f>
        <v/>
      </c>
      <c r="N547">
        <f>IF(OR(C547="",F547="",Q547=0),0,IF(COUNTIFS(C$6:C547,C547,F$6:F547,F547,Q$6:Q547,1)=1,1,0))</f>
        <v/>
      </c>
      <c r="O547">
        <f>IF(OR(C547="",Q547=0,H547&lt;&gt;""),"",M547*10000+ROW())</f>
        <v/>
      </c>
      <c r="P547">
        <f>IF(OR(C547="",Q547=0),"",IF(AND(C547=Statement!$C$4,K547=Statement!$C$5),M547*10000+ROW(),""))</f>
        <v/>
      </c>
      <c r="Q547">
        <f>IF(AND(ISNUMBER(B547),OR(N(D547)&gt;0,G547&lt;&gt;"")),1,0)</f>
        <v/>
      </c>
    </row>
    <row r="548">
      <c r="A548" s="1" t="n"/>
      <c r="B548" s="21" t="n"/>
      <c r="C548" s="22" t="n"/>
      <c r="D548" s="23" t="n"/>
      <c r="E548" s="24" t="n"/>
      <c r="F548" s="25" t="n"/>
      <c r="G548" s="25" t="n"/>
      <c r="H548" s="24" t="n"/>
      <c r="I548" s="25" t="n"/>
      <c r="J548" s="17">
        <f>IF(AND(C548="",D548="",G548=""),"",IF(NOT(ISNUMBER(B548)),"Needs a date",IF(AND(D548&lt;&gt;"",NOT(ISNUMBER(D548))),"Amount not a number",IF(N(D548)&lt;0,"Amount below zero",IF(AND(N(D548)=0,G548=""),"Needs an amount or goods",IF(C548="","",IF(COUNTIF(Donors!$B$6:$B$305,C548)=0,"Not on Donors","")))))))</f>
        <v/>
      </c>
      <c r="K548" s="1">
        <f>IF(ISNUMBER(B548),YEAR(B548),"")</f>
        <v/>
      </c>
      <c r="L548">
        <f>IF(ISNUMBER(B548),YEAR(B548)*100+MONTH(B548),"")</f>
        <v/>
      </c>
      <c r="M548">
        <f>IF(ISNUMBER(B548),INT(B548),0)</f>
        <v/>
      </c>
      <c r="N548">
        <f>IF(OR(C548="",F548="",Q548=0),0,IF(COUNTIFS(C$6:C548,C548,F$6:F548,F548,Q$6:Q548,1)=1,1,0))</f>
        <v/>
      </c>
      <c r="O548">
        <f>IF(OR(C548="",Q548=0,H548&lt;&gt;""),"",M548*10000+ROW())</f>
        <v/>
      </c>
      <c r="P548">
        <f>IF(OR(C548="",Q548=0),"",IF(AND(C548=Statement!$C$4,K548=Statement!$C$5),M548*10000+ROW(),""))</f>
        <v/>
      </c>
      <c r="Q548">
        <f>IF(AND(ISNUMBER(B548),OR(N(D548)&gt;0,G548&lt;&gt;"")),1,0)</f>
        <v/>
      </c>
    </row>
    <row r="549">
      <c r="A549" s="1" t="n"/>
      <c r="B549" s="21" t="n"/>
      <c r="C549" s="22" t="n"/>
      <c r="D549" s="23" t="n"/>
      <c r="E549" s="24" t="n"/>
      <c r="F549" s="25" t="n"/>
      <c r="G549" s="25" t="n"/>
      <c r="H549" s="24" t="n"/>
      <c r="I549" s="25" t="n"/>
      <c r="J549" s="17">
        <f>IF(AND(C549="",D549="",G549=""),"",IF(NOT(ISNUMBER(B549)),"Needs a date",IF(AND(D549&lt;&gt;"",NOT(ISNUMBER(D549))),"Amount not a number",IF(N(D549)&lt;0,"Amount below zero",IF(AND(N(D549)=0,G549=""),"Needs an amount or goods",IF(C549="","",IF(COUNTIF(Donors!$B$6:$B$305,C549)=0,"Not on Donors","")))))))</f>
        <v/>
      </c>
      <c r="K549" s="1">
        <f>IF(ISNUMBER(B549),YEAR(B549),"")</f>
        <v/>
      </c>
      <c r="L549">
        <f>IF(ISNUMBER(B549),YEAR(B549)*100+MONTH(B549),"")</f>
        <v/>
      </c>
      <c r="M549">
        <f>IF(ISNUMBER(B549),INT(B549),0)</f>
        <v/>
      </c>
      <c r="N549">
        <f>IF(OR(C549="",F549="",Q549=0),0,IF(COUNTIFS(C$6:C549,C549,F$6:F549,F549,Q$6:Q549,1)=1,1,0))</f>
        <v/>
      </c>
      <c r="O549">
        <f>IF(OR(C549="",Q549=0,H549&lt;&gt;""),"",M549*10000+ROW())</f>
        <v/>
      </c>
      <c r="P549">
        <f>IF(OR(C549="",Q549=0),"",IF(AND(C549=Statement!$C$4,K549=Statement!$C$5),M549*10000+ROW(),""))</f>
        <v/>
      </c>
      <c r="Q549">
        <f>IF(AND(ISNUMBER(B549),OR(N(D549)&gt;0,G549&lt;&gt;"")),1,0)</f>
        <v/>
      </c>
    </row>
    <row r="550">
      <c r="A550" s="1" t="n"/>
      <c r="B550" s="21" t="n"/>
      <c r="C550" s="22" t="n"/>
      <c r="D550" s="23" t="n"/>
      <c r="E550" s="24" t="n"/>
      <c r="F550" s="25" t="n"/>
      <c r="G550" s="25" t="n"/>
      <c r="H550" s="24" t="n"/>
      <c r="I550" s="25" t="n"/>
      <c r="J550" s="17">
        <f>IF(AND(C550="",D550="",G550=""),"",IF(NOT(ISNUMBER(B550)),"Needs a date",IF(AND(D550&lt;&gt;"",NOT(ISNUMBER(D550))),"Amount not a number",IF(N(D550)&lt;0,"Amount below zero",IF(AND(N(D550)=0,G550=""),"Needs an amount or goods",IF(C550="","",IF(COUNTIF(Donors!$B$6:$B$305,C550)=0,"Not on Donors","")))))))</f>
        <v/>
      </c>
      <c r="K550" s="1">
        <f>IF(ISNUMBER(B550),YEAR(B550),"")</f>
        <v/>
      </c>
      <c r="L550">
        <f>IF(ISNUMBER(B550),YEAR(B550)*100+MONTH(B550),"")</f>
        <v/>
      </c>
      <c r="M550">
        <f>IF(ISNUMBER(B550),INT(B550),0)</f>
        <v/>
      </c>
      <c r="N550">
        <f>IF(OR(C550="",F550="",Q550=0),0,IF(COUNTIFS(C$6:C550,C550,F$6:F550,F550,Q$6:Q550,1)=1,1,0))</f>
        <v/>
      </c>
      <c r="O550">
        <f>IF(OR(C550="",Q550=0,H550&lt;&gt;""),"",M550*10000+ROW())</f>
        <v/>
      </c>
      <c r="P550">
        <f>IF(OR(C550="",Q550=0),"",IF(AND(C550=Statement!$C$4,K550=Statement!$C$5),M550*10000+ROW(),""))</f>
        <v/>
      </c>
      <c r="Q550">
        <f>IF(AND(ISNUMBER(B550),OR(N(D550)&gt;0,G550&lt;&gt;"")),1,0)</f>
        <v/>
      </c>
    </row>
    <row r="551">
      <c r="A551" s="1" t="n"/>
      <c r="B551" s="21" t="n"/>
      <c r="C551" s="22" t="n"/>
      <c r="D551" s="23" t="n"/>
      <c r="E551" s="24" t="n"/>
      <c r="F551" s="25" t="n"/>
      <c r="G551" s="25" t="n"/>
      <c r="H551" s="24" t="n"/>
      <c r="I551" s="25" t="n"/>
      <c r="J551" s="17">
        <f>IF(AND(C551="",D551="",G551=""),"",IF(NOT(ISNUMBER(B551)),"Needs a date",IF(AND(D551&lt;&gt;"",NOT(ISNUMBER(D551))),"Amount not a number",IF(N(D551)&lt;0,"Amount below zero",IF(AND(N(D551)=0,G551=""),"Needs an amount or goods",IF(C551="","",IF(COUNTIF(Donors!$B$6:$B$305,C551)=0,"Not on Donors","")))))))</f>
        <v/>
      </c>
      <c r="K551" s="1">
        <f>IF(ISNUMBER(B551),YEAR(B551),"")</f>
        <v/>
      </c>
      <c r="L551">
        <f>IF(ISNUMBER(B551),YEAR(B551)*100+MONTH(B551),"")</f>
        <v/>
      </c>
      <c r="M551">
        <f>IF(ISNUMBER(B551),INT(B551),0)</f>
        <v/>
      </c>
      <c r="N551">
        <f>IF(OR(C551="",F551="",Q551=0),0,IF(COUNTIFS(C$6:C551,C551,F$6:F551,F551,Q$6:Q551,1)=1,1,0))</f>
        <v/>
      </c>
      <c r="O551">
        <f>IF(OR(C551="",Q551=0,H551&lt;&gt;""),"",M551*10000+ROW())</f>
        <v/>
      </c>
      <c r="P551">
        <f>IF(OR(C551="",Q551=0),"",IF(AND(C551=Statement!$C$4,K551=Statement!$C$5),M551*10000+ROW(),""))</f>
        <v/>
      </c>
      <c r="Q551">
        <f>IF(AND(ISNUMBER(B551),OR(N(D551)&gt;0,G551&lt;&gt;"")),1,0)</f>
        <v/>
      </c>
    </row>
    <row r="552">
      <c r="A552" s="1" t="n"/>
      <c r="B552" s="21" t="n"/>
      <c r="C552" s="22" t="n"/>
      <c r="D552" s="23" t="n"/>
      <c r="E552" s="24" t="n"/>
      <c r="F552" s="25" t="n"/>
      <c r="G552" s="25" t="n"/>
      <c r="H552" s="24" t="n"/>
      <c r="I552" s="25" t="n"/>
      <c r="J552" s="17">
        <f>IF(AND(C552="",D552="",G552=""),"",IF(NOT(ISNUMBER(B552)),"Needs a date",IF(AND(D552&lt;&gt;"",NOT(ISNUMBER(D552))),"Amount not a number",IF(N(D552)&lt;0,"Amount below zero",IF(AND(N(D552)=0,G552=""),"Needs an amount or goods",IF(C552="","",IF(COUNTIF(Donors!$B$6:$B$305,C552)=0,"Not on Donors","")))))))</f>
        <v/>
      </c>
      <c r="K552" s="1">
        <f>IF(ISNUMBER(B552),YEAR(B552),"")</f>
        <v/>
      </c>
      <c r="L552">
        <f>IF(ISNUMBER(B552),YEAR(B552)*100+MONTH(B552),"")</f>
        <v/>
      </c>
      <c r="M552">
        <f>IF(ISNUMBER(B552),INT(B552),0)</f>
        <v/>
      </c>
      <c r="N552">
        <f>IF(OR(C552="",F552="",Q552=0),0,IF(COUNTIFS(C$6:C552,C552,F$6:F552,F552,Q$6:Q552,1)=1,1,0))</f>
        <v/>
      </c>
      <c r="O552">
        <f>IF(OR(C552="",Q552=0,H552&lt;&gt;""),"",M552*10000+ROW())</f>
        <v/>
      </c>
      <c r="P552">
        <f>IF(OR(C552="",Q552=0),"",IF(AND(C552=Statement!$C$4,K552=Statement!$C$5),M552*10000+ROW(),""))</f>
        <v/>
      </c>
      <c r="Q552">
        <f>IF(AND(ISNUMBER(B552),OR(N(D552)&gt;0,G552&lt;&gt;"")),1,0)</f>
        <v/>
      </c>
    </row>
    <row r="553">
      <c r="A553" s="1" t="n"/>
      <c r="B553" s="21" t="n"/>
      <c r="C553" s="22" t="n"/>
      <c r="D553" s="23" t="n"/>
      <c r="E553" s="24" t="n"/>
      <c r="F553" s="25" t="n"/>
      <c r="G553" s="25" t="n"/>
      <c r="H553" s="24" t="n"/>
      <c r="I553" s="25" t="n"/>
      <c r="J553" s="17">
        <f>IF(AND(C553="",D553="",G553=""),"",IF(NOT(ISNUMBER(B553)),"Needs a date",IF(AND(D553&lt;&gt;"",NOT(ISNUMBER(D553))),"Amount not a number",IF(N(D553)&lt;0,"Amount below zero",IF(AND(N(D553)=0,G553=""),"Needs an amount or goods",IF(C553="","",IF(COUNTIF(Donors!$B$6:$B$305,C553)=0,"Not on Donors","")))))))</f>
        <v/>
      </c>
      <c r="K553" s="1">
        <f>IF(ISNUMBER(B553),YEAR(B553),"")</f>
        <v/>
      </c>
      <c r="L553">
        <f>IF(ISNUMBER(B553),YEAR(B553)*100+MONTH(B553),"")</f>
        <v/>
      </c>
      <c r="M553">
        <f>IF(ISNUMBER(B553),INT(B553),0)</f>
        <v/>
      </c>
      <c r="N553">
        <f>IF(OR(C553="",F553="",Q553=0),0,IF(COUNTIFS(C$6:C553,C553,F$6:F553,F553,Q$6:Q553,1)=1,1,0))</f>
        <v/>
      </c>
      <c r="O553">
        <f>IF(OR(C553="",Q553=0,H553&lt;&gt;""),"",M553*10000+ROW())</f>
        <v/>
      </c>
      <c r="P553">
        <f>IF(OR(C553="",Q553=0),"",IF(AND(C553=Statement!$C$4,K553=Statement!$C$5),M553*10000+ROW(),""))</f>
        <v/>
      </c>
      <c r="Q553">
        <f>IF(AND(ISNUMBER(B553),OR(N(D553)&gt;0,G553&lt;&gt;"")),1,0)</f>
        <v/>
      </c>
    </row>
    <row r="554">
      <c r="A554" s="1" t="n"/>
      <c r="B554" s="21" t="n"/>
      <c r="C554" s="22" t="n"/>
      <c r="D554" s="23" t="n"/>
      <c r="E554" s="24" t="n"/>
      <c r="F554" s="25" t="n"/>
      <c r="G554" s="25" t="n"/>
      <c r="H554" s="24" t="n"/>
      <c r="I554" s="25" t="n"/>
      <c r="J554" s="17">
        <f>IF(AND(C554="",D554="",G554=""),"",IF(NOT(ISNUMBER(B554)),"Needs a date",IF(AND(D554&lt;&gt;"",NOT(ISNUMBER(D554))),"Amount not a number",IF(N(D554)&lt;0,"Amount below zero",IF(AND(N(D554)=0,G554=""),"Needs an amount or goods",IF(C554="","",IF(COUNTIF(Donors!$B$6:$B$305,C554)=0,"Not on Donors","")))))))</f>
        <v/>
      </c>
      <c r="K554" s="1">
        <f>IF(ISNUMBER(B554),YEAR(B554),"")</f>
        <v/>
      </c>
      <c r="L554">
        <f>IF(ISNUMBER(B554),YEAR(B554)*100+MONTH(B554),"")</f>
        <v/>
      </c>
      <c r="M554">
        <f>IF(ISNUMBER(B554),INT(B554),0)</f>
        <v/>
      </c>
      <c r="N554">
        <f>IF(OR(C554="",F554="",Q554=0),0,IF(COUNTIFS(C$6:C554,C554,F$6:F554,F554,Q$6:Q554,1)=1,1,0))</f>
        <v/>
      </c>
      <c r="O554">
        <f>IF(OR(C554="",Q554=0,H554&lt;&gt;""),"",M554*10000+ROW())</f>
        <v/>
      </c>
      <c r="P554">
        <f>IF(OR(C554="",Q554=0),"",IF(AND(C554=Statement!$C$4,K554=Statement!$C$5),M554*10000+ROW(),""))</f>
        <v/>
      </c>
      <c r="Q554">
        <f>IF(AND(ISNUMBER(B554),OR(N(D554)&gt;0,G554&lt;&gt;"")),1,0)</f>
        <v/>
      </c>
    </row>
    <row r="555">
      <c r="A555" s="1" t="n"/>
      <c r="B555" s="21" t="n"/>
      <c r="C555" s="22" t="n"/>
      <c r="D555" s="23" t="n"/>
      <c r="E555" s="24" t="n"/>
      <c r="F555" s="25" t="n"/>
      <c r="G555" s="25" t="n"/>
      <c r="H555" s="24" t="n"/>
      <c r="I555" s="25" t="n"/>
      <c r="J555" s="17">
        <f>IF(AND(C555="",D555="",G555=""),"",IF(NOT(ISNUMBER(B555)),"Needs a date",IF(AND(D555&lt;&gt;"",NOT(ISNUMBER(D555))),"Amount not a number",IF(N(D555)&lt;0,"Amount below zero",IF(AND(N(D555)=0,G555=""),"Needs an amount or goods",IF(C555="","",IF(COUNTIF(Donors!$B$6:$B$305,C555)=0,"Not on Donors","")))))))</f>
        <v/>
      </c>
      <c r="K555" s="1">
        <f>IF(ISNUMBER(B555),YEAR(B555),"")</f>
        <v/>
      </c>
      <c r="L555">
        <f>IF(ISNUMBER(B555),YEAR(B555)*100+MONTH(B555),"")</f>
        <v/>
      </c>
      <c r="M555">
        <f>IF(ISNUMBER(B555),INT(B555),0)</f>
        <v/>
      </c>
      <c r="N555">
        <f>IF(OR(C555="",F555="",Q555=0),0,IF(COUNTIFS(C$6:C555,C555,F$6:F555,F555,Q$6:Q555,1)=1,1,0))</f>
        <v/>
      </c>
      <c r="O555">
        <f>IF(OR(C555="",Q555=0,H555&lt;&gt;""),"",M555*10000+ROW())</f>
        <v/>
      </c>
      <c r="P555">
        <f>IF(OR(C555="",Q555=0),"",IF(AND(C555=Statement!$C$4,K555=Statement!$C$5),M555*10000+ROW(),""))</f>
        <v/>
      </c>
      <c r="Q555">
        <f>IF(AND(ISNUMBER(B555),OR(N(D555)&gt;0,G555&lt;&gt;"")),1,0)</f>
        <v/>
      </c>
    </row>
    <row r="556">
      <c r="A556" s="1" t="n"/>
      <c r="B556" s="21" t="n"/>
      <c r="C556" s="22" t="n"/>
      <c r="D556" s="23" t="n"/>
      <c r="E556" s="24" t="n"/>
      <c r="F556" s="25" t="n"/>
      <c r="G556" s="25" t="n"/>
      <c r="H556" s="24" t="n"/>
      <c r="I556" s="25" t="n"/>
      <c r="J556" s="17">
        <f>IF(AND(C556="",D556="",G556=""),"",IF(NOT(ISNUMBER(B556)),"Needs a date",IF(AND(D556&lt;&gt;"",NOT(ISNUMBER(D556))),"Amount not a number",IF(N(D556)&lt;0,"Amount below zero",IF(AND(N(D556)=0,G556=""),"Needs an amount or goods",IF(C556="","",IF(COUNTIF(Donors!$B$6:$B$305,C556)=0,"Not on Donors","")))))))</f>
        <v/>
      </c>
      <c r="K556" s="1">
        <f>IF(ISNUMBER(B556),YEAR(B556),"")</f>
        <v/>
      </c>
      <c r="L556">
        <f>IF(ISNUMBER(B556),YEAR(B556)*100+MONTH(B556),"")</f>
        <v/>
      </c>
      <c r="M556">
        <f>IF(ISNUMBER(B556),INT(B556),0)</f>
        <v/>
      </c>
      <c r="N556">
        <f>IF(OR(C556="",F556="",Q556=0),0,IF(COUNTIFS(C$6:C556,C556,F$6:F556,F556,Q$6:Q556,1)=1,1,0))</f>
        <v/>
      </c>
      <c r="O556">
        <f>IF(OR(C556="",Q556=0,H556&lt;&gt;""),"",M556*10000+ROW())</f>
        <v/>
      </c>
      <c r="P556">
        <f>IF(OR(C556="",Q556=0),"",IF(AND(C556=Statement!$C$4,K556=Statement!$C$5),M556*10000+ROW(),""))</f>
        <v/>
      </c>
      <c r="Q556">
        <f>IF(AND(ISNUMBER(B556),OR(N(D556)&gt;0,G556&lt;&gt;"")),1,0)</f>
        <v/>
      </c>
    </row>
    <row r="557">
      <c r="A557" s="1" t="n"/>
      <c r="B557" s="21" t="n"/>
      <c r="C557" s="22" t="n"/>
      <c r="D557" s="23" t="n"/>
      <c r="E557" s="24" t="n"/>
      <c r="F557" s="25" t="n"/>
      <c r="G557" s="25" t="n"/>
      <c r="H557" s="24" t="n"/>
      <c r="I557" s="25" t="n"/>
      <c r="J557" s="17">
        <f>IF(AND(C557="",D557="",G557=""),"",IF(NOT(ISNUMBER(B557)),"Needs a date",IF(AND(D557&lt;&gt;"",NOT(ISNUMBER(D557))),"Amount not a number",IF(N(D557)&lt;0,"Amount below zero",IF(AND(N(D557)=0,G557=""),"Needs an amount or goods",IF(C557="","",IF(COUNTIF(Donors!$B$6:$B$305,C557)=0,"Not on Donors","")))))))</f>
        <v/>
      </c>
      <c r="K557" s="1">
        <f>IF(ISNUMBER(B557),YEAR(B557),"")</f>
        <v/>
      </c>
      <c r="L557">
        <f>IF(ISNUMBER(B557),YEAR(B557)*100+MONTH(B557),"")</f>
        <v/>
      </c>
      <c r="M557">
        <f>IF(ISNUMBER(B557),INT(B557),0)</f>
        <v/>
      </c>
      <c r="N557">
        <f>IF(OR(C557="",F557="",Q557=0),0,IF(COUNTIFS(C$6:C557,C557,F$6:F557,F557,Q$6:Q557,1)=1,1,0))</f>
        <v/>
      </c>
      <c r="O557">
        <f>IF(OR(C557="",Q557=0,H557&lt;&gt;""),"",M557*10000+ROW())</f>
        <v/>
      </c>
      <c r="P557">
        <f>IF(OR(C557="",Q557=0),"",IF(AND(C557=Statement!$C$4,K557=Statement!$C$5),M557*10000+ROW(),""))</f>
        <v/>
      </c>
      <c r="Q557">
        <f>IF(AND(ISNUMBER(B557),OR(N(D557)&gt;0,G557&lt;&gt;"")),1,0)</f>
        <v/>
      </c>
    </row>
    <row r="558">
      <c r="A558" s="1" t="n"/>
      <c r="B558" s="21" t="n"/>
      <c r="C558" s="22" t="n"/>
      <c r="D558" s="23" t="n"/>
      <c r="E558" s="24" t="n"/>
      <c r="F558" s="25" t="n"/>
      <c r="G558" s="25" t="n"/>
      <c r="H558" s="24" t="n"/>
      <c r="I558" s="25" t="n"/>
      <c r="J558" s="17">
        <f>IF(AND(C558="",D558="",G558=""),"",IF(NOT(ISNUMBER(B558)),"Needs a date",IF(AND(D558&lt;&gt;"",NOT(ISNUMBER(D558))),"Amount not a number",IF(N(D558)&lt;0,"Amount below zero",IF(AND(N(D558)=0,G558=""),"Needs an amount or goods",IF(C558="","",IF(COUNTIF(Donors!$B$6:$B$305,C558)=0,"Not on Donors","")))))))</f>
        <v/>
      </c>
      <c r="K558" s="1">
        <f>IF(ISNUMBER(B558),YEAR(B558),"")</f>
        <v/>
      </c>
      <c r="L558">
        <f>IF(ISNUMBER(B558),YEAR(B558)*100+MONTH(B558),"")</f>
        <v/>
      </c>
      <c r="M558">
        <f>IF(ISNUMBER(B558),INT(B558),0)</f>
        <v/>
      </c>
      <c r="N558">
        <f>IF(OR(C558="",F558="",Q558=0),0,IF(COUNTIFS(C$6:C558,C558,F$6:F558,F558,Q$6:Q558,1)=1,1,0))</f>
        <v/>
      </c>
      <c r="O558">
        <f>IF(OR(C558="",Q558=0,H558&lt;&gt;""),"",M558*10000+ROW())</f>
        <v/>
      </c>
      <c r="P558">
        <f>IF(OR(C558="",Q558=0),"",IF(AND(C558=Statement!$C$4,K558=Statement!$C$5),M558*10000+ROW(),""))</f>
        <v/>
      </c>
      <c r="Q558">
        <f>IF(AND(ISNUMBER(B558),OR(N(D558)&gt;0,G558&lt;&gt;"")),1,0)</f>
        <v/>
      </c>
    </row>
    <row r="559">
      <c r="A559" s="1" t="n"/>
      <c r="B559" s="21" t="n"/>
      <c r="C559" s="22" t="n"/>
      <c r="D559" s="23" t="n"/>
      <c r="E559" s="24" t="n"/>
      <c r="F559" s="25" t="n"/>
      <c r="G559" s="25" t="n"/>
      <c r="H559" s="24" t="n"/>
      <c r="I559" s="25" t="n"/>
      <c r="J559" s="17">
        <f>IF(AND(C559="",D559="",G559=""),"",IF(NOT(ISNUMBER(B559)),"Needs a date",IF(AND(D559&lt;&gt;"",NOT(ISNUMBER(D559))),"Amount not a number",IF(N(D559)&lt;0,"Amount below zero",IF(AND(N(D559)=0,G559=""),"Needs an amount or goods",IF(C559="","",IF(COUNTIF(Donors!$B$6:$B$305,C559)=0,"Not on Donors","")))))))</f>
        <v/>
      </c>
      <c r="K559" s="1">
        <f>IF(ISNUMBER(B559),YEAR(B559),"")</f>
        <v/>
      </c>
      <c r="L559">
        <f>IF(ISNUMBER(B559),YEAR(B559)*100+MONTH(B559),"")</f>
        <v/>
      </c>
      <c r="M559">
        <f>IF(ISNUMBER(B559),INT(B559),0)</f>
        <v/>
      </c>
      <c r="N559">
        <f>IF(OR(C559="",F559="",Q559=0),0,IF(COUNTIFS(C$6:C559,C559,F$6:F559,F559,Q$6:Q559,1)=1,1,0))</f>
        <v/>
      </c>
      <c r="O559">
        <f>IF(OR(C559="",Q559=0,H559&lt;&gt;""),"",M559*10000+ROW())</f>
        <v/>
      </c>
      <c r="P559">
        <f>IF(OR(C559="",Q559=0),"",IF(AND(C559=Statement!$C$4,K559=Statement!$C$5),M559*10000+ROW(),""))</f>
        <v/>
      </c>
      <c r="Q559">
        <f>IF(AND(ISNUMBER(B559),OR(N(D559)&gt;0,G559&lt;&gt;"")),1,0)</f>
        <v/>
      </c>
    </row>
    <row r="560">
      <c r="A560" s="1" t="n"/>
      <c r="B560" s="21" t="n"/>
      <c r="C560" s="22" t="n"/>
      <c r="D560" s="23" t="n"/>
      <c r="E560" s="24" t="n"/>
      <c r="F560" s="25" t="n"/>
      <c r="G560" s="25" t="n"/>
      <c r="H560" s="24" t="n"/>
      <c r="I560" s="25" t="n"/>
      <c r="J560" s="17">
        <f>IF(AND(C560="",D560="",G560=""),"",IF(NOT(ISNUMBER(B560)),"Needs a date",IF(AND(D560&lt;&gt;"",NOT(ISNUMBER(D560))),"Amount not a number",IF(N(D560)&lt;0,"Amount below zero",IF(AND(N(D560)=0,G560=""),"Needs an amount or goods",IF(C560="","",IF(COUNTIF(Donors!$B$6:$B$305,C560)=0,"Not on Donors","")))))))</f>
        <v/>
      </c>
      <c r="K560" s="1">
        <f>IF(ISNUMBER(B560),YEAR(B560),"")</f>
        <v/>
      </c>
      <c r="L560">
        <f>IF(ISNUMBER(B560),YEAR(B560)*100+MONTH(B560),"")</f>
        <v/>
      </c>
      <c r="M560">
        <f>IF(ISNUMBER(B560),INT(B560),0)</f>
        <v/>
      </c>
      <c r="N560">
        <f>IF(OR(C560="",F560="",Q560=0),0,IF(COUNTIFS(C$6:C560,C560,F$6:F560,F560,Q$6:Q560,1)=1,1,0))</f>
        <v/>
      </c>
      <c r="O560">
        <f>IF(OR(C560="",Q560=0,H560&lt;&gt;""),"",M560*10000+ROW())</f>
        <v/>
      </c>
      <c r="P560">
        <f>IF(OR(C560="",Q560=0),"",IF(AND(C560=Statement!$C$4,K560=Statement!$C$5),M560*10000+ROW(),""))</f>
        <v/>
      </c>
      <c r="Q560">
        <f>IF(AND(ISNUMBER(B560),OR(N(D560)&gt;0,G560&lt;&gt;"")),1,0)</f>
        <v/>
      </c>
    </row>
    <row r="561">
      <c r="A561" s="1" t="n"/>
      <c r="B561" s="21" t="n"/>
      <c r="C561" s="22" t="n"/>
      <c r="D561" s="23" t="n"/>
      <c r="E561" s="24" t="n"/>
      <c r="F561" s="25" t="n"/>
      <c r="G561" s="25" t="n"/>
      <c r="H561" s="24" t="n"/>
      <c r="I561" s="25" t="n"/>
      <c r="J561" s="17">
        <f>IF(AND(C561="",D561="",G561=""),"",IF(NOT(ISNUMBER(B561)),"Needs a date",IF(AND(D561&lt;&gt;"",NOT(ISNUMBER(D561))),"Amount not a number",IF(N(D561)&lt;0,"Amount below zero",IF(AND(N(D561)=0,G561=""),"Needs an amount or goods",IF(C561="","",IF(COUNTIF(Donors!$B$6:$B$305,C561)=0,"Not on Donors","")))))))</f>
        <v/>
      </c>
      <c r="K561" s="1">
        <f>IF(ISNUMBER(B561),YEAR(B561),"")</f>
        <v/>
      </c>
      <c r="L561">
        <f>IF(ISNUMBER(B561),YEAR(B561)*100+MONTH(B561),"")</f>
        <v/>
      </c>
      <c r="M561">
        <f>IF(ISNUMBER(B561),INT(B561),0)</f>
        <v/>
      </c>
      <c r="N561">
        <f>IF(OR(C561="",F561="",Q561=0),0,IF(COUNTIFS(C$6:C561,C561,F$6:F561,F561,Q$6:Q561,1)=1,1,0))</f>
        <v/>
      </c>
      <c r="O561">
        <f>IF(OR(C561="",Q561=0,H561&lt;&gt;""),"",M561*10000+ROW())</f>
        <v/>
      </c>
      <c r="P561">
        <f>IF(OR(C561="",Q561=0),"",IF(AND(C561=Statement!$C$4,K561=Statement!$C$5),M561*10000+ROW(),""))</f>
        <v/>
      </c>
      <c r="Q561">
        <f>IF(AND(ISNUMBER(B561),OR(N(D561)&gt;0,G561&lt;&gt;"")),1,0)</f>
        <v/>
      </c>
    </row>
    <row r="562">
      <c r="A562" s="1" t="n"/>
      <c r="B562" s="21" t="n"/>
      <c r="C562" s="22" t="n"/>
      <c r="D562" s="23" t="n"/>
      <c r="E562" s="24" t="n"/>
      <c r="F562" s="25" t="n"/>
      <c r="G562" s="25" t="n"/>
      <c r="H562" s="24" t="n"/>
      <c r="I562" s="25" t="n"/>
      <c r="J562" s="17">
        <f>IF(AND(C562="",D562="",G562=""),"",IF(NOT(ISNUMBER(B562)),"Needs a date",IF(AND(D562&lt;&gt;"",NOT(ISNUMBER(D562))),"Amount not a number",IF(N(D562)&lt;0,"Amount below zero",IF(AND(N(D562)=0,G562=""),"Needs an amount or goods",IF(C562="","",IF(COUNTIF(Donors!$B$6:$B$305,C562)=0,"Not on Donors","")))))))</f>
        <v/>
      </c>
      <c r="K562" s="1">
        <f>IF(ISNUMBER(B562),YEAR(B562),"")</f>
        <v/>
      </c>
      <c r="L562">
        <f>IF(ISNUMBER(B562),YEAR(B562)*100+MONTH(B562),"")</f>
        <v/>
      </c>
      <c r="M562">
        <f>IF(ISNUMBER(B562),INT(B562),0)</f>
        <v/>
      </c>
      <c r="N562">
        <f>IF(OR(C562="",F562="",Q562=0),0,IF(COUNTIFS(C$6:C562,C562,F$6:F562,F562,Q$6:Q562,1)=1,1,0))</f>
        <v/>
      </c>
      <c r="O562">
        <f>IF(OR(C562="",Q562=0,H562&lt;&gt;""),"",M562*10000+ROW())</f>
        <v/>
      </c>
      <c r="P562">
        <f>IF(OR(C562="",Q562=0),"",IF(AND(C562=Statement!$C$4,K562=Statement!$C$5),M562*10000+ROW(),""))</f>
        <v/>
      </c>
      <c r="Q562">
        <f>IF(AND(ISNUMBER(B562),OR(N(D562)&gt;0,G562&lt;&gt;"")),1,0)</f>
        <v/>
      </c>
    </row>
    <row r="563">
      <c r="A563" s="1" t="n"/>
      <c r="B563" s="21" t="n"/>
      <c r="C563" s="22" t="n"/>
      <c r="D563" s="23" t="n"/>
      <c r="E563" s="24" t="n"/>
      <c r="F563" s="25" t="n"/>
      <c r="G563" s="25" t="n"/>
      <c r="H563" s="24" t="n"/>
      <c r="I563" s="25" t="n"/>
      <c r="J563" s="17">
        <f>IF(AND(C563="",D563="",G563=""),"",IF(NOT(ISNUMBER(B563)),"Needs a date",IF(AND(D563&lt;&gt;"",NOT(ISNUMBER(D563))),"Amount not a number",IF(N(D563)&lt;0,"Amount below zero",IF(AND(N(D563)=0,G563=""),"Needs an amount or goods",IF(C563="","",IF(COUNTIF(Donors!$B$6:$B$305,C563)=0,"Not on Donors","")))))))</f>
        <v/>
      </c>
      <c r="K563" s="1">
        <f>IF(ISNUMBER(B563),YEAR(B563),"")</f>
        <v/>
      </c>
      <c r="L563">
        <f>IF(ISNUMBER(B563),YEAR(B563)*100+MONTH(B563),"")</f>
        <v/>
      </c>
      <c r="M563">
        <f>IF(ISNUMBER(B563),INT(B563),0)</f>
        <v/>
      </c>
      <c r="N563">
        <f>IF(OR(C563="",F563="",Q563=0),0,IF(COUNTIFS(C$6:C563,C563,F$6:F563,F563,Q$6:Q563,1)=1,1,0))</f>
        <v/>
      </c>
      <c r="O563">
        <f>IF(OR(C563="",Q563=0,H563&lt;&gt;""),"",M563*10000+ROW())</f>
        <v/>
      </c>
      <c r="P563">
        <f>IF(OR(C563="",Q563=0),"",IF(AND(C563=Statement!$C$4,K563=Statement!$C$5),M563*10000+ROW(),""))</f>
        <v/>
      </c>
      <c r="Q563">
        <f>IF(AND(ISNUMBER(B563),OR(N(D563)&gt;0,G563&lt;&gt;"")),1,0)</f>
        <v/>
      </c>
    </row>
    <row r="564">
      <c r="A564" s="1" t="n"/>
      <c r="B564" s="21" t="n"/>
      <c r="C564" s="22" t="n"/>
      <c r="D564" s="23" t="n"/>
      <c r="E564" s="24" t="n"/>
      <c r="F564" s="25" t="n"/>
      <c r="G564" s="25" t="n"/>
      <c r="H564" s="24" t="n"/>
      <c r="I564" s="25" t="n"/>
      <c r="J564" s="17">
        <f>IF(AND(C564="",D564="",G564=""),"",IF(NOT(ISNUMBER(B564)),"Needs a date",IF(AND(D564&lt;&gt;"",NOT(ISNUMBER(D564))),"Amount not a number",IF(N(D564)&lt;0,"Amount below zero",IF(AND(N(D564)=0,G564=""),"Needs an amount or goods",IF(C564="","",IF(COUNTIF(Donors!$B$6:$B$305,C564)=0,"Not on Donors","")))))))</f>
        <v/>
      </c>
      <c r="K564" s="1">
        <f>IF(ISNUMBER(B564),YEAR(B564),"")</f>
        <v/>
      </c>
      <c r="L564">
        <f>IF(ISNUMBER(B564),YEAR(B564)*100+MONTH(B564),"")</f>
        <v/>
      </c>
      <c r="M564">
        <f>IF(ISNUMBER(B564),INT(B564),0)</f>
        <v/>
      </c>
      <c r="N564">
        <f>IF(OR(C564="",F564="",Q564=0),0,IF(COUNTIFS(C$6:C564,C564,F$6:F564,F564,Q$6:Q564,1)=1,1,0))</f>
        <v/>
      </c>
      <c r="O564">
        <f>IF(OR(C564="",Q564=0,H564&lt;&gt;""),"",M564*10000+ROW())</f>
        <v/>
      </c>
      <c r="P564">
        <f>IF(OR(C564="",Q564=0),"",IF(AND(C564=Statement!$C$4,K564=Statement!$C$5),M564*10000+ROW(),""))</f>
        <v/>
      </c>
      <c r="Q564">
        <f>IF(AND(ISNUMBER(B564),OR(N(D564)&gt;0,G564&lt;&gt;"")),1,0)</f>
        <v/>
      </c>
    </row>
    <row r="565">
      <c r="A565" s="1" t="n"/>
      <c r="B565" s="21" t="n"/>
      <c r="C565" s="22" t="n"/>
      <c r="D565" s="23" t="n"/>
      <c r="E565" s="24" t="n"/>
      <c r="F565" s="25" t="n"/>
      <c r="G565" s="25" t="n"/>
      <c r="H565" s="24" t="n"/>
      <c r="I565" s="25" t="n"/>
      <c r="J565" s="17">
        <f>IF(AND(C565="",D565="",G565=""),"",IF(NOT(ISNUMBER(B565)),"Needs a date",IF(AND(D565&lt;&gt;"",NOT(ISNUMBER(D565))),"Amount not a number",IF(N(D565)&lt;0,"Amount below zero",IF(AND(N(D565)=0,G565=""),"Needs an amount or goods",IF(C565="","",IF(COUNTIF(Donors!$B$6:$B$305,C565)=0,"Not on Donors","")))))))</f>
        <v/>
      </c>
      <c r="K565" s="1">
        <f>IF(ISNUMBER(B565),YEAR(B565),"")</f>
        <v/>
      </c>
      <c r="L565">
        <f>IF(ISNUMBER(B565),YEAR(B565)*100+MONTH(B565),"")</f>
        <v/>
      </c>
      <c r="M565">
        <f>IF(ISNUMBER(B565),INT(B565),0)</f>
        <v/>
      </c>
      <c r="N565">
        <f>IF(OR(C565="",F565="",Q565=0),0,IF(COUNTIFS(C$6:C565,C565,F$6:F565,F565,Q$6:Q565,1)=1,1,0))</f>
        <v/>
      </c>
      <c r="O565">
        <f>IF(OR(C565="",Q565=0,H565&lt;&gt;""),"",M565*10000+ROW())</f>
        <v/>
      </c>
      <c r="P565">
        <f>IF(OR(C565="",Q565=0),"",IF(AND(C565=Statement!$C$4,K565=Statement!$C$5),M565*10000+ROW(),""))</f>
        <v/>
      </c>
      <c r="Q565">
        <f>IF(AND(ISNUMBER(B565),OR(N(D565)&gt;0,G565&lt;&gt;"")),1,0)</f>
        <v/>
      </c>
    </row>
    <row r="566">
      <c r="A566" s="1" t="n"/>
      <c r="B566" s="21" t="n"/>
      <c r="C566" s="22" t="n"/>
      <c r="D566" s="23" t="n"/>
      <c r="E566" s="24" t="n"/>
      <c r="F566" s="25" t="n"/>
      <c r="G566" s="25" t="n"/>
      <c r="H566" s="24" t="n"/>
      <c r="I566" s="25" t="n"/>
      <c r="J566" s="17">
        <f>IF(AND(C566="",D566="",G566=""),"",IF(NOT(ISNUMBER(B566)),"Needs a date",IF(AND(D566&lt;&gt;"",NOT(ISNUMBER(D566))),"Amount not a number",IF(N(D566)&lt;0,"Amount below zero",IF(AND(N(D566)=0,G566=""),"Needs an amount or goods",IF(C566="","",IF(COUNTIF(Donors!$B$6:$B$305,C566)=0,"Not on Donors","")))))))</f>
        <v/>
      </c>
      <c r="K566" s="1">
        <f>IF(ISNUMBER(B566),YEAR(B566),"")</f>
        <v/>
      </c>
      <c r="L566">
        <f>IF(ISNUMBER(B566),YEAR(B566)*100+MONTH(B566),"")</f>
        <v/>
      </c>
      <c r="M566">
        <f>IF(ISNUMBER(B566),INT(B566),0)</f>
        <v/>
      </c>
      <c r="N566">
        <f>IF(OR(C566="",F566="",Q566=0),0,IF(COUNTIFS(C$6:C566,C566,F$6:F566,F566,Q$6:Q566,1)=1,1,0))</f>
        <v/>
      </c>
      <c r="O566">
        <f>IF(OR(C566="",Q566=0,H566&lt;&gt;""),"",M566*10000+ROW())</f>
        <v/>
      </c>
      <c r="P566">
        <f>IF(OR(C566="",Q566=0),"",IF(AND(C566=Statement!$C$4,K566=Statement!$C$5),M566*10000+ROW(),""))</f>
        <v/>
      </c>
      <c r="Q566">
        <f>IF(AND(ISNUMBER(B566),OR(N(D566)&gt;0,G566&lt;&gt;"")),1,0)</f>
        <v/>
      </c>
    </row>
    <row r="567">
      <c r="A567" s="1" t="n"/>
      <c r="B567" s="21" t="n"/>
      <c r="C567" s="22" t="n"/>
      <c r="D567" s="23" t="n"/>
      <c r="E567" s="24" t="n"/>
      <c r="F567" s="25" t="n"/>
      <c r="G567" s="25" t="n"/>
      <c r="H567" s="24" t="n"/>
      <c r="I567" s="25" t="n"/>
      <c r="J567" s="17">
        <f>IF(AND(C567="",D567="",G567=""),"",IF(NOT(ISNUMBER(B567)),"Needs a date",IF(AND(D567&lt;&gt;"",NOT(ISNUMBER(D567))),"Amount not a number",IF(N(D567)&lt;0,"Amount below zero",IF(AND(N(D567)=0,G567=""),"Needs an amount or goods",IF(C567="","",IF(COUNTIF(Donors!$B$6:$B$305,C567)=0,"Not on Donors","")))))))</f>
        <v/>
      </c>
      <c r="K567" s="1">
        <f>IF(ISNUMBER(B567),YEAR(B567),"")</f>
        <v/>
      </c>
      <c r="L567">
        <f>IF(ISNUMBER(B567),YEAR(B567)*100+MONTH(B567),"")</f>
        <v/>
      </c>
      <c r="M567">
        <f>IF(ISNUMBER(B567),INT(B567),0)</f>
        <v/>
      </c>
      <c r="N567">
        <f>IF(OR(C567="",F567="",Q567=0),0,IF(COUNTIFS(C$6:C567,C567,F$6:F567,F567,Q$6:Q567,1)=1,1,0))</f>
        <v/>
      </c>
      <c r="O567">
        <f>IF(OR(C567="",Q567=0,H567&lt;&gt;""),"",M567*10000+ROW())</f>
        <v/>
      </c>
      <c r="P567">
        <f>IF(OR(C567="",Q567=0),"",IF(AND(C567=Statement!$C$4,K567=Statement!$C$5),M567*10000+ROW(),""))</f>
        <v/>
      </c>
      <c r="Q567">
        <f>IF(AND(ISNUMBER(B567),OR(N(D567)&gt;0,G567&lt;&gt;"")),1,0)</f>
        <v/>
      </c>
    </row>
    <row r="568">
      <c r="A568" s="1" t="n"/>
      <c r="B568" s="21" t="n"/>
      <c r="C568" s="22" t="n"/>
      <c r="D568" s="23" t="n"/>
      <c r="E568" s="24" t="n"/>
      <c r="F568" s="25" t="n"/>
      <c r="G568" s="25" t="n"/>
      <c r="H568" s="24" t="n"/>
      <c r="I568" s="25" t="n"/>
      <c r="J568" s="17">
        <f>IF(AND(C568="",D568="",G568=""),"",IF(NOT(ISNUMBER(B568)),"Needs a date",IF(AND(D568&lt;&gt;"",NOT(ISNUMBER(D568))),"Amount not a number",IF(N(D568)&lt;0,"Amount below zero",IF(AND(N(D568)=0,G568=""),"Needs an amount or goods",IF(C568="","",IF(COUNTIF(Donors!$B$6:$B$305,C568)=0,"Not on Donors","")))))))</f>
        <v/>
      </c>
      <c r="K568" s="1">
        <f>IF(ISNUMBER(B568),YEAR(B568),"")</f>
        <v/>
      </c>
      <c r="L568">
        <f>IF(ISNUMBER(B568),YEAR(B568)*100+MONTH(B568),"")</f>
        <v/>
      </c>
      <c r="M568">
        <f>IF(ISNUMBER(B568),INT(B568),0)</f>
        <v/>
      </c>
      <c r="N568">
        <f>IF(OR(C568="",F568="",Q568=0),0,IF(COUNTIFS(C$6:C568,C568,F$6:F568,F568,Q$6:Q568,1)=1,1,0))</f>
        <v/>
      </c>
      <c r="O568">
        <f>IF(OR(C568="",Q568=0,H568&lt;&gt;""),"",M568*10000+ROW())</f>
        <v/>
      </c>
      <c r="P568">
        <f>IF(OR(C568="",Q568=0),"",IF(AND(C568=Statement!$C$4,K568=Statement!$C$5),M568*10000+ROW(),""))</f>
        <v/>
      </c>
      <c r="Q568">
        <f>IF(AND(ISNUMBER(B568),OR(N(D568)&gt;0,G568&lt;&gt;"")),1,0)</f>
        <v/>
      </c>
    </row>
    <row r="569">
      <c r="A569" s="1" t="n"/>
      <c r="B569" s="21" t="n"/>
      <c r="C569" s="22" t="n"/>
      <c r="D569" s="23" t="n"/>
      <c r="E569" s="24" t="n"/>
      <c r="F569" s="25" t="n"/>
      <c r="G569" s="25" t="n"/>
      <c r="H569" s="24" t="n"/>
      <c r="I569" s="25" t="n"/>
      <c r="J569" s="17">
        <f>IF(AND(C569="",D569="",G569=""),"",IF(NOT(ISNUMBER(B569)),"Needs a date",IF(AND(D569&lt;&gt;"",NOT(ISNUMBER(D569))),"Amount not a number",IF(N(D569)&lt;0,"Amount below zero",IF(AND(N(D569)=0,G569=""),"Needs an amount or goods",IF(C569="","",IF(COUNTIF(Donors!$B$6:$B$305,C569)=0,"Not on Donors","")))))))</f>
        <v/>
      </c>
      <c r="K569" s="1">
        <f>IF(ISNUMBER(B569),YEAR(B569),"")</f>
        <v/>
      </c>
      <c r="L569">
        <f>IF(ISNUMBER(B569),YEAR(B569)*100+MONTH(B569),"")</f>
        <v/>
      </c>
      <c r="M569">
        <f>IF(ISNUMBER(B569),INT(B569),0)</f>
        <v/>
      </c>
      <c r="N569">
        <f>IF(OR(C569="",F569="",Q569=0),0,IF(COUNTIFS(C$6:C569,C569,F$6:F569,F569,Q$6:Q569,1)=1,1,0))</f>
        <v/>
      </c>
      <c r="O569">
        <f>IF(OR(C569="",Q569=0,H569&lt;&gt;""),"",M569*10000+ROW())</f>
        <v/>
      </c>
      <c r="P569">
        <f>IF(OR(C569="",Q569=0),"",IF(AND(C569=Statement!$C$4,K569=Statement!$C$5),M569*10000+ROW(),""))</f>
        <v/>
      </c>
      <c r="Q569">
        <f>IF(AND(ISNUMBER(B569),OR(N(D569)&gt;0,G569&lt;&gt;"")),1,0)</f>
        <v/>
      </c>
    </row>
    <row r="570">
      <c r="A570" s="1" t="n"/>
      <c r="B570" s="21" t="n"/>
      <c r="C570" s="22" t="n"/>
      <c r="D570" s="23" t="n"/>
      <c r="E570" s="24" t="n"/>
      <c r="F570" s="25" t="n"/>
      <c r="G570" s="25" t="n"/>
      <c r="H570" s="24" t="n"/>
      <c r="I570" s="25" t="n"/>
      <c r="J570" s="17">
        <f>IF(AND(C570="",D570="",G570=""),"",IF(NOT(ISNUMBER(B570)),"Needs a date",IF(AND(D570&lt;&gt;"",NOT(ISNUMBER(D570))),"Amount not a number",IF(N(D570)&lt;0,"Amount below zero",IF(AND(N(D570)=0,G570=""),"Needs an amount or goods",IF(C570="","",IF(COUNTIF(Donors!$B$6:$B$305,C570)=0,"Not on Donors","")))))))</f>
        <v/>
      </c>
      <c r="K570" s="1">
        <f>IF(ISNUMBER(B570),YEAR(B570),"")</f>
        <v/>
      </c>
      <c r="L570">
        <f>IF(ISNUMBER(B570),YEAR(B570)*100+MONTH(B570),"")</f>
        <v/>
      </c>
      <c r="M570">
        <f>IF(ISNUMBER(B570),INT(B570),0)</f>
        <v/>
      </c>
      <c r="N570">
        <f>IF(OR(C570="",F570="",Q570=0),0,IF(COUNTIFS(C$6:C570,C570,F$6:F570,F570,Q$6:Q570,1)=1,1,0))</f>
        <v/>
      </c>
      <c r="O570">
        <f>IF(OR(C570="",Q570=0,H570&lt;&gt;""),"",M570*10000+ROW())</f>
        <v/>
      </c>
      <c r="P570">
        <f>IF(OR(C570="",Q570=0),"",IF(AND(C570=Statement!$C$4,K570=Statement!$C$5),M570*10000+ROW(),""))</f>
        <v/>
      </c>
      <c r="Q570">
        <f>IF(AND(ISNUMBER(B570),OR(N(D570)&gt;0,G570&lt;&gt;"")),1,0)</f>
        <v/>
      </c>
    </row>
    <row r="571">
      <c r="A571" s="1" t="n"/>
      <c r="B571" s="21" t="n"/>
      <c r="C571" s="22" t="n"/>
      <c r="D571" s="23" t="n"/>
      <c r="E571" s="24" t="n"/>
      <c r="F571" s="25" t="n"/>
      <c r="G571" s="25" t="n"/>
      <c r="H571" s="24" t="n"/>
      <c r="I571" s="25" t="n"/>
      <c r="J571" s="17">
        <f>IF(AND(C571="",D571="",G571=""),"",IF(NOT(ISNUMBER(B571)),"Needs a date",IF(AND(D571&lt;&gt;"",NOT(ISNUMBER(D571))),"Amount not a number",IF(N(D571)&lt;0,"Amount below zero",IF(AND(N(D571)=0,G571=""),"Needs an amount or goods",IF(C571="","",IF(COUNTIF(Donors!$B$6:$B$305,C571)=0,"Not on Donors","")))))))</f>
        <v/>
      </c>
      <c r="K571" s="1">
        <f>IF(ISNUMBER(B571),YEAR(B571),"")</f>
        <v/>
      </c>
      <c r="L571">
        <f>IF(ISNUMBER(B571),YEAR(B571)*100+MONTH(B571),"")</f>
        <v/>
      </c>
      <c r="M571">
        <f>IF(ISNUMBER(B571),INT(B571),0)</f>
        <v/>
      </c>
      <c r="N571">
        <f>IF(OR(C571="",F571="",Q571=0),0,IF(COUNTIFS(C$6:C571,C571,F$6:F571,F571,Q$6:Q571,1)=1,1,0))</f>
        <v/>
      </c>
      <c r="O571">
        <f>IF(OR(C571="",Q571=0,H571&lt;&gt;""),"",M571*10000+ROW())</f>
        <v/>
      </c>
      <c r="P571">
        <f>IF(OR(C571="",Q571=0),"",IF(AND(C571=Statement!$C$4,K571=Statement!$C$5),M571*10000+ROW(),""))</f>
        <v/>
      </c>
      <c r="Q571">
        <f>IF(AND(ISNUMBER(B571),OR(N(D571)&gt;0,G571&lt;&gt;"")),1,0)</f>
        <v/>
      </c>
    </row>
    <row r="572">
      <c r="A572" s="1" t="n"/>
      <c r="B572" s="21" t="n"/>
      <c r="C572" s="22" t="n"/>
      <c r="D572" s="23" t="n"/>
      <c r="E572" s="24" t="n"/>
      <c r="F572" s="25" t="n"/>
      <c r="G572" s="25" t="n"/>
      <c r="H572" s="24" t="n"/>
      <c r="I572" s="25" t="n"/>
      <c r="J572" s="17">
        <f>IF(AND(C572="",D572="",G572=""),"",IF(NOT(ISNUMBER(B572)),"Needs a date",IF(AND(D572&lt;&gt;"",NOT(ISNUMBER(D572))),"Amount not a number",IF(N(D572)&lt;0,"Amount below zero",IF(AND(N(D572)=0,G572=""),"Needs an amount or goods",IF(C572="","",IF(COUNTIF(Donors!$B$6:$B$305,C572)=0,"Not on Donors","")))))))</f>
        <v/>
      </c>
      <c r="K572" s="1">
        <f>IF(ISNUMBER(B572),YEAR(B572),"")</f>
        <v/>
      </c>
      <c r="L572">
        <f>IF(ISNUMBER(B572),YEAR(B572)*100+MONTH(B572),"")</f>
        <v/>
      </c>
      <c r="M572">
        <f>IF(ISNUMBER(B572),INT(B572),0)</f>
        <v/>
      </c>
      <c r="N572">
        <f>IF(OR(C572="",F572="",Q572=0),0,IF(COUNTIFS(C$6:C572,C572,F$6:F572,F572,Q$6:Q572,1)=1,1,0))</f>
        <v/>
      </c>
      <c r="O572">
        <f>IF(OR(C572="",Q572=0,H572&lt;&gt;""),"",M572*10000+ROW())</f>
        <v/>
      </c>
      <c r="P572">
        <f>IF(OR(C572="",Q572=0),"",IF(AND(C572=Statement!$C$4,K572=Statement!$C$5),M572*10000+ROW(),""))</f>
        <v/>
      </c>
      <c r="Q572">
        <f>IF(AND(ISNUMBER(B572),OR(N(D572)&gt;0,G572&lt;&gt;"")),1,0)</f>
        <v/>
      </c>
    </row>
    <row r="573">
      <c r="A573" s="1" t="n"/>
      <c r="B573" s="21" t="n"/>
      <c r="C573" s="22" t="n"/>
      <c r="D573" s="23" t="n"/>
      <c r="E573" s="24" t="n"/>
      <c r="F573" s="25" t="n"/>
      <c r="G573" s="25" t="n"/>
      <c r="H573" s="24" t="n"/>
      <c r="I573" s="25" t="n"/>
      <c r="J573" s="17">
        <f>IF(AND(C573="",D573="",G573=""),"",IF(NOT(ISNUMBER(B573)),"Needs a date",IF(AND(D573&lt;&gt;"",NOT(ISNUMBER(D573))),"Amount not a number",IF(N(D573)&lt;0,"Amount below zero",IF(AND(N(D573)=0,G573=""),"Needs an amount or goods",IF(C573="","",IF(COUNTIF(Donors!$B$6:$B$305,C573)=0,"Not on Donors","")))))))</f>
        <v/>
      </c>
      <c r="K573" s="1">
        <f>IF(ISNUMBER(B573),YEAR(B573),"")</f>
        <v/>
      </c>
      <c r="L573">
        <f>IF(ISNUMBER(B573),YEAR(B573)*100+MONTH(B573),"")</f>
        <v/>
      </c>
      <c r="M573">
        <f>IF(ISNUMBER(B573),INT(B573),0)</f>
        <v/>
      </c>
      <c r="N573">
        <f>IF(OR(C573="",F573="",Q573=0),0,IF(COUNTIFS(C$6:C573,C573,F$6:F573,F573,Q$6:Q573,1)=1,1,0))</f>
        <v/>
      </c>
      <c r="O573">
        <f>IF(OR(C573="",Q573=0,H573&lt;&gt;""),"",M573*10000+ROW())</f>
        <v/>
      </c>
      <c r="P573">
        <f>IF(OR(C573="",Q573=0),"",IF(AND(C573=Statement!$C$4,K573=Statement!$C$5),M573*10000+ROW(),""))</f>
        <v/>
      </c>
      <c r="Q573">
        <f>IF(AND(ISNUMBER(B573),OR(N(D573)&gt;0,G573&lt;&gt;"")),1,0)</f>
        <v/>
      </c>
    </row>
    <row r="574">
      <c r="A574" s="1" t="n"/>
      <c r="B574" s="21" t="n"/>
      <c r="C574" s="22" t="n"/>
      <c r="D574" s="23" t="n"/>
      <c r="E574" s="24" t="n"/>
      <c r="F574" s="25" t="n"/>
      <c r="G574" s="25" t="n"/>
      <c r="H574" s="24" t="n"/>
      <c r="I574" s="25" t="n"/>
      <c r="J574" s="17">
        <f>IF(AND(C574="",D574="",G574=""),"",IF(NOT(ISNUMBER(B574)),"Needs a date",IF(AND(D574&lt;&gt;"",NOT(ISNUMBER(D574))),"Amount not a number",IF(N(D574)&lt;0,"Amount below zero",IF(AND(N(D574)=0,G574=""),"Needs an amount or goods",IF(C574="","",IF(COUNTIF(Donors!$B$6:$B$305,C574)=0,"Not on Donors","")))))))</f>
        <v/>
      </c>
      <c r="K574" s="1">
        <f>IF(ISNUMBER(B574),YEAR(B574),"")</f>
        <v/>
      </c>
      <c r="L574">
        <f>IF(ISNUMBER(B574),YEAR(B574)*100+MONTH(B574),"")</f>
        <v/>
      </c>
      <c r="M574">
        <f>IF(ISNUMBER(B574),INT(B574),0)</f>
        <v/>
      </c>
      <c r="N574">
        <f>IF(OR(C574="",F574="",Q574=0),0,IF(COUNTIFS(C$6:C574,C574,F$6:F574,F574,Q$6:Q574,1)=1,1,0))</f>
        <v/>
      </c>
      <c r="O574">
        <f>IF(OR(C574="",Q574=0,H574&lt;&gt;""),"",M574*10000+ROW())</f>
        <v/>
      </c>
      <c r="P574">
        <f>IF(OR(C574="",Q574=0),"",IF(AND(C574=Statement!$C$4,K574=Statement!$C$5),M574*10000+ROW(),""))</f>
        <v/>
      </c>
      <c r="Q574">
        <f>IF(AND(ISNUMBER(B574),OR(N(D574)&gt;0,G574&lt;&gt;"")),1,0)</f>
        <v/>
      </c>
    </row>
    <row r="575">
      <c r="A575" s="1" t="n"/>
      <c r="B575" s="21" t="n"/>
      <c r="C575" s="22" t="n"/>
      <c r="D575" s="23" t="n"/>
      <c r="E575" s="24" t="n"/>
      <c r="F575" s="25" t="n"/>
      <c r="G575" s="25" t="n"/>
      <c r="H575" s="24" t="n"/>
      <c r="I575" s="25" t="n"/>
      <c r="J575" s="17">
        <f>IF(AND(C575="",D575="",G575=""),"",IF(NOT(ISNUMBER(B575)),"Needs a date",IF(AND(D575&lt;&gt;"",NOT(ISNUMBER(D575))),"Amount not a number",IF(N(D575)&lt;0,"Amount below zero",IF(AND(N(D575)=0,G575=""),"Needs an amount or goods",IF(C575="","",IF(COUNTIF(Donors!$B$6:$B$305,C575)=0,"Not on Donors","")))))))</f>
        <v/>
      </c>
      <c r="K575" s="1">
        <f>IF(ISNUMBER(B575),YEAR(B575),"")</f>
        <v/>
      </c>
      <c r="L575">
        <f>IF(ISNUMBER(B575),YEAR(B575)*100+MONTH(B575),"")</f>
        <v/>
      </c>
      <c r="M575">
        <f>IF(ISNUMBER(B575),INT(B575),0)</f>
        <v/>
      </c>
      <c r="N575">
        <f>IF(OR(C575="",F575="",Q575=0),0,IF(COUNTIFS(C$6:C575,C575,F$6:F575,F575,Q$6:Q575,1)=1,1,0))</f>
        <v/>
      </c>
      <c r="O575">
        <f>IF(OR(C575="",Q575=0,H575&lt;&gt;""),"",M575*10000+ROW())</f>
        <v/>
      </c>
      <c r="P575">
        <f>IF(OR(C575="",Q575=0),"",IF(AND(C575=Statement!$C$4,K575=Statement!$C$5),M575*10000+ROW(),""))</f>
        <v/>
      </c>
      <c r="Q575">
        <f>IF(AND(ISNUMBER(B575),OR(N(D575)&gt;0,G575&lt;&gt;"")),1,0)</f>
        <v/>
      </c>
    </row>
    <row r="576">
      <c r="A576" s="1" t="n"/>
      <c r="B576" s="21" t="n"/>
      <c r="C576" s="22" t="n"/>
      <c r="D576" s="23" t="n"/>
      <c r="E576" s="24" t="n"/>
      <c r="F576" s="25" t="n"/>
      <c r="G576" s="25" t="n"/>
      <c r="H576" s="24" t="n"/>
      <c r="I576" s="25" t="n"/>
      <c r="J576" s="17">
        <f>IF(AND(C576="",D576="",G576=""),"",IF(NOT(ISNUMBER(B576)),"Needs a date",IF(AND(D576&lt;&gt;"",NOT(ISNUMBER(D576))),"Amount not a number",IF(N(D576)&lt;0,"Amount below zero",IF(AND(N(D576)=0,G576=""),"Needs an amount or goods",IF(C576="","",IF(COUNTIF(Donors!$B$6:$B$305,C576)=0,"Not on Donors","")))))))</f>
        <v/>
      </c>
      <c r="K576" s="1">
        <f>IF(ISNUMBER(B576),YEAR(B576),"")</f>
        <v/>
      </c>
      <c r="L576">
        <f>IF(ISNUMBER(B576),YEAR(B576)*100+MONTH(B576),"")</f>
        <v/>
      </c>
      <c r="M576">
        <f>IF(ISNUMBER(B576),INT(B576),0)</f>
        <v/>
      </c>
      <c r="N576">
        <f>IF(OR(C576="",F576="",Q576=0),0,IF(COUNTIFS(C$6:C576,C576,F$6:F576,F576,Q$6:Q576,1)=1,1,0))</f>
        <v/>
      </c>
      <c r="O576">
        <f>IF(OR(C576="",Q576=0,H576&lt;&gt;""),"",M576*10000+ROW())</f>
        <v/>
      </c>
      <c r="P576">
        <f>IF(OR(C576="",Q576=0),"",IF(AND(C576=Statement!$C$4,K576=Statement!$C$5),M576*10000+ROW(),""))</f>
        <v/>
      </c>
      <c r="Q576">
        <f>IF(AND(ISNUMBER(B576),OR(N(D576)&gt;0,G576&lt;&gt;"")),1,0)</f>
        <v/>
      </c>
    </row>
    <row r="577">
      <c r="A577" s="1" t="n"/>
      <c r="B577" s="21" t="n"/>
      <c r="C577" s="22" t="n"/>
      <c r="D577" s="23" t="n"/>
      <c r="E577" s="24" t="n"/>
      <c r="F577" s="25" t="n"/>
      <c r="G577" s="25" t="n"/>
      <c r="H577" s="24" t="n"/>
      <c r="I577" s="25" t="n"/>
      <c r="J577" s="17">
        <f>IF(AND(C577="",D577="",G577=""),"",IF(NOT(ISNUMBER(B577)),"Needs a date",IF(AND(D577&lt;&gt;"",NOT(ISNUMBER(D577))),"Amount not a number",IF(N(D577)&lt;0,"Amount below zero",IF(AND(N(D577)=0,G577=""),"Needs an amount or goods",IF(C577="","",IF(COUNTIF(Donors!$B$6:$B$305,C577)=0,"Not on Donors","")))))))</f>
        <v/>
      </c>
      <c r="K577" s="1">
        <f>IF(ISNUMBER(B577),YEAR(B577),"")</f>
        <v/>
      </c>
      <c r="L577">
        <f>IF(ISNUMBER(B577),YEAR(B577)*100+MONTH(B577),"")</f>
        <v/>
      </c>
      <c r="M577">
        <f>IF(ISNUMBER(B577),INT(B577),0)</f>
        <v/>
      </c>
      <c r="N577">
        <f>IF(OR(C577="",F577="",Q577=0),0,IF(COUNTIFS(C$6:C577,C577,F$6:F577,F577,Q$6:Q577,1)=1,1,0))</f>
        <v/>
      </c>
      <c r="O577">
        <f>IF(OR(C577="",Q577=0,H577&lt;&gt;""),"",M577*10000+ROW())</f>
        <v/>
      </c>
      <c r="P577">
        <f>IF(OR(C577="",Q577=0),"",IF(AND(C577=Statement!$C$4,K577=Statement!$C$5),M577*10000+ROW(),""))</f>
        <v/>
      </c>
      <c r="Q577">
        <f>IF(AND(ISNUMBER(B577),OR(N(D577)&gt;0,G577&lt;&gt;"")),1,0)</f>
        <v/>
      </c>
    </row>
    <row r="578">
      <c r="A578" s="1" t="n"/>
      <c r="B578" s="21" t="n"/>
      <c r="C578" s="22" t="n"/>
      <c r="D578" s="23" t="n"/>
      <c r="E578" s="24" t="n"/>
      <c r="F578" s="25" t="n"/>
      <c r="G578" s="25" t="n"/>
      <c r="H578" s="24" t="n"/>
      <c r="I578" s="25" t="n"/>
      <c r="J578" s="17">
        <f>IF(AND(C578="",D578="",G578=""),"",IF(NOT(ISNUMBER(B578)),"Needs a date",IF(AND(D578&lt;&gt;"",NOT(ISNUMBER(D578))),"Amount not a number",IF(N(D578)&lt;0,"Amount below zero",IF(AND(N(D578)=0,G578=""),"Needs an amount or goods",IF(C578="","",IF(COUNTIF(Donors!$B$6:$B$305,C578)=0,"Not on Donors","")))))))</f>
        <v/>
      </c>
      <c r="K578" s="1">
        <f>IF(ISNUMBER(B578),YEAR(B578),"")</f>
        <v/>
      </c>
      <c r="L578">
        <f>IF(ISNUMBER(B578),YEAR(B578)*100+MONTH(B578),"")</f>
        <v/>
      </c>
      <c r="M578">
        <f>IF(ISNUMBER(B578),INT(B578),0)</f>
        <v/>
      </c>
      <c r="N578">
        <f>IF(OR(C578="",F578="",Q578=0),0,IF(COUNTIFS(C$6:C578,C578,F$6:F578,F578,Q$6:Q578,1)=1,1,0))</f>
        <v/>
      </c>
      <c r="O578">
        <f>IF(OR(C578="",Q578=0,H578&lt;&gt;""),"",M578*10000+ROW())</f>
        <v/>
      </c>
      <c r="P578">
        <f>IF(OR(C578="",Q578=0),"",IF(AND(C578=Statement!$C$4,K578=Statement!$C$5),M578*10000+ROW(),""))</f>
        <v/>
      </c>
      <c r="Q578">
        <f>IF(AND(ISNUMBER(B578),OR(N(D578)&gt;0,G578&lt;&gt;"")),1,0)</f>
        <v/>
      </c>
    </row>
    <row r="579">
      <c r="A579" s="1" t="n"/>
      <c r="B579" s="21" t="n"/>
      <c r="C579" s="22" t="n"/>
      <c r="D579" s="23" t="n"/>
      <c r="E579" s="24" t="n"/>
      <c r="F579" s="25" t="n"/>
      <c r="G579" s="25" t="n"/>
      <c r="H579" s="24" t="n"/>
      <c r="I579" s="25" t="n"/>
      <c r="J579" s="17">
        <f>IF(AND(C579="",D579="",G579=""),"",IF(NOT(ISNUMBER(B579)),"Needs a date",IF(AND(D579&lt;&gt;"",NOT(ISNUMBER(D579))),"Amount not a number",IF(N(D579)&lt;0,"Amount below zero",IF(AND(N(D579)=0,G579=""),"Needs an amount or goods",IF(C579="","",IF(COUNTIF(Donors!$B$6:$B$305,C579)=0,"Not on Donors","")))))))</f>
        <v/>
      </c>
      <c r="K579" s="1">
        <f>IF(ISNUMBER(B579),YEAR(B579),"")</f>
        <v/>
      </c>
      <c r="L579">
        <f>IF(ISNUMBER(B579),YEAR(B579)*100+MONTH(B579),"")</f>
        <v/>
      </c>
      <c r="M579">
        <f>IF(ISNUMBER(B579),INT(B579),0)</f>
        <v/>
      </c>
      <c r="N579">
        <f>IF(OR(C579="",F579="",Q579=0),0,IF(COUNTIFS(C$6:C579,C579,F$6:F579,F579,Q$6:Q579,1)=1,1,0))</f>
        <v/>
      </c>
      <c r="O579">
        <f>IF(OR(C579="",Q579=0,H579&lt;&gt;""),"",M579*10000+ROW())</f>
        <v/>
      </c>
      <c r="P579">
        <f>IF(OR(C579="",Q579=0),"",IF(AND(C579=Statement!$C$4,K579=Statement!$C$5),M579*10000+ROW(),""))</f>
        <v/>
      </c>
      <c r="Q579">
        <f>IF(AND(ISNUMBER(B579),OR(N(D579)&gt;0,G579&lt;&gt;"")),1,0)</f>
        <v/>
      </c>
    </row>
    <row r="580">
      <c r="A580" s="1" t="n"/>
      <c r="B580" s="21" t="n"/>
      <c r="C580" s="22" t="n"/>
      <c r="D580" s="23" t="n"/>
      <c r="E580" s="24" t="n"/>
      <c r="F580" s="25" t="n"/>
      <c r="G580" s="25" t="n"/>
      <c r="H580" s="24" t="n"/>
      <c r="I580" s="25" t="n"/>
      <c r="J580" s="17">
        <f>IF(AND(C580="",D580="",G580=""),"",IF(NOT(ISNUMBER(B580)),"Needs a date",IF(AND(D580&lt;&gt;"",NOT(ISNUMBER(D580))),"Amount not a number",IF(N(D580)&lt;0,"Amount below zero",IF(AND(N(D580)=0,G580=""),"Needs an amount or goods",IF(C580="","",IF(COUNTIF(Donors!$B$6:$B$305,C580)=0,"Not on Donors","")))))))</f>
        <v/>
      </c>
      <c r="K580" s="1">
        <f>IF(ISNUMBER(B580),YEAR(B580),"")</f>
        <v/>
      </c>
      <c r="L580">
        <f>IF(ISNUMBER(B580),YEAR(B580)*100+MONTH(B580),"")</f>
        <v/>
      </c>
      <c r="M580">
        <f>IF(ISNUMBER(B580),INT(B580),0)</f>
        <v/>
      </c>
      <c r="N580">
        <f>IF(OR(C580="",F580="",Q580=0),0,IF(COUNTIFS(C$6:C580,C580,F$6:F580,F580,Q$6:Q580,1)=1,1,0))</f>
        <v/>
      </c>
      <c r="O580">
        <f>IF(OR(C580="",Q580=0,H580&lt;&gt;""),"",M580*10000+ROW())</f>
        <v/>
      </c>
      <c r="P580">
        <f>IF(OR(C580="",Q580=0),"",IF(AND(C580=Statement!$C$4,K580=Statement!$C$5),M580*10000+ROW(),""))</f>
        <v/>
      </c>
      <c r="Q580">
        <f>IF(AND(ISNUMBER(B580),OR(N(D580)&gt;0,G580&lt;&gt;"")),1,0)</f>
        <v/>
      </c>
    </row>
    <row r="581">
      <c r="A581" s="1" t="n"/>
      <c r="B581" s="21" t="n"/>
      <c r="C581" s="22" t="n"/>
      <c r="D581" s="23" t="n"/>
      <c r="E581" s="24" t="n"/>
      <c r="F581" s="25" t="n"/>
      <c r="G581" s="25" t="n"/>
      <c r="H581" s="24" t="n"/>
      <c r="I581" s="25" t="n"/>
      <c r="J581" s="17">
        <f>IF(AND(C581="",D581="",G581=""),"",IF(NOT(ISNUMBER(B581)),"Needs a date",IF(AND(D581&lt;&gt;"",NOT(ISNUMBER(D581))),"Amount not a number",IF(N(D581)&lt;0,"Amount below zero",IF(AND(N(D581)=0,G581=""),"Needs an amount or goods",IF(C581="","",IF(COUNTIF(Donors!$B$6:$B$305,C581)=0,"Not on Donors","")))))))</f>
        <v/>
      </c>
      <c r="K581" s="1">
        <f>IF(ISNUMBER(B581),YEAR(B581),"")</f>
        <v/>
      </c>
      <c r="L581">
        <f>IF(ISNUMBER(B581),YEAR(B581)*100+MONTH(B581),"")</f>
        <v/>
      </c>
      <c r="M581">
        <f>IF(ISNUMBER(B581),INT(B581),0)</f>
        <v/>
      </c>
      <c r="N581">
        <f>IF(OR(C581="",F581="",Q581=0),0,IF(COUNTIFS(C$6:C581,C581,F$6:F581,F581,Q$6:Q581,1)=1,1,0))</f>
        <v/>
      </c>
      <c r="O581">
        <f>IF(OR(C581="",Q581=0,H581&lt;&gt;""),"",M581*10000+ROW())</f>
        <v/>
      </c>
      <c r="P581">
        <f>IF(OR(C581="",Q581=0),"",IF(AND(C581=Statement!$C$4,K581=Statement!$C$5),M581*10000+ROW(),""))</f>
        <v/>
      </c>
      <c r="Q581">
        <f>IF(AND(ISNUMBER(B581),OR(N(D581)&gt;0,G581&lt;&gt;"")),1,0)</f>
        <v/>
      </c>
    </row>
    <row r="582">
      <c r="A582" s="1" t="n"/>
      <c r="B582" s="21" t="n"/>
      <c r="C582" s="22" t="n"/>
      <c r="D582" s="23" t="n"/>
      <c r="E582" s="24" t="n"/>
      <c r="F582" s="25" t="n"/>
      <c r="G582" s="25" t="n"/>
      <c r="H582" s="24" t="n"/>
      <c r="I582" s="25" t="n"/>
      <c r="J582" s="17">
        <f>IF(AND(C582="",D582="",G582=""),"",IF(NOT(ISNUMBER(B582)),"Needs a date",IF(AND(D582&lt;&gt;"",NOT(ISNUMBER(D582))),"Amount not a number",IF(N(D582)&lt;0,"Amount below zero",IF(AND(N(D582)=0,G582=""),"Needs an amount or goods",IF(C582="","",IF(COUNTIF(Donors!$B$6:$B$305,C582)=0,"Not on Donors","")))))))</f>
        <v/>
      </c>
      <c r="K582" s="1">
        <f>IF(ISNUMBER(B582),YEAR(B582),"")</f>
        <v/>
      </c>
      <c r="L582">
        <f>IF(ISNUMBER(B582),YEAR(B582)*100+MONTH(B582),"")</f>
        <v/>
      </c>
      <c r="M582">
        <f>IF(ISNUMBER(B582),INT(B582),0)</f>
        <v/>
      </c>
      <c r="N582">
        <f>IF(OR(C582="",F582="",Q582=0),0,IF(COUNTIFS(C$6:C582,C582,F$6:F582,F582,Q$6:Q582,1)=1,1,0))</f>
        <v/>
      </c>
      <c r="O582">
        <f>IF(OR(C582="",Q582=0,H582&lt;&gt;""),"",M582*10000+ROW())</f>
        <v/>
      </c>
      <c r="P582">
        <f>IF(OR(C582="",Q582=0),"",IF(AND(C582=Statement!$C$4,K582=Statement!$C$5),M582*10000+ROW(),""))</f>
        <v/>
      </c>
      <c r="Q582">
        <f>IF(AND(ISNUMBER(B582),OR(N(D582)&gt;0,G582&lt;&gt;"")),1,0)</f>
        <v/>
      </c>
    </row>
    <row r="583">
      <c r="A583" s="1" t="n"/>
      <c r="B583" s="21" t="n"/>
      <c r="C583" s="22" t="n"/>
      <c r="D583" s="23" t="n"/>
      <c r="E583" s="24" t="n"/>
      <c r="F583" s="25" t="n"/>
      <c r="G583" s="25" t="n"/>
      <c r="H583" s="24" t="n"/>
      <c r="I583" s="25" t="n"/>
      <c r="J583" s="17">
        <f>IF(AND(C583="",D583="",G583=""),"",IF(NOT(ISNUMBER(B583)),"Needs a date",IF(AND(D583&lt;&gt;"",NOT(ISNUMBER(D583))),"Amount not a number",IF(N(D583)&lt;0,"Amount below zero",IF(AND(N(D583)=0,G583=""),"Needs an amount or goods",IF(C583="","",IF(COUNTIF(Donors!$B$6:$B$305,C583)=0,"Not on Donors","")))))))</f>
        <v/>
      </c>
      <c r="K583" s="1">
        <f>IF(ISNUMBER(B583),YEAR(B583),"")</f>
        <v/>
      </c>
      <c r="L583">
        <f>IF(ISNUMBER(B583),YEAR(B583)*100+MONTH(B583),"")</f>
        <v/>
      </c>
      <c r="M583">
        <f>IF(ISNUMBER(B583),INT(B583),0)</f>
        <v/>
      </c>
      <c r="N583">
        <f>IF(OR(C583="",F583="",Q583=0),0,IF(COUNTIFS(C$6:C583,C583,F$6:F583,F583,Q$6:Q583,1)=1,1,0))</f>
        <v/>
      </c>
      <c r="O583">
        <f>IF(OR(C583="",Q583=0,H583&lt;&gt;""),"",M583*10000+ROW())</f>
        <v/>
      </c>
      <c r="P583">
        <f>IF(OR(C583="",Q583=0),"",IF(AND(C583=Statement!$C$4,K583=Statement!$C$5),M583*10000+ROW(),""))</f>
        <v/>
      </c>
      <c r="Q583">
        <f>IF(AND(ISNUMBER(B583),OR(N(D583)&gt;0,G583&lt;&gt;"")),1,0)</f>
        <v/>
      </c>
    </row>
    <row r="584">
      <c r="A584" s="1" t="n"/>
      <c r="B584" s="21" t="n"/>
      <c r="C584" s="22" t="n"/>
      <c r="D584" s="23" t="n"/>
      <c r="E584" s="24" t="n"/>
      <c r="F584" s="25" t="n"/>
      <c r="G584" s="25" t="n"/>
      <c r="H584" s="24" t="n"/>
      <c r="I584" s="25" t="n"/>
      <c r="J584" s="17">
        <f>IF(AND(C584="",D584="",G584=""),"",IF(NOT(ISNUMBER(B584)),"Needs a date",IF(AND(D584&lt;&gt;"",NOT(ISNUMBER(D584))),"Amount not a number",IF(N(D584)&lt;0,"Amount below zero",IF(AND(N(D584)=0,G584=""),"Needs an amount or goods",IF(C584="","",IF(COUNTIF(Donors!$B$6:$B$305,C584)=0,"Not on Donors","")))))))</f>
        <v/>
      </c>
      <c r="K584" s="1">
        <f>IF(ISNUMBER(B584),YEAR(B584),"")</f>
        <v/>
      </c>
      <c r="L584">
        <f>IF(ISNUMBER(B584),YEAR(B584)*100+MONTH(B584),"")</f>
        <v/>
      </c>
      <c r="M584">
        <f>IF(ISNUMBER(B584),INT(B584),0)</f>
        <v/>
      </c>
      <c r="N584">
        <f>IF(OR(C584="",F584="",Q584=0),0,IF(COUNTIFS(C$6:C584,C584,F$6:F584,F584,Q$6:Q584,1)=1,1,0))</f>
        <v/>
      </c>
      <c r="O584">
        <f>IF(OR(C584="",Q584=0,H584&lt;&gt;""),"",M584*10000+ROW())</f>
        <v/>
      </c>
      <c r="P584">
        <f>IF(OR(C584="",Q584=0),"",IF(AND(C584=Statement!$C$4,K584=Statement!$C$5),M584*10000+ROW(),""))</f>
        <v/>
      </c>
      <c r="Q584">
        <f>IF(AND(ISNUMBER(B584),OR(N(D584)&gt;0,G584&lt;&gt;"")),1,0)</f>
        <v/>
      </c>
    </row>
    <row r="585">
      <c r="A585" s="1" t="n"/>
      <c r="B585" s="21" t="n"/>
      <c r="C585" s="22" t="n"/>
      <c r="D585" s="23" t="n"/>
      <c r="E585" s="24" t="n"/>
      <c r="F585" s="25" t="n"/>
      <c r="G585" s="25" t="n"/>
      <c r="H585" s="24" t="n"/>
      <c r="I585" s="25" t="n"/>
      <c r="J585" s="17">
        <f>IF(AND(C585="",D585="",G585=""),"",IF(NOT(ISNUMBER(B585)),"Needs a date",IF(AND(D585&lt;&gt;"",NOT(ISNUMBER(D585))),"Amount not a number",IF(N(D585)&lt;0,"Amount below zero",IF(AND(N(D585)=0,G585=""),"Needs an amount or goods",IF(C585="","",IF(COUNTIF(Donors!$B$6:$B$305,C585)=0,"Not on Donors","")))))))</f>
        <v/>
      </c>
      <c r="K585" s="1">
        <f>IF(ISNUMBER(B585),YEAR(B585),"")</f>
        <v/>
      </c>
      <c r="L585">
        <f>IF(ISNUMBER(B585),YEAR(B585)*100+MONTH(B585),"")</f>
        <v/>
      </c>
      <c r="M585">
        <f>IF(ISNUMBER(B585),INT(B585),0)</f>
        <v/>
      </c>
      <c r="N585">
        <f>IF(OR(C585="",F585="",Q585=0),0,IF(COUNTIFS(C$6:C585,C585,F$6:F585,F585,Q$6:Q585,1)=1,1,0))</f>
        <v/>
      </c>
      <c r="O585">
        <f>IF(OR(C585="",Q585=0,H585&lt;&gt;""),"",M585*10000+ROW())</f>
        <v/>
      </c>
      <c r="P585">
        <f>IF(OR(C585="",Q585=0),"",IF(AND(C585=Statement!$C$4,K585=Statement!$C$5),M585*10000+ROW(),""))</f>
        <v/>
      </c>
      <c r="Q585">
        <f>IF(AND(ISNUMBER(B585),OR(N(D585)&gt;0,G585&lt;&gt;"")),1,0)</f>
        <v/>
      </c>
    </row>
    <row r="586">
      <c r="A586" s="1" t="n"/>
      <c r="B586" s="21" t="n"/>
      <c r="C586" s="22" t="n"/>
      <c r="D586" s="23" t="n"/>
      <c r="E586" s="24" t="n"/>
      <c r="F586" s="25" t="n"/>
      <c r="G586" s="25" t="n"/>
      <c r="H586" s="24" t="n"/>
      <c r="I586" s="25" t="n"/>
      <c r="J586" s="17">
        <f>IF(AND(C586="",D586="",G586=""),"",IF(NOT(ISNUMBER(B586)),"Needs a date",IF(AND(D586&lt;&gt;"",NOT(ISNUMBER(D586))),"Amount not a number",IF(N(D586)&lt;0,"Amount below zero",IF(AND(N(D586)=0,G586=""),"Needs an amount or goods",IF(C586="","",IF(COUNTIF(Donors!$B$6:$B$305,C586)=0,"Not on Donors","")))))))</f>
        <v/>
      </c>
      <c r="K586" s="1">
        <f>IF(ISNUMBER(B586),YEAR(B586),"")</f>
        <v/>
      </c>
      <c r="L586">
        <f>IF(ISNUMBER(B586),YEAR(B586)*100+MONTH(B586),"")</f>
        <v/>
      </c>
      <c r="M586">
        <f>IF(ISNUMBER(B586),INT(B586),0)</f>
        <v/>
      </c>
      <c r="N586">
        <f>IF(OR(C586="",F586="",Q586=0),0,IF(COUNTIFS(C$6:C586,C586,F$6:F586,F586,Q$6:Q586,1)=1,1,0))</f>
        <v/>
      </c>
      <c r="O586">
        <f>IF(OR(C586="",Q586=0,H586&lt;&gt;""),"",M586*10000+ROW())</f>
        <v/>
      </c>
      <c r="P586">
        <f>IF(OR(C586="",Q586=0),"",IF(AND(C586=Statement!$C$4,K586=Statement!$C$5),M586*10000+ROW(),""))</f>
        <v/>
      </c>
      <c r="Q586">
        <f>IF(AND(ISNUMBER(B586),OR(N(D586)&gt;0,G586&lt;&gt;"")),1,0)</f>
        <v/>
      </c>
    </row>
    <row r="587">
      <c r="A587" s="1" t="n"/>
      <c r="B587" s="21" t="n"/>
      <c r="C587" s="22" t="n"/>
      <c r="D587" s="23" t="n"/>
      <c r="E587" s="24" t="n"/>
      <c r="F587" s="25" t="n"/>
      <c r="G587" s="25" t="n"/>
      <c r="H587" s="24" t="n"/>
      <c r="I587" s="25" t="n"/>
      <c r="J587" s="17">
        <f>IF(AND(C587="",D587="",G587=""),"",IF(NOT(ISNUMBER(B587)),"Needs a date",IF(AND(D587&lt;&gt;"",NOT(ISNUMBER(D587))),"Amount not a number",IF(N(D587)&lt;0,"Amount below zero",IF(AND(N(D587)=0,G587=""),"Needs an amount or goods",IF(C587="","",IF(COUNTIF(Donors!$B$6:$B$305,C587)=0,"Not on Donors","")))))))</f>
        <v/>
      </c>
      <c r="K587" s="1">
        <f>IF(ISNUMBER(B587),YEAR(B587),"")</f>
        <v/>
      </c>
      <c r="L587">
        <f>IF(ISNUMBER(B587),YEAR(B587)*100+MONTH(B587),"")</f>
        <v/>
      </c>
      <c r="M587">
        <f>IF(ISNUMBER(B587),INT(B587),0)</f>
        <v/>
      </c>
      <c r="N587">
        <f>IF(OR(C587="",F587="",Q587=0),0,IF(COUNTIFS(C$6:C587,C587,F$6:F587,F587,Q$6:Q587,1)=1,1,0))</f>
        <v/>
      </c>
      <c r="O587">
        <f>IF(OR(C587="",Q587=0,H587&lt;&gt;""),"",M587*10000+ROW())</f>
        <v/>
      </c>
      <c r="P587">
        <f>IF(OR(C587="",Q587=0),"",IF(AND(C587=Statement!$C$4,K587=Statement!$C$5),M587*10000+ROW(),""))</f>
        <v/>
      </c>
      <c r="Q587">
        <f>IF(AND(ISNUMBER(B587),OR(N(D587)&gt;0,G587&lt;&gt;"")),1,0)</f>
        <v/>
      </c>
    </row>
    <row r="588">
      <c r="A588" s="1" t="n"/>
      <c r="B588" s="21" t="n"/>
      <c r="C588" s="22" t="n"/>
      <c r="D588" s="23" t="n"/>
      <c r="E588" s="24" t="n"/>
      <c r="F588" s="25" t="n"/>
      <c r="G588" s="25" t="n"/>
      <c r="H588" s="24" t="n"/>
      <c r="I588" s="25" t="n"/>
      <c r="J588" s="17">
        <f>IF(AND(C588="",D588="",G588=""),"",IF(NOT(ISNUMBER(B588)),"Needs a date",IF(AND(D588&lt;&gt;"",NOT(ISNUMBER(D588))),"Amount not a number",IF(N(D588)&lt;0,"Amount below zero",IF(AND(N(D588)=0,G588=""),"Needs an amount or goods",IF(C588="","",IF(COUNTIF(Donors!$B$6:$B$305,C588)=0,"Not on Donors","")))))))</f>
        <v/>
      </c>
      <c r="K588" s="1">
        <f>IF(ISNUMBER(B588),YEAR(B588),"")</f>
        <v/>
      </c>
      <c r="L588">
        <f>IF(ISNUMBER(B588),YEAR(B588)*100+MONTH(B588),"")</f>
        <v/>
      </c>
      <c r="M588">
        <f>IF(ISNUMBER(B588),INT(B588),0)</f>
        <v/>
      </c>
      <c r="N588">
        <f>IF(OR(C588="",F588="",Q588=0),0,IF(COUNTIFS(C$6:C588,C588,F$6:F588,F588,Q$6:Q588,1)=1,1,0))</f>
        <v/>
      </c>
      <c r="O588">
        <f>IF(OR(C588="",Q588=0,H588&lt;&gt;""),"",M588*10000+ROW())</f>
        <v/>
      </c>
      <c r="P588">
        <f>IF(OR(C588="",Q588=0),"",IF(AND(C588=Statement!$C$4,K588=Statement!$C$5),M588*10000+ROW(),""))</f>
        <v/>
      </c>
      <c r="Q588">
        <f>IF(AND(ISNUMBER(B588),OR(N(D588)&gt;0,G588&lt;&gt;"")),1,0)</f>
        <v/>
      </c>
    </row>
    <row r="589">
      <c r="A589" s="1" t="n"/>
      <c r="B589" s="21" t="n"/>
      <c r="C589" s="22" t="n"/>
      <c r="D589" s="23" t="n"/>
      <c r="E589" s="24" t="n"/>
      <c r="F589" s="25" t="n"/>
      <c r="G589" s="25" t="n"/>
      <c r="H589" s="24" t="n"/>
      <c r="I589" s="25" t="n"/>
      <c r="J589" s="17">
        <f>IF(AND(C589="",D589="",G589=""),"",IF(NOT(ISNUMBER(B589)),"Needs a date",IF(AND(D589&lt;&gt;"",NOT(ISNUMBER(D589))),"Amount not a number",IF(N(D589)&lt;0,"Amount below zero",IF(AND(N(D589)=0,G589=""),"Needs an amount or goods",IF(C589="","",IF(COUNTIF(Donors!$B$6:$B$305,C589)=0,"Not on Donors","")))))))</f>
        <v/>
      </c>
      <c r="K589" s="1">
        <f>IF(ISNUMBER(B589),YEAR(B589),"")</f>
        <v/>
      </c>
      <c r="L589">
        <f>IF(ISNUMBER(B589),YEAR(B589)*100+MONTH(B589),"")</f>
        <v/>
      </c>
      <c r="M589">
        <f>IF(ISNUMBER(B589),INT(B589),0)</f>
        <v/>
      </c>
      <c r="N589">
        <f>IF(OR(C589="",F589="",Q589=0),0,IF(COUNTIFS(C$6:C589,C589,F$6:F589,F589,Q$6:Q589,1)=1,1,0))</f>
        <v/>
      </c>
      <c r="O589">
        <f>IF(OR(C589="",Q589=0,H589&lt;&gt;""),"",M589*10000+ROW())</f>
        <v/>
      </c>
      <c r="P589">
        <f>IF(OR(C589="",Q589=0),"",IF(AND(C589=Statement!$C$4,K589=Statement!$C$5),M589*10000+ROW(),""))</f>
        <v/>
      </c>
      <c r="Q589">
        <f>IF(AND(ISNUMBER(B589),OR(N(D589)&gt;0,G589&lt;&gt;"")),1,0)</f>
        <v/>
      </c>
    </row>
    <row r="590">
      <c r="A590" s="1" t="n"/>
      <c r="B590" s="21" t="n"/>
      <c r="C590" s="22" t="n"/>
      <c r="D590" s="23" t="n"/>
      <c r="E590" s="24" t="n"/>
      <c r="F590" s="25" t="n"/>
      <c r="G590" s="25" t="n"/>
      <c r="H590" s="24" t="n"/>
      <c r="I590" s="25" t="n"/>
      <c r="J590" s="17">
        <f>IF(AND(C590="",D590="",G590=""),"",IF(NOT(ISNUMBER(B590)),"Needs a date",IF(AND(D590&lt;&gt;"",NOT(ISNUMBER(D590))),"Amount not a number",IF(N(D590)&lt;0,"Amount below zero",IF(AND(N(D590)=0,G590=""),"Needs an amount or goods",IF(C590="","",IF(COUNTIF(Donors!$B$6:$B$305,C590)=0,"Not on Donors","")))))))</f>
        <v/>
      </c>
      <c r="K590" s="1">
        <f>IF(ISNUMBER(B590),YEAR(B590),"")</f>
        <v/>
      </c>
      <c r="L590">
        <f>IF(ISNUMBER(B590),YEAR(B590)*100+MONTH(B590),"")</f>
        <v/>
      </c>
      <c r="M590">
        <f>IF(ISNUMBER(B590),INT(B590),0)</f>
        <v/>
      </c>
      <c r="N590">
        <f>IF(OR(C590="",F590="",Q590=0),0,IF(COUNTIFS(C$6:C590,C590,F$6:F590,F590,Q$6:Q590,1)=1,1,0))</f>
        <v/>
      </c>
      <c r="O590">
        <f>IF(OR(C590="",Q590=0,H590&lt;&gt;""),"",M590*10000+ROW())</f>
        <v/>
      </c>
      <c r="P590">
        <f>IF(OR(C590="",Q590=0),"",IF(AND(C590=Statement!$C$4,K590=Statement!$C$5),M590*10000+ROW(),""))</f>
        <v/>
      </c>
      <c r="Q590">
        <f>IF(AND(ISNUMBER(B590),OR(N(D590)&gt;0,G590&lt;&gt;"")),1,0)</f>
        <v/>
      </c>
    </row>
    <row r="591">
      <c r="A591" s="1" t="n"/>
      <c r="B591" s="21" t="n"/>
      <c r="C591" s="22" t="n"/>
      <c r="D591" s="23" t="n"/>
      <c r="E591" s="24" t="n"/>
      <c r="F591" s="25" t="n"/>
      <c r="G591" s="25" t="n"/>
      <c r="H591" s="24" t="n"/>
      <c r="I591" s="25" t="n"/>
      <c r="J591" s="17">
        <f>IF(AND(C591="",D591="",G591=""),"",IF(NOT(ISNUMBER(B591)),"Needs a date",IF(AND(D591&lt;&gt;"",NOT(ISNUMBER(D591))),"Amount not a number",IF(N(D591)&lt;0,"Amount below zero",IF(AND(N(D591)=0,G591=""),"Needs an amount or goods",IF(C591="","",IF(COUNTIF(Donors!$B$6:$B$305,C591)=0,"Not on Donors","")))))))</f>
        <v/>
      </c>
      <c r="K591" s="1">
        <f>IF(ISNUMBER(B591),YEAR(B591),"")</f>
        <v/>
      </c>
      <c r="L591">
        <f>IF(ISNUMBER(B591),YEAR(B591)*100+MONTH(B591),"")</f>
        <v/>
      </c>
      <c r="M591">
        <f>IF(ISNUMBER(B591),INT(B591),0)</f>
        <v/>
      </c>
      <c r="N591">
        <f>IF(OR(C591="",F591="",Q591=0),0,IF(COUNTIFS(C$6:C591,C591,F$6:F591,F591,Q$6:Q591,1)=1,1,0))</f>
        <v/>
      </c>
      <c r="O591">
        <f>IF(OR(C591="",Q591=0,H591&lt;&gt;""),"",M591*10000+ROW())</f>
        <v/>
      </c>
      <c r="P591">
        <f>IF(OR(C591="",Q591=0),"",IF(AND(C591=Statement!$C$4,K591=Statement!$C$5),M591*10000+ROW(),""))</f>
        <v/>
      </c>
      <c r="Q591">
        <f>IF(AND(ISNUMBER(B591),OR(N(D591)&gt;0,G591&lt;&gt;"")),1,0)</f>
        <v/>
      </c>
    </row>
    <row r="592">
      <c r="A592" s="1" t="n"/>
      <c r="B592" s="21" t="n"/>
      <c r="C592" s="22" t="n"/>
      <c r="D592" s="23" t="n"/>
      <c r="E592" s="24" t="n"/>
      <c r="F592" s="25" t="n"/>
      <c r="G592" s="25" t="n"/>
      <c r="H592" s="24" t="n"/>
      <c r="I592" s="25" t="n"/>
      <c r="J592" s="17">
        <f>IF(AND(C592="",D592="",G592=""),"",IF(NOT(ISNUMBER(B592)),"Needs a date",IF(AND(D592&lt;&gt;"",NOT(ISNUMBER(D592))),"Amount not a number",IF(N(D592)&lt;0,"Amount below zero",IF(AND(N(D592)=0,G592=""),"Needs an amount or goods",IF(C592="","",IF(COUNTIF(Donors!$B$6:$B$305,C592)=0,"Not on Donors","")))))))</f>
        <v/>
      </c>
      <c r="K592" s="1">
        <f>IF(ISNUMBER(B592),YEAR(B592),"")</f>
        <v/>
      </c>
      <c r="L592">
        <f>IF(ISNUMBER(B592),YEAR(B592)*100+MONTH(B592),"")</f>
        <v/>
      </c>
      <c r="M592">
        <f>IF(ISNUMBER(B592),INT(B592),0)</f>
        <v/>
      </c>
      <c r="N592">
        <f>IF(OR(C592="",F592="",Q592=0),0,IF(COUNTIFS(C$6:C592,C592,F$6:F592,F592,Q$6:Q592,1)=1,1,0))</f>
        <v/>
      </c>
      <c r="O592">
        <f>IF(OR(C592="",Q592=0,H592&lt;&gt;""),"",M592*10000+ROW())</f>
        <v/>
      </c>
      <c r="P592">
        <f>IF(OR(C592="",Q592=0),"",IF(AND(C592=Statement!$C$4,K592=Statement!$C$5),M592*10000+ROW(),""))</f>
        <v/>
      </c>
      <c r="Q592">
        <f>IF(AND(ISNUMBER(B592),OR(N(D592)&gt;0,G592&lt;&gt;"")),1,0)</f>
        <v/>
      </c>
    </row>
    <row r="593">
      <c r="A593" s="1" t="n"/>
      <c r="B593" s="21" t="n"/>
      <c r="C593" s="22" t="n"/>
      <c r="D593" s="23" t="n"/>
      <c r="E593" s="24" t="n"/>
      <c r="F593" s="25" t="n"/>
      <c r="G593" s="25" t="n"/>
      <c r="H593" s="24" t="n"/>
      <c r="I593" s="25" t="n"/>
      <c r="J593" s="17">
        <f>IF(AND(C593="",D593="",G593=""),"",IF(NOT(ISNUMBER(B593)),"Needs a date",IF(AND(D593&lt;&gt;"",NOT(ISNUMBER(D593))),"Amount not a number",IF(N(D593)&lt;0,"Amount below zero",IF(AND(N(D593)=0,G593=""),"Needs an amount or goods",IF(C593="","",IF(COUNTIF(Donors!$B$6:$B$305,C593)=0,"Not on Donors","")))))))</f>
        <v/>
      </c>
      <c r="K593" s="1">
        <f>IF(ISNUMBER(B593),YEAR(B593),"")</f>
        <v/>
      </c>
      <c r="L593">
        <f>IF(ISNUMBER(B593),YEAR(B593)*100+MONTH(B593),"")</f>
        <v/>
      </c>
      <c r="M593">
        <f>IF(ISNUMBER(B593),INT(B593),0)</f>
        <v/>
      </c>
      <c r="N593">
        <f>IF(OR(C593="",F593="",Q593=0),0,IF(COUNTIFS(C$6:C593,C593,F$6:F593,F593,Q$6:Q593,1)=1,1,0))</f>
        <v/>
      </c>
      <c r="O593">
        <f>IF(OR(C593="",Q593=0,H593&lt;&gt;""),"",M593*10000+ROW())</f>
        <v/>
      </c>
      <c r="P593">
        <f>IF(OR(C593="",Q593=0),"",IF(AND(C593=Statement!$C$4,K593=Statement!$C$5),M593*10000+ROW(),""))</f>
        <v/>
      </c>
      <c r="Q593">
        <f>IF(AND(ISNUMBER(B593),OR(N(D593)&gt;0,G593&lt;&gt;"")),1,0)</f>
        <v/>
      </c>
    </row>
    <row r="594">
      <c r="A594" s="1" t="n"/>
      <c r="B594" s="21" t="n"/>
      <c r="C594" s="22" t="n"/>
      <c r="D594" s="23" t="n"/>
      <c r="E594" s="24" t="n"/>
      <c r="F594" s="25" t="n"/>
      <c r="G594" s="25" t="n"/>
      <c r="H594" s="24" t="n"/>
      <c r="I594" s="25" t="n"/>
      <c r="J594" s="17">
        <f>IF(AND(C594="",D594="",G594=""),"",IF(NOT(ISNUMBER(B594)),"Needs a date",IF(AND(D594&lt;&gt;"",NOT(ISNUMBER(D594))),"Amount not a number",IF(N(D594)&lt;0,"Amount below zero",IF(AND(N(D594)=0,G594=""),"Needs an amount or goods",IF(C594="","",IF(COUNTIF(Donors!$B$6:$B$305,C594)=0,"Not on Donors","")))))))</f>
        <v/>
      </c>
      <c r="K594" s="1">
        <f>IF(ISNUMBER(B594),YEAR(B594),"")</f>
        <v/>
      </c>
      <c r="L594">
        <f>IF(ISNUMBER(B594),YEAR(B594)*100+MONTH(B594),"")</f>
        <v/>
      </c>
      <c r="M594">
        <f>IF(ISNUMBER(B594),INT(B594),0)</f>
        <v/>
      </c>
      <c r="N594">
        <f>IF(OR(C594="",F594="",Q594=0),0,IF(COUNTIFS(C$6:C594,C594,F$6:F594,F594,Q$6:Q594,1)=1,1,0))</f>
        <v/>
      </c>
      <c r="O594">
        <f>IF(OR(C594="",Q594=0,H594&lt;&gt;""),"",M594*10000+ROW())</f>
        <v/>
      </c>
      <c r="P594">
        <f>IF(OR(C594="",Q594=0),"",IF(AND(C594=Statement!$C$4,K594=Statement!$C$5),M594*10000+ROW(),""))</f>
        <v/>
      </c>
      <c r="Q594">
        <f>IF(AND(ISNUMBER(B594),OR(N(D594)&gt;0,G594&lt;&gt;"")),1,0)</f>
        <v/>
      </c>
    </row>
    <row r="595">
      <c r="A595" s="1" t="n"/>
      <c r="B595" s="21" t="n"/>
      <c r="C595" s="22" t="n"/>
      <c r="D595" s="23" t="n"/>
      <c r="E595" s="24" t="n"/>
      <c r="F595" s="25" t="n"/>
      <c r="G595" s="25" t="n"/>
      <c r="H595" s="24" t="n"/>
      <c r="I595" s="25" t="n"/>
      <c r="J595" s="17">
        <f>IF(AND(C595="",D595="",G595=""),"",IF(NOT(ISNUMBER(B595)),"Needs a date",IF(AND(D595&lt;&gt;"",NOT(ISNUMBER(D595))),"Amount not a number",IF(N(D595)&lt;0,"Amount below zero",IF(AND(N(D595)=0,G595=""),"Needs an amount or goods",IF(C595="","",IF(COUNTIF(Donors!$B$6:$B$305,C595)=0,"Not on Donors","")))))))</f>
        <v/>
      </c>
      <c r="K595" s="1">
        <f>IF(ISNUMBER(B595),YEAR(B595),"")</f>
        <v/>
      </c>
      <c r="L595">
        <f>IF(ISNUMBER(B595),YEAR(B595)*100+MONTH(B595),"")</f>
        <v/>
      </c>
      <c r="M595">
        <f>IF(ISNUMBER(B595),INT(B595),0)</f>
        <v/>
      </c>
      <c r="N595">
        <f>IF(OR(C595="",F595="",Q595=0),0,IF(COUNTIFS(C$6:C595,C595,F$6:F595,F595,Q$6:Q595,1)=1,1,0))</f>
        <v/>
      </c>
      <c r="O595">
        <f>IF(OR(C595="",Q595=0,H595&lt;&gt;""),"",M595*10000+ROW())</f>
        <v/>
      </c>
      <c r="P595">
        <f>IF(OR(C595="",Q595=0),"",IF(AND(C595=Statement!$C$4,K595=Statement!$C$5),M595*10000+ROW(),""))</f>
        <v/>
      </c>
      <c r="Q595">
        <f>IF(AND(ISNUMBER(B595),OR(N(D595)&gt;0,G595&lt;&gt;"")),1,0)</f>
        <v/>
      </c>
    </row>
    <row r="596">
      <c r="A596" s="1" t="n"/>
      <c r="B596" s="21" t="n"/>
      <c r="C596" s="22" t="n"/>
      <c r="D596" s="23" t="n"/>
      <c r="E596" s="24" t="n"/>
      <c r="F596" s="25" t="n"/>
      <c r="G596" s="25" t="n"/>
      <c r="H596" s="24" t="n"/>
      <c r="I596" s="25" t="n"/>
      <c r="J596" s="17">
        <f>IF(AND(C596="",D596="",G596=""),"",IF(NOT(ISNUMBER(B596)),"Needs a date",IF(AND(D596&lt;&gt;"",NOT(ISNUMBER(D596))),"Amount not a number",IF(N(D596)&lt;0,"Amount below zero",IF(AND(N(D596)=0,G596=""),"Needs an amount or goods",IF(C596="","",IF(COUNTIF(Donors!$B$6:$B$305,C596)=0,"Not on Donors","")))))))</f>
        <v/>
      </c>
      <c r="K596" s="1">
        <f>IF(ISNUMBER(B596),YEAR(B596),"")</f>
        <v/>
      </c>
      <c r="L596">
        <f>IF(ISNUMBER(B596),YEAR(B596)*100+MONTH(B596),"")</f>
        <v/>
      </c>
      <c r="M596">
        <f>IF(ISNUMBER(B596),INT(B596),0)</f>
        <v/>
      </c>
      <c r="N596">
        <f>IF(OR(C596="",F596="",Q596=0),0,IF(COUNTIFS(C$6:C596,C596,F$6:F596,F596,Q$6:Q596,1)=1,1,0))</f>
        <v/>
      </c>
      <c r="O596">
        <f>IF(OR(C596="",Q596=0,H596&lt;&gt;""),"",M596*10000+ROW())</f>
        <v/>
      </c>
      <c r="P596">
        <f>IF(OR(C596="",Q596=0),"",IF(AND(C596=Statement!$C$4,K596=Statement!$C$5),M596*10000+ROW(),""))</f>
        <v/>
      </c>
      <c r="Q596">
        <f>IF(AND(ISNUMBER(B596),OR(N(D596)&gt;0,G596&lt;&gt;"")),1,0)</f>
        <v/>
      </c>
    </row>
    <row r="597">
      <c r="A597" s="1" t="n"/>
      <c r="B597" s="21" t="n"/>
      <c r="C597" s="22" t="n"/>
      <c r="D597" s="23" t="n"/>
      <c r="E597" s="24" t="n"/>
      <c r="F597" s="25" t="n"/>
      <c r="G597" s="25" t="n"/>
      <c r="H597" s="24" t="n"/>
      <c r="I597" s="25" t="n"/>
      <c r="J597" s="17">
        <f>IF(AND(C597="",D597="",G597=""),"",IF(NOT(ISNUMBER(B597)),"Needs a date",IF(AND(D597&lt;&gt;"",NOT(ISNUMBER(D597))),"Amount not a number",IF(N(D597)&lt;0,"Amount below zero",IF(AND(N(D597)=0,G597=""),"Needs an amount or goods",IF(C597="","",IF(COUNTIF(Donors!$B$6:$B$305,C597)=0,"Not on Donors","")))))))</f>
        <v/>
      </c>
      <c r="K597" s="1">
        <f>IF(ISNUMBER(B597),YEAR(B597),"")</f>
        <v/>
      </c>
      <c r="L597">
        <f>IF(ISNUMBER(B597),YEAR(B597)*100+MONTH(B597),"")</f>
        <v/>
      </c>
      <c r="M597">
        <f>IF(ISNUMBER(B597),INT(B597),0)</f>
        <v/>
      </c>
      <c r="N597">
        <f>IF(OR(C597="",F597="",Q597=0),0,IF(COUNTIFS(C$6:C597,C597,F$6:F597,F597,Q$6:Q597,1)=1,1,0))</f>
        <v/>
      </c>
      <c r="O597">
        <f>IF(OR(C597="",Q597=0,H597&lt;&gt;""),"",M597*10000+ROW())</f>
        <v/>
      </c>
      <c r="P597">
        <f>IF(OR(C597="",Q597=0),"",IF(AND(C597=Statement!$C$4,K597=Statement!$C$5),M597*10000+ROW(),""))</f>
        <v/>
      </c>
      <c r="Q597">
        <f>IF(AND(ISNUMBER(B597),OR(N(D597)&gt;0,G597&lt;&gt;"")),1,0)</f>
        <v/>
      </c>
    </row>
    <row r="598">
      <c r="A598" s="1" t="n"/>
      <c r="B598" s="21" t="n"/>
      <c r="C598" s="22" t="n"/>
      <c r="D598" s="23" t="n"/>
      <c r="E598" s="24" t="n"/>
      <c r="F598" s="25" t="n"/>
      <c r="G598" s="25" t="n"/>
      <c r="H598" s="24" t="n"/>
      <c r="I598" s="25" t="n"/>
      <c r="J598" s="17">
        <f>IF(AND(C598="",D598="",G598=""),"",IF(NOT(ISNUMBER(B598)),"Needs a date",IF(AND(D598&lt;&gt;"",NOT(ISNUMBER(D598))),"Amount not a number",IF(N(D598)&lt;0,"Amount below zero",IF(AND(N(D598)=0,G598=""),"Needs an amount or goods",IF(C598="","",IF(COUNTIF(Donors!$B$6:$B$305,C598)=0,"Not on Donors","")))))))</f>
        <v/>
      </c>
      <c r="K598" s="1">
        <f>IF(ISNUMBER(B598),YEAR(B598),"")</f>
        <v/>
      </c>
      <c r="L598">
        <f>IF(ISNUMBER(B598),YEAR(B598)*100+MONTH(B598),"")</f>
        <v/>
      </c>
      <c r="M598">
        <f>IF(ISNUMBER(B598),INT(B598),0)</f>
        <v/>
      </c>
      <c r="N598">
        <f>IF(OR(C598="",F598="",Q598=0),0,IF(COUNTIFS(C$6:C598,C598,F$6:F598,F598,Q$6:Q598,1)=1,1,0))</f>
        <v/>
      </c>
      <c r="O598">
        <f>IF(OR(C598="",Q598=0,H598&lt;&gt;""),"",M598*10000+ROW())</f>
        <v/>
      </c>
      <c r="P598">
        <f>IF(OR(C598="",Q598=0),"",IF(AND(C598=Statement!$C$4,K598=Statement!$C$5),M598*10000+ROW(),""))</f>
        <v/>
      </c>
      <c r="Q598">
        <f>IF(AND(ISNUMBER(B598),OR(N(D598)&gt;0,G598&lt;&gt;"")),1,0)</f>
        <v/>
      </c>
    </row>
    <row r="599">
      <c r="A599" s="1" t="n"/>
      <c r="B599" s="21" t="n"/>
      <c r="C599" s="22" t="n"/>
      <c r="D599" s="23" t="n"/>
      <c r="E599" s="24" t="n"/>
      <c r="F599" s="25" t="n"/>
      <c r="G599" s="25" t="n"/>
      <c r="H599" s="24" t="n"/>
      <c r="I599" s="25" t="n"/>
      <c r="J599" s="17">
        <f>IF(AND(C599="",D599="",G599=""),"",IF(NOT(ISNUMBER(B599)),"Needs a date",IF(AND(D599&lt;&gt;"",NOT(ISNUMBER(D599))),"Amount not a number",IF(N(D599)&lt;0,"Amount below zero",IF(AND(N(D599)=0,G599=""),"Needs an amount or goods",IF(C599="","",IF(COUNTIF(Donors!$B$6:$B$305,C599)=0,"Not on Donors","")))))))</f>
        <v/>
      </c>
      <c r="K599" s="1">
        <f>IF(ISNUMBER(B599),YEAR(B599),"")</f>
        <v/>
      </c>
      <c r="L599">
        <f>IF(ISNUMBER(B599),YEAR(B599)*100+MONTH(B599),"")</f>
        <v/>
      </c>
      <c r="M599">
        <f>IF(ISNUMBER(B599),INT(B599),0)</f>
        <v/>
      </c>
      <c r="N599">
        <f>IF(OR(C599="",F599="",Q599=0),0,IF(COUNTIFS(C$6:C599,C599,F$6:F599,F599,Q$6:Q599,1)=1,1,0))</f>
        <v/>
      </c>
      <c r="O599">
        <f>IF(OR(C599="",Q599=0,H599&lt;&gt;""),"",M599*10000+ROW())</f>
        <v/>
      </c>
      <c r="P599">
        <f>IF(OR(C599="",Q599=0),"",IF(AND(C599=Statement!$C$4,K599=Statement!$C$5),M599*10000+ROW(),""))</f>
        <v/>
      </c>
      <c r="Q599">
        <f>IF(AND(ISNUMBER(B599),OR(N(D599)&gt;0,G599&lt;&gt;"")),1,0)</f>
        <v/>
      </c>
    </row>
    <row r="600">
      <c r="A600" s="1" t="n"/>
      <c r="B600" s="21" t="n"/>
      <c r="C600" s="22" t="n"/>
      <c r="D600" s="23" t="n"/>
      <c r="E600" s="24" t="n"/>
      <c r="F600" s="25" t="n"/>
      <c r="G600" s="25" t="n"/>
      <c r="H600" s="24" t="n"/>
      <c r="I600" s="25" t="n"/>
      <c r="J600" s="17">
        <f>IF(AND(C600="",D600="",G600=""),"",IF(NOT(ISNUMBER(B600)),"Needs a date",IF(AND(D600&lt;&gt;"",NOT(ISNUMBER(D600))),"Amount not a number",IF(N(D600)&lt;0,"Amount below zero",IF(AND(N(D600)=0,G600=""),"Needs an amount or goods",IF(C600="","",IF(COUNTIF(Donors!$B$6:$B$305,C600)=0,"Not on Donors","")))))))</f>
        <v/>
      </c>
      <c r="K600" s="1">
        <f>IF(ISNUMBER(B600),YEAR(B600),"")</f>
        <v/>
      </c>
      <c r="L600">
        <f>IF(ISNUMBER(B600),YEAR(B600)*100+MONTH(B600),"")</f>
        <v/>
      </c>
      <c r="M600">
        <f>IF(ISNUMBER(B600),INT(B600),0)</f>
        <v/>
      </c>
      <c r="N600">
        <f>IF(OR(C600="",F600="",Q600=0),0,IF(COUNTIFS(C$6:C600,C600,F$6:F600,F600,Q$6:Q600,1)=1,1,0))</f>
        <v/>
      </c>
      <c r="O600">
        <f>IF(OR(C600="",Q600=0,H600&lt;&gt;""),"",M600*10000+ROW())</f>
        <v/>
      </c>
      <c r="P600">
        <f>IF(OR(C600="",Q600=0),"",IF(AND(C600=Statement!$C$4,K600=Statement!$C$5),M600*10000+ROW(),""))</f>
        <v/>
      </c>
      <c r="Q600">
        <f>IF(AND(ISNUMBER(B600),OR(N(D600)&gt;0,G600&lt;&gt;"")),1,0)</f>
        <v/>
      </c>
    </row>
    <row r="601">
      <c r="A601" s="1" t="n"/>
      <c r="B601" s="21" t="n"/>
      <c r="C601" s="22" t="n"/>
      <c r="D601" s="23" t="n"/>
      <c r="E601" s="24" t="n"/>
      <c r="F601" s="25" t="n"/>
      <c r="G601" s="25" t="n"/>
      <c r="H601" s="24" t="n"/>
      <c r="I601" s="25" t="n"/>
      <c r="J601" s="17">
        <f>IF(AND(C601="",D601="",G601=""),"",IF(NOT(ISNUMBER(B601)),"Needs a date",IF(AND(D601&lt;&gt;"",NOT(ISNUMBER(D601))),"Amount not a number",IF(N(D601)&lt;0,"Amount below zero",IF(AND(N(D601)=0,G601=""),"Needs an amount or goods",IF(C601="","",IF(COUNTIF(Donors!$B$6:$B$305,C601)=0,"Not on Donors","")))))))</f>
        <v/>
      </c>
      <c r="K601" s="1">
        <f>IF(ISNUMBER(B601),YEAR(B601),"")</f>
        <v/>
      </c>
      <c r="L601">
        <f>IF(ISNUMBER(B601),YEAR(B601)*100+MONTH(B601),"")</f>
        <v/>
      </c>
      <c r="M601">
        <f>IF(ISNUMBER(B601),INT(B601),0)</f>
        <v/>
      </c>
      <c r="N601">
        <f>IF(OR(C601="",F601="",Q601=0),0,IF(COUNTIFS(C$6:C601,C601,F$6:F601,F601,Q$6:Q601,1)=1,1,0))</f>
        <v/>
      </c>
      <c r="O601">
        <f>IF(OR(C601="",Q601=0,H601&lt;&gt;""),"",M601*10000+ROW())</f>
        <v/>
      </c>
      <c r="P601">
        <f>IF(OR(C601="",Q601=0),"",IF(AND(C601=Statement!$C$4,K601=Statement!$C$5),M601*10000+ROW(),""))</f>
        <v/>
      </c>
      <c r="Q601">
        <f>IF(AND(ISNUMBER(B601),OR(N(D601)&gt;0,G601&lt;&gt;"")),1,0)</f>
        <v/>
      </c>
    </row>
    <row r="602">
      <c r="A602" s="1" t="n"/>
      <c r="B602" s="21" t="n"/>
      <c r="C602" s="22" t="n"/>
      <c r="D602" s="23" t="n"/>
      <c r="E602" s="24" t="n"/>
      <c r="F602" s="25" t="n"/>
      <c r="G602" s="25" t="n"/>
      <c r="H602" s="24" t="n"/>
      <c r="I602" s="25" t="n"/>
      <c r="J602" s="17">
        <f>IF(AND(C602="",D602="",G602=""),"",IF(NOT(ISNUMBER(B602)),"Needs a date",IF(AND(D602&lt;&gt;"",NOT(ISNUMBER(D602))),"Amount not a number",IF(N(D602)&lt;0,"Amount below zero",IF(AND(N(D602)=0,G602=""),"Needs an amount or goods",IF(C602="","",IF(COUNTIF(Donors!$B$6:$B$305,C602)=0,"Not on Donors","")))))))</f>
        <v/>
      </c>
      <c r="K602" s="1">
        <f>IF(ISNUMBER(B602),YEAR(B602),"")</f>
        <v/>
      </c>
      <c r="L602">
        <f>IF(ISNUMBER(B602),YEAR(B602)*100+MONTH(B602),"")</f>
        <v/>
      </c>
      <c r="M602">
        <f>IF(ISNUMBER(B602),INT(B602),0)</f>
        <v/>
      </c>
      <c r="N602">
        <f>IF(OR(C602="",F602="",Q602=0),0,IF(COUNTIFS(C$6:C602,C602,F$6:F602,F602,Q$6:Q602,1)=1,1,0))</f>
        <v/>
      </c>
      <c r="O602">
        <f>IF(OR(C602="",Q602=0,H602&lt;&gt;""),"",M602*10000+ROW())</f>
        <v/>
      </c>
      <c r="P602">
        <f>IF(OR(C602="",Q602=0),"",IF(AND(C602=Statement!$C$4,K602=Statement!$C$5),M602*10000+ROW(),""))</f>
        <v/>
      </c>
      <c r="Q602">
        <f>IF(AND(ISNUMBER(B602),OR(N(D602)&gt;0,G602&lt;&gt;"")),1,0)</f>
        <v/>
      </c>
    </row>
    <row r="603">
      <c r="A603" s="1" t="n"/>
      <c r="B603" s="21" t="n"/>
      <c r="C603" s="22" t="n"/>
      <c r="D603" s="23" t="n"/>
      <c r="E603" s="24" t="n"/>
      <c r="F603" s="25" t="n"/>
      <c r="G603" s="25" t="n"/>
      <c r="H603" s="24" t="n"/>
      <c r="I603" s="25" t="n"/>
      <c r="J603" s="17">
        <f>IF(AND(C603="",D603="",G603=""),"",IF(NOT(ISNUMBER(B603)),"Needs a date",IF(AND(D603&lt;&gt;"",NOT(ISNUMBER(D603))),"Amount not a number",IF(N(D603)&lt;0,"Amount below zero",IF(AND(N(D603)=0,G603=""),"Needs an amount or goods",IF(C603="","",IF(COUNTIF(Donors!$B$6:$B$305,C603)=0,"Not on Donors","")))))))</f>
        <v/>
      </c>
      <c r="K603" s="1">
        <f>IF(ISNUMBER(B603),YEAR(B603),"")</f>
        <v/>
      </c>
      <c r="L603">
        <f>IF(ISNUMBER(B603),YEAR(B603)*100+MONTH(B603),"")</f>
        <v/>
      </c>
      <c r="M603">
        <f>IF(ISNUMBER(B603),INT(B603),0)</f>
        <v/>
      </c>
      <c r="N603">
        <f>IF(OR(C603="",F603="",Q603=0),0,IF(COUNTIFS(C$6:C603,C603,F$6:F603,F603,Q$6:Q603,1)=1,1,0))</f>
        <v/>
      </c>
      <c r="O603">
        <f>IF(OR(C603="",Q603=0,H603&lt;&gt;""),"",M603*10000+ROW())</f>
        <v/>
      </c>
      <c r="P603">
        <f>IF(OR(C603="",Q603=0),"",IF(AND(C603=Statement!$C$4,K603=Statement!$C$5),M603*10000+ROW(),""))</f>
        <v/>
      </c>
      <c r="Q603">
        <f>IF(AND(ISNUMBER(B603),OR(N(D603)&gt;0,G603&lt;&gt;"")),1,0)</f>
        <v/>
      </c>
    </row>
    <row r="604">
      <c r="A604" s="1" t="n"/>
      <c r="B604" s="21" t="n"/>
      <c r="C604" s="22" t="n"/>
      <c r="D604" s="23" t="n"/>
      <c r="E604" s="24" t="n"/>
      <c r="F604" s="25" t="n"/>
      <c r="G604" s="25" t="n"/>
      <c r="H604" s="24" t="n"/>
      <c r="I604" s="25" t="n"/>
      <c r="J604" s="17">
        <f>IF(AND(C604="",D604="",G604=""),"",IF(NOT(ISNUMBER(B604)),"Needs a date",IF(AND(D604&lt;&gt;"",NOT(ISNUMBER(D604))),"Amount not a number",IF(N(D604)&lt;0,"Amount below zero",IF(AND(N(D604)=0,G604=""),"Needs an amount or goods",IF(C604="","",IF(COUNTIF(Donors!$B$6:$B$305,C604)=0,"Not on Donors","")))))))</f>
        <v/>
      </c>
      <c r="K604" s="1">
        <f>IF(ISNUMBER(B604),YEAR(B604),"")</f>
        <v/>
      </c>
      <c r="L604">
        <f>IF(ISNUMBER(B604),YEAR(B604)*100+MONTH(B604),"")</f>
        <v/>
      </c>
      <c r="M604">
        <f>IF(ISNUMBER(B604),INT(B604),0)</f>
        <v/>
      </c>
      <c r="N604">
        <f>IF(OR(C604="",F604="",Q604=0),0,IF(COUNTIFS(C$6:C604,C604,F$6:F604,F604,Q$6:Q604,1)=1,1,0))</f>
        <v/>
      </c>
      <c r="O604">
        <f>IF(OR(C604="",Q604=0,H604&lt;&gt;""),"",M604*10000+ROW())</f>
        <v/>
      </c>
      <c r="P604">
        <f>IF(OR(C604="",Q604=0),"",IF(AND(C604=Statement!$C$4,K604=Statement!$C$5),M604*10000+ROW(),""))</f>
        <v/>
      </c>
      <c r="Q604">
        <f>IF(AND(ISNUMBER(B604),OR(N(D604)&gt;0,G604&lt;&gt;"")),1,0)</f>
        <v/>
      </c>
    </row>
    <row r="605">
      <c r="A605" s="1" t="n"/>
      <c r="B605" s="21" t="n"/>
      <c r="C605" s="22" t="n"/>
      <c r="D605" s="23" t="n"/>
      <c r="E605" s="24" t="n"/>
      <c r="F605" s="25" t="n"/>
      <c r="G605" s="25" t="n"/>
      <c r="H605" s="24" t="n"/>
      <c r="I605" s="25" t="n"/>
      <c r="J605" s="17">
        <f>IF(AND(C605="",D605="",G605=""),"",IF(NOT(ISNUMBER(B605)),"Needs a date",IF(AND(D605&lt;&gt;"",NOT(ISNUMBER(D605))),"Amount not a number",IF(N(D605)&lt;0,"Amount below zero",IF(AND(N(D605)=0,G605=""),"Needs an amount or goods",IF(C605="","",IF(COUNTIF(Donors!$B$6:$B$305,C605)=0,"Not on Donors","")))))))</f>
        <v/>
      </c>
      <c r="K605" s="1">
        <f>IF(ISNUMBER(B605),YEAR(B605),"")</f>
        <v/>
      </c>
      <c r="L605">
        <f>IF(ISNUMBER(B605),YEAR(B605)*100+MONTH(B605),"")</f>
        <v/>
      </c>
      <c r="M605">
        <f>IF(ISNUMBER(B605),INT(B605),0)</f>
        <v/>
      </c>
      <c r="N605">
        <f>IF(OR(C605="",F605="",Q605=0),0,IF(COUNTIFS(C$6:C605,C605,F$6:F605,F605,Q$6:Q605,1)=1,1,0))</f>
        <v/>
      </c>
      <c r="O605">
        <f>IF(OR(C605="",Q605=0,H605&lt;&gt;""),"",M605*10000+ROW())</f>
        <v/>
      </c>
      <c r="P605">
        <f>IF(OR(C605="",Q605=0),"",IF(AND(C605=Statement!$C$4,K605=Statement!$C$5),M605*10000+ROW(),""))</f>
        <v/>
      </c>
      <c r="Q605">
        <f>IF(AND(ISNUMBER(B605),OR(N(D605)&gt;0,G605&lt;&gt;"")),1,0)</f>
        <v/>
      </c>
    </row>
    <row r="606">
      <c r="A606" s="1" t="n"/>
      <c r="B606" s="21" t="n"/>
      <c r="C606" s="22" t="n"/>
      <c r="D606" s="23" t="n"/>
      <c r="E606" s="24" t="n"/>
      <c r="F606" s="25" t="n"/>
      <c r="G606" s="25" t="n"/>
      <c r="H606" s="24" t="n"/>
      <c r="I606" s="25" t="n"/>
      <c r="J606" s="17">
        <f>IF(AND(C606="",D606="",G606=""),"",IF(NOT(ISNUMBER(B606)),"Needs a date",IF(AND(D606&lt;&gt;"",NOT(ISNUMBER(D606))),"Amount not a number",IF(N(D606)&lt;0,"Amount below zero",IF(AND(N(D606)=0,G606=""),"Needs an amount or goods",IF(C606="","",IF(COUNTIF(Donors!$B$6:$B$305,C606)=0,"Not on Donors","")))))))</f>
        <v/>
      </c>
      <c r="K606" s="1">
        <f>IF(ISNUMBER(B606),YEAR(B606),"")</f>
        <v/>
      </c>
      <c r="L606">
        <f>IF(ISNUMBER(B606),YEAR(B606)*100+MONTH(B606),"")</f>
        <v/>
      </c>
      <c r="M606">
        <f>IF(ISNUMBER(B606),INT(B606),0)</f>
        <v/>
      </c>
      <c r="N606">
        <f>IF(OR(C606="",F606="",Q606=0),0,IF(COUNTIFS(C$6:C606,C606,F$6:F606,F606,Q$6:Q606,1)=1,1,0))</f>
        <v/>
      </c>
      <c r="O606">
        <f>IF(OR(C606="",Q606=0,H606&lt;&gt;""),"",M606*10000+ROW())</f>
        <v/>
      </c>
      <c r="P606">
        <f>IF(OR(C606="",Q606=0),"",IF(AND(C606=Statement!$C$4,K606=Statement!$C$5),M606*10000+ROW(),""))</f>
        <v/>
      </c>
      <c r="Q606">
        <f>IF(AND(ISNUMBER(B606),OR(N(D606)&gt;0,G606&lt;&gt;"")),1,0)</f>
        <v/>
      </c>
    </row>
    <row r="607">
      <c r="A607" s="1" t="n"/>
      <c r="B607" s="21" t="n"/>
      <c r="C607" s="22" t="n"/>
      <c r="D607" s="23" t="n"/>
      <c r="E607" s="24" t="n"/>
      <c r="F607" s="25" t="n"/>
      <c r="G607" s="25" t="n"/>
      <c r="H607" s="24" t="n"/>
      <c r="I607" s="25" t="n"/>
      <c r="J607" s="17">
        <f>IF(AND(C607="",D607="",G607=""),"",IF(NOT(ISNUMBER(B607)),"Needs a date",IF(AND(D607&lt;&gt;"",NOT(ISNUMBER(D607))),"Amount not a number",IF(N(D607)&lt;0,"Amount below zero",IF(AND(N(D607)=0,G607=""),"Needs an amount or goods",IF(C607="","",IF(COUNTIF(Donors!$B$6:$B$305,C607)=0,"Not on Donors","")))))))</f>
        <v/>
      </c>
      <c r="K607" s="1">
        <f>IF(ISNUMBER(B607),YEAR(B607),"")</f>
        <v/>
      </c>
      <c r="L607">
        <f>IF(ISNUMBER(B607),YEAR(B607)*100+MONTH(B607),"")</f>
        <v/>
      </c>
      <c r="M607">
        <f>IF(ISNUMBER(B607),INT(B607),0)</f>
        <v/>
      </c>
      <c r="N607">
        <f>IF(OR(C607="",F607="",Q607=0),0,IF(COUNTIFS(C$6:C607,C607,F$6:F607,F607,Q$6:Q607,1)=1,1,0))</f>
        <v/>
      </c>
      <c r="O607">
        <f>IF(OR(C607="",Q607=0,H607&lt;&gt;""),"",M607*10000+ROW())</f>
        <v/>
      </c>
      <c r="P607">
        <f>IF(OR(C607="",Q607=0),"",IF(AND(C607=Statement!$C$4,K607=Statement!$C$5),M607*10000+ROW(),""))</f>
        <v/>
      </c>
      <c r="Q607">
        <f>IF(AND(ISNUMBER(B607),OR(N(D607)&gt;0,G607&lt;&gt;"")),1,0)</f>
        <v/>
      </c>
    </row>
    <row r="608">
      <c r="A608" s="1" t="n"/>
      <c r="B608" s="21" t="n"/>
      <c r="C608" s="22" t="n"/>
      <c r="D608" s="23" t="n"/>
      <c r="E608" s="24" t="n"/>
      <c r="F608" s="25" t="n"/>
      <c r="G608" s="25" t="n"/>
      <c r="H608" s="24" t="n"/>
      <c r="I608" s="25" t="n"/>
      <c r="J608" s="17">
        <f>IF(AND(C608="",D608="",G608=""),"",IF(NOT(ISNUMBER(B608)),"Needs a date",IF(AND(D608&lt;&gt;"",NOT(ISNUMBER(D608))),"Amount not a number",IF(N(D608)&lt;0,"Amount below zero",IF(AND(N(D608)=0,G608=""),"Needs an amount or goods",IF(C608="","",IF(COUNTIF(Donors!$B$6:$B$305,C608)=0,"Not on Donors","")))))))</f>
        <v/>
      </c>
      <c r="K608" s="1">
        <f>IF(ISNUMBER(B608),YEAR(B608),"")</f>
        <v/>
      </c>
      <c r="L608">
        <f>IF(ISNUMBER(B608),YEAR(B608)*100+MONTH(B608),"")</f>
        <v/>
      </c>
      <c r="M608">
        <f>IF(ISNUMBER(B608),INT(B608),0)</f>
        <v/>
      </c>
      <c r="N608">
        <f>IF(OR(C608="",F608="",Q608=0),0,IF(COUNTIFS(C$6:C608,C608,F$6:F608,F608,Q$6:Q608,1)=1,1,0))</f>
        <v/>
      </c>
      <c r="O608">
        <f>IF(OR(C608="",Q608=0,H608&lt;&gt;""),"",M608*10000+ROW())</f>
        <v/>
      </c>
      <c r="P608">
        <f>IF(OR(C608="",Q608=0),"",IF(AND(C608=Statement!$C$4,K608=Statement!$C$5),M608*10000+ROW(),""))</f>
        <v/>
      </c>
      <c r="Q608">
        <f>IF(AND(ISNUMBER(B608),OR(N(D608)&gt;0,G608&lt;&gt;"")),1,0)</f>
        <v/>
      </c>
    </row>
    <row r="609">
      <c r="A609" s="1" t="n"/>
      <c r="B609" s="21" t="n"/>
      <c r="C609" s="22" t="n"/>
      <c r="D609" s="23" t="n"/>
      <c r="E609" s="24" t="n"/>
      <c r="F609" s="25" t="n"/>
      <c r="G609" s="25" t="n"/>
      <c r="H609" s="24" t="n"/>
      <c r="I609" s="25" t="n"/>
      <c r="J609" s="17">
        <f>IF(AND(C609="",D609="",G609=""),"",IF(NOT(ISNUMBER(B609)),"Needs a date",IF(AND(D609&lt;&gt;"",NOT(ISNUMBER(D609))),"Amount not a number",IF(N(D609)&lt;0,"Amount below zero",IF(AND(N(D609)=0,G609=""),"Needs an amount or goods",IF(C609="","",IF(COUNTIF(Donors!$B$6:$B$305,C609)=0,"Not on Donors","")))))))</f>
        <v/>
      </c>
      <c r="K609" s="1">
        <f>IF(ISNUMBER(B609),YEAR(B609),"")</f>
        <v/>
      </c>
      <c r="L609">
        <f>IF(ISNUMBER(B609),YEAR(B609)*100+MONTH(B609),"")</f>
        <v/>
      </c>
      <c r="M609">
        <f>IF(ISNUMBER(B609),INT(B609),0)</f>
        <v/>
      </c>
      <c r="N609">
        <f>IF(OR(C609="",F609="",Q609=0),0,IF(COUNTIFS(C$6:C609,C609,F$6:F609,F609,Q$6:Q609,1)=1,1,0))</f>
        <v/>
      </c>
      <c r="O609">
        <f>IF(OR(C609="",Q609=0,H609&lt;&gt;""),"",M609*10000+ROW())</f>
        <v/>
      </c>
      <c r="P609">
        <f>IF(OR(C609="",Q609=0),"",IF(AND(C609=Statement!$C$4,K609=Statement!$C$5),M609*10000+ROW(),""))</f>
        <v/>
      </c>
      <c r="Q609">
        <f>IF(AND(ISNUMBER(B609),OR(N(D609)&gt;0,G609&lt;&gt;"")),1,0)</f>
        <v/>
      </c>
    </row>
    <row r="610">
      <c r="A610" s="1" t="n"/>
      <c r="B610" s="21" t="n"/>
      <c r="C610" s="22" t="n"/>
      <c r="D610" s="23" t="n"/>
      <c r="E610" s="24" t="n"/>
      <c r="F610" s="25" t="n"/>
      <c r="G610" s="25" t="n"/>
      <c r="H610" s="24" t="n"/>
      <c r="I610" s="25" t="n"/>
      <c r="J610" s="17">
        <f>IF(AND(C610="",D610="",G610=""),"",IF(NOT(ISNUMBER(B610)),"Needs a date",IF(AND(D610&lt;&gt;"",NOT(ISNUMBER(D610))),"Amount not a number",IF(N(D610)&lt;0,"Amount below zero",IF(AND(N(D610)=0,G610=""),"Needs an amount or goods",IF(C610="","",IF(COUNTIF(Donors!$B$6:$B$305,C610)=0,"Not on Donors","")))))))</f>
        <v/>
      </c>
      <c r="K610" s="1">
        <f>IF(ISNUMBER(B610),YEAR(B610),"")</f>
        <v/>
      </c>
      <c r="L610">
        <f>IF(ISNUMBER(B610),YEAR(B610)*100+MONTH(B610),"")</f>
        <v/>
      </c>
      <c r="M610">
        <f>IF(ISNUMBER(B610),INT(B610),0)</f>
        <v/>
      </c>
      <c r="N610">
        <f>IF(OR(C610="",F610="",Q610=0),0,IF(COUNTIFS(C$6:C610,C610,F$6:F610,F610,Q$6:Q610,1)=1,1,0))</f>
        <v/>
      </c>
      <c r="O610">
        <f>IF(OR(C610="",Q610=0,H610&lt;&gt;""),"",M610*10000+ROW())</f>
        <v/>
      </c>
      <c r="P610">
        <f>IF(OR(C610="",Q610=0),"",IF(AND(C610=Statement!$C$4,K610=Statement!$C$5),M610*10000+ROW(),""))</f>
        <v/>
      </c>
      <c r="Q610">
        <f>IF(AND(ISNUMBER(B610),OR(N(D610)&gt;0,G610&lt;&gt;"")),1,0)</f>
        <v/>
      </c>
    </row>
    <row r="611">
      <c r="A611" s="1" t="n"/>
      <c r="B611" s="21" t="n"/>
      <c r="C611" s="22" t="n"/>
      <c r="D611" s="23" t="n"/>
      <c r="E611" s="24" t="n"/>
      <c r="F611" s="25" t="n"/>
      <c r="G611" s="25" t="n"/>
      <c r="H611" s="24" t="n"/>
      <c r="I611" s="25" t="n"/>
      <c r="J611" s="17">
        <f>IF(AND(C611="",D611="",G611=""),"",IF(NOT(ISNUMBER(B611)),"Needs a date",IF(AND(D611&lt;&gt;"",NOT(ISNUMBER(D611))),"Amount not a number",IF(N(D611)&lt;0,"Amount below zero",IF(AND(N(D611)=0,G611=""),"Needs an amount or goods",IF(C611="","",IF(COUNTIF(Donors!$B$6:$B$305,C611)=0,"Not on Donors","")))))))</f>
        <v/>
      </c>
      <c r="K611" s="1">
        <f>IF(ISNUMBER(B611),YEAR(B611),"")</f>
        <v/>
      </c>
      <c r="L611">
        <f>IF(ISNUMBER(B611),YEAR(B611)*100+MONTH(B611),"")</f>
        <v/>
      </c>
      <c r="M611">
        <f>IF(ISNUMBER(B611),INT(B611),0)</f>
        <v/>
      </c>
      <c r="N611">
        <f>IF(OR(C611="",F611="",Q611=0),0,IF(COUNTIFS(C$6:C611,C611,F$6:F611,F611,Q$6:Q611,1)=1,1,0))</f>
        <v/>
      </c>
      <c r="O611">
        <f>IF(OR(C611="",Q611=0,H611&lt;&gt;""),"",M611*10000+ROW())</f>
        <v/>
      </c>
      <c r="P611">
        <f>IF(OR(C611="",Q611=0),"",IF(AND(C611=Statement!$C$4,K611=Statement!$C$5),M611*10000+ROW(),""))</f>
        <v/>
      </c>
      <c r="Q611">
        <f>IF(AND(ISNUMBER(B611),OR(N(D611)&gt;0,G611&lt;&gt;"")),1,0)</f>
        <v/>
      </c>
    </row>
    <row r="612">
      <c r="A612" s="1" t="n"/>
      <c r="B612" s="21" t="n"/>
      <c r="C612" s="22" t="n"/>
      <c r="D612" s="23" t="n"/>
      <c r="E612" s="24" t="n"/>
      <c r="F612" s="25" t="n"/>
      <c r="G612" s="25" t="n"/>
      <c r="H612" s="24" t="n"/>
      <c r="I612" s="25" t="n"/>
      <c r="J612" s="17">
        <f>IF(AND(C612="",D612="",G612=""),"",IF(NOT(ISNUMBER(B612)),"Needs a date",IF(AND(D612&lt;&gt;"",NOT(ISNUMBER(D612))),"Amount not a number",IF(N(D612)&lt;0,"Amount below zero",IF(AND(N(D612)=0,G612=""),"Needs an amount or goods",IF(C612="","",IF(COUNTIF(Donors!$B$6:$B$305,C612)=0,"Not on Donors","")))))))</f>
        <v/>
      </c>
      <c r="K612" s="1">
        <f>IF(ISNUMBER(B612),YEAR(B612),"")</f>
        <v/>
      </c>
      <c r="L612">
        <f>IF(ISNUMBER(B612),YEAR(B612)*100+MONTH(B612),"")</f>
        <v/>
      </c>
      <c r="M612">
        <f>IF(ISNUMBER(B612),INT(B612),0)</f>
        <v/>
      </c>
      <c r="N612">
        <f>IF(OR(C612="",F612="",Q612=0),0,IF(COUNTIFS(C$6:C612,C612,F$6:F612,F612,Q$6:Q612,1)=1,1,0))</f>
        <v/>
      </c>
      <c r="O612">
        <f>IF(OR(C612="",Q612=0,H612&lt;&gt;""),"",M612*10000+ROW())</f>
        <v/>
      </c>
      <c r="P612">
        <f>IF(OR(C612="",Q612=0),"",IF(AND(C612=Statement!$C$4,K612=Statement!$C$5),M612*10000+ROW(),""))</f>
        <v/>
      </c>
      <c r="Q612">
        <f>IF(AND(ISNUMBER(B612),OR(N(D612)&gt;0,G612&lt;&gt;"")),1,0)</f>
        <v/>
      </c>
    </row>
    <row r="613">
      <c r="A613" s="1" t="n"/>
      <c r="B613" s="21" t="n"/>
      <c r="C613" s="22" t="n"/>
      <c r="D613" s="23" t="n"/>
      <c r="E613" s="24" t="n"/>
      <c r="F613" s="25" t="n"/>
      <c r="G613" s="25" t="n"/>
      <c r="H613" s="24" t="n"/>
      <c r="I613" s="25" t="n"/>
      <c r="J613" s="17">
        <f>IF(AND(C613="",D613="",G613=""),"",IF(NOT(ISNUMBER(B613)),"Needs a date",IF(AND(D613&lt;&gt;"",NOT(ISNUMBER(D613))),"Amount not a number",IF(N(D613)&lt;0,"Amount below zero",IF(AND(N(D613)=0,G613=""),"Needs an amount or goods",IF(C613="","",IF(COUNTIF(Donors!$B$6:$B$305,C613)=0,"Not on Donors","")))))))</f>
        <v/>
      </c>
      <c r="K613" s="1">
        <f>IF(ISNUMBER(B613),YEAR(B613),"")</f>
        <v/>
      </c>
      <c r="L613">
        <f>IF(ISNUMBER(B613),YEAR(B613)*100+MONTH(B613),"")</f>
        <v/>
      </c>
      <c r="M613">
        <f>IF(ISNUMBER(B613),INT(B613),0)</f>
        <v/>
      </c>
      <c r="N613">
        <f>IF(OR(C613="",F613="",Q613=0),0,IF(COUNTIFS(C$6:C613,C613,F$6:F613,F613,Q$6:Q613,1)=1,1,0))</f>
        <v/>
      </c>
      <c r="O613">
        <f>IF(OR(C613="",Q613=0,H613&lt;&gt;""),"",M613*10000+ROW())</f>
        <v/>
      </c>
      <c r="P613">
        <f>IF(OR(C613="",Q613=0),"",IF(AND(C613=Statement!$C$4,K613=Statement!$C$5),M613*10000+ROW(),""))</f>
        <v/>
      </c>
      <c r="Q613">
        <f>IF(AND(ISNUMBER(B613),OR(N(D613)&gt;0,G613&lt;&gt;"")),1,0)</f>
        <v/>
      </c>
    </row>
    <row r="614">
      <c r="A614" s="1" t="n"/>
      <c r="B614" s="21" t="n"/>
      <c r="C614" s="22" t="n"/>
      <c r="D614" s="23" t="n"/>
      <c r="E614" s="24" t="n"/>
      <c r="F614" s="25" t="n"/>
      <c r="G614" s="25" t="n"/>
      <c r="H614" s="24" t="n"/>
      <c r="I614" s="25" t="n"/>
      <c r="J614" s="17">
        <f>IF(AND(C614="",D614="",G614=""),"",IF(NOT(ISNUMBER(B614)),"Needs a date",IF(AND(D614&lt;&gt;"",NOT(ISNUMBER(D614))),"Amount not a number",IF(N(D614)&lt;0,"Amount below zero",IF(AND(N(D614)=0,G614=""),"Needs an amount or goods",IF(C614="","",IF(COUNTIF(Donors!$B$6:$B$305,C614)=0,"Not on Donors","")))))))</f>
        <v/>
      </c>
      <c r="K614" s="1">
        <f>IF(ISNUMBER(B614),YEAR(B614),"")</f>
        <v/>
      </c>
      <c r="L614">
        <f>IF(ISNUMBER(B614),YEAR(B614)*100+MONTH(B614),"")</f>
        <v/>
      </c>
      <c r="M614">
        <f>IF(ISNUMBER(B614),INT(B614),0)</f>
        <v/>
      </c>
      <c r="N614">
        <f>IF(OR(C614="",F614="",Q614=0),0,IF(COUNTIFS(C$6:C614,C614,F$6:F614,F614,Q$6:Q614,1)=1,1,0))</f>
        <v/>
      </c>
      <c r="O614">
        <f>IF(OR(C614="",Q614=0,H614&lt;&gt;""),"",M614*10000+ROW())</f>
        <v/>
      </c>
      <c r="P614">
        <f>IF(OR(C614="",Q614=0),"",IF(AND(C614=Statement!$C$4,K614=Statement!$C$5),M614*10000+ROW(),""))</f>
        <v/>
      </c>
      <c r="Q614">
        <f>IF(AND(ISNUMBER(B614),OR(N(D614)&gt;0,G614&lt;&gt;"")),1,0)</f>
        <v/>
      </c>
    </row>
    <row r="615">
      <c r="A615" s="1" t="n"/>
      <c r="B615" s="21" t="n"/>
      <c r="C615" s="22" t="n"/>
      <c r="D615" s="23" t="n"/>
      <c r="E615" s="24" t="n"/>
      <c r="F615" s="25" t="n"/>
      <c r="G615" s="25" t="n"/>
      <c r="H615" s="24" t="n"/>
      <c r="I615" s="25" t="n"/>
      <c r="J615" s="17">
        <f>IF(AND(C615="",D615="",G615=""),"",IF(NOT(ISNUMBER(B615)),"Needs a date",IF(AND(D615&lt;&gt;"",NOT(ISNUMBER(D615))),"Amount not a number",IF(N(D615)&lt;0,"Amount below zero",IF(AND(N(D615)=0,G615=""),"Needs an amount or goods",IF(C615="","",IF(COUNTIF(Donors!$B$6:$B$305,C615)=0,"Not on Donors","")))))))</f>
        <v/>
      </c>
      <c r="K615" s="1">
        <f>IF(ISNUMBER(B615),YEAR(B615),"")</f>
        <v/>
      </c>
      <c r="L615">
        <f>IF(ISNUMBER(B615),YEAR(B615)*100+MONTH(B615),"")</f>
        <v/>
      </c>
      <c r="M615">
        <f>IF(ISNUMBER(B615),INT(B615),0)</f>
        <v/>
      </c>
      <c r="N615">
        <f>IF(OR(C615="",F615="",Q615=0),0,IF(COUNTIFS(C$6:C615,C615,F$6:F615,F615,Q$6:Q615,1)=1,1,0))</f>
        <v/>
      </c>
      <c r="O615">
        <f>IF(OR(C615="",Q615=0,H615&lt;&gt;""),"",M615*10000+ROW())</f>
        <v/>
      </c>
      <c r="P615">
        <f>IF(OR(C615="",Q615=0),"",IF(AND(C615=Statement!$C$4,K615=Statement!$C$5),M615*10000+ROW(),""))</f>
        <v/>
      </c>
      <c r="Q615">
        <f>IF(AND(ISNUMBER(B615),OR(N(D615)&gt;0,G615&lt;&gt;"")),1,0)</f>
        <v/>
      </c>
    </row>
    <row r="616">
      <c r="A616" s="1" t="n"/>
      <c r="B616" s="21" t="n"/>
      <c r="C616" s="22" t="n"/>
      <c r="D616" s="23" t="n"/>
      <c r="E616" s="24" t="n"/>
      <c r="F616" s="25" t="n"/>
      <c r="G616" s="25" t="n"/>
      <c r="H616" s="24" t="n"/>
      <c r="I616" s="25" t="n"/>
      <c r="J616" s="17">
        <f>IF(AND(C616="",D616="",G616=""),"",IF(NOT(ISNUMBER(B616)),"Needs a date",IF(AND(D616&lt;&gt;"",NOT(ISNUMBER(D616))),"Amount not a number",IF(N(D616)&lt;0,"Amount below zero",IF(AND(N(D616)=0,G616=""),"Needs an amount or goods",IF(C616="","",IF(COUNTIF(Donors!$B$6:$B$305,C616)=0,"Not on Donors","")))))))</f>
        <v/>
      </c>
      <c r="K616" s="1">
        <f>IF(ISNUMBER(B616),YEAR(B616),"")</f>
        <v/>
      </c>
      <c r="L616">
        <f>IF(ISNUMBER(B616),YEAR(B616)*100+MONTH(B616),"")</f>
        <v/>
      </c>
      <c r="M616">
        <f>IF(ISNUMBER(B616),INT(B616),0)</f>
        <v/>
      </c>
      <c r="N616">
        <f>IF(OR(C616="",F616="",Q616=0),0,IF(COUNTIFS(C$6:C616,C616,F$6:F616,F616,Q$6:Q616,1)=1,1,0))</f>
        <v/>
      </c>
      <c r="O616">
        <f>IF(OR(C616="",Q616=0,H616&lt;&gt;""),"",M616*10000+ROW())</f>
        <v/>
      </c>
      <c r="P616">
        <f>IF(OR(C616="",Q616=0),"",IF(AND(C616=Statement!$C$4,K616=Statement!$C$5),M616*10000+ROW(),""))</f>
        <v/>
      </c>
      <c r="Q616">
        <f>IF(AND(ISNUMBER(B616),OR(N(D616)&gt;0,G616&lt;&gt;"")),1,0)</f>
        <v/>
      </c>
    </row>
    <row r="617">
      <c r="A617" s="1" t="n"/>
      <c r="B617" s="21" t="n"/>
      <c r="C617" s="22" t="n"/>
      <c r="D617" s="23" t="n"/>
      <c r="E617" s="24" t="n"/>
      <c r="F617" s="25" t="n"/>
      <c r="G617" s="25" t="n"/>
      <c r="H617" s="24" t="n"/>
      <c r="I617" s="25" t="n"/>
      <c r="J617" s="17">
        <f>IF(AND(C617="",D617="",G617=""),"",IF(NOT(ISNUMBER(B617)),"Needs a date",IF(AND(D617&lt;&gt;"",NOT(ISNUMBER(D617))),"Amount not a number",IF(N(D617)&lt;0,"Amount below zero",IF(AND(N(D617)=0,G617=""),"Needs an amount or goods",IF(C617="","",IF(COUNTIF(Donors!$B$6:$B$305,C617)=0,"Not on Donors","")))))))</f>
        <v/>
      </c>
      <c r="K617" s="1">
        <f>IF(ISNUMBER(B617),YEAR(B617),"")</f>
        <v/>
      </c>
      <c r="L617">
        <f>IF(ISNUMBER(B617),YEAR(B617)*100+MONTH(B617),"")</f>
        <v/>
      </c>
      <c r="M617">
        <f>IF(ISNUMBER(B617),INT(B617),0)</f>
        <v/>
      </c>
      <c r="N617">
        <f>IF(OR(C617="",F617="",Q617=0),0,IF(COUNTIFS(C$6:C617,C617,F$6:F617,F617,Q$6:Q617,1)=1,1,0))</f>
        <v/>
      </c>
      <c r="O617">
        <f>IF(OR(C617="",Q617=0,H617&lt;&gt;""),"",M617*10000+ROW())</f>
        <v/>
      </c>
      <c r="P617">
        <f>IF(OR(C617="",Q617=0),"",IF(AND(C617=Statement!$C$4,K617=Statement!$C$5),M617*10000+ROW(),""))</f>
        <v/>
      </c>
      <c r="Q617">
        <f>IF(AND(ISNUMBER(B617),OR(N(D617)&gt;0,G617&lt;&gt;"")),1,0)</f>
        <v/>
      </c>
    </row>
    <row r="618">
      <c r="A618" s="1" t="n"/>
      <c r="B618" s="21" t="n"/>
      <c r="C618" s="22" t="n"/>
      <c r="D618" s="23" t="n"/>
      <c r="E618" s="24" t="n"/>
      <c r="F618" s="25" t="n"/>
      <c r="G618" s="25" t="n"/>
      <c r="H618" s="24" t="n"/>
      <c r="I618" s="25" t="n"/>
      <c r="J618" s="17">
        <f>IF(AND(C618="",D618="",G618=""),"",IF(NOT(ISNUMBER(B618)),"Needs a date",IF(AND(D618&lt;&gt;"",NOT(ISNUMBER(D618))),"Amount not a number",IF(N(D618)&lt;0,"Amount below zero",IF(AND(N(D618)=0,G618=""),"Needs an amount or goods",IF(C618="","",IF(COUNTIF(Donors!$B$6:$B$305,C618)=0,"Not on Donors","")))))))</f>
        <v/>
      </c>
      <c r="K618" s="1">
        <f>IF(ISNUMBER(B618),YEAR(B618),"")</f>
        <v/>
      </c>
      <c r="L618">
        <f>IF(ISNUMBER(B618),YEAR(B618)*100+MONTH(B618),"")</f>
        <v/>
      </c>
      <c r="M618">
        <f>IF(ISNUMBER(B618),INT(B618),0)</f>
        <v/>
      </c>
      <c r="N618">
        <f>IF(OR(C618="",F618="",Q618=0),0,IF(COUNTIFS(C$6:C618,C618,F$6:F618,F618,Q$6:Q618,1)=1,1,0))</f>
        <v/>
      </c>
      <c r="O618">
        <f>IF(OR(C618="",Q618=0,H618&lt;&gt;""),"",M618*10000+ROW())</f>
        <v/>
      </c>
      <c r="P618">
        <f>IF(OR(C618="",Q618=0),"",IF(AND(C618=Statement!$C$4,K618=Statement!$C$5),M618*10000+ROW(),""))</f>
        <v/>
      </c>
      <c r="Q618">
        <f>IF(AND(ISNUMBER(B618),OR(N(D618)&gt;0,G618&lt;&gt;"")),1,0)</f>
        <v/>
      </c>
    </row>
    <row r="619">
      <c r="A619" s="1" t="n"/>
      <c r="B619" s="21" t="n"/>
      <c r="C619" s="22" t="n"/>
      <c r="D619" s="23" t="n"/>
      <c r="E619" s="24" t="n"/>
      <c r="F619" s="25" t="n"/>
      <c r="G619" s="25" t="n"/>
      <c r="H619" s="24" t="n"/>
      <c r="I619" s="25" t="n"/>
      <c r="J619" s="17">
        <f>IF(AND(C619="",D619="",G619=""),"",IF(NOT(ISNUMBER(B619)),"Needs a date",IF(AND(D619&lt;&gt;"",NOT(ISNUMBER(D619))),"Amount not a number",IF(N(D619)&lt;0,"Amount below zero",IF(AND(N(D619)=0,G619=""),"Needs an amount or goods",IF(C619="","",IF(COUNTIF(Donors!$B$6:$B$305,C619)=0,"Not on Donors","")))))))</f>
        <v/>
      </c>
      <c r="K619" s="1">
        <f>IF(ISNUMBER(B619),YEAR(B619),"")</f>
        <v/>
      </c>
      <c r="L619">
        <f>IF(ISNUMBER(B619),YEAR(B619)*100+MONTH(B619),"")</f>
        <v/>
      </c>
      <c r="M619">
        <f>IF(ISNUMBER(B619),INT(B619),0)</f>
        <v/>
      </c>
      <c r="N619">
        <f>IF(OR(C619="",F619="",Q619=0),0,IF(COUNTIFS(C$6:C619,C619,F$6:F619,F619,Q$6:Q619,1)=1,1,0))</f>
        <v/>
      </c>
      <c r="O619">
        <f>IF(OR(C619="",Q619=0,H619&lt;&gt;""),"",M619*10000+ROW())</f>
        <v/>
      </c>
      <c r="P619">
        <f>IF(OR(C619="",Q619=0),"",IF(AND(C619=Statement!$C$4,K619=Statement!$C$5),M619*10000+ROW(),""))</f>
        <v/>
      </c>
      <c r="Q619">
        <f>IF(AND(ISNUMBER(B619),OR(N(D619)&gt;0,G619&lt;&gt;"")),1,0)</f>
        <v/>
      </c>
    </row>
    <row r="620">
      <c r="A620" s="1" t="n"/>
      <c r="B620" s="21" t="n"/>
      <c r="C620" s="22" t="n"/>
      <c r="D620" s="23" t="n"/>
      <c r="E620" s="24" t="n"/>
      <c r="F620" s="25" t="n"/>
      <c r="G620" s="25" t="n"/>
      <c r="H620" s="24" t="n"/>
      <c r="I620" s="25" t="n"/>
      <c r="J620" s="17">
        <f>IF(AND(C620="",D620="",G620=""),"",IF(NOT(ISNUMBER(B620)),"Needs a date",IF(AND(D620&lt;&gt;"",NOT(ISNUMBER(D620))),"Amount not a number",IF(N(D620)&lt;0,"Amount below zero",IF(AND(N(D620)=0,G620=""),"Needs an amount or goods",IF(C620="","",IF(COUNTIF(Donors!$B$6:$B$305,C620)=0,"Not on Donors","")))))))</f>
        <v/>
      </c>
      <c r="K620" s="1">
        <f>IF(ISNUMBER(B620),YEAR(B620),"")</f>
        <v/>
      </c>
      <c r="L620">
        <f>IF(ISNUMBER(B620),YEAR(B620)*100+MONTH(B620),"")</f>
        <v/>
      </c>
      <c r="M620">
        <f>IF(ISNUMBER(B620),INT(B620),0)</f>
        <v/>
      </c>
      <c r="N620">
        <f>IF(OR(C620="",F620="",Q620=0),0,IF(COUNTIFS(C$6:C620,C620,F$6:F620,F620,Q$6:Q620,1)=1,1,0))</f>
        <v/>
      </c>
      <c r="O620">
        <f>IF(OR(C620="",Q620=0,H620&lt;&gt;""),"",M620*10000+ROW())</f>
        <v/>
      </c>
      <c r="P620">
        <f>IF(OR(C620="",Q620=0),"",IF(AND(C620=Statement!$C$4,K620=Statement!$C$5),M620*10000+ROW(),""))</f>
        <v/>
      </c>
      <c r="Q620">
        <f>IF(AND(ISNUMBER(B620),OR(N(D620)&gt;0,G620&lt;&gt;"")),1,0)</f>
        <v/>
      </c>
    </row>
    <row r="621">
      <c r="A621" s="1" t="n"/>
      <c r="B621" s="21" t="n"/>
      <c r="C621" s="22" t="n"/>
      <c r="D621" s="23" t="n"/>
      <c r="E621" s="24" t="n"/>
      <c r="F621" s="25" t="n"/>
      <c r="G621" s="25" t="n"/>
      <c r="H621" s="24" t="n"/>
      <c r="I621" s="25" t="n"/>
      <c r="J621" s="17">
        <f>IF(AND(C621="",D621="",G621=""),"",IF(NOT(ISNUMBER(B621)),"Needs a date",IF(AND(D621&lt;&gt;"",NOT(ISNUMBER(D621))),"Amount not a number",IF(N(D621)&lt;0,"Amount below zero",IF(AND(N(D621)=0,G621=""),"Needs an amount or goods",IF(C621="","",IF(COUNTIF(Donors!$B$6:$B$305,C621)=0,"Not on Donors","")))))))</f>
        <v/>
      </c>
      <c r="K621" s="1">
        <f>IF(ISNUMBER(B621),YEAR(B621),"")</f>
        <v/>
      </c>
      <c r="L621">
        <f>IF(ISNUMBER(B621),YEAR(B621)*100+MONTH(B621),"")</f>
        <v/>
      </c>
      <c r="M621">
        <f>IF(ISNUMBER(B621),INT(B621),0)</f>
        <v/>
      </c>
      <c r="N621">
        <f>IF(OR(C621="",F621="",Q621=0),0,IF(COUNTIFS(C$6:C621,C621,F$6:F621,F621,Q$6:Q621,1)=1,1,0))</f>
        <v/>
      </c>
      <c r="O621">
        <f>IF(OR(C621="",Q621=0,H621&lt;&gt;""),"",M621*10000+ROW())</f>
        <v/>
      </c>
      <c r="P621">
        <f>IF(OR(C621="",Q621=0),"",IF(AND(C621=Statement!$C$4,K621=Statement!$C$5),M621*10000+ROW(),""))</f>
        <v/>
      </c>
      <c r="Q621">
        <f>IF(AND(ISNUMBER(B621),OR(N(D621)&gt;0,G621&lt;&gt;"")),1,0)</f>
        <v/>
      </c>
    </row>
    <row r="622">
      <c r="A622" s="1" t="n"/>
      <c r="B622" s="21" t="n"/>
      <c r="C622" s="22" t="n"/>
      <c r="D622" s="23" t="n"/>
      <c r="E622" s="24" t="n"/>
      <c r="F622" s="25" t="n"/>
      <c r="G622" s="25" t="n"/>
      <c r="H622" s="24" t="n"/>
      <c r="I622" s="25" t="n"/>
      <c r="J622" s="17">
        <f>IF(AND(C622="",D622="",G622=""),"",IF(NOT(ISNUMBER(B622)),"Needs a date",IF(AND(D622&lt;&gt;"",NOT(ISNUMBER(D622))),"Amount not a number",IF(N(D622)&lt;0,"Amount below zero",IF(AND(N(D622)=0,G622=""),"Needs an amount or goods",IF(C622="","",IF(COUNTIF(Donors!$B$6:$B$305,C622)=0,"Not on Donors","")))))))</f>
        <v/>
      </c>
      <c r="K622" s="1">
        <f>IF(ISNUMBER(B622),YEAR(B622),"")</f>
        <v/>
      </c>
      <c r="L622">
        <f>IF(ISNUMBER(B622),YEAR(B622)*100+MONTH(B622),"")</f>
        <v/>
      </c>
      <c r="M622">
        <f>IF(ISNUMBER(B622),INT(B622),0)</f>
        <v/>
      </c>
      <c r="N622">
        <f>IF(OR(C622="",F622="",Q622=0),0,IF(COUNTIFS(C$6:C622,C622,F$6:F622,F622,Q$6:Q622,1)=1,1,0))</f>
        <v/>
      </c>
      <c r="O622">
        <f>IF(OR(C622="",Q622=0,H622&lt;&gt;""),"",M622*10000+ROW())</f>
        <v/>
      </c>
      <c r="P622">
        <f>IF(OR(C622="",Q622=0),"",IF(AND(C622=Statement!$C$4,K622=Statement!$C$5),M622*10000+ROW(),""))</f>
        <v/>
      </c>
      <c r="Q622">
        <f>IF(AND(ISNUMBER(B622),OR(N(D622)&gt;0,G622&lt;&gt;"")),1,0)</f>
        <v/>
      </c>
    </row>
    <row r="623">
      <c r="A623" s="1" t="n"/>
      <c r="B623" s="21" t="n"/>
      <c r="C623" s="22" t="n"/>
      <c r="D623" s="23" t="n"/>
      <c r="E623" s="24" t="n"/>
      <c r="F623" s="25" t="n"/>
      <c r="G623" s="25" t="n"/>
      <c r="H623" s="24" t="n"/>
      <c r="I623" s="25" t="n"/>
      <c r="J623" s="17">
        <f>IF(AND(C623="",D623="",G623=""),"",IF(NOT(ISNUMBER(B623)),"Needs a date",IF(AND(D623&lt;&gt;"",NOT(ISNUMBER(D623))),"Amount not a number",IF(N(D623)&lt;0,"Amount below zero",IF(AND(N(D623)=0,G623=""),"Needs an amount or goods",IF(C623="","",IF(COUNTIF(Donors!$B$6:$B$305,C623)=0,"Not on Donors","")))))))</f>
        <v/>
      </c>
      <c r="K623" s="1">
        <f>IF(ISNUMBER(B623),YEAR(B623),"")</f>
        <v/>
      </c>
      <c r="L623">
        <f>IF(ISNUMBER(B623),YEAR(B623)*100+MONTH(B623),"")</f>
        <v/>
      </c>
      <c r="M623">
        <f>IF(ISNUMBER(B623),INT(B623),0)</f>
        <v/>
      </c>
      <c r="N623">
        <f>IF(OR(C623="",F623="",Q623=0),0,IF(COUNTIFS(C$6:C623,C623,F$6:F623,F623,Q$6:Q623,1)=1,1,0))</f>
        <v/>
      </c>
      <c r="O623">
        <f>IF(OR(C623="",Q623=0,H623&lt;&gt;""),"",M623*10000+ROW())</f>
        <v/>
      </c>
      <c r="P623">
        <f>IF(OR(C623="",Q623=0),"",IF(AND(C623=Statement!$C$4,K623=Statement!$C$5),M623*10000+ROW(),""))</f>
        <v/>
      </c>
      <c r="Q623">
        <f>IF(AND(ISNUMBER(B623),OR(N(D623)&gt;0,G623&lt;&gt;"")),1,0)</f>
        <v/>
      </c>
    </row>
    <row r="624">
      <c r="A624" s="1" t="n"/>
      <c r="B624" s="21" t="n"/>
      <c r="C624" s="22" t="n"/>
      <c r="D624" s="23" t="n"/>
      <c r="E624" s="24" t="n"/>
      <c r="F624" s="25" t="n"/>
      <c r="G624" s="25" t="n"/>
      <c r="H624" s="24" t="n"/>
      <c r="I624" s="25" t="n"/>
      <c r="J624" s="17">
        <f>IF(AND(C624="",D624="",G624=""),"",IF(NOT(ISNUMBER(B624)),"Needs a date",IF(AND(D624&lt;&gt;"",NOT(ISNUMBER(D624))),"Amount not a number",IF(N(D624)&lt;0,"Amount below zero",IF(AND(N(D624)=0,G624=""),"Needs an amount or goods",IF(C624="","",IF(COUNTIF(Donors!$B$6:$B$305,C624)=0,"Not on Donors","")))))))</f>
        <v/>
      </c>
      <c r="K624" s="1">
        <f>IF(ISNUMBER(B624),YEAR(B624),"")</f>
        <v/>
      </c>
      <c r="L624">
        <f>IF(ISNUMBER(B624),YEAR(B624)*100+MONTH(B624),"")</f>
        <v/>
      </c>
      <c r="M624">
        <f>IF(ISNUMBER(B624),INT(B624),0)</f>
        <v/>
      </c>
      <c r="N624">
        <f>IF(OR(C624="",F624="",Q624=0),0,IF(COUNTIFS(C$6:C624,C624,F$6:F624,F624,Q$6:Q624,1)=1,1,0))</f>
        <v/>
      </c>
      <c r="O624">
        <f>IF(OR(C624="",Q624=0,H624&lt;&gt;""),"",M624*10000+ROW())</f>
        <v/>
      </c>
      <c r="P624">
        <f>IF(OR(C624="",Q624=0),"",IF(AND(C624=Statement!$C$4,K624=Statement!$C$5),M624*10000+ROW(),""))</f>
        <v/>
      </c>
      <c r="Q624">
        <f>IF(AND(ISNUMBER(B624),OR(N(D624)&gt;0,G624&lt;&gt;"")),1,0)</f>
        <v/>
      </c>
    </row>
    <row r="625">
      <c r="A625" s="1" t="n"/>
      <c r="B625" s="21" t="n"/>
      <c r="C625" s="22" t="n"/>
      <c r="D625" s="23" t="n"/>
      <c r="E625" s="24" t="n"/>
      <c r="F625" s="25" t="n"/>
      <c r="G625" s="25" t="n"/>
      <c r="H625" s="24" t="n"/>
      <c r="I625" s="25" t="n"/>
      <c r="J625" s="17">
        <f>IF(AND(C625="",D625="",G625=""),"",IF(NOT(ISNUMBER(B625)),"Needs a date",IF(AND(D625&lt;&gt;"",NOT(ISNUMBER(D625))),"Amount not a number",IF(N(D625)&lt;0,"Amount below zero",IF(AND(N(D625)=0,G625=""),"Needs an amount or goods",IF(C625="","",IF(COUNTIF(Donors!$B$6:$B$305,C625)=0,"Not on Donors","")))))))</f>
        <v/>
      </c>
      <c r="K625" s="1">
        <f>IF(ISNUMBER(B625),YEAR(B625),"")</f>
        <v/>
      </c>
      <c r="L625">
        <f>IF(ISNUMBER(B625),YEAR(B625)*100+MONTH(B625),"")</f>
        <v/>
      </c>
      <c r="M625">
        <f>IF(ISNUMBER(B625),INT(B625),0)</f>
        <v/>
      </c>
      <c r="N625">
        <f>IF(OR(C625="",F625="",Q625=0),0,IF(COUNTIFS(C$6:C625,C625,F$6:F625,F625,Q$6:Q625,1)=1,1,0))</f>
        <v/>
      </c>
      <c r="O625">
        <f>IF(OR(C625="",Q625=0,H625&lt;&gt;""),"",M625*10000+ROW())</f>
        <v/>
      </c>
      <c r="P625">
        <f>IF(OR(C625="",Q625=0),"",IF(AND(C625=Statement!$C$4,K625=Statement!$C$5),M625*10000+ROW(),""))</f>
        <v/>
      </c>
      <c r="Q625">
        <f>IF(AND(ISNUMBER(B625),OR(N(D625)&gt;0,G625&lt;&gt;"")),1,0)</f>
        <v/>
      </c>
    </row>
    <row r="626">
      <c r="A626" s="1" t="n"/>
      <c r="B626" s="21" t="n"/>
      <c r="C626" s="22" t="n"/>
      <c r="D626" s="23" t="n"/>
      <c r="E626" s="24" t="n"/>
      <c r="F626" s="25" t="n"/>
      <c r="G626" s="25" t="n"/>
      <c r="H626" s="24" t="n"/>
      <c r="I626" s="25" t="n"/>
      <c r="J626" s="17">
        <f>IF(AND(C626="",D626="",G626=""),"",IF(NOT(ISNUMBER(B626)),"Needs a date",IF(AND(D626&lt;&gt;"",NOT(ISNUMBER(D626))),"Amount not a number",IF(N(D626)&lt;0,"Amount below zero",IF(AND(N(D626)=0,G626=""),"Needs an amount or goods",IF(C626="","",IF(COUNTIF(Donors!$B$6:$B$305,C626)=0,"Not on Donors","")))))))</f>
        <v/>
      </c>
      <c r="K626" s="1">
        <f>IF(ISNUMBER(B626),YEAR(B626),"")</f>
        <v/>
      </c>
      <c r="L626">
        <f>IF(ISNUMBER(B626),YEAR(B626)*100+MONTH(B626),"")</f>
        <v/>
      </c>
      <c r="M626">
        <f>IF(ISNUMBER(B626),INT(B626),0)</f>
        <v/>
      </c>
      <c r="N626">
        <f>IF(OR(C626="",F626="",Q626=0),0,IF(COUNTIFS(C$6:C626,C626,F$6:F626,F626,Q$6:Q626,1)=1,1,0))</f>
        <v/>
      </c>
      <c r="O626">
        <f>IF(OR(C626="",Q626=0,H626&lt;&gt;""),"",M626*10000+ROW())</f>
        <v/>
      </c>
      <c r="P626">
        <f>IF(OR(C626="",Q626=0),"",IF(AND(C626=Statement!$C$4,K626=Statement!$C$5),M626*10000+ROW(),""))</f>
        <v/>
      </c>
      <c r="Q626">
        <f>IF(AND(ISNUMBER(B626),OR(N(D626)&gt;0,G626&lt;&gt;"")),1,0)</f>
        <v/>
      </c>
    </row>
    <row r="627">
      <c r="A627" s="1" t="n"/>
      <c r="B627" s="21" t="n"/>
      <c r="C627" s="22" t="n"/>
      <c r="D627" s="23" t="n"/>
      <c r="E627" s="24" t="n"/>
      <c r="F627" s="25" t="n"/>
      <c r="G627" s="25" t="n"/>
      <c r="H627" s="24" t="n"/>
      <c r="I627" s="25" t="n"/>
      <c r="J627" s="17">
        <f>IF(AND(C627="",D627="",G627=""),"",IF(NOT(ISNUMBER(B627)),"Needs a date",IF(AND(D627&lt;&gt;"",NOT(ISNUMBER(D627))),"Amount not a number",IF(N(D627)&lt;0,"Amount below zero",IF(AND(N(D627)=0,G627=""),"Needs an amount or goods",IF(C627="","",IF(COUNTIF(Donors!$B$6:$B$305,C627)=0,"Not on Donors","")))))))</f>
        <v/>
      </c>
      <c r="K627" s="1">
        <f>IF(ISNUMBER(B627),YEAR(B627),"")</f>
        <v/>
      </c>
      <c r="L627">
        <f>IF(ISNUMBER(B627),YEAR(B627)*100+MONTH(B627),"")</f>
        <v/>
      </c>
      <c r="M627">
        <f>IF(ISNUMBER(B627),INT(B627),0)</f>
        <v/>
      </c>
      <c r="N627">
        <f>IF(OR(C627="",F627="",Q627=0),0,IF(COUNTIFS(C$6:C627,C627,F$6:F627,F627,Q$6:Q627,1)=1,1,0))</f>
        <v/>
      </c>
      <c r="O627">
        <f>IF(OR(C627="",Q627=0,H627&lt;&gt;""),"",M627*10000+ROW())</f>
        <v/>
      </c>
      <c r="P627">
        <f>IF(OR(C627="",Q627=0),"",IF(AND(C627=Statement!$C$4,K627=Statement!$C$5),M627*10000+ROW(),""))</f>
        <v/>
      </c>
      <c r="Q627">
        <f>IF(AND(ISNUMBER(B627),OR(N(D627)&gt;0,G627&lt;&gt;"")),1,0)</f>
        <v/>
      </c>
    </row>
    <row r="628">
      <c r="A628" s="1" t="n"/>
      <c r="B628" s="21" t="n"/>
      <c r="C628" s="22" t="n"/>
      <c r="D628" s="23" t="n"/>
      <c r="E628" s="24" t="n"/>
      <c r="F628" s="25" t="n"/>
      <c r="G628" s="25" t="n"/>
      <c r="H628" s="24" t="n"/>
      <c r="I628" s="25" t="n"/>
      <c r="J628" s="17">
        <f>IF(AND(C628="",D628="",G628=""),"",IF(NOT(ISNUMBER(B628)),"Needs a date",IF(AND(D628&lt;&gt;"",NOT(ISNUMBER(D628))),"Amount not a number",IF(N(D628)&lt;0,"Amount below zero",IF(AND(N(D628)=0,G628=""),"Needs an amount or goods",IF(C628="","",IF(COUNTIF(Donors!$B$6:$B$305,C628)=0,"Not on Donors","")))))))</f>
        <v/>
      </c>
      <c r="K628" s="1">
        <f>IF(ISNUMBER(B628),YEAR(B628),"")</f>
        <v/>
      </c>
      <c r="L628">
        <f>IF(ISNUMBER(B628),YEAR(B628)*100+MONTH(B628),"")</f>
        <v/>
      </c>
      <c r="M628">
        <f>IF(ISNUMBER(B628),INT(B628),0)</f>
        <v/>
      </c>
      <c r="N628">
        <f>IF(OR(C628="",F628="",Q628=0),0,IF(COUNTIFS(C$6:C628,C628,F$6:F628,F628,Q$6:Q628,1)=1,1,0))</f>
        <v/>
      </c>
      <c r="O628">
        <f>IF(OR(C628="",Q628=0,H628&lt;&gt;""),"",M628*10000+ROW())</f>
        <v/>
      </c>
      <c r="P628">
        <f>IF(OR(C628="",Q628=0),"",IF(AND(C628=Statement!$C$4,K628=Statement!$C$5),M628*10000+ROW(),""))</f>
        <v/>
      </c>
      <c r="Q628">
        <f>IF(AND(ISNUMBER(B628),OR(N(D628)&gt;0,G628&lt;&gt;"")),1,0)</f>
        <v/>
      </c>
    </row>
    <row r="629">
      <c r="A629" s="1" t="n"/>
      <c r="B629" s="21" t="n"/>
      <c r="C629" s="22" t="n"/>
      <c r="D629" s="23" t="n"/>
      <c r="E629" s="24" t="n"/>
      <c r="F629" s="25" t="n"/>
      <c r="G629" s="25" t="n"/>
      <c r="H629" s="24" t="n"/>
      <c r="I629" s="25" t="n"/>
      <c r="J629" s="17">
        <f>IF(AND(C629="",D629="",G629=""),"",IF(NOT(ISNUMBER(B629)),"Needs a date",IF(AND(D629&lt;&gt;"",NOT(ISNUMBER(D629))),"Amount not a number",IF(N(D629)&lt;0,"Amount below zero",IF(AND(N(D629)=0,G629=""),"Needs an amount or goods",IF(C629="","",IF(COUNTIF(Donors!$B$6:$B$305,C629)=0,"Not on Donors","")))))))</f>
        <v/>
      </c>
      <c r="K629" s="1">
        <f>IF(ISNUMBER(B629),YEAR(B629),"")</f>
        <v/>
      </c>
      <c r="L629">
        <f>IF(ISNUMBER(B629),YEAR(B629)*100+MONTH(B629),"")</f>
        <v/>
      </c>
      <c r="M629">
        <f>IF(ISNUMBER(B629),INT(B629),0)</f>
        <v/>
      </c>
      <c r="N629">
        <f>IF(OR(C629="",F629="",Q629=0),0,IF(COUNTIFS(C$6:C629,C629,F$6:F629,F629,Q$6:Q629,1)=1,1,0))</f>
        <v/>
      </c>
      <c r="O629">
        <f>IF(OR(C629="",Q629=0,H629&lt;&gt;""),"",M629*10000+ROW())</f>
        <v/>
      </c>
      <c r="P629">
        <f>IF(OR(C629="",Q629=0),"",IF(AND(C629=Statement!$C$4,K629=Statement!$C$5),M629*10000+ROW(),""))</f>
        <v/>
      </c>
      <c r="Q629">
        <f>IF(AND(ISNUMBER(B629),OR(N(D629)&gt;0,G629&lt;&gt;"")),1,0)</f>
        <v/>
      </c>
    </row>
    <row r="630">
      <c r="A630" s="1" t="n"/>
      <c r="B630" s="21" t="n"/>
      <c r="C630" s="22" t="n"/>
      <c r="D630" s="23" t="n"/>
      <c r="E630" s="24" t="n"/>
      <c r="F630" s="25" t="n"/>
      <c r="G630" s="25" t="n"/>
      <c r="H630" s="24" t="n"/>
      <c r="I630" s="25" t="n"/>
      <c r="J630" s="17">
        <f>IF(AND(C630="",D630="",G630=""),"",IF(NOT(ISNUMBER(B630)),"Needs a date",IF(AND(D630&lt;&gt;"",NOT(ISNUMBER(D630))),"Amount not a number",IF(N(D630)&lt;0,"Amount below zero",IF(AND(N(D630)=0,G630=""),"Needs an amount or goods",IF(C630="","",IF(COUNTIF(Donors!$B$6:$B$305,C630)=0,"Not on Donors","")))))))</f>
        <v/>
      </c>
      <c r="K630" s="1">
        <f>IF(ISNUMBER(B630),YEAR(B630),"")</f>
        <v/>
      </c>
      <c r="L630">
        <f>IF(ISNUMBER(B630),YEAR(B630)*100+MONTH(B630),"")</f>
        <v/>
      </c>
      <c r="M630">
        <f>IF(ISNUMBER(B630),INT(B630),0)</f>
        <v/>
      </c>
      <c r="N630">
        <f>IF(OR(C630="",F630="",Q630=0),0,IF(COUNTIFS(C$6:C630,C630,F$6:F630,F630,Q$6:Q630,1)=1,1,0))</f>
        <v/>
      </c>
      <c r="O630">
        <f>IF(OR(C630="",Q630=0,H630&lt;&gt;""),"",M630*10000+ROW())</f>
        <v/>
      </c>
      <c r="P630">
        <f>IF(OR(C630="",Q630=0),"",IF(AND(C630=Statement!$C$4,K630=Statement!$C$5),M630*10000+ROW(),""))</f>
        <v/>
      </c>
      <c r="Q630">
        <f>IF(AND(ISNUMBER(B630),OR(N(D630)&gt;0,G630&lt;&gt;"")),1,0)</f>
        <v/>
      </c>
    </row>
    <row r="631">
      <c r="A631" s="1" t="n"/>
      <c r="B631" s="21" t="n"/>
      <c r="C631" s="22" t="n"/>
      <c r="D631" s="23" t="n"/>
      <c r="E631" s="24" t="n"/>
      <c r="F631" s="25" t="n"/>
      <c r="G631" s="25" t="n"/>
      <c r="H631" s="24" t="n"/>
      <c r="I631" s="25" t="n"/>
      <c r="J631" s="17">
        <f>IF(AND(C631="",D631="",G631=""),"",IF(NOT(ISNUMBER(B631)),"Needs a date",IF(AND(D631&lt;&gt;"",NOT(ISNUMBER(D631))),"Amount not a number",IF(N(D631)&lt;0,"Amount below zero",IF(AND(N(D631)=0,G631=""),"Needs an amount or goods",IF(C631="","",IF(COUNTIF(Donors!$B$6:$B$305,C631)=0,"Not on Donors","")))))))</f>
        <v/>
      </c>
      <c r="K631" s="1">
        <f>IF(ISNUMBER(B631),YEAR(B631),"")</f>
        <v/>
      </c>
      <c r="L631">
        <f>IF(ISNUMBER(B631),YEAR(B631)*100+MONTH(B631),"")</f>
        <v/>
      </c>
      <c r="M631">
        <f>IF(ISNUMBER(B631),INT(B631),0)</f>
        <v/>
      </c>
      <c r="N631">
        <f>IF(OR(C631="",F631="",Q631=0),0,IF(COUNTIFS(C$6:C631,C631,F$6:F631,F631,Q$6:Q631,1)=1,1,0))</f>
        <v/>
      </c>
      <c r="O631">
        <f>IF(OR(C631="",Q631=0,H631&lt;&gt;""),"",M631*10000+ROW())</f>
        <v/>
      </c>
      <c r="P631">
        <f>IF(OR(C631="",Q631=0),"",IF(AND(C631=Statement!$C$4,K631=Statement!$C$5),M631*10000+ROW(),""))</f>
        <v/>
      </c>
      <c r="Q631">
        <f>IF(AND(ISNUMBER(B631),OR(N(D631)&gt;0,G631&lt;&gt;"")),1,0)</f>
        <v/>
      </c>
    </row>
    <row r="632">
      <c r="A632" s="1" t="n"/>
      <c r="B632" s="21" t="n"/>
      <c r="C632" s="22" t="n"/>
      <c r="D632" s="23" t="n"/>
      <c r="E632" s="24" t="n"/>
      <c r="F632" s="25" t="n"/>
      <c r="G632" s="25" t="n"/>
      <c r="H632" s="24" t="n"/>
      <c r="I632" s="25" t="n"/>
      <c r="J632" s="17">
        <f>IF(AND(C632="",D632="",G632=""),"",IF(NOT(ISNUMBER(B632)),"Needs a date",IF(AND(D632&lt;&gt;"",NOT(ISNUMBER(D632))),"Amount not a number",IF(N(D632)&lt;0,"Amount below zero",IF(AND(N(D632)=0,G632=""),"Needs an amount or goods",IF(C632="","",IF(COUNTIF(Donors!$B$6:$B$305,C632)=0,"Not on Donors","")))))))</f>
        <v/>
      </c>
      <c r="K632" s="1">
        <f>IF(ISNUMBER(B632),YEAR(B632),"")</f>
        <v/>
      </c>
      <c r="L632">
        <f>IF(ISNUMBER(B632),YEAR(B632)*100+MONTH(B632),"")</f>
        <v/>
      </c>
      <c r="M632">
        <f>IF(ISNUMBER(B632),INT(B632),0)</f>
        <v/>
      </c>
      <c r="N632">
        <f>IF(OR(C632="",F632="",Q632=0),0,IF(COUNTIFS(C$6:C632,C632,F$6:F632,F632,Q$6:Q632,1)=1,1,0))</f>
        <v/>
      </c>
      <c r="O632">
        <f>IF(OR(C632="",Q632=0,H632&lt;&gt;""),"",M632*10000+ROW())</f>
        <v/>
      </c>
      <c r="P632">
        <f>IF(OR(C632="",Q632=0),"",IF(AND(C632=Statement!$C$4,K632=Statement!$C$5),M632*10000+ROW(),""))</f>
        <v/>
      </c>
      <c r="Q632">
        <f>IF(AND(ISNUMBER(B632),OR(N(D632)&gt;0,G632&lt;&gt;"")),1,0)</f>
        <v/>
      </c>
    </row>
    <row r="633">
      <c r="A633" s="1" t="n"/>
      <c r="B633" s="21" t="n"/>
      <c r="C633" s="22" t="n"/>
      <c r="D633" s="23" t="n"/>
      <c r="E633" s="24" t="n"/>
      <c r="F633" s="25" t="n"/>
      <c r="G633" s="25" t="n"/>
      <c r="H633" s="24" t="n"/>
      <c r="I633" s="25" t="n"/>
      <c r="J633" s="17">
        <f>IF(AND(C633="",D633="",G633=""),"",IF(NOT(ISNUMBER(B633)),"Needs a date",IF(AND(D633&lt;&gt;"",NOT(ISNUMBER(D633))),"Amount not a number",IF(N(D633)&lt;0,"Amount below zero",IF(AND(N(D633)=0,G633=""),"Needs an amount or goods",IF(C633="","",IF(COUNTIF(Donors!$B$6:$B$305,C633)=0,"Not on Donors","")))))))</f>
        <v/>
      </c>
      <c r="K633" s="1">
        <f>IF(ISNUMBER(B633),YEAR(B633),"")</f>
        <v/>
      </c>
      <c r="L633">
        <f>IF(ISNUMBER(B633),YEAR(B633)*100+MONTH(B633),"")</f>
        <v/>
      </c>
      <c r="M633">
        <f>IF(ISNUMBER(B633),INT(B633),0)</f>
        <v/>
      </c>
      <c r="N633">
        <f>IF(OR(C633="",F633="",Q633=0),0,IF(COUNTIFS(C$6:C633,C633,F$6:F633,F633,Q$6:Q633,1)=1,1,0))</f>
        <v/>
      </c>
      <c r="O633">
        <f>IF(OR(C633="",Q633=0,H633&lt;&gt;""),"",M633*10000+ROW())</f>
        <v/>
      </c>
      <c r="P633">
        <f>IF(OR(C633="",Q633=0),"",IF(AND(C633=Statement!$C$4,K633=Statement!$C$5),M633*10000+ROW(),""))</f>
        <v/>
      </c>
      <c r="Q633">
        <f>IF(AND(ISNUMBER(B633),OR(N(D633)&gt;0,G633&lt;&gt;"")),1,0)</f>
        <v/>
      </c>
    </row>
    <row r="634">
      <c r="A634" s="1" t="n"/>
      <c r="B634" s="21" t="n"/>
      <c r="C634" s="22" t="n"/>
      <c r="D634" s="23" t="n"/>
      <c r="E634" s="24" t="n"/>
      <c r="F634" s="25" t="n"/>
      <c r="G634" s="25" t="n"/>
      <c r="H634" s="24" t="n"/>
      <c r="I634" s="25" t="n"/>
      <c r="J634" s="17">
        <f>IF(AND(C634="",D634="",G634=""),"",IF(NOT(ISNUMBER(B634)),"Needs a date",IF(AND(D634&lt;&gt;"",NOT(ISNUMBER(D634))),"Amount not a number",IF(N(D634)&lt;0,"Amount below zero",IF(AND(N(D634)=0,G634=""),"Needs an amount or goods",IF(C634="","",IF(COUNTIF(Donors!$B$6:$B$305,C634)=0,"Not on Donors","")))))))</f>
        <v/>
      </c>
      <c r="K634" s="1">
        <f>IF(ISNUMBER(B634),YEAR(B634),"")</f>
        <v/>
      </c>
      <c r="L634">
        <f>IF(ISNUMBER(B634),YEAR(B634)*100+MONTH(B634),"")</f>
        <v/>
      </c>
      <c r="M634">
        <f>IF(ISNUMBER(B634),INT(B634),0)</f>
        <v/>
      </c>
      <c r="N634">
        <f>IF(OR(C634="",F634="",Q634=0),0,IF(COUNTIFS(C$6:C634,C634,F$6:F634,F634,Q$6:Q634,1)=1,1,0))</f>
        <v/>
      </c>
      <c r="O634">
        <f>IF(OR(C634="",Q634=0,H634&lt;&gt;""),"",M634*10000+ROW())</f>
        <v/>
      </c>
      <c r="P634">
        <f>IF(OR(C634="",Q634=0),"",IF(AND(C634=Statement!$C$4,K634=Statement!$C$5),M634*10000+ROW(),""))</f>
        <v/>
      </c>
      <c r="Q634">
        <f>IF(AND(ISNUMBER(B634),OR(N(D634)&gt;0,G634&lt;&gt;"")),1,0)</f>
        <v/>
      </c>
    </row>
    <row r="635">
      <c r="A635" s="1" t="n"/>
      <c r="B635" s="21" t="n"/>
      <c r="C635" s="22" t="n"/>
      <c r="D635" s="23" t="n"/>
      <c r="E635" s="24" t="n"/>
      <c r="F635" s="25" t="n"/>
      <c r="G635" s="25" t="n"/>
      <c r="H635" s="24" t="n"/>
      <c r="I635" s="25" t="n"/>
      <c r="J635" s="17">
        <f>IF(AND(C635="",D635="",G635=""),"",IF(NOT(ISNUMBER(B635)),"Needs a date",IF(AND(D635&lt;&gt;"",NOT(ISNUMBER(D635))),"Amount not a number",IF(N(D635)&lt;0,"Amount below zero",IF(AND(N(D635)=0,G635=""),"Needs an amount or goods",IF(C635="","",IF(COUNTIF(Donors!$B$6:$B$305,C635)=0,"Not on Donors","")))))))</f>
        <v/>
      </c>
      <c r="K635" s="1">
        <f>IF(ISNUMBER(B635),YEAR(B635),"")</f>
        <v/>
      </c>
      <c r="L635">
        <f>IF(ISNUMBER(B635),YEAR(B635)*100+MONTH(B635),"")</f>
        <v/>
      </c>
      <c r="M635">
        <f>IF(ISNUMBER(B635),INT(B635),0)</f>
        <v/>
      </c>
      <c r="N635">
        <f>IF(OR(C635="",F635="",Q635=0),0,IF(COUNTIFS(C$6:C635,C635,F$6:F635,F635,Q$6:Q635,1)=1,1,0))</f>
        <v/>
      </c>
      <c r="O635">
        <f>IF(OR(C635="",Q635=0,H635&lt;&gt;""),"",M635*10000+ROW())</f>
        <v/>
      </c>
      <c r="P635">
        <f>IF(OR(C635="",Q635=0),"",IF(AND(C635=Statement!$C$4,K635=Statement!$C$5),M635*10000+ROW(),""))</f>
        <v/>
      </c>
      <c r="Q635">
        <f>IF(AND(ISNUMBER(B635),OR(N(D635)&gt;0,G635&lt;&gt;"")),1,0)</f>
        <v/>
      </c>
    </row>
    <row r="636">
      <c r="A636" s="1" t="n"/>
      <c r="B636" s="21" t="n"/>
      <c r="C636" s="22" t="n"/>
      <c r="D636" s="23" t="n"/>
      <c r="E636" s="24" t="n"/>
      <c r="F636" s="25" t="n"/>
      <c r="G636" s="25" t="n"/>
      <c r="H636" s="24" t="n"/>
      <c r="I636" s="25" t="n"/>
      <c r="J636" s="17">
        <f>IF(AND(C636="",D636="",G636=""),"",IF(NOT(ISNUMBER(B636)),"Needs a date",IF(AND(D636&lt;&gt;"",NOT(ISNUMBER(D636))),"Amount not a number",IF(N(D636)&lt;0,"Amount below zero",IF(AND(N(D636)=0,G636=""),"Needs an amount or goods",IF(C636="","",IF(COUNTIF(Donors!$B$6:$B$305,C636)=0,"Not on Donors","")))))))</f>
        <v/>
      </c>
      <c r="K636" s="1">
        <f>IF(ISNUMBER(B636),YEAR(B636),"")</f>
        <v/>
      </c>
      <c r="L636">
        <f>IF(ISNUMBER(B636),YEAR(B636)*100+MONTH(B636),"")</f>
        <v/>
      </c>
      <c r="M636">
        <f>IF(ISNUMBER(B636),INT(B636),0)</f>
        <v/>
      </c>
      <c r="N636">
        <f>IF(OR(C636="",F636="",Q636=0),0,IF(COUNTIFS(C$6:C636,C636,F$6:F636,F636,Q$6:Q636,1)=1,1,0))</f>
        <v/>
      </c>
      <c r="O636">
        <f>IF(OR(C636="",Q636=0,H636&lt;&gt;""),"",M636*10000+ROW())</f>
        <v/>
      </c>
      <c r="P636">
        <f>IF(OR(C636="",Q636=0),"",IF(AND(C636=Statement!$C$4,K636=Statement!$C$5),M636*10000+ROW(),""))</f>
        <v/>
      </c>
      <c r="Q636">
        <f>IF(AND(ISNUMBER(B636),OR(N(D636)&gt;0,G636&lt;&gt;"")),1,0)</f>
        <v/>
      </c>
    </row>
    <row r="637">
      <c r="A637" s="1" t="n"/>
      <c r="B637" s="21" t="n"/>
      <c r="C637" s="22" t="n"/>
      <c r="D637" s="23" t="n"/>
      <c r="E637" s="24" t="n"/>
      <c r="F637" s="25" t="n"/>
      <c r="G637" s="25" t="n"/>
      <c r="H637" s="24" t="n"/>
      <c r="I637" s="25" t="n"/>
      <c r="J637" s="17">
        <f>IF(AND(C637="",D637="",G637=""),"",IF(NOT(ISNUMBER(B637)),"Needs a date",IF(AND(D637&lt;&gt;"",NOT(ISNUMBER(D637))),"Amount not a number",IF(N(D637)&lt;0,"Amount below zero",IF(AND(N(D637)=0,G637=""),"Needs an amount or goods",IF(C637="","",IF(COUNTIF(Donors!$B$6:$B$305,C637)=0,"Not on Donors","")))))))</f>
        <v/>
      </c>
      <c r="K637" s="1">
        <f>IF(ISNUMBER(B637),YEAR(B637),"")</f>
        <v/>
      </c>
      <c r="L637">
        <f>IF(ISNUMBER(B637),YEAR(B637)*100+MONTH(B637),"")</f>
        <v/>
      </c>
      <c r="M637">
        <f>IF(ISNUMBER(B637),INT(B637),0)</f>
        <v/>
      </c>
      <c r="N637">
        <f>IF(OR(C637="",F637="",Q637=0),0,IF(COUNTIFS(C$6:C637,C637,F$6:F637,F637,Q$6:Q637,1)=1,1,0))</f>
        <v/>
      </c>
      <c r="O637">
        <f>IF(OR(C637="",Q637=0,H637&lt;&gt;""),"",M637*10000+ROW())</f>
        <v/>
      </c>
      <c r="P637">
        <f>IF(OR(C637="",Q637=0),"",IF(AND(C637=Statement!$C$4,K637=Statement!$C$5),M637*10000+ROW(),""))</f>
        <v/>
      </c>
      <c r="Q637">
        <f>IF(AND(ISNUMBER(B637),OR(N(D637)&gt;0,G637&lt;&gt;"")),1,0)</f>
        <v/>
      </c>
    </row>
    <row r="638">
      <c r="A638" s="1" t="n"/>
      <c r="B638" s="21" t="n"/>
      <c r="C638" s="22" t="n"/>
      <c r="D638" s="23" t="n"/>
      <c r="E638" s="24" t="n"/>
      <c r="F638" s="25" t="n"/>
      <c r="G638" s="25" t="n"/>
      <c r="H638" s="24" t="n"/>
      <c r="I638" s="25" t="n"/>
      <c r="J638" s="17">
        <f>IF(AND(C638="",D638="",G638=""),"",IF(NOT(ISNUMBER(B638)),"Needs a date",IF(AND(D638&lt;&gt;"",NOT(ISNUMBER(D638))),"Amount not a number",IF(N(D638)&lt;0,"Amount below zero",IF(AND(N(D638)=0,G638=""),"Needs an amount or goods",IF(C638="","",IF(COUNTIF(Donors!$B$6:$B$305,C638)=0,"Not on Donors","")))))))</f>
        <v/>
      </c>
      <c r="K638" s="1">
        <f>IF(ISNUMBER(B638),YEAR(B638),"")</f>
        <v/>
      </c>
      <c r="L638">
        <f>IF(ISNUMBER(B638),YEAR(B638)*100+MONTH(B638),"")</f>
        <v/>
      </c>
      <c r="M638">
        <f>IF(ISNUMBER(B638),INT(B638),0)</f>
        <v/>
      </c>
      <c r="N638">
        <f>IF(OR(C638="",F638="",Q638=0),0,IF(COUNTIFS(C$6:C638,C638,F$6:F638,F638,Q$6:Q638,1)=1,1,0))</f>
        <v/>
      </c>
      <c r="O638">
        <f>IF(OR(C638="",Q638=0,H638&lt;&gt;""),"",M638*10000+ROW())</f>
        <v/>
      </c>
      <c r="P638">
        <f>IF(OR(C638="",Q638=0),"",IF(AND(C638=Statement!$C$4,K638=Statement!$C$5),M638*10000+ROW(),""))</f>
        <v/>
      </c>
      <c r="Q638">
        <f>IF(AND(ISNUMBER(B638),OR(N(D638)&gt;0,G638&lt;&gt;"")),1,0)</f>
        <v/>
      </c>
    </row>
    <row r="639">
      <c r="A639" s="1" t="n"/>
      <c r="B639" s="21" t="n"/>
      <c r="C639" s="22" t="n"/>
      <c r="D639" s="23" t="n"/>
      <c r="E639" s="24" t="n"/>
      <c r="F639" s="25" t="n"/>
      <c r="G639" s="25" t="n"/>
      <c r="H639" s="24" t="n"/>
      <c r="I639" s="25" t="n"/>
      <c r="J639" s="17">
        <f>IF(AND(C639="",D639="",G639=""),"",IF(NOT(ISNUMBER(B639)),"Needs a date",IF(AND(D639&lt;&gt;"",NOT(ISNUMBER(D639))),"Amount not a number",IF(N(D639)&lt;0,"Amount below zero",IF(AND(N(D639)=0,G639=""),"Needs an amount or goods",IF(C639="","",IF(COUNTIF(Donors!$B$6:$B$305,C639)=0,"Not on Donors","")))))))</f>
        <v/>
      </c>
      <c r="K639" s="1">
        <f>IF(ISNUMBER(B639),YEAR(B639),"")</f>
        <v/>
      </c>
      <c r="L639">
        <f>IF(ISNUMBER(B639),YEAR(B639)*100+MONTH(B639),"")</f>
        <v/>
      </c>
      <c r="M639">
        <f>IF(ISNUMBER(B639),INT(B639),0)</f>
        <v/>
      </c>
      <c r="N639">
        <f>IF(OR(C639="",F639="",Q639=0),0,IF(COUNTIFS(C$6:C639,C639,F$6:F639,F639,Q$6:Q639,1)=1,1,0))</f>
        <v/>
      </c>
      <c r="O639">
        <f>IF(OR(C639="",Q639=0,H639&lt;&gt;""),"",M639*10000+ROW())</f>
        <v/>
      </c>
      <c r="P639">
        <f>IF(OR(C639="",Q639=0),"",IF(AND(C639=Statement!$C$4,K639=Statement!$C$5),M639*10000+ROW(),""))</f>
        <v/>
      </c>
      <c r="Q639">
        <f>IF(AND(ISNUMBER(B639),OR(N(D639)&gt;0,G639&lt;&gt;"")),1,0)</f>
        <v/>
      </c>
    </row>
    <row r="640">
      <c r="A640" s="1" t="n"/>
      <c r="B640" s="21" t="n"/>
      <c r="C640" s="22" t="n"/>
      <c r="D640" s="23" t="n"/>
      <c r="E640" s="24" t="n"/>
      <c r="F640" s="25" t="n"/>
      <c r="G640" s="25" t="n"/>
      <c r="H640" s="24" t="n"/>
      <c r="I640" s="25" t="n"/>
      <c r="J640" s="17">
        <f>IF(AND(C640="",D640="",G640=""),"",IF(NOT(ISNUMBER(B640)),"Needs a date",IF(AND(D640&lt;&gt;"",NOT(ISNUMBER(D640))),"Amount not a number",IF(N(D640)&lt;0,"Amount below zero",IF(AND(N(D640)=0,G640=""),"Needs an amount or goods",IF(C640="","",IF(COUNTIF(Donors!$B$6:$B$305,C640)=0,"Not on Donors","")))))))</f>
        <v/>
      </c>
      <c r="K640" s="1">
        <f>IF(ISNUMBER(B640),YEAR(B640),"")</f>
        <v/>
      </c>
      <c r="L640">
        <f>IF(ISNUMBER(B640),YEAR(B640)*100+MONTH(B640),"")</f>
        <v/>
      </c>
      <c r="M640">
        <f>IF(ISNUMBER(B640),INT(B640),0)</f>
        <v/>
      </c>
      <c r="N640">
        <f>IF(OR(C640="",F640="",Q640=0),0,IF(COUNTIFS(C$6:C640,C640,F$6:F640,F640,Q$6:Q640,1)=1,1,0))</f>
        <v/>
      </c>
      <c r="O640">
        <f>IF(OR(C640="",Q640=0,H640&lt;&gt;""),"",M640*10000+ROW())</f>
        <v/>
      </c>
      <c r="P640">
        <f>IF(OR(C640="",Q640=0),"",IF(AND(C640=Statement!$C$4,K640=Statement!$C$5),M640*10000+ROW(),""))</f>
        <v/>
      </c>
      <c r="Q640">
        <f>IF(AND(ISNUMBER(B640),OR(N(D640)&gt;0,G640&lt;&gt;"")),1,0)</f>
        <v/>
      </c>
    </row>
    <row r="641">
      <c r="A641" s="1" t="n"/>
      <c r="B641" s="21" t="n"/>
      <c r="C641" s="22" t="n"/>
      <c r="D641" s="23" t="n"/>
      <c r="E641" s="24" t="n"/>
      <c r="F641" s="25" t="n"/>
      <c r="G641" s="25" t="n"/>
      <c r="H641" s="24" t="n"/>
      <c r="I641" s="25" t="n"/>
      <c r="J641" s="17">
        <f>IF(AND(C641="",D641="",G641=""),"",IF(NOT(ISNUMBER(B641)),"Needs a date",IF(AND(D641&lt;&gt;"",NOT(ISNUMBER(D641))),"Amount not a number",IF(N(D641)&lt;0,"Amount below zero",IF(AND(N(D641)=0,G641=""),"Needs an amount or goods",IF(C641="","",IF(COUNTIF(Donors!$B$6:$B$305,C641)=0,"Not on Donors","")))))))</f>
        <v/>
      </c>
      <c r="K641" s="1">
        <f>IF(ISNUMBER(B641),YEAR(B641),"")</f>
        <v/>
      </c>
      <c r="L641">
        <f>IF(ISNUMBER(B641),YEAR(B641)*100+MONTH(B641),"")</f>
        <v/>
      </c>
      <c r="M641">
        <f>IF(ISNUMBER(B641),INT(B641),0)</f>
        <v/>
      </c>
      <c r="N641">
        <f>IF(OR(C641="",F641="",Q641=0),0,IF(COUNTIFS(C$6:C641,C641,F$6:F641,F641,Q$6:Q641,1)=1,1,0))</f>
        <v/>
      </c>
      <c r="O641">
        <f>IF(OR(C641="",Q641=0,H641&lt;&gt;""),"",M641*10000+ROW())</f>
        <v/>
      </c>
      <c r="P641">
        <f>IF(OR(C641="",Q641=0),"",IF(AND(C641=Statement!$C$4,K641=Statement!$C$5),M641*10000+ROW(),""))</f>
        <v/>
      </c>
      <c r="Q641">
        <f>IF(AND(ISNUMBER(B641),OR(N(D641)&gt;0,G641&lt;&gt;"")),1,0)</f>
        <v/>
      </c>
    </row>
    <row r="642">
      <c r="A642" s="1" t="n"/>
      <c r="B642" s="21" t="n"/>
      <c r="C642" s="22" t="n"/>
      <c r="D642" s="23" t="n"/>
      <c r="E642" s="24" t="n"/>
      <c r="F642" s="25" t="n"/>
      <c r="G642" s="25" t="n"/>
      <c r="H642" s="24" t="n"/>
      <c r="I642" s="25" t="n"/>
      <c r="J642" s="17">
        <f>IF(AND(C642="",D642="",G642=""),"",IF(NOT(ISNUMBER(B642)),"Needs a date",IF(AND(D642&lt;&gt;"",NOT(ISNUMBER(D642))),"Amount not a number",IF(N(D642)&lt;0,"Amount below zero",IF(AND(N(D642)=0,G642=""),"Needs an amount or goods",IF(C642="","",IF(COUNTIF(Donors!$B$6:$B$305,C642)=0,"Not on Donors","")))))))</f>
        <v/>
      </c>
      <c r="K642" s="1">
        <f>IF(ISNUMBER(B642),YEAR(B642),"")</f>
        <v/>
      </c>
      <c r="L642">
        <f>IF(ISNUMBER(B642),YEAR(B642)*100+MONTH(B642),"")</f>
        <v/>
      </c>
      <c r="M642">
        <f>IF(ISNUMBER(B642),INT(B642),0)</f>
        <v/>
      </c>
      <c r="N642">
        <f>IF(OR(C642="",F642="",Q642=0),0,IF(COUNTIFS(C$6:C642,C642,F$6:F642,F642,Q$6:Q642,1)=1,1,0))</f>
        <v/>
      </c>
      <c r="O642">
        <f>IF(OR(C642="",Q642=0,H642&lt;&gt;""),"",M642*10000+ROW())</f>
        <v/>
      </c>
      <c r="P642">
        <f>IF(OR(C642="",Q642=0),"",IF(AND(C642=Statement!$C$4,K642=Statement!$C$5),M642*10000+ROW(),""))</f>
        <v/>
      </c>
      <c r="Q642">
        <f>IF(AND(ISNUMBER(B642),OR(N(D642)&gt;0,G642&lt;&gt;"")),1,0)</f>
        <v/>
      </c>
    </row>
    <row r="643">
      <c r="A643" s="1" t="n"/>
      <c r="B643" s="21" t="n"/>
      <c r="C643" s="22" t="n"/>
      <c r="D643" s="23" t="n"/>
      <c r="E643" s="24" t="n"/>
      <c r="F643" s="25" t="n"/>
      <c r="G643" s="25" t="n"/>
      <c r="H643" s="24" t="n"/>
      <c r="I643" s="25" t="n"/>
      <c r="J643" s="17">
        <f>IF(AND(C643="",D643="",G643=""),"",IF(NOT(ISNUMBER(B643)),"Needs a date",IF(AND(D643&lt;&gt;"",NOT(ISNUMBER(D643))),"Amount not a number",IF(N(D643)&lt;0,"Amount below zero",IF(AND(N(D643)=0,G643=""),"Needs an amount or goods",IF(C643="","",IF(COUNTIF(Donors!$B$6:$B$305,C643)=0,"Not on Donors","")))))))</f>
        <v/>
      </c>
      <c r="K643" s="1">
        <f>IF(ISNUMBER(B643),YEAR(B643),"")</f>
        <v/>
      </c>
      <c r="L643">
        <f>IF(ISNUMBER(B643),YEAR(B643)*100+MONTH(B643),"")</f>
        <v/>
      </c>
      <c r="M643">
        <f>IF(ISNUMBER(B643),INT(B643),0)</f>
        <v/>
      </c>
      <c r="N643">
        <f>IF(OR(C643="",F643="",Q643=0),0,IF(COUNTIFS(C$6:C643,C643,F$6:F643,F643,Q$6:Q643,1)=1,1,0))</f>
        <v/>
      </c>
      <c r="O643">
        <f>IF(OR(C643="",Q643=0,H643&lt;&gt;""),"",M643*10000+ROW())</f>
        <v/>
      </c>
      <c r="P643">
        <f>IF(OR(C643="",Q643=0),"",IF(AND(C643=Statement!$C$4,K643=Statement!$C$5),M643*10000+ROW(),""))</f>
        <v/>
      </c>
      <c r="Q643">
        <f>IF(AND(ISNUMBER(B643),OR(N(D643)&gt;0,G643&lt;&gt;"")),1,0)</f>
        <v/>
      </c>
    </row>
    <row r="644">
      <c r="A644" s="1" t="n"/>
      <c r="B644" s="21" t="n"/>
      <c r="C644" s="22" t="n"/>
      <c r="D644" s="23" t="n"/>
      <c r="E644" s="24" t="n"/>
      <c r="F644" s="25" t="n"/>
      <c r="G644" s="25" t="n"/>
      <c r="H644" s="24" t="n"/>
      <c r="I644" s="25" t="n"/>
      <c r="J644" s="17">
        <f>IF(AND(C644="",D644="",G644=""),"",IF(NOT(ISNUMBER(B644)),"Needs a date",IF(AND(D644&lt;&gt;"",NOT(ISNUMBER(D644))),"Amount not a number",IF(N(D644)&lt;0,"Amount below zero",IF(AND(N(D644)=0,G644=""),"Needs an amount or goods",IF(C644="","",IF(COUNTIF(Donors!$B$6:$B$305,C644)=0,"Not on Donors","")))))))</f>
        <v/>
      </c>
      <c r="K644" s="1">
        <f>IF(ISNUMBER(B644),YEAR(B644),"")</f>
        <v/>
      </c>
      <c r="L644">
        <f>IF(ISNUMBER(B644),YEAR(B644)*100+MONTH(B644),"")</f>
        <v/>
      </c>
      <c r="M644">
        <f>IF(ISNUMBER(B644),INT(B644),0)</f>
        <v/>
      </c>
      <c r="N644">
        <f>IF(OR(C644="",F644="",Q644=0),0,IF(COUNTIFS(C$6:C644,C644,F$6:F644,F644,Q$6:Q644,1)=1,1,0))</f>
        <v/>
      </c>
      <c r="O644">
        <f>IF(OR(C644="",Q644=0,H644&lt;&gt;""),"",M644*10000+ROW())</f>
        <v/>
      </c>
      <c r="P644">
        <f>IF(OR(C644="",Q644=0),"",IF(AND(C644=Statement!$C$4,K644=Statement!$C$5),M644*10000+ROW(),""))</f>
        <v/>
      </c>
      <c r="Q644">
        <f>IF(AND(ISNUMBER(B644),OR(N(D644)&gt;0,G644&lt;&gt;"")),1,0)</f>
        <v/>
      </c>
    </row>
    <row r="645">
      <c r="A645" s="1" t="n"/>
      <c r="B645" s="21" t="n"/>
      <c r="C645" s="22" t="n"/>
      <c r="D645" s="23" t="n"/>
      <c r="E645" s="24" t="n"/>
      <c r="F645" s="25" t="n"/>
      <c r="G645" s="25" t="n"/>
      <c r="H645" s="24" t="n"/>
      <c r="I645" s="25" t="n"/>
      <c r="J645" s="17">
        <f>IF(AND(C645="",D645="",G645=""),"",IF(NOT(ISNUMBER(B645)),"Needs a date",IF(AND(D645&lt;&gt;"",NOT(ISNUMBER(D645))),"Amount not a number",IF(N(D645)&lt;0,"Amount below zero",IF(AND(N(D645)=0,G645=""),"Needs an amount or goods",IF(C645="","",IF(COUNTIF(Donors!$B$6:$B$305,C645)=0,"Not on Donors","")))))))</f>
        <v/>
      </c>
      <c r="K645" s="1">
        <f>IF(ISNUMBER(B645),YEAR(B645),"")</f>
        <v/>
      </c>
      <c r="L645">
        <f>IF(ISNUMBER(B645),YEAR(B645)*100+MONTH(B645),"")</f>
        <v/>
      </c>
      <c r="M645">
        <f>IF(ISNUMBER(B645),INT(B645),0)</f>
        <v/>
      </c>
      <c r="N645">
        <f>IF(OR(C645="",F645="",Q645=0),0,IF(COUNTIFS(C$6:C645,C645,F$6:F645,F645,Q$6:Q645,1)=1,1,0))</f>
        <v/>
      </c>
      <c r="O645">
        <f>IF(OR(C645="",Q645=0,H645&lt;&gt;""),"",M645*10000+ROW())</f>
        <v/>
      </c>
      <c r="P645">
        <f>IF(OR(C645="",Q645=0),"",IF(AND(C645=Statement!$C$4,K645=Statement!$C$5),M645*10000+ROW(),""))</f>
        <v/>
      </c>
      <c r="Q645">
        <f>IF(AND(ISNUMBER(B645),OR(N(D645)&gt;0,G645&lt;&gt;"")),1,0)</f>
        <v/>
      </c>
    </row>
    <row r="646">
      <c r="A646" s="1" t="n"/>
      <c r="B646" s="21" t="n"/>
      <c r="C646" s="22" t="n"/>
      <c r="D646" s="23" t="n"/>
      <c r="E646" s="24" t="n"/>
      <c r="F646" s="25" t="n"/>
      <c r="G646" s="25" t="n"/>
      <c r="H646" s="24" t="n"/>
      <c r="I646" s="25" t="n"/>
      <c r="J646" s="17">
        <f>IF(AND(C646="",D646="",G646=""),"",IF(NOT(ISNUMBER(B646)),"Needs a date",IF(AND(D646&lt;&gt;"",NOT(ISNUMBER(D646))),"Amount not a number",IF(N(D646)&lt;0,"Amount below zero",IF(AND(N(D646)=0,G646=""),"Needs an amount or goods",IF(C646="","",IF(COUNTIF(Donors!$B$6:$B$305,C646)=0,"Not on Donors","")))))))</f>
        <v/>
      </c>
      <c r="K646" s="1">
        <f>IF(ISNUMBER(B646),YEAR(B646),"")</f>
        <v/>
      </c>
      <c r="L646">
        <f>IF(ISNUMBER(B646),YEAR(B646)*100+MONTH(B646),"")</f>
        <v/>
      </c>
      <c r="M646">
        <f>IF(ISNUMBER(B646),INT(B646),0)</f>
        <v/>
      </c>
      <c r="N646">
        <f>IF(OR(C646="",F646="",Q646=0),0,IF(COUNTIFS(C$6:C646,C646,F$6:F646,F646,Q$6:Q646,1)=1,1,0))</f>
        <v/>
      </c>
      <c r="O646">
        <f>IF(OR(C646="",Q646=0,H646&lt;&gt;""),"",M646*10000+ROW())</f>
        <v/>
      </c>
      <c r="P646">
        <f>IF(OR(C646="",Q646=0),"",IF(AND(C646=Statement!$C$4,K646=Statement!$C$5),M646*10000+ROW(),""))</f>
        <v/>
      </c>
      <c r="Q646">
        <f>IF(AND(ISNUMBER(B646),OR(N(D646)&gt;0,G646&lt;&gt;"")),1,0)</f>
        <v/>
      </c>
    </row>
    <row r="647">
      <c r="A647" s="1" t="n"/>
      <c r="B647" s="21" t="n"/>
      <c r="C647" s="22" t="n"/>
      <c r="D647" s="23" t="n"/>
      <c r="E647" s="24" t="n"/>
      <c r="F647" s="25" t="n"/>
      <c r="G647" s="25" t="n"/>
      <c r="H647" s="24" t="n"/>
      <c r="I647" s="25" t="n"/>
      <c r="J647" s="17">
        <f>IF(AND(C647="",D647="",G647=""),"",IF(NOT(ISNUMBER(B647)),"Needs a date",IF(AND(D647&lt;&gt;"",NOT(ISNUMBER(D647))),"Amount not a number",IF(N(D647)&lt;0,"Amount below zero",IF(AND(N(D647)=0,G647=""),"Needs an amount or goods",IF(C647="","",IF(COUNTIF(Donors!$B$6:$B$305,C647)=0,"Not on Donors","")))))))</f>
        <v/>
      </c>
      <c r="K647" s="1">
        <f>IF(ISNUMBER(B647),YEAR(B647),"")</f>
        <v/>
      </c>
      <c r="L647">
        <f>IF(ISNUMBER(B647),YEAR(B647)*100+MONTH(B647),"")</f>
        <v/>
      </c>
      <c r="M647">
        <f>IF(ISNUMBER(B647),INT(B647),0)</f>
        <v/>
      </c>
      <c r="N647">
        <f>IF(OR(C647="",F647="",Q647=0),0,IF(COUNTIFS(C$6:C647,C647,F$6:F647,F647,Q$6:Q647,1)=1,1,0))</f>
        <v/>
      </c>
      <c r="O647">
        <f>IF(OR(C647="",Q647=0,H647&lt;&gt;""),"",M647*10000+ROW())</f>
        <v/>
      </c>
      <c r="P647">
        <f>IF(OR(C647="",Q647=0),"",IF(AND(C647=Statement!$C$4,K647=Statement!$C$5),M647*10000+ROW(),""))</f>
        <v/>
      </c>
      <c r="Q647">
        <f>IF(AND(ISNUMBER(B647),OR(N(D647)&gt;0,G647&lt;&gt;"")),1,0)</f>
        <v/>
      </c>
    </row>
    <row r="648">
      <c r="A648" s="1" t="n"/>
      <c r="B648" s="21" t="n"/>
      <c r="C648" s="22" t="n"/>
      <c r="D648" s="23" t="n"/>
      <c r="E648" s="24" t="n"/>
      <c r="F648" s="25" t="n"/>
      <c r="G648" s="25" t="n"/>
      <c r="H648" s="24" t="n"/>
      <c r="I648" s="25" t="n"/>
      <c r="J648" s="17">
        <f>IF(AND(C648="",D648="",G648=""),"",IF(NOT(ISNUMBER(B648)),"Needs a date",IF(AND(D648&lt;&gt;"",NOT(ISNUMBER(D648))),"Amount not a number",IF(N(D648)&lt;0,"Amount below zero",IF(AND(N(D648)=0,G648=""),"Needs an amount or goods",IF(C648="","",IF(COUNTIF(Donors!$B$6:$B$305,C648)=0,"Not on Donors","")))))))</f>
        <v/>
      </c>
      <c r="K648" s="1">
        <f>IF(ISNUMBER(B648),YEAR(B648),"")</f>
        <v/>
      </c>
      <c r="L648">
        <f>IF(ISNUMBER(B648),YEAR(B648)*100+MONTH(B648),"")</f>
        <v/>
      </c>
      <c r="M648">
        <f>IF(ISNUMBER(B648),INT(B648),0)</f>
        <v/>
      </c>
      <c r="N648">
        <f>IF(OR(C648="",F648="",Q648=0),0,IF(COUNTIFS(C$6:C648,C648,F$6:F648,F648,Q$6:Q648,1)=1,1,0))</f>
        <v/>
      </c>
      <c r="O648">
        <f>IF(OR(C648="",Q648=0,H648&lt;&gt;""),"",M648*10000+ROW())</f>
        <v/>
      </c>
      <c r="P648">
        <f>IF(OR(C648="",Q648=0),"",IF(AND(C648=Statement!$C$4,K648=Statement!$C$5),M648*10000+ROW(),""))</f>
        <v/>
      </c>
      <c r="Q648">
        <f>IF(AND(ISNUMBER(B648),OR(N(D648)&gt;0,G648&lt;&gt;"")),1,0)</f>
        <v/>
      </c>
    </row>
    <row r="649">
      <c r="A649" s="1" t="n"/>
      <c r="B649" s="21" t="n"/>
      <c r="C649" s="22" t="n"/>
      <c r="D649" s="23" t="n"/>
      <c r="E649" s="24" t="n"/>
      <c r="F649" s="25" t="n"/>
      <c r="G649" s="25" t="n"/>
      <c r="H649" s="24" t="n"/>
      <c r="I649" s="25" t="n"/>
      <c r="J649" s="17">
        <f>IF(AND(C649="",D649="",G649=""),"",IF(NOT(ISNUMBER(B649)),"Needs a date",IF(AND(D649&lt;&gt;"",NOT(ISNUMBER(D649))),"Amount not a number",IF(N(D649)&lt;0,"Amount below zero",IF(AND(N(D649)=0,G649=""),"Needs an amount or goods",IF(C649="","",IF(COUNTIF(Donors!$B$6:$B$305,C649)=0,"Not on Donors","")))))))</f>
        <v/>
      </c>
      <c r="K649" s="1">
        <f>IF(ISNUMBER(B649),YEAR(B649),"")</f>
        <v/>
      </c>
      <c r="L649">
        <f>IF(ISNUMBER(B649),YEAR(B649)*100+MONTH(B649),"")</f>
        <v/>
      </c>
      <c r="M649">
        <f>IF(ISNUMBER(B649),INT(B649),0)</f>
        <v/>
      </c>
      <c r="N649">
        <f>IF(OR(C649="",F649="",Q649=0),0,IF(COUNTIFS(C$6:C649,C649,F$6:F649,F649,Q$6:Q649,1)=1,1,0))</f>
        <v/>
      </c>
      <c r="O649">
        <f>IF(OR(C649="",Q649=0,H649&lt;&gt;""),"",M649*10000+ROW())</f>
        <v/>
      </c>
      <c r="P649">
        <f>IF(OR(C649="",Q649=0),"",IF(AND(C649=Statement!$C$4,K649=Statement!$C$5),M649*10000+ROW(),""))</f>
        <v/>
      </c>
      <c r="Q649">
        <f>IF(AND(ISNUMBER(B649),OR(N(D649)&gt;0,G649&lt;&gt;"")),1,0)</f>
        <v/>
      </c>
    </row>
    <row r="650">
      <c r="A650" s="1" t="n"/>
      <c r="B650" s="21" t="n"/>
      <c r="C650" s="22" t="n"/>
      <c r="D650" s="23" t="n"/>
      <c r="E650" s="24" t="n"/>
      <c r="F650" s="25" t="n"/>
      <c r="G650" s="25" t="n"/>
      <c r="H650" s="24" t="n"/>
      <c r="I650" s="25" t="n"/>
      <c r="J650" s="17">
        <f>IF(AND(C650="",D650="",G650=""),"",IF(NOT(ISNUMBER(B650)),"Needs a date",IF(AND(D650&lt;&gt;"",NOT(ISNUMBER(D650))),"Amount not a number",IF(N(D650)&lt;0,"Amount below zero",IF(AND(N(D650)=0,G650=""),"Needs an amount or goods",IF(C650="","",IF(COUNTIF(Donors!$B$6:$B$305,C650)=0,"Not on Donors","")))))))</f>
        <v/>
      </c>
      <c r="K650" s="1">
        <f>IF(ISNUMBER(B650),YEAR(B650),"")</f>
        <v/>
      </c>
      <c r="L650">
        <f>IF(ISNUMBER(B650),YEAR(B650)*100+MONTH(B650),"")</f>
        <v/>
      </c>
      <c r="M650">
        <f>IF(ISNUMBER(B650),INT(B650),0)</f>
        <v/>
      </c>
      <c r="N650">
        <f>IF(OR(C650="",F650="",Q650=0),0,IF(COUNTIFS(C$6:C650,C650,F$6:F650,F650,Q$6:Q650,1)=1,1,0))</f>
        <v/>
      </c>
      <c r="O650">
        <f>IF(OR(C650="",Q650=0,H650&lt;&gt;""),"",M650*10000+ROW())</f>
        <v/>
      </c>
      <c r="P650">
        <f>IF(OR(C650="",Q650=0),"",IF(AND(C650=Statement!$C$4,K650=Statement!$C$5),M650*10000+ROW(),""))</f>
        <v/>
      </c>
      <c r="Q650">
        <f>IF(AND(ISNUMBER(B650),OR(N(D650)&gt;0,G650&lt;&gt;"")),1,0)</f>
        <v/>
      </c>
    </row>
    <row r="651">
      <c r="A651" s="1" t="n"/>
      <c r="B651" s="21" t="n"/>
      <c r="C651" s="22" t="n"/>
      <c r="D651" s="23" t="n"/>
      <c r="E651" s="24" t="n"/>
      <c r="F651" s="25" t="n"/>
      <c r="G651" s="25" t="n"/>
      <c r="H651" s="24" t="n"/>
      <c r="I651" s="25" t="n"/>
      <c r="J651" s="17">
        <f>IF(AND(C651="",D651="",G651=""),"",IF(NOT(ISNUMBER(B651)),"Needs a date",IF(AND(D651&lt;&gt;"",NOT(ISNUMBER(D651))),"Amount not a number",IF(N(D651)&lt;0,"Amount below zero",IF(AND(N(D651)=0,G651=""),"Needs an amount or goods",IF(C651="","",IF(COUNTIF(Donors!$B$6:$B$305,C651)=0,"Not on Donors","")))))))</f>
        <v/>
      </c>
      <c r="K651" s="1">
        <f>IF(ISNUMBER(B651),YEAR(B651),"")</f>
        <v/>
      </c>
      <c r="L651">
        <f>IF(ISNUMBER(B651),YEAR(B651)*100+MONTH(B651),"")</f>
        <v/>
      </c>
      <c r="M651">
        <f>IF(ISNUMBER(B651),INT(B651),0)</f>
        <v/>
      </c>
      <c r="N651">
        <f>IF(OR(C651="",F651="",Q651=0),0,IF(COUNTIFS(C$6:C651,C651,F$6:F651,F651,Q$6:Q651,1)=1,1,0))</f>
        <v/>
      </c>
      <c r="O651">
        <f>IF(OR(C651="",Q651=0,H651&lt;&gt;""),"",M651*10000+ROW())</f>
        <v/>
      </c>
      <c r="P651">
        <f>IF(OR(C651="",Q651=0),"",IF(AND(C651=Statement!$C$4,K651=Statement!$C$5),M651*10000+ROW(),""))</f>
        <v/>
      </c>
      <c r="Q651">
        <f>IF(AND(ISNUMBER(B651),OR(N(D651)&gt;0,G651&lt;&gt;"")),1,0)</f>
        <v/>
      </c>
    </row>
    <row r="652">
      <c r="A652" s="1" t="n"/>
      <c r="B652" s="21" t="n"/>
      <c r="C652" s="22" t="n"/>
      <c r="D652" s="23" t="n"/>
      <c r="E652" s="24" t="n"/>
      <c r="F652" s="25" t="n"/>
      <c r="G652" s="25" t="n"/>
      <c r="H652" s="24" t="n"/>
      <c r="I652" s="25" t="n"/>
      <c r="J652" s="17">
        <f>IF(AND(C652="",D652="",G652=""),"",IF(NOT(ISNUMBER(B652)),"Needs a date",IF(AND(D652&lt;&gt;"",NOT(ISNUMBER(D652))),"Amount not a number",IF(N(D652)&lt;0,"Amount below zero",IF(AND(N(D652)=0,G652=""),"Needs an amount or goods",IF(C652="","",IF(COUNTIF(Donors!$B$6:$B$305,C652)=0,"Not on Donors","")))))))</f>
        <v/>
      </c>
      <c r="K652" s="1">
        <f>IF(ISNUMBER(B652),YEAR(B652),"")</f>
        <v/>
      </c>
      <c r="L652">
        <f>IF(ISNUMBER(B652),YEAR(B652)*100+MONTH(B652),"")</f>
        <v/>
      </c>
      <c r="M652">
        <f>IF(ISNUMBER(B652),INT(B652),0)</f>
        <v/>
      </c>
      <c r="N652">
        <f>IF(OR(C652="",F652="",Q652=0),0,IF(COUNTIFS(C$6:C652,C652,F$6:F652,F652,Q$6:Q652,1)=1,1,0))</f>
        <v/>
      </c>
      <c r="O652">
        <f>IF(OR(C652="",Q652=0,H652&lt;&gt;""),"",M652*10000+ROW())</f>
        <v/>
      </c>
      <c r="P652">
        <f>IF(OR(C652="",Q652=0),"",IF(AND(C652=Statement!$C$4,K652=Statement!$C$5),M652*10000+ROW(),""))</f>
        <v/>
      </c>
      <c r="Q652">
        <f>IF(AND(ISNUMBER(B652),OR(N(D652)&gt;0,G652&lt;&gt;"")),1,0)</f>
        <v/>
      </c>
    </row>
    <row r="653">
      <c r="A653" s="1" t="n"/>
      <c r="B653" s="21" t="n"/>
      <c r="C653" s="22" t="n"/>
      <c r="D653" s="23" t="n"/>
      <c r="E653" s="24" t="n"/>
      <c r="F653" s="25" t="n"/>
      <c r="G653" s="25" t="n"/>
      <c r="H653" s="24" t="n"/>
      <c r="I653" s="25" t="n"/>
      <c r="J653" s="17">
        <f>IF(AND(C653="",D653="",G653=""),"",IF(NOT(ISNUMBER(B653)),"Needs a date",IF(AND(D653&lt;&gt;"",NOT(ISNUMBER(D653))),"Amount not a number",IF(N(D653)&lt;0,"Amount below zero",IF(AND(N(D653)=0,G653=""),"Needs an amount or goods",IF(C653="","",IF(COUNTIF(Donors!$B$6:$B$305,C653)=0,"Not on Donors","")))))))</f>
        <v/>
      </c>
      <c r="K653" s="1">
        <f>IF(ISNUMBER(B653),YEAR(B653),"")</f>
        <v/>
      </c>
      <c r="L653">
        <f>IF(ISNUMBER(B653),YEAR(B653)*100+MONTH(B653),"")</f>
        <v/>
      </c>
      <c r="M653">
        <f>IF(ISNUMBER(B653),INT(B653),0)</f>
        <v/>
      </c>
      <c r="N653">
        <f>IF(OR(C653="",F653="",Q653=0),0,IF(COUNTIFS(C$6:C653,C653,F$6:F653,F653,Q$6:Q653,1)=1,1,0))</f>
        <v/>
      </c>
      <c r="O653">
        <f>IF(OR(C653="",Q653=0,H653&lt;&gt;""),"",M653*10000+ROW())</f>
        <v/>
      </c>
      <c r="P653">
        <f>IF(OR(C653="",Q653=0),"",IF(AND(C653=Statement!$C$4,K653=Statement!$C$5),M653*10000+ROW(),""))</f>
        <v/>
      </c>
      <c r="Q653">
        <f>IF(AND(ISNUMBER(B653),OR(N(D653)&gt;0,G653&lt;&gt;"")),1,0)</f>
        <v/>
      </c>
    </row>
    <row r="654">
      <c r="A654" s="1" t="n"/>
      <c r="B654" s="21" t="n"/>
      <c r="C654" s="22" t="n"/>
      <c r="D654" s="23" t="n"/>
      <c r="E654" s="24" t="n"/>
      <c r="F654" s="25" t="n"/>
      <c r="G654" s="25" t="n"/>
      <c r="H654" s="24" t="n"/>
      <c r="I654" s="25" t="n"/>
      <c r="J654" s="17">
        <f>IF(AND(C654="",D654="",G654=""),"",IF(NOT(ISNUMBER(B654)),"Needs a date",IF(AND(D654&lt;&gt;"",NOT(ISNUMBER(D654))),"Amount not a number",IF(N(D654)&lt;0,"Amount below zero",IF(AND(N(D654)=0,G654=""),"Needs an amount or goods",IF(C654="","",IF(COUNTIF(Donors!$B$6:$B$305,C654)=0,"Not on Donors","")))))))</f>
        <v/>
      </c>
      <c r="K654" s="1">
        <f>IF(ISNUMBER(B654),YEAR(B654),"")</f>
        <v/>
      </c>
      <c r="L654">
        <f>IF(ISNUMBER(B654),YEAR(B654)*100+MONTH(B654),"")</f>
        <v/>
      </c>
      <c r="M654">
        <f>IF(ISNUMBER(B654),INT(B654),0)</f>
        <v/>
      </c>
      <c r="N654">
        <f>IF(OR(C654="",F654="",Q654=0),0,IF(COUNTIFS(C$6:C654,C654,F$6:F654,F654,Q$6:Q654,1)=1,1,0))</f>
        <v/>
      </c>
      <c r="O654">
        <f>IF(OR(C654="",Q654=0,H654&lt;&gt;""),"",M654*10000+ROW())</f>
        <v/>
      </c>
      <c r="P654">
        <f>IF(OR(C654="",Q654=0),"",IF(AND(C654=Statement!$C$4,K654=Statement!$C$5),M654*10000+ROW(),""))</f>
        <v/>
      </c>
      <c r="Q654">
        <f>IF(AND(ISNUMBER(B654),OR(N(D654)&gt;0,G654&lt;&gt;"")),1,0)</f>
        <v/>
      </c>
    </row>
    <row r="655">
      <c r="A655" s="1" t="n"/>
      <c r="B655" s="21" t="n"/>
      <c r="C655" s="22" t="n"/>
      <c r="D655" s="23" t="n"/>
      <c r="E655" s="24" t="n"/>
      <c r="F655" s="25" t="n"/>
      <c r="G655" s="25" t="n"/>
      <c r="H655" s="24" t="n"/>
      <c r="I655" s="25" t="n"/>
      <c r="J655" s="17">
        <f>IF(AND(C655="",D655="",G655=""),"",IF(NOT(ISNUMBER(B655)),"Needs a date",IF(AND(D655&lt;&gt;"",NOT(ISNUMBER(D655))),"Amount not a number",IF(N(D655)&lt;0,"Amount below zero",IF(AND(N(D655)=0,G655=""),"Needs an amount or goods",IF(C655="","",IF(COUNTIF(Donors!$B$6:$B$305,C655)=0,"Not on Donors","")))))))</f>
        <v/>
      </c>
      <c r="K655" s="1">
        <f>IF(ISNUMBER(B655),YEAR(B655),"")</f>
        <v/>
      </c>
      <c r="L655">
        <f>IF(ISNUMBER(B655),YEAR(B655)*100+MONTH(B655),"")</f>
        <v/>
      </c>
      <c r="M655">
        <f>IF(ISNUMBER(B655),INT(B655),0)</f>
        <v/>
      </c>
      <c r="N655">
        <f>IF(OR(C655="",F655="",Q655=0),0,IF(COUNTIFS(C$6:C655,C655,F$6:F655,F655,Q$6:Q655,1)=1,1,0))</f>
        <v/>
      </c>
      <c r="O655">
        <f>IF(OR(C655="",Q655=0,H655&lt;&gt;""),"",M655*10000+ROW())</f>
        <v/>
      </c>
      <c r="P655">
        <f>IF(OR(C655="",Q655=0),"",IF(AND(C655=Statement!$C$4,K655=Statement!$C$5),M655*10000+ROW(),""))</f>
        <v/>
      </c>
      <c r="Q655">
        <f>IF(AND(ISNUMBER(B655),OR(N(D655)&gt;0,G655&lt;&gt;"")),1,0)</f>
        <v/>
      </c>
    </row>
    <row r="656">
      <c r="A656" s="1" t="n"/>
      <c r="B656" s="21" t="n"/>
      <c r="C656" s="22" t="n"/>
      <c r="D656" s="23" t="n"/>
      <c r="E656" s="24" t="n"/>
      <c r="F656" s="25" t="n"/>
      <c r="G656" s="25" t="n"/>
      <c r="H656" s="24" t="n"/>
      <c r="I656" s="25" t="n"/>
      <c r="J656" s="17">
        <f>IF(AND(C656="",D656="",G656=""),"",IF(NOT(ISNUMBER(B656)),"Needs a date",IF(AND(D656&lt;&gt;"",NOT(ISNUMBER(D656))),"Amount not a number",IF(N(D656)&lt;0,"Amount below zero",IF(AND(N(D656)=0,G656=""),"Needs an amount or goods",IF(C656="","",IF(COUNTIF(Donors!$B$6:$B$305,C656)=0,"Not on Donors","")))))))</f>
        <v/>
      </c>
      <c r="K656" s="1">
        <f>IF(ISNUMBER(B656),YEAR(B656),"")</f>
        <v/>
      </c>
      <c r="L656">
        <f>IF(ISNUMBER(B656),YEAR(B656)*100+MONTH(B656),"")</f>
        <v/>
      </c>
      <c r="M656">
        <f>IF(ISNUMBER(B656),INT(B656),0)</f>
        <v/>
      </c>
      <c r="N656">
        <f>IF(OR(C656="",F656="",Q656=0),0,IF(COUNTIFS(C$6:C656,C656,F$6:F656,F656,Q$6:Q656,1)=1,1,0))</f>
        <v/>
      </c>
      <c r="O656">
        <f>IF(OR(C656="",Q656=0,H656&lt;&gt;""),"",M656*10000+ROW())</f>
        <v/>
      </c>
      <c r="P656">
        <f>IF(OR(C656="",Q656=0),"",IF(AND(C656=Statement!$C$4,K656=Statement!$C$5),M656*10000+ROW(),""))</f>
        <v/>
      </c>
      <c r="Q656">
        <f>IF(AND(ISNUMBER(B656),OR(N(D656)&gt;0,G656&lt;&gt;"")),1,0)</f>
        <v/>
      </c>
    </row>
    <row r="657">
      <c r="A657" s="1" t="n"/>
      <c r="B657" s="21" t="n"/>
      <c r="C657" s="22" t="n"/>
      <c r="D657" s="23" t="n"/>
      <c r="E657" s="24" t="n"/>
      <c r="F657" s="25" t="n"/>
      <c r="G657" s="25" t="n"/>
      <c r="H657" s="24" t="n"/>
      <c r="I657" s="25" t="n"/>
      <c r="J657" s="17">
        <f>IF(AND(C657="",D657="",G657=""),"",IF(NOT(ISNUMBER(B657)),"Needs a date",IF(AND(D657&lt;&gt;"",NOT(ISNUMBER(D657))),"Amount not a number",IF(N(D657)&lt;0,"Amount below zero",IF(AND(N(D657)=0,G657=""),"Needs an amount or goods",IF(C657="","",IF(COUNTIF(Donors!$B$6:$B$305,C657)=0,"Not on Donors","")))))))</f>
        <v/>
      </c>
      <c r="K657" s="1">
        <f>IF(ISNUMBER(B657),YEAR(B657),"")</f>
        <v/>
      </c>
      <c r="L657">
        <f>IF(ISNUMBER(B657),YEAR(B657)*100+MONTH(B657),"")</f>
        <v/>
      </c>
      <c r="M657">
        <f>IF(ISNUMBER(B657),INT(B657),0)</f>
        <v/>
      </c>
      <c r="N657">
        <f>IF(OR(C657="",F657="",Q657=0),0,IF(COUNTIFS(C$6:C657,C657,F$6:F657,F657,Q$6:Q657,1)=1,1,0))</f>
        <v/>
      </c>
      <c r="O657">
        <f>IF(OR(C657="",Q657=0,H657&lt;&gt;""),"",M657*10000+ROW())</f>
        <v/>
      </c>
      <c r="P657">
        <f>IF(OR(C657="",Q657=0),"",IF(AND(C657=Statement!$C$4,K657=Statement!$C$5),M657*10000+ROW(),""))</f>
        <v/>
      </c>
      <c r="Q657">
        <f>IF(AND(ISNUMBER(B657),OR(N(D657)&gt;0,G657&lt;&gt;"")),1,0)</f>
        <v/>
      </c>
    </row>
    <row r="658">
      <c r="A658" s="1" t="n"/>
      <c r="B658" s="21" t="n"/>
      <c r="C658" s="22" t="n"/>
      <c r="D658" s="23" t="n"/>
      <c r="E658" s="24" t="n"/>
      <c r="F658" s="25" t="n"/>
      <c r="G658" s="25" t="n"/>
      <c r="H658" s="24" t="n"/>
      <c r="I658" s="25" t="n"/>
      <c r="J658" s="17">
        <f>IF(AND(C658="",D658="",G658=""),"",IF(NOT(ISNUMBER(B658)),"Needs a date",IF(AND(D658&lt;&gt;"",NOT(ISNUMBER(D658))),"Amount not a number",IF(N(D658)&lt;0,"Amount below zero",IF(AND(N(D658)=0,G658=""),"Needs an amount or goods",IF(C658="","",IF(COUNTIF(Donors!$B$6:$B$305,C658)=0,"Not on Donors","")))))))</f>
        <v/>
      </c>
      <c r="K658" s="1">
        <f>IF(ISNUMBER(B658),YEAR(B658),"")</f>
        <v/>
      </c>
      <c r="L658">
        <f>IF(ISNUMBER(B658),YEAR(B658)*100+MONTH(B658),"")</f>
        <v/>
      </c>
      <c r="M658">
        <f>IF(ISNUMBER(B658),INT(B658),0)</f>
        <v/>
      </c>
      <c r="N658">
        <f>IF(OR(C658="",F658="",Q658=0),0,IF(COUNTIFS(C$6:C658,C658,F$6:F658,F658,Q$6:Q658,1)=1,1,0))</f>
        <v/>
      </c>
      <c r="O658">
        <f>IF(OR(C658="",Q658=0,H658&lt;&gt;""),"",M658*10000+ROW())</f>
        <v/>
      </c>
      <c r="P658">
        <f>IF(OR(C658="",Q658=0),"",IF(AND(C658=Statement!$C$4,K658=Statement!$C$5),M658*10000+ROW(),""))</f>
        <v/>
      </c>
      <c r="Q658">
        <f>IF(AND(ISNUMBER(B658),OR(N(D658)&gt;0,G658&lt;&gt;"")),1,0)</f>
        <v/>
      </c>
    </row>
    <row r="659">
      <c r="A659" s="1" t="n"/>
      <c r="B659" s="21" t="n"/>
      <c r="C659" s="22" t="n"/>
      <c r="D659" s="23" t="n"/>
      <c r="E659" s="24" t="n"/>
      <c r="F659" s="25" t="n"/>
      <c r="G659" s="25" t="n"/>
      <c r="H659" s="24" t="n"/>
      <c r="I659" s="25" t="n"/>
      <c r="J659" s="17">
        <f>IF(AND(C659="",D659="",G659=""),"",IF(NOT(ISNUMBER(B659)),"Needs a date",IF(AND(D659&lt;&gt;"",NOT(ISNUMBER(D659))),"Amount not a number",IF(N(D659)&lt;0,"Amount below zero",IF(AND(N(D659)=0,G659=""),"Needs an amount or goods",IF(C659="","",IF(COUNTIF(Donors!$B$6:$B$305,C659)=0,"Not on Donors","")))))))</f>
        <v/>
      </c>
      <c r="K659" s="1">
        <f>IF(ISNUMBER(B659),YEAR(B659),"")</f>
        <v/>
      </c>
      <c r="L659">
        <f>IF(ISNUMBER(B659),YEAR(B659)*100+MONTH(B659),"")</f>
        <v/>
      </c>
      <c r="M659">
        <f>IF(ISNUMBER(B659),INT(B659),0)</f>
        <v/>
      </c>
      <c r="N659">
        <f>IF(OR(C659="",F659="",Q659=0),0,IF(COUNTIFS(C$6:C659,C659,F$6:F659,F659,Q$6:Q659,1)=1,1,0))</f>
        <v/>
      </c>
      <c r="O659">
        <f>IF(OR(C659="",Q659=0,H659&lt;&gt;""),"",M659*10000+ROW())</f>
        <v/>
      </c>
      <c r="P659">
        <f>IF(OR(C659="",Q659=0),"",IF(AND(C659=Statement!$C$4,K659=Statement!$C$5),M659*10000+ROW(),""))</f>
        <v/>
      </c>
      <c r="Q659">
        <f>IF(AND(ISNUMBER(B659),OR(N(D659)&gt;0,G659&lt;&gt;"")),1,0)</f>
        <v/>
      </c>
    </row>
    <row r="660">
      <c r="A660" s="1" t="n"/>
      <c r="B660" s="21" t="n"/>
      <c r="C660" s="22" t="n"/>
      <c r="D660" s="23" t="n"/>
      <c r="E660" s="24" t="n"/>
      <c r="F660" s="25" t="n"/>
      <c r="G660" s="25" t="n"/>
      <c r="H660" s="24" t="n"/>
      <c r="I660" s="25" t="n"/>
      <c r="J660" s="17">
        <f>IF(AND(C660="",D660="",G660=""),"",IF(NOT(ISNUMBER(B660)),"Needs a date",IF(AND(D660&lt;&gt;"",NOT(ISNUMBER(D660))),"Amount not a number",IF(N(D660)&lt;0,"Amount below zero",IF(AND(N(D660)=0,G660=""),"Needs an amount or goods",IF(C660="","",IF(COUNTIF(Donors!$B$6:$B$305,C660)=0,"Not on Donors","")))))))</f>
        <v/>
      </c>
      <c r="K660" s="1">
        <f>IF(ISNUMBER(B660),YEAR(B660),"")</f>
        <v/>
      </c>
      <c r="L660">
        <f>IF(ISNUMBER(B660),YEAR(B660)*100+MONTH(B660),"")</f>
        <v/>
      </c>
      <c r="M660">
        <f>IF(ISNUMBER(B660),INT(B660),0)</f>
        <v/>
      </c>
      <c r="N660">
        <f>IF(OR(C660="",F660="",Q660=0),0,IF(COUNTIFS(C$6:C660,C660,F$6:F660,F660,Q$6:Q660,1)=1,1,0))</f>
        <v/>
      </c>
      <c r="O660">
        <f>IF(OR(C660="",Q660=0,H660&lt;&gt;""),"",M660*10000+ROW())</f>
        <v/>
      </c>
      <c r="P660">
        <f>IF(OR(C660="",Q660=0),"",IF(AND(C660=Statement!$C$4,K660=Statement!$C$5),M660*10000+ROW(),""))</f>
        <v/>
      </c>
      <c r="Q660">
        <f>IF(AND(ISNUMBER(B660),OR(N(D660)&gt;0,G660&lt;&gt;"")),1,0)</f>
        <v/>
      </c>
    </row>
    <row r="661">
      <c r="A661" s="1" t="n"/>
      <c r="B661" s="21" t="n"/>
      <c r="C661" s="22" t="n"/>
      <c r="D661" s="23" t="n"/>
      <c r="E661" s="24" t="n"/>
      <c r="F661" s="25" t="n"/>
      <c r="G661" s="25" t="n"/>
      <c r="H661" s="24" t="n"/>
      <c r="I661" s="25" t="n"/>
      <c r="J661" s="17">
        <f>IF(AND(C661="",D661="",G661=""),"",IF(NOT(ISNUMBER(B661)),"Needs a date",IF(AND(D661&lt;&gt;"",NOT(ISNUMBER(D661))),"Amount not a number",IF(N(D661)&lt;0,"Amount below zero",IF(AND(N(D661)=0,G661=""),"Needs an amount or goods",IF(C661="","",IF(COUNTIF(Donors!$B$6:$B$305,C661)=0,"Not on Donors","")))))))</f>
        <v/>
      </c>
      <c r="K661" s="1">
        <f>IF(ISNUMBER(B661),YEAR(B661),"")</f>
        <v/>
      </c>
      <c r="L661">
        <f>IF(ISNUMBER(B661),YEAR(B661)*100+MONTH(B661),"")</f>
        <v/>
      </c>
      <c r="M661">
        <f>IF(ISNUMBER(B661),INT(B661),0)</f>
        <v/>
      </c>
      <c r="N661">
        <f>IF(OR(C661="",F661="",Q661=0),0,IF(COUNTIFS(C$6:C661,C661,F$6:F661,F661,Q$6:Q661,1)=1,1,0))</f>
        <v/>
      </c>
      <c r="O661">
        <f>IF(OR(C661="",Q661=0,H661&lt;&gt;""),"",M661*10000+ROW())</f>
        <v/>
      </c>
      <c r="P661">
        <f>IF(OR(C661="",Q661=0),"",IF(AND(C661=Statement!$C$4,K661=Statement!$C$5),M661*10000+ROW(),""))</f>
        <v/>
      </c>
      <c r="Q661">
        <f>IF(AND(ISNUMBER(B661),OR(N(D661)&gt;0,G661&lt;&gt;"")),1,0)</f>
        <v/>
      </c>
    </row>
    <row r="662">
      <c r="A662" s="1" t="n"/>
      <c r="B662" s="21" t="n"/>
      <c r="C662" s="22" t="n"/>
      <c r="D662" s="23" t="n"/>
      <c r="E662" s="24" t="n"/>
      <c r="F662" s="25" t="n"/>
      <c r="G662" s="25" t="n"/>
      <c r="H662" s="24" t="n"/>
      <c r="I662" s="25" t="n"/>
      <c r="J662" s="17">
        <f>IF(AND(C662="",D662="",G662=""),"",IF(NOT(ISNUMBER(B662)),"Needs a date",IF(AND(D662&lt;&gt;"",NOT(ISNUMBER(D662))),"Amount not a number",IF(N(D662)&lt;0,"Amount below zero",IF(AND(N(D662)=0,G662=""),"Needs an amount or goods",IF(C662="","",IF(COUNTIF(Donors!$B$6:$B$305,C662)=0,"Not on Donors","")))))))</f>
        <v/>
      </c>
      <c r="K662" s="1">
        <f>IF(ISNUMBER(B662),YEAR(B662),"")</f>
        <v/>
      </c>
      <c r="L662">
        <f>IF(ISNUMBER(B662),YEAR(B662)*100+MONTH(B662),"")</f>
        <v/>
      </c>
      <c r="M662">
        <f>IF(ISNUMBER(B662),INT(B662),0)</f>
        <v/>
      </c>
      <c r="N662">
        <f>IF(OR(C662="",F662="",Q662=0),0,IF(COUNTIFS(C$6:C662,C662,F$6:F662,F662,Q$6:Q662,1)=1,1,0))</f>
        <v/>
      </c>
      <c r="O662">
        <f>IF(OR(C662="",Q662=0,H662&lt;&gt;""),"",M662*10000+ROW())</f>
        <v/>
      </c>
      <c r="P662">
        <f>IF(OR(C662="",Q662=0),"",IF(AND(C662=Statement!$C$4,K662=Statement!$C$5),M662*10000+ROW(),""))</f>
        <v/>
      </c>
      <c r="Q662">
        <f>IF(AND(ISNUMBER(B662),OR(N(D662)&gt;0,G662&lt;&gt;"")),1,0)</f>
        <v/>
      </c>
    </row>
    <row r="663">
      <c r="A663" s="1" t="n"/>
      <c r="B663" s="21" t="n"/>
      <c r="C663" s="22" t="n"/>
      <c r="D663" s="23" t="n"/>
      <c r="E663" s="24" t="n"/>
      <c r="F663" s="25" t="n"/>
      <c r="G663" s="25" t="n"/>
      <c r="H663" s="24" t="n"/>
      <c r="I663" s="25" t="n"/>
      <c r="J663" s="17">
        <f>IF(AND(C663="",D663="",G663=""),"",IF(NOT(ISNUMBER(B663)),"Needs a date",IF(AND(D663&lt;&gt;"",NOT(ISNUMBER(D663))),"Amount not a number",IF(N(D663)&lt;0,"Amount below zero",IF(AND(N(D663)=0,G663=""),"Needs an amount or goods",IF(C663="","",IF(COUNTIF(Donors!$B$6:$B$305,C663)=0,"Not on Donors","")))))))</f>
        <v/>
      </c>
      <c r="K663" s="1">
        <f>IF(ISNUMBER(B663),YEAR(B663),"")</f>
        <v/>
      </c>
      <c r="L663">
        <f>IF(ISNUMBER(B663),YEAR(B663)*100+MONTH(B663),"")</f>
        <v/>
      </c>
      <c r="M663">
        <f>IF(ISNUMBER(B663),INT(B663),0)</f>
        <v/>
      </c>
      <c r="N663">
        <f>IF(OR(C663="",F663="",Q663=0),0,IF(COUNTIFS(C$6:C663,C663,F$6:F663,F663,Q$6:Q663,1)=1,1,0))</f>
        <v/>
      </c>
      <c r="O663">
        <f>IF(OR(C663="",Q663=0,H663&lt;&gt;""),"",M663*10000+ROW())</f>
        <v/>
      </c>
      <c r="P663">
        <f>IF(OR(C663="",Q663=0),"",IF(AND(C663=Statement!$C$4,K663=Statement!$C$5),M663*10000+ROW(),""))</f>
        <v/>
      </c>
      <c r="Q663">
        <f>IF(AND(ISNUMBER(B663),OR(N(D663)&gt;0,G663&lt;&gt;"")),1,0)</f>
        <v/>
      </c>
    </row>
    <row r="664">
      <c r="A664" s="1" t="n"/>
      <c r="B664" s="21" t="n"/>
      <c r="C664" s="22" t="n"/>
      <c r="D664" s="23" t="n"/>
      <c r="E664" s="24" t="n"/>
      <c r="F664" s="25" t="n"/>
      <c r="G664" s="25" t="n"/>
      <c r="H664" s="24" t="n"/>
      <c r="I664" s="25" t="n"/>
      <c r="J664" s="17">
        <f>IF(AND(C664="",D664="",G664=""),"",IF(NOT(ISNUMBER(B664)),"Needs a date",IF(AND(D664&lt;&gt;"",NOT(ISNUMBER(D664))),"Amount not a number",IF(N(D664)&lt;0,"Amount below zero",IF(AND(N(D664)=0,G664=""),"Needs an amount or goods",IF(C664="","",IF(COUNTIF(Donors!$B$6:$B$305,C664)=0,"Not on Donors","")))))))</f>
        <v/>
      </c>
      <c r="K664" s="1">
        <f>IF(ISNUMBER(B664),YEAR(B664),"")</f>
        <v/>
      </c>
      <c r="L664">
        <f>IF(ISNUMBER(B664),YEAR(B664)*100+MONTH(B664),"")</f>
        <v/>
      </c>
      <c r="M664">
        <f>IF(ISNUMBER(B664),INT(B664),0)</f>
        <v/>
      </c>
      <c r="N664">
        <f>IF(OR(C664="",F664="",Q664=0),0,IF(COUNTIFS(C$6:C664,C664,F$6:F664,F664,Q$6:Q664,1)=1,1,0))</f>
        <v/>
      </c>
      <c r="O664">
        <f>IF(OR(C664="",Q664=0,H664&lt;&gt;""),"",M664*10000+ROW())</f>
        <v/>
      </c>
      <c r="P664">
        <f>IF(OR(C664="",Q664=0),"",IF(AND(C664=Statement!$C$4,K664=Statement!$C$5),M664*10000+ROW(),""))</f>
        <v/>
      </c>
      <c r="Q664">
        <f>IF(AND(ISNUMBER(B664),OR(N(D664)&gt;0,G664&lt;&gt;"")),1,0)</f>
        <v/>
      </c>
    </row>
    <row r="665">
      <c r="A665" s="1" t="n"/>
      <c r="B665" s="21" t="n"/>
      <c r="C665" s="22" t="n"/>
      <c r="D665" s="23" t="n"/>
      <c r="E665" s="24" t="n"/>
      <c r="F665" s="25" t="n"/>
      <c r="G665" s="25" t="n"/>
      <c r="H665" s="24" t="n"/>
      <c r="I665" s="25" t="n"/>
      <c r="J665" s="17">
        <f>IF(AND(C665="",D665="",G665=""),"",IF(NOT(ISNUMBER(B665)),"Needs a date",IF(AND(D665&lt;&gt;"",NOT(ISNUMBER(D665))),"Amount not a number",IF(N(D665)&lt;0,"Amount below zero",IF(AND(N(D665)=0,G665=""),"Needs an amount or goods",IF(C665="","",IF(COUNTIF(Donors!$B$6:$B$305,C665)=0,"Not on Donors","")))))))</f>
        <v/>
      </c>
      <c r="K665" s="1">
        <f>IF(ISNUMBER(B665),YEAR(B665),"")</f>
        <v/>
      </c>
      <c r="L665">
        <f>IF(ISNUMBER(B665),YEAR(B665)*100+MONTH(B665),"")</f>
        <v/>
      </c>
      <c r="M665">
        <f>IF(ISNUMBER(B665),INT(B665),0)</f>
        <v/>
      </c>
      <c r="N665">
        <f>IF(OR(C665="",F665="",Q665=0),0,IF(COUNTIFS(C$6:C665,C665,F$6:F665,F665,Q$6:Q665,1)=1,1,0))</f>
        <v/>
      </c>
      <c r="O665">
        <f>IF(OR(C665="",Q665=0,H665&lt;&gt;""),"",M665*10000+ROW())</f>
        <v/>
      </c>
      <c r="P665">
        <f>IF(OR(C665="",Q665=0),"",IF(AND(C665=Statement!$C$4,K665=Statement!$C$5),M665*10000+ROW(),""))</f>
        <v/>
      </c>
      <c r="Q665">
        <f>IF(AND(ISNUMBER(B665),OR(N(D665)&gt;0,G665&lt;&gt;"")),1,0)</f>
        <v/>
      </c>
    </row>
    <row r="666">
      <c r="A666" s="1" t="n"/>
      <c r="B666" s="21" t="n"/>
      <c r="C666" s="22" t="n"/>
      <c r="D666" s="23" t="n"/>
      <c r="E666" s="24" t="n"/>
      <c r="F666" s="25" t="n"/>
      <c r="G666" s="25" t="n"/>
      <c r="H666" s="24" t="n"/>
      <c r="I666" s="25" t="n"/>
      <c r="J666" s="17">
        <f>IF(AND(C666="",D666="",G666=""),"",IF(NOT(ISNUMBER(B666)),"Needs a date",IF(AND(D666&lt;&gt;"",NOT(ISNUMBER(D666))),"Amount not a number",IF(N(D666)&lt;0,"Amount below zero",IF(AND(N(D666)=0,G666=""),"Needs an amount or goods",IF(C666="","",IF(COUNTIF(Donors!$B$6:$B$305,C666)=0,"Not on Donors","")))))))</f>
        <v/>
      </c>
      <c r="K666" s="1">
        <f>IF(ISNUMBER(B666),YEAR(B666),"")</f>
        <v/>
      </c>
      <c r="L666">
        <f>IF(ISNUMBER(B666),YEAR(B666)*100+MONTH(B666),"")</f>
        <v/>
      </c>
      <c r="M666">
        <f>IF(ISNUMBER(B666),INT(B666),0)</f>
        <v/>
      </c>
      <c r="N666">
        <f>IF(OR(C666="",F666="",Q666=0),0,IF(COUNTIFS(C$6:C666,C666,F$6:F666,F666,Q$6:Q666,1)=1,1,0))</f>
        <v/>
      </c>
      <c r="O666">
        <f>IF(OR(C666="",Q666=0,H666&lt;&gt;""),"",M666*10000+ROW())</f>
        <v/>
      </c>
      <c r="P666">
        <f>IF(OR(C666="",Q666=0),"",IF(AND(C666=Statement!$C$4,K666=Statement!$C$5),M666*10000+ROW(),""))</f>
        <v/>
      </c>
      <c r="Q666">
        <f>IF(AND(ISNUMBER(B666),OR(N(D666)&gt;0,G666&lt;&gt;"")),1,0)</f>
        <v/>
      </c>
    </row>
    <row r="667">
      <c r="A667" s="1" t="n"/>
      <c r="B667" s="21" t="n"/>
      <c r="C667" s="22" t="n"/>
      <c r="D667" s="23" t="n"/>
      <c r="E667" s="24" t="n"/>
      <c r="F667" s="25" t="n"/>
      <c r="G667" s="25" t="n"/>
      <c r="H667" s="24" t="n"/>
      <c r="I667" s="25" t="n"/>
      <c r="J667" s="17">
        <f>IF(AND(C667="",D667="",G667=""),"",IF(NOT(ISNUMBER(B667)),"Needs a date",IF(AND(D667&lt;&gt;"",NOT(ISNUMBER(D667))),"Amount not a number",IF(N(D667)&lt;0,"Amount below zero",IF(AND(N(D667)=0,G667=""),"Needs an amount or goods",IF(C667="","",IF(COUNTIF(Donors!$B$6:$B$305,C667)=0,"Not on Donors","")))))))</f>
        <v/>
      </c>
      <c r="K667" s="1">
        <f>IF(ISNUMBER(B667),YEAR(B667),"")</f>
        <v/>
      </c>
      <c r="L667">
        <f>IF(ISNUMBER(B667),YEAR(B667)*100+MONTH(B667),"")</f>
        <v/>
      </c>
      <c r="M667">
        <f>IF(ISNUMBER(B667),INT(B667),0)</f>
        <v/>
      </c>
      <c r="N667">
        <f>IF(OR(C667="",F667="",Q667=0),0,IF(COUNTIFS(C$6:C667,C667,F$6:F667,F667,Q$6:Q667,1)=1,1,0))</f>
        <v/>
      </c>
      <c r="O667">
        <f>IF(OR(C667="",Q667=0,H667&lt;&gt;""),"",M667*10000+ROW())</f>
        <v/>
      </c>
      <c r="P667">
        <f>IF(OR(C667="",Q667=0),"",IF(AND(C667=Statement!$C$4,K667=Statement!$C$5),M667*10000+ROW(),""))</f>
        <v/>
      </c>
      <c r="Q667">
        <f>IF(AND(ISNUMBER(B667),OR(N(D667)&gt;0,G667&lt;&gt;"")),1,0)</f>
        <v/>
      </c>
    </row>
    <row r="668">
      <c r="A668" s="1" t="n"/>
      <c r="B668" s="21" t="n"/>
      <c r="C668" s="22" t="n"/>
      <c r="D668" s="23" t="n"/>
      <c r="E668" s="24" t="n"/>
      <c r="F668" s="25" t="n"/>
      <c r="G668" s="25" t="n"/>
      <c r="H668" s="24" t="n"/>
      <c r="I668" s="25" t="n"/>
      <c r="J668" s="17">
        <f>IF(AND(C668="",D668="",G668=""),"",IF(NOT(ISNUMBER(B668)),"Needs a date",IF(AND(D668&lt;&gt;"",NOT(ISNUMBER(D668))),"Amount not a number",IF(N(D668)&lt;0,"Amount below zero",IF(AND(N(D668)=0,G668=""),"Needs an amount or goods",IF(C668="","",IF(COUNTIF(Donors!$B$6:$B$305,C668)=0,"Not on Donors","")))))))</f>
        <v/>
      </c>
      <c r="K668" s="1">
        <f>IF(ISNUMBER(B668),YEAR(B668),"")</f>
        <v/>
      </c>
      <c r="L668">
        <f>IF(ISNUMBER(B668),YEAR(B668)*100+MONTH(B668),"")</f>
        <v/>
      </c>
      <c r="M668">
        <f>IF(ISNUMBER(B668),INT(B668),0)</f>
        <v/>
      </c>
      <c r="N668">
        <f>IF(OR(C668="",F668="",Q668=0),0,IF(COUNTIFS(C$6:C668,C668,F$6:F668,F668,Q$6:Q668,1)=1,1,0))</f>
        <v/>
      </c>
      <c r="O668">
        <f>IF(OR(C668="",Q668=0,H668&lt;&gt;""),"",M668*10000+ROW())</f>
        <v/>
      </c>
      <c r="P668">
        <f>IF(OR(C668="",Q668=0),"",IF(AND(C668=Statement!$C$4,K668=Statement!$C$5),M668*10000+ROW(),""))</f>
        <v/>
      </c>
      <c r="Q668">
        <f>IF(AND(ISNUMBER(B668),OR(N(D668)&gt;0,G668&lt;&gt;"")),1,0)</f>
        <v/>
      </c>
    </row>
    <row r="669">
      <c r="A669" s="1" t="n"/>
      <c r="B669" s="21" t="n"/>
      <c r="C669" s="22" t="n"/>
      <c r="D669" s="23" t="n"/>
      <c r="E669" s="24" t="n"/>
      <c r="F669" s="25" t="n"/>
      <c r="G669" s="25" t="n"/>
      <c r="H669" s="24" t="n"/>
      <c r="I669" s="25" t="n"/>
      <c r="J669" s="17">
        <f>IF(AND(C669="",D669="",G669=""),"",IF(NOT(ISNUMBER(B669)),"Needs a date",IF(AND(D669&lt;&gt;"",NOT(ISNUMBER(D669))),"Amount not a number",IF(N(D669)&lt;0,"Amount below zero",IF(AND(N(D669)=0,G669=""),"Needs an amount or goods",IF(C669="","",IF(COUNTIF(Donors!$B$6:$B$305,C669)=0,"Not on Donors","")))))))</f>
        <v/>
      </c>
      <c r="K669" s="1">
        <f>IF(ISNUMBER(B669),YEAR(B669),"")</f>
        <v/>
      </c>
      <c r="L669">
        <f>IF(ISNUMBER(B669),YEAR(B669)*100+MONTH(B669),"")</f>
        <v/>
      </c>
      <c r="M669">
        <f>IF(ISNUMBER(B669),INT(B669),0)</f>
        <v/>
      </c>
      <c r="N669">
        <f>IF(OR(C669="",F669="",Q669=0),0,IF(COUNTIFS(C$6:C669,C669,F$6:F669,F669,Q$6:Q669,1)=1,1,0))</f>
        <v/>
      </c>
      <c r="O669">
        <f>IF(OR(C669="",Q669=0,H669&lt;&gt;""),"",M669*10000+ROW())</f>
        <v/>
      </c>
      <c r="P669">
        <f>IF(OR(C669="",Q669=0),"",IF(AND(C669=Statement!$C$4,K669=Statement!$C$5),M669*10000+ROW(),""))</f>
        <v/>
      </c>
      <c r="Q669">
        <f>IF(AND(ISNUMBER(B669),OR(N(D669)&gt;0,G669&lt;&gt;"")),1,0)</f>
        <v/>
      </c>
    </row>
    <row r="670">
      <c r="A670" s="1" t="n"/>
      <c r="B670" s="21" t="n"/>
      <c r="C670" s="22" t="n"/>
      <c r="D670" s="23" t="n"/>
      <c r="E670" s="24" t="n"/>
      <c r="F670" s="25" t="n"/>
      <c r="G670" s="25" t="n"/>
      <c r="H670" s="24" t="n"/>
      <c r="I670" s="25" t="n"/>
      <c r="J670" s="17">
        <f>IF(AND(C670="",D670="",G670=""),"",IF(NOT(ISNUMBER(B670)),"Needs a date",IF(AND(D670&lt;&gt;"",NOT(ISNUMBER(D670))),"Amount not a number",IF(N(D670)&lt;0,"Amount below zero",IF(AND(N(D670)=0,G670=""),"Needs an amount or goods",IF(C670="","",IF(COUNTIF(Donors!$B$6:$B$305,C670)=0,"Not on Donors","")))))))</f>
        <v/>
      </c>
      <c r="K670" s="1">
        <f>IF(ISNUMBER(B670),YEAR(B670),"")</f>
        <v/>
      </c>
      <c r="L670">
        <f>IF(ISNUMBER(B670),YEAR(B670)*100+MONTH(B670),"")</f>
        <v/>
      </c>
      <c r="M670">
        <f>IF(ISNUMBER(B670),INT(B670),0)</f>
        <v/>
      </c>
      <c r="N670">
        <f>IF(OR(C670="",F670="",Q670=0),0,IF(COUNTIFS(C$6:C670,C670,F$6:F670,F670,Q$6:Q670,1)=1,1,0))</f>
        <v/>
      </c>
      <c r="O670">
        <f>IF(OR(C670="",Q670=0,H670&lt;&gt;""),"",M670*10000+ROW())</f>
        <v/>
      </c>
      <c r="P670">
        <f>IF(OR(C670="",Q670=0),"",IF(AND(C670=Statement!$C$4,K670=Statement!$C$5),M670*10000+ROW(),""))</f>
        <v/>
      </c>
      <c r="Q670">
        <f>IF(AND(ISNUMBER(B670),OR(N(D670)&gt;0,G670&lt;&gt;"")),1,0)</f>
        <v/>
      </c>
    </row>
    <row r="671">
      <c r="A671" s="1" t="n"/>
      <c r="B671" s="21" t="n"/>
      <c r="C671" s="22" t="n"/>
      <c r="D671" s="23" t="n"/>
      <c r="E671" s="24" t="n"/>
      <c r="F671" s="25" t="n"/>
      <c r="G671" s="25" t="n"/>
      <c r="H671" s="24" t="n"/>
      <c r="I671" s="25" t="n"/>
      <c r="J671" s="17">
        <f>IF(AND(C671="",D671="",G671=""),"",IF(NOT(ISNUMBER(B671)),"Needs a date",IF(AND(D671&lt;&gt;"",NOT(ISNUMBER(D671))),"Amount not a number",IF(N(D671)&lt;0,"Amount below zero",IF(AND(N(D671)=0,G671=""),"Needs an amount or goods",IF(C671="","",IF(COUNTIF(Donors!$B$6:$B$305,C671)=0,"Not on Donors","")))))))</f>
        <v/>
      </c>
      <c r="K671" s="1">
        <f>IF(ISNUMBER(B671),YEAR(B671),"")</f>
        <v/>
      </c>
      <c r="L671">
        <f>IF(ISNUMBER(B671),YEAR(B671)*100+MONTH(B671),"")</f>
        <v/>
      </c>
      <c r="M671">
        <f>IF(ISNUMBER(B671),INT(B671),0)</f>
        <v/>
      </c>
      <c r="N671">
        <f>IF(OR(C671="",F671="",Q671=0),0,IF(COUNTIFS(C$6:C671,C671,F$6:F671,F671,Q$6:Q671,1)=1,1,0))</f>
        <v/>
      </c>
      <c r="O671">
        <f>IF(OR(C671="",Q671=0,H671&lt;&gt;""),"",M671*10000+ROW())</f>
        <v/>
      </c>
      <c r="P671">
        <f>IF(OR(C671="",Q671=0),"",IF(AND(C671=Statement!$C$4,K671=Statement!$C$5),M671*10000+ROW(),""))</f>
        <v/>
      </c>
      <c r="Q671">
        <f>IF(AND(ISNUMBER(B671),OR(N(D671)&gt;0,G671&lt;&gt;"")),1,0)</f>
        <v/>
      </c>
    </row>
    <row r="672">
      <c r="A672" s="1" t="n"/>
      <c r="B672" s="21" t="n"/>
      <c r="C672" s="22" t="n"/>
      <c r="D672" s="23" t="n"/>
      <c r="E672" s="24" t="n"/>
      <c r="F672" s="25" t="n"/>
      <c r="G672" s="25" t="n"/>
      <c r="H672" s="24" t="n"/>
      <c r="I672" s="25" t="n"/>
      <c r="J672" s="17">
        <f>IF(AND(C672="",D672="",G672=""),"",IF(NOT(ISNUMBER(B672)),"Needs a date",IF(AND(D672&lt;&gt;"",NOT(ISNUMBER(D672))),"Amount not a number",IF(N(D672)&lt;0,"Amount below zero",IF(AND(N(D672)=0,G672=""),"Needs an amount or goods",IF(C672="","",IF(COUNTIF(Donors!$B$6:$B$305,C672)=0,"Not on Donors","")))))))</f>
        <v/>
      </c>
      <c r="K672" s="1">
        <f>IF(ISNUMBER(B672),YEAR(B672),"")</f>
        <v/>
      </c>
      <c r="L672">
        <f>IF(ISNUMBER(B672),YEAR(B672)*100+MONTH(B672),"")</f>
        <v/>
      </c>
      <c r="M672">
        <f>IF(ISNUMBER(B672),INT(B672),0)</f>
        <v/>
      </c>
      <c r="N672">
        <f>IF(OR(C672="",F672="",Q672=0),0,IF(COUNTIFS(C$6:C672,C672,F$6:F672,F672,Q$6:Q672,1)=1,1,0))</f>
        <v/>
      </c>
      <c r="O672">
        <f>IF(OR(C672="",Q672=0,H672&lt;&gt;""),"",M672*10000+ROW())</f>
        <v/>
      </c>
      <c r="P672">
        <f>IF(OR(C672="",Q672=0),"",IF(AND(C672=Statement!$C$4,K672=Statement!$C$5),M672*10000+ROW(),""))</f>
        <v/>
      </c>
      <c r="Q672">
        <f>IF(AND(ISNUMBER(B672),OR(N(D672)&gt;0,G672&lt;&gt;"")),1,0)</f>
        <v/>
      </c>
    </row>
    <row r="673">
      <c r="A673" s="1" t="n"/>
      <c r="B673" s="21" t="n"/>
      <c r="C673" s="22" t="n"/>
      <c r="D673" s="23" t="n"/>
      <c r="E673" s="24" t="n"/>
      <c r="F673" s="25" t="n"/>
      <c r="G673" s="25" t="n"/>
      <c r="H673" s="24" t="n"/>
      <c r="I673" s="25" t="n"/>
      <c r="J673" s="17">
        <f>IF(AND(C673="",D673="",G673=""),"",IF(NOT(ISNUMBER(B673)),"Needs a date",IF(AND(D673&lt;&gt;"",NOT(ISNUMBER(D673))),"Amount not a number",IF(N(D673)&lt;0,"Amount below zero",IF(AND(N(D673)=0,G673=""),"Needs an amount or goods",IF(C673="","",IF(COUNTIF(Donors!$B$6:$B$305,C673)=0,"Not on Donors","")))))))</f>
        <v/>
      </c>
      <c r="K673" s="1">
        <f>IF(ISNUMBER(B673),YEAR(B673),"")</f>
        <v/>
      </c>
      <c r="L673">
        <f>IF(ISNUMBER(B673),YEAR(B673)*100+MONTH(B673),"")</f>
        <v/>
      </c>
      <c r="M673">
        <f>IF(ISNUMBER(B673),INT(B673),0)</f>
        <v/>
      </c>
      <c r="N673">
        <f>IF(OR(C673="",F673="",Q673=0),0,IF(COUNTIFS(C$6:C673,C673,F$6:F673,F673,Q$6:Q673,1)=1,1,0))</f>
        <v/>
      </c>
      <c r="O673">
        <f>IF(OR(C673="",Q673=0,H673&lt;&gt;""),"",M673*10000+ROW())</f>
        <v/>
      </c>
      <c r="P673">
        <f>IF(OR(C673="",Q673=0),"",IF(AND(C673=Statement!$C$4,K673=Statement!$C$5),M673*10000+ROW(),""))</f>
        <v/>
      </c>
      <c r="Q673">
        <f>IF(AND(ISNUMBER(B673),OR(N(D673)&gt;0,G673&lt;&gt;"")),1,0)</f>
        <v/>
      </c>
    </row>
    <row r="674">
      <c r="A674" s="1" t="n"/>
      <c r="B674" s="21" t="n"/>
      <c r="C674" s="22" t="n"/>
      <c r="D674" s="23" t="n"/>
      <c r="E674" s="24" t="n"/>
      <c r="F674" s="25" t="n"/>
      <c r="G674" s="25" t="n"/>
      <c r="H674" s="24" t="n"/>
      <c r="I674" s="25" t="n"/>
      <c r="J674" s="17">
        <f>IF(AND(C674="",D674="",G674=""),"",IF(NOT(ISNUMBER(B674)),"Needs a date",IF(AND(D674&lt;&gt;"",NOT(ISNUMBER(D674))),"Amount not a number",IF(N(D674)&lt;0,"Amount below zero",IF(AND(N(D674)=0,G674=""),"Needs an amount or goods",IF(C674="","",IF(COUNTIF(Donors!$B$6:$B$305,C674)=0,"Not on Donors","")))))))</f>
        <v/>
      </c>
      <c r="K674" s="1">
        <f>IF(ISNUMBER(B674),YEAR(B674),"")</f>
        <v/>
      </c>
      <c r="L674">
        <f>IF(ISNUMBER(B674),YEAR(B674)*100+MONTH(B674),"")</f>
        <v/>
      </c>
      <c r="M674">
        <f>IF(ISNUMBER(B674),INT(B674),0)</f>
        <v/>
      </c>
      <c r="N674">
        <f>IF(OR(C674="",F674="",Q674=0),0,IF(COUNTIFS(C$6:C674,C674,F$6:F674,F674,Q$6:Q674,1)=1,1,0))</f>
        <v/>
      </c>
      <c r="O674">
        <f>IF(OR(C674="",Q674=0,H674&lt;&gt;""),"",M674*10000+ROW())</f>
        <v/>
      </c>
      <c r="P674">
        <f>IF(OR(C674="",Q674=0),"",IF(AND(C674=Statement!$C$4,K674=Statement!$C$5),M674*10000+ROW(),""))</f>
        <v/>
      </c>
      <c r="Q674">
        <f>IF(AND(ISNUMBER(B674),OR(N(D674)&gt;0,G674&lt;&gt;"")),1,0)</f>
        <v/>
      </c>
    </row>
    <row r="675">
      <c r="A675" s="1" t="n"/>
      <c r="B675" s="21" t="n"/>
      <c r="C675" s="22" t="n"/>
      <c r="D675" s="23" t="n"/>
      <c r="E675" s="24" t="n"/>
      <c r="F675" s="25" t="n"/>
      <c r="G675" s="25" t="n"/>
      <c r="H675" s="24" t="n"/>
      <c r="I675" s="25" t="n"/>
      <c r="J675" s="17">
        <f>IF(AND(C675="",D675="",G675=""),"",IF(NOT(ISNUMBER(B675)),"Needs a date",IF(AND(D675&lt;&gt;"",NOT(ISNUMBER(D675))),"Amount not a number",IF(N(D675)&lt;0,"Amount below zero",IF(AND(N(D675)=0,G675=""),"Needs an amount or goods",IF(C675="","",IF(COUNTIF(Donors!$B$6:$B$305,C675)=0,"Not on Donors","")))))))</f>
        <v/>
      </c>
      <c r="K675" s="1">
        <f>IF(ISNUMBER(B675),YEAR(B675),"")</f>
        <v/>
      </c>
      <c r="L675">
        <f>IF(ISNUMBER(B675),YEAR(B675)*100+MONTH(B675),"")</f>
        <v/>
      </c>
      <c r="M675">
        <f>IF(ISNUMBER(B675),INT(B675),0)</f>
        <v/>
      </c>
      <c r="N675">
        <f>IF(OR(C675="",F675="",Q675=0),0,IF(COUNTIFS(C$6:C675,C675,F$6:F675,F675,Q$6:Q675,1)=1,1,0))</f>
        <v/>
      </c>
      <c r="O675">
        <f>IF(OR(C675="",Q675=0,H675&lt;&gt;""),"",M675*10000+ROW())</f>
        <v/>
      </c>
      <c r="P675">
        <f>IF(OR(C675="",Q675=0),"",IF(AND(C675=Statement!$C$4,K675=Statement!$C$5),M675*10000+ROW(),""))</f>
        <v/>
      </c>
      <c r="Q675">
        <f>IF(AND(ISNUMBER(B675),OR(N(D675)&gt;0,G675&lt;&gt;"")),1,0)</f>
        <v/>
      </c>
    </row>
    <row r="676">
      <c r="A676" s="1" t="n"/>
      <c r="B676" s="21" t="n"/>
      <c r="C676" s="22" t="n"/>
      <c r="D676" s="23" t="n"/>
      <c r="E676" s="24" t="n"/>
      <c r="F676" s="25" t="n"/>
      <c r="G676" s="25" t="n"/>
      <c r="H676" s="24" t="n"/>
      <c r="I676" s="25" t="n"/>
      <c r="J676" s="17">
        <f>IF(AND(C676="",D676="",G676=""),"",IF(NOT(ISNUMBER(B676)),"Needs a date",IF(AND(D676&lt;&gt;"",NOT(ISNUMBER(D676))),"Amount not a number",IF(N(D676)&lt;0,"Amount below zero",IF(AND(N(D676)=0,G676=""),"Needs an amount or goods",IF(C676="","",IF(COUNTIF(Donors!$B$6:$B$305,C676)=0,"Not on Donors","")))))))</f>
        <v/>
      </c>
      <c r="K676" s="1">
        <f>IF(ISNUMBER(B676),YEAR(B676),"")</f>
        <v/>
      </c>
      <c r="L676">
        <f>IF(ISNUMBER(B676),YEAR(B676)*100+MONTH(B676),"")</f>
        <v/>
      </c>
      <c r="M676">
        <f>IF(ISNUMBER(B676),INT(B676),0)</f>
        <v/>
      </c>
      <c r="N676">
        <f>IF(OR(C676="",F676="",Q676=0),0,IF(COUNTIFS(C$6:C676,C676,F$6:F676,F676,Q$6:Q676,1)=1,1,0))</f>
        <v/>
      </c>
      <c r="O676">
        <f>IF(OR(C676="",Q676=0,H676&lt;&gt;""),"",M676*10000+ROW())</f>
        <v/>
      </c>
      <c r="P676">
        <f>IF(OR(C676="",Q676=0),"",IF(AND(C676=Statement!$C$4,K676=Statement!$C$5),M676*10000+ROW(),""))</f>
        <v/>
      </c>
      <c r="Q676">
        <f>IF(AND(ISNUMBER(B676),OR(N(D676)&gt;0,G676&lt;&gt;"")),1,0)</f>
        <v/>
      </c>
    </row>
    <row r="677">
      <c r="A677" s="1" t="n"/>
      <c r="B677" s="21" t="n"/>
      <c r="C677" s="22" t="n"/>
      <c r="D677" s="23" t="n"/>
      <c r="E677" s="24" t="n"/>
      <c r="F677" s="25" t="n"/>
      <c r="G677" s="25" t="n"/>
      <c r="H677" s="24" t="n"/>
      <c r="I677" s="25" t="n"/>
      <c r="J677" s="17">
        <f>IF(AND(C677="",D677="",G677=""),"",IF(NOT(ISNUMBER(B677)),"Needs a date",IF(AND(D677&lt;&gt;"",NOT(ISNUMBER(D677))),"Amount not a number",IF(N(D677)&lt;0,"Amount below zero",IF(AND(N(D677)=0,G677=""),"Needs an amount or goods",IF(C677="","",IF(COUNTIF(Donors!$B$6:$B$305,C677)=0,"Not on Donors","")))))))</f>
        <v/>
      </c>
      <c r="K677" s="1">
        <f>IF(ISNUMBER(B677),YEAR(B677),"")</f>
        <v/>
      </c>
      <c r="L677">
        <f>IF(ISNUMBER(B677),YEAR(B677)*100+MONTH(B677),"")</f>
        <v/>
      </c>
      <c r="M677">
        <f>IF(ISNUMBER(B677),INT(B677),0)</f>
        <v/>
      </c>
      <c r="N677">
        <f>IF(OR(C677="",F677="",Q677=0),0,IF(COUNTIFS(C$6:C677,C677,F$6:F677,F677,Q$6:Q677,1)=1,1,0))</f>
        <v/>
      </c>
      <c r="O677">
        <f>IF(OR(C677="",Q677=0,H677&lt;&gt;""),"",M677*10000+ROW())</f>
        <v/>
      </c>
      <c r="P677">
        <f>IF(OR(C677="",Q677=0),"",IF(AND(C677=Statement!$C$4,K677=Statement!$C$5),M677*10000+ROW(),""))</f>
        <v/>
      </c>
      <c r="Q677">
        <f>IF(AND(ISNUMBER(B677),OR(N(D677)&gt;0,G677&lt;&gt;"")),1,0)</f>
        <v/>
      </c>
    </row>
    <row r="678">
      <c r="A678" s="1" t="n"/>
      <c r="B678" s="21" t="n"/>
      <c r="C678" s="22" t="n"/>
      <c r="D678" s="23" t="n"/>
      <c r="E678" s="24" t="n"/>
      <c r="F678" s="25" t="n"/>
      <c r="G678" s="25" t="n"/>
      <c r="H678" s="24" t="n"/>
      <c r="I678" s="25" t="n"/>
      <c r="J678" s="17">
        <f>IF(AND(C678="",D678="",G678=""),"",IF(NOT(ISNUMBER(B678)),"Needs a date",IF(AND(D678&lt;&gt;"",NOT(ISNUMBER(D678))),"Amount not a number",IF(N(D678)&lt;0,"Amount below zero",IF(AND(N(D678)=0,G678=""),"Needs an amount or goods",IF(C678="","",IF(COUNTIF(Donors!$B$6:$B$305,C678)=0,"Not on Donors","")))))))</f>
        <v/>
      </c>
      <c r="K678" s="1">
        <f>IF(ISNUMBER(B678),YEAR(B678),"")</f>
        <v/>
      </c>
      <c r="L678">
        <f>IF(ISNUMBER(B678),YEAR(B678)*100+MONTH(B678),"")</f>
        <v/>
      </c>
      <c r="M678">
        <f>IF(ISNUMBER(B678),INT(B678),0)</f>
        <v/>
      </c>
      <c r="N678">
        <f>IF(OR(C678="",F678="",Q678=0),0,IF(COUNTIFS(C$6:C678,C678,F$6:F678,F678,Q$6:Q678,1)=1,1,0))</f>
        <v/>
      </c>
      <c r="O678">
        <f>IF(OR(C678="",Q678=0,H678&lt;&gt;""),"",M678*10000+ROW())</f>
        <v/>
      </c>
      <c r="P678">
        <f>IF(OR(C678="",Q678=0),"",IF(AND(C678=Statement!$C$4,K678=Statement!$C$5),M678*10000+ROW(),""))</f>
        <v/>
      </c>
      <c r="Q678">
        <f>IF(AND(ISNUMBER(B678),OR(N(D678)&gt;0,G678&lt;&gt;"")),1,0)</f>
        <v/>
      </c>
    </row>
    <row r="679">
      <c r="A679" s="1" t="n"/>
      <c r="B679" s="21" t="n"/>
      <c r="C679" s="22" t="n"/>
      <c r="D679" s="23" t="n"/>
      <c r="E679" s="24" t="n"/>
      <c r="F679" s="25" t="n"/>
      <c r="G679" s="25" t="n"/>
      <c r="H679" s="24" t="n"/>
      <c r="I679" s="25" t="n"/>
      <c r="J679" s="17">
        <f>IF(AND(C679="",D679="",G679=""),"",IF(NOT(ISNUMBER(B679)),"Needs a date",IF(AND(D679&lt;&gt;"",NOT(ISNUMBER(D679))),"Amount not a number",IF(N(D679)&lt;0,"Amount below zero",IF(AND(N(D679)=0,G679=""),"Needs an amount or goods",IF(C679="","",IF(COUNTIF(Donors!$B$6:$B$305,C679)=0,"Not on Donors","")))))))</f>
        <v/>
      </c>
      <c r="K679" s="1">
        <f>IF(ISNUMBER(B679),YEAR(B679),"")</f>
        <v/>
      </c>
      <c r="L679">
        <f>IF(ISNUMBER(B679),YEAR(B679)*100+MONTH(B679),"")</f>
        <v/>
      </c>
      <c r="M679">
        <f>IF(ISNUMBER(B679),INT(B679),0)</f>
        <v/>
      </c>
      <c r="N679">
        <f>IF(OR(C679="",F679="",Q679=0),0,IF(COUNTIFS(C$6:C679,C679,F$6:F679,F679,Q$6:Q679,1)=1,1,0))</f>
        <v/>
      </c>
      <c r="O679">
        <f>IF(OR(C679="",Q679=0,H679&lt;&gt;""),"",M679*10000+ROW())</f>
        <v/>
      </c>
      <c r="P679">
        <f>IF(OR(C679="",Q679=0),"",IF(AND(C679=Statement!$C$4,K679=Statement!$C$5),M679*10000+ROW(),""))</f>
        <v/>
      </c>
      <c r="Q679">
        <f>IF(AND(ISNUMBER(B679),OR(N(D679)&gt;0,G679&lt;&gt;"")),1,0)</f>
        <v/>
      </c>
    </row>
    <row r="680">
      <c r="A680" s="1" t="n"/>
      <c r="B680" s="21" t="n"/>
      <c r="C680" s="22" t="n"/>
      <c r="D680" s="23" t="n"/>
      <c r="E680" s="24" t="n"/>
      <c r="F680" s="25" t="n"/>
      <c r="G680" s="25" t="n"/>
      <c r="H680" s="24" t="n"/>
      <c r="I680" s="25" t="n"/>
      <c r="J680" s="17">
        <f>IF(AND(C680="",D680="",G680=""),"",IF(NOT(ISNUMBER(B680)),"Needs a date",IF(AND(D680&lt;&gt;"",NOT(ISNUMBER(D680))),"Amount not a number",IF(N(D680)&lt;0,"Amount below zero",IF(AND(N(D680)=0,G680=""),"Needs an amount or goods",IF(C680="","",IF(COUNTIF(Donors!$B$6:$B$305,C680)=0,"Not on Donors","")))))))</f>
        <v/>
      </c>
      <c r="K680" s="1">
        <f>IF(ISNUMBER(B680),YEAR(B680),"")</f>
        <v/>
      </c>
      <c r="L680">
        <f>IF(ISNUMBER(B680),YEAR(B680)*100+MONTH(B680),"")</f>
        <v/>
      </c>
      <c r="M680">
        <f>IF(ISNUMBER(B680),INT(B680),0)</f>
        <v/>
      </c>
      <c r="N680">
        <f>IF(OR(C680="",F680="",Q680=0),0,IF(COUNTIFS(C$6:C680,C680,F$6:F680,F680,Q$6:Q680,1)=1,1,0))</f>
        <v/>
      </c>
      <c r="O680">
        <f>IF(OR(C680="",Q680=0,H680&lt;&gt;""),"",M680*10000+ROW())</f>
        <v/>
      </c>
      <c r="P680">
        <f>IF(OR(C680="",Q680=0),"",IF(AND(C680=Statement!$C$4,K680=Statement!$C$5),M680*10000+ROW(),""))</f>
        <v/>
      </c>
      <c r="Q680">
        <f>IF(AND(ISNUMBER(B680),OR(N(D680)&gt;0,G680&lt;&gt;"")),1,0)</f>
        <v/>
      </c>
    </row>
    <row r="681">
      <c r="A681" s="1" t="n"/>
      <c r="B681" s="21" t="n"/>
      <c r="C681" s="22" t="n"/>
      <c r="D681" s="23" t="n"/>
      <c r="E681" s="24" t="n"/>
      <c r="F681" s="25" t="n"/>
      <c r="G681" s="25" t="n"/>
      <c r="H681" s="24" t="n"/>
      <c r="I681" s="25" t="n"/>
      <c r="J681" s="17">
        <f>IF(AND(C681="",D681="",G681=""),"",IF(NOT(ISNUMBER(B681)),"Needs a date",IF(AND(D681&lt;&gt;"",NOT(ISNUMBER(D681))),"Amount not a number",IF(N(D681)&lt;0,"Amount below zero",IF(AND(N(D681)=0,G681=""),"Needs an amount or goods",IF(C681="","",IF(COUNTIF(Donors!$B$6:$B$305,C681)=0,"Not on Donors","")))))))</f>
        <v/>
      </c>
      <c r="K681" s="1">
        <f>IF(ISNUMBER(B681),YEAR(B681),"")</f>
        <v/>
      </c>
      <c r="L681">
        <f>IF(ISNUMBER(B681),YEAR(B681)*100+MONTH(B681),"")</f>
        <v/>
      </c>
      <c r="M681">
        <f>IF(ISNUMBER(B681),INT(B681),0)</f>
        <v/>
      </c>
      <c r="N681">
        <f>IF(OR(C681="",F681="",Q681=0),0,IF(COUNTIFS(C$6:C681,C681,F$6:F681,F681,Q$6:Q681,1)=1,1,0))</f>
        <v/>
      </c>
      <c r="O681">
        <f>IF(OR(C681="",Q681=0,H681&lt;&gt;""),"",M681*10000+ROW())</f>
        <v/>
      </c>
      <c r="P681">
        <f>IF(OR(C681="",Q681=0),"",IF(AND(C681=Statement!$C$4,K681=Statement!$C$5),M681*10000+ROW(),""))</f>
        <v/>
      </c>
      <c r="Q681">
        <f>IF(AND(ISNUMBER(B681),OR(N(D681)&gt;0,G681&lt;&gt;"")),1,0)</f>
        <v/>
      </c>
    </row>
    <row r="682">
      <c r="A682" s="1" t="n"/>
      <c r="B682" s="21" t="n"/>
      <c r="C682" s="22" t="n"/>
      <c r="D682" s="23" t="n"/>
      <c r="E682" s="24" t="n"/>
      <c r="F682" s="25" t="n"/>
      <c r="G682" s="25" t="n"/>
      <c r="H682" s="24" t="n"/>
      <c r="I682" s="25" t="n"/>
      <c r="J682" s="17">
        <f>IF(AND(C682="",D682="",G682=""),"",IF(NOT(ISNUMBER(B682)),"Needs a date",IF(AND(D682&lt;&gt;"",NOT(ISNUMBER(D682))),"Amount not a number",IF(N(D682)&lt;0,"Amount below zero",IF(AND(N(D682)=0,G682=""),"Needs an amount or goods",IF(C682="","",IF(COUNTIF(Donors!$B$6:$B$305,C682)=0,"Not on Donors","")))))))</f>
        <v/>
      </c>
      <c r="K682" s="1">
        <f>IF(ISNUMBER(B682),YEAR(B682),"")</f>
        <v/>
      </c>
      <c r="L682">
        <f>IF(ISNUMBER(B682),YEAR(B682)*100+MONTH(B682),"")</f>
        <v/>
      </c>
      <c r="M682">
        <f>IF(ISNUMBER(B682),INT(B682),0)</f>
        <v/>
      </c>
      <c r="N682">
        <f>IF(OR(C682="",F682="",Q682=0),0,IF(COUNTIFS(C$6:C682,C682,F$6:F682,F682,Q$6:Q682,1)=1,1,0))</f>
        <v/>
      </c>
      <c r="O682">
        <f>IF(OR(C682="",Q682=0,H682&lt;&gt;""),"",M682*10000+ROW())</f>
        <v/>
      </c>
      <c r="P682">
        <f>IF(OR(C682="",Q682=0),"",IF(AND(C682=Statement!$C$4,K682=Statement!$C$5),M682*10000+ROW(),""))</f>
        <v/>
      </c>
      <c r="Q682">
        <f>IF(AND(ISNUMBER(B682),OR(N(D682)&gt;0,G682&lt;&gt;"")),1,0)</f>
        <v/>
      </c>
    </row>
    <row r="683">
      <c r="A683" s="1" t="n"/>
      <c r="B683" s="21" t="n"/>
      <c r="C683" s="22" t="n"/>
      <c r="D683" s="23" t="n"/>
      <c r="E683" s="24" t="n"/>
      <c r="F683" s="25" t="n"/>
      <c r="G683" s="25" t="n"/>
      <c r="H683" s="24" t="n"/>
      <c r="I683" s="25" t="n"/>
      <c r="J683" s="17">
        <f>IF(AND(C683="",D683="",G683=""),"",IF(NOT(ISNUMBER(B683)),"Needs a date",IF(AND(D683&lt;&gt;"",NOT(ISNUMBER(D683))),"Amount not a number",IF(N(D683)&lt;0,"Amount below zero",IF(AND(N(D683)=0,G683=""),"Needs an amount or goods",IF(C683="","",IF(COUNTIF(Donors!$B$6:$B$305,C683)=0,"Not on Donors","")))))))</f>
        <v/>
      </c>
      <c r="K683" s="1">
        <f>IF(ISNUMBER(B683),YEAR(B683),"")</f>
        <v/>
      </c>
      <c r="L683">
        <f>IF(ISNUMBER(B683),YEAR(B683)*100+MONTH(B683),"")</f>
        <v/>
      </c>
      <c r="M683">
        <f>IF(ISNUMBER(B683),INT(B683),0)</f>
        <v/>
      </c>
      <c r="N683">
        <f>IF(OR(C683="",F683="",Q683=0),0,IF(COUNTIFS(C$6:C683,C683,F$6:F683,F683,Q$6:Q683,1)=1,1,0))</f>
        <v/>
      </c>
      <c r="O683">
        <f>IF(OR(C683="",Q683=0,H683&lt;&gt;""),"",M683*10000+ROW())</f>
        <v/>
      </c>
      <c r="P683">
        <f>IF(OR(C683="",Q683=0),"",IF(AND(C683=Statement!$C$4,K683=Statement!$C$5),M683*10000+ROW(),""))</f>
        <v/>
      </c>
      <c r="Q683">
        <f>IF(AND(ISNUMBER(B683),OR(N(D683)&gt;0,G683&lt;&gt;"")),1,0)</f>
        <v/>
      </c>
    </row>
    <row r="684">
      <c r="A684" s="1" t="n"/>
      <c r="B684" s="21" t="n"/>
      <c r="C684" s="22" t="n"/>
      <c r="D684" s="23" t="n"/>
      <c r="E684" s="24" t="n"/>
      <c r="F684" s="25" t="n"/>
      <c r="G684" s="25" t="n"/>
      <c r="H684" s="24" t="n"/>
      <c r="I684" s="25" t="n"/>
      <c r="J684" s="17">
        <f>IF(AND(C684="",D684="",G684=""),"",IF(NOT(ISNUMBER(B684)),"Needs a date",IF(AND(D684&lt;&gt;"",NOT(ISNUMBER(D684))),"Amount not a number",IF(N(D684)&lt;0,"Amount below zero",IF(AND(N(D684)=0,G684=""),"Needs an amount or goods",IF(C684="","",IF(COUNTIF(Donors!$B$6:$B$305,C684)=0,"Not on Donors","")))))))</f>
        <v/>
      </c>
      <c r="K684" s="1">
        <f>IF(ISNUMBER(B684),YEAR(B684),"")</f>
        <v/>
      </c>
      <c r="L684">
        <f>IF(ISNUMBER(B684),YEAR(B684)*100+MONTH(B684),"")</f>
        <v/>
      </c>
      <c r="M684">
        <f>IF(ISNUMBER(B684),INT(B684),0)</f>
        <v/>
      </c>
      <c r="N684">
        <f>IF(OR(C684="",F684="",Q684=0),0,IF(COUNTIFS(C$6:C684,C684,F$6:F684,F684,Q$6:Q684,1)=1,1,0))</f>
        <v/>
      </c>
      <c r="O684">
        <f>IF(OR(C684="",Q684=0,H684&lt;&gt;""),"",M684*10000+ROW())</f>
        <v/>
      </c>
      <c r="P684">
        <f>IF(OR(C684="",Q684=0),"",IF(AND(C684=Statement!$C$4,K684=Statement!$C$5),M684*10000+ROW(),""))</f>
        <v/>
      </c>
      <c r="Q684">
        <f>IF(AND(ISNUMBER(B684),OR(N(D684)&gt;0,G684&lt;&gt;"")),1,0)</f>
        <v/>
      </c>
    </row>
    <row r="685">
      <c r="A685" s="1" t="n"/>
      <c r="B685" s="21" t="n"/>
      <c r="C685" s="22" t="n"/>
      <c r="D685" s="23" t="n"/>
      <c r="E685" s="24" t="n"/>
      <c r="F685" s="25" t="n"/>
      <c r="G685" s="25" t="n"/>
      <c r="H685" s="24" t="n"/>
      <c r="I685" s="25" t="n"/>
      <c r="J685" s="17">
        <f>IF(AND(C685="",D685="",G685=""),"",IF(NOT(ISNUMBER(B685)),"Needs a date",IF(AND(D685&lt;&gt;"",NOT(ISNUMBER(D685))),"Amount not a number",IF(N(D685)&lt;0,"Amount below zero",IF(AND(N(D685)=0,G685=""),"Needs an amount or goods",IF(C685="","",IF(COUNTIF(Donors!$B$6:$B$305,C685)=0,"Not on Donors","")))))))</f>
        <v/>
      </c>
      <c r="K685" s="1">
        <f>IF(ISNUMBER(B685),YEAR(B685),"")</f>
        <v/>
      </c>
      <c r="L685">
        <f>IF(ISNUMBER(B685),YEAR(B685)*100+MONTH(B685),"")</f>
        <v/>
      </c>
      <c r="M685">
        <f>IF(ISNUMBER(B685),INT(B685),0)</f>
        <v/>
      </c>
      <c r="N685">
        <f>IF(OR(C685="",F685="",Q685=0),0,IF(COUNTIFS(C$6:C685,C685,F$6:F685,F685,Q$6:Q685,1)=1,1,0))</f>
        <v/>
      </c>
      <c r="O685">
        <f>IF(OR(C685="",Q685=0,H685&lt;&gt;""),"",M685*10000+ROW())</f>
        <v/>
      </c>
      <c r="P685">
        <f>IF(OR(C685="",Q685=0),"",IF(AND(C685=Statement!$C$4,K685=Statement!$C$5),M685*10000+ROW(),""))</f>
        <v/>
      </c>
      <c r="Q685">
        <f>IF(AND(ISNUMBER(B685),OR(N(D685)&gt;0,G685&lt;&gt;"")),1,0)</f>
        <v/>
      </c>
    </row>
    <row r="686">
      <c r="A686" s="1" t="n"/>
      <c r="B686" s="21" t="n"/>
      <c r="C686" s="22" t="n"/>
      <c r="D686" s="23" t="n"/>
      <c r="E686" s="24" t="n"/>
      <c r="F686" s="25" t="n"/>
      <c r="G686" s="25" t="n"/>
      <c r="H686" s="24" t="n"/>
      <c r="I686" s="25" t="n"/>
      <c r="J686" s="17">
        <f>IF(AND(C686="",D686="",G686=""),"",IF(NOT(ISNUMBER(B686)),"Needs a date",IF(AND(D686&lt;&gt;"",NOT(ISNUMBER(D686))),"Amount not a number",IF(N(D686)&lt;0,"Amount below zero",IF(AND(N(D686)=0,G686=""),"Needs an amount or goods",IF(C686="","",IF(COUNTIF(Donors!$B$6:$B$305,C686)=0,"Not on Donors","")))))))</f>
        <v/>
      </c>
      <c r="K686" s="1">
        <f>IF(ISNUMBER(B686),YEAR(B686),"")</f>
        <v/>
      </c>
      <c r="L686">
        <f>IF(ISNUMBER(B686),YEAR(B686)*100+MONTH(B686),"")</f>
        <v/>
      </c>
      <c r="M686">
        <f>IF(ISNUMBER(B686),INT(B686),0)</f>
        <v/>
      </c>
      <c r="N686">
        <f>IF(OR(C686="",F686="",Q686=0),0,IF(COUNTIFS(C$6:C686,C686,F$6:F686,F686,Q$6:Q686,1)=1,1,0))</f>
        <v/>
      </c>
      <c r="O686">
        <f>IF(OR(C686="",Q686=0,H686&lt;&gt;""),"",M686*10000+ROW())</f>
        <v/>
      </c>
      <c r="P686">
        <f>IF(OR(C686="",Q686=0),"",IF(AND(C686=Statement!$C$4,K686=Statement!$C$5),M686*10000+ROW(),""))</f>
        <v/>
      </c>
      <c r="Q686">
        <f>IF(AND(ISNUMBER(B686),OR(N(D686)&gt;0,G686&lt;&gt;"")),1,0)</f>
        <v/>
      </c>
    </row>
    <row r="687">
      <c r="A687" s="1" t="n"/>
      <c r="B687" s="21" t="n"/>
      <c r="C687" s="22" t="n"/>
      <c r="D687" s="23" t="n"/>
      <c r="E687" s="24" t="n"/>
      <c r="F687" s="25" t="n"/>
      <c r="G687" s="25" t="n"/>
      <c r="H687" s="24" t="n"/>
      <c r="I687" s="25" t="n"/>
      <c r="J687" s="17">
        <f>IF(AND(C687="",D687="",G687=""),"",IF(NOT(ISNUMBER(B687)),"Needs a date",IF(AND(D687&lt;&gt;"",NOT(ISNUMBER(D687))),"Amount not a number",IF(N(D687)&lt;0,"Amount below zero",IF(AND(N(D687)=0,G687=""),"Needs an amount or goods",IF(C687="","",IF(COUNTIF(Donors!$B$6:$B$305,C687)=0,"Not on Donors","")))))))</f>
        <v/>
      </c>
      <c r="K687" s="1">
        <f>IF(ISNUMBER(B687),YEAR(B687),"")</f>
        <v/>
      </c>
      <c r="L687">
        <f>IF(ISNUMBER(B687),YEAR(B687)*100+MONTH(B687),"")</f>
        <v/>
      </c>
      <c r="M687">
        <f>IF(ISNUMBER(B687),INT(B687),0)</f>
        <v/>
      </c>
      <c r="N687">
        <f>IF(OR(C687="",F687="",Q687=0),0,IF(COUNTIFS(C$6:C687,C687,F$6:F687,F687,Q$6:Q687,1)=1,1,0))</f>
        <v/>
      </c>
      <c r="O687">
        <f>IF(OR(C687="",Q687=0,H687&lt;&gt;""),"",M687*10000+ROW())</f>
        <v/>
      </c>
      <c r="P687">
        <f>IF(OR(C687="",Q687=0),"",IF(AND(C687=Statement!$C$4,K687=Statement!$C$5),M687*10000+ROW(),""))</f>
        <v/>
      </c>
      <c r="Q687">
        <f>IF(AND(ISNUMBER(B687),OR(N(D687)&gt;0,G687&lt;&gt;"")),1,0)</f>
        <v/>
      </c>
    </row>
    <row r="688">
      <c r="A688" s="1" t="n"/>
      <c r="B688" s="21" t="n"/>
      <c r="C688" s="22" t="n"/>
      <c r="D688" s="23" t="n"/>
      <c r="E688" s="24" t="n"/>
      <c r="F688" s="25" t="n"/>
      <c r="G688" s="25" t="n"/>
      <c r="H688" s="24" t="n"/>
      <c r="I688" s="25" t="n"/>
      <c r="J688" s="17">
        <f>IF(AND(C688="",D688="",G688=""),"",IF(NOT(ISNUMBER(B688)),"Needs a date",IF(AND(D688&lt;&gt;"",NOT(ISNUMBER(D688))),"Amount not a number",IF(N(D688)&lt;0,"Amount below zero",IF(AND(N(D688)=0,G688=""),"Needs an amount or goods",IF(C688="","",IF(COUNTIF(Donors!$B$6:$B$305,C688)=0,"Not on Donors","")))))))</f>
        <v/>
      </c>
      <c r="K688" s="1">
        <f>IF(ISNUMBER(B688),YEAR(B688),"")</f>
        <v/>
      </c>
      <c r="L688">
        <f>IF(ISNUMBER(B688),YEAR(B688)*100+MONTH(B688),"")</f>
        <v/>
      </c>
      <c r="M688">
        <f>IF(ISNUMBER(B688),INT(B688),0)</f>
        <v/>
      </c>
      <c r="N688">
        <f>IF(OR(C688="",F688="",Q688=0),0,IF(COUNTIFS(C$6:C688,C688,F$6:F688,F688,Q$6:Q688,1)=1,1,0))</f>
        <v/>
      </c>
      <c r="O688">
        <f>IF(OR(C688="",Q688=0,H688&lt;&gt;""),"",M688*10000+ROW())</f>
        <v/>
      </c>
      <c r="P688">
        <f>IF(OR(C688="",Q688=0),"",IF(AND(C688=Statement!$C$4,K688=Statement!$C$5),M688*10000+ROW(),""))</f>
        <v/>
      </c>
      <c r="Q688">
        <f>IF(AND(ISNUMBER(B688),OR(N(D688)&gt;0,G688&lt;&gt;"")),1,0)</f>
        <v/>
      </c>
    </row>
    <row r="689">
      <c r="A689" s="1" t="n"/>
      <c r="B689" s="21" t="n"/>
      <c r="C689" s="22" t="n"/>
      <c r="D689" s="23" t="n"/>
      <c r="E689" s="24" t="n"/>
      <c r="F689" s="25" t="n"/>
      <c r="G689" s="25" t="n"/>
      <c r="H689" s="24" t="n"/>
      <c r="I689" s="25" t="n"/>
      <c r="J689" s="17">
        <f>IF(AND(C689="",D689="",G689=""),"",IF(NOT(ISNUMBER(B689)),"Needs a date",IF(AND(D689&lt;&gt;"",NOT(ISNUMBER(D689))),"Amount not a number",IF(N(D689)&lt;0,"Amount below zero",IF(AND(N(D689)=0,G689=""),"Needs an amount or goods",IF(C689="","",IF(COUNTIF(Donors!$B$6:$B$305,C689)=0,"Not on Donors","")))))))</f>
        <v/>
      </c>
      <c r="K689" s="1">
        <f>IF(ISNUMBER(B689),YEAR(B689),"")</f>
        <v/>
      </c>
      <c r="L689">
        <f>IF(ISNUMBER(B689),YEAR(B689)*100+MONTH(B689),"")</f>
        <v/>
      </c>
      <c r="M689">
        <f>IF(ISNUMBER(B689),INT(B689),0)</f>
        <v/>
      </c>
      <c r="N689">
        <f>IF(OR(C689="",F689="",Q689=0),0,IF(COUNTIFS(C$6:C689,C689,F$6:F689,F689,Q$6:Q689,1)=1,1,0))</f>
        <v/>
      </c>
      <c r="O689">
        <f>IF(OR(C689="",Q689=0,H689&lt;&gt;""),"",M689*10000+ROW())</f>
        <v/>
      </c>
      <c r="P689">
        <f>IF(OR(C689="",Q689=0),"",IF(AND(C689=Statement!$C$4,K689=Statement!$C$5),M689*10000+ROW(),""))</f>
        <v/>
      </c>
      <c r="Q689">
        <f>IF(AND(ISNUMBER(B689),OR(N(D689)&gt;0,G689&lt;&gt;"")),1,0)</f>
        <v/>
      </c>
    </row>
    <row r="690">
      <c r="A690" s="1" t="n"/>
      <c r="B690" s="21" t="n"/>
      <c r="C690" s="22" t="n"/>
      <c r="D690" s="23" t="n"/>
      <c r="E690" s="24" t="n"/>
      <c r="F690" s="25" t="n"/>
      <c r="G690" s="25" t="n"/>
      <c r="H690" s="24" t="n"/>
      <c r="I690" s="25" t="n"/>
      <c r="J690" s="17">
        <f>IF(AND(C690="",D690="",G690=""),"",IF(NOT(ISNUMBER(B690)),"Needs a date",IF(AND(D690&lt;&gt;"",NOT(ISNUMBER(D690))),"Amount not a number",IF(N(D690)&lt;0,"Amount below zero",IF(AND(N(D690)=0,G690=""),"Needs an amount or goods",IF(C690="","",IF(COUNTIF(Donors!$B$6:$B$305,C690)=0,"Not on Donors","")))))))</f>
        <v/>
      </c>
      <c r="K690" s="1">
        <f>IF(ISNUMBER(B690),YEAR(B690),"")</f>
        <v/>
      </c>
      <c r="L690">
        <f>IF(ISNUMBER(B690),YEAR(B690)*100+MONTH(B690),"")</f>
        <v/>
      </c>
      <c r="M690">
        <f>IF(ISNUMBER(B690),INT(B690),0)</f>
        <v/>
      </c>
      <c r="N690">
        <f>IF(OR(C690="",F690="",Q690=0),0,IF(COUNTIFS(C$6:C690,C690,F$6:F690,F690,Q$6:Q690,1)=1,1,0))</f>
        <v/>
      </c>
      <c r="O690">
        <f>IF(OR(C690="",Q690=0,H690&lt;&gt;""),"",M690*10000+ROW())</f>
        <v/>
      </c>
      <c r="P690">
        <f>IF(OR(C690="",Q690=0),"",IF(AND(C690=Statement!$C$4,K690=Statement!$C$5),M690*10000+ROW(),""))</f>
        <v/>
      </c>
      <c r="Q690">
        <f>IF(AND(ISNUMBER(B690),OR(N(D690)&gt;0,G690&lt;&gt;"")),1,0)</f>
        <v/>
      </c>
    </row>
    <row r="691">
      <c r="A691" s="1" t="n"/>
      <c r="B691" s="21" t="n"/>
      <c r="C691" s="22" t="n"/>
      <c r="D691" s="23" t="n"/>
      <c r="E691" s="24" t="n"/>
      <c r="F691" s="25" t="n"/>
      <c r="G691" s="25" t="n"/>
      <c r="H691" s="24" t="n"/>
      <c r="I691" s="25" t="n"/>
      <c r="J691" s="17">
        <f>IF(AND(C691="",D691="",G691=""),"",IF(NOT(ISNUMBER(B691)),"Needs a date",IF(AND(D691&lt;&gt;"",NOT(ISNUMBER(D691))),"Amount not a number",IF(N(D691)&lt;0,"Amount below zero",IF(AND(N(D691)=0,G691=""),"Needs an amount or goods",IF(C691="","",IF(COUNTIF(Donors!$B$6:$B$305,C691)=0,"Not on Donors","")))))))</f>
        <v/>
      </c>
      <c r="K691" s="1">
        <f>IF(ISNUMBER(B691),YEAR(B691),"")</f>
        <v/>
      </c>
      <c r="L691">
        <f>IF(ISNUMBER(B691),YEAR(B691)*100+MONTH(B691),"")</f>
        <v/>
      </c>
      <c r="M691">
        <f>IF(ISNUMBER(B691),INT(B691),0)</f>
        <v/>
      </c>
      <c r="N691">
        <f>IF(OR(C691="",F691="",Q691=0),0,IF(COUNTIFS(C$6:C691,C691,F$6:F691,F691,Q$6:Q691,1)=1,1,0))</f>
        <v/>
      </c>
      <c r="O691">
        <f>IF(OR(C691="",Q691=0,H691&lt;&gt;""),"",M691*10000+ROW())</f>
        <v/>
      </c>
      <c r="P691">
        <f>IF(OR(C691="",Q691=0),"",IF(AND(C691=Statement!$C$4,K691=Statement!$C$5),M691*10000+ROW(),""))</f>
        <v/>
      </c>
      <c r="Q691">
        <f>IF(AND(ISNUMBER(B691),OR(N(D691)&gt;0,G691&lt;&gt;"")),1,0)</f>
        <v/>
      </c>
    </row>
    <row r="692">
      <c r="A692" s="1" t="n"/>
      <c r="B692" s="21" t="n"/>
      <c r="C692" s="22" t="n"/>
      <c r="D692" s="23" t="n"/>
      <c r="E692" s="24" t="n"/>
      <c r="F692" s="25" t="n"/>
      <c r="G692" s="25" t="n"/>
      <c r="H692" s="24" t="n"/>
      <c r="I692" s="25" t="n"/>
      <c r="J692" s="17">
        <f>IF(AND(C692="",D692="",G692=""),"",IF(NOT(ISNUMBER(B692)),"Needs a date",IF(AND(D692&lt;&gt;"",NOT(ISNUMBER(D692))),"Amount not a number",IF(N(D692)&lt;0,"Amount below zero",IF(AND(N(D692)=0,G692=""),"Needs an amount or goods",IF(C692="","",IF(COUNTIF(Donors!$B$6:$B$305,C692)=0,"Not on Donors","")))))))</f>
        <v/>
      </c>
      <c r="K692" s="1">
        <f>IF(ISNUMBER(B692),YEAR(B692),"")</f>
        <v/>
      </c>
      <c r="L692">
        <f>IF(ISNUMBER(B692),YEAR(B692)*100+MONTH(B692),"")</f>
        <v/>
      </c>
      <c r="M692">
        <f>IF(ISNUMBER(B692),INT(B692),0)</f>
        <v/>
      </c>
      <c r="N692">
        <f>IF(OR(C692="",F692="",Q692=0),0,IF(COUNTIFS(C$6:C692,C692,F$6:F692,F692,Q$6:Q692,1)=1,1,0))</f>
        <v/>
      </c>
      <c r="O692">
        <f>IF(OR(C692="",Q692=0,H692&lt;&gt;""),"",M692*10000+ROW())</f>
        <v/>
      </c>
      <c r="P692">
        <f>IF(OR(C692="",Q692=0),"",IF(AND(C692=Statement!$C$4,K692=Statement!$C$5),M692*10000+ROW(),""))</f>
        <v/>
      </c>
      <c r="Q692">
        <f>IF(AND(ISNUMBER(B692),OR(N(D692)&gt;0,G692&lt;&gt;"")),1,0)</f>
        <v/>
      </c>
    </row>
    <row r="693">
      <c r="A693" s="1" t="n"/>
      <c r="B693" s="21" t="n"/>
      <c r="C693" s="22" t="n"/>
      <c r="D693" s="23" t="n"/>
      <c r="E693" s="24" t="n"/>
      <c r="F693" s="25" t="n"/>
      <c r="G693" s="25" t="n"/>
      <c r="H693" s="24" t="n"/>
      <c r="I693" s="25" t="n"/>
      <c r="J693" s="17">
        <f>IF(AND(C693="",D693="",G693=""),"",IF(NOT(ISNUMBER(B693)),"Needs a date",IF(AND(D693&lt;&gt;"",NOT(ISNUMBER(D693))),"Amount not a number",IF(N(D693)&lt;0,"Amount below zero",IF(AND(N(D693)=0,G693=""),"Needs an amount or goods",IF(C693="","",IF(COUNTIF(Donors!$B$6:$B$305,C693)=0,"Not on Donors","")))))))</f>
        <v/>
      </c>
      <c r="K693" s="1">
        <f>IF(ISNUMBER(B693),YEAR(B693),"")</f>
        <v/>
      </c>
      <c r="L693">
        <f>IF(ISNUMBER(B693),YEAR(B693)*100+MONTH(B693),"")</f>
        <v/>
      </c>
      <c r="M693">
        <f>IF(ISNUMBER(B693),INT(B693),0)</f>
        <v/>
      </c>
      <c r="N693">
        <f>IF(OR(C693="",F693="",Q693=0),0,IF(COUNTIFS(C$6:C693,C693,F$6:F693,F693,Q$6:Q693,1)=1,1,0))</f>
        <v/>
      </c>
      <c r="O693">
        <f>IF(OR(C693="",Q693=0,H693&lt;&gt;""),"",M693*10000+ROW())</f>
        <v/>
      </c>
      <c r="P693">
        <f>IF(OR(C693="",Q693=0),"",IF(AND(C693=Statement!$C$4,K693=Statement!$C$5),M693*10000+ROW(),""))</f>
        <v/>
      </c>
      <c r="Q693">
        <f>IF(AND(ISNUMBER(B693),OR(N(D693)&gt;0,G693&lt;&gt;"")),1,0)</f>
        <v/>
      </c>
    </row>
    <row r="694">
      <c r="A694" s="1" t="n"/>
      <c r="B694" s="21" t="n"/>
      <c r="C694" s="22" t="n"/>
      <c r="D694" s="23" t="n"/>
      <c r="E694" s="24" t="n"/>
      <c r="F694" s="25" t="n"/>
      <c r="G694" s="25" t="n"/>
      <c r="H694" s="24" t="n"/>
      <c r="I694" s="25" t="n"/>
      <c r="J694" s="17">
        <f>IF(AND(C694="",D694="",G694=""),"",IF(NOT(ISNUMBER(B694)),"Needs a date",IF(AND(D694&lt;&gt;"",NOT(ISNUMBER(D694))),"Amount not a number",IF(N(D694)&lt;0,"Amount below zero",IF(AND(N(D694)=0,G694=""),"Needs an amount or goods",IF(C694="","",IF(COUNTIF(Donors!$B$6:$B$305,C694)=0,"Not on Donors","")))))))</f>
        <v/>
      </c>
      <c r="K694" s="1">
        <f>IF(ISNUMBER(B694),YEAR(B694),"")</f>
        <v/>
      </c>
      <c r="L694">
        <f>IF(ISNUMBER(B694),YEAR(B694)*100+MONTH(B694),"")</f>
        <v/>
      </c>
      <c r="M694">
        <f>IF(ISNUMBER(B694),INT(B694),0)</f>
        <v/>
      </c>
      <c r="N694">
        <f>IF(OR(C694="",F694="",Q694=0),0,IF(COUNTIFS(C$6:C694,C694,F$6:F694,F694,Q$6:Q694,1)=1,1,0))</f>
        <v/>
      </c>
      <c r="O694">
        <f>IF(OR(C694="",Q694=0,H694&lt;&gt;""),"",M694*10000+ROW())</f>
        <v/>
      </c>
      <c r="P694">
        <f>IF(OR(C694="",Q694=0),"",IF(AND(C694=Statement!$C$4,K694=Statement!$C$5),M694*10000+ROW(),""))</f>
        <v/>
      </c>
      <c r="Q694">
        <f>IF(AND(ISNUMBER(B694),OR(N(D694)&gt;0,G694&lt;&gt;"")),1,0)</f>
        <v/>
      </c>
    </row>
    <row r="695">
      <c r="A695" s="1" t="n"/>
      <c r="B695" s="21" t="n"/>
      <c r="C695" s="22" t="n"/>
      <c r="D695" s="23" t="n"/>
      <c r="E695" s="24" t="n"/>
      <c r="F695" s="25" t="n"/>
      <c r="G695" s="25" t="n"/>
      <c r="H695" s="24" t="n"/>
      <c r="I695" s="25" t="n"/>
      <c r="J695" s="17">
        <f>IF(AND(C695="",D695="",G695=""),"",IF(NOT(ISNUMBER(B695)),"Needs a date",IF(AND(D695&lt;&gt;"",NOT(ISNUMBER(D695))),"Amount not a number",IF(N(D695)&lt;0,"Amount below zero",IF(AND(N(D695)=0,G695=""),"Needs an amount or goods",IF(C695="","",IF(COUNTIF(Donors!$B$6:$B$305,C695)=0,"Not on Donors","")))))))</f>
        <v/>
      </c>
      <c r="K695" s="1">
        <f>IF(ISNUMBER(B695),YEAR(B695),"")</f>
        <v/>
      </c>
      <c r="L695">
        <f>IF(ISNUMBER(B695),YEAR(B695)*100+MONTH(B695),"")</f>
        <v/>
      </c>
      <c r="M695">
        <f>IF(ISNUMBER(B695),INT(B695),0)</f>
        <v/>
      </c>
      <c r="N695">
        <f>IF(OR(C695="",F695="",Q695=0),0,IF(COUNTIFS(C$6:C695,C695,F$6:F695,F695,Q$6:Q695,1)=1,1,0))</f>
        <v/>
      </c>
      <c r="O695">
        <f>IF(OR(C695="",Q695=0,H695&lt;&gt;""),"",M695*10000+ROW())</f>
        <v/>
      </c>
      <c r="P695">
        <f>IF(OR(C695="",Q695=0),"",IF(AND(C695=Statement!$C$4,K695=Statement!$C$5),M695*10000+ROW(),""))</f>
        <v/>
      </c>
      <c r="Q695">
        <f>IF(AND(ISNUMBER(B695),OR(N(D695)&gt;0,G695&lt;&gt;"")),1,0)</f>
        <v/>
      </c>
    </row>
    <row r="696">
      <c r="A696" s="1" t="n"/>
      <c r="B696" s="21" t="n"/>
      <c r="C696" s="22" t="n"/>
      <c r="D696" s="23" t="n"/>
      <c r="E696" s="24" t="n"/>
      <c r="F696" s="25" t="n"/>
      <c r="G696" s="25" t="n"/>
      <c r="H696" s="24" t="n"/>
      <c r="I696" s="25" t="n"/>
      <c r="J696" s="17">
        <f>IF(AND(C696="",D696="",G696=""),"",IF(NOT(ISNUMBER(B696)),"Needs a date",IF(AND(D696&lt;&gt;"",NOT(ISNUMBER(D696))),"Amount not a number",IF(N(D696)&lt;0,"Amount below zero",IF(AND(N(D696)=0,G696=""),"Needs an amount or goods",IF(C696="","",IF(COUNTIF(Donors!$B$6:$B$305,C696)=0,"Not on Donors","")))))))</f>
        <v/>
      </c>
      <c r="K696" s="1">
        <f>IF(ISNUMBER(B696),YEAR(B696),"")</f>
        <v/>
      </c>
      <c r="L696">
        <f>IF(ISNUMBER(B696),YEAR(B696)*100+MONTH(B696),"")</f>
        <v/>
      </c>
      <c r="M696">
        <f>IF(ISNUMBER(B696),INT(B696),0)</f>
        <v/>
      </c>
      <c r="N696">
        <f>IF(OR(C696="",F696="",Q696=0),0,IF(COUNTIFS(C$6:C696,C696,F$6:F696,F696,Q$6:Q696,1)=1,1,0))</f>
        <v/>
      </c>
      <c r="O696">
        <f>IF(OR(C696="",Q696=0,H696&lt;&gt;""),"",M696*10000+ROW())</f>
        <v/>
      </c>
      <c r="P696">
        <f>IF(OR(C696="",Q696=0),"",IF(AND(C696=Statement!$C$4,K696=Statement!$C$5),M696*10000+ROW(),""))</f>
        <v/>
      </c>
      <c r="Q696">
        <f>IF(AND(ISNUMBER(B696),OR(N(D696)&gt;0,G696&lt;&gt;"")),1,0)</f>
        <v/>
      </c>
    </row>
    <row r="697">
      <c r="A697" s="1" t="n"/>
      <c r="B697" s="21" t="n"/>
      <c r="C697" s="22" t="n"/>
      <c r="D697" s="23" t="n"/>
      <c r="E697" s="24" t="n"/>
      <c r="F697" s="25" t="n"/>
      <c r="G697" s="25" t="n"/>
      <c r="H697" s="24" t="n"/>
      <c r="I697" s="25" t="n"/>
      <c r="J697" s="17">
        <f>IF(AND(C697="",D697="",G697=""),"",IF(NOT(ISNUMBER(B697)),"Needs a date",IF(AND(D697&lt;&gt;"",NOT(ISNUMBER(D697))),"Amount not a number",IF(N(D697)&lt;0,"Amount below zero",IF(AND(N(D697)=0,G697=""),"Needs an amount or goods",IF(C697="","",IF(COUNTIF(Donors!$B$6:$B$305,C697)=0,"Not on Donors","")))))))</f>
        <v/>
      </c>
      <c r="K697" s="1">
        <f>IF(ISNUMBER(B697),YEAR(B697),"")</f>
        <v/>
      </c>
      <c r="L697">
        <f>IF(ISNUMBER(B697),YEAR(B697)*100+MONTH(B697),"")</f>
        <v/>
      </c>
      <c r="M697">
        <f>IF(ISNUMBER(B697),INT(B697),0)</f>
        <v/>
      </c>
      <c r="N697">
        <f>IF(OR(C697="",F697="",Q697=0),0,IF(COUNTIFS(C$6:C697,C697,F$6:F697,F697,Q$6:Q697,1)=1,1,0))</f>
        <v/>
      </c>
      <c r="O697">
        <f>IF(OR(C697="",Q697=0,H697&lt;&gt;""),"",M697*10000+ROW())</f>
        <v/>
      </c>
      <c r="P697">
        <f>IF(OR(C697="",Q697=0),"",IF(AND(C697=Statement!$C$4,K697=Statement!$C$5),M697*10000+ROW(),""))</f>
        <v/>
      </c>
      <c r="Q697">
        <f>IF(AND(ISNUMBER(B697),OR(N(D697)&gt;0,G697&lt;&gt;"")),1,0)</f>
        <v/>
      </c>
    </row>
    <row r="698">
      <c r="A698" s="1" t="n"/>
      <c r="B698" s="21" t="n"/>
      <c r="C698" s="22" t="n"/>
      <c r="D698" s="23" t="n"/>
      <c r="E698" s="24" t="n"/>
      <c r="F698" s="25" t="n"/>
      <c r="G698" s="25" t="n"/>
      <c r="H698" s="24" t="n"/>
      <c r="I698" s="25" t="n"/>
      <c r="J698" s="17">
        <f>IF(AND(C698="",D698="",G698=""),"",IF(NOT(ISNUMBER(B698)),"Needs a date",IF(AND(D698&lt;&gt;"",NOT(ISNUMBER(D698))),"Amount not a number",IF(N(D698)&lt;0,"Amount below zero",IF(AND(N(D698)=0,G698=""),"Needs an amount or goods",IF(C698="","",IF(COUNTIF(Donors!$B$6:$B$305,C698)=0,"Not on Donors","")))))))</f>
        <v/>
      </c>
      <c r="K698" s="1">
        <f>IF(ISNUMBER(B698),YEAR(B698),"")</f>
        <v/>
      </c>
      <c r="L698">
        <f>IF(ISNUMBER(B698),YEAR(B698)*100+MONTH(B698),"")</f>
        <v/>
      </c>
      <c r="M698">
        <f>IF(ISNUMBER(B698),INT(B698),0)</f>
        <v/>
      </c>
      <c r="N698">
        <f>IF(OR(C698="",F698="",Q698=0),0,IF(COUNTIFS(C$6:C698,C698,F$6:F698,F698,Q$6:Q698,1)=1,1,0))</f>
        <v/>
      </c>
      <c r="O698">
        <f>IF(OR(C698="",Q698=0,H698&lt;&gt;""),"",M698*10000+ROW())</f>
        <v/>
      </c>
      <c r="P698">
        <f>IF(OR(C698="",Q698=0),"",IF(AND(C698=Statement!$C$4,K698=Statement!$C$5),M698*10000+ROW(),""))</f>
        <v/>
      </c>
      <c r="Q698">
        <f>IF(AND(ISNUMBER(B698),OR(N(D698)&gt;0,G698&lt;&gt;"")),1,0)</f>
        <v/>
      </c>
    </row>
    <row r="699">
      <c r="A699" s="1" t="n"/>
      <c r="B699" s="21" t="n"/>
      <c r="C699" s="22" t="n"/>
      <c r="D699" s="23" t="n"/>
      <c r="E699" s="24" t="n"/>
      <c r="F699" s="25" t="n"/>
      <c r="G699" s="25" t="n"/>
      <c r="H699" s="24" t="n"/>
      <c r="I699" s="25" t="n"/>
      <c r="J699" s="17">
        <f>IF(AND(C699="",D699="",G699=""),"",IF(NOT(ISNUMBER(B699)),"Needs a date",IF(AND(D699&lt;&gt;"",NOT(ISNUMBER(D699))),"Amount not a number",IF(N(D699)&lt;0,"Amount below zero",IF(AND(N(D699)=0,G699=""),"Needs an amount or goods",IF(C699="","",IF(COUNTIF(Donors!$B$6:$B$305,C699)=0,"Not on Donors","")))))))</f>
        <v/>
      </c>
      <c r="K699" s="1">
        <f>IF(ISNUMBER(B699),YEAR(B699),"")</f>
        <v/>
      </c>
      <c r="L699">
        <f>IF(ISNUMBER(B699),YEAR(B699)*100+MONTH(B699),"")</f>
        <v/>
      </c>
      <c r="M699">
        <f>IF(ISNUMBER(B699),INT(B699),0)</f>
        <v/>
      </c>
      <c r="N699">
        <f>IF(OR(C699="",F699="",Q699=0),0,IF(COUNTIFS(C$6:C699,C699,F$6:F699,F699,Q$6:Q699,1)=1,1,0))</f>
        <v/>
      </c>
      <c r="O699">
        <f>IF(OR(C699="",Q699=0,H699&lt;&gt;""),"",M699*10000+ROW())</f>
        <v/>
      </c>
      <c r="P699">
        <f>IF(OR(C699="",Q699=0),"",IF(AND(C699=Statement!$C$4,K699=Statement!$C$5),M699*10000+ROW(),""))</f>
        <v/>
      </c>
      <c r="Q699">
        <f>IF(AND(ISNUMBER(B699),OR(N(D699)&gt;0,G699&lt;&gt;"")),1,0)</f>
        <v/>
      </c>
    </row>
    <row r="700">
      <c r="A700" s="1" t="n"/>
      <c r="B700" s="21" t="n"/>
      <c r="C700" s="22" t="n"/>
      <c r="D700" s="23" t="n"/>
      <c r="E700" s="24" t="n"/>
      <c r="F700" s="25" t="n"/>
      <c r="G700" s="25" t="n"/>
      <c r="H700" s="24" t="n"/>
      <c r="I700" s="25" t="n"/>
      <c r="J700" s="17">
        <f>IF(AND(C700="",D700="",G700=""),"",IF(NOT(ISNUMBER(B700)),"Needs a date",IF(AND(D700&lt;&gt;"",NOT(ISNUMBER(D700))),"Amount not a number",IF(N(D700)&lt;0,"Amount below zero",IF(AND(N(D700)=0,G700=""),"Needs an amount or goods",IF(C700="","",IF(COUNTIF(Donors!$B$6:$B$305,C700)=0,"Not on Donors","")))))))</f>
        <v/>
      </c>
      <c r="K700" s="1">
        <f>IF(ISNUMBER(B700),YEAR(B700),"")</f>
        <v/>
      </c>
      <c r="L700">
        <f>IF(ISNUMBER(B700),YEAR(B700)*100+MONTH(B700),"")</f>
        <v/>
      </c>
      <c r="M700">
        <f>IF(ISNUMBER(B700),INT(B700),0)</f>
        <v/>
      </c>
      <c r="N700">
        <f>IF(OR(C700="",F700="",Q700=0),0,IF(COUNTIFS(C$6:C700,C700,F$6:F700,F700,Q$6:Q700,1)=1,1,0))</f>
        <v/>
      </c>
      <c r="O700">
        <f>IF(OR(C700="",Q700=0,H700&lt;&gt;""),"",M700*10000+ROW())</f>
        <v/>
      </c>
      <c r="P700">
        <f>IF(OR(C700="",Q700=0),"",IF(AND(C700=Statement!$C$4,K700=Statement!$C$5),M700*10000+ROW(),""))</f>
        <v/>
      </c>
      <c r="Q700">
        <f>IF(AND(ISNUMBER(B700),OR(N(D700)&gt;0,G700&lt;&gt;"")),1,0)</f>
        <v/>
      </c>
    </row>
    <row r="701">
      <c r="A701" s="1" t="n"/>
      <c r="B701" s="21" t="n"/>
      <c r="C701" s="22" t="n"/>
      <c r="D701" s="23" t="n"/>
      <c r="E701" s="24" t="n"/>
      <c r="F701" s="25" t="n"/>
      <c r="G701" s="25" t="n"/>
      <c r="H701" s="24" t="n"/>
      <c r="I701" s="25" t="n"/>
      <c r="J701" s="17">
        <f>IF(AND(C701="",D701="",G701=""),"",IF(NOT(ISNUMBER(B701)),"Needs a date",IF(AND(D701&lt;&gt;"",NOT(ISNUMBER(D701))),"Amount not a number",IF(N(D701)&lt;0,"Amount below zero",IF(AND(N(D701)=0,G701=""),"Needs an amount or goods",IF(C701="","",IF(COUNTIF(Donors!$B$6:$B$305,C701)=0,"Not on Donors","")))))))</f>
        <v/>
      </c>
      <c r="K701" s="1">
        <f>IF(ISNUMBER(B701),YEAR(B701),"")</f>
        <v/>
      </c>
      <c r="L701">
        <f>IF(ISNUMBER(B701),YEAR(B701)*100+MONTH(B701),"")</f>
        <v/>
      </c>
      <c r="M701">
        <f>IF(ISNUMBER(B701),INT(B701),0)</f>
        <v/>
      </c>
      <c r="N701">
        <f>IF(OR(C701="",F701="",Q701=0),0,IF(COUNTIFS(C$6:C701,C701,F$6:F701,F701,Q$6:Q701,1)=1,1,0))</f>
        <v/>
      </c>
      <c r="O701">
        <f>IF(OR(C701="",Q701=0,H701&lt;&gt;""),"",M701*10000+ROW())</f>
        <v/>
      </c>
      <c r="P701">
        <f>IF(OR(C701="",Q701=0),"",IF(AND(C701=Statement!$C$4,K701=Statement!$C$5),M701*10000+ROW(),""))</f>
        <v/>
      </c>
      <c r="Q701">
        <f>IF(AND(ISNUMBER(B701),OR(N(D701)&gt;0,G701&lt;&gt;"")),1,0)</f>
        <v/>
      </c>
    </row>
    <row r="702">
      <c r="A702" s="1" t="n"/>
      <c r="B702" s="21" t="n"/>
      <c r="C702" s="22" t="n"/>
      <c r="D702" s="23" t="n"/>
      <c r="E702" s="24" t="n"/>
      <c r="F702" s="25" t="n"/>
      <c r="G702" s="25" t="n"/>
      <c r="H702" s="24" t="n"/>
      <c r="I702" s="25" t="n"/>
      <c r="J702" s="17">
        <f>IF(AND(C702="",D702="",G702=""),"",IF(NOT(ISNUMBER(B702)),"Needs a date",IF(AND(D702&lt;&gt;"",NOT(ISNUMBER(D702))),"Amount not a number",IF(N(D702)&lt;0,"Amount below zero",IF(AND(N(D702)=0,G702=""),"Needs an amount or goods",IF(C702="","",IF(COUNTIF(Donors!$B$6:$B$305,C702)=0,"Not on Donors","")))))))</f>
        <v/>
      </c>
      <c r="K702" s="1">
        <f>IF(ISNUMBER(B702),YEAR(B702),"")</f>
        <v/>
      </c>
      <c r="L702">
        <f>IF(ISNUMBER(B702),YEAR(B702)*100+MONTH(B702),"")</f>
        <v/>
      </c>
      <c r="M702">
        <f>IF(ISNUMBER(B702),INT(B702),0)</f>
        <v/>
      </c>
      <c r="N702">
        <f>IF(OR(C702="",F702="",Q702=0),0,IF(COUNTIFS(C$6:C702,C702,F$6:F702,F702,Q$6:Q702,1)=1,1,0))</f>
        <v/>
      </c>
      <c r="O702">
        <f>IF(OR(C702="",Q702=0,H702&lt;&gt;""),"",M702*10000+ROW())</f>
        <v/>
      </c>
      <c r="P702">
        <f>IF(OR(C702="",Q702=0),"",IF(AND(C702=Statement!$C$4,K702=Statement!$C$5),M702*10000+ROW(),""))</f>
        <v/>
      </c>
      <c r="Q702">
        <f>IF(AND(ISNUMBER(B702),OR(N(D702)&gt;0,G702&lt;&gt;"")),1,0)</f>
        <v/>
      </c>
    </row>
    <row r="703">
      <c r="A703" s="1" t="n"/>
      <c r="B703" s="21" t="n"/>
      <c r="C703" s="22" t="n"/>
      <c r="D703" s="23" t="n"/>
      <c r="E703" s="24" t="n"/>
      <c r="F703" s="25" t="n"/>
      <c r="G703" s="25" t="n"/>
      <c r="H703" s="24" t="n"/>
      <c r="I703" s="25" t="n"/>
      <c r="J703" s="17">
        <f>IF(AND(C703="",D703="",G703=""),"",IF(NOT(ISNUMBER(B703)),"Needs a date",IF(AND(D703&lt;&gt;"",NOT(ISNUMBER(D703))),"Amount not a number",IF(N(D703)&lt;0,"Amount below zero",IF(AND(N(D703)=0,G703=""),"Needs an amount or goods",IF(C703="","",IF(COUNTIF(Donors!$B$6:$B$305,C703)=0,"Not on Donors","")))))))</f>
        <v/>
      </c>
      <c r="K703" s="1">
        <f>IF(ISNUMBER(B703),YEAR(B703),"")</f>
        <v/>
      </c>
      <c r="L703">
        <f>IF(ISNUMBER(B703),YEAR(B703)*100+MONTH(B703),"")</f>
        <v/>
      </c>
      <c r="M703">
        <f>IF(ISNUMBER(B703),INT(B703),0)</f>
        <v/>
      </c>
      <c r="N703">
        <f>IF(OR(C703="",F703="",Q703=0),0,IF(COUNTIFS(C$6:C703,C703,F$6:F703,F703,Q$6:Q703,1)=1,1,0))</f>
        <v/>
      </c>
      <c r="O703">
        <f>IF(OR(C703="",Q703=0,H703&lt;&gt;""),"",M703*10000+ROW())</f>
        <v/>
      </c>
      <c r="P703">
        <f>IF(OR(C703="",Q703=0),"",IF(AND(C703=Statement!$C$4,K703=Statement!$C$5),M703*10000+ROW(),""))</f>
        <v/>
      </c>
      <c r="Q703">
        <f>IF(AND(ISNUMBER(B703),OR(N(D703)&gt;0,G703&lt;&gt;"")),1,0)</f>
        <v/>
      </c>
    </row>
    <row r="704">
      <c r="A704" s="1" t="n"/>
      <c r="B704" s="21" t="n"/>
      <c r="C704" s="22" t="n"/>
      <c r="D704" s="23" t="n"/>
      <c r="E704" s="24" t="n"/>
      <c r="F704" s="25" t="n"/>
      <c r="G704" s="25" t="n"/>
      <c r="H704" s="24" t="n"/>
      <c r="I704" s="25" t="n"/>
      <c r="J704" s="17">
        <f>IF(AND(C704="",D704="",G704=""),"",IF(NOT(ISNUMBER(B704)),"Needs a date",IF(AND(D704&lt;&gt;"",NOT(ISNUMBER(D704))),"Amount not a number",IF(N(D704)&lt;0,"Amount below zero",IF(AND(N(D704)=0,G704=""),"Needs an amount or goods",IF(C704="","",IF(COUNTIF(Donors!$B$6:$B$305,C704)=0,"Not on Donors","")))))))</f>
        <v/>
      </c>
      <c r="K704" s="1">
        <f>IF(ISNUMBER(B704),YEAR(B704),"")</f>
        <v/>
      </c>
      <c r="L704">
        <f>IF(ISNUMBER(B704),YEAR(B704)*100+MONTH(B704),"")</f>
        <v/>
      </c>
      <c r="M704">
        <f>IF(ISNUMBER(B704),INT(B704),0)</f>
        <v/>
      </c>
      <c r="N704">
        <f>IF(OR(C704="",F704="",Q704=0),0,IF(COUNTIFS(C$6:C704,C704,F$6:F704,F704,Q$6:Q704,1)=1,1,0))</f>
        <v/>
      </c>
      <c r="O704">
        <f>IF(OR(C704="",Q704=0,H704&lt;&gt;""),"",M704*10000+ROW())</f>
        <v/>
      </c>
      <c r="P704">
        <f>IF(OR(C704="",Q704=0),"",IF(AND(C704=Statement!$C$4,K704=Statement!$C$5),M704*10000+ROW(),""))</f>
        <v/>
      </c>
      <c r="Q704">
        <f>IF(AND(ISNUMBER(B704),OR(N(D704)&gt;0,G704&lt;&gt;"")),1,0)</f>
        <v/>
      </c>
    </row>
    <row r="705">
      <c r="A705" s="1" t="n"/>
      <c r="B705" s="21" t="n"/>
      <c r="C705" s="22" t="n"/>
      <c r="D705" s="23" t="n"/>
      <c r="E705" s="24" t="n"/>
      <c r="F705" s="25" t="n"/>
      <c r="G705" s="25" t="n"/>
      <c r="H705" s="24" t="n"/>
      <c r="I705" s="25" t="n"/>
      <c r="J705" s="17">
        <f>IF(AND(C705="",D705="",G705=""),"",IF(NOT(ISNUMBER(B705)),"Needs a date",IF(AND(D705&lt;&gt;"",NOT(ISNUMBER(D705))),"Amount not a number",IF(N(D705)&lt;0,"Amount below zero",IF(AND(N(D705)=0,G705=""),"Needs an amount or goods",IF(C705="","",IF(COUNTIF(Donors!$B$6:$B$305,C705)=0,"Not on Donors","")))))))</f>
        <v/>
      </c>
      <c r="K705" s="1">
        <f>IF(ISNUMBER(B705),YEAR(B705),"")</f>
        <v/>
      </c>
      <c r="L705">
        <f>IF(ISNUMBER(B705),YEAR(B705)*100+MONTH(B705),"")</f>
        <v/>
      </c>
      <c r="M705">
        <f>IF(ISNUMBER(B705),INT(B705),0)</f>
        <v/>
      </c>
      <c r="N705">
        <f>IF(OR(C705="",F705="",Q705=0),0,IF(COUNTIFS(C$6:C705,C705,F$6:F705,F705,Q$6:Q705,1)=1,1,0))</f>
        <v/>
      </c>
      <c r="O705">
        <f>IF(OR(C705="",Q705=0,H705&lt;&gt;""),"",M705*10000+ROW())</f>
        <v/>
      </c>
      <c r="P705">
        <f>IF(OR(C705="",Q705=0),"",IF(AND(C705=Statement!$C$4,K705=Statement!$C$5),M705*10000+ROW(),""))</f>
        <v/>
      </c>
      <c r="Q705">
        <f>IF(AND(ISNUMBER(B705),OR(N(D705)&gt;0,G705&lt;&gt;"")),1,0)</f>
        <v/>
      </c>
    </row>
    <row r="706">
      <c r="A706" s="1" t="n"/>
      <c r="B706" s="21" t="n"/>
      <c r="C706" s="22" t="n"/>
      <c r="D706" s="23" t="n"/>
      <c r="E706" s="24" t="n"/>
      <c r="F706" s="25" t="n"/>
      <c r="G706" s="25" t="n"/>
      <c r="H706" s="24" t="n"/>
      <c r="I706" s="25" t="n"/>
      <c r="J706" s="17">
        <f>IF(AND(C706="",D706="",G706=""),"",IF(NOT(ISNUMBER(B706)),"Needs a date",IF(AND(D706&lt;&gt;"",NOT(ISNUMBER(D706))),"Amount not a number",IF(N(D706)&lt;0,"Amount below zero",IF(AND(N(D706)=0,G706=""),"Needs an amount or goods",IF(C706="","",IF(COUNTIF(Donors!$B$6:$B$305,C706)=0,"Not on Donors","")))))))</f>
        <v/>
      </c>
      <c r="K706" s="1">
        <f>IF(ISNUMBER(B706),YEAR(B706),"")</f>
        <v/>
      </c>
      <c r="L706">
        <f>IF(ISNUMBER(B706),YEAR(B706)*100+MONTH(B706),"")</f>
        <v/>
      </c>
      <c r="M706">
        <f>IF(ISNUMBER(B706),INT(B706),0)</f>
        <v/>
      </c>
      <c r="N706">
        <f>IF(OR(C706="",F706="",Q706=0),0,IF(COUNTIFS(C$6:C706,C706,F$6:F706,F706,Q$6:Q706,1)=1,1,0))</f>
        <v/>
      </c>
      <c r="O706">
        <f>IF(OR(C706="",Q706=0,H706&lt;&gt;""),"",M706*10000+ROW())</f>
        <v/>
      </c>
      <c r="P706">
        <f>IF(OR(C706="",Q706=0),"",IF(AND(C706=Statement!$C$4,K706=Statement!$C$5),M706*10000+ROW(),""))</f>
        <v/>
      </c>
      <c r="Q706">
        <f>IF(AND(ISNUMBER(B706),OR(N(D706)&gt;0,G706&lt;&gt;"")),1,0)</f>
        <v/>
      </c>
    </row>
    <row r="707">
      <c r="A707" s="1" t="n"/>
      <c r="B707" s="21" t="n"/>
      <c r="C707" s="22" t="n"/>
      <c r="D707" s="23" t="n"/>
      <c r="E707" s="24" t="n"/>
      <c r="F707" s="25" t="n"/>
      <c r="G707" s="25" t="n"/>
      <c r="H707" s="24" t="n"/>
      <c r="I707" s="25" t="n"/>
      <c r="J707" s="17">
        <f>IF(AND(C707="",D707="",G707=""),"",IF(NOT(ISNUMBER(B707)),"Needs a date",IF(AND(D707&lt;&gt;"",NOT(ISNUMBER(D707))),"Amount not a number",IF(N(D707)&lt;0,"Amount below zero",IF(AND(N(D707)=0,G707=""),"Needs an amount or goods",IF(C707="","",IF(COUNTIF(Donors!$B$6:$B$305,C707)=0,"Not on Donors","")))))))</f>
        <v/>
      </c>
      <c r="K707" s="1">
        <f>IF(ISNUMBER(B707),YEAR(B707),"")</f>
        <v/>
      </c>
      <c r="L707">
        <f>IF(ISNUMBER(B707),YEAR(B707)*100+MONTH(B707),"")</f>
        <v/>
      </c>
      <c r="M707">
        <f>IF(ISNUMBER(B707),INT(B707),0)</f>
        <v/>
      </c>
      <c r="N707">
        <f>IF(OR(C707="",F707="",Q707=0),0,IF(COUNTIFS(C$6:C707,C707,F$6:F707,F707,Q$6:Q707,1)=1,1,0))</f>
        <v/>
      </c>
      <c r="O707">
        <f>IF(OR(C707="",Q707=0,H707&lt;&gt;""),"",M707*10000+ROW())</f>
        <v/>
      </c>
      <c r="P707">
        <f>IF(OR(C707="",Q707=0),"",IF(AND(C707=Statement!$C$4,K707=Statement!$C$5),M707*10000+ROW(),""))</f>
        <v/>
      </c>
      <c r="Q707">
        <f>IF(AND(ISNUMBER(B707),OR(N(D707)&gt;0,G707&lt;&gt;"")),1,0)</f>
        <v/>
      </c>
    </row>
    <row r="708">
      <c r="A708" s="1" t="n"/>
      <c r="B708" s="21" t="n"/>
      <c r="C708" s="22" t="n"/>
      <c r="D708" s="23" t="n"/>
      <c r="E708" s="24" t="n"/>
      <c r="F708" s="25" t="n"/>
      <c r="G708" s="25" t="n"/>
      <c r="H708" s="24" t="n"/>
      <c r="I708" s="25" t="n"/>
      <c r="J708" s="17">
        <f>IF(AND(C708="",D708="",G708=""),"",IF(NOT(ISNUMBER(B708)),"Needs a date",IF(AND(D708&lt;&gt;"",NOT(ISNUMBER(D708))),"Amount not a number",IF(N(D708)&lt;0,"Amount below zero",IF(AND(N(D708)=0,G708=""),"Needs an amount or goods",IF(C708="","",IF(COUNTIF(Donors!$B$6:$B$305,C708)=0,"Not on Donors","")))))))</f>
        <v/>
      </c>
      <c r="K708" s="1">
        <f>IF(ISNUMBER(B708),YEAR(B708),"")</f>
        <v/>
      </c>
      <c r="L708">
        <f>IF(ISNUMBER(B708),YEAR(B708)*100+MONTH(B708),"")</f>
        <v/>
      </c>
      <c r="M708">
        <f>IF(ISNUMBER(B708),INT(B708),0)</f>
        <v/>
      </c>
      <c r="N708">
        <f>IF(OR(C708="",F708="",Q708=0),0,IF(COUNTIFS(C$6:C708,C708,F$6:F708,F708,Q$6:Q708,1)=1,1,0))</f>
        <v/>
      </c>
      <c r="O708">
        <f>IF(OR(C708="",Q708=0,H708&lt;&gt;""),"",M708*10000+ROW())</f>
        <v/>
      </c>
      <c r="P708">
        <f>IF(OR(C708="",Q708=0),"",IF(AND(C708=Statement!$C$4,K708=Statement!$C$5),M708*10000+ROW(),""))</f>
        <v/>
      </c>
      <c r="Q708">
        <f>IF(AND(ISNUMBER(B708),OR(N(D708)&gt;0,G708&lt;&gt;"")),1,0)</f>
        <v/>
      </c>
    </row>
    <row r="709">
      <c r="A709" s="1" t="n"/>
      <c r="B709" s="21" t="n"/>
      <c r="C709" s="22" t="n"/>
      <c r="D709" s="23" t="n"/>
      <c r="E709" s="24" t="n"/>
      <c r="F709" s="25" t="n"/>
      <c r="G709" s="25" t="n"/>
      <c r="H709" s="24" t="n"/>
      <c r="I709" s="25" t="n"/>
      <c r="J709" s="17">
        <f>IF(AND(C709="",D709="",G709=""),"",IF(NOT(ISNUMBER(B709)),"Needs a date",IF(AND(D709&lt;&gt;"",NOT(ISNUMBER(D709))),"Amount not a number",IF(N(D709)&lt;0,"Amount below zero",IF(AND(N(D709)=0,G709=""),"Needs an amount or goods",IF(C709="","",IF(COUNTIF(Donors!$B$6:$B$305,C709)=0,"Not on Donors","")))))))</f>
        <v/>
      </c>
      <c r="K709" s="1">
        <f>IF(ISNUMBER(B709),YEAR(B709),"")</f>
        <v/>
      </c>
      <c r="L709">
        <f>IF(ISNUMBER(B709),YEAR(B709)*100+MONTH(B709),"")</f>
        <v/>
      </c>
      <c r="M709">
        <f>IF(ISNUMBER(B709),INT(B709),0)</f>
        <v/>
      </c>
      <c r="N709">
        <f>IF(OR(C709="",F709="",Q709=0),0,IF(COUNTIFS(C$6:C709,C709,F$6:F709,F709,Q$6:Q709,1)=1,1,0))</f>
        <v/>
      </c>
      <c r="O709">
        <f>IF(OR(C709="",Q709=0,H709&lt;&gt;""),"",M709*10000+ROW())</f>
        <v/>
      </c>
      <c r="P709">
        <f>IF(OR(C709="",Q709=0),"",IF(AND(C709=Statement!$C$4,K709=Statement!$C$5),M709*10000+ROW(),""))</f>
        <v/>
      </c>
      <c r="Q709">
        <f>IF(AND(ISNUMBER(B709),OR(N(D709)&gt;0,G709&lt;&gt;"")),1,0)</f>
        <v/>
      </c>
    </row>
    <row r="710">
      <c r="A710" s="1" t="n"/>
      <c r="B710" s="21" t="n"/>
      <c r="C710" s="22" t="n"/>
      <c r="D710" s="23" t="n"/>
      <c r="E710" s="24" t="n"/>
      <c r="F710" s="25" t="n"/>
      <c r="G710" s="25" t="n"/>
      <c r="H710" s="24" t="n"/>
      <c r="I710" s="25" t="n"/>
      <c r="J710" s="17">
        <f>IF(AND(C710="",D710="",G710=""),"",IF(NOT(ISNUMBER(B710)),"Needs a date",IF(AND(D710&lt;&gt;"",NOT(ISNUMBER(D710))),"Amount not a number",IF(N(D710)&lt;0,"Amount below zero",IF(AND(N(D710)=0,G710=""),"Needs an amount or goods",IF(C710="","",IF(COUNTIF(Donors!$B$6:$B$305,C710)=0,"Not on Donors","")))))))</f>
        <v/>
      </c>
      <c r="K710" s="1">
        <f>IF(ISNUMBER(B710),YEAR(B710),"")</f>
        <v/>
      </c>
      <c r="L710">
        <f>IF(ISNUMBER(B710),YEAR(B710)*100+MONTH(B710),"")</f>
        <v/>
      </c>
      <c r="M710">
        <f>IF(ISNUMBER(B710),INT(B710),0)</f>
        <v/>
      </c>
      <c r="N710">
        <f>IF(OR(C710="",F710="",Q710=0),0,IF(COUNTIFS(C$6:C710,C710,F$6:F710,F710,Q$6:Q710,1)=1,1,0))</f>
        <v/>
      </c>
      <c r="O710">
        <f>IF(OR(C710="",Q710=0,H710&lt;&gt;""),"",M710*10000+ROW())</f>
        <v/>
      </c>
      <c r="P710">
        <f>IF(OR(C710="",Q710=0),"",IF(AND(C710=Statement!$C$4,K710=Statement!$C$5),M710*10000+ROW(),""))</f>
        <v/>
      </c>
      <c r="Q710">
        <f>IF(AND(ISNUMBER(B710),OR(N(D710)&gt;0,G710&lt;&gt;"")),1,0)</f>
        <v/>
      </c>
    </row>
    <row r="711">
      <c r="A711" s="1" t="n"/>
      <c r="B711" s="21" t="n"/>
      <c r="C711" s="22" t="n"/>
      <c r="D711" s="23" t="n"/>
      <c r="E711" s="24" t="n"/>
      <c r="F711" s="25" t="n"/>
      <c r="G711" s="25" t="n"/>
      <c r="H711" s="24" t="n"/>
      <c r="I711" s="25" t="n"/>
      <c r="J711" s="17">
        <f>IF(AND(C711="",D711="",G711=""),"",IF(NOT(ISNUMBER(B711)),"Needs a date",IF(AND(D711&lt;&gt;"",NOT(ISNUMBER(D711))),"Amount not a number",IF(N(D711)&lt;0,"Amount below zero",IF(AND(N(D711)=0,G711=""),"Needs an amount or goods",IF(C711="","",IF(COUNTIF(Donors!$B$6:$B$305,C711)=0,"Not on Donors","")))))))</f>
        <v/>
      </c>
      <c r="K711" s="1">
        <f>IF(ISNUMBER(B711),YEAR(B711),"")</f>
        <v/>
      </c>
      <c r="L711">
        <f>IF(ISNUMBER(B711),YEAR(B711)*100+MONTH(B711),"")</f>
        <v/>
      </c>
      <c r="M711">
        <f>IF(ISNUMBER(B711),INT(B711),0)</f>
        <v/>
      </c>
      <c r="N711">
        <f>IF(OR(C711="",F711="",Q711=0),0,IF(COUNTIFS(C$6:C711,C711,F$6:F711,F711,Q$6:Q711,1)=1,1,0))</f>
        <v/>
      </c>
      <c r="O711">
        <f>IF(OR(C711="",Q711=0,H711&lt;&gt;""),"",M711*10000+ROW())</f>
        <v/>
      </c>
      <c r="P711">
        <f>IF(OR(C711="",Q711=0),"",IF(AND(C711=Statement!$C$4,K711=Statement!$C$5),M711*10000+ROW(),""))</f>
        <v/>
      </c>
      <c r="Q711">
        <f>IF(AND(ISNUMBER(B711),OR(N(D711)&gt;0,G711&lt;&gt;"")),1,0)</f>
        <v/>
      </c>
    </row>
    <row r="712">
      <c r="A712" s="1" t="n"/>
      <c r="B712" s="21" t="n"/>
      <c r="C712" s="22" t="n"/>
      <c r="D712" s="23" t="n"/>
      <c r="E712" s="24" t="n"/>
      <c r="F712" s="25" t="n"/>
      <c r="G712" s="25" t="n"/>
      <c r="H712" s="24" t="n"/>
      <c r="I712" s="25" t="n"/>
      <c r="J712" s="17">
        <f>IF(AND(C712="",D712="",G712=""),"",IF(NOT(ISNUMBER(B712)),"Needs a date",IF(AND(D712&lt;&gt;"",NOT(ISNUMBER(D712))),"Amount not a number",IF(N(D712)&lt;0,"Amount below zero",IF(AND(N(D712)=0,G712=""),"Needs an amount or goods",IF(C712="","",IF(COUNTIF(Donors!$B$6:$B$305,C712)=0,"Not on Donors","")))))))</f>
        <v/>
      </c>
      <c r="K712" s="1">
        <f>IF(ISNUMBER(B712),YEAR(B712),"")</f>
        <v/>
      </c>
      <c r="L712">
        <f>IF(ISNUMBER(B712),YEAR(B712)*100+MONTH(B712),"")</f>
        <v/>
      </c>
      <c r="M712">
        <f>IF(ISNUMBER(B712),INT(B712),0)</f>
        <v/>
      </c>
      <c r="N712">
        <f>IF(OR(C712="",F712="",Q712=0),0,IF(COUNTIFS(C$6:C712,C712,F$6:F712,F712,Q$6:Q712,1)=1,1,0))</f>
        <v/>
      </c>
      <c r="O712">
        <f>IF(OR(C712="",Q712=0,H712&lt;&gt;""),"",M712*10000+ROW())</f>
        <v/>
      </c>
      <c r="P712">
        <f>IF(OR(C712="",Q712=0),"",IF(AND(C712=Statement!$C$4,K712=Statement!$C$5),M712*10000+ROW(),""))</f>
        <v/>
      </c>
      <c r="Q712">
        <f>IF(AND(ISNUMBER(B712),OR(N(D712)&gt;0,G712&lt;&gt;"")),1,0)</f>
        <v/>
      </c>
    </row>
    <row r="713">
      <c r="A713" s="1" t="n"/>
      <c r="B713" s="21" t="n"/>
      <c r="C713" s="22" t="n"/>
      <c r="D713" s="23" t="n"/>
      <c r="E713" s="24" t="n"/>
      <c r="F713" s="25" t="n"/>
      <c r="G713" s="25" t="n"/>
      <c r="H713" s="24" t="n"/>
      <c r="I713" s="25" t="n"/>
      <c r="J713" s="17">
        <f>IF(AND(C713="",D713="",G713=""),"",IF(NOT(ISNUMBER(B713)),"Needs a date",IF(AND(D713&lt;&gt;"",NOT(ISNUMBER(D713))),"Amount not a number",IF(N(D713)&lt;0,"Amount below zero",IF(AND(N(D713)=0,G713=""),"Needs an amount or goods",IF(C713="","",IF(COUNTIF(Donors!$B$6:$B$305,C713)=0,"Not on Donors","")))))))</f>
        <v/>
      </c>
      <c r="K713" s="1">
        <f>IF(ISNUMBER(B713),YEAR(B713),"")</f>
        <v/>
      </c>
      <c r="L713">
        <f>IF(ISNUMBER(B713),YEAR(B713)*100+MONTH(B713),"")</f>
        <v/>
      </c>
      <c r="M713">
        <f>IF(ISNUMBER(B713),INT(B713),0)</f>
        <v/>
      </c>
      <c r="N713">
        <f>IF(OR(C713="",F713="",Q713=0),0,IF(COUNTIFS(C$6:C713,C713,F$6:F713,F713,Q$6:Q713,1)=1,1,0))</f>
        <v/>
      </c>
      <c r="O713">
        <f>IF(OR(C713="",Q713=0,H713&lt;&gt;""),"",M713*10000+ROW())</f>
        <v/>
      </c>
      <c r="P713">
        <f>IF(OR(C713="",Q713=0),"",IF(AND(C713=Statement!$C$4,K713=Statement!$C$5),M713*10000+ROW(),""))</f>
        <v/>
      </c>
      <c r="Q713">
        <f>IF(AND(ISNUMBER(B713),OR(N(D713)&gt;0,G713&lt;&gt;"")),1,0)</f>
        <v/>
      </c>
    </row>
    <row r="714">
      <c r="A714" s="1" t="n"/>
      <c r="B714" s="21" t="n"/>
      <c r="C714" s="22" t="n"/>
      <c r="D714" s="23" t="n"/>
      <c r="E714" s="24" t="n"/>
      <c r="F714" s="25" t="n"/>
      <c r="G714" s="25" t="n"/>
      <c r="H714" s="24" t="n"/>
      <c r="I714" s="25" t="n"/>
      <c r="J714" s="17">
        <f>IF(AND(C714="",D714="",G714=""),"",IF(NOT(ISNUMBER(B714)),"Needs a date",IF(AND(D714&lt;&gt;"",NOT(ISNUMBER(D714))),"Amount not a number",IF(N(D714)&lt;0,"Amount below zero",IF(AND(N(D714)=0,G714=""),"Needs an amount or goods",IF(C714="","",IF(COUNTIF(Donors!$B$6:$B$305,C714)=0,"Not on Donors","")))))))</f>
        <v/>
      </c>
      <c r="K714" s="1">
        <f>IF(ISNUMBER(B714),YEAR(B714),"")</f>
        <v/>
      </c>
      <c r="L714">
        <f>IF(ISNUMBER(B714),YEAR(B714)*100+MONTH(B714),"")</f>
        <v/>
      </c>
      <c r="M714">
        <f>IF(ISNUMBER(B714),INT(B714),0)</f>
        <v/>
      </c>
      <c r="N714">
        <f>IF(OR(C714="",F714="",Q714=0),0,IF(COUNTIFS(C$6:C714,C714,F$6:F714,F714,Q$6:Q714,1)=1,1,0))</f>
        <v/>
      </c>
      <c r="O714">
        <f>IF(OR(C714="",Q714=0,H714&lt;&gt;""),"",M714*10000+ROW())</f>
        <v/>
      </c>
      <c r="P714">
        <f>IF(OR(C714="",Q714=0),"",IF(AND(C714=Statement!$C$4,K714=Statement!$C$5),M714*10000+ROW(),""))</f>
        <v/>
      </c>
      <c r="Q714">
        <f>IF(AND(ISNUMBER(B714),OR(N(D714)&gt;0,G714&lt;&gt;"")),1,0)</f>
        <v/>
      </c>
    </row>
    <row r="715">
      <c r="A715" s="1" t="n"/>
      <c r="B715" s="21" t="n"/>
      <c r="C715" s="22" t="n"/>
      <c r="D715" s="23" t="n"/>
      <c r="E715" s="24" t="n"/>
      <c r="F715" s="25" t="n"/>
      <c r="G715" s="25" t="n"/>
      <c r="H715" s="24" t="n"/>
      <c r="I715" s="25" t="n"/>
      <c r="J715" s="17">
        <f>IF(AND(C715="",D715="",G715=""),"",IF(NOT(ISNUMBER(B715)),"Needs a date",IF(AND(D715&lt;&gt;"",NOT(ISNUMBER(D715))),"Amount not a number",IF(N(D715)&lt;0,"Amount below zero",IF(AND(N(D715)=0,G715=""),"Needs an amount or goods",IF(C715="","",IF(COUNTIF(Donors!$B$6:$B$305,C715)=0,"Not on Donors","")))))))</f>
        <v/>
      </c>
      <c r="K715" s="1">
        <f>IF(ISNUMBER(B715),YEAR(B715),"")</f>
        <v/>
      </c>
      <c r="L715">
        <f>IF(ISNUMBER(B715),YEAR(B715)*100+MONTH(B715),"")</f>
        <v/>
      </c>
      <c r="M715">
        <f>IF(ISNUMBER(B715),INT(B715),0)</f>
        <v/>
      </c>
      <c r="N715">
        <f>IF(OR(C715="",F715="",Q715=0),0,IF(COUNTIFS(C$6:C715,C715,F$6:F715,F715,Q$6:Q715,1)=1,1,0))</f>
        <v/>
      </c>
      <c r="O715">
        <f>IF(OR(C715="",Q715=0,H715&lt;&gt;""),"",M715*10000+ROW())</f>
        <v/>
      </c>
      <c r="P715">
        <f>IF(OR(C715="",Q715=0),"",IF(AND(C715=Statement!$C$4,K715=Statement!$C$5),M715*10000+ROW(),""))</f>
        <v/>
      </c>
      <c r="Q715">
        <f>IF(AND(ISNUMBER(B715),OR(N(D715)&gt;0,G715&lt;&gt;"")),1,0)</f>
        <v/>
      </c>
    </row>
    <row r="716">
      <c r="A716" s="1" t="n"/>
      <c r="B716" s="21" t="n"/>
      <c r="C716" s="22" t="n"/>
      <c r="D716" s="23" t="n"/>
      <c r="E716" s="24" t="n"/>
      <c r="F716" s="25" t="n"/>
      <c r="G716" s="25" t="n"/>
      <c r="H716" s="24" t="n"/>
      <c r="I716" s="25" t="n"/>
      <c r="J716" s="17">
        <f>IF(AND(C716="",D716="",G716=""),"",IF(NOT(ISNUMBER(B716)),"Needs a date",IF(AND(D716&lt;&gt;"",NOT(ISNUMBER(D716))),"Amount not a number",IF(N(D716)&lt;0,"Amount below zero",IF(AND(N(D716)=0,G716=""),"Needs an amount or goods",IF(C716="","",IF(COUNTIF(Donors!$B$6:$B$305,C716)=0,"Not on Donors","")))))))</f>
        <v/>
      </c>
      <c r="K716" s="1">
        <f>IF(ISNUMBER(B716),YEAR(B716),"")</f>
        <v/>
      </c>
      <c r="L716">
        <f>IF(ISNUMBER(B716),YEAR(B716)*100+MONTH(B716),"")</f>
        <v/>
      </c>
      <c r="M716">
        <f>IF(ISNUMBER(B716),INT(B716),0)</f>
        <v/>
      </c>
      <c r="N716">
        <f>IF(OR(C716="",F716="",Q716=0),0,IF(COUNTIFS(C$6:C716,C716,F$6:F716,F716,Q$6:Q716,1)=1,1,0))</f>
        <v/>
      </c>
      <c r="O716">
        <f>IF(OR(C716="",Q716=0,H716&lt;&gt;""),"",M716*10000+ROW())</f>
        <v/>
      </c>
      <c r="P716">
        <f>IF(OR(C716="",Q716=0),"",IF(AND(C716=Statement!$C$4,K716=Statement!$C$5),M716*10000+ROW(),""))</f>
        <v/>
      </c>
      <c r="Q716">
        <f>IF(AND(ISNUMBER(B716),OR(N(D716)&gt;0,G716&lt;&gt;"")),1,0)</f>
        <v/>
      </c>
    </row>
    <row r="717">
      <c r="A717" s="1" t="n"/>
      <c r="B717" s="21" t="n"/>
      <c r="C717" s="22" t="n"/>
      <c r="D717" s="23" t="n"/>
      <c r="E717" s="24" t="n"/>
      <c r="F717" s="25" t="n"/>
      <c r="G717" s="25" t="n"/>
      <c r="H717" s="24" t="n"/>
      <c r="I717" s="25" t="n"/>
      <c r="J717" s="17">
        <f>IF(AND(C717="",D717="",G717=""),"",IF(NOT(ISNUMBER(B717)),"Needs a date",IF(AND(D717&lt;&gt;"",NOT(ISNUMBER(D717))),"Amount not a number",IF(N(D717)&lt;0,"Amount below zero",IF(AND(N(D717)=0,G717=""),"Needs an amount or goods",IF(C717="","",IF(COUNTIF(Donors!$B$6:$B$305,C717)=0,"Not on Donors","")))))))</f>
        <v/>
      </c>
      <c r="K717" s="1">
        <f>IF(ISNUMBER(B717),YEAR(B717),"")</f>
        <v/>
      </c>
      <c r="L717">
        <f>IF(ISNUMBER(B717),YEAR(B717)*100+MONTH(B717),"")</f>
        <v/>
      </c>
      <c r="M717">
        <f>IF(ISNUMBER(B717),INT(B717),0)</f>
        <v/>
      </c>
      <c r="N717">
        <f>IF(OR(C717="",F717="",Q717=0),0,IF(COUNTIFS(C$6:C717,C717,F$6:F717,F717,Q$6:Q717,1)=1,1,0))</f>
        <v/>
      </c>
      <c r="O717">
        <f>IF(OR(C717="",Q717=0,H717&lt;&gt;""),"",M717*10000+ROW())</f>
        <v/>
      </c>
      <c r="P717">
        <f>IF(OR(C717="",Q717=0),"",IF(AND(C717=Statement!$C$4,K717=Statement!$C$5),M717*10000+ROW(),""))</f>
        <v/>
      </c>
      <c r="Q717">
        <f>IF(AND(ISNUMBER(B717),OR(N(D717)&gt;0,G717&lt;&gt;"")),1,0)</f>
        <v/>
      </c>
    </row>
    <row r="718">
      <c r="A718" s="1" t="n"/>
      <c r="B718" s="21" t="n"/>
      <c r="C718" s="22" t="n"/>
      <c r="D718" s="23" t="n"/>
      <c r="E718" s="24" t="n"/>
      <c r="F718" s="25" t="n"/>
      <c r="G718" s="25" t="n"/>
      <c r="H718" s="24" t="n"/>
      <c r="I718" s="25" t="n"/>
      <c r="J718" s="17">
        <f>IF(AND(C718="",D718="",G718=""),"",IF(NOT(ISNUMBER(B718)),"Needs a date",IF(AND(D718&lt;&gt;"",NOT(ISNUMBER(D718))),"Amount not a number",IF(N(D718)&lt;0,"Amount below zero",IF(AND(N(D718)=0,G718=""),"Needs an amount or goods",IF(C718="","",IF(COUNTIF(Donors!$B$6:$B$305,C718)=0,"Not on Donors","")))))))</f>
        <v/>
      </c>
      <c r="K718" s="1">
        <f>IF(ISNUMBER(B718),YEAR(B718),"")</f>
        <v/>
      </c>
      <c r="L718">
        <f>IF(ISNUMBER(B718),YEAR(B718)*100+MONTH(B718),"")</f>
        <v/>
      </c>
      <c r="M718">
        <f>IF(ISNUMBER(B718),INT(B718),0)</f>
        <v/>
      </c>
      <c r="N718">
        <f>IF(OR(C718="",F718="",Q718=0),0,IF(COUNTIFS(C$6:C718,C718,F$6:F718,F718,Q$6:Q718,1)=1,1,0))</f>
        <v/>
      </c>
      <c r="O718">
        <f>IF(OR(C718="",Q718=0,H718&lt;&gt;""),"",M718*10000+ROW())</f>
        <v/>
      </c>
      <c r="P718">
        <f>IF(OR(C718="",Q718=0),"",IF(AND(C718=Statement!$C$4,K718=Statement!$C$5),M718*10000+ROW(),""))</f>
        <v/>
      </c>
      <c r="Q718">
        <f>IF(AND(ISNUMBER(B718),OR(N(D718)&gt;0,G718&lt;&gt;"")),1,0)</f>
        <v/>
      </c>
    </row>
    <row r="719">
      <c r="A719" s="1" t="n"/>
      <c r="B719" s="21" t="n"/>
      <c r="C719" s="22" t="n"/>
      <c r="D719" s="23" t="n"/>
      <c r="E719" s="24" t="n"/>
      <c r="F719" s="25" t="n"/>
      <c r="G719" s="25" t="n"/>
      <c r="H719" s="24" t="n"/>
      <c r="I719" s="25" t="n"/>
      <c r="J719" s="17">
        <f>IF(AND(C719="",D719="",G719=""),"",IF(NOT(ISNUMBER(B719)),"Needs a date",IF(AND(D719&lt;&gt;"",NOT(ISNUMBER(D719))),"Amount not a number",IF(N(D719)&lt;0,"Amount below zero",IF(AND(N(D719)=0,G719=""),"Needs an amount or goods",IF(C719="","",IF(COUNTIF(Donors!$B$6:$B$305,C719)=0,"Not on Donors","")))))))</f>
        <v/>
      </c>
      <c r="K719" s="1">
        <f>IF(ISNUMBER(B719),YEAR(B719),"")</f>
        <v/>
      </c>
      <c r="L719">
        <f>IF(ISNUMBER(B719),YEAR(B719)*100+MONTH(B719),"")</f>
        <v/>
      </c>
      <c r="M719">
        <f>IF(ISNUMBER(B719),INT(B719),0)</f>
        <v/>
      </c>
      <c r="N719">
        <f>IF(OR(C719="",F719="",Q719=0),0,IF(COUNTIFS(C$6:C719,C719,F$6:F719,F719,Q$6:Q719,1)=1,1,0))</f>
        <v/>
      </c>
      <c r="O719">
        <f>IF(OR(C719="",Q719=0,H719&lt;&gt;""),"",M719*10000+ROW())</f>
        <v/>
      </c>
      <c r="P719">
        <f>IF(OR(C719="",Q719=0),"",IF(AND(C719=Statement!$C$4,K719=Statement!$C$5),M719*10000+ROW(),""))</f>
        <v/>
      </c>
      <c r="Q719">
        <f>IF(AND(ISNUMBER(B719),OR(N(D719)&gt;0,G719&lt;&gt;"")),1,0)</f>
        <v/>
      </c>
    </row>
    <row r="720">
      <c r="A720" s="1" t="n"/>
      <c r="B720" s="21" t="n"/>
      <c r="C720" s="22" t="n"/>
      <c r="D720" s="23" t="n"/>
      <c r="E720" s="24" t="n"/>
      <c r="F720" s="25" t="n"/>
      <c r="G720" s="25" t="n"/>
      <c r="H720" s="24" t="n"/>
      <c r="I720" s="25" t="n"/>
      <c r="J720" s="17">
        <f>IF(AND(C720="",D720="",G720=""),"",IF(NOT(ISNUMBER(B720)),"Needs a date",IF(AND(D720&lt;&gt;"",NOT(ISNUMBER(D720))),"Amount not a number",IF(N(D720)&lt;0,"Amount below zero",IF(AND(N(D720)=0,G720=""),"Needs an amount or goods",IF(C720="","",IF(COUNTIF(Donors!$B$6:$B$305,C720)=0,"Not on Donors","")))))))</f>
        <v/>
      </c>
      <c r="K720" s="1">
        <f>IF(ISNUMBER(B720),YEAR(B720),"")</f>
        <v/>
      </c>
      <c r="L720">
        <f>IF(ISNUMBER(B720),YEAR(B720)*100+MONTH(B720),"")</f>
        <v/>
      </c>
      <c r="M720">
        <f>IF(ISNUMBER(B720),INT(B720),0)</f>
        <v/>
      </c>
      <c r="N720">
        <f>IF(OR(C720="",F720="",Q720=0),0,IF(COUNTIFS(C$6:C720,C720,F$6:F720,F720,Q$6:Q720,1)=1,1,0))</f>
        <v/>
      </c>
      <c r="O720">
        <f>IF(OR(C720="",Q720=0,H720&lt;&gt;""),"",M720*10000+ROW())</f>
        <v/>
      </c>
      <c r="P720">
        <f>IF(OR(C720="",Q720=0),"",IF(AND(C720=Statement!$C$4,K720=Statement!$C$5),M720*10000+ROW(),""))</f>
        <v/>
      </c>
      <c r="Q720">
        <f>IF(AND(ISNUMBER(B720),OR(N(D720)&gt;0,G720&lt;&gt;"")),1,0)</f>
        <v/>
      </c>
    </row>
    <row r="721">
      <c r="A721" s="1" t="n"/>
      <c r="B721" s="21" t="n"/>
      <c r="C721" s="22" t="n"/>
      <c r="D721" s="23" t="n"/>
      <c r="E721" s="24" t="n"/>
      <c r="F721" s="25" t="n"/>
      <c r="G721" s="25" t="n"/>
      <c r="H721" s="24" t="n"/>
      <c r="I721" s="25" t="n"/>
      <c r="J721" s="17">
        <f>IF(AND(C721="",D721="",G721=""),"",IF(NOT(ISNUMBER(B721)),"Needs a date",IF(AND(D721&lt;&gt;"",NOT(ISNUMBER(D721))),"Amount not a number",IF(N(D721)&lt;0,"Amount below zero",IF(AND(N(D721)=0,G721=""),"Needs an amount or goods",IF(C721="","",IF(COUNTIF(Donors!$B$6:$B$305,C721)=0,"Not on Donors","")))))))</f>
        <v/>
      </c>
      <c r="K721" s="1">
        <f>IF(ISNUMBER(B721),YEAR(B721),"")</f>
        <v/>
      </c>
      <c r="L721">
        <f>IF(ISNUMBER(B721),YEAR(B721)*100+MONTH(B721),"")</f>
        <v/>
      </c>
      <c r="M721">
        <f>IF(ISNUMBER(B721),INT(B721),0)</f>
        <v/>
      </c>
      <c r="N721">
        <f>IF(OR(C721="",F721="",Q721=0),0,IF(COUNTIFS(C$6:C721,C721,F$6:F721,F721,Q$6:Q721,1)=1,1,0))</f>
        <v/>
      </c>
      <c r="O721">
        <f>IF(OR(C721="",Q721=0,H721&lt;&gt;""),"",M721*10000+ROW())</f>
        <v/>
      </c>
      <c r="P721">
        <f>IF(OR(C721="",Q721=0),"",IF(AND(C721=Statement!$C$4,K721=Statement!$C$5),M721*10000+ROW(),""))</f>
        <v/>
      </c>
      <c r="Q721">
        <f>IF(AND(ISNUMBER(B721),OR(N(D721)&gt;0,G721&lt;&gt;"")),1,0)</f>
        <v/>
      </c>
    </row>
    <row r="722">
      <c r="A722" s="1" t="n"/>
      <c r="B722" s="21" t="n"/>
      <c r="C722" s="22" t="n"/>
      <c r="D722" s="23" t="n"/>
      <c r="E722" s="24" t="n"/>
      <c r="F722" s="25" t="n"/>
      <c r="G722" s="25" t="n"/>
      <c r="H722" s="24" t="n"/>
      <c r="I722" s="25" t="n"/>
      <c r="J722" s="17">
        <f>IF(AND(C722="",D722="",G722=""),"",IF(NOT(ISNUMBER(B722)),"Needs a date",IF(AND(D722&lt;&gt;"",NOT(ISNUMBER(D722))),"Amount not a number",IF(N(D722)&lt;0,"Amount below zero",IF(AND(N(D722)=0,G722=""),"Needs an amount or goods",IF(C722="","",IF(COUNTIF(Donors!$B$6:$B$305,C722)=0,"Not on Donors","")))))))</f>
        <v/>
      </c>
      <c r="K722" s="1">
        <f>IF(ISNUMBER(B722),YEAR(B722),"")</f>
        <v/>
      </c>
      <c r="L722">
        <f>IF(ISNUMBER(B722),YEAR(B722)*100+MONTH(B722),"")</f>
        <v/>
      </c>
      <c r="M722">
        <f>IF(ISNUMBER(B722),INT(B722),0)</f>
        <v/>
      </c>
      <c r="N722">
        <f>IF(OR(C722="",F722="",Q722=0),0,IF(COUNTIFS(C$6:C722,C722,F$6:F722,F722,Q$6:Q722,1)=1,1,0))</f>
        <v/>
      </c>
      <c r="O722">
        <f>IF(OR(C722="",Q722=0,H722&lt;&gt;""),"",M722*10000+ROW())</f>
        <v/>
      </c>
      <c r="P722">
        <f>IF(OR(C722="",Q722=0),"",IF(AND(C722=Statement!$C$4,K722=Statement!$C$5),M722*10000+ROW(),""))</f>
        <v/>
      </c>
      <c r="Q722">
        <f>IF(AND(ISNUMBER(B722),OR(N(D722)&gt;0,G722&lt;&gt;"")),1,0)</f>
        <v/>
      </c>
    </row>
    <row r="723">
      <c r="A723" s="1" t="n"/>
      <c r="B723" s="21" t="n"/>
      <c r="C723" s="22" t="n"/>
      <c r="D723" s="23" t="n"/>
      <c r="E723" s="24" t="n"/>
      <c r="F723" s="25" t="n"/>
      <c r="G723" s="25" t="n"/>
      <c r="H723" s="24" t="n"/>
      <c r="I723" s="25" t="n"/>
      <c r="J723" s="17">
        <f>IF(AND(C723="",D723="",G723=""),"",IF(NOT(ISNUMBER(B723)),"Needs a date",IF(AND(D723&lt;&gt;"",NOT(ISNUMBER(D723))),"Amount not a number",IF(N(D723)&lt;0,"Amount below zero",IF(AND(N(D723)=0,G723=""),"Needs an amount or goods",IF(C723="","",IF(COUNTIF(Donors!$B$6:$B$305,C723)=0,"Not on Donors","")))))))</f>
        <v/>
      </c>
      <c r="K723" s="1">
        <f>IF(ISNUMBER(B723),YEAR(B723),"")</f>
        <v/>
      </c>
      <c r="L723">
        <f>IF(ISNUMBER(B723),YEAR(B723)*100+MONTH(B723),"")</f>
        <v/>
      </c>
      <c r="M723">
        <f>IF(ISNUMBER(B723),INT(B723),0)</f>
        <v/>
      </c>
      <c r="N723">
        <f>IF(OR(C723="",F723="",Q723=0),0,IF(COUNTIFS(C$6:C723,C723,F$6:F723,F723,Q$6:Q723,1)=1,1,0))</f>
        <v/>
      </c>
      <c r="O723">
        <f>IF(OR(C723="",Q723=0,H723&lt;&gt;""),"",M723*10000+ROW())</f>
        <v/>
      </c>
      <c r="P723">
        <f>IF(OR(C723="",Q723=0),"",IF(AND(C723=Statement!$C$4,K723=Statement!$C$5),M723*10000+ROW(),""))</f>
        <v/>
      </c>
      <c r="Q723">
        <f>IF(AND(ISNUMBER(B723),OR(N(D723)&gt;0,G723&lt;&gt;"")),1,0)</f>
        <v/>
      </c>
    </row>
    <row r="724">
      <c r="A724" s="1" t="n"/>
      <c r="B724" s="21" t="n"/>
      <c r="C724" s="22" t="n"/>
      <c r="D724" s="23" t="n"/>
      <c r="E724" s="24" t="n"/>
      <c r="F724" s="25" t="n"/>
      <c r="G724" s="25" t="n"/>
      <c r="H724" s="24" t="n"/>
      <c r="I724" s="25" t="n"/>
      <c r="J724" s="17">
        <f>IF(AND(C724="",D724="",G724=""),"",IF(NOT(ISNUMBER(B724)),"Needs a date",IF(AND(D724&lt;&gt;"",NOT(ISNUMBER(D724))),"Amount not a number",IF(N(D724)&lt;0,"Amount below zero",IF(AND(N(D724)=0,G724=""),"Needs an amount or goods",IF(C724="","",IF(COUNTIF(Donors!$B$6:$B$305,C724)=0,"Not on Donors","")))))))</f>
        <v/>
      </c>
      <c r="K724" s="1">
        <f>IF(ISNUMBER(B724),YEAR(B724),"")</f>
        <v/>
      </c>
      <c r="L724">
        <f>IF(ISNUMBER(B724),YEAR(B724)*100+MONTH(B724),"")</f>
        <v/>
      </c>
      <c r="M724">
        <f>IF(ISNUMBER(B724),INT(B724),0)</f>
        <v/>
      </c>
      <c r="N724">
        <f>IF(OR(C724="",F724="",Q724=0),0,IF(COUNTIFS(C$6:C724,C724,F$6:F724,F724,Q$6:Q724,1)=1,1,0))</f>
        <v/>
      </c>
      <c r="O724">
        <f>IF(OR(C724="",Q724=0,H724&lt;&gt;""),"",M724*10000+ROW())</f>
        <v/>
      </c>
      <c r="P724">
        <f>IF(OR(C724="",Q724=0),"",IF(AND(C724=Statement!$C$4,K724=Statement!$C$5),M724*10000+ROW(),""))</f>
        <v/>
      </c>
      <c r="Q724">
        <f>IF(AND(ISNUMBER(B724),OR(N(D724)&gt;0,G724&lt;&gt;"")),1,0)</f>
        <v/>
      </c>
    </row>
    <row r="725">
      <c r="A725" s="1" t="n"/>
      <c r="B725" s="21" t="n"/>
      <c r="C725" s="22" t="n"/>
      <c r="D725" s="23" t="n"/>
      <c r="E725" s="24" t="n"/>
      <c r="F725" s="25" t="n"/>
      <c r="G725" s="25" t="n"/>
      <c r="H725" s="24" t="n"/>
      <c r="I725" s="25" t="n"/>
      <c r="J725" s="17">
        <f>IF(AND(C725="",D725="",G725=""),"",IF(NOT(ISNUMBER(B725)),"Needs a date",IF(AND(D725&lt;&gt;"",NOT(ISNUMBER(D725))),"Amount not a number",IF(N(D725)&lt;0,"Amount below zero",IF(AND(N(D725)=0,G725=""),"Needs an amount or goods",IF(C725="","",IF(COUNTIF(Donors!$B$6:$B$305,C725)=0,"Not on Donors","")))))))</f>
        <v/>
      </c>
      <c r="K725" s="1">
        <f>IF(ISNUMBER(B725),YEAR(B725),"")</f>
        <v/>
      </c>
      <c r="L725">
        <f>IF(ISNUMBER(B725),YEAR(B725)*100+MONTH(B725),"")</f>
        <v/>
      </c>
      <c r="M725">
        <f>IF(ISNUMBER(B725),INT(B725),0)</f>
        <v/>
      </c>
      <c r="N725">
        <f>IF(OR(C725="",F725="",Q725=0),0,IF(COUNTIFS(C$6:C725,C725,F$6:F725,F725,Q$6:Q725,1)=1,1,0))</f>
        <v/>
      </c>
      <c r="O725">
        <f>IF(OR(C725="",Q725=0,H725&lt;&gt;""),"",M725*10000+ROW())</f>
        <v/>
      </c>
      <c r="P725">
        <f>IF(OR(C725="",Q725=0),"",IF(AND(C725=Statement!$C$4,K725=Statement!$C$5),M725*10000+ROW(),""))</f>
        <v/>
      </c>
      <c r="Q725">
        <f>IF(AND(ISNUMBER(B725),OR(N(D725)&gt;0,G725&lt;&gt;"")),1,0)</f>
        <v/>
      </c>
    </row>
    <row r="726">
      <c r="A726" s="1" t="n"/>
      <c r="B726" s="21" t="n"/>
      <c r="C726" s="22" t="n"/>
      <c r="D726" s="23" t="n"/>
      <c r="E726" s="24" t="n"/>
      <c r="F726" s="25" t="n"/>
      <c r="G726" s="25" t="n"/>
      <c r="H726" s="24" t="n"/>
      <c r="I726" s="25" t="n"/>
      <c r="J726" s="17">
        <f>IF(AND(C726="",D726="",G726=""),"",IF(NOT(ISNUMBER(B726)),"Needs a date",IF(AND(D726&lt;&gt;"",NOT(ISNUMBER(D726))),"Amount not a number",IF(N(D726)&lt;0,"Amount below zero",IF(AND(N(D726)=0,G726=""),"Needs an amount or goods",IF(C726="","",IF(COUNTIF(Donors!$B$6:$B$305,C726)=0,"Not on Donors","")))))))</f>
        <v/>
      </c>
      <c r="K726" s="1">
        <f>IF(ISNUMBER(B726),YEAR(B726),"")</f>
        <v/>
      </c>
      <c r="L726">
        <f>IF(ISNUMBER(B726),YEAR(B726)*100+MONTH(B726),"")</f>
        <v/>
      </c>
      <c r="M726">
        <f>IF(ISNUMBER(B726),INT(B726),0)</f>
        <v/>
      </c>
      <c r="N726">
        <f>IF(OR(C726="",F726="",Q726=0),0,IF(COUNTIFS(C$6:C726,C726,F$6:F726,F726,Q$6:Q726,1)=1,1,0))</f>
        <v/>
      </c>
      <c r="O726">
        <f>IF(OR(C726="",Q726=0,H726&lt;&gt;""),"",M726*10000+ROW())</f>
        <v/>
      </c>
      <c r="P726">
        <f>IF(OR(C726="",Q726=0),"",IF(AND(C726=Statement!$C$4,K726=Statement!$C$5),M726*10000+ROW(),""))</f>
        <v/>
      </c>
      <c r="Q726">
        <f>IF(AND(ISNUMBER(B726),OR(N(D726)&gt;0,G726&lt;&gt;"")),1,0)</f>
        <v/>
      </c>
    </row>
    <row r="727">
      <c r="A727" s="1" t="n"/>
      <c r="B727" s="21" t="n"/>
      <c r="C727" s="22" t="n"/>
      <c r="D727" s="23" t="n"/>
      <c r="E727" s="24" t="n"/>
      <c r="F727" s="25" t="n"/>
      <c r="G727" s="25" t="n"/>
      <c r="H727" s="24" t="n"/>
      <c r="I727" s="25" t="n"/>
      <c r="J727" s="17">
        <f>IF(AND(C727="",D727="",G727=""),"",IF(NOT(ISNUMBER(B727)),"Needs a date",IF(AND(D727&lt;&gt;"",NOT(ISNUMBER(D727))),"Amount not a number",IF(N(D727)&lt;0,"Amount below zero",IF(AND(N(D727)=0,G727=""),"Needs an amount or goods",IF(C727="","",IF(COUNTIF(Donors!$B$6:$B$305,C727)=0,"Not on Donors","")))))))</f>
        <v/>
      </c>
      <c r="K727" s="1">
        <f>IF(ISNUMBER(B727),YEAR(B727),"")</f>
        <v/>
      </c>
      <c r="L727">
        <f>IF(ISNUMBER(B727),YEAR(B727)*100+MONTH(B727),"")</f>
        <v/>
      </c>
      <c r="M727">
        <f>IF(ISNUMBER(B727),INT(B727),0)</f>
        <v/>
      </c>
      <c r="N727">
        <f>IF(OR(C727="",F727="",Q727=0),0,IF(COUNTIFS(C$6:C727,C727,F$6:F727,F727,Q$6:Q727,1)=1,1,0))</f>
        <v/>
      </c>
      <c r="O727">
        <f>IF(OR(C727="",Q727=0,H727&lt;&gt;""),"",M727*10000+ROW())</f>
        <v/>
      </c>
      <c r="P727">
        <f>IF(OR(C727="",Q727=0),"",IF(AND(C727=Statement!$C$4,K727=Statement!$C$5),M727*10000+ROW(),""))</f>
        <v/>
      </c>
      <c r="Q727">
        <f>IF(AND(ISNUMBER(B727),OR(N(D727)&gt;0,G727&lt;&gt;"")),1,0)</f>
        <v/>
      </c>
    </row>
    <row r="728">
      <c r="A728" s="1" t="n"/>
      <c r="B728" s="21" t="n"/>
      <c r="C728" s="22" t="n"/>
      <c r="D728" s="23" t="n"/>
      <c r="E728" s="24" t="n"/>
      <c r="F728" s="25" t="n"/>
      <c r="G728" s="25" t="n"/>
      <c r="H728" s="24" t="n"/>
      <c r="I728" s="25" t="n"/>
      <c r="J728" s="17">
        <f>IF(AND(C728="",D728="",G728=""),"",IF(NOT(ISNUMBER(B728)),"Needs a date",IF(AND(D728&lt;&gt;"",NOT(ISNUMBER(D728))),"Amount not a number",IF(N(D728)&lt;0,"Amount below zero",IF(AND(N(D728)=0,G728=""),"Needs an amount or goods",IF(C728="","",IF(COUNTIF(Donors!$B$6:$B$305,C728)=0,"Not on Donors","")))))))</f>
        <v/>
      </c>
      <c r="K728" s="1">
        <f>IF(ISNUMBER(B728),YEAR(B728),"")</f>
        <v/>
      </c>
      <c r="L728">
        <f>IF(ISNUMBER(B728),YEAR(B728)*100+MONTH(B728),"")</f>
        <v/>
      </c>
      <c r="M728">
        <f>IF(ISNUMBER(B728),INT(B728),0)</f>
        <v/>
      </c>
      <c r="N728">
        <f>IF(OR(C728="",F728="",Q728=0),0,IF(COUNTIFS(C$6:C728,C728,F$6:F728,F728,Q$6:Q728,1)=1,1,0))</f>
        <v/>
      </c>
      <c r="O728">
        <f>IF(OR(C728="",Q728=0,H728&lt;&gt;""),"",M728*10000+ROW())</f>
        <v/>
      </c>
      <c r="P728">
        <f>IF(OR(C728="",Q728=0),"",IF(AND(C728=Statement!$C$4,K728=Statement!$C$5),M728*10000+ROW(),""))</f>
        <v/>
      </c>
      <c r="Q728">
        <f>IF(AND(ISNUMBER(B728),OR(N(D728)&gt;0,G728&lt;&gt;"")),1,0)</f>
        <v/>
      </c>
    </row>
    <row r="729">
      <c r="A729" s="1" t="n"/>
      <c r="B729" s="21" t="n"/>
      <c r="C729" s="22" t="n"/>
      <c r="D729" s="23" t="n"/>
      <c r="E729" s="24" t="n"/>
      <c r="F729" s="25" t="n"/>
      <c r="G729" s="25" t="n"/>
      <c r="H729" s="24" t="n"/>
      <c r="I729" s="25" t="n"/>
      <c r="J729" s="17">
        <f>IF(AND(C729="",D729="",G729=""),"",IF(NOT(ISNUMBER(B729)),"Needs a date",IF(AND(D729&lt;&gt;"",NOT(ISNUMBER(D729))),"Amount not a number",IF(N(D729)&lt;0,"Amount below zero",IF(AND(N(D729)=0,G729=""),"Needs an amount or goods",IF(C729="","",IF(COUNTIF(Donors!$B$6:$B$305,C729)=0,"Not on Donors","")))))))</f>
        <v/>
      </c>
      <c r="K729" s="1">
        <f>IF(ISNUMBER(B729),YEAR(B729),"")</f>
        <v/>
      </c>
      <c r="L729">
        <f>IF(ISNUMBER(B729),YEAR(B729)*100+MONTH(B729),"")</f>
        <v/>
      </c>
      <c r="M729">
        <f>IF(ISNUMBER(B729),INT(B729),0)</f>
        <v/>
      </c>
      <c r="N729">
        <f>IF(OR(C729="",F729="",Q729=0),0,IF(COUNTIFS(C$6:C729,C729,F$6:F729,F729,Q$6:Q729,1)=1,1,0))</f>
        <v/>
      </c>
      <c r="O729">
        <f>IF(OR(C729="",Q729=0,H729&lt;&gt;""),"",M729*10000+ROW())</f>
        <v/>
      </c>
      <c r="P729">
        <f>IF(OR(C729="",Q729=0),"",IF(AND(C729=Statement!$C$4,K729=Statement!$C$5),M729*10000+ROW(),""))</f>
        <v/>
      </c>
      <c r="Q729">
        <f>IF(AND(ISNUMBER(B729),OR(N(D729)&gt;0,G729&lt;&gt;"")),1,0)</f>
        <v/>
      </c>
    </row>
    <row r="730">
      <c r="A730" s="1" t="n"/>
      <c r="B730" s="21" t="n"/>
      <c r="C730" s="22" t="n"/>
      <c r="D730" s="23" t="n"/>
      <c r="E730" s="24" t="n"/>
      <c r="F730" s="25" t="n"/>
      <c r="G730" s="25" t="n"/>
      <c r="H730" s="24" t="n"/>
      <c r="I730" s="25" t="n"/>
      <c r="J730" s="17">
        <f>IF(AND(C730="",D730="",G730=""),"",IF(NOT(ISNUMBER(B730)),"Needs a date",IF(AND(D730&lt;&gt;"",NOT(ISNUMBER(D730))),"Amount not a number",IF(N(D730)&lt;0,"Amount below zero",IF(AND(N(D730)=0,G730=""),"Needs an amount or goods",IF(C730="","",IF(COUNTIF(Donors!$B$6:$B$305,C730)=0,"Not on Donors","")))))))</f>
        <v/>
      </c>
      <c r="K730" s="1">
        <f>IF(ISNUMBER(B730),YEAR(B730),"")</f>
        <v/>
      </c>
      <c r="L730">
        <f>IF(ISNUMBER(B730),YEAR(B730)*100+MONTH(B730),"")</f>
        <v/>
      </c>
      <c r="M730">
        <f>IF(ISNUMBER(B730),INT(B730),0)</f>
        <v/>
      </c>
      <c r="N730">
        <f>IF(OR(C730="",F730="",Q730=0),0,IF(COUNTIFS(C$6:C730,C730,F$6:F730,F730,Q$6:Q730,1)=1,1,0))</f>
        <v/>
      </c>
      <c r="O730">
        <f>IF(OR(C730="",Q730=0,H730&lt;&gt;""),"",M730*10000+ROW())</f>
        <v/>
      </c>
      <c r="P730">
        <f>IF(OR(C730="",Q730=0),"",IF(AND(C730=Statement!$C$4,K730=Statement!$C$5),M730*10000+ROW(),""))</f>
        <v/>
      </c>
      <c r="Q730">
        <f>IF(AND(ISNUMBER(B730),OR(N(D730)&gt;0,G730&lt;&gt;"")),1,0)</f>
        <v/>
      </c>
    </row>
    <row r="731">
      <c r="A731" s="1" t="n"/>
      <c r="B731" s="21" t="n"/>
      <c r="C731" s="22" t="n"/>
      <c r="D731" s="23" t="n"/>
      <c r="E731" s="24" t="n"/>
      <c r="F731" s="25" t="n"/>
      <c r="G731" s="25" t="n"/>
      <c r="H731" s="24" t="n"/>
      <c r="I731" s="25" t="n"/>
      <c r="J731" s="17">
        <f>IF(AND(C731="",D731="",G731=""),"",IF(NOT(ISNUMBER(B731)),"Needs a date",IF(AND(D731&lt;&gt;"",NOT(ISNUMBER(D731))),"Amount not a number",IF(N(D731)&lt;0,"Amount below zero",IF(AND(N(D731)=0,G731=""),"Needs an amount or goods",IF(C731="","",IF(COUNTIF(Donors!$B$6:$B$305,C731)=0,"Not on Donors","")))))))</f>
        <v/>
      </c>
      <c r="K731" s="1">
        <f>IF(ISNUMBER(B731),YEAR(B731),"")</f>
        <v/>
      </c>
      <c r="L731">
        <f>IF(ISNUMBER(B731),YEAR(B731)*100+MONTH(B731),"")</f>
        <v/>
      </c>
      <c r="M731">
        <f>IF(ISNUMBER(B731),INT(B731),0)</f>
        <v/>
      </c>
      <c r="N731">
        <f>IF(OR(C731="",F731="",Q731=0),0,IF(COUNTIFS(C$6:C731,C731,F$6:F731,F731,Q$6:Q731,1)=1,1,0))</f>
        <v/>
      </c>
      <c r="O731">
        <f>IF(OR(C731="",Q731=0,H731&lt;&gt;""),"",M731*10000+ROW())</f>
        <v/>
      </c>
      <c r="P731">
        <f>IF(OR(C731="",Q731=0),"",IF(AND(C731=Statement!$C$4,K731=Statement!$C$5),M731*10000+ROW(),""))</f>
        <v/>
      </c>
      <c r="Q731">
        <f>IF(AND(ISNUMBER(B731),OR(N(D731)&gt;0,G731&lt;&gt;"")),1,0)</f>
        <v/>
      </c>
    </row>
    <row r="732">
      <c r="A732" s="1" t="n"/>
      <c r="B732" s="21" t="n"/>
      <c r="C732" s="22" t="n"/>
      <c r="D732" s="23" t="n"/>
      <c r="E732" s="24" t="n"/>
      <c r="F732" s="25" t="n"/>
      <c r="G732" s="25" t="n"/>
      <c r="H732" s="24" t="n"/>
      <c r="I732" s="25" t="n"/>
      <c r="J732" s="17">
        <f>IF(AND(C732="",D732="",G732=""),"",IF(NOT(ISNUMBER(B732)),"Needs a date",IF(AND(D732&lt;&gt;"",NOT(ISNUMBER(D732))),"Amount not a number",IF(N(D732)&lt;0,"Amount below zero",IF(AND(N(D732)=0,G732=""),"Needs an amount or goods",IF(C732="","",IF(COUNTIF(Donors!$B$6:$B$305,C732)=0,"Not on Donors","")))))))</f>
        <v/>
      </c>
      <c r="K732" s="1">
        <f>IF(ISNUMBER(B732),YEAR(B732),"")</f>
        <v/>
      </c>
      <c r="L732">
        <f>IF(ISNUMBER(B732),YEAR(B732)*100+MONTH(B732),"")</f>
        <v/>
      </c>
      <c r="M732">
        <f>IF(ISNUMBER(B732),INT(B732),0)</f>
        <v/>
      </c>
      <c r="N732">
        <f>IF(OR(C732="",F732="",Q732=0),0,IF(COUNTIFS(C$6:C732,C732,F$6:F732,F732,Q$6:Q732,1)=1,1,0))</f>
        <v/>
      </c>
      <c r="O732">
        <f>IF(OR(C732="",Q732=0,H732&lt;&gt;""),"",M732*10000+ROW())</f>
        <v/>
      </c>
      <c r="P732">
        <f>IF(OR(C732="",Q732=0),"",IF(AND(C732=Statement!$C$4,K732=Statement!$C$5),M732*10000+ROW(),""))</f>
        <v/>
      </c>
      <c r="Q732">
        <f>IF(AND(ISNUMBER(B732),OR(N(D732)&gt;0,G732&lt;&gt;"")),1,0)</f>
        <v/>
      </c>
    </row>
    <row r="733">
      <c r="A733" s="1" t="n"/>
      <c r="B733" s="21" t="n"/>
      <c r="C733" s="22" t="n"/>
      <c r="D733" s="23" t="n"/>
      <c r="E733" s="24" t="n"/>
      <c r="F733" s="25" t="n"/>
      <c r="G733" s="25" t="n"/>
      <c r="H733" s="24" t="n"/>
      <c r="I733" s="25" t="n"/>
      <c r="J733" s="17">
        <f>IF(AND(C733="",D733="",G733=""),"",IF(NOT(ISNUMBER(B733)),"Needs a date",IF(AND(D733&lt;&gt;"",NOT(ISNUMBER(D733))),"Amount not a number",IF(N(D733)&lt;0,"Amount below zero",IF(AND(N(D733)=0,G733=""),"Needs an amount or goods",IF(C733="","",IF(COUNTIF(Donors!$B$6:$B$305,C733)=0,"Not on Donors","")))))))</f>
        <v/>
      </c>
      <c r="K733" s="1">
        <f>IF(ISNUMBER(B733),YEAR(B733),"")</f>
        <v/>
      </c>
      <c r="L733">
        <f>IF(ISNUMBER(B733),YEAR(B733)*100+MONTH(B733),"")</f>
        <v/>
      </c>
      <c r="M733">
        <f>IF(ISNUMBER(B733),INT(B733),0)</f>
        <v/>
      </c>
      <c r="N733">
        <f>IF(OR(C733="",F733="",Q733=0),0,IF(COUNTIFS(C$6:C733,C733,F$6:F733,F733,Q$6:Q733,1)=1,1,0))</f>
        <v/>
      </c>
      <c r="O733">
        <f>IF(OR(C733="",Q733=0,H733&lt;&gt;""),"",M733*10000+ROW())</f>
        <v/>
      </c>
      <c r="P733">
        <f>IF(OR(C733="",Q733=0),"",IF(AND(C733=Statement!$C$4,K733=Statement!$C$5),M733*10000+ROW(),""))</f>
        <v/>
      </c>
      <c r="Q733">
        <f>IF(AND(ISNUMBER(B733),OR(N(D733)&gt;0,G733&lt;&gt;"")),1,0)</f>
        <v/>
      </c>
    </row>
    <row r="734">
      <c r="A734" s="1" t="n"/>
      <c r="B734" s="21" t="n"/>
      <c r="C734" s="22" t="n"/>
      <c r="D734" s="23" t="n"/>
      <c r="E734" s="24" t="n"/>
      <c r="F734" s="25" t="n"/>
      <c r="G734" s="25" t="n"/>
      <c r="H734" s="24" t="n"/>
      <c r="I734" s="25" t="n"/>
      <c r="J734" s="17">
        <f>IF(AND(C734="",D734="",G734=""),"",IF(NOT(ISNUMBER(B734)),"Needs a date",IF(AND(D734&lt;&gt;"",NOT(ISNUMBER(D734))),"Amount not a number",IF(N(D734)&lt;0,"Amount below zero",IF(AND(N(D734)=0,G734=""),"Needs an amount or goods",IF(C734="","",IF(COUNTIF(Donors!$B$6:$B$305,C734)=0,"Not on Donors","")))))))</f>
        <v/>
      </c>
      <c r="K734" s="1">
        <f>IF(ISNUMBER(B734),YEAR(B734),"")</f>
        <v/>
      </c>
      <c r="L734">
        <f>IF(ISNUMBER(B734),YEAR(B734)*100+MONTH(B734),"")</f>
        <v/>
      </c>
      <c r="M734">
        <f>IF(ISNUMBER(B734),INT(B734),0)</f>
        <v/>
      </c>
      <c r="N734">
        <f>IF(OR(C734="",F734="",Q734=0),0,IF(COUNTIFS(C$6:C734,C734,F$6:F734,F734,Q$6:Q734,1)=1,1,0))</f>
        <v/>
      </c>
      <c r="O734">
        <f>IF(OR(C734="",Q734=0,H734&lt;&gt;""),"",M734*10000+ROW())</f>
        <v/>
      </c>
      <c r="P734">
        <f>IF(OR(C734="",Q734=0),"",IF(AND(C734=Statement!$C$4,K734=Statement!$C$5),M734*10000+ROW(),""))</f>
        <v/>
      </c>
      <c r="Q734">
        <f>IF(AND(ISNUMBER(B734),OR(N(D734)&gt;0,G734&lt;&gt;"")),1,0)</f>
        <v/>
      </c>
    </row>
    <row r="735">
      <c r="A735" s="1" t="n"/>
      <c r="B735" s="21" t="n"/>
      <c r="C735" s="22" t="n"/>
      <c r="D735" s="23" t="n"/>
      <c r="E735" s="24" t="n"/>
      <c r="F735" s="25" t="n"/>
      <c r="G735" s="25" t="n"/>
      <c r="H735" s="24" t="n"/>
      <c r="I735" s="25" t="n"/>
      <c r="J735" s="17">
        <f>IF(AND(C735="",D735="",G735=""),"",IF(NOT(ISNUMBER(B735)),"Needs a date",IF(AND(D735&lt;&gt;"",NOT(ISNUMBER(D735))),"Amount not a number",IF(N(D735)&lt;0,"Amount below zero",IF(AND(N(D735)=0,G735=""),"Needs an amount or goods",IF(C735="","",IF(COUNTIF(Donors!$B$6:$B$305,C735)=0,"Not on Donors","")))))))</f>
        <v/>
      </c>
      <c r="K735" s="1">
        <f>IF(ISNUMBER(B735),YEAR(B735),"")</f>
        <v/>
      </c>
      <c r="L735">
        <f>IF(ISNUMBER(B735),YEAR(B735)*100+MONTH(B735),"")</f>
        <v/>
      </c>
      <c r="M735">
        <f>IF(ISNUMBER(B735),INT(B735),0)</f>
        <v/>
      </c>
      <c r="N735">
        <f>IF(OR(C735="",F735="",Q735=0),0,IF(COUNTIFS(C$6:C735,C735,F$6:F735,F735,Q$6:Q735,1)=1,1,0))</f>
        <v/>
      </c>
      <c r="O735">
        <f>IF(OR(C735="",Q735=0,H735&lt;&gt;""),"",M735*10000+ROW())</f>
        <v/>
      </c>
      <c r="P735">
        <f>IF(OR(C735="",Q735=0),"",IF(AND(C735=Statement!$C$4,K735=Statement!$C$5),M735*10000+ROW(),""))</f>
        <v/>
      </c>
      <c r="Q735">
        <f>IF(AND(ISNUMBER(B735),OR(N(D735)&gt;0,G735&lt;&gt;"")),1,0)</f>
        <v/>
      </c>
    </row>
    <row r="736">
      <c r="A736" s="1" t="n"/>
      <c r="B736" s="21" t="n"/>
      <c r="C736" s="22" t="n"/>
      <c r="D736" s="23" t="n"/>
      <c r="E736" s="24" t="n"/>
      <c r="F736" s="25" t="n"/>
      <c r="G736" s="25" t="n"/>
      <c r="H736" s="24" t="n"/>
      <c r="I736" s="25" t="n"/>
      <c r="J736" s="17">
        <f>IF(AND(C736="",D736="",G736=""),"",IF(NOT(ISNUMBER(B736)),"Needs a date",IF(AND(D736&lt;&gt;"",NOT(ISNUMBER(D736))),"Amount not a number",IF(N(D736)&lt;0,"Amount below zero",IF(AND(N(D736)=0,G736=""),"Needs an amount or goods",IF(C736="","",IF(COUNTIF(Donors!$B$6:$B$305,C736)=0,"Not on Donors","")))))))</f>
        <v/>
      </c>
      <c r="K736" s="1">
        <f>IF(ISNUMBER(B736),YEAR(B736),"")</f>
        <v/>
      </c>
      <c r="L736">
        <f>IF(ISNUMBER(B736),YEAR(B736)*100+MONTH(B736),"")</f>
        <v/>
      </c>
      <c r="M736">
        <f>IF(ISNUMBER(B736),INT(B736),0)</f>
        <v/>
      </c>
      <c r="N736">
        <f>IF(OR(C736="",F736="",Q736=0),0,IF(COUNTIFS(C$6:C736,C736,F$6:F736,F736,Q$6:Q736,1)=1,1,0))</f>
        <v/>
      </c>
      <c r="O736">
        <f>IF(OR(C736="",Q736=0,H736&lt;&gt;""),"",M736*10000+ROW())</f>
        <v/>
      </c>
      <c r="P736">
        <f>IF(OR(C736="",Q736=0),"",IF(AND(C736=Statement!$C$4,K736=Statement!$C$5),M736*10000+ROW(),""))</f>
        <v/>
      </c>
      <c r="Q736">
        <f>IF(AND(ISNUMBER(B736),OR(N(D736)&gt;0,G736&lt;&gt;"")),1,0)</f>
        <v/>
      </c>
    </row>
    <row r="737">
      <c r="A737" s="1" t="n"/>
      <c r="B737" s="21" t="n"/>
      <c r="C737" s="22" t="n"/>
      <c r="D737" s="23" t="n"/>
      <c r="E737" s="24" t="n"/>
      <c r="F737" s="25" t="n"/>
      <c r="G737" s="25" t="n"/>
      <c r="H737" s="24" t="n"/>
      <c r="I737" s="25" t="n"/>
      <c r="J737" s="17">
        <f>IF(AND(C737="",D737="",G737=""),"",IF(NOT(ISNUMBER(B737)),"Needs a date",IF(AND(D737&lt;&gt;"",NOT(ISNUMBER(D737))),"Amount not a number",IF(N(D737)&lt;0,"Amount below zero",IF(AND(N(D737)=0,G737=""),"Needs an amount or goods",IF(C737="","",IF(COUNTIF(Donors!$B$6:$B$305,C737)=0,"Not on Donors","")))))))</f>
        <v/>
      </c>
      <c r="K737" s="1">
        <f>IF(ISNUMBER(B737),YEAR(B737),"")</f>
        <v/>
      </c>
      <c r="L737">
        <f>IF(ISNUMBER(B737),YEAR(B737)*100+MONTH(B737),"")</f>
        <v/>
      </c>
      <c r="M737">
        <f>IF(ISNUMBER(B737),INT(B737),0)</f>
        <v/>
      </c>
      <c r="N737">
        <f>IF(OR(C737="",F737="",Q737=0),0,IF(COUNTIFS(C$6:C737,C737,F$6:F737,F737,Q$6:Q737,1)=1,1,0))</f>
        <v/>
      </c>
      <c r="O737">
        <f>IF(OR(C737="",Q737=0,H737&lt;&gt;""),"",M737*10000+ROW())</f>
        <v/>
      </c>
      <c r="P737">
        <f>IF(OR(C737="",Q737=0),"",IF(AND(C737=Statement!$C$4,K737=Statement!$C$5),M737*10000+ROW(),""))</f>
        <v/>
      </c>
      <c r="Q737">
        <f>IF(AND(ISNUMBER(B737),OR(N(D737)&gt;0,G737&lt;&gt;"")),1,0)</f>
        <v/>
      </c>
    </row>
    <row r="738">
      <c r="A738" s="1" t="n"/>
      <c r="B738" s="21" t="n"/>
      <c r="C738" s="22" t="n"/>
      <c r="D738" s="23" t="n"/>
      <c r="E738" s="24" t="n"/>
      <c r="F738" s="25" t="n"/>
      <c r="G738" s="25" t="n"/>
      <c r="H738" s="24" t="n"/>
      <c r="I738" s="25" t="n"/>
      <c r="J738" s="17">
        <f>IF(AND(C738="",D738="",G738=""),"",IF(NOT(ISNUMBER(B738)),"Needs a date",IF(AND(D738&lt;&gt;"",NOT(ISNUMBER(D738))),"Amount not a number",IF(N(D738)&lt;0,"Amount below zero",IF(AND(N(D738)=0,G738=""),"Needs an amount or goods",IF(C738="","",IF(COUNTIF(Donors!$B$6:$B$305,C738)=0,"Not on Donors","")))))))</f>
        <v/>
      </c>
      <c r="K738" s="1">
        <f>IF(ISNUMBER(B738),YEAR(B738),"")</f>
        <v/>
      </c>
      <c r="L738">
        <f>IF(ISNUMBER(B738),YEAR(B738)*100+MONTH(B738),"")</f>
        <v/>
      </c>
      <c r="M738">
        <f>IF(ISNUMBER(B738),INT(B738),0)</f>
        <v/>
      </c>
      <c r="N738">
        <f>IF(OR(C738="",F738="",Q738=0),0,IF(COUNTIFS(C$6:C738,C738,F$6:F738,F738,Q$6:Q738,1)=1,1,0))</f>
        <v/>
      </c>
      <c r="O738">
        <f>IF(OR(C738="",Q738=0,H738&lt;&gt;""),"",M738*10000+ROW())</f>
        <v/>
      </c>
      <c r="P738">
        <f>IF(OR(C738="",Q738=0),"",IF(AND(C738=Statement!$C$4,K738=Statement!$C$5),M738*10000+ROW(),""))</f>
        <v/>
      </c>
      <c r="Q738">
        <f>IF(AND(ISNUMBER(B738),OR(N(D738)&gt;0,G738&lt;&gt;"")),1,0)</f>
        <v/>
      </c>
    </row>
    <row r="739">
      <c r="A739" s="1" t="n"/>
      <c r="B739" s="21" t="n"/>
      <c r="C739" s="22" t="n"/>
      <c r="D739" s="23" t="n"/>
      <c r="E739" s="24" t="n"/>
      <c r="F739" s="25" t="n"/>
      <c r="G739" s="25" t="n"/>
      <c r="H739" s="24" t="n"/>
      <c r="I739" s="25" t="n"/>
      <c r="J739" s="17">
        <f>IF(AND(C739="",D739="",G739=""),"",IF(NOT(ISNUMBER(B739)),"Needs a date",IF(AND(D739&lt;&gt;"",NOT(ISNUMBER(D739))),"Amount not a number",IF(N(D739)&lt;0,"Amount below zero",IF(AND(N(D739)=0,G739=""),"Needs an amount or goods",IF(C739="","",IF(COUNTIF(Donors!$B$6:$B$305,C739)=0,"Not on Donors","")))))))</f>
        <v/>
      </c>
      <c r="K739" s="1">
        <f>IF(ISNUMBER(B739),YEAR(B739),"")</f>
        <v/>
      </c>
      <c r="L739">
        <f>IF(ISNUMBER(B739),YEAR(B739)*100+MONTH(B739),"")</f>
        <v/>
      </c>
      <c r="M739">
        <f>IF(ISNUMBER(B739),INT(B739),0)</f>
        <v/>
      </c>
      <c r="N739">
        <f>IF(OR(C739="",F739="",Q739=0),0,IF(COUNTIFS(C$6:C739,C739,F$6:F739,F739,Q$6:Q739,1)=1,1,0))</f>
        <v/>
      </c>
      <c r="O739">
        <f>IF(OR(C739="",Q739=0,H739&lt;&gt;""),"",M739*10000+ROW())</f>
        <v/>
      </c>
      <c r="P739">
        <f>IF(OR(C739="",Q739=0),"",IF(AND(C739=Statement!$C$4,K739=Statement!$C$5),M739*10000+ROW(),""))</f>
        <v/>
      </c>
      <c r="Q739">
        <f>IF(AND(ISNUMBER(B739),OR(N(D739)&gt;0,G739&lt;&gt;"")),1,0)</f>
        <v/>
      </c>
    </row>
    <row r="740">
      <c r="A740" s="1" t="n"/>
      <c r="B740" s="21" t="n"/>
      <c r="C740" s="22" t="n"/>
      <c r="D740" s="23" t="n"/>
      <c r="E740" s="24" t="n"/>
      <c r="F740" s="25" t="n"/>
      <c r="G740" s="25" t="n"/>
      <c r="H740" s="24" t="n"/>
      <c r="I740" s="25" t="n"/>
      <c r="J740" s="17">
        <f>IF(AND(C740="",D740="",G740=""),"",IF(NOT(ISNUMBER(B740)),"Needs a date",IF(AND(D740&lt;&gt;"",NOT(ISNUMBER(D740))),"Amount not a number",IF(N(D740)&lt;0,"Amount below zero",IF(AND(N(D740)=0,G740=""),"Needs an amount or goods",IF(C740="","",IF(COUNTIF(Donors!$B$6:$B$305,C740)=0,"Not on Donors","")))))))</f>
        <v/>
      </c>
      <c r="K740" s="1">
        <f>IF(ISNUMBER(B740),YEAR(B740),"")</f>
        <v/>
      </c>
      <c r="L740">
        <f>IF(ISNUMBER(B740),YEAR(B740)*100+MONTH(B740),"")</f>
        <v/>
      </c>
      <c r="M740">
        <f>IF(ISNUMBER(B740),INT(B740),0)</f>
        <v/>
      </c>
      <c r="N740">
        <f>IF(OR(C740="",F740="",Q740=0),0,IF(COUNTIFS(C$6:C740,C740,F$6:F740,F740,Q$6:Q740,1)=1,1,0))</f>
        <v/>
      </c>
      <c r="O740">
        <f>IF(OR(C740="",Q740=0,H740&lt;&gt;""),"",M740*10000+ROW())</f>
        <v/>
      </c>
      <c r="P740">
        <f>IF(OR(C740="",Q740=0),"",IF(AND(C740=Statement!$C$4,K740=Statement!$C$5),M740*10000+ROW(),""))</f>
        <v/>
      </c>
      <c r="Q740">
        <f>IF(AND(ISNUMBER(B740),OR(N(D740)&gt;0,G740&lt;&gt;"")),1,0)</f>
        <v/>
      </c>
    </row>
    <row r="741">
      <c r="A741" s="1" t="n"/>
      <c r="B741" s="21" t="n"/>
      <c r="C741" s="22" t="n"/>
      <c r="D741" s="23" t="n"/>
      <c r="E741" s="24" t="n"/>
      <c r="F741" s="25" t="n"/>
      <c r="G741" s="25" t="n"/>
      <c r="H741" s="24" t="n"/>
      <c r="I741" s="25" t="n"/>
      <c r="J741" s="17">
        <f>IF(AND(C741="",D741="",G741=""),"",IF(NOT(ISNUMBER(B741)),"Needs a date",IF(AND(D741&lt;&gt;"",NOT(ISNUMBER(D741))),"Amount not a number",IF(N(D741)&lt;0,"Amount below zero",IF(AND(N(D741)=0,G741=""),"Needs an amount or goods",IF(C741="","",IF(COUNTIF(Donors!$B$6:$B$305,C741)=0,"Not on Donors","")))))))</f>
        <v/>
      </c>
      <c r="K741" s="1">
        <f>IF(ISNUMBER(B741),YEAR(B741),"")</f>
        <v/>
      </c>
      <c r="L741">
        <f>IF(ISNUMBER(B741),YEAR(B741)*100+MONTH(B741),"")</f>
        <v/>
      </c>
      <c r="M741">
        <f>IF(ISNUMBER(B741),INT(B741),0)</f>
        <v/>
      </c>
      <c r="N741">
        <f>IF(OR(C741="",F741="",Q741=0),0,IF(COUNTIFS(C$6:C741,C741,F$6:F741,F741,Q$6:Q741,1)=1,1,0))</f>
        <v/>
      </c>
      <c r="O741">
        <f>IF(OR(C741="",Q741=0,H741&lt;&gt;""),"",M741*10000+ROW())</f>
        <v/>
      </c>
      <c r="P741">
        <f>IF(OR(C741="",Q741=0),"",IF(AND(C741=Statement!$C$4,K741=Statement!$C$5),M741*10000+ROW(),""))</f>
        <v/>
      </c>
      <c r="Q741">
        <f>IF(AND(ISNUMBER(B741),OR(N(D741)&gt;0,G741&lt;&gt;"")),1,0)</f>
        <v/>
      </c>
    </row>
    <row r="742">
      <c r="A742" s="1" t="n"/>
      <c r="B742" s="21" t="n"/>
      <c r="C742" s="22" t="n"/>
      <c r="D742" s="23" t="n"/>
      <c r="E742" s="24" t="n"/>
      <c r="F742" s="25" t="n"/>
      <c r="G742" s="25" t="n"/>
      <c r="H742" s="24" t="n"/>
      <c r="I742" s="25" t="n"/>
      <c r="J742" s="17">
        <f>IF(AND(C742="",D742="",G742=""),"",IF(NOT(ISNUMBER(B742)),"Needs a date",IF(AND(D742&lt;&gt;"",NOT(ISNUMBER(D742))),"Amount not a number",IF(N(D742)&lt;0,"Amount below zero",IF(AND(N(D742)=0,G742=""),"Needs an amount or goods",IF(C742="","",IF(COUNTIF(Donors!$B$6:$B$305,C742)=0,"Not on Donors","")))))))</f>
        <v/>
      </c>
      <c r="K742" s="1">
        <f>IF(ISNUMBER(B742),YEAR(B742),"")</f>
        <v/>
      </c>
      <c r="L742">
        <f>IF(ISNUMBER(B742),YEAR(B742)*100+MONTH(B742),"")</f>
        <v/>
      </c>
      <c r="M742">
        <f>IF(ISNUMBER(B742),INT(B742),0)</f>
        <v/>
      </c>
      <c r="N742">
        <f>IF(OR(C742="",F742="",Q742=0),0,IF(COUNTIFS(C$6:C742,C742,F$6:F742,F742,Q$6:Q742,1)=1,1,0))</f>
        <v/>
      </c>
      <c r="O742">
        <f>IF(OR(C742="",Q742=0,H742&lt;&gt;""),"",M742*10000+ROW())</f>
        <v/>
      </c>
      <c r="P742">
        <f>IF(OR(C742="",Q742=0),"",IF(AND(C742=Statement!$C$4,K742=Statement!$C$5),M742*10000+ROW(),""))</f>
        <v/>
      </c>
      <c r="Q742">
        <f>IF(AND(ISNUMBER(B742),OR(N(D742)&gt;0,G742&lt;&gt;"")),1,0)</f>
        <v/>
      </c>
    </row>
    <row r="743">
      <c r="A743" s="1" t="n"/>
      <c r="B743" s="21" t="n"/>
      <c r="C743" s="22" t="n"/>
      <c r="D743" s="23" t="n"/>
      <c r="E743" s="24" t="n"/>
      <c r="F743" s="25" t="n"/>
      <c r="G743" s="25" t="n"/>
      <c r="H743" s="24" t="n"/>
      <c r="I743" s="25" t="n"/>
      <c r="J743" s="17">
        <f>IF(AND(C743="",D743="",G743=""),"",IF(NOT(ISNUMBER(B743)),"Needs a date",IF(AND(D743&lt;&gt;"",NOT(ISNUMBER(D743))),"Amount not a number",IF(N(D743)&lt;0,"Amount below zero",IF(AND(N(D743)=0,G743=""),"Needs an amount or goods",IF(C743="","",IF(COUNTIF(Donors!$B$6:$B$305,C743)=0,"Not on Donors","")))))))</f>
        <v/>
      </c>
      <c r="K743" s="1">
        <f>IF(ISNUMBER(B743),YEAR(B743),"")</f>
        <v/>
      </c>
      <c r="L743">
        <f>IF(ISNUMBER(B743),YEAR(B743)*100+MONTH(B743),"")</f>
        <v/>
      </c>
      <c r="M743">
        <f>IF(ISNUMBER(B743),INT(B743),0)</f>
        <v/>
      </c>
      <c r="N743">
        <f>IF(OR(C743="",F743="",Q743=0),0,IF(COUNTIFS(C$6:C743,C743,F$6:F743,F743,Q$6:Q743,1)=1,1,0))</f>
        <v/>
      </c>
      <c r="O743">
        <f>IF(OR(C743="",Q743=0,H743&lt;&gt;""),"",M743*10000+ROW())</f>
        <v/>
      </c>
      <c r="P743">
        <f>IF(OR(C743="",Q743=0),"",IF(AND(C743=Statement!$C$4,K743=Statement!$C$5),M743*10000+ROW(),""))</f>
        <v/>
      </c>
      <c r="Q743">
        <f>IF(AND(ISNUMBER(B743),OR(N(D743)&gt;0,G743&lt;&gt;"")),1,0)</f>
        <v/>
      </c>
    </row>
    <row r="744">
      <c r="A744" s="1" t="n"/>
      <c r="B744" s="21" t="n"/>
      <c r="C744" s="22" t="n"/>
      <c r="D744" s="23" t="n"/>
      <c r="E744" s="24" t="n"/>
      <c r="F744" s="25" t="n"/>
      <c r="G744" s="25" t="n"/>
      <c r="H744" s="24" t="n"/>
      <c r="I744" s="25" t="n"/>
      <c r="J744" s="17">
        <f>IF(AND(C744="",D744="",G744=""),"",IF(NOT(ISNUMBER(B744)),"Needs a date",IF(AND(D744&lt;&gt;"",NOT(ISNUMBER(D744))),"Amount not a number",IF(N(D744)&lt;0,"Amount below zero",IF(AND(N(D744)=0,G744=""),"Needs an amount or goods",IF(C744="","",IF(COUNTIF(Donors!$B$6:$B$305,C744)=0,"Not on Donors","")))))))</f>
        <v/>
      </c>
      <c r="K744" s="1">
        <f>IF(ISNUMBER(B744),YEAR(B744),"")</f>
        <v/>
      </c>
      <c r="L744">
        <f>IF(ISNUMBER(B744),YEAR(B744)*100+MONTH(B744),"")</f>
        <v/>
      </c>
      <c r="M744">
        <f>IF(ISNUMBER(B744),INT(B744),0)</f>
        <v/>
      </c>
      <c r="N744">
        <f>IF(OR(C744="",F744="",Q744=0),0,IF(COUNTIFS(C$6:C744,C744,F$6:F744,F744,Q$6:Q744,1)=1,1,0))</f>
        <v/>
      </c>
      <c r="O744">
        <f>IF(OR(C744="",Q744=0,H744&lt;&gt;""),"",M744*10000+ROW())</f>
        <v/>
      </c>
      <c r="P744">
        <f>IF(OR(C744="",Q744=0),"",IF(AND(C744=Statement!$C$4,K744=Statement!$C$5),M744*10000+ROW(),""))</f>
        <v/>
      </c>
      <c r="Q744">
        <f>IF(AND(ISNUMBER(B744),OR(N(D744)&gt;0,G744&lt;&gt;"")),1,0)</f>
        <v/>
      </c>
    </row>
    <row r="745">
      <c r="A745" s="1" t="n"/>
      <c r="B745" s="21" t="n"/>
      <c r="C745" s="22" t="n"/>
      <c r="D745" s="23" t="n"/>
      <c r="E745" s="24" t="n"/>
      <c r="F745" s="25" t="n"/>
      <c r="G745" s="25" t="n"/>
      <c r="H745" s="24" t="n"/>
      <c r="I745" s="25" t="n"/>
      <c r="J745" s="17">
        <f>IF(AND(C745="",D745="",G745=""),"",IF(NOT(ISNUMBER(B745)),"Needs a date",IF(AND(D745&lt;&gt;"",NOT(ISNUMBER(D745))),"Amount not a number",IF(N(D745)&lt;0,"Amount below zero",IF(AND(N(D745)=0,G745=""),"Needs an amount or goods",IF(C745="","",IF(COUNTIF(Donors!$B$6:$B$305,C745)=0,"Not on Donors","")))))))</f>
        <v/>
      </c>
      <c r="K745" s="1">
        <f>IF(ISNUMBER(B745),YEAR(B745),"")</f>
        <v/>
      </c>
      <c r="L745">
        <f>IF(ISNUMBER(B745),YEAR(B745)*100+MONTH(B745),"")</f>
        <v/>
      </c>
      <c r="M745">
        <f>IF(ISNUMBER(B745),INT(B745),0)</f>
        <v/>
      </c>
      <c r="N745">
        <f>IF(OR(C745="",F745="",Q745=0),0,IF(COUNTIFS(C$6:C745,C745,F$6:F745,F745,Q$6:Q745,1)=1,1,0))</f>
        <v/>
      </c>
      <c r="O745">
        <f>IF(OR(C745="",Q745=0,H745&lt;&gt;""),"",M745*10000+ROW())</f>
        <v/>
      </c>
      <c r="P745">
        <f>IF(OR(C745="",Q745=0),"",IF(AND(C745=Statement!$C$4,K745=Statement!$C$5),M745*10000+ROW(),""))</f>
        <v/>
      </c>
      <c r="Q745">
        <f>IF(AND(ISNUMBER(B745),OR(N(D745)&gt;0,G745&lt;&gt;"")),1,0)</f>
        <v/>
      </c>
    </row>
    <row r="746">
      <c r="A746" s="1" t="n"/>
      <c r="B746" s="21" t="n"/>
      <c r="C746" s="22" t="n"/>
      <c r="D746" s="23" t="n"/>
      <c r="E746" s="24" t="n"/>
      <c r="F746" s="25" t="n"/>
      <c r="G746" s="25" t="n"/>
      <c r="H746" s="24" t="n"/>
      <c r="I746" s="25" t="n"/>
      <c r="J746" s="17">
        <f>IF(AND(C746="",D746="",G746=""),"",IF(NOT(ISNUMBER(B746)),"Needs a date",IF(AND(D746&lt;&gt;"",NOT(ISNUMBER(D746))),"Amount not a number",IF(N(D746)&lt;0,"Amount below zero",IF(AND(N(D746)=0,G746=""),"Needs an amount or goods",IF(C746="","",IF(COUNTIF(Donors!$B$6:$B$305,C746)=0,"Not on Donors","")))))))</f>
        <v/>
      </c>
      <c r="K746" s="1">
        <f>IF(ISNUMBER(B746),YEAR(B746),"")</f>
        <v/>
      </c>
      <c r="L746">
        <f>IF(ISNUMBER(B746),YEAR(B746)*100+MONTH(B746),"")</f>
        <v/>
      </c>
      <c r="M746">
        <f>IF(ISNUMBER(B746),INT(B746),0)</f>
        <v/>
      </c>
      <c r="N746">
        <f>IF(OR(C746="",F746="",Q746=0),0,IF(COUNTIFS(C$6:C746,C746,F$6:F746,F746,Q$6:Q746,1)=1,1,0))</f>
        <v/>
      </c>
      <c r="O746">
        <f>IF(OR(C746="",Q746=0,H746&lt;&gt;""),"",M746*10000+ROW())</f>
        <v/>
      </c>
      <c r="P746">
        <f>IF(OR(C746="",Q746=0),"",IF(AND(C746=Statement!$C$4,K746=Statement!$C$5),M746*10000+ROW(),""))</f>
        <v/>
      </c>
      <c r="Q746">
        <f>IF(AND(ISNUMBER(B746),OR(N(D746)&gt;0,G746&lt;&gt;"")),1,0)</f>
        <v/>
      </c>
    </row>
    <row r="747">
      <c r="A747" s="1" t="n"/>
      <c r="B747" s="21" t="n"/>
      <c r="C747" s="22" t="n"/>
      <c r="D747" s="23" t="n"/>
      <c r="E747" s="24" t="n"/>
      <c r="F747" s="25" t="n"/>
      <c r="G747" s="25" t="n"/>
      <c r="H747" s="24" t="n"/>
      <c r="I747" s="25" t="n"/>
      <c r="J747" s="17">
        <f>IF(AND(C747="",D747="",G747=""),"",IF(NOT(ISNUMBER(B747)),"Needs a date",IF(AND(D747&lt;&gt;"",NOT(ISNUMBER(D747))),"Amount not a number",IF(N(D747)&lt;0,"Amount below zero",IF(AND(N(D747)=0,G747=""),"Needs an amount or goods",IF(C747="","",IF(COUNTIF(Donors!$B$6:$B$305,C747)=0,"Not on Donors","")))))))</f>
        <v/>
      </c>
      <c r="K747" s="1">
        <f>IF(ISNUMBER(B747),YEAR(B747),"")</f>
        <v/>
      </c>
      <c r="L747">
        <f>IF(ISNUMBER(B747),YEAR(B747)*100+MONTH(B747),"")</f>
        <v/>
      </c>
      <c r="M747">
        <f>IF(ISNUMBER(B747),INT(B747),0)</f>
        <v/>
      </c>
      <c r="N747">
        <f>IF(OR(C747="",F747="",Q747=0),0,IF(COUNTIFS(C$6:C747,C747,F$6:F747,F747,Q$6:Q747,1)=1,1,0))</f>
        <v/>
      </c>
      <c r="O747">
        <f>IF(OR(C747="",Q747=0,H747&lt;&gt;""),"",M747*10000+ROW())</f>
        <v/>
      </c>
      <c r="P747">
        <f>IF(OR(C747="",Q747=0),"",IF(AND(C747=Statement!$C$4,K747=Statement!$C$5),M747*10000+ROW(),""))</f>
        <v/>
      </c>
      <c r="Q747">
        <f>IF(AND(ISNUMBER(B747),OR(N(D747)&gt;0,G747&lt;&gt;"")),1,0)</f>
        <v/>
      </c>
    </row>
    <row r="748">
      <c r="A748" s="1" t="n"/>
      <c r="B748" s="21" t="n"/>
      <c r="C748" s="22" t="n"/>
      <c r="D748" s="23" t="n"/>
      <c r="E748" s="24" t="n"/>
      <c r="F748" s="25" t="n"/>
      <c r="G748" s="25" t="n"/>
      <c r="H748" s="24" t="n"/>
      <c r="I748" s="25" t="n"/>
      <c r="J748" s="17">
        <f>IF(AND(C748="",D748="",G748=""),"",IF(NOT(ISNUMBER(B748)),"Needs a date",IF(AND(D748&lt;&gt;"",NOT(ISNUMBER(D748))),"Amount not a number",IF(N(D748)&lt;0,"Amount below zero",IF(AND(N(D748)=0,G748=""),"Needs an amount or goods",IF(C748="","",IF(COUNTIF(Donors!$B$6:$B$305,C748)=0,"Not on Donors","")))))))</f>
        <v/>
      </c>
      <c r="K748" s="1">
        <f>IF(ISNUMBER(B748),YEAR(B748),"")</f>
        <v/>
      </c>
      <c r="L748">
        <f>IF(ISNUMBER(B748),YEAR(B748)*100+MONTH(B748),"")</f>
        <v/>
      </c>
      <c r="M748">
        <f>IF(ISNUMBER(B748),INT(B748),0)</f>
        <v/>
      </c>
      <c r="N748">
        <f>IF(OR(C748="",F748="",Q748=0),0,IF(COUNTIFS(C$6:C748,C748,F$6:F748,F748,Q$6:Q748,1)=1,1,0))</f>
        <v/>
      </c>
      <c r="O748">
        <f>IF(OR(C748="",Q748=0,H748&lt;&gt;""),"",M748*10000+ROW())</f>
        <v/>
      </c>
      <c r="P748">
        <f>IF(OR(C748="",Q748=0),"",IF(AND(C748=Statement!$C$4,K748=Statement!$C$5),M748*10000+ROW(),""))</f>
        <v/>
      </c>
      <c r="Q748">
        <f>IF(AND(ISNUMBER(B748),OR(N(D748)&gt;0,G748&lt;&gt;"")),1,0)</f>
        <v/>
      </c>
    </row>
    <row r="749">
      <c r="A749" s="1" t="n"/>
      <c r="B749" s="21" t="n"/>
      <c r="C749" s="22" t="n"/>
      <c r="D749" s="23" t="n"/>
      <c r="E749" s="24" t="n"/>
      <c r="F749" s="25" t="n"/>
      <c r="G749" s="25" t="n"/>
      <c r="H749" s="24" t="n"/>
      <c r="I749" s="25" t="n"/>
      <c r="J749" s="17">
        <f>IF(AND(C749="",D749="",G749=""),"",IF(NOT(ISNUMBER(B749)),"Needs a date",IF(AND(D749&lt;&gt;"",NOT(ISNUMBER(D749))),"Amount not a number",IF(N(D749)&lt;0,"Amount below zero",IF(AND(N(D749)=0,G749=""),"Needs an amount or goods",IF(C749="","",IF(COUNTIF(Donors!$B$6:$B$305,C749)=0,"Not on Donors","")))))))</f>
        <v/>
      </c>
      <c r="K749" s="1">
        <f>IF(ISNUMBER(B749),YEAR(B749),"")</f>
        <v/>
      </c>
      <c r="L749">
        <f>IF(ISNUMBER(B749),YEAR(B749)*100+MONTH(B749),"")</f>
        <v/>
      </c>
      <c r="M749">
        <f>IF(ISNUMBER(B749),INT(B749),0)</f>
        <v/>
      </c>
      <c r="N749">
        <f>IF(OR(C749="",F749="",Q749=0),0,IF(COUNTIFS(C$6:C749,C749,F$6:F749,F749,Q$6:Q749,1)=1,1,0))</f>
        <v/>
      </c>
      <c r="O749">
        <f>IF(OR(C749="",Q749=0,H749&lt;&gt;""),"",M749*10000+ROW())</f>
        <v/>
      </c>
      <c r="P749">
        <f>IF(OR(C749="",Q749=0),"",IF(AND(C749=Statement!$C$4,K749=Statement!$C$5),M749*10000+ROW(),""))</f>
        <v/>
      </c>
      <c r="Q749">
        <f>IF(AND(ISNUMBER(B749),OR(N(D749)&gt;0,G749&lt;&gt;"")),1,0)</f>
        <v/>
      </c>
    </row>
    <row r="750">
      <c r="A750" s="1" t="n"/>
      <c r="B750" s="21" t="n"/>
      <c r="C750" s="22" t="n"/>
      <c r="D750" s="23" t="n"/>
      <c r="E750" s="24" t="n"/>
      <c r="F750" s="25" t="n"/>
      <c r="G750" s="25" t="n"/>
      <c r="H750" s="24" t="n"/>
      <c r="I750" s="25" t="n"/>
      <c r="J750" s="17">
        <f>IF(AND(C750="",D750="",G750=""),"",IF(NOT(ISNUMBER(B750)),"Needs a date",IF(AND(D750&lt;&gt;"",NOT(ISNUMBER(D750))),"Amount not a number",IF(N(D750)&lt;0,"Amount below zero",IF(AND(N(D750)=0,G750=""),"Needs an amount or goods",IF(C750="","",IF(COUNTIF(Donors!$B$6:$B$305,C750)=0,"Not on Donors","")))))))</f>
        <v/>
      </c>
      <c r="K750" s="1">
        <f>IF(ISNUMBER(B750),YEAR(B750),"")</f>
        <v/>
      </c>
      <c r="L750">
        <f>IF(ISNUMBER(B750),YEAR(B750)*100+MONTH(B750),"")</f>
        <v/>
      </c>
      <c r="M750">
        <f>IF(ISNUMBER(B750),INT(B750),0)</f>
        <v/>
      </c>
      <c r="N750">
        <f>IF(OR(C750="",F750="",Q750=0),0,IF(COUNTIFS(C$6:C750,C750,F$6:F750,F750,Q$6:Q750,1)=1,1,0))</f>
        <v/>
      </c>
      <c r="O750">
        <f>IF(OR(C750="",Q750=0,H750&lt;&gt;""),"",M750*10000+ROW())</f>
        <v/>
      </c>
      <c r="P750">
        <f>IF(OR(C750="",Q750=0),"",IF(AND(C750=Statement!$C$4,K750=Statement!$C$5),M750*10000+ROW(),""))</f>
        <v/>
      </c>
      <c r="Q750">
        <f>IF(AND(ISNUMBER(B750),OR(N(D750)&gt;0,G750&lt;&gt;"")),1,0)</f>
        <v/>
      </c>
    </row>
    <row r="751">
      <c r="A751" s="1" t="n"/>
      <c r="B751" s="21" t="n"/>
      <c r="C751" s="22" t="n"/>
      <c r="D751" s="23" t="n"/>
      <c r="E751" s="24" t="n"/>
      <c r="F751" s="25" t="n"/>
      <c r="G751" s="25" t="n"/>
      <c r="H751" s="24" t="n"/>
      <c r="I751" s="25" t="n"/>
      <c r="J751" s="17">
        <f>IF(AND(C751="",D751="",G751=""),"",IF(NOT(ISNUMBER(B751)),"Needs a date",IF(AND(D751&lt;&gt;"",NOT(ISNUMBER(D751))),"Amount not a number",IF(N(D751)&lt;0,"Amount below zero",IF(AND(N(D751)=0,G751=""),"Needs an amount or goods",IF(C751="","",IF(COUNTIF(Donors!$B$6:$B$305,C751)=0,"Not on Donors","")))))))</f>
        <v/>
      </c>
      <c r="K751" s="1">
        <f>IF(ISNUMBER(B751),YEAR(B751),"")</f>
        <v/>
      </c>
      <c r="L751">
        <f>IF(ISNUMBER(B751),YEAR(B751)*100+MONTH(B751),"")</f>
        <v/>
      </c>
      <c r="M751">
        <f>IF(ISNUMBER(B751),INT(B751),0)</f>
        <v/>
      </c>
      <c r="N751">
        <f>IF(OR(C751="",F751="",Q751=0),0,IF(COUNTIFS(C$6:C751,C751,F$6:F751,F751,Q$6:Q751,1)=1,1,0))</f>
        <v/>
      </c>
      <c r="O751">
        <f>IF(OR(C751="",Q751=0,H751&lt;&gt;""),"",M751*10000+ROW())</f>
        <v/>
      </c>
      <c r="P751">
        <f>IF(OR(C751="",Q751=0),"",IF(AND(C751=Statement!$C$4,K751=Statement!$C$5),M751*10000+ROW(),""))</f>
        <v/>
      </c>
      <c r="Q751">
        <f>IF(AND(ISNUMBER(B751),OR(N(D751)&gt;0,G751&lt;&gt;"")),1,0)</f>
        <v/>
      </c>
    </row>
    <row r="752">
      <c r="A752" s="1" t="n"/>
      <c r="B752" s="21" t="n"/>
      <c r="C752" s="22" t="n"/>
      <c r="D752" s="23" t="n"/>
      <c r="E752" s="24" t="n"/>
      <c r="F752" s="25" t="n"/>
      <c r="G752" s="25" t="n"/>
      <c r="H752" s="24" t="n"/>
      <c r="I752" s="25" t="n"/>
      <c r="J752" s="17">
        <f>IF(AND(C752="",D752="",G752=""),"",IF(NOT(ISNUMBER(B752)),"Needs a date",IF(AND(D752&lt;&gt;"",NOT(ISNUMBER(D752))),"Amount not a number",IF(N(D752)&lt;0,"Amount below zero",IF(AND(N(D752)=0,G752=""),"Needs an amount or goods",IF(C752="","",IF(COUNTIF(Donors!$B$6:$B$305,C752)=0,"Not on Donors","")))))))</f>
        <v/>
      </c>
      <c r="K752" s="1">
        <f>IF(ISNUMBER(B752),YEAR(B752),"")</f>
        <v/>
      </c>
      <c r="L752">
        <f>IF(ISNUMBER(B752),YEAR(B752)*100+MONTH(B752),"")</f>
        <v/>
      </c>
      <c r="M752">
        <f>IF(ISNUMBER(B752),INT(B752),0)</f>
        <v/>
      </c>
      <c r="N752">
        <f>IF(OR(C752="",F752="",Q752=0),0,IF(COUNTIFS(C$6:C752,C752,F$6:F752,F752,Q$6:Q752,1)=1,1,0))</f>
        <v/>
      </c>
      <c r="O752">
        <f>IF(OR(C752="",Q752=0,H752&lt;&gt;""),"",M752*10000+ROW())</f>
        <v/>
      </c>
      <c r="P752">
        <f>IF(OR(C752="",Q752=0),"",IF(AND(C752=Statement!$C$4,K752=Statement!$C$5),M752*10000+ROW(),""))</f>
        <v/>
      </c>
      <c r="Q752">
        <f>IF(AND(ISNUMBER(B752),OR(N(D752)&gt;0,G752&lt;&gt;"")),1,0)</f>
        <v/>
      </c>
    </row>
    <row r="753">
      <c r="A753" s="1" t="n"/>
      <c r="B753" s="21" t="n"/>
      <c r="C753" s="22" t="n"/>
      <c r="D753" s="23" t="n"/>
      <c r="E753" s="24" t="n"/>
      <c r="F753" s="25" t="n"/>
      <c r="G753" s="25" t="n"/>
      <c r="H753" s="24" t="n"/>
      <c r="I753" s="25" t="n"/>
      <c r="J753" s="17">
        <f>IF(AND(C753="",D753="",G753=""),"",IF(NOT(ISNUMBER(B753)),"Needs a date",IF(AND(D753&lt;&gt;"",NOT(ISNUMBER(D753))),"Amount not a number",IF(N(D753)&lt;0,"Amount below zero",IF(AND(N(D753)=0,G753=""),"Needs an amount or goods",IF(C753="","",IF(COUNTIF(Donors!$B$6:$B$305,C753)=0,"Not on Donors","")))))))</f>
        <v/>
      </c>
      <c r="K753" s="1">
        <f>IF(ISNUMBER(B753),YEAR(B753),"")</f>
        <v/>
      </c>
      <c r="L753">
        <f>IF(ISNUMBER(B753),YEAR(B753)*100+MONTH(B753),"")</f>
        <v/>
      </c>
      <c r="M753">
        <f>IF(ISNUMBER(B753),INT(B753),0)</f>
        <v/>
      </c>
      <c r="N753">
        <f>IF(OR(C753="",F753="",Q753=0),0,IF(COUNTIFS(C$6:C753,C753,F$6:F753,F753,Q$6:Q753,1)=1,1,0))</f>
        <v/>
      </c>
      <c r="O753">
        <f>IF(OR(C753="",Q753=0,H753&lt;&gt;""),"",M753*10000+ROW())</f>
        <v/>
      </c>
      <c r="P753">
        <f>IF(OR(C753="",Q753=0),"",IF(AND(C753=Statement!$C$4,K753=Statement!$C$5),M753*10000+ROW(),""))</f>
        <v/>
      </c>
      <c r="Q753">
        <f>IF(AND(ISNUMBER(B753),OR(N(D753)&gt;0,G753&lt;&gt;"")),1,0)</f>
        <v/>
      </c>
    </row>
    <row r="754">
      <c r="A754" s="1" t="n"/>
      <c r="B754" s="21" t="n"/>
      <c r="C754" s="22" t="n"/>
      <c r="D754" s="23" t="n"/>
      <c r="E754" s="24" t="n"/>
      <c r="F754" s="25" t="n"/>
      <c r="G754" s="25" t="n"/>
      <c r="H754" s="24" t="n"/>
      <c r="I754" s="25" t="n"/>
      <c r="J754" s="17">
        <f>IF(AND(C754="",D754="",G754=""),"",IF(NOT(ISNUMBER(B754)),"Needs a date",IF(AND(D754&lt;&gt;"",NOT(ISNUMBER(D754))),"Amount not a number",IF(N(D754)&lt;0,"Amount below zero",IF(AND(N(D754)=0,G754=""),"Needs an amount or goods",IF(C754="","",IF(COUNTIF(Donors!$B$6:$B$305,C754)=0,"Not on Donors","")))))))</f>
        <v/>
      </c>
      <c r="K754" s="1">
        <f>IF(ISNUMBER(B754),YEAR(B754),"")</f>
        <v/>
      </c>
      <c r="L754">
        <f>IF(ISNUMBER(B754),YEAR(B754)*100+MONTH(B754),"")</f>
        <v/>
      </c>
      <c r="M754">
        <f>IF(ISNUMBER(B754),INT(B754),0)</f>
        <v/>
      </c>
      <c r="N754">
        <f>IF(OR(C754="",F754="",Q754=0),0,IF(COUNTIFS(C$6:C754,C754,F$6:F754,F754,Q$6:Q754,1)=1,1,0))</f>
        <v/>
      </c>
      <c r="O754">
        <f>IF(OR(C754="",Q754=0,H754&lt;&gt;""),"",M754*10000+ROW())</f>
        <v/>
      </c>
      <c r="P754">
        <f>IF(OR(C754="",Q754=0),"",IF(AND(C754=Statement!$C$4,K754=Statement!$C$5),M754*10000+ROW(),""))</f>
        <v/>
      </c>
      <c r="Q754">
        <f>IF(AND(ISNUMBER(B754),OR(N(D754)&gt;0,G754&lt;&gt;"")),1,0)</f>
        <v/>
      </c>
    </row>
    <row r="755">
      <c r="A755" s="1" t="n"/>
      <c r="B755" s="21" t="n"/>
      <c r="C755" s="22" t="n"/>
      <c r="D755" s="23" t="n"/>
      <c r="E755" s="24" t="n"/>
      <c r="F755" s="25" t="n"/>
      <c r="G755" s="25" t="n"/>
      <c r="H755" s="24" t="n"/>
      <c r="I755" s="25" t="n"/>
      <c r="J755" s="17">
        <f>IF(AND(C755="",D755="",G755=""),"",IF(NOT(ISNUMBER(B755)),"Needs a date",IF(AND(D755&lt;&gt;"",NOT(ISNUMBER(D755))),"Amount not a number",IF(N(D755)&lt;0,"Amount below zero",IF(AND(N(D755)=0,G755=""),"Needs an amount or goods",IF(C755="","",IF(COUNTIF(Donors!$B$6:$B$305,C755)=0,"Not on Donors","")))))))</f>
        <v/>
      </c>
      <c r="K755" s="1">
        <f>IF(ISNUMBER(B755),YEAR(B755),"")</f>
        <v/>
      </c>
      <c r="L755">
        <f>IF(ISNUMBER(B755),YEAR(B755)*100+MONTH(B755),"")</f>
        <v/>
      </c>
      <c r="M755">
        <f>IF(ISNUMBER(B755),INT(B755),0)</f>
        <v/>
      </c>
      <c r="N755">
        <f>IF(OR(C755="",F755="",Q755=0),0,IF(COUNTIFS(C$6:C755,C755,F$6:F755,F755,Q$6:Q755,1)=1,1,0))</f>
        <v/>
      </c>
      <c r="O755">
        <f>IF(OR(C755="",Q755=0,H755&lt;&gt;""),"",M755*10000+ROW())</f>
        <v/>
      </c>
      <c r="P755">
        <f>IF(OR(C755="",Q755=0),"",IF(AND(C755=Statement!$C$4,K755=Statement!$C$5),M755*10000+ROW(),""))</f>
        <v/>
      </c>
      <c r="Q755">
        <f>IF(AND(ISNUMBER(B755),OR(N(D755)&gt;0,G755&lt;&gt;"")),1,0)</f>
        <v/>
      </c>
    </row>
    <row r="756">
      <c r="A756" s="1" t="n"/>
      <c r="B756" s="21" t="n"/>
      <c r="C756" s="22" t="n"/>
      <c r="D756" s="23" t="n"/>
      <c r="E756" s="24" t="n"/>
      <c r="F756" s="25" t="n"/>
      <c r="G756" s="25" t="n"/>
      <c r="H756" s="24" t="n"/>
      <c r="I756" s="25" t="n"/>
      <c r="J756" s="17">
        <f>IF(AND(C756="",D756="",G756=""),"",IF(NOT(ISNUMBER(B756)),"Needs a date",IF(AND(D756&lt;&gt;"",NOT(ISNUMBER(D756))),"Amount not a number",IF(N(D756)&lt;0,"Amount below zero",IF(AND(N(D756)=0,G756=""),"Needs an amount or goods",IF(C756="","",IF(COUNTIF(Donors!$B$6:$B$305,C756)=0,"Not on Donors","")))))))</f>
        <v/>
      </c>
      <c r="K756" s="1">
        <f>IF(ISNUMBER(B756),YEAR(B756),"")</f>
        <v/>
      </c>
      <c r="L756">
        <f>IF(ISNUMBER(B756),YEAR(B756)*100+MONTH(B756),"")</f>
        <v/>
      </c>
      <c r="M756">
        <f>IF(ISNUMBER(B756),INT(B756),0)</f>
        <v/>
      </c>
      <c r="N756">
        <f>IF(OR(C756="",F756="",Q756=0),0,IF(COUNTIFS(C$6:C756,C756,F$6:F756,F756,Q$6:Q756,1)=1,1,0))</f>
        <v/>
      </c>
      <c r="O756">
        <f>IF(OR(C756="",Q756=0,H756&lt;&gt;""),"",M756*10000+ROW())</f>
        <v/>
      </c>
      <c r="P756">
        <f>IF(OR(C756="",Q756=0),"",IF(AND(C756=Statement!$C$4,K756=Statement!$C$5),M756*10000+ROW(),""))</f>
        <v/>
      </c>
      <c r="Q756">
        <f>IF(AND(ISNUMBER(B756),OR(N(D756)&gt;0,G756&lt;&gt;"")),1,0)</f>
        <v/>
      </c>
    </row>
    <row r="757">
      <c r="A757" s="1" t="n"/>
      <c r="B757" s="21" t="n"/>
      <c r="C757" s="22" t="n"/>
      <c r="D757" s="23" t="n"/>
      <c r="E757" s="24" t="n"/>
      <c r="F757" s="25" t="n"/>
      <c r="G757" s="25" t="n"/>
      <c r="H757" s="24" t="n"/>
      <c r="I757" s="25" t="n"/>
      <c r="J757" s="17">
        <f>IF(AND(C757="",D757="",G757=""),"",IF(NOT(ISNUMBER(B757)),"Needs a date",IF(AND(D757&lt;&gt;"",NOT(ISNUMBER(D757))),"Amount not a number",IF(N(D757)&lt;0,"Amount below zero",IF(AND(N(D757)=0,G757=""),"Needs an amount or goods",IF(C757="","",IF(COUNTIF(Donors!$B$6:$B$305,C757)=0,"Not on Donors","")))))))</f>
        <v/>
      </c>
      <c r="K757" s="1">
        <f>IF(ISNUMBER(B757),YEAR(B757),"")</f>
        <v/>
      </c>
      <c r="L757">
        <f>IF(ISNUMBER(B757),YEAR(B757)*100+MONTH(B757),"")</f>
        <v/>
      </c>
      <c r="M757">
        <f>IF(ISNUMBER(B757),INT(B757),0)</f>
        <v/>
      </c>
      <c r="N757">
        <f>IF(OR(C757="",F757="",Q757=0),0,IF(COUNTIFS(C$6:C757,C757,F$6:F757,F757,Q$6:Q757,1)=1,1,0))</f>
        <v/>
      </c>
      <c r="O757">
        <f>IF(OR(C757="",Q757=0,H757&lt;&gt;""),"",M757*10000+ROW())</f>
        <v/>
      </c>
      <c r="P757">
        <f>IF(OR(C757="",Q757=0),"",IF(AND(C757=Statement!$C$4,K757=Statement!$C$5),M757*10000+ROW(),""))</f>
        <v/>
      </c>
      <c r="Q757">
        <f>IF(AND(ISNUMBER(B757),OR(N(D757)&gt;0,G757&lt;&gt;"")),1,0)</f>
        <v/>
      </c>
    </row>
    <row r="758">
      <c r="A758" s="1" t="n"/>
      <c r="B758" s="21" t="n"/>
      <c r="C758" s="22" t="n"/>
      <c r="D758" s="23" t="n"/>
      <c r="E758" s="24" t="n"/>
      <c r="F758" s="25" t="n"/>
      <c r="G758" s="25" t="n"/>
      <c r="H758" s="24" t="n"/>
      <c r="I758" s="25" t="n"/>
      <c r="J758" s="17">
        <f>IF(AND(C758="",D758="",G758=""),"",IF(NOT(ISNUMBER(B758)),"Needs a date",IF(AND(D758&lt;&gt;"",NOT(ISNUMBER(D758))),"Amount not a number",IF(N(D758)&lt;0,"Amount below zero",IF(AND(N(D758)=0,G758=""),"Needs an amount or goods",IF(C758="","",IF(COUNTIF(Donors!$B$6:$B$305,C758)=0,"Not on Donors","")))))))</f>
        <v/>
      </c>
      <c r="K758" s="1">
        <f>IF(ISNUMBER(B758),YEAR(B758),"")</f>
        <v/>
      </c>
      <c r="L758">
        <f>IF(ISNUMBER(B758),YEAR(B758)*100+MONTH(B758),"")</f>
        <v/>
      </c>
      <c r="M758">
        <f>IF(ISNUMBER(B758),INT(B758),0)</f>
        <v/>
      </c>
      <c r="N758">
        <f>IF(OR(C758="",F758="",Q758=0),0,IF(COUNTIFS(C$6:C758,C758,F$6:F758,F758,Q$6:Q758,1)=1,1,0))</f>
        <v/>
      </c>
      <c r="O758">
        <f>IF(OR(C758="",Q758=0,H758&lt;&gt;""),"",M758*10000+ROW())</f>
        <v/>
      </c>
      <c r="P758">
        <f>IF(OR(C758="",Q758=0),"",IF(AND(C758=Statement!$C$4,K758=Statement!$C$5),M758*10000+ROW(),""))</f>
        <v/>
      </c>
      <c r="Q758">
        <f>IF(AND(ISNUMBER(B758),OR(N(D758)&gt;0,G758&lt;&gt;"")),1,0)</f>
        <v/>
      </c>
    </row>
    <row r="759">
      <c r="A759" s="1" t="n"/>
      <c r="B759" s="21" t="n"/>
      <c r="C759" s="22" t="n"/>
      <c r="D759" s="23" t="n"/>
      <c r="E759" s="24" t="n"/>
      <c r="F759" s="25" t="n"/>
      <c r="G759" s="25" t="n"/>
      <c r="H759" s="24" t="n"/>
      <c r="I759" s="25" t="n"/>
      <c r="J759" s="17">
        <f>IF(AND(C759="",D759="",G759=""),"",IF(NOT(ISNUMBER(B759)),"Needs a date",IF(AND(D759&lt;&gt;"",NOT(ISNUMBER(D759))),"Amount not a number",IF(N(D759)&lt;0,"Amount below zero",IF(AND(N(D759)=0,G759=""),"Needs an amount or goods",IF(C759="","",IF(COUNTIF(Donors!$B$6:$B$305,C759)=0,"Not on Donors","")))))))</f>
        <v/>
      </c>
      <c r="K759" s="1">
        <f>IF(ISNUMBER(B759),YEAR(B759),"")</f>
        <v/>
      </c>
      <c r="L759">
        <f>IF(ISNUMBER(B759),YEAR(B759)*100+MONTH(B759),"")</f>
        <v/>
      </c>
      <c r="M759">
        <f>IF(ISNUMBER(B759),INT(B759),0)</f>
        <v/>
      </c>
      <c r="N759">
        <f>IF(OR(C759="",F759="",Q759=0),0,IF(COUNTIFS(C$6:C759,C759,F$6:F759,F759,Q$6:Q759,1)=1,1,0))</f>
        <v/>
      </c>
      <c r="O759">
        <f>IF(OR(C759="",Q759=0,H759&lt;&gt;""),"",M759*10000+ROW())</f>
        <v/>
      </c>
      <c r="P759">
        <f>IF(OR(C759="",Q759=0),"",IF(AND(C759=Statement!$C$4,K759=Statement!$C$5),M759*10000+ROW(),""))</f>
        <v/>
      </c>
      <c r="Q759">
        <f>IF(AND(ISNUMBER(B759),OR(N(D759)&gt;0,G759&lt;&gt;"")),1,0)</f>
        <v/>
      </c>
    </row>
    <row r="760">
      <c r="A760" s="1" t="n"/>
      <c r="B760" s="21" t="n"/>
      <c r="C760" s="22" t="n"/>
      <c r="D760" s="23" t="n"/>
      <c r="E760" s="24" t="n"/>
      <c r="F760" s="25" t="n"/>
      <c r="G760" s="25" t="n"/>
      <c r="H760" s="24" t="n"/>
      <c r="I760" s="25" t="n"/>
      <c r="J760" s="17">
        <f>IF(AND(C760="",D760="",G760=""),"",IF(NOT(ISNUMBER(B760)),"Needs a date",IF(AND(D760&lt;&gt;"",NOT(ISNUMBER(D760))),"Amount not a number",IF(N(D760)&lt;0,"Amount below zero",IF(AND(N(D760)=0,G760=""),"Needs an amount or goods",IF(C760="","",IF(COUNTIF(Donors!$B$6:$B$305,C760)=0,"Not on Donors","")))))))</f>
        <v/>
      </c>
      <c r="K760" s="1">
        <f>IF(ISNUMBER(B760),YEAR(B760),"")</f>
        <v/>
      </c>
      <c r="L760">
        <f>IF(ISNUMBER(B760),YEAR(B760)*100+MONTH(B760),"")</f>
        <v/>
      </c>
      <c r="M760">
        <f>IF(ISNUMBER(B760),INT(B760),0)</f>
        <v/>
      </c>
      <c r="N760">
        <f>IF(OR(C760="",F760="",Q760=0),0,IF(COUNTIFS(C$6:C760,C760,F$6:F760,F760,Q$6:Q760,1)=1,1,0))</f>
        <v/>
      </c>
      <c r="O760">
        <f>IF(OR(C760="",Q760=0,H760&lt;&gt;""),"",M760*10000+ROW())</f>
        <v/>
      </c>
      <c r="P760">
        <f>IF(OR(C760="",Q760=0),"",IF(AND(C760=Statement!$C$4,K760=Statement!$C$5),M760*10000+ROW(),""))</f>
        <v/>
      </c>
      <c r="Q760">
        <f>IF(AND(ISNUMBER(B760),OR(N(D760)&gt;0,G760&lt;&gt;"")),1,0)</f>
        <v/>
      </c>
    </row>
    <row r="761">
      <c r="A761" s="1" t="n"/>
      <c r="B761" s="21" t="n"/>
      <c r="C761" s="22" t="n"/>
      <c r="D761" s="23" t="n"/>
      <c r="E761" s="24" t="n"/>
      <c r="F761" s="25" t="n"/>
      <c r="G761" s="25" t="n"/>
      <c r="H761" s="24" t="n"/>
      <c r="I761" s="25" t="n"/>
      <c r="J761" s="17">
        <f>IF(AND(C761="",D761="",G761=""),"",IF(NOT(ISNUMBER(B761)),"Needs a date",IF(AND(D761&lt;&gt;"",NOT(ISNUMBER(D761))),"Amount not a number",IF(N(D761)&lt;0,"Amount below zero",IF(AND(N(D761)=0,G761=""),"Needs an amount or goods",IF(C761="","",IF(COUNTIF(Donors!$B$6:$B$305,C761)=0,"Not on Donors","")))))))</f>
        <v/>
      </c>
      <c r="K761" s="1">
        <f>IF(ISNUMBER(B761),YEAR(B761),"")</f>
        <v/>
      </c>
      <c r="L761">
        <f>IF(ISNUMBER(B761),YEAR(B761)*100+MONTH(B761),"")</f>
        <v/>
      </c>
      <c r="M761">
        <f>IF(ISNUMBER(B761),INT(B761),0)</f>
        <v/>
      </c>
      <c r="N761">
        <f>IF(OR(C761="",F761="",Q761=0),0,IF(COUNTIFS(C$6:C761,C761,F$6:F761,F761,Q$6:Q761,1)=1,1,0))</f>
        <v/>
      </c>
      <c r="O761">
        <f>IF(OR(C761="",Q761=0,H761&lt;&gt;""),"",M761*10000+ROW())</f>
        <v/>
      </c>
      <c r="P761">
        <f>IF(OR(C761="",Q761=0),"",IF(AND(C761=Statement!$C$4,K761=Statement!$C$5),M761*10000+ROW(),""))</f>
        <v/>
      </c>
      <c r="Q761">
        <f>IF(AND(ISNUMBER(B761),OR(N(D761)&gt;0,G761&lt;&gt;"")),1,0)</f>
        <v/>
      </c>
    </row>
    <row r="762">
      <c r="A762" s="1" t="n"/>
      <c r="B762" s="21" t="n"/>
      <c r="C762" s="22" t="n"/>
      <c r="D762" s="23" t="n"/>
      <c r="E762" s="24" t="n"/>
      <c r="F762" s="25" t="n"/>
      <c r="G762" s="25" t="n"/>
      <c r="H762" s="24" t="n"/>
      <c r="I762" s="25" t="n"/>
      <c r="J762" s="17">
        <f>IF(AND(C762="",D762="",G762=""),"",IF(NOT(ISNUMBER(B762)),"Needs a date",IF(AND(D762&lt;&gt;"",NOT(ISNUMBER(D762))),"Amount not a number",IF(N(D762)&lt;0,"Amount below zero",IF(AND(N(D762)=0,G762=""),"Needs an amount or goods",IF(C762="","",IF(COUNTIF(Donors!$B$6:$B$305,C762)=0,"Not on Donors","")))))))</f>
        <v/>
      </c>
      <c r="K762" s="1">
        <f>IF(ISNUMBER(B762),YEAR(B762),"")</f>
        <v/>
      </c>
      <c r="L762">
        <f>IF(ISNUMBER(B762),YEAR(B762)*100+MONTH(B762),"")</f>
        <v/>
      </c>
      <c r="M762">
        <f>IF(ISNUMBER(B762),INT(B762),0)</f>
        <v/>
      </c>
      <c r="N762">
        <f>IF(OR(C762="",F762="",Q762=0),0,IF(COUNTIFS(C$6:C762,C762,F$6:F762,F762,Q$6:Q762,1)=1,1,0))</f>
        <v/>
      </c>
      <c r="O762">
        <f>IF(OR(C762="",Q762=0,H762&lt;&gt;""),"",M762*10000+ROW())</f>
        <v/>
      </c>
      <c r="P762">
        <f>IF(OR(C762="",Q762=0),"",IF(AND(C762=Statement!$C$4,K762=Statement!$C$5),M762*10000+ROW(),""))</f>
        <v/>
      </c>
      <c r="Q762">
        <f>IF(AND(ISNUMBER(B762),OR(N(D762)&gt;0,G762&lt;&gt;"")),1,0)</f>
        <v/>
      </c>
    </row>
    <row r="763">
      <c r="A763" s="1" t="n"/>
      <c r="B763" s="21" t="n"/>
      <c r="C763" s="22" t="n"/>
      <c r="D763" s="23" t="n"/>
      <c r="E763" s="24" t="n"/>
      <c r="F763" s="25" t="n"/>
      <c r="G763" s="25" t="n"/>
      <c r="H763" s="24" t="n"/>
      <c r="I763" s="25" t="n"/>
      <c r="J763" s="17">
        <f>IF(AND(C763="",D763="",G763=""),"",IF(NOT(ISNUMBER(B763)),"Needs a date",IF(AND(D763&lt;&gt;"",NOT(ISNUMBER(D763))),"Amount not a number",IF(N(D763)&lt;0,"Amount below zero",IF(AND(N(D763)=0,G763=""),"Needs an amount or goods",IF(C763="","",IF(COUNTIF(Donors!$B$6:$B$305,C763)=0,"Not on Donors","")))))))</f>
        <v/>
      </c>
      <c r="K763" s="1">
        <f>IF(ISNUMBER(B763),YEAR(B763),"")</f>
        <v/>
      </c>
      <c r="L763">
        <f>IF(ISNUMBER(B763),YEAR(B763)*100+MONTH(B763),"")</f>
        <v/>
      </c>
      <c r="M763">
        <f>IF(ISNUMBER(B763),INT(B763),0)</f>
        <v/>
      </c>
      <c r="N763">
        <f>IF(OR(C763="",F763="",Q763=0),0,IF(COUNTIFS(C$6:C763,C763,F$6:F763,F763,Q$6:Q763,1)=1,1,0))</f>
        <v/>
      </c>
      <c r="O763">
        <f>IF(OR(C763="",Q763=0,H763&lt;&gt;""),"",M763*10000+ROW())</f>
        <v/>
      </c>
      <c r="P763">
        <f>IF(OR(C763="",Q763=0),"",IF(AND(C763=Statement!$C$4,K763=Statement!$C$5),M763*10000+ROW(),""))</f>
        <v/>
      </c>
      <c r="Q763">
        <f>IF(AND(ISNUMBER(B763),OR(N(D763)&gt;0,G763&lt;&gt;"")),1,0)</f>
        <v/>
      </c>
    </row>
    <row r="764">
      <c r="A764" s="1" t="n"/>
      <c r="B764" s="21" t="n"/>
      <c r="C764" s="22" t="n"/>
      <c r="D764" s="23" t="n"/>
      <c r="E764" s="24" t="n"/>
      <c r="F764" s="25" t="n"/>
      <c r="G764" s="25" t="n"/>
      <c r="H764" s="24" t="n"/>
      <c r="I764" s="25" t="n"/>
      <c r="J764" s="17">
        <f>IF(AND(C764="",D764="",G764=""),"",IF(NOT(ISNUMBER(B764)),"Needs a date",IF(AND(D764&lt;&gt;"",NOT(ISNUMBER(D764))),"Amount not a number",IF(N(D764)&lt;0,"Amount below zero",IF(AND(N(D764)=0,G764=""),"Needs an amount or goods",IF(C764="","",IF(COUNTIF(Donors!$B$6:$B$305,C764)=0,"Not on Donors","")))))))</f>
        <v/>
      </c>
      <c r="K764" s="1">
        <f>IF(ISNUMBER(B764),YEAR(B764),"")</f>
        <v/>
      </c>
      <c r="L764">
        <f>IF(ISNUMBER(B764),YEAR(B764)*100+MONTH(B764),"")</f>
        <v/>
      </c>
      <c r="M764">
        <f>IF(ISNUMBER(B764),INT(B764),0)</f>
        <v/>
      </c>
      <c r="N764">
        <f>IF(OR(C764="",F764="",Q764=0),0,IF(COUNTIFS(C$6:C764,C764,F$6:F764,F764,Q$6:Q764,1)=1,1,0))</f>
        <v/>
      </c>
      <c r="O764">
        <f>IF(OR(C764="",Q764=0,H764&lt;&gt;""),"",M764*10000+ROW())</f>
        <v/>
      </c>
      <c r="P764">
        <f>IF(OR(C764="",Q764=0),"",IF(AND(C764=Statement!$C$4,K764=Statement!$C$5),M764*10000+ROW(),""))</f>
        <v/>
      </c>
      <c r="Q764">
        <f>IF(AND(ISNUMBER(B764),OR(N(D764)&gt;0,G764&lt;&gt;"")),1,0)</f>
        <v/>
      </c>
    </row>
    <row r="765">
      <c r="A765" s="1" t="n"/>
      <c r="B765" s="21" t="n"/>
      <c r="C765" s="22" t="n"/>
      <c r="D765" s="23" t="n"/>
      <c r="E765" s="24" t="n"/>
      <c r="F765" s="25" t="n"/>
      <c r="G765" s="25" t="n"/>
      <c r="H765" s="24" t="n"/>
      <c r="I765" s="25" t="n"/>
      <c r="J765" s="17">
        <f>IF(AND(C765="",D765="",G765=""),"",IF(NOT(ISNUMBER(B765)),"Needs a date",IF(AND(D765&lt;&gt;"",NOT(ISNUMBER(D765))),"Amount not a number",IF(N(D765)&lt;0,"Amount below zero",IF(AND(N(D765)=0,G765=""),"Needs an amount or goods",IF(C765="","",IF(COUNTIF(Donors!$B$6:$B$305,C765)=0,"Not on Donors","")))))))</f>
        <v/>
      </c>
      <c r="K765" s="1">
        <f>IF(ISNUMBER(B765),YEAR(B765),"")</f>
        <v/>
      </c>
      <c r="L765">
        <f>IF(ISNUMBER(B765),YEAR(B765)*100+MONTH(B765),"")</f>
        <v/>
      </c>
      <c r="M765">
        <f>IF(ISNUMBER(B765),INT(B765),0)</f>
        <v/>
      </c>
      <c r="N765">
        <f>IF(OR(C765="",F765="",Q765=0),0,IF(COUNTIFS(C$6:C765,C765,F$6:F765,F765,Q$6:Q765,1)=1,1,0))</f>
        <v/>
      </c>
      <c r="O765">
        <f>IF(OR(C765="",Q765=0,H765&lt;&gt;""),"",M765*10000+ROW())</f>
        <v/>
      </c>
      <c r="P765">
        <f>IF(OR(C765="",Q765=0),"",IF(AND(C765=Statement!$C$4,K765=Statement!$C$5),M765*10000+ROW(),""))</f>
        <v/>
      </c>
      <c r="Q765">
        <f>IF(AND(ISNUMBER(B765),OR(N(D765)&gt;0,G765&lt;&gt;"")),1,0)</f>
        <v/>
      </c>
    </row>
    <row r="766">
      <c r="A766" s="1" t="n"/>
      <c r="B766" s="21" t="n"/>
      <c r="C766" s="22" t="n"/>
      <c r="D766" s="23" t="n"/>
      <c r="E766" s="24" t="n"/>
      <c r="F766" s="25" t="n"/>
      <c r="G766" s="25" t="n"/>
      <c r="H766" s="24" t="n"/>
      <c r="I766" s="25" t="n"/>
      <c r="J766" s="17">
        <f>IF(AND(C766="",D766="",G766=""),"",IF(NOT(ISNUMBER(B766)),"Needs a date",IF(AND(D766&lt;&gt;"",NOT(ISNUMBER(D766))),"Amount not a number",IF(N(D766)&lt;0,"Amount below zero",IF(AND(N(D766)=0,G766=""),"Needs an amount or goods",IF(C766="","",IF(COUNTIF(Donors!$B$6:$B$305,C766)=0,"Not on Donors","")))))))</f>
        <v/>
      </c>
      <c r="K766" s="1">
        <f>IF(ISNUMBER(B766),YEAR(B766),"")</f>
        <v/>
      </c>
      <c r="L766">
        <f>IF(ISNUMBER(B766),YEAR(B766)*100+MONTH(B766),"")</f>
        <v/>
      </c>
      <c r="M766">
        <f>IF(ISNUMBER(B766),INT(B766),0)</f>
        <v/>
      </c>
      <c r="N766">
        <f>IF(OR(C766="",F766="",Q766=0),0,IF(COUNTIFS(C$6:C766,C766,F$6:F766,F766,Q$6:Q766,1)=1,1,0))</f>
        <v/>
      </c>
      <c r="O766">
        <f>IF(OR(C766="",Q766=0,H766&lt;&gt;""),"",M766*10000+ROW())</f>
        <v/>
      </c>
      <c r="P766">
        <f>IF(OR(C766="",Q766=0),"",IF(AND(C766=Statement!$C$4,K766=Statement!$C$5),M766*10000+ROW(),""))</f>
        <v/>
      </c>
      <c r="Q766">
        <f>IF(AND(ISNUMBER(B766),OR(N(D766)&gt;0,G766&lt;&gt;"")),1,0)</f>
        <v/>
      </c>
    </row>
    <row r="767">
      <c r="A767" s="1" t="n"/>
      <c r="B767" s="21" t="n"/>
      <c r="C767" s="22" t="n"/>
      <c r="D767" s="23" t="n"/>
      <c r="E767" s="24" t="n"/>
      <c r="F767" s="25" t="n"/>
      <c r="G767" s="25" t="n"/>
      <c r="H767" s="24" t="n"/>
      <c r="I767" s="25" t="n"/>
      <c r="J767" s="17">
        <f>IF(AND(C767="",D767="",G767=""),"",IF(NOT(ISNUMBER(B767)),"Needs a date",IF(AND(D767&lt;&gt;"",NOT(ISNUMBER(D767))),"Amount not a number",IF(N(D767)&lt;0,"Amount below zero",IF(AND(N(D767)=0,G767=""),"Needs an amount or goods",IF(C767="","",IF(COUNTIF(Donors!$B$6:$B$305,C767)=0,"Not on Donors","")))))))</f>
        <v/>
      </c>
      <c r="K767" s="1">
        <f>IF(ISNUMBER(B767),YEAR(B767),"")</f>
        <v/>
      </c>
      <c r="L767">
        <f>IF(ISNUMBER(B767),YEAR(B767)*100+MONTH(B767),"")</f>
        <v/>
      </c>
      <c r="M767">
        <f>IF(ISNUMBER(B767),INT(B767),0)</f>
        <v/>
      </c>
      <c r="N767">
        <f>IF(OR(C767="",F767="",Q767=0),0,IF(COUNTIFS(C$6:C767,C767,F$6:F767,F767,Q$6:Q767,1)=1,1,0))</f>
        <v/>
      </c>
      <c r="O767">
        <f>IF(OR(C767="",Q767=0,H767&lt;&gt;""),"",M767*10000+ROW())</f>
        <v/>
      </c>
      <c r="P767">
        <f>IF(OR(C767="",Q767=0),"",IF(AND(C767=Statement!$C$4,K767=Statement!$C$5),M767*10000+ROW(),""))</f>
        <v/>
      </c>
      <c r="Q767">
        <f>IF(AND(ISNUMBER(B767),OR(N(D767)&gt;0,G767&lt;&gt;"")),1,0)</f>
        <v/>
      </c>
    </row>
    <row r="768">
      <c r="A768" s="1" t="n"/>
      <c r="B768" s="21" t="n"/>
      <c r="C768" s="22" t="n"/>
      <c r="D768" s="23" t="n"/>
      <c r="E768" s="24" t="n"/>
      <c r="F768" s="25" t="n"/>
      <c r="G768" s="25" t="n"/>
      <c r="H768" s="24" t="n"/>
      <c r="I768" s="25" t="n"/>
      <c r="J768" s="17">
        <f>IF(AND(C768="",D768="",G768=""),"",IF(NOT(ISNUMBER(B768)),"Needs a date",IF(AND(D768&lt;&gt;"",NOT(ISNUMBER(D768))),"Amount not a number",IF(N(D768)&lt;0,"Amount below zero",IF(AND(N(D768)=0,G768=""),"Needs an amount or goods",IF(C768="","",IF(COUNTIF(Donors!$B$6:$B$305,C768)=0,"Not on Donors","")))))))</f>
        <v/>
      </c>
      <c r="K768" s="1">
        <f>IF(ISNUMBER(B768),YEAR(B768),"")</f>
        <v/>
      </c>
      <c r="L768">
        <f>IF(ISNUMBER(B768),YEAR(B768)*100+MONTH(B768),"")</f>
        <v/>
      </c>
      <c r="M768">
        <f>IF(ISNUMBER(B768),INT(B768),0)</f>
        <v/>
      </c>
      <c r="N768">
        <f>IF(OR(C768="",F768="",Q768=0),0,IF(COUNTIFS(C$6:C768,C768,F$6:F768,F768,Q$6:Q768,1)=1,1,0))</f>
        <v/>
      </c>
      <c r="O768">
        <f>IF(OR(C768="",Q768=0,H768&lt;&gt;""),"",M768*10000+ROW())</f>
        <v/>
      </c>
      <c r="P768">
        <f>IF(OR(C768="",Q768=0),"",IF(AND(C768=Statement!$C$4,K768=Statement!$C$5),M768*10000+ROW(),""))</f>
        <v/>
      </c>
      <c r="Q768">
        <f>IF(AND(ISNUMBER(B768),OR(N(D768)&gt;0,G768&lt;&gt;"")),1,0)</f>
        <v/>
      </c>
    </row>
    <row r="769">
      <c r="A769" s="1" t="n"/>
      <c r="B769" s="21" t="n"/>
      <c r="C769" s="22" t="n"/>
      <c r="D769" s="23" t="n"/>
      <c r="E769" s="24" t="n"/>
      <c r="F769" s="25" t="n"/>
      <c r="G769" s="25" t="n"/>
      <c r="H769" s="24" t="n"/>
      <c r="I769" s="25" t="n"/>
      <c r="J769" s="17">
        <f>IF(AND(C769="",D769="",G769=""),"",IF(NOT(ISNUMBER(B769)),"Needs a date",IF(AND(D769&lt;&gt;"",NOT(ISNUMBER(D769))),"Amount not a number",IF(N(D769)&lt;0,"Amount below zero",IF(AND(N(D769)=0,G769=""),"Needs an amount or goods",IF(C769="","",IF(COUNTIF(Donors!$B$6:$B$305,C769)=0,"Not on Donors","")))))))</f>
        <v/>
      </c>
      <c r="K769" s="1">
        <f>IF(ISNUMBER(B769),YEAR(B769),"")</f>
        <v/>
      </c>
      <c r="L769">
        <f>IF(ISNUMBER(B769),YEAR(B769)*100+MONTH(B769),"")</f>
        <v/>
      </c>
      <c r="M769">
        <f>IF(ISNUMBER(B769),INT(B769),0)</f>
        <v/>
      </c>
      <c r="N769">
        <f>IF(OR(C769="",F769="",Q769=0),0,IF(COUNTIFS(C$6:C769,C769,F$6:F769,F769,Q$6:Q769,1)=1,1,0))</f>
        <v/>
      </c>
      <c r="O769">
        <f>IF(OR(C769="",Q769=0,H769&lt;&gt;""),"",M769*10000+ROW())</f>
        <v/>
      </c>
      <c r="P769">
        <f>IF(OR(C769="",Q769=0),"",IF(AND(C769=Statement!$C$4,K769=Statement!$C$5),M769*10000+ROW(),""))</f>
        <v/>
      </c>
      <c r="Q769">
        <f>IF(AND(ISNUMBER(B769),OR(N(D769)&gt;0,G769&lt;&gt;"")),1,0)</f>
        <v/>
      </c>
    </row>
    <row r="770">
      <c r="A770" s="1" t="n"/>
      <c r="B770" s="21" t="n"/>
      <c r="C770" s="22" t="n"/>
      <c r="D770" s="23" t="n"/>
      <c r="E770" s="24" t="n"/>
      <c r="F770" s="25" t="n"/>
      <c r="G770" s="25" t="n"/>
      <c r="H770" s="24" t="n"/>
      <c r="I770" s="25" t="n"/>
      <c r="J770" s="17">
        <f>IF(AND(C770="",D770="",G770=""),"",IF(NOT(ISNUMBER(B770)),"Needs a date",IF(AND(D770&lt;&gt;"",NOT(ISNUMBER(D770))),"Amount not a number",IF(N(D770)&lt;0,"Amount below zero",IF(AND(N(D770)=0,G770=""),"Needs an amount or goods",IF(C770="","",IF(COUNTIF(Donors!$B$6:$B$305,C770)=0,"Not on Donors","")))))))</f>
        <v/>
      </c>
      <c r="K770" s="1">
        <f>IF(ISNUMBER(B770),YEAR(B770),"")</f>
        <v/>
      </c>
      <c r="L770">
        <f>IF(ISNUMBER(B770),YEAR(B770)*100+MONTH(B770),"")</f>
        <v/>
      </c>
      <c r="M770">
        <f>IF(ISNUMBER(B770),INT(B770),0)</f>
        <v/>
      </c>
      <c r="N770">
        <f>IF(OR(C770="",F770="",Q770=0),0,IF(COUNTIFS(C$6:C770,C770,F$6:F770,F770,Q$6:Q770,1)=1,1,0))</f>
        <v/>
      </c>
      <c r="O770">
        <f>IF(OR(C770="",Q770=0,H770&lt;&gt;""),"",M770*10000+ROW())</f>
        <v/>
      </c>
      <c r="P770">
        <f>IF(OR(C770="",Q770=0),"",IF(AND(C770=Statement!$C$4,K770=Statement!$C$5),M770*10000+ROW(),""))</f>
        <v/>
      </c>
      <c r="Q770">
        <f>IF(AND(ISNUMBER(B770),OR(N(D770)&gt;0,G770&lt;&gt;"")),1,0)</f>
        <v/>
      </c>
    </row>
    <row r="771">
      <c r="A771" s="1" t="n"/>
      <c r="B771" s="21" t="n"/>
      <c r="C771" s="22" t="n"/>
      <c r="D771" s="23" t="n"/>
      <c r="E771" s="24" t="n"/>
      <c r="F771" s="25" t="n"/>
      <c r="G771" s="25" t="n"/>
      <c r="H771" s="24" t="n"/>
      <c r="I771" s="25" t="n"/>
      <c r="J771" s="17">
        <f>IF(AND(C771="",D771="",G771=""),"",IF(NOT(ISNUMBER(B771)),"Needs a date",IF(AND(D771&lt;&gt;"",NOT(ISNUMBER(D771))),"Amount not a number",IF(N(D771)&lt;0,"Amount below zero",IF(AND(N(D771)=0,G771=""),"Needs an amount or goods",IF(C771="","",IF(COUNTIF(Donors!$B$6:$B$305,C771)=0,"Not on Donors","")))))))</f>
        <v/>
      </c>
      <c r="K771" s="1">
        <f>IF(ISNUMBER(B771),YEAR(B771),"")</f>
        <v/>
      </c>
      <c r="L771">
        <f>IF(ISNUMBER(B771),YEAR(B771)*100+MONTH(B771),"")</f>
        <v/>
      </c>
      <c r="M771">
        <f>IF(ISNUMBER(B771),INT(B771),0)</f>
        <v/>
      </c>
      <c r="N771">
        <f>IF(OR(C771="",F771="",Q771=0),0,IF(COUNTIFS(C$6:C771,C771,F$6:F771,F771,Q$6:Q771,1)=1,1,0))</f>
        <v/>
      </c>
      <c r="O771">
        <f>IF(OR(C771="",Q771=0,H771&lt;&gt;""),"",M771*10000+ROW())</f>
        <v/>
      </c>
      <c r="P771">
        <f>IF(OR(C771="",Q771=0),"",IF(AND(C771=Statement!$C$4,K771=Statement!$C$5),M771*10000+ROW(),""))</f>
        <v/>
      </c>
      <c r="Q771">
        <f>IF(AND(ISNUMBER(B771),OR(N(D771)&gt;0,G771&lt;&gt;"")),1,0)</f>
        <v/>
      </c>
    </row>
    <row r="772">
      <c r="A772" s="1" t="n"/>
      <c r="B772" s="21" t="n"/>
      <c r="C772" s="22" t="n"/>
      <c r="D772" s="23" t="n"/>
      <c r="E772" s="24" t="n"/>
      <c r="F772" s="25" t="n"/>
      <c r="G772" s="25" t="n"/>
      <c r="H772" s="24" t="n"/>
      <c r="I772" s="25" t="n"/>
      <c r="J772" s="17">
        <f>IF(AND(C772="",D772="",G772=""),"",IF(NOT(ISNUMBER(B772)),"Needs a date",IF(AND(D772&lt;&gt;"",NOT(ISNUMBER(D772))),"Amount not a number",IF(N(D772)&lt;0,"Amount below zero",IF(AND(N(D772)=0,G772=""),"Needs an amount or goods",IF(C772="","",IF(COUNTIF(Donors!$B$6:$B$305,C772)=0,"Not on Donors","")))))))</f>
        <v/>
      </c>
      <c r="K772" s="1">
        <f>IF(ISNUMBER(B772),YEAR(B772),"")</f>
        <v/>
      </c>
      <c r="L772">
        <f>IF(ISNUMBER(B772),YEAR(B772)*100+MONTH(B772),"")</f>
        <v/>
      </c>
      <c r="M772">
        <f>IF(ISNUMBER(B772),INT(B772),0)</f>
        <v/>
      </c>
      <c r="N772">
        <f>IF(OR(C772="",F772="",Q772=0),0,IF(COUNTIFS(C$6:C772,C772,F$6:F772,F772,Q$6:Q772,1)=1,1,0))</f>
        <v/>
      </c>
      <c r="O772">
        <f>IF(OR(C772="",Q772=0,H772&lt;&gt;""),"",M772*10000+ROW())</f>
        <v/>
      </c>
      <c r="P772">
        <f>IF(OR(C772="",Q772=0),"",IF(AND(C772=Statement!$C$4,K772=Statement!$C$5),M772*10000+ROW(),""))</f>
        <v/>
      </c>
      <c r="Q772">
        <f>IF(AND(ISNUMBER(B772),OR(N(D772)&gt;0,G772&lt;&gt;"")),1,0)</f>
        <v/>
      </c>
    </row>
    <row r="773">
      <c r="A773" s="1" t="n"/>
      <c r="B773" s="21" t="n"/>
      <c r="C773" s="22" t="n"/>
      <c r="D773" s="23" t="n"/>
      <c r="E773" s="24" t="n"/>
      <c r="F773" s="25" t="n"/>
      <c r="G773" s="25" t="n"/>
      <c r="H773" s="24" t="n"/>
      <c r="I773" s="25" t="n"/>
      <c r="J773" s="17">
        <f>IF(AND(C773="",D773="",G773=""),"",IF(NOT(ISNUMBER(B773)),"Needs a date",IF(AND(D773&lt;&gt;"",NOT(ISNUMBER(D773))),"Amount not a number",IF(N(D773)&lt;0,"Amount below zero",IF(AND(N(D773)=0,G773=""),"Needs an amount or goods",IF(C773="","",IF(COUNTIF(Donors!$B$6:$B$305,C773)=0,"Not on Donors","")))))))</f>
        <v/>
      </c>
      <c r="K773" s="1">
        <f>IF(ISNUMBER(B773),YEAR(B773),"")</f>
        <v/>
      </c>
      <c r="L773">
        <f>IF(ISNUMBER(B773),YEAR(B773)*100+MONTH(B773),"")</f>
        <v/>
      </c>
      <c r="M773">
        <f>IF(ISNUMBER(B773),INT(B773),0)</f>
        <v/>
      </c>
      <c r="N773">
        <f>IF(OR(C773="",F773="",Q773=0),0,IF(COUNTIFS(C$6:C773,C773,F$6:F773,F773,Q$6:Q773,1)=1,1,0))</f>
        <v/>
      </c>
      <c r="O773">
        <f>IF(OR(C773="",Q773=0,H773&lt;&gt;""),"",M773*10000+ROW())</f>
        <v/>
      </c>
      <c r="P773">
        <f>IF(OR(C773="",Q773=0),"",IF(AND(C773=Statement!$C$4,K773=Statement!$C$5),M773*10000+ROW(),""))</f>
        <v/>
      </c>
      <c r="Q773">
        <f>IF(AND(ISNUMBER(B773),OR(N(D773)&gt;0,G773&lt;&gt;"")),1,0)</f>
        <v/>
      </c>
    </row>
    <row r="774">
      <c r="A774" s="1" t="n"/>
      <c r="B774" s="21" t="n"/>
      <c r="C774" s="22" t="n"/>
      <c r="D774" s="23" t="n"/>
      <c r="E774" s="24" t="n"/>
      <c r="F774" s="25" t="n"/>
      <c r="G774" s="25" t="n"/>
      <c r="H774" s="24" t="n"/>
      <c r="I774" s="25" t="n"/>
      <c r="J774" s="17">
        <f>IF(AND(C774="",D774="",G774=""),"",IF(NOT(ISNUMBER(B774)),"Needs a date",IF(AND(D774&lt;&gt;"",NOT(ISNUMBER(D774))),"Amount not a number",IF(N(D774)&lt;0,"Amount below zero",IF(AND(N(D774)=0,G774=""),"Needs an amount or goods",IF(C774="","",IF(COUNTIF(Donors!$B$6:$B$305,C774)=0,"Not on Donors","")))))))</f>
        <v/>
      </c>
      <c r="K774" s="1">
        <f>IF(ISNUMBER(B774),YEAR(B774),"")</f>
        <v/>
      </c>
      <c r="L774">
        <f>IF(ISNUMBER(B774),YEAR(B774)*100+MONTH(B774),"")</f>
        <v/>
      </c>
      <c r="M774">
        <f>IF(ISNUMBER(B774),INT(B774),0)</f>
        <v/>
      </c>
      <c r="N774">
        <f>IF(OR(C774="",F774="",Q774=0),0,IF(COUNTIFS(C$6:C774,C774,F$6:F774,F774,Q$6:Q774,1)=1,1,0))</f>
        <v/>
      </c>
      <c r="O774">
        <f>IF(OR(C774="",Q774=0,H774&lt;&gt;""),"",M774*10000+ROW())</f>
        <v/>
      </c>
      <c r="P774">
        <f>IF(OR(C774="",Q774=0),"",IF(AND(C774=Statement!$C$4,K774=Statement!$C$5),M774*10000+ROW(),""))</f>
        <v/>
      </c>
      <c r="Q774">
        <f>IF(AND(ISNUMBER(B774),OR(N(D774)&gt;0,G774&lt;&gt;"")),1,0)</f>
        <v/>
      </c>
    </row>
    <row r="775">
      <c r="A775" s="1" t="n"/>
      <c r="B775" s="21" t="n"/>
      <c r="C775" s="22" t="n"/>
      <c r="D775" s="23" t="n"/>
      <c r="E775" s="24" t="n"/>
      <c r="F775" s="25" t="n"/>
      <c r="G775" s="25" t="n"/>
      <c r="H775" s="24" t="n"/>
      <c r="I775" s="25" t="n"/>
      <c r="J775" s="17">
        <f>IF(AND(C775="",D775="",G775=""),"",IF(NOT(ISNUMBER(B775)),"Needs a date",IF(AND(D775&lt;&gt;"",NOT(ISNUMBER(D775))),"Amount not a number",IF(N(D775)&lt;0,"Amount below zero",IF(AND(N(D775)=0,G775=""),"Needs an amount or goods",IF(C775="","",IF(COUNTIF(Donors!$B$6:$B$305,C775)=0,"Not on Donors","")))))))</f>
        <v/>
      </c>
      <c r="K775" s="1">
        <f>IF(ISNUMBER(B775),YEAR(B775),"")</f>
        <v/>
      </c>
      <c r="L775">
        <f>IF(ISNUMBER(B775),YEAR(B775)*100+MONTH(B775),"")</f>
        <v/>
      </c>
      <c r="M775">
        <f>IF(ISNUMBER(B775),INT(B775),0)</f>
        <v/>
      </c>
      <c r="N775">
        <f>IF(OR(C775="",F775="",Q775=0),0,IF(COUNTIFS(C$6:C775,C775,F$6:F775,F775,Q$6:Q775,1)=1,1,0))</f>
        <v/>
      </c>
      <c r="O775">
        <f>IF(OR(C775="",Q775=0,H775&lt;&gt;""),"",M775*10000+ROW())</f>
        <v/>
      </c>
      <c r="P775">
        <f>IF(OR(C775="",Q775=0),"",IF(AND(C775=Statement!$C$4,K775=Statement!$C$5),M775*10000+ROW(),""))</f>
        <v/>
      </c>
      <c r="Q775">
        <f>IF(AND(ISNUMBER(B775),OR(N(D775)&gt;0,G775&lt;&gt;"")),1,0)</f>
        <v/>
      </c>
    </row>
    <row r="776">
      <c r="A776" s="1" t="n"/>
      <c r="B776" s="21" t="n"/>
      <c r="C776" s="22" t="n"/>
      <c r="D776" s="23" t="n"/>
      <c r="E776" s="24" t="n"/>
      <c r="F776" s="25" t="n"/>
      <c r="G776" s="25" t="n"/>
      <c r="H776" s="24" t="n"/>
      <c r="I776" s="25" t="n"/>
      <c r="J776" s="17">
        <f>IF(AND(C776="",D776="",G776=""),"",IF(NOT(ISNUMBER(B776)),"Needs a date",IF(AND(D776&lt;&gt;"",NOT(ISNUMBER(D776))),"Amount not a number",IF(N(D776)&lt;0,"Amount below zero",IF(AND(N(D776)=0,G776=""),"Needs an amount or goods",IF(C776="","",IF(COUNTIF(Donors!$B$6:$B$305,C776)=0,"Not on Donors","")))))))</f>
        <v/>
      </c>
      <c r="K776" s="1">
        <f>IF(ISNUMBER(B776),YEAR(B776),"")</f>
        <v/>
      </c>
      <c r="L776">
        <f>IF(ISNUMBER(B776),YEAR(B776)*100+MONTH(B776),"")</f>
        <v/>
      </c>
      <c r="M776">
        <f>IF(ISNUMBER(B776),INT(B776),0)</f>
        <v/>
      </c>
      <c r="N776">
        <f>IF(OR(C776="",F776="",Q776=0),0,IF(COUNTIFS(C$6:C776,C776,F$6:F776,F776,Q$6:Q776,1)=1,1,0))</f>
        <v/>
      </c>
      <c r="O776">
        <f>IF(OR(C776="",Q776=0,H776&lt;&gt;""),"",M776*10000+ROW())</f>
        <v/>
      </c>
      <c r="P776">
        <f>IF(OR(C776="",Q776=0),"",IF(AND(C776=Statement!$C$4,K776=Statement!$C$5),M776*10000+ROW(),""))</f>
        <v/>
      </c>
      <c r="Q776">
        <f>IF(AND(ISNUMBER(B776),OR(N(D776)&gt;0,G776&lt;&gt;"")),1,0)</f>
        <v/>
      </c>
    </row>
    <row r="777">
      <c r="A777" s="1" t="n"/>
      <c r="B777" s="21" t="n"/>
      <c r="C777" s="22" t="n"/>
      <c r="D777" s="23" t="n"/>
      <c r="E777" s="24" t="n"/>
      <c r="F777" s="25" t="n"/>
      <c r="G777" s="25" t="n"/>
      <c r="H777" s="24" t="n"/>
      <c r="I777" s="25" t="n"/>
      <c r="J777" s="17">
        <f>IF(AND(C777="",D777="",G777=""),"",IF(NOT(ISNUMBER(B777)),"Needs a date",IF(AND(D777&lt;&gt;"",NOT(ISNUMBER(D777))),"Amount not a number",IF(N(D777)&lt;0,"Amount below zero",IF(AND(N(D777)=0,G777=""),"Needs an amount or goods",IF(C777="","",IF(COUNTIF(Donors!$B$6:$B$305,C777)=0,"Not on Donors","")))))))</f>
        <v/>
      </c>
      <c r="K777" s="1">
        <f>IF(ISNUMBER(B777),YEAR(B777),"")</f>
        <v/>
      </c>
      <c r="L777">
        <f>IF(ISNUMBER(B777),YEAR(B777)*100+MONTH(B777),"")</f>
        <v/>
      </c>
      <c r="M777">
        <f>IF(ISNUMBER(B777),INT(B777),0)</f>
        <v/>
      </c>
      <c r="N777">
        <f>IF(OR(C777="",F777="",Q777=0),0,IF(COUNTIFS(C$6:C777,C777,F$6:F777,F777,Q$6:Q777,1)=1,1,0))</f>
        <v/>
      </c>
      <c r="O777">
        <f>IF(OR(C777="",Q777=0,H777&lt;&gt;""),"",M777*10000+ROW())</f>
        <v/>
      </c>
      <c r="P777">
        <f>IF(OR(C777="",Q777=0),"",IF(AND(C777=Statement!$C$4,K777=Statement!$C$5),M777*10000+ROW(),""))</f>
        <v/>
      </c>
      <c r="Q777">
        <f>IF(AND(ISNUMBER(B777),OR(N(D777)&gt;0,G777&lt;&gt;"")),1,0)</f>
        <v/>
      </c>
    </row>
    <row r="778">
      <c r="A778" s="1" t="n"/>
      <c r="B778" s="21" t="n"/>
      <c r="C778" s="22" t="n"/>
      <c r="D778" s="23" t="n"/>
      <c r="E778" s="24" t="n"/>
      <c r="F778" s="25" t="n"/>
      <c r="G778" s="25" t="n"/>
      <c r="H778" s="24" t="n"/>
      <c r="I778" s="25" t="n"/>
      <c r="J778" s="17">
        <f>IF(AND(C778="",D778="",G778=""),"",IF(NOT(ISNUMBER(B778)),"Needs a date",IF(AND(D778&lt;&gt;"",NOT(ISNUMBER(D778))),"Amount not a number",IF(N(D778)&lt;0,"Amount below zero",IF(AND(N(D778)=0,G778=""),"Needs an amount or goods",IF(C778="","",IF(COUNTIF(Donors!$B$6:$B$305,C778)=0,"Not on Donors","")))))))</f>
        <v/>
      </c>
      <c r="K778" s="1">
        <f>IF(ISNUMBER(B778),YEAR(B778),"")</f>
        <v/>
      </c>
      <c r="L778">
        <f>IF(ISNUMBER(B778),YEAR(B778)*100+MONTH(B778),"")</f>
        <v/>
      </c>
      <c r="M778">
        <f>IF(ISNUMBER(B778),INT(B778),0)</f>
        <v/>
      </c>
      <c r="N778">
        <f>IF(OR(C778="",F778="",Q778=0),0,IF(COUNTIFS(C$6:C778,C778,F$6:F778,F778,Q$6:Q778,1)=1,1,0))</f>
        <v/>
      </c>
      <c r="O778">
        <f>IF(OR(C778="",Q778=0,H778&lt;&gt;""),"",M778*10000+ROW())</f>
        <v/>
      </c>
      <c r="P778">
        <f>IF(OR(C778="",Q778=0),"",IF(AND(C778=Statement!$C$4,K778=Statement!$C$5),M778*10000+ROW(),""))</f>
        <v/>
      </c>
      <c r="Q778">
        <f>IF(AND(ISNUMBER(B778),OR(N(D778)&gt;0,G778&lt;&gt;"")),1,0)</f>
        <v/>
      </c>
    </row>
    <row r="779">
      <c r="A779" s="1" t="n"/>
      <c r="B779" s="21" t="n"/>
      <c r="C779" s="22" t="n"/>
      <c r="D779" s="23" t="n"/>
      <c r="E779" s="24" t="n"/>
      <c r="F779" s="25" t="n"/>
      <c r="G779" s="25" t="n"/>
      <c r="H779" s="24" t="n"/>
      <c r="I779" s="25" t="n"/>
      <c r="J779" s="17">
        <f>IF(AND(C779="",D779="",G779=""),"",IF(NOT(ISNUMBER(B779)),"Needs a date",IF(AND(D779&lt;&gt;"",NOT(ISNUMBER(D779))),"Amount not a number",IF(N(D779)&lt;0,"Amount below zero",IF(AND(N(D779)=0,G779=""),"Needs an amount or goods",IF(C779="","",IF(COUNTIF(Donors!$B$6:$B$305,C779)=0,"Not on Donors","")))))))</f>
        <v/>
      </c>
      <c r="K779" s="1">
        <f>IF(ISNUMBER(B779),YEAR(B779),"")</f>
        <v/>
      </c>
      <c r="L779">
        <f>IF(ISNUMBER(B779),YEAR(B779)*100+MONTH(B779),"")</f>
        <v/>
      </c>
      <c r="M779">
        <f>IF(ISNUMBER(B779),INT(B779),0)</f>
        <v/>
      </c>
      <c r="N779">
        <f>IF(OR(C779="",F779="",Q779=0),0,IF(COUNTIFS(C$6:C779,C779,F$6:F779,F779,Q$6:Q779,1)=1,1,0))</f>
        <v/>
      </c>
      <c r="O779">
        <f>IF(OR(C779="",Q779=0,H779&lt;&gt;""),"",M779*10000+ROW())</f>
        <v/>
      </c>
      <c r="P779">
        <f>IF(OR(C779="",Q779=0),"",IF(AND(C779=Statement!$C$4,K779=Statement!$C$5),M779*10000+ROW(),""))</f>
        <v/>
      </c>
      <c r="Q779">
        <f>IF(AND(ISNUMBER(B779),OR(N(D779)&gt;0,G779&lt;&gt;"")),1,0)</f>
        <v/>
      </c>
    </row>
    <row r="780">
      <c r="A780" s="1" t="n"/>
      <c r="B780" s="21" t="n"/>
      <c r="C780" s="22" t="n"/>
      <c r="D780" s="23" t="n"/>
      <c r="E780" s="24" t="n"/>
      <c r="F780" s="25" t="n"/>
      <c r="G780" s="25" t="n"/>
      <c r="H780" s="24" t="n"/>
      <c r="I780" s="25" t="n"/>
      <c r="J780" s="17">
        <f>IF(AND(C780="",D780="",G780=""),"",IF(NOT(ISNUMBER(B780)),"Needs a date",IF(AND(D780&lt;&gt;"",NOT(ISNUMBER(D780))),"Amount not a number",IF(N(D780)&lt;0,"Amount below zero",IF(AND(N(D780)=0,G780=""),"Needs an amount or goods",IF(C780="","",IF(COUNTIF(Donors!$B$6:$B$305,C780)=0,"Not on Donors","")))))))</f>
        <v/>
      </c>
      <c r="K780" s="1">
        <f>IF(ISNUMBER(B780),YEAR(B780),"")</f>
        <v/>
      </c>
      <c r="L780">
        <f>IF(ISNUMBER(B780),YEAR(B780)*100+MONTH(B780),"")</f>
        <v/>
      </c>
      <c r="M780">
        <f>IF(ISNUMBER(B780),INT(B780),0)</f>
        <v/>
      </c>
      <c r="N780">
        <f>IF(OR(C780="",F780="",Q780=0),0,IF(COUNTIFS(C$6:C780,C780,F$6:F780,F780,Q$6:Q780,1)=1,1,0))</f>
        <v/>
      </c>
      <c r="O780">
        <f>IF(OR(C780="",Q780=0,H780&lt;&gt;""),"",M780*10000+ROW())</f>
        <v/>
      </c>
      <c r="P780">
        <f>IF(OR(C780="",Q780=0),"",IF(AND(C780=Statement!$C$4,K780=Statement!$C$5),M780*10000+ROW(),""))</f>
        <v/>
      </c>
      <c r="Q780">
        <f>IF(AND(ISNUMBER(B780),OR(N(D780)&gt;0,G780&lt;&gt;"")),1,0)</f>
        <v/>
      </c>
    </row>
    <row r="781">
      <c r="A781" s="1" t="n"/>
      <c r="B781" s="21" t="n"/>
      <c r="C781" s="22" t="n"/>
      <c r="D781" s="23" t="n"/>
      <c r="E781" s="24" t="n"/>
      <c r="F781" s="25" t="n"/>
      <c r="G781" s="25" t="n"/>
      <c r="H781" s="24" t="n"/>
      <c r="I781" s="25" t="n"/>
      <c r="J781" s="17">
        <f>IF(AND(C781="",D781="",G781=""),"",IF(NOT(ISNUMBER(B781)),"Needs a date",IF(AND(D781&lt;&gt;"",NOT(ISNUMBER(D781))),"Amount not a number",IF(N(D781)&lt;0,"Amount below zero",IF(AND(N(D781)=0,G781=""),"Needs an amount or goods",IF(C781="","",IF(COUNTIF(Donors!$B$6:$B$305,C781)=0,"Not on Donors","")))))))</f>
        <v/>
      </c>
      <c r="K781" s="1">
        <f>IF(ISNUMBER(B781),YEAR(B781),"")</f>
        <v/>
      </c>
      <c r="L781">
        <f>IF(ISNUMBER(B781),YEAR(B781)*100+MONTH(B781),"")</f>
        <v/>
      </c>
      <c r="M781">
        <f>IF(ISNUMBER(B781),INT(B781),0)</f>
        <v/>
      </c>
      <c r="N781">
        <f>IF(OR(C781="",F781="",Q781=0),0,IF(COUNTIFS(C$6:C781,C781,F$6:F781,F781,Q$6:Q781,1)=1,1,0))</f>
        <v/>
      </c>
      <c r="O781">
        <f>IF(OR(C781="",Q781=0,H781&lt;&gt;""),"",M781*10000+ROW())</f>
        <v/>
      </c>
      <c r="P781">
        <f>IF(OR(C781="",Q781=0),"",IF(AND(C781=Statement!$C$4,K781=Statement!$C$5),M781*10000+ROW(),""))</f>
        <v/>
      </c>
      <c r="Q781">
        <f>IF(AND(ISNUMBER(B781),OR(N(D781)&gt;0,G781&lt;&gt;"")),1,0)</f>
        <v/>
      </c>
    </row>
    <row r="782">
      <c r="A782" s="1" t="n"/>
      <c r="B782" s="21" t="n"/>
      <c r="C782" s="22" t="n"/>
      <c r="D782" s="23" t="n"/>
      <c r="E782" s="24" t="n"/>
      <c r="F782" s="25" t="n"/>
      <c r="G782" s="25" t="n"/>
      <c r="H782" s="24" t="n"/>
      <c r="I782" s="25" t="n"/>
      <c r="J782" s="17">
        <f>IF(AND(C782="",D782="",G782=""),"",IF(NOT(ISNUMBER(B782)),"Needs a date",IF(AND(D782&lt;&gt;"",NOT(ISNUMBER(D782))),"Amount not a number",IF(N(D782)&lt;0,"Amount below zero",IF(AND(N(D782)=0,G782=""),"Needs an amount or goods",IF(C782="","",IF(COUNTIF(Donors!$B$6:$B$305,C782)=0,"Not on Donors","")))))))</f>
        <v/>
      </c>
      <c r="K782" s="1">
        <f>IF(ISNUMBER(B782),YEAR(B782),"")</f>
        <v/>
      </c>
      <c r="L782">
        <f>IF(ISNUMBER(B782),YEAR(B782)*100+MONTH(B782),"")</f>
        <v/>
      </c>
      <c r="M782">
        <f>IF(ISNUMBER(B782),INT(B782),0)</f>
        <v/>
      </c>
      <c r="N782">
        <f>IF(OR(C782="",F782="",Q782=0),0,IF(COUNTIFS(C$6:C782,C782,F$6:F782,F782,Q$6:Q782,1)=1,1,0))</f>
        <v/>
      </c>
      <c r="O782">
        <f>IF(OR(C782="",Q782=0,H782&lt;&gt;""),"",M782*10000+ROW())</f>
        <v/>
      </c>
      <c r="P782">
        <f>IF(OR(C782="",Q782=0),"",IF(AND(C782=Statement!$C$4,K782=Statement!$C$5),M782*10000+ROW(),""))</f>
        <v/>
      </c>
      <c r="Q782">
        <f>IF(AND(ISNUMBER(B782),OR(N(D782)&gt;0,G782&lt;&gt;"")),1,0)</f>
        <v/>
      </c>
    </row>
    <row r="783">
      <c r="A783" s="1" t="n"/>
      <c r="B783" s="21" t="n"/>
      <c r="C783" s="22" t="n"/>
      <c r="D783" s="23" t="n"/>
      <c r="E783" s="24" t="n"/>
      <c r="F783" s="25" t="n"/>
      <c r="G783" s="25" t="n"/>
      <c r="H783" s="24" t="n"/>
      <c r="I783" s="25" t="n"/>
      <c r="J783" s="17">
        <f>IF(AND(C783="",D783="",G783=""),"",IF(NOT(ISNUMBER(B783)),"Needs a date",IF(AND(D783&lt;&gt;"",NOT(ISNUMBER(D783))),"Amount not a number",IF(N(D783)&lt;0,"Amount below zero",IF(AND(N(D783)=0,G783=""),"Needs an amount or goods",IF(C783="","",IF(COUNTIF(Donors!$B$6:$B$305,C783)=0,"Not on Donors","")))))))</f>
        <v/>
      </c>
      <c r="K783" s="1">
        <f>IF(ISNUMBER(B783),YEAR(B783),"")</f>
        <v/>
      </c>
      <c r="L783">
        <f>IF(ISNUMBER(B783),YEAR(B783)*100+MONTH(B783),"")</f>
        <v/>
      </c>
      <c r="M783">
        <f>IF(ISNUMBER(B783),INT(B783),0)</f>
        <v/>
      </c>
      <c r="N783">
        <f>IF(OR(C783="",F783="",Q783=0),0,IF(COUNTIFS(C$6:C783,C783,F$6:F783,F783,Q$6:Q783,1)=1,1,0))</f>
        <v/>
      </c>
      <c r="O783">
        <f>IF(OR(C783="",Q783=0,H783&lt;&gt;""),"",M783*10000+ROW())</f>
        <v/>
      </c>
      <c r="P783">
        <f>IF(OR(C783="",Q783=0),"",IF(AND(C783=Statement!$C$4,K783=Statement!$C$5),M783*10000+ROW(),""))</f>
        <v/>
      </c>
      <c r="Q783">
        <f>IF(AND(ISNUMBER(B783),OR(N(D783)&gt;0,G783&lt;&gt;"")),1,0)</f>
        <v/>
      </c>
    </row>
    <row r="784">
      <c r="A784" s="1" t="n"/>
      <c r="B784" s="21" t="n"/>
      <c r="C784" s="22" t="n"/>
      <c r="D784" s="23" t="n"/>
      <c r="E784" s="24" t="n"/>
      <c r="F784" s="25" t="n"/>
      <c r="G784" s="25" t="n"/>
      <c r="H784" s="24" t="n"/>
      <c r="I784" s="25" t="n"/>
      <c r="J784" s="17">
        <f>IF(AND(C784="",D784="",G784=""),"",IF(NOT(ISNUMBER(B784)),"Needs a date",IF(AND(D784&lt;&gt;"",NOT(ISNUMBER(D784))),"Amount not a number",IF(N(D784)&lt;0,"Amount below zero",IF(AND(N(D784)=0,G784=""),"Needs an amount or goods",IF(C784="","",IF(COUNTIF(Donors!$B$6:$B$305,C784)=0,"Not on Donors","")))))))</f>
        <v/>
      </c>
      <c r="K784" s="1">
        <f>IF(ISNUMBER(B784),YEAR(B784),"")</f>
        <v/>
      </c>
      <c r="L784">
        <f>IF(ISNUMBER(B784),YEAR(B784)*100+MONTH(B784),"")</f>
        <v/>
      </c>
      <c r="M784">
        <f>IF(ISNUMBER(B784),INT(B784),0)</f>
        <v/>
      </c>
      <c r="N784">
        <f>IF(OR(C784="",F784="",Q784=0),0,IF(COUNTIFS(C$6:C784,C784,F$6:F784,F784,Q$6:Q784,1)=1,1,0))</f>
        <v/>
      </c>
      <c r="O784">
        <f>IF(OR(C784="",Q784=0,H784&lt;&gt;""),"",M784*10000+ROW())</f>
        <v/>
      </c>
      <c r="P784">
        <f>IF(OR(C784="",Q784=0),"",IF(AND(C784=Statement!$C$4,K784=Statement!$C$5),M784*10000+ROW(),""))</f>
        <v/>
      </c>
      <c r="Q784">
        <f>IF(AND(ISNUMBER(B784),OR(N(D784)&gt;0,G784&lt;&gt;"")),1,0)</f>
        <v/>
      </c>
    </row>
    <row r="785">
      <c r="A785" s="1" t="n"/>
      <c r="B785" s="21" t="n"/>
      <c r="C785" s="22" t="n"/>
      <c r="D785" s="23" t="n"/>
      <c r="E785" s="24" t="n"/>
      <c r="F785" s="25" t="n"/>
      <c r="G785" s="25" t="n"/>
      <c r="H785" s="24" t="n"/>
      <c r="I785" s="25" t="n"/>
      <c r="J785" s="17">
        <f>IF(AND(C785="",D785="",G785=""),"",IF(NOT(ISNUMBER(B785)),"Needs a date",IF(AND(D785&lt;&gt;"",NOT(ISNUMBER(D785))),"Amount not a number",IF(N(D785)&lt;0,"Amount below zero",IF(AND(N(D785)=0,G785=""),"Needs an amount or goods",IF(C785="","",IF(COUNTIF(Donors!$B$6:$B$305,C785)=0,"Not on Donors","")))))))</f>
        <v/>
      </c>
      <c r="K785" s="1">
        <f>IF(ISNUMBER(B785),YEAR(B785),"")</f>
        <v/>
      </c>
      <c r="L785">
        <f>IF(ISNUMBER(B785),YEAR(B785)*100+MONTH(B785),"")</f>
        <v/>
      </c>
      <c r="M785">
        <f>IF(ISNUMBER(B785),INT(B785),0)</f>
        <v/>
      </c>
      <c r="N785">
        <f>IF(OR(C785="",F785="",Q785=0),0,IF(COUNTIFS(C$6:C785,C785,F$6:F785,F785,Q$6:Q785,1)=1,1,0))</f>
        <v/>
      </c>
      <c r="O785">
        <f>IF(OR(C785="",Q785=0,H785&lt;&gt;""),"",M785*10000+ROW())</f>
        <v/>
      </c>
      <c r="P785">
        <f>IF(OR(C785="",Q785=0),"",IF(AND(C785=Statement!$C$4,K785=Statement!$C$5),M785*10000+ROW(),""))</f>
        <v/>
      </c>
      <c r="Q785">
        <f>IF(AND(ISNUMBER(B785),OR(N(D785)&gt;0,G785&lt;&gt;"")),1,0)</f>
        <v/>
      </c>
    </row>
    <row r="786">
      <c r="A786" s="1" t="n"/>
      <c r="B786" s="21" t="n"/>
      <c r="C786" s="22" t="n"/>
      <c r="D786" s="23" t="n"/>
      <c r="E786" s="24" t="n"/>
      <c r="F786" s="25" t="n"/>
      <c r="G786" s="25" t="n"/>
      <c r="H786" s="24" t="n"/>
      <c r="I786" s="25" t="n"/>
      <c r="J786" s="17">
        <f>IF(AND(C786="",D786="",G786=""),"",IF(NOT(ISNUMBER(B786)),"Needs a date",IF(AND(D786&lt;&gt;"",NOT(ISNUMBER(D786))),"Amount not a number",IF(N(D786)&lt;0,"Amount below zero",IF(AND(N(D786)=0,G786=""),"Needs an amount or goods",IF(C786="","",IF(COUNTIF(Donors!$B$6:$B$305,C786)=0,"Not on Donors","")))))))</f>
        <v/>
      </c>
      <c r="K786" s="1">
        <f>IF(ISNUMBER(B786),YEAR(B786),"")</f>
        <v/>
      </c>
      <c r="L786">
        <f>IF(ISNUMBER(B786),YEAR(B786)*100+MONTH(B786),"")</f>
        <v/>
      </c>
      <c r="M786">
        <f>IF(ISNUMBER(B786),INT(B786),0)</f>
        <v/>
      </c>
      <c r="N786">
        <f>IF(OR(C786="",F786="",Q786=0),0,IF(COUNTIFS(C$6:C786,C786,F$6:F786,F786,Q$6:Q786,1)=1,1,0))</f>
        <v/>
      </c>
      <c r="O786">
        <f>IF(OR(C786="",Q786=0,H786&lt;&gt;""),"",M786*10000+ROW())</f>
        <v/>
      </c>
      <c r="P786">
        <f>IF(OR(C786="",Q786=0),"",IF(AND(C786=Statement!$C$4,K786=Statement!$C$5),M786*10000+ROW(),""))</f>
        <v/>
      </c>
      <c r="Q786">
        <f>IF(AND(ISNUMBER(B786),OR(N(D786)&gt;0,G786&lt;&gt;"")),1,0)</f>
        <v/>
      </c>
    </row>
    <row r="787">
      <c r="A787" s="1" t="n"/>
      <c r="B787" s="21" t="n"/>
      <c r="C787" s="22" t="n"/>
      <c r="D787" s="23" t="n"/>
      <c r="E787" s="24" t="n"/>
      <c r="F787" s="25" t="n"/>
      <c r="G787" s="25" t="n"/>
      <c r="H787" s="24" t="n"/>
      <c r="I787" s="25" t="n"/>
      <c r="J787" s="17">
        <f>IF(AND(C787="",D787="",G787=""),"",IF(NOT(ISNUMBER(B787)),"Needs a date",IF(AND(D787&lt;&gt;"",NOT(ISNUMBER(D787))),"Amount not a number",IF(N(D787)&lt;0,"Amount below zero",IF(AND(N(D787)=0,G787=""),"Needs an amount or goods",IF(C787="","",IF(COUNTIF(Donors!$B$6:$B$305,C787)=0,"Not on Donors","")))))))</f>
        <v/>
      </c>
      <c r="K787" s="1">
        <f>IF(ISNUMBER(B787),YEAR(B787),"")</f>
        <v/>
      </c>
      <c r="L787">
        <f>IF(ISNUMBER(B787),YEAR(B787)*100+MONTH(B787),"")</f>
        <v/>
      </c>
      <c r="M787">
        <f>IF(ISNUMBER(B787),INT(B787),0)</f>
        <v/>
      </c>
      <c r="N787">
        <f>IF(OR(C787="",F787="",Q787=0),0,IF(COUNTIFS(C$6:C787,C787,F$6:F787,F787,Q$6:Q787,1)=1,1,0))</f>
        <v/>
      </c>
      <c r="O787">
        <f>IF(OR(C787="",Q787=0,H787&lt;&gt;""),"",M787*10000+ROW())</f>
        <v/>
      </c>
      <c r="P787">
        <f>IF(OR(C787="",Q787=0),"",IF(AND(C787=Statement!$C$4,K787=Statement!$C$5),M787*10000+ROW(),""))</f>
        <v/>
      </c>
      <c r="Q787">
        <f>IF(AND(ISNUMBER(B787),OR(N(D787)&gt;0,G787&lt;&gt;"")),1,0)</f>
        <v/>
      </c>
    </row>
    <row r="788">
      <c r="A788" s="1" t="n"/>
      <c r="B788" s="21" t="n"/>
      <c r="C788" s="22" t="n"/>
      <c r="D788" s="23" t="n"/>
      <c r="E788" s="24" t="n"/>
      <c r="F788" s="25" t="n"/>
      <c r="G788" s="25" t="n"/>
      <c r="H788" s="24" t="n"/>
      <c r="I788" s="25" t="n"/>
      <c r="J788" s="17">
        <f>IF(AND(C788="",D788="",G788=""),"",IF(NOT(ISNUMBER(B788)),"Needs a date",IF(AND(D788&lt;&gt;"",NOT(ISNUMBER(D788))),"Amount not a number",IF(N(D788)&lt;0,"Amount below zero",IF(AND(N(D788)=0,G788=""),"Needs an amount or goods",IF(C788="","",IF(COUNTIF(Donors!$B$6:$B$305,C788)=0,"Not on Donors","")))))))</f>
        <v/>
      </c>
      <c r="K788" s="1">
        <f>IF(ISNUMBER(B788),YEAR(B788),"")</f>
        <v/>
      </c>
      <c r="L788">
        <f>IF(ISNUMBER(B788),YEAR(B788)*100+MONTH(B788),"")</f>
        <v/>
      </c>
      <c r="M788">
        <f>IF(ISNUMBER(B788),INT(B788),0)</f>
        <v/>
      </c>
      <c r="N788">
        <f>IF(OR(C788="",F788="",Q788=0),0,IF(COUNTIFS(C$6:C788,C788,F$6:F788,F788,Q$6:Q788,1)=1,1,0))</f>
        <v/>
      </c>
      <c r="O788">
        <f>IF(OR(C788="",Q788=0,H788&lt;&gt;""),"",M788*10000+ROW())</f>
        <v/>
      </c>
      <c r="P788">
        <f>IF(OR(C788="",Q788=0),"",IF(AND(C788=Statement!$C$4,K788=Statement!$C$5),M788*10000+ROW(),""))</f>
        <v/>
      </c>
      <c r="Q788">
        <f>IF(AND(ISNUMBER(B788),OR(N(D788)&gt;0,G788&lt;&gt;"")),1,0)</f>
        <v/>
      </c>
    </row>
    <row r="789">
      <c r="A789" s="1" t="n"/>
      <c r="B789" s="21" t="n"/>
      <c r="C789" s="22" t="n"/>
      <c r="D789" s="23" t="n"/>
      <c r="E789" s="24" t="n"/>
      <c r="F789" s="25" t="n"/>
      <c r="G789" s="25" t="n"/>
      <c r="H789" s="24" t="n"/>
      <c r="I789" s="25" t="n"/>
      <c r="J789" s="17">
        <f>IF(AND(C789="",D789="",G789=""),"",IF(NOT(ISNUMBER(B789)),"Needs a date",IF(AND(D789&lt;&gt;"",NOT(ISNUMBER(D789))),"Amount not a number",IF(N(D789)&lt;0,"Amount below zero",IF(AND(N(D789)=0,G789=""),"Needs an amount or goods",IF(C789="","",IF(COUNTIF(Donors!$B$6:$B$305,C789)=0,"Not on Donors","")))))))</f>
        <v/>
      </c>
      <c r="K789" s="1">
        <f>IF(ISNUMBER(B789),YEAR(B789),"")</f>
        <v/>
      </c>
      <c r="L789">
        <f>IF(ISNUMBER(B789),YEAR(B789)*100+MONTH(B789),"")</f>
        <v/>
      </c>
      <c r="M789">
        <f>IF(ISNUMBER(B789),INT(B789),0)</f>
        <v/>
      </c>
      <c r="N789">
        <f>IF(OR(C789="",F789="",Q789=0),0,IF(COUNTIFS(C$6:C789,C789,F$6:F789,F789,Q$6:Q789,1)=1,1,0))</f>
        <v/>
      </c>
      <c r="O789">
        <f>IF(OR(C789="",Q789=0,H789&lt;&gt;""),"",M789*10000+ROW())</f>
        <v/>
      </c>
      <c r="P789">
        <f>IF(OR(C789="",Q789=0),"",IF(AND(C789=Statement!$C$4,K789=Statement!$C$5),M789*10000+ROW(),""))</f>
        <v/>
      </c>
      <c r="Q789">
        <f>IF(AND(ISNUMBER(B789),OR(N(D789)&gt;0,G789&lt;&gt;"")),1,0)</f>
        <v/>
      </c>
    </row>
    <row r="790">
      <c r="A790" s="1" t="n"/>
      <c r="B790" s="21" t="n"/>
      <c r="C790" s="22" t="n"/>
      <c r="D790" s="23" t="n"/>
      <c r="E790" s="24" t="n"/>
      <c r="F790" s="25" t="n"/>
      <c r="G790" s="25" t="n"/>
      <c r="H790" s="24" t="n"/>
      <c r="I790" s="25" t="n"/>
      <c r="J790" s="17">
        <f>IF(AND(C790="",D790="",G790=""),"",IF(NOT(ISNUMBER(B790)),"Needs a date",IF(AND(D790&lt;&gt;"",NOT(ISNUMBER(D790))),"Amount not a number",IF(N(D790)&lt;0,"Amount below zero",IF(AND(N(D790)=0,G790=""),"Needs an amount or goods",IF(C790="","",IF(COUNTIF(Donors!$B$6:$B$305,C790)=0,"Not on Donors","")))))))</f>
        <v/>
      </c>
      <c r="K790" s="1">
        <f>IF(ISNUMBER(B790),YEAR(B790),"")</f>
        <v/>
      </c>
      <c r="L790">
        <f>IF(ISNUMBER(B790),YEAR(B790)*100+MONTH(B790),"")</f>
        <v/>
      </c>
      <c r="M790">
        <f>IF(ISNUMBER(B790),INT(B790),0)</f>
        <v/>
      </c>
      <c r="N790">
        <f>IF(OR(C790="",F790="",Q790=0),0,IF(COUNTIFS(C$6:C790,C790,F$6:F790,F790,Q$6:Q790,1)=1,1,0))</f>
        <v/>
      </c>
      <c r="O790">
        <f>IF(OR(C790="",Q790=0,H790&lt;&gt;""),"",M790*10000+ROW())</f>
        <v/>
      </c>
      <c r="P790">
        <f>IF(OR(C790="",Q790=0),"",IF(AND(C790=Statement!$C$4,K790=Statement!$C$5),M790*10000+ROW(),""))</f>
        <v/>
      </c>
      <c r="Q790">
        <f>IF(AND(ISNUMBER(B790),OR(N(D790)&gt;0,G790&lt;&gt;"")),1,0)</f>
        <v/>
      </c>
    </row>
    <row r="791">
      <c r="A791" s="1" t="n"/>
      <c r="B791" s="21" t="n"/>
      <c r="C791" s="22" t="n"/>
      <c r="D791" s="23" t="n"/>
      <c r="E791" s="24" t="n"/>
      <c r="F791" s="25" t="n"/>
      <c r="G791" s="25" t="n"/>
      <c r="H791" s="24" t="n"/>
      <c r="I791" s="25" t="n"/>
      <c r="J791" s="17">
        <f>IF(AND(C791="",D791="",G791=""),"",IF(NOT(ISNUMBER(B791)),"Needs a date",IF(AND(D791&lt;&gt;"",NOT(ISNUMBER(D791))),"Amount not a number",IF(N(D791)&lt;0,"Amount below zero",IF(AND(N(D791)=0,G791=""),"Needs an amount or goods",IF(C791="","",IF(COUNTIF(Donors!$B$6:$B$305,C791)=0,"Not on Donors","")))))))</f>
        <v/>
      </c>
      <c r="K791" s="1">
        <f>IF(ISNUMBER(B791),YEAR(B791),"")</f>
        <v/>
      </c>
      <c r="L791">
        <f>IF(ISNUMBER(B791),YEAR(B791)*100+MONTH(B791),"")</f>
        <v/>
      </c>
      <c r="M791">
        <f>IF(ISNUMBER(B791),INT(B791),0)</f>
        <v/>
      </c>
      <c r="N791">
        <f>IF(OR(C791="",F791="",Q791=0),0,IF(COUNTIFS(C$6:C791,C791,F$6:F791,F791,Q$6:Q791,1)=1,1,0))</f>
        <v/>
      </c>
      <c r="O791">
        <f>IF(OR(C791="",Q791=0,H791&lt;&gt;""),"",M791*10000+ROW())</f>
        <v/>
      </c>
      <c r="P791">
        <f>IF(OR(C791="",Q791=0),"",IF(AND(C791=Statement!$C$4,K791=Statement!$C$5),M791*10000+ROW(),""))</f>
        <v/>
      </c>
      <c r="Q791">
        <f>IF(AND(ISNUMBER(B791),OR(N(D791)&gt;0,G791&lt;&gt;"")),1,0)</f>
        <v/>
      </c>
    </row>
    <row r="792">
      <c r="A792" s="1" t="n"/>
      <c r="B792" s="21" t="n"/>
      <c r="C792" s="22" t="n"/>
      <c r="D792" s="23" t="n"/>
      <c r="E792" s="24" t="n"/>
      <c r="F792" s="25" t="n"/>
      <c r="G792" s="25" t="n"/>
      <c r="H792" s="24" t="n"/>
      <c r="I792" s="25" t="n"/>
      <c r="J792" s="17">
        <f>IF(AND(C792="",D792="",G792=""),"",IF(NOT(ISNUMBER(B792)),"Needs a date",IF(AND(D792&lt;&gt;"",NOT(ISNUMBER(D792))),"Amount not a number",IF(N(D792)&lt;0,"Amount below zero",IF(AND(N(D792)=0,G792=""),"Needs an amount or goods",IF(C792="","",IF(COUNTIF(Donors!$B$6:$B$305,C792)=0,"Not on Donors","")))))))</f>
        <v/>
      </c>
      <c r="K792" s="1">
        <f>IF(ISNUMBER(B792),YEAR(B792),"")</f>
        <v/>
      </c>
      <c r="L792">
        <f>IF(ISNUMBER(B792),YEAR(B792)*100+MONTH(B792),"")</f>
        <v/>
      </c>
      <c r="M792">
        <f>IF(ISNUMBER(B792),INT(B792),0)</f>
        <v/>
      </c>
      <c r="N792">
        <f>IF(OR(C792="",F792="",Q792=0),0,IF(COUNTIFS(C$6:C792,C792,F$6:F792,F792,Q$6:Q792,1)=1,1,0))</f>
        <v/>
      </c>
      <c r="O792">
        <f>IF(OR(C792="",Q792=0,H792&lt;&gt;""),"",M792*10000+ROW())</f>
        <v/>
      </c>
      <c r="P792">
        <f>IF(OR(C792="",Q792=0),"",IF(AND(C792=Statement!$C$4,K792=Statement!$C$5),M792*10000+ROW(),""))</f>
        <v/>
      </c>
      <c r="Q792">
        <f>IF(AND(ISNUMBER(B792),OR(N(D792)&gt;0,G792&lt;&gt;"")),1,0)</f>
        <v/>
      </c>
    </row>
    <row r="793">
      <c r="A793" s="1" t="n"/>
      <c r="B793" s="21" t="n"/>
      <c r="C793" s="22" t="n"/>
      <c r="D793" s="23" t="n"/>
      <c r="E793" s="24" t="n"/>
      <c r="F793" s="25" t="n"/>
      <c r="G793" s="25" t="n"/>
      <c r="H793" s="24" t="n"/>
      <c r="I793" s="25" t="n"/>
      <c r="J793" s="17">
        <f>IF(AND(C793="",D793="",G793=""),"",IF(NOT(ISNUMBER(B793)),"Needs a date",IF(AND(D793&lt;&gt;"",NOT(ISNUMBER(D793))),"Amount not a number",IF(N(D793)&lt;0,"Amount below zero",IF(AND(N(D793)=0,G793=""),"Needs an amount or goods",IF(C793="","",IF(COUNTIF(Donors!$B$6:$B$305,C793)=0,"Not on Donors","")))))))</f>
        <v/>
      </c>
      <c r="K793" s="1">
        <f>IF(ISNUMBER(B793),YEAR(B793),"")</f>
        <v/>
      </c>
      <c r="L793">
        <f>IF(ISNUMBER(B793),YEAR(B793)*100+MONTH(B793),"")</f>
        <v/>
      </c>
      <c r="M793">
        <f>IF(ISNUMBER(B793),INT(B793),0)</f>
        <v/>
      </c>
      <c r="N793">
        <f>IF(OR(C793="",F793="",Q793=0),0,IF(COUNTIFS(C$6:C793,C793,F$6:F793,F793,Q$6:Q793,1)=1,1,0))</f>
        <v/>
      </c>
      <c r="O793">
        <f>IF(OR(C793="",Q793=0,H793&lt;&gt;""),"",M793*10000+ROW())</f>
        <v/>
      </c>
      <c r="P793">
        <f>IF(OR(C793="",Q793=0),"",IF(AND(C793=Statement!$C$4,K793=Statement!$C$5),M793*10000+ROW(),""))</f>
        <v/>
      </c>
      <c r="Q793">
        <f>IF(AND(ISNUMBER(B793),OR(N(D793)&gt;0,G793&lt;&gt;"")),1,0)</f>
        <v/>
      </c>
    </row>
    <row r="794">
      <c r="A794" s="1" t="n"/>
      <c r="B794" s="21" t="n"/>
      <c r="C794" s="22" t="n"/>
      <c r="D794" s="23" t="n"/>
      <c r="E794" s="24" t="n"/>
      <c r="F794" s="25" t="n"/>
      <c r="G794" s="25" t="n"/>
      <c r="H794" s="24" t="n"/>
      <c r="I794" s="25" t="n"/>
      <c r="J794" s="17">
        <f>IF(AND(C794="",D794="",G794=""),"",IF(NOT(ISNUMBER(B794)),"Needs a date",IF(AND(D794&lt;&gt;"",NOT(ISNUMBER(D794))),"Amount not a number",IF(N(D794)&lt;0,"Amount below zero",IF(AND(N(D794)=0,G794=""),"Needs an amount or goods",IF(C794="","",IF(COUNTIF(Donors!$B$6:$B$305,C794)=0,"Not on Donors","")))))))</f>
        <v/>
      </c>
      <c r="K794" s="1">
        <f>IF(ISNUMBER(B794),YEAR(B794),"")</f>
        <v/>
      </c>
      <c r="L794">
        <f>IF(ISNUMBER(B794),YEAR(B794)*100+MONTH(B794),"")</f>
        <v/>
      </c>
      <c r="M794">
        <f>IF(ISNUMBER(B794),INT(B794),0)</f>
        <v/>
      </c>
      <c r="N794">
        <f>IF(OR(C794="",F794="",Q794=0),0,IF(COUNTIFS(C$6:C794,C794,F$6:F794,F794,Q$6:Q794,1)=1,1,0))</f>
        <v/>
      </c>
      <c r="O794">
        <f>IF(OR(C794="",Q794=0,H794&lt;&gt;""),"",M794*10000+ROW())</f>
        <v/>
      </c>
      <c r="P794">
        <f>IF(OR(C794="",Q794=0),"",IF(AND(C794=Statement!$C$4,K794=Statement!$C$5),M794*10000+ROW(),""))</f>
        <v/>
      </c>
      <c r="Q794">
        <f>IF(AND(ISNUMBER(B794),OR(N(D794)&gt;0,G794&lt;&gt;"")),1,0)</f>
        <v/>
      </c>
    </row>
    <row r="795">
      <c r="A795" s="1" t="n"/>
      <c r="B795" s="21" t="n"/>
      <c r="C795" s="22" t="n"/>
      <c r="D795" s="23" t="n"/>
      <c r="E795" s="24" t="n"/>
      <c r="F795" s="25" t="n"/>
      <c r="G795" s="25" t="n"/>
      <c r="H795" s="24" t="n"/>
      <c r="I795" s="25" t="n"/>
      <c r="J795" s="17">
        <f>IF(AND(C795="",D795="",G795=""),"",IF(NOT(ISNUMBER(B795)),"Needs a date",IF(AND(D795&lt;&gt;"",NOT(ISNUMBER(D795))),"Amount not a number",IF(N(D795)&lt;0,"Amount below zero",IF(AND(N(D795)=0,G795=""),"Needs an amount or goods",IF(C795="","",IF(COUNTIF(Donors!$B$6:$B$305,C795)=0,"Not on Donors","")))))))</f>
        <v/>
      </c>
      <c r="K795" s="1">
        <f>IF(ISNUMBER(B795),YEAR(B795),"")</f>
        <v/>
      </c>
      <c r="L795">
        <f>IF(ISNUMBER(B795),YEAR(B795)*100+MONTH(B795),"")</f>
        <v/>
      </c>
      <c r="M795">
        <f>IF(ISNUMBER(B795),INT(B795),0)</f>
        <v/>
      </c>
      <c r="N795">
        <f>IF(OR(C795="",F795="",Q795=0),0,IF(COUNTIFS(C$6:C795,C795,F$6:F795,F795,Q$6:Q795,1)=1,1,0))</f>
        <v/>
      </c>
      <c r="O795">
        <f>IF(OR(C795="",Q795=0,H795&lt;&gt;""),"",M795*10000+ROW())</f>
        <v/>
      </c>
      <c r="P795">
        <f>IF(OR(C795="",Q795=0),"",IF(AND(C795=Statement!$C$4,K795=Statement!$C$5),M795*10000+ROW(),""))</f>
        <v/>
      </c>
      <c r="Q795">
        <f>IF(AND(ISNUMBER(B795),OR(N(D795)&gt;0,G795&lt;&gt;"")),1,0)</f>
        <v/>
      </c>
    </row>
    <row r="796">
      <c r="A796" s="1" t="n"/>
      <c r="B796" s="21" t="n"/>
      <c r="C796" s="22" t="n"/>
      <c r="D796" s="23" t="n"/>
      <c r="E796" s="24" t="n"/>
      <c r="F796" s="25" t="n"/>
      <c r="G796" s="25" t="n"/>
      <c r="H796" s="24" t="n"/>
      <c r="I796" s="25" t="n"/>
      <c r="J796" s="17">
        <f>IF(AND(C796="",D796="",G796=""),"",IF(NOT(ISNUMBER(B796)),"Needs a date",IF(AND(D796&lt;&gt;"",NOT(ISNUMBER(D796))),"Amount not a number",IF(N(D796)&lt;0,"Amount below zero",IF(AND(N(D796)=0,G796=""),"Needs an amount or goods",IF(C796="","",IF(COUNTIF(Donors!$B$6:$B$305,C796)=0,"Not on Donors","")))))))</f>
        <v/>
      </c>
      <c r="K796" s="1">
        <f>IF(ISNUMBER(B796),YEAR(B796),"")</f>
        <v/>
      </c>
      <c r="L796">
        <f>IF(ISNUMBER(B796),YEAR(B796)*100+MONTH(B796),"")</f>
        <v/>
      </c>
      <c r="M796">
        <f>IF(ISNUMBER(B796),INT(B796),0)</f>
        <v/>
      </c>
      <c r="N796">
        <f>IF(OR(C796="",F796="",Q796=0),0,IF(COUNTIFS(C$6:C796,C796,F$6:F796,F796,Q$6:Q796,1)=1,1,0))</f>
        <v/>
      </c>
      <c r="O796">
        <f>IF(OR(C796="",Q796=0,H796&lt;&gt;""),"",M796*10000+ROW())</f>
        <v/>
      </c>
      <c r="P796">
        <f>IF(OR(C796="",Q796=0),"",IF(AND(C796=Statement!$C$4,K796=Statement!$C$5),M796*10000+ROW(),""))</f>
        <v/>
      </c>
      <c r="Q796">
        <f>IF(AND(ISNUMBER(B796),OR(N(D796)&gt;0,G796&lt;&gt;"")),1,0)</f>
        <v/>
      </c>
    </row>
    <row r="797">
      <c r="A797" s="1" t="n"/>
      <c r="B797" s="21" t="n"/>
      <c r="C797" s="22" t="n"/>
      <c r="D797" s="23" t="n"/>
      <c r="E797" s="24" t="n"/>
      <c r="F797" s="25" t="n"/>
      <c r="G797" s="25" t="n"/>
      <c r="H797" s="24" t="n"/>
      <c r="I797" s="25" t="n"/>
      <c r="J797" s="17">
        <f>IF(AND(C797="",D797="",G797=""),"",IF(NOT(ISNUMBER(B797)),"Needs a date",IF(AND(D797&lt;&gt;"",NOT(ISNUMBER(D797))),"Amount not a number",IF(N(D797)&lt;0,"Amount below zero",IF(AND(N(D797)=0,G797=""),"Needs an amount or goods",IF(C797="","",IF(COUNTIF(Donors!$B$6:$B$305,C797)=0,"Not on Donors","")))))))</f>
        <v/>
      </c>
      <c r="K797" s="1">
        <f>IF(ISNUMBER(B797),YEAR(B797),"")</f>
        <v/>
      </c>
      <c r="L797">
        <f>IF(ISNUMBER(B797),YEAR(B797)*100+MONTH(B797),"")</f>
        <v/>
      </c>
      <c r="M797">
        <f>IF(ISNUMBER(B797),INT(B797),0)</f>
        <v/>
      </c>
      <c r="N797">
        <f>IF(OR(C797="",F797="",Q797=0),0,IF(COUNTIFS(C$6:C797,C797,F$6:F797,F797,Q$6:Q797,1)=1,1,0))</f>
        <v/>
      </c>
      <c r="O797">
        <f>IF(OR(C797="",Q797=0,H797&lt;&gt;""),"",M797*10000+ROW())</f>
        <v/>
      </c>
      <c r="P797">
        <f>IF(OR(C797="",Q797=0),"",IF(AND(C797=Statement!$C$4,K797=Statement!$C$5),M797*10000+ROW(),""))</f>
        <v/>
      </c>
      <c r="Q797">
        <f>IF(AND(ISNUMBER(B797),OR(N(D797)&gt;0,G797&lt;&gt;"")),1,0)</f>
        <v/>
      </c>
    </row>
    <row r="798">
      <c r="A798" s="1" t="n"/>
      <c r="B798" s="21" t="n"/>
      <c r="C798" s="22" t="n"/>
      <c r="D798" s="23" t="n"/>
      <c r="E798" s="24" t="n"/>
      <c r="F798" s="25" t="n"/>
      <c r="G798" s="25" t="n"/>
      <c r="H798" s="24" t="n"/>
      <c r="I798" s="25" t="n"/>
      <c r="J798" s="17">
        <f>IF(AND(C798="",D798="",G798=""),"",IF(NOT(ISNUMBER(B798)),"Needs a date",IF(AND(D798&lt;&gt;"",NOT(ISNUMBER(D798))),"Amount not a number",IF(N(D798)&lt;0,"Amount below zero",IF(AND(N(D798)=0,G798=""),"Needs an amount or goods",IF(C798="","",IF(COUNTIF(Donors!$B$6:$B$305,C798)=0,"Not on Donors","")))))))</f>
        <v/>
      </c>
      <c r="K798" s="1">
        <f>IF(ISNUMBER(B798),YEAR(B798),"")</f>
        <v/>
      </c>
      <c r="L798">
        <f>IF(ISNUMBER(B798),YEAR(B798)*100+MONTH(B798),"")</f>
        <v/>
      </c>
      <c r="M798">
        <f>IF(ISNUMBER(B798),INT(B798),0)</f>
        <v/>
      </c>
      <c r="N798">
        <f>IF(OR(C798="",F798="",Q798=0),0,IF(COUNTIFS(C$6:C798,C798,F$6:F798,F798,Q$6:Q798,1)=1,1,0))</f>
        <v/>
      </c>
      <c r="O798">
        <f>IF(OR(C798="",Q798=0,H798&lt;&gt;""),"",M798*10000+ROW())</f>
        <v/>
      </c>
      <c r="P798">
        <f>IF(OR(C798="",Q798=0),"",IF(AND(C798=Statement!$C$4,K798=Statement!$C$5),M798*10000+ROW(),""))</f>
        <v/>
      </c>
      <c r="Q798">
        <f>IF(AND(ISNUMBER(B798),OR(N(D798)&gt;0,G798&lt;&gt;"")),1,0)</f>
        <v/>
      </c>
    </row>
    <row r="799">
      <c r="A799" s="1" t="n"/>
      <c r="B799" s="21" t="n"/>
      <c r="C799" s="22" t="n"/>
      <c r="D799" s="23" t="n"/>
      <c r="E799" s="24" t="n"/>
      <c r="F799" s="25" t="n"/>
      <c r="G799" s="25" t="n"/>
      <c r="H799" s="24" t="n"/>
      <c r="I799" s="25" t="n"/>
      <c r="J799" s="17">
        <f>IF(AND(C799="",D799="",G799=""),"",IF(NOT(ISNUMBER(B799)),"Needs a date",IF(AND(D799&lt;&gt;"",NOT(ISNUMBER(D799))),"Amount not a number",IF(N(D799)&lt;0,"Amount below zero",IF(AND(N(D799)=0,G799=""),"Needs an amount or goods",IF(C799="","",IF(COUNTIF(Donors!$B$6:$B$305,C799)=0,"Not on Donors","")))))))</f>
        <v/>
      </c>
      <c r="K799" s="1">
        <f>IF(ISNUMBER(B799),YEAR(B799),"")</f>
        <v/>
      </c>
      <c r="L799">
        <f>IF(ISNUMBER(B799),YEAR(B799)*100+MONTH(B799),"")</f>
        <v/>
      </c>
      <c r="M799">
        <f>IF(ISNUMBER(B799),INT(B799),0)</f>
        <v/>
      </c>
      <c r="N799">
        <f>IF(OR(C799="",F799="",Q799=0),0,IF(COUNTIFS(C$6:C799,C799,F$6:F799,F799,Q$6:Q799,1)=1,1,0))</f>
        <v/>
      </c>
      <c r="O799">
        <f>IF(OR(C799="",Q799=0,H799&lt;&gt;""),"",M799*10000+ROW())</f>
        <v/>
      </c>
      <c r="P799">
        <f>IF(OR(C799="",Q799=0),"",IF(AND(C799=Statement!$C$4,K799=Statement!$C$5),M799*10000+ROW(),""))</f>
        <v/>
      </c>
      <c r="Q799">
        <f>IF(AND(ISNUMBER(B799),OR(N(D799)&gt;0,G799&lt;&gt;"")),1,0)</f>
        <v/>
      </c>
    </row>
    <row r="800">
      <c r="A800" s="1" t="n"/>
      <c r="B800" s="21" t="n"/>
      <c r="C800" s="22" t="n"/>
      <c r="D800" s="23" t="n"/>
      <c r="E800" s="24" t="n"/>
      <c r="F800" s="25" t="n"/>
      <c r="G800" s="25" t="n"/>
      <c r="H800" s="24" t="n"/>
      <c r="I800" s="25" t="n"/>
      <c r="J800" s="17">
        <f>IF(AND(C800="",D800="",G800=""),"",IF(NOT(ISNUMBER(B800)),"Needs a date",IF(AND(D800&lt;&gt;"",NOT(ISNUMBER(D800))),"Amount not a number",IF(N(D800)&lt;0,"Amount below zero",IF(AND(N(D800)=0,G800=""),"Needs an amount or goods",IF(C800="","",IF(COUNTIF(Donors!$B$6:$B$305,C800)=0,"Not on Donors","")))))))</f>
        <v/>
      </c>
      <c r="K800" s="1">
        <f>IF(ISNUMBER(B800),YEAR(B800),"")</f>
        <v/>
      </c>
      <c r="L800">
        <f>IF(ISNUMBER(B800),YEAR(B800)*100+MONTH(B800),"")</f>
        <v/>
      </c>
      <c r="M800">
        <f>IF(ISNUMBER(B800),INT(B800),0)</f>
        <v/>
      </c>
      <c r="N800">
        <f>IF(OR(C800="",F800="",Q800=0),0,IF(COUNTIFS(C$6:C800,C800,F$6:F800,F800,Q$6:Q800,1)=1,1,0))</f>
        <v/>
      </c>
      <c r="O800">
        <f>IF(OR(C800="",Q800=0,H800&lt;&gt;""),"",M800*10000+ROW())</f>
        <v/>
      </c>
      <c r="P800">
        <f>IF(OR(C800="",Q800=0),"",IF(AND(C800=Statement!$C$4,K800=Statement!$C$5),M800*10000+ROW(),""))</f>
        <v/>
      </c>
      <c r="Q800">
        <f>IF(AND(ISNUMBER(B800),OR(N(D800)&gt;0,G800&lt;&gt;"")),1,0)</f>
        <v/>
      </c>
    </row>
    <row r="801">
      <c r="A801" s="1" t="n"/>
      <c r="B801" s="21" t="n"/>
      <c r="C801" s="22" t="n"/>
      <c r="D801" s="23" t="n"/>
      <c r="E801" s="24" t="n"/>
      <c r="F801" s="25" t="n"/>
      <c r="G801" s="25" t="n"/>
      <c r="H801" s="24" t="n"/>
      <c r="I801" s="25" t="n"/>
      <c r="J801" s="17">
        <f>IF(AND(C801="",D801="",G801=""),"",IF(NOT(ISNUMBER(B801)),"Needs a date",IF(AND(D801&lt;&gt;"",NOT(ISNUMBER(D801))),"Amount not a number",IF(N(D801)&lt;0,"Amount below zero",IF(AND(N(D801)=0,G801=""),"Needs an amount or goods",IF(C801="","",IF(COUNTIF(Donors!$B$6:$B$305,C801)=0,"Not on Donors","")))))))</f>
        <v/>
      </c>
      <c r="K801" s="1">
        <f>IF(ISNUMBER(B801),YEAR(B801),"")</f>
        <v/>
      </c>
      <c r="L801">
        <f>IF(ISNUMBER(B801),YEAR(B801)*100+MONTH(B801),"")</f>
        <v/>
      </c>
      <c r="M801">
        <f>IF(ISNUMBER(B801),INT(B801),0)</f>
        <v/>
      </c>
      <c r="N801">
        <f>IF(OR(C801="",F801="",Q801=0),0,IF(COUNTIFS(C$6:C801,C801,F$6:F801,F801,Q$6:Q801,1)=1,1,0))</f>
        <v/>
      </c>
      <c r="O801">
        <f>IF(OR(C801="",Q801=0,H801&lt;&gt;""),"",M801*10000+ROW())</f>
        <v/>
      </c>
      <c r="P801">
        <f>IF(OR(C801="",Q801=0),"",IF(AND(C801=Statement!$C$4,K801=Statement!$C$5),M801*10000+ROW(),""))</f>
        <v/>
      </c>
      <c r="Q801">
        <f>IF(AND(ISNUMBER(B801),OR(N(D801)&gt;0,G801&lt;&gt;"")),1,0)</f>
        <v/>
      </c>
    </row>
    <row r="802">
      <c r="A802" s="1" t="n"/>
      <c r="B802" s="21" t="n"/>
      <c r="C802" s="22" t="n"/>
      <c r="D802" s="23" t="n"/>
      <c r="E802" s="24" t="n"/>
      <c r="F802" s="25" t="n"/>
      <c r="G802" s="25" t="n"/>
      <c r="H802" s="24" t="n"/>
      <c r="I802" s="25" t="n"/>
      <c r="J802" s="17">
        <f>IF(AND(C802="",D802="",G802=""),"",IF(NOT(ISNUMBER(B802)),"Needs a date",IF(AND(D802&lt;&gt;"",NOT(ISNUMBER(D802))),"Amount not a number",IF(N(D802)&lt;0,"Amount below zero",IF(AND(N(D802)=0,G802=""),"Needs an amount or goods",IF(C802="","",IF(COUNTIF(Donors!$B$6:$B$305,C802)=0,"Not on Donors","")))))))</f>
        <v/>
      </c>
      <c r="K802" s="1">
        <f>IF(ISNUMBER(B802),YEAR(B802),"")</f>
        <v/>
      </c>
      <c r="L802">
        <f>IF(ISNUMBER(B802),YEAR(B802)*100+MONTH(B802),"")</f>
        <v/>
      </c>
      <c r="M802">
        <f>IF(ISNUMBER(B802),INT(B802),0)</f>
        <v/>
      </c>
      <c r="N802">
        <f>IF(OR(C802="",F802="",Q802=0),0,IF(COUNTIFS(C$6:C802,C802,F$6:F802,F802,Q$6:Q802,1)=1,1,0))</f>
        <v/>
      </c>
      <c r="O802">
        <f>IF(OR(C802="",Q802=0,H802&lt;&gt;""),"",M802*10000+ROW())</f>
        <v/>
      </c>
      <c r="P802">
        <f>IF(OR(C802="",Q802=0),"",IF(AND(C802=Statement!$C$4,K802=Statement!$C$5),M802*10000+ROW(),""))</f>
        <v/>
      </c>
      <c r="Q802">
        <f>IF(AND(ISNUMBER(B802),OR(N(D802)&gt;0,G802&lt;&gt;"")),1,0)</f>
        <v/>
      </c>
    </row>
    <row r="803">
      <c r="A803" s="1" t="n"/>
      <c r="B803" s="21" t="n"/>
      <c r="C803" s="22" t="n"/>
      <c r="D803" s="23" t="n"/>
      <c r="E803" s="24" t="n"/>
      <c r="F803" s="25" t="n"/>
      <c r="G803" s="25" t="n"/>
      <c r="H803" s="24" t="n"/>
      <c r="I803" s="25" t="n"/>
      <c r="J803" s="17">
        <f>IF(AND(C803="",D803="",G803=""),"",IF(NOT(ISNUMBER(B803)),"Needs a date",IF(AND(D803&lt;&gt;"",NOT(ISNUMBER(D803))),"Amount not a number",IF(N(D803)&lt;0,"Amount below zero",IF(AND(N(D803)=0,G803=""),"Needs an amount or goods",IF(C803="","",IF(COUNTIF(Donors!$B$6:$B$305,C803)=0,"Not on Donors","")))))))</f>
        <v/>
      </c>
      <c r="K803" s="1">
        <f>IF(ISNUMBER(B803),YEAR(B803),"")</f>
        <v/>
      </c>
      <c r="L803">
        <f>IF(ISNUMBER(B803),YEAR(B803)*100+MONTH(B803),"")</f>
        <v/>
      </c>
      <c r="M803">
        <f>IF(ISNUMBER(B803),INT(B803),0)</f>
        <v/>
      </c>
      <c r="N803">
        <f>IF(OR(C803="",F803="",Q803=0),0,IF(COUNTIFS(C$6:C803,C803,F$6:F803,F803,Q$6:Q803,1)=1,1,0))</f>
        <v/>
      </c>
      <c r="O803">
        <f>IF(OR(C803="",Q803=0,H803&lt;&gt;""),"",M803*10000+ROW())</f>
        <v/>
      </c>
      <c r="P803">
        <f>IF(OR(C803="",Q803=0),"",IF(AND(C803=Statement!$C$4,K803=Statement!$C$5),M803*10000+ROW(),""))</f>
        <v/>
      </c>
      <c r="Q803">
        <f>IF(AND(ISNUMBER(B803),OR(N(D803)&gt;0,G803&lt;&gt;"")),1,0)</f>
        <v/>
      </c>
    </row>
    <row r="804">
      <c r="A804" s="1" t="n"/>
      <c r="B804" s="21" t="n"/>
      <c r="C804" s="22" t="n"/>
      <c r="D804" s="23" t="n"/>
      <c r="E804" s="24" t="n"/>
      <c r="F804" s="25" t="n"/>
      <c r="G804" s="25" t="n"/>
      <c r="H804" s="24" t="n"/>
      <c r="I804" s="25" t="n"/>
      <c r="J804" s="17">
        <f>IF(AND(C804="",D804="",G804=""),"",IF(NOT(ISNUMBER(B804)),"Needs a date",IF(AND(D804&lt;&gt;"",NOT(ISNUMBER(D804))),"Amount not a number",IF(N(D804)&lt;0,"Amount below zero",IF(AND(N(D804)=0,G804=""),"Needs an amount or goods",IF(C804="","",IF(COUNTIF(Donors!$B$6:$B$305,C804)=0,"Not on Donors","")))))))</f>
        <v/>
      </c>
      <c r="K804" s="1">
        <f>IF(ISNUMBER(B804),YEAR(B804),"")</f>
        <v/>
      </c>
      <c r="L804">
        <f>IF(ISNUMBER(B804),YEAR(B804)*100+MONTH(B804),"")</f>
        <v/>
      </c>
      <c r="M804">
        <f>IF(ISNUMBER(B804),INT(B804),0)</f>
        <v/>
      </c>
      <c r="N804">
        <f>IF(OR(C804="",F804="",Q804=0),0,IF(COUNTIFS(C$6:C804,C804,F$6:F804,F804,Q$6:Q804,1)=1,1,0))</f>
        <v/>
      </c>
      <c r="O804">
        <f>IF(OR(C804="",Q804=0,H804&lt;&gt;""),"",M804*10000+ROW())</f>
        <v/>
      </c>
      <c r="P804">
        <f>IF(OR(C804="",Q804=0),"",IF(AND(C804=Statement!$C$4,K804=Statement!$C$5),M804*10000+ROW(),""))</f>
        <v/>
      </c>
      <c r="Q804">
        <f>IF(AND(ISNUMBER(B804),OR(N(D804)&gt;0,G804&lt;&gt;"")),1,0)</f>
        <v/>
      </c>
    </row>
    <row r="805">
      <c r="A805" s="1" t="n"/>
      <c r="B805" s="21" t="n"/>
      <c r="C805" s="22" t="n"/>
      <c r="D805" s="23" t="n"/>
      <c r="E805" s="24" t="n"/>
      <c r="F805" s="25" t="n"/>
      <c r="G805" s="25" t="n"/>
      <c r="H805" s="24" t="n"/>
      <c r="I805" s="25" t="n"/>
      <c r="J805" s="17">
        <f>IF(AND(C805="",D805="",G805=""),"",IF(NOT(ISNUMBER(B805)),"Needs a date",IF(AND(D805&lt;&gt;"",NOT(ISNUMBER(D805))),"Amount not a number",IF(N(D805)&lt;0,"Amount below zero",IF(AND(N(D805)=0,G805=""),"Needs an amount or goods",IF(C805="","",IF(COUNTIF(Donors!$B$6:$B$305,C805)=0,"Not on Donors","")))))))</f>
        <v/>
      </c>
      <c r="K805" s="1">
        <f>IF(ISNUMBER(B805),YEAR(B805),"")</f>
        <v/>
      </c>
      <c r="L805">
        <f>IF(ISNUMBER(B805),YEAR(B805)*100+MONTH(B805),"")</f>
        <v/>
      </c>
      <c r="M805">
        <f>IF(ISNUMBER(B805),INT(B805),0)</f>
        <v/>
      </c>
      <c r="N805">
        <f>IF(OR(C805="",F805="",Q805=0),0,IF(COUNTIFS(C$6:C805,C805,F$6:F805,F805,Q$6:Q805,1)=1,1,0))</f>
        <v/>
      </c>
      <c r="O805">
        <f>IF(OR(C805="",Q805=0,H805&lt;&gt;""),"",M805*10000+ROW())</f>
        <v/>
      </c>
      <c r="P805">
        <f>IF(OR(C805="",Q805=0),"",IF(AND(C805=Statement!$C$4,K805=Statement!$C$5),M805*10000+ROW(),""))</f>
        <v/>
      </c>
      <c r="Q805">
        <f>IF(AND(ISNUMBER(B805),OR(N(D805)&gt;0,G805&lt;&gt;"")),1,0)</f>
        <v/>
      </c>
    </row>
    <row r="806">
      <c r="A806" s="1" t="n"/>
      <c r="B806" s="21" t="n"/>
      <c r="C806" s="22" t="n"/>
      <c r="D806" s="23" t="n"/>
      <c r="E806" s="24" t="n"/>
      <c r="F806" s="25" t="n"/>
      <c r="G806" s="25" t="n"/>
      <c r="H806" s="24" t="n"/>
      <c r="I806" s="25" t="n"/>
      <c r="J806" s="17">
        <f>IF(AND(C806="",D806="",G806=""),"",IF(NOT(ISNUMBER(B806)),"Needs a date",IF(AND(D806&lt;&gt;"",NOT(ISNUMBER(D806))),"Amount not a number",IF(N(D806)&lt;0,"Amount below zero",IF(AND(N(D806)=0,G806=""),"Needs an amount or goods",IF(C806="","",IF(COUNTIF(Donors!$B$6:$B$305,C806)=0,"Not on Donors","")))))))</f>
        <v/>
      </c>
      <c r="K806" s="1">
        <f>IF(ISNUMBER(B806),YEAR(B806),"")</f>
        <v/>
      </c>
      <c r="L806">
        <f>IF(ISNUMBER(B806),YEAR(B806)*100+MONTH(B806),"")</f>
        <v/>
      </c>
      <c r="M806">
        <f>IF(ISNUMBER(B806),INT(B806),0)</f>
        <v/>
      </c>
      <c r="N806">
        <f>IF(OR(C806="",F806="",Q806=0),0,IF(COUNTIFS(C$6:C806,C806,F$6:F806,F806,Q$6:Q806,1)=1,1,0))</f>
        <v/>
      </c>
      <c r="O806">
        <f>IF(OR(C806="",Q806=0,H806&lt;&gt;""),"",M806*10000+ROW())</f>
        <v/>
      </c>
      <c r="P806">
        <f>IF(OR(C806="",Q806=0),"",IF(AND(C806=Statement!$C$4,K806=Statement!$C$5),M806*10000+ROW(),""))</f>
        <v/>
      </c>
      <c r="Q806">
        <f>IF(AND(ISNUMBER(B806),OR(N(D806)&gt;0,G806&lt;&gt;"")),1,0)</f>
        <v/>
      </c>
    </row>
    <row r="807">
      <c r="A807" s="1" t="n"/>
      <c r="B807" s="21" t="n"/>
      <c r="C807" s="22" t="n"/>
      <c r="D807" s="23" t="n"/>
      <c r="E807" s="24" t="n"/>
      <c r="F807" s="25" t="n"/>
      <c r="G807" s="25" t="n"/>
      <c r="H807" s="24" t="n"/>
      <c r="I807" s="25" t="n"/>
      <c r="J807" s="17">
        <f>IF(AND(C807="",D807="",G807=""),"",IF(NOT(ISNUMBER(B807)),"Needs a date",IF(AND(D807&lt;&gt;"",NOT(ISNUMBER(D807))),"Amount not a number",IF(N(D807)&lt;0,"Amount below zero",IF(AND(N(D807)=0,G807=""),"Needs an amount or goods",IF(C807="","",IF(COUNTIF(Donors!$B$6:$B$305,C807)=0,"Not on Donors","")))))))</f>
        <v/>
      </c>
      <c r="K807" s="1">
        <f>IF(ISNUMBER(B807),YEAR(B807),"")</f>
        <v/>
      </c>
      <c r="L807">
        <f>IF(ISNUMBER(B807),YEAR(B807)*100+MONTH(B807),"")</f>
        <v/>
      </c>
      <c r="M807">
        <f>IF(ISNUMBER(B807),INT(B807),0)</f>
        <v/>
      </c>
      <c r="N807">
        <f>IF(OR(C807="",F807="",Q807=0),0,IF(COUNTIFS(C$6:C807,C807,F$6:F807,F807,Q$6:Q807,1)=1,1,0))</f>
        <v/>
      </c>
      <c r="O807">
        <f>IF(OR(C807="",Q807=0,H807&lt;&gt;""),"",M807*10000+ROW())</f>
        <v/>
      </c>
      <c r="P807">
        <f>IF(OR(C807="",Q807=0),"",IF(AND(C807=Statement!$C$4,K807=Statement!$C$5),M807*10000+ROW(),""))</f>
        <v/>
      </c>
      <c r="Q807">
        <f>IF(AND(ISNUMBER(B807),OR(N(D807)&gt;0,G807&lt;&gt;"")),1,0)</f>
        <v/>
      </c>
    </row>
    <row r="808">
      <c r="A808" s="1" t="n"/>
      <c r="B808" s="21" t="n"/>
      <c r="C808" s="22" t="n"/>
      <c r="D808" s="23" t="n"/>
      <c r="E808" s="24" t="n"/>
      <c r="F808" s="25" t="n"/>
      <c r="G808" s="25" t="n"/>
      <c r="H808" s="24" t="n"/>
      <c r="I808" s="25" t="n"/>
      <c r="J808" s="17">
        <f>IF(AND(C808="",D808="",G808=""),"",IF(NOT(ISNUMBER(B808)),"Needs a date",IF(AND(D808&lt;&gt;"",NOT(ISNUMBER(D808))),"Amount not a number",IF(N(D808)&lt;0,"Amount below zero",IF(AND(N(D808)=0,G808=""),"Needs an amount or goods",IF(C808="","",IF(COUNTIF(Donors!$B$6:$B$305,C808)=0,"Not on Donors","")))))))</f>
        <v/>
      </c>
      <c r="K808" s="1">
        <f>IF(ISNUMBER(B808),YEAR(B808),"")</f>
        <v/>
      </c>
      <c r="L808">
        <f>IF(ISNUMBER(B808),YEAR(B808)*100+MONTH(B808),"")</f>
        <v/>
      </c>
      <c r="M808">
        <f>IF(ISNUMBER(B808),INT(B808),0)</f>
        <v/>
      </c>
      <c r="N808">
        <f>IF(OR(C808="",F808="",Q808=0),0,IF(COUNTIFS(C$6:C808,C808,F$6:F808,F808,Q$6:Q808,1)=1,1,0))</f>
        <v/>
      </c>
      <c r="O808">
        <f>IF(OR(C808="",Q808=0,H808&lt;&gt;""),"",M808*10000+ROW())</f>
        <v/>
      </c>
      <c r="P808">
        <f>IF(OR(C808="",Q808=0),"",IF(AND(C808=Statement!$C$4,K808=Statement!$C$5),M808*10000+ROW(),""))</f>
        <v/>
      </c>
      <c r="Q808">
        <f>IF(AND(ISNUMBER(B808),OR(N(D808)&gt;0,G808&lt;&gt;"")),1,0)</f>
        <v/>
      </c>
    </row>
    <row r="809">
      <c r="A809" s="1" t="n"/>
      <c r="B809" s="21" t="n"/>
      <c r="C809" s="22" t="n"/>
      <c r="D809" s="23" t="n"/>
      <c r="E809" s="24" t="n"/>
      <c r="F809" s="25" t="n"/>
      <c r="G809" s="25" t="n"/>
      <c r="H809" s="24" t="n"/>
      <c r="I809" s="25" t="n"/>
      <c r="J809" s="17">
        <f>IF(AND(C809="",D809="",G809=""),"",IF(NOT(ISNUMBER(B809)),"Needs a date",IF(AND(D809&lt;&gt;"",NOT(ISNUMBER(D809))),"Amount not a number",IF(N(D809)&lt;0,"Amount below zero",IF(AND(N(D809)=0,G809=""),"Needs an amount or goods",IF(C809="","",IF(COUNTIF(Donors!$B$6:$B$305,C809)=0,"Not on Donors","")))))))</f>
        <v/>
      </c>
      <c r="K809" s="1">
        <f>IF(ISNUMBER(B809),YEAR(B809),"")</f>
        <v/>
      </c>
      <c r="L809">
        <f>IF(ISNUMBER(B809),YEAR(B809)*100+MONTH(B809),"")</f>
        <v/>
      </c>
      <c r="M809">
        <f>IF(ISNUMBER(B809),INT(B809),0)</f>
        <v/>
      </c>
      <c r="N809">
        <f>IF(OR(C809="",F809="",Q809=0),0,IF(COUNTIFS(C$6:C809,C809,F$6:F809,F809,Q$6:Q809,1)=1,1,0))</f>
        <v/>
      </c>
      <c r="O809">
        <f>IF(OR(C809="",Q809=0,H809&lt;&gt;""),"",M809*10000+ROW())</f>
        <v/>
      </c>
      <c r="P809">
        <f>IF(OR(C809="",Q809=0),"",IF(AND(C809=Statement!$C$4,K809=Statement!$C$5),M809*10000+ROW(),""))</f>
        <v/>
      </c>
      <c r="Q809">
        <f>IF(AND(ISNUMBER(B809),OR(N(D809)&gt;0,G809&lt;&gt;"")),1,0)</f>
        <v/>
      </c>
    </row>
    <row r="810">
      <c r="A810" s="1" t="n"/>
      <c r="B810" s="21" t="n"/>
      <c r="C810" s="22" t="n"/>
      <c r="D810" s="23" t="n"/>
      <c r="E810" s="24" t="n"/>
      <c r="F810" s="25" t="n"/>
      <c r="G810" s="25" t="n"/>
      <c r="H810" s="24" t="n"/>
      <c r="I810" s="25" t="n"/>
      <c r="J810" s="17">
        <f>IF(AND(C810="",D810="",G810=""),"",IF(NOT(ISNUMBER(B810)),"Needs a date",IF(AND(D810&lt;&gt;"",NOT(ISNUMBER(D810))),"Amount not a number",IF(N(D810)&lt;0,"Amount below zero",IF(AND(N(D810)=0,G810=""),"Needs an amount or goods",IF(C810="","",IF(COUNTIF(Donors!$B$6:$B$305,C810)=0,"Not on Donors","")))))))</f>
        <v/>
      </c>
      <c r="K810" s="1">
        <f>IF(ISNUMBER(B810),YEAR(B810),"")</f>
        <v/>
      </c>
      <c r="L810">
        <f>IF(ISNUMBER(B810),YEAR(B810)*100+MONTH(B810),"")</f>
        <v/>
      </c>
      <c r="M810">
        <f>IF(ISNUMBER(B810),INT(B810),0)</f>
        <v/>
      </c>
      <c r="N810">
        <f>IF(OR(C810="",F810="",Q810=0),0,IF(COUNTIFS(C$6:C810,C810,F$6:F810,F810,Q$6:Q810,1)=1,1,0))</f>
        <v/>
      </c>
      <c r="O810">
        <f>IF(OR(C810="",Q810=0,H810&lt;&gt;""),"",M810*10000+ROW())</f>
        <v/>
      </c>
      <c r="P810">
        <f>IF(OR(C810="",Q810=0),"",IF(AND(C810=Statement!$C$4,K810=Statement!$C$5),M810*10000+ROW(),""))</f>
        <v/>
      </c>
      <c r="Q810">
        <f>IF(AND(ISNUMBER(B810),OR(N(D810)&gt;0,G810&lt;&gt;"")),1,0)</f>
        <v/>
      </c>
    </row>
    <row r="811">
      <c r="A811" s="1" t="n"/>
      <c r="B811" s="21" t="n"/>
      <c r="C811" s="22" t="n"/>
      <c r="D811" s="23" t="n"/>
      <c r="E811" s="24" t="n"/>
      <c r="F811" s="25" t="n"/>
      <c r="G811" s="25" t="n"/>
      <c r="H811" s="24" t="n"/>
      <c r="I811" s="25" t="n"/>
      <c r="J811" s="17">
        <f>IF(AND(C811="",D811="",G811=""),"",IF(NOT(ISNUMBER(B811)),"Needs a date",IF(AND(D811&lt;&gt;"",NOT(ISNUMBER(D811))),"Amount not a number",IF(N(D811)&lt;0,"Amount below zero",IF(AND(N(D811)=0,G811=""),"Needs an amount or goods",IF(C811="","",IF(COUNTIF(Donors!$B$6:$B$305,C811)=0,"Not on Donors","")))))))</f>
        <v/>
      </c>
      <c r="K811" s="1">
        <f>IF(ISNUMBER(B811),YEAR(B811),"")</f>
        <v/>
      </c>
      <c r="L811">
        <f>IF(ISNUMBER(B811),YEAR(B811)*100+MONTH(B811),"")</f>
        <v/>
      </c>
      <c r="M811">
        <f>IF(ISNUMBER(B811),INT(B811),0)</f>
        <v/>
      </c>
      <c r="N811">
        <f>IF(OR(C811="",F811="",Q811=0),0,IF(COUNTIFS(C$6:C811,C811,F$6:F811,F811,Q$6:Q811,1)=1,1,0))</f>
        <v/>
      </c>
      <c r="O811">
        <f>IF(OR(C811="",Q811=0,H811&lt;&gt;""),"",M811*10000+ROW())</f>
        <v/>
      </c>
      <c r="P811">
        <f>IF(OR(C811="",Q811=0),"",IF(AND(C811=Statement!$C$4,K811=Statement!$C$5),M811*10000+ROW(),""))</f>
        <v/>
      </c>
      <c r="Q811">
        <f>IF(AND(ISNUMBER(B811),OR(N(D811)&gt;0,G811&lt;&gt;"")),1,0)</f>
        <v/>
      </c>
    </row>
    <row r="812">
      <c r="A812" s="1" t="n"/>
      <c r="B812" s="21" t="n"/>
      <c r="C812" s="22" t="n"/>
      <c r="D812" s="23" t="n"/>
      <c r="E812" s="24" t="n"/>
      <c r="F812" s="25" t="n"/>
      <c r="G812" s="25" t="n"/>
      <c r="H812" s="24" t="n"/>
      <c r="I812" s="25" t="n"/>
      <c r="J812" s="17">
        <f>IF(AND(C812="",D812="",G812=""),"",IF(NOT(ISNUMBER(B812)),"Needs a date",IF(AND(D812&lt;&gt;"",NOT(ISNUMBER(D812))),"Amount not a number",IF(N(D812)&lt;0,"Amount below zero",IF(AND(N(D812)=0,G812=""),"Needs an amount or goods",IF(C812="","",IF(COUNTIF(Donors!$B$6:$B$305,C812)=0,"Not on Donors","")))))))</f>
        <v/>
      </c>
      <c r="K812" s="1">
        <f>IF(ISNUMBER(B812),YEAR(B812),"")</f>
        <v/>
      </c>
      <c r="L812">
        <f>IF(ISNUMBER(B812),YEAR(B812)*100+MONTH(B812),"")</f>
        <v/>
      </c>
      <c r="M812">
        <f>IF(ISNUMBER(B812),INT(B812),0)</f>
        <v/>
      </c>
      <c r="N812">
        <f>IF(OR(C812="",F812="",Q812=0),0,IF(COUNTIFS(C$6:C812,C812,F$6:F812,F812,Q$6:Q812,1)=1,1,0))</f>
        <v/>
      </c>
      <c r="O812">
        <f>IF(OR(C812="",Q812=0,H812&lt;&gt;""),"",M812*10000+ROW())</f>
        <v/>
      </c>
      <c r="P812">
        <f>IF(OR(C812="",Q812=0),"",IF(AND(C812=Statement!$C$4,K812=Statement!$C$5),M812*10000+ROW(),""))</f>
        <v/>
      </c>
      <c r="Q812">
        <f>IF(AND(ISNUMBER(B812),OR(N(D812)&gt;0,G812&lt;&gt;"")),1,0)</f>
        <v/>
      </c>
    </row>
    <row r="813">
      <c r="A813" s="1" t="n"/>
      <c r="B813" s="21" t="n"/>
      <c r="C813" s="22" t="n"/>
      <c r="D813" s="23" t="n"/>
      <c r="E813" s="24" t="n"/>
      <c r="F813" s="25" t="n"/>
      <c r="G813" s="25" t="n"/>
      <c r="H813" s="24" t="n"/>
      <c r="I813" s="25" t="n"/>
      <c r="J813" s="17">
        <f>IF(AND(C813="",D813="",G813=""),"",IF(NOT(ISNUMBER(B813)),"Needs a date",IF(AND(D813&lt;&gt;"",NOT(ISNUMBER(D813))),"Amount not a number",IF(N(D813)&lt;0,"Amount below zero",IF(AND(N(D813)=0,G813=""),"Needs an amount or goods",IF(C813="","",IF(COUNTIF(Donors!$B$6:$B$305,C813)=0,"Not on Donors","")))))))</f>
        <v/>
      </c>
      <c r="K813" s="1">
        <f>IF(ISNUMBER(B813),YEAR(B813),"")</f>
        <v/>
      </c>
      <c r="L813">
        <f>IF(ISNUMBER(B813),YEAR(B813)*100+MONTH(B813),"")</f>
        <v/>
      </c>
      <c r="M813">
        <f>IF(ISNUMBER(B813),INT(B813),0)</f>
        <v/>
      </c>
      <c r="N813">
        <f>IF(OR(C813="",F813="",Q813=0),0,IF(COUNTIFS(C$6:C813,C813,F$6:F813,F813,Q$6:Q813,1)=1,1,0))</f>
        <v/>
      </c>
      <c r="O813">
        <f>IF(OR(C813="",Q813=0,H813&lt;&gt;""),"",M813*10000+ROW())</f>
        <v/>
      </c>
      <c r="P813">
        <f>IF(OR(C813="",Q813=0),"",IF(AND(C813=Statement!$C$4,K813=Statement!$C$5),M813*10000+ROW(),""))</f>
        <v/>
      </c>
      <c r="Q813">
        <f>IF(AND(ISNUMBER(B813),OR(N(D813)&gt;0,G813&lt;&gt;"")),1,0)</f>
        <v/>
      </c>
    </row>
    <row r="814">
      <c r="A814" s="1" t="n"/>
      <c r="B814" s="21" t="n"/>
      <c r="C814" s="22" t="n"/>
      <c r="D814" s="23" t="n"/>
      <c r="E814" s="24" t="n"/>
      <c r="F814" s="25" t="n"/>
      <c r="G814" s="25" t="n"/>
      <c r="H814" s="24" t="n"/>
      <c r="I814" s="25" t="n"/>
      <c r="J814" s="17">
        <f>IF(AND(C814="",D814="",G814=""),"",IF(NOT(ISNUMBER(B814)),"Needs a date",IF(AND(D814&lt;&gt;"",NOT(ISNUMBER(D814))),"Amount not a number",IF(N(D814)&lt;0,"Amount below zero",IF(AND(N(D814)=0,G814=""),"Needs an amount or goods",IF(C814="","",IF(COUNTIF(Donors!$B$6:$B$305,C814)=0,"Not on Donors","")))))))</f>
        <v/>
      </c>
      <c r="K814" s="1">
        <f>IF(ISNUMBER(B814),YEAR(B814),"")</f>
        <v/>
      </c>
      <c r="L814">
        <f>IF(ISNUMBER(B814),YEAR(B814)*100+MONTH(B814),"")</f>
        <v/>
      </c>
      <c r="M814">
        <f>IF(ISNUMBER(B814),INT(B814),0)</f>
        <v/>
      </c>
      <c r="N814">
        <f>IF(OR(C814="",F814="",Q814=0),0,IF(COUNTIFS(C$6:C814,C814,F$6:F814,F814,Q$6:Q814,1)=1,1,0))</f>
        <v/>
      </c>
      <c r="O814">
        <f>IF(OR(C814="",Q814=0,H814&lt;&gt;""),"",M814*10000+ROW())</f>
        <v/>
      </c>
      <c r="P814">
        <f>IF(OR(C814="",Q814=0),"",IF(AND(C814=Statement!$C$4,K814=Statement!$C$5),M814*10000+ROW(),""))</f>
        <v/>
      </c>
      <c r="Q814">
        <f>IF(AND(ISNUMBER(B814),OR(N(D814)&gt;0,G814&lt;&gt;"")),1,0)</f>
        <v/>
      </c>
    </row>
    <row r="815">
      <c r="A815" s="1" t="n"/>
      <c r="B815" s="21" t="n"/>
      <c r="C815" s="22" t="n"/>
      <c r="D815" s="23" t="n"/>
      <c r="E815" s="24" t="n"/>
      <c r="F815" s="25" t="n"/>
      <c r="G815" s="25" t="n"/>
      <c r="H815" s="24" t="n"/>
      <c r="I815" s="25" t="n"/>
      <c r="J815" s="17">
        <f>IF(AND(C815="",D815="",G815=""),"",IF(NOT(ISNUMBER(B815)),"Needs a date",IF(AND(D815&lt;&gt;"",NOT(ISNUMBER(D815))),"Amount not a number",IF(N(D815)&lt;0,"Amount below zero",IF(AND(N(D815)=0,G815=""),"Needs an amount or goods",IF(C815="","",IF(COUNTIF(Donors!$B$6:$B$305,C815)=0,"Not on Donors","")))))))</f>
        <v/>
      </c>
      <c r="K815" s="1">
        <f>IF(ISNUMBER(B815),YEAR(B815),"")</f>
        <v/>
      </c>
      <c r="L815">
        <f>IF(ISNUMBER(B815),YEAR(B815)*100+MONTH(B815),"")</f>
        <v/>
      </c>
      <c r="M815">
        <f>IF(ISNUMBER(B815),INT(B815),0)</f>
        <v/>
      </c>
      <c r="N815">
        <f>IF(OR(C815="",F815="",Q815=0),0,IF(COUNTIFS(C$6:C815,C815,F$6:F815,F815,Q$6:Q815,1)=1,1,0))</f>
        <v/>
      </c>
      <c r="O815">
        <f>IF(OR(C815="",Q815=0,H815&lt;&gt;""),"",M815*10000+ROW())</f>
        <v/>
      </c>
      <c r="P815">
        <f>IF(OR(C815="",Q815=0),"",IF(AND(C815=Statement!$C$4,K815=Statement!$C$5),M815*10000+ROW(),""))</f>
        <v/>
      </c>
      <c r="Q815">
        <f>IF(AND(ISNUMBER(B815),OR(N(D815)&gt;0,G815&lt;&gt;"")),1,0)</f>
        <v/>
      </c>
    </row>
    <row r="816">
      <c r="A816" s="1" t="n"/>
      <c r="B816" s="21" t="n"/>
      <c r="C816" s="22" t="n"/>
      <c r="D816" s="23" t="n"/>
      <c r="E816" s="24" t="n"/>
      <c r="F816" s="25" t="n"/>
      <c r="G816" s="25" t="n"/>
      <c r="H816" s="24" t="n"/>
      <c r="I816" s="25" t="n"/>
      <c r="J816" s="17">
        <f>IF(AND(C816="",D816="",G816=""),"",IF(NOT(ISNUMBER(B816)),"Needs a date",IF(AND(D816&lt;&gt;"",NOT(ISNUMBER(D816))),"Amount not a number",IF(N(D816)&lt;0,"Amount below zero",IF(AND(N(D816)=0,G816=""),"Needs an amount or goods",IF(C816="","",IF(COUNTIF(Donors!$B$6:$B$305,C816)=0,"Not on Donors","")))))))</f>
        <v/>
      </c>
      <c r="K816" s="1">
        <f>IF(ISNUMBER(B816),YEAR(B816),"")</f>
        <v/>
      </c>
      <c r="L816">
        <f>IF(ISNUMBER(B816),YEAR(B816)*100+MONTH(B816),"")</f>
        <v/>
      </c>
      <c r="M816">
        <f>IF(ISNUMBER(B816),INT(B816),0)</f>
        <v/>
      </c>
      <c r="N816">
        <f>IF(OR(C816="",F816="",Q816=0),0,IF(COUNTIFS(C$6:C816,C816,F$6:F816,F816,Q$6:Q816,1)=1,1,0))</f>
        <v/>
      </c>
      <c r="O816">
        <f>IF(OR(C816="",Q816=0,H816&lt;&gt;""),"",M816*10000+ROW())</f>
        <v/>
      </c>
      <c r="P816">
        <f>IF(OR(C816="",Q816=0),"",IF(AND(C816=Statement!$C$4,K816=Statement!$C$5),M816*10000+ROW(),""))</f>
        <v/>
      </c>
      <c r="Q816">
        <f>IF(AND(ISNUMBER(B816),OR(N(D816)&gt;0,G816&lt;&gt;"")),1,0)</f>
        <v/>
      </c>
    </row>
    <row r="817">
      <c r="A817" s="1" t="n"/>
      <c r="B817" s="21" t="n"/>
      <c r="C817" s="22" t="n"/>
      <c r="D817" s="23" t="n"/>
      <c r="E817" s="24" t="n"/>
      <c r="F817" s="25" t="n"/>
      <c r="G817" s="25" t="n"/>
      <c r="H817" s="24" t="n"/>
      <c r="I817" s="25" t="n"/>
      <c r="J817" s="17">
        <f>IF(AND(C817="",D817="",G817=""),"",IF(NOT(ISNUMBER(B817)),"Needs a date",IF(AND(D817&lt;&gt;"",NOT(ISNUMBER(D817))),"Amount not a number",IF(N(D817)&lt;0,"Amount below zero",IF(AND(N(D817)=0,G817=""),"Needs an amount or goods",IF(C817="","",IF(COUNTIF(Donors!$B$6:$B$305,C817)=0,"Not on Donors","")))))))</f>
        <v/>
      </c>
      <c r="K817" s="1">
        <f>IF(ISNUMBER(B817),YEAR(B817),"")</f>
        <v/>
      </c>
      <c r="L817">
        <f>IF(ISNUMBER(B817),YEAR(B817)*100+MONTH(B817),"")</f>
        <v/>
      </c>
      <c r="M817">
        <f>IF(ISNUMBER(B817),INT(B817),0)</f>
        <v/>
      </c>
      <c r="N817">
        <f>IF(OR(C817="",F817="",Q817=0),0,IF(COUNTIFS(C$6:C817,C817,F$6:F817,F817,Q$6:Q817,1)=1,1,0))</f>
        <v/>
      </c>
      <c r="O817">
        <f>IF(OR(C817="",Q817=0,H817&lt;&gt;""),"",M817*10000+ROW())</f>
        <v/>
      </c>
      <c r="P817">
        <f>IF(OR(C817="",Q817=0),"",IF(AND(C817=Statement!$C$4,K817=Statement!$C$5),M817*10000+ROW(),""))</f>
        <v/>
      </c>
      <c r="Q817">
        <f>IF(AND(ISNUMBER(B817),OR(N(D817)&gt;0,G817&lt;&gt;"")),1,0)</f>
        <v/>
      </c>
    </row>
    <row r="818">
      <c r="A818" s="1" t="n"/>
      <c r="B818" s="21" t="n"/>
      <c r="C818" s="22" t="n"/>
      <c r="D818" s="23" t="n"/>
      <c r="E818" s="24" t="n"/>
      <c r="F818" s="25" t="n"/>
      <c r="G818" s="25" t="n"/>
      <c r="H818" s="24" t="n"/>
      <c r="I818" s="25" t="n"/>
      <c r="J818" s="17">
        <f>IF(AND(C818="",D818="",G818=""),"",IF(NOT(ISNUMBER(B818)),"Needs a date",IF(AND(D818&lt;&gt;"",NOT(ISNUMBER(D818))),"Amount not a number",IF(N(D818)&lt;0,"Amount below zero",IF(AND(N(D818)=0,G818=""),"Needs an amount or goods",IF(C818="","",IF(COUNTIF(Donors!$B$6:$B$305,C818)=0,"Not on Donors","")))))))</f>
        <v/>
      </c>
      <c r="K818" s="1">
        <f>IF(ISNUMBER(B818),YEAR(B818),"")</f>
        <v/>
      </c>
      <c r="L818">
        <f>IF(ISNUMBER(B818),YEAR(B818)*100+MONTH(B818),"")</f>
        <v/>
      </c>
      <c r="M818">
        <f>IF(ISNUMBER(B818),INT(B818),0)</f>
        <v/>
      </c>
      <c r="N818">
        <f>IF(OR(C818="",F818="",Q818=0),0,IF(COUNTIFS(C$6:C818,C818,F$6:F818,F818,Q$6:Q818,1)=1,1,0))</f>
        <v/>
      </c>
      <c r="O818">
        <f>IF(OR(C818="",Q818=0,H818&lt;&gt;""),"",M818*10000+ROW())</f>
        <v/>
      </c>
      <c r="P818">
        <f>IF(OR(C818="",Q818=0),"",IF(AND(C818=Statement!$C$4,K818=Statement!$C$5),M818*10000+ROW(),""))</f>
        <v/>
      </c>
      <c r="Q818">
        <f>IF(AND(ISNUMBER(B818),OR(N(D818)&gt;0,G818&lt;&gt;"")),1,0)</f>
        <v/>
      </c>
    </row>
    <row r="819">
      <c r="A819" s="1" t="n"/>
      <c r="B819" s="21" t="n"/>
      <c r="C819" s="22" t="n"/>
      <c r="D819" s="23" t="n"/>
      <c r="E819" s="24" t="n"/>
      <c r="F819" s="25" t="n"/>
      <c r="G819" s="25" t="n"/>
      <c r="H819" s="24" t="n"/>
      <c r="I819" s="25" t="n"/>
      <c r="J819" s="17">
        <f>IF(AND(C819="",D819="",G819=""),"",IF(NOT(ISNUMBER(B819)),"Needs a date",IF(AND(D819&lt;&gt;"",NOT(ISNUMBER(D819))),"Amount not a number",IF(N(D819)&lt;0,"Amount below zero",IF(AND(N(D819)=0,G819=""),"Needs an amount or goods",IF(C819="","",IF(COUNTIF(Donors!$B$6:$B$305,C819)=0,"Not on Donors","")))))))</f>
        <v/>
      </c>
      <c r="K819" s="1">
        <f>IF(ISNUMBER(B819),YEAR(B819),"")</f>
        <v/>
      </c>
      <c r="L819">
        <f>IF(ISNUMBER(B819),YEAR(B819)*100+MONTH(B819),"")</f>
        <v/>
      </c>
      <c r="M819">
        <f>IF(ISNUMBER(B819),INT(B819),0)</f>
        <v/>
      </c>
      <c r="N819">
        <f>IF(OR(C819="",F819="",Q819=0),0,IF(COUNTIFS(C$6:C819,C819,F$6:F819,F819,Q$6:Q819,1)=1,1,0))</f>
        <v/>
      </c>
      <c r="O819">
        <f>IF(OR(C819="",Q819=0,H819&lt;&gt;""),"",M819*10000+ROW())</f>
        <v/>
      </c>
      <c r="P819">
        <f>IF(OR(C819="",Q819=0),"",IF(AND(C819=Statement!$C$4,K819=Statement!$C$5),M819*10000+ROW(),""))</f>
        <v/>
      </c>
      <c r="Q819">
        <f>IF(AND(ISNUMBER(B819),OR(N(D819)&gt;0,G819&lt;&gt;"")),1,0)</f>
        <v/>
      </c>
    </row>
    <row r="820">
      <c r="A820" s="1" t="n"/>
      <c r="B820" s="21" t="n"/>
      <c r="C820" s="22" t="n"/>
      <c r="D820" s="23" t="n"/>
      <c r="E820" s="24" t="n"/>
      <c r="F820" s="25" t="n"/>
      <c r="G820" s="25" t="n"/>
      <c r="H820" s="24" t="n"/>
      <c r="I820" s="25" t="n"/>
      <c r="J820" s="17">
        <f>IF(AND(C820="",D820="",G820=""),"",IF(NOT(ISNUMBER(B820)),"Needs a date",IF(AND(D820&lt;&gt;"",NOT(ISNUMBER(D820))),"Amount not a number",IF(N(D820)&lt;0,"Amount below zero",IF(AND(N(D820)=0,G820=""),"Needs an amount or goods",IF(C820="","",IF(COUNTIF(Donors!$B$6:$B$305,C820)=0,"Not on Donors","")))))))</f>
        <v/>
      </c>
      <c r="K820" s="1">
        <f>IF(ISNUMBER(B820),YEAR(B820),"")</f>
        <v/>
      </c>
      <c r="L820">
        <f>IF(ISNUMBER(B820),YEAR(B820)*100+MONTH(B820),"")</f>
        <v/>
      </c>
      <c r="M820">
        <f>IF(ISNUMBER(B820),INT(B820),0)</f>
        <v/>
      </c>
      <c r="N820">
        <f>IF(OR(C820="",F820="",Q820=0),0,IF(COUNTIFS(C$6:C820,C820,F$6:F820,F820,Q$6:Q820,1)=1,1,0))</f>
        <v/>
      </c>
      <c r="O820">
        <f>IF(OR(C820="",Q820=0,H820&lt;&gt;""),"",M820*10000+ROW())</f>
        <v/>
      </c>
      <c r="P820">
        <f>IF(OR(C820="",Q820=0),"",IF(AND(C820=Statement!$C$4,K820=Statement!$C$5),M820*10000+ROW(),""))</f>
        <v/>
      </c>
      <c r="Q820">
        <f>IF(AND(ISNUMBER(B820),OR(N(D820)&gt;0,G820&lt;&gt;"")),1,0)</f>
        <v/>
      </c>
    </row>
    <row r="821">
      <c r="A821" s="1" t="n"/>
      <c r="B821" s="21" t="n"/>
      <c r="C821" s="22" t="n"/>
      <c r="D821" s="23" t="n"/>
      <c r="E821" s="24" t="n"/>
      <c r="F821" s="25" t="n"/>
      <c r="G821" s="25" t="n"/>
      <c r="H821" s="24" t="n"/>
      <c r="I821" s="25" t="n"/>
      <c r="J821" s="17">
        <f>IF(AND(C821="",D821="",G821=""),"",IF(NOT(ISNUMBER(B821)),"Needs a date",IF(AND(D821&lt;&gt;"",NOT(ISNUMBER(D821))),"Amount not a number",IF(N(D821)&lt;0,"Amount below zero",IF(AND(N(D821)=0,G821=""),"Needs an amount or goods",IF(C821="","",IF(COUNTIF(Donors!$B$6:$B$305,C821)=0,"Not on Donors","")))))))</f>
        <v/>
      </c>
      <c r="K821" s="1">
        <f>IF(ISNUMBER(B821),YEAR(B821),"")</f>
        <v/>
      </c>
      <c r="L821">
        <f>IF(ISNUMBER(B821),YEAR(B821)*100+MONTH(B821),"")</f>
        <v/>
      </c>
      <c r="M821">
        <f>IF(ISNUMBER(B821),INT(B821),0)</f>
        <v/>
      </c>
      <c r="N821">
        <f>IF(OR(C821="",F821="",Q821=0),0,IF(COUNTIFS(C$6:C821,C821,F$6:F821,F821,Q$6:Q821,1)=1,1,0))</f>
        <v/>
      </c>
      <c r="O821">
        <f>IF(OR(C821="",Q821=0,H821&lt;&gt;""),"",M821*10000+ROW())</f>
        <v/>
      </c>
      <c r="P821">
        <f>IF(OR(C821="",Q821=0),"",IF(AND(C821=Statement!$C$4,K821=Statement!$C$5),M821*10000+ROW(),""))</f>
        <v/>
      </c>
      <c r="Q821">
        <f>IF(AND(ISNUMBER(B821),OR(N(D821)&gt;0,G821&lt;&gt;"")),1,0)</f>
        <v/>
      </c>
    </row>
    <row r="822">
      <c r="A822" s="1" t="n"/>
      <c r="B822" s="21" t="n"/>
      <c r="C822" s="22" t="n"/>
      <c r="D822" s="23" t="n"/>
      <c r="E822" s="24" t="n"/>
      <c r="F822" s="25" t="n"/>
      <c r="G822" s="25" t="n"/>
      <c r="H822" s="24" t="n"/>
      <c r="I822" s="25" t="n"/>
      <c r="J822" s="17">
        <f>IF(AND(C822="",D822="",G822=""),"",IF(NOT(ISNUMBER(B822)),"Needs a date",IF(AND(D822&lt;&gt;"",NOT(ISNUMBER(D822))),"Amount not a number",IF(N(D822)&lt;0,"Amount below zero",IF(AND(N(D822)=0,G822=""),"Needs an amount or goods",IF(C822="","",IF(COUNTIF(Donors!$B$6:$B$305,C822)=0,"Not on Donors","")))))))</f>
        <v/>
      </c>
      <c r="K822" s="1">
        <f>IF(ISNUMBER(B822),YEAR(B822),"")</f>
        <v/>
      </c>
      <c r="L822">
        <f>IF(ISNUMBER(B822),YEAR(B822)*100+MONTH(B822),"")</f>
        <v/>
      </c>
      <c r="M822">
        <f>IF(ISNUMBER(B822),INT(B822),0)</f>
        <v/>
      </c>
      <c r="N822">
        <f>IF(OR(C822="",F822="",Q822=0),0,IF(COUNTIFS(C$6:C822,C822,F$6:F822,F822,Q$6:Q822,1)=1,1,0))</f>
        <v/>
      </c>
      <c r="O822">
        <f>IF(OR(C822="",Q822=0,H822&lt;&gt;""),"",M822*10000+ROW())</f>
        <v/>
      </c>
      <c r="P822">
        <f>IF(OR(C822="",Q822=0),"",IF(AND(C822=Statement!$C$4,K822=Statement!$C$5),M822*10000+ROW(),""))</f>
        <v/>
      </c>
      <c r="Q822">
        <f>IF(AND(ISNUMBER(B822),OR(N(D822)&gt;0,G822&lt;&gt;"")),1,0)</f>
        <v/>
      </c>
    </row>
    <row r="823">
      <c r="A823" s="1" t="n"/>
      <c r="B823" s="21" t="n"/>
      <c r="C823" s="22" t="n"/>
      <c r="D823" s="23" t="n"/>
      <c r="E823" s="24" t="n"/>
      <c r="F823" s="25" t="n"/>
      <c r="G823" s="25" t="n"/>
      <c r="H823" s="24" t="n"/>
      <c r="I823" s="25" t="n"/>
      <c r="J823" s="17">
        <f>IF(AND(C823="",D823="",G823=""),"",IF(NOT(ISNUMBER(B823)),"Needs a date",IF(AND(D823&lt;&gt;"",NOT(ISNUMBER(D823))),"Amount not a number",IF(N(D823)&lt;0,"Amount below zero",IF(AND(N(D823)=0,G823=""),"Needs an amount or goods",IF(C823="","",IF(COUNTIF(Donors!$B$6:$B$305,C823)=0,"Not on Donors","")))))))</f>
        <v/>
      </c>
      <c r="K823" s="1">
        <f>IF(ISNUMBER(B823),YEAR(B823),"")</f>
        <v/>
      </c>
      <c r="L823">
        <f>IF(ISNUMBER(B823),YEAR(B823)*100+MONTH(B823),"")</f>
        <v/>
      </c>
      <c r="M823">
        <f>IF(ISNUMBER(B823),INT(B823),0)</f>
        <v/>
      </c>
      <c r="N823">
        <f>IF(OR(C823="",F823="",Q823=0),0,IF(COUNTIFS(C$6:C823,C823,F$6:F823,F823,Q$6:Q823,1)=1,1,0))</f>
        <v/>
      </c>
      <c r="O823">
        <f>IF(OR(C823="",Q823=0,H823&lt;&gt;""),"",M823*10000+ROW())</f>
        <v/>
      </c>
      <c r="P823">
        <f>IF(OR(C823="",Q823=0),"",IF(AND(C823=Statement!$C$4,K823=Statement!$C$5),M823*10000+ROW(),""))</f>
        <v/>
      </c>
      <c r="Q823">
        <f>IF(AND(ISNUMBER(B823),OR(N(D823)&gt;0,G823&lt;&gt;"")),1,0)</f>
        <v/>
      </c>
    </row>
    <row r="824">
      <c r="A824" s="1" t="n"/>
      <c r="B824" s="21" t="n"/>
      <c r="C824" s="22" t="n"/>
      <c r="D824" s="23" t="n"/>
      <c r="E824" s="24" t="n"/>
      <c r="F824" s="25" t="n"/>
      <c r="G824" s="25" t="n"/>
      <c r="H824" s="24" t="n"/>
      <c r="I824" s="25" t="n"/>
      <c r="J824" s="17">
        <f>IF(AND(C824="",D824="",G824=""),"",IF(NOT(ISNUMBER(B824)),"Needs a date",IF(AND(D824&lt;&gt;"",NOT(ISNUMBER(D824))),"Amount not a number",IF(N(D824)&lt;0,"Amount below zero",IF(AND(N(D824)=0,G824=""),"Needs an amount or goods",IF(C824="","",IF(COUNTIF(Donors!$B$6:$B$305,C824)=0,"Not on Donors","")))))))</f>
        <v/>
      </c>
      <c r="K824" s="1">
        <f>IF(ISNUMBER(B824),YEAR(B824),"")</f>
        <v/>
      </c>
      <c r="L824">
        <f>IF(ISNUMBER(B824),YEAR(B824)*100+MONTH(B824),"")</f>
        <v/>
      </c>
      <c r="M824">
        <f>IF(ISNUMBER(B824),INT(B824),0)</f>
        <v/>
      </c>
      <c r="N824">
        <f>IF(OR(C824="",F824="",Q824=0),0,IF(COUNTIFS(C$6:C824,C824,F$6:F824,F824,Q$6:Q824,1)=1,1,0))</f>
        <v/>
      </c>
      <c r="O824">
        <f>IF(OR(C824="",Q824=0,H824&lt;&gt;""),"",M824*10000+ROW())</f>
        <v/>
      </c>
      <c r="P824">
        <f>IF(OR(C824="",Q824=0),"",IF(AND(C824=Statement!$C$4,K824=Statement!$C$5),M824*10000+ROW(),""))</f>
        <v/>
      </c>
      <c r="Q824">
        <f>IF(AND(ISNUMBER(B824),OR(N(D824)&gt;0,G824&lt;&gt;"")),1,0)</f>
        <v/>
      </c>
    </row>
    <row r="825">
      <c r="A825" s="1" t="n"/>
      <c r="B825" s="21" t="n"/>
      <c r="C825" s="22" t="n"/>
      <c r="D825" s="23" t="n"/>
      <c r="E825" s="24" t="n"/>
      <c r="F825" s="25" t="n"/>
      <c r="G825" s="25" t="n"/>
      <c r="H825" s="24" t="n"/>
      <c r="I825" s="25" t="n"/>
      <c r="J825" s="17">
        <f>IF(AND(C825="",D825="",G825=""),"",IF(NOT(ISNUMBER(B825)),"Needs a date",IF(AND(D825&lt;&gt;"",NOT(ISNUMBER(D825))),"Amount not a number",IF(N(D825)&lt;0,"Amount below zero",IF(AND(N(D825)=0,G825=""),"Needs an amount or goods",IF(C825="","",IF(COUNTIF(Donors!$B$6:$B$305,C825)=0,"Not on Donors","")))))))</f>
        <v/>
      </c>
      <c r="K825" s="1">
        <f>IF(ISNUMBER(B825),YEAR(B825),"")</f>
        <v/>
      </c>
      <c r="L825">
        <f>IF(ISNUMBER(B825),YEAR(B825)*100+MONTH(B825),"")</f>
        <v/>
      </c>
      <c r="M825">
        <f>IF(ISNUMBER(B825),INT(B825),0)</f>
        <v/>
      </c>
      <c r="N825">
        <f>IF(OR(C825="",F825="",Q825=0),0,IF(COUNTIFS(C$6:C825,C825,F$6:F825,F825,Q$6:Q825,1)=1,1,0))</f>
        <v/>
      </c>
      <c r="O825">
        <f>IF(OR(C825="",Q825=0,H825&lt;&gt;""),"",M825*10000+ROW())</f>
        <v/>
      </c>
      <c r="P825">
        <f>IF(OR(C825="",Q825=0),"",IF(AND(C825=Statement!$C$4,K825=Statement!$C$5),M825*10000+ROW(),""))</f>
        <v/>
      </c>
      <c r="Q825">
        <f>IF(AND(ISNUMBER(B825),OR(N(D825)&gt;0,G825&lt;&gt;"")),1,0)</f>
        <v/>
      </c>
    </row>
    <row r="826">
      <c r="A826" s="1" t="n"/>
      <c r="B826" s="21" t="n"/>
      <c r="C826" s="22" t="n"/>
      <c r="D826" s="23" t="n"/>
      <c r="E826" s="24" t="n"/>
      <c r="F826" s="25" t="n"/>
      <c r="G826" s="25" t="n"/>
      <c r="H826" s="24" t="n"/>
      <c r="I826" s="25" t="n"/>
      <c r="J826" s="17">
        <f>IF(AND(C826="",D826="",G826=""),"",IF(NOT(ISNUMBER(B826)),"Needs a date",IF(AND(D826&lt;&gt;"",NOT(ISNUMBER(D826))),"Amount not a number",IF(N(D826)&lt;0,"Amount below zero",IF(AND(N(D826)=0,G826=""),"Needs an amount or goods",IF(C826="","",IF(COUNTIF(Donors!$B$6:$B$305,C826)=0,"Not on Donors","")))))))</f>
        <v/>
      </c>
      <c r="K826" s="1">
        <f>IF(ISNUMBER(B826),YEAR(B826),"")</f>
        <v/>
      </c>
      <c r="L826">
        <f>IF(ISNUMBER(B826),YEAR(B826)*100+MONTH(B826),"")</f>
        <v/>
      </c>
      <c r="M826">
        <f>IF(ISNUMBER(B826),INT(B826),0)</f>
        <v/>
      </c>
      <c r="N826">
        <f>IF(OR(C826="",F826="",Q826=0),0,IF(COUNTIFS(C$6:C826,C826,F$6:F826,F826,Q$6:Q826,1)=1,1,0))</f>
        <v/>
      </c>
      <c r="O826">
        <f>IF(OR(C826="",Q826=0,H826&lt;&gt;""),"",M826*10000+ROW())</f>
        <v/>
      </c>
      <c r="P826">
        <f>IF(OR(C826="",Q826=0),"",IF(AND(C826=Statement!$C$4,K826=Statement!$C$5),M826*10000+ROW(),""))</f>
        <v/>
      </c>
      <c r="Q826">
        <f>IF(AND(ISNUMBER(B826),OR(N(D826)&gt;0,G826&lt;&gt;"")),1,0)</f>
        <v/>
      </c>
    </row>
    <row r="827">
      <c r="A827" s="1" t="n"/>
      <c r="B827" s="21" t="n"/>
      <c r="C827" s="22" t="n"/>
      <c r="D827" s="23" t="n"/>
      <c r="E827" s="24" t="n"/>
      <c r="F827" s="25" t="n"/>
      <c r="G827" s="25" t="n"/>
      <c r="H827" s="24" t="n"/>
      <c r="I827" s="25" t="n"/>
      <c r="J827" s="17">
        <f>IF(AND(C827="",D827="",G827=""),"",IF(NOT(ISNUMBER(B827)),"Needs a date",IF(AND(D827&lt;&gt;"",NOT(ISNUMBER(D827))),"Amount not a number",IF(N(D827)&lt;0,"Amount below zero",IF(AND(N(D827)=0,G827=""),"Needs an amount or goods",IF(C827="","",IF(COUNTIF(Donors!$B$6:$B$305,C827)=0,"Not on Donors","")))))))</f>
        <v/>
      </c>
      <c r="K827" s="1">
        <f>IF(ISNUMBER(B827),YEAR(B827),"")</f>
        <v/>
      </c>
      <c r="L827">
        <f>IF(ISNUMBER(B827),YEAR(B827)*100+MONTH(B827),"")</f>
        <v/>
      </c>
      <c r="M827">
        <f>IF(ISNUMBER(B827),INT(B827),0)</f>
        <v/>
      </c>
      <c r="N827">
        <f>IF(OR(C827="",F827="",Q827=0),0,IF(COUNTIFS(C$6:C827,C827,F$6:F827,F827,Q$6:Q827,1)=1,1,0))</f>
        <v/>
      </c>
      <c r="O827">
        <f>IF(OR(C827="",Q827=0,H827&lt;&gt;""),"",M827*10000+ROW())</f>
        <v/>
      </c>
      <c r="P827">
        <f>IF(OR(C827="",Q827=0),"",IF(AND(C827=Statement!$C$4,K827=Statement!$C$5),M827*10000+ROW(),""))</f>
        <v/>
      </c>
      <c r="Q827">
        <f>IF(AND(ISNUMBER(B827),OR(N(D827)&gt;0,G827&lt;&gt;"")),1,0)</f>
        <v/>
      </c>
    </row>
    <row r="828">
      <c r="A828" s="1" t="n"/>
      <c r="B828" s="21" t="n"/>
      <c r="C828" s="22" t="n"/>
      <c r="D828" s="23" t="n"/>
      <c r="E828" s="24" t="n"/>
      <c r="F828" s="25" t="n"/>
      <c r="G828" s="25" t="n"/>
      <c r="H828" s="24" t="n"/>
      <c r="I828" s="25" t="n"/>
      <c r="J828" s="17">
        <f>IF(AND(C828="",D828="",G828=""),"",IF(NOT(ISNUMBER(B828)),"Needs a date",IF(AND(D828&lt;&gt;"",NOT(ISNUMBER(D828))),"Amount not a number",IF(N(D828)&lt;0,"Amount below zero",IF(AND(N(D828)=0,G828=""),"Needs an amount or goods",IF(C828="","",IF(COUNTIF(Donors!$B$6:$B$305,C828)=0,"Not on Donors","")))))))</f>
        <v/>
      </c>
      <c r="K828" s="1">
        <f>IF(ISNUMBER(B828),YEAR(B828),"")</f>
        <v/>
      </c>
      <c r="L828">
        <f>IF(ISNUMBER(B828),YEAR(B828)*100+MONTH(B828),"")</f>
        <v/>
      </c>
      <c r="M828">
        <f>IF(ISNUMBER(B828),INT(B828),0)</f>
        <v/>
      </c>
      <c r="N828">
        <f>IF(OR(C828="",F828="",Q828=0),0,IF(COUNTIFS(C$6:C828,C828,F$6:F828,F828,Q$6:Q828,1)=1,1,0))</f>
        <v/>
      </c>
      <c r="O828">
        <f>IF(OR(C828="",Q828=0,H828&lt;&gt;""),"",M828*10000+ROW())</f>
        <v/>
      </c>
      <c r="P828">
        <f>IF(OR(C828="",Q828=0),"",IF(AND(C828=Statement!$C$4,K828=Statement!$C$5),M828*10000+ROW(),""))</f>
        <v/>
      </c>
      <c r="Q828">
        <f>IF(AND(ISNUMBER(B828),OR(N(D828)&gt;0,G828&lt;&gt;"")),1,0)</f>
        <v/>
      </c>
    </row>
    <row r="829">
      <c r="A829" s="1" t="n"/>
      <c r="B829" s="21" t="n"/>
      <c r="C829" s="22" t="n"/>
      <c r="D829" s="23" t="n"/>
      <c r="E829" s="24" t="n"/>
      <c r="F829" s="25" t="n"/>
      <c r="G829" s="25" t="n"/>
      <c r="H829" s="24" t="n"/>
      <c r="I829" s="25" t="n"/>
      <c r="J829" s="17">
        <f>IF(AND(C829="",D829="",G829=""),"",IF(NOT(ISNUMBER(B829)),"Needs a date",IF(AND(D829&lt;&gt;"",NOT(ISNUMBER(D829))),"Amount not a number",IF(N(D829)&lt;0,"Amount below zero",IF(AND(N(D829)=0,G829=""),"Needs an amount or goods",IF(C829="","",IF(COUNTIF(Donors!$B$6:$B$305,C829)=0,"Not on Donors","")))))))</f>
        <v/>
      </c>
      <c r="K829" s="1">
        <f>IF(ISNUMBER(B829),YEAR(B829),"")</f>
        <v/>
      </c>
      <c r="L829">
        <f>IF(ISNUMBER(B829),YEAR(B829)*100+MONTH(B829),"")</f>
        <v/>
      </c>
      <c r="M829">
        <f>IF(ISNUMBER(B829),INT(B829),0)</f>
        <v/>
      </c>
      <c r="N829">
        <f>IF(OR(C829="",F829="",Q829=0),0,IF(COUNTIFS(C$6:C829,C829,F$6:F829,F829,Q$6:Q829,1)=1,1,0))</f>
        <v/>
      </c>
      <c r="O829">
        <f>IF(OR(C829="",Q829=0,H829&lt;&gt;""),"",M829*10000+ROW())</f>
        <v/>
      </c>
      <c r="P829">
        <f>IF(OR(C829="",Q829=0),"",IF(AND(C829=Statement!$C$4,K829=Statement!$C$5),M829*10000+ROW(),""))</f>
        <v/>
      </c>
      <c r="Q829">
        <f>IF(AND(ISNUMBER(B829),OR(N(D829)&gt;0,G829&lt;&gt;"")),1,0)</f>
        <v/>
      </c>
    </row>
    <row r="830">
      <c r="A830" s="1" t="n"/>
      <c r="B830" s="21" t="n"/>
      <c r="C830" s="22" t="n"/>
      <c r="D830" s="23" t="n"/>
      <c r="E830" s="24" t="n"/>
      <c r="F830" s="25" t="n"/>
      <c r="G830" s="25" t="n"/>
      <c r="H830" s="24" t="n"/>
      <c r="I830" s="25" t="n"/>
      <c r="J830" s="17">
        <f>IF(AND(C830="",D830="",G830=""),"",IF(NOT(ISNUMBER(B830)),"Needs a date",IF(AND(D830&lt;&gt;"",NOT(ISNUMBER(D830))),"Amount not a number",IF(N(D830)&lt;0,"Amount below zero",IF(AND(N(D830)=0,G830=""),"Needs an amount or goods",IF(C830="","",IF(COUNTIF(Donors!$B$6:$B$305,C830)=0,"Not on Donors","")))))))</f>
        <v/>
      </c>
      <c r="K830" s="1">
        <f>IF(ISNUMBER(B830),YEAR(B830),"")</f>
        <v/>
      </c>
      <c r="L830">
        <f>IF(ISNUMBER(B830),YEAR(B830)*100+MONTH(B830),"")</f>
        <v/>
      </c>
      <c r="M830">
        <f>IF(ISNUMBER(B830),INT(B830),0)</f>
        <v/>
      </c>
      <c r="N830">
        <f>IF(OR(C830="",F830="",Q830=0),0,IF(COUNTIFS(C$6:C830,C830,F$6:F830,F830,Q$6:Q830,1)=1,1,0))</f>
        <v/>
      </c>
      <c r="O830">
        <f>IF(OR(C830="",Q830=0,H830&lt;&gt;""),"",M830*10000+ROW())</f>
        <v/>
      </c>
      <c r="P830">
        <f>IF(OR(C830="",Q830=0),"",IF(AND(C830=Statement!$C$4,K830=Statement!$C$5),M830*10000+ROW(),""))</f>
        <v/>
      </c>
      <c r="Q830">
        <f>IF(AND(ISNUMBER(B830),OR(N(D830)&gt;0,G830&lt;&gt;"")),1,0)</f>
        <v/>
      </c>
    </row>
    <row r="831">
      <c r="A831" s="1" t="n"/>
      <c r="B831" s="21" t="n"/>
      <c r="C831" s="22" t="n"/>
      <c r="D831" s="23" t="n"/>
      <c r="E831" s="24" t="n"/>
      <c r="F831" s="25" t="n"/>
      <c r="G831" s="25" t="n"/>
      <c r="H831" s="24" t="n"/>
      <c r="I831" s="25" t="n"/>
      <c r="J831" s="17">
        <f>IF(AND(C831="",D831="",G831=""),"",IF(NOT(ISNUMBER(B831)),"Needs a date",IF(AND(D831&lt;&gt;"",NOT(ISNUMBER(D831))),"Amount not a number",IF(N(D831)&lt;0,"Amount below zero",IF(AND(N(D831)=0,G831=""),"Needs an amount or goods",IF(C831="","",IF(COUNTIF(Donors!$B$6:$B$305,C831)=0,"Not on Donors","")))))))</f>
        <v/>
      </c>
      <c r="K831" s="1">
        <f>IF(ISNUMBER(B831),YEAR(B831),"")</f>
        <v/>
      </c>
      <c r="L831">
        <f>IF(ISNUMBER(B831),YEAR(B831)*100+MONTH(B831),"")</f>
        <v/>
      </c>
      <c r="M831">
        <f>IF(ISNUMBER(B831),INT(B831),0)</f>
        <v/>
      </c>
      <c r="N831">
        <f>IF(OR(C831="",F831="",Q831=0),0,IF(COUNTIFS(C$6:C831,C831,F$6:F831,F831,Q$6:Q831,1)=1,1,0))</f>
        <v/>
      </c>
      <c r="O831">
        <f>IF(OR(C831="",Q831=0,H831&lt;&gt;""),"",M831*10000+ROW())</f>
        <v/>
      </c>
      <c r="P831">
        <f>IF(OR(C831="",Q831=0),"",IF(AND(C831=Statement!$C$4,K831=Statement!$C$5),M831*10000+ROW(),""))</f>
        <v/>
      </c>
      <c r="Q831">
        <f>IF(AND(ISNUMBER(B831),OR(N(D831)&gt;0,G831&lt;&gt;"")),1,0)</f>
        <v/>
      </c>
    </row>
    <row r="832">
      <c r="A832" s="1" t="n"/>
      <c r="B832" s="21" t="n"/>
      <c r="C832" s="22" t="n"/>
      <c r="D832" s="23" t="n"/>
      <c r="E832" s="24" t="n"/>
      <c r="F832" s="25" t="n"/>
      <c r="G832" s="25" t="n"/>
      <c r="H832" s="24" t="n"/>
      <c r="I832" s="25" t="n"/>
      <c r="J832" s="17">
        <f>IF(AND(C832="",D832="",G832=""),"",IF(NOT(ISNUMBER(B832)),"Needs a date",IF(AND(D832&lt;&gt;"",NOT(ISNUMBER(D832))),"Amount not a number",IF(N(D832)&lt;0,"Amount below zero",IF(AND(N(D832)=0,G832=""),"Needs an amount or goods",IF(C832="","",IF(COUNTIF(Donors!$B$6:$B$305,C832)=0,"Not on Donors","")))))))</f>
        <v/>
      </c>
      <c r="K832" s="1">
        <f>IF(ISNUMBER(B832),YEAR(B832),"")</f>
        <v/>
      </c>
      <c r="L832">
        <f>IF(ISNUMBER(B832),YEAR(B832)*100+MONTH(B832),"")</f>
        <v/>
      </c>
      <c r="M832">
        <f>IF(ISNUMBER(B832),INT(B832),0)</f>
        <v/>
      </c>
      <c r="N832">
        <f>IF(OR(C832="",F832="",Q832=0),0,IF(COUNTIFS(C$6:C832,C832,F$6:F832,F832,Q$6:Q832,1)=1,1,0))</f>
        <v/>
      </c>
      <c r="O832">
        <f>IF(OR(C832="",Q832=0,H832&lt;&gt;""),"",M832*10000+ROW())</f>
        <v/>
      </c>
      <c r="P832">
        <f>IF(OR(C832="",Q832=0),"",IF(AND(C832=Statement!$C$4,K832=Statement!$C$5),M832*10000+ROW(),""))</f>
        <v/>
      </c>
      <c r="Q832">
        <f>IF(AND(ISNUMBER(B832),OR(N(D832)&gt;0,G832&lt;&gt;"")),1,0)</f>
        <v/>
      </c>
    </row>
    <row r="833">
      <c r="A833" s="1" t="n"/>
      <c r="B833" s="21" t="n"/>
      <c r="C833" s="22" t="n"/>
      <c r="D833" s="23" t="n"/>
      <c r="E833" s="24" t="n"/>
      <c r="F833" s="25" t="n"/>
      <c r="G833" s="25" t="n"/>
      <c r="H833" s="24" t="n"/>
      <c r="I833" s="25" t="n"/>
      <c r="J833" s="17">
        <f>IF(AND(C833="",D833="",G833=""),"",IF(NOT(ISNUMBER(B833)),"Needs a date",IF(AND(D833&lt;&gt;"",NOT(ISNUMBER(D833))),"Amount not a number",IF(N(D833)&lt;0,"Amount below zero",IF(AND(N(D833)=0,G833=""),"Needs an amount or goods",IF(C833="","",IF(COUNTIF(Donors!$B$6:$B$305,C833)=0,"Not on Donors","")))))))</f>
        <v/>
      </c>
      <c r="K833" s="1">
        <f>IF(ISNUMBER(B833),YEAR(B833),"")</f>
        <v/>
      </c>
      <c r="L833">
        <f>IF(ISNUMBER(B833),YEAR(B833)*100+MONTH(B833),"")</f>
        <v/>
      </c>
      <c r="M833">
        <f>IF(ISNUMBER(B833),INT(B833),0)</f>
        <v/>
      </c>
      <c r="N833">
        <f>IF(OR(C833="",F833="",Q833=0),0,IF(COUNTIFS(C$6:C833,C833,F$6:F833,F833,Q$6:Q833,1)=1,1,0))</f>
        <v/>
      </c>
      <c r="O833">
        <f>IF(OR(C833="",Q833=0,H833&lt;&gt;""),"",M833*10000+ROW())</f>
        <v/>
      </c>
      <c r="P833">
        <f>IF(OR(C833="",Q833=0),"",IF(AND(C833=Statement!$C$4,K833=Statement!$C$5),M833*10000+ROW(),""))</f>
        <v/>
      </c>
      <c r="Q833">
        <f>IF(AND(ISNUMBER(B833),OR(N(D833)&gt;0,G833&lt;&gt;"")),1,0)</f>
        <v/>
      </c>
    </row>
    <row r="834">
      <c r="A834" s="1" t="n"/>
      <c r="B834" s="21" t="n"/>
      <c r="C834" s="22" t="n"/>
      <c r="D834" s="23" t="n"/>
      <c r="E834" s="24" t="n"/>
      <c r="F834" s="25" t="n"/>
      <c r="G834" s="25" t="n"/>
      <c r="H834" s="24" t="n"/>
      <c r="I834" s="25" t="n"/>
      <c r="J834" s="17">
        <f>IF(AND(C834="",D834="",G834=""),"",IF(NOT(ISNUMBER(B834)),"Needs a date",IF(AND(D834&lt;&gt;"",NOT(ISNUMBER(D834))),"Amount not a number",IF(N(D834)&lt;0,"Amount below zero",IF(AND(N(D834)=0,G834=""),"Needs an amount or goods",IF(C834="","",IF(COUNTIF(Donors!$B$6:$B$305,C834)=0,"Not on Donors","")))))))</f>
        <v/>
      </c>
      <c r="K834" s="1">
        <f>IF(ISNUMBER(B834),YEAR(B834),"")</f>
        <v/>
      </c>
      <c r="L834">
        <f>IF(ISNUMBER(B834),YEAR(B834)*100+MONTH(B834),"")</f>
        <v/>
      </c>
      <c r="M834">
        <f>IF(ISNUMBER(B834),INT(B834),0)</f>
        <v/>
      </c>
      <c r="N834">
        <f>IF(OR(C834="",F834="",Q834=0),0,IF(COUNTIFS(C$6:C834,C834,F$6:F834,F834,Q$6:Q834,1)=1,1,0))</f>
        <v/>
      </c>
      <c r="O834">
        <f>IF(OR(C834="",Q834=0,H834&lt;&gt;""),"",M834*10000+ROW())</f>
        <v/>
      </c>
      <c r="P834">
        <f>IF(OR(C834="",Q834=0),"",IF(AND(C834=Statement!$C$4,K834=Statement!$C$5),M834*10000+ROW(),""))</f>
        <v/>
      </c>
      <c r="Q834">
        <f>IF(AND(ISNUMBER(B834),OR(N(D834)&gt;0,G834&lt;&gt;"")),1,0)</f>
        <v/>
      </c>
    </row>
    <row r="835">
      <c r="A835" s="1" t="n"/>
      <c r="B835" s="21" t="n"/>
      <c r="C835" s="22" t="n"/>
      <c r="D835" s="23" t="n"/>
      <c r="E835" s="24" t="n"/>
      <c r="F835" s="25" t="n"/>
      <c r="G835" s="25" t="n"/>
      <c r="H835" s="24" t="n"/>
      <c r="I835" s="25" t="n"/>
      <c r="J835" s="17">
        <f>IF(AND(C835="",D835="",G835=""),"",IF(NOT(ISNUMBER(B835)),"Needs a date",IF(AND(D835&lt;&gt;"",NOT(ISNUMBER(D835))),"Amount not a number",IF(N(D835)&lt;0,"Amount below zero",IF(AND(N(D835)=0,G835=""),"Needs an amount or goods",IF(C835="","",IF(COUNTIF(Donors!$B$6:$B$305,C835)=0,"Not on Donors","")))))))</f>
        <v/>
      </c>
      <c r="K835" s="1">
        <f>IF(ISNUMBER(B835),YEAR(B835),"")</f>
        <v/>
      </c>
      <c r="L835">
        <f>IF(ISNUMBER(B835),YEAR(B835)*100+MONTH(B835),"")</f>
        <v/>
      </c>
      <c r="M835">
        <f>IF(ISNUMBER(B835),INT(B835),0)</f>
        <v/>
      </c>
      <c r="N835">
        <f>IF(OR(C835="",F835="",Q835=0),0,IF(COUNTIFS(C$6:C835,C835,F$6:F835,F835,Q$6:Q835,1)=1,1,0))</f>
        <v/>
      </c>
      <c r="O835">
        <f>IF(OR(C835="",Q835=0,H835&lt;&gt;""),"",M835*10000+ROW())</f>
        <v/>
      </c>
      <c r="P835">
        <f>IF(OR(C835="",Q835=0),"",IF(AND(C835=Statement!$C$4,K835=Statement!$C$5),M835*10000+ROW(),""))</f>
        <v/>
      </c>
      <c r="Q835">
        <f>IF(AND(ISNUMBER(B835),OR(N(D835)&gt;0,G835&lt;&gt;"")),1,0)</f>
        <v/>
      </c>
    </row>
    <row r="836">
      <c r="A836" s="1" t="n"/>
      <c r="B836" s="21" t="n"/>
      <c r="C836" s="22" t="n"/>
      <c r="D836" s="23" t="n"/>
      <c r="E836" s="24" t="n"/>
      <c r="F836" s="25" t="n"/>
      <c r="G836" s="25" t="n"/>
      <c r="H836" s="24" t="n"/>
      <c r="I836" s="25" t="n"/>
      <c r="J836" s="17">
        <f>IF(AND(C836="",D836="",G836=""),"",IF(NOT(ISNUMBER(B836)),"Needs a date",IF(AND(D836&lt;&gt;"",NOT(ISNUMBER(D836))),"Amount not a number",IF(N(D836)&lt;0,"Amount below zero",IF(AND(N(D836)=0,G836=""),"Needs an amount or goods",IF(C836="","",IF(COUNTIF(Donors!$B$6:$B$305,C836)=0,"Not on Donors","")))))))</f>
        <v/>
      </c>
      <c r="K836" s="1">
        <f>IF(ISNUMBER(B836),YEAR(B836),"")</f>
        <v/>
      </c>
      <c r="L836">
        <f>IF(ISNUMBER(B836),YEAR(B836)*100+MONTH(B836),"")</f>
        <v/>
      </c>
      <c r="M836">
        <f>IF(ISNUMBER(B836),INT(B836),0)</f>
        <v/>
      </c>
      <c r="N836">
        <f>IF(OR(C836="",F836="",Q836=0),0,IF(COUNTIFS(C$6:C836,C836,F$6:F836,F836,Q$6:Q836,1)=1,1,0))</f>
        <v/>
      </c>
      <c r="O836">
        <f>IF(OR(C836="",Q836=0,H836&lt;&gt;""),"",M836*10000+ROW())</f>
        <v/>
      </c>
      <c r="P836">
        <f>IF(OR(C836="",Q836=0),"",IF(AND(C836=Statement!$C$4,K836=Statement!$C$5),M836*10000+ROW(),""))</f>
        <v/>
      </c>
      <c r="Q836">
        <f>IF(AND(ISNUMBER(B836),OR(N(D836)&gt;0,G836&lt;&gt;"")),1,0)</f>
        <v/>
      </c>
    </row>
    <row r="837">
      <c r="A837" s="1" t="n"/>
      <c r="B837" s="21" t="n"/>
      <c r="C837" s="22" t="n"/>
      <c r="D837" s="23" t="n"/>
      <c r="E837" s="24" t="n"/>
      <c r="F837" s="25" t="n"/>
      <c r="G837" s="25" t="n"/>
      <c r="H837" s="24" t="n"/>
      <c r="I837" s="25" t="n"/>
      <c r="J837" s="17">
        <f>IF(AND(C837="",D837="",G837=""),"",IF(NOT(ISNUMBER(B837)),"Needs a date",IF(AND(D837&lt;&gt;"",NOT(ISNUMBER(D837))),"Amount not a number",IF(N(D837)&lt;0,"Amount below zero",IF(AND(N(D837)=0,G837=""),"Needs an amount or goods",IF(C837="","",IF(COUNTIF(Donors!$B$6:$B$305,C837)=0,"Not on Donors","")))))))</f>
        <v/>
      </c>
      <c r="K837" s="1">
        <f>IF(ISNUMBER(B837),YEAR(B837),"")</f>
        <v/>
      </c>
      <c r="L837">
        <f>IF(ISNUMBER(B837),YEAR(B837)*100+MONTH(B837),"")</f>
        <v/>
      </c>
      <c r="M837">
        <f>IF(ISNUMBER(B837),INT(B837),0)</f>
        <v/>
      </c>
      <c r="N837">
        <f>IF(OR(C837="",F837="",Q837=0),0,IF(COUNTIFS(C$6:C837,C837,F$6:F837,F837,Q$6:Q837,1)=1,1,0))</f>
        <v/>
      </c>
      <c r="O837">
        <f>IF(OR(C837="",Q837=0,H837&lt;&gt;""),"",M837*10000+ROW())</f>
        <v/>
      </c>
      <c r="P837">
        <f>IF(OR(C837="",Q837=0),"",IF(AND(C837=Statement!$C$4,K837=Statement!$C$5),M837*10000+ROW(),""))</f>
        <v/>
      </c>
      <c r="Q837">
        <f>IF(AND(ISNUMBER(B837),OR(N(D837)&gt;0,G837&lt;&gt;"")),1,0)</f>
        <v/>
      </c>
    </row>
    <row r="838">
      <c r="A838" s="1" t="n"/>
      <c r="B838" s="21" t="n"/>
      <c r="C838" s="22" t="n"/>
      <c r="D838" s="23" t="n"/>
      <c r="E838" s="24" t="n"/>
      <c r="F838" s="25" t="n"/>
      <c r="G838" s="25" t="n"/>
      <c r="H838" s="24" t="n"/>
      <c r="I838" s="25" t="n"/>
      <c r="J838" s="17">
        <f>IF(AND(C838="",D838="",G838=""),"",IF(NOT(ISNUMBER(B838)),"Needs a date",IF(AND(D838&lt;&gt;"",NOT(ISNUMBER(D838))),"Amount not a number",IF(N(D838)&lt;0,"Amount below zero",IF(AND(N(D838)=0,G838=""),"Needs an amount or goods",IF(C838="","",IF(COUNTIF(Donors!$B$6:$B$305,C838)=0,"Not on Donors","")))))))</f>
        <v/>
      </c>
      <c r="K838" s="1">
        <f>IF(ISNUMBER(B838),YEAR(B838),"")</f>
        <v/>
      </c>
      <c r="L838">
        <f>IF(ISNUMBER(B838),YEAR(B838)*100+MONTH(B838),"")</f>
        <v/>
      </c>
      <c r="M838">
        <f>IF(ISNUMBER(B838),INT(B838),0)</f>
        <v/>
      </c>
      <c r="N838">
        <f>IF(OR(C838="",F838="",Q838=0),0,IF(COUNTIFS(C$6:C838,C838,F$6:F838,F838,Q$6:Q838,1)=1,1,0))</f>
        <v/>
      </c>
      <c r="O838">
        <f>IF(OR(C838="",Q838=0,H838&lt;&gt;""),"",M838*10000+ROW())</f>
        <v/>
      </c>
      <c r="P838">
        <f>IF(OR(C838="",Q838=0),"",IF(AND(C838=Statement!$C$4,K838=Statement!$C$5),M838*10000+ROW(),""))</f>
        <v/>
      </c>
      <c r="Q838">
        <f>IF(AND(ISNUMBER(B838),OR(N(D838)&gt;0,G838&lt;&gt;"")),1,0)</f>
        <v/>
      </c>
    </row>
    <row r="839">
      <c r="A839" s="1" t="n"/>
      <c r="B839" s="21" t="n"/>
      <c r="C839" s="22" t="n"/>
      <c r="D839" s="23" t="n"/>
      <c r="E839" s="24" t="n"/>
      <c r="F839" s="25" t="n"/>
      <c r="G839" s="25" t="n"/>
      <c r="H839" s="24" t="n"/>
      <c r="I839" s="25" t="n"/>
      <c r="J839" s="17">
        <f>IF(AND(C839="",D839="",G839=""),"",IF(NOT(ISNUMBER(B839)),"Needs a date",IF(AND(D839&lt;&gt;"",NOT(ISNUMBER(D839))),"Amount not a number",IF(N(D839)&lt;0,"Amount below zero",IF(AND(N(D839)=0,G839=""),"Needs an amount or goods",IF(C839="","",IF(COUNTIF(Donors!$B$6:$B$305,C839)=0,"Not on Donors","")))))))</f>
        <v/>
      </c>
      <c r="K839" s="1">
        <f>IF(ISNUMBER(B839),YEAR(B839),"")</f>
        <v/>
      </c>
      <c r="L839">
        <f>IF(ISNUMBER(B839),YEAR(B839)*100+MONTH(B839),"")</f>
        <v/>
      </c>
      <c r="M839">
        <f>IF(ISNUMBER(B839),INT(B839),0)</f>
        <v/>
      </c>
      <c r="N839">
        <f>IF(OR(C839="",F839="",Q839=0),0,IF(COUNTIFS(C$6:C839,C839,F$6:F839,F839,Q$6:Q839,1)=1,1,0))</f>
        <v/>
      </c>
      <c r="O839">
        <f>IF(OR(C839="",Q839=0,H839&lt;&gt;""),"",M839*10000+ROW())</f>
        <v/>
      </c>
      <c r="P839">
        <f>IF(OR(C839="",Q839=0),"",IF(AND(C839=Statement!$C$4,K839=Statement!$C$5),M839*10000+ROW(),""))</f>
        <v/>
      </c>
      <c r="Q839">
        <f>IF(AND(ISNUMBER(B839),OR(N(D839)&gt;0,G839&lt;&gt;"")),1,0)</f>
        <v/>
      </c>
    </row>
    <row r="840">
      <c r="A840" s="1" t="n"/>
      <c r="B840" s="21" t="n"/>
      <c r="C840" s="22" t="n"/>
      <c r="D840" s="23" t="n"/>
      <c r="E840" s="24" t="n"/>
      <c r="F840" s="25" t="n"/>
      <c r="G840" s="25" t="n"/>
      <c r="H840" s="24" t="n"/>
      <c r="I840" s="25" t="n"/>
      <c r="J840" s="17">
        <f>IF(AND(C840="",D840="",G840=""),"",IF(NOT(ISNUMBER(B840)),"Needs a date",IF(AND(D840&lt;&gt;"",NOT(ISNUMBER(D840))),"Amount not a number",IF(N(D840)&lt;0,"Amount below zero",IF(AND(N(D840)=0,G840=""),"Needs an amount or goods",IF(C840="","",IF(COUNTIF(Donors!$B$6:$B$305,C840)=0,"Not on Donors","")))))))</f>
        <v/>
      </c>
      <c r="K840" s="1">
        <f>IF(ISNUMBER(B840),YEAR(B840),"")</f>
        <v/>
      </c>
      <c r="L840">
        <f>IF(ISNUMBER(B840),YEAR(B840)*100+MONTH(B840),"")</f>
        <v/>
      </c>
      <c r="M840">
        <f>IF(ISNUMBER(B840),INT(B840),0)</f>
        <v/>
      </c>
      <c r="N840">
        <f>IF(OR(C840="",F840="",Q840=0),0,IF(COUNTIFS(C$6:C840,C840,F$6:F840,F840,Q$6:Q840,1)=1,1,0))</f>
        <v/>
      </c>
      <c r="O840">
        <f>IF(OR(C840="",Q840=0,H840&lt;&gt;""),"",M840*10000+ROW())</f>
        <v/>
      </c>
      <c r="P840">
        <f>IF(OR(C840="",Q840=0),"",IF(AND(C840=Statement!$C$4,K840=Statement!$C$5),M840*10000+ROW(),""))</f>
        <v/>
      </c>
      <c r="Q840">
        <f>IF(AND(ISNUMBER(B840),OR(N(D840)&gt;0,G840&lt;&gt;"")),1,0)</f>
        <v/>
      </c>
    </row>
    <row r="841">
      <c r="A841" s="1" t="n"/>
      <c r="B841" s="21" t="n"/>
      <c r="C841" s="22" t="n"/>
      <c r="D841" s="23" t="n"/>
      <c r="E841" s="24" t="n"/>
      <c r="F841" s="25" t="n"/>
      <c r="G841" s="25" t="n"/>
      <c r="H841" s="24" t="n"/>
      <c r="I841" s="25" t="n"/>
      <c r="J841" s="17">
        <f>IF(AND(C841="",D841="",G841=""),"",IF(NOT(ISNUMBER(B841)),"Needs a date",IF(AND(D841&lt;&gt;"",NOT(ISNUMBER(D841))),"Amount not a number",IF(N(D841)&lt;0,"Amount below zero",IF(AND(N(D841)=0,G841=""),"Needs an amount or goods",IF(C841="","",IF(COUNTIF(Donors!$B$6:$B$305,C841)=0,"Not on Donors","")))))))</f>
        <v/>
      </c>
      <c r="K841" s="1">
        <f>IF(ISNUMBER(B841),YEAR(B841),"")</f>
        <v/>
      </c>
      <c r="L841">
        <f>IF(ISNUMBER(B841),YEAR(B841)*100+MONTH(B841),"")</f>
        <v/>
      </c>
      <c r="M841">
        <f>IF(ISNUMBER(B841),INT(B841),0)</f>
        <v/>
      </c>
      <c r="N841">
        <f>IF(OR(C841="",F841="",Q841=0),0,IF(COUNTIFS(C$6:C841,C841,F$6:F841,F841,Q$6:Q841,1)=1,1,0))</f>
        <v/>
      </c>
      <c r="O841">
        <f>IF(OR(C841="",Q841=0,H841&lt;&gt;""),"",M841*10000+ROW())</f>
        <v/>
      </c>
      <c r="P841">
        <f>IF(OR(C841="",Q841=0),"",IF(AND(C841=Statement!$C$4,K841=Statement!$C$5),M841*10000+ROW(),""))</f>
        <v/>
      </c>
      <c r="Q841">
        <f>IF(AND(ISNUMBER(B841),OR(N(D841)&gt;0,G841&lt;&gt;"")),1,0)</f>
        <v/>
      </c>
    </row>
    <row r="842">
      <c r="A842" s="1" t="n"/>
      <c r="B842" s="21" t="n"/>
      <c r="C842" s="22" t="n"/>
      <c r="D842" s="23" t="n"/>
      <c r="E842" s="24" t="n"/>
      <c r="F842" s="25" t="n"/>
      <c r="G842" s="25" t="n"/>
      <c r="H842" s="24" t="n"/>
      <c r="I842" s="25" t="n"/>
      <c r="J842" s="17">
        <f>IF(AND(C842="",D842="",G842=""),"",IF(NOT(ISNUMBER(B842)),"Needs a date",IF(AND(D842&lt;&gt;"",NOT(ISNUMBER(D842))),"Amount not a number",IF(N(D842)&lt;0,"Amount below zero",IF(AND(N(D842)=0,G842=""),"Needs an amount or goods",IF(C842="","",IF(COUNTIF(Donors!$B$6:$B$305,C842)=0,"Not on Donors","")))))))</f>
        <v/>
      </c>
      <c r="K842" s="1">
        <f>IF(ISNUMBER(B842),YEAR(B842),"")</f>
        <v/>
      </c>
      <c r="L842">
        <f>IF(ISNUMBER(B842),YEAR(B842)*100+MONTH(B842),"")</f>
        <v/>
      </c>
      <c r="M842">
        <f>IF(ISNUMBER(B842),INT(B842),0)</f>
        <v/>
      </c>
      <c r="N842">
        <f>IF(OR(C842="",F842="",Q842=0),0,IF(COUNTIFS(C$6:C842,C842,F$6:F842,F842,Q$6:Q842,1)=1,1,0))</f>
        <v/>
      </c>
      <c r="O842">
        <f>IF(OR(C842="",Q842=0,H842&lt;&gt;""),"",M842*10000+ROW())</f>
        <v/>
      </c>
      <c r="P842">
        <f>IF(OR(C842="",Q842=0),"",IF(AND(C842=Statement!$C$4,K842=Statement!$C$5),M842*10000+ROW(),""))</f>
        <v/>
      </c>
      <c r="Q842">
        <f>IF(AND(ISNUMBER(B842),OR(N(D842)&gt;0,G842&lt;&gt;"")),1,0)</f>
        <v/>
      </c>
    </row>
    <row r="843">
      <c r="A843" s="1" t="n"/>
      <c r="B843" s="21" t="n"/>
      <c r="C843" s="22" t="n"/>
      <c r="D843" s="23" t="n"/>
      <c r="E843" s="24" t="n"/>
      <c r="F843" s="25" t="n"/>
      <c r="G843" s="25" t="n"/>
      <c r="H843" s="24" t="n"/>
      <c r="I843" s="25" t="n"/>
      <c r="J843" s="17">
        <f>IF(AND(C843="",D843="",G843=""),"",IF(NOT(ISNUMBER(B843)),"Needs a date",IF(AND(D843&lt;&gt;"",NOT(ISNUMBER(D843))),"Amount not a number",IF(N(D843)&lt;0,"Amount below zero",IF(AND(N(D843)=0,G843=""),"Needs an amount or goods",IF(C843="","",IF(COUNTIF(Donors!$B$6:$B$305,C843)=0,"Not on Donors","")))))))</f>
        <v/>
      </c>
      <c r="K843" s="1">
        <f>IF(ISNUMBER(B843),YEAR(B843),"")</f>
        <v/>
      </c>
      <c r="L843">
        <f>IF(ISNUMBER(B843),YEAR(B843)*100+MONTH(B843),"")</f>
        <v/>
      </c>
      <c r="M843">
        <f>IF(ISNUMBER(B843),INT(B843),0)</f>
        <v/>
      </c>
      <c r="N843">
        <f>IF(OR(C843="",F843="",Q843=0),0,IF(COUNTIFS(C$6:C843,C843,F$6:F843,F843,Q$6:Q843,1)=1,1,0))</f>
        <v/>
      </c>
      <c r="O843">
        <f>IF(OR(C843="",Q843=0,H843&lt;&gt;""),"",M843*10000+ROW())</f>
        <v/>
      </c>
      <c r="P843">
        <f>IF(OR(C843="",Q843=0),"",IF(AND(C843=Statement!$C$4,K843=Statement!$C$5),M843*10000+ROW(),""))</f>
        <v/>
      </c>
      <c r="Q843">
        <f>IF(AND(ISNUMBER(B843),OR(N(D843)&gt;0,G843&lt;&gt;"")),1,0)</f>
        <v/>
      </c>
    </row>
    <row r="844">
      <c r="A844" s="1" t="n"/>
      <c r="B844" s="21" t="n"/>
      <c r="C844" s="22" t="n"/>
      <c r="D844" s="23" t="n"/>
      <c r="E844" s="24" t="n"/>
      <c r="F844" s="25" t="n"/>
      <c r="G844" s="25" t="n"/>
      <c r="H844" s="24" t="n"/>
      <c r="I844" s="25" t="n"/>
      <c r="J844" s="17">
        <f>IF(AND(C844="",D844="",G844=""),"",IF(NOT(ISNUMBER(B844)),"Needs a date",IF(AND(D844&lt;&gt;"",NOT(ISNUMBER(D844))),"Amount not a number",IF(N(D844)&lt;0,"Amount below zero",IF(AND(N(D844)=0,G844=""),"Needs an amount or goods",IF(C844="","",IF(COUNTIF(Donors!$B$6:$B$305,C844)=0,"Not on Donors","")))))))</f>
        <v/>
      </c>
      <c r="K844" s="1">
        <f>IF(ISNUMBER(B844),YEAR(B844),"")</f>
        <v/>
      </c>
      <c r="L844">
        <f>IF(ISNUMBER(B844),YEAR(B844)*100+MONTH(B844),"")</f>
        <v/>
      </c>
      <c r="M844">
        <f>IF(ISNUMBER(B844),INT(B844),0)</f>
        <v/>
      </c>
      <c r="N844">
        <f>IF(OR(C844="",F844="",Q844=0),0,IF(COUNTIFS(C$6:C844,C844,F$6:F844,F844,Q$6:Q844,1)=1,1,0))</f>
        <v/>
      </c>
      <c r="O844">
        <f>IF(OR(C844="",Q844=0,H844&lt;&gt;""),"",M844*10000+ROW())</f>
        <v/>
      </c>
      <c r="P844">
        <f>IF(OR(C844="",Q844=0),"",IF(AND(C844=Statement!$C$4,K844=Statement!$C$5),M844*10000+ROW(),""))</f>
        <v/>
      </c>
      <c r="Q844">
        <f>IF(AND(ISNUMBER(B844),OR(N(D844)&gt;0,G844&lt;&gt;"")),1,0)</f>
        <v/>
      </c>
    </row>
    <row r="845">
      <c r="A845" s="1" t="n"/>
      <c r="B845" s="21" t="n"/>
      <c r="C845" s="22" t="n"/>
      <c r="D845" s="23" t="n"/>
      <c r="E845" s="24" t="n"/>
      <c r="F845" s="25" t="n"/>
      <c r="G845" s="25" t="n"/>
      <c r="H845" s="24" t="n"/>
      <c r="I845" s="25" t="n"/>
      <c r="J845" s="17">
        <f>IF(AND(C845="",D845="",G845=""),"",IF(NOT(ISNUMBER(B845)),"Needs a date",IF(AND(D845&lt;&gt;"",NOT(ISNUMBER(D845))),"Amount not a number",IF(N(D845)&lt;0,"Amount below zero",IF(AND(N(D845)=0,G845=""),"Needs an amount or goods",IF(C845="","",IF(COUNTIF(Donors!$B$6:$B$305,C845)=0,"Not on Donors","")))))))</f>
        <v/>
      </c>
      <c r="K845" s="1">
        <f>IF(ISNUMBER(B845),YEAR(B845),"")</f>
        <v/>
      </c>
      <c r="L845">
        <f>IF(ISNUMBER(B845),YEAR(B845)*100+MONTH(B845),"")</f>
        <v/>
      </c>
      <c r="M845">
        <f>IF(ISNUMBER(B845),INT(B845),0)</f>
        <v/>
      </c>
      <c r="N845">
        <f>IF(OR(C845="",F845="",Q845=0),0,IF(COUNTIFS(C$6:C845,C845,F$6:F845,F845,Q$6:Q845,1)=1,1,0))</f>
        <v/>
      </c>
      <c r="O845">
        <f>IF(OR(C845="",Q845=0,H845&lt;&gt;""),"",M845*10000+ROW())</f>
        <v/>
      </c>
      <c r="P845">
        <f>IF(OR(C845="",Q845=0),"",IF(AND(C845=Statement!$C$4,K845=Statement!$C$5),M845*10000+ROW(),""))</f>
        <v/>
      </c>
      <c r="Q845">
        <f>IF(AND(ISNUMBER(B845),OR(N(D845)&gt;0,G845&lt;&gt;"")),1,0)</f>
        <v/>
      </c>
    </row>
    <row r="846">
      <c r="A846" s="1" t="n"/>
      <c r="B846" s="21" t="n"/>
      <c r="C846" s="22" t="n"/>
      <c r="D846" s="23" t="n"/>
      <c r="E846" s="24" t="n"/>
      <c r="F846" s="25" t="n"/>
      <c r="G846" s="25" t="n"/>
      <c r="H846" s="24" t="n"/>
      <c r="I846" s="25" t="n"/>
      <c r="J846" s="17">
        <f>IF(AND(C846="",D846="",G846=""),"",IF(NOT(ISNUMBER(B846)),"Needs a date",IF(AND(D846&lt;&gt;"",NOT(ISNUMBER(D846))),"Amount not a number",IF(N(D846)&lt;0,"Amount below zero",IF(AND(N(D846)=0,G846=""),"Needs an amount or goods",IF(C846="","",IF(COUNTIF(Donors!$B$6:$B$305,C846)=0,"Not on Donors","")))))))</f>
        <v/>
      </c>
      <c r="K846" s="1">
        <f>IF(ISNUMBER(B846),YEAR(B846),"")</f>
        <v/>
      </c>
      <c r="L846">
        <f>IF(ISNUMBER(B846),YEAR(B846)*100+MONTH(B846),"")</f>
        <v/>
      </c>
      <c r="M846">
        <f>IF(ISNUMBER(B846),INT(B846),0)</f>
        <v/>
      </c>
      <c r="N846">
        <f>IF(OR(C846="",F846="",Q846=0),0,IF(COUNTIFS(C$6:C846,C846,F$6:F846,F846,Q$6:Q846,1)=1,1,0))</f>
        <v/>
      </c>
      <c r="O846">
        <f>IF(OR(C846="",Q846=0,H846&lt;&gt;""),"",M846*10000+ROW())</f>
        <v/>
      </c>
      <c r="P846">
        <f>IF(OR(C846="",Q846=0),"",IF(AND(C846=Statement!$C$4,K846=Statement!$C$5),M846*10000+ROW(),""))</f>
        <v/>
      </c>
      <c r="Q846">
        <f>IF(AND(ISNUMBER(B846),OR(N(D846)&gt;0,G846&lt;&gt;"")),1,0)</f>
        <v/>
      </c>
    </row>
    <row r="847">
      <c r="A847" s="1" t="n"/>
      <c r="B847" s="21" t="n"/>
      <c r="C847" s="22" t="n"/>
      <c r="D847" s="23" t="n"/>
      <c r="E847" s="24" t="n"/>
      <c r="F847" s="25" t="n"/>
      <c r="G847" s="25" t="n"/>
      <c r="H847" s="24" t="n"/>
      <c r="I847" s="25" t="n"/>
      <c r="J847" s="17">
        <f>IF(AND(C847="",D847="",G847=""),"",IF(NOT(ISNUMBER(B847)),"Needs a date",IF(AND(D847&lt;&gt;"",NOT(ISNUMBER(D847))),"Amount not a number",IF(N(D847)&lt;0,"Amount below zero",IF(AND(N(D847)=0,G847=""),"Needs an amount or goods",IF(C847="","",IF(COUNTIF(Donors!$B$6:$B$305,C847)=0,"Not on Donors","")))))))</f>
        <v/>
      </c>
      <c r="K847" s="1">
        <f>IF(ISNUMBER(B847),YEAR(B847),"")</f>
        <v/>
      </c>
      <c r="L847">
        <f>IF(ISNUMBER(B847),YEAR(B847)*100+MONTH(B847),"")</f>
        <v/>
      </c>
      <c r="M847">
        <f>IF(ISNUMBER(B847),INT(B847),0)</f>
        <v/>
      </c>
      <c r="N847">
        <f>IF(OR(C847="",F847="",Q847=0),0,IF(COUNTIFS(C$6:C847,C847,F$6:F847,F847,Q$6:Q847,1)=1,1,0))</f>
        <v/>
      </c>
      <c r="O847">
        <f>IF(OR(C847="",Q847=0,H847&lt;&gt;""),"",M847*10000+ROW())</f>
        <v/>
      </c>
      <c r="P847">
        <f>IF(OR(C847="",Q847=0),"",IF(AND(C847=Statement!$C$4,K847=Statement!$C$5),M847*10000+ROW(),""))</f>
        <v/>
      </c>
      <c r="Q847">
        <f>IF(AND(ISNUMBER(B847),OR(N(D847)&gt;0,G847&lt;&gt;"")),1,0)</f>
        <v/>
      </c>
    </row>
    <row r="848">
      <c r="A848" s="1" t="n"/>
      <c r="B848" s="21" t="n"/>
      <c r="C848" s="22" t="n"/>
      <c r="D848" s="23" t="n"/>
      <c r="E848" s="24" t="n"/>
      <c r="F848" s="25" t="n"/>
      <c r="G848" s="25" t="n"/>
      <c r="H848" s="24" t="n"/>
      <c r="I848" s="25" t="n"/>
      <c r="J848" s="17">
        <f>IF(AND(C848="",D848="",G848=""),"",IF(NOT(ISNUMBER(B848)),"Needs a date",IF(AND(D848&lt;&gt;"",NOT(ISNUMBER(D848))),"Amount not a number",IF(N(D848)&lt;0,"Amount below zero",IF(AND(N(D848)=0,G848=""),"Needs an amount or goods",IF(C848="","",IF(COUNTIF(Donors!$B$6:$B$305,C848)=0,"Not on Donors","")))))))</f>
        <v/>
      </c>
      <c r="K848" s="1">
        <f>IF(ISNUMBER(B848),YEAR(B848),"")</f>
        <v/>
      </c>
      <c r="L848">
        <f>IF(ISNUMBER(B848),YEAR(B848)*100+MONTH(B848),"")</f>
        <v/>
      </c>
      <c r="M848">
        <f>IF(ISNUMBER(B848),INT(B848),0)</f>
        <v/>
      </c>
      <c r="N848">
        <f>IF(OR(C848="",F848="",Q848=0),0,IF(COUNTIFS(C$6:C848,C848,F$6:F848,F848,Q$6:Q848,1)=1,1,0))</f>
        <v/>
      </c>
      <c r="O848">
        <f>IF(OR(C848="",Q848=0,H848&lt;&gt;""),"",M848*10000+ROW())</f>
        <v/>
      </c>
      <c r="P848">
        <f>IF(OR(C848="",Q848=0),"",IF(AND(C848=Statement!$C$4,K848=Statement!$C$5),M848*10000+ROW(),""))</f>
        <v/>
      </c>
      <c r="Q848">
        <f>IF(AND(ISNUMBER(B848),OR(N(D848)&gt;0,G848&lt;&gt;"")),1,0)</f>
        <v/>
      </c>
    </row>
    <row r="849">
      <c r="A849" s="1" t="n"/>
      <c r="B849" s="21" t="n"/>
      <c r="C849" s="22" t="n"/>
      <c r="D849" s="23" t="n"/>
      <c r="E849" s="24" t="n"/>
      <c r="F849" s="25" t="n"/>
      <c r="G849" s="25" t="n"/>
      <c r="H849" s="24" t="n"/>
      <c r="I849" s="25" t="n"/>
      <c r="J849" s="17">
        <f>IF(AND(C849="",D849="",G849=""),"",IF(NOT(ISNUMBER(B849)),"Needs a date",IF(AND(D849&lt;&gt;"",NOT(ISNUMBER(D849))),"Amount not a number",IF(N(D849)&lt;0,"Amount below zero",IF(AND(N(D849)=0,G849=""),"Needs an amount or goods",IF(C849="","",IF(COUNTIF(Donors!$B$6:$B$305,C849)=0,"Not on Donors","")))))))</f>
        <v/>
      </c>
      <c r="K849" s="1">
        <f>IF(ISNUMBER(B849),YEAR(B849),"")</f>
        <v/>
      </c>
      <c r="L849">
        <f>IF(ISNUMBER(B849),YEAR(B849)*100+MONTH(B849),"")</f>
        <v/>
      </c>
      <c r="M849">
        <f>IF(ISNUMBER(B849),INT(B849),0)</f>
        <v/>
      </c>
      <c r="N849">
        <f>IF(OR(C849="",F849="",Q849=0),0,IF(COUNTIFS(C$6:C849,C849,F$6:F849,F849,Q$6:Q849,1)=1,1,0))</f>
        <v/>
      </c>
      <c r="O849">
        <f>IF(OR(C849="",Q849=0,H849&lt;&gt;""),"",M849*10000+ROW())</f>
        <v/>
      </c>
      <c r="P849">
        <f>IF(OR(C849="",Q849=0),"",IF(AND(C849=Statement!$C$4,K849=Statement!$C$5),M849*10000+ROW(),""))</f>
        <v/>
      </c>
      <c r="Q849">
        <f>IF(AND(ISNUMBER(B849),OR(N(D849)&gt;0,G849&lt;&gt;"")),1,0)</f>
        <v/>
      </c>
    </row>
    <row r="850">
      <c r="A850" s="1" t="n"/>
      <c r="B850" s="21" t="n"/>
      <c r="C850" s="22" t="n"/>
      <c r="D850" s="23" t="n"/>
      <c r="E850" s="24" t="n"/>
      <c r="F850" s="25" t="n"/>
      <c r="G850" s="25" t="n"/>
      <c r="H850" s="24" t="n"/>
      <c r="I850" s="25" t="n"/>
      <c r="J850" s="17">
        <f>IF(AND(C850="",D850="",G850=""),"",IF(NOT(ISNUMBER(B850)),"Needs a date",IF(AND(D850&lt;&gt;"",NOT(ISNUMBER(D850))),"Amount not a number",IF(N(D850)&lt;0,"Amount below zero",IF(AND(N(D850)=0,G850=""),"Needs an amount or goods",IF(C850="","",IF(COUNTIF(Donors!$B$6:$B$305,C850)=0,"Not on Donors","")))))))</f>
        <v/>
      </c>
      <c r="K850" s="1">
        <f>IF(ISNUMBER(B850),YEAR(B850),"")</f>
        <v/>
      </c>
      <c r="L850">
        <f>IF(ISNUMBER(B850),YEAR(B850)*100+MONTH(B850),"")</f>
        <v/>
      </c>
      <c r="M850">
        <f>IF(ISNUMBER(B850),INT(B850),0)</f>
        <v/>
      </c>
      <c r="N850">
        <f>IF(OR(C850="",F850="",Q850=0),0,IF(COUNTIFS(C$6:C850,C850,F$6:F850,F850,Q$6:Q850,1)=1,1,0))</f>
        <v/>
      </c>
      <c r="O850">
        <f>IF(OR(C850="",Q850=0,H850&lt;&gt;""),"",M850*10000+ROW())</f>
        <v/>
      </c>
      <c r="P850">
        <f>IF(OR(C850="",Q850=0),"",IF(AND(C850=Statement!$C$4,K850=Statement!$C$5),M850*10000+ROW(),""))</f>
        <v/>
      </c>
      <c r="Q850">
        <f>IF(AND(ISNUMBER(B850),OR(N(D850)&gt;0,G850&lt;&gt;"")),1,0)</f>
        <v/>
      </c>
    </row>
    <row r="851">
      <c r="A851" s="1" t="n"/>
      <c r="B851" s="21" t="n"/>
      <c r="C851" s="22" t="n"/>
      <c r="D851" s="23" t="n"/>
      <c r="E851" s="24" t="n"/>
      <c r="F851" s="25" t="n"/>
      <c r="G851" s="25" t="n"/>
      <c r="H851" s="24" t="n"/>
      <c r="I851" s="25" t="n"/>
      <c r="J851" s="17">
        <f>IF(AND(C851="",D851="",G851=""),"",IF(NOT(ISNUMBER(B851)),"Needs a date",IF(AND(D851&lt;&gt;"",NOT(ISNUMBER(D851))),"Amount not a number",IF(N(D851)&lt;0,"Amount below zero",IF(AND(N(D851)=0,G851=""),"Needs an amount or goods",IF(C851="","",IF(COUNTIF(Donors!$B$6:$B$305,C851)=0,"Not on Donors","")))))))</f>
        <v/>
      </c>
      <c r="K851" s="1">
        <f>IF(ISNUMBER(B851),YEAR(B851),"")</f>
        <v/>
      </c>
      <c r="L851">
        <f>IF(ISNUMBER(B851),YEAR(B851)*100+MONTH(B851),"")</f>
        <v/>
      </c>
      <c r="M851">
        <f>IF(ISNUMBER(B851),INT(B851),0)</f>
        <v/>
      </c>
      <c r="N851">
        <f>IF(OR(C851="",F851="",Q851=0),0,IF(COUNTIFS(C$6:C851,C851,F$6:F851,F851,Q$6:Q851,1)=1,1,0))</f>
        <v/>
      </c>
      <c r="O851">
        <f>IF(OR(C851="",Q851=0,H851&lt;&gt;""),"",M851*10000+ROW())</f>
        <v/>
      </c>
      <c r="P851">
        <f>IF(OR(C851="",Q851=0),"",IF(AND(C851=Statement!$C$4,K851=Statement!$C$5),M851*10000+ROW(),""))</f>
        <v/>
      </c>
      <c r="Q851">
        <f>IF(AND(ISNUMBER(B851),OR(N(D851)&gt;0,G851&lt;&gt;"")),1,0)</f>
        <v/>
      </c>
    </row>
    <row r="852">
      <c r="A852" s="1" t="n"/>
      <c r="B852" s="21" t="n"/>
      <c r="C852" s="22" t="n"/>
      <c r="D852" s="23" t="n"/>
      <c r="E852" s="24" t="n"/>
      <c r="F852" s="25" t="n"/>
      <c r="G852" s="25" t="n"/>
      <c r="H852" s="24" t="n"/>
      <c r="I852" s="25" t="n"/>
      <c r="J852" s="17">
        <f>IF(AND(C852="",D852="",G852=""),"",IF(NOT(ISNUMBER(B852)),"Needs a date",IF(AND(D852&lt;&gt;"",NOT(ISNUMBER(D852))),"Amount not a number",IF(N(D852)&lt;0,"Amount below zero",IF(AND(N(D852)=0,G852=""),"Needs an amount or goods",IF(C852="","",IF(COUNTIF(Donors!$B$6:$B$305,C852)=0,"Not on Donors","")))))))</f>
        <v/>
      </c>
      <c r="K852" s="1">
        <f>IF(ISNUMBER(B852),YEAR(B852),"")</f>
        <v/>
      </c>
      <c r="L852">
        <f>IF(ISNUMBER(B852),YEAR(B852)*100+MONTH(B852),"")</f>
        <v/>
      </c>
      <c r="M852">
        <f>IF(ISNUMBER(B852),INT(B852),0)</f>
        <v/>
      </c>
      <c r="N852">
        <f>IF(OR(C852="",F852="",Q852=0),0,IF(COUNTIFS(C$6:C852,C852,F$6:F852,F852,Q$6:Q852,1)=1,1,0))</f>
        <v/>
      </c>
      <c r="O852">
        <f>IF(OR(C852="",Q852=0,H852&lt;&gt;""),"",M852*10000+ROW())</f>
        <v/>
      </c>
      <c r="P852">
        <f>IF(OR(C852="",Q852=0),"",IF(AND(C852=Statement!$C$4,K852=Statement!$C$5),M852*10000+ROW(),""))</f>
        <v/>
      </c>
      <c r="Q852">
        <f>IF(AND(ISNUMBER(B852),OR(N(D852)&gt;0,G852&lt;&gt;"")),1,0)</f>
        <v/>
      </c>
    </row>
    <row r="853">
      <c r="A853" s="1" t="n"/>
      <c r="B853" s="21" t="n"/>
      <c r="C853" s="22" t="n"/>
      <c r="D853" s="23" t="n"/>
      <c r="E853" s="24" t="n"/>
      <c r="F853" s="25" t="n"/>
      <c r="G853" s="25" t="n"/>
      <c r="H853" s="24" t="n"/>
      <c r="I853" s="25" t="n"/>
      <c r="J853" s="17">
        <f>IF(AND(C853="",D853="",G853=""),"",IF(NOT(ISNUMBER(B853)),"Needs a date",IF(AND(D853&lt;&gt;"",NOT(ISNUMBER(D853))),"Amount not a number",IF(N(D853)&lt;0,"Amount below zero",IF(AND(N(D853)=0,G853=""),"Needs an amount or goods",IF(C853="","",IF(COUNTIF(Donors!$B$6:$B$305,C853)=0,"Not on Donors","")))))))</f>
        <v/>
      </c>
      <c r="K853" s="1">
        <f>IF(ISNUMBER(B853),YEAR(B853),"")</f>
        <v/>
      </c>
      <c r="L853">
        <f>IF(ISNUMBER(B853),YEAR(B853)*100+MONTH(B853),"")</f>
        <v/>
      </c>
      <c r="M853">
        <f>IF(ISNUMBER(B853),INT(B853),0)</f>
        <v/>
      </c>
      <c r="N853">
        <f>IF(OR(C853="",F853="",Q853=0),0,IF(COUNTIFS(C$6:C853,C853,F$6:F853,F853,Q$6:Q853,1)=1,1,0))</f>
        <v/>
      </c>
      <c r="O853">
        <f>IF(OR(C853="",Q853=0,H853&lt;&gt;""),"",M853*10000+ROW())</f>
        <v/>
      </c>
      <c r="P853">
        <f>IF(OR(C853="",Q853=0),"",IF(AND(C853=Statement!$C$4,K853=Statement!$C$5),M853*10000+ROW(),""))</f>
        <v/>
      </c>
      <c r="Q853">
        <f>IF(AND(ISNUMBER(B853),OR(N(D853)&gt;0,G853&lt;&gt;"")),1,0)</f>
        <v/>
      </c>
    </row>
    <row r="854">
      <c r="A854" s="1" t="n"/>
      <c r="B854" s="21" t="n"/>
      <c r="C854" s="22" t="n"/>
      <c r="D854" s="23" t="n"/>
      <c r="E854" s="24" t="n"/>
      <c r="F854" s="25" t="n"/>
      <c r="G854" s="25" t="n"/>
      <c r="H854" s="24" t="n"/>
      <c r="I854" s="25" t="n"/>
      <c r="J854" s="17">
        <f>IF(AND(C854="",D854="",G854=""),"",IF(NOT(ISNUMBER(B854)),"Needs a date",IF(AND(D854&lt;&gt;"",NOT(ISNUMBER(D854))),"Amount not a number",IF(N(D854)&lt;0,"Amount below zero",IF(AND(N(D854)=0,G854=""),"Needs an amount or goods",IF(C854="","",IF(COUNTIF(Donors!$B$6:$B$305,C854)=0,"Not on Donors","")))))))</f>
        <v/>
      </c>
      <c r="K854" s="1">
        <f>IF(ISNUMBER(B854),YEAR(B854),"")</f>
        <v/>
      </c>
      <c r="L854">
        <f>IF(ISNUMBER(B854),YEAR(B854)*100+MONTH(B854),"")</f>
        <v/>
      </c>
      <c r="M854">
        <f>IF(ISNUMBER(B854),INT(B854),0)</f>
        <v/>
      </c>
      <c r="N854">
        <f>IF(OR(C854="",F854="",Q854=0),0,IF(COUNTIFS(C$6:C854,C854,F$6:F854,F854,Q$6:Q854,1)=1,1,0))</f>
        <v/>
      </c>
      <c r="O854">
        <f>IF(OR(C854="",Q854=0,H854&lt;&gt;""),"",M854*10000+ROW())</f>
        <v/>
      </c>
      <c r="P854">
        <f>IF(OR(C854="",Q854=0),"",IF(AND(C854=Statement!$C$4,K854=Statement!$C$5),M854*10000+ROW(),""))</f>
        <v/>
      </c>
      <c r="Q854">
        <f>IF(AND(ISNUMBER(B854),OR(N(D854)&gt;0,G854&lt;&gt;"")),1,0)</f>
        <v/>
      </c>
    </row>
    <row r="855">
      <c r="A855" s="1" t="n"/>
      <c r="B855" s="21" t="n"/>
      <c r="C855" s="22" t="n"/>
      <c r="D855" s="23" t="n"/>
      <c r="E855" s="24" t="n"/>
      <c r="F855" s="25" t="n"/>
      <c r="G855" s="25" t="n"/>
      <c r="H855" s="24" t="n"/>
      <c r="I855" s="25" t="n"/>
      <c r="J855" s="17">
        <f>IF(AND(C855="",D855="",G855=""),"",IF(NOT(ISNUMBER(B855)),"Needs a date",IF(AND(D855&lt;&gt;"",NOT(ISNUMBER(D855))),"Amount not a number",IF(N(D855)&lt;0,"Amount below zero",IF(AND(N(D855)=0,G855=""),"Needs an amount or goods",IF(C855="","",IF(COUNTIF(Donors!$B$6:$B$305,C855)=0,"Not on Donors","")))))))</f>
        <v/>
      </c>
      <c r="K855" s="1">
        <f>IF(ISNUMBER(B855),YEAR(B855),"")</f>
        <v/>
      </c>
      <c r="L855">
        <f>IF(ISNUMBER(B855),YEAR(B855)*100+MONTH(B855),"")</f>
        <v/>
      </c>
      <c r="M855">
        <f>IF(ISNUMBER(B855),INT(B855),0)</f>
        <v/>
      </c>
      <c r="N855">
        <f>IF(OR(C855="",F855="",Q855=0),0,IF(COUNTIFS(C$6:C855,C855,F$6:F855,F855,Q$6:Q855,1)=1,1,0))</f>
        <v/>
      </c>
      <c r="O855">
        <f>IF(OR(C855="",Q855=0,H855&lt;&gt;""),"",M855*10000+ROW())</f>
        <v/>
      </c>
      <c r="P855">
        <f>IF(OR(C855="",Q855=0),"",IF(AND(C855=Statement!$C$4,K855=Statement!$C$5),M855*10000+ROW(),""))</f>
        <v/>
      </c>
      <c r="Q855">
        <f>IF(AND(ISNUMBER(B855),OR(N(D855)&gt;0,G855&lt;&gt;"")),1,0)</f>
        <v/>
      </c>
    </row>
    <row r="856">
      <c r="A856" s="1" t="n"/>
      <c r="B856" s="21" t="n"/>
      <c r="C856" s="22" t="n"/>
      <c r="D856" s="23" t="n"/>
      <c r="E856" s="24" t="n"/>
      <c r="F856" s="25" t="n"/>
      <c r="G856" s="25" t="n"/>
      <c r="H856" s="24" t="n"/>
      <c r="I856" s="25" t="n"/>
      <c r="J856" s="17">
        <f>IF(AND(C856="",D856="",G856=""),"",IF(NOT(ISNUMBER(B856)),"Needs a date",IF(AND(D856&lt;&gt;"",NOT(ISNUMBER(D856))),"Amount not a number",IF(N(D856)&lt;0,"Amount below zero",IF(AND(N(D856)=0,G856=""),"Needs an amount or goods",IF(C856="","",IF(COUNTIF(Donors!$B$6:$B$305,C856)=0,"Not on Donors","")))))))</f>
        <v/>
      </c>
      <c r="K856" s="1">
        <f>IF(ISNUMBER(B856),YEAR(B856),"")</f>
        <v/>
      </c>
      <c r="L856">
        <f>IF(ISNUMBER(B856),YEAR(B856)*100+MONTH(B856),"")</f>
        <v/>
      </c>
      <c r="M856">
        <f>IF(ISNUMBER(B856),INT(B856),0)</f>
        <v/>
      </c>
      <c r="N856">
        <f>IF(OR(C856="",F856="",Q856=0),0,IF(COUNTIFS(C$6:C856,C856,F$6:F856,F856,Q$6:Q856,1)=1,1,0))</f>
        <v/>
      </c>
      <c r="O856">
        <f>IF(OR(C856="",Q856=0,H856&lt;&gt;""),"",M856*10000+ROW())</f>
        <v/>
      </c>
      <c r="P856">
        <f>IF(OR(C856="",Q856=0),"",IF(AND(C856=Statement!$C$4,K856=Statement!$C$5),M856*10000+ROW(),""))</f>
        <v/>
      </c>
      <c r="Q856">
        <f>IF(AND(ISNUMBER(B856),OR(N(D856)&gt;0,G856&lt;&gt;"")),1,0)</f>
        <v/>
      </c>
    </row>
    <row r="857">
      <c r="A857" s="1" t="n"/>
      <c r="B857" s="21" t="n"/>
      <c r="C857" s="22" t="n"/>
      <c r="D857" s="23" t="n"/>
      <c r="E857" s="24" t="n"/>
      <c r="F857" s="25" t="n"/>
      <c r="G857" s="25" t="n"/>
      <c r="H857" s="24" t="n"/>
      <c r="I857" s="25" t="n"/>
      <c r="J857" s="17">
        <f>IF(AND(C857="",D857="",G857=""),"",IF(NOT(ISNUMBER(B857)),"Needs a date",IF(AND(D857&lt;&gt;"",NOT(ISNUMBER(D857))),"Amount not a number",IF(N(D857)&lt;0,"Amount below zero",IF(AND(N(D857)=0,G857=""),"Needs an amount or goods",IF(C857="","",IF(COUNTIF(Donors!$B$6:$B$305,C857)=0,"Not on Donors","")))))))</f>
        <v/>
      </c>
      <c r="K857" s="1">
        <f>IF(ISNUMBER(B857),YEAR(B857),"")</f>
        <v/>
      </c>
      <c r="L857">
        <f>IF(ISNUMBER(B857),YEAR(B857)*100+MONTH(B857),"")</f>
        <v/>
      </c>
      <c r="M857">
        <f>IF(ISNUMBER(B857),INT(B857),0)</f>
        <v/>
      </c>
      <c r="N857">
        <f>IF(OR(C857="",F857="",Q857=0),0,IF(COUNTIFS(C$6:C857,C857,F$6:F857,F857,Q$6:Q857,1)=1,1,0))</f>
        <v/>
      </c>
      <c r="O857">
        <f>IF(OR(C857="",Q857=0,H857&lt;&gt;""),"",M857*10000+ROW())</f>
        <v/>
      </c>
      <c r="P857">
        <f>IF(OR(C857="",Q857=0),"",IF(AND(C857=Statement!$C$4,K857=Statement!$C$5),M857*10000+ROW(),""))</f>
        <v/>
      </c>
      <c r="Q857">
        <f>IF(AND(ISNUMBER(B857),OR(N(D857)&gt;0,G857&lt;&gt;"")),1,0)</f>
        <v/>
      </c>
    </row>
    <row r="858">
      <c r="A858" s="1" t="n"/>
      <c r="B858" s="21" t="n"/>
      <c r="C858" s="22" t="n"/>
      <c r="D858" s="23" t="n"/>
      <c r="E858" s="24" t="n"/>
      <c r="F858" s="25" t="n"/>
      <c r="G858" s="25" t="n"/>
      <c r="H858" s="24" t="n"/>
      <c r="I858" s="25" t="n"/>
      <c r="J858" s="17">
        <f>IF(AND(C858="",D858="",G858=""),"",IF(NOT(ISNUMBER(B858)),"Needs a date",IF(AND(D858&lt;&gt;"",NOT(ISNUMBER(D858))),"Amount not a number",IF(N(D858)&lt;0,"Amount below zero",IF(AND(N(D858)=0,G858=""),"Needs an amount or goods",IF(C858="","",IF(COUNTIF(Donors!$B$6:$B$305,C858)=0,"Not on Donors","")))))))</f>
        <v/>
      </c>
      <c r="K858" s="1">
        <f>IF(ISNUMBER(B858),YEAR(B858),"")</f>
        <v/>
      </c>
      <c r="L858">
        <f>IF(ISNUMBER(B858),YEAR(B858)*100+MONTH(B858),"")</f>
        <v/>
      </c>
      <c r="M858">
        <f>IF(ISNUMBER(B858),INT(B858),0)</f>
        <v/>
      </c>
      <c r="N858">
        <f>IF(OR(C858="",F858="",Q858=0),0,IF(COUNTIFS(C$6:C858,C858,F$6:F858,F858,Q$6:Q858,1)=1,1,0))</f>
        <v/>
      </c>
      <c r="O858">
        <f>IF(OR(C858="",Q858=0,H858&lt;&gt;""),"",M858*10000+ROW())</f>
        <v/>
      </c>
      <c r="P858">
        <f>IF(OR(C858="",Q858=0),"",IF(AND(C858=Statement!$C$4,K858=Statement!$C$5),M858*10000+ROW(),""))</f>
        <v/>
      </c>
      <c r="Q858">
        <f>IF(AND(ISNUMBER(B858),OR(N(D858)&gt;0,G858&lt;&gt;"")),1,0)</f>
        <v/>
      </c>
    </row>
    <row r="859">
      <c r="A859" s="1" t="n"/>
      <c r="B859" s="21" t="n"/>
      <c r="C859" s="22" t="n"/>
      <c r="D859" s="23" t="n"/>
      <c r="E859" s="24" t="n"/>
      <c r="F859" s="25" t="n"/>
      <c r="G859" s="25" t="n"/>
      <c r="H859" s="24" t="n"/>
      <c r="I859" s="25" t="n"/>
      <c r="J859" s="17">
        <f>IF(AND(C859="",D859="",G859=""),"",IF(NOT(ISNUMBER(B859)),"Needs a date",IF(AND(D859&lt;&gt;"",NOT(ISNUMBER(D859))),"Amount not a number",IF(N(D859)&lt;0,"Amount below zero",IF(AND(N(D859)=0,G859=""),"Needs an amount or goods",IF(C859="","",IF(COUNTIF(Donors!$B$6:$B$305,C859)=0,"Not on Donors","")))))))</f>
        <v/>
      </c>
      <c r="K859" s="1">
        <f>IF(ISNUMBER(B859),YEAR(B859),"")</f>
        <v/>
      </c>
      <c r="L859">
        <f>IF(ISNUMBER(B859),YEAR(B859)*100+MONTH(B859),"")</f>
        <v/>
      </c>
      <c r="M859">
        <f>IF(ISNUMBER(B859),INT(B859),0)</f>
        <v/>
      </c>
      <c r="N859">
        <f>IF(OR(C859="",F859="",Q859=0),0,IF(COUNTIFS(C$6:C859,C859,F$6:F859,F859,Q$6:Q859,1)=1,1,0))</f>
        <v/>
      </c>
      <c r="O859">
        <f>IF(OR(C859="",Q859=0,H859&lt;&gt;""),"",M859*10000+ROW())</f>
        <v/>
      </c>
      <c r="P859">
        <f>IF(OR(C859="",Q859=0),"",IF(AND(C859=Statement!$C$4,K859=Statement!$C$5),M859*10000+ROW(),""))</f>
        <v/>
      </c>
      <c r="Q859">
        <f>IF(AND(ISNUMBER(B859),OR(N(D859)&gt;0,G859&lt;&gt;"")),1,0)</f>
        <v/>
      </c>
    </row>
    <row r="860">
      <c r="A860" s="1" t="n"/>
      <c r="B860" s="21" t="n"/>
      <c r="C860" s="22" t="n"/>
      <c r="D860" s="23" t="n"/>
      <c r="E860" s="24" t="n"/>
      <c r="F860" s="25" t="n"/>
      <c r="G860" s="25" t="n"/>
      <c r="H860" s="24" t="n"/>
      <c r="I860" s="25" t="n"/>
      <c r="J860" s="17">
        <f>IF(AND(C860="",D860="",G860=""),"",IF(NOT(ISNUMBER(B860)),"Needs a date",IF(AND(D860&lt;&gt;"",NOT(ISNUMBER(D860))),"Amount not a number",IF(N(D860)&lt;0,"Amount below zero",IF(AND(N(D860)=0,G860=""),"Needs an amount or goods",IF(C860="","",IF(COUNTIF(Donors!$B$6:$B$305,C860)=0,"Not on Donors","")))))))</f>
        <v/>
      </c>
      <c r="K860" s="1">
        <f>IF(ISNUMBER(B860),YEAR(B860),"")</f>
        <v/>
      </c>
      <c r="L860">
        <f>IF(ISNUMBER(B860),YEAR(B860)*100+MONTH(B860),"")</f>
        <v/>
      </c>
      <c r="M860">
        <f>IF(ISNUMBER(B860),INT(B860),0)</f>
        <v/>
      </c>
      <c r="N860">
        <f>IF(OR(C860="",F860="",Q860=0),0,IF(COUNTIFS(C$6:C860,C860,F$6:F860,F860,Q$6:Q860,1)=1,1,0))</f>
        <v/>
      </c>
      <c r="O860">
        <f>IF(OR(C860="",Q860=0,H860&lt;&gt;""),"",M860*10000+ROW())</f>
        <v/>
      </c>
      <c r="P860">
        <f>IF(OR(C860="",Q860=0),"",IF(AND(C860=Statement!$C$4,K860=Statement!$C$5),M860*10000+ROW(),""))</f>
        <v/>
      </c>
      <c r="Q860">
        <f>IF(AND(ISNUMBER(B860),OR(N(D860)&gt;0,G860&lt;&gt;"")),1,0)</f>
        <v/>
      </c>
    </row>
    <row r="861">
      <c r="A861" s="1" t="n"/>
      <c r="B861" s="21" t="n"/>
      <c r="C861" s="22" t="n"/>
      <c r="D861" s="23" t="n"/>
      <c r="E861" s="24" t="n"/>
      <c r="F861" s="25" t="n"/>
      <c r="G861" s="25" t="n"/>
      <c r="H861" s="24" t="n"/>
      <c r="I861" s="25" t="n"/>
      <c r="J861" s="17">
        <f>IF(AND(C861="",D861="",G861=""),"",IF(NOT(ISNUMBER(B861)),"Needs a date",IF(AND(D861&lt;&gt;"",NOT(ISNUMBER(D861))),"Amount not a number",IF(N(D861)&lt;0,"Amount below zero",IF(AND(N(D861)=0,G861=""),"Needs an amount or goods",IF(C861="","",IF(COUNTIF(Donors!$B$6:$B$305,C861)=0,"Not on Donors","")))))))</f>
        <v/>
      </c>
      <c r="K861" s="1">
        <f>IF(ISNUMBER(B861),YEAR(B861),"")</f>
        <v/>
      </c>
      <c r="L861">
        <f>IF(ISNUMBER(B861),YEAR(B861)*100+MONTH(B861),"")</f>
        <v/>
      </c>
      <c r="M861">
        <f>IF(ISNUMBER(B861),INT(B861),0)</f>
        <v/>
      </c>
      <c r="N861">
        <f>IF(OR(C861="",F861="",Q861=0),0,IF(COUNTIFS(C$6:C861,C861,F$6:F861,F861,Q$6:Q861,1)=1,1,0))</f>
        <v/>
      </c>
      <c r="O861">
        <f>IF(OR(C861="",Q861=0,H861&lt;&gt;""),"",M861*10000+ROW())</f>
        <v/>
      </c>
      <c r="P861">
        <f>IF(OR(C861="",Q861=0),"",IF(AND(C861=Statement!$C$4,K861=Statement!$C$5),M861*10000+ROW(),""))</f>
        <v/>
      </c>
      <c r="Q861">
        <f>IF(AND(ISNUMBER(B861),OR(N(D861)&gt;0,G861&lt;&gt;"")),1,0)</f>
        <v/>
      </c>
    </row>
    <row r="862">
      <c r="A862" s="1" t="n"/>
      <c r="B862" s="21" t="n"/>
      <c r="C862" s="22" t="n"/>
      <c r="D862" s="23" t="n"/>
      <c r="E862" s="24" t="n"/>
      <c r="F862" s="25" t="n"/>
      <c r="G862" s="25" t="n"/>
      <c r="H862" s="24" t="n"/>
      <c r="I862" s="25" t="n"/>
      <c r="J862" s="17">
        <f>IF(AND(C862="",D862="",G862=""),"",IF(NOT(ISNUMBER(B862)),"Needs a date",IF(AND(D862&lt;&gt;"",NOT(ISNUMBER(D862))),"Amount not a number",IF(N(D862)&lt;0,"Amount below zero",IF(AND(N(D862)=0,G862=""),"Needs an amount or goods",IF(C862="","",IF(COUNTIF(Donors!$B$6:$B$305,C862)=0,"Not on Donors","")))))))</f>
        <v/>
      </c>
      <c r="K862" s="1">
        <f>IF(ISNUMBER(B862),YEAR(B862),"")</f>
        <v/>
      </c>
      <c r="L862">
        <f>IF(ISNUMBER(B862),YEAR(B862)*100+MONTH(B862),"")</f>
        <v/>
      </c>
      <c r="M862">
        <f>IF(ISNUMBER(B862),INT(B862),0)</f>
        <v/>
      </c>
      <c r="N862">
        <f>IF(OR(C862="",F862="",Q862=0),0,IF(COUNTIFS(C$6:C862,C862,F$6:F862,F862,Q$6:Q862,1)=1,1,0))</f>
        <v/>
      </c>
      <c r="O862">
        <f>IF(OR(C862="",Q862=0,H862&lt;&gt;""),"",M862*10000+ROW())</f>
        <v/>
      </c>
      <c r="P862">
        <f>IF(OR(C862="",Q862=0),"",IF(AND(C862=Statement!$C$4,K862=Statement!$C$5),M862*10000+ROW(),""))</f>
        <v/>
      </c>
      <c r="Q862">
        <f>IF(AND(ISNUMBER(B862),OR(N(D862)&gt;0,G862&lt;&gt;"")),1,0)</f>
        <v/>
      </c>
    </row>
    <row r="863">
      <c r="A863" s="1" t="n"/>
      <c r="B863" s="21" t="n"/>
      <c r="C863" s="22" t="n"/>
      <c r="D863" s="23" t="n"/>
      <c r="E863" s="24" t="n"/>
      <c r="F863" s="25" t="n"/>
      <c r="G863" s="25" t="n"/>
      <c r="H863" s="24" t="n"/>
      <c r="I863" s="25" t="n"/>
      <c r="J863" s="17">
        <f>IF(AND(C863="",D863="",G863=""),"",IF(NOT(ISNUMBER(B863)),"Needs a date",IF(AND(D863&lt;&gt;"",NOT(ISNUMBER(D863))),"Amount not a number",IF(N(D863)&lt;0,"Amount below zero",IF(AND(N(D863)=0,G863=""),"Needs an amount or goods",IF(C863="","",IF(COUNTIF(Donors!$B$6:$B$305,C863)=0,"Not on Donors","")))))))</f>
        <v/>
      </c>
      <c r="K863" s="1">
        <f>IF(ISNUMBER(B863),YEAR(B863),"")</f>
        <v/>
      </c>
      <c r="L863">
        <f>IF(ISNUMBER(B863),YEAR(B863)*100+MONTH(B863),"")</f>
        <v/>
      </c>
      <c r="M863">
        <f>IF(ISNUMBER(B863),INT(B863),0)</f>
        <v/>
      </c>
      <c r="N863">
        <f>IF(OR(C863="",F863="",Q863=0),0,IF(COUNTIFS(C$6:C863,C863,F$6:F863,F863,Q$6:Q863,1)=1,1,0))</f>
        <v/>
      </c>
      <c r="O863">
        <f>IF(OR(C863="",Q863=0,H863&lt;&gt;""),"",M863*10000+ROW())</f>
        <v/>
      </c>
      <c r="P863">
        <f>IF(OR(C863="",Q863=0),"",IF(AND(C863=Statement!$C$4,K863=Statement!$C$5),M863*10000+ROW(),""))</f>
        <v/>
      </c>
      <c r="Q863">
        <f>IF(AND(ISNUMBER(B863),OR(N(D863)&gt;0,G863&lt;&gt;"")),1,0)</f>
        <v/>
      </c>
    </row>
    <row r="864">
      <c r="A864" s="1" t="n"/>
      <c r="B864" s="21" t="n"/>
      <c r="C864" s="22" t="n"/>
      <c r="D864" s="23" t="n"/>
      <c r="E864" s="24" t="n"/>
      <c r="F864" s="25" t="n"/>
      <c r="G864" s="25" t="n"/>
      <c r="H864" s="24" t="n"/>
      <c r="I864" s="25" t="n"/>
      <c r="J864" s="17">
        <f>IF(AND(C864="",D864="",G864=""),"",IF(NOT(ISNUMBER(B864)),"Needs a date",IF(AND(D864&lt;&gt;"",NOT(ISNUMBER(D864))),"Amount not a number",IF(N(D864)&lt;0,"Amount below zero",IF(AND(N(D864)=0,G864=""),"Needs an amount or goods",IF(C864="","",IF(COUNTIF(Donors!$B$6:$B$305,C864)=0,"Not on Donors","")))))))</f>
        <v/>
      </c>
      <c r="K864" s="1">
        <f>IF(ISNUMBER(B864),YEAR(B864),"")</f>
        <v/>
      </c>
      <c r="L864">
        <f>IF(ISNUMBER(B864),YEAR(B864)*100+MONTH(B864),"")</f>
        <v/>
      </c>
      <c r="M864">
        <f>IF(ISNUMBER(B864),INT(B864),0)</f>
        <v/>
      </c>
      <c r="N864">
        <f>IF(OR(C864="",F864="",Q864=0),0,IF(COUNTIFS(C$6:C864,C864,F$6:F864,F864,Q$6:Q864,1)=1,1,0))</f>
        <v/>
      </c>
      <c r="O864">
        <f>IF(OR(C864="",Q864=0,H864&lt;&gt;""),"",M864*10000+ROW())</f>
        <v/>
      </c>
      <c r="P864">
        <f>IF(OR(C864="",Q864=0),"",IF(AND(C864=Statement!$C$4,K864=Statement!$C$5),M864*10000+ROW(),""))</f>
        <v/>
      </c>
      <c r="Q864">
        <f>IF(AND(ISNUMBER(B864),OR(N(D864)&gt;0,G864&lt;&gt;"")),1,0)</f>
        <v/>
      </c>
    </row>
    <row r="865">
      <c r="A865" s="1" t="n"/>
      <c r="B865" s="21" t="n"/>
      <c r="C865" s="22" t="n"/>
      <c r="D865" s="23" t="n"/>
      <c r="E865" s="24" t="n"/>
      <c r="F865" s="25" t="n"/>
      <c r="G865" s="25" t="n"/>
      <c r="H865" s="24" t="n"/>
      <c r="I865" s="25" t="n"/>
      <c r="J865" s="17">
        <f>IF(AND(C865="",D865="",G865=""),"",IF(NOT(ISNUMBER(B865)),"Needs a date",IF(AND(D865&lt;&gt;"",NOT(ISNUMBER(D865))),"Amount not a number",IF(N(D865)&lt;0,"Amount below zero",IF(AND(N(D865)=0,G865=""),"Needs an amount or goods",IF(C865="","",IF(COUNTIF(Donors!$B$6:$B$305,C865)=0,"Not on Donors","")))))))</f>
        <v/>
      </c>
      <c r="K865" s="1">
        <f>IF(ISNUMBER(B865),YEAR(B865),"")</f>
        <v/>
      </c>
      <c r="L865">
        <f>IF(ISNUMBER(B865),YEAR(B865)*100+MONTH(B865),"")</f>
        <v/>
      </c>
      <c r="M865">
        <f>IF(ISNUMBER(B865),INT(B865),0)</f>
        <v/>
      </c>
      <c r="N865">
        <f>IF(OR(C865="",F865="",Q865=0),0,IF(COUNTIFS(C$6:C865,C865,F$6:F865,F865,Q$6:Q865,1)=1,1,0))</f>
        <v/>
      </c>
      <c r="O865">
        <f>IF(OR(C865="",Q865=0,H865&lt;&gt;""),"",M865*10000+ROW())</f>
        <v/>
      </c>
      <c r="P865">
        <f>IF(OR(C865="",Q865=0),"",IF(AND(C865=Statement!$C$4,K865=Statement!$C$5),M865*10000+ROW(),""))</f>
        <v/>
      </c>
      <c r="Q865">
        <f>IF(AND(ISNUMBER(B865),OR(N(D865)&gt;0,G865&lt;&gt;"")),1,0)</f>
        <v/>
      </c>
    </row>
    <row r="866">
      <c r="A866" s="1" t="n"/>
      <c r="B866" s="21" t="n"/>
      <c r="C866" s="22" t="n"/>
      <c r="D866" s="23" t="n"/>
      <c r="E866" s="24" t="n"/>
      <c r="F866" s="25" t="n"/>
      <c r="G866" s="25" t="n"/>
      <c r="H866" s="24" t="n"/>
      <c r="I866" s="25" t="n"/>
      <c r="J866" s="17">
        <f>IF(AND(C866="",D866="",G866=""),"",IF(NOT(ISNUMBER(B866)),"Needs a date",IF(AND(D866&lt;&gt;"",NOT(ISNUMBER(D866))),"Amount not a number",IF(N(D866)&lt;0,"Amount below zero",IF(AND(N(D866)=0,G866=""),"Needs an amount or goods",IF(C866="","",IF(COUNTIF(Donors!$B$6:$B$305,C866)=0,"Not on Donors","")))))))</f>
        <v/>
      </c>
      <c r="K866" s="1">
        <f>IF(ISNUMBER(B866),YEAR(B866),"")</f>
        <v/>
      </c>
      <c r="L866">
        <f>IF(ISNUMBER(B866),YEAR(B866)*100+MONTH(B866),"")</f>
        <v/>
      </c>
      <c r="M866">
        <f>IF(ISNUMBER(B866),INT(B866),0)</f>
        <v/>
      </c>
      <c r="N866">
        <f>IF(OR(C866="",F866="",Q866=0),0,IF(COUNTIFS(C$6:C866,C866,F$6:F866,F866,Q$6:Q866,1)=1,1,0))</f>
        <v/>
      </c>
      <c r="O866">
        <f>IF(OR(C866="",Q866=0,H866&lt;&gt;""),"",M866*10000+ROW())</f>
        <v/>
      </c>
      <c r="P866">
        <f>IF(OR(C866="",Q866=0),"",IF(AND(C866=Statement!$C$4,K866=Statement!$C$5),M866*10000+ROW(),""))</f>
        <v/>
      </c>
      <c r="Q866">
        <f>IF(AND(ISNUMBER(B866),OR(N(D866)&gt;0,G866&lt;&gt;"")),1,0)</f>
        <v/>
      </c>
    </row>
    <row r="867">
      <c r="A867" s="1" t="n"/>
      <c r="B867" s="21" t="n"/>
      <c r="C867" s="22" t="n"/>
      <c r="D867" s="23" t="n"/>
      <c r="E867" s="24" t="n"/>
      <c r="F867" s="25" t="n"/>
      <c r="G867" s="25" t="n"/>
      <c r="H867" s="24" t="n"/>
      <c r="I867" s="25" t="n"/>
      <c r="J867" s="17">
        <f>IF(AND(C867="",D867="",G867=""),"",IF(NOT(ISNUMBER(B867)),"Needs a date",IF(AND(D867&lt;&gt;"",NOT(ISNUMBER(D867))),"Amount not a number",IF(N(D867)&lt;0,"Amount below zero",IF(AND(N(D867)=0,G867=""),"Needs an amount or goods",IF(C867="","",IF(COUNTIF(Donors!$B$6:$B$305,C867)=0,"Not on Donors","")))))))</f>
        <v/>
      </c>
      <c r="K867" s="1">
        <f>IF(ISNUMBER(B867),YEAR(B867),"")</f>
        <v/>
      </c>
      <c r="L867">
        <f>IF(ISNUMBER(B867),YEAR(B867)*100+MONTH(B867),"")</f>
        <v/>
      </c>
      <c r="M867">
        <f>IF(ISNUMBER(B867),INT(B867),0)</f>
        <v/>
      </c>
      <c r="N867">
        <f>IF(OR(C867="",F867="",Q867=0),0,IF(COUNTIFS(C$6:C867,C867,F$6:F867,F867,Q$6:Q867,1)=1,1,0))</f>
        <v/>
      </c>
      <c r="O867">
        <f>IF(OR(C867="",Q867=0,H867&lt;&gt;""),"",M867*10000+ROW())</f>
        <v/>
      </c>
      <c r="P867">
        <f>IF(OR(C867="",Q867=0),"",IF(AND(C867=Statement!$C$4,K867=Statement!$C$5),M867*10000+ROW(),""))</f>
        <v/>
      </c>
      <c r="Q867">
        <f>IF(AND(ISNUMBER(B867),OR(N(D867)&gt;0,G867&lt;&gt;"")),1,0)</f>
        <v/>
      </c>
    </row>
    <row r="868">
      <c r="A868" s="1" t="n"/>
      <c r="B868" s="21" t="n"/>
      <c r="C868" s="22" t="n"/>
      <c r="D868" s="23" t="n"/>
      <c r="E868" s="24" t="n"/>
      <c r="F868" s="25" t="n"/>
      <c r="G868" s="25" t="n"/>
      <c r="H868" s="24" t="n"/>
      <c r="I868" s="25" t="n"/>
      <c r="J868" s="17">
        <f>IF(AND(C868="",D868="",G868=""),"",IF(NOT(ISNUMBER(B868)),"Needs a date",IF(AND(D868&lt;&gt;"",NOT(ISNUMBER(D868))),"Amount not a number",IF(N(D868)&lt;0,"Amount below zero",IF(AND(N(D868)=0,G868=""),"Needs an amount or goods",IF(C868="","",IF(COUNTIF(Donors!$B$6:$B$305,C868)=0,"Not on Donors","")))))))</f>
        <v/>
      </c>
      <c r="K868" s="1">
        <f>IF(ISNUMBER(B868),YEAR(B868),"")</f>
        <v/>
      </c>
      <c r="L868">
        <f>IF(ISNUMBER(B868),YEAR(B868)*100+MONTH(B868),"")</f>
        <v/>
      </c>
      <c r="M868">
        <f>IF(ISNUMBER(B868),INT(B868),0)</f>
        <v/>
      </c>
      <c r="N868">
        <f>IF(OR(C868="",F868="",Q868=0),0,IF(COUNTIFS(C$6:C868,C868,F$6:F868,F868,Q$6:Q868,1)=1,1,0))</f>
        <v/>
      </c>
      <c r="O868">
        <f>IF(OR(C868="",Q868=0,H868&lt;&gt;""),"",M868*10000+ROW())</f>
        <v/>
      </c>
      <c r="P868">
        <f>IF(OR(C868="",Q868=0),"",IF(AND(C868=Statement!$C$4,K868=Statement!$C$5),M868*10000+ROW(),""))</f>
        <v/>
      </c>
      <c r="Q868">
        <f>IF(AND(ISNUMBER(B868),OR(N(D868)&gt;0,G868&lt;&gt;"")),1,0)</f>
        <v/>
      </c>
    </row>
    <row r="869">
      <c r="A869" s="1" t="n"/>
      <c r="B869" s="21" t="n"/>
      <c r="C869" s="22" t="n"/>
      <c r="D869" s="23" t="n"/>
      <c r="E869" s="24" t="n"/>
      <c r="F869" s="25" t="n"/>
      <c r="G869" s="25" t="n"/>
      <c r="H869" s="24" t="n"/>
      <c r="I869" s="25" t="n"/>
      <c r="J869" s="17">
        <f>IF(AND(C869="",D869="",G869=""),"",IF(NOT(ISNUMBER(B869)),"Needs a date",IF(AND(D869&lt;&gt;"",NOT(ISNUMBER(D869))),"Amount not a number",IF(N(D869)&lt;0,"Amount below zero",IF(AND(N(D869)=0,G869=""),"Needs an amount or goods",IF(C869="","",IF(COUNTIF(Donors!$B$6:$B$305,C869)=0,"Not on Donors","")))))))</f>
        <v/>
      </c>
      <c r="K869" s="1">
        <f>IF(ISNUMBER(B869),YEAR(B869),"")</f>
        <v/>
      </c>
      <c r="L869">
        <f>IF(ISNUMBER(B869),YEAR(B869)*100+MONTH(B869),"")</f>
        <v/>
      </c>
      <c r="M869">
        <f>IF(ISNUMBER(B869),INT(B869),0)</f>
        <v/>
      </c>
      <c r="N869">
        <f>IF(OR(C869="",F869="",Q869=0),0,IF(COUNTIFS(C$6:C869,C869,F$6:F869,F869,Q$6:Q869,1)=1,1,0))</f>
        <v/>
      </c>
      <c r="O869">
        <f>IF(OR(C869="",Q869=0,H869&lt;&gt;""),"",M869*10000+ROW())</f>
        <v/>
      </c>
      <c r="P869">
        <f>IF(OR(C869="",Q869=0),"",IF(AND(C869=Statement!$C$4,K869=Statement!$C$5),M869*10000+ROW(),""))</f>
        <v/>
      </c>
      <c r="Q869">
        <f>IF(AND(ISNUMBER(B869),OR(N(D869)&gt;0,G869&lt;&gt;"")),1,0)</f>
        <v/>
      </c>
    </row>
    <row r="870">
      <c r="A870" s="1" t="n"/>
      <c r="B870" s="21" t="n"/>
      <c r="C870" s="22" t="n"/>
      <c r="D870" s="23" t="n"/>
      <c r="E870" s="24" t="n"/>
      <c r="F870" s="25" t="n"/>
      <c r="G870" s="25" t="n"/>
      <c r="H870" s="24" t="n"/>
      <c r="I870" s="25" t="n"/>
      <c r="J870" s="17">
        <f>IF(AND(C870="",D870="",G870=""),"",IF(NOT(ISNUMBER(B870)),"Needs a date",IF(AND(D870&lt;&gt;"",NOT(ISNUMBER(D870))),"Amount not a number",IF(N(D870)&lt;0,"Amount below zero",IF(AND(N(D870)=0,G870=""),"Needs an amount or goods",IF(C870="","",IF(COUNTIF(Donors!$B$6:$B$305,C870)=0,"Not on Donors","")))))))</f>
        <v/>
      </c>
      <c r="K870" s="1">
        <f>IF(ISNUMBER(B870),YEAR(B870),"")</f>
        <v/>
      </c>
      <c r="L870">
        <f>IF(ISNUMBER(B870),YEAR(B870)*100+MONTH(B870),"")</f>
        <v/>
      </c>
      <c r="M870">
        <f>IF(ISNUMBER(B870),INT(B870),0)</f>
        <v/>
      </c>
      <c r="N870">
        <f>IF(OR(C870="",F870="",Q870=0),0,IF(COUNTIFS(C$6:C870,C870,F$6:F870,F870,Q$6:Q870,1)=1,1,0))</f>
        <v/>
      </c>
      <c r="O870">
        <f>IF(OR(C870="",Q870=0,H870&lt;&gt;""),"",M870*10000+ROW())</f>
        <v/>
      </c>
      <c r="P870">
        <f>IF(OR(C870="",Q870=0),"",IF(AND(C870=Statement!$C$4,K870=Statement!$C$5),M870*10000+ROW(),""))</f>
        <v/>
      </c>
      <c r="Q870">
        <f>IF(AND(ISNUMBER(B870),OR(N(D870)&gt;0,G870&lt;&gt;"")),1,0)</f>
        <v/>
      </c>
    </row>
    <row r="871">
      <c r="A871" s="1" t="n"/>
      <c r="B871" s="21" t="n"/>
      <c r="C871" s="22" t="n"/>
      <c r="D871" s="23" t="n"/>
      <c r="E871" s="24" t="n"/>
      <c r="F871" s="25" t="n"/>
      <c r="G871" s="25" t="n"/>
      <c r="H871" s="24" t="n"/>
      <c r="I871" s="25" t="n"/>
      <c r="J871" s="17">
        <f>IF(AND(C871="",D871="",G871=""),"",IF(NOT(ISNUMBER(B871)),"Needs a date",IF(AND(D871&lt;&gt;"",NOT(ISNUMBER(D871))),"Amount not a number",IF(N(D871)&lt;0,"Amount below zero",IF(AND(N(D871)=0,G871=""),"Needs an amount or goods",IF(C871="","",IF(COUNTIF(Donors!$B$6:$B$305,C871)=0,"Not on Donors","")))))))</f>
        <v/>
      </c>
      <c r="K871" s="1">
        <f>IF(ISNUMBER(B871),YEAR(B871),"")</f>
        <v/>
      </c>
      <c r="L871">
        <f>IF(ISNUMBER(B871),YEAR(B871)*100+MONTH(B871),"")</f>
        <v/>
      </c>
      <c r="M871">
        <f>IF(ISNUMBER(B871),INT(B871),0)</f>
        <v/>
      </c>
      <c r="N871">
        <f>IF(OR(C871="",F871="",Q871=0),0,IF(COUNTIFS(C$6:C871,C871,F$6:F871,F871,Q$6:Q871,1)=1,1,0))</f>
        <v/>
      </c>
      <c r="O871">
        <f>IF(OR(C871="",Q871=0,H871&lt;&gt;""),"",M871*10000+ROW())</f>
        <v/>
      </c>
      <c r="P871">
        <f>IF(OR(C871="",Q871=0),"",IF(AND(C871=Statement!$C$4,K871=Statement!$C$5),M871*10000+ROW(),""))</f>
        <v/>
      </c>
      <c r="Q871">
        <f>IF(AND(ISNUMBER(B871),OR(N(D871)&gt;0,G871&lt;&gt;"")),1,0)</f>
        <v/>
      </c>
    </row>
    <row r="872">
      <c r="A872" s="1" t="n"/>
      <c r="B872" s="21" t="n"/>
      <c r="C872" s="22" t="n"/>
      <c r="D872" s="23" t="n"/>
      <c r="E872" s="24" t="n"/>
      <c r="F872" s="25" t="n"/>
      <c r="G872" s="25" t="n"/>
      <c r="H872" s="24" t="n"/>
      <c r="I872" s="25" t="n"/>
      <c r="J872" s="17">
        <f>IF(AND(C872="",D872="",G872=""),"",IF(NOT(ISNUMBER(B872)),"Needs a date",IF(AND(D872&lt;&gt;"",NOT(ISNUMBER(D872))),"Amount not a number",IF(N(D872)&lt;0,"Amount below zero",IF(AND(N(D872)=0,G872=""),"Needs an amount or goods",IF(C872="","",IF(COUNTIF(Donors!$B$6:$B$305,C872)=0,"Not on Donors","")))))))</f>
        <v/>
      </c>
      <c r="K872" s="1">
        <f>IF(ISNUMBER(B872),YEAR(B872),"")</f>
        <v/>
      </c>
      <c r="L872">
        <f>IF(ISNUMBER(B872),YEAR(B872)*100+MONTH(B872),"")</f>
        <v/>
      </c>
      <c r="M872">
        <f>IF(ISNUMBER(B872),INT(B872),0)</f>
        <v/>
      </c>
      <c r="N872">
        <f>IF(OR(C872="",F872="",Q872=0),0,IF(COUNTIFS(C$6:C872,C872,F$6:F872,F872,Q$6:Q872,1)=1,1,0))</f>
        <v/>
      </c>
      <c r="O872">
        <f>IF(OR(C872="",Q872=0,H872&lt;&gt;""),"",M872*10000+ROW())</f>
        <v/>
      </c>
      <c r="P872">
        <f>IF(OR(C872="",Q872=0),"",IF(AND(C872=Statement!$C$4,K872=Statement!$C$5),M872*10000+ROW(),""))</f>
        <v/>
      </c>
      <c r="Q872">
        <f>IF(AND(ISNUMBER(B872),OR(N(D872)&gt;0,G872&lt;&gt;"")),1,0)</f>
        <v/>
      </c>
    </row>
    <row r="873">
      <c r="A873" s="1" t="n"/>
      <c r="B873" s="21" t="n"/>
      <c r="C873" s="22" t="n"/>
      <c r="D873" s="23" t="n"/>
      <c r="E873" s="24" t="n"/>
      <c r="F873" s="25" t="n"/>
      <c r="G873" s="25" t="n"/>
      <c r="H873" s="24" t="n"/>
      <c r="I873" s="25" t="n"/>
      <c r="J873" s="17">
        <f>IF(AND(C873="",D873="",G873=""),"",IF(NOT(ISNUMBER(B873)),"Needs a date",IF(AND(D873&lt;&gt;"",NOT(ISNUMBER(D873))),"Amount not a number",IF(N(D873)&lt;0,"Amount below zero",IF(AND(N(D873)=0,G873=""),"Needs an amount or goods",IF(C873="","",IF(COUNTIF(Donors!$B$6:$B$305,C873)=0,"Not on Donors","")))))))</f>
        <v/>
      </c>
      <c r="K873" s="1">
        <f>IF(ISNUMBER(B873),YEAR(B873),"")</f>
        <v/>
      </c>
      <c r="L873">
        <f>IF(ISNUMBER(B873),YEAR(B873)*100+MONTH(B873),"")</f>
        <v/>
      </c>
      <c r="M873">
        <f>IF(ISNUMBER(B873),INT(B873),0)</f>
        <v/>
      </c>
      <c r="N873">
        <f>IF(OR(C873="",F873="",Q873=0),0,IF(COUNTIFS(C$6:C873,C873,F$6:F873,F873,Q$6:Q873,1)=1,1,0))</f>
        <v/>
      </c>
      <c r="O873">
        <f>IF(OR(C873="",Q873=0,H873&lt;&gt;""),"",M873*10000+ROW())</f>
        <v/>
      </c>
      <c r="P873">
        <f>IF(OR(C873="",Q873=0),"",IF(AND(C873=Statement!$C$4,K873=Statement!$C$5),M873*10000+ROW(),""))</f>
        <v/>
      </c>
      <c r="Q873">
        <f>IF(AND(ISNUMBER(B873),OR(N(D873)&gt;0,G873&lt;&gt;"")),1,0)</f>
        <v/>
      </c>
    </row>
    <row r="874">
      <c r="A874" s="1" t="n"/>
      <c r="B874" s="21" t="n"/>
      <c r="C874" s="22" t="n"/>
      <c r="D874" s="23" t="n"/>
      <c r="E874" s="24" t="n"/>
      <c r="F874" s="25" t="n"/>
      <c r="G874" s="25" t="n"/>
      <c r="H874" s="24" t="n"/>
      <c r="I874" s="25" t="n"/>
      <c r="J874" s="17">
        <f>IF(AND(C874="",D874="",G874=""),"",IF(NOT(ISNUMBER(B874)),"Needs a date",IF(AND(D874&lt;&gt;"",NOT(ISNUMBER(D874))),"Amount not a number",IF(N(D874)&lt;0,"Amount below zero",IF(AND(N(D874)=0,G874=""),"Needs an amount or goods",IF(C874="","",IF(COUNTIF(Donors!$B$6:$B$305,C874)=0,"Not on Donors","")))))))</f>
        <v/>
      </c>
      <c r="K874" s="1">
        <f>IF(ISNUMBER(B874),YEAR(B874),"")</f>
        <v/>
      </c>
      <c r="L874">
        <f>IF(ISNUMBER(B874),YEAR(B874)*100+MONTH(B874),"")</f>
        <v/>
      </c>
      <c r="M874">
        <f>IF(ISNUMBER(B874),INT(B874),0)</f>
        <v/>
      </c>
      <c r="N874">
        <f>IF(OR(C874="",F874="",Q874=0),0,IF(COUNTIFS(C$6:C874,C874,F$6:F874,F874,Q$6:Q874,1)=1,1,0))</f>
        <v/>
      </c>
      <c r="O874">
        <f>IF(OR(C874="",Q874=0,H874&lt;&gt;""),"",M874*10000+ROW())</f>
        <v/>
      </c>
      <c r="P874">
        <f>IF(OR(C874="",Q874=0),"",IF(AND(C874=Statement!$C$4,K874=Statement!$C$5),M874*10000+ROW(),""))</f>
        <v/>
      </c>
      <c r="Q874">
        <f>IF(AND(ISNUMBER(B874),OR(N(D874)&gt;0,G874&lt;&gt;"")),1,0)</f>
        <v/>
      </c>
    </row>
    <row r="875">
      <c r="A875" s="1" t="n"/>
      <c r="B875" s="21" t="n"/>
      <c r="C875" s="22" t="n"/>
      <c r="D875" s="23" t="n"/>
      <c r="E875" s="24" t="n"/>
      <c r="F875" s="25" t="n"/>
      <c r="G875" s="25" t="n"/>
      <c r="H875" s="24" t="n"/>
      <c r="I875" s="25" t="n"/>
      <c r="J875" s="17">
        <f>IF(AND(C875="",D875="",G875=""),"",IF(NOT(ISNUMBER(B875)),"Needs a date",IF(AND(D875&lt;&gt;"",NOT(ISNUMBER(D875))),"Amount not a number",IF(N(D875)&lt;0,"Amount below zero",IF(AND(N(D875)=0,G875=""),"Needs an amount or goods",IF(C875="","",IF(COUNTIF(Donors!$B$6:$B$305,C875)=0,"Not on Donors","")))))))</f>
        <v/>
      </c>
      <c r="K875" s="1">
        <f>IF(ISNUMBER(B875),YEAR(B875),"")</f>
        <v/>
      </c>
      <c r="L875">
        <f>IF(ISNUMBER(B875),YEAR(B875)*100+MONTH(B875),"")</f>
        <v/>
      </c>
      <c r="M875">
        <f>IF(ISNUMBER(B875),INT(B875),0)</f>
        <v/>
      </c>
      <c r="N875">
        <f>IF(OR(C875="",F875="",Q875=0),0,IF(COUNTIFS(C$6:C875,C875,F$6:F875,F875,Q$6:Q875,1)=1,1,0))</f>
        <v/>
      </c>
      <c r="O875">
        <f>IF(OR(C875="",Q875=0,H875&lt;&gt;""),"",M875*10000+ROW())</f>
        <v/>
      </c>
      <c r="P875">
        <f>IF(OR(C875="",Q875=0),"",IF(AND(C875=Statement!$C$4,K875=Statement!$C$5),M875*10000+ROW(),""))</f>
        <v/>
      </c>
      <c r="Q875">
        <f>IF(AND(ISNUMBER(B875),OR(N(D875)&gt;0,G875&lt;&gt;"")),1,0)</f>
        <v/>
      </c>
    </row>
    <row r="876">
      <c r="A876" s="1" t="n"/>
      <c r="B876" s="21" t="n"/>
      <c r="C876" s="22" t="n"/>
      <c r="D876" s="23" t="n"/>
      <c r="E876" s="24" t="n"/>
      <c r="F876" s="25" t="n"/>
      <c r="G876" s="25" t="n"/>
      <c r="H876" s="24" t="n"/>
      <c r="I876" s="25" t="n"/>
      <c r="J876" s="17">
        <f>IF(AND(C876="",D876="",G876=""),"",IF(NOT(ISNUMBER(B876)),"Needs a date",IF(AND(D876&lt;&gt;"",NOT(ISNUMBER(D876))),"Amount not a number",IF(N(D876)&lt;0,"Amount below zero",IF(AND(N(D876)=0,G876=""),"Needs an amount or goods",IF(C876="","",IF(COUNTIF(Donors!$B$6:$B$305,C876)=0,"Not on Donors","")))))))</f>
        <v/>
      </c>
      <c r="K876" s="1">
        <f>IF(ISNUMBER(B876),YEAR(B876),"")</f>
        <v/>
      </c>
      <c r="L876">
        <f>IF(ISNUMBER(B876),YEAR(B876)*100+MONTH(B876),"")</f>
        <v/>
      </c>
      <c r="M876">
        <f>IF(ISNUMBER(B876),INT(B876),0)</f>
        <v/>
      </c>
      <c r="N876">
        <f>IF(OR(C876="",F876="",Q876=0),0,IF(COUNTIFS(C$6:C876,C876,F$6:F876,F876,Q$6:Q876,1)=1,1,0))</f>
        <v/>
      </c>
      <c r="O876">
        <f>IF(OR(C876="",Q876=0,H876&lt;&gt;""),"",M876*10000+ROW())</f>
        <v/>
      </c>
      <c r="P876">
        <f>IF(OR(C876="",Q876=0),"",IF(AND(C876=Statement!$C$4,K876=Statement!$C$5),M876*10000+ROW(),""))</f>
        <v/>
      </c>
      <c r="Q876">
        <f>IF(AND(ISNUMBER(B876),OR(N(D876)&gt;0,G876&lt;&gt;"")),1,0)</f>
        <v/>
      </c>
    </row>
    <row r="877">
      <c r="A877" s="1" t="n"/>
      <c r="B877" s="21" t="n"/>
      <c r="C877" s="22" t="n"/>
      <c r="D877" s="23" t="n"/>
      <c r="E877" s="24" t="n"/>
      <c r="F877" s="25" t="n"/>
      <c r="G877" s="25" t="n"/>
      <c r="H877" s="24" t="n"/>
      <c r="I877" s="25" t="n"/>
      <c r="J877" s="17">
        <f>IF(AND(C877="",D877="",G877=""),"",IF(NOT(ISNUMBER(B877)),"Needs a date",IF(AND(D877&lt;&gt;"",NOT(ISNUMBER(D877))),"Amount not a number",IF(N(D877)&lt;0,"Amount below zero",IF(AND(N(D877)=0,G877=""),"Needs an amount or goods",IF(C877="","",IF(COUNTIF(Donors!$B$6:$B$305,C877)=0,"Not on Donors","")))))))</f>
        <v/>
      </c>
      <c r="K877" s="1">
        <f>IF(ISNUMBER(B877),YEAR(B877),"")</f>
        <v/>
      </c>
      <c r="L877">
        <f>IF(ISNUMBER(B877),YEAR(B877)*100+MONTH(B877),"")</f>
        <v/>
      </c>
      <c r="M877">
        <f>IF(ISNUMBER(B877),INT(B877),0)</f>
        <v/>
      </c>
      <c r="N877">
        <f>IF(OR(C877="",F877="",Q877=0),0,IF(COUNTIFS(C$6:C877,C877,F$6:F877,F877,Q$6:Q877,1)=1,1,0))</f>
        <v/>
      </c>
      <c r="O877">
        <f>IF(OR(C877="",Q877=0,H877&lt;&gt;""),"",M877*10000+ROW())</f>
        <v/>
      </c>
      <c r="P877">
        <f>IF(OR(C877="",Q877=0),"",IF(AND(C877=Statement!$C$4,K877=Statement!$C$5),M877*10000+ROW(),""))</f>
        <v/>
      </c>
      <c r="Q877">
        <f>IF(AND(ISNUMBER(B877),OR(N(D877)&gt;0,G877&lt;&gt;"")),1,0)</f>
        <v/>
      </c>
    </row>
    <row r="878">
      <c r="A878" s="1" t="n"/>
      <c r="B878" s="21" t="n"/>
      <c r="C878" s="22" t="n"/>
      <c r="D878" s="23" t="n"/>
      <c r="E878" s="24" t="n"/>
      <c r="F878" s="25" t="n"/>
      <c r="G878" s="25" t="n"/>
      <c r="H878" s="24" t="n"/>
      <c r="I878" s="25" t="n"/>
      <c r="J878" s="17">
        <f>IF(AND(C878="",D878="",G878=""),"",IF(NOT(ISNUMBER(B878)),"Needs a date",IF(AND(D878&lt;&gt;"",NOT(ISNUMBER(D878))),"Amount not a number",IF(N(D878)&lt;0,"Amount below zero",IF(AND(N(D878)=0,G878=""),"Needs an amount or goods",IF(C878="","",IF(COUNTIF(Donors!$B$6:$B$305,C878)=0,"Not on Donors","")))))))</f>
        <v/>
      </c>
      <c r="K878" s="1">
        <f>IF(ISNUMBER(B878),YEAR(B878),"")</f>
        <v/>
      </c>
      <c r="L878">
        <f>IF(ISNUMBER(B878),YEAR(B878)*100+MONTH(B878),"")</f>
        <v/>
      </c>
      <c r="M878">
        <f>IF(ISNUMBER(B878),INT(B878),0)</f>
        <v/>
      </c>
      <c r="N878">
        <f>IF(OR(C878="",F878="",Q878=0),0,IF(COUNTIFS(C$6:C878,C878,F$6:F878,F878,Q$6:Q878,1)=1,1,0))</f>
        <v/>
      </c>
      <c r="O878">
        <f>IF(OR(C878="",Q878=0,H878&lt;&gt;""),"",M878*10000+ROW())</f>
        <v/>
      </c>
      <c r="P878">
        <f>IF(OR(C878="",Q878=0),"",IF(AND(C878=Statement!$C$4,K878=Statement!$C$5),M878*10000+ROW(),""))</f>
        <v/>
      </c>
      <c r="Q878">
        <f>IF(AND(ISNUMBER(B878),OR(N(D878)&gt;0,G878&lt;&gt;"")),1,0)</f>
        <v/>
      </c>
    </row>
    <row r="879">
      <c r="A879" s="1" t="n"/>
      <c r="B879" s="21" t="n"/>
      <c r="C879" s="22" t="n"/>
      <c r="D879" s="23" t="n"/>
      <c r="E879" s="24" t="n"/>
      <c r="F879" s="25" t="n"/>
      <c r="G879" s="25" t="n"/>
      <c r="H879" s="24" t="n"/>
      <c r="I879" s="25" t="n"/>
      <c r="J879" s="17">
        <f>IF(AND(C879="",D879="",G879=""),"",IF(NOT(ISNUMBER(B879)),"Needs a date",IF(AND(D879&lt;&gt;"",NOT(ISNUMBER(D879))),"Amount not a number",IF(N(D879)&lt;0,"Amount below zero",IF(AND(N(D879)=0,G879=""),"Needs an amount or goods",IF(C879="","",IF(COUNTIF(Donors!$B$6:$B$305,C879)=0,"Not on Donors","")))))))</f>
        <v/>
      </c>
      <c r="K879" s="1">
        <f>IF(ISNUMBER(B879),YEAR(B879),"")</f>
        <v/>
      </c>
      <c r="L879">
        <f>IF(ISNUMBER(B879),YEAR(B879)*100+MONTH(B879),"")</f>
        <v/>
      </c>
      <c r="M879">
        <f>IF(ISNUMBER(B879),INT(B879),0)</f>
        <v/>
      </c>
      <c r="N879">
        <f>IF(OR(C879="",F879="",Q879=0),0,IF(COUNTIFS(C$6:C879,C879,F$6:F879,F879,Q$6:Q879,1)=1,1,0))</f>
        <v/>
      </c>
      <c r="O879">
        <f>IF(OR(C879="",Q879=0,H879&lt;&gt;""),"",M879*10000+ROW())</f>
        <v/>
      </c>
      <c r="P879">
        <f>IF(OR(C879="",Q879=0),"",IF(AND(C879=Statement!$C$4,K879=Statement!$C$5),M879*10000+ROW(),""))</f>
        <v/>
      </c>
      <c r="Q879">
        <f>IF(AND(ISNUMBER(B879),OR(N(D879)&gt;0,G879&lt;&gt;"")),1,0)</f>
        <v/>
      </c>
    </row>
    <row r="880">
      <c r="A880" s="1" t="n"/>
      <c r="B880" s="21" t="n"/>
      <c r="C880" s="22" t="n"/>
      <c r="D880" s="23" t="n"/>
      <c r="E880" s="24" t="n"/>
      <c r="F880" s="25" t="n"/>
      <c r="G880" s="25" t="n"/>
      <c r="H880" s="24" t="n"/>
      <c r="I880" s="25" t="n"/>
      <c r="J880" s="17">
        <f>IF(AND(C880="",D880="",G880=""),"",IF(NOT(ISNUMBER(B880)),"Needs a date",IF(AND(D880&lt;&gt;"",NOT(ISNUMBER(D880))),"Amount not a number",IF(N(D880)&lt;0,"Amount below zero",IF(AND(N(D880)=0,G880=""),"Needs an amount or goods",IF(C880="","",IF(COUNTIF(Donors!$B$6:$B$305,C880)=0,"Not on Donors","")))))))</f>
        <v/>
      </c>
      <c r="K880" s="1">
        <f>IF(ISNUMBER(B880),YEAR(B880),"")</f>
        <v/>
      </c>
      <c r="L880">
        <f>IF(ISNUMBER(B880),YEAR(B880)*100+MONTH(B880),"")</f>
        <v/>
      </c>
      <c r="M880">
        <f>IF(ISNUMBER(B880),INT(B880),0)</f>
        <v/>
      </c>
      <c r="N880">
        <f>IF(OR(C880="",F880="",Q880=0),0,IF(COUNTIFS(C$6:C880,C880,F$6:F880,F880,Q$6:Q880,1)=1,1,0))</f>
        <v/>
      </c>
      <c r="O880">
        <f>IF(OR(C880="",Q880=0,H880&lt;&gt;""),"",M880*10000+ROW())</f>
        <v/>
      </c>
      <c r="P880">
        <f>IF(OR(C880="",Q880=0),"",IF(AND(C880=Statement!$C$4,K880=Statement!$C$5),M880*10000+ROW(),""))</f>
        <v/>
      </c>
      <c r="Q880">
        <f>IF(AND(ISNUMBER(B880),OR(N(D880)&gt;0,G880&lt;&gt;"")),1,0)</f>
        <v/>
      </c>
    </row>
    <row r="881">
      <c r="A881" s="1" t="n"/>
      <c r="B881" s="21" t="n"/>
      <c r="C881" s="22" t="n"/>
      <c r="D881" s="23" t="n"/>
      <c r="E881" s="24" t="n"/>
      <c r="F881" s="25" t="n"/>
      <c r="G881" s="25" t="n"/>
      <c r="H881" s="24" t="n"/>
      <c r="I881" s="25" t="n"/>
      <c r="J881" s="17">
        <f>IF(AND(C881="",D881="",G881=""),"",IF(NOT(ISNUMBER(B881)),"Needs a date",IF(AND(D881&lt;&gt;"",NOT(ISNUMBER(D881))),"Amount not a number",IF(N(D881)&lt;0,"Amount below zero",IF(AND(N(D881)=0,G881=""),"Needs an amount or goods",IF(C881="","",IF(COUNTIF(Donors!$B$6:$B$305,C881)=0,"Not on Donors","")))))))</f>
        <v/>
      </c>
      <c r="K881" s="1">
        <f>IF(ISNUMBER(B881),YEAR(B881),"")</f>
        <v/>
      </c>
      <c r="L881">
        <f>IF(ISNUMBER(B881),YEAR(B881)*100+MONTH(B881),"")</f>
        <v/>
      </c>
      <c r="M881">
        <f>IF(ISNUMBER(B881),INT(B881),0)</f>
        <v/>
      </c>
      <c r="N881">
        <f>IF(OR(C881="",F881="",Q881=0),0,IF(COUNTIFS(C$6:C881,C881,F$6:F881,F881,Q$6:Q881,1)=1,1,0))</f>
        <v/>
      </c>
      <c r="O881">
        <f>IF(OR(C881="",Q881=0,H881&lt;&gt;""),"",M881*10000+ROW())</f>
        <v/>
      </c>
      <c r="P881">
        <f>IF(OR(C881="",Q881=0),"",IF(AND(C881=Statement!$C$4,K881=Statement!$C$5),M881*10000+ROW(),""))</f>
        <v/>
      </c>
      <c r="Q881">
        <f>IF(AND(ISNUMBER(B881),OR(N(D881)&gt;0,G881&lt;&gt;"")),1,0)</f>
        <v/>
      </c>
    </row>
    <row r="882">
      <c r="A882" s="1" t="n"/>
      <c r="B882" s="21" t="n"/>
      <c r="C882" s="22" t="n"/>
      <c r="D882" s="23" t="n"/>
      <c r="E882" s="24" t="n"/>
      <c r="F882" s="25" t="n"/>
      <c r="G882" s="25" t="n"/>
      <c r="H882" s="24" t="n"/>
      <c r="I882" s="25" t="n"/>
      <c r="J882" s="17">
        <f>IF(AND(C882="",D882="",G882=""),"",IF(NOT(ISNUMBER(B882)),"Needs a date",IF(AND(D882&lt;&gt;"",NOT(ISNUMBER(D882))),"Amount not a number",IF(N(D882)&lt;0,"Amount below zero",IF(AND(N(D882)=0,G882=""),"Needs an amount or goods",IF(C882="","",IF(COUNTIF(Donors!$B$6:$B$305,C882)=0,"Not on Donors","")))))))</f>
        <v/>
      </c>
      <c r="K882" s="1">
        <f>IF(ISNUMBER(B882),YEAR(B882),"")</f>
        <v/>
      </c>
      <c r="L882">
        <f>IF(ISNUMBER(B882),YEAR(B882)*100+MONTH(B882),"")</f>
        <v/>
      </c>
      <c r="M882">
        <f>IF(ISNUMBER(B882),INT(B882),0)</f>
        <v/>
      </c>
      <c r="N882">
        <f>IF(OR(C882="",F882="",Q882=0),0,IF(COUNTIFS(C$6:C882,C882,F$6:F882,F882,Q$6:Q882,1)=1,1,0))</f>
        <v/>
      </c>
      <c r="O882">
        <f>IF(OR(C882="",Q882=0,H882&lt;&gt;""),"",M882*10000+ROW())</f>
        <v/>
      </c>
      <c r="P882">
        <f>IF(OR(C882="",Q882=0),"",IF(AND(C882=Statement!$C$4,K882=Statement!$C$5),M882*10000+ROW(),""))</f>
        <v/>
      </c>
      <c r="Q882">
        <f>IF(AND(ISNUMBER(B882),OR(N(D882)&gt;0,G882&lt;&gt;"")),1,0)</f>
        <v/>
      </c>
    </row>
    <row r="883">
      <c r="A883" s="1" t="n"/>
      <c r="B883" s="21" t="n"/>
      <c r="C883" s="22" t="n"/>
      <c r="D883" s="23" t="n"/>
      <c r="E883" s="24" t="n"/>
      <c r="F883" s="25" t="n"/>
      <c r="G883" s="25" t="n"/>
      <c r="H883" s="24" t="n"/>
      <c r="I883" s="25" t="n"/>
      <c r="J883" s="17">
        <f>IF(AND(C883="",D883="",G883=""),"",IF(NOT(ISNUMBER(B883)),"Needs a date",IF(AND(D883&lt;&gt;"",NOT(ISNUMBER(D883))),"Amount not a number",IF(N(D883)&lt;0,"Amount below zero",IF(AND(N(D883)=0,G883=""),"Needs an amount or goods",IF(C883="","",IF(COUNTIF(Donors!$B$6:$B$305,C883)=0,"Not on Donors","")))))))</f>
        <v/>
      </c>
      <c r="K883" s="1">
        <f>IF(ISNUMBER(B883),YEAR(B883),"")</f>
        <v/>
      </c>
      <c r="L883">
        <f>IF(ISNUMBER(B883),YEAR(B883)*100+MONTH(B883),"")</f>
        <v/>
      </c>
      <c r="M883">
        <f>IF(ISNUMBER(B883),INT(B883),0)</f>
        <v/>
      </c>
      <c r="N883">
        <f>IF(OR(C883="",F883="",Q883=0),0,IF(COUNTIFS(C$6:C883,C883,F$6:F883,F883,Q$6:Q883,1)=1,1,0))</f>
        <v/>
      </c>
      <c r="O883">
        <f>IF(OR(C883="",Q883=0,H883&lt;&gt;""),"",M883*10000+ROW())</f>
        <v/>
      </c>
      <c r="P883">
        <f>IF(OR(C883="",Q883=0),"",IF(AND(C883=Statement!$C$4,K883=Statement!$C$5),M883*10000+ROW(),""))</f>
        <v/>
      </c>
      <c r="Q883">
        <f>IF(AND(ISNUMBER(B883),OR(N(D883)&gt;0,G883&lt;&gt;"")),1,0)</f>
        <v/>
      </c>
    </row>
    <row r="884">
      <c r="A884" s="1" t="n"/>
      <c r="B884" s="21" t="n"/>
      <c r="C884" s="22" t="n"/>
      <c r="D884" s="23" t="n"/>
      <c r="E884" s="24" t="n"/>
      <c r="F884" s="25" t="n"/>
      <c r="G884" s="25" t="n"/>
      <c r="H884" s="24" t="n"/>
      <c r="I884" s="25" t="n"/>
      <c r="J884" s="17">
        <f>IF(AND(C884="",D884="",G884=""),"",IF(NOT(ISNUMBER(B884)),"Needs a date",IF(AND(D884&lt;&gt;"",NOT(ISNUMBER(D884))),"Amount not a number",IF(N(D884)&lt;0,"Amount below zero",IF(AND(N(D884)=0,G884=""),"Needs an amount or goods",IF(C884="","",IF(COUNTIF(Donors!$B$6:$B$305,C884)=0,"Not on Donors","")))))))</f>
        <v/>
      </c>
      <c r="K884" s="1">
        <f>IF(ISNUMBER(B884),YEAR(B884),"")</f>
        <v/>
      </c>
      <c r="L884">
        <f>IF(ISNUMBER(B884),YEAR(B884)*100+MONTH(B884),"")</f>
        <v/>
      </c>
      <c r="M884">
        <f>IF(ISNUMBER(B884),INT(B884),0)</f>
        <v/>
      </c>
      <c r="N884">
        <f>IF(OR(C884="",F884="",Q884=0),0,IF(COUNTIFS(C$6:C884,C884,F$6:F884,F884,Q$6:Q884,1)=1,1,0))</f>
        <v/>
      </c>
      <c r="O884">
        <f>IF(OR(C884="",Q884=0,H884&lt;&gt;""),"",M884*10000+ROW())</f>
        <v/>
      </c>
      <c r="P884">
        <f>IF(OR(C884="",Q884=0),"",IF(AND(C884=Statement!$C$4,K884=Statement!$C$5),M884*10000+ROW(),""))</f>
        <v/>
      </c>
      <c r="Q884">
        <f>IF(AND(ISNUMBER(B884),OR(N(D884)&gt;0,G884&lt;&gt;"")),1,0)</f>
        <v/>
      </c>
    </row>
    <row r="885">
      <c r="A885" s="1" t="n"/>
      <c r="B885" s="21" t="n"/>
      <c r="C885" s="22" t="n"/>
      <c r="D885" s="23" t="n"/>
      <c r="E885" s="24" t="n"/>
      <c r="F885" s="25" t="n"/>
      <c r="G885" s="25" t="n"/>
      <c r="H885" s="24" t="n"/>
      <c r="I885" s="25" t="n"/>
      <c r="J885" s="17">
        <f>IF(AND(C885="",D885="",G885=""),"",IF(NOT(ISNUMBER(B885)),"Needs a date",IF(AND(D885&lt;&gt;"",NOT(ISNUMBER(D885))),"Amount not a number",IF(N(D885)&lt;0,"Amount below zero",IF(AND(N(D885)=0,G885=""),"Needs an amount or goods",IF(C885="","",IF(COUNTIF(Donors!$B$6:$B$305,C885)=0,"Not on Donors","")))))))</f>
        <v/>
      </c>
      <c r="K885" s="1">
        <f>IF(ISNUMBER(B885),YEAR(B885),"")</f>
        <v/>
      </c>
      <c r="L885">
        <f>IF(ISNUMBER(B885),YEAR(B885)*100+MONTH(B885),"")</f>
        <v/>
      </c>
      <c r="M885">
        <f>IF(ISNUMBER(B885),INT(B885),0)</f>
        <v/>
      </c>
      <c r="N885">
        <f>IF(OR(C885="",F885="",Q885=0),0,IF(COUNTIFS(C$6:C885,C885,F$6:F885,F885,Q$6:Q885,1)=1,1,0))</f>
        <v/>
      </c>
      <c r="O885">
        <f>IF(OR(C885="",Q885=0,H885&lt;&gt;""),"",M885*10000+ROW())</f>
        <v/>
      </c>
      <c r="P885">
        <f>IF(OR(C885="",Q885=0),"",IF(AND(C885=Statement!$C$4,K885=Statement!$C$5),M885*10000+ROW(),""))</f>
        <v/>
      </c>
      <c r="Q885">
        <f>IF(AND(ISNUMBER(B885),OR(N(D885)&gt;0,G885&lt;&gt;"")),1,0)</f>
        <v/>
      </c>
    </row>
    <row r="886">
      <c r="A886" s="1" t="n"/>
      <c r="B886" s="21" t="n"/>
      <c r="C886" s="22" t="n"/>
      <c r="D886" s="23" t="n"/>
      <c r="E886" s="24" t="n"/>
      <c r="F886" s="25" t="n"/>
      <c r="G886" s="25" t="n"/>
      <c r="H886" s="24" t="n"/>
      <c r="I886" s="25" t="n"/>
      <c r="J886" s="17">
        <f>IF(AND(C886="",D886="",G886=""),"",IF(NOT(ISNUMBER(B886)),"Needs a date",IF(AND(D886&lt;&gt;"",NOT(ISNUMBER(D886))),"Amount not a number",IF(N(D886)&lt;0,"Amount below zero",IF(AND(N(D886)=0,G886=""),"Needs an amount or goods",IF(C886="","",IF(COUNTIF(Donors!$B$6:$B$305,C886)=0,"Not on Donors","")))))))</f>
        <v/>
      </c>
      <c r="K886" s="1">
        <f>IF(ISNUMBER(B886),YEAR(B886),"")</f>
        <v/>
      </c>
      <c r="L886">
        <f>IF(ISNUMBER(B886),YEAR(B886)*100+MONTH(B886),"")</f>
        <v/>
      </c>
      <c r="M886">
        <f>IF(ISNUMBER(B886),INT(B886),0)</f>
        <v/>
      </c>
      <c r="N886">
        <f>IF(OR(C886="",F886="",Q886=0),0,IF(COUNTIFS(C$6:C886,C886,F$6:F886,F886,Q$6:Q886,1)=1,1,0))</f>
        <v/>
      </c>
      <c r="O886">
        <f>IF(OR(C886="",Q886=0,H886&lt;&gt;""),"",M886*10000+ROW())</f>
        <v/>
      </c>
      <c r="P886">
        <f>IF(OR(C886="",Q886=0),"",IF(AND(C886=Statement!$C$4,K886=Statement!$C$5),M886*10000+ROW(),""))</f>
        <v/>
      </c>
      <c r="Q886">
        <f>IF(AND(ISNUMBER(B886),OR(N(D886)&gt;0,G886&lt;&gt;"")),1,0)</f>
        <v/>
      </c>
    </row>
    <row r="887">
      <c r="A887" s="1" t="n"/>
      <c r="B887" s="21" t="n"/>
      <c r="C887" s="22" t="n"/>
      <c r="D887" s="23" t="n"/>
      <c r="E887" s="24" t="n"/>
      <c r="F887" s="25" t="n"/>
      <c r="G887" s="25" t="n"/>
      <c r="H887" s="24" t="n"/>
      <c r="I887" s="25" t="n"/>
      <c r="J887" s="17">
        <f>IF(AND(C887="",D887="",G887=""),"",IF(NOT(ISNUMBER(B887)),"Needs a date",IF(AND(D887&lt;&gt;"",NOT(ISNUMBER(D887))),"Amount not a number",IF(N(D887)&lt;0,"Amount below zero",IF(AND(N(D887)=0,G887=""),"Needs an amount or goods",IF(C887="","",IF(COUNTIF(Donors!$B$6:$B$305,C887)=0,"Not on Donors","")))))))</f>
        <v/>
      </c>
      <c r="K887" s="1">
        <f>IF(ISNUMBER(B887),YEAR(B887),"")</f>
        <v/>
      </c>
      <c r="L887">
        <f>IF(ISNUMBER(B887),YEAR(B887)*100+MONTH(B887),"")</f>
        <v/>
      </c>
      <c r="M887">
        <f>IF(ISNUMBER(B887),INT(B887),0)</f>
        <v/>
      </c>
      <c r="N887">
        <f>IF(OR(C887="",F887="",Q887=0),0,IF(COUNTIFS(C$6:C887,C887,F$6:F887,F887,Q$6:Q887,1)=1,1,0))</f>
        <v/>
      </c>
      <c r="O887">
        <f>IF(OR(C887="",Q887=0,H887&lt;&gt;""),"",M887*10000+ROW())</f>
        <v/>
      </c>
      <c r="P887">
        <f>IF(OR(C887="",Q887=0),"",IF(AND(C887=Statement!$C$4,K887=Statement!$C$5),M887*10000+ROW(),""))</f>
        <v/>
      </c>
      <c r="Q887">
        <f>IF(AND(ISNUMBER(B887),OR(N(D887)&gt;0,G887&lt;&gt;"")),1,0)</f>
        <v/>
      </c>
    </row>
    <row r="888">
      <c r="A888" s="1" t="n"/>
      <c r="B888" s="21" t="n"/>
      <c r="C888" s="22" t="n"/>
      <c r="D888" s="23" t="n"/>
      <c r="E888" s="24" t="n"/>
      <c r="F888" s="25" t="n"/>
      <c r="G888" s="25" t="n"/>
      <c r="H888" s="24" t="n"/>
      <c r="I888" s="25" t="n"/>
      <c r="J888" s="17">
        <f>IF(AND(C888="",D888="",G888=""),"",IF(NOT(ISNUMBER(B888)),"Needs a date",IF(AND(D888&lt;&gt;"",NOT(ISNUMBER(D888))),"Amount not a number",IF(N(D888)&lt;0,"Amount below zero",IF(AND(N(D888)=0,G888=""),"Needs an amount or goods",IF(C888="","",IF(COUNTIF(Donors!$B$6:$B$305,C888)=0,"Not on Donors","")))))))</f>
        <v/>
      </c>
      <c r="K888" s="1">
        <f>IF(ISNUMBER(B888),YEAR(B888),"")</f>
        <v/>
      </c>
      <c r="L888">
        <f>IF(ISNUMBER(B888),YEAR(B888)*100+MONTH(B888),"")</f>
        <v/>
      </c>
      <c r="M888">
        <f>IF(ISNUMBER(B888),INT(B888),0)</f>
        <v/>
      </c>
      <c r="N888">
        <f>IF(OR(C888="",F888="",Q888=0),0,IF(COUNTIFS(C$6:C888,C888,F$6:F888,F888,Q$6:Q888,1)=1,1,0))</f>
        <v/>
      </c>
      <c r="O888">
        <f>IF(OR(C888="",Q888=0,H888&lt;&gt;""),"",M888*10000+ROW())</f>
        <v/>
      </c>
      <c r="P888">
        <f>IF(OR(C888="",Q888=0),"",IF(AND(C888=Statement!$C$4,K888=Statement!$C$5),M888*10000+ROW(),""))</f>
        <v/>
      </c>
      <c r="Q888">
        <f>IF(AND(ISNUMBER(B888),OR(N(D888)&gt;0,G888&lt;&gt;"")),1,0)</f>
        <v/>
      </c>
    </row>
    <row r="889">
      <c r="A889" s="1" t="n"/>
      <c r="B889" s="21" t="n"/>
      <c r="C889" s="22" t="n"/>
      <c r="D889" s="23" t="n"/>
      <c r="E889" s="24" t="n"/>
      <c r="F889" s="25" t="n"/>
      <c r="G889" s="25" t="n"/>
      <c r="H889" s="24" t="n"/>
      <c r="I889" s="25" t="n"/>
      <c r="J889" s="17">
        <f>IF(AND(C889="",D889="",G889=""),"",IF(NOT(ISNUMBER(B889)),"Needs a date",IF(AND(D889&lt;&gt;"",NOT(ISNUMBER(D889))),"Amount not a number",IF(N(D889)&lt;0,"Amount below zero",IF(AND(N(D889)=0,G889=""),"Needs an amount or goods",IF(C889="","",IF(COUNTIF(Donors!$B$6:$B$305,C889)=0,"Not on Donors","")))))))</f>
        <v/>
      </c>
      <c r="K889" s="1">
        <f>IF(ISNUMBER(B889),YEAR(B889),"")</f>
        <v/>
      </c>
      <c r="L889">
        <f>IF(ISNUMBER(B889),YEAR(B889)*100+MONTH(B889),"")</f>
        <v/>
      </c>
      <c r="M889">
        <f>IF(ISNUMBER(B889),INT(B889),0)</f>
        <v/>
      </c>
      <c r="N889">
        <f>IF(OR(C889="",F889="",Q889=0),0,IF(COUNTIFS(C$6:C889,C889,F$6:F889,F889,Q$6:Q889,1)=1,1,0))</f>
        <v/>
      </c>
      <c r="O889">
        <f>IF(OR(C889="",Q889=0,H889&lt;&gt;""),"",M889*10000+ROW())</f>
        <v/>
      </c>
      <c r="P889">
        <f>IF(OR(C889="",Q889=0),"",IF(AND(C889=Statement!$C$4,K889=Statement!$C$5),M889*10000+ROW(),""))</f>
        <v/>
      </c>
      <c r="Q889">
        <f>IF(AND(ISNUMBER(B889),OR(N(D889)&gt;0,G889&lt;&gt;"")),1,0)</f>
        <v/>
      </c>
    </row>
    <row r="890">
      <c r="A890" s="1" t="n"/>
      <c r="B890" s="21" t="n"/>
      <c r="C890" s="22" t="n"/>
      <c r="D890" s="23" t="n"/>
      <c r="E890" s="24" t="n"/>
      <c r="F890" s="25" t="n"/>
      <c r="G890" s="25" t="n"/>
      <c r="H890" s="24" t="n"/>
      <c r="I890" s="25" t="n"/>
      <c r="J890" s="17">
        <f>IF(AND(C890="",D890="",G890=""),"",IF(NOT(ISNUMBER(B890)),"Needs a date",IF(AND(D890&lt;&gt;"",NOT(ISNUMBER(D890))),"Amount not a number",IF(N(D890)&lt;0,"Amount below zero",IF(AND(N(D890)=0,G890=""),"Needs an amount or goods",IF(C890="","",IF(COUNTIF(Donors!$B$6:$B$305,C890)=0,"Not on Donors","")))))))</f>
        <v/>
      </c>
      <c r="K890" s="1">
        <f>IF(ISNUMBER(B890),YEAR(B890),"")</f>
        <v/>
      </c>
      <c r="L890">
        <f>IF(ISNUMBER(B890),YEAR(B890)*100+MONTH(B890),"")</f>
        <v/>
      </c>
      <c r="M890">
        <f>IF(ISNUMBER(B890),INT(B890),0)</f>
        <v/>
      </c>
      <c r="N890">
        <f>IF(OR(C890="",F890="",Q890=0),0,IF(COUNTIFS(C$6:C890,C890,F$6:F890,F890,Q$6:Q890,1)=1,1,0))</f>
        <v/>
      </c>
      <c r="O890">
        <f>IF(OR(C890="",Q890=0,H890&lt;&gt;""),"",M890*10000+ROW())</f>
        <v/>
      </c>
      <c r="P890">
        <f>IF(OR(C890="",Q890=0),"",IF(AND(C890=Statement!$C$4,K890=Statement!$C$5),M890*10000+ROW(),""))</f>
        <v/>
      </c>
      <c r="Q890">
        <f>IF(AND(ISNUMBER(B890),OR(N(D890)&gt;0,G890&lt;&gt;"")),1,0)</f>
        <v/>
      </c>
    </row>
    <row r="891">
      <c r="A891" s="1" t="n"/>
      <c r="B891" s="21" t="n"/>
      <c r="C891" s="22" t="n"/>
      <c r="D891" s="23" t="n"/>
      <c r="E891" s="24" t="n"/>
      <c r="F891" s="25" t="n"/>
      <c r="G891" s="25" t="n"/>
      <c r="H891" s="24" t="n"/>
      <c r="I891" s="25" t="n"/>
      <c r="J891" s="17">
        <f>IF(AND(C891="",D891="",G891=""),"",IF(NOT(ISNUMBER(B891)),"Needs a date",IF(AND(D891&lt;&gt;"",NOT(ISNUMBER(D891))),"Amount not a number",IF(N(D891)&lt;0,"Amount below zero",IF(AND(N(D891)=0,G891=""),"Needs an amount or goods",IF(C891="","",IF(COUNTIF(Donors!$B$6:$B$305,C891)=0,"Not on Donors","")))))))</f>
        <v/>
      </c>
      <c r="K891" s="1">
        <f>IF(ISNUMBER(B891),YEAR(B891),"")</f>
        <v/>
      </c>
      <c r="L891">
        <f>IF(ISNUMBER(B891),YEAR(B891)*100+MONTH(B891),"")</f>
        <v/>
      </c>
      <c r="M891">
        <f>IF(ISNUMBER(B891),INT(B891),0)</f>
        <v/>
      </c>
      <c r="N891">
        <f>IF(OR(C891="",F891="",Q891=0),0,IF(COUNTIFS(C$6:C891,C891,F$6:F891,F891,Q$6:Q891,1)=1,1,0))</f>
        <v/>
      </c>
      <c r="O891">
        <f>IF(OR(C891="",Q891=0,H891&lt;&gt;""),"",M891*10000+ROW())</f>
        <v/>
      </c>
      <c r="P891">
        <f>IF(OR(C891="",Q891=0),"",IF(AND(C891=Statement!$C$4,K891=Statement!$C$5),M891*10000+ROW(),""))</f>
        <v/>
      </c>
      <c r="Q891">
        <f>IF(AND(ISNUMBER(B891),OR(N(D891)&gt;0,G891&lt;&gt;"")),1,0)</f>
        <v/>
      </c>
    </row>
    <row r="892">
      <c r="A892" s="1" t="n"/>
      <c r="B892" s="21" t="n"/>
      <c r="C892" s="22" t="n"/>
      <c r="D892" s="23" t="n"/>
      <c r="E892" s="24" t="n"/>
      <c r="F892" s="25" t="n"/>
      <c r="G892" s="25" t="n"/>
      <c r="H892" s="24" t="n"/>
      <c r="I892" s="25" t="n"/>
      <c r="J892" s="17">
        <f>IF(AND(C892="",D892="",G892=""),"",IF(NOT(ISNUMBER(B892)),"Needs a date",IF(AND(D892&lt;&gt;"",NOT(ISNUMBER(D892))),"Amount not a number",IF(N(D892)&lt;0,"Amount below zero",IF(AND(N(D892)=0,G892=""),"Needs an amount or goods",IF(C892="","",IF(COUNTIF(Donors!$B$6:$B$305,C892)=0,"Not on Donors","")))))))</f>
        <v/>
      </c>
      <c r="K892" s="1">
        <f>IF(ISNUMBER(B892),YEAR(B892),"")</f>
        <v/>
      </c>
      <c r="L892">
        <f>IF(ISNUMBER(B892),YEAR(B892)*100+MONTH(B892),"")</f>
        <v/>
      </c>
      <c r="M892">
        <f>IF(ISNUMBER(B892),INT(B892),0)</f>
        <v/>
      </c>
      <c r="N892">
        <f>IF(OR(C892="",F892="",Q892=0),0,IF(COUNTIFS(C$6:C892,C892,F$6:F892,F892,Q$6:Q892,1)=1,1,0))</f>
        <v/>
      </c>
      <c r="O892">
        <f>IF(OR(C892="",Q892=0,H892&lt;&gt;""),"",M892*10000+ROW())</f>
        <v/>
      </c>
      <c r="P892">
        <f>IF(OR(C892="",Q892=0),"",IF(AND(C892=Statement!$C$4,K892=Statement!$C$5),M892*10000+ROW(),""))</f>
        <v/>
      </c>
      <c r="Q892">
        <f>IF(AND(ISNUMBER(B892),OR(N(D892)&gt;0,G892&lt;&gt;"")),1,0)</f>
        <v/>
      </c>
    </row>
    <row r="893">
      <c r="A893" s="1" t="n"/>
      <c r="B893" s="21" t="n"/>
      <c r="C893" s="22" t="n"/>
      <c r="D893" s="23" t="n"/>
      <c r="E893" s="24" t="n"/>
      <c r="F893" s="25" t="n"/>
      <c r="G893" s="25" t="n"/>
      <c r="H893" s="24" t="n"/>
      <c r="I893" s="25" t="n"/>
      <c r="J893" s="17">
        <f>IF(AND(C893="",D893="",G893=""),"",IF(NOT(ISNUMBER(B893)),"Needs a date",IF(AND(D893&lt;&gt;"",NOT(ISNUMBER(D893))),"Amount not a number",IF(N(D893)&lt;0,"Amount below zero",IF(AND(N(D893)=0,G893=""),"Needs an amount or goods",IF(C893="","",IF(COUNTIF(Donors!$B$6:$B$305,C893)=0,"Not on Donors","")))))))</f>
        <v/>
      </c>
      <c r="K893" s="1">
        <f>IF(ISNUMBER(B893),YEAR(B893),"")</f>
        <v/>
      </c>
      <c r="L893">
        <f>IF(ISNUMBER(B893),YEAR(B893)*100+MONTH(B893),"")</f>
        <v/>
      </c>
      <c r="M893">
        <f>IF(ISNUMBER(B893),INT(B893),0)</f>
        <v/>
      </c>
      <c r="N893">
        <f>IF(OR(C893="",F893="",Q893=0),0,IF(COUNTIFS(C$6:C893,C893,F$6:F893,F893,Q$6:Q893,1)=1,1,0))</f>
        <v/>
      </c>
      <c r="O893">
        <f>IF(OR(C893="",Q893=0,H893&lt;&gt;""),"",M893*10000+ROW())</f>
        <v/>
      </c>
      <c r="P893">
        <f>IF(OR(C893="",Q893=0),"",IF(AND(C893=Statement!$C$4,K893=Statement!$C$5),M893*10000+ROW(),""))</f>
        <v/>
      </c>
      <c r="Q893">
        <f>IF(AND(ISNUMBER(B893),OR(N(D893)&gt;0,G893&lt;&gt;"")),1,0)</f>
        <v/>
      </c>
    </row>
    <row r="894">
      <c r="A894" s="1" t="n"/>
      <c r="B894" s="21" t="n"/>
      <c r="C894" s="22" t="n"/>
      <c r="D894" s="23" t="n"/>
      <c r="E894" s="24" t="n"/>
      <c r="F894" s="25" t="n"/>
      <c r="G894" s="25" t="n"/>
      <c r="H894" s="24" t="n"/>
      <c r="I894" s="25" t="n"/>
      <c r="J894" s="17">
        <f>IF(AND(C894="",D894="",G894=""),"",IF(NOT(ISNUMBER(B894)),"Needs a date",IF(AND(D894&lt;&gt;"",NOT(ISNUMBER(D894))),"Amount not a number",IF(N(D894)&lt;0,"Amount below zero",IF(AND(N(D894)=0,G894=""),"Needs an amount or goods",IF(C894="","",IF(COUNTIF(Donors!$B$6:$B$305,C894)=0,"Not on Donors","")))))))</f>
        <v/>
      </c>
      <c r="K894" s="1">
        <f>IF(ISNUMBER(B894),YEAR(B894),"")</f>
        <v/>
      </c>
      <c r="L894">
        <f>IF(ISNUMBER(B894),YEAR(B894)*100+MONTH(B894),"")</f>
        <v/>
      </c>
      <c r="M894">
        <f>IF(ISNUMBER(B894),INT(B894),0)</f>
        <v/>
      </c>
      <c r="N894">
        <f>IF(OR(C894="",F894="",Q894=0),0,IF(COUNTIFS(C$6:C894,C894,F$6:F894,F894,Q$6:Q894,1)=1,1,0))</f>
        <v/>
      </c>
      <c r="O894">
        <f>IF(OR(C894="",Q894=0,H894&lt;&gt;""),"",M894*10000+ROW())</f>
        <v/>
      </c>
      <c r="P894">
        <f>IF(OR(C894="",Q894=0),"",IF(AND(C894=Statement!$C$4,K894=Statement!$C$5),M894*10000+ROW(),""))</f>
        <v/>
      </c>
      <c r="Q894">
        <f>IF(AND(ISNUMBER(B894),OR(N(D894)&gt;0,G894&lt;&gt;"")),1,0)</f>
        <v/>
      </c>
    </row>
    <row r="895">
      <c r="A895" s="1" t="n"/>
      <c r="B895" s="21" t="n"/>
      <c r="C895" s="22" t="n"/>
      <c r="D895" s="23" t="n"/>
      <c r="E895" s="24" t="n"/>
      <c r="F895" s="25" t="n"/>
      <c r="G895" s="25" t="n"/>
      <c r="H895" s="24" t="n"/>
      <c r="I895" s="25" t="n"/>
      <c r="J895" s="17">
        <f>IF(AND(C895="",D895="",G895=""),"",IF(NOT(ISNUMBER(B895)),"Needs a date",IF(AND(D895&lt;&gt;"",NOT(ISNUMBER(D895))),"Amount not a number",IF(N(D895)&lt;0,"Amount below zero",IF(AND(N(D895)=0,G895=""),"Needs an amount or goods",IF(C895="","",IF(COUNTIF(Donors!$B$6:$B$305,C895)=0,"Not on Donors","")))))))</f>
        <v/>
      </c>
      <c r="K895" s="1">
        <f>IF(ISNUMBER(B895),YEAR(B895),"")</f>
        <v/>
      </c>
      <c r="L895">
        <f>IF(ISNUMBER(B895),YEAR(B895)*100+MONTH(B895),"")</f>
        <v/>
      </c>
      <c r="M895">
        <f>IF(ISNUMBER(B895),INT(B895),0)</f>
        <v/>
      </c>
      <c r="N895">
        <f>IF(OR(C895="",F895="",Q895=0),0,IF(COUNTIFS(C$6:C895,C895,F$6:F895,F895,Q$6:Q895,1)=1,1,0))</f>
        <v/>
      </c>
      <c r="O895">
        <f>IF(OR(C895="",Q895=0,H895&lt;&gt;""),"",M895*10000+ROW())</f>
        <v/>
      </c>
      <c r="P895">
        <f>IF(OR(C895="",Q895=0),"",IF(AND(C895=Statement!$C$4,K895=Statement!$C$5),M895*10000+ROW(),""))</f>
        <v/>
      </c>
      <c r="Q895">
        <f>IF(AND(ISNUMBER(B895),OR(N(D895)&gt;0,G895&lt;&gt;"")),1,0)</f>
        <v/>
      </c>
    </row>
    <row r="896">
      <c r="A896" s="1" t="n"/>
      <c r="B896" s="21" t="n"/>
      <c r="C896" s="22" t="n"/>
      <c r="D896" s="23" t="n"/>
      <c r="E896" s="24" t="n"/>
      <c r="F896" s="25" t="n"/>
      <c r="G896" s="25" t="n"/>
      <c r="H896" s="24" t="n"/>
      <c r="I896" s="25" t="n"/>
      <c r="J896" s="17">
        <f>IF(AND(C896="",D896="",G896=""),"",IF(NOT(ISNUMBER(B896)),"Needs a date",IF(AND(D896&lt;&gt;"",NOT(ISNUMBER(D896))),"Amount not a number",IF(N(D896)&lt;0,"Amount below zero",IF(AND(N(D896)=0,G896=""),"Needs an amount or goods",IF(C896="","",IF(COUNTIF(Donors!$B$6:$B$305,C896)=0,"Not on Donors","")))))))</f>
        <v/>
      </c>
      <c r="K896" s="1">
        <f>IF(ISNUMBER(B896),YEAR(B896),"")</f>
        <v/>
      </c>
      <c r="L896">
        <f>IF(ISNUMBER(B896),YEAR(B896)*100+MONTH(B896),"")</f>
        <v/>
      </c>
      <c r="M896">
        <f>IF(ISNUMBER(B896),INT(B896),0)</f>
        <v/>
      </c>
      <c r="N896">
        <f>IF(OR(C896="",F896="",Q896=0),0,IF(COUNTIFS(C$6:C896,C896,F$6:F896,F896,Q$6:Q896,1)=1,1,0))</f>
        <v/>
      </c>
      <c r="O896">
        <f>IF(OR(C896="",Q896=0,H896&lt;&gt;""),"",M896*10000+ROW())</f>
        <v/>
      </c>
      <c r="P896">
        <f>IF(OR(C896="",Q896=0),"",IF(AND(C896=Statement!$C$4,K896=Statement!$C$5),M896*10000+ROW(),""))</f>
        <v/>
      </c>
      <c r="Q896">
        <f>IF(AND(ISNUMBER(B896),OR(N(D896)&gt;0,G896&lt;&gt;"")),1,0)</f>
        <v/>
      </c>
    </row>
    <row r="897">
      <c r="A897" s="1" t="n"/>
      <c r="B897" s="21" t="n"/>
      <c r="C897" s="22" t="n"/>
      <c r="D897" s="23" t="n"/>
      <c r="E897" s="24" t="n"/>
      <c r="F897" s="25" t="n"/>
      <c r="G897" s="25" t="n"/>
      <c r="H897" s="24" t="n"/>
      <c r="I897" s="25" t="n"/>
      <c r="J897" s="17">
        <f>IF(AND(C897="",D897="",G897=""),"",IF(NOT(ISNUMBER(B897)),"Needs a date",IF(AND(D897&lt;&gt;"",NOT(ISNUMBER(D897))),"Amount not a number",IF(N(D897)&lt;0,"Amount below zero",IF(AND(N(D897)=0,G897=""),"Needs an amount or goods",IF(C897="","",IF(COUNTIF(Donors!$B$6:$B$305,C897)=0,"Not on Donors","")))))))</f>
        <v/>
      </c>
      <c r="K897" s="1">
        <f>IF(ISNUMBER(B897),YEAR(B897),"")</f>
        <v/>
      </c>
      <c r="L897">
        <f>IF(ISNUMBER(B897),YEAR(B897)*100+MONTH(B897),"")</f>
        <v/>
      </c>
      <c r="M897">
        <f>IF(ISNUMBER(B897),INT(B897),0)</f>
        <v/>
      </c>
      <c r="N897">
        <f>IF(OR(C897="",F897="",Q897=0),0,IF(COUNTIFS(C$6:C897,C897,F$6:F897,F897,Q$6:Q897,1)=1,1,0))</f>
        <v/>
      </c>
      <c r="O897">
        <f>IF(OR(C897="",Q897=0,H897&lt;&gt;""),"",M897*10000+ROW())</f>
        <v/>
      </c>
      <c r="P897">
        <f>IF(OR(C897="",Q897=0),"",IF(AND(C897=Statement!$C$4,K897=Statement!$C$5),M897*10000+ROW(),""))</f>
        <v/>
      </c>
      <c r="Q897">
        <f>IF(AND(ISNUMBER(B897),OR(N(D897)&gt;0,G897&lt;&gt;"")),1,0)</f>
        <v/>
      </c>
    </row>
    <row r="898">
      <c r="A898" s="1" t="n"/>
      <c r="B898" s="21" t="n"/>
      <c r="C898" s="22" t="n"/>
      <c r="D898" s="23" t="n"/>
      <c r="E898" s="24" t="n"/>
      <c r="F898" s="25" t="n"/>
      <c r="G898" s="25" t="n"/>
      <c r="H898" s="24" t="n"/>
      <c r="I898" s="25" t="n"/>
      <c r="J898" s="17">
        <f>IF(AND(C898="",D898="",G898=""),"",IF(NOT(ISNUMBER(B898)),"Needs a date",IF(AND(D898&lt;&gt;"",NOT(ISNUMBER(D898))),"Amount not a number",IF(N(D898)&lt;0,"Amount below zero",IF(AND(N(D898)=0,G898=""),"Needs an amount or goods",IF(C898="","",IF(COUNTIF(Donors!$B$6:$B$305,C898)=0,"Not on Donors","")))))))</f>
        <v/>
      </c>
      <c r="K898" s="1">
        <f>IF(ISNUMBER(B898),YEAR(B898),"")</f>
        <v/>
      </c>
      <c r="L898">
        <f>IF(ISNUMBER(B898),YEAR(B898)*100+MONTH(B898),"")</f>
        <v/>
      </c>
      <c r="M898">
        <f>IF(ISNUMBER(B898),INT(B898),0)</f>
        <v/>
      </c>
      <c r="N898">
        <f>IF(OR(C898="",F898="",Q898=0),0,IF(COUNTIFS(C$6:C898,C898,F$6:F898,F898,Q$6:Q898,1)=1,1,0))</f>
        <v/>
      </c>
      <c r="O898">
        <f>IF(OR(C898="",Q898=0,H898&lt;&gt;""),"",M898*10000+ROW())</f>
        <v/>
      </c>
      <c r="P898">
        <f>IF(OR(C898="",Q898=0),"",IF(AND(C898=Statement!$C$4,K898=Statement!$C$5),M898*10000+ROW(),""))</f>
        <v/>
      </c>
      <c r="Q898">
        <f>IF(AND(ISNUMBER(B898),OR(N(D898)&gt;0,G898&lt;&gt;"")),1,0)</f>
        <v/>
      </c>
    </row>
    <row r="899">
      <c r="A899" s="1" t="n"/>
      <c r="B899" s="21" t="n"/>
      <c r="C899" s="22" t="n"/>
      <c r="D899" s="23" t="n"/>
      <c r="E899" s="24" t="n"/>
      <c r="F899" s="25" t="n"/>
      <c r="G899" s="25" t="n"/>
      <c r="H899" s="24" t="n"/>
      <c r="I899" s="25" t="n"/>
      <c r="J899" s="17">
        <f>IF(AND(C899="",D899="",G899=""),"",IF(NOT(ISNUMBER(B899)),"Needs a date",IF(AND(D899&lt;&gt;"",NOT(ISNUMBER(D899))),"Amount not a number",IF(N(D899)&lt;0,"Amount below zero",IF(AND(N(D899)=0,G899=""),"Needs an amount or goods",IF(C899="","",IF(COUNTIF(Donors!$B$6:$B$305,C899)=0,"Not on Donors","")))))))</f>
        <v/>
      </c>
      <c r="K899" s="1">
        <f>IF(ISNUMBER(B899),YEAR(B899),"")</f>
        <v/>
      </c>
      <c r="L899">
        <f>IF(ISNUMBER(B899),YEAR(B899)*100+MONTH(B899),"")</f>
        <v/>
      </c>
      <c r="M899">
        <f>IF(ISNUMBER(B899),INT(B899),0)</f>
        <v/>
      </c>
      <c r="N899">
        <f>IF(OR(C899="",F899="",Q899=0),0,IF(COUNTIFS(C$6:C899,C899,F$6:F899,F899,Q$6:Q899,1)=1,1,0))</f>
        <v/>
      </c>
      <c r="O899">
        <f>IF(OR(C899="",Q899=0,H899&lt;&gt;""),"",M899*10000+ROW())</f>
        <v/>
      </c>
      <c r="P899">
        <f>IF(OR(C899="",Q899=0),"",IF(AND(C899=Statement!$C$4,K899=Statement!$C$5),M899*10000+ROW(),""))</f>
        <v/>
      </c>
      <c r="Q899">
        <f>IF(AND(ISNUMBER(B899),OR(N(D899)&gt;0,G899&lt;&gt;"")),1,0)</f>
        <v/>
      </c>
    </row>
    <row r="900">
      <c r="A900" s="1" t="n"/>
      <c r="B900" s="21" t="n"/>
      <c r="C900" s="22" t="n"/>
      <c r="D900" s="23" t="n"/>
      <c r="E900" s="24" t="n"/>
      <c r="F900" s="25" t="n"/>
      <c r="G900" s="25" t="n"/>
      <c r="H900" s="24" t="n"/>
      <c r="I900" s="25" t="n"/>
      <c r="J900" s="17">
        <f>IF(AND(C900="",D900="",G900=""),"",IF(NOT(ISNUMBER(B900)),"Needs a date",IF(AND(D900&lt;&gt;"",NOT(ISNUMBER(D900))),"Amount not a number",IF(N(D900)&lt;0,"Amount below zero",IF(AND(N(D900)=0,G900=""),"Needs an amount or goods",IF(C900="","",IF(COUNTIF(Donors!$B$6:$B$305,C900)=0,"Not on Donors","")))))))</f>
        <v/>
      </c>
      <c r="K900" s="1">
        <f>IF(ISNUMBER(B900),YEAR(B900),"")</f>
        <v/>
      </c>
      <c r="L900">
        <f>IF(ISNUMBER(B900),YEAR(B900)*100+MONTH(B900),"")</f>
        <v/>
      </c>
      <c r="M900">
        <f>IF(ISNUMBER(B900),INT(B900),0)</f>
        <v/>
      </c>
      <c r="N900">
        <f>IF(OR(C900="",F900="",Q900=0),0,IF(COUNTIFS(C$6:C900,C900,F$6:F900,F900,Q$6:Q900,1)=1,1,0))</f>
        <v/>
      </c>
      <c r="O900">
        <f>IF(OR(C900="",Q900=0,H900&lt;&gt;""),"",M900*10000+ROW())</f>
        <v/>
      </c>
      <c r="P900">
        <f>IF(OR(C900="",Q900=0),"",IF(AND(C900=Statement!$C$4,K900=Statement!$C$5),M900*10000+ROW(),""))</f>
        <v/>
      </c>
      <c r="Q900">
        <f>IF(AND(ISNUMBER(B900),OR(N(D900)&gt;0,G900&lt;&gt;"")),1,0)</f>
        <v/>
      </c>
    </row>
    <row r="901">
      <c r="A901" s="1" t="n"/>
      <c r="B901" s="21" t="n"/>
      <c r="C901" s="22" t="n"/>
      <c r="D901" s="23" t="n"/>
      <c r="E901" s="24" t="n"/>
      <c r="F901" s="25" t="n"/>
      <c r="G901" s="25" t="n"/>
      <c r="H901" s="24" t="n"/>
      <c r="I901" s="25" t="n"/>
      <c r="J901" s="17">
        <f>IF(AND(C901="",D901="",G901=""),"",IF(NOT(ISNUMBER(B901)),"Needs a date",IF(AND(D901&lt;&gt;"",NOT(ISNUMBER(D901))),"Amount not a number",IF(N(D901)&lt;0,"Amount below zero",IF(AND(N(D901)=0,G901=""),"Needs an amount or goods",IF(C901="","",IF(COUNTIF(Donors!$B$6:$B$305,C901)=0,"Not on Donors","")))))))</f>
        <v/>
      </c>
      <c r="K901" s="1">
        <f>IF(ISNUMBER(B901),YEAR(B901),"")</f>
        <v/>
      </c>
      <c r="L901">
        <f>IF(ISNUMBER(B901),YEAR(B901)*100+MONTH(B901),"")</f>
        <v/>
      </c>
      <c r="M901">
        <f>IF(ISNUMBER(B901),INT(B901),0)</f>
        <v/>
      </c>
      <c r="N901">
        <f>IF(OR(C901="",F901="",Q901=0),0,IF(COUNTIFS(C$6:C901,C901,F$6:F901,F901,Q$6:Q901,1)=1,1,0))</f>
        <v/>
      </c>
      <c r="O901">
        <f>IF(OR(C901="",Q901=0,H901&lt;&gt;""),"",M901*10000+ROW())</f>
        <v/>
      </c>
      <c r="P901">
        <f>IF(OR(C901="",Q901=0),"",IF(AND(C901=Statement!$C$4,K901=Statement!$C$5),M901*10000+ROW(),""))</f>
        <v/>
      </c>
      <c r="Q901">
        <f>IF(AND(ISNUMBER(B901),OR(N(D901)&gt;0,G901&lt;&gt;"")),1,0)</f>
        <v/>
      </c>
    </row>
    <row r="902">
      <c r="A902" s="1" t="n"/>
      <c r="B902" s="21" t="n"/>
      <c r="C902" s="22" t="n"/>
      <c r="D902" s="23" t="n"/>
      <c r="E902" s="24" t="n"/>
      <c r="F902" s="25" t="n"/>
      <c r="G902" s="25" t="n"/>
      <c r="H902" s="24" t="n"/>
      <c r="I902" s="25" t="n"/>
      <c r="J902" s="17">
        <f>IF(AND(C902="",D902="",G902=""),"",IF(NOT(ISNUMBER(B902)),"Needs a date",IF(AND(D902&lt;&gt;"",NOT(ISNUMBER(D902))),"Amount not a number",IF(N(D902)&lt;0,"Amount below zero",IF(AND(N(D902)=0,G902=""),"Needs an amount or goods",IF(C902="","",IF(COUNTIF(Donors!$B$6:$B$305,C902)=0,"Not on Donors","")))))))</f>
        <v/>
      </c>
      <c r="K902" s="1">
        <f>IF(ISNUMBER(B902),YEAR(B902),"")</f>
        <v/>
      </c>
      <c r="L902">
        <f>IF(ISNUMBER(B902),YEAR(B902)*100+MONTH(B902),"")</f>
        <v/>
      </c>
      <c r="M902">
        <f>IF(ISNUMBER(B902),INT(B902),0)</f>
        <v/>
      </c>
      <c r="N902">
        <f>IF(OR(C902="",F902="",Q902=0),0,IF(COUNTIFS(C$6:C902,C902,F$6:F902,F902,Q$6:Q902,1)=1,1,0))</f>
        <v/>
      </c>
      <c r="O902">
        <f>IF(OR(C902="",Q902=0,H902&lt;&gt;""),"",M902*10000+ROW())</f>
        <v/>
      </c>
      <c r="P902">
        <f>IF(OR(C902="",Q902=0),"",IF(AND(C902=Statement!$C$4,K902=Statement!$C$5),M902*10000+ROW(),""))</f>
        <v/>
      </c>
      <c r="Q902">
        <f>IF(AND(ISNUMBER(B902),OR(N(D902)&gt;0,G902&lt;&gt;"")),1,0)</f>
        <v/>
      </c>
    </row>
    <row r="903">
      <c r="A903" s="1" t="n"/>
      <c r="B903" s="21" t="n"/>
      <c r="C903" s="22" t="n"/>
      <c r="D903" s="23" t="n"/>
      <c r="E903" s="24" t="n"/>
      <c r="F903" s="25" t="n"/>
      <c r="G903" s="25" t="n"/>
      <c r="H903" s="24" t="n"/>
      <c r="I903" s="25" t="n"/>
      <c r="J903" s="17">
        <f>IF(AND(C903="",D903="",G903=""),"",IF(NOT(ISNUMBER(B903)),"Needs a date",IF(AND(D903&lt;&gt;"",NOT(ISNUMBER(D903))),"Amount not a number",IF(N(D903)&lt;0,"Amount below zero",IF(AND(N(D903)=0,G903=""),"Needs an amount or goods",IF(C903="","",IF(COUNTIF(Donors!$B$6:$B$305,C903)=0,"Not on Donors","")))))))</f>
        <v/>
      </c>
      <c r="K903" s="1">
        <f>IF(ISNUMBER(B903),YEAR(B903),"")</f>
        <v/>
      </c>
      <c r="L903">
        <f>IF(ISNUMBER(B903),YEAR(B903)*100+MONTH(B903),"")</f>
        <v/>
      </c>
      <c r="M903">
        <f>IF(ISNUMBER(B903),INT(B903),0)</f>
        <v/>
      </c>
      <c r="N903">
        <f>IF(OR(C903="",F903="",Q903=0),0,IF(COUNTIFS(C$6:C903,C903,F$6:F903,F903,Q$6:Q903,1)=1,1,0))</f>
        <v/>
      </c>
      <c r="O903">
        <f>IF(OR(C903="",Q903=0,H903&lt;&gt;""),"",M903*10000+ROW())</f>
        <v/>
      </c>
      <c r="P903">
        <f>IF(OR(C903="",Q903=0),"",IF(AND(C903=Statement!$C$4,K903=Statement!$C$5),M903*10000+ROW(),""))</f>
        <v/>
      </c>
      <c r="Q903">
        <f>IF(AND(ISNUMBER(B903),OR(N(D903)&gt;0,G903&lt;&gt;"")),1,0)</f>
        <v/>
      </c>
    </row>
    <row r="904">
      <c r="A904" s="1" t="n"/>
      <c r="B904" s="21" t="n"/>
      <c r="C904" s="22" t="n"/>
      <c r="D904" s="23" t="n"/>
      <c r="E904" s="24" t="n"/>
      <c r="F904" s="25" t="n"/>
      <c r="G904" s="25" t="n"/>
      <c r="H904" s="24" t="n"/>
      <c r="I904" s="25" t="n"/>
      <c r="J904" s="17">
        <f>IF(AND(C904="",D904="",G904=""),"",IF(NOT(ISNUMBER(B904)),"Needs a date",IF(AND(D904&lt;&gt;"",NOT(ISNUMBER(D904))),"Amount not a number",IF(N(D904)&lt;0,"Amount below zero",IF(AND(N(D904)=0,G904=""),"Needs an amount or goods",IF(C904="","",IF(COUNTIF(Donors!$B$6:$B$305,C904)=0,"Not on Donors","")))))))</f>
        <v/>
      </c>
      <c r="K904" s="1">
        <f>IF(ISNUMBER(B904),YEAR(B904),"")</f>
        <v/>
      </c>
      <c r="L904">
        <f>IF(ISNUMBER(B904),YEAR(B904)*100+MONTH(B904),"")</f>
        <v/>
      </c>
      <c r="M904">
        <f>IF(ISNUMBER(B904),INT(B904),0)</f>
        <v/>
      </c>
      <c r="N904">
        <f>IF(OR(C904="",F904="",Q904=0),0,IF(COUNTIFS(C$6:C904,C904,F$6:F904,F904,Q$6:Q904,1)=1,1,0))</f>
        <v/>
      </c>
      <c r="O904">
        <f>IF(OR(C904="",Q904=0,H904&lt;&gt;""),"",M904*10000+ROW())</f>
        <v/>
      </c>
      <c r="P904">
        <f>IF(OR(C904="",Q904=0),"",IF(AND(C904=Statement!$C$4,K904=Statement!$C$5),M904*10000+ROW(),""))</f>
        <v/>
      </c>
      <c r="Q904">
        <f>IF(AND(ISNUMBER(B904),OR(N(D904)&gt;0,G904&lt;&gt;"")),1,0)</f>
        <v/>
      </c>
    </row>
    <row r="905">
      <c r="A905" s="1" t="n"/>
      <c r="B905" s="21" t="n"/>
      <c r="C905" s="22" t="n"/>
      <c r="D905" s="23" t="n"/>
      <c r="E905" s="24" t="n"/>
      <c r="F905" s="25" t="n"/>
      <c r="G905" s="25" t="n"/>
      <c r="H905" s="24" t="n"/>
      <c r="I905" s="25" t="n"/>
      <c r="J905" s="17">
        <f>IF(AND(C905="",D905="",G905=""),"",IF(NOT(ISNUMBER(B905)),"Needs a date",IF(AND(D905&lt;&gt;"",NOT(ISNUMBER(D905))),"Amount not a number",IF(N(D905)&lt;0,"Amount below zero",IF(AND(N(D905)=0,G905=""),"Needs an amount or goods",IF(C905="","",IF(COUNTIF(Donors!$B$6:$B$305,C905)=0,"Not on Donors","")))))))</f>
        <v/>
      </c>
      <c r="K905" s="1">
        <f>IF(ISNUMBER(B905),YEAR(B905),"")</f>
        <v/>
      </c>
      <c r="L905">
        <f>IF(ISNUMBER(B905),YEAR(B905)*100+MONTH(B905),"")</f>
        <v/>
      </c>
      <c r="M905">
        <f>IF(ISNUMBER(B905),INT(B905),0)</f>
        <v/>
      </c>
      <c r="N905">
        <f>IF(OR(C905="",F905="",Q905=0),0,IF(COUNTIFS(C$6:C905,C905,F$6:F905,F905,Q$6:Q905,1)=1,1,0))</f>
        <v/>
      </c>
      <c r="O905">
        <f>IF(OR(C905="",Q905=0,H905&lt;&gt;""),"",M905*10000+ROW())</f>
        <v/>
      </c>
      <c r="P905">
        <f>IF(OR(C905="",Q905=0),"",IF(AND(C905=Statement!$C$4,K905=Statement!$C$5),M905*10000+ROW(),""))</f>
        <v/>
      </c>
      <c r="Q905">
        <f>IF(AND(ISNUMBER(B905),OR(N(D905)&gt;0,G905&lt;&gt;"")),1,0)</f>
        <v/>
      </c>
    </row>
    <row r="906">
      <c r="A906" s="1" t="n"/>
      <c r="B906" s="21" t="n"/>
      <c r="C906" s="22" t="n"/>
      <c r="D906" s="23" t="n"/>
      <c r="E906" s="24" t="n"/>
      <c r="F906" s="25" t="n"/>
      <c r="G906" s="25" t="n"/>
      <c r="H906" s="24" t="n"/>
      <c r="I906" s="25" t="n"/>
      <c r="J906" s="17">
        <f>IF(AND(C906="",D906="",G906=""),"",IF(NOT(ISNUMBER(B906)),"Needs a date",IF(AND(D906&lt;&gt;"",NOT(ISNUMBER(D906))),"Amount not a number",IF(N(D906)&lt;0,"Amount below zero",IF(AND(N(D906)=0,G906=""),"Needs an amount or goods",IF(C906="","",IF(COUNTIF(Donors!$B$6:$B$305,C906)=0,"Not on Donors","")))))))</f>
        <v/>
      </c>
      <c r="K906" s="1">
        <f>IF(ISNUMBER(B906),YEAR(B906),"")</f>
        <v/>
      </c>
      <c r="L906">
        <f>IF(ISNUMBER(B906),YEAR(B906)*100+MONTH(B906),"")</f>
        <v/>
      </c>
      <c r="M906">
        <f>IF(ISNUMBER(B906),INT(B906),0)</f>
        <v/>
      </c>
      <c r="N906">
        <f>IF(OR(C906="",F906="",Q906=0),0,IF(COUNTIFS(C$6:C906,C906,F$6:F906,F906,Q$6:Q906,1)=1,1,0))</f>
        <v/>
      </c>
      <c r="O906">
        <f>IF(OR(C906="",Q906=0,H906&lt;&gt;""),"",M906*10000+ROW())</f>
        <v/>
      </c>
      <c r="P906">
        <f>IF(OR(C906="",Q906=0),"",IF(AND(C906=Statement!$C$4,K906=Statement!$C$5),M906*10000+ROW(),""))</f>
        <v/>
      </c>
      <c r="Q906">
        <f>IF(AND(ISNUMBER(B906),OR(N(D906)&gt;0,G906&lt;&gt;"")),1,0)</f>
        <v/>
      </c>
    </row>
    <row r="907">
      <c r="A907" s="1" t="n"/>
      <c r="B907" s="21" t="n"/>
      <c r="C907" s="22" t="n"/>
      <c r="D907" s="23" t="n"/>
      <c r="E907" s="24" t="n"/>
      <c r="F907" s="25" t="n"/>
      <c r="G907" s="25" t="n"/>
      <c r="H907" s="24" t="n"/>
      <c r="I907" s="25" t="n"/>
      <c r="J907" s="17">
        <f>IF(AND(C907="",D907="",G907=""),"",IF(NOT(ISNUMBER(B907)),"Needs a date",IF(AND(D907&lt;&gt;"",NOT(ISNUMBER(D907))),"Amount not a number",IF(N(D907)&lt;0,"Amount below zero",IF(AND(N(D907)=0,G907=""),"Needs an amount or goods",IF(C907="","",IF(COUNTIF(Donors!$B$6:$B$305,C907)=0,"Not on Donors","")))))))</f>
        <v/>
      </c>
      <c r="K907" s="1">
        <f>IF(ISNUMBER(B907),YEAR(B907),"")</f>
        <v/>
      </c>
      <c r="L907">
        <f>IF(ISNUMBER(B907),YEAR(B907)*100+MONTH(B907),"")</f>
        <v/>
      </c>
      <c r="M907">
        <f>IF(ISNUMBER(B907),INT(B907),0)</f>
        <v/>
      </c>
      <c r="N907">
        <f>IF(OR(C907="",F907="",Q907=0),0,IF(COUNTIFS(C$6:C907,C907,F$6:F907,F907,Q$6:Q907,1)=1,1,0))</f>
        <v/>
      </c>
      <c r="O907">
        <f>IF(OR(C907="",Q907=0,H907&lt;&gt;""),"",M907*10000+ROW())</f>
        <v/>
      </c>
      <c r="P907">
        <f>IF(OR(C907="",Q907=0),"",IF(AND(C907=Statement!$C$4,K907=Statement!$C$5),M907*10000+ROW(),""))</f>
        <v/>
      </c>
      <c r="Q907">
        <f>IF(AND(ISNUMBER(B907),OR(N(D907)&gt;0,G907&lt;&gt;"")),1,0)</f>
        <v/>
      </c>
    </row>
    <row r="908">
      <c r="A908" s="1" t="n"/>
      <c r="B908" s="21" t="n"/>
      <c r="C908" s="22" t="n"/>
      <c r="D908" s="23" t="n"/>
      <c r="E908" s="24" t="n"/>
      <c r="F908" s="25" t="n"/>
      <c r="G908" s="25" t="n"/>
      <c r="H908" s="24" t="n"/>
      <c r="I908" s="25" t="n"/>
      <c r="J908" s="17">
        <f>IF(AND(C908="",D908="",G908=""),"",IF(NOT(ISNUMBER(B908)),"Needs a date",IF(AND(D908&lt;&gt;"",NOT(ISNUMBER(D908))),"Amount not a number",IF(N(D908)&lt;0,"Amount below zero",IF(AND(N(D908)=0,G908=""),"Needs an amount or goods",IF(C908="","",IF(COUNTIF(Donors!$B$6:$B$305,C908)=0,"Not on Donors","")))))))</f>
        <v/>
      </c>
      <c r="K908" s="1">
        <f>IF(ISNUMBER(B908),YEAR(B908),"")</f>
        <v/>
      </c>
      <c r="L908">
        <f>IF(ISNUMBER(B908),YEAR(B908)*100+MONTH(B908),"")</f>
        <v/>
      </c>
      <c r="M908">
        <f>IF(ISNUMBER(B908),INT(B908),0)</f>
        <v/>
      </c>
      <c r="N908">
        <f>IF(OR(C908="",F908="",Q908=0),0,IF(COUNTIFS(C$6:C908,C908,F$6:F908,F908,Q$6:Q908,1)=1,1,0))</f>
        <v/>
      </c>
      <c r="O908">
        <f>IF(OR(C908="",Q908=0,H908&lt;&gt;""),"",M908*10000+ROW())</f>
        <v/>
      </c>
      <c r="P908">
        <f>IF(OR(C908="",Q908=0),"",IF(AND(C908=Statement!$C$4,K908=Statement!$C$5),M908*10000+ROW(),""))</f>
        <v/>
      </c>
      <c r="Q908">
        <f>IF(AND(ISNUMBER(B908),OR(N(D908)&gt;0,G908&lt;&gt;"")),1,0)</f>
        <v/>
      </c>
    </row>
    <row r="909">
      <c r="A909" s="1" t="n"/>
      <c r="B909" s="21" t="n"/>
      <c r="C909" s="22" t="n"/>
      <c r="D909" s="23" t="n"/>
      <c r="E909" s="24" t="n"/>
      <c r="F909" s="25" t="n"/>
      <c r="G909" s="25" t="n"/>
      <c r="H909" s="24" t="n"/>
      <c r="I909" s="25" t="n"/>
      <c r="J909" s="17">
        <f>IF(AND(C909="",D909="",G909=""),"",IF(NOT(ISNUMBER(B909)),"Needs a date",IF(AND(D909&lt;&gt;"",NOT(ISNUMBER(D909))),"Amount not a number",IF(N(D909)&lt;0,"Amount below zero",IF(AND(N(D909)=0,G909=""),"Needs an amount or goods",IF(C909="","",IF(COUNTIF(Donors!$B$6:$B$305,C909)=0,"Not on Donors","")))))))</f>
        <v/>
      </c>
      <c r="K909" s="1">
        <f>IF(ISNUMBER(B909),YEAR(B909),"")</f>
        <v/>
      </c>
      <c r="L909">
        <f>IF(ISNUMBER(B909),YEAR(B909)*100+MONTH(B909),"")</f>
        <v/>
      </c>
      <c r="M909">
        <f>IF(ISNUMBER(B909),INT(B909),0)</f>
        <v/>
      </c>
      <c r="N909">
        <f>IF(OR(C909="",F909="",Q909=0),0,IF(COUNTIFS(C$6:C909,C909,F$6:F909,F909,Q$6:Q909,1)=1,1,0))</f>
        <v/>
      </c>
      <c r="O909">
        <f>IF(OR(C909="",Q909=0,H909&lt;&gt;""),"",M909*10000+ROW())</f>
        <v/>
      </c>
      <c r="P909">
        <f>IF(OR(C909="",Q909=0),"",IF(AND(C909=Statement!$C$4,K909=Statement!$C$5),M909*10000+ROW(),""))</f>
        <v/>
      </c>
      <c r="Q909">
        <f>IF(AND(ISNUMBER(B909),OR(N(D909)&gt;0,G909&lt;&gt;"")),1,0)</f>
        <v/>
      </c>
    </row>
    <row r="910">
      <c r="A910" s="1" t="n"/>
      <c r="B910" s="21" t="n"/>
      <c r="C910" s="22" t="n"/>
      <c r="D910" s="23" t="n"/>
      <c r="E910" s="24" t="n"/>
      <c r="F910" s="25" t="n"/>
      <c r="G910" s="25" t="n"/>
      <c r="H910" s="24" t="n"/>
      <c r="I910" s="25" t="n"/>
      <c r="J910" s="17">
        <f>IF(AND(C910="",D910="",G910=""),"",IF(NOT(ISNUMBER(B910)),"Needs a date",IF(AND(D910&lt;&gt;"",NOT(ISNUMBER(D910))),"Amount not a number",IF(N(D910)&lt;0,"Amount below zero",IF(AND(N(D910)=0,G910=""),"Needs an amount or goods",IF(C910="","",IF(COUNTIF(Donors!$B$6:$B$305,C910)=0,"Not on Donors","")))))))</f>
        <v/>
      </c>
      <c r="K910" s="1">
        <f>IF(ISNUMBER(B910),YEAR(B910),"")</f>
        <v/>
      </c>
      <c r="L910">
        <f>IF(ISNUMBER(B910),YEAR(B910)*100+MONTH(B910),"")</f>
        <v/>
      </c>
      <c r="M910">
        <f>IF(ISNUMBER(B910),INT(B910),0)</f>
        <v/>
      </c>
      <c r="N910">
        <f>IF(OR(C910="",F910="",Q910=0),0,IF(COUNTIFS(C$6:C910,C910,F$6:F910,F910,Q$6:Q910,1)=1,1,0))</f>
        <v/>
      </c>
      <c r="O910">
        <f>IF(OR(C910="",Q910=0,H910&lt;&gt;""),"",M910*10000+ROW())</f>
        <v/>
      </c>
      <c r="P910">
        <f>IF(OR(C910="",Q910=0),"",IF(AND(C910=Statement!$C$4,K910=Statement!$C$5),M910*10000+ROW(),""))</f>
        <v/>
      </c>
      <c r="Q910">
        <f>IF(AND(ISNUMBER(B910),OR(N(D910)&gt;0,G910&lt;&gt;"")),1,0)</f>
        <v/>
      </c>
    </row>
    <row r="911">
      <c r="A911" s="1" t="n"/>
      <c r="B911" s="21" t="n"/>
      <c r="C911" s="22" t="n"/>
      <c r="D911" s="23" t="n"/>
      <c r="E911" s="24" t="n"/>
      <c r="F911" s="25" t="n"/>
      <c r="G911" s="25" t="n"/>
      <c r="H911" s="24" t="n"/>
      <c r="I911" s="25" t="n"/>
      <c r="J911" s="17">
        <f>IF(AND(C911="",D911="",G911=""),"",IF(NOT(ISNUMBER(B911)),"Needs a date",IF(AND(D911&lt;&gt;"",NOT(ISNUMBER(D911))),"Amount not a number",IF(N(D911)&lt;0,"Amount below zero",IF(AND(N(D911)=0,G911=""),"Needs an amount or goods",IF(C911="","",IF(COUNTIF(Donors!$B$6:$B$305,C911)=0,"Not on Donors","")))))))</f>
        <v/>
      </c>
      <c r="K911" s="1">
        <f>IF(ISNUMBER(B911),YEAR(B911),"")</f>
        <v/>
      </c>
      <c r="L911">
        <f>IF(ISNUMBER(B911),YEAR(B911)*100+MONTH(B911),"")</f>
        <v/>
      </c>
      <c r="M911">
        <f>IF(ISNUMBER(B911),INT(B911),0)</f>
        <v/>
      </c>
      <c r="N911">
        <f>IF(OR(C911="",F911="",Q911=0),0,IF(COUNTIFS(C$6:C911,C911,F$6:F911,F911,Q$6:Q911,1)=1,1,0))</f>
        <v/>
      </c>
      <c r="O911">
        <f>IF(OR(C911="",Q911=0,H911&lt;&gt;""),"",M911*10000+ROW())</f>
        <v/>
      </c>
      <c r="P911">
        <f>IF(OR(C911="",Q911=0),"",IF(AND(C911=Statement!$C$4,K911=Statement!$C$5),M911*10000+ROW(),""))</f>
        <v/>
      </c>
      <c r="Q911">
        <f>IF(AND(ISNUMBER(B911),OR(N(D911)&gt;0,G911&lt;&gt;"")),1,0)</f>
        <v/>
      </c>
    </row>
    <row r="912">
      <c r="A912" s="1" t="n"/>
      <c r="B912" s="21" t="n"/>
      <c r="C912" s="22" t="n"/>
      <c r="D912" s="23" t="n"/>
      <c r="E912" s="24" t="n"/>
      <c r="F912" s="25" t="n"/>
      <c r="G912" s="25" t="n"/>
      <c r="H912" s="24" t="n"/>
      <c r="I912" s="25" t="n"/>
      <c r="J912" s="17">
        <f>IF(AND(C912="",D912="",G912=""),"",IF(NOT(ISNUMBER(B912)),"Needs a date",IF(AND(D912&lt;&gt;"",NOT(ISNUMBER(D912))),"Amount not a number",IF(N(D912)&lt;0,"Amount below zero",IF(AND(N(D912)=0,G912=""),"Needs an amount or goods",IF(C912="","",IF(COUNTIF(Donors!$B$6:$B$305,C912)=0,"Not on Donors","")))))))</f>
        <v/>
      </c>
      <c r="K912" s="1">
        <f>IF(ISNUMBER(B912),YEAR(B912),"")</f>
        <v/>
      </c>
      <c r="L912">
        <f>IF(ISNUMBER(B912),YEAR(B912)*100+MONTH(B912),"")</f>
        <v/>
      </c>
      <c r="M912">
        <f>IF(ISNUMBER(B912),INT(B912),0)</f>
        <v/>
      </c>
      <c r="N912">
        <f>IF(OR(C912="",F912="",Q912=0),0,IF(COUNTIFS(C$6:C912,C912,F$6:F912,F912,Q$6:Q912,1)=1,1,0))</f>
        <v/>
      </c>
      <c r="O912">
        <f>IF(OR(C912="",Q912=0,H912&lt;&gt;""),"",M912*10000+ROW())</f>
        <v/>
      </c>
      <c r="P912">
        <f>IF(OR(C912="",Q912=0),"",IF(AND(C912=Statement!$C$4,K912=Statement!$C$5),M912*10000+ROW(),""))</f>
        <v/>
      </c>
      <c r="Q912">
        <f>IF(AND(ISNUMBER(B912),OR(N(D912)&gt;0,G912&lt;&gt;"")),1,0)</f>
        <v/>
      </c>
    </row>
    <row r="913">
      <c r="A913" s="1" t="n"/>
      <c r="B913" s="21" t="n"/>
      <c r="C913" s="22" t="n"/>
      <c r="D913" s="23" t="n"/>
      <c r="E913" s="24" t="n"/>
      <c r="F913" s="25" t="n"/>
      <c r="G913" s="25" t="n"/>
      <c r="H913" s="24" t="n"/>
      <c r="I913" s="25" t="n"/>
      <c r="J913" s="17">
        <f>IF(AND(C913="",D913="",G913=""),"",IF(NOT(ISNUMBER(B913)),"Needs a date",IF(AND(D913&lt;&gt;"",NOT(ISNUMBER(D913))),"Amount not a number",IF(N(D913)&lt;0,"Amount below zero",IF(AND(N(D913)=0,G913=""),"Needs an amount or goods",IF(C913="","",IF(COUNTIF(Donors!$B$6:$B$305,C913)=0,"Not on Donors","")))))))</f>
        <v/>
      </c>
      <c r="K913" s="1">
        <f>IF(ISNUMBER(B913),YEAR(B913),"")</f>
        <v/>
      </c>
      <c r="L913">
        <f>IF(ISNUMBER(B913),YEAR(B913)*100+MONTH(B913),"")</f>
        <v/>
      </c>
      <c r="M913">
        <f>IF(ISNUMBER(B913),INT(B913),0)</f>
        <v/>
      </c>
      <c r="N913">
        <f>IF(OR(C913="",F913="",Q913=0),0,IF(COUNTIFS(C$6:C913,C913,F$6:F913,F913,Q$6:Q913,1)=1,1,0))</f>
        <v/>
      </c>
      <c r="O913">
        <f>IF(OR(C913="",Q913=0,H913&lt;&gt;""),"",M913*10000+ROW())</f>
        <v/>
      </c>
      <c r="P913">
        <f>IF(OR(C913="",Q913=0),"",IF(AND(C913=Statement!$C$4,K913=Statement!$C$5),M913*10000+ROW(),""))</f>
        <v/>
      </c>
      <c r="Q913">
        <f>IF(AND(ISNUMBER(B913),OR(N(D913)&gt;0,G913&lt;&gt;"")),1,0)</f>
        <v/>
      </c>
    </row>
    <row r="914">
      <c r="A914" s="1" t="n"/>
      <c r="B914" s="21" t="n"/>
      <c r="C914" s="22" t="n"/>
      <c r="D914" s="23" t="n"/>
      <c r="E914" s="24" t="n"/>
      <c r="F914" s="25" t="n"/>
      <c r="G914" s="25" t="n"/>
      <c r="H914" s="24" t="n"/>
      <c r="I914" s="25" t="n"/>
      <c r="J914" s="17">
        <f>IF(AND(C914="",D914="",G914=""),"",IF(NOT(ISNUMBER(B914)),"Needs a date",IF(AND(D914&lt;&gt;"",NOT(ISNUMBER(D914))),"Amount not a number",IF(N(D914)&lt;0,"Amount below zero",IF(AND(N(D914)=0,G914=""),"Needs an amount or goods",IF(C914="","",IF(COUNTIF(Donors!$B$6:$B$305,C914)=0,"Not on Donors","")))))))</f>
        <v/>
      </c>
      <c r="K914" s="1">
        <f>IF(ISNUMBER(B914),YEAR(B914),"")</f>
        <v/>
      </c>
      <c r="L914">
        <f>IF(ISNUMBER(B914),YEAR(B914)*100+MONTH(B914),"")</f>
        <v/>
      </c>
      <c r="M914">
        <f>IF(ISNUMBER(B914),INT(B914),0)</f>
        <v/>
      </c>
      <c r="N914">
        <f>IF(OR(C914="",F914="",Q914=0),0,IF(COUNTIFS(C$6:C914,C914,F$6:F914,F914,Q$6:Q914,1)=1,1,0))</f>
        <v/>
      </c>
      <c r="O914">
        <f>IF(OR(C914="",Q914=0,H914&lt;&gt;""),"",M914*10000+ROW())</f>
        <v/>
      </c>
      <c r="P914">
        <f>IF(OR(C914="",Q914=0),"",IF(AND(C914=Statement!$C$4,K914=Statement!$C$5),M914*10000+ROW(),""))</f>
        <v/>
      </c>
      <c r="Q914">
        <f>IF(AND(ISNUMBER(B914),OR(N(D914)&gt;0,G914&lt;&gt;"")),1,0)</f>
        <v/>
      </c>
    </row>
    <row r="915">
      <c r="A915" s="1" t="n"/>
      <c r="B915" s="21" t="n"/>
      <c r="C915" s="22" t="n"/>
      <c r="D915" s="23" t="n"/>
      <c r="E915" s="24" t="n"/>
      <c r="F915" s="25" t="n"/>
      <c r="G915" s="25" t="n"/>
      <c r="H915" s="24" t="n"/>
      <c r="I915" s="25" t="n"/>
      <c r="J915" s="17">
        <f>IF(AND(C915="",D915="",G915=""),"",IF(NOT(ISNUMBER(B915)),"Needs a date",IF(AND(D915&lt;&gt;"",NOT(ISNUMBER(D915))),"Amount not a number",IF(N(D915)&lt;0,"Amount below zero",IF(AND(N(D915)=0,G915=""),"Needs an amount or goods",IF(C915="","",IF(COUNTIF(Donors!$B$6:$B$305,C915)=0,"Not on Donors","")))))))</f>
        <v/>
      </c>
      <c r="K915" s="1">
        <f>IF(ISNUMBER(B915),YEAR(B915),"")</f>
        <v/>
      </c>
      <c r="L915">
        <f>IF(ISNUMBER(B915),YEAR(B915)*100+MONTH(B915),"")</f>
        <v/>
      </c>
      <c r="M915">
        <f>IF(ISNUMBER(B915),INT(B915),0)</f>
        <v/>
      </c>
      <c r="N915">
        <f>IF(OR(C915="",F915="",Q915=0),0,IF(COUNTIFS(C$6:C915,C915,F$6:F915,F915,Q$6:Q915,1)=1,1,0))</f>
        <v/>
      </c>
      <c r="O915">
        <f>IF(OR(C915="",Q915=0,H915&lt;&gt;""),"",M915*10000+ROW())</f>
        <v/>
      </c>
      <c r="P915">
        <f>IF(OR(C915="",Q915=0),"",IF(AND(C915=Statement!$C$4,K915=Statement!$C$5),M915*10000+ROW(),""))</f>
        <v/>
      </c>
      <c r="Q915">
        <f>IF(AND(ISNUMBER(B915),OR(N(D915)&gt;0,G915&lt;&gt;"")),1,0)</f>
        <v/>
      </c>
    </row>
    <row r="916">
      <c r="A916" s="1" t="n"/>
      <c r="B916" s="21" t="n"/>
      <c r="C916" s="22" t="n"/>
      <c r="D916" s="23" t="n"/>
      <c r="E916" s="24" t="n"/>
      <c r="F916" s="25" t="n"/>
      <c r="G916" s="25" t="n"/>
      <c r="H916" s="24" t="n"/>
      <c r="I916" s="25" t="n"/>
      <c r="J916" s="17">
        <f>IF(AND(C916="",D916="",G916=""),"",IF(NOT(ISNUMBER(B916)),"Needs a date",IF(AND(D916&lt;&gt;"",NOT(ISNUMBER(D916))),"Amount not a number",IF(N(D916)&lt;0,"Amount below zero",IF(AND(N(D916)=0,G916=""),"Needs an amount or goods",IF(C916="","",IF(COUNTIF(Donors!$B$6:$B$305,C916)=0,"Not on Donors","")))))))</f>
        <v/>
      </c>
      <c r="K916" s="1">
        <f>IF(ISNUMBER(B916),YEAR(B916),"")</f>
        <v/>
      </c>
      <c r="L916">
        <f>IF(ISNUMBER(B916),YEAR(B916)*100+MONTH(B916),"")</f>
        <v/>
      </c>
      <c r="M916">
        <f>IF(ISNUMBER(B916),INT(B916),0)</f>
        <v/>
      </c>
      <c r="N916">
        <f>IF(OR(C916="",F916="",Q916=0),0,IF(COUNTIFS(C$6:C916,C916,F$6:F916,F916,Q$6:Q916,1)=1,1,0))</f>
        <v/>
      </c>
      <c r="O916">
        <f>IF(OR(C916="",Q916=0,H916&lt;&gt;""),"",M916*10000+ROW())</f>
        <v/>
      </c>
      <c r="P916">
        <f>IF(OR(C916="",Q916=0),"",IF(AND(C916=Statement!$C$4,K916=Statement!$C$5),M916*10000+ROW(),""))</f>
        <v/>
      </c>
      <c r="Q916">
        <f>IF(AND(ISNUMBER(B916),OR(N(D916)&gt;0,G916&lt;&gt;"")),1,0)</f>
        <v/>
      </c>
    </row>
    <row r="917">
      <c r="A917" s="1" t="n"/>
      <c r="B917" s="21" t="n"/>
      <c r="C917" s="22" t="n"/>
      <c r="D917" s="23" t="n"/>
      <c r="E917" s="24" t="n"/>
      <c r="F917" s="25" t="n"/>
      <c r="G917" s="25" t="n"/>
      <c r="H917" s="24" t="n"/>
      <c r="I917" s="25" t="n"/>
      <c r="J917" s="17">
        <f>IF(AND(C917="",D917="",G917=""),"",IF(NOT(ISNUMBER(B917)),"Needs a date",IF(AND(D917&lt;&gt;"",NOT(ISNUMBER(D917))),"Amount not a number",IF(N(D917)&lt;0,"Amount below zero",IF(AND(N(D917)=0,G917=""),"Needs an amount or goods",IF(C917="","",IF(COUNTIF(Donors!$B$6:$B$305,C917)=0,"Not on Donors","")))))))</f>
        <v/>
      </c>
      <c r="K917" s="1">
        <f>IF(ISNUMBER(B917),YEAR(B917),"")</f>
        <v/>
      </c>
      <c r="L917">
        <f>IF(ISNUMBER(B917),YEAR(B917)*100+MONTH(B917),"")</f>
        <v/>
      </c>
      <c r="M917">
        <f>IF(ISNUMBER(B917),INT(B917),0)</f>
        <v/>
      </c>
      <c r="N917">
        <f>IF(OR(C917="",F917="",Q917=0),0,IF(COUNTIFS(C$6:C917,C917,F$6:F917,F917,Q$6:Q917,1)=1,1,0))</f>
        <v/>
      </c>
      <c r="O917">
        <f>IF(OR(C917="",Q917=0,H917&lt;&gt;""),"",M917*10000+ROW())</f>
        <v/>
      </c>
      <c r="P917">
        <f>IF(OR(C917="",Q917=0),"",IF(AND(C917=Statement!$C$4,K917=Statement!$C$5),M917*10000+ROW(),""))</f>
        <v/>
      </c>
      <c r="Q917">
        <f>IF(AND(ISNUMBER(B917),OR(N(D917)&gt;0,G917&lt;&gt;"")),1,0)</f>
        <v/>
      </c>
    </row>
    <row r="918">
      <c r="A918" s="1" t="n"/>
      <c r="B918" s="21" t="n"/>
      <c r="C918" s="22" t="n"/>
      <c r="D918" s="23" t="n"/>
      <c r="E918" s="24" t="n"/>
      <c r="F918" s="25" t="n"/>
      <c r="G918" s="25" t="n"/>
      <c r="H918" s="24" t="n"/>
      <c r="I918" s="25" t="n"/>
      <c r="J918" s="17">
        <f>IF(AND(C918="",D918="",G918=""),"",IF(NOT(ISNUMBER(B918)),"Needs a date",IF(AND(D918&lt;&gt;"",NOT(ISNUMBER(D918))),"Amount not a number",IF(N(D918)&lt;0,"Amount below zero",IF(AND(N(D918)=0,G918=""),"Needs an amount or goods",IF(C918="","",IF(COUNTIF(Donors!$B$6:$B$305,C918)=0,"Not on Donors","")))))))</f>
        <v/>
      </c>
      <c r="K918" s="1">
        <f>IF(ISNUMBER(B918),YEAR(B918),"")</f>
        <v/>
      </c>
      <c r="L918">
        <f>IF(ISNUMBER(B918),YEAR(B918)*100+MONTH(B918),"")</f>
        <v/>
      </c>
      <c r="M918">
        <f>IF(ISNUMBER(B918),INT(B918),0)</f>
        <v/>
      </c>
      <c r="N918">
        <f>IF(OR(C918="",F918="",Q918=0),0,IF(COUNTIFS(C$6:C918,C918,F$6:F918,F918,Q$6:Q918,1)=1,1,0))</f>
        <v/>
      </c>
      <c r="O918">
        <f>IF(OR(C918="",Q918=0,H918&lt;&gt;""),"",M918*10000+ROW())</f>
        <v/>
      </c>
      <c r="P918">
        <f>IF(OR(C918="",Q918=0),"",IF(AND(C918=Statement!$C$4,K918=Statement!$C$5),M918*10000+ROW(),""))</f>
        <v/>
      </c>
      <c r="Q918">
        <f>IF(AND(ISNUMBER(B918),OR(N(D918)&gt;0,G918&lt;&gt;"")),1,0)</f>
        <v/>
      </c>
    </row>
    <row r="919">
      <c r="A919" s="1" t="n"/>
      <c r="B919" s="21" t="n"/>
      <c r="C919" s="22" t="n"/>
      <c r="D919" s="23" t="n"/>
      <c r="E919" s="24" t="n"/>
      <c r="F919" s="25" t="n"/>
      <c r="G919" s="25" t="n"/>
      <c r="H919" s="24" t="n"/>
      <c r="I919" s="25" t="n"/>
      <c r="J919" s="17">
        <f>IF(AND(C919="",D919="",G919=""),"",IF(NOT(ISNUMBER(B919)),"Needs a date",IF(AND(D919&lt;&gt;"",NOT(ISNUMBER(D919))),"Amount not a number",IF(N(D919)&lt;0,"Amount below zero",IF(AND(N(D919)=0,G919=""),"Needs an amount or goods",IF(C919="","",IF(COUNTIF(Donors!$B$6:$B$305,C919)=0,"Not on Donors","")))))))</f>
        <v/>
      </c>
      <c r="K919" s="1">
        <f>IF(ISNUMBER(B919),YEAR(B919),"")</f>
        <v/>
      </c>
      <c r="L919">
        <f>IF(ISNUMBER(B919),YEAR(B919)*100+MONTH(B919),"")</f>
        <v/>
      </c>
      <c r="M919">
        <f>IF(ISNUMBER(B919),INT(B919),0)</f>
        <v/>
      </c>
      <c r="N919">
        <f>IF(OR(C919="",F919="",Q919=0),0,IF(COUNTIFS(C$6:C919,C919,F$6:F919,F919,Q$6:Q919,1)=1,1,0))</f>
        <v/>
      </c>
      <c r="O919">
        <f>IF(OR(C919="",Q919=0,H919&lt;&gt;""),"",M919*10000+ROW())</f>
        <v/>
      </c>
      <c r="P919">
        <f>IF(OR(C919="",Q919=0),"",IF(AND(C919=Statement!$C$4,K919=Statement!$C$5),M919*10000+ROW(),""))</f>
        <v/>
      </c>
      <c r="Q919">
        <f>IF(AND(ISNUMBER(B919),OR(N(D919)&gt;0,G919&lt;&gt;"")),1,0)</f>
        <v/>
      </c>
    </row>
    <row r="920">
      <c r="A920" s="1" t="n"/>
      <c r="B920" s="21" t="n"/>
      <c r="C920" s="22" t="n"/>
      <c r="D920" s="23" t="n"/>
      <c r="E920" s="24" t="n"/>
      <c r="F920" s="25" t="n"/>
      <c r="G920" s="25" t="n"/>
      <c r="H920" s="24" t="n"/>
      <c r="I920" s="25" t="n"/>
      <c r="J920" s="17">
        <f>IF(AND(C920="",D920="",G920=""),"",IF(NOT(ISNUMBER(B920)),"Needs a date",IF(AND(D920&lt;&gt;"",NOT(ISNUMBER(D920))),"Amount not a number",IF(N(D920)&lt;0,"Amount below zero",IF(AND(N(D920)=0,G920=""),"Needs an amount or goods",IF(C920="","",IF(COUNTIF(Donors!$B$6:$B$305,C920)=0,"Not on Donors","")))))))</f>
        <v/>
      </c>
      <c r="K920" s="1">
        <f>IF(ISNUMBER(B920),YEAR(B920),"")</f>
        <v/>
      </c>
      <c r="L920">
        <f>IF(ISNUMBER(B920),YEAR(B920)*100+MONTH(B920),"")</f>
        <v/>
      </c>
      <c r="M920">
        <f>IF(ISNUMBER(B920),INT(B920),0)</f>
        <v/>
      </c>
      <c r="N920">
        <f>IF(OR(C920="",F920="",Q920=0),0,IF(COUNTIFS(C$6:C920,C920,F$6:F920,F920,Q$6:Q920,1)=1,1,0))</f>
        <v/>
      </c>
      <c r="O920">
        <f>IF(OR(C920="",Q920=0,H920&lt;&gt;""),"",M920*10000+ROW())</f>
        <v/>
      </c>
      <c r="P920">
        <f>IF(OR(C920="",Q920=0),"",IF(AND(C920=Statement!$C$4,K920=Statement!$C$5),M920*10000+ROW(),""))</f>
        <v/>
      </c>
      <c r="Q920">
        <f>IF(AND(ISNUMBER(B920),OR(N(D920)&gt;0,G920&lt;&gt;"")),1,0)</f>
        <v/>
      </c>
    </row>
    <row r="921">
      <c r="A921" s="1" t="n"/>
      <c r="B921" s="21" t="n"/>
      <c r="C921" s="22" t="n"/>
      <c r="D921" s="23" t="n"/>
      <c r="E921" s="24" t="n"/>
      <c r="F921" s="25" t="n"/>
      <c r="G921" s="25" t="n"/>
      <c r="H921" s="24" t="n"/>
      <c r="I921" s="25" t="n"/>
      <c r="J921" s="17">
        <f>IF(AND(C921="",D921="",G921=""),"",IF(NOT(ISNUMBER(B921)),"Needs a date",IF(AND(D921&lt;&gt;"",NOT(ISNUMBER(D921))),"Amount not a number",IF(N(D921)&lt;0,"Amount below zero",IF(AND(N(D921)=0,G921=""),"Needs an amount or goods",IF(C921="","",IF(COUNTIF(Donors!$B$6:$B$305,C921)=0,"Not on Donors","")))))))</f>
        <v/>
      </c>
      <c r="K921" s="1">
        <f>IF(ISNUMBER(B921),YEAR(B921),"")</f>
        <v/>
      </c>
      <c r="L921">
        <f>IF(ISNUMBER(B921),YEAR(B921)*100+MONTH(B921),"")</f>
        <v/>
      </c>
      <c r="M921">
        <f>IF(ISNUMBER(B921),INT(B921),0)</f>
        <v/>
      </c>
      <c r="N921">
        <f>IF(OR(C921="",F921="",Q921=0),0,IF(COUNTIFS(C$6:C921,C921,F$6:F921,F921,Q$6:Q921,1)=1,1,0))</f>
        <v/>
      </c>
      <c r="O921">
        <f>IF(OR(C921="",Q921=0,H921&lt;&gt;""),"",M921*10000+ROW())</f>
        <v/>
      </c>
      <c r="P921">
        <f>IF(OR(C921="",Q921=0),"",IF(AND(C921=Statement!$C$4,K921=Statement!$C$5),M921*10000+ROW(),""))</f>
        <v/>
      </c>
      <c r="Q921">
        <f>IF(AND(ISNUMBER(B921),OR(N(D921)&gt;0,G921&lt;&gt;"")),1,0)</f>
        <v/>
      </c>
    </row>
    <row r="922">
      <c r="A922" s="1" t="n"/>
      <c r="B922" s="21" t="n"/>
      <c r="C922" s="22" t="n"/>
      <c r="D922" s="23" t="n"/>
      <c r="E922" s="24" t="n"/>
      <c r="F922" s="25" t="n"/>
      <c r="G922" s="25" t="n"/>
      <c r="H922" s="24" t="n"/>
      <c r="I922" s="25" t="n"/>
      <c r="J922" s="17">
        <f>IF(AND(C922="",D922="",G922=""),"",IF(NOT(ISNUMBER(B922)),"Needs a date",IF(AND(D922&lt;&gt;"",NOT(ISNUMBER(D922))),"Amount not a number",IF(N(D922)&lt;0,"Amount below zero",IF(AND(N(D922)=0,G922=""),"Needs an amount or goods",IF(C922="","",IF(COUNTIF(Donors!$B$6:$B$305,C922)=0,"Not on Donors","")))))))</f>
        <v/>
      </c>
      <c r="K922" s="1">
        <f>IF(ISNUMBER(B922),YEAR(B922),"")</f>
        <v/>
      </c>
      <c r="L922">
        <f>IF(ISNUMBER(B922),YEAR(B922)*100+MONTH(B922),"")</f>
        <v/>
      </c>
      <c r="M922">
        <f>IF(ISNUMBER(B922),INT(B922),0)</f>
        <v/>
      </c>
      <c r="N922">
        <f>IF(OR(C922="",F922="",Q922=0),0,IF(COUNTIFS(C$6:C922,C922,F$6:F922,F922,Q$6:Q922,1)=1,1,0))</f>
        <v/>
      </c>
      <c r="O922">
        <f>IF(OR(C922="",Q922=0,H922&lt;&gt;""),"",M922*10000+ROW())</f>
        <v/>
      </c>
      <c r="P922">
        <f>IF(OR(C922="",Q922=0),"",IF(AND(C922=Statement!$C$4,K922=Statement!$C$5),M922*10000+ROW(),""))</f>
        <v/>
      </c>
      <c r="Q922">
        <f>IF(AND(ISNUMBER(B922),OR(N(D922)&gt;0,G922&lt;&gt;"")),1,0)</f>
        <v/>
      </c>
    </row>
    <row r="923">
      <c r="A923" s="1" t="n"/>
      <c r="B923" s="21" t="n"/>
      <c r="C923" s="22" t="n"/>
      <c r="D923" s="23" t="n"/>
      <c r="E923" s="24" t="n"/>
      <c r="F923" s="25" t="n"/>
      <c r="G923" s="25" t="n"/>
      <c r="H923" s="24" t="n"/>
      <c r="I923" s="25" t="n"/>
      <c r="J923" s="17">
        <f>IF(AND(C923="",D923="",G923=""),"",IF(NOT(ISNUMBER(B923)),"Needs a date",IF(AND(D923&lt;&gt;"",NOT(ISNUMBER(D923))),"Amount not a number",IF(N(D923)&lt;0,"Amount below zero",IF(AND(N(D923)=0,G923=""),"Needs an amount or goods",IF(C923="","",IF(COUNTIF(Donors!$B$6:$B$305,C923)=0,"Not on Donors","")))))))</f>
        <v/>
      </c>
      <c r="K923" s="1">
        <f>IF(ISNUMBER(B923),YEAR(B923),"")</f>
        <v/>
      </c>
      <c r="L923">
        <f>IF(ISNUMBER(B923),YEAR(B923)*100+MONTH(B923),"")</f>
        <v/>
      </c>
      <c r="M923">
        <f>IF(ISNUMBER(B923),INT(B923),0)</f>
        <v/>
      </c>
      <c r="N923">
        <f>IF(OR(C923="",F923="",Q923=0),0,IF(COUNTIFS(C$6:C923,C923,F$6:F923,F923,Q$6:Q923,1)=1,1,0))</f>
        <v/>
      </c>
      <c r="O923">
        <f>IF(OR(C923="",Q923=0,H923&lt;&gt;""),"",M923*10000+ROW())</f>
        <v/>
      </c>
      <c r="P923">
        <f>IF(OR(C923="",Q923=0),"",IF(AND(C923=Statement!$C$4,K923=Statement!$C$5),M923*10000+ROW(),""))</f>
        <v/>
      </c>
      <c r="Q923">
        <f>IF(AND(ISNUMBER(B923),OR(N(D923)&gt;0,G923&lt;&gt;"")),1,0)</f>
        <v/>
      </c>
    </row>
    <row r="924">
      <c r="A924" s="1" t="n"/>
      <c r="B924" s="21" t="n"/>
      <c r="C924" s="22" t="n"/>
      <c r="D924" s="23" t="n"/>
      <c r="E924" s="24" t="n"/>
      <c r="F924" s="25" t="n"/>
      <c r="G924" s="25" t="n"/>
      <c r="H924" s="24" t="n"/>
      <c r="I924" s="25" t="n"/>
      <c r="J924" s="17">
        <f>IF(AND(C924="",D924="",G924=""),"",IF(NOT(ISNUMBER(B924)),"Needs a date",IF(AND(D924&lt;&gt;"",NOT(ISNUMBER(D924))),"Amount not a number",IF(N(D924)&lt;0,"Amount below zero",IF(AND(N(D924)=0,G924=""),"Needs an amount or goods",IF(C924="","",IF(COUNTIF(Donors!$B$6:$B$305,C924)=0,"Not on Donors","")))))))</f>
        <v/>
      </c>
      <c r="K924" s="1">
        <f>IF(ISNUMBER(B924),YEAR(B924),"")</f>
        <v/>
      </c>
      <c r="L924">
        <f>IF(ISNUMBER(B924),YEAR(B924)*100+MONTH(B924),"")</f>
        <v/>
      </c>
      <c r="M924">
        <f>IF(ISNUMBER(B924),INT(B924),0)</f>
        <v/>
      </c>
      <c r="N924">
        <f>IF(OR(C924="",F924="",Q924=0),0,IF(COUNTIFS(C$6:C924,C924,F$6:F924,F924,Q$6:Q924,1)=1,1,0))</f>
        <v/>
      </c>
      <c r="O924">
        <f>IF(OR(C924="",Q924=0,H924&lt;&gt;""),"",M924*10000+ROW())</f>
        <v/>
      </c>
      <c r="P924">
        <f>IF(OR(C924="",Q924=0),"",IF(AND(C924=Statement!$C$4,K924=Statement!$C$5),M924*10000+ROW(),""))</f>
        <v/>
      </c>
      <c r="Q924">
        <f>IF(AND(ISNUMBER(B924),OR(N(D924)&gt;0,G924&lt;&gt;"")),1,0)</f>
        <v/>
      </c>
    </row>
    <row r="925">
      <c r="A925" s="1" t="n"/>
      <c r="B925" s="21" t="n"/>
      <c r="C925" s="22" t="n"/>
      <c r="D925" s="23" t="n"/>
      <c r="E925" s="24" t="n"/>
      <c r="F925" s="25" t="n"/>
      <c r="G925" s="25" t="n"/>
      <c r="H925" s="24" t="n"/>
      <c r="I925" s="25" t="n"/>
      <c r="J925" s="17">
        <f>IF(AND(C925="",D925="",G925=""),"",IF(NOT(ISNUMBER(B925)),"Needs a date",IF(AND(D925&lt;&gt;"",NOT(ISNUMBER(D925))),"Amount not a number",IF(N(D925)&lt;0,"Amount below zero",IF(AND(N(D925)=0,G925=""),"Needs an amount or goods",IF(C925="","",IF(COUNTIF(Donors!$B$6:$B$305,C925)=0,"Not on Donors","")))))))</f>
        <v/>
      </c>
      <c r="K925" s="1">
        <f>IF(ISNUMBER(B925),YEAR(B925),"")</f>
        <v/>
      </c>
      <c r="L925">
        <f>IF(ISNUMBER(B925),YEAR(B925)*100+MONTH(B925),"")</f>
        <v/>
      </c>
      <c r="M925">
        <f>IF(ISNUMBER(B925),INT(B925),0)</f>
        <v/>
      </c>
      <c r="N925">
        <f>IF(OR(C925="",F925="",Q925=0),0,IF(COUNTIFS(C$6:C925,C925,F$6:F925,F925,Q$6:Q925,1)=1,1,0))</f>
        <v/>
      </c>
      <c r="O925">
        <f>IF(OR(C925="",Q925=0,H925&lt;&gt;""),"",M925*10000+ROW())</f>
        <v/>
      </c>
      <c r="P925">
        <f>IF(OR(C925="",Q925=0),"",IF(AND(C925=Statement!$C$4,K925=Statement!$C$5),M925*10000+ROW(),""))</f>
        <v/>
      </c>
      <c r="Q925">
        <f>IF(AND(ISNUMBER(B925),OR(N(D925)&gt;0,G925&lt;&gt;"")),1,0)</f>
        <v/>
      </c>
    </row>
    <row r="926">
      <c r="A926" s="1" t="n"/>
      <c r="B926" s="21" t="n"/>
      <c r="C926" s="22" t="n"/>
      <c r="D926" s="23" t="n"/>
      <c r="E926" s="24" t="n"/>
      <c r="F926" s="25" t="n"/>
      <c r="G926" s="25" t="n"/>
      <c r="H926" s="24" t="n"/>
      <c r="I926" s="25" t="n"/>
      <c r="J926" s="17">
        <f>IF(AND(C926="",D926="",G926=""),"",IF(NOT(ISNUMBER(B926)),"Needs a date",IF(AND(D926&lt;&gt;"",NOT(ISNUMBER(D926))),"Amount not a number",IF(N(D926)&lt;0,"Amount below zero",IF(AND(N(D926)=0,G926=""),"Needs an amount or goods",IF(C926="","",IF(COUNTIF(Donors!$B$6:$B$305,C926)=0,"Not on Donors","")))))))</f>
        <v/>
      </c>
      <c r="K926" s="1">
        <f>IF(ISNUMBER(B926),YEAR(B926),"")</f>
        <v/>
      </c>
      <c r="L926">
        <f>IF(ISNUMBER(B926),YEAR(B926)*100+MONTH(B926),"")</f>
        <v/>
      </c>
      <c r="M926">
        <f>IF(ISNUMBER(B926),INT(B926),0)</f>
        <v/>
      </c>
      <c r="N926">
        <f>IF(OR(C926="",F926="",Q926=0),0,IF(COUNTIFS(C$6:C926,C926,F$6:F926,F926,Q$6:Q926,1)=1,1,0))</f>
        <v/>
      </c>
      <c r="O926">
        <f>IF(OR(C926="",Q926=0,H926&lt;&gt;""),"",M926*10000+ROW())</f>
        <v/>
      </c>
      <c r="P926">
        <f>IF(OR(C926="",Q926=0),"",IF(AND(C926=Statement!$C$4,K926=Statement!$C$5),M926*10000+ROW(),""))</f>
        <v/>
      </c>
      <c r="Q926">
        <f>IF(AND(ISNUMBER(B926),OR(N(D926)&gt;0,G926&lt;&gt;"")),1,0)</f>
        <v/>
      </c>
    </row>
    <row r="927">
      <c r="A927" s="1" t="n"/>
      <c r="B927" s="21" t="n"/>
      <c r="C927" s="22" t="n"/>
      <c r="D927" s="23" t="n"/>
      <c r="E927" s="24" t="n"/>
      <c r="F927" s="25" t="n"/>
      <c r="G927" s="25" t="n"/>
      <c r="H927" s="24" t="n"/>
      <c r="I927" s="25" t="n"/>
      <c r="J927" s="17">
        <f>IF(AND(C927="",D927="",G927=""),"",IF(NOT(ISNUMBER(B927)),"Needs a date",IF(AND(D927&lt;&gt;"",NOT(ISNUMBER(D927))),"Amount not a number",IF(N(D927)&lt;0,"Amount below zero",IF(AND(N(D927)=0,G927=""),"Needs an amount or goods",IF(C927="","",IF(COUNTIF(Donors!$B$6:$B$305,C927)=0,"Not on Donors","")))))))</f>
        <v/>
      </c>
      <c r="K927" s="1">
        <f>IF(ISNUMBER(B927),YEAR(B927),"")</f>
        <v/>
      </c>
      <c r="L927">
        <f>IF(ISNUMBER(B927),YEAR(B927)*100+MONTH(B927),"")</f>
        <v/>
      </c>
      <c r="M927">
        <f>IF(ISNUMBER(B927),INT(B927),0)</f>
        <v/>
      </c>
      <c r="N927">
        <f>IF(OR(C927="",F927="",Q927=0),0,IF(COUNTIFS(C$6:C927,C927,F$6:F927,F927,Q$6:Q927,1)=1,1,0))</f>
        <v/>
      </c>
      <c r="O927">
        <f>IF(OR(C927="",Q927=0,H927&lt;&gt;""),"",M927*10000+ROW())</f>
        <v/>
      </c>
      <c r="P927">
        <f>IF(OR(C927="",Q927=0),"",IF(AND(C927=Statement!$C$4,K927=Statement!$C$5),M927*10000+ROW(),""))</f>
        <v/>
      </c>
      <c r="Q927">
        <f>IF(AND(ISNUMBER(B927),OR(N(D927)&gt;0,G927&lt;&gt;"")),1,0)</f>
        <v/>
      </c>
    </row>
    <row r="928">
      <c r="A928" s="1" t="n"/>
      <c r="B928" s="21" t="n"/>
      <c r="C928" s="22" t="n"/>
      <c r="D928" s="23" t="n"/>
      <c r="E928" s="24" t="n"/>
      <c r="F928" s="25" t="n"/>
      <c r="G928" s="25" t="n"/>
      <c r="H928" s="24" t="n"/>
      <c r="I928" s="25" t="n"/>
      <c r="J928" s="17">
        <f>IF(AND(C928="",D928="",G928=""),"",IF(NOT(ISNUMBER(B928)),"Needs a date",IF(AND(D928&lt;&gt;"",NOT(ISNUMBER(D928))),"Amount not a number",IF(N(D928)&lt;0,"Amount below zero",IF(AND(N(D928)=0,G928=""),"Needs an amount or goods",IF(C928="","",IF(COUNTIF(Donors!$B$6:$B$305,C928)=0,"Not on Donors","")))))))</f>
        <v/>
      </c>
      <c r="K928" s="1">
        <f>IF(ISNUMBER(B928),YEAR(B928),"")</f>
        <v/>
      </c>
      <c r="L928">
        <f>IF(ISNUMBER(B928),YEAR(B928)*100+MONTH(B928),"")</f>
        <v/>
      </c>
      <c r="M928">
        <f>IF(ISNUMBER(B928),INT(B928),0)</f>
        <v/>
      </c>
      <c r="N928">
        <f>IF(OR(C928="",F928="",Q928=0),0,IF(COUNTIFS(C$6:C928,C928,F$6:F928,F928,Q$6:Q928,1)=1,1,0))</f>
        <v/>
      </c>
      <c r="O928">
        <f>IF(OR(C928="",Q928=0,H928&lt;&gt;""),"",M928*10000+ROW())</f>
        <v/>
      </c>
      <c r="P928">
        <f>IF(OR(C928="",Q928=0),"",IF(AND(C928=Statement!$C$4,K928=Statement!$C$5),M928*10000+ROW(),""))</f>
        <v/>
      </c>
      <c r="Q928">
        <f>IF(AND(ISNUMBER(B928),OR(N(D928)&gt;0,G928&lt;&gt;"")),1,0)</f>
        <v/>
      </c>
    </row>
    <row r="929">
      <c r="A929" s="1" t="n"/>
      <c r="B929" s="21" t="n"/>
      <c r="C929" s="22" t="n"/>
      <c r="D929" s="23" t="n"/>
      <c r="E929" s="24" t="n"/>
      <c r="F929" s="25" t="n"/>
      <c r="G929" s="25" t="n"/>
      <c r="H929" s="24" t="n"/>
      <c r="I929" s="25" t="n"/>
      <c r="J929" s="17">
        <f>IF(AND(C929="",D929="",G929=""),"",IF(NOT(ISNUMBER(B929)),"Needs a date",IF(AND(D929&lt;&gt;"",NOT(ISNUMBER(D929))),"Amount not a number",IF(N(D929)&lt;0,"Amount below zero",IF(AND(N(D929)=0,G929=""),"Needs an amount or goods",IF(C929="","",IF(COUNTIF(Donors!$B$6:$B$305,C929)=0,"Not on Donors","")))))))</f>
        <v/>
      </c>
      <c r="K929" s="1">
        <f>IF(ISNUMBER(B929),YEAR(B929),"")</f>
        <v/>
      </c>
      <c r="L929">
        <f>IF(ISNUMBER(B929),YEAR(B929)*100+MONTH(B929),"")</f>
        <v/>
      </c>
      <c r="M929">
        <f>IF(ISNUMBER(B929),INT(B929),0)</f>
        <v/>
      </c>
      <c r="N929">
        <f>IF(OR(C929="",F929="",Q929=0),0,IF(COUNTIFS(C$6:C929,C929,F$6:F929,F929,Q$6:Q929,1)=1,1,0))</f>
        <v/>
      </c>
      <c r="O929">
        <f>IF(OR(C929="",Q929=0,H929&lt;&gt;""),"",M929*10000+ROW())</f>
        <v/>
      </c>
      <c r="P929">
        <f>IF(OR(C929="",Q929=0),"",IF(AND(C929=Statement!$C$4,K929=Statement!$C$5),M929*10000+ROW(),""))</f>
        <v/>
      </c>
      <c r="Q929">
        <f>IF(AND(ISNUMBER(B929),OR(N(D929)&gt;0,G929&lt;&gt;"")),1,0)</f>
        <v/>
      </c>
    </row>
    <row r="930">
      <c r="A930" s="1" t="n"/>
      <c r="B930" s="21" t="n"/>
      <c r="C930" s="22" t="n"/>
      <c r="D930" s="23" t="n"/>
      <c r="E930" s="24" t="n"/>
      <c r="F930" s="25" t="n"/>
      <c r="G930" s="25" t="n"/>
      <c r="H930" s="24" t="n"/>
      <c r="I930" s="25" t="n"/>
      <c r="J930" s="17">
        <f>IF(AND(C930="",D930="",G930=""),"",IF(NOT(ISNUMBER(B930)),"Needs a date",IF(AND(D930&lt;&gt;"",NOT(ISNUMBER(D930))),"Amount not a number",IF(N(D930)&lt;0,"Amount below zero",IF(AND(N(D930)=0,G930=""),"Needs an amount or goods",IF(C930="","",IF(COUNTIF(Donors!$B$6:$B$305,C930)=0,"Not on Donors","")))))))</f>
        <v/>
      </c>
      <c r="K930" s="1">
        <f>IF(ISNUMBER(B930),YEAR(B930),"")</f>
        <v/>
      </c>
      <c r="L930">
        <f>IF(ISNUMBER(B930),YEAR(B930)*100+MONTH(B930),"")</f>
        <v/>
      </c>
      <c r="M930">
        <f>IF(ISNUMBER(B930),INT(B930),0)</f>
        <v/>
      </c>
      <c r="N930">
        <f>IF(OR(C930="",F930="",Q930=0),0,IF(COUNTIFS(C$6:C930,C930,F$6:F930,F930,Q$6:Q930,1)=1,1,0))</f>
        <v/>
      </c>
      <c r="O930">
        <f>IF(OR(C930="",Q930=0,H930&lt;&gt;""),"",M930*10000+ROW())</f>
        <v/>
      </c>
      <c r="P930">
        <f>IF(OR(C930="",Q930=0),"",IF(AND(C930=Statement!$C$4,K930=Statement!$C$5),M930*10000+ROW(),""))</f>
        <v/>
      </c>
      <c r="Q930">
        <f>IF(AND(ISNUMBER(B930),OR(N(D930)&gt;0,G930&lt;&gt;"")),1,0)</f>
        <v/>
      </c>
    </row>
    <row r="931">
      <c r="A931" s="1" t="n"/>
      <c r="B931" s="21" t="n"/>
      <c r="C931" s="22" t="n"/>
      <c r="D931" s="23" t="n"/>
      <c r="E931" s="24" t="n"/>
      <c r="F931" s="25" t="n"/>
      <c r="G931" s="25" t="n"/>
      <c r="H931" s="24" t="n"/>
      <c r="I931" s="25" t="n"/>
      <c r="J931" s="17">
        <f>IF(AND(C931="",D931="",G931=""),"",IF(NOT(ISNUMBER(B931)),"Needs a date",IF(AND(D931&lt;&gt;"",NOT(ISNUMBER(D931))),"Amount not a number",IF(N(D931)&lt;0,"Amount below zero",IF(AND(N(D931)=0,G931=""),"Needs an amount or goods",IF(C931="","",IF(COUNTIF(Donors!$B$6:$B$305,C931)=0,"Not on Donors","")))))))</f>
        <v/>
      </c>
      <c r="K931" s="1">
        <f>IF(ISNUMBER(B931),YEAR(B931),"")</f>
        <v/>
      </c>
      <c r="L931">
        <f>IF(ISNUMBER(B931),YEAR(B931)*100+MONTH(B931),"")</f>
        <v/>
      </c>
      <c r="M931">
        <f>IF(ISNUMBER(B931),INT(B931),0)</f>
        <v/>
      </c>
      <c r="N931">
        <f>IF(OR(C931="",F931="",Q931=0),0,IF(COUNTIFS(C$6:C931,C931,F$6:F931,F931,Q$6:Q931,1)=1,1,0))</f>
        <v/>
      </c>
      <c r="O931">
        <f>IF(OR(C931="",Q931=0,H931&lt;&gt;""),"",M931*10000+ROW())</f>
        <v/>
      </c>
      <c r="P931">
        <f>IF(OR(C931="",Q931=0),"",IF(AND(C931=Statement!$C$4,K931=Statement!$C$5),M931*10000+ROW(),""))</f>
        <v/>
      </c>
      <c r="Q931">
        <f>IF(AND(ISNUMBER(B931),OR(N(D931)&gt;0,G931&lt;&gt;"")),1,0)</f>
        <v/>
      </c>
    </row>
    <row r="932">
      <c r="A932" s="1" t="n"/>
      <c r="B932" s="21" t="n"/>
      <c r="C932" s="22" t="n"/>
      <c r="D932" s="23" t="n"/>
      <c r="E932" s="24" t="n"/>
      <c r="F932" s="25" t="n"/>
      <c r="G932" s="25" t="n"/>
      <c r="H932" s="24" t="n"/>
      <c r="I932" s="25" t="n"/>
      <c r="J932" s="17">
        <f>IF(AND(C932="",D932="",G932=""),"",IF(NOT(ISNUMBER(B932)),"Needs a date",IF(AND(D932&lt;&gt;"",NOT(ISNUMBER(D932))),"Amount not a number",IF(N(D932)&lt;0,"Amount below zero",IF(AND(N(D932)=0,G932=""),"Needs an amount or goods",IF(C932="","",IF(COUNTIF(Donors!$B$6:$B$305,C932)=0,"Not on Donors","")))))))</f>
        <v/>
      </c>
      <c r="K932" s="1">
        <f>IF(ISNUMBER(B932),YEAR(B932),"")</f>
        <v/>
      </c>
      <c r="L932">
        <f>IF(ISNUMBER(B932),YEAR(B932)*100+MONTH(B932),"")</f>
        <v/>
      </c>
      <c r="M932">
        <f>IF(ISNUMBER(B932),INT(B932),0)</f>
        <v/>
      </c>
      <c r="N932">
        <f>IF(OR(C932="",F932="",Q932=0),0,IF(COUNTIFS(C$6:C932,C932,F$6:F932,F932,Q$6:Q932,1)=1,1,0))</f>
        <v/>
      </c>
      <c r="O932">
        <f>IF(OR(C932="",Q932=0,H932&lt;&gt;""),"",M932*10000+ROW())</f>
        <v/>
      </c>
      <c r="P932">
        <f>IF(OR(C932="",Q932=0),"",IF(AND(C932=Statement!$C$4,K932=Statement!$C$5),M932*10000+ROW(),""))</f>
        <v/>
      </c>
      <c r="Q932">
        <f>IF(AND(ISNUMBER(B932),OR(N(D932)&gt;0,G932&lt;&gt;"")),1,0)</f>
        <v/>
      </c>
    </row>
    <row r="933">
      <c r="A933" s="1" t="n"/>
      <c r="B933" s="21" t="n"/>
      <c r="C933" s="22" t="n"/>
      <c r="D933" s="23" t="n"/>
      <c r="E933" s="24" t="n"/>
      <c r="F933" s="25" t="n"/>
      <c r="G933" s="25" t="n"/>
      <c r="H933" s="24" t="n"/>
      <c r="I933" s="25" t="n"/>
      <c r="J933" s="17">
        <f>IF(AND(C933="",D933="",G933=""),"",IF(NOT(ISNUMBER(B933)),"Needs a date",IF(AND(D933&lt;&gt;"",NOT(ISNUMBER(D933))),"Amount not a number",IF(N(D933)&lt;0,"Amount below zero",IF(AND(N(D933)=0,G933=""),"Needs an amount or goods",IF(C933="","",IF(COUNTIF(Donors!$B$6:$B$305,C933)=0,"Not on Donors","")))))))</f>
        <v/>
      </c>
      <c r="K933" s="1">
        <f>IF(ISNUMBER(B933),YEAR(B933),"")</f>
        <v/>
      </c>
      <c r="L933">
        <f>IF(ISNUMBER(B933),YEAR(B933)*100+MONTH(B933),"")</f>
        <v/>
      </c>
      <c r="M933">
        <f>IF(ISNUMBER(B933),INT(B933),0)</f>
        <v/>
      </c>
      <c r="N933">
        <f>IF(OR(C933="",F933="",Q933=0),0,IF(COUNTIFS(C$6:C933,C933,F$6:F933,F933,Q$6:Q933,1)=1,1,0))</f>
        <v/>
      </c>
      <c r="O933">
        <f>IF(OR(C933="",Q933=0,H933&lt;&gt;""),"",M933*10000+ROW())</f>
        <v/>
      </c>
      <c r="P933">
        <f>IF(OR(C933="",Q933=0),"",IF(AND(C933=Statement!$C$4,K933=Statement!$C$5),M933*10000+ROW(),""))</f>
        <v/>
      </c>
      <c r="Q933">
        <f>IF(AND(ISNUMBER(B933),OR(N(D933)&gt;0,G933&lt;&gt;"")),1,0)</f>
        <v/>
      </c>
    </row>
    <row r="934">
      <c r="A934" s="1" t="n"/>
      <c r="B934" s="21" t="n"/>
      <c r="C934" s="22" t="n"/>
      <c r="D934" s="23" t="n"/>
      <c r="E934" s="24" t="n"/>
      <c r="F934" s="25" t="n"/>
      <c r="G934" s="25" t="n"/>
      <c r="H934" s="24" t="n"/>
      <c r="I934" s="25" t="n"/>
      <c r="J934" s="17">
        <f>IF(AND(C934="",D934="",G934=""),"",IF(NOT(ISNUMBER(B934)),"Needs a date",IF(AND(D934&lt;&gt;"",NOT(ISNUMBER(D934))),"Amount not a number",IF(N(D934)&lt;0,"Amount below zero",IF(AND(N(D934)=0,G934=""),"Needs an amount or goods",IF(C934="","",IF(COUNTIF(Donors!$B$6:$B$305,C934)=0,"Not on Donors","")))))))</f>
        <v/>
      </c>
      <c r="K934" s="1">
        <f>IF(ISNUMBER(B934),YEAR(B934),"")</f>
        <v/>
      </c>
      <c r="L934">
        <f>IF(ISNUMBER(B934),YEAR(B934)*100+MONTH(B934),"")</f>
        <v/>
      </c>
      <c r="M934">
        <f>IF(ISNUMBER(B934),INT(B934),0)</f>
        <v/>
      </c>
      <c r="N934">
        <f>IF(OR(C934="",F934="",Q934=0),0,IF(COUNTIFS(C$6:C934,C934,F$6:F934,F934,Q$6:Q934,1)=1,1,0))</f>
        <v/>
      </c>
      <c r="O934">
        <f>IF(OR(C934="",Q934=0,H934&lt;&gt;""),"",M934*10000+ROW())</f>
        <v/>
      </c>
      <c r="P934">
        <f>IF(OR(C934="",Q934=0),"",IF(AND(C934=Statement!$C$4,K934=Statement!$C$5),M934*10000+ROW(),""))</f>
        <v/>
      </c>
      <c r="Q934">
        <f>IF(AND(ISNUMBER(B934),OR(N(D934)&gt;0,G934&lt;&gt;"")),1,0)</f>
        <v/>
      </c>
    </row>
    <row r="935">
      <c r="A935" s="1" t="n"/>
      <c r="B935" s="21" t="n"/>
      <c r="C935" s="22" t="n"/>
      <c r="D935" s="23" t="n"/>
      <c r="E935" s="24" t="n"/>
      <c r="F935" s="25" t="n"/>
      <c r="G935" s="25" t="n"/>
      <c r="H935" s="24" t="n"/>
      <c r="I935" s="25" t="n"/>
      <c r="J935" s="17">
        <f>IF(AND(C935="",D935="",G935=""),"",IF(NOT(ISNUMBER(B935)),"Needs a date",IF(AND(D935&lt;&gt;"",NOT(ISNUMBER(D935))),"Amount not a number",IF(N(D935)&lt;0,"Amount below zero",IF(AND(N(D935)=0,G935=""),"Needs an amount or goods",IF(C935="","",IF(COUNTIF(Donors!$B$6:$B$305,C935)=0,"Not on Donors","")))))))</f>
        <v/>
      </c>
      <c r="K935" s="1">
        <f>IF(ISNUMBER(B935),YEAR(B935),"")</f>
        <v/>
      </c>
      <c r="L935">
        <f>IF(ISNUMBER(B935),YEAR(B935)*100+MONTH(B935),"")</f>
        <v/>
      </c>
      <c r="M935">
        <f>IF(ISNUMBER(B935),INT(B935),0)</f>
        <v/>
      </c>
      <c r="N935">
        <f>IF(OR(C935="",F935="",Q935=0),0,IF(COUNTIFS(C$6:C935,C935,F$6:F935,F935,Q$6:Q935,1)=1,1,0))</f>
        <v/>
      </c>
      <c r="O935">
        <f>IF(OR(C935="",Q935=0,H935&lt;&gt;""),"",M935*10000+ROW())</f>
        <v/>
      </c>
      <c r="P935">
        <f>IF(OR(C935="",Q935=0),"",IF(AND(C935=Statement!$C$4,K935=Statement!$C$5),M935*10000+ROW(),""))</f>
        <v/>
      </c>
      <c r="Q935">
        <f>IF(AND(ISNUMBER(B935),OR(N(D935)&gt;0,G935&lt;&gt;"")),1,0)</f>
        <v/>
      </c>
    </row>
    <row r="936">
      <c r="A936" s="1" t="n"/>
      <c r="B936" s="21" t="n"/>
      <c r="C936" s="22" t="n"/>
      <c r="D936" s="23" t="n"/>
      <c r="E936" s="24" t="n"/>
      <c r="F936" s="25" t="n"/>
      <c r="G936" s="25" t="n"/>
      <c r="H936" s="24" t="n"/>
      <c r="I936" s="25" t="n"/>
      <c r="J936" s="17">
        <f>IF(AND(C936="",D936="",G936=""),"",IF(NOT(ISNUMBER(B936)),"Needs a date",IF(AND(D936&lt;&gt;"",NOT(ISNUMBER(D936))),"Amount not a number",IF(N(D936)&lt;0,"Amount below zero",IF(AND(N(D936)=0,G936=""),"Needs an amount or goods",IF(C936="","",IF(COUNTIF(Donors!$B$6:$B$305,C936)=0,"Not on Donors","")))))))</f>
        <v/>
      </c>
      <c r="K936" s="1">
        <f>IF(ISNUMBER(B936),YEAR(B936),"")</f>
        <v/>
      </c>
      <c r="L936">
        <f>IF(ISNUMBER(B936),YEAR(B936)*100+MONTH(B936),"")</f>
        <v/>
      </c>
      <c r="M936">
        <f>IF(ISNUMBER(B936),INT(B936),0)</f>
        <v/>
      </c>
      <c r="N936">
        <f>IF(OR(C936="",F936="",Q936=0),0,IF(COUNTIFS(C$6:C936,C936,F$6:F936,F936,Q$6:Q936,1)=1,1,0))</f>
        <v/>
      </c>
      <c r="O936">
        <f>IF(OR(C936="",Q936=0,H936&lt;&gt;""),"",M936*10000+ROW())</f>
        <v/>
      </c>
      <c r="P936">
        <f>IF(OR(C936="",Q936=0),"",IF(AND(C936=Statement!$C$4,K936=Statement!$C$5),M936*10000+ROW(),""))</f>
        <v/>
      </c>
      <c r="Q936">
        <f>IF(AND(ISNUMBER(B936),OR(N(D936)&gt;0,G936&lt;&gt;"")),1,0)</f>
        <v/>
      </c>
    </row>
    <row r="937">
      <c r="A937" s="1" t="n"/>
      <c r="B937" s="21" t="n"/>
      <c r="C937" s="22" t="n"/>
      <c r="D937" s="23" t="n"/>
      <c r="E937" s="24" t="n"/>
      <c r="F937" s="25" t="n"/>
      <c r="G937" s="25" t="n"/>
      <c r="H937" s="24" t="n"/>
      <c r="I937" s="25" t="n"/>
      <c r="J937" s="17">
        <f>IF(AND(C937="",D937="",G937=""),"",IF(NOT(ISNUMBER(B937)),"Needs a date",IF(AND(D937&lt;&gt;"",NOT(ISNUMBER(D937))),"Amount not a number",IF(N(D937)&lt;0,"Amount below zero",IF(AND(N(D937)=0,G937=""),"Needs an amount or goods",IF(C937="","",IF(COUNTIF(Donors!$B$6:$B$305,C937)=0,"Not on Donors","")))))))</f>
        <v/>
      </c>
      <c r="K937" s="1">
        <f>IF(ISNUMBER(B937),YEAR(B937),"")</f>
        <v/>
      </c>
      <c r="L937">
        <f>IF(ISNUMBER(B937),YEAR(B937)*100+MONTH(B937),"")</f>
        <v/>
      </c>
      <c r="M937">
        <f>IF(ISNUMBER(B937),INT(B937),0)</f>
        <v/>
      </c>
      <c r="N937">
        <f>IF(OR(C937="",F937="",Q937=0),0,IF(COUNTIFS(C$6:C937,C937,F$6:F937,F937,Q$6:Q937,1)=1,1,0))</f>
        <v/>
      </c>
      <c r="O937">
        <f>IF(OR(C937="",Q937=0,H937&lt;&gt;""),"",M937*10000+ROW())</f>
        <v/>
      </c>
      <c r="P937">
        <f>IF(OR(C937="",Q937=0),"",IF(AND(C937=Statement!$C$4,K937=Statement!$C$5),M937*10000+ROW(),""))</f>
        <v/>
      </c>
      <c r="Q937">
        <f>IF(AND(ISNUMBER(B937),OR(N(D937)&gt;0,G937&lt;&gt;"")),1,0)</f>
        <v/>
      </c>
    </row>
    <row r="938">
      <c r="A938" s="1" t="n"/>
      <c r="B938" s="21" t="n"/>
      <c r="C938" s="22" t="n"/>
      <c r="D938" s="23" t="n"/>
      <c r="E938" s="24" t="n"/>
      <c r="F938" s="25" t="n"/>
      <c r="G938" s="25" t="n"/>
      <c r="H938" s="24" t="n"/>
      <c r="I938" s="25" t="n"/>
      <c r="J938" s="17">
        <f>IF(AND(C938="",D938="",G938=""),"",IF(NOT(ISNUMBER(B938)),"Needs a date",IF(AND(D938&lt;&gt;"",NOT(ISNUMBER(D938))),"Amount not a number",IF(N(D938)&lt;0,"Amount below zero",IF(AND(N(D938)=0,G938=""),"Needs an amount or goods",IF(C938="","",IF(COUNTIF(Donors!$B$6:$B$305,C938)=0,"Not on Donors","")))))))</f>
        <v/>
      </c>
      <c r="K938" s="1">
        <f>IF(ISNUMBER(B938),YEAR(B938),"")</f>
        <v/>
      </c>
      <c r="L938">
        <f>IF(ISNUMBER(B938),YEAR(B938)*100+MONTH(B938),"")</f>
        <v/>
      </c>
      <c r="M938">
        <f>IF(ISNUMBER(B938),INT(B938),0)</f>
        <v/>
      </c>
      <c r="N938">
        <f>IF(OR(C938="",F938="",Q938=0),0,IF(COUNTIFS(C$6:C938,C938,F$6:F938,F938,Q$6:Q938,1)=1,1,0))</f>
        <v/>
      </c>
      <c r="O938">
        <f>IF(OR(C938="",Q938=0,H938&lt;&gt;""),"",M938*10000+ROW())</f>
        <v/>
      </c>
      <c r="P938">
        <f>IF(OR(C938="",Q938=0),"",IF(AND(C938=Statement!$C$4,K938=Statement!$C$5),M938*10000+ROW(),""))</f>
        <v/>
      </c>
      <c r="Q938">
        <f>IF(AND(ISNUMBER(B938),OR(N(D938)&gt;0,G938&lt;&gt;"")),1,0)</f>
        <v/>
      </c>
    </row>
    <row r="939">
      <c r="A939" s="1" t="n"/>
      <c r="B939" s="21" t="n"/>
      <c r="C939" s="22" t="n"/>
      <c r="D939" s="23" t="n"/>
      <c r="E939" s="24" t="n"/>
      <c r="F939" s="25" t="n"/>
      <c r="G939" s="25" t="n"/>
      <c r="H939" s="24" t="n"/>
      <c r="I939" s="25" t="n"/>
      <c r="J939" s="17">
        <f>IF(AND(C939="",D939="",G939=""),"",IF(NOT(ISNUMBER(B939)),"Needs a date",IF(AND(D939&lt;&gt;"",NOT(ISNUMBER(D939))),"Amount not a number",IF(N(D939)&lt;0,"Amount below zero",IF(AND(N(D939)=0,G939=""),"Needs an amount or goods",IF(C939="","",IF(COUNTIF(Donors!$B$6:$B$305,C939)=0,"Not on Donors","")))))))</f>
        <v/>
      </c>
      <c r="K939" s="1">
        <f>IF(ISNUMBER(B939),YEAR(B939),"")</f>
        <v/>
      </c>
      <c r="L939">
        <f>IF(ISNUMBER(B939),YEAR(B939)*100+MONTH(B939),"")</f>
        <v/>
      </c>
      <c r="M939">
        <f>IF(ISNUMBER(B939),INT(B939),0)</f>
        <v/>
      </c>
      <c r="N939">
        <f>IF(OR(C939="",F939="",Q939=0),0,IF(COUNTIFS(C$6:C939,C939,F$6:F939,F939,Q$6:Q939,1)=1,1,0))</f>
        <v/>
      </c>
      <c r="O939">
        <f>IF(OR(C939="",Q939=0,H939&lt;&gt;""),"",M939*10000+ROW())</f>
        <v/>
      </c>
      <c r="P939">
        <f>IF(OR(C939="",Q939=0),"",IF(AND(C939=Statement!$C$4,K939=Statement!$C$5),M939*10000+ROW(),""))</f>
        <v/>
      </c>
      <c r="Q939">
        <f>IF(AND(ISNUMBER(B939),OR(N(D939)&gt;0,G939&lt;&gt;"")),1,0)</f>
        <v/>
      </c>
    </row>
    <row r="940">
      <c r="A940" s="1" t="n"/>
      <c r="B940" s="21" t="n"/>
      <c r="C940" s="22" t="n"/>
      <c r="D940" s="23" t="n"/>
      <c r="E940" s="24" t="n"/>
      <c r="F940" s="25" t="n"/>
      <c r="G940" s="25" t="n"/>
      <c r="H940" s="24" t="n"/>
      <c r="I940" s="25" t="n"/>
      <c r="J940" s="17">
        <f>IF(AND(C940="",D940="",G940=""),"",IF(NOT(ISNUMBER(B940)),"Needs a date",IF(AND(D940&lt;&gt;"",NOT(ISNUMBER(D940))),"Amount not a number",IF(N(D940)&lt;0,"Amount below zero",IF(AND(N(D940)=0,G940=""),"Needs an amount or goods",IF(C940="","",IF(COUNTIF(Donors!$B$6:$B$305,C940)=0,"Not on Donors","")))))))</f>
        <v/>
      </c>
      <c r="K940" s="1">
        <f>IF(ISNUMBER(B940),YEAR(B940),"")</f>
        <v/>
      </c>
      <c r="L940">
        <f>IF(ISNUMBER(B940),YEAR(B940)*100+MONTH(B940),"")</f>
        <v/>
      </c>
      <c r="M940">
        <f>IF(ISNUMBER(B940),INT(B940),0)</f>
        <v/>
      </c>
      <c r="N940">
        <f>IF(OR(C940="",F940="",Q940=0),0,IF(COUNTIFS(C$6:C940,C940,F$6:F940,F940,Q$6:Q940,1)=1,1,0))</f>
        <v/>
      </c>
      <c r="O940">
        <f>IF(OR(C940="",Q940=0,H940&lt;&gt;""),"",M940*10000+ROW())</f>
        <v/>
      </c>
      <c r="P940">
        <f>IF(OR(C940="",Q940=0),"",IF(AND(C940=Statement!$C$4,K940=Statement!$C$5),M940*10000+ROW(),""))</f>
        <v/>
      </c>
      <c r="Q940">
        <f>IF(AND(ISNUMBER(B940),OR(N(D940)&gt;0,G940&lt;&gt;"")),1,0)</f>
        <v/>
      </c>
    </row>
    <row r="941">
      <c r="A941" s="1" t="n"/>
      <c r="B941" s="21" t="n"/>
      <c r="C941" s="22" t="n"/>
      <c r="D941" s="23" t="n"/>
      <c r="E941" s="24" t="n"/>
      <c r="F941" s="25" t="n"/>
      <c r="G941" s="25" t="n"/>
      <c r="H941" s="24" t="n"/>
      <c r="I941" s="25" t="n"/>
      <c r="J941" s="17">
        <f>IF(AND(C941="",D941="",G941=""),"",IF(NOT(ISNUMBER(B941)),"Needs a date",IF(AND(D941&lt;&gt;"",NOT(ISNUMBER(D941))),"Amount not a number",IF(N(D941)&lt;0,"Amount below zero",IF(AND(N(D941)=0,G941=""),"Needs an amount or goods",IF(C941="","",IF(COUNTIF(Donors!$B$6:$B$305,C941)=0,"Not on Donors","")))))))</f>
        <v/>
      </c>
      <c r="K941" s="1">
        <f>IF(ISNUMBER(B941),YEAR(B941),"")</f>
        <v/>
      </c>
      <c r="L941">
        <f>IF(ISNUMBER(B941),YEAR(B941)*100+MONTH(B941),"")</f>
        <v/>
      </c>
      <c r="M941">
        <f>IF(ISNUMBER(B941),INT(B941),0)</f>
        <v/>
      </c>
      <c r="N941">
        <f>IF(OR(C941="",F941="",Q941=0),0,IF(COUNTIFS(C$6:C941,C941,F$6:F941,F941,Q$6:Q941,1)=1,1,0))</f>
        <v/>
      </c>
      <c r="O941">
        <f>IF(OR(C941="",Q941=0,H941&lt;&gt;""),"",M941*10000+ROW())</f>
        <v/>
      </c>
      <c r="P941">
        <f>IF(OR(C941="",Q941=0),"",IF(AND(C941=Statement!$C$4,K941=Statement!$C$5),M941*10000+ROW(),""))</f>
        <v/>
      </c>
      <c r="Q941">
        <f>IF(AND(ISNUMBER(B941),OR(N(D941)&gt;0,G941&lt;&gt;"")),1,0)</f>
        <v/>
      </c>
    </row>
    <row r="942">
      <c r="A942" s="1" t="n"/>
      <c r="B942" s="21" t="n"/>
      <c r="C942" s="22" t="n"/>
      <c r="D942" s="23" t="n"/>
      <c r="E942" s="24" t="n"/>
      <c r="F942" s="25" t="n"/>
      <c r="G942" s="25" t="n"/>
      <c r="H942" s="24" t="n"/>
      <c r="I942" s="25" t="n"/>
      <c r="J942" s="17">
        <f>IF(AND(C942="",D942="",G942=""),"",IF(NOT(ISNUMBER(B942)),"Needs a date",IF(AND(D942&lt;&gt;"",NOT(ISNUMBER(D942))),"Amount not a number",IF(N(D942)&lt;0,"Amount below zero",IF(AND(N(D942)=0,G942=""),"Needs an amount or goods",IF(C942="","",IF(COUNTIF(Donors!$B$6:$B$305,C942)=0,"Not on Donors","")))))))</f>
        <v/>
      </c>
      <c r="K942" s="1">
        <f>IF(ISNUMBER(B942),YEAR(B942),"")</f>
        <v/>
      </c>
      <c r="L942">
        <f>IF(ISNUMBER(B942),YEAR(B942)*100+MONTH(B942),"")</f>
        <v/>
      </c>
      <c r="M942">
        <f>IF(ISNUMBER(B942),INT(B942),0)</f>
        <v/>
      </c>
      <c r="N942">
        <f>IF(OR(C942="",F942="",Q942=0),0,IF(COUNTIFS(C$6:C942,C942,F$6:F942,F942,Q$6:Q942,1)=1,1,0))</f>
        <v/>
      </c>
      <c r="O942">
        <f>IF(OR(C942="",Q942=0,H942&lt;&gt;""),"",M942*10000+ROW())</f>
        <v/>
      </c>
      <c r="P942">
        <f>IF(OR(C942="",Q942=0),"",IF(AND(C942=Statement!$C$4,K942=Statement!$C$5),M942*10000+ROW(),""))</f>
        <v/>
      </c>
      <c r="Q942">
        <f>IF(AND(ISNUMBER(B942),OR(N(D942)&gt;0,G942&lt;&gt;"")),1,0)</f>
        <v/>
      </c>
    </row>
    <row r="943">
      <c r="A943" s="1" t="n"/>
      <c r="B943" s="21" t="n"/>
      <c r="C943" s="22" t="n"/>
      <c r="D943" s="23" t="n"/>
      <c r="E943" s="24" t="n"/>
      <c r="F943" s="25" t="n"/>
      <c r="G943" s="25" t="n"/>
      <c r="H943" s="24" t="n"/>
      <c r="I943" s="25" t="n"/>
      <c r="J943" s="17">
        <f>IF(AND(C943="",D943="",G943=""),"",IF(NOT(ISNUMBER(B943)),"Needs a date",IF(AND(D943&lt;&gt;"",NOT(ISNUMBER(D943))),"Amount not a number",IF(N(D943)&lt;0,"Amount below zero",IF(AND(N(D943)=0,G943=""),"Needs an amount or goods",IF(C943="","",IF(COUNTIF(Donors!$B$6:$B$305,C943)=0,"Not on Donors","")))))))</f>
        <v/>
      </c>
      <c r="K943" s="1">
        <f>IF(ISNUMBER(B943),YEAR(B943),"")</f>
        <v/>
      </c>
      <c r="L943">
        <f>IF(ISNUMBER(B943),YEAR(B943)*100+MONTH(B943),"")</f>
        <v/>
      </c>
      <c r="M943">
        <f>IF(ISNUMBER(B943),INT(B943),0)</f>
        <v/>
      </c>
      <c r="N943">
        <f>IF(OR(C943="",F943="",Q943=0),0,IF(COUNTIFS(C$6:C943,C943,F$6:F943,F943,Q$6:Q943,1)=1,1,0))</f>
        <v/>
      </c>
      <c r="O943">
        <f>IF(OR(C943="",Q943=0,H943&lt;&gt;""),"",M943*10000+ROW())</f>
        <v/>
      </c>
      <c r="P943">
        <f>IF(OR(C943="",Q943=0),"",IF(AND(C943=Statement!$C$4,K943=Statement!$C$5),M943*10000+ROW(),""))</f>
        <v/>
      </c>
      <c r="Q943">
        <f>IF(AND(ISNUMBER(B943),OR(N(D943)&gt;0,G943&lt;&gt;"")),1,0)</f>
        <v/>
      </c>
    </row>
    <row r="944">
      <c r="A944" s="1" t="n"/>
      <c r="B944" s="21" t="n"/>
      <c r="C944" s="22" t="n"/>
      <c r="D944" s="23" t="n"/>
      <c r="E944" s="24" t="n"/>
      <c r="F944" s="25" t="n"/>
      <c r="G944" s="25" t="n"/>
      <c r="H944" s="24" t="n"/>
      <c r="I944" s="25" t="n"/>
      <c r="J944" s="17">
        <f>IF(AND(C944="",D944="",G944=""),"",IF(NOT(ISNUMBER(B944)),"Needs a date",IF(AND(D944&lt;&gt;"",NOT(ISNUMBER(D944))),"Amount not a number",IF(N(D944)&lt;0,"Amount below zero",IF(AND(N(D944)=0,G944=""),"Needs an amount or goods",IF(C944="","",IF(COUNTIF(Donors!$B$6:$B$305,C944)=0,"Not on Donors","")))))))</f>
        <v/>
      </c>
      <c r="K944" s="1">
        <f>IF(ISNUMBER(B944),YEAR(B944),"")</f>
        <v/>
      </c>
      <c r="L944">
        <f>IF(ISNUMBER(B944),YEAR(B944)*100+MONTH(B944),"")</f>
        <v/>
      </c>
      <c r="M944">
        <f>IF(ISNUMBER(B944),INT(B944),0)</f>
        <v/>
      </c>
      <c r="N944">
        <f>IF(OR(C944="",F944="",Q944=0),0,IF(COUNTIFS(C$6:C944,C944,F$6:F944,F944,Q$6:Q944,1)=1,1,0))</f>
        <v/>
      </c>
      <c r="O944">
        <f>IF(OR(C944="",Q944=0,H944&lt;&gt;""),"",M944*10000+ROW())</f>
        <v/>
      </c>
      <c r="P944">
        <f>IF(OR(C944="",Q944=0),"",IF(AND(C944=Statement!$C$4,K944=Statement!$C$5),M944*10000+ROW(),""))</f>
        <v/>
      </c>
      <c r="Q944">
        <f>IF(AND(ISNUMBER(B944),OR(N(D944)&gt;0,G944&lt;&gt;"")),1,0)</f>
        <v/>
      </c>
    </row>
    <row r="945">
      <c r="A945" s="1" t="n"/>
      <c r="B945" s="21" t="n"/>
      <c r="C945" s="22" t="n"/>
      <c r="D945" s="23" t="n"/>
      <c r="E945" s="24" t="n"/>
      <c r="F945" s="25" t="n"/>
      <c r="G945" s="25" t="n"/>
      <c r="H945" s="24" t="n"/>
      <c r="I945" s="25" t="n"/>
      <c r="J945" s="17">
        <f>IF(AND(C945="",D945="",G945=""),"",IF(NOT(ISNUMBER(B945)),"Needs a date",IF(AND(D945&lt;&gt;"",NOT(ISNUMBER(D945))),"Amount not a number",IF(N(D945)&lt;0,"Amount below zero",IF(AND(N(D945)=0,G945=""),"Needs an amount or goods",IF(C945="","",IF(COUNTIF(Donors!$B$6:$B$305,C945)=0,"Not on Donors","")))))))</f>
        <v/>
      </c>
      <c r="K945" s="1">
        <f>IF(ISNUMBER(B945),YEAR(B945),"")</f>
        <v/>
      </c>
      <c r="L945">
        <f>IF(ISNUMBER(B945),YEAR(B945)*100+MONTH(B945),"")</f>
        <v/>
      </c>
      <c r="M945">
        <f>IF(ISNUMBER(B945),INT(B945),0)</f>
        <v/>
      </c>
      <c r="N945">
        <f>IF(OR(C945="",F945="",Q945=0),0,IF(COUNTIFS(C$6:C945,C945,F$6:F945,F945,Q$6:Q945,1)=1,1,0))</f>
        <v/>
      </c>
      <c r="O945">
        <f>IF(OR(C945="",Q945=0,H945&lt;&gt;""),"",M945*10000+ROW())</f>
        <v/>
      </c>
      <c r="P945">
        <f>IF(OR(C945="",Q945=0),"",IF(AND(C945=Statement!$C$4,K945=Statement!$C$5),M945*10000+ROW(),""))</f>
        <v/>
      </c>
      <c r="Q945">
        <f>IF(AND(ISNUMBER(B945),OR(N(D945)&gt;0,G945&lt;&gt;"")),1,0)</f>
        <v/>
      </c>
    </row>
    <row r="946">
      <c r="A946" s="1" t="n"/>
      <c r="B946" s="21" t="n"/>
      <c r="C946" s="22" t="n"/>
      <c r="D946" s="23" t="n"/>
      <c r="E946" s="24" t="n"/>
      <c r="F946" s="25" t="n"/>
      <c r="G946" s="25" t="n"/>
      <c r="H946" s="24" t="n"/>
      <c r="I946" s="25" t="n"/>
      <c r="J946" s="17">
        <f>IF(AND(C946="",D946="",G946=""),"",IF(NOT(ISNUMBER(B946)),"Needs a date",IF(AND(D946&lt;&gt;"",NOT(ISNUMBER(D946))),"Amount not a number",IF(N(D946)&lt;0,"Amount below zero",IF(AND(N(D946)=0,G946=""),"Needs an amount or goods",IF(C946="","",IF(COUNTIF(Donors!$B$6:$B$305,C946)=0,"Not on Donors","")))))))</f>
        <v/>
      </c>
      <c r="K946" s="1">
        <f>IF(ISNUMBER(B946),YEAR(B946),"")</f>
        <v/>
      </c>
      <c r="L946">
        <f>IF(ISNUMBER(B946),YEAR(B946)*100+MONTH(B946),"")</f>
        <v/>
      </c>
      <c r="M946">
        <f>IF(ISNUMBER(B946),INT(B946),0)</f>
        <v/>
      </c>
      <c r="N946">
        <f>IF(OR(C946="",F946="",Q946=0),0,IF(COUNTIFS(C$6:C946,C946,F$6:F946,F946,Q$6:Q946,1)=1,1,0))</f>
        <v/>
      </c>
      <c r="O946">
        <f>IF(OR(C946="",Q946=0,H946&lt;&gt;""),"",M946*10000+ROW())</f>
        <v/>
      </c>
      <c r="P946">
        <f>IF(OR(C946="",Q946=0),"",IF(AND(C946=Statement!$C$4,K946=Statement!$C$5),M946*10000+ROW(),""))</f>
        <v/>
      </c>
      <c r="Q946">
        <f>IF(AND(ISNUMBER(B946),OR(N(D946)&gt;0,G946&lt;&gt;"")),1,0)</f>
        <v/>
      </c>
    </row>
    <row r="947">
      <c r="A947" s="1" t="n"/>
      <c r="B947" s="21" t="n"/>
      <c r="C947" s="22" t="n"/>
      <c r="D947" s="23" t="n"/>
      <c r="E947" s="24" t="n"/>
      <c r="F947" s="25" t="n"/>
      <c r="G947" s="25" t="n"/>
      <c r="H947" s="24" t="n"/>
      <c r="I947" s="25" t="n"/>
      <c r="J947" s="17">
        <f>IF(AND(C947="",D947="",G947=""),"",IF(NOT(ISNUMBER(B947)),"Needs a date",IF(AND(D947&lt;&gt;"",NOT(ISNUMBER(D947))),"Amount not a number",IF(N(D947)&lt;0,"Amount below zero",IF(AND(N(D947)=0,G947=""),"Needs an amount or goods",IF(C947="","",IF(COUNTIF(Donors!$B$6:$B$305,C947)=0,"Not on Donors","")))))))</f>
        <v/>
      </c>
      <c r="K947" s="1">
        <f>IF(ISNUMBER(B947),YEAR(B947),"")</f>
        <v/>
      </c>
      <c r="L947">
        <f>IF(ISNUMBER(B947),YEAR(B947)*100+MONTH(B947),"")</f>
        <v/>
      </c>
      <c r="M947">
        <f>IF(ISNUMBER(B947),INT(B947),0)</f>
        <v/>
      </c>
      <c r="N947">
        <f>IF(OR(C947="",F947="",Q947=0),0,IF(COUNTIFS(C$6:C947,C947,F$6:F947,F947,Q$6:Q947,1)=1,1,0))</f>
        <v/>
      </c>
      <c r="O947">
        <f>IF(OR(C947="",Q947=0,H947&lt;&gt;""),"",M947*10000+ROW())</f>
        <v/>
      </c>
      <c r="P947">
        <f>IF(OR(C947="",Q947=0),"",IF(AND(C947=Statement!$C$4,K947=Statement!$C$5),M947*10000+ROW(),""))</f>
        <v/>
      </c>
      <c r="Q947">
        <f>IF(AND(ISNUMBER(B947),OR(N(D947)&gt;0,G947&lt;&gt;"")),1,0)</f>
        <v/>
      </c>
    </row>
    <row r="948">
      <c r="A948" s="1" t="n"/>
      <c r="B948" s="21" t="n"/>
      <c r="C948" s="22" t="n"/>
      <c r="D948" s="23" t="n"/>
      <c r="E948" s="24" t="n"/>
      <c r="F948" s="25" t="n"/>
      <c r="G948" s="25" t="n"/>
      <c r="H948" s="24" t="n"/>
      <c r="I948" s="25" t="n"/>
      <c r="J948" s="17">
        <f>IF(AND(C948="",D948="",G948=""),"",IF(NOT(ISNUMBER(B948)),"Needs a date",IF(AND(D948&lt;&gt;"",NOT(ISNUMBER(D948))),"Amount not a number",IF(N(D948)&lt;0,"Amount below zero",IF(AND(N(D948)=0,G948=""),"Needs an amount or goods",IF(C948="","",IF(COUNTIF(Donors!$B$6:$B$305,C948)=0,"Not on Donors","")))))))</f>
        <v/>
      </c>
      <c r="K948" s="1">
        <f>IF(ISNUMBER(B948),YEAR(B948),"")</f>
        <v/>
      </c>
      <c r="L948">
        <f>IF(ISNUMBER(B948),YEAR(B948)*100+MONTH(B948),"")</f>
        <v/>
      </c>
      <c r="M948">
        <f>IF(ISNUMBER(B948),INT(B948),0)</f>
        <v/>
      </c>
      <c r="N948">
        <f>IF(OR(C948="",F948="",Q948=0),0,IF(COUNTIFS(C$6:C948,C948,F$6:F948,F948,Q$6:Q948,1)=1,1,0))</f>
        <v/>
      </c>
      <c r="O948">
        <f>IF(OR(C948="",Q948=0,H948&lt;&gt;""),"",M948*10000+ROW())</f>
        <v/>
      </c>
      <c r="P948">
        <f>IF(OR(C948="",Q948=0),"",IF(AND(C948=Statement!$C$4,K948=Statement!$C$5),M948*10000+ROW(),""))</f>
        <v/>
      </c>
      <c r="Q948">
        <f>IF(AND(ISNUMBER(B948),OR(N(D948)&gt;0,G948&lt;&gt;"")),1,0)</f>
        <v/>
      </c>
    </row>
    <row r="949">
      <c r="A949" s="1" t="n"/>
      <c r="B949" s="21" t="n"/>
      <c r="C949" s="22" t="n"/>
      <c r="D949" s="23" t="n"/>
      <c r="E949" s="24" t="n"/>
      <c r="F949" s="25" t="n"/>
      <c r="G949" s="25" t="n"/>
      <c r="H949" s="24" t="n"/>
      <c r="I949" s="25" t="n"/>
      <c r="J949" s="17">
        <f>IF(AND(C949="",D949="",G949=""),"",IF(NOT(ISNUMBER(B949)),"Needs a date",IF(AND(D949&lt;&gt;"",NOT(ISNUMBER(D949))),"Amount not a number",IF(N(D949)&lt;0,"Amount below zero",IF(AND(N(D949)=0,G949=""),"Needs an amount or goods",IF(C949="","",IF(COUNTIF(Donors!$B$6:$B$305,C949)=0,"Not on Donors","")))))))</f>
        <v/>
      </c>
      <c r="K949" s="1">
        <f>IF(ISNUMBER(B949),YEAR(B949),"")</f>
        <v/>
      </c>
      <c r="L949">
        <f>IF(ISNUMBER(B949),YEAR(B949)*100+MONTH(B949),"")</f>
        <v/>
      </c>
      <c r="M949">
        <f>IF(ISNUMBER(B949),INT(B949),0)</f>
        <v/>
      </c>
      <c r="N949">
        <f>IF(OR(C949="",F949="",Q949=0),0,IF(COUNTIFS(C$6:C949,C949,F$6:F949,F949,Q$6:Q949,1)=1,1,0))</f>
        <v/>
      </c>
      <c r="O949">
        <f>IF(OR(C949="",Q949=0,H949&lt;&gt;""),"",M949*10000+ROW())</f>
        <v/>
      </c>
      <c r="P949">
        <f>IF(OR(C949="",Q949=0),"",IF(AND(C949=Statement!$C$4,K949=Statement!$C$5),M949*10000+ROW(),""))</f>
        <v/>
      </c>
      <c r="Q949">
        <f>IF(AND(ISNUMBER(B949),OR(N(D949)&gt;0,G949&lt;&gt;"")),1,0)</f>
        <v/>
      </c>
    </row>
    <row r="950">
      <c r="A950" s="1" t="n"/>
      <c r="B950" s="21" t="n"/>
      <c r="C950" s="22" t="n"/>
      <c r="D950" s="23" t="n"/>
      <c r="E950" s="24" t="n"/>
      <c r="F950" s="25" t="n"/>
      <c r="G950" s="25" t="n"/>
      <c r="H950" s="24" t="n"/>
      <c r="I950" s="25" t="n"/>
      <c r="J950" s="17">
        <f>IF(AND(C950="",D950="",G950=""),"",IF(NOT(ISNUMBER(B950)),"Needs a date",IF(AND(D950&lt;&gt;"",NOT(ISNUMBER(D950))),"Amount not a number",IF(N(D950)&lt;0,"Amount below zero",IF(AND(N(D950)=0,G950=""),"Needs an amount or goods",IF(C950="","",IF(COUNTIF(Donors!$B$6:$B$305,C950)=0,"Not on Donors","")))))))</f>
        <v/>
      </c>
      <c r="K950" s="1">
        <f>IF(ISNUMBER(B950),YEAR(B950),"")</f>
        <v/>
      </c>
      <c r="L950">
        <f>IF(ISNUMBER(B950),YEAR(B950)*100+MONTH(B950),"")</f>
        <v/>
      </c>
      <c r="M950">
        <f>IF(ISNUMBER(B950),INT(B950),0)</f>
        <v/>
      </c>
      <c r="N950">
        <f>IF(OR(C950="",F950="",Q950=0),0,IF(COUNTIFS(C$6:C950,C950,F$6:F950,F950,Q$6:Q950,1)=1,1,0))</f>
        <v/>
      </c>
      <c r="O950">
        <f>IF(OR(C950="",Q950=0,H950&lt;&gt;""),"",M950*10000+ROW())</f>
        <v/>
      </c>
      <c r="P950">
        <f>IF(OR(C950="",Q950=0),"",IF(AND(C950=Statement!$C$4,K950=Statement!$C$5),M950*10000+ROW(),""))</f>
        <v/>
      </c>
      <c r="Q950">
        <f>IF(AND(ISNUMBER(B950),OR(N(D950)&gt;0,G950&lt;&gt;"")),1,0)</f>
        <v/>
      </c>
    </row>
    <row r="951">
      <c r="A951" s="1" t="n"/>
      <c r="B951" s="21" t="n"/>
      <c r="C951" s="22" t="n"/>
      <c r="D951" s="23" t="n"/>
      <c r="E951" s="24" t="n"/>
      <c r="F951" s="25" t="n"/>
      <c r="G951" s="25" t="n"/>
      <c r="H951" s="24" t="n"/>
      <c r="I951" s="25" t="n"/>
      <c r="J951" s="17">
        <f>IF(AND(C951="",D951="",G951=""),"",IF(NOT(ISNUMBER(B951)),"Needs a date",IF(AND(D951&lt;&gt;"",NOT(ISNUMBER(D951))),"Amount not a number",IF(N(D951)&lt;0,"Amount below zero",IF(AND(N(D951)=0,G951=""),"Needs an amount or goods",IF(C951="","",IF(COUNTIF(Donors!$B$6:$B$305,C951)=0,"Not on Donors","")))))))</f>
        <v/>
      </c>
      <c r="K951" s="1">
        <f>IF(ISNUMBER(B951),YEAR(B951),"")</f>
        <v/>
      </c>
      <c r="L951">
        <f>IF(ISNUMBER(B951),YEAR(B951)*100+MONTH(B951),"")</f>
        <v/>
      </c>
      <c r="M951">
        <f>IF(ISNUMBER(B951),INT(B951),0)</f>
        <v/>
      </c>
      <c r="N951">
        <f>IF(OR(C951="",F951="",Q951=0),0,IF(COUNTIFS(C$6:C951,C951,F$6:F951,F951,Q$6:Q951,1)=1,1,0))</f>
        <v/>
      </c>
      <c r="O951">
        <f>IF(OR(C951="",Q951=0,H951&lt;&gt;""),"",M951*10000+ROW())</f>
        <v/>
      </c>
      <c r="P951">
        <f>IF(OR(C951="",Q951=0),"",IF(AND(C951=Statement!$C$4,K951=Statement!$C$5),M951*10000+ROW(),""))</f>
        <v/>
      </c>
      <c r="Q951">
        <f>IF(AND(ISNUMBER(B951),OR(N(D951)&gt;0,G951&lt;&gt;"")),1,0)</f>
        <v/>
      </c>
    </row>
    <row r="952">
      <c r="A952" s="1" t="n"/>
      <c r="B952" s="21" t="n"/>
      <c r="C952" s="22" t="n"/>
      <c r="D952" s="23" t="n"/>
      <c r="E952" s="24" t="n"/>
      <c r="F952" s="25" t="n"/>
      <c r="G952" s="25" t="n"/>
      <c r="H952" s="24" t="n"/>
      <c r="I952" s="25" t="n"/>
      <c r="J952" s="17">
        <f>IF(AND(C952="",D952="",G952=""),"",IF(NOT(ISNUMBER(B952)),"Needs a date",IF(AND(D952&lt;&gt;"",NOT(ISNUMBER(D952))),"Amount not a number",IF(N(D952)&lt;0,"Amount below zero",IF(AND(N(D952)=0,G952=""),"Needs an amount or goods",IF(C952="","",IF(COUNTIF(Donors!$B$6:$B$305,C952)=0,"Not on Donors","")))))))</f>
        <v/>
      </c>
      <c r="K952" s="1">
        <f>IF(ISNUMBER(B952),YEAR(B952),"")</f>
        <v/>
      </c>
      <c r="L952">
        <f>IF(ISNUMBER(B952),YEAR(B952)*100+MONTH(B952),"")</f>
        <v/>
      </c>
      <c r="M952">
        <f>IF(ISNUMBER(B952),INT(B952),0)</f>
        <v/>
      </c>
      <c r="N952">
        <f>IF(OR(C952="",F952="",Q952=0),0,IF(COUNTIFS(C$6:C952,C952,F$6:F952,F952,Q$6:Q952,1)=1,1,0))</f>
        <v/>
      </c>
      <c r="O952">
        <f>IF(OR(C952="",Q952=0,H952&lt;&gt;""),"",M952*10000+ROW())</f>
        <v/>
      </c>
      <c r="P952">
        <f>IF(OR(C952="",Q952=0),"",IF(AND(C952=Statement!$C$4,K952=Statement!$C$5),M952*10000+ROW(),""))</f>
        <v/>
      </c>
      <c r="Q952">
        <f>IF(AND(ISNUMBER(B952),OR(N(D952)&gt;0,G952&lt;&gt;"")),1,0)</f>
        <v/>
      </c>
    </row>
    <row r="953">
      <c r="A953" s="1" t="n"/>
      <c r="B953" s="21" t="n"/>
      <c r="C953" s="22" t="n"/>
      <c r="D953" s="23" t="n"/>
      <c r="E953" s="24" t="n"/>
      <c r="F953" s="25" t="n"/>
      <c r="G953" s="25" t="n"/>
      <c r="H953" s="24" t="n"/>
      <c r="I953" s="25" t="n"/>
      <c r="J953" s="17">
        <f>IF(AND(C953="",D953="",G953=""),"",IF(NOT(ISNUMBER(B953)),"Needs a date",IF(AND(D953&lt;&gt;"",NOT(ISNUMBER(D953))),"Amount not a number",IF(N(D953)&lt;0,"Amount below zero",IF(AND(N(D953)=0,G953=""),"Needs an amount or goods",IF(C953="","",IF(COUNTIF(Donors!$B$6:$B$305,C953)=0,"Not on Donors","")))))))</f>
        <v/>
      </c>
      <c r="K953" s="1">
        <f>IF(ISNUMBER(B953),YEAR(B953),"")</f>
        <v/>
      </c>
      <c r="L953">
        <f>IF(ISNUMBER(B953),YEAR(B953)*100+MONTH(B953),"")</f>
        <v/>
      </c>
      <c r="M953">
        <f>IF(ISNUMBER(B953),INT(B953),0)</f>
        <v/>
      </c>
      <c r="N953">
        <f>IF(OR(C953="",F953="",Q953=0),0,IF(COUNTIFS(C$6:C953,C953,F$6:F953,F953,Q$6:Q953,1)=1,1,0))</f>
        <v/>
      </c>
      <c r="O953">
        <f>IF(OR(C953="",Q953=0,H953&lt;&gt;""),"",M953*10000+ROW())</f>
        <v/>
      </c>
      <c r="P953">
        <f>IF(OR(C953="",Q953=0),"",IF(AND(C953=Statement!$C$4,K953=Statement!$C$5),M953*10000+ROW(),""))</f>
        <v/>
      </c>
      <c r="Q953">
        <f>IF(AND(ISNUMBER(B953),OR(N(D953)&gt;0,G953&lt;&gt;"")),1,0)</f>
        <v/>
      </c>
    </row>
    <row r="954">
      <c r="A954" s="1" t="n"/>
      <c r="B954" s="21" t="n"/>
      <c r="C954" s="22" t="n"/>
      <c r="D954" s="23" t="n"/>
      <c r="E954" s="24" t="n"/>
      <c r="F954" s="25" t="n"/>
      <c r="G954" s="25" t="n"/>
      <c r="H954" s="24" t="n"/>
      <c r="I954" s="25" t="n"/>
      <c r="J954" s="17">
        <f>IF(AND(C954="",D954="",G954=""),"",IF(NOT(ISNUMBER(B954)),"Needs a date",IF(AND(D954&lt;&gt;"",NOT(ISNUMBER(D954))),"Amount not a number",IF(N(D954)&lt;0,"Amount below zero",IF(AND(N(D954)=0,G954=""),"Needs an amount or goods",IF(C954="","",IF(COUNTIF(Donors!$B$6:$B$305,C954)=0,"Not on Donors","")))))))</f>
        <v/>
      </c>
      <c r="K954" s="1">
        <f>IF(ISNUMBER(B954),YEAR(B954),"")</f>
        <v/>
      </c>
      <c r="L954">
        <f>IF(ISNUMBER(B954),YEAR(B954)*100+MONTH(B954),"")</f>
        <v/>
      </c>
      <c r="M954">
        <f>IF(ISNUMBER(B954),INT(B954),0)</f>
        <v/>
      </c>
      <c r="N954">
        <f>IF(OR(C954="",F954="",Q954=0),0,IF(COUNTIFS(C$6:C954,C954,F$6:F954,F954,Q$6:Q954,1)=1,1,0))</f>
        <v/>
      </c>
      <c r="O954">
        <f>IF(OR(C954="",Q954=0,H954&lt;&gt;""),"",M954*10000+ROW())</f>
        <v/>
      </c>
      <c r="P954">
        <f>IF(OR(C954="",Q954=0),"",IF(AND(C954=Statement!$C$4,K954=Statement!$C$5),M954*10000+ROW(),""))</f>
        <v/>
      </c>
      <c r="Q954">
        <f>IF(AND(ISNUMBER(B954),OR(N(D954)&gt;0,G954&lt;&gt;"")),1,0)</f>
        <v/>
      </c>
    </row>
    <row r="955">
      <c r="A955" s="1" t="n"/>
      <c r="B955" s="21" t="n"/>
      <c r="C955" s="22" t="n"/>
      <c r="D955" s="23" t="n"/>
      <c r="E955" s="24" t="n"/>
      <c r="F955" s="25" t="n"/>
      <c r="G955" s="25" t="n"/>
      <c r="H955" s="24" t="n"/>
      <c r="I955" s="25" t="n"/>
      <c r="J955" s="17">
        <f>IF(AND(C955="",D955="",G955=""),"",IF(NOT(ISNUMBER(B955)),"Needs a date",IF(AND(D955&lt;&gt;"",NOT(ISNUMBER(D955))),"Amount not a number",IF(N(D955)&lt;0,"Amount below zero",IF(AND(N(D955)=0,G955=""),"Needs an amount or goods",IF(C955="","",IF(COUNTIF(Donors!$B$6:$B$305,C955)=0,"Not on Donors","")))))))</f>
        <v/>
      </c>
      <c r="K955" s="1">
        <f>IF(ISNUMBER(B955),YEAR(B955),"")</f>
        <v/>
      </c>
      <c r="L955">
        <f>IF(ISNUMBER(B955),YEAR(B955)*100+MONTH(B955),"")</f>
        <v/>
      </c>
      <c r="M955">
        <f>IF(ISNUMBER(B955),INT(B955),0)</f>
        <v/>
      </c>
      <c r="N955">
        <f>IF(OR(C955="",F955="",Q955=0),0,IF(COUNTIFS(C$6:C955,C955,F$6:F955,F955,Q$6:Q955,1)=1,1,0))</f>
        <v/>
      </c>
      <c r="O955">
        <f>IF(OR(C955="",Q955=0,H955&lt;&gt;""),"",M955*10000+ROW())</f>
        <v/>
      </c>
      <c r="P955">
        <f>IF(OR(C955="",Q955=0),"",IF(AND(C955=Statement!$C$4,K955=Statement!$C$5),M955*10000+ROW(),""))</f>
        <v/>
      </c>
      <c r="Q955">
        <f>IF(AND(ISNUMBER(B955),OR(N(D955)&gt;0,G955&lt;&gt;"")),1,0)</f>
        <v/>
      </c>
    </row>
    <row r="956">
      <c r="A956" s="1" t="n"/>
      <c r="B956" s="21" t="n"/>
      <c r="C956" s="22" t="n"/>
      <c r="D956" s="23" t="n"/>
      <c r="E956" s="24" t="n"/>
      <c r="F956" s="25" t="n"/>
      <c r="G956" s="25" t="n"/>
      <c r="H956" s="24" t="n"/>
      <c r="I956" s="25" t="n"/>
      <c r="J956" s="17">
        <f>IF(AND(C956="",D956="",G956=""),"",IF(NOT(ISNUMBER(B956)),"Needs a date",IF(AND(D956&lt;&gt;"",NOT(ISNUMBER(D956))),"Amount not a number",IF(N(D956)&lt;0,"Amount below zero",IF(AND(N(D956)=0,G956=""),"Needs an amount or goods",IF(C956="","",IF(COUNTIF(Donors!$B$6:$B$305,C956)=0,"Not on Donors","")))))))</f>
        <v/>
      </c>
      <c r="K956" s="1">
        <f>IF(ISNUMBER(B956),YEAR(B956),"")</f>
        <v/>
      </c>
      <c r="L956">
        <f>IF(ISNUMBER(B956),YEAR(B956)*100+MONTH(B956),"")</f>
        <v/>
      </c>
      <c r="M956">
        <f>IF(ISNUMBER(B956),INT(B956),0)</f>
        <v/>
      </c>
      <c r="N956">
        <f>IF(OR(C956="",F956="",Q956=0),0,IF(COUNTIFS(C$6:C956,C956,F$6:F956,F956,Q$6:Q956,1)=1,1,0))</f>
        <v/>
      </c>
      <c r="O956">
        <f>IF(OR(C956="",Q956=0,H956&lt;&gt;""),"",M956*10000+ROW())</f>
        <v/>
      </c>
      <c r="P956">
        <f>IF(OR(C956="",Q956=0),"",IF(AND(C956=Statement!$C$4,K956=Statement!$C$5),M956*10000+ROW(),""))</f>
        <v/>
      </c>
      <c r="Q956">
        <f>IF(AND(ISNUMBER(B956),OR(N(D956)&gt;0,G956&lt;&gt;"")),1,0)</f>
        <v/>
      </c>
    </row>
    <row r="957">
      <c r="A957" s="1" t="n"/>
      <c r="B957" s="21" t="n"/>
      <c r="C957" s="22" t="n"/>
      <c r="D957" s="23" t="n"/>
      <c r="E957" s="24" t="n"/>
      <c r="F957" s="25" t="n"/>
      <c r="G957" s="25" t="n"/>
      <c r="H957" s="24" t="n"/>
      <c r="I957" s="25" t="n"/>
      <c r="J957" s="17">
        <f>IF(AND(C957="",D957="",G957=""),"",IF(NOT(ISNUMBER(B957)),"Needs a date",IF(AND(D957&lt;&gt;"",NOT(ISNUMBER(D957))),"Amount not a number",IF(N(D957)&lt;0,"Amount below zero",IF(AND(N(D957)=0,G957=""),"Needs an amount or goods",IF(C957="","",IF(COUNTIF(Donors!$B$6:$B$305,C957)=0,"Not on Donors","")))))))</f>
        <v/>
      </c>
      <c r="K957" s="1">
        <f>IF(ISNUMBER(B957),YEAR(B957),"")</f>
        <v/>
      </c>
      <c r="L957">
        <f>IF(ISNUMBER(B957),YEAR(B957)*100+MONTH(B957),"")</f>
        <v/>
      </c>
      <c r="M957">
        <f>IF(ISNUMBER(B957),INT(B957),0)</f>
        <v/>
      </c>
      <c r="N957">
        <f>IF(OR(C957="",F957="",Q957=0),0,IF(COUNTIFS(C$6:C957,C957,F$6:F957,F957,Q$6:Q957,1)=1,1,0))</f>
        <v/>
      </c>
      <c r="O957">
        <f>IF(OR(C957="",Q957=0,H957&lt;&gt;""),"",M957*10000+ROW())</f>
        <v/>
      </c>
      <c r="P957">
        <f>IF(OR(C957="",Q957=0),"",IF(AND(C957=Statement!$C$4,K957=Statement!$C$5),M957*10000+ROW(),""))</f>
        <v/>
      </c>
      <c r="Q957">
        <f>IF(AND(ISNUMBER(B957),OR(N(D957)&gt;0,G957&lt;&gt;"")),1,0)</f>
        <v/>
      </c>
    </row>
    <row r="958">
      <c r="A958" s="1" t="n"/>
      <c r="B958" s="21" t="n"/>
      <c r="C958" s="22" t="n"/>
      <c r="D958" s="23" t="n"/>
      <c r="E958" s="24" t="n"/>
      <c r="F958" s="25" t="n"/>
      <c r="G958" s="25" t="n"/>
      <c r="H958" s="24" t="n"/>
      <c r="I958" s="25" t="n"/>
      <c r="J958" s="17">
        <f>IF(AND(C958="",D958="",G958=""),"",IF(NOT(ISNUMBER(B958)),"Needs a date",IF(AND(D958&lt;&gt;"",NOT(ISNUMBER(D958))),"Amount not a number",IF(N(D958)&lt;0,"Amount below zero",IF(AND(N(D958)=0,G958=""),"Needs an amount or goods",IF(C958="","",IF(COUNTIF(Donors!$B$6:$B$305,C958)=0,"Not on Donors","")))))))</f>
        <v/>
      </c>
      <c r="K958" s="1">
        <f>IF(ISNUMBER(B958),YEAR(B958),"")</f>
        <v/>
      </c>
      <c r="L958">
        <f>IF(ISNUMBER(B958),YEAR(B958)*100+MONTH(B958),"")</f>
        <v/>
      </c>
      <c r="M958">
        <f>IF(ISNUMBER(B958),INT(B958),0)</f>
        <v/>
      </c>
      <c r="N958">
        <f>IF(OR(C958="",F958="",Q958=0),0,IF(COUNTIFS(C$6:C958,C958,F$6:F958,F958,Q$6:Q958,1)=1,1,0))</f>
        <v/>
      </c>
      <c r="O958">
        <f>IF(OR(C958="",Q958=0,H958&lt;&gt;""),"",M958*10000+ROW())</f>
        <v/>
      </c>
      <c r="P958">
        <f>IF(OR(C958="",Q958=0),"",IF(AND(C958=Statement!$C$4,K958=Statement!$C$5),M958*10000+ROW(),""))</f>
        <v/>
      </c>
      <c r="Q958">
        <f>IF(AND(ISNUMBER(B958),OR(N(D958)&gt;0,G958&lt;&gt;"")),1,0)</f>
        <v/>
      </c>
    </row>
    <row r="959">
      <c r="A959" s="1" t="n"/>
      <c r="B959" s="21" t="n"/>
      <c r="C959" s="22" t="n"/>
      <c r="D959" s="23" t="n"/>
      <c r="E959" s="24" t="n"/>
      <c r="F959" s="25" t="n"/>
      <c r="G959" s="25" t="n"/>
      <c r="H959" s="24" t="n"/>
      <c r="I959" s="25" t="n"/>
      <c r="J959" s="17">
        <f>IF(AND(C959="",D959="",G959=""),"",IF(NOT(ISNUMBER(B959)),"Needs a date",IF(AND(D959&lt;&gt;"",NOT(ISNUMBER(D959))),"Amount not a number",IF(N(D959)&lt;0,"Amount below zero",IF(AND(N(D959)=0,G959=""),"Needs an amount or goods",IF(C959="","",IF(COUNTIF(Donors!$B$6:$B$305,C959)=0,"Not on Donors","")))))))</f>
        <v/>
      </c>
      <c r="K959" s="1">
        <f>IF(ISNUMBER(B959),YEAR(B959),"")</f>
        <v/>
      </c>
      <c r="L959">
        <f>IF(ISNUMBER(B959),YEAR(B959)*100+MONTH(B959),"")</f>
        <v/>
      </c>
      <c r="M959">
        <f>IF(ISNUMBER(B959),INT(B959),0)</f>
        <v/>
      </c>
      <c r="N959">
        <f>IF(OR(C959="",F959="",Q959=0),0,IF(COUNTIFS(C$6:C959,C959,F$6:F959,F959,Q$6:Q959,1)=1,1,0))</f>
        <v/>
      </c>
      <c r="O959">
        <f>IF(OR(C959="",Q959=0,H959&lt;&gt;""),"",M959*10000+ROW())</f>
        <v/>
      </c>
      <c r="P959">
        <f>IF(OR(C959="",Q959=0),"",IF(AND(C959=Statement!$C$4,K959=Statement!$C$5),M959*10000+ROW(),""))</f>
        <v/>
      </c>
      <c r="Q959">
        <f>IF(AND(ISNUMBER(B959),OR(N(D959)&gt;0,G959&lt;&gt;"")),1,0)</f>
        <v/>
      </c>
    </row>
    <row r="960">
      <c r="A960" s="1" t="n"/>
      <c r="B960" s="21" t="n"/>
      <c r="C960" s="22" t="n"/>
      <c r="D960" s="23" t="n"/>
      <c r="E960" s="24" t="n"/>
      <c r="F960" s="25" t="n"/>
      <c r="G960" s="25" t="n"/>
      <c r="H960" s="24" t="n"/>
      <c r="I960" s="25" t="n"/>
      <c r="J960" s="17">
        <f>IF(AND(C960="",D960="",G960=""),"",IF(NOT(ISNUMBER(B960)),"Needs a date",IF(AND(D960&lt;&gt;"",NOT(ISNUMBER(D960))),"Amount not a number",IF(N(D960)&lt;0,"Amount below zero",IF(AND(N(D960)=0,G960=""),"Needs an amount or goods",IF(C960="","",IF(COUNTIF(Donors!$B$6:$B$305,C960)=0,"Not on Donors","")))))))</f>
        <v/>
      </c>
      <c r="K960" s="1">
        <f>IF(ISNUMBER(B960),YEAR(B960),"")</f>
        <v/>
      </c>
      <c r="L960">
        <f>IF(ISNUMBER(B960),YEAR(B960)*100+MONTH(B960),"")</f>
        <v/>
      </c>
      <c r="M960">
        <f>IF(ISNUMBER(B960),INT(B960),0)</f>
        <v/>
      </c>
      <c r="N960">
        <f>IF(OR(C960="",F960="",Q960=0),0,IF(COUNTIFS(C$6:C960,C960,F$6:F960,F960,Q$6:Q960,1)=1,1,0))</f>
        <v/>
      </c>
      <c r="O960">
        <f>IF(OR(C960="",Q960=0,H960&lt;&gt;""),"",M960*10000+ROW())</f>
        <v/>
      </c>
      <c r="P960">
        <f>IF(OR(C960="",Q960=0),"",IF(AND(C960=Statement!$C$4,K960=Statement!$C$5),M960*10000+ROW(),""))</f>
        <v/>
      </c>
      <c r="Q960">
        <f>IF(AND(ISNUMBER(B960),OR(N(D960)&gt;0,G960&lt;&gt;"")),1,0)</f>
        <v/>
      </c>
    </row>
    <row r="961">
      <c r="A961" s="1" t="n"/>
      <c r="B961" s="21" t="n"/>
      <c r="C961" s="22" t="n"/>
      <c r="D961" s="23" t="n"/>
      <c r="E961" s="24" t="n"/>
      <c r="F961" s="25" t="n"/>
      <c r="G961" s="25" t="n"/>
      <c r="H961" s="24" t="n"/>
      <c r="I961" s="25" t="n"/>
      <c r="J961" s="17">
        <f>IF(AND(C961="",D961="",G961=""),"",IF(NOT(ISNUMBER(B961)),"Needs a date",IF(AND(D961&lt;&gt;"",NOT(ISNUMBER(D961))),"Amount not a number",IF(N(D961)&lt;0,"Amount below zero",IF(AND(N(D961)=0,G961=""),"Needs an amount or goods",IF(C961="","",IF(COUNTIF(Donors!$B$6:$B$305,C961)=0,"Not on Donors","")))))))</f>
        <v/>
      </c>
      <c r="K961" s="1">
        <f>IF(ISNUMBER(B961),YEAR(B961),"")</f>
        <v/>
      </c>
      <c r="L961">
        <f>IF(ISNUMBER(B961),YEAR(B961)*100+MONTH(B961),"")</f>
        <v/>
      </c>
      <c r="M961">
        <f>IF(ISNUMBER(B961),INT(B961),0)</f>
        <v/>
      </c>
      <c r="N961">
        <f>IF(OR(C961="",F961="",Q961=0),0,IF(COUNTIFS(C$6:C961,C961,F$6:F961,F961,Q$6:Q961,1)=1,1,0))</f>
        <v/>
      </c>
      <c r="O961">
        <f>IF(OR(C961="",Q961=0,H961&lt;&gt;""),"",M961*10000+ROW())</f>
        <v/>
      </c>
      <c r="P961">
        <f>IF(OR(C961="",Q961=0),"",IF(AND(C961=Statement!$C$4,K961=Statement!$C$5),M961*10000+ROW(),""))</f>
        <v/>
      </c>
      <c r="Q961">
        <f>IF(AND(ISNUMBER(B961),OR(N(D961)&gt;0,G961&lt;&gt;"")),1,0)</f>
        <v/>
      </c>
    </row>
    <row r="962">
      <c r="A962" s="1" t="n"/>
      <c r="B962" s="21" t="n"/>
      <c r="C962" s="22" t="n"/>
      <c r="D962" s="23" t="n"/>
      <c r="E962" s="24" t="n"/>
      <c r="F962" s="25" t="n"/>
      <c r="G962" s="25" t="n"/>
      <c r="H962" s="24" t="n"/>
      <c r="I962" s="25" t="n"/>
      <c r="J962" s="17">
        <f>IF(AND(C962="",D962="",G962=""),"",IF(NOT(ISNUMBER(B962)),"Needs a date",IF(AND(D962&lt;&gt;"",NOT(ISNUMBER(D962))),"Amount not a number",IF(N(D962)&lt;0,"Amount below zero",IF(AND(N(D962)=0,G962=""),"Needs an amount or goods",IF(C962="","",IF(COUNTIF(Donors!$B$6:$B$305,C962)=0,"Not on Donors","")))))))</f>
        <v/>
      </c>
      <c r="K962" s="1">
        <f>IF(ISNUMBER(B962),YEAR(B962),"")</f>
        <v/>
      </c>
      <c r="L962">
        <f>IF(ISNUMBER(B962),YEAR(B962)*100+MONTH(B962),"")</f>
        <v/>
      </c>
      <c r="M962">
        <f>IF(ISNUMBER(B962),INT(B962),0)</f>
        <v/>
      </c>
      <c r="N962">
        <f>IF(OR(C962="",F962="",Q962=0),0,IF(COUNTIFS(C$6:C962,C962,F$6:F962,F962,Q$6:Q962,1)=1,1,0))</f>
        <v/>
      </c>
      <c r="O962">
        <f>IF(OR(C962="",Q962=0,H962&lt;&gt;""),"",M962*10000+ROW())</f>
        <v/>
      </c>
      <c r="P962">
        <f>IF(OR(C962="",Q962=0),"",IF(AND(C962=Statement!$C$4,K962=Statement!$C$5),M962*10000+ROW(),""))</f>
        <v/>
      </c>
      <c r="Q962">
        <f>IF(AND(ISNUMBER(B962),OR(N(D962)&gt;0,G962&lt;&gt;"")),1,0)</f>
        <v/>
      </c>
    </row>
    <row r="963">
      <c r="A963" s="1" t="n"/>
      <c r="B963" s="21" t="n"/>
      <c r="C963" s="22" t="n"/>
      <c r="D963" s="23" t="n"/>
      <c r="E963" s="24" t="n"/>
      <c r="F963" s="25" t="n"/>
      <c r="G963" s="25" t="n"/>
      <c r="H963" s="24" t="n"/>
      <c r="I963" s="25" t="n"/>
      <c r="J963" s="17">
        <f>IF(AND(C963="",D963="",G963=""),"",IF(NOT(ISNUMBER(B963)),"Needs a date",IF(AND(D963&lt;&gt;"",NOT(ISNUMBER(D963))),"Amount not a number",IF(N(D963)&lt;0,"Amount below zero",IF(AND(N(D963)=0,G963=""),"Needs an amount or goods",IF(C963="","",IF(COUNTIF(Donors!$B$6:$B$305,C963)=0,"Not on Donors","")))))))</f>
        <v/>
      </c>
      <c r="K963" s="1">
        <f>IF(ISNUMBER(B963),YEAR(B963),"")</f>
        <v/>
      </c>
      <c r="L963">
        <f>IF(ISNUMBER(B963),YEAR(B963)*100+MONTH(B963),"")</f>
        <v/>
      </c>
      <c r="M963">
        <f>IF(ISNUMBER(B963),INT(B963),0)</f>
        <v/>
      </c>
      <c r="N963">
        <f>IF(OR(C963="",F963="",Q963=0),0,IF(COUNTIFS(C$6:C963,C963,F$6:F963,F963,Q$6:Q963,1)=1,1,0))</f>
        <v/>
      </c>
      <c r="O963">
        <f>IF(OR(C963="",Q963=0,H963&lt;&gt;""),"",M963*10000+ROW())</f>
        <v/>
      </c>
      <c r="P963">
        <f>IF(OR(C963="",Q963=0),"",IF(AND(C963=Statement!$C$4,K963=Statement!$C$5),M963*10000+ROW(),""))</f>
        <v/>
      </c>
      <c r="Q963">
        <f>IF(AND(ISNUMBER(B963),OR(N(D963)&gt;0,G963&lt;&gt;"")),1,0)</f>
        <v/>
      </c>
    </row>
    <row r="964">
      <c r="A964" s="1" t="n"/>
      <c r="B964" s="21" t="n"/>
      <c r="C964" s="22" t="n"/>
      <c r="D964" s="23" t="n"/>
      <c r="E964" s="24" t="n"/>
      <c r="F964" s="25" t="n"/>
      <c r="G964" s="25" t="n"/>
      <c r="H964" s="24" t="n"/>
      <c r="I964" s="25" t="n"/>
      <c r="J964" s="17">
        <f>IF(AND(C964="",D964="",G964=""),"",IF(NOT(ISNUMBER(B964)),"Needs a date",IF(AND(D964&lt;&gt;"",NOT(ISNUMBER(D964))),"Amount not a number",IF(N(D964)&lt;0,"Amount below zero",IF(AND(N(D964)=0,G964=""),"Needs an amount or goods",IF(C964="","",IF(COUNTIF(Donors!$B$6:$B$305,C964)=0,"Not on Donors","")))))))</f>
        <v/>
      </c>
      <c r="K964" s="1">
        <f>IF(ISNUMBER(B964),YEAR(B964),"")</f>
        <v/>
      </c>
      <c r="L964">
        <f>IF(ISNUMBER(B964),YEAR(B964)*100+MONTH(B964),"")</f>
        <v/>
      </c>
      <c r="M964">
        <f>IF(ISNUMBER(B964),INT(B964),0)</f>
        <v/>
      </c>
      <c r="N964">
        <f>IF(OR(C964="",F964="",Q964=0),0,IF(COUNTIFS(C$6:C964,C964,F$6:F964,F964,Q$6:Q964,1)=1,1,0))</f>
        <v/>
      </c>
      <c r="O964">
        <f>IF(OR(C964="",Q964=0,H964&lt;&gt;""),"",M964*10000+ROW())</f>
        <v/>
      </c>
      <c r="P964">
        <f>IF(OR(C964="",Q964=0),"",IF(AND(C964=Statement!$C$4,K964=Statement!$C$5),M964*10000+ROW(),""))</f>
        <v/>
      </c>
      <c r="Q964">
        <f>IF(AND(ISNUMBER(B964),OR(N(D964)&gt;0,G964&lt;&gt;"")),1,0)</f>
        <v/>
      </c>
    </row>
    <row r="965">
      <c r="A965" s="1" t="n"/>
      <c r="B965" s="21" t="n"/>
      <c r="C965" s="22" t="n"/>
      <c r="D965" s="23" t="n"/>
      <c r="E965" s="24" t="n"/>
      <c r="F965" s="25" t="n"/>
      <c r="G965" s="25" t="n"/>
      <c r="H965" s="24" t="n"/>
      <c r="I965" s="25" t="n"/>
      <c r="J965" s="17">
        <f>IF(AND(C965="",D965="",G965=""),"",IF(NOT(ISNUMBER(B965)),"Needs a date",IF(AND(D965&lt;&gt;"",NOT(ISNUMBER(D965))),"Amount not a number",IF(N(D965)&lt;0,"Amount below zero",IF(AND(N(D965)=0,G965=""),"Needs an amount or goods",IF(C965="","",IF(COUNTIF(Donors!$B$6:$B$305,C965)=0,"Not on Donors","")))))))</f>
        <v/>
      </c>
      <c r="K965" s="1">
        <f>IF(ISNUMBER(B965),YEAR(B965),"")</f>
        <v/>
      </c>
      <c r="L965">
        <f>IF(ISNUMBER(B965),YEAR(B965)*100+MONTH(B965),"")</f>
        <v/>
      </c>
      <c r="M965">
        <f>IF(ISNUMBER(B965),INT(B965),0)</f>
        <v/>
      </c>
      <c r="N965">
        <f>IF(OR(C965="",F965="",Q965=0),0,IF(COUNTIFS(C$6:C965,C965,F$6:F965,F965,Q$6:Q965,1)=1,1,0))</f>
        <v/>
      </c>
      <c r="O965">
        <f>IF(OR(C965="",Q965=0,H965&lt;&gt;""),"",M965*10000+ROW())</f>
        <v/>
      </c>
      <c r="P965">
        <f>IF(OR(C965="",Q965=0),"",IF(AND(C965=Statement!$C$4,K965=Statement!$C$5),M965*10000+ROW(),""))</f>
        <v/>
      </c>
      <c r="Q965">
        <f>IF(AND(ISNUMBER(B965),OR(N(D965)&gt;0,G965&lt;&gt;"")),1,0)</f>
        <v/>
      </c>
    </row>
    <row r="966">
      <c r="A966" s="1" t="n"/>
      <c r="B966" s="21" t="n"/>
      <c r="C966" s="22" t="n"/>
      <c r="D966" s="23" t="n"/>
      <c r="E966" s="24" t="n"/>
      <c r="F966" s="25" t="n"/>
      <c r="G966" s="25" t="n"/>
      <c r="H966" s="24" t="n"/>
      <c r="I966" s="25" t="n"/>
      <c r="J966" s="17">
        <f>IF(AND(C966="",D966="",G966=""),"",IF(NOT(ISNUMBER(B966)),"Needs a date",IF(AND(D966&lt;&gt;"",NOT(ISNUMBER(D966))),"Amount not a number",IF(N(D966)&lt;0,"Amount below zero",IF(AND(N(D966)=0,G966=""),"Needs an amount or goods",IF(C966="","",IF(COUNTIF(Donors!$B$6:$B$305,C966)=0,"Not on Donors","")))))))</f>
        <v/>
      </c>
      <c r="K966" s="1">
        <f>IF(ISNUMBER(B966),YEAR(B966),"")</f>
        <v/>
      </c>
      <c r="L966">
        <f>IF(ISNUMBER(B966),YEAR(B966)*100+MONTH(B966),"")</f>
        <v/>
      </c>
      <c r="M966">
        <f>IF(ISNUMBER(B966),INT(B966),0)</f>
        <v/>
      </c>
      <c r="N966">
        <f>IF(OR(C966="",F966="",Q966=0),0,IF(COUNTIFS(C$6:C966,C966,F$6:F966,F966,Q$6:Q966,1)=1,1,0))</f>
        <v/>
      </c>
      <c r="O966">
        <f>IF(OR(C966="",Q966=0,H966&lt;&gt;""),"",M966*10000+ROW())</f>
        <v/>
      </c>
      <c r="P966">
        <f>IF(OR(C966="",Q966=0),"",IF(AND(C966=Statement!$C$4,K966=Statement!$C$5),M966*10000+ROW(),""))</f>
        <v/>
      </c>
      <c r="Q966">
        <f>IF(AND(ISNUMBER(B966),OR(N(D966)&gt;0,G966&lt;&gt;"")),1,0)</f>
        <v/>
      </c>
    </row>
    <row r="967">
      <c r="A967" s="1" t="n"/>
      <c r="B967" s="21" t="n"/>
      <c r="C967" s="22" t="n"/>
      <c r="D967" s="23" t="n"/>
      <c r="E967" s="24" t="n"/>
      <c r="F967" s="25" t="n"/>
      <c r="G967" s="25" t="n"/>
      <c r="H967" s="24" t="n"/>
      <c r="I967" s="25" t="n"/>
      <c r="J967" s="17">
        <f>IF(AND(C967="",D967="",G967=""),"",IF(NOT(ISNUMBER(B967)),"Needs a date",IF(AND(D967&lt;&gt;"",NOT(ISNUMBER(D967))),"Amount not a number",IF(N(D967)&lt;0,"Amount below zero",IF(AND(N(D967)=0,G967=""),"Needs an amount or goods",IF(C967="","",IF(COUNTIF(Donors!$B$6:$B$305,C967)=0,"Not on Donors","")))))))</f>
        <v/>
      </c>
      <c r="K967" s="1">
        <f>IF(ISNUMBER(B967),YEAR(B967),"")</f>
        <v/>
      </c>
      <c r="L967">
        <f>IF(ISNUMBER(B967),YEAR(B967)*100+MONTH(B967),"")</f>
        <v/>
      </c>
      <c r="M967">
        <f>IF(ISNUMBER(B967),INT(B967),0)</f>
        <v/>
      </c>
      <c r="N967">
        <f>IF(OR(C967="",F967="",Q967=0),0,IF(COUNTIFS(C$6:C967,C967,F$6:F967,F967,Q$6:Q967,1)=1,1,0))</f>
        <v/>
      </c>
      <c r="O967">
        <f>IF(OR(C967="",Q967=0,H967&lt;&gt;""),"",M967*10000+ROW())</f>
        <v/>
      </c>
      <c r="P967">
        <f>IF(OR(C967="",Q967=0),"",IF(AND(C967=Statement!$C$4,K967=Statement!$C$5),M967*10000+ROW(),""))</f>
        <v/>
      </c>
      <c r="Q967">
        <f>IF(AND(ISNUMBER(B967),OR(N(D967)&gt;0,G967&lt;&gt;"")),1,0)</f>
        <v/>
      </c>
    </row>
    <row r="968">
      <c r="A968" s="1" t="n"/>
      <c r="B968" s="21" t="n"/>
      <c r="C968" s="22" t="n"/>
      <c r="D968" s="23" t="n"/>
      <c r="E968" s="24" t="n"/>
      <c r="F968" s="25" t="n"/>
      <c r="G968" s="25" t="n"/>
      <c r="H968" s="24" t="n"/>
      <c r="I968" s="25" t="n"/>
      <c r="J968" s="17">
        <f>IF(AND(C968="",D968="",G968=""),"",IF(NOT(ISNUMBER(B968)),"Needs a date",IF(AND(D968&lt;&gt;"",NOT(ISNUMBER(D968))),"Amount not a number",IF(N(D968)&lt;0,"Amount below zero",IF(AND(N(D968)=0,G968=""),"Needs an amount or goods",IF(C968="","",IF(COUNTIF(Donors!$B$6:$B$305,C968)=0,"Not on Donors","")))))))</f>
        <v/>
      </c>
      <c r="K968" s="1">
        <f>IF(ISNUMBER(B968),YEAR(B968),"")</f>
        <v/>
      </c>
      <c r="L968">
        <f>IF(ISNUMBER(B968),YEAR(B968)*100+MONTH(B968),"")</f>
        <v/>
      </c>
      <c r="M968">
        <f>IF(ISNUMBER(B968),INT(B968),0)</f>
        <v/>
      </c>
      <c r="N968">
        <f>IF(OR(C968="",F968="",Q968=0),0,IF(COUNTIFS(C$6:C968,C968,F$6:F968,F968,Q$6:Q968,1)=1,1,0))</f>
        <v/>
      </c>
      <c r="O968">
        <f>IF(OR(C968="",Q968=0,H968&lt;&gt;""),"",M968*10000+ROW())</f>
        <v/>
      </c>
      <c r="P968">
        <f>IF(OR(C968="",Q968=0),"",IF(AND(C968=Statement!$C$4,K968=Statement!$C$5),M968*10000+ROW(),""))</f>
        <v/>
      </c>
      <c r="Q968">
        <f>IF(AND(ISNUMBER(B968),OR(N(D968)&gt;0,G968&lt;&gt;"")),1,0)</f>
        <v/>
      </c>
    </row>
    <row r="969">
      <c r="A969" s="1" t="n"/>
      <c r="B969" s="21" t="n"/>
      <c r="C969" s="22" t="n"/>
      <c r="D969" s="23" t="n"/>
      <c r="E969" s="24" t="n"/>
      <c r="F969" s="25" t="n"/>
      <c r="G969" s="25" t="n"/>
      <c r="H969" s="24" t="n"/>
      <c r="I969" s="25" t="n"/>
      <c r="J969" s="17">
        <f>IF(AND(C969="",D969="",G969=""),"",IF(NOT(ISNUMBER(B969)),"Needs a date",IF(AND(D969&lt;&gt;"",NOT(ISNUMBER(D969))),"Amount not a number",IF(N(D969)&lt;0,"Amount below zero",IF(AND(N(D969)=0,G969=""),"Needs an amount or goods",IF(C969="","",IF(COUNTIF(Donors!$B$6:$B$305,C969)=0,"Not on Donors","")))))))</f>
        <v/>
      </c>
      <c r="K969" s="1">
        <f>IF(ISNUMBER(B969),YEAR(B969),"")</f>
        <v/>
      </c>
      <c r="L969">
        <f>IF(ISNUMBER(B969),YEAR(B969)*100+MONTH(B969),"")</f>
        <v/>
      </c>
      <c r="M969">
        <f>IF(ISNUMBER(B969),INT(B969),0)</f>
        <v/>
      </c>
      <c r="N969">
        <f>IF(OR(C969="",F969="",Q969=0),0,IF(COUNTIFS(C$6:C969,C969,F$6:F969,F969,Q$6:Q969,1)=1,1,0))</f>
        <v/>
      </c>
      <c r="O969">
        <f>IF(OR(C969="",Q969=0,H969&lt;&gt;""),"",M969*10000+ROW())</f>
        <v/>
      </c>
      <c r="P969">
        <f>IF(OR(C969="",Q969=0),"",IF(AND(C969=Statement!$C$4,K969=Statement!$C$5),M969*10000+ROW(),""))</f>
        <v/>
      </c>
      <c r="Q969">
        <f>IF(AND(ISNUMBER(B969),OR(N(D969)&gt;0,G969&lt;&gt;"")),1,0)</f>
        <v/>
      </c>
    </row>
    <row r="970">
      <c r="A970" s="1" t="n"/>
      <c r="B970" s="21" t="n"/>
      <c r="C970" s="22" t="n"/>
      <c r="D970" s="23" t="n"/>
      <c r="E970" s="24" t="n"/>
      <c r="F970" s="25" t="n"/>
      <c r="G970" s="25" t="n"/>
      <c r="H970" s="24" t="n"/>
      <c r="I970" s="25" t="n"/>
      <c r="J970" s="17">
        <f>IF(AND(C970="",D970="",G970=""),"",IF(NOT(ISNUMBER(B970)),"Needs a date",IF(AND(D970&lt;&gt;"",NOT(ISNUMBER(D970))),"Amount not a number",IF(N(D970)&lt;0,"Amount below zero",IF(AND(N(D970)=0,G970=""),"Needs an amount or goods",IF(C970="","",IF(COUNTIF(Donors!$B$6:$B$305,C970)=0,"Not on Donors","")))))))</f>
        <v/>
      </c>
      <c r="K970" s="1">
        <f>IF(ISNUMBER(B970),YEAR(B970),"")</f>
        <v/>
      </c>
      <c r="L970">
        <f>IF(ISNUMBER(B970),YEAR(B970)*100+MONTH(B970),"")</f>
        <v/>
      </c>
      <c r="M970">
        <f>IF(ISNUMBER(B970),INT(B970),0)</f>
        <v/>
      </c>
      <c r="N970">
        <f>IF(OR(C970="",F970="",Q970=0),0,IF(COUNTIFS(C$6:C970,C970,F$6:F970,F970,Q$6:Q970,1)=1,1,0))</f>
        <v/>
      </c>
      <c r="O970">
        <f>IF(OR(C970="",Q970=0,H970&lt;&gt;""),"",M970*10000+ROW())</f>
        <v/>
      </c>
      <c r="P970">
        <f>IF(OR(C970="",Q970=0),"",IF(AND(C970=Statement!$C$4,K970=Statement!$C$5),M970*10000+ROW(),""))</f>
        <v/>
      </c>
      <c r="Q970">
        <f>IF(AND(ISNUMBER(B970),OR(N(D970)&gt;0,G970&lt;&gt;"")),1,0)</f>
        <v/>
      </c>
    </row>
    <row r="971">
      <c r="A971" s="1" t="n"/>
      <c r="B971" s="21" t="n"/>
      <c r="C971" s="22" t="n"/>
      <c r="D971" s="23" t="n"/>
      <c r="E971" s="24" t="n"/>
      <c r="F971" s="25" t="n"/>
      <c r="G971" s="25" t="n"/>
      <c r="H971" s="24" t="n"/>
      <c r="I971" s="25" t="n"/>
      <c r="J971" s="17">
        <f>IF(AND(C971="",D971="",G971=""),"",IF(NOT(ISNUMBER(B971)),"Needs a date",IF(AND(D971&lt;&gt;"",NOT(ISNUMBER(D971))),"Amount not a number",IF(N(D971)&lt;0,"Amount below zero",IF(AND(N(D971)=0,G971=""),"Needs an amount or goods",IF(C971="","",IF(COUNTIF(Donors!$B$6:$B$305,C971)=0,"Not on Donors","")))))))</f>
        <v/>
      </c>
      <c r="K971" s="1">
        <f>IF(ISNUMBER(B971),YEAR(B971),"")</f>
        <v/>
      </c>
      <c r="L971">
        <f>IF(ISNUMBER(B971),YEAR(B971)*100+MONTH(B971),"")</f>
        <v/>
      </c>
      <c r="M971">
        <f>IF(ISNUMBER(B971),INT(B971),0)</f>
        <v/>
      </c>
      <c r="N971">
        <f>IF(OR(C971="",F971="",Q971=0),0,IF(COUNTIFS(C$6:C971,C971,F$6:F971,F971,Q$6:Q971,1)=1,1,0))</f>
        <v/>
      </c>
      <c r="O971">
        <f>IF(OR(C971="",Q971=0,H971&lt;&gt;""),"",M971*10000+ROW())</f>
        <v/>
      </c>
      <c r="P971">
        <f>IF(OR(C971="",Q971=0),"",IF(AND(C971=Statement!$C$4,K971=Statement!$C$5),M971*10000+ROW(),""))</f>
        <v/>
      </c>
      <c r="Q971">
        <f>IF(AND(ISNUMBER(B971),OR(N(D971)&gt;0,G971&lt;&gt;"")),1,0)</f>
        <v/>
      </c>
    </row>
    <row r="972">
      <c r="A972" s="1" t="n"/>
      <c r="B972" s="21" t="n"/>
      <c r="C972" s="22" t="n"/>
      <c r="D972" s="23" t="n"/>
      <c r="E972" s="24" t="n"/>
      <c r="F972" s="25" t="n"/>
      <c r="G972" s="25" t="n"/>
      <c r="H972" s="24" t="n"/>
      <c r="I972" s="25" t="n"/>
      <c r="J972" s="17">
        <f>IF(AND(C972="",D972="",G972=""),"",IF(NOT(ISNUMBER(B972)),"Needs a date",IF(AND(D972&lt;&gt;"",NOT(ISNUMBER(D972))),"Amount not a number",IF(N(D972)&lt;0,"Amount below zero",IF(AND(N(D972)=0,G972=""),"Needs an amount or goods",IF(C972="","",IF(COUNTIF(Donors!$B$6:$B$305,C972)=0,"Not on Donors","")))))))</f>
        <v/>
      </c>
      <c r="K972" s="1">
        <f>IF(ISNUMBER(B972),YEAR(B972),"")</f>
        <v/>
      </c>
      <c r="L972">
        <f>IF(ISNUMBER(B972),YEAR(B972)*100+MONTH(B972),"")</f>
        <v/>
      </c>
      <c r="M972">
        <f>IF(ISNUMBER(B972),INT(B972),0)</f>
        <v/>
      </c>
      <c r="N972">
        <f>IF(OR(C972="",F972="",Q972=0),0,IF(COUNTIFS(C$6:C972,C972,F$6:F972,F972,Q$6:Q972,1)=1,1,0))</f>
        <v/>
      </c>
      <c r="O972">
        <f>IF(OR(C972="",Q972=0,H972&lt;&gt;""),"",M972*10000+ROW())</f>
        <v/>
      </c>
      <c r="P972">
        <f>IF(OR(C972="",Q972=0),"",IF(AND(C972=Statement!$C$4,K972=Statement!$C$5),M972*10000+ROW(),""))</f>
        <v/>
      </c>
      <c r="Q972">
        <f>IF(AND(ISNUMBER(B972),OR(N(D972)&gt;0,G972&lt;&gt;"")),1,0)</f>
        <v/>
      </c>
    </row>
    <row r="973">
      <c r="A973" s="1" t="n"/>
      <c r="B973" s="21" t="n"/>
      <c r="C973" s="22" t="n"/>
      <c r="D973" s="23" t="n"/>
      <c r="E973" s="24" t="n"/>
      <c r="F973" s="25" t="n"/>
      <c r="G973" s="25" t="n"/>
      <c r="H973" s="24" t="n"/>
      <c r="I973" s="25" t="n"/>
      <c r="J973" s="17">
        <f>IF(AND(C973="",D973="",G973=""),"",IF(NOT(ISNUMBER(B973)),"Needs a date",IF(AND(D973&lt;&gt;"",NOT(ISNUMBER(D973))),"Amount not a number",IF(N(D973)&lt;0,"Amount below zero",IF(AND(N(D973)=0,G973=""),"Needs an amount or goods",IF(C973="","",IF(COUNTIF(Donors!$B$6:$B$305,C973)=0,"Not on Donors","")))))))</f>
        <v/>
      </c>
      <c r="K973" s="1">
        <f>IF(ISNUMBER(B973),YEAR(B973),"")</f>
        <v/>
      </c>
      <c r="L973">
        <f>IF(ISNUMBER(B973),YEAR(B973)*100+MONTH(B973),"")</f>
        <v/>
      </c>
      <c r="M973">
        <f>IF(ISNUMBER(B973),INT(B973),0)</f>
        <v/>
      </c>
      <c r="N973">
        <f>IF(OR(C973="",F973="",Q973=0),0,IF(COUNTIFS(C$6:C973,C973,F$6:F973,F973,Q$6:Q973,1)=1,1,0))</f>
        <v/>
      </c>
      <c r="O973">
        <f>IF(OR(C973="",Q973=0,H973&lt;&gt;""),"",M973*10000+ROW())</f>
        <v/>
      </c>
      <c r="P973">
        <f>IF(OR(C973="",Q973=0),"",IF(AND(C973=Statement!$C$4,K973=Statement!$C$5),M973*10000+ROW(),""))</f>
        <v/>
      </c>
      <c r="Q973">
        <f>IF(AND(ISNUMBER(B973),OR(N(D973)&gt;0,G973&lt;&gt;"")),1,0)</f>
        <v/>
      </c>
    </row>
    <row r="974">
      <c r="A974" s="1" t="n"/>
      <c r="B974" s="21" t="n"/>
      <c r="C974" s="22" t="n"/>
      <c r="D974" s="23" t="n"/>
      <c r="E974" s="24" t="n"/>
      <c r="F974" s="25" t="n"/>
      <c r="G974" s="25" t="n"/>
      <c r="H974" s="24" t="n"/>
      <c r="I974" s="25" t="n"/>
      <c r="J974" s="17">
        <f>IF(AND(C974="",D974="",G974=""),"",IF(NOT(ISNUMBER(B974)),"Needs a date",IF(AND(D974&lt;&gt;"",NOT(ISNUMBER(D974))),"Amount not a number",IF(N(D974)&lt;0,"Amount below zero",IF(AND(N(D974)=0,G974=""),"Needs an amount or goods",IF(C974="","",IF(COUNTIF(Donors!$B$6:$B$305,C974)=0,"Not on Donors","")))))))</f>
        <v/>
      </c>
      <c r="K974" s="1">
        <f>IF(ISNUMBER(B974),YEAR(B974),"")</f>
        <v/>
      </c>
      <c r="L974">
        <f>IF(ISNUMBER(B974),YEAR(B974)*100+MONTH(B974),"")</f>
        <v/>
      </c>
      <c r="M974">
        <f>IF(ISNUMBER(B974),INT(B974),0)</f>
        <v/>
      </c>
      <c r="N974">
        <f>IF(OR(C974="",F974="",Q974=0),0,IF(COUNTIFS(C$6:C974,C974,F$6:F974,F974,Q$6:Q974,1)=1,1,0))</f>
        <v/>
      </c>
      <c r="O974">
        <f>IF(OR(C974="",Q974=0,H974&lt;&gt;""),"",M974*10000+ROW())</f>
        <v/>
      </c>
      <c r="P974">
        <f>IF(OR(C974="",Q974=0),"",IF(AND(C974=Statement!$C$4,K974=Statement!$C$5),M974*10000+ROW(),""))</f>
        <v/>
      </c>
      <c r="Q974">
        <f>IF(AND(ISNUMBER(B974),OR(N(D974)&gt;0,G974&lt;&gt;"")),1,0)</f>
        <v/>
      </c>
    </row>
    <row r="975">
      <c r="A975" s="1" t="n"/>
      <c r="B975" s="21" t="n"/>
      <c r="C975" s="22" t="n"/>
      <c r="D975" s="23" t="n"/>
      <c r="E975" s="24" t="n"/>
      <c r="F975" s="25" t="n"/>
      <c r="G975" s="25" t="n"/>
      <c r="H975" s="24" t="n"/>
      <c r="I975" s="25" t="n"/>
      <c r="J975" s="17">
        <f>IF(AND(C975="",D975="",G975=""),"",IF(NOT(ISNUMBER(B975)),"Needs a date",IF(AND(D975&lt;&gt;"",NOT(ISNUMBER(D975))),"Amount not a number",IF(N(D975)&lt;0,"Amount below zero",IF(AND(N(D975)=0,G975=""),"Needs an amount or goods",IF(C975="","",IF(COUNTIF(Donors!$B$6:$B$305,C975)=0,"Not on Donors","")))))))</f>
        <v/>
      </c>
      <c r="K975" s="1">
        <f>IF(ISNUMBER(B975),YEAR(B975),"")</f>
        <v/>
      </c>
      <c r="L975">
        <f>IF(ISNUMBER(B975),YEAR(B975)*100+MONTH(B975),"")</f>
        <v/>
      </c>
      <c r="M975">
        <f>IF(ISNUMBER(B975),INT(B975),0)</f>
        <v/>
      </c>
      <c r="N975">
        <f>IF(OR(C975="",F975="",Q975=0),0,IF(COUNTIFS(C$6:C975,C975,F$6:F975,F975,Q$6:Q975,1)=1,1,0))</f>
        <v/>
      </c>
      <c r="O975">
        <f>IF(OR(C975="",Q975=0,H975&lt;&gt;""),"",M975*10000+ROW())</f>
        <v/>
      </c>
      <c r="P975">
        <f>IF(OR(C975="",Q975=0),"",IF(AND(C975=Statement!$C$4,K975=Statement!$C$5),M975*10000+ROW(),""))</f>
        <v/>
      </c>
      <c r="Q975">
        <f>IF(AND(ISNUMBER(B975),OR(N(D975)&gt;0,G975&lt;&gt;"")),1,0)</f>
        <v/>
      </c>
    </row>
    <row r="976">
      <c r="A976" s="1" t="n"/>
      <c r="B976" s="21" t="n"/>
      <c r="C976" s="22" t="n"/>
      <c r="D976" s="23" t="n"/>
      <c r="E976" s="24" t="n"/>
      <c r="F976" s="25" t="n"/>
      <c r="G976" s="25" t="n"/>
      <c r="H976" s="24" t="n"/>
      <c r="I976" s="25" t="n"/>
      <c r="J976" s="17">
        <f>IF(AND(C976="",D976="",G976=""),"",IF(NOT(ISNUMBER(B976)),"Needs a date",IF(AND(D976&lt;&gt;"",NOT(ISNUMBER(D976))),"Amount not a number",IF(N(D976)&lt;0,"Amount below zero",IF(AND(N(D976)=0,G976=""),"Needs an amount or goods",IF(C976="","",IF(COUNTIF(Donors!$B$6:$B$305,C976)=0,"Not on Donors","")))))))</f>
        <v/>
      </c>
      <c r="K976" s="1">
        <f>IF(ISNUMBER(B976),YEAR(B976),"")</f>
        <v/>
      </c>
      <c r="L976">
        <f>IF(ISNUMBER(B976),YEAR(B976)*100+MONTH(B976),"")</f>
        <v/>
      </c>
      <c r="M976">
        <f>IF(ISNUMBER(B976),INT(B976),0)</f>
        <v/>
      </c>
      <c r="N976">
        <f>IF(OR(C976="",F976="",Q976=0),0,IF(COUNTIFS(C$6:C976,C976,F$6:F976,F976,Q$6:Q976,1)=1,1,0))</f>
        <v/>
      </c>
      <c r="O976">
        <f>IF(OR(C976="",Q976=0,H976&lt;&gt;""),"",M976*10000+ROW())</f>
        <v/>
      </c>
      <c r="P976">
        <f>IF(OR(C976="",Q976=0),"",IF(AND(C976=Statement!$C$4,K976=Statement!$C$5),M976*10000+ROW(),""))</f>
        <v/>
      </c>
      <c r="Q976">
        <f>IF(AND(ISNUMBER(B976),OR(N(D976)&gt;0,G976&lt;&gt;"")),1,0)</f>
        <v/>
      </c>
    </row>
    <row r="977">
      <c r="A977" s="1" t="n"/>
      <c r="B977" s="21" t="n"/>
      <c r="C977" s="22" t="n"/>
      <c r="D977" s="23" t="n"/>
      <c r="E977" s="24" t="n"/>
      <c r="F977" s="25" t="n"/>
      <c r="G977" s="25" t="n"/>
      <c r="H977" s="24" t="n"/>
      <c r="I977" s="25" t="n"/>
      <c r="J977" s="17">
        <f>IF(AND(C977="",D977="",G977=""),"",IF(NOT(ISNUMBER(B977)),"Needs a date",IF(AND(D977&lt;&gt;"",NOT(ISNUMBER(D977))),"Amount not a number",IF(N(D977)&lt;0,"Amount below zero",IF(AND(N(D977)=0,G977=""),"Needs an amount or goods",IF(C977="","",IF(COUNTIF(Donors!$B$6:$B$305,C977)=0,"Not on Donors","")))))))</f>
        <v/>
      </c>
      <c r="K977" s="1">
        <f>IF(ISNUMBER(B977),YEAR(B977),"")</f>
        <v/>
      </c>
      <c r="L977">
        <f>IF(ISNUMBER(B977),YEAR(B977)*100+MONTH(B977),"")</f>
        <v/>
      </c>
      <c r="M977">
        <f>IF(ISNUMBER(B977),INT(B977),0)</f>
        <v/>
      </c>
      <c r="N977">
        <f>IF(OR(C977="",F977="",Q977=0),0,IF(COUNTIFS(C$6:C977,C977,F$6:F977,F977,Q$6:Q977,1)=1,1,0))</f>
        <v/>
      </c>
      <c r="O977">
        <f>IF(OR(C977="",Q977=0,H977&lt;&gt;""),"",M977*10000+ROW())</f>
        <v/>
      </c>
      <c r="P977">
        <f>IF(OR(C977="",Q977=0),"",IF(AND(C977=Statement!$C$4,K977=Statement!$C$5),M977*10000+ROW(),""))</f>
        <v/>
      </c>
      <c r="Q977">
        <f>IF(AND(ISNUMBER(B977),OR(N(D977)&gt;0,G977&lt;&gt;"")),1,0)</f>
        <v/>
      </c>
    </row>
    <row r="978">
      <c r="A978" s="1" t="n"/>
      <c r="B978" s="21" t="n"/>
      <c r="C978" s="22" t="n"/>
      <c r="D978" s="23" t="n"/>
      <c r="E978" s="24" t="n"/>
      <c r="F978" s="25" t="n"/>
      <c r="G978" s="25" t="n"/>
      <c r="H978" s="24" t="n"/>
      <c r="I978" s="25" t="n"/>
      <c r="J978" s="17">
        <f>IF(AND(C978="",D978="",G978=""),"",IF(NOT(ISNUMBER(B978)),"Needs a date",IF(AND(D978&lt;&gt;"",NOT(ISNUMBER(D978))),"Amount not a number",IF(N(D978)&lt;0,"Amount below zero",IF(AND(N(D978)=0,G978=""),"Needs an amount or goods",IF(C978="","",IF(COUNTIF(Donors!$B$6:$B$305,C978)=0,"Not on Donors","")))))))</f>
        <v/>
      </c>
      <c r="K978" s="1">
        <f>IF(ISNUMBER(B978),YEAR(B978),"")</f>
        <v/>
      </c>
      <c r="L978">
        <f>IF(ISNUMBER(B978),YEAR(B978)*100+MONTH(B978),"")</f>
        <v/>
      </c>
      <c r="M978">
        <f>IF(ISNUMBER(B978),INT(B978),0)</f>
        <v/>
      </c>
      <c r="N978">
        <f>IF(OR(C978="",F978="",Q978=0),0,IF(COUNTIFS(C$6:C978,C978,F$6:F978,F978,Q$6:Q978,1)=1,1,0))</f>
        <v/>
      </c>
      <c r="O978">
        <f>IF(OR(C978="",Q978=0,H978&lt;&gt;""),"",M978*10000+ROW())</f>
        <v/>
      </c>
      <c r="P978">
        <f>IF(OR(C978="",Q978=0),"",IF(AND(C978=Statement!$C$4,K978=Statement!$C$5),M978*10000+ROW(),""))</f>
        <v/>
      </c>
      <c r="Q978">
        <f>IF(AND(ISNUMBER(B978),OR(N(D978)&gt;0,G978&lt;&gt;"")),1,0)</f>
        <v/>
      </c>
    </row>
    <row r="979">
      <c r="A979" s="1" t="n"/>
      <c r="B979" s="21" t="n"/>
      <c r="C979" s="22" t="n"/>
      <c r="D979" s="23" t="n"/>
      <c r="E979" s="24" t="n"/>
      <c r="F979" s="25" t="n"/>
      <c r="G979" s="25" t="n"/>
      <c r="H979" s="24" t="n"/>
      <c r="I979" s="25" t="n"/>
      <c r="J979" s="17">
        <f>IF(AND(C979="",D979="",G979=""),"",IF(NOT(ISNUMBER(B979)),"Needs a date",IF(AND(D979&lt;&gt;"",NOT(ISNUMBER(D979))),"Amount not a number",IF(N(D979)&lt;0,"Amount below zero",IF(AND(N(D979)=0,G979=""),"Needs an amount or goods",IF(C979="","",IF(COUNTIF(Donors!$B$6:$B$305,C979)=0,"Not on Donors","")))))))</f>
        <v/>
      </c>
      <c r="K979" s="1">
        <f>IF(ISNUMBER(B979),YEAR(B979),"")</f>
        <v/>
      </c>
      <c r="L979">
        <f>IF(ISNUMBER(B979),YEAR(B979)*100+MONTH(B979),"")</f>
        <v/>
      </c>
      <c r="M979">
        <f>IF(ISNUMBER(B979),INT(B979),0)</f>
        <v/>
      </c>
      <c r="N979">
        <f>IF(OR(C979="",F979="",Q979=0),0,IF(COUNTIFS(C$6:C979,C979,F$6:F979,F979,Q$6:Q979,1)=1,1,0))</f>
        <v/>
      </c>
      <c r="O979">
        <f>IF(OR(C979="",Q979=0,H979&lt;&gt;""),"",M979*10000+ROW())</f>
        <v/>
      </c>
      <c r="P979">
        <f>IF(OR(C979="",Q979=0),"",IF(AND(C979=Statement!$C$4,K979=Statement!$C$5),M979*10000+ROW(),""))</f>
        <v/>
      </c>
      <c r="Q979">
        <f>IF(AND(ISNUMBER(B979),OR(N(D979)&gt;0,G979&lt;&gt;"")),1,0)</f>
        <v/>
      </c>
    </row>
    <row r="980">
      <c r="A980" s="1" t="n"/>
      <c r="B980" s="21" t="n"/>
      <c r="C980" s="22" t="n"/>
      <c r="D980" s="23" t="n"/>
      <c r="E980" s="24" t="n"/>
      <c r="F980" s="25" t="n"/>
      <c r="G980" s="25" t="n"/>
      <c r="H980" s="24" t="n"/>
      <c r="I980" s="25" t="n"/>
      <c r="J980" s="17">
        <f>IF(AND(C980="",D980="",G980=""),"",IF(NOT(ISNUMBER(B980)),"Needs a date",IF(AND(D980&lt;&gt;"",NOT(ISNUMBER(D980))),"Amount not a number",IF(N(D980)&lt;0,"Amount below zero",IF(AND(N(D980)=0,G980=""),"Needs an amount or goods",IF(C980="","",IF(COUNTIF(Donors!$B$6:$B$305,C980)=0,"Not on Donors","")))))))</f>
        <v/>
      </c>
      <c r="K980" s="1">
        <f>IF(ISNUMBER(B980),YEAR(B980),"")</f>
        <v/>
      </c>
      <c r="L980">
        <f>IF(ISNUMBER(B980),YEAR(B980)*100+MONTH(B980),"")</f>
        <v/>
      </c>
      <c r="M980">
        <f>IF(ISNUMBER(B980),INT(B980),0)</f>
        <v/>
      </c>
      <c r="N980">
        <f>IF(OR(C980="",F980="",Q980=0),0,IF(COUNTIFS(C$6:C980,C980,F$6:F980,F980,Q$6:Q980,1)=1,1,0))</f>
        <v/>
      </c>
      <c r="O980">
        <f>IF(OR(C980="",Q980=0,H980&lt;&gt;""),"",M980*10000+ROW())</f>
        <v/>
      </c>
      <c r="P980">
        <f>IF(OR(C980="",Q980=0),"",IF(AND(C980=Statement!$C$4,K980=Statement!$C$5),M980*10000+ROW(),""))</f>
        <v/>
      </c>
      <c r="Q980">
        <f>IF(AND(ISNUMBER(B980),OR(N(D980)&gt;0,G980&lt;&gt;"")),1,0)</f>
        <v/>
      </c>
    </row>
    <row r="981">
      <c r="A981" s="1" t="n"/>
      <c r="B981" s="21" t="n"/>
      <c r="C981" s="22" t="n"/>
      <c r="D981" s="23" t="n"/>
      <c r="E981" s="24" t="n"/>
      <c r="F981" s="25" t="n"/>
      <c r="G981" s="25" t="n"/>
      <c r="H981" s="24" t="n"/>
      <c r="I981" s="25" t="n"/>
      <c r="J981" s="17">
        <f>IF(AND(C981="",D981="",G981=""),"",IF(NOT(ISNUMBER(B981)),"Needs a date",IF(AND(D981&lt;&gt;"",NOT(ISNUMBER(D981))),"Amount not a number",IF(N(D981)&lt;0,"Amount below zero",IF(AND(N(D981)=0,G981=""),"Needs an amount or goods",IF(C981="","",IF(COUNTIF(Donors!$B$6:$B$305,C981)=0,"Not on Donors","")))))))</f>
        <v/>
      </c>
      <c r="K981" s="1">
        <f>IF(ISNUMBER(B981),YEAR(B981),"")</f>
        <v/>
      </c>
      <c r="L981">
        <f>IF(ISNUMBER(B981),YEAR(B981)*100+MONTH(B981),"")</f>
        <v/>
      </c>
      <c r="M981">
        <f>IF(ISNUMBER(B981),INT(B981),0)</f>
        <v/>
      </c>
      <c r="N981">
        <f>IF(OR(C981="",F981="",Q981=0),0,IF(COUNTIFS(C$6:C981,C981,F$6:F981,F981,Q$6:Q981,1)=1,1,0))</f>
        <v/>
      </c>
      <c r="O981">
        <f>IF(OR(C981="",Q981=0,H981&lt;&gt;""),"",M981*10000+ROW())</f>
        <v/>
      </c>
      <c r="P981">
        <f>IF(OR(C981="",Q981=0),"",IF(AND(C981=Statement!$C$4,K981=Statement!$C$5),M981*10000+ROW(),""))</f>
        <v/>
      </c>
      <c r="Q981">
        <f>IF(AND(ISNUMBER(B981),OR(N(D981)&gt;0,G981&lt;&gt;"")),1,0)</f>
        <v/>
      </c>
    </row>
    <row r="982">
      <c r="A982" s="1" t="n"/>
      <c r="B982" s="21" t="n"/>
      <c r="C982" s="22" t="n"/>
      <c r="D982" s="23" t="n"/>
      <c r="E982" s="24" t="n"/>
      <c r="F982" s="25" t="n"/>
      <c r="G982" s="25" t="n"/>
      <c r="H982" s="24" t="n"/>
      <c r="I982" s="25" t="n"/>
      <c r="J982" s="17">
        <f>IF(AND(C982="",D982="",G982=""),"",IF(NOT(ISNUMBER(B982)),"Needs a date",IF(AND(D982&lt;&gt;"",NOT(ISNUMBER(D982))),"Amount not a number",IF(N(D982)&lt;0,"Amount below zero",IF(AND(N(D982)=0,G982=""),"Needs an amount or goods",IF(C982="","",IF(COUNTIF(Donors!$B$6:$B$305,C982)=0,"Not on Donors","")))))))</f>
        <v/>
      </c>
      <c r="K982" s="1">
        <f>IF(ISNUMBER(B982),YEAR(B982),"")</f>
        <v/>
      </c>
      <c r="L982">
        <f>IF(ISNUMBER(B982),YEAR(B982)*100+MONTH(B982),"")</f>
        <v/>
      </c>
      <c r="M982">
        <f>IF(ISNUMBER(B982),INT(B982),0)</f>
        <v/>
      </c>
      <c r="N982">
        <f>IF(OR(C982="",F982="",Q982=0),0,IF(COUNTIFS(C$6:C982,C982,F$6:F982,F982,Q$6:Q982,1)=1,1,0))</f>
        <v/>
      </c>
      <c r="O982">
        <f>IF(OR(C982="",Q982=0,H982&lt;&gt;""),"",M982*10000+ROW())</f>
        <v/>
      </c>
      <c r="P982">
        <f>IF(OR(C982="",Q982=0),"",IF(AND(C982=Statement!$C$4,K982=Statement!$C$5),M982*10000+ROW(),""))</f>
        <v/>
      </c>
      <c r="Q982">
        <f>IF(AND(ISNUMBER(B982),OR(N(D982)&gt;0,G982&lt;&gt;"")),1,0)</f>
        <v/>
      </c>
    </row>
    <row r="983">
      <c r="A983" s="1" t="n"/>
      <c r="B983" s="21" t="n"/>
      <c r="C983" s="22" t="n"/>
      <c r="D983" s="23" t="n"/>
      <c r="E983" s="24" t="n"/>
      <c r="F983" s="25" t="n"/>
      <c r="G983" s="25" t="n"/>
      <c r="H983" s="24" t="n"/>
      <c r="I983" s="25" t="n"/>
      <c r="J983" s="17">
        <f>IF(AND(C983="",D983="",G983=""),"",IF(NOT(ISNUMBER(B983)),"Needs a date",IF(AND(D983&lt;&gt;"",NOT(ISNUMBER(D983))),"Amount not a number",IF(N(D983)&lt;0,"Amount below zero",IF(AND(N(D983)=0,G983=""),"Needs an amount or goods",IF(C983="","",IF(COUNTIF(Donors!$B$6:$B$305,C983)=0,"Not on Donors","")))))))</f>
        <v/>
      </c>
      <c r="K983" s="1">
        <f>IF(ISNUMBER(B983),YEAR(B983),"")</f>
        <v/>
      </c>
      <c r="L983">
        <f>IF(ISNUMBER(B983),YEAR(B983)*100+MONTH(B983),"")</f>
        <v/>
      </c>
      <c r="M983">
        <f>IF(ISNUMBER(B983),INT(B983),0)</f>
        <v/>
      </c>
      <c r="N983">
        <f>IF(OR(C983="",F983="",Q983=0),0,IF(COUNTIFS(C$6:C983,C983,F$6:F983,F983,Q$6:Q983,1)=1,1,0))</f>
        <v/>
      </c>
      <c r="O983">
        <f>IF(OR(C983="",Q983=0,H983&lt;&gt;""),"",M983*10000+ROW())</f>
        <v/>
      </c>
      <c r="P983">
        <f>IF(OR(C983="",Q983=0),"",IF(AND(C983=Statement!$C$4,K983=Statement!$C$5),M983*10000+ROW(),""))</f>
        <v/>
      </c>
      <c r="Q983">
        <f>IF(AND(ISNUMBER(B983),OR(N(D983)&gt;0,G983&lt;&gt;"")),1,0)</f>
        <v/>
      </c>
    </row>
    <row r="984">
      <c r="A984" s="1" t="n"/>
      <c r="B984" s="21" t="n"/>
      <c r="C984" s="22" t="n"/>
      <c r="D984" s="23" t="n"/>
      <c r="E984" s="24" t="n"/>
      <c r="F984" s="25" t="n"/>
      <c r="G984" s="25" t="n"/>
      <c r="H984" s="24" t="n"/>
      <c r="I984" s="25" t="n"/>
      <c r="J984" s="17">
        <f>IF(AND(C984="",D984="",G984=""),"",IF(NOT(ISNUMBER(B984)),"Needs a date",IF(AND(D984&lt;&gt;"",NOT(ISNUMBER(D984))),"Amount not a number",IF(N(D984)&lt;0,"Amount below zero",IF(AND(N(D984)=0,G984=""),"Needs an amount or goods",IF(C984="","",IF(COUNTIF(Donors!$B$6:$B$305,C984)=0,"Not on Donors","")))))))</f>
        <v/>
      </c>
      <c r="K984" s="1">
        <f>IF(ISNUMBER(B984),YEAR(B984),"")</f>
        <v/>
      </c>
      <c r="L984">
        <f>IF(ISNUMBER(B984),YEAR(B984)*100+MONTH(B984),"")</f>
        <v/>
      </c>
      <c r="M984">
        <f>IF(ISNUMBER(B984),INT(B984),0)</f>
        <v/>
      </c>
      <c r="N984">
        <f>IF(OR(C984="",F984="",Q984=0),0,IF(COUNTIFS(C$6:C984,C984,F$6:F984,F984,Q$6:Q984,1)=1,1,0))</f>
        <v/>
      </c>
      <c r="O984">
        <f>IF(OR(C984="",Q984=0,H984&lt;&gt;""),"",M984*10000+ROW())</f>
        <v/>
      </c>
      <c r="P984">
        <f>IF(OR(C984="",Q984=0),"",IF(AND(C984=Statement!$C$4,K984=Statement!$C$5),M984*10000+ROW(),""))</f>
        <v/>
      </c>
      <c r="Q984">
        <f>IF(AND(ISNUMBER(B984),OR(N(D984)&gt;0,G984&lt;&gt;"")),1,0)</f>
        <v/>
      </c>
    </row>
    <row r="985">
      <c r="A985" s="1" t="n"/>
      <c r="B985" s="21" t="n"/>
      <c r="C985" s="22" t="n"/>
      <c r="D985" s="23" t="n"/>
      <c r="E985" s="24" t="n"/>
      <c r="F985" s="25" t="n"/>
      <c r="G985" s="25" t="n"/>
      <c r="H985" s="24" t="n"/>
      <c r="I985" s="25" t="n"/>
      <c r="J985" s="17">
        <f>IF(AND(C985="",D985="",G985=""),"",IF(NOT(ISNUMBER(B985)),"Needs a date",IF(AND(D985&lt;&gt;"",NOT(ISNUMBER(D985))),"Amount not a number",IF(N(D985)&lt;0,"Amount below zero",IF(AND(N(D985)=0,G985=""),"Needs an amount or goods",IF(C985="","",IF(COUNTIF(Donors!$B$6:$B$305,C985)=0,"Not on Donors","")))))))</f>
        <v/>
      </c>
      <c r="K985" s="1">
        <f>IF(ISNUMBER(B985),YEAR(B985),"")</f>
        <v/>
      </c>
      <c r="L985">
        <f>IF(ISNUMBER(B985),YEAR(B985)*100+MONTH(B985),"")</f>
        <v/>
      </c>
      <c r="M985">
        <f>IF(ISNUMBER(B985),INT(B985),0)</f>
        <v/>
      </c>
      <c r="N985">
        <f>IF(OR(C985="",F985="",Q985=0),0,IF(COUNTIFS(C$6:C985,C985,F$6:F985,F985,Q$6:Q985,1)=1,1,0))</f>
        <v/>
      </c>
      <c r="O985">
        <f>IF(OR(C985="",Q985=0,H985&lt;&gt;""),"",M985*10000+ROW())</f>
        <v/>
      </c>
      <c r="P985">
        <f>IF(OR(C985="",Q985=0),"",IF(AND(C985=Statement!$C$4,K985=Statement!$C$5),M985*10000+ROW(),""))</f>
        <v/>
      </c>
      <c r="Q985">
        <f>IF(AND(ISNUMBER(B985),OR(N(D985)&gt;0,G985&lt;&gt;"")),1,0)</f>
        <v/>
      </c>
    </row>
    <row r="986">
      <c r="A986" s="1" t="n"/>
      <c r="B986" s="21" t="n"/>
      <c r="C986" s="22" t="n"/>
      <c r="D986" s="23" t="n"/>
      <c r="E986" s="24" t="n"/>
      <c r="F986" s="25" t="n"/>
      <c r="G986" s="25" t="n"/>
      <c r="H986" s="24" t="n"/>
      <c r="I986" s="25" t="n"/>
      <c r="J986" s="17">
        <f>IF(AND(C986="",D986="",G986=""),"",IF(NOT(ISNUMBER(B986)),"Needs a date",IF(AND(D986&lt;&gt;"",NOT(ISNUMBER(D986))),"Amount not a number",IF(N(D986)&lt;0,"Amount below zero",IF(AND(N(D986)=0,G986=""),"Needs an amount or goods",IF(C986="","",IF(COUNTIF(Donors!$B$6:$B$305,C986)=0,"Not on Donors","")))))))</f>
        <v/>
      </c>
      <c r="K986" s="1">
        <f>IF(ISNUMBER(B986),YEAR(B986),"")</f>
        <v/>
      </c>
      <c r="L986">
        <f>IF(ISNUMBER(B986),YEAR(B986)*100+MONTH(B986),"")</f>
        <v/>
      </c>
      <c r="M986">
        <f>IF(ISNUMBER(B986),INT(B986),0)</f>
        <v/>
      </c>
      <c r="N986">
        <f>IF(OR(C986="",F986="",Q986=0),0,IF(COUNTIFS(C$6:C986,C986,F$6:F986,F986,Q$6:Q986,1)=1,1,0))</f>
        <v/>
      </c>
      <c r="O986">
        <f>IF(OR(C986="",Q986=0,H986&lt;&gt;""),"",M986*10000+ROW())</f>
        <v/>
      </c>
      <c r="P986">
        <f>IF(OR(C986="",Q986=0),"",IF(AND(C986=Statement!$C$4,K986=Statement!$C$5),M986*10000+ROW(),""))</f>
        <v/>
      </c>
      <c r="Q986">
        <f>IF(AND(ISNUMBER(B986),OR(N(D986)&gt;0,G986&lt;&gt;"")),1,0)</f>
        <v/>
      </c>
    </row>
    <row r="987">
      <c r="A987" s="1" t="n"/>
      <c r="B987" s="21" t="n"/>
      <c r="C987" s="22" t="n"/>
      <c r="D987" s="23" t="n"/>
      <c r="E987" s="24" t="n"/>
      <c r="F987" s="25" t="n"/>
      <c r="G987" s="25" t="n"/>
      <c r="H987" s="24" t="n"/>
      <c r="I987" s="25" t="n"/>
      <c r="J987" s="17">
        <f>IF(AND(C987="",D987="",G987=""),"",IF(NOT(ISNUMBER(B987)),"Needs a date",IF(AND(D987&lt;&gt;"",NOT(ISNUMBER(D987))),"Amount not a number",IF(N(D987)&lt;0,"Amount below zero",IF(AND(N(D987)=0,G987=""),"Needs an amount or goods",IF(C987="","",IF(COUNTIF(Donors!$B$6:$B$305,C987)=0,"Not on Donors","")))))))</f>
        <v/>
      </c>
      <c r="K987" s="1">
        <f>IF(ISNUMBER(B987),YEAR(B987),"")</f>
        <v/>
      </c>
      <c r="L987">
        <f>IF(ISNUMBER(B987),YEAR(B987)*100+MONTH(B987),"")</f>
        <v/>
      </c>
      <c r="M987">
        <f>IF(ISNUMBER(B987),INT(B987),0)</f>
        <v/>
      </c>
      <c r="N987">
        <f>IF(OR(C987="",F987="",Q987=0),0,IF(COUNTIFS(C$6:C987,C987,F$6:F987,F987,Q$6:Q987,1)=1,1,0))</f>
        <v/>
      </c>
      <c r="O987">
        <f>IF(OR(C987="",Q987=0,H987&lt;&gt;""),"",M987*10000+ROW())</f>
        <v/>
      </c>
      <c r="P987">
        <f>IF(OR(C987="",Q987=0),"",IF(AND(C987=Statement!$C$4,K987=Statement!$C$5),M987*10000+ROW(),""))</f>
        <v/>
      </c>
      <c r="Q987">
        <f>IF(AND(ISNUMBER(B987),OR(N(D987)&gt;0,G987&lt;&gt;"")),1,0)</f>
        <v/>
      </c>
    </row>
    <row r="988">
      <c r="A988" s="1" t="n"/>
      <c r="B988" s="21" t="n"/>
      <c r="C988" s="22" t="n"/>
      <c r="D988" s="23" t="n"/>
      <c r="E988" s="24" t="n"/>
      <c r="F988" s="25" t="n"/>
      <c r="G988" s="25" t="n"/>
      <c r="H988" s="24" t="n"/>
      <c r="I988" s="25" t="n"/>
      <c r="J988" s="17">
        <f>IF(AND(C988="",D988="",G988=""),"",IF(NOT(ISNUMBER(B988)),"Needs a date",IF(AND(D988&lt;&gt;"",NOT(ISNUMBER(D988))),"Amount not a number",IF(N(D988)&lt;0,"Amount below zero",IF(AND(N(D988)=0,G988=""),"Needs an amount or goods",IF(C988="","",IF(COUNTIF(Donors!$B$6:$B$305,C988)=0,"Not on Donors","")))))))</f>
        <v/>
      </c>
      <c r="K988" s="1">
        <f>IF(ISNUMBER(B988),YEAR(B988),"")</f>
        <v/>
      </c>
      <c r="L988">
        <f>IF(ISNUMBER(B988),YEAR(B988)*100+MONTH(B988),"")</f>
        <v/>
      </c>
      <c r="M988">
        <f>IF(ISNUMBER(B988),INT(B988),0)</f>
        <v/>
      </c>
      <c r="N988">
        <f>IF(OR(C988="",F988="",Q988=0),0,IF(COUNTIFS(C$6:C988,C988,F$6:F988,F988,Q$6:Q988,1)=1,1,0))</f>
        <v/>
      </c>
      <c r="O988">
        <f>IF(OR(C988="",Q988=0,H988&lt;&gt;""),"",M988*10000+ROW())</f>
        <v/>
      </c>
      <c r="P988">
        <f>IF(OR(C988="",Q988=0),"",IF(AND(C988=Statement!$C$4,K988=Statement!$C$5),M988*10000+ROW(),""))</f>
        <v/>
      </c>
      <c r="Q988">
        <f>IF(AND(ISNUMBER(B988),OR(N(D988)&gt;0,G988&lt;&gt;"")),1,0)</f>
        <v/>
      </c>
    </row>
    <row r="989">
      <c r="A989" s="1" t="n"/>
      <c r="B989" s="21" t="n"/>
      <c r="C989" s="22" t="n"/>
      <c r="D989" s="23" t="n"/>
      <c r="E989" s="24" t="n"/>
      <c r="F989" s="25" t="n"/>
      <c r="G989" s="25" t="n"/>
      <c r="H989" s="24" t="n"/>
      <c r="I989" s="25" t="n"/>
      <c r="J989" s="17">
        <f>IF(AND(C989="",D989="",G989=""),"",IF(NOT(ISNUMBER(B989)),"Needs a date",IF(AND(D989&lt;&gt;"",NOT(ISNUMBER(D989))),"Amount not a number",IF(N(D989)&lt;0,"Amount below zero",IF(AND(N(D989)=0,G989=""),"Needs an amount or goods",IF(C989="","",IF(COUNTIF(Donors!$B$6:$B$305,C989)=0,"Not on Donors","")))))))</f>
        <v/>
      </c>
      <c r="K989" s="1">
        <f>IF(ISNUMBER(B989),YEAR(B989),"")</f>
        <v/>
      </c>
      <c r="L989">
        <f>IF(ISNUMBER(B989),YEAR(B989)*100+MONTH(B989),"")</f>
        <v/>
      </c>
      <c r="M989">
        <f>IF(ISNUMBER(B989),INT(B989),0)</f>
        <v/>
      </c>
      <c r="N989">
        <f>IF(OR(C989="",F989="",Q989=0),0,IF(COUNTIFS(C$6:C989,C989,F$6:F989,F989,Q$6:Q989,1)=1,1,0))</f>
        <v/>
      </c>
      <c r="O989">
        <f>IF(OR(C989="",Q989=0,H989&lt;&gt;""),"",M989*10000+ROW())</f>
        <v/>
      </c>
      <c r="P989">
        <f>IF(OR(C989="",Q989=0),"",IF(AND(C989=Statement!$C$4,K989=Statement!$C$5),M989*10000+ROW(),""))</f>
        <v/>
      </c>
      <c r="Q989">
        <f>IF(AND(ISNUMBER(B989),OR(N(D989)&gt;0,G989&lt;&gt;"")),1,0)</f>
        <v/>
      </c>
    </row>
    <row r="990">
      <c r="A990" s="1" t="n"/>
      <c r="B990" s="21" t="n"/>
      <c r="C990" s="22" t="n"/>
      <c r="D990" s="23" t="n"/>
      <c r="E990" s="24" t="n"/>
      <c r="F990" s="25" t="n"/>
      <c r="G990" s="25" t="n"/>
      <c r="H990" s="24" t="n"/>
      <c r="I990" s="25" t="n"/>
      <c r="J990" s="17">
        <f>IF(AND(C990="",D990="",G990=""),"",IF(NOT(ISNUMBER(B990)),"Needs a date",IF(AND(D990&lt;&gt;"",NOT(ISNUMBER(D990))),"Amount not a number",IF(N(D990)&lt;0,"Amount below zero",IF(AND(N(D990)=0,G990=""),"Needs an amount or goods",IF(C990="","",IF(COUNTIF(Donors!$B$6:$B$305,C990)=0,"Not on Donors","")))))))</f>
        <v/>
      </c>
      <c r="K990" s="1">
        <f>IF(ISNUMBER(B990),YEAR(B990),"")</f>
        <v/>
      </c>
      <c r="L990">
        <f>IF(ISNUMBER(B990),YEAR(B990)*100+MONTH(B990),"")</f>
        <v/>
      </c>
      <c r="M990">
        <f>IF(ISNUMBER(B990),INT(B990),0)</f>
        <v/>
      </c>
      <c r="N990">
        <f>IF(OR(C990="",F990="",Q990=0),0,IF(COUNTIFS(C$6:C990,C990,F$6:F990,F990,Q$6:Q990,1)=1,1,0))</f>
        <v/>
      </c>
      <c r="O990">
        <f>IF(OR(C990="",Q990=0,H990&lt;&gt;""),"",M990*10000+ROW())</f>
        <v/>
      </c>
      <c r="P990">
        <f>IF(OR(C990="",Q990=0),"",IF(AND(C990=Statement!$C$4,K990=Statement!$C$5),M990*10000+ROW(),""))</f>
        <v/>
      </c>
      <c r="Q990">
        <f>IF(AND(ISNUMBER(B990),OR(N(D990)&gt;0,G990&lt;&gt;"")),1,0)</f>
        <v/>
      </c>
    </row>
    <row r="991">
      <c r="A991" s="1" t="n"/>
      <c r="B991" s="21" t="n"/>
      <c r="C991" s="22" t="n"/>
      <c r="D991" s="23" t="n"/>
      <c r="E991" s="24" t="n"/>
      <c r="F991" s="25" t="n"/>
      <c r="G991" s="25" t="n"/>
      <c r="H991" s="24" t="n"/>
      <c r="I991" s="25" t="n"/>
      <c r="J991" s="17">
        <f>IF(AND(C991="",D991="",G991=""),"",IF(NOT(ISNUMBER(B991)),"Needs a date",IF(AND(D991&lt;&gt;"",NOT(ISNUMBER(D991))),"Amount not a number",IF(N(D991)&lt;0,"Amount below zero",IF(AND(N(D991)=0,G991=""),"Needs an amount or goods",IF(C991="","",IF(COUNTIF(Donors!$B$6:$B$305,C991)=0,"Not on Donors","")))))))</f>
        <v/>
      </c>
      <c r="K991" s="1">
        <f>IF(ISNUMBER(B991),YEAR(B991),"")</f>
        <v/>
      </c>
      <c r="L991">
        <f>IF(ISNUMBER(B991),YEAR(B991)*100+MONTH(B991),"")</f>
        <v/>
      </c>
      <c r="M991">
        <f>IF(ISNUMBER(B991),INT(B991),0)</f>
        <v/>
      </c>
      <c r="N991">
        <f>IF(OR(C991="",F991="",Q991=0),0,IF(COUNTIFS(C$6:C991,C991,F$6:F991,F991,Q$6:Q991,1)=1,1,0))</f>
        <v/>
      </c>
      <c r="O991">
        <f>IF(OR(C991="",Q991=0,H991&lt;&gt;""),"",M991*10000+ROW())</f>
        <v/>
      </c>
      <c r="P991">
        <f>IF(OR(C991="",Q991=0),"",IF(AND(C991=Statement!$C$4,K991=Statement!$C$5),M991*10000+ROW(),""))</f>
        <v/>
      </c>
      <c r="Q991">
        <f>IF(AND(ISNUMBER(B991),OR(N(D991)&gt;0,G991&lt;&gt;"")),1,0)</f>
        <v/>
      </c>
    </row>
    <row r="992">
      <c r="A992" s="1" t="n"/>
      <c r="B992" s="21" t="n"/>
      <c r="C992" s="22" t="n"/>
      <c r="D992" s="23" t="n"/>
      <c r="E992" s="24" t="n"/>
      <c r="F992" s="25" t="n"/>
      <c r="G992" s="25" t="n"/>
      <c r="H992" s="24" t="n"/>
      <c r="I992" s="25" t="n"/>
      <c r="J992" s="17">
        <f>IF(AND(C992="",D992="",G992=""),"",IF(NOT(ISNUMBER(B992)),"Needs a date",IF(AND(D992&lt;&gt;"",NOT(ISNUMBER(D992))),"Amount not a number",IF(N(D992)&lt;0,"Amount below zero",IF(AND(N(D992)=0,G992=""),"Needs an amount or goods",IF(C992="","",IF(COUNTIF(Donors!$B$6:$B$305,C992)=0,"Not on Donors","")))))))</f>
        <v/>
      </c>
      <c r="K992" s="1">
        <f>IF(ISNUMBER(B992),YEAR(B992),"")</f>
        <v/>
      </c>
      <c r="L992">
        <f>IF(ISNUMBER(B992),YEAR(B992)*100+MONTH(B992),"")</f>
        <v/>
      </c>
      <c r="M992">
        <f>IF(ISNUMBER(B992),INT(B992),0)</f>
        <v/>
      </c>
      <c r="N992">
        <f>IF(OR(C992="",F992="",Q992=0),0,IF(COUNTIFS(C$6:C992,C992,F$6:F992,F992,Q$6:Q992,1)=1,1,0))</f>
        <v/>
      </c>
      <c r="O992">
        <f>IF(OR(C992="",Q992=0,H992&lt;&gt;""),"",M992*10000+ROW())</f>
        <v/>
      </c>
      <c r="P992">
        <f>IF(OR(C992="",Q992=0),"",IF(AND(C992=Statement!$C$4,K992=Statement!$C$5),M992*10000+ROW(),""))</f>
        <v/>
      </c>
      <c r="Q992">
        <f>IF(AND(ISNUMBER(B992),OR(N(D992)&gt;0,G992&lt;&gt;"")),1,0)</f>
        <v/>
      </c>
    </row>
    <row r="993">
      <c r="A993" s="1" t="n"/>
      <c r="B993" s="21" t="n"/>
      <c r="C993" s="22" t="n"/>
      <c r="D993" s="23" t="n"/>
      <c r="E993" s="24" t="n"/>
      <c r="F993" s="25" t="n"/>
      <c r="G993" s="25" t="n"/>
      <c r="H993" s="24" t="n"/>
      <c r="I993" s="25" t="n"/>
      <c r="J993" s="17">
        <f>IF(AND(C993="",D993="",G993=""),"",IF(NOT(ISNUMBER(B993)),"Needs a date",IF(AND(D993&lt;&gt;"",NOT(ISNUMBER(D993))),"Amount not a number",IF(N(D993)&lt;0,"Amount below zero",IF(AND(N(D993)=0,G993=""),"Needs an amount or goods",IF(C993="","",IF(COUNTIF(Donors!$B$6:$B$305,C993)=0,"Not on Donors","")))))))</f>
        <v/>
      </c>
      <c r="K993" s="1">
        <f>IF(ISNUMBER(B993),YEAR(B993),"")</f>
        <v/>
      </c>
      <c r="L993">
        <f>IF(ISNUMBER(B993),YEAR(B993)*100+MONTH(B993),"")</f>
        <v/>
      </c>
      <c r="M993">
        <f>IF(ISNUMBER(B993),INT(B993),0)</f>
        <v/>
      </c>
      <c r="N993">
        <f>IF(OR(C993="",F993="",Q993=0),0,IF(COUNTIFS(C$6:C993,C993,F$6:F993,F993,Q$6:Q993,1)=1,1,0))</f>
        <v/>
      </c>
      <c r="O993">
        <f>IF(OR(C993="",Q993=0,H993&lt;&gt;""),"",M993*10000+ROW())</f>
        <v/>
      </c>
      <c r="P993">
        <f>IF(OR(C993="",Q993=0),"",IF(AND(C993=Statement!$C$4,K993=Statement!$C$5),M993*10000+ROW(),""))</f>
        <v/>
      </c>
      <c r="Q993">
        <f>IF(AND(ISNUMBER(B993),OR(N(D993)&gt;0,G993&lt;&gt;"")),1,0)</f>
        <v/>
      </c>
    </row>
    <row r="994">
      <c r="A994" s="1" t="n"/>
      <c r="B994" s="21" t="n"/>
      <c r="C994" s="22" t="n"/>
      <c r="D994" s="23" t="n"/>
      <c r="E994" s="24" t="n"/>
      <c r="F994" s="25" t="n"/>
      <c r="G994" s="25" t="n"/>
      <c r="H994" s="24" t="n"/>
      <c r="I994" s="25" t="n"/>
      <c r="J994" s="17">
        <f>IF(AND(C994="",D994="",G994=""),"",IF(NOT(ISNUMBER(B994)),"Needs a date",IF(AND(D994&lt;&gt;"",NOT(ISNUMBER(D994))),"Amount not a number",IF(N(D994)&lt;0,"Amount below zero",IF(AND(N(D994)=0,G994=""),"Needs an amount or goods",IF(C994="","",IF(COUNTIF(Donors!$B$6:$B$305,C994)=0,"Not on Donors","")))))))</f>
        <v/>
      </c>
      <c r="K994" s="1">
        <f>IF(ISNUMBER(B994),YEAR(B994),"")</f>
        <v/>
      </c>
      <c r="L994">
        <f>IF(ISNUMBER(B994),YEAR(B994)*100+MONTH(B994),"")</f>
        <v/>
      </c>
      <c r="M994">
        <f>IF(ISNUMBER(B994),INT(B994),0)</f>
        <v/>
      </c>
      <c r="N994">
        <f>IF(OR(C994="",F994="",Q994=0),0,IF(COUNTIFS(C$6:C994,C994,F$6:F994,F994,Q$6:Q994,1)=1,1,0))</f>
        <v/>
      </c>
      <c r="O994">
        <f>IF(OR(C994="",Q994=0,H994&lt;&gt;""),"",M994*10000+ROW())</f>
        <v/>
      </c>
      <c r="P994">
        <f>IF(OR(C994="",Q994=0),"",IF(AND(C994=Statement!$C$4,K994=Statement!$C$5),M994*10000+ROW(),""))</f>
        <v/>
      </c>
      <c r="Q994">
        <f>IF(AND(ISNUMBER(B994),OR(N(D994)&gt;0,G994&lt;&gt;"")),1,0)</f>
        <v/>
      </c>
    </row>
    <row r="995">
      <c r="A995" s="1" t="n"/>
      <c r="B995" s="21" t="n"/>
      <c r="C995" s="22" t="n"/>
      <c r="D995" s="23" t="n"/>
      <c r="E995" s="24" t="n"/>
      <c r="F995" s="25" t="n"/>
      <c r="G995" s="25" t="n"/>
      <c r="H995" s="24" t="n"/>
      <c r="I995" s="25" t="n"/>
      <c r="J995" s="17">
        <f>IF(AND(C995="",D995="",G995=""),"",IF(NOT(ISNUMBER(B995)),"Needs a date",IF(AND(D995&lt;&gt;"",NOT(ISNUMBER(D995))),"Amount not a number",IF(N(D995)&lt;0,"Amount below zero",IF(AND(N(D995)=0,G995=""),"Needs an amount or goods",IF(C995="","",IF(COUNTIF(Donors!$B$6:$B$305,C995)=0,"Not on Donors","")))))))</f>
        <v/>
      </c>
      <c r="K995" s="1">
        <f>IF(ISNUMBER(B995),YEAR(B995),"")</f>
        <v/>
      </c>
      <c r="L995">
        <f>IF(ISNUMBER(B995),YEAR(B995)*100+MONTH(B995),"")</f>
        <v/>
      </c>
      <c r="M995">
        <f>IF(ISNUMBER(B995),INT(B995),0)</f>
        <v/>
      </c>
      <c r="N995">
        <f>IF(OR(C995="",F995="",Q995=0),0,IF(COUNTIFS(C$6:C995,C995,F$6:F995,F995,Q$6:Q995,1)=1,1,0))</f>
        <v/>
      </c>
      <c r="O995">
        <f>IF(OR(C995="",Q995=0,H995&lt;&gt;""),"",M995*10000+ROW())</f>
        <v/>
      </c>
      <c r="P995">
        <f>IF(OR(C995="",Q995=0),"",IF(AND(C995=Statement!$C$4,K995=Statement!$C$5),M995*10000+ROW(),""))</f>
        <v/>
      </c>
      <c r="Q995">
        <f>IF(AND(ISNUMBER(B995),OR(N(D995)&gt;0,G995&lt;&gt;"")),1,0)</f>
        <v/>
      </c>
    </row>
    <row r="996">
      <c r="A996" s="1" t="n"/>
      <c r="B996" s="21" t="n"/>
      <c r="C996" s="22" t="n"/>
      <c r="D996" s="23" t="n"/>
      <c r="E996" s="24" t="n"/>
      <c r="F996" s="25" t="n"/>
      <c r="G996" s="25" t="n"/>
      <c r="H996" s="24" t="n"/>
      <c r="I996" s="25" t="n"/>
      <c r="J996" s="17">
        <f>IF(AND(C996="",D996="",G996=""),"",IF(NOT(ISNUMBER(B996)),"Needs a date",IF(AND(D996&lt;&gt;"",NOT(ISNUMBER(D996))),"Amount not a number",IF(N(D996)&lt;0,"Amount below zero",IF(AND(N(D996)=0,G996=""),"Needs an amount or goods",IF(C996="","",IF(COUNTIF(Donors!$B$6:$B$305,C996)=0,"Not on Donors","")))))))</f>
        <v/>
      </c>
      <c r="K996" s="1">
        <f>IF(ISNUMBER(B996),YEAR(B996),"")</f>
        <v/>
      </c>
      <c r="L996">
        <f>IF(ISNUMBER(B996),YEAR(B996)*100+MONTH(B996),"")</f>
        <v/>
      </c>
      <c r="M996">
        <f>IF(ISNUMBER(B996),INT(B996),0)</f>
        <v/>
      </c>
      <c r="N996">
        <f>IF(OR(C996="",F996="",Q996=0),0,IF(COUNTIFS(C$6:C996,C996,F$6:F996,F996,Q$6:Q996,1)=1,1,0))</f>
        <v/>
      </c>
      <c r="O996">
        <f>IF(OR(C996="",Q996=0,H996&lt;&gt;""),"",M996*10000+ROW())</f>
        <v/>
      </c>
      <c r="P996">
        <f>IF(OR(C996="",Q996=0),"",IF(AND(C996=Statement!$C$4,K996=Statement!$C$5),M996*10000+ROW(),""))</f>
        <v/>
      </c>
      <c r="Q996">
        <f>IF(AND(ISNUMBER(B996),OR(N(D996)&gt;0,G996&lt;&gt;"")),1,0)</f>
        <v/>
      </c>
    </row>
    <row r="997">
      <c r="A997" s="1" t="n"/>
      <c r="B997" s="21" t="n"/>
      <c r="C997" s="22" t="n"/>
      <c r="D997" s="23" t="n"/>
      <c r="E997" s="24" t="n"/>
      <c r="F997" s="25" t="n"/>
      <c r="G997" s="25" t="n"/>
      <c r="H997" s="24" t="n"/>
      <c r="I997" s="25" t="n"/>
      <c r="J997" s="17">
        <f>IF(AND(C997="",D997="",G997=""),"",IF(NOT(ISNUMBER(B997)),"Needs a date",IF(AND(D997&lt;&gt;"",NOT(ISNUMBER(D997))),"Amount not a number",IF(N(D997)&lt;0,"Amount below zero",IF(AND(N(D997)=0,G997=""),"Needs an amount or goods",IF(C997="","",IF(COUNTIF(Donors!$B$6:$B$305,C997)=0,"Not on Donors","")))))))</f>
        <v/>
      </c>
      <c r="K997" s="1">
        <f>IF(ISNUMBER(B997),YEAR(B997),"")</f>
        <v/>
      </c>
      <c r="L997">
        <f>IF(ISNUMBER(B997),YEAR(B997)*100+MONTH(B997),"")</f>
        <v/>
      </c>
      <c r="M997">
        <f>IF(ISNUMBER(B997),INT(B997),0)</f>
        <v/>
      </c>
      <c r="N997">
        <f>IF(OR(C997="",F997="",Q997=0),0,IF(COUNTIFS(C$6:C997,C997,F$6:F997,F997,Q$6:Q997,1)=1,1,0))</f>
        <v/>
      </c>
      <c r="O997">
        <f>IF(OR(C997="",Q997=0,H997&lt;&gt;""),"",M997*10000+ROW())</f>
        <v/>
      </c>
      <c r="P997">
        <f>IF(OR(C997="",Q997=0),"",IF(AND(C997=Statement!$C$4,K997=Statement!$C$5),M997*10000+ROW(),""))</f>
        <v/>
      </c>
      <c r="Q997">
        <f>IF(AND(ISNUMBER(B997),OR(N(D997)&gt;0,G997&lt;&gt;"")),1,0)</f>
        <v/>
      </c>
    </row>
    <row r="998">
      <c r="A998" s="1" t="n"/>
      <c r="B998" s="21" t="n"/>
      <c r="C998" s="22" t="n"/>
      <c r="D998" s="23" t="n"/>
      <c r="E998" s="24" t="n"/>
      <c r="F998" s="25" t="n"/>
      <c r="G998" s="25" t="n"/>
      <c r="H998" s="24" t="n"/>
      <c r="I998" s="25" t="n"/>
      <c r="J998" s="17">
        <f>IF(AND(C998="",D998="",G998=""),"",IF(NOT(ISNUMBER(B998)),"Needs a date",IF(AND(D998&lt;&gt;"",NOT(ISNUMBER(D998))),"Amount not a number",IF(N(D998)&lt;0,"Amount below zero",IF(AND(N(D998)=0,G998=""),"Needs an amount or goods",IF(C998="","",IF(COUNTIF(Donors!$B$6:$B$305,C998)=0,"Not on Donors","")))))))</f>
        <v/>
      </c>
      <c r="K998" s="1">
        <f>IF(ISNUMBER(B998),YEAR(B998),"")</f>
        <v/>
      </c>
      <c r="L998">
        <f>IF(ISNUMBER(B998),YEAR(B998)*100+MONTH(B998),"")</f>
        <v/>
      </c>
      <c r="M998">
        <f>IF(ISNUMBER(B998),INT(B998),0)</f>
        <v/>
      </c>
      <c r="N998">
        <f>IF(OR(C998="",F998="",Q998=0),0,IF(COUNTIFS(C$6:C998,C998,F$6:F998,F998,Q$6:Q998,1)=1,1,0))</f>
        <v/>
      </c>
      <c r="O998">
        <f>IF(OR(C998="",Q998=0,H998&lt;&gt;""),"",M998*10000+ROW())</f>
        <v/>
      </c>
      <c r="P998">
        <f>IF(OR(C998="",Q998=0),"",IF(AND(C998=Statement!$C$4,K998=Statement!$C$5),M998*10000+ROW(),""))</f>
        <v/>
      </c>
      <c r="Q998">
        <f>IF(AND(ISNUMBER(B998),OR(N(D998)&gt;0,G998&lt;&gt;"")),1,0)</f>
        <v/>
      </c>
    </row>
    <row r="999">
      <c r="A999" s="1" t="n"/>
      <c r="B999" s="21" t="n"/>
      <c r="C999" s="22" t="n"/>
      <c r="D999" s="23" t="n"/>
      <c r="E999" s="24" t="n"/>
      <c r="F999" s="25" t="n"/>
      <c r="G999" s="25" t="n"/>
      <c r="H999" s="24" t="n"/>
      <c r="I999" s="25" t="n"/>
      <c r="J999" s="17">
        <f>IF(AND(C999="",D999="",G999=""),"",IF(NOT(ISNUMBER(B999)),"Needs a date",IF(AND(D999&lt;&gt;"",NOT(ISNUMBER(D999))),"Amount not a number",IF(N(D999)&lt;0,"Amount below zero",IF(AND(N(D999)=0,G999=""),"Needs an amount or goods",IF(C999="","",IF(COUNTIF(Donors!$B$6:$B$305,C999)=0,"Not on Donors","")))))))</f>
        <v/>
      </c>
      <c r="K999" s="1">
        <f>IF(ISNUMBER(B999),YEAR(B999),"")</f>
        <v/>
      </c>
      <c r="L999">
        <f>IF(ISNUMBER(B999),YEAR(B999)*100+MONTH(B999),"")</f>
        <v/>
      </c>
      <c r="M999">
        <f>IF(ISNUMBER(B999),INT(B999),0)</f>
        <v/>
      </c>
      <c r="N999">
        <f>IF(OR(C999="",F999="",Q999=0),0,IF(COUNTIFS(C$6:C999,C999,F$6:F999,F999,Q$6:Q999,1)=1,1,0))</f>
        <v/>
      </c>
      <c r="O999">
        <f>IF(OR(C999="",Q999=0,H999&lt;&gt;""),"",M999*10000+ROW())</f>
        <v/>
      </c>
      <c r="P999">
        <f>IF(OR(C999="",Q999=0),"",IF(AND(C999=Statement!$C$4,K999=Statement!$C$5),M999*10000+ROW(),""))</f>
        <v/>
      </c>
      <c r="Q999">
        <f>IF(AND(ISNUMBER(B999),OR(N(D999)&gt;0,G999&lt;&gt;"")),1,0)</f>
        <v/>
      </c>
    </row>
    <row r="1000">
      <c r="A1000" s="1" t="n"/>
      <c r="B1000" s="21" t="n"/>
      <c r="C1000" s="22" t="n"/>
      <c r="D1000" s="23" t="n"/>
      <c r="E1000" s="24" t="n"/>
      <c r="F1000" s="25" t="n"/>
      <c r="G1000" s="25" t="n"/>
      <c r="H1000" s="24" t="n"/>
      <c r="I1000" s="25" t="n"/>
      <c r="J1000" s="17">
        <f>IF(AND(C1000="",D1000="",G1000=""),"",IF(NOT(ISNUMBER(B1000)),"Needs a date",IF(AND(D1000&lt;&gt;"",NOT(ISNUMBER(D1000))),"Amount not a number",IF(N(D1000)&lt;0,"Amount below zero",IF(AND(N(D1000)=0,G1000=""),"Needs an amount or goods",IF(C1000="","",IF(COUNTIF(Donors!$B$6:$B$305,C1000)=0,"Not on Donors","")))))))</f>
        <v/>
      </c>
      <c r="K1000" s="1">
        <f>IF(ISNUMBER(B1000),YEAR(B1000),"")</f>
        <v/>
      </c>
      <c r="L1000">
        <f>IF(ISNUMBER(B1000),YEAR(B1000)*100+MONTH(B1000),"")</f>
        <v/>
      </c>
      <c r="M1000">
        <f>IF(ISNUMBER(B1000),INT(B1000),0)</f>
        <v/>
      </c>
      <c r="N1000">
        <f>IF(OR(C1000="",F1000="",Q1000=0),0,IF(COUNTIFS(C$6:C1000,C1000,F$6:F1000,F1000,Q$6:Q1000,1)=1,1,0))</f>
        <v/>
      </c>
      <c r="O1000">
        <f>IF(OR(C1000="",Q1000=0,H1000&lt;&gt;""),"",M1000*10000+ROW())</f>
        <v/>
      </c>
      <c r="P1000">
        <f>IF(OR(C1000="",Q1000=0),"",IF(AND(C1000=Statement!$C$4,K1000=Statement!$C$5),M1000*10000+ROW(),""))</f>
        <v/>
      </c>
      <c r="Q1000">
        <f>IF(AND(ISNUMBER(B1000),OR(N(D1000)&gt;0,G1000&lt;&gt;"")),1,0)</f>
        <v/>
      </c>
    </row>
    <row r="1001">
      <c r="A1001" s="1" t="n"/>
      <c r="B1001" s="21" t="n"/>
      <c r="C1001" s="22" t="n"/>
      <c r="D1001" s="23" t="n"/>
      <c r="E1001" s="24" t="n"/>
      <c r="F1001" s="25" t="n"/>
      <c r="G1001" s="25" t="n"/>
      <c r="H1001" s="24" t="n"/>
      <c r="I1001" s="25" t="n"/>
      <c r="J1001" s="17">
        <f>IF(AND(C1001="",D1001="",G1001=""),"",IF(NOT(ISNUMBER(B1001)),"Needs a date",IF(AND(D1001&lt;&gt;"",NOT(ISNUMBER(D1001))),"Amount not a number",IF(N(D1001)&lt;0,"Amount below zero",IF(AND(N(D1001)=0,G1001=""),"Needs an amount or goods",IF(C1001="","",IF(COUNTIF(Donors!$B$6:$B$305,C1001)=0,"Not on Donors","")))))))</f>
        <v/>
      </c>
      <c r="K1001" s="1">
        <f>IF(ISNUMBER(B1001),YEAR(B1001),"")</f>
        <v/>
      </c>
      <c r="L1001">
        <f>IF(ISNUMBER(B1001),YEAR(B1001)*100+MONTH(B1001),"")</f>
        <v/>
      </c>
      <c r="M1001">
        <f>IF(ISNUMBER(B1001),INT(B1001),0)</f>
        <v/>
      </c>
      <c r="N1001">
        <f>IF(OR(C1001="",F1001="",Q1001=0),0,IF(COUNTIFS(C$6:C1001,C1001,F$6:F1001,F1001,Q$6:Q1001,1)=1,1,0))</f>
        <v/>
      </c>
      <c r="O1001">
        <f>IF(OR(C1001="",Q1001=0,H1001&lt;&gt;""),"",M1001*10000+ROW())</f>
        <v/>
      </c>
      <c r="P1001">
        <f>IF(OR(C1001="",Q1001=0),"",IF(AND(C1001=Statement!$C$4,K1001=Statement!$C$5),M1001*10000+ROW(),""))</f>
        <v/>
      </c>
      <c r="Q1001">
        <f>IF(AND(ISNUMBER(B1001),OR(N(D1001)&gt;0,G1001&lt;&gt;"")),1,0)</f>
        <v/>
      </c>
    </row>
    <row r="1002">
      <c r="A1002" s="1" t="n"/>
      <c r="B1002" s="21" t="n"/>
      <c r="C1002" s="22" t="n"/>
      <c r="D1002" s="23" t="n"/>
      <c r="E1002" s="24" t="n"/>
      <c r="F1002" s="25" t="n"/>
      <c r="G1002" s="25" t="n"/>
      <c r="H1002" s="24" t="n"/>
      <c r="I1002" s="25" t="n"/>
      <c r="J1002" s="17">
        <f>IF(AND(C1002="",D1002="",G1002=""),"",IF(NOT(ISNUMBER(B1002)),"Needs a date",IF(AND(D1002&lt;&gt;"",NOT(ISNUMBER(D1002))),"Amount not a number",IF(N(D1002)&lt;0,"Amount below zero",IF(AND(N(D1002)=0,G1002=""),"Needs an amount or goods",IF(C1002="","",IF(COUNTIF(Donors!$B$6:$B$305,C1002)=0,"Not on Donors","")))))))</f>
        <v/>
      </c>
      <c r="K1002" s="1">
        <f>IF(ISNUMBER(B1002),YEAR(B1002),"")</f>
        <v/>
      </c>
      <c r="L1002">
        <f>IF(ISNUMBER(B1002),YEAR(B1002)*100+MONTH(B1002),"")</f>
        <v/>
      </c>
      <c r="M1002">
        <f>IF(ISNUMBER(B1002),INT(B1002),0)</f>
        <v/>
      </c>
      <c r="N1002">
        <f>IF(OR(C1002="",F1002="",Q1002=0),0,IF(COUNTIFS(C$6:C1002,C1002,F$6:F1002,F1002,Q$6:Q1002,1)=1,1,0))</f>
        <v/>
      </c>
      <c r="O1002">
        <f>IF(OR(C1002="",Q1002=0,H1002&lt;&gt;""),"",M1002*10000+ROW())</f>
        <v/>
      </c>
      <c r="P1002">
        <f>IF(OR(C1002="",Q1002=0),"",IF(AND(C1002=Statement!$C$4,K1002=Statement!$C$5),M1002*10000+ROW(),""))</f>
        <v/>
      </c>
      <c r="Q1002">
        <f>IF(AND(ISNUMBER(B1002),OR(N(D1002)&gt;0,G1002&lt;&gt;"")),1,0)</f>
        <v/>
      </c>
    </row>
    <row r="1003">
      <c r="A1003" s="1" t="n"/>
      <c r="B1003" s="21" t="n"/>
      <c r="C1003" s="22" t="n"/>
      <c r="D1003" s="23" t="n"/>
      <c r="E1003" s="24" t="n"/>
      <c r="F1003" s="25" t="n"/>
      <c r="G1003" s="25" t="n"/>
      <c r="H1003" s="24" t="n"/>
      <c r="I1003" s="25" t="n"/>
      <c r="J1003" s="17">
        <f>IF(AND(C1003="",D1003="",G1003=""),"",IF(NOT(ISNUMBER(B1003)),"Needs a date",IF(AND(D1003&lt;&gt;"",NOT(ISNUMBER(D1003))),"Amount not a number",IF(N(D1003)&lt;0,"Amount below zero",IF(AND(N(D1003)=0,G1003=""),"Needs an amount or goods",IF(C1003="","",IF(COUNTIF(Donors!$B$6:$B$305,C1003)=0,"Not on Donors","")))))))</f>
        <v/>
      </c>
      <c r="K1003" s="1">
        <f>IF(ISNUMBER(B1003),YEAR(B1003),"")</f>
        <v/>
      </c>
      <c r="L1003">
        <f>IF(ISNUMBER(B1003),YEAR(B1003)*100+MONTH(B1003),"")</f>
        <v/>
      </c>
      <c r="M1003">
        <f>IF(ISNUMBER(B1003),INT(B1003),0)</f>
        <v/>
      </c>
      <c r="N1003">
        <f>IF(OR(C1003="",F1003="",Q1003=0),0,IF(COUNTIFS(C$6:C1003,C1003,F$6:F1003,F1003,Q$6:Q1003,1)=1,1,0))</f>
        <v/>
      </c>
      <c r="O1003">
        <f>IF(OR(C1003="",Q1003=0,H1003&lt;&gt;""),"",M1003*10000+ROW())</f>
        <v/>
      </c>
      <c r="P1003">
        <f>IF(OR(C1003="",Q1003=0),"",IF(AND(C1003=Statement!$C$4,K1003=Statement!$C$5),M1003*10000+ROW(),""))</f>
        <v/>
      </c>
      <c r="Q1003">
        <f>IF(AND(ISNUMBER(B1003),OR(N(D1003)&gt;0,G1003&lt;&gt;"")),1,0)</f>
        <v/>
      </c>
    </row>
    <row r="1004">
      <c r="A1004" s="1" t="n"/>
      <c r="B1004" s="21" t="n"/>
      <c r="C1004" s="22" t="n"/>
      <c r="D1004" s="23" t="n"/>
      <c r="E1004" s="24" t="n"/>
      <c r="F1004" s="25" t="n"/>
      <c r="G1004" s="25" t="n"/>
      <c r="H1004" s="24" t="n"/>
      <c r="I1004" s="25" t="n"/>
      <c r="J1004" s="17">
        <f>IF(AND(C1004="",D1004="",G1004=""),"",IF(NOT(ISNUMBER(B1004)),"Needs a date",IF(AND(D1004&lt;&gt;"",NOT(ISNUMBER(D1004))),"Amount not a number",IF(N(D1004)&lt;0,"Amount below zero",IF(AND(N(D1004)=0,G1004=""),"Needs an amount or goods",IF(C1004="","",IF(COUNTIF(Donors!$B$6:$B$305,C1004)=0,"Not on Donors","")))))))</f>
        <v/>
      </c>
      <c r="K1004" s="1">
        <f>IF(ISNUMBER(B1004),YEAR(B1004),"")</f>
        <v/>
      </c>
      <c r="L1004">
        <f>IF(ISNUMBER(B1004),YEAR(B1004)*100+MONTH(B1004),"")</f>
        <v/>
      </c>
      <c r="M1004">
        <f>IF(ISNUMBER(B1004),INT(B1004),0)</f>
        <v/>
      </c>
      <c r="N1004">
        <f>IF(OR(C1004="",F1004="",Q1004=0),0,IF(COUNTIFS(C$6:C1004,C1004,F$6:F1004,F1004,Q$6:Q1004,1)=1,1,0))</f>
        <v/>
      </c>
      <c r="O1004">
        <f>IF(OR(C1004="",Q1004=0,H1004&lt;&gt;""),"",M1004*10000+ROW())</f>
        <v/>
      </c>
      <c r="P1004">
        <f>IF(OR(C1004="",Q1004=0),"",IF(AND(C1004=Statement!$C$4,K1004=Statement!$C$5),M1004*10000+ROW(),""))</f>
        <v/>
      </c>
      <c r="Q1004">
        <f>IF(AND(ISNUMBER(B1004),OR(N(D1004)&gt;0,G1004&lt;&gt;"")),1,0)</f>
        <v/>
      </c>
    </row>
    <row r="1005">
      <c r="A1005" s="1" t="n"/>
      <c r="B1005" s="21" t="n"/>
      <c r="C1005" s="22" t="n"/>
      <c r="D1005" s="23" t="n"/>
      <c r="E1005" s="24" t="n"/>
      <c r="F1005" s="25" t="n"/>
      <c r="G1005" s="25" t="n"/>
      <c r="H1005" s="24" t="n"/>
      <c r="I1005" s="25" t="n"/>
      <c r="J1005" s="17">
        <f>IF(AND(C1005="",D1005="",G1005=""),"",IF(NOT(ISNUMBER(B1005)),"Needs a date",IF(AND(D1005&lt;&gt;"",NOT(ISNUMBER(D1005))),"Amount not a number",IF(N(D1005)&lt;0,"Amount below zero",IF(AND(N(D1005)=0,G1005=""),"Needs an amount or goods",IF(C1005="","",IF(COUNTIF(Donors!$B$6:$B$305,C1005)=0,"Not on Donors","")))))))</f>
        <v/>
      </c>
      <c r="K1005" s="1">
        <f>IF(ISNUMBER(B1005),YEAR(B1005),"")</f>
        <v/>
      </c>
      <c r="L1005">
        <f>IF(ISNUMBER(B1005),YEAR(B1005)*100+MONTH(B1005),"")</f>
        <v/>
      </c>
      <c r="M1005">
        <f>IF(ISNUMBER(B1005),INT(B1005),0)</f>
        <v/>
      </c>
      <c r="N1005">
        <f>IF(OR(C1005="",F1005="",Q1005=0),0,IF(COUNTIFS(C$6:C1005,C1005,F$6:F1005,F1005,Q$6:Q1005,1)=1,1,0))</f>
        <v/>
      </c>
      <c r="O1005">
        <f>IF(OR(C1005="",Q1005=0,H1005&lt;&gt;""),"",M1005*10000+ROW())</f>
        <v/>
      </c>
      <c r="P1005">
        <f>IF(OR(C1005="",Q1005=0),"",IF(AND(C1005=Statement!$C$4,K1005=Statement!$C$5),M1005*10000+ROW(),""))</f>
        <v/>
      </c>
      <c r="Q1005">
        <f>IF(AND(ISNUMBER(B1005),OR(N(D1005)&gt;0,G1005&lt;&gt;"")),1,0)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1" t="n"/>
    </row>
  </sheetData>
  <conditionalFormatting sqref="J6:J1005">
    <cfRule type="expression" priority="1" dxfId="1">
      <formula>J6&lt;&gt;""</formula>
    </cfRule>
  </conditionalFormatting>
  <dataValidations count="3">
    <dataValidation sqref="C6:C1005" showDropDown="0" showInputMessage="0" showErrorMessage="0" allowBlank="1" type="list">
      <formula1>=Donors!$B$6:$B$305</formula1>
    </dataValidation>
    <dataValidation sqref="E6:E1005" showDropDown="0" showInputMessage="0" showErrorMessage="0" allowBlank="1" type="list">
      <formula1>"Cash,Check,Card,Bank transfer,Online,Goods,Other"</formula1>
    </dataValidation>
    <dataValidation sqref="F6:F1005" showDropDown="0" showInputMessage="0" showErrorMessage="0" allowBlank="1" type="list">
      <formula1>=Campaigns!$B$6:$B$25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11" customWidth="1" min="3" max="3"/>
    <col width="26" customWidth="1" min="4" max="4"/>
    <col width="28" customWidth="1" min="5" max="5"/>
    <col width="13" customWidth="1" min="6" max="6"/>
    <col width="13" customWidth="1" min="7" max="7"/>
    <col width="12" customWidth="1" min="8" max="8"/>
    <col width="12" customWidth="1" min="9" max="9"/>
    <col width="8" customWidth="1" min="10" max="10"/>
    <col width="12" customWidth="1" min="11" max="11"/>
    <col hidden="1" width="13" customWidth="1" min="13" max="13"/>
    <col hidden="1" width="13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Donors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Each donor once. Their gifts add up from the Gifts tab.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0" t="inlineStr">
        <is>
          <t>Donor</t>
        </is>
      </c>
      <c r="C5" s="10" t="inlineStr">
        <is>
          <t>Type</t>
        </is>
      </c>
      <c r="D5" s="10" t="inlineStr">
        <is>
          <t>Email</t>
        </is>
      </c>
      <c r="E5" s="10" t="inlineStr">
        <is>
          <t>Address</t>
        </is>
      </c>
      <c r="F5" s="10" t="inlineStr">
        <is>
          <t>First gift</t>
        </is>
      </c>
      <c r="G5" s="10" t="inlineStr">
        <is>
          <t>Last gift</t>
        </is>
      </c>
      <c r="H5" s="10" t="inlineStr">
        <is>
          <t>This year</t>
        </is>
      </c>
      <c r="I5" s="10" t="inlineStr">
        <is>
          <t>All time</t>
        </is>
      </c>
      <c r="J5" s="10" t="inlineStr">
        <is>
          <t>Gifts</t>
        </is>
      </c>
      <c r="K5" s="10" t="inlineStr">
        <is>
          <t>Status</t>
        </is>
      </c>
      <c r="L5" s="1" t="n"/>
    </row>
    <row r="6">
      <c r="A6" s="1" t="n"/>
      <c r="B6" s="22" t="inlineStr">
        <is>
          <t>Grace Holloway</t>
        </is>
      </c>
      <c r="C6" s="24" t="inlineStr">
        <is>
          <t>Person</t>
        </is>
      </c>
      <c r="D6" s="25" t="inlineStr">
        <is>
          <t>grace@mail.example</t>
        </is>
      </c>
      <c r="E6" s="25" t="inlineStr">
        <is>
          <t>12 Birch Road, Riverton</t>
        </is>
      </c>
      <c r="F6" s="26">
        <f>IF(OR(B6="",N(J6)=0),"",SUMPRODUCT(MIN((Gifts!$C$6:$C$1005=B6)*Gifts!$Q$6:$Q$1005*Gifts!$M$6:$M$1005+(1-(Gifts!$C$6:$C$1005=B6)*Gifts!$Q$6:$Q$1005)*1E9)))</f>
        <v/>
      </c>
      <c r="G6" s="26">
        <f>IF(OR(B6="",N(J6)=0),"",SUMPRODUCT(MAX((Gifts!$C$6:$C$1005=B6)*Gifts!$Q$6:$Q$1005*Gifts!$M$6:$M$1005)))</f>
        <v/>
      </c>
      <c r="H6" s="27">
        <f>IF(B6="","",SUMIFS(Gifts!$D$6:$D$1005,Gifts!$C$6:$C$1005,B6,Gifts!$K$6:$K$1005,Settings!$C$7,Gifts!$D$6:$D$1005,"&gt;0"))</f>
        <v/>
      </c>
      <c r="I6" s="28">
        <f>IF(B6="","",SUMIFS(Gifts!$D$6:$D$1005,Gifts!$C$6:$C$1005,B6,Gifts!$D$6:$D$1005,"&gt;0",Gifts!$M$6:$M$1005,"&gt;0"))</f>
        <v/>
      </c>
      <c r="J6" s="18">
        <f>IF(B6="","",SUMIFS(Gifts!$Q$6:$Q$1005,Gifts!$C$6:$C$1005,B6))</f>
        <v/>
      </c>
      <c r="K6" s="29">
        <f>IF(B6="","",IF(N(J6)=0,"No gifts yet",IF(AND(N(Settings!$C$9)&gt;0,G6&lt;EDATE(TODAY(),-N(Settings!$C$9))),"Lapsed",IF(YEAR(F6)=N(Settings!$C$7),"New","Active"))))</f>
        <v/>
      </c>
      <c r="L6" s="1" t="n"/>
      <c r="M6">
        <f>IF(OR(B6="",N(H6)&lt;=0),"",ROUND(H6*100,0)*1000+1000-ROW())</f>
        <v/>
      </c>
      <c r="N6">
        <f>IF(B6="","",SUMIFS(Gifts!$Q$6:$Q$1005,Gifts!$C$6:$C$1005,B6,Gifts!$K$6:$K$1005,Settings!$C$7))</f>
        <v/>
      </c>
    </row>
    <row r="7">
      <c r="A7" s="1" t="n"/>
      <c r="B7" s="22" t="inlineStr">
        <is>
          <t>Daniel Mercer</t>
        </is>
      </c>
      <c r="C7" s="24" t="inlineStr">
        <is>
          <t>Person</t>
        </is>
      </c>
      <c r="D7" s="25" t="inlineStr">
        <is>
          <t>dan.mercer@mail.example</t>
        </is>
      </c>
      <c r="E7" s="25" t="inlineStr">
        <is>
          <t>4 Quay Street, Riverton</t>
        </is>
      </c>
      <c r="F7" s="26">
        <f>IF(OR(B7="",N(J7)=0),"",SUMPRODUCT(MIN((Gifts!$C$6:$C$1005=B7)*Gifts!$Q$6:$Q$1005*Gifts!$M$6:$M$1005+(1-(Gifts!$C$6:$C$1005=B7)*Gifts!$Q$6:$Q$1005)*1E9)))</f>
        <v/>
      </c>
      <c r="G7" s="26">
        <f>IF(OR(B7="",N(J7)=0),"",SUMPRODUCT(MAX((Gifts!$C$6:$C$1005=B7)*Gifts!$Q$6:$Q$1005*Gifts!$M$6:$M$1005)))</f>
        <v/>
      </c>
      <c r="H7" s="27">
        <f>IF(B7="","",SUMIFS(Gifts!$D$6:$D$1005,Gifts!$C$6:$C$1005,B7,Gifts!$K$6:$K$1005,Settings!$C$7,Gifts!$D$6:$D$1005,"&gt;0"))</f>
        <v/>
      </c>
      <c r="I7" s="28">
        <f>IF(B7="","",SUMIFS(Gifts!$D$6:$D$1005,Gifts!$C$6:$C$1005,B7,Gifts!$D$6:$D$1005,"&gt;0",Gifts!$M$6:$M$1005,"&gt;0"))</f>
        <v/>
      </c>
      <c r="J7" s="18">
        <f>IF(B7="","",SUMIFS(Gifts!$Q$6:$Q$1005,Gifts!$C$6:$C$1005,B7))</f>
        <v/>
      </c>
      <c r="K7" s="29">
        <f>IF(B7="","",IF(N(J7)=0,"No gifts yet",IF(AND(N(Settings!$C$9)&gt;0,G7&lt;EDATE(TODAY(),-N(Settings!$C$9))),"Lapsed",IF(YEAR(F7)=N(Settings!$C$7),"New","Active"))))</f>
        <v/>
      </c>
      <c r="L7" s="1" t="n"/>
      <c r="M7">
        <f>IF(OR(B7="",N(H7)&lt;=0),"",ROUND(H7*100,0)*1000+1000-ROW())</f>
        <v/>
      </c>
      <c r="N7">
        <f>IF(B7="","",SUMIFS(Gifts!$Q$6:$Q$1005,Gifts!$C$6:$C$1005,B7,Gifts!$K$6:$K$1005,Settings!$C$7))</f>
        <v/>
      </c>
    </row>
    <row r="8">
      <c r="A8" s="1" t="n"/>
      <c r="B8" s="22" t="inlineStr">
        <is>
          <t>Riverton Hardware</t>
        </is>
      </c>
      <c r="C8" s="24" t="inlineStr">
        <is>
          <t>Business</t>
        </is>
      </c>
      <c r="D8" s="25" t="inlineStr">
        <is>
          <t>shop@rivertonhardware.example</t>
        </is>
      </c>
      <c r="E8" s="25" t="inlineStr">
        <is>
          <t>88 High Street, Riverton</t>
        </is>
      </c>
      <c r="F8" s="26">
        <f>IF(OR(B8="",N(J8)=0),"",SUMPRODUCT(MIN((Gifts!$C$6:$C$1005=B8)*Gifts!$Q$6:$Q$1005*Gifts!$M$6:$M$1005+(1-(Gifts!$C$6:$C$1005=B8)*Gifts!$Q$6:$Q$1005)*1E9)))</f>
        <v/>
      </c>
      <c r="G8" s="26">
        <f>IF(OR(B8="",N(J8)=0),"",SUMPRODUCT(MAX((Gifts!$C$6:$C$1005=B8)*Gifts!$Q$6:$Q$1005*Gifts!$M$6:$M$1005)))</f>
        <v/>
      </c>
      <c r="H8" s="27">
        <f>IF(B8="","",SUMIFS(Gifts!$D$6:$D$1005,Gifts!$C$6:$C$1005,B8,Gifts!$K$6:$K$1005,Settings!$C$7,Gifts!$D$6:$D$1005,"&gt;0"))</f>
        <v/>
      </c>
      <c r="I8" s="28">
        <f>IF(B8="","",SUMIFS(Gifts!$D$6:$D$1005,Gifts!$C$6:$C$1005,B8,Gifts!$D$6:$D$1005,"&gt;0",Gifts!$M$6:$M$1005,"&gt;0"))</f>
        <v/>
      </c>
      <c r="J8" s="18">
        <f>IF(B8="","",SUMIFS(Gifts!$Q$6:$Q$1005,Gifts!$C$6:$C$1005,B8))</f>
        <v/>
      </c>
      <c r="K8" s="29">
        <f>IF(B8="","",IF(N(J8)=0,"No gifts yet",IF(AND(N(Settings!$C$9)&gt;0,G8&lt;EDATE(TODAY(),-N(Settings!$C$9))),"Lapsed",IF(YEAR(F8)=N(Settings!$C$7),"New","Active"))))</f>
        <v/>
      </c>
      <c r="L8" s="1" t="n"/>
      <c r="M8">
        <f>IF(OR(B8="",N(H8)&lt;=0),"",ROUND(H8*100,0)*1000+1000-ROW())</f>
        <v/>
      </c>
      <c r="N8">
        <f>IF(B8="","",SUMIFS(Gifts!$Q$6:$Q$1005,Gifts!$C$6:$C$1005,B8,Gifts!$K$6:$K$1005,Settings!$C$7))</f>
        <v/>
      </c>
    </row>
    <row r="9">
      <c r="A9" s="1" t="n"/>
      <c r="B9" s="22" t="inlineStr">
        <is>
          <t>Amina Yusuf</t>
        </is>
      </c>
      <c r="C9" s="24" t="inlineStr">
        <is>
          <t>Person</t>
        </is>
      </c>
      <c r="D9" s="25" t="inlineStr">
        <is>
          <t>amina.y@mail.example</t>
        </is>
      </c>
      <c r="E9" s="25" t="inlineStr">
        <is>
          <t>31 Elm Close, Riverton</t>
        </is>
      </c>
      <c r="F9" s="26">
        <f>IF(OR(B9="",N(J9)=0),"",SUMPRODUCT(MIN((Gifts!$C$6:$C$1005=B9)*Gifts!$Q$6:$Q$1005*Gifts!$M$6:$M$1005+(1-(Gifts!$C$6:$C$1005=B9)*Gifts!$Q$6:$Q$1005)*1E9)))</f>
        <v/>
      </c>
      <c r="G9" s="26">
        <f>IF(OR(B9="",N(J9)=0),"",SUMPRODUCT(MAX((Gifts!$C$6:$C$1005=B9)*Gifts!$Q$6:$Q$1005*Gifts!$M$6:$M$1005)))</f>
        <v/>
      </c>
      <c r="H9" s="27">
        <f>IF(B9="","",SUMIFS(Gifts!$D$6:$D$1005,Gifts!$C$6:$C$1005,B9,Gifts!$K$6:$K$1005,Settings!$C$7,Gifts!$D$6:$D$1005,"&gt;0"))</f>
        <v/>
      </c>
      <c r="I9" s="28">
        <f>IF(B9="","",SUMIFS(Gifts!$D$6:$D$1005,Gifts!$C$6:$C$1005,B9,Gifts!$D$6:$D$1005,"&gt;0",Gifts!$M$6:$M$1005,"&gt;0"))</f>
        <v/>
      </c>
      <c r="J9" s="18">
        <f>IF(B9="","",SUMIFS(Gifts!$Q$6:$Q$1005,Gifts!$C$6:$C$1005,B9))</f>
        <v/>
      </c>
      <c r="K9" s="29">
        <f>IF(B9="","",IF(N(J9)=0,"No gifts yet",IF(AND(N(Settings!$C$9)&gt;0,G9&lt;EDATE(TODAY(),-N(Settings!$C$9))),"Lapsed",IF(YEAR(F9)=N(Settings!$C$7),"New","Active"))))</f>
        <v/>
      </c>
      <c r="L9" s="1" t="n"/>
      <c r="M9">
        <f>IF(OR(B9="",N(H9)&lt;=0),"",ROUND(H9*100,0)*1000+1000-ROW())</f>
        <v/>
      </c>
      <c r="N9">
        <f>IF(B9="","",SUMIFS(Gifts!$Q$6:$Q$1005,Gifts!$C$6:$C$1005,B9,Gifts!$K$6:$K$1005,Settings!$C$7))</f>
        <v/>
      </c>
    </row>
    <row r="10">
      <c r="A10" s="1" t="n"/>
      <c r="B10" s="22" t="inlineStr">
        <is>
          <t>St Luke's Youth Group</t>
        </is>
      </c>
      <c r="C10" s="24" t="inlineStr">
        <is>
          <t>Group</t>
        </is>
      </c>
      <c r="D10" s="25" t="n"/>
      <c r="E10" s="25" t="inlineStr">
        <is>
          <t>Church Lane, Riverton</t>
        </is>
      </c>
      <c r="F10" s="26">
        <f>IF(OR(B10="",N(J10)=0),"",SUMPRODUCT(MIN((Gifts!$C$6:$C$1005=B10)*Gifts!$Q$6:$Q$1005*Gifts!$M$6:$M$1005+(1-(Gifts!$C$6:$C$1005=B10)*Gifts!$Q$6:$Q$1005)*1E9)))</f>
        <v/>
      </c>
      <c r="G10" s="26">
        <f>IF(OR(B10="",N(J10)=0),"",SUMPRODUCT(MAX((Gifts!$C$6:$C$1005=B10)*Gifts!$Q$6:$Q$1005*Gifts!$M$6:$M$1005)))</f>
        <v/>
      </c>
      <c r="H10" s="27">
        <f>IF(B10="","",SUMIFS(Gifts!$D$6:$D$1005,Gifts!$C$6:$C$1005,B10,Gifts!$K$6:$K$1005,Settings!$C$7,Gifts!$D$6:$D$1005,"&gt;0"))</f>
        <v/>
      </c>
      <c r="I10" s="28">
        <f>IF(B10="","",SUMIFS(Gifts!$D$6:$D$1005,Gifts!$C$6:$C$1005,B10,Gifts!$D$6:$D$1005,"&gt;0",Gifts!$M$6:$M$1005,"&gt;0"))</f>
        <v/>
      </c>
      <c r="J10" s="18">
        <f>IF(B10="","",SUMIFS(Gifts!$Q$6:$Q$1005,Gifts!$C$6:$C$1005,B10))</f>
        <v/>
      </c>
      <c r="K10" s="29">
        <f>IF(B10="","",IF(N(J10)=0,"No gifts yet",IF(AND(N(Settings!$C$9)&gt;0,G10&lt;EDATE(TODAY(),-N(Settings!$C$9))),"Lapsed",IF(YEAR(F10)=N(Settings!$C$7),"New","Active"))))</f>
        <v/>
      </c>
      <c r="L10" s="1" t="n"/>
      <c r="M10">
        <f>IF(OR(B10="",N(H10)&lt;=0),"",ROUND(H10*100,0)*1000+1000-ROW())</f>
        <v/>
      </c>
      <c r="N10">
        <f>IF(B10="","",SUMIFS(Gifts!$Q$6:$Q$1005,Gifts!$C$6:$C$1005,B10,Gifts!$K$6:$K$1005,Settings!$C$7))</f>
        <v/>
      </c>
    </row>
    <row r="11">
      <c r="A11" s="1" t="n"/>
      <c r="B11" s="22" t="inlineStr">
        <is>
          <t>Tom and Jess Carter</t>
        </is>
      </c>
      <c r="C11" s="24" t="inlineStr">
        <is>
          <t>Person</t>
        </is>
      </c>
      <c r="D11" s="25" t="inlineStr">
        <is>
          <t>carters@mail.example</t>
        </is>
      </c>
      <c r="E11" s="25" t="inlineStr">
        <is>
          <t>7 Mill Yard, Riverton</t>
        </is>
      </c>
      <c r="F11" s="26">
        <f>IF(OR(B11="",N(J11)=0),"",SUMPRODUCT(MIN((Gifts!$C$6:$C$1005=B11)*Gifts!$Q$6:$Q$1005*Gifts!$M$6:$M$1005+(1-(Gifts!$C$6:$C$1005=B11)*Gifts!$Q$6:$Q$1005)*1E9)))</f>
        <v/>
      </c>
      <c r="G11" s="26">
        <f>IF(OR(B11="",N(J11)=0),"",SUMPRODUCT(MAX((Gifts!$C$6:$C$1005=B11)*Gifts!$Q$6:$Q$1005*Gifts!$M$6:$M$1005)))</f>
        <v/>
      </c>
      <c r="H11" s="27">
        <f>IF(B11="","",SUMIFS(Gifts!$D$6:$D$1005,Gifts!$C$6:$C$1005,B11,Gifts!$K$6:$K$1005,Settings!$C$7,Gifts!$D$6:$D$1005,"&gt;0"))</f>
        <v/>
      </c>
      <c r="I11" s="28">
        <f>IF(B11="","",SUMIFS(Gifts!$D$6:$D$1005,Gifts!$C$6:$C$1005,B11,Gifts!$D$6:$D$1005,"&gt;0",Gifts!$M$6:$M$1005,"&gt;0"))</f>
        <v/>
      </c>
      <c r="J11" s="18">
        <f>IF(B11="","",SUMIFS(Gifts!$Q$6:$Q$1005,Gifts!$C$6:$C$1005,B11))</f>
        <v/>
      </c>
      <c r="K11" s="29">
        <f>IF(B11="","",IF(N(J11)=0,"No gifts yet",IF(AND(N(Settings!$C$9)&gt;0,G11&lt;EDATE(TODAY(),-N(Settings!$C$9))),"Lapsed",IF(YEAR(F11)=N(Settings!$C$7),"New","Active"))))</f>
        <v/>
      </c>
      <c r="L11" s="1" t="n"/>
      <c r="M11">
        <f>IF(OR(B11="",N(H11)&lt;=0),"",ROUND(H11*100,0)*1000+1000-ROW())</f>
        <v/>
      </c>
      <c r="N11">
        <f>IF(B11="","",SUMIFS(Gifts!$Q$6:$Q$1005,Gifts!$C$6:$C$1005,B11,Gifts!$K$6:$K$1005,Settings!$C$7))</f>
        <v/>
      </c>
    </row>
    <row r="12">
      <c r="A12" s="1" t="n"/>
      <c r="B12" s="22" t="inlineStr">
        <is>
          <t>Corner Bakery</t>
        </is>
      </c>
      <c r="C12" s="24" t="inlineStr">
        <is>
          <t>Business</t>
        </is>
      </c>
      <c r="D12" s="25" t="inlineStr">
        <is>
          <t>hello@cornerbakery.example</t>
        </is>
      </c>
      <c r="E12" s="25" t="inlineStr">
        <is>
          <t>2 Market Square, Riverton</t>
        </is>
      </c>
      <c r="F12" s="26">
        <f>IF(OR(B12="",N(J12)=0),"",SUMPRODUCT(MIN((Gifts!$C$6:$C$1005=B12)*Gifts!$Q$6:$Q$1005*Gifts!$M$6:$M$1005+(1-(Gifts!$C$6:$C$1005=B12)*Gifts!$Q$6:$Q$1005)*1E9)))</f>
        <v/>
      </c>
      <c r="G12" s="26">
        <f>IF(OR(B12="",N(J12)=0),"",SUMPRODUCT(MAX((Gifts!$C$6:$C$1005=B12)*Gifts!$Q$6:$Q$1005*Gifts!$M$6:$M$1005)))</f>
        <v/>
      </c>
      <c r="H12" s="27">
        <f>IF(B12="","",SUMIFS(Gifts!$D$6:$D$1005,Gifts!$C$6:$C$1005,B12,Gifts!$K$6:$K$1005,Settings!$C$7,Gifts!$D$6:$D$1005,"&gt;0"))</f>
        <v/>
      </c>
      <c r="I12" s="28">
        <f>IF(B12="","",SUMIFS(Gifts!$D$6:$D$1005,Gifts!$C$6:$C$1005,B12,Gifts!$D$6:$D$1005,"&gt;0",Gifts!$M$6:$M$1005,"&gt;0"))</f>
        <v/>
      </c>
      <c r="J12" s="18">
        <f>IF(B12="","",SUMIFS(Gifts!$Q$6:$Q$1005,Gifts!$C$6:$C$1005,B12))</f>
        <v/>
      </c>
      <c r="K12" s="29">
        <f>IF(B12="","",IF(N(J12)=0,"No gifts yet",IF(AND(N(Settings!$C$9)&gt;0,G12&lt;EDATE(TODAY(),-N(Settings!$C$9))),"Lapsed",IF(YEAR(F12)=N(Settings!$C$7),"New","Active"))))</f>
        <v/>
      </c>
      <c r="L12" s="1" t="n"/>
      <c r="M12">
        <f>IF(OR(B12="",N(H12)&lt;=0),"",ROUND(H12*100,0)*1000+1000-ROW())</f>
        <v/>
      </c>
      <c r="N12">
        <f>IF(B12="","",SUMIFS(Gifts!$Q$6:$Q$1005,Gifts!$C$6:$C$1005,B12,Gifts!$K$6:$K$1005,Settings!$C$7))</f>
        <v/>
      </c>
    </row>
    <row r="13">
      <c r="A13" s="1" t="n"/>
      <c r="B13" s="22" t="inlineStr">
        <is>
          <t>Helen Price</t>
        </is>
      </c>
      <c r="C13" s="24" t="inlineStr">
        <is>
          <t>Person</t>
        </is>
      </c>
      <c r="D13" s="25" t="n"/>
      <c r="E13" s="25" t="inlineStr">
        <is>
          <t>19 Orchard Way, Riverton</t>
        </is>
      </c>
      <c r="F13" s="26">
        <f>IF(OR(B13="",N(J13)=0),"",SUMPRODUCT(MIN((Gifts!$C$6:$C$1005=B13)*Gifts!$Q$6:$Q$1005*Gifts!$M$6:$M$1005+(1-(Gifts!$C$6:$C$1005=B13)*Gifts!$Q$6:$Q$1005)*1E9)))</f>
        <v/>
      </c>
      <c r="G13" s="26">
        <f>IF(OR(B13="",N(J13)=0),"",SUMPRODUCT(MAX((Gifts!$C$6:$C$1005=B13)*Gifts!$Q$6:$Q$1005*Gifts!$M$6:$M$1005)))</f>
        <v/>
      </c>
      <c r="H13" s="27">
        <f>IF(B13="","",SUMIFS(Gifts!$D$6:$D$1005,Gifts!$C$6:$C$1005,B13,Gifts!$K$6:$K$1005,Settings!$C$7,Gifts!$D$6:$D$1005,"&gt;0"))</f>
        <v/>
      </c>
      <c r="I13" s="28">
        <f>IF(B13="","",SUMIFS(Gifts!$D$6:$D$1005,Gifts!$C$6:$C$1005,B13,Gifts!$D$6:$D$1005,"&gt;0",Gifts!$M$6:$M$1005,"&gt;0"))</f>
        <v/>
      </c>
      <c r="J13" s="18">
        <f>IF(B13="","",SUMIFS(Gifts!$Q$6:$Q$1005,Gifts!$C$6:$C$1005,B13))</f>
        <v/>
      </c>
      <c r="K13" s="29">
        <f>IF(B13="","",IF(N(J13)=0,"No gifts yet",IF(AND(N(Settings!$C$9)&gt;0,G13&lt;EDATE(TODAY(),-N(Settings!$C$9))),"Lapsed",IF(YEAR(F13)=N(Settings!$C$7),"New","Active"))))</f>
        <v/>
      </c>
      <c r="L13" s="1" t="n"/>
      <c r="M13">
        <f>IF(OR(B13="",N(H13)&lt;=0),"",ROUND(H13*100,0)*1000+1000-ROW())</f>
        <v/>
      </c>
      <c r="N13">
        <f>IF(B13="","",SUMIFS(Gifts!$Q$6:$Q$1005,Gifts!$C$6:$C$1005,B13,Gifts!$K$6:$K$1005,Settings!$C$7))</f>
        <v/>
      </c>
    </row>
    <row r="14">
      <c r="A14" s="1" t="n"/>
      <c r="B14" s="22" t="inlineStr">
        <is>
          <t>Ravi Patel</t>
        </is>
      </c>
      <c r="C14" s="24" t="inlineStr">
        <is>
          <t>Person</t>
        </is>
      </c>
      <c r="D14" s="25" t="inlineStr">
        <is>
          <t>ravi.patel@mail.example</t>
        </is>
      </c>
      <c r="E14" s="25" t="inlineStr">
        <is>
          <t>5 Station Road, Riverton</t>
        </is>
      </c>
      <c r="F14" s="26">
        <f>IF(OR(B14="",N(J14)=0),"",SUMPRODUCT(MIN((Gifts!$C$6:$C$1005=B14)*Gifts!$Q$6:$Q$1005*Gifts!$M$6:$M$1005+(1-(Gifts!$C$6:$C$1005=B14)*Gifts!$Q$6:$Q$1005)*1E9)))</f>
        <v/>
      </c>
      <c r="G14" s="26">
        <f>IF(OR(B14="",N(J14)=0),"",SUMPRODUCT(MAX((Gifts!$C$6:$C$1005=B14)*Gifts!$Q$6:$Q$1005*Gifts!$M$6:$M$1005)))</f>
        <v/>
      </c>
      <c r="H14" s="27">
        <f>IF(B14="","",SUMIFS(Gifts!$D$6:$D$1005,Gifts!$C$6:$C$1005,B14,Gifts!$K$6:$K$1005,Settings!$C$7,Gifts!$D$6:$D$1005,"&gt;0"))</f>
        <v/>
      </c>
      <c r="I14" s="28">
        <f>IF(B14="","",SUMIFS(Gifts!$D$6:$D$1005,Gifts!$C$6:$C$1005,B14,Gifts!$D$6:$D$1005,"&gt;0",Gifts!$M$6:$M$1005,"&gt;0"))</f>
        <v/>
      </c>
      <c r="J14" s="18">
        <f>IF(B14="","",SUMIFS(Gifts!$Q$6:$Q$1005,Gifts!$C$6:$C$1005,B14))</f>
        <v/>
      </c>
      <c r="K14" s="29">
        <f>IF(B14="","",IF(N(J14)=0,"No gifts yet",IF(AND(N(Settings!$C$9)&gt;0,G14&lt;EDATE(TODAY(),-N(Settings!$C$9))),"Lapsed",IF(YEAR(F14)=N(Settings!$C$7),"New","Active"))))</f>
        <v/>
      </c>
      <c r="L14" s="1" t="n"/>
      <c r="M14">
        <f>IF(OR(B14="",N(H14)&lt;=0),"",ROUND(H14*100,0)*1000+1000-ROW())</f>
        <v/>
      </c>
      <c r="N14">
        <f>IF(B14="","",SUMIFS(Gifts!$Q$6:$Q$1005,Gifts!$C$6:$C$1005,B14,Gifts!$K$6:$K$1005,Settings!$C$7))</f>
        <v/>
      </c>
    </row>
    <row r="15">
      <c r="A15" s="1" t="n"/>
      <c r="B15" s="22" t="inlineStr">
        <is>
          <t>Riverton Rotary</t>
        </is>
      </c>
      <c r="C15" s="24" t="inlineStr">
        <is>
          <t>Group</t>
        </is>
      </c>
      <c r="D15" s="25" t="inlineStr">
        <is>
          <t>rotary@mail.example</t>
        </is>
      </c>
      <c r="E15" s="25" t="n"/>
      <c r="F15" s="26">
        <f>IF(OR(B15="",N(J15)=0),"",SUMPRODUCT(MIN((Gifts!$C$6:$C$1005=B15)*Gifts!$Q$6:$Q$1005*Gifts!$M$6:$M$1005+(1-(Gifts!$C$6:$C$1005=B15)*Gifts!$Q$6:$Q$1005)*1E9)))</f>
        <v/>
      </c>
      <c r="G15" s="26">
        <f>IF(OR(B15="",N(J15)=0),"",SUMPRODUCT(MAX((Gifts!$C$6:$C$1005=B15)*Gifts!$Q$6:$Q$1005*Gifts!$M$6:$M$1005)))</f>
        <v/>
      </c>
      <c r="H15" s="27">
        <f>IF(B15="","",SUMIFS(Gifts!$D$6:$D$1005,Gifts!$C$6:$C$1005,B15,Gifts!$K$6:$K$1005,Settings!$C$7,Gifts!$D$6:$D$1005,"&gt;0"))</f>
        <v/>
      </c>
      <c r="I15" s="28">
        <f>IF(B15="","",SUMIFS(Gifts!$D$6:$D$1005,Gifts!$C$6:$C$1005,B15,Gifts!$D$6:$D$1005,"&gt;0",Gifts!$M$6:$M$1005,"&gt;0"))</f>
        <v/>
      </c>
      <c r="J15" s="18">
        <f>IF(B15="","",SUMIFS(Gifts!$Q$6:$Q$1005,Gifts!$C$6:$C$1005,B15))</f>
        <v/>
      </c>
      <c r="K15" s="29">
        <f>IF(B15="","",IF(N(J15)=0,"No gifts yet",IF(AND(N(Settings!$C$9)&gt;0,G15&lt;EDATE(TODAY(),-N(Settings!$C$9))),"Lapsed",IF(YEAR(F15)=N(Settings!$C$7),"New","Active"))))</f>
        <v/>
      </c>
      <c r="L15" s="1" t="n"/>
      <c r="M15">
        <f>IF(OR(B15="",N(H15)&lt;=0),"",ROUND(H15*100,0)*1000+1000-ROW())</f>
        <v/>
      </c>
      <c r="N15">
        <f>IF(B15="","",SUMIFS(Gifts!$Q$6:$Q$1005,Gifts!$C$6:$C$1005,B15,Gifts!$K$6:$K$1005,Settings!$C$7))</f>
        <v/>
      </c>
    </row>
    <row r="16">
      <c r="A16" s="1" t="n"/>
      <c r="B16" s="22" t="inlineStr">
        <is>
          <t>Sofia Rossi</t>
        </is>
      </c>
      <c r="C16" s="24" t="inlineStr">
        <is>
          <t>Person</t>
        </is>
      </c>
      <c r="D16" s="25" t="inlineStr">
        <is>
          <t>sofia.r@mail.example</t>
        </is>
      </c>
      <c r="E16" s="25" t="inlineStr">
        <is>
          <t>40 Hill Street, Riverton</t>
        </is>
      </c>
      <c r="F16" s="26">
        <f>IF(OR(B16="",N(J16)=0),"",SUMPRODUCT(MIN((Gifts!$C$6:$C$1005=B16)*Gifts!$Q$6:$Q$1005*Gifts!$M$6:$M$1005+(1-(Gifts!$C$6:$C$1005=B16)*Gifts!$Q$6:$Q$1005)*1E9)))</f>
        <v/>
      </c>
      <c r="G16" s="26">
        <f>IF(OR(B16="",N(J16)=0),"",SUMPRODUCT(MAX((Gifts!$C$6:$C$1005=B16)*Gifts!$Q$6:$Q$1005*Gifts!$M$6:$M$1005)))</f>
        <v/>
      </c>
      <c r="H16" s="27">
        <f>IF(B16="","",SUMIFS(Gifts!$D$6:$D$1005,Gifts!$C$6:$C$1005,B16,Gifts!$K$6:$K$1005,Settings!$C$7,Gifts!$D$6:$D$1005,"&gt;0"))</f>
        <v/>
      </c>
      <c r="I16" s="28">
        <f>IF(B16="","",SUMIFS(Gifts!$D$6:$D$1005,Gifts!$C$6:$C$1005,B16,Gifts!$D$6:$D$1005,"&gt;0",Gifts!$M$6:$M$1005,"&gt;0"))</f>
        <v/>
      </c>
      <c r="J16" s="18">
        <f>IF(B16="","",SUMIFS(Gifts!$Q$6:$Q$1005,Gifts!$C$6:$C$1005,B16))</f>
        <v/>
      </c>
      <c r="K16" s="29">
        <f>IF(B16="","",IF(N(J16)=0,"No gifts yet",IF(AND(N(Settings!$C$9)&gt;0,G16&lt;EDATE(TODAY(),-N(Settings!$C$9))),"Lapsed",IF(YEAR(F16)=N(Settings!$C$7),"New","Active"))))</f>
        <v/>
      </c>
      <c r="L16" s="1" t="n"/>
      <c r="M16">
        <f>IF(OR(B16="",N(H16)&lt;=0),"",ROUND(H16*100,0)*1000+1000-ROW())</f>
        <v/>
      </c>
      <c r="N16">
        <f>IF(B16="","",SUMIFS(Gifts!$Q$6:$Q$1005,Gifts!$C$6:$C$1005,B16,Gifts!$K$6:$K$1005,Settings!$C$7))</f>
        <v/>
      </c>
    </row>
    <row r="17">
      <c r="A17" s="1" t="n"/>
      <c r="B17" s="22" t="inlineStr">
        <is>
          <t>Old Mill Trust</t>
        </is>
      </c>
      <c r="C17" s="24" t="inlineStr">
        <is>
          <t>Foundation</t>
        </is>
      </c>
      <c r="D17" s="25" t="inlineStr">
        <is>
          <t>grants@oldmill.example</t>
        </is>
      </c>
      <c r="E17" s="25" t="inlineStr">
        <is>
          <t>The Old Mill, Riverton</t>
        </is>
      </c>
      <c r="F17" s="26">
        <f>IF(OR(B17="",N(J17)=0),"",SUMPRODUCT(MIN((Gifts!$C$6:$C$1005=B17)*Gifts!$Q$6:$Q$1005*Gifts!$M$6:$M$1005+(1-(Gifts!$C$6:$C$1005=B17)*Gifts!$Q$6:$Q$1005)*1E9)))</f>
        <v/>
      </c>
      <c r="G17" s="26">
        <f>IF(OR(B17="",N(J17)=0),"",SUMPRODUCT(MAX((Gifts!$C$6:$C$1005=B17)*Gifts!$Q$6:$Q$1005*Gifts!$M$6:$M$1005)))</f>
        <v/>
      </c>
      <c r="H17" s="27">
        <f>IF(B17="","",SUMIFS(Gifts!$D$6:$D$1005,Gifts!$C$6:$C$1005,B17,Gifts!$K$6:$K$1005,Settings!$C$7,Gifts!$D$6:$D$1005,"&gt;0"))</f>
        <v/>
      </c>
      <c r="I17" s="28">
        <f>IF(B17="","",SUMIFS(Gifts!$D$6:$D$1005,Gifts!$C$6:$C$1005,B17,Gifts!$D$6:$D$1005,"&gt;0",Gifts!$M$6:$M$1005,"&gt;0"))</f>
        <v/>
      </c>
      <c r="J17" s="18">
        <f>IF(B17="","",SUMIFS(Gifts!$Q$6:$Q$1005,Gifts!$C$6:$C$1005,B17))</f>
        <v/>
      </c>
      <c r="K17" s="29">
        <f>IF(B17="","",IF(N(J17)=0,"No gifts yet",IF(AND(N(Settings!$C$9)&gt;0,G17&lt;EDATE(TODAY(),-N(Settings!$C$9))),"Lapsed",IF(YEAR(F17)=N(Settings!$C$7),"New","Active"))))</f>
        <v/>
      </c>
      <c r="L17" s="1" t="n"/>
      <c r="M17">
        <f>IF(OR(B17="",N(H17)&lt;=0),"",ROUND(H17*100,0)*1000+1000-ROW())</f>
        <v/>
      </c>
      <c r="N17">
        <f>IF(B17="","",SUMIFS(Gifts!$Q$6:$Q$1005,Gifts!$C$6:$C$1005,B17,Gifts!$K$6:$K$1005,Settings!$C$7))</f>
        <v/>
      </c>
    </row>
    <row r="18">
      <c r="A18" s="1" t="n"/>
      <c r="B18" s="22" t="n"/>
      <c r="C18" s="24" t="n"/>
      <c r="D18" s="25" t="n"/>
      <c r="E18" s="25" t="n"/>
      <c r="F18" s="26">
        <f>IF(OR(B18="",N(J18)=0),"",SUMPRODUCT(MIN((Gifts!$C$6:$C$1005=B18)*Gifts!$Q$6:$Q$1005*Gifts!$M$6:$M$1005+(1-(Gifts!$C$6:$C$1005=B18)*Gifts!$Q$6:$Q$1005)*1E9)))</f>
        <v/>
      </c>
      <c r="G18" s="26">
        <f>IF(OR(B18="",N(J18)=0),"",SUMPRODUCT(MAX((Gifts!$C$6:$C$1005=B18)*Gifts!$Q$6:$Q$1005*Gifts!$M$6:$M$1005)))</f>
        <v/>
      </c>
      <c r="H18" s="27">
        <f>IF(B18="","",SUMIFS(Gifts!$D$6:$D$1005,Gifts!$C$6:$C$1005,B18,Gifts!$K$6:$K$1005,Settings!$C$7,Gifts!$D$6:$D$1005,"&gt;0"))</f>
        <v/>
      </c>
      <c r="I18" s="28">
        <f>IF(B18="","",SUMIFS(Gifts!$D$6:$D$1005,Gifts!$C$6:$C$1005,B18,Gifts!$D$6:$D$1005,"&gt;0",Gifts!$M$6:$M$1005,"&gt;0"))</f>
        <v/>
      </c>
      <c r="J18" s="18">
        <f>IF(B18="","",SUMIFS(Gifts!$Q$6:$Q$1005,Gifts!$C$6:$C$1005,B18))</f>
        <v/>
      </c>
      <c r="K18" s="29">
        <f>IF(B18="","",IF(N(J18)=0,"No gifts yet",IF(AND(N(Settings!$C$9)&gt;0,G18&lt;EDATE(TODAY(),-N(Settings!$C$9))),"Lapsed",IF(YEAR(F18)=N(Settings!$C$7),"New","Active"))))</f>
        <v/>
      </c>
      <c r="L18" s="1" t="n"/>
      <c r="M18">
        <f>IF(OR(B18="",N(H18)&lt;=0),"",ROUND(H18*100,0)*1000+1000-ROW())</f>
        <v/>
      </c>
      <c r="N18">
        <f>IF(B18="","",SUMIFS(Gifts!$Q$6:$Q$1005,Gifts!$C$6:$C$1005,B18,Gifts!$K$6:$K$1005,Settings!$C$7))</f>
        <v/>
      </c>
    </row>
    <row r="19">
      <c r="A19" s="1" t="n"/>
      <c r="B19" s="22" t="n"/>
      <c r="C19" s="24" t="n"/>
      <c r="D19" s="25" t="n"/>
      <c r="E19" s="25" t="n"/>
      <c r="F19" s="26">
        <f>IF(OR(B19="",N(J19)=0),"",SUMPRODUCT(MIN((Gifts!$C$6:$C$1005=B19)*Gifts!$Q$6:$Q$1005*Gifts!$M$6:$M$1005+(1-(Gifts!$C$6:$C$1005=B19)*Gifts!$Q$6:$Q$1005)*1E9)))</f>
        <v/>
      </c>
      <c r="G19" s="26">
        <f>IF(OR(B19="",N(J19)=0),"",SUMPRODUCT(MAX((Gifts!$C$6:$C$1005=B19)*Gifts!$Q$6:$Q$1005*Gifts!$M$6:$M$1005)))</f>
        <v/>
      </c>
      <c r="H19" s="27">
        <f>IF(B19="","",SUMIFS(Gifts!$D$6:$D$1005,Gifts!$C$6:$C$1005,B19,Gifts!$K$6:$K$1005,Settings!$C$7,Gifts!$D$6:$D$1005,"&gt;0"))</f>
        <v/>
      </c>
      <c r="I19" s="28">
        <f>IF(B19="","",SUMIFS(Gifts!$D$6:$D$1005,Gifts!$C$6:$C$1005,B19,Gifts!$D$6:$D$1005,"&gt;0",Gifts!$M$6:$M$1005,"&gt;0"))</f>
        <v/>
      </c>
      <c r="J19" s="18">
        <f>IF(B19="","",SUMIFS(Gifts!$Q$6:$Q$1005,Gifts!$C$6:$C$1005,B19))</f>
        <v/>
      </c>
      <c r="K19" s="29">
        <f>IF(B19="","",IF(N(J19)=0,"No gifts yet",IF(AND(N(Settings!$C$9)&gt;0,G19&lt;EDATE(TODAY(),-N(Settings!$C$9))),"Lapsed",IF(YEAR(F19)=N(Settings!$C$7),"New","Active"))))</f>
        <v/>
      </c>
      <c r="L19" s="1" t="n"/>
      <c r="M19">
        <f>IF(OR(B19="",N(H19)&lt;=0),"",ROUND(H19*100,0)*1000+1000-ROW())</f>
        <v/>
      </c>
      <c r="N19">
        <f>IF(B19="","",SUMIFS(Gifts!$Q$6:$Q$1005,Gifts!$C$6:$C$1005,B19,Gifts!$K$6:$K$1005,Settings!$C$7))</f>
        <v/>
      </c>
    </row>
    <row r="20">
      <c r="A20" s="1" t="n"/>
      <c r="B20" s="22" t="n"/>
      <c r="C20" s="24" t="n"/>
      <c r="D20" s="25" t="n"/>
      <c r="E20" s="25" t="n"/>
      <c r="F20" s="26">
        <f>IF(OR(B20="",N(J20)=0),"",SUMPRODUCT(MIN((Gifts!$C$6:$C$1005=B20)*Gifts!$Q$6:$Q$1005*Gifts!$M$6:$M$1005+(1-(Gifts!$C$6:$C$1005=B20)*Gifts!$Q$6:$Q$1005)*1E9)))</f>
        <v/>
      </c>
      <c r="G20" s="26">
        <f>IF(OR(B20="",N(J20)=0),"",SUMPRODUCT(MAX((Gifts!$C$6:$C$1005=B20)*Gifts!$Q$6:$Q$1005*Gifts!$M$6:$M$1005)))</f>
        <v/>
      </c>
      <c r="H20" s="27">
        <f>IF(B20="","",SUMIFS(Gifts!$D$6:$D$1005,Gifts!$C$6:$C$1005,B20,Gifts!$K$6:$K$1005,Settings!$C$7,Gifts!$D$6:$D$1005,"&gt;0"))</f>
        <v/>
      </c>
      <c r="I20" s="28">
        <f>IF(B20="","",SUMIFS(Gifts!$D$6:$D$1005,Gifts!$C$6:$C$1005,B20,Gifts!$D$6:$D$1005,"&gt;0",Gifts!$M$6:$M$1005,"&gt;0"))</f>
        <v/>
      </c>
      <c r="J20" s="18">
        <f>IF(B20="","",SUMIFS(Gifts!$Q$6:$Q$1005,Gifts!$C$6:$C$1005,B20))</f>
        <v/>
      </c>
      <c r="K20" s="29">
        <f>IF(B20="","",IF(N(J20)=0,"No gifts yet",IF(AND(N(Settings!$C$9)&gt;0,G20&lt;EDATE(TODAY(),-N(Settings!$C$9))),"Lapsed",IF(YEAR(F20)=N(Settings!$C$7),"New","Active"))))</f>
        <v/>
      </c>
      <c r="L20" s="1" t="n"/>
      <c r="M20">
        <f>IF(OR(B20="",N(H20)&lt;=0),"",ROUND(H20*100,0)*1000+1000-ROW())</f>
        <v/>
      </c>
      <c r="N20">
        <f>IF(B20="","",SUMIFS(Gifts!$Q$6:$Q$1005,Gifts!$C$6:$C$1005,B20,Gifts!$K$6:$K$1005,Settings!$C$7))</f>
        <v/>
      </c>
    </row>
    <row r="21">
      <c r="A21" s="1" t="n"/>
      <c r="B21" s="22" t="n"/>
      <c r="C21" s="24" t="n"/>
      <c r="D21" s="25" t="n"/>
      <c r="E21" s="25" t="n"/>
      <c r="F21" s="26">
        <f>IF(OR(B21="",N(J21)=0),"",SUMPRODUCT(MIN((Gifts!$C$6:$C$1005=B21)*Gifts!$Q$6:$Q$1005*Gifts!$M$6:$M$1005+(1-(Gifts!$C$6:$C$1005=B21)*Gifts!$Q$6:$Q$1005)*1E9)))</f>
        <v/>
      </c>
      <c r="G21" s="26">
        <f>IF(OR(B21="",N(J21)=0),"",SUMPRODUCT(MAX((Gifts!$C$6:$C$1005=B21)*Gifts!$Q$6:$Q$1005*Gifts!$M$6:$M$1005)))</f>
        <v/>
      </c>
      <c r="H21" s="27">
        <f>IF(B21="","",SUMIFS(Gifts!$D$6:$D$1005,Gifts!$C$6:$C$1005,B21,Gifts!$K$6:$K$1005,Settings!$C$7,Gifts!$D$6:$D$1005,"&gt;0"))</f>
        <v/>
      </c>
      <c r="I21" s="28">
        <f>IF(B21="","",SUMIFS(Gifts!$D$6:$D$1005,Gifts!$C$6:$C$1005,B21,Gifts!$D$6:$D$1005,"&gt;0",Gifts!$M$6:$M$1005,"&gt;0"))</f>
        <v/>
      </c>
      <c r="J21" s="18">
        <f>IF(B21="","",SUMIFS(Gifts!$Q$6:$Q$1005,Gifts!$C$6:$C$1005,B21))</f>
        <v/>
      </c>
      <c r="K21" s="29">
        <f>IF(B21="","",IF(N(J21)=0,"No gifts yet",IF(AND(N(Settings!$C$9)&gt;0,G21&lt;EDATE(TODAY(),-N(Settings!$C$9))),"Lapsed",IF(YEAR(F21)=N(Settings!$C$7),"New","Active"))))</f>
        <v/>
      </c>
      <c r="L21" s="1" t="n"/>
      <c r="M21">
        <f>IF(OR(B21="",N(H21)&lt;=0),"",ROUND(H21*100,0)*1000+1000-ROW())</f>
        <v/>
      </c>
      <c r="N21">
        <f>IF(B21="","",SUMIFS(Gifts!$Q$6:$Q$1005,Gifts!$C$6:$C$1005,B21,Gifts!$K$6:$K$1005,Settings!$C$7))</f>
        <v/>
      </c>
    </row>
    <row r="22">
      <c r="A22" s="1" t="n"/>
      <c r="B22" s="22" t="n"/>
      <c r="C22" s="24" t="n"/>
      <c r="D22" s="25" t="n"/>
      <c r="E22" s="25" t="n"/>
      <c r="F22" s="26">
        <f>IF(OR(B22="",N(J22)=0),"",SUMPRODUCT(MIN((Gifts!$C$6:$C$1005=B22)*Gifts!$Q$6:$Q$1005*Gifts!$M$6:$M$1005+(1-(Gifts!$C$6:$C$1005=B22)*Gifts!$Q$6:$Q$1005)*1E9)))</f>
        <v/>
      </c>
      <c r="G22" s="26">
        <f>IF(OR(B22="",N(J22)=0),"",SUMPRODUCT(MAX((Gifts!$C$6:$C$1005=B22)*Gifts!$Q$6:$Q$1005*Gifts!$M$6:$M$1005)))</f>
        <v/>
      </c>
      <c r="H22" s="27">
        <f>IF(B22="","",SUMIFS(Gifts!$D$6:$D$1005,Gifts!$C$6:$C$1005,B22,Gifts!$K$6:$K$1005,Settings!$C$7,Gifts!$D$6:$D$1005,"&gt;0"))</f>
        <v/>
      </c>
      <c r="I22" s="28">
        <f>IF(B22="","",SUMIFS(Gifts!$D$6:$D$1005,Gifts!$C$6:$C$1005,B22,Gifts!$D$6:$D$1005,"&gt;0",Gifts!$M$6:$M$1005,"&gt;0"))</f>
        <v/>
      </c>
      <c r="J22" s="18">
        <f>IF(B22="","",SUMIFS(Gifts!$Q$6:$Q$1005,Gifts!$C$6:$C$1005,B22))</f>
        <v/>
      </c>
      <c r="K22" s="29">
        <f>IF(B22="","",IF(N(J22)=0,"No gifts yet",IF(AND(N(Settings!$C$9)&gt;0,G22&lt;EDATE(TODAY(),-N(Settings!$C$9))),"Lapsed",IF(YEAR(F22)=N(Settings!$C$7),"New","Active"))))</f>
        <v/>
      </c>
      <c r="L22" s="1" t="n"/>
      <c r="M22">
        <f>IF(OR(B22="",N(H22)&lt;=0),"",ROUND(H22*100,0)*1000+1000-ROW())</f>
        <v/>
      </c>
      <c r="N22">
        <f>IF(B22="","",SUMIFS(Gifts!$Q$6:$Q$1005,Gifts!$C$6:$C$1005,B22,Gifts!$K$6:$K$1005,Settings!$C$7))</f>
        <v/>
      </c>
    </row>
    <row r="23">
      <c r="A23" s="1" t="n"/>
      <c r="B23" s="22" t="n"/>
      <c r="C23" s="24" t="n"/>
      <c r="D23" s="25" t="n"/>
      <c r="E23" s="25" t="n"/>
      <c r="F23" s="26">
        <f>IF(OR(B23="",N(J23)=0),"",SUMPRODUCT(MIN((Gifts!$C$6:$C$1005=B23)*Gifts!$Q$6:$Q$1005*Gifts!$M$6:$M$1005+(1-(Gifts!$C$6:$C$1005=B23)*Gifts!$Q$6:$Q$1005)*1E9)))</f>
        <v/>
      </c>
      <c r="G23" s="26">
        <f>IF(OR(B23="",N(J23)=0),"",SUMPRODUCT(MAX((Gifts!$C$6:$C$1005=B23)*Gifts!$Q$6:$Q$1005*Gifts!$M$6:$M$1005)))</f>
        <v/>
      </c>
      <c r="H23" s="27">
        <f>IF(B23="","",SUMIFS(Gifts!$D$6:$D$1005,Gifts!$C$6:$C$1005,B23,Gifts!$K$6:$K$1005,Settings!$C$7,Gifts!$D$6:$D$1005,"&gt;0"))</f>
        <v/>
      </c>
      <c r="I23" s="28">
        <f>IF(B23="","",SUMIFS(Gifts!$D$6:$D$1005,Gifts!$C$6:$C$1005,B23,Gifts!$D$6:$D$1005,"&gt;0",Gifts!$M$6:$M$1005,"&gt;0"))</f>
        <v/>
      </c>
      <c r="J23" s="18">
        <f>IF(B23="","",SUMIFS(Gifts!$Q$6:$Q$1005,Gifts!$C$6:$C$1005,B23))</f>
        <v/>
      </c>
      <c r="K23" s="29">
        <f>IF(B23="","",IF(N(J23)=0,"No gifts yet",IF(AND(N(Settings!$C$9)&gt;0,G23&lt;EDATE(TODAY(),-N(Settings!$C$9))),"Lapsed",IF(YEAR(F23)=N(Settings!$C$7),"New","Active"))))</f>
        <v/>
      </c>
      <c r="L23" s="1" t="n"/>
      <c r="M23">
        <f>IF(OR(B23="",N(H23)&lt;=0),"",ROUND(H23*100,0)*1000+1000-ROW())</f>
        <v/>
      </c>
      <c r="N23">
        <f>IF(B23="","",SUMIFS(Gifts!$Q$6:$Q$1005,Gifts!$C$6:$C$1005,B23,Gifts!$K$6:$K$1005,Settings!$C$7))</f>
        <v/>
      </c>
    </row>
    <row r="24">
      <c r="A24" s="1" t="n"/>
      <c r="B24" s="22" t="n"/>
      <c r="C24" s="24" t="n"/>
      <c r="D24" s="25" t="n"/>
      <c r="E24" s="25" t="n"/>
      <c r="F24" s="26">
        <f>IF(OR(B24="",N(J24)=0),"",SUMPRODUCT(MIN((Gifts!$C$6:$C$1005=B24)*Gifts!$Q$6:$Q$1005*Gifts!$M$6:$M$1005+(1-(Gifts!$C$6:$C$1005=B24)*Gifts!$Q$6:$Q$1005)*1E9)))</f>
        <v/>
      </c>
      <c r="G24" s="26">
        <f>IF(OR(B24="",N(J24)=0),"",SUMPRODUCT(MAX((Gifts!$C$6:$C$1005=B24)*Gifts!$Q$6:$Q$1005*Gifts!$M$6:$M$1005)))</f>
        <v/>
      </c>
      <c r="H24" s="27">
        <f>IF(B24="","",SUMIFS(Gifts!$D$6:$D$1005,Gifts!$C$6:$C$1005,B24,Gifts!$K$6:$K$1005,Settings!$C$7,Gifts!$D$6:$D$1005,"&gt;0"))</f>
        <v/>
      </c>
      <c r="I24" s="28">
        <f>IF(B24="","",SUMIFS(Gifts!$D$6:$D$1005,Gifts!$C$6:$C$1005,B24,Gifts!$D$6:$D$1005,"&gt;0",Gifts!$M$6:$M$1005,"&gt;0"))</f>
        <v/>
      </c>
      <c r="J24" s="18">
        <f>IF(B24="","",SUMIFS(Gifts!$Q$6:$Q$1005,Gifts!$C$6:$C$1005,B24))</f>
        <v/>
      </c>
      <c r="K24" s="29">
        <f>IF(B24="","",IF(N(J24)=0,"No gifts yet",IF(AND(N(Settings!$C$9)&gt;0,G24&lt;EDATE(TODAY(),-N(Settings!$C$9))),"Lapsed",IF(YEAR(F24)=N(Settings!$C$7),"New","Active"))))</f>
        <v/>
      </c>
      <c r="L24" s="1" t="n"/>
      <c r="M24">
        <f>IF(OR(B24="",N(H24)&lt;=0),"",ROUND(H24*100,0)*1000+1000-ROW())</f>
        <v/>
      </c>
      <c r="N24">
        <f>IF(B24="","",SUMIFS(Gifts!$Q$6:$Q$1005,Gifts!$C$6:$C$1005,B24,Gifts!$K$6:$K$1005,Settings!$C$7))</f>
        <v/>
      </c>
    </row>
    <row r="25">
      <c r="A25" s="1" t="n"/>
      <c r="B25" s="22" t="n"/>
      <c r="C25" s="24" t="n"/>
      <c r="D25" s="25" t="n"/>
      <c r="E25" s="25" t="n"/>
      <c r="F25" s="26">
        <f>IF(OR(B25="",N(J25)=0),"",SUMPRODUCT(MIN((Gifts!$C$6:$C$1005=B25)*Gifts!$Q$6:$Q$1005*Gifts!$M$6:$M$1005+(1-(Gifts!$C$6:$C$1005=B25)*Gifts!$Q$6:$Q$1005)*1E9)))</f>
        <v/>
      </c>
      <c r="G25" s="26">
        <f>IF(OR(B25="",N(J25)=0),"",SUMPRODUCT(MAX((Gifts!$C$6:$C$1005=B25)*Gifts!$Q$6:$Q$1005*Gifts!$M$6:$M$1005)))</f>
        <v/>
      </c>
      <c r="H25" s="27">
        <f>IF(B25="","",SUMIFS(Gifts!$D$6:$D$1005,Gifts!$C$6:$C$1005,B25,Gifts!$K$6:$K$1005,Settings!$C$7,Gifts!$D$6:$D$1005,"&gt;0"))</f>
        <v/>
      </c>
      <c r="I25" s="28">
        <f>IF(B25="","",SUMIFS(Gifts!$D$6:$D$1005,Gifts!$C$6:$C$1005,B25,Gifts!$D$6:$D$1005,"&gt;0",Gifts!$M$6:$M$1005,"&gt;0"))</f>
        <v/>
      </c>
      <c r="J25" s="18">
        <f>IF(B25="","",SUMIFS(Gifts!$Q$6:$Q$1005,Gifts!$C$6:$C$1005,B25))</f>
        <v/>
      </c>
      <c r="K25" s="29">
        <f>IF(B25="","",IF(N(J25)=0,"No gifts yet",IF(AND(N(Settings!$C$9)&gt;0,G25&lt;EDATE(TODAY(),-N(Settings!$C$9))),"Lapsed",IF(YEAR(F25)=N(Settings!$C$7),"New","Active"))))</f>
        <v/>
      </c>
      <c r="L25" s="1" t="n"/>
      <c r="M25">
        <f>IF(OR(B25="",N(H25)&lt;=0),"",ROUND(H25*100,0)*1000+1000-ROW())</f>
        <v/>
      </c>
      <c r="N25">
        <f>IF(B25="","",SUMIFS(Gifts!$Q$6:$Q$1005,Gifts!$C$6:$C$1005,B25,Gifts!$K$6:$K$1005,Settings!$C$7))</f>
        <v/>
      </c>
    </row>
    <row r="26">
      <c r="A26" s="1" t="n"/>
      <c r="B26" s="22" t="n"/>
      <c r="C26" s="24" t="n"/>
      <c r="D26" s="25" t="n"/>
      <c r="E26" s="25" t="n"/>
      <c r="F26" s="26">
        <f>IF(OR(B26="",N(J26)=0),"",SUMPRODUCT(MIN((Gifts!$C$6:$C$1005=B26)*Gifts!$Q$6:$Q$1005*Gifts!$M$6:$M$1005+(1-(Gifts!$C$6:$C$1005=B26)*Gifts!$Q$6:$Q$1005)*1E9)))</f>
        <v/>
      </c>
      <c r="G26" s="26">
        <f>IF(OR(B26="",N(J26)=0),"",SUMPRODUCT(MAX((Gifts!$C$6:$C$1005=B26)*Gifts!$Q$6:$Q$1005*Gifts!$M$6:$M$1005)))</f>
        <v/>
      </c>
      <c r="H26" s="27">
        <f>IF(B26="","",SUMIFS(Gifts!$D$6:$D$1005,Gifts!$C$6:$C$1005,B26,Gifts!$K$6:$K$1005,Settings!$C$7,Gifts!$D$6:$D$1005,"&gt;0"))</f>
        <v/>
      </c>
      <c r="I26" s="28">
        <f>IF(B26="","",SUMIFS(Gifts!$D$6:$D$1005,Gifts!$C$6:$C$1005,B26,Gifts!$D$6:$D$1005,"&gt;0",Gifts!$M$6:$M$1005,"&gt;0"))</f>
        <v/>
      </c>
      <c r="J26" s="18">
        <f>IF(B26="","",SUMIFS(Gifts!$Q$6:$Q$1005,Gifts!$C$6:$C$1005,B26))</f>
        <v/>
      </c>
      <c r="K26" s="29">
        <f>IF(B26="","",IF(N(J26)=0,"No gifts yet",IF(AND(N(Settings!$C$9)&gt;0,G26&lt;EDATE(TODAY(),-N(Settings!$C$9))),"Lapsed",IF(YEAR(F26)=N(Settings!$C$7),"New","Active"))))</f>
        <v/>
      </c>
      <c r="L26" s="1" t="n"/>
      <c r="M26">
        <f>IF(OR(B26="",N(H26)&lt;=0),"",ROUND(H26*100,0)*1000+1000-ROW())</f>
        <v/>
      </c>
      <c r="N26">
        <f>IF(B26="","",SUMIFS(Gifts!$Q$6:$Q$1005,Gifts!$C$6:$C$1005,B26,Gifts!$K$6:$K$1005,Settings!$C$7))</f>
        <v/>
      </c>
    </row>
    <row r="27">
      <c r="A27" s="1" t="n"/>
      <c r="B27" s="22" t="n"/>
      <c r="C27" s="24" t="n"/>
      <c r="D27" s="25" t="n"/>
      <c r="E27" s="25" t="n"/>
      <c r="F27" s="26">
        <f>IF(OR(B27="",N(J27)=0),"",SUMPRODUCT(MIN((Gifts!$C$6:$C$1005=B27)*Gifts!$Q$6:$Q$1005*Gifts!$M$6:$M$1005+(1-(Gifts!$C$6:$C$1005=B27)*Gifts!$Q$6:$Q$1005)*1E9)))</f>
        <v/>
      </c>
      <c r="G27" s="26">
        <f>IF(OR(B27="",N(J27)=0),"",SUMPRODUCT(MAX((Gifts!$C$6:$C$1005=B27)*Gifts!$Q$6:$Q$1005*Gifts!$M$6:$M$1005)))</f>
        <v/>
      </c>
      <c r="H27" s="27">
        <f>IF(B27="","",SUMIFS(Gifts!$D$6:$D$1005,Gifts!$C$6:$C$1005,B27,Gifts!$K$6:$K$1005,Settings!$C$7,Gifts!$D$6:$D$1005,"&gt;0"))</f>
        <v/>
      </c>
      <c r="I27" s="28">
        <f>IF(B27="","",SUMIFS(Gifts!$D$6:$D$1005,Gifts!$C$6:$C$1005,B27,Gifts!$D$6:$D$1005,"&gt;0",Gifts!$M$6:$M$1005,"&gt;0"))</f>
        <v/>
      </c>
      <c r="J27" s="18">
        <f>IF(B27="","",SUMIFS(Gifts!$Q$6:$Q$1005,Gifts!$C$6:$C$1005,B27))</f>
        <v/>
      </c>
      <c r="K27" s="29">
        <f>IF(B27="","",IF(N(J27)=0,"No gifts yet",IF(AND(N(Settings!$C$9)&gt;0,G27&lt;EDATE(TODAY(),-N(Settings!$C$9))),"Lapsed",IF(YEAR(F27)=N(Settings!$C$7),"New","Active"))))</f>
        <v/>
      </c>
      <c r="L27" s="1" t="n"/>
      <c r="M27">
        <f>IF(OR(B27="",N(H27)&lt;=0),"",ROUND(H27*100,0)*1000+1000-ROW())</f>
        <v/>
      </c>
      <c r="N27">
        <f>IF(B27="","",SUMIFS(Gifts!$Q$6:$Q$1005,Gifts!$C$6:$C$1005,B27,Gifts!$K$6:$K$1005,Settings!$C$7))</f>
        <v/>
      </c>
    </row>
    <row r="28">
      <c r="A28" s="1" t="n"/>
      <c r="B28" s="22" t="n"/>
      <c r="C28" s="24" t="n"/>
      <c r="D28" s="25" t="n"/>
      <c r="E28" s="25" t="n"/>
      <c r="F28" s="26">
        <f>IF(OR(B28="",N(J28)=0),"",SUMPRODUCT(MIN((Gifts!$C$6:$C$1005=B28)*Gifts!$Q$6:$Q$1005*Gifts!$M$6:$M$1005+(1-(Gifts!$C$6:$C$1005=B28)*Gifts!$Q$6:$Q$1005)*1E9)))</f>
        <v/>
      </c>
      <c r="G28" s="26">
        <f>IF(OR(B28="",N(J28)=0),"",SUMPRODUCT(MAX((Gifts!$C$6:$C$1005=B28)*Gifts!$Q$6:$Q$1005*Gifts!$M$6:$M$1005)))</f>
        <v/>
      </c>
      <c r="H28" s="27">
        <f>IF(B28="","",SUMIFS(Gifts!$D$6:$D$1005,Gifts!$C$6:$C$1005,B28,Gifts!$K$6:$K$1005,Settings!$C$7,Gifts!$D$6:$D$1005,"&gt;0"))</f>
        <v/>
      </c>
      <c r="I28" s="28">
        <f>IF(B28="","",SUMIFS(Gifts!$D$6:$D$1005,Gifts!$C$6:$C$1005,B28,Gifts!$D$6:$D$1005,"&gt;0",Gifts!$M$6:$M$1005,"&gt;0"))</f>
        <v/>
      </c>
      <c r="J28" s="18">
        <f>IF(B28="","",SUMIFS(Gifts!$Q$6:$Q$1005,Gifts!$C$6:$C$1005,B28))</f>
        <v/>
      </c>
      <c r="K28" s="29">
        <f>IF(B28="","",IF(N(J28)=0,"No gifts yet",IF(AND(N(Settings!$C$9)&gt;0,G28&lt;EDATE(TODAY(),-N(Settings!$C$9))),"Lapsed",IF(YEAR(F28)=N(Settings!$C$7),"New","Active"))))</f>
        <v/>
      </c>
      <c r="L28" s="1" t="n"/>
      <c r="M28">
        <f>IF(OR(B28="",N(H28)&lt;=0),"",ROUND(H28*100,0)*1000+1000-ROW())</f>
        <v/>
      </c>
      <c r="N28">
        <f>IF(B28="","",SUMIFS(Gifts!$Q$6:$Q$1005,Gifts!$C$6:$C$1005,B28,Gifts!$K$6:$K$1005,Settings!$C$7))</f>
        <v/>
      </c>
    </row>
    <row r="29">
      <c r="A29" s="1" t="n"/>
      <c r="B29" s="22" t="n"/>
      <c r="C29" s="24" t="n"/>
      <c r="D29" s="25" t="n"/>
      <c r="E29" s="25" t="n"/>
      <c r="F29" s="26">
        <f>IF(OR(B29="",N(J29)=0),"",SUMPRODUCT(MIN((Gifts!$C$6:$C$1005=B29)*Gifts!$Q$6:$Q$1005*Gifts!$M$6:$M$1005+(1-(Gifts!$C$6:$C$1005=B29)*Gifts!$Q$6:$Q$1005)*1E9)))</f>
        <v/>
      </c>
      <c r="G29" s="26">
        <f>IF(OR(B29="",N(J29)=0),"",SUMPRODUCT(MAX((Gifts!$C$6:$C$1005=B29)*Gifts!$Q$6:$Q$1005*Gifts!$M$6:$M$1005)))</f>
        <v/>
      </c>
      <c r="H29" s="27">
        <f>IF(B29="","",SUMIFS(Gifts!$D$6:$D$1005,Gifts!$C$6:$C$1005,B29,Gifts!$K$6:$K$1005,Settings!$C$7,Gifts!$D$6:$D$1005,"&gt;0"))</f>
        <v/>
      </c>
      <c r="I29" s="28">
        <f>IF(B29="","",SUMIFS(Gifts!$D$6:$D$1005,Gifts!$C$6:$C$1005,B29,Gifts!$D$6:$D$1005,"&gt;0",Gifts!$M$6:$M$1005,"&gt;0"))</f>
        <v/>
      </c>
      <c r="J29" s="18">
        <f>IF(B29="","",SUMIFS(Gifts!$Q$6:$Q$1005,Gifts!$C$6:$C$1005,B29))</f>
        <v/>
      </c>
      <c r="K29" s="29">
        <f>IF(B29="","",IF(N(J29)=0,"No gifts yet",IF(AND(N(Settings!$C$9)&gt;0,G29&lt;EDATE(TODAY(),-N(Settings!$C$9))),"Lapsed",IF(YEAR(F29)=N(Settings!$C$7),"New","Active"))))</f>
        <v/>
      </c>
      <c r="L29" s="1" t="n"/>
      <c r="M29">
        <f>IF(OR(B29="",N(H29)&lt;=0),"",ROUND(H29*100,0)*1000+1000-ROW())</f>
        <v/>
      </c>
      <c r="N29">
        <f>IF(B29="","",SUMIFS(Gifts!$Q$6:$Q$1005,Gifts!$C$6:$C$1005,B29,Gifts!$K$6:$K$1005,Settings!$C$7))</f>
        <v/>
      </c>
    </row>
    <row r="30">
      <c r="A30" s="1" t="n"/>
      <c r="B30" s="22" t="n"/>
      <c r="C30" s="24" t="n"/>
      <c r="D30" s="25" t="n"/>
      <c r="E30" s="25" t="n"/>
      <c r="F30" s="26">
        <f>IF(OR(B30="",N(J30)=0),"",SUMPRODUCT(MIN((Gifts!$C$6:$C$1005=B30)*Gifts!$Q$6:$Q$1005*Gifts!$M$6:$M$1005+(1-(Gifts!$C$6:$C$1005=B30)*Gifts!$Q$6:$Q$1005)*1E9)))</f>
        <v/>
      </c>
      <c r="G30" s="26">
        <f>IF(OR(B30="",N(J30)=0),"",SUMPRODUCT(MAX((Gifts!$C$6:$C$1005=B30)*Gifts!$Q$6:$Q$1005*Gifts!$M$6:$M$1005)))</f>
        <v/>
      </c>
      <c r="H30" s="27">
        <f>IF(B30="","",SUMIFS(Gifts!$D$6:$D$1005,Gifts!$C$6:$C$1005,B30,Gifts!$K$6:$K$1005,Settings!$C$7,Gifts!$D$6:$D$1005,"&gt;0"))</f>
        <v/>
      </c>
      <c r="I30" s="28">
        <f>IF(B30="","",SUMIFS(Gifts!$D$6:$D$1005,Gifts!$C$6:$C$1005,B30,Gifts!$D$6:$D$1005,"&gt;0",Gifts!$M$6:$M$1005,"&gt;0"))</f>
        <v/>
      </c>
      <c r="J30" s="18">
        <f>IF(B30="","",SUMIFS(Gifts!$Q$6:$Q$1005,Gifts!$C$6:$C$1005,B30))</f>
        <v/>
      </c>
      <c r="K30" s="29">
        <f>IF(B30="","",IF(N(J30)=0,"No gifts yet",IF(AND(N(Settings!$C$9)&gt;0,G30&lt;EDATE(TODAY(),-N(Settings!$C$9))),"Lapsed",IF(YEAR(F30)=N(Settings!$C$7),"New","Active"))))</f>
        <v/>
      </c>
      <c r="L30" s="1" t="n"/>
      <c r="M30">
        <f>IF(OR(B30="",N(H30)&lt;=0),"",ROUND(H30*100,0)*1000+1000-ROW())</f>
        <v/>
      </c>
      <c r="N30">
        <f>IF(B30="","",SUMIFS(Gifts!$Q$6:$Q$1005,Gifts!$C$6:$C$1005,B30,Gifts!$K$6:$K$1005,Settings!$C$7))</f>
        <v/>
      </c>
    </row>
    <row r="31">
      <c r="A31" s="1" t="n"/>
      <c r="B31" s="22" t="n"/>
      <c r="C31" s="24" t="n"/>
      <c r="D31" s="25" t="n"/>
      <c r="E31" s="25" t="n"/>
      <c r="F31" s="26">
        <f>IF(OR(B31="",N(J31)=0),"",SUMPRODUCT(MIN((Gifts!$C$6:$C$1005=B31)*Gifts!$Q$6:$Q$1005*Gifts!$M$6:$M$1005+(1-(Gifts!$C$6:$C$1005=B31)*Gifts!$Q$6:$Q$1005)*1E9)))</f>
        <v/>
      </c>
      <c r="G31" s="26">
        <f>IF(OR(B31="",N(J31)=0),"",SUMPRODUCT(MAX((Gifts!$C$6:$C$1005=B31)*Gifts!$Q$6:$Q$1005*Gifts!$M$6:$M$1005)))</f>
        <v/>
      </c>
      <c r="H31" s="27">
        <f>IF(B31="","",SUMIFS(Gifts!$D$6:$D$1005,Gifts!$C$6:$C$1005,B31,Gifts!$K$6:$K$1005,Settings!$C$7,Gifts!$D$6:$D$1005,"&gt;0"))</f>
        <v/>
      </c>
      <c r="I31" s="28">
        <f>IF(B31="","",SUMIFS(Gifts!$D$6:$D$1005,Gifts!$C$6:$C$1005,B31,Gifts!$D$6:$D$1005,"&gt;0",Gifts!$M$6:$M$1005,"&gt;0"))</f>
        <v/>
      </c>
      <c r="J31" s="18">
        <f>IF(B31="","",SUMIFS(Gifts!$Q$6:$Q$1005,Gifts!$C$6:$C$1005,B31))</f>
        <v/>
      </c>
      <c r="K31" s="29">
        <f>IF(B31="","",IF(N(J31)=0,"No gifts yet",IF(AND(N(Settings!$C$9)&gt;0,G31&lt;EDATE(TODAY(),-N(Settings!$C$9))),"Lapsed",IF(YEAR(F31)=N(Settings!$C$7),"New","Active"))))</f>
        <v/>
      </c>
      <c r="L31" s="1" t="n"/>
      <c r="M31">
        <f>IF(OR(B31="",N(H31)&lt;=0),"",ROUND(H31*100,0)*1000+1000-ROW())</f>
        <v/>
      </c>
      <c r="N31">
        <f>IF(B31="","",SUMIFS(Gifts!$Q$6:$Q$1005,Gifts!$C$6:$C$1005,B31,Gifts!$K$6:$K$1005,Settings!$C$7))</f>
        <v/>
      </c>
    </row>
    <row r="32">
      <c r="A32" s="1" t="n"/>
      <c r="B32" s="22" t="n"/>
      <c r="C32" s="24" t="n"/>
      <c r="D32" s="25" t="n"/>
      <c r="E32" s="25" t="n"/>
      <c r="F32" s="26">
        <f>IF(OR(B32="",N(J32)=0),"",SUMPRODUCT(MIN((Gifts!$C$6:$C$1005=B32)*Gifts!$Q$6:$Q$1005*Gifts!$M$6:$M$1005+(1-(Gifts!$C$6:$C$1005=B32)*Gifts!$Q$6:$Q$1005)*1E9)))</f>
        <v/>
      </c>
      <c r="G32" s="26">
        <f>IF(OR(B32="",N(J32)=0),"",SUMPRODUCT(MAX((Gifts!$C$6:$C$1005=B32)*Gifts!$Q$6:$Q$1005*Gifts!$M$6:$M$1005)))</f>
        <v/>
      </c>
      <c r="H32" s="27">
        <f>IF(B32="","",SUMIFS(Gifts!$D$6:$D$1005,Gifts!$C$6:$C$1005,B32,Gifts!$K$6:$K$1005,Settings!$C$7,Gifts!$D$6:$D$1005,"&gt;0"))</f>
        <v/>
      </c>
      <c r="I32" s="28">
        <f>IF(B32="","",SUMIFS(Gifts!$D$6:$D$1005,Gifts!$C$6:$C$1005,B32,Gifts!$D$6:$D$1005,"&gt;0",Gifts!$M$6:$M$1005,"&gt;0"))</f>
        <v/>
      </c>
      <c r="J32" s="18">
        <f>IF(B32="","",SUMIFS(Gifts!$Q$6:$Q$1005,Gifts!$C$6:$C$1005,B32))</f>
        <v/>
      </c>
      <c r="K32" s="29">
        <f>IF(B32="","",IF(N(J32)=0,"No gifts yet",IF(AND(N(Settings!$C$9)&gt;0,G32&lt;EDATE(TODAY(),-N(Settings!$C$9))),"Lapsed",IF(YEAR(F32)=N(Settings!$C$7),"New","Active"))))</f>
        <v/>
      </c>
      <c r="L32" s="1" t="n"/>
      <c r="M32">
        <f>IF(OR(B32="",N(H32)&lt;=0),"",ROUND(H32*100,0)*1000+1000-ROW())</f>
        <v/>
      </c>
      <c r="N32">
        <f>IF(B32="","",SUMIFS(Gifts!$Q$6:$Q$1005,Gifts!$C$6:$C$1005,B32,Gifts!$K$6:$K$1005,Settings!$C$7))</f>
        <v/>
      </c>
    </row>
    <row r="33">
      <c r="A33" s="1" t="n"/>
      <c r="B33" s="22" t="n"/>
      <c r="C33" s="24" t="n"/>
      <c r="D33" s="25" t="n"/>
      <c r="E33" s="25" t="n"/>
      <c r="F33" s="26">
        <f>IF(OR(B33="",N(J33)=0),"",SUMPRODUCT(MIN((Gifts!$C$6:$C$1005=B33)*Gifts!$Q$6:$Q$1005*Gifts!$M$6:$M$1005+(1-(Gifts!$C$6:$C$1005=B33)*Gifts!$Q$6:$Q$1005)*1E9)))</f>
        <v/>
      </c>
      <c r="G33" s="26">
        <f>IF(OR(B33="",N(J33)=0),"",SUMPRODUCT(MAX((Gifts!$C$6:$C$1005=B33)*Gifts!$Q$6:$Q$1005*Gifts!$M$6:$M$1005)))</f>
        <v/>
      </c>
      <c r="H33" s="27">
        <f>IF(B33="","",SUMIFS(Gifts!$D$6:$D$1005,Gifts!$C$6:$C$1005,B33,Gifts!$K$6:$K$1005,Settings!$C$7,Gifts!$D$6:$D$1005,"&gt;0"))</f>
        <v/>
      </c>
      <c r="I33" s="28">
        <f>IF(B33="","",SUMIFS(Gifts!$D$6:$D$1005,Gifts!$C$6:$C$1005,B33,Gifts!$D$6:$D$1005,"&gt;0",Gifts!$M$6:$M$1005,"&gt;0"))</f>
        <v/>
      </c>
      <c r="J33" s="18">
        <f>IF(B33="","",SUMIFS(Gifts!$Q$6:$Q$1005,Gifts!$C$6:$C$1005,B33))</f>
        <v/>
      </c>
      <c r="K33" s="29">
        <f>IF(B33="","",IF(N(J33)=0,"No gifts yet",IF(AND(N(Settings!$C$9)&gt;0,G33&lt;EDATE(TODAY(),-N(Settings!$C$9))),"Lapsed",IF(YEAR(F33)=N(Settings!$C$7),"New","Active"))))</f>
        <v/>
      </c>
      <c r="L33" s="1" t="n"/>
      <c r="M33">
        <f>IF(OR(B33="",N(H33)&lt;=0),"",ROUND(H33*100,0)*1000+1000-ROW())</f>
        <v/>
      </c>
      <c r="N33">
        <f>IF(B33="","",SUMIFS(Gifts!$Q$6:$Q$1005,Gifts!$C$6:$C$1005,B33,Gifts!$K$6:$K$1005,Settings!$C$7))</f>
        <v/>
      </c>
    </row>
    <row r="34">
      <c r="A34" s="1" t="n"/>
      <c r="B34" s="22" t="n"/>
      <c r="C34" s="24" t="n"/>
      <c r="D34" s="25" t="n"/>
      <c r="E34" s="25" t="n"/>
      <c r="F34" s="26">
        <f>IF(OR(B34="",N(J34)=0),"",SUMPRODUCT(MIN((Gifts!$C$6:$C$1005=B34)*Gifts!$Q$6:$Q$1005*Gifts!$M$6:$M$1005+(1-(Gifts!$C$6:$C$1005=B34)*Gifts!$Q$6:$Q$1005)*1E9)))</f>
        <v/>
      </c>
      <c r="G34" s="26">
        <f>IF(OR(B34="",N(J34)=0),"",SUMPRODUCT(MAX((Gifts!$C$6:$C$1005=B34)*Gifts!$Q$6:$Q$1005*Gifts!$M$6:$M$1005)))</f>
        <v/>
      </c>
      <c r="H34" s="27">
        <f>IF(B34="","",SUMIFS(Gifts!$D$6:$D$1005,Gifts!$C$6:$C$1005,B34,Gifts!$K$6:$K$1005,Settings!$C$7,Gifts!$D$6:$D$1005,"&gt;0"))</f>
        <v/>
      </c>
      <c r="I34" s="28">
        <f>IF(B34="","",SUMIFS(Gifts!$D$6:$D$1005,Gifts!$C$6:$C$1005,B34,Gifts!$D$6:$D$1005,"&gt;0",Gifts!$M$6:$M$1005,"&gt;0"))</f>
        <v/>
      </c>
      <c r="J34" s="18">
        <f>IF(B34="","",SUMIFS(Gifts!$Q$6:$Q$1005,Gifts!$C$6:$C$1005,B34))</f>
        <v/>
      </c>
      <c r="K34" s="29">
        <f>IF(B34="","",IF(N(J34)=0,"No gifts yet",IF(AND(N(Settings!$C$9)&gt;0,G34&lt;EDATE(TODAY(),-N(Settings!$C$9))),"Lapsed",IF(YEAR(F34)=N(Settings!$C$7),"New","Active"))))</f>
        <v/>
      </c>
      <c r="L34" s="1" t="n"/>
      <c r="M34">
        <f>IF(OR(B34="",N(H34)&lt;=0),"",ROUND(H34*100,0)*1000+1000-ROW())</f>
        <v/>
      </c>
      <c r="N34">
        <f>IF(B34="","",SUMIFS(Gifts!$Q$6:$Q$1005,Gifts!$C$6:$C$1005,B34,Gifts!$K$6:$K$1005,Settings!$C$7))</f>
        <v/>
      </c>
    </row>
    <row r="35">
      <c r="A35" s="1" t="n"/>
      <c r="B35" s="22" t="n"/>
      <c r="C35" s="24" t="n"/>
      <c r="D35" s="25" t="n"/>
      <c r="E35" s="25" t="n"/>
      <c r="F35" s="26">
        <f>IF(OR(B35="",N(J35)=0),"",SUMPRODUCT(MIN((Gifts!$C$6:$C$1005=B35)*Gifts!$Q$6:$Q$1005*Gifts!$M$6:$M$1005+(1-(Gifts!$C$6:$C$1005=B35)*Gifts!$Q$6:$Q$1005)*1E9)))</f>
        <v/>
      </c>
      <c r="G35" s="26">
        <f>IF(OR(B35="",N(J35)=0),"",SUMPRODUCT(MAX((Gifts!$C$6:$C$1005=B35)*Gifts!$Q$6:$Q$1005*Gifts!$M$6:$M$1005)))</f>
        <v/>
      </c>
      <c r="H35" s="27">
        <f>IF(B35="","",SUMIFS(Gifts!$D$6:$D$1005,Gifts!$C$6:$C$1005,B35,Gifts!$K$6:$K$1005,Settings!$C$7,Gifts!$D$6:$D$1005,"&gt;0"))</f>
        <v/>
      </c>
      <c r="I35" s="28">
        <f>IF(B35="","",SUMIFS(Gifts!$D$6:$D$1005,Gifts!$C$6:$C$1005,B35,Gifts!$D$6:$D$1005,"&gt;0",Gifts!$M$6:$M$1005,"&gt;0"))</f>
        <v/>
      </c>
      <c r="J35" s="18">
        <f>IF(B35="","",SUMIFS(Gifts!$Q$6:$Q$1005,Gifts!$C$6:$C$1005,B35))</f>
        <v/>
      </c>
      <c r="K35" s="29">
        <f>IF(B35="","",IF(N(J35)=0,"No gifts yet",IF(AND(N(Settings!$C$9)&gt;0,G35&lt;EDATE(TODAY(),-N(Settings!$C$9))),"Lapsed",IF(YEAR(F35)=N(Settings!$C$7),"New","Active"))))</f>
        <v/>
      </c>
      <c r="L35" s="1" t="n"/>
      <c r="M35">
        <f>IF(OR(B35="",N(H35)&lt;=0),"",ROUND(H35*100,0)*1000+1000-ROW())</f>
        <v/>
      </c>
      <c r="N35">
        <f>IF(B35="","",SUMIFS(Gifts!$Q$6:$Q$1005,Gifts!$C$6:$C$1005,B35,Gifts!$K$6:$K$1005,Settings!$C$7))</f>
        <v/>
      </c>
    </row>
    <row r="36">
      <c r="A36" s="1" t="n"/>
      <c r="B36" s="22" t="n"/>
      <c r="C36" s="24" t="n"/>
      <c r="D36" s="25" t="n"/>
      <c r="E36" s="25" t="n"/>
      <c r="F36" s="26">
        <f>IF(OR(B36="",N(J36)=0),"",SUMPRODUCT(MIN((Gifts!$C$6:$C$1005=B36)*Gifts!$Q$6:$Q$1005*Gifts!$M$6:$M$1005+(1-(Gifts!$C$6:$C$1005=B36)*Gifts!$Q$6:$Q$1005)*1E9)))</f>
        <v/>
      </c>
      <c r="G36" s="26">
        <f>IF(OR(B36="",N(J36)=0),"",SUMPRODUCT(MAX((Gifts!$C$6:$C$1005=B36)*Gifts!$Q$6:$Q$1005*Gifts!$M$6:$M$1005)))</f>
        <v/>
      </c>
      <c r="H36" s="27">
        <f>IF(B36="","",SUMIFS(Gifts!$D$6:$D$1005,Gifts!$C$6:$C$1005,B36,Gifts!$K$6:$K$1005,Settings!$C$7,Gifts!$D$6:$D$1005,"&gt;0"))</f>
        <v/>
      </c>
      <c r="I36" s="28">
        <f>IF(B36="","",SUMIFS(Gifts!$D$6:$D$1005,Gifts!$C$6:$C$1005,B36,Gifts!$D$6:$D$1005,"&gt;0",Gifts!$M$6:$M$1005,"&gt;0"))</f>
        <v/>
      </c>
      <c r="J36" s="18">
        <f>IF(B36="","",SUMIFS(Gifts!$Q$6:$Q$1005,Gifts!$C$6:$C$1005,B36))</f>
        <v/>
      </c>
      <c r="K36" s="29">
        <f>IF(B36="","",IF(N(J36)=0,"No gifts yet",IF(AND(N(Settings!$C$9)&gt;0,G36&lt;EDATE(TODAY(),-N(Settings!$C$9))),"Lapsed",IF(YEAR(F36)=N(Settings!$C$7),"New","Active"))))</f>
        <v/>
      </c>
      <c r="L36" s="1" t="n"/>
      <c r="M36">
        <f>IF(OR(B36="",N(H36)&lt;=0),"",ROUND(H36*100,0)*1000+1000-ROW())</f>
        <v/>
      </c>
      <c r="N36">
        <f>IF(B36="","",SUMIFS(Gifts!$Q$6:$Q$1005,Gifts!$C$6:$C$1005,B36,Gifts!$K$6:$K$1005,Settings!$C$7))</f>
        <v/>
      </c>
    </row>
    <row r="37">
      <c r="A37" s="1" t="n"/>
      <c r="B37" s="22" t="n"/>
      <c r="C37" s="24" t="n"/>
      <c r="D37" s="25" t="n"/>
      <c r="E37" s="25" t="n"/>
      <c r="F37" s="26">
        <f>IF(OR(B37="",N(J37)=0),"",SUMPRODUCT(MIN((Gifts!$C$6:$C$1005=B37)*Gifts!$Q$6:$Q$1005*Gifts!$M$6:$M$1005+(1-(Gifts!$C$6:$C$1005=B37)*Gifts!$Q$6:$Q$1005)*1E9)))</f>
        <v/>
      </c>
      <c r="G37" s="26">
        <f>IF(OR(B37="",N(J37)=0),"",SUMPRODUCT(MAX((Gifts!$C$6:$C$1005=B37)*Gifts!$Q$6:$Q$1005*Gifts!$M$6:$M$1005)))</f>
        <v/>
      </c>
      <c r="H37" s="27">
        <f>IF(B37="","",SUMIFS(Gifts!$D$6:$D$1005,Gifts!$C$6:$C$1005,B37,Gifts!$K$6:$K$1005,Settings!$C$7,Gifts!$D$6:$D$1005,"&gt;0"))</f>
        <v/>
      </c>
      <c r="I37" s="28">
        <f>IF(B37="","",SUMIFS(Gifts!$D$6:$D$1005,Gifts!$C$6:$C$1005,B37,Gifts!$D$6:$D$1005,"&gt;0",Gifts!$M$6:$M$1005,"&gt;0"))</f>
        <v/>
      </c>
      <c r="J37" s="18">
        <f>IF(B37="","",SUMIFS(Gifts!$Q$6:$Q$1005,Gifts!$C$6:$C$1005,B37))</f>
        <v/>
      </c>
      <c r="K37" s="29">
        <f>IF(B37="","",IF(N(J37)=0,"No gifts yet",IF(AND(N(Settings!$C$9)&gt;0,G37&lt;EDATE(TODAY(),-N(Settings!$C$9))),"Lapsed",IF(YEAR(F37)=N(Settings!$C$7),"New","Active"))))</f>
        <v/>
      </c>
      <c r="L37" s="1" t="n"/>
      <c r="M37">
        <f>IF(OR(B37="",N(H37)&lt;=0),"",ROUND(H37*100,0)*1000+1000-ROW())</f>
        <v/>
      </c>
      <c r="N37">
        <f>IF(B37="","",SUMIFS(Gifts!$Q$6:$Q$1005,Gifts!$C$6:$C$1005,B37,Gifts!$K$6:$K$1005,Settings!$C$7))</f>
        <v/>
      </c>
    </row>
    <row r="38">
      <c r="A38" s="1" t="n"/>
      <c r="B38" s="22" t="n"/>
      <c r="C38" s="24" t="n"/>
      <c r="D38" s="25" t="n"/>
      <c r="E38" s="25" t="n"/>
      <c r="F38" s="26">
        <f>IF(OR(B38="",N(J38)=0),"",SUMPRODUCT(MIN((Gifts!$C$6:$C$1005=B38)*Gifts!$Q$6:$Q$1005*Gifts!$M$6:$M$1005+(1-(Gifts!$C$6:$C$1005=B38)*Gifts!$Q$6:$Q$1005)*1E9)))</f>
        <v/>
      </c>
      <c r="G38" s="26">
        <f>IF(OR(B38="",N(J38)=0),"",SUMPRODUCT(MAX((Gifts!$C$6:$C$1005=B38)*Gifts!$Q$6:$Q$1005*Gifts!$M$6:$M$1005)))</f>
        <v/>
      </c>
      <c r="H38" s="27">
        <f>IF(B38="","",SUMIFS(Gifts!$D$6:$D$1005,Gifts!$C$6:$C$1005,B38,Gifts!$K$6:$K$1005,Settings!$C$7,Gifts!$D$6:$D$1005,"&gt;0"))</f>
        <v/>
      </c>
      <c r="I38" s="28">
        <f>IF(B38="","",SUMIFS(Gifts!$D$6:$D$1005,Gifts!$C$6:$C$1005,B38,Gifts!$D$6:$D$1005,"&gt;0",Gifts!$M$6:$M$1005,"&gt;0"))</f>
        <v/>
      </c>
      <c r="J38" s="18">
        <f>IF(B38="","",SUMIFS(Gifts!$Q$6:$Q$1005,Gifts!$C$6:$C$1005,B38))</f>
        <v/>
      </c>
      <c r="K38" s="29">
        <f>IF(B38="","",IF(N(J38)=0,"No gifts yet",IF(AND(N(Settings!$C$9)&gt;0,G38&lt;EDATE(TODAY(),-N(Settings!$C$9))),"Lapsed",IF(YEAR(F38)=N(Settings!$C$7),"New","Active"))))</f>
        <v/>
      </c>
      <c r="L38" s="1" t="n"/>
      <c r="M38">
        <f>IF(OR(B38="",N(H38)&lt;=0),"",ROUND(H38*100,0)*1000+1000-ROW())</f>
        <v/>
      </c>
      <c r="N38">
        <f>IF(B38="","",SUMIFS(Gifts!$Q$6:$Q$1005,Gifts!$C$6:$C$1005,B38,Gifts!$K$6:$K$1005,Settings!$C$7))</f>
        <v/>
      </c>
    </row>
    <row r="39">
      <c r="A39" s="1" t="n"/>
      <c r="B39" s="22" t="n"/>
      <c r="C39" s="24" t="n"/>
      <c r="D39" s="25" t="n"/>
      <c r="E39" s="25" t="n"/>
      <c r="F39" s="26">
        <f>IF(OR(B39="",N(J39)=0),"",SUMPRODUCT(MIN((Gifts!$C$6:$C$1005=B39)*Gifts!$Q$6:$Q$1005*Gifts!$M$6:$M$1005+(1-(Gifts!$C$6:$C$1005=B39)*Gifts!$Q$6:$Q$1005)*1E9)))</f>
        <v/>
      </c>
      <c r="G39" s="26">
        <f>IF(OR(B39="",N(J39)=0),"",SUMPRODUCT(MAX((Gifts!$C$6:$C$1005=B39)*Gifts!$Q$6:$Q$1005*Gifts!$M$6:$M$1005)))</f>
        <v/>
      </c>
      <c r="H39" s="27">
        <f>IF(B39="","",SUMIFS(Gifts!$D$6:$D$1005,Gifts!$C$6:$C$1005,B39,Gifts!$K$6:$K$1005,Settings!$C$7,Gifts!$D$6:$D$1005,"&gt;0"))</f>
        <v/>
      </c>
      <c r="I39" s="28">
        <f>IF(B39="","",SUMIFS(Gifts!$D$6:$D$1005,Gifts!$C$6:$C$1005,B39,Gifts!$D$6:$D$1005,"&gt;0",Gifts!$M$6:$M$1005,"&gt;0"))</f>
        <v/>
      </c>
      <c r="J39" s="18">
        <f>IF(B39="","",SUMIFS(Gifts!$Q$6:$Q$1005,Gifts!$C$6:$C$1005,B39))</f>
        <v/>
      </c>
      <c r="K39" s="29">
        <f>IF(B39="","",IF(N(J39)=0,"No gifts yet",IF(AND(N(Settings!$C$9)&gt;0,G39&lt;EDATE(TODAY(),-N(Settings!$C$9))),"Lapsed",IF(YEAR(F39)=N(Settings!$C$7),"New","Active"))))</f>
        <v/>
      </c>
      <c r="L39" s="1" t="n"/>
      <c r="M39">
        <f>IF(OR(B39="",N(H39)&lt;=0),"",ROUND(H39*100,0)*1000+1000-ROW())</f>
        <v/>
      </c>
      <c r="N39">
        <f>IF(B39="","",SUMIFS(Gifts!$Q$6:$Q$1005,Gifts!$C$6:$C$1005,B39,Gifts!$K$6:$K$1005,Settings!$C$7))</f>
        <v/>
      </c>
    </row>
    <row r="40">
      <c r="A40" s="1" t="n"/>
      <c r="B40" s="22" t="n"/>
      <c r="C40" s="24" t="n"/>
      <c r="D40" s="25" t="n"/>
      <c r="E40" s="25" t="n"/>
      <c r="F40" s="26">
        <f>IF(OR(B40="",N(J40)=0),"",SUMPRODUCT(MIN((Gifts!$C$6:$C$1005=B40)*Gifts!$Q$6:$Q$1005*Gifts!$M$6:$M$1005+(1-(Gifts!$C$6:$C$1005=B40)*Gifts!$Q$6:$Q$1005)*1E9)))</f>
        <v/>
      </c>
      <c r="G40" s="26">
        <f>IF(OR(B40="",N(J40)=0),"",SUMPRODUCT(MAX((Gifts!$C$6:$C$1005=B40)*Gifts!$Q$6:$Q$1005*Gifts!$M$6:$M$1005)))</f>
        <v/>
      </c>
      <c r="H40" s="27">
        <f>IF(B40="","",SUMIFS(Gifts!$D$6:$D$1005,Gifts!$C$6:$C$1005,B40,Gifts!$K$6:$K$1005,Settings!$C$7,Gifts!$D$6:$D$1005,"&gt;0"))</f>
        <v/>
      </c>
      <c r="I40" s="28">
        <f>IF(B40="","",SUMIFS(Gifts!$D$6:$D$1005,Gifts!$C$6:$C$1005,B40,Gifts!$D$6:$D$1005,"&gt;0",Gifts!$M$6:$M$1005,"&gt;0"))</f>
        <v/>
      </c>
      <c r="J40" s="18">
        <f>IF(B40="","",SUMIFS(Gifts!$Q$6:$Q$1005,Gifts!$C$6:$C$1005,B40))</f>
        <v/>
      </c>
      <c r="K40" s="29">
        <f>IF(B40="","",IF(N(J40)=0,"No gifts yet",IF(AND(N(Settings!$C$9)&gt;0,G40&lt;EDATE(TODAY(),-N(Settings!$C$9))),"Lapsed",IF(YEAR(F40)=N(Settings!$C$7),"New","Active"))))</f>
        <v/>
      </c>
      <c r="L40" s="1" t="n"/>
      <c r="M40">
        <f>IF(OR(B40="",N(H40)&lt;=0),"",ROUND(H40*100,0)*1000+1000-ROW())</f>
        <v/>
      </c>
      <c r="N40">
        <f>IF(B40="","",SUMIFS(Gifts!$Q$6:$Q$1005,Gifts!$C$6:$C$1005,B40,Gifts!$K$6:$K$1005,Settings!$C$7))</f>
        <v/>
      </c>
    </row>
    <row r="41">
      <c r="A41" s="1" t="n"/>
      <c r="B41" s="22" t="n"/>
      <c r="C41" s="24" t="n"/>
      <c r="D41" s="25" t="n"/>
      <c r="E41" s="25" t="n"/>
      <c r="F41" s="26">
        <f>IF(OR(B41="",N(J41)=0),"",SUMPRODUCT(MIN((Gifts!$C$6:$C$1005=B41)*Gifts!$Q$6:$Q$1005*Gifts!$M$6:$M$1005+(1-(Gifts!$C$6:$C$1005=B41)*Gifts!$Q$6:$Q$1005)*1E9)))</f>
        <v/>
      </c>
      <c r="G41" s="26">
        <f>IF(OR(B41="",N(J41)=0),"",SUMPRODUCT(MAX((Gifts!$C$6:$C$1005=B41)*Gifts!$Q$6:$Q$1005*Gifts!$M$6:$M$1005)))</f>
        <v/>
      </c>
      <c r="H41" s="27">
        <f>IF(B41="","",SUMIFS(Gifts!$D$6:$D$1005,Gifts!$C$6:$C$1005,B41,Gifts!$K$6:$K$1005,Settings!$C$7,Gifts!$D$6:$D$1005,"&gt;0"))</f>
        <v/>
      </c>
      <c r="I41" s="28">
        <f>IF(B41="","",SUMIFS(Gifts!$D$6:$D$1005,Gifts!$C$6:$C$1005,B41,Gifts!$D$6:$D$1005,"&gt;0",Gifts!$M$6:$M$1005,"&gt;0"))</f>
        <v/>
      </c>
      <c r="J41" s="18">
        <f>IF(B41="","",SUMIFS(Gifts!$Q$6:$Q$1005,Gifts!$C$6:$C$1005,B41))</f>
        <v/>
      </c>
      <c r="K41" s="29">
        <f>IF(B41="","",IF(N(J41)=0,"No gifts yet",IF(AND(N(Settings!$C$9)&gt;0,G41&lt;EDATE(TODAY(),-N(Settings!$C$9))),"Lapsed",IF(YEAR(F41)=N(Settings!$C$7),"New","Active"))))</f>
        <v/>
      </c>
      <c r="L41" s="1" t="n"/>
      <c r="M41">
        <f>IF(OR(B41="",N(H41)&lt;=0),"",ROUND(H41*100,0)*1000+1000-ROW())</f>
        <v/>
      </c>
      <c r="N41">
        <f>IF(B41="","",SUMIFS(Gifts!$Q$6:$Q$1005,Gifts!$C$6:$C$1005,B41,Gifts!$K$6:$K$1005,Settings!$C$7))</f>
        <v/>
      </c>
    </row>
    <row r="42">
      <c r="A42" s="1" t="n"/>
      <c r="B42" s="22" t="n"/>
      <c r="C42" s="24" t="n"/>
      <c r="D42" s="25" t="n"/>
      <c r="E42" s="25" t="n"/>
      <c r="F42" s="26">
        <f>IF(OR(B42="",N(J42)=0),"",SUMPRODUCT(MIN((Gifts!$C$6:$C$1005=B42)*Gifts!$Q$6:$Q$1005*Gifts!$M$6:$M$1005+(1-(Gifts!$C$6:$C$1005=B42)*Gifts!$Q$6:$Q$1005)*1E9)))</f>
        <v/>
      </c>
      <c r="G42" s="26">
        <f>IF(OR(B42="",N(J42)=0),"",SUMPRODUCT(MAX((Gifts!$C$6:$C$1005=B42)*Gifts!$Q$6:$Q$1005*Gifts!$M$6:$M$1005)))</f>
        <v/>
      </c>
      <c r="H42" s="27">
        <f>IF(B42="","",SUMIFS(Gifts!$D$6:$D$1005,Gifts!$C$6:$C$1005,B42,Gifts!$K$6:$K$1005,Settings!$C$7,Gifts!$D$6:$D$1005,"&gt;0"))</f>
        <v/>
      </c>
      <c r="I42" s="28">
        <f>IF(B42="","",SUMIFS(Gifts!$D$6:$D$1005,Gifts!$C$6:$C$1005,B42,Gifts!$D$6:$D$1005,"&gt;0",Gifts!$M$6:$M$1005,"&gt;0"))</f>
        <v/>
      </c>
      <c r="J42" s="18">
        <f>IF(B42="","",SUMIFS(Gifts!$Q$6:$Q$1005,Gifts!$C$6:$C$1005,B42))</f>
        <v/>
      </c>
      <c r="K42" s="29">
        <f>IF(B42="","",IF(N(J42)=0,"No gifts yet",IF(AND(N(Settings!$C$9)&gt;0,G42&lt;EDATE(TODAY(),-N(Settings!$C$9))),"Lapsed",IF(YEAR(F42)=N(Settings!$C$7),"New","Active"))))</f>
        <v/>
      </c>
      <c r="L42" s="1" t="n"/>
      <c r="M42">
        <f>IF(OR(B42="",N(H42)&lt;=0),"",ROUND(H42*100,0)*1000+1000-ROW())</f>
        <v/>
      </c>
      <c r="N42">
        <f>IF(B42="","",SUMIFS(Gifts!$Q$6:$Q$1005,Gifts!$C$6:$C$1005,B42,Gifts!$K$6:$K$1005,Settings!$C$7))</f>
        <v/>
      </c>
    </row>
    <row r="43">
      <c r="A43" s="1" t="n"/>
      <c r="B43" s="22" t="n"/>
      <c r="C43" s="24" t="n"/>
      <c r="D43" s="25" t="n"/>
      <c r="E43" s="25" t="n"/>
      <c r="F43" s="26">
        <f>IF(OR(B43="",N(J43)=0),"",SUMPRODUCT(MIN((Gifts!$C$6:$C$1005=B43)*Gifts!$Q$6:$Q$1005*Gifts!$M$6:$M$1005+(1-(Gifts!$C$6:$C$1005=B43)*Gifts!$Q$6:$Q$1005)*1E9)))</f>
        <v/>
      </c>
      <c r="G43" s="26">
        <f>IF(OR(B43="",N(J43)=0),"",SUMPRODUCT(MAX((Gifts!$C$6:$C$1005=B43)*Gifts!$Q$6:$Q$1005*Gifts!$M$6:$M$1005)))</f>
        <v/>
      </c>
      <c r="H43" s="27">
        <f>IF(B43="","",SUMIFS(Gifts!$D$6:$D$1005,Gifts!$C$6:$C$1005,B43,Gifts!$K$6:$K$1005,Settings!$C$7,Gifts!$D$6:$D$1005,"&gt;0"))</f>
        <v/>
      </c>
      <c r="I43" s="28">
        <f>IF(B43="","",SUMIFS(Gifts!$D$6:$D$1005,Gifts!$C$6:$C$1005,B43,Gifts!$D$6:$D$1005,"&gt;0",Gifts!$M$6:$M$1005,"&gt;0"))</f>
        <v/>
      </c>
      <c r="J43" s="18">
        <f>IF(B43="","",SUMIFS(Gifts!$Q$6:$Q$1005,Gifts!$C$6:$C$1005,B43))</f>
        <v/>
      </c>
      <c r="K43" s="29">
        <f>IF(B43="","",IF(N(J43)=0,"No gifts yet",IF(AND(N(Settings!$C$9)&gt;0,G43&lt;EDATE(TODAY(),-N(Settings!$C$9))),"Lapsed",IF(YEAR(F43)=N(Settings!$C$7),"New","Active"))))</f>
        <v/>
      </c>
      <c r="L43" s="1" t="n"/>
      <c r="M43">
        <f>IF(OR(B43="",N(H43)&lt;=0),"",ROUND(H43*100,0)*1000+1000-ROW())</f>
        <v/>
      </c>
      <c r="N43">
        <f>IF(B43="","",SUMIFS(Gifts!$Q$6:$Q$1005,Gifts!$C$6:$C$1005,B43,Gifts!$K$6:$K$1005,Settings!$C$7))</f>
        <v/>
      </c>
    </row>
    <row r="44">
      <c r="A44" s="1" t="n"/>
      <c r="B44" s="22" t="n"/>
      <c r="C44" s="24" t="n"/>
      <c r="D44" s="25" t="n"/>
      <c r="E44" s="25" t="n"/>
      <c r="F44" s="26">
        <f>IF(OR(B44="",N(J44)=0),"",SUMPRODUCT(MIN((Gifts!$C$6:$C$1005=B44)*Gifts!$Q$6:$Q$1005*Gifts!$M$6:$M$1005+(1-(Gifts!$C$6:$C$1005=B44)*Gifts!$Q$6:$Q$1005)*1E9)))</f>
        <v/>
      </c>
      <c r="G44" s="26">
        <f>IF(OR(B44="",N(J44)=0),"",SUMPRODUCT(MAX((Gifts!$C$6:$C$1005=B44)*Gifts!$Q$6:$Q$1005*Gifts!$M$6:$M$1005)))</f>
        <v/>
      </c>
      <c r="H44" s="27">
        <f>IF(B44="","",SUMIFS(Gifts!$D$6:$D$1005,Gifts!$C$6:$C$1005,B44,Gifts!$K$6:$K$1005,Settings!$C$7,Gifts!$D$6:$D$1005,"&gt;0"))</f>
        <v/>
      </c>
      <c r="I44" s="28">
        <f>IF(B44="","",SUMIFS(Gifts!$D$6:$D$1005,Gifts!$C$6:$C$1005,B44,Gifts!$D$6:$D$1005,"&gt;0",Gifts!$M$6:$M$1005,"&gt;0"))</f>
        <v/>
      </c>
      <c r="J44" s="18">
        <f>IF(B44="","",SUMIFS(Gifts!$Q$6:$Q$1005,Gifts!$C$6:$C$1005,B44))</f>
        <v/>
      </c>
      <c r="K44" s="29">
        <f>IF(B44="","",IF(N(J44)=0,"No gifts yet",IF(AND(N(Settings!$C$9)&gt;0,G44&lt;EDATE(TODAY(),-N(Settings!$C$9))),"Lapsed",IF(YEAR(F44)=N(Settings!$C$7),"New","Active"))))</f>
        <v/>
      </c>
      <c r="L44" s="1" t="n"/>
      <c r="M44">
        <f>IF(OR(B44="",N(H44)&lt;=0),"",ROUND(H44*100,0)*1000+1000-ROW())</f>
        <v/>
      </c>
      <c r="N44">
        <f>IF(B44="","",SUMIFS(Gifts!$Q$6:$Q$1005,Gifts!$C$6:$C$1005,B44,Gifts!$K$6:$K$1005,Settings!$C$7))</f>
        <v/>
      </c>
    </row>
    <row r="45">
      <c r="A45" s="1" t="n"/>
      <c r="B45" s="22" t="n"/>
      <c r="C45" s="24" t="n"/>
      <c r="D45" s="25" t="n"/>
      <c r="E45" s="25" t="n"/>
      <c r="F45" s="26">
        <f>IF(OR(B45="",N(J45)=0),"",SUMPRODUCT(MIN((Gifts!$C$6:$C$1005=B45)*Gifts!$Q$6:$Q$1005*Gifts!$M$6:$M$1005+(1-(Gifts!$C$6:$C$1005=B45)*Gifts!$Q$6:$Q$1005)*1E9)))</f>
        <v/>
      </c>
      <c r="G45" s="26">
        <f>IF(OR(B45="",N(J45)=0),"",SUMPRODUCT(MAX((Gifts!$C$6:$C$1005=B45)*Gifts!$Q$6:$Q$1005*Gifts!$M$6:$M$1005)))</f>
        <v/>
      </c>
      <c r="H45" s="27">
        <f>IF(B45="","",SUMIFS(Gifts!$D$6:$D$1005,Gifts!$C$6:$C$1005,B45,Gifts!$K$6:$K$1005,Settings!$C$7,Gifts!$D$6:$D$1005,"&gt;0"))</f>
        <v/>
      </c>
      <c r="I45" s="28">
        <f>IF(B45="","",SUMIFS(Gifts!$D$6:$D$1005,Gifts!$C$6:$C$1005,B45,Gifts!$D$6:$D$1005,"&gt;0",Gifts!$M$6:$M$1005,"&gt;0"))</f>
        <v/>
      </c>
      <c r="J45" s="18">
        <f>IF(B45="","",SUMIFS(Gifts!$Q$6:$Q$1005,Gifts!$C$6:$C$1005,B45))</f>
        <v/>
      </c>
      <c r="K45" s="29">
        <f>IF(B45="","",IF(N(J45)=0,"No gifts yet",IF(AND(N(Settings!$C$9)&gt;0,G45&lt;EDATE(TODAY(),-N(Settings!$C$9))),"Lapsed",IF(YEAR(F45)=N(Settings!$C$7),"New","Active"))))</f>
        <v/>
      </c>
      <c r="L45" s="1" t="n"/>
      <c r="M45">
        <f>IF(OR(B45="",N(H45)&lt;=0),"",ROUND(H45*100,0)*1000+1000-ROW())</f>
        <v/>
      </c>
      <c r="N45">
        <f>IF(B45="","",SUMIFS(Gifts!$Q$6:$Q$1005,Gifts!$C$6:$C$1005,B45,Gifts!$K$6:$K$1005,Settings!$C$7))</f>
        <v/>
      </c>
    </row>
    <row r="46">
      <c r="A46" s="1" t="n"/>
      <c r="B46" s="22" t="n"/>
      <c r="C46" s="24" t="n"/>
      <c r="D46" s="25" t="n"/>
      <c r="E46" s="25" t="n"/>
      <c r="F46" s="26">
        <f>IF(OR(B46="",N(J46)=0),"",SUMPRODUCT(MIN((Gifts!$C$6:$C$1005=B46)*Gifts!$Q$6:$Q$1005*Gifts!$M$6:$M$1005+(1-(Gifts!$C$6:$C$1005=B46)*Gifts!$Q$6:$Q$1005)*1E9)))</f>
        <v/>
      </c>
      <c r="G46" s="26">
        <f>IF(OR(B46="",N(J46)=0),"",SUMPRODUCT(MAX((Gifts!$C$6:$C$1005=B46)*Gifts!$Q$6:$Q$1005*Gifts!$M$6:$M$1005)))</f>
        <v/>
      </c>
      <c r="H46" s="27">
        <f>IF(B46="","",SUMIFS(Gifts!$D$6:$D$1005,Gifts!$C$6:$C$1005,B46,Gifts!$K$6:$K$1005,Settings!$C$7,Gifts!$D$6:$D$1005,"&gt;0"))</f>
        <v/>
      </c>
      <c r="I46" s="28">
        <f>IF(B46="","",SUMIFS(Gifts!$D$6:$D$1005,Gifts!$C$6:$C$1005,B46,Gifts!$D$6:$D$1005,"&gt;0",Gifts!$M$6:$M$1005,"&gt;0"))</f>
        <v/>
      </c>
      <c r="J46" s="18">
        <f>IF(B46="","",SUMIFS(Gifts!$Q$6:$Q$1005,Gifts!$C$6:$C$1005,B46))</f>
        <v/>
      </c>
      <c r="K46" s="29">
        <f>IF(B46="","",IF(N(J46)=0,"No gifts yet",IF(AND(N(Settings!$C$9)&gt;0,G46&lt;EDATE(TODAY(),-N(Settings!$C$9))),"Lapsed",IF(YEAR(F46)=N(Settings!$C$7),"New","Active"))))</f>
        <v/>
      </c>
      <c r="L46" s="1" t="n"/>
      <c r="M46">
        <f>IF(OR(B46="",N(H46)&lt;=0),"",ROUND(H46*100,0)*1000+1000-ROW())</f>
        <v/>
      </c>
      <c r="N46">
        <f>IF(B46="","",SUMIFS(Gifts!$Q$6:$Q$1005,Gifts!$C$6:$C$1005,B46,Gifts!$K$6:$K$1005,Settings!$C$7))</f>
        <v/>
      </c>
    </row>
    <row r="47">
      <c r="A47" s="1" t="n"/>
      <c r="B47" s="22" t="n"/>
      <c r="C47" s="24" t="n"/>
      <c r="D47" s="25" t="n"/>
      <c r="E47" s="25" t="n"/>
      <c r="F47" s="26">
        <f>IF(OR(B47="",N(J47)=0),"",SUMPRODUCT(MIN((Gifts!$C$6:$C$1005=B47)*Gifts!$Q$6:$Q$1005*Gifts!$M$6:$M$1005+(1-(Gifts!$C$6:$C$1005=B47)*Gifts!$Q$6:$Q$1005)*1E9)))</f>
        <v/>
      </c>
      <c r="G47" s="26">
        <f>IF(OR(B47="",N(J47)=0),"",SUMPRODUCT(MAX((Gifts!$C$6:$C$1005=B47)*Gifts!$Q$6:$Q$1005*Gifts!$M$6:$M$1005)))</f>
        <v/>
      </c>
      <c r="H47" s="27">
        <f>IF(B47="","",SUMIFS(Gifts!$D$6:$D$1005,Gifts!$C$6:$C$1005,B47,Gifts!$K$6:$K$1005,Settings!$C$7,Gifts!$D$6:$D$1005,"&gt;0"))</f>
        <v/>
      </c>
      <c r="I47" s="28">
        <f>IF(B47="","",SUMIFS(Gifts!$D$6:$D$1005,Gifts!$C$6:$C$1005,B47,Gifts!$D$6:$D$1005,"&gt;0",Gifts!$M$6:$M$1005,"&gt;0"))</f>
        <v/>
      </c>
      <c r="J47" s="18">
        <f>IF(B47="","",SUMIFS(Gifts!$Q$6:$Q$1005,Gifts!$C$6:$C$1005,B47))</f>
        <v/>
      </c>
      <c r="K47" s="29">
        <f>IF(B47="","",IF(N(J47)=0,"No gifts yet",IF(AND(N(Settings!$C$9)&gt;0,G47&lt;EDATE(TODAY(),-N(Settings!$C$9))),"Lapsed",IF(YEAR(F47)=N(Settings!$C$7),"New","Active"))))</f>
        <v/>
      </c>
      <c r="L47" s="1" t="n"/>
      <c r="M47">
        <f>IF(OR(B47="",N(H47)&lt;=0),"",ROUND(H47*100,0)*1000+1000-ROW())</f>
        <v/>
      </c>
      <c r="N47">
        <f>IF(B47="","",SUMIFS(Gifts!$Q$6:$Q$1005,Gifts!$C$6:$C$1005,B47,Gifts!$K$6:$K$1005,Settings!$C$7))</f>
        <v/>
      </c>
    </row>
    <row r="48">
      <c r="A48" s="1" t="n"/>
      <c r="B48" s="22" t="n"/>
      <c r="C48" s="24" t="n"/>
      <c r="D48" s="25" t="n"/>
      <c r="E48" s="25" t="n"/>
      <c r="F48" s="26">
        <f>IF(OR(B48="",N(J48)=0),"",SUMPRODUCT(MIN((Gifts!$C$6:$C$1005=B48)*Gifts!$Q$6:$Q$1005*Gifts!$M$6:$M$1005+(1-(Gifts!$C$6:$C$1005=B48)*Gifts!$Q$6:$Q$1005)*1E9)))</f>
        <v/>
      </c>
      <c r="G48" s="26">
        <f>IF(OR(B48="",N(J48)=0),"",SUMPRODUCT(MAX((Gifts!$C$6:$C$1005=B48)*Gifts!$Q$6:$Q$1005*Gifts!$M$6:$M$1005)))</f>
        <v/>
      </c>
      <c r="H48" s="27">
        <f>IF(B48="","",SUMIFS(Gifts!$D$6:$D$1005,Gifts!$C$6:$C$1005,B48,Gifts!$K$6:$K$1005,Settings!$C$7,Gifts!$D$6:$D$1005,"&gt;0"))</f>
        <v/>
      </c>
      <c r="I48" s="28">
        <f>IF(B48="","",SUMIFS(Gifts!$D$6:$D$1005,Gifts!$C$6:$C$1005,B48,Gifts!$D$6:$D$1005,"&gt;0",Gifts!$M$6:$M$1005,"&gt;0"))</f>
        <v/>
      </c>
      <c r="J48" s="18">
        <f>IF(B48="","",SUMIFS(Gifts!$Q$6:$Q$1005,Gifts!$C$6:$C$1005,B48))</f>
        <v/>
      </c>
      <c r="K48" s="29">
        <f>IF(B48="","",IF(N(J48)=0,"No gifts yet",IF(AND(N(Settings!$C$9)&gt;0,G48&lt;EDATE(TODAY(),-N(Settings!$C$9))),"Lapsed",IF(YEAR(F48)=N(Settings!$C$7),"New","Active"))))</f>
        <v/>
      </c>
      <c r="L48" s="1" t="n"/>
      <c r="M48">
        <f>IF(OR(B48="",N(H48)&lt;=0),"",ROUND(H48*100,0)*1000+1000-ROW())</f>
        <v/>
      </c>
      <c r="N48">
        <f>IF(B48="","",SUMIFS(Gifts!$Q$6:$Q$1005,Gifts!$C$6:$C$1005,B48,Gifts!$K$6:$K$1005,Settings!$C$7))</f>
        <v/>
      </c>
    </row>
    <row r="49">
      <c r="A49" s="1" t="n"/>
      <c r="B49" s="22" t="n"/>
      <c r="C49" s="24" t="n"/>
      <c r="D49" s="25" t="n"/>
      <c r="E49" s="25" t="n"/>
      <c r="F49" s="26">
        <f>IF(OR(B49="",N(J49)=0),"",SUMPRODUCT(MIN((Gifts!$C$6:$C$1005=B49)*Gifts!$Q$6:$Q$1005*Gifts!$M$6:$M$1005+(1-(Gifts!$C$6:$C$1005=B49)*Gifts!$Q$6:$Q$1005)*1E9)))</f>
        <v/>
      </c>
      <c r="G49" s="26">
        <f>IF(OR(B49="",N(J49)=0),"",SUMPRODUCT(MAX((Gifts!$C$6:$C$1005=B49)*Gifts!$Q$6:$Q$1005*Gifts!$M$6:$M$1005)))</f>
        <v/>
      </c>
      <c r="H49" s="27">
        <f>IF(B49="","",SUMIFS(Gifts!$D$6:$D$1005,Gifts!$C$6:$C$1005,B49,Gifts!$K$6:$K$1005,Settings!$C$7,Gifts!$D$6:$D$1005,"&gt;0"))</f>
        <v/>
      </c>
      <c r="I49" s="28">
        <f>IF(B49="","",SUMIFS(Gifts!$D$6:$D$1005,Gifts!$C$6:$C$1005,B49,Gifts!$D$6:$D$1005,"&gt;0",Gifts!$M$6:$M$1005,"&gt;0"))</f>
        <v/>
      </c>
      <c r="J49" s="18">
        <f>IF(B49="","",SUMIFS(Gifts!$Q$6:$Q$1005,Gifts!$C$6:$C$1005,B49))</f>
        <v/>
      </c>
      <c r="K49" s="29">
        <f>IF(B49="","",IF(N(J49)=0,"No gifts yet",IF(AND(N(Settings!$C$9)&gt;0,G49&lt;EDATE(TODAY(),-N(Settings!$C$9))),"Lapsed",IF(YEAR(F49)=N(Settings!$C$7),"New","Active"))))</f>
        <v/>
      </c>
      <c r="L49" s="1" t="n"/>
      <c r="M49">
        <f>IF(OR(B49="",N(H49)&lt;=0),"",ROUND(H49*100,0)*1000+1000-ROW())</f>
        <v/>
      </c>
      <c r="N49">
        <f>IF(B49="","",SUMIFS(Gifts!$Q$6:$Q$1005,Gifts!$C$6:$C$1005,B49,Gifts!$K$6:$K$1005,Settings!$C$7))</f>
        <v/>
      </c>
    </row>
    <row r="50">
      <c r="A50" s="1" t="n"/>
      <c r="B50" s="22" t="n"/>
      <c r="C50" s="24" t="n"/>
      <c r="D50" s="25" t="n"/>
      <c r="E50" s="25" t="n"/>
      <c r="F50" s="26">
        <f>IF(OR(B50="",N(J50)=0),"",SUMPRODUCT(MIN((Gifts!$C$6:$C$1005=B50)*Gifts!$Q$6:$Q$1005*Gifts!$M$6:$M$1005+(1-(Gifts!$C$6:$C$1005=B50)*Gifts!$Q$6:$Q$1005)*1E9)))</f>
        <v/>
      </c>
      <c r="G50" s="26">
        <f>IF(OR(B50="",N(J50)=0),"",SUMPRODUCT(MAX((Gifts!$C$6:$C$1005=B50)*Gifts!$Q$6:$Q$1005*Gifts!$M$6:$M$1005)))</f>
        <v/>
      </c>
      <c r="H50" s="27">
        <f>IF(B50="","",SUMIFS(Gifts!$D$6:$D$1005,Gifts!$C$6:$C$1005,B50,Gifts!$K$6:$K$1005,Settings!$C$7,Gifts!$D$6:$D$1005,"&gt;0"))</f>
        <v/>
      </c>
      <c r="I50" s="28">
        <f>IF(B50="","",SUMIFS(Gifts!$D$6:$D$1005,Gifts!$C$6:$C$1005,B50,Gifts!$D$6:$D$1005,"&gt;0",Gifts!$M$6:$M$1005,"&gt;0"))</f>
        <v/>
      </c>
      <c r="J50" s="18">
        <f>IF(B50="","",SUMIFS(Gifts!$Q$6:$Q$1005,Gifts!$C$6:$C$1005,B50))</f>
        <v/>
      </c>
      <c r="K50" s="29">
        <f>IF(B50="","",IF(N(J50)=0,"No gifts yet",IF(AND(N(Settings!$C$9)&gt;0,G50&lt;EDATE(TODAY(),-N(Settings!$C$9))),"Lapsed",IF(YEAR(F50)=N(Settings!$C$7),"New","Active"))))</f>
        <v/>
      </c>
      <c r="L50" s="1" t="n"/>
      <c r="M50">
        <f>IF(OR(B50="",N(H50)&lt;=0),"",ROUND(H50*100,0)*1000+1000-ROW())</f>
        <v/>
      </c>
      <c r="N50">
        <f>IF(B50="","",SUMIFS(Gifts!$Q$6:$Q$1005,Gifts!$C$6:$C$1005,B50,Gifts!$K$6:$K$1005,Settings!$C$7))</f>
        <v/>
      </c>
    </row>
    <row r="51">
      <c r="A51" s="1" t="n"/>
      <c r="B51" s="22" t="n"/>
      <c r="C51" s="24" t="n"/>
      <c r="D51" s="25" t="n"/>
      <c r="E51" s="25" t="n"/>
      <c r="F51" s="26">
        <f>IF(OR(B51="",N(J51)=0),"",SUMPRODUCT(MIN((Gifts!$C$6:$C$1005=B51)*Gifts!$Q$6:$Q$1005*Gifts!$M$6:$M$1005+(1-(Gifts!$C$6:$C$1005=B51)*Gifts!$Q$6:$Q$1005)*1E9)))</f>
        <v/>
      </c>
      <c r="G51" s="26">
        <f>IF(OR(B51="",N(J51)=0),"",SUMPRODUCT(MAX((Gifts!$C$6:$C$1005=B51)*Gifts!$Q$6:$Q$1005*Gifts!$M$6:$M$1005)))</f>
        <v/>
      </c>
      <c r="H51" s="27">
        <f>IF(B51="","",SUMIFS(Gifts!$D$6:$D$1005,Gifts!$C$6:$C$1005,B51,Gifts!$K$6:$K$1005,Settings!$C$7,Gifts!$D$6:$D$1005,"&gt;0"))</f>
        <v/>
      </c>
      <c r="I51" s="28">
        <f>IF(B51="","",SUMIFS(Gifts!$D$6:$D$1005,Gifts!$C$6:$C$1005,B51,Gifts!$D$6:$D$1005,"&gt;0",Gifts!$M$6:$M$1005,"&gt;0"))</f>
        <v/>
      </c>
      <c r="J51" s="18">
        <f>IF(B51="","",SUMIFS(Gifts!$Q$6:$Q$1005,Gifts!$C$6:$C$1005,B51))</f>
        <v/>
      </c>
      <c r="K51" s="29">
        <f>IF(B51="","",IF(N(J51)=0,"No gifts yet",IF(AND(N(Settings!$C$9)&gt;0,G51&lt;EDATE(TODAY(),-N(Settings!$C$9))),"Lapsed",IF(YEAR(F51)=N(Settings!$C$7),"New","Active"))))</f>
        <v/>
      </c>
      <c r="L51" s="1" t="n"/>
      <c r="M51">
        <f>IF(OR(B51="",N(H51)&lt;=0),"",ROUND(H51*100,0)*1000+1000-ROW())</f>
        <v/>
      </c>
      <c r="N51">
        <f>IF(B51="","",SUMIFS(Gifts!$Q$6:$Q$1005,Gifts!$C$6:$C$1005,B51,Gifts!$K$6:$K$1005,Settings!$C$7))</f>
        <v/>
      </c>
    </row>
    <row r="52">
      <c r="A52" s="1" t="n"/>
      <c r="B52" s="22" t="n"/>
      <c r="C52" s="24" t="n"/>
      <c r="D52" s="25" t="n"/>
      <c r="E52" s="25" t="n"/>
      <c r="F52" s="26">
        <f>IF(OR(B52="",N(J52)=0),"",SUMPRODUCT(MIN((Gifts!$C$6:$C$1005=B52)*Gifts!$Q$6:$Q$1005*Gifts!$M$6:$M$1005+(1-(Gifts!$C$6:$C$1005=B52)*Gifts!$Q$6:$Q$1005)*1E9)))</f>
        <v/>
      </c>
      <c r="G52" s="26">
        <f>IF(OR(B52="",N(J52)=0),"",SUMPRODUCT(MAX((Gifts!$C$6:$C$1005=B52)*Gifts!$Q$6:$Q$1005*Gifts!$M$6:$M$1005)))</f>
        <v/>
      </c>
      <c r="H52" s="27">
        <f>IF(B52="","",SUMIFS(Gifts!$D$6:$D$1005,Gifts!$C$6:$C$1005,B52,Gifts!$K$6:$K$1005,Settings!$C$7,Gifts!$D$6:$D$1005,"&gt;0"))</f>
        <v/>
      </c>
      <c r="I52" s="28">
        <f>IF(B52="","",SUMIFS(Gifts!$D$6:$D$1005,Gifts!$C$6:$C$1005,B52,Gifts!$D$6:$D$1005,"&gt;0",Gifts!$M$6:$M$1005,"&gt;0"))</f>
        <v/>
      </c>
      <c r="J52" s="18">
        <f>IF(B52="","",SUMIFS(Gifts!$Q$6:$Q$1005,Gifts!$C$6:$C$1005,B52))</f>
        <v/>
      </c>
      <c r="K52" s="29">
        <f>IF(B52="","",IF(N(J52)=0,"No gifts yet",IF(AND(N(Settings!$C$9)&gt;0,G52&lt;EDATE(TODAY(),-N(Settings!$C$9))),"Lapsed",IF(YEAR(F52)=N(Settings!$C$7),"New","Active"))))</f>
        <v/>
      </c>
      <c r="L52" s="1" t="n"/>
      <c r="M52">
        <f>IF(OR(B52="",N(H52)&lt;=0),"",ROUND(H52*100,0)*1000+1000-ROW())</f>
        <v/>
      </c>
      <c r="N52">
        <f>IF(B52="","",SUMIFS(Gifts!$Q$6:$Q$1005,Gifts!$C$6:$C$1005,B52,Gifts!$K$6:$K$1005,Settings!$C$7))</f>
        <v/>
      </c>
    </row>
    <row r="53">
      <c r="A53" s="1" t="n"/>
      <c r="B53" s="22" t="n"/>
      <c r="C53" s="24" t="n"/>
      <c r="D53" s="25" t="n"/>
      <c r="E53" s="25" t="n"/>
      <c r="F53" s="26">
        <f>IF(OR(B53="",N(J53)=0),"",SUMPRODUCT(MIN((Gifts!$C$6:$C$1005=B53)*Gifts!$Q$6:$Q$1005*Gifts!$M$6:$M$1005+(1-(Gifts!$C$6:$C$1005=B53)*Gifts!$Q$6:$Q$1005)*1E9)))</f>
        <v/>
      </c>
      <c r="G53" s="26">
        <f>IF(OR(B53="",N(J53)=0),"",SUMPRODUCT(MAX((Gifts!$C$6:$C$1005=B53)*Gifts!$Q$6:$Q$1005*Gifts!$M$6:$M$1005)))</f>
        <v/>
      </c>
      <c r="H53" s="27">
        <f>IF(B53="","",SUMIFS(Gifts!$D$6:$D$1005,Gifts!$C$6:$C$1005,B53,Gifts!$K$6:$K$1005,Settings!$C$7,Gifts!$D$6:$D$1005,"&gt;0"))</f>
        <v/>
      </c>
      <c r="I53" s="28">
        <f>IF(B53="","",SUMIFS(Gifts!$D$6:$D$1005,Gifts!$C$6:$C$1005,B53,Gifts!$D$6:$D$1005,"&gt;0",Gifts!$M$6:$M$1005,"&gt;0"))</f>
        <v/>
      </c>
      <c r="J53" s="18">
        <f>IF(B53="","",SUMIFS(Gifts!$Q$6:$Q$1005,Gifts!$C$6:$C$1005,B53))</f>
        <v/>
      </c>
      <c r="K53" s="29">
        <f>IF(B53="","",IF(N(J53)=0,"No gifts yet",IF(AND(N(Settings!$C$9)&gt;0,G53&lt;EDATE(TODAY(),-N(Settings!$C$9))),"Lapsed",IF(YEAR(F53)=N(Settings!$C$7),"New","Active"))))</f>
        <v/>
      </c>
      <c r="L53" s="1" t="n"/>
      <c r="M53">
        <f>IF(OR(B53="",N(H53)&lt;=0),"",ROUND(H53*100,0)*1000+1000-ROW())</f>
        <v/>
      </c>
      <c r="N53">
        <f>IF(B53="","",SUMIFS(Gifts!$Q$6:$Q$1005,Gifts!$C$6:$C$1005,B53,Gifts!$K$6:$K$1005,Settings!$C$7))</f>
        <v/>
      </c>
    </row>
    <row r="54">
      <c r="A54" s="1" t="n"/>
      <c r="B54" s="22" t="n"/>
      <c r="C54" s="24" t="n"/>
      <c r="D54" s="25" t="n"/>
      <c r="E54" s="25" t="n"/>
      <c r="F54" s="26">
        <f>IF(OR(B54="",N(J54)=0),"",SUMPRODUCT(MIN((Gifts!$C$6:$C$1005=B54)*Gifts!$Q$6:$Q$1005*Gifts!$M$6:$M$1005+(1-(Gifts!$C$6:$C$1005=B54)*Gifts!$Q$6:$Q$1005)*1E9)))</f>
        <v/>
      </c>
      <c r="G54" s="26">
        <f>IF(OR(B54="",N(J54)=0),"",SUMPRODUCT(MAX((Gifts!$C$6:$C$1005=B54)*Gifts!$Q$6:$Q$1005*Gifts!$M$6:$M$1005)))</f>
        <v/>
      </c>
      <c r="H54" s="27">
        <f>IF(B54="","",SUMIFS(Gifts!$D$6:$D$1005,Gifts!$C$6:$C$1005,B54,Gifts!$K$6:$K$1005,Settings!$C$7,Gifts!$D$6:$D$1005,"&gt;0"))</f>
        <v/>
      </c>
      <c r="I54" s="28">
        <f>IF(B54="","",SUMIFS(Gifts!$D$6:$D$1005,Gifts!$C$6:$C$1005,B54,Gifts!$D$6:$D$1005,"&gt;0",Gifts!$M$6:$M$1005,"&gt;0"))</f>
        <v/>
      </c>
      <c r="J54" s="18">
        <f>IF(B54="","",SUMIFS(Gifts!$Q$6:$Q$1005,Gifts!$C$6:$C$1005,B54))</f>
        <v/>
      </c>
      <c r="K54" s="29">
        <f>IF(B54="","",IF(N(J54)=0,"No gifts yet",IF(AND(N(Settings!$C$9)&gt;0,G54&lt;EDATE(TODAY(),-N(Settings!$C$9))),"Lapsed",IF(YEAR(F54)=N(Settings!$C$7),"New","Active"))))</f>
        <v/>
      </c>
      <c r="L54" s="1" t="n"/>
      <c r="M54">
        <f>IF(OR(B54="",N(H54)&lt;=0),"",ROUND(H54*100,0)*1000+1000-ROW())</f>
        <v/>
      </c>
      <c r="N54">
        <f>IF(B54="","",SUMIFS(Gifts!$Q$6:$Q$1005,Gifts!$C$6:$C$1005,B54,Gifts!$K$6:$K$1005,Settings!$C$7))</f>
        <v/>
      </c>
    </row>
    <row r="55">
      <c r="A55" s="1" t="n"/>
      <c r="B55" s="22" t="n"/>
      <c r="C55" s="24" t="n"/>
      <c r="D55" s="25" t="n"/>
      <c r="E55" s="25" t="n"/>
      <c r="F55" s="26">
        <f>IF(OR(B55="",N(J55)=0),"",SUMPRODUCT(MIN((Gifts!$C$6:$C$1005=B55)*Gifts!$Q$6:$Q$1005*Gifts!$M$6:$M$1005+(1-(Gifts!$C$6:$C$1005=B55)*Gifts!$Q$6:$Q$1005)*1E9)))</f>
        <v/>
      </c>
      <c r="G55" s="26">
        <f>IF(OR(B55="",N(J55)=0),"",SUMPRODUCT(MAX((Gifts!$C$6:$C$1005=B55)*Gifts!$Q$6:$Q$1005*Gifts!$M$6:$M$1005)))</f>
        <v/>
      </c>
      <c r="H55" s="27">
        <f>IF(B55="","",SUMIFS(Gifts!$D$6:$D$1005,Gifts!$C$6:$C$1005,B55,Gifts!$K$6:$K$1005,Settings!$C$7,Gifts!$D$6:$D$1005,"&gt;0"))</f>
        <v/>
      </c>
      <c r="I55" s="28">
        <f>IF(B55="","",SUMIFS(Gifts!$D$6:$D$1005,Gifts!$C$6:$C$1005,B55,Gifts!$D$6:$D$1005,"&gt;0",Gifts!$M$6:$M$1005,"&gt;0"))</f>
        <v/>
      </c>
      <c r="J55" s="18">
        <f>IF(B55="","",SUMIFS(Gifts!$Q$6:$Q$1005,Gifts!$C$6:$C$1005,B55))</f>
        <v/>
      </c>
      <c r="K55" s="29">
        <f>IF(B55="","",IF(N(J55)=0,"No gifts yet",IF(AND(N(Settings!$C$9)&gt;0,G55&lt;EDATE(TODAY(),-N(Settings!$C$9))),"Lapsed",IF(YEAR(F55)=N(Settings!$C$7),"New","Active"))))</f>
        <v/>
      </c>
      <c r="L55" s="1" t="n"/>
      <c r="M55">
        <f>IF(OR(B55="",N(H55)&lt;=0),"",ROUND(H55*100,0)*1000+1000-ROW())</f>
        <v/>
      </c>
      <c r="N55">
        <f>IF(B55="","",SUMIFS(Gifts!$Q$6:$Q$1005,Gifts!$C$6:$C$1005,B55,Gifts!$K$6:$K$1005,Settings!$C$7))</f>
        <v/>
      </c>
    </row>
    <row r="56">
      <c r="A56" s="1" t="n"/>
      <c r="B56" s="22" t="n"/>
      <c r="C56" s="24" t="n"/>
      <c r="D56" s="25" t="n"/>
      <c r="E56" s="25" t="n"/>
      <c r="F56" s="26">
        <f>IF(OR(B56="",N(J56)=0),"",SUMPRODUCT(MIN((Gifts!$C$6:$C$1005=B56)*Gifts!$Q$6:$Q$1005*Gifts!$M$6:$M$1005+(1-(Gifts!$C$6:$C$1005=B56)*Gifts!$Q$6:$Q$1005)*1E9)))</f>
        <v/>
      </c>
      <c r="G56" s="26">
        <f>IF(OR(B56="",N(J56)=0),"",SUMPRODUCT(MAX((Gifts!$C$6:$C$1005=B56)*Gifts!$Q$6:$Q$1005*Gifts!$M$6:$M$1005)))</f>
        <v/>
      </c>
      <c r="H56" s="27">
        <f>IF(B56="","",SUMIFS(Gifts!$D$6:$D$1005,Gifts!$C$6:$C$1005,B56,Gifts!$K$6:$K$1005,Settings!$C$7,Gifts!$D$6:$D$1005,"&gt;0"))</f>
        <v/>
      </c>
      <c r="I56" s="28">
        <f>IF(B56="","",SUMIFS(Gifts!$D$6:$D$1005,Gifts!$C$6:$C$1005,B56,Gifts!$D$6:$D$1005,"&gt;0",Gifts!$M$6:$M$1005,"&gt;0"))</f>
        <v/>
      </c>
      <c r="J56" s="18">
        <f>IF(B56="","",SUMIFS(Gifts!$Q$6:$Q$1005,Gifts!$C$6:$C$1005,B56))</f>
        <v/>
      </c>
      <c r="K56" s="29">
        <f>IF(B56="","",IF(N(J56)=0,"No gifts yet",IF(AND(N(Settings!$C$9)&gt;0,G56&lt;EDATE(TODAY(),-N(Settings!$C$9))),"Lapsed",IF(YEAR(F56)=N(Settings!$C$7),"New","Active"))))</f>
        <v/>
      </c>
      <c r="L56" s="1" t="n"/>
      <c r="M56">
        <f>IF(OR(B56="",N(H56)&lt;=0),"",ROUND(H56*100,0)*1000+1000-ROW())</f>
        <v/>
      </c>
      <c r="N56">
        <f>IF(B56="","",SUMIFS(Gifts!$Q$6:$Q$1005,Gifts!$C$6:$C$1005,B56,Gifts!$K$6:$K$1005,Settings!$C$7))</f>
        <v/>
      </c>
    </row>
    <row r="57">
      <c r="A57" s="1" t="n"/>
      <c r="B57" s="22" t="n"/>
      <c r="C57" s="24" t="n"/>
      <c r="D57" s="25" t="n"/>
      <c r="E57" s="25" t="n"/>
      <c r="F57" s="26">
        <f>IF(OR(B57="",N(J57)=0),"",SUMPRODUCT(MIN((Gifts!$C$6:$C$1005=B57)*Gifts!$Q$6:$Q$1005*Gifts!$M$6:$M$1005+(1-(Gifts!$C$6:$C$1005=B57)*Gifts!$Q$6:$Q$1005)*1E9)))</f>
        <v/>
      </c>
      <c r="G57" s="26">
        <f>IF(OR(B57="",N(J57)=0),"",SUMPRODUCT(MAX((Gifts!$C$6:$C$1005=B57)*Gifts!$Q$6:$Q$1005*Gifts!$M$6:$M$1005)))</f>
        <v/>
      </c>
      <c r="H57" s="27">
        <f>IF(B57="","",SUMIFS(Gifts!$D$6:$D$1005,Gifts!$C$6:$C$1005,B57,Gifts!$K$6:$K$1005,Settings!$C$7,Gifts!$D$6:$D$1005,"&gt;0"))</f>
        <v/>
      </c>
      <c r="I57" s="28">
        <f>IF(B57="","",SUMIFS(Gifts!$D$6:$D$1005,Gifts!$C$6:$C$1005,B57,Gifts!$D$6:$D$1005,"&gt;0",Gifts!$M$6:$M$1005,"&gt;0"))</f>
        <v/>
      </c>
      <c r="J57" s="18">
        <f>IF(B57="","",SUMIFS(Gifts!$Q$6:$Q$1005,Gifts!$C$6:$C$1005,B57))</f>
        <v/>
      </c>
      <c r="K57" s="29">
        <f>IF(B57="","",IF(N(J57)=0,"No gifts yet",IF(AND(N(Settings!$C$9)&gt;0,G57&lt;EDATE(TODAY(),-N(Settings!$C$9))),"Lapsed",IF(YEAR(F57)=N(Settings!$C$7),"New","Active"))))</f>
        <v/>
      </c>
      <c r="L57" s="1" t="n"/>
      <c r="M57">
        <f>IF(OR(B57="",N(H57)&lt;=0),"",ROUND(H57*100,0)*1000+1000-ROW())</f>
        <v/>
      </c>
      <c r="N57">
        <f>IF(B57="","",SUMIFS(Gifts!$Q$6:$Q$1005,Gifts!$C$6:$C$1005,B57,Gifts!$K$6:$K$1005,Settings!$C$7))</f>
        <v/>
      </c>
    </row>
    <row r="58">
      <c r="A58" s="1" t="n"/>
      <c r="B58" s="22" t="n"/>
      <c r="C58" s="24" t="n"/>
      <c r="D58" s="25" t="n"/>
      <c r="E58" s="25" t="n"/>
      <c r="F58" s="26">
        <f>IF(OR(B58="",N(J58)=0),"",SUMPRODUCT(MIN((Gifts!$C$6:$C$1005=B58)*Gifts!$Q$6:$Q$1005*Gifts!$M$6:$M$1005+(1-(Gifts!$C$6:$C$1005=B58)*Gifts!$Q$6:$Q$1005)*1E9)))</f>
        <v/>
      </c>
      <c r="G58" s="26">
        <f>IF(OR(B58="",N(J58)=0),"",SUMPRODUCT(MAX((Gifts!$C$6:$C$1005=B58)*Gifts!$Q$6:$Q$1005*Gifts!$M$6:$M$1005)))</f>
        <v/>
      </c>
      <c r="H58" s="27">
        <f>IF(B58="","",SUMIFS(Gifts!$D$6:$D$1005,Gifts!$C$6:$C$1005,B58,Gifts!$K$6:$K$1005,Settings!$C$7,Gifts!$D$6:$D$1005,"&gt;0"))</f>
        <v/>
      </c>
      <c r="I58" s="28">
        <f>IF(B58="","",SUMIFS(Gifts!$D$6:$D$1005,Gifts!$C$6:$C$1005,B58,Gifts!$D$6:$D$1005,"&gt;0",Gifts!$M$6:$M$1005,"&gt;0"))</f>
        <v/>
      </c>
      <c r="J58" s="18">
        <f>IF(B58="","",SUMIFS(Gifts!$Q$6:$Q$1005,Gifts!$C$6:$C$1005,B58))</f>
        <v/>
      </c>
      <c r="K58" s="29">
        <f>IF(B58="","",IF(N(J58)=0,"No gifts yet",IF(AND(N(Settings!$C$9)&gt;0,G58&lt;EDATE(TODAY(),-N(Settings!$C$9))),"Lapsed",IF(YEAR(F58)=N(Settings!$C$7),"New","Active"))))</f>
        <v/>
      </c>
      <c r="L58" s="1" t="n"/>
      <c r="M58">
        <f>IF(OR(B58="",N(H58)&lt;=0),"",ROUND(H58*100,0)*1000+1000-ROW())</f>
        <v/>
      </c>
      <c r="N58">
        <f>IF(B58="","",SUMIFS(Gifts!$Q$6:$Q$1005,Gifts!$C$6:$C$1005,B58,Gifts!$K$6:$K$1005,Settings!$C$7))</f>
        <v/>
      </c>
    </row>
    <row r="59">
      <c r="A59" s="1" t="n"/>
      <c r="B59" s="22" t="n"/>
      <c r="C59" s="24" t="n"/>
      <c r="D59" s="25" t="n"/>
      <c r="E59" s="25" t="n"/>
      <c r="F59" s="26">
        <f>IF(OR(B59="",N(J59)=0),"",SUMPRODUCT(MIN((Gifts!$C$6:$C$1005=B59)*Gifts!$Q$6:$Q$1005*Gifts!$M$6:$M$1005+(1-(Gifts!$C$6:$C$1005=B59)*Gifts!$Q$6:$Q$1005)*1E9)))</f>
        <v/>
      </c>
      <c r="G59" s="26">
        <f>IF(OR(B59="",N(J59)=0),"",SUMPRODUCT(MAX((Gifts!$C$6:$C$1005=B59)*Gifts!$Q$6:$Q$1005*Gifts!$M$6:$M$1005)))</f>
        <v/>
      </c>
      <c r="H59" s="27">
        <f>IF(B59="","",SUMIFS(Gifts!$D$6:$D$1005,Gifts!$C$6:$C$1005,B59,Gifts!$K$6:$K$1005,Settings!$C$7,Gifts!$D$6:$D$1005,"&gt;0"))</f>
        <v/>
      </c>
      <c r="I59" s="28">
        <f>IF(B59="","",SUMIFS(Gifts!$D$6:$D$1005,Gifts!$C$6:$C$1005,B59,Gifts!$D$6:$D$1005,"&gt;0",Gifts!$M$6:$M$1005,"&gt;0"))</f>
        <v/>
      </c>
      <c r="J59" s="18">
        <f>IF(B59="","",SUMIFS(Gifts!$Q$6:$Q$1005,Gifts!$C$6:$C$1005,B59))</f>
        <v/>
      </c>
      <c r="K59" s="29">
        <f>IF(B59="","",IF(N(J59)=0,"No gifts yet",IF(AND(N(Settings!$C$9)&gt;0,G59&lt;EDATE(TODAY(),-N(Settings!$C$9))),"Lapsed",IF(YEAR(F59)=N(Settings!$C$7),"New","Active"))))</f>
        <v/>
      </c>
      <c r="L59" s="1" t="n"/>
      <c r="M59">
        <f>IF(OR(B59="",N(H59)&lt;=0),"",ROUND(H59*100,0)*1000+1000-ROW())</f>
        <v/>
      </c>
      <c r="N59">
        <f>IF(B59="","",SUMIFS(Gifts!$Q$6:$Q$1005,Gifts!$C$6:$C$1005,B59,Gifts!$K$6:$K$1005,Settings!$C$7))</f>
        <v/>
      </c>
    </row>
    <row r="60">
      <c r="A60" s="1" t="n"/>
      <c r="B60" s="22" t="n"/>
      <c r="C60" s="24" t="n"/>
      <c r="D60" s="25" t="n"/>
      <c r="E60" s="25" t="n"/>
      <c r="F60" s="26">
        <f>IF(OR(B60="",N(J60)=0),"",SUMPRODUCT(MIN((Gifts!$C$6:$C$1005=B60)*Gifts!$Q$6:$Q$1005*Gifts!$M$6:$M$1005+(1-(Gifts!$C$6:$C$1005=B60)*Gifts!$Q$6:$Q$1005)*1E9)))</f>
        <v/>
      </c>
      <c r="G60" s="26">
        <f>IF(OR(B60="",N(J60)=0),"",SUMPRODUCT(MAX((Gifts!$C$6:$C$1005=B60)*Gifts!$Q$6:$Q$1005*Gifts!$M$6:$M$1005)))</f>
        <v/>
      </c>
      <c r="H60" s="27">
        <f>IF(B60="","",SUMIFS(Gifts!$D$6:$D$1005,Gifts!$C$6:$C$1005,B60,Gifts!$K$6:$K$1005,Settings!$C$7,Gifts!$D$6:$D$1005,"&gt;0"))</f>
        <v/>
      </c>
      <c r="I60" s="28">
        <f>IF(B60="","",SUMIFS(Gifts!$D$6:$D$1005,Gifts!$C$6:$C$1005,B60,Gifts!$D$6:$D$1005,"&gt;0",Gifts!$M$6:$M$1005,"&gt;0"))</f>
        <v/>
      </c>
      <c r="J60" s="18">
        <f>IF(B60="","",SUMIFS(Gifts!$Q$6:$Q$1005,Gifts!$C$6:$C$1005,B60))</f>
        <v/>
      </c>
      <c r="K60" s="29">
        <f>IF(B60="","",IF(N(J60)=0,"No gifts yet",IF(AND(N(Settings!$C$9)&gt;0,G60&lt;EDATE(TODAY(),-N(Settings!$C$9))),"Lapsed",IF(YEAR(F60)=N(Settings!$C$7),"New","Active"))))</f>
        <v/>
      </c>
      <c r="L60" s="1" t="n"/>
      <c r="M60">
        <f>IF(OR(B60="",N(H60)&lt;=0),"",ROUND(H60*100,0)*1000+1000-ROW())</f>
        <v/>
      </c>
      <c r="N60">
        <f>IF(B60="","",SUMIFS(Gifts!$Q$6:$Q$1005,Gifts!$C$6:$C$1005,B60,Gifts!$K$6:$K$1005,Settings!$C$7))</f>
        <v/>
      </c>
    </row>
    <row r="61">
      <c r="A61" s="1" t="n"/>
      <c r="B61" s="22" t="n"/>
      <c r="C61" s="24" t="n"/>
      <c r="D61" s="25" t="n"/>
      <c r="E61" s="25" t="n"/>
      <c r="F61" s="26">
        <f>IF(OR(B61="",N(J61)=0),"",SUMPRODUCT(MIN((Gifts!$C$6:$C$1005=B61)*Gifts!$Q$6:$Q$1005*Gifts!$M$6:$M$1005+(1-(Gifts!$C$6:$C$1005=B61)*Gifts!$Q$6:$Q$1005)*1E9)))</f>
        <v/>
      </c>
      <c r="G61" s="26">
        <f>IF(OR(B61="",N(J61)=0),"",SUMPRODUCT(MAX((Gifts!$C$6:$C$1005=B61)*Gifts!$Q$6:$Q$1005*Gifts!$M$6:$M$1005)))</f>
        <v/>
      </c>
      <c r="H61" s="27">
        <f>IF(B61="","",SUMIFS(Gifts!$D$6:$D$1005,Gifts!$C$6:$C$1005,B61,Gifts!$K$6:$K$1005,Settings!$C$7,Gifts!$D$6:$D$1005,"&gt;0"))</f>
        <v/>
      </c>
      <c r="I61" s="28">
        <f>IF(B61="","",SUMIFS(Gifts!$D$6:$D$1005,Gifts!$C$6:$C$1005,B61,Gifts!$D$6:$D$1005,"&gt;0",Gifts!$M$6:$M$1005,"&gt;0"))</f>
        <v/>
      </c>
      <c r="J61" s="18">
        <f>IF(B61="","",SUMIFS(Gifts!$Q$6:$Q$1005,Gifts!$C$6:$C$1005,B61))</f>
        <v/>
      </c>
      <c r="K61" s="29">
        <f>IF(B61="","",IF(N(J61)=0,"No gifts yet",IF(AND(N(Settings!$C$9)&gt;0,G61&lt;EDATE(TODAY(),-N(Settings!$C$9))),"Lapsed",IF(YEAR(F61)=N(Settings!$C$7),"New","Active"))))</f>
        <v/>
      </c>
      <c r="L61" s="1" t="n"/>
      <c r="M61">
        <f>IF(OR(B61="",N(H61)&lt;=0),"",ROUND(H61*100,0)*1000+1000-ROW())</f>
        <v/>
      </c>
      <c r="N61">
        <f>IF(B61="","",SUMIFS(Gifts!$Q$6:$Q$1005,Gifts!$C$6:$C$1005,B61,Gifts!$K$6:$K$1005,Settings!$C$7))</f>
        <v/>
      </c>
    </row>
    <row r="62">
      <c r="A62" s="1" t="n"/>
      <c r="B62" s="22" t="n"/>
      <c r="C62" s="24" t="n"/>
      <c r="D62" s="25" t="n"/>
      <c r="E62" s="25" t="n"/>
      <c r="F62" s="26">
        <f>IF(OR(B62="",N(J62)=0),"",SUMPRODUCT(MIN((Gifts!$C$6:$C$1005=B62)*Gifts!$Q$6:$Q$1005*Gifts!$M$6:$M$1005+(1-(Gifts!$C$6:$C$1005=B62)*Gifts!$Q$6:$Q$1005)*1E9)))</f>
        <v/>
      </c>
      <c r="G62" s="26">
        <f>IF(OR(B62="",N(J62)=0),"",SUMPRODUCT(MAX((Gifts!$C$6:$C$1005=B62)*Gifts!$Q$6:$Q$1005*Gifts!$M$6:$M$1005)))</f>
        <v/>
      </c>
      <c r="H62" s="27">
        <f>IF(B62="","",SUMIFS(Gifts!$D$6:$D$1005,Gifts!$C$6:$C$1005,B62,Gifts!$K$6:$K$1005,Settings!$C$7,Gifts!$D$6:$D$1005,"&gt;0"))</f>
        <v/>
      </c>
      <c r="I62" s="28">
        <f>IF(B62="","",SUMIFS(Gifts!$D$6:$D$1005,Gifts!$C$6:$C$1005,B62,Gifts!$D$6:$D$1005,"&gt;0",Gifts!$M$6:$M$1005,"&gt;0"))</f>
        <v/>
      </c>
      <c r="J62" s="18">
        <f>IF(B62="","",SUMIFS(Gifts!$Q$6:$Q$1005,Gifts!$C$6:$C$1005,B62))</f>
        <v/>
      </c>
      <c r="K62" s="29">
        <f>IF(B62="","",IF(N(J62)=0,"No gifts yet",IF(AND(N(Settings!$C$9)&gt;0,G62&lt;EDATE(TODAY(),-N(Settings!$C$9))),"Lapsed",IF(YEAR(F62)=N(Settings!$C$7),"New","Active"))))</f>
        <v/>
      </c>
      <c r="L62" s="1" t="n"/>
      <c r="M62">
        <f>IF(OR(B62="",N(H62)&lt;=0),"",ROUND(H62*100,0)*1000+1000-ROW())</f>
        <v/>
      </c>
      <c r="N62">
        <f>IF(B62="","",SUMIFS(Gifts!$Q$6:$Q$1005,Gifts!$C$6:$C$1005,B62,Gifts!$K$6:$K$1005,Settings!$C$7))</f>
        <v/>
      </c>
    </row>
    <row r="63">
      <c r="A63" s="1" t="n"/>
      <c r="B63" s="22" t="n"/>
      <c r="C63" s="24" t="n"/>
      <c r="D63" s="25" t="n"/>
      <c r="E63" s="25" t="n"/>
      <c r="F63" s="26">
        <f>IF(OR(B63="",N(J63)=0),"",SUMPRODUCT(MIN((Gifts!$C$6:$C$1005=B63)*Gifts!$Q$6:$Q$1005*Gifts!$M$6:$M$1005+(1-(Gifts!$C$6:$C$1005=B63)*Gifts!$Q$6:$Q$1005)*1E9)))</f>
        <v/>
      </c>
      <c r="G63" s="26">
        <f>IF(OR(B63="",N(J63)=0),"",SUMPRODUCT(MAX((Gifts!$C$6:$C$1005=B63)*Gifts!$Q$6:$Q$1005*Gifts!$M$6:$M$1005)))</f>
        <v/>
      </c>
      <c r="H63" s="27">
        <f>IF(B63="","",SUMIFS(Gifts!$D$6:$D$1005,Gifts!$C$6:$C$1005,B63,Gifts!$K$6:$K$1005,Settings!$C$7,Gifts!$D$6:$D$1005,"&gt;0"))</f>
        <v/>
      </c>
      <c r="I63" s="28">
        <f>IF(B63="","",SUMIFS(Gifts!$D$6:$D$1005,Gifts!$C$6:$C$1005,B63,Gifts!$D$6:$D$1005,"&gt;0",Gifts!$M$6:$M$1005,"&gt;0"))</f>
        <v/>
      </c>
      <c r="J63" s="18">
        <f>IF(B63="","",SUMIFS(Gifts!$Q$6:$Q$1005,Gifts!$C$6:$C$1005,B63))</f>
        <v/>
      </c>
      <c r="K63" s="29">
        <f>IF(B63="","",IF(N(J63)=0,"No gifts yet",IF(AND(N(Settings!$C$9)&gt;0,G63&lt;EDATE(TODAY(),-N(Settings!$C$9))),"Lapsed",IF(YEAR(F63)=N(Settings!$C$7),"New","Active"))))</f>
        <v/>
      </c>
      <c r="L63" s="1" t="n"/>
      <c r="M63">
        <f>IF(OR(B63="",N(H63)&lt;=0),"",ROUND(H63*100,0)*1000+1000-ROW())</f>
        <v/>
      </c>
      <c r="N63">
        <f>IF(B63="","",SUMIFS(Gifts!$Q$6:$Q$1005,Gifts!$C$6:$C$1005,B63,Gifts!$K$6:$K$1005,Settings!$C$7))</f>
        <v/>
      </c>
    </row>
    <row r="64">
      <c r="A64" s="1" t="n"/>
      <c r="B64" s="22" t="n"/>
      <c r="C64" s="24" t="n"/>
      <c r="D64" s="25" t="n"/>
      <c r="E64" s="25" t="n"/>
      <c r="F64" s="26">
        <f>IF(OR(B64="",N(J64)=0),"",SUMPRODUCT(MIN((Gifts!$C$6:$C$1005=B64)*Gifts!$Q$6:$Q$1005*Gifts!$M$6:$M$1005+(1-(Gifts!$C$6:$C$1005=B64)*Gifts!$Q$6:$Q$1005)*1E9)))</f>
        <v/>
      </c>
      <c r="G64" s="26">
        <f>IF(OR(B64="",N(J64)=0),"",SUMPRODUCT(MAX((Gifts!$C$6:$C$1005=B64)*Gifts!$Q$6:$Q$1005*Gifts!$M$6:$M$1005)))</f>
        <v/>
      </c>
      <c r="H64" s="27">
        <f>IF(B64="","",SUMIFS(Gifts!$D$6:$D$1005,Gifts!$C$6:$C$1005,B64,Gifts!$K$6:$K$1005,Settings!$C$7,Gifts!$D$6:$D$1005,"&gt;0"))</f>
        <v/>
      </c>
      <c r="I64" s="28">
        <f>IF(B64="","",SUMIFS(Gifts!$D$6:$D$1005,Gifts!$C$6:$C$1005,B64,Gifts!$D$6:$D$1005,"&gt;0",Gifts!$M$6:$M$1005,"&gt;0"))</f>
        <v/>
      </c>
      <c r="J64" s="18">
        <f>IF(B64="","",SUMIFS(Gifts!$Q$6:$Q$1005,Gifts!$C$6:$C$1005,B64))</f>
        <v/>
      </c>
      <c r="K64" s="29">
        <f>IF(B64="","",IF(N(J64)=0,"No gifts yet",IF(AND(N(Settings!$C$9)&gt;0,G64&lt;EDATE(TODAY(),-N(Settings!$C$9))),"Lapsed",IF(YEAR(F64)=N(Settings!$C$7),"New","Active"))))</f>
        <v/>
      </c>
      <c r="L64" s="1" t="n"/>
      <c r="M64">
        <f>IF(OR(B64="",N(H64)&lt;=0),"",ROUND(H64*100,0)*1000+1000-ROW())</f>
        <v/>
      </c>
      <c r="N64">
        <f>IF(B64="","",SUMIFS(Gifts!$Q$6:$Q$1005,Gifts!$C$6:$C$1005,B64,Gifts!$K$6:$K$1005,Settings!$C$7))</f>
        <v/>
      </c>
    </row>
    <row r="65">
      <c r="A65" s="1" t="n"/>
      <c r="B65" s="22" t="n"/>
      <c r="C65" s="24" t="n"/>
      <c r="D65" s="25" t="n"/>
      <c r="E65" s="25" t="n"/>
      <c r="F65" s="26">
        <f>IF(OR(B65="",N(J65)=0),"",SUMPRODUCT(MIN((Gifts!$C$6:$C$1005=B65)*Gifts!$Q$6:$Q$1005*Gifts!$M$6:$M$1005+(1-(Gifts!$C$6:$C$1005=B65)*Gifts!$Q$6:$Q$1005)*1E9)))</f>
        <v/>
      </c>
      <c r="G65" s="26">
        <f>IF(OR(B65="",N(J65)=0),"",SUMPRODUCT(MAX((Gifts!$C$6:$C$1005=B65)*Gifts!$Q$6:$Q$1005*Gifts!$M$6:$M$1005)))</f>
        <v/>
      </c>
      <c r="H65" s="27">
        <f>IF(B65="","",SUMIFS(Gifts!$D$6:$D$1005,Gifts!$C$6:$C$1005,B65,Gifts!$K$6:$K$1005,Settings!$C$7,Gifts!$D$6:$D$1005,"&gt;0"))</f>
        <v/>
      </c>
      <c r="I65" s="28">
        <f>IF(B65="","",SUMIFS(Gifts!$D$6:$D$1005,Gifts!$C$6:$C$1005,B65,Gifts!$D$6:$D$1005,"&gt;0",Gifts!$M$6:$M$1005,"&gt;0"))</f>
        <v/>
      </c>
      <c r="J65" s="18">
        <f>IF(B65="","",SUMIFS(Gifts!$Q$6:$Q$1005,Gifts!$C$6:$C$1005,B65))</f>
        <v/>
      </c>
      <c r="K65" s="29">
        <f>IF(B65="","",IF(N(J65)=0,"No gifts yet",IF(AND(N(Settings!$C$9)&gt;0,G65&lt;EDATE(TODAY(),-N(Settings!$C$9))),"Lapsed",IF(YEAR(F65)=N(Settings!$C$7),"New","Active"))))</f>
        <v/>
      </c>
      <c r="L65" s="1" t="n"/>
      <c r="M65">
        <f>IF(OR(B65="",N(H65)&lt;=0),"",ROUND(H65*100,0)*1000+1000-ROW())</f>
        <v/>
      </c>
      <c r="N65">
        <f>IF(B65="","",SUMIFS(Gifts!$Q$6:$Q$1005,Gifts!$C$6:$C$1005,B65,Gifts!$K$6:$K$1005,Settings!$C$7))</f>
        <v/>
      </c>
    </row>
    <row r="66">
      <c r="A66" s="1" t="n"/>
      <c r="B66" s="22" t="n"/>
      <c r="C66" s="24" t="n"/>
      <c r="D66" s="25" t="n"/>
      <c r="E66" s="25" t="n"/>
      <c r="F66" s="26">
        <f>IF(OR(B66="",N(J66)=0),"",SUMPRODUCT(MIN((Gifts!$C$6:$C$1005=B66)*Gifts!$Q$6:$Q$1005*Gifts!$M$6:$M$1005+(1-(Gifts!$C$6:$C$1005=B66)*Gifts!$Q$6:$Q$1005)*1E9)))</f>
        <v/>
      </c>
      <c r="G66" s="26">
        <f>IF(OR(B66="",N(J66)=0),"",SUMPRODUCT(MAX((Gifts!$C$6:$C$1005=B66)*Gifts!$Q$6:$Q$1005*Gifts!$M$6:$M$1005)))</f>
        <v/>
      </c>
      <c r="H66" s="27">
        <f>IF(B66="","",SUMIFS(Gifts!$D$6:$D$1005,Gifts!$C$6:$C$1005,B66,Gifts!$K$6:$K$1005,Settings!$C$7,Gifts!$D$6:$D$1005,"&gt;0"))</f>
        <v/>
      </c>
      <c r="I66" s="28">
        <f>IF(B66="","",SUMIFS(Gifts!$D$6:$D$1005,Gifts!$C$6:$C$1005,B66,Gifts!$D$6:$D$1005,"&gt;0",Gifts!$M$6:$M$1005,"&gt;0"))</f>
        <v/>
      </c>
      <c r="J66" s="18">
        <f>IF(B66="","",SUMIFS(Gifts!$Q$6:$Q$1005,Gifts!$C$6:$C$1005,B66))</f>
        <v/>
      </c>
      <c r="K66" s="29">
        <f>IF(B66="","",IF(N(J66)=0,"No gifts yet",IF(AND(N(Settings!$C$9)&gt;0,G66&lt;EDATE(TODAY(),-N(Settings!$C$9))),"Lapsed",IF(YEAR(F66)=N(Settings!$C$7),"New","Active"))))</f>
        <v/>
      </c>
      <c r="L66" s="1" t="n"/>
      <c r="M66">
        <f>IF(OR(B66="",N(H66)&lt;=0),"",ROUND(H66*100,0)*1000+1000-ROW())</f>
        <v/>
      </c>
      <c r="N66">
        <f>IF(B66="","",SUMIFS(Gifts!$Q$6:$Q$1005,Gifts!$C$6:$C$1005,B66,Gifts!$K$6:$K$1005,Settings!$C$7))</f>
        <v/>
      </c>
    </row>
    <row r="67">
      <c r="A67" s="1" t="n"/>
      <c r="B67" s="22" t="n"/>
      <c r="C67" s="24" t="n"/>
      <c r="D67" s="25" t="n"/>
      <c r="E67" s="25" t="n"/>
      <c r="F67" s="26">
        <f>IF(OR(B67="",N(J67)=0),"",SUMPRODUCT(MIN((Gifts!$C$6:$C$1005=B67)*Gifts!$Q$6:$Q$1005*Gifts!$M$6:$M$1005+(1-(Gifts!$C$6:$C$1005=B67)*Gifts!$Q$6:$Q$1005)*1E9)))</f>
        <v/>
      </c>
      <c r="G67" s="26">
        <f>IF(OR(B67="",N(J67)=0),"",SUMPRODUCT(MAX((Gifts!$C$6:$C$1005=B67)*Gifts!$Q$6:$Q$1005*Gifts!$M$6:$M$1005)))</f>
        <v/>
      </c>
      <c r="H67" s="27">
        <f>IF(B67="","",SUMIFS(Gifts!$D$6:$D$1005,Gifts!$C$6:$C$1005,B67,Gifts!$K$6:$K$1005,Settings!$C$7,Gifts!$D$6:$D$1005,"&gt;0"))</f>
        <v/>
      </c>
      <c r="I67" s="28">
        <f>IF(B67="","",SUMIFS(Gifts!$D$6:$D$1005,Gifts!$C$6:$C$1005,B67,Gifts!$D$6:$D$1005,"&gt;0",Gifts!$M$6:$M$1005,"&gt;0"))</f>
        <v/>
      </c>
      <c r="J67" s="18">
        <f>IF(B67="","",SUMIFS(Gifts!$Q$6:$Q$1005,Gifts!$C$6:$C$1005,B67))</f>
        <v/>
      </c>
      <c r="K67" s="29">
        <f>IF(B67="","",IF(N(J67)=0,"No gifts yet",IF(AND(N(Settings!$C$9)&gt;0,G67&lt;EDATE(TODAY(),-N(Settings!$C$9))),"Lapsed",IF(YEAR(F67)=N(Settings!$C$7),"New","Active"))))</f>
        <v/>
      </c>
      <c r="L67" s="1" t="n"/>
      <c r="M67">
        <f>IF(OR(B67="",N(H67)&lt;=0),"",ROUND(H67*100,0)*1000+1000-ROW())</f>
        <v/>
      </c>
      <c r="N67">
        <f>IF(B67="","",SUMIFS(Gifts!$Q$6:$Q$1005,Gifts!$C$6:$C$1005,B67,Gifts!$K$6:$K$1005,Settings!$C$7))</f>
        <v/>
      </c>
    </row>
    <row r="68">
      <c r="A68" s="1" t="n"/>
      <c r="B68" s="22" t="n"/>
      <c r="C68" s="24" t="n"/>
      <c r="D68" s="25" t="n"/>
      <c r="E68" s="25" t="n"/>
      <c r="F68" s="26">
        <f>IF(OR(B68="",N(J68)=0),"",SUMPRODUCT(MIN((Gifts!$C$6:$C$1005=B68)*Gifts!$Q$6:$Q$1005*Gifts!$M$6:$M$1005+(1-(Gifts!$C$6:$C$1005=B68)*Gifts!$Q$6:$Q$1005)*1E9)))</f>
        <v/>
      </c>
      <c r="G68" s="26">
        <f>IF(OR(B68="",N(J68)=0),"",SUMPRODUCT(MAX((Gifts!$C$6:$C$1005=B68)*Gifts!$Q$6:$Q$1005*Gifts!$M$6:$M$1005)))</f>
        <v/>
      </c>
      <c r="H68" s="27">
        <f>IF(B68="","",SUMIFS(Gifts!$D$6:$D$1005,Gifts!$C$6:$C$1005,B68,Gifts!$K$6:$K$1005,Settings!$C$7,Gifts!$D$6:$D$1005,"&gt;0"))</f>
        <v/>
      </c>
      <c r="I68" s="28">
        <f>IF(B68="","",SUMIFS(Gifts!$D$6:$D$1005,Gifts!$C$6:$C$1005,B68,Gifts!$D$6:$D$1005,"&gt;0",Gifts!$M$6:$M$1005,"&gt;0"))</f>
        <v/>
      </c>
      <c r="J68" s="18">
        <f>IF(B68="","",SUMIFS(Gifts!$Q$6:$Q$1005,Gifts!$C$6:$C$1005,B68))</f>
        <v/>
      </c>
      <c r="K68" s="29">
        <f>IF(B68="","",IF(N(J68)=0,"No gifts yet",IF(AND(N(Settings!$C$9)&gt;0,G68&lt;EDATE(TODAY(),-N(Settings!$C$9))),"Lapsed",IF(YEAR(F68)=N(Settings!$C$7),"New","Active"))))</f>
        <v/>
      </c>
      <c r="L68" s="1" t="n"/>
      <c r="M68">
        <f>IF(OR(B68="",N(H68)&lt;=0),"",ROUND(H68*100,0)*1000+1000-ROW())</f>
        <v/>
      </c>
      <c r="N68">
        <f>IF(B68="","",SUMIFS(Gifts!$Q$6:$Q$1005,Gifts!$C$6:$C$1005,B68,Gifts!$K$6:$K$1005,Settings!$C$7))</f>
        <v/>
      </c>
    </row>
    <row r="69">
      <c r="A69" s="1" t="n"/>
      <c r="B69" s="22" t="n"/>
      <c r="C69" s="24" t="n"/>
      <c r="D69" s="25" t="n"/>
      <c r="E69" s="25" t="n"/>
      <c r="F69" s="26">
        <f>IF(OR(B69="",N(J69)=0),"",SUMPRODUCT(MIN((Gifts!$C$6:$C$1005=B69)*Gifts!$Q$6:$Q$1005*Gifts!$M$6:$M$1005+(1-(Gifts!$C$6:$C$1005=B69)*Gifts!$Q$6:$Q$1005)*1E9)))</f>
        <v/>
      </c>
      <c r="G69" s="26">
        <f>IF(OR(B69="",N(J69)=0),"",SUMPRODUCT(MAX((Gifts!$C$6:$C$1005=B69)*Gifts!$Q$6:$Q$1005*Gifts!$M$6:$M$1005)))</f>
        <v/>
      </c>
      <c r="H69" s="27">
        <f>IF(B69="","",SUMIFS(Gifts!$D$6:$D$1005,Gifts!$C$6:$C$1005,B69,Gifts!$K$6:$K$1005,Settings!$C$7,Gifts!$D$6:$D$1005,"&gt;0"))</f>
        <v/>
      </c>
      <c r="I69" s="28">
        <f>IF(B69="","",SUMIFS(Gifts!$D$6:$D$1005,Gifts!$C$6:$C$1005,B69,Gifts!$D$6:$D$1005,"&gt;0",Gifts!$M$6:$M$1005,"&gt;0"))</f>
        <v/>
      </c>
      <c r="J69" s="18">
        <f>IF(B69="","",SUMIFS(Gifts!$Q$6:$Q$1005,Gifts!$C$6:$C$1005,B69))</f>
        <v/>
      </c>
      <c r="K69" s="29">
        <f>IF(B69="","",IF(N(J69)=0,"No gifts yet",IF(AND(N(Settings!$C$9)&gt;0,G69&lt;EDATE(TODAY(),-N(Settings!$C$9))),"Lapsed",IF(YEAR(F69)=N(Settings!$C$7),"New","Active"))))</f>
        <v/>
      </c>
      <c r="L69" s="1" t="n"/>
      <c r="M69">
        <f>IF(OR(B69="",N(H69)&lt;=0),"",ROUND(H69*100,0)*1000+1000-ROW())</f>
        <v/>
      </c>
      <c r="N69">
        <f>IF(B69="","",SUMIFS(Gifts!$Q$6:$Q$1005,Gifts!$C$6:$C$1005,B69,Gifts!$K$6:$K$1005,Settings!$C$7))</f>
        <v/>
      </c>
    </row>
    <row r="70">
      <c r="A70" s="1" t="n"/>
      <c r="B70" s="22" t="n"/>
      <c r="C70" s="24" t="n"/>
      <c r="D70" s="25" t="n"/>
      <c r="E70" s="25" t="n"/>
      <c r="F70" s="26">
        <f>IF(OR(B70="",N(J70)=0),"",SUMPRODUCT(MIN((Gifts!$C$6:$C$1005=B70)*Gifts!$Q$6:$Q$1005*Gifts!$M$6:$M$1005+(1-(Gifts!$C$6:$C$1005=B70)*Gifts!$Q$6:$Q$1005)*1E9)))</f>
        <v/>
      </c>
      <c r="G70" s="26">
        <f>IF(OR(B70="",N(J70)=0),"",SUMPRODUCT(MAX((Gifts!$C$6:$C$1005=B70)*Gifts!$Q$6:$Q$1005*Gifts!$M$6:$M$1005)))</f>
        <v/>
      </c>
      <c r="H70" s="27">
        <f>IF(B70="","",SUMIFS(Gifts!$D$6:$D$1005,Gifts!$C$6:$C$1005,B70,Gifts!$K$6:$K$1005,Settings!$C$7,Gifts!$D$6:$D$1005,"&gt;0"))</f>
        <v/>
      </c>
      <c r="I70" s="28">
        <f>IF(B70="","",SUMIFS(Gifts!$D$6:$D$1005,Gifts!$C$6:$C$1005,B70,Gifts!$D$6:$D$1005,"&gt;0",Gifts!$M$6:$M$1005,"&gt;0"))</f>
        <v/>
      </c>
      <c r="J70" s="18">
        <f>IF(B70="","",SUMIFS(Gifts!$Q$6:$Q$1005,Gifts!$C$6:$C$1005,B70))</f>
        <v/>
      </c>
      <c r="K70" s="29">
        <f>IF(B70="","",IF(N(J70)=0,"No gifts yet",IF(AND(N(Settings!$C$9)&gt;0,G70&lt;EDATE(TODAY(),-N(Settings!$C$9))),"Lapsed",IF(YEAR(F70)=N(Settings!$C$7),"New","Active"))))</f>
        <v/>
      </c>
      <c r="L70" s="1" t="n"/>
      <c r="M70">
        <f>IF(OR(B70="",N(H70)&lt;=0),"",ROUND(H70*100,0)*1000+1000-ROW())</f>
        <v/>
      </c>
      <c r="N70">
        <f>IF(B70="","",SUMIFS(Gifts!$Q$6:$Q$1005,Gifts!$C$6:$C$1005,B70,Gifts!$K$6:$K$1005,Settings!$C$7))</f>
        <v/>
      </c>
    </row>
    <row r="71">
      <c r="A71" s="1" t="n"/>
      <c r="B71" s="22" t="n"/>
      <c r="C71" s="24" t="n"/>
      <c r="D71" s="25" t="n"/>
      <c r="E71" s="25" t="n"/>
      <c r="F71" s="26">
        <f>IF(OR(B71="",N(J71)=0),"",SUMPRODUCT(MIN((Gifts!$C$6:$C$1005=B71)*Gifts!$Q$6:$Q$1005*Gifts!$M$6:$M$1005+(1-(Gifts!$C$6:$C$1005=B71)*Gifts!$Q$6:$Q$1005)*1E9)))</f>
        <v/>
      </c>
      <c r="G71" s="26">
        <f>IF(OR(B71="",N(J71)=0),"",SUMPRODUCT(MAX((Gifts!$C$6:$C$1005=B71)*Gifts!$Q$6:$Q$1005*Gifts!$M$6:$M$1005)))</f>
        <v/>
      </c>
      <c r="H71" s="27">
        <f>IF(B71="","",SUMIFS(Gifts!$D$6:$D$1005,Gifts!$C$6:$C$1005,B71,Gifts!$K$6:$K$1005,Settings!$C$7,Gifts!$D$6:$D$1005,"&gt;0"))</f>
        <v/>
      </c>
      <c r="I71" s="28">
        <f>IF(B71="","",SUMIFS(Gifts!$D$6:$D$1005,Gifts!$C$6:$C$1005,B71,Gifts!$D$6:$D$1005,"&gt;0",Gifts!$M$6:$M$1005,"&gt;0"))</f>
        <v/>
      </c>
      <c r="J71" s="18">
        <f>IF(B71="","",SUMIFS(Gifts!$Q$6:$Q$1005,Gifts!$C$6:$C$1005,B71))</f>
        <v/>
      </c>
      <c r="K71" s="29">
        <f>IF(B71="","",IF(N(J71)=0,"No gifts yet",IF(AND(N(Settings!$C$9)&gt;0,G71&lt;EDATE(TODAY(),-N(Settings!$C$9))),"Lapsed",IF(YEAR(F71)=N(Settings!$C$7),"New","Active"))))</f>
        <v/>
      </c>
      <c r="L71" s="1" t="n"/>
      <c r="M71">
        <f>IF(OR(B71="",N(H71)&lt;=0),"",ROUND(H71*100,0)*1000+1000-ROW())</f>
        <v/>
      </c>
      <c r="N71">
        <f>IF(B71="","",SUMIFS(Gifts!$Q$6:$Q$1005,Gifts!$C$6:$C$1005,B71,Gifts!$K$6:$K$1005,Settings!$C$7))</f>
        <v/>
      </c>
    </row>
    <row r="72">
      <c r="A72" s="1" t="n"/>
      <c r="B72" s="22" t="n"/>
      <c r="C72" s="24" t="n"/>
      <c r="D72" s="25" t="n"/>
      <c r="E72" s="25" t="n"/>
      <c r="F72" s="26">
        <f>IF(OR(B72="",N(J72)=0),"",SUMPRODUCT(MIN((Gifts!$C$6:$C$1005=B72)*Gifts!$Q$6:$Q$1005*Gifts!$M$6:$M$1005+(1-(Gifts!$C$6:$C$1005=B72)*Gifts!$Q$6:$Q$1005)*1E9)))</f>
        <v/>
      </c>
      <c r="G72" s="26">
        <f>IF(OR(B72="",N(J72)=0),"",SUMPRODUCT(MAX((Gifts!$C$6:$C$1005=B72)*Gifts!$Q$6:$Q$1005*Gifts!$M$6:$M$1005)))</f>
        <v/>
      </c>
      <c r="H72" s="27">
        <f>IF(B72="","",SUMIFS(Gifts!$D$6:$D$1005,Gifts!$C$6:$C$1005,B72,Gifts!$K$6:$K$1005,Settings!$C$7,Gifts!$D$6:$D$1005,"&gt;0"))</f>
        <v/>
      </c>
      <c r="I72" s="28">
        <f>IF(B72="","",SUMIFS(Gifts!$D$6:$D$1005,Gifts!$C$6:$C$1005,B72,Gifts!$D$6:$D$1005,"&gt;0",Gifts!$M$6:$M$1005,"&gt;0"))</f>
        <v/>
      </c>
      <c r="J72" s="18">
        <f>IF(B72="","",SUMIFS(Gifts!$Q$6:$Q$1005,Gifts!$C$6:$C$1005,B72))</f>
        <v/>
      </c>
      <c r="K72" s="29">
        <f>IF(B72="","",IF(N(J72)=0,"No gifts yet",IF(AND(N(Settings!$C$9)&gt;0,G72&lt;EDATE(TODAY(),-N(Settings!$C$9))),"Lapsed",IF(YEAR(F72)=N(Settings!$C$7),"New","Active"))))</f>
        <v/>
      </c>
      <c r="L72" s="1" t="n"/>
      <c r="M72">
        <f>IF(OR(B72="",N(H72)&lt;=0),"",ROUND(H72*100,0)*1000+1000-ROW())</f>
        <v/>
      </c>
      <c r="N72">
        <f>IF(B72="","",SUMIFS(Gifts!$Q$6:$Q$1005,Gifts!$C$6:$C$1005,B72,Gifts!$K$6:$K$1005,Settings!$C$7))</f>
        <v/>
      </c>
    </row>
    <row r="73">
      <c r="A73" s="1" t="n"/>
      <c r="B73" s="22" t="n"/>
      <c r="C73" s="24" t="n"/>
      <c r="D73" s="25" t="n"/>
      <c r="E73" s="25" t="n"/>
      <c r="F73" s="26">
        <f>IF(OR(B73="",N(J73)=0),"",SUMPRODUCT(MIN((Gifts!$C$6:$C$1005=B73)*Gifts!$Q$6:$Q$1005*Gifts!$M$6:$M$1005+(1-(Gifts!$C$6:$C$1005=B73)*Gifts!$Q$6:$Q$1005)*1E9)))</f>
        <v/>
      </c>
      <c r="G73" s="26">
        <f>IF(OR(B73="",N(J73)=0),"",SUMPRODUCT(MAX((Gifts!$C$6:$C$1005=B73)*Gifts!$Q$6:$Q$1005*Gifts!$M$6:$M$1005)))</f>
        <v/>
      </c>
      <c r="H73" s="27">
        <f>IF(B73="","",SUMIFS(Gifts!$D$6:$D$1005,Gifts!$C$6:$C$1005,B73,Gifts!$K$6:$K$1005,Settings!$C$7,Gifts!$D$6:$D$1005,"&gt;0"))</f>
        <v/>
      </c>
      <c r="I73" s="28">
        <f>IF(B73="","",SUMIFS(Gifts!$D$6:$D$1005,Gifts!$C$6:$C$1005,B73,Gifts!$D$6:$D$1005,"&gt;0",Gifts!$M$6:$M$1005,"&gt;0"))</f>
        <v/>
      </c>
      <c r="J73" s="18">
        <f>IF(B73="","",SUMIFS(Gifts!$Q$6:$Q$1005,Gifts!$C$6:$C$1005,B73))</f>
        <v/>
      </c>
      <c r="K73" s="29">
        <f>IF(B73="","",IF(N(J73)=0,"No gifts yet",IF(AND(N(Settings!$C$9)&gt;0,G73&lt;EDATE(TODAY(),-N(Settings!$C$9))),"Lapsed",IF(YEAR(F73)=N(Settings!$C$7),"New","Active"))))</f>
        <v/>
      </c>
      <c r="L73" s="1" t="n"/>
      <c r="M73">
        <f>IF(OR(B73="",N(H73)&lt;=0),"",ROUND(H73*100,0)*1000+1000-ROW())</f>
        <v/>
      </c>
      <c r="N73">
        <f>IF(B73="","",SUMIFS(Gifts!$Q$6:$Q$1005,Gifts!$C$6:$C$1005,B73,Gifts!$K$6:$K$1005,Settings!$C$7))</f>
        <v/>
      </c>
    </row>
    <row r="74">
      <c r="A74" s="1" t="n"/>
      <c r="B74" s="22" t="n"/>
      <c r="C74" s="24" t="n"/>
      <c r="D74" s="25" t="n"/>
      <c r="E74" s="25" t="n"/>
      <c r="F74" s="26">
        <f>IF(OR(B74="",N(J74)=0),"",SUMPRODUCT(MIN((Gifts!$C$6:$C$1005=B74)*Gifts!$Q$6:$Q$1005*Gifts!$M$6:$M$1005+(1-(Gifts!$C$6:$C$1005=B74)*Gifts!$Q$6:$Q$1005)*1E9)))</f>
        <v/>
      </c>
      <c r="G74" s="26">
        <f>IF(OR(B74="",N(J74)=0),"",SUMPRODUCT(MAX((Gifts!$C$6:$C$1005=B74)*Gifts!$Q$6:$Q$1005*Gifts!$M$6:$M$1005)))</f>
        <v/>
      </c>
      <c r="H74" s="27">
        <f>IF(B74="","",SUMIFS(Gifts!$D$6:$D$1005,Gifts!$C$6:$C$1005,B74,Gifts!$K$6:$K$1005,Settings!$C$7,Gifts!$D$6:$D$1005,"&gt;0"))</f>
        <v/>
      </c>
      <c r="I74" s="28">
        <f>IF(B74="","",SUMIFS(Gifts!$D$6:$D$1005,Gifts!$C$6:$C$1005,B74,Gifts!$D$6:$D$1005,"&gt;0",Gifts!$M$6:$M$1005,"&gt;0"))</f>
        <v/>
      </c>
      <c r="J74" s="18">
        <f>IF(B74="","",SUMIFS(Gifts!$Q$6:$Q$1005,Gifts!$C$6:$C$1005,B74))</f>
        <v/>
      </c>
      <c r="K74" s="29">
        <f>IF(B74="","",IF(N(J74)=0,"No gifts yet",IF(AND(N(Settings!$C$9)&gt;0,G74&lt;EDATE(TODAY(),-N(Settings!$C$9))),"Lapsed",IF(YEAR(F74)=N(Settings!$C$7),"New","Active"))))</f>
        <v/>
      </c>
      <c r="L74" s="1" t="n"/>
      <c r="M74">
        <f>IF(OR(B74="",N(H74)&lt;=0),"",ROUND(H74*100,0)*1000+1000-ROW())</f>
        <v/>
      </c>
      <c r="N74">
        <f>IF(B74="","",SUMIFS(Gifts!$Q$6:$Q$1005,Gifts!$C$6:$C$1005,B74,Gifts!$K$6:$K$1005,Settings!$C$7))</f>
        <v/>
      </c>
    </row>
    <row r="75">
      <c r="A75" s="1" t="n"/>
      <c r="B75" s="22" t="n"/>
      <c r="C75" s="24" t="n"/>
      <c r="D75" s="25" t="n"/>
      <c r="E75" s="25" t="n"/>
      <c r="F75" s="26">
        <f>IF(OR(B75="",N(J75)=0),"",SUMPRODUCT(MIN((Gifts!$C$6:$C$1005=B75)*Gifts!$Q$6:$Q$1005*Gifts!$M$6:$M$1005+(1-(Gifts!$C$6:$C$1005=B75)*Gifts!$Q$6:$Q$1005)*1E9)))</f>
        <v/>
      </c>
      <c r="G75" s="26">
        <f>IF(OR(B75="",N(J75)=0),"",SUMPRODUCT(MAX((Gifts!$C$6:$C$1005=B75)*Gifts!$Q$6:$Q$1005*Gifts!$M$6:$M$1005)))</f>
        <v/>
      </c>
      <c r="H75" s="27">
        <f>IF(B75="","",SUMIFS(Gifts!$D$6:$D$1005,Gifts!$C$6:$C$1005,B75,Gifts!$K$6:$K$1005,Settings!$C$7,Gifts!$D$6:$D$1005,"&gt;0"))</f>
        <v/>
      </c>
      <c r="I75" s="28">
        <f>IF(B75="","",SUMIFS(Gifts!$D$6:$D$1005,Gifts!$C$6:$C$1005,B75,Gifts!$D$6:$D$1005,"&gt;0",Gifts!$M$6:$M$1005,"&gt;0"))</f>
        <v/>
      </c>
      <c r="J75" s="18">
        <f>IF(B75="","",SUMIFS(Gifts!$Q$6:$Q$1005,Gifts!$C$6:$C$1005,B75))</f>
        <v/>
      </c>
      <c r="K75" s="29">
        <f>IF(B75="","",IF(N(J75)=0,"No gifts yet",IF(AND(N(Settings!$C$9)&gt;0,G75&lt;EDATE(TODAY(),-N(Settings!$C$9))),"Lapsed",IF(YEAR(F75)=N(Settings!$C$7),"New","Active"))))</f>
        <v/>
      </c>
      <c r="L75" s="1" t="n"/>
      <c r="M75">
        <f>IF(OR(B75="",N(H75)&lt;=0),"",ROUND(H75*100,0)*1000+1000-ROW())</f>
        <v/>
      </c>
      <c r="N75">
        <f>IF(B75="","",SUMIFS(Gifts!$Q$6:$Q$1005,Gifts!$C$6:$C$1005,B75,Gifts!$K$6:$K$1005,Settings!$C$7))</f>
        <v/>
      </c>
    </row>
    <row r="76">
      <c r="A76" s="1" t="n"/>
      <c r="B76" s="22" t="n"/>
      <c r="C76" s="24" t="n"/>
      <c r="D76" s="25" t="n"/>
      <c r="E76" s="25" t="n"/>
      <c r="F76" s="26">
        <f>IF(OR(B76="",N(J76)=0),"",SUMPRODUCT(MIN((Gifts!$C$6:$C$1005=B76)*Gifts!$Q$6:$Q$1005*Gifts!$M$6:$M$1005+(1-(Gifts!$C$6:$C$1005=B76)*Gifts!$Q$6:$Q$1005)*1E9)))</f>
        <v/>
      </c>
      <c r="G76" s="26">
        <f>IF(OR(B76="",N(J76)=0),"",SUMPRODUCT(MAX((Gifts!$C$6:$C$1005=B76)*Gifts!$Q$6:$Q$1005*Gifts!$M$6:$M$1005)))</f>
        <v/>
      </c>
      <c r="H76" s="27">
        <f>IF(B76="","",SUMIFS(Gifts!$D$6:$D$1005,Gifts!$C$6:$C$1005,B76,Gifts!$K$6:$K$1005,Settings!$C$7,Gifts!$D$6:$D$1005,"&gt;0"))</f>
        <v/>
      </c>
      <c r="I76" s="28">
        <f>IF(B76="","",SUMIFS(Gifts!$D$6:$D$1005,Gifts!$C$6:$C$1005,B76,Gifts!$D$6:$D$1005,"&gt;0",Gifts!$M$6:$M$1005,"&gt;0"))</f>
        <v/>
      </c>
      <c r="J76" s="18">
        <f>IF(B76="","",SUMIFS(Gifts!$Q$6:$Q$1005,Gifts!$C$6:$C$1005,B76))</f>
        <v/>
      </c>
      <c r="K76" s="29">
        <f>IF(B76="","",IF(N(J76)=0,"No gifts yet",IF(AND(N(Settings!$C$9)&gt;0,G76&lt;EDATE(TODAY(),-N(Settings!$C$9))),"Lapsed",IF(YEAR(F76)=N(Settings!$C$7),"New","Active"))))</f>
        <v/>
      </c>
      <c r="L76" s="1" t="n"/>
      <c r="M76">
        <f>IF(OR(B76="",N(H76)&lt;=0),"",ROUND(H76*100,0)*1000+1000-ROW())</f>
        <v/>
      </c>
      <c r="N76">
        <f>IF(B76="","",SUMIFS(Gifts!$Q$6:$Q$1005,Gifts!$C$6:$C$1005,B76,Gifts!$K$6:$K$1005,Settings!$C$7))</f>
        <v/>
      </c>
    </row>
    <row r="77">
      <c r="A77" s="1" t="n"/>
      <c r="B77" s="22" t="n"/>
      <c r="C77" s="24" t="n"/>
      <c r="D77" s="25" t="n"/>
      <c r="E77" s="25" t="n"/>
      <c r="F77" s="26">
        <f>IF(OR(B77="",N(J77)=0),"",SUMPRODUCT(MIN((Gifts!$C$6:$C$1005=B77)*Gifts!$Q$6:$Q$1005*Gifts!$M$6:$M$1005+(1-(Gifts!$C$6:$C$1005=B77)*Gifts!$Q$6:$Q$1005)*1E9)))</f>
        <v/>
      </c>
      <c r="G77" s="26">
        <f>IF(OR(B77="",N(J77)=0),"",SUMPRODUCT(MAX((Gifts!$C$6:$C$1005=B77)*Gifts!$Q$6:$Q$1005*Gifts!$M$6:$M$1005)))</f>
        <v/>
      </c>
      <c r="H77" s="27">
        <f>IF(B77="","",SUMIFS(Gifts!$D$6:$D$1005,Gifts!$C$6:$C$1005,B77,Gifts!$K$6:$K$1005,Settings!$C$7,Gifts!$D$6:$D$1005,"&gt;0"))</f>
        <v/>
      </c>
      <c r="I77" s="28">
        <f>IF(B77="","",SUMIFS(Gifts!$D$6:$D$1005,Gifts!$C$6:$C$1005,B77,Gifts!$D$6:$D$1005,"&gt;0",Gifts!$M$6:$M$1005,"&gt;0"))</f>
        <v/>
      </c>
      <c r="J77" s="18">
        <f>IF(B77="","",SUMIFS(Gifts!$Q$6:$Q$1005,Gifts!$C$6:$C$1005,B77))</f>
        <v/>
      </c>
      <c r="K77" s="29">
        <f>IF(B77="","",IF(N(J77)=0,"No gifts yet",IF(AND(N(Settings!$C$9)&gt;0,G77&lt;EDATE(TODAY(),-N(Settings!$C$9))),"Lapsed",IF(YEAR(F77)=N(Settings!$C$7),"New","Active"))))</f>
        <v/>
      </c>
      <c r="L77" s="1" t="n"/>
      <c r="M77">
        <f>IF(OR(B77="",N(H77)&lt;=0),"",ROUND(H77*100,0)*1000+1000-ROW())</f>
        <v/>
      </c>
      <c r="N77">
        <f>IF(B77="","",SUMIFS(Gifts!$Q$6:$Q$1005,Gifts!$C$6:$C$1005,B77,Gifts!$K$6:$K$1005,Settings!$C$7))</f>
        <v/>
      </c>
    </row>
    <row r="78">
      <c r="A78" s="1" t="n"/>
      <c r="B78" s="22" t="n"/>
      <c r="C78" s="24" t="n"/>
      <c r="D78" s="25" t="n"/>
      <c r="E78" s="25" t="n"/>
      <c r="F78" s="26">
        <f>IF(OR(B78="",N(J78)=0),"",SUMPRODUCT(MIN((Gifts!$C$6:$C$1005=B78)*Gifts!$Q$6:$Q$1005*Gifts!$M$6:$M$1005+(1-(Gifts!$C$6:$C$1005=B78)*Gifts!$Q$6:$Q$1005)*1E9)))</f>
        <v/>
      </c>
      <c r="G78" s="26">
        <f>IF(OR(B78="",N(J78)=0),"",SUMPRODUCT(MAX((Gifts!$C$6:$C$1005=B78)*Gifts!$Q$6:$Q$1005*Gifts!$M$6:$M$1005)))</f>
        <v/>
      </c>
      <c r="H78" s="27">
        <f>IF(B78="","",SUMIFS(Gifts!$D$6:$D$1005,Gifts!$C$6:$C$1005,B78,Gifts!$K$6:$K$1005,Settings!$C$7,Gifts!$D$6:$D$1005,"&gt;0"))</f>
        <v/>
      </c>
      <c r="I78" s="28">
        <f>IF(B78="","",SUMIFS(Gifts!$D$6:$D$1005,Gifts!$C$6:$C$1005,B78,Gifts!$D$6:$D$1005,"&gt;0",Gifts!$M$6:$M$1005,"&gt;0"))</f>
        <v/>
      </c>
      <c r="J78" s="18">
        <f>IF(B78="","",SUMIFS(Gifts!$Q$6:$Q$1005,Gifts!$C$6:$C$1005,B78))</f>
        <v/>
      </c>
      <c r="K78" s="29">
        <f>IF(B78="","",IF(N(J78)=0,"No gifts yet",IF(AND(N(Settings!$C$9)&gt;0,G78&lt;EDATE(TODAY(),-N(Settings!$C$9))),"Lapsed",IF(YEAR(F78)=N(Settings!$C$7),"New","Active"))))</f>
        <v/>
      </c>
      <c r="L78" s="1" t="n"/>
      <c r="M78">
        <f>IF(OR(B78="",N(H78)&lt;=0),"",ROUND(H78*100,0)*1000+1000-ROW())</f>
        <v/>
      </c>
      <c r="N78">
        <f>IF(B78="","",SUMIFS(Gifts!$Q$6:$Q$1005,Gifts!$C$6:$C$1005,B78,Gifts!$K$6:$K$1005,Settings!$C$7))</f>
        <v/>
      </c>
    </row>
    <row r="79">
      <c r="A79" s="1" t="n"/>
      <c r="B79" s="22" t="n"/>
      <c r="C79" s="24" t="n"/>
      <c r="D79" s="25" t="n"/>
      <c r="E79" s="25" t="n"/>
      <c r="F79" s="26">
        <f>IF(OR(B79="",N(J79)=0),"",SUMPRODUCT(MIN((Gifts!$C$6:$C$1005=B79)*Gifts!$Q$6:$Q$1005*Gifts!$M$6:$M$1005+(1-(Gifts!$C$6:$C$1005=B79)*Gifts!$Q$6:$Q$1005)*1E9)))</f>
        <v/>
      </c>
      <c r="G79" s="26">
        <f>IF(OR(B79="",N(J79)=0),"",SUMPRODUCT(MAX((Gifts!$C$6:$C$1005=B79)*Gifts!$Q$6:$Q$1005*Gifts!$M$6:$M$1005)))</f>
        <v/>
      </c>
      <c r="H79" s="27">
        <f>IF(B79="","",SUMIFS(Gifts!$D$6:$D$1005,Gifts!$C$6:$C$1005,B79,Gifts!$K$6:$K$1005,Settings!$C$7,Gifts!$D$6:$D$1005,"&gt;0"))</f>
        <v/>
      </c>
      <c r="I79" s="28">
        <f>IF(B79="","",SUMIFS(Gifts!$D$6:$D$1005,Gifts!$C$6:$C$1005,B79,Gifts!$D$6:$D$1005,"&gt;0",Gifts!$M$6:$M$1005,"&gt;0"))</f>
        <v/>
      </c>
      <c r="J79" s="18">
        <f>IF(B79="","",SUMIFS(Gifts!$Q$6:$Q$1005,Gifts!$C$6:$C$1005,B79))</f>
        <v/>
      </c>
      <c r="K79" s="29">
        <f>IF(B79="","",IF(N(J79)=0,"No gifts yet",IF(AND(N(Settings!$C$9)&gt;0,G79&lt;EDATE(TODAY(),-N(Settings!$C$9))),"Lapsed",IF(YEAR(F79)=N(Settings!$C$7),"New","Active"))))</f>
        <v/>
      </c>
      <c r="L79" s="1" t="n"/>
      <c r="M79">
        <f>IF(OR(B79="",N(H79)&lt;=0),"",ROUND(H79*100,0)*1000+1000-ROW())</f>
        <v/>
      </c>
      <c r="N79">
        <f>IF(B79="","",SUMIFS(Gifts!$Q$6:$Q$1005,Gifts!$C$6:$C$1005,B79,Gifts!$K$6:$K$1005,Settings!$C$7))</f>
        <v/>
      </c>
    </row>
    <row r="80">
      <c r="A80" s="1" t="n"/>
      <c r="B80" s="22" t="n"/>
      <c r="C80" s="24" t="n"/>
      <c r="D80" s="25" t="n"/>
      <c r="E80" s="25" t="n"/>
      <c r="F80" s="26">
        <f>IF(OR(B80="",N(J80)=0),"",SUMPRODUCT(MIN((Gifts!$C$6:$C$1005=B80)*Gifts!$Q$6:$Q$1005*Gifts!$M$6:$M$1005+(1-(Gifts!$C$6:$C$1005=B80)*Gifts!$Q$6:$Q$1005)*1E9)))</f>
        <v/>
      </c>
      <c r="G80" s="26">
        <f>IF(OR(B80="",N(J80)=0),"",SUMPRODUCT(MAX((Gifts!$C$6:$C$1005=B80)*Gifts!$Q$6:$Q$1005*Gifts!$M$6:$M$1005)))</f>
        <v/>
      </c>
      <c r="H80" s="27">
        <f>IF(B80="","",SUMIFS(Gifts!$D$6:$D$1005,Gifts!$C$6:$C$1005,B80,Gifts!$K$6:$K$1005,Settings!$C$7,Gifts!$D$6:$D$1005,"&gt;0"))</f>
        <v/>
      </c>
      <c r="I80" s="28">
        <f>IF(B80="","",SUMIFS(Gifts!$D$6:$D$1005,Gifts!$C$6:$C$1005,B80,Gifts!$D$6:$D$1005,"&gt;0",Gifts!$M$6:$M$1005,"&gt;0"))</f>
        <v/>
      </c>
      <c r="J80" s="18">
        <f>IF(B80="","",SUMIFS(Gifts!$Q$6:$Q$1005,Gifts!$C$6:$C$1005,B80))</f>
        <v/>
      </c>
      <c r="K80" s="29">
        <f>IF(B80="","",IF(N(J80)=0,"No gifts yet",IF(AND(N(Settings!$C$9)&gt;0,G80&lt;EDATE(TODAY(),-N(Settings!$C$9))),"Lapsed",IF(YEAR(F80)=N(Settings!$C$7),"New","Active"))))</f>
        <v/>
      </c>
      <c r="L80" s="1" t="n"/>
      <c r="M80">
        <f>IF(OR(B80="",N(H80)&lt;=0),"",ROUND(H80*100,0)*1000+1000-ROW())</f>
        <v/>
      </c>
      <c r="N80">
        <f>IF(B80="","",SUMIFS(Gifts!$Q$6:$Q$1005,Gifts!$C$6:$C$1005,B80,Gifts!$K$6:$K$1005,Settings!$C$7))</f>
        <v/>
      </c>
    </row>
    <row r="81">
      <c r="A81" s="1" t="n"/>
      <c r="B81" s="22" t="n"/>
      <c r="C81" s="24" t="n"/>
      <c r="D81" s="25" t="n"/>
      <c r="E81" s="25" t="n"/>
      <c r="F81" s="26">
        <f>IF(OR(B81="",N(J81)=0),"",SUMPRODUCT(MIN((Gifts!$C$6:$C$1005=B81)*Gifts!$Q$6:$Q$1005*Gifts!$M$6:$M$1005+(1-(Gifts!$C$6:$C$1005=B81)*Gifts!$Q$6:$Q$1005)*1E9)))</f>
        <v/>
      </c>
      <c r="G81" s="26">
        <f>IF(OR(B81="",N(J81)=0),"",SUMPRODUCT(MAX((Gifts!$C$6:$C$1005=B81)*Gifts!$Q$6:$Q$1005*Gifts!$M$6:$M$1005)))</f>
        <v/>
      </c>
      <c r="H81" s="27">
        <f>IF(B81="","",SUMIFS(Gifts!$D$6:$D$1005,Gifts!$C$6:$C$1005,B81,Gifts!$K$6:$K$1005,Settings!$C$7,Gifts!$D$6:$D$1005,"&gt;0"))</f>
        <v/>
      </c>
      <c r="I81" s="28">
        <f>IF(B81="","",SUMIFS(Gifts!$D$6:$D$1005,Gifts!$C$6:$C$1005,B81,Gifts!$D$6:$D$1005,"&gt;0",Gifts!$M$6:$M$1005,"&gt;0"))</f>
        <v/>
      </c>
      <c r="J81" s="18">
        <f>IF(B81="","",SUMIFS(Gifts!$Q$6:$Q$1005,Gifts!$C$6:$C$1005,B81))</f>
        <v/>
      </c>
      <c r="K81" s="29">
        <f>IF(B81="","",IF(N(J81)=0,"No gifts yet",IF(AND(N(Settings!$C$9)&gt;0,G81&lt;EDATE(TODAY(),-N(Settings!$C$9))),"Lapsed",IF(YEAR(F81)=N(Settings!$C$7),"New","Active"))))</f>
        <v/>
      </c>
      <c r="L81" s="1" t="n"/>
      <c r="M81">
        <f>IF(OR(B81="",N(H81)&lt;=0),"",ROUND(H81*100,0)*1000+1000-ROW())</f>
        <v/>
      </c>
      <c r="N81">
        <f>IF(B81="","",SUMIFS(Gifts!$Q$6:$Q$1005,Gifts!$C$6:$C$1005,B81,Gifts!$K$6:$K$1005,Settings!$C$7))</f>
        <v/>
      </c>
    </row>
    <row r="82">
      <c r="A82" s="1" t="n"/>
      <c r="B82" s="22" t="n"/>
      <c r="C82" s="24" t="n"/>
      <c r="D82" s="25" t="n"/>
      <c r="E82" s="25" t="n"/>
      <c r="F82" s="26">
        <f>IF(OR(B82="",N(J82)=0),"",SUMPRODUCT(MIN((Gifts!$C$6:$C$1005=B82)*Gifts!$Q$6:$Q$1005*Gifts!$M$6:$M$1005+(1-(Gifts!$C$6:$C$1005=B82)*Gifts!$Q$6:$Q$1005)*1E9)))</f>
        <v/>
      </c>
      <c r="G82" s="26">
        <f>IF(OR(B82="",N(J82)=0),"",SUMPRODUCT(MAX((Gifts!$C$6:$C$1005=B82)*Gifts!$Q$6:$Q$1005*Gifts!$M$6:$M$1005)))</f>
        <v/>
      </c>
      <c r="H82" s="27">
        <f>IF(B82="","",SUMIFS(Gifts!$D$6:$D$1005,Gifts!$C$6:$C$1005,B82,Gifts!$K$6:$K$1005,Settings!$C$7,Gifts!$D$6:$D$1005,"&gt;0"))</f>
        <v/>
      </c>
      <c r="I82" s="28">
        <f>IF(B82="","",SUMIFS(Gifts!$D$6:$D$1005,Gifts!$C$6:$C$1005,B82,Gifts!$D$6:$D$1005,"&gt;0",Gifts!$M$6:$M$1005,"&gt;0"))</f>
        <v/>
      </c>
      <c r="J82" s="18">
        <f>IF(B82="","",SUMIFS(Gifts!$Q$6:$Q$1005,Gifts!$C$6:$C$1005,B82))</f>
        <v/>
      </c>
      <c r="K82" s="29">
        <f>IF(B82="","",IF(N(J82)=0,"No gifts yet",IF(AND(N(Settings!$C$9)&gt;0,G82&lt;EDATE(TODAY(),-N(Settings!$C$9))),"Lapsed",IF(YEAR(F82)=N(Settings!$C$7),"New","Active"))))</f>
        <v/>
      </c>
      <c r="L82" s="1" t="n"/>
      <c r="M82">
        <f>IF(OR(B82="",N(H82)&lt;=0),"",ROUND(H82*100,0)*1000+1000-ROW())</f>
        <v/>
      </c>
      <c r="N82">
        <f>IF(B82="","",SUMIFS(Gifts!$Q$6:$Q$1005,Gifts!$C$6:$C$1005,B82,Gifts!$K$6:$K$1005,Settings!$C$7))</f>
        <v/>
      </c>
    </row>
    <row r="83">
      <c r="A83" s="1" t="n"/>
      <c r="B83" s="22" t="n"/>
      <c r="C83" s="24" t="n"/>
      <c r="D83" s="25" t="n"/>
      <c r="E83" s="25" t="n"/>
      <c r="F83" s="26">
        <f>IF(OR(B83="",N(J83)=0),"",SUMPRODUCT(MIN((Gifts!$C$6:$C$1005=B83)*Gifts!$Q$6:$Q$1005*Gifts!$M$6:$M$1005+(1-(Gifts!$C$6:$C$1005=B83)*Gifts!$Q$6:$Q$1005)*1E9)))</f>
        <v/>
      </c>
      <c r="G83" s="26">
        <f>IF(OR(B83="",N(J83)=0),"",SUMPRODUCT(MAX((Gifts!$C$6:$C$1005=B83)*Gifts!$Q$6:$Q$1005*Gifts!$M$6:$M$1005)))</f>
        <v/>
      </c>
      <c r="H83" s="27">
        <f>IF(B83="","",SUMIFS(Gifts!$D$6:$D$1005,Gifts!$C$6:$C$1005,B83,Gifts!$K$6:$K$1005,Settings!$C$7,Gifts!$D$6:$D$1005,"&gt;0"))</f>
        <v/>
      </c>
      <c r="I83" s="28">
        <f>IF(B83="","",SUMIFS(Gifts!$D$6:$D$1005,Gifts!$C$6:$C$1005,B83,Gifts!$D$6:$D$1005,"&gt;0",Gifts!$M$6:$M$1005,"&gt;0"))</f>
        <v/>
      </c>
      <c r="J83" s="18">
        <f>IF(B83="","",SUMIFS(Gifts!$Q$6:$Q$1005,Gifts!$C$6:$C$1005,B83))</f>
        <v/>
      </c>
      <c r="K83" s="29">
        <f>IF(B83="","",IF(N(J83)=0,"No gifts yet",IF(AND(N(Settings!$C$9)&gt;0,G83&lt;EDATE(TODAY(),-N(Settings!$C$9))),"Lapsed",IF(YEAR(F83)=N(Settings!$C$7),"New","Active"))))</f>
        <v/>
      </c>
      <c r="L83" s="1" t="n"/>
      <c r="M83">
        <f>IF(OR(B83="",N(H83)&lt;=0),"",ROUND(H83*100,0)*1000+1000-ROW())</f>
        <v/>
      </c>
      <c r="N83">
        <f>IF(B83="","",SUMIFS(Gifts!$Q$6:$Q$1005,Gifts!$C$6:$C$1005,B83,Gifts!$K$6:$K$1005,Settings!$C$7))</f>
        <v/>
      </c>
    </row>
    <row r="84">
      <c r="A84" s="1" t="n"/>
      <c r="B84" s="22" t="n"/>
      <c r="C84" s="24" t="n"/>
      <c r="D84" s="25" t="n"/>
      <c r="E84" s="25" t="n"/>
      <c r="F84" s="26">
        <f>IF(OR(B84="",N(J84)=0),"",SUMPRODUCT(MIN((Gifts!$C$6:$C$1005=B84)*Gifts!$Q$6:$Q$1005*Gifts!$M$6:$M$1005+(1-(Gifts!$C$6:$C$1005=B84)*Gifts!$Q$6:$Q$1005)*1E9)))</f>
        <v/>
      </c>
      <c r="G84" s="26">
        <f>IF(OR(B84="",N(J84)=0),"",SUMPRODUCT(MAX((Gifts!$C$6:$C$1005=B84)*Gifts!$Q$6:$Q$1005*Gifts!$M$6:$M$1005)))</f>
        <v/>
      </c>
      <c r="H84" s="27">
        <f>IF(B84="","",SUMIFS(Gifts!$D$6:$D$1005,Gifts!$C$6:$C$1005,B84,Gifts!$K$6:$K$1005,Settings!$C$7,Gifts!$D$6:$D$1005,"&gt;0"))</f>
        <v/>
      </c>
      <c r="I84" s="28">
        <f>IF(B84="","",SUMIFS(Gifts!$D$6:$D$1005,Gifts!$C$6:$C$1005,B84,Gifts!$D$6:$D$1005,"&gt;0",Gifts!$M$6:$M$1005,"&gt;0"))</f>
        <v/>
      </c>
      <c r="J84" s="18">
        <f>IF(B84="","",SUMIFS(Gifts!$Q$6:$Q$1005,Gifts!$C$6:$C$1005,B84))</f>
        <v/>
      </c>
      <c r="K84" s="29">
        <f>IF(B84="","",IF(N(J84)=0,"No gifts yet",IF(AND(N(Settings!$C$9)&gt;0,G84&lt;EDATE(TODAY(),-N(Settings!$C$9))),"Lapsed",IF(YEAR(F84)=N(Settings!$C$7),"New","Active"))))</f>
        <v/>
      </c>
      <c r="L84" s="1" t="n"/>
      <c r="M84">
        <f>IF(OR(B84="",N(H84)&lt;=0),"",ROUND(H84*100,0)*1000+1000-ROW())</f>
        <v/>
      </c>
      <c r="N84">
        <f>IF(B84="","",SUMIFS(Gifts!$Q$6:$Q$1005,Gifts!$C$6:$C$1005,B84,Gifts!$K$6:$K$1005,Settings!$C$7))</f>
        <v/>
      </c>
    </row>
    <row r="85">
      <c r="A85" s="1" t="n"/>
      <c r="B85" s="22" t="n"/>
      <c r="C85" s="24" t="n"/>
      <c r="D85" s="25" t="n"/>
      <c r="E85" s="25" t="n"/>
      <c r="F85" s="26">
        <f>IF(OR(B85="",N(J85)=0),"",SUMPRODUCT(MIN((Gifts!$C$6:$C$1005=B85)*Gifts!$Q$6:$Q$1005*Gifts!$M$6:$M$1005+(1-(Gifts!$C$6:$C$1005=B85)*Gifts!$Q$6:$Q$1005)*1E9)))</f>
        <v/>
      </c>
      <c r="G85" s="26">
        <f>IF(OR(B85="",N(J85)=0),"",SUMPRODUCT(MAX((Gifts!$C$6:$C$1005=B85)*Gifts!$Q$6:$Q$1005*Gifts!$M$6:$M$1005)))</f>
        <v/>
      </c>
      <c r="H85" s="27">
        <f>IF(B85="","",SUMIFS(Gifts!$D$6:$D$1005,Gifts!$C$6:$C$1005,B85,Gifts!$K$6:$K$1005,Settings!$C$7,Gifts!$D$6:$D$1005,"&gt;0"))</f>
        <v/>
      </c>
      <c r="I85" s="28">
        <f>IF(B85="","",SUMIFS(Gifts!$D$6:$D$1005,Gifts!$C$6:$C$1005,B85,Gifts!$D$6:$D$1005,"&gt;0",Gifts!$M$6:$M$1005,"&gt;0"))</f>
        <v/>
      </c>
      <c r="J85" s="18">
        <f>IF(B85="","",SUMIFS(Gifts!$Q$6:$Q$1005,Gifts!$C$6:$C$1005,B85))</f>
        <v/>
      </c>
      <c r="K85" s="29">
        <f>IF(B85="","",IF(N(J85)=0,"No gifts yet",IF(AND(N(Settings!$C$9)&gt;0,G85&lt;EDATE(TODAY(),-N(Settings!$C$9))),"Lapsed",IF(YEAR(F85)=N(Settings!$C$7),"New","Active"))))</f>
        <v/>
      </c>
      <c r="L85" s="1" t="n"/>
      <c r="M85">
        <f>IF(OR(B85="",N(H85)&lt;=0),"",ROUND(H85*100,0)*1000+1000-ROW())</f>
        <v/>
      </c>
      <c r="N85">
        <f>IF(B85="","",SUMIFS(Gifts!$Q$6:$Q$1005,Gifts!$C$6:$C$1005,B85,Gifts!$K$6:$K$1005,Settings!$C$7))</f>
        <v/>
      </c>
    </row>
    <row r="86">
      <c r="A86" s="1" t="n"/>
      <c r="B86" s="22" t="n"/>
      <c r="C86" s="24" t="n"/>
      <c r="D86" s="25" t="n"/>
      <c r="E86" s="25" t="n"/>
      <c r="F86" s="26">
        <f>IF(OR(B86="",N(J86)=0),"",SUMPRODUCT(MIN((Gifts!$C$6:$C$1005=B86)*Gifts!$Q$6:$Q$1005*Gifts!$M$6:$M$1005+(1-(Gifts!$C$6:$C$1005=B86)*Gifts!$Q$6:$Q$1005)*1E9)))</f>
        <v/>
      </c>
      <c r="G86" s="26">
        <f>IF(OR(B86="",N(J86)=0),"",SUMPRODUCT(MAX((Gifts!$C$6:$C$1005=B86)*Gifts!$Q$6:$Q$1005*Gifts!$M$6:$M$1005)))</f>
        <v/>
      </c>
      <c r="H86" s="27">
        <f>IF(B86="","",SUMIFS(Gifts!$D$6:$D$1005,Gifts!$C$6:$C$1005,B86,Gifts!$K$6:$K$1005,Settings!$C$7,Gifts!$D$6:$D$1005,"&gt;0"))</f>
        <v/>
      </c>
      <c r="I86" s="28">
        <f>IF(B86="","",SUMIFS(Gifts!$D$6:$D$1005,Gifts!$C$6:$C$1005,B86,Gifts!$D$6:$D$1005,"&gt;0",Gifts!$M$6:$M$1005,"&gt;0"))</f>
        <v/>
      </c>
      <c r="J86" s="18">
        <f>IF(B86="","",SUMIFS(Gifts!$Q$6:$Q$1005,Gifts!$C$6:$C$1005,B86))</f>
        <v/>
      </c>
      <c r="K86" s="29">
        <f>IF(B86="","",IF(N(J86)=0,"No gifts yet",IF(AND(N(Settings!$C$9)&gt;0,G86&lt;EDATE(TODAY(),-N(Settings!$C$9))),"Lapsed",IF(YEAR(F86)=N(Settings!$C$7),"New","Active"))))</f>
        <v/>
      </c>
      <c r="L86" s="1" t="n"/>
      <c r="M86">
        <f>IF(OR(B86="",N(H86)&lt;=0),"",ROUND(H86*100,0)*1000+1000-ROW())</f>
        <v/>
      </c>
      <c r="N86">
        <f>IF(B86="","",SUMIFS(Gifts!$Q$6:$Q$1005,Gifts!$C$6:$C$1005,B86,Gifts!$K$6:$K$1005,Settings!$C$7))</f>
        <v/>
      </c>
    </row>
    <row r="87">
      <c r="A87" s="1" t="n"/>
      <c r="B87" s="22" t="n"/>
      <c r="C87" s="24" t="n"/>
      <c r="D87" s="25" t="n"/>
      <c r="E87" s="25" t="n"/>
      <c r="F87" s="26">
        <f>IF(OR(B87="",N(J87)=0),"",SUMPRODUCT(MIN((Gifts!$C$6:$C$1005=B87)*Gifts!$Q$6:$Q$1005*Gifts!$M$6:$M$1005+(1-(Gifts!$C$6:$C$1005=B87)*Gifts!$Q$6:$Q$1005)*1E9)))</f>
        <v/>
      </c>
      <c r="G87" s="26">
        <f>IF(OR(B87="",N(J87)=0),"",SUMPRODUCT(MAX((Gifts!$C$6:$C$1005=B87)*Gifts!$Q$6:$Q$1005*Gifts!$M$6:$M$1005)))</f>
        <v/>
      </c>
      <c r="H87" s="27">
        <f>IF(B87="","",SUMIFS(Gifts!$D$6:$D$1005,Gifts!$C$6:$C$1005,B87,Gifts!$K$6:$K$1005,Settings!$C$7,Gifts!$D$6:$D$1005,"&gt;0"))</f>
        <v/>
      </c>
      <c r="I87" s="28">
        <f>IF(B87="","",SUMIFS(Gifts!$D$6:$D$1005,Gifts!$C$6:$C$1005,B87,Gifts!$D$6:$D$1005,"&gt;0",Gifts!$M$6:$M$1005,"&gt;0"))</f>
        <v/>
      </c>
      <c r="J87" s="18">
        <f>IF(B87="","",SUMIFS(Gifts!$Q$6:$Q$1005,Gifts!$C$6:$C$1005,B87))</f>
        <v/>
      </c>
      <c r="K87" s="29">
        <f>IF(B87="","",IF(N(J87)=0,"No gifts yet",IF(AND(N(Settings!$C$9)&gt;0,G87&lt;EDATE(TODAY(),-N(Settings!$C$9))),"Lapsed",IF(YEAR(F87)=N(Settings!$C$7),"New","Active"))))</f>
        <v/>
      </c>
      <c r="L87" s="1" t="n"/>
      <c r="M87">
        <f>IF(OR(B87="",N(H87)&lt;=0),"",ROUND(H87*100,0)*1000+1000-ROW())</f>
        <v/>
      </c>
      <c r="N87">
        <f>IF(B87="","",SUMIFS(Gifts!$Q$6:$Q$1005,Gifts!$C$6:$C$1005,B87,Gifts!$K$6:$K$1005,Settings!$C$7))</f>
        <v/>
      </c>
    </row>
    <row r="88">
      <c r="A88" s="1" t="n"/>
      <c r="B88" s="22" t="n"/>
      <c r="C88" s="24" t="n"/>
      <c r="D88" s="25" t="n"/>
      <c r="E88" s="25" t="n"/>
      <c r="F88" s="26">
        <f>IF(OR(B88="",N(J88)=0),"",SUMPRODUCT(MIN((Gifts!$C$6:$C$1005=B88)*Gifts!$Q$6:$Q$1005*Gifts!$M$6:$M$1005+(1-(Gifts!$C$6:$C$1005=B88)*Gifts!$Q$6:$Q$1005)*1E9)))</f>
        <v/>
      </c>
      <c r="G88" s="26">
        <f>IF(OR(B88="",N(J88)=0),"",SUMPRODUCT(MAX((Gifts!$C$6:$C$1005=B88)*Gifts!$Q$6:$Q$1005*Gifts!$M$6:$M$1005)))</f>
        <v/>
      </c>
      <c r="H88" s="27">
        <f>IF(B88="","",SUMIFS(Gifts!$D$6:$D$1005,Gifts!$C$6:$C$1005,B88,Gifts!$K$6:$K$1005,Settings!$C$7,Gifts!$D$6:$D$1005,"&gt;0"))</f>
        <v/>
      </c>
      <c r="I88" s="28">
        <f>IF(B88="","",SUMIFS(Gifts!$D$6:$D$1005,Gifts!$C$6:$C$1005,B88,Gifts!$D$6:$D$1005,"&gt;0",Gifts!$M$6:$M$1005,"&gt;0"))</f>
        <v/>
      </c>
      <c r="J88" s="18">
        <f>IF(B88="","",SUMIFS(Gifts!$Q$6:$Q$1005,Gifts!$C$6:$C$1005,B88))</f>
        <v/>
      </c>
      <c r="K88" s="29">
        <f>IF(B88="","",IF(N(J88)=0,"No gifts yet",IF(AND(N(Settings!$C$9)&gt;0,G88&lt;EDATE(TODAY(),-N(Settings!$C$9))),"Lapsed",IF(YEAR(F88)=N(Settings!$C$7),"New","Active"))))</f>
        <v/>
      </c>
      <c r="L88" s="1" t="n"/>
      <c r="M88">
        <f>IF(OR(B88="",N(H88)&lt;=0),"",ROUND(H88*100,0)*1000+1000-ROW())</f>
        <v/>
      </c>
      <c r="N88">
        <f>IF(B88="","",SUMIFS(Gifts!$Q$6:$Q$1005,Gifts!$C$6:$C$1005,B88,Gifts!$K$6:$K$1005,Settings!$C$7))</f>
        <v/>
      </c>
    </row>
    <row r="89">
      <c r="A89" s="1" t="n"/>
      <c r="B89" s="22" t="n"/>
      <c r="C89" s="24" t="n"/>
      <c r="D89" s="25" t="n"/>
      <c r="E89" s="25" t="n"/>
      <c r="F89" s="26">
        <f>IF(OR(B89="",N(J89)=0),"",SUMPRODUCT(MIN((Gifts!$C$6:$C$1005=B89)*Gifts!$Q$6:$Q$1005*Gifts!$M$6:$M$1005+(1-(Gifts!$C$6:$C$1005=B89)*Gifts!$Q$6:$Q$1005)*1E9)))</f>
        <v/>
      </c>
      <c r="G89" s="26">
        <f>IF(OR(B89="",N(J89)=0),"",SUMPRODUCT(MAX((Gifts!$C$6:$C$1005=B89)*Gifts!$Q$6:$Q$1005*Gifts!$M$6:$M$1005)))</f>
        <v/>
      </c>
      <c r="H89" s="27">
        <f>IF(B89="","",SUMIFS(Gifts!$D$6:$D$1005,Gifts!$C$6:$C$1005,B89,Gifts!$K$6:$K$1005,Settings!$C$7,Gifts!$D$6:$D$1005,"&gt;0"))</f>
        <v/>
      </c>
      <c r="I89" s="28">
        <f>IF(B89="","",SUMIFS(Gifts!$D$6:$D$1005,Gifts!$C$6:$C$1005,B89,Gifts!$D$6:$D$1005,"&gt;0",Gifts!$M$6:$M$1005,"&gt;0"))</f>
        <v/>
      </c>
      <c r="J89" s="18">
        <f>IF(B89="","",SUMIFS(Gifts!$Q$6:$Q$1005,Gifts!$C$6:$C$1005,B89))</f>
        <v/>
      </c>
      <c r="K89" s="29">
        <f>IF(B89="","",IF(N(J89)=0,"No gifts yet",IF(AND(N(Settings!$C$9)&gt;0,G89&lt;EDATE(TODAY(),-N(Settings!$C$9))),"Lapsed",IF(YEAR(F89)=N(Settings!$C$7),"New","Active"))))</f>
        <v/>
      </c>
      <c r="L89" s="1" t="n"/>
      <c r="M89">
        <f>IF(OR(B89="",N(H89)&lt;=0),"",ROUND(H89*100,0)*1000+1000-ROW())</f>
        <v/>
      </c>
      <c r="N89">
        <f>IF(B89="","",SUMIFS(Gifts!$Q$6:$Q$1005,Gifts!$C$6:$C$1005,B89,Gifts!$K$6:$K$1005,Settings!$C$7))</f>
        <v/>
      </c>
    </row>
    <row r="90">
      <c r="A90" s="1" t="n"/>
      <c r="B90" s="22" t="n"/>
      <c r="C90" s="24" t="n"/>
      <c r="D90" s="25" t="n"/>
      <c r="E90" s="25" t="n"/>
      <c r="F90" s="26">
        <f>IF(OR(B90="",N(J90)=0),"",SUMPRODUCT(MIN((Gifts!$C$6:$C$1005=B90)*Gifts!$Q$6:$Q$1005*Gifts!$M$6:$M$1005+(1-(Gifts!$C$6:$C$1005=B90)*Gifts!$Q$6:$Q$1005)*1E9)))</f>
        <v/>
      </c>
      <c r="G90" s="26">
        <f>IF(OR(B90="",N(J90)=0),"",SUMPRODUCT(MAX((Gifts!$C$6:$C$1005=B90)*Gifts!$Q$6:$Q$1005*Gifts!$M$6:$M$1005)))</f>
        <v/>
      </c>
      <c r="H90" s="27">
        <f>IF(B90="","",SUMIFS(Gifts!$D$6:$D$1005,Gifts!$C$6:$C$1005,B90,Gifts!$K$6:$K$1005,Settings!$C$7,Gifts!$D$6:$D$1005,"&gt;0"))</f>
        <v/>
      </c>
      <c r="I90" s="28">
        <f>IF(B90="","",SUMIFS(Gifts!$D$6:$D$1005,Gifts!$C$6:$C$1005,B90,Gifts!$D$6:$D$1005,"&gt;0",Gifts!$M$6:$M$1005,"&gt;0"))</f>
        <v/>
      </c>
      <c r="J90" s="18">
        <f>IF(B90="","",SUMIFS(Gifts!$Q$6:$Q$1005,Gifts!$C$6:$C$1005,B90))</f>
        <v/>
      </c>
      <c r="K90" s="29">
        <f>IF(B90="","",IF(N(J90)=0,"No gifts yet",IF(AND(N(Settings!$C$9)&gt;0,G90&lt;EDATE(TODAY(),-N(Settings!$C$9))),"Lapsed",IF(YEAR(F90)=N(Settings!$C$7),"New","Active"))))</f>
        <v/>
      </c>
      <c r="L90" s="1" t="n"/>
      <c r="M90">
        <f>IF(OR(B90="",N(H90)&lt;=0),"",ROUND(H90*100,0)*1000+1000-ROW())</f>
        <v/>
      </c>
      <c r="N90">
        <f>IF(B90="","",SUMIFS(Gifts!$Q$6:$Q$1005,Gifts!$C$6:$C$1005,B90,Gifts!$K$6:$K$1005,Settings!$C$7))</f>
        <v/>
      </c>
    </row>
    <row r="91">
      <c r="A91" s="1" t="n"/>
      <c r="B91" s="22" t="n"/>
      <c r="C91" s="24" t="n"/>
      <c r="D91" s="25" t="n"/>
      <c r="E91" s="25" t="n"/>
      <c r="F91" s="26">
        <f>IF(OR(B91="",N(J91)=0),"",SUMPRODUCT(MIN((Gifts!$C$6:$C$1005=B91)*Gifts!$Q$6:$Q$1005*Gifts!$M$6:$M$1005+(1-(Gifts!$C$6:$C$1005=B91)*Gifts!$Q$6:$Q$1005)*1E9)))</f>
        <v/>
      </c>
      <c r="G91" s="26">
        <f>IF(OR(B91="",N(J91)=0),"",SUMPRODUCT(MAX((Gifts!$C$6:$C$1005=B91)*Gifts!$Q$6:$Q$1005*Gifts!$M$6:$M$1005)))</f>
        <v/>
      </c>
      <c r="H91" s="27">
        <f>IF(B91="","",SUMIFS(Gifts!$D$6:$D$1005,Gifts!$C$6:$C$1005,B91,Gifts!$K$6:$K$1005,Settings!$C$7,Gifts!$D$6:$D$1005,"&gt;0"))</f>
        <v/>
      </c>
      <c r="I91" s="28">
        <f>IF(B91="","",SUMIFS(Gifts!$D$6:$D$1005,Gifts!$C$6:$C$1005,B91,Gifts!$D$6:$D$1005,"&gt;0",Gifts!$M$6:$M$1005,"&gt;0"))</f>
        <v/>
      </c>
      <c r="J91" s="18">
        <f>IF(B91="","",SUMIFS(Gifts!$Q$6:$Q$1005,Gifts!$C$6:$C$1005,B91))</f>
        <v/>
      </c>
      <c r="K91" s="29">
        <f>IF(B91="","",IF(N(J91)=0,"No gifts yet",IF(AND(N(Settings!$C$9)&gt;0,G91&lt;EDATE(TODAY(),-N(Settings!$C$9))),"Lapsed",IF(YEAR(F91)=N(Settings!$C$7),"New","Active"))))</f>
        <v/>
      </c>
      <c r="L91" s="1" t="n"/>
      <c r="M91">
        <f>IF(OR(B91="",N(H91)&lt;=0),"",ROUND(H91*100,0)*1000+1000-ROW())</f>
        <v/>
      </c>
      <c r="N91">
        <f>IF(B91="","",SUMIFS(Gifts!$Q$6:$Q$1005,Gifts!$C$6:$C$1005,B91,Gifts!$K$6:$K$1005,Settings!$C$7))</f>
        <v/>
      </c>
    </row>
    <row r="92">
      <c r="A92" s="1" t="n"/>
      <c r="B92" s="22" t="n"/>
      <c r="C92" s="24" t="n"/>
      <c r="D92" s="25" t="n"/>
      <c r="E92" s="25" t="n"/>
      <c r="F92" s="26">
        <f>IF(OR(B92="",N(J92)=0),"",SUMPRODUCT(MIN((Gifts!$C$6:$C$1005=B92)*Gifts!$Q$6:$Q$1005*Gifts!$M$6:$M$1005+(1-(Gifts!$C$6:$C$1005=B92)*Gifts!$Q$6:$Q$1005)*1E9)))</f>
        <v/>
      </c>
      <c r="G92" s="26">
        <f>IF(OR(B92="",N(J92)=0),"",SUMPRODUCT(MAX((Gifts!$C$6:$C$1005=B92)*Gifts!$Q$6:$Q$1005*Gifts!$M$6:$M$1005)))</f>
        <v/>
      </c>
      <c r="H92" s="27">
        <f>IF(B92="","",SUMIFS(Gifts!$D$6:$D$1005,Gifts!$C$6:$C$1005,B92,Gifts!$K$6:$K$1005,Settings!$C$7,Gifts!$D$6:$D$1005,"&gt;0"))</f>
        <v/>
      </c>
      <c r="I92" s="28">
        <f>IF(B92="","",SUMIFS(Gifts!$D$6:$D$1005,Gifts!$C$6:$C$1005,B92,Gifts!$D$6:$D$1005,"&gt;0",Gifts!$M$6:$M$1005,"&gt;0"))</f>
        <v/>
      </c>
      <c r="J92" s="18">
        <f>IF(B92="","",SUMIFS(Gifts!$Q$6:$Q$1005,Gifts!$C$6:$C$1005,B92))</f>
        <v/>
      </c>
      <c r="K92" s="29">
        <f>IF(B92="","",IF(N(J92)=0,"No gifts yet",IF(AND(N(Settings!$C$9)&gt;0,G92&lt;EDATE(TODAY(),-N(Settings!$C$9))),"Lapsed",IF(YEAR(F92)=N(Settings!$C$7),"New","Active"))))</f>
        <v/>
      </c>
      <c r="L92" s="1" t="n"/>
      <c r="M92">
        <f>IF(OR(B92="",N(H92)&lt;=0),"",ROUND(H92*100,0)*1000+1000-ROW())</f>
        <v/>
      </c>
      <c r="N92">
        <f>IF(B92="","",SUMIFS(Gifts!$Q$6:$Q$1005,Gifts!$C$6:$C$1005,B92,Gifts!$K$6:$K$1005,Settings!$C$7))</f>
        <v/>
      </c>
    </row>
    <row r="93">
      <c r="A93" s="1" t="n"/>
      <c r="B93" s="22" t="n"/>
      <c r="C93" s="24" t="n"/>
      <c r="D93" s="25" t="n"/>
      <c r="E93" s="25" t="n"/>
      <c r="F93" s="26">
        <f>IF(OR(B93="",N(J93)=0),"",SUMPRODUCT(MIN((Gifts!$C$6:$C$1005=B93)*Gifts!$Q$6:$Q$1005*Gifts!$M$6:$M$1005+(1-(Gifts!$C$6:$C$1005=B93)*Gifts!$Q$6:$Q$1005)*1E9)))</f>
        <v/>
      </c>
      <c r="G93" s="26">
        <f>IF(OR(B93="",N(J93)=0),"",SUMPRODUCT(MAX((Gifts!$C$6:$C$1005=B93)*Gifts!$Q$6:$Q$1005*Gifts!$M$6:$M$1005)))</f>
        <v/>
      </c>
      <c r="H93" s="27">
        <f>IF(B93="","",SUMIFS(Gifts!$D$6:$D$1005,Gifts!$C$6:$C$1005,B93,Gifts!$K$6:$K$1005,Settings!$C$7,Gifts!$D$6:$D$1005,"&gt;0"))</f>
        <v/>
      </c>
      <c r="I93" s="28">
        <f>IF(B93="","",SUMIFS(Gifts!$D$6:$D$1005,Gifts!$C$6:$C$1005,B93,Gifts!$D$6:$D$1005,"&gt;0",Gifts!$M$6:$M$1005,"&gt;0"))</f>
        <v/>
      </c>
      <c r="J93" s="18">
        <f>IF(B93="","",SUMIFS(Gifts!$Q$6:$Q$1005,Gifts!$C$6:$C$1005,B93))</f>
        <v/>
      </c>
      <c r="K93" s="29">
        <f>IF(B93="","",IF(N(J93)=0,"No gifts yet",IF(AND(N(Settings!$C$9)&gt;0,G93&lt;EDATE(TODAY(),-N(Settings!$C$9))),"Lapsed",IF(YEAR(F93)=N(Settings!$C$7),"New","Active"))))</f>
        <v/>
      </c>
      <c r="L93" s="1" t="n"/>
      <c r="M93">
        <f>IF(OR(B93="",N(H93)&lt;=0),"",ROUND(H93*100,0)*1000+1000-ROW())</f>
        <v/>
      </c>
      <c r="N93">
        <f>IF(B93="","",SUMIFS(Gifts!$Q$6:$Q$1005,Gifts!$C$6:$C$1005,B93,Gifts!$K$6:$K$1005,Settings!$C$7))</f>
        <v/>
      </c>
    </row>
    <row r="94">
      <c r="A94" s="1" t="n"/>
      <c r="B94" s="22" t="n"/>
      <c r="C94" s="24" t="n"/>
      <c r="D94" s="25" t="n"/>
      <c r="E94" s="25" t="n"/>
      <c r="F94" s="26">
        <f>IF(OR(B94="",N(J94)=0),"",SUMPRODUCT(MIN((Gifts!$C$6:$C$1005=B94)*Gifts!$Q$6:$Q$1005*Gifts!$M$6:$M$1005+(1-(Gifts!$C$6:$C$1005=B94)*Gifts!$Q$6:$Q$1005)*1E9)))</f>
        <v/>
      </c>
      <c r="G94" s="26">
        <f>IF(OR(B94="",N(J94)=0),"",SUMPRODUCT(MAX((Gifts!$C$6:$C$1005=B94)*Gifts!$Q$6:$Q$1005*Gifts!$M$6:$M$1005)))</f>
        <v/>
      </c>
      <c r="H94" s="27">
        <f>IF(B94="","",SUMIFS(Gifts!$D$6:$D$1005,Gifts!$C$6:$C$1005,B94,Gifts!$K$6:$K$1005,Settings!$C$7,Gifts!$D$6:$D$1005,"&gt;0"))</f>
        <v/>
      </c>
      <c r="I94" s="28">
        <f>IF(B94="","",SUMIFS(Gifts!$D$6:$D$1005,Gifts!$C$6:$C$1005,B94,Gifts!$D$6:$D$1005,"&gt;0",Gifts!$M$6:$M$1005,"&gt;0"))</f>
        <v/>
      </c>
      <c r="J94" s="18">
        <f>IF(B94="","",SUMIFS(Gifts!$Q$6:$Q$1005,Gifts!$C$6:$C$1005,B94))</f>
        <v/>
      </c>
      <c r="K94" s="29">
        <f>IF(B94="","",IF(N(J94)=0,"No gifts yet",IF(AND(N(Settings!$C$9)&gt;0,G94&lt;EDATE(TODAY(),-N(Settings!$C$9))),"Lapsed",IF(YEAR(F94)=N(Settings!$C$7),"New","Active"))))</f>
        <v/>
      </c>
      <c r="L94" s="1" t="n"/>
      <c r="M94">
        <f>IF(OR(B94="",N(H94)&lt;=0),"",ROUND(H94*100,0)*1000+1000-ROW())</f>
        <v/>
      </c>
      <c r="N94">
        <f>IF(B94="","",SUMIFS(Gifts!$Q$6:$Q$1005,Gifts!$C$6:$C$1005,B94,Gifts!$K$6:$K$1005,Settings!$C$7))</f>
        <v/>
      </c>
    </row>
    <row r="95">
      <c r="A95" s="1" t="n"/>
      <c r="B95" s="22" t="n"/>
      <c r="C95" s="24" t="n"/>
      <c r="D95" s="25" t="n"/>
      <c r="E95" s="25" t="n"/>
      <c r="F95" s="26">
        <f>IF(OR(B95="",N(J95)=0),"",SUMPRODUCT(MIN((Gifts!$C$6:$C$1005=B95)*Gifts!$Q$6:$Q$1005*Gifts!$M$6:$M$1005+(1-(Gifts!$C$6:$C$1005=B95)*Gifts!$Q$6:$Q$1005)*1E9)))</f>
        <v/>
      </c>
      <c r="G95" s="26">
        <f>IF(OR(B95="",N(J95)=0),"",SUMPRODUCT(MAX((Gifts!$C$6:$C$1005=B95)*Gifts!$Q$6:$Q$1005*Gifts!$M$6:$M$1005)))</f>
        <v/>
      </c>
      <c r="H95" s="27">
        <f>IF(B95="","",SUMIFS(Gifts!$D$6:$D$1005,Gifts!$C$6:$C$1005,B95,Gifts!$K$6:$K$1005,Settings!$C$7,Gifts!$D$6:$D$1005,"&gt;0"))</f>
        <v/>
      </c>
      <c r="I95" s="28">
        <f>IF(B95="","",SUMIFS(Gifts!$D$6:$D$1005,Gifts!$C$6:$C$1005,B95,Gifts!$D$6:$D$1005,"&gt;0",Gifts!$M$6:$M$1005,"&gt;0"))</f>
        <v/>
      </c>
      <c r="J95" s="18">
        <f>IF(B95="","",SUMIFS(Gifts!$Q$6:$Q$1005,Gifts!$C$6:$C$1005,B95))</f>
        <v/>
      </c>
      <c r="K95" s="29">
        <f>IF(B95="","",IF(N(J95)=0,"No gifts yet",IF(AND(N(Settings!$C$9)&gt;0,G95&lt;EDATE(TODAY(),-N(Settings!$C$9))),"Lapsed",IF(YEAR(F95)=N(Settings!$C$7),"New","Active"))))</f>
        <v/>
      </c>
      <c r="L95" s="1" t="n"/>
      <c r="M95">
        <f>IF(OR(B95="",N(H95)&lt;=0),"",ROUND(H95*100,0)*1000+1000-ROW())</f>
        <v/>
      </c>
      <c r="N95">
        <f>IF(B95="","",SUMIFS(Gifts!$Q$6:$Q$1005,Gifts!$C$6:$C$1005,B95,Gifts!$K$6:$K$1005,Settings!$C$7))</f>
        <v/>
      </c>
    </row>
    <row r="96">
      <c r="A96" s="1" t="n"/>
      <c r="B96" s="22" t="n"/>
      <c r="C96" s="24" t="n"/>
      <c r="D96" s="25" t="n"/>
      <c r="E96" s="25" t="n"/>
      <c r="F96" s="26">
        <f>IF(OR(B96="",N(J96)=0),"",SUMPRODUCT(MIN((Gifts!$C$6:$C$1005=B96)*Gifts!$Q$6:$Q$1005*Gifts!$M$6:$M$1005+(1-(Gifts!$C$6:$C$1005=B96)*Gifts!$Q$6:$Q$1005)*1E9)))</f>
        <v/>
      </c>
      <c r="G96" s="26">
        <f>IF(OR(B96="",N(J96)=0),"",SUMPRODUCT(MAX((Gifts!$C$6:$C$1005=B96)*Gifts!$Q$6:$Q$1005*Gifts!$M$6:$M$1005)))</f>
        <v/>
      </c>
      <c r="H96" s="27">
        <f>IF(B96="","",SUMIFS(Gifts!$D$6:$D$1005,Gifts!$C$6:$C$1005,B96,Gifts!$K$6:$K$1005,Settings!$C$7,Gifts!$D$6:$D$1005,"&gt;0"))</f>
        <v/>
      </c>
      <c r="I96" s="28">
        <f>IF(B96="","",SUMIFS(Gifts!$D$6:$D$1005,Gifts!$C$6:$C$1005,B96,Gifts!$D$6:$D$1005,"&gt;0",Gifts!$M$6:$M$1005,"&gt;0"))</f>
        <v/>
      </c>
      <c r="J96" s="18">
        <f>IF(B96="","",SUMIFS(Gifts!$Q$6:$Q$1005,Gifts!$C$6:$C$1005,B96))</f>
        <v/>
      </c>
      <c r="K96" s="29">
        <f>IF(B96="","",IF(N(J96)=0,"No gifts yet",IF(AND(N(Settings!$C$9)&gt;0,G96&lt;EDATE(TODAY(),-N(Settings!$C$9))),"Lapsed",IF(YEAR(F96)=N(Settings!$C$7),"New","Active"))))</f>
        <v/>
      </c>
      <c r="L96" s="1" t="n"/>
      <c r="M96">
        <f>IF(OR(B96="",N(H96)&lt;=0),"",ROUND(H96*100,0)*1000+1000-ROW())</f>
        <v/>
      </c>
      <c r="N96">
        <f>IF(B96="","",SUMIFS(Gifts!$Q$6:$Q$1005,Gifts!$C$6:$C$1005,B96,Gifts!$K$6:$K$1005,Settings!$C$7))</f>
        <v/>
      </c>
    </row>
    <row r="97">
      <c r="A97" s="1" t="n"/>
      <c r="B97" s="22" t="n"/>
      <c r="C97" s="24" t="n"/>
      <c r="D97" s="25" t="n"/>
      <c r="E97" s="25" t="n"/>
      <c r="F97" s="26">
        <f>IF(OR(B97="",N(J97)=0),"",SUMPRODUCT(MIN((Gifts!$C$6:$C$1005=B97)*Gifts!$Q$6:$Q$1005*Gifts!$M$6:$M$1005+(1-(Gifts!$C$6:$C$1005=B97)*Gifts!$Q$6:$Q$1005)*1E9)))</f>
        <v/>
      </c>
      <c r="G97" s="26">
        <f>IF(OR(B97="",N(J97)=0),"",SUMPRODUCT(MAX((Gifts!$C$6:$C$1005=B97)*Gifts!$Q$6:$Q$1005*Gifts!$M$6:$M$1005)))</f>
        <v/>
      </c>
      <c r="H97" s="27">
        <f>IF(B97="","",SUMIFS(Gifts!$D$6:$D$1005,Gifts!$C$6:$C$1005,B97,Gifts!$K$6:$K$1005,Settings!$C$7,Gifts!$D$6:$D$1005,"&gt;0"))</f>
        <v/>
      </c>
      <c r="I97" s="28">
        <f>IF(B97="","",SUMIFS(Gifts!$D$6:$D$1005,Gifts!$C$6:$C$1005,B97,Gifts!$D$6:$D$1005,"&gt;0",Gifts!$M$6:$M$1005,"&gt;0"))</f>
        <v/>
      </c>
      <c r="J97" s="18">
        <f>IF(B97="","",SUMIFS(Gifts!$Q$6:$Q$1005,Gifts!$C$6:$C$1005,B97))</f>
        <v/>
      </c>
      <c r="K97" s="29">
        <f>IF(B97="","",IF(N(J97)=0,"No gifts yet",IF(AND(N(Settings!$C$9)&gt;0,G97&lt;EDATE(TODAY(),-N(Settings!$C$9))),"Lapsed",IF(YEAR(F97)=N(Settings!$C$7),"New","Active"))))</f>
        <v/>
      </c>
      <c r="L97" s="1" t="n"/>
      <c r="M97">
        <f>IF(OR(B97="",N(H97)&lt;=0),"",ROUND(H97*100,0)*1000+1000-ROW())</f>
        <v/>
      </c>
      <c r="N97">
        <f>IF(B97="","",SUMIFS(Gifts!$Q$6:$Q$1005,Gifts!$C$6:$C$1005,B97,Gifts!$K$6:$K$1005,Settings!$C$7))</f>
        <v/>
      </c>
    </row>
    <row r="98">
      <c r="A98" s="1" t="n"/>
      <c r="B98" s="22" t="n"/>
      <c r="C98" s="24" t="n"/>
      <c r="D98" s="25" t="n"/>
      <c r="E98" s="25" t="n"/>
      <c r="F98" s="26">
        <f>IF(OR(B98="",N(J98)=0),"",SUMPRODUCT(MIN((Gifts!$C$6:$C$1005=B98)*Gifts!$Q$6:$Q$1005*Gifts!$M$6:$M$1005+(1-(Gifts!$C$6:$C$1005=B98)*Gifts!$Q$6:$Q$1005)*1E9)))</f>
        <v/>
      </c>
      <c r="G98" s="26">
        <f>IF(OR(B98="",N(J98)=0),"",SUMPRODUCT(MAX((Gifts!$C$6:$C$1005=B98)*Gifts!$Q$6:$Q$1005*Gifts!$M$6:$M$1005)))</f>
        <v/>
      </c>
      <c r="H98" s="27">
        <f>IF(B98="","",SUMIFS(Gifts!$D$6:$D$1005,Gifts!$C$6:$C$1005,B98,Gifts!$K$6:$K$1005,Settings!$C$7,Gifts!$D$6:$D$1005,"&gt;0"))</f>
        <v/>
      </c>
      <c r="I98" s="28">
        <f>IF(B98="","",SUMIFS(Gifts!$D$6:$D$1005,Gifts!$C$6:$C$1005,B98,Gifts!$D$6:$D$1005,"&gt;0",Gifts!$M$6:$M$1005,"&gt;0"))</f>
        <v/>
      </c>
      <c r="J98" s="18">
        <f>IF(B98="","",SUMIFS(Gifts!$Q$6:$Q$1005,Gifts!$C$6:$C$1005,B98))</f>
        <v/>
      </c>
      <c r="K98" s="29">
        <f>IF(B98="","",IF(N(J98)=0,"No gifts yet",IF(AND(N(Settings!$C$9)&gt;0,G98&lt;EDATE(TODAY(),-N(Settings!$C$9))),"Lapsed",IF(YEAR(F98)=N(Settings!$C$7),"New","Active"))))</f>
        <v/>
      </c>
      <c r="L98" s="1" t="n"/>
      <c r="M98">
        <f>IF(OR(B98="",N(H98)&lt;=0),"",ROUND(H98*100,0)*1000+1000-ROW())</f>
        <v/>
      </c>
      <c r="N98">
        <f>IF(B98="","",SUMIFS(Gifts!$Q$6:$Q$1005,Gifts!$C$6:$C$1005,B98,Gifts!$K$6:$K$1005,Settings!$C$7))</f>
        <v/>
      </c>
    </row>
    <row r="99">
      <c r="A99" s="1" t="n"/>
      <c r="B99" s="22" t="n"/>
      <c r="C99" s="24" t="n"/>
      <c r="D99" s="25" t="n"/>
      <c r="E99" s="25" t="n"/>
      <c r="F99" s="26">
        <f>IF(OR(B99="",N(J99)=0),"",SUMPRODUCT(MIN((Gifts!$C$6:$C$1005=B99)*Gifts!$Q$6:$Q$1005*Gifts!$M$6:$M$1005+(1-(Gifts!$C$6:$C$1005=B99)*Gifts!$Q$6:$Q$1005)*1E9)))</f>
        <v/>
      </c>
      <c r="G99" s="26">
        <f>IF(OR(B99="",N(J99)=0),"",SUMPRODUCT(MAX((Gifts!$C$6:$C$1005=B99)*Gifts!$Q$6:$Q$1005*Gifts!$M$6:$M$1005)))</f>
        <v/>
      </c>
      <c r="H99" s="27">
        <f>IF(B99="","",SUMIFS(Gifts!$D$6:$D$1005,Gifts!$C$6:$C$1005,B99,Gifts!$K$6:$K$1005,Settings!$C$7,Gifts!$D$6:$D$1005,"&gt;0"))</f>
        <v/>
      </c>
      <c r="I99" s="28">
        <f>IF(B99="","",SUMIFS(Gifts!$D$6:$D$1005,Gifts!$C$6:$C$1005,B99,Gifts!$D$6:$D$1005,"&gt;0",Gifts!$M$6:$M$1005,"&gt;0"))</f>
        <v/>
      </c>
      <c r="J99" s="18">
        <f>IF(B99="","",SUMIFS(Gifts!$Q$6:$Q$1005,Gifts!$C$6:$C$1005,B99))</f>
        <v/>
      </c>
      <c r="K99" s="29">
        <f>IF(B99="","",IF(N(J99)=0,"No gifts yet",IF(AND(N(Settings!$C$9)&gt;0,G99&lt;EDATE(TODAY(),-N(Settings!$C$9))),"Lapsed",IF(YEAR(F99)=N(Settings!$C$7),"New","Active"))))</f>
        <v/>
      </c>
      <c r="L99" s="1" t="n"/>
      <c r="M99">
        <f>IF(OR(B99="",N(H99)&lt;=0),"",ROUND(H99*100,0)*1000+1000-ROW())</f>
        <v/>
      </c>
      <c r="N99">
        <f>IF(B99="","",SUMIFS(Gifts!$Q$6:$Q$1005,Gifts!$C$6:$C$1005,B99,Gifts!$K$6:$K$1005,Settings!$C$7))</f>
        <v/>
      </c>
    </row>
    <row r="100">
      <c r="A100" s="1" t="n"/>
      <c r="B100" s="22" t="n"/>
      <c r="C100" s="24" t="n"/>
      <c r="D100" s="25" t="n"/>
      <c r="E100" s="25" t="n"/>
      <c r="F100" s="26">
        <f>IF(OR(B100="",N(J100)=0),"",SUMPRODUCT(MIN((Gifts!$C$6:$C$1005=B100)*Gifts!$Q$6:$Q$1005*Gifts!$M$6:$M$1005+(1-(Gifts!$C$6:$C$1005=B100)*Gifts!$Q$6:$Q$1005)*1E9)))</f>
        <v/>
      </c>
      <c r="G100" s="26">
        <f>IF(OR(B100="",N(J100)=0),"",SUMPRODUCT(MAX((Gifts!$C$6:$C$1005=B100)*Gifts!$Q$6:$Q$1005*Gifts!$M$6:$M$1005)))</f>
        <v/>
      </c>
      <c r="H100" s="27">
        <f>IF(B100="","",SUMIFS(Gifts!$D$6:$D$1005,Gifts!$C$6:$C$1005,B100,Gifts!$K$6:$K$1005,Settings!$C$7,Gifts!$D$6:$D$1005,"&gt;0"))</f>
        <v/>
      </c>
      <c r="I100" s="28">
        <f>IF(B100="","",SUMIFS(Gifts!$D$6:$D$1005,Gifts!$C$6:$C$1005,B100,Gifts!$D$6:$D$1005,"&gt;0",Gifts!$M$6:$M$1005,"&gt;0"))</f>
        <v/>
      </c>
      <c r="J100" s="18">
        <f>IF(B100="","",SUMIFS(Gifts!$Q$6:$Q$1005,Gifts!$C$6:$C$1005,B100))</f>
        <v/>
      </c>
      <c r="K100" s="29">
        <f>IF(B100="","",IF(N(J100)=0,"No gifts yet",IF(AND(N(Settings!$C$9)&gt;0,G100&lt;EDATE(TODAY(),-N(Settings!$C$9))),"Lapsed",IF(YEAR(F100)=N(Settings!$C$7),"New","Active"))))</f>
        <v/>
      </c>
      <c r="L100" s="1" t="n"/>
      <c r="M100">
        <f>IF(OR(B100="",N(H100)&lt;=0),"",ROUND(H100*100,0)*1000+1000-ROW())</f>
        <v/>
      </c>
      <c r="N100">
        <f>IF(B100="","",SUMIFS(Gifts!$Q$6:$Q$1005,Gifts!$C$6:$C$1005,B100,Gifts!$K$6:$K$1005,Settings!$C$7))</f>
        <v/>
      </c>
    </row>
    <row r="101">
      <c r="A101" s="1" t="n"/>
      <c r="B101" s="22" t="n"/>
      <c r="C101" s="24" t="n"/>
      <c r="D101" s="25" t="n"/>
      <c r="E101" s="25" t="n"/>
      <c r="F101" s="26">
        <f>IF(OR(B101="",N(J101)=0),"",SUMPRODUCT(MIN((Gifts!$C$6:$C$1005=B101)*Gifts!$Q$6:$Q$1005*Gifts!$M$6:$M$1005+(1-(Gifts!$C$6:$C$1005=B101)*Gifts!$Q$6:$Q$1005)*1E9)))</f>
        <v/>
      </c>
      <c r="G101" s="26">
        <f>IF(OR(B101="",N(J101)=0),"",SUMPRODUCT(MAX((Gifts!$C$6:$C$1005=B101)*Gifts!$Q$6:$Q$1005*Gifts!$M$6:$M$1005)))</f>
        <v/>
      </c>
      <c r="H101" s="27">
        <f>IF(B101="","",SUMIFS(Gifts!$D$6:$D$1005,Gifts!$C$6:$C$1005,B101,Gifts!$K$6:$K$1005,Settings!$C$7,Gifts!$D$6:$D$1005,"&gt;0"))</f>
        <v/>
      </c>
      <c r="I101" s="28">
        <f>IF(B101="","",SUMIFS(Gifts!$D$6:$D$1005,Gifts!$C$6:$C$1005,B101,Gifts!$D$6:$D$1005,"&gt;0",Gifts!$M$6:$M$1005,"&gt;0"))</f>
        <v/>
      </c>
      <c r="J101" s="18">
        <f>IF(B101="","",SUMIFS(Gifts!$Q$6:$Q$1005,Gifts!$C$6:$C$1005,B101))</f>
        <v/>
      </c>
      <c r="K101" s="29">
        <f>IF(B101="","",IF(N(J101)=0,"No gifts yet",IF(AND(N(Settings!$C$9)&gt;0,G101&lt;EDATE(TODAY(),-N(Settings!$C$9))),"Lapsed",IF(YEAR(F101)=N(Settings!$C$7),"New","Active"))))</f>
        <v/>
      </c>
      <c r="L101" s="1" t="n"/>
      <c r="M101">
        <f>IF(OR(B101="",N(H101)&lt;=0),"",ROUND(H101*100,0)*1000+1000-ROW())</f>
        <v/>
      </c>
      <c r="N101">
        <f>IF(B101="","",SUMIFS(Gifts!$Q$6:$Q$1005,Gifts!$C$6:$C$1005,B101,Gifts!$K$6:$K$1005,Settings!$C$7))</f>
        <v/>
      </c>
    </row>
    <row r="102">
      <c r="A102" s="1" t="n"/>
      <c r="B102" s="22" t="n"/>
      <c r="C102" s="24" t="n"/>
      <c r="D102" s="25" t="n"/>
      <c r="E102" s="25" t="n"/>
      <c r="F102" s="26">
        <f>IF(OR(B102="",N(J102)=0),"",SUMPRODUCT(MIN((Gifts!$C$6:$C$1005=B102)*Gifts!$Q$6:$Q$1005*Gifts!$M$6:$M$1005+(1-(Gifts!$C$6:$C$1005=B102)*Gifts!$Q$6:$Q$1005)*1E9)))</f>
        <v/>
      </c>
      <c r="G102" s="26">
        <f>IF(OR(B102="",N(J102)=0),"",SUMPRODUCT(MAX((Gifts!$C$6:$C$1005=B102)*Gifts!$Q$6:$Q$1005*Gifts!$M$6:$M$1005)))</f>
        <v/>
      </c>
      <c r="H102" s="27">
        <f>IF(B102="","",SUMIFS(Gifts!$D$6:$D$1005,Gifts!$C$6:$C$1005,B102,Gifts!$K$6:$K$1005,Settings!$C$7,Gifts!$D$6:$D$1005,"&gt;0"))</f>
        <v/>
      </c>
      <c r="I102" s="28">
        <f>IF(B102="","",SUMIFS(Gifts!$D$6:$D$1005,Gifts!$C$6:$C$1005,B102,Gifts!$D$6:$D$1005,"&gt;0",Gifts!$M$6:$M$1005,"&gt;0"))</f>
        <v/>
      </c>
      <c r="J102" s="18">
        <f>IF(B102="","",SUMIFS(Gifts!$Q$6:$Q$1005,Gifts!$C$6:$C$1005,B102))</f>
        <v/>
      </c>
      <c r="K102" s="29">
        <f>IF(B102="","",IF(N(J102)=0,"No gifts yet",IF(AND(N(Settings!$C$9)&gt;0,G102&lt;EDATE(TODAY(),-N(Settings!$C$9))),"Lapsed",IF(YEAR(F102)=N(Settings!$C$7),"New","Active"))))</f>
        <v/>
      </c>
      <c r="L102" s="1" t="n"/>
      <c r="M102">
        <f>IF(OR(B102="",N(H102)&lt;=0),"",ROUND(H102*100,0)*1000+1000-ROW())</f>
        <v/>
      </c>
      <c r="N102">
        <f>IF(B102="","",SUMIFS(Gifts!$Q$6:$Q$1005,Gifts!$C$6:$C$1005,B102,Gifts!$K$6:$K$1005,Settings!$C$7))</f>
        <v/>
      </c>
    </row>
    <row r="103">
      <c r="A103" s="1" t="n"/>
      <c r="B103" s="22" t="n"/>
      <c r="C103" s="24" t="n"/>
      <c r="D103" s="25" t="n"/>
      <c r="E103" s="25" t="n"/>
      <c r="F103" s="26">
        <f>IF(OR(B103="",N(J103)=0),"",SUMPRODUCT(MIN((Gifts!$C$6:$C$1005=B103)*Gifts!$Q$6:$Q$1005*Gifts!$M$6:$M$1005+(1-(Gifts!$C$6:$C$1005=B103)*Gifts!$Q$6:$Q$1005)*1E9)))</f>
        <v/>
      </c>
      <c r="G103" s="26">
        <f>IF(OR(B103="",N(J103)=0),"",SUMPRODUCT(MAX((Gifts!$C$6:$C$1005=B103)*Gifts!$Q$6:$Q$1005*Gifts!$M$6:$M$1005)))</f>
        <v/>
      </c>
      <c r="H103" s="27">
        <f>IF(B103="","",SUMIFS(Gifts!$D$6:$D$1005,Gifts!$C$6:$C$1005,B103,Gifts!$K$6:$K$1005,Settings!$C$7,Gifts!$D$6:$D$1005,"&gt;0"))</f>
        <v/>
      </c>
      <c r="I103" s="28">
        <f>IF(B103="","",SUMIFS(Gifts!$D$6:$D$1005,Gifts!$C$6:$C$1005,B103,Gifts!$D$6:$D$1005,"&gt;0",Gifts!$M$6:$M$1005,"&gt;0"))</f>
        <v/>
      </c>
      <c r="J103" s="18">
        <f>IF(B103="","",SUMIFS(Gifts!$Q$6:$Q$1005,Gifts!$C$6:$C$1005,B103))</f>
        <v/>
      </c>
      <c r="K103" s="29">
        <f>IF(B103="","",IF(N(J103)=0,"No gifts yet",IF(AND(N(Settings!$C$9)&gt;0,G103&lt;EDATE(TODAY(),-N(Settings!$C$9))),"Lapsed",IF(YEAR(F103)=N(Settings!$C$7),"New","Active"))))</f>
        <v/>
      </c>
      <c r="L103" s="1" t="n"/>
      <c r="M103">
        <f>IF(OR(B103="",N(H103)&lt;=0),"",ROUND(H103*100,0)*1000+1000-ROW())</f>
        <v/>
      </c>
      <c r="N103">
        <f>IF(B103="","",SUMIFS(Gifts!$Q$6:$Q$1005,Gifts!$C$6:$C$1005,B103,Gifts!$K$6:$K$1005,Settings!$C$7))</f>
        <v/>
      </c>
    </row>
    <row r="104">
      <c r="A104" s="1" t="n"/>
      <c r="B104" s="22" t="n"/>
      <c r="C104" s="24" t="n"/>
      <c r="D104" s="25" t="n"/>
      <c r="E104" s="25" t="n"/>
      <c r="F104" s="26">
        <f>IF(OR(B104="",N(J104)=0),"",SUMPRODUCT(MIN((Gifts!$C$6:$C$1005=B104)*Gifts!$Q$6:$Q$1005*Gifts!$M$6:$M$1005+(1-(Gifts!$C$6:$C$1005=B104)*Gifts!$Q$6:$Q$1005)*1E9)))</f>
        <v/>
      </c>
      <c r="G104" s="26">
        <f>IF(OR(B104="",N(J104)=0),"",SUMPRODUCT(MAX((Gifts!$C$6:$C$1005=B104)*Gifts!$Q$6:$Q$1005*Gifts!$M$6:$M$1005)))</f>
        <v/>
      </c>
      <c r="H104" s="27">
        <f>IF(B104="","",SUMIFS(Gifts!$D$6:$D$1005,Gifts!$C$6:$C$1005,B104,Gifts!$K$6:$K$1005,Settings!$C$7,Gifts!$D$6:$D$1005,"&gt;0"))</f>
        <v/>
      </c>
      <c r="I104" s="28">
        <f>IF(B104="","",SUMIFS(Gifts!$D$6:$D$1005,Gifts!$C$6:$C$1005,B104,Gifts!$D$6:$D$1005,"&gt;0",Gifts!$M$6:$M$1005,"&gt;0"))</f>
        <v/>
      </c>
      <c r="J104" s="18">
        <f>IF(B104="","",SUMIFS(Gifts!$Q$6:$Q$1005,Gifts!$C$6:$C$1005,B104))</f>
        <v/>
      </c>
      <c r="K104" s="29">
        <f>IF(B104="","",IF(N(J104)=0,"No gifts yet",IF(AND(N(Settings!$C$9)&gt;0,G104&lt;EDATE(TODAY(),-N(Settings!$C$9))),"Lapsed",IF(YEAR(F104)=N(Settings!$C$7),"New","Active"))))</f>
        <v/>
      </c>
      <c r="L104" s="1" t="n"/>
      <c r="M104">
        <f>IF(OR(B104="",N(H104)&lt;=0),"",ROUND(H104*100,0)*1000+1000-ROW())</f>
        <v/>
      </c>
      <c r="N104">
        <f>IF(B104="","",SUMIFS(Gifts!$Q$6:$Q$1005,Gifts!$C$6:$C$1005,B104,Gifts!$K$6:$K$1005,Settings!$C$7))</f>
        <v/>
      </c>
    </row>
    <row r="105">
      <c r="A105" s="1" t="n"/>
      <c r="B105" s="22" t="n"/>
      <c r="C105" s="24" t="n"/>
      <c r="D105" s="25" t="n"/>
      <c r="E105" s="25" t="n"/>
      <c r="F105" s="26">
        <f>IF(OR(B105="",N(J105)=0),"",SUMPRODUCT(MIN((Gifts!$C$6:$C$1005=B105)*Gifts!$Q$6:$Q$1005*Gifts!$M$6:$M$1005+(1-(Gifts!$C$6:$C$1005=B105)*Gifts!$Q$6:$Q$1005)*1E9)))</f>
        <v/>
      </c>
      <c r="G105" s="26">
        <f>IF(OR(B105="",N(J105)=0),"",SUMPRODUCT(MAX((Gifts!$C$6:$C$1005=B105)*Gifts!$Q$6:$Q$1005*Gifts!$M$6:$M$1005)))</f>
        <v/>
      </c>
      <c r="H105" s="27">
        <f>IF(B105="","",SUMIFS(Gifts!$D$6:$D$1005,Gifts!$C$6:$C$1005,B105,Gifts!$K$6:$K$1005,Settings!$C$7,Gifts!$D$6:$D$1005,"&gt;0"))</f>
        <v/>
      </c>
      <c r="I105" s="28">
        <f>IF(B105="","",SUMIFS(Gifts!$D$6:$D$1005,Gifts!$C$6:$C$1005,B105,Gifts!$D$6:$D$1005,"&gt;0",Gifts!$M$6:$M$1005,"&gt;0"))</f>
        <v/>
      </c>
      <c r="J105" s="18">
        <f>IF(B105="","",SUMIFS(Gifts!$Q$6:$Q$1005,Gifts!$C$6:$C$1005,B105))</f>
        <v/>
      </c>
      <c r="K105" s="29">
        <f>IF(B105="","",IF(N(J105)=0,"No gifts yet",IF(AND(N(Settings!$C$9)&gt;0,G105&lt;EDATE(TODAY(),-N(Settings!$C$9))),"Lapsed",IF(YEAR(F105)=N(Settings!$C$7),"New","Active"))))</f>
        <v/>
      </c>
      <c r="L105" s="1" t="n"/>
      <c r="M105">
        <f>IF(OR(B105="",N(H105)&lt;=0),"",ROUND(H105*100,0)*1000+1000-ROW())</f>
        <v/>
      </c>
      <c r="N105">
        <f>IF(B105="","",SUMIFS(Gifts!$Q$6:$Q$1005,Gifts!$C$6:$C$1005,B105,Gifts!$K$6:$K$1005,Settings!$C$7))</f>
        <v/>
      </c>
    </row>
    <row r="106">
      <c r="A106" s="1" t="n"/>
      <c r="B106" s="22" t="n"/>
      <c r="C106" s="24" t="n"/>
      <c r="D106" s="25" t="n"/>
      <c r="E106" s="25" t="n"/>
      <c r="F106" s="26">
        <f>IF(OR(B106="",N(J106)=0),"",SUMPRODUCT(MIN((Gifts!$C$6:$C$1005=B106)*Gifts!$Q$6:$Q$1005*Gifts!$M$6:$M$1005+(1-(Gifts!$C$6:$C$1005=B106)*Gifts!$Q$6:$Q$1005)*1E9)))</f>
        <v/>
      </c>
      <c r="G106" s="26">
        <f>IF(OR(B106="",N(J106)=0),"",SUMPRODUCT(MAX((Gifts!$C$6:$C$1005=B106)*Gifts!$Q$6:$Q$1005*Gifts!$M$6:$M$1005)))</f>
        <v/>
      </c>
      <c r="H106" s="27">
        <f>IF(B106="","",SUMIFS(Gifts!$D$6:$D$1005,Gifts!$C$6:$C$1005,B106,Gifts!$K$6:$K$1005,Settings!$C$7,Gifts!$D$6:$D$1005,"&gt;0"))</f>
        <v/>
      </c>
      <c r="I106" s="28">
        <f>IF(B106="","",SUMIFS(Gifts!$D$6:$D$1005,Gifts!$C$6:$C$1005,B106,Gifts!$D$6:$D$1005,"&gt;0",Gifts!$M$6:$M$1005,"&gt;0"))</f>
        <v/>
      </c>
      <c r="J106" s="18">
        <f>IF(B106="","",SUMIFS(Gifts!$Q$6:$Q$1005,Gifts!$C$6:$C$1005,B106))</f>
        <v/>
      </c>
      <c r="K106" s="29">
        <f>IF(B106="","",IF(N(J106)=0,"No gifts yet",IF(AND(N(Settings!$C$9)&gt;0,G106&lt;EDATE(TODAY(),-N(Settings!$C$9))),"Lapsed",IF(YEAR(F106)=N(Settings!$C$7),"New","Active"))))</f>
        <v/>
      </c>
      <c r="L106" s="1" t="n"/>
      <c r="M106">
        <f>IF(OR(B106="",N(H106)&lt;=0),"",ROUND(H106*100,0)*1000+1000-ROW())</f>
        <v/>
      </c>
      <c r="N106">
        <f>IF(B106="","",SUMIFS(Gifts!$Q$6:$Q$1005,Gifts!$C$6:$C$1005,B106,Gifts!$K$6:$K$1005,Settings!$C$7))</f>
        <v/>
      </c>
    </row>
    <row r="107">
      <c r="A107" s="1" t="n"/>
      <c r="B107" s="22" t="n"/>
      <c r="C107" s="24" t="n"/>
      <c r="D107" s="25" t="n"/>
      <c r="E107" s="25" t="n"/>
      <c r="F107" s="26">
        <f>IF(OR(B107="",N(J107)=0),"",SUMPRODUCT(MIN((Gifts!$C$6:$C$1005=B107)*Gifts!$Q$6:$Q$1005*Gifts!$M$6:$M$1005+(1-(Gifts!$C$6:$C$1005=B107)*Gifts!$Q$6:$Q$1005)*1E9)))</f>
        <v/>
      </c>
      <c r="G107" s="26">
        <f>IF(OR(B107="",N(J107)=0),"",SUMPRODUCT(MAX((Gifts!$C$6:$C$1005=B107)*Gifts!$Q$6:$Q$1005*Gifts!$M$6:$M$1005)))</f>
        <v/>
      </c>
      <c r="H107" s="27">
        <f>IF(B107="","",SUMIFS(Gifts!$D$6:$D$1005,Gifts!$C$6:$C$1005,B107,Gifts!$K$6:$K$1005,Settings!$C$7,Gifts!$D$6:$D$1005,"&gt;0"))</f>
        <v/>
      </c>
      <c r="I107" s="28">
        <f>IF(B107="","",SUMIFS(Gifts!$D$6:$D$1005,Gifts!$C$6:$C$1005,B107,Gifts!$D$6:$D$1005,"&gt;0",Gifts!$M$6:$M$1005,"&gt;0"))</f>
        <v/>
      </c>
      <c r="J107" s="18">
        <f>IF(B107="","",SUMIFS(Gifts!$Q$6:$Q$1005,Gifts!$C$6:$C$1005,B107))</f>
        <v/>
      </c>
      <c r="K107" s="29">
        <f>IF(B107="","",IF(N(J107)=0,"No gifts yet",IF(AND(N(Settings!$C$9)&gt;0,G107&lt;EDATE(TODAY(),-N(Settings!$C$9))),"Lapsed",IF(YEAR(F107)=N(Settings!$C$7),"New","Active"))))</f>
        <v/>
      </c>
      <c r="L107" s="1" t="n"/>
      <c r="M107">
        <f>IF(OR(B107="",N(H107)&lt;=0),"",ROUND(H107*100,0)*1000+1000-ROW())</f>
        <v/>
      </c>
      <c r="N107">
        <f>IF(B107="","",SUMIFS(Gifts!$Q$6:$Q$1005,Gifts!$C$6:$C$1005,B107,Gifts!$K$6:$K$1005,Settings!$C$7))</f>
        <v/>
      </c>
    </row>
    <row r="108">
      <c r="A108" s="1" t="n"/>
      <c r="B108" s="22" t="n"/>
      <c r="C108" s="24" t="n"/>
      <c r="D108" s="25" t="n"/>
      <c r="E108" s="25" t="n"/>
      <c r="F108" s="26">
        <f>IF(OR(B108="",N(J108)=0),"",SUMPRODUCT(MIN((Gifts!$C$6:$C$1005=B108)*Gifts!$Q$6:$Q$1005*Gifts!$M$6:$M$1005+(1-(Gifts!$C$6:$C$1005=B108)*Gifts!$Q$6:$Q$1005)*1E9)))</f>
        <v/>
      </c>
      <c r="G108" s="26">
        <f>IF(OR(B108="",N(J108)=0),"",SUMPRODUCT(MAX((Gifts!$C$6:$C$1005=B108)*Gifts!$Q$6:$Q$1005*Gifts!$M$6:$M$1005)))</f>
        <v/>
      </c>
      <c r="H108" s="27">
        <f>IF(B108="","",SUMIFS(Gifts!$D$6:$D$1005,Gifts!$C$6:$C$1005,B108,Gifts!$K$6:$K$1005,Settings!$C$7,Gifts!$D$6:$D$1005,"&gt;0"))</f>
        <v/>
      </c>
      <c r="I108" s="28">
        <f>IF(B108="","",SUMIFS(Gifts!$D$6:$D$1005,Gifts!$C$6:$C$1005,B108,Gifts!$D$6:$D$1005,"&gt;0",Gifts!$M$6:$M$1005,"&gt;0"))</f>
        <v/>
      </c>
      <c r="J108" s="18">
        <f>IF(B108="","",SUMIFS(Gifts!$Q$6:$Q$1005,Gifts!$C$6:$C$1005,B108))</f>
        <v/>
      </c>
      <c r="K108" s="29">
        <f>IF(B108="","",IF(N(J108)=0,"No gifts yet",IF(AND(N(Settings!$C$9)&gt;0,G108&lt;EDATE(TODAY(),-N(Settings!$C$9))),"Lapsed",IF(YEAR(F108)=N(Settings!$C$7),"New","Active"))))</f>
        <v/>
      </c>
      <c r="L108" s="1" t="n"/>
      <c r="M108">
        <f>IF(OR(B108="",N(H108)&lt;=0),"",ROUND(H108*100,0)*1000+1000-ROW())</f>
        <v/>
      </c>
      <c r="N108">
        <f>IF(B108="","",SUMIFS(Gifts!$Q$6:$Q$1005,Gifts!$C$6:$C$1005,B108,Gifts!$K$6:$K$1005,Settings!$C$7))</f>
        <v/>
      </c>
    </row>
    <row r="109">
      <c r="A109" s="1" t="n"/>
      <c r="B109" s="22" t="n"/>
      <c r="C109" s="24" t="n"/>
      <c r="D109" s="25" t="n"/>
      <c r="E109" s="25" t="n"/>
      <c r="F109" s="26">
        <f>IF(OR(B109="",N(J109)=0),"",SUMPRODUCT(MIN((Gifts!$C$6:$C$1005=B109)*Gifts!$Q$6:$Q$1005*Gifts!$M$6:$M$1005+(1-(Gifts!$C$6:$C$1005=B109)*Gifts!$Q$6:$Q$1005)*1E9)))</f>
        <v/>
      </c>
      <c r="G109" s="26">
        <f>IF(OR(B109="",N(J109)=0),"",SUMPRODUCT(MAX((Gifts!$C$6:$C$1005=B109)*Gifts!$Q$6:$Q$1005*Gifts!$M$6:$M$1005)))</f>
        <v/>
      </c>
      <c r="H109" s="27">
        <f>IF(B109="","",SUMIFS(Gifts!$D$6:$D$1005,Gifts!$C$6:$C$1005,B109,Gifts!$K$6:$K$1005,Settings!$C$7,Gifts!$D$6:$D$1005,"&gt;0"))</f>
        <v/>
      </c>
      <c r="I109" s="28">
        <f>IF(B109="","",SUMIFS(Gifts!$D$6:$D$1005,Gifts!$C$6:$C$1005,B109,Gifts!$D$6:$D$1005,"&gt;0",Gifts!$M$6:$M$1005,"&gt;0"))</f>
        <v/>
      </c>
      <c r="J109" s="18">
        <f>IF(B109="","",SUMIFS(Gifts!$Q$6:$Q$1005,Gifts!$C$6:$C$1005,B109))</f>
        <v/>
      </c>
      <c r="K109" s="29">
        <f>IF(B109="","",IF(N(J109)=0,"No gifts yet",IF(AND(N(Settings!$C$9)&gt;0,G109&lt;EDATE(TODAY(),-N(Settings!$C$9))),"Lapsed",IF(YEAR(F109)=N(Settings!$C$7),"New","Active"))))</f>
        <v/>
      </c>
      <c r="L109" s="1" t="n"/>
      <c r="M109">
        <f>IF(OR(B109="",N(H109)&lt;=0),"",ROUND(H109*100,0)*1000+1000-ROW())</f>
        <v/>
      </c>
      <c r="N109">
        <f>IF(B109="","",SUMIFS(Gifts!$Q$6:$Q$1005,Gifts!$C$6:$C$1005,B109,Gifts!$K$6:$K$1005,Settings!$C$7))</f>
        <v/>
      </c>
    </row>
    <row r="110">
      <c r="A110" s="1" t="n"/>
      <c r="B110" s="22" t="n"/>
      <c r="C110" s="24" t="n"/>
      <c r="D110" s="25" t="n"/>
      <c r="E110" s="25" t="n"/>
      <c r="F110" s="26">
        <f>IF(OR(B110="",N(J110)=0),"",SUMPRODUCT(MIN((Gifts!$C$6:$C$1005=B110)*Gifts!$Q$6:$Q$1005*Gifts!$M$6:$M$1005+(1-(Gifts!$C$6:$C$1005=B110)*Gifts!$Q$6:$Q$1005)*1E9)))</f>
        <v/>
      </c>
      <c r="G110" s="26">
        <f>IF(OR(B110="",N(J110)=0),"",SUMPRODUCT(MAX((Gifts!$C$6:$C$1005=B110)*Gifts!$Q$6:$Q$1005*Gifts!$M$6:$M$1005)))</f>
        <v/>
      </c>
      <c r="H110" s="27">
        <f>IF(B110="","",SUMIFS(Gifts!$D$6:$D$1005,Gifts!$C$6:$C$1005,B110,Gifts!$K$6:$K$1005,Settings!$C$7,Gifts!$D$6:$D$1005,"&gt;0"))</f>
        <v/>
      </c>
      <c r="I110" s="28">
        <f>IF(B110="","",SUMIFS(Gifts!$D$6:$D$1005,Gifts!$C$6:$C$1005,B110,Gifts!$D$6:$D$1005,"&gt;0",Gifts!$M$6:$M$1005,"&gt;0"))</f>
        <v/>
      </c>
      <c r="J110" s="18">
        <f>IF(B110="","",SUMIFS(Gifts!$Q$6:$Q$1005,Gifts!$C$6:$C$1005,B110))</f>
        <v/>
      </c>
      <c r="K110" s="29">
        <f>IF(B110="","",IF(N(J110)=0,"No gifts yet",IF(AND(N(Settings!$C$9)&gt;0,G110&lt;EDATE(TODAY(),-N(Settings!$C$9))),"Lapsed",IF(YEAR(F110)=N(Settings!$C$7),"New","Active"))))</f>
        <v/>
      </c>
      <c r="L110" s="1" t="n"/>
      <c r="M110">
        <f>IF(OR(B110="",N(H110)&lt;=0),"",ROUND(H110*100,0)*1000+1000-ROW())</f>
        <v/>
      </c>
      <c r="N110">
        <f>IF(B110="","",SUMIFS(Gifts!$Q$6:$Q$1005,Gifts!$C$6:$C$1005,B110,Gifts!$K$6:$K$1005,Settings!$C$7))</f>
        <v/>
      </c>
    </row>
    <row r="111">
      <c r="A111" s="1" t="n"/>
      <c r="B111" s="22" t="n"/>
      <c r="C111" s="24" t="n"/>
      <c r="D111" s="25" t="n"/>
      <c r="E111" s="25" t="n"/>
      <c r="F111" s="26">
        <f>IF(OR(B111="",N(J111)=0),"",SUMPRODUCT(MIN((Gifts!$C$6:$C$1005=B111)*Gifts!$Q$6:$Q$1005*Gifts!$M$6:$M$1005+(1-(Gifts!$C$6:$C$1005=B111)*Gifts!$Q$6:$Q$1005)*1E9)))</f>
        <v/>
      </c>
      <c r="G111" s="26">
        <f>IF(OR(B111="",N(J111)=0),"",SUMPRODUCT(MAX((Gifts!$C$6:$C$1005=B111)*Gifts!$Q$6:$Q$1005*Gifts!$M$6:$M$1005)))</f>
        <v/>
      </c>
      <c r="H111" s="27">
        <f>IF(B111="","",SUMIFS(Gifts!$D$6:$D$1005,Gifts!$C$6:$C$1005,B111,Gifts!$K$6:$K$1005,Settings!$C$7,Gifts!$D$6:$D$1005,"&gt;0"))</f>
        <v/>
      </c>
      <c r="I111" s="28">
        <f>IF(B111="","",SUMIFS(Gifts!$D$6:$D$1005,Gifts!$C$6:$C$1005,B111,Gifts!$D$6:$D$1005,"&gt;0",Gifts!$M$6:$M$1005,"&gt;0"))</f>
        <v/>
      </c>
      <c r="J111" s="18">
        <f>IF(B111="","",SUMIFS(Gifts!$Q$6:$Q$1005,Gifts!$C$6:$C$1005,B111))</f>
        <v/>
      </c>
      <c r="K111" s="29">
        <f>IF(B111="","",IF(N(J111)=0,"No gifts yet",IF(AND(N(Settings!$C$9)&gt;0,G111&lt;EDATE(TODAY(),-N(Settings!$C$9))),"Lapsed",IF(YEAR(F111)=N(Settings!$C$7),"New","Active"))))</f>
        <v/>
      </c>
      <c r="L111" s="1" t="n"/>
      <c r="M111">
        <f>IF(OR(B111="",N(H111)&lt;=0),"",ROUND(H111*100,0)*1000+1000-ROW())</f>
        <v/>
      </c>
      <c r="N111">
        <f>IF(B111="","",SUMIFS(Gifts!$Q$6:$Q$1005,Gifts!$C$6:$C$1005,B111,Gifts!$K$6:$K$1005,Settings!$C$7))</f>
        <v/>
      </c>
    </row>
    <row r="112">
      <c r="A112" s="1" t="n"/>
      <c r="B112" s="22" t="n"/>
      <c r="C112" s="24" t="n"/>
      <c r="D112" s="25" t="n"/>
      <c r="E112" s="25" t="n"/>
      <c r="F112" s="26">
        <f>IF(OR(B112="",N(J112)=0),"",SUMPRODUCT(MIN((Gifts!$C$6:$C$1005=B112)*Gifts!$Q$6:$Q$1005*Gifts!$M$6:$M$1005+(1-(Gifts!$C$6:$C$1005=B112)*Gifts!$Q$6:$Q$1005)*1E9)))</f>
        <v/>
      </c>
      <c r="G112" s="26">
        <f>IF(OR(B112="",N(J112)=0),"",SUMPRODUCT(MAX((Gifts!$C$6:$C$1005=B112)*Gifts!$Q$6:$Q$1005*Gifts!$M$6:$M$1005)))</f>
        <v/>
      </c>
      <c r="H112" s="27">
        <f>IF(B112="","",SUMIFS(Gifts!$D$6:$D$1005,Gifts!$C$6:$C$1005,B112,Gifts!$K$6:$K$1005,Settings!$C$7,Gifts!$D$6:$D$1005,"&gt;0"))</f>
        <v/>
      </c>
      <c r="I112" s="28">
        <f>IF(B112="","",SUMIFS(Gifts!$D$6:$D$1005,Gifts!$C$6:$C$1005,B112,Gifts!$D$6:$D$1005,"&gt;0",Gifts!$M$6:$M$1005,"&gt;0"))</f>
        <v/>
      </c>
      <c r="J112" s="18">
        <f>IF(B112="","",SUMIFS(Gifts!$Q$6:$Q$1005,Gifts!$C$6:$C$1005,B112))</f>
        <v/>
      </c>
      <c r="K112" s="29">
        <f>IF(B112="","",IF(N(J112)=0,"No gifts yet",IF(AND(N(Settings!$C$9)&gt;0,G112&lt;EDATE(TODAY(),-N(Settings!$C$9))),"Lapsed",IF(YEAR(F112)=N(Settings!$C$7),"New","Active"))))</f>
        <v/>
      </c>
      <c r="L112" s="1" t="n"/>
      <c r="M112">
        <f>IF(OR(B112="",N(H112)&lt;=0),"",ROUND(H112*100,0)*1000+1000-ROW())</f>
        <v/>
      </c>
      <c r="N112">
        <f>IF(B112="","",SUMIFS(Gifts!$Q$6:$Q$1005,Gifts!$C$6:$C$1005,B112,Gifts!$K$6:$K$1005,Settings!$C$7))</f>
        <v/>
      </c>
    </row>
    <row r="113">
      <c r="A113" s="1" t="n"/>
      <c r="B113" s="22" t="n"/>
      <c r="C113" s="24" t="n"/>
      <c r="D113" s="25" t="n"/>
      <c r="E113" s="25" t="n"/>
      <c r="F113" s="26">
        <f>IF(OR(B113="",N(J113)=0),"",SUMPRODUCT(MIN((Gifts!$C$6:$C$1005=B113)*Gifts!$Q$6:$Q$1005*Gifts!$M$6:$M$1005+(1-(Gifts!$C$6:$C$1005=B113)*Gifts!$Q$6:$Q$1005)*1E9)))</f>
        <v/>
      </c>
      <c r="G113" s="26">
        <f>IF(OR(B113="",N(J113)=0),"",SUMPRODUCT(MAX((Gifts!$C$6:$C$1005=B113)*Gifts!$Q$6:$Q$1005*Gifts!$M$6:$M$1005)))</f>
        <v/>
      </c>
      <c r="H113" s="27">
        <f>IF(B113="","",SUMIFS(Gifts!$D$6:$D$1005,Gifts!$C$6:$C$1005,B113,Gifts!$K$6:$K$1005,Settings!$C$7,Gifts!$D$6:$D$1005,"&gt;0"))</f>
        <v/>
      </c>
      <c r="I113" s="28">
        <f>IF(B113="","",SUMIFS(Gifts!$D$6:$D$1005,Gifts!$C$6:$C$1005,B113,Gifts!$D$6:$D$1005,"&gt;0",Gifts!$M$6:$M$1005,"&gt;0"))</f>
        <v/>
      </c>
      <c r="J113" s="18">
        <f>IF(B113="","",SUMIFS(Gifts!$Q$6:$Q$1005,Gifts!$C$6:$C$1005,B113))</f>
        <v/>
      </c>
      <c r="K113" s="29">
        <f>IF(B113="","",IF(N(J113)=0,"No gifts yet",IF(AND(N(Settings!$C$9)&gt;0,G113&lt;EDATE(TODAY(),-N(Settings!$C$9))),"Lapsed",IF(YEAR(F113)=N(Settings!$C$7),"New","Active"))))</f>
        <v/>
      </c>
      <c r="L113" s="1" t="n"/>
      <c r="M113">
        <f>IF(OR(B113="",N(H113)&lt;=0),"",ROUND(H113*100,0)*1000+1000-ROW())</f>
        <v/>
      </c>
      <c r="N113">
        <f>IF(B113="","",SUMIFS(Gifts!$Q$6:$Q$1005,Gifts!$C$6:$C$1005,B113,Gifts!$K$6:$K$1005,Settings!$C$7))</f>
        <v/>
      </c>
    </row>
    <row r="114">
      <c r="A114" s="1" t="n"/>
      <c r="B114" s="22" t="n"/>
      <c r="C114" s="24" t="n"/>
      <c r="D114" s="25" t="n"/>
      <c r="E114" s="25" t="n"/>
      <c r="F114" s="26">
        <f>IF(OR(B114="",N(J114)=0),"",SUMPRODUCT(MIN((Gifts!$C$6:$C$1005=B114)*Gifts!$Q$6:$Q$1005*Gifts!$M$6:$M$1005+(1-(Gifts!$C$6:$C$1005=B114)*Gifts!$Q$6:$Q$1005)*1E9)))</f>
        <v/>
      </c>
      <c r="G114" s="26">
        <f>IF(OR(B114="",N(J114)=0),"",SUMPRODUCT(MAX((Gifts!$C$6:$C$1005=B114)*Gifts!$Q$6:$Q$1005*Gifts!$M$6:$M$1005)))</f>
        <v/>
      </c>
      <c r="H114" s="27">
        <f>IF(B114="","",SUMIFS(Gifts!$D$6:$D$1005,Gifts!$C$6:$C$1005,B114,Gifts!$K$6:$K$1005,Settings!$C$7,Gifts!$D$6:$D$1005,"&gt;0"))</f>
        <v/>
      </c>
      <c r="I114" s="28">
        <f>IF(B114="","",SUMIFS(Gifts!$D$6:$D$1005,Gifts!$C$6:$C$1005,B114,Gifts!$D$6:$D$1005,"&gt;0",Gifts!$M$6:$M$1005,"&gt;0"))</f>
        <v/>
      </c>
      <c r="J114" s="18">
        <f>IF(B114="","",SUMIFS(Gifts!$Q$6:$Q$1005,Gifts!$C$6:$C$1005,B114))</f>
        <v/>
      </c>
      <c r="K114" s="29">
        <f>IF(B114="","",IF(N(J114)=0,"No gifts yet",IF(AND(N(Settings!$C$9)&gt;0,G114&lt;EDATE(TODAY(),-N(Settings!$C$9))),"Lapsed",IF(YEAR(F114)=N(Settings!$C$7),"New","Active"))))</f>
        <v/>
      </c>
      <c r="L114" s="1" t="n"/>
      <c r="M114">
        <f>IF(OR(B114="",N(H114)&lt;=0),"",ROUND(H114*100,0)*1000+1000-ROW())</f>
        <v/>
      </c>
      <c r="N114">
        <f>IF(B114="","",SUMIFS(Gifts!$Q$6:$Q$1005,Gifts!$C$6:$C$1005,B114,Gifts!$K$6:$K$1005,Settings!$C$7))</f>
        <v/>
      </c>
    </row>
    <row r="115">
      <c r="A115" s="1" t="n"/>
      <c r="B115" s="22" t="n"/>
      <c r="C115" s="24" t="n"/>
      <c r="D115" s="25" t="n"/>
      <c r="E115" s="25" t="n"/>
      <c r="F115" s="26">
        <f>IF(OR(B115="",N(J115)=0),"",SUMPRODUCT(MIN((Gifts!$C$6:$C$1005=B115)*Gifts!$Q$6:$Q$1005*Gifts!$M$6:$M$1005+(1-(Gifts!$C$6:$C$1005=B115)*Gifts!$Q$6:$Q$1005)*1E9)))</f>
        <v/>
      </c>
      <c r="G115" s="26">
        <f>IF(OR(B115="",N(J115)=0),"",SUMPRODUCT(MAX((Gifts!$C$6:$C$1005=B115)*Gifts!$Q$6:$Q$1005*Gifts!$M$6:$M$1005)))</f>
        <v/>
      </c>
      <c r="H115" s="27">
        <f>IF(B115="","",SUMIFS(Gifts!$D$6:$D$1005,Gifts!$C$6:$C$1005,B115,Gifts!$K$6:$K$1005,Settings!$C$7,Gifts!$D$6:$D$1005,"&gt;0"))</f>
        <v/>
      </c>
      <c r="I115" s="28">
        <f>IF(B115="","",SUMIFS(Gifts!$D$6:$D$1005,Gifts!$C$6:$C$1005,B115,Gifts!$D$6:$D$1005,"&gt;0",Gifts!$M$6:$M$1005,"&gt;0"))</f>
        <v/>
      </c>
      <c r="J115" s="18">
        <f>IF(B115="","",SUMIFS(Gifts!$Q$6:$Q$1005,Gifts!$C$6:$C$1005,B115))</f>
        <v/>
      </c>
      <c r="K115" s="29">
        <f>IF(B115="","",IF(N(J115)=0,"No gifts yet",IF(AND(N(Settings!$C$9)&gt;0,G115&lt;EDATE(TODAY(),-N(Settings!$C$9))),"Lapsed",IF(YEAR(F115)=N(Settings!$C$7),"New","Active"))))</f>
        <v/>
      </c>
      <c r="L115" s="1" t="n"/>
      <c r="M115">
        <f>IF(OR(B115="",N(H115)&lt;=0),"",ROUND(H115*100,0)*1000+1000-ROW())</f>
        <v/>
      </c>
      <c r="N115">
        <f>IF(B115="","",SUMIFS(Gifts!$Q$6:$Q$1005,Gifts!$C$6:$C$1005,B115,Gifts!$K$6:$K$1005,Settings!$C$7))</f>
        <v/>
      </c>
    </row>
    <row r="116">
      <c r="A116" s="1" t="n"/>
      <c r="B116" s="22" t="n"/>
      <c r="C116" s="24" t="n"/>
      <c r="D116" s="25" t="n"/>
      <c r="E116" s="25" t="n"/>
      <c r="F116" s="26">
        <f>IF(OR(B116="",N(J116)=0),"",SUMPRODUCT(MIN((Gifts!$C$6:$C$1005=B116)*Gifts!$Q$6:$Q$1005*Gifts!$M$6:$M$1005+(1-(Gifts!$C$6:$C$1005=B116)*Gifts!$Q$6:$Q$1005)*1E9)))</f>
        <v/>
      </c>
      <c r="G116" s="26">
        <f>IF(OR(B116="",N(J116)=0),"",SUMPRODUCT(MAX((Gifts!$C$6:$C$1005=B116)*Gifts!$Q$6:$Q$1005*Gifts!$M$6:$M$1005)))</f>
        <v/>
      </c>
      <c r="H116" s="27">
        <f>IF(B116="","",SUMIFS(Gifts!$D$6:$D$1005,Gifts!$C$6:$C$1005,B116,Gifts!$K$6:$K$1005,Settings!$C$7,Gifts!$D$6:$D$1005,"&gt;0"))</f>
        <v/>
      </c>
      <c r="I116" s="28">
        <f>IF(B116="","",SUMIFS(Gifts!$D$6:$D$1005,Gifts!$C$6:$C$1005,B116,Gifts!$D$6:$D$1005,"&gt;0",Gifts!$M$6:$M$1005,"&gt;0"))</f>
        <v/>
      </c>
      <c r="J116" s="18">
        <f>IF(B116="","",SUMIFS(Gifts!$Q$6:$Q$1005,Gifts!$C$6:$C$1005,B116))</f>
        <v/>
      </c>
      <c r="K116" s="29">
        <f>IF(B116="","",IF(N(J116)=0,"No gifts yet",IF(AND(N(Settings!$C$9)&gt;0,G116&lt;EDATE(TODAY(),-N(Settings!$C$9))),"Lapsed",IF(YEAR(F116)=N(Settings!$C$7),"New","Active"))))</f>
        <v/>
      </c>
      <c r="L116" s="1" t="n"/>
      <c r="M116">
        <f>IF(OR(B116="",N(H116)&lt;=0),"",ROUND(H116*100,0)*1000+1000-ROW())</f>
        <v/>
      </c>
      <c r="N116">
        <f>IF(B116="","",SUMIFS(Gifts!$Q$6:$Q$1005,Gifts!$C$6:$C$1005,B116,Gifts!$K$6:$K$1005,Settings!$C$7))</f>
        <v/>
      </c>
    </row>
    <row r="117">
      <c r="A117" s="1" t="n"/>
      <c r="B117" s="22" t="n"/>
      <c r="C117" s="24" t="n"/>
      <c r="D117" s="25" t="n"/>
      <c r="E117" s="25" t="n"/>
      <c r="F117" s="26">
        <f>IF(OR(B117="",N(J117)=0),"",SUMPRODUCT(MIN((Gifts!$C$6:$C$1005=B117)*Gifts!$Q$6:$Q$1005*Gifts!$M$6:$M$1005+(1-(Gifts!$C$6:$C$1005=B117)*Gifts!$Q$6:$Q$1005)*1E9)))</f>
        <v/>
      </c>
      <c r="G117" s="26">
        <f>IF(OR(B117="",N(J117)=0),"",SUMPRODUCT(MAX((Gifts!$C$6:$C$1005=B117)*Gifts!$Q$6:$Q$1005*Gifts!$M$6:$M$1005)))</f>
        <v/>
      </c>
      <c r="H117" s="27">
        <f>IF(B117="","",SUMIFS(Gifts!$D$6:$D$1005,Gifts!$C$6:$C$1005,B117,Gifts!$K$6:$K$1005,Settings!$C$7,Gifts!$D$6:$D$1005,"&gt;0"))</f>
        <v/>
      </c>
      <c r="I117" s="28">
        <f>IF(B117="","",SUMIFS(Gifts!$D$6:$D$1005,Gifts!$C$6:$C$1005,B117,Gifts!$D$6:$D$1005,"&gt;0",Gifts!$M$6:$M$1005,"&gt;0"))</f>
        <v/>
      </c>
      <c r="J117" s="18">
        <f>IF(B117="","",SUMIFS(Gifts!$Q$6:$Q$1005,Gifts!$C$6:$C$1005,B117))</f>
        <v/>
      </c>
      <c r="K117" s="29">
        <f>IF(B117="","",IF(N(J117)=0,"No gifts yet",IF(AND(N(Settings!$C$9)&gt;0,G117&lt;EDATE(TODAY(),-N(Settings!$C$9))),"Lapsed",IF(YEAR(F117)=N(Settings!$C$7),"New","Active"))))</f>
        <v/>
      </c>
      <c r="L117" s="1" t="n"/>
      <c r="M117">
        <f>IF(OR(B117="",N(H117)&lt;=0),"",ROUND(H117*100,0)*1000+1000-ROW())</f>
        <v/>
      </c>
      <c r="N117">
        <f>IF(B117="","",SUMIFS(Gifts!$Q$6:$Q$1005,Gifts!$C$6:$C$1005,B117,Gifts!$K$6:$K$1005,Settings!$C$7))</f>
        <v/>
      </c>
    </row>
    <row r="118">
      <c r="A118" s="1" t="n"/>
      <c r="B118" s="22" t="n"/>
      <c r="C118" s="24" t="n"/>
      <c r="D118" s="25" t="n"/>
      <c r="E118" s="25" t="n"/>
      <c r="F118" s="26">
        <f>IF(OR(B118="",N(J118)=0),"",SUMPRODUCT(MIN((Gifts!$C$6:$C$1005=B118)*Gifts!$Q$6:$Q$1005*Gifts!$M$6:$M$1005+(1-(Gifts!$C$6:$C$1005=B118)*Gifts!$Q$6:$Q$1005)*1E9)))</f>
        <v/>
      </c>
      <c r="G118" s="26">
        <f>IF(OR(B118="",N(J118)=0),"",SUMPRODUCT(MAX((Gifts!$C$6:$C$1005=B118)*Gifts!$Q$6:$Q$1005*Gifts!$M$6:$M$1005)))</f>
        <v/>
      </c>
      <c r="H118" s="27">
        <f>IF(B118="","",SUMIFS(Gifts!$D$6:$D$1005,Gifts!$C$6:$C$1005,B118,Gifts!$K$6:$K$1005,Settings!$C$7,Gifts!$D$6:$D$1005,"&gt;0"))</f>
        <v/>
      </c>
      <c r="I118" s="28">
        <f>IF(B118="","",SUMIFS(Gifts!$D$6:$D$1005,Gifts!$C$6:$C$1005,B118,Gifts!$D$6:$D$1005,"&gt;0",Gifts!$M$6:$M$1005,"&gt;0"))</f>
        <v/>
      </c>
      <c r="J118" s="18">
        <f>IF(B118="","",SUMIFS(Gifts!$Q$6:$Q$1005,Gifts!$C$6:$C$1005,B118))</f>
        <v/>
      </c>
      <c r="K118" s="29">
        <f>IF(B118="","",IF(N(J118)=0,"No gifts yet",IF(AND(N(Settings!$C$9)&gt;0,G118&lt;EDATE(TODAY(),-N(Settings!$C$9))),"Lapsed",IF(YEAR(F118)=N(Settings!$C$7),"New","Active"))))</f>
        <v/>
      </c>
      <c r="L118" s="1" t="n"/>
      <c r="M118">
        <f>IF(OR(B118="",N(H118)&lt;=0),"",ROUND(H118*100,0)*1000+1000-ROW())</f>
        <v/>
      </c>
      <c r="N118">
        <f>IF(B118="","",SUMIFS(Gifts!$Q$6:$Q$1005,Gifts!$C$6:$C$1005,B118,Gifts!$K$6:$K$1005,Settings!$C$7))</f>
        <v/>
      </c>
    </row>
    <row r="119">
      <c r="A119" s="1" t="n"/>
      <c r="B119" s="22" t="n"/>
      <c r="C119" s="24" t="n"/>
      <c r="D119" s="25" t="n"/>
      <c r="E119" s="25" t="n"/>
      <c r="F119" s="26">
        <f>IF(OR(B119="",N(J119)=0),"",SUMPRODUCT(MIN((Gifts!$C$6:$C$1005=B119)*Gifts!$Q$6:$Q$1005*Gifts!$M$6:$M$1005+(1-(Gifts!$C$6:$C$1005=B119)*Gifts!$Q$6:$Q$1005)*1E9)))</f>
        <v/>
      </c>
      <c r="G119" s="26">
        <f>IF(OR(B119="",N(J119)=0),"",SUMPRODUCT(MAX((Gifts!$C$6:$C$1005=B119)*Gifts!$Q$6:$Q$1005*Gifts!$M$6:$M$1005)))</f>
        <v/>
      </c>
      <c r="H119" s="27">
        <f>IF(B119="","",SUMIFS(Gifts!$D$6:$D$1005,Gifts!$C$6:$C$1005,B119,Gifts!$K$6:$K$1005,Settings!$C$7,Gifts!$D$6:$D$1005,"&gt;0"))</f>
        <v/>
      </c>
      <c r="I119" s="28">
        <f>IF(B119="","",SUMIFS(Gifts!$D$6:$D$1005,Gifts!$C$6:$C$1005,B119,Gifts!$D$6:$D$1005,"&gt;0",Gifts!$M$6:$M$1005,"&gt;0"))</f>
        <v/>
      </c>
      <c r="J119" s="18">
        <f>IF(B119="","",SUMIFS(Gifts!$Q$6:$Q$1005,Gifts!$C$6:$C$1005,B119))</f>
        <v/>
      </c>
      <c r="K119" s="29">
        <f>IF(B119="","",IF(N(J119)=0,"No gifts yet",IF(AND(N(Settings!$C$9)&gt;0,G119&lt;EDATE(TODAY(),-N(Settings!$C$9))),"Lapsed",IF(YEAR(F119)=N(Settings!$C$7),"New","Active"))))</f>
        <v/>
      </c>
      <c r="L119" s="1" t="n"/>
      <c r="M119">
        <f>IF(OR(B119="",N(H119)&lt;=0),"",ROUND(H119*100,0)*1000+1000-ROW())</f>
        <v/>
      </c>
      <c r="N119">
        <f>IF(B119="","",SUMIFS(Gifts!$Q$6:$Q$1005,Gifts!$C$6:$C$1005,B119,Gifts!$K$6:$K$1005,Settings!$C$7))</f>
        <v/>
      </c>
    </row>
    <row r="120">
      <c r="A120" s="1" t="n"/>
      <c r="B120" s="22" t="n"/>
      <c r="C120" s="24" t="n"/>
      <c r="D120" s="25" t="n"/>
      <c r="E120" s="25" t="n"/>
      <c r="F120" s="26">
        <f>IF(OR(B120="",N(J120)=0),"",SUMPRODUCT(MIN((Gifts!$C$6:$C$1005=B120)*Gifts!$Q$6:$Q$1005*Gifts!$M$6:$M$1005+(1-(Gifts!$C$6:$C$1005=B120)*Gifts!$Q$6:$Q$1005)*1E9)))</f>
        <v/>
      </c>
      <c r="G120" s="26">
        <f>IF(OR(B120="",N(J120)=0),"",SUMPRODUCT(MAX((Gifts!$C$6:$C$1005=B120)*Gifts!$Q$6:$Q$1005*Gifts!$M$6:$M$1005)))</f>
        <v/>
      </c>
      <c r="H120" s="27">
        <f>IF(B120="","",SUMIFS(Gifts!$D$6:$D$1005,Gifts!$C$6:$C$1005,B120,Gifts!$K$6:$K$1005,Settings!$C$7,Gifts!$D$6:$D$1005,"&gt;0"))</f>
        <v/>
      </c>
      <c r="I120" s="28">
        <f>IF(B120="","",SUMIFS(Gifts!$D$6:$D$1005,Gifts!$C$6:$C$1005,B120,Gifts!$D$6:$D$1005,"&gt;0",Gifts!$M$6:$M$1005,"&gt;0"))</f>
        <v/>
      </c>
      <c r="J120" s="18">
        <f>IF(B120="","",SUMIFS(Gifts!$Q$6:$Q$1005,Gifts!$C$6:$C$1005,B120))</f>
        <v/>
      </c>
      <c r="K120" s="29">
        <f>IF(B120="","",IF(N(J120)=0,"No gifts yet",IF(AND(N(Settings!$C$9)&gt;0,G120&lt;EDATE(TODAY(),-N(Settings!$C$9))),"Lapsed",IF(YEAR(F120)=N(Settings!$C$7),"New","Active"))))</f>
        <v/>
      </c>
      <c r="L120" s="1" t="n"/>
      <c r="M120">
        <f>IF(OR(B120="",N(H120)&lt;=0),"",ROUND(H120*100,0)*1000+1000-ROW())</f>
        <v/>
      </c>
      <c r="N120">
        <f>IF(B120="","",SUMIFS(Gifts!$Q$6:$Q$1005,Gifts!$C$6:$C$1005,B120,Gifts!$K$6:$K$1005,Settings!$C$7))</f>
        <v/>
      </c>
    </row>
    <row r="121">
      <c r="A121" s="1" t="n"/>
      <c r="B121" s="22" t="n"/>
      <c r="C121" s="24" t="n"/>
      <c r="D121" s="25" t="n"/>
      <c r="E121" s="25" t="n"/>
      <c r="F121" s="26">
        <f>IF(OR(B121="",N(J121)=0),"",SUMPRODUCT(MIN((Gifts!$C$6:$C$1005=B121)*Gifts!$Q$6:$Q$1005*Gifts!$M$6:$M$1005+(1-(Gifts!$C$6:$C$1005=B121)*Gifts!$Q$6:$Q$1005)*1E9)))</f>
        <v/>
      </c>
      <c r="G121" s="26">
        <f>IF(OR(B121="",N(J121)=0),"",SUMPRODUCT(MAX((Gifts!$C$6:$C$1005=B121)*Gifts!$Q$6:$Q$1005*Gifts!$M$6:$M$1005)))</f>
        <v/>
      </c>
      <c r="H121" s="27">
        <f>IF(B121="","",SUMIFS(Gifts!$D$6:$D$1005,Gifts!$C$6:$C$1005,B121,Gifts!$K$6:$K$1005,Settings!$C$7,Gifts!$D$6:$D$1005,"&gt;0"))</f>
        <v/>
      </c>
      <c r="I121" s="28">
        <f>IF(B121="","",SUMIFS(Gifts!$D$6:$D$1005,Gifts!$C$6:$C$1005,B121,Gifts!$D$6:$D$1005,"&gt;0",Gifts!$M$6:$M$1005,"&gt;0"))</f>
        <v/>
      </c>
      <c r="J121" s="18">
        <f>IF(B121="","",SUMIFS(Gifts!$Q$6:$Q$1005,Gifts!$C$6:$C$1005,B121))</f>
        <v/>
      </c>
      <c r="K121" s="29">
        <f>IF(B121="","",IF(N(J121)=0,"No gifts yet",IF(AND(N(Settings!$C$9)&gt;0,G121&lt;EDATE(TODAY(),-N(Settings!$C$9))),"Lapsed",IF(YEAR(F121)=N(Settings!$C$7),"New","Active"))))</f>
        <v/>
      </c>
      <c r="L121" s="1" t="n"/>
      <c r="M121">
        <f>IF(OR(B121="",N(H121)&lt;=0),"",ROUND(H121*100,0)*1000+1000-ROW())</f>
        <v/>
      </c>
      <c r="N121">
        <f>IF(B121="","",SUMIFS(Gifts!$Q$6:$Q$1005,Gifts!$C$6:$C$1005,B121,Gifts!$K$6:$K$1005,Settings!$C$7))</f>
        <v/>
      </c>
    </row>
    <row r="122">
      <c r="A122" s="1" t="n"/>
      <c r="B122" s="22" t="n"/>
      <c r="C122" s="24" t="n"/>
      <c r="D122" s="25" t="n"/>
      <c r="E122" s="25" t="n"/>
      <c r="F122" s="26">
        <f>IF(OR(B122="",N(J122)=0),"",SUMPRODUCT(MIN((Gifts!$C$6:$C$1005=B122)*Gifts!$Q$6:$Q$1005*Gifts!$M$6:$M$1005+(1-(Gifts!$C$6:$C$1005=B122)*Gifts!$Q$6:$Q$1005)*1E9)))</f>
        <v/>
      </c>
      <c r="G122" s="26">
        <f>IF(OR(B122="",N(J122)=0),"",SUMPRODUCT(MAX((Gifts!$C$6:$C$1005=B122)*Gifts!$Q$6:$Q$1005*Gifts!$M$6:$M$1005)))</f>
        <v/>
      </c>
      <c r="H122" s="27">
        <f>IF(B122="","",SUMIFS(Gifts!$D$6:$D$1005,Gifts!$C$6:$C$1005,B122,Gifts!$K$6:$K$1005,Settings!$C$7,Gifts!$D$6:$D$1005,"&gt;0"))</f>
        <v/>
      </c>
      <c r="I122" s="28">
        <f>IF(B122="","",SUMIFS(Gifts!$D$6:$D$1005,Gifts!$C$6:$C$1005,B122,Gifts!$D$6:$D$1005,"&gt;0",Gifts!$M$6:$M$1005,"&gt;0"))</f>
        <v/>
      </c>
      <c r="J122" s="18">
        <f>IF(B122="","",SUMIFS(Gifts!$Q$6:$Q$1005,Gifts!$C$6:$C$1005,B122))</f>
        <v/>
      </c>
      <c r="K122" s="29">
        <f>IF(B122="","",IF(N(J122)=0,"No gifts yet",IF(AND(N(Settings!$C$9)&gt;0,G122&lt;EDATE(TODAY(),-N(Settings!$C$9))),"Lapsed",IF(YEAR(F122)=N(Settings!$C$7),"New","Active"))))</f>
        <v/>
      </c>
      <c r="L122" s="1" t="n"/>
      <c r="M122">
        <f>IF(OR(B122="",N(H122)&lt;=0),"",ROUND(H122*100,0)*1000+1000-ROW())</f>
        <v/>
      </c>
      <c r="N122">
        <f>IF(B122="","",SUMIFS(Gifts!$Q$6:$Q$1005,Gifts!$C$6:$C$1005,B122,Gifts!$K$6:$K$1005,Settings!$C$7))</f>
        <v/>
      </c>
    </row>
    <row r="123">
      <c r="A123" s="1" t="n"/>
      <c r="B123" s="22" t="n"/>
      <c r="C123" s="24" t="n"/>
      <c r="D123" s="25" t="n"/>
      <c r="E123" s="25" t="n"/>
      <c r="F123" s="26">
        <f>IF(OR(B123="",N(J123)=0),"",SUMPRODUCT(MIN((Gifts!$C$6:$C$1005=B123)*Gifts!$Q$6:$Q$1005*Gifts!$M$6:$M$1005+(1-(Gifts!$C$6:$C$1005=B123)*Gifts!$Q$6:$Q$1005)*1E9)))</f>
        <v/>
      </c>
      <c r="G123" s="26">
        <f>IF(OR(B123="",N(J123)=0),"",SUMPRODUCT(MAX((Gifts!$C$6:$C$1005=B123)*Gifts!$Q$6:$Q$1005*Gifts!$M$6:$M$1005)))</f>
        <v/>
      </c>
      <c r="H123" s="27">
        <f>IF(B123="","",SUMIFS(Gifts!$D$6:$D$1005,Gifts!$C$6:$C$1005,B123,Gifts!$K$6:$K$1005,Settings!$C$7,Gifts!$D$6:$D$1005,"&gt;0"))</f>
        <v/>
      </c>
      <c r="I123" s="28">
        <f>IF(B123="","",SUMIFS(Gifts!$D$6:$D$1005,Gifts!$C$6:$C$1005,B123,Gifts!$D$6:$D$1005,"&gt;0",Gifts!$M$6:$M$1005,"&gt;0"))</f>
        <v/>
      </c>
      <c r="J123" s="18">
        <f>IF(B123="","",SUMIFS(Gifts!$Q$6:$Q$1005,Gifts!$C$6:$C$1005,B123))</f>
        <v/>
      </c>
      <c r="K123" s="29">
        <f>IF(B123="","",IF(N(J123)=0,"No gifts yet",IF(AND(N(Settings!$C$9)&gt;0,G123&lt;EDATE(TODAY(),-N(Settings!$C$9))),"Lapsed",IF(YEAR(F123)=N(Settings!$C$7),"New","Active"))))</f>
        <v/>
      </c>
      <c r="L123" s="1" t="n"/>
      <c r="M123">
        <f>IF(OR(B123="",N(H123)&lt;=0),"",ROUND(H123*100,0)*1000+1000-ROW())</f>
        <v/>
      </c>
      <c r="N123">
        <f>IF(B123="","",SUMIFS(Gifts!$Q$6:$Q$1005,Gifts!$C$6:$C$1005,B123,Gifts!$K$6:$K$1005,Settings!$C$7))</f>
        <v/>
      </c>
    </row>
    <row r="124">
      <c r="A124" s="1" t="n"/>
      <c r="B124" s="22" t="n"/>
      <c r="C124" s="24" t="n"/>
      <c r="D124" s="25" t="n"/>
      <c r="E124" s="25" t="n"/>
      <c r="F124" s="26">
        <f>IF(OR(B124="",N(J124)=0),"",SUMPRODUCT(MIN((Gifts!$C$6:$C$1005=B124)*Gifts!$Q$6:$Q$1005*Gifts!$M$6:$M$1005+(1-(Gifts!$C$6:$C$1005=B124)*Gifts!$Q$6:$Q$1005)*1E9)))</f>
        <v/>
      </c>
      <c r="G124" s="26">
        <f>IF(OR(B124="",N(J124)=0),"",SUMPRODUCT(MAX((Gifts!$C$6:$C$1005=B124)*Gifts!$Q$6:$Q$1005*Gifts!$M$6:$M$1005)))</f>
        <v/>
      </c>
      <c r="H124" s="27">
        <f>IF(B124="","",SUMIFS(Gifts!$D$6:$D$1005,Gifts!$C$6:$C$1005,B124,Gifts!$K$6:$K$1005,Settings!$C$7,Gifts!$D$6:$D$1005,"&gt;0"))</f>
        <v/>
      </c>
      <c r="I124" s="28">
        <f>IF(B124="","",SUMIFS(Gifts!$D$6:$D$1005,Gifts!$C$6:$C$1005,B124,Gifts!$D$6:$D$1005,"&gt;0",Gifts!$M$6:$M$1005,"&gt;0"))</f>
        <v/>
      </c>
      <c r="J124" s="18">
        <f>IF(B124="","",SUMIFS(Gifts!$Q$6:$Q$1005,Gifts!$C$6:$C$1005,B124))</f>
        <v/>
      </c>
      <c r="K124" s="29">
        <f>IF(B124="","",IF(N(J124)=0,"No gifts yet",IF(AND(N(Settings!$C$9)&gt;0,G124&lt;EDATE(TODAY(),-N(Settings!$C$9))),"Lapsed",IF(YEAR(F124)=N(Settings!$C$7),"New","Active"))))</f>
        <v/>
      </c>
      <c r="L124" s="1" t="n"/>
      <c r="M124">
        <f>IF(OR(B124="",N(H124)&lt;=0),"",ROUND(H124*100,0)*1000+1000-ROW())</f>
        <v/>
      </c>
      <c r="N124">
        <f>IF(B124="","",SUMIFS(Gifts!$Q$6:$Q$1005,Gifts!$C$6:$C$1005,B124,Gifts!$K$6:$K$1005,Settings!$C$7))</f>
        <v/>
      </c>
    </row>
    <row r="125">
      <c r="A125" s="1" t="n"/>
      <c r="B125" s="22" t="n"/>
      <c r="C125" s="24" t="n"/>
      <c r="D125" s="25" t="n"/>
      <c r="E125" s="25" t="n"/>
      <c r="F125" s="26">
        <f>IF(OR(B125="",N(J125)=0),"",SUMPRODUCT(MIN((Gifts!$C$6:$C$1005=B125)*Gifts!$Q$6:$Q$1005*Gifts!$M$6:$M$1005+(1-(Gifts!$C$6:$C$1005=B125)*Gifts!$Q$6:$Q$1005)*1E9)))</f>
        <v/>
      </c>
      <c r="G125" s="26">
        <f>IF(OR(B125="",N(J125)=0),"",SUMPRODUCT(MAX((Gifts!$C$6:$C$1005=B125)*Gifts!$Q$6:$Q$1005*Gifts!$M$6:$M$1005)))</f>
        <v/>
      </c>
      <c r="H125" s="27">
        <f>IF(B125="","",SUMIFS(Gifts!$D$6:$D$1005,Gifts!$C$6:$C$1005,B125,Gifts!$K$6:$K$1005,Settings!$C$7,Gifts!$D$6:$D$1005,"&gt;0"))</f>
        <v/>
      </c>
      <c r="I125" s="28">
        <f>IF(B125="","",SUMIFS(Gifts!$D$6:$D$1005,Gifts!$C$6:$C$1005,B125,Gifts!$D$6:$D$1005,"&gt;0",Gifts!$M$6:$M$1005,"&gt;0"))</f>
        <v/>
      </c>
      <c r="J125" s="18">
        <f>IF(B125="","",SUMIFS(Gifts!$Q$6:$Q$1005,Gifts!$C$6:$C$1005,B125))</f>
        <v/>
      </c>
      <c r="K125" s="29">
        <f>IF(B125="","",IF(N(J125)=0,"No gifts yet",IF(AND(N(Settings!$C$9)&gt;0,G125&lt;EDATE(TODAY(),-N(Settings!$C$9))),"Lapsed",IF(YEAR(F125)=N(Settings!$C$7),"New","Active"))))</f>
        <v/>
      </c>
      <c r="L125" s="1" t="n"/>
      <c r="M125">
        <f>IF(OR(B125="",N(H125)&lt;=0),"",ROUND(H125*100,0)*1000+1000-ROW())</f>
        <v/>
      </c>
      <c r="N125">
        <f>IF(B125="","",SUMIFS(Gifts!$Q$6:$Q$1005,Gifts!$C$6:$C$1005,B125,Gifts!$K$6:$K$1005,Settings!$C$7))</f>
        <v/>
      </c>
    </row>
    <row r="126">
      <c r="A126" s="1" t="n"/>
      <c r="B126" s="22" t="n"/>
      <c r="C126" s="24" t="n"/>
      <c r="D126" s="25" t="n"/>
      <c r="E126" s="25" t="n"/>
      <c r="F126" s="26">
        <f>IF(OR(B126="",N(J126)=0),"",SUMPRODUCT(MIN((Gifts!$C$6:$C$1005=B126)*Gifts!$Q$6:$Q$1005*Gifts!$M$6:$M$1005+(1-(Gifts!$C$6:$C$1005=B126)*Gifts!$Q$6:$Q$1005)*1E9)))</f>
        <v/>
      </c>
      <c r="G126" s="26">
        <f>IF(OR(B126="",N(J126)=0),"",SUMPRODUCT(MAX((Gifts!$C$6:$C$1005=B126)*Gifts!$Q$6:$Q$1005*Gifts!$M$6:$M$1005)))</f>
        <v/>
      </c>
      <c r="H126" s="27">
        <f>IF(B126="","",SUMIFS(Gifts!$D$6:$D$1005,Gifts!$C$6:$C$1005,B126,Gifts!$K$6:$K$1005,Settings!$C$7,Gifts!$D$6:$D$1005,"&gt;0"))</f>
        <v/>
      </c>
      <c r="I126" s="28">
        <f>IF(B126="","",SUMIFS(Gifts!$D$6:$D$1005,Gifts!$C$6:$C$1005,B126,Gifts!$D$6:$D$1005,"&gt;0",Gifts!$M$6:$M$1005,"&gt;0"))</f>
        <v/>
      </c>
      <c r="J126" s="18">
        <f>IF(B126="","",SUMIFS(Gifts!$Q$6:$Q$1005,Gifts!$C$6:$C$1005,B126))</f>
        <v/>
      </c>
      <c r="K126" s="29">
        <f>IF(B126="","",IF(N(J126)=0,"No gifts yet",IF(AND(N(Settings!$C$9)&gt;0,G126&lt;EDATE(TODAY(),-N(Settings!$C$9))),"Lapsed",IF(YEAR(F126)=N(Settings!$C$7),"New","Active"))))</f>
        <v/>
      </c>
      <c r="L126" s="1" t="n"/>
      <c r="M126">
        <f>IF(OR(B126="",N(H126)&lt;=0),"",ROUND(H126*100,0)*1000+1000-ROW())</f>
        <v/>
      </c>
      <c r="N126">
        <f>IF(B126="","",SUMIFS(Gifts!$Q$6:$Q$1005,Gifts!$C$6:$C$1005,B126,Gifts!$K$6:$K$1005,Settings!$C$7))</f>
        <v/>
      </c>
    </row>
    <row r="127">
      <c r="A127" s="1" t="n"/>
      <c r="B127" s="22" t="n"/>
      <c r="C127" s="24" t="n"/>
      <c r="D127" s="25" t="n"/>
      <c r="E127" s="25" t="n"/>
      <c r="F127" s="26">
        <f>IF(OR(B127="",N(J127)=0),"",SUMPRODUCT(MIN((Gifts!$C$6:$C$1005=B127)*Gifts!$Q$6:$Q$1005*Gifts!$M$6:$M$1005+(1-(Gifts!$C$6:$C$1005=B127)*Gifts!$Q$6:$Q$1005)*1E9)))</f>
        <v/>
      </c>
      <c r="G127" s="26">
        <f>IF(OR(B127="",N(J127)=0),"",SUMPRODUCT(MAX((Gifts!$C$6:$C$1005=B127)*Gifts!$Q$6:$Q$1005*Gifts!$M$6:$M$1005)))</f>
        <v/>
      </c>
      <c r="H127" s="27">
        <f>IF(B127="","",SUMIFS(Gifts!$D$6:$D$1005,Gifts!$C$6:$C$1005,B127,Gifts!$K$6:$K$1005,Settings!$C$7,Gifts!$D$6:$D$1005,"&gt;0"))</f>
        <v/>
      </c>
      <c r="I127" s="28">
        <f>IF(B127="","",SUMIFS(Gifts!$D$6:$D$1005,Gifts!$C$6:$C$1005,B127,Gifts!$D$6:$D$1005,"&gt;0",Gifts!$M$6:$M$1005,"&gt;0"))</f>
        <v/>
      </c>
      <c r="J127" s="18">
        <f>IF(B127="","",SUMIFS(Gifts!$Q$6:$Q$1005,Gifts!$C$6:$C$1005,B127))</f>
        <v/>
      </c>
      <c r="K127" s="29">
        <f>IF(B127="","",IF(N(J127)=0,"No gifts yet",IF(AND(N(Settings!$C$9)&gt;0,G127&lt;EDATE(TODAY(),-N(Settings!$C$9))),"Lapsed",IF(YEAR(F127)=N(Settings!$C$7),"New","Active"))))</f>
        <v/>
      </c>
      <c r="L127" s="1" t="n"/>
      <c r="M127">
        <f>IF(OR(B127="",N(H127)&lt;=0),"",ROUND(H127*100,0)*1000+1000-ROW())</f>
        <v/>
      </c>
      <c r="N127">
        <f>IF(B127="","",SUMIFS(Gifts!$Q$6:$Q$1005,Gifts!$C$6:$C$1005,B127,Gifts!$K$6:$K$1005,Settings!$C$7))</f>
        <v/>
      </c>
    </row>
    <row r="128">
      <c r="A128" s="1" t="n"/>
      <c r="B128" s="22" t="n"/>
      <c r="C128" s="24" t="n"/>
      <c r="D128" s="25" t="n"/>
      <c r="E128" s="25" t="n"/>
      <c r="F128" s="26">
        <f>IF(OR(B128="",N(J128)=0),"",SUMPRODUCT(MIN((Gifts!$C$6:$C$1005=B128)*Gifts!$Q$6:$Q$1005*Gifts!$M$6:$M$1005+(1-(Gifts!$C$6:$C$1005=B128)*Gifts!$Q$6:$Q$1005)*1E9)))</f>
        <v/>
      </c>
      <c r="G128" s="26">
        <f>IF(OR(B128="",N(J128)=0),"",SUMPRODUCT(MAX((Gifts!$C$6:$C$1005=B128)*Gifts!$Q$6:$Q$1005*Gifts!$M$6:$M$1005)))</f>
        <v/>
      </c>
      <c r="H128" s="27">
        <f>IF(B128="","",SUMIFS(Gifts!$D$6:$D$1005,Gifts!$C$6:$C$1005,B128,Gifts!$K$6:$K$1005,Settings!$C$7,Gifts!$D$6:$D$1005,"&gt;0"))</f>
        <v/>
      </c>
      <c r="I128" s="28">
        <f>IF(B128="","",SUMIFS(Gifts!$D$6:$D$1005,Gifts!$C$6:$C$1005,B128,Gifts!$D$6:$D$1005,"&gt;0",Gifts!$M$6:$M$1005,"&gt;0"))</f>
        <v/>
      </c>
      <c r="J128" s="18">
        <f>IF(B128="","",SUMIFS(Gifts!$Q$6:$Q$1005,Gifts!$C$6:$C$1005,B128))</f>
        <v/>
      </c>
      <c r="K128" s="29">
        <f>IF(B128="","",IF(N(J128)=0,"No gifts yet",IF(AND(N(Settings!$C$9)&gt;0,G128&lt;EDATE(TODAY(),-N(Settings!$C$9))),"Lapsed",IF(YEAR(F128)=N(Settings!$C$7),"New","Active"))))</f>
        <v/>
      </c>
      <c r="L128" s="1" t="n"/>
      <c r="M128">
        <f>IF(OR(B128="",N(H128)&lt;=0),"",ROUND(H128*100,0)*1000+1000-ROW())</f>
        <v/>
      </c>
      <c r="N128">
        <f>IF(B128="","",SUMIFS(Gifts!$Q$6:$Q$1005,Gifts!$C$6:$C$1005,B128,Gifts!$K$6:$K$1005,Settings!$C$7))</f>
        <v/>
      </c>
    </row>
    <row r="129">
      <c r="A129" s="1" t="n"/>
      <c r="B129" s="22" t="n"/>
      <c r="C129" s="24" t="n"/>
      <c r="D129" s="25" t="n"/>
      <c r="E129" s="25" t="n"/>
      <c r="F129" s="26">
        <f>IF(OR(B129="",N(J129)=0),"",SUMPRODUCT(MIN((Gifts!$C$6:$C$1005=B129)*Gifts!$Q$6:$Q$1005*Gifts!$M$6:$M$1005+(1-(Gifts!$C$6:$C$1005=B129)*Gifts!$Q$6:$Q$1005)*1E9)))</f>
        <v/>
      </c>
      <c r="G129" s="26">
        <f>IF(OR(B129="",N(J129)=0),"",SUMPRODUCT(MAX((Gifts!$C$6:$C$1005=B129)*Gifts!$Q$6:$Q$1005*Gifts!$M$6:$M$1005)))</f>
        <v/>
      </c>
      <c r="H129" s="27">
        <f>IF(B129="","",SUMIFS(Gifts!$D$6:$D$1005,Gifts!$C$6:$C$1005,B129,Gifts!$K$6:$K$1005,Settings!$C$7,Gifts!$D$6:$D$1005,"&gt;0"))</f>
        <v/>
      </c>
      <c r="I129" s="28">
        <f>IF(B129="","",SUMIFS(Gifts!$D$6:$D$1005,Gifts!$C$6:$C$1005,B129,Gifts!$D$6:$D$1005,"&gt;0",Gifts!$M$6:$M$1005,"&gt;0"))</f>
        <v/>
      </c>
      <c r="J129" s="18">
        <f>IF(B129="","",SUMIFS(Gifts!$Q$6:$Q$1005,Gifts!$C$6:$C$1005,B129))</f>
        <v/>
      </c>
      <c r="K129" s="29">
        <f>IF(B129="","",IF(N(J129)=0,"No gifts yet",IF(AND(N(Settings!$C$9)&gt;0,G129&lt;EDATE(TODAY(),-N(Settings!$C$9))),"Lapsed",IF(YEAR(F129)=N(Settings!$C$7),"New","Active"))))</f>
        <v/>
      </c>
      <c r="L129" s="1" t="n"/>
      <c r="M129">
        <f>IF(OR(B129="",N(H129)&lt;=0),"",ROUND(H129*100,0)*1000+1000-ROW())</f>
        <v/>
      </c>
      <c r="N129">
        <f>IF(B129="","",SUMIFS(Gifts!$Q$6:$Q$1005,Gifts!$C$6:$C$1005,B129,Gifts!$K$6:$K$1005,Settings!$C$7))</f>
        <v/>
      </c>
    </row>
    <row r="130">
      <c r="A130" s="1" t="n"/>
      <c r="B130" s="22" t="n"/>
      <c r="C130" s="24" t="n"/>
      <c r="D130" s="25" t="n"/>
      <c r="E130" s="25" t="n"/>
      <c r="F130" s="26">
        <f>IF(OR(B130="",N(J130)=0),"",SUMPRODUCT(MIN((Gifts!$C$6:$C$1005=B130)*Gifts!$Q$6:$Q$1005*Gifts!$M$6:$M$1005+(1-(Gifts!$C$6:$C$1005=B130)*Gifts!$Q$6:$Q$1005)*1E9)))</f>
        <v/>
      </c>
      <c r="G130" s="26">
        <f>IF(OR(B130="",N(J130)=0),"",SUMPRODUCT(MAX((Gifts!$C$6:$C$1005=B130)*Gifts!$Q$6:$Q$1005*Gifts!$M$6:$M$1005)))</f>
        <v/>
      </c>
      <c r="H130" s="27">
        <f>IF(B130="","",SUMIFS(Gifts!$D$6:$D$1005,Gifts!$C$6:$C$1005,B130,Gifts!$K$6:$K$1005,Settings!$C$7,Gifts!$D$6:$D$1005,"&gt;0"))</f>
        <v/>
      </c>
      <c r="I130" s="28">
        <f>IF(B130="","",SUMIFS(Gifts!$D$6:$D$1005,Gifts!$C$6:$C$1005,B130,Gifts!$D$6:$D$1005,"&gt;0",Gifts!$M$6:$M$1005,"&gt;0"))</f>
        <v/>
      </c>
      <c r="J130" s="18">
        <f>IF(B130="","",SUMIFS(Gifts!$Q$6:$Q$1005,Gifts!$C$6:$C$1005,B130))</f>
        <v/>
      </c>
      <c r="K130" s="29">
        <f>IF(B130="","",IF(N(J130)=0,"No gifts yet",IF(AND(N(Settings!$C$9)&gt;0,G130&lt;EDATE(TODAY(),-N(Settings!$C$9))),"Lapsed",IF(YEAR(F130)=N(Settings!$C$7),"New","Active"))))</f>
        <v/>
      </c>
      <c r="L130" s="1" t="n"/>
      <c r="M130">
        <f>IF(OR(B130="",N(H130)&lt;=0),"",ROUND(H130*100,0)*1000+1000-ROW())</f>
        <v/>
      </c>
      <c r="N130">
        <f>IF(B130="","",SUMIFS(Gifts!$Q$6:$Q$1005,Gifts!$C$6:$C$1005,B130,Gifts!$K$6:$K$1005,Settings!$C$7))</f>
        <v/>
      </c>
    </row>
    <row r="131">
      <c r="A131" s="1" t="n"/>
      <c r="B131" s="22" t="n"/>
      <c r="C131" s="24" t="n"/>
      <c r="D131" s="25" t="n"/>
      <c r="E131" s="25" t="n"/>
      <c r="F131" s="26">
        <f>IF(OR(B131="",N(J131)=0),"",SUMPRODUCT(MIN((Gifts!$C$6:$C$1005=B131)*Gifts!$Q$6:$Q$1005*Gifts!$M$6:$M$1005+(1-(Gifts!$C$6:$C$1005=B131)*Gifts!$Q$6:$Q$1005)*1E9)))</f>
        <v/>
      </c>
      <c r="G131" s="26">
        <f>IF(OR(B131="",N(J131)=0),"",SUMPRODUCT(MAX((Gifts!$C$6:$C$1005=B131)*Gifts!$Q$6:$Q$1005*Gifts!$M$6:$M$1005)))</f>
        <v/>
      </c>
      <c r="H131" s="27">
        <f>IF(B131="","",SUMIFS(Gifts!$D$6:$D$1005,Gifts!$C$6:$C$1005,B131,Gifts!$K$6:$K$1005,Settings!$C$7,Gifts!$D$6:$D$1005,"&gt;0"))</f>
        <v/>
      </c>
      <c r="I131" s="28">
        <f>IF(B131="","",SUMIFS(Gifts!$D$6:$D$1005,Gifts!$C$6:$C$1005,B131,Gifts!$D$6:$D$1005,"&gt;0",Gifts!$M$6:$M$1005,"&gt;0"))</f>
        <v/>
      </c>
      <c r="J131" s="18">
        <f>IF(B131="","",SUMIFS(Gifts!$Q$6:$Q$1005,Gifts!$C$6:$C$1005,B131))</f>
        <v/>
      </c>
      <c r="K131" s="29">
        <f>IF(B131="","",IF(N(J131)=0,"No gifts yet",IF(AND(N(Settings!$C$9)&gt;0,G131&lt;EDATE(TODAY(),-N(Settings!$C$9))),"Lapsed",IF(YEAR(F131)=N(Settings!$C$7),"New","Active"))))</f>
        <v/>
      </c>
      <c r="L131" s="1" t="n"/>
      <c r="M131">
        <f>IF(OR(B131="",N(H131)&lt;=0),"",ROUND(H131*100,0)*1000+1000-ROW())</f>
        <v/>
      </c>
      <c r="N131">
        <f>IF(B131="","",SUMIFS(Gifts!$Q$6:$Q$1005,Gifts!$C$6:$C$1005,B131,Gifts!$K$6:$K$1005,Settings!$C$7))</f>
        <v/>
      </c>
    </row>
    <row r="132">
      <c r="A132" s="1" t="n"/>
      <c r="B132" s="22" t="n"/>
      <c r="C132" s="24" t="n"/>
      <c r="D132" s="25" t="n"/>
      <c r="E132" s="25" t="n"/>
      <c r="F132" s="26">
        <f>IF(OR(B132="",N(J132)=0),"",SUMPRODUCT(MIN((Gifts!$C$6:$C$1005=B132)*Gifts!$Q$6:$Q$1005*Gifts!$M$6:$M$1005+(1-(Gifts!$C$6:$C$1005=B132)*Gifts!$Q$6:$Q$1005)*1E9)))</f>
        <v/>
      </c>
      <c r="G132" s="26">
        <f>IF(OR(B132="",N(J132)=0),"",SUMPRODUCT(MAX((Gifts!$C$6:$C$1005=B132)*Gifts!$Q$6:$Q$1005*Gifts!$M$6:$M$1005)))</f>
        <v/>
      </c>
      <c r="H132" s="27">
        <f>IF(B132="","",SUMIFS(Gifts!$D$6:$D$1005,Gifts!$C$6:$C$1005,B132,Gifts!$K$6:$K$1005,Settings!$C$7,Gifts!$D$6:$D$1005,"&gt;0"))</f>
        <v/>
      </c>
      <c r="I132" s="28">
        <f>IF(B132="","",SUMIFS(Gifts!$D$6:$D$1005,Gifts!$C$6:$C$1005,B132,Gifts!$D$6:$D$1005,"&gt;0",Gifts!$M$6:$M$1005,"&gt;0"))</f>
        <v/>
      </c>
      <c r="J132" s="18">
        <f>IF(B132="","",SUMIFS(Gifts!$Q$6:$Q$1005,Gifts!$C$6:$C$1005,B132))</f>
        <v/>
      </c>
      <c r="K132" s="29">
        <f>IF(B132="","",IF(N(J132)=0,"No gifts yet",IF(AND(N(Settings!$C$9)&gt;0,G132&lt;EDATE(TODAY(),-N(Settings!$C$9))),"Lapsed",IF(YEAR(F132)=N(Settings!$C$7),"New","Active"))))</f>
        <v/>
      </c>
      <c r="L132" s="1" t="n"/>
      <c r="M132">
        <f>IF(OR(B132="",N(H132)&lt;=0),"",ROUND(H132*100,0)*1000+1000-ROW())</f>
        <v/>
      </c>
      <c r="N132">
        <f>IF(B132="","",SUMIFS(Gifts!$Q$6:$Q$1005,Gifts!$C$6:$C$1005,B132,Gifts!$K$6:$K$1005,Settings!$C$7))</f>
        <v/>
      </c>
    </row>
    <row r="133">
      <c r="A133" s="1" t="n"/>
      <c r="B133" s="22" t="n"/>
      <c r="C133" s="24" t="n"/>
      <c r="D133" s="25" t="n"/>
      <c r="E133" s="25" t="n"/>
      <c r="F133" s="26">
        <f>IF(OR(B133="",N(J133)=0),"",SUMPRODUCT(MIN((Gifts!$C$6:$C$1005=B133)*Gifts!$Q$6:$Q$1005*Gifts!$M$6:$M$1005+(1-(Gifts!$C$6:$C$1005=B133)*Gifts!$Q$6:$Q$1005)*1E9)))</f>
        <v/>
      </c>
      <c r="G133" s="26">
        <f>IF(OR(B133="",N(J133)=0),"",SUMPRODUCT(MAX((Gifts!$C$6:$C$1005=B133)*Gifts!$Q$6:$Q$1005*Gifts!$M$6:$M$1005)))</f>
        <v/>
      </c>
      <c r="H133" s="27">
        <f>IF(B133="","",SUMIFS(Gifts!$D$6:$D$1005,Gifts!$C$6:$C$1005,B133,Gifts!$K$6:$K$1005,Settings!$C$7,Gifts!$D$6:$D$1005,"&gt;0"))</f>
        <v/>
      </c>
      <c r="I133" s="28">
        <f>IF(B133="","",SUMIFS(Gifts!$D$6:$D$1005,Gifts!$C$6:$C$1005,B133,Gifts!$D$6:$D$1005,"&gt;0",Gifts!$M$6:$M$1005,"&gt;0"))</f>
        <v/>
      </c>
      <c r="J133" s="18">
        <f>IF(B133="","",SUMIFS(Gifts!$Q$6:$Q$1005,Gifts!$C$6:$C$1005,B133))</f>
        <v/>
      </c>
      <c r="K133" s="29">
        <f>IF(B133="","",IF(N(J133)=0,"No gifts yet",IF(AND(N(Settings!$C$9)&gt;0,G133&lt;EDATE(TODAY(),-N(Settings!$C$9))),"Lapsed",IF(YEAR(F133)=N(Settings!$C$7),"New","Active"))))</f>
        <v/>
      </c>
      <c r="L133" s="1" t="n"/>
      <c r="M133">
        <f>IF(OR(B133="",N(H133)&lt;=0),"",ROUND(H133*100,0)*1000+1000-ROW())</f>
        <v/>
      </c>
      <c r="N133">
        <f>IF(B133="","",SUMIFS(Gifts!$Q$6:$Q$1005,Gifts!$C$6:$C$1005,B133,Gifts!$K$6:$K$1005,Settings!$C$7))</f>
        <v/>
      </c>
    </row>
    <row r="134">
      <c r="A134" s="1" t="n"/>
      <c r="B134" s="22" t="n"/>
      <c r="C134" s="24" t="n"/>
      <c r="D134" s="25" t="n"/>
      <c r="E134" s="25" t="n"/>
      <c r="F134" s="26">
        <f>IF(OR(B134="",N(J134)=0),"",SUMPRODUCT(MIN((Gifts!$C$6:$C$1005=B134)*Gifts!$Q$6:$Q$1005*Gifts!$M$6:$M$1005+(1-(Gifts!$C$6:$C$1005=B134)*Gifts!$Q$6:$Q$1005)*1E9)))</f>
        <v/>
      </c>
      <c r="G134" s="26">
        <f>IF(OR(B134="",N(J134)=0),"",SUMPRODUCT(MAX((Gifts!$C$6:$C$1005=B134)*Gifts!$Q$6:$Q$1005*Gifts!$M$6:$M$1005)))</f>
        <v/>
      </c>
      <c r="H134" s="27">
        <f>IF(B134="","",SUMIFS(Gifts!$D$6:$D$1005,Gifts!$C$6:$C$1005,B134,Gifts!$K$6:$K$1005,Settings!$C$7,Gifts!$D$6:$D$1005,"&gt;0"))</f>
        <v/>
      </c>
      <c r="I134" s="28">
        <f>IF(B134="","",SUMIFS(Gifts!$D$6:$D$1005,Gifts!$C$6:$C$1005,B134,Gifts!$D$6:$D$1005,"&gt;0",Gifts!$M$6:$M$1005,"&gt;0"))</f>
        <v/>
      </c>
      <c r="J134" s="18">
        <f>IF(B134="","",SUMIFS(Gifts!$Q$6:$Q$1005,Gifts!$C$6:$C$1005,B134))</f>
        <v/>
      </c>
      <c r="K134" s="29">
        <f>IF(B134="","",IF(N(J134)=0,"No gifts yet",IF(AND(N(Settings!$C$9)&gt;0,G134&lt;EDATE(TODAY(),-N(Settings!$C$9))),"Lapsed",IF(YEAR(F134)=N(Settings!$C$7),"New","Active"))))</f>
        <v/>
      </c>
      <c r="L134" s="1" t="n"/>
      <c r="M134">
        <f>IF(OR(B134="",N(H134)&lt;=0),"",ROUND(H134*100,0)*1000+1000-ROW())</f>
        <v/>
      </c>
      <c r="N134">
        <f>IF(B134="","",SUMIFS(Gifts!$Q$6:$Q$1005,Gifts!$C$6:$C$1005,B134,Gifts!$K$6:$K$1005,Settings!$C$7))</f>
        <v/>
      </c>
    </row>
    <row r="135">
      <c r="A135" s="1" t="n"/>
      <c r="B135" s="22" t="n"/>
      <c r="C135" s="24" t="n"/>
      <c r="D135" s="25" t="n"/>
      <c r="E135" s="25" t="n"/>
      <c r="F135" s="26">
        <f>IF(OR(B135="",N(J135)=0),"",SUMPRODUCT(MIN((Gifts!$C$6:$C$1005=B135)*Gifts!$Q$6:$Q$1005*Gifts!$M$6:$M$1005+(1-(Gifts!$C$6:$C$1005=B135)*Gifts!$Q$6:$Q$1005)*1E9)))</f>
        <v/>
      </c>
      <c r="G135" s="26">
        <f>IF(OR(B135="",N(J135)=0),"",SUMPRODUCT(MAX((Gifts!$C$6:$C$1005=B135)*Gifts!$Q$6:$Q$1005*Gifts!$M$6:$M$1005)))</f>
        <v/>
      </c>
      <c r="H135" s="27">
        <f>IF(B135="","",SUMIFS(Gifts!$D$6:$D$1005,Gifts!$C$6:$C$1005,B135,Gifts!$K$6:$K$1005,Settings!$C$7,Gifts!$D$6:$D$1005,"&gt;0"))</f>
        <v/>
      </c>
      <c r="I135" s="28">
        <f>IF(B135="","",SUMIFS(Gifts!$D$6:$D$1005,Gifts!$C$6:$C$1005,B135,Gifts!$D$6:$D$1005,"&gt;0",Gifts!$M$6:$M$1005,"&gt;0"))</f>
        <v/>
      </c>
      <c r="J135" s="18">
        <f>IF(B135="","",SUMIFS(Gifts!$Q$6:$Q$1005,Gifts!$C$6:$C$1005,B135))</f>
        <v/>
      </c>
      <c r="K135" s="29">
        <f>IF(B135="","",IF(N(J135)=0,"No gifts yet",IF(AND(N(Settings!$C$9)&gt;0,G135&lt;EDATE(TODAY(),-N(Settings!$C$9))),"Lapsed",IF(YEAR(F135)=N(Settings!$C$7),"New","Active"))))</f>
        <v/>
      </c>
      <c r="L135" s="1" t="n"/>
      <c r="M135">
        <f>IF(OR(B135="",N(H135)&lt;=0),"",ROUND(H135*100,0)*1000+1000-ROW())</f>
        <v/>
      </c>
      <c r="N135">
        <f>IF(B135="","",SUMIFS(Gifts!$Q$6:$Q$1005,Gifts!$C$6:$C$1005,B135,Gifts!$K$6:$K$1005,Settings!$C$7))</f>
        <v/>
      </c>
    </row>
    <row r="136">
      <c r="A136" s="1" t="n"/>
      <c r="B136" s="22" t="n"/>
      <c r="C136" s="24" t="n"/>
      <c r="D136" s="25" t="n"/>
      <c r="E136" s="25" t="n"/>
      <c r="F136" s="26">
        <f>IF(OR(B136="",N(J136)=0),"",SUMPRODUCT(MIN((Gifts!$C$6:$C$1005=B136)*Gifts!$Q$6:$Q$1005*Gifts!$M$6:$M$1005+(1-(Gifts!$C$6:$C$1005=B136)*Gifts!$Q$6:$Q$1005)*1E9)))</f>
        <v/>
      </c>
      <c r="G136" s="26">
        <f>IF(OR(B136="",N(J136)=0),"",SUMPRODUCT(MAX((Gifts!$C$6:$C$1005=B136)*Gifts!$Q$6:$Q$1005*Gifts!$M$6:$M$1005)))</f>
        <v/>
      </c>
      <c r="H136" s="27">
        <f>IF(B136="","",SUMIFS(Gifts!$D$6:$D$1005,Gifts!$C$6:$C$1005,B136,Gifts!$K$6:$K$1005,Settings!$C$7,Gifts!$D$6:$D$1005,"&gt;0"))</f>
        <v/>
      </c>
      <c r="I136" s="28">
        <f>IF(B136="","",SUMIFS(Gifts!$D$6:$D$1005,Gifts!$C$6:$C$1005,B136,Gifts!$D$6:$D$1005,"&gt;0",Gifts!$M$6:$M$1005,"&gt;0"))</f>
        <v/>
      </c>
      <c r="J136" s="18">
        <f>IF(B136="","",SUMIFS(Gifts!$Q$6:$Q$1005,Gifts!$C$6:$C$1005,B136))</f>
        <v/>
      </c>
      <c r="K136" s="29">
        <f>IF(B136="","",IF(N(J136)=0,"No gifts yet",IF(AND(N(Settings!$C$9)&gt;0,G136&lt;EDATE(TODAY(),-N(Settings!$C$9))),"Lapsed",IF(YEAR(F136)=N(Settings!$C$7),"New","Active"))))</f>
        <v/>
      </c>
      <c r="L136" s="1" t="n"/>
      <c r="M136">
        <f>IF(OR(B136="",N(H136)&lt;=0),"",ROUND(H136*100,0)*1000+1000-ROW())</f>
        <v/>
      </c>
      <c r="N136">
        <f>IF(B136="","",SUMIFS(Gifts!$Q$6:$Q$1005,Gifts!$C$6:$C$1005,B136,Gifts!$K$6:$K$1005,Settings!$C$7))</f>
        <v/>
      </c>
    </row>
    <row r="137">
      <c r="A137" s="1" t="n"/>
      <c r="B137" s="22" t="n"/>
      <c r="C137" s="24" t="n"/>
      <c r="D137" s="25" t="n"/>
      <c r="E137" s="25" t="n"/>
      <c r="F137" s="26">
        <f>IF(OR(B137="",N(J137)=0),"",SUMPRODUCT(MIN((Gifts!$C$6:$C$1005=B137)*Gifts!$Q$6:$Q$1005*Gifts!$M$6:$M$1005+(1-(Gifts!$C$6:$C$1005=B137)*Gifts!$Q$6:$Q$1005)*1E9)))</f>
        <v/>
      </c>
      <c r="G137" s="26">
        <f>IF(OR(B137="",N(J137)=0),"",SUMPRODUCT(MAX((Gifts!$C$6:$C$1005=B137)*Gifts!$Q$6:$Q$1005*Gifts!$M$6:$M$1005)))</f>
        <v/>
      </c>
      <c r="H137" s="27">
        <f>IF(B137="","",SUMIFS(Gifts!$D$6:$D$1005,Gifts!$C$6:$C$1005,B137,Gifts!$K$6:$K$1005,Settings!$C$7,Gifts!$D$6:$D$1005,"&gt;0"))</f>
        <v/>
      </c>
      <c r="I137" s="28">
        <f>IF(B137="","",SUMIFS(Gifts!$D$6:$D$1005,Gifts!$C$6:$C$1005,B137,Gifts!$D$6:$D$1005,"&gt;0",Gifts!$M$6:$M$1005,"&gt;0"))</f>
        <v/>
      </c>
      <c r="J137" s="18">
        <f>IF(B137="","",SUMIFS(Gifts!$Q$6:$Q$1005,Gifts!$C$6:$C$1005,B137))</f>
        <v/>
      </c>
      <c r="K137" s="29">
        <f>IF(B137="","",IF(N(J137)=0,"No gifts yet",IF(AND(N(Settings!$C$9)&gt;0,G137&lt;EDATE(TODAY(),-N(Settings!$C$9))),"Lapsed",IF(YEAR(F137)=N(Settings!$C$7),"New","Active"))))</f>
        <v/>
      </c>
      <c r="L137" s="1" t="n"/>
      <c r="M137">
        <f>IF(OR(B137="",N(H137)&lt;=0),"",ROUND(H137*100,0)*1000+1000-ROW())</f>
        <v/>
      </c>
      <c r="N137">
        <f>IF(B137="","",SUMIFS(Gifts!$Q$6:$Q$1005,Gifts!$C$6:$C$1005,B137,Gifts!$K$6:$K$1005,Settings!$C$7))</f>
        <v/>
      </c>
    </row>
    <row r="138">
      <c r="A138" s="1" t="n"/>
      <c r="B138" s="22" t="n"/>
      <c r="C138" s="24" t="n"/>
      <c r="D138" s="25" t="n"/>
      <c r="E138" s="25" t="n"/>
      <c r="F138" s="26">
        <f>IF(OR(B138="",N(J138)=0),"",SUMPRODUCT(MIN((Gifts!$C$6:$C$1005=B138)*Gifts!$Q$6:$Q$1005*Gifts!$M$6:$M$1005+(1-(Gifts!$C$6:$C$1005=B138)*Gifts!$Q$6:$Q$1005)*1E9)))</f>
        <v/>
      </c>
      <c r="G138" s="26">
        <f>IF(OR(B138="",N(J138)=0),"",SUMPRODUCT(MAX((Gifts!$C$6:$C$1005=B138)*Gifts!$Q$6:$Q$1005*Gifts!$M$6:$M$1005)))</f>
        <v/>
      </c>
      <c r="H138" s="27">
        <f>IF(B138="","",SUMIFS(Gifts!$D$6:$D$1005,Gifts!$C$6:$C$1005,B138,Gifts!$K$6:$K$1005,Settings!$C$7,Gifts!$D$6:$D$1005,"&gt;0"))</f>
        <v/>
      </c>
      <c r="I138" s="28">
        <f>IF(B138="","",SUMIFS(Gifts!$D$6:$D$1005,Gifts!$C$6:$C$1005,B138,Gifts!$D$6:$D$1005,"&gt;0",Gifts!$M$6:$M$1005,"&gt;0"))</f>
        <v/>
      </c>
      <c r="J138" s="18">
        <f>IF(B138="","",SUMIFS(Gifts!$Q$6:$Q$1005,Gifts!$C$6:$C$1005,B138))</f>
        <v/>
      </c>
      <c r="K138" s="29">
        <f>IF(B138="","",IF(N(J138)=0,"No gifts yet",IF(AND(N(Settings!$C$9)&gt;0,G138&lt;EDATE(TODAY(),-N(Settings!$C$9))),"Lapsed",IF(YEAR(F138)=N(Settings!$C$7),"New","Active"))))</f>
        <v/>
      </c>
      <c r="L138" s="1" t="n"/>
      <c r="M138">
        <f>IF(OR(B138="",N(H138)&lt;=0),"",ROUND(H138*100,0)*1000+1000-ROW())</f>
        <v/>
      </c>
      <c r="N138">
        <f>IF(B138="","",SUMIFS(Gifts!$Q$6:$Q$1005,Gifts!$C$6:$C$1005,B138,Gifts!$K$6:$K$1005,Settings!$C$7))</f>
        <v/>
      </c>
    </row>
    <row r="139">
      <c r="A139" s="1" t="n"/>
      <c r="B139" s="22" t="n"/>
      <c r="C139" s="24" t="n"/>
      <c r="D139" s="25" t="n"/>
      <c r="E139" s="25" t="n"/>
      <c r="F139" s="26">
        <f>IF(OR(B139="",N(J139)=0),"",SUMPRODUCT(MIN((Gifts!$C$6:$C$1005=B139)*Gifts!$Q$6:$Q$1005*Gifts!$M$6:$M$1005+(1-(Gifts!$C$6:$C$1005=B139)*Gifts!$Q$6:$Q$1005)*1E9)))</f>
        <v/>
      </c>
      <c r="G139" s="26">
        <f>IF(OR(B139="",N(J139)=0),"",SUMPRODUCT(MAX((Gifts!$C$6:$C$1005=B139)*Gifts!$Q$6:$Q$1005*Gifts!$M$6:$M$1005)))</f>
        <v/>
      </c>
      <c r="H139" s="27">
        <f>IF(B139="","",SUMIFS(Gifts!$D$6:$D$1005,Gifts!$C$6:$C$1005,B139,Gifts!$K$6:$K$1005,Settings!$C$7,Gifts!$D$6:$D$1005,"&gt;0"))</f>
        <v/>
      </c>
      <c r="I139" s="28">
        <f>IF(B139="","",SUMIFS(Gifts!$D$6:$D$1005,Gifts!$C$6:$C$1005,B139,Gifts!$D$6:$D$1005,"&gt;0",Gifts!$M$6:$M$1005,"&gt;0"))</f>
        <v/>
      </c>
      <c r="J139" s="18">
        <f>IF(B139="","",SUMIFS(Gifts!$Q$6:$Q$1005,Gifts!$C$6:$C$1005,B139))</f>
        <v/>
      </c>
      <c r="K139" s="29">
        <f>IF(B139="","",IF(N(J139)=0,"No gifts yet",IF(AND(N(Settings!$C$9)&gt;0,G139&lt;EDATE(TODAY(),-N(Settings!$C$9))),"Lapsed",IF(YEAR(F139)=N(Settings!$C$7),"New","Active"))))</f>
        <v/>
      </c>
      <c r="L139" s="1" t="n"/>
      <c r="M139">
        <f>IF(OR(B139="",N(H139)&lt;=0),"",ROUND(H139*100,0)*1000+1000-ROW())</f>
        <v/>
      </c>
      <c r="N139">
        <f>IF(B139="","",SUMIFS(Gifts!$Q$6:$Q$1005,Gifts!$C$6:$C$1005,B139,Gifts!$K$6:$K$1005,Settings!$C$7))</f>
        <v/>
      </c>
    </row>
    <row r="140">
      <c r="A140" s="1" t="n"/>
      <c r="B140" s="22" t="n"/>
      <c r="C140" s="24" t="n"/>
      <c r="D140" s="25" t="n"/>
      <c r="E140" s="25" t="n"/>
      <c r="F140" s="26">
        <f>IF(OR(B140="",N(J140)=0),"",SUMPRODUCT(MIN((Gifts!$C$6:$C$1005=B140)*Gifts!$Q$6:$Q$1005*Gifts!$M$6:$M$1005+(1-(Gifts!$C$6:$C$1005=B140)*Gifts!$Q$6:$Q$1005)*1E9)))</f>
        <v/>
      </c>
      <c r="G140" s="26">
        <f>IF(OR(B140="",N(J140)=0),"",SUMPRODUCT(MAX((Gifts!$C$6:$C$1005=B140)*Gifts!$Q$6:$Q$1005*Gifts!$M$6:$M$1005)))</f>
        <v/>
      </c>
      <c r="H140" s="27">
        <f>IF(B140="","",SUMIFS(Gifts!$D$6:$D$1005,Gifts!$C$6:$C$1005,B140,Gifts!$K$6:$K$1005,Settings!$C$7,Gifts!$D$6:$D$1005,"&gt;0"))</f>
        <v/>
      </c>
      <c r="I140" s="28">
        <f>IF(B140="","",SUMIFS(Gifts!$D$6:$D$1005,Gifts!$C$6:$C$1005,B140,Gifts!$D$6:$D$1005,"&gt;0",Gifts!$M$6:$M$1005,"&gt;0"))</f>
        <v/>
      </c>
      <c r="J140" s="18">
        <f>IF(B140="","",SUMIFS(Gifts!$Q$6:$Q$1005,Gifts!$C$6:$C$1005,B140))</f>
        <v/>
      </c>
      <c r="K140" s="29">
        <f>IF(B140="","",IF(N(J140)=0,"No gifts yet",IF(AND(N(Settings!$C$9)&gt;0,G140&lt;EDATE(TODAY(),-N(Settings!$C$9))),"Lapsed",IF(YEAR(F140)=N(Settings!$C$7),"New","Active"))))</f>
        <v/>
      </c>
      <c r="L140" s="1" t="n"/>
      <c r="M140">
        <f>IF(OR(B140="",N(H140)&lt;=0),"",ROUND(H140*100,0)*1000+1000-ROW())</f>
        <v/>
      </c>
      <c r="N140">
        <f>IF(B140="","",SUMIFS(Gifts!$Q$6:$Q$1005,Gifts!$C$6:$C$1005,B140,Gifts!$K$6:$K$1005,Settings!$C$7))</f>
        <v/>
      </c>
    </row>
    <row r="141">
      <c r="A141" s="1" t="n"/>
      <c r="B141" s="22" t="n"/>
      <c r="C141" s="24" t="n"/>
      <c r="D141" s="25" t="n"/>
      <c r="E141" s="25" t="n"/>
      <c r="F141" s="26">
        <f>IF(OR(B141="",N(J141)=0),"",SUMPRODUCT(MIN((Gifts!$C$6:$C$1005=B141)*Gifts!$Q$6:$Q$1005*Gifts!$M$6:$M$1005+(1-(Gifts!$C$6:$C$1005=B141)*Gifts!$Q$6:$Q$1005)*1E9)))</f>
        <v/>
      </c>
      <c r="G141" s="26">
        <f>IF(OR(B141="",N(J141)=0),"",SUMPRODUCT(MAX((Gifts!$C$6:$C$1005=B141)*Gifts!$Q$6:$Q$1005*Gifts!$M$6:$M$1005)))</f>
        <v/>
      </c>
      <c r="H141" s="27">
        <f>IF(B141="","",SUMIFS(Gifts!$D$6:$D$1005,Gifts!$C$6:$C$1005,B141,Gifts!$K$6:$K$1005,Settings!$C$7,Gifts!$D$6:$D$1005,"&gt;0"))</f>
        <v/>
      </c>
      <c r="I141" s="28">
        <f>IF(B141="","",SUMIFS(Gifts!$D$6:$D$1005,Gifts!$C$6:$C$1005,B141,Gifts!$D$6:$D$1005,"&gt;0",Gifts!$M$6:$M$1005,"&gt;0"))</f>
        <v/>
      </c>
      <c r="J141" s="18">
        <f>IF(B141="","",SUMIFS(Gifts!$Q$6:$Q$1005,Gifts!$C$6:$C$1005,B141))</f>
        <v/>
      </c>
      <c r="K141" s="29">
        <f>IF(B141="","",IF(N(J141)=0,"No gifts yet",IF(AND(N(Settings!$C$9)&gt;0,G141&lt;EDATE(TODAY(),-N(Settings!$C$9))),"Lapsed",IF(YEAR(F141)=N(Settings!$C$7),"New","Active"))))</f>
        <v/>
      </c>
      <c r="L141" s="1" t="n"/>
      <c r="M141">
        <f>IF(OR(B141="",N(H141)&lt;=0),"",ROUND(H141*100,0)*1000+1000-ROW())</f>
        <v/>
      </c>
      <c r="N141">
        <f>IF(B141="","",SUMIFS(Gifts!$Q$6:$Q$1005,Gifts!$C$6:$C$1005,B141,Gifts!$K$6:$K$1005,Settings!$C$7))</f>
        <v/>
      </c>
    </row>
    <row r="142">
      <c r="A142" s="1" t="n"/>
      <c r="B142" s="22" t="n"/>
      <c r="C142" s="24" t="n"/>
      <c r="D142" s="25" t="n"/>
      <c r="E142" s="25" t="n"/>
      <c r="F142" s="26">
        <f>IF(OR(B142="",N(J142)=0),"",SUMPRODUCT(MIN((Gifts!$C$6:$C$1005=B142)*Gifts!$Q$6:$Q$1005*Gifts!$M$6:$M$1005+(1-(Gifts!$C$6:$C$1005=B142)*Gifts!$Q$6:$Q$1005)*1E9)))</f>
        <v/>
      </c>
      <c r="G142" s="26">
        <f>IF(OR(B142="",N(J142)=0),"",SUMPRODUCT(MAX((Gifts!$C$6:$C$1005=B142)*Gifts!$Q$6:$Q$1005*Gifts!$M$6:$M$1005)))</f>
        <v/>
      </c>
      <c r="H142" s="27">
        <f>IF(B142="","",SUMIFS(Gifts!$D$6:$D$1005,Gifts!$C$6:$C$1005,B142,Gifts!$K$6:$K$1005,Settings!$C$7,Gifts!$D$6:$D$1005,"&gt;0"))</f>
        <v/>
      </c>
      <c r="I142" s="28">
        <f>IF(B142="","",SUMIFS(Gifts!$D$6:$D$1005,Gifts!$C$6:$C$1005,B142,Gifts!$D$6:$D$1005,"&gt;0",Gifts!$M$6:$M$1005,"&gt;0"))</f>
        <v/>
      </c>
      <c r="J142" s="18">
        <f>IF(B142="","",SUMIFS(Gifts!$Q$6:$Q$1005,Gifts!$C$6:$C$1005,B142))</f>
        <v/>
      </c>
      <c r="K142" s="29">
        <f>IF(B142="","",IF(N(J142)=0,"No gifts yet",IF(AND(N(Settings!$C$9)&gt;0,G142&lt;EDATE(TODAY(),-N(Settings!$C$9))),"Lapsed",IF(YEAR(F142)=N(Settings!$C$7),"New","Active"))))</f>
        <v/>
      </c>
      <c r="L142" s="1" t="n"/>
      <c r="M142">
        <f>IF(OR(B142="",N(H142)&lt;=0),"",ROUND(H142*100,0)*1000+1000-ROW())</f>
        <v/>
      </c>
      <c r="N142">
        <f>IF(B142="","",SUMIFS(Gifts!$Q$6:$Q$1005,Gifts!$C$6:$C$1005,B142,Gifts!$K$6:$K$1005,Settings!$C$7))</f>
        <v/>
      </c>
    </row>
    <row r="143">
      <c r="A143" s="1" t="n"/>
      <c r="B143" s="22" t="n"/>
      <c r="C143" s="24" t="n"/>
      <c r="D143" s="25" t="n"/>
      <c r="E143" s="25" t="n"/>
      <c r="F143" s="26">
        <f>IF(OR(B143="",N(J143)=0),"",SUMPRODUCT(MIN((Gifts!$C$6:$C$1005=B143)*Gifts!$Q$6:$Q$1005*Gifts!$M$6:$M$1005+(1-(Gifts!$C$6:$C$1005=B143)*Gifts!$Q$6:$Q$1005)*1E9)))</f>
        <v/>
      </c>
      <c r="G143" s="26">
        <f>IF(OR(B143="",N(J143)=0),"",SUMPRODUCT(MAX((Gifts!$C$6:$C$1005=B143)*Gifts!$Q$6:$Q$1005*Gifts!$M$6:$M$1005)))</f>
        <v/>
      </c>
      <c r="H143" s="27">
        <f>IF(B143="","",SUMIFS(Gifts!$D$6:$D$1005,Gifts!$C$6:$C$1005,B143,Gifts!$K$6:$K$1005,Settings!$C$7,Gifts!$D$6:$D$1005,"&gt;0"))</f>
        <v/>
      </c>
      <c r="I143" s="28">
        <f>IF(B143="","",SUMIFS(Gifts!$D$6:$D$1005,Gifts!$C$6:$C$1005,B143,Gifts!$D$6:$D$1005,"&gt;0",Gifts!$M$6:$M$1005,"&gt;0"))</f>
        <v/>
      </c>
      <c r="J143" s="18">
        <f>IF(B143="","",SUMIFS(Gifts!$Q$6:$Q$1005,Gifts!$C$6:$C$1005,B143))</f>
        <v/>
      </c>
      <c r="K143" s="29">
        <f>IF(B143="","",IF(N(J143)=0,"No gifts yet",IF(AND(N(Settings!$C$9)&gt;0,G143&lt;EDATE(TODAY(),-N(Settings!$C$9))),"Lapsed",IF(YEAR(F143)=N(Settings!$C$7),"New","Active"))))</f>
        <v/>
      </c>
      <c r="L143" s="1" t="n"/>
      <c r="M143">
        <f>IF(OR(B143="",N(H143)&lt;=0),"",ROUND(H143*100,0)*1000+1000-ROW())</f>
        <v/>
      </c>
      <c r="N143">
        <f>IF(B143="","",SUMIFS(Gifts!$Q$6:$Q$1005,Gifts!$C$6:$C$1005,B143,Gifts!$K$6:$K$1005,Settings!$C$7))</f>
        <v/>
      </c>
    </row>
    <row r="144">
      <c r="A144" s="1" t="n"/>
      <c r="B144" s="22" t="n"/>
      <c r="C144" s="24" t="n"/>
      <c r="D144" s="25" t="n"/>
      <c r="E144" s="25" t="n"/>
      <c r="F144" s="26">
        <f>IF(OR(B144="",N(J144)=0),"",SUMPRODUCT(MIN((Gifts!$C$6:$C$1005=B144)*Gifts!$Q$6:$Q$1005*Gifts!$M$6:$M$1005+(1-(Gifts!$C$6:$C$1005=B144)*Gifts!$Q$6:$Q$1005)*1E9)))</f>
        <v/>
      </c>
      <c r="G144" s="26">
        <f>IF(OR(B144="",N(J144)=0),"",SUMPRODUCT(MAX((Gifts!$C$6:$C$1005=B144)*Gifts!$Q$6:$Q$1005*Gifts!$M$6:$M$1005)))</f>
        <v/>
      </c>
      <c r="H144" s="27">
        <f>IF(B144="","",SUMIFS(Gifts!$D$6:$D$1005,Gifts!$C$6:$C$1005,B144,Gifts!$K$6:$K$1005,Settings!$C$7,Gifts!$D$6:$D$1005,"&gt;0"))</f>
        <v/>
      </c>
      <c r="I144" s="28">
        <f>IF(B144="","",SUMIFS(Gifts!$D$6:$D$1005,Gifts!$C$6:$C$1005,B144,Gifts!$D$6:$D$1005,"&gt;0",Gifts!$M$6:$M$1005,"&gt;0"))</f>
        <v/>
      </c>
      <c r="J144" s="18">
        <f>IF(B144="","",SUMIFS(Gifts!$Q$6:$Q$1005,Gifts!$C$6:$C$1005,B144))</f>
        <v/>
      </c>
      <c r="K144" s="29">
        <f>IF(B144="","",IF(N(J144)=0,"No gifts yet",IF(AND(N(Settings!$C$9)&gt;0,G144&lt;EDATE(TODAY(),-N(Settings!$C$9))),"Lapsed",IF(YEAR(F144)=N(Settings!$C$7),"New","Active"))))</f>
        <v/>
      </c>
      <c r="L144" s="1" t="n"/>
      <c r="M144">
        <f>IF(OR(B144="",N(H144)&lt;=0),"",ROUND(H144*100,0)*1000+1000-ROW())</f>
        <v/>
      </c>
      <c r="N144">
        <f>IF(B144="","",SUMIFS(Gifts!$Q$6:$Q$1005,Gifts!$C$6:$C$1005,B144,Gifts!$K$6:$K$1005,Settings!$C$7))</f>
        <v/>
      </c>
    </row>
    <row r="145">
      <c r="A145" s="1" t="n"/>
      <c r="B145" s="22" t="n"/>
      <c r="C145" s="24" t="n"/>
      <c r="D145" s="25" t="n"/>
      <c r="E145" s="25" t="n"/>
      <c r="F145" s="26">
        <f>IF(OR(B145="",N(J145)=0),"",SUMPRODUCT(MIN((Gifts!$C$6:$C$1005=B145)*Gifts!$Q$6:$Q$1005*Gifts!$M$6:$M$1005+(1-(Gifts!$C$6:$C$1005=B145)*Gifts!$Q$6:$Q$1005)*1E9)))</f>
        <v/>
      </c>
      <c r="G145" s="26">
        <f>IF(OR(B145="",N(J145)=0),"",SUMPRODUCT(MAX((Gifts!$C$6:$C$1005=B145)*Gifts!$Q$6:$Q$1005*Gifts!$M$6:$M$1005)))</f>
        <v/>
      </c>
      <c r="H145" s="27">
        <f>IF(B145="","",SUMIFS(Gifts!$D$6:$D$1005,Gifts!$C$6:$C$1005,B145,Gifts!$K$6:$K$1005,Settings!$C$7,Gifts!$D$6:$D$1005,"&gt;0"))</f>
        <v/>
      </c>
      <c r="I145" s="28">
        <f>IF(B145="","",SUMIFS(Gifts!$D$6:$D$1005,Gifts!$C$6:$C$1005,B145,Gifts!$D$6:$D$1005,"&gt;0",Gifts!$M$6:$M$1005,"&gt;0"))</f>
        <v/>
      </c>
      <c r="J145" s="18">
        <f>IF(B145="","",SUMIFS(Gifts!$Q$6:$Q$1005,Gifts!$C$6:$C$1005,B145))</f>
        <v/>
      </c>
      <c r="K145" s="29">
        <f>IF(B145="","",IF(N(J145)=0,"No gifts yet",IF(AND(N(Settings!$C$9)&gt;0,G145&lt;EDATE(TODAY(),-N(Settings!$C$9))),"Lapsed",IF(YEAR(F145)=N(Settings!$C$7),"New","Active"))))</f>
        <v/>
      </c>
      <c r="L145" s="1" t="n"/>
      <c r="M145">
        <f>IF(OR(B145="",N(H145)&lt;=0),"",ROUND(H145*100,0)*1000+1000-ROW())</f>
        <v/>
      </c>
      <c r="N145">
        <f>IF(B145="","",SUMIFS(Gifts!$Q$6:$Q$1005,Gifts!$C$6:$C$1005,B145,Gifts!$K$6:$K$1005,Settings!$C$7))</f>
        <v/>
      </c>
    </row>
    <row r="146">
      <c r="A146" s="1" t="n"/>
      <c r="B146" s="22" t="n"/>
      <c r="C146" s="24" t="n"/>
      <c r="D146" s="25" t="n"/>
      <c r="E146" s="25" t="n"/>
      <c r="F146" s="26">
        <f>IF(OR(B146="",N(J146)=0),"",SUMPRODUCT(MIN((Gifts!$C$6:$C$1005=B146)*Gifts!$Q$6:$Q$1005*Gifts!$M$6:$M$1005+(1-(Gifts!$C$6:$C$1005=B146)*Gifts!$Q$6:$Q$1005)*1E9)))</f>
        <v/>
      </c>
      <c r="G146" s="26">
        <f>IF(OR(B146="",N(J146)=0),"",SUMPRODUCT(MAX((Gifts!$C$6:$C$1005=B146)*Gifts!$Q$6:$Q$1005*Gifts!$M$6:$M$1005)))</f>
        <v/>
      </c>
      <c r="H146" s="27">
        <f>IF(B146="","",SUMIFS(Gifts!$D$6:$D$1005,Gifts!$C$6:$C$1005,B146,Gifts!$K$6:$K$1005,Settings!$C$7,Gifts!$D$6:$D$1005,"&gt;0"))</f>
        <v/>
      </c>
      <c r="I146" s="28">
        <f>IF(B146="","",SUMIFS(Gifts!$D$6:$D$1005,Gifts!$C$6:$C$1005,B146,Gifts!$D$6:$D$1005,"&gt;0",Gifts!$M$6:$M$1005,"&gt;0"))</f>
        <v/>
      </c>
      <c r="J146" s="18">
        <f>IF(B146="","",SUMIFS(Gifts!$Q$6:$Q$1005,Gifts!$C$6:$C$1005,B146))</f>
        <v/>
      </c>
      <c r="K146" s="29">
        <f>IF(B146="","",IF(N(J146)=0,"No gifts yet",IF(AND(N(Settings!$C$9)&gt;0,G146&lt;EDATE(TODAY(),-N(Settings!$C$9))),"Lapsed",IF(YEAR(F146)=N(Settings!$C$7),"New","Active"))))</f>
        <v/>
      </c>
      <c r="L146" s="1" t="n"/>
      <c r="M146">
        <f>IF(OR(B146="",N(H146)&lt;=0),"",ROUND(H146*100,0)*1000+1000-ROW())</f>
        <v/>
      </c>
      <c r="N146">
        <f>IF(B146="","",SUMIFS(Gifts!$Q$6:$Q$1005,Gifts!$C$6:$C$1005,B146,Gifts!$K$6:$K$1005,Settings!$C$7))</f>
        <v/>
      </c>
    </row>
    <row r="147">
      <c r="A147" s="1" t="n"/>
      <c r="B147" s="22" t="n"/>
      <c r="C147" s="24" t="n"/>
      <c r="D147" s="25" t="n"/>
      <c r="E147" s="25" t="n"/>
      <c r="F147" s="26">
        <f>IF(OR(B147="",N(J147)=0),"",SUMPRODUCT(MIN((Gifts!$C$6:$C$1005=B147)*Gifts!$Q$6:$Q$1005*Gifts!$M$6:$M$1005+(1-(Gifts!$C$6:$C$1005=B147)*Gifts!$Q$6:$Q$1005)*1E9)))</f>
        <v/>
      </c>
      <c r="G147" s="26">
        <f>IF(OR(B147="",N(J147)=0),"",SUMPRODUCT(MAX((Gifts!$C$6:$C$1005=B147)*Gifts!$Q$6:$Q$1005*Gifts!$M$6:$M$1005)))</f>
        <v/>
      </c>
      <c r="H147" s="27">
        <f>IF(B147="","",SUMIFS(Gifts!$D$6:$D$1005,Gifts!$C$6:$C$1005,B147,Gifts!$K$6:$K$1005,Settings!$C$7,Gifts!$D$6:$D$1005,"&gt;0"))</f>
        <v/>
      </c>
      <c r="I147" s="28">
        <f>IF(B147="","",SUMIFS(Gifts!$D$6:$D$1005,Gifts!$C$6:$C$1005,B147,Gifts!$D$6:$D$1005,"&gt;0",Gifts!$M$6:$M$1005,"&gt;0"))</f>
        <v/>
      </c>
      <c r="J147" s="18">
        <f>IF(B147="","",SUMIFS(Gifts!$Q$6:$Q$1005,Gifts!$C$6:$C$1005,B147))</f>
        <v/>
      </c>
      <c r="K147" s="29">
        <f>IF(B147="","",IF(N(J147)=0,"No gifts yet",IF(AND(N(Settings!$C$9)&gt;0,G147&lt;EDATE(TODAY(),-N(Settings!$C$9))),"Lapsed",IF(YEAR(F147)=N(Settings!$C$7),"New","Active"))))</f>
        <v/>
      </c>
      <c r="L147" s="1" t="n"/>
      <c r="M147">
        <f>IF(OR(B147="",N(H147)&lt;=0),"",ROUND(H147*100,0)*1000+1000-ROW())</f>
        <v/>
      </c>
      <c r="N147">
        <f>IF(B147="","",SUMIFS(Gifts!$Q$6:$Q$1005,Gifts!$C$6:$C$1005,B147,Gifts!$K$6:$K$1005,Settings!$C$7))</f>
        <v/>
      </c>
    </row>
    <row r="148">
      <c r="A148" s="1" t="n"/>
      <c r="B148" s="22" t="n"/>
      <c r="C148" s="24" t="n"/>
      <c r="D148" s="25" t="n"/>
      <c r="E148" s="25" t="n"/>
      <c r="F148" s="26">
        <f>IF(OR(B148="",N(J148)=0),"",SUMPRODUCT(MIN((Gifts!$C$6:$C$1005=B148)*Gifts!$Q$6:$Q$1005*Gifts!$M$6:$M$1005+(1-(Gifts!$C$6:$C$1005=B148)*Gifts!$Q$6:$Q$1005)*1E9)))</f>
        <v/>
      </c>
      <c r="G148" s="26">
        <f>IF(OR(B148="",N(J148)=0),"",SUMPRODUCT(MAX((Gifts!$C$6:$C$1005=B148)*Gifts!$Q$6:$Q$1005*Gifts!$M$6:$M$1005)))</f>
        <v/>
      </c>
      <c r="H148" s="27">
        <f>IF(B148="","",SUMIFS(Gifts!$D$6:$D$1005,Gifts!$C$6:$C$1005,B148,Gifts!$K$6:$K$1005,Settings!$C$7,Gifts!$D$6:$D$1005,"&gt;0"))</f>
        <v/>
      </c>
      <c r="I148" s="28">
        <f>IF(B148="","",SUMIFS(Gifts!$D$6:$D$1005,Gifts!$C$6:$C$1005,B148,Gifts!$D$6:$D$1005,"&gt;0",Gifts!$M$6:$M$1005,"&gt;0"))</f>
        <v/>
      </c>
      <c r="J148" s="18">
        <f>IF(B148="","",SUMIFS(Gifts!$Q$6:$Q$1005,Gifts!$C$6:$C$1005,B148))</f>
        <v/>
      </c>
      <c r="K148" s="29">
        <f>IF(B148="","",IF(N(J148)=0,"No gifts yet",IF(AND(N(Settings!$C$9)&gt;0,G148&lt;EDATE(TODAY(),-N(Settings!$C$9))),"Lapsed",IF(YEAR(F148)=N(Settings!$C$7),"New","Active"))))</f>
        <v/>
      </c>
      <c r="L148" s="1" t="n"/>
      <c r="M148">
        <f>IF(OR(B148="",N(H148)&lt;=0),"",ROUND(H148*100,0)*1000+1000-ROW())</f>
        <v/>
      </c>
      <c r="N148">
        <f>IF(B148="","",SUMIFS(Gifts!$Q$6:$Q$1005,Gifts!$C$6:$C$1005,B148,Gifts!$K$6:$K$1005,Settings!$C$7))</f>
        <v/>
      </c>
    </row>
    <row r="149">
      <c r="A149" s="1" t="n"/>
      <c r="B149" s="22" t="n"/>
      <c r="C149" s="24" t="n"/>
      <c r="D149" s="25" t="n"/>
      <c r="E149" s="25" t="n"/>
      <c r="F149" s="26">
        <f>IF(OR(B149="",N(J149)=0),"",SUMPRODUCT(MIN((Gifts!$C$6:$C$1005=B149)*Gifts!$Q$6:$Q$1005*Gifts!$M$6:$M$1005+(1-(Gifts!$C$6:$C$1005=B149)*Gifts!$Q$6:$Q$1005)*1E9)))</f>
        <v/>
      </c>
      <c r="G149" s="26">
        <f>IF(OR(B149="",N(J149)=0),"",SUMPRODUCT(MAX((Gifts!$C$6:$C$1005=B149)*Gifts!$Q$6:$Q$1005*Gifts!$M$6:$M$1005)))</f>
        <v/>
      </c>
      <c r="H149" s="27">
        <f>IF(B149="","",SUMIFS(Gifts!$D$6:$D$1005,Gifts!$C$6:$C$1005,B149,Gifts!$K$6:$K$1005,Settings!$C$7,Gifts!$D$6:$D$1005,"&gt;0"))</f>
        <v/>
      </c>
      <c r="I149" s="28">
        <f>IF(B149="","",SUMIFS(Gifts!$D$6:$D$1005,Gifts!$C$6:$C$1005,B149,Gifts!$D$6:$D$1005,"&gt;0",Gifts!$M$6:$M$1005,"&gt;0"))</f>
        <v/>
      </c>
      <c r="J149" s="18">
        <f>IF(B149="","",SUMIFS(Gifts!$Q$6:$Q$1005,Gifts!$C$6:$C$1005,B149))</f>
        <v/>
      </c>
      <c r="K149" s="29">
        <f>IF(B149="","",IF(N(J149)=0,"No gifts yet",IF(AND(N(Settings!$C$9)&gt;0,G149&lt;EDATE(TODAY(),-N(Settings!$C$9))),"Lapsed",IF(YEAR(F149)=N(Settings!$C$7),"New","Active"))))</f>
        <v/>
      </c>
      <c r="L149" s="1" t="n"/>
      <c r="M149">
        <f>IF(OR(B149="",N(H149)&lt;=0),"",ROUND(H149*100,0)*1000+1000-ROW())</f>
        <v/>
      </c>
      <c r="N149">
        <f>IF(B149="","",SUMIFS(Gifts!$Q$6:$Q$1005,Gifts!$C$6:$C$1005,B149,Gifts!$K$6:$K$1005,Settings!$C$7))</f>
        <v/>
      </c>
    </row>
    <row r="150">
      <c r="A150" s="1" t="n"/>
      <c r="B150" s="22" t="n"/>
      <c r="C150" s="24" t="n"/>
      <c r="D150" s="25" t="n"/>
      <c r="E150" s="25" t="n"/>
      <c r="F150" s="26">
        <f>IF(OR(B150="",N(J150)=0),"",SUMPRODUCT(MIN((Gifts!$C$6:$C$1005=B150)*Gifts!$Q$6:$Q$1005*Gifts!$M$6:$M$1005+(1-(Gifts!$C$6:$C$1005=B150)*Gifts!$Q$6:$Q$1005)*1E9)))</f>
        <v/>
      </c>
      <c r="G150" s="26">
        <f>IF(OR(B150="",N(J150)=0),"",SUMPRODUCT(MAX((Gifts!$C$6:$C$1005=B150)*Gifts!$Q$6:$Q$1005*Gifts!$M$6:$M$1005)))</f>
        <v/>
      </c>
      <c r="H150" s="27">
        <f>IF(B150="","",SUMIFS(Gifts!$D$6:$D$1005,Gifts!$C$6:$C$1005,B150,Gifts!$K$6:$K$1005,Settings!$C$7,Gifts!$D$6:$D$1005,"&gt;0"))</f>
        <v/>
      </c>
      <c r="I150" s="28">
        <f>IF(B150="","",SUMIFS(Gifts!$D$6:$D$1005,Gifts!$C$6:$C$1005,B150,Gifts!$D$6:$D$1005,"&gt;0",Gifts!$M$6:$M$1005,"&gt;0"))</f>
        <v/>
      </c>
      <c r="J150" s="18">
        <f>IF(B150="","",SUMIFS(Gifts!$Q$6:$Q$1005,Gifts!$C$6:$C$1005,B150))</f>
        <v/>
      </c>
      <c r="K150" s="29">
        <f>IF(B150="","",IF(N(J150)=0,"No gifts yet",IF(AND(N(Settings!$C$9)&gt;0,G150&lt;EDATE(TODAY(),-N(Settings!$C$9))),"Lapsed",IF(YEAR(F150)=N(Settings!$C$7),"New","Active"))))</f>
        <v/>
      </c>
      <c r="L150" s="1" t="n"/>
      <c r="M150">
        <f>IF(OR(B150="",N(H150)&lt;=0),"",ROUND(H150*100,0)*1000+1000-ROW())</f>
        <v/>
      </c>
      <c r="N150">
        <f>IF(B150="","",SUMIFS(Gifts!$Q$6:$Q$1005,Gifts!$C$6:$C$1005,B150,Gifts!$K$6:$K$1005,Settings!$C$7))</f>
        <v/>
      </c>
    </row>
    <row r="151">
      <c r="A151" s="1" t="n"/>
      <c r="B151" s="22" t="n"/>
      <c r="C151" s="24" t="n"/>
      <c r="D151" s="25" t="n"/>
      <c r="E151" s="25" t="n"/>
      <c r="F151" s="26">
        <f>IF(OR(B151="",N(J151)=0),"",SUMPRODUCT(MIN((Gifts!$C$6:$C$1005=B151)*Gifts!$Q$6:$Q$1005*Gifts!$M$6:$M$1005+(1-(Gifts!$C$6:$C$1005=B151)*Gifts!$Q$6:$Q$1005)*1E9)))</f>
        <v/>
      </c>
      <c r="G151" s="26">
        <f>IF(OR(B151="",N(J151)=0),"",SUMPRODUCT(MAX((Gifts!$C$6:$C$1005=B151)*Gifts!$Q$6:$Q$1005*Gifts!$M$6:$M$1005)))</f>
        <v/>
      </c>
      <c r="H151" s="27">
        <f>IF(B151="","",SUMIFS(Gifts!$D$6:$D$1005,Gifts!$C$6:$C$1005,B151,Gifts!$K$6:$K$1005,Settings!$C$7,Gifts!$D$6:$D$1005,"&gt;0"))</f>
        <v/>
      </c>
      <c r="I151" s="28">
        <f>IF(B151="","",SUMIFS(Gifts!$D$6:$D$1005,Gifts!$C$6:$C$1005,B151,Gifts!$D$6:$D$1005,"&gt;0",Gifts!$M$6:$M$1005,"&gt;0"))</f>
        <v/>
      </c>
      <c r="J151" s="18">
        <f>IF(B151="","",SUMIFS(Gifts!$Q$6:$Q$1005,Gifts!$C$6:$C$1005,B151))</f>
        <v/>
      </c>
      <c r="K151" s="29">
        <f>IF(B151="","",IF(N(J151)=0,"No gifts yet",IF(AND(N(Settings!$C$9)&gt;0,G151&lt;EDATE(TODAY(),-N(Settings!$C$9))),"Lapsed",IF(YEAR(F151)=N(Settings!$C$7),"New","Active"))))</f>
        <v/>
      </c>
      <c r="L151" s="1" t="n"/>
      <c r="M151">
        <f>IF(OR(B151="",N(H151)&lt;=0),"",ROUND(H151*100,0)*1000+1000-ROW())</f>
        <v/>
      </c>
      <c r="N151">
        <f>IF(B151="","",SUMIFS(Gifts!$Q$6:$Q$1005,Gifts!$C$6:$C$1005,B151,Gifts!$K$6:$K$1005,Settings!$C$7))</f>
        <v/>
      </c>
    </row>
    <row r="152">
      <c r="A152" s="1" t="n"/>
      <c r="B152" s="22" t="n"/>
      <c r="C152" s="24" t="n"/>
      <c r="D152" s="25" t="n"/>
      <c r="E152" s="25" t="n"/>
      <c r="F152" s="26">
        <f>IF(OR(B152="",N(J152)=0),"",SUMPRODUCT(MIN((Gifts!$C$6:$C$1005=B152)*Gifts!$Q$6:$Q$1005*Gifts!$M$6:$M$1005+(1-(Gifts!$C$6:$C$1005=B152)*Gifts!$Q$6:$Q$1005)*1E9)))</f>
        <v/>
      </c>
      <c r="G152" s="26">
        <f>IF(OR(B152="",N(J152)=0),"",SUMPRODUCT(MAX((Gifts!$C$6:$C$1005=B152)*Gifts!$Q$6:$Q$1005*Gifts!$M$6:$M$1005)))</f>
        <v/>
      </c>
      <c r="H152" s="27">
        <f>IF(B152="","",SUMIFS(Gifts!$D$6:$D$1005,Gifts!$C$6:$C$1005,B152,Gifts!$K$6:$K$1005,Settings!$C$7,Gifts!$D$6:$D$1005,"&gt;0"))</f>
        <v/>
      </c>
      <c r="I152" s="28">
        <f>IF(B152="","",SUMIFS(Gifts!$D$6:$D$1005,Gifts!$C$6:$C$1005,B152,Gifts!$D$6:$D$1005,"&gt;0",Gifts!$M$6:$M$1005,"&gt;0"))</f>
        <v/>
      </c>
      <c r="J152" s="18">
        <f>IF(B152="","",SUMIFS(Gifts!$Q$6:$Q$1005,Gifts!$C$6:$C$1005,B152))</f>
        <v/>
      </c>
      <c r="K152" s="29">
        <f>IF(B152="","",IF(N(J152)=0,"No gifts yet",IF(AND(N(Settings!$C$9)&gt;0,G152&lt;EDATE(TODAY(),-N(Settings!$C$9))),"Lapsed",IF(YEAR(F152)=N(Settings!$C$7),"New","Active"))))</f>
        <v/>
      </c>
      <c r="L152" s="1" t="n"/>
      <c r="M152">
        <f>IF(OR(B152="",N(H152)&lt;=0),"",ROUND(H152*100,0)*1000+1000-ROW())</f>
        <v/>
      </c>
      <c r="N152">
        <f>IF(B152="","",SUMIFS(Gifts!$Q$6:$Q$1005,Gifts!$C$6:$C$1005,B152,Gifts!$K$6:$K$1005,Settings!$C$7))</f>
        <v/>
      </c>
    </row>
    <row r="153">
      <c r="A153" s="1" t="n"/>
      <c r="B153" s="22" t="n"/>
      <c r="C153" s="24" t="n"/>
      <c r="D153" s="25" t="n"/>
      <c r="E153" s="25" t="n"/>
      <c r="F153" s="26">
        <f>IF(OR(B153="",N(J153)=0),"",SUMPRODUCT(MIN((Gifts!$C$6:$C$1005=B153)*Gifts!$Q$6:$Q$1005*Gifts!$M$6:$M$1005+(1-(Gifts!$C$6:$C$1005=B153)*Gifts!$Q$6:$Q$1005)*1E9)))</f>
        <v/>
      </c>
      <c r="G153" s="26">
        <f>IF(OR(B153="",N(J153)=0),"",SUMPRODUCT(MAX((Gifts!$C$6:$C$1005=B153)*Gifts!$Q$6:$Q$1005*Gifts!$M$6:$M$1005)))</f>
        <v/>
      </c>
      <c r="H153" s="27">
        <f>IF(B153="","",SUMIFS(Gifts!$D$6:$D$1005,Gifts!$C$6:$C$1005,B153,Gifts!$K$6:$K$1005,Settings!$C$7,Gifts!$D$6:$D$1005,"&gt;0"))</f>
        <v/>
      </c>
      <c r="I153" s="28">
        <f>IF(B153="","",SUMIFS(Gifts!$D$6:$D$1005,Gifts!$C$6:$C$1005,B153,Gifts!$D$6:$D$1005,"&gt;0",Gifts!$M$6:$M$1005,"&gt;0"))</f>
        <v/>
      </c>
      <c r="J153" s="18">
        <f>IF(B153="","",SUMIFS(Gifts!$Q$6:$Q$1005,Gifts!$C$6:$C$1005,B153))</f>
        <v/>
      </c>
      <c r="K153" s="29">
        <f>IF(B153="","",IF(N(J153)=0,"No gifts yet",IF(AND(N(Settings!$C$9)&gt;0,G153&lt;EDATE(TODAY(),-N(Settings!$C$9))),"Lapsed",IF(YEAR(F153)=N(Settings!$C$7),"New","Active"))))</f>
        <v/>
      </c>
      <c r="L153" s="1" t="n"/>
      <c r="M153">
        <f>IF(OR(B153="",N(H153)&lt;=0),"",ROUND(H153*100,0)*1000+1000-ROW())</f>
        <v/>
      </c>
      <c r="N153">
        <f>IF(B153="","",SUMIFS(Gifts!$Q$6:$Q$1005,Gifts!$C$6:$C$1005,B153,Gifts!$K$6:$K$1005,Settings!$C$7))</f>
        <v/>
      </c>
    </row>
    <row r="154">
      <c r="A154" s="1" t="n"/>
      <c r="B154" s="22" t="n"/>
      <c r="C154" s="24" t="n"/>
      <c r="D154" s="25" t="n"/>
      <c r="E154" s="25" t="n"/>
      <c r="F154" s="26">
        <f>IF(OR(B154="",N(J154)=0),"",SUMPRODUCT(MIN((Gifts!$C$6:$C$1005=B154)*Gifts!$Q$6:$Q$1005*Gifts!$M$6:$M$1005+(1-(Gifts!$C$6:$C$1005=B154)*Gifts!$Q$6:$Q$1005)*1E9)))</f>
        <v/>
      </c>
      <c r="G154" s="26">
        <f>IF(OR(B154="",N(J154)=0),"",SUMPRODUCT(MAX((Gifts!$C$6:$C$1005=B154)*Gifts!$Q$6:$Q$1005*Gifts!$M$6:$M$1005)))</f>
        <v/>
      </c>
      <c r="H154" s="27">
        <f>IF(B154="","",SUMIFS(Gifts!$D$6:$D$1005,Gifts!$C$6:$C$1005,B154,Gifts!$K$6:$K$1005,Settings!$C$7,Gifts!$D$6:$D$1005,"&gt;0"))</f>
        <v/>
      </c>
      <c r="I154" s="28">
        <f>IF(B154="","",SUMIFS(Gifts!$D$6:$D$1005,Gifts!$C$6:$C$1005,B154,Gifts!$D$6:$D$1005,"&gt;0",Gifts!$M$6:$M$1005,"&gt;0"))</f>
        <v/>
      </c>
      <c r="J154" s="18">
        <f>IF(B154="","",SUMIFS(Gifts!$Q$6:$Q$1005,Gifts!$C$6:$C$1005,B154))</f>
        <v/>
      </c>
      <c r="K154" s="29">
        <f>IF(B154="","",IF(N(J154)=0,"No gifts yet",IF(AND(N(Settings!$C$9)&gt;0,G154&lt;EDATE(TODAY(),-N(Settings!$C$9))),"Lapsed",IF(YEAR(F154)=N(Settings!$C$7),"New","Active"))))</f>
        <v/>
      </c>
      <c r="L154" s="1" t="n"/>
      <c r="M154">
        <f>IF(OR(B154="",N(H154)&lt;=0),"",ROUND(H154*100,0)*1000+1000-ROW())</f>
        <v/>
      </c>
      <c r="N154">
        <f>IF(B154="","",SUMIFS(Gifts!$Q$6:$Q$1005,Gifts!$C$6:$C$1005,B154,Gifts!$K$6:$K$1005,Settings!$C$7))</f>
        <v/>
      </c>
    </row>
    <row r="155">
      <c r="A155" s="1" t="n"/>
      <c r="B155" s="22" t="n"/>
      <c r="C155" s="24" t="n"/>
      <c r="D155" s="25" t="n"/>
      <c r="E155" s="25" t="n"/>
      <c r="F155" s="26">
        <f>IF(OR(B155="",N(J155)=0),"",SUMPRODUCT(MIN((Gifts!$C$6:$C$1005=B155)*Gifts!$Q$6:$Q$1005*Gifts!$M$6:$M$1005+(1-(Gifts!$C$6:$C$1005=B155)*Gifts!$Q$6:$Q$1005)*1E9)))</f>
        <v/>
      </c>
      <c r="G155" s="26">
        <f>IF(OR(B155="",N(J155)=0),"",SUMPRODUCT(MAX((Gifts!$C$6:$C$1005=B155)*Gifts!$Q$6:$Q$1005*Gifts!$M$6:$M$1005)))</f>
        <v/>
      </c>
      <c r="H155" s="27">
        <f>IF(B155="","",SUMIFS(Gifts!$D$6:$D$1005,Gifts!$C$6:$C$1005,B155,Gifts!$K$6:$K$1005,Settings!$C$7,Gifts!$D$6:$D$1005,"&gt;0"))</f>
        <v/>
      </c>
      <c r="I155" s="28">
        <f>IF(B155="","",SUMIFS(Gifts!$D$6:$D$1005,Gifts!$C$6:$C$1005,B155,Gifts!$D$6:$D$1005,"&gt;0",Gifts!$M$6:$M$1005,"&gt;0"))</f>
        <v/>
      </c>
      <c r="J155" s="18">
        <f>IF(B155="","",SUMIFS(Gifts!$Q$6:$Q$1005,Gifts!$C$6:$C$1005,B155))</f>
        <v/>
      </c>
      <c r="K155" s="29">
        <f>IF(B155="","",IF(N(J155)=0,"No gifts yet",IF(AND(N(Settings!$C$9)&gt;0,G155&lt;EDATE(TODAY(),-N(Settings!$C$9))),"Lapsed",IF(YEAR(F155)=N(Settings!$C$7),"New","Active"))))</f>
        <v/>
      </c>
      <c r="L155" s="1" t="n"/>
      <c r="M155">
        <f>IF(OR(B155="",N(H155)&lt;=0),"",ROUND(H155*100,0)*1000+1000-ROW())</f>
        <v/>
      </c>
      <c r="N155">
        <f>IF(B155="","",SUMIFS(Gifts!$Q$6:$Q$1005,Gifts!$C$6:$C$1005,B155,Gifts!$K$6:$K$1005,Settings!$C$7))</f>
        <v/>
      </c>
    </row>
    <row r="156">
      <c r="A156" s="1" t="n"/>
      <c r="B156" s="22" t="n"/>
      <c r="C156" s="24" t="n"/>
      <c r="D156" s="25" t="n"/>
      <c r="E156" s="25" t="n"/>
      <c r="F156" s="26">
        <f>IF(OR(B156="",N(J156)=0),"",SUMPRODUCT(MIN((Gifts!$C$6:$C$1005=B156)*Gifts!$Q$6:$Q$1005*Gifts!$M$6:$M$1005+(1-(Gifts!$C$6:$C$1005=B156)*Gifts!$Q$6:$Q$1005)*1E9)))</f>
        <v/>
      </c>
      <c r="G156" s="26">
        <f>IF(OR(B156="",N(J156)=0),"",SUMPRODUCT(MAX((Gifts!$C$6:$C$1005=B156)*Gifts!$Q$6:$Q$1005*Gifts!$M$6:$M$1005)))</f>
        <v/>
      </c>
      <c r="H156" s="27">
        <f>IF(B156="","",SUMIFS(Gifts!$D$6:$D$1005,Gifts!$C$6:$C$1005,B156,Gifts!$K$6:$K$1005,Settings!$C$7,Gifts!$D$6:$D$1005,"&gt;0"))</f>
        <v/>
      </c>
      <c r="I156" s="28">
        <f>IF(B156="","",SUMIFS(Gifts!$D$6:$D$1005,Gifts!$C$6:$C$1005,B156,Gifts!$D$6:$D$1005,"&gt;0",Gifts!$M$6:$M$1005,"&gt;0"))</f>
        <v/>
      </c>
      <c r="J156" s="18">
        <f>IF(B156="","",SUMIFS(Gifts!$Q$6:$Q$1005,Gifts!$C$6:$C$1005,B156))</f>
        <v/>
      </c>
      <c r="K156" s="29">
        <f>IF(B156="","",IF(N(J156)=0,"No gifts yet",IF(AND(N(Settings!$C$9)&gt;0,G156&lt;EDATE(TODAY(),-N(Settings!$C$9))),"Lapsed",IF(YEAR(F156)=N(Settings!$C$7),"New","Active"))))</f>
        <v/>
      </c>
      <c r="L156" s="1" t="n"/>
      <c r="M156">
        <f>IF(OR(B156="",N(H156)&lt;=0),"",ROUND(H156*100,0)*1000+1000-ROW())</f>
        <v/>
      </c>
      <c r="N156">
        <f>IF(B156="","",SUMIFS(Gifts!$Q$6:$Q$1005,Gifts!$C$6:$C$1005,B156,Gifts!$K$6:$K$1005,Settings!$C$7))</f>
        <v/>
      </c>
    </row>
    <row r="157">
      <c r="A157" s="1" t="n"/>
      <c r="B157" s="22" t="n"/>
      <c r="C157" s="24" t="n"/>
      <c r="D157" s="25" t="n"/>
      <c r="E157" s="25" t="n"/>
      <c r="F157" s="26">
        <f>IF(OR(B157="",N(J157)=0),"",SUMPRODUCT(MIN((Gifts!$C$6:$C$1005=B157)*Gifts!$Q$6:$Q$1005*Gifts!$M$6:$M$1005+(1-(Gifts!$C$6:$C$1005=B157)*Gifts!$Q$6:$Q$1005)*1E9)))</f>
        <v/>
      </c>
      <c r="G157" s="26">
        <f>IF(OR(B157="",N(J157)=0),"",SUMPRODUCT(MAX((Gifts!$C$6:$C$1005=B157)*Gifts!$Q$6:$Q$1005*Gifts!$M$6:$M$1005)))</f>
        <v/>
      </c>
      <c r="H157" s="27">
        <f>IF(B157="","",SUMIFS(Gifts!$D$6:$D$1005,Gifts!$C$6:$C$1005,B157,Gifts!$K$6:$K$1005,Settings!$C$7,Gifts!$D$6:$D$1005,"&gt;0"))</f>
        <v/>
      </c>
      <c r="I157" s="28">
        <f>IF(B157="","",SUMIFS(Gifts!$D$6:$D$1005,Gifts!$C$6:$C$1005,B157,Gifts!$D$6:$D$1005,"&gt;0",Gifts!$M$6:$M$1005,"&gt;0"))</f>
        <v/>
      </c>
      <c r="J157" s="18">
        <f>IF(B157="","",SUMIFS(Gifts!$Q$6:$Q$1005,Gifts!$C$6:$C$1005,B157))</f>
        <v/>
      </c>
      <c r="K157" s="29">
        <f>IF(B157="","",IF(N(J157)=0,"No gifts yet",IF(AND(N(Settings!$C$9)&gt;0,G157&lt;EDATE(TODAY(),-N(Settings!$C$9))),"Lapsed",IF(YEAR(F157)=N(Settings!$C$7),"New","Active"))))</f>
        <v/>
      </c>
      <c r="L157" s="1" t="n"/>
      <c r="M157">
        <f>IF(OR(B157="",N(H157)&lt;=0),"",ROUND(H157*100,0)*1000+1000-ROW())</f>
        <v/>
      </c>
      <c r="N157">
        <f>IF(B157="","",SUMIFS(Gifts!$Q$6:$Q$1005,Gifts!$C$6:$C$1005,B157,Gifts!$K$6:$K$1005,Settings!$C$7))</f>
        <v/>
      </c>
    </row>
    <row r="158">
      <c r="A158" s="1" t="n"/>
      <c r="B158" s="22" t="n"/>
      <c r="C158" s="24" t="n"/>
      <c r="D158" s="25" t="n"/>
      <c r="E158" s="25" t="n"/>
      <c r="F158" s="26">
        <f>IF(OR(B158="",N(J158)=0),"",SUMPRODUCT(MIN((Gifts!$C$6:$C$1005=B158)*Gifts!$Q$6:$Q$1005*Gifts!$M$6:$M$1005+(1-(Gifts!$C$6:$C$1005=B158)*Gifts!$Q$6:$Q$1005)*1E9)))</f>
        <v/>
      </c>
      <c r="G158" s="26">
        <f>IF(OR(B158="",N(J158)=0),"",SUMPRODUCT(MAX((Gifts!$C$6:$C$1005=B158)*Gifts!$Q$6:$Q$1005*Gifts!$M$6:$M$1005)))</f>
        <v/>
      </c>
      <c r="H158" s="27">
        <f>IF(B158="","",SUMIFS(Gifts!$D$6:$D$1005,Gifts!$C$6:$C$1005,B158,Gifts!$K$6:$K$1005,Settings!$C$7,Gifts!$D$6:$D$1005,"&gt;0"))</f>
        <v/>
      </c>
      <c r="I158" s="28">
        <f>IF(B158="","",SUMIFS(Gifts!$D$6:$D$1005,Gifts!$C$6:$C$1005,B158,Gifts!$D$6:$D$1005,"&gt;0",Gifts!$M$6:$M$1005,"&gt;0"))</f>
        <v/>
      </c>
      <c r="J158" s="18">
        <f>IF(B158="","",SUMIFS(Gifts!$Q$6:$Q$1005,Gifts!$C$6:$C$1005,B158))</f>
        <v/>
      </c>
      <c r="K158" s="29">
        <f>IF(B158="","",IF(N(J158)=0,"No gifts yet",IF(AND(N(Settings!$C$9)&gt;0,G158&lt;EDATE(TODAY(),-N(Settings!$C$9))),"Lapsed",IF(YEAR(F158)=N(Settings!$C$7),"New","Active"))))</f>
        <v/>
      </c>
      <c r="L158" s="1" t="n"/>
      <c r="M158">
        <f>IF(OR(B158="",N(H158)&lt;=0),"",ROUND(H158*100,0)*1000+1000-ROW())</f>
        <v/>
      </c>
      <c r="N158">
        <f>IF(B158="","",SUMIFS(Gifts!$Q$6:$Q$1005,Gifts!$C$6:$C$1005,B158,Gifts!$K$6:$K$1005,Settings!$C$7))</f>
        <v/>
      </c>
    </row>
    <row r="159">
      <c r="A159" s="1" t="n"/>
      <c r="B159" s="22" t="n"/>
      <c r="C159" s="24" t="n"/>
      <c r="D159" s="25" t="n"/>
      <c r="E159" s="25" t="n"/>
      <c r="F159" s="26">
        <f>IF(OR(B159="",N(J159)=0),"",SUMPRODUCT(MIN((Gifts!$C$6:$C$1005=B159)*Gifts!$Q$6:$Q$1005*Gifts!$M$6:$M$1005+(1-(Gifts!$C$6:$C$1005=B159)*Gifts!$Q$6:$Q$1005)*1E9)))</f>
        <v/>
      </c>
      <c r="G159" s="26">
        <f>IF(OR(B159="",N(J159)=0),"",SUMPRODUCT(MAX((Gifts!$C$6:$C$1005=B159)*Gifts!$Q$6:$Q$1005*Gifts!$M$6:$M$1005)))</f>
        <v/>
      </c>
      <c r="H159" s="27">
        <f>IF(B159="","",SUMIFS(Gifts!$D$6:$D$1005,Gifts!$C$6:$C$1005,B159,Gifts!$K$6:$K$1005,Settings!$C$7,Gifts!$D$6:$D$1005,"&gt;0"))</f>
        <v/>
      </c>
      <c r="I159" s="28">
        <f>IF(B159="","",SUMIFS(Gifts!$D$6:$D$1005,Gifts!$C$6:$C$1005,B159,Gifts!$D$6:$D$1005,"&gt;0",Gifts!$M$6:$M$1005,"&gt;0"))</f>
        <v/>
      </c>
      <c r="J159" s="18">
        <f>IF(B159="","",SUMIFS(Gifts!$Q$6:$Q$1005,Gifts!$C$6:$C$1005,B159))</f>
        <v/>
      </c>
      <c r="K159" s="29">
        <f>IF(B159="","",IF(N(J159)=0,"No gifts yet",IF(AND(N(Settings!$C$9)&gt;0,G159&lt;EDATE(TODAY(),-N(Settings!$C$9))),"Lapsed",IF(YEAR(F159)=N(Settings!$C$7),"New","Active"))))</f>
        <v/>
      </c>
      <c r="L159" s="1" t="n"/>
      <c r="M159">
        <f>IF(OR(B159="",N(H159)&lt;=0),"",ROUND(H159*100,0)*1000+1000-ROW())</f>
        <v/>
      </c>
      <c r="N159">
        <f>IF(B159="","",SUMIFS(Gifts!$Q$6:$Q$1005,Gifts!$C$6:$C$1005,B159,Gifts!$K$6:$K$1005,Settings!$C$7))</f>
        <v/>
      </c>
    </row>
    <row r="160">
      <c r="A160" s="1" t="n"/>
      <c r="B160" s="22" t="n"/>
      <c r="C160" s="24" t="n"/>
      <c r="D160" s="25" t="n"/>
      <c r="E160" s="25" t="n"/>
      <c r="F160" s="26">
        <f>IF(OR(B160="",N(J160)=0),"",SUMPRODUCT(MIN((Gifts!$C$6:$C$1005=B160)*Gifts!$Q$6:$Q$1005*Gifts!$M$6:$M$1005+(1-(Gifts!$C$6:$C$1005=B160)*Gifts!$Q$6:$Q$1005)*1E9)))</f>
        <v/>
      </c>
      <c r="G160" s="26">
        <f>IF(OR(B160="",N(J160)=0),"",SUMPRODUCT(MAX((Gifts!$C$6:$C$1005=B160)*Gifts!$Q$6:$Q$1005*Gifts!$M$6:$M$1005)))</f>
        <v/>
      </c>
      <c r="H160" s="27">
        <f>IF(B160="","",SUMIFS(Gifts!$D$6:$D$1005,Gifts!$C$6:$C$1005,B160,Gifts!$K$6:$K$1005,Settings!$C$7,Gifts!$D$6:$D$1005,"&gt;0"))</f>
        <v/>
      </c>
      <c r="I160" s="28">
        <f>IF(B160="","",SUMIFS(Gifts!$D$6:$D$1005,Gifts!$C$6:$C$1005,B160,Gifts!$D$6:$D$1005,"&gt;0",Gifts!$M$6:$M$1005,"&gt;0"))</f>
        <v/>
      </c>
      <c r="J160" s="18">
        <f>IF(B160="","",SUMIFS(Gifts!$Q$6:$Q$1005,Gifts!$C$6:$C$1005,B160))</f>
        <v/>
      </c>
      <c r="K160" s="29">
        <f>IF(B160="","",IF(N(J160)=0,"No gifts yet",IF(AND(N(Settings!$C$9)&gt;0,G160&lt;EDATE(TODAY(),-N(Settings!$C$9))),"Lapsed",IF(YEAR(F160)=N(Settings!$C$7),"New","Active"))))</f>
        <v/>
      </c>
      <c r="L160" s="1" t="n"/>
      <c r="M160">
        <f>IF(OR(B160="",N(H160)&lt;=0),"",ROUND(H160*100,0)*1000+1000-ROW())</f>
        <v/>
      </c>
      <c r="N160">
        <f>IF(B160="","",SUMIFS(Gifts!$Q$6:$Q$1005,Gifts!$C$6:$C$1005,B160,Gifts!$K$6:$K$1005,Settings!$C$7))</f>
        <v/>
      </c>
    </row>
    <row r="161">
      <c r="A161" s="1" t="n"/>
      <c r="B161" s="22" t="n"/>
      <c r="C161" s="24" t="n"/>
      <c r="D161" s="25" t="n"/>
      <c r="E161" s="25" t="n"/>
      <c r="F161" s="26">
        <f>IF(OR(B161="",N(J161)=0),"",SUMPRODUCT(MIN((Gifts!$C$6:$C$1005=B161)*Gifts!$Q$6:$Q$1005*Gifts!$M$6:$M$1005+(1-(Gifts!$C$6:$C$1005=B161)*Gifts!$Q$6:$Q$1005)*1E9)))</f>
        <v/>
      </c>
      <c r="G161" s="26">
        <f>IF(OR(B161="",N(J161)=0),"",SUMPRODUCT(MAX((Gifts!$C$6:$C$1005=B161)*Gifts!$Q$6:$Q$1005*Gifts!$M$6:$M$1005)))</f>
        <v/>
      </c>
      <c r="H161" s="27">
        <f>IF(B161="","",SUMIFS(Gifts!$D$6:$D$1005,Gifts!$C$6:$C$1005,B161,Gifts!$K$6:$K$1005,Settings!$C$7,Gifts!$D$6:$D$1005,"&gt;0"))</f>
        <v/>
      </c>
      <c r="I161" s="28">
        <f>IF(B161="","",SUMIFS(Gifts!$D$6:$D$1005,Gifts!$C$6:$C$1005,B161,Gifts!$D$6:$D$1005,"&gt;0",Gifts!$M$6:$M$1005,"&gt;0"))</f>
        <v/>
      </c>
      <c r="J161" s="18">
        <f>IF(B161="","",SUMIFS(Gifts!$Q$6:$Q$1005,Gifts!$C$6:$C$1005,B161))</f>
        <v/>
      </c>
      <c r="K161" s="29">
        <f>IF(B161="","",IF(N(J161)=0,"No gifts yet",IF(AND(N(Settings!$C$9)&gt;0,G161&lt;EDATE(TODAY(),-N(Settings!$C$9))),"Lapsed",IF(YEAR(F161)=N(Settings!$C$7),"New","Active"))))</f>
        <v/>
      </c>
      <c r="L161" s="1" t="n"/>
      <c r="M161">
        <f>IF(OR(B161="",N(H161)&lt;=0),"",ROUND(H161*100,0)*1000+1000-ROW())</f>
        <v/>
      </c>
      <c r="N161">
        <f>IF(B161="","",SUMIFS(Gifts!$Q$6:$Q$1005,Gifts!$C$6:$C$1005,B161,Gifts!$K$6:$K$1005,Settings!$C$7))</f>
        <v/>
      </c>
    </row>
    <row r="162">
      <c r="A162" s="1" t="n"/>
      <c r="B162" s="22" t="n"/>
      <c r="C162" s="24" t="n"/>
      <c r="D162" s="25" t="n"/>
      <c r="E162" s="25" t="n"/>
      <c r="F162" s="26">
        <f>IF(OR(B162="",N(J162)=0),"",SUMPRODUCT(MIN((Gifts!$C$6:$C$1005=B162)*Gifts!$Q$6:$Q$1005*Gifts!$M$6:$M$1005+(1-(Gifts!$C$6:$C$1005=B162)*Gifts!$Q$6:$Q$1005)*1E9)))</f>
        <v/>
      </c>
      <c r="G162" s="26">
        <f>IF(OR(B162="",N(J162)=0),"",SUMPRODUCT(MAX((Gifts!$C$6:$C$1005=B162)*Gifts!$Q$6:$Q$1005*Gifts!$M$6:$M$1005)))</f>
        <v/>
      </c>
      <c r="H162" s="27">
        <f>IF(B162="","",SUMIFS(Gifts!$D$6:$D$1005,Gifts!$C$6:$C$1005,B162,Gifts!$K$6:$K$1005,Settings!$C$7,Gifts!$D$6:$D$1005,"&gt;0"))</f>
        <v/>
      </c>
      <c r="I162" s="28">
        <f>IF(B162="","",SUMIFS(Gifts!$D$6:$D$1005,Gifts!$C$6:$C$1005,B162,Gifts!$D$6:$D$1005,"&gt;0",Gifts!$M$6:$M$1005,"&gt;0"))</f>
        <v/>
      </c>
      <c r="J162" s="18">
        <f>IF(B162="","",SUMIFS(Gifts!$Q$6:$Q$1005,Gifts!$C$6:$C$1005,B162))</f>
        <v/>
      </c>
      <c r="K162" s="29">
        <f>IF(B162="","",IF(N(J162)=0,"No gifts yet",IF(AND(N(Settings!$C$9)&gt;0,G162&lt;EDATE(TODAY(),-N(Settings!$C$9))),"Lapsed",IF(YEAR(F162)=N(Settings!$C$7),"New","Active"))))</f>
        <v/>
      </c>
      <c r="L162" s="1" t="n"/>
      <c r="M162">
        <f>IF(OR(B162="",N(H162)&lt;=0),"",ROUND(H162*100,0)*1000+1000-ROW())</f>
        <v/>
      </c>
      <c r="N162">
        <f>IF(B162="","",SUMIFS(Gifts!$Q$6:$Q$1005,Gifts!$C$6:$C$1005,B162,Gifts!$K$6:$K$1005,Settings!$C$7))</f>
        <v/>
      </c>
    </row>
    <row r="163">
      <c r="A163" s="1" t="n"/>
      <c r="B163" s="22" t="n"/>
      <c r="C163" s="24" t="n"/>
      <c r="D163" s="25" t="n"/>
      <c r="E163" s="25" t="n"/>
      <c r="F163" s="26">
        <f>IF(OR(B163="",N(J163)=0),"",SUMPRODUCT(MIN((Gifts!$C$6:$C$1005=B163)*Gifts!$Q$6:$Q$1005*Gifts!$M$6:$M$1005+(1-(Gifts!$C$6:$C$1005=B163)*Gifts!$Q$6:$Q$1005)*1E9)))</f>
        <v/>
      </c>
      <c r="G163" s="26">
        <f>IF(OR(B163="",N(J163)=0),"",SUMPRODUCT(MAX((Gifts!$C$6:$C$1005=B163)*Gifts!$Q$6:$Q$1005*Gifts!$M$6:$M$1005)))</f>
        <v/>
      </c>
      <c r="H163" s="27">
        <f>IF(B163="","",SUMIFS(Gifts!$D$6:$D$1005,Gifts!$C$6:$C$1005,B163,Gifts!$K$6:$K$1005,Settings!$C$7,Gifts!$D$6:$D$1005,"&gt;0"))</f>
        <v/>
      </c>
      <c r="I163" s="28">
        <f>IF(B163="","",SUMIFS(Gifts!$D$6:$D$1005,Gifts!$C$6:$C$1005,B163,Gifts!$D$6:$D$1005,"&gt;0",Gifts!$M$6:$M$1005,"&gt;0"))</f>
        <v/>
      </c>
      <c r="J163" s="18">
        <f>IF(B163="","",SUMIFS(Gifts!$Q$6:$Q$1005,Gifts!$C$6:$C$1005,B163))</f>
        <v/>
      </c>
      <c r="K163" s="29">
        <f>IF(B163="","",IF(N(J163)=0,"No gifts yet",IF(AND(N(Settings!$C$9)&gt;0,G163&lt;EDATE(TODAY(),-N(Settings!$C$9))),"Lapsed",IF(YEAR(F163)=N(Settings!$C$7),"New","Active"))))</f>
        <v/>
      </c>
      <c r="L163" s="1" t="n"/>
      <c r="M163">
        <f>IF(OR(B163="",N(H163)&lt;=0),"",ROUND(H163*100,0)*1000+1000-ROW())</f>
        <v/>
      </c>
      <c r="N163">
        <f>IF(B163="","",SUMIFS(Gifts!$Q$6:$Q$1005,Gifts!$C$6:$C$1005,B163,Gifts!$K$6:$K$1005,Settings!$C$7))</f>
        <v/>
      </c>
    </row>
    <row r="164">
      <c r="A164" s="1" t="n"/>
      <c r="B164" s="22" t="n"/>
      <c r="C164" s="24" t="n"/>
      <c r="D164" s="25" t="n"/>
      <c r="E164" s="25" t="n"/>
      <c r="F164" s="26">
        <f>IF(OR(B164="",N(J164)=0),"",SUMPRODUCT(MIN((Gifts!$C$6:$C$1005=B164)*Gifts!$Q$6:$Q$1005*Gifts!$M$6:$M$1005+(1-(Gifts!$C$6:$C$1005=B164)*Gifts!$Q$6:$Q$1005)*1E9)))</f>
        <v/>
      </c>
      <c r="G164" s="26">
        <f>IF(OR(B164="",N(J164)=0),"",SUMPRODUCT(MAX((Gifts!$C$6:$C$1005=B164)*Gifts!$Q$6:$Q$1005*Gifts!$M$6:$M$1005)))</f>
        <v/>
      </c>
      <c r="H164" s="27">
        <f>IF(B164="","",SUMIFS(Gifts!$D$6:$D$1005,Gifts!$C$6:$C$1005,B164,Gifts!$K$6:$K$1005,Settings!$C$7,Gifts!$D$6:$D$1005,"&gt;0"))</f>
        <v/>
      </c>
      <c r="I164" s="28">
        <f>IF(B164="","",SUMIFS(Gifts!$D$6:$D$1005,Gifts!$C$6:$C$1005,B164,Gifts!$D$6:$D$1005,"&gt;0",Gifts!$M$6:$M$1005,"&gt;0"))</f>
        <v/>
      </c>
      <c r="J164" s="18">
        <f>IF(B164="","",SUMIFS(Gifts!$Q$6:$Q$1005,Gifts!$C$6:$C$1005,B164))</f>
        <v/>
      </c>
      <c r="K164" s="29">
        <f>IF(B164="","",IF(N(J164)=0,"No gifts yet",IF(AND(N(Settings!$C$9)&gt;0,G164&lt;EDATE(TODAY(),-N(Settings!$C$9))),"Lapsed",IF(YEAR(F164)=N(Settings!$C$7),"New","Active"))))</f>
        <v/>
      </c>
      <c r="L164" s="1" t="n"/>
      <c r="M164">
        <f>IF(OR(B164="",N(H164)&lt;=0),"",ROUND(H164*100,0)*1000+1000-ROW())</f>
        <v/>
      </c>
      <c r="N164">
        <f>IF(B164="","",SUMIFS(Gifts!$Q$6:$Q$1005,Gifts!$C$6:$C$1005,B164,Gifts!$K$6:$K$1005,Settings!$C$7))</f>
        <v/>
      </c>
    </row>
    <row r="165">
      <c r="A165" s="1" t="n"/>
      <c r="B165" s="22" t="n"/>
      <c r="C165" s="24" t="n"/>
      <c r="D165" s="25" t="n"/>
      <c r="E165" s="25" t="n"/>
      <c r="F165" s="26">
        <f>IF(OR(B165="",N(J165)=0),"",SUMPRODUCT(MIN((Gifts!$C$6:$C$1005=B165)*Gifts!$Q$6:$Q$1005*Gifts!$M$6:$M$1005+(1-(Gifts!$C$6:$C$1005=B165)*Gifts!$Q$6:$Q$1005)*1E9)))</f>
        <v/>
      </c>
      <c r="G165" s="26">
        <f>IF(OR(B165="",N(J165)=0),"",SUMPRODUCT(MAX((Gifts!$C$6:$C$1005=B165)*Gifts!$Q$6:$Q$1005*Gifts!$M$6:$M$1005)))</f>
        <v/>
      </c>
      <c r="H165" s="27">
        <f>IF(B165="","",SUMIFS(Gifts!$D$6:$D$1005,Gifts!$C$6:$C$1005,B165,Gifts!$K$6:$K$1005,Settings!$C$7,Gifts!$D$6:$D$1005,"&gt;0"))</f>
        <v/>
      </c>
      <c r="I165" s="28">
        <f>IF(B165="","",SUMIFS(Gifts!$D$6:$D$1005,Gifts!$C$6:$C$1005,B165,Gifts!$D$6:$D$1005,"&gt;0",Gifts!$M$6:$M$1005,"&gt;0"))</f>
        <v/>
      </c>
      <c r="J165" s="18">
        <f>IF(B165="","",SUMIFS(Gifts!$Q$6:$Q$1005,Gifts!$C$6:$C$1005,B165))</f>
        <v/>
      </c>
      <c r="K165" s="29">
        <f>IF(B165="","",IF(N(J165)=0,"No gifts yet",IF(AND(N(Settings!$C$9)&gt;0,G165&lt;EDATE(TODAY(),-N(Settings!$C$9))),"Lapsed",IF(YEAR(F165)=N(Settings!$C$7),"New","Active"))))</f>
        <v/>
      </c>
      <c r="L165" s="1" t="n"/>
      <c r="M165">
        <f>IF(OR(B165="",N(H165)&lt;=0),"",ROUND(H165*100,0)*1000+1000-ROW())</f>
        <v/>
      </c>
      <c r="N165">
        <f>IF(B165="","",SUMIFS(Gifts!$Q$6:$Q$1005,Gifts!$C$6:$C$1005,B165,Gifts!$K$6:$K$1005,Settings!$C$7))</f>
        <v/>
      </c>
    </row>
    <row r="166">
      <c r="A166" s="1" t="n"/>
      <c r="B166" s="22" t="n"/>
      <c r="C166" s="24" t="n"/>
      <c r="D166" s="25" t="n"/>
      <c r="E166" s="25" t="n"/>
      <c r="F166" s="26">
        <f>IF(OR(B166="",N(J166)=0),"",SUMPRODUCT(MIN((Gifts!$C$6:$C$1005=B166)*Gifts!$Q$6:$Q$1005*Gifts!$M$6:$M$1005+(1-(Gifts!$C$6:$C$1005=B166)*Gifts!$Q$6:$Q$1005)*1E9)))</f>
        <v/>
      </c>
      <c r="G166" s="26">
        <f>IF(OR(B166="",N(J166)=0),"",SUMPRODUCT(MAX((Gifts!$C$6:$C$1005=B166)*Gifts!$Q$6:$Q$1005*Gifts!$M$6:$M$1005)))</f>
        <v/>
      </c>
      <c r="H166" s="27">
        <f>IF(B166="","",SUMIFS(Gifts!$D$6:$D$1005,Gifts!$C$6:$C$1005,B166,Gifts!$K$6:$K$1005,Settings!$C$7,Gifts!$D$6:$D$1005,"&gt;0"))</f>
        <v/>
      </c>
      <c r="I166" s="28">
        <f>IF(B166="","",SUMIFS(Gifts!$D$6:$D$1005,Gifts!$C$6:$C$1005,B166,Gifts!$D$6:$D$1005,"&gt;0",Gifts!$M$6:$M$1005,"&gt;0"))</f>
        <v/>
      </c>
      <c r="J166" s="18">
        <f>IF(B166="","",SUMIFS(Gifts!$Q$6:$Q$1005,Gifts!$C$6:$C$1005,B166))</f>
        <v/>
      </c>
      <c r="K166" s="29">
        <f>IF(B166="","",IF(N(J166)=0,"No gifts yet",IF(AND(N(Settings!$C$9)&gt;0,G166&lt;EDATE(TODAY(),-N(Settings!$C$9))),"Lapsed",IF(YEAR(F166)=N(Settings!$C$7),"New","Active"))))</f>
        <v/>
      </c>
      <c r="L166" s="1" t="n"/>
      <c r="M166">
        <f>IF(OR(B166="",N(H166)&lt;=0),"",ROUND(H166*100,0)*1000+1000-ROW())</f>
        <v/>
      </c>
      <c r="N166">
        <f>IF(B166="","",SUMIFS(Gifts!$Q$6:$Q$1005,Gifts!$C$6:$C$1005,B166,Gifts!$K$6:$K$1005,Settings!$C$7))</f>
        <v/>
      </c>
    </row>
    <row r="167">
      <c r="A167" s="1" t="n"/>
      <c r="B167" s="22" t="n"/>
      <c r="C167" s="24" t="n"/>
      <c r="D167" s="25" t="n"/>
      <c r="E167" s="25" t="n"/>
      <c r="F167" s="26">
        <f>IF(OR(B167="",N(J167)=0),"",SUMPRODUCT(MIN((Gifts!$C$6:$C$1005=B167)*Gifts!$Q$6:$Q$1005*Gifts!$M$6:$M$1005+(1-(Gifts!$C$6:$C$1005=B167)*Gifts!$Q$6:$Q$1005)*1E9)))</f>
        <v/>
      </c>
      <c r="G167" s="26">
        <f>IF(OR(B167="",N(J167)=0),"",SUMPRODUCT(MAX((Gifts!$C$6:$C$1005=B167)*Gifts!$Q$6:$Q$1005*Gifts!$M$6:$M$1005)))</f>
        <v/>
      </c>
      <c r="H167" s="27">
        <f>IF(B167="","",SUMIFS(Gifts!$D$6:$D$1005,Gifts!$C$6:$C$1005,B167,Gifts!$K$6:$K$1005,Settings!$C$7,Gifts!$D$6:$D$1005,"&gt;0"))</f>
        <v/>
      </c>
      <c r="I167" s="28">
        <f>IF(B167="","",SUMIFS(Gifts!$D$6:$D$1005,Gifts!$C$6:$C$1005,B167,Gifts!$D$6:$D$1005,"&gt;0",Gifts!$M$6:$M$1005,"&gt;0"))</f>
        <v/>
      </c>
      <c r="J167" s="18">
        <f>IF(B167="","",SUMIFS(Gifts!$Q$6:$Q$1005,Gifts!$C$6:$C$1005,B167))</f>
        <v/>
      </c>
      <c r="K167" s="29">
        <f>IF(B167="","",IF(N(J167)=0,"No gifts yet",IF(AND(N(Settings!$C$9)&gt;0,G167&lt;EDATE(TODAY(),-N(Settings!$C$9))),"Lapsed",IF(YEAR(F167)=N(Settings!$C$7),"New","Active"))))</f>
        <v/>
      </c>
      <c r="L167" s="1" t="n"/>
      <c r="M167">
        <f>IF(OR(B167="",N(H167)&lt;=0),"",ROUND(H167*100,0)*1000+1000-ROW())</f>
        <v/>
      </c>
      <c r="N167">
        <f>IF(B167="","",SUMIFS(Gifts!$Q$6:$Q$1005,Gifts!$C$6:$C$1005,B167,Gifts!$K$6:$K$1005,Settings!$C$7))</f>
        <v/>
      </c>
    </row>
    <row r="168">
      <c r="A168" s="1" t="n"/>
      <c r="B168" s="22" t="n"/>
      <c r="C168" s="24" t="n"/>
      <c r="D168" s="25" t="n"/>
      <c r="E168" s="25" t="n"/>
      <c r="F168" s="26">
        <f>IF(OR(B168="",N(J168)=0),"",SUMPRODUCT(MIN((Gifts!$C$6:$C$1005=B168)*Gifts!$Q$6:$Q$1005*Gifts!$M$6:$M$1005+(1-(Gifts!$C$6:$C$1005=B168)*Gifts!$Q$6:$Q$1005)*1E9)))</f>
        <v/>
      </c>
      <c r="G168" s="26">
        <f>IF(OR(B168="",N(J168)=0),"",SUMPRODUCT(MAX((Gifts!$C$6:$C$1005=B168)*Gifts!$Q$6:$Q$1005*Gifts!$M$6:$M$1005)))</f>
        <v/>
      </c>
      <c r="H168" s="27">
        <f>IF(B168="","",SUMIFS(Gifts!$D$6:$D$1005,Gifts!$C$6:$C$1005,B168,Gifts!$K$6:$K$1005,Settings!$C$7,Gifts!$D$6:$D$1005,"&gt;0"))</f>
        <v/>
      </c>
      <c r="I168" s="28">
        <f>IF(B168="","",SUMIFS(Gifts!$D$6:$D$1005,Gifts!$C$6:$C$1005,B168,Gifts!$D$6:$D$1005,"&gt;0",Gifts!$M$6:$M$1005,"&gt;0"))</f>
        <v/>
      </c>
      <c r="J168" s="18">
        <f>IF(B168="","",SUMIFS(Gifts!$Q$6:$Q$1005,Gifts!$C$6:$C$1005,B168))</f>
        <v/>
      </c>
      <c r="K168" s="29">
        <f>IF(B168="","",IF(N(J168)=0,"No gifts yet",IF(AND(N(Settings!$C$9)&gt;0,G168&lt;EDATE(TODAY(),-N(Settings!$C$9))),"Lapsed",IF(YEAR(F168)=N(Settings!$C$7),"New","Active"))))</f>
        <v/>
      </c>
      <c r="L168" s="1" t="n"/>
      <c r="M168">
        <f>IF(OR(B168="",N(H168)&lt;=0),"",ROUND(H168*100,0)*1000+1000-ROW())</f>
        <v/>
      </c>
      <c r="N168">
        <f>IF(B168="","",SUMIFS(Gifts!$Q$6:$Q$1005,Gifts!$C$6:$C$1005,B168,Gifts!$K$6:$K$1005,Settings!$C$7))</f>
        <v/>
      </c>
    </row>
    <row r="169">
      <c r="A169" s="1" t="n"/>
      <c r="B169" s="22" t="n"/>
      <c r="C169" s="24" t="n"/>
      <c r="D169" s="25" t="n"/>
      <c r="E169" s="25" t="n"/>
      <c r="F169" s="26">
        <f>IF(OR(B169="",N(J169)=0),"",SUMPRODUCT(MIN((Gifts!$C$6:$C$1005=B169)*Gifts!$Q$6:$Q$1005*Gifts!$M$6:$M$1005+(1-(Gifts!$C$6:$C$1005=B169)*Gifts!$Q$6:$Q$1005)*1E9)))</f>
        <v/>
      </c>
      <c r="G169" s="26">
        <f>IF(OR(B169="",N(J169)=0),"",SUMPRODUCT(MAX((Gifts!$C$6:$C$1005=B169)*Gifts!$Q$6:$Q$1005*Gifts!$M$6:$M$1005)))</f>
        <v/>
      </c>
      <c r="H169" s="27">
        <f>IF(B169="","",SUMIFS(Gifts!$D$6:$D$1005,Gifts!$C$6:$C$1005,B169,Gifts!$K$6:$K$1005,Settings!$C$7,Gifts!$D$6:$D$1005,"&gt;0"))</f>
        <v/>
      </c>
      <c r="I169" s="28">
        <f>IF(B169="","",SUMIFS(Gifts!$D$6:$D$1005,Gifts!$C$6:$C$1005,B169,Gifts!$D$6:$D$1005,"&gt;0",Gifts!$M$6:$M$1005,"&gt;0"))</f>
        <v/>
      </c>
      <c r="J169" s="18">
        <f>IF(B169="","",SUMIFS(Gifts!$Q$6:$Q$1005,Gifts!$C$6:$C$1005,B169))</f>
        <v/>
      </c>
      <c r="K169" s="29">
        <f>IF(B169="","",IF(N(J169)=0,"No gifts yet",IF(AND(N(Settings!$C$9)&gt;0,G169&lt;EDATE(TODAY(),-N(Settings!$C$9))),"Lapsed",IF(YEAR(F169)=N(Settings!$C$7),"New","Active"))))</f>
        <v/>
      </c>
      <c r="L169" s="1" t="n"/>
      <c r="M169">
        <f>IF(OR(B169="",N(H169)&lt;=0),"",ROUND(H169*100,0)*1000+1000-ROW())</f>
        <v/>
      </c>
      <c r="N169">
        <f>IF(B169="","",SUMIFS(Gifts!$Q$6:$Q$1005,Gifts!$C$6:$C$1005,B169,Gifts!$K$6:$K$1005,Settings!$C$7))</f>
        <v/>
      </c>
    </row>
    <row r="170">
      <c r="A170" s="1" t="n"/>
      <c r="B170" s="22" t="n"/>
      <c r="C170" s="24" t="n"/>
      <c r="D170" s="25" t="n"/>
      <c r="E170" s="25" t="n"/>
      <c r="F170" s="26">
        <f>IF(OR(B170="",N(J170)=0),"",SUMPRODUCT(MIN((Gifts!$C$6:$C$1005=B170)*Gifts!$Q$6:$Q$1005*Gifts!$M$6:$M$1005+(1-(Gifts!$C$6:$C$1005=B170)*Gifts!$Q$6:$Q$1005)*1E9)))</f>
        <v/>
      </c>
      <c r="G170" s="26">
        <f>IF(OR(B170="",N(J170)=0),"",SUMPRODUCT(MAX((Gifts!$C$6:$C$1005=B170)*Gifts!$Q$6:$Q$1005*Gifts!$M$6:$M$1005)))</f>
        <v/>
      </c>
      <c r="H170" s="27">
        <f>IF(B170="","",SUMIFS(Gifts!$D$6:$D$1005,Gifts!$C$6:$C$1005,B170,Gifts!$K$6:$K$1005,Settings!$C$7,Gifts!$D$6:$D$1005,"&gt;0"))</f>
        <v/>
      </c>
      <c r="I170" s="28">
        <f>IF(B170="","",SUMIFS(Gifts!$D$6:$D$1005,Gifts!$C$6:$C$1005,B170,Gifts!$D$6:$D$1005,"&gt;0",Gifts!$M$6:$M$1005,"&gt;0"))</f>
        <v/>
      </c>
      <c r="J170" s="18">
        <f>IF(B170="","",SUMIFS(Gifts!$Q$6:$Q$1005,Gifts!$C$6:$C$1005,B170))</f>
        <v/>
      </c>
      <c r="K170" s="29">
        <f>IF(B170="","",IF(N(J170)=0,"No gifts yet",IF(AND(N(Settings!$C$9)&gt;0,G170&lt;EDATE(TODAY(),-N(Settings!$C$9))),"Lapsed",IF(YEAR(F170)=N(Settings!$C$7),"New","Active"))))</f>
        <v/>
      </c>
      <c r="L170" s="1" t="n"/>
      <c r="M170">
        <f>IF(OR(B170="",N(H170)&lt;=0),"",ROUND(H170*100,0)*1000+1000-ROW())</f>
        <v/>
      </c>
      <c r="N170">
        <f>IF(B170="","",SUMIFS(Gifts!$Q$6:$Q$1005,Gifts!$C$6:$C$1005,B170,Gifts!$K$6:$K$1005,Settings!$C$7))</f>
        <v/>
      </c>
    </row>
    <row r="171">
      <c r="A171" s="1" t="n"/>
      <c r="B171" s="22" t="n"/>
      <c r="C171" s="24" t="n"/>
      <c r="D171" s="25" t="n"/>
      <c r="E171" s="25" t="n"/>
      <c r="F171" s="26">
        <f>IF(OR(B171="",N(J171)=0),"",SUMPRODUCT(MIN((Gifts!$C$6:$C$1005=B171)*Gifts!$Q$6:$Q$1005*Gifts!$M$6:$M$1005+(1-(Gifts!$C$6:$C$1005=B171)*Gifts!$Q$6:$Q$1005)*1E9)))</f>
        <v/>
      </c>
      <c r="G171" s="26">
        <f>IF(OR(B171="",N(J171)=0),"",SUMPRODUCT(MAX((Gifts!$C$6:$C$1005=B171)*Gifts!$Q$6:$Q$1005*Gifts!$M$6:$M$1005)))</f>
        <v/>
      </c>
      <c r="H171" s="27">
        <f>IF(B171="","",SUMIFS(Gifts!$D$6:$D$1005,Gifts!$C$6:$C$1005,B171,Gifts!$K$6:$K$1005,Settings!$C$7,Gifts!$D$6:$D$1005,"&gt;0"))</f>
        <v/>
      </c>
      <c r="I171" s="28">
        <f>IF(B171="","",SUMIFS(Gifts!$D$6:$D$1005,Gifts!$C$6:$C$1005,B171,Gifts!$D$6:$D$1005,"&gt;0",Gifts!$M$6:$M$1005,"&gt;0"))</f>
        <v/>
      </c>
      <c r="J171" s="18">
        <f>IF(B171="","",SUMIFS(Gifts!$Q$6:$Q$1005,Gifts!$C$6:$C$1005,B171))</f>
        <v/>
      </c>
      <c r="K171" s="29">
        <f>IF(B171="","",IF(N(J171)=0,"No gifts yet",IF(AND(N(Settings!$C$9)&gt;0,G171&lt;EDATE(TODAY(),-N(Settings!$C$9))),"Lapsed",IF(YEAR(F171)=N(Settings!$C$7),"New","Active"))))</f>
        <v/>
      </c>
      <c r="L171" s="1" t="n"/>
      <c r="M171">
        <f>IF(OR(B171="",N(H171)&lt;=0),"",ROUND(H171*100,0)*1000+1000-ROW())</f>
        <v/>
      </c>
      <c r="N171">
        <f>IF(B171="","",SUMIFS(Gifts!$Q$6:$Q$1005,Gifts!$C$6:$C$1005,B171,Gifts!$K$6:$K$1005,Settings!$C$7))</f>
        <v/>
      </c>
    </row>
    <row r="172">
      <c r="A172" s="1" t="n"/>
      <c r="B172" s="22" t="n"/>
      <c r="C172" s="24" t="n"/>
      <c r="D172" s="25" t="n"/>
      <c r="E172" s="25" t="n"/>
      <c r="F172" s="26">
        <f>IF(OR(B172="",N(J172)=0),"",SUMPRODUCT(MIN((Gifts!$C$6:$C$1005=B172)*Gifts!$Q$6:$Q$1005*Gifts!$M$6:$M$1005+(1-(Gifts!$C$6:$C$1005=B172)*Gifts!$Q$6:$Q$1005)*1E9)))</f>
        <v/>
      </c>
      <c r="G172" s="26">
        <f>IF(OR(B172="",N(J172)=0),"",SUMPRODUCT(MAX((Gifts!$C$6:$C$1005=B172)*Gifts!$Q$6:$Q$1005*Gifts!$M$6:$M$1005)))</f>
        <v/>
      </c>
      <c r="H172" s="27">
        <f>IF(B172="","",SUMIFS(Gifts!$D$6:$D$1005,Gifts!$C$6:$C$1005,B172,Gifts!$K$6:$K$1005,Settings!$C$7,Gifts!$D$6:$D$1005,"&gt;0"))</f>
        <v/>
      </c>
      <c r="I172" s="28">
        <f>IF(B172="","",SUMIFS(Gifts!$D$6:$D$1005,Gifts!$C$6:$C$1005,B172,Gifts!$D$6:$D$1005,"&gt;0",Gifts!$M$6:$M$1005,"&gt;0"))</f>
        <v/>
      </c>
      <c r="J172" s="18">
        <f>IF(B172="","",SUMIFS(Gifts!$Q$6:$Q$1005,Gifts!$C$6:$C$1005,B172))</f>
        <v/>
      </c>
      <c r="K172" s="29">
        <f>IF(B172="","",IF(N(J172)=0,"No gifts yet",IF(AND(N(Settings!$C$9)&gt;0,G172&lt;EDATE(TODAY(),-N(Settings!$C$9))),"Lapsed",IF(YEAR(F172)=N(Settings!$C$7),"New","Active"))))</f>
        <v/>
      </c>
      <c r="L172" s="1" t="n"/>
      <c r="M172">
        <f>IF(OR(B172="",N(H172)&lt;=0),"",ROUND(H172*100,0)*1000+1000-ROW())</f>
        <v/>
      </c>
      <c r="N172">
        <f>IF(B172="","",SUMIFS(Gifts!$Q$6:$Q$1005,Gifts!$C$6:$C$1005,B172,Gifts!$K$6:$K$1005,Settings!$C$7))</f>
        <v/>
      </c>
    </row>
    <row r="173">
      <c r="A173" s="1" t="n"/>
      <c r="B173" s="22" t="n"/>
      <c r="C173" s="24" t="n"/>
      <c r="D173" s="25" t="n"/>
      <c r="E173" s="25" t="n"/>
      <c r="F173" s="26">
        <f>IF(OR(B173="",N(J173)=0),"",SUMPRODUCT(MIN((Gifts!$C$6:$C$1005=B173)*Gifts!$Q$6:$Q$1005*Gifts!$M$6:$M$1005+(1-(Gifts!$C$6:$C$1005=B173)*Gifts!$Q$6:$Q$1005)*1E9)))</f>
        <v/>
      </c>
      <c r="G173" s="26">
        <f>IF(OR(B173="",N(J173)=0),"",SUMPRODUCT(MAX((Gifts!$C$6:$C$1005=B173)*Gifts!$Q$6:$Q$1005*Gifts!$M$6:$M$1005)))</f>
        <v/>
      </c>
      <c r="H173" s="27">
        <f>IF(B173="","",SUMIFS(Gifts!$D$6:$D$1005,Gifts!$C$6:$C$1005,B173,Gifts!$K$6:$K$1005,Settings!$C$7,Gifts!$D$6:$D$1005,"&gt;0"))</f>
        <v/>
      </c>
      <c r="I173" s="28">
        <f>IF(B173="","",SUMIFS(Gifts!$D$6:$D$1005,Gifts!$C$6:$C$1005,B173,Gifts!$D$6:$D$1005,"&gt;0",Gifts!$M$6:$M$1005,"&gt;0"))</f>
        <v/>
      </c>
      <c r="J173" s="18">
        <f>IF(B173="","",SUMIFS(Gifts!$Q$6:$Q$1005,Gifts!$C$6:$C$1005,B173))</f>
        <v/>
      </c>
      <c r="K173" s="29">
        <f>IF(B173="","",IF(N(J173)=0,"No gifts yet",IF(AND(N(Settings!$C$9)&gt;0,G173&lt;EDATE(TODAY(),-N(Settings!$C$9))),"Lapsed",IF(YEAR(F173)=N(Settings!$C$7),"New","Active"))))</f>
        <v/>
      </c>
      <c r="L173" s="1" t="n"/>
      <c r="M173">
        <f>IF(OR(B173="",N(H173)&lt;=0),"",ROUND(H173*100,0)*1000+1000-ROW())</f>
        <v/>
      </c>
      <c r="N173">
        <f>IF(B173="","",SUMIFS(Gifts!$Q$6:$Q$1005,Gifts!$C$6:$C$1005,B173,Gifts!$K$6:$K$1005,Settings!$C$7))</f>
        <v/>
      </c>
    </row>
    <row r="174">
      <c r="A174" s="1" t="n"/>
      <c r="B174" s="22" t="n"/>
      <c r="C174" s="24" t="n"/>
      <c r="D174" s="25" t="n"/>
      <c r="E174" s="25" t="n"/>
      <c r="F174" s="26">
        <f>IF(OR(B174="",N(J174)=0),"",SUMPRODUCT(MIN((Gifts!$C$6:$C$1005=B174)*Gifts!$Q$6:$Q$1005*Gifts!$M$6:$M$1005+(1-(Gifts!$C$6:$C$1005=B174)*Gifts!$Q$6:$Q$1005)*1E9)))</f>
        <v/>
      </c>
      <c r="G174" s="26">
        <f>IF(OR(B174="",N(J174)=0),"",SUMPRODUCT(MAX((Gifts!$C$6:$C$1005=B174)*Gifts!$Q$6:$Q$1005*Gifts!$M$6:$M$1005)))</f>
        <v/>
      </c>
      <c r="H174" s="27">
        <f>IF(B174="","",SUMIFS(Gifts!$D$6:$D$1005,Gifts!$C$6:$C$1005,B174,Gifts!$K$6:$K$1005,Settings!$C$7,Gifts!$D$6:$D$1005,"&gt;0"))</f>
        <v/>
      </c>
      <c r="I174" s="28">
        <f>IF(B174="","",SUMIFS(Gifts!$D$6:$D$1005,Gifts!$C$6:$C$1005,B174,Gifts!$D$6:$D$1005,"&gt;0",Gifts!$M$6:$M$1005,"&gt;0"))</f>
        <v/>
      </c>
      <c r="J174" s="18">
        <f>IF(B174="","",SUMIFS(Gifts!$Q$6:$Q$1005,Gifts!$C$6:$C$1005,B174))</f>
        <v/>
      </c>
      <c r="K174" s="29">
        <f>IF(B174="","",IF(N(J174)=0,"No gifts yet",IF(AND(N(Settings!$C$9)&gt;0,G174&lt;EDATE(TODAY(),-N(Settings!$C$9))),"Lapsed",IF(YEAR(F174)=N(Settings!$C$7),"New","Active"))))</f>
        <v/>
      </c>
      <c r="L174" s="1" t="n"/>
      <c r="M174">
        <f>IF(OR(B174="",N(H174)&lt;=0),"",ROUND(H174*100,0)*1000+1000-ROW())</f>
        <v/>
      </c>
      <c r="N174">
        <f>IF(B174="","",SUMIFS(Gifts!$Q$6:$Q$1005,Gifts!$C$6:$C$1005,B174,Gifts!$K$6:$K$1005,Settings!$C$7))</f>
        <v/>
      </c>
    </row>
    <row r="175">
      <c r="A175" s="1" t="n"/>
      <c r="B175" s="22" t="n"/>
      <c r="C175" s="24" t="n"/>
      <c r="D175" s="25" t="n"/>
      <c r="E175" s="25" t="n"/>
      <c r="F175" s="26">
        <f>IF(OR(B175="",N(J175)=0),"",SUMPRODUCT(MIN((Gifts!$C$6:$C$1005=B175)*Gifts!$Q$6:$Q$1005*Gifts!$M$6:$M$1005+(1-(Gifts!$C$6:$C$1005=B175)*Gifts!$Q$6:$Q$1005)*1E9)))</f>
        <v/>
      </c>
      <c r="G175" s="26">
        <f>IF(OR(B175="",N(J175)=0),"",SUMPRODUCT(MAX((Gifts!$C$6:$C$1005=B175)*Gifts!$Q$6:$Q$1005*Gifts!$M$6:$M$1005)))</f>
        <v/>
      </c>
      <c r="H175" s="27">
        <f>IF(B175="","",SUMIFS(Gifts!$D$6:$D$1005,Gifts!$C$6:$C$1005,B175,Gifts!$K$6:$K$1005,Settings!$C$7,Gifts!$D$6:$D$1005,"&gt;0"))</f>
        <v/>
      </c>
      <c r="I175" s="28">
        <f>IF(B175="","",SUMIFS(Gifts!$D$6:$D$1005,Gifts!$C$6:$C$1005,B175,Gifts!$D$6:$D$1005,"&gt;0",Gifts!$M$6:$M$1005,"&gt;0"))</f>
        <v/>
      </c>
      <c r="J175" s="18">
        <f>IF(B175="","",SUMIFS(Gifts!$Q$6:$Q$1005,Gifts!$C$6:$C$1005,B175))</f>
        <v/>
      </c>
      <c r="K175" s="29">
        <f>IF(B175="","",IF(N(J175)=0,"No gifts yet",IF(AND(N(Settings!$C$9)&gt;0,G175&lt;EDATE(TODAY(),-N(Settings!$C$9))),"Lapsed",IF(YEAR(F175)=N(Settings!$C$7),"New","Active"))))</f>
        <v/>
      </c>
      <c r="L175" s="1" t="n"/>
      <c r="M175">
        <f>IF(OR(B175="",N(H175)&lt;=0),"",ROUND(H175*100,0)*1000+1000-ROW())</f>
        <v/>
      </c>
      <c r="N175">
        <f>IF(B175="","",SUMIFS(Gifts!$Q$6:$Q$1005,Gifts!$C$6:$C$1005,B175,Gifts!$K$6:$K$1005,Settings!$C$7))</f>
        <v/>
      </c>
    </row>
    <row r="176">
      <c r="A176" s="1" t="n"/>
      <c r="B176" s="22" t="n"/>
      <c r="C176" s="24" t="n"/>
      <c r="D176" s="25" t="n"/>
      <c r="E176" s="25" t="n"/>
      <c r="F176" s="26">
        <f>IF(OR(B176="",N(J176)=0),"",SUMPRODUCT(MIN((Gifts!$C$6:$C$1005=B176)*Gifts!$Q$6:$Q$1005*Gifts!$M$6:$M$1005+(1-(Gifts!$C$6:$C$1005=B176)*Gifts!$Q$6:$Q$1005)*1E9)))</f>
        <v/>
      </c>
      <c r="G176" s="26">
        <f>IF(OR(B176="",N(J176)=0),"",SUMPRODUCT(MAX((Gifts!$C$6:$C$1005=B176)*Gifts!$Q$6:$Q$1005*Gifts!$M$6:$M$1005)))</f>
        <v/>
      </c>
      <c r="H176" s="27">
        <f>IF(B176="","",SUMIFS(Gifts!$D$6:$D$1005,Gifts!$C$6:$C$1005,B176,Gifts!$K$6:$K$1005,Settings!$C$7,Gifts!$D$6:$D$1005,"&gt;0"))</f>
        <v/>
      </c>
      <c r="I176" s="28">
        <f>IF(B176="","",SUMIFS(Gifts!$D$6:$D$1005,Gifts!$C$6:$C$1005,B176,Gifts!$D$6:$D$1005,"&gt;0",Gifts!$M$6:$M$1005,"&gt;0"))</f>
        <v/>
      </c>
      <c r="J176" s="18">
        <f>IF(B176="","",SUMIFS(Gifts!$Q$6:$Q$1005,Gifts!$C$6:$C$1005,B176))</f>
        <v/>
      </c>
      <c r="K176" s="29">
        <f>IF(B176="","",IF(N(J176)=0,"No gifts yet",IF(AND(N(Settings!$C$9)&gt;0,G176&lt;EDATE(TODAY(),-N(Settings!$C$9))),"Lapsed",IF(YEAR(F176)=N(Settings!$C$7),"New","Active"))))</f>
        <v/>
      </c>
      <c r="L176" s="1" t="n"/>
      <c r="M176">
        <f>IF(OR(B176="",N(H176)&lt;=0),"",ROUND(H176*100,0)*1000+1000-ROW())</f>
        <v/>
      </c>
      <c r="N176">
        <f>IF(B176="","",SUMIFS(Gifts!$Q$6:$Q$1005,Gifts!$C$6:$C$1005,B176,Gifts!$K$6:$K$1005,Settings!$C$7))</f>
        <v/>
      </c>
    </row>
    <row r="177">
      <c r="A177" s="1" t="n"/>
      <c r="B177" s="22" t="n"/>
      <c r="C177" s="24" t="n"/>
      <c r="D177" s="25" t="n"/>
      <c r="E177" s="25" t="n"/>
      <c r="F177" s="26">
        <f>IF(OR(B177="",N(J177)=0),"",SUMPRODUCT(MIN((Gifts!$C$6:$C$1005=B177)*Gifts!$Q$6:$Q$1005*Gifts!$M$6:$M$1005+(1-(Gifts!$C$6:$C$1005=B177)*Gifts!$Q$6:$Q$1005)*1E9)))</f>
        <v/>
      </c>
      <c r="G177" s="26">
        <f>IF(OR(B177="",N(J177)=0),"",SUMPRODUCT(MAX((Gifts!$C$6:$C$1005=B177)*Gifts!$Q$6:$Q$1005*Gifts!$M$6:$M$1005)))</f>
        <v/>
      </c>
      <c r="H177" s="27">
        <f>IF(B177="","",SUMIFS(Gifts!$D$6:$D$1005,Gifts!$C$6:$C$1005,B177,Gifts!$K$6:$K$1005,Settings!$C$7,Gifts!$D$6:$D$1005,"&gt;0"))</f>
        <v/>
      </c>
      <c r="I177" s="28">
        <f>IF(B177="","",SUMIFS(Gifts!$D$6:$D$1005,Gifts!$C$6:$C$1005,B177,Gifts!$D$6:$D$1005,"&gt;0",Gifts!$M$6:$M$1005,"&gt;0"))</f>
        <v/>
      </c>
      <c r="J177" s="18">
        <f>IF(B177="","",SUMIFS(Gifts!$Q$6:$Q$1005,Gifts!$C$6:$C$1005,B177))</f>
        <v/>
      </c>
      <c r="K177" s="29">
        <f>IF(B177="","",IF(N(J177)=0,"No gifts yet",IF(AND(N(Settings!$C$9)&gt;0,G177&lt;EDATE(TODAY(),-N(Settings!$C$9))),"Lapsed",IF(YEAR(F177)=N(Settings!$C$7),"New","Active"))))</f>
        <v/>
      </c>
      <c r="L177" s="1" t="n"/>
      <c r="M177">
        <f>IF(OR(B177="",N(H177)&lt;=0),"",ROUND(H177*100,0)*1000+1000-ROW())</f>
        <v/>
      </c>
      <c r="N177">
        <f>IF(B177="","",SUMIFS(Gifts!$Q$6:$Q$1005,Gifts!$C$6:$C$1005,B177,Gifts!$K$6:$K$1005,Settings!$C$7))</f>
        <v/>
      </c>
    </row>
    <row r="178">
      <c r="A178" s="1" t="n"/>
      <c r="B178" s="22" t="n"/>
      <c r="C178" s="24" t="n"/>
      <c r="D178" s="25" t="n"/>
      <c r="E178" s="25" t="n"/>
      <c r="F178" s="26">
        <f>IF(OR(B178="",N(J178)=0),"",SUMPRODUCT(MIN((Gifts!$C$6:$C$1005=B178)*Gifts!$Q$6:$Q$1005*Gifts!$M$6:$M$1005+(1-(Gifts!$C$6:$C$1005=B178)*Gifts!$Q$6:$Q$1005)*1E9)))</f>
        <v/>
      </c>
      <c r="G178" s="26">
        <f>IF(OR(B178="",N(J178)=0),"",SUMPRODUCT(MAX((Gifts!$C$6:$C$1005=B178)*Gifts!$Q$6:$Q$1005*Gifts!$M$6:$M$1005)))</f>
        <v/>
      </c>
      <c r="H178" s="27">
        <f>IF(B178="","",SUMIFS(Gifts!$D$6:$D$1005,Gifts!$C$6:$C$1005,B178,Gifts!$K$6:$K$1005,Settings!$C$7,Gifts!$D$6:$D$1005,"&gt;0"))</f>
        <v/>
      </c>
      <c r="I178" s="28">
        <f>IF(B178="","",SUMIFS(Gifts!$D$6:$D$1005,Gifts!$C$6:$C$1005,B178,Gifts!$D$6:$D$1005,"&gt;0",Gifts!$M$6:$M$1005,"&gt;0"))</f>
        <v/>
      </c>
      <c r="J178" s="18">
        <f>IF(B178="","",SUMIFS(Gifts!$Q$6:$Q$1005,Gifts!$C$6:$C$1005,B178))</f>
        <v/>
      </c>
      <c r="K178" s="29">
        <f>IF(B178="","",IF(N(J178)=0,"No gifts yet",IF(AND(N(Settings!$C$9)&gt;0,G178&lt;EDATE(TODAY(),-N(Settings!$C$9))),"Lapsed",IF(YEAR(F178)=N(Settings!$C$7),"New","Active"))))</f>
        <v/>
      </c>
      <c r="L178" s="1" t="n"/>
      <c r="M178">
        <f>IF(OR(B178="",N(H178)&lt;=0),"",ROUND(H178*100,0)*1000+1000-ROW())</f>
        <v/>
      </c>
      <c r="N178">
        <f>IF(B178="","",SUMIFS(Gifts!$Q$6:$Q$1005,Gifts!$C$6:$C$1005,B178,Gifts!$K$6:$K$1005,Settings!$C$7))</f>
        <v/>
      </c>
    </row>
    <row r="179">
      <c r="A179" s="1" t="n"/>
      <c r="B179" s="22" t="n"/>
      <c r="C179" s="24" t="n"/>
      <c r="D179" s="25" t="n"/>
      <c r="E179" s="25" t="n"/>
      <c r="F179" s="26">
        <f>IF(OR(B179="",N(J179)=0),"",SUMPRODUCT(MIN((Gifts!$C$6:$C$1005=B179)*Gifts!$Q$6:$Q$1005*Gifts!$M$6:$M$1005+(1-(Gifts!$C$6:$C$1005=B179)*Gifts!$Q$6:$Q$1005)*1E9)))</f>
        <v/>
      </c>
      <c r="G179" s="26">
        <f>IF(OR(B179="",N(J179)=0),"",SUMPRODUCT(MAX((Gifts!$C$6:$C$1005=B179)*Gifts!$Q$6:$Q$1005*Gifts!$M$6:$M$1005)))</f>
        <v/>
      </c>
      <c r="H179" s="27">
        <f>IF(B179="","",SUMIFS(Gifts!$D$6:$D$1005,Gifts!$C$6:$C$1005,B179,Gifts!$K$6:$K$1005,Settings!$C$7,Gifts!$D$6:$D$1005,"&gt;0"))</f>
        <v/>
      </c>
      <c r="I179" s="28">
        <f>IF(B179="","",SUMIFS(Gifts!$D$6:$D$1005,Gifts!$C$6:$C$1005,B179,Gifts!$D$6:$D$1005,"&gt;0",Gifts!$M$6:$M$1005,"&gt;0"))</f>
        <v/>
      </c>
      <c r="J179" s="18">
        <f>IF(B179="","",SUMIFS(Gifts!$Q$6:$Q$1005,Gifts!$C$6:$C$1005,B179))</f>
        <v/>
      </c>
      <c r="K179" s="29">
        <f>IF(B179="","",IF(N(J179)=0,"No gifts yet",IF(AND(N(Settings!$C$9)&gt;0,G179&lt;EDATE(TODAY(),-N(Settings!$C$9))),"Lapsed",IF(YEAR(F179)=N(Settings!$C$7),"New","Active"))))</f>
        <v/>
      </c>
      <c r="L179" s="1" t="n"/>
      <c r="M179">
        <f>IF(OR(B179="",N(H179)&lt;=0),"",ROUND(H179*100,0)*1000+1000-ROW())</f>
        <v/>
      </c>
      <c r="N179">
        <f>IF(B179="","",SUMIFS(Gifts!$Q$6:$Q$1005,Gifts!$C$6:$C$1005,B179,Gifts!$K$6:$K$1005,Settings!$C$7))</f>
        <v/>
      </c>
    </row>
    <row r="180">
      <c r="A180" s="1" t="n"/>
      <c r="B180" s="22" t="n"/>
      <c r="C180" s="24" t="n"/>
      <c r="D180" s="25" t="n"/>
      <c r="E180" s="25" t="n"/>
      <c r="F180" s="26">
        <f>IF(OR(B180="",N(J180)=0),"",SUMPRODUCT(MIN((Gifts!$C$6:$C$1005=B180)*Gifts!$Q$6:$Q$1005*Gifts!$M$6:$M$1005+(1-(Gifts!$C$6:$C$1005=B180)*Gifts!$Q$6:$Q$1005)*1E9)))</f>
        <v/>
      </c>
      <c r="G180" s="26">
        <f>IF(OR(B180="",N(J180)=0),"",SUMPRODUCT(MAX((Gifts!$C$6:$C$1005=B180)*Gifts!$Q$6:$Q$1005*Gifts!$M$6:$M$1005)))</f>
        <v/>
      </c>
      <c r="H180" s="27">
        <f>IF(B180="","",SUMIFS(Gifts!$D$6:$D$1005,Gifts!$C$6:$C$1005,B180,Gifts!$K$6:$K$1005,Settings!$C$7,Gifts!$D$6:$D$1005,"&gt;0"))</f>
        <v/>
      </c>
      <c r="I180" s="28">
        <f>IF(B180="","",SUMIFS(Gifts!$D$6:$D$1005,Gifts!$C$6:$C$1005,B180,Gifts!$D$6:$D$1005,"&gt;0",Gifts!$M$6:$M$1005,"&gt;0"))</f>
        <v/>
      </c>
      <c r="J180" s="18">
        <f>IF(B180="","",SUMIFS(Gifts!$Q$6:$Q$1005,Gifts!$C$6:$C$1005,B180))</f>
        <v/>
      </c>
      <c r="K180" s="29">
        <f>IF(B180="","",IF(N(J180)=0,"No gifts yet",IF(AND(N(Settings!$C$9)&gt;0,G180&lt;EDATE(TODAY(),-N(Settings!$C$9))),"Lapsed",IF(YEAR(F180)=N(Settings!$C$7),"New","Active"))))</f>
        <v/>
      </c>
      <c r="L180" s="1" t="n"/>
      <c r="M180">
        <f>IF(OR(B180="",N(H180)&lt;=0),"",ROUND(H180*100,0)*1000+1000-ROW())</f>
        <v/>
      </c>
      <c r="N180">
        <f>IF(B180="","",SUMIFS(Gifts!$Q$6:$Q$1005,Gifts!$C$6:$C$1005,B180,Gifts!$K$6:$K$1005,Settings!$C$7))</f>
        <v/>
      </c>
    </row>
    <row r="181">
      <c r="A181" s="1" t="n"/>
      <c r="B181" s="22" t="n"/>
      <c r="C181" s="24" t="n"/>
      <c r="D181" s="25" t="n"/>
      <c r="E181" s="25" t="n"/>
      <c r="F181" s="26">
        <f>IF(OR(B181="",N(J181)=0),"",SUMPRODUCT(MIN((Gifts!$C$6:$C$1005=B181)*Gifts!$Q$6:$Q$1005*Gifts!$M$6:$M$1005+(1-(Gifts!$C$6:$C$1005=B181)*Gifts!$Q$6:$Q$1005)*1E9)))</f>
        <v/>
      </c>
      <c r="G181" s="26">
        <f>IF(OR(B181="",N(J181)=0),"",SUMPRODUCT(MAX((Gifts!$C$6:$C$1005=B181)*Gifts!$Q$6:$Q$1005*Gifts!$M$6:$M$1005)))</f>
        <v/>
      </c>
      <c r="H181" s="27">
        <f>IF(B181="","",SUMIFS(Gifts!$D$6:$D$1005,Gifts!$C$6:$C$1005,B181,Gifts!$K$6:$K$1005,Settings!$C$7,Gifts!$D$6:$D$1005,"&gt;0"))</f>
        <v/>
      </c>
      <c r="I181" s="28">
        <f>IF(B181="","",SUMIFS(Gifts!$D$6:$D$1005,Gifts!$C$6:$C$1005,B181,Gifts!$D$6:$D$1005,"&gt;0",Gifts!$M$6:$M$1005,"&gt;0"))</f>
        <v/>
      </c>
      <c r="J181" s="18">
        <f>IF(B181="","",SUMIFS(Gifts!$Q$6:$Q$1005,Gifts!$C$6:$C$1005,B181))</f>
        <v/>
      </c>
      <c r="K181" s="29">
        <f>IF(B181="","",IF(N(J181)=0,"No gifts yet",IF(AND(N(Settings!$C$9)&gt;0,G181&lt;EDATE(TODAY(),-N(Settings!$C$9))),"Lapsed",IF(YEAR(F181)=N(Settings!$C$7),"New","Active"))))</f>
        <v/>
      </c>
      <c r="L181" s="1" t="n"/>
      <c r="M181">
        <f>IF(OR(B181="",N(H181)&lt;=0),"",ROUND(H181*100,0)*1000+1000-ROW())</f>
        <v/>
      </c>
      <c r="N181">
        <f>IF(B181="","",SUMIFS(Gifts!$Q$6:$Q$1005,Gifts!$C$6:$C$1005,B181,Gifts!$K$6:$K$1005,Settings!$C$7))</f>
        <v/>
      </c>
    </row>
    <row r="182">
      <c r="A182" s="1" t="n"/>
      <c r="B182" s="22" t="n"/>
      <c r="C182" s="24" t="n"/>
      <c r="D182" s="25" t="n"/>
      <c r="E182" s="25" t="n"/>
      <c r="F182" s="26">
        <f>IF(OR(B182="",N(J182)=0),"",SUMPRODUCT(MIN((Gifts!$C$6:$C$1005=B182)*Gifts!$Q$6:$Q$1005*Gifts!$M$6:$M$1005+(1-(Gifts!$C$6:$C$1005=B182)*Gifts!$Q$6:$Q$1005)*1E9)))</f>
        <v/>
      </c>
      <c r="G182" s="26">
        <f>IF(OR(B182="",N(J182)=0),"",SUMPRODUCT(MAX((Gifts!$C$6:$C$1005=B182)*Gifts!$Q$6:$Q$1005*Gifts!$M$6:$M$1005)))</f>
        <v/>
      </c>
      <c r="H182" s="27">
        <f>IF(B182="","",SUMIFS(Gifts!$D$6:$D$1005,Gifts!$C$6:$C$1005,B182,Gifts!$K$6:$K$1005,Settings!$C$7,Gifts!$D$6:$D$1005,"&gt;0"))</f>
        <v/>
      </c>
      <c r="I182" s="28">
        <f>IF(B182="","",SUMIFS(Gifts!$D$6:$D$1005,Gifts!$C$6:$C$1005,B182,Gifts!$D$6:$D$1005,"&gt;0",Gifts!$M$6:$M$1005,"&gt;0"))</f>
        <v/>
      </c>
      <c r="J182" s="18">
        <f>IF(B182="","",SUMIFS(Gifts!$Q$6:$Q$1005,Gifts!$C$6:$C$1005,B182))</f>
        <v/>
      </c>
      <c r="K182" s="29">
        <f>IF(B182="","",IF(N(J182)=0,"No gifts yet",IF(AND(N(Settings!$C$9)&gt;0,G182&lt;EDATE(TODAY(),-N(Settings!$C$9))),"Lapsed",IF(YEAR(F182)=N(Settings!$C$7),"New","Active"))))</f>
        <v/>
      </c>
      <c r="L182" s="1" t="n"/>
      <c r="M182">
        <f>IF(OR(B182="",N(H182)&lt;=0),"",ROUND(H182*100,0)*1000+1000-ROW())</f>
        <v/>
      </c>
      <c r="N182">
        <f>IF(B182="","",SUMIFS(Gifts!$Q$6:$Q$1005,Gifts!$C$6:$C$1005,B182,Gifts!$K$6:$K$1005,Settings!$C$7))</f>
        <v/>
      </c>
    </row>
    <row r="183">
      <c r="A183" s="1" t="n"/>
      <c r="B183" s="22" t="n"/>
      <c r="C183" s="24" t="n"/>
      <c r="D183" s="25" t="n"/>
      <c r="E183" s="25" t="n"/>
      <c r="F183" s="26">
        <f>IF(OR(B183="",N(J183)=0),"",SUMPRODUCT(MIN((Gifts!$C$6:$C$1005=B183)*Gifts!$Q$6:$Q$1005*Gifts!$M$6:$M$1005+(1-(Gifts!$C$6:$C$1005=B183)*Gifts!$Q$6:$Q$1005)*1E9)))</f>
        <v/>
      </c>
      <c r="G183" s="26">
        <f>IF(OR(B183="",N(J183)=0),"",SUMPRODUCT(MAX((Gifts!$C$6:$C$1005=B183)*Gifts!$Q$6:$Q$1005*Gifts!$M$6:$M$1005)))</f>
        <v/>
      </c>
      <c r="H183" s="27">
        <f>IF(B183="","",SUMIFS(Gifts!$D$6:$D$1005,Gifts!$C$6:$C$1005,B183,Gifts!$K$6:$K$1005,Settings!$C$7,Gifts!$D$6:$D$1005,"&gt;0"))</f>
        <v/>
      </c>
      <c r="I183" s="28">
        <f>IF(B183="","",SUMIFS(Gifts!$D$6:$D$1005,Gifts!$C$6:$C$1005,B183,Gifts!$D$6:$D$1005,"&gt;0",Gifts!$M$6:$M$1005,"&gt;0"))</f>
        <v/>
      </c>
      <c r="J183" s="18">
        <f>IF(B183="","",SUMIFS(Gifts!$Q$6:$Q$1005,Gifts!$C$6:$C$1005,B183))</f>
        <v/>
      </c>
      <c r="K183" s="29">
        <f>IF(B183="","",IF(N(J183)=0,"No gifts yet",IF(AND(N(Settings!$C$9)&gt;0,G183&lt;EDATE(TODAY(),-N(Settings!$C$9))),"Lapsed",IF(YEAR(F183)=N(Settings!$C$7),"New","Active"))))</f>
        <v/>
      </c>
      <c r="L183" s="1" t="n"/>
      <c r="M183">
        <f>IF(OR(B183="",N(H183)&lt;=0),"",ROUND(H183*100,0)*1000+1000-ROW())</f>
        <v/>
      </c>
      <c r="N183">
        <f>IF(B183="","",SUMIFS(Gifts!$Q$6:$Q$1005,Gifts!$C$6:$C$1005,B183,Gifts!$K$6:$K$1005,Settings!$C$7))</f>
        <v/>
      </c>
    </row>
    <row r="184">
      <c r="A184" s="1" t="n"/>
      <c r="B184" s="22" t="n"/>
      <c r="C184" s="24" t="n"/>
      <c r="D184" s="25" t="n"/>
      <c r="E184" s="25" t="n"/>
      <c r="F184" s="26">
        <f>IF(OR(B184="",N(J184)=0),"",SUMPRODUCT(MIN((Gifts!$C$6:$C$1005=B184)*Gifts!$Q$6:$Q$1005*Gifts!$M$6:$M$1005+(1-(Gifts!$C$6:$C$1005=B184)*Gifts!$Q$6:$Q$1005)*1E9)))</f>
        <v/>
      </c>
      <c r="G184" s="26">
        <f>IF(OR(B184="",N(J184)=0),"",SUMPRODUCT(MAX((Gifts!$C$6:$C$1005=B184)*Gifts!$Q$6:$Q$1005*Gifts!$M$6:$M$1005)))</f>
        <v/>
      </c>
      <c r="H184" s="27">
        <f>IF(B184="","",SUMIFS(Gifts!$D$6:$D$1005,Gifts!$C$6:$C$1005,B184,Gifts!$K$6:$K$1005,Settings!$C$7,Gifts!$D$6:$D$1005,"&gt;0"))</f>
        <v/>
      </c>
      <c r="I184" s="28">
        <f>IF(B184="","",SUMIFS(Gifts!$D$6:$D$1005,Gifts!$C$6:$C$1005,B184,Gifts!$D$6:$D$1005,"&gt;0",Gifts!$M$6:$M$1005,"&gt;0"))</f>
        <v/>
      </c>
      <c r="J184" s="18">
        <f>IF(B184="","",SUMIFS(Gifts!$Q$6:$Q$1005,Gifts!$C$6:$C$1005,B184))</f>
        <v/>
      </c>
      <c r="K184" s="29">
        <f>IF(B184="","",IF(N(J184)=0,"No gifts yet",IF(AND(N(Settings!$C$9)&gt;0,G184&lt;EDATE(TODAY(),-N(Settings!$C$9))),"Lapsed",IF(YEAR(F184)=N(Settings!$C$7),"New","Active"))))</f>
        <v/>
      </c>
      <c r="L184" s="1" t="n"/>
      <c r="M184">
        <f>IF(OR(B184="",N(H184)&lt;=0),"",ROUND(H184*100,0)*1000+1000-ROW())</f>
        <v/>
      </c>
      <c r="N184">
        <f>IF(B184="","",SUMIFS(Gifts!$Q$6:$Q$1005,Gifts!$C$6:$C$1005,B184,Gifts!$K$6:$K$1005,Settings!$C$7))</f>
        <v/>
      </c>
    </row>
    <row r="185">
      <c r="A185" s="1" t="n"/>
      <c r="B185" s="22" t="n"/>
      <c r="C185" s="24" t="n"/>
      <c r="D185" s="25" t="n"/>
      <c r="E185" s="25" t="n"/>
      <c r="F185" s="26">
        <f>IF(OR(B185="",N(J185)=0),"",SUMPRODUCT(MIN((Gifts!$C$6:$C$1005=B185)*Gifts!$Q$6:$Q$1005*Gifts!$M$6:$M$1005+(1-(Gifts!$C$6:$C$1005=B185)*Gifts!$Q$6:$Q$1005)*1E9)))</f>
        <v/>
      </c>
      <c r="G185" s="26">
        <f>IF(OR(B185="",N(J185)=0),"",SUMPRODUCT(MAX((Gifts!$C$6:$C$1005=B185)*Gifts!$Q$6:$Q$1005*Gifts!$M$6:$M$1005)))</f>
        <v/>
      </c>
      <c r="H185" s="27">
        <f>IF(B185="","",SUMIFS(Gifts!$D$6:$D$1005,Gifts!$C$6:$C$1005,B185,Gifts!$K$6:$K$1005,Settings!$C$7,Gifts!$D$6:$D$1005,"&gt;0"))</f>
        <v/>
      </c>
      <c r="I185" s="28">
        <f>IF(B185="","",SUMIFS(Gifts!$D$6:$D$1005,Gifts!$C$6:$C$1005,B185,Gifts!$D$6:$D$1005,"&gt;0",Gifts!$M$6:$M$1005,"&gt;0"))</f>
        <v/>
      </c>
      <c r="J185" s="18">
        <f>IF(B185="","",SUMIFS(Gifts!$Q$6:$Q$1005,Gifts!$C$6:$C$1005,B185))</f>
        <v/>
      </c>
      <c r="K185" s="29">
        <f>IF(B185="","",IF(N(J185)=0,"No gifts yet",IF(AND(N(Settings!$C$9)&gt;0,G185&lt;EDATE(TODAY(),-N(Settings!$C$9))),"Lapsed",IF(YEAR(F185)=N(Settings!$C$7),"New","Active"))))</f>
        <v/>
      </c>
      <c r="L185" s="1" t="n"/>
      <c r="M185">
        <f>IF(OR(B185="",N(H185)&lt;=0),"",ROUND(H185*100,0)*1000+1000-ROW())</f>
        <v/>
      </c>
      <c r="N185">
        <f>IF(B185="","",SUMIFS(Gifts!$Q$6:$Q$1005,Gifts!$C$6:$C$1005,B185,Gifts!$K$6:$K$1005,Settings!$C$7))</f>
        <v/>
      </c>
    </row>
    <row r="186">
      <c r="A186" s="1" t="n"/>
      <c r="B186" s="22" t="n"/>
      <c r="C186" s="24" t="n"/>
      <c r="D186" s="25" t="n"/>
      <c r="E186" s="25" t="n"/>
      <c r="F186" s="26">
        <f>IF(OR(B186="",N(J186)=0),"",SUMPRODUCT(MIN((Gifts!$C$6:$C$1005=B186)*Gifts!$Q$6:$Q$1005*Gifts!$M$6:$M$1005+(1-(Gifts!$C$6:$C$1005=B186)*Gifts!$Q$6:$Q$1005)*1E9)))</f>
        <v/>
      </c>
      <c r="G186" s="26">
        <f>IF(OR(B186="",N(J186)=0),"",SUMPRODUCT(MAX((Gifts!$C$6:$C$1005=B186)*Gifts!$Q$6:$Q$1005*Gifts!$M$6:$M$1005)))</f>
        <v/>
      </c>
      <c r="H186" s="27">
        <f>IF(B186="","",SUMIFS(Gifts!$D$6:$D$1005,Gifts!$C$6:$C$1005,B186,Gifts!$K$6:$K$1005,Settings!$C$7,Gifts!$D$6:$D$1005,"&gt;0"))</f>
        <v/>
      </c>
      <c r="I186" s="28">
        <f>IF(B186="","",SUMIFS(Gifts!$D$6:$D$1005,Gifts!$C$6:$C$1005,B186,Gifts!$D$6:$D$1005,"&gt;0",Gifts!$M$6:$M$1005,"&gt;0"))</f>
        <v/>
      </c>
      <c r="J186" s="18">
        <f>IF(B186="","",SUMIFS(Gifts!$Q$6:$Q$1005,Gifts!$C$6:$C$1005,B186))</f>
        <v/>
      </c>
      <c r="K186" s="29">
        <f>IF(B186="","",IF(N(J186)=0,"No gifts yet",IF(AND(N(Settings!$C$9)&gt;0,G186&lt;EDATE(TODAY(),-N(Settings!$C$9))),"Lapsed",IF(YEAR(F186)=N(Settings!$C$7),"New","Active"))))</f>
        <v/>
      </c>
      <c r="L186" s="1" t="n"/>
      <c r="M186">
        <f>IF(OR(B186="",N(H186)&lt;=0),"",ROUND(H186*100,0)*1000+1000-ROW())</f>
        <v/>
      </c>
      <c r="N186">
        <f>IF(B186="","",SUMIFS(Gifts!$Q$6:$Q$1005,Gifts!$C$6:$C$1005,B186,Gifts!$K$6:$K$1005,Settings!$C$7))</f>
        <v/>
      </c>
    </row>
    <row r="187">
      <c r="A187" s="1" t="n"/>
      <c r="B187" s="22" t="n"/>
      <c r="C187" s="24" t="n"/>
      <c r="D187" s="25" t="n"/>
      <c r="E187" s="25" t="n"/>
      <c r="F187" s="26">
        <f>IF(OR(B187="",N(J187)=0),"",SUMPRODUCT(MIN((Gifts!$C$6:$C$1005=B187)*Gifts!$Q$6:$Q$1005*Gifts!$M$6:$M$1005+(1-(Gifts!$C$6:$C$1005=B187)*Gifts!$Q$6:$Q$1005)*1E9)))</f>
        <v/>
      </c>
      <c r="G187" s="26">
        <f>IF(OR(B187="",N(J187)=0),"",SUMPRODUCT(MAX((Gifts!$C$6:$C$1005=B187)*Gifts!$Q$6:$Q$1005*Gifts!$M$6:$M$1005)))</f>
        <v/>
      </c>
      <c r="H187" s="27">
        <f>IF(B187="","",SUMIFS(Gifts!$D$6:$D$1005,Gifts!$C$6:$C$1005,B187,Gifts!$K$6:$K$1005,Settings!$C$7,Gifts!$D$6:$D$1005,"&gt;0"))</f>
        <v/>
      </c>
      <c r="I187" s="28">
        <f>IF(B187="","",SUMIFS(Gifts!$D$6:$D$1005,Gifts!$C$6:$C$1005,B187,Gifts!$D$6:$D$1005,"&gt;0",Gifts!$M$6:$M$1005,"&gt;0"))</f>
        <v/>
      </c>
      <c r="J187" s="18">
        <f>IF(B187="","",SUMIFS(Gifts!$Q$6:$Q$1005,Gifts!$C$6:$C$1005,B187))</f>
        <v/>
      </c>
      <c r="K187" s="29">
        <f>IF(B187="","",IF(N(J187)=0,"No gifts yet",IF(AND(N(Settings!$C$9)&gt;0,G187&lt;EDATE(TODAY(),-N(Settings!$C$9))),"Lapsed",IF(YEAR(F187)=N(Settings!$C$7),"New","Active"))))</f>
        <v/>
      </c>
      <c r="L187" s="1" t="n"/>
      <c r="M187">
        <f>IF(OR(B187="",N(H187)&lt;=0),"",ROUND(H187*100,0)*1000+1000-ROW())</f>
        <v/>
      </c>
      <c r="N187">
        <f>IF(B187="","",SUMIFS(Gifts!$Q$6:$Q$1005,Gifts!$C$6:$C$1005,B187,Gifts!$K$6:$K$1005,Settings!$C$7))</f>
        <v/>
      </c>
    </row>
    <row r="188">
      <c r="A188" s="1" t="n"/>
      <c r="B188" s="22" t="n"/>
      <c r="C188" s="24" t="n"/>
      <c r="D188" s="25" t="n"/>
      <c r="E188" s="25" t="n"/>
      <c r="F188" s="26">
        <f>IF(OR(B188="",N(J188)=0),"",SUMPRODUCT(MIN((Gifts!$C$6:$C$1005=B188)*Gifts!$Q$6:$Q$1005*Gifts!$M$6:$M$1005+(1-(Gifts!$C$6:$C$1005=B188)*Gifts!$Q$6:$Q$1005)*1E9)))</f>
        <v/>
      </c>
      <c r="G188" s="26">
        <f>IF(OR(B188="",N(J188)=0),"",SUMPRODUCT(MAX((Gifts!$C$6:$C$1005=B188)*Gifts!$Q$6:$Q$1005*Gifts!$M$6:$M$1005)))</f>
        <v/>
      </c>
      <c r="H188" s="27">
        <f>IF(B188="","",SUMIFS(Gifts!$D$6:$D$1005,Gifts!$C$6:$C$1005,B188,Gifts!$K$6:$K$1005,Settings!$C$7,Gifts!$D$6:$D$1005,"&gt;0"))</f>
        <v/>
      </c>
      <c r="I188" s="28">
        <f>IF(B188="","",SUMIFS(Gifts!$D$6:$D$1005,Gifts!$C$6:$C$1005,B188,Gifts!$D$6:$D$1005,"&gt;0",Gifts!$M$6:$M$1005,"&gt;0"))</f>
        <v/>
      </c>
      <c r="J188" s="18">
        <f>IF(B188="","",SUMIFS(Gifts!$Q$6:$Q$1005,Gifts!$C$6:$C$1005,B188))</f>
        <v/>
      </c>
      <c r="K188" s="29">
        <f>IF(B188="","",IF(N(J188)=0,"No gifts yet",IF(AND(N(Settings!$C$9)&gt;0,G188&lt;EDATE(TODAY(),-N(Settings!$C$9))),"Lapsed",IF(YEAR(F188)=N(Settings!$C$7),"New","Active"))))</f>
        <v/>
      </c>
      <c r="L188" s="1" t="n"/>
      <c r="M188">
        <f>IF(OR(B188="",N(H188)&lt;=0),"",ROUND(H188*100,0)*1000+1000-ROW())</f>
        <v/>
      </c>
      <c r="N188">
        <f>IF(B188="","",SUMIFS(Gifts!$Q$6:$Q$1005,Gifts!$C$6:$C$1005,B188,Gifts!$K$6:$K$1005,Settings!$C$7))</f>
        <v/>
      </c>
    </row>
    <row r="189">
      <c r="A189" s="1" t="n"/>
      <c r="B189" s="22" t="n"/>
      <c r="C189" s="24" t="n"/>
      <c r="D189" s="25" t="n"/>
      <c r="E189" s="25" t="n"/>
      <c r="F189" s="26">
        <f>IF(OR(B189="",N(J189)=0),"",SUMPRODUCT(MIN((Gifts!$C$6:$C$1005=B189)*Gifts!$Q$6:$Q$1005*Gifts!$M$6:$M$1005+(1-(Gifts!$C$6:$C$1005=B189)*Gifts!$Q$6:$Q$1005)*1E9)))</f>
        <v/>
      </c>
      <c r="G189" s="26">
        <f>IF(OR(B189="",N(J189)=0),"",SUMPRODUCT(MAX((Gifts!$C$6:$C$1005=B189)*Gifts!$Q$6:$Q$1005*Gifts!$M$6:$M$1005)))</f>
        <v/>
      </c>
      <c r="H189" s="27">
        <f>IF(B189="","",SUMIFS(Gifts!$D$6:$D$1005,Gifts!$C$6:$C$1005,B189,Gifts!$K$6:$K$1005,Settings!$C$7,Gifts!$D$6:$D$1005,"&gt;0"))</f>
        <v/>
      </c>
      <c r="I189" s="28">
        <f>IF(B189="","",SUMIFS(Gifts!$D$6:$D$1005,Gifts!$C$6:$C$1005,B189,Gifts!$D$6:$D$1005,"&gt;0",Gifts!$M$6:$M$1005,"&gt;0"))</f>
        <v/>
      </c>
      <c r="J189" s="18">
        <f>IF(B189="","",SUMIFS(Gifts!$Q$6:$Q$1005,Gifts!$C$6:$C$1005,B189))</f>
        <v/>
      </c>
      <c r="K189" s="29">
        <f>IF(B189="","",IF(N(J189)=0,"No gifts yet",IF(AND(N(Settings!$C$9)&gt;0,G189&lt;EDATE(TODAY(),-N(Settings!$C$9))),"Lapsed",IF(YEAR(F189)=N(Settings!$C$7),"New","Active"))))</f>
        <v/>
      </c>
      <c r="L189" s="1" t="n"/>
      <c r="M189">
        <f>IF(OR(B189="",N(H189)&lt;=0),"",ROUND(H189*100,0)*1000+1000-ROW())</f>
        <v/>
      </c>
      <c r="N189">
        <f>IF(B189="","",SUMIFS(Gifts!$Q$6:$Q$1005,Gifts!$C$6:$C$1005,B189,Gifts!$K$6:$K$1005,Settings!$C$7))</f>
        <v/>
      </c>
    </row>
    <row r="190">
      <c r="A190" s="1" t="n"/>
      <c r="B190" s="22" t="n"/>
      <c r="C190" s="24" t="n"/>
      <c r="D190" s="25" t="n"/>
      <c r="E190" s="25" t="n"/>
      <c r="F190" s="26">
        <f>IF(OR(B190="",N(J190)=0),"",SUMPRODUCT(MIN((Gifts!$C$6:$C$1005=B190)*Gifts!$Q$6:$Q$1005*Gifts!$M$6:$M$1005+(1-(Gifts!$C$6:$C$1005=B190)*Gifts!$Q$6:$Q$1005)*1E9)))</f>
        <v/>
      </c>
      <c r="G190" s="26">
        <f>IF(OR(B190="",N(J190)=0),"",SUMPRODUCT(MAX((Gifts!$C$6:$C$1005=B190)*Gifts!$Q$6:$Q$1005*Gifts!$M$6:$M$1005)))</f>
        <v/>
      </c>
      <c r="H190" s="27">
        <f>IF(B190="","",SUMIFS(Gifts!$D$6:$D$1005,Gifts!$C$6:$C$1005,B190,Gifts!$K$6:$K$1005,Settings!$C$7,Gifts!$D$6:$D$1005,"&gt;0"))</f>
        <v/>
      </c>
      <c r="I190" s="28">
        <f>IF(B190="","",SUMIFS(Gifts!$D$6:$D$1005,Gifts!$C$6:$C$1005,B190,Gifts!$D$6:$D$1005,"&gt;0",Gifts!$M$6:$M$1005,"&gt;0"))</f>
        <v/>
      </c>
      <c r="J190" s="18">
        <f>IF(B190="","",SUMIFS(Gifts!$Q$6:$Q$1005,Gifts!$C$6:$C$1005,B190))</f>
        <v/>
      </c>
      <c r="K190" s="29">
        <f>IF(B190="","",IF(N(J190)=0,"No gifts yet",IF(AND(N(Settings!$C$9)&gt;0,G190&lt;EDATE(TODAY(),-N(Settings!$C$9))),"Lapsed",IF(YEAR(F190)=N(Settings!$C$7),"New","Active"))))</f>
        <v/>
      </c>
      <c r="L190" s="1" t="n"/>
      <c r="M190">
        <f>IF(OR(B190="",N(H190)&lt;=0),"",ROUND(H190*100,0)*1000+1000-ROW())</f>
        <v/>
      </c>
      <c r="N190">
        <f>IF(B190="","",SUMIFS(Gifts!$Q$6:$Q$1005,Gifts!$C$6:$C$1005,B190,Gifts!$K$6:$K$1005,Settings!$C$7))</f>
        <v/>
      </c>
    </row>
    <row r="191">
      <c r="A191" s="1" t="n"/>
      <c r="B191" s="22" t="n"/>
      <c r="C191" s="24" t="n"/>
      <c r="D191" s="25" t="n"/>
      <c r="E191" s="25" t="n"/>
      <c r="F191" s="26">
        <f>IF(OR(B191="",N(J191)=0),"",SUMPRODUCT(MIN((Gifts!$C$6:$C$1005=B191)*Gifts!$Q$6:$Q$1005*Gifts!$M$6:$M$1005+(1-(Gifts!$C$6:$C$1005=B191)*Gifts!$Q$6:$Q$1005)*1E9)))</f>
        <v/>
      </c>
      <c r="G191" s="26">
        <f>IF(OR(B191="",N(J191)=0),"",SUMPRODUCT(MAX((Gifts!$C$6:$C$1005=B191)*Gifts!$Q$6:$Q$1005*Gifts!$M$6:$M$1005)))</f>
        <v/>
      </c>
      <c r="H191" s="27">
        <f>IF(B191="","",SUMIFS(Gifts!$D$6:$D$1005,Gifts!$C$6:$C$1005,B191,Gifts!$K$6:$K$1005,Settings!$C$7,Gifts!$D$6:$D$1005,"&gt;0"))</f>
        <v/>
      </c>
      <c r="I191" s="28">
        <f>IF(B191="","",SUMIFS(Gifts!$D$6:$D$1005,Gifts!$C$6:$C$1005,B191,Gifts!$D$6:$D$1005,"&gt;0",Gifts!$M$6:$M$1005,"&gt;0"))</f>
        <v/>
      </c>
      <c r="J191" s="18">
        <f>IF(B191="","",SUMIFS(Gifts!$Q$6:$Q$1005,Gifts!$C$6:$C$1005,B191))</f>
        <v/>
      </c>
      <c r="K191" s="29">
        <f>IF(B191="","",IF(N(J191)=0,"No gifts yet",IF(AND(N(Settings!$C$9)&gt;0,G191&lt;EDATE(TODAY(),-N(Settings!$C$9))),"Lapsed",IF(YEAR(F191)=N(Settings!$C$7),"New","Active"))))</f>
        <v/>
      </c>
      <c r="L191" s="1" t="n"/>
      <c r="M191">
        <f>IF(OR(B191="",N(H191)&lt;=0),"",ROUND(H191*100,0)*1000+1000-ROW())</f>
        <v/>
      </c>
      <c r="N191">
        <f>IF(B191="","",SUMIFS(Gifts!$Q$6:$Q$1005,Gifts!$C$6:$C$1005,B191,Gifts!$K$6:$K$1005,Settings!$C$7))</f>
        <v/>
      </c>
    </row>
    <row r="192">
      <c r="A192" s="1" t="n"/>
      <c r="B192" s="22" t="n"/>
      <c r="C192" s="24" t="n"/>
      <c r="D192" s="25" t="n"/>
      <c r="E192" s="25" t="n"/>
      <c r="F192" s="26">
        <f>IF(OR(B192="",N(J192)=0),"",SUMPRODUCT(MIN((Gifts!$C$6:$C$1005=B192)*Gifts!$Q$6:$Q$1005*Gifts!$M$6:$M$1005+(1-(Gifts!$C$6:$C$1005=B192)*Gifts!$Q$6:$Q$1005)*1E9)))</f>
        <v/>
      </c>
      <c r="G192" s="26">
        <f>IF(OR(B192="",N(J192)=0),"",SUMPRODUCT(MAX((Gifts!$C$6:$C$1005=B192)*Gifts!$Q$6:$Q$1005*Gifts!$M$6:$M$1005)))</f>
        <v/>
      </c>
      <c r="H192" s="27">
        <f>IF(B192="","",SUMIFS(Gifts!$D$6:$D$1005,Gifts!$C$6:$C$1005,B192,Gifts!$K$6:$K$1005,Settings!$C$7,Gifts!$D$6:$D$1005,"&gt;0"))</f>
        <v/>
      </c>
      <c r="I192" s="28">
        <f>IF(B192="","",SUMIFS(Gifts!$D$6:$D$1005,Gifts!$C$6:$C$1005,B192,Gifts!$D$6:$D$1005,"&gt;0",Gifts!$M$6:$M$1005,"&gt;0"))</f>
        <v/>
      </c>
      <c r="J192" s="18">
        <f>IF(B192="","",SUMIFS(Gifts!$Q$6:$Q$1005,Gifts!$C$6:$C$1005,B192))</f>
        <v/>
      </c>
      <c r="K192" s="29">
        <f>IF(B192="","",IF(N(J192)=0,"No gifts yet",IF(AND(N(Settings!$C$9)&gt;0,G192&lt;EDATE(TODAY(),-N(Settings!$C$9))),"Lapsed",IF(YEAR(F192)=N(Settings!$C$7),"New","Active"))))</f>
        <v/>
      </c>
      <c r="L192" s="1" t="n"/>
      <c r="M192">
        <f>IF(OR(B192="",N(H192)&lt;=0),"",ROUND(H192*100,0)*1000+1000-ROW())</f>
        <v/>
      </c>
      <c r="N192">
        <f>IF(B192="","",SUMIFS(Gifts!$Q$6:$Q$1005,Gifts!$C$6:$C$1005,B192,Gifts!$K$6:$K$1005,Settings!$C$7))</f>
        <v/>
      </c>
    </row>
    <row r="193">
      <c r="A193" s="1" t="n"/>
      <c r="B193" s="22" t="n"/>
      <c r="C193" s="24" t="n"/>
      <c r="D193" s="25" t="n"/>
      <c r="E193" s="25" t="n"/>
      <c r="F193" s="26">
        <f>IF(OR(B193="",N(J193)=0),"",SUMPRODUCT(MIN((Gifts!$C$6:$C$1005=B193)*Gifts!$Q$6:$Q$1005*Gifts!$M$6:$M$1005+(1-(Gifts!$C$6:$C$1005=B193)*Gifts!$Q$6:$Q$1005)*1E9)))</f>
        <v/>
      </c>
      <c r="G193" s="26">
        <f>IF(OR(B193="",N(J193)=0),"",SUMPRODUCT(MAX((Gifts!$C$6:$C$1005=B193)*Gifts!$Q$6:$Q$1005*Gifts!$M$6:$M$1005)))</f>
        <v/>
      </c>
      <c r="H193" s="27">
        <f>IF(B193="","",SUMIFS(Gifts!$D$6:$D$1005,Gifts!$C$6:$C$1005,B193,Gifts!$K$6:$K$1005,Settings!$C$7,Gifts!$D$6:$D$1005,"&gt;0"))</f>
        <v/>
      </c>
      <c r="I193" s="28">
        <f>IF(B193="","",SUMIFS(Gifts!$D$6:$D$1005,Gifts!$C$6:$C$1005,B193,Gifts!$D$6:$D$1005,"&gt;0",Gifts!$M$6:$M$1005,"&gt;0"))</f>
        <v/>
      </c>
      <c r="J193" s="18">
        <f>IF(B193="","",SUMIFS(Gifts!$Q$6:$Q$1005,Gifts!$C$6:$C$1005,B193))</f>
        <v/>
      </c>
      <c r="K193" s="29">
        <f>IF(B193="","",IF(N(J193)=0,"No gifts yet",IF(AND(N(Settings!$C$9)&gt;0,G193&lt;EDATE(TODAY(),-N(Settings!$C$9))),"Lapsed",IF(YEAR(F193)=N(Settings!$C$7),"New","Active"))))</f>
        <v/>
      </c>
      <c r="L193" s="1" t="n"/>
      <c r="M193">
        <f>IF(OR(B193="",N(H193)&lt;=0),"",ROUND(H193*100,0)*1000+1000-ROW())</f>
        <v/>
      </c>
      <c r="N193">
        <f>IF(B193="","",SUMIFS(Gifts!$Q$6:$Q$1005,Gifts!$C$6:$C$1005,B193,Gifts!$K$6:$K$1005,Settings!$C$7))</f>
        <v/>
      </c>
    </row>
    <row r="194">
      <c r="A194" s="1" t="n"/>
      <c r="B194" s="22" t="n"/>
      <c r="C194" s="24" t="n"/>
      <c r="D194" s="25" t="n"/>
      <c r="E194" s="25" t="n"/>
      <c r="F194" s="26">
        <f>IF(OR(B194="",N(J194)=0),"",SUMPRODUCT(MIN((Gifts!$C$6:$C$1005=B194)*Gifts!$Q$6:$Q$1005*Gifts!$M$6:$M$1005+(1-(Gifts!$C$6:$C$1005=B194)*Gifts!$Q$6:$Q$1005)*1E9)))</f>
        <v/>
      </c>
      <c r="G194" s="26">
        <f>IF(OR(B194="",N(J194)=0),"",SUMPRODUCT(MAX((Gifts!$C$6:$C$1005=B194)*Gifts!$Q$6:$Q$1005*Gifts!$M$6:$M$1005)))</f>
        <v/>
      </c>
      <c r="H194" s="27">
        <f>IF(B194="","",SUMIFS(Gifts!$D$6:$D$1005,Gifts!$C$6:$C$1005,B194,Gifts!$K$6:$K$1005,Settings!$C$7,Gifts!$D$6:$D$1005,"&gt;0"))</f>
        <v/>
      </c>
      <c r="I194" s="28">
        <f>IF(B194="","",SUMIFS(Gifts!$D$6:$D$1005,Gifts!$C$6:$C$1005,B194,Gifts!$D$6:$D$1005,"&gt;0",Gifts!$M$6:$M$1005,"&gt;0"))</f>
        <v/>
      </c>
      <c r="J194" s="18">
        <f>IF(B194="","",SUMIFS(Gifts!$Q$6:$Q$1005,Gifts!$C$6:$C$1005,B194))</f>
        <v/>
      </c>
      <c r="K194" s="29">
        <f>IF(B194="","",IF(N(J194)=0,"No gifts yet",IF(AND(N(Settings!$C$9)&gt;0,G194&lt;EDATE(TODAY(),-N(Settings!$C$9))),"Lapsed",IF(YEAR(F194)=N(Settings!$C$7),"New","Active"))))</f>
        <v/>
      </c>
      <c r="L194" s="1" t="n"/>
      <c r="M194">
        <f>IF(OR(B194="",N(H194)&lt;=0),"",ROUND(H194*100,0)*1000+1000-ROW())</f>
        <v/>
      </c>
      <c r="N194">
        <f>IF(B194="","",SUMIFS(Gifts!$Q$6:$Q$1005,Gifts!$C$6:$C$1005,B194,Gifts!$K$6:$K$1005,Settings!$C$7))</f>
        <v/>
      </c>
    </row>
    <row r="195">
      <c r="A195" s="1" t="n"/>
      <c r="B195" s="22" t="n"/>
      <c r="C195" s="24" t="n"/>
      <c r="D195" s="25" t="n"/>
      <c r="E195" s="25" t="n"/>
      <c r="F195" s="26">
        <f>IF(OR(B195="",N(J195)=0),"",SUMPRODUCT(MIN((Gifts!$C$6:$C$1005=B195)*Gifts!$Q$6:$Q$1005*Gifts!$M$6:$M$1005+(1-(Gifts!$C$6:$C$1005=B195)*Gifts!$Q$6:$Q$1005)*1E9)))</f>
        <v/>
      </c>
      <c r="G195" s="26">
        <f>IF(OR(B195="",N(J195)=0),"",SUMPRODUCT(MAX((Gifts!$C$6:$C$1005=B195)*Gifts!$Q$6:$Q$1005*Gifts!$M$6:$M$1005)))</f>
        <v/>
      </c>
      <c r="H195" s="27">
        <f>IF(B195="","",SUMIFS(Gifts!$D$6:$D$1005,Gifts!$C$6:$C$1005,B195,Gifts!$K$6:$K$1005,Settings!$C$7,Gifts!$D$6:$D$1005,"&gt;0"))</f>
        <v/>
      </c>
      <c r="I195" s="28">
        <f>IF(B195="","",SUMIFS(Gifts!$D$6:$D$1005,Gifts!$C$6:$C$1005,B195,Gifts!$D$6:$D$1005,"&gt;0",Gifts!$M$6:$M$1005,"&gt;0"))</f>
        <v/>
      </c>
      <c r="J195" s="18">
        <f>IF(B195="","",SUMIFS(Gifts!$Q$6:$Q$1005,Gifts!$C$6:$C$1005,B195))</f>
        <v/>
      </c>
      <c r="K195" s="29">
        <f>IF(B195="","",IF(N(J195)=0,"No gifts yet",IF(AND(N(Settings!$C$9)&gt;0,G195&lt;EDATE(TODAY(),-N(Settings!$C$9))),"Lapsed",IF(YEAR(F195)=N(Settings!$C$7),"New","Active"))))</f>
        <v/>
      </c>
      <c r="L195" s="1" t="n"/>
      <c r="M195">
        <f>IF(OR(B195="",N(H195)&lt;=0),"",ROUND(H195*100,0)*1000+1000-ROW())</f>
        <v/>
      </c>
      <c r="N195">
        <f>IF(B195="","",SUMIFS(Gifts!$Q$6:$Q$1005,Gifts!$C$6:$C$1005,B195,Gifts!$K$6:$K$1005,Settings!$C$7))</f>
        <v/>
      </c>
    </row>
    <row r="196">
      <c r="A196" s="1" t="n"/>
      <c r="B196" s="22" t="n"/>
      <c r="C196" s="24" t="n"/>
      <c r="D196" s="25" t="n"/>
      <c r="E196" s="25" t="n"/>
      <c r="F196" s="26">
        <f>IF(OR(B196="",N(J196)=0),"",SUMPRODUCT(MIN((Gifts!$C$6:$C$1005=B196)*Gifts!$Q$6:$Q$1005*Gifts!$M$6:$M$1005+(1-(Gifts!$C$6:$C$1005=B196)*Gifts!$Q$6:$Q$1005)*1E9)))</f>
        <v/>
      </c>
      <c r="G196" s="26">
        <f>IF(OR(B196="",N(J196)=0),"",SUMPRODUCT(MAX((Gifts!$C$6:$C$1005=B196)*Gifts!$Q$6:$Q$1005*Gifts!$M$6:$M$1005)))</f>
        <v/>
      </c>
      <c r="H196" s="27">
        <f>IF(B196="","",SUMIFS(Gifts!$D$6:$D$1005,Gifts!$C$6:$C$1005,B196,Gifts!$K$6:$K$1005,Settings!$C$7,Gifts!$D$6:$D$1005,"&gt;0"))</f>
        <v/>
      </c>
      <c r="I196" s="28">
        <f>IF(B196="","",SUMIFS(Gifts!$D$6:$D$1005,Gifts!$C$6:$C$1005,B196,Gifts!$D$6:$D$1005,"&gt;0",Gifts!$M$6:$M$1005,"&gt;0"))</f>
        <v/>
      </c>
      <c r="J196" s="18">
        <f>IF(B196="","",SUMIFS(Gifts!$Q$6:$Q$1005,Gifts!$C$6:$C$1005,B196))</f>
        <v/>
      </c>
      <c r="K196" s="29">
        <f>IF(B196="","",IF(N(J196)=0,"No gifts yet",IF(AND(N(Settings!$C$9)&gt;0,G196&lt;EDATE(TODAY(),-N(Settings!$C$9))),"Lapsed",IF(YEAR(F196)=N(Settings!$C$7),"New","Active"))))</f>
        <v/>
      </c>
      <c r="L196" s="1" t="n"/>
      <c r="M196">
        <f>IF(OR(B196="",N(H196)&lt;=0),"",ROUND(H196*100,0)*1000+1000-ROW())</f>
        <v/>
      </c>
      <c r="N196">
        <f>IF(B196="","",SUMIFS(Gifts!$Q$6:$Q$1005,Gifts!$C$6:$C$1005,B196,Gifts!$K$6:$K$1005,Settings!$C$7))</f>
        <v/>
      </c>
    </row>
    <row r="197">
      <c r="A197" s="1" t="n"/>
      <c r="B197" s="22" t="n"/>
      <c r="C197" s="24" t="n"/>
      <c r="D197" s="25" t="n"/>
      <c r="E197" s="25" t="n"/>
      <c r="F197" s="26">
        <f>IF(OR(B197="",N(J197)=0),"",SUMPRODUCT(MIN((Gifts!$C$6:$C$1005=B197)*Gifts!$Q$6:$Q$1005*Gifts!$M$6:$M$1005+(1-(Gifts!$C$6:$C$1005=B197)*Gifts!$Q$6:$Q$1005)*1E9)))</f>
        <v/>
      </c>
      <c r="G197" s="26">
        <f>IF(OR(B197="",N(J197)=0),"",SUMPRODUCT(MAX((Gifts!$C$6:$C$1005=B197)*Gifts!$Q$6:$Q$1005*Gifts!$M$6:$M$1005)))</f>
        <v/>
      </c>
      <c r="H197" s="27">
        <f>IF(B197="","",SUMIFS(Gifts!$D$6:$D$1005,Gifts!$C$6:$C$1005,B197,Gifts!$K$6:$K$1005,Settings!$C$7,Gifts!$D$6:$D$1005,"&gt;0"))</f>
        <v/>
      </c>
      <c r="I197" s="28">
        <f>IF(B197="","",SUMIFS(Gifts!$D$6:$D$1005,Gifts!$C$6:$C$1005,B197,Gifts!$D$6:$D$1005,"&gt;0",Gifts!$M$6:$M$1005,"&gt;0"))</f>
        <v/>
      </c>
      <c r="J197" s="18">
        <f>IF(B197="","",SUMIFS(Gifts!$Q$6:$Q$1005,Gifts!$C$6:$C$1005,B197))</f>
        <v/>
      </c>
      <c r="K197" s="29">
        <f>IF(B197="","",IF(N(J197)=0,"No gifts yet",IF(AND(N(Settings!$C$9)&gt;0,G197&lt;EDATE(TODAY(),-N(Settings!$C$9))),"Lapsed",IF(YEAR(F197)=N(Settings!$C$7),"New","Active"))))</f>
        <v/>
      </c>
      <c r="L197" s="1" t="n"/>
      <c r="M197">
        <f>IF(OR(B197="",N(H197)&lt;=0),"",ROUND(H197*100,0)*1000+1000-ROW())</f>
        <v/>
      </c>
      <c r="N197">
        <f>IF(B197="","",SUMIFS(Gifts!$Q$6:$Q$1005,Gifts!$C$6:$C$1005,B197,Gifts!$K$6:$K$1005,Settings!$C$7))</f>
        <v/>
      </c>
    </row>
    <row r="198">
      <c r="A198" s="1" t="n"/>
      <c r="B198" s="22" t="n"/>
      <c r="C198" s="24" t="n"/>
      <c r="D198" s="25" t="n"/>
      <c r="E198" s="25" t="n"/>
      <c r="F198" s="26">
        <f>IF(OR(B198="",N(J198)=0),"",SUMPRODUCT(MIN((Gifts!$C$6:$C$1005=B198)*Gifts!$Q$6:$Q$1005*Gifts!$M$6:$M$1005+(1-(Gifts!$C$6:$C$1005=B198)*Gifts!$Q$6:$Q$1005)*1E9)))</f>
        <v/>
      </c>
      <c r="G198" s="26">
        <f>IF(OR(B198="",N(J198)=0),"",SUMPRODUCT(MAX((Gifts!$C$6:$C$1005=B198)*Gifts!$Q$6:$Q$1005*Gifts!$M$6:$M$1005)))</f>
        <v/>
      </c>
      <c r="H198" s="27">
        <f>IF(B198="","",SUMIFS(Gifts!$D$6:$D$1005,Gifts!$C$6:$C$1005,B198,Gifts!$K$6:$K$1005,Settings!$C$7,Gifts!$D$6:$D$1005,"&gt;0"))</f>
        <v/>
      </c>
      <c r="I198" s="28">
        <f>IF(B198="","",SUMIFS(Gifts!$D$6:$D$1005,Gifts!$C$6:$C$1005,B198,Gifts!$D$6:$D$1005,"&gt;0",Gifts!$M$6:$M$1005,"&gt;0"))</f>
        <v/>
      </c>
      <c r="J198" s="18">
        <f>IF(B198="","",SUMIFS(Gifts!$Q$6:$Q$1005,Gifts!$C$6:$C$1005,B198))</f>
        <v/>
      </c>
      <c r="K198" s="29">
        <f>IF(B198="","",IF(N(J198)=0,"No gifts yet",IF(AND(N(Settings!$C$9)&gt;0,G198&lt;EDATE(TODAY(),-N(Settings!$C$9))),"Lapsed",IF(YEAR(F198)=N(Settings!$C$7),"New","Active"))))</f>
        <v/>
      </c>
      <c r="L198" s="1" t="n"/>
      <c r="M198">
        <f>IF(OR(B198="",N(H198)&lt;=0),"",ROUND(H198*100,0)*1000+1000-ROW())</f>
        <v/>
      </c>
      <c r="N198">
        <f>IF(B198="","",SUMIFS(Gifts!$Q$6:$Q$1005,Gifts!$C$6:$C$1005,B198,Gifts!$K$6:$K$1005,Settings!$C$7))</f>
        <v/>
      </c>
    </row>
    <row r="199">
      <c r="A199" s="1" t="n"/>
      <c r="B199" s="22" t="n"/>
      <c r="C199" s="24" t="n"/>
      <c r="D199" s="25" t="n"/>
      <c r="E199" s="25" t="n"/>
      <c r="F199" s="26">
        <f>IF(OR(B199="",N(J199)=0),"",SUMPRODUCT(MIN((Gifts!$C$6:$C$1005=B199)*Gifts!$Q$6:$Q$1005*Gifts!$M$6:$M$1005+(1-(Gifts!$C$6:$C$1005=B199)*Gifts!$Q$6:$Q$1005)*1E9)))</f>
        <v/>
      </c>
      <c r="G199" s="26">
        <f>IF(OR(B199="",N(J199)=0),"",SUMPRODUCT(MAX((Gifts!$C$6:$C$1005=B199)*Gifts!$Q$6:$Q$1005*Gifts!$M$6:$M$1005)))</f>
        <v/>
      </c>
      <c r="H199" s="27">
        <f>IF(B199="","",SUMIFS(Gifts!$D$6:$D$1005,Gifts!$C$6:$C$1005,B199,Gifts!$K$6:$K$1005,Settings!$C$7,Gifts!$D$6:$D$1005,"&gt;0"))</f>
        <v/>
      </c>
      <c r="I199" s="28">
        <f>IF(B199="","",SUMIFS(Gifts!$D$6:$D$1005,Gifts!$C$6:$C$1005,B199,Gifts!$D$6:$D$1005,"&gt;0",Gifts!$M$6:$M$1005,"&gt;0"))</f>
        <v/>
      </c>
      <c r="J199" s="18">
        <f>IF(B199="","",SUMIFS(Gifts!$Q$6:$Q$1005,Gifts!$C$6:$C$1005,B199))</f>
        <v/>
      </c>
      <c r="K199" s="29">
        <f>IF(B199="","",IF(N(J199)=0,"No gifts yet",IF(AND(N(Settings!$C$9)&gt;0,G199&lt;EDATE(TODAY(),-N(Settings!$C$9))),"Lapsed",IF(YEAR(F199)=N(Settings!$C$7),"New","Active"))))</f>
        <v/>
      </c>
      <c r="L199" s="1" t="n"/>
      <c r="M199">
        <f>IF(OR(B199="",N(H199)&lt;=0),"",ROUND(H199*100,0)*1000+1000-ROW())</f>
        <v/>
      </c>
      <c r="N199">
        <f>IF(B199="","",SUMIFS(Gifts!$Q$6:$Q$1005,Gifts!$C$6:$C$1005,B199,Gifts!$K$6:$K$1005,Settings!$C$7))</f>
        <v/>
      </c>
    </row>
    <row r="200">
      <c r="A200" s="1" t="n"/>
      <c r="B200" s="22" t="n"/>
      <c r="C200" s="24" t="n"/>
      <c r="D200" s="25" t="n"/>
      <c r="E200" s="25" t="n"/>
      <c r="F200" s="26">
        <f>IF(OR(B200="",N(J200)=0),"",SUMPRODUCT(MIN((Gifts!$C$6:$C$1005=B200)*Gifts!$Q$6:$Q$1005*Gifts!$M$6:$M$1005+(1-(Gifts!$C$6:$C$1005=B200)*Gifts!$Q$6:$Q$1005)*1E9)))</f>
        <v/>
      </c>
      <c r="G200" s="26">
        <f>IF(OR(B200="",N(J200)=0),"",SUMPRODUCT(MAX((Gifts!$C$6:$C$1005=B200)*Gifts!$Q$6:$Q$1005*Gifts!$M$6:$M$1005)))</f>
        <v/>
      </c>
      <c r="H200" s="27">
        <f>IF(B200="","",SUMIFS(Gifts!$D$6:$D$1005,Gifts!$C$6:$C$1005,B200,Gifts!$K$6:$K$1005,Settings!$C$7,Gifts!$D$6:$D$1005,"&gt;0"))</f>
        <v/>
      </c>
      <c r="I200" s="28">
        <f>IF(B200="","",SUMIFS(Gifts!$D$6:$D$1005,Gifts!$C$6:$C$1005,B200,Gifts!$D$6:$D$1005,"&gt;0",Gifts!$M$6:$M$1005,"&gt;0"))</f>
        <v/>
      </c>
      <c r="J200" s="18">
        <f>IF(B200="","",SUMIFS(Gifts!$Q$6:$Q$1005,Gifts!$C$6:$C$1005,B200))</f>
        <v/>
      </c>
      <c r="K200" s="29">
        <f>IF(B200="","",IF(N(J200)=0,"No gifts yet",IF(AND(N(Settings!$C$9)&gt;0,G200&lt;EDATE(TODAY(),-N(Settings!$C$9))),"Lapsed",IF(YEAR(F200)=N(Settings!$C$7),"New","Active"))))</f>
        <v/>
      </c>
      <c r="L200" s="1" t="n"/>
      <c r="M200">
        <f>IF(OR(B200="",N(H200)&lt;=0),"",ROUND(H200*100,0)*1000+1000-ROW())</f>
        <v/>
      </c>
      <c r="N200">
        <f>IF(B200="","",SUMIFS(Gifts!$Q$6:$Q$1005,Gifts!$C$6:$C$1005,B200,Gifts!$K$6:$K$1005,Settings!$C$7))</f>
        <v/>
      </c>
    </row>
    <row r="201">
      <c r="A201" s="1" t="n"/>
      <c r="B201" s="22" t="n"/>
      <c r="C201" s="24" t="n"/>
      <c r="D201" s="25" t="n"/>
      <c r="E201" s="25" t="n"/>
      <c r="F201" s="26">
        <f>IF(OR(B201="",N(J201)=0),"",SUMPRODUCT(MIN((Gifts!$C$6:$C$1005=B201)*Gifts!$Q$6:$Q$1005*Gifts!$M$6:$M$1005+(1-(Gifts!$C$6:$C$1005=B201)*Gifts!$Q$6:$Q$1005)*1E9)))</f>
        <v/>
      </c>
      <c r="G201" s="26">
        <f>IF(OR(B201="",N(J201)=0),"",SUMPRODUCT(MAX((Gifts!$C$6:$C$1005=B201)*Gifts!$Q$6:$Q$1005*Gifts!$M$6:$M$1005)))</f>
        <v/>
      </c>
      <c r="H201" s="27">
        <f>IF(B201="","",SUMIFS(Gifts!$D$6:$D$1005,Gifts!$C$6:$C$1005,B201,Gifts!$K$6:$K$1005,Settings!$C$7,Gifts!$D$6:$D$1005,"&gt;0"))</f>
        <v/>
      </c>
      <c r="I201" s="28">
        <f>IF(B201="","",SUMIFS(Gifts!$D$6:$D$1005,Gifts!$C$6:$C$1005,B201,Gifts!$D$6:$D$1005,"&gt;0",Gifts!$M$6:$M$1005,"&gt;0"))</f>
        <v/>
      </c>
      <c r="J201" s="18">
        <f>IF(B201="","",SUMIFS(Gifts!$Q$6:$Q$1005,Gifts!$C$6:$C$1005,B201))</f>
        <v/>
      </c>
      <c r="K201" s="29">
        <f>IF(B201="","",IF(N(J201)=0,"No gifts yet",IF(AND(N(Settings!$C$9)&gt;0,G201&lt;EDATE(TODAY(),-N(Settings!$C$9))),"Lapsed",IF(YEAR(F201)=N(Settings!$C$7),"New","Active"))))</f>
        <v/>
      </c>
      <c r="L201" s="1" t="n"/>
      <c r="M201">
        <f>IF(OR(B201="",N(H201)&lt;=0),"",ROUND(H201*100,0)*1000+1000-ROW())</f>
        <v/>
      </c>
      <c r="N201">
        <f>IF(B201="","",SUMIFS(Gifts!$Q$6:$Q$1005,Gifts!$C$6:$C$1005,B201,Gifts!$K$6:$K$1005,Settings!$C$7))</f>
        <v/>
      </c>
    </row>
    <row r="202">
      <c r="A202" s="1" t="n"/>
      <c r="B202" s="22" t="n"/>
      <c r="C202" s="24" t="n"/>
      <c r="D202" s="25" t="n"/>
      <c r="E202" s="25" t="n"/>
      <c r="F202" s="26">
        <f>IF(OR(B202="",N(J202)=0),"",SUMPRODUCT(MIN((Gifts!$C$6:$C$1005=B202)*Gifts!$Q$6:$Q$1005*Gifts!$M$6:$M$1005+(1-(Gifts!$C$6:$C$1005=B202)*Gifts!$Q$6:$Q$1005)*1E9)))</f>
        <v/>
      </c>
      <c r="G202" s="26">
        <f>IF(OR(B202="",N(J202)=0),"",SUMPRODUCT(MAX((Gifts!$C$6:$C$1005=B202)*Gifts!$Q$6:$Q$1005*Gifts!$M$6:$M$1005)))</f>
        <v/>
      </c>
      <c r="H202" s="27">
        <f>IF(B202="","",SUMIFS(Gifts!$D$6:$D$1005,Gifts!$C$6:$C$1005,B202,Gifts!$K$6:$K$1005,Settings!$C$7,Gifts!$D$6:$D$1005,"&gt;0"))</f>
        <v/>
      </c>
      <c r="I202" s="28">
        <f>IF(B202="","",SUMIFS(Gifts!$D$6:$D$1005,Gifts!$C$6:$C$1005,B202,Gifts!$D$6:$D$1005,"&gt;0",Gifts!$M$6:$M$1005,"&gt;0"))</f>
        <v/>
      </c>
      <c r="J202" s="18">
        <f>IF(B202="","",SUMIFS(Gifts!$Q$6:$Q$1005,Gifts!$C$6:$C$1005,B202))</f>
        <v/>
      </c>
      <c r="K202" s="29">
        <f>IF(B202="","",IF(N(J202)=0,"No gifts yet",IF(AND(N(Settings!$C$9)&gt;0,G202&lt;EDATE(TODAY(),-N(Settings!$C$9))),"Lapsed",IF(YEAR(F202)=N(Settings!$C$7),"New","Active"))))</f>
        <v/>
      </c>
      <c r="L202" s="1" t="n"/>
      <c r="M202">
        <f>IF(OR(B202="",N(H202)&lt;=0),"",ROUND(H202*100,0)*1000+1000-ROW())</f>
        <v/>
      </c>
      <c r="N202">
        <f>IF(B202="","",SUMIFS(Gifts!$Q$6:$Q$1005,Gifts!$C$6:$C$1005,B202,Gifts!$K$6:$K$1005,Settings!$C$7))</f>
        <v/>
      </c>
    </row>
    <row r="203">
      <c r="A203" s="1" t="n"/>
      <c r="B203" s="22" t="n"/>
      <c r="C203" s="24" t="n"/>
      <c r="D203" s="25" t="n"/>
      <c r="E203" s="25" t="n"/>
      <c r="F203" s="26">
        <f>IF(OR(B203="",N(J203)=0),"",SUMPRODUCT(MIN((Gifts!$C$6:$C$1005=B203)*Gifts!$Q$6:$Q$1005*Gifts!$M$6:$M$1005+(1-(Gifts!$C$6:$C$1005=B203)*Gifts!$Q$6:$Q$1005)*1E9)))</f>
        <v/>
      </c>
      <c r="G203" s="26">
        <f>IF(OR(B203="",N(J203)=0),"",SUMPRODUCT(MAX((Gifts!$C$6:$C$1005=B203)*Gifts!$Q$6:$Q$1005*Gifts!$M$6:$M$1005)))</f>
        <v/>
      </c>
      <c r="H203" s="27">
        <f>IF(B203="","",SUMIFS(Gifts!$D$6:$D$1005,Gifts!$C$6:$C$1005,B203,Gifts!$K$6:$K$1005,Settings!$C$7,Gifts!$D$6:$D$1005,"&gt;0"))</f>
        <v/>
      </c>
      <c r="I203" s="28">
        <f>IF(B203="","",SUMIFS(Gifts!$D$6:$D$1005,Gifts!$C$6:$C$1005,B203,Gifts!$D$6:$D$1005,"&gt;0",Gifts!$M$6:$M$1005,"&gt;0"))</f>
        <v/>
      </c>
      <c r="J203" s="18">
        <f>IF(B203="","",SUMIFS(Gifts!$Q$6:$Q$1005,Gifts!$C$6:$C$1005,B203))</f>
        <v/>
      </c>
      <c r="K203" s="29">
        <f>IF(B203="","",IF(N(J203)=0,"No gifts yet",IF(AND(N(Settings!$C$9)&gt;0,G203&lt;EDATE(TODAY(),-N(Settings!$C$9))),"Lapsed",IF(YEAR(F203)=N(Settings!$C$7),"New","Active"))))</f>
        <v/>
      </c>
      <c r="L203" s="1" t="n"/>
      <c r="M203">
        <f>IF(OR(B203="",N(H203)&lt;=0),"",ROUND(H203*100,0)*1000+1000-ROW())</f>
        <v/>
      </c>
      <c r="N203">
        <f>IF(B203="","",SUMIFS(Gifts!$Q$6:$Q$1005,Gifts!$C$6:$C$1005,B203,Gifts!$K$6:$K$1005,Settings!$C$7))</f>
        <v/>
      </c>
    </row>
    <row r="204">
      <c r="A204" s="1" t="n"/>
      <c r="B204" s="22" t="n"/>
      <c r="C204" s="24" t="n"/>
      <c r="D204" s="25" t="n"/>
      <c r="E204" s="25" t="n"/>
      <c r="F204" s="26">
        <f>IF(OR(B204="",N(J204)=0),"",SUMPRODUCT(MIN((Gifts!$C$6:$C$1005=B204)*Gifts!$Q$6:$Q$1005*Gifts!$M$6:$M$1005+(1-(Gifts!$C$6:$C$1005=B204)*Gifts!$Q$6:$Q$1005)*1E9)))</f>
        <v/>
      </c>
      <c r="G204" s="26">
        <f>IF(OR(B204="",N(J204)=0),"",SUMPRODUCT(MAX((Gifts!$C$6:$C$1005=B204)*Gifts!$Q$6:$Q$1005*Gifts!$M$6:$M$1005)))</f>
        <v/>
      </c>
      <c r="H204" s="27">
        <f>IF(B204="","",SUMIFS(Gifts!$D$6:$D$1005,Gifts!$C$6:$C$1005,B204,Gifts!$K$6:$K$1005,Settings!$C$7,Gifts!$D$6:$D$1005,"&gt;0"))</f>
        <v/>
      </c>
      <c r="I204" s="28">
        <f>IF(B204="","",SUMIFS(Gifts!$D$6:$D$1005,Gifts!$C$6:$C$1005,B204,Gifts!$D$6:$D$1005,"&gt;0",Gifts!$M$6:$M$1005,"&gt;0"))</f>
        <v/>
      </c>
      <c r="J204" s="18">
        <f>IF(B204="","",SUMIFS(Gifts!$Q$6:$Q$1005,Gifts!$C$6:$C$1005,B204))</f>
        <v/>
      </c>
      <c r="K204" s="29">
        <f>IF(B204="","",IF(N(J204)=0,"No gifts yet",IF(AND(N(Settings!$C$9)&gt;0,G204&lt;EDATE(TODAY(),-N(Settings!$C$9))),"Lapsed",IF(YEAR(F204)=N(Settings!$C$7),"New","Active"))))</f>
        <v/>
      </c>
      <c r="L204" s="1" t="n"/>
      <c r="M204">
        <f>IF(OR(B204="",N(H204)&lt;=0),"",ROUND(H204*100,0)*1000+1000-ROW())</f>
        <v/>
      </c>
      <c r="N204">
        <f>IF(B204="","",SUMIFS(Gifts!$Q$6:$Q$1005,Gifts!$C$6:$C$1005,B204,Gifts!$K$6:$K$1005,Settings!$C$7))</f>
        <v/>
      </c>
    </row>
    <row r="205">
      <c r="A205" s="1" t="n"/>
      <c r="B205" s="22" t="n"/>
      <c r="C205" s="24" t="n"/>
      <c r="D205" s="25" t="n"/>
      <c r="E205" s="25" t="n"/>
      <c r="F205" s="26">
        <f>IF(OR(B205="",N(J205)=0),"",SUMPRODUCT(MIN((Gifts!$C$6:$C$1005=B205)*Gifts!$Q$6:$Q$1005*Gifts!$M$6:$M$1005+(1-(Gifts!$C$6:$C$1005=B205)*Gifts!$Q$6:$Q$1005)*1E9)))</f>
        <v/>
      </c>
      <c r="G205" s="26">
        <f>IF(OR(B205="",N(J205)=0),"",SUMPRODUCT(MAX((Gifts!$C$6:$C$1005=B205)*Gifts!$Q$6:$Q$1005*Gifts!$M$6:$M$1005)))</f>
        <v/>
      </c>
      <c r="H205" s="27">
        <f>IF(B205="","",SUMIFS(Gifts!$D$6:$D$1005,Gifts!$C$6:$C$1005,B205,Gifts!$K$6:$K$1005,Settings!$C$7,Gifts!$D$6:$D$1005,"&gt;0"))</f>
        <v/>
      </c>
      <c r="I205" s="28">
        <f>IF(B205="","",SUMIFS(Gifts!$D$6:$D$1005,Gifts!$C$6:$C$1005,B205,Gifts!$D$6:$D$1005,"&gt;0",Gifts!$M$6:$M$1005,"&gt;0"))</f>
        <v/>
      </c>
      <c r="J205" s="18">
        <f>IF(B205="","",SUMIFS(Gifts!$Q$6:$Q$1005,Gifts!$C$6:$C$1005,B205))</f>
        <v/>
      </c>
      <c r="K205" s="29">
        <f>IF(B205="","",IF(N(J205)=0,"No gifts yet",IF(AND(N(Settings!$C$9)&gt;0,G205&lt;EDATE(TODAY(),-N(Settings!$C$9))),"Lapsed",IF(YEAR(F205)=N(Settings!$C$7),"New","Active"))))</f>
        <v/>
      </c>
      <c r="L205" s="1" t="n"/>
      <c r="M205">
        <f>IF(OR(B205="",N(H205)&lt;=0),"",ROUND(H205*100,0)*1000+1000-ROW())</f>
        <v/>
      </c>
      <c r="N205">
        <f>IF(B205="","",SUMIFS(Gifts!$Q$6:$Q$1005,Gifts!$C$6:$C$1005,B205,Gifts!$K$6:$K$1005,Settings!$C$7))</f>
        <v/>
      </c>
    </row>
    <row r="206">
      <c r="A206" s="1" t="n"/>
      <c r="B206" s="22" t="n"/>
      <c r="C206" s="24" t="n"/>
      <c r="D206" s="25" t="n"/>
      <c r="E206" s="25" t="n"/>
      <c r="F206" s="26">
        <f>IF(OR(B206="",N(J206)=0),"",SUMPRODUCT(MIN((Gifts!$C$6:$C$1005=B206)*Gifts!$Q$6:$Q$1005*Gifts!$M$6:$M$1005+(1-(Gifts!$C$6:$C$1005=B206)*Gifts!$Q$6:$Q$1005)*1E9)))</f>
        <v/>
      </c>
      <c r="G206" s="26">
        <f>IF(OR(B206="",N(J206)=0),"",SUMPRODUCT(MAX((Gifts!$C$6:$C$1005=B206)*Gifts!$Q$6:$Q$1005*Gifts!$M$6:$M$1005)))</f>
        <v/>
      </c>
      <c r="H206" s="27">
        <f>IF(B206="","",SUMIFS(Gifts!$D$6:$D$1005,Gifts!$C$6:$C$1005,B206,Gifts!$K$6:$K$1005,Settings!$C$7,Gifts!$D$6:$D$1005,"&gt;0"))</f>
        <v/>
      </c>
      <c r="I206" s="28">
        <f>IF(B206="","",SUMIFS(Gifts!$D$6:$D$1005,Gifts!$C$6:$C$1005,B206,Gifts!$D$6:$D$1005,"&gt;0",Gifts!$M$6:$M$1005,"&gt;0"))</f>
        <v/>
      </c>
      <c r="J206" s="18">
        <f>IF(B206="","",SUMIFS(Gifts!$Q$6:$Q$1005,Gifts!$C$6:$C$1005,B206))</f>
        <v/>
      </c>
      <c r="K206" s="29">
        <f>IF(B206="","",IF(N(J206)=0,"No gifts yet",IF(AND(N(Settings!$C$9)&gt;0,G206&lt;EDATE(TODAY(),-N(Settings!$C$9))),"Lapsed",IF(YEAR(F206)=N(Settings!$C$7),"New","Active"))))</f>
        <v/>
      </c>
      <c r="L206" s="1" t="n"/>
      <c r="M206">
        <f>IF(OR(B206="",N(H206)&lt;=0),"",ROUND(H206*100,0)*1000+1000-ROW())</f>
        <v/>
      </c>
      <c r="N206">
        <f>IF(B206="","",SUMIFS(Gifts!$Q$6:$Q$1005,Gifts!$C$6:$C$1005,B206,Gifts!$K$6:$K$1005,Settings!$C$7))</f>
        <v/>
      </c>
    </row>
    <row r="207">
      <c r="A207" s="1" t="n"/>
      <c r="B207" s="22" t="n"/>
      <c r="C207" s="24" t="n"/>
      <c r="D207" s="25" t="n"/>
      <c r="E207" s="25" t="n"/>
      <c r="F207" s="26">
        <f>IF(OR(B207="",N(J207)=0),"",SUMPRODUCT(MIN((Gifts!$C$6:$C$1005=B207)*Gifts!$Q$6:$Q$1005*Gifts!$M$6:$M$1005+(1-(Gifts!$C$6:$C$1005=B207)*Gifts!$Q$6:$Q$1005)*1E9)))</f>
        <v/>
      </c>
      <c r="G207" s="26">
        <f>IF(OR(B207="",N(J207)=0),"",SUMPRODUCT(MAX((Gifts!$C$6:$C$1005=B207)*Gifts!$Q$6:$Q$1005*Gifts!$M$6:$M$1005)))</f>
        <v/>
      </c>
      <c r="H207" s="27">
        <f>IF(B207="","",SUMIFS(Gifts!$D$6:$D$1005,Gifts!$C$6:$C$1005,B207,Gifts!$K$6:$K$1005,Settings!$C$7,Gifts!$D$6:$D$1005,"&gt;0"))</f>
        <v/>
      </c>
      <c r="I207" s="28">
        <f>IF(B207="","",SUMIFS(Gifts!$D$6:$D$1005,Gifts!$C$6:$C$1005,B207,Gifts!$D$6:$D$1005,"&gt;0",Gifts!$M$6:$M$1005,"&gt;0"))</f>
        <v/>
      </c>
      <c r="J207" s="18">
        <f>IF(B207="","",SUMIFS(Gifts!$Q$6:$Q$1005,Gifts!$C$6:$C$1005,B207))</f>
        <v/>
      </c>
      <c r="K207" s="29">
        <f>IF(B207="","",IF(N(J207)=0,"No gifts yet",IF(AND(N(Settings!$C$9)&gt;0,G207&lt;EDATE(TODAY(),-N(Settings!$C$9))),"Lapsed",IF(YEAR(F207)=N(Settings!$C$7),"New","Active"))))</f>
        <v/>
      </c>
      <c r="L207" s="1" t="n"/>
      <c r="M207">
        <f>IF(OR(B207="",N(H207)&lt;=0),"",ROUND(H207*100,0)*1000+1000-ROW())</f>
        <v/>
      </c>
      <c r="N207">
        <f>IF(B207="","",SUMIFS(Gifts!$Q$6:$Q$1005,Gifts!$C$6:$C$1005,B207,Gifts!$K$6:$K$1005,Settings!$C$7))</f>
        <v/>
      </c>
    </row>
    <row r="208">
      <c r="A208" s="1" t="n"/>
      <c r="B208" s="22" t="n"/>
      <c r="C208" s="24" t="n"/>
      <c r="D208" s="25" t="n"/>
      <c r="E208" s="25" t="n"/>
      <c r="F208" s="26">
        <f>IF(OR(B208="",N(J208)=0),"",SUMPRODUCT(MIN((Gifts!$C$6:$C$1005=B208)*Gifts!$Q$6:$Q$1005*Gifts!$M$6:$M$1005+(1-(Gifts!$C$6:$C$1005=B208)*Gifts!$Q$6:$Q$1005)*1E9)))</f>
        <v/>
      </c>
      <c r="G208" s="26">
        <f>IF(OR(B208="",N(J208)=0),"",SUMPRODUCT(MAX((Gifts!$C$6:$C$1005=B208)*Gifts!$Q$6:$Q$1005*Gifts!$M$6:$M$1005)))</f>
        <v/>
      </c>
      <c r="H208" s="27">
        <f>IF(B208="","",SUMIFS(Gifts!$D$6:$D$1005,Gifts!$C$6:$C$1005,B208,Gifts!$K$6:$K$1005,Settings!$C$7,Gifts!$D$6:$D$1005,"&gt;0"))</f>
        <v/>
      </c>
      <c r="I208" s="28">
        <f>IF(B208="","",SUMIFS(Gifts!$D$6:$D$1005,Gifts!$C$6:$C$1005,B208,Gifts!$D$6:$D$1005,"&gt;0",Gifts!$M$6:$M$1005,"&gt;0"))</f>
        <v/>
      </c>
      <c r="J208" s="18">
        <f>IF(B208="","",SUMIFS(Gifts!$Q$6:$Q$1005,Gifts!$C$6:$C$1005,B208))</f>
        <v/>
      </c>
      <c r="K208" s="29">
        <f>IF(B208="","",IF(N(J208)=0,"No gifts yet",IF(AND(N(Settings!$C$9)&gt;0,G208&lt;EDATE(TODAY(),-N(Settings!$C$9))),"Lapsed",IF(YEAR(F208)=N(Settings!$C$7),"New","Active"))))</f>
        <v/>
      </c>
      <c r="L208" s="1" t="n"/>
      <c r="M208">
        <f>IF(OR(B208="",N(H208)&lt;=0),"",ROUND(H208*100,0)*1000+1000-ROW())</f>
        <v/>
      </c>
      <c r="N208">
        <f>IF(B208="","",SUMIFS(Gifts!$Q$6:$Q$1005,Gifts!$C$6:$C$1005,B208,Gifts!$K$6:$K$1005,Settings!$C$7))</f>
        <v/>
      </c>
    </row>
    <row r="209">
      <c r="A209" s="1" t="n"/>
      <c r="B209" s="22" t="n"/>
      <c r="C209" s="24" t="n"/>
      <c r="D209" s="25" t="n"/>
      <c r="E209" s="25" t="n"/>
      <c r="F209" s="26">
        <f>IF(OR(B209="",N(J209)=0),"",SUMPRODUCT(MIN((Gifts!$C$6:$C$1005=B209)*Gifts!$Q$6:$Q$1005*Gifts!$M$6:$M$1005+(1-(Gifts!$C$6:$C$1005=B209)*Gifts!$Q$6:$Q$1005)*1E9)))</f>
        <v/>
      </c>
      <c r="G209" s="26">
        <f>IF(OR(B209="",N(J209)=0),"",SUMPRODUCT(MAX((Gifts!$C$6:$C$1005=B209)*Gifts!$Q$6:$Q$1005*Gifts!$M$6:$M$1005)))</f>
        <v/>
      </c>
      <c r="H209" s="27">
        <f>IF(B209="","",SUMIFS(Gifts!$D$6:$D$1005,Gifts!$C$6:$C$1005,B209,Gifts!$K$6:$K$1005,Settings!$C$7,Gifts!$D$6:$D$1005,"&gt;0"))</f>
        <v/>
      </c>
      <c r="I209" s="28">
        <f>IF(B209="","",SUMIFS(Gifts!$D$6:$D$1005,Gifts!$C$6:$C$1005,B209,Gifts!$D$6:$D$1005,"&gt;0",Gifts!$M$6:$M$1005,"&gt;0"))</f>
        <v/>
      </c>
      <c r="J209" s="18">
        <f>IF(B209="","",SUMIFS(Gifts!$Q$6:$Q$1005,Gifts!$C$6:$C$1005,B209))</f>
        <v/>
      </c>
      <c r="K209" s="29">
        <f>IF(B209="","",IF(N(J209)=0,"No gifts yet",IF(AND(N(Settings!$C$9)&gt;0,G209&lt;EDATE(TODAY(),-N(Settings!$C$9))),"Lapsed",IF(YEAR(F209)=N(Settings!$C$7),"New","Active"))))</f>
        <v/>
      </c>
      <c r="L209" s="1" t="n"/>
      <c r="M209">
        <f>IF(OR(B209="",N(H209)&lt;=0),"",ROUND(H209*100,0)*1000+1000-ROW())</f>
        <v/>
      </c>
      <c r="N209">
        <f>IF(B209="","",SUMIFS(Gifts!$Q$6:$Q$1005,Gifts!$C$6:$C$1005,B209,Gifts!$K$6:$K$1005,Settings!$C$7))</f>
        <v/>
      </c>
    </row>
    <row r="210">
      <c r="A210" s="1" t="n"/>
      <c r="B210" s="22" t="n"/>
      <c r="C210" s="24" t="n"/>
      <c r="D210" s="25" t="n"/>
      <c r="E210" s="25" t="n"/>
      <c r="F210" s="26">
        <f>IF(OR(B210="",N(J210)=0),"",SUMPRODUCT(MIN((Gifts!$C$6:$C$1005=B210)*Gifts!$Q$6:$Q$1005*Gifts!$M$6:$M$1005+(1-(Gifts!$C$6:$C$1005=B210)*Gifts!$Q$6:$Q$1005)*1E9)))</f>
        <v/>
      </c>
      <c r="G210" s="26">
        <f>IF(OR(B210="",N(J210)=0),"",SUMPRODUCT(MAX((Gifts!$C$6:$C$1005=B210)*Gifts!$Q$6:$Q$1005*Gifts!$M$6:$M$1005)))</f>
        <v/>
      </c>
      <c r="H210" s="27">
        <f>IF(B210="","",SUMIFS(Gifts!$D$6:$D$1005,Gifts!$C$6:$C$1005,B210,Gifts!$K$6:$K$1005,Settings!$C$7,Gifts!$D$6:$D$1005,"&gt;0"))</f>
        <v/>
      </c>
      <c r="I210" s="28">
        <f>IF(B210="","",SUMIFS(Gifts!$D$6:$D$1005,Gifts!$C$6:$C$1005,B210,Gifts!$D$6:$D$1005,"&gt;0",Gifts!$M$6:$M$1005,"&gt;0"))</f>
        <v/>
      </c>
      <c r="J210" s="18">
        <f>IF(B210="","",SUMIFS(Gifts!$Q$6:$Q$1005,Gifts!$C$6:$C$1005,B210))</f>
        <v/>
      </c>
      <c r="K210" s="29">
        <f>IF(B210="","",IF(N(J210)=0,"No gifts yet",IF(AND(N(Settings!$C$9)&gt;0,G210&lt;EDATE(TODAY(),-N(Settings!$C$9))),"Lapsed",IF(YEAR(F210)=N(Settings!$C$7),"New","Active"))))</f>
        <v/>
      </c>
      <c r="L210" s="1" t="n"/>
      <c r="M210">
        <f>IF(OR(B210="",N(H210)&lt;=0),"",ROUND(H210*100,0)*1000+1000-ROW())</f>
        <v/>
      </c>
      <c r="N210">
        <f>IF(B210="","",SUMIFS(Gifts!$Q$6:$Q$1005,Gifts!$C$6:$C$1005,B210,Gifts!$K$6:$K$1005,Settings!$C$7))</f>
        <v/>
      </c>
    </row>
    <row r="211">
      <c r="A211" s="1" t="n"/>
      <c r="B211" s="22" t="n"/>
      <c r="C211" s="24" t="n"/>
      <c r="D211" s="25" t="n"/>
      <c r="E211" s="25" t="n"/>
      <c r="F211" s="26">
        <f>IF(OR(B211="",N(J211)=0),"",SUMPRODUCT(MIN((Gifts!$C$6:$C$1005=B211)*Gifts!$Q$6:$Q$1005*Gifts!$M$6:$M$1005+(1-(Gifts!$C$6:$C$1005=B211)*Gifts!$Q$6:$Q$1005)*1E9)))</f>
        <v/>
      </c>
      <c r="G211" s="26">
        <f>IF(OR(B211="",N(J211)=0),"",SUMPRODUCT(MAX((Gifts!$C$6:$C$1005=B211)*Gifts!$Q$6:$Q$1005*Gifts!$M$6:$M$1005)))</f>
        <v/>
      </c>
      <c r="H211" s="27">
        <f>IF(B211="","",SUMIFS(Gifts!$D$6:$D$1005,Gifts!$C$6:$C$1005,B211,Gifts!$K$6:$K$1005,Settings!$C$7,Gifts!$D$6:$D$1005,"&gt;0"))</f>
        <v/>
      </c>
      <c r="I211" s="28">
        <f>IF(B211="","",SUMIFS(Gifts!$D$6:$D$1005,Gifts!$C$6:$C$1005,B211,Gifts!$D$6:$D$1005,"&gt;0",Gifts!$M$6:$M$1005,"&gt;0"))</f>
        <v/>
      </c>
      <c r="J211" s="18">
        <f>IF(B211="","",SUMIFS(Gifts!$Q$6:$Q$1005,Gifts!$C$6:$C$1005,B211))</f>
        <v/>
      </c>
      <c r="K211" s="29">
        <f>IF(B211="","",IF(N(J211)=0,"No gifts yet",IF(AND(N(Settings!$C$9)&gt;0,G211&lt;EDATE(TODAY(),-N(Settings!$C$9))),"Lapsed",IF(YEAR(F211)=N(Settings!$C$7),"New","Active"))))</f>
        <v/>
      </c>
      <c r="L211" s="1" t="n"/>
      <c r="M211">
        <f>IF(OR(B211="",N(H211)&lt;=0),"",ROUND(H211*100,0)*1000+1000-ROW())</f>
        <v/>
      </c>
      <c r="N211">
        <f>IF(B211="","",SUMIFS(Gifts!$Q$6:$Q$1005,Gifts!$C$6:$C$1005,B211,Gifts!$K$6:$K$1005,Settings!$C$7))</f>
        <v/>
      </c>
    </row>
    <row r="212">
      <c r="A212" s="1" t="n"/>
      <c r="B212" s="22" t="n"/>
      <c r="C212" s="24" t="n"/>
      <c r="D212" s="25" t="n"/>
      <c r="E212" s="25" t="n"/>
      <c r="F212" s="26">
        <f>IF(OR(B212="",N(J212)=0),"",SUMPRODUCT(MIN((Gifts!$C$6:$C$1005=B212)*Gifts!$Q$6:$Q$1005*Gifts!$M$6:$M$1005+(1-(Gifts!$C$6:$C$1005=B212)*Gifts!$Q$6:$Q$1005)*1E9)))</f>
        <v/>
      </c>
      <c r="G212" s="26">
        <f>IF(OR(B212="",N(J212)=0),"",SUMPRODUCT(MAX((Gifts!$C$6:$C$1005=B212)*Gifts!$Q$6:$Q$1005*Gifts!$M$6:$M$1005)))</f>
        <v/>
      </c>
      <c r="H212" s="27">
        <f>IF(B212="","",SUMIFS(Gifts!$D$6:$D$1005,Gifts!$C$6:$C$1005,B212,Gifts!$K$6:$K$1005,Settings!$C$7,Gifts!$D$6:$D$1005,"&gt;0"))</f>
        <v/>
      </c>
      <c r="I212" s="28">
        <f>IF(B212="","",SUMIFS(Gifts!$D$6:$D$1005,Gifts!$C$6:$C$1005,B212,Gifts!$D$6:$D$1005,"&gt;0",Gifts!$M$6:$M$1005,"&gt;0"))</f>
        <v/>
      </c>
      <c r="J212" s="18">
        <f>IF(B212="","",SUMIFS(Gifts!$Q$6:$Q$1005,Gifts!$C$6:$C$1005,B212))</f>
        <v/>
      </c>
      <c r="K212" s="29">
        <f>IF(B212="","",IF(N(J212)=0,"No gifts yet",IF(AND(N(Settings!$C$9)&gt;0,G212&lt;EDATE(TODAY(),-N(Settings!$C$9))),"Lapsed",IF(YEAR(F212)=N(Settings!$C$7),"New","Active"))))</f>
        <v/>
      </c>
      <c r="L212" s="1" t="n"/>
      <c r="M212">
        <f>IF(OR(B212="",N(H212)&lt;=0),"",ROUND(H212*100,0)*1000+1000-ROW())</f>
        <v/>
      </c>
      <c r="N212">
        <f>IF(B212="","",SUMIFS(Gifts!$Q$6:$Q$1005,Gifts!$C$6:$C$1005,B212,Gifts!$K$6:$K$1005,Settings!$C$7))</f>
        <v/>
      </c>
    </row>
    <row r="213">
      <c r="A213" s="1" t="n"/>
      <c r="B213" s="22" t="n"/>
      <c r="C213" s="24" t="n"/>
      <c r="D213" s="25" t="n"/>
      <c r="E213" s="25" t="n"/>
      <c r="F213" s="26">
        <f>IF(OR(B213="",N(J213)=0),"",SUMPRODUCT(MIN((Gifts!$C$6:$C$1005=B213)*Gifts!$Q$6:$Q$1005*Gifts!$M$6:$M$1005+(1-(Gifts!$C$6:$C$1005=B213)*Gifts!$Q$6:$Q$1005)*1E9)))</f>
        <v/>
      </c>
      <c r="G213" s="26">
        <f>IF(OR(B213="",N(J213)=0),"",SUMPRODUCT(MAX((Gifts!$C$6:$C$1005=B213)*Gifts!$Q$6:$Q$1005*Gifts!$M$6:$M$1005)))</f>
        <v/>
      </c>
      <c r="H213" s="27">
        <f>IF(B213="","",SUMIFS(Gifts!$D$6:$D$1005,Gifts!$C$6:$C$1005,B213,Gifts!$K$6:$K$1005,Settings!$C$7,Gifts!$D$6:$D$1005,"&gt;0"))</f>
        <v/>
      </c>
      <c r="I213" s="28">
        <f>IF(B213="","",SUMIFS(Gifts!$D$6:$D$1005,Gifts!$C$6:$C$1005,B213,Gifts!$D$6:$D$1005,"&gt;0",Gifts!$M$6:$M$1005,"&gt;0"))</f>
        <v/>
      </c>
      <c r="J213" s="18">
        <f>IF(B213="","",SUMIFS(Gifts!$Q$6:$Q$1005,Gifts!$C$6:$C$1005,B213))</f>
        <v/>
      </c>
      <c r="K213" s="29">
        <f>IF(B213="","",IF(N(J213)=0,"No gifts yet",IF(AND(N(Settings!$C$9)&gt;0,G213&lt;EDATE(TODAY(),-N(Settings!$C$9))),"Lapsed",IF(YEAR(F213)=N(Settings!$C$7),"New","Active"))))</f>
        <v/>
      </c>
      <c r="L213" s="1" t="n"/>
      <c r="M213">
        <f>IF(OR(B213="",N(H213)&lt;=0),"",ROUND(H213*100,0)*1000+1000-ROW())</f>
        <v/>
      </c>
      <c r="N213">
        <f>IF(B213="","",SUMIFS(Gifts!$Q$6:$Q$1005,Gifts!$C$6:$C$1005,B213,Gifts!$K$6:$K$1005,Settings!$C$7))</f>
        <v/>
      </c>
    </row>
    <row r="214">
      <c r="A214" s="1" t="n"/>
      <c r="B214" s="22" t="n"/>
      <c r="C214" s="24" t="n"/>
      <c r="D214" s="25" t="n"/>
      <c r="E214" s="25" t="n"/>
      <c r="F214" s="26">
        <f>IF(OR(B214="",N(J214)=0),"",SUMPRODUCT(MIN((Gifts!$C$6:$C$1005=B214)*Gifts!$Q$6:$Q$1005*Gifts!$M$6:$M$1005+(1-(Gifts!$C$6:$C$1005=B214)*Gifts!$Q$6:$Q$1005)*1E9)))</f>
        <v/>
      </c>
      <c r="G214" s="26">
        <f>IF(OR(B214="",N(J214)=0),"",SUMPRODUCT(MAX((Gifts!$C$6:$C$1005=B214)*Gifts!$Q$6:$Q$1005*Gifts!$M$6:$M$1005)))</f>
        <v/>
      </c>
      <c r="H214" s="27">
        <f>IF(B214="","",SUMIFS(Gifts!$D$6:$D$1005,Gifts!$C$6:$C$1005,B214,Gifts!$K$6:$K$1005,Settings!$C$7,Gifts!$D$6:$D$1005,"&gt;0"))</f>
        <v/>
      </c>
      <c r="I214" s="28">
        <f>IF(B214="","",SUMIFS(Gifts!$D$6:$D$1005,Gifts!$C$6:$C$1005,B214,Gifts!$D$6:$D$1005,"&gt;0",Gifts!$M$6:$M$1005,"&gt;0"))</f>
        <v/>
      </c>
      <c r="J214" s="18">
        <f>IF(B214="","",SUMIFS(Gifts!$Q$6:$Q$1005,Gifts!$C$6:$C$1005,B214))</f>
        <v/>
      </c>
      <c r="K214" s="29">
        <f>IF(B214="","",IF(N(J214)=0,"No gifts yet",IF(AND(N(Settings!$C$9)&gt;0,G214&lt;EDATE(TODAY(),-N(Settings!$C$9))),"Lapsed",IF(YEAR(F214)=N(Settings!$C$7),"New","Active"))))</f>
        <v/>
      </c>
      <c r="L214" s="1" t="n"/>
      <c r="M214">
        <f>IF(OR(B214="",N(H214)&lt;=0),"",ROUND(H214*100,0)*1000+1000-ROW())</f>
        <v/>
      </c>
      <c r="N214">
        <f>IF(B214="","",SUMIFS(Gifts!$Q$6:$Q$1005,Gifts!$C$6:$C$1005,B214,Gifts!$K$6:$K$1005,Settings!$C$7))</f>
        <v/>
      </c>
    </row>
    <row r="215">
      <c r="A215" s="1" t="n"/>
      <c r="B215" s="22" t="n"/>
      <c r="C215" s="24" t="n"/>
      <c r="D215" s="25" t="n"/>
      <c r="E215" s="25" t="n"/>
      <c r="F215" s="26">
        <f>IF(OR(B215="",N(J215)=0),"",SUMPRODUCT(MIN((Gifts!$C$6:$C$1005=B215)*Gifts!$Q$6:$Q$1005*Gifts!$M$6:$M$1005+(1-(Gifts!$C$6:$C$1005=B215)*Gifts!$Q$6:$Q$1005)*1E9)))</f>
        <v/>
      </c>
      <c r="G215" s="26">
        <f>IF(OR(B215="",N(J215)=0),"",SUMPRODUCT(MAX((Gifts!$C$6:$C$1005=B215)*Gifts!$Q$6:$Q$1005*Gifts!$M$6:$M$1005)))</f>
        <v/>
      </c>
      <c r="H215" s="27">
        <f>IF(B215="","",SUMIFS(Gifts!$D$6:$D$1005,Gifts!$C$6:$C$1005,B215,Gifts!$K$6:$K$1005,Settings!$C$7,Gifts!$D$6:$D$1005,"&gt;0"))</f>
        <v/>
      </c>
      <c r="I215" s="28">
        <f>IF(B215="","",SUMIFS(Gifts!$D$6:$D$1005,Gifts!$C$6:$C$1005,B215,Gifts!$D$6:$D$1005,"&gt;0",Gifts!$M$6:$M$1005,"&gt;0"))</f>
        <v/>
      </c>
      <c r="J215" s="18">
        <f>IF(B215="","",SUMIFS(Gifts!$Q$6:$Q$1005,Gifts!$C$6:$C$1005,B215))</f>
        <v/>
      </c>
      <c r="K215" s="29">
        <f>IF(B215="","",IF(N(J215)=0,"No gifts yet",IF(AND(N(Settings!$C$9)&gt;0,G215&lt;EDATE(TODAY(),-N(Settings!$C$9))),"Lapsed",IF(YEAR(F215)=N(Settings!$C$7),"New","Active"))))</f>
        <v/>
      </c>
      <c r="L215" s="1" t="n"/>
      <c r="M215">
        <f>IF(OR(B215="",N(H215)&lt;=0),"",ROUND(H215*100,0)*1000+1000-ROW())</f>
        <v/>
      </c>
      <c r="N215">
        <f>IF(B215="","",SUMIFS(Gifts!$Q$6:$Q$1005,Gifts!$C$6:$C$1005,B215,Gifts!$K$6:$K$1005,Settings!$C$7))</f>
        <v/>
      </c>
    </row>
    <row r="216">
      <c r="A216" s="1" t="n"/>
      <c r="B216" s="22" t="n"/>
      <c r="C216" s="24" t="n"/>
      <c r="D216" s="25" t="n"/>
      <c r="E216" s="25" t="n"/>
      <c r="F216" s="26">
        <f>IF(OR(B216="",N(J216)=0),"",SUMPRODUCT(MIN((Gifts!$C$6:$C$1005=B216)*Gifts!$Q$6:$Q$1005*Gifts!$M$6:$M$1005+(1-(Gifts!$C$6:$C$1005=B216)*Gifts!$Q$6:$Q$1005)*1E9)))</f>
        <v/>
      </c>
      <c r="G216" s="26">
        <f>IF(OR(B216="",N(J216)=0),"",SUMPRODUCT(MAX((Gifts!$C$6:$C$1005=B216)*Gifts!$Q$6:$Q$1005*Gifts!$M$6:$M$1005)))</f>
        <v/>
      </c>
      <c r="H216" s="27">
        <f>IF(B216="","",SUMIFS(Gifts!$D$6:$D$1005,Gifts!$C$6:$C$1005,B216,Gifts!$K$6:$K$1005,Settings!$C$7,Gifts!$D$6:$D$1005,"&gt;0"))</f>
        <v/>
      </c>
      <c r="I216" s="28">
        <f>IF(B216="","",SUMIFS(Gifts!$D$6:$D$1005,Gifts!$C$6:$C$1005,B216,Gifts!$D$6:$D$1005,"&gt;0",Gifts!$M$6:$M$1005,"&gt;0"))</f>
        <v/>
      </c>
      <c r="J216" s="18">
        <f>IF(B216="","",SUMIFS(Gifts!$Q$6:$Q$1005,Gifts!$C$6:$C$1005,B216))</f>
        <v/>
      </c>
      <c r="K216" s="29">
        <f>IF(B216="","",IF(N(J216)=0,"No gifts yet",IF(AND(N(Settings!$C$9)&gt;0,G216&lt;EDATE(TODAY(),-N(Settings!$C$9))),"Lapsed",IF(YEAR(F216)=N(Settings!$C$7),"New","Active"))))</f>
        <v/>
      </c>
      <c r="L216" s="1" t="n"/>
      <c r="M216">
        <f>IF(OR(B216="",N(H216)&lt;=0),"",ROUND(H216*100,0)*1000+1000-ROW())</f>
        <v/>
      </c>
      <c r="N216">
        <f>IF(B216="","",SUMIFS(Gifts!$Q$6:$Q$1005,Gifts!$C$6:$C$1005,B216,Gifts!$K$6:$K$1005,Settings!$C$7))</f>
        <v/>
      </c>
    </row>
    <row r="217">
      <c r="A217" s="1" t="n"/>
      <c r="B217" s="22" t="n"/>
      <c r="C217" s="24" t="n"/>
      <c r="D217" s="25" t="n"/>
      <c r="E217" s="25" t="n"/>
      <c r="F217" s="26">
        <f>IF(OR(B217="",N(J217)=0),"",SUMPRODUCT(MIN((Gifts!$C$6:$C$1005=B217)*Gifts!$Q$6:$Q$1005*Gifts!$M$6:$M$1005+(1-(Gifts!$C$6:$C$1005=B217)*Gifts!$Q$6:$Q$1005)*1E9)))</f>
        <v/>
      </c>
      <c r="G217" s="26">
        <f>IF(OR(B217="",N(J217)=0),"",SUMPRODUCT(MAX((Gifts!$C$6:$C$1005=B217)*Gifts!$Q$6:$Q$1005*Gifts!$M$6:$M$1005)))</f>
        <v/>
      </c>
      <c r="H217" s="27">
        <f>IF(B217="","",SUMIFS(Gifts!$D$6:$D$1005,Gifts!$C$6:$C$1005,B217,Gifts!$K$6:$K$1005,Settings!$C$7,Gifts!$D$6:$D$1005,"&gt;0"))</f>
        <v/>
      </c>
      <c r="I217" s="28">
        <f>IF(B217="","",SUMIFS(Gifts!$D$6:$D$1005,Gifts!$C$6:$C$1005,B217,Gifts!$D$6:$D$1005,"&gt;0",Gifts!$M$6:$M$1005,"&gt;0"))</f>
        <v/>
      </c>
      <c r="J217" s="18">
        <f>IF(B217="","",SUMIFS(Gifts!$Q$6:$Q$1005,Gifts!$C$6:$C$1005,B217))</f>
        <v/>
      </c>
      <c r="K217" s="29">
        <f>IF(B217="","",IF(N(J217)=0,"No gifts yet",IF(AND(N(Settings!$C$9)&gt;0,G217&lt;EDATE(TODAY(),-N(Settings!$C$9))),"Lapsed",IF(YEAR(F217)=N(Settings!$C$7),"New","Active"))))</f>
        <v/>
      </c>
      <c r="L217" s="1" t="n"/>
      <c r="M217">
        <f>IF(OR(B217="",N(H217)&lt;=0),"",ROUND(H217*100,0)*1000+1000-ROW())</f>
        <v/>
      </c>
      <c r="N217">
        <f>IF(B217="","",SUMIFS(Gifts!$Q$6:$Q$1005,Gifts!$C$6:$C$1005,B217,Gifts!$K$6:$K$1005,Settings!$C$7))</f>
        <v/>
      </c>
    </row>
    <row r="218">
      <c r="A218" s="1" t="n"/>
      <c r="B218" s="22" t="n"/>
      <c r="C218" s="24" t="n"/>
      <c r="D218" s="25" t="n"/>
      <c r="E218" s="25" t="n"/>
      <c r="F218" s="26">
        <f>IF(OR(B218="",N(J218)=0),"",SUMPRODUCT(MIN((Gifts!$C$6:$C$1005=B218)*Gifts!$Q$6:$Q$1005*Gifts!$M$6:$M$1005+(1-(Gifts!$C$6:$C$1005=B218)*Gifts!$Q$6:$Q$1005)*1E9)))</f>
        <v/>
      </c>
      <c r="G218" s="26">
        <f>IF(OR(B218="",N(J218)=0),"",SUMPRODUCT(MAX((Gifts!$C$6:$C$1005=B218)*Gifts!$Q$6:$Q$1005*Gifts!$M$6:$M$1005)))</f>
        <v/>
      </c>
      <c r="H218" s="27">
        <f>IF(B218="","",SUMIFS(Gifts!$D$6:$D$1005,Gifts!$C$6:$C$1005,B218,Gifts!$K$6:$K$1005,Settings!$C$7,Gifts!$D$6:$D$1005,"&gt;0"))</f>
        <v/>
      </c>
      <c r="I218" s="28">
        <f>IF(B218="","",SUMIFS(Gifts!$D$6:$D$1005,Gifts!$C$6:$C$1005,B218,Gifts!$D$6:$D$1005,"&gt;0",Gifts!$M$6:$M$1005,"&gt;0"))</f>
        <v/>
      </c>
      <c r="J218" s="18">
        <f>IF(B218="","",SUMIFS(Gifts!$Q$6:$Q$1005,Gifts!$C$6:$C$1005,B218))</f>
        <v/>
      </c>
      <c r="K218" s="29">
        <f>IF(B218="","",IF(N(J218)=0,"No gifts yet",IF(AND(N(Settings!$C$9)&gt;0,G218&lt;EDATE(TODAY(),-N(Settings!$C$9))),"Lapsed",IF(YEAR(F218)=N(Settings!$C$7),"New","Active"))))</f>
        <v/>
      </c>
      <c r="L218" s="1" t="n"/>
      <c r="M218">
        <f>IF(OR(B218="",N(H218)&lt;=0),"",ROUND(H218*100,0)*1000+1000-ROW())</f>
        <v/>
      </c>
      <c r="N218">
        <f>IF(B218="","",SUMIFS(Gifts!$Q$6:$Q$1005,Gifts!$C$6:$C$1005,B218,Gifts!$K$6:$K$1005,Settings!$C$7))</f>
        <v/>
      </c>
    </row>
    <row r="219">
      <c r="A219" s="1" t="n"/>
      <c r="B219" s="22" t="n"/>
      <c r="C219" s="24" t="n"/>
      <c r="D219" s="25" t="n"/>
      <c r="E219" s="25" t="n"/>
      <c r="F219" s="26">
        <f>IF(OR(B219="",N(J219)=0),"",SUMPRODUCT(MIN((Gifts!$C$6:$C$1005=B219)*Gifts!$Q$6:$Q$1005*Gifts!$M$6:$M$1005+(1-(Gifts!$C$6:$C$1005=B219)*Gifts!$Q$6:$Q$1005)*1E9)))</f>
        <v/>
      </c>
      <c r="G219" s="26">
        <f>IF(OR(B219="",N(J219)=0),"",SUMPRODUCT(MAX((Gifts!$C$6:$C$1005=B219)*Gifts!$Q$6:$Q$1005*Gifts!$M$6:$M$1005)))</f>
        <v/>
      </c>
      <c r="H219" s="27">
        <f>IF(B219="","",SUMIFS(Gifts!$D$6:$D$1005,Gifts!$C$6:$C$1005,B219,Gifts!$K$6:$K$1005,Settings!$C$7,Gifts!$D$6:$D$1005,"&gt;0"))</f>
        <v/>
      </c>
      <c r="I219" s="28">
        <f>IF(B219="","",SUMIFS(Gifts!$D$6:$D$1005,Gifts!$C$6:$C$1005,B219,Gifts!$D$6:$D$1005,"&gt;0",Gifts!$M$6:$M$1005,"&gt;0"))</f>
        <v/>
      </c>
      <c r="J219" s="18">
        <f>IF(B219="","",SUMIFS(Gifts!$Q$6:$Q$1005,Gifts!$C$6:$C$1005,B219))</f>
        <v/>
      </c>
      <c r="K219" s="29">
        <f>IF(B219="","",IF(N(J219)=0,"No gifts yet",IF(AND(N(Settings!$C$9)&gt;0,G219&lt;EDATE(TODAY(),-N(Settings!$C$9))),"Lapsed",IF(YEAR(F219)=N(Settings!$C$7),"New","Active"))))</f>
        <v/>
      </c>
      <c r="L219" s="1" t="n"/>
      <c r="M219">
        <f>IF(OR(B219="",N(H219)&lt;=0),"",ROUND(H219*100,0)*1000+1000-ROW())</f>
        <v/>
      </c>
      <c r="N219">
        <f>IF(B219="","",SUMIFS(Gifts!$Q$6:$Q$1005,Gifts!$C$6:$C$1005,B219,Gifts!$K$6:$K$1005,Settings!$C$7))</f>
        <v/>
      </c>
    </row>
    <row r="220">
      <c r="A220" s="1" t="n"/>
      <c r="B220" s="22" t="n"/>
      <c r="C220" s="24" t="n"/>
      <c r="D220" s="25" t="n"/>
      <c r="E220" s="25" t="n"/>
      <c r="F220" s="26">
        <f>IF(OR(B220="",N(J220)=0),"",SUMPRODUCT(MIN((Gifts!$C$6:$C$1005=B220)*Gifts!$Q$6:$Q$1005*Gifts!$M$6:$M$1005+(1-(Gifts!$C$6:$C$1005=B220)*Gifts!$Q$6:$Q$1005)*1E9)))</f>
        <v/>
      </c>
      <c r="G220" s="26">
        <f>IF(OR(B220="",N(J220)=0),"",SUMPRODUCT(MAX((Gifts!$C$6:$C$1005=B220)*Gifts!$Q$6:$Q$1005*Gifts!$M$6:$M$1005)))</f>
        <v/>
      </c>
      <c r="H220" s="27">
        <f>IF(B220="","",SUMIFS(Gifts!$D$6:$D$1005,Gifts!$C$6:$C$1005,B220,Gifts!$K$6:$K$1005,Settings!$C$7,Gifts!$D$6:$D$1005,"&gt;0"))</f>
        <v/>
      </c>
      <c r="I220" s="28">
        <f>IF(B220="","",SUMIFS(Gifts!$D$6:$D$1005,Gifts!$C$6:$C$1005,B220,Gifts!$D$6:$D$1005,"&gt;0",Gifts!$M$6:$M$1005,"&gt;0"))</f>
        <v/>
      </c>
      <c r="J220" s="18">
        <f>IF(B220="","",SUMIFS(Gifts!$Q$6:$Q$1005,Gifts!$C$6:$C$1005,B220))</f>
        <v/>
      </c>
      <c r="K220" s="29">
        <f>IF(B220="","",IF(N(J220)=0,"No gifts yet",IF(AND(N(Settings!$C$9)&gt;0,G220&lt;EDATE(TODAY(),-N(Settings!$C$9))),"Lapsed",IF(YEAR(F220)=N(Settings!$C$7),"New","Active"))))</f>
        <v/>
      </c>
      <c r="L220" s="1" t="n"/>
      <c r="M220">
        <f>IF(OR(B220="",N(H220)&lt;=0),"",ROUND(H220*100,0)*1000+1000-ROW())</f>
        <v/>
      </c>
      <c r="N220">
        <f>IF(B220="","",SUMIFS(Gifts!$Q$6:$Q$1005,Gifts!$C$6:$C$1005,B220,Gifts!$K$6:$K$1005,Settings!$C$7))</f>
        <v/>
      </c>
    </row>
    <row r="221">
      <c r="A221" s="1" t="n"/>
      <c r="B221" s="22" t="n"/>
      <c r="C221" s="24" t="n"/>
      <c r="D221" s="25" t="n"/>
      <c r="E221" s="25" t="n"/>
      <c r="F221" s="26">
        <f>IF(OR(B221="",N(J221)=0),"",SUMPRODUCT(MIN((Gifts!$C$6:$C$1005=B221)*Gifts!$Q$6:$Q$1005*Gifts!$M$6:$M$1005+(1-(Gifts!$C$6:$C$1005=B221)*Gifts!$Q$6:$Q$1005)*1E9)))</f>
        <v/>
      </c>
      <c r="G221" s="26">
        <f>IF(OR(B221="",N(J221)=0),"",SUMPRODUCT(MAX((Gifts!$C$6:$C$1005=B221)*Gifts!$Q$6:$Q$1005*Gifts!$M$6:$M$1005)))</f>
        <v/>
      </c>
      <c r="H221" s="27">
        <f>IF(B221="","",SUMIFS(Gifts!$D$6:$D$1005,Gifts!$C$6:$C$1005,B221,Gifts!$K$6:$K$1005,Settings!$C$7,Gifts!$D$6:$D$1005,"&gt;0"))</f>
        <v/>
      </c>
      <c r="I221" s="28">
        <f>IF(B221="","",SUMIFS(Gifts!$D$6:$D$1005,Gifts!$C$6:$C$1005,B221,Gifts!$D$6:$D$1005,"&gt;0",Gifts!$M$6:$M$1005,"&gt;0"))</f>
        <v/>
      </c>
      <c r="J221" s="18">
        <f>IF(B221="","",SUMIFS(Gifts!$Q$6:$Q$1005,Gifts!$C$6:$C$1005,B221))</f>
        <v/>
      </c>
      <c r="K221" s="29">
        <f>IF(B221="","",IF(N(J221)=0,"No gifts yet",IF(AND(N(Settings!$C$9)&gt;0,G221&lt;EDATE(TODAY(),-N(Settings!$C$9))),"Lapsed",IF(YEAR(F221)=N(Settings!$C$7),"New","Active"))))</f>
        <v/>
      </c>
      <c r="L221" s="1" t="n"/>
      <c r="M221">
        <f>IF(OR(B221="",N(H221)&lt;=0),"",ROUND(H221*100,0)*1000+1000-ROW())</f>
        <v/>
      </c>
      <c r="N221">
        <f>IF(B221="","",SUMIFS(Gifts!$Q$6:$Q$1005,Gifts!$C$6:$C$1005,B221,Gifts!$K$6:$K$1005,Settings!$C$7))</f>
        <v/>
      </c>
    </row>
    <row r="222">
      <c r="A222" s="1" t="n"/>
      <c r="B222" s="22" t="n"/>
      <c r="C222" s="24" t="n"/>
      <c r="D222" s="25" t="n"/>
      <c r="E222" s="25" t="n"/>
      <c r="F222" s="26">
        <f>IF(OR(B222="",N(J222)=0),"",SUMPRODUCT(MIN((Gifts!$C$6:$C$1005=B222)*Gifts!$Q$6:$Q$1005*Gifts!$M$6:$M$1005+(1-(Gifts!$C$6:$C$1005=B222)*Gifts!$Q$6:$Q$1005)*1E9)))</f>
        <v/>
      </c>
      <c r="G222" s="26">
        <f>IF(OR(B222="",N(J222)=0),"",SUMPRODUCT(MAX((Gifts!$C$6:$C$1005=B222)*Gifts!$Q$6:$Q$1005*Gifts!$M$6:$M$1005)))</f>
        <v/>
      </c>
      <c r="H222" s="27">
        <f>IF(B222="","",SUMIFS(Gifts!$D$6:$D$1005,Gifts!$C$6:$C$1005,B222,Gifts!$K$6:$K$1005,Settings!$C$7,Gifts!$D$6:$D$1005,"&gt;0"))</f>
        <v/>
      </c>
      <c r="I222" s="28">
        <f>IF(B222="","",SUMIFS(Gifts!$D$6:$D$1005,Gifts!$C$6:$C$1005,B222,Gifts!$D$6:$D$1005,"&gt;0",Gifts!$M$6:$M$1005,"&gt;0"))</f>
        <v/>
      </c>
      <c r="J222" s="18">
        <f>IF(B222="","",SUMIFS(Gifts!$Q$6:$Q$1005,Gifts!$C$6:$C$1005,B222))</f>
        <v/>
      </c>
      <c r="K222" s="29">
        <f>IF(B222="","",IF(N(J222)=0,"No gifts yet",IF(AND(N(Settings!$C$9)&gt;0,G222&lt;EDATE(TODAY(),-N(Settings!$C$9))),"Lapsed",IF(YEAR(F222)=N(Settings!$C$7),"New","Active"))))</f>
        <v/>
      </c>
      <c r="L222" s="1" t="n"/>
      <c r="M222">
        <f>IF(OR(B222="",N(H222)&lt;=0),"",ROUND(H222*100,0)*1000+1000-ROW())</f>
        <v/>
      </c>
      <c r="N222">
        <f>IF(B222="","",SUMIFS(Gifts!$Q$6:$Q$1005,Gifts!$C$6:$C$1005,B222,Gifts!$K$6:$K$1005,Settings!$C$7))</f>
        <v/>
      </c>
    </row>
    <row r="223">
      <c r="A223" s="1" t="n"/>
      <c r="B223" s="22" t="n"/>
      <c r="C223" s="24" t="n"/>
      <c r="D223" s="25" t="n"/>
      <c r="E223" s="25" t="n"/>
      <c r="F223" s="26">
        <f>IF(OR(B223="",N(J223)=0),"",SUMPRODUCT(MIN((Gifts!$C$6:$C$1005=B223)*Gifts!$Q$6:$Q$1005*Gifts!$M$6:$M$1005+(1-(Gifts!$C$6:$C$1005=B223)*Gifts!$Q$6:$Q$1005)*1E9)))</f>
        <v/>
      </c>
      <c r="G223" s="26">
        <f>IF(OR(B223="",N(J223)=0),"",SUMPRODUCT(MAX((Gifts!$C$6:$C$1005=B223)*Gifts!$Q$6:$Q$1005*Gifts!$M$6:$M$1005)))</f>
        <v/>
      </c>
      <c r="H223" s="27">
        <f>IF(B223="","",SUMIFS(Gifts!$D$6:$D$1005,Gifts!$C$6:$C$1005,B223,Gifts!$K$6:$K$1005,Settings!$C$7,Gifts!$D$6:$D$1005,"&gt;0"))</f>
        <v/>
      </c>
      <c r="I223" s="28">
        <f>IF(B223="","",SUMIFS(Gifts!$D$6:$D$1005,Gifts!$C$6:$C$1005,B223,Gifts!$D$6:$D$1005,"&gt;0",Gifts!$M$6:$M$1005,"&gt;0"))</f>
        <v/>
      </c>
      <c r="J223" s="18">
        <f>IF(B223="","",SUMIFS(Gifts!$Q$6:$Q$1005,Gifts!$C$6:$C$1005,B223))</f>
        <v/>
      </c>
      <c r="K223" s="29">
        <f>IF(B223="","",IF(N(J223)=0,"No gifts yet",IF(AND(N(Settings!$C$9)&gt;0,G223&lt;EDATE(TODAY(),-N(Settings!$C$9))),"Lapsed",IF(YEAR(F223)=N(Settings!$C$7),"New","Active"))))</f>
        <v/>
      </c>
      <c r="L223" s="1" t="n"/>
      <c r="M223">
        <f>IF(OR(B223="",N(H223)&lt;=0),"",ROUND(H223*100,0)*1000+1000-ROW())</f>
        <v/>
      </c>
      <c r="N223">
        <f>IF(B223="","",SUMIFS(Gifts!$Q$6:$Q$1005,Gifts!$C$6:$C$1005,B223,Gifts!$K$6:$K$1005,Settings!$C$7))</f>
        <v/>
      </c>
    </row>
    <row r="224">
      <c r="A224" s="1" t="n"/>
      <c r="B224" s="22" t="n"/>
      <c r="C224" s="24" t="n"/>
      <c r="D224" s="25" t="n"/>
      <c r="E224" s="25" t="n"/>
      <c r="F224" s="26">
        <f>IF(OR(B224="",N(J224)=0),"",SUMPRODUCT(MIN((Gifts!$C$6:$C$1005=B224)*Gifts!$Q$6:$Q$1005*Gifts!$M$6:$M$1005+(1-(Gifts!$C$6:$C$1005=B224)*Gifts!$Q$6:$Q$1005)*1E9)))</f>
        <v/>
      </c>
      <c r="G224" s="26">
        <f>IF(OR(B224="",N(J224)=0),"",SUMPRODUCT(MAX((Gifts!$C$6:$C$1005=B224)*Gifts!$Q$6:$Q$1005*Gifts!$M$6:$M$1005)))</f>
        <v/>
      </c>
      <c r="H224" s="27">
        <f>IF(B224="","",SUMIFS(Gifts!$D$6:$D$1005,Gifts!$C$6:$C$1005,B224,Gifts!$K$6:$K$1005,Settings!$C$7,Gifts!$D$6:$D$1005,"&gt;0"))</f>
        <v/>
      </c>
      <c r="I224" s="28">
        <f>IF(B224="","",SUMIFS(Gifts!$D$6:$D$1005,Gifts!$C$6:$C$1005,B224,Gifts!$D$6:$D$1005,"&gt;0",Gifts!$M$6:$M$1005,"&gt;0"))</f>
        <v/>
      </c>
      <c r="J224" s="18">
        <f>IF(B224="","",SUMIFS(Gifts!$Q$6:$Q$1005,Gifts!$C$6:$C$1005,B224))</f>
        <v/>
      </c>
      <c r="K224" s="29">
        <f>IF(B224="","",IF(N(J224)=0,"No gifts yet",IF(AND(N(Settings!$C$9)&gt;0,G224&lt;EDATE(TODAY(),-N(Settings!$C$9))),"Lapsed",IF(YEAR(F224)=N(Settings!$C$7),"New","Active"))))</f>
        <v/>
      </c>
      <c r="L224" s="1" t="n"/>
      <c r="M224">
        <f>IF(OR(B224="",N(H224)&lt;=0),"",ROUND(H224*100,0)*1000+1000-ROW())</f>
        <v/>
      </c>
      <c r="N224">
        <f>IF(B224="","",SUMIFS(Gifts!$Q$6:$Q$1005,Gifts!$C$6:$C$1005,B224,Gifts!$K$6:$K$1005,Settings!$C$7))</f>
        <v/>
      </c>
    </row>
    <row r="225">
      <c r="A225" s="1" t="n"/>
      <c r="B225" s="22" t="n"/>
      <c r="C225" s="24" t="n"/>
      <c r="D225" s="25" t="n"/>
      <c r="E225" s="25" t="n"/>
      <c r="F225" s="26">
        <f>IF(OR(B225="",N(J225)=0),"",SUMPRODUCT(MIN((Gifts!$C$6:$C$1005=B225)*Gifts!$Q$6:$Q$1005*Gifts!$M$6:$M$1005+(1-(Gifts!$C$6:$C$1005=B225)*Gifts!$Q$6:$Q$1005)*1E9)))</f>
        <v/>
      </c>
      <c r="G225" s="26">
        <f>IF(OR(B225="",N(J225)=0),"",SUMPRODUCT(MAX((Gifts!$C$6:$C$1005=B225)*Gifts!$Q$6:$Q$1005*Gifts!$M$6:$M$1005)))</f>
        <v/>
      </c>
      <c r="H225" s="27">
        <f>IF(B225="","",SUMIFS(Gifts!$D$6:$D$1005,Gifts!$C$6:$C$1005,B225,Gifts!$K$6:$K$1005,Settings!$C$7,Gifts!$D$6:$D$1005,"&gt;0"))</f>
        <v/>
      </c>
      <c r="I225" s="28">
        <f>IF(B225="","",SUMIFS(Gifts!$D$6:$D$1005,Gifts!$C$6:$C$1005,B225,Gifts!$D$6:$D$1005,"&gt;0",Gifts!$M$6:$M$1005,"&gt;0"))</f>
        <v/>
      </c>
      <c r="J225" s="18">
        <f>IF(B225="","",SUMIFS(Gifts!$Q$6:$Q$1005,Gifts!$C$6:$C$1005,B225))</f>
        <v/>
      </c>
      <c r="K225" s="29">
        <f>IF(B225="","",IF(N(J225)=0,"No gifts yet",IF(AND(N(Settings!$C$9)&gt;0,G225&lt;EDATE(TODAY(),-N(Settings!$C$9))),"Lapsed",IF(YEAR(F225)=N(Settings!$C$7),"New","Active"))))</f>
        <v/>
      </c>
      <c r="L225" s="1" t="n"/>
      <c r="M225">
        <f>IF(OR(B225="",N(H225)&lt;=0),"",ROUND(H225*100,0)*1000+1000-ROW())</f>
        <v/>
      </c>
      <c r="N225">
        <f>IF(B225="","",SUMIFS(Gifts!$Q$6:$Q$1005,Gifts!$C$6:$C$1005,B225,Gifts!$K$6:$K$1005,Settings!$C$7))</f>
        <v/>
      </c>
    </row>
    <row r="226">
      <c r="A226" s="1" t="n"/>
      <c r="B226" s="22" t="n"/>
      <c r="C226" s="24" t="n"/>
      <c r="D226" s="25" t="n"/>
      <c r="E226" s="25" t="n"/>
      <c r="F226" s="26">
        <f>IF(OR(B226="",N(J226)=0),"",SUMPRODUCT(MIN((Gifts!$C$6:$C$1005=B226)*Gifts!$Q$6:$Q$1005*Gifts!$M$6:$M$1005+(1-(Gifts!$C$6:$C$1005=B226)*Gifts!$Q$6:$Q$1005)*1E9)))</f>
        <v/>
      </c>
      <c r="G226" s="26">
        <f>IF(OR(B226="",N(J226)=0),"",SUMPRODUCT(MAX((Gifts!$C$6:$C$1005=B226)*Gifts!$Q$6:$Q$1005*Gifts!$M$6:$M$1005)))</f>
        <v/>
      </c>
      <c r="H226" s="27">
        <f>IF(B226="","",SUMIFS(Gifts!$D$6:$D$1005,Gifts!$C$6:$C$1005,B226,Gifts!$K$6:$K$1005,Settings!$C$7,Gifts!$D$6:$D$1005,"&gt;0"))</f>
        <v/>
      </c>
      <c r="I226" s="28">
        <f>IF(B226="","",SUMIFS(Gifts!$D$6:$D$1005,Gifts!$C$6:$C$1005,B226,Gifts!$D$6:$D$1005,"&gt;0",Gifts!$M$6:$M$1005,"&gt;0"))</f>
        <v/>
      </c>
      <c r="J226" s="18">
        <f>IF(B226="","",SUMIFS(Gifts!$Q$6:$Q$1005,Gifts!$C$6:$C$1005,B226))</f>
        <v/>
      </c>
      <c r="K226" s="29">
        <f>IF(B226="","",IF(N(J226)=0,"No gifts yet",IF(AND(N(Settings!$C$9)&gt;0,G226&lt;EDATE(TODAY(),-N(Settings!$C$9))),"Lapsed",IF(YEAR(F226)=N(Settings!$C$7),"New","Active"))))</f>
        <v/>
      </c>
      <c r="L226" s="1" t="n"/>
      <c r="M226">
        <f>IF(OR(B226="",N(H226)&lt;=0),"",ROUND(H226*100,0)*1000+1000-ROW())</f>
        <v/>
      </c>
      <c r="N226">
        <f>IF(B226="","",SUMIFS(Gifts!$Q$6:$Q$1005,Gifts!$C$6:$C$1005,B226,Gifts!$K$6:$K$1005,Settings!$C$7))</f>
        <v/>
      </c>
    </row>
    <row r="227">
      <c r="A227" s="1" t="n"/>
      <c r="B227" s="22" t="n"/>
      <c r="C227" s="24" t="n"/>
      <c r="D227" s="25" t="n"/>
      <c r="E227" s="25" t="n"/>
      <c r="F227" s="26">
        <f>IF(OR(B227="",N(J227)=0),"",SUMPRODUCT(MIN((Gifts!$C$6:$C$1005=B227)*Gifts!$Q$6:$Q$1005*Gifts!$M$6:$M$1005+(1-(Gifts!$C$6:$C$1005=B227)*Gifts!$Q$6:$Q$1005)*1E9)))</f>
        <v/>
      </c>
      <c r="G227" s="26">
        <f>IF(OR(B227="",N(J227)=0),"",SUMPRODUCT(MAX((Gifts!$C$6:$C$1005=B227)*Gifts!$Q$6:$Q$1005*Gifts!$M$6:$M$1005)))</f>
        <v/>
      </c>
      <c r="H227" s="27">
        <f>IF(B227="","",SUMIFS(Gifts!$D$6:$D$1005,Gifts!$C$6:$C$1005,B227,Gifts!$K$6:$K$1005,Settings!$C$7,Gifts!$D$6:$D$1005,"&gt;0"))</f>
        <v/>
      </c>
      <c r="I227" s="28">
        <f>IF(B227="","",SUMIFS(Gifts!$D$6:$D$1005,Gifts!$C$6:$C$1005,B227,Gifts!$D$6:$D$1005,"&gt;0",Gifts!$M$6:$M$1005,"&gt;0"))</f>
        <v/>
      </c>
      <c r="J227" s="18">
        <f>IF(B227="","",SUMIFS(Gifts!$Q$6:$Q$1005,Gifts!$C$6:$C$1005,B227))</f>
        <v/>
      </c>
      <c r="K227" s="29">
        <f>IF(B227="","",IF(N(J227)=0,"No gifts yet",IF(AND(N(Settings!$C$9)&gt;0,G227&lt;EDATE(TODAY(),-N(Settings!$C$9))),"Lapsed",IF(YEAR(F227)=N(Settings!$C$7),"New","Active"))))</f>
        <v/>
      </c>
      <c r="L227" s="1" t="n"/>
      <c r="M227">
        <f>IF(OR(B227="",N(H227)&lt;=0),"",ROUND(H227*100,0)*1000+1000-ROW())</f>
        <v/>
      </c>
      <c r="N227">
        <f>IF(B227="","",SUMIFS(Gifts!$Q$6:$Q$1005,Gifts!$C$6:$C$1005,B227,Gifts!$K$6:$K$1005,Settings!$C$7))</f>
        <v/>
      </c>
    </row>
    <row r="228">
      <c r="A228" s="1" t="n"/>
      <c r="B228" s="22" t="n"/>
      <c r="C228" s="24" t="n"/>
      <c r="D228" s="25" t="n"/>
      <c r="E228" s="25" t="n"/>
      <c r="F228" s="26">
        <f>IF(OR(B228="",N(J228)=0),"",SUMPRODUCT(MIN((Gifts!$C$6:$C$1005=B228)*Gifts!$Q$6:$Q$1005*Gifts!$M$6:$M$1005+(1-(Gifts!$C$6:$C$1005=B228)*Gifts!$Q$6:$Q$1005)*1E9)))</f>
        <v/>
      </c>
      <c r="G228" s="26">
        <f>IF(OR(B228="",N(J228)=0),"",SUMPRODUCT(MAX((Gifts!$C$6:$C$1005=B228)*Gifts!$Q$6:$Q$1005*Gifts!$M$6:$M$1005)))</f>
        <v/>
      </c>
      <c r="H228" s="27">
        <f>IF(B228="","",SUMIFS(Gifts!$D$6:$D$1005,Gifts!$C$6:$C$1005,B228,Gifts!$K$6:$K$1005,Settings!$C$7,Gifts!$D$6:$D$1005,"&gt;0"))</f>
        <v/>
      </c>
      <c r="I228" s="28">
        <f>IF(B228="","",SUMIFS(Gifts!$D$6:$D$1005,Gifts!$C$6:$C$1005,B228,Gifts!$D$6:$D$1005,"&gt;0",Gifts!$M$6:$M$1005,"&gt;0"))</f>
        <v/>
      </c>
      <c r="J228" s="18">
        <f>IF(B228="","",SUMIFS(Gifts!$Q$6:$Q$1005,Gifts!$C$6:$C$1005,B228))</f>
        <v/>
      </c>
      <c r="K228" s="29">
        <f>IF(B228="","",IF(N(J228)=0,"No gifts yet",IF(AND(N(Settings!$C$9)&gt;0,G228&lt;EDATE(TODAY(),-N(Settings!$C$9))),"Lapsed",IF(YEAR(F228)=N(Settings!$C$7),"New","Active"))))</f>
        <v/>
      </c>
      <c r="L228" s="1" t="n"/>
      <c r="M228">
        <f>IF(OR(B228="",N(H228)&lt;=0),"",ROUND(H228*100,0)*1000+1000-ROW())</f>
        <v/>
      </c>
      <c r="N228">
        <f>IF(B228="","",SUMIFS(Gifts!$Q$6:$Q$1005,Gifts!$C$6:$C$1005,B228,Gifts!$K$6:$K$1005,Settings!$C$7))</f>
        <v/>
      </c>
    </row>
    <row r="229">
      <c r="A229" s="1" t="n"/>
      <c r="B229" s="22" t="n"/>
      <c r="C229" s="24" t="n"/>
      <c r="D229" s="25" t="n"/>
      <c r="E229" s="25" t="n"/>
      <c r="F229" s="26">
        <f>IF(OR(B229="",N(J229)=0),"",SUMPRODUCT(MIN((Gifts!$C$6:$C$1005=B229)*Gifts!$Q$6:$Q$1005*Gifts!$M$6:$M$1005+(1-(Gifts!$C$6:$C$1005=B229)*Gifts!$Q$6:$Q$1005)*1E9)))</f>
        <v/>
      </c>
      <c r="G229" s="26">
        <f>IF(OR(B229="",N(J229)=0),"",SUMPRODUCT(MAX((Gifts!$C$6:$C$1005=B229)*Gifts!$Q$6:$Q$1005*Gifts!$M$6:$M$1005)))</f>
        <v/>
      </c>
      <c r="H229" s="27">
        <f>IF(B229="","",SUMIFS(Gifts!$D$6:$D$1005,Gifts!$C$6:$C$1005,B229,Gifts!$K$6:$K$1005,Settings!$C$7,Gifts!$D$6:$D$1005,"&gt;0"))</f>
        <v/>
      </c>
      <c r="I229" s="28">
        <f>IF(B229="","",SUMIFS(Gifts!$D$6:$D$1005,Gifts!$C$6:$C$1005,B229,Gifts!$D$6:$D$1005,"&gt;0",Gifts!$M$6:$M$1005,"&gt;0"))</f>
        <v/>
      </c>
      <c r="J229" s="18">
        <f>IF(B229="","",SUMIFS(Gifts!$Q$6:$Q$1005,Gifts!$C$6:$C$1005,B229))</f>
        <v/>
      </c>
      <c r="K229" s="29">
        <f>IF(B229="","",IF(N(J229)=0,"No gifts yet",IF(AND(N(Settings!$C$9)&gt;0,G229&lt;EDATE(TODAY(),-N(Settings!$C$9))),"Lapsed",IF(YEAR(F229)=N(Settings!$C$7),"New","Active"))))</f>
        <v/>
      </c>
      <c r="L229" s="1" t="n"/>
      <c r="M229">
        <f>IF(OR(B229="",N(H229)&lt;=0),"",ROUND(H229*100,0)*1000+1000-ROW())</f>
        <v/>
      </c>
      <c r="N229">
        <f>IF(B229="","",SUMIFS(Gifts!$Q$6:$Q$1005,Gifts!$C$6:$C$1005,B229,Gifts!$K$6:$K$1005,Settings!$C$7))</f>
        <v/>
      </c>
    </row>
    <row r="230">
      <c r="A230" s="1" t="n"/>
      <c r="B230" s="22" t="n"/>
      <c r="C230" s="24" t="n"/>
      <c r="D230" s="25" t="n"/>
      <c r="E230" s="25" t="n"/>
      <c r="F230" s="26">
        <f>IF(OR(B230="",N(J230)=0),"",SUMPRODUCT(MIN((Gifts!$C$6:$C$1005=B230)*Gifts!$Q$6:$Q$1005*Gifts!$M$6:$M$1005+(1-(Gifts!$C$6:$C$1005=B230)*Gifts!$Q$6:$Q$1005)*1E9)))</f>
        <v/>
      </c>
      <c r="G230" s="26">
        <f>IF(OR(B230="",N(J230)=0),"",SUMPRODUCT(MAX((Gifts!$C$6:$C$1005=B230)*Gifts!$Q$6:$Q$1005*Gifts!$M$6:$M$1005)))</f>
        <v/>
      </c>
      <c r="H230" s="27">
        <f>IF(B230="","",SUMIFS(Gifts!$D$6:$D$1005,Gifts!$C$6:$C$1005,B230,Gifts!$K$6:$K$1005,Settings!$C$7,Gifts!$D$6:$D$1005,"&gt;0"))</f>
        <v/>
      </c>
      <c r="I230" s="28">
        <f>IF(B230="","",SUMIFS(Gifts!$D$6:$D$1005,Gifts!$C$6:$C$1005,B230,Gifts!$D$6:$D$1005,"&gt;0",Gifts!$M$6:$M$1005,"&gt;0"))</f>
        <v/>
      </c>
      <c r="J230" s="18">
        <f>IF(B230="","",SUMIFS(Gifts!$Q$6:$Q$1005,Gifts!$C$6:$C$1005,B230))</f>
        <v/>
      </c>
      <c r="K230" s="29">
        <f>IF(B230="","",IF(N(J230)=0,"No gifts yet",IF(AND(N(Settings!$C$9)&gt;0,G230&lt;EDATE(TODAY(),-N(Settings!$C$9))),"Lapsed",IF(YEAR(F230)=N(Settings!$C$7),"New","Active"))))</f>
        <v/>
      </c>
      <c r="L230" s="1" t="n"/>
      <c r="M230">
        <f>IF(OR(B230="",N(H230)&lt;=0),"",ROUND(H230*100,0)*1000+1000-ROW())</f>
        <v/>
      </c>
      <c r="N230">
        <f>IF(B230="","",SUMIFS(Gifts!$Q$6:$Q$1005,Gifts!$C$6:$C$1005,B230,Gifts!$K$6:$K$1005,Settings!$C$7))</f>
        <v/>
      </c>
    </row>
    <row r="231">
      <c r="A231" s="1" t="n"/>
      <c r="B231" s="22" t="n"/>
      <c r="C231" s="24" t="n"/>
      <c r="D231" s="25" t="n"/>
      <c r="E231" s="25" t="n"/>
      <c r="F231" s="26">
        <f>IF(OR(B231="",N(J231)=0),"",SUMPRODUCT(MIN((Gifts!$C$6:$C$1005=B231)*Gifts!$Q$6:$Q$1005*Gifts!$M$6:$M$1005+(1-(Gifts!$C$6:$C$1005=B231)*Gifts!$Q$6:$Q$1005)*1E9)))</f>
        <v/>
      </c>
      <c r="G231" s="26">
        <f>IF(OR(B231="",N(J231)=0),"",SUMPRODUCT(MAX((Gifts!$C$6:$C$1005=B231)*Gifts!$Q$6:$Q$1005*Gifts!$M$6:$M$1005)))</f>
        <v/>
      </c>
      <c r="H231" s="27">
        <f>IF(B231="","",SUMIFS(Gifts!$D$6:$D$1005,Gifts!$C$6:$C$1005,B231,Gifts!$K$6:$K$1005,Settings!$C$7,Gifts!$D$6:$D$1005,"&gt;0"))</f>
        <v/>
      </c>
      <c r="I231" s="28">
        <f>IF(B231="","",SUMIFS(Gifts!$D$6:$D$1005,Gifts!$C$6:$C$1005,B231,Gifts!$D$6:$D$1005,"&gt;0",Gifts!$M$6:$M$1005,"&gt;0"))</f>
        <v/>
      </c>
      <c r="J231" s="18">
        <f>IF(B231="","",SUMIFS(Gifts!$Q$6:$Q$1005,Gifts!$C$6:$C$1005,B231))</f>
        <v/>
      </c>
      <c r="K231" s="29">
        <f>IF(B231="","",IF(N(J231)=0,"No gifts yet",IF(AND(N(Settings!$C$9)&gt;0,G231&lt;EDATE(TODAY(),-N(Settings!$C$9))),"Lapsed",IF(YEAR(F231)=N(Settings!$C$7),"New","Active"))))</f>
        <v/>
      </c>
      <c r="L231" s="1" t="n"/>
      <c r="M231">
        <f>IF(OR(B231="",N(H231)&lt;=0),"",ROUND(H231*100,0)*1000+1000-ROW())</f>
        <v/>
      </c>
      <c r="N231">
        <f>IF(B231="","",SUMIFS(Gifts!$Q$6:$Q$1005,Gifts!$C$6:$C$1005,B231,Gifts!$K$6:$K$1005,Settings!$C$7))</f>
        <v/>
      </c>
    </row>
    <row r="232">
      <c r="A232" s="1" t="n"/>
      <c r="B232" s="22" t="n"/>
      <c r="C232" s="24" t="n"/>
      <c r="D232" s="25" t="n"/>
      <c r="E232" s="25" t="n"/>
      <c r="F232" s="26">
        <f>IF(OR(B232="",N(J232)=0),"",SUMPRODUCT(MIN((Gifts!$C$6:$C$1005=B232)*Gifts!$Q$6:$Q$1005*Gifts!$M$6:$M$1005+(1-(Gifts!$C$6:$C$1005=B232)*Gifts!$Q$6:$Q$1005)*1E9)))</f>
        <v/>
      </c>
      <c r="G232" s="26">
        <f>IF(OR(B232="",N(J232)=0),"",SUMPRODUCT(MAX((Gifts!$C$6:$C$1005=B232)*Gifts!$Q$6:$Q$1005*Gifts!$M$6:$M$1005)))</f>
        <v/>
      </c>
      <c r="H232" s="27">
        <f>IF(B232="","",SUMIFS(Gifts!$D$6:$D$1005,Gifts!$C$6:$C$1005,B232,Gifts!$K$6:$K$1005,Settings!$C$7,Gifts!$D$6:$D$1005,"&gt;0"))</f>
        <v/>
      </c>
      <c r="I232" s="28">
        <f>IF(B232="","",SUMIFS(Gifts!$D$6:$D$1005,Gifts!$C$6:$C$1005,B232,Gifts!$D$6:$D$1005,"&gt;0",Gifts!$M$6:$M$1005,"&gt;0"))</f>
        <v/>
      </c>
      <c r="J232" s="18">
        <f>IF(B232="","",SUMIFS(Gifts!$Q$6:$Q$1005,Gifts!$C$6:$C$1005,B232))</f>
        <v/>
      </c>
      <c r="K232" s="29">
        <f>IF(B232="","",IF(N(J232)=0,"No gifts yet",IF(AND(N(Settings!$C$9)&gt;0,G232&lt;EDATE(TODAY(),-N(Settings!$C$9))),"Lapsed",IF(YEAR(F232)=N(Settings!$C$7),"New","Active"))))</f>
        <v/>
      </c>
      <c r="L232" s="1" t="n"/>
      <c r="M232">
        <f>IF(OR(B232="",N(H232)&lt;=0),"",ROUND(H232*100,0)*1000+1000-ROW())</f>
        <v/>
      </c>
      <c r="N232">
        <f>IF(B232="","",SUMIFS(Gifts!$Q$6:$Q$1005,Gifts!$C$6:$C$1005,B232,Gifts!$K$6:$K$1005,Settings!$C$7))</f>
        <v/>
      </c>
    </row>
    <row r="233">
      <c r="A233" s="1" t="n"/>
      <c r="B233" s="22" t="n"/>
      <c r="C233" s="24" t="n"/>
      <c r="D233" s="25" t="n"/>
      <c r="E233" s="25" t="n"/>
      <c r="F233" s="26">
        <f>IF(OR(B233="",N(J233)=0),"",SUMPRODUCT(MIN((Gifts!$C$6:$C$1005=B233)*Gifts!$Q$6:$Q$1005*Gifts!$M$6:$M$1005+(1-(Gifts!$C$6:$C$1005=B233)*Gifts!$Q$6:$Q$1005)*1E9)))</f>
        <v/>
      </c>
      <c r="G233" s="26">
        <f>IF(OR(B233="",N(J233)=0),"",SUMPRODUCT(MAX((Gifts!$C$6:$C$1005=B233)*Gifts!$Q$6:$Q$1005*Gifts!$M$6:$M$1005)))</f>
        <v/>
      </c>
      <c r="H233" s="27">
        <f>IF(B233="","",SUMIFS(Gifts!$D$6:$D$1005,Gifts!$C$6:$C$1005,B233,Gifts!$K$6:$K$1005,Settings!$C$7,Gifts!$D$6:$D$1005,"&gt;0"))</f>
        <v/>
      </c>
      <c r="I233" s="28">
        <f>IF(B233="","",SUMIFS(Gifts!$D$6:$D$1005,Gifts!$C$6:$C$1005,B233,Gifts!$D$6:$D$1005,"&gt;0",Gifts!$M$6:$M$1005,"&gt;0"))</f>
        <v/>
      </c>
      <c r="J233" s="18">
        <f>IF(B233="","",SUMIFS(Gifts!$Q$6:$Q$1005,Gifts!$C$6:$C$1005,B233))</f>
        <v/>
      </c>
      <c r="K233" s="29">
        <f>IF(B233="","",IF(N(J233)=0,"No gifts yet",IF(AND(N(Settings!$C$9)&gt;0,G233&lt;EDATE(TODAY(),-N(Settings!$C$9))),"Lapsed",IF(YEAR(F233)=N(Settings!$C$7),"New","Active"))))</f>
        <v/>
      </c>
      <c r="L233" s="1" t="n"/>
      <c r="M233">
        <f>IF(OR(B233="",N(H233)&lt;=0),"",ROUND(H233*100,0)*1000+1000-ROW())</f>
        <v/>
      </c>
      <c r="N233">
        <f>IF(B233="","",SUMIFS(Gifts!$Q$6:$Q$1005,Gifts!$C$6:$C$1005,B233,Gifts!$K$6:$K$1005,Settings!$C$7))</f>
        <v/>
      </c>
    </row>
    <row r="234">
      <c r="A234" s="1" t="n"/>
      <c r="B234" s="22" t="n"/>
      <c r="C234" s="24" t="n"/>
      <c r="D234" s="25" t="n"/>
      <c r="E234" s="25" t="n"/>
      <c r="F234" s="26">
        <f>IF(OR(B234="",N(J234)=0),"",SUMPRODUCT(MIN((Gifts!$C$6:$C$1005=B234)*Gifts!$Q$6:$Q$1005*Gifts!$M$6:$M$1005+(1-(Gifts!$C$6:$C$1005=B234)*Gifts!$Q$6:$Q$1005)*1E9)))</f>
        <v/>
      </c>
      <c r="G234" s="26">
        <f>IF(OR(B234="",N(J234)=0),"",SUMPRODUCT(MAX((Gifts!$C$6:$C$1005=B234)*Gifts!$Q$6:$Q$1005*Gifts!$M$6:$M$1005)))</f>
        <v/>
      </c>
      <c r="H234" s="27">
        <f>IF(B234="","",SUMIFS(Gifts!$D$6:$D$1005,Gifts!$C$6:$C$1005,B234,Gifts!$K$6:$K$1005,Settings!$C$7,Gifts!$D$6:$D$1005,"&gt;0"))</f>
        <v/>
      </c>
      <c r="I234" s="28">
        <f>IF(B234="","",SUMIFS(Gifts!$D$6:$D$1005,Gifts!$C$6:$C$1005,B234,Gifts!$D$6:$D$1005,"&gt;0",Gifts!$M$6:$M$1005,"&gt;0"))</f>
        <v/>
      </c>
      <c r="J234" s="18">
        <f>IF(B234="","",SUMIFS(Gifts!$Q$6:$Q$1005,Gifts!$C$6:$C$1005,B234))</f>
        <v/>
      </c>
      <c r="K234" s="29">
        <f>IF(B234="","",IF(N(J234)=0,"No gifts yet",IF(AND(N(Settings!$C$9)&gt;0,G234&lt;EDATE(TODAY(),-N(Settings!$C$9))),"Lapsed",IF(YEAR(F234)=N(Settings!$C$7),"New","Active"))))</f>
        <v/>
      </c>
      <c r="L234" s="1" t="n"/>
      <c r="M234">
        <f>IF(OR(B234="",N(H234)&lt;=0),"",ROUND(H234*100,0)*1000+1000-ROW())</f>
        <v/>
      </c>
      <c r="N234">
        <f>IF(B234="","",SUMIFS(Gifts!$Q$6:$Q$1005,Gifts!$C$6:$C$1005,B234,Gifts!$K$6:$K$1005,Settings!$C$7))</f>
        <v/>
      </c>
    </row>
    <row r="235">
      <c r="A235" s="1" t="n"/>
      <c r="B235" s="22" t="n"/>
      <c r="C235" s="24" t="n"/>
      <c r="D235" s="25" t="n"/>
      <c r="E235" s="25" t="n"/>
      <c r="F235" s="26">
        <f>IF(OR(B235="",N(J235)=0),"",SUMPRODUCT(MIN((Gifts!$C$6:$C$1005=B235)*Gifts!$Q$6:$Q$1005*Gifts!$M$6:$M$1005+(1-(Gifts!$C$6:$C$1005=B235)*Gifts!$Q$6:$Q$1005)*1E9)))</f>
        <v/>
      </c>
      <c r="G235" s="26">
        <f>IF(OR(B235="",N(J235)=0),"",SUMPRODUCT(MAX((Gifts!$C$6:$C$1005=B235)*Gifts!$Q$6:$Q$1005*Gifts!$M$6:$M$1005)))</f>
        <v/>
      </c>
      <c r="H235" s="27">
        <f>IF(B235="","",SUMIFS(Gifts!$D$6:$D$1005,Gifts!$C$6:$C$1005,B235,Gifts!$K$6:$K$1005,Settings!$C$7,Gifts!$D$6:$D$1005,"&gt;0"))</f>
        <v/>
      </c>
      <c r="I235" s="28">
        <f>IF(B235="","",SUMIFS(Gifts!$D$6:$D$1005,Gifts!$C$6:$C$1005,B235,Gifts!$D$6:$D$1005,"&gt;0",Gifts!$M$6:$M$1005,"&gt;0"))</f>
        <v/>
      </c>
      <c r="J235" s="18">
        <f>IF(B235="","",SUMIFS(Gifts!$Q$6:$Q$1005,Gifts!$C$6:$C$1005,B235))</f>
        <v/>
      </c>
      <c r="K235" s="29">
        <f>IF(B235="","",IF(N(J235)=0,"No gifts yet",IF(AND(N(Settings!$C$9)&gt;0,G235&lt;EDATE(TODAY(),-N(Settings!$C$9))),"Lapsed",IF(YEAR(F235)=N(Settings!$C$7),"New","Active"))))</f>
        <v/>
      </c>
      <c r="L235" s="1" t="n"/>
      <c r="M235">
        <f>IF(OR(B235="",N(H235)&lt;=0),"",ROUND(H235*100,0)*1000+1000-ROW())</f>
        <v/>
      </c>
      <c r="N235">
        <f>IF(B235="","",SUMIFS(Gifts!$Q$6:$Q$1005,Gifts!$C$6:$C$1005,B235,Gifts!$K$6:$K$1005,Settings!$C$7))</f>
        <v/>
      </c>
    </row>
    <row r="236">
      <c r="A236" s="1" t="n"/>
      <c r="B236" s="22" t="n"/>
      <c r="C236" s="24" t="n"/>
      <c r="D236" s="25" t="n"/>
      <c r="E236" s="25" t="n"/>
      <c r="F236" s="26">
        <f>IF(OR(B236="",N(J236)=0),"",SUMPRODUCT(MIN((Gifts!$C$6:$C$1005=B236)*Gifts!$Q$6:$Q$1005*Gifts!$M$6:$M$1005+(1-(Gifts!$C$6:$C$1005=B236)*Gifts!$Q$6:$Q$1005)*1E9)))</f>
        <v/>
      </c>
      <c r="G236" s="26">
        <f>IF(OR(B236="",N(J236)=0),"",SUMPRODUCT(MAX((Gifts!$C$6:$C$1005=B236)*Gifts!$Q$6:$Q$1005*Gifts!$M$6:$M$1005)))</f>
        <v/>
      </c>
      <c r="H236" s="27">
        <f>IF(B236="","",SUMIFS(Gifts!$D$6:$D$1005,Gifts!$C$6:$C$1005,B236,Gifts!$K$6:$K$1005,Settings!$C$7,Gifts!$D$6:$D$1005,"&gt;0"))</f>
        <v/>
      </c>
      <c r="I236" s="28">
        <f>IF(B236="","",SUMIFS(Gifts!$D$6:$D$1005,Gifts!$C$6:$C$1005,B236,Gifts!$D$6:$D$1005,"&gt;0",Gifts!$M$6:$M$1005,"&gt;0"))</f>
        <v/>
      </c>
      <c r="J236" s="18">
        <f>IF(B236="","",SUMIFS(Gifts!$Q$6:$Q$1005,Gifts!$C$6:$C$1005,B236))</f>
        <v/>
      </c>
      <c r="K236" s="29">
        <f>IF(B236="","",IF(N(J236)=0,"No gifts yet",IF(AND(N(Settings!$C$9)&gt;0,G236&lt;EDATE(TODAY(),-N(Settings!$C$9))),"Lapsed",IF(YEAR(F236)=N(Settings!$C$7),"New","Active"))))</f>
        <v/>
      </c>
      <c r="L236" s="1" t="n"/>
      <c r="M236">
        <f>IF(OR(B236="",N(H236)&lt;=0),"",ROUND(H236*100,0)*1000+1000-ROW())</f>
        <v/>
      </c>
      <c r="N236">
        <f>IF(B236="","",SUMIFS(Gifts!$Q$6:$Q$1005,Gifts!$C$6:$C$1005,B236,Gifts!$K$6:$K$1005,Settings!$C$7))</f>
        <v/>
      </c>
    </row>
    <row r="237">
      <c r="A237" s="1" t="n"/>
      <c r="B237" s="22" t="n"/>
      <c r="C237" s="24" t="n"/>
      <c r="D237" s="25" t="n"/>
      <c r="E237" s="25" t="n"/>
      <c r="F237" s="26">
        <f>IF(OR(B237="",N(J237)=0),"",SUMPRODUCT(MIN((Gifts!$C$6:$C$1005=B237)*Gifts!$Q$6:$Q$1005*Gifts!$M$6:$M$1005+(1-(Gifts!$C$6:$C$1005=B237)*Gifts!$Q$6:$Q$1005)*1E9)))</f>
        <v/>
      </c>
      <c r="G237" s="26">
        <f>IF(OR(B237="",N(J237)=0),"",SUMPRODUCT(MAX((Gifts!$C$6:$C$1005=B237)*Gifts!$Q$6:$Q$1005*Gifts!$M$6:$M$1005)))</f>
        <v/>
      </c>
      <c r="H237" s="27">
        <f>IF(B237="","",SUMIFS(Gifts!$D$6:$D$1005,Gifts!$C$6:$C$1005,B237,Gifts!$K$6:$K$1005,Settings!$C$7,Gifts!$D$6:$D$1005,"&gt;0"))</f>
        <v/>
      </c>
      <c r="I237" s="28">
        <f>IF(B237="","",SUMIFS(Gifts!$D$6:$D$1005,Gifts!$C$6:$C$1005,B237,Gifts!$D$6:$D$1005,"&gt;0",Gifts!$M$6:$M$1005,"&gt;0"))</f>
        <v/>
      </c>
      <c r="J237" s="18">
        <f>IF(B237="","",SUMIFS(Gifts!$Q$6:$Q$1005,Gifts!$C$6:$C$1005,B237))</f>
        <v/>
      </c>
      <c r="K237" s="29">
        <f>IF(B237="","",IF(N(J237)=0,"No gifts yet",IF(AND(N(Settings!$C$9)&gt;0,G237&lt;EDATE(TODAY(),-N(Settings!$C$9))),"Lapsed",IF(YEAR(F237)=N(Settings!$C$7),"New","Active"))))</f>
        <v/>
      </c>
      <c r="L237" s="1" t="n"/>
      <c r="M237">
        <f>IF(OR(B237="",N(H237)&lt;=0),"",ROUND(H237*100,0)*1000+1000-ROW())</f>
        <v/>
      </c>
      <c r="N237">
        <f>IF(B237="","",SUMIFS(Gifts!$Q$6:$Q$1005,Gifts!$C$6:$C$1005,B237,Gifts!$K$6:$K$1005,Settings!$C$7))</f>
        <v/>
      </c>
    </row>
    <row r="238">
      <c r="A238" s="1" t="n"/>
      <c r="B238" s="22" t="n"/>
      <c r="C238" s="24" t="n"/>
      <c r="D238" s="25" t="n"/>
      <c r="E238" s="25" t="n"/>
      <c r="F238" s="26">
        <f>IF(OR(B238="",N(J238)=0),"",SUMPRODUCT(MIN((Gifts!$C$6:$C$1005=B238)*Gifts!$Q$6:$Q$1005*Gifts!$M$6:$M$1005+(1-(Gifts!$C$6:$C$1005=B238)*Gifts!$Q$6:$Q$1005)*1E9)))</f>
        <v/>
      </c>
      <c r="G238" s="26">
        <f>IF(OR(B238="",N(J238)=0),"",SUMPRODUCT(MAX((Gifts!$C$6:$C$1005=B238)*Gifts!$Q$6:$Q$1005*Gifts!$M$6:$M$1005)))</f>
        <v/>
      </c>
      <c r="H238" s="27">
        <f>IF(B238="","",SUMIFS(Gifts!$D$6:$D$1005,Gifts!$C$6:$C$1005,B238,Gifts!$K$6:$K$1005,Settings!$C$7,Gifts!$D$6:$D$1005,"&gt;0"))</f>
        <v/>
      </c>
      <c r="I238" s="28">
        <f>IF(B238="","",SUMIFS(Gifts!$D$6:$D$1005,Gifts!$C$6:$C$1005,B238,Gifts!$D$6:$D$1005,"&gt;0",Gifts!$M$6:$M$1005,"&gt;0"))</f>
        <v/>
      </c>
      <c r="J238" s="18">
        <f>IF(B238="","",SUMIFS(Gifts!$Q$6:$Q$1005,Gifts!$C$6:$C$1005,B238))</f>
        <v/>
      </c>
      <c r="K238" s="29">
        <f>IF(B238="","",IF(N(J238)=0,"No gifts yet",IF(AND(N(Settings!$C$9)&gt;0,G238&lt;EDATE(TODAY(),-N(Settings!$C$9))),"Lapsed",IF(YEAR(F238)=N(Settings!$C$7),"New","Active"))))</f>
        <v/>
      </c>
      <c r="L238" s="1" t="n"/>
      <c r="M238">
        <f>IF(OR(B238="",N(H238)&lt;=0),"",ROUND(H238*100,0)*1000+1000-ROW())</f>
        <v/>
      </c>
      <c r="N238">
        <f>IF(B238="","",SUMIFS(Gifts!$Q$6:$Q$1005,Gifts!$C$6:$C$1005,B238,Gifts!$K$6:$K$1005,Settings!$C$7))</f>
        <v/>
      </c>
    </row>
    <row r="239">
      <c r="A239" s="1" t="n"/>
      <c r="B239" s="22" t="n"/>
      <c r="C239" s="24" t="n"/>
      <c r="D239" s="25" t="n"/>
      <c r="E239" s="25" t="n"/>
      <c r="F239" s="26">
        <f>IF(OR(B239="",N(J239)=0),"",SUMPRODUCT(MIN((Gifts!$C$6:$C$1005=B239)*Gifts!$Q$6:$Q$1005*Gifts!$M$6:$M$1005+(1-(Gifts!$C$6:$C$1005=B239)*Gifts!$Q$6:$Q$1005)*1E9)))</f>
        <v/>
      </c>
      <c r="G239" s="26">
        <f>IF(OR(B239="",N(J239)=0),"",SUMPRODUCT(MAX((Gifts!$C$6:$C$1005=B239)*Gifts!$Q$6:$Q$1005*Gifts!$M$6:$M$1005)))</f>
        <v/>
      </c>
      <c r="H239" s="27">
        <f>IF(B239="","",SUMIFS(Gifts!$D$6:$D$1005,Gifts!$C$6:$C$1005,B239,Gifts!$K$6:$K$1005,Settings!$C$7,Gifts!$D$6:$D$1005,"&gt;0"))</f>
        <v/>
      </c>
      <c r="I239" s="28">
        <f>IF(B239="","",SUMIFS(Gifts!$D$6:$D$1005,Gifts!$C$6:$C$1005,B239,Gifts!$D$6:$D$1005,"&gt;0",Gifts!$M$6:$M$1005,"&gt;0"))</f>
        <v/>
      </c>
      <c r="J239" s="18">
        <f>IF(B239="","",SUMIFS(Gifts!$Q$6:$Q$1005,Gifts!$C$6:$C$1005,B239))</f>
        <v/>
      </c>
      <c r="K239" s="29">
        <f>IF(B239="","",IF(N(J239)=0,"No gifts yet",IF(AND(N(Settings!$C$9)&gt;0,G239&lt;EDATE(TODAY(),-N(Settings!$C$9))),"Lapsed",IF(YEAR(F239)=N(Settings!$C$7),"New","Active"))))</f>
        <v/>
      </c>
      <c r="L239" s="1" t="n"/>
      <c r="M239">
        <f>IF(OR(B239="",N(H239)&lt;=0),"",ROUND(H239*100,0)*1000+1000-ROW())</f>
        <v/>
      </c>
      <c r="N239">
        <f>IF(B239="","",SUMIFS(Gifts!$Q$6:$Q$1005,Gifts!$C$6:$C$1005,B239,Gifts!$K$6:$K$1005,Settings!$C$7))</f>
        <v/>
      </c>
    </row>
    <row r="240">
      <c r="A240" s="1" t="n"/>
      <c r="B240" s="22" t="n"/>
      <c r="C240" s="24" t="n"/>
      <c r="D240" s="25" t="n"/>
      <c r="E240" s="25" t="n"/>
      <c r="F240" s="26">
        <f>IF(OR(B240="",N(J240)=0),"",SUMPRODUCT(MIN((Gifts!$C$6:$C$1005=B240)*Gifts!$Q$6:$Q$1005*Gifts!$M$6:$M$1005+(1-(Gifts!$C$6:$C$1005=B240)*Gifts!$Q$6:$Q$1005)*1E9)))</f>
        <v/>
      </c>
      <c r="G240" s="26">
        <f>IF(OR(B240="",N(J240)=0),"",SUMPRODUCT(MAX((Gifts!$C$6:$C$1005=B240)*Gifts!$Q$6:$Q$1005*Gifts!$M$6:$M$1005)))</f>
        <v/>
      </c>
      <c r="H240" s="27">
        <f>IF(B240="","",SUMIFS(Gifts!$D$6:$D$1005,Gifts!$C$6:$C$1005,B240,Gifts!$K$6:$K$1005,Settings!$C$7,Gifts!$D$6:$D$1005,"&gt;0"))</f>
        <v/>
      </c>
      <c r="I240" s="28">
        <f>IF(B240="","",SUMIFS(Gifts!$D$6:$D$1005,Gifts!$C$6:$C$1005,B240,Gifts!$D$6:$D$1005,"&gt;0",Gifts!$M$6:$M$1005,"&gt;0"))</f>
        <v/>
      </c>
      <c r="J240" s="18">
        <f>IF(B240="","",SUMIFS(Gifts!$Q$6:$Q$1005,Gifts!$C$6:$C$1005,B240))</f>
        <v/>
      </c>
      <c r="K240" s="29">
        <f>IF(B240="","",IF(N(J240)=0,"No gifts yet",IF(AND(N(Settings!$C$9)&gt;0,G240&lt;EDATE(TODAY(),-N(Settings!$C$9))),"Lapsed",IF(YEAR(F240)=N(Settings!$C$7),"New","Active"))))</f>
        <v/>
      </c>
      <c r="L240" s="1" t="n"/>
      <c r="M240">
        <f>IF(OR(B240="",N(H240)&lt;=0),"",ROUND(H240*100,0)*1000+1000-ROW())</f>
        <v/>
      </c>
      <c r="N240">
        <f>IF(B240="","",SUMIFS(Gifts!$Q$6:$Q$1005,Gifts!$C$6:$C$1005,B240,Gifts!$K$6:$K$1005,Settings!$C$7))</f>
        <v/>
      </c>
    </row>
    <row r="241">
      <c r="A241" s="1" t="n"/>
      <c r="B241" s="22" t="n"/>
      <c r="C241" s="24" t="n"/>
      <c r="D241" s="25" t="n"/>
      <c r="E241" s="25" t="n"/>
      <c r="F241" s="26">
        <f>IF(OR(B241="",N(J241)=0),"",SUMPRODUCT(MIN((Gifts!$C$6:$C$1005=B241)*Gifts!$Q$6:$Q$1005*Gifts!$M$6:$M$1005+(1-(Gifts!$C$6:$C$1005=B241)*Gifts!$Q$6:$Q$1005)*1E9)))</f>
        <v/>
      </c>
      <c r="G241" s="26">
        <f>IF(OR(B241="",N(J241)=0),"",SUMPRODUCT(MAX((Gifts!$C$6:$C$1005=B241)*Gifts!$Q$6:$Q$1005*Gifts!$M$6:$M$1005)))</f>
        <v/>
      </c>
      <c r="H241" s="27">
        <f>IF(B241="","",SUMIFS(Gifts!$D$6:$D$1005,Gifts!$C$6:$C$1005,B241,Gifts!$K$6:$K$1005,Settings!$C$7,Gifts!$D$6:$D$1005,"&gt;0"))</f>
        <v/>
      </c>
      <c r="I241" s="28">
        <f>IF(B241="","",SUMIFS(Gifts!$D$6:$D$1005,Gifts!$C$6:$C$1005,B241,Gifts!$D$6:$D$1005,"&gt;0",Gifts!$M$6:$M$1005,"&gt;0"))</f>
        <v/>
      </c>
      <c r="J241" s="18">
        <f>IF(B241="","",SUMIFS(Gifts!$Q$6:$Q$1005,Gifts!$C$6:$C$1005,B241))</f>
        <v/>
      </c>
      <c r="K241" s="29">
        <f>IF(B241="","",IF(N(J241)=0,"No gifts yet",IF(AND(N(Settings!$C$9)&gt;0,G241&lt;EDATE(TODAY(),-N(Settings!$C$9))),"Lapsed",IF(YEAR(F241)=N(Settings!$C$7),"New","Active"))))</f>
        <v/>
      </c>
      <c r="L241" s="1" t="n"/>
      <c r="M241">
        <f>IF(OR(B241="",N(H241)&lt;=0),"",ROUND(H241*100,0)*1000+1000-ROW())</f>
        <v/>
      </c>
      <c r="N241">
        <f>IF(B241="","",SUMIFS(Gifts!$Q$6:$Q$1005,Gifts!$C$6:$C$1005,B241,Gifts!$K$6:$K$1005,Settings!$C$7))</f>
        <v/>
      </c>
    </row>
    <row r="242">
      <c r="A242" s="1" t="n"/>
      <c r="B242" s="22" t="n"/>
      <c r="C242" s="24" t="n"/>
      <c r="D242" s="25" t="n"/>
      <c r="E242" s="25" t="n"/>
      <c r="F242" s="26">
        <f>IF(OR(B242="",N(J242)=0),"",SUMPRODUCT(MIN((Gifts!$C$6:$C$1005=B242)*Gifts!$Q$6:$Q$1005*Gifts!$M$6:$M$1005+(1-(Gifts!$C$6:$C$1005=B242)*Gifts!$Q$6:$Q$1005)*1E9)))</f>
        <v/>
      </c>
      <c r="G242" s="26">
        <f>IF(OR(B242="",N(J242)=0),"",SUMPRODUCT(MAX((Gifts!$C$6:$C$1005=B242)*Gifts!$Q$6:$Q$1005*Gifts!$M$6:$M$1005)))</f>
        <v/>
      </c>
      <c r="H242" s="27">
        <f>IF(B242="","",SUMIFS(Gifts!$D$6:$D$1005,Gifts!$C$6:$C$1005,B242,Gifts!$K$6:$K$1005,Settings!$C$7,Gifts!$D$6:$D$1005,"&gt;0"))</f>
        <v/>
      </c>
      <c r="I242" s="28">
        <f>IF(B242="","",SUMIFS(Gifts!$D$6:$D$1005,Gifts!$C$6:$C$1005,B242,Gifts!$D$6:$D$1005,"&gt;0",Gifts!$M$6:$M$1005,"&gt;0"))</f>
        <v/>
      </c>
      <c r="J242" s="18">
        <f>IF(B242="","",SUMIFS(Gifts!$Q$6:$Q$1005,Gifts!$C$6:$C$1005,B242))</f>
        <v/>
      </c>
      <c r="K242" s="29">
        <f>IF(B242="","",IF(N(J242)=0,"No gifts yet",IF(AND(N(Settings!$C$9)&gt;0,G242&lt;EDATE(TODAY(),-N(Settings!$C$9))),"Lapsed",IF(YEAR(F242)=N(Settings!$C$7),"New","Active"))))</f>
        <v/>
      </c>
      <c r="L242" s="1" t="n"/>
      <c r="M242">
        <f>IF(OR(B242="",N(H242)&lt;=0),"",ROUND(H242*100,0)*1000+1000-ROW())</f>
        <v/>
      </c>
      <c r="N242">
        <f>IF(B242="","",SUMIFS(Gifts!$Q$6:$Q$1005,Gifts!$C$6:$C$1005,B242,Gifts!$K$6:$K$1005,Settings!$C$7))</f>
        <v/>
      </c>
    </row>
    <row r="243">
      <c r="A243" s="1" t="n"/>
      <c r="B243" s="22" t="n"/>
      <c r="C243" s="24" t="n"/>
      <c r="D243" s="25" t="n"/>
      <c r="E243" s="25" t="n"/>
      <c r="F243" s="26">
        <f>IF(OR(B243="",N(J243)=0),"",SUMPRODUCT(MIN((Gifts!$C$6:$C$1005=B243)*Gifts!$Q$6:$Q$1005*Gifts!$M$6:$M$1005+(1-(Gifts!$C$6:$C$1005=B243)*Gifts!$Q$6:$Q$1005)*1E9)))</f>
        <v/>
      </c>
      <c r="G243" s="26">
        <f>IF(OR(B243="",N(J243)=0),"",SUMPRODUCT(MAX((Gifts!$C$6:$C$1005=B243)*Gifts!$Q$6:$Q$1005*Gifts!$M$6:$M$1005)))</f>
        <v/>
      </c>
      <c r="H243" s="27">
        <f>IF(B243="","",SUMIFS(Gifts!$D$6:$D$1005,Gifts!$C$6:$C$1005,B243,Gifts!$K$6:$K$1005,Settings!$C$7,Gifts!$D$6:$D$1005,"&gt;0"))</f>
        <v/>
      </c>
      <c r="I243" s="28">
        <f>IF(B243="","",SUMIFS(Gifts!$D$6:$D$1005,Gifts!$C$6:$C$1005,B243,Gifts!$D$6:$D$1005,"&gt;0",Gifts!$M$6:$M$1005,"&gt;0"))</f>
        <v/>
      </c>
      <c r="J243" s="18">
        <f>IF(B243="","",SUMIFS(Gifts!$Q$6:$Q$1005,Gifts!$C$6:$C$1005,B243))</f>
        <v/>
      </c>
      <c r="K243" s="29">
        <f>IF(B243="","",IF(N(J243)=0,"No gifts yet",IF(AND(N(Settings!$C$9)&gt;0,G243&lt;EDATE(TODAY(),-N(Settings!$C$9))),"Lapsed",IF(YEAR(F243)=N(Settings!$C$7),"New","Active"))))</f>
        <v/>
      </c>
      <c r="L243" s="1" t="n"/>
      <c r="M243">
        <f>IF(OR(B243="",N(H243)&lt;=0),"",ROUND(H243*100,0)*1000+1000-ROW())</f>
        <v/>
      </c>
      <c r="N243">
        <f>IF(B243="","",SUMIFS(Gifts!$Q$6:$Q$1005,Gifts!$C$6:$C$1005,B243,Gifts!$K$6:$K$1005,Settings!$C$7))</f>
        <v/>
      </c>
    </row>
    <row r="244">
      <c r="A244" s="1" t="n"/>
      <c r="B244" s="22" t="n"/>
      <c r="C244" s="24" t="n"/>
      <c r="D244" s="25" t="n"/>
      <c r="E244" s="25" t="n"/>
      <c r="F244" s="26">
        <f>IF(OR(B244="",N(J244)=0),"",SUMPRODUCT(MIN((Gifts!$C$6:$C$1005=B244)*Gifts!$Q$6:$Q$1005*Gifts!$M$6:$M$1005+(1-(Gifts!$C$6:$C$1005=B244)*Gifts!$Q$6:$Q$1005)*1E9)))</f>
        <v/>
      </c>
      <c r="G244" s="26">
        <f>IF(OR(B244="",N(J244)=0),"",SUMPRODUCT(MAX((Gifts!$C$6:$C$1005=B244)*Gifts!$Q$6:$Q$1005*Gifts!$M$6:$M$1005)))</f>
        <v/>
      </c>
      <c r="H244" s="27">
        <f>IF(B244="","",SUMIFS(Gifts!$D$6:$D$1005,Gifts!$C$6:$C$1005,B244,Gifts!$K$6:$K$1005,Settings!$C$7,Gifts!$D$6:$D$1005,"&gt;0"))</f>
        <v/>
      </c>
      <c r="I244" s="28">
        <f>IF(B244="","",SUMIFS(Gifts!$D$6:$D$1005,Gifts!$C$6:$C$1005,B244,Gifts!$D$6:$D$1005,"&gt;0",Gifts!$M$6:$M$1005,"&gt;0"))</f>
        <v/>
      </c>
      <c r="J244" s="18">
        <f>IF(B244="","",SUMIFS(Gifts!$Q$6:$Q$1005,Gifts!$C$6:$C$1005,B244))</f>
        <v/>
      </c>
      <c r="K244" s="29">
        <f>IF(B244="","",IF(N(J244)=0,"No gifts yet",IF(AND(N(Settings!$C$9)&gt;0,G244&lt;EDATE(TODAY(),-N(Settings!$C$9))),"Lapsed",IF(YEAR(F244)=N(Settings!$C$7),"New","Active"))))</f>
        <v/>
      </c>
      <c r="L244" s="1" t="n"/>
      <c r="M244">
        <f>IF(OR(B244="",N(H244)&lt;=0),"",ROUND(H244*100,0)*1000+1000-ROW())</f>
        <v/>
      </c>
      <c r="N244">
        <f>IF(B244="","",SUMIFS(Gifts!$Q$6:$Q$1005,Gifts!$C$6:$C$1005,B244,Gifts!$K$6:$K$1005,Settings!$C$7))</f>
        <v/>
      </c>
    </row>
    <row r="245">
      <c r="A245" s="1" t="n"/>
      <c r="B245" s="22" t="n"/>
      <c r="C245" s="24" t="n"/>
      <c r="D245" s="25" t="n"/>
      <c r="E245" s="25" t="n"/>
      <c r="F245" s="26">
        <f>IF(OR(B245="",N(J245)=0),"",SUMPRODUCT(MIN((Gifts!$C$6:$C$1005=B245)*Gifts!$Q$6:$Q$1005*Gifts!$M$6:$M$1005+(1-(Gifts!$C$6:$C$1005=B245)*Gifts!$Q$6:$Q$1005)*1E9)))</f>
        <v/>
      </c>
      <c r="G245" s="26">
        <f>IF(OR(B245="",N(J245)=0),"",SUMPRODUCT(MAX((Gifts!$C$6:$C$1005=B245)*Gifts!$Q$6:$Q$1005*Gifts!$M$6:$M$1005)))</f>
        <v/>
      </c>
      <c r="H245" s="27">
        <f>IF(B245="","",SUMIFS(Gifts!$D$6:$D$1005,Gifts!$C$6:$C$1005,B245,Gifts!$K$6:$K$1005,Settings!$C$7,Gifts!$D$6:$D$1005,"&gt;0"))</f>
        <v/>
      </c>
      <c r="I245" s="28">
        <f>IF(B245="","",SUMIFS(Gifts!$D$6:$D$1005,Gifts!$C$6:$C$1005,B245,Gifts!$D$6:$D$1005,"&gt;0",Gifts!$M$6:$M$1005,"&gt;0"))</f>
        <v/>
      </c>
      <c r="J245" s="18">
        <f>IF(B245="","",SUMIFS(Gifts!$Q$6:$Q$1005,Gifts!$C$6:$C$1005,B245))</f>
        <v/>
      </c>
      <c r="K245" s="29">
        <f>IF(B245="","",IF(N(J245)=0,"No gifts yet",IF(AND(N(Settings!$C$9)&gt;0,G245&lt;EDATE(TODAY(),-N(Settings!$C$9))),"Lapsed",IF(YEAR(F245)=N(Settings!$C$7),"New","Active"))))</f>
        <v/>
      </c>
      <c r="L245" s="1" t="n"/>
      <c r="M245">
        <f>IF(OR(B245="",N(H245)&lt;=0),"",ROUND(H245*100,0)*1000+1000-ROW())</f>
        <v/>
      </c>
      <c r="N245">
        <f>IF(B245="","",SUMIFS(Gifts!$Q$6:$Q$1005,Gifts!$C$6:$C$1005,B245,Gifts!$K$6:$K$1005,Settings!$C$7))</f>
        <v/>
      </c>
    </row>
    <row r="246">
      <c r="A246" s="1" t="n"/>
      <c r="B246" s="22" t="n"/>
      <c r="C246" s="24" t="n"/>
      <c r="D246" s="25" t="n"/>
      <c r="E246" s="25" t="n"/>
      <c r="F246" s="26">
        <f>IF(OR(B246="",N(J246)=0),"",SUMPRODUCT(MIN((Gifts!$C$6:$C$1005=B246)*Gifts!$Q$6:$Q$1005*Gifts!$M$6:$M$1005+(1-(Gifts!$C$6:$C$1005=B246)*Gifts!$Q$6:$Q$1005)*1E9)))</f>
        <v/>
      </c>
      <c r="G246" s="26">
        <f>IF(OR(B246="",N(J246)=0),"",SUMPRODUCT(MAX((Gifts!$C$6:$C$1005=B246)*Gifts!$Q$6:$Q$1005*Gifts!$M$6:$M$1005)))</f>
        <v/>
      </c>
      <c r="H246" s="27">
        <f>IF(B246="","",SUMIFS(Gifts!$D$6:$D$1005,Gifts!$C$6:$C$1005,B246,Gifts!$K$6:$K$1005,Settings!$C$7,Gifts!$D$6:$D$1005,"&gt;0"))</f>
        <v/>
      </c>
      <c r="I246" s="28">
        <f>IF(B246="","",SUMIFS(Gifts!$D$6:$D$1005,Gifts!$C$6:$C$1005,B246,Gifts!$D$6:$D$1005,"&gt;0",Gifts!$M$6:$M$1005,"&gt;0"))</f>
        <v/>
      </c>
      <c r="J246" s="18">
        <f>IF(B246="","",SUMIFS(Gifts!$Q$6:$Q$1005,Gifts!$C$6:$C$1005,B246))</f>
        <v/>
      </c>
      <c r="K246" s="29">
        <f>IF(B246="","",IF(N(J246)=0,"No gifts yet",IF(AND(N(Settings!$C$9)&gt;0,G246&lt;EDATE(TODAY(),-N(Settings!$C$9))),"Lapsed",IF(YEAR(F246)=N(Settings!$C$7),"New","Active"))))</f>
        <v/>
      </c>
      <c r="L246" s="1" t="n"/>
      <c r="M246">
        <f>IF(OR(B246="",N(H246)&lt;=0),"",ROUND(H246*100,0)*1000+1000-ROW())</f>
        <v/>
      </c>
      <c r="N246">
        <f>IF(B246="","",SUMIFS(Gifts!$Q$6:$Q$1005,Gifts!$C$6:$C$1005,B246,Gifts!$K$6:$K$1005,Settings!$C$7))</f>
        <v/>
      </c>
    </row>
    <row r="247">
      <c r="A247" s="1" t="n"/>
      <c r="B247" s="22" t="n"/>
      <c r="C247" s="24" t="n"/>
      <c r="D247" s="25" t="n"/>
      <c r="E247" s="25" t="n"/>
      <c r="F247" s="26">
        <f>IF(OR(B247="",N(J247)=0),"",SUMPRODUCT(MIN((Gifts!$C$6:$C$1005=B247)*Gifts!$Q$6:$Q$1005*Gifts!$M$6:$M$1005+(1-(Gifts!$C$6:$C$1005=B247)*Gifts!$Q$6:$Q$1005)*1E9)))</f>
        <v/>
      </c>
      <c r="G247" s="26">
        <f>IF(OR(B247="",N(J247)=0),"",SUMPRODUCT(MAX((Gifts!$C$6:$C$1005=B247)*Gifts!$Q$6:$Q$1005*Gifts!$M$6:$M$1005)))</f>
        <v/>
      </c>
      <c r="H247" s="27">
        <f>IF(B247="","",SUMIFS(Gifts!$D$6:$D$1005,Gifts!$C$6:$C$1005,B247,Gifts!$K$6:$K$1005,Settings!$C$7,Gifts!$D$6:$D$1005,"&gt;0"))</f>
        <v/>
      </c>
      <c r="I247" s="28">
        <f>IF(B247="","",SUMIFS(Gifts!$D$6:$D$1005,Gifts!$C$6:$C$1005,B247,Gifts!$D$6:$D$1005,"&gt;0",Gifts!$M$6:$M$1005,"&gt;0"))</f>
        <v/>
      </c>
      <c r="J247" s="18">
        <f>IF(B247="","",SUMIFS(Gifts!$Q$6:$Q$1005,Gifts!$C$6:$C$1005,B247))</f>
        <v/>
      </c>
      <c r="K247" s="29">
        <f>IF(B247="","",IF(N(J247)=0,"No gifts yet",IF(AND(N(Settings!$C$9)&gt;0,G247&lt;EDATE(TODAY(),-N(Settings!$C$9))),"Lapsed",IF(YEAR(F247)=N(Settings!$C$7),"New","Active"))))</f>
        <v/>
      </c>
      <c r="L247" s="1" t="n"/>
      <c r="M247">
        <f>IF(OR(B247="",N(H247)&lt;=0),"",ROUND(H247*100,0)*1000+1000-ROW())</f>
        <v/>
      </c>
      <c r="N247">
        <f>IF(B247="","",SUMIFS(Gifts!$Q$6:$Q$1005,Gifts!$C$6:$C$1005,B247,Gifts!$K$6:$K$1005,Settings!$C$7))</f>
        <v/>
      </c>
    </row>
    <row r="248">
      <c r="A248" s="1" t="n"/>
      <c r="B248" s="22" t="n"/>
      <c r="C248" s="24" t="n"/>
      <c r="D248" s="25" t="n"/>
      <c r="E248" s="25" t="n"/>
      <c r="F248" s="26">
        <f>IF(OR(B248="",N(J248)=0),"",SUMPRODUCT(MIN((Gifts!$C$6:$C$1005=B248)*Gifts!$Q$6:$Q$1005*Gifts!$M$6:$M$1005+(1-(Gifts!$C$6:$C$1005=B248)*Gifts!$Q$6:$Q$1005)*1E9)))</f>
        <v/>
      </c>
      <c r="G248" s="26">
        <f>IF(OR(B248="",N(J248)=0),"",SUMPRODUCT(MAX((Gifts!$C$6:$C$1005=B248)*Gifts!$Q$6:$Q$1005*Gifts!$M$6:$M$1005)))</f>
        <v/>
      </c>
      <c r="H248" s="27">
        <f>IF(B248="","",SUMIFS(Gifts!$D$6:$D$1005,Gifts!$C$6:$C$1005,B248,Gifts!$K$6:$K$1005,Settings!$C$7,Gifts!$D$6:$D$1005,"&gt;0"))</f>
        <v/>
      </c>
      <c r="I248" s="28">
        <f>IF(B248="","",SUMIFS(Gifts!$D$6:$D$1005,Gifts!$C$6:$C$1005,B248,Gifts!$D$6:$D$1005,"&gt;0",Gifts!$M$6:$M$1005,"&gt;0"))</f>
        <v/>
      </c>
      <c r="J248" s="18">
        <f>IF(B248="","",SUMIFS(Gifts!$Q$6:$Q$1005,Gifts!$C$6:$C$1005,B248))</f>
        <v/>
      </c>
      <c r="K248" s="29">
        <f>IF(B248="","",IF(N(J248)=0,"No gifts yet",IF(AND(N(Settings!$C$9)&gt;0,G248&lt;EDATE(TODAY(),-N(Settings!$C$9))),"Lapsed",IF(YEAR(F248)=N(Settings!$C$7),"New","Active"))))</f>
        <v/>
      </c>
      <c r="L248" s="1" t="n"/>
      <c r="M248">
        <f>IF(OR(B248="",N(H248)&lt;=0),"",ROUND(H248*100,0)*1000+1000-ROW())</f>
        <v/>
      </c>
      <c r="N248">
        <f>IF(B248="","",SUMIFS(Gifts!$Q$6:$Q$1005,Gifts!$C$6:$C$1005,B248,Gifts!$K$6:$K$1005,Settings!$C$7))</f>
        <v/>
      </c>
    </row>
    <row r="249">
      <c r="A249" s="1" t="n"/>
      <c r="B249" s="22" t="n"/>
      <c r="C249" s="24" t="n"/>
      <c r="D249" s="25" t="n"/>
      <c r="E249" s="25" t="n"/>
      <c r="F249" s="26">
        <f>IF(OR(B249="",N(J249)=0),"",SUMPRODUCT(MIN((Gifts!$C$6:$C$1005=B249)*Gifts!$Q$6:$Q$1005*Gifts!$M$6:$M$1005+(1-(Gifts!$C$6:$C$1005=B249)*Gifts!$Q$6:$Q$1005)*1E9)))</f>
        <v/>
      </c>
      <c r="G249" s="26">
        <f>IF(OR(B249="",N(J249)=0),"",SUMPRODUCT(MAX((Gifts!$C$6:$C$1005=B249)*Gifts!$Q$6:$Q$1005*Gifts!$M$6:$M$1005)))</f>
        <v/>
      </c>
      <c r="H249" s="27">
        <f>IF(B249="","",SUMIFS(Gifts!$D$6:$D$1005,Gifts!$C$6:$C$1005,B249,Gifts!$K$6:$K$1005,Settings!$C$7,Gifts!$D$6:$D$1005,"&gt;0"))</f>
        <v/>
      </c>
      <c r="I249" s="28">
        <f>IF(B249="","",SUMIFS(Gifts!$D$6:$D$1005,Gifts!$C$6:$C$1005,B249,Gifts!$D$6:$D$1005,"&gt;0",Gifts!$M$6:$M$1005,"&gt;0"))</f>
        <v/>
      </c>
      <c r="J249" s="18">
        <f>IF(B249="","",SUMIFS(Gifts!$Q$6:$Q$1005,Gifts!$C$6:$C$1005,B249))</f>
        <v/>
      </c>
      <c r="K249" s="29">
        <f>IF(B249="","",IF(N(J249)=0,"No gifts yet",IF(AND(N(Settings!$C$9)&gt;0,G249&lt;EDATE(TODAY(),-N(Settings!$C$9))),"Lapsed",IF(YEAR(F249)=N(Settings!$C$7),"New","Active"))))</f>
        <v/>
      </c>
      <c r="L249" s="1" t="n"/>
      <c r="M249">
        <f>IF(OR(B249="",N(H249)&lt;=0),"",ROUND(H249*100,0)*1000+1000-ROW())</f>
        <v/>
      </c>
      <c r="N249">
        <f>IF(B249="","",SUMIFS(Gifts!$Q$6:$Q$1005,Gifts!$C$6:$C$1005,B249,Gifts!$K$6:$K$1005,Settings!$C$7))</f>
        <v/>
      </c>
    </row>
    <row r="250">
      <c r="A250" s="1" t="n"/>
      <c r="B250" s="22" t="n"/>
      <c r="C250" s="24" t="n"/>
      <c r="D250" s="25" t="n"/>
      <c r="E250" s="25" t="n"/>
      <c r="F250" s="26">
        <f>IF(OR(B250="",N(J250)=0),"",SUMPRODUCT(MIN((Gifts!$C$6:$C$1005=B250)*Gifts!$Q$6:$Q$1005*Gifts!$M$6:$M$1005+(1-(Gifts!$C$6:$C$1005=B250)*Gifts!$Q$6:$Q$1005)*1E9)))</f>
        <v/>
      </c>
      <c r="G250" s="26">
        <f>IF(OR(B250="",N(J250)=0),"",SUMPRODUCT(MAX((Gifts!$C$6:$C$1005=B250)*Gifts!$Q$6:$Q$1005*Gifts!$M$6:$M$1005)))</f>
        <v/>
      </c>
      <c r="H250" s="27">
        <f>IF(B250="","",SUMIFS(Gifts!$D$6:$D$1005,Gifts!$C$6:$C$1005,B250,Gifts!$K$6:$K$1005,Settings!$C$7,Gifts!$D$6:$D$1005,"&gt;0"))</f>
        <v/>
      </c>
      <c r="I250" s="28">
        <f>IF(B250="","",SUMIFS(Gifts!$D$6:$D$1005,Gifts!$C$6:$C$1005,B250,Gifts!$D$6:$D$1005,"&gt;0",Gifts!$M$6:$M$1005,"&gt;0"))</f>
        <v/>
      </c>
      <c r="J250" s="18">
        <f>IF(B250="","",SUMIFS(Gifts!$Q$6:$Q$1005,Gifts!$C$6:$C$1005,B250))</f>
        <v/>
      </c>
      <c r="K250" s="29">
        <f>IF(B250="","",IF(N(J250)=0,"No gifts yet",IF(AND(N(Settings!$C$9)&gt;0,G250&lt;EDATE(TODAY(),-N(Settings!$C$9))),"Lapsed",IF(YEAR(F250)=N(Settings!$C$7),"New","Active"))))</f>
        <v/>
      </c>
      <c r="L250" s="1" t="n"/>
      <c r="M250">
        <f>IF(OR(B250="",N(H250)&lt;=0),"",ROUND(H250*100,0)*1000+1000-ROW())</f>
        <v/>
      </c>
      <c r="N250">
        <f>IF(B250="","",SUMIFS(Gifts!$Q$6:$Q$1005,Gifts!$C$6:$C$1005,B250,Gifts!$K$6:$K$1005,Settings!$C$7))</f>
        <v/>
      </c>
    </row>
    <row r="251">
      <c r="A251" s="1" t="n"/>
      <c r="B251" s="22" t="n"/>
      <c r="C251" s="24" t="n"/>
      <c r="D251" s="25" t="n"/>
      <c r="E251" s="25" t="n"/>
      <c r="F251" s="26">
        <f>IF(OR(B251="",N(J251)=0),"",SUMPRODUCT(MIN((Gifts!$C$6:$C$1005=B251)*Gifts!$Q$6:$Q$1005*Gifts!$M$6:$M$1005+(1-(Gifts!$C$6:$C$1005=B251)*Gifts!$Q$6:$Q$1005)*1E9)))</f>
        <v/>
      </c>
      <c r="G251" s="26">
        <f>IF(OR(B251="",N(J251)=0),"",SUMPRODUCT(MAX((Gifts!$C$6:$C$1005=B251)*Gifts!$Q$6:$Q$1005*Gifts!$M$6:$M$1005)))</f>
        <v/>
      </c>
      <c r="H251" s="27">
        <f>IF(B251="","",SUMIFS(Gifts!$D$6:$D$1005,Gifts!$C$6:$C$1005,B251,Gifts!$K$6:$K$1005,Settings!$C$7,Gifts!$D$6:$D$1005,"&gt;0"))</f>
        <v/>
      </c>
      <c r="I251" s="28">
        <f>IF(B251="","",SUMIFS(Gifts!$D$6:$D$1005,Gifts!$C$6:$C$1005,B251,Gifts!$D$6:$D$1005,"&gt;0",Gifts!$M$6:$M$1005,"&gt;0"))</f>
        <v/>
      </c>
      <c r="J251" s="18">
        <f>IF(B251="","",SUMIFS(Gifts!$Q$6:$Q$1005,Gifts!$C$6:$C$1005,B251))</f>
        <v/>
      </c>
      <c r="K251" s="29">
        <f>IF(B251="","",IF(N(J251)=0,"No gifts yet",IF(AND(N(Settings!$C$9)&gt;0,G251&lt;EDATE(TODAY(),-N(Settings!$C$9))),"Lapsed",IF(YEAR(F251)=N(Settings!$C$7),"New","Active"))))</f>
        <v/>
      </c>
      <c r="L251" s="1" t="n"/>
      <c r="M251">
        <f>IF(OR(B251="",N(H251)&lt;=0),"",ROUND(H251*100,0)*1000+1000-ROW())</f>
        <v/>
      </c>
      <c r="N251">
        <f>IF(B251="","",SUMIFS(Gifts!$Q$6:$Q$1005,Gifts!$C$6:$C$1005,B251,Gifts!$K$6:$K$1005,Settings!$C$7))</f>
        <v/>
      </c>
    </row>
    <row r="252">
      <c r="A252" s="1" t="n"/>
      <c r="B252" s="22" t="n"/>
      <c r="C252" s="24" t="n"/>
      <c r="D252" s="25" t="n"/>
      <c r="E252" s="25" t="n"/>
      <c r="F252" s="26">
        <f>IF(OR(B252="",N(J252)=0),"",SUMPRODUCT(MIN((Gifts!$C$6:$C$1005=B252)*Gifts!$Q$6:$Q$1005*Gifts!$M$6:$M$1005+(1-(Gifts!$C$6:$C$1005=B252)*Gifts!$Q$6:$Q$1005)*1E9)))</f>
        <v/>
      </c>
      <c r="G252" s="26">
        <f>IF(OR(B252="",N(J252)=0),"",SUMPRODUCT(MAX((Gifts!$C$6:$C$1005=B252)*Gifts!$Q$6:$Q$1005*Gifts!$M$6:$M$1005)))</f>
        <v/>
      </c>
      <c r="H252" s="27">
        <f>IF(B252="","",SUMIFS(Gifts!$D$6:$D$1005,Gifts!$C$6:$C$1005,B252,Gifts!$K$6:$K$1005,Settings!$C$7,Gifts!$D$6:$D$1005,"&gt;0"))</f>
        <v/>
      </c>
      <c r="I252" s="28">
        <f>IF(B252="","",SUMIFS(Gifts!$D$6:$D$1005,Gifts!$C$6:$C$1005,B252,Gifts!$D$6:$D$1005,"&gt;0",Gifts!$M$6:$M$1005,"&gt;0"))</f>
        <v/>
      </c>
      <c r="J252" s="18">
        <f>IF(B252="","",SUMIFS(Gifts!$Q$6:$Q$1005,Gifts!$C$6:$C$1005,B252))</f>
        <v/>
      </c>
      <c r="K252" s="29">
        <f>IF(B252="","",IF(N(J252)=0,"No gifts yet",IF(AND(N(Settings!$C$9)&gt;0,G252&lt;EDATE(TODAY(),-N(Settings!$C$9))),"Lapsed",IF(YEAR(F252)=N(Settings!$C$7),"New","Active"))))</f>
        <v/>
      </c>
      <c r="L252" s="1" t="n"/>
      <c r="M252">
        <f>IF(OR(B252="",N(H252)&lt;=0),"",ROUND(H252*100,0)*1000+1000-ROW())</f>
        <v/>
      </c>
      <c r="N252">
        <f>IF(B252="","",SUMIFS(Gifts!$Q$6:$Q$1005,Gifts!$C$6:$C$1005,B252,Gifts!$K$6:$K$1005,Settings!$C$7))</f>
        <v/>
      </c>
    </row>
    <row r="253">
      <c r="A253" s="1" t="n"/>
      <c r="B253" s="22" t="n"/>
      <c r="C253" s="24" t="n"/>
      <c r="D253" s="25" t="n"/>
      <c r="E253" s="25" t="n"/>
      <c r="F253" s="26">
        <f>IF(OR(B253="",N(J253)=0),"",SUMPRODUCT(MIN((Gifts!$C$6:$C$1005=B253)*Gifts!$Q$6:$Q$1005*Gifts!$M$6:$M$1005+(1-(Gifts!$C$6:$C$1005=B253)*Gifts!$Q$6:$Q$1005)*1E9)))</f>
        <v/>
      </c>
      <c r="G253" s="26">
        <f>IF(OR(B253="",N(J253)=0),"",SUMPRODUCT(MAX((Gifts!$C$6:$C$1005=B253)*Gifts!$Q$6:$Q$1005*Gifts!$M$6:$M$1005)))</f>
        <v/>
      </c>
      <c r="H253" s="27">
        <f>IF(B253="","",SUMIFS(Gifts!$D$6:$D$1005,Gifts!$C$6:$C$1005,B253,Gifts!$K$6:$K$1005,Settings!$C$7,Gifts!$D$6:$D$1005,"&gt;0"))</f>
        <v/>
      </c>
      <c r="I253" s="28">
        <f>IF(B253="","",SUMIFS(Gifts!$D$6:$D$1005,Gifts!$C$6:$C$1005,B253,Gifts!$D$6:$D$1005,"&gt;0",Gifts!$M$6:$M$1005,"&gt;0"))</f>
        <v/>
      </c>
      <c r="J253" s="18">
        <f>IF(B253="","",SUMIFS(Gifts!$Q$6:$Q$1005,Gifts!$C$6:$C$1005,B253))</f>
        <v/>
      </c>
      <c r="K253" s="29">
        <f>IF(B253="","",IF(N(J253)=0,"No gifts yet",IF(AND(N(Settings!$C$9)&gt;0,G253&lt;EDATE(TODAY(),-N(Settings!$C$9))),"Lapsed",IF(YEAR(F253)=N(Settings!$C$7),"New","Active"))))</f>
        <v/>
      </c>
      <c r="L253" s="1" t="n"/>
      <c r="M253">
        <f>IF(OR(B253="",N(H253)&lt;=0),"",ROUND(H253*100,0)*1000+1000-ROW())</f>
        <v/>
      </c>
      <c r="N253">
        <f>IF(B253="","",SUMIFS(Gifts!$Q$6:$Q$1005,Gifts!$C$6:$C$1005,B253,Gifts!$K$6:$K$1005,Settings!$C$7))</f>
        <v/>
      </c>
    </row>
    <row r="254">
      <c r="A254" s="1" t="n"/>
      <c r="B254" s="22" t="n"/>
      <c r="C254" s="24" t="n"/>
      <c r="D254" s="25" t="n"/>
      <c r="E254" s="25" t="n"/>
      <c r="F254" s="26">
        <f>IF(OR(B254="",N(J254)=0),"",SUMPRODUCT(MIN((Gifts!$C$6:$C$1005=B254)*Gifts!$Q$6:$Q$1005*Gifts!$M$6:$M$1005+(1-(Gifts!$C$6:$C$1005=B254)*Gifts!$Q$6:$Q$1005)*1E9)))</f>
        <v/>
      </c>
      <c r="G254" s="26">
        <f>IF(OR(B254="",N(J254)=0),"",SUMPRODUCT(MAX((Gifts!$C$6:$C$1005=B254)*Gifts!$Q$6:$Q$1005*Gifts!$M$6:$M$1005)))</f>
        <v/>
      </c>
      <c r="H254" s="27">
        <f>IF(B254="","",SUMIFS(Gifts!$D$6:$D$1005,Gifts!$C$6:$C$1005,B254,Gifts!$K$6:$K$1005,Settings!$C$7,Gifts!$D$6:$D$1005,"&gt;0"))</f>
        <v/>
      </c>
      <c r="I254" s="28">
        <f>IF(B254="","",SUMIFS(Gifts!$D$6:$D$1005,Gifts!$C$6:$C$1005,B254,Gifts!$D$6:$D$1005,"&gt;0",Gifts!$M$6:$M$1005,"&gt;0"))</f>
        <v/>
      </c>
      <c r="J254" s="18">
        <f>IF(B254="","",SUMIFS(Gifts!$Q$6:$Q$1005,Gifts!$C$6:$C$1005,B254))</f>
        <v/>
      </c>
      <c r="K254" s="29">
        <f>IF(B254="","",IF(N(J254)=0,"No gifts yet",IF(AND(N(Settings!$C$9)&gt;0,G254&lt;EDATE(TODAY(),-N(Settings!$C$9))),"Lapsed",IF(YEAR(F254)=N(Settings!$C$7),"New","Active"))))</f>
        <v/>
      </c>
      <c r="L254" s="1" t="n"/>
      <c r="M254">
        <f>IF(OR(B254="",N(H254)&lt;=0),"",ROUND(H254*100,0)*1000+1000-ROW())</f>
        <v/>
      </c>
      <c r="N254">
        <f>IF(B254="","",SUMIFS(Gifts!$Q$6:$Q$1005,Gifts!$C$6:$C$1005,B254,Gifts!$K$6:$K$1005,Settings!$C$7))</f>
        <v/>
      </c>
    </row>
    <row r="255">
      <c r="A255" s="1" t="n"/>
      <c r="B255" s="22" t="n"/>
      <c r="C255" s="24" t="n"/>
      <c r="D255" s="25" t="n"/>
      <c r="E255" s="25" t="n"/>
      <c r="F255" s="26">
        <f>IF(OR(B255="",N(J255)=0),"",SUMPRODUCT(MIN((Gifts!$C$6:$C$1005=B255)*Gifts!$Q$6:$Q$1005*Gifts!$M$6:$M$1005+(1-(Gifts!$C$6:$C$1005=B255)*Gifts!$Q$6:$Q$1005)*1E9)))</f>
        <v/>
      </c>
      <c r="G255" s="26">
        <f>IF(OR(B255="",N(J255)=0),"",SUMPRODUCT(MAX((Gifts!$C$6:$C$1005=B255)*Gifts!$Q$6:$Q$1005*Gifts!$M$6:$M$1005)))</f>
        <v/>
      </c>
      <c r="H255" s="27">
        <f>IF(B255="","",SUMIFS(Gifts!$D$6:$D$1005,Gifts!$C$6:$C$1005,B255,Gifts!$K$6:$K$1005,Settings!$C$7,Gifts!$D$6:$D$1005,"&gt;0"))</f>
        <v/>
      </c>
      <c r="I255" s="28">
        <f>IF(B255="","",SUMIFS(Gifts!$D$6:$D$1005,Gifts!$C$6:$C$1005,B255,Gifts!$D$6:$D$1005,"&gt;0",Gifts!$M$6:$M$1005,"&gt;0"))</f>
        <v/>
      </c>
      <c r="J255" s="18">
        <f>IF(B255="","",SUMIFS(Gifts!$Q$6:$Q$1005,Gifts!$C$6:$C$1005,B255))</f>
        <v/>
      </c>
      <c r="K255" s="29">
        <f>IF(B255="","",IF(N(J255)=0,"No gifts yet",IF(AND(N(Settings!$C$9)&gt;0,G255&lt;EDATE(TODAY(),-N(Settings!$C$9))),"Lapsed",IF(YEAR(F255)=N(Settings!$C$7),"New","Active"))))</f>
        <v/>
      </c>
      <c r="L255" s="1" t="n"/>
      <c r="M255">
        <f>IF(OR(B255="",N(H255)&lt;=0),"",ROUND(H255*100,0)*1000+1000-ROW())</f>
        <v/>
      </c>
      <c r="N255">
        <f>IF(B255="","",SUMIFS(Gifts!$Q$6:$Q$1005,Gifts!$C$6:$C$1005,B255,Gifts!$K$6:$K$1005,Settings!$C$7))</f>
        <v/>
      </c>
    </row>
    <row r="256">
      <c r="A256" s="1" t="n"/>
      <c r="B256" s="22" t="n"/>
      <c r="C256" s="24" t="n"/>
      <c r="D256" s="25" t="n"/>
      <c r="E256" s="25" t="n"/>
      <c r="F256" s="26">
        <f>IF(OR(B256="",N(J256)=0),"",SUMPRODUCT(MIN((Gifts!$C$6:$C$1005=B256)*Gifts!$Q$6:$Q$1005*Gifts!$M$6:$M$1005+(1-(Gifts!$C$6:$C$1005=B256)*Gifts!$Q$6:$Q$1005)*1E9)))</f>
        <v/>
      </c>
      <c r="G256" s="26">
        <f>IF(OR(B256="",N(J256)=0),"",SUMPRODUCT(MAX((Gifts!$C$6:$C$1005=B256)*Gifts!$Q$6:$Q$1005*Gifts!$M$6:$M$1005)))</f>
        <v/>
      </c>
      <c r="H256" s="27">
        <f>IF(B256="","",SUMIFS(Gifts!$D$6:$D$1005,Gifts!$C$6:$C$1005,B256,Gifts!$K$6:$K$1005,Settings!$C$7,Gifts!$D$6:$D$1005,"&gt;0"))</f>
        <v/>
      </c>
      <c r="I256" s="28">
        <f>IF(B256="","",SUMIFS(Gifts!$D$6:$D$1005,Gifts!$C$6:$C$1005,B256,Gifts!$D$6:$D$1005,"&gt;0",Gifts!$M$6:$M$1005,"&gt;0"))</f>
        <v/>
      </c>
      <c r="J256" s="18">
        <f>IF(B256="","",SUMIFS(Gifts!$Q$6:$Q$1005,Gifts!$C$6:$C$1005,B256))</f>
        <v/>
      </c>
      <c r="K256" s="29">
        <f>IF(B256="","",IF(N(J256)=0,"No gifts yet",IF(AND(N(Settings!$C$9)&gt;0,G256&lt;EDATE(TODAY(),-N(Settings!$C$9))),"Lapsed",IF(YEAR(F256)=N(Settings!$C$7),"New","Active"))))</f>
        <v/>
      </c>
      <c r="L256" s="1" t="n"/>
      <c r="M256">
        <f>IF(OR(B256="",N(H256)&lt;=0),"",ROUND(H256*100,0)*1000+1000-ROW())</f>
        <v/>
      </c>
      <c r="N256">
        <f>IF(B256="","",SUMIFS(Gifts!$Q$6:$Q$1005,Gifts!$C$6:$C$1005,B256,Gifts!$K$6:$K$1005,Settings!$C$7))</f>
        <v/>
      </c>
    </row>
    <row r="257">
      <c r="A257" s="1" t="n"/>
      <c r="B257" s="22" t="n"/>
      <c r="C257" s="24" t="n"/>
      <c r="D257" s="25" t="n"/>
      <c r="E257" s="25" t="n"/>
      <c r="F257" s="26">
        <f>IF(OR(B257="",N(J257)=0),"",SUMPRODUCT(MIN((Gifts!$C$6:$C$1005=B257)*Gifts!$Q$6:$Q$1005*Gifts!$M$6:$M$1005+(1-(Gifts!$C$6:$C$1005=B257)*Gifts!$Q$6:$Q$1005)*1E9)))</f>
        <v/>
      </c>
      <c r="G257" s="26">
        <f>IF(OR(B257="",N(J257)=0),"",SUMPRODUCT(MAX((Gifts!$C$6:$C$1005=B257)*Gifts!$Q$6:$Q$1005*Gifts!$M$6:$M$1005)))</f>
        <v/>
      </c>
      <c r="H257" s="27">
        <f>IF(B257="","",SUMIFS(Gifts!$D$6:$D$1005,Gifts!$C$6:$C$1005,B257,Gifts!$K$6:$K$1005,Settings!$C$7,Gifts!$D$6:$D$1005,"&gt;0"))</f>
        <v/>
      </c>
      <c r="I257" s="28">
        <f>IF(B257="","",SUMIFS(Gifts!$D$6:$D$1005,Gifts!$C$6:$C$1005,B257,Gifts!$D$6:$D$1005,"&gt;0",Gifts!$M$6:$M$1005,"&gt;0"))</f>
        <v/>
      </c>
      <c r="J257" s="18">
        <f>IF(B257="","",SUMIFS(Gifts!$Q$6:$Q$1005,Gifts!$C$6:$C$1005,B257))</f>
        <v/>
      </c>
      <c r="K257" s="29">
        <f>IF(B257="","",IF(N(J257)=0,"No gifts yet",IF(AND(N(Settings!$C$9)&gt;0,G257&lt;EDATE(TODAY(),-N(Settings!$C$9))),"Lapsed",IF(YEAR(F257)=N(Settings!$C$7),"New","Active"))))</f>
        <v/>
      </c>
      <c r="L257" s="1" t="n"/>
      <c r="M257">
        <f>IF(OR(B257="",N(H257)&lt;=0),"",ROUND(H257*100,0)*1000+1000-ROW())</f>
        <v/>
      </c>
      <c r="N257">
        <f>IF(B257="","",SUMIFS(Gifts!$Q$6:$Q$1005,Gifts!$C$6:$C$1005,B257,Gifts!$K$6:$K$1005,Settings!$C$7))</f>
        <v/>
      </c>
    </row>
    <row r="258">
      <c r="A258" s="1" t="n"/>
      <c r="B258" s="22" t="n"/>
      <c r="C258" s="24" t="n"/>
      <c r="D258" s="25" t="n"/>
      <c r="E258" s="25" t="n"/>
      <c r="F258" s="26">
        <f>IF(OR(B258="",N(J258)=0),"",SUMPRODUCT(MIN((Gifts!$C$6:$C$1005=B258)*Gifts!$Q$6:$Q$1005*Gifts!$M$6:$M$1005+(1-(Gifts!$C$6:$C$1005=B258)*Gifts!$Q$6:$Q$1005)*1E9)))</f>
        <v/>
      </c>
      <c r="G258" s="26">
        <f>IF(OR(B258="",N(J258)=0),"",SUMPRODUCT(MAX((Gifts!$C$6:$C$1005=B258)*Gifts!$Q$6:$Q$1005*Gifts!$M$6:$M$1005)))</f>
        <v/>
      </c>
      <c r="H258" s="27">
        <f>IF(B258="","",SUMIFS(Gifts!$D$6:$D$1005,Gifts!$C$6:$C$1005,B258,Gifts!$K$6:$K$1005,Settings!$C$7,Gifts!$D$6:$D$1005,"&gt;0"))</f>
        <v/>
      </c>
      <c r="I258" s="28">
        <f>IF(B258="","",SUMIFS(Gifts!$D$6:$D$1005,Gifts!$C$6:$C$1005,B258,Gifts!$D$6:$D$1005,"&gt;0",Gifts!$M$6:$M$1005,"&gt;0"))</f>
        <v/>
      </c>
      <c r="J258" s="18">
        <f>IF(B258="","",SUMIFS(Gifts!$Q$6:$Q$1005,Gifts!$C$6:$C$1005,B258))</f>
        <v/>
      </c>
      <c r="K258" s="29">
        <f>IF(B258="","",IF(N(J258)=0,"No gifts yet",IF(AND(N(Settings!$C$9)&gt;0,G258&lt;EDATE(TODAY(),-N(Settings!$C$9))),"Lapsed",IF(YEAR(F258)=N(Settings!$C$7),"New","Active"))))</f>
        <v/>
      </c>
      <c r="L258" s="1" t="n"/>
      <c r="M258">
        <f>IF(OR(B258="",N(H258)&lt;=0),"",ROUND(H258*100,0)*1000+1000-ROW())</f>
        <v/>
      </c>
      <c r="N258">
        <f>IF(B258="","",SUMIFS(Gifts!$Q$6:$Q$1005,Gifts!$C$6:$C$1005,B258,Gifts!$K$6:$K$1005,Settings!$C$7))</f>
        <v/>
      </c>
    </row>
    <row r="259">
      <c r="A259" s="1" t="n"/>
      <c r="B259" s="22" t="n"/>
      <c r="C259" s="24" t="n"/>
      <c r="D259" s="25" t="n"/>
      <c r="E259" s="25" t="n"/>
      <c r="F259" s="26">
        <f>IF(OR(B259="",N(J259)=0),"",SUMPRODUCT(MIN((Gifts!$C$6:$C$1005=B259)*Gifts!$Q$6:$Q$1005*Gifts!$M$6:$M$1005+(1-(Gifts!$C$6:$C$1005=B259)*Gifts!$Q$6:$Q$1005)*1E9)))</f>
        <v/>
      </c>
      <c r="G259" s="26">
        <f>IF(OR(B259="",N(J259)=0),"",SUMPRODUCT(MAX((Gifts!$C$6:$C$1005=B259)*Gifts!$Q$6:$Q$1005*Gifts!$M$6:$M$1005)))</f>
        <v/>
      </c>
      <c r="H259" s="27">
        <f>IF(B259="","",SUMIFS(Gifts!$D$6:$D$1005,Gifts!$C$6:$C$1005,B259,Gifts!$K$6:$K$1005,Settings!$C$7,Gifts!$D$6:$D$1005,"&gt;0"))</f>
        <v/>
      </c>
      <c r="I259" s="28">
        <f>IF(B259="","",SUMIFS(Gifts!$D$6:$D$1005,Gifts!$C$6:$C$1005,B259,Gifts!$D$6:$D$1005,"&gt;0",Gifts!$M$6:$M$1005,"&gt;0"))</f>
        <v/>
      </c>
      <c r="J259" s="18">
        <f>IF(B259="","",SUMIFS(Gifts!$Q$6:$Q$1005,Gifts!$C$6:$C$1005,B259))</f>
        <v/>
      </c>
      <c r="K259" s="29">
        <f>IF(B259="","",IF(N(J259)=0,"No gifts yet",IF(AND(N(Settings!$C$9)&gt;0,G259&lt;EDATE(TODAY(),-N(Settings!$C$9))),"Lapsed",IF(YEAR(F259)=N(Settings!$C$7),"New","Active"))))</f>
        <v/>
      </c>
      <c r="L259" s="1" t="n"/>
      <c r="M259">
        <f>IF(OR(B259="",N(H259)&lt;=0),"",ROUND(H259*100,0)*1000+1000-ROW())</f>
        <v/>
      </c>
      <c r="N259">
        <f>IF(B259="","",SUMIFS(Gifts!$Q$6:$Q$1005,Gifts!$C$6:$C$1005,B259,Gifts!$K$6:$K$1005,Settings!$C$7))</f>
        <v/>
      </c>
    </row>
    <row r="260">
      <c r="A260" s="1" t="n"/>
      <c r="B260" s="22" t="n"/>
      <c r="C260" s="24" t="n"/>
      <c r="D260" s="25" t="n"/>
      <c r="E260" s="25" t="n"/>
      <c r="F260" s="26">
        <f>IF(OR(B260="",N(J260)=0),"",SUMPRODUCT(MIN((Gifts!$C$6:$C$1005=B260)*Gifts!$Q$6:$Q$1005*Gifts!$M$6:$M$1005+(1-(Gifts!$C$6:$C$1005=B260)*Gifts!$Q$6:$Q$1005)*1E9)))</f>
        <v/>
      </c>
      <c r="G260" s="26">
        <f>IF(OR(B260="",N(J260)=0),"",SUMPRODUCT(MAX((Gifts!$C$6:$C$1005=B260)*Gifts!$Q$6:$Q$1005*Gifts!$M$6:$M$1005)))</f>
        <v/>
      </c>
      <c r="H260" s="27">
        <f>IF(B260="","",SUMIFS(Gifts!$D$6:$D$1005,Gifts!$C$6:$C$1005,B260,Gifts!$K$6:$K$1005,Settings!$C$7,Gifts!$D$6:$D$1005,"&gt;0"))</f>
        <v/>
      </c>
      <c r="I260" s="28">
        <f>IF(B260="","",SUMIFS(Gifts!$D$6:$D$1005,Gifts!$C$6:$C$1005,B260,Gifts!$D$6:$D$1005,"&gt;0",Gifts!$M$6:$M$1005,"&gt;0"))</f>
        <v/>
      </c>
      <c r="J260" s="18">
        <f>IF(B260="","",SUMIFS(Gifts!$Q$6:$Q$1005,Gifts!$C$6:$C$1005,B260))</f>
        <v/>
      </c>
      <c r="K260" s="29">
        <f>IF(B260="","",IF(N(J260)=0,"No gifts yet",IF(AND(N(Settings!$C$9)&gt;0,G260&lt;EDATE(TODAY(),-N(Settings!$C$9))),"Lapsed",IF(YEAR(F260)=N(Settings!$C$7),"New","Active"))))</f>
        <v/>
      </c>
      <c r="L260" s="1" t="n"/>
      <c r="M260">
        <f>IF(OR(B260="",N(H260)&lt;=0),"",ROUND(H260*100,0)*1000+1000-ROW())</f>
        <v/>
      </c>
      <c r="N260">
        <f>IF(B260="","",SUMIFS(Gifts!$Q$6:$Q$1005,Gifts!$C$6:$C$1005,B260,Gifts!$K$6:$K$1005,Settings!$C$7))</f>
        <v/>
      </c>
    </row>
    <row r="261">
      <c r="A261" s="1" t="n"/>
      <c r="B261" s="22" t="n"/>
      <c r="C261" s="24" t="n"/>
      <c r="D261" s="25" t="n"/>
      <c r="E261" s="25" t="n"/>
      <c r="F261" s="26">
        <f>IF(OR(B261="",N(J261)=0),"",SUMPRODUCT(MIN((Gifts!$C$6:$C$1005=B261)*Gifts!$Q$6:$Q$1005*Gifts!$M$6:$M$1005+(1-(Gifts!$C$6:$C$1005=B261)*Gifts!$Q$6:$Q$1005)*1E9)))</f>
        <v/>
      </c>
      <c r="G261" s="26">
        <f>IF(OR(B261="",N(J261)=0),"",SUMPRODUCT(MAX((Gifts!$C$6:$C$1005=B261)*Gifts!$Q$6:$Q$1005*Gifts!$M$6:$M$1005)))</f>
        <v/>
      </c>
      <c r="H261" s="27">
        <f>IF(B261="","",SUMIFS(Gifts!$D$6:$D$1005,Gifts!$C$6:$C$1005,B261,Gifts!$K$6:$K$1005,Settings!$C$7,Gifts!$D$6:$D$1005,"&gt;0"))</f>
        <v/>
      </c>
      <c r="I261" s="28">
        <f>IF(B261="","",SUMIFS(Gifts!$D$6:$D$1005,Gifts!$C$6:$C$1005,B261,Gifts!$D$6:$D$1005,"&gt;0",Gifts!$M$6:$M$1005,"&gt;0"))</f>
        <v/>
      </c>
      <c r="J261" s="18">
        <f>IF(B261="","",SUMIFS(Gifts!$Q$6:$Q$1005,Gifts!$C$6:$C$1005,B261))</f>
        <v/>
      </c>
      <c r="K261" s="29">
        <f>IF(B261="","",IF(N(J261)=0,"No gifts yet",IF(AND(N(Settings!$C$9)&gt;0,G261&lt;EDATE(TODAY(),-N(Settings!$C$9))),"Lapsed",IF(YEAR(F261)=N(Settings!$C$7),"New","Active"))))</f>
        <v/>
      </c>
      <c r="L261" s="1" t="n"/>
      <c r="M261">
        <f>IF(OR(B261="",N(H261)&lt;=0),"",ROUND(H261*100,0)*1000+1000-ROW())</f>
        <v/>
      </c>
      <c r="N261">
        <f>IF(B261="","",SUMIFS(Gifts!$Q$6:$Q$1005,Gifts!$C$6:$C$1005,B261,Gifts!$K$6:$K$1005,Settings!$C$7))</f>
        <v/>
      </c>
    </row>
    <row r="262">
      <c r="A262" s="1" t="n"/>
      <c r="B262" s="22" t="n"/>
      <c r="C262" s="24" t="n"/>
      <c r="D262" s="25" t="n"/>
      <c r="E262" s="25" t="n"/>
      <c r="F262" s="26">
        <f>IF(OR(B262="",N(J262)=0),"",SUMPRODUCT(MIN((Gifts!$C$6:$C$1005=B262)*Gifts!$Q$6:$Q$1005*Gifts!$M$6:$M$1005+(1-(Gifts!$C$6:$C$1005=B262)*Gifts!$Q$6:$Q$1005)*1E9)))</f>
        <v/>
      </c>
      <c r="G262" s="26">
        <f>IF(OR(B262="",N(J262)=0),"",SUMPRODUCT(MAX((Gifts!$C$6:$C$1005=B262)*Gifts!$Q$6:$Q$1005*Gifts!$M$6:$M$1005)))</f>
        <v/>
      </c>
      <c r="H262" s="27">
        <f>IF(B262="","",SUMIFS(Gifts!$D$6:$D$1005,Gifts!$C$6:$C$1005,B262,Gifts!$K$6:$K$1005,Settings!$C$7,Gifts!$D$6:$D$1005,"&gt;0"))</f>
        <v/>
      </c>
      <c r="I262" s="28">
        <f>IF(B262="","",SUMIFS(Gifts!$D$6:$D$1005,Gifts!$C$6:$C$1005,B262,Gifts!$D$6:$D$1005,"&gt;0",Gifts!$M$6:$M$1005,"&gt;0"))</f>
        <v/>
      </c>
      <c r="J262" s="18">
        <f>IF(B262="","",SUMIFS(Gifts!$Q$6:$Q$1005,Gifts!$C$6:$C$1005,B262))</f>
        <v/>
      </c>
      <c r="K262" s="29">
        <f>IF(B262="","",IF(N(J262)=0,"No gifts yet",IF(AND(N(Settings!$C$9)&gt;0,G262&lt;EDATE(TODAY(),-N(Settings!$C$9))),"Lapsed",IF(YEAR(F262)=N(Settings!$C$7),"New","Active"))))</f>
        <v/>
      </c>
      <c r="L262" s="1" t="n"/>
      <c r="M262">
        <f>IF(OR(B262="",N(H262)&lt;=0),"",ROUND(H262*100,0)*1000+1000-ROW())</f>
        <v/>
      </c>
      <c r="N262">
        <f>IF(B262="","",SUMIFS(Gifts!$Q$6:$Q$1005,Gifts!$C$6:$C$1005,B262,Gifts!$K$6:$K$1005,Settings!$C$7))</f>
        <v/>
      </c>
    </row>
    <row r="263">
      <c r="A263" s="1" t="n"/>
      <c r="B263" s="22" t="n"/>
      <c r="C263" s="24" t="n"/>
      <c r="D263" s="25" t="n"/>
      <c r="E263" s="25" t="n"/>
      <c r="F263" s="26">
        <f>IF(OR(B263="",N(J263)=0),"",SUMPRODUCT(MIN((Gifts!$C$6:$C$1005=B263)*Gifts!$Q$6:$Q$1005*Gifts!$M$6:$M$1005+(1-(Gifts!$C$6:$C$1005=B263)*Gifts!$Q$6:$Q$1005)*1E9)))</f>
        <v/>
      </c>
      <c r="G263" s="26">
        <f>IF(OR(B263="",N(J263)=0),"",SUMPRODUCT(MAX((Gifts!$C$6:$C$1005=B263)*Gifts!$Q$6:$Q$1005*Gifts!$M$6:$M$1005)))</f>
        <v/>
      </c>
      <c r="H263" s="27">
        <f>IF(B263="","",SUMIFS(Gifts!$D$6:$D$1005,Gifts!$C$6:$C$1005,B263,Gifts!$K$6:$K$1005,Settings!$C$7,Gifts!$D$6:$D$1005,"&gt;0"))</f>
        <v/>
      </c>
      <c r="I263" s="28">
        <f>IF(B263="","",SUMIFS(Gifts!$D$6:$D$1005,Gifts!$C$6:$C$1005,B263,Gifts!$D$6:$D$1005,"&gt;0",Gifts!$M$6:$M$1005,"&gt;0"))</f>
        <v/>
      </c>
      <c r="J263" s="18">
        <f>IF(B263="","",SUMIFS(Gifts!$Q$6:$Q$1005,Gifts!$C$6:$C$1005,B263))</f>
        <v/>
      </c>
      <c r="K263" s="29">
        <f>IF(B263="","",IF(N(J263)=0,"No gifts yet",IF(AND(N(Settings!$C$9)&gt;0,G263&lt;EDATE(TODAY(),-N(Settings!$C$9))),"Lapsed",IF(YEAR(F263)=N(Settings!$C$7),"New","Active"))))</f>
        <v/>
      </c>
      <c r="L263" s="1" t="n"/>
      <c r="M263">
        <f>IF(OR(B263="",N(H263)&lt;=0),"",ROUND(H263*100,0)*1000+1000-ROW())</f>
        <v/>
      </c>
      <c r="N263">
        <f>IF(B263="","",SUMIFS(Gifts!$Q$6:$Q$1005,Gifts!$C$6:$C$1005,B263,Gifts!$K$6:$K$1005,Settings!$C$7))</f>
        <v/>
      </c>
    </row>
    <row r="264">
      <c r="A264" s="1" t="n"/>
      <c r="B264" s="22" t="n"/>
      <c r="C264" s="24" t="n"/>
      <c r="D264" s="25" t="n"/>
      <c r="E264" s="25" t="n"/>
      <c r="F264" s="26">
        <f>IF(OR(B264="",N(J264)=0),"",SUMPRODUCT(MIN((Gifts!$C$6:$C$1005=B264)*Gifts!$Q$6:$Q$1005*Gifts!$M$6:$M$1005+(1-(Gifts!$C$6:$C$1005=B264)*Gifts!$Q$6:$Q$1005)*1E9)))</f>
        <v/>
      </c>
      <c r="G264" s="26">
        <f>IF(OR(B264="",N(J264)=0),"",SUMPRODUCT(MAX((Gifts!$C$6:$C$1005=B264)*Gifts!$Q$6:$Q$1005*Gifts!$M$6:$M$1005)))</f>
        <v/>
      </c>
      <c r="H264" s="27">
        <f>IF(B264="","",SUMIFS(Gifts!$D$6:$D$1005,Gifts!$C$6:$C$1005,B264,Gifts!$K$6:$K$1005,Settings!$C$7,Gifts!$D$6:$D$1005,"&gt;0"))</f>
        <v/>
      </c>
      <c r="I264" s="28">
        <f>IF(B264="","",SUMIFS(Gifts!$D$6:$D$1005,Gifts!$C$6:$C$1005,B264,Gifts!$D$6:$D$1005,"&gt;0",Gifts!$M$6:$M$1005,"&gt;0"))</f>
        <v/>
      </c>
      <c r="J264" s="18">
        <f>IF(B264="","",SUMIFS(Gifts!$Q$6:$Q$1005,Gifts!$C$6:$C$1005,B264))</f>
        <v/>
      </c>
      <c r="K264" s="29">
        <f>IF(B264="","",IF(N(J264)=0,"No gifts yet",IF(AND(N(Settings!$C$9)&gt;0,G264&lt;EDATE(TODAY(),-N(Settings!$C$9))),"Lapsed",IF(YEAR(F264)=N(Settings!$C$7),"New","Active"))))</f>
        <v/>
      </c>
      <c r="L264" s="1" t="n"/>
      <c r="M264">
        <f>IF(OR(B264="",N(H264)&lt;=0),"",ROUND(H264*100,0)*1000+1000-ROW())</f>
        <v/>
      </c>
      <c r="N264">
        <f>IF(B264="","",SUMIFS(Gifts!$Q$6:$Q$1005,Gifts!$C$6:$C$1005,B264,Gifts!$K$6:$K$1005,Settings!$C$7))</f>
        <v/>
      </c>
    </row>
    <row r="265">
      <c r="A265" s="1" t="n"/>
      <c r="B265" s="22" t="n"/>
      <c r="C265" s="24" t="n"/>
      <c r="D265" s="25" t="n"/>
      <c r="E265" s="25" t="n"/>
      <c r="F265" s="26">
        <f>IF(OR(B265="",N(J265)=0),"",SUMPRODUCT(MIN((Gifts!$C$6:$C$1005=B265)*Gifts!$Q$6:$Q$1005*Gifts!$M$6:$M$1005+(1-(Gifts!$C$6:$C$1005=B265)*Gifts!$Q$6:$Q$1005)*1E9)))</f>
        <v/>
      </c>
      <c r="G265" s="26">
        <f>IF(OR(B265="",N(J265)=0),"",SUMPRODUCT(MAX((Gifts!$C$6:$C$1005=B265)*Gifts!$Q$6:$Q$1005*Gifts!$M$6:$M$1005)))</f>
        <v/>
      </c>
      <c r="H265" s="27">
        <f>IF(B265="","",SUMIFS(Gifts!$D$6:$D$1005,Gifts!$C$6:$C$1005,B265,Gifts!$K$6:$K$1005,Settings!$C$7,Gifts!$D$6:$D$1005,"&gt;0"))</f>
        <v/>
      </c>
      <c r="I265" s="28">
        <f>IF(B265="","",SUMIFS(Gifts!$D$6:$D$1005,Gifts!$C$6:$C$1005,B265,Gifts!$D$6:$D$1005,"&gt;0",Gifts!$M$6:$M$1005,"&gt;0"))</f>
        <v/>
      </c>
      <c r="J265" s="18">
        <f>IF(B265="","",SUMIFS(Gifts!$Q$6:$Q$1005,Gifts!$C$6:$C$1005,B265))</f>
        <v/>
      </c>
      <c r="K265" s="29">
        <f>IF(B265="","",IF(N(J265)=0,"No gifts yet",IF(AND(N(Settings!$C$9)&gt;0,G265&lt;EDATE(TODAY(),-N(Settings!$C$9))),"Lapsed",IF(YEAR(F265)=N(Settings!$C$7),"New","Active"))))</f>
        <v/>
      </c>
      <c r="L265" s="1" t="n"/>
      <c r="M265">
        <f>IF(OR(B265="",N(H265)&lt;=0),"",ROUND(H265*100,0)*1000+1000-ROW())</f>
        <v/>
      </c>
      <c r="N265">
        <f>IF(B265="","",SUMIFS(Gifts!$Q$6:$Q$1005,Gifts!$C$6:$C$1005,B265,Gifts!$K$6:$K$1005,Settings!$C$7))</f>
        <v/>
      </c>
    </row>
    <row r="266">
      <c r="A266" s="1" t="n"/>
      <c r="B266" s="22" t="n"/>
      <c r="C266" s="24" t="n"/>
      <c r="D266" s="25" t="n"/>
      <c r="E266" s="25" t="n"/>
      <c r="F266" s="26">
        <f>IF(OR(B266="",N(J266)=0),"",SUMPRODUCT(MIN((Gifts!$C$6:$C$1005=B266)*Gifts!$Q$6:$Q$1005*Gifts!$M$6:$M$1005+(1-(Gifts!$C$6:$C$1005=B266)*Gifts!$Q$6:$Q$1005)*1E9)))</f>
        <v/>
      </c>
      <c r="G266" s="26">
        <f>IF(OR(B266="",N(J266)=0),"",SUMPRODUCT(MAX((Gifts!$C$6:$C$1005=B266)*Gifts!$Q$6:$Q$1005*Gifts!$M$6:$M$1005)))</f>
        <v/>
      </c>
      <c r="H266" s="27">
        <f>IF(B266="","",SUMIFS(Gifts!$D$6:$D$1005,Gifts!$C$6:$C$1005,B266,Gifts!$K$6:$K$1005,Settings!$C$7,Gifts!$D$6:$D$1005,"&gt;0"))</f>
        <v/>
      </c>
      <c r="I266" s="28">
        <f>IF(B266="","",SUMIFS(Gifts!$D$6:$D$1005,Gifts!$C$6:$C$1005,B266,Gifts!$D$6:$D$1005,"&gt;0",Gifts!$M$6:$M$1005,"&gt;0"))</f>
        <v/>
      </c>
      <c r="J266" s="18">
        <f>IF(B266="","",SUMIFS(Gifts!$Q$6:$Q$1005,Gifts!$C$6:$C$1005,B266))</f>
        <v/>
      </c>
      <c r="K266" s="29">
        <f>IF(B266="","",IF(N(J266)=0,"No gifts yet",IF(AND(N(Settings!$C$9)&gt;0,G266&lt;EDATE(TODAY(),-N(Settings!$C$9))),"Lapsed",IF(YEAR(F266)=N(Settings!$C$7),"New","Active"))))</f>
        <v/>
      </c>
      <c r="L266" s="1" t="n"/>
      <c r="M266">
        <f>IF(OR(B266="",N(H266)&lt;=0),"",ROUND(H266*100,0)*1000+1000-ROW())</f>
        <v/>
      </c>
      <c r="N266">
        <f>IF(B266="","",SUMIFS(Gifts!$Q$6:$Q$1005,Gifts!$C$6:$C$1005,B266,Gifts!$K$6:$K$1005,Settings!$C$7))</f>
        <v/>
      </c>
    </row>
    <row r="267">
      <c r="A267" s="1" t="n"/>
      <c r="B267" s="22" t="n"/>
      <c r="C267" s="24" t="n"/>
      <c r="D267" s="25" t="n"/>
      <c r="E267" s="25" t="n"/>
      <c r="F267" s="26">
        <f>IF(OR(B267="",N(J267)=0),"",SUMPRODUCT(MIN((Gifts!$C$6:$C$1005=B267)*Gifts!$Q$6:$Q$1005*Gifts!$M$6:$M$1005+(1-(Gifts!$C$6:$C$1005=B267)*Gifts!$Q$6:$Q$1005)*1E9)))</f>
        <v/>
      </c>
      <c r="G267" s="26">
        <f>IF(OR(B267="",N(J267)=0),"",SUMPRODUCT(MAX((Gifts!$C$6:$C$1005=B267)*Gifts!$Q$6:$Q$1005*Gifts!$M$6:$M$1005)))</f>
        <v/>
      </c>
      <c r="H267" s="27">
        <f>IF(B267="","",SUMIFS(Gifts!$D$6:$D$1005,Gifts!$C$6:$C$1005,B267,Gifts!$K$6:$K$1005,Settings!$C$7,Gifts!$D$6:$D$1005,"&gt;0"))</f>
        <v/>
      </c>
      <c r="I267" s="28">
        <f>IF(B267="","",SUMIFS(Gifts!$D$6:$D$1005,Gifts!$C$6:$C$1005,B267,Gifts!$D$6:$D$1005,"&gt;0",Gifts!$M$6:$M$1005,"&gt;0"))</f>
        <v/>
      </c>
      <c r="J267" s="18">
        <f>IF(B267="","",SUMIFS(Gifts!$Q$6:$Q$1005,Gifts!$C$6:$C$1005,B267))</f>
        <v/>
      </c>
      <c r="K267" s="29">
        <f>IF(B267="","",IF(N(J267)=0,"No gifts yet",IF(AND(N(Settings!$C$9)&gt;0,G267&lt;EDATE(TODAY(),-N(Settings!$C$9))),"Lapsed",IF(YEAR(F267)=N(Settings!$C$7),"New","Active"))))</f>
        <v/>
      </c>
      <c r="L267" s="1" t="n"/>
      <c r="M267">
        <f>IF(OR(B267="",N(H267)&lt;=0),"",ROUND(H267*100,0)*1000+1000-ROW())</f>
        <v/>
      </c>
      <c r="N267">
        <f>IF(B267="","",SUMIFS(Gifts!$Q$6:$Q$1005,Gifts!$C$6:$C$1005,B267,Gifts!$K$6:$K$1005,Settings!$C$7))</f>
        <v/>
      </c>
    </row>
    <row r="268">
      <c r="A268" s="1" t="n"/>
      <c r="B268" s="22" t="n"/>
      <c r="C268" s="24" t="n"/>
      <c r="D268" s="25" t="n"/>
      <c r="E268" s="25" t="n"/>
      <c r="F268" s="26">
        <f>IF(OR(B268="",N(J268)=0),"",SUMPRODUCT(MIN((Gifts!$C$6:$C$1005=B268)*Gifts!$Q$6:$Q$1005*Gifts!$M$6:$M$1005+(1-(Gifts!$C$6:$C$1005=B268)*Gifts!$Q$6:$Q$1005)*1E9)))</f>
        <v/>
      </c>
      <c r="G268" s="26">
        <f>IF(OR(B268="",N(J268)=0),"",SUMPRODUCT(MAX((Gifts!$C$6:$C$1005=B268)*Gifts!$Q$6:$Q$1005*Gifts!$M$6:$M$1005)))</f>
        <v/>
      </c>
      <c r="H268" s="27">
        <f>IF(B268="","",SUMIFS(Gifts!$D$6:$D$1005,Gifts!$C$6:$C$1005,B268,Gifts!$K$6:$K$1005,Settings!$C$7,Gifts!$D$6:$D$1005,"&gt;0"))</f>
        <v/>
      </c>
      <c r="I268" s="28">
        <f>IF(B268="","",SUMIFS(Gifts!$D$6:$D$1005,Gifts!$C$6:$C$1005,B268,Gifts!$D$6:$D$1005,"&gt;0",Gifts!$M$6:$M$1005,"&gt;0"))</f>
        <v/>
      </c>
      <c r="J268" s="18">
        <f>IF(B268="","",SUMIFS(Gifts!$Q$6:$Q$1005,Gifts!$C$6:$C$1005,B268))</f>
        <v/>
      </c>
      <c r="K268" s="29">
        <f>IF(B268="","",IF(N(J268)=0,"No gifts yet",IF(AND(N(Settings!$C$9)&gt;0,G268&lt;EDATE(TODAY(),-N(Settings!$C$9))),"Lapsed",IF(YEAR(F268)=N(Settings!$C$7),"New","Active"))))</f>
        <v/>
      </c>
      <c r="L268" s="1" t="n"/>
      <c r="M268">
        <f>IF(OR(B268="",N(H268)&lt;=0),"",ROUND(H268*100,0)*1000+1000-ROW())</f>
        <v/>
      </c>
      <c r="N268">
        <f>IF(B268="","",SUMIFS(Gifts!$Q$6:$Q$1005,Gifts!$C$6:$C$1005,B268,Gifts!$K$6:$K$1005,Settings!$C$7))</f>
        <v/>
      </c>
    </row>
    <row r="269">
      <c r="A269" s="1" t="n"/>
      <c r="B269" s="22" t="n"/>
      <c r="C269" s="24" t="n"/>
      <c r="D269" s="25" t="n"/>
      <c r="E269" s="25" t="n"/>
      <c r="F269" s="26">
        <f>IF(OR(B269="",N(J269)=0),"",SUMPRODUCT(MIN((Gifts!$C$6:$C$1005=B269)*Gifts!$Q$6:$Q$1005*Gifts!$M$6:$M$1005+(1-(Gifts!$C$6:$C$1005=B269)*Gifts!$Q$6:$Q$1005)*1E9)))</f>
        <v/>
      </c>
      <c r="G269" s="26">
        <f>IF(OR(B269="",N(J269)=0),"",SUMPRODUCT(MAX((Gifts!$C$6:$C$1005=B269)*Gifts!$Q$6:$Q$1005*Gifts!$M$6:$M$1005)))</f>
        <v/>
      </c>
      <c r="H269" s="27">
        <f>IF(B269="","",SUMIFS(Gifts!$D$6:$D$1005,Gifts!$C$6:$C$1005,B269,Gifts!$K$6:$K$1005,Settings!$C$7,Gifts!$D$6:$D$1005,"&gt;0"))</f>
        <v/>
      </c>
      <c r="I269" s="28">
        <f>IF(B269="","",SUMIFS(Gifts!$D$6:$D$1005,Gifts!$C$6:$C$1005,B269,Gifts!$D$6:$D$1005,"&gt;0",Gifts!$M$6:$M$1005,"&gt;0"))</f>
        <v/>
      </c>
      <c r="J269" s="18">
        <f>IF(B269="","",SUMIFS(Gifts!$Q$6:$Q$1005,Gifts!$C$6:$C$1005,B269))</f>
        <v/>
      </c>
      <c r="K269" s="29">
        <f>IF(B269="","",IF(N(J269)=0,"No gifts yet",IF(AND(N(Settings!$C$9)&gt;0,G269&lt;EDATE(TODAY(),-N(Settings!$C$9))),"Lapsed",IF(YEAR(F269)=N(Settings!$C$7),"New","Active"))))</f>
        <v/>
      </c>
      <c r="L269" s="1" t="n"/>
      <c r="M269">
        <f>IF(OR(B269="",N(H269)&lt;=0),"",ROUND(H269*100,0)*1000+1000-ROW())</f>
        <v/>
      </c>
      <c r="N269">
        <f>IF(B269="","",SUMIFS(Gifts!$Q$6:$Q$1005,Gifts!$C$6:$C$1005,B269,Gifts!$K$6:$K$1005,Settings!$C$7))</f>
        <v/>
      </c>
    </row>
    <row r="270">
      <c r="A270" s="1" t="n"/>
      <c r="B270" s="22" t="n"/>
      <c r="C270" s="24" t="n"/>
      <c r="D270" s="25" t="n"/>
      <c r="E270" s="25" t="n"/>
      <c r="F270" s="26">
        <f>IF(OR(B270="",N(J270)=0),"",SUMPRODUCT(MIN((Gifts!$C$6:$C$1005=B270)*Gifts!$Q$6:$Q$1005*Gifts!$M$6:$M$1005+(1-(Gifts!$C$6:$C$1005=B270)*Gifts!$Q$6:$Q$1005)*1E9)))</f>
        <v/>
      </c>
      <c r="G270" s="26">
        <f>IF(OR(B270="",N(J270)=0),"",SUMPRODUCT(MAX((Gifts!$C$6:$C$1005=B270)*Gifts!$Q$6:$Q$1005*Gifts!$M$6:$M$1005)))</f>
        <v/>
      </c>
      <c r="H270" s="27">
        <f>IF(B270="","",SUMIFS(Gifts!$D$6:$D$1005,Gifts!$C$6:$C$1005,B270,Gifts!$K$6:$K$1005,Settings!$C$7,Gifts!$D$6:$D$1005,"&gt;0"))</f>
        <v/>
      </c>
      <c r="I270" s="28">
        <f>IF(B270="","",SUMIFS(Gifts!$D$6:$D$1005,Gifts!$C$6:$C$1005,B270,Gifts!$D$6:$D$1005,"&gt;0",Gifts!$M$6:$M$1005,"&gt;0"))</f>
        <v/>
      </c>
      <c r="J270" s="18">
        <f>IF(B270="","",SUMIFS(Gifts!$Q$6:$Q$1005,Gifts!$C$6:$C$1005,B270))</f>
        <v/>
      </c>
      <c r="K270" s="29">
        <f>IF(B270="","",IF(N(J270)=0,"No gifts yet",IF(AND(N(Settings!$C$9)&gt;0,G270&lt;EDATE(TODAY(),-N(Settings!$C$9))),"Lapsed",IF(YEAR(F270)=N(Settings!$C$7),"New","Active"))))</f>
        <v/>
      </c>
      <c r="L270" s="1" t="n"/>
      <c r="M270">
        <f>IF(OR(B270="",N(H270)&lt;=0),"",ROUND(H270*100,0)*1000+1000-ROW())</f>
        <v/>
      </c>
      <c r="N270">
        <f>IF(B270="","",SUMIFS(Gifts!$Q$6:$Q$1005,Gifts!$C$6:$C$1005,B270,Gifts!$K$6:$K$1005,Settings!$C$7))</f>
        <v/>
      </c>
    </row>
    <row r="271">
      <c r="A271" s="1" t="n"/>
      <c r="B271" s="22" t="n"/>
      <c r="C271" s="24" t="n"/>
      <c r="D271" s="25" t="n"/>
      <c r="E271" s="25" t="n"/>
      <c r="F271" s="26">
        <f>IF(OR(B271="",N(J271)=0),"",SUMPRODUCT(MIN((Gifts!$C$6:$C$1005=B271)*Gifts!$Q$6:$Q$1005*Gifts!$M$6:$M$1005+(1-(Gifts!$C$6:$C$1005=B271)*Gifts!$Q$6:$Q$1005)*1E9)))</f>
        <v/>
      </c>
      <c r="G271" s="26">
        <f>IF(OR(B271="",N(J271)=0),"",SUMPRODUCT(MAX((Gifts!$C$6:$C$1005=B271)*Gifts!$Q$6:$Q$1005*Gifts!$M$6:$M$1005)))</f>
        <v/>
      </c>
      <c r="H271" s="27">
        <f>IF(B271="","",SUMIFS(Gifts!$D$6:$D$1005,Gifts!$C$6:$C$1005,B271,Gifts!$K$6:$K$1005,Settings!$C$7,Gifts!$D$6:$D$1005,"&gt;0"))</f>
        <v/>
      </c>
      <c r="I271" s="28">
        <f>IF(B271="","",SUMIFS(Gifts!$D$6:$D$1005,Gifts!$C$6:$C$1005,B271,Gifts!$D$6:$D$1005,"&gt;0",Gifts!$M$6:$M$1005,"&gt;0"))</f>
        <v/>
      </c>
      <c r="J271" s="18">
        <f>IF(B271="","",SUMIFS(Gifts!$Q$6:$Q$1005,Gifts!$C$6:$C$1005,B271))</f>
        <v/>
      </c>
      <c r="K271" s="29">
        <f>IF(B271="","",IF(N(J271)=0,"No gifts yet",IF(AND(N(Settings!$C$9)&gt;0,G271&lt;EDATE(TODAY(),-N(Settings!$C$9))),"Lapsed",IF(YEAR(F271)=N(Settings!$C$7),"New","Active"))))</f>
        <v/>
      </c>
      <c r="L271" s="1" t="n"/>
      <c r="M271">
        <f>IF(OR(B271="",N(H271)&lt;=0),"",ROUND(H271*100,0)*1000+1000-ROW())</f>
        <v/>
      </c>
      <c r="N271">
        <f>IF(B271="","",SUMIFS(Gifts!$Q$6:$Q$1005,Gifts!$C$6:$C$1005,B271,Gifts!$K$6:$K$1005,Settings!$C$7))</f>
        <v/>
      </c>
    </row>
    <row r="272">
      <c r="A272" s="1" t="n"/>
      <c r="B272" s="22" t="n"/>
      <c r="C272" s="24" t="n"/>
      <c r="D272" s="25" t="n"/>
      <c r="E272" s="25" t="n"/>
      <c r="F272" s="26">
        <f>IF(OR(B272="",N(J272)=0),"",SUMPRODUCT(MIN((Gifts!$C$6:$C$1005=B272)*Gifts!$Q$6:$Q$1005*Gifts!$M$6:$M$1005+(1-(Gifts!$C$6:$C$1005=B272)*Gifts!$Q$6:$Q$1005)*1E9)))</f>
        <v/>
      </c>
      <c r="G272" s="26">
        <f>IF(OR(B272="",N(J272)=0),"",SUMPRODUCT(MAX((Gifts!$C$6:$C$1005=B272)*Gifts!$Q$6:$Q$1005*Gifts!$M$6:$M$1005)))</f>
        <v/>
      </c>
      <c r="H272" s="27">
        <f>IF(B272="","",SUMIFS(Gifts!$D$6:$D$1005,Gifts!$C$6:$C$1005,B272,Gifts!$K$6:$K$1005,Settings!$C$7,Gifts!$D$6:$D$1005,"&gt;0"))</f>
        <v/>
      </c>
      <c r="I272" s="28">
        <f>IF(B272="","",SUMIFS(Gifts!$D$6:$D$1005,Gifts!$C$6:$C$1005,B272,Gifts!$D$6:$D$1005,"&gt;0",Gifts!$M$6:$M$1005,"&gt;0"))</f>
        <v/>
      </c>
      <c r="J272" s="18">
        <f>IF(B272="","",SUMIFS(Gifts!$Q$6:$Q$1005,Gifts!$C$6:$C$1005,B272))</f>
        <v/>
      </c>
      <c r="K272" s="29">
        <f>IF(B272="","",IF(N(J272)=0,"No gifts yet",IF(AND(N(Settings!$C$9)&gt;0,G272&lt;EDATE(TODAY(),-N(Settings!$C$9))),"Lapsed",IF(YEAR(F272)=N(Settings!$C$7),"New","Active"))))</f>
        <v/>
      </c>
      <c r="L272" s="1" t="n"/>
      <c r="M272">
        <f>IF(OR(B272="",N(H272)&lt;=0),"",ROUND(H272*100,0)*1000+1000-ROW())</f>
        <v/>
      </c>
      <c r="N272">
        <f>IF(B272="","",SUMIFS(Gifts!$Q$6:$Q$1005,Gifts!$C$6:$C$1005,B272,Gifts!$K$6:$K$1005,Settings!$C$7))</f>
        <v/>
      </c>
    </row>
    <row r="273">
      <c r="A273" s="1" t="n"/>
      <c r="B273" s="22" t="n"/>
      <c r="C273" s="24" t="n"/>
      <c r="D273" s="25" t="n"/>
      <c r="E273" s="25" t="n"/>
      <c r="F273" s="26">
        <f>IF(OR(B273="",N(J273)=0),"",SUMPRODUCT(MIN((Gifts!$C$6:$C$1005=B273)*Gifts!$Q$6:$Q$1005*Gifts!$M$6:$M$1005+(1-(Gifts!$C$6:$C$1005=B273)*Gifts!$Q$6:$Q$1005)*1E9)))</f>
        <v/>
      </c>
      <c r="G273" s="26">
        <f>IF(OR(B273="",N(J273)=0),"",SUMPRODUCT(MAX((Gifts!$C$6:$C$1005=B273)*Gifts!$Q$6:$Q$1005*Gifts!$M$6:$M$1005)))</f>
        <v/>
      </c>
      <c r="H273" s="27">
        <f>IF(B273="","",SUMIFS(Gifts!$D$6:$D$1005,Gifts!$C$6:$C$1005,B273,Gifts!$K$6:$K$1005,Settings!$C$7,Gifts!$D$6:$D$1005,"&gt;0"))</f>
        <v/>
      </c>
      <c r="I273" s="28">
        <f>IF(B273="","",SUMIFS(Gifts!$D$6:$D$1005,Gifts!$C$6:$C$1005,B273,Gifts!$D$6:$D$1005,"&gt;0",Gifts!$M$6:$M$1005,"&gt;0"))</f>
        <v/>
      </c>
      <c r="J273" s="18">
        <f>IF(B273="","",SUMIFS(Gifts!$Q$6:$Q$1005,Gifts!$C$6:$C$1005,B273))</f>
        <v/>
      </c>
      <c r="K273" s="29">
        <f>IF(B273="","",IF(N(J273)=0,"No gifts yet",IF(AND(N(Settings!$C$9)&gt;0,G273&lt;EDATE(TODAY(),-N(Settings!$C$9))),"Lapsed",IF(YEAR(F273)=N(Settings!$C$7),"New","Active"))))</f>
        <v/>
      </c>
      <c r="L273" s="1" t="n"/>
      <c r="M273">
        <f>IF(OR(B273="",N(H273)&lt;=0),"",ROUND(H273*100,0)*1000+1000-ROW())</f>
        <v/>
      </c>
      <c r="N273">
        <f>IF(B273="","",SUMIFS(Gifts!$Q$6:$Q$1005,Gifts!$C$6:$C$1005,B273,Gifts!$K$6:$K$1005,Settings!$C$7))</f>
        <v/>
      </c>
    </row>
    <row r="274">
      <c r="A274" s="1" t="n"/>
      <c r="B274" s="22" t="n"/>
      <c r="C274" s="24" t="n"/>
      <c r="D274" s="25" t="n"/>
      <c r="E274" s="25" t="n"/>
      <c r="F274" s="26">
        <f>IF(OR(B274="",N(J274)=0),"",SUMPRODUCT(MIN((Gifts!$C$6:$C$1005=B274)*Gifts!$Q$6:$Q$1005*Gifts!$M$6:$M$1005+(1-(Gifts!$C$6:$C$1005=B274)*Gifts!$Q$6:$Q$1005)*1E9)))</f>
        <v/>
      </c>
      <c r="G274" s="26">
        <f>IF(OR(B274="",N(J274)=0),"",SUMPRODUCT(MAX((Gifts!$C$6:$C$1005=B274)*Gifts!$Q$6:$Q$1005*Gifts!$M$6:$M$1005)))</f>
        <v/>
      </c>
      <c r="H274" s="27">
        <f>IF(B274="","",SUMIFS(Gifts!$D$6:$D$1005,Gifts!$C$6:$C$1005,B274,Gifts!$K$6:$K$1005,Settings!$C$7,Gifts!$D$6:$D$1005,"&gt;0"))</f>
        <v/>
      </c>
      <c r="I274" s="28">
        <f>IF(B274="","",SUMIFS(Gifts!$D$6:$D$1005,Gifts!$C$6:$C$1005,B274,Gifts!$D$6:$D$1005,"&gt;0",Gifts!$M$6:$M$1005,"&gt;0"))</f>
        <v/>
      </c>
      <c r="J274" s="18">
        <f>IF(B274="","",SUMIFS(Gifts!$Q$6:$Q$1005,Gifts!$C$6:$C$1005,B274))</f>
        <v/>
      </c>
      <c r="K274" s="29">
        <f>IF(B274="","",IF(N(J274)=0,"No gifts yet",IF(AND(N(Settings!$C$9)&gt;0,G274&lt;EDATE(TODAY(),-N(Settings!$C$9))),"Lapsed",IF(YEAR(F274)=N(Settings!$C$7),"New","Active"))))</f>
        <v/>
      </c>
      <c r="L274" s="1" t="n"/>
      <c r="M274">
        <f>IF(OR(B274="",N(H274)&lt;=0),"",ROUND(H274*100,0)*1000+1000-ROW())</f>
        <v/>
      </c>
      <c r="N274">
        <f>IF(B274="","",SUMIFS(Gifts!$Q$6:$Q$1005,Gifts!$C$6:$C$1005,B274,Gifts!$K$6:$K$1005,Settings!$C$7))</f>
        <v/>
      </c>
    </row>
    <row r="275">
      <c r="A275" s="1" t="n"/>
      <c r="B275" s="22" t="n"/>
      <c r="C275" s="24" t="n"/>
      <c r="D275" s="25" t="n"/>
      <c r="E275" s="25" t="n"/>
      <c r="F275" s="26">
        <f>IF(OR(B275="",N(J275)=0),"",SUMPRODUCT(MIN((Gifts!$C$6:$C$1005=B275)*Gifts!$Q$6:$Q$1005*Gifts!$M$6:$M$1005+(1-(Gifts!$C$6:$C$1005=B275)*Gifts!$Q$6:$Q$1005)*1E9)))</f>
        <v/>
      </c>
      <c r="G275" s="26">
        <f>IF(OR(B275="",N(J275)=0),"",SUMPRODUCT(MAX((Gifts!$C$6:$C$1005=B275)*Gifts!$Q$6:$Q$1005*Gifts!$M$6:$M$1005)))</f>
        <v/>
      </c>
      <c r="H275" s="27">
        <f>IF(B275="","",SUMIFS(Gifts!$D$6:$D$1005,Gifts!$C$6:$C$1005,B275,Gifts!$K$6:$K$1005,Settings!$C$7,Gifts!$D$6:$D$1005,"&gt;0"))</f>
        <v/>
      </c>
      <c r="I275" s="28">
        <f>IF(B275="","",SUMIFS(Gifts!$D$6:$D$1005,Gifts!$C$6:$C$1005,B275,Gifts!$D$6:$D$1005,"&gt;0",Gifts!$M$6:$M$1005,"&gt;0"))</f>
        <v/>
      </c>
      <c r="J275" s="18">
        <f>IF(B275="","",SUMIFS(Gifts!$Q$6:$Q$1005,Gifts!$C$6:$C$1005,B275))</f>
        <v/>
      </c>
      <c r="K275" s="29">
        <f>IF(B275="","",IF(N(J275)=0,"No gifts yet",IF(AND(N(Settings!$C$9)&gt;0,G275&lt;EDATE(TODAY(),-N(Settings!$C$9))),"Lapsed",IF(YEAR(F275)=N(Settings!$C$7),"New","Active"))))</f>
        <v/>
      </c>
      <c r="L275" s="1" t="n"/>
      <c r="M275">
        <f>IF(OR(B275="",N(H275)&lt;=0),"",ROUND(H275*100,0)*1000+1000-ROW())</f>
        <v/>
      </c>
      <c r="N275">
        <f>IF(B275="","",SUMIFS(Gifts!$Q$6:$Q$1005,Gifts!$C$6:$C$1005,B275,Gifts!$K$6:$K$1005,Settings!$C$7))</f>
        <v/>
      </c>
    </row>
    <row r="276">
      <c r="A276" s="1" t="n"/>
      <c r="B276" s="22" t="n"/>
      <c r="C276" s="24" t="n"/>
      <c r="D276" s="25" t="n"/>
      <c r="E276" s="25" t="n"/>
      <c r="F276" s="26">
        <f>IF(OR(B276="",N(J276)=0),"",SUMPRODUCT(MIN((Gifts!$C$6:$C$1005=B276)*Gifts!$Q$6:$Q$1005*Gifts!$M$6:$M$1005+(1-(Gifts!$C$6:$C$1005=B276)*Gifts!$Q$6:$Q$1005)*1E9)))</f>
        <v/>
      </c>
      <c r="G276" s="26">
        <f>IF(OR(B276="",N(J276)=0),"",SUMPRODUCT(MAX((Gifts!$C$6:$C$1005=B276)*Gifts!$Q$6:$Q$1005*Gifts!$M$6:$M$1005)))</f>
        <v/>
      </c>
      <c r="H276" s="27">
        <f>IF(B276="","",SUMIFS(Gifts!$D$6:$D$1005,Gifts!$C$6:$C$1005,B276,Gifts!$K$6:$K$1005,Settings!$C$7,Gifts!$D$6:$D$1005,"&gt;0"))</f>
        <v/>
      </c>
      <c r="I276" s="28">
        <f>IF(B276="","",SUMIFS(Gifts!$D$6:$D$1005,Gifts!$C$6:$C$1005,B276,Gifts!$D$6:$D$1005,"&gt;0",Gifts!$M$6:$M$1005,"&gt;0"))</f>
        <v/>
      </c>
      <c r="J276" s="18">
        <f>IF(B276="","",SUMIFS(Gifts!$Q$6:$Q$1005,Gifts!$C$6:$C$1005,B276))</f>
        <v/>
      </c>
      <c r="K276" s="29">
        <f>IF(B276="","",IF(N(J276)=0,"No gifts yet",IF(AND(N(Settings!$C$9)&gt;0,G276&lt;EDATE(TODAY(),-N(Settings!$C$9))),"Lapsed",IF(YEAR(F276)=N(Settings!$C$7),"New","Active"))))</f>
        <v/>
      </c>
      <c r="L276" s="1" t="n"/>
      <c r="M276">
        <f>IF(OR(B276="",N(H276)&lt;=0),"",ROUND(H276*100,0)*1000+1000-ROW())</f>
        <v/>
      </c>
      <c r="N276">
        <f>IF(B276="","",SUMIFS(Gifts!$Q$6:$Q$1005,Gifts!$C$6:$C$1005,B276,Gifts!$K$6:$K$1005,Settings!$C$7))</f>
        <v/>
      </c>
    </row>
    <row r="277">
      <c r="A277" s="1" t="n"/>
      <c r="B277" s="22" t="n"/>
      <c r="C277" s="24" t="n"/>
      <c r="D277" s="25" t="n"/>
      <c r="E277" s="25" t="n"/>
      <c r="F277" s="26">
        <f>IF(OR(B277="",N(J277)=0),"",SUMPRODUCT(MIN((Gifts!$C$6:$C$1005=B277)*Gifts!$Q$6:$Q$1005*Gifts!$M$6:$M$1005+(1-(Gifts!$C$6:$C$1005=B277)*Gifts!$Q$6:$Q$1005)*1E9)))</f>
        <v/>
      </c>
      <c r="G277" s="26">
        <f>IF(OR(B277="",N(J277)=0),"",SUMPRODUCT(MAX((Gifts!$C$6:$C$1005=B277)*Gifts!$Q$6:$Q$1005*Gifts!$M$6:$M$1005)))</f>
        <v/>
      </c>
      <c r="H277" s="27">
        <f>IF(B277="","",SUMIFS(Gifts!$D$6:$D$1005,Gifts!$C$6:$C$1005,B277,Gifts!$K$6:$K$1005,Settings!$C$7,Gifts!$D$6:$D$1005,"&gt;0"))</f>
        <v/>
      </c>
      <c r="I277" s="28">
        <f>IF(B277="","",SUMIFS(Gifts!$D$6:$D$1005,Gifts!$C$6:$C$1005,B277,Gifts!$D$6:$D$1005,"&gt;0",Gifts!$M$6:$M$1005,"&gt;0"))</f>
        <v/>
      </c>
      <c r="J277" s="18">
        <f>IF(B277="","",SUMIFS(Gifts!$Q$6:$Q$1005,Gifts!$C$6:$C$1005,B277))</f>
        <v/>
      </c>
      <c r="K277" s="29">
        <f>IF(B277="","",IF(N(J277)=0,"No gifts yet",IF(AND(N(Settings!$C$9)&gt;0,G277&lt;EDATE(TODAY(),-N(Settings!$C$9))),"Lapsed",IF(YEAR(F277)=N(Settings!$C$7),"New","Active"))))</f>
        <v/>
      </c>
      <c r="L277" s="1" t="n"/>
      <c r="M277">
        <f>IF(OR(B277="",N(H277)&lt;=0),"",ROUND(H277*100,0)*1000+1000-ROW())</f>
        <v/>
      </c>
      <c r="N277">
        <f>IF(B277="","",SUMIFS(Gifts!$Q$6:$Q$1005,Gifts!$C$6:$C$1005,B277,Gifts!$K$6:$K$1005,Settings!$C$7))</f>
        <v/>
      </c>
    </row>
    <row r="278">
      <c r="A278" s="1" t="n"/>
      <c r="B278" s="22" t="n"/>
      <c r="C278" s="24" t="n"/>
      <c r="D278" s="25" t="n"/>
      <c r="E278" s="25" t="n"/>
      <c r="F278" s="26">
        <f>IF(OR(B278="",N(J278)=0),"",SUMPRODUCT(MIN((Gifts!$C$6:$C$1005=B278)*Gifts!$Q$6:$Q$1005*Gifts!$M$6:$M$1005+(1-(Gifts!$C$6:$C$1005=B278)*Gifts!$Q$6:$Q$1005)*1E9)))</f>
        <v/>
      </c>
      <c r="G278" s="26">
        <f>IF(OR(B278="",N(J278)=0),"",SUMPRODUCT(MAX((Gifts!$C$6:$C$1005=B278)*Gifts!$Q$6:$Q$1005*Gifts!$M$6:$M$1005)))</f>
        <v/>
      </c>
      <c r="H278" s="27">
        <f>IF(B278="","",SUMIFS(Gifts!$D$6:$D$1005,Gifts!$C$6:$C$1005,B278,Gifts!$K$6:$K$1005,Settings!$C$7,Gifts!$D$6:$D$1005,"&gt;0"))</f>
        <v/>
      </c>
      <c r="I278" s="28">
        <f>IF(B278="","",SUMIFS(Gifts!$D$6:$D$1005,Gifts!$C$6:$C$1005,B278,Gifts!$D$6:$D$1005,"&gt;0",Gifts!$M$6:$M$1005,"&gt;0"))</f>
        <v/>
      </c>
      <c r="J278" s="18">
        <f>IF(B278="","",SUMIFS(Gifts!$Q$6:$Q$1005,Gifts!$C$6:$C$1005,B278))</f>
        <v/>
      </c>
      <c r="K278" s="29">
        <f>IF(B278="","",IF(N(J278)=0,"No gifts yet",IF(AND(N(Settings!$C$9)&gt;0,G278&lt;EDATE(TODAY(),-N(Settings!$C$9))),"Lapsed",IF(YEAR(F278)=N(Settings!$C$7),"New","Active"))))</f>
        <v/>
      </c>
      <c r="L278" s="1" t="n"/>
      <c r="M278">
        <f>IF(OR(B278="",N(H278)&lt;=0),"",ROUND(H278*100,0)*1000+1000-ROW())</f>
        <v/>
      </c>
      <c r="N278">
        <f>IF(B278="","",SUMIFS(Gifts!$Q$6:$Q$1005,Gifts!$C$6:$C$1005,B278,Gifts!$K$6:$K$1005,Settings!$C$7))</f>
        <v/>
      </c>
    </row>
    <row r="279">
      <c r="A279" s="1" t="n"/>
      <c r="B279" s="22" t="n"/>
      <c r="C279" s="24" t="n"/>
      <c r="D279" s="25" t="n"/>
      <c r="E279" s="25" t="n"/>
      <c r="F279" s="26">
        <f>IF(OR(B279="",N(J279)=0),"",SUMPRODUCT(MIN((Gifts!$C$6:$C$1005=B279)*Gifts!$Q$6:$Q$1005*Gifts!$M$6:$M$1005+(1-(Gifts!$C$6:$C$1005=B279)*Gifts!$Q$6:$Q$1005)*1E9)))</f>
        <v/>
      </c>
      <c r="G279" s="26">
        <f>IF(OR(B279="",N(J279)=0),"",SUMPRODUCT(MAX((Gifts!$C$6:$C$1005=B279)*Gifts!$Q$6:$Q$1005*Gifts!$M$6:$M$1005)))</f>
        <v/>
      </c>
      <c r="H279" s="27">
        <f>IF(B279="","",SUMIFS(Gifts!$D$6:$D$1005,Gifts!$C$6:$C$1005,B279,Gifts!$K$6:$K$1005,Settings!$C$7,Gifts!$D$6:$D$1005,"&gt;0"))</f>
        <v/>
      </c>
      <c r="I279" s="28">
        <f>IF(B279="","",SUMIFS(Gifts!$D$6:$D$1005,Gifts!$C$6:$C$1005,B279,Gifts!$D$6:$D$1005,"&gt;0",Gifts!$M$6:$M$1005,"&gt;0"))</f>
        <v/>
      </c>
      <c r="J279" s="18">
        <f>IF(B279="","",SUMIFS(Gifts!$Q$6:$Q$1005,Gifts!$C$6:$C$1005,B279))</f>
        <v/>
      </c>
      <c r="K279" s="29">
        <f>IF(B279="","",IF(N(J279)=0,"No gifts yet",IF(AND(N(Settings!$C$9)&gt;0,G279&lt;EDATE(TODAY(),-N(Settings!$C$9))),"Lapsed",IF(YEAR(F279)=N(Settings!$C$7),"New","Active"))))</f>
        <v/>
      </c>
      <c r="L279" s="1" t="n"/>
      <c r="M279">
        <f>IF(OR(B279="",N(H279)&lt;=0),"",ROUND(H279*100,0)*1000+1000-ROW())</f>
        <v/>
      </c>
      <c r="N279">
        <f>IF(B279="","",SUMIFS(Gifts!$Q$6:$Q$1005,Gifts!$C$6:$C$1005,B279,Gifts!$K$6:$K$1005,Settings!$C$7))</f>
        <v/>
      </c>
    </row>
    <row r="280">
      <c r="A280" s="1" t="n"/>
      <c r="B280" s="22" t="n"/>
      <c r="C280" s="24" t="n"/>
      <c r="D280" s="25" t="n"/>
      <c r="E280" s="25" t="n"/>
      <c r="F280" s="26">
        <f>IF(OR(B280="",N(J280)=0),"",SUMPRODUCT(MIN((Gifts!$C$6:$C$1005=B280)*Gifts!$Q$6:$Q$1005*Gifts!$M$6:$M$1005+(1-(Gifts!$C$6:$C$1005=B280)*Gifts!$Q$6:$Q$1005)*1E9)))</f>
        <v/>
      </c>
      <c r="G280" s="26">
        <f>IF(OR(B280="",N(J280)=0),"",SUMPRODUCT(MAX((Gifts!$C$6:$C$1005=B280)*Gifts!$Q$6:$Q$1005*Gifts!$M$6:$M$1005)))</f>
        <v/>
      </c>
      <c r="H280" s="27">
        <f>IF(B280="","",SUMIFS(Gifts!$D$6:$D$1005,Gifts!$C$6:$C$1005,B280,Gifts!$K$6:$K$1005,Settings!$C$7,Gifts!$D$6:$D$1005,"&gt;0"))</f>
        <v/>
      </c>
      <c r="I280" s="28">
        <f>IF(B280="","",SUMIFS(Gifts!$D$6:$D$1005,Gifts!$C$6:$C$1005,B280,Gifts!$D$6:$D$1005,"&gt;0",Gifts!$M$6:$M$1005,"&gt;0"))</f>
        <v/>
      </c>
      <c r="J280" s="18">
        <f>IF(B280="","",SUMIFS(Gifts!$Q$6:$Q$1005,Gifts!$C$6:$C$1005,B280))</f>
        <v/>
      </c>
      <c r="K280" s="29">
        <f>IF(B280="","",IF(N(J280)=0,"No gifts yet",IF(AND(N(Settings!$C$9)&gt;0,G280&lt;EDATE(TODAY(),-N(Settings!$C$9))),"Lapsed",IF(YEAR(F280)=N(Settings!$C$7),"New","Active"))))</f>
        <v/>
      </c>
      <c r="L280" s="1" t="n"/>
      <c r="M280">
        <f>IF(OR(B280="",N(H280)&lt;=0),"",ROUND(H280*100,0)*1000+1000-ROW())</f>
        <v/>
      </c>
      <c r="N280">
        <f>IF(B280="","",SUMIFS(Gifts!$Q$6:$Q$1005,Gifts!$C$6:$C$1005,B280,Gifts!$K$6:$K$1005,Settings!$C$7))</f>
        <v/>
      </c>
    </row>
    <row r="281">
      <c r="A281" s="1" t="n"/>
      <c r="B281" s="22" t="n"/>
      <c r="C281" s="24" t="n"/>
      <c r="D281" s="25" t="n"/>
      <c r="E281" s="25" t="n"/>
      <c r="F281" s="26">
        <f>IF(OR(B281="",N(J281)=0),"",SUMPRODUCT(MIN((Gifts!$C$6:$C$1005=B281)*Gifts!$Q$6:$Q$1005*Gifts!$M$6:$M$1005+(1-(Gifts!$C$6:$C$1005=B281)*Gifts!$Q$6:$Q$1005)*1E9)))</f>
        <v/>
      </c>
      <c r="G281" s="26">
        <f>IF(OR(B281="",N(J281)=0),"",SUMPRODUCT(MAX((Gifts!$C$6:$C$1005=B281)*Gifts!$Q$6:$Q$1005*Gifts!$M$6:$M$1005)))</f>
        <v/>
      </c>
      <c r="H281" s="27">
        <f>IF(B281="","",SUMIFS(Gifts!$D$6:$D$1005,Gifts!$C$6:$C$1005,B281,Gifts!$K$6:$K$1005,Settings!$C$7,Gifts!$D$6:$D$1005,"&gt;0"))</f>
        <v/>
      </c>
      <c r="I281" s="28">
        <f>IF(B281="","",SUMIFS(Gifts!$D$6:$D$1005,Gifts!$C$6:$C$1005,B281,Gifts!$D$6:$D$1005,"&gt;0",Gifts!$M$6:$M$1005,"&gt;0"))</f>
        <v/>
      </c>
      <c r="J281" s="18">
        <f>IF(B281="","",SUMIFS(Gifts!$Q$6:$Q$1005,Gifts!$C$6:$C$1005,B281))</f>
        <v/>
      </c>
      <c r="K281" s="29">
        <f>IF(B281="","",IF(N(J281)=0,"No gifts yet",IF(AND(N(Settings!$C$9)&gt;0,G281&lt;EDATE(TODAY(),-N(Settings!$C$9))),"Lapsed",IF(YEAR(F281)=N(Settings!$C$7),"New","Active"))))</f>
        <v/>
      </c>
      <c r="L281" s="1" t="n"/>
      <c r="M281">
        <f>IF(OR(B281="",N(H281)&lt;=0),"",ROUND(H281*100,0)*1000+1000-ROW())</f>
        <v/>
      </c>
      <c r="N281">
        <f>IF(B281="","",SUMIFS(Gifts!$Q$6:$Q$1005,Gifts!$C$6:$C$1005,B281,Gifts!$K$6:$K$1005,Settings!$C$7))</f>
        <v/>
      </c>
    </row>
    <row r="282">
      <c r="A282" s="1" t="n"/>
      <c r="B282" s="22" t="n"/>
      <c r="C282" s="24" t="n"/>
      <c r="D282" s="25" t="n"/>
      <c r="E282" s="25" t="n"/>
      <c r="F282" s="26">
        <f>IF(OR(B282="",N(J282)=0),"",SUMPRODUCT(MIN((Gifts!$C$6:$C$1005=B282)*Gifts!$Q$6:$Q$1005*Gifts!$M$6:$M$1005+(1-(Gifts!$C$6:$C$1005=B282)*Gifts!$Q$6:$Q$1005)*1E9)))</f>
        <v/>
      </c>
      <c r="G282" s="26">
        <f>IF(OR(B282="",N(J282)=0),"",SUMPRODUCT(MAX((Gifts!$C$6:$C$1005=B282)*Gifts!$Q$6:$Q$1005*Gifts!$M$6:$M$1005)))</f>
        <v/>
      </c>
      <c r="H282" s="27">
        <f>IF(B282="","",SUMIFS(Gifts!$D$6:$D$1005,Gifts!$C$6:$C$1005,B282,Gifts!$K$6:$K$1005,Settings!$C$7,Gifts!$D$6:$D$1005,"&gt;0"))</f>
        <v/>
      </c>
      <c r="I282" s="28">
        <f>IF(B282="","",SUMIFS(Gifts!$D$6:$D$1005,Gifts!$C$6:$C$1005,B282,Gifts!$D$6:$D$1005,"&gt;0",Gifts!$M$6:$M$1005,"&gt;0"))</f>
        <v/>
      </c>
      <c r="J282" s="18">
        <f>IF(B282="","",SUMIFS(Gifts!$Q$6:$Q$1005,Gifts!$C$6:$C$1005,B282))</f>
        <v/>
      </c>
      <c r="K282" s="29">
        <f>IF(B282="","",IF(N(J282)=0,"No gifts yet",IF(AND(N(Settings!$C$9)&gt;0,G282&lt;EDATE(TODAY(),-N(Settings!$C$9))),"Lapsed",IF(YEAR(F282)=N(Settings!$C$7),"New","Active"))))</f>
        <v/>
      </c>
      <c r="L282" s="1" t="n"/>
      <c r="M282">
        <f>IF(OR(B282="",N(H282)&lt;=0),"",ROUND(H282*100,0)*1000+1000-ROW())</f>
        <v/>
      </c>
      <c r="N282">
        <f>IF(B282="","",SUMIFS(Gifts!$Q$6:$Q$1005,Gifts!$C$6:$C$1005,B282,Gifts!$K$6:$K$1005,Settings!$C$7))</f>
        <v/>
      </c>
    </row>
    <row r="283">
      <c r="A283" s="1" t="n"/>
      <c r="B283" s="22" t="n"/>
      <c r="C283" s="24" t="n"/>
      <c r="D283" s="25" t="n"/>
      <c r="E283" s="25" t="n"/>
      <c r="F283" s="26">
        <f>IF(OR(B283="",N(J283)=0),"",SUMPRODUCT(MIN((Gifts!$C$6:$C$1005=B283)*Gifts!$Q$6:$Q$1005*Gifts!$M$6:$M$1005+(1-(Gifts!$C$6:$C$1005=B283)*Gifts!$Q$6:$Q$1005)*1E9)))</f>
        <v/>
      </c>
      <c r="G283" s="26">
        <f>IF(OR(B283="",N(J283)=0),"",SUMPRODUCT(MAX((Gifts!$C$6:$C$1005=B283)*Gifts!$Q$6:$Q$1005*Gifts!$M$6:$M$1005)))</f>
        <v/>
      </c>
      <c r="H283" s="27">
        <f>IF(B283="","",SUMIFS(Gifts!$D$6:$D$1005,Gifts!$C$6:$C$1005,B283,Gifts!$K$6:$K$1005,Settings!$C$7,Gifts!$D$6:$D$1005,"&gt;0"))</f>
        <v/>
      </c>
      <c r="I283" s="28">
        <f>IF(B283="","",SUMIFS(Gifts!$D$6:$D$1005,Gifts!$C$6:$C$1005,B283,Gifts!$D$6:$D$1005,"&gt;0",Gifts!$M$6:$M$1005,"&gt;0"))</f>
        <v/>
      </c>
      <c r="J283" s="18">
        <f>IF(B283="","",SUMIFS(Gifts!$Q$6:$Q$1005,Gifts!$C$6:$C$1005,B283))</f>
        <v/>
      </c>
      <c r="K283" s="29">
        <f>IF(B283="","",IF(N(J283)=0,"No gifts yet",IF(AND(N(Settings!$C$9)&gt;0,G283&lt;EDATE(TODAY(),-N(Settings!$C$9))),"Lapsed",IF(YEAR(F283)=N(Settings!$C$7),"New","Active"))))</f>
        <v/>
      </c>
      <c r="L283" s="1" t="n"/>
      <c r="M283">
        <f>IF(OR(B283="",N(H283)&lt;=0),"",ROUND(H283*100,0)*1000+1000-ROW())</f>
        <v/>
      </c>
      <c r="N283">
        <f>IF(B283="","",SUMIFS(Gifts!$Q$6:$Q$1005,Gifts!$C$6:$C$1005,B283,Gifts!$K$6:$K$1005,Settings!$C$7))</f>
        <v/>
      </c>
    </row>
    <row r="284">
      <c r="A284" s="1" t="n"/>
      <c r="B284" s="22" t="n"/>
      <c r="C284" s="24" t="n"/>
      <c r="D284" s="25" t="n"/>
      <c r="E284" s="25" t="n"/>
      <c r="F284" s="26">
        <f>IF(OR(B284="",N(J284)=0),"",SUMPRODUCT(MIN((Gifts!$C$6:$C$1005=B284)*Gifts!$Q$6:$Q$1005*Gifts!$M$6:$M$1005+(1-(Gifts!$C$6:$C$1005=B284)*Gifts!$Q$6:$Q$1005)*1E9)))</f>
        <v/>
      </c>
      <c r="G284" s="26">
        <f>IF(OR(B284="",N(J284)=0),"",SUMPRODUCT(MAX((Gifts!$C$6:$C$1005=B284)*Gifts!$Q$6:$Q$1005*Gifts!$M$6:$M$1005)))</f>
        <v/>
      </c>
      <c r="H284" s="27">
        <f>IF(B284="","",SUMIFS(Gifts!$D$6:$D$1005,Gifts!$C$6:$C$1005,B284,Gifts!$K$6:$K$1005,Settings!$C$7,Gifts!$D$6:$D$1005,"&gt;0"))</f>
        <v/>
      </c>
      <c r="I284" s="28">
        <f>IF(B284="","",SUMIFS(Gifts!$D$6:$D$1005,Gifts!$C$6:$C$1005,B284,Gifts!$D$6:$D$1005,"&gt;0",Gifts!$M$6:$M$1005,"&gt;0"))</f>
        <v/>
      </c>
      <c r="J284" s="18">
        <f>IF(B284="","",SUMIFS(Gifts!$Q$6:$Q$1005,Gifts!$C$6:$C$1005,B284))</f>
        <v/>
      </c>
      <c r="K284" s="29">
        <f>IF(B284="","",IF(N(J284)=0,"No gifts yet",IF(AND(N(Settings!$C$9)&gt;0,G284&lt;EDATE(TODAY(),-N(Settings!$C$9))),"Lapsed",IF(YEAR(F284)=N(Settings!$C$7),"New","Active"))))</f>
        <v/>
      </c>
      <c r="L284" s="1" t="n"/>
      <c r="M284">
        <f>IF(OR(B284="",N(H284)&lt;=0),"",ROUND(H284*100,0)*1000+1000-ROW())</f>
        <v/>
      </c>
      <c r="N284">
        <f>IF(B284="","",SUMIFS(Gifts!$Q$6:$Q$1005,Gifts!$C$6:$C$1005,B284,Gifts!$K$6:$K$1005,Settings!$C$7))</f>
        <v/>
      </c>
    </row>
    <row r="285">
      <c r="A285" s="1" t="n"/>
      <c r="B285" s="22" t="n"/>
      <c r="C285" s="24" t="n"/>
      <c r="D285" s="25" t="n"/>
      <c r="E285" s="25" t="n"/>
      <c r="F285" s="26">
        <f>IF(OR(B285="",N(J285)=0),"",SUMPRODUCT(MIN((Gifts!$C$6:$C$1005=B285)*Gifts!$Q$6:$Q$1005*Gifts!$M$6:$M$1005+(1-(Gifts!$C$6:$C$1005=B285)*Gifts!$Q$6:$Q$1005)*1E9)))</f>
        <v/>
      </c>
      <c r="G285" s="26">
        <f>IF(OR(B285="",N(J285)=0),"",SUMPRODUCT(MAX((Gifts!$C$6:$C$1005=B285)*Gifts!$Q$6:$Q$1005*Gifts!$M$6:$M$1005)))</f>
        <v/>
      </c>
      <c r="H285" s="27">
        <f>IF(B285="","",SUMIFS(Gifts!$D$6:$D$1005,Gifts!$C$6:$C$1005,B285,Gifts!$K$6:$K$1005,Settings!$C$7,Gifts!$D$6:$D$1005,"&gt;0"))</f>
        <v/>
      </c>
      <c r="I285" s="28">
        <f>IF(B285="","",SUMIFS(Gifts!$D$6:$D$1005,Gifts!$C$6:$C$1005,B285,Gifts!$D$6:$D$1005,"&gt;0",Gifts!$M$6:$M$1005,"&gt;0"))</f>
        <v/>
      </c>
      <c r="J285" s="18">
        <f>IF(B285="","",SUMIFS(Gifts!$Q$6:$Q$1005,Gifts!$C$6:$C$1005,B285))</f>
        <v/>
      </c>
      <c r="K285" s="29">
        <f>IF(B285="","",IF(N(J285)=0,"No gifts yet",IF(AND(N(Settings!$C$9)&gt;0,G285&lt;EDATE(TODAY(),-N(Settings!$C$9))),"Lapsed",IF(YEAR(F285)=N(Settings!$C$7),"New","Active"))))</f>
        <v/>
      </c>
      <c r="L285" s="1" t="n"/>
      <c r="M285">
        <f>IF(OR(B285="",N(H285)&lt;=0),"",ROUND(H285*100,0)*1000+1000-ROW())</f>
        <v/>
      </c>
      <c r="N285">
        <f>IF(B285="","",SUMIFS(Gifts!$Q$6:$Q$1005,Gifts!$C$6:$C$1005,B285,Gifts!$K$6:$K$1005,Settings!$C$7))</f>
        <v/>
      </c>
    </row>
    <row r="286">
      <c r="A286" s="1" t="n"/>
      <c r="B286" s="22" t="n"/>
      <c r="C286" s="24" t="n"/>
      <c r="D286" s="25" t="n"/>
      <c r="E286" s="25" t="n"/>
      <c r="F286" s="26">
        <f>IF(OR(B286="",N(J286)=0),"",SUMPRODUCT(MIN((Gifts!$C$6:$C$1005=B286)*Gifts!$Q$6:$Q$1005*Gifts!$M$6:$M$1005+(1-(Gifts!$C$6:$C$1005=B286)*Gifts!$Q$6:$Q$1005)*1E9)))</f>
        <v/>
      </c>
      <c r="G286" s="26">
        <f>IF(OR(B286="",N(J286)=0),"",SUMPRODUCT(MAX((Gifts!$C$6:$C$1005=B286)*Gifts!$Q$6:$Q$1005*Gifts!$M$6:$M$1005)))</f>
        <v/>
      </c>
      <c r="H286" s="27">
        <f>IF(B286="","",SUMIFS(Gifts!$D$6:$D$1005,Gifts!$C$6:$C$1005,B286,Gifts!$K$6:$K$1005,Settings!$C$7,Gifts!$D$6:$D$1005,"&gt;0"))</f>
        <v/>
      </c>
      <c r="I286" s="28">
        <f>IF(B286="","",SUMIFS(Gifts!$D$6:$D$1005,Gifts!$C$6:$C$1005,B286,Gifts!$D$6:$D$1005,"&gt;0",Gifts!$M$6:$M$1005,"&gt;0"))</f>
        <v/>
      </c>
      <c r="J286" s="18">
        <f>IF(B286="","",SUMIFS(Gifts!$Q$6:$Q$1005,Gifts!$C$6:$C$1005,B286))</f>
        <v/>
      </c>
      <c r="K286" s="29">
        <f>IF(B286="","",IF(N(J286)=0,"No gifts yet",IF(AND(N(Settings!$C$9)&gt;0,G286&lt;EDATE(TODAY(),-N(Settings!$C$9))),"Lapsed",IF(YEAR(F286)=N(Settings!$C$7),"New","Active"))))</f>
        <v/>
      </c>
      <c r="L286" s="1" t="n"/>
      <c r="M286">
        <f>IF(OR(B286="",N(H286)&lt;=0),"",ROUND(H286*100,0)*1000+1000-ROW())</f>
        <v/>
      </c>
      <c r="N286">
        <f>IF(B286="","",SUMIFS(Gifts!$Q$6:$Q$1005,Gifts!$C$6:$C$1005,B286,Gifts!$K$6:$K$1005,Settings!$C$7))</f>
        <v/>
      </c>
    </row>
    <row r="287">
      <c r="A287" s="1" t="n"/>
      <c r="B287" s="22" t="n"/>
      <c r="C287" s="24" t="n"/>
      <c r="D287" s="25" t="n"/>
      <c r="E287" s="25" t="n"/>
      <c r="F287" s="26">
        <f>IF(OR(B287="",N(J287)=0),"",SUMPRODUCT(MIN((Gifts!$C$6:$C$1005=B287)*Gifts!$Q$6:$Q$1005*Gifts!$M$6:$M$1005+(1-(Gifts!$C$6:$C$1005=B287)*Gifts!$Q$6:$Q$1005)*1E9)))</f>
        <v/>
      </c>
      <c r="G287" s="26">
        <f>IF(OR(B287="",N(J287)=0),"",SUMPRODUCT(MAX((Gifts!$C$6:$C$1005=B287)*Gifts!$Q$6:$Q$1005*Gifts!$M$6:$M$1005)))</f>
        <v/>
      </c>
      <c r="H287" s="27">
        <f>IF(B287="","",SUMIFS(Gifts!$D$6:$D$1005,Gifts!$C$6:$C$1005,B287,Gifts!$K$6:$K$1005,Settings!$C$7,Gifts!$D$6:$D$1005,"&gt;0"))</f>
        <v/>
      </c>
      <c r="I287" s="28">
        <f>IF(B287="","",SUMIFS(Gifts!$D$6:$D$1005,Gifts!$C$6:$C$1005,B287,Gifts!$D$6:$D$1005,"&gt;0",Gifts!$M$6:$M$1005,"&gt;0"))</f>
        <v/>
      </c>
      <c r="J287" s="18">
        <f>IF(B287="","",SUMIFS(Gifts!$Q$6:$Q$1005,Gifts!$C$6:$C$1005,B287))</f>
        <v/>
      </c>
      <c r="K287" s="29">
        <f>IF(B287="","",IF(N(J287)=0,"No gifts yet",IF(AND(N(Settings!$C$9)&gt;0,G287&lt;EDATE(TODAY(),-N(Settings!$C$9))),"Lapsed",IF(YEAR(F287)=N(Settings!$C$7),"New","Active"))))</f>
        <v/>
      </c>
      <c r="L287" s="1" t="n"/>
      <c r="M287">
        <f>IF(OR(B287="",N(H287)&lt;=0),"",ROUND(H287*100,0)*1000+1000-ROW())</f>
        <v/>
      </c>
      <c r="N287">
        <f>IF(B287="","",SUMIFS(Gifts!$Q$6:$Q$1005,Gifts!$C$6:$C$1005,B287,Gifts!$K$6:$K$1005,Settings!$C$7))</f>
        <v/>
      </c>
    </row>
    <row r="288">
      <c r="A288" s="1" t="n"/>
      <c r="B288" s="22" t="n"/>
      <c r="C288" s="24" t="n"/>
      <c r="D288" s="25" t="n"/>
      <c r="E288" s="25" t="n"/>
      <c r="F288" s="26">
        <f>IF(OR(B288="",N(J288)=0),"",SUMPRODUCT(MIN((Gifts!$C$6:$C$1005=B288)*Gifts!$Q$6:$Q$1005*Gifts!$M$6:$M$1005+(1-(Gifts!$C$6:$C$1005=B288)*Gifts!$Q$6:$Q$1005)*1E9)))</f>
        <v/>
      </c>
      <c r="G288" s="26">
        <f>IF(OR(B288="",N(J288)=0),"",SUMPRODUCT(MAX((Gifts!$C$6:$C$1005=B288)*Gifts!$Q$6:$Q$1005*Gifts!$M$6:$M$1005)))</f>
        <v/>
      </c>
      <c r="H288" s="27">
        <f>IF(B288="","",SUMIFS(Gifts!$D$6:$D$1005,Gifts!$C$6:$C$1005,B288,Gifts!$K$6:$K$1005,Settings!$C$7,Gifts!$D$6:$D$1005,"&gt;0"))</f>
        <v/>
      </c>
      <c r="I288" s="28">
        <f>IF(B288="","",SUMIFS(Gifts!$D$6:$D$1005,Gifts!$C$6:$C$1005,B288,Gifts!$D$6:$D$1005,"&gt;0",Gifts!$M$6:$M$1005,"&gt;0"))</f>
        <v/>
      </c>
      <c r="J288" s="18">
        <f>IF(B288="","",SUMIFS(Gifts!$Q$6:$Q$1005,Gifts!$C$6:$C$1005,B288))</f>
        <v/>
      </c>
      <c r="K288" s="29">
        <f>IF(B288="","",IF(N(J288)=0,"No gifts yet",IF(AND(N(Settings!$C$9)&gt;0,G288&lt;EDATE(TODAY(),-N(Settings!$C$9))),"Lapsed",IF(YEAR(F288)=N(Settings!$C$7),"New","Active"))))</f>
        <v/>
      </c>
      <c r="L288" s="1" t="n"/>
      <c r="M288">
        <f>IF(OR(B288="",N(H288)&lt;=0),"",ROUND(H288*100,0)*1000+1000-ROW())</f>
        <v/>
      </c>
      <c r="N288">
        <f>IF(B288="","",SUMIFS(Gifts!$Q$6:$Q$1005,Gifts!$C$6:$C$1005,B288,Gifts!$K$6:$K$1005,Settings!$C$7))</f>
        <v/>
      </c>
    </row>
    <row r="289">
      <c r="A289" s="1" t="n"/>
      <c r="B289" s="22" t="n"/>
      <c r="C289" s="24" t="n"/>
      <c r="D289" s="25" t="n"/>
      <c r="E289" s="25" t="n"/>
      <c r="F289" s="26">
        <f>IF(OR(B289="",N(J289)=0),"",SUMPRODUCT(MIN((Gifts!$C$6:$C$1005=B289)*Gifts!$Q$6:$Q$1005*Gifts!$M$6:$M$1005+(1-(Gifts!$C$6:$C$1005=B289)*Gifts!$Q$6:$Q$1005)*1E9)))</f>
        <v/>
      </c>
      <c r="G289" s="26">
        <f>IF(OR(B289="",N(J289)=0),"",SUMPRODUCT(MAX((Gifts!$C$6:$C$1005=B289)*Gifts!$Q$6:$Q$1005*Gifts!$M$6:$M$1005)))</f>
        <v/>
      </c>
      <c r="H289" s="27">
        <f>IF(B289="","",SUMIFS(Gifts!$D$6:$D$1005,Gifts!$C$6:$C$1005,B289,Gifts!$K$6:$K$1005,Settings!$C$7,Gifts!$D$6:$D$1005,"&gt;0"))</f>
        <v/>
      </c>
      <c r="I289" s="28">
        <f>IF(B289="","",SUMIFS(Gifts!$D$6:$D$1005,Gifts!$C$6:$C$1005,B289,Gifts!$D$6:$D$1005,"&gt;0",Gifts!$M$6:$M$1005,"&gt;0"))</f>
        <v/>
      </c>
      <c r="J289" s="18">
        <f>IF(B289="","",SUMIFS(Gifts!$Q$6:$Q$1005,Gifts!$C$6:$C$1005,B289))</f>
        <v/>
      </c>
      <c r="K289" s="29">
        <f>IF(B289="","",IF(N(J289)=0,"No gifts yet",IF(AND(N(Settings!$C$9)&gt;0,G289&lt;EDATE(TODAY(),-N(Settings!$C$9))),"Lapsed",IF(YEAR(F289)=N(Settings!$C$7),"New","Active"))))</f>
        <v/>
      </c>
      <c r="L289" s="1" t="n"/>
      <c r="M289">
        <f>IF(OR(B289="",N(H289)&lt;=0),"",ROUND(H289*100,0)*1000+1000-ROW())</f>
        <v/>
      </c>
      <c r="N289">
        <f>IF(B289="","",SUMIFS(Gifts!$Q$6:$Q$1005,Gifts!$C$6:$C$1005,B289,Gifts!$K$6:$K$1005,Settings!$C$7))</f>
        <v/>
      </c>
    </row>
    <row r="290">
      <c r="A290" s="1" t="n"/>
      <c r="B290" s="22" t="n"/>
      <c r="C290" s="24" t="n"/>
      <c r="D290" s="25" t="n"/>
      <c r="E290" s="25" t="n"/>
      <c r="F290" s="26">
        <f>IF(OR(B290="",N(J290)=0),"",SUMPRODUCT(MIN((Gifts!$C$6:$C$1005=B290)*Gifts!$Q$6:$Q$1005*Gifts!$M$6:$M$1005+(1-(Gifts!$C$6:$C$1005=B290)*Gifts!$Q$6:$Q$1005)*1E9)))</f>
        <v/>
      </c>
      <c r="G290" s="26">
        <f>IF(OR(B290="",N(J290)=0),"",SUMPRODUCT(MAX((Gifts!$C$6:$C$1005=B290)*Gifts!$Q$6:$Q$1005*Gifts!$M$6:$M$1005)))</f>
        <v/>
      </c>
      <c r="H290" s="27">
        <f>IF(B290="","",SUMIFS(Gifts!$D$6:$D$1005,Gifts!$C$6:$C$1005,B290,Gifts!$K$6:$K$1005,Settings!$C$7,Gifts!$D$6:$D$1005,"&gt;0"))</f>
        <v/>
      </c>
      <c r="I290" s="28">
        <f>IF(B290="","",SUMIFS(Gifts!$D$6:$D$1005,Gifts!$C$6:$C$1005,B290,Gifts!$D$6:$D$1005,"&gt;0",Gifts!$M$6:$M$1005,"&gt;0"))</f>
        <v/>
      </c>
      <c r="J290" s="18">
        <f>IF(B290="","",SUMIFS(Gifts!$Q$6:$Q$1005,Gifts!$C$6:$C$1005,B290))</f>
        <v/>
      </c>
      <c r="K290" s="29">
        <f>IF(B290="","",IF(N(J290)=0,"No gifts yet",IF(AND(N(Settings!$C$9)&gt;0,G290&lt;EDATE(TODAY(),-N(Settings!$C$9))),"Lapsed",IF(YEAR(F290)=N(Settings!$C$7),"New","Active"))))</f>
        <v/>
      </c>
      <c r="L290" s="1" t="n"/>
      <c r="M290">
        <f>IF(OR(B290="",N(H290)&lt;=0),"",ROUND(H290*100,0)*1000+1000-ROW())</f>
        <v/>
      </c>
      <c r="N290">
        <f>IF(B290="","",SUMIFS(Gifts!$Q$6:$Q$1005,Gifts!$C$6:$C$1005,B290,Gifts!$K$6:$K$1005,Settings!$C$7))</f>
        <v/>
      </c>
    </row>
    <row r="291">
      <c r="A291" s="1" t="n"/>
      <c r="B291" s="22" t="n"/>
      <c r="C291" s="24" t="n"/>
      <c r="D291" s="25" t="n"/>
      <c r="E291" s="25" t="n"/>
      <c r="F291" s="26">
        <f>IF(OR(B291="",N(J291)=0),"",SUMPRODUCT(MIN((Gifts!$C$6:$C$1005=B291)*Gifts!$Q$6:$Q$1005*Gifts!$M$6:$M$1005+(1-(Gifts!$C$6:$C$1005=B291)*Gifts!$Q$6:$Q$1005)*1E9)))</f>
        <v/>
      </c>
      <c r="G291" s="26">
        <f>IF(OR(B291="",N(J291)=0),"",SUMPRODUCT(MAX((Gifts!$C$6:$C$1005=B291)*Gifts!$Q$6:$Q$1005*Gifts!$M$6:$M$1005)))</f>
        <v/>
      </c>
      <c r="H291" s="27">
        <f>IF(B291="","",SUMIFS(Gifts!$D$6:$D$1005,Gifts!$C$6:$C$1005,B291,Gifts!$K$6:$K$1005,Settings!$C$7,Gifts!$D$6:$D$1005,"&gt;0"))</f>
        <v/>
      </c>
      <c r="I291" s="28">
        <f>IF(B291="","",SUMIFS(Gifts!$D$6:$D$1005,Gifts!$C$6:$C$1005,B291,Gifts!$D$6:$D$1005,"&gt;0",Gifts!$M$6:$M$1005,"&gt;0"))</f>
        <v/>
      </c>
      <c r="J291" s="18">
        <f>IF(B291="","",SUMIFS(Gifts!$Q$6:$Q$1005,Gifts!$C$6:$C$1005,B291))</f>
        <v/>
      </c>
      <c r="K291" s="29">
        <f>IF(B291="","",IF(N(J291)=0,"No gifts yet",IF(AND(N(Settings!$C$9)&gt;0,G291&lt;EDATE(TODAY(),-N(Settings!$C$9))),"Lapsed",IF(YEAR(F291)=N(Settings!$C$7),"New","Active"))))</f>
        <v/>
      </c>
      <c r="L291" s="1" t="n"/>
      <c r="M291">
        <f>IF(OR(B291="",N(H291)&lt;=0),"",ROUND(H291*100,0)*1000+1000-ROW())</f>
        <v/>
      </c>
      <c r="N291">
        <f>IF(B291="","",SUMIFS(Gifts!$Q$6:$Q$1005,Gifts!$C$6:$C$1005,B291,Gifts!$K$6:$K$1005,Settings!$C$7))</f>
        <v/>
      </c>
    </row>
    <row r="292">
      <c r="A292" s="1" t="n"/>
      <c r="B292" s="22" t="n"/>
      <c r="C292" s="24" t="n"/>
      <c r="D292" s="25" t="n"/>
      <c r="E292" s="25" t="n"/>
      <c r="F292" s="26">
        <f>IF(OR(B292="",N(J292)=0),"",SUMPRODUCT(MIN((Gifts!$C$6:$C$1005=B292)*Gifts!$Q$6:$Q$1005*Gifts!$M$6:$M$1005+(1-(Gifts!$C$6:$C$1005=B292)*Gifts!$Q$6:$Q$1005)*1E9)))</f>
        <v/>
      </c>
      <c r="G292" s="26">
        <f>IF(OR(B292="",N(J292)=0),"",SUMPRODUCT(MAX((Gifts!$C$6:$C$1005=B292)*Gifts!$Q$6:$Q$1005*Gifts!$M$6:$M$1005)))</f>
        <v/>
      </c>
      <c r="H292" s="27">
        <f>IF(B292="","",SUMIFS(Gifts!$D$6:$D$1005,Gifts!$C$6:$C$1005,B292,Gifts!$K$6:$K$1005,Settings!$C$7,Gifts!$D$6:$D$1005,"&gt;0"))</f>
        <v/>
      </c>
      <c r="I292" s="28">
        <f>IF(B292="","",SUMIFS(Gifts!$D$6:$D$1005,Gifts!$C$6:$C$1005,B292,Gifts!$D$6:$D$1005,"&gt;0",Gifts!$M$6:$M$1005,"&gt;0"))</f>
        <v/>
      </c>
      <c r="J292" s="18">
        <f>IF(B292="","",SUMIFS(Gifts!$Q$6:$Q$1005,Gifts!$C$6:$C$1005,B292))</f>
        <v/>
      </c>
      <c r="K292" s="29">
        <f>IF(B292="","",IF(N(J292)=0,"No gifts yet",IF(AND(N(Settings!$C$9)&gt;0,G292&lt;EDATE(TODAY(),-N(Settings!$C$9))),"Lapsed",IF(YEAR(F292)=N(Settings!$C$7),"New","Active"))))</f>
        <v/>
      </c>
      <c r="L292" s="1" t="n"/>
      <c r="M292">
        <f>IF(OR(B292="",N(H292)&lt;=0),"",ROUND(H292*100,0)*1000+1000-ROW())</f>
        <v/>
      </c>
      <c r="N292">
        <f>IF(B292="","",SUMIFS(Gifts!$Q$6:$Q$1005,Gifts!$C$6:$C$1005,B292,Gifts!$K$6:$K$1005,Settings!$C$7))</f>
        <v/>
      </c>
    </row>
    <row r="293">
      <c r="A293" s="1" t="n"/>
      <c r="B293" s="22" t="n"/>
      <c r="C293" s="24" t="n"/>
      <c r="D293" s="25" t="n"/>
      <c r="E293" s="25" t="n"/>
      <c r="F293" s="26">
        <f>IF(OR(B293="",N(J293)=0),"",SUMPRODUCT(MIN((Gifts!$C$6:$C$1005=B293)*Gifts!$Q$6:$Q$1005*Gifts!$M$6:$M$1005+(1-(Gifts!$C$6:$C$1005=B293)*Gifts!$Q$6:$Q$1005)*1E9)))</f>
        <v/>
      </c>
      <c r="G293" s="26">
        <f>IF(OR(B293="",N(J293)=0),"",SUMPRODUCT(MAX((Gifts!$C$6:$C$1005=B293)*Gifts!$Q$6:$Q$1005*Gifts!$M$6:$M$1005)))</f>
        <v/>
      </c>
      <c r="H293" s="27">
        <f>IF(B293="","",SUMIFS(Gifts!$D$6:$D$1005,Gifts!$C$6:$C$1005,B293,Gifts!$K$6:$K$1005,Settings!$C$7,Gifts!$D$6:$D$1005,"&gt;0"))</f>
        <v/>
      </c>
      <c r="I293" s="28">
        <f>IF(B293="","",SUMIFS(Gifts!$D$6:$D$1005,Gifts!$C$6:$C$1005,B293,Gifts!$D$6:$D$1005,"&gt;0",Gifts!$M$6:$M$1005,"&gt;0"))</f>
        <v/>
      </c>
      <c r="J293" s="18">
        <f>IF(B293="","",SUMIFS(Gifts!$Q$6:$Q$1005,Gifts!$C$6:$C$1005,B293))</f>
        <v/>
      </c>
      <c r="K293" s="29">
        <f>IF(B293="","",IF(N(J293)=0,"No gifts yet",IF(AND(N(Settings!$C$9)&gt;0,G293&lt;EDATE(TODAY(),-N(Settings!$C$9))),"Lapsed",IF(YEAR(F293)=N(Settings!$C$7),"New","Active"))))</f>
        <v/>
      </c>
      <c r="L293" s="1" t="n"/>
      <c r="M293">
        <f>IF(OR(B293="",N(H293)&lt;=0),"",ROUND(H293*100,0)*1000+1000-ROW())</f>
        <v/>
      </c>
      <c r="N293">
        <f>IF(B293="","",SUMIFS(Gifts!$Q$6:$Q$1005,Gifts!$C$6:$C$1005,B293,Gifts!$K$6:$K$1005,Settings!$C$7))</f>
        <v/>
      </c>
    </row>
    <row r="294">
      <c r="A294" s="1" t="n"/>
      <c r="B294" s="22" t="n"/>
      <c r="C294" s="24" t="n"/>
      <c r="D294" s="25" t="n"/>
      <c r="E294" s="25" t="n"/>
      <c r="F294" s="26">
        <f>IF(OR(B294="",N(J294)=0),"",SUMPRODUCT(MIN((Gifts!$C$6:$C$1005=B294)*Gifts!$Q$6:$Q$1005*Gifts!$M$6:$M$1005+(1-(Gifts!$C$6:$C$1005=B294)*Gifts!$Q$6:$Q$1005)*1E9)))</f>
        <v/>
      </c>
      <c r="G294" s="26">
        <f>IF(OR(B294="",N(J294)=0),"",SUMPRODUCT(MAX((Gifts!$C$6:$C$1005=B294)*Gifts!$Q$6:$Q$1005*Gifts!$M$6:$M$1005)))</f>
        <v/>
      </c>
      <c r="H294" s="27">
        <f>IF(B294="","",SUMIFS(Gifts!$D$6:$D$1005,Gifts!$C$6:$C$1005,B294,Gifts!$K$6:$K$1005,Settings!$C$7,Gifts!$D$6:$D$1005,"&gt;0"))</f>
        <v/>
      </c>
      <c r="I294" s="28">
        <f>IF(B294="","",SUMIFS(Gifts!$D$6:$D$1005,Gifts!$C$6:$C$1005,B294,Gifts!$D$6:$D$1005,"&gt;0",Gifts!$M$6:$M$1005,"&gt;0"))</f>
        <v/>
      </c>
      <c r="J294" s="18">
        <f>IF(B294="","",SUMIFS(Gifts!$Q$6:$Q$1005,Gifts!$C$6:$C$1005,B294))</f>
        <v/>
      </c>
      <c r="K294" s="29">
        <f>IF(B294="","",IF(N(J294)=0,"No gifts yet",IF(AND(N(Settings!$C$9)&gt;0,G294&lt;EDATE(TODAY(),-N(Settings!$C$9))),"Lapsed",IF(YEAR(F294)=N(Settings!$C$7),"New","Active"))))</f>
        <v/>
      </c>
      <c r="L294" s="1" t="n"/>
      <c r="M294">
        <f>IF(OR(B294="",N(H294)&lt;=0),"",ROUND(H294*100,0)*1000+1000-ROW())</f>
        <v/>
      </c>
      <c r="N294">
        <f>IF(B294="","",SUMIFS(Gifts!$Q$6:$Q$1005,Gifts!$C$6:$C$1005,B294,Gifts!$K$6:$K$1005,Settings!$C$7))</f>
        <v/>
      </c>
    </row>
    <row r="295">
      <c r="A295" s="1" t="n"/>
      <c r="B295" s="22" t="n"/>
      <c r="C295" s="24" t="n"/>
      <c r="D295" s="25" t="n"/>
      <c r="E295" s="25" t="n"/>
      <c r="F295" s="26">
        <f>IF(OR(B295="",N(J295)=0),"",SUMPRODUCT(MIN((Gifts!$C$6:$C$1005=B295)*Gifts!$Q$6:$Q$1005*Gifts!$M$6:$M$1005+(1-(Gifts!$C$6:$C$1005=B295)*Gifts!$Q$6:$Q$1005)*1E9)))</f>
        <v/>
      </c>
      <c r="G295" s="26">
        <f>IF(OR(B295="",N(J295)=0),"",SUMPRODUCT(MAX((Gifts!$C$6:$C$1005=B295)*Gifts!$Q$6:$Q$1005*Gifts!$M$6:$M$1005)))</f>
        <v/>
      </c>
      <c r="H295" s="27">
        <f>IF(B295="","",SUMIFS(Gifts!$D$6:$D$1005,Gifts!$C$6:$C$1005,B295,Gifts!$K$6:$K$1005,Settings!$C$7,Gifts!$D$6:$D$1005,"&gt;0"))</f>
        <v/>
      </c>
      <c r="I295" s="28">
        <f>IF(B295="","",SUMIFS(Gifts!$D$6:$D$1005,Gifts!$C$6:$C$1005,B295,Gifts!$D$6:$D$1005,"&gt;0",Gifts!$M$6:$M$1005,"&gt;0"))</f>
        <v/>
      </c>
      <c r="J295" s="18">
        <f>IF(B295="","",SUMIFS(Gifts!$Q$6:$Q$1005,Gifts!$C$6:$C$1005,B295))</f>
        <v/>
      </c>
      <c r="K295" s="29">
        <f>IF(B295="","",IF(N(J295)=0,"No gifts yet",IF(AND(N(Settings!$C$9)&gt;0,G295&lt;EDATE(TODAY(),-N(Settings!$C$9))),"Lapsed",IF(YEAR(F295)=N(Settings!$C$7),"New","Active"))))</f>
        <v/>
      </c>
      <c r="L295" s="1" t="n"/>
      <c r="M295">
        <f>IF(OR(B295="",N(H295)&lt;=0),"",ROUND(H295*100,0)*1000+1000-ROW())</f>
        <v/>
      </c>
      <c r="N295">
        <f>IF(B295="","",SUMIFS(Gifts!$Q$6:$Q$1005,Gifts!$C$6:$C$1005,B295,Gifts!$K$6:$K$1005,Settings!$C$7))</f>
        <v/>
      </c>
    </row>
    <row r="296">
      <c r="A296" s="1" t="n"/>
      <c r="B296" s="22" t="n"/>
      <c r="C296" s="24" t="n"/>
      <c r="D296" s="25" t="n"/>
      <c r="E296" s="25" t="n"/>
      <c r="F296" s="26">
        <f>IF(OR(B296="",N(J296)=0),"",SUMPRODUCT(MIN((Gifts!$C$6:$C$1005=B296)*Gifts!$Q$6:$Q$1005*Gifts!$M$6:$M$1005+(1-(Gifts!$C$6:$C$1005=B296)*Gifts!$Q$6:$Q$1005)*1E9)))</f>
        <v/>
      </c>
      <c r="G296" s="26">
        <f>IF(OR(B296="",N(J296)=0),"",SUMPRODUCT(MAX((Gifts!$C$6:$C$1005=B296)*Gifts!$Q$6:$Q$1005*Gifts!$M$6:$M$1005)))</f>
        <v/>
      </c>
      <c r="H296" s="27">
        <f>IF(B296="","",SUMIFS(Gifts!$D$6:$D$1005,Gifts!$C$6:$C$1005,B296,Gifts!$K$6:$K$1005,Settings!$C$7,Gifts!$D$6:$D$1005,"&gt;0"))</f>
        <v/>
      </c>
      <c r="I296" s="28">
        <f>IF(B296="","",SUMIFS(Gifts!$D$6:$D$1005,Gifts!$C$6:$C$1005,B296,Gifts!$D$6:$D$1005,"&gt;0",Gifts!$M$6:$M$1005,"&gt;0"))</f>
        <v/>
      </c>
      <c r="J296" s="18">
        <f>IF(B296="","",SUMIFS(Gifts!$Q$6:$Q$1005,Gifts!$C$6:$C$1005,B296))</f>
        <v/>
      </c>
      <c r="K296" s="29">
        <f>IF(B296="","",IF(N(J296)=0,"No gifts yet",IF(AND(N(Settings!$C$9)&gt;0,G296&lt;EDATE(TODAY(),-N(Settings!$C$9))),"Lapsed",IF(YEAR(F296)=N(Settings!$C$7),"New","Active"))))</f>
        <v/>
      </c>
      <c r="L296" s="1" t="n"/>
      <c r="M296">
        <f>IF(OR(B296="",N(H296)&lt;=0),"",ROUND(H296*100,0)*1000+1000-ROW())</f>
        <v/>
      </c>
      <c r="N296">
        <f>IF(B296="","",SUMIFS(Gifts!$Q$6:$Q$1005,Gifts!$C$6:$C$1005,B296,Gifts!$K$6:$K$1005,Settings!$C$7))</f>
        <v/>
      </c>
    </row>
    <row r="297">
      <c r="A297" s="1" t="n"/>
      <c r="B297" s="22" t="n"/>
      <c r="C297" s="24" t="n"/>
      <c r="D297" s="25" t="n"/>
      <c r="E297" s="25" t="n"/>
      <c r="F297" s="26">
        <f>IF(OR(B297="",N(J297)=0),"",SUMPRODUCT(MIN((Gifts!$C$6:$C$1005=B297)*Gifts!$Q$6:$Q$1005*Gifts!$M$6:$M$1005+(1-(Gifts!$C$6:$C$1005=B297)*Gifts!$Q$6:$Q$1005)*1E9)))</f>
        <v/>
      </c>
      <c r="G297" s="26">
        <f>IF(OR(B297="",N(J297)=0),"",SUMPRODUCT(MAX((Gifts!$C$6:$C$1005=B297)*Gifts!$Q$6:$Q$1005*Gifts!$M$6:$M$1005)))</f>
        <v/>
      </c>
      <c r="H297" s="27">
        <f>IF(B297="","",SUMIFS(Gifts!$D$6:$D$1005,Gifts!$C$6:$C$1005,B297,Gifts!$K$6:$K$1005,Settings!$C$7,Gifts!$D$6:$D$1005,"&gt;0"))</f>
        <v/>
      </c>
      <c r="I297" s="28">
        <f>IF(B297="","",SUMIFS(Gifts!$D$6:$D$1005,Gifts!$C$6:$C$1005,B297,Gifts!$D$6:$D$1005,"&gt;0",Gifts!$M$6:$M$1005,"&gt;0"))</f>
        <v/>
      </c>
      <c r="J297" s="18">
        <f>IF(B297="","",SUMIFS(Gifts!$Q$6:$Q$1005,Gifts!$C$6:$C$1005,B297))</f>
        <v/>
      </c>
      <c r="K297" s="29">
        <f>IF(B297="","",IF(N(J297)=0,"No gifts yet",IF(AND(N(Settings!$C$9)&gt;0,G297&lt;EDATE(TODAY(),-N(Settings!$C$9))),"Lapsed",IF(YEAR(F297)=N(Settings!$C$7),"New","Active"))))</f>
        <v/>
      </c>
      <c r="L297" s="1" t="n"/>
      <c r="M297">
        <f>IF(OR(B297="",N(H297)&lt;=0),"",ROUND(H297*100,0)*1000+1000-ROW())</f>
        <v/>
      </c>
      <c r="N297">
        <f>IF(B297="","",SUMIFS(Gifts!$Q$6:$Q$1005,Gifts!$C$6:$C$1005,B297,Gifts!$K$6:$K$1005,Settings!$C$7))</f>
        <v/>
      </c>
    </row>
    <row r="298">
      <c r="A298" s="1" t="n"/>
      <c r="B298" s="22" t="n"/>
      <c r="C298" s="24" t="n"/>
      <c r="D298" s="25" t="n"/>
      <c r="E298" s="25" t="n"/>
      <c r="F298" s="26">
        <f>IF(OR(B298="",N(J298)=0),"",SUMPRODUCT(MIN((Gifts!$C$6:$C$1005=B298)*Gifts!$Q$6:$Q$1005*Gifts!$M$6:$M$1005+(1-(Gifts!$C$6:$C$1005=B298)*Gifts!$Q$6:$Q$1005)*1E9)))</f>
        <v/>
      </c>
      <c r="G298" s="26">
        <f>IF(OR(B298="",N(J298)=0),"",SUMPRODUCT(MAX((Gifts!$C$6:$C$1005=B298)*Gifts!$Q$6:$Q$1005*Gifts!$M$6:$M$1005)))</f>
        <v/>
      </c>
      <c r="H298" s="27">
        <f>IF(B298="","",SUMIFS(Gifts!$D$6:$D$1005,Gifts!$C$6:$C$1005,B298,Gifts!$K$6:$K$1005,Settings!$C$7,Gifts!$D$6:$D$1005,"&gt;0"))</f>
        <v/>
      </c>
      <c r="I298" s="28">
        <f>IF(B298="","",SUMIFS(Gifts!$D$6:$D$1005,Gifts!$C$6:$C$1005,B298,Gifts!$D$6:$D$1005,"&gt;0",Gifts!$M$6:$M$1005,"&gt;0"))</f>
        <v/>
      </c>
      <c r="J298" s="18">
        <f>IF(B298="","",SUMIFS(Gifts!$Q$6:$Q$1005,Gifts!$C$6:$C$1005,B298))</f>
        <v/>
      </c>
      <c r="K298" s="29">
        <f>IF(B298="","",IF(N(J298)=0,"No gifts yet",IF(AND(N(Settings!$C$9)&gt;0,G298&lt;EDATE(TODAY(),-N(Settings!$C$9))),"Lapsed",IF(YEAR(F298)=N(Settings!$C$7),"New","Active"))))</f>
        <v/>
      </c>
      <c r="L298" s="1" t="n"/>
      <c r="M298">
        <f>IF(OR(B298="",N(H298)&lt;=0),"",ROUND(H298*100,0)*1000+1000-ROW())</f>
        <v/>
      </c>
      <c r="N298">
        <f>IF(B298="","",SUMIFS(Gifts!$Q$6:$Q$1005,Gifts!$C$6:$C$1005,B298,Gifts!$K$6:$K$1005,Settings!$C$7))</f>
        <v/>
      </c>
    </row>
    <row r="299">
      <c r="A299" s="1" t="n"/>
      <c r="B299" s="22" t="n"/>
      <c r="C299" s="24" t="n"/>
      <c r="D299" s="25" t="n"/>
      <c r="E299" s="25" t="n"/>
      <c r="F299" s="26">
        <f>IF(OR(B299="",N(J299)=0),"",SUMPRODUCT(MIN((Gifts!$C$6:$C$1005=B299)*Gifts!$Q$6:$Q$1005*Gifts!$M$6:$M$1005+(1-(Gifts!$C$6:$C$1005=B299)*Gifts!$Q$6:$Q$1005)*1E9)))</f>
        <v/>
      </c>
      <c r="G299" s="26">
        <f>IF(OR(B299="",N(J299)=0),"",SUMPRODUCT(MAX((Gifts!$C$6:$C$1005=B299)*Gifts!$Q$6:$Q$1005*Gifts!$M$6:$M$1005)))</f>
        <v/>
      </c>
      <c r="H299" s="27">
        <f>IF(B299="","",SUMIFS(Gifts!$D$6:$D$1005,Gifts!$C$6:$C$1005,B299,Gifts!$K$6:$K$1005,Settings!$C$7,Gifts!$D$6:$D$1005,"&gt;0"))</f>
        <v/>
      </c>
      <c r="I299" s="28">
        <f>IF(B299="","",SUMIFS(Gifts!$D$6:$D$1005,Gifts!$C$6:$C$1005,B299,Gifts!$D$6:$D$1005,"&gt;0",Gifts!$M$6:$M$1005,"&gt;0"))</f>
        <v/>
      </c>
      <c r="J299" s="18">
        <f>IF(B299="","",SUMIFS(Gifts!$Q$6:$Q$1005,Gifts!$C$6:$C$1005,B299))</f>
        <v/>
      </c>
      <c r="K299" s="29">
        <f>IF(B299="","",IF(N(J299)=0,"No gifts yet",IF(AND(N(Settings!$C$9)&gt;0,G299&lt;EDATE(TODAY(),-N(Settings!$C$9))),"Lapsed",IF(YEAR(F299)=N(Settings!$C$7),"New","Active"))))</f>
        <v/>
      </c>
      <c r="L299" s="1" t="n"/>
      <c r="M299">
        <f>IF(OR(B299="",N(H299)&lt;=0),"",ROUND(H299*100,0)*1000+1000-ROW())</f>
        <v/>
      </c>
      <c r="N299">
        <f>IF(B299="","",SUMIFS(Gifts!$Q$6:$Q$1005,Gifts!$C$6:$C$1005,B299,Gifts!$K$6:$K$1005,Settings!$C$7))</f>
        <v/>
      </c>
    </row>
    <row r="300">
      <c r="A300" s="1" t="n"/>
      <c r="B300" s="22" t="n"/>
      <c r="C300" s="24" t="n"/>
      <c r="D300" s="25" t="n"/>
      <c r="E300" s="25" t="n"/>
      <c r="F300" s="26">
        <f>IF(OR(B300="",N(J300)=0),"",SUMPRODUCT(MIN((Gifts!$C$6:$C$1005=B300)*Gifts!$Q$6:$Q$1005*Gifts!$M$6:$M$1005+(1-(Gifts!$C$6:$C$1005=B300)*Gifts!$Q$6:$Q$1005)*1E9)))</f>
        <v/>
      </c>
      <c r="G300" s="26">
        <f>IF(OR(B300="",N(J300)=0),"",SUMPRODUCT(MAX((Gifts!$C$6:$C$1005=B300)*Gifts!$Q$6:$Q$1005*Gifts!$M$6:$M$1005)))</f>
        <v/>
      </c>
      <c r="H300" s="27">
        <f>IF(B300="","",SUMIFS(Gifts!$D$6:$D$1005,Gifts!$C$6:$C$1005,B300,Gifts!$K$6:$K$1005,Settings!$C$7,Gifts!$D$6:$D$1005,"&gt;0"))</f>
        <v/>
      </c>
      <c r="I300" s="28">
        <f>IF(B300="","",SUMIFS(Gifts!$D$6:$D$1005,Gifts!$C$6:$C$1005,B300,Gifts!$D$6:$D$1005,"&gt;0",Gifts!$M$6:$M$1005,"&gt;0"))</f>
        <v/>
      </c>
      <c r="J300" s="18">
        <f>IF(B300="","",SUMIFS(Gifts!$Q$6:$Q$1005,Gifts!$C$6:$C$1005,B300))</f>
        <v/>
      </c>
      <c r="K300" s="29">
        <f>IF(B300="","",IF(N(J300)=0,"No gifts yet",IF(AND(N(Settings!$C$9)&gt;0,G300&lt;EDATE(TODAY(),-N(Settings!$C$9))),"Lapsed",IF(YEAR(F300)=N(Settings!$C$7),"New","Active"))))</f>
        <v/>
      </c>
      <c r="L300" s="1" t="n"/>
      <c r="M300">
        <f>IF(OR(B300="",N(H300)&lt;=0),"",ROUND(H300*100,0)*1000+1000-ROW())</f>
        <v/>
      </c>
      <c r="N300">
        <f>IF(B300="","",SUMIFS(Gifts!$Q$6:$Q$1005,Gifts!$C$6:$C$1005,B300,Gifts!$K$6:$K$1005,Settings!$C$7))</f>
        <v/>
      </c>
    </row>
    <row r="301">
      <c r="A301" s="1" t="n"/>
      <c r="B301" s="22" t="n"/>
      <c r="C301" s="24" t="n"/>
      <c r="D301" s="25" t="n"/>
      <c r="E301" s="25" t="n"/>
      <c r="F301" s="26">
        <f>IF(OR(B301="",N(J301)=0),"",SUMPRODUCT(MIN((Gifts!$C$6:$C$1005=B301)*Gifts!$Q$6:$Q$1005*Gifts!$M$6:$M$1005+(1-(Gifts!$C$6:$C$1005=B301)*Gifts!$Q$6:$Q$1005)*1E9)))</f>
        <v/>
      </c>
      <c r="G301" s="26">
        <f>IF(OR(B301="",N(J301)=0),"",SUMPRODUCT(MAX((Gifts!$C$6:$C$1005=B301)*Gifts!$Q$6:$Q$1005*Gifts!$M$6:$M$1005)))</f>
        <v/>
      </c>
      <c r="H301" s="27">
        <f>IF(B301="","",SUMIFS(Gifts!$D$6:$D$1005,Gifts!$C$6:$C$1005,B301,Gifts!$K$6:$K$1005,Settings!$C$7,Gifts!$D$6:$D$1005,"&gt;0"))</f>
        <v/>
      </c>
      <c r="I301" s="28">
        <f>IF(B301="","",SUMIFS(Gifts!$D$6:$D$1005,Gifts!$C$6:$C$1005,B301,Gifts!$D$6:$D$1005,"&gt;0",Gifts!$M$6:$M$1005,"&gt;0"))</f>
        <v/>
      </c>
      <c r="J301" s="18">
        <f>IF(B301="","",SUMIFS(Gifts!$Q$6:$Q$1005,Gifts!$C$6:$C$1005,B301))</f>
        <v/>
      </c>
      <c r="K301" s="29">
        <f>IF(B301="","",IF(N(J301)=0,"No gifts yet",IF(AND(N(Settings!$C$9)&gt;0,G301&lt;EDATE(TODAY(),-N(Settings!$C$9))),"Lapsed",IF(YEAR(F301)=N(Settings!$C$7),"New","Active"))))</f>
        <v/>
      </c>
      <c r="L301" s="1" t="n"/>
      <c r="M301">
        <f>IF(OR(B301="",N(H301)&lt;=0),"",ROUND(H301*100,0)*1000+1000-ROW())</f>
        <v/>
      </c>
      <c r="N301">
        <f>IF(B301="","",SUMIFS(Gifts!$Q$6:$Q$1005,Gifts!$C$6:$C$1005,B301,Gifts!$K$6:$K$1005,Settings!$C$7))</f>
        <v/>
      </c>
    </row>
    <row r="302">
      <c r="A302" s="1" t="n"/>
      <c r="B302" s="22" t="n"/>
      <c r="C302" s="24" t="n"/>
      <c r="D302" s="25" t="n"/>
      <c r="E302" s="25" t="n"/>
      <c r="F302" s="26">
        <f>IF(OR(B302="",N(J302)=0),"",SUMPRODUCT(MIN((Gifts!$C$6:$C$1005=B302)*Gifts!$Q$6:$Q$1005*Gifts!$M$6:$M$1005+(1-(Gifts!$C$6:$C$1005=B302)*Gifts!$Q$6:$Q$1005)*1E9)))</f>
        <v/>
      </c>
      <c r="G302" s="26">
        <f>IF(OR(B302="",N(J302)=0),"",SUMPRODUCT(MAX((Gifts!$C$6:$C$1005=B302)*Gifts!$Q$6:$Q$1005*Gifts!$M$6:$M$1005)))</f>
        <v/>
      </c>
      <c r="H302" s="27">
        <f>IF(B302="","",SUMIFS(Gifts!$D$6:$D$1005,Gifts!$C$6:$C$1005,B302,Gifts!$K$6:$K$1005,Settings!$C$7,Gifts!$D$6:$D$1005,"&gt;0"))</f>
        <v/>
      </c>
      <c r="I302" s="28">
        <f>IF(B302="","",SUMIFS(Gifts!$D$6:$D$1005,Gifts!$C$6:$C$1005,B302,Gifts!$D$6:$D$1005,"&gt;0",Gifts!$M$6:$M$1005,"&gt;0"))</f>
        <v/>
      </c>
      <c r="J302" s="18">
        <f>IF(B302="","",SUMIFS(Gifts!$Q$6:$Q$1005,Gifts!$C$6:$C$1005,B302))</f>
        <v/>
      </c>
      <c r="K302" s="29">
        <f>IF(B302="","",IF(N(J302)=0,"No gifts yet",IF(AND(N(Settings!$C$9)&gt;0,G302&lt;EDATE(TODAY(),-N(Settings!$C$9))),"Lapsed",IF(YEAR(F302)=N(Settings!$C$7),"New","Active"))))</f>
        <v/>
      </c>
      <c r="L302" s="1" t="n"/>
      <c r="M302">
        <f>IF(OR(B302="",N(H302)&lt;=0),"",ROUND(H302*100,0)*1000+1000-ROW())</f>
        <v/>
      </c>
      <c r="N302">
        <f>IF(B302="","",SUMIFS(Gifts!$Q$6:$Q$1005,Gifts!$C$6:$C$1005,B302,Gifts!$K$6:$K$1005,Settings!$C$7))</f>
        <v/>
      </c>
    </row>
    <row r="303">
      <c r="A303" s="1" t="n"/>
      <c r="B303" s="22" t="n"/>
      <c r="C303" s="24" t="n"/>
      <c r="D303" s="25" t="n"/>
      <c r="E303" s="25" t="n"/>
      <c r="F303" s="26">
        <f>IF(OR(B303="",N(J303)=0),"",SUMPRODUCT(MIN((Gifts!$C$6:$C$1005=B303)*Gifts!$Q$6:$Q$1005*Gifts!$M$6:$M$1005+(1-(Gifts!$C$6:$C$1005=B303)*Gifts!$Q$6:$Q$1005)*1E9)))</f>
        <v/>
      </c>
      <c r="G303" s="26">
        <f>IF(OR(B303="",N(J303)=0),"",SUMPRODUCT(MAX((Gifts!$C$6:$C$1005=B303)*Gifts!$Q$6:$Q$1005*Gifts!$M$6:$M$1005)))</f>
        <v/>
      </c>
      <c r="H303" s="27">
        <f>IF(B303="","",SUMIFS(Gifts!$D$6:$D$1005,Gifts!$C$6:$C$1005,B303,Gifts!$K$6:$K$1005,Settings!$C$7,Gifts!$D$6:$D$1005,"&gt;0"))</f>
        <v/>
      </c>
      <c r="I303" s="28">
        <f>IF(B303="","",SUMIFS(Gifts!$D$6:$D$1005,Gifts!$C$6:$C$1005,B303,Gifts!$D$6:$D$1005,"&gt;0",Gifts!$M$6:$M$1005,"&gt;0"))</f>
        <v/>
      </c>
      <c r="J303" s="18">
        <f>IF(B303="","",SUMIFS(Gifts!$Q$6:$Q$1005,Gifts!$C$6:$C$1005,B303))</f>
        <v/>
      </c>
      <c r="K303" s="29">
        <f>IF(B303="","",IF(N(J303)=0,"No gifts yet",IF(AND(N(Settings!$C$9)&gt;0,G303&lt;EDATE(TODAY(),-N(Settings!$C$9))),"Lapsed",IF(YEAR(F303)=N(Settings!$C$7),"New","Active"))))</f>
        <v/>
      </c>
      <c r="L303" s="1" t="n"/>
      <c r="M303">
        <f>IF(OR(B303="",N(H303)&lt;=0),"",ROUND(H303*100,0)*1000+1000-ROW())</f>
        <v/>
      </c>
      <c r="N303">
        <f>IF(B303="","",SUMIFS(Gifts!$Q$6:$Q$1005,Gifts!$C$6:$C$1005,B303,Gifts!$K$6:$K$1005,Settings!$C$7))</f>
        <v/>
      </c>
    </row>
    <row r="304">
      <c r="A304" s="1" t="n"/>
      <c r="B304" s="22" t="n"/>
      <c r="C304" s="24" t="n"/>
      <c r="D304" s="25" t="n"/>
      <c r="E304" s="25" t="n"/>
      <c r="F304" s="26">
        <f>IF(OR(B304="",N(J304)=0),"",SUMPRODUCT(MIN((Gifts!$C$6:$C$1005=B304)*Gifts!$Q$6:$Q$1005*Gifts!$M$6:$M$1005+(1-(Gifts!$C$6:$C$1005=B304)*Gifts!$Q$6:$Q$1005)*1E9)))</f>
        <v/>
      </c>
      <c r="G304" s="26">
        <f>IF(OR(B304="",N(J304)=0),"",SUMPRODUCT(MAX((Gifts!$C$6:$C$1005=B304)*Gifts!$Q$6:$Q$1005*Gifts!$M$6:$M$1005)))</f>
        <v/>
      </c>
      <c r="H304" s="27">
        <f>IF(B304="","",SUMIFS(Gifts!$D$6:$D$1005,Gifts!$C$6:$C$1005,B304,Gifts!$K$6:$K$1005,Settings!$C$7,Gifts!$D$6:$D$1005,"&gt;0"))</f>
        <v/>
      </c>
      <c r="I304" s="28">
        <f>IF(B304="","",SUMIFS(Gifts!$D$6:$D$1005,Gifts!$C$6:$C$1005,B304,Gifts!$D$6:$D$1005,"&gt;0",Gifts!$M$6:$M$1005,"&gt;0"))</f>
        <v/>
      </c>
      <c r="J304" s="18">
        <f>IF(B304="","",SUMIFS(Gifts!$Q$6:$Q$1005,Gifts!$C$6:$C$1005,B304))</f>
        <v/>
      </c>
      <c r="K304" s="29">
        <f>IF(B304="","",IF(N(J304)=0,"No gifts yet",IF(AND(N(Settings!$C$9)&gt;0,G304&lt;EDATE(TODAY(),-N(Settings!$C$9))),"Lapsed",IF(YEAR(F304)=N(Settings!$C$7),"New","Active"))))</f>
        <v/>
      </c>
      <c r="L304" s="1" t="n"/>
      <c r="M304">
        <f>IF(OR(B304="",N(H304)&lt;=0),"",ROUND(H304*100,0)*1000+1000-ROW())</f>
        <v/>
      </c>
      <c r="N304">
        <f>IF(B304="","",SUMIFS(Gifts!$Q$6:$Q$1005,Gifts!$C$6:$C$1005,B304,Gifts!$K$6:$K$1005,Settings!$C$7))</f>
        <v/>
      </c>
    </row>
    <row r="305">
      <c r="A305" s="1" t="n"/>
      <c r="B305" s="22" t="n"/>
      <c r="C305" s="24" t="n"/>
      <c r="D305" s="25" t="n"/>
      <c r="E305" s="25" t="n"/>
      <c r="F305" s="26">
        <f>IF(OR(B305="",N(J305)=0),"",SUMPRODUCT(MIN((Gifts!$C$6:$C$1005=B305)*Gifts!$Q$6:$Q$1005*Gifts!$M$6:$M$1005+(1-(Gifts!$C$6:$C$1005=B305)*Gifts!$Q$6:$Q$1005)*1E9)))</f>
        <v/>
      </c>
      <c r="G305" s="26">
        <f>IF(OR(B305="",N(J305)=0),"",SUMPRODUCT(MAX((Gifts!$C$6:$C$1005=B305)*Gifts!$Q$6:$Q$1005*Gifts!$M$6:$M$1005)))</f>
        <v/>
      </c>
      <c r="H305" s="27">
        <f>IF(B305="","",SUMIFS(Gifts!$D$6:$D$1005,Gifts!$C$6:$C$1005,B305,Gifts!$K$6:$K$1005,Settings!$C$7,Gifts!$D$6:$D$1005,"&gt;0"))</f>
        <v/>
      </c>
      <c r="I305" s="28">
        <f>IF(B305="","",SUMIFS(Gifts!$D$6:$D$1005,Gifts!$C$6:$C$1005,B305,Gifts!$D$6:$D$1005,"&gt;0",Gifts!$M$6:$M$1005,"&gt;0"))</f>
        <v/>
      </c>
      <c r="J305" s="18">
        <f>IF(B305="","",SUMIFS(Gifts!$Q$6:$Q$1005,Gifts!$C$6:$C$1005,B305))</f>
        <v/>
      </c>
      <c r="K305" s="29">
        <f>IF(B305="","",IF(N(J305)=0,"No gifts yet",IF(AND(N(Settings!$C$9)&gt;0,G305&lt;EDATE(TODAY(),-N(Settings!$C$9))),"Lapsed",IF(YEAR(F305)=N(Settings!$C$7),"New","Active"))))</f>
        <v/>
      </c>
      <c r="L305" s="1" t="n"/>
      <c r="M305">
        <f>IF(OR(B305="",N(H305)&lt;=0),"",ROUND(H305*100,0)*1000+1000-ROW())</f>
        <v/>
      </c>
      <c r="N305">
        <f>IF(B305="","",SUMIFS(Gifts!$Q$6:$Q$1005,Gifts!$C$6:$C$1005,B305,Gifts!$K$6:$K$1005,Settings!$C$7))</f>
        <v/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</row>
  </sheetData>
  <conditionalFormatting sqref="K6:K305">
    <cfRule type="expression" priority="1" dxfId="0">
      <formula>K6="New"</formula>
    </cfRule>
    <cfRule type="expression" priority="2" dxfId="2">
      <formula>K6="Lapsed"</formula>
    </cfRule>
  </conditionalFormatting>
  <dataValidations count="1">
    <dataValidation sqref="C6:C305" showDropDown="0" showInputMessage="0" showErrorMessage="0" allowBlank="1" type="list">
      <formula1>"Person,Business,Group,Foundation,Other"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2" customWidth="1" min="3" max="3"/>
    <col width="13" customWidth="1" min="4" max="4"/>
    <col width="13" customWidth="1" min="5" max="5"/>
    <col width="12" customWidth="1" min="6" max="6"/>
    <col width="9" customWidth="1" min="7" max="7"/>
    <col width="16" customWidth="1" min="8" max="8"/>
    <col width="9" customWidth="1" min="9" max="9"/>
    <col width="10" customWidth="1" min="10" max="10"/>
    <col width="12" customWidth="1" min="11" max="11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2" customHeight="1">
      <c r="A2" s="1" t="n"/>
      <c r="B2" s="2" t="inlineStr">
        <is>
          <t>Campaigns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1" t="n"/>
      <c r="B3" s="3" t="inlineStr">
        <is>
          <t>What you raise money for, with a goal and dates if it has them.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</row>
    <row r="5" ht="30" customHeight="1">
      <c r="A5" s="1" t="n"/>
      <c r="B5" s="10" t="inlineStr">
        <is>
          <t>Campaign</t>
        </is>
      </c>
      <c r="C5" s="10" t="inlineStr">
        <is>
          <t>Goal</t>
        </is>
      </c>
      <c r="D5" s="10" t="inlineStr">
        <is>
          <t>Starts</t>
        </is>
      </c>
      <c r="E5" s="10" t="inlineStr">
        <is>
          <t>Ends</t>
        </is>
      </c>
      <c r="F5" s="10" t="inlineStr">
        <is>
          <t>Raised</t>
        </is>
      </c>
      <c r="G5" s="10" t="inlineStr">
        <is>
          <t>Of goal</t>
        </is>
      </c>
      <c r="H5" s="10" t="n"/>
      <c r="I5" s="10" t="inlineStr">
        <is>
          <t>Donors</t>
        </is>
      </c>
      <c r="J5" s="10" t="inlineStr">
        <is>
          <t>Days left</t>
        </is>
      </c>
      <c r="K5" s="10" t="inlineStr">
        <is>
          <t>Status</t>
        </is>
      </c>
      <c r="L5" s="1" t="n"/>
    </row>
    <row r="6">
      <c r="A6" s="1" t="n"/>
      <c r="B6" s="22" t="inlineStr">
        <is>
          <t>General fund</t>
        </is>
      </c>
      <c r="C6" s="23" t="n"/>
      <c r="D6" s="21" t="n"/>
      <c r="E6" s="21" t="n"/>
      <c r="F6" s="27">
        <f>IF(B6="","",SUMIFS(Gifts!$D$6:$D$1005,Gifts!$F$6:$F$1005,B6,Gifts!$D$6:$D$1005,"&gt;0",Gifts!$M$6:$M$1005,"&gt;0"))</f>
        <v/>
      </c>
      <c r="G6" s="13">
        <f>IF(OR(B6="",N(C6)&lt;=0),"",F6/C6)</f>
        <v/>
      </c>
      <c r="H6" s="30">
        <f>IF(G6="","",REPT("█",MIN(12,MAX(0,ROUND((G6)*12,0))))&amp;REPT("░",12-MIN(12,MAX(0,ROUND((G6)*12,0)))))</f>
        <v/>
      </c>
      <c r="I6" s="18">
        <f>IF(B6="","",SUMIFS(Gifts!$N$6:$N$1005,Gifts!$F$6:$F$1005,B6))</f>
        <v/>
      </c>
      <c r="J6" s="18">
        <f>IF(OR(B6="",NOT(ISNUMBER(E6))),"",MAX(0,E6-TODAY()))</f>
        <v/>
      </c>
      <c r="K6" s="29">
        <f>IF(B6="","",IF(AND(N(C6)&gt;0,F6&gt;=N(C6)),"Reached",IF(AND(ISNUMBER(E6),E6&lt;TODAY()),"Ended",IF(AND(ISNUMBER(D6),D6&gt;TODAY()),"Not started","Running"))))</f>
        <v/>
      </c>
      <c r="L6" s="1" t="n"/>
    </row>
    <row r="7">
      <c r="A7" s="1" t="n"/>
      <c r="B7" s="22" t="inlineStr">
        <is>
          <t>Winter coat drive</t>
        </is>
      </c>
      <c r="C7" s="23" t="n">
        <v>3000</v>
      </c>
      <c r="D7" s="21" t="n">
        <v>46253</v>
      </c>
      <c r="E7" s="21" t="n">
        <v>46343</v>
      </c>
      <c r="F7" s="27">
        <f>IF(B7="","",SUMIFS(Gifts!$D$6:$D$1005,Gifts!$F$6:$F$1005,B7,Gifts!$D$6:$D$1005,"&gt;0",Gifts!$M$6:$M$1005,"&gt;0"))</f>
        <v/>
      </c>
      <c r="G7" s="13">
        <f>IF(OR(B7="",N(C7)&lt;=0),"",F7/C7)</f>
        <v/>
      </c>
      <c r="H7" s="30">
        <f>IF(G7="","",REPT("█",MIN(12,MAX(0,ROUND((G7)*12,0))))&amp;REPT("░",12-MIN(12,MAX(0,ROUND((G7)*12,0)))))</f>
        <v/>
      </c>
      <c r="I7" s="18">
        <f>IF(B7="","",SUMIFS(Gifts!$N$6:$N$1005,Gifts!$F$6:$F$1005,B7))</f>
        <v/>
      </c>
      <c r="J7" s="18">
        <f>IF(OR(B7="",NOT(ISNUMBER(E7))),"",MAX(0,E7-TODAY()))</f>
        <v/>
      </c>
      <c r="K7" s="29">
        <f>IF(B7="","",IF(AND(N(C7)&gt;0,F7&gt;=N(C7)),"Reached",IF(AND(ISNUMBER(E7),E7&lt;TODAY()),"Ended",IF(AND(ISNUMBER(D7),D7&gt;TODAY()),"Not started","Running"))))</f>
        <v/>
      </c>
      <c r="L7" s="1" t="n"/>
    </row>
    <row r="8">
      <c r="A8" s="1" t="n"/>
      <c r="B8" s="22" t="inlineStr">
        <is>
          <t>New freezer</t>
        </is>
      </c>
      <c r="C8" s="23" t="n">
        <v>5000</v>
      </c>
      <c r="D8" s="21" t="n">
        <v>46143</v>
      </c>
      <c r="E8" s="21" t="n">
        <v>46313</v>
      </c>
      <c r="F8" s="27">
        <f>IF(B8="","",SUMIFS(Gifts!$D$6:$D$1005,Gifts!$F$6:$F$1005,B8,Gifts!$D$6:$D$1005,"&gt;0",Gifts!$M$6:$M$1005,"&gt;0"))</f>
        <v/>
      </c>
      <c r="G8" s="13">
        <f>IF(OR(B8="",N(C8)&lt;=0),"",F8/C8)</f>
        <v/>
      </c>
      <c r="H8" s="30">
        <f>IF(G8="","",REPT("█",MIN(12,MAX(0,ROUND((G8)*12,0))))&amp;REPT("░",12-MIN(12,MAX(0,ROUND((G8)*12,0)))))</f>
        <v/>
      </c>
      <c r="I8" s="18">
        <f>IF(B8="","",SUMIFS(Gifts!$N$6:$N$1005,Gifts!$F$6:$F$1005,B8))</f>
        <v/>
      </c>
      <c r="J8" s="18">
        <f>IF(OR(B8="",NOT(ISNUMBER(E8))),"",MAX(0,E8-TODAY()))</f>
        <v/>
      </c>
      <c r="K8" s="29">
        <f>IF(B8="","",IF(AND(N(C8)&gt;0,F8&gt;=N(C8)),"Reached",IF(AND(ISNUMBER(E8),E8&lt;TODAY()),"Ended",IF(AND(ISNUMBER(D8),D8&gt;TODAY()),"Not started","Running"))))</f>
        <v/>
      </c>
      <c r="L8" s="1" t="n"/>
    </row>
    <row r="9">
      <c r="A9" s="1" t="n"/>
      <c r="B9" s="22" t="inlineStr">
        <is>
          <t>Back to school</t>
        </is>
      </c>
      <c r="C9" s="23" t="n">
        <v>600</v>
      </c>
      <c r="D9" s="21" t="n">
        <v>46173</v>
      </c>
      <c r="E9" s="21" t="n">
        <v>46263</v>
      </c>
      <c r="F9" s="27">
        <f>IF(B9="","",SUMIFS(Gifts!$D$6:$D$1005,Gifts!$F$6:$F$1005,B9,Gifts!$D$6:$D$1005,"&gt;0",Gifts!$M$6:$M$1005,"&gt;0"))</f>
        <v/>
      </c>
      <c r="G9" s="13">
        <f>IF(OR(B9="",N(C9)&lt;=0),"",F9/C9)</f>
        <v/>
      </c>
      <c r="H9" s="30">
        <f>IF(G9="","",REPT("█",MIN(12,MAX(0,ROUND((G9)*12,0))))&amp;REPT("░",12-MIN(12,MAX(0,ROUND((G9)*12,0)))))</f>
        <v/>
      </c>
      <c r="I9" s="18">
        <f>IF(B9="","",SUMIFS(Gifts!$N$6:$N$1005,Gifts!$F$6:$F$1005,B9))</f>
        <v/>
      </c>
      <c r="J9" s="18">
        <f>IF(OR(B9="",NOT(ISNUMBER(E9))),"",MAX(0,E9-TODAY()))</f>
        <v/>
      </c>
      <c r="K9" s="29">
        <f>IF(B9="","",IF(AND(N(C9)&gt;0,F9&gt;=N(C9)),"Reached",IF(AND(ISNUMBER(E9),E9&lt;TODAY()),"Ended",IF(AND(ISNUMBER(D9),D9&gt;TODAY()),"Not started","Running"))))</f>
        <v/>
      </c>
      <c r="L9" s="1" t="n"/>
    </row>
    <row r="10">
      <c r="A10" s="1" t="n"/>
      <c r="B10" s="22" t="inlineStr">
        <is>
          <t>Spring garden</t>
        </is>
      </c>
      <c r="C10" s="23" t="n">
        <v>800</v>
      </c>
      <c r="D10" s="21" t="n">
        <v>46323</v>
      </c>
      <c r="E10" s="21" t="n">
        <v>46413</v>
      </c>
      <c r="F10" s="27">
        <f>IF(B10="","",SUMIFS(Gifts!$D$6:$D$1005,Gifts!$F$6:$F$1005,B10,Gifts!$D$6:$D$1005,"&gt;0",Gifts!$M$6:$M$1005,"&gt;0"))</f>
        <v/>
      </c>
      <c r="G10" s="13">
        <f>IF(OR(B10="",N(C10)&lt;=0),"",F10/C10)</f>
        <v/>
      </c>
      <c r="H10" s="30">
        <f>IF(G10="","",REPT("█",MIN(12,MAX(0,ROUND((G10)*12,0))))&amp;REPT("░",12-MIN(12,MAX(0,ROUND((G10)*12,0)))))</f>
        <v/>
      </c>
      <c r="I10" s="18">
        <f>IF(B10="","",SUMIFS(Gifts!$N$6:$N$1005,Gifts!$F$6:$F$1005,B10))</f>
        <v/>
      </c>
      <c r="J10" s="18">
        <f>IF(OR(B10="",NOT(ISNUMBER(E10))),"",MAX(0,E10-TODAY()))</f>
        <v/>
      </c>
      <c r="K10" s="29">
        <f>IF(B10="","",IF(AND(N(C10)&gt;0,F10&gt;=N(C10)),"Reached",IF(AND(ISNUMBER(E10),E10&lt;TODAY()),"Ended",IF(AND(ISNUMBER(D10),D10&gt;TODAY()),"Not started","Running"))))</f>
        <v/>
      </c>
      <c r="L10" s="1" t="n"/>
    </row>
    <row r="11">
      <c r="A11" s="1" t="n"/>
      <c r="B11" s="22" t="n"/>
      <c r="C11" s="23" t="n"/>
      <c r="D11" s="21" t="n"/>
      <c r="E11" s="21" t="n"/>
      <c r="F11" s="27">
        <f>IF(B11="","",SUMIFS(Gifts!$D$6:$D$1005,Gifts!$F$6:$F$1005,B11,Gifts!$D$6:$D$1005,"&gt;0",Gifts!$M$6:$M$1005,"&gt;0"))</f>
        <v/>
      </c>
      <c r="G11" s="13">
        <f>IF(OR(B11="",N(C11)&lt;=0),"",F11/C11)</f>
        <v/>
      </c>
      <c r="H11" s="30">
        <f>IF(G11="","",REPT("█",MIN(12,MAX(0,ROUND((G11)*12,0))))&amp;REPT("░",12-MIN(12,MAX(0,ROUND((G11)*12,0)))))</f>
        <v/>
      </c>
      <c r="I11" s="18">
        <f>IF(B11="","",SUMIFS(Gifts!$N$6:$N$1005,Gifts!$F$6:$F$1005,B11))</f>
        <v/>
      </c>
      <c r="J11" s="18">
        <f>IF(OR(B11="",NOT(ISNUMBER(E11))),"",MAX(0,E11-TODAY()))</f>
        <v/>
      </c>
      <c r="K11" s="29">
        <f>IF(B11="","",IF(AND(N(C11)&gt;0,F11&gt;=N(C11)),"Reached",IF(AND(ISNUMBER(E11),E11&lt;TODAY()),"Ended",IF(AND(ISNUMBER(D11),D11&gt;TODAY()),"Not started","Running"))))</f>
        <v/>
      </c>
      <c r="L11" s="1" t="n"/>
    </row>
    <row r="12">
      <c r="A12" s="1" t="n"/>
      <c r="B12" s="22" t="n"/>
      <c r="C12" s="23" t="n"/>
      <c r="D12" s="21" t="n"/>
      <c r="E12" s="21" t="n"/>
      <c r="F12" s="27">
        <f>IF(B12="","",SUMIFS(Gifts!$D$6:$D$1005,Gifts!$F$6:$F$1005,B12,Gifts!$D$6:$D$1005,"&gt;0",Gifts!$M$6:$M$1005,"&gt;0"))</f>
        <v/>
      </c>
      <c r="G12" s="13">
        <f>IF(OR(B12="",N(C12)&lt;=0),"",F12/C12)</f>
        <v/>
      </c>
      <c r="H12" s="30">
        <f>IF(G12="","",REPT("█",MIN(12,MAX(0,ROUND((G12)*12,0))))&amp;REPT("░",12-MIN(12,MAX(0,ROUND((G12)*12,0)))))</f>
        <v/>
      </c>
      <c r="I12" s="18">
        <f>IF(B12="","",SUMIFS(Gifts!$N$6:$N$1005,Gifts!$F$6:$F$1005,B12))</f>
        <v/>
      </c>
      <c r="J12" s="18">
        <f>IF(OR(B12="",NOT(ISNUMBER(E12))),"",MAX(0,E12-TODAY()))</f>
        <v/>
      </c>
      <c r="K12" s="29">
        <f>IF(B12="","",IF(AND(N(C12)&gt;0,F12&gt;=N(C12)),"Reached",IF(AND(ISNUMBER(E12),E12&lt;TODAY()),"Ended",IF(AND(ISNUMBER(D12),D12&gt;TODAY()),"Not started","Running"))))</f>
        <v/>
      </c>
      <c r="L12" s="1" t="n"/>
    </row>
    <row r="13">
      <c r="A13" s="1" t="n"/>
      <c r="B13" s="22" t="n"/>
      <c r="C13" s="23" t="n"/>
      <c r="D13" s="21" t="n"/>
      <c r="E13" s="21" t="n"/>
      <c r="F13" s="27">
        <f>IF(B13="","",SUMIFS(Gifts!$D$6:$D$1005,Gifts!$F$6:$F$1005,B13,Gifts!$D$6:$D$1005,"&gt;0",Gifts!$M$6:$M$1005,"&gt;0"))</f>
        <v/>
      </c>
      <c r="G13" s="13">
        <f>IF(OR(B13="",N(C13)&lt;=0),"",F13/C13)</f>
        <v/>
      </c>
      <c r="H13" s="30">
        <f>IF(G13="","",REPT("█",MIN(12,MAX(0,ROUND((G13)*12,0))))&amp;REPT("░",12-MIN(12,MAX(0,ROUND((G13)*12,0)))))</f>
        <v/>
      </c>
      <c r="I13" s="18">
        <f>IF(B13="","",SUMIFS(Gifts!$N$6:$N$1005,Gifts!$F$6:$F$1005,B13))</f>
        <v/>
      </c>
      <c r="J13" s="18">
        <f>IF(OR(B13="",NOT(ISNUMBER(E13))),"",MAX(0,E13-TODAY()))</f>
        <v/>
      </c>
      <c r="K13" s="29">
        <f>IF(B13="","",IF(AND(N(C13)&gt;0,F13&gt;=N(C13)),"Reached",IF(AND(ISNUMBER(E13),E13&lt;TODAY()),"Ended",IF(AND(ISNUMBER(D13),D13&gt;TODAY()),"Not started","Running"))))</f>
        <v/>
      </c>
      <c r="L13" s="1" t="n"/>
    </row>
    <row r="14">
      <c r="A14" s="1" t="n"/>
      <c r="B14" s="22" t="n"/>
      <c r="C14" s="23" t="n"/>
      <c r="D14" s="21" t="n"/>
      <c r="E14" s="21" t="n"/>
      <c r="F14" s="27">
        <f>IF(B14="","",SUMIFS(Gifts!$D$6:$D$1005,Gifts!$F$6:$F$1005,B14,Gifts!$D$6:$D$1005,"&gt;0",Gifts!$M$6:$M$1005,"&gt;0"))</f>
        <v/>
      </c>
      <c r="G14" s="13">
        <f>IF(OR(B14="",N(C14)&lt;=0),"",F14/C14)</f>
        <v/>
      </c>
      <c r="H14" s="30">
        <f>IF(G14="","",REPT("█",MIN(12,MAX(0,ROUND((G14)*12,0))))&amp;REPT("░",12-MIN(12,MAX(0,ROUND((G14)*12,0)))))</f>
        <v/>
      </c>
      <c r="I14" s="18">
        <f>IF(B14="","",SUMIFS(Gifts!$N$6:$N$1005,Gifts!$F$6:$F$1005,B14))</f>
        <v/>
      </c>
      <c r="J14" s="18">
        <f>IF(OR(B14="",NOT(ISNUMBER(E14))),"",MAX(0,E14-TODAY()))</f>
        <v/>
      </c>
      <c r="K14" s="29">
        <f>IF(B14="","",IF(AND(N(C14)&gt;0,F14&gt;=N(C14)),"Reached",IF(AND(ISNUMBER(E14),E14&lt;TODAY()),"Ended",IF(AND(ISNUMBER(D14),D14&gt;TODAY()),"Not started","Running"))))</f>
        <v/>
      </c>
      <c r="L14" s="1" t="n"/>
    </row>
    <row r="15">
      <c r="A15" s="1" t="n"/>
      <c r="B15" s="22" t="n"/>
      <c r="C15" s="23" t="n"/>
      <c r="D15" s="21" t="n"/>
      <c r="E15" s="21" t="n"/>
      <c r="F15" s="27">
        <f>IF(B15="","",SUMIFS(Gifts!$D$6:$D$1005,Gifts!$F$6:$F$1005,B15,Gifts!$D$6:$D$1005,"&gt;0",Gifts!$M$6:$M$1005,"&gt;0"))</f>
        <v/>
      </c>
      <c r="G15" s="13">
        <f>IF(OR(B15="",N(C15)&lt;=0),"",F15/C15)</f>
        <v/>
      </c>
      <c r="H15" s="30">
        <f>IF(G15="","",REPT("█",MIN(12,MAX(0,ROUND((G15)*12,0))))&amp;REPT("░",12-MIN(12,MAX(0,ROUND((G15)*12,0)))))</f>
        <v/>
      </c>
      <c r="I15" s="18">
        <f>IF(B15="","",SUMIFS(Gifts!$N$6:$N$1005,Gifts!$F$6:$F$1005,B15))</f>
        <v/>
      </c>
      <c r="J15" s="18">
        <f>IF(OR(B15="",NOT(ISNUMBER(E15))),"",MAX(0,E15-TODAY()))</f>
        <v/>
      </c>
      <c r="K15" s="29">
        <f>IF(B15="","",IF(AND(N(C15)&gt;0,F15&gt;=N(C15)),"Reached",IF(AND(ISNUMBER(E15),E15&lt;TODAY()),"Ended",IF(AND(ISNUMBER(D15),D15&gt;TODAY()),"Not started","Running"))))</f>
        <v/>
      </c>
      <c r="L15" s="1" t="n"/>
    </row>
    <row r="16">
      <c r="A16" s="1" t="n"/>
      <c r="B16" s="22" t="n"/>
      <c r="C16" s="23" t="n"/>
      <c r="D16" s="21" t="n"/>
      <c r="E16" s="21" t="n"/>
      <c r="F16" s="27">
        <f>IF(B16="","",SUMIFS(Gifts!$D$6:$D$1005,Gifts!$F$6:$F$1005,B16,Gifts!$D$6:$D$1005,"&gt;0",Gifts!$M$6:$M$1005,"&gt;0"))</f>
        <v/>
      </c>
      <c r="G16" s="13">
        <f>IF(OR(B16="",N(C16)&lt;=0),"",F16/C16)</f>
        <v/>
      </c>
      <c r="H16" s="30">
        <f>IF(G16="","",REPT("█",MIN(12,MAX(0,ROUND((G16)*12,0))))&amp;REPT("░",12-MIN(12,MAX(0,ROUND((G16)*12,0)))))</f>
        <v/>
      </c>
      <c r="I16" s="18">
        <f>IF(B16="","",SUMIFS(Gifts!$N$6:$N$1005,Gifts!$F$6:$F$1005,B16))</f>
        <v/>
      </c>
      <c r="J16" s="18">
        <f>IF(OR(B16="",NOT(ISNUMBER(E16))),"",MAX(0,E16-TODAY()))</f>
        <v/>
      </c>
      <c r="K16" s="29">
        <f>IF(B16="","",IF(AND(N(C16)&gt;0,F16&gt;=N(C16)),"Reached",IF(AND(ISNUMBER(E16),E16&lt;TODAY()),"Ended",IF(AND(ISNUMBER(D16),D16&gt;TODAY()),"Not started","Running"))))</f>
        <v/>
      </c>
      <c r="L16" s="1" t="n"/>
    </row>
    <row r="17">
      <c r="A17" s="1" t="n"/>
      <c r="B17" s="22" t="n"/>
      <c r="C17" s="23" t="n"/>
      <c r="D17" s="21" t="n"/>
      <c r="E17" s="21" t="n"/>
      <c r="F17" s="27">
        <f>IF(B17="","",SUMIFS(Gifts!$D$6:$D$1005,Gifts!$F$6:$F$1005,B17,Gifts!$D$6:$D$1005,"&gt;0",Gifts!$M$6:$M$1005,"&gt;0"))</f>
        <v/>
      </c>
      <c r="G17" s="13">
        <f>IF(OR(B17="",N(C17)&lt;=0),"",F17/C17)</f>
        <v/>
      </c>
      <c r="H17" s="30">
        <f>IF(G17="","",REPT("█",MIN(12,MAX(0,ROUND((G17)*12,0))))&amp;REPT("░",12-MIN(12,MAX(0,ROUND((G17)*12,0)))))</f>
        <v/>
      </c>
      <c r="I17" s="18">
        <f>IF(B17="","",SUMIFS(Gifts!$N$6:$N$1005,Gifts!$F$6:$F$1005,B17))</f>
        <v/>
      </c>
      <c r="J17" s="18">
        <f>IF(OR(B17="",NOT(ISNUMBER(E17))),"",MAX(0,E17-TODAY()))</f>
        <v/>
      </c>
      <c r="K17" s="29">
        <f>IF(B17="","",IF(AND(N(C17)&gt;0,F17&gt;=N(C17)),"Reached",IF(AND(ISNUMBER(E17),E17&lt;TODAY()),"Ended",IF(AND(ISNUMBER(D17),D17&gt;TODAY()),"Not started","Running"))))</f>
        <v/>
      </c>
      <c r="L17" s="1" t="n"/>
    </row>
    <row r="18">
      <c r="A18" s="1" t="n"/>
      <c r="B18" s="22" t="n"/>
      <c r="C18" s="23" t="n"/>
      <c r="D18" s="21" t="n"/>
      <c r="E18" s="21" t="n"/>
      <c r="F18" s="27">
        <f>IF(B18="","",SUMIFS(Gifts!$D$6:$D$1005,Gifts!$F$6:$F$1005,B18,Gifts!$D$6:$D$1005,"&gt;0",Gifts!$M$6:$M$1005,"&gt;0"))</f>
        <v/>
      </c>
      <c r="G18" s="13">
        <f>IF(OR(B18="",N(C18)&lt;=0),"",F18/C18)</f>
        <v/>
      </c>
      <c r="H18" s="30">
        <f>IF(G18="","",REPT("█",MIN(12,MAX(0,ROUND((G18)*12,0))))&amp;REPT("░",12-MIN(12,MAX(0,ROUND((G18)*12,0)))))</f>
        <v/>
      </c>
      <c r="I18" s="18">
        <f>IF(B18="","",SUMIFS(Gifts!$N$6:$N$1005,Gifts!$F$6:$F$1005,B18))</f>
        <v/>
      </c>
      <c r="J18" s="18">
        <f>IF(OR(B18="",NOT(ISNUMBER(E18))),"",MAX(0,E18-TODAY()))</f>
        <v/>
      </c>
      <c r="K18" s="29">
        <f>IF(B18="","",IF(AND(N(C18)&gt;0,F18&gt;=N(C18)),"Reached",IF(AND(ISNUMBER(E18),E18&lt;TODAY()),"Ended",IF(AND(ISNUMBER(D18),D18&gt;TODAY()),"Not started","Running"))))</f>
        <v/>
      </c>
      <c r="L18" s="1" t="n"/>
    </row>
    <row r="19">
      <c r="A19" s="1" t="n"/>
      <c r="B19" s="22" t="n"/>
      <c r="C19" s="23" t="n"/>
      <c r="D19" s="21" t="n"/>
      <c r="E19" s="21" t="n"/>
      <c r="F19" s="27">
        <f>IF(B19="","",SUMIFS(Gifts!$D$6:$D$1005,Gifts!$F$6:$F$1005,B19,Gifts!$D$6:$D$1005,"&gt;0",Gifts!$M$6:$M$1005,"&gt;0"))</f>
        <v/>
      </c>
      <c r="G19" s="13">
        <f>IF(OR(B19="",N(C19)&lt;=0),"",F19/C19)</f>
        <v/>
      </c>
      <c r="H19" s="30">
        <f>IF(G19="","",REPT("█",MIN(12,MAX(0,ROUND((G19)*12,0))))&amp;REPT("░",12-MIN(12,MAX(0,ROUND((G19)*12,0)))))</f>
        <v/>
      </c>
      <c r="I19" s="18">
        <f>IF(B19="","",SUMIFS(Gifts!$N$6:$N$1005,Gifts!$F$6:$F$1005,B19))</f>
        <v/>
      </c>
      <c r="J19" s="18">
        <f>IF(OR(B19="",NOT(ISNUMBER(E19))),"",MAX(0,E19-TODAY()))</f>
        <v/>
      </c>
      <c r="K19" s="29">
        <f>IF(B19="","",IF(AND(N(C19)&gt;0,F19&gt;=N(C19)),"Reached",IF(AND(ISNUMBER(E19),E19&lt;TODAY()),"Ended",IF(AND(ISNUMBER(D19),D19&gt;TODAY()),"Not started","Running"))))</f>
        <v/>
      </c>
      <c r="L19" s="1" t="n"/>
    </row>
    <row r="20">
      <c r="A20" s="1" t="n"/>
      <c r="B20" s="22" t="n"/>
      <c r="C20" s="23" t="n"/>
      <c r="D20" s="21" t="n"/>
      <c r="E20" s="21" t="n"/>
      <c r="F20" s="27">
        <f>IF(B20="","",SUMIFS(Gifts!$D$6:$D$1005,Gifts!$F$6:$F$1005,B20,Gifts!$D$6:$D$1005,"&gt;0",Gifts!$M$6:$M$1005,"&gt;0"))</f>
        <v/>
      </c>
      <c r="G20" s="13">
        <f>IF(OR(B20="",N(C20)&lt;=0),"",F20/C20)</f>
        <v/>
      </c>
      <c r="H20" s="30">
        <f>IF(G20="","",REPT("█",MIN(12,MAX(0,ROUND((G20)*12,0))))&amp;REPT("░",12-MIN(12,MAX(0,ROUND((G20)*12,0)))))</f>
        <v/>
      </c>
      <c r="I20" s="18">
        <f>IF(B20="","",SUMIFS(Gifts!$N$6:$N$1005,Gifts!$F$6:$F$1005,B20))</f>
        <v/>
      </c>
      <c r="J20" s="18">
        <f>IF(OR(B20="",NOT(ISNUMBER(E20))),"",MAX(0,E20-TODAY()))</f>
        <v/>
      </c>
      <c r="K20" s="29">
        <f>IF(B20="","",IF(AND(N(C20)&gt;0,F20&gt;=N(C20)),"Reached",IF(AND(ISNUMBER(E20),E20&lt;TODAY()),"Ended",IF(AND(ISNUMBER(D20),D20&gt;TODAY()),"Not started","Running"))))</f>
        <v/>
      </c>
      <c r="L20" s="1" t="n"/>
    </row>
    <row r="21">
      <c r="A21" s="1" t="n"/>
      <c r="B21" s="22" t="n"/>
      <c r="C21" s="23" t="n"/>
      <c r="D21" s="21" t="n"/>
      <c r="E21" s="21" t="n"/>
      <c r="F21" s="27">
        <f>IF(B21="","",SUMIFS(Gifts!$D$6:$D$1005,Gifts!$F$6:$F$1005,B21,Gifts!$D$6:$D$1005,"&gt;0",Gifts!$M$6:$M$1005,"&gt;0"))</f>
        <v/>
      </c>
      <c r="G21" s="13">
        <f>IF(OR(B21="",N(C21)&lt;=0),"",F21/C21)</f>
        <v/>
      </c>
      <c r="H21" s="30">
        <f>IF(G21="","",REPT("█",MIN(12,MAX(0,ROUND((G21)*12,0))))&amp;REPT("░",12-MIN(12,MAX(0,ROUND((G21)*12,0)))))</f>
        <v/>
      </c>
      <c r="I21" s="18">
        <f>IF(B21="","",SUMIFS(Gifts!$N$6:$N$1005,Gifts!$F$6:$F$1005,B21))</f>
        <v/>
      </c>
      <c r="J21" s="18">
        <f>IF(OR(B21="",NOT(ISNUMBER(E21))),"",MAX(0,E21-TODAY()))</f>
        <v/>
      </c>
      <c r="K21" s="29">
        <f>IF(B21="","",IF(AND(N(C21)&gt;0,F21&gt;=N(C21)),"Reached",IF(AND(ISNUMBER(E21),E21&lt;TODAY()),"Ended",IF(AND(ISNUMBER(D21),D21&gt;TODAY()),"Not started","Running"))))</f>
        <v/>
      </c>
      <c r="L21" s="1" t="n"/>
    </row>
    <row r="22">
      <c r="A22" s="1" t="n"/>
      <c r="B22" s="22" t="n"/>
      <c r="C22" s="23" t="n"/>
      <c r="D22" s="21" t="n"/>
      <c r="E22" s="21" t="n"/>
      <c r="F22" s="27">
        <f>IF(B22="","",SUMIFS(Gifts!$D$6:$D$1005,Gifts!$F$6:$F$1005,B22,Gifts!$D$6:$D$1005,"&gt;0",Gifts!$M$6:$M$1005,"&gt;0"))</f>
        <v/>
      </c>
      <c r="G22" s="13">
        <f>IF(OR(B22="",N(C22)&lt;=0),"",F22/C22)</f>
        <v/>
      </c>
      <c r="H22" s="30">
        <f>IF(G22="","",REPT("█",MIN(12,MAX(0,ROUND((G22)*12,0))))&amp;REPT("░",12-MIN(12,MAX(0,ROUND((G22)*12,0)))))</f>
        <v/>
      </c>
      <c r="I22" s="18">
        <f>IF(B22="","",SUMIFS(Gifts!$N$6:$N$1005,Gifts!$F$6:$F$1005,B22))</f>
        <v/>
      </c>
      <c r="J22" s="18">
        <f>IF(OR(B22="",NOT(ISNUMBER(E22))),"",MAX(0,E22-TODAY()))</f>
        <v/>
      </c>
      <c r="K22" s="29">
        <f>IF(B22="","",IF(AND(N(C22)&gt;0,F22&gt;=N(C22)),"Reached",IF(AND(ISNUMBER(E22),E22&lt;TODAY()),"Ended",IF(AND(ISNUMBER(D22),D22&gt;TODAY()),"Not started","Running"))))</f>
        <v/>
      </c>
      <c r="L22" s="1" t="n"/>
    </row>
    <row r="23">
      <c r="A23" s="1" t="n"/>
      <c r="B23" s="22" t="n"/>
      <c r="C23" s="23" t="n"/>
      <c r="D23" s="21" t="n"/>
      <c r="E23" s="21" t="n"/>
      <c r="F23" s="27">
        <f>IF(B23="","",SUMIFS(Gifts!$D$6:$D$1005,Gifts!$F$6:$F$1005,B23,Gifts!$D$6:$D$1005,"&gt;0",Gifts!$M$6:$M$1005,"&gt;0"))</f>
        <v/>
      </c>
      <c r="G23" s="13">
        <f>IF(OR(B23="",N(C23)&lt;=0),"",F23/C23)</f>
        <v/>
      </c>
      <c r="H23" s="30">
        <f>IF(G23="","",REPT("█",MIN(12,MAX(0,ROUND((G23)*12,0))))&amp;REPT("░",12-MIN(12,MAX(0,ROUND((G23)*12,0)))))</f>
        <v/>
      </c>
      <c r="I23" s="18">
        <f>IF(B23="","",SUMIFS(Gifts!$N$6:$N$1005,Gifts!$F$6:$F$1005,B23))</f>
        <v/>
      </c>
      <c r="J23" s="18">
        <f>IF(OR(B23="",NOT(ISNUMBER(E23))),"",MAX(0,E23-TODAY()))</f>
        <v/>
      </c>
      <c r="K23" s="29">
        <f>IF(B23="","",IF(AND(N(C23)&gt;0,F23&gt;=N(C23)),"Reached",IF(AND(ISNUMBER(E23),E23&lt;TODAY()),"Ended",IF(AND(ISNUMBER(D23),D23&gt;TODAY()),"Not started","Running"))))</f>
        <v/>
      </c>
      <c r="L23" s="1" t="n"/>
    </row>
    <row r="24">
      <c r="A24" s="1" t="n"/>
      <c r="B24" s="22" t="n"/>
      <c r="C24" s="23" t="n"/>
      <c r="D24" s="21" t="n"/>
      <c r="E24" s="21" t="n"/>
      <c r="F24" s="27">
        <f>IF(B24="","",SUMIFS(Gifts!$D$6:$D$1005,Gifts!$F$6:$F$1005,B24,Gifts!$D$6:$D$1005,"&gt;0",Gifts!$M$6:$M$1005,"&gt;0"))</f>
        <v/>
      </c>
      <c r="G24" s="13">
        <f>IF(OR(B24="",N(C24)&lt;=0),"",F24/C24)</f>
        <v/>
      </c>
      <c r="H24" s="30">
        <f>IF(G24="","",REPT("█",MIN(12,MAX(0,ROUND((G24)*12,0))))&amp;REPT("░",12-MIN(12,MAX(0,ROUND((G24)*12,0)))))</f>
        <v/>
      </c>
      <c r="I24" s="18">
        <f>IF(B24="","",SUMIFS(Gifts!$N$6:$N$1005,Gifts!$F$6:$F$1005,B24))</f>
        <v/>
      </c>
      <c r="J24" s="18">
        <f>IF(OR(B24="",NOT(ISNUMBER(E24))),"",MAX(0,E24-TODAY()))</f>
        <v/>
      </c>
      <c r="K24" s="29">
        <f>IF(B24="","",IF(AND(N(C24)&gt;0,F24&gt;=N(C24)),"Reached",IF(AND(ISNUMBER(E24),E24&lt;TODAY()),"Ended",IF(AND(ISNUMBER(D24),D24&gt;TODAY()),"Not started","Running"))))</f>
        <v/>
      </c>
      <c r="L24" s="1" t="n"/>
    </row>
    <row r="25">
      <c r="A25" s="1" t="n"/>
      <c r="B25" s="22" t="n"/>
      <c r="C25" s="23" t="n"/>
      <c r="D25" s="21" t="n"/>
      <c r="E25" s="21" t="n"/>
      <c r="F25" s="27">
        <f>IF(B25="","",SUMIFS(Gifts!$D$6:$D$1005,Gifts!$F$6:$F$1005,B25,Gifts!$D$6:$D$1005,"&gt;0",Gifts!$M$6:$M$1005,"&gt;0"))</f>
        <v/>
      </c>
      <c r="G25" s="13">
        <f>IF(OR(B25="",N(C25)&lt;=0),"",F25/C25)</f>
        <v/>
      </c>
      <c r="H25" s="30">
        <f>IF(G25="","",REPT("█",MIN(12,MAX(0,ROUND((G25)*12,0))))&amp;REPT("░",12-MIN(12,MAX(0,ROUND((G25)*12,0)))))</f>
        <v/>
      </c>
      <c r="I25" s="18">
        <f>IF(B25="","",SUMIFS(Gifts!$N$6:$N$1005,Gifts!$F$6:$F$1005,B25))</f>
        <v/>
      </c>
      <c r="J25" s="18">
        <f>IF(OR(B25="",NOT(ISNUMBER(E25))),"",MAX(0,E25-TODAY()))</f>
        <v/>
      </c>
      <c r="K25" s="29">
        <f>IF(B25="","",IF(AND(N(C25)&gt;0,F25&gt;=N(C25)),"Reached",IF(AND(ISNUMBER(E25),E25&lt;TODAY()),"Ended",IF(AND(ISNUMBER(D25),D25&gt;TODAY()),"Not started","Running"))))</f>
        <v/>
      </c>
      <c r="L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</row>
  </sheetData>
  <conditionalFormatting sqref="K6:K25">
    <cfRule type="expression" priority="1" dxfId="0">
      <formula>K6="Reached"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4" customWidth="1" min="4" max="4"/>
    <col width="20" customWidth="1" min="5" max="5"/>
    <col width="28" customWidth="1" min="6" max="6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31">
        <f>IF(Settings!$C$4="","",Settings!$C$4)</f>
        <v/>
      </c>
      <c r="C2" s="1" t="n"/>
      <c r="D2" s="1" t="n"/>
      <c r="E2" s="1" t="n"/>
      <c r="F2" s="1" t="n"/>
      <c r="G2" s="1" t="n"/>
    </row>
    <row r="3">
      <c r="A3" s="1" t="n"/>
      <c r="B3" s="32">
        <f>IF(Settings!$C$5="","",Settings!$C$5)</f>
        <v/>
      </c>
      <c r="C3" s="1" t="n"/>
      <c r="D3" s="1" t="n"/>
      <c r="E3" s="1" t="n"/>
      <c r="F3" s="1" t="n"/>
      <c r="G3" s="1" t="n"/>
    </row>
    <row r="4">
      <c r="A4" s="1" t="n"/>
      <c r="B4" s="33" t="inlineStr">
        <is>
          <t>Donor</t>
        </is>
      </c>
      <c r="C4" s="22" t="inlineStr">
        <is>
          <t>Grace Holloway</t>
        </is>
      </c>
      <c r="D4" s="34" t="n"/>
      <c r="E4" s="35" t="n"/>
      <c r="F4" s="1" t="n"/>
      <c r="G4" s="1" t="n"/>
    </row>
    <row r="5">
      <c r="A5" s="1" t="n"/>
      <c r="B5" s="33" t="inlineStr">
        <is>
          <t>Year</t>
        </is>
      </c>
      <c r="C5" s="36">
        <f>Settings!$C$7</f>
        <v/>
      </c>
      <c r="D5" s="1" t="n"/>
      <c r="E5" s="1" t="n"/>
      <c r="F5" s="1" t="n"/>
      <c r="G5" s="1" t="n"/>
    </row>
    <row r="6">
      <c r="A6" s="1" t="n"/>
      <c r="B6" s="1" t="n"/>
      <c r="C6" s="1" t="n"/>
      <c r="D6" s="1" t="n"/>
      <c r="E6" s="1" t="n"/>
      <c r="F6" s="1" t="n"/>
      <c r="G6" s="1" t="n"/>
    </row>
    <row r="7">
      <c r="A7" s="1" t="n"/>
      <c r="B7" s="37">
        <f>IF(C4="","","Statement of gifts for "&amp;C5)</f>
        <v/>
      </c>
      <c r="C7" s="1" t="n"/>
      <c r="D7" s="1" t="n"/>
      <c r="E7" s="1" t="n"/>
      <c r="F7" s="1" t="n"/>
      <c r="G7" s="1" t="n"/>
    </row>
    <row r="8">
      <c r="A8" s="1" t="n"/>
      <c r="B8" s="38">
        <f>IF(C4="","",C4&amp;IFERROR(IF(INDEX(Donors!$E$6:$E$305,MATCH(C4,Donors!$B$6:$B$305,0))="","",", "&amp;INDEX(Donors!$E$6:$E$305,MATCH(C4,Donors!$B$6:$B$305,0))),""))</f>
        <v/>
      </c>
      <c r="C8" s="1" t="n"/>
      <c r="D8" s="1" t="n"/>
      <c r="E8" s="1" t="n"/>
      <c r="F8" s="1" t="n"/>
      <c r="G8" s="1" t="n"/>
    </row>
    <row r="9">
      <c r="A9" s="1" t="n"/>
      <c r="B9" s="39">
        <f>"Issued on "&amp;DAY(TODAY())&amp;" "&amp;CHOOSE(MONTH(TODAY()),"Jan","Feb","Mar","Apr","May","Jun","Jul","Aug","Sep","Oct","Nov","Dec")&amp;" "&amp;YEAR(TODAY())</f>
        <v/>
      </c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 ht="30" customHeight="1">
      <c r="A11" s="1" t="n"/>
      <c r="B11" s="10" t="inlineStr">
        <is>
          <t>Date</t>
        </is>
      </c>
      <c r="C11" s="10" t="inlineStr">
        <is>
          <t>Amount</t>
        </is>
      </c>
      <c r="D11" s="10" t="inlineStr">
        <is>
          <t>How</t>
        </is>
      </c>
      <c r="E11" s="10" t="inlineStr">
        <is>
          <t>Campaign</t>
        </is>
      </c>
      <c r="F11" s="10" t="inlineStr">
        <is>
          <t>Goods given</t>
        </is>
      </c>
      <c r="G11" s="1" t="n"/>
    </row>
    <row r="12">
      <c r="A12" s="1" t="n"/>
      <c r="B12" s="26">
        <f>IF(H12="","",INDEX(Gifts!$B$1:$B$1005,MOD(H12,10000)))</f>
        <v/>
      </c>
      <c r="C12" s="28">
        <f>IF(H12="","",IF(N(INDEX(Gifts!$D$1:$D$1005,MOD(H12,10000)))=0,"",INDEX(Gifts!$D$1:$D$1005,MOD(H12,10000))))</f>
        <v/>
      </c>
      <c r="D12" s="17">
        <f>IF(H12="","",IF(INDEX(Gifts!$E$1:$E$1005,MOD(H12,10000))="","",INDEX(Gifts!$E$1:$E$1005,MOD(H12,10000))))</f>
        <v/>
      </c>
      <c r="E12" s="40">
        <f>IF(H12="","",IF(INDEX(Gifts!$F$1:$F$1005,MOD(H12,10000))="","",INDEX(Gifts!$F$1:$F$1005,MOD(H12,10000))))</f>
        <v/>
      </c>
      <c r="F12" s="40">
        <f>IF(H12="","",IF(INDEX(Gifts!$G$1:$G$1005,MOD(H12,10000))="","",INDEX(Gifts!$G$1:$G$1005,MOD(H12,10000))))</f>
        <v/>
      </c>
      <c r="G12" s="1" t="n"/>
      <c r="H12">
        <f>IFERROR(SMALL(Gifts!$P$6:$P$1005,1),"")</f>
        <v/>
      </c>
    </row>
    <row r="13">
      <c r="A13" s="1" t="n"/>
      <c r="B13" s="26">
        <f>IF(H13="","",INDEX(Gifts!$B$1:$B$1005,MOD(H13,10000)))</f>
        <v/>
      </c>
      <c r="C13" s="28">
        <f>IF(H13="","",IF(N(INDEX(Gifts!$D$1:$D$1005,MOD(H13,10000)))=0,"",INDEX(Gifts!$D$1:$D$1005,MOD(H13,10000))))</f>
        <v/>
      </c>
      <c r="D13" s="17">
        <f>IF(H13="","",IF(INDEX(Gifts!$E$1:$E$1005,MOD(H13,10000))="","",INDEX(Gifts!$E$1:$E$1005,MOD(H13,10000))))</f>
        <v/>
      </c>
      <c r="E13" s="40">
        <f>IF(H13="","",IF(INDEX(Gifts!$F$1:$F$1005,MOD(H13,10000))="","",INDEX(Gifts!$F$1:$F$1005,MOD(H13,10000))))</f>
        <v/>
      </c>
      <c r="F13" s="40">
        <f>IF(H13="","",IF(INDEX(Gifts!$G$1:$G$1005,MOD(H13,10000))="","",INDEX(Gifts!$G$1:$G$1005,MOD(H13,10000))))</f>
        <v/>
      </c>
      <c r="G13" s="1" t="n"/>
      <c r="H13">
        <f>IFERROR(SMALL(Gifts!$P$6:$P$1005,2),"")</f>
        <v/>
      </c>
    </row>
    <row r="14">
      <c r="A14" s="1" t="n"/>
      <c r="B14" s="26">
        <f>IF(H14="","",INDEX(Gifts!$B$1:$B$1005,MOD(H14,10000)))</f>
        <v/>
      </c>
      <c r="C14" s="28">
        <f>IF(H14="","",IF(N(INDEX(Gifts!$D$1:$D$1005,MOD(H14,10000)))=0,"",INDEX(Gifts!$D$1:$D$1005,MOD(H14,10000))))</f>
        <v/>
      </c>
      <c r="D14" s="17">
        <f>IF(H14="","",IF(INDEX(Gifts!$E$1:$E$1005,MOD(H14,10000))="","",INDEX(Gifts!$E$1:$E$1005,MOD(H14,10000))))</f>
        <v/>
      </c>
      <c r="E14" s="40">
        <f>IF(H14="","",IF(INDEX(Gifts!$F$1:$F$1005,MOD(H14,10000))="","",INDEX(Gifts!$F$1:$F$1005,MOD(H14,10000))))</f>
        <v/>
      </c>
      <c r="F14" s="40">
        <f>IF(H14="","",IF(INDEX(Gifts!$G$1:$G$1005,MOD(H14,10000))="","",INDEX(Gifts!$G$1:$G$1005,MOD(H14,10000))))</f>
        <v/>
      </c>
      <c r="G14" s="1" t="n"/>
      <c r="H14">
        <f>IFERROR(SMALL(Gifts!$P$6:$P$1005,3),"")</f>
        <v/>
      </c>
    </row>
    <row r="15">
      <c r="A15" s="1" t="n"/>
      <c r="B15" s="26">
        <f>IF(H15="","",INDEX(Gifts!$B$1:$B$1005,MOD(H15,10000)))</f>
        <v/>
      </c>
      <c r="C15" s="28">
        <f>IF(H15="","",IF(N(INDEX(Gifts!$D$1:$D$1005,MOD(H15,10000)))=0,"",INDEX(Gifts!$D$1:$D$1005,MOD(H15,10000))))</f>
        <v/>
      </c>
      <c r="D15" s="17">
        <f>IF(H15="","",IF(INDEX(Gifts!$E$1:$E$1005,MOD(H15,10000))="","",INDEX(Gifts!$E$1:$E$1005,MOD(H15,10000))))</f>
        <v/>
      </c>
      <c r="E15" s="40">
        <f>IF(H15="","",IF(INDEX(Gifts!$F$1:$F$1005,MOD(H15,10000))="","",INDEX(Gifts!$F$1:$F$1005,MOD(H15,10000))))</f>
        <v/>
      </c>
      <c r="F15" s="40">
        <f>IF(H15="","",IF(INDEX(Gifts!$G$1:$G$1005,MOD(H15,10000))="","",INDEX(Gifts!$G$1:$G$1005,MOD(H15,10000))))</f>
        <v/>
      </c>
      <c r="G15" s="1" t="n"/>
      <c r="H15">
        <f>IFERROR(SMALL(Gifts!$P$6:$P$1005,4),"")</f>
        <v/>
      </c>
    </row>
    <row r="16">
      <c r="A16" s="1" t="n"/>
      <c r="B16" s="26">
        <f>IF(H16="","",INDEX(Gifts!$B$1:$B$1005,MOD(H16,10000)))</f>
        <v/>
      </c>
      <c r="C16" s="28">
        <f>IF(H16="","",IF(N(INDEX(Gifts!$D$1:$D$1005,MOD(H16,10000)))=0,"",INDEX(Gifts!$D$1:$D$1005,MOD(H16,10000))))</f>
        <v/>
      </c>
      <c r="D16" s="17">
        <f>IF(H16="","",IF(INDEX(Gifts!$E$1:$E$1005,MOD(H16,10000))="","",INDEX(Gifts!$E$1:$E$1005,MOD(H16,10000))))</f>
        <v/>
      </c>
      <c r="E16" s="40">
        <f>IF(H16="","",IF(INDEX(Gifts!$F$1:$F$1005,MOD(H16,10000))="","",INDEX(Gifts!$F$1:$F$1005,MOD(H16,10000))))</f>
        <v/>
      </c>
      <c r="F16" s="40">
        <f>IF(H16="","",IF(INDEX(Gifts!$G$1:$G$1005,MOD(H16,10000))="","",INDEX(Gifts!$G$1:$G$1005,MOD(H16,10000))))</f>
        <v/>
      </c>
      <c r="G16" s="1" t="n"/>
      <c r="H16">
        <f>IFERROR(SMALL(Gifts!$P$6:$P$1005,5),"")</f>
        <v/>
      </c>
    </row>
    <row r="17">
      <c r="A17" s="1" t="n"/>
      <c r="B17" s="26">
        <f>IF(H17="","",INDEX(Gifts!$B$1:$B$1005,MOD(H17,10000)))</f>
        <v/>
      </c>
      <c r="C17" s="28">
        <f>IF(H17="","",IF(N(INDEX(Gifts!$D$1:$D$1005,MOD(H17,10000)))=0,"",INDEX(Gifts!$D$1:$D$1005,MOD(H17,10000))))</f>
        <v/>
      </c>
      <c r="D17" s="17">
        <f>IF(H17="","",IF(INDEX(Gifts!$E$1:$E$1005,MOD(H17,10000))="","",INDEX(Gifts!$E$1:$E$1005,MOD(H17,10000))))</f>
        <v/>
      </c>
      <c r="E17" s="40">
        <f>IF(H17="","",IF(INDEX(Gifts!$F$1:$F$1005,MOD(H17,10000))="","",INDEX(Gifts!$F$1:$F$1005,MOD(H17,10000))))</f>
        <v/>
      </c>
      <c r="F17" s="40">
        <f>IF(H17="","",IF(INDEX(Gifts!$G$1:$G$1005,MOD(H17,10000))="","",INDEX(Gifts!$G$1:$G$1005,MOD(H17,10000))))</f>
        <v/>
      </c>
      <c r="G17" s="1" t="n"/>
      <c r="H17">
        <f>IFERROR(SMALL(Gifts!$P$6:$P$1005,6),"")</f>
        <v/>
      </c>
    </row>
    <row r="18">
      <c r="A18" s="1" t="n"/>
      <c r="B18" s="26">
        <f>IF(H18="","",INDEX(Gifts!$B$1:$B$1005,MOD(H18,10000)))</f>
        <v/>
      </c>
      <c r="C18" s="28">
        <f>IF(H18="","",IF(N(INDEX(Gifts!$D$1:$D$1005,MOD(H18,10000)))=0,"",INDEX(Gifts!$D$1:$D$1005,MOD(H18,10000))))</f>
        <v/>
      </c>
      <c r="D18" s="17">
        <f>IF(H18="","",IF(INDEX(Gifts!$E$1:$E$1005,MOD(H18,10000))="","",INDEX(Gifts!$E$1:$E$1005,MOD(H18,10000))))</f>
        <v/>
      </c>
      <c r="E18" s="40">
        <f>IF(H18="","",IF(INDEX(Gifts!$F$1:$F$1005,MOD(H18,10000))="","",INDEX(Gifts!$F$1:$F$1005,MOD(H18,10000))))</f>
        <v/>
      </c>
      <c r="F18" s="40">
        <f>IF(H18="","",IF(INDEX(Gifts!$G$1:$G$1005,MOD(H18,10000))="","",INDEX(Gifts!$G$1:$G$1005,MOD(H18,10000))))</f>
        <v/>
      </c>
      <c r="G18" s="1" t="n"/>
      <c r="H18">
        <f>IFERROR(SMALL(Gifts!$P$6:$P$1005,7),"")</f>
        <v/>
      </c>
    </row>
    <row r="19">
      <c r="A19" s="1" t="n"/>
      <c r="B19" s="26">
        <f>IF(H19="","",INDEX(Gifts!$B$1:$B$1005,MOD(H19,10000)))</f>
        <v/>
      </c>
      <c r="C19" s="28">
        <f>IF(H19="","",IF(N(INDEX(Gifts!$D$1:$D$1005,MOD(H19,10000)))=0,"",INDEX(Gifts!$D$1:$D$1005,MOD(H19,10000))))</f>
        <v/>
      </c>
      <c r="D19" s="17">
        <f>IF(H19="","",IF(INDEX(Gifts!$E$1:$E$1005,MOD(H19,10000))="","",INDEX(Gifts!$E$1:$E$1005,MOD(H19,10000))))</f>
        <v/>
      </c>
      <c r="E19" s="40">
        <f>IF(H19="","",IF(INDEX(Gifts!$F$1:$F$1005,MOD(H19,10000))="","",INDEX(Gifts!$F$1:$F$1005,MOD(H19,10000))))</f>
        <v/>
      </c>
      <c r="F19" s="40">
        <f>IF(H19="","",IF(INDEX(Gifts!$G$1:$G$1005,MOD(H19,10000))="","",INDEX(Gifts!$G$1:$G$1005,MOD(H19,10000))))</f>
        <v/>
      </c>
      <c r="G19" s="1" t="n"/>
      <c r="H19">
        <f>IFERROR(SMALL(Gifts!$P$6:$P$1005,8),"")</f>
        <v/>
      </c>
    </row>
    <row r="20">
      <c r="A20" s="1" t="n"/>
      <c r="B20" s="26">
        <f>IF(H20="","",INDEX(Gifts!$B$1:$B$1005,MOD(H20,10000)))</f>
        <v/>
      </c>
      <c r="C20" s="28">
        <f>IF(H20="","",IF(N(INDEX(Gifts!$D$1:$D$1005,MOD(H20,10000)))=0,"",INDEX(Gifts!$D$1:$D$1005,MOD(H20,10000))))</f>
        <v/>
      </c>
      <c r="D20" s="17">
        <f>IF(H20="","",IF(INDEX(Gifts!$E$1:$E$1005,MOD(H20,10000))="","",INDEX(Gifts!$E$1:$E$1005,MOD(H20,10000))))</f>
        <v/>
      </c>
      <c r="E20" s="40">
        <f>IF(H20="","",IF(INDEX(Gifts!$F$1:$F$1005,MOD(H20,10000))="","",INDEX(Gifts!$F$1:$F$1005,MOD(H20,10000))))</f>
        <v/>
      </c>
      <c r="F20" s="40">
        <f>IF(H20="","",IF(INDEX(Gifts!$G$1:$G$1005,MOD(H20,10000))="","",INDEX(Gifts!$G$1:$G$1005,MOD(H20,10000))))</f>
        <v/>
      </c>
      <c r="G20" s="1" t="n"/>
      <c r="H20">
        <f>IFERROR(SMALL(Gifts!$P$6:$P$1005,9),"")</f>
        <v/>
      </c>
    </row>
    <row r="21">
      <c r="A21" s="1" t="n"/>
      <c r="B21" s="26">
        <f>IF(H21="","",INDEX(Gifts!$B$1:$B$1005,MOD(H21,10000)))</f>
        <v/>
      </c>
      <c r="C21" s="28">
        <f>IF(H21="","",IF(N(INDEX(Gifts!$D$1:$D$1005,MOD(H21,10000)))=0,"",INDEX(Gifts!$D$1:$D$1005,MOD(H21,10000))))</f>
        <v/>
      </c>
      <c r="D21" s="17">
        <f>IF(H21="","",IF(INDEX(Gifts!$E$1:$E$1005,MOD(H21,10000))="","",INDEX(Gifts!$E$1:$E$1005,MOD(H21,10000))))</f>
        <v/>
      </c>
      <c r="E21" s="40">
        <f>IF(H21="","",IF(INDEX(Gifts!$F$1:$F$1005,MOD(H21,10000))="","",INDEX(Gifts!$F$1:$F$1005,MOD(H21,10000))))</f>
        <v/>
      </c>
      <c r="F21" s="40">
        <f>IF(H21="","",IF(INDEX(Gifts!$G$1:$G$1005,MOD(H21,10000))="","",INDEX(Gifts!$G$1:$G$1005,MOD(H21,10000))))</f>
        <v/>
      </c>
      <c r="G21" s="1" t="n"/>
      <c r="H21">
        <f>IFERROR(SMALL(Gifts!$P$6:$P$1005,10),"")</f>
        <v/>
      </c>
    </row>
    <row r="22">
      <c r="A22" s="1" t="n"/>
      <c r="B22" s="26">
        <f>IF(H22="","",INDEX(Gifts!$B$1:$B$1005,MOD(H22,10000)))</f>
        <v/>
      </c>
      <c r="C22" s="28">
        <f>IF(H22="","",IF(N(INDEX(Gifts!$D$1:$D$1005,MOD(H22,10000)))=0,"",INDEX(Gifts!$D$1:$D$1005,MOD(H22,10000))))</f>
        <v/>
      </c>
      <c r="D22" s="17">
        <f>IF(H22="","",IF(INDEX(Gifts!$E$1:$E$1005,MOD(H22,10000))="","",INDEX(Gifts!$E$1:$E$1005,MOD(H22,10000))))</f>
        <v/>
      </c>
      <c r="E22" s="40">
        <f>IF(H22="","",IF(INDEX(Gifts!$F$1:$F$1005,MOD(H22,10000))="","",INDEX(Gifts!$F$1:$F$1005,MOD(H22,10000))))</f>
        <v/>
      </c>
      <c r="F22" s="40">
        <f>IF(H22="","",IF(INDEX(Gifts!$G$1:$G$1005,MOD(H22,10000))="","",INDEX(Gifts!$G$1:$G$1005,MOD(H22,10000))))</f>
        <v/>
      </c>
      <c r="G22" s="1" t="n"/>
      <c r="H22">
        <f>IFERROR(SMALL(Gifts!$P$6:$P$1005,11),"")</f>
        <v/>
      </c>
    </row>
    <row r="23">
      <c r="A23" s="1" t="n"/>
      <c r="B23" s="26">
        <f>IF(H23="","",INDEX(Gifts!$B$1:$B$1005,MOD(H23,10000)))</f>
        <v/>
      </c>
      <c r="C23" s="28">
        <f>IF(H23="","",IF(N(INDEX(Gifts!$D$1:$D$1005,MOD(H23,10000)))=0,"",INDEX(Gifts!$D$1:$D$1005,MOD(H23,10000))))</f>
        <v/>
      </c>
      <c r="D23" s="17">
        <f>IF(H23="","",IF(INDEX(Gifts!$E$1:$E$1005,MOD(H23,10000))="","",INDEX(Gifts!$E$1:$E$1005,MOD(H23,10000))))</f>
        <v/>
      </c>
      <c r="E23" s="40">
        <f>IF(H23="","",IF(INDEX(Gifts!$F$1:$F$1005,MOD(H23,10000))="","",INDEX(Gifts!$F$1:$F$1005,MOD(H23,10000))))</f>
        <v/>
      </c>
      <c r="F23" s="40">
        <f>IF(H23="","",IF(INDEX(Gifts!$G$1:$G$1005,MOD(H23,10000))="","",INDEX(Gifts!$G$1:$G$1005,MOD(H23,10000))))</f>
        <v/>
      </c>
      <c r="G23" s="1" t="n"/>
      <c r="H23">
        <f>IFERROR(SMALL(Gifts!$P$6:$P$1005,12),"")</f>
        <v/>
      </c>
    </row>
    <row r="24">
      <c r="A24" s="1" t="n"/>
      <c r="B24" s="26">
        <f>IF(H24="","",INDEX(Gifts!$B$1:$B$1005,MOD(H24,10000)))</f>
        <v/>
      </c>
      <c r="C24" s="28">
        <f>IF(H24="","",IF(N(INDEX(Gifts!$D$1:$D$1005,MOD(H24,10000)))=0,"",INDEX(Gifts!$D$1:$D$1005,MOD(H24,10000))))</f>
        <v/>
      </c>
      <c r="D24" s="17">
        <f>IF(H24="","",IF(INDEX(Gifts!$E$1:$E$1005,MOD(H24,10000))="","",INDEX(Gifts!$E$1:$E$1005,MOD(H24,10000))))</f>
        <v/>
      </c>
      <c r="E24" s="40">
        <f>IF(H24="","",IF(INDEX(Gifts!$F$1:$F$1005,MOD(H24,10000))="","",INDEX(Gifts!$F$1:$F$1005,MOD(H24,10000))))</f>
        <v/>
      </c>
      <c r="F24" s="40">
        <f>IF(H24="","",IF(INDEX(Gifts!$G$1:$G$1005,MOD(H24,10000))="","",INDEX(Gifts!$G$1:$G$1005,MOD(H24,10000))))</f>
        <v/>
      </c>
      <c r="G24" s="1" t="n"/>
      <c r="H24">
        <f>IFERROR(SMALL(Gifts!$P$6:$P$1005,13),"")</f>
        <v/>
      </c>
    </row>
    <row r="25">
      <c r="A25" s="1" t="n"/>
      <c r="B25" s="26">
        <f>IF(H25="","",INDEX(Gifts!$B$1:$B$1005,MOD(H25,10000)))</f>
        <v/>
      </c>
      <c r="C25" s="28">
        <f>IF(H25="","",IF(N(INDEX(Gifts!$D$1:$D$1005,MOD(H25,10000)))=0,"",INDEX(Gifts!$D$1:$D$1005,MOD(H25,10000))))</f>
        <v/>
      </c>
      <c r="D25" s="17">
        <f>IF(H25="","",IF(INDEX(Gifts!$E$1:$E$1005,MOD(H25,10000))="","",INDEX(Gifts!$E$1:$E$1005,MOD(H25,10000))))</f>
        <v/>
      </c>
      <c r="E25" s="40">
        <f>IF(H25="","",IF(INDEX(Gifts!$F$1:$F$1005,MOD(H25,10000))="","",INDEX(Gifts!$F$1:$F$1005,MOD(H25,10000))))</f>
        <v/>
      </c>
      <c r="F25" s="40">
        <f>IF(H25="","",IF(INDEX(Gifts!$G$1:$G$1005,MOD(H25,10000))="","",INDEX(Gifts!$G$1:$G$1005,MOD(H25,10000))))</f>
        <v/>
      </c>
      <c r="G25" s="1" t="n"/>
      <c r="H25">
        <f>IFERROR(SMALL(Gifts!$P$6:$P$1005,14),"")</f>
        <v/>
      </c>
    </row>
    <row r="26">
      <c r="A26" s="1" t="n"/>
      <c r="B26" s="26">
        <f>IF(H26="","",INDEX(Gifts!$B$1:$B$1005,MOD(H26,10000)))</f>
        <v/>
      </c>
      <c r="C26" s="28">
        <f>IF(H26="","",IF(N(INDEX(Gifts!$D$1:$D$1005,MOD(H26,10000)))=0,"",INDEX(Gifts!$D$1:$D$1005,MOD(H26,10000))))</f>
        <v/>
      </c>
      <c r="D26" s="17">
        <f>IF(H26="","",IF(INDEX(Gifts!$E$1:$E$1005,MOD(H26,10000))="","",INDEX(Gifts!$E$1:$E$1005,MOD(H26,10000))))</f>
        <v/>
      </c>
      <c r="E26" s="40">
        <f>IF(H26="","",IF(INDEX(Gifts!$F$1:$F$1005,MOD(H26,10000))="","",INDEX(Gifts!$F$1:$F$1005,MOD(H26,10000))))</f>
        <v/>
      </c>
      <c r="F26" s="40">
        <f>IF(H26="","",IF(INDEX(Gifts!$G$1:$G$1005,MOD(H26,10000))="","",INDEX(Gifts!$G$1:$G$1005,MOD(H26,10000))))</f>
        <v/>
      </c>
      <c r="G26" s="1" t="n"/>
      <c r="H26">
        <f>IFERROR(SMALL(Gifts!$P$6:$P$1005,15),"")</f>
        <v/>
      </c>
    </row>
    <row r="27">
      <c r="A27" s="1" t="n"/>
      <c r="B27" s="26">
        <f>IF(H27="","",INDEX(Gifts!$B$1:$B$1005,MOD(H27,10000)))</f>
        <v/>
      </c>
      <c r="C27" s="28">
        <f>IF(H27="","",IF(N(INDEX(Gifts!$D$1:$D$1005,MOD(H27,10000)))=0,"",INDEX(Gifts!$D$1:$D$1005,MOD(H27,10000))))</f>
        <v/>
      </c>
      <c r="D27" s="17">
        <f>IF(H27="","",IF(INDEX(Gifts!$E$1:$E$1005,MOD(H27,10000))="","",INDEX(Gifts!$E$1:$E$1005,MOD(H27,10000))))</f>
        <v/>
      </c>
      <c r="E27" s="40">
        <f>IF(H27="","",IF(INDEX(Gifts!$F$1:$F$1005,MOD(H27,10000))="","",INDEX(Gifts!$F$1:$F$1005,MOD(H27,10000))))</f>
        <v/>
      </c>
      <c r="F27" s="40">
        <f>IF(H27="","",IF(INDEX(Gifts!$G$1:$G$1005,MOD(H27,10000))="","",INDEX(Gifts!$G$1:$G$1005,MOD(H27,10000))))</f>
        <v/>
      </c>
      <c r="G27" s="1" t="n"/>
      <c r="H27">
        <f>IFERROR(SMALL(Gifts!$P$6:$P$1005,16),"")</f>
        <v/>
      </c>
    </row>
    <row r="28">
      <c r="A28" s="1" t="n"/>
      <c r="B28" s="26">
        <f>IF(H28="","",INDEX(Gifts!$B$1:$B$1005,MOD(H28,10000)))</f>
        <v/>
      </c>
      <c r="C28" s="28">
        <f>IF(H28="","",IF(N(INDEX(Gifts!$D$1:$D$1005,MOD(H28,10000)))=0,"",INDEX(Gifts!$D$1:$D$1005,MOD(H28,10000))))</f>
        <v/>
      </c>
      <c r="D28" s="17">
        <f>IF(H28="","",IF(INDEX(Gifts!$E$1:$E$1005,MOD(H28,10000))="","",INDEX(Gifts!$E$1:$E$1005,MOD(H28,10000))))</f>
        <v/>
      </c>
      <c r="E28" s="40">
        <f>IF(H28="","",IF(INDEX(Gifts!$F$1:$F$1005,MOD(H28,10000))="","",INDEX(Gifts!$F$1:$F$1005,MOD(H28,10000))))</f>
        <v/>
      </c>
      <c r="F28" s="40">
        <f>IF(H28="","",IF(INDEX(Gifts!$G$1:$G$1005,MOD(H28,10000))="","",INDEX(Gifts!$G$1:$G$1005,MOD(H28,10000))))</f>
        <v/>
      </c>
      <c r="G28" s="1" t="n"/>
      <c r="H28">
        <f>IFERROR(SMALL(Gifts!$P$6:$P$1005,17),"")</f>
        <v/>
      </c>
    </row>
    <row r="29">
      <c r="A29" s="1" t="n"/>
      <c r="B29" s="26">
        <f>IF(H29="","",INDEX(Gifts!$B$1:$B$1005,MOD(H29,10000)))</f>
        <v/>
      </c>
      <c r="C29" s="28">
        <f>IF(H29="","",IF(N(INDEX(Gifts!$D$1:$D$1005,MOD(H29,10000)))=0,"",INDEX(Gifts!$D$1:$D$1005,MOD(H29,10000))))</f>
        <v/>
      </c>
      <c r="D29" s="17">
        <f>IF(H29="","",IF(INDEX(Gifts!$E$1:$E$1005,MOD(H29,10000))="","",INDEX(Gifts!$E$1:$E$1005,MOD(H29,10000))))</f>
        <v/>
      </c>
      <c r="E29" s="40">
        <f>IF(H29="","",IF(INDEX(Gifts!$F$1:$F$1005,MOD(H29,10000))="","",INDEX(Gifts!$F$1:$F$1005,MOD(H29,10000))))</f>
        <v/>
      </c>
      <c r="F29" s="40">
        <f>IF(H29="","",IF(INDEX(Gifts!$G$1:$G$1005,MOD(H29,10000))="","",INDEX(Gifts!$G$1:$G$1005,MOD(H29,10000))))</f>
        <v/>
      </c>
      <c r="G29" s="1" t="n"/>
      <c r="H29">
        <f>IFERROR(SMALL(Gifts!$P$6:$P$1005,18),"")</f>
        <v/>
      </c>
    </row>
    <row r="30">
      <c r="A30" s="1" t="n"/>
      <c r="B30" s="26">
        <f>IF(H30="","",INDEX(Gifts!$B$1:$B$1005,MOD(H30,10000)))</f>
        <v/>
      </c>
      <c r="C30" s="28">
        <f>IF(H30="","",IF(N(INDEX(Gifts!$D$1:$D$1005,MOD(H30,10000)))=0,"",INDEX(Gifts!$D$1:$D$1005,MOD(H30,10000))))</f>
        <v/>
      </c>
      <c r="D30" s="17">
        <f>IF(H30="","",IF(INDEX(Gifts!$E$1:$E$1005,MOD(H30,10000))="","",INDEX(Gifts!$E$1:$E$1005,MOD(H30,10000))))</f>
        <v/>
      </c>
      <c r="E30" s="40">
        <f>IF(H30="","",IF(INDEX(Gifts!$F$1:$F$1005,MOD(H30,10000))="","",INDEX(Gifts!$F$1:$F$1005,MOD(H30,10000))))</f>
        <v/>
      </c>
      <c r="F30" s="40">
        <f>IF(H30="","",IF(INDEX(Gifts!$G$1:$G$1005,MOD(H30,10000))="","",INDEX(Gifts!$G$1:$G$1005,MOD(H30,10000))))</f>
        <v/>
      </c>
      <c r="G30" s="1" t="n"/>
      <c r="H30">
        <f>IFERROR(SMALL(Gifts!$P$6:$P$1005,19),"")</f>
        <v/>
      </c>
    </row>
    <row r="31">
      <c r="A31" s="1" t="n"/>
      <c r="B31" s="26">
        <f>IF(H31="","",INDEX(Gifts!$B$1:$B$1005,MOD(H31,10000)))</f>
        <v/>
      </c>
      <c r="C31" s="28">
        <f>IF(H31="","",IF(N(INDEX(Gifts!$D$1:$D$1005,MOD(H31,10000)))=0,"",INDEX(Gifts!$D$1:$D$1005,MOD(H31,10000))))</f>
        <v/>
      </c>
      <c r="D31" s="17">
        <f>IF(H31="","",IF(INDEX(Gifts!$E$1:$E$1005,MOD(H31,10000))="","",INDEX(Gifts!$E$1:$E$1005,MOD(H31,10000))))</f>
        <v/>
      </c>
      <c r="E31" s="40">
        <f>IF(H31="","",IF(INDEX(Gifts!$F$1:$F$1005,MOD(H31,10000))="","",INDEX(Gifts!$F$1:$F$1005,MOD(H31,10000))))</f>
        <v/>
      </c>
      <c r="F31" s="40">
        <f>IF(H31="","",IF(INDEX(Gifts!$G$1:$G$1005,MOD(H31,10000))="","",INDEX(Gifts!$G$1:$G$1005,MOD(H31,10000))))</f>
        <v/>
      </c>
      <c r="G31" s="1" t="n"/>
      <c r="H31">
        <f>IFERROR(SMALL(Gifts!$P$6:$P$1005,20),"")</f>
        <v/>
      </c>
    </row>
    <row r="32">
      <c r="A32" s="1" t="n"/>
      <c r="B32" s="26">
        <f>IF(H32="","",INDEX(Gifts!$B$1:$B$1005,MOD(H32,10000)))</f>
        <v/>
      </c>
      <c r="C32" s="28">
        <f>IF(H32="","",IF(N(INDEX(Gifts!$D$1:$D$1005,MOD(H32,10000)))=0,"",INDEX(Gifts!$D$1:$D$1005,MOD(H32,10000))))</f>
        <v/>
      </c>
      <c r="D32" s="17">
        <f>IF(H32="","",IF(INDEX(Gifts!$E$1:$E$1005,MOD(H32,10000))="","",INDEX(Gifts!$E$1:$E$1005,MOD(H32,10000))))</f>
        <v/>
      </c>
      <c r="E32" s="40">
        <f>IF(H32="","",IF(INDEX(Gifts!$F$1:$F$1005,MOD(H32,10000))="","",INDEX(Gifts!$F$1:$F$1005,MOD(H32,10000))))</f>
        <v/>
      </c>
      <c r="F32" s="40">
        <f>IF(H32="","",IF(INDEX(Gifts!$G$1:$G$1005,MOD(H32,10000))="","",INDEX(Gifts!$G$1:$G$1005,MOD(H32,10000))))</f>
        <v/>
      </c>
      <c r="G32" s="1" t="n"/>
      <c r="H32">
        <f>IFERROR(SMALL(Gifts!$P$6:$P$1005,21),"")</f>
        <v/>
      </c>
    </row>
    <row r="33">
      <c r="A33" s="1" t="n"/>
      <c r="B33" s="26">
        <f>IF(H33="","",INDEX(Gifts!$B$1:$B$1005,MOD(H33,10000)))</f>
        <v/>
      </c>
      <c r="C33" s="28">
        <f>IF(H33="","",IF(N(INDEX(Gifts!$D$1:$D$1005,MOD(H33,10000)))=0,"",INDEX(Gifts!$D$1:$D$1005,MOD(H33,10000))))</f>
        <v/>
      </c>
      <c r="D33" s="17">
        <f>IF(H33="","",IF(INDEX(Gifts!$E$1:$E$1005,MOD(H33,10000))="","",INDEX(Gifts!$E$1:$E$1005,MOD(H33,10000))))</f>
        <v/>
      </c>
      <c r="E33" s="40">
        <f>IF(H33="","",IF(INDEX(Gifts!$F$1:$F$1005,MOD(H33,10000))="","",INDEX(Gifts!$F$1:$F$1005,MOD(H33,10000))))</f>
        <v/>
      </c>
      <c r="F33" s="40">
        <f>IF(H33="","",IF(INDEX(Gifts!$G$1:$G$1005,MOD(H33,10000))="","",INDEX(Gifts!$G$1:$G$1005,MOD(H33,10000))))</f>
        <v/>
      </c>
      <c r="G33" s="1" t="n"/>
      <c r="H33">
        <f>IFERROR(SMALL(Gifts!$P$6:$P$1005,22),"")</f>
        <v/>
      </c>
    </row>
    <row r="34">
      <c r="A34" s="1" t="n"/>
      <c r="B34" s="26">
        <f>IF(H34="","",INDEX(Gifts!$B$1:$B$1005,MOD(H34,10000)))</f>
        <v/>
      </c>
      <c r="C34" s="28">
        <f>IF(H34="","",IF(N(INDEX(Gifts!$D$1:$D$1005,MOD(H34,10000)))=0,"",INDEX(Gifts!$D$1:$D$1005,MOD(H34,10000))))</f>
        <v/>
      </c>
      <c r="D34" s="17">
        <f>IF(H34="","",IF(INDEX(Gifts!$E$1:$E$1005,MOD(H34,10000))="","",INDEX(Gifts!$E$1:$E$1005,MOD(H34,10000))))</f>
        <v/>
      </c>
      <c r="E34" s="40">
        <f>IF(H34="","",IF(INDEX(Gifts!$F$1:$F$1005,MOD(H34,10000))="","",INDEX(Gifts!$F$1:$F$1005,MOD(H34,10000))))</f>
        <v/>
      </c>
      <c r="F34" s="40">
        <f>IF(H34="","",IF(INDEX(Gifts!$G$1:$G$1005,MOD(H34,10000))="","",INDEX(Gifts!$G$1:$G$1005,MOD(H34,10000))))</f>
        <v/>
      </c>
      <c r="G34" s="1" t="n"/>
      <c r="H34">
        <f>IFERROR(SMALL(Gifts!$P$6:$P$1005,23),"")</f>
        <v/>
      </c>
    </row>
    <row r="35">
      <c r="A35" s="1" t="n"/>
      <c r="B35" s="26">
        <f>IF(H35="","",INDEX(Gifts!$B$1:$B$1005,MOD(H35,10000)))</f>
        <v/>
      </c>
      <c r="C35" s="28">
        <f>IF(H35="","",IF(N(INDEX(Gifts!$D$1:$D$1005,MOD(H35,10000)))=0,"",INDEX(Gifts!$D$1:$D$1005,MOD(H35,10000))))</f>
        <v/>
      </c>
      <c r="D35" s="17">
        <f>IF(H35="","",IF(INDEX(Gifts!$E$1:$E$1005,MOD(H35,10000))="","",INDEX(Gifts!$E$1:$E$1005,MOD(H35,10000))))</f>
        <v/>
      </c>
      <c r="E35" s="40">
        <f>IF(H35="","",IF(INDEX(Gifts!$F$1:$F$1005,MOD(H35,10000))="","",INDEX(Gifts!$F$1:$F$1005,MOD(H35,10000))))</f>
        <v/>
      </c>
      <c r="F35" s="40">
        <f>IF(H35="","",IF(INDEX(Gifts!$G$1:$G$1005,MOD(H35,10000))="","",INDEX(Gifts!$G$1:$G$1005,MOD(H35,10000))))</f>
        <v/>
      </c>
      <c r="G35" s="1" t="n"/>
      <c r="H35">
        <f>IFERROR(SMALL(Gifts!$P$6:$P$1005,24),"")</f>
        <v/>
      </c>
    </row>
    <row r="36">
      <c r="A36" s="1" t="n"/>
      <c r="B36" s="39">
        <f>IF(COUNT(Gifts!$P$6:$P$1005)&gt;24,"And "&amp;(COUNT(Gifts!$P$6:$P$1005)-24)&amp;" more gifts, in the total","")</f>
        <v/>
      </c>
      <c r="C36" s="1" t="n"/>
      <c r="D36" s="1" t="n"/>
      <c r="E36" s="1" t="n"/>
      <c r="F36" s="1" t="n"/>
      <c r="G36" s="1" t="n"/>
    </row>
    <row r="37">
      <c r="A37" s="1" t="n"/>
      <c r="B37" s="41" t="inlineStr">
        <is>
          <t>Total</t>
        </is>
      </c>
      <c r="C37" s="42">
        <f>IF(C4="","",SUMIFS(Gifts!$D$6:$D$1005,Gifts!$C$6:$C$1005,C4,Gifts!$K$6:$K$1005,C5,Gifts!$D$6:$D$1005,"&gt;0"))</f>
        <v/>
      </c>
      <c r="D37" s="43">
        <f>IF(Settings!$C$8="","",Settings!$C$8)</f>
        <v/>
      </c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44">
        <f>IF(Settings!$C$6="","",Settings!$C$6)</f>
        <v/>
      </c>
      <c r="G39" s="1" t="n"/>
    </row>
    <row r="40">
      <c r="A40" s="1" t="n"/>
      <c r="G40" s="1" t="n"/>
    </row>
    <row r="41">
      <c r="A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</sheetData>
  <mergeCells count="2">
    <mergeCell ref="C4:E4"/>
    <mergeCell ref="B39:F41"/>
  </mergeCells>
  <dataValidations count="1">
    <dataValidation sqref="C4" showDropDown="0" showInputMessage="0" showErrorMessage="0" allowBlank="1" type="list">
      <formula1>=Donors!$B$6:$B$305</formula1>
    </dataValidation>
  </dataValidation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6" customWidth="1" min="4" max="4"/>
    <col width="12" customWidth="1" min="5" max="5"/>
    <col width="12" customWidth="1" min="6" max="6"/>
    <col width="13" customWidth="1" min="7" max="7"/>
    <col width="10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2" customHeight="1">
      <c r="A2" s="1" t="n"/>
      <c r="B2" s="2" t="inlineStr">
        <is>
          <t>Volunteers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Each volunteer once. Their hours add up from the Hours tab.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 ht="30" customHeight="1">
      <c r="A5" s="1" t="n"/>
      <c r="B5" s="10" t="inlineStr">
        <is>
          <t>Volunteer</t>
        </is>
      </c>
      <c r="C5" s="10" t="inlineStr">
        <is>
          <t>Phone or email</t>
        </is>
      </c>
      <c r="D5" s="10" t="inlineStr">
        <is>
          <t>Role</t>
        </is>
      </c>
      <c r="E5" s="10" t="inlineStr">
        <is>
          <t>This year</t>
        </is>
      </c>
      <c r="F5" s="10" t="inlineStr">
        <is>
          <t>All time</t>
        </is>
      </c>
      <c r="G5" s="10" t="inlineStr">
        <is>
          <t>Last time</t>
        </is>
      </c>
      <c r="H5" s="10" t="inlineStr">
        <is>
          <t>Times</t>
        </is>
      </c>
      <c r="I5" s="1" t="n"/>
    </row>
    <row r="6">
      <c r="A6" s="1" t="n"/>
      <c r="B6" s="22" t="inlineStr">
        <is>
          <t>Mark Evans</t>
        </is>
      </c>
      <c r="C6" s="25" t="inlineStr">
        <is>
          <t>mark@mail.example</t>
        </is>
      </c>
      <c r="D6" s="25" t="inlineStr">
        <is>
          <t>Driver</t>
        </is>
      </c>
      <c r="E6" s="45">
        <f>IF(B6="","",SUMIFS(Hours!$D$6:$D$1005,Hours!$C$6:$C$1005,B6,Hours!$I$6:$I$1005,Settings!$C$7,Hours!$D$6:$D$1005,"&gt;0"))</f>
        <v/>
      </c>
      <c r="F6" s="19">
        <f>IF(B6="","",SUMIFS(Hours!$D$6:$D$1005,Hours!$C$6:$C$1005,B6,Hours!$D$6:$D$1005,"&gt;0",Hours!$K$6:$K$1005,"&gt;0"))</f>
        <v/>
      </c>
      <c r="G6" s="26">
        <f>IF(OR(B6="",N(F6)=0),"",SUMPRODUCT(MAX((Hours!$C$6:$C$1005=B6)*Hours!$L$6:$L$1005)))</f>
        <v/>
      </c>
      <c r="H6" s="18">
        <f>IF(B6="","",COUNTIFS(Hours!$C$6:$C$1005,B6,Hours!$I$6:$I$1005,Settings!$C$7,Hours!$D$6:$D$1005,"&gt;0"))</f>
        <v/>
      </c>
      <c r="I6" s="1" t="n"/>
    </row>
    <row r="7">
      <c r="A7" s="1" t="n"/>
      <c r="B7" s="22" t="inlineStr">
        <is>
          <t>Lucy Chen</t>
        </is>
      </c>
      <c r="C7" s="25" t="inlineStr">
        <is>
          <t>lucy@mail.example</t>
        </is>
      </c>
      <c r="D7" s="25" t="inlineStr">
        <is>
          <t>Sorting</t>
        </is>
      </c>
      <c r="E7" s="45">
        <f>IF(B7="","",SUMIFS(Hours!$D$6:$D$1005,Hours!$C$6:$C$1005,B7,Hours!$I$6:$I$1005,Settings!$C$7,Hours!$D$6:$D$1005,"&gt;0"))</f>
        <v/>
      </c>
      <c r="F7" s="19">
        <f>IF(B7="","",SUMIFS(Hours!$D$6:$D$1005,Hours!$C$6:$C$1005,B7,Hours!$D$6:$D$1005,"&gt;0",Hours!$K$6:$K$1005,"&gt;0"))</f>
        <v/>
      </c>
      <c r="G7" s="26">
        <f>IF(OR(B7="",N(F7)=0),"",SUMPRODUCT(MAX((Hours!$C$6:$C$1005=B7)*Hours!$L$6:$L$1005)))</f>
        <v/>
      </c>
      <c r="H7" s="18">
        <f>IF(B7="","",COUNTIFS(Hours!$C$6:$C$1005,B7,Hours!$I$6:$I$1005,Settings!$C$7,Hours!$D$6:$D$1005,"&gt;0"))</f>
        <v/>
      </c>
      <c r="I7" s="1" t="n"/>
    </row>
    <row r="8">
      <c r="A8" s="1" t="n"/>
      <c r="B8" s="22" t="inlineStr">
        <is>
          <t>Peter Olsen</t>
        </is>
      </c>
      <c r="C8" s="25" t="inlineStr">
        <is>
          <t>peter@mail.example</t>
        </is>
      </c>
      <c r="D8" s="25" t="inlineStr">
        <is>
          <t>Front desk</t>
        </is>
      </c>
      <c r="E8" s="45">
        <f>IF(B8="","",SUMIFS(Hours!$D$6:$D$1005,Hours!$C$6:$C$1005,B8,Hours!$I$6:$I$1005,Settings!$C$7,Hours!$D$6:$D$1005,"&gt;0"))</f>
        <v/>
      </c>
      <c r="F8" s="19">
        <f>IF(B8="","",SUMIFS(Hours!$D$6:$D$1005,Hours!$C$6:$C$1005,B8,Hours!$D$6:$D$1005,"&gt;0",Hours!$K$6:$K$1005,"&gt;0"))</f>
        <v/>
      </c>
      <c r="G8" s="26">
        <f>IF(OR(B8="",N(F8)=0),"",SUMPRODUCT(MAX((Hours!$C$6:$C$1005=B8)*Hours!$L$6:$L$1005)))</f>
        <v/>
      </c>
      <c r="H8" s="18">
        <f>IF(B8="","",COUNTIFS(Hours!$C$6:$C$1005,B8,Hours!$I$6:$I$1005,Settings!$C$7,Hours!$D$6:$D$1005,"&gt;0"))</f>
        <v/>
      </c>
      <c r="I8" s="1" t="n"/>
    </row>
    <row r="9">
      <c r="A9" s="1" t="n"/>
      <c r="B9" s="22" t="inlineStr">
        <is>
          <t>Nadia Karim</t>
        </is>
      </c>
      <c r="C9" s="25" t="inlineStr">
        <is>
          <t>nadia@mail.example</t>
        </is>
      </c>
      <c r="D9" s="25" t="inlineStr">
        <is>
          <t>Sorting</t>
        </is>
      </c>
      <c r="E9" s="45">
        <f>IF(B9="","",SUMIFS(Hours!$D$6:$D$1005,Hours!$C$6:$C$1005,B9,Hours!$I$6:$I$1005,Settings!$C$7,Hours!$D$6:$D$1005,"&gt;0"))</f>
        <v/>
      </c>
      <c r="F9" s="19">
        <f>IF(B9="","",SUMIFS(Hours!$D$6:$D$1005,Hours!$C$6:$C$1005,B9,Hours!$D$6:$D$1005,"&gt;0",Hours!$K$6:$K$1005,"&gt;0"))</f>
        <v/>
      </c>
      <c r="G9" s="26">
        <f>IF(OR(B9="",N(F9)=0),"",SUMPRODUCT(MAX((Hours!$C$6:$C$1005=B9)*Hours!$L$6:$L$1005)))</f>
        <v/>
      </c>
      <c r="H9" s="18">
        <f>IF(B9="","",COUNTIFS(Hours!$C$6:$C$1005,B9,Hours!$I$6:$I$1005,Settings!$C$7,Hours!$D$6:$D$1005,"&gt;0"))</f>
        <v/>
      </c>
      <c r="I9" s="1" t="n"/>
    </row>
    <row r="10">
      <c r="A10" s="1" t="n"/>
      <c r="B10" s="22" t="inlineStr">
        <is>
          <t>Joe Ward</t>
        </is>
      </c>
      <c r="C10" s="25" t="inlineStr">
        <is>
          <t>joe@mail.example</t>
        </is>
      </c>
      <c r="D10" s="25" t="inlineStr">
        <is>
          <t>Driver</t>
        </is>
      </c>
      <c r="E10" s="45">
        <f>IF(B10="","",SUMIFS(Hours!$D$6:$D$1005,Hours!$C$6:$C$1005,B10,Hours!$I$6:$I$1005,Settings!$C$7,Hours!$D$6:$D$1005,"&gt;0"))</f>
        <v/>
      </c>
      <c r="F10" s="19">
        <f>IF(B10="","",SUMIFS(Hours!$D$6:$D$1005,Hours!$C$6:$C$1005,B10,Hours!$D$6:$D$1005,"&gt;0",Hours!$K$6:$K$1005,"&gt;0"))</f>
        <v/>
      </c>
      <c r="G10" s="26">
        <f>IF(OR(B10="",N(F10)=0),"",SUMPRODUCT(MAX((Hours!$C$6:$C$1005=B10)*Hours!$L$6:$L$1005)))</f>
        <v/>
      </c>
      <c r="H10" s="18">
        <f>IF(B10="","",COUNTIFS(Hours!$C$6:$C$1005,B10,Hours!$I$6:$I$1005,Settings!$C$7,Hours!$D$6:$D$1005,"&gt;0"))</f>
        <v/>
      </c>
      <c r="I10" s="1" t="n"/>
    </row>
    <row r="11">
      <c r="A11" s="1" t="n"/>
      <c r="B11" s="22" t="inlineStr">
        <is>
          <t>Beth Morgan</t>
        </is>
      </c>
      <c r="C11" s="25" t="inlineStr">
        <is>
          <t>beth@mail.example</t>
        </is>
      </c>
      <c r="D11" s="25" t="inlineStr">
        <is>
          <t>Front desk</t>
        </is>
      </c>
      <c r="E11" s="45">
        <f>IF(B11="","",SUMIFS(Hours!$D$6:$D$1005,Hours!$C$6:$C$1005,B11,Hours!$I$6:$I$1005,Settings!$C$7,Hours!$D$6:$D$1005,"&gt;0"))</f>
        <v/>
      </c>
      <c r="F11" s="19">
        <f>IF(B11="","",SUMIFS(Hours!$D$6:$D$1005,Hours!$C$6:$C$1005,B11,Hours!$D$6:$D$1005,"&gt;0",Hours!$K$6:$K$1005,"&gt;0"))</f>
        <v/>
      </c>
      <c r="G11" s="26">
        <f>IF(OR(B11="",N(F11)=0),"",SUMPRODUCT(MAX((Hours!$C$6:$C$1005=B11)*Hours!$L$6:$L$1005)))</f>
        <v/>
      </c>
      <c r="H11" s="18">
        <f>IF(B11="","",COUNTIFS(Hours!$C$6:$C$1005,B11,Hours!$I$6:$I$1005,Settings!$C$7,Hours!$D$6:$D$1005,"&gt;0"))</f>
        <v/>
      </c>
      <c r="I11" s="1" t="n"/>
    </row>
    <row r="12">
      <c r="A12" s="1" t="n"/>
      <c r="B12" s="22" t="inlineStr">
        <is>
          <t>Sam Reid</t>
        </is>
      </c>
      <c r="C12" s="25" t="inlineStr">
        <is>
          <t>sam@mail.example</t>
        </is>
      </c>
      <c r="D12" s="25" t="inlineStr">
        <is>
          <t>Sorting</t>
        </is>
      </c>
      <c r="E12" s="45">
        <f>IF(B12="","",SUMIFS(Hours!$D$6:$D$1005,Hours!$C$6:$C$1005,B12,Hours!$I$6:$I$1005,Settings!$C$7,Hours!$D$6:$D$1005,"&gt;0"))</f>
        <v/>
      </c>
      <c r="F12" s="19">
        <f>IF(B12="","",SUMIFS(Hours!$D$6:$D$1005,Hours!$C$6:$C$1005,B12,Hours!$D$6:$D$1005,"&gt;0",Hours!$K$6:$K$1005,"&gt;0"))</f>
        <v/>
      </c>
      <c r="G12" s="26">
        <f>IF(OR(B12="",N(F12)=0),"",SUMPRODUCT(MAX((Hours!$C$6:$C$1005=B12)*Hours!$L$6:$L$1005)))</f>
        <v/>
      </c>
      <c r="H12" s="18">
        <f>IF(B12="","",COUNTIFS(Hours!$C$6:$C$1005,B12,Hours!$I$6:$I$1005,Settings!$C$7,Hours!$D$6:$D$1005,"&gt;0"))</f>
        <v/>
      </c>
      <c r="I12" s="1" t="n"/>
    </row>
    <row r="13">
      <c r="A13" s="1" t="n"/>
      <c r="B13" s="22" t="inlineStr">
        <is>
          <t>Olga Novak</t>
        </is>
      </c>
      <c r="C13" s="25" t="inlineStr">
        <is>
          <t>olga@mail.example</t>
        </is>
      </c>
      <c r="D13" s="25" t="inlineStr">
        <is>
          <t>Kitchen</t>
        </is>
      </c>
      <c r="E13" s="45">
        <f>IF(B13="","",SUMIFS(Hours!$D$6:$D$1005,Hours!$C$6:$C$1005,B13,Hours!$I$6:$I$1005,Settings!$C$7,Hours!$D$6:$D$1005,"&gt;0"))</f>
        <v/>
      </c>
      <c r="F13" s="19">
        <f>IF(B13="","",SUMIFS(Hours!$D$6:$D$1005,Hours!$C$6:$C$1005,B13,Hours!$D$6:$D$1005,"&gt;0",Hours!$K$6:$K$1005,"&gt;0"))</f>
        <v/>
      </c>
      <c r="G13" s="26">
        <f>IF(OR(B13="",N(F13)=0),"",SUMPRODUCT(MAX((Hours!$C$6:$C$1005=B13)*Hours!$L$6:$L$1005)))</f>
        <v/>
      </c>
      <c r="H13" s="18">
        <f>IF(B13="","",COUNTIFS(Hours!$C$6:$C$1005,B13,Hours!$I$6:$I$1005,Settings!$C$7,Hours!$D$6:$D$1005,"&gt;0"))</f>
        <v/>
      </c>
      <c r="I13" s="1" t="n"/>
    </row>
    <row r="14">
      <c r="A14" s="1" t="n"/>
      <c r="B14" s="22" t="n"/>
      <c r="C14" s="25" t="n"/>
      <c r="D14" s="25" t="n"/>
      <c r="E14" s="45">
        <f>IF(B14="","",SUMIFS(Hours!$D$6:$D$1005,Hours!$C$6:$C$1005,B14,Hours!$I$6:$I$1005,Settings!$C$7,Hours!$D$6:$D$1005,"&gt;0"))</f>
        <v/>
      </c>
      <c r="F14" s="19">
        <f>IF(B14="","",SUMIFS(Hours!$D$6:$D$1005,Hours!$C$6:$C$1005,B14,Hours!$D$6:$D$1005,"&gt;0",Hours!$K$6:$K$1005,"&gt;0"))</f>
        <v/>
      </c>
      <c r="G14" s="26">
        <f>IF(OR(B14="",N(F14)=0),"",SUMPRODUCT(MAX((Hours!$C$6:$C$1005=B14)*Hours!$L$6:$L$1005)))</f>
        <v/>
      </c>
      <c r="H14" s="18">
        <f>IF(B14="","",COUNTIFS(Hours!$C$6:$C$1005,B14,Hours!$I$6:$I$1005,Settings!$C$7,Hours!$D$6:$D$1005,"&gt;0"))</f>
        <v/>
      </c>
      <c r="I14" s="1" t="n"/>
    </row>
    <row r="15">
      <c r="A15" s="1" t="n"/>
      <c r="B15" s="22" t="n"/>
      <c r="C15" s="25" t="n"/>
      <c r="D15" s="25" t="n"/>
      <c r="E15" s="45">
        <f>IF(B15="","",SUMIFS(Hours!$D$6:$D$1005,Hours!$C$6:$C$1005,B15,Hours!$I$6:$I$1005,Settings!$C$7,Hours!$D$6:$D$1005,"&gt;0"))</f>
        <v/>
      </c>
      <c r="F15" s="19">
        <f>IF(B15="","",SUMIFS(Hours!$D$6:$D$1005,Hours!$C$6:$C$1005,B15,Hours!$D$6:$D$1005,"&gt;0",Hours!$K$6:$K$1005,"&gt;0"))</f>
        <v/>
      </c>
      <c r="G15" s="26">
        <f>IF(OR(B15="",N(F15)=0),"",SUMPRODUCT(MAX((Hours!$C$6:$C$1005=B15)*Hours!$L$6:$L$1005)))</f>
        <v/>
      </c>
      <c r="H15" s="18">
        <f>IF(B15="","",COUNTIFS(Hours!$C$6:$C$1005,B15,Hours!$I$6:$I$1005,Settings!$C$7,Hours!$D$6:$D$1005,"&gt;0"))</f>
        <v/>
      </c>
      <c r="I15" s="1" t="n"/>
    </row>
    <row r="16">
      <c r="A16" s="1" t="n"/>
      <c r="B16" s="22" t="n"/>
      <c r="C16" s="25" t="n"/>
      <c r="D16" s="25" t="n"/>
      <c r="E16" s="45">
        <f>IF(B16="","",SUMIFS(Hours!$D$6:$D$1005,Hours!$C$6:$C$1005,B16,Hours!$I$6:$I$1005,Settings!$C$7,Hours!$D$6:$D$1005,"&gt;0"))</f>
        <v/>
      </c>
      <c r="F16" s="19">
        <f>IF(B16="","",SUMIFS(Hours!$D$6:$D$1005,Hours!$C$6:$C$1005,B16,Hours!$D$6:$D$1005,"&gt;0",Hours!$K$6:$K$1005,"&gt;0"))</f>
        <v/>
      </c>
      <c r="G16" s="26">
        <f>IF(OR(B16="",N(F16)=0),"",SUMPRODUCT(MAX((Hours!$C$6:$C$1005=B16)*Hours!$L$6:$L$1005)))</f>
        <v/>
      </c>
      <c r="H16" s="18">
        <f>IF(B16="","",COUNTIFS(Hours!$C$6:$C$1005,B16,Hours!$I$6:$I$1005,Settings!$C$7,Hours!$D$6:$D$1005,"&gt;0"))</f>
        <v/>
      </c>
      <c r="I16" s="1" t="n"/>
    </row>
    <row r="17">
      <c r="A17" s="1" t="n"/>
      <c r="B17" s="22" t="n"/>
      <c r="C17" s="25" t="n"/>
      <c r="D17" s="25" t="n"/>
      <c r="E17" s="45">
        <f>IF(B17="","",SUMIFS(Hours!$D$6:$D$1005,Hours!$C$6:$C$1005,B17,Hours!$I$6:$I$1005,Settings!$C$7,Hours!$D$6:$D$1005,"&gt;0"))</f>
        <v/>
      </c>
      <c r="F17" s="19">
        <f>IF(B17="","",SUMIFS(Hours!$D$6:$D$1005,Hours!$C$6:$C$1005,B17,Hours!$D$6:$D$1005,"&gt;0",Hours!$K$6:$K$1005,"&gt;0"))</f>
        <v/>
      </c>
      <c r="G17" s="26">
        <f>IF(OR(B17="",N(F17)=0),"",SUMPRODUCT(MAX((Hours!$C$6:$C$1005=B17)*Hours!$L$6:$L$1005)))</f>
        <v/>
      </c>
      <c r="H17" s="18">
        <f>IF(B17="","",COUNTIFS(Hours!$C$6:$C$1005,B17,Hours!$I$6:$I$1005,Settings!$C$7,Hours!$D$6:$D$1005,"&gt;0"))</f>
        <v/>
      </c>
      <c r="I17" s="1" t="n"/>
    </row>
    <row r="18">
      <c r="A18" s="1" t="n"/>
      <c r="B18" s="22" t="n"/>
      <c r="C18" s="25" t="n"/>
      <c r="D18" s="25" t="n"/>
      <c r="E18" s="45">
        <f>IF(B18="","",SUMIFS(Hours!$D$6:$D$1005,Hours!$C$6:$C$1005,B18,Hours!$I$6:$I$1005,Settings!$C$7,Hours!$D$6:$D$1005,"&gt;0"))</f>
        <v/>
      </c>
      <c r="F18" s="19">
        <f>IF(B18="","",SUMIFS(Hours!$D$6:$D$1005,Hours!$C$6:$C$1005,B18,Hours!$D$6:$D$1005,"&gt;0",Hours!$K$6:$K$1005,"&gt;0"))</f>
        <v/>
      </c>
      <c r="G18" s="26">
        <f>IF(OR(B18="",N(F18)=0),"",SUMPRODUCT(MAX((Hours!$C$6:$C$1005=B18)*Hours!$L$6:$L$1005)))</f>
        <v/>
      </c>
      <c r="H18" s="18">
        <f>IF(B18="","",COUNTIFS(Hours!$C$6:$C$1005,B18,Hours!$I$6:$I$1005,Settings!$C$7,Hours!$D$6:$D$1005,"&gt;0"))</f>
        <v/>
      </c>
      <c r="I18" s="1" t="n"/>
    </row>
    <row r="19">
      <c r="A19" s="1" t="n"/>
      <c r="B19" s="22" t="n"/>
      <c r="C19" s="25" t="n"/>
      <c r="D19" s="25" t="n"/>
      <c r="E19" s="45">
        <f>IF(B19="","",SUMIFS(Hours!$D$6:$D$1005,Hours!$C$6:$C$1005,B19,Hours!$I$6:$I$1005,Settings!$C$7,Hours!$D$6:$D$1005,"&gt;0"))</f>
        <v/>
      </c>
      <c r="F19" s="19">
        <f>IF(B19="","",SUMIFS(Hours!$D$6:$D$1005,Hours!$C$6:$C$1005,B19,Hours!$D$6:$D$1005,"&gt;0",Hours!$K$6:$K$1005,"&gt;0"))</f>
        <v/>
      </c>
      <c r="G19" s="26">
        <f>IF(OR(B19="",N(F19)=0),"",SUMPRODUCT(MAX((Hours!$C$6:$C$1005=B19)*Hours!$L$6:$L$1005)))</f>
        <v/>
      </c>
      <c r="H19" s="18">
        <f>IF(B19="","",COUNTIFS(Hours!$C$6:$C$1005,B19,Hours!$I$6:$I$1005,Settings!$C$7,Hours!$D$6:$D$1005,"&gt;0"))</f>
        <v/>
      </c>
      <c r="I19" s="1" t="n"/>
    </row>
    <row r="20">
      <c r="A20" s="1" t="n"/>
      <c r="B20" s="22" t="n"/>
      <c r="C20" s="25" t="n"/>
      <c r="D20" s="25" t="n"/>
      <c r="E20" s="45">
        <f>IF(B20="","",SUMIFS(Hours!$D$6:$D$1005,Hours!$C$6:$C$1005,B20,Hours!$I$6:$I$1005,Settings!$C$7,Hours!$D$6:$D$1005,"&gt;0"))</f>
        <v/>
      </c>
      <c r="F20" s="19">
        <f>IF(B20="","",SUMIFS(Hours!$D$6:$D$1005,Hours!$C$6:$C$1005,B20,Hours!$D$6:$D$1005,"&gt;0",Hours!$K$6:$K$1005,"&gt;0"))</f>
        <v/>
      </c>
      <c r="G20" s="26">
        <f>IF(OR(B20="",N(F20)=0),"",SUMPRODUCT(MAX((Hours!$C$6:$C$1005=B20)*Hours!$L$6:$L$1005)))</f>
        <v/>
      </c>
      <c r="H20" s="18">
        <f>IF(B20="","",COUNTIFS(Hours!$C$6:$C$1005,B20,Hours!$I$6:$I$1005,Settings!$C$7,Hours!$D$6:$D$1005,"&gt;0"))</f>
        <v/>
      </c>
      <c r="I20" s="1" t="n"/>
    </row>
    <row r="21">
      <c r="A21" s="1" t="n"/>
      <c r="B21" s="22" t="n"/>
      <c r="C21" s="25" t="n"/>
      <c r="D21" s="25" t="n"/>
      <c r="E21" s="45">
        <f>IF(B21="","",SUMIFS(Hours!$D$6:$D$1005,Hours!$C$6:$C$1005,B21,Hours!$I$6:$I$1005,Settings!$C$7,Hours!$D$6:$D$1005,"&gt;0"))</f>
        <v/>
      </c>
      <c r="F21" s="19">
        <f>IF(B21="","",SUMIFS(Hours!$D$6:$D$1005,Hours!$C$6:$C$1005,B21,Hours!$D$6:$D$1005,"&gt;0",Hours!$K$6:$K$1005,"&gt;0"))</f>
        <v/>
      </c>
      <c r="G21" s="26">
        <f>IF(OR(B21="",N(F21)=0),"",SUMPRODUCT(MAX((Hours!$C$6:$C$1005=B21)*Hours!$L$6:$L$1005)))</f>
        <v/>
      </c>
      <c r="H21" s="18">
        <f>IF(B21="","",COUNTIFS(Hours!$C$6:$C$1005,B21,Hours!$I$6:$I$1005,Settings!$C$7,Hours!$D$6:$D$1005,"&gt;0"))</f>
        <v/>
      </c>
      <c r="I21" s="1" t="n"/>
    </row>
    <row r="22">
      <c r="A22" s="1" t="n"/>
      <c r="B22" s="22" t="n"/>
      <c r="C22" s="25" t="n"/>
      <c r="D22" s="25" t="n"/>
      <c r="E22" s="45">
        <f>IF(B22="","",SUMIFS(Hours!$D$6:$D$1005,Hours!$C$6:$C$1005,B22,Hours!$I$6:$I$1005,Settings!$C$7,Hours!$D$6:$D$1005,"&gt;0"))</f>
        <v/>
      </c>
      <c r="F22" s="19">
        <f>IF(B22="","",SUMIFS(Hours!$D$6:$D$1005,Hours!$C$6:$C$1005,B22,Hours!$D$6:$D$1005,"&gt;0",Hours!$K$6:$K$1005,"&gt;0"))</f>
        <v/>
      </c>
      <c r="G22" s="26">
        <f>IF(OR(B22="",N(F22)=0),"",SUMPRODUCT(MAX((Hours!$C$6:$C$1005=B22)*Hours!$L$6:$L$1005)))</f>
        <v/>
      </c>
      <c r="H22" s="18">
        <f>IF(B22="","",COUNTIFS(Hours!$C$6:$C$1005,B22,Hours!$I$6:$I$1005,Settings!$C$7,Hours!$D$6:$D$1005,"&gt;0"))</f>
        <v/>
      </c>
      <c r="I22" s="1" t="n"/>
    </row>
    <row r="23">
      <c r="A23" s="1" t="n"/>
      <c r="B23" s="22" t="n"/>
      <c r="C23" s="25" t="n"/>
      <c r="D23" s="25" t="n"/>
      <c r="E23" s="45">
        <f>IF(B23="","",SUMIFS(Hours!$D$6:$D$1005,Hours!$C$6:$C$1005,B23,Hours!$I$6:$I$1005,Settings!$C$7,Hours!$D$6:$D$1005,"&gt;0"))</f>
        <v/>
      </c>
      <c r="F23" s="19">
        <f>IF(B23="","",SUMIFS(Hours!$D$6:$D$1005,Hours!$C$6:$C$1005,B23,Hours!$D$6:$D$1005,"&gt;0",Hours!$K$6:$K$1005,"&gt;0"))</f>
        <v/>
      </c>
      <c r="G23" s="26">
        <f>IF(OR(B23="",N(F23)=0),"",SUMPRODUCT(MAX((Hours!$C$6:$C$1005=B23)*Hours!$L$6:$L$1005)))</f>
        <v/>
      </c>
      <c r="H23" s="18">
        <f>IF(B23="","",COUNTIFS(Hours!$C$6:$C$1005,B23,Hours!$I$6:$I$1005,Settings!$C$7,Hours!$D$6:$D$1005,"&gt;0"))</f>
        <v/>
      </c>
      <c r="I23" s="1" t="n"/>
    </row>
    <row r="24">
      <c r="A24" s="1" t="n"/>
      <c r="B24" s="22" t="n"/>
      <c r="C24" s="25" t="n"/>
      <c r="D24" s="25" t="n"/>
      <c r="E24" s="45">
        <f>IF(B24="","",SUMIFS(Hours!$D$6:$D$1005,Hours!$C$6:$C$1005,B24,Hours!$I$6:$I$1005,Settings!$C$7,Hours!$D$6:$D$1005,"&gt;0"))</f>
        <v/>
      </c>
      <c r="F24" s="19">
        <f>IF(B24="","",SUMIFS(Hours!$D$6:$D$1005,Hours!$C$6:$C$1005,B24,Hours!$D$6:$D$1005,"&gt;0",Hours!$K$6:$K$1005,"&gt;0"))</f>
        <v/>
      </c>
      <c r="G24" s="26">
        <f>IF(OR(B24="",N(F24)=0),"",SUMPRODUCT(MAX((Hours!$C$6:$C$1005=B24)*Hours!$L$6:$L$1005)))</f>
        <v/>
      </c>
      <c r="H24" s="18">
        <f>IF(B24="","",COUNTIFS(Hours!$C$6:$C$1005,B24,Hours!$I$6:$I$1005,Settings!$C$7,Hours!$D$6:$D$1005,"&gt;0"))</f>
        <v/>
      </c>
      <c r="I24" s="1" t="n"/>
    </row>
    <row r="25">
      <c r="A25" s="1" t="n"/>
      <c r="B25" s="22" t="n"/>
      <c r="C25" s="25" t="n"/>
      <c r="D25" s="25" t="n"/>
      <c r="E25" s="45">
        <f>IF(B25="","",SUMIFS(Hours!$D$6:$D$1005,Hours!$C$6:$C$1005,B25,Hours!$I$6:$I$1005,Settings!$C$7,Hours!$D$6:$D$1005,"&gt;0"))</f>
        <v/>
      </c>
      <c r="F25" s="19">
        <f>IF(B25="","",SUMIFS(Hours!$D$6:$D$1005,Hours!$C$6:$C$1005,B25,Hours!$D$6:$D$1005,"&gt;0",Hours!$K$6:$K$1005,"&gt;0"))</f>
        <v/>
      </c>
      <c r="G25" s="26">
        <f>IF(OR(B25="",N(F25)=0),"",SUMPRODUCT(MAX((Hours!$C$6:$C$1005=B25)*Hours!$L$6:$L$1005)))</f>
        <v/>
      </c>
      <c r="H25" s="18">
        <f>IF(B25="","",COUNTIFS(Hours!$C$6:$C$1005,B25,Hours!$I$6:$I$1005,Settings!$C$7,Hours!$D$6:$D$1005,"&gt;0"))</f>
        <v/>
      </c>
      <c r="I25" s="1" t="n"/>
    </row>
    <row r="26">
      <c r="A26" s="1" t="n"/>
      <c r="B26" s="22" t="n"/>
      <c r="C26" s="25" t="n"/>
      <c r="D26" s="25" t="n"/>
      <c r="E26" s="45">
        <f>IF(B26="","",SUMIFS(Hours!$D$6:$D$1005,Hours!$C$6:$C$1005,B26,Hours!$I$6:$I$1005,Settings!$C$7,Hours!$D$6:$D$1005,"&gt;0"))</f>
        <v/>
      </c>
      <c r="F26" s="19">
        <f>IF(B26="","",SUMIFS(Hours!$D$6:$D$1005,Hours!$C$6:$C$1005,B26,Hours!$D$6:$D$1005,"&gt;0",Hours!$K$6:$K$1005,"&gt;0"))</f>
        <v/>
      </c>
      <c r="G26" s="26">
        <f>IF(OR(B26="",N(F26)=0),"",SUMPRODUCT(MAX((Hours!$C$6:$C$1005=B26)*Hours!$L$6:$L$1005)))</f>
        <v/>
      </c>
      <c r="H26" s="18">
        <f>IF(B26="","",COUNTIFS(Hours!$C$6:$C$1005,B26,Hours!$I$6:$I$1005,Settings!$C$7,Hours!$D$6:$D$1005,"&gt;0"))</f>
        <v/>
      </c>
      <c r="I26" s="1" t="n"/>
    </row>
    <row r="27">
      <c r="A27" s="1" t="n"/>
      <c r="B27" s="22" t="n"/>
      <c r="C27" s="25" t="n"/>
      <c r="D27" s="25" t="n"/>
      <c r="E27" s="45">
        <f>IF(B27="","",SUMIFS(Hours!$D$6:$D$1005,Hours!$C$6:$C$1005,B27,Hours!$I$6:$I$1005,Settings!$C$7,Hours!$D$6:$D$1005,"&gt;0"))</f>
        <v/>
      </c>
      <c r="F27" s="19">
        <f>IF(B27="","",SUMIFS(Hours!$D$6:$D$1005,Hours!$C$6:$C$1005,B27,Hours!$D$6:$D$1005,"&gt;0",Hours!$K$6:$K$1005,"&gt;0"))</f>
        <v/>
      </c>
      <c r="G27" s="26">
        <f>IF(OR(B27="",N(F27)=0),"",SUMPRODUCT(MAX((Hours!$C$6:$C$1005=B27)*Hours!$L$6:$L$1005)))</f>
        <v/>
      </c>
      <c r="H27" s="18">
        <f>IF(B27="","",COUNTIFS(Hours!$C$6:$C$1005,B27,Hours!$I$6:$I$1005,Settings!$C$7,Hours!$D$6:$D$1005,"&gt;0"))</f>
        <v/>
      </c>
      <c r="I27" s="1" t="n"/>
    </row>
    <row r="28">
      <c r="A28" s="1" t="n"/>
      <c r="B28" s="22" t="n"/>
      <c r="C28" s="25" t="n"/>
      <c r="D28" s="25" t="n"/>
      <c r="E28" s="45">
        <f>IF(B28="","",SUMIFS(Hours!$D$6:$D$1005,Hours!$C$6:$C$1005,B28,Hours!$I$6:$I$1005,Settings!$C$7,Hours!$D$6:$D$1005,"&gt;0"))</f>
        <v/>
      </c>
      <c r="F28" s="19">
        <f>IF(B28="","",SUMIFS(Hours!$D$6:$D$1005,Hours!$C$6:$C$1005,B28,Hours!$D$6:$D$1005,"&gt;0",Hours!$K$6:$K$1005,"&gt;0"))</f>
        <v/>
      </c>
      <c r="G28" s="26">
        <f>IF(OR(B28="",N(F28)=0),"",SUMPRODUCT(MAX((Hours!$C$6:$C$1005=B28)*Hours!$L$6:$L$1005)))</f>
        <v/>
      </c>
      <c r="H28" s="18">
        <f>IF(B28="","",COUNTIFS(Hours!$C$6:$C$1005,B28,Hours!$I$6:$I$1005,Settings!$C$7,Hours!$D$6:$D$1005,"&gt;0"))</f>
        <v/>
      </c>
      <c r="I28" s="1" t="n"/>
    </row>
    <row r="29">
      <c r="A29" s="1" t="n"/>
      <c r="B29" s="22" t="n"/>
      <c r="C29" s="25" t="n"/>
      <c r="D29" s="25" t="n"/>
      <c r="E29" s="45">
        <f>IF(B29="","",SUMIFS(Hours!$D$6:$D$1005,Hours!$C$6:$C$1005,B29,Hours!$I$6:$I$1005,Settings!$C$7,Hours!$D$6:$D$1005,"&gt;0"))</f>
        <v/>
      </c>
      <c r="F29" s="19">
        <f>IF(B29="","",SUMIFS(Hours!$D$6:$D$1005,Hours!$C$6:$C$1005,B29,Hours!$D$6:$D$1005,"&gt;0",Hours!$K$6:$K$1005,"&gt;0"))</f>
        <v/>
      </c>
      <c r="G29" s="26">
        <f>IF(OR(B29="",N(F29)=0),"",SUMPRODUCT(MAX((Hours!$C$6:$C$1005=B29)*Hours!$L$6:$L$1005)))</f>
        <v/>
      </c>
      <c r="H29" s="18">
        <f>IF(B29="","",COUNTIFS(Hours!$C$6:$C$1005,B29,Hours!$I$6:$I$1005,Settings!$C$7,Hours!$D$6:$D$1005,"&gt;0"))</f>
        <v/>
      </c>
      <c r="I29" s="1" t="n"/>
    </row>
    <row r="30">
      <c r="A30" s="1" t="n"/>
      <c r="B30" s="22" t="n"/>
      <c r="C30" s="25" t="n"/>
      <c r="D30" s="25" t="n"/>
      <c r="E30" s="45">
        <f>IF(B30="","",SUMIFS(Hours!$D$6:$D$1005,Hours!$C$6:$C$1005,B30,Hours!$I$6:$I$1005,Settings!$C$7,Hours!$D$6:$D$1005,"&gt;0"))</f>
        <v/>
      </c>
      <c r="F30" s="19">
        <f>IF(B30="","",SUMIFS(Hours!$D$6:$D$1005,Hours!$C$6:$C$1005,B30,Hours!$D$6:$D$1005,"&gt;0",Hours!$K$6:$K$1005,"&gt;0"))</f>
        <v/>
      </c>
      <c r="G30" s="26">
        <f>IF(OR(B30="",N(F30)=0),"",SUMPRODUCT(MAX((Hours!$C$6:$C$1005=B30)*Hours!$L$6:$L$1005)))</f>
        <v/>
      </c>
      <c r="H30" s="18">
        <f>IF(B30="","",COUNTIFS(Hours!$C$6:$C$1005,B30,Hours!$I$6:$I$1005,Settings!$C$7,Hours!$D$6:$D$1005,"&gt;0"))</f>
        <v/>
      </c>
      <c r="I30" s="1" t="n"/>
    </row>
    <row r="31">
      <c r="A31" s="1" t="n"/>
      <c r="B31" s="22" t="n"/>
      <c r="C31" s="25" t="n"/>
      <c r="D31" s="25" t="n"/>
      <c r="E31" s="45">
        <f>IF(B31="","",SUMIFS(Hours!$D$6:$D$1005,Hours!$C$6:$C$1005,B31,Hours!$I$6:$I$1005,Settings!$C$7,Hours!$D$6:$D$1005,"&gt;0"))</f>
        <v/>
      </c>
      <c r="F31" s="19">
        <f>IF(B31="","",SUMIFS(Hours!$D$6:$D$1005,Hours!$C$6:$C$1005,B31,Hours!$D$6:$D$1005,"&gt;0",Hours!$K$6:$K$1005,"&gt;0"))</f>
        <v/>
      </c>
      <c r="G31" s="26">
        <f>IF(OR(B31="",N(F31)=0),"",SUMPRODUCT(MAX((Hours!$C$6:$C$1005=B31)*Hours!$L$6:$L$1005)))</f>
        <v/>
      </c>
      <c r="H31" s="18">
        <f>IF(B31="","",COUNTIFS(Hours!$C$6:$C$1005,B31,Hours!$I$6:$I$1005,Settings!$C$7,Hours!$D$6:$D$1005,"&gt;0"))</f>
        <v/>
      </c>
      <c r="I31" s="1" t="n"/>
    </row>
    <row r="32">
      <c r="A32" s="1" t="n"/>
      <c r="B32" s="22" t="n"/>
      <c r="C32" s="25" t="n"/>
      <c r="D32" s="25" t="n"/>
      <c r="E32" s="45">
        <f>IF(B32="","",SUMIFS(Hours!$D$6:$D$1005,Hours!$C$6:$C$1005,B32,Hours!$I$6:$I$1005,Settings!$C$7,Hours!$D$6:$D$1005,"&gt;0"))</f>
        <v/>
      </c>
      <c r="F32" s="19">
        <f>IF(B32="","",SUMIFS(Hours!$D$6:$D$1005,Hours!$C$6:$C$1005,B32,Hours!$D$6:$D$1005,"&gt;0",Hours!$K$6:$K$1005,"&gt;0"))</f>
        <v/>
      </c>
      <c r="G32" s="26">
        <f>IF(OR(B32="",N(F32)=0),"",SUMPRODUCT(MAX((Hours!$C$6:$C$1005=B32)*Hours!$L$6:$L$1005)))</f>
        <v/>
      </c>
      <c r="H32" s="18">
        <f>IF(B32="","",COUNTIFS(Hours!$C$6:$C$1005,B32,Hours!$I$6:$I$1005,Settings!$C$7,Hours!$D$6:$D$1005,"&gt;0"))</f>
        <v/>
      </c>
      <c r="I32" s="1" t="n"/>
    </row>
    <row r="33">
      <c r="A33" s="1" t="n"/>
      <c r="B33" s="22" t="n"/>
      <c r="C33" s="25" t="n"/>
      <c r="D33" s="25" t="n"/>
      <c r="E33" s="45">
        <f>IF(B33="","",SUMIFS(Hours!$D$6:$D$1005,Hours!$C$6:$C$1005,B33,Hours!$I$6:$I$1005,Settings!$C$7,Hours!$D$6:$D$1005,"&gt;0"))</f>
        <v/>
      </c>
      <c r="F33" s="19">
        <f>IF(B33="","",SUMIFS(Hours!$D$6:$D$1005,Hours!$C$6:$C$1005,B33,Hours!$D$6:$D$1005,"&gt;0",Hours!$K$6:$K$1005,"&gt;0"))</f>
        <v/>
      </c>
      <c r="G33" s="26">
        <f>IF(OR(B33="",N(F33)=0),"",SUMPRODUCT(MAX((Hours!$C$6:$C$1005=B33)*Hours!$L$6:$L$1005)))</f>
        <v/>
      </c>
      <c r="H33" s="18">
        <f>IF(B33="","",COUNTIFS(Hours!$C$6:$C$1005,B33,Hours!$I$6:$I$1005,Settings!$C$7,Hours!$D$6:$D$1005,"&gt;0"))</f>
        <v/>
      </c>
      <c r="I33" s="1" t="n"/>
    </row>
    <row r="34">
      <c r="A34" s="1" t="n"/>
      <c r="B34" s="22" t="n"/>
      <c r="C34" s="25" t="n"/>
      <c r="D34" s="25" t="n"/>
      <c r="E34" s="45">
        <f>IF(B34="","",SUMIFS(Hours!$D$6:$D$1005,Hours!$C$6:$C$1005,B34,Hours!$I$6:$I$1005,Settings!$C$7,Hours!$D$6:$D$1005,"&gt;0"))</f>
        <v/>
      </c>
      <c r="F34" s="19">
        <f>IF(B34="","",SUMIFS(Hours!$D$6:$D$1005,Hours!$C$6:$C$1005,B34,Hours!$D$6:$D$1005,"&gt;0",Hours!$K$6:$K$1005,"&gt;0"))</f>
        <v/>
      </c>
      <c r="G34" s="26">
        <f>IF(OR(B34="",N(F34)=0),"",SUMPRODUCT(MAX((Hours!$C$6:$C$1005=B34)*Hours!$L$6:$L$1005)))</f>
        <v/>
      </c>
      <c r="H34" s="18">
        <f>IF(B34="","",COUNTIFS(Hours!$C$6:$C$1005,B34,Hours!$I$6:$I$1005,Settings!$C$7,Hours!$D$6:$D$1005,"&gt;0"))</f>
        <v/>
      </c>
      <c r="I34" s="1" t="n"/>
    </row>
    <row r="35">
      <c r="A35" s="1" t="n"/>
      <c r="B35" s="22" t="n"/>
      <c r="C35" s="25" t="n"/>
      <c r="D35" s="25" t="n"/>
      <c r="E35" s="45">
        <f>IF(B35="","",SUMIFS(Hours!$D$6:$D$1005,Hours!$C$6:$C$1005,B35,Hours!$I$6:$I$1005,Settings!$C$7,Hours!$D$6:$D$1005,"&gt;0"))</f>
        <v/>
      </c>
      <c r="F35" s="19">
        <f>IF(B35="","",SUMIFS(Hours!$D$6:$D$1005,Hours!$C$6:$C$1005,B35,Hours!$D$6:$D$1005,"&gt;0",Hours!$K$6:$K$1005,"&gt;0"))</f>
        <v/>
      </c>
      <c r="G35" s="26">
        <f>IF(OR(B35="",N(F35)=0),"",SUMPRODUCT(MAX((Hours!$C$6:$C$1005=B35)*Hours!$L$6:$L$1005)))</f>
        <v/>
      </c>
      <c r="H35" s="18">
        <f>IF(B35="","",COUNTIFS(Hours!$C$6:$C$1005,B35,Hours!$I$6:$I$1005,Settings!$C$7,Hours!$D$6:$D$1005,"&gt;0"))</f>
        <v/>
      </c>
      <c r="I35" s="1" t="n"/>
    </row>
    <row r="36">
      <c r="A36" s="1" t="n"/>
      <c r="B36" s="22" t="n"/>
      <c r="C36" s="25" t="n"/>
      <c r="D36" s="25" t="n"/>
      <c r="E36" s="45">
        <f>IF(B36="","",SUMIFS(Hours!$D$6:$D$1005,Hours!$C$6:$C$1005,B36,Hours!$I$6:$I$1005,Settings!$C$7,Hours!$D$6:$D$1005,"&gt;0"))</f>
        <v/>
      </c>
      <c r="F36" s="19">
        <f>IF(B36="","",SUMIFS(Hours!$D$6:$D$1005,Hours!$C$6:$C$1005,B36,Hours!$D$6:$D$1005,"&gt;0",Hours!$K$6:$K$1005,"&gt;0"))</f>
        <v/>
      </c>
      <c r="G36" s="26">
        <f>IF(OR(B36="",N(F36)=0),"",SUMPRODUCT(MAX((Hours!$C$6:$C$1005=B36)*Hours!$L$6:$L$1005)))</f>
        <v/>
      </c>
      <c r="H36" s="18">
        <f>IF(B36="","",COUNTIFS(Hours!$C$6:$C$1005,B36,Hours!$I$6:$I$1005,Settings!$C$7,Hours!$D$6:$D$1005,"&gt;0"))</f>
        <v/>
      </c>
      <c r="I36" s="1" t="n"/>
    </row>
    <row r="37">
      <c r="A37" s="1" t="n"/>
      <c r="B37" s="22" t="n"/>
      <c r="C37" s="25" t="n"/>
      <c r="D37" s="25" t="n"/>
      <c r="E37" s="45">
        <f>IF(B37="","",SUMIFS(Hours!$D$6:$D$1005,Hours!$C$6:$C$1005,B37,Hours!$I$6:$I$1005,Settings!$C$7,Hours!$D$6:$D$1005,"&gt;0"))</f>
        <v/>
      </c>
      <c r="F37" s="19">
        <f>IF(B37="","",SUMIFS(Hours!$D$6:$D$1005,Hours!$C$6:$C$1005,B37,Hours!$D$6:$D$1005,"&gt;0",Hours!$K$6:$K$1005,"&gt;0"))</f>
        <v/>
      </c>
      <c r="G37" s="26">
        <f>IF(OR(B37="",N(F37)=0),"",SUMPRODUCT(MAX((Hours!$C$6:$C$1005=B37)*Hours!$L$6:$L$1005)))</f>
        <v/>
      </c>
      <c r="H37" s="18">
        <f>IF(B37="","",COUNTIFS(Hours!$C$6:$C$1005,B37,Hours!$I$6:$I$1005,Settings!$C$7,Hours!$D$6:$D$1005,"&gt;0"))</f>
        <v/>
      </c>
      <c r="I37" s="1" t="n"/>
    </row>
    <row r="38">
      <c r="A38" s="1" t="n"/>
      <c r="B38" s="22" t="n"/>
      <c r="C38" s="25" t="n"/>
      <c r="D38" s="25" t="n"/>
      <c r="E38" s="45">
        <f>IF(B38="","",SUMIFS(Hours!$D$6:$D$1005,Hours!$C$6:$C$1005,B38,Hours!$I$6:$I$1005,Settings!$C$7,Hours!$D$6:$D$1005,"&gt;0"))</f>
        <v/>
      </c>
      <c r="F38" s="19">
        <f>IF(B38="","",SUMIFS(Hours!$D$6:$D$1005,Hours!$C$6:$C$1005,B38,Hours!$D$6:$D$1005,"&gt;0",Hours!$K$6:$K$1005,"&gt;0"))</f>
        <v/>
      </c>
      <c r="G38" s="26">
        <f>IF(OR(B38="",N(F38)=0),"",SUMPRODUCT(MAX((Hours!$C$6:$C$1005=B38)*Hours!$L$6:$L$1005)))</f>
        <v/>
      </c>
      <c r="H38" s="18">
        <f>IF(B38="","",COUNTIFS(Hours!$C$6:$C$1005,B38,Hours!$I$6:$I$1005,Settings!$C$7,Hours!$D$6:$D$1005,"&gt;0"))</f>
        <v/>
      </c>
      <c r="I38" s="1" t="n"/>
    </row>
    <row r="39">
      <c r="A39" s="1" t="n"/>
      <c r="B39" s="22" t="n"/>
      <c r="C39" s="25" t="n"/>
      <c r="D39" s="25" t="n"/>
      <c r="E39" s="45">
        <f>IF(B39="","",SUMIFS(Hours!$D$6:$D$1005,Hours!$C$6:$C$1005,B39,Hours!$I$6:$I$1005,Settings!$C$7,Hours!$D$6:$D$1005,"&gt;0"))</f>
        <v/>
      </c>
      <c r="F39" s="19">
        <f>IF(B39="","",SUMIFS(Hours!$D$6:$D$1005,Hours!$C$6:$C$1005,B39,Hours!$D$6:$D$1005,"&gt;0",Hours!$K$6:$K$1005,"&gt;0"))</f>
        <v/>
      </c>
      <c r="G39" s="26">
        <f>IF(OR(B39="",N(F39)=0),"",SUMPRODUCT(MAX((Hours!$C$6:$C$1005=B39)*Hours!$L$6:$L$1005)))</f>
        <v/>
      </c>
      <c r="H39" s="18">
        <f>IF(B39="","",COUNTIFS(Hours!$C$6:$C$1005,B39,Hours!$I$6:$I$1005,Settings!$C$7,Hours!$D$6:$D$1005,"&gt;0"))</f>
        <v/>
      </c>
      <c r="I39" s="1" t="n"/>
    </row>
    <row r="40">
      <c r="A40" s="1" t="n"/>
      <c r="B40" s="22" t="n"/>
      <c r="C40" s="25" t="n"/>
      <c r="D40" s="25" t="n"/>
      <c r="E40" s="45">
        <f>IF(B40="","",SUMIFS(Hours!$D$6:$D$1005,Hours!$C$6:$C$1005,B40,Hours!$I$6:$I$1005,Settings!$C$7,Hours!$D$6:$D$1005,"&gt;0"))</f>
        <v/>
      </c>
      <c r="F40" s="19">
        <f>IF(B40="","",SUMIFS(Hours!$D$6:$D$1005,Hours!$C$6:$C$1005,B40,Hours!$D$6:$D$1005,"&gt;0",Hours!$K$6:$K$1005,"&gt;0"))</f>
        <v/>
      </c>
      <c r="G40" s="26">
        <f>IF(OR(B40="",N(F40)=0),"",SUMPRODUCT(MAX((Hours!$C$6:$C$1005=B40)*Hours!$L$6:$L$1005)))</f>
        <v/>
      </c>
      <c r="H40" s="18">
        <f>IF(B40="","",COUNTIFS(Hours!$C$6:$C$1005,B40,Hours!$I$6:$I$1005,Settings!$C$7,Hours!$D$6:$D$1005,"&gt;0"))</f>
        <v/>
      </c>
      <c r="I40" s="1" t="n"/>
    </row>
    <row r="41">
      <c r="A41" s="1" t="n"/>
      <c r="B41" s="22" t="n"/>
      <c r="C41" s="25" t="n"/>
      <c r="D41" s="25" t="n"/>
      <c r="E41" s="45">
        <f>IF(B41="","",SUMIFS(Hours!$D$6:$D$1005,Hours!$C$6:$C$1005,B41,Hours!$I$6:$I$1005,Settings!$C$7,Hours!$D$6:$D$1005,"&gt;0"))</f>
        <v/>
      </c>
      <c r="F41" s="19">
        <f>IF(B41="","",SUMIFS(Hours!$D$6:$D$1005,Hours!$C$6:$C$1005,B41,Hours!$D$6:$D$1005,"&gt;0",Hours!$K$6:$K$1005,"&gt;0"))</f>
        <v/>
      </c>
      <c r="G41" s="26">
        <f>IF(OR(B41="",N(F41)=0),"",SUMPRODUCT(MAX((Hours!$C$6:$C$1005=B41)*Hours!$L$6:$L$1005)))</f>
        <v/>
      </c>
      <c r="H41" s="18">
        <f>IF(B41="","",COUNTIFS(Hours!$C$6:$C$1005,B41,Hours!$I$6:$I$1005,Settings!$C$7,Hours!$D$6:$D$1005,"&gt;0"))</f>
        <v/>
      </c>
      <c r="I41" s="1" t="n"/>
    </row>
    <row r="42">
      <c r="A42" s="1" t="n"/>
      <c r="B42" s="22" t="n"/>
      <c r="C42" s="25" t="n"/>
      <c r="D42" s="25" t="n"/>
      <c r="E42" s="45">
        <f>IF(B42="","",SUMIFS(Hours!$D$6:$D$1005,Hours!$C$6:$C$1005,B42,Hours!$I$6:$I$1005,Settings!$C$7,Hours!$D$6:$D$1005,"&gt;0"))</f>
        <v/>
      </c>
      <c r="F42" s="19">
        <f>IF(B42="","",SUMIFS(Hours!$D$6:$D$1005,Hours!$C$6:$C$1005,B42,Hours!$D$6:$D$1005,"&gt;0",Hours!$K$6:$K$1005,"&gt;0"))</f>
        <v/>
      </c>
      <c r="G42" s="26">
        <f>IF(OR(B42="",N(F42)=0),"",SUMPRODUCT(MAX((Hours!$C$6:$C$1005=B42)*Hours!$L$6:$L$1005)))</f>
        <v/>
      </c>
      <c r="H42" s="18">
        <f>IF(B42="","",COUNTIFS(Hours!$C$6:$C$1005,B42,Hours!$I$6:$I$1005,Settings!$C$7,Hours!$D$6:$D$1005,"&gt;0"))</f>
        <v/>
      </c>
      <c r="I42" s="1" t="n"/>
    </row>
    <row r="43">
      <c r="A43" s="1" t="n"/>
      <c r="B43" s="22" t="n"/>
      <c r="C43" s="25" t="n"/>
      <c r="D43" s="25" t="n"/>
      <c r="E43" s="45">
        <f>IF(B43="","",SUMIFS(Hours!$D$6:$D$1005,Hours!$C$6:$C$1005,B43,Hours!$I$6:$I$1005,Settings!$C$7,Hours!$D$6:$D$1005,"&gt;0"))</f>
        <v/>
      </c>
      <c r="F43" s="19">
        <f>IF(B43="","",SUMIFS(Hours!$D$6:$D$1005,Hours!$C$6:$C$1005,B43,Hours!$D$6:$D$1005,"&gt;0",Hours!$K$6:$K$1005,"&gt;0"))</f>
        <v/>
      </c>
      <c r="G43" s="26">
        <f>IF(OR(B43="",N(F43)=0),"",SUMPRODUCT(MAX((Hours!$C$6:$C$1005=B43)*Hours!$L$6:$L$1005)))</f>
        <v/>
      </c>
      <c r="H43" s="18">
        <f>IF(B43="","",COUNTIFS(Hours!$C$6:$C$1005,B43,Hours!$I$6:$I$1005,Settings!$C$7,Hours!$D$6:$D$1005,"&gt;0"))</f>
        <v/>
      </c>
      <c r="I43" s="1" t="n"/>
    </row>
    <row r="44">
      <c r="A44" s="1" t="n"/>
      <c r="B44" s="22" t="n"/>
      <c r="C44" s="25" t="n"/>
      <c r="D44" s="25" t="n"/>
      <c r="E44" s="45">
        <f>IF(B44="","",SUMIFS(Hours!$D$6:$D$1005,Hours!$C$6:$C$1005,B44,Hours!$I$6:$I$1005,Settings!$C$7,Hours!$D$6:$D$1005,"&gt;0"))</f>
        <v/>
      </c>
      <c r="F44" s="19">
        <f>IF(B44="","",SUMIFS(Hours!$D$6:$D$1005,Hours!$C$6:$C$1005,B44,Hours!$D$6:$D$1005,"&gt;0",Hours!$K$6:$K$1005,"&gt;0"))</f>
        <v/>
      </c>
      <c r="G44" s="26">
        <f>IF(OR(B44="",N(F44)=0),"",SUMPRODUCT(MAX((Hours!$C$6:$C$1005=B44)*Hours!$L$6:$L$1005)))</f>
        <v/>
      </c>
      <c r="H44" s="18">
        <f>IF(B44="","",COUNTIFS(Hours!$C$6:$C$1005,B44,Hours!$I$6:$I$1005,Settings!$C$7,Hours!$D$6:$D$1005,"&gt;0"))</f>
        <v/>
      </c>
      <c r="I44" s="1" t="n"/>
    </row>
    <row r="45">
      <c r="A45" s="1" t="n"/>
      <c r="B45" s="22" t="n"/>
      <c r="C45" s="25" t="n"/>
      <c r="D45" s="25" t="n"/>
      <c r="E45" s="45">
        <f>IF(B45="","",SUMIFS(Hours!$D$6:$D$1005,Hours!$C$6:$C$1005,B45,Hours!$I$6:$I$1005,Settings!$C$7,Hours!$D$6:$D$1005,"&gt;0"))</f>
        <v/>
      </c>
      <c r="F45" s="19">
        <f>IF(B45="","",SUMIFS(Hours!$D$6:$D$1005,Hours!$C$6:$C$1005,B45,Hours!$D$6:$D$1005,"&gt;0",Hours!$K$6:$K$1005,"&gt;0"))</f>
        <v/>
      </c>
      <c r="G45" s="26">
        <f>IF(OR(B45="",N(F45)=0),"",SUMPRODUCT(MAX((Hours!$C$6:$C$1005=B45)*Hours!$L$6:$L$1005)))</f>
        <v/>
      </c>
      <c r="H45" s="18">
        <f>IF(B45="","",COUNTIFS(Hours!$C$6:$C$1005,B45,Hours!$I$6:$I$1005,Settings!$C$7,Hours!$D$6:$D$1005,"&gt;0"))</f>
        <v/>
      </c>
      <c r="I45" s="1" t="n"/>
    </row>
    <row r="46">
      <c r="A46" s="1" t="n"/>
      <c r="B46" s="22" t="n"/>
      <c r="C46" s="25" t="n"/>
      <c r="D46" s="25" t="n"/>
      <c r="E46" s="45">
        <f>IF(B46="","",SUMIFS(Hours!$D$6:$D$1005,Hours!$C$6:$C$1005,B46,Hours!$I$6:$I$1005,Settings!$C$7,Hours!$D$6:$D$1005,"&gt;0"))</f>
        <v/>
      </c>
      <c r="F46" s="19">
        <f>IF(B46="","",SUMIFS(Hours!$D$6:$D$1005,Hours!$C$6:$C$1005,B46,Hours!$D$6:$D$1005,"&gt;0",Hours!$K$6:$K$1005,"&gt;0"))</f>
        <v/>
      </c>
      <c r="G46" s="26">
        <f>IF(OR(B46="",N(F46)=0),"",SUMPRODUCT(MAX((Hours!$C$6:$C$1005=B46)*Hours!$L$6:$L$1005)))</f>
        <v/>
      </c>
      <c r="H46" s="18">
        <f>IF(B46="","",COUNTIFS(Hours!$C$6:$C$1005,B46,Hours!$I$6:$I$1005,Settings!$C$7,Hours!$D$6:$D$1005,"&gt;0"))</f>
        <v/>
      </c>
      <c r="I46" s="1" t="n"/>
    </row>
    <row r="47">
      <c r="A47" s="1" t="n"/>
      <c r="B47" s="22" t="n"/>
      <c r="C47" s="25" t="n"/>
      <c r="D47" s="25" t="n"/>
      <c r="E47" s="45">
        <f>IF(B47="","",SUMIFS(Hours!$D$6:$D$1005,Hours!$C$6:$C$1005,B47,Hours!$I$6:$I$1005,Settings!$C$7,Hours!$D$6:$D$1005,"&gt;0"))</f>
        <v/>
      </c>
      <c r="F47" s="19">
        <f>IF(B47="","",SUMIFS(Hours!$D$6:$D$1005,Hours!$C$6:$C$1005,B47,Hours!$D$6:$D$1005,"&gt;0",Hours!$K$6:$K$1005,"&gt;0"))</f>
        <v/>
      </c>
      <c r="G47" s="26">
        <f>IF(OR(B47="",N(F47)=0),"",SUMPRODUCT(MAX((Hours!$C$6:$C$1005=B47)*Hours!$L$6:$L$1005)))</f>
        <v/>
      </c>
      <c r="H47" s="18">
        <f>IF(B47="","",COUNTIFS(Hours!$C$6:$C$1005,B47,Hours!$I$6:$I$1005,Settings!$C$7,Hours!$D$6:$D$1005,"&gt;0"))</f>
        <v/>
      </c>
      <c r="I47" s="1" t="n"/>
    </row>
    <row r="48">
      <c r="A48" s="1" t="n"/>
      <c r="B48" s="22" t="n"/>
      <c r="C48" s="25" t="n"/>
      <c r="D48" s="25" t="n"/>
      <c r="E48" s="45">
        <f>IF(B48="","",SUMIFS(Hours!$D$6:$D$1005,Hours!$C$6:$C$1005,B48,Hours!$I$6:$I$1005,Settings!$C$7,Hours!$D$6:$D$1005,"&gt;0"))</f>
        <v/>
      </c>
      <c r="F48" s="19">
        <f>IF(B48="","",SUMIFS(Hours!$D$6:$D$1005,Hours!$C$6:$C$1005,B48,Hours!$D$6:$D$1005,"&gt;0",Hours!$K$6:$K$1005,"&gt;0"))</f>
        <v/>
      </c>
      <c r="G48" s="26">
        <f>IF(OR(B48="",N(F48)=0),"",SUMPRODUCT(MAX((Hours!$C$6:$C$1005=B48)*Hours!$L$6:$L$1005)))</f>
        <v/>
      </c>
      <c r="H48" s="18">
        <f>IF(B48="","",COUNTIFS(Hours!$C$6:$C$1005,B48,Hours!$I$6:$I$1005,Settings!$C$7,Hours!$D$6:$D$1005,"&gt;0"))</f>
        <v/>
      </c>
      <c r="I48" s="1" t="n"/>
    </row>
    <row r="49">
      <c r="A49" s="1" t="n"/>
      <c r="B49" s="22" t="n"/>
      <c r="C49" s="25" t="n"/>
      <c r="D49" s="25" t="n"/>
      <c r="E49" s="45">
        <f>IF(B49="","",SUMIFS(Hours!$D$6:$D$1005,Hours!$C$6:$C$1005,B49,Hours!$I$6:$I$1005,Settings!$C$7,Hours!$D$6:$D$1005,"&gt;0"))</f>
        <v/>
      </c>
      <c r="F49" s="19">
        <f>IF(B49="","",SUMIFS(Hours!$D$6:$D$1005,Hours!$C$6:$C$1005,B49,Hours!$D$6:$D$1005,"&gt;0",Hours!$K$6:$K$1005,"&gt;0"))</f>
        <v/>
      </c>
      <c r="G49" s="26">
        <f>IF(OR(B49="",N(F49)=0),"",SUMPRODUCT(MAX((Hours!$C$6:$C$1005=B49)*Hours!$L$6:$L$1005)))</f>
        <v/>
      </c>
      <c r="H49" s="18">
        <f>IF(B49="","",COUNTIFS(Hours!$C$6:$C$1005,B49,Hours!$I$6:$I$1005,Settings!$C$7,Hours!$D$6:$D$1005,"&gt;0"))</f>
        <v/>
      </c>
      <c r="I49" s="1" t="n"/>
    </row>
    <row r="50">
      <c r="A50" s="1" t="n"/>
      <c r="B50" s="22" t="n"/>
      <c r="C50" s="25" t="n"/>
      <c r="D50" s="25" t="n"/>
      <c r="E50" s="45">
        <f>IF(B50="","",SUMIFS(Hours!$D$6:$D$1005,Hours!$C$6:$C$1005,B50,Hours!$I$6:$I$1005,Settings!$C$7,Hours!$D$6:$D$1005,"&gt;0"))</f>
        <v/>
      </c>
      <c r="F50" s="19">
        <f>IF(B50="","",SUMIFS(Hours!$D$6:$D$1005,Hours!$C$6:$C$1005,B50,Hours!$D$6:$D$1005,"&gt;0",Hours!$K$6:$K$1005,"&gt;0"))</f>
        <v/>
      </c>
      <c r="G50" s="26">
        <f>IF(OR(B50="",N(F50)=0),"",SUMPRODUCT(MAX((Hours!$C$6:$C$1005=B50)*Hours!$L$6:$L$1005)))</f>
        <v/>
      </c>
      <c r="H50" s="18">
        <f>IF(B50="","",COUNTIFS(Hours!$C$6:$C$1005,B50,Hours!$I$6:$I$1005,Settings!$C$7,Hours!$D$6:$D$1005,"&gt;0"))</f>
        <v/>
      </c>
      <c r="I50" s="1" t="n"/>
    </row>
    <row r="51">
      <c r="A51" s="1" t="n"/>
      <c r="B51" s="22" t="n"/>
      <c r="C51" s="25" t="n"/>
      <c r="D51" s="25" t="n"/>
      <c r="E51" s="45">
        <f>IF(B51="","",SUMIFS(Hours!$D$6:$D$1005,Hours!$C$6:$C$1005,B51,Hours!$I$6:$I$1005,Settings!$C$7,Hours!$D$6:$D$1005,"&gt;0"))</f>
        <v/>
      </c>
      <c r="F51" s="19">
        <f>IF(B51="","",SUMIFS(Hours!$D$6:$D$1005,Hours!$C$6:$C$1005,B51,Hours!$D$6:$D$1005,"&gt;0",Hours!$K$6:$K$1005,"&gt;0"))</f>
        <v/>
      </c>
      <c r="G51" s="26">
        <f>IF(OR(B51="",N(F51)=0),"",SUMPRODUCT(MAX((Hours!$C$6:$C$1005=B51)*Hours!$L$6:$L$1005)))</f>
        <v/>
      </c>
      <c r="H51" s="18">
        <f>IF(B51="","",COUNTIFS(Hours!$C$6:$C$1005,B51,Hours!$I$6:$I$1005,Settings!$C$7,Hours!$D$6:$D$1005,"&gt;0"))</f>
        <v/>
      </c>
      <c r="I51" s="1" t="n"/>
    </row>
    <row r="52">
      <c r="A52" s="1" t="n"/>
      <c r="B52" s="22" t="n"/>
      <c r="C52" s="25" t="n"/>
      <c r="D52" s="25" t="n"/>
      <c r="E52" s="45">
        <f>IF(B52="","",SUMIFS(Hours!$D$6:$D$1005,Hours!$C$6:$C$1005,B52,Hours!$I$6:$I$1005,Settings!$C$7,Hours!$D$6:$D$1005,"&gt;0"))</f>
        <v/>
      </c>
      <c r="F52" s="19">
        <f>IF(B52="","",SUMIFS(Hours!$D$6:$D$1005,Hours!$C$6:$C$1005,B52,Hours!$D$6:$D$1005,"&gt;0",Hours!$K$6:$K$1005,"&gt;0"))</f>
        <v/>
      </c>
      <c r="G52" s="26">
        <f>IF(OR(B52="",N(F52)=0),"",SUMPRODUCT(MAX((Hours!$C$6:$C$1005=B52)*Hours!$L$6:$L$1005)))</f>
        <v/>
      </c>
      <c r="H52" s="18">
        <f>IF(B52="","",COUNTIFS(Hours!$C$6:$C$1005,B52,Hours!$I$6:$I$1005,Settings!$C$7,Hours!$D$6:$D$1005,"&gt;0"))</f>
        <v/>
      </c>
      <c r="I52" s="1" t="n"/>
    </row>
    <row r="53">
      <c r="A53" s="1" t="n"/>
      <c r="B53" s="22" t="n"/>
      <c r="C53" s="25" t="n"/>
      <c r="D53" s="25" t="n"/>
      <c r="E53" s="45">
        <f>IF(B53="","",SUMIFS(Hours!$D$6:$D$1005,Hours!$C$6:$C$1005,B53,Hours!$I$6:$I$1005,Settings!$C$7,Hours!$D$6:$D$1005,"&gt;0"))</f>
        <v/>
      </c>
      <c r="F53" s="19">
        <f>IF(B53="","",SUMIFS(Hours!$D$6:$D$1005,Hours!$C$6:$C$1005,B53,Hours!$D$6:$D$1005,"&gt;0",Hours!$K$6:$K$1005,"&gt;0"))</f>
        <v/>
      </c>
      <c r="G53" s="26">
        <f>IF(OR(B53="",N(F53)=0),"",SUMPRODUCT(MAX((Hours!$C$6:$C$1005=B53)*Hours!$L$6:$L$1005)))</f>
        <v/>
      </c>
      <c r="H53" s="18">
        <f>IF(B53="","",COUNTIFS(Hours!$C$6:$C$1005,B53,Hours!$I$6:$I$1005,Settings!$C$7,Hours!$D$6:$D$1005,"&gt;0"))</f>
        <v/>
      </c>
      <c r="I53" s="1" t="n"/>
    </row>
    <row r="54">
      <c r="A54" s="1" t="n"/>
      <c r="B54" s="22" t="n"/>
      <c r="C54" s="25" t="n"/>
      <c r="D54" s="25" t="n"/>
      <c r="E54" s="45">
        <f>IF(B54="","",SUMIFS(Hours!$D$6:$D$1005,Hours!$C$6:$C$1005,B54,Hours!$I$6:$I$1005,Settings!$C$7,Hours!$D$6:$D$1005,"&gt;0"))</f>
        <v/>
      </c>
      <c r="F54" s="19">
        <f>IF(B54="","",SUMIFS(Hours!$D$6:$D$1005,Hours!$C$6:$C$1005,B54,Hours!$D$6:$D$1005,"&gt;0",Hours!$K$6:$K$1005,"&gt;0"))</f>
        <v/>
      </c>
      <c r="G54" s="26">
        <f>IF(OR(B54="",N(F54)=0),"",SUMPRODUCT(MAX((Hours!$C$6:$C$1005=B54)*Hours!$L$6:$L$1005)))</f>
        <v/>
      </c>
      <c r="H54" s="18">
        <f>IF(B54="","",COUNTIFS(Hours!$C$6:$C$1005,B54,Hours!$I$6:$I$1005,Settings!$C$7,Hours!$D$6:$D$1005,"&gt;0"))</f>
        <v/>
      </c>
      <c r="I54" s="1" t="n"/>
    </row>
    <row r="55">
      <c r="A55" s="1" t="n"/>
      <c r="B55" s="22" t="n"/>
      <c r="C55" s="25" t="n"/>
      <c r="D55" s="25" t="n"/>
      <c r="E55" s="45">
        <f>IF(B55="","",SUMIFS(Hours!$D$6:$D$1005,Hours!$C$6:$C$1005,B55,Hours!$I$6:$I$1005,Settings!$C$7,Hours!$D$6:$D$1005,"&gt;0"))</f>
        <v/>
      </c>
      <c r="F55" s="19">
        <f>IF(B55="","",SUMIFS(Hours!$D$6:$D$1005,Hours!$C$6:$C$1005,B55,Hours!$D$6:$D$1005,"&gt;0",Hours!$K$6:$K$1005,"&gt;0"))</f>
        <v/>
      </c>
      <c r="G55" s="26">
        <f>IF(OR(B55="",N(F55)=0),"",SUMPRODUCT(MAX((Hours!$C$6:$C$1005=B55)*Hours!$L$6:$L$1005)))</f>
        <v/>
      </c>
      <c r="H55" s="18">
        <f>IF(B55="","",COUNTIFS(Hours!$C$6:$C$1005,B55,Hours!$I$6:$I$1005,Settings!$C$7,Hours!$D$6:$D$1005,"&gt;0"))</f>
        <v/>
      </c>
      <c r="I55" s="1" t="n"/>
    </row>
    <row r="56">
      <c r="A56" s="1" t="n"/>
      <c r="B56" s="22" t="n"/>
      <c r="C56" s="25" t="n"/>
      <c r="D56" s="25" t="n"/>
      <c r="E56" s="45">
        <f>IF(B56="","",SUMIFS(Hours!$D$6:$D$1005,Hours!$C$6:$C$1005,B56,Hours!$I$6:$I$1005,Settings!$C$7,Hours!$D$6:$D$1005,"&gt;0"))</f>
        <v/>
      </c>
      <c r="F56" s="19">
        <f>IF(B56="","",SUMIFS(Hours!$D$6:$D$1005,Hours!$C$6:$C$1005,B56,Hours!$D$6:$D$1005,"&gt;0",Hours!$K$6:$K$1005,"&gt;0"))</f>
        <v/>
      </c>
      <c r="G56" s="26">
        <f>IF(OR(B56="",N(F56)=0),"",SUMPRODUCT(MAX((Hours!$C$6:$C$1005=B56)*Hours!$L$6:$L$1005)))</f>
        <v/>
      </c>
      <c r="H56" s="18">
        <f>IF(B56="","",COUNTIFS(Hours!$C$6:$C$1005,B56,Hours!$I$6:$I$1005,Settings!$C$7,Hours!$D$6:$D$1005,"&gt;0"))</f>
        <v/>
      </c>
      <c r="I56" s="1" t="n"/>
    </row>
    <row r="57">
      <c r="A57" s="1" t="n"/>
      <c r="B57" s="22" t="n"/>
      <c r="C57" s="25" t="n"/>
      <c r="D57" s="25" t="n"/>
      <c r="E57" s="45">
        <f>IF(B57="","",SUMIFS(Hours!$D$6:$D$1005,Hours!$C$6:$C$1005,B57,Hours!$I$6:$I$1005,Settings!$C$7,Hours!$D$6:$D$1005,"&gt;0"))</f>
        <v/>
      </c>
      <c r="F57" s="19">
        <f>IF(B57="","",SUMIFS(Hours!$D$6:$D$1005,Hours!$C$6:$C$1005,B57,Hours!$D$6:$D$1005,"&gt;0",Hours!$K$6:$K$1005,"&gt;0"))</f>
        <v/>
      </c>
      <c r="G57" s="26">
        <f>IF(OR(B57="",N(F57)=0),"",SUMPRODUCT(MAX((Hours!$C$6:$C$1005=B57)*Hours!$L$6:$L$1005)))</f>
        <v/>
      </c>
      <c r="H57" s="18">
        <f>IF(B57="","",COUNTIFS(Hours!$C$6:$C$1005,B57,Hours!$I$6:$I$1005,Settings!$C$7,Hours!$D$6:$D$1005,"&gt;0"))</f>
        <v/>
      </c>
      <c r="I57" s="1" t="n"/>
    </row>
    <row r="58">
      <c r="A58" s="1" t="n"/>
      <c r="B58" s="22" t="n"/>
      <c r="C58" s="25" t="n"/>
      <c r="D58" s="25" t="n"/>
      <c r="E58" s="45">
        <f>IF(B58="","",SUMIFS(Hours!$D$6:$D$1005,Hours!$C$6:$C$1005,B58,Hours!$I$6:$I$1005,Settings!$C$7,Hours!$D$6:$D$1005,"&gt;0"))</f>
        <v/>
      </c>
      <c r="F58" s="19">
        <f>IF(B58="","",SUMIFS(Hours!$D$6:$D$1005,Hours!$C$6:$C$1005,B58,Hours!$D$6:$D$1005,"&gt;0",Hours!$K$6:$K$1005,"&gt;0"))</f>
        <v/>
      </c>
      <c r="G58" s="26">
        <f>IF(OR(B58="",N(F58)=0),"",SUMPRODUCT(MAX((Hours!$C$6:$C$1005=B58)*Hours!$L$6:$L$1005)))</f>
        <v/>
      </c>
      <c r="H58" s="18">
        <f>IF(B58="","",COUNTIFS(Hours!$C$6:$C$1005,B58,Hours!$I$6:$I$1005,Settings!$C$7,Hours!$D$6:$D$1005,"&gt;0"))</f>
        <v/>
      </c>
      <c r="I58" s="1" t="n"/>
    </row>
    <row r="59">
      <c r="A59" s="1" t="n"/>
      <c r="B59" s="22" t="n"/>
      <c r="C59" s="25" t="n"/>
      <c r="D59" s="25" t="n"/>
      <c r="E59" s="45">
        <f>IF(B59="","",SUMIFS(Hours!$D$6:$D$1005,Hours!$C$6:$C$1005,B59,Hours!$I$6:$I$1005,Settings!$C$7,Hours!$D$6:$D$1005,"&gt;0"))</f>
        <v/>
      </c>
      <c r="F59" s="19">
        <f>IF(B59="","",SUMIFS(Hours!$D$6:$D$1005,Hours!$C$6:$C$1005,B59,Hours!$D$6:$D$1005,"&gt;0",Hours!$K$6:$K$1005,"&gt;0"))</f>
        <v/>
      </c>
      <c r="G59" s="26">
        <f>IF(OR(B59="",N(F59)=0),"",SUMPRODUCT(MAX((Hours!$C$6:$C$1005=B59)*Hours!$L$6:$L$1005)))</f>
        <v/>
      </c>
      <c r="H59" s="18">
        <f>IF(B59="","",COUNTIFS(Hours!$C$6:$C$1005,B59,Hours!$I$6:$I$1005,Settings!$C$7,Hours!$D$6:$D$1005,"&gt;0"))</f>
        <v/>
      </c>
      <c r="I59" s="1" t="n"/>
    </row>
    <row r="60">
      <c r="A60" s="1" t="n"/>
      <c r="B60" s="22" t="n"/>
      <c r="C60" s="25" t="n"/>
      <c r="D60" s="25" t="n"/>
      <c r="E60" s="45">
        <f>IF(B60="","",SUMIFS(Hours!$D$6:$D$1005,Hours!$C$6:$C$1005,B60,Hours!$I$6:$I$1005,Settings!$C$7,Hours!$D$6:$D$1005,"&gt;0"))</f>
        <v/>
      </c>
      <c r="F60" s="19">
        <f>IF(B60="","",SUMIFS(Hours!$D$6:$D$1005,Hours!$C$6:$C$1005,B60,Hours!$D$6:$D$1005,"&gt;0",Hours!$K$6:$K$1005,"&gt;0"))</f>
        <v/>
      </c>
      <c r="G60" s="26">
        <f>IF(OR(B60="",N(F60)=0),"",SUMPRODUCT(MAX((Hours!$C$6:$C$1005=B60)*Hours!$L$6:$L$1005)))</f>
        <v/>
      </c>
      <c r="H60" s="18">
        <f>IF(B60="","",COUNTIFS(Hours!$C$6:$C$1005,B60,Hours!$I$6:$I$1005,Settings!$C$7,Hours!$D$6:$D$1005,"&gt;0"))</f>
        <v/>
      </c>
      <c r="I60" s="1" t="n"/>
    </row>
    <row r="61">
      <c r="A61" s="1" t="n"/>
      <c r="B61" s="22" t="n"/>
      <c r="C61" s="25" t="n"/>
      <c r="D61" s="25" t="n"/>
      <c r="E61" s="45">
        <f>IF(B61="","",SUMIFS(Hours!$D$6:$D$1005,Hours!$C$6:$C$1005,B61,Hours!$I$6:$I$1005,Settings!$C$7,Hours!$D$6:$D$1005,"&gt;0"))</f>
        <v/>
      </c>
      <c r="F61" s="19">
        <f>IF(B61="","",SUMIFS(Hours!$D$6:$D$1005,Hours!$C$6:$C$1005,B61,Hours!$D$6:$D$1005,"&gt;0",Hours!$K$6:$K$1005,"&gt;0"))</f>
        <v/>
      </c>
      <c r="G61" s="26">
        <f>IF(OR(B61="",N(F61)=0),"",SUMPRODUCT(MAX((Hours!$C$6:$C$1005=B61)*Hours!$L$6:$L$1005)))</f>
        <v/>
      </c>
      <c r="H61" s="18">
        <f>IF(B61="","",COUNTIFS(Hours!$C$6:$C$1005,B61,Hours!$I$6:$I$1005,Settings!$C$7,Hours!$D$6:$D$1005,"&gt;0"))</f>
        <v/>
      </c>
      <c r="I61" s="1" t="n"/>
    </row>
    <row r="62">
      <c r="A62" s="1" t="n"/>
      <c r="B62" s="22" t="n"/>
      <c r="C62" s="25" t="n"/>
      <c r="D62" s="25" t="n"/>
      <c r="E62" s="45">
        <f>IF(B62="","",SUMIFS(Hours!$D$6:$D$1005,Hours!$C$6:$C$1005,B62,Hours!$I$6:$I$1005,Settings!$C$7,Hours!$D$6:$D$1005,"&gt;0"))</f>
        <v/>
      </c>
      <c r="F62" s="19">
        <f>IF(B62="","",SUMIFS(Hours!$D$6:$D$1005,Hours!$C$6:$C$1005,B62,Hours!$D$6:$D$1005,"&gt;0",Hours!$K$6:$K$1005,"&gt;0"))</f>
        <v/>
      </c>
      <c r="G62" s="26">
        <f>IF(OR(B62="",N(F62)=0),"",SUMPRODUCT(MAX((Hours!$C$6:$C$1005=B62)*Hours!$L$6:$L$1005)))</f>
        <v/>
      </c>
      <c r="H62" s="18">
        <f>IF(B62="","",COUNTIFS(Hours!$C$6:$C$1005,B62,Hours!$I$6:$I$1005,Settings!$C$7,Hours!$D$6:$D$1005,"&gt;0"))</f>
        <v/>
      </c>
      <c r="I62" s="1" t="n"/>
    </row>
    <row r="63">
      <c r="A63" s="1" t="n"/>
      <c r="B63" s="22" t="n"/>
      <c r="C63" s="25" t="n"/>
      <c r="D63" s="25" t="n"/>
      <c r="E63" s="45">
        <f>IF(B63="","",SUMIFS(Hours!$D$6:$D$1005,Hours!$C$6:$C$1005,B63,Hours!$I$6:$I$1005,Settings!$C$7,Hours!$D$6:$D$1005,"&gt;0"))</f>
        <v/>
      </c>
      <c r="F63" s="19">
        <f>IF(B63="","",SUMIFS(Hours!$D$6:$D$1005,Hours!$C$6:$C$1005,B63,Hours!$D$6:$D$1005,"&gt;0",Hours!$K$6:$K$1005,"&gt;0"))</f>
        <v/>
      </c>
      <c r="G63" s="26">
        <f>IF(OR(B63="",N(F63)=0),"",SUMPRODUCT(MAX((Hours!$C$6:$C$1005=B63)*Hours!$L$6:$L$1005)))</f>
        <v/>
      </c>
      <c r="H63" s="18">
        <f>IF(B63="","",COUNTIFS(Hours!$C$6:$C$1005,B63,Hours!$I$6:$I$1005,Settings!$C$7,Hours!$D$6:$D$1005,"&gt;0"))</f>
        <v/>
      </c>
      <c r="I63" s="1" t="n"/>
    </row>
    <row r="64">
      <c r="A64" s="1" t="n"/>
      <c r="B64" s="22" t="n"/>
      <c r="C64" s="25" t="n"/>
      <c r="D64" s="25" t="n"/>
      <c r="E64" s="45">
        <f>IF(B64="","",SUMIFS(Hours!$D$6:$D$1005,Hours!$C$6:$C$1005,B64,Hours!$I$6:$I$1005,Settings!$C$7,Hours!$D$6:$D$1005,"&gt;0"))</f>
        <v/>
      </c>
      <c r="F64" s="19">
        <f>IF(B64="","",SUMIFS(Hours!$D$6:$D$1005,Hours!$C$6:$C$1005,B64,Hours!$D$6:$D$1005,"&gt;0",Hours!$K$6:$K$1005,"&gt;0"))</f>
        <v/>
      </c>
      <c r="G64" s="26">
        <f>IF(OR(B64="",N(F64)=0),"",SUMPRODUCT(MAX((Hours!$C$6:$C$1005=B64)*Hours!$L$6:$L$1005)))</f>
        <v/>
      </c>
      <c r="H64" s="18">
        <f>IF(B64="","",COUNTIFS(Hours!$C$6:$C$1005,B64,Hours!$I$6:$I$1005,Settings!$C$7,Hours!$D$6:$D$1005,"&gt;0"))</f>
        <v/>
      </c>
      <c r="I64" s="1" t="n"/>
    </row>
    <row r="65">
      <c r="A65" s="1" t="n"/>
      <c r="B65" s="22" t="n"/>
      <c r="C65" s="25" t="n"/>
      <c r="D65" s="25" t="n"/>
      <c r="E65" s="45">
        <f>IF(B65="","",SUMIFS(Hours!$D$6:$D$1005,Hours!$C$6:$C$1005,B65,Hours!$I$6:$I$1005,Settings!$C$7,Hours!$D$6:$D$1005,"&gt;0"))</f>
        <v/>
      </c>
      <c r="F65" s="19">
        <f>IF(B65="","",SUMIFS(Hours!$D$6:$D$1005,Hours!$C$6:$C$1005,B65,Hours!$D$6:$D$1005,"&gt;0",Hours!$K$6:$K$1005,"&gt;0"))</f>
        <v/>
      </c>
      <c r="G65" s="26">
        <f>IF(OR(B65="",N(F65)=0),"",SUMPRODUCT(MAX((Hours!$C$6:$C$1005=B65)*Hours!$L$6:$L$1005)))</f>
        <v/>
      </c>
      <c r="H65" s="18">
        <f>IF(B65="","",COUNTIFS(Hours!$C$6:$C$1005,B65,Hours!$I$6:$I$1005,Settings!$C$7,Hours!$D$6:$D$1005,"&gt;0"))</f>
        <v/>
      </c>
      <c r="I65" s="1" t="n"/>
    </row>
    <row r="66">
      <c r="A66" s="1" t="n"/>
      <c r="B66" s="22" t="n"/>
      <c r="C66" s="25" t="n"/>
      <c r="D66" s="25" t="n"/>
      <c r="E66" s="45">
        <f>IF(B66="","",SUMIFS(Hours!$D$6:$D$1005,Hours!$C$6:$C$1005,B66,Hours!$I$6:$I$1005,Settings!$C$7,Hours!$D$6:$D$1005,"&gt;0"))</f>
        <v/>
      </c>
      <c r="F66" s="19">
        <f>IF(B66="","",SUMIFS(Hours!$D$6:$D$1005,Hours!$C$6:$C$1005,B66,Hours!$D$6:$D$1005,"&gt;0",Hours!$K$6:$K$1005,"&gt;0"))</f>
        <v/>
      </c>
      <c r="G66" s="26">
        <f>IF(OR(B66="",N(F66)=0),"",SUMPRODUCT(MAX((Hours!$C$6:$C$1005=B66)*Hours!$L$6:$L$1005)))</f>
        <v/>
      </c>
      <c r="H66" s="18">
        <f>IF(B66="","",COUNTIFS(Hours!$C$6:$C$1005,B66,Hours!$I$6:$I$1005,Settings!$C$7,Hours!$D$6:$D$1005,"&gt;0"))</f>
        <v/>
      </c>
      <c r="I66" s="1" t="n"/>
    </row>
    <row r="67">
      <c r="A67" s="1" t="n"/>
      <c r="B67" s="22" t="n"/>
      <c r="C67" s="25" t="n"/>
      <c r="D67" s="25" t="n"/>
      <c r="E67" s="45">
        <f>IF(B67="","",SUMIFS(Hours!$D$6:$D$1005,Hours!$C$6:$C$1005,B67,Hours!$I$6:$I$1005,Settings!$C$7,Hours!$D$6:$D$1005,"&gt;0"))</f>
        <v/>
      </c>
      <c r="F67" s="19">
        <f>IF(B67="","",SUMIFS(Hours!$D$6:$D$1005,Hours!$C$6:$C$1005,B67,Hours!$D$6:$D$1005,"&gt;0",Hours!$K$6:$K$1005,"&gt;0"))</f>
        <v/>
      </c>
      <c r="G67" s="26">
        <f>IF(OR(B67="",N(F67)=0),"",SUMPRODUCT(MAX((Hours!$C$6:$C$1005=B67)*Hours!$L$6:$L$1005)))</f>
        <v/>
      </c>
      <c r="H67" s="18">
        <f>IF(B67="","",COUNTIFS(Hours!$C$6:$C$1005,B67,Hours!$I$6:$I$1005,Settings!$C$7,Hours!$D$6:$D$1005,"&gt;0"))</f>
        <v/>
      </c>
      <c r="I67" s="1" t="n"/>
    </row>
    <row r="68">
      <c r="A68" s="1" t="n"/>
      <c r="B68" s="22" t="n"/>
      <c r="C68" s="25" t="n"/>
      <c r="D68" s="25" t="n"/>
      <c r="E68" s="45">
        <f>IF(B68="","",SUMIFS(Hours!$D$6:$D$1005,Hours!$C$6:$C$1005,B68,Hours!$I$6:$I$1005,Settings!$C$7,Hours!$D$6:$D$1005,"&gt;0"))</f>
        <v/>
      </c>
      <c r="F68" s="19">
        <f>IF(B68="","",SUMIFS(Hours!$D$6:$D$1005,Hours!$C$6:$C$1005,B68,Hours!$D$6:$D$1005,"&gt;0",Hours!$K$6:$K$1005,"&gt;0"))</f>
        <v/>
      </c>
      <c r="G68" s="26">
        <f>IF(OR(B68="",N(F68)=0),"",SUMPRODUCT(MAX((Hours!$C$6:$C$1005=B68)*Hours!$L$6:$L$1005)))</f>
        <v/>
      </c>
      <c r="H68" s="18">
        <f>IF(B68="","",COUNTIFS(Hours!$C$6:$C$1005,B68,Hours!$I$6:$I$1005,Settings!$C$7,Hours!$D$6:$D$1005,"&gt;0"))</f>
        <v/>
      </c>
      <c r="I68" s="1" t="n"/>
    </row>
    <row r="69">
      <c r="A69" s="1" t="n"/>
      <c r="B69" s="22" t="n"/>
      <c r="C69" s="25" t="n"/>
      <c r="D69" s="25" t="n"/>
      <c r="E69" s="45">
        <f>IF(B69="","",SUMIFS(Hours!$D$6:$D$1005,Hours!$C$6:$C$1005,B69,Hours!$I$6:$I$1005,Settings!$C$7,Hours!$D$6:$D$1005,"&gt;0"))</f>
        <v/>
      </c>
      <c r="F69" s="19">
        <f>IF(B69="","",SUMIFS(Hours!$D$6:$D$1005,Hours!$C$6:$C$1005,B69,Hours!$D$6:$D$1005,"&gt;0",Hours!$K$6:$K$1005,"&gt;0"))</f>
        <v/>
      </c>
      <c r="G69" s="26">
        <f>IF(OR(B69="",N(F69)=0),"",SUMPRODUCT(MAX((Hours!$C$6:$C$1005=B69)*Hours!$L$6:$L$1005)))</f>
        <v/>
      </c>
      <c r="H69" s="18">
        <f>IF(B69="","",COUNTIFS(Hours!$C$6:$C$1005,B69,Hours!$I$6:$I$1005,Settings!$C$7,Hours!$D$6:$D$1005,"&gt;0"))</f>
        <v/>
      </c>
      <c r="I69" s="1" t="n"/>
    </row>
    <row r="70">
      <c r="A70" s="1" t="n"/>
      <c r="B70" s="22" t="n"/>
      <c r="C70" s="25" t="n"/>
      <c r="D70" s="25" t="n"/>
      <c r="E70" s="45">
        <f>IF(B70="","",SUMIFS(Hours!$D$6:$D$1005,Hours!$C$6:$C$1005,B70,Hours!$I$6:$I$1005,Settings!$C$7,Hours!$D$6:$D$1005,"&gt;0"))</f>
        <v/>
      </c>
      <c r="F70" s="19">
        <f>IF(B70="","",SUMIFS(Hours!$D$6:$D$1005,Hours!$C$6:$C$1005,B70,Hours!$D$6:$D$1005,"&gt;0",Hours!$K$6:$K$1005,"&gt;0"))</f>
        <v/>
      </c>
      <c r="G70" s="26">
        <f>IF(OR(B70="",N(F70)=0),"",SUMPRODUCT(MAX((Hours!$C$6:$C$1005=B70)*Hours!$L$6:$L$1005)))</f>
        <v/>
      </c>
      <c r="H70" s="18">
        <f>IF(B70="","",COUNTIFS(Hours!$C$6:$C$1005,B70,Hours!$I$6:$I$1005,Settings!$C$7,Hours!$D$6:$D$1005,"&gt;0"))</f>
        <v/>
      </c>
      <c r="I70" s="1" t="n"/>
    </row>
    <row r="71">
      <c r="A71" s="1" t="n"/>
      <c r="B71" s="22" t="n"/>
      <c r="C71" s="25" t="n"/>
      <c r="D71" s="25" t="n"/>
      <c r="E71" s="45">
        <f>IF(B71="","",SUMIFS(Hours!$D$6:$D$1005,Hours!$C$6:$C$1005,B71,Hours!$I$6:$I$1005,Settings!$C$7,Hours!$D$6:$D$1005,"&gt;0"))</f>
        <v/>
      </c>
      <c r="F71" s="19">
        <f>IF(B71="","",SUMIFS(Hours!$D$6:$D$1005,Hours!$C$6:$C$1005,B71,Hours!$D$6:$D$1005,"&gt;0",Hours!$K$6:$K$1005,"&gt;0"))</f>
        <v/>
      </c>
      <c r="G71" s="26">
        <f>IF(OR(B71="",N(F71)=0),"",SUMPRODUCT(MAX((Hours!$C$6:$C$1005=B71)*Hours!$L$6:$L$1005)))</f>
        <v/>
      </c>
      <c r="H71" s="18">
        <f>IF(B71="","",COUNTIFS(Hours!$C$6:$C$1005,B71,Hours!$I$6:$I$1005,Settings!$C$7,Hours!$D$6:$D$1005,"&gt;0"))</f>
        <v/>
      </c>
      <c r="I71" s="1" t="n"/>
    </row>
    <row r="72">
      <c r="A72" s="1" t="n"/>
      <c r="B72" s="22" t="n"/>
      <c r="C72" s="25" t="n"/>
      <c r="D72" s="25" t="n"/>
      <c r="E72" s="45">
        <f>IF(B72="","",SUMIFS(Hours!$D$6:$D$1005,Hours!$C$6:$C$1005,B72,Hours!$I$6:$I$1005,Settings!$C$7,Hours!$D$6:$D$1005,"&gt;0"))</f>
        <v/>
      </c>
      <c r="F72" s="19">
        <f>IF(B72="","",SUMIFS(Hours!$D$6:$D$1005,Hours!$C$6:$C$1005,B72,Hours!$D$6:$D$1005,"&gt;0",Hours!$K$6:$K$1005,"&gt;0"))</f>
        <v/>
      </c>
      <c r="G72" s="26">
        <f>IF(OR(B72="",N(F72)=0),"",SUMPRODUCT(MAX((Hours!$C$6:$C$1005=B72)*Hours!$L$6:$L$1005)))</f>
        <v/>
      </c>
      <c r="H72" s="18">
        <f>IF(B72="","",COUNTIFS(Hours!$C$6:$C$1005,B72,Hours!$I$6:$I$1005,Settings!$C$7,Hours!$D$6:$D$1005,"&gt;0"))</f>
        <v/>
      </c>
      <c r="I72" s="1" t="n"/>
    </row>
    <row r="73">
      <c r="A73" s="1" t="n"/>
      <c r="B73" s="22" t="n"/>
      <c r="C73" s="25" t="n"/>
      <c r="D73" s="25" t="n"/>
      <c r="E73" s="45">
        <f>IF(B73="","",SUMIFS(Hours!$D$6:$D$1005,Hours!$C$6:$C$1005,B73,Hours!$I$6:$I$1005,Settings!$C$7,Hours!$D$6:$D$1005,"&gt;0"))</f>
        <v/>
      </c>
      <c r="F73" s="19">
        <f>IF(B73="","",SUMIFS(Hours!$D$6:$D$1005,Hours!$C$6:$C$1005,B73,Hours!$D$6:$D$1005,"&gt;0",Hours!$K$6:$K$1005,"&gt;0"))</f>
        <v/>
      </c>
      <c r="G73" s="26">
        <f>IF(OR(B73="",N(F73)=0),"",SUMPRODUCT(MAX((Hours!$C$6:$C$1005=B73)*Hours!$L$6:$L$1005)))</f>
        <v/>
      </c>
      <c r="H73" s="18">
        <f>IF(B73="","",COUNTIFS(Hours!$C$6:$C$1005,B73,Hours!$I$6:$I$1005,Settings!$C$7,Hours!$D$6:$D$1005,"&gt;0"))</f>
        <v/>
      </c>
      <c r="I73" s="1" t="n"/>
    </row>
    <row r="74">
      <c r="A74" s="1" t="n"/>
      <c r="B74" s="22" t="n"/>
      <c r="C74" s="25" t="n"/>
      <c r="D74" s="25" t="n"/>
      <c r="E74" s="45">
        <f>IF(B74="","",SUMIFS(Hours!$D$6:$D$1005,Hours!$C$6:$C$1005,B74,Hours!$I$6:$I$1005,Settings!$C$7,Hours!$D$6:$D$1005,"&gt;0"))</f>
        <v/>
      </c>
      <c r="F74" s="19">
        <f>IF(B74="","",SUMIFS(Hours!$D$6:$D$1005,Hours!$C$6:$C$1005,B74,Hours!$D$6:$D$1005,"&gt;0",Hours!$K$6:$K$1005,"&gt;0"))</f>
        <v/>
      </c>
      <c r="G74" s="26">
        <f>IF(OR(B74="",N(F74)=0),"",SUMPRODUCT(MAX((Hours!$C$6:$C$1005=B74)*Hours!$L$6:$L$1005)))</f>
        <v/>
      </c>
      <c r="H74" s="18">
        <f>IF(B74="","",COUNTIFS(Hours!$C$6:$C$1005,B74,Hours!$I$6:$I$1005,Settings!$C$7,Hours!$D$6:$D$1005,"&gt;0"))</f>
        <v/>
      </c>
      <c r="I74" s="1" t="n"/>
    </row>
    <row r="75">
      <c r="A75" s="1" t="n"/>
      <c r="B75" s="22" t="n"/>
      <c r="C75" s="25" t="n"/>
      <c r="D75" s="25" t="n"/>
      <c r="E75" s="45">
        <f>IF(B75="","",SUMIFS(Hours!$D$6:$D$1005,Hours!$C$6:$C$1005,B75,Hours!$I$6:$I$1005,Settings!$C$7,Hours!$D$6:$D$1005,"&gt;0"))</f>
        <v/>
      </c>
      <c r="F75" s="19">
        <f>IF(B75="","",SUMIFS(Hours!$D$6:$D$1005,Hours!$C$6:$C$1005,B75,Hours!$D$6:$D$1005,"&gt;0",Hours!$K$6:$K$1005,"&gt;0"))</f>
        <v/>
      </c>
      <c r="G75" s="26">
        <f>IF(OR(B75="",N(F75)=0),"",SUMPRODUCT(MAX((Hours!$C$6:$C$1005=B75)*Hours!$L$6:$L$1005)))</f>
        <v/>
      </c>
      <c r="H75" s="18">
        <f>IF(B75="","",COUNTIFS(Hours!$C$6:$C$1005,B75,Hours!$I$6:$I$1005,Settings!$C$7,Hours!$D$6:$D$1005,"&gt;0"))</f>
        <v/>
      </c>
      <c r="I75" s="1" t="n"/>
    </row>
    <row r="76">
      <c r="A76" s="1" t="n"/>
      <c r="B76" s="22" t="n"/>
      <c r="C76" s="25" t="n"/>
      <c r="D76" s="25" t="n"/>
      <c r="E76" s="45">
        <f>IF(B76="","",SUMIFS(Hours!$D$6:$D$1005,Hours!$C$6:$C$1005,B76,Hours!$I$6:$I$1005,Settings!$C$7,Hours!$D$6:$D$1005,"&gt;0"))</f>
        <v/>
      </c>
      <c r="F76" s="19">
        <f>IF(B76="","",SUMIFS(Hours!$D$6:$D$1005,Hours!$C$6:$C$1005,B76,Hours!$D$6:$D$1005,"&gt;0",Hours!$K$6:$K$1005,"&gt;0"))</f>
        <v/>
      </c>
      <c r="G76" s="26">
        <f>IF(OR(B76="",N(F76)=0),"",SUMPRODUCT(MAX((Hours!$C$6:$C$1005=B76)*Hours!$L$6:$L$1005)))</f>
        <v/>
      </c>
      <c r="H76" s="18">
        <f>IF(B76="","",COUNTIFS(Hours!$C$6:$C$1005,B76,Hours!$I$6:$I$1005,Settings!$C$7,Hours!$D$6:$D$1005,"&gt;0"))</f>
        <v/>
      </c>
      <c r="I76" s="1" t="n"/>
    </row>
    <row r="77">
      <c r="A77" s="1" t="n"/>
      <c r="B77" s="22" t="n"/>
      <c r="C77" s="25" t="n"/>
      <c r="D77" s="25" t="n"/>
      <c r="E77" s="45">
        <f>IF(B77="","",SUMIFS(Hours!$D$6:$D$1005,Hours!$C$6:$C$1005,B77,Hours!$I$6:$I$1005,Settings!$C$7,Hours!$D$6:$D$1005,"&gt;0"))</f>
        <v/>
      </c>
      <c r="F77" s="19">
        <f>IF(B77="","",SUMIFS(Hours!$D$6:$D$1005,Hours!$C$6:$C$1005,B77,Hours!$D$6:$D$1005,"&gt;0",Hours!$K$6:$K$1005,"&gt;0"))</f>
        <v/>
      </c>
      <c r="G77" s="26">
        <f>IF(OR(B77="",N(F77)=0),"",SUMPRODUCT(MAX((Hours!$C$6:$C$1005=B77)*Hours!$L$6:$L$1005)))</f>
        <v/>
      </c>
      <c r="H77" s="18">
        <f>IF(B77="","",COUNTIFS(Hours!$C$6:$C$1005,B77,Hours!$I$6:$I$1005,Settings!$C$7,Hours!$D$6:$D$1005,"&gt;0"))</f>
        <v/>
      </c>
      <c r="I77" s="1" t="n"/>
    </row>
    <row r="78">
      <c r="A78" s="1" t="n"/>
      <c r="B78" s="22" t="n"/>
      <c r="C78" s="25" t="n"/>
      <c r="D78" s="25" t="n"/>
      <c r="E78" s="45">
        <f>IF(B78="","",SUMIFS(Hours!$D$6:$D$1005,Hours!$C$6:$C$1005,B78,Hours!$I$6:$I$1005,Settings!$C$7,Hours!$D$6:$D$1005,"&gt;0"))</f>
        <v/>
      </c>
      <c r="F78" s="19">
        <f>IF(B78="","",SUMIFS(Hours!$D$6:$D$1005,Hours!$C$6:$C$1005,B78,Hours!$D$6:$D$1005,"&gt;0",Hours!$K$6:$K$1005,"&gt;0"))</f>
        <v/>
      </c>
      <c r="G78" s="26">
        <f>IF(OR(B78="",N(F78)=0),"",SUMPRODUCT(MAX((Hours!$C$6:$C$1005=B78)*Hours!$L$6:$L$1005)))</f>
        <v/>
      </c>
      <c r="H78" s="18">
        <f>IF(B78="","",COUNTIFS(Hours!$C$6:$C$1005,B78,Hours!$I$6:$I$1005,Settings!$C$7,Hours!$D$6:$D$1005,"&gt;0"))</f>
        <v/>
      </c>
      <c r="I78" s="1" t="n"/>
    </row>
    <row r="79">
      <c r="A79" s="1" t="n"/>
      <c r="B79" s="22" t="n"/>
      <c r="C79" s="25" t="n"/>
      <c r="D79" s="25" t="n"/>
      <c r="E79" s="45">
        <f>IF(B79="","",SUMIFS(Hours!$D$6:$D$1005,Hours!$C$6:$C$1005,B79,Hours!$I$6:$I$1005,Settings!$C$7,Hours!$D$6:$D$1005,"&gt;0"))</f>
        <v/>
      </c>
      <c r="F79" s="19">
        <f>IF(B79="","",SUMIFS(Hours!$D$6:$D$1005,Hours!$C$6:$C$1005,B79,Hours!$D$6:$D$1005,"&gt;0",Hours!$K$6:$K$1005,"&gt;0"))</f>
        <v/>
      </c>
      <c r="G79" s="26">
        <f>IF(OR(B79="",N(F79)=0),"",SUMPRODUCT(MAX((Hours!$C$6:$C$1005=B79)*Hours!$L$6:$L$1005)))</f>
        <v/>
      </c>
      <c r="H79" s="18">
        <f>IF(B79="","",COUNTIFS(Hours!$C$6:$C$1005,B79,Hours!$I$6:$I$1005,Settings!$C$7,Hours!$D$6:$D$1005,"&gt;0"))</f>
        <v/>
      </c>
      <c r="I79" s="1" t="n"/>
    </row>
    <row r="80">
      <c r="A80" s="1" t="n"/>
      <c r="B80" s="22" t="n"/>
      <c r="C80" s="25" t="n"/>
      <c r="D80" s="25" t="n"/>
      <c r="E80" s="45">
        <f>IF(B80="","",SUMIFS(Hours!$D$6:$D$1005,Hours!$C$6:$C$1005,B80,Hours!$I$6:$I$1005,Settings!$C$7,Hours!$D$6:$D$1005,"&gt;0"))</f>
        <v/>
      </c>
      <c r="F80" s="19">
        <f>IF(B80="","",SUMIFS(Hours!$D$6:$D$1005,Hours!$C$6:$C$1005,B80,Hours!$D$6:$D$1005,"&gt;0",Hours!$K$6:$K$1005,"&gt;0"))</f>
        <v/>
      </c>
      <c r="G80" s="26">
        <f>IF(OR(B80="",N(F80)=0),"",SUMPRODUCT(MAX((Hours!$C$6:$C$1005=B80)*Hours!$L$6:$L$1005)))</f>
        <v/>
      </c>
      <c r="H80" s="18">
        <f>IF(B80="","",COUNTIFS(Hours!$C$6:$C$1005,B80,Hours!$I$6:$I$1005,Settings!$C$7,Hours!$D$6:$D$1005,"&gt;0"))</f>
        <v/>
      </c>
      <c r="I80" s="1" t="n"/>
    </row>
    <row r="81">
      <c r="A81" s="1" t="n"/>
      <c r="B81" s="22" t="n"/>
      <c r="C81" s="25" t="n"/>
      <c r="D81" s="25" t="n"/>
      <c r="E81" s="45">
        <f>IF(B81="","",SUMIFS(Hours!$D$6:$D$1005,Hours!$C$6:$C$1005,B81,Hours!$I$6:$I$1005,Settings!$C$7,Hours!$D$6:$D$1005,"&gt;0"))</f>
        <v/>
      </c>
      <c r="F81" s="19">
        <f>IF(B81="","",SUMIFS(Hours!$D$6:$D$1005,Hours!$C$6:$C$1005,B81,Hours!$D$6:$D$1005,"&gt;0",Hours!$K$6:$K$1005,"&gt;0"))</f>
        <v/>
      </c>
      <c r="G81" s="26">
        <f>IF(OR(B81="",N(F81)=0),"",SUMPRODUCT(MAX((Hours!$C$6:$C$1005=B81)*Hours!$L$6:$L$1005)))</f>
        <v/>
      </c>
      <c r="H81" s="18">
        <f>IF(B81="","",COUNTIFS(Hours!$C$6:$C$1005,B81,Hours!$I$6:$I$1005,Settings!$C$7,Hours!$D$6:$D$1005,"&gt;0"))</f>
        <v/>
      </c>
      <c r="I81" s="1" t="n"/>
    </row>
    <row r="82">
      <c r="A82" s="1" t="n"/>
      <c r="B82" s="22" t="n"/>
      <c r="C82" s="25" t="n"/>
      <c r="D82" s="25" t="n"/>
      <c r="E82" s="45">
        <f>IF(B82="","",SUMIFS(Hours!$D$6:$D$1005,Hours!$C$6:$C$1005,B82,Hours!$I$6:$I$1005,Settings!$C$7,Hours!$D$6:$D$1005,"&gt;0"))</f>
        <v/>
      </c>
      <c r="F82" s="19">
        <f>IF(B82="","",SUMIFS(Hours!$D$6:$D$1005,Hours!$C$6:$C$1005,B82,Hours!$D$6:$D$1005,"&gt;0",Hours!$K$6:$K$1005,"&gt;0"))</f>
        <v/>
      </c>
      <c r="G82" s="26">
        <f>IF(OR(B82="",N(F82)=0),"",SUMPRODUCT(MAX((Hours!$C$6:$C$1005=B82)*Hours!$L$6:$L$1005)))</f>
        <v/>
      </c>
      <c r="H82" s="18">
        <f>IF(B82="","",COUNTIFS(Hours!$C$6:$C$1005,B82,Hours!$I$6:$I$1005,Settings!$C$7,Hours!$D$6:$D$1005,"&gt;0"))</f>
        <v/>
      </c>
      <c r="I82" s="1" t="n"/>
    </row>
    <row r="83">
      <c r="A83" s="1" t="n"/>
      <c r="B83" s="22" t="n"/>
      <c r="C83" s="25" t="n"/>
      <c r="D83" s="25" t="n"/>
      <c r="E83" s="45">
        <f>IF(B83="","",SUMIFS(Hours!$D$6:$D$1005,Hours!$C$6:$C$1005,B83,Hours!$I$6:$I$1005,Settings!$C$7,Hours!$D$6:$D$1005,"&gt;0"))</f>
        <v/>
      </c>
      <c r="F83" s="19">
        <f>IF(B83="","",SUMIFS(Hours!$D$6:$D$1005,Hours!$C$6:$C$1005,B83,Hours!$D$6:$D$1005,"&gt;0",Hours!$K$6:$K$1005,"&gt;0"))</f>
        <v/>
      </c>
      <c r="G83" s="26">
        <f>IF(OR(B83="",N(F83)=0),"",SUMPRODUCT(MAX((Hours!$C$6:$C$1005=B83)*Hours!$L$6:$L$1005)))</f>
        <v/>
      </c>
      <c r="H83" s="18">
        <f>IF(B83="","",COUNTIFS(Hours!$C$6:$C$1005,B83,Hours!$I$6:$I$1005,Settings!$C$7,Hours!$D$6:$D$1005,"&gt;0"))</f>
        <v/>
      </c>
      <c r="I83" s="1" t="n"/>
    </row>
    <row r="84">
      <c r="A84" s="1" t="n"/>
      <c r="B84" s="22" t="n"/>
      <c r="C84" s="25" t="n"/>
      <c r="D84" s="25" t="n"/>
      <c r="E84" s="45">
        <f>IF(B84="","",SUMIFS(Hours!$D$6:$D$1005,Hours!$C$6:$C$1005,B84,Hours!$I$6:$I$1005,Settings!$C$7,Hours!$D$6:$D$1005,"&gt;0"))</f>
        <v/>
      </c>
      <c r="F84" s="19">
        <f>IF(B84="","",SUMIFS(Hours!$D$6:$D$1005,Hours!$C$6:$C$1005,B84,Hours!$D$6:$D$1005,"&gt;0",Hours!$K$6:$K$1005,"&gt;0"))</f>
        <v/>
      </c>
      <c r="G84" s="26">
        <f>IF(OR(B84="",N(F84)=0),"",SUMPRODUCT(MAX((Hours!$C$6:$C$1005=B84)*Hours!$L$6:$L$1005)))</f>
        <v/>
      </c>
      <c r="H84" s="18">
        <f>IF(B84="","",COUNTIFS(Hours!$C$6:$C$1005,B84,Hours!$I$6:$I$1005,Settings!$C$7,Hours!$D$6:$D$1005,"&gt;0"))</f>
        <v/>
      </c>
      <c r="I84" s="1" t="n"/>
    </row>
    <row r="85">
      <c r="A85" s="1" t="n"/>
      <c r="B85" s="22" t="n"/>
      <c r="C85" s="25" t="n"/>
      <c r="D85" s="25" t="n"/>
      <c r="E85" s="45">
        <f>IF(B85="","",SUMIFS(Hours!$D$6:$D$1005,Hours!$C$6:$C$1005,B85,Hours!$I$6:$I$1005,Settings!$C$7,Hours!$D$6:$D$1005,"&gt;0"))</f>
        <v/>
      </c>
      <c r="F85" s="19">
        <f>IF(B85="","",SUMIFS(Hours!$D$6:$D$1005,Hours!$C$6:$C$1005,B85,Hours!$D$6:$D$1005,"&gt;0",Hours!$K$6:$K$1005,"&gt;0"))</f>
        <v/>
      </c>
      <c r="G85" s="26">
        <f>IF(OR(B85="",N(F85)=0),"",SUMPRODUCT(MAX((Hours!$C$6:$C$1005=B85)*Hours!$L$6:$L$1005)))</f>
        <v/>
      </c>
      <c r="H85" s="18">
        <f>IF(B85="","",COUNTIFS(Hours!$C$6:$C$1005,B85,Hours!$I$6:$I$1005,Settings!$C$7,Hours!$D$6:$D$1005,"&gt;0"))</f>
        <v/>
      </c>
      <c r="I85" s="1" t="n"/>
    </row>
    <row r="86">
      <c r="A86" s="1" t="n"/>
      <c r="B86" s="22" t="n"/>
      <c r="C86" s="25" t="n"/>
      <c r="D86" s="25" t="n"/>
      <c r="E86" s="45">
        <f>IF(B86="","",SUMIFS(Hours!$D$6:$D$1005,Hours!$C$6:$C$1005,B86,Hours!$I$6:$I$1005,Settings!$C$7,Hours!$D$6:$D$1005,"&gt;0"))</f>
        <v/>
      </c>
      <c r="F86" s="19">
        <f>IF(B86="","",SUMIFS(Hours!$D$6:$D$1005,Hours!$C$6:$C$1005,B86,Hours!$D$6:$D$1005,"&gt;0",Hours!$K$6:$K$1005,"&gt;0"))</f>
        <v/>
      </c>
      <c r="G86" s="26">
        <f>IF(OR(B86="",N(F86)=0),"",SUMPRODUCT(MAX((Hours!$C$6:$C$1005=B86)*Hours!$L$6:$L$1005)))</f>
        <v/>
      </c>
      <c r="H86" s="18">
        <f>IF(B86="","",COUNTIFS(Hours!$C$6:$C$1005,B86,Hours!$I$6:$I$1005,Settings!$C$7,Hours!$D$6:$D$1005,"&gt;0"))</f>
        <v/>
      </c>
      <c r="I86" s="1" t="n"/>
    </row>
    <row r="87">
      <c r="A87" s="1" t="n"/>
      <c r="B87" s="22" t="n"/>
      <c r="C87" s="25" t="n"/>
      <c r="D87" s="25" t="n"/>
      <c r="E87" s="45">
        <f>IF(B87="","",SUMIFS(Hours!$D$6:$D$1005,Hours!$C$6:$C$1005,B87,Hours!$I$6:$I$1005,Settings!$C$7,Hours!$D$6:$D$1005,"&gt;0"))</f>
        <v/>
      </c>
      <c r="F87" s="19">
        <f>IF(B87="","",SUMIFS(Hours!$D$6:$D$1005,Hours!$C$6:$C$1005,B87,Hours!$D$6:$D$1005,"&gt;0",Hours!$K$6:$K$1005,"&gt;0"))</f>
        <v/>
      </c>
      <c r="G87" s="26">
        <f>IF(OR(B87="",N(F87)=0),"",SUMPRODUCT(MAX((Hours!$C$6:$C$1005=B87)*Hours!$L$6:$L$1005)))</f>
        <v/>
      </c>
      <c r="H87" s="18">
        <f>IF(B87="","",COUNTIFS(Hours!$C$6:$C$1005,B87,Hours!$I$6:$I$1005,Settings!$C$7,Hours!$D$6:$D$1005,"&gt;0"))</f>
        <v/>
      </c>
      <c r="I87" s="1" t="n"/>
    </row>
    <row r="88">
      <c r="A88" s="1" t="n"/>
      <c r="B88" s="22" t="n"/>
      <c r="C88" s="25" t="n"/>
      <c r="D88" s="25" t="n"/>
      <c r="E88" s="45">
        <f>IF(B88="","",SUMIFS(Hours!$D$6:$D$1005,Hours!$C$6:$C$1005,B88,Hours!$I$6:$I$1005,Settings!$C$7,Hours!$D$6:$D$1005,"&gt;0"))</f>
        <v/>
      </c>
      <c r="F88" s="19">
        <f>IF(B88="","",SUMIFS(Hours!$D$6:$D$1005,Hours!$C$6:$C$1005,B88,Hours!$D$6:$D$1005,"&gt;0",Hours!$K$6:$K$1005,"&gt;0"))</f>
        <v/>
      </c>
      <c r="G88" s="26">
        <f>IF(OR(B88="",N(F88)=0),"",SUMPRODUCT(MAX((Hours!$C$6:$C$1005=B88)*Hours!$L$6:$L$1005)))</f>
        <v/>
      </c>
      <c r="H88" s="18">
        <f>IF(B88="","",COUNTIFS(Hours!$C$6:$C$1005,B88,Hours!$I$6:$I$1005,Settings!$C$7,Hours!$D$6:$D$1005,"&gt;0"))</f>
        <v/>
      </c>
      <c r="I88" s="1" t="n"/>
    </row>
    <row r="89">
      <c r="A89" s="1" t="n"/>
      <c r="B89" s="22" t="n"/>
      <c r="C89" s="25" t="n"/>
      <c r="D89" s="25" t="n"/>
      <c r="E89" s="45">
        <f>IF(B89="","",SUMIFS(Hours!$D$6:$D$1005,Hours!$C$6:$C$1005,B89,Hours!$I$6:$I$1005,Settings!$C$7,Hours!$D$6:$D$1005,"&gt;0"))</f>
        <v/>
      </c>
      <c r="F89" s="19">
        <f>IF(B89="","",SUMIFS(Hours!$D$6:$D$1005,Hours!$C$6:$C$1005,B89,Hours!$D$6:$D$1005,"&gt;0",Hours!$K$6:$K$1005,"&gt;0"))</f>
        <v/>
      </c>
      <c r="G89" s="26">
        <f>IF(OR(B89="",N(F89)=0),"",SUMPRODUCT(MAX((Hours!$C$6:$C$1005=B89)*Hours!$L$6:$L$1005)))</f>
        <v/>
      </c>
      <c r="H89" s="18">
        <f>IF(B89="","",COUNTIFS(Hours!$C$6:$C$1005,B89,Hours!$I$6:$I$1005,Settings!$C$7,Hours!$D$6:$D$1005,"&gt;0"))</f>
        <v/>
      </c>
      <c r="I89" s="1" t="n"/>
    </row>
    <row r="90">
      <c r="A90" s="1" t="n"/>
      <c r="B90" s="22" t="n"/>
      <c r="C90" s="25" t="n"/>
      <c r="D90" s="25" t="n"/>
      <c r="E90" s="45">
        <f>IF(B90="","",SUMIFS(Hours!$D$6:$D$1005,Hours!$C$6:$C$1005,B90,Hours!$I$6:$I$1005,Settings!$C$7,Hours!$D$6:$D$1005,"&gt;0"))</f>
        <v/>
      </c>
      <c r="F90" s="19">
        <f>IF(B90="","",SUMIFS(Hours!$D$6:$D$1005,Hours!$C$6:$C$1005,B90,Hours!$D$6:$D$1005,"&gt;0",Hours!$K$6:$K$1005,"&gt;0"))</f>
        <v/>
      </c>
      <c r="G90" s="26">
        <f>IF(OR(B90="",N(F90)=0),"",SUMPRODUCT(MAX((Hours!$C$6:$C$1005=B90)*Hours!$L$6:$L$1005)))</f>
        <v/>
      </c>
      <c r="H90" s="18">
        <f>IF(B90="","",COUNTIFS(Hours!$C$6:$C$1005,B90,Hours!$I$6:$I$1005,Settings!$C$7,Hours!$D$6:$D$1005,"&gt;0"))</f>
        <v/>
      </c>
      <c r="I90" s="1" t="n"/>
    </row>
    <row r="91">
      <c r="A91" s="1" t="n"/>
      <c r="B91" s="22" t="n"/>
      <c r="C91" s="25" t="n"/>
      <c r="D91" s="25" t="n"/>
      <c r="E91" s="45">
        <f>IF(B91="","",SUMIFS(Hours!$D$6:$D$1005,Hours!$C$6:$C$1005,B91,Hours!$I$6:$I$1005,Settings!$C$7,Hours!$D$6:$D$1005,"&gt;0"))</f>
        <v/>
      </c>
      <c r="F91" s="19">
        <f>IF(B91="","",SUMIFS(Hours!$D$6:$D$1005,Hours!$C$6:$C$1005,B91,Hours!$D$6:$D$1005,"&gt;0",Hours!$K$6:$K$1005,"&gt;0"))</f>
        <v/>
      </c>
      <c r="G91" s="26">
        <f>IF(OR(B91="",N(F91)=0),"",SUMPRODUCT(MAX((Hours!$C$6:$C$1005=B91)*Hours!$L$6:$L$1005)))</f>
        <v/>
      </c>
      <c r="H91" s="18">
        <f>IF(B91="","",COUNTIFS(Hours!$C$6:$C$1005,B91,Hours!$I$6:$I$1005,Settings!$C$7,Hours!$D$6:$D$1005,"&gt;0"))</f>
        <v/>
      </c>
      <c r="I91" s="1" t="n"/>
    </row>
    <row r="92">
      <c r="A92" s="1" t="n"/>
      <c r="B92" s="22" t="n"/>
      <c r="C92" s="25" t="n"/>
      <c r="D92" s="25" t="n"/>
      <c r="E92" s="45">
        <f>IF(B92="","",SUMIFS(Hours!$D$6:$D$1005,Hours!$C$6:$C$1005,B92,Hours!$I$6:$I$1005,Settings!$C$7,Hours!$D$6:$D$1005,"&gt;0"))</f>
        <v/>
      </c>
      <c r="F92" s="19">
        <f>IF(B92="","",SUMIFS(Hours!$D$6:$D$1005,Hours!$C$6:$C$1005,B92,Hours!$D$6:$D$1005,"&gt;0",Hours!$K$6:$K$1005,"&gt;0"))</f>
        <v/>
      </c>
      <c r="G92" s="26">
        <f>IF(OR(B92="",N(F92)=0),"",SUMPRODUCT(MAX((Hours!$C$6:$C$1005=B92)*Hours!$L$6:$L$1005)))</f>
        <v/>
      </c>
      <c r="H92" s="18">
        <f>IF(B92="","",COUNTIFS(Hours!$C$6:$C$1005,B92,Hours!$I$6:$I$1005,Settings!$C$7,Hours!$D$6:$D$1005,"&gt;0"))</f>
        <v/>
      </c>
      <c r="I92" s="1" t="n"/>
    </row>
    <row r="93">
      <c r="A93" s="1" t="n"/>
      <c r="B93" s="22" t="n"/>
      <c r="C93" s="25" t="n"/>
      <c r="D93" s="25" t="n"/>
      <c r="E93" s="45">
        <f>IF(B93="","",SUMIFS(Hours!$D$6:$D$1005,Hours!$C$6:$C$1005,B93,Hours!$I$6:$I$1005,Settings!$C$7,Hours!$D$6:$D$1005,"&gt;0"))</f>
        <v/>
      </c>
      <c r="F93" s="19">
        <f>IF(B93="","",SUMIFS(Hours!$D$6:$D$1005,Hours!$C$6:$C$1005,B93,Hours!$D$6:$D$1005,"&gt;0",Hours!$K$6:$K$1005,"&gt;0"))</f>
        <v/>
      </c>
      <c r="G93" s="26">
        <f>IF(OR(B93="",N(F93)=0),"",SUMPRODUCT(MAX((Hours!$C$6:$C$1005=B93)*Hours!$L$6:$L$1005)))</f>
        <v/>
      </c>
      <c r="H93" s="18">
        <f>IF(B93="","",COUNTIFS(Hours!$C$6:$C$1005,B93,Hours!$I$6:$I$1005,Settings!$C$7,Hours!$D$6:$D$1005,"&gt;0"))</f>
        <v/>
      </c>
      <c r="I93" s="1" t="n"/>
    </row>
    <row r="94">
      <c r="A94" s="1" t="n"/>
      <c r="B94" s="22" t="n"/>
      <c r="C94" s="25" t="n"/>
      <c r="D94" s="25" t="n"/>
      <c r="E94" s="45">
        <f>IF(B94="","",SUMIFS(Hours!$D$6:$D$1005,Hours!$C$6:$C$1005,B94,Hours!$I$6:$I$1005,Settings!$C$7,Hours!$D$6:$D$1005,"&gt;0"))</f>
        <v/>
      </c>
      <c r="F94" s="19">
        <f>IF(B94="","",SUMIFS(Hours!$D$6:$D$1005,Hours!$C$6:$C$1005,B94,Hours!$D$6:$D$1005,"&gt;0",Hours!$K$6:$K$1005,"&gt;0"))</f>
        <v/>
      </c>
      <c r="G94" s="26">
        <f>IF(OR(B94="",N(F94)=0),"",SUMPRODUCT(MAX((Hours!$C$6:$C$1005=B94)*Hours!$L$6:$L$1005)))</f>
        <v/>
      </c>
      <c r="H94" s="18">
        <f>IF(B94="","",COUNTIFS(Hours!$C$6:$C$1005,B94,Hours!$I$6:$I$1005,Settings!$C$7,Hours!$D$6:$D$1005,"&gt;0"))</f>
        <v/>
      </c>
      <c r="I94" s="1" t="n"/>
    </row>
    <row r="95">
      <c r="A95" s="1" t="n"/>
      <c r="B95" s="22" t="n"/>
      <c r="C95" s="25" t="n"/>
      <c r="D95" s="25" t="n"/>
      <c r="E95" s="45">
        <f>IF(B95="","",SUMIFS(Hours!$D$6:$D$1005,Hours!$C$6:$C$1005,B95,Hours!$I$6:$I$1005,Settings!$C$7,Hours!$D$6:$D$1005,"&gt;0"))</f>
        <v/>
      </c>
      <c r="F95" s="19">
        <f>IF(B95="","",SUMIFS(Hours!$D$6:$D$1005,Hours!$C$6:$C$1005,B95,Hours!$D$6:$D$1005,"&gt;0",Hours!$K$6:$K$1005,"&gt;0"))</f>
        <v/>
      </c>
      <c r="G95" s="26">
        <f>IF(OR(B95="",N(F95)=0),"",SUMPRODUCT(MAX((Hours!$C$6:$C$1005=B95)*Hours!$L$6:$L$1005)))</f>
        <v/>
      </c>
      <c r="H95" s="18">
        <f>IF(B95="","",COUNTIFS(Hours!$C$6:$C$1005,B95,Hours!$I$6:$I$1005,Settings!$C$7,Hours!$D$6:$D$1005,"&gt;0"))</f>
        <v/>
      </c>
      <c r="I95" s="1" t="n"/>
    </row>
    <row r="96">
      <c r="A96" s="1" t="n"/>
      <c r="B96" s="22" t="n"/>
      <c r="C96" s="25" t="n"/>
      <c r="D96" s="25" t="n"/>
      <c r="E96" s="45">
        <f>IF(B96="","",SUMIFS(Hours!$D$6:$D$1005,Hours!$C$6:$C$1005,B96,Hours!$I$6:$I$1005,Settings!$C$7,Hours!$D$6:$D$1005,"&gt;0"))</f>
        <v/>
      </c>
      <c r="F96" s="19">
        <f>IF(B96="","",SUMIFS(Hours!$D$6:$D$1005,Hours!$C$6:$C$1005,B96,Hours!$D$6:$D$1005,"&gt;0",Hours!$K$6:$K$1005,"&gt;0"))</f>
        <v/>
      </c>
      <c r="G96" s="26">
        <f>IF(OR(B96="",N(F96)=0),"",SUMPRODUCT(MAX((Hours!$C$6:$C$1005=B96)*Hours!$L$6:$L$1005)))</f>
        <v/>
      </c>
      <c r="H96" s="18">
        <f>IF(B96="","",COUNTIFS(Hours!$C$6:$C$1005,B96,Hours!$I$6:$I$1005,Settings!$C$7,Hours!$D$6:$D$1005,"&gt;0"))</f>
        <v/>
      </c>
      <c r="I96" s="1" t="n"/>
    </row>
    <row r="97">
      <c r="A97" s="1" t="n"/>
      <c r="B97" s="22" t="n"/>
      <c r="C97" s="25" t="n"/>
      <c r="D97" s="25" t="n"/>
      <c r="E97" s="45">
        <f>IF(B97="","",SUMIFS(Hours!$D$6:$D$1005,Hours!$C$6:$C$1005,B97,Hours!$I$6:$I$1005,Settings!$C$7,Hours!$D$6:$D$1005,"&gt;0"))</f>
        <v/>
      </c>
      <c r="F97" s="19">
        <f>IF(B97="","",SUMIFS(Hours!$D$6:$D$1005,Hours!$C$6:$C$1005,B97,Hours!$D$6:$D$1005,"&gt;0",Hours!$K$6:$K$1005,"&gt;0"))</f>
        <v/>
      </c>
      <c r="G97" s="26">
        <f>IF(OR(B97="",N(F97)=0),"",SUMPRODUCT(MAX((Hours!$C$6:$C$1005=B97)*Hours!$L$6:$L$1005)))</f>
        <v/>
      </c>
      <c r="H97" s="18">
        <f>IF(B97="","",COUNTIFS(Hours!$C$6:$C$1005,B97,Hours!$I$6:$I$1005,Settings!$C$7,Hours!$D$6:$D$1005,"&gt;0"))</f>
        <v/>
      </c>
      <c r="I97" s="1" t="n"/>
    </row>
    <row r="98">
      <c r="A98" s="1" t="n"/>
      <c r="B98" s="22" t="n"/>
      <c r="C98" s="25" t="n"/>
      <c r="D98" s="25" t="n"/>
      <c r="E98" s="45">
        <f>IF(B98="","",SUMIFS(Hours!$D$6:$D$1005,Hours!$C$6:$C$1005,B98,Hours!$I$6:$I$1005,Settings!$C$7,Hours!$D$6:$D$1005,"&gt;0"))</f>
        <v/>
      </c>
      <c r="F98" s="19">
        <f>IF(B98="","",SUMIFS(Hours!$D$6:$D$1005,Hours!$C$6:$C$1005,B98,Hours!$D$6:$D$1005,"&gt;0",Hours!$K$6:$K$1005,"&gt;0"))</f>
        <v/>
      </c>
      <c r="G98" s="26">
        <f>IF(OR(B98="",N(F98)=0),"",SUMPRODUCT(MAX((Hours!$C$6:$C$1005=B98)*Hours!$L$6:$L$1005)))</f>
        <v/>
      </c>
      <c r="H98" s="18">
        <f>IF(B98="","",COUNTIFS(Hours!$C$6:$C$1005,B98,Hours!$I$6:$I$1005,Settings!$C$7,Hours!$D$6:$D$1005,"&gt;0"))</f>
        <v/>
      </c>
      <c r="I98" s="1" t="n"/>
    </row>
    <row r="99">
      <c r="A99" s="1" t="n"/>
      <c r="B99" s="22" t="n"/>
      <c r="C99" s="25" t="n"/>
      <c r="D99" s="25" t="n"/>
      <c r="E99" s="45">
        <f>IF(B99="","",SUMIFS(Hours!$D$6:$D$1005,Hours!$C$6:$C$1005,B99,Hours!$I$6:$I$1005,Settings!$C$7,Hours!$D$6:$D$1005,"&gt;0"))</f>
        <v/>
      </c>
      <c r="F99" s="19">
        <f>IF(B99="","",SUMIFS(Hours!$D$6:$D$1005,Hours!$C$6:$C$1005,B99,Hours!$D$6:$D$1005,"&gt;0",Hours!$K$6:$K$1005,"&gt;0"))</f>
        <v/>
      </c>
      <c r="G99" s="26">
        <f>IF(OR(B99="",N(F99)=0),"",SUMPRODUCT(MAX((Hours!$C$6:$C$1005=B99)*Hours!$L$6:$L$1005)))</f>
        <v/>
      </c>
      <c r="H99" s="18">
        <f>IF(B99="","",COUNTIFS(Hours!$C$6:$C$1005,B99,Hours!$I$6:$I$1005,Settings!$C$7,Hours!$D$6:$D$1005,"&gt;0"))</f>
        <v/>
      </c>
      <c r="I99" s="1" t="n"/>
    </row>
    <row r="100">
      <c r="A100" s="1" t="n"/>
      <c r="B100" s="22" t="n"/>
      <c r="C100" s="25" t="n"/>
      <c r="D100" s="25" t="n"/>
      <c r="E100" s="45">
        <f>IF(B100="","",SUMIFS(Hours!$D$6:$D$1005,Hours!$C$6:$C$1005,B100,Hours!$I$6:$I$1005,Settings!$C$7,Hours!$D$6:$D$1005,"&gt;0"))</f>
        <v/>
      </c>
      <c r="F100" s="19">
        <f>IF(B100="","",SUMIFS(Hours!$D$6:$D$1005,Hours!$C$6:$C$1005,B100,Hours!$D$6:$D$1005,"&gt;0",Hours!$K$6:$K$1005,"&gt;0"))</f>
        <v/>
      </c>
      <c r="G100" s="26">
        <f>IF(OR(B100="",N(F100)=0),"",SUMPRODUCT(MAX((Hours!$C$6:$C$1005=B100)*Hours!$L$6:$L$1005)))</f>
        <v/>
      </c>
      <c r="H100" s="18">
        <f>IF(B100="","",COUNTIFS(Hours!$C$6:$C$1005,B100,Hours!$I$6:$I$1005,Settings!$C$7,Hours!$D$6:$D$1005,"&gt;0"))</f>
        <v/>
      </c>
      <c r="I100" s="1" t="n"/>
    </row>
    <row r="101">
      <c r="A101" s="1" t="n"/>
      <c r="B101" s="22" t="n"/>
      <c r="C101" s="25" t="n"/>
      <c r="D101" s="25" t="n"/>
      <c r="E101" s="45">
        <f>IF(B101="","",SUMIFS(Hours!$D$6:$D$1005,Hours!$C$6:$C$1005,B101,Hours!$I$6:$I$1005,Settings!$C$7,Hours!$D$6:$D$1005,"&gt;0"))</f>
        <v/>
      </c>
      <c r="F101" s="19">
        <f>IF(B101="","",SUMIFS(Hours!$D$6:$D$1005,Hours!$C$6:$C$1005,B101,Hours!$D$6:$D$1005,"&gt;0",Hours!$K$6:$K$1005,"&gt;0"))</f>
        <v/>
      </c>
      <c r="G101" s="26">
        <f>IF(OR(B101="",N(F101)=0),"",SUMPRODUCT(MAX((Hours!$C$6:$C$1005=B101)*Hours!$L$6:$L$1005)))</f>
        <v/>
      </c>
      <c r="H101" s="18">
        <f>IF(B101="","",COUNTIFS(Hours!$C$6:$C$1005,B101,Hours!$I$6:$I$1005,Settings!$C$7,Hours!$D$6:$D$1005,"&gt;0"))</f>
        <v/>
      </c>
      <c r="I101" s="1" t="n"/>
    </row>
    <row r="102">
      <c r="A102" s="1" t="n"/>
      <c r="B102" s="22" t="n"/>
      <c r="C102" s="25" t="n"/>
      <c r="D102" s="25" t="n"/>
      <c r="E102" s="45">
        <f>IF(B102="","",SUMIFS(Hours!$D$6:$D$1005,Hours!$C$6:$C$1005,B102,Hours!$I$6:$I$1005,Settings!$C$7,Hours!$D$6:$D$1005,"&gt;0"))</f>
        <v/>
      </c>
      <c r="F102" s="19">
        <f>IF(B102="","",SUMIFS(Hours!$D$6:$D$1005,Hours!$C$6:$C$1005,B102,Hours!$D$6:$D$1005,"&gt;0",Hours!$K$6:$K$1005,"&gt;0"))</f>
        <v/>
      </c>
      <c r="G102" s="26">
        <f>IF(OR(B102="",N(F102)=0),"",SUMPRODUCT(MAX((Hours!$C$6:$C$1005=B102)*Hours!$L$6:$L$1005)))</f>
        <v/>
      </c>
      <c r="H102" s="18">
        <f>IF(B102="","",COUNTIFS(Hours!$C$6:$C$1005,B102,Hours!$I$6:$I$1005,Settings!$C$7,Hours!$D$6:$D$1005,"&gt;0"))</f>
        <v/>
      </c>
      <c r="I102" s="1" t="n"/>
    </row>
    <row r="103">
      <c r="A103" s="1" t="n"/>
      <c r="B103" s="22" t="n"/>
      <c r="C103" s="25" t="n"/>
      <c r="D103" s="25" t="n"/>
      <c r="E103" s="45">
        <f>IF(B103="","",SUMIFS(Hours!$D$6:$D$1005,Hours!$C$6:$C$1005,B103,Hours!$I$6:$I$1005,Settings!$C$7,Hours!$D$6:$D$1005,"&gt;0"))</f>
        <v/>
      </c>
      <c r="F103" s="19">
        <f>IF(B103="","",SUMIFS(Hours!$D$6:$D$1005,Hours!$C$6:$C$1005,B103,Hours!$D$6:$D$1005,"&gt;0",Hours!$K$6:$K$1005,"&gt;0"))</f>
        <v/>
      </c>
      <c r="G103" s="26">
        <f>IF(OR(B103="",N(F103)=0),"",SUMPRODUCT(MAX((Hours!$C$6:$C$1005=B103)*Hours!$L$6:$L$1005)))</f>
        <v/>
      </c>
      <c r="H103" s="18">
        <f>IF(B103="","",COUNTIFS(Hours!$C$6:$C$1005,B103,Hours!$I$6:$I$1005,Settings!$C$7,Hours!$D$6:$D$1005,"&gt;0"))</f>
        <v/>
      </c>
      <c r="I103" s="1" t="n"/>
    </row>
    <row r="104">
      <c r="A104" s="1" t="n"/>
      <c r="B104" s="22" t="n"/>
      <c r="C104" s="25" t="n"/>
      <c r="D104" s="25" t="n"/>
      <c r="E104" s="45">
        <f>IF(B104="","",SUMIFS(Hours!$D$6:$D$1005,Hours!$C$6:$C$1005,B104,Hours!$I$6:$I$1005,Settings!$C$7,Hours!$D$6:$D$1005,"&gt;0"))</f>
        <v/>
      </c>
      <c r="F104" s="19">
        <f>IF(B104="","",SUMIFS(Hours!$D$6:$D$1005,Hours!$C$6:$C$1005,B104,Hours!$D$6:$D$1005,"&gt;0",Hours!$K$6:$K$1005,"&gt;0"))</f>
        <v/>
      </c>
      <c r="G104" s="26">
        <f>IF(OR(B104="",N(F104)=0),"",SUMPRODUCT(MAX((Hours!$C$6:$C$1005=B104)*Hours!$L$6:$L$1005)))</f>
        <v/>
      </c>
      <c r="H104" s="18">
        <f>IF(B104="","",COUNTIFS(Hours!$C$6:$C$1005,B104,Hours!$I$6:$I$1005,Settings!$C$7,Hours!$D$6:$D$1005,"&gt;0"))</f>
        <v/>
      </c>
      <c r="I104" s="1" t="n"/>
    </row>
    <row r="105">
      <c r="A105" s="1" t="n"/>
      <c r="B105" s="22" t="n"/>
      <c r="C105" s="25" t="n"/>
      <c r="D105" s="25" t="n"/>
      <c r="E105" s="45">
        <f>IF(B105="","",SUMIFS(Hours!$D$6:$D$1005,Hours!$C$6:$C$1005,B105,Hours!$I$6:$I$1005,Settings!$C$7,Hours!$D$6:$D$1005,"&gt;0"))</f>
        <v/>
      </c>
      <c r="F105" s="19">
        <f>IF(B105="","",SUMIFS(Hours!$D$6:$D$1005,Hours!$C$6:$C$1005,B105,Hours!$D$6:$D$1005,"&gt;0",Hours!$K$6:$K$1005,"&gt;0"))</f>
        <v/>
      </c>
      <c r="G105" s="26">
        <f>IF(OR(B105="",N(F105)=0),"",SUMPRODUCT(MAX((Hours!$C$6:$C$1005=B105)*Hours!$L$6:$L$1005)))</f>
        <v/>
      </c>
      <c r="H105" s="18">
        <f>IF(B105="","",COUNTIFS(Hours!$C$6:$C$1005,B105,Hours!$I$6:$I$1005,Settings!$C$7,Hours!$D$6:$D$1005,"&gt;0"))</f>
        <v/>
      </c>
      <c r="I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</row>
  </sheetData>
  <dataValidations count="1">
    <dataValidation sqref="D6:D105" showDropDown="0" showInputMessage="0" showErrorMessage="0" allowBlank="1" type="list">
      <formula1>"Driver,Sorting,Front desk,Kitchen,Other"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L100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22" customWidth="1" min="3" max="3"/>
    <col width="9" customWidth="1" min="4" max="4"/>
    <col width="22" customWidth="1" min="5" max="5"/>
    <col width="24" customWidth="1" min="6" max="6"/>
    <col width="20" customWidth="1" min="7" max="7"/>
    <col hidden="1" width="13" customWidth="1" min="9" max="9"/>
    <col hidden="1" width="13" customWidth="1" min="10" max="10"/>
    <col hidden="1" width="13" customWidth="1" min="11" max="11"/>
    <col hidden="1" width="13" customWidth="1" min="12" max="1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2" customHeight="1">
      <c r="A2" s="1" t="n"/>
      <c r="B2" s="2" t="inlineStr">
        <is>
          <t>Hours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Each time someone helps, with the hours as a number: 2.5 for two and a half.</t>
        </is>
      </c>
      <c r="C3" s="1" t="n"/>
      <c r="D3" s="1" t="n"/>
      <c r="E3" s="1" t="n"/>
      <c r="F3" s="1" t="n"/>
      <c r="G3" s="1" t="n"/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 ht="30" customHeight="1">
      <c r="A5" s="1" t="n"/>
      <c r="B5" s="10" t="inlineStr">
        <is>
          <t>Date</t>
        </is>
      </c>
      <c r="C5" s="10" t="inlineStr">
        <is>
          <t>Volunteer</t>
        </is>
      </c>
      <c r="D5" s="10" t="inlineStr">
        <is>
          <t>Hours</t>
        </is>
      </c>
      <c r="E5" s="10" t="inlineStr">
        <is>
          <t>What</t>
        </is>
      </c>
      <c r="F5" s="10" t="inlineStr">
        <is>
          <t>Note</t>
        </is>
      </c>
      <c r="G5" s="10" t="inlineStr">
        <is>
          <t>Check</t>
        </is>
      </c>
      <c r="H5" s="1" t="n"/>
    </row>
    <row r="6">
      <c r="A6" s="1" t="n"/>
      <c r="B6" s="21" t="n">
        <v>46018</v>
      </c>
      <c r="C6" s="22" t="inlineStr">
        <is>
          <t>Sam Reid</t>
        </is>
      </c>
      <c r="D6" s="46" t="n">
        <v>2.5</v>
      </c>
      <c r="E6" s="25" t="inlineStr">
        <is>
          <t>Front desk</t>
        </is>
      </c>
      <c r="F6" s="25" t="n"/>
      <c r="G6" s="17">
        <f>IF(AND(C6="",D6=""),"",IF(NOT(ISNUMBER(B6)),"Needs a date",IF(AND(D6&lt;&gt;"",NOT(ISNUMBER(D6))),"Hours not a number",IF(N(D6)&lt;=0,"Needs the hours",IF(C6="","Needs a name",IF(COUNTIF(Volunteers!$B$6:$B$105,C6)=0,"Not on Volunteers",""))))))</f>
        <v/>
      </c>
      <c r="H6" s="1" t="n"/>
      <c r="I6">
        <f>IF(ISNUMBER(B6),YEAR(B6),"")</f>
        <v/>
      </c>
      <c r="J6">
        <f>IF(ISNUMBER(B6),YEAR(B6)*100+MONTH(B6),"")</f>
        <v/>
      </c>
      <c r="K6">
        <f>IF(ISNUMBER(B6),INT(B6),0)</f>
        <v/>
      </c>
      <c r="L6">
        <f>IF(AND(ISNUMBER(D6),N(D6)&gt;0),K6,0)</f>
        <v/>
      </c>
    </row>
    <row r="7">
      <c r="A7" s="1" t="n"/>
      <c r="B7" s="21" t="n">
        <v>46025</v>
      </c>
      <c r="C7" s="22" t="inlineStr">
        <is>
          <t>Peter Olsen</t>
        </is>
      </c>
      <c r="D7" s="46" t="n">
        <v>3</v>
      </c>
      <c r="E7" s="25" t="inlineStr">
        <is>
          <t>Front desk</t>
        </is>
      </c>
      <c r="F7" s="25" t="n"/>
      <c r="G7" s="17">
        <f>IF(AND(C7="",D7=""),"",IF(NOT(ISNUMBER(B7)),"Needs a date",IF(AND(D7&lt;&gt;"",NOT(ISNUMBER(D7))),"Hours not a number",IF(N(D7)&lt;=0,"Needs the hours",IF(C7="","Needs a name",IF(COUNTIF(Volunteers!$B$6:$B$105,C7)=0,"Not on Volunteers",""))))))</f>
        <v/>
      </c>
      <c r="H7" s="1" t="n"/>
      <c r="I7">
        <f>IF(ISNUMBER(B7),YEAR(B7),"")</f>
        <v/>
      </c>
      <c r="J7">
        <f>IF(ISNUMBER(B7),YEAR(B7)*100+MONTH(B7),"")</f>
        <v/>
      </c>
      <c r="K7">
        <f>IF(ISNUMBER(B7),INT(B7),0)</f>
        <v/>
      </c>
      <c r="L7">
        <f>IF(AND(ISNUMBER(D7),N(D7)&gt;0),K7,0)</f>
        <v/>
      </c>
    </row>
    <row r="8">
      <c r="A8" s="1" t="n"/>
      <c r="B8" s="21" t="n">
        <v>46025</v>
      </c>
      <c r="C8" s="22" t="inlineStr">
        <is>
          <t>Beth Morgan</t>
        </is>
      </c>
      <c r="D8" s="46" t="n">
        <v>2.5</v>
      </c>
      <c r="E8" s="25" t="inlineStr">
        <is>
          <t>Deliveries</t>
        </is>
      </c>
      <c r="F8" s="25" t="n"/>
      <c r="G8" s="17">
        <f>IF(AND(C8="",D8=""),"",IF(NOT(ISNUMBER(B8)),"Needs a date",IF(AND(D8&lt;&gt;"",NOT(ISNUMBER(D8))),"Hours not a number",IF(N(D8)&lt;=0,"Needs the hours",IF(C8="","Needs a name",IF(COUNTIF(Volunteers!$B$6:$B$105,C8)=0,"Not on Volunteers",""))))))</f>
        <v/>
      </c>
      <c r="H8" s="1" t="n"/>
      <c r="I8">
        <f>IF(ISNUMBER(B8),YEAR(B8),"")</f>
        <v/>
      </c>
      <c r="J8">
        <f>IF(ISNUMBER(B8),YEAR(B8)*100+MONTH(B8),"")</f>
        <v/>
      </c>
      <c r="K8">
        <f>IF(ISNUMBER(B8),INT(B8),0)</f>
        <v/>
      </c>
      <c r="L8">
        <f>IF(AND(ISNUMBER(D8),N(D8)&gt;0),K8,0)</f>
        <v/>
      </c>
    </row>
    <row r="9">
      <c r="A9" s="1" t="n"/>
      <c r="B9" s="21" t="n">
        <v>46025</v>
      </c>
      <c r="C9" s="22" t="inlineStr">
        <is>
          <t>Sam Reid</t>
        </is>
      </c>
      <c r="D9" s="46" t="n">
        <v>3</v>
      </c>
      <c r="E9" s="25" t="inlineStr">
        <is>
          <t>Sorting day</t>
        </is>
      </c>
      <c r="F9" s="25" t="n"/>
      <c r="G9" s="17">
        <f>IF(AND(C9="",D9=""),"",IF(NOT(ISNUMBER(B9)),"Needs a date",IF(AND(D9&lt;&gt;"",NOT(ISNUMBER(D9))),"Hours not a number",IF(N(D9)&lt;=0,"Needs the hours",IF(C9="","Needs a name",IF(COUNTIF(Volunteers!$B$6:$B$105,C9)=0,"Not on Volunteers",""))))))</f>
        <v/>
      </c>
      <c r="H9" s="1" t="n"/>
      <c r="I9">
        <f>IF(ISNUMBER(B9),YEAR(B9),"")</f>
        <v/>
      </c>
      <c r="J9">
        <f>IF(ISNUMBER(B9),YEAR(B9)*100+MONTH(B9),"")</f>
        <v/>
      </c>
      <c r="K9">
        <f>IF(ISNUMBER(B9),INT(B9),0)</f>
        <v/>
      </c>
      <c r="L9">
        <f>IF(AND(ISNUMBER(D9),N(D9)&gt;0),K9,0)</f>
        <v/>
      </c>
    </row>
    <row r="10">
      <c r="A10" s="1" t="n"/>
      <c r="B10" s="21" t="n">
        <v>46025</v>
      </c>
      <c r="C10" s="22" t="inlineStr">
        <is>
          <t>Olga Novak</t>
        </is>
      </c>
      <c r="D10" s="46" t="n">
        <v>2</v>
      </c>
      <c r="E10" s="25" t="inlineStr">
        <is>
          <t>Sorting day</t>
        </is>
      </c>
      <c r="F10" s="25" t="n"/>
      <c r="G10" s="17">
        <f>IF(AND(C10="",D10=""),"",IF(NOT(ISNUMBER(B10)),"Needs a date",IF(AND(D10&lt;&gt;"",NOT(ISNUMBER(D10))),"Hours not a number",IF(N(D10)&lt;=0,"Needs the hours",IF(C10="","Needs a name",IF(COUNTIF(Volunteers!$B$6:$B$105,C10)=0,"Not on Volunteers",""))))))</f>
        <v/>
      </c>
      <c r="H10" s="1" t="n"/>
      <c r="I10">
        <f>IF(ISNUMBER(B10),YEAR(B10),"")</f>
        <v/>
      </c>
      <c r="J10">
        <f>IF(ISNUMBER(B10),YEAR(B10)*100+MONTH(B10),"")</f>
        <v/>
      </c>
      <c r="K10">
        <f>IF(ISNUMBER(B10),INT(B10),0)</f>
        <v/>
      </c>
      <c r="L10">
        <f>IF(AND(ISNUMBER(D10),N(D10)&gt;0),K10,0)</f>
        <v/>
      </c>
    </row>
    <row r="11">
      <c r="A11" s="1" t="n"/>
      <c r="B11" s="21" t="n">
        <v>46032</v>
      </c>
      <c r="C11" s="22" t="inlineStr">
        <is>
          <t>Mark Evans</t>
        </is>
      </c>
      <c r="D11" s="46" t="n">
        <v>2.5</v>
      </c>
      <c r="E11" s="25" t="inlineStr">
        <is>
          <t>Saturday market</t>
        </is>
      </c>
      <c r="F11" s="25" t="n"/>
      <c r="G11" s="17">
        <f>IF(AND(C11="",D11=""),"",IF(NOT(ISNUMBER(B11)),"Needs a date",IF(AND(D11&lt;&gt;"",NOT(ISNUMBER(D11))),"Hours not a number",IF(N(D11)&lt;=0,"Needs the hours",IF(C11="","Needs a name",IF(COUNTIF(Volunteers!$B$6:$B$105,C11)=0,"Not on Volunteers",""))))))</f>
        <v/>
      </c>
      <c r="H11" s="1" t="n"/>
      <c r="I11">
        <f>IF(ISNUMBER(B11),YEAR(B11),"")</f>
        <v/>
      </c>
      <c r="J11">
        <f>IF(ISNUMBER(B11),YEAR(B11)*100+MONTH(B11),"")</f>
        <v/>
      </c>
      <c r="K11">
        <f>IF(ISNUMBER(B11),INT(B11),0)</f>
        <v/>
      </c>
      <c r="L11">
        <f>IF(AND(ISNUMBER(D11),N(D11)&gt;0),K11,0)</f>
        <v/>
      </c>
    </row>
    <row r="12">
      <c r="A12" s="1" t="n"/>
      <c r="B12" s="21" t="n">
        <v>46032</v>
      </c>
      <c r="C12" s="22" t="inlineStr">
        <is>
          <t>Peter Olsen</t>
        </is>
      </c>
      <c r="D12" s="46" t="n">
        <v>3</v>
      </c>
      <c r="E12" s="25" t="inlineStr">
        <is>
          <t>Front desk</t>
        </is>
      </c>
      <c r="F12" s="25" t="n"/>
      <c r="G12" s="17">
        <f>IF(AND(C12="",D12=""),"",IF(NOT(ISNUMBER(B12)),"Needs a date",IF(AND(D12&lt;&gt;"",NOT(ISNUMBER(D12))),"Hours not a number",IF(N(D12)&lt;=0,"Needs the hours",IF(C12="","Needs a name",IF(COUNTIF(Volunteers!$B$6:$B$105,C12)=0,"Not on Volunteers",""))))))</f>
        <v/>
      </c>
      <c r="H12" s="1" t="n"/>
      <c r="I12">
        <f>IF(ISNUMBER(B12),YEAR(B12),"")</f>
        <v/>
      </c>
      <c r="J12">
        <f>IF(ISNUMBER(B12),YEAR(B12)*100+MONTH(B12),"")</f>
        <v/>
      </c>
      <c r="K12">
        <f>IF(ISNUMBER(B12),INT(B12),0)</f>
        <v/>
      </c>
      <c r="L12">
        <f>IF(AND(ISNUMBER(D12),N(D12)&gt;0),K12,0)</f>
        <v/>
      </c>
    </row>
    <row r="13">
      <c r="A13" s="1" t="n"/>
      <c r="B13" s="21" t="n">
        <v>46032</v>
      </c>
      <c r="C13" s="22" t="inlineStr">
        <is>
          <t>Joe Ward</t>
        </is>
      </c>
      <c r="D13" s="46" t="n">
        <v>4</v>
      </c>
      <c r="E13" s="25" t="inlineStr">
        <is>
          <t>Saturday market</t>
        </is>
      </c>
      <c r="F13" s="25" t="n"/>
      <c r="G13" s="17">
        <f>IF(AND(C13="",D13=""),"",IF(NOT(ISNUMBER(B13)),"Needs a date",IF(AND(D13&lt;&gt;"",NOT(ISNUMBER(D13))),"Hours not a number",IF(N(D13)&lt;=0,"Needs the hours",IF(C13="","Needs a name",IF(COUNTIF(Volunteers!$B$6:$B$105,C13)=0,"Not on Volunteers",""))))))</f>
        <v/>
      </c>
      <c r="H13" s="1" t="n"/>
      <c r="I13">
        <f>IF(ISNUMBER(B13),YEAR(B13),"")</f>
        <v/>
      </c>
      <c r="J13">
        <f>IF(ISNUMBER(B13),YEAR(B13)*100+MONTH(B13),"")</f>
        <v/>
      </c>
      <c r="K13">
        <f>IF(ISNUMBER(B13),INT(B13),0)</f>
        <v/>
      </c>
      <c r="L13">
        <f>IF(AND(ISNUMBER(D13),N(D13)&gt;0),K13,0)</f>
        <v/>
      </c>
    </row>
    <row r="14">
      <c r="A14" s="1" t="n"/>
      <c r="B14" s="21" t="n">
        <v>46032</v>
      </c>
      <c r="C14" s="22" t="inlineStr">
        <is>
          <t>Beth Morgan</t>
        </is>
      </c>
      <c r="D14" s="46" t="n">
        <v>2.5</v>
      </c>
      <c r="E14" s="25" t="inlineStr">
        <is>
          <t>Deliveries</t>
        </is>
      </c>
      <c r="F14" s="25" t="n"/>
      <c r="G14" s="17">
        <f>IF(AND(C14="",D14=""),"",IF(NOT(ISNUMBER(B14)),"Needs a date",IF(AND(D14&lt;&gt;"",NOT(ISNUMBER(D14))),"Hours not a number",IF(N(D14)&lt;=0,"Needs the hours",IF(C14="","Needs a name",IF(COUNTIF(Volunteers!$B$6:$B$105,C14)=0,"Not on Volunteers",""))))))</f>
        <v/>
      </c>
      <c r="H14" s="1" t="n"/>
      <c r="I14">
        <f>IF(ISNUMBER(B14),YEAR(B14),"")</f>
        <v/>
      </c>
      <c r="J14">
        <f>IF(ISNUMBER(B14),YEAR(B14)*100+MONTH(B14),"")</f>
        <v/>
      </c>
      <c r="K14">
        <f>IF(ISNUMBER(B14),INT(B14),0)</f>
        <v/>
      </c>
      <c r="L14">
        <f>IF(AND(ISNUMBER(D14),N(D14)&gt;0),K14,0)</f>
        <v/>
      </c>
    </row>
    <row r="15">
      <c r="A15" s="1" t="n"/>
      <c r="B15" s="21" t="n">
        <v>46039</v>
      </c>
      <c r="C15" s="22" t="inlineStr">
        <is>
          <t>Lucy Chen</t>
        </is>
      </c>
      <c r="D15" s="46" t="n">
        <v>4</v>
      </c>
      <c r="E15" s="25" t="inlineStr">
        <is>
          <t>Sorting day</t>
        </is>
      </c>
      <c r="F15" s="25" t="n"/>
      <c r="G15" s="17">
        <f>IF(AND(C15="",D15=""),"",IF(NOT(ISNUMBER(B15)),"Needs a date",IF(AND(D15&lt;&gt;"",NOT(ISNUMBER(D15))),"Hours not a number",IF(N(D15)&lt;=0,"Needs the hours",IF(C15="","Needs a name",IF(COUNTIF(Volunteers!$B$6:$B$105,C15)=0,"Not on Volunteers",""))))))</f>
        <v/>
      </c>
      <c r="H15" s="1" t="n"/>
      <c r="I15">
        <f>IF(ISNUMBER(B15),YEAR(B15),"")</f>
        <v/>
      </c>
      <c r="J15">
        <f>IF(ISNUMBER(B15),YEAR(B15)*100+MONTH(B15),"")</f>
        <v/>
      </c>
      <c r="K15">
        <f>IF(ISNUMBER(B15),INT(B15),0)</f>
        <v/>
      </c>
      <c r="L15">
        <f>IF(AND(ISNUMBER(D15),N(D15)&gt;0),K15,0)</f>
        <v/>
      </c>
    </row>
    <row r="16">
      <c r="A16" s="1" t="n"/>
      <c r="B16" s="21" t="n">
        <v>46039</v>
      </c>
      <c r="C16" s="22" t="inlineStr">
        <is>
          <t>Joe Ward</t>
        </is>
      </c>
      <c r="D16" s="46" t="n">
        <v>2</v>
      </c>
      <c r="E16" s="25" t="inlineStr">
        <is>
          <t>Sorting day</t>
        </is>
      </c>
      <c r="F16" s="25" t="n"/>
      <c r="G16" s="17">
        <f>IF(AND(C16="",D16=""),"",IF(NOT(ISNUMBER(B16)),"Needs a date",IF(AND(D16&lt;&gt;"",NOT(ISNUMBER(D16))),"Hours not a number",IF(N(D16)&lt;=0,"Needs the hours",IF(C16="","Needs a name",IF(COUNTIF(Volunteers!$B$6:$B$105,C16)=0,"Not on Volunteers",""))))))</f>
        <v/>
      </c>
      <c r="H16" s="1" t="n"/>
      <c r="I16">
        <f>IF(ISNUMBER(B16),YEAR(B16),"")</f>
        <v/>
      </c>
      <c r="J16">
        <f>IF(ISNUMBER(B16),YEAR(B16)*100+MONTH(B16),"")</f>
        <v/>
      </c>
      <c r="K16">
        <f>IF(ISNUMBER(B16),INT(B16),0)</f>
        <v/>
      </c>
      <c r="L16">
        <f>IF(AND(ISNUMBER(D16),N(D16)&gt;0),K16,0)</f>
        <v/>
      </c>
    </row>
    <row r="17">
      <c r="A17" s="1" t="n"/>
      <c r="B17" s="21" t="n">
        <v>46039</v>
      </c>
      <c r="C17" s="22" t="inlineStr">
        <is>
          <t>Beth Morgan</t>
        </is>
      </c>
      <c r="D17" s="46" t="n">
        <v>2.5</v>
      </c>
      <c r="E17" s="25" t="inlineStr">
        <is>
          <t>Front desk</t>
        </is>
      </c>
      <c r="F17" s="25" t="n"/>
      <c r="G17" s="17">
        <f>IF(AND(C17="",D17=""),"",IF(NOT(ISNUMBER(B17)),"Needs a date",IF(AND(D17&lt;&gt;"",NOT(ISNUMBER(D17))),"Hours not a number",IF(N(D17)&lt;=0,"Needs the hours",IF(C17="","Needs a name",IF(COUNTIF(Volunteers!$B$6:$B$105,C17)=0,"Not on Volunteers",""))))))</f>
        <v/>
      </c>
      <c r="H17" s="1" t="n"/>
      <c r="I17">
        <f>IF(ISNUMBER(B17),YEAR(B17),"")</f>
        <v/>
      </c>
      <c r="J17">
        <f>IF(ISNUMBER(B17),YEAR(B17)*100+MONTH(B17),"")</f>
        <v/>
      </c>
      <c r="K17">
        <f>IF(ISNUMBER(B17),INT(B17),0)</f>
        <v/>
      </c>
      <c r="L17">
        <f>IF(AND(ISNUMBER(D17),N(D17)&gt;0),K17,0)</f>
        <v/>
      </c>
    </row>
    <row r="18">
      <c r="A18" s="1" t="n"/>
      <c r="B18" s="21" t="n">
        <v>46046</v>
      </c>
      <c r="C18" s="22" t="inlineStr">
        <is>
          <t>Mark Evans</t>
        </is>
      </c>
      <c r="D18" s="46" t="n">
        <v>4</v>
      </c>
      <c r="E18" s="25" t="inlineStr">
        <is>
          <t>Front desk</t>
        </is>
      </c>
      <c r="F18" s="25" t="n"/>
      <c r="G18" s="17">
        <f>IF(AND(C18="",D18=""),"",IF(NOT(ISNUMBER(B18)),"Needs a date",IF(AND(D18&lt;&gt;"",NOT(ISNUMBER(D18))),"Hours not a number",IF(N(D18)&lt;=0,"Needs the hours",IF(C18="","Needs a name",IF(COUNTIF(Volunteers!$B$6:$B$105,C18)=0,"Not on Volunteers",""))))))</f>
        <v/>
      </c>
      <c r="H18" s="1" t="n"/>
      <c r="I18">
        <f>IF(ISNUMBER(B18),YEAR(B18),"")</f>
        <v/>
      </c>
      <c r="J18">
        <f>IF(ISNUMBER(B18),YEAR(B18)*100+MONTH(B18),"")</f>
        <v/>
      </c>
      <c r="K18">
        <f>IF(ISNUMBER(B18),INT(B18),0)</f>
        <v/>
      </c>
      <c r="L18">
        <f>IF(AND(ISNUMBER(D18),N(D18)&gt;0),K18,0)</f>
        <v/>
      </c>
    </row>
    <row r="19">
      <c r="A19" s="1" t="n"/>
      <c r="B19" s="21" t="n">
        <v>46046</v>
      </c>
      <c r="C19" s="22" t="inlineStr">
        <is>
          <t>Beth Morgan</t>
        </is>
      </c>
      <c r="D19" s="46" t="n">
        <v>2</v>
      </c>
      <c r="E19" s="25" t="inlineStr">
        <is>
          <t>Deliveries</t>
        </is>
      </c>
      <c r="F19" s="25" t="n"/>
      <c r="G19" s="17">
        <f>IF(AND(C19="",D19=""),"",IF(NOT(ISNUMBER(B19)),"Needs a date",IF(AND(D19&lt;&gt;"",NOT(ISNUMBER(D19))),"Hours not a number",IF(N(D19)&lt;=0,"Needs the hours",IF(C19="","Needs a name",IF(COUNTIF(Volunteers!$B$6:$B$105,C19)=0,"Not on Volunteers",""))))))</f>
        <v/>
      </c>
      <c r="H19" s="1" t="n"/>
      <c r="I19">
        <f>IF(ISNUMBER(B19),YEAR(B19),"")</f>
        <v/>
      </c>
      <c r="J19">
        <f>IF(ISNUMBER(B19),YEAR(B19)*100+MONTH(B19),"")</f>
        <v/>
      </c>
      <c r="K19">
        <f>IF(ISNUMBER(B19),INT(B19),0)</f>
        <v/>
      </c>
      <c r="L19">
        <f>IF(AND(ISNUMBER(D19),N(D19)&gt;0),K19,0)</f>
        <v/>
      </c>
    </row>
    <row r="20">
      <c r="A20" s="1" t="n"/>
      <c r="B20" s="21" t="n">
        <v>46046</v>
      </c>
      <c r="C20" s="22" t="inlineStr">
        <is>
          <t>Sam Reid</t>
        </is>
      </c>
      <c r="D20" s="46" t="n">
        <v>4</v>
      </c>
      <c r="E20" s="25" t="inlineStr">
        <is>
          <t>Sorting day</t>
        </is>
      </c>
      <c r="F20" s="25" t="n"/>
      <c r="G20" s="17">
        <f>IF(AND(C20="",D20=""),"",IF(NOT(ISNUMBER(B20)),"Needs a date",IF(AND(D20&lt;&gt;"",NOT(ISNUMBER(D20))),"Hours not a number",IF(N(D20)&lt;=0,"Needs the hours",IF(C20="","Needs a name",IF(COUNTIF(Volunteers!$B$6:$B$105,C20)=0,"Not on Volunteers",""))))))</f>
        <v/>
      </c>
      <c r="H20" s="1" t="n"/>
      <c r="I20">
        <f>IF(ISNUMBER(B20),YEAR(B20),"")</f>
        <v/>
      </c>
      <c r="J20">
        <f>IF(ISNUMBER(B20),YEAR(B20)*100+MONTH(B20),"")</f>
        <v/>
      </c>
      <c r="K20">
        <f>IF(ISNUMBER(B20),INT(B20),0)</f>
        <v/>
      </c>
      <c r="L20">
        <f>IF(AND(ISNUMBER(D20),N(D20)&gt;0),K20,0)</f>
        <v/>
      </c>
    </row>
    <row r="21">
      <c r="A21" s="1" t="n"/>
      <c r="B21" s="21" t="n">
        <v>46053</v>
      </c>
      <c r="C21" s="22" t="inlineStr">
        <is>
          <t>Lucy Chen</t>
        </is>
      </c>
      <c r="D21" s="46" t="n">
        <v>3</v>
      </c>
      <c r="E21" s="25" t="inlineStr">
        <is>
          <t>Saturday market</t>
        </is>
      </c>
      <c r="F21" s="25" t="n"/>
      <c r="G21" s="17">
        <f>IF(AND(C21="",D21=""),"",IF(NOT(ISNUMBER(B21)),"Needs a date",IF(AND(D21&lt;&gt;"",NOT(ISNUMBER(D21))),"Hours not a number",IF(N(D21)&lt;=0,"Needs the hours",IF(C21="","Needs a name",IF(COUNTIF(Volunteers!$B$6:$B$105,C21)=0,"Not on Volunteers",""))))))</f>
        <v/>
      </c>
      <c r="H21" s="1" t="n"/>
      <c r="I21">
        <f>IF(ISNUMBER(B21),YEAR(B21),"")</f>
        <v/>
      </c>
      <c r="J21">
        <f>IF(ISNUMBER(B21),YEAR(B21)*100+MONTH(B21),"")</f>
        <v/>
      </c>
      <c r="K21">
        <f>IF(ISNUMBER(B21),INT(B21),0)</f>
        <v/>
      </c>
      <c r="L21">
        <f>IF(AND(ISNUMBER(D21),N(D21)&gt;0),K21,0)</f>
        <v/>
      </c>
    </row>
    <row r="22">
      <c r="A22" s="1" t="n"/>
      <c r="B22" s="21" t="n">
        <v>46053</v>
      </c>
      <c r="C22" s="22" t="inlineStr">
        <is>
          <t>Nadia Karim</t>
        </is>
      </c>
      <c r="D22" s="46" t="n">
        <v>4</v>
      </c>
      <c r="E22" s="25" t="inlineStr">
        <is>
          <t>Saturday market</t>
        </is>
      </c>
      <c r="F22" s="25" t="n"/>
      <c r="G22" s="17">
        <f>IF(AND(C22="",D22=""),"",IF(NOT(ISNUMBER(B22)),"Needs a date",IF(AND(D22&lt;&gt;"",NOT(ISNUMBER(D22))),"Hours not a number",IF(N(D22)&lt;=0,"Needs the hours",IF(C22="","Needs a name",IF(COUNTIF(Volunteers!$B$6:$B$105,C22)=0,"Not on Volunteers",""))))))</f>
        <v/>
      </c>
      <c r="H22" s="1" t="n"/>
      <c r="I22">
        <f>IF(ISNUMBER(B22),YEAR(B22),"")</f>
        <v/>
      </c>
      <c r="J22">
        <f>IF(ISNUMBER(B22),YEAR(B22)*100+MONTH(B22),"")</f>
        <v/>
      </c>
      <c r="K22">
        <f>IF(ISNUMBER(B22),INT(B22),0)</f>
        <v/>
      </c>
      <c r="L22">
        <f>IF(AND(ISNUMBER(D22),N(D22)&gt;0),K22,0)</f>
        <v/>
      </c>
    </row>
    <row r="23">
      <c r="A23" s="1" t="n"/>
      <c r="B23" s="21" t="n">
        <v>46053</v>
      </c>
      <c r="C23" s="22" t="inlineStr">
        <is>
          <t>Sam Reid</t>
        </is>
      </c>
      <c r="D23" s="46" t="n">
        <v>3</v>
      </c>
      <c r="E23" s="25" t="inlineStr">
        <is>
          <t>Front desk</t>
        </is>
      </c>
      <c r="F23" s="25" t="n"/>
      <c r="G23" s="17">
        <f>IF(AND(C23="",D23=""),"",IF(NOT(ISNUMBER(B23)),"Needs a date",IF(AND(D23&lt;&gt;"",NOT(ISNUMBER(D23))),"Hours not a number",IF(N(D23)&lt;=0,"Needs the hours",IF(C23="","Needs a name",IF(COUNTIF(Volunteers!$B$6:$B$105,C23)=0,"Not on Volunteers",""))))))</f>
        <v/>
      </c>
      <c r="H23" s="1" t="n"/>
      <c r="I23">
        <f>IF(ISNUMBER(B23),YEAR(B23),"")</f>
        <v/>
      </c>
      <c r="J23">
        <f>IF(ISNUMBER(B23),YEAR(B23)*100+MONTH(B23),"")</f>
        <v/>
      </c>
      <c r="K23">
        <f>IF(ISNUMBER(B23),INT(B23),0)</f>
        <v/>
      </c>
      <c r="L23">
        <f>IF(AND(ISNUMBER(D23),N(D23)&gt;0),K23,0)</f>
        <v/>
      </c>
    </row>
    <row r="24">
      <c r="A24" s="1" t="n"/>
      <c r="B24" s="21" t="n">
        <v>46060</v>
      </c>
      <c r="C24" s="22" t="inlineStr">
        <is>
          <t>Mark Evans</t>
        </is>
      </c>
      <c r="D24" s="46" t="n">
        <v>2.5</v>
      </c>
      <c r="E24" s="25" t="inlineStr">
        <is>
          <t>Sorting day</t>
        </is>
      </c>
      <c r="F24" s="25" t="n"/>
      <c r="G24" s="17">
        <f>IF(AND(C24="",D24=""),"",IF(NOT(ISNUMBER(B24)),"Needs a date",IF(AND(D24&lt;&gt;"",NOT(ISNUMBER(D24))),"Hours not a number",IF(N(D24)&lt;=0,"Needs the hours",IF(C24="","Needs a name",IF(COUNTIF(Volunteers!$B$6:$B$105,C24)=0,"Not on Volunteers",""))))))</f>
        <v/>
      </c>
      <c r="H24" s="1" t="n"/>
      <c r="I24">
        <f>IF(ISNUMBER(B24),YEAR(B24),"")</f>
        <v/>
      </c>
      <c r="J24">
        <f>IF(ISNUMBER(B24),YEAR(B24)*100+MONTH(B24),"")</f>
        <v/>
      </c>
      <c r="K24">
        <f>IF(ISNUMBER(B24),INT(B24),0)</f>
        <v/>
      </c>
      <c r="L24">
        <f>IF(AND(ISNUMBER(D24),N(D24)&gt;0),K24,0)</f>
        <v/>
      </c>
    </row>
    <row r="25">
      <c r="A25" s="1" t="n"/>
      <c r="B25" s="21" t="n">
        <v>46060</v>
      </c>
      <c r="C25" s="22" t="inlineStr">
        <is>
          <t>Peter Olsen</t>
        </is>
      </c>
      <c r="D25" s="46" t="n">
        <v>4</v>
      </c>
      <c r="E25" s="25" t="inlineStr">
        <is>
          <t>Sorting day</t>
        </is>
      </c>
      <c r="F25" s="25" t="n"/>
      <c r="G25" s="17">
        <f>IF(AND(C25="",D25=""),"",IF(NOT(ISNUMBER(B25)),"Needs a date",IF(AND(D25&lt;&gt;"",NOT(ISNUMBER(D25))),"Hours not a number",IF(N(D25)&lt;=0,"Needs the hours",IF(C25="","Needs a name",IF(COUNTIF(Volunteers!$B$6:$B$105,C25)=0,"Not on Volunteers",""))))))</f>
        <v/>
      </c>
      <c r="H25" s="1" t="n"/>
      <c r="I25">
        <f>IF(ISNUMBER(B25),YEAR(B25),"")</f>
        <v/>
      </c>
      <c r="J25">
        <f>IF(ISNUMBER(B25),YEAR(B25)*100+MONTH(B25),"")</f>
        <v/>
      </c>
      <c r="K25">
        <f>IF(ISNUMBER(B25),INT(B25),0)</f>
        <v/>
      </c>
      <c r="L25">
        <f>IF(AND(ISNUMBER(D25),N(D25)&gt;0),K25,0)</f>
        <v/>
      </c>
    </row>
    <row r="26">
      <c r="A26" s="1" t="n"/>
      <c r="B26" s="21" t="n">
        <v>46060</v>
      </c>
      <c r="C26" s="22" t="inlineStr">
        <is>
          <t>Nadia Karim</t>
        </is>
      </c>
      <c r="D26" s="46" t="n">
        <v>2</v>
      </c>
      <c r="E26" s="25" t="inlineStr">
        <is>
          <t>Sorting day</t>
        </is>
      </c>
      <c r="F26" s="25" t="n"/>
      <c r="G26" s="17">
        <f>IF(AND(C26="",D26=""),"",IF(NOT(ISNUMBER(B26)),"Needs a date",IF(AND(D26&lt;&gt;"",NOT(ISNUMBER(D26))),"Hours not a number",IF(N(D26)&lt;=0,"Needs the hours",IF(C26="","Needs a name",IF(COUNTIF(Volunteers!$B$6:$B$105,C26)=0,"Not on Volunteers",""))))))</f>
        <v/>
      </c>
      <c r="H26" s="1" t="n"/>
      <c r="I26">
        <f>IF(ISNUMBER(B26),YEAR(B26),"")</f>
        <v/>
      </c>
      <c r="J26">
        <f>IF(ISNUMBER(B26),YEAR(B26)*100+MONTH(B26),"")</f>
        <v/>
      </c>
      <c r="K26">
        <f>IF(ISNUMBER(B26),INT(B26),0)</f>
        <v/>
      </c>
      <c r="L26">
        <f>IF(AND(ISNUMBER(D26),N(D26)&gt;0),K26,0)</f>
        <v/>
      </c>
    </row>
    <row r="27">
      <c r="A27" s="1" t="n"/>
      <c r="B27" s="21" t="n">
        <v>46060</v>
      </c>
      <c r="C27" s="22" t="inlineStr">
        <is>
          <t>Olga Novak</t>
        </is>
      </c>
      <c r="D27" s="46" t="n">
        <v>3</v>
      </c>
      <c r="E27" s="25" t="inlineStr">
        <is>
          <t>Saturday market</t>
        </is>
      </c>
      <c r="F27" s="25" t="n"/>
      <c r="G27" s="17">
        <f>IF(AND(C27="",D27=""),"",IF(NOT(ISNUMBER(B27)),"Needs a date",IF(AND(D27&lt;&gt;"",NOT(ISNUMBER(D27))),"Hours not a number",IF(N(D27)&lt;=0,"Needs the hours",IF(C27="","Needs a name",IF(COUNTIF(Volunteers!$B$6:$B$105,C27)=0,"Not on Volunteers",""))))))</f>
        <v/>
      </c>
      <c r="H27" s="1" t="n"/>
      <c r="I27">
        <f>IF(ISNUMBER(B27),YEAR(B27),"")</f>
        <v/>
      </c>
      <c r="J27">
        <f>IF(ISNUMBER(B27),YEAR(B27)*100+MONTH(B27),"")</f>
        <v/>
      </c>
      <c r="K27">
        <f>IF(ISNUMBER(B27),INT(B27),0)</f>
        <v/>
      </c>
      <c r="L27">
        <f>IF(AND(ISNUMBER(D27),N(D27)&gt;0),K27,0)</f>
        <v/>
      </c>
    </row>
    <row r="28">
      <c r="A28" s="1" t="n"/>
      <c r="B28" s="21" t="n">
        <v>46067</v>
      </c>
      <c r="C28" s="22" t="inlineStr">
        <is>
          <t>Lucy Chen</t>
        </is>
      </c>
      <c r="D28" s="46" t="n">
        <v>2</v>
      </c>
      <c r="E28" s="25" t="inlineStr">
        <is>
          <t>Front desk</t>
        </is>
      </c>
      <c r="F28" s="25" t="n"/>
      <c r="G28" s="17">
        <f>IF(AND(C28="",D28=""),"",IF(NOT(ISNUMBER(B28)),"Needs a date",IF(AND(D28&lt;&gt;"",NOT(ISNUMBER(D28))),"Hours not a number",IF(N(D28)&lt;=0,"Needs the hours",IF(C28="","Needs a name",IF(COUNTIF(Volunteers!$B$6:$B$105,C28)=0,"Not on Volunteers",""))))))</f>
        <v/>
      </c>
      <c r="H28" s="1" t="n"/>
      <c r="I28">
        <f>IF(ISNUMBER(B28),YEAR(B28),"")</f>
        <v/>
      </c>
      <c r="J28">
        <f>IF(ISNUMBER(B28),YEAR(B28)*100+MONTH(B28),"")</f>
        <v/>
      </c>
      <c r="K28">
        <f>IF(ISNUMBER(B28),INT(B28),0)</f>
        <v/>
      </c>
      <c r="L28">
        <f>IF(AND(ISNUMBER(D28),N(D28)&gt;0),K28,0)</f>
        <v/>
      </c>
    </row>
    <row r="29">
      <c r="A29" s="1" t="n"/>
      <c r="B29" s="21" t="n">
        <v>46067</v>
      </c>
      <c r="C29" s="22" t="inlineStr">
        <is>
          <t>Nadia Karim</t>
        </is>
      </c>
      <c r="D29" s="46" t="n">
        <v>2</v>
      </c>
      <c r="E29" s="25" t="inlineStr">
        <is>
          <t>Front desk</t>
        </is>
      </c>
      <c r="F29" s="25" t="n"/>
      <c r="G29" s="17">
        <f>IF(AND(C29="",D29=""),"",IF(NOT(ISNUMBER(B29)),"Needs a date",IF(AND(D29&lt;&gt;"",NOT(ISNUMBER(D29))),"Hours not a number",IF(N(D29)&lt;=0,"Needs the hours",IF(C29="","Needs a name",IF(COUNTIF(Volunteers!$B$6:$B$105,C29)=0,"Not on Volunteers",""))))))</f>
        <v/>
      </c>
      <c r="H29" s="1" t="n"/>
      <c r="I29">
        <f>IF(ISNUMBER(B29),YEAR(B29),"")</f>
        <v/>
      </c>
      <c r="J29">
        <f>IF(ISNUMBER(B29),YEAR(B29)*100+MONTH(B29),"")</f>
        <v/>
      </c>
      <c r="K29">
        <f>IF(ISNUMBER(B29),INT(B29),0)</f>
        <v/>
      </c>
      <c r="L29">
        <f>IF(AND(ISNUMBER(D29),N(D29)&gt;0),K29,0)</f>
        <v/>
      </c>
    </row>
    <row r="30">
      <c r="A30" s="1" t="n"/>
      <c r="B30" s="21" t="n">
        <v>46067</v>
      </c>
      <c r="C30" s="22" t="inlineStr">
        <is>
          <t>Joe Ward</t>
        </is>
      </c>
      <c r="D30" s="46" t="n">
        <v>2.5</v>
      </c>
      <c r="E30" s="25" t="inlineStr">
        <is>
          <t>Front desk</t>
        </is>
      </c>
      <c r="F30" s="25" t="n"/>
      <c r="G30" s="17">
        <f>IF(AND(C30="",D30=""),"",IF(NOT(ISNUMBER(B30)),"Needs a date",IF(AND(D30&lt;&gt;"",NOT(ISNUMBER(D30))),"Hours not a number",IF(N(D30)&lt;=0,"Needs the hours",IF(C30="","Needs a name",IF(COUNTIF(Volunteers!$B$6:$B$105,C30)=0,"Not on Volunteers",""))))))</f>
        <v/>
      </c>
      <c r="H30" s="1" t="n"/>
      <c r="I30">
        <f>IF(ISNUMBER(B30),YEAR(B30),"")</f>
        <v/>
      </c>
      <c r="J30">
        <f>IF(ISNUMBER(B30),YEAR(B30)*100+MONTH(B30),"")</f>
        <v/>
      </c>
      <c r="K30">
        <f>IF(ISNUMBER(B30),INT(B30),0)</f>
        <v/>
      </c>
      <c r="L30">
        <f>IF(AND(ISNUMBER(D30),N(D30)&gt;0),K30,0)</f>
        <v/>
      </c>
    </row>
    <row r="31">
      <c r="A31" s="1" t="n"/>
      <c r="B31" s="21" t="n">
        <v>46067</v>
      </c>
      <c r="C31" s="22" t="inlineStr">
        <is>
          <t>Sam Reid</t>
        </is>
      </c>
      <c r="D31" s="46" t="n">
        <v>2</v>
      </c>
      <c r="E31" s="25" t="inlineStr">
        <is>
          <t>Saturday market</t>
        </is>
      </c>
      <c r="F31" s="25" t="n"/>
      <c r="G31" s="17">
        <f>IF(AND(C31="",D31=""),"",IF(NOT(ISNUMBER(B31)),"Needs a date",IF(AND(D31&lt;&gt;"",NOT(ISNUMBER(D31))),"Hours not a number",IF(N(D31)&lt;=0,"Needs the hours",IF(C31="","Needs a name",IF(COUNTIF(Volunteers!$B$6:$B$105,C31)=0,"Not on Volunteers",""))))))</f>
        <v/>
      </c>
      <c r="H31" s="1" t="n"/>
      <c r="I31">
        <f>IF(ISNUMBER(B31),YEAR(B31),"")</f>
        <v/>
      </c>
      <c r="J31">
        <f>IF(ISNUMBER(B31),YEAR(B31)*100+MONTH(B31),"")</f>
        <v/>
      </c>
      <c r="K31">
        <f>IF(ISNUMBER(B31),INT(B31),0)</f>
        <v/>
      </c>
      <c r="L31">
        <f>IF(AND(ISNUMBER(D31),N(D31)&gt;0),K31,0)</f>
        <v/>
      </c>
    </row>
    <row r="32">
      <c r="A32" s="1" t="n"/>
      <c r="B32" s="21" t="n">
        <v>46074</v>
      </c>
      <c r="C32" s="22" t="inlineStr">
        <is>
          <t>Mark Evans</t>
        </is>
      </c>
      <c r="D32" s="46" t="n">
        <v>4</v>
      </c>
      <c r="E32" s="25" t="inlineStr">
        <is>
          <t>Saturday market</t>
        </is>
      </c>
      <c r="F32" s="25" t="n"/>
      <c r="G32" s="17">
        <f>IF(AND(C32="",D32=""),"",IF(NOT(ISNUMBER(B32)),"Needs a date",IF(AND(D32&lt;&gt;"",NOT(ISNUMBER(D32))),"Hours not a number",IF(N(D32)&lt;=0,"Needs the hours",IF(C32="","Needs a name",IF(COUNTIF(Volunteers!$B$6:$B$105,C32)=0,"Not on Volunteers",""))))))</f>
        <v/>
      </c>
      <c r="H32" s="1" t="n"/>
      <c r="I32">
        <f>IF(ISNUMBER(B32),YEAR(B32),"")</f>
        <v/>
      </c>
      <c r="J32">
        <f>IF(ISNUMBER(B32),YEAR(B32)*100+MONTH(B32),"")</f>
        <v/>
      </c>
      <c r="K32">
        <f>IF(ISNUMBER(B32),INT(B32),0)</f>
        <v/>
      </c>
      <c r="L32">
        <f>IF(AND(ISNUMBER(D32),N(D32)&gt;0),K32,0)</f>
        <v/>
      </c>
    </row>
    <row r="33">
      <c r="A33" s="1" t="n"/>
      <c r="B33" s="21" t="n">
        <v>46074</v>
      </c>
      <c r="C33" s="22" t="inlineStr">
        <is>
          <t>Lucy Chen</t>
        </is>
      </c>
      <c r="D33" s="46" t="n">
        <v>2.5</v>
      </c>
      <c r="E33" s="25" t="inlineStr">
        <is>
          <t>Deliveries</t>
        </is>
      </c>
      <c r="F33" s="25" t="n"/>
      <c r="G33" s="17">
        <f>IF(AND(C33="",D33=""),"",IF(NOT(ISNUMBER(B33)),"Needs a date",IF(AND(D33&lt;&gt;"",NOT(ISNUMBER(D33))),"Hours not a number",IF(N(D33)&lt;=0,"Needs the hours",IF(C33="","Needs a name",IF(COUNTIF(Volunteers!$B$6:$B$105,C33)=0,"Not on Volunteers",""))))))</f>
        <v/>
      </c>
      <c r="H33" s="1" t="n"/>
      <c r="I33">
        <f>IF(ISNUMBER(B33),YEAR(B33),"")</f>
        <v/>
      </c>
      <c r="J33">
        <f>IF(ISNUMBER(B33),YEAR(B33)*100+MONTH(B33),"")</f>
        <v/>
      </c>
      <c r="K33">
        <f>IF(ISNUMBER(B33),INT(B33),0)</f>
        <v/>
      </c>
      <c r="L33">
        <f>IF(AND(ISNUMBER(D33),N(D33)&gt;0),K33,0)</f>
        <v/>
      </c>
    </row>
    <row r="34">
      <c r="A34" s="1" t="n"/>
      <c r="B34" s="21" t="n">
        <v>46074</v>
      </c>
      <c r="C34" s="22" t="inlineStr">
        <is>
          <t>Peter Olsen</t>
        </is>
      </c>
      <c r="D34" s="46" t="n">
        <v>3</v>
      </c>
      <c r="E34" s="25" t="inlineStr">
        <is>
          <t>Saturday market</t>
        </is>
      </c>
      <c r="F34" s="25" t="n"/>
      <c r="G34" s="17">
        <f>IF(AND(C34="",D34=""),"",IF(NOT(ISNUMBER(B34)),"Needs a date",IF(AND(D34&lt;&gt;"",NOT(ISNUMBER(D34))),"Hours not a number",IF(N(D34)&lt;=0,"Needs the hours",IF(C34="","Needs a name",IF(COUNTIF(Volunteers!$B$6:$B$105,C34)=0,"Not on Volunteers",""))))))</f>
        <v/>
      </c>
      <c r="H34" s="1" t="n"/>
      <c r="I34">
        <f>IF(ISNUMBER(B34),YEAR(B34),"")</f>
        <v/>
      </c>
      <c r="J34">
        <f>IF(ISNUMBER(B34),YEAR(B34)*100+MONTH(B34),"")</f>
        <v/>
      </c>
      <c r="K34">
        <f>IF(ISNUMBER(B34),INT(B34),0)</f>
        <v/>
      </c>
      <c r="L34">
        <f>IF(AND(ISNUMBER(D34),N(D34)&gt;0),K34,0)</f>
        <v/>
      </c>
    </row>
    <row r="35">
      <c r="A35" s="1" t="n"/>
      <c r="B35" s="21" t="n">
        <v>46074</v>
      </c>
      <c r="C35" s="22" t="inlineStr">
        <is>
          <t>Olga Novak</t>
        </is>
      </c>
      <c r="D35" s="46" t="n">
        <v>2.5</v>
      </c>
      <c r="E35" s="25" t="inlineStr">
        <is>
          <t>Saturday market</t>
        </is>
      </c>
      <c r="F35" s="25" t="n"/>
      <c r="G35" s="17">
        <f>IF(AND(C35="",D35=""),"",IF(NOT(ISNUMBER(B35)),"Needs a date",IF(AND(D35&lt;&gt;"",NOT(ISNUMBER(D35))),"Hours not a number",IF(N(D35)&lt;=0,"Needs the hours",IF(C35="","Needs a name",IF(COUNTIF(Volunteers!$B$6:$B$105,C35)=0,"Not on Volunteers",""))))))</f>
        <v/>
      </c>
      <c r="H35" s="1" t="n"/>
      <c r="I35">
        <f>IF(ISNUMBER(B35),YEAR(B35),"")</f>
        <v/>
      </c>
      <c r="J35">
        <f>IF(ISNUMBER(B35),YEAR(B35)*100+MONTH(B35),"")</f>
        <v/>
      </c>
      <c r="K35">
        <f>IF(ISNUMBER(B35),INT(B35),0)</f>
        <v/>
      </c>
      <c r="L35">
        <f>IF(AND(ISNUMBER(D35),N(D35)&gt;0),K35,0)</f>
        <v/>
      </c>
    </row>
    <row r="36">
      <c r="A36" s="1" t="n"/>
      <c r="B36" s="21" t="n">
        <v>46081</v>
      </c>
      <c r="C36" s="22" t="inlineStr">
        <is>
          <t>Peter Olsen</t>
        </is>
      </c>
      <c r="D36" s="46" t="n">
        <v>3</v>
      </c>
      <c r="E36" s="25" t="inlineStr">
        <is>
          <t>Front desk</t>
        </is>
      </c>
      <c r="F36" s="25" t="n"/>
      <c r="G36" s="17">
        <f>IF(AND(C36="",D36=""),"",IF(NOT(ISNUMBER(B36)),"Needs a date",IF(AND(D36&lt;&gt;"",NOT(ISNUMBER(D36))),"Hours not a number",IF(N(D36)&lt;=0,"Needs the hours",IF(C36="","Needs a name",IF(COUNTIF(Volunteers!$B$6:$B$105,C36)=0,"Not on Volunteers",""))))))</f>
        <v/>
      </c>
      <c r="H36" s="1" t="n"/>
      <c r="I36">
        <f>IF(ISNUMBER(B36),YEAR(B36),"")</f>
        <v/>
      </c>
      <c r="J36">
        <f>IF(ISNUMBER(B36),YEAR(B36)*100+MONTH(B36),"")</f>
        <v/>
      </c>
      <c r="K36">
        <f>IF(ISNUMBER(B36),INT(B36),0)</f>
        <v/>
      </c>
      <c r="L36">
        <f>IF(AND(ISNUMBER(D36),N(D36)&gt;0),K36,0)</f>
        <v/>
      </c>
    </row>
    <row r="37">
      <c r="A37" s="1" t="n"/>
      <c r="B37" s="21" t="n">
        <v>46081</v>
      </c>
      <c r="C37" s="22" t="inlineStr">
        <is>
          <t>Beth Morgan</t>
        </is>
      </c>
      <c r="D37" s="46" t="n">
        <v>4</v>
      </c>
      <c r="E37" s="25" t="inlineStr">
        <is>
          <t>Front desk</t>
        </is>
      </c>
      <c r="F37" s="25" t="n"/>
      <c r="G37" s="17">
        <f>IF(AND(C37="",D37=""),"",IF(NOT(ISNUMBER(B37)),"Needs a date",IF(AND(D37&lt;&gt;"",NOT(ISNUMBER(D37))),"Hours not a number",IF(N(D37)&lt;=0,"Needs the hours",IF(C37="","Needs a name",IF(COUNTIF(Volunteers!$B$6:$B$105,C37)=0,"Not on Volunteers",""))))))</f>
        <v/>
      </c>
      <c r="H37" s="1" t="n"/>
      <c r="I37">
        <f>IF(ISNUMBER(B37),YEAR(B37),"")</f>
        <v/>
      </c>
      <c r="J37">
        <f>IF(ISNUMBER(B37),YEAR(B37)*100+MONTH(B37),"")</f>
        <v/>
      </c>
      <c r="K37">
        <f>IF(ISNUMBER(B37),INT(B37),0)</f>
        <v/>
      </c>
      <c r="L37">
        <f>IF(AND(ISNUMBER(D37),N(D37)&gt;0),K37,0)</f>
        <v/>
      </c>
    </row>
    <row r="38">
      <c r="A38" s="1" t="n"/>
      <c r="B38" s="21" t="n">
        <v>46081</v>
      </c>
      <c r="C38" s="22" t="inlineStr">
        <is>
          <t>Sam Reid</t>
        </is>
      </c>
      <c r="D38" s="46" t="n">
        <v>2.5</v>
      </c>
      <c r="E38" s="25" t="inlineStr">
        <is>
          <t>Front desk</t>
        </is>
      </c>
      <c r="F38" s="25" t="n"/>
      <c r="G38" s="17">
        <f>IF(AND(C38="",D38=""),"",IF(NOT(ISNUMBER(B38)),"Needs a date",IF(AND(D38&lt;&gt;"",NOT(ISNUMBER(D38))),"Hours not a number",IF(N(D38)&lt;=0,"Needs the hours",IF(C38="","Needs a name",IF(COUNTIF(Volunteers!$B$6:$B$105,C38)=0,"Not on Volunteers",""))))))</f>
        <v/>
      </c>
      <c r="H38" s="1" t="n"/>
      <c r="I38">
        <f>IF(ISNUMBER(B38),YEAR(B38),"")</f>
        <v/>
      </c>
      <c r="J38">
        <f>IF(ISNUMBER(B38),YEAR(B38)*100+MONTH(B38),"")</f>
        <v/>
      </c>
      <c r="K38">
        <f>IF(ISNUMBER(B38),INT(B38),0)</f>
        <v/>
      </c>
      <c r="L38">
        <f>IF(AND(ISNUMBER(D38),N(D38)&gt;0),K38,0)</f>
        <v/>
      </c>
    </row>
    <row r="39">
      <c r="A39" s="1" t="n"/>
      <c r="B39" s="21" t="n">
        <v>46081</v>
      </c>
      <c r="C39" s="22" t="inlineStr">
        <is>
          <t>Olga Novak</t>
        </is>
      </c>
      <c r="D39" s="46" t="n">
        <v>4</v>
      </c>
      <c r="E39" s="25" t="inlineStr">
        <is>
          <t>Saturday market</t>
        </is>
      </c>
      <c r="F39" s="25" t="n"/>
      <c r="G39" s="17">
        <f>IF(AND(C39="",D39=""),"",IF(NOT(ISNUMBER(B39)),"Needs a date",IF(AND(D39&lt;&gt;"",NOT(ISNUMBER(D39))),"Hours not a number",IF(N(D39)&lt;=0,"Needs the hours",IF(C39="","Needs a name",IF(COUNTIF(Volunteers!$B$6:$B$105,C39)=0,"Not on Volunteers",""))))))</f>
        <v/>
      </c>
      <c r="H39" s="1" t="n"/>
      <c r="I39">
        <f>IF(ISNUMBER(B39),YEAR(B39),"")</f>
        <v/>
      </c>
      <c r="J39">
        <f>IF(ISNUMBER(B39),YEAR(B39)*100+MONTH(B39),"")</f>
        <v/>
      </c>
      <c r="K39">
        <f>IF(ISNUMBER(B39),INT(B39),0)</f>
        <v/>
      </c>
      <c r="L39">
        <f>IF(AND(ISNUMBER(D39),N(D39)&gt;0),K39,0)</f>
        <v/>
      </c>
    </row>
    <row r="40">
      <c r="A40" s="1" t="n"/>
      <c r="B40" s="21" t="n">
        <v>46088</v>
      </c>
      <c r="C40" s="22" t="inlineStr">
        <is>
          <t>Mark Evans</t>
        </is>
      </c>
      <c r="D40" s="46" t="n">
        <v>2.5</v>
      </c>
      <c r="E40" s="25" t="inlineStr">
        <is>
          <t>Saturday market</t>
        </is>
      </c>
      <c r="F40" s="25" t="n"/>
      <c r="G40" s="17">
        <f>IF(AND(C40="",D40=""),"",IF(NOT(ISNUMBER(B40)),"Needs a date",IF(AND(D40&lt;&gt;"",NOT(ISNUMBER(D40))),"Hours not a number",IF(N(D40)&lt;=0,"Needs the hours",IF(C40="","Needs a name",IF(COUNTIF(Volunteers!$B$6:$B$105,C40)=0,"Not on Volunteers",""))))))</f>
        <v/>
      </c>
      <c r="H40" s="1" t="n"/>
      <c r="I40">
        <f>IF(ISNUMBER(B40),YEAR(B40),"")</f>
        <v/>
      </c>
      <c r="J40">
        <f>IF(ISNUMBER(B40),YEAR(B40)*100+MONTH(B40),"")</f>
        <v/>
      </c>
      <c r="K40">
        <f>IF(ISNUMBER(B40),INT(B40),0)</f>
        <v/>
      </c>
      <c r="L40">
        <f>IF(AND(ISNUMBER(D40),N(D40)&gt;0),K40,0)</f>
        <v/>
      </c>
    </row>
    <row r="41">
      <c r="A41" s="1" t="n"/>
      <c r="B41" s="21" t="n">
        <v>46088</v>
      </c>
      <c r="C41" s="22" t="inlineStr">
        <is>
          <t>Lucy Chen</t>
        </is>
      </c>
      <c r="D41" s="46" t="n">
        <v>4</v>
      </c>
      <c r="E41" s="25" t="inlineStr">
        <is>
          <t>Sorting day</t>
        </is>
      </c>
      <c r="F41" s="25" t="n"/>
      <c r="G41" s="17">
        <f>IF(AND(C41="",D41=""),"",IF(NOT(ISNUMBER(B41)),"Needs a date",IF(AND(D41&lt;&gt;"",NOT(ISNUMBER(D41))),"Hours not a number",IF(N(D41)&lt;=0,"Needs the hours",IF(C41="","Needs a name",IF(COUNTIF(Volunteers!$B$6:$B$105,C41)=0,"Not on Volunteers",""))))))</f>
        <v/>
      </c>
      <c r="H41" s="1" t="n"/>
      <c r="I41">
        <f>IF(ISNUMBER(B41),YEAR(B41),"")</f>
        <v/>
      </c>
      <c r="J41">
        <f>IF(ISNUMBER(B41),YEAR(B41)*100+MONTH(B41),"")</f>
        <v/>
      </c>
      <c r="K41">
        <f>IF(ISNUMBER(B41),INT(B41),0)</f>
        <v/>
      </c>
      <c r="L41">
        <f>IF(AND(ISNUMBER(D41),N(D41)&gt;0),K41,0)</f>
        <v/>
      </c>
    </row>
    <row r="42">
      <c r="A42" s="1" t="n"/>
      <c r="B42" s="21" t="n">
        <v>46088</v>
      </c>
      <c r="C42" s="22" t="inlineStr">
        <is>
          <t>Peter Olsen</t>
        </is>
      </c>
      <c r="D42" s="46" t="n">
        <v>3</v>
      </c>
      <c r="E42" s="25" t="inlineStr">
        <is>
          <t>Front desk</t>
        </is>
      </c>
      <c r="F42" s="25" t="n"/>
      <c r="G42" s="17">
        <f>IF(AND(C42="",D42=""),"",IF(NOT(ISNUMBER(B42)),"Needs a date",IF(AND(D42&lt;&gt;"",NOT(ISNUMBER(D42))),"Hours not a number",IF(N(D42)&lt;=0,"Needs the hours",IF(C42="","Needs a name",IF(COUNTIF(Volunteers!$B$6:$B$105,C42)=0,"Not on Volunteers",""))))))</f>
        <v/>
      </c>
      <c r="H42" s="1" t="n"/>
      <c r="I42">
        <f>IF(ISNUMBER(B42),YEAR(B42),"")</f>
        <v/>
      </c>
      <c r="J42">
        <f>IF(ISNUMBER(B42),YEAR(B42)*100+MONTH(B42),"")</f>
        <v/>
      </c>
      <c r="K42">
        <f>IF(ISNUMBER(B42),INT(B42),0)</f>
        <v/>
      </c>
      <c r="L42">
        <f>IF(AND(ISNUMBER(D42),N(D42)&gt;0),K42,0)</f>
        <v/>
      </c>
    </row>
    <row r="43">
      <c r="A43" s="1" t="n"/>
      <c r="B43" s="21" t="n">
        <v>46088</v>
      </c>
      <c r="C43" s="22" t="inlineStr">
        <is>
          <t>Nadia Karim</t>
        </is>
      </c>
      <c r="D43" s="46" t="n">
        <v>4</v>
      </c>
      <c r="E43" s="25" t="inlineStr">
        <is>
          <t>Front desk</t>
        </is>
      </c>
      <c r="F43" s="25" t="n"/>
      <c r="G43" s="17">
        <f>IF(AND(C43="",D43=""),"",IF(NOT(ISNUMBER(B43)),"Needs a date",IF(AND(D43&lt;&gt;"",NOT(ISNUMBER(D43))),"Hours not a number",IF(N(D43)&lt;=0,"Needs the hours",IF(C43="","Needs a name",IF(COUNTIF(Volunteers!$B$6:$B$105,C43)=0,"Not on Volunteers",""))))))</f>
        <v/>
      </c>
      <c r="H43" s="1" t="n"/>
      <c r="I43">
        <f>IF(ISNUMBER(B43),YEAR(B43),"")</f>
        <v/>
      </c>
      <c r="J43">
        <f>IF(ISNUMBER(B43),YEAR(B43)*100+MONTH(B43),"")</f>
        <v/>
      </c>
      <c r="K43">
        <f>IF(ISNUMBER(B43),INT(B43),0)</f>
        <v/>
      </c>
      <c r="L43">
        <f>IF(AND(ISNUMBER(D43),N(D43)&gt;0),K43,0)</f>
        <v/>
      </c>
    </row>
    <row r="44">
      <c r="A44" s="1" t="n"/>
      <c r="B44" s="21" t="n">
        <v>46088</v>
      </c>
      <c r="C44" s="22" t="inlineStr">
        <is>
          <t>Joe Ward</t>
        </is>
      </c>
      <c r="D44" s="46" t="n">
        <v>4</v>
      </c>
      <c r="E44" s="25" t="inlineStr">
        <is>
          <t>Saturday market</t>
        </is>
      </c>
      <c r="F44" s="25" t="n"/>
      <c r="G44" s="17">
        <f>IF(AND(C44="",D44=""),"",IF(NOT(ISNUMBER(B44)),"Needs a date",IF(AND(D44&lt;&gt;"",NOT(ISNUMBER(D44))),"Hours not a number",IF(N(D44)&lt;=0,"Needs the hours",IF(C44="","Needs a name",IF(COUNTIF(Volunteers!$B$6:$B$105,C44)=0,"Not on Volunteers",""))))))</f>
        <v/>
      </c>
      <c r="H44" s="1" t="n"/>
      <c r="I44">
        <f>IF(ISNUMBER(B44),YEAR(B44),"")</f>
        <v/>
      </c>
      <c r="J44">
        <f>IF(ISNUMBER(B44),YEAR(B44)*100+MONTH(B44),"")</f>
        <v/>
      </c>
      <c r="K44">
        <f>IF(ISNUMBER(B44),INT(B44),0)</f>
        <v/>
      </c>
      <c r="L44">
        <f>IF(AND(ISNUMBER(D44),N(D44)&gt;0),K44,0)</f>
        <v/>
      </c>
    </row>
    <row r="45">
      <c r="A45" s="1" t="n"/>
      <c r="B45" s="21" t="n">
        <v>46088</v>
      </c>
      <c r="C45" s="22" t="inlineStr">
        <is>
          <t>Olga Novak</t>
        </is>
      </c>
      <c r="D45" s="46" t="n">
        <v>3</v>
      </c>
      <c r="E45" s="25" t="inlineStr">
        <is>
          <t>Sorting day</t>
        </is>
      </c>
      <c r="F45" s="25" t="n"/>
      <c r="G45" s="17">
        <f>IF(AND(C45="",D45=""),"",IF(NOT(ISNUMBER(B45)),"Needs a date",IF(AND(D45&lt;&gt;"",NOT(ISNUMBER(D45))),"Hours not a number",IF(N(D45)&lt;=0,"Needs the hours",IF(C45="","Needs a name",IF(COUNTIF(Volunteers!$B$6:$B$105,C45)=0,"Not on Volunteers",""))))))</f>
        <v/>
      </c>
      <c r="H45" s="1" t="n"/>
      <c r="I45">
        <f>IF(ISNUMBER(B45),YEAR(B45),"")</f>
        <v/>
      </c>
      <c r="J45">
        <f>IF(ISNUMBER(B45),YEAR(B45)*100+MONTH(B45),"")</f>
        <v/>
      </c>
      <c r="K45">
        <f>IF(ISNUMBER(B45),INT(B45),0)</f>
        <v/>
      </c>
      <c r="L45">
        <f>IF(AND(ISNUMBER(D45),N(D45)&gt;0),K45,0)</f>
        <v/>
      </c>
    </row>
    <row r="46">
      <c r="A46" s="1" t="n"/>
      <c r="B46" s="21" t="n">
        <v>46095</v>
      </c>
      <c r="C46" s="22" t="inlineStr">
        <is>
          <t>Mark Evans</t>
        </is>
      </c>
      <c r="D46" s="46" t="n">
        <v>2</v>
      </c>
      <c r="E46" s="25" t="inlineStr">
        <is>
          <t>Front desk</t>
        </is>
      </c>
      <c r="F46" s="25" t="n"/>
      <c r="G46" s="17">
        <f>IF(AND(C46="",D46=""),"",IF(NOT(ISNUMBER(B46)),"Needs a date",IF(AND(D46&lt;&gt;"",NOT(ISNUMBER(D46))),"Hours not a number",IF(N(D46)&lt;=0,"Needs the hours",IF(C46="","Needs a name",IF(COUNTIF(Volunteers!$B$6:$B$105,C46)=0,"Not on Volunteers",""))))))</f>
        <v/>
      </c>
      <c r="H46" s="1" t="n"/>
      <c r="I46">
        <f>IF(ISNUMBER(B46),YEAR(B46),"")</f>
        <v/>
      </c>
      <c r="J46">
        <f>IF(ISNUMBER(B46),YEAR(B46)*100+MONTH(B46),"")</f>
        <v/>
      </c>
      <c r="K46">
        <f>IF(ISNUMBER(B46),INT(B46),0)</f>
        <v/>
      </c>
      <c r="L46">
        <f>IF(AND(ISNUMBER(D46),N(D46)&gt;0),K46,0)</f>
        <v/>
      </c>
    </row>
    <row r="47">
      <c r="A47" s="1" t="n"/>
      <c r="B47" s="21" t="n">
        <v>46095</v>
      </c>
      <c r="C47" s="22" t="inlineStr">
        <is>
          <t>Olga Novak</t>
        </is>
      </c>
      <c r="D47" s="46" t="n">
        <v>2</v>
      </c>
      <c r="E47" s="25" t="inlineStr">
        <is>
          <t>Front desk</t>
        </is>
      </c>
      <c r="F47" s="25" t="n"/>
      <c r="G47" s="17">
        <f>IF(AND(C47="",D47=""),"",IF(NOT(ISNUMBER(B47)),"Needs a date",IF(AND(D47&lt;&gt;"",NOT(ISNUMBER(D47))),"Hours not a number",IF(N(D47)&lt;=0,"Needs the hours",IF(C47="","Needs a name",IF(COUNTIF(Volunteers!$B$6:$B$105,C47)=0,"Not on Volunteers",""))))))</f>
        <v/>
      </c>
      <c r="H47" s="1" t="n"/>
      <c r="I47">
        <f>IF(ISNUMBER(B47),YEAR(B47),"")</f>
        <v/>
      </c>
      <c r="J47">
        <f>IF(ISNUMBER(B47),YEAR(B47)*100+MONTH(B47),"")</f>
        <v/>
      </c>
      <c r="K47">
        <f>IF(ISNUMBER(B47),INT(B47),0)</f>
        <v/>
      </c>
      <c r="L47">
        <f>IF(AND(ISNUMBER(D47),N(D47)&gt;0),K47,0)</f>
        <v/>
      </c>
    </row>
    <row r="48">
      <c r="A48" s="1" t="n"/>
      <c r="B48" s="21" t="n">
        <v>46102</v>
      </c>
      <c r="C48" s="22" t="inlineStr">
        <is>
          <t>Mark Evans</t>
        </is>
      </c>
      <c r="D48" s="46" t="n">
        <v>4</v>
      </c>
      <c r="E48" s="25" t="inlineStr">
        <is>
          <t>Front desk</t>
        </is>
      </c>
      <c r="F48" s="25" t="n"/>
      <c r="G48" s="17">
        <f>IF(AND(C48="",D48=""),"",IF(NOT(ISNUMBER(B48)),"Needs a date",IF(AND(D48&lt;&gt;"",NOT(ISNUMBER(D48))),"Hours not a number",IF(N(D48)&lt;=0,"Needs the hours",IF(C48="","Needs a name",IF(COUNTIF(Volunteers!$B$6:$B$105,C48)=0,"Not on Volunteers",""))))))</f>
        <v/>
      </c>
      <c r="H48" s="1" t="n"/>
      <c r="I48">
        <f>IF(ISNUMBER(B48),YEAR(B48),"")</f>
        <v/>
      </c>
      <c r="J48">
        <f>IF(ISNUMBER(B48),YEAR(B48)*100+MONTH(B48),"")</f>
        <v/>
      </c>
      <c r="K48">
        <f>IF(ISNUMBER(B48),INT(B48),0)</f>
        <v/>
      </c>
      <c r="L48">
        <f>IF(AND(ISNUMBER(D48),N(D48)&gt;0),K48,0)</f>
        <v/>
      </c>
    </row>
    <row r="49">
      <c r="A49" s="1" t="n"/>
      <c r="B49" s="21" t="n">
        <v>46102</v>
      </c>
      <c r="C49" s="22" t="inlineStr">
        <is>
          <t>Beth Morgan</t>
        </is>
      </c>
      <c r="D49" s="46" t="n">
        <v>3</v>
      </c>
      <c r="E49" s="25" t="inlineStr">
        <is>
          <t>Saturday market</t>
        </is>
      </c>
      <c r="F49" s="25" t="n"/>
      <c r="G49" s="17">
        <f>IF(AND(C49="",D49=""),"",IF(NOT(ISNUMBER(B49)),"Needs a date",IF(AND(D49&lt;&gt;"",NOT(ISNUMBER(D49))),"Hours not a number",IF(N(D49)&lt;=0,"Needs the hours",IF(C49="","Needs a name",IF(COUNTIF(Volunteers!$B$6:$B$105,C49)=0,"Not on Volunteers",""))))))</f>
        <v/>
      </c>
      <c r="H49" s="1" t="n"/>
      <c r="I49">
        <f>IF(ISNUMBER(B49),YEAR(B49),"")</f>
        <v/>
      </c>
      <c r="J49">
        <f>IF(ISNUMBER(B49),YEAR(B49)*100+MONTH(B49),"")</f>
        <v/>
      </c>
      <c r="K49">
        <f>IF(ISNUMBER(B49),INT(B49),0)</f>
        <v/>
      </c>
      <c r="L49">
        <f>IF(AND(ISNUMBER(D49),N(D49)&gt;0),K49,0)</f>
        <v/>
      </c>
    </row>
    <row r="50">
      <c r="A50" s="1" t="n"/>
      <c r="B50" s="21" t="n">
        <v>46102</v>
      </c>
      <c r="C50" s="22" t="inlineStr">
        <is>
          <t>Sam Reid</t>
        </is>
      </c>
      <c r="D50" s="46" t="n">
        <v>3</v>
      </c>
      <c r="E50" s="25" t="inlineStr">
        <is>
          <t>Deliveries</t>
        </is>
      </c>
      <c r="F50" s="25" t="n"/>
      <c r="G50" s="17">
        <f>IF(AND(C50="",D50=""),"",IF(NOT(ISNUMBER(B50)),"Needs a date",IF(AND(D50&lt;&gt;"",NOT(ISNUMBER(D50))),"Hours not a number",IF(N(D50)&lt;=0,"Needs the hours",IF(C50="","Needs a name",IF(COUNTIF(Volunteers!$B$6:$B$105,C50)=0,"Not on Volunteers",""))))))</f>
        <v/>
      </c>
      <c r="H50" s="1" t="n"/>
      <c r="I50">
        <f>IF(ISNUMBER(B50),YEAR(B50),"")</f>
        <v/>
      </c>
      <c r="J50">
        <f>IF(ISNUMBER(B50),YEAR(B50)*100+MONTH(B50),"")</f>
        <v/>
      </c>
      <c r="K50">
        <f>IF(ISNUMBER(B50),INT(B50),0)</f>
        <v/>
      </c>
      <c r="L50">
        <f>IF(AND(ISNUMBER(D50),N(D50)&gt;0),K50,0)</f>
        <v/>
      </c>
    </row>
    <row r="51">
      <c r="A51" s="1" t="n"/>
      <c r="B51" s="21" t="n">
        <v>46102</v>
      </c>
      <c r="C51" s="22" t="inlineStr">
        <is>
          <t>Olga Novak</t>
        </is>
      </c>
      <c r="D51" s="46" t="n">
        <v>2.5</v>
      </c>
      <c r="E51" s="25" t="inlineStr">
        <is>
          <t>Deliveries</t>
        </is>
      </c>
      <c r="F51" s="25" t="n"/>
      <c r="G51" s="17">
        <f>IF(AND(C51="",D51=""),"",IF(NOT(ISNUMBER(B51)),"Needs a date",IF(AND(D51&lt;&gt;"",NOT(ISNUMBER(D51))),"Hours not a number",IF(N(D51)&lt;=0,"Needs the hours",IF(C51="","Needs a name",IF(COUNTIF(Volunteers!$B$6:$B$105,C51)=0,"Not on Volunteers",""))))))</f>
        <v/>
      </c>
      <c r="H51" s="1" t="n"/>
      <c r="I51">
        <f>IF(ISNUMBER(B51),YEAR(B51),"")</f>
        <v/>
      </c>
      <c r="J51">
        <f>IF(ISNUMBER(B51),YEAR(B51)*100+MONTH(B51),"")</f>
        <v/>
      </c>
      <c r="K51">
        <f>IF(ISNUMBER(B51),INT(B51),0)</f>
        <v/>
      </c>
      <c r="L51">
        <f>IF(AND(ISNUMBER(D51),N(D51)&gt;0),K51,0)</f>
        <v/>
      </c>
    </row>
    <row r="52">
      <c r="A52" s="1" t="n"/>
      <c r="B52" s="21" t="n">
        <v>46109</v>
      </c>
      <c r="C52" s="22" t="inlineStr">
        <is>
          <t>Lucy Chen</t>
        </is>
      </c>
      <c r="D52" s="46" t="n">
        <v>2.5</v>
      </c>
      <c r="E52" s="25" t="inlineStr">
        <is>
          <t>Deliveries</t>
        </is>
      </c>
      <c r="F52" s="25" t="n"/>
      <c r="G52" s="17">
        <f>IF(AND(C52="",D52=""),"",IF(NOT(ISNUMBER(B52)),"Needs a date",IF(AND(D52&lt;&gt;"",NOT(ISNUMBER(D52))),"Hours not a number",IF(N(D52)&lt;=0,"Needs the hours",IF(C52="","Needs a name",IF(COUNTIF(Volunteers!$B$6:$B$105,C52)=0,"Not on Volunteers",""))))))</f>
        <v/>
      </c>
      <c r="H52" s="1" t="n"/>
      <c r="I52">
        <f>IF(ISNUMBER(B52),YEAR(B52),"")</f>
        <v/>
      </c>
      <c r="J52">
        <f>IF(ISNUMBER(B52),YEAR(B52)*100+MONTH(B52),"")</f>
        <v/>
      </c>
      <c r="K52">
        <f>IF(ISNUMBER(B52),INT(B52),0)</f>
        <v/>
      </c>
      <c r="L52">
        <f>IF(AND(ISNUMBER(D52),N(D52)&gt;0),K52,0)</f>
        <v/>
      </c>
    </row>
    <row r="53">
      <c r="A53" s="1" t="n"/>
      <c r="B53" s="21" t="n">
        <v>46109</v>
      </c>
      <c r="C53" s="22" t="inlineStr">
        <is>
          <t>Peter Olsen</t>
        </is>
      </c>
      <c r="D53" s="46" t="n">
        <v>4</v>
      </c>
      <c r="E53" s="25" t="inlineStr">
        <is>
          <t>Front desk</t>
        </is>
      </c>
      <c r="F53" s="25" t="n"/>
      <c r="G53" s="17">
        <f>IF(AND(C53="",D53=""),"",IF(NOT(ISNUMBER(B53)),"Needs a date",IF(AND(D53&lt;&gt;"",NOT(ISNUMBER(D53))),"Hours not a number",IF(N(D53)&lt;=0,"Needs the hours",IF(C53="","Needs a name",IF(COUNTIF(Volunteers!$B$6:$B$105,C53)=0,"Not on Volunteers",""))))))</f>
        <v/>
      </c>
      <c r="H53" s="1" t="n"/>
      <c r="I53">
        <f>IF(ISNUMBER(B53),YEAR(B53),"")</f>
        <v/>
      </c>
      <c r="J53">
        <f>IF(ISNUMBER(B53),YEAR(B53)*100+MONTH(B53),"")</f>
        <v/>
      </c>
      <c r="K53">
        <f>IF(ISNUMBER(B53),INT(B53),0)</f>
        <v/>
      </c>
      <c r="L53">
        <f>IF(AND(ISNUMBER(D53),N(D53)&gt;0),K53,0)</f>
        <v/>
      </c>
    </row>
    <row r="54">
      <c r="A54" s="1" t="n"/>
      <c r="B54" s="21" t="n">
        <v>46109</v>
      </c>
      <c r="C54" s="22" t="inlineStr">
        <is>
          <t>Nadia Karim</t>
        </is>
      </c>
      <c r="D54" s="46" t="n">
        <v>4</v>
      </c>
      <c r="E54" s="25" t="inlineStr">
        <is>
          <t>Deliveries</t>
        </is>
      </c>
      <c r="F54" s="25" t="n"/>
      <c r="G54" s="17">
        <f>IF(AND(C54="",D54=""),"",IF(NOT(ISNUMBER(B54)),"Needs a date",IF(AND(D54&lt;&gt;"",NOT(ISNUMBER(D54))),"Hours not a number",IF(N(D54)&lt;=0,"Needs the hours",IF(C54="","Needs a name",IF(COUNTIF(Volunteers!$B$6:$B$105,C54)=0,"Not on Volunteers",""))))))</f>
        <v/>
      </c>
      <c r="H54" s="1" t="n"/>
      <c r="I54">
        <f>IF(ISNUMBER(B54),YEAR(B54),"")</f>
        <v/>
      </c>
      <c r="J54">
        <f>IF(ISNUMBER(B54),YEAR(B54)*100+MONTH(B54),"")</f>
        <v/>
      </c>
      <c r="K54">
        <f>IF(ISNUMBER(B54),INT(B54),0)</f>
        <v/>
      </c>
      <c r="L54">
        <f>IF(AND(ISNUMBER(D54),N(D54)&gt;0),K54,0)</f>
        <v/>
      </c>
    </row>
    <row r="55">
      <c r="A55" s="1" t="n"/>
      <c r="B55" s="21" t="n">
        <v>46109</v>
      </c>
      <c r="C55" s="22" t="inlineStr">
        <is>
          <t>Sam Reid</t>
        </is>
      </c>
      <c r="D55" s="46" t="n">
        <v>2</v>
      </c>
      <c r="E55" s="25" t="inlineStr">
        <is>
          <t>Saturday market</t>
        </is>
      </c>
      <c r="F55" s="25" t="n"/>
      <c r="G55" s="17">
        <f>IF(AND(C55="",D55=""),"",IF(NOT(ISNUMBER(B55)),"Needs a date",IF(AND(D55&lt;&gt;"",NOT(ISNUMBER(D55))),"Hours not a number",IF(N(D55)&lt;=0,"Needs the hours",IF(C55="","Needs a name",IF(COUNTIF(Volunteers!$B$6:$B$105,C55)=0,"Not on Volunteers",""))))))</f>
        <v/>
      </c>
      <c r="H55" s="1" t="n"/>
      <c r="I55">
        <f>IF(ISNUMBER(B55),YEAR(B55),"")</f>
        <v/>
      </c>
      <c r="J55">
        <f>IF(ISNUMBER(B55),YEAR(B55)*100+MONTH(B55),"")</f>
        <v/>
      </c>
      <c r="K55">
        <f>IF(ISNUMBER(B55),INT(B55),0)</f>
        <v/>
      </c>
      <c r="L55">
        <f>IF(AND(ISNUMBER(D55),N(D55)&gt;0),K55,0)</f>
        <v/>
      </c>
    </row>
    <row r="56">
      <c r="A56" s="1" t="n"/>
      <c r="B56" s="21" t="n">
        <v>46116</v>
      </c>
      <c r="C56" s="22" t="inlineStr">
        <is>
          <t>Mark Evans</t>
        </is>
      </c>
      <c r="D56" s="46" t="n">
        <v>2</v>
      </c>
      <c r="E56" s="25" t="inlineStr">
        <is>
          <t>Saturday market</t>
        </is>
      </c>
      <c r="F56" s="25" t="n"/>
      <c r="G56" s="17">
        <f>IF(AND(C56="",D56=""),"",IF(NOT(ISNUMBER(B56)),"Needs a date",IF(AND(D56&lt;&gt;"",NOT(ISNUMBER(D56))),"Hours not a number",IF(N(D56)&lt;=0,"Needs the hours",IF(C56="","Needs a name",IF(COUNTIF(Volunteers!$B$6:$B$105,C56)=0,"Not on Volunteers",""))))))</f>
        <v/>
      </c>
      <c r="H56" s="1" t="n"/>
      <c r="I56">
        <f>IF(ISNUMBER(B56),YEAR(B56),"")</f>
        <v/>
      </c>
      <c r="J56">
        <f>IF(ISNUMBER(B56),YEAR(B56)*100+MONTH(B56),"")</f>
        <v/>
      </c>
      <c r="K56">
        <f>IF(ISNUMBER(B56),INT(B56),0)</f>
        <v/>
      </c>
      <c r="L56">
        <f>IF(AND(ISNUMBER(D56),N(D56)&gt;0),K56,0)</f>
        <v/>
      </c>
    </row>
    <row r="57">
      <c r="A57" s="1" t="n"/>
      <c r="B57" s="21" t="n">
        <v>46116</v>
      </c>
      <c r="C57" s="22" t="inlineStr">
        <is>
          <t>Nadia Karim</t>
        </is>
      </c>
      <c r="D57" s="46" t="n">
        <v>3</v>
      </c>
      <c r="E57" s="25" t="inlineStr">
        <is>
          <t>Deliveries</t>
        </is>
      </c>
      <c r="F57" s="25" t="n"/>
      <c r="G57" s="17">
        <f>IF(AND(C57="",D57=""),"",IF(NOT(ISNUMBER(B57)),"Needs a date",IF(AND(D57&lt;&gt;"",NOT(ISNUMBER(D57))),"Hours not a number",IF(N(D57)&lt;=0,"Needs the hours",IF(C57="","Needs a name",IF(COUNTIF(Volunteers!$B$6:$B$105,C57)=0,"Not on Volunteers",""))))))</f>
        <v/>
      </c>
      <c r="H57" s="1" t="n"/>
      <c r="I57">
        <f>IF(ISNUMBER(B57),YEAR(B57),"")</f>
        <v/>
      </c>
      <c r="J57">
        <f>IF(ISNUMBER(B57),YEAR(B57)*100+MONTH(B57),"")</f>
        <v/>
      </c>
      <c r="K57">
        <f>IF(ISNUMBER(B57),INT(B57),0)</f>
        <v/>
      </c>
      <c r="L57">
        <f>IF(AND(ISNUMBER(D57),N(D57)&gt;0),K57,0)</f>
        <v/>
      </c>
    </row>
    <row r="58">
      <c r="A58" s="1" t="n"/>
      <c r="B58" s="21" t="n">
        <v>46116</v>
      </c>
      <c r="C58" s="22" t="inlineStr">
        <is>
          <t>Joe Ward</t>
        </is>
      </c>
      <c r="D58" s="46" t="n">
        <v>2</v>
      </c>
      <c r="E58" s="25" t="inlineStr">
        <is>
          <t>Sorting day</t>
        </is>
      </c>
      <c r="F58" s="25" t="n"/>
      <c r="G58" s="17">
        <f>IF(AND(C58="",D58=""),"",IF(NOT(ISNUMBER(B58)),"Needs a date",IF(AND(D58&lt;&gt;"",NOT(ISNUMBER(D58))),"Hours not a number",IF(N(D58)&lt;=0,"Needs the hours",IF(C58="","Needs a name",IF(COUNTIF(Volunteers!$B$6:$B$105,C58)=0,"Not on Volunteers",""))))))</f>
        <v/>
      </c>
      <c r="H58" s="1" t="n"/>
      <c r="I58">
        <f>IF(ISNUMBER(B58),YEAR(B58),"")</f>
        <v/>
      </c>
      <c r="J58">
        <f>IF(ISNUMBER(B58),YEAR(B58)*100+MONTH(B58),"")</f>
        <v/>
      </c>
      <c r="K58">
        <f>IF(ISNUMBER(B58),INT(B58),0)</f>
        <v/>
      </c>
      <c r="L58">
        <f>IF(AND(ISNUMBER(D58),N(D58)&gt;0),K58,0)</f>
        <v/>
      </c>
    </row>
    <row r="59">
      <c r="A59" s="1" t="n"/>
      <c r="B59" s="21" t="n">
        <v>46116</v>
      </c>
      <c r="C59" s="22" t="inlineStr">
        <is>
          <t>Sam Reid</t>
        </is>
      </c>
      <c r="D59" s="46" t="n">
        <v>2.5</v>
      </c>
      <c r="E59" s="25" t="inlineStr">
        <is>
          <t>Saturday market</t>
        </is>
      </c>
      <c r="F59" s="25" t="n"/>
      <c r="G59" s="17">
        <f>IF(AND(C59="",D59=""),"",IF(NOT(ISNUMBER(B59)),"Needs a date",IF(AND(D59&lt;&gt;"",NOT(ISNUMBER(D59))),"Hours not a number",IF(N(D59)&lt;=0,"Needs the hours",IF(C59="","Needs a name",IF(COUNTIF(Volunteers!$B$6:$B$105,C59)=0,"Not on Volunteers",""))))))</f>
        <v/>
      </c>
      <c r="H59" s="1" t="n"/>
      <c r="I59">
        <f>IF(ISNUMBER(B59),YEAR(B59),"")</f>
        <v/>
      </c>
      <c r="J59">
        <f>IF(ISNUMBER(B59),YEAR(B59)*100+MONTH(B59),"")</f>
        <v/>
      </c>
      <c r="K59">
        <f>IF(ISNUMBER(B59),INT(B59),0)</f>
        <v/>
      </c>
      <c r="L59">
        <f>IF(AND(ISNUMBER(D59),N(D59)&gt;0),K59,0)</f>
        <v/>
      </c>
    </row>
    <row r="60">
      <c r="A60" s="1" t="n"/>
      <c r="B60" s="21" t="n">
        <v>46116</v>
      </c>
      <c r="C60" s="22" t="inlineStr">
        <is>
          <t>Olga Novak</t>
        </is>
      </c>
      <c r="D60" s="46" t="n">
        <v>4</v>
      </c>
      <c r="E60" s="25" t="inlineStr">
        <is>
          <t>Sorting day</t>
        </is>
      </c>
      <c r="F60" s="25" t="n"/>
      <c r="G60" s="17">
        <f>IF(AND(C60="",D60=""),"",IF(NOT(ISNUMBER(B60)),"Needs a date",IF(AND(D60&lt;&gt;"",NOT(ISNUMBER(D60))),"Hours not a number",IF(N(D60)&lt;=0,"Needs the hours",IF(C60="","Needs a name",IF(COUNTIF(Volunteers!$B$6:$B$105,C60)=0,"Not on Volunteers",""))))))</f>
        <v/>
      </c>
      <c r="H60" s="1" t="n"/>
      <c r="I60">
        <f>IF(ISNUMBER(B60),YEAR(B60),"")</f>
        <v/>
      </c>
      <c r="J60">
        <f>IF(ISNUMBER(B60),YEAR(B60)*100+MONTH(B60),"")</f>
        <v/>
      </c>
      <c r="K60">
        <f>IF(ISNUMBER(B60),INT(B60),0)</f>
        <v/>
      </c>
      <c r="L60">
        <f>IF(AND(ISNUMBER(D60),N(D60)&gt;0),K60,0)</f>
        <v/>
      </c>
    </row>
    <row r="61">
      <c r="A61" s="1" t="n"/>
      <c r="B61" s="21" t="n">
        <v>46123</v>
      </c>
      <c r="C61" s="22" t="inlineStr">
        <is>
          <t>Lucy Chen</t>
        </is>
      </c>
      <c r="D61" s="46" t="n">
        <v>2.5</v>
      </c>
      <c r="E61" s="25" t="inlineStr">
        <is>
          <t>Sorting day</t>
        </is>
      </c>
      <c r="F61" s="25" t="n"/>
      <c r="G61" s="17">
        <f>IF(AND(C61="",D61=""),"",IF(NOT(ISNUMBER(B61)),"Needs a date",IF(AND(D61&lt;&gt;"",NOT(ISNUMBER(D61))),"Hours not a number",IF(N(D61)&lt;=0,"Needs the hours",IF(C61="","Needs a name",IF(COUNTIF(Volunteers!$B$6:$B$105,C61)=0,"Not on Volunteers",""))))))</f>
        <v/>
      </c>
      <c r="H61" s="1" t="n"/>
      <c r="I61">
        <f>IF(ISNUMBER(B61),YEAR(B61),"")</f>
        <v/>
      </c>
      <c r="J61">
        <f>IF(ISNUMBER(B61),YEAR(B61)*100+MONTH(B61),"")</f>
        <v/>
      </c>
      <c r="K61">
        <f>IF(ISNUMBER(B61),INT(B61),0)</f>
        <v/>
      </c>
      <c r="L61">
        <f>IF(AND(ISNUMBER(D61),N(D61)&gt;0),K61,0)</f>
        <v/>
      </c>
    </row>
    <row r="62">
      <c r="A62" s="1" t="n"/>
      <c r="B62" s="21" t="n">
        <v>46123</v>
      </c>
      <c r="C62" s="22" t="inlineStr">
        <is>
          <t>Peter Olsen</t>
        </is>
      </c>
      <c r="D62" s="46" t="n">
        <v>2</v>
      </c>
      <c r="E62" s="25" t="inlineStr">
        <is>
          <t>Saturday market</t>
        </is>
      </c>
      <c r="F62" s="25" t="n"/>
      <c r="G62" s="17">
        <f>IF(AND(C62="",D62=""),"",IF(NOT(ISNUMBER(B62)),"Needs a date",IF(AND(D62&lt;&gt;"",NOT(ISNUMBER(D62))),"Hours not a number",IF(N(D62)&lt;=0,"Needs the hours",IF(C62="","Needs a name",IF(COUNTIF(Volunteers!$B$6:$B$105,C62)=0,"Not on Volunteers",""))))))</f>
        <v/>
      </c>
      <c r="H62" s="1" t="n"/>
      <c r="I62">
        <f>IF(ISNUMBER(B62),YEAR(B62),"")</f>
        <v/>
      </c>
      <c r="J62">
        <f>IF(ISNUMBER(B62),YEAR(B62)*100+MONTH(B62),"")</f>
        <v/>
      </c>
      <c r="K62">
        <f>IF(ISNUMBER(B62),INT(B62),0)</f>
        <v/>
      </c>
      <c r="L62">
        <f>IF(AND(ISNUMBER(D62),N(D62)&gt;0),K62,0)</f>
        <v/>
      </c>
    </row>
    <row r="63">
      <c r="A63" s="1" t="n"/>
      <c r="B63" s="21" t="n">
        <v>46123</v>
      </c>
      <c r="C63" s="22" t="inlineStr">
        <is>
          <t>Joe Ward</t>
        </is>
      </c>
      <c r="D63" s="46" t="n">
        <v>3</v>
      </c>
      <c r="E63" s="25" t="inlineStr">
        <is>
          <t>Sorting day</t>
        </is>
      </c>
      <c r="F63" s="25" t="n"/>
      <c r="G63" s="17">
        <f>IF(AND(C63="",D63=""),"",IF(NOT(ISNUMBER(B63)),"Needs a date",IF(AND(D63&lt;&gt;"",NOT(ISNUMBER(D63))),"Hours not a number",IF(N(D63)&lt;=0,"Needs the hours",IF(C63="","Needs a name",IF(COUNTIF(Volunteers!$B$6:$B$105,C63)=0,"Not on Volunteers",""))))))</f>
        <v/>
      </c>
      <c r="H63" s="1" t="n"/>
      <c r="I63">
        <f>IF(ISNUMBER(B63),YEAR(B63),"")</f>
        <v/>
      </c>
      <c r="J63">
        <f>IF(ISNUMBER(B63),YEAR(B63)*100+MONTH(B63),"")</f>
        <v/>
      </c>
      <c r="K63">
        <f>IF(ISNUMBER(B63),INT(B63),0)</f>
        <v/>
      </c>
      <c r="L63">
        <f>IF(AND(ISNUMBER(D63),N(D63)&gt;0),K63,0)</f>
        <v/>
      </c>
    </row>
    <row r="64">
      <c r="A64" s="1" t="n"/>
      <c r="B64" s="21" t="n">
        <v>46123</v>
      </c>
      <c r="C64" s="22" t="inlineStr">
        <is>
          <t>Sam Reid</t>
        </is>
      </c>
      <c r="D64" s="46" t="n">
        <v>3</v>
      </c>
      <c r="E64" s="25" t="inlineStr">
        <is>
          <t>Sorting day</t>
        </is>
      </c>
      <c r="F64" s="25" t="n"/>
      <c r="G64" s="17">
        <f>IF(AND(C64="",D64=""),"",IF(NOT(ISNUMBER(B64)),"Needs a date",IF(AND(D64&lt;&gt;"",NOT(ISNUMBER(D64))),"Hours not a number",IF(N(D64)&lt;=0,"Needs the hours",IF(C64="","Needs a name",IF(COUNTIF(Volunteers!$B$6:$B$105,C64)=0,"Not on Volunteers",""))))))</f>
        <v/>
      </c>
      <c r="H64" s="1" t="n"/>
      <c r="I64">
        <f>IF(ISNUMBER(B64),YEAR(B64),"")</f>
        <v/>
      </c>
      <c r="J64">
        <f>IF(ISNUMBER(B64),YEAR(B64)*100+MONTH(B64),"")</f>
        <v/>
      </c>
      <c r="K64">
        <f>IF(ISNUMBER(B64),INT(B64),0)</f>
        <v/>
      </c>
      <c r="L64">
        <f>IF(AND(ISNUMBER(D64),N(D64)&gt;0),K64,0)</f>
        <v/>
      </c>
    </row>
    <row r="65">
      <c r="A65" s="1" t="n"/>
      <c r="B65" s="21" t="n">
        <v>46123</v>
      </c>
      <c r="C65" s="22" t="inlineStr">
        <is>
          <t>Olga Novak</t>
        </is>
      </c>
      <c r="D65" s="46" t="n">
        <v>2</v>
      </c>
      <c r="E65" s="25" t="inlineStr">
        <is>
          <t>Front desk</t>
        </is>
      </c>
      <c r="F65" s="25" t="n"/>
      <c r="G65" s="17">
        <f>IF(AND(C65="",D65=""),"",IF(NOT(ISNUMBER(B65)),"Needs a date",IF(AND(D65&lt;&gt;"",NOT(ISNUMBER(D65))),"Hours not a number",IF(N(D65)&lt;=0,"Needs the hours",IF(C65="","Needs a name",IF(COUNTIF(Volunteers!$B$6:$B$105,C65)=0,"Not on Volunteers",""))))))</f>
        <v/>
      </c>
      <c r="H65" s="1" t="n"/>
      <c r="I65">
        <f>IF(ISNUMBER(B65),YEAR(B65),"")</f>
        <v/>
      </c>
      <c r="J65">
        <f>IF(ISNUMBER(B65),YEAR(B65)*100+MONTH(B65),"")</f>
        <v/>
      </c>
      <c r="K65">
        <f>IF(ISNUMBER(B65),INT(B65),0)</f>
        <v/>
      </c>
      <c r="L65">
        <f>IF(AND(ISNUMBER(D65),N(D65)&gt;0),K65,0)</f>
        <v/>
      </c>
    </row>
    <row r="66">
      <c r="A66" s="1" t="n"/>
      <c r="B66" s="21" t="n">
        <v>46130</v>
      </c>
      <c r="C66" s="22" t="inlineStr">
        <is>
          <t>Beth Morgan</t>
        </is>
      </c>
      <c r="D66" s="46" t="n">
        <v>2.5</v>
      </c>
      <c r="E66" s="25" t="inlineStr">
        <is>
          <t>Deliveries</t>
        </is>
      </c>
      <c r="F66" s="25" t="n"/>
      <c r="G66" s="17">
        <f>IF(AND(C66="",D66=""),"",IF(NOT(ISNUMBER(B66)),"Needs a date",IF(AND(D66&lt;&gt;"",NOT(ISNUMBER(D66))),"Hours not a number",IF(N(D66)&lt;=0,"Needs the hours",IF(C66="","Needs a name",IF(COUNTIF(Volunteers!$B$6:$B$105,C66)=0,"Not on Volunteers",""))))))</f>
        <v/>
      </c>
      <c r="H66" s="1" t="n"/>
      <c r="I66">
        <f>IF(ISNUMBER(B66),YEAR(B66),"")</f>
        <v/>
      </c>
      <c r="J66">
        <f>IF(ISNUMBER(B66),YEAR(B66)*100+MONTH(B66),"")</f>
        <v/>
      </c>
      <c r="K66">
        <f>IF(ISNUMBER(B66),INT(B66),0)</f>
        <v/>
      </c>
      <c r="L66">
        <f>IF(AND(ISNUMBER(D66),N(D66)&gt;0),K66,0)</f>
        <v/>
      </c>
    </row>
    <row r="67">
      <c r="A67" s="1" t="n"/>
      <c r="B67" s="21" t="n">
        <v>46137</v>
      </c>
      <c r="C67" s="22" t="inlineStr">
        <is>
          <t>Nadia Karim</t>
        </is>
      </c>
      <c r="D67" s="46" t="n">
        <v>2</v>
      </c>
      <c r="E67" s="25" t="inlineStr">
        <is>
          <t>Front desk</t>
        </is>
      </c>
      <c r="F67" s="25" t="n"/>
      <c r="G67" s="17">
        <f>IF(AND(C67="",D67=""),"",IF(NOT(ISNUMBER(B67)),"Needs a date",IF(AND(D67&lt;&gt;"",NOT(ISNUMBER(D67))),"Hours not a number",IF(N(D67)&lt;=0,"Needs the hours",IF(C67="","Needs a name",IF(COUNTIF(Volunteers!$B$6:$B$105,C67)=0,"Not on Volunteers",""))))))</f>
        <v/>
      </c>
      <c r="H67" s="1" t="n"/>
      <c r="I67">
        <f>IF(ISNUMBER(B67),YEAR(B67),"")</f>
        <v/>
      </c>
      <c r="J67">
        <f>IF(ISNUMBER(B67),YEAR(B67)*100+MONTH(B67),"")</f>
        <v/>
      </c>
      <c r="K67">
        <f>IF(ISNUMBER(B67),INT(B67),0)</f>
        <v/>
      </c>
      <c r="L67">
        <f>IF(AND(ISNUMBER(D67),N(D67)&gt;0),K67,0)</f>
        <v/>
      </c>
    </row>
    <row r="68">
      <c r="A68" s="1" t="n"/>
      <c r="B68" s="21" t="n">
        <v>46144</v>
      </c>
      <c r="C68" s="22" t="inlineStr">
        <is>
          <t>Joe Ward</t>
        </is>
      </c>
      <c r="D68" s="46" t="n">
        <v>2</v>
      </c>
      <c r="E68" s="25" t="inlineStr">
        <is>
          <t>Front desk</t>
        </is>
      </c>
      <c r="F68" s="25" t="n"/>
      <c r="G68" s="17">
        <f>IF(AND(C68="",D68=""),"",IF(NOT(ISNUMBER(B68)),"Needs a date",IF(AND(D68&lt;&gt;"",NOT(ISNUMBER(D68))),"Hours not a number",IF(N(D68)&lt;=0,"Needs the hours",IF(C68="","Needs a name",IF(COUNTIF(Volunteers!$B$6:$B$105,C68)=0,"Not on Volunteers",""))))))</f>
        <v/>
      </c>
      <c r="H68" s="1" t="n"/>
      <c r="I68">
        <f>IF(ISNUMBER(B68),YEAR(B68),"")</f>
        <v/>
      </c>
      <c r="J68">
        <f>IF(ISNUMBER(B68),YEAR(B68)*100+MONTH(B68),"")</f>
        <v/>
      </c>
      <c r="K68">
        <f>IF(ISNUMBER(B68),INT(B68),0)</f>
        <v/>
      </c>
      <c r="L68">
        <f>IF(AND(ISNUMBER(D68),N(D68)&gt;0),K68,0)</f>
        <v/>
      </c>
    </row>
    <row r="69">
      <c r="A69" s="1" t="n"/>
      <c r="B69" s="21" t="n">
        <v>46144</v>
      </c>
      <c r="C69" s="22" t="inlineStr">
        <is>
          <t>Sam Reid</t>
        </is>
      </c>
      <c r="D69" s="46" t="n">
        <v>2</v>
      </c>
      <c r="E69" s="25" t="inlineStr">
        <is>
          <t>Saturday market</t>
        </is>
      </c>
      <c r="F69" s="25" t="n"/>
      <c r="G69" s="17">
        <f>IF(AND(C69="",D69=""),"",IF(NOT(ISNUMBER(B69)),"Needs a date",IF(AND(D69&lt;&gt;"",NOT(ISNUMBER(D69))),"Hours not a number",IF(N(D69)&lt;=0,"Needs the hours",IF(C69="","Needs a name",IF(COUNTIF(Volunteers!$B$6:$B$105,C69)=0,"Not on Volunteers",""))))))</f>
        <v/>
      </c>
      <c r="H69" s="1" t="n"/>
      <c r="I69">
        <f>IF(ISNUMBER(B69),YEAR(B69),"")</f>
        <v/>
      </c>
      <c r="J69">
        <f>IF(ISNUMBER(B69),YEAR(B69)*100+MONTH(B69),"")</f>
        <v/>
      </c>
      <c r="K69">
        <f>IF(ISNUMBER(B69),INT(B69),0)</f>
        <v/>
      </c>
      <c r="L69">
        <f>IF(AND(ISNUMBER(D69),N(D69)&gt;0),K69,0)</f>
        <v/>
      </c>
    </row>
    <row r="70">
      <c r="A70" s="1" t="n"/>
      <c r="B70" s="21" t="n">
        <v>46144</v>
      </c>
      <c r="C70" s="22" t="inlineStr">
        <is>
          <t>Olga Novak</t>
        </is>
      </c>
      <c r="D70" s="46" t="n">
        <v>3</v>
      </c>
      <c r="E70" s="25" t="inlineStr">
        <is>
          <t>Front desk</t>
        </is>
      </c>
      <c r="F70" s="25" t="n"/>
      <c r="G70" s="17">
        <f>IF(AND(C70="",D70=""),"",IF(NOT(ISNUMBER(B70)),"Needs a date",IF(AND(D70&lt;&gt;"",NOT(ISNUMBER(D70))),"Hours not a number",IF(N(D70)&lt;=0,"Needs the hours",IF(C70="","Needs a name",IF(COUNTIF(Volunteers!$B$6:$B$105,C70)=0,"Not on Volunteers",""))))))</f>
        <v/>
      </c>
      <c r="H70" s="1" t="n"/>
      <c r="I70">
        <f>IF(ISNUMBER(B70),YEAR(B70),"")</f>
        <v/>
      </c>
      <c r="J70">
        <f>IF(ISNUMBER(B70),YEAR(B70)*100+MONTH(B70),"")</f>
        <v/>
      </c>
      <c r="K70">
        <f>IF(ISNUMBER(B70),INT(B70),0)</f>
        <v/>
      </c>
      <c r="L70">
        <f>IF(AND(ISNUMBER(D70),N(D70)&gt;0),K70,0)</f>
        <v/>
      </c>
    </row>
    <row r="71">
      <c r="A71" s="1" t="n"/>
      <c r="B71" s="21" t="n">
        <v>46151</v>
      </c>
      <c r="C71" s="22" t="inlineStr">
        <is>
          <t>Beth Morgan</t>
        </is>
      </c>
      <c r="D71" s="46" t="n">
        <v>2.5</v>
      </c>
      <c r="E71" s="25" t="inlineStr">
        <is>
          <t>Saturday market</t>
        </is>
      </c>
      <c r="F71" s="25" t="n"/>
      <c r="G71" s="17">
        <f>IF(AND(C71="",D71=""),"",IF(NOT(ISNUMBER(B71)),"Needs a date",IF(AND(D71&lt;&gt;"",NOT(ISNUMBER(D71))),"Hours not a number",IF(N(D71)&lt;=0,"Needs the hours",IF(C71="","Needs a name",IF(COUNTIF(Volunteers!$B$6:$B$105,C71)=0,"Not on Volunteers",""))))))</f>
        <v/>
      </c>
      <c r="H71" s="1" t="n"/>
      <c r="I71">
        <f>IF(ISNUMBER(B71),YEAR(B71),"")</f>
        <v/>
      </c>
      <c r="J71">
        <f>IF(ISNUMBER(B71),YEAR(B71)*100+MONTH(B71),"")</f>
        <v/>
      </c>
      <c r="K71">
        <f>IF(ISNUMBER(B71),INT(B71),0)</f>
        <v/>
      </c>
      <c r="L71">
        <f>IF(AND(ISNUMBER(D71),N(D71)&gt;0),K71,0)</f>
        <v/>
      </c>
    </row>
    <row r="72">
      <c r="A72" s="1" t="n"/>
      <c r="B72" s="21" t="n">
        <v>46151</v>
      </c>
      <c r="C72" s="22" t="inlineStr">
        <is>
          <t>Sam Reid</t>
        </is>
      </c>
      <c r="D72" s="46" t="n">
        <v>3</v>
      </c>
      <c r="E72" s="25" t="inlineStr">
        <is>
          <t>Saturday market</t>
        </is>
      </c>
      <c r="F72" s="25" t="n"/>
      <c r="G72" s="17">
        <f>IF(AND(C72="",D72=""),"",IF(NOT(ISNUMBER(B72)),"Needs a date",IF(AND(D72&lt;&gt;"",NOT(ISNUMBER(D72))),"Hours not a number",IF(N(D72)&lt;=0,"Needs the hours",IF(C72="","Needs a name",IF(COUNTIF(Volunteers!$B$6:$B$105,C72)=0,"Not on Volunteers",""))))))</f>
        <v/>
      </c>
      <c r="H72" s="1" t="n"/>
      <c r="I72">
        <f>IF(ISNUMBER(B72),YEAR(B72),"")</f>
        <v/>
      </c>
      <c r="J72">
        <f>IF(ISNUMBER(B72),YEAR(B72)*100+MONTH(B72),"")</f>
        <v/>
      </c>
      <c r="K72">
        <f>IF(ISNUMBER(B72),INT(B72),0)</f>
        <v/>
      </c>
      <c r="L72">
        <f>IF(AND(ISNUMBER(D72),N(D72)&gt;0),K72,0)</f>
        <v/>
      </c>
    </row>
    <row r="73">
      <c r="A73" s="1" t="n"/>
      <c r="B73" s="21" t="n">
        <v>46151</v>
      </c>
      <c r="C73" s="22" t="inlineStr">
        <is>
          <t>Olga Novak</t>
        </is>
      </c>
      <c r="D73" s="46" t="n">
        <v>4</v>
      </c>
      <c r="E73" s="25" t="inlineStr">
        <is>
          <t>Saturday market</t>
        </is>
      </c>
      <c r="F73" s="25" t="n"/>
      <c r="G73" s="17">
        <f>IF(AND(C73="",D73=""),"",IF(NOT(ISNUMBER(B73)),"Needs a date",IF(AND(D73&lt;&gt;"",NOT(ISNUMBER(D73))),"Hours not a number",IF(N(D73)&lt;=0,"Needs the hours",IF(C73="","Needs a name",IF(COUNTIF(Volunteers!$B$6:$B$105,C73)=0,"Not on Volunteers",""))))))</f>
        <v/>
      </c>
      <c r="H73" s="1" t="n"/>
      <c r="I73">
        <f>IF(ISNUMBER(B73),YEAR(B73),"")</f>
        <v/>
      </c>
      <c r="J73">
        <f>IF(ISNUMBER(B73),YEAR(B73)*100+MONTH(B73),"")</f>
        <v/>
      </c>
      <c r="K73">
        <f>IF(ISNUMBER(B73),INT(B73),0)</f>
        <v/>
      </c>
      <c r="L73">
        <f>IF(AND(ISNUMBER(D73),N(D73)&gt;0),K73,0)</f>
        <v/>
      </c>
    </row>
    <row r="74">
      <c r="A74" s="1" t="n"/>
      <c r="B74" s="21" t="n">
        <v>46158</v>
      </c>
      <c r="C74" s="22" t="inlineStr">
        <is>
          <t>Lucy Chen</t>
        </is>
      </c>
      <c r="D74" s="46" t="n">
        <v>3</v>
      </c>
      <c r="E74" s="25" t="inlineStr">
        <is>
          <t>Deliveries</t>
        </is>
      </c>
      <c r="F74" s="25" t="n"/>
      <c r="G74" s="17">
        <f>IF(AND(C74="",D74=""),"",IF(NOT(ISNUMBER(B74)),"Needs a date",IF(AND(D74&lt;&gt;"",NOT(ISNUMBER(D74))),"Hours not a number",IF(N(D74)&lt;=0,"Needs the hours",IF(C74="","Needs a name",IF(COUNTIF(Volunteers!$B$6:$B$105,C74)=0,"Not on Volunteers",""))))))</f>
        <v/>
      </c>
      <c r="H74" s="1" t="n"/>
      <c r="I74">
        <f>IF(ISNUMBER(B74),YEAR(B74),"")</f>
        <v/>
      </c>
      <c r="J74">
        <f>IF(ISNUMBER(B74),YEAR(B74)*100+MONTH(B74),"")</f>
        <v/>
      </c>
      <c r="K74">
        <f>IF(ISNUMBER(B74),INT(B74),0)</f>
        <v/>
      </c>
      <c r="L74">
        <f>IF(AND(ISNUMBER(D74),N(D74)&gt;0),K74,0)</f>
        <v/>
      </c>
    </row>
    <row r="75">
      <c r="A75" s="1" t="n"/>
      <c r="B75" s="21" t="n">
        <v>46158</v>
      </c>
      <c r="C75" s="22" t="inlineStr">
        <is>
          <t>Peter Olsen</t>
        </is>
      </c>
      <c r="D75" s="46" t="n">
        <v>3</v>
      </c>
      <c r="E75" s="25" t="inlineStr">
        <is>
          <t>Deliveries</t>
        </is>
      </c>
      <c r="F75" s="25" t="n"/>
      <c r="G75" s="17">
        <f>IF(AND(C75="",D75=""),"",IF(NOT(ISNUMBER(B75)),"Needs a date",IF(AND(D75&lt;&gt;"",NOT(ISNUMBER(D75))),"Hours not a number",IF(N(D75)&lt;=0,"Needs the hours",IF(C75="","Needs a name",IF(COUNTIF(Volunteers!$B$6:$B$105,C75)=0,"Not on Volunteers",""))))))</f>
        <v/>
      </c>
      <c r="H75" s="1" t="n"/>
      <c r="I75">
        <f>IF(ISNUMBER(B75),YEAR(B75),"")</f>
        <v/>
      </c>
      <c r="J75">
        <f>IF(ISNUMBER(B75),YEAR(B75)*100+MONTH(B75),"")</f>
        <v/>
      </c>
      <c r="K75">
        <f>IF(ISNUMBER(B75),INT(B75),0)</f>
        <v/>
      </c>
      <c r="L75">
        <f>IF(AND(ISNUMBER(D75),N(D75)&gt;0),K75,0)</f>
        <v/>
      </c>
    </row>
    <row r="76">
      <c r="A76" s="1" t="n"/>
      <c r="B76" s="21" t="n">
        <v>46158</v>
      </c>
      <c r="C76" s="22" t="inlineStr">
        <is>
          <t>Nadia Karim</t>
        </is>
      </c>
      <c r="D76" s="46" t="n">
        <v>2</v>
      </c>
      <c r="E76" s="25" t="inlineStr">
        <is>
          <t>Deliveries</t>
        </is>
      </c>
      <c r="F76" s="25" t="n"/>
      <c r="G76" s="17">
        <f>IF(AND(C76="",D76=""),"",IF(NOT(ISNUMBER(B76)),"Needs a date",IF(AND(D76&lt;&gt;"",NOT(ISNUMBER(D76))),"Hours not a number",IF(N(D76)&lt;=0,"Needs the hours",IF(C76="","Needs a name",IF(COUNTIF(Volunteers!$B$6:$B$105,C76)=0,"Not on Volunteers",""))))))</f>
        <v/>
      </c>
      <c r="H76" s="1" t="n"/>
      <c r="I76">
        <f>IF(ISNUMBER(B76),YEAR(B76),"")</f>
        <v/>
      </c>
      <c r="J76">
        <f>IF(ISNUMBER(B76),YEAR(B76)*100+MONTH(B76),"")</f>
        <v/>
      </c>
      <c r="K76">
        <f>IF(ISNUMBER(B76),INT(B76),0)</f>
        <v/>
      </c>
      <c r="L76">
        <f>IF(AND(ISNUMBER(D76),N(D76)&gt;0),K76,0)</f>
        <v/>
      </c>
    </row>
    <row r="77">
      <c r="A77" s="1" t="n"/>
      <c r="B77" s="21" t="n">
        <v>46158</v>
      </c>
      <c r="C77" s="22" t="inlineStr">
        <is>
          <t>Beth Morgan</t>
        </is>
      </c>
      <c r="D77" s="46" t="n">
        <v>4</v>
      </c>
      <c r="E77" s="25" t="inlineStr">
        <is>
          <t>Saturday market</t>
        </is>
      </c>
      <c r="F77" s="25" t="n"/>
      <c r="G77" s="17">
        <f>IF(AND(C77="",D77=""),"",IF(NOT(ISNUMBER(B77)),"Needs a date",IF(AND(D77&lt;&gt;"",NOT(ISNUMBER(D77))),"Hours not a number",IF(N(D77)&lt;=0,"Needs the hours",IF(C77="","Needs a name",IF(COUNTIF(Volunteers!$B$6:$B$105,C77)=0,"Not on Volunteers",""))))))</f>
        <v/>
      </c>
      <c r="H77" s="1" t="n"/>
      <c r="I77">
        <f>IF(ISNUMBER(B77),YEAR(B77),"")</f>
        <v/>
      </c>
      <c r="J77">
        <f>IF(ISNUMBER(B77),YEAR(B77)*100+MONTH(B77),"")</f>
        <v/>
      </c>
      <c r="K77">
        <f>IF(ISNUMBER(B77),INT(B77),0)</f>
        <v/>
      </c>
      <c r="L77">
        <f>IF(AND(ISNUMBER(D77),N(D77)&gt;0),K77,0)</f>
        <v/>
      </c>
    </row>
    <row r="78">
      <c r="A78" s="1" t="n"/>
      <c r="B78" s="21" t="n">
        <v>46165</v>
      </c>
      <c r="C78" s="22" t="inlineStr">
        <is>
          <t>Sam Reid</t>
        </is>
      </c>
      <c r="D78" s="46" t="n">
        <v>2.5</v>
      </c>
      <c r="E78" s="25" t="inlineStr">
        <is>
          <t>Saturday market</t>
        </is>
      </c>
      <c r="F78" s="25" t="n"/>
      <c r="G78" s="17">
        <f>IF(AND(C78="",D78=""),"",IF(NOT(ISNUMBER(B78)),"Needs a date",IF(AND(D78&lt;&gt;"",NOT(ISNUMBER(D78))),"Hours not a number",IF(N(D78)&lt;=0,"Needs the hours",IF(C78="","Needs a name",IF(COUNTIF(Volunteers!$B$6:$B$105,C78)=0,"Not on Volunteers",""))))))</f>
        <v/>
      </c>
      <c r="H78" s="1" t="n"/>
      <c r="I78">
        <f>IF(ISNUMBER(B78),YEAR(B78),"")</f>
        <v/>
      </c>
      <c r="J78">
        <f>IF(ISNUMBER(B78),YEAR(B78)*100+MONTH(B78),"")</f>
        <v/>
      </c>
      <c r="K78">
        <f>IF(ISNUMBER(B78),INT(B78),0)</f>
        <v/>
      </c>
      <c r="L78">
        <f>IF(AND(ISNUMBER(D78),N(D78)&gt;0),K78,0)</f>
        <v/>
      </c>
    </row>
    <row r="79">
      <c r="A79" s="1" t="n"/>
      <c r="B79" s="21" t="n">
        <v>46172</v>
      </c>
      <c r="C79" s="22" t="inlineStr">
        <is>
          <t>Peter Olsen</t>
        </is>
      </c>
      <c r="D79" s="46" t="n">
        <v>3</v>
      </c>
      <c r="E79" s="25" t="inlineStr">
        <is>
          <t>Deliveries</t>
        </is>
      </c>
      <c r="F79" s="25" t="n"/>
      <c r="G79" s="17">
        <f>IF(AND(C79="",D79=""),"",IF(NOT(ISNUMBER(B79)),"Needs a date",IF(AND(D79&lt;&gt;"",NOT(ISNUMBER(D79))),"Hours not a number",IF(N(D79)&lt;=0,"Needs the hours",IF(C79="","Needs a name",IF(COUNTIF(Volunteers!$B$6:$B$105,C79)=0,"Not on Volunteers",""))))))</f>
        <v/>
      </c>
      <c r="H79" s="1" t="n"/>
      <c r="I79">
        <f>IF(ISNUMBER(B79),YEAR(B79),"")</f>
        <v/>
      </c>
      <c r="J79">
        <f>IF(ISNUMBER(B79),YEAR(B79)*100+MONTH(B79),"")</f>
        <v/>
      </c>
      <c r="K79">
        <f>IF(ISNUMBER(B79),INT(B79),0)</f>
        <v/>
      </c>
      <c r="L79">
        <f>IF(AND(ISNUMBER(D79),N(D79)&gt;0),K79,0)</f>
        <v/>
      </c>
    </row>
    <row r="80">
      <c r="A80" s="1" t="n"/>
      <c r="B80" s="21" t="n">
        <v>46179</v>
      </c>
      <c r="C80" s="22" t="inlineStr">
        <is>
          <t>Lucy Chen</t>
        </is>
      </c>
      <c r="D80" s="46" t="n">
        <v>4</v>
      </c>
      <c r="E80" s="25" t="inlineStr">
        <is>
          <t>Sorting day</t>
        </is>
      </c>
      <c r="F80" s="25" t="n"/>
      <c r="G80" s="17">
        <f>IF(AND(C80="",D80=""),"",IF(NOT(ISNUMBER(B80)),"Needs a date",IF(AND(D80&lt;&gt;"",NOT(ISNUMBER(D80))),"Hours not a number",IF(N(D80)&lt;=0,"Needs the hours",IF(C80="","Needs a name",IF(COUNTIF(Volunteers!$B$6:$B$105,C80)=0,"Not on Volunteers",""))))))</f>
        <v/>
      </c>
      <c r="H80" s="1" t="n"/>
      <c r="I80">
        <f>IF(ISNUMBER(B80),YEAR(B80),"")</f>
        <v/>
      </c>
      <c r="J80">
        <f>IF(ISNUMBER(B80),YEAR(B80)*100+MONTH(B80),"")</f>
        <v/>
      </c>
      <c r="K80">
        <f>IF(ISNUMBER(B80),INT(B80),0)</f>
        <v/>
      </c>
      <c r="L80">
        <f>IF(AND(ISNUMBER(D80),N(D80)&gt;0),K80,0)</f>
        <v/>
      </c>
    </row>
    <row r="81">
      <c r="A81" s="1" t="n"/>
      <c r="B81" s="21" t="n">
        <v>46179</v>
      </c>
      <c r="C81" s="22" t="inlineStr">
        <is>
          <t>Peter Olsen</t>
        </is>
      </c>
      <c r="D81" s="46" t="n">
        <v>2</v>
      </c>
      <c r="E81" s="25" t="inlineStr">
        <is>
          <t>Saturday market</t>
        </is>
      </c>
      <c r="F81" s="25" t="n"/>
      <c r="G81" s="17">
        <f>IF(AND(C81="",D81=""),"",IF(NOT(ISNUMBER(B81)),"Needs a date",IF(AND(D81&lt;&gt;"",NOT(ISNUMBER(D81))),"Hours not a number",IF(N(D81)&lt;=0,"Needs the hours",IF(C81="","Needs a name",IF(COUNTIF(Volunteers!$B$6:$B$105,C81)=0,"Not on Volunteers",""))))))</f>
        <v/>
      </c>
      <c r="H81" s="1" t="n"/>
      <c r="I81">
        <f>IF(ISNUMBER(B81),YEAR(B81),"")</f>
        <v/>
      </c>
      <c r="J81">
        <f>IF(ISNUMBER(B81),YEAR(B81)*100+MONTH(B81),"")</f>
        <v/>
      </c>
      <c r="K81">
        <f>IF(ISNUMBER(B81),INT(B81),0)</f>
        <v/>
      </c>
      <c r="L81">
        <f>IF(AND(ISNUMBER(D81),N(D81)&gt;0),K81,0)</f>
        <v/>
      </c>
    </row>
    <row r="82">
      <c r="A82" s="1" t="n"/>
      <c r="B82" s="21" t="n">
        <v>46179</v>
      </c>
      <c r="C82" s="22" t="inlineStr">
        <is>
          <t>Joe Ward</t>
        </is>
      </c>
      <c r="D82" s="46" t="n">
        <v>3</v>
      </c>
      <c r="E82" s="25" t="inlineStr">
        <is>
          <t>Deliveries</t>
        </is>
      </c>
      <c r="F82" s="25" t="n"/>
      <c r="G82" s="17">
        <f>IF(AND(C82="",D82=""),"",IF(NOT(ISNUMBER(B82)),"Needs a date",IF(AND(D82&lt;&gt;"",NOT(ISNUMBER(D82))),"Hours not a number",IF(N(D82)&lt;=0,"Needs the hours",IF(C82="","Needs a name",IF(COUNTIF(Volunteers!$B$6:$B$105,C82)=0,"Not on Volunteers",""))))))</f>
        <v/>
      </c>
      <c r="H82" s="1" t="n"/>
      <c r="I82">
        <f>IF(ISNUMBER(B82),YEAR(B82),"")</f>
        <v/>
      </c>
      <c r="J82">
        <f>IF(ISNUMBER(B82),YEAR(B82)*100+MONTH(B82),"")</f>
        <v/>
      </c>
      <c r="K82">
        <f>IF(ISNUMBER(B82),INT(B82),0)</f>
        <v/>
      </c>
      <c r="L82">
        <f>IF(AND(ISNUMBER(D82),N(D82)&gt;0),K82,0)</f>
        <v/>
      </c>
    </row>
    <row r="83">
      <c r="A83" s="1" t="n"/>
      <c r="B83" s="21" t="n">
        <v>46179</v>
      </c>
      <c r="C83" s="22" t="inlineStr">
        <is>
          <t>Sam Reid</t>
        </is>
      </c>
      <c r="D83" s="46" t="n">
        <v>4</v>
      </c>
      <c r="E83" s="25" t="inlineStr">
        <is>
          <t>Saturday market</t>
        </is>
      </c>
      <c r="F83" s="25" t="n"/>
      <c r="G83" s="17">
        <f>IF(AND(C83="",D83=""),"",IF(NOT(ISNUMBER(B83)),"Needs a date",IF(AND(D83&lt;&gt;"",NOT(ISNUMBER(D83))),"Hours not a number",IF(N(D83)&lt;=0,"Needs the hours",IF(C83="","Needs a name",IF(COUNTIF(Volunteers!$B$6:$B$105,C83)=0,"Not on Volunteers",""))))))</f>
        <v/>
      </c>
      <c r="H83" s="1" t="n"/>
      <c r="I83">
        <f>IF(ISNUMBER(B83),YEAR(B83),"")</f>
        <v/>
      </c>
      <c r="J83">
        <f>IF(ISNUMBER(B83),YEAR(B83)*100+MONTH(B83),"")</f>
        <v/>
      </c>
      <c r="K83">
        <f>IF(ISNUMBER(B83),INT(B83),0)</f>
        <v/>
      </c>
      <c r="L83">
        <f>IF(AND(ISNUMBER(D83),N(D83)&gt;0),K83,0)</f>
        <v/>
      </c>
    </row>
    <row r="84">
      <c r="A84" s="1" t="n"/>
      <c r="B84" s="21" t="n">
        <v>46186</v>
      </c>
      <c r="C84" s="22" t="inlineStr">
        <is>
          <t>Peter Olsen</t>
        </is>
      </c>
      <c r="D84" s="46" t="n">
        <v>4</v>
      </c>
      <c r="E84" s="25" t="inlineStr">
        <is>
          <t>Saturday market</t>
        </is>
      </c>
      <c r="F84" s="25" t="n"/>
      <c r="G84" s="17">
        <f>IF(AND(C84="",D84=""),"",IF(NOT(ISNUMBER(B84)),"Needs a date",IF(AND(D84&lt;&gt;"",NOT(ISNUMBER(D84))),"Hours not a number",IF(N(D84)&lt;=0,"Needs the hours",IF(C84="","Needs a name",IF(COUNTIF(Volunteers!$B$6:$B$105,C84)=0,"Not on Volunteers",""))))))</f>
        <v/>
      </c>
      <c r="H84" s="1" t="n"/>
      <c r="I84">
        <f>IF(ISNUMBER(B84),YEAR(B84),"")</f>
        <v/>
      </c>
      <c r="J84">
        <f>IF(ISNUMBER(B84),YEAR(B84)*100+MONTH(B84),"")</f>
        <v/>
      </c>
      <c r="K84">
        <f>IF(ISNUMBER(B84),INT(B84),0)</f>
        <v/>
      </c>
      <c r="L84">
        <f>IF(AND(ISNUMBER(D84),N(D84)&gt;0),K84,0)</f>
        <v/>
      </c>
    </row>
    <row r="85">
      <c r="A85" s="1" t="n"/>
      <c r="B85" s="21" t="n">
        <v>46186</v>
      </c>
      <c r="C85" s="22" t="inlineStr">
        <is>
          <t>Beth Morgan</t>
        </is>
      </c>
      <c r="D85" s="46" t="n">
        <v>4</v>
      </c>
      <c r="E85" s="25" t="inlineStr">
        <is>
          <t>Deliveries</t>
        </is>
      </c>
      <c r="F85" s="25" t="n"/>
      <c r="G85" s="17">
        <f>IF(AND(C85="",D85=""),"",IF(NOT(ISNUMBER(B85)),"Needs a date",IF(AND(D85&lt;&gt;"",NOT(ISNUMBER(D85))),"Hours not a number",IF(N(D85)&lt;=0,"Needs the hours",IF(C85="","Needs a name",IF(COUNTIF(Volunteers!$B$6:$B$105,C85)=0,"Not on Volunteers",""))))))</f>
        <v/>
      </c>
      <c r="H85" s="1" t="n"/>
      <c r="I85">
        <f>IF(ISNUMBER(B85),YEAR(B85),"")</f>
        <v/>
      </c>
      <c r="J85">
        <f>IF(ISNUMBER(B85),YEAR(B85)*100+MONTH(B85),"")</f>
        <v/>
      </c>
      <c r="K85">
        <f>IF(ISNUMBER(B85),INT(B85),0)</f>
        <v/>
      </c>
      <c r="L85">
        <f>IF(AND(ISNUMBER(D85),N(D85)&gt;0),K85,0)</f>
        <v/>
      </c>
    </row>
    <row r="86">
      <c r="A86" s="1" t="n"/>
      <c r="B86" s="21" t="n">
        <v>46186</v>
      </c>
      <c r="C86" s="22" t="inlineStr">
        <is>
          <t>Olga Novak</t>
        </is>
      </c>
      <c r="D86" s="46" t="n">
        <v>2</v>
      </c>
      <c r="E86" s="25" t="inlineStr">
        <is>
          <t>Deliveries</t>
        </is>
      </c>
      <c r="F86" s="25" t="n"/>
      <c r="G86" s="17">
        <f>IF(AND(C86="",D86=""),"",IF(NOT(ISNUMBER(B86)),"Needs a date",IF(AND(D86&lt;&gt;"",NOT(ISNUMBER(D86))),"Hours not a number",IF(N(D86)&lt;=0,"Needs the hours",IF(C86="","Needs a name",IF(COUNTIF(Volunteers!$B$6:$B$105,C86)=0,"Not on Volunteers",""))))))</f>
        <v/>
      </c>
      <c r="H86" s="1" t="n"/>
      <c r="I86">
        <f>IF(ISNUMBER(B86),YEAR(B86),"")</f>
        <v/>
      </c>
      <c r="J86">
        <f>IF(ISNUMBER(B86),YEAR(B86)*100+MONTH(B86),"")</f>
        <v/>
      </c>
      <c r="K86">
        <f>IF(ISNUMBER(B86),INT(B86),0)</f>
        <v/>
      </c>
      <c r="L86">
        <f>IF(AND(ISNUMBER(D86),N(D86)&gt;0),K86,0)</f>
        <v/>
      </c>
    </row>
    <row r="87">
      <c r="A87" s="1" t="n"/>
      <c r="B87" s="21" t="n">
        <v>46193</v>
      </c>
      <c r="C87" s="22" t="inlineStr">
        <is>
          <t>Nadia Karim</t>
        </is>
      </c>
      <c r="D87" s="46" t="n">
        <v>2.5</v>
      </c>
      <c r="E87" s="25" t="inlineStr">
        <is>
          <t>Deliveries</t>
        </is>
      </c>
      <c r="F87" s="25" t="n"/>
      <c r="G87" s="17">
        <f>IF(AND(C87="",D87=""),"",IF(NOT(ISNUMBER(B87)),"Needs a date",IF(AND(D87&lt;&gt;"",NOT(ISNUMBER(D87))),"Hours not a number",IF(N(D87)&lt;=0,"Needs the hours",IF(C87="","Needs a name",IF(COUNTIF(Volunteers!$B$6:$B$105,C87)=0,"Not on Volunteers",""))))))</f>
        <v/>
      </c>
      <c r="H87" s="1" t="n"/>
      <c r="I87">
        <f>IF(ISNUMBER(B87),YEAR(B87),"")</f>
        <v/>
      </c>
      <c r="J87">
        <f>IF(ISNUMBER(B87),YEAR(B87)*100+MONTH(B87),"")</f>
        <v/>
      </c>
      <c r="K87">
        <f>IF(ISNUMBER(B87),INT(B87),0)</f>
        <v/>
      </c>
      <c r="L87">
        <f>IF(AND(ISNUMBER(D87),N(D87)&gt;0),K87,0)</f>
        <v/>
      </c>
    </row>
    <row r="88">
      <c r="A88" s="1" t="n"/>
      <c r="B88" s="21" t="n">
        <v>46200</v>
      </c>
      <c r="C88" s="22" t="inlineStr">
        <is>
          <t>Mark Evans</t>
        </is>
      </c>
      <c r="D88" s="46" t="n">
        <v>4</v>
      </c>
      <c r="E88" s="25" t="inlineStr">
        <is>
          <t>Saturday market</t>
        </is>
      </c>
      <c r="F88" s="25" t="n"/>
      <c r="G88" s="17">
        <f>IF(AND(C88="",D88=""),"",IF(NOT(ISNUMBER(B88)),"Needs a date",IF(AND(D88&lt;&gt;"",NOT(ISNUMBER(D88))),"Hours not a number",IF(N(D88)&lt;=0,"Needs the hours",IF(C88="","Needs a name",IF(COUNTIF(Volunteers!$B$6:$B$105,C88)=0,"Not on Volunteers",""))))))</f>
        <v/>
      </c>
      <c r="H88" s="1" t="n"/>
      <c r="I88">
        <f>IF(ISNUMBER(B88),YEAR(B88),"")</f>
        <v/>
      </c>
      <c r="J88">
        <f>IF(ISNUMBER(B88),YEAR(B88)*100+MONTH(B88),"")</f>
        <v/>
      </c>
      <c r="K88">
        <f>IF(ISNUMBER(B88),INT(B88),0)</f>
        <v/>
      </c>
      <c r="L88">
        <f>IF(AND(ISNUMBER(D88),N(D88)&gt;0),K88,0)</f>
        <v/>
      </c>
    </row>
    <row r="89">
      <c r="A89" s="1" t="n"/>
      <c r="B89" s="21" t="n">
        <v>46200</v>
      </c>
      <c r="C89" s="22" t="inlineStr">
        <is>
          <t>Lucy Chen</t>
        </is>
      </c>
      <c r="D89" s="46" t="n">
        <v>3</v>
      </c>
      <c r="E89" s="25" t="inlineStr">
        <is>
          <t>Saturday market</t>
        </is>
      </c>
      <c r="F89" s="25" t="n"/>
      <c r="G89" s="17">
        <f>IF(AND(C89="",D89=""),"",IF(NOT(ISNUMBER(B89)),"Needs a date",IF(AND(D89&lt;&gt;"",NOT(ISNUMBER(D89))),"Hours not a number",IF(N(D89)&lt;=0,"Needs the hours",IF(C89="","Needs a name",IF(COUNTIF(Volunteers!$B$6:$B$105,C89)=0,"Not on Volunteers",""))))))</f>
        <v/>
      </c>
      <c r="H89" s="1" t="n"/>
      <c r="I89">
        <f>IF(ISNUMBER(B89),YEAR(B89),"")</f>
        <v/>
      </c>
      <c r="J89">
        <f>IF(ISNUMBER(B89),YEAR(B89)*100+MONTH(B89),"")</f>
        <v/>
      </c>
      <c r="K89">
        <f>IF(ISNUMBER(B89),INT(B89),0)</f>
        <v/>
      </c>
      <c r="L89">
        <f>IF(AND(ISNUMBER(D89),N(D89)&gt;0),K89,0)</f>
        <v/>
      </c>
    </row>
    <row r="90">
      <c r="A90" s="1" t="n"/>
      <c r="B90" s="21" t="n">
        <v>46200</v>
      </c>
      <c r="C90" s="22" t="inlineStr">
        <is>
          <t>Joe Ward</t>
        </is>
      </c>
      <c r="D90" s="46" t="n">
        <v>2.5</v>
      </c>
      <c r="E90" s="25" t="inlineStr">
        <is>
          <t>Saturday market</t>
        </is>
      </c>
      <c r="F90" s="25" t="n"/>
      <c r="G90" s="17">
        <f>IF(AND(C90="",D90=""),"",IF(NOT(ISNUMBER(B90)),"Needs a date",IF(AND(D90&lt;&gt;"",NOT(ISNUMBER(D90))),"Hours not a number",IF(N(D90)&lt;=0,"Needs the hours",IF(C90="","Needs a name",IF(COUNTIF(Volunteers!$B$6:$B$105,C90)=0,"Not on Volunteers",""))))))</f>
        <v/>
      </c>
      <c r="H90" s="1" t="n"/>
      <c r="I90">
        <f>IF(ISNUMBER(B90),YEAR(B90),"")</f>
        <v/>
      </c>
      <c r="J90">
        <f>IF(ISNUMBER(B90),YEAR(B90)*100+MONTH(B90),"")</f>
        <v/>
      </c>
      <c r="K90">
        <f>IF(ISNUMBER(B90),INT(B90),0)</f>
        <v/>
      </c>
      <c r="L90">
        <f>IF(AND(ISNUMBER(D90),N(D90)&gt;0),K90,0)</f>
        <v/>
      </c>
    </row>
    <row r="91">
      <c r="A91" s="1" t="n"/>
      <c r="B91" s="21" t="n">
        <v>46207</v>
      </c>
      <c r="C91" s="22" t="inlineStr">
        <is>
          <t>Olga Novak</t>
        </is>
      </c>
      <c r="D91" s="46" t="n">
        <v>2.5</v>
      </c>
      <c r="E91" s="25" t="inlineStr">
        <is>
          <t>Front desk</t>
        </is>
      </c>
      <c r="F91" s="25" t="n"/>
      <c r="G91" s="17">
        <f>IF(AND(C91="",D91=""),"",IF(NOT(ISNUMBER(B91)),"Needs a date",IF(AND(D91&lt;&gt;"",NOT(ISNUMBER(D91))),"Hours not a number",IF(N(D91)&lt;=0,"Needs the hours",IF(C91="","Needs a name",IF(COUNTIF(Volunteers!$B$6:$B$105,C91)=0,"Not on Volunteers",""))))))</f>
        <v/>
      </c>
      <c r="H91" s="1" t="n"/>
      <c r="I91">
        <f>IF(ISNUMBER(B91),YEAR(B91),"")</f>
        <v/>
      </c>
      <c r="J91">
        <f>IF(ISNUMBER(B91),YEAR(B91)*100+MONTH(B91),"")</f>
        <v/>
      </c>
      <c r="K91">
        <f>IF(ISNUMBER(B91),INT(B91),0)</f>
        <v/>
      </c>
      <c r="L91">
        <f>IF(AND(ISNUMBER(D91),N(D91)&gt;0),K91,0)</f>
        <v/>
      </c>
    </row>
    <row r="92">
      <c r="A92" s="1" t="n"/>
      <c r="B92" s="21" t="n">
        <v>46214</v>
      </c>
      <c r="C92" s="22" t="inlineStr">
        <is>
          <t>Mark Evans</t>
        </is>
      </c>
      <c r="D92" s="46" t="n">
        <v>2.5</v>
      </c>
      <c r="E92" s="25" t="inlineStr">
        <is>
          <t>Front desk</t>
        </is>
      </c>
      <c r="F92" s="25" t="n"/>
      <c r="G92" s="17">
        <f>IF(AND(C92="",D92=""),"",IF(NOT(ISNUMBER(B92)),"Needs a date",IF(AND(D92&lt;&gt;"",NOT(ISNUMBER(D92))),"Hours not a number",IF(N(D92)&lt;=0,"Needs the hours",IF(C92="","Needs a name",IF(COUNTIF(Volunteers!$B$6:$B$105,C92)=0,"Not on Volunteers",""))))))</f>
        <v/>
      </c>
      <c r="H92" s="1" t="n"/>
      <c r="I92">
        <f>IF(ISNUMBER(B92),YEAR(B92),"")</f>
        <v/>
      </c>
      <c r="J92">
        <f>IF(ISNUMBER(B92),YEAR(B92)*100+MONTH(B92),"")</f>
        <v/>
      </c>
      <c r="K92">
        <f>IF(ISNUMBER(B92),INT(B92),0)</f>
        <v/>
      </c>
      <c r="L92">
        <f>IF(AND(ISNUMBER(D92),N(D92)&gt;0),K92,0)</f>
        <v/>
      </c>
    </row>
    <row r="93">
      <c r="A93" s="1" t="n"/>
      <c r="B93" s="21" t="n">
        <v>46221</v>
      </c>
      <c r="C93" s="22" t="inlineStr">
        <is>
          <t>Peter Olsen</t>
        </is>
      </c>
      <c r="D93" s="46" t="n">
        <v>4</v>
      </c>
      <c r="E93" s="25" t="inlineStr">
        <is>
          <t>Deliveries</t>
        </is>
      </c>
      <c r="F93" s="25" t="n"/>
      <c r="G93" s="17">
        <f>IF(AND(C93="",D93=""),"",IF(NOT(ISNUMBER(B93)),"Needs a date",IF(AND(D93&lt;&gt;"",NOT(ISNUMBER(D93))),"Hours not a number",IF(N(D93)&lt;=0,"Needs the hours",IF(C93="","Needs a name",IF(COUNTIF(Volunteers!$B$6:$B$105,C93)=0,"Not on Volunteers",""))))))</f>
        <v/>
      </c>
      <c r="H93" s="1" t="n"/>
      <c r="I93">
        <f>IF(ISNUMBER(B93),YEAR(B93),"")</f>
        <v/>
      </c>
      <c r="J93">
        <f>IF(ISNUMBER(B93),YEAR(B93)*100+MONTH(B93),"")</f>
        <v/>
      </c>
      <c r="K93">
        <f>IF(ISNUMBER(B93),INT(B93),0)</f>
        <v/>
      </c>
      <c r="L93">
        <f>IF(AND(ISNUMBER(D93),N(D93)&gt;0),K93,0)</f>
        <v/>
      </c>
    </row>
    <row r="94">
      <c r="A94" s="1" t="n"/>
      <c r="B94" s="21" t="n">
        <v>46221</v>
      </c>
      <c r="C94" s="22" t="inlineStr">
        <is>
          <t>Sam Reid</t>
        </is>
      </c>
      <c r="D94" s="46" t="n">
        <v>4</v>
      </c>
      <c r="E94" s="25" t="inlineStr">
        <is>
          <t>Front desk</t>
        </is>
      </c>
      <c r="F94" s="25" t="n"/>
      <c r="G94" s="17">
        <f>IF(AND(C94="",D94=""),"",IF(NOT(ISNUMBER(B94)),"Needs a date",IF(AND(D94&lt;&gt;"",NOT(ISNUMBER(D94))),"Hours not a number",IF(N(D94)&lt;=0,"Needs the hours",IF(C94="","Needs a name",IF(COUNTIF(Volunteers!$B$6:$B$105,C94)=0,"Not on Volunteers",""))))))</f>
        <v/>
      </c>
      <c r="H94" s="1" t="n"/>
      <c r="I94">
        <f>IF(ISNUMBER(B94),YEAR(B94),"")</f>
        <v/>
      </c>
      <c r="J94">
        <f>IF(ISNUMBER(B94),YEAR(B94)*100+MONTH(B94),"")</f>
        <v/>
      </c>
      <c r="K94">
        <f>IF(ISNUMBER(B94),INT(B94),0)</f>
        <v/>
      </c>
      <c r="L94">
        <f>IF(AND(ISNUMBER(D94),N(D94)&gt;0),K94,0)</f>
        <v/>
      </c>
    </row>
    <row r="95">
      <c r="A95" s="1" t="n"/>
      <c r="B95" s="21" t="n">
        <v>46221</v>
      </c>
      <c r="C95" s="22" t="inlineStr">
        <is>
          <t>Olga Novak</t>
        </is>
      </c>
      <c r="D95" s="46" t="n">
        <v>2.5</v>
      </c>
      <c r="E95" s="25" t="inlineStr">
        <is>
          <t>Front desk</t>
        </is>
      </c>
      <c r="F95" s="25" t="n"/>
      <c r="G95" s="17">
        <f>IF(AND(C95="",D95=""),"",IF(NOT(ISNUMBER(B95)),"Needs a date",IF(AND(D95&lt;&gt;"",NOT(ISNUMBER(D95))),"Hours not a number",IF(N(D95)&lt;=0,"Needs the hours",IF(C95="","Needs a name",IF(COUNTIF(Volunteers!$B$6:$B$105,C95)=0,"Not on Volunteers",""))))))</f>
        <v/>
      </c>
      <c r="H95" s="1" t="n"/>
      <c r="I95">
        <f>IF(ISNUMBER(B95),YEAR(B95),"")</f>
        <v/>
      </c>
      <c r="J95">
        <f>IF(ISNUMBER(B95),YEAR(B95)*100+MONTH(B95),"")</f>
        <v/>
      </c>
      <c r="K95">
        <f>IF(ISNUMBER(B95),INT(B95),0)</f>
        <v/>
      </c>
      <c r="L95">
        <f>IF(AND(ISNUMBER(D95),N(D95)&gt;0),K95,0)</f>
        <v/>
      </c>
    </row>
    <row r="96">
      <c r="A96" s="1" t="n"/>
      <c r="B96" s="21" t="n">
        <v>46228</v>
      </c>
      <c r="C96" s="22" t="inlineStr">
        <is>
          <t>Beth Morgan</t>
        </is>
      </c>
      <c r="D96" s="46" t="n">
        <v>2.5</v>
      </c>
      <c r="E96" s="25" t="inlineStr">
        <is>
          <t>Deliveries</t>
        </is>
      </c>
      <c r="F96" s="25" t="n"/>
      <c r="G96" s="17">
        <f>IF(AND(C96="",D96=""),"",IF(NOT(ISNUMBER(B96)),"Needs a date",IF(AND(D96&lt;&gt;"",NOT(ISNUMBER(D96))),"Hours not a number",IF(N(D96)&lt;=0,"Needs the hours",IF(C96="","Needs a name",IF(COUNTIF(Volunteers!$B$6:$B$105,C96)=0,"Not on Volunteers",""))))))</f>
        <v/>
      </c>
      <c r="H96" s="1" t="n"/>
      <c r="I96">
        <f>IF(ISNUMBER(B96),YEAR(B96),"")</f>
        <v/>
      </c>
      <c r="J96">
        <f>IF(ISNUMBER(B96),YEAR(B96)*100+MONTH(B96),"")</f>
        <v/>
      </c>
      <c r="K96">
        <f>IF(ISNUMBER(B96),INT(B96),0)</f>
        <v/>
      </c>
      <c r="L96">
        <f>IF(AND(ISNUMBER(D96),N(D96)&gt;0),K96,0)</f>
        <v/>
      </c>
    </row>
    <row r="97">
      <c r="A97" s="1" t="n"/>
      <c r="B97" s="21" t="n">
        <v>46235</v>
      </c>
      <c r="C97" s="22" t="inlineStr">
        <is>
          <t>Nadia Karim</t>
        </is>
      </c>
      <c r="D97" s="46" t="n">
        <v>2.5</v>
      </c>
      <c r="E97" s="25" t="inlineStr">
        <is>
          <t>Sorting day</t>
        </is>
      </c>
      <c r="F97" s="25" t="n"/>
      <c r="G97" s="17">
        <f>IF(AND(C97="",D97=""),"",IF(NOT(ISNUMBER(B97)),"Needs a date",IF(AND(D97&lt;&gt;"",NOT(ISNUMBER(D97))),"Hours not a number",IF(N(D97)&lt;=0,"Needs the hours",IF(C97="","Needs a name",IF(COUNTIF(Volunteers!$B$6:$B$105,C97)=0,"Not on Volunteers",""))))))</f>
        <v/>
      </c>
      <c r="H97" s="1" t="n"/>
      <c r="I97">
        <f>IF(ISNUMBER(B97),YEAR(B97),"")</f>
        <v/>
      </c>
      <c r="J97">
        <f>IF(ISNUMBER(B97),YEAR(B97)*100+MONTH(B97),"")</f>
        <v/>
      </c>
      <c r="K97">
        <f>IF(ISNUMBER(B97),INT(B97),0)</f>
        <v/>
      </c>
      <c r="L97">
        <f>IF(AND(ISNUMBER(D97),N(D97)&gt;0),K97,0)</f>
        <v/>
      </c>
    </row>
    <row r="98">
      <c r="A98" s="1" t="n"/>
      <c r="B98" s="21" t="n">
        <v>46235</v>
      </c>
      <c r="C98" s="22" t="inlineStr">
        <is>
          <t>Sam Reid</t>
        </is>
      </c>
      <c r="D98" s="46" t="n">
        <v>2</v>
      </c>
      <c r="E98" s="25" t="inlineStr">
        <is>
          <t>Saturday market</t>
        </is>
      </c>
      <c r="F98" s="25" t="n"/>
      <c r="G98" s="17">
        <f>IF(AND(C98="",D98=""),"",IF(NOT(ISNUMBER(B98)),"Needs a date",IF(AND(D98&lt;&gt;"",NOT(ISNUMBER(D98))),"Hours not a number",IF(N(D98)&lt;=0,"Needs the hours",IF(C98="","Needs a name",IF(COUNTIF(Volunteers!$B$6:$B$105,C98)=0,"Not on Volunteers",""))))))</f>
        <v/>
      </c>
      <c r="H98" s="1" t="n"/>
      <c r="I98">
        <f>IF(ISNUMBER(B98),YEAR(B98),"")</f>
        <v/>
      </c>
      <c r="J98">
        <f>IF(ISNUMBER(B98),YEAR(B98)*100+MONTH(B98),"")</f>
        <v/>
      </c>
      <c r="K98">
        <f>IF(ISNUMBER(B98),INT(B98),0)</f>
        <v/>
      </c>
      <c r="L98">
        <f>IF(AND(ISNUMBER(D98),N(D98)&gt;0),K98,0)</f>
        <v/>
      </c>
    </row>
    <row r="99">
      <c r="A99" s="1" t="n"/>
      <c r="B99" s="21" t="n">
        <v>46242</v>
      </c>
      <c r="C99" s="22" t="inlineStr">
        <is>
          <t>Lucy Chen</t>
        </is>
      </c>
      <c r="D99" s="46" t="n">
        <v>2.5</v>
      </c>
      <c r="E99" s="25" t="inlineStr">
        <is>
          <t>Sorting day</t>
        </is>
      </c>
      <c r="F99" s="25" t="n"/>
      <c r="G99" s="17">
        <f>IF(AND(C99="",D99=""),"",IF(NOT(ISNUMBER(B99)),"Needs a date",IF(AND(D99&lt;&gt;"",NOT(ISNUMBER(D99))),"Hours not a number",IF(N(D99)&lt;=0,"Needs the hours",IF(C99="","Needs a name",IF(COUNTIF(Volunteers!$B$6:$B$105,C99)=0,"Not on Volunteers",""))))))</f>
        <v/>
      </c>
      <c r="H99" s="1" t="n"/>
      <c r="I99">
        <f>IF(ISNUMBER(B99),YEAR(B99),"")</f>
        <v/>
      </c>
      <c r="J99">
        <f>IF(ISNUMBER(B99),YEAR(B99)*100+MONTH(B99),"")</f>
        <v/>
      </c>
      <c r="K99">
        <f>IF(ISNUMBER(B99),INT(B99),0)</f>
        <v/>
      </c>
      <c r="L99">
        <f>IF(AND(ISNUMBER(D99),N(D99)&gt;0),K99,0)</f>
        <v/>
      </c>
    </row>
    <row r="100">
      <c r="A100" s="1" t="n"/>
      <c r="B100" s="21" t="n">
        <v>46242</v>
      </c>
      <c r="C100" s="22" t="inlineStr">
        <is>
          <t>Nadia Karim</t>
        </is>
      </c>
      <c r="D100" s="46" t="n">
        <v>4</v>
      </c>
      <c r="E100" s="25" t="inlineStr">
        <is>
          <t>Saturday market</t>
        </is>
      </c>
      <c r="F100" s="25" t="n"/>
      <c r="G100" s="17">
        <f>IF(AND(C100="",D100=""),"",IF(NOT(ISNUMBER(B100)),"Needs a date",IF(AND(D100&lt;&gt;"",NOT(ISNUMBER(D100))),"Hours not a number",IF(N(D100)&lt;=0,"Needs the hours",IF(C100="","Needs a name",IF(COUNTIF(Volunteers!$B$6:$B$105,C100)=0,"Not on Volunteers",""))))))</f>
        <v/>
      </c>
      <c r="H100" s="1" t="n"/>
      <c r="I100">
        <f>IF(ISNUMBER(B100),YEAR(B100),"")</f>
        <v/>
      </c>
      <c r="J100">
        <f>IF(ISNUMBER(B100),YEAR(B100)*100+MONTH(B100),"")</f>
        <v/>
      </c>
      <c r="K100">
        <f>IF(ISNUMBER(B100),INT(B100),0)</f>
        <v/>
      </c>
      <c r="L100">
        <f>IF(AND(ISNUMBER(D100),N(D100)&gt;0),K100,0)</f>
        <v/>
      </c>
    </row>
    <row r="101">
      <c r="A101" s="1" t="n"/>
      <c r="B101" s="21" t="n">
        <v>46242</v>
      </c>
      <c r="C101" s="22" t="inlineStr">
        <is>
          <t>Olga Novak</t>
        </is>
      </c>
      <c r="D101" s="46" t="n">
        <v>4</v>
      </c>
      <c r="E101" s="25" t="inlineStr">
        <is>
          <t>Front desk</t>
        </is>
      </c>
      <c r="F101" s="25" t="n"/>
      <c r="G101" s="17">
        <f>IF(AND(C101="",D101=""),"",IF(NOT(ISNUMBER(B101)),"Needs a date",IF(AND(D101&lt;&gt;"",NOT(ISNUMBER(D101))),"Hours not a number",IF(N(D101)&lt;=0,"Needs the hours",IF(C101="","Needs a name",IF(COUNTIF(Volunteers!$B$6:$B$105,C101)=0,"Not on Volunteers",""))))))</f>
        <v/>
      </c>
      <c r="H101" s="1" t="n"/>
      <c r="I101">
        <f>IF(ISNUMBER(B101),YEAR(B101),"")</f>
        <v/>
      </c>
      <c r="J101">
        <f>IF(ISNUMBER(B101),YEAR(B101)*100+MONTH(B101),"")</f>
        <v/>
      </c>
      <c r="K101">
        <f>IF(ISNUMBER(B101),INT(B101),0)</f>
        <v/>
      </c>
      <c r="L101">
        <f>IF(AND(ISNUMBER(D101),N(D101)&gt;0),K101,0)</f>
        <v/>
      </c>
    </row>
    <row r="102">
      <c r="A102" s="1" t="n"/>
      <c r="B102" s="21" t="n">
        <v>46249</v>
      </c>
      <c r="C102" s="22" t="inlineStr">
        <is>
          <t>Peter Olsen</t>
        </is>
      </c>
      <c r="D102" s="46" t="n">
        <v>2.5</v>
      </c>
      <c r="E102" s="25" t="inlineStr">
        <is>
          <t>Sorting day</t>
        </is>
      </c>
      <c r="F102" s="25" t="n"/>
      <c r="G102" s="17">
        <f>IF(AND(C102="",D102=""),"",IF(NOT(ISNUMBER(B102)),"Needs a date",IF(AND(D102&lt;&gt;"",NOT(ISNUMBER(D102))),"Hours not a number",IF(N(D102)&lt;=0,"Needs the hours",IF(C102="","Needs a name",IF(COUNTIF(Volunteers!$B$6:$B$105,C102)=0,"Not on Volunteers",""))))))</f>
        <v/>
      </c>
      <c r="H102" s="1" t="n"/>
      <c r="I102">
        <f>IF(ISNUMBER(B102),YEAR(B102),"")</f>
        <v/>
      </c>
      <c r="J102">
        <f>IF(ISNUMBER(B102),YEAR(B102)*100+MONTH(B102),"")</f>
        <v/>
      </c>
      <c r="K102">
        <f>IF(ISNUMBER(B102),INT(B102),0)</f>
        <v/>
      </c>
      <c r="L102">
        <f>IF(AND(ISNUMBER(D102),N(D102)&gt;0),K102,0)</f>
        <v/>
      </c>
    </row>
    <row r="103">
      <c r="A103" s="1" t="n"/>
      <c r="B103" s="21" t="n">
        <v>46249</v>
      </c>
      <c r="C103" s="22" t="inlineStr">
        <is>
          <t>Nadia Karim</t>
        </is>
      </c>
      <c r="D103" s="46" t="n">
        <v>3</v>
      </c>
      <c r="E103" s="25" t="inlineStr">
        <is>
          <t>Front desk</t>
        </is>
      </c>
      <c r="F103" s="25" t="n"/>
      <c r="G103" s="17">
        <f>IF(AND(C103="",D103=""),"",IF(NOT(ISNUMBER(B103)),"Needs a date",IF(AND(D103&lt;&gt;"",NOT(ISNUMBER(D103))),"Hours not a number",IF(N(D103)&lt;=0,"Needs the hours",IF(C103="","Needs a name",IF(COUNTIF(Volunteers!$B$6:$B$105,C103)=0,"Not on Volunteers",""))))))</f>
        <v/>
      </c>
      <c r="H103" s="1" t="n"/>
      <c r="I103">
        <f>IF(ISNUMBER(B103),YEAR(B103),"")</f>
        <v/>
      </c>
      <c r="J103">
        <f>IF(ISNUMBER(B103),YEAR(B103)*100+MONTH(B103),"")</f>
        <v/>
      </c>
      <c r="K103">
        <f>IF(ISNUMBER(B103),INT(B103),0)</f>
        <v/>
      </c>
      <c r="L103">
        <f>IF(AND(ISNUMBER(D103),N(D103)&gt;0),K103,0)</f>
        <v/>
      </c>
    </row>
    <row r="104">
      <c r="A104" s="1" t="n"/>
      <c r="B104" s="21" t="n">
        <v>46249</v>
      </c>
      <c r="C104" s="22" t="inlineStr">
        <is>
          <t>Beth Morgan</t>
        </is>
      </c>
      <c r="D104" s="46" t="n">
        <v>4</v>
      </c>
      <c r="E104" s="25" t="inlineStr">
        <is>
          <t>Saturday market</t>
        </is>
      </c>
      <c r="F104" s="25" t="n"/>
      <c r="G104" s="17">
        <f>IF(AND(C104="",D104=""),"",IF(NOT(ISNUMBER(B104)),"Needs a date",IF(AND(D104&lt;&gt;"",NOT(ISNUMBER(D104))),"Hours not a number",IF(N(D104)&lt;=0,"Needs the hours",IF(C104="","Needs a name",IF(COUNTIF(Volunteers!$B$6:$B$105,C104)=0,"Not on Volunteers",""))))))</f>
        <v/>
      </c>
      <c r="H104" s="1" t="n"/>
      <c r="I104">
        <f>IF(ISNUMBER(B104),YEAR(B104),"")</f>
        <v/>
      </c>
      <c r="J104">
        <f>IF(ISNUMBER(B104),YEAR(B104)*100+MONTH(B104),"")</f>
        <v/>
      </c>
      <c r="K104">
        <f>IF(ISNUMBER(B104),INT(B104),0)</f>
        <v/>
      </c>
      <c r="L104">
        <f>IF(AND(ISNUMBER(D104),N(D104)&gt;0),K104,0)</f>
        <v/>
      </c>
    </row>
    <row r="105">
      <c r="A105" s="1" t="n"/>
      <c r="B105" s="21" t="n">
        <v>46249</v>
      </c>
      <c r="C105" s="22" t="inlineStr">
        <is>
          <t>Sam Reid</t>
        </is>
      </c>
      <c r="D105" s="46" t="n">
        <v>2.5</v>
      </c>
      <c r="E105" s="25" t="inlineStr">
        <is>
          <t>Sorting day</t>
        </is>
      </c>
      <c r="F105" s="25" t="n"/>
      <c r="G105" s="17">
        <f>IF(AND(C105="",D105=""),"",IF(NOT(ISNUMBER(B105)),"Needs a date",IF(AND(D105&lt;&gt;"",NOT(ISNUMBER(D105))),"Hours not a number",IF(N(D105)&lt;=0,"Needs the hours",IF(C105="","Needs a name",IF(COUNTIF(Volunteers!$B$6:$B$105,C105)=0,"Not on Volunteers",""))))))</f>
        <v/>
      </c>
      <c r="H105" s="1" t="n"/>
      <c r="I105">
        <f>IF(ISNUMBER(B105),YEAR(B105),"")</f>
        <v/>
      </c>
      <c r="J105">
        <f>IF(ISNUMBER(B105),YEAR(B105)*100+MONTH(B105),"")</f>
        <v/>
      </c>
      <c r="K105">
        <f>IF(ISNUMBER(B105),INT(B105),0)</f>
        <v/>
      </c>
      <c r="L105">
        <f>IF(AND(ISNUMBER(D105),N(D105)&gt;0),K105,0)</f>
        <v/>
      </c>
    </row>
    <row r="106">
      <c r="A106" s="1" t="n"/>
      <c r="B106" s="21" t="n">
        <v>46249</v>
      </c>
      <c r="C106" s="22" t="inlineStr">
        <is>
          <t>Olga Novak</t>
        </is>
      </c>
      <c r="D106" s="46" t="n">
        <v>2.5</v>
      </c>
      <c r="E106" s="25" t="inlineStr">
        <is>
          <t>Front desk</t>
        </is>
      </c>
      <c r="F106" s="25" t="n"/>
      <c r="G106" s="17">
        <f>IF(AND(C106="",D106=""),"",IF(NOT(ISNUMBER(B106)),"Needs a date",IF(AND(D106&lt;&gt;"",NOT(ISNUMBER(D106))),"Hours not a number",IF(N(D106)&lt;=0,"Needs the hours",IF(C106="","Needs a name",IF(COUNTIF(Volunteers!$B$6:$B$105,C106)=0,"Not on Volunteers",""))))))</f>
        <v/>
      </c>
      <c r="H106" s="1" t="n"/>
      <c r="I106">
        <f>IF(ISNUMBER(B106),YEAR(B106),"")</f>
        <v/>
      </c>
      <c r="J106">
        <f>IF(ISNUMBER(B106),YEAR(B106)*100+MONTH(B106),"")</f>
        <v/>
      </c>
      <c r="K106">
        <f>IF(ISNUMBER(B106),INT(B106),0)</f>
        <v/>
      </c>
      <c r="L106">
        <f>IF(AND(ISNUMBER(D106),N(D106)&gt;0),K106,0)</f>
        <v/>
      </c>
    </row>
    <row r="107">
      <c r="A107" s="1" t="n"/>
      <c r="B107" s="21" t="n">
        <v>46256</v>
      </c>
      <c r="C107" s="22" t="inlineStr">
        <is>
          <t>Peter Olsen</t>
        </is>
      </c>
      <c r="D107" s="46" t="n">
        <v>4</v>
      </c>
      <c r="E107" s="25" t="inlineStr">
        <is>
          <t>Saturday market</t>
        </is>
      </c>
      <c r="F107" s="25" t="n"/>
      <c r="G107" s="17">
        <f>IF(AND(C107="",D107=""),"",IF(NOT(ISNUMBER(B107)),"Needs a date",IF(AND(D107&lt;&gt;"",NOT(ISNUMBER(D107))),"Hours not a number",IF(N(D107)&lt;=0,"Needs the hours",IF(C107="","Needs a name",IF(COUNTIF(Volunteers!$B$6:$B$105,C107)=0,"Not on Volunteers",""))))))</f>
        <v/>
      </c>
      <c r="H107" s="1" t="n"/>
      <c r="I107">
        <f>IF(ISNUMBER(B107),YEAR(B107),"")</f>
        <v/>
      </c>
      <c r="J107">
        <f>IF(ISNUMBER(B107),YEAR(B107)*100+MONTH(B107),"")</f>
        <v/>
      </c>
      <c r="K107">
        <f>IF(ISNUMBER(B107),INT(B107),0)</f>
        <v/>
      </c>
      <c r="L107">
        <f>IF(AND(ISNUMBER(D107),N(D107)&gt;0),K107,0)</f>
        <v/>
      </c>
    </row>
    <row r="108">
      <c r="A108" s="1" t="n"/>
      <c r="B108" s="21" t="n">
        <v>46256</v>
      </c>
      <c r="C108" s="22" t="inlineStr">
        <is>
          <t>Joe Ward</t>
        </is>
      </c>
      <c r="D108" s="46" t="n">
        <v>4</v>
      </c>
      <c r="E108" s="25" t="inlineStr">
        <is>
          <t>Deliveries</t>
        </is>
      </c>
      <c r="F108" s="25" t="n"/>
      <c r="G108" s="17">
        <f>IF(AND(C108="",D108=""),"",IF(NOT(ISNUMBER(B108)),"Needs a date",IF(AND(D108&lt;&gt;"",NOT(ISNUMBER(D108))),"Hours not a number",IF(N(D108)&lt;=0,"Needs the hours",IF(C108="","Needs a name",IF(COUNTIF(Volunteers!$B$6:$B$105,C108)=0,"Not on Volunteers",""))))))</f>
        <v/>
      </c>
      <c r="H108" s="1" t="n"/>
      <c r="I108">
        <f>IF(ISNUMBER(B108),YEAR(B108),"")</f>
        <v/>
      </c>
      <c r="J108">
        <f>IF(ISNUMBER(B108),YEAR(B108)*100+MONTH(B108),"")</f>
        <v/>
      </c>
      <c r="K108">
        <f>IF(ISNUMBER(B108),INT(B108),0)</f>
        <v/>
      </c>
      <c r="L108">
        <f>IF(AND(ISNUMBER(D108),N(D108)&gt;0),K108,0)</f>
        <v/>
      </c>
    </row>
    <row r="109">
      <c r="A109" s="1" t="n"/>
      <c r="B109" s="21" t="n">
        <v>46270</v>
      </c>
      <c r="C109" s="22" t="inlineStr">
        <is>
          <t>Mark Evans</t>
        </is>
      </c>
      <c r="D109" s="46" t="n">
        <v>2</v>
      </c>
      <c r="E109" s="25" t="inlineStr">
        <is>
          <t>Front desk</t>
        </is>
      </c>
      <c r="F109" s="25" t="n"/>
      <c r="G109" s="17">
        <f>IF(AND(C109="",D109=""),"",IF(NOT(ISNUMBER(B109)),"Needs a date",IF(AND(D109&lt;&gt;"",NOT(ISNUMBER(D109))),"Hours not a number",IF(N(D109)&lt;=0,"Needs the hours",IF(C109="","Needs a name",IF(COUNTIF(Volunteers!$B$6:$B$105,C109)=0,"Not on Volunteers",""))))))</f>
        <v/>
      </c>
      <c r="H109" s="1" t="n"/>
      <c r="I109">
        <f>IF(ISNUMBER(B109),YEAR(B109),"")</f>
        <v/>
      </c>
      <c r="J109">
        <f>IF(ISNUMBER(B109),YEAR(B109)*100+MONTH(B109),"")</f>
        <v/>
      </c>
      <c r="K109">
        <f>IF(ISNUMBER(B109),INT(B109),0)</f>
        <v/>
      </c>
      <c r="L109">
        <f>IF(AND(ISNUMBER(D109),N(D109)&gt;0),K109,0)</f>
        <v/>
      </c>
    </row>
    <row r="110">
      <c r="A110" s="1" t="n"/>
      <c r="B110" s="21" t="n">
        <v>46270</v>
      </c>
      <c r="C110" s="22" t="inlineStr">
        <is>
          <t>Lucy Chen</t>
        </is>
      </c>
      <c r="D110" s="46" t="n">
        <v>4</v>
      </c>
      <c r="E110" s="25" t="inlineStr">
        <is>
          <t>Front desk</t>
        </is>
      </c>
      <c r="F110" s="25" t="n"/>
      <c r="G110" s="17">
        <f>IF(AND(C110="",D110=""),"",IF(NOT(ISNUMBER(B110)),"Needs a date",IF(AND(D110&lt;&gt;"",NOT(ISNUMBER(D110))),"Hours not a number",IF(N(D110)&lt;=0,"Needs the hours",IF(C110="","Needs a name",IF(COUNTIF(Volunteers!$B$6:$B$105,C110)=0,"Not on Volunteers",""))))))</f>
        <v/>
      </c>
      <c r="H110" s="1" t="n"/>
      <c r="I110">
        <f>IF(ISNUMBER(B110),YEAR(B110),"")</f>
        <v/>
      </c>
      <c r="J110">
        <f>IF(ISNUMBER(B110),YEAR(B110)*100+MONTH(B110),"")</f>
        <v/>
      </c>
      <c r="K110">
        <f>IF(ISNUMBER(B110),INT(B110),0)</f>
        <v/>
      </c>
      <c r="L110">
        <f>IF(AND(ISNUMBER(D110),N(D110)&gt;0),K110,0)</f>
        <v/>
      </c>
    </row>
    <row r="111">
      <c r="A111" s="1" t="n"/>
      <c r="B111" s="21" t="n">
        <v>46270</v>
      </c>
      <c r="C111" s="22" t="inlineStr">
        <is>
          <t>Peter Olsen</t>
        </is>
      </c>
      <c r="D111" s="46" t="n">
        <v>2</v>
      </c>
      <c r="E111" s="25" t="inlineStr">
        <is>
          <t>Sorting day</t>
        </is>
      </c>
      <c r="F111" s="25" t="n"/>
      <c r="G111" s="17">
        <f>IF(AND(C111="",D111=""),"",IF(NOT(ISNUMBER(B111)),"Needs a date",IF(AND(D111&lt;&gt;"",NOT(ISNUMBER(D111))),"Hours not a number",IF(N(D111)&lt;=0,"Needs the hours",IF(C111="","Needs a name",IF(COUNTIF(Volunteers!$B$6:$B$105,C111)=0,"Not on Volunteers",""))))))</f>
        <v/>
      </c>
      <c r="H111" s="1" t="n"/>
      <c r="I111">
        <f>IF(ISNUMBER(B111),YEAR(B111),"")</f>
        <v/>
      </c>
      <c r="J111">
        <f>IF(ISNUMBER(B111),YEAR(B111)*100+MONTH(B111),"")</f>
        <v/>
      </c>
      <c r="K111">
        <f>IF(ISNUMBER(B111),INT(B111),0)</f>
        <v/>
      </c>
      <c r="L111">
        <f>IF(AND(ISNUMBER(D111),N(D111)&gt;0),K111,0)</f>
        <v/>
      </c>
    </row>
    <row r="112">
      <c r="A112" s="1" t="n"/>
      <c r="B112" s="21" t="n">
        <v>46270</v>
      </c>
      <c r="C112" s="22" t="inlineStr">
        <is>
          <t>Nadia Karim</t>
        </is>
      </c>
      <c r="D112" s="46" t="n">
        <v>4</v>
      </c>
      <c r="E112" s="25" t="inlineStr">
        <is>
          <t>Front desk</t>
        </is>
      </c>
      <c r="F112" s="25" t="n"/>
      <c r="G112" s="17">
        <f>IF(AND(C112="",D112=""),"",IF(NOT(ISNUMBER(B112)),"Needs a date",IF(AND(D112&lt;&gt;"",NOT(ISNUMBER(D112))),"Hours not a number",IF(N(D112)&lt;=0,"Needs the hours",IF(C112="","Needs a name",IF(COUNTIF(Volunteers!$B$6:$B$105,C112)=0,"Not on Volunteers",""))))))</f>
        <v/>
      </c>
      <c r="H112" s="1" t="n"/>
      <c r="I112">
        <f>IF(ISNUMBER(B112),YEAR(B112),"")</f>
        <v/>
      </c>
      <c r="J112">
        <f>IF(ISNUMBER(B112),YEAR(B112)*100+MONTH(B112),"")</f>
        <v/>
      </c>
      <c r="K112">
        <f>IF(ISNUMBER(B112),INT(B112),0)</f>
        <v/>
      </c>
      <c r="L112">
        <f>IF(AND(ISNUMBER(D112),N(D112)&gt;0),K112,0)</f>
        <v/>
      </c>
    </row>
    <row r="113">
      <c r="A113" s="1" t="n"/>
      <c r="B113" s="21" t="n">
        <v>46270</v>
      </c>
      <c r="C113" s="22" t="inlineStr">
        <is>
          <t>Beth Morgan</t>
        </is>
      </c>
      <c r="D113" s="46" t="n">
        <v>2</v>
      </c>
      <c r="E113" s="25" t="inlineStr">
        <is>
          <t>Saturday market</t>
        </is>
      </c>
      <c r="F113" s="25" t="n"/>
      <c r="G113" s="17">
        <f>IF(AND(C113="",D113=""),"",IF(NOT(ISNUMBER(B113)),"Needs a date",IF(AND(D113&lt;&gt;"",NOT(ISNUMBER(D113))),"Hours not a number",IF(N(D113)&lt;=0,"Needs the hours",IF(C113="","Needs a name",IF(COUNTIF(Volunteers!$B$6:$B$105,C113)=0,"Not on Volunteers",""))))))</f>
        <v/>
      </c>
      <c r="H113" s="1" t="n"/>
      <c r="I113">
        <f>IF(ISNUMBER(B113),YEAR(B113),"")</f>
        <v/>
      </c>
      <c r="J113">
        <f>IF(ISNUMBER(B113),YEAR(B113)*100+MONTH(B113),"")</f>
        <v/>
      </c>
      <c r="K113">
        <f>IF(ISNUMBER(B113),INT(B113),0)</f>
        <v/>
      </c>
      <c r="L113">
        <f>IF(AND(ISNUMBER(D113),N(D113)&gt;0),K113,0)</f>
        <v/>
      </c>
    </row>
    <row r="114">
      <c r="A114" s="1" t="n"/>
      <c r="B114" s="21" t="n">
        <v>46270</v>
      </c>
      <c r="C114" s="22" t="inlineStr">
        <is>
          <t>Olga Novak</t>
        </is>
      </c>
      <c r="D114" s="46" t="n">
        <v>2.5</v>
      </c>
      <c r="E114" s="25" t="inlineStr">
        <is>
          <t>Saturday market</t>
        </is>
      </c>
      <c r="F114" s="25" t="n"/>
      <c r="G114" s="17">
        <f>IF(AND(C114="",D114=""),"",IF(NOT(ISNUMBER(B114)),"Needs a date",IF(AND(D114&lt;&gt;"",NOT(ISNUMBER(D114))),"Hours not a number",IF(N(D114)&lt;=0,"Needs the hours",IF(C114="","Needs a name",IF(COUNTIF(Volunteers!$B$6:$B$105,C114)=0,"Not on Volunteers",""))))))</f>
        <v/>
      </c>
      <c r="H114" s="1" t="n"/>
      <c r="I114">
        <f>IF(ISNUMBER(B114),YEAR(B114),"")</f>
        <v/>
      </c>
      <c r="J114">
        <f>IF(ISNUMBER(B114),YEAR(B114)*100+MONTH(B114),"")</f>
        <v/>
      </c>
      <c r="K114">
        <f>IF(ISNUMBER(B114),INT(B114),0)</f>
        <v/>
      </c>
      <c r="L114">
        <f>IF(AND(ISNUMBER(D114),N(D114)&gt;0),K114,0)</f>
        <v/>
      </c>
    </row>
    <row r="115">
      <c r="A115" s="1" t="n"/>
      <c r="B115" s="21" t="n">
        <v>46277</v>
      </c>
      <c r="C115" s="22" t="inlineStr">
        <is>
          <t>Mark Evans</t>
        </is>
      </c>
      <c r="D115" s="46" t="n">
        <v>3</v>
      </c>
      <c r="E115" s="25" t="inlineStr">
        <is>
          <t>Front desk</t>
        </is>
      </c>
      <c r="F115" s="25" t="n"/>
      <c r="G115" s="17">
        <f>IF(AND(C115="",D115=""),"",IF(NOT(ISNUMBER(B115)),"Needs a date",IF(AND(D115&lt;&gt;"",NOT(ISNUMBER(D115))),"Hours not a number",IF(N(D115)&lt;=0,"Needs the hours",IF(C115="","Needs a name",IF(COUNTIF(Volunteers!$B$6:$B$105,C115)=0,"Not on Volunteers",""))))))</f>
        <v/>
      </c>
      <c r="H115" s="1" t="n"/>
      <c r="I115">
        <f>IF(ISNUMBER(B115),YEAR(B115),"")</f>
        <v/>
      </c>
      <c r="J115">
        <f>IF(ISNUMBER(B115),YEAR(B115)*100+MONTH(B115),"")</f>
        <v/>
      </c>
      <c r="K115">
        <f>IF(ISNUMBER(B115),INT(B115),0)</f>
        <v/>
      </c>
      <c r="L115">
        <f>IF(AND(ISNUMBER(D115),N(D115)&gt;0),K115,0)</f>
        <v/>
      </c>
    </row>
    <row r="116">
      <c r="A116" s="1" t="n"/>
      <c r="B116" s="21" t="n">
        <v>46277</v>
      </c>
      <c r="C116" s="22" t="inlineStr">
        <is>
          <t>Lucy Chen</t>
        </is>
      </c>
      <c r="D116" s="46" t="n">
        <v>2</v>
      </c>
      <c r="E116" s="25" t="inlineStr">
        <is>
          <t>Saturday market</t>
        </is>
      </c>
      <c r="F116" s="25" t="n"/>
      <c r="G116" s="17">
        <f>IF(AND(C116="",D116=""),"",IF(NOT(ISNUMBER(B116)),"Needs a date",IF(AND(D116&lt;&gt;"",NOT(ISNUMBER(D116))),"Hours not a number",IF(N(D116)&lt;=0,"Needs the hours",IF(C116="","Needs a name",IF(COUNTIF(Volunteers!$B$6:$B$105,C116)=0,"Not on Volunteers",""))))))</f>
        <v/>
      </c>
      <c r="H116" s="1" t="n"/>
      <c r="I116">
        <f>IF(ISNUMBER(B116),YEAR(B116),"")</f>
        <v/>
      </c>
      <c r="J116">
        <f>IF(ISNUMBER(B116),YEAR(B116)*100+MONTH(B116),"")</f>
        <v/>
      </c>
      <c r="K116">
        <f>IF(ISNUMBER(B116),INT(B116),0)</f>
        <v/>
      </c>
      <c r="L116">
        <f>IF(AND(ISNUMBER(D116),N(D116)&gt;0),K116,0)</f>
        <v/>
      </c>
    </row>
    <row r="117">
      <c r="A117" s="1" t="n"/>
      <c r="B117" s="21" t="n">
        <v>46277</v>
      </c>
      <c r="C117" s="22" t="inlineStr">
        <is>
          <t>Peter Olsen</t>
        </is>
      </c>
      <c r="D117" s="46" t="n">
        <v>2.5</v>
      </c>
      <c r="E117" s="25" t="inlineStr">
        <is>
          <t>Sorting day</t>
        </is>
      </c>
      <c r="F117" s="25" t="n"/>
      <c r="G117" s="17">
        <f>IF(AND(C117="",D117=""),"",IF(NOT(ISNUMBER(B117)),"Needs a date",IF(AND(D117&lt;&gt;"",NOT(ISNUMBER(D117))),"Hours not a number",IF(N(D117)&lt;=0,"Needs the hours",IF(C117="","Needs a name",IF(COUNTIF(Volunteers!$B$6:$B$105,C117)=0,"Not on Volunteers",""))))))</f>
        <v/>
      </c>
      <c r="H117" s="1" t="n"/>
      <c r="I117">
        <f>IF(ISNUMBER(B117),YEAR(B117),"")</f>
        <v/>
      </c>
      <c r="J117">
        <f>IF(ISNUMBER(B117),YEAR(B117)*100+MONTH(B117),"")</f>
        <v/>
      </c>
      <c r="K117">
        <f>IF(ISNUMBER(B117),INT(B117),0)</f>
        <v/>
      </c>
      <c r="L117">
        <f>IF(AND(ISNUMBER(D117),N(D117)&gt;0),K117,0)</f>
        <v/>
      </c>
    </row>
    <row r="118">
      <c r="A118" s="1" t="n"/>
      <c r="B118" s="21" t="n">
        <v>46277</v>
      </c>
      <c r="C118" s="22" t="inlineStr">
        <is>
          <t>Nadia Karim</t>
        </is>
      </c>
      <c r="D118" s="46" t="n">
        <v>3</v>
      </c>
      <c r="E118" s="25" t="inlineStr">
        <is>
          <t>Sorting day</t>
        </is>
      </c>
      <c r="F118" s="25" t="n"/>
      <c r="G118" s="17">
        <f>IF(AND(C118="",D118=""),"",IF(NOT(ISNUMBER(B118)),"Needs a date",IF(AND(D118&lt;&gt;"",NOT(ISNUMBER(D118))),"Hours not a number",IF(N(D118)&lt;=0,"Needs the hours",IF(C118="","Needs a name",IF(COUNTIF(Volunteers!$B$6:$B$105,C118)=0,"Not on Volunteers",""))))))</f>
        <v/>
      </c>
      <c r="H118" s="1" t="n"/>
      <c r="I118">
        <f>IF(ISNUMBER(B118),YEAR(B118),"")</f>
        <v/>
      </c>
      <c r="J118">
        <f>IF(ISNUMBER(B118),YEAR(B118)*100+MONTH(B118),"")</f>
        <v/>
      </c>
      <c r="K118">
        <f>IF(ISNUMBER(B118),INT(B118),0)</f>
        <v/>
      </c>
      <c r="L118">
        <f>IF(AND(ISNUMBER(D118),N(D118)&gt;0),K118,0)</f>
        <v/>
      </c>
    </row>
    <row r="119">
      <c r="A119" s="1" t="n"/>
      <c r="B119" s="21" t="n">
        <v>46277</v>
      </c>
      <c r="C119" s="22" t="inlineStr">
        <is>
          <t>Sam Reid</t>
        </is>
      </c>
      <c r="D119" s="46" t="n">
        <v>2</v>
      </c>
      <c r="E119" s="25" t="inlineStr">
        <is>
          <t>Deliveries</t>
        </is>
      </c>
      <c r="F119" s="25" t="n"/>
      <c r="G119" s="17">
        <f>IF(AND(C119="",D119=""),"",IF(NOT(ISNUMBER(B119)),"Needs a date",IF(AND(D119&lt;&gt;"",NOT(ISNUMBER(D119))),"Hours not a number",IF(N(D119)&lt;=0,"Needs the hours",IF(C119="","Needs a name",IF(COUNTIF(Volunteers!$B$6:$B$105,C119)=0,"Not on Volunteers",""))))))</f>
        <v/>
      </c>
      <c r="H119" s="1" t="n"/>
      <c r="I119">
        <f>IF(ISNUMBER(B119),YEAR(B119),"")</f>
        <v/>
      </c>
      <c r="J119">
        <f>IF(ISNUMBER(B119),YEAR(B119)*100+MONTH(B119),"")</f>
        <v/>
      </c>
      <c r="K119">
        <f>IF(ISNUMBER(B119),INT(B119),0)</f>
        <v/>
      </c>
      <c r="L119">
        <f>IF(AND(ISNUMBER(D119),N(D119)&gt;0),K119,0)</f>
        <v/>
      </c>
    </row>
    <row r="120">
      <c r="A120" s="1" t="n"/>
      <c r="B120" s="21" t="n">
        <v>46284</v>
      </c>
      <c r="C120" s="22" t="inlineStr">
        <is>
          <t>Joe Ward</t>
        </is>
      </c>
      <c r="D120" s="46" t="n">
        <v>2.5</v>
      </c>
      <c r="E120" s="25" t="inlineStr">
        <is>
          <t>Deliveries</t>
        </is>
      </c>
      <c r="F120" s="25" t="n"/>
      <c r="G120" s="17">
        <f>IF(AND(C120="",D120=""),"",IF(NOT(ISNUMBER(B120)),"Needs a date",IF(AND(D120&lt;&gt;"",NOT(ISNUMBER(D120))),"Hours not a number",IF(N(D120)&lt;=0,"Needs the hours",IF(C120="","Needs a name",IF(COUNTIF(Volunteers!$B$6:$B$105,C120)=0,"Not on Volunteers",""))))))</f>
        <v/>
      </c>
      <c r="H120" s="1" t="n"/>
      <c r="I120">
        <f>IF(ISNUMBER(B120),YEAR(B120),"")</f>
        <v/>
      </c>
      <c r="J120">
        <f>IF(ISNUMBER(B120),YEAR(B120)*100+MONTH(B120),"")</f>
        <v/>
      </c>
      <c r="K120">
        <f>IF(ISNUMBER(B120),INT(B120),0)</f>
        <v/>
      </c>
      <c r="L120">
        <f>IF(AND(ISNUMBER(D120),N(D120)&gt;0),K120,0)</f>
        <v/>
      </c>
    </row>
    <row r="121">
      <c r="A121" s="1" t="n"/>
      <c r="B121" s="21" t="n">
        <v>46284</v>
      </c>
      <c r="C121" s="22" t="inlineStr">
        <is>
          <t>Beth Morgan</t>
        </is>
      </c>
      <c r="D121" s="46" t="n">
        <v>2</v>
      </c>
      <c r="E121" s="25" t="inlineStr">
        <is>
          <t>Saturday market</t>
        </is>
      </c>
      <c r="F121" s="25" t="n"/>
      <c r="G121" s="17">
        <f>IF(AND(C121="",D121=""),"",IF(NOT(ISNUMBER(B121)),"Needs a date",IF(AND(D121&lt;&gt;"",NOT(ISNUMBER(D121))),"Hours not a number",IF(N(D121)&lt;=0,"Needs the hours",IF(C121="","Needs a name",IF(COUNTIF(Volunteers!$B$6:$B$105,C121)=0,"Not on Volunteers",""))))))</f>
        <v/>
      </c>
      <c r="H121" s="1" t="n"/>
      <c r="I121">
        <f>IF(ISNUMBER(B121),YEAR(B121),"")</f>
        <v/>
      </c>
      <c r="J121">
        <f>IF(ISNUMBER(B121),YEAR(B121)*100+MONTH(B121),"")</f>
        <v/>
      </c>
      <c r="K121">
        <f>IF(ISNUMBER(B121),INT(B121),0)</f>
        <v/>
      </c>
      <c r="L121">
        <f>IF(AND(ISNUMBER(D121),N(D121)&gt;0),K121,0)</f>
        <v/>
      </c>
    </row>
    <row r="122">
      <c r="A122" s="1" t="n"/>
      <c r="B122" s="21" t="n">
        <v>46284</v>
      </c>
      <c r="C122" s="22" t="inlineStr">
        <is>
          <t>Olga Novak</t>
        </is>
      </c>
      <c r="D122" s="46" t="n">
        <v>3</v>
      </c>
      <c r="E122" s="25" t="inlineStr">
        <is>
          <t>Sorting day</t>
        </is>
      </c>
      <c r="F122" s="25" t="n"/>
      <c r="G122" s="17">
        <f>IF(AND(C122="",D122=""),"",IF(NOT(ISNUMBER(B122)),"Needs a date",IF(AND(D122&lt;&gt;"",NOT(ISNUMBER(D122))),"Hours not a number",IF(N(D122)&lt;=0,"Needs the hours",IF(C122="","Needs a name",IF(COUNTIF(Volunteers!$B$6:$B$105,C122)=0,"Not on Volunteers",""))))))</f>
        <v/>
      </c>
      <c r="H122" s="1" t="n"/>
      <c r="I122">
        <f>IF(ISNUMBER(B122),YEAR(B122),"")</f>
        <v/>
      </c>
      <c r="J122">
        <f>IF(ISNUMBER(B122),YEAR(B122)*100+MONTH(B122),"")</f>
        <v/>
      </c>
      <c r="K122">
        <f>IF(ISNUMBER(B122),INT(B122),0)</f>
        <v/>
      </c>
      <c r="L122">
        <f>IF(AND(ISNUMBER(D122),N(D122)&gt;0),K122,0)</f>
        <v/>
      </c>
    </row>
    <row r="123">
      <c r="A123" s="1" t="n"/>
      <c r="B123" s="21" t="n">
        <v>46291</v>
      </c>
      <c r="C123" s="22" t="inlineStr">
        <is>
          <t>Lucy Chen</t>
        </is>
      </c>
      <c r="D123" s="46" t="n">
        <v>2.5</v>
      </c>
      <c r="E123" s="25" t="inlineStr">
        <is>
          <t>Front desk</t>
        </is>
      </c>
      <c r="F123" s="25" t="n"/>
      <c r="G123" s="17">
        <f>IF(AND(C123="",D123=""),"",IF(NOT(ISNUMBER(B123)),"Needs a date",IF(AND(D123&lt;&gt;"",NOT(ISNUMBER(D123))),"Hours not a number",IF(N(D123)&lt;=0,"Needs the hours",IF(C123="","Needs a name",IF(COUNTIF(Volunteers!$B$6:$B$105,C123)=0,"Not on Volunteers",""))))))</f>
        <v/>
      </c>
      <c r="H123" s="1" t="n"/>
      <c r="I123">
        <f>IF(ISNUMBER(B123),YEAR(B123),"")</f>
        <v/>
      </c>
      <c r="J123">
        <f>IF(ISNUMBER(B123),YEAR(B123)*100+MONTH(B123),"")</f>
        <v/>
      </c>
      <c r="K123">
        <f>IF(ISNUMBER(B123),INT(B123),0)</f>
        <v/>
      </c>
      <c r="L123">
        <f>IF(AND(ISNUMBER(D123),N(D123)&gt;0),K123,0)</f>
        <v/>
      </c>
    </row>
    <row r="124">
      <c r="A124" s="1" t="n"/>
      <c r="B124" s="21" t="n"/>
      <c r="C124" s="22" t="n"/>
      <c r="D124" s="46" t="n"/>
      <c r="E124" s="25" t="n"/>
      <c r="F124" s="25" t="n"/>
      <c r="G124" s="17">
        <f>IF(AND(C124="",D124=""),"",IF(NOT(ISNUMBER(B124)),"Needs a date",IF(AND(D124&lt;&gt;"",NOT(ISNUMBER(D124))),"Hours not a number",IF(N(D124)&lt;=0,"Needs the hours",IF(C124="","Needs a name",IF(COUNTIF(Volunteers!$B$6:$B$105,C124)=0,"Not on Volunteers",""))))))</f>
        <v/>
      </c>
      <c r="H124" s="1" t="n"/>
      <c r="I124">
        <f>IF(ISNUMBER(B124),YEAR(B124),"")</f>
        <v/>
      </c>
      <c r="J124">
        <f>IF(ISNUMBER(B124),YEAR(B124)*100+MONTH(B124),"")</f>
        <v/>
      </c>
      <c r="K124">
        <f>IF(ISNUMBER(B124),INT(B124),0)</f>
        <v/>
      </c>
      <c r="L124">
        <f>IF(AND(ISNUMBER(D124),N(D124)&gt;0),K124,0)</f>
        <v/>
      </c>
    </row>
    <row r="125">
      <c r="A125" s="1" t="n"/>
      <c r="B125" s="21" t="n"/>
      <c r="C125" s="22" t="n"/>
      <c r="D125" s="46" t="n"/>
      <c r="E125" s="25" t="n"/>
      <c r="F125" s="25" t="n"/>
      <c r="G125" s="17">
        <f>IF(AND(C125="",D125=""),"",IF(NOT(ISNUMBER(B125)),"Needs a date",IF(AND(D125&lt;&gt;"",NOT(ISNUMBER(D125))),"Hours not a number",IF(N(D125)&lt;=0,"Needs the hours",IF(C125="","Needs a name",IF(COUNTIF(Volunteers!$B$6:$B$105,C125)=0,"Not on Volunteers",""))))))</f>
        <v/>
      </c>
      <c r="H125" s="1" t="n"/>
      <c r="I125">
        <f>IF(ISNUMBER(B125),YEAR(B125),"")</f>
        <v/>
      </c>
      <c r="J125">
        <f>IF(ISNUMBER(B125),YEAR(B125)*100+MONTH(B125),"")</f>
        <v/>
      </c>
      <c r="K125">
        <f>IF(ISNUMBER(B125),INT(B125),0)</f>
        <v/>
      </c>
      <c r="L125">
        <f>IF(AND(ISNUMBER(D125),N(D125)&gt;0),K125,0)</f>
        <v/>
      </c>
    </row>
    <row r="126">
      <c r="A126" s="1" t="n"/>
      <c r="B126" s="21" t="n"/>
      <c r="C126" s="22" t="n"/>
      <c r="D126" s="46" t="n"/>
      <c r="E126" s="25" t="n"/>
      <c r="F126" s="25" t="n"/>
      <c r="G126" s="17">
        <f>IF(AND(C126="",D126=""),"",IF(NOT(ISNUMBER(B126)),"Needs a date",IF(AND(D126&lt;&gt;"",NOT(ISNUMBER(D126))),"Hours not a number",IF(N(D126)&lt;=0,"Needs the hours",IF(C126="","Needs a name",IF(COUNTIF(Volunteers!$B$6:$B$105,C126)=0,"Not on Volunteers",""))))))</f>
        <v/>
      </c>
      <c r="H126" s="1" t="n"/>
      <c r="I126">
        <f>IF(ISNUMBER(B126),YEAR(B126),"")</f>
        <v/>
      </c>
      <c r="J126">
        <f>IF(ISNUMBER(B126),YEAR(B126)*100+MONTH(B126),"")</f>
        <v/>
      </c>
      <c r="K126">
        <f>IF(ISNUMBER(B126),INT(B126),0)</f>
        <v/>
      </c>
      <c r="L126">
        <f>IF(AND(ISNUMBER(D126),N(D126)&gt;0),K126,0)</f>
        <v/>
      </c>
    </row>
    <row r="127">
      <c r="A127" s="1" t="n"/>
      <c r="B127" s="21" t="n"/>
      <c r="C127" s="22" t="n"/>
      <c r="D127" s="46" t="n"/>
      <c r="E127" s="25" t="n"/>
      <c r="F127" s="25" t="n"/>
      <c r="G127" s="17">
        <f>IF(AND(C127="",D127=""),"",IF(NOT(ISNUMBER(B127)),"Needs a date",IF(AND(D127&lt;&gt;"",NOT(ISNUMBER(D127))),"Hours not a number",IF(N(D127)&lt;=0,"Needs the hours",IF(C127="","Needs a name",IF(COUNTIF(Volunteers!$B$6:$B$105,C127)=0,"Not on Volunteers",""))))))</f>
        <v/>
      </c>
      <c r="H127" s="1" t="n"/>
      <c r="I127">
        <f>IF(ISNUMBER(B127),YEAR(B127),"")</f>
        <v/>
      </c>
      <c r="J127">
        <f>IF(ISNUMBER(B127),YEAR(B127)*100+MONTH(B127),"")</f>
        <v/>
      </c>
      <c r="K127">
        <f>IF(ISNUMBER(B127),INT(B127),0)</f>
        <v/>
      </c>
      <c r="L127">
        <f>IF(AND(ISNUMBER(D127),N(D127)&gt;0),K127,0)</f>
        <v/>
      </c>
    </row>
    <row r="128">
      <c r="A128" s="1" t="n"/>
      <c r="B128" s="21" t="n"/>
      <c r="C128" s="22" t="n"/>
      <c r="D128" s="46" t="n"/>
      <c r="E128" s="25" t="n"/>
      <c r="F128" s="25" t="n"/>
      <c r="G128" s="17">
        <f>IF(AND(C128="",D128=""),"",IF(NOT(ISNUMBER(B128)),"Needs a date",IF(AND(D128&lt;&gt;"",NOT(ISNUMBER(D128))),"Hours not a number",IF(N(D128)&lt;=0,"Needs the hours",IF(C128="","Needs a name",IF(COUNTIF(Volunteers!$B$6:$B$105,C128)=0,"Not on Volunteers",""))))))</f>
        <v/>
      </c>
      <c r="H128" s="1" t="n"/>
      <c r="I128">
        <f>IF(ISNUMBER(B128),YEAR(B128),"")</f>
        <v/>
      </c>
      <c r="J128">
        <f>IF(ISNUMBER(B128),YEAR(B128)*100+MONTH(B128),"")</f>
        <v/>
      </c>
      <c r="K128">
        <f>IF(ISNUMBER(B128),INT(B128),0)</f>
        <v/>
      </c>
      <c r="L128">
        <f>IF(AND(ISNUMBER(D128),N(D128)&gt;0),K128,0)</f>
        <v/>
      </c>
    </row>
    <row r="129">
      <c r="A129" s="1" t="n"/>
      <c r="B129" s="21" t="n"/>
      <c r="C129" s="22" t="n"/>
      <c r="D129" s="46" t="n"/>
      <c r="E129" s="25" t="n"/>
      <c r="F129" s="25" t="n"/>
      <c r="G129" s="17">
        <f>IF(AND(C129="",D129=""),"",IF(NOT(ISNUMBER(B129)),"Needs a date",IF(AND(D129&lt;&gt;"",NOT(ISNUMBER(D129))),"Hours not a number",IF(N(D129)&lt;=0,"Needs the hours",IF(C129="","Needs a name",IF(COUNTIF(Volunteers!$B$6:$B$105,C129)=0,"Not on Volunteers",""))))))</f>
        <v/>
      </c>
      <c r="H129" s="1" t="n"/>
      <c r="I129">
        <f>IF(ISNUMBER(B129),YEAR(B129),"")</f>
        <v/>
      </c>
      <c r="J129">
        <f>IF(ISNUMBER(B129),YEAR(B129)*100+MONTH(B129),"")</f>
        <v/>
      </c>
      <c r="K129">
        <f>IF(ISNUMBER(B129),INT(B129),0)</f>
        <v/>
      </c>
      <c r="L129">
        <f>IF(AND(ISNUMBER(D129),N(D129)&gt;0),K129,0)</f>
        <v/>
      </c>
    </row>
    <row r="130">
      <c r="A130" s="1" t="n"/>
      <c r="B130" s="21" t="n"/>
      <c r="C130" s="22" t="n"/>
      <c r="D130" s="46" t="n"/>
      <c r="E130" s="25" t="n"/>
      <c r="F130" s="25" t="n"/>
      <c r="G130" s="17">
        <f>IF(AND(C130="",D130=""),"",IF(NOT(ISNUMBER(B130)),"Needs a date",IF(AND(D130&lt;&gt;"",NOT(ISNUMBER(D130))),"Hours not a number",IF(N(D130)&lt;=0,"Needs the hours",IF(C130="","Needs a name",IF(COUNTIF(Volunteers!$B$6:$B$105,C130)=0,"Not on Volunteers",""))))))</f>
        <v/>
      </c>
      <c r="H130" s="1" t="n"/>
      <c r="I130">
        <f>IF(ISNUMBER(B130),YEAR(B130),"")</f>
        <v/>
      </c>
      <c r="J130">
        <f>IF(ISNUMBER(B130),YEAR(B130)*100+MONTH(B130),"")</f>
        <v/>
      </c>
      <c r="K130">
        <f>IF(ISNUMBER(B130),INT(B130),0)</f>
        <v/>
      </c>
      <c r="L130">
        <f>IF(AND(ISNUMBER(D130),N(D130)&gt;0),K130,0)</f>
        <v/>
      </c>
    </row>
    <row r="131">
      <c r="A131" s="1" t="n"/>
      <c r="B131" s="21" t="n"/>
      <c r="C131" s="22" t="n"/>
      <c r="D131" s="46" t="n"/>
      <c r="E131" s="25" t="n"/>
      <c r="F131" s="25" t="n"/>
      <c r="G131" s="17">
        <f>IF(AND(C131="",D131=""),"",IF(NOT(ISNUMBER(B131)),"Needs a date",IF(AND(D131&lt;&gt;"",NOT(ISNUMBER(D131))),"Hours not a number",IF(N(D131)&lt;=0,"Needs the hours",IF(C131="","Needs a name",IF(COUNTIF(Volunteers!$B$6:$B$105,C131)=0,"Not on Volunteers",""))))))</f>
        <v/>
      </c>
      <c r="H131" s="1" t="n"/>
      <c r="I131">
        <f>IF(ISNUMBER(B131),YEAR(B131),"")</f>
        <v/>
      </c>
      <c r="J131">
        <f>IF(ISNUMBER(B131),YEAR(B131)*100+MONTH(B131),"")</f>
        <v/>
      </c>
      <c r="K131">
        <f>IF(ISNUMBER(B131),INT(B131),0)</f>
        <v/>
      </c>
      <c r="L131">
        <f>IF(AND(ISNUMBER(D131),N(D131)&gt;0),K131,0)</f>
        <v/>
      </c>
    </row>
    <row r="132">
      <c r="A132" s="1" t="n"/>
      <c r="B132" s="21" t="n"/>
      <c r="C132" s="22" t="n"/>
      <c r="D132" s="46" t="n"/>
      <c r="E132" s="25" t="n"/>
      <c r="F132" s="25" t="n"/>
      <c r="G132" s="17">
        <f>IF(AND(C132="",D132=""),"",IF(NOT(ISNUMBER(B132)),"Needs a date",IF(AND(D132&lt;&gt;"",NOT(ISNUMBER(D132))),"Hours not a number",IF(N(D132)&lt;=0,"Needs the hours",IF(C132="","Needs a name",IF(COUNTIF(Volunteers!$B$6:$B$105,C132)=0,"Not on Volunteers",""))))))</f>
        <v/>
      </c>
      <c r="H132" s="1" t="n"/>
      <c r="I132">
        <f>IF(ISNUMBER(B132),YEAR(B132),"")</f>
        <v/>
      </c>
      <c r="J132">
        <f>IF(ISNUMBER(B132),YEAR(B132)*100+MONTH(B132),"")</f>
        <v/>
      </c>
      <c r="K132">
        <f>IF(ISNUMBER(B132),INT(B132),0)</f>
        <v/>
      </c>
      <c r="L132">
        <f>IF(AND(ISNUMBER(D132),N(D132)&gt;0),K132,0)</f>
        <v/>
      </c>
    </row>
    <row r="133">
      <c r="A133" s="1" t="n"/>
      <c r="B133" s="21" t="n"/>
      <c r="C133" s="22" t="n"/>
      <c r="D133" s="46" t="n"/>
      <c r="E133" s="25" t="n"/>
      <c r="F133" s="25" t="n"/>
      <c r="G133" s="17">
        <f>IF(AND(C133="",D133=""),"",IF(NOT(ISNUMBER(B133)),"Needs a date",IF(AND(D133&lt;&gt;"",NOT(ISNUMBER(D133))),"Hours not a number",IF(N(D133)&lt;=0,"Needs the hours",IF(C133="","Needs a name",IF(COUNTIF(Volunteers!$B$6:$B$105,C133)=0,"Not on Volunteers",""))))))</f>
        <v/>
      </c>
      <c r="H133" s="1" t="n"/>
      <c r="I133">
        <f>IF(ISNUMBER(B133),YEAR(B133),"")</f>
        <v/>
      </c>
      <c r="J133">
        <f>IF(ISNUMBER(B133),YEAR(B133)*100+MONTH(B133),"")</f>
        <v/>
      </c>
      <c r="K133">
        <f>IF(ISNUMBER(B133),INT(B133),0)</f>
        <v/>
      </c>
      <c r="L133">
        <f>IF(AND(ISNUMBER(D133),N(D133)&gt;0),K133,0)</f>
        <v/>
      </c>
    </row>
    <row r="134">
      <c r="A134" s="1" t="n"/>
      <c r="B134" s="21" t="n"/>
      <c r="C134" s="22" t="n"/>
      <c r="D134" s="46" t="n"/>
      <c r="E134" s="25" t="n"/>
      <c r="F134" s="25" t="n"/>
      <c r="G134" s="17">
        <f>IF(AND(C134="",D134=""),"",IF(NOT(ISNUMBER(B134)),"Needs a date",IF(AND(D134&lt;&gt;"",NOT(ISNUMBER(D134))),"Hours not a number",IF(N(D134)&lt;=0,"Needs the hours",IF(C134="","Needs a name",IF(COUNTIF(Volunteers!$B$6:$B$105,C134)=0,"Not on Volunteers",""))))))</f>
        <v/>
      </c>
      <c r="H134" s="1" t="n"/>
      <c r="I134">
        <f>IF(ISNUMBER(B134),YEAR(B134),"")</f>
        <v/>
      </c>
      <c r="J134">
        <f>IF(ISNUMBER(B134),YEAR(B134)*100+MONTH(B134),"")</f>
        <v/>
      </c>
      <c r="K134">
        <f>IF(ISNUMBER(B134),INT(B134),0)</f>
        <v/>
      </c>
      <c r="L134">
        <f>IF(AND(ISNUMBER(D134),N(D134)&gt;0),K134,0)</f>
        <v/>
      </c>
    </row>
    <row r="135">
      <c r="A135" s="1" t="n"/>
      <c r="B135" s="21" t="n"/>
      <c r="C135" s="22" t="n"/>
      <c r="D135" s="46" t="n"/>
      <c r="E135" s="25" t="n"/>
      <c r="F135" s="25" t="n"/>
      <c r="G135" s="17">
        <f>IF(AND(C135="",D135=""),"",IF(NOT(ISNUMBER(B135)),"Needs a date",IF(AND(D135&lt;&gt;"",NOT(ISNUMBER(D135))),"Hours not a number",IF(N(D135)&lt;=0,"Needs the hours",IF(C135="","Needs a name",IF(COUNTIF(Volunteers!$B$6:$B$105,C135)=0,"Not on Volunteers",""))))))</f>
        <v/>
      </c>
      <c r="H135" s="1" t="n"/>
      <c r="I135">
        <f>IF(ISNUMBER(B135),YEAR(B135),"")</f>
        <v/>
      </c>
      <c r="J135">
        <f>IF(ISNUMBER(B135),YEAR(B135)*100+MONTH(B135),"")</f>
        <v/>
      </c>
      <c r="K135">
        <f>IF(ISNUMBER(B135),INT(B135),0)</f>
        <v/>
      </c>
      <c r="L135">
        <f>IF(AND(ISNUMBER(D135),N(D135)&gt;0),K135,0)</f>
        <v/>
      </c>
    </row>
    <row r="136">
      <c r="A136" s="1" t="n"/>
      <c r="B136" s="21" t="n"/>
      <c r="C136" s="22" t="n"/>
      <c r="D136" s="46" t="n"/>
      <c r="E136" s="25" t="n"/>
      <c r="F136" s="25" t="n"/>
      <c r="G136" s="17">
        <f>IF(AND(C136="",D136=""),"",IF(NOT(ISNUMBER(B136)),"Needs a date",IF(AND(D136&lt;&gt;"",NOT(ISNUMBER(D136))),"Hours not a number",IF(N(D136)&lt;=0,"Needs the hours",IF(C136="","Needs a name",IF(COUNTIF(Volunteers!$B$6:$B$105,C136)=0,"Not on Volunteers",""))))))</f>
        <v/>
      </c>
      <c r="H136" s="1" t="n"/>
      <c r="I136">
        <f>IF(ISNUMBER(B136),YEAR(B136),"")</f>
        <v/>
      </c>
      <c r="J136">
        <f>IF(ISNUMBER(B136),YEAR(B136)*100+MONTH(B136),"")</f>
        <v/>
      </c>
      <c r="K136">
        <f>IF(ISNUMBER(B136),INT(B136),0)</f>
        <v/>
      </c>
      <c r="L136">
        <f>IF(AND(ISNUMBER(D136),N(D136)&gt;0),K136,0)</f>
        <v/>
      </c>
    </row>
    <row r="137">
      <c r="A137" s="1" t="n"/>
      <c r="B137" s="21" t="n"/>
      <c r="C137" s="22" t="n"/>
      <c r="D137" s="46" t="n"/>
      <c r="E137" s="25" t="n"/>
      <c r="F137" s="25" t="n"/>
      <c r="G137" s="17">
        <f>IF(AND(C137="",D137=""),"",IF(NOT(ISNUMBER(B137)),"Needs a date",IF(AND(D137&lt;&gt;"",NOT(ISNUMBER(D137))),"Hours not a number",IF(N(D137)&lt;=0,"Needs the hours",IF(C137="","Needs a name",IF(COUNTIF(Volunteers!$B$6:$B$105,C137)=0,"Not on Volunteers",""))))))</f>
        <v/>
      </c>
      <c r="H137" s="1" t="n"/>
      <c r="I137">
        <f>IF(ISNUMBER(B137),YEAR(B137),"")</f>
        <v/>
      </c>
      <c r="J137">
        <f>IF(ISNUMBER(B137),YEAR(B137)*100+MONTH(B137),"")</f>
        <v/>
      </c>
      <c r="K137">
        <f>IF(ISNUMBER(B137),INT(B137),0)</f>
        <v/>
      </c>
      <c r="L137">
        <f>IF(AND(ISNUMBER(D137),N(D137)&gt;0),K137,0)</f>
        <v/>
      </c>
    </row>
    <row r="138">
      <c r="A138" s="1" t="n"/>
      <c r="B138" s="21" t="n"/>
      <c r="C138" s="22" t="n"/>
      <c r="D138" s="46" t="n"/>
      <c r="E138" s="25" t="n"/>
      <c r="F138" s="25" t="n"/>
      <c r="G138" s="17">
        <f>IF(AND(C138="",D138=""),"",IF(NOT(ISNUMBER(B138)),"Needs a date",IF(AND(D138&lt;&gt;"",NOT(ISNUMBER(D138))),"Hours not a number",IF(N(D138)&lt;=0,"Needs the hours",IF(C138="","Needs a name",IF(COUNTIF(Volunteers!$B$6:$B$105,C138)=0,"Not on Volunteers",""))))))</f>
        <v/>
      </c>
      <c r="H138" s="1" t="n"/>
      <c r="I138">
        <f>IF(ISNUMBER(B138),YEAR(B138),"")</f>
        <v/>
      </c>
      <c r="J138">
        <f>IF(ISNUMBER(B138),YEAR(B138)*100+MONTH(B138),"")</f>
        <v/>
      </c>
      <c r="K138">
        <f>IF(ISNUMBER(B138),INT(B138),0)</f>
        <v/>
      </c>
      <c r="L138">
        <f>IF(AND(ISNUMBER(D138),N(D138)&gt;0),K138,0)</f>
        <v/>
      </c>
    </row>
    <row r="139">
      <c r="A139" s="1" t="n"/>
      <c r="B139" s="21" t="n"/>
      <c r="C139" s="22" t="n"/>
      <c r="D139" s="46" t="n"/>
      <c r="E139" s="25" t="n"/>
      <c r="F139" s="25" t="n"/>
      <c r="G139" s="17">
        <f>IF(AND(C139="",D139=""),"",IF(NOT(ISNUMBER(B139)),"Needs a date",IF(AND(D139&lt;&gt;"",NOT(ISNUMBER(D139))),"Hours not a number",IF(N(D139)&lt;=0,"Needs the hours",IF(C139="","Needs a name",IF(COUNTIF(Volunteers!$B$6:$B$105,C139)=0,"Not on Volunteers",""))))))</f>
        <v/>
      </c>
      <c r="H139" s="1" t="n"/>
      <c r="I139">
        <f>IF(ISNUMBER(B139),YEAR(B139),"")</f>
        <v/>
      </c>
      <c r="J139">
        <f>IF(ISNUMBER(B139),YEAR(B139)*100+MONTH(B139),"")</f>
        <v/>
      </c>
      <c r="K139">
        <f>IF(ISNUMBER(B139),INT(B139),0)</f>
        <v/>
      </c>
      <c r="L139">
        <f>IF(AND(ISNUMBER(D139),N(D139)&gt;0),K139,0)</f>
        <v/>
      </c>
    </row>
    <row r="140">
      <c r="A140" s="1" t="n"/>
      <c r="B140" s="21" t="n"/>
      <c r="C140" s="22" t="n"/>
      <c r="D140" s="46" t="n"/>
      <c r="E140" s="25" t="n"/>
      <c r="F140" s="25" t="n"/>
      <c r="G140" s="17">
        <f>IF(AND(C140="",D140=""),"",IF(NOT(ISNUMBER(B140)),"Needs a date",IF(AND(D140&lt;&gt;"",NOT(ISNUMBER(D140))),"Hours not a number",IF(N(D140)&lt;=0,"Needs the hours",IF(C140="","Needs a name",IF(COUNTIF(Volunteers!$B$6:$B$105,C140)=0,"Not on Volunteers",""))))))</f>
        <v/>
      </c>
      <c r="H140" s="1" t="n"/>
      <c r="I140">
        <f>IF(ISNUMBER(B140),YEAR(B140),"")</f>
        <v/>
      </c>
      <c r="J140">
        <f>IF(ISNUMBER(B140),YEAR(B140)*100+MONTH(B140),"")</f>
        <v/>
      </c>
      <c r="K140">
        <f>IF(ISNUMBER(B140),INT(B140),0)</f>
        <v/>
      </c>
      <c r="L140">
        <f>IF(AND(ISNUMBER(D140),N(D140)&gt;0),K140,0)</f>
        <v/>
      </c>
    </row>
    <row r="141">
      <c r="A141" s="1" t="n"/>
      <c r="B141" s="21" t="n"/>
      <c r="C141" s="22" t="n"/>
      <c r="D141" s="46" t="n"/>
      <c r="E141" s="25" t="n"/>
      <c r="F141" s="25" t="n"/>
      <c r="G141" s="17">
        <f>IF(AND(C141="",D141=""),"",IF(NOT(ISNUMBER(B141)),"Needs a date",IF(AND(D141&lt;&gt;"",NOT(ISNUMBER(D141))),"Hours not a number",IF(N(D141)&lt;=0,"Needs the hours",IF(C141="","Needs a name",IF(COUNTIF(Volunteers!$B$6:$B$105,C141)=0,"Not on Volunteers",""))))))</f>
        <v/>
      </c>
      <c r="H141" s="1" t="n"/>
      <c r="I141">
        <f>IF(ISNUMBER(B141),YEAR(B141),"")</f>
        <v/>
      </c>
      <c r="J141">
        <f>IF(ISNUMBER(B141),YEAR(B141)*100+MONTH(B141),"")</f>
        <v/>
      </c>
      <c r="K141">
        <f>IF(ISNUMBER(B141),INT(B141),0)</f>
        <v/>
      </c>
      <c r="L141">
        <f>IF(AND(ISNUMBER(D141),N(D141)&gt;0),K141,0)</f>
        <v/>
      </c>
    </row>
    <row r="142">
      <c r="A142" s="1" t="n"/>
      <c r="B142" s="21" t="n"/>
      <c r="C142" s="22" t="n"/>
      <c r="D142" s="46" t="n"/>
      <c r="E142" s="25" t="n"/>
      <c r="F142" s="25" t="n"/>
      <c r="G142" s="17">
        <f>IF(AND(C142="",D142=""),"",IF(NOT(ISNUMBER(B142)),"Needs a date",IF(AND(D142&lt;&gt;"",NOT(ISNUMBER(D142))),"Hours not a number",IF(N(D142)&lt;=0,"Needs the hours",IF(C142="","Needs a name",IF(COUNTIF(Volunteers!$B$6:$B$105,C142)=0,"Not on Volunteers",""))))))</f>
        <v/>
      </c>
      <c r="H142" s="1" t="n"/>
      <c r="I142">
        <f>IF(ISNUMBER(B142),YEAR(B142),"")</f>
        <v/>
      </c>
      <c r="J142">
        <f>IF(ISNUMBER(B142),YEAR(B142)*100+MONTH(B142),"")</f>
        <v/>
      </c>
      <c r="K142">
        <f>IF(ISNUMBER(B142),INT(B142),0)</f>
        <v/>
      </c>
      <c r="L142">
        <f>IF(AND(ISNUMBER(D142),N(D142)&gt;0),K142,0)</f>
        <v/>
      </c>
    </row>
    <row r="143">
      <c r="A143" s="1" t="n"/>
      <c r="B143" s="21" t="n"/>
      <c r="C143" s="22" t="n"/>
      <c r="D143" s="46" t="n"/>
      <c r="E143" s="25" t="n"/>
      <c r="F143" s="25" t="n"/>
      <c r="G143" s="17">
        <f>IF(AND(C143="",D143=""),"",IF(NOT(ISNUMBER(B143)),"Needs a date",IF(AND(D143&lt;&gt;"",NOT(ISNUMBER(D143))),"Hours not a number",IF(N(D143)&lt;=0,"Needs the hours",IF(C143="","Needs a name",IF(COUNTIF(Volunteers!$B$6:$B$105,C143)=0,"Not on Volunteers",""))))))</f>
        <v/>
      </c>
      <c r="H143" s="1" t="n"/>
      <c r="I143">
        <f>IF(ISNUMBER(B143),YEAR(B143),"")</f>
        <v/>
      </c>
      <c r="J143">
        <f>IF(ISNUMBER(B143),YEAR(B143)*100+MONTH(B143),"")</f>
        <v/>
      </c>
      <c r="K143">
        <f>IF(ISNUMBER(B143),INT(B143),0)</f>
        <v/>
      </c>
      <c r="L143">
        <f>IF(AND(ISNUMBER(D143),N(D143)&gt;0),K143,0)</f>
        <v/>
      </c>
    </row>
    <row r="144">
      <c r="A144" s="1" t="n"/>
      <c r="B144" s="21" t="n"/>
      <c r="C144" s="22" t="n"/>
      <c r="D144" s="46" t="n"/>
      <c r="E144" s="25" t="n"/>
      <c r="F144" s="25" t="n"/>
      <c r="G144" s="17">
        <f>IF(AND(C144="",D144=""),"",IF(NOT(ISNUMBER(B144)),"Needs a date",IF(AND(D144&lt;&gt;"",NOT(ISNUMBER(D144))),"Hours not a number",IF(N(D144)&lt;=0,"Needs the hours",IF(C144="","Needs a name",IF(COUNTIF(Volunteers!$B$6:$B$105,C144)=0,"Not on Volunteers",""))))))</f>
        <v/>
      </c>
      <c r="H144" s="1" t="n"/>
      <c r="I144">
        <f>IF(ISNUMBER(B144),YEAR(B144),"")</f>
        <v/>
      </c>
      <c r="J144">
        <f>IF(ISNUMBER(B144),YEAR(B144)*100+MONTH(B144),"")</f>
        <v/>
      </c>
      <c r="K144">
        <f>IF(ISNUMBER(B144),INT(B144),0)</f>
        <v/>
      </c>
      <c r="L144">
        <f>IF(AND(ISNUMBER(D144),N(D144)&gt;0),K144,0)</f>
        <v/>
      </c>
    </row>
    <row r="145">
      <c r="A145" s="1" t="n"/>
      <c r="B145" s="21" t="n"/>
      <c r="C145" s="22" t="n"/>
      <c r="D145" s="46" t="n"/>
      <c r="E145" s="25" t="n"/>
      <c r="F145" s="25" t="n"/>
      <c r="G145" s="17">
        <f>IF(AND(C145="",D145=""),"",IF(NOT(ISNUMBER(B145)),"Needs a date",IF(AND(D145&lt;&gt;"",NOT(ISNUMBER(D145))),"Hours not a number",IF(N(D145)&lt;=0,"Needs the hours",IF(C145="","Needs a name",IF(COUNTIF(Volunteers!$B$6:$B$105,C145)=0,"Not on Volunteers",""))))))</f>
        <v/>
      </c>
      <c r="H145" s="1" t="n"/>
      <c r="I145">
        <f>IF(ISNUMBER(B145),YEAR(B145),"")</f>
        <v/>
      </c>
      <c r="J145">
        <f>IF(ISNUMBER(B145),YEAR(B145)*100+MONTH(B145),"")</f>
        <v/>
      </c>
      <c r="K145">
        <f>IF(ISNUMBER(B145),INT(B145),0)</f>
        <v/>
      </c>
      <c r="L145">
        <f>IF(AND(ISNUMBER(D145),N(D145)&gt;0),K145,0)</f>
        <v/>
      </c>
    </row>
    <row r="146">
      <c r="A146" s="1" t="n"/>
      <c r="B146" s="21" t="n"/>
      <c r="C146" s="22" t="n"/>
      <c r="D146" s="46" t="n"/>
      <c r="E146" s="25" t="n"/>
      <c r="F146" s="25" t="n"/>
      <c r="G146" s="17">
        <f>IF(AND(C146="",D146=""),"",IF(NOT(ISNUMBER(B146)),"Needs a date",IF(AND(D146&lt;&gt;"",NOT(ISNUMBER(D146))),"Hours not a number",IF(N(D146)&lt;=0,"Needs the hours",IF(C146="","Needs a name",IF(COUNTIF(Volunteers!$B$6:$B$105,C146)=0,"Not on Volunteers",""))))))</f>
        <v/>
      </c>
      <c r="H146" s="1" t="n"/>
      <c r="I146">
        <f>IF(ISNUMBER(B146),YEAR(B146),"")</f>
        <v/>
      </c>
      <c r="J146">
        <f>IF(ISNUMBER(B146),YEAR(B146)*100+MONTH(B146),"")</f>
        <v/>
      </c>
      <c r="K146">
        <f>IF(ISNUMBER(B146),INT(B146),0)</f>
        <v/>
      </c>
      <c r="L146">
        <f>IF(AND(ISNUMBER(D146),N(D146)&gt;0),K146,0)</f>
        <v/>
      </c>
    </row>
    <row r="147">
      <c r="A147" s="1" t="n"/>
      <c r="B147" s="21" t="n"/>
      <c r="C147" s="22" t="n"/>
      <c r="D147" s="46" t="n"/>
      <c r="E147" s="25" t="n"/>
      <c r="F147" s="25" t="n"/>
      <c r="G147" s="17">
        <f>IF(AND(C147="",D147=""),"",IF(NOT(ISNUMBER(B147)),"Needs a date",IF(AND(D147&lt;&gt;"",NOT(ISNUMBER(D147))),"Hours not a number",IF(N(D147)&lt;=0,"Needs the hours",IF(C147="","Needs a name",IF(COUNTIF(Volunteers!$B$6:$B$105,C147)=0,"Not on Volunteers",""))))))</f>
        <v/>
      </c>
      <c r="H147" s="1" t="n"/>
      <c r="I147">
        <f>IF(ISNUMBER(B147),YEAR(B147),"")</f>
        <v/>
      </c>
      <c r="J147">
        <f>IF(ISNUMBER(B147),YEAR(B147)*100+MONTH(B147),"")</f>
        <v/>
      </c>
      <c r="K147">
        <f>IF(ISNUMBER(B147),INT(B147),0)</f>
        <v/>
      </c>
      <c r="L147">
        <f>IF(AND(ISNUMBER(D147),N(D147)&gt;0),K147,0)</f>
        <v/>
      </c>
    </row>
    <row r="148">
      <c r="A148" s="1" t="n"/>
      <c r="B148" s="21" t="n"/>
      <c r="C148" s="22" t="n"/>
      <c r="D148" s="46" t="n"/>
      <c r="E148" s="25" t="n"/>
      <c r="F148" s="25" t="n"/>
      <c r="G148" s="17">
        <f>IF(AND(C148="",D148=""),"",IF(NOT(ISNUMBER(B148)),"Needs a date",IF(AND(D148&lt;&gt;"",NOT(ISNUMBER(D148))),"Hours not a number",IF(N(D148)&lt;=0,"Needs the hours",IF(C148="","Needs a name",IF(COUNTIF(Volunteers!$B$6:$B$105,C148)=0,"Not on Volunteers",""))))))</f>
        <v/>
      </c>
      <c r="H148" s="1" t="n"/>
      <c r="I148">
        <f>IF(ISNUMBER(B148),YEAR(B148),"")</f>
        <v/>
      </c>
      <c r="J148">
        <f>IF(ISNUMBER(B148),YEAR(B148)*100+MONTH(B148),"")</f>
        <v/>
      </c>
      <c r="K148">
        <f>IF(ISNUMBER(B148),INT(B148),0)</f>
        <v/>
      </c>
      <c r="L148">
        <f>IF(AND(ISNUMBER(D148),N(D148)&gt;0),K148,0)</f>
        <v/>
      </c>
    </row>
    <row r="149">
      <c r="A149" s="1" t="n"/>
      <c r="B149" s="21" t="n"/>
      <c r="C149" s="22" t="n"/>
      <c r="D149" s="46" t="n"/>
      <c r="E149" s="25" t="n"/>
      <c r="F149" s="25" t="n"/>
      <c r="G149" s="17">
        <f>IF(AND(C149="",D149=""),"",IF(NOT(ISNUMBER(B149)),"Needs a date",IF(AND(D149&lt;&gt;"",NOT(ISNUMBER(D149))),"Hours not a number",IF(N(D149)&lt;=0,"Needs the hours",IF(C149="","Needs a name",IF(COUNTIF(Volunteers!$B$6:$B$105,C149)=0,"Not on Volunteers",""))))))</f>
        <v/>
      </c>
      <c r="H149" s="1" t="n"/>
      <c r="I149">
        <f>IF(ISNUMBER(B149),YEAR(B149),"")</f>
        <v/>
      </c>
      <c r="J149">
        <f>IF(ISNUMBER(B149),YEAR(B149)*100+MONTH(B149),"")</f>
        <v/>
      </c>
      <c r="K149">
        <f>IF(ISNUMBER(B149),INT(B149),0)</f>
        <v/>
      </c>
      <c r="L149">
        <f>IF(AND(ISNUMBER(D149),N(D149)&gt;0),K149,0)</f>
        <v/>
      </c>
    </row>
    <row r="150">
      <c r="A150" s="1" t="n"/>
      <c r="B150" s="21" t="n"/>
      <c r="C150" s="22" t="n"/>
      <c r="D150" s="46" t="n"/>
      <c r="E150" s="25" t="n"/>
      <c r="F150" s="25" t="n"/>
      <c r="G150" s="17">
        <f>IF(AND(C150="",D150=""),"",IF(NOT(ISNUMBER(B150)),"Needs a date",IF(AND(D150&lt;&gt;"",NOT(ISNUMBER(D150))),"Hours not a number",IF(N(D150)&lt;=0,"Needs the hours",IF(C150="","Needs a name",IF(COUNTIF(Volunteers!$B$6:$B$105,C150)=0,"Not on Volunteers",""))))))</f>
        <v/>
      </c>
      <c r="H150" s="1" t="n"/>
      <c r="I150">
        <f>IF(ISNUMBER(B150),YEAR(B150),"")</f>
        <v/>
      </c>
      <c r="J150">
        <f>IF(ISNUMBER(B150),YEAR(B150)*100+MONTH(B150),"")</f>
        <v/>
      </c>
      <c r="K150">
        <f>IF(ISNUMBER(B150),INT(B150),0)</f>
        <v/>
      </c>
      <c r="L150">
        <f>IF(AND(ISNUMBER(D150),N(D150)&gt;0),K150,0)</f>
        <v/>
      </c>
    </row>
    <row r="151">
      <c r="A151" s="1" t="n"/>
      <c r="B151" s="21" t="n"/>
      <c r="C151" s="22" t="n"/>
      <c r="D151" s="46" t="n"/>
      <c r="E151" s="25" t="n"/>
      <c r="F151" s="25" t="n"/>
      <c r="G151" s="17">
        <f>IF(AND(C151="",D151=""),"",IF(NOT(ISNUMBER(B151)),"Needs a date",IF(AND(D151&lt;&gt;"",NOT(ISNUMBER(D151))),"Hours not a number",IF(N(D151)&lt;=0,"Needs the hours",IF(C151="","Needs a name",IF(COUNTIF(Volunteers!$B$6:$B$105,C151)=0,"Not on Volunteers",""))))))</f>
        <v/>
      </c>
      <c r="H151" s="1" t="n"/>
      <c r="I151">
        <f>IF(ISNUMBER(B151),YEAR(B151),"")</f>
        <v/>
      </c>
      <c r="J151">
        <f>IF(ISNUMBER(B151),YEAR(B151)*100+MONTH(B151),"")</f>
        <v/>
      </c>
      <c r="K151">
        <f>IF(ISNUMBER(B151),INT(B151),0)</f>
        <v/>
      </c>
      <c r="L151">
        <f>IF(AND(ISNUMBER(D151),N(D151)&gt;0),K151,0)</f>
        <v/>
      </c>
    </row>
    <row r="152">
      <c r="A152" s="1" t="n"/>
      <c r="B152" s="21" t="n"/>
      <c r="C152" s="22" t="n"/>
      <c r="D152" s="46" t="n"/>
      <c r="E152" s="25" t="n"/>
      <c r="F152" s="25" t="n"/>
      <c r="G152" s="17">
        <f>IF(AND(C152="",D152=""),"",IF(NOT(ISNUMBER(B152)),"Needs a date",IF(AND(D152&lt;&gt;"",NOT(ISNUMBER(D152))),"Hours not a number",IF(N(D152)&lt;=0,"Needs the hours",IF(C152="","Needs a name",IF(COUNTIF(Volunteers!$B$6:$B$105,C152)=0,"Not on Volunteers",""))))))</f>
        <v/>
      </c>
      <c r="H152" s="1" t="n"/>
      <c r="I152">
        <f>IF(ISNUMBER(B152),YEAR(B152),"")</f>
        <v/>
      </c>
      <c r="J152">
        <f>IF(ISNUMBER(B152),YEAR(B152)*100+MONTH(B152),"")</f>
        <v/>
      </c>
      <c r="K152">
        <f>IF(ISNUMBER(B152),INT(B152),0)</f>
        <v/>
      </c>
      <c r="L152">
        <f>IF(AND(ISNUMBER(D152),N(D152)&gt;0),K152,0)</f>
        <v/>
      </c>
    </row>
    <row r="153">
      <c r="A153" s="1" t="n"/>
      <c r="B153" s="21" t="n"/>
      <c r="C153" s="22" t="n"/>
      <c r="D153" s="46" t="n"/>
      <c r="E153" s="25" t="n"/>
      <c r="F153" s="25" t="n"/>
      <c r="G153" s="17">
        <f>IF(AND(C153="",D153=""),"",IF(NOT(ISNUMBER(B153)),"Needs a date",IF(AND(D153&lt;&gt;"",NOT(ISNUMBER(D153))),"Hours not a number",IF(N(D153)&lt;=0,"Needs the hours",IF(C153="","Needs a name",IF(COUNTIF(Volunteers!$B$6:$B$105,C153)=0,"Not on Volunteers",""))))))</f>
        <v/>
      </c>
      <c r="H153" s="1" t="n"/>
      <c r="I153">
        <f>IF(ISNUMBER(B153),YEAR(B153),"")</f>
        <v/>
      </c>
      <c r="J153">
        <f>IF(ISNUMBER(B153),YEAR(B153)*100+MONTH(B153),"")</f>
        <v/>
      </c>
      <c r="K153">
        <f>IF(ISNUMBER(B153),INT(B153),0)</f>
        <v/>
      </c>
      <c r="L153">
        <f>IF(AND(ISNUMBER(D153),N(D153)&gt;0),K153,0)</f>
        <v/>
      </c>
    </row>
    <row r="154">
      <c r="A154" s="1" t="n"/>
      <c r="B154" s="21" t="n"/>
      <c r="C154" s="22" t="n"/>
      <c r="D154" s="46" t="n"/>
      <c r="E154" s="25" t="n"/>
      <c r="F154" s="25" t="n"/>
      <c r="G154" s="17">
        <f>IF(AND(C154="",D154=""),"",IF(NOT(ISNUMBER(B154)),"Needs a date",IF(AND(D154&lt;&gt;"",NOT(ISNUMBER(D154))),"Hours not a number",IF(N(D154)&lt;=0,"Needs the hours",IF(C154="","Needs a name",IF(COUNTIF(Volunteers!$B$6:$B$105,C154)=0,"Not on Volunteers",""))))))</f>
        <v/>
      </c>
      <c r="H154" s="1" t="n"/>
      <c r="I154">
        <f>IF(ISNUMBER(B154),YEAR(B154),"")</f>
        <v/>
      </c>
      <c r="J154">
        <f>IF(ISNUMBER(B154),YEAR(B154)*100+MONTH(B154),"")</f>
        <v/>
      </c>
      <c r="K154">
        <f>IF(ISNUMBER(B154),INT(B154),0)</f>
        <v/>
      </c>
      <c r="L154">
        <f>IF(AND(ISNUMBER(D154),N(D154)&gt;0),K154,0)</f>
        <v/>
      </c>
    </row>
    <row r="155">
      <c r="A155" s="1" t="n"/>
      <c r="B155" s="21" t="n"/>
      <c r="C155" s="22" t="n"/>
      <c r="D155" s="46" t="n"/>
      <c r="E155" s="25" t="n"/>
      <c r="F155" s="25" t="n"/>
      <c r="G155" s="17">
        <f>IF(AND(C155="",D155=""),"",IF(NOT(ISNUMBER(B155)),"Needs a date",IF(AND(D155&lt;&gt;"",NOT(ISNUMBER(D155))),"Hours not a number",IF(N(D155)&lt;=0,"Needs the hours",IF(C155="","Needs a name",IF(COUNTIF(Volunteers!$B$6:$B$105,C155)=0,"Not on Volunteers",""))))))</f>
        <v/>
      </c>
      <c r="H155" s="1" t="n"/>
      <c r="I155">
        <f>IF(ISNUMBER(B155),YEAR(B155),"")</f>
        <v/>
      </c>
      <c r="J155">
        <f>IF(ISNUMBER(B155),YEAR(B155)*100+MONTH(B155),"")</f>
        <v/>
      </c>
      <c r="K155">
        <f>IF(ISNUMBER(B155),INT(B155),0)</f>
        <v/>
      </c>
      <c r="L155">
        <f>IF(AND(ISNUMBER(D155),N(D155)&gt;0),K155,0)</f>
        <v/>
      </c>
    </row>
    <row r="156">
      <c r="A156" s="1" t="n"/>
      <c r="B156" s="21" t="n"/>
      <c r="C156" s="22" t="n"/>
      <c r="D156" s="46" t="n"/>
      <c r="E156" s="25" t="n"/>
      <c r="F156" s="25" t="n"/>
      <c r="G156" s="17">
        <f>IF(AND(C156="",D156=""),"",IF(NOT(ISNUMBER(B156)),"Needs a date",IF(AND(D156&lt;&gt;"",NOT(ISNUMBER(D156))),"Hours not a number",IF(N(D156)&lt;=0,"Needs the hours",IF(C156="","Needs a name",IF(COUNTIF(Volunteers!$B$6:$B$105,C156)=0,"Not on Volunteers",""))))))</f>
        <v/>
      </c>
      <c r="H156" s="1" t="n"/>
      <c r="I156">
        <f>IF(ISNUMBER(B156),YEAR(B156),"")</f>
        <v/>
      </c>
      <c r="J156">
        <f>IF(ISNUMBER(B156),YEAR(B156)*100+MONTH(B156),"")</f>
        <v/>
      </c>
      <c r="K156">
        <f>IF(ISNUMBER(B156),INT(B156),0)</f>
        <v/>
      </c>
      <c r="L156">
        <f>IF(AND(ISNUMBER(D156),N(D156)&gt;0),K156,0)</f>
        <v/>
      </c>
    </row>
    <row r="157">
      <c r="A157" s="1" t="n"/>
      <c r="B157" s="21" t="n"/>
      <c r="C157" s="22" t="n"/>
      <c r="D157" s="46" t="n"/>
      <c r="E157" s="25" t="n"/>
      <c r="F157" s="25" t="n"/>
      <c r="G157" s="17">
        <f>IF(AND(C157="",D157=""),"",IF(NOT(ISNUMBER(B157)),"Needs a date",IF(AND(D157&lt;&gt;"",NOT(ISNUMBER(D157))),"Hours not a number",IF(N(D157)&lt;=0,"Needs the hours",IF(C157="","Needs a name",IF(COUNTIF(Volunteers!$B$6:$B$105,C157)=0,"Not on Volunteers",""))))))</f>
        <v/>
      </c>
      <c r="H157" s="1" t="n"/>
      <c r="I157">
        <f>IF(ISNUMBER(B157),YEAR(B157),"")</f>
        <v/>
      </c>
      <c r="J157">
        <f>IF(ISNUMBER(B157),YEAR(B157)*100+MONTH(B157),"")</f>
        <v/>
      </c>
      <c r="K157">
        <f>IF(ISNUMBER(B157),INT(B157),0)</f>
        <v/>
      </c>
      <c r="L157">
        <f>IF(AND(ISNUMBER(D157),N(D157)&gt;0),K157,0)</f>
        <v/>
      </c>
    </row>
    <row r="158">
      <c r="A158" s="1" t="n"/>
      <c r="B158" s="21" t="n"/>
      <c r="C158" s="22" t="n"/>
      <c r="D158" s="46" t="n"/>
      <c r="E158" s="25" t="n"/>
      <c r="F158" s="25" t="n"/>
      <c r="G158" s="17">
        <f>IF(AND(C158="",D158=""),"",IF(NOT(ISNUMBER(B158)),"Needs a date",IF(AND(D158&lt;&gt;"",NOT(ISNUMBER(D158))),"Hours not a number",IF(N(D158)&lt;=0,"Needs the hours",IF(C158="","Needs a name",IF(COUNTIF(Volunteers!$B$6:$B$105,C158)=0,"Not on Volunteers",""))))))</f>
        <v/>
      </c>
      <c r="H158" s="1" t="n"/>
      <c r="I158">
        <f>IF(ISNUMBER(B158),YEAR(B158),"")</f>
        <v/>
      </c>
      <c r="J158">
        <f>IF(ISNUMBER(B158),YEAR(B158)*100+MONTH(B158),"")</f>
        <v/>
      </c>
      <c r="K158">
        <f>IF(ISNUMBER(B158),INT(B158),0)</f>
        <v/>
      </c>
      <c r="L158">
        <f>IF(AND(ISNUMBER(D158),N(D158)&gt;0),K158,0)</f>
        <v/>
      </c>
    </row>
    <row r="159">
      <c r="A159" s="1" t="n"/>
      <c r="B159" s="21" t="n"/>
      <c r="C159" s="22" t="n"/>
      <c r="D159" s="46" t="n"/>
      <c r="E159" s="25" t="n"/>
      <c r="F159" s="25" t="n"/>
      <c r="G159" s="17">
        <f>IF(AND(C159="",D159=""),"",IF(NOT(ISNUMBER(B159)),"Needs a date",IF(AND(D159&lt;&gt;"",NOT(ISNUMBER(D159))),"Hours not a number",IF(N(D159)&lt;=0,"Needs the hours",IF(C159="","Needs a name",IF(COUNTIF(Volunteers!$B$6:$B$105,C159)=0,"Not on Volunteers",""))))))</f>
        <v/>
      </c>
      <c r="H159" s="1" t="n"/>
      <c r="I159">
        <f>IF(ISNUMBER(B159),YEAR(B159),"")</f>
        <v/>
      </c>
      <c r="J159">
        <f>IF(ISNUMBER(B159),YEAR(B159)*100+MONTH(B159),"")</f>
        <v/>
      </c>
      <c r="K159">
        <f>IF(ISNUMBER(B159),INT(B159),0)</f>
        <v/>
      </c>
      <c r="L159">
        <f>IF(AND(ISNUMBER(D159),N(D159)&gt;0),K159,0)</f>
        <v/>
      </c>
    </row>
    <row r="160">
      <c r="A160" s="1" t="n"/>
      <c r="B160" s="21" t="n"/>
      <c r="C160" s="22" t="n"/>
      <c r="D160" s="46" t="n"/>
      <c r="E160" s="25" t="n"/>
      <c r="F160" s="25" t="n"/>
      <c r="G160" s="17">
        <f>IF(AND(C160="",D160=""),"",IF(NOT(ISNUMBER(B160)),"Needs a date",IF(AND(D160&lt;&gt;"",NOT(ISNUMBER(D160))),"Hours not a number",IF(N(D160)&lt;=0,"Needs the hours",IF(C160="","Needs a name",IF(COUNTIF(Volunteers!$B$6:$B$105,C160)=0,"Not on Volunteers",""))))))</f>
        <v/>
      </c>
      <c r="H160" s="1" t="n"/>
      <c r="I160">
        <f>IF(ISNUMBER(B160),YEAR(B160),"")</f>
        <v/>
      </c>
      <c r="J160">
        <f>IF(ISNUMBER(B160),YEAR(B160)*100+MONTH(B160),"")</f>
        <v/>
      </c>
      <c r="K160">
        <f>IF(ISNUMBER(B160),INT(B160),0)</f>
        <v/>
      </c>
      <c r="L160">
        <f>IF(AND(ISNUMBER(D160),N(D160)&gt;0),K160,0)</f>
        <v/>
      </c>
    </row>
    <row r="161">
      <c r="A161" s="1" t="n"/>
      <c r="B161" s="21" t="n"/>
      <c r="C161" s="22" t="n"/>
      <c r="D161" s="46" t="n"/>
      <c r="E161" s="25" t="n"/>
      <c r="F161" s="25" t="n"/>
      <c r="G161" s="17">
        <f>IF(AND(C161="",D161=""),"",IF(NOT(ISNUMBER(B161)),"Needs a date",IF(AND(D161&lt;&gt;"",NOT(ISNUMBER(D161))),"Hours not a number",IF(N(D161)&lt;=0,"Needs the hours",IF(C161="","Needs a name",IF(COUNTIF(Volunteers!$B$6:$B$105,C161)=0,"Not on Volunteers",""))))))</f>
        <v/>
      </c>
      <c r="H161" s="1" t="n"/>
      <c r="I161">
        <f>IF(ISNUMBER(B161),YEAR(B161),"")</f>
        <v/>
      </c>
      <c r="J161">
        <f>IF(ISNUMBER(B161),YEAR(B161)*100+MONTH(B161),"")</f>
        <v/>
      </c>
      <c r="K161">
        <f>IF(ISNUMBER(B161),INT(B161),0)</f>
        <v/>
      </c>
      <c r="L161">
        <f>IF(AND(ISNUMBER(D161),N(D161)&gt;0),K161,0)</f>
        <v/>
      </c>
    </row>
    <row r="162">
      <c r="A162" s="1" t="n"/>
      <c r="B162" s="21" t="n"/>
      <c r="C162" s="22" t="n"/>
      <c r="D162" s="46" t="n"/>
      <c r="E162" s="25" t="n"/>
      <c r="F162" s="25" t="n"/>
      <c r="G162" s="17">
        <f>IF(AND(C162="",D162=""),"",IF(NOT(ISNUMBER(B162)),"Needs a date",IF(AND(D162&lt;&gt;"",NOT(ISNUMBER(D162))),"Hours not a number",IF(N(D162)&lt;=0,"Needs the hours",IF(C162="","Needs a name",IF(COUNTIF(Volunteers!$B$6:$B$105,C162)=0,"Not on Volunteers",""))))))</f>
        <v/>
      </c>
      <c r="H162" s="1" t="n"/>
      <c r="I162">
        <f>IF(ISNUMBER(B162),YEAR(B162),"")</f>
        <v/>
      </c>
      <c r="J162">
        <f>IF(ISNUMBER(B162),YEAR(B162)*100+MONTH(B162),"")</f>
        <v/>
      </c>
      <c r="K162">
        <f>IF(ISNUMBER(B162),INT(B162),0)</f>
        <v/>
      </c>
      <c r="L162">
        <f>IF(AND(ISNUMBER(D162),N(D162)&gt;0),K162,0)</f>
        <v/>
      </c>
    </row>
    <row r="163">
      <c r="A163" s="1" t="n"/>
      <c r="B163" s="21" t="n"/>
      <c r="C163" s="22" t="n"/>
      <c r="D163" s="46" t="n"/>
      <c r="E163" s="25" t="n"/>
      <c r="F163" s="25" t="n"/>
      <c r="G163" s="17">
        <f>IF(AND(C163="",D163=""),"",IF(NOT(ISNUMBER(B163)),"Needs a date",IF(AND(D163&lt;&gt;"",NOT(ISNUMBER(D163))),"Hours not a number",IF(N(D163)&lt;=0,"Needs the hours",IF(C163="","Needs a name",IF(COUNTIF(Volunteers!$B$6:$B$105,C163)=0,"Not on Volunteers",""))))))</f>
        <v/>
      </c>
      <c r="H163" s="1" t="n"/>
      <c r="I163">
        <f>IF(ISNUMBER(B163),YEAR(B163),"")</f>
        <v/>
      </c>
      <c r="J163">
        <f>IF(ISNUMBER(B163),YEAR(B163)*100+MONTH(B163),"")</f>
        <v/>
      </c>
      <c r="K163">
        <f>IF(ISNUMBER(B163),INT(B163),0)</f>
        <v/>
      </c>
      <c r="L163">
        <f>IF(AND(ISNUMBER(D163),N(D163)&gt;0),K163,0)</f>
        <v/>
      </c>
    </row>
    <row r="164">
      <c r="A164" s="1" t="n"/>
      <c r="B164" s="21" t="n"/>
      <c r="C164" s="22" t="n"/>
      <c r="D164" s="46" t="n"/>
      <c r="E164" s="25" t="n"/>
      <c r="F164" s="25" t="n"/>
      <c r="G164" s="17">
        <f>IF(AND(C164="",D164=""),"",IF(NOT(ISNUMBER(B164)),"Needs a date",IF(AND(D164&lt;&gt;"",NOT(ISNUMBER(D164))),"Hours not a number",IF(N(D164)&lt;=0,"Needs the hours",IF(C164="","Needs a name",IF(COUNTIF(Volunteers!$B$6:$B$105,C164)=0,"Not on Volunteers",""))))))</f>
        <v/>
      </c>
      <c r="H164" s="1" t="n"/>
      <c r="I164">
        <f>IF(ISNUMBER(B164),YEAR(B164),"")</f>
        <v/>
      </c>
      <c r="J164">
        <f>IF(ISNUMBER(B164),YEAR(B164)*100+MONTH(B164),"")</f>
        <v/>
      </c>
      <c r="K164">
        <f>IF(ISNUMBER(B164),INT(B164),0)</f>
        <v/>
      </c>
      <c r="L164">
        <f>IF(AND(ISNUMBER(D164),N(D164)&gt;0),K164,0)</f>
        <v/>
      </c>
    </row>
    <row r="165">
      <c r="A165" s="1" t="n"/>
      <c r="B165" s="21" t="n"/>
      <c r="C165" s="22" t="n"/>
      <c r="D165" s="46" t="n"/>
      <c r="E165" s="25" t="n"/>
      <c r="F165" s="25" t="n"/>
      <c r="G165" s="17">
        <f>IF(AND(C165="",D165=""),"",IF(NOT(ISNUMBER(B165)),"Needs a date",IF(AND(D165&lt;&gt;"",NOT(ISNUMBER(D165))),"Hours not a number",IF(N(D165)&lt;=0,"Needs the hours",IF(C165="","Needs a name",IF(COUNTIF(Volunteers!$B$6:$B$105,C165)=0,"Not on Volunteers",""))))))</f>
        <v/>
      </c>
      <c r="H165" s="1" t="n"/>
      <c r="I165">
        <f>IF(ISNUMBER(B165),YEAR(B165),"")</f>
        <v/>
      </c>
      <c r="J165">
        <f>IF(ISNUMBER(B165),YEAR(B165)*100+MONTH(B165),"")</f>
        <v/>
      </c>
      <c r="K165">
        <f>IF(ISNUMBER(B165),INT(B165),0)</f>
        <v/>
      </c>
      <c r="L165">
        <f>IF(AND(ISNUMBER(D165),N(D165)&gt;0),K165,0)</f>
        <v/>
      </c>
    </row>
    <row r="166">
      <c r="A166" s="1" t="n"/>
      <c r="B166" s="21" t="n"/>
      <c r="C166" s="22" t="n"/>
      <c r="D166" s="46" t="n"/>
      <c r="E166" s="25" t="n"/>
      <c r="F166" s="25" t="n"/>
      <c r="G166" s="17">
        <f>IF(AND(C166="",D166=""),"",IF(NOT(ISNUMBER(B166)),"Needs a date",IF(AND(D166&lt;&gt;"",NOT(ISNUMBER(D166))),"Hours not a number",IF(N(D166)&lt;=0,"Needs the hours",IF(C166="","Needs a name",IF(COUNTIF(Volunteers!$B$6:$B$105,C166)=0,"Not on Volunteers",""))))))</f>
        <v/>
      </c>
      <c r="H166" s="1" t="n"/>
      <c r="I166">
        <f>IF(ISNUMBER(B166),YEAR(B166),"")</f>
        <v/>
      </c>
      <c r="J166">
        <f>IF(ISNUMBER(B166),YEAR(B166)*100+MONTH(B166),"")</f>
        <v/>
      </c>
      <c r="K166">
        <f>IF(ISNUMBER(B166),INT(B166),0)</f>
        <v/>
      </c>
      <c r="L166">
        <f>IF(AND(ISNUMBER(D166),N(D166)&gt;0),K166,0)</f>
        <v/>
      </c>
    </row>
    <row r="167">
      <c r="A167" s="1" t="n"/>
      <c r="B167" s="21" t="n"/>
      <c r="C167" s="22" t="n"/>
      <c r="D167" s="46" t="n"/>
      <c r="E167" s="25" t="n"/>
      <c r="F167" s="25" t="n"/>
      <c r="G167" s="17">
        <f>IF(AND(C167="",D167=""),"",IF(NOT(ISNUMBER(B167)),"Needs a date",IF(AND(D167&lt;&gt;"",NOT(ISNUMBER(D167))),"Hours not a number",IF(N(D167)&lt;=0,"Needs the hours",IF(C167="","Needs a name",IF(COUNTIF(Volunteers!$B$6:$B$105,C167)=0,"Not on Volunteers",""))))))</f>
        <v/>
      </c>
      <c r="H167" s="1" t="n"/>
      <c r="I167">
        <f>IF(ISNUMBER(B167),YEAR(B167),"")</f>
        <v/>
      </c>
      <c r="J167">
        <f>IF(ISNUMBER(B167),YEAR(B167)*100+MONTH(B167),"")</f>
        <v/>
      </c>
      <c r="K167">
        <f>IF(ISNUMBER(B167),INT(B167),0)</f>
        <v/>
      </c>
      <c r="L167">
        <f>IF(AND(ISNUMBER(D167),N(D167)&gt;0),K167,0)</f>
        <v/>
      </c>
    </row>
    <row r="168">
      <c r="A168" s="1" t="n"/>
      <c r="B168" s="21" t="n"/>
      <c r="C168" s="22" t="n"/>
      <c r="D168" s="46" t="n"/>
      <c r="E168" s="25" t="n"/>
      <c r="F168" s="25" t="n"/>
      <c r="G168" s="17">
        <f>IF(AND(C168="",D168=""),"",IF(NOT(ISNUMBER(B168)),"Needs a date",IF(AND(D168&lt;&gt;"",NOT(ISNUMBER(D168))),"Hours not a number",IF(N(D168)&lt;=0,"Needs the hours",IF(C168="","Needs a name",IF(COUNTIF(Volunteers!$B$6:$B$105,C168)=0,"Not on Volunteers",""))))))</f>
        <v/>
      </c>
      <c r="H168" s="1" t="n"/>
      <c r="I168">
        <f>IF(ISNUMBER(B168),YEAR(B168),"")</f>
        <v/>
      </c>
      <c r="J168">
        <f>IF(ISNUMBER(B168),YEAR(B168)*100+MONTH(B168),"")</f>
        <v/>
      </c>
      <c r="K168">
        <f>IF(ISNUMBER(B168),INT(B168),0)</f>
        <v/>
      </c>
      <c r="L168">
        <f>IF(AND(ISNUMBER(D168),N(D168)&gt;0),K168,0)</f>
        <v/>
      </c>
    </row>
    <row r="169">
      <c r="A169" s="1" t="n"/>
      <c r="B169" s="21" t="n"/>
      <c r="C169" s="22" t="n"/>
      <c r="D169" s="46" t="n"/>
      <c r="E169" s="25" t="n"/>
      <c r="F169" s="25" t="n"/>
      <c r="G169" s="17">
        <f>IF(AND(C169="",D169=""),"",IF(NOT(ISNUMBER(B169)),"Needs a date",IF(AND(D169&lt;&gt;"",NOT(ISNUMBER(D169))),"Hours not a number",IF(N(D169)&lt;=0,"Needs the hours",IF(C169="","Needs a name",IF(COUNTIF(Volunteers!$B$6:$B$105,C169)=0,"Not on Volunteers",""))))))</f>
        <v/>
      </c>
      <c r="H169" s="1" t="n"/>
      <c r="I169">
        <f>IF(ISNUMBER(B169),YEAR(B169),"")</f>
        <v/>
      </c>
      <c r="J169">
        <f>IF(ISNUMBER(B169),YEAR(B169)*100+MONTH(B169),"")</f>
        <v/>
      </c>
      <c r="K169">
        <f>IF(ISNUMBER(B169),INT(B169),0)</f>
        <v/>
      </c>
      <c r="L169">
        <f>IF(AND(ISNUMBER(D169),N(D169)&gt;0),K169,0)</f>
        <v/>
      </c>
    </row>
    <row r="170">
      <c r="A170" s="1" t="n"/>
      <c r="B170" s="21" t="n"/>
      <c r="C170" s="22" t="n"/>
      <c r="D170" s="46" t="n"/>
      <c r="E170" s="25" t="n"/>
      <c r="F170" s="25" t="n"/>
      <c r="G170" s="17">
        <f>IF(AND(C170="",D170=""),"",IF(NOT(ISNUMBER(B170)),"Needs a date",IF(AND(D170&lt;&gt;"",NOT(ISNUMBER(D170))),"Hours not a number",IF(N(D170)&lt;=0,"Needs the hours",IF(C170="","Needs a name",IF(COUNTIF(Volunteers!$B$6:$B$105,C170)=0,"Not on Volunteers",""))))))</f>
        <v/>
      </c>
      <c r="H170" s="1" t="n"/>
      <c r="I170">
        <f>IF(ISNUMBER(B170),YEAR(B170),"")</f>
        <v/>
      </c>
      <c r="J170">
        <f>IF(ISNUMBER(B170),YEAR(B170)*100+MONTH(B170),"")</f>
        <v/>
      </c>
      <c r="K170">
        <f>IF(ISNUMBER(B170),INT(B170),0)</f>
        <v/>
      </c>
      <c r="L170">
        <f>IF(AND(ISNUMBER(D170),N(D170)&gt;0),K170,0)</f>
        <v/>
      </c>
    </row>
    <row r="171">
      <c r="A171" s="1" t="n"/>
      <c r="B171" s="21" t="n"/>
      <c r="C171" s="22" t="n"/>
      <c r="D171" s="46" t="n"/>
      <c r="E171" s="25" t="n"/>
      <c r="F171" s="25" t="n"/>
      <c r="G171" s="17">
        <f>IF(AND(C171="",D171=""),"",IF(NOT(ISNUMBER(B171)),"Needs a date",IF(AND(D171&lt;&gt;"",NOT(ISNUMBER(D171))),"Hours not a number",IF(N(D171)&lt;=0,"Needs the hours",IF(C171="","Needs a name",IF(COUNTIF(Volunteers!$B$6:$B$105,C171)=0,"Not on Volunteers",""))))))</f>
        <v/>
      </c>
      <c r="H171" s="1" t="n"/>
      <c r="I171">
        <f>IF(ISNUMBER(B171),YEAR(B171),"")</f>
        <v/>
      </c>
      <c r="J171">
        <f>IF(ISNUMBER(B171),YEAR(B171)*100+MONTH(B171),"")</f>
        <v/>
      </c>
      <c r="K171">
        <f>IF(ISNUMBER(B171),INT(B171),0)</f>
        <v/>
      </c>
      <c r="L171">
        <f>IF(AND(ISNUMBER(D171),N(D171)&gt;0),K171,0)</f>
        <v/>
      </c>
    </row>
    <row r="172">
      <c r="A172" s="1" t="n"/>
      <c r="B172" s="21" t="n"/>
      <c r="C172" s="22" t="n"/>
      <c r="D172" s="46" t="n"/>
      <c r="E172" s="25" t="n"/>
      <c r="F172" s="25" t="n"/>
      <c r="G172" s="17">
        <f>IF(AND(C172="",D172=""),"",IF(NOT(ISNUMBER(B172)),"Needs a date",IF(AND(D172&lt;&gt;"",NOT(ISNUMBER(D172))),"Hours not a number",IF(N(D172)&lt;=0,"Needs the hours",IF(C172="","Needs a name",IF(COUNTIF(Volunteers!$B$6:$B$105,C172)=0,"Not on Volunteers",""))))))</f>
        <v/>
      </c>
      <c r="H172" s="1" t="n"/>
      <c r="I172">
        <f>IF(ISNUMBER(B172),YEAR(B172),"")</f>
        <v/>
      </c>
      <c r="J172">
        <f>IF(ISNUMBER(B172),YEAR(B172)*100+MONTH(B172),"")</f>
        <v/>
      </c>
      <c r="K172">
        <f>IF(ISNUMBER(B172),INT(B172),0)</f>
        <v/>
      </c>
      <c r="L172">
        <f>IF(AND(ISNUMBER(D172),N(D172)&gt;0),K172,0)</f>
        <v/>
      </c>
    </row>
    <row r="173">
      <c r="A173" s="1" t="n"/>
      <c r="B173" s="21" t="n"/>
      <c r="C173" s="22" t="n"/>
      <c r="D173" s="46" t="n"/>
      <c r="E173" s="25" t="n"/>
      <c r="F173" s="25" t="n"/>
      <c r="G173" s="17">
        <f>IF(AND(C173="",D173=""),"",IF(NOT(ISNUMBER(B173)),"Needs a date",IF(AND(D173&lt;&gt;"",NOT(ISNUMBER(D173))),"Hours not a number",IF(N(D173)&lt;=0,"Needs the hours",IF(C173="","Needs a name",IF(COUNTIF(Volunteers!$B$6:$B$105,C173)=0,"Not on Volunteers",""))))))</f>
        <v/>
      </c>
      <c r="H173" s="1" t="n"/>
      <c r="I173">
        <f>IF(ISNUMBER(B173),YEAR(B173),"")</f>
        <v/>
      </c>
      <c r="J173">
        <f>IF(ISNUMBER(B173),YEAR(B173)*100+MONTH(B173),"")</f>
        <v/>
      </c>
      <c r="K173">
        <f>IF(ISNUMBER(B173),INT(B173),0)</f>
        <v/>
      </c>
      <c r="L173">
        <f>IF(AND(ISNUMBER(D173),N(D173)&gt;0),K173,0)</f>
        <v/>
      </c>
    </row>
    <row r="174">
      <c r="A174" s="1" t="n"/>
      <c r="B174" s="21" t="n"/>
      <c r="C174" s="22" t="n"/>
      <c r="D174" s="46" t="n"/>
      <c r="E174" s="25" t="n"/>
      <c r="F174" s="25" t="n"/>
      <c r="G174" s="17">
        <f>IF(AND(C174="",D174=""),"",IF(NOT(ISNUMBER(B174)),"Needs a date",IF(AND(D174&lt;&gt;"",NOT(ISNUMBER(D174))),"Hours not a number",IF(N(D174)&lt;=0,"Needs the hours",IF(C174="","Needs a name",IF(COUNTIF(Volunteers!$B$6:$B$105,C174)=0,"Not on Volunteers",""))))))</f>
        <v/>
      </c>
      <c r="H174" s="1" t="n"/>
      <c r="I174">
        <f>IF(ISNUMBER(B174),YEAR(B174),"")</f>
        <v/>
      </c>
      <c r="J174">
        <f>IF(ISNUMBER(B174),YEAR(B174)*100+MONTH(B174),"")</f>
        <v/>
      </c>
      <c r="K174">
        <f>IF(ISNUMBER(B174),INT(B174),0)</f>
        <v/>
      </c>
      <c r="L174">
        <f>IF(AND(ISNUMBER(D174),N(D174)&gt;0),K174,0)</f>
        <v/>
      </c>
    </row>
    <row r="175">
      <c r="A175" s="1" t="n"/>
      <c r="B175" s="21" t="n"/>
      <c r="C175" s="22" t="n"/>
      <c r="D175" s="46" t="n"/>
      <c r="E175" s="25" t="n"/>
      <c r="F175" s="25" t="n"/>
      <c r="G175" s="17">
        <f>IF(AND(C175="",D175=""),"",IF(NOT(ISNUMBER(B175)),"Needs a date",IF(AND(D175&lt;&gt;"",NOT(ISNUMBER(D175))),"Hours not a number",IF(N(D175)&lt;=0,"Needs the hours",IF(C175="","Needs a name",IF(COUNTIF(Volunteers!$B$6:$B$105,C175)=0,"Not on Volunteers",""))))))</f>
        <v/>
      </c>
      <c r="H175" s="1" t="n"/>
      <c r="I175">
        <f>IF(ISNUMBER(B175),YEAR(B175),"")</f>
        <v/>
      </c>
      <c r="J175">
        <f>IF(ISNUMBER(B175),YEAR(B175)*100+MONTH(B175),"")</f>
        <v/>
      </c>
      <c r="K175">
        <f>IF(ISNUMBER(B175),INT(B175),0)</f>
        <v/>
      </c>
      <c r="L175">
        <f>IF(AND(ISNUMBER(D175),N(D175)&gt;0),K175,0)</f>
        <v/>
      </c>
    </row>
    <row r="176">
      <c r="A176" s="1" t="n"/>
      <c r="B176" s="21" t="n"/>
      <c r="C176" s="22" t="n"/>
      <c r="D176" s="46" t="n"/>
      <c r="E176" s="25" t="n"/>
      <c r="F176" s="25" t="n"/>
      <c r="G176" s="17">
        <f>IF(AND(C176="",D176=""),"",IF(NOT(ISNUMBER(B176)),"Needs a date",IF(AND(D176&lt;&gt;"",NOT(ISNUMBER(D176))),"Hours not a number",IF(N(D176)&lt;=0,"Needs the hours",IF(C176="","Needs a name",IF(COUNTIF(Volunteers!$B$6:$B$105,C176)=0,"Not on Volunteers",""))))))</f>
        <v/>
      </c>
      <c r="H176" s="1" t="n"/>
      <c r="I176">
        <f>IF(ISNUMBER(B176),YEAR(B176),"")</f>
        <v/>
      </c>
      <c r="J176">
        <f>IF(ISNUMBER(B176),YEAR(B176)*100+MONTH(B176),"")</f>
        <v/>
      </c>
      <c r="K176">
        <f>IF(ISNUMBER(B176),INT(B176),0)</f>
        <v/>
      </c>
      <c r="L176">
        <f>IF(AND(ISNUMBER(D176),N(D176)&gt;0),K176,0)</f>
        <v/>
      </c>
    </row>
    <row r="177">
      <c r="A177" s="1" t="n"/>
      <c r="B177" s="21" t="n"/>
      <c r="C177" s="22" t="n"/>
      <c r="D177" s="46" t="n"/>
      <c r="E177" s="25" t="n"/>
      <c r="F177" s="25" t="n"/>
      <c r="G177" s="17">
        <f>IF(AND(C177="",D177=""),"",IF(NOT(ISNUMBER(B177)),"Needs a date",IF(AND(D177&lt;&gt;"",NOT(ISNUMBER(D177))),"Hours not a number",IF(N(D177)&lt;=0,"Needs the hours",IF(C177="","Needs a name",IF(COUNTIF(Volunteers!$B$6:$B$105,C177)=0,"Not on Volunteers",""))))))</f>
        <v/>
      </c>
      <c r="H177" s="1" t="n"/>
      <c r="I177">
        <f>IF(ISNUMBER(B177),YEAR(B177),"")</f>
        <v/>
      </c>
      <c r="J177">
        <f>IF(ISNUMBER(B177),YEAR(B177)*100+MONTH(B177),"")</f>
        <v/>
      </c>
      <c r="K177">
        <f>IF(ISNUMBER(B177),INT(B177),0)</f>
        <v/>
      </c>
      <c r="L177">
        <f>IF(AND(ISNUMBER(D177),N(D177)&gt;0),K177,0)</f>
        <v/>
      </c>
    </row>
    <row r="178">
      <c r="A178" s="1" t="n"/>
      <c r="B178" s="21" t="n"/>
      <c r="C178" s="22" t="n"/>
      <c r="D178" s="46" t="n"/>
      <c r="E178" s="25" t="n"/>
      <c r="F178" s="25" t="n"/>
      <c r="G178" s="17">
        <f>IF(AND(C178="",D178=""),"",IF(NOT(ISNUMBER(B178)),"Needs a date",IF(AND(D178&lt;&gt;"",NOT(ISNUMBER(D178))),"Hours not a number",IF(N(D178)&lt;=0,"Needs the hours",IF(C178="","Needs a name",IF(COUNTIF(Volunteers!$B$6:$B$105,C178)=0,"Not on Volunteers",""))))))</f>
        <v/>
      </c>
      <c r="H178" s="1" t="n"/>
      <c r="I178">
        <f>IF(ISNUMBER(B178),YEAR(B178),"")</f>
        <v/>
      </c>
      <c r="J178">
        <f>IF(ISNUMBER(B178),YEAR(B178)*100+MONTH(B178),"")</f>
        <v/>
      </c>
      <c r="K178">
        <f>IF(ISNUMBER(B178),INT(B178),0)</f>
        <v/>
      </c>
      <c r="L178">
        <f>IF(AND(ISNUMBER(D178),N(D178)&gt;0),K178,0)</f>
        <v/>
      </c>
    </row>
    <row r="179">
      <c r="A179" s="1" t="n"/>
      <c r="B179" s="21" t="n"/>
      <c r="C179" s="22" t="n"/>
      <c r="D179" s="46" t="n"/>
      <c r="E179" s="25" t="n"/>
      <c r="F179" s="25" t="n"/>
      <c r="G179" s="17">
        <f>IF(AND(C179="",D179=""),"",IF(NOT(ISNUMBER(B179)),"Needs a date",IF(AND(D179&lt;&gt;"",NOT(ISNUMBER(D179))),"Hours not a number",IF(N(D179)&lt;=0,"Needs the hours",IF(C179="","Needs a name",IF(COUNTIF(Volunteers!$B$6:$B$105,C179)=0,"Not on Volunteers",""))))))</f>
        <v/>
      </c>
      <c r="H179" s="1" t="n"/>
      <c r="I179">
        <f>IF(ISNUMBER(B179),YEAR(B179),"")</f>
        <v/>
      </c>
      <c r="J179">
        <f>IF(ISNUMBER(B179),YEAR(B179)*100+MONTH(B179),"")</f>
        <v/>
      </c>
      <c r="K179">
        <f>IF(ISNUMBER(B179),INT(B179),0)</f>
        <v/>
      </c>
      <c r="L179">
        <f>IF(AND(ISNUMBER(D179),N(D179)&gt;0),K179,0)</f>
        <v/>
      </c>
    </row>
    <row r="180">
      <c r="A180" s="1" t="n"/>
      <c r="B180" s="21" t="n"/>
      <c r="C180" s="22" t="n"/>
      <c r="D180" s="46" t="n"/>
      <c r="E180" s="25" t="n"/>
      <c r="F180" s="25" t="n"/>
      <c r="G180" s="17">
        <f>IF(AND(C180="",D180=""),"",IF(NOT(ISNUMBER(B180)),"Needs a date",IF(AND(D180&lt;&gt;"",NOT(ISNUMBER(D180))),"Hours not a number",IF(N(D180)&lt;=0,"Needs the hours",IF(C180="","Needs a name",IF(COUNTIF(Volunteers!$B$6:$B$105,C180)=0,"Not on Volunteers",""))))))</f>
        <v/>
      </c>
      <c r="H180" s="1" t="n"/>
      <c r="I180">
        <f>IF(ISNUMBER(B180),YEAR(B180),"")</f>
        <v/>
      </c>
      <c r="J180">
        <f>IF(ISNUMBER(B180),YEAR(B180)*100+MONTH(B180),"")</f>
        <v/>
      </c>
      <c r="K180">
        <f>IF(ISNUMBER(B180),INT(B180),0)</f>
        <v/>
      </c>
      <c r="L180">
        <f>IF(AND(ISNUMBER(D180),N(D180)&gt;0),K180,0)</f>
        <v/>
      </c>
    </row>
    <row r="181">
      <c r="A181" s="1" t="n"/>
      <c r="B181" s="21" t="n"/>
      <c r="C181" s="22" t="n"/>
      <c r="D181" s="46" t="n"/>
      <c r="E181" s="25" t="n"/>
      <c r="F181" s="25" t="n"/>
      <c r="G181" s="17">
        <f>IF(AND(C181="",D181=""),"",IF(NOT(ISNUMBER(B181)),"Needs a date",IF(AND(D181&lt;&gt;"",NOT(ISNUMBER(D181))),"Hours not a number",IF(N(D181)&lt;=0,"Needs the hours",IF(C181="","Needs a name",IF(COUNTIF(Volunteers!$B$6:$B$105,C181)=0,"Not on Volunteers",""))))))</f>
        <v/>
      </c>
      <c r="H181" s="1" t="n"/>
      <c r="I181">
        <f>IF(ISNUMBER(B181),YEAR(B181),"")</f>
        <v/>
      </c>
      <c r="J181">
        <f>IF(ISNUMBER(B181),YEAR(B181)*100+MONTH(B181),"")</f>
        <v/>
      </c>
      <c r="K181">
        <f>IF(ISNUMBER(B181),INT(B181),0)</f>
        <v/>
      </c>
      <c r="L181">
        <f>IF(AND(ISNUMBER(D181),N(D181)&gt;0),K181,0)</f>
        <v/>
      </c>
    </row>
    <row r="182">
      <c r="A182" s="1" t="n"/>
      <c r="B182" s="21" t="n"/>
      <c r="C182" s="22" t="n"/>
      <c r="D182" s="46" t="n"/>
      <c r="E182" s="25" t="n"/>
      <c r="F182" s="25" t="n"/>
      <c r="G182" s="17">
        <f>IF(AND(C182="",D182=""),"",IF(NOT(ISNUMBER(B182)),"Needs a date",IF(AND(D182&lt;&gt;"",NOT(ISNUMBER(D182))),"Hours not a number",IF(N(D182)&lt;=0,"Needs the hours",IF(C182="","Needs a name",IF(COUNTIF(Volunteers!$B$6:$B$105,C182)=0,"Not on Volunteers",""))))))</f>
        <v/>
      </c>
      <c r="H182" s="1" t="n"/>
      <c r="I182">
        <f>IF(ISNUMBER(B182),YEAR(B182),"")</f>
        <v/>
      </c>
      <c r="J182">
        <f>IF(ISNUMBER(B182),YEAR(B182)*100+MONTH(B182),"")</f>
        <v/>
      </c>
      <c r="K182">
        <f>IF(ISNUMBER(B182),INT(B182),0)</f>
        <v/>
      </c>
      <c r="L182">
        <f>IF(AND(ISNUMBER(D182),N(D182)&gt;0),K182,0)</f>
        <v/>
      </c>
    </row>
    <row r="183">
      <c r="A183" s="1" t="n"/>
      <c r="B183" s="21" t="n"/>
      <c r="C183" s="22" t="n"/>
      <c r="D183" s="46" t="n"/>
      <c r="E183" s="25" t="n"/>
      <c r="F183" s="25" t="n"/>
      <c r="G183" s="17">
        <f>IF(AND(C183="",D183=""),"",IF(NOT(ISNUMBER(B183)),"Needs a date",IF(AND(D183&lt;&gt;"",NOT(ISNUMBER(D183))),"Hours not a number",IF(N(D183)&lt;=0,"Needs the hours",IF(C183="","Needs a name",IF(COUNTIF(Volunteers!$B$6:$B$105,C183)=0,"Not on Volunteers",""))))))</f>
        <v/>
      </c>
      <c r="H183" s="1" t="n"/>
      <c r="I183">
        <f>IF(ISNUMBER(B183),YEAR(B183),"")</f>
        <v/>
      </c>
      <c r="J183">
        <f>IF(ISNUMBER(B183),YEAR(B183)*100+MONTH(B183),"")</f>
        <v/>
      </c>
      <c r="K183">
        <f>IF(ISNUMBER(B183),INT(B183),0)</f>
        <v/>
      </c>
      <c r="L183">
        <f>IF(AND(ISNUMBER(D183),N(D183)&gt;0),K183,0)</f>
        <v/>
      </c>
    </row>
    <row r="184">
      <c r="A184" s="1" t="n"/>
      <c r="B184" s="21" t="n"/>
      <c r="C184" s="22" t="n"/>
      <c r="D184" s="46" t="n"/>
      <c r="E184" s="25" t="n"/>
      <c r="F184" s="25" t="n"/>
      <c r="G184" s="17">
        <f>IF(AND(C184="",D184=""),"",IF(NOT(ISNUMBER(B184)),"Needs a date",IF(AND(D184&lt;&gt;"",NOT(ISNUMBER(D184))),"Hours not a number",IF(N(D184)&lt;=0,"Needs the hours",IF(C184="","Needs a name",IF(COUNTIF(Volunteers!$B$6:$B$105,C184)=0,"Not on Volunteers",""))))))</f>
        <v/>
      </c>
      <c r="H184" s="1" t="n"/>
      <c r="I184">
        <f>IF(ISNUMBER(B184),YEAR(B184),"")</f>
        <v/>
      </c>
      <c r="J184">
        <f>IF(ISNUMBER(B184),YEAR(B184)*100+MONTH(B184),"")</f>
        <v/>
      </c>
      <c r="K184">
        <f>IF(ISNUMBER(B184),INT(B184),0)</f>
        <v/>
      </c>
      <c r="L184">
        <f>IF(AND(ISNUMBER(D184),N(D184)&gt;0),K184,0)</f>
        <v/>
      </c>
    </row>
    <row r="185">
      <c r="A185" s="1" t="n"/>
      <c r="B185" s="21" t="n"/>
      <c r="C185" s="22" t="n"/>
      <c r="D185" s="46" t="n"/>
      <c r="E185" s="25" t="n"/>
      <c r="F185" s="25" t="n"/>
      <c r="G185" s="17">
        <f>IF(AND(C185="",D185=""),"",IF(NOT(ISNUMBER(B185)),"Needs a date",IF(AND(D185&lt;&gt;"",NOT(ISNUMBER(D185))),"Hours not a number",IF(N(D185)&lt;=0,"Needs the hours",IF(C185="","Needs a name",IF(COUNTIF(Volunteers!$B$6:$B$105,C185)=0,"Not on Volunteers",""))))))</f>
        <v/>
      </c>
      <c r="H185" s="1" t="n"/>
      <c r="I185">
        <f>IF(ISNUMBER(B185),YEAR(B185),"")</f>
        <v/>
      </c>
      <c r="J185">
        <f>IF(ISNUMBER(B185),YEAR(B185)*100+MONTH(B185),"")</f>
        <v/>
      </c>
      <c r="K185">
        <f>IF(ISNUMBER(B185),INT(B185),0)</f>
        <v/>
      </c>
      <c r="L185">
        <f>IF(AND(ISNUMBER(D185),N(D185)&gt;0),K185,0)</f>
        <v/>
      </c>
    </row>
    <row r="186">
      <c r="A186" s="1" t="n"/>
      <c r="B186" s="21" t="n"/>
      <c r="C186" s="22" t="n"/>
      <c r="D186" s="46" t="n"/>
      <c r="E186" s="25" t="n"/>
      <c r="F186" s="25" t="n"/>
      <c r="G186" s="17">
        <f>IF(AND(C186="",D186=""),"",IF(NOT(ISNUMBER(B186)),"Needs a date",IF(AND(D186&lt;&gt;"",NOT(ISNUMBER(D186))),"Hours not a number",IF(N(D186)&lt;=0,"Needs the hours",IF(C186="","Needs a name",IF(COUNTIF(Volunteers!$B$6:$B$105,C186)=0,"Not on Volunteers",""))))))</f>
        <v/>
      </c>
      <c r="H186" s="1" t="n"/>
      <c r="I186">
        <f>IF(ISNUMBER(B186),YEAR(B186),"")</f>
        <v/>
      </c>
      <c r="J186">
        <f>IF(ISNUMBER(B186),YEAR(B186)*100+MONTH(B186),"")</f>
        <v/>
      </c>
      <c r="K186">
        <f>IF(ISNUMBER(B186),INT(B186),0)</f>
        <v/>
      </c>
      <c r="L186">
        <f>IF(AND(ISNUMBER(D186),N(D186)&gt;0),K186,0)</f>
        <v/>
      </c>
    </row>
    <row r="187">
      <c r="A187" s="1" t="n"/>
      <c r="B187" s="21" t="n"/>
      <c r="C187" s="22" t="n"/>
      <c r="D187" s="46" t="n"/>
      <c r="E187" s="25" t="n"/>
      <c r="F187" s="25" t="n"/>
      <c r="G187" s="17">
        <f>IF(AND(C187="",D187=""),"",IF(NOT(ISNUMBER(B187)),"Needs a date",IF(AND(D187&lt;&gt;"",NOT(ISNUMBER(D187))),"Hours not a number",IF(N(D187)&lt;=0,"Needs the hours",IF(C187="","Needs a name",IF(COUNTIF(Volunteers!$B$6:$B$105,C187)=0,"Not on Volunteers",""))))))</f>
        <v/>
      </c>
      <c r="H187" s="1" t="n"/>
      <c r="I187">
        <f>IF(ISNUMBER(B187),YEAR(B187),"")</f>
        <v/>
      </c>
      <c r="J187">
        <f>IF(ISNUMBER(B187),YEAR(B187)*100+MONTH(B187),"")</f>
        <v/>
      </c>
      <c r="K187">
        <f>IF(ISNUMBER(B187),INT(B187),0)</f>
        <v/>
      </c>
      <c r="L187">
        <f>IF(AND(ISNUMBER(D187),N(D187)&gt;0),K187,0)</f>
        <v/>
      </c>
    </row>
    <row r="188">
      <c r="A188" s="1" t="n"/>
      <c r="B188" s="21" t="n"/>
      <c r="C188" s="22" t="n"/>
      <c r="D188" s="46" t="n"/>
      <c r="E188" s="25" t="n"/>
      <c r="F188" s="25" t="n"/>
      <c r="G188" s="17">
        <f>IF(AND(C188="",D188=""),"",IF(NOT(ISNUMBER(B188)),"Needs a date",IF(AND(D188&lt;&gt;"",NOT(ISNUMBER(D188))),"Hours not a number",IF(N(D188)&lt;=0,"Needs the hours",IF(C188="","Needs a name",IF(COUNTIF(Volunteers!$B$6:$B$105,C188)=0,"Not on Volunteers",""))))))</f>
        <v/>
      </c>
      <c r="H188" s="1" t="n"/>
      <c r="I188">
        <f>IF(ISNUMBER(B188),YEAR(B188),"")</f>
        <v/>
      </c>
      <c r="J188">
        <f>IF(ISNUMBER(B188),YEAR(B188)*100+MONTH(B188),"")</f>
        <v/>
      </c>
      <c r="K188">
        <f>IF(ISNUMBER(B188),INT(B188),0)</f>
        <v/>
      </c>
      <c r="L188">
        <f>IF(AND(ISNUMBER(D188),N(D188)&gt;0),K188,0)</f>
        <v/>
      </c>
    </row>
    <row r="189">
      <c r="A189" s="1" t="n"/>
      <c r="B189" s="21" t="n"/>
      <c r="C189" s="22" t="n"/>
      <c r="D189" s="46" t="n"/>
      <c r="E189" s="25" t="n"/>
      <c r="F189" s="25" t="n"/>
      <c r="G189" s="17">
        <f>IF(AND(C189="",D189=""),"",IF(NOT(ISNUMBER(B189)),"Needs a date",IF(AND(D189&lt;&gt;"",NOT(ISNUMBER(D189))),"Hours not a number",IF(N(D189)&lt;=0,"Needs the hours",IF(C189="","Needs a name",IF(COUNTIF(Volunteers!$B$6:$B$105,C189)=0,"Not on Volunteers",""))))))</f>
        <v/>
      </c>
      <c r="H189" s="1" t="n"/>
      <c r="I189">
        <f>IF(ISNUMBER(B189),YEAR(B189),"")</f>
        <v/>
      </c>
      <c r="J189">
        <f>IF(ISNUMBER(B189),YEAR(B189)*100+MONTH(B189),"")</f>
        <v/>
      </c>
      <c r="K189">
        <f>IF(ISNUMBER(B189),INT(B189),0)</f>
        <v/>
      </c>
      <c r="L189">
        <f>IF(AND(ISNUMBER(D189),N(D189)&gt;0),K189,0)</f>
        <v/>
      </c>
    </row>
    <row r="190">
      <c r="A190" s="1" t="n"/>
      <c r="B190" s="21" t="n"/>
      <c r="C190" s="22" t="n"/>
      <c r="D190" s="46" t="n"/>
      <c r="E190" s="25" t="n"/>
      <c r="F190" s="25" t="n"/>
      <c r="G190" s="17">
        <f>IF(AND(C190="",D190=""),"",IF(NOT(ISNUMBER(B190)),"Needs a date",IF(AND(D190&lt;&gt;"",NOT(ISNUMBER(D190))),"Hours not a number",IF(N(D190)&lt;=0,"Needs the hours",IF(C190="","Needs a name",IF(COUNTIF(Volunteers!$B$6:$B$105,C190)=0,"Not on Volunteers",""))))))</f>
        <v/>
      </c>
      <c r="H190" s="1" t="n"/>
      <c r="I190">
        <f>IF(ISNUMBER(B190),YEAR(B190),"")</f>
        <v/>
      </c>
      <c r="J190">
        <f>IF(ISNUMBER(B190),YEAR(B190)*100+MONTH(B190),"")</f>
        <v/>
      </c>
      <c r="K190">
        <f>IF(ISNUMBER(B190),INT(B190),0)</f>
        <v/>
      </c>
      <c r="L190">
        <f>IF(AND(ISNUMBER(D190),N(D190)&gt;0),K190,0)</f>
        <v/>
      </c>
    </row>
    <row r="191">
      <c r="A191" s="1" t="n"/>
      <c r="B191" s="21" t="n"/>
      <c r="C191" s="22" t="n"/>
      <c r="D191" s="46" t="n"/>
      <c r="E191" s="25" t="n"/>
      <c r="F191" s="25" t="n"/>
      <c r="G191" s="17">
        <f>IF(AND(C191="",D191=""),"",IF(NOT(ISNUMBER(B191)),"Needs a date",IF(AND(D191&lt;&gt;"",NOT(ISNUMBER(D191))),"Hours not a number",IF(N(D191)&lt;=0,"Needs the hours",IF(C191="","Needs a name",IF(COUNTIF(Volunteers!$B$6:$B$105,C191)=0,"Not on Volunteers",""))))))</f>
        <v/>
      </c>
      <c r="H191" s="1" t="n"/>
      <c r="I191">
        <f>IF(ISNUMBER(B191),YEAR(B191),"")</f>
        <v/>
      </c>
      <c r="J191">
        <f>IF(ISNUMBER(B191),YEAR(B191)*100+MONTH(B191),"")</f>
        <v/>
      </c>
      <c r="K191">
        <f>IF(ISNUMBER(B191),INT(B191),0)</f>
        <v/>
      </c>
      <c r="L191">
        <f>IF(AND(ISNUMBER(D191),N(D191)&gt;0),K191,0)</f>
        <v/>
      </c>
    </row>
    <row r="192">
      <c r="A192" s="1" t="n"/>
      <c r="B192" s="21" t="n"/>
      <c r="C192" s="22" t="n"/>
      <c r="D192" s="46" t="n"/>
      <c r="E192" s="25" t="n"/>
      <c r="F192" s="25" t="n"/>
      <c r="G192" s="17">
        <f>IF(AND(C192="",D192=""),"",IF(NOT(ISNUMBER(B192)),"Needs a date",IF(AND(D192&lt;&gt;"",NOT(ISNUMBER(D192))),"Hours not a number",IF(N(D192)&lt;=0,"Needs the hours",IF(C192="","Needs a name",IF(COUNTIF(Volunteers!$B$6:$B$105,C192)=0,"Not on Volunteers",""))))))</f>
        <v/>
      </c>
      <c r="H192" s="1" t="n"/>
      <c r="I192">
        <f>IF(ISNUMBER(B192),YEAR(B192),"")</f>
        <v/>
      </c>
      <c r="J192">
        <f>IF(ISNUMBER(B192),YEAR(B192)*100+MONTH(B192),"")</f>
        <v/>
      </c>
      <c r="K192">
        <f>IF(ISNUMBER(B192),INT(B192),0)</f>
        <v/>
      </c>
      <c r="L192">
        <f>IF(AND(ISNUMBER(D192),N(D192)&gt;0),K192,0)</f>
        <v/>
      </c>
    </row>
    <row r="193">
      <c r="A193" s="1" t="n"/>
      <c r="B193" s="21" t="n"/>
      <c r="C193" s="22" t="n"/>
      <c r="D193" s="46" t="n"/>
      <c r="E193" s="25" t="n"/>
      <c r="F193" s="25" t="n"/>
      <c r="G193" s="17">
        <f>IF(AND(C193="",D193=""),"",IF(NOT(ISNUMBER(B193)),"Needs a date",IF(AND(D193&lt;&gt;"",NOT(ISNUMBER(D193))),"Hours not a number",IF(N(D193)&lt;=0,"Needs the hours",IF(C193="","Needs a name",IF(COUNTIF(Volunteers!$B$6:$B$105,C193)=0,"Not on Volunteers",""))))))</f>
        <v/>
      </c>
      <c r="H193" s="1" t="n"/>
      <c r="I193">
        <f>IF(ISNUMBER(B193),YEAR(B193),"")</f>
        <v/>
      </c>
      <c r="J193">
        <f>IF(ISNUMBER(B193),YEAR(B193)*100+MONTH(B193),"")</f>
        <v/>
      </c>
      <c r="K193">
        <f>IF(ISNUMBER(B193),INT(B193),0)</f>
        <v/>
      </c>
      <c r="L193">
        <f>IF(AND(ISNUMBER(D193),N(D193)&gt;0),K193,0)</f>
        <v/>
      </c>
    </row>
    <row r="194">
      <c r="A194" s="1" t="n"/>
      <c r="B194" s="21" t="n"/>
      <c r="C194" s="22" t="n"/>
      <c r="D194" s="46" t="n"/>
      <c r="E194" s="25" t="n"/>
      <c r="F194" s="25" t="n"/>
      <c r="G194" s="17">
        <f>IF(AND(C194="",D194=""),"",IF(NOT(ISNUMBER(B194)),"Needs a date",IF(AND(D194&lt;&gt;"",NOT(ISNUMBER(D194))),"Hours not a number",IF(N(D194)&lt;=0,"Needs the hours",IF(C194="","Needs a name",IF(COUNTIF(Volunteers!$B$6:$B$105,C194)=0,"Not on Volunteers",""))))))</f>
        <v/>
      </c>
      <c r="H194" s="1" t="n"/>
      <c r="I194">
        <f>IF(ISNUMBER(B194),YEAR(B194),"")</f>
        <v/>
      </c>
      <c r="J194">
        <f>IF(ISNUMBER(B194),YEAR(B194)*100+MONTH(B194),"")</f>
        <v/>
      </c>
      <c r="K194">
        <f>IF(ISNUMBER(B194),INT(B194),0)</f>
        <v/>
      </c>
      <c r="L194">
        <f>IF(AND(ISNUMBER(D194),N(D194)&gt;0),K194,0)</f>
        <v/>
      </c>
    </row>
    <row r="195">
      <c r="A195" s="1" t="n"/>
      <c r="B195" s="21" t="n"/>
      <c r="C195" s="22" t="n"/>
      <c r="D195" s="46" t="n"/>
      <c r="E195" s="25" t="n"/>
      <c r="F195" s="25" t="n"/>
      <c r="G195" s="17">
        <f>IF(AND(C195="",D195=""),"",IF(NOT(ISNUMBER(B195)),"Needs a date",IF(AND(D195&lt;&gt;"",NOT(ISNUMBER(D195))),"Hours not a number",IF(N(D195)&lt;=0,"Needs the hours",IF(C195="","Needs a name",IF(COUNTIF(Volunteers!$B$6:$B$105,C195)=0,"Not on Volunteers",""))))))</f>
        <v/>
      </c>
      <c r="H195" s="1" t="n"/>
      <c r="I195">
        <f>IF(ISNUMBER(B195),YEAR(B195),"")</f>
        <v/>
      </c>
      <c r="J195">
        <f>IF(ISNUMBER(B195),YEAR(B195)*100+MONTH(B195),"")</f>
        <v/>
      </c>
      <c r="K195">
        <f>IF(ISNUMBER(B195),INT(B195),0)</f>
        <v/>
      </c>
      <c r="L195">
        <f>IF(AND(ISNUMBER(D195),N(D195)&gt;0),K195,0)</f>
        <v/>
      </c>
    </row>
    <row r="196">
      <c r="A196" s="1" t="n"/>
      <c r="B196" s="21" t="n"/>
      <c r="C196" s="22" t="n"/>
      <c r="D196" s="46" t="n"/>
      <c r="E196" s="25" t="n"/>
      <c r="F196" s="25" t="n"/>
      <c r="G196" s="17">
        <f>IF(AND(C196="",D196=""),"",IF(NOT(ISNUMBER(B196)),"Needs a date",IF(AND(D196&lt;&gt;"",NOT(ISNUMBER(D196))),"Hours not a number",IF(N(D196)&lt;=0,"Needs the hours",IF(C196="","Needs a name",IF(COUNTIF(Volunteers!$B$6:$B$105,C196)=0,"Not on Volunteers",""))))))</f>
        <v/>
      </c>
      <c r="H196" s="1" t="n"/>
      <c r="I196">
        <f>IF(ISNUMBER(B196),YEAR(B196),"")</f>
        <v/>
      </c>
      <c r="J196">
        <f>IF(ISNUMBER(B196),YEAR(B196)*100+MONTH(B196),"")</f>
        <v/>
      </c>
      <c r="K196">
        <f>IF(ISNUMBER(B196),INT(B196),0)</f>
        <v/>
      </c>
      <c r="L196">
        <f>IF(AND(ISNUMBER(D196),N(D196)&gt;0),K196,0)</f>
        <v/>
      </c>
    </row>
    <row r="197">
      <c r="A197" s="1" t="n"/>
      <c r="B197" s="21" t="n"/>
      <c r="C197" s="22" t="n"/>
      <c r="D197" s="46" t="n"/>
      <c r="E197" s="25" t="n"/>
      <c r="F197" s="25" t="n"/>
      <c r="G197" s="17">
        <f>IF(AND(C197="",D197=""),"",IF(NOT(ISNUMBER(B197)),"Needs a date",IF(AND(D197&lt;&gt;"",NOT(ISNUMBER(D197))),"Hours not a number",IF(N(D197)&lt;=0,"Needs the hours",IF(C197="","Needs a name",IF(COUNTIF(Volunteers!$B$6:$B$105,C197)=0,"Not on Volunteers",""))))))</f>
        <v/>
      </c>
      <c r="H197" s="1" t="n"/>
      <c r="I197">
        <f>IF(ISNUMBER(B197),YEAR(B197),"")</f>
        <v/>
      </c>
      <c r="J197">
        <f>IF(ISNUMBER(B197),YEAR(B197)*100+MONTH(B197),"")</f>
        <v/>
      </c>
      <c r="K197">
        <f>IF(ISNUMBER(B197),INT(B197),0)</f>
        <v/>
      </c>
      <c r="L197">
        <f>IF(AND(ISNUMBER(D197),N(D197)&gt;0),K197,0)</f>
        <v/>
      </c>
    </row>
    <row r="198">
      <c r="A198" s="1" t="n"/>
      <c r="B198" s="21" t="n"/>
      <c r="C198" s="22" t="n"/>
      <c r="D198" s="46" t="n"/>
      <c r="E198" s="25" t="n"/>
      <c r="F198" s="25" t="n"/>
      <c r="G198" s="17">
        <f>IF(AND(C198="",D198=""),"",IF(NOT(ISNUMBER(B198)),"Needs a date",IF(AND(D198&lt;&gt;"",NOT(ISNUMBER(D198))),"Hours not a number",IF(N(D198)&lt;=0,"Needs the hours",IF(C198="","Needs a name",IF(COUNTIF(Volunteers!$B$6:$B$105,C198)=0,"Not on Volunteers",""))))))</f>
        <v/>
      </c>
      <c r="H198" s="1" t="n"/>
      <c r="I198">
        <f>IF(ISNUMBER(B198),YEAR(B198),"")</f>
        <v/>
      </c>
      <c r="J198">
        <f>IF(ISNUMBER(B198),YEAR(B198)*100+MONTH(B198),"")</f>
        <v/>
      </c>
      <c r="K198">
        <f>IF(ISNUMBER(B198),INT(B198),0)</f>
        <v/>
      </c>
      <c r="L198">
        <f>IF(AND(ISNUMBER(D198),N(D198)&gt;0),K198,0)</f>
        <v/>
      </c>
    </row>
    <row r="199">
      <c r="A199" s="1" t="n"/>
      <c r="B199" s="21" t="n"/>
      <c r="C199" s="22" t="n"/>
      <c r="D199" s="46" t="n"/>
      <c r="E199" s="25" t="n"/>
      <c r="F199" s="25" t="n"/>
      <c r="G199" s="17">
        <f>IF(AND(C199="",D199=""),"",IF(NOT(ISNUMBER(B199)),"Needs a date",IF(AND(D199&lt;&gt;"",NOT(ISNUMBER(D199))),"Hours not a number",IF(N(D199)&lt;=0,"Needs the hours",IF(C199="","Needs a name",IF(COUNTIF(Volunteers!$B$6:$B$105,C199)=0,"Not on Volunteers",""))))))</f>
        <v/>
      </c>
      <c r="H199" s="1" t="n"/>
      <c r="I199">
        <f>IF(ISNUMBER(B199),YEAR(B199),"")</f>
        <v/>
      </c>
      <c r="J199">
        <f>IF(ISNUMBER(B199),YEAR(B199)*100+MONTH(B199),"")</f>
        <v/>
      </c>
      <c r="K199">
        <f>IF(ISNUMBER(B199),INT(B199),0)</f>
        <v/>
      </c>
      <c r="L199">
        <f>IF(AND(ISNUMBER(D199),N(D199)&gt;0),K199,0)</f>
        <v/>
      </c>
    </row>
    <row r="200">
      <c r="A200" s="1" t="n"/>
      <c r="B200" s="21" t="n"/>
      <c r="C200" s="22" t="n"/>
      <c r="D200" s="46" t="n"/>
      <c r="E200" s="25" t="n"/>
      <c r="F200" s="25" t="n"/>
      <c r="G200" s="17">
        <f>IF(AND(C200="",D200=""),"",IF(NOT(ISNUMBER(B200)),"Needs a date",IF(AND(D200&lt;&gt;"",NOT(ISNUMBER(D200))),"Hours not a number",IF(N(D200)&lt;=0,"Needs the hours",IF(C200="","Needs a name",IF(COUNTIF(Volunteers!$B$6:$B$105,C200)=0,"Not on Volunteers",""))))))</f>
        <v/>
      </c>
      <c r="H200" s="1" t="n"/>
      <c r="I200">
        <f>IF(ISNUMBER(B200),YEAR(B200),"")</f>
        <v/>
      </c>
      <c r="J200">
        <f>IF(ISNUMBER(B200),YEAR(B200)*100+MONTH(B200),"")</f>
        <v/>
      </c>
      <c r="K200">
        <f>IF(ISNUMBER(B200),INT(B200),0)</f>
        <v/>
      </c>
      <c r="L200">
        <f>IF(AND(ISNUMBER(D200),N(D200)&gt;0),K200,0)</f>
        <v/>
      </c>
    </row>
    <row r="201">
      <c r="A201" s="1" t="n"/>
      <c r="B201" s="21" t="n"/>
      <c r="C201" s="22" t="n"/>
      <c r="D201" s="46" t="n"/>
      <c r="E201" s="25" t="n"/>
      <c r="F201" s="25" t="n"/>
      <c r="G201" s="17">
        <f>IF(AND(C201="",D201=""),"",IF(NOT(ISNUMBER(B201)),"Needs a date",IF(AND(D201&lt;&gt;"",NOT(ISNUMBER(D201))),"Hours not a number",IF(N(D201)&lt;=0,"Needs the hours",IF(C201="","Needs a name",IF(COUNTIF(Volunteers!$B$6:$B$105,C201)=0,"Not on Volunteers",""))))))</f>
        <v/>
      </c>
      <c r="H201" s="1" t="n"/>
      <c r="I201">
        <f>IF(ISNUMBER(B201),YEAR(B201),"")</f>
        <v/>
      </c>
      <c r="J201">
        <f>IF(ISNUMBER(B201),YEAR(B201)*100+MONTH(B201),"")</f>
        <v/>
      </c>
      <c r="K201">
        <f>IF(ISNUMBER(B201),INT(B201),0)</f>
        <v/>
      </c>
      <c r="L201">
        <f>IF(AND(ISNUMBER(D201),N(D201)&gt;0),K201,0)</f>
        <v/>
      </c>
    </row>
    <row r="202">
      <c r="A202" s="1" t="n"/>
      <c r="B202" s="21" t="n"/>
      <c r="C202" s="22" t="n"/>
      <c r="D202" s="46" t="n"/>
      <c r="E202" s="25" t="n"/>
      <c r="F202" s="25" t="n"/>
      <c r="G202" s="17">
        <f>IF(AND(C202="",D202=""),"",IF(NOT(ISNUMBER(B202)),"Needs a date",IF(AND(D202&lt;&gt;"",NOT(ISNUMBER(D202))),"Hours not a number",IF(N(D202)&lt;=0,"Needs the hours",IF(C202="","Needs a name",IF(COUNTIF(Volunteers!$B$6:$B$105,C202)=0,"Not on Volunteers",""))))))</f>
        <v/>
      </c>
      <c r="H202" s="1" t="n"/>
      <c r="I202">
        <f>IF(ISNUMBER(B202),YEAR(B202),"")</f>
        <v/>
      </c>
      <c r="J202">
        <f>IF(ISNUMBER(B202),YEAR(B202)*100+MONTH(B202),"")</f>
        <v/>
      </c>
      <c r="K202">
        <f>IF(ISNUMBER(B202),INT(B202),0)</f>
        <v/>
      </c>
      <c r="L202">
        <f>IF(AND(ISNUMBER(D202),N(D202)&gt;0),K202,0)</f>
        <v/>
      </c>
    </row>
    <row r="203">
      <c r="A203" s="1" t="n"/>
      <c r="B203" s="21" t="n"/>
      <c r="C203" s="22" t="n"/>
      <c r="D203" s="46" t="n"/>
      <c r="E203" s="25" t="n"/>
      <c r="F203" s="25" t="n"/>
      <c r="G203" s="17">
        <f>IF(AND(C203="",D203=""),"",IF(NOT(ISNUMBER(B203)),"Needs a date",IF(AND(D203&lt;&gt;"",NOT(ISNUMBER(D203))),"Hours not a number",IF(N(D203)&lt;=0,"Needs the hours",IF(C203="","Needs a name",IF(COUNTIF(Volunteers!$B$6:$B$105,C203)=0,"Not on Volunteers",""))))))</f>
        <v/>
      </c>
      <c r="H203" s="1" t="n"/>
      <c r="I203">
        <f>IF(ISNUMBER(B203),YEAR(B203),"")</f>
        <v/>
      </c>
      <c r="J203">
        <f>IF(ISNUMBER(B203),YEAR(B203)*100+MONTH(B203),"")</f>
        <v/>
      </c>
      <c r="K203">
        <f>IF(ISNUMBER(B203),INT(B203),0)</f>
        <v/>
      </c>
      <c r="L203">
        <f>IF(AND(ISNUMBER(D203),N(D203)&gt;0),K203,0)</f>
        <v/>
      </c>
    </row>
    <row r="204">
      <c r="A204" s="1" t="n"/>
      <c r="B204" s="21" t="n"/>
      <c r="C204" s="22" t="n"/>
      <c r="D204" s="46" t="n"/>
      <c r="E204" s="25" t="n"/>
      <c r="F204" s="25" t="n"/>
      <c r="G204" s="17">
        <f>IF(AND(C204="",D204=""),"",IF(NOT(ISNUMBER(B204)),"Needs a date",IF(AND(D204&lt;&gt;"",NOT(ISNUMBER(D204))),"Hours not a number",IF(N(D204)&lt;=0,"Needs the hours",IF(C204="","Needs a name",IF(COUNTIF(Volunteers!$B$6:$B$105,C204)=0,"Not on Volunteers",""))))))</f>
        <v/>
      </c>
      <c r="H204" s="1" t="n"/>
      <c r="I204">
        <f>IF(ISNUMBER(B204),YEAR(B204),"")</f>
        <v/>
      </c>
      <c r="J204">
        <f>IF(ISNUMBER(B204),YEAR(B204)*100+MONTH(B204),"")</f>
        <v/>
      </c>
      <c r="K204">
        <f>IF(ISNUMBER(B204),INT(B204),0)</f>
        <v/>
      </c>
      <c r="L204">
        <f>IF(AND(ISNUMBER(D204),N(D204)&gt;0),K204,0)</f>
        <v/>
      </c>
    </row>
    <row r="205">
      <c r="A205" s="1" t="n"/>
      <c r="B205" s="21" t="n"/>
      <c r="C205" s="22" t="n"/>
      <c r="D205" s="46" t="n"/>
      <c r="E205" s="25" t="n"/>
      <c r="F205" s="25" t="n"/>
      <c r="G205" s="17">
        <f>IF(AND(C205="",D205=""),"",IF(NOT(ISNUMBER(B205)),"Needs a date",IF(AND(D205&lt;&gt;"",NOT(ISNUMBER(D205))),"Hours not a number",IF(N(D205)&lt;=0,"Needs the hours",IF(C205="","Needs a name",IF(COUNTIF(Volunteers!$B$6:$B$105,C205)=0,"Not on Volunteers",""))))))</f>
        <v/>
      </c>
      <c r="H205" s="1" t="n"/>
      <c r="I205">
        <f>IF(ISNUMBER(B205),YEAR(B205),"")</f>
        <v/>
      </c>
      <c r="J205">
        <f>IF(ISNUMBER(B205),YEAR(B205)*100+MONTH(B205),"")</f>
        <v/>
      </c>
      <c r="K205">
        <f>IF(ISNUMBER(B205),INT(B205),0)</f>
        <v/>
      </c>
      <c r="L205">
        <f>IF(AND(ISNUMBER(D205),N(D205)&gt;0),K205,0)</f>
        <v/>
      </c>
    </row>
    <row r="206">
      <c r="A206" s="1" t="n"/>
      <c r="B206" s="21" t="n"/>
      <c r="C206" s="22" t="n"/>
      <c r="D206" s="46" t="n"/>
      <c r="E206" s="25" t="n"/>
      <c r="F206" s="25" t="n"/>
      <c r="G206" s="17">
        <f>IF(AND(C206="",D206=""),"",IF(NOT(ISNUMBER(B206)),"Needs a date",IF(AND(D206&lt;&gt;"",NOT(ISNUMBER(D206))),"Hours not a number",IF(N(D206)&lt;=0,"Needs the hours",IF(C206="","Needs a name",IF(COUNTIF(Volunteers!$B$6:$B$105,C206)=0,"Not on Volunteers",""))))))</f>
        <v/>
      </c>
      <c r="H206" s="1" t="n"/>
      <c r="I206">
        <f>IF(ISNUMBER(B206),YEAR(B206),"")</f>
        <v/>
      </c>
      <c r="J206">
        <f>IF(ISNUMBER(B206),YEAR(B206)*100+MONTH(B206),"")</f>
        <v/>
      </c>
      <c r="K206">
        <f>IF(ISNUMBER(B206),INT(B206),0)</f>
        <v/>
      </c>
      <c r="L206">
        <f>IF(AND(ISNUMBER(D206),N(D206)&gt;0),K206,0)</f>
        <v/>
      </c>
    </row>
    <row r="207">
      <c r="A207" s="1" t="n"/>
      <c r="B207" s="21" t="n"/>
      <c r="C207" s="22" t="n"/>
      <c r="D207" s="46" t="n"/>
      <c r="E207" s="25" t="n"/>
      <c r="F207" s="25" t="n"/>
      <c r="G207" s="17">
        <f>IF(AND(C207="",D207=""),"",IF(NOT(ISNUMBER(B207)),"Needs a date",IF(AND(D207&lt;&gt;"",NOT(ISNUMBER(D207))),"Hours not a number",IF(N(D207)&lt;=0,"Needs the hours",IF(C207="","Needs a name",IF(COUNTIF(Volunteers!$B$6:$B$105,C207)=0,"Not on Volunteers",""))))))</f>
        <v/>
      </c>
      <c r="H207" s="1" t="n"/>
      <c r="I207">
        <f>IF(ISNUMBER(B207),YEAR(B207),"")</f>
        <v/>
      </c>
      <c r="J207">
        <f>IF(ISNUMBER(B207),YEAR(B207)*100+MONTH(B207),"")</f>
        <v/>
      </c>
      <c r="K207">
        <f>IF(ISNUMBER(B207),INT(B207),0)</f>
        <v/>
      </c>
      <c r="L207">
        <f>IF(AND(ISNUMBER(D207),N(D207)&gt;0),K207,0)</f>
        <v/>
      </c>
    </row>
    <row r="208">
      <c r="A208" s="1" t="n"/>
      <c r="B208" s="21" t="n"/>
      <c r="C208" s="22" t="n"/>
      <c r="D208" s="46" t="n"/>
      <c r="E208" s="25" t="n"/>
      <c r="F208" s="25" t="n"/>
      <c r="G208" s="17">
        <f>IF(AND(C208="",D208=""),"",IF(NOT(ISNUMBER(B208)),"Needs a date",IF(AND(D208&lt;&gt;"",NOT(ISNUMBER(D208))),"Hours not a number",IF(N(D208)&lt;=0,"Needs the hours",IF(C208="","Needs a name",IF(COUNTIF(Volunteers!$B$6:$B$105,C208)=0,"Not on Volunteers",""))))))</f>
        <v/>
      </c>
      <c r="H208" s="1" t="n"/>
      <c r="I208">
        <f>IF(ISNUMBER(B208),YEAR(B208),"")</f>
        <v/>
      </c>
      <c r="J208">
        <f>IF(ISNUMBER(B208),YEAR(B208)*100+MONTH(B208),"")</f>
        <v/>
      </c>
      <c r="K208">
        <f>IF(ISNUMBER(B208),INT(B208),0)</f>
        <v/>
      </c>
      <c r="L208">
        <f>IF(AND(ISNUMBER(D208),N(D208)&gt;0),K208,0)</f>
        <v/>
      </c>
    </row>
    <row r="209">
      <c r="A209" s="1" t="n"/>
      <c r="B209" s="21" t="n"/>
      <c r="C209" s="22" t="n"/>
      <c r="D209" s="46" t="n"/>
      <c r="E209" s="25" t="n"/>
      <c r="F209" s="25" t="n"/>
      <c r="G209" s="17">
        <f>IF(AND(C209="",D209=""),"",IF(NOT(ISNUMBER(B209)),"Needs a date",IF(AND(D209&lt;&gt;"",NOT(ISNUMBER(D209))),"Hours not a number",IF(N(D209)&lt;=0,"Needs the hours",IF(C209="","Needs a name",IF(COUNTIF(Volunteers!$B$6:$B$105,C209)=0,"Not on Volunteers",""))))))</f>
        <v/>
      </c>
      <c r="H209" s="1" t="n"/>
      <c r="I209">
        <f>IF(ISNUMBER(B209),YEAR(B209),"")</f>
        <v/>
      </c>
      <c r="J209">
        <f>IF(ISNUMBER(B209),YEAR(B209)*100+MONTH(B209),"")</f>
        <v/>
      </c>
      <c r="K209">
        <f>IF(ISNUMBER(B209),INT(B209),0)</f>
        <v/>
      </c>
      <c r="L209">
        <f>IF(AND(ISNUMBER(D209),N(D209)&gt;0),K209,0)</f>
        <v/>
      </c>
    </row>
    <row r="210">
      <c r="A210" s="1" t="n"/>
      <c r="B210" s="21" t="n"/>
      <c r="C210" s="22" t="n"/>
      <c r="D210" s="46" t="n"/>
      <c r="E210" s="25" t="n"/>
      <c r="F210" s="25" t="n"/>
      <c r="G210" s="17">
        <f>IF(AND(C210="",D210=""),"",IF(NOT(ISNUMBER(B210)),"Needs a date",IF(AND(D210&lt;&gt;"",NOT(ISNUMBER(D210))),"Hours not a number",IF(N(D210)&lt;=0,"Needs the hours",IF(C210="","Needs a name",IF(COUNTIF(Volunteers!$B$6:$B$105,C210)=0,"Not on Volunteers",""))))))</f>
        <v/>
      </c>
      <c r="H210" s="1" t="n"/>
      <c r="I210">
        <f>IF(ISNUMBER(B210),YEAR(B210),"")</f>
        <v/>
      </c>
      <c r="J210">
        <f>IF(ISNUMBER(B210),YEAR(B210)*100+MONTH(B210),"")</f>
        <v/>
      </c>
      <c r="K210">
        <f>IF(ISNUMBER(B210),INT(B210),0)</f>
        <v/>
      </c>
      <c r="L210">
        <f>IF(AND(ISNUMBER(D210),N(D210)&gt;0),K210,0)</f>
        <v/>
      </c>
    </row>
    <row r="211">
      <c r="A211" s="1" t="n"/>
      <c r="B211" s="21" t="n"/>
      <c r="C211" s="22" t="n"/>
      <c r="D211" s="46" t="n"/>
      <c r="E211" s="25" t="n"/>
      <c r="F211" s="25" t="n"/>
      <c r="G211" s="17">
        <f>IF(AND(C211="",D211=""),"",IF(NOT(ISNUMBER(B211)),"Needs a date",IF(AND(D211&lt;&gt;"",NOT(ISNUMBER(D211))),"Hours not a number",IF(N(D211)&lt;=0,"Needs the hours",IF(C211="","Needs a name",IF(COUNTIF(Volunteers!$B$6:$B$105,C211)=0,"Not on Volunteers",""))))))</f>
        <v/>
      </c>
      <c r="H211" s="1" t="n"/>
      <c r="I211">
        <f>IF(ISNUMBER(B211),YEAR(B211),"")</f>
        <v/>
      </c>
      <c r="J211">
        <f>IF(ISNUMBER(B211),YEAR(B211)*100+MONTH(B211),"")</f>
        <v/>
      </c>
      <c r="K211">
        <f>IF(ISNUMBER(B211),INT(B211),0)</f>
        <v/>
      </c>
      <c r="L211">
        <f>IF(AND(ISNUMBER(D211),N(D211)&gt;0),K211,0)</f>
        <v/>
      </c>
    </row>
    <row r="212">
      <c r="A212" s="1" t="n"/>
      <c r="B212" s="21" t="n"/>
      <c r="C212" s="22" t="n"/>
      <c r="D212" s="46" t="n"/>
      <c r="E212" s="25" t="n"/>
      <c r="F212" s="25" t="n"/>
      <c r="G212" s="17">
        <f>IF(AND(C212="",D212=""),"",IF(NOT(ISNUMBER(B212)),"Needs a date",IF(AND(D212&lt;&gt;"",NOT(ISNUMBER(D212))),"Hours not a number",IF(N(D212)&lt;=0,"Needs the hours",IF(C212="","Needs a name",IF(COUNTIF(Volunteers!$B$6:$B$105,C212)=0,"Not on Volunteers",""))))))</f>
        <v/>
      </c>
      <c r="H212" s="1" t="n"/>
      <c r="I212">
        <f>IF(ISNUMBER(B212),YEAR(B212),"")</f>
        <v/>
      </c>
      <c r="J212">
        <f>IF(ISNUMBER(B212),YEAR(B212)*100+MONTH(B212),"")</f>
        <v/>
      </c>
      <c r="K212">
        <f>IF(ISNUMBER(B212),INT(B212),0)</f>
        <v/>
      </c>
      <c r="L212">
        <f>IF(AND(ISNUMBER(D212),N(D212)&gt;0),K212,0)</f>
        <v/>
      </c>
    </row>
    <row r="213">
      <c r="A213" s="1" t="n"/>
      <c r="B213" s="21" t="n"/>
      <c r="C213" s="22" t="n"/>
      <c r="D213" s="46" t="n"/>
      <c r="E213" s="25" t="n"/>
      <c r="F213" s="25" t="n"/>
      <c r="G213" s="17">
        <f>IF(AND(C213="",D213=""),"",IF(NOT(ISNUMBER(B213)),"Needs a date",IF(AND(D213&lt;&gt;"",NOT(ISNUMBER(D213))),"Hours not a number",IF(N(D213)&lt;=0,"Needs the hours",IF(C213="","Needs a name",IF(COUNTIF(Volunteers!$B$6:$B$105,C213)=0,"Not on Volunteers",""))))))</f>
        <v/>
      </c>
      <c r="H213" s="1" t="n"/>
      <c r="I213">
        <f>IF(ISNUMBER(B213),YEAR(B213),"")</f>
        <v/>
      </c>
      <c r="J213">
        <f>IF(ISNUMBER(B213),YEAR(B213)*100+MONTH(B213),"")</f>
        <v/>
      </c>
      <c r="K213">
        <f>IF(ISNUMBER(B213),INT(B213),0)</f>
        <v/>
      </c>
      <c r="L213">
        <f>IF(AND(ISNUMBER(D213),N(D213)&gt;0),K213,0)</f>
        <v/>
      </c>
    </row>
    <row r="214">
      <c r="A214" s="1" t="n"/>
      <c r="B214" s="21" t="n"/>
      <c r="C214" s="22" t="n"/>
      <c r="D214" s="46" t="n"/>
      <c r="E214" s="25" t="n"/>
      <c r="F214" s="25" t="n"/>
      <c r="G214" s="17">
        <f>IF(AND(C214="",D214=""),"",IF(NOT(ISNUMBER(B214)),"Needs a date",IF(AND(D214&lt;&gt;"",NOT(ISNUMBER(D214))),"Hours not a number",IF(N(D214)&lt;=0,"Needs the hours",IF(C214="","Needs a name",IF(COUNTIF(Volunteers!$B$6:$B$105,C214)=0,"Not on Volunteers",""))))))</f>
        <v/>
      </c>
      <c r="H214" s="1" t="n"/>
      <c r="I214">
        <f>IF(ISNUMBER(B214),YEAR(B214),"")</f>
        <v/>
      </c>
      <c r="J214">
        <f>IF(ISNUMBER(B214),YEAR(B214)*100+MONTH(B214),"")</f>
        <v/>
      </c>
      <c r="K214">
        <f>IF(ISNUMBER(B214),INT(B214),0)</f>
        <v/>
      </c>
      <c r="L214">
        <f>IF(AND(ISNUMBER(D214),N(D214)&gt;0),K214,0)</f>
        <v/>
      </c>
    </row>
    <row r="215">
      <c r="A215" s="1" t="n"/>
      <c r="B215" s="21" t="n"/>
      <c r="C215" s="22" t="n"/>
      <c r="D215" s="46" t="n"/>
      <c r="E215" s="25" t="n"/>
      <c r="F215" s="25" t="n"/>
      <c r="G215" s="17">
        <f>IF(AND(C215="",D215=""),"",IF(NOT(ISNUMBER(B215)),"Needs a date",IF(AND(D215&lt;&gt;"",NOT(ISNUMBER(D215))),"Hours not a number",IF(N(D215)&lt;=0,"Needs the hours",IF(C215="","Needs a name",IF(COUNTIF(Volunteers!$B$6:$B$105,C215)=0,"Not on Volunteers",""))))))</f>
        <v/>
      </c>
      <c r="H215" s="1" t="n"/>
      <c r="I215">
        <f>IF(ISNUMBER(B215),YEAR(B215),"")</f>
        <v/>
      </c>
      <c r="J215">
        <f>IF(ISNUMBER(B215),YEAR(B215)*100+MONTH(B215),"")</f>
        <v/>
      </c>
      <c r="K215">
        <f>IF(ISNUMBER(B215),INT(B215),0)</f>
        <v/>
      </c>
      <c r="L215">
        <f>IF(AND(ISNUMBER(D215),N(D215)&gt;0),K215,0)</f>
        <v/>
      </c>
    </row>
    <row r="216">
      <c r="A216" s="1" t="n"/>
      <c r="B216" s="21" t="n"/>
      <c r="C216" s="22" t="n"/>
      <c r="D216" s="46" t="n"/>
      <c r="E216" s="25" t="n"/>
      <c r="F216" s="25" t="n"/>
      <c r="G216" s="17">
        <f>IF(AND(C216="",D216=""),"",IF(NOT(ISNUMBER(B216)),"Needs a date",IF(AND(D216&lt;&gt;"",NOT(ISNUMBER(D216))),"Hours not a number",IF(N(D216)&lt;=0,"Needs the hours",IF(C216="","Needs a name",IF(COUNTIF(Volunteers!$B$6:$B$105,C216)=0,"Not on Volunteers",""))))))</f>
        <v/>
      </c>
      <c r="H216" s="1" t="n"/>
      <c r="I216">
        <f>IF(ISNUMBER(B216),YEAR(B216),"")</f>
        <v/>
      </c>
      <c r="J216">
        <f>IF(ISNUMBER(B216),YEAR(B216)*100+MONTH(B216),"")</f>
        <v/>
      </c>
      <c r="K216">
        <f>IF(ISNUMBER(B216),INT(B216),0)</f>
        <v/>
      </c>
      <c r="L216">
        <f>IF(AND(ISNUMBER(D216),N(D216)&gt;0),K216,0)</f>
        <v/>
      </c>
    </row>
    <row r="217">
      <c r="A217" s="1" t="n"/>
      <c r="B217" s="21" t="n"/>
      <c r="C217" s="22" t="n"/>
      <c r="D217" s="46" t="n"/>
      <c r="E217" s="25" t="n"/>
      <c r="F217" s="25" t="n"/>
      <c r="G217" s="17">
        <f>IF(AND(C217="",D217=""),"",IF(NOT(ISNUMBER(B217)),"Needs a date",IF(AND(D217&lt;&gt;"",NOT(ISNUMBER(D217))),"Hours not a number",IF(N(D217)&lt;=0,"Needs the hours",IF(C217="","Needs a name",IF(COUNTIF(Volunteers!$B$6:$B$105,C217)=0,"Not on Volunteers",""))))))</f>
        <v/>
      </c>
      <c r="H217" s="1" t="n"/>
      <c r="I217">
        <f>IF(ISNUMBER(B217),YEAR(B217),"")</f>
        <v/>
      </c>
      <c r="J217">
        <f>IF(ISNUMBER(B217),YEAR(B217)*100+MONTH(B217),"")</f>
        <v/>
      </c>
      <c r="K217">
        <f>IF(ISNUMBER(B217),INT(B217),0)</f>
        <v/>
      </c>
      <c r="L217">
        <f>IF(AND(ISNUMBER(D217),N(D217)&gt;0),K217,0)</f>
        <v/>
      </c>
    </row>
    <row r="218">
      <c r="A218" s="1" t="n"/>
      <c r="B218" s="21" t="n"/>
      <c r="C218" s="22" t="n"/>
      <c r="D218" s="46" t="n"/>
      <c r="E218" s="25" t="n"/>
      <c r="F218" s="25" t="n"/>
      <c r="G218" s="17">
        <f>IF(AND(C218="",D218=""),"",IF(NOT(ISNUMBER(B218)),"Needs a date",IF(AND(D218&lt;&gt;"",NOT(ISNUMBER(D218))),"Hours not a number",IF(N(D218)&lt;=0,"Needs the hours",IF(C218="","Needs a name",IF(COUNTIF(Volunteers!$B$6:$B$105,C218)=0,"Not on Volunteers",""))))))</f>
        <v/>
      </c>
      <c r="H218" s="1" t="n"/>
      <c r="I218">
        <f>IF(ISNUMBER(B218),YEAR(B218),"")</f>
        <v/>
      </c>
      <c r="J218">
        <f>IF(ISNUMBER(B218),YEAR(B218)*100+MONTH(B218),"")</f>
        <v/>
      </c>
      <c r="K218">
        <f>IF(ISNUMBER(B218),INT(B218),0)</f>
        <v/>
      </c>
      <c r="L218">
        <f>IF(AND(ISNUMBER(D218),N(D218)&gt;0),K218,0)</f>
        <v/>
      </c>
    </row>
    <row r="219">
      <c r="A219" s="1" t="n"/>
      <c r="B219" s="21" t="n"/>
      <c r="C219" s="22" t="n"/>
      <c r="D219" s="46" t="n"/>
      <c r="E219" s="25" t="n"/>
      <c r="F219" s="25" t="n"/>
      <c r="G219" s="17">
        <f>IF(AND(C219="",D219=""),"",IF(NOT(ISNUMBER(B219)),"Needs a date",IF(AND(D219&lt;&gt;"",NOT(ISNUMBER(D219))),"Hours not a number",IF(N(D219)&lt;=0,"Needs the hours",IF(C219="","Needs a name",IF(COUNTIF(Volunteers!$B$6:$B$105,C219)=0,"Not on Volunteers",""))))))</f>
        <v/>
      </c>
      <c r="H219" s="1" t="n"/>
      <c r="I219">
        <f>IF(ISNUMBER(B219),YEAR(B219),"")</f>
        <v/>
      </c>
      <c r="J219">
        <f>IF(ISNUMBER(B219),YEAR(B219)*100+MONTH(B219),"")</f>
        <v/>
      </c>
      <c r="K219">
        <f>IF(ISNUMBER(B219),INT(B219),0)</f>
        <v/>
      </c>
      <c r="L219">
        <f>IF(AND(ISNUMBER(D219),N(D219)&gt;0),K219,0)</f>
        <v/>
      </c>
    </row>
    <row r="220">
      <c r="A220" s="1" t="n"/>
      <c r="B220" s="21" t="n"/>
      <c r="C220" s="22" t="n"/>
      <c r="D220" s="46" t="n"/>
      <c r="E220" s="25" t="n"/>
      <c r="F220" s="25" t="n"/>
      <c r="G220" s="17">
        <f>IF(AND(C220="",D220=""),"",IF(NOT(ISNUMBER(B220)),"Needs a date",IF(AND(D220&lt;&gt;"",NOT(ISNUMBER(D220))),"Hours not a number",IF(N(D220)&lt;=0,"Needs the hours",IF(C220="","Needs a name",IF(COUNTIF(Volunteers!$B$6:$B$105,C220)=0,"Not on Volunteers",""))))))</f>
        <v/>
      </c>
      <c r="H220" s="1" t="n"/>
      <c r="I220">
        <f>IF(ISNUMBER(B220),YEAR(B220),"")</f>
        <v/>
      </c>
      <c r="J220">
        <f>IF(ISNUMBER(B220),YEAR(B220)*100+MONTH(B220),"")</f>
        <v/>
      </c>
      <c r="K220">
        <f>IF(ISNUMBER(B220),INT(B220),0)</f>
        <v/>
      </c>
      <c r="L220">
        <f>IF(AND(ISNUMBER(D220),N(D220)&gt;0),K220,0)</f>
        <v/>
      </c>
    </row>
    <row r="221">
      <c r="A221" s="1" t="n"/>
      <c r="B221" s="21" t="n"/>
      <c r="C221" s="22" t="n"/>
      <c r="D221" s="46" t="n"/>
      <c r="E221" s="25" t="n"/>
      <c r="F221" s="25" t="n"/>
      <c r="G221" s="17">
        <f>IF(AND(C221="",D221=""),"",IF(NOT(ISNUMBER(B221)),"Needs a date",IF(AND(D221&lt;&gt;"",NOT(ISNUMBER(D221))),"Hours not a number",IF(N(D221)&lt;=0,"Needs the hours",IF(C221="","Needs a name",IF(COUNTIF(Volunteers!$B$6:$B$105,C221)=0,"Not on Volunteers",""))))))</f>
        <v/>
      </c>
      <c r="H221" s="1" t="n"/>
      <c r="I221">
        <f>IF(ISNUMBER(B221),YEAR(B221),"")</f>
        <v/>
      </c>
      <c r="J221">
        <f>IF(ISNUMBER(B221),YEAR(B221)*100+MONTH(B221),"")</f>
        <v/>
      </c>
      <c r="K221">
        <f>IF(ISNUMBER(B221),INT(B221),0)</f>
        <v/>
      </c>
      <c r="L221">
        <f>IF(AND(ISNUMBER(D221),N(D221)&gt;0),K221,0)</f>
        <v/>
      </c>
    </row>
    <row r="222">
      <c r="A222" s="1" t="n"/>
      <c r="B222" s="21" t="n"/>
      <c r="C222" s="22" t="n"/>
      <c r="D222" s="46" t="n"/>
      <c r="E222" s="25" t="n"/>
      <c r="F222" s="25" t="n"/>
      <c r="G222" s="17">
        <f>IF(AND(C222="",D222=""),"",IF(NOT(ISNUMBER(B222)),"Needs a date",IF(AND(D222&lt;&gt;"",NOT(ISNUMBER(D222))),"Hours not a number",IF(N(D222)&lt;=0,"Needs the hours",IF(C222="","Needs a name",IF(COUNTIF(Volunteers!$B$6:$B$105,C222)=0,"Not on Volunteers",""))))))</f>
        <v/>
      </c>
      <c r="H222" s="1" t="n"/>
      <c r="I222">
        <f>IF(ISNUMBER(B222),YEAR(B222),"")</f>
        <v/>
      </c>
      <c r="J222">
        <f>IF(ISNUMBER(B222),YEAR(B222)*100+MONTH(B222),"")</f>
        <v/>
      </c>
      <c r="K222">
        <f>IF(ISNUMBER(B222),INT(B222),0)</f>
        <v/>
      </c>
      <c r="L222">
        <f>IF(AND(ISNUMBER(D222),N(D222)&gt;0),K222,0)</f>
        <v/>
      </c>
    </row>
    <row r="223">
      <c r="A223" s="1" t="n"/>
      <c r="B223" s="21" t="n"/>
      <c r="C223" s="22" t="n"/>
      <c r="D223" s="46" t="n"/>
      <c r="E223" s="25" t="n"/>
      <c r="F223" s="25" t="n"/>
      <c r="G223" s="17">
        <f>IF(AND(C223="",D223=""),"",IF(NOT(ISNUMBER(B223)),"Needs a date",IF(AND(D223&lt;&gt;"",NOT(ISNUMBER(D223))),"Hours not a number",IF(N(D223)&lt;=0,"Needs the hours",IF(C223="","Needs a name",IF(COUNTIF(Volunteers!$B$6:$B$105,C223)=0,"Not on Volunteers",""))))))</f>
        <v/>
      </c>
      <c r="H223" s="1" t="n"/>
      <c r="I223">
        <f>IF(ISNUMBER(B223),YEAR(B223),"")</f>
        <v/>
      </c>
      <c r="J223">
        <f>IF(ISNUMBER(B223),YEAR(B223)*100+MONTH(B223),"")</f>
        <v/>
      </c>
      <c r="K223">
        <f>IF(ISNUMBER(B223),INT(B223),0)</f>
        <v/>
      </c>
      <c r="L223">
        <f>IF(AND(ISNUMBER(D223),N(D223)&gt;0),K223,0)</f>
        <v/>
      </c>
    </row>
    <row r="224">
      <c r="A224" s="1" t="n"/>
      <c r="B224" s="21" t="n"/>
      <c r="C224" s="22" t="n"/>
      <c r="D224" s="46" t="n"/>
      <c r="E224" s="25" t="n"/>
      <c r="F224" s="25" t="n"/>
      <c r="G224" s="17">
        <f>IF(AND(C224="",D224=""),"",IF(NOT(ISNUMBER(B224)),"Needs a date",IF(AND(D224&lt;&gt;"",NOT(ISNUMBER(D224))),"Hours not a number",IF(N(D224)&lt;=0,"Needs the hours",IF(C224="","Needs a name",IF(COUNTIF(Volunteers!$B$6:$B$105,C224)=0,"Not on Volunteers",""))))))</f>
        <v/>
      </c>
      <c r="H224" s="1" t="n"/>
      <c r="I224">
        <f>IF(ISNUMBER(B224),YEAR(B224),"")</f>
        <v/>
      </c>
      <c r="J224">
        <f>IF(ISNUMBER(B224),YEAR(B224)*100+MONTH(B224),"")</f>
        <v/>
      </c>
      <c r="K224">
        <f>IF(ISNUMBER(B224),INT(B224),0)</f>
        <v/>
      </c>
      <c r="L224">
        <f>IF(AND(ISNUMBER(D224),N(D224)&gt;0),K224,0)</f>
        <v/>
      </c>
    </row>
    <row r="225">
      <c r="A225" s="1" t="n"/>
      <c r="B225" s="21" t="n"/>
      <c r="C225" s="22" t="n"/>
      <c r="D225" s="46" t="n"/>
      <c r="E225" s="25" t="n"/>
      <c r="F225" s="25" t="n"/>
      <c r="G225" s="17">
        <f>IF(AND(C225="",D225=""),"",IF(NOT(ISNUMBER(B225)),"Needs a date",IF(AND(D225&lt;&gt;"",NOT(ISNUMBER(D225))),"Hours not a number",IF(N(D225)&lt;=0,"Needs the hours",IF(C225="","Needs a name",IF(COUNTIF(Volunteers!$B$6:$B$105,C225)=0,"Not on Volunteers",""))))))</f>
        <v/>
      </c>
      <c r="H225" s="1" t="n"/>
      <c r="I225">
        <f>IF(ISNUMBER(B225),YEAR(B225),"")</f>
        <v/>
      </c>
      <c r="J225">
        <f>IF(ISNUMBER(B225),YEAR(B225)*100+MONTH(B225),"")</f>
        <v/>
      </c>
      <c r="K225">
        <f>IF(ISNUMBER(B225),INT(B225),0)</f>
        <v/>
      </c>
      <c r="L225">
        <f>IF(AND(ISNUMBER(D225),N(D225)&gt;0),K225,0)</f>
        <v/>
      </c>
    </row>
    <row r="226">
      <c r="A226" s="1" t="n"/>
      <c r="B226" s="21" t="n"/>
      <c r="C226" s="22" t="n"/>
      <c r="D226" s="46" t="n"/>
      <c r="E226" s="25" t="n"/>
      <c r="F226" s="25" t="n"/>
      <c r="G226" s="17">
        <f>IF(AND(C226="",D226=""),"",IF(NOT(ISNUMBER(B226)),"Needs a date",IF(AND(D226&lt;&gt;"",NOT(ISNUMBER(D226))),"Hours not a number",IF(N(D226)&lt;=0,"Needs the hours",IF(C226="","Needs a name",IF(COUNTIF(Volunteers!$B$6:$B$105,C226)=0,"Not on Volunteers",""))))))</f>
        <v/>
      </c>
      <c r="H226" s="1" t="n"/>
      <c r="I226">
        <f>IF(ISNUMBER(B226),YEAR(B226),"")</f>
        <v/>
      </c>
      <c r="J226">
        <f>IF(ISNUMBER(B226),YEAR(B226)*100+MONTH(B226),"")</f>
        <v/>
      </c>
      <c r="K226">
        <f>IF(ISNUMBER(B226),INT(B226),0)</f>
        <v/>
      </c>
      <c r="L226">
        <f>IF(AND(ISNUMBER(D226),N(D226)&gt;0),K226,0)</f>
        <v/>
      </c>
    </row>
    <row r="227">
      <c r="A227" s="1" t="n"/>
      <c r="B227" s="21" t="n"/>
      <c r="C227" s="22" t="n"/>
      <c r="D227" s="46" t="n"/>
      <c r="E227" s="25" t="n"/>
      <c r="F227" s="25" t="n"/>
      <c r="G227" s="17">
        <f>IF(AND(C227="",D227=""),"",IF(NOT(ISNUMBER(B227)),"Needs a date",IF(AND(D227&lt;&gt;"",NOT(ISNUMBER(D227))),"Hours not a number",IF(N(D227)&lt;=0,"Needs the hours",IF(C227="","Needs a name",IF(COUNTIF(Volunteers!$B$6:$B$105,C227)=0,"Not on Volunteers",""))))))</f>
        <v/>
      </c>
      <c r="H227" s="1" t="n"/>
      <c r="I227">
        <f>IF(ISNUMBER(B227),YEAR(B227),"")</f>
        <v/>
      </c>
      <c r="J227">
        <f>IF(ISNUMBER(B227),YEAR(B227)*100+MONTH(B227),"")</f>
        <v/>
      </c>
      <c r="K227">
        <f>IF(ISNUMBER(B227),INT(B227),0)</f>
        <v/>
      </c>
      <c r="L227">
        <f>IF(AND(ISNUMBER(D227),N(D227)&gt;0),K227,0)</f>
        <v/>
      </c>
    </row>
    <row r="228">
      <c r="A228" s="1" t="n"/>
      <c r="B228" s="21" t="n"/>
      <c r="C228" s="22" t="n"/>
      <c r="D228" s="46" t="n"/>
      <c r="E228" s="25" t="n"/>
      <c r="F228" s="25" t="n"/>
      <c r="G228" s="17">
        <f>IF(AND(C228="",D228=""),"",IF(NOT(ISNUMBER(B228)),"Needs a date",IF(AND(D228&lt;&gt;"",NOT(ISNUMBER(D228))),"Hours not a number",IF(N(D228)&lt;=0,"Needs the hours",IF(C228="","Needs a name",IF(COUNTIF(Volunteers!$B$6:$B$105,C228)=0,"Not on Volunteers",""))))))</f>
        <v/>
      </c>
      <c r="H228" s="1" t="n"/>
      <c r="I228">
        <f>IF(ISNUMBER(B228),YEAR(B228),"")</f>
        <v/>
      </c>
      <c r="J228">
        <f>IF(ISNUMBER(B228),YEAR(B228)*100+MONTH(B228),"")</f>
        <v/>
      </c>
      <c r="K228">
        <f>IF(ISNUMBER(B228),INT(B228),0)</f>
        <v/>
      </c>
      <c r="L228">
        <f>IF(AND(ISNUMBER(D228),N(D228)&gt;0),K228,0)</f>
        <v/>
      </c>
    </row>
    <row r="229">
      <c r="A229" s="1" t="n"/>
      <c r="B229" s="21" t="n"/>
      <c r="C229" s="22" t="n"/>
      <c r="D229" s="46" t="n"/>
      <c r="E229" s="25" t="n"/>
      <c r="F229" s="25" t="n"/>
      <c r="G229" s="17">
        <f>IF(AND(C229="",D229=""),"",IF(NOT(ISNUMBER(B229)),"Needs a date",IF(AND(D229&lt;&gt;"",NOT(ISNUMBER(D229))),"Hours not a number",IF(N(D229)&lt;=0,"Needs the hours",IF(C229="","Needs a name",IF(COUNTIF(Volunteers!$B$6:$B$105,C229)=0,"Not on Volunteers",""))))))</f>
        <v/>
      </c>
      <c r="H229" s="1" t="n"/>
      <c r="I229">
        <f>IF(ISNUMBER(B229),YEAR(B229),"")</f>
        <v/>
      </c>
      <c r="J229">
        <f>IF(ISNUMBER(B229),YEAR(B229)*100+MONTH(B229),"")</f>
        <v/>
      </c>
      <c r="K229">
        <f>IF(ISNUMBER(B229),INT(B229),0)</f>
        <v/>
      </c>
      <c r="L229">
        <f>IF(AND(ISNUMBER(D229),N(D229)&gt;0),K229,0)</f>
        <v/>
      </c>
    </row>
    <row r="230">
      <c r="A230" s="1" t="n"/>
      <c r="B230" s="21" t="n"/>
      <c r="C230" s="22" t="n"/>
      <c r="D230" s="46" t="n"/>
      <c r="E230" s="25" t="n"/>
      <c r="F230" s="25" t="n"/>
      <c r="G230" s="17">
        <f>IF(AND(C230="",D230=""),"",IF(NOT(ISNUMBER(B230)),"Needs a date",IF(AND(D230&lt;&gt;"",NOT(ISNUMBER(D230))),"Hours not a number",IF(N(D230)&lt;=0,"Needs the hours",IF(C230="","Needs a name",IF(COUNTIF(Volunteers!$B$6:$B$105,C230)=0,"Not on Volunteers",""))))))</f>
        <v/>
      </c>
      <c r="H230" s="1" t="n"/>
      <c r="I230">
        <f>IF(ISNUMBER(B230),YEAR(B230),"")</f>
        <v/>
      </c>
      <c r="J230">
        <f>IF(ISNUMBER(B230),YEAR(B230)*100+MONTH(B230),"")</f>
        <v/>
      </c>
      <c r="K230">
        <f>IF(ISNUMBER(B230),INT(B230),0)</f>
        <v/>
      </c>
      <c r="L230">
        <f>IF(AND(ISNUMBER(D230),N(D230)&gt;0),K230,0)</f>
        <v/>
      </c>
    </row>
    <row r="231">
      <c r="A231" s="1" t="n"/>
      <c r="B231" s="21" t="n"/>
      <c r="C231" s="22" t="n"/>
      <c r="D231" s="46" t="n"/>
      <c r="E231" s="25" t="n"/>
      <c r="F231" s="25" t="n"/>
      <c r="G231" s="17">
        <f>IF(AND(C231="",D231=""),"",IF(NOT(ISNUMBER(B231)),"Needs a date",IF(AND(D231&lt;&gt;"",NOT(ISNUMBER(D231))),"Hours not a number",IF(N(D231)&lt;=0,"Needs the hours",IF(C231="","Needs a name",IF(COUNTIF(Volunteers!$B$6:$B$105,C231)=0,"Not on Volunteers",""))))))</f>
        <v/>
      </c>
      <c r="H231" s="1" t="n"/>
      <c r="I231">
        <f>IF(ISNUMBER(B231),YEAR(B231),"")</f>
        <v/>
      </c>
      <c r="J231">
        <f>IF(ISNUMBER(B231),YEAR(B231)*100+MONTH(B231),"")</f>
        <v/>
      </c>
      <c r="K231">
        <f>IF(ISNUMBER(B231),INT(B231),0)</f>
        <v/>
      </c>
      <c r="L231">
        <f>IF(AND(ISNUMBER(D231),N(D231)&gt;0),K231,0)</f>
        <v/>
      </c>
    </row>
    <row r="232">
      <c r="A232" s="1" t="n"/>
      <c r="B232" s="21" t="n"/>
      <c r="C232" s="22" t="n"/>
      <c r="D232" s="46" t="n"/>
      <c r="E232" s="25" t="n"/>
      <c r="F232" s="25" t="n"/>
      <c r="G232" s="17">
        <f>IF(AND(C232="",D232=""),"",IF(NOT(ISNUMBER(B232)),"Needs a date",IF(AND(D232&lt;&gt;"",NOT(ISNUMBER(D232))),"Hours not a number",IF(N(D232)&lt;=0,"Needs the hours",IF(C232="","Needs a name",IF(COUNTIF(Volunteers!$B$6:$B$105,C232)=0,"Not on Volunteers",""))))))</f>
        <v/>
      </c>
      <c r="H232" s="1" t="n"/>
      <c r="I232">
        <f>IF(ISNUMBER(B232),YEAR(B232),"")</f>
        <v/>
      </c>
      <c r="J232">
        <f>IF(ISNUMBER(B232),YEAR(B232)*100+MONTH(B232),"")</f>
        <v/>
      </c>
      <c r="K232">
        <f>IF(ISNUMBER(B232),INT(B232),0)</f>
        <v/>
      </c>
      <c r="L232">
        <f>IF(AND(ISNUMBER(D232),N(D232)&gt;0),K232,0)</f>
        <v/>
      </c>
    </row>
    <row r="233">
      <c r="A233" s="1" t="n"/>
      <c r="B233" s="21" t="n"/>
      <c r="C233" s="22" t="n"/>
      <c r="D233" s="46" t="n"/>
      <c r="E233" s="25" t="n"/>
      <c r="F233" s="25" t="n"/>
      <c r="G233" s="17">
        <f>IF(AND(C233="",D233=""),"",IF(NOT(ISNUMBER(B233)),"Needs a date",IF(AND(D233&lt;&gt;"",NOT(ISNUMBER(D233))),"Hours not a number",IF(N(D233)&lt;=0,"Needs the hours",IF(C233="","Needs a name",IF(COUNTIF(Volunteers!$B$6:$B$105,C233)=0,"Not on Volunteers",""))))))</f>
        <v/>
      </c>
      <c r="H233" s="1" t="n"/>
      <c r="I233">
        <f>IF(ISNUMBER(B233),YEAR(B233),"")</f>
        <v/>
      </c>
      <c r="J233">
        <f>IF(ISNUMBER(B233),YEAR(B233)*100+MONTH(B233),"")</f>
        <v/>
      </c>
      <c r="K233">
        <f>IF(ISNUMBER(B233),INT(B233),0)</f>
        <v/>
      </c>
      <c r="L233">
        <f>IF(AND(ISNUMBER(D233),N(D233)&gt;0),K233,0)</f>
        <v/>
      </c>
    </row>
    <row r="234">
      <c r="A234" s="1" t="n"/>
      <c r="B234" s="21" t="n"/>
      <c r="C234" s="22" t="n"/>
      <c r="D234" s="46" t="n"/>
      <c r="E234" s="25" t="n"/>
      <c r="F234" s="25" t="n"/>
      <c r="G234" s="17">
        <f>IF(AND(C234="",D234=""),"",IF(NOT(ISNUMBER(B234)),"Needs a date",IF(AND(D234&lt;&gt;"",NOT(ISNUMBER(D234))),"Hours not a number",IF(N(D234)&lt;=0,"Needs the hours",IF(C234="","Needs a name",IF(COUNTIF(Volunteers!$B$6:$B$105,C234)=0,"Not on Volunteers",""))))))</f>
        <v/>
      </c>
      <c r="H234" s="1" t="n"/>
      <c r="I234">
        <f>IF(ISNUMBER(B234),YEAR(B234),"")</f>
        <v/>
      </c>
      <c r="J234">
        <f>IF(ISNUMBER(B234),YEAR(B234)*100+MONTH(B234),"")</f>
        <v/>
      </c>
      <c r="K234">
        <f>IF(ISNUMBER(B234),INT(B234),0)</f>
        <v/>
      </c>
      <c r="L234">
        <f>IF(AND(ISNUMBER(D234),N(D234)&gt;0),K234,0)</f>
        <v/>
      </c>
    </row>
    <row r="235">
      <c r="A235" s="1" t="n"/>
      <c r="B235" s="21" t="n"/>
      <c r="C235" s="22" t="n"/>
      <c r="D235" s="46" t="n"/>
      <c r="E235" s="25" t="n"/>
      <c r="F235" s="25" t="n"/>
      <c r="G235" s="17">
        <f>IF(AND(C235="",D235=""),"",IF(NOT(ISNUMBER(B235)),"Needs a date",IF(AND(D235&lt;&gt;"",NOT(ISNUMBER(D235))),"Hours not a number",IF(N(D235)&lt;=0,"Needs the hours",IF(C235="","Needs a name",IF(COUNTIF(Volunteers!$B$6:$B$105,C235)=0,"Not on Volunteers",""))))))</f>
        <v/>
      </c>
      <c r="H235" s="1" t="n"/>
      <c r="I235">
        <f>IF(ISNUMBER(B235),YEAR(B235),"")</f>
        <v/>
      </c>
      <c r="J235">
        <f>IF(ISNUMBER(B235),YEAR(B235)*100+MONTH(B235),"")</f>
        <v/>
      </c>
      <c r="K235">
        <f>IF(ISNUMBER(B235),INT(B235),0)</f>
        <v/>
      </c>
      <c r="L235">
        <f>IF(AND(ISNUMBER(D235),N(D235)&gt;0),K235,0)</f>
        <v/>
      </c>
    </row>
    <row r="236">
      <c r="A236" s="1" t="n"/>
      <c r="B236" s="21" t="n"/>
      <c r="C236" s="22" t="n"/>
      <c r="D236" s="46" t="n"/>
      <c r="E236" s="25" t="n"/>
      <c r="F236" s="25" t="n"/>
      <c r="G236" s="17">
        <f>IF(AND(C236="",D236=""),"",IF(NOT(ISNUMBER(B236)),"Needs a date",IF(AND(D236&lt;&gt;"",NOT(ISNUMBER(D236))),"Hours not a number",IF(N(D236)&lt;=0,"Needs the hours",IF(C236="","Needs a name",IF(COUNTIF(Volunteers!$B$6:$B$105,C236)=0,"Not on Volunteers",""))))))</f>
        <v/>
      </c>
      <c r="H236" s="1" t="n"/>
      <c r="I236">
        <f>IF(ISNUMBER(B236),YEAR(B236),"")</f>
        <v/>
      </c>
      <c r="J236">
        <f>IF(ISNUMBER(B236),YEAR(B236)*100+MONTH(B236),"")</f>
        <v/>
      </c>
      <c r="K236">
        <f>IF(ISNUMBER(B236),INT(B236),0)</f>
        <v/>
      </c>
      <c r="L236">
        <f>IF(AND(ISNUMBER(D236),N(D236)&gt;0),K236,0)</f>
        <v/>
      </c>
    </row>
    <row r="237">
      <c r="A237" s="1" t="n"/>
      <c r="B237" s="21" t="n"/>
      <c r="C237" s="22" t="n"/>
      <c r="D237" s="46" t="n"/>
      <c r="E237" s="25" t="n"/>
      <c r="F237" s="25" t="n"/>
      <c r="G237" s="17">
        <f>IF(AND(C237="",D237=""),"",IF(NOT(ISNUMBER(B237)),"Needs a date",IF(AND(D237&lt;&gt;"",NOT(ISNUMBER(D237))),"Hours not a number",IF(N(D237)&lt;=0,"Needs the hours",IF(C237="","Needs a name",IF(COUNTIF(Volunteers!$B$6:$B$105,C237)=0,"Not on Volunteers",""))))))</f>
        <v/>
      </c>
      <c r="H237" s="1" t="n"/>
      <c r="I237">
        <f>IF(ISNUMBER(B237),YEAR(B237),"")</f>
        <v/>
      </c>
      <c r="J237">
        <f>IF(ISNUMBER(B237),YEAR(B237)*100+MONTH(B237),"")</f>
        <v/>
      </c>
      <c r="K237">
        <f>IF(ISNUMBER(B237),INT(B237),0)</f>
        <v/>
      </c>
      <c r="L237">
        <f>IF(AND(ISNUMBER(D237),N(D237)&gt;0),K237,0)</f>
        <v/>
      </c>
    </row>
    <row r="238">
      <c r="A238" s="1" t="n"/>
      <c r="B238" s="21" t="n"/>
      <c r="C238" s="22" t="n"/>
      <c r="D238" s="46" t="n"/>
      <c r="E238" s="25" t="n"/>
      <c r="F238" s="25" t="n"/>
      <c r="G238" s="17">
        <f>IF(AND(C238="",D238=""),"",IF(NOT(ISNUMBER(B238)),"Needs a date",IF(AND(D238&lt;&gt;"",NOT(ISNUMBER(D238))),"Hours not a number",IF(N(D238)&lt;=0,"Needs the hours",IF(C238="","Needs a name",IF(COUNTIF(Volunteers!$B$6:$B$105,C238)=0,"Not on Volunteers",""))))))</f>
        <v/>
      </c>
      <c r="H238" s="1" t="n"/>
      <c r="I238">
        <f>IF(ISNUMBER(B238),YEAR(B238),"")</f>
        <v/>
      </c>
      <c r="J238">
        <f>IF(ISNUMBER(B238),YEAR(B238)*100+MONTH(B238),"")</f>
        <v/>
      </c>
      <c r="K238">
        <f>IF(ISNUMBER(B238),INT(B238),0)</f>
        <v/>
      </c>
      <c r="L238">
        <f>IF(AND(ISNUMBER(D238),N(D238)&gt;0),K238,0)</f>
        <v/>
      </c>
    </row>
    <row r="239">
      <c r="A239" s="1" t="n"/>
      <c r="B239" s="21" t="n"/>
      <c r="C239" s="22" t="n"/>
      <c r="D239" s="46" t="n"/>
      <c r="E239" s="25" t="n"/>
      <c r="F239" s="25" t="n"/>
      <c r="G239" s="17">
        <f>IF(AND(C239="",D239=""),"",IF(NOT(ISNUMBER(B239)),"Needs a date",IF(AND(D239&lt;&gt;"",NOT(ISNUMBER(D239))),"Hours not a number",IF(N(D239)&lt;=0,"Needs the hours",IF(C239="","Needs a name",IF(COUNTIF(Volunteers!$B$6:$B$105,C239)=0,"Not on Volunteers",""))))))</f>
        <v/>
      </c>
      <c r="H239" s="1" t="n"/>
      <c r="I239">
        <f>IF(ISNUMBER(B239),YEAR(B239),"")</f>
        <v/>
      </c>
      <c r="J239">
        <f>IF(ISNUMBER(B239),YEAR(B239)*100+MONTH(B239),"")</f>
        <v/>
      </c>
      <c r="K239">
        <f>IF(ISNUMBER(B239),INT(B239),0)</f>
        <v/>
      </c>
      <c r="L239">
        <f>IF(AND(ISNUMBER(D239),N(D239)&gt;0),K239,0)</f>
        <v/>
      </c>
    </row>
    <row r="240">
      <c r="A240" s="1" t="n"/>
      <c r="B240" s="21" t="n"/>
      <c r="C240" s="22" t="n"/>
      <c r="D240" s="46" t="n"/>
      <c r="E240" s="25" t="n"/>
      <c r="F240" s="25" t="n"/>
      <c r="G240" s="17">
        <f>IF(AND(C240="",D240=""),"",IF(NOT(ISNUMBER(B240)),"Needs a date",IF(AND(D240&lt;&gt;"",NOT(ISNUMBER(D240))),"Hours not a number",IF(N(D240)&lt;=0,"Needs the hours",IF(C240="","Needs a name",IF(COUNTIF(Volunteers!$B$6:$B$105,C240)=0,"Not on Volunteers",""))))))</f>
        <v/>
      </c>
      <c r="H240" s="1" t="n"/>
      <c r="I240">
        <f>IF(ISNUMBER(B240),YEAR(B240),"")</f>
        <v/>
      </c>
      <c r="J240">
        <f>IF(ISNUMBER(B240),YEAR(B240)*100+MONTH(B240),"")</f>
        <v/>
      </c>
      <c r="K240">
        <f>IF(ISNUMBER(B240),INT(B240),0)</f>
        <v/>
      </c>
      <c r="L240">
        <f>IF(AND(ISNUMBER(D240),N(D240)&gt;0),K240,0)</f>
        <v/>
      </c>
    </row>
    <row r="241">
      <c r="A241" s="1" t="n"/>
      <c r="B241" s="21" t="n"/>
      <c r="C241" s="22" t="n"/>
      <c r="D241" s="46" t="n"/>
      <c r="E241" s="25" t="n"/>
      <c r="F241" s="25" t="n"/>
      <c r="G241" s="17">
        <f>IF(AND(C241="",D241=""),"",IF(NOT(ISNUMBER(B241)),"Needs a date",IF(AND(D241&lt;&gt;"",NOT(ISNUMBER(D241))),"Hours not a number",IF(N(D241)&lt;=0,"Needs the hours",IF(C241="","Needs a name",IF(COUNTIF(Volunteers!$B$6:$B$105,C241)=0,"Not on Volunteers",""))))))</f>
        <v/>
      </c>
      <c r="H241" s="1" t="n"/>
      <c r="I241">
        <f>IF(ISNUMBER(B241),YEAR(B241),"")</f>
        <v/>
      </c>
      <c r="J241">
        <f>IF(ISNUMBER(B241),YEAR(B241)*100+MONTH(B241),"")</f>
        <v/>
      </c>
      <c r="K241">
        <f>IF(ISNUMBER(B241),INT(B241),0)</f>
        <v/>
      </c>
      <c r="L241">
        <f>IF(AND(ISNUMBER(D241),N(D241)&gt;0),K241,0)</f>
        <v/>
      </c>
    </row>
    <row r="242">
      <c r="A242" s="1" t="n"/>
      <c r="B242" s="21" t="n"/>
      <c r="C242" s="22" t="n"/>
      <c r="D242" s="46" t="n"/>
      <c r="E242" s="25" t="n"/>
      <c r="F242" s="25" t="n"/>
      <c r="G242" s="17">
        <f>IF(AND(C242="",D242=""),"",IF(NOT(ISNUMBER(B242)),"Needs a date",IF(AND(D242&lt;&gt;"",NOT(ISNUMBER(D242))),"Hours not a number",IF(N(D242)&lt;=0,"Needs the hours",IF(C242="","Needs a name",IF(COUNTIF(Volunteers!$B$6:$B$105,C242)=0,"Not on Volunteers",""))))))</f>
        <v/>
      </c>
      <c r="H242" s="1" t="n"/>
      <c r="I242">
        <f>IF(ISNUMBER(B242),YEAR(B242),"")</f>
        <v/>
      </c>
      <c r="J242">
        <f>IF(ISNUMBER(B242),YEAR(B242)*100+MONTH(B242),"")</f>
        <v/>
      </c>
      <c r="K242">
        <f>IF(ISNUMBER(B242),INT(B242),0)</f>
        <v/>
      </c>
      <c r="L242">
        <f>IF(AND(ISNUMBER(D242),N(D242)&gt;0),K242,0)</f>
        <v/>
      </c>
    </row>
    <row r="243">
      <c r="A243" s="1" t="n"/>
      <c r="B243" s="21" t="n"/>
      <c r="C243" s="22" t="n"/>
      <c r="D243" s="46" t="n"/>
      <c r="E243" s="25" t="n"/>
      <c r="F243" s="25" t="n"/>
      <c r="G243" s="17">
        <f>IF(AND(C243="",D243=""),"",IF(NOT(ISNUMBER(B243)),"Needs a date",IF(AND(D243&lt;&gt;"",NOT(ISNUMBER(D243))),"Hours not a number",IF(N(D243)&lt;=0,"Needs the hours",IF(C243="","Needs a name",IF(COUNTIF(Volunteers!$B$6:$B$105,C243)=0,"Not on Volunteers",""))))))</f>
        <v/>
      </c>
      <c r="H243" s="1" t="n"/>
      <c r="I243">
        <f>IF(ISNUMBER(B243),YEAR(B243),"")</f>
        <v/>
      </c>
      <c r="J243">
        <f>IF(ISNUMBER(B243),YEAR(B243)*100+MONTH(B243),"")</f>
        <v/>
      </c>
      <c r="K243">
        <f>IF(ISNUMBER(B243),INT(B243),0)</f>
        <v/>
      </c>
      <c r="L243">
        <f>IF(AND(ISNUMBER(D243),N(D243)&gt;0),K243,0)</f>
        <v/>
      </c>
    </row>
    <row r="244">
      <c r="A244" s="1" t="n"/>
      <c r="B244" s="21" t="n"/>
      <c r="C244" s="22" t="n"/>
      <c r="D244" s="46" t="n"/>
      <c r="E244" s="25" t="n"/>
      <c r="F244" s="25" t="n"/>
      <c r="G244" s="17">
        <f>IF(AND(C244="",D244=""),"",IF(NOT(ISNUMBER(B244)),"Needs a date",IF(AND(D244&lt;&gt;"",NOT(ISNUMBER(D244))),"Hours not a number",IF(N(D244)&lt;=0,"Needs the hours",IF(C244="","Needs a name",IF(COUNTIF(Volunteers!$B$6:$B$105,C244)=0,"Not on Volunteers",""))))))</f>
        <v/>
      </c>
      <c r="H244" s="1" t="n"/>
      <c r="I244">
        <f>IF(ISNUMBER(B244),YEAR(B244),"")</f>
        <v/>
      </c>
      <c r="J244">
        <f>IF(ISNUMBER(B244),YEAR(B244)*100+MONTH(B244),"")</f>
        <v/>
      </c>
      <c r="K244">
        <f>IF(ISNUMBER(B244),INT(B244),0)</f>
        <v/>
      </c>
      <c r="L244">
        <f>IF(AND(ISNUMBER(D244),N(D244)&gt;0),K244,0)</f>
        <v/>
      </c>
    </row>
    <row r="245">
      <c r="A245" s="1" t="n"/>
      <c r="B245" s="21" t="n"/>
      <c r="C245" s="22" t="n"/>
      <c r="D245" s="46" t="n"/>
      <c r="E245" s="25" t="n"/>
      <c r="F245" s="25" t="n"/>
      <c r="G245" s="17">
        <f>IF(AND(C245="",D245=""),"",IF(NOT(ISNUMBER(B245)),"Needs a date",IF(AND(D245&lt;&gt;"",NOT(ISNUMBER(D245))),"Hours not a number",IF(N(D245)&lt;=0,"Needs the hours",IF(C245="","Needs a name",IF(COUNTIF(Volunteers!$B$6:$B$105,C245)=0,"Not on Volunteers",""))))))</f>
        <v/>
      </c>
      <c r="H245" s="1" t="n"/>
      <c r="I245">
        <f>IF(ISNUMBER(B245),YEAR(B245),"")</f>
        <v/>
      </c>
      <c r="J245">
        <f>IF(ISNUMBER(B245),YEAR(B245)*100+MONTH(B245),"")</f>
        <v/>
      </c>
      <c r="K245">
        <f>IF(ISNUMBER(B245),INT(B245),0)</f>
        <v/>
      </c>
      <c r="L245">
        <f>IF(AND(ISNUMBER(D245),N(D245)&gt;0),K245,0)</f>
        <v/>
      </c>
    </row>
    <row r="246">
      <c r="A246" s="1" t="n"/>
      <c r="B246" s="21" t="n"/>
      <c r="C246" s="22" t="n"/>
      <c r="D246" s="46" t="n"/>
      <c r="E246" s="25" t="n"/>
      <c r="F246" s="25" t="n"/>
      <c r="G246" s="17">
        <f>IF(AND(C246="",D246=""),"",IF(NOT(ISNUMBER(B246)),"Needs a date",IF(AND(D246&lt;&gt;"",NOT(ISNUMBER(D246))),"Hours not a number",IF(N(D246)&lt;=0,"Needs the hours",IF(C246="","Needs a name",IF(COUNTIF(Volunteers!$B$6:$B$105,C246)=0,"Not on Volunteers",""))))))</f>
        <v/>
      </c>
      <c r="H246" s="1" t="n"/>
      <c r="I246">
        <f>IF(ISNUMBER(B246),YEAR(B246),"")</f>
        <v/>
      </c>
      <c r="J246">
        <f>IF(ISNUMBER(B246),YEAR(B246)*100+MONTH(B246),"")</f>
        <v/>
      </c>
      <c r="K246">
        <f>IF(ISNUMBER(B246),INT(B246),0)</f>
        <v/>
      </c>
      <c r="L246">
        <f>IF(AND(ISNUMBER(D246),N(D246)&gt;0),K246,0)</f>
        <v/>
      </c>
    </row>
    <row r="247">
      <c r="A247" s="1" t="n"/>
      <c r="B247" s="21" t="n"/>
      <c r="C247" s="22" t="n"/>
      <c r="D247" s="46" t="n"/>
      <c r="E247" s="25" t="n"/>
      <c r="F247" s="25" t="n"/>
      <c r="G247" s="17">
        <f>IF(AND(C247="",D247=""),"",IF(NOT(ISNUMBER(B247)),"Needs a date",IF(AND(D247&lt;&gt;"",NOT(ISNUMBER(D247))),"Hours not a number",IF(N(D247)&lt;=0,"Needs the hours",IF(C247="","Needs a name",IF(COUNTIF(Volunteers!$B$6:$B$105,C247)=0,"Not on Volunteers",""))))))</f>
        <v/>
      </c>
      <c r="H247" s="1" t="n"/>
      <c r="I247">
        <f>IF(ISNUMBER(B247),YEAR(B247),"")</f>
        <v/>
      </c>
      <c r="J247">
        <f>IF(ISNUMBER(B247),YEAR(B247)*100+MONTH(B247),"")</f>
        <v/>
      </c>
      <c r="K247">
        <f>IF(ISNUMBER(B247),INT(B247),0)</f>
        <v/>
      </c>
      <c r="L247">
        <f>IF(AND(ISNUMBER(D247),N(D247)&gt;0),K247,0)</f>
        <v/>
      </c>
    </row>
    <row r="248">
      <c r="A248" s="1" t="n"/>
      <c r="B248" s="21" t="n"/>
      <c r="C248" s="22" t="n"/>
      <c r="D248" s="46" t="n"/>
      <c r="E248" s="25" t="n"/>
      <c r="F248" s="25" t="n"/>
      <c r="G248" s="17">
        <f>IF(AND(C248="",D248=""),"",IF(NOT(ISNUMBER(B248)),"Needs a date",IF(AND(D248&lt;&gt;"",NOT(ISNUMBER(D248))),"Hours not a number",IF(N(D248)&lt;=0,"Needs the hours",IF(C248="","Needs a name",IF(COUNTIF(Volunteers!$B$6:$B$105,C248)=0,"Not on Volunteers",""))))))</f>
        <v/>
      </c>
      <c r="H248" s="1" t="n"/>
      <c r="I248">
        <f>IF(ISNUMBER(B248),YEAR(B248),"")</f>
        <v/>
      </c>
      <c r="J248">
        <f>IF(ISNUMBER(B248),YEAR(B248)*100+MONTH(B248),"")</f>
        <v/>
      </c>
      <c r="K248">
        <f>IF(ISNUMBER(B248),INT(B248),0)</f>
        <v/>
      </c>
      <c r="L248">
        <f>IF(AND(ISNUMBER(D248),N(D248)&gt;0),K248,0)</f>
        <v/>
      </c>
    </row>
    <row r="249">
      <c r="A249" s="1" t="n"/>
      <c r="B249" s="21" t="n"/>
      <c r="C249" s="22" t="n"/>
      <c r="D249" s="46" t="n"/>
      <c r="E249" s="25" t="n"/>
      <c r="F249" s="25" t="n"/>
      <c r="G249" s="17">
        <f>IF(AND(C249="",D249=""),"",IF(NOT(ISNUMBER(B249)),"Needs a date",IF(AND(D249&lt;&gt;"",NOT(ISNUMBER(D249))),"Hours not a number",IF(N(D249)&lt;=0,"Needs the hours",IF(C249="","Needs a name",IF(COUNTIF(Volunteers!$B$6:$B$105,C249)=0,"Not on Volunteers",""))))))</f>
        <v/>
      </c>
      <c r="H249" s="1" t="n"/>
      <c r="I249">
        <f>IF(ISNUMBER(B249),YEAR(B249),"")</f>
        <v/>
      </c>
      <c r="J249">
        <f>IF(ISNUMBER(B249),YEAR(B249)*100+MONTH(B249),"")</f>
        <v/>
      </c>
      <c r="K249">
        <f>IF(ISNUMBER(B249),INT(B249),0)</f>
        <v/>
      </c>
      <c r="L249">
        <f>IF(AND(ISNUMBER(D249),N(D249)&gt;0),K249,0)</f>
        <v/>
      </c>
    </row>
    <row r="250">
      <c r="A250" s="1" t="n"/>
      <c r="B250" s="21" t="n"/>
      <c r="C250" s="22" t="n"/>
      <c r="D250" s="46" t="n"/>
      <c r="E250" s="25" t="n"/>
      <c r="F250" s="25" t="n"/>
      <c r="G250" s="17">
        <f>IF(AND(C250="",D250=""),"",IF(NOT(ISNUMBER(B250)),"Needs a date",IF(AND(D250&lt;&gt;"",NOT(ISNUMBER(D250))),"Hours not a number",IF(N(D250)&lt;=0,"Needs the hours",IF(C250="","Needs a name",IF(COUNTIF(Volunteers!$B$6:$B$105,C250)=0,"Not on Volunteers",""))))))</f>
        <v/>
      </c>
      <c r="H250" s="1" t="n"/>
      <c r="I250">
        <f>IF(ISNUMBER(B250),YEAR(B250),"")</f>
        <v/>
      </c>
      <c r="J250">
        <f>IF(ISNUMBER(B250),YEAR(B250)*100+MONTH(B250),"")</f>
        <v/>
      </c>
      <c r="K250">
        <f>IF(ISNUMBER(B250),INT(B250),0)</f>
        <v/>
      </c>
      <c r="L250">
        <f>IF(AND(ISNUMBER(D250),N(D250)&gt;0),K250,0)</f>
        <v/>
      </c>
    </row>
    <row r="251">
      <c r="A251" s="1" t="n"/>
      <c r="B251" s="21" t="n"/>
      <c r="C251" s="22" t="n"/>
      <c r="D251" s="46" t="n"/>
      <c r="E251" s="25" t="n"/>
      <c r="F251" s="25" t="n"/>
      <c r="G251" s="17">
        <f>IF(AND(C251="",D251=""),"",IF(NOT(ISNUMBER(B251)),"Needs a date",IF(AND(D251&lt;&gt;"",NOT(ISNUMBER(D251))),"Hours not a number",IF(N(D251)&lt;=0,"Needs the hours",IF(C251="","Needs a name",IF(COUNTIF(Volunteers!$B$6:$B$105,C251)=0,"Not on Volunteers",""))))))</f>
        <v/>
      </c>
      <c r="H251" s="1" t="n"/>
      <c r="I251">
        <f>IF(ISNUMBER(B251),YEAR(B251),"")</f>
        <v/>
      </c>
      <c r="J251">
        <f>IF(ISNUMBER(B251),YEAR(B251)*100+MONTH(B251),"")</f>
        <v/>
      </c>
      <c r="K251">
        <f>IF(ISNUMBER(B251),INT(B251),0)</f>
        <v/>
      </c>
      <c r="L251">
        <f>IF(AND(ISNUMBER(D251),N(D251)&gt;0),K251,0)</f>
        <v/>
      </c>
    </row>
    <row r="252">
      <c r="A252" s="1" t="n"/>
      <c r="B252" s="21" t="n"/>
      <c r="C252" s="22" t="n"/>
      <c r="D252" s="46" t="n"/>
      <c r="E252" s="25" t="n"/>
      <c r="F252" s="25" t="n"/>
      <c r="G252" s="17">
        <f>IF(AND(C252="",D252=""),"",IF(NOT(ISNUMBER(B252)),"Needs a date",IF(AND(D252&lt;&gt;"",NOT(ISNUMBER(D252))),"Hours not a number",IF(N(D252)&lt;=0,"Needs the hours",IF(C252="","Needs a name",IF(COUNTIF(Volunteers!$B$6:$B$105,C252)=0,"Not on Volunteers",""))))))</f>
        <v/>
      </c>
      <c r="H252" s="1" t="n"/>
      <c r="I252">
        <f>IF(ISNUMBER(B252),YEAR(B252),"")</f>
        <v/>
      </c>
      <c r="J252">
        <f>IF(ISNUMBER(B252),YEAR(B252)*100+MONTH(B252),"")</f>
        <v/>
      </c>
      <c r="K252">
        <f>IF(ISNUMBER(B252),INT(B252),0)</f>
        <v/>
      </c>
      <c r="L252">
        <f>IF(AND(ISNUMBER(D252),N(D252)&gt;0),K252,0)</f>
        <v/>
      </c>
    </row>
    <row r="253">
      <c r="A253" s="1" t="n"/>
      <c r="B253" s="21" t="n"/>
      <c r="C253" s="22" t="n"/>
      <c r="D253" s="46" t="n"/>
      <c r="E253" s="25" t="n"/>
      <c r="F253" s="25" t="n"/>
      <c r="G253" s="17">
        <f>IF(AND(C253="",D253=""),"",IF(NOT(ISNUMBER(B253)),"Needs a date",IF(AND(D253&lt;&gt;"",NOT(ISNUMBER(D253))),"Hours not a number",IF(N(D253)&lt;=0,"Needs the hours",IF(C253="","Needs a name",IF(COUNTIF(Volunteers!$B$6:$B$105,C253)=0,"Not on Volunteers",""))))))</f>
        <v/>
      </c>
      <c r="H253" s="1" t="n"/>
      <c r="I253">
        <f>IF(ISNUMBER(B253),YEAR(B253),"")</f>
        <v/>
      </c>
      <c r="J253">
        <f>IF(ISNUMBER(B253),YEAR(B253)*100+MONTH(B253),"")</f>
        <v/>
      </c>
      <c r="K253">
        <f>IF(ISNUMBER(B253),INT(B253),0)</f>
        <v/>
      </c>
      <c r="L253">
        <f>IF(AND(ISNUMBER(D253),N(D253)&gt;0),K253,0)</f>
        <v/>
      </c>
    </row>
    <row r="254">
      <c r="A254" s="1" t="n"/>
      <c r="B254" s="21" t="n"/>
      <c r="C254" s="22" t="n"/>
      <c r="D254" s="46" t="n"/>
      <c r="E254" s="25" t="n"/>
      <c r="F254" s="25" t="n"/>
      <c r="G254" s="17">
        <f>IF(AND(C254="",D254=""),"",IF(NOT(ISNUMBER(B254)),"Needs a date",IF(AND(D254&lt;&gt;"",NOT(ISNUMBER(D254))),"Hours not a number",IF(N(D254)&lt;=0,"Needs the hours",IF(C254="","Needs a name",IF(COUNTIF(Volunteers!$B$6:$B$105,C254)=0,"Not on Volunteers",""))))))</f>
        <v/>
      </c>
      <c r="H254" s="1" t="n"/>
      <c r="I254">
        <f>IF(ISNUMBER(B254),YEAR(B254),"")</f>
        <v/>
      </c>
      <c r="J254">
        <f>IF(ISNUMBER(B254),YEAR(B254)*100+MONTH(B254),"")</f>
        <v/>
      </c>
      <c r="K254">
        <f>IF(ISNUMBER(B254),INT(B254),0)</f>
        <v/>
      </c>
      <c r="L254">
        <f>IF(AND(ISNUMBER(D254),N(D254)&gt;0),K254,0)</f>
        <v/>
      </c>
    </row>
    <row r="255">
      <c r="A255" s="1" t="n"/>
      <c r="B255" s="21" t="n"/>
      <c r="C255" s="22" t="n"/>
      <c r="D255" s="46" t="n"/>
      <c r="E255" s="25" t="n"/>
      <c r="F255" s="25" t="n"/>
      <c r="G255" s="17">
        <f>IF(AND(C255="",D255=""),"",IF(NOT(ISNUMBER(B255)),"Needs a date",IF(AND(D255&lt;&gt;"",NOT(ISNUMBER(D255))),"Hours not a number",IF(N(D255)&lt;=0,"Needs the hours",IF(C255="","Needs a name",IF(COUNTIF(Volunteers!$B$6:$B$105,C255)=0,"Not on Volunteers",""))))))</f>
        <v/>
      </c>
      <c r="H255" s="1" t="n"/>
      <c r="I255">
        <f>IF(ISNUMBER(B255),YEAR(B255),"")</f>
        <v/>
      </c>
      <c r="J255">
        <f>IF(ISNUMBER(B255),YEAR(B255)*100+MONTH(B255),"")</f>
        <v/>
      </c>
      <c r="K255">
        <f>IF(ISNUMBER(B255),INT(B255),0)</f>
        <v/>
      </c>
      <c r="L255">
        <f>IF(AND(ISNUMBER(D255),N(D255)&gt;0),K255,0)</f>
        <v/>
      </c>
    </row>
    <row r="256">
      <c r="A256" s="1" t="n"/>
      <c r="B256" s="21" t="n"/>
      <c r="C256" s="22" t="n"/>
      <c r="D256" s="46" t="n"/>
      <c r="E256" s="25" t="n"/>
      <c r="F256" s="25" t="n"/>
      <c r="G256" s="17">
        <f>IF(AND(C256="",D256=""),"",IF(NOT(ISNUMBER(B256)),"Needs a date",IF(AND(D256&lt;&gt;"",NOT(ISNUMBER(D256))),"Hours not a number",IF(N(D256)&lt;=0,"Needs the hours",IF(C256="","Needs a name",IF(COUNTIF(Volunteers!$B$6:$B$105,C256)=0,"Not on Volunteers",""))))))</f>
        <v/>
      </c>
      <c r="H256" s="1" t="n"/>
      <c r="I256">
        <f>IF(ISNUMBER(B256),YEAR(B256),"")</f>
        <v/>
      </c>
      <c r="J256">
        <f>IF(ISNUMBER(B256),YEAR(B256)*100+MONTH(B256),"")</f>
        <v/>
      </c>
      <c r="K256">
        <f>IF(ISNUMBER(B256),INT(B256),0)</f>
        <v/>
      </c>
      <c r="L256">
        <f>IF(AND(ISNUMBER(D256),N(D256)&gt;0),K256,0)</f>
        <v/>
      </c>
    </row>
    <row r="257">
      <c r="A257" s="1" t="n"/>
      <c r="B257" s="21" t="n"/>
      <c r="C257" s="22" t="n"/>
      <c r="D257" s="46" t="n"/>
      <c r="E257" s="25" t="n"/>
      <c r="F257" s="25" t="n"/>
      <c r="G257" s="17">
        <f>IF(AND(C257="",D257=""),"",IF(NOT(ISNUMBER(B257)),"Needs a date",IF(AND(D257&lt;&gt;"",NOT(ISNUMBER(D257))),"Hours not a number",IF(N(D257)&lt;=0,"Needs the hours",IF(C257="","Needs a name",IF(COUNTIF(Volunteers!$B$6:$B$105,C257)=0,"Not on Volunteers",""))))))</f>
        <v/>
      </c>
      <c r="H257" s="1" t="n"/>
      <c r="I257">
        <f>IF(ISNUMBER(B257),YEAR(B257),"")</f>
        <v/>
      </c>
      <c r="J257">
        <f>IF(ISNUMBER(B257),YEAR(B257)*100+MONTH(B257),"")</f>
        <v/>
      </c>
      <c r="K257">
        <f>IF(ISNUMBER(B257),INT(B257),0)</f>
        <v/>
      </c>
      <c r="L257">
        <f>IF(AND(ISNUMBER(D257),N(D257)&gt;0),K257,0)</f>
        <v/>
      </c>
    </row>
    <row r="258">
      <c r="A258" s="1" t="n"/>
      <c r="B258" s="21" t="n"/>
      <c r="C258" s="22" t="n"/>
      <c r="D258" s="46" t="n"/>
      <c r="E258" s="25" t="n"/>
      <c r="F258" s="25" t="n"/>
      <c r="G258" s="17">
        <f>IF(AND(C258="",D258=""),"",IF(NOT(ISNUMBER(B258)),"Needs a date",IF(AND(D258&lt;&gt;"",NOT(ISNUMBER(D258))),"Hours not a number",IF(N(D258)&lt;=0,"Needs the hours",IF(C258="","Needs a name",IF(COUNTIF(Volunteers!$B$6:$B$105,C258)=0,"Not on Volunteers",""))))))</f>
        <v/>
      </c>
      <c r="H258" s="1" t="n"/>
      <c r="I258">
        <f>IF(ISNUMBER(B258),YEAR(B258),"")</f>
        <v/>
      </c>
      <c r="J258">
        <f>IF(ISNUMBER(B258),YEAR(B258)*100+MONTH(B258),"")</f>
        <v/>
      </c>
      <c r="K258">
        <f>IF(ISNUMBER(B258),INT(B258),0)</f>
        <v/>
      </c>
      <c r="L258">
        <f>IF(AND(ISNUMBER(D258),N(D258)&gt;0),K258,0)</f>
        <v/>
      </c>
    </row>
    <row r="259">
      <c r="A259" s="1" t="n"/>
      <c r="B259" s="21" t="n"/>
      <c r="C259" s="22" t="n"/>
      <c r="D259" s="46" t="n"/>
      <c r="E259" s="25" t="n"/>
      <c r="F259" s="25" t="n"/>
      <c r="G259" s="17">
        <f>IF(AND(C259="",D259=""),"",IF(NOT(ISNUMBER(B259)),"Needs a date",IF(AND(D259&lt;&gt;"",NOT(ISNUMBER(D259))),"Hours not a number",IF(N(D259)&lt;=0,"Needs the hours",IF(C259="","Needs a name",IF(COUNTIF(Volunteers!$B$6:$B$105,C259)=0,"Not on Volunteers",""))))))</f>
        <v/>
      </c>
      <c r="H259" s="1" t="n"/>
      <c r="I259">
        <f>IF(ISNUMBER(B259),YEAR(B259),"")</f>
        <v/>
      </c>
      <c r="J259">
        <f>IF(ISNUMBER(B259),YEAR(B259)*100+MONTH(B259),"")</f>
        <v/>
      </c>
      <c r="K259">
        <f>IF(ISNUMBER(B259),INT(B259),0)</f>
        <v/>
      </c>
      <c r="L259">
        <f>IF(AND(ISNUMBER(D259),N(D259)&gt;0),K259,0)</f>
        <v/>
      </c>
    </row>
    <row r="260">
      <c r="A260" s="1" t="n"/>
      <c r="B260" s="21" t="n"/>
      <c r="C260" s="22" t="n"/>
      <c r="D260" s="46" t="n"/>
      <c r="E260" s="25" t="n"/>
      <c r="F260" s="25" t="n"/>
      <c r="G260" s="17">
        <f>IF(AND(C260="",D260=""),"",IF(NOT(ISNUMBER(B260)),"Needs a date",IF(AND(D260&lt;&gt;"",NOT(ISNUMBER(D260))),"Hours not a number",IF(N(D260)&lt;=0,"Needs the hours",IF(C260="","Needs a name",IF(COUNTIF(Volunteers!$B$6:$B$105,C260)=0,"Not on Volunteers",""))))))</f>
        <v/>
      </c>
      <c r="H260" s="1" t="n"/>
      <c r="I260">
        <f>IF(ISNUMBER(B260),YEAR(B260),"")</f>
        <v/>
      </c>
      <c r="J260">
        <f>IF(ISNUMBER(B260),YEAR(B260)*100+MONTH(B260),"")</f>
        <v/>
      </c>
      <c r="K260">
        <f>IF(ISNUMBER(B260),INT(B260),0)</f>
        <v/>
      </c>
      <c r="L260">
        <f>IF(AND(ISNUMBER(D260),N(D260)&gt;0),K260,0)</f>
        <v/>
      </c>
    </row>
    <row r="261">
      <c r="A261" s="1" t="n"/>
      <c r="B261" s="21" t="n"/>
      <c r="C261" s="22" t="n"/>
      <c r="D261" s="46" t="n"/>
      <c r="E261" s="25" t="n"/>
      <c r="F261" s="25" t="n"/>
      <c r="G261" s="17">
        <f>IF(AND(C261="",D261=""),"",IF(NOT(ISNUMBER(B261)),"Needs a date",IF(AND(D261&lt;&gt;"",NOT(ISNUMBER(D261))),"Hours not a number",IF(N(D261)&lt;=0,"Needs the hours",IF(C261="","Needs a name",IF(COUNTIF(Volunteers!$B$6:$B$105,C261)=0,"Not on Volunteers",""))))))</f>
        <v/>
      </c>
      <c r="H261" s="1" t="n"/>
      <c r="I261">
        <f>IF(ISNUMBER(B261),YEAR(B261),"")</f>
        <v/>
      </c>
      <c r="J261">
        <f>IF(ISNUMBER(B261),YEAR(B261)*100+MONTH(B261),"")</f>
        <v/>
      </c>
      <c r="K261">
        <f>IF(ISNUMBER(B261),INT(B261),0)</f>
        <v/>
      </c>
      <c r="L261">
        <f>IF(AND(ISNUMBER(D261),N(D261)&gt;0),K261,0)</f>
        <v/>
      </c>
    </row>
    <row r="262">
      <c r="A262" s="1" t="n"/>
      <c r="B262" s="21" t="n"/>
      <c r="C262" s="22" t="n"/>
      <c r="D262" s="46" t="n"/>
      <c r="E262" s="25" t="n"/>
      <c r="F262" s="25" t="n"/>
      <c r="G262" s="17">
        <f>IF(AND(C262="",D262=""),"",IF(NOT(ISNUMBER(B262)),"Needs a date",IF(AND(D262&lt;&gt;"",NOT(ISNUMBER(D262))),"Hours not a number",IF(N(D262)&lt;=0,"Needs the hours",IF(C262="","Needs a name",IF(COUNTIF(Volunteers!$B$6:$B$105,C262)=0,"Not on Volunteers",""))))))</f>
        <v/>
      </c>
      <c r="H262" s="1" t="n"/>
      <c r="I262">
        <f>IF(ISNUMBER(B262),YEAR(B262),"")</f>
        <v/>
      </c>
      <c r="J262">
        <f>IF(ISNUMBER(B262),YEAR(B262)*100+MONTH(B262),"")</f>
        <v/>
      </c>
      <c r="K262">
        <f>IF(ISNUMBER(B262),INT(B262),0)</f>
        <v/>
      </c>
      <c r="L262">
        <f>IF(AND(ISNUMBER(D262),N(D262)&gt;0),K262,0)</f>
        <v/>
      </c>
    </row>
    <row r="263">
      <c r="A263" s="1" t="n"/>
      <c r="B263" s="21" t="n"/>
      <c r="C263" s="22" t="n"/>
      <c r="D263" s="46" t="n"/>
      <c r="E263" s="25" t="n"/>
      <c r="F263" s="25" t="n"/>
      <c r="G263" s="17">
        <f>IF(AND(C263="",D263=""),"",IF(NOT(ISNUMBER(B263)),"Needs a date",IF(AND(D263&lt;&gt;"",NOT(ISNUMBER(D263))),"Hours not a number",IF(N(D263)&lt;=0,"Needs the hours",IF(C263="","Needs a name",IF(COUNTIF(Volunteers!$B$6:$B$105,C263)=0,"Not on Volunteers",""))))))</f>
        <v/>
      </c>
      <c r="H263" s="1" t="n"/>
      <c r="I263">
        <f>IF(ISNUMBER(B263),YEAR(B263),"")</f>
        <v/>
      </c>
      <c r="J263">
        <f>IF(ISNUMBER(B263),YEAR(B263)*100+MONTH(B263),"")</f>
        <v/>
      </c>
      <c r="K263">
        <f>IF(ISNUMBER(B263),INT(B263),0)</f>
        <v/>
      </c>
      <c r="L263">
        <f>IF(AND(ISNUMBER(D263),N(D263)&gt;0),K263,0)</f>
        <v/>
      </c>
    </row>
    <row r="264">
      <c r="A264" s="1" t="n"/>
      <c r="B264" s="21" t="n"/>
      <c r="C264" s="22" t="n"/>
      <c r="D264" s="46" t="n"/>
      <c r="E264" s="25" t="n"/>
      <c r="F264" s="25" t="n"/>
      <c r="G264" s="17">
        <f>IF(AND(C264="",D264=""),"",IF(NOT(ISNUMBER(B264)),"Needs a date",IF(AND(D264&lt;&gt;"",NOT(ISNUMBER(D264))),"Hours not a number",IF(N(D264)&lt;=0,"Needs the hours",IF(C264="","Needs a name",IF(COUNTIF(Volunteers!$B$6:$B$105,C264)=0,"Not on Volunteers",""))))))</f>
        <v/>
      </c>
      <c r="H264" s="1" t="n"/>
      <c r="I264">
        <f>IF(ISNUMBER(B264),YEAR(B264),"")</f>
        <v/>
      </c>
      <c r="J264">
        <f>IF(ISNUMBER(B264),YEAR(B264)*100+MONTH(B264),"")</f>
        <v/>
      </c>
      <c r="K264">
        <f>IF(ISNUMBER(B264),INT(B264),0)</f>
        <v/>
      </c>
      <c r="L264">
        <f>IF(AND(ISNUMBER(D264),N(D264)&gt;0),K264,0)</f>
        <v/>
      </c>
    </row>
    <row r="265">
      <c r="A265" s="1" t="n"/>
      <c r="B265" s="21" t="n"/>
      <c r="C265" s="22" t="n"/>
      <c r="D265" s="46" t="n"/>
      <c r="E265" s="25" t="n"/>
      <c r="F265" s="25" t="n"/>
      <c r="G265" s="17">
        <f>IF(AND(C265="",D265=""),"",IF(NOT(ISNUMBER(B265)),"Needs a date",IF(AND(D265&lt;&gt;"",NOT(ISNUMBER(D265))),"Hours not a number",IF(N(D265)&lt;=0,"Needs the hours",IF(C265="","Needs a name",IF(COUNTIF(Volunteers!$B$6:$B$105,C265)=0,"Not on Volunteers",""))))))</f>
        <v/>
      </c>
      <c r="H265" s="1" t="n"/>
      <c r="I265">
        <f>IF(ISNUMBER(B265),YEAR(B265),"")</f>
        <v/>
      </c>
      <c r="J265">
        <f>IF(ISNUMBER(B265),YEAR(B265)*100+MONTH(B265),"")</f>
        <v/>
      </c>
      <c r="K265">
        <f>IF(ISNUMBER(B265),INT(B265),0)</f>
        <v/>
      </c>
      <c r="L265">
        <f>IF(AND(ISNUMBER(D265),N(D265)&gt;0),K265,0)</f>
        <v/>
      </c>
    </row>
    <row r="266">
      <c r="A266" s="1" t="n"/>
      <c r="B266" s="21" t="n"/>
      <c r="C266" s="22" t="n"/>
      <c r="D266" s="46" t="n"/>
      <c r="E266" s="25" t="n"/>
      <c r="F266" s="25" t="n"/>
      <c r="G266" s="17">
        <f>IF(AND(C266="",D266=""),"",IF(NOT(ISNUMBER(B266)),"Needs a date",IF(AND(D266&lt;&gt;"",NOT(ISNUMBER(D266))),"Hours not a number",IF(N(D266)&lt;=0,"Needs the hours",IF(C266="","Needs a name",IF(COUNTIF(Volunteers!$B$6:$B$105,C266)=0,"Not on Volunteers",""))))))</f>
        <v/>
      </c>
      <c r="H266" s="1" t="n"/>
      <c r="I266">
        <f>IF(ISNUMBER(B266),YEAR(B266),"")</f>
        <v/>
      </c>
      <c r="J266">
        <f>IF(ISNUMBER(B266),YEAR(B266)*100+MONTH(B266),"")</f>
        <v/>
      </c>
      <c r="K266">
        <f>IF(ISNUMBER(B266),INT(B266),0)</f>
        <v/>
      </c>
      <c r="L266">
        <f>IF(AND(ISNUMBER(D266),N(D266)&gt;0),K266,0)</f>
        <v/>
      </c>
    </row>
    <row r="267">
      <c r="A267" s="1" t="n"/>
      <c r="B267" s="21" t="n"/>
      <c r="C267" s="22" t="n"/>
      <c r="D267" s="46" t="n"/>
      <c r="E267" s="25" t="n"/>
      <c r="F267" s="25" t="n"/>
      <c r="G267" s="17">
        <f>IF(AND(C267="",D267=""),"",IF(NOT(ISNUMBER(B267)),"Needs a date",IF(AND(D267&lt;&gt;"",NOT(ISNUMBER(D267))),"Hours not a number",IF(N(D267)&lt;=0,"Needs the hours",IF(C267="","Needs a name",IF(COUNTIF(Volunteers!$B$6:$B$105,C267)=0,"Not on Volunteers",""))))))</f>
        <v/>
      </c>
      <c r="H267" s="1" t="n"/>
      <c r="I267">
        <f>IF(ISNUMBER(B267),YEAR(B267),"")</f>
        <v/>
      </c>
      <c r="J267">
        <f>IF(ISNUMBER(B267),YEAR(B267)*100+MONTH(B267),"")</f>
        <v/>
      </c>
      <c r="K267">
        <f>IF(ISNUMBER(B267),INT(B267),0)</f>
        <v/>
      </c>
      <c r="L267">
        <f>IF(AND(ISNUMBER(D267),N(D267)&gt;0),K267,0)</f>
        <v/>
      </c>
    </row>
    <row r="268">
      <c r="A268" s="1" t="n"/>
      <c r="B268" s="21" t="n"/>
      <c r="C268" s="22" t="n"/>
      <c r="D268" s="46" t="n"/>
      <c r="E268" s="25" t="n"/>
      <c r="F268" s="25" t="n"/>
      <c r="G268" s="17">
        <f>IF(AND(C268="",D268=""),"",IF(NOT(ISNUMBER(B268)),"Needs a date",IF(AND(D268&lt;&gt;"",NOT(ISNUMBER(D268))),"Hours not a number",IF(N(D268)&lt;=0,"Needs the hours",IF(C268="","Needs a name",IF(COUNTIF(Volunteers!$B$6:$B$105,C268)=0,"Not on Volunteers",""))))))</f>
        <v/>
      </c>
      <c r="H268" s="1" t="n"/>
      <c r="I268">
        <f>IF(ISNUMBER(B268),YEAR(B268),"")</f>
        <v/>
      </c>
      <c r="J268">
        <f>IF(ISNUMBER(B268),YEAR(B268)*100+MONTH(B268),"")</f>
        <v/>
      </c>
      <c r="K268">
        <f>IF(ISNUMBER(B268),INT(B268),0)</f>
        <v/>
      </c>
      <c r="L268">
        <f>IF(AND(ISNUMBER(D268),N(D268)&gt;0),K268,0)</f>
        <v/>
      </c>
    </row>
    <row r="269">
      <c r="A269" s="1" t="n"/>
      <c r="B269" s="21" t="n"/>
      <c r="C269" s="22" t="n"/>
      <c r="D269" s="46" t="n"/>
      <c r="E269" s="25" t="n"/>
      <c r="F269" s="25" t="n"/>
      <c r="G269" s="17">
        <f>IF(AND(C269="",D269=""),"",IF(NOT(ISNUMBER(B269)),"Needs a date",IF(AND(D269&lt;&gt;"",NOT(ISNUMBER(D269))),"Hours not a number",IF(N(D269)&lt;=0,"Needs the hours",IF(C269="","Needs a name",IF(COUNTIF(Volunteers!$B$6:$B$105,C269)=0,"Not on Volunteers",""))))))</f>
        <v/>
      </c>
      <c r="H269" s="1" t="n"/>
      <c r="I269">
        <f>IF(ISNUMBER(B269),YEAR(B269),"")</f>
        <v/>
      </c>
      <c r="J269">
        <f>IF(ISNUMBER(B269),YEAR(B269)*100+MONTH(B269),"")</f>
        <v/>
      </c>
      <c r="K269">
        <f>IF(ISNUMBER(B269),INT(B269),0)</f>
        <v/>
      </c>
      <c r="L269">
        <f>IF(AND(ISNUMBER(D269),N(D269)&gt;0),K269,0)</f>
        <v/>
      </c>
    </row>
    <row r="270">
      <c r="A270" s="1" t="n"/>
      <c r="B270" s="21" t="n"/>
      <c r="C270" s="22" t="n"/>
      <c r="D270" s="46" t="n"/>
      <c r="E270" s="25" t="n"/>
      <c r="F270" s="25" t="n"/>
      <c r="G270" s="17">
        <f>IF(AND(C270="",D270=""),"",IF(NOT(ISNUMBER(B270)),"Needs a date",IF(AND(D270&lt;&gt;"",NOT(ISNUMBER(D270))),"Hours not a number",IF(N(D270)&lt;=0,"Needs the hours",IF(C270="","Needs a name",IF(COUNTIF(Volunteers!$B$6:$B$105,C270)=0,"Not on Volunteers",""))))))</f>
        <v/>
      </c>
      <c r="H270" s="1" t="n"/>
      <c r="I270">
        <f>IF(ISNUMBER(B270),YEAR(B270),"")</f>
        <v/>
      </c>
      <c r="J270">
        <f>IF(ISNUMBER(B270),YEAR(B270)*100+MONTH(B270),"")</f>
        <v/>
      </c>
      <c r="K270">
        <f>IF(ISNUMBER(B270),INT(B270),0)</f>
        <v/>
      </c>
      <c r="L270">
        <f>IF(AND(ISNUMBER(D270),N(D270)&gt;0),K270,0)</f>
        <v/>
      </c>
    </row>
    <row r="271">
      <c r="A271" s="1" t="n"/>
      <c r="B271" s="21" t="n"/>
      <c r="C271" s="22" t="n"/>
      <c r="D271" s="46" t="n"/>
      <c r="E271" s="25" t="n"/>
      <c r="F271" s="25" t="n"/>
      <c r="G271" s="17">
        <f>IF(AND(C271="",D271=""),"",IF(NOT(ISNUMBER(B271)),"Needs a date",IF(AND(D271&lt;&gt;"",NOT(ISNUMBER(D271))),"Hours not a number",IF(N(D271)&lt;=0,"Needs the hours",IF(C271="","Needs a name",IF(COUNTIF(Volunteers!$B$6:$B$105,C271)=0,"Not on Volunteers",""))))))</f>
        <v/>
      </c>
      <c r="H271" s="1" t="n"/>
      <c r="I271">
        <f>IF(ISNUMBER(B271),YEAR(B271),"")</f>
        <v/>
      </c>
      <c r="J271">
        <f>IF(ISNUMBER(B271),YEAR(B271)*100+MONTH(B271),"")</f>
        <v/>
      </c>
      <c r="K271">
        <f>IF(ISNUMBER(B271),INT(B271),0)</f>
        <v/>
      </c>
      <c r="L271">
        <f>IF(AND(ISNUMBER(D271),N(D271)&gt;0),K271,0)</f>
        <v/>
      </c>
    </row>
    <row r="272">
      <c r="A272" s="1" t="n"/>
      <c r="B272" s="21" t="n"/>
      <c r="C272" s="22" t="n"/>
      <c r="D272" s="46" t="n"/>
      <c r="E272" s="25" t="n"/>
      <c r="F272" s="25" t="n"/>
      <c r="G272" s="17">
        <f>IF(AND(C272="",D272=""),"",IF(NOT(ISNUMBER(B272)),"Needs a date",IF(AND(D272&lt;&gt;"",NOT(ISNUMBER(D272))),"Hours not a number",IF(N(D272)&lt;=0,"Needs the hours",IF(C272="","Needs a name",IF(COUNTIF(Volunteers!$B$6:$B$105,C272)=0,"Not on Volunteers",""))))))</f>
        <v/>
      </c>
      <c r="H272" s="1" t="n"/>
      <c r="I272">
        <f>IF(ISNUMBER(B272),YEAR(B272),"")</f>
        <v/>
      </c>
      <c r="J272">
        <f>IF(ISNUMBER(B272),YEAR(B272)*100+MONTH(B272),"")</f>
        <v/>
      </c>
      <c r="K272">
        <f>IF(ISNUMBER(B272),INT(B272),0)</f>
        <v/>
      </c>
      <c r="L272">
        <f>IF(AND(ISNUMBER(D272),N(D272)&gt;0),K272,0)</f>
        <v/>
      </c>
    </row>
    <row r="273">
      <c r="A273" s="1" t="n"/>
      <c r="B273" s="21" t="n"/>
      <c r="C273" s="22" t="n"/>
      <c r="D273" s="46" t="n"/>
      <c r="E273" s="25" t="n"/>
      <c r="F273" s="25" t="n"/>
      <c r="G273" s="17">
        <f>IF(AND(C273="",D273=""),"",IF(NOT(ISNUMBER(B273)),"Needs a date",IF(AND(D273&lt;&gt;"",NOT(ISNUMBER(D273))),"Hours not a number",IF(N(D273)&lt;=0,"Needs the hours",IF(C273="","Needs a name",IF(COUNTIF(Volunteers!$B$6:$B$105,C273)=0,"Not on Volunteers",""))))))</f>
        <v/>
      </c>
      <c r="H273" s="1" t="n"/>
      <c r="I273">
        <f>IF(ISNUMBER(B273),YEAR(B273),"")</f>
        <v/>
      </c>
      <c r="J273">
        <f>IF(ISNUMBER(B273),YEAR(B273)*100+MONTH(B273),"")</f>
        <v/>
      </c>
      <c r="K273">
        <f>IF(ISNUMBER(B273),INT(B273),0)</f>
        <v/>
      </c>
      <c r="L273">
        <f>IF(AND(ISNUMBER(D273),N(D273)&gt;0),K273,0)</f>
        <v/>
      </c>
    </row>
    <row r="274">
      <c r="A274" s="1" t="n"/>
      <c r="B274" s="21" t="n"/>
      <c r="C274" s="22" t="n"/>
      <c r="D274" s="46" t="n"/>
      <c r="E274" s="25" t="n"/>
      <c r="F274" s="25" t="n"/>
      <c r="G274" s="17">
        <f>IF(AND(C274="",D274=""),"",IF(NOT(ISNUMBER(B274)),"Needs a date",IF(AND(D274&lt;&gt;"",NOT(ISNUMBER(D274))),"Hours not a number",IF(N(D274)&lt;=0,"Needs the hours",IF(C274="","Needs a name",IF(COUNTIF(Volunteers!$B$6:$B$105,C274)=0,"Not on Volunteers",""))))))</f>
        <v/>
      </c>
      <c r="H274" s="1" t="n"/>
      <c r="I274">
        <f>IF(ISNUMBER(B274),YEAR(B274),"")</f>
        <v/>
      </c>
      <c r="J274">
        <f>IF(ISNUMBER(B274),YEAR(B274)*100+MONTH(B274),"")</f>
        <v/>
      </c>
      <c r="K274">
        <f>IF(ISNUMBER(B274),INT(B274),0)</f>
        <v/>
      </c>
      <c r="L274">
        <f>IF(AND(ISNUMBER(D274),N(D274)&gt;0),K274,0)</f>
        <v/>
      </c>
    </row>
    <row r="275">
      <c r="A275" s="1" t="n"/>
      <c r="B275" s="21" t="n"/>
      <c r="C275" s="22" t="n"/>
      <c r="D275" s="46" t="n"/>
      <c r="E275" s="25" t="n"/>
      <c r="F275" s="25" t="n"/>
      <c r="G275" s="17">
        <f>IF(AND(C275="",D275=""),"",IF(NOT(ISNUMBER(B275)),"Needs a date",IF(AND(D275&lt;&gt;"",NOT(ISNUMBER(D275))),"Hours not a number",IF(N(D275)&lt;=0,"Needs the hours",IF(C275="","Needs a name",IF(COUNTIF(Volunteers!$B$6:$B$105,C275)=0,"Not on Volunteers",""))))))</f>
        <v/>
      </c>
      <c r="H275" s="1" t="n"/>
      <c r="I275">
        <f>IF(ISNUMBER(B275),YEAR(B275),"")</f>
        <v/>
      </c>
      <c r="J275">
        <f>IF(ISNUMBER(B275),YEAR(B275)*100+MONTH(B275),"")</f>
        <v/>
      </c>
      <c r="K275">
        <f>IF(ISNUMBER(B275),INT(B275),0)</f>
        <v/>
      </c>
      <c r="L275">
        <f>IF(AND(ISNUMBER(D275),N(D275)&gt;0),K275,0)</f>
        <v/>
      </c>
    </row>
    <row r="276">
      <c r="A276" s="1" t="n"/>
      <c r="B276" s="21" t="n"/>
      <c r="C276" s="22" t="n"/>
      <c r="D276" s="46" t="n"/>
      <c r="E276" s="25" t="n"/>
      <c r="F276" s="25" t="n"/>
      <c r="G276" s="17">
        <f>IF(AND(C276="",D276=""),"",IF(NOT(ISNUMBER(B276)),"Needs a date",IF(AND(D276&lt;&gt;"",NOT(ISNUMBER(D276))),"Hours not a number",IF(N(D276)&lt;=0,"Needs the hours",IF(C276="","Needs a name",IF(COUNTIF(Volunteers!$B$6:$B$105,C276)=0,"Not on Volunteers",""))))))</f>
        <v/>
      </c>
      <c r="H276" s="1" t="n"/>
      <c r="I276">
        <f>IF(ISNUMBER(B276),YEAR(B276),"")</f>
        <v/>
      </c>
      <c r="J276">
        <f>IF(ISNUMBER(B276),YEAR(B276)*100+MONTH(B276),"")</f>
        <v/>
      </c>
      <c r="K276">
        <f>IF(ISNUMBER(B276),INT(B276),0)</f>
        <v/>
      </c>
      <c r="L276">
        <f>IF(AND(ISNUMBER(D276),N(D276)&gt;0),K276,0)</f>
        <v/>
      </c>
    </row>
    <row r="277">
      <c r="A277" s="1" t="n"/>
      <c r="B277" s="21" t="n"/>
      <c r="C277" s="22" t="n"/>
      <c r="D277" s="46" t="n"/>
      <c r="E277" s="25" t="n"/>
      <c r="F277" s="25" t="n"/>
      <c r="G277" s="17">
        <f>IF(AND(C277="",D277=""),"",IF(NOT(ISNUMBER(B277)),"Needs a date",IF(AND(D277&lt;&gt;"",NOT(ISNUMBER(D277))),"Hours not a number",IF(N(D277)&lt;=0,"Needs the hours",IF(C277="","Needs a name",IF(COUNTIF(Volunteers!$B$6:$B$105,C277)=0,"Not on Volunteers",""))))))</f>
        <v/>
      </c>
      <c r="H277" s="1" t="n"/>
      <c r="I277">
        <f>IF(ISNUMBER(B277),YEAR(B277),"")</f>
        <v/>
      </c>
      <c r="J277">
        <f>IF(ISNUMBER(B277),YEAR(B277)*100+MONTH(B277),"")</f>
        <v/>
      </c>
      <c r="K277">
        <f>IF(ISNUMBER(B277),INT(B277),0)</f>
        <v/>
      </c>
      <c r="L277">
        <f>IF(AND(ISNUMBER(D277),N(D277)&gt;0),K277,0)</f>
        <v/>
      </c>
    </row>
    <row r="278">
      <c r="A278" s="1" t="n"/>
      <c r="B278" s="21" t="n"/>
      <c r="C278" s="22" t="n"/>
      <c r="D278" s="46" t="n"/>
      <c r="E278" s="25" t="n"/>
      <c r="F278" s="25" t="n"/>
      <c r="G278" s="17">
        <f>IF(AND(C278="",D278=""),"",IF(NOT(ISNUMBER(B278)),"Needs a date",IF(AND(D278&lt;&gt;"",NOT(ISNUMBER(D278))),"Hours not a number",IF(N(D278)&lt;=0,"Needs the hours",IF(C278="","Needs a name",IF(COUNTIF(Volunteers!$B$6:$B$105,C278)=0,"Not on Volunteers",""))))))</f>
        <v/>
      </c>
      <c r="H278" s="1" t="n"/>
      <c r="I278">
        <f>IF(ISNUMBER(B278),YEAR(B278),"")</f>
        <v/>
      </c>
      <c r="J278">
        <f>IF(ISNUMBER(B278),YEAR(B278)*100+MONTH(B278),"")</f>
        <v/>
      </c>
      <c r="K278">
        <f>IF(ISNUMBER(B278),INT(B278),0)</f>
        <v/>
      </c>
      <c r="L278">
        <f>IF(AND(ISNUMBER(D278),N(D278)&gt;0),K278,0)</f>
        <v/>
      </c>
    </row>
    <row r="279">
      <c r="A279" s="1" t="n"/>
      <c r="B279" s="21" t="n"/>
      <c r="C279" s="22" t="n"/>
      <c r="D279" s="46" t="n"/>
      <c r="E279" s="25" t="n"/>
      <c r="F279" s="25" t="n"/>
      <c r="G279" s="17">
        <f>IF(AND(C279="",D279=""),"",IF(NOT(ISNUMBER(B279)),"Needs a date",IF(AND(D279&lt;&gt;"",NOT(ISNUMBER(D279))),"Hours not a number",IF(N(D279)&lt;=0,"Needs the hours",IF(C279="","Needs a name",IF(COUNTIF(Volunteers!$B$6:$B$105,C279)=0,"Not on Volunteers",""))))))</f>
        <v/>
      </c>
      <c r="H279" s="1" t="n"/>
      <c r="I279">
        <f>IF(ISNUMBER(B279),YEAR(B279),"")</f>
        <v/>
      </c>
      <c r="J279">
        <f>IF(ISNUMBER(B279),YEAR(B279)*100+MONTH(B279),"")</f>
        <v/>
      </c>
      <c r="K279">
        <f>IF(ISNUMBER(B279),INT(B279),0)</f>
        <v/>
      </c>
      <c r="L279">
        <f>IF(AND(ISNUMBER(D279),N(D279)&gt;0),K279,0)</f>
        <v/>
      </c>
    </row>
    <row r="280">
      <c r="A280" s="1" t="n"/>
      <c r="B280" s="21" t="n"/>
      <c r="C280" s="22" t="n"/>
      <c r="D280" s="46" t="n"/>
      <c r="E280" s="25" t="n"/>
      <c r="F280" s="25" t="n"/>
      <c r="G280" s="17">
        <f>IF(AND(C280="",D280=""),"",IF(NOT(ISNUMBER(B280)),"Needs a date",IF(AND(D280&lt;&gt;"",NOT(ISNUMBER(D280))),"Hours not a number",IF(N(D280)&lt;=0,"Needs the hours",IF(C280="","Needs a name",IF(COUNTIF(Volunteers!$B$6:$B$105,C280)=0,"Not on Volunteers",""))))))</f>
        <v/>
      </c>
      <c r="H280" s="1" t="n"/>
      <c r="I280">
        <f>IF(ISNUMBER(B280),YEAR(B280),"")</f>
        <v/>
      </c>
      <c r="J280">
        <f>IF(ISNUMBER(B280),YEAR(B280)*100+MONTH(B280),"")</f>
        <v/>
      </c>
      <c r="K280">
        <f>IF(ISNUMBER(B280),INT(B280),0)</f>
        <v/>
      </c>
      <c r="L280">
        <f>IF(AND(ISNUMBER(D280),N(D280)&gt;0),K280,0)</f>
        <v/>
      </c>
    </row>
    <row r="281">
      <c r="A281" s="1" t="n"/>
      <c r="B281" s="21" t="n"/>
      <c r="C281" s="22" t="n"/>
      <c r="D281" s="46" t="n"/>
      <c r="E281" s="25" t="n"/>
      <c r="F281" s="25" t="n"/>
      <c r="G281" s="17">
        <f>IF(AND(C281="",D281=""),"",IF(NOT(ISNUMBER(B281)),"Needs a date",IF(AND(D281&lt;&gt;"",NOT(ISNUMBER(D281))),"Hours not a number",IF(N(D281)&lt;=0,"Needs the hours",IF(C281="","Needs a name",IF(COUNTIF(Volunteers!$B$6:$B$105,C281)=0,"Not on Volunteers",""))))))</f>
        <v/>
      </c>
      <c r="H281" s="1" t="n"/>
      <c r="I281">
        <f>IF(ISNUMBER(B281),YEAR(B281),"")</f>
        <v/>
      </c>
      <c r="J281">
        <f>IF(ISNUMBER(B281),YEAR(B281)*100+MONTH(B281),"")</f>
        <v/>
      </c>
      <c r="K281">
        <f>IF(ISNUMBER(B281),INT(B281),0)</f>
        <v/>
      </c>
      <c r="L281">
        <f>IF(AND(ISNUMBER(D281),N(D281)&gt;0),K281,0)</f>
        <v/>
      </c>
    </row>
    <row r="282">
      <c r="A282" s="1" t="n"/>
      <c r="B282" s="21" t="n"/>
      <c r="C282" s="22" t="n"/>
      <c r="D282" s="46" t="n"/>
      <c r="E282" s="25" t="n"/>
      <c r="F282" s="25" t="n"/>
      <c r="G282" s="17">
        <f>IF(AND(C282="",D282=""),"",IF(NOT(ISNUMBER(B282)),"Needs a date",IF(AND(D282&lt;&gt;"",NOT(ISNUMBER(D282))),"Hours not a number",IF(N(D282)&lt;=0,"Needs the hours",IF(C282="","Needs a name",IF(COUNTIF(Volunteers!$B$6:$B$105,C282)=0,"Not on Volunteers",""))))))</f>
        <v/>
      </c>
      <c r="H282" s="1" t="n"/>
      <c r="I282">
        <f>IF(ISNUMBER(B282),YEAR(B282),"")</f>
        <v/>
      </c>
      <c r="J282">
        <f>IF(ISNUMBER(B282),YEAR(B282)*100+MONTH(B282),"")</f>
        <v/>
      </c>
      <c r="K282">
        <f>IF(ISNUMBER(B282),INT(B282),0)</f>
        <v/>
      </c>
      <c r="L282">
        <f>IF(AND(ISNUMBER(D282),N(D282)&gt;0),K282,0)</f>
        <v/>
      </c>
    </row>
    <row r="283">
      <c r="A283" s="1" t="n"/>
      <c r="B283" s="21" t="n"/>
      <c r="C283" s="22" t="n"/>
      <c r="D283" s="46" t="n"/>
      <c r="E283" s="25" t="n"/>
      <c r="F283" s="25" t="n"/>
      <c r="G283" s="17">
        <f>IF(AND(C283="",D283=""),"",IF(NOT(ISNUMBER(B283)),"Needs a date",IF(AND(D283&lt;&gt;"",NOT(ISNUMBER(D283))),"Hours not a number",IF(N(D283)&lt;=0,"Needs the hours",IF(C283="","Needs a name",IF(COUNTIF(Volunteers!$B$6:$B$105,C283)=0,"Not on Volunteers",""))))))</f>
        <v/>
      </c>
      <c r="H283" s="1" t="n"/>
      <c r="I283">
        <f>IF(ISNUMBER(B283),YEAR(B283),"")</f>
        <v/>
      </c>
      <c r="J283">
        <f>IF(ISNUMBER(B283),YEAR(B283)*100+MONTH(B283),"")</f>
        <v/>
      </c>
      <c r="K283">
        <f>IF(ISNUMBER(B283),INT(B283),0)</f>
        <v/>
      </c>
      <c r="L283">
        <f>IF(AND(ISNUMBER(D283),N(D283)&gt;0),K283,0)</f>
        <v/>
      </c>
    </row>
    <row r="284">
      <c r="A284" s="1" t="n"/>
      <c r="B284" s="21" t="n"/>
      <c r="C284" s="22" t="n"/>
      <c r="D284" s="46" t="n"/>
      <c r="E284" s="25" t="n"/>
      <c r="F284" s="25" t="n"/>
      <c r="G284" s="17">
        <f>IF(AND(C284="",D284=""),"",IF(NOT(ISNUMBER(B284)),"Needs a date",IF(AND(D284&lt;&gt;"",NOT(ISNUMBER(D284))),"Hours not a number",IF(N(D284)&lt;=0,"Needs the hours",IF(C284="","Needs a name",IF(COUNTIF(Volunteers!$B$6:$B$105,C284)=0,"Not on Volunteers",""))))))</f>
        <v/>
      </c>
      <c r="H284" s="1" t="n"/>
      <c r="I284">
        <f>IF(ISNUMBER(B284),YEAR(B284),"")</f>
        <v/>
      </c>
      <c r="J284">
        <f>IF(ISNUMBER(B284),YEAR(B284)*100+MONTH(B284),"")</f>
        <v/>
      </c>
      <c r="K284">
        <f>IF(ISNUMBER(B284),INT(B284),0)</f>
        <v/>
      </c>
      <c r="L284">
        <f>IF(AND(ISNUMBER(D284),N(D284)&gt;0),K284,0)</f>
        <v/>
      </c>
    </row>
    <row r="285">
      <c r="A285" s="1" t="n"/>
      <c r="B285" s="21" t="n"/>
      <c r="C285" s="22" t="n"/>
      <c r="D285" s="46" t="n"/>
      <c r="E285" s="25" t="n"/>
      <c r="F285" s="25" t="n"/>
      <c r="G285" s="17">
        <f>IF(AND(C285="",D285=""),"",IF(NOT(ISNUMBER(B285)),"Needs a date",IF(AND(D285&lt;&gt;"",NOT(ISNUMBER(D285))),"Hours not a number",IF(N(D285)&lt;=0,"Needs the hours",IF(C285="","Needs a name",IF(COUNTIF(Volunteers!$B$6:$B$105,C285)=0,"Not on Volunteers",""))))))</f>
        <v/>
      </c>
      <c r="H285" s="1" t="n"/>
      <c r="I285">
        <f>IF(ISNUMBER(B285),YEAR(B285),"")</f>
        <v/>
      </c>
      <c r="J285">
        <f>IF(ISNUMBER(B285),YEAR(B285)*100+MONTH(B285),"")</f>
        <v/>
      </c>
      <c r="K285">
        <f>IF(ISNUMBER(B285),INT(B285),0)</f>
        <v/>
      </c>
      <c r="L285">
        <f>IF(AND(ISNUMBER(D285),N(D285)&gt;0),K285,0)</f>
        <v/>
      </c>
    </row>
    <row r="286">
      <c r="A286" s="1" t="n"/>
      <c r="B286" s="21" t="n"/>
      <c r="C286" s="22" t="n"/>
      <c r="D286" s="46" t="n"/>
      <c r="E286" s="25" t="n"/>
      <c r="F286" s="25" t="n"/>
      <c r="G286" s="17">
        <f>IF(AND(C286="",D286=""),"",IF(NOT(ISNUMBER(B286)),"Needs a date",IF(AND(D286&lt;&gt;"",NOT(ISNUMBER(D286))),"Hours not a number",IF(N(D286)&lt;=0,"Needs the hours",IF(C286="","Needs a name",IF(COUNTIF(Volunteers!$B$6:$B$105,C286)=0,"Not on Volunteers",""))))))</f>
        <v/>
      </c>
      <c r="H286" s="1" t="n"/>
      <c r="I286">
        <f>IF(ISNUMBER(B286),YEAR(B286),"")</f>
        <v/>
      </c>
      <c r="J286">
        <f>IF(ISNUMBER(B286),YEAR(B286)*100+MONTH(B286),"")</f>
        <v/>
      </c>
      <c r="K286">
        <f>IF(ISNUMBER(B286),INT(B286),0)</f>
        <v/>
      </c>
      <c r="L286">
        <f>IF(AND(ISNUMBER(D286),N(D286)&gt;0),K286,0)</f>
        <v/>
      </c>
    </row>
    <row r="287">
      <c r="A287" s="1" t="n"/>
      <c r="B287" s="21" t="n"/>
      <c r="C287" s="22" t="n"/>
      <c r="D287" s="46" t="n"/>
      <c r="E287" s="25" t="n"/>
      <c r="F287" s="25" t="n"/>
      <c r="G287" s="17">
        <f>IF(AND(C287="",D287=""),"",IF(NOT(ISNUMBER(B287)),"Needs a date",IF(AND(D287&lt;&gt;"",NOT(ISNUMBER(D287))),"Hours not a number",IF(N(D287)&lt;=0,"Needs the hours",IF(C287="","Needs a name",IF(COUNTIF(Volunteers!$B$6:$B$105,C287)=0,"Not on Volunteers",""))))))</f>
        <v/>
      </c>
      <c r="H287" s="1" t="n"/>
      <c r="I287">
        <f>IF(ISNUMBER(B287),YEAR(B287),"")</f>
        <v/>
      </c>
      <c r="J287">
        <f>IF(ISNUMBER(B287),YEAR(B287)*100+MONTH(B287),"")</f>
        <v/>
      </c>
      <c r="K287">
        <f>IF(ISNUMBER(B287),INT(B287),0)</f>
        <v/>
      </c>
      <c r="L287">
        <f>IF(AND(ISNUMBER(D287),N(D287)&gt;0),K287,0)</f>
        <v/>
      </c>
    </row>
    <row r="288">
      <c r="A288" s="1" t="n"/>
      <c r="B288" s="21" t="n"/>
      <c r="C288" s="22" t="n"/>
      <c r="D288" s="46" t="n"/>
      <c r="E288" s="25" t="n"/>
      <c r="F288" s="25" t="n"/>
      <c r="G288" s="17">
        <f>IF(AND(C288="",D288=""),"",IF(NOT(ISNUMBER(B288)),"Needs a date",IF(AND(D288&lt;&gt;"",NOT(ISNUMBER(D288))),"Hours not a number",IF(N(D288)&lt;=0,"Needs the hours",IF(C288="","Needs a name",IF(COUNTIF(Volunteers!$B$6:$B$105,C288)=0,"Not on Volunteers",""))))))</f>
        <v/>
      </c>
      <c r="H288" s="1" t="n"/>
      <c r="I288">
        <f>IF(ISNUMBER(B288),YEAR(B288),"")</f>
        <v/>
      </c>
      <c r="J288">
        <f>IF(ISNUMBER(B288),YEAR(B288)*100+MONTH(B288),"")</f>
        <v/>
      </c>
      <c r="K288">
        <f>IF(ISNUMBER(B288),INT(B288),0)</f>
        <v/>
      </c>
      <c r="L288">
        <f>IF(AND(ISNUMBER(D288),N(D288)&gt;0),K288,0)</f>
        <v/>
      </c>
    </row>
    <row r="289">
      <c r="A289" s="1" t="n"/>
      <c r="B289" s="21" t="n"/>
      <c r="C289" s="22" t="n"/>
      <c r="D289" s="46" t="n"/>
      <c r="E289" s="25" t="n"/>
      <c r="F289" s="25" t="n"/>
      <c r="G289" s="17">
        <f>IF(AND(C289="",D289=""),"",IF(NOT(ISNUMBER(B289)),"Needs a date",IF(AND(D289&lt;&gt;"",NOT(ISNUMBER(D289))),"Hours not a number",IF(N(D289)&lt;=0,"Needs the hours",IF(C289="","Needs a name",IF(COUNTIF(Volunteers!$B$6:$B$105,C289)=0,"Not on Volunteers",""))))))</f>
        <v/>
      </c>
      <c r="H289" s="1" t="n"/>
      <c r="I289">
        <f>IF(ISNUMBER(B289),YEAR(B289),"")</f>
        <v/>
      </c>
      <c r="J289">
        <f>IF(ISNUMBER(B289),YEAR(B289)*100+MONTH(B289),"")</f>
        <v/>
      </c>
      <c r="K289">
        <f>IF(ISNUMBER(B289),INT(B289),0)</f>
        <v/>
      </c>
      <c r="L289">
        <f>IF(AND(ISNUMBER(D289),N(D289)&gt;0),K289,0)</f>
        <v/>
      </c>
    </row>
    <row r="290">
      <c r="A290" s="1" t="n"/>
      <c r="B290" s="21" t="n"/>
      <c r="C290" s="22" t="n"/>
      <c r="D290" s="46" t="n"/>
      <c r="E290" s="25" t="n"/>
      <c r="F290" s="25" t="n"/>
      <c r="G290" s="17">
        <f>IF(AND(C290="",D290=""),"",IF(NOT(ISNUMBER(B290)),"Needs a date",IF(AND(D290&lt;&gt;"",NOT(ISNUMBER(D290))),"Hours not a number",IF(N(D290)&lt;=0,"Needs the hours",IF(C290="","Needs a name",IF(COUNTIF(Volunteers!$B$6:$B$105,C290)=0,"Not on Volunteers",""))))))</f>
        <v/>
      </c>
      <c r="H290" s="1" t="n"/>
      <c r="I290">
        <f>IF(ISNUMBER(B290),YEAR(B290),"")</f>
        <v/>
      </c>
      <c r="J290">
        <f>IF(ISNUMBER(B290),YEAR(B290)*100+MONTH(B290),"")</f>
        <v/>
      </c>
      <c r="K290">
        <f>IF(ISNUMBER(B290),INT(B290),0)</f>
        <v/>
      </c>
      <c r="L290">
        <f>IF(AND(ISNUMBER(D290),N(D290)&gt;0),K290,0)</f>
        <v/>
      </c>
    </row>
    <row r="291">
      <c r="A291" s="1" t="n"/>
      <c r="B291" s="21" t="n"/>
      <c r="C291" s="22" t="n"/>
      <c r="D291" s="46" t="n"/>
      <c r="E291" s="25" t="n"/>
      <c r="F291" s="25" t="n"/>
      <c r="G291" s="17">
        <f>IF(AND(C291="",D291=""),"",IF(NOT(ISNUMBER(B291)),"Needs a date",IF(AND(D291&lt;&gt;"",NOT(ISNUMBER(D291))),"Hours not a number",IF(N(D291)&lt;=0,"Needs the hours",IF(C291="","Needs a name",IF(COUNTIF(Volunteers!$B$6:$B$105,C291)=0,"Not on Volunteers",""))))))</f>
        <v/>
      </c>
      <c r="H291" s="1" t="n"/>
      <c r="I291">
        <f>IF(ISNUMBER(B291),YEAR(B291),"")</f>
        <v/>
      </c>
      <c r="J291">
        <f>IF(ISNUMBER(B291),YEAR(B291)*100+MONTH(B291),"")</f>
        <v/>
      </c>
      <c r="K291">
        <f>IF(ISNUMBER(B291),INT(B291),0)</f>
        <v/>
      </c>
      <c r="L291">
        <f>IF(AND(ISNUMBER(D291),N(D291)&gt;0),K291,0)</f>
        <v/>
      </c>
    </row>
    <row r="292">
      <c r="A292" s="1" t="n"/>
      <c r="B292" s="21" t="n"/>
      <c r="C292" s="22" t="n"/>
      <c r="D292" s="46" t="n"/>
      <c r="E292" s="25" t="n"/>
      <c r="F292" s="25" t="n"/>
      <c r="G292" s="17">
        <f>IF(AND(C292="",D292=""),"",IF(NOT(ISNUMBER(B292)),"Needs a date",IF(AND(D292&lt;&gt;"",NOT(ISNUMBER(D292))),"Hours not a number",IF(N(D292)&lt;=0,"Needs the hours",IF(C292="","Needs a name",IF(COUNTIF(Volunteers!$B$6:$B$105,C292)=0,"Not on Volunteers",""))))))</f>
        <v/>
      </c>
      <c r="H292" s="1" t="n"/>
      <c r="I292">
        <f>IF(ISNUMBER(B292),YEAR(B292),"")</f>
        <v/>
      </c>
      <c r="J292">
        <f>IF(ISNUMBER(B292),YEAR(B292)*100+MONTH(B292),"")</f>
        <v/>
      </c>
      <c r="K292">
        <f>IF(ISNUMBER(B292),INT(B292),0)</f>
        <v/>
      </c>
      <c r="L292">
        <f>IF(AND(ISNUMBER(D292),N(D292)&gt;0),K292,0)</f>
        <v/>
      </c>
    </row>
    <row r="293">
      <c r="A293" s="1" t="n"/>
      <c r="B293" s="21" t="n"/>
      <c r="C293" s="22" t="n"/>
      <c r="D293" s="46" t="n"/>
      <c r="E293" s="25" t="n"/>
      <c r="F293" s="25" t="n"/>
      <c r="G293" s="17">
        <f>IF(AND(C293="",D293=""),"",IF(NOT(ISNUMBER(B293)),"Needs a date",IF(AND(D293&lt;&gt;"",NOT(ISNUMBER(D293))),"Hours not a number",IF(N(D293)&lt;=0,"Needs the hours",IF(C293="","Needs a name",IF(COUNTIF(Volunteers!$B$6:$B$105,C293)=0,"Not on Volunteers",""))))))</f>
        <v/>
      </c>
      <c r="H293" s="1" t="n"/>
      <c r="I293">
        <f>IF(ISNUMBER(B293),YEAR(B293),"")</f>
        <v/>
      </c>
      <c r="J293">
        <f>IF(ISNUMBER(B293),YEAR(B293)*100+MONTH(B293),"")</f>
        <v/>
      </c>
      <c r="K293">
        <f>IF(ISNUMBER(B293),INT(B293),0)</f>
        <v/>
      </c>
      <c r="L293">
        <f>IF(AND(ISNUMBER(D293),N(D293)&gt;0),K293,0)</f>
        <v/>
      </c>
    </row>
    <row r="294">
      <c r="A294" s="1" t="n"/>
      <c r="B294" s="21" t="n"/>
      <c r="C294" s="22" t="n"/>
      <c r="D294" s="46" t="n"/>
      <c r="E294" s="25" t="n"/>
      <c r="F294" s="25" t="n"/>
      <c r="G294" s="17">
        <f>IF(AND(C294="",D294=""),"",IF(NOT(ISNUMBER(B294)),"Needs a date",IF(AND(D294&lt;&gt;"",NOT(ISNUMBER(D294))),"Hours not a number",IF(N(D294)&lt;=0,"Needs the hours",IF(C294="","Needs a name",IF(COUNTIF(Volunteers!$B$6:$B$105,C294)=0,"Not on Volunteers",""))))))</f>
        <v/>
      </c>
      <c r="H294" s="1" t="n"/>
      <c r="I294">
        <f>IF(ISNUMBER(B294),YEAR(B294),"")</f>
        <v/>
      </c>
      <c r="J294">
        <f>IF(ISNUMBER(B294),YEAR(B294)*100+MONTH(B294),"")</f>
        <v/>
      </c>
      <c r="K294">
        <f>IF(ISNUMBER(B294),INT(B294),0)</f>
        <v/>
      </c>
      <c r="L294">
        <f>IF(AND(ISNUMBER(D294),N(D294)&gt;0),K294,0)</f>
        <v/>
      </c>
    </row>
    <row r="295">
      <c r="A295" s="1" t="n"/>
      <c r="B295" s="21" t="n"/>
      <c r="C295" s="22" t="n"/>
      <c r="D295" s="46" t="n"/>
      <c r="E295" s="25" t="n"/>
      <c r="F295" s="25" t="n"/>
      <c r="G295" s="17">
        <f>IF(AND(C295="",D295=""),"",IF(NOT(ISNUMBER(B295)),"Needs a date",IF(AND(D295&lt;&gt;"",NOT(ISNUMBER(D295))),"Hours not a number",IF(N(D295)&lt;=0,"Needs the hours",IF(C295="","Needs a name",IF(COUNTIF(Volunteers!$B$6:$B$105,C295)=0,"Not on Volunteers",""))))))</f>
        <v/>
      </c>
      <c r="H295" s="1" t="n"/>
      <c r="I295">
        <f>IF(ISNUMBER(B295),YEAR(B295),"")</f>
        <v/>
      </c>
      <c r="J295">
        <f>IF(ISNUMBER(B295),YEAR(B295)*100+MONTH(B295),"")</f>
        <v/>
      </c>
      <c r="K295">
        <f>IF(ISNUMBER(B295),INT(B295),0)</f>
        <v/>
      </c>
      <c r="L295">
        <f>IF(AND(ISNUMBER(D295),N(D295)&gt;0),K295,0)</f>
        <v/>
      </c>
    </row>
    <row r="296">
      <c r="A296" s="1" t="n"/>
      <c r="B296" s="21" t="n"/>
      <c r="C296" s="22" t="n"/>
      <c r="D296" s="46" t="n"/>
      <c r="E296" s="25" t="n"/>
      <c r="F296" s="25" t="n"/>
      <c r="G296" s="17">
        <f>IF(AND(C296="",D296=""),"",IF(NOT(ISNUMBER(B296)),"Needs a date",IF(AND(D296&lt;&gt;"",NOT(ISNUMBER(D296))),"Hours not a number",IF(N(D296)&lt;=0,"Needs the hours",IF(C296="","Needs a name",IF(COUNTIF(Volunteers!$B$6:$B$105,C296)=0,"Not on Volunteers",""))))))</f>
        <v/>
      </c>
      <c r="H296" s="1" t="n"/>
      <c r="I296">
        <f>IF(ISNUMBER(B296),YEAR(B296),"")</f>
        <v/>
      </c>
      <c r="J296">
        <f>IF(ISNUMBER(B296),YEAR(B296)*100+MONTH(B296),"")</f>
        <v/>
      </c>
      <c r="K296">
        <f>IF(ISNUMBER(B296),INT(B296),0)</f>
        <v/>
      </c>
      <c r="L296">
        <f>IF(AND(ISNUMBER(D296),N(D296)&gt;0),K296,0)</f>
        <v/>
      </c>
    </row>
    <row r="297">
      <c r="A297" s="1" t="n"/>
      <c r="B297" s="21" t="n"/>
      <c r="C297" s="22" t="n"/>
      <c r="D297" s="46" t="n"/>
      <c r="E297" s="25" t="n"/>
      <c r="F297" s="25" t="n"/>
      <c r="G297" s="17">
        <f>IF(AND(C297="",D297=""),"",IF(NOT(ISNUMBER(B297)),"Needs a date",IF(AND(D297&lt;&gt;"",NOT(ISNUMBER(D297))),"Hours not a number",IF(N(D297)&lt;=0,"Needs the hours",IF(C297="","Needs a name",IF(COUNTIF(Volunteers!$B$6:$B$105,C297)=0,"Not on Volunteers",""))))))</f>
        <v/>
      </c>
      <c r="H297" s="1" t="n"/>
      <c r="I297">
        <f>IF(ISNUMBER(B297),YEAR(B297),"")</f>
        <v/>
      </c>
      <c r="J297">
        <f>IF(ISNUMBER(B297),YEAR(B297)*100+MONTH(B297),"")</f>
        <v/>
      </c>
      <c r="K297">
        <f>IF(ISNUMBER(B297),INT(B297),0)</f>
        <v/>
      </c>
      <c r="L297">
        <f>IF(AND(ISNUMBER(D297),N(D297)&gt;0),K297,0)</f>
        <v/>
      </c>
    </row>
    <row r="298">
      <c r="A298" s="1" t="n"/>
      <c r="B298" s="21" t="n"/>
      <c r="C298" s="22" t="n"/>
      <c r="D298" s="46" t="n"/>
      <c r="E298" s="25" t="n"/>
      <c r="F298" s="25" t="n"/>
      <c r="G298" s="17">
        <f>IF(AND(C298="",D298=""),"",IF(NOT(ISNUMBER(B298)),"Needs a date",IF(AND(D298&lt;&gt;"",NOT(ISNUMBER(D298))),"Hours not a number",IF(N(D298)&lt;=0,"Needs the hours",IF(C298="","Needs a name",IF(COUNTIF(Volunteers!$B$6:$B$105,C298)=0,"Not on Volunteers",""))))))</f>
        <v/>
      </c>
      <c r="H298" s="1" t="n"/>
      <c r="I298">
        <f>IF(ISNUMBER(B298),YEAR(B298),"")</f>
        <v/>
      </c>
      <c r="J298">
        <f>IF(ISNUMBER(B298),YEAR(B298)*100+MONTH(B298),"")</f>
        <v/>
      </c>
      <c r="K298">
        <f>IF(ISNUMBER(B298),INT(B298),0)</f>
        <v/>
      </c>
      <c r="L298">
        <f>IF(AND(ISNUMBER(D298),N(D298)&gt;0),K298,0)</f>
        <v/>
      </c>
    </row>
    <row r="299">
      <c r="A299" s="1" t="n"/>
      <c r="B299" s="21" t="n"/>
      <c r="C299" s="22" t="n"/>
      <c r="D299" s="46" t="n"/>
      <c r="E299" s="25" t="n"/>
      <c r="F299" s="25" t="n"/>
      <c r="G299" s="17">
        <f>IF(AND(C299="",D299=""),"",IF(NOT(ISNUMBER(B299)),"Needs a date",IF(AND(D299&lt;&gt;"",NOT(ISNUMBER(D299))),"Hours not a number",IF(N(D299)&lt;=0,"Needs the hours",IF(C299="","Needs a name",IF(COUNTIF(Volunteers!$B$6:$B$105,C299)=0,"Not on Volunteers",""))))))</f>
        <v/>
      </c>
      <c r="H299" s="1" t="n"/>
      <c r="I299">
        <f>IF(ISNUMBER(B299),YEAR(B299),"")</f>
        <v/>
      </c>
      <c r="J299">
        <f>IF(ISNUMBER(B299),YEAR(B299)*100+MONTH(B299),"")</f>
        <v/>
      </c>
      <c r="K299">
        <f>IF(ISNUMBER(B299),INT(B299),0)</f>
        <v/>
      </c>
      <c r="L299">
        <f>IF(AND(ISNUMBER(D299),N(D299)&gt;0),K299,0)</f>
        <v/>
      </c>
    </row>
    <row r="300">
      <c r="A300" s="1" t="n"/>
      <c r="B300" s="21" t="n"/>
      <c r="C300" s="22" t="n"/>
      <c r="D300" s="46" t="n"/>
      <c r="E300" s="25" t="n"/>
      <c r="F300" s="25" t="n"/>
      <c r="G300" s="17">
        <f>IF(AND(C300="",D300=""),"",IF(NOT(ISNUMBER(B300)),"Needs a date",IF(AND(D300&lt;&gt;"",NOT(ISNUMBER(D300))),"Hours not a number",IF(N(D300)&lt;=0,"Needs the hours",IF(C300="","Needs a name",IF(COUNTIF(Volunteers!$B$6:$B$105,C300)=0,"Not on Volunteers",""))))))</f>
        <v/>
      </c>
      <c r="H300" s="1" t="n"/>
      <c r="I300">
        <f>IF(ISNUMBER(B300),YEAR(B300),"")</f>
        <v/>
      </c>
      <c r="J300">
        <f>IF(ISNUMBER(B300),YEAR(B300)*100+MONTH(B300),"")</f>
        <v/>
      </c>
      <c r="K300">
        <f>IF(ISNUMBER(B300),INT(B300),0)</f>
        <v/>
      </c>
      <c r="L300">
        <f>IF(AND(ISNUMBER(D300),N(D300)&gt;0),K300,0)</f>
        <v/>
      </c>
    </row>
    <row r="301">
      <c r="A301" s="1" t="n"/>
      <c r="B301" s="21" t="n"/>
      <c r="C301" s="22" t="n"/>
      <c r="D301" s="46" t="n"/>
      <c r="E301" s="25" t="n"/>
      <c r="F301" s="25" t="n"/>
      <c r="G301" s="17">
        <f>IF(AND(C301="",D301=""),"",IF(NOT(ISNUMBER(B301)),"Needs a date",IF(AND(D301&lt;&gt;"",NOT(ISNUMBER(D301))),"Hours not a number",IF(N(D301)&lt;=0,"Needs the hours",IF(C301="","Needs a name",IF(COUNTIF(Volunteers!$B$6:$B$105,C301)=0,"Not on Volunteers",""))))))</f>
        <v/>
      </c>
      <c r="H301" s="1" t="n"/>
      <c r="I301">
        <f>IF(ISNUMBER(B301),YEAR(B301),"")</f>
        <v/>
      </c>
      <c r="J301">
        <f>IF(ISNUMBER(B301),YEAR(B301)*100+MONTH(B301),"")</f>
        <v/>
      </c>
      <c r="K301">
        <f>IF(ISNUMBER(B301),INT(B301),0)</f>
        <v/>
      </c>
      <c r="L301">
        <f>IF(AND(ISNUMBER(D301),N(D301)&gt;0),K301,0)</f>
        <v/>
      </c>
    </row>
    <row r="302">
      <c r="A302" s="1" t="n"/>
      <c r="B302" s="21" t="n"/>
      <c r="C302" s="22" t="n"/>
      <c r="D302" s="46" t="n"/>
      <c r="E302" s="25" t="n"/>
      <c r="F302" s="25" t="n"/>
      <c r="G302" s="17">
        <f>IF(AND(C302="",D302=""),"",IF(NOT(ISNUMBER(B302)),"Needs a date",IF(AND(D302&lt;&gt;"",NOT(ISNUMBER(D302))),"Hours not a number",IF(N(D302)&lt;=0,"Needs the hours",IF(C302="","Needs a name",IF(COUNTIF(Volunteers!$B$6:$B$105,C302)=0,"Not on Volunteers",""))))))</f>
        <v/>
      </c>
      <c r="H302" s="1" t="n"/>
      <c r="I302">
        <f>IF(ISNUMBER(B302),YEAR(B302),"")</f>
        <v/>
      </c>
      <c r="J302">
        <f>IF(ISNUMBER(B302),YEAR(B302)*100+MONTH(B302),"")</f>
        <v/>
      </c>
      <c r="K302">
        <f>IF(ISNUMBER(B302),INT(B302),0)</f>
        <v/>
      </c>
      <c r="L302">
        <f>IF(AND(ISNUMBER(D302),N(D302)&gt;0),K302,0)</f>
        <v/>
      </c>
    </row>
    <row r="303">
      <c r="A303" s="1" t="n"/>
      <c r="B303" s="21" t="n"/>
      <c r="C303" s="22" t="n"/>
      <c r="D303" s="46" t="n"/>
      <c r="E303" s="25" t="n"/>
      <c r="F303" s="25" t="n"/>
      <c r="G303" s="17">
        <f>IF(AND(C303="",D303=""),"",IF(NOT(ISNUMBER(B303)),"Needs a date",IF(AND(D303&lt;&gt;"",NOT(ISNUMBER(D303))),"Hours not a number",IF(N(D303)&lt;=0,"Needs the hours",IF(C303="","Needs a name",IF(COUNTIF(Volunteers!$B$6:$B$105,C303)=0,"Not on Volunteers",""))))))</f>
        <v/>
      </c>
      <c r="H303" s="1" t="n"/>
      <c r="I303">
        <f>IF(ISNUMBER(B303),YEAR(B303),"")</f>
        <v/>
      </c>
      <c r="J303">
        <f>IF(ISNUMBER(B303),YEAR(B303)*100+MONTH(B303),"")</f>
        <v/>
      </c>
      <c r="K303">
        <f>IF(ISNUMBER(B303),INT(B303),0)</f>
        <v/>
      </c>
      <c r="L303">
        <f>IF(AND(ISNUMBER(D303),N(D303)&gt;0),K303,0)</f>
        <v/>
      </c>
    </row>
    <row r="304">
      <c r="A304" s="1" t="n"/>
      <c r="B304" s="21" t="n"/>
      <c r="C304" s="22" t="n"/>
      <c r="D304" s="46" t="n"/>
      <c r="E304" s="25" t="n"/>
      <c r="F304" s="25" t="n"/>
      <c r="G304" s="17">
        <f>IF(AND(C304="",D304=""),"",IF(NOT(ISNUMBER(B304)),"Needs a date",IF(AND(D304&lt;&gt;"",NOT(ISNUMBER(D304))),"Hours not a number",IF(N(D304)&lt;=0,"Needs the hours",IF(C304="","Needs a name",IF(COUNTIF(Volunteers!$B$6:$B$105,C304)=0,"Not on Volunteers",""))))))</f>
        <v/>
      </c>
      <c r="H304" s="1" t="n"/>
      <c r="I304">
        <f>IF(ISNUMBER(B304),YEAR(B304),"")</f>
        <v/>
      </c>
      <c r="J304">
        <f>IF(ISNUMBER(B304),YEAR(B304)*100+MONTH(B304),"")</f>
        <v/>
      </c>
      <c r="K304">
        <f>IF(ISNUMBER(B304),INT(B304),0)</f>
        <v/>
      </c>
      <c r="L304">
        <f>IF(AND(ISNUMBER(D304),N(D304)&gt;0),K304,0)</f>
        <v/>
      </c>
    </row>
    <row r="305">
      <c r="A305" s="1" t="n"/>
      <c r="B305" s="21" t="n"/>
      <c r="C305" s="22" t="n"/>
      <c r="D305" s="46" t="n"/>
      <c r="E305" s="25" t="n"/>
      <c r="F305" s="25" t="n"/>
      <c r="G305" s="17">
        <f>IF(AND(C305="",D305=""),"",IF(NOT(ISNUMBER(B305)),"Needs a date",IF(AND(D305&lt;&gt;"",NOT(ISNUMBER(D305))),"Hours not a number",IF(N(D305)&lt;=0,"Needs the hours",IF(C305="","Needs a name",IF(COUNTIF(Volunteers!$B$6:$B$105,C305)=0,"Not on Volunteers",""))))))</f>
        <v/>
      </c>
      <c r="H305" s="1" t="n"/>
      <c r="I305">
        <f>IF(ISNUMBER(B305),YEAR(B305),"")</f>
        <v/>
      </c>
      <c r="J305">
        <f>IF(ISNUMBER(B305),YEAR(B305)*100+MONTH(B305),"")</f>
        <v/>
      </c>
      <c r="K305">
        <f>IF(ISNUMBER(B305),INT(B305),0)</f>
        <v/>
      </c>
      <c r="L305">
        <f>IF(AND(ISNUMBER(D305),N(D305)&gt;0),K305,0)</f>
        <v/>
      </c>
    </row>
    <row r="306">
      <c r="A306" s="1" t="n"/>
      <c r="B306" s="21" t="n"/>
      <c r="C306" s="22" t="n"/>
      <c r="D306" s="46" t="n"/>
      <c r="E306" s="25" t="n"/>
      <c r="F306" s="25" t="n"/>
      <c r="G306" s="17">
        <f>IF(AND(C306="",D306=""),"",IF(NOT(ISNUMBER(B306)),"Needs a date",IF(AND(D306&lt;&gt;"",NOT(ISNUMBER(D306))),"Hours not a number",IF(N(D306)&lt;=0,"Needs the hours",IF(C306="","Needs a name",IF(COUNTIF(Volunteers!$B$6:$B$105,C306)=0,"Not on Volunteers",""))))))</f>
        <v/>
      </c>
      <c r="H306" s="1" t="n"/>
      <c r="I306">
        <f>IF(ISNUMBER(B306),YEAR(B306),"")</f>
        <v/>
      </c>
      <c r="J306">
        <f>IF(ISNUMBER(B306),YEAR(B306)*100+MONTH(B306),"")</f>
        <v/>
      </c>
      <c r="K306">
        <f>IF(ISNUMBER(B306),INT(B306),0)</f>
        <v/>
      </c>
      <c r="L306">
        <f>IF(AND(ISNUMBER(D306),N(D306)&gt;0),K306,0)</f>
        <v/>
      </c>
    </row>
    <row r="307">
      <c r="A307" s="1" t="n"/>
      <c r="B307" s="21" t="n"/>
      <c r="C307" s="22" t="n"/>
      <c r="D307" s="46" t="n"/>
      <c r="E307" s="25" t="n"/>
      <c r="F307" s="25" t="n"/>
      <c r="G307" s="17">
        <f>IF(AND(C307="",D307=""),"",IF(NOT(ISNUMBER(B307)),"Needs a date",IF(AND(D307&lt;&gt;"",NOT(ISNUMBER(D307))),"Hours not a number",IF(N(D307)&lt;=0,"Needs the hours",IF(C307="","Needs a name",IF(COUNTIF(Volunteers!$B$6:$B$105,C307)=0,"Not on Volunteers",""))))))</f>
        <v/>
      </c>
      <c r="H307" s="1" t="n"/>
      <c r="I307">
        <f>IF(ISNUMBER(B307),YEAR(B307),"")</f>
        <v/>
      </c>
      <c r="J307">
        <f>IF(ISNUMBER(B307),YEAR(B307)*100+MONTH(B307),"")</f>
        <v/>
      </c>
      <c r="K307">
        <f>IF(ISNUMBER(B307),INT(B307),0)</f>
        <v/>
      </c>
      <c r="L307">
        <f>IF(AND(ISNUMBER(D307),N(D307)&gt;0),K307,0)</f>
        <v/>
      </c>
    </row>
    <row r="308">
      <c r="A308" s="1" t="n"/>
      <c r="B308" s="21" t="n"/>
      <c r="C308" s="22" t="n"/>
      <c r="D308" s="46" t="n"/>
      <c r="E308" s="25" t="n"/>
      <c r="F308" s="25" t="n"/>
      <c r="G308" s="17">
        <f>IF(AND(C308="",D308=""),"",IF(NOT(ISNUMBER(B308)),"Needs a date",IF(AND(D308&lt;&gt;"",NOT(ISNUMBER(D308))),"Hours not a number",IF(N(D308)&lt;=0,"Needs the hours",IF(C308="","Needs a name",IF(COUNTIF(Volunteers!$B$6:$B$105,C308)=0,"Not on Volunteers",""))))))</f>
        <v/>
      </c>
      <c r="H308" s="1" t="n"/>
      <c r="I308">
        <f>IF(ISNUMBER(B308),YEAR(B308),"")</f>
        <v/>
      </c>
      <c r="J308">
        <f>IF(ISNUMBER(B308),YEAR(B308)*100+MONTH(B308),"")</f>
        <v/>
      </c>
      <c r="K308">
        <f>IF(ISNUMBER(B308),INT(B308),0)</f>
        <v/>
      </c>
      <c r="L308">
        <f>IF(AND(ISNUMBER(D308),N(D308)&gt;0),K308,0)</f>
        <v/>
      </c>
    </row>
    <row r="309">
      <c r="A309" s="1" t="n"/>
      <c r="B309" s="21" t="n"/>
      <c r="C309" s="22" t="n"/>
      <c r="D309" s="46" t="n"/>
      <c r="E309" s="25" t="n"/>
      <c r="F309" s="25" t="n"/>
      <c r="G309" s="17">
        <f>IF(AND(C309="",D309=""),"",IF(NOT(ISNUMBER(B309)),"Needs a date",IF(AND(D309&lt;&gt;"",NOT(ISNUMBER(D309))),"Hours not a number",IF(N(D309)&lt;=0,"Needs the hours",IF(C309="","Needs a name",IF(COUNTIF(Volunteers!$B$6:$B$105,C309)=0,"Not on Volunteers",""))))))</f>
        <v/>
      </c>
      <c r="H309" s="1" t="n"/>
      <c r="I309">
        <f>IF(ISNUMBER(B309),YEAR(B309),"")</f>
        <v/>
      </c>
      <c r="J309">
        <f>IF(ISNUMBER(B309),YEAR(B309)*100+MONTH(B309),"")</f>
        <v/>
      </c>
      <c r="K309">
        <f>IF(ISNUMBER(B309),INT(B309),0)</f>
        <v/>
      </c>
      <c r="L309">
        <f>IF(AND(ISNUMBER(D309),N(D309)&gt;0),K309,0)</f>
        <v/>
      </c>
    </row>
    <row r="310">
      <c r="A310" s="1" t="n"/>
      <c r="B310" s="21" t="n"/>
      <c r="C310" s="22" t="n"/>
      <c r="D310" s="46" t="n"/>
      <c r="E310" s="25" t="n"/>
      <c r="F310" s="25" t="n"/>
      <c r="G310" s="17">
        <f>IF(AND(C310="",D310=""),"",IF(NOT(ISNUMBER(B310)),"Needs a date",IF(AND(D310&lt;&gt;"",NOT(ISNUMBER(D310))),"Hours not a number",IF(N(D310)&lt;=0,"Needs the hours",IF(C310="","Needs a name",IF(COUNTIF(Volunteers!$B$6:$B$105,C310)=0,"Not on Volunteers",""))))))</f>
        <v/>
      </c>
      <c r="H310" s="1" t="n"/>
      <c r="I310">
        <f>IF(ISNUMBER(B310),YEAR(B310),"")</f>
        <v/>
      </c>
      <c r="J310">
        <f>IF(ISNUMBER(B310),YEAR(B310)*100+MONTH(B310),"")</f>
        <v/>
      </c>
      <c r="K310">
        <f>IF(ISNUMBER(B310),INT(B310),0)</f>
        <v/>
      </c>
      <c r="L310">
        <f>IF(AND(ISNUMBER(D310),N(D310)&gt;0),K310,0)</f>
        <v/>
      </c>
    </row>
    <row r="311">
      <c r="A311" s="1" t="n"/>
      <c r="B311" s="21" t="n"/>
      <c r="C311" s="22" t="n"/>
      <c r="D311" s="46" t="n"/>
      <c r="E311" s="25" t="n"/>
      <c r="F311" s="25" t="n"/>
      <c r="G311" s="17">
        <f>IF(AND(C311="",D311=""),"",IF(NOT(ISNUMBER(B311)),"Needs a date",IF(AND(D311&lt;&gt;"",NOT(ISNUMBER(D311))),"Hours not a number",IF(N(D311)&lt;=0,"Needs the hours",IF(C311="","Needs a name",IF(COUNTIF(Volunteers!$B$6:$B$105,C311)=0,"Not on Volunteers",""))))))</f>
        <v/>
      </c>
      <c r="H311" s="1" t="n"/>
      <c r="I311">
        <f>IF(ISNUMBER(B311),YEAR(B311),"")</f>
        <v/>
      </c>
      <c r="J311">
        <f>IF(ISNUMBER(B311),YEAR(B311)*100+MONTH(B311),"")</f>
        <v/>
      </c>
      <c r="K311">
        <f>IF(ISNUMBER(B311),INT(B311),0)</f>
        <v/>
      </c>
      <c r="L311">
        <f>IF(AND(ISNUMBER(D311),N(D311)&gt;0),K311,0)</f>
        <v/>
      </c>
    </row>
    <row r="312">
      <c r="A312" s="1" t="n"/>
      <c r="B312" s="21" t="n"/>
      <c r="C312" s="22" t="n"/>
      <c r="D312" s="46" t="n"/>
      <c r="E312" s="25" t="n"/>
      <c r="F312" s="25" t="n"/>
      <c r="G312" s="17">
        <f>IF(AND(C312="",D312=""),"",IF(NOT(ISNUMBER(B312)),"Needs a date",IF(AND(D312&lt;&gt;"",NOT(ISNUMBER(D312))),"Hours not a number",IF(N(D312)&lt;=0,"Needs the hours",IF(C312="","Needs a name",IF(COUNTIF(Volunteers!$B$6:$B$105,C312)=0,"Not on Volunteers",""))))))</f>
        <v/>
      </c>
      <c r="H312" s="1" t="n"/>
      <c r="I312">
        <f>IF(ISNUMBER(B312),YEAR(B312),"")</f>
        <v/>
      </c>
      <c r="J312">
        <f>IF(ISNUMBER(B312),YEAR(B312)*100+MONTH(B312),"")</f>
        <v/>
      </c>
      <c r="K312">
        <f>IF(ISNUMBER(B312),INT(B312),0)</f>
        <v/>
      </c>
      <c r="L312">
        <f>IF(AND(ISNUMBER(D312),N(D312)&gt;0),K312,0)</f>
        <v/>
      </c>
    </row>
    <row r="313">
      <c r="A313" s="1" t="n"/>
      <c r="B313" s="21" t="n"/>
      <c r="C313" s="22" t="n"/>
      <c r="D313" s="46" t="n"/>
      <c r="E313" s="25" t="n"/>
      <c r="F313" s="25" t="n"/>
      <c r="G313" s="17">
        <f>IF(AND(C313="",D313=""),"",IF(NOT(ISNUMBER(B313)),"Needs a date",IF(AND(D313&lt;&gt;"",NOT(ISNUMBER(D313))),"Hours not a number",IF(N(D313)&lt;=0,"Needs the hours",IF(C313="","Needs a name",IF(COUNTIF(Volunteers!$B$6:$B$105,C313)=0,"Not on Volunteers",""))))))</f>
        <v/>
      </c>
      <c r="H313" s="1" t="n"/>
      <c r="I313">
        <f>IF(ISNUMBER(B313),YEAR(B313),"")</f>
        <v/>
      </c>
      <c r="J313">
        <f>IF(ISNUMBER(B313),YEAR(B313)*100+MONTH(B313),"")</f>
        <v/>
      </c>
      <c r="K313">
        <f>IF(ISNUMBER(B313),INT(B313),0)</f>
        <v/>
      </c>
      <c r="L313">
        <f>IF(AND(ISNUMBER(D313),N(D313)&gt;0),K313,0)</f>
        <v/>
      </c>
    </row>
    <row r="314">
      <c r="A314" s="1" t="n"/>
      <c r="B314" s="21" t="n"/>
      <c r="C314" s="22" t="n"/>
      <c r="D314" s="46" t="n"/>
      <c r="E314" s="25" t="n"/>
      <c r="F314" s="25" t="n"/>
      <c r="G314" s="17">
        <f>IF(AND(C314="",D314=""),"",IF(NOT(ISNUMBER(B314)),"Needs a date",IF(AND(D314&lt;&gt;"",NOT(ISNUMBER(D314))),"Hours not a number",IF(N(D314)&lt;=0,"Needs the hours",IF(C314="","Needs a name",IF(COUNTIF(Volunteers!$B$6:$B$105,C314)=0,"Not on Volunteers",""))))))</f>
        <v/>
      </c>
      <c r="H314" s="1" t="n"/>
      <c r="I314">
        <f>IF(ISNUMBER(B314),YEAR(B314),"")</f>
        <v/>
      </c>
      <c r="J314">
        <f>IF(ISNUMBER(B314),YEAR(B314)*100+MONTH(B314),"")</f>
        <v/>
      </c>
      <c r="K314">
        <f>IF(ISNUMBER(B314),INT(B314),0)</f>
        <v/>
      </c>
      <c r="L314">
        <f>IF(AND(ISNUMBER(D314),N(D314)&gt;0),K314,0)</f>
        <v/>
      </c>
    </row>
    <row r="315">
      <c r="A315" s="1" t="n"/>
      <c r="B315" s="21" t="n"/>
      <c r="C315" s="22" t="n"/>
      <c r="D315" s="46" t="n"/>
      <c r="E315" s="25" t="n"/>
      <c r="F315" s="25" t="n"/>
      <c r="G315" s="17">
        <f>IF(AND(C315="",D315=""),"",IF(NOT(ISNUMBER(B315)),"Needs a date",IF(AND(D315&lt;&gt;"",NOT(ISNUMBER(D315))),"Hours not a number",IF(N(D315)&lt;=0,"Needs the hours",IF(C315="","Needs a name",IF(COUNTIF(Volunteers!$B$6:$B$105,C315)=0,"Not on Volunteers",""))))))</f>
        <v/>
      </c>
      <c r="H315" s="1" t="n"/>
      <c r="I315">
        <f>IF(ISNUMBER(B315),YEAR(B315),"")</f>
        <v/>
      </c>
      <c r="J315">
        <f>IF(ISNUMBER(B315),YEAR(B315)*100+MONTH(B315),"")</f>
        <v/>
      </c>
      <c r="K315">
        <f>IF(ISNUMBER(B315),INT(B315),0)</f>
        <v/>
      </c>
      <c r="L315">
        <f>IF(AND(ISNUMBER(D315),N(D315)&gt;0),K315,0)</f>
        <v/>
      </c>
    </row>
    <row r="316">
      <c r="A316" s="1" t="n"/>
      <c r="B316" s="21" t="n"/>
      <c r="C316" s="22" t="n"/>
      <c r="D316" s="46" t="n"/>
      <c r="E316" s="25" t="n"/>
      <c r="F316" s="25" t="n"/>
      <c r="G316" s="17">
        <f>IF(AND(C316="",D316=""),"",IF(NOT(ISNUMBER(B316)),"Needs a date",IF(AND(D316&lt;&gt;"",NOT(ISNUMBER(D316))),"Hours not a number",IF(N(D316)&lt;=0,"Needs the hours",IF(C316="","Needs a name",IF(COUNTIF(Volunteers!$B$6:$B$105,C316)=0,"Not on Volunteers",""))))))</f>
        <v/>
      </c>
      <c r="H316" s="1" t="n"/>
      <c r="I316">
        <f>IF(ISNUMBER(B316),YEAR(B316),"")</f>
        <v/>
      </c>
      <c r="J316">
        <f>IF(ISNUMBER(B316),YEAR(B316)*100+MONTH(B316),"")</f>
        <v/>
      </c>
      <c r="K316">
        <f>IF(ISNUMBER(B316),INT(B316),0)</f>
        <v/>
      </c>
      <c r="L316">
        <f>IF(AND(ISNUMBER(D316),N(D316)&gt;0),K316,0)</f>
        <v/>
      </c>
    </row>
    <row r="317">
      <c r="A317" s="1" t="n"/>
      <c r="B317" s="21" t="n"/>
      <c r="C317" s="22" t="n"/>
      <c r="D317" s="46" t="n"/>
      <c r="E317" s="25" t="n"/>
      <c r="F317" s="25" t="n"/>
      <c r="G317" s="17">
        <f>IF(AND(C317="",D317=""),"",IF(NOT(ISNUMBER(B317)),"Needs a date",IF(AND(D317&lt;&gt;"",NOT(ISNUMBER(D317))),"Hours not a number",IF(N(D317)&lt;=0,"Needs the hours",IF(C317="","Needs a name",IF(COUNTIF(Volunteers!$B$6:$B$105,C317)=0,"Not on Volunteers",""))))))</f>
        <v/>
      </c>
      <c r="H317" s="1" t="n"/>
      <c r="I317">
        <f>IF(ISNUMBER(B317),YEAR(B317),"")</f>
        <v/>
      </c>
      <c r="J317">
        <f>IF(ISNUMBER(B317),YEAR(B317)*100+MONTH(B317),"")</f>
        <v/>
      </c>
      <c r="K317">
        <f>IF(ISNUMBER(B317),INT(B317),0)</f>
        <v/>
      </c>
      <c r="L317">
        <f>IF(AND(ISNUMBER(D317),N(D317)&gt;0),K317,0)</f>
        <v/>
      </c>
    </row>
    <row r="318">
      <c r="A318" s="1" t="n"/>
      <c r="B318" s="21" t="n"/>
      <c r="C318" s="22" t="n"/>
      <c r="D318" s="46" t="n"/>
      <c r="E318" s="25" t="n"/>
      <c r="F318" s="25" t="n"/>
      <c r="G318" s="17">
        <f>IF(AND(C318="",D318=""),"",IF(NOT(ISNUMBER(B318)),"Needs a date",IF(AND(D318&lt;&gt;"",NOT(ISNUMBER(D318))),"Hours not a number",IF(N(D318)&lt;=0,"Needs the hours",IF(C318="","Needs a name",IF(COUNTIF(Volunteers!$B$6:$B$105,C318)=0,"Not on Volunteers",""))))))</f>
        <v/>
      </c>
      <c r="H318" s="1" t="n"/>
      <c r="I318">
        <f>IF(ISNUMBER(B318),YEAR(B318),"")</f>
        <v/>
      </c>
      <c r="J318">
        <f>IF(ISNUMBER(B318),YEAR(B318)*100+MONTH(B318),"")</f>
        <v/>
      </c>
      <c r="K318">
        <f>IF(ISNUMBER(B318),INT(B318),0)</f>
        <v/>
      </c>
      <c r="L318">
        <f>IF(AND(ISNUMBER(D318),N(D318)&gt;0),K318,0)</f>
        <v/>
      </c>
    </row>
    <row r="319">
      <c r="A319" s="1" t="n"/>
      <c r="B319" s="21" t="n"/>
      <c r="C319" s="22" t="n"/>
      <c r="D319" s="46" t="n"/>
      <c r="E319" s="25" t="n"/>
      <c r="F319" s="25" t="n"/>
      <c r="G319" s="17">
        <f>IF(AND(C319="",D319=""),"",IF(NOT(ISNUMBER(B319)),"Needs a date",IF(AND(D319&lt;&gt;"",NOT(ISNUMBER(D319))),"Hours not a number",IF(N(D319)&lt;=0,"Needs the hours",IF(C319="","Needs a name",IF(COUNTIF(Volunteers!$B$6:$B$105,C319)=0,"Not on Volunteers",""))))))</f>
        <v/>
      </c>
      <c r="H319" s="1" t="n"/>
      <c r="I319">
        <f>IF(ISNUMBER(B319),YEAR(B319),"")</f>
        <v/>
      </c>
      <c r="J319">
        <f>IF(ISNUMBER(B319),YEAR(B319)*100+MONTH(B319),"")</f>
        <v/>
      </c>
      <c r="K319">
        <f>IF(ISNUMBER(B319),INT(B319),0)</f>
        <v/>
      </c>
      <c r="L319">
        <f>IF(AND(ISNUMBER(D319),N(D319)&gt;0),K319,0)</f>
        <v/>
      </c>
    </row>
    <row r="320">
      <c r="A320" s="1" t="n"/>
      <c r="B320" s="21" t="n"/>
      <c r="C320" s="22" t="n"/>
      <c r="D320" s="46" t="n"/>
      <c r="E320" s="25" t="n"/>
      <c r="F320" s="25" t="n"/>
      <c r="G320" s="17">
        <f>IF(AND(C320="",D320=""),"",IF(NOT(ISNUMBER(B320)),"Needs a date",IF(AND(D320&lt;&gt;"",NOT(ISNUMBER(D320))),"Hours not a number",IF(N(D320)&lt;=0,"Needs the hours",IF(C320="","Needs a name",IF(COUNTIF(Volunteers!$B$6:$B$105,C320)=0,"Not on Volunteers",""))))))</f>
        <v/>
      </c>
      <c r="H320" s="1" t="n"/>
      <c r="I320">
        <f>IF(ISNUMBER(B320),YEAR(B320),"")</f>
        <v/>
      </c>
      <c r="J320">
        <f>IF(ISNUMBER(B320),YEAR(B320)*100+MONTH(B320),"")</f>
        <v/>
      </c>
      <c r="K320">
        <f>IF(ISNUMBER(B320),INT(B320),0)</f>
        <v/>
      </c>
      <c r="L320">
        <f>IF(AND(ISNUMBER(D320),N(D320)&gt;0),K320,0)</f>
        <v/>
      </c>
    </row>
    <row r="321">
      <c r="A321" s="1" t="n"/>
      <c r="B321" s="21" t="n"/>
      <c r="C321" s="22" t="n"/>
      <c r="D321" s="46" t="n"/>
      <c r="E321" s="25" t="n"/>
      <c r="F321" s="25" t="n"/>
      <c r="G321" s="17">
        <f>IF(AND(C321="",D321=""),"",IF(NOT(ISNUMBER(B321)),"Needs a date",IF(AND(D321&lt;&gt;"",NOT(ISNUMBER(D321))),"Hours not a number",IF(N(D321)&lt;=0,"Needs the hours",IF(C321="","Needs a name",IF(COUNTIF(Volunteers!$B$6:$B$105,C321)=0,"Not on Volunteers",""))))))</f>
        <v/>
      </c>
      <c r="H321" s="1" t="n"/>
      <c r="I321">
        <f>IF(ISNUMBER(B321),YEAR(B321),"")</f>
        <v/>
      </c>
      <c r="J321">
        <f>IF(ISNUMBER(B321),YEAR(B321)*100+MONTH(B321),"")</f>
        <v/>
      </c>
      <c r="K321">
        <f>IF(ISNUMBER(B321),INT(B321),0)</f>
        <v/>
      </c>
      <c r="L321">
        <f>IF(AND(ISNUMBER(D321),N(D321)&gt;0),K321,0)</f>
        <v/>
      </c>
    </row>
    <row r="322">
      <c r="A322" s="1" t="n"/>
      <c r="B322" s="21" t="n"/>
      <c r="C322" s="22" t="n"/>
      <c r="D322" s="46" t="n"/>
      <c r="E322" s="25" t="n"/>
      <c r="F322" s="25" t="n"/>
      <c r="G322" s="17">
        <f>IF(AND(C322="",D322=""),"",IF(NOT(ISNUMBER(B322)),"Needs a date",IF(AND(D322&lt;&gt;"",NOT(ISNUMBER(D322))),"Hours not a number",IF(N(D322)&lt;=0,"Needs the hours",IF(C322="","Needs a name",IF(COUNTIF(Volunteers!$B$6:$B$105,C322)=0,"Not on Volunteers",""))))))</f>
        <v/>
      </c>
      <c r="H322" s="1" t="n"/>
      <c r="I322">
        <f>IF(ISNUMBER(B322),YEAR(B322),"")</f>
        <v/>
      </c>
      <c r="J322">
        <f>IF(ISNUMBER(B322),YEAR(B322)*100+MONTH(B322),"")</f>
        <v/>
      </c>
      <c r="K322">
        <f>IF(ISNUMBER(B322),INT(B322),0)</f>
        <v/>
      </c>
      <c r="L322">
        <f>IF(AND(ISNUMBER(D322),N(D322)&gt;0),K322,0)</f>
        <v/>
      </c>
    </row>
    <row r="323">
      <c r="A323" s="1" t="n"/>
      <c r="B323" s="21" t="n"/>
      <c r="C323" s="22" t="n"/>
      <c r="D323" s="46" t="n"/>
      <c r="E323" s="25" t="n"/>
      <c r="F323" s="25" t="n"/>
      <c r="G323" s="17">
        <f>IF(AND(C323="",D323=""),"",IF(NOT(ISNUMBER(B323)),"Needs a date",IF(AND(D323&lt;&gt;"",NOT(ISNUMBER(D323))),"Hours not a number",IF(N(D323)&lt;=0,"Needs the hours",IF(C323="","Needs a name",IF(COUNTIF(Volunteers!$B$6:$B$105,C323)=0,"Not on Volunteers",""))))))</f>
        <v/>
      </c>
      <c r="H323" s="1" t="n"/>
      <c r="I323">
        <f>IF(ISNUMBER(B323),YEAR(B323),"")</f>
        <v/>
      </c>
      <c r="J323">
        <f>IF(ISNUMBER(B323),YEAR(B323)*100+MONTH(B323),"")</f>
        <v/>
      </c>
      <c r="K323">
        <f>IF(ISNUMBER(B323),INT(B323),0)</f>
        <v/>
      </c>
      <c r="L323">
        <f>IF(AND(ISNUMBER(D323),N(D323)&gt;0),K323,0)</f>
        <v/>
      </c>
    </row>
    <row r="324">
      <c r="A324" s="1" t="n"/>
      <c r="B324" s="21" t="n"/>
      <c r="C324" s="22" t="n"/>
      <c r="D324" s="46" t="n"/>
      <c r="E324" s="25" t="n"/>
      <c r="F324" s="25" t="n"/>
      <c r="G324" s="17">
        <f>IF(AND(C324="",D324=""),"",IF(NOT(ISNUMBER(B324)),"Needs a date",IF(AND(D324&lt;&gt;"",NOT(ISNUMBER(D324))),"Hours not a number",IF(N(D324)&lt;=0,"Needs the hours",IF(C324="","Needs a name",IF(COUNTIF(Volunteers!$B$6:$B$105,C324)=0,"Not on Volunteers",""))))))</f>
        <v/>
      </c>
      <c r="H324" s="1" t="n"/>
      <c r="I324">
        <f>IF(ISNUMBER(B324),YEAR(B324),"")</f>
        <v/>
      </c>
      <c r="J324">
        <f>IF(ISNUMBER(B324),YEAR(B324)*100+MONTH(B324),"")</f>
        <v/>
      </c>
      <c r="K324">
        <f>IF(ISNUMBER(B324),INT(B324),0)</f>
        <v/>
      </c>
      <c r="L324">
        <f>IF(AND(ISNUMBER(D324),N(D324)&gt;0),K324,0)</f>
        <v/>
      </c>
    </row>
    <row r="325">
      <c r="A325" s="1" t="n"/>
      <c r="B325" s="21" t="n"/>
      <c r="C325" s="22" t="n"/>
      <c r="D325" s="46" t="n"/>
      <c r="E325" s="25" t="n"/>
      <c r="F325" s="25" t="n"/>
      <c r="G325" s="17">
        <f>IF(AND(C325="",D325=""),"",IF(NOT(ISNUMBER(B325)),"Needs a date",IF(AND(D325&lt;&gt;"",NOT(ISNUMBER(D325))),"Hours not a number",IF(N(D325)&lt;=0,"Needs the hours",IF(C325="","Needs a name",IF(COUNTIF(Volunteers!$B$6:$B$105,C325)=0,"Not on Volunteers",""))))))</f>
        <v/>
      </c>
      <c r="H325" s="1" t="n"/>
      <c r="I325">
        <f>IF(ISNUMBER(B325),YEAR(B325),"")</f>
        <v/>
      </c>
      <c r="J325">
        <f>IF(ISNUMBER(B325),YEAR(B325)*100+MONTH(B325),"")</f>
        <v/>
      </c>
      <c r="K325">
        <f>IF(ISNUMBER(B325),INT(B325),0)</f>
        <v/>
      </c>
      <c r="L325">
        <f>IF(AND(ISNUMBER(D325),N(D325)&gt;0),K325,0)</f>
        <v/>
      </c>
    </row>
    <row r="326">
      <c r="A326" s="1" t="n"/>
      <c r="B326" s="21" t="n"/>
      <c r="C326" s="22" t="n"/>
      <c r="D326" s="46" t="n"/>
      <c r="E326" s="25" t="n"/>
      <c r="F326" s="25" t="n"/>
      <c r="G326" s="17">
        <f>IF(AND(C326="",D326=""),"",IF(NOT(ISNUMBER(B326)),"Needs a date",IF(AND(D326&lt;&gt;"",NOT(ISNUMBER(D326))),"Hours not a number",IF(N(D326)&lt;=0,"Needs the hours",IF(C326="","Needs a name",IF(COUNTIF(Volunteers!$B$6:$B$105,C326)=0,"Not on Volunteers",""))))))</f>
        <v/>
      </c>
      <c r="H326" s="1" t="n"/>
      <c r="I326">
        <f>IF(ISNUMBER(B326),YEAR(B326),"")</f>
        <v/>
      </c>
      <c r="J326">
        <f>IF(ISNUMBER(B326),YEAR(B326)*100+MONTH(B326),"")</f>
        <v/>
      </c>
      <c r="K326">
        <f>IF(ISNUMBER(B326),INT(B326),0)</f>
        <v/>
      </c>
      <c r="L326">
        <f>IF(AND(ISNUMBER(D326),N(D326)&gt;0),K326,0)</f>
        <v/>
      </c>
    </row>
    <row r="327">
      <c r="A327" s="1" t="n"/>
      <c r="B327" s="21" t="n"/>
      <c r="C327" s="22" t="n"/>
      <c r="D327" s="46" t="n"/>
      <c r="E327" s="25" t="n"/>
      <c r="F327" s="25" t="n"/>
      <c r="G327" s="17">
        <f>IF(AND(C327="",D327=""),"",IF(NOT(ISNUMBER(B327)),"Needs a date",IF(AND(D327&lt;&gt;"",NOT(ISNUMBER(D327))),"Hours not a number",IF(N(D327)&lt;=0,"Needs the hours",IF(C327="","Needs a name",IF(COUNTIF(Volunteers!$B$6:$B$105,C327)=0,"Not on Volunteers",""))))))</f>
        <v/>
      </c>
      <c r="H327" s="1" t="n"/>
      <c r="I327">
        <f>IF(ISNUMBER(B327),YEAR(B327),"")</f>
        <v/>
      </c>
      <c r="J327">
        <f>IF(ISNUMBER(B327),YEAR(B327)*100+MONTH(B327),"")</f>
        <v/>
      </c>
      <c r="K327">
        <f>IF(ISNUMBER(B327),INT(B327),0)</f>
        <v/>
      </c>
      <c r="L327">
        <f>IF(AND(ISNUMBER(D327),N(D327)&gt;0),K327,0)</f>
        <v/>
      </c>
    </row>
    <row r="328">
      <c r="A328" s="1" t="n"/>
      <c r="B328" s="21" t="n"/>
      <c r="C328" s="22" t="n"/>
      <c r="D328" s="46" t="n"/>
      <c r="E328" s="25" t="n"/>
      <c r="F328" s="25" t="n"/>
      <c r="G328" s="17">
        <f>IF(AND(C328="",D328=""),"",IF(NOT(ISNUMBER(B328)),"Needs a date",IF(AND(D328&lt;&gt;"",NOT(ISNUMBER(D328))),"Hours not a number",IF(N(D328)&lt;=0,"Needs the hours",IF(C328="","Needs a name",IF(COUNTIF(Volunteers!$B$6:$B$105,C328)=0,"Not on Volunteers",""))))))</f>
        <v/>
      </c>
      <c r="H328" s="1" t="n"/>
      <c r="I328">
        <f>IF(ISNUMBER(B328),YEAR(B328),"")</f>
        <v/>
      </c>
      <c r="J328">
        <f>IF(ISNUMBER(B328),YEAR(B328)*100+MONTH(B328),"")</f>
        <v/>
      </c>
      <c r="K328">
        <f>IF(ISNUMBER(B328),INT(B328),0)</f>
        <v/>
      </c>
      <c r="L328">
        <f>IF(AND(ISNUMBER(D328),N(D328)&gt;0),K328,0)</f>
        <v/>
      </c>
    </row>
    <row r="329">
      <c r="A329" s="1" t="n"/>
      <c r="B329" s="21" t="n"/>
      <c r="C329" s="22" t="n"/>
      <c r="D329" s="46" t="n"/>
      <c r="E329" s="25" t="n"/>
      <c r="F329" s="25" t="n"/>
      <c r="G329" s="17">
        <f>IF(AND(C329="",D329=""),"",IF(NOT(ISNUMBER(B329)),"Needs a date",IF(AND(D329&lt;&gt;"",NOT(ISNUMBER(D329))),"Hours not a number",IF(N(D329)&lt;=0,"Needs the hours",IF(C329="","Needs a name",IF(COUNTIF(Volunteers!$B$6:$B$105,C329)=0,"Not on Volunteers",""))))))</f>
        <v/>
      </c>
      <c r="H329" s="1" t="n"/>
      <c r="I329">
        <f>IF(ISNUMBER(B329),YEAR(B329),"")</f>
        <v/>
      </c>
      <c r="J329">
        <f>IF(ISNUMBER(B329),YEAR(B329)*100+MONTH(B329),"")</f>
        <v/>
      </c>
      <c r="K329">
        <f>IF(ISNUMBER(B329),INT(B329),0)</f>
        <v/>
      </c>
      <c r="L329">
        <f>IF(AND(ISNUMBER(D329),N(D329)&gt;0),K329,0)</f>
        <v/>
      </c>
    </row>
    <row r="330">
      <c r="A330" s="1" t="n"/>
      <c r="B330" s="21" t="n"/>
      <c r="C330" s="22" t="n"/>
      <c r="D330" s="46" t="n"/>
      <c r="E330" s="25" t="n"/>
      <c r="F330" s="25" t="n"/>
      <c r="G330" s="17">
        <f>IF(AND(C330="",D330=""),"",IF(NOT(ISNUMBER(B330)),"Needs a date",IF(AND(D330&lt;&gt;"",NOT(ISNUMBER(D330))),"Hours not a number",IF(N(D330)&lt;=0,"Needs the hours",IF(C330="","Needs a name",IF(COUNTIF(Volunteers!$B$6:$B$105,C330)=0,"Not on Volunteers",""))))))</f>
        <v/>
      </c>
      <c r="H330" s="1" t="n"/>
      <c r="I330">
        <f>IF(ISNUMBER(B330),YEAR(B330),"")</f>
        <v/>
      </c>
      <c r="J330">
        <f>IF(ISNUMBER(B330),YEAR(B330)*100+MONTH(B330),"")</f>
        <v/>
      </c>
      <c r="K330">
        <f>IF(ISNUMBER(B330),INT(B330),0)</f>
        <v/>
      </c>
      <c r="L330">
        <f>IF(AND(ISNUMBER(D330),N(D330)&gt;0),K330,0)</f>
        <v/>
      </c>
    </row>
    <row r="331">
      <c r="A331" s="1" t="n"/>
      <c r="B331" s="21" t="n"/>
      <c r="C331" s="22" t="n"/>
      <c r="D331" s="46" t="n"/>
      <c r="E331" s="25" t="n"/>
      <c r="F331" s="25" t="n"/>
      <c r="G331" s="17">
        <f>IF(AND(C331="",D331=""),"",IF(NOT(ISNUMBER(B331)),"Needs a date",IF(AND(D331&lt;&gt;"",NOT(ISNUMBER(D331))),"Hours not a number",IF(N(D331)&lt;=0,"Needs the hours",IF(C331="","Needs a name",IF(COUNTIF(Volunteers!$B$6:$B$105,C331)=0,"Not on Volunteers",""))))))</f>
        <v/>
      </c>
      <c r="H331" s="1" t="n"/>
      <c r="I331">
        <f>IF(ISNUMBER(B331),YEAR(B331),"")</f>
        <v/>
      </c>
      <c r="J331">
        <f>IF(ISNUMBER(B331),YEAR(B331)*100+MONTH(B331),"")</f>
        <v/>
      </c>
      <c r="K331">
        <f>IF(ISNUMBER(B331),INT(B331),0)</f>
        <v/>
      </c>
      <c r="L331">
        <f>IF(AND(ISNUMBER(D331),N(D331)&gt;0),K331,0)</f>
        <v/>
      </c>
    </row>
    <row r="332">
      <c r="A332" s="1" t="n"/>
      <c r="B332" s="21" t="n"/>
      <c r="C332" s="22" t="n"/>
      <c r="D332" s="46" t="n"/>
      <c r="E332" s="25" t="n"/>
      <c r="F332" s="25" t="n"/>
      <c r="G332" s="17">
        <f>IF(AND(C332="",D332=""),"",IF(NOT(ISNUMBER(B332)),"Needs a date",IF(AND(D332&lt;&gt;"",NOT(ISNUMBER(D332))),"Hours not a number",IF(N(D332)&lt;=0,"Needs the hours",IF(C332="","Needs a name",IF(COUNTIF(Volunteers!$B$6:$B$105,C332)=0,"Not on Volunteers",""))))))</f>
        <v/>
      </c>
      <c r="H332" s="1" t="n"/>
      <c r="I332">
        <f>IF(ISNUMBER(B332),YEAR(B332),"")</f>
        <v/>
      </c>
      <c r="J332">
        <f>IF(ISNUMBER(B332),YEAR(B332)*100+MONTH(B332),"")</f>
        <v/>
      </c>
      <c r="K332">
        <f>IF(ISNUMBER(B332),INT(B332),0)</f>
        <v/>
      </c>
      <c r="L332">
        <f>IF(AND(ISNUMBER(D332),N(D332)&gt;0),K332,0)</f>
        <v/>
      </c>
    </row>
    <row r="333">
      <c r="A333" s="1" t="n"/>
      <c r="B333" s="21" t="n"/>
      <c r="C333" s="22" t="n"/>
      <c r="D333" s="46" t="n"/>
      <c r="E333" s="25" t="n"/>
      <c r="F333" s="25" t="n"/>
      <c r="G333" s="17">
        <f>IF(AND(C333="",D333=""),"",IF(NOT(ISNUMBER(B333)),"Needs a date",IF(AND(D333&lt;&gt;"",NOT(ISNUMBER(D333))),"Hours not a number",IF(N(D333)&lt;=0,"Needs the hours",IF(C333="","Needs a name",IF(COUNTIF(Volunteers!$B$6:$B$105,C333)=0,"Not on Volunteers",""))))))</f>
        <v/>
      </c>
      <c r="H333" s="1" t="n"/>
      <c r="I333">
        <f>IF(ISNUMBER(B333),YEAR(B333),"")</f>
        <v/>
      </c>
      <c r="J333">
        <f>IF(ISNUMBER(B333),YEAR(B333)*100+MONTH(B333),"")</f>
        <v/>
      </c>
      <c r="K333">
        <f>IF(ISNUMBER(B333),INT(B333),0)</f>
        <v/>
      </c>
      <c r="L333">
        <f>IF(AND(ISNUMBER(D333),N(D333)&gt;0),K333,0)</f>
        <v/>
      </c>
    </row>
    <row r="334">
      <c r="A334" s="1" t="n"/>
      <c r="B334" s="21" t="n"/>
      <c r="C334" s="22" t="n"/>
      <c r="D334" s="46" t="n"/>
      <c r="E334" s="25" t="n"/>
      <c r="F334" s="25" t="n"/>
      <c r="G334" s="17">
        <f>IF(AND(C334="",D334=""),"",IF(NOT(ISNUMBER(B334)),"Needs a date",IF(AND(D334&lt;&gt;"",NOT(ISNUMBER(D334))),"Hours not a number",IF(N(D334)&lt;=0,"Needs the hours",IF(C334="","Needs a name",IF(COUNTIF(Volunteers!$B$6:$B$105,C334)=0,"Not on Volunteers",""))))))</f>
        <v/>
      </c>
      <c r="H334" s="1" t="n"/>
      <c r="I334">
        <f>IF(ISNUMBER(B334),YEAR(B334),"")</f>
        <v/>
      </c>
      <c r="J334">
        <f>IF(ISNUMBER(B334),YEAR(B334)*100+MONTH(B334),"")</f>
        <v/>
      </c>
      <c r="K334">
        <f>IF(ISNUMBER(B334),INT(B334),0)</f>
        <v/>
      </c>
      <c r="L334">
        <f>IF(AND(ISNUMBER(D334),N(D334)&gt;0),K334,0)</f>
        <v/>
      </c>
    </row>
    <row r="335">
      <c r="A335" s="1" t="n"/>
      <c r="B335" s="21" t="n"/>
      <c r="C335" s="22" t="n"/>
      <c r="D335" s="46" t="n"/>
      <c r="E335" s="25" t="n"/>
      <c r="F335" s="25" t="n"/>
      <c r="G335" s="17">
        <f>IF(AND(C335="",D335=""),"",IF(NOT(ISNUMBER(B335)),"Needs a date",IF(AND(D335&lt;&gt;"",NOT(ISNUMBER(D335))),"Hours not a number",IF(N(D335)&lt;=0,"Needs the hours",IF(C335="","Needs a name",IF(COUNTIF(Volunteers!$B$6:$B$105,C335)=0,"Not on Volunteers",""))))))</f>
        <v/>
      </c>
      <c r="H335" s="1" t="n"/>
      <c r="I335">
        <f>IF(ISNUMBER(B335),YEAR(B335),"")</f>
        <v/>
      </c>
      <c r="J335">
        <f>IF(ISNUMBER(B335),YEAR(B335)*100+MONTH(B335),"")</f>
        <v/>
      </c>
      <c r="K335">
        <f>IF(ISNUMBER(B335),INT(B335),0)</f>
        <v/>
      </c>
      <c r="L335">
        <f>IF(AND(ISNUMBER(D335),N(D335)&gt;0),K335,0)</f>
        <v/>
      </c>
    </row>
    <row r="336">
      <c r="A336" s="1" t="n"/>
      <c r="B336" s="21" t="n"/>
      <c r="C336" s="22" t="n"/>
      <c r="D336" s="46" t="n"/>
      <c r="E336" s="25" t="n"/>
      <c r="F336" s="25" t="n"/>
      <c r="G336" s="17">
        <f>IF(AND(C336="",D336=""),"",IF(NOT(ISNUMBER(B336)),"Needs a date",IF(AND(D336&lt;&gt;"",NOT(ISNUMBER(D336))),"Hours not a number",IF(N(D336)&lt;=0,"Needs the hours",IF(C336="","Needs a name",IF(COUNTIF(Volunteers!$B$6:$B$105,C336)=0,"Not on Volunteers",""))))))</f>
        <v/>
      </c>
      <c r="H336" s="1" t="n"/>
      <c r="I336">
        <f>IF(ISNUMBER(B336),YEAR(B336),"")</f>
        <v/>
      </c>
      <c r="J336">
        <f>IF(ISNUMBER(B336),YEAR(B336)*100+MONTH(B336),"")</f>
        <v/>
      </c>
      <c r="K336">
        <f>IF(ISNUMBER(B336),INT(B336),0)</f>
        <v/>
      </c>
      <c r="L336">
        <f>IF(AND(ISNUMBER(D336),N(D336)&gt;0),K336,0)</f>
        <v/>
      </c>
    </row>
    <row r="337">
      <c r="A337" s="1" t="n"/>
      <c r="B337" s="21" t="n"/>
      <c r="C337" s="22" t="n"/>
      <c r="D337" s="46" t="n"/>
      <c r="E337" s="25" t="n"/>
      <c r="F337" s="25" t="n"/>
      <c r="G337" s="17">
        <f>IF(AND(C337="",D337=""),"",IF(NOT(ISNUMBER(B337)),"Needs a date",IF(AND(D337&lt;&gt;"",NOT(ISNUMBER(D337))),"Hours not a number",IF(N(D337)&lt;=0,"Needs the hours",IF(C337="","Needs a name",IF(COUNTIF(Volunteers!$B$6:$B$105,C337)=0,"Not on Volunteers",""))))))</f>
        <v/>
      </c>
      <c r="H337" s="1" t="n"/>
      <c r="I337">
        <f>IF(ISNUMBER(B337),YEAR(B337),"")</f>
        <v/>
      </c>
      <c r="J337">
        <f>IF(ISNUMBER(B337),YEAR(B337)*100+MONTH(B337),"")</f>
        <v/>
      </c>
      <c r="K337">
        <f>IF(ISNUMBER(B337),INT(B337),0)</f>
        <v/>
      </c>
      <c r="L337">
        <f>IF(AND(ISNUMBER(D337),N(D337)&gt;0),K337,0)</f>
        <v/>
      </c>
    </row>
    <row r="338">
      <c r="A338" s="1" t="n"/>
      <c r="B338" s="21" t="n"/>
      <c r="C338" s="22" t="n"/>
      <c r="D338" s="46" t="n"/>
      <c r="E338" s="25" t="n"/>
      <c r="F338" s="25" t="n"/>
      <c r="G338" s="17">
        <f>IF(AND(C338="",D338=""),"",IF(NOT(ISNUMBER(B338)),"Needs a date",IF(AND(D338&lt;&gt;"",NOT(ISNUMBER(D338))),"Hours not a number",IF(N(D338)&lt;=0,"Needs the hours",IF(C338="","Needs a name",IF(COUNTIF(Volunteers!$B$6:$B$105,C338)=0,"Not on Volunteers",""))))))</f>
        <v/>
      </c>
      <c r="H338" s="1" t="n"/>
      <c r="I338">
        <f>IF(ISNUMBER(B338),YEAR(B338),"")</f>
        <v/>
      </c>
      <c r="J338">
        <f>IF(ISNUMBER(B338),YEAR(B338)*100+MONTH(B338),"")</f>
        <v/>
      </c>
      <c r="K338">
        <f>IF(ISNUMBER(B338),INT(B338),0)</f>
        <v/>
      </c>
      <c r="L338">
        <f>IF(AND(ISNUMBER(D338),N(D338)&gt;0),K338,0)</f>
        <v/>
      </c>
    </row>
    <row r="339">
      <c r="A339" s="1" t="n"/>
      <c r="B339" s="21" t="n"/>
      <c r="C339" s="22" t="n"/>
      <c r="D339" s="46" t="n"/>
      <c r="E339" s="25" t="n"/>
      <c r="F339" s="25" t="n"/>
      <c r="G339" s="17">
        <f>IF(AND(C339="",D339=""),"",IF(NOT(ISNUMBER(B339)),"Needs a date",IF(AND(D339&lt;&gt;"",NOT(ISNUMBER(D339))),"Hours not a number",IF(N(D339)&lt;=0,"Needs the hours",IF(C339="","Needs a name",IF(COUNTIF(Volunteers!$B$6:$B$105,C339)=0,"Not on Volunteers",""))))))</f>
        <v/>
      </c>
      <c r="H339" s="1" t="n"/>
      <c r="I339">
        <f>IF(ISNUMBER(B339),YEAR(B339),"")</f>
        <v/>
      </c>
      <c r="J339">
        <f>IF(ISNUMBER(B339),YEAR(B339)*100+MONTH(B339),"")</f>
        <v/>
      </c>
      <c r="K339">
        <f>IF(ISNUMBER(B339),INT(B339),0)</f>
        <v/>
      </c>
      <c r="L339">
        <f>IF(AND(ISNUMBER(D339),N(D339)&gt;0),K339,0)</f>
        <v/>
      </c>
    </row>
    <row r="340">
      <c r="A340" s="1" t="n"/>
      <c r="B340" s="21" t="n"/>
      <c r="C340" s="22" t="n"/>
      <c r="D340" s="46" t="n"/>
      <c r="E340" s="25" t="n"/>
      <c r="F340" s="25" t="n"/>
      <c r="G340" s="17">
        <f>IF(AND(C340="",D340=""),"",IF(NOT(ISNUMBER(B340)),"Needs a date",IF(AND(D340&lt;&gt;"",NOT(ISNUMBER(D340))),"Hours not a number",IF(N(D340)&lt;=0,"Needs the hours",IF(C340="","Needs a name",IF(COUNTIF(Volunteers!$B$6:$B$105,C340)=0,"Not on Volunteers",""))))))</f>
        <v/>
      </c>
      <c r="H340" s="1" t="n"/>
      <c r="I340">
        <f>IF(ISNUMBER(B340),YEAR(B340),"")</f>
        <v/>
      </c>
      <c r="J340">
        <f>IF(ISNUMBER(B340),YEAR(B340)*100+MONTH(B340),"")</f>
        <v/>
      </c>
      <c r="K340">
        <f>IF(ISNUMBER(B340),INT(B340),0)</f>
        <v/>
      </c>
      <c r="L340">
        <f>IF(AND(ISNUMBER(D340),N(D340)&gt;0),K340,0)</f>
        <v/>
      </c>
    </row>
    <row r="341">
      <c r="A341" s="1" t="n"/>
      <c r="B341" s="21" t="n"/>
      <c r="C341" s="22" t="n"/>
      <c r="D341" s="46" t="n"/>
      <c r="E341" s="25" t="n"/>
      <c r="F341" s="25" t="n"/>
      <c r="G341" s="17">
        <f>IF(AND(C341="",D341=""),"",IF(NOT(ISNUMBER(B341)),"Needs a date",IF(AND(D341&lt;&gt;"",NOT(ISNUMBER(D341))),"Hours not a number",IF(N(D341)&lt;=0,"Needs the hours",IF(C341="","Needs a name",IF(COUNTIF(Volunteers!$B$6:$B$105,C341)=0,"Not on Volunteers",""))))))</f>
        <v/>
      </c>
      <c r="H341" s="1" t="n"/>
      <c r="I341">
        <f>IF(ISNUMBER(B341),YEAR(B341),"")</f>
        <v/>
      </c>
      <c r="J341">
        <f>IF(ISNUMBER(B341),YEAR(B341)*100+MONTH(B341),"")</f>
        <v/>
      </c>
      <c r="K341">
        <f>IF(ISNUMBER(B341),INT(B341),0)</f>
        <v/>
      </c>
      <c r="L341">
        <f>IF(AND(ISNUMBER(D341),N(D341)&gt;0),K341,0)</f>
        <v/>
      </c>
    </row>
    <row r="342">
      <c r="A342" s="1" t="n"/>
      <c r="B342" s="21" t="n"/>
      <c r="C342" s="22" t="n"/>
      <c r="D342" s="46" t="n"/>
      <c r="E342" s="25" t="n"/>
      <c r="F342" s="25" t="n"/>
      <c r="G342" s="17">
        <f>IF(AND(C342="",D342=""),"",IF(NOT(ISNUMBER(B342)),"Needs a date",IF(AND(D342&lt;&gt;"",NOT(ISNUMBER(D342))),"Hours not a number",IF(N(D342)&lt;=0,"Needs the hours",IF(C342="","Needs a name",IF(COUNTIF(Volunteers!$B$6:$B$105,C342)=0,"Not on Volunteers",""))))))</f>
        <v/>
      </c>
      <c r="H342" s="1" t="n"/>
      <c r="I342">
        <f>IF(ISNUMBER(B342),YEAR(B342),"")</f>
        <v/>
      </c>
      <c r="J342">
        <f>IF(ISNUMBER(B342),YEAR(B342)*100+MONTH(B342),"")</f>
        <v/>
      </c>
      <c r="K342">
        <f>IF(ISNUMBER(B342),INT(B342),0)</f>
        <v/>
      </c>
      <c r="L342">
        <f>IF(AND(ISNUMBER(D342),N(D342)&gt;0),K342,0)</f>
        <v/>
      </c>
    </row>
    <row r="343">
      <c r="A343" s="1" t="n"/>
      <c r="B343" s="21" t="n"/>
      <c r="C343" s="22" t="n"/>
      <c r="D343" s="46" t="n"/>
      <c r="E343" s="25" t="n"/>
      <c r="F343" s="25" t="n"/>
      <c r="G343" s="17">
        <f>IF(AND(C343="",D343=""),"",IF(NOT(ISNUMBER(B343)),"Needs a date",IF(AND(D343&lt;&gt;"",NOT(ISNUMBER(D343))),"Hours not a number",IF(N(D343)&lt;=0,"Needs the hours",IF(C343="","Needs a name",IF(COUNTIF(Volunteers!$B$6:$B$105,C343)=0,"Not on Volunteers",""))))))</f>
        <v/>
      </c>
      <c r="H343" s="1" t="n"/>
      <c r="I343">
        <f>IF(ISNUMBER(B343),YEAR(B343),"")</f>
        <v/>
      </c>
      <c r="J343">
        <f>IF(ISNUMBER(B343),YEAR(B343)*100+MONTH(B343),"")</f>
        <v/>
      </c>
      <c r="K343">
        <f>IF(ISNUMBER(B343),INT(B343),0)</f>
        <v/>
      </c>
      <c r="L343">
        <f>IF(AND(ISNUMBER(D343),N(D343)&gt;0),K343,0)</f>
        <v/>
      </c>
    </row>
    <row r="344">
      <c r="A344" s="1" t="n"/>
      <c r="B344" s="21" t="n"/>
      <c r="C344" s="22" t="n"/>
      <c r="D344" s="46" t="n"/>
      <c r="E344" s="25" t="n"/>
      <c r="F344" s="25" t="n"/>
      <c r="G344" s="17">
        <f>IF(AND(C344="",D344=""),"",IF(NOT(ISNUMBER(B344)),"Needs a date",IF(AND(D344&lt;&gt;"",NOT(ISNUMBER(D344))),"Hours not a number",IF(N(D344)&lt;=0,"Needs the hours",IF(C344="","Needs a name",IF(COUNTIF(Volunteers!$B$6:$B$105,C344)=0,"Not on Volunteers",""))))))</f>
        <v/>
      </c>
      <c r="H344" s="1" t="n"/>
      <c r="I344">
        <f>IF(ISNUMBER(B344),YEAR(B344),"")</f>
        <v/>
      </c>
      <c r="J344">
        <f>IF(ISNUMBER(B344),YEAR(B344)*100+MONTH(B344),"")</f>
        <v/>
      </c>
      <c r="K344">
        <f>IF(ISNUMBER(B344),INT(B344),0)</f>
        <v/>
      </c>
      <c r="L344">
        <f>IF(AND(ISNUMBER(D344),N(D344)&gt;0),K344,0)</f>
        <v/>
      </c>
    </row>
    <row r="345">
      <c r="A345" s="1" t="n"/>
      <c r="B345" s="21" t="n"/>
      <c r="C345" s="22" t="n"/>
      <c r="D345" s="46" t="n"/>
      <c r="E345" s="25" t="n"/>
      <c r="F345" s="25" t="n"/>
      <c r="G345" s="17">
        <f>IF(AND(C345="",D345=""),"",IF(NOT(ISNUMBER(B345)),"Needs a date",IF(AND(D345&lt;&gt;"",NOT(ISNUMBER(D345))),"Hours not a number",IF(N(D345)&lt;=0,"Needs the hours",IF(C345="","Needs a name",IF(COUNTIF(Volunteers!$B$6:$B$105,C345)=0,"Not on Volunteers",""))))))</f>
        <v/>
      </c>
      <c r="H345" s="1" t="n"/>
      <c r="I345">
        <f>IF(ISNUMBER(B345),YEAR(B345),"")</f>
        <v/>
      </c>
      <c r="J345">
        <f>IF(ISNUMBER(B345),YEAR(B345)*100+MONTH(B345),"")</f>
        <v/>
      </c>
      <c r="K345">
        <f>IF(ISNUMBER(B345),INT(B345),0)</f>
        <v/>
      </c>
      <c r="L345">
        <f>IF(AND(ISNUMBER(D345),N(D345)&gt;0),K345,0)</f>
        <v/>
      </c>
    </row>
    <row r="346">
      <c r="A346" s="1" t="n"/>
      <c r="B346" s="21" t="n"/>
      <c r="C346" s="22" t="n"/>
      <c r="D346" s="46" t="n"/>
      <c r="E346" s="25" t="n"/>
      <c r="F346" s="25" t="n"/>
      <c r="G346" s="17">
        <f>IF(AND(C346="",D346=""),"",IF(NOT(ISNUMBER(B346)),"Needs a date",IF(AND(D346&lt;&gt;"",NOT(ISNUMBER(D346))),"Hours not a number",IF(N(D346)&lt;=0,"Needs the hours",IF(C346="","Needs a name",IF(COUNTIF(Volunteers!$B$6:$B$105,C346)=0,"Not on Volunteers",""))))))</f>
        <v/>
      </c>
      <c r="H346" s="1" t="n"/>
      <c r="I346">
        <f>IF(ISNUMBER(B346),YEAR(B346),"")</f>
        <v/>
      </c>
      <c r="J346">
        <f>IF(ISNUMBER(B346),YEAR(B346)*100+MONTH(B346),"")</f>
        <v/>
      </c>
      <c r="K346">
        <f>IF(ISNUMBER(B346),INT(B346),0)</f>
        <v/>
      </c>
      <c r="L346">
        <f>IF(AND(ISNUMBER(D346),N(D346)&gt;0),K346,0)</f>
        <v/>
      </c>
    </row>
    <row r="347">
      <c r="A347" s="1" t="n"/>
      <c r="B347" s="21" t="n"/>
      <c r="C347" s="22" t="n"/>
      <c r="D347" s="46" t="n"/>
      <c r="E347" s="25" t="n"/>
      <c r="F347" s="25" t="n"/>
      <c r="G347" s="17">
        <f>IF(AND(C347="",D347=""),"",IF(NOT(ISNUMBER(B347)),"Needs a date",IF(AND(D347&lt;&gt;"",NOT(ISNUMBER(D347))),"Hours not a number",IF(N(D347)&lt;=0,"Needs the hours",IF(C347="","Needs a name",IF(COUNTIF(Volunteers!$B$6:$B$105,C347)=0,"Not on Volunteers",""))))))</f>
        <v/>
      </c>
      <c r="H347" s="1" t="n"/>
      <c r="I347">
        <f>IF(ISNUMBER(B347),YEAR(B347),"")</f>
        <v/>
      </c>
      <c r="J347">
        <f>IF(ISNUMBER(B347),YEAR(B347)*100+MONTH(B347),"")</f>
        <v/>
      </c>
      <c r="K347">
        <f>IF(ISNUMBER(B347),INT(B347),0)</f>
        <v/>
      </c>
      <c r="L347">
        <f>IF(AND(ISNUMBER(D347),N(D347)&gt;0),K347,0)</f>
        <v/>
      </c>
    </row>
    <row r="348">
      <c r="A348" s="1" t="n"/>
      <c r="B348" s="21" t="n"/>
      <c r="C348" s="22" t="n"/>
      <c r="D348" s="46" t="n"/>
      <c r="E348" s="25" t="n"/>
      <c r="F348" s="25" t="n"/>
      <c r="G348" s="17">
        <f>IF(AND(C348="",D348=""),"",IF(NOT(ISNUMBER(B348)),"Needs a date",IF(AND(D348&lt;&gt;"",NOT(ISNUMBER(D348))),"Hours not a number",IF(N(D348)&lt;=0,"Needs the hours",IF(C348="","Needs a name",IF(COUNTIF(Volunteers!$B$6:$B$105,C348)=0,"Not on Volunteers",""))))))</f>
        <v/>
      </c>
      <c r="H348" s="1" t="n"/>
      <c r="I348">
        <f>IF(ISNUMBER(B348),YEAR(B348),"")</f>
        <v/>
      </c>
      <c r="J348">
        <f>IF(ISNUMBER(B348),YEAR(B348)*100+MONTH(B348),"")</f>
        <v/>
      </c>
      <c r="K348">
        <f>IF(ISNUMBER(B348),INT(B348),0)</f>
        <v/>
      </c>
      <c r="L348">
        <f>IF(AND(ISNUMBER(D348),N(D348)&gt;0),K348,0)</f>
        <v/>
      </c>
    </row>
    <row r="349">
      <c r="A349" s="1" t="n"/>
      <c r="B349" s="21" t="n"/>
      <c r="C349" s="22" t="n"/>
      <c r="D349" s="46" t="n"/>
      <c r="E349" s="25" t="n"/>
      <c r="F349" s="25" t="n"/>
      <c r="G349" s="17">
        <f>IF(AND(C349="",D349=""),"",IF(NOT(ISNUMBER(B349)),"Needs a date",IF(AND(D349&lt;&gt;"",NOT(ISNUMBER(D349))),"Hours not a number",IF(N(D349)&lt;=0,"Needs the hours",IF(C349="","Needs a name",IF(COUNTIF(Volunteers!$B$6:$B$105,C349)=0,"Not on Volunteers",""))))))</f>
        <v/>
      </c>
      <c r="H349" s="1" t="n"/>
      <c r="I349">
        <f>IF(ISNUMBER(B349),YEAR(B349),"")</f>
        <v/>
      </c>
      <c r="J349">
        <f>IF(ISNUMBER(B349),YEAR(B349)*100+MONTH(B349),"")</f>
        <v/>
      </c>
      <c r="K349">
        <f>IF(ISNUMBER(B349),INT(B349),0)</f>
        <v/>
      </c>
      <c r="L349">
        <f>IF(AND(ISNUMBER(D349),N(D349)&gt;0),K349,0)</f>
        <v/>
      </c>
    </row>
    <row r="350">
      <c r="A350" s="1" t="n"/>
      <c r="B350" s="21" t="n"/>
      <c r="C350" s="22" t="n"/>
      <c r="D350" s="46" t="n"/>
      <c r="E350" s="25" t="n"/>
      <c r="F350" s="25" t="n"/>
      <c r="G350" s="17">
        <f>IF(AND(C350="",D350=""),"",IF(NOT(ISNUMBER(B350)),"Needs a date",IF(AND(D350&lt;&gt;"",NOT(ISNUMBER(D350))),"Hours not a number",IF(N(D350)&lt;=0,"Needs the hours",IF(C350="","Needs a name",IF(COUNTIF(Volunteers!$B$6:$B$105,C350)=0,"Not on Volunteers",""))))))</f>
        <v/>
      </c>
      <c r="H350" s="1" t="n"/>
      <c r="I350">
        <f>IF(ISNUMBER(B350),YEAR(B350),"")</f>
        <v/>
      </c>
      <c r="J350">
        <f>IF(ISNUMBER(B350),YEAR(B350)*100+MONTH(B350),"")</f>
        <v/>
      </c>
      <c r="K350">
        <f>IF(ISNUMBER(B350),INT(B350),0)</f>
        <v/>
      </c>
      <c r="L350">
        <f>IF(AND(ISNUMBER(D350),N(D350)&gt;0),K350,0)</f>
        <v/>
      </c>
    </row>
    <row r="351">
      <c r="A351" s="1" t="n"/>
      <c r="B351" s="21" t="n"/>
      <c r="C351" s="22" t="n"/>
      <c r="D351" s="46" t="n"/>
      <c r="E351" s="25" t="n"/>
      <c r="F351" s="25" t="n"/>
      <c r="G351" s="17">
        <f>IF(AND(C351="",D351=""),"",IF(NOT(ISNUMBER(B351)),"Needs a date",IF(AND(D351&lt;&gt;"",NOT(ISNUMBER(D351))),"Hours not a number",IF(N(D351)&lt;=0,"Needs the hours",IF(C351="","Needs a name",IF(COUNTIF(Volunteers!$B$6:$B$105,C351)=0,"Not on Volunteers",""))))))</f>
        <v/>
      </c>
      <c r="H351" s="1" t="n"/>
      <c r="I351">
        <f>IF(ISNUMBER(B351),YEAR(B351),"")</f>
        <v/>
      </c>
      <c r="J351">
        <f>IF(ISNUMBER(B351),YEAR(B351)*100+MONTH(B351),"")</f>
        <v/>
      </c>
      <c r="K351">
        <f>IF(ISNUMBER(B351),INT(B351),0)</f>
        <v/>
      </c>
      <c r="L351">
        <f>IF(AND(ISNUMBER(D351),N(D351)&gt;0),K351,0)</f>
        <v/>
      </c>
    </row>
    <row r="352">
      <c r="A352" s="1" t="n"/>
      <c r="B352" s="21" t="n"/>
      <c r="C352" s="22" t="n"/>
      <c r="D352" s="46" t="n"/>
      <c r="E352" s="25" t="n"/>
      <c r="F352" s="25" t="n"/>
      <c r="G352" s="17">
        <f>IF(AND(C352="",D352=""),"",IF(NOT(ISNUMBER(B352)),"Needs a date",IF(AND(D352&lt;&gt;"",NOT(ISNUMBER(D352))),"Hours not a number",IF(N(D352)&lt;=0,"Needs the hours",IF(C352="","Needs a name",IF(COUNTIF(Volunteers!$B$6:$B$105,C352)=0,"Not on Volunteers",""))))))</f>
        <v/>
      </c>
      <c r="H352" s="1" t="n"/>
      <c r="I352">
        <f>IF(ISNUMBER(B352),YEAR(B352),"")</f>
        <v/>
      </c>
      <c r="J352">
        <f>IF(ISNUMBER(B352),YEAR(B352)*100+MONTH(B352),"")</f>
        <v/>
      </c>
      <c r="K352">
        <f>IF(ISNUMBER(B352),INT(B352),0)</f>
        <v/>
      </c>
      <c r="L352">
        <f>IF(AND(ISNUMBER(D352),N(D352)&gt;0),K352,0)</f>
        <v/>
      </c>
    </row>
    <row r="353">
      <c r="A353" s="1" t="n"/>
      <c r="B353" s="21" t="n"/>
      <c r="C353" s="22" t="n"/>
      <c r="D353" s="46" t="n"/>
      <c r="E353" s="25" t="n"/>
      <c r="F353" s="25" t="n"/>
      <c r="G353" s="17">
        <f>IF(AND(C353="",D353=""),"",IF(NOT(ISNUMBER(B353)),"Needs a date",IF(AND(D353&lt;&gt;"",NOT(ISNUMBER(D353))),"Hours not a number",IF(N(D353)&lt;=0,"Needs the hours",IF(C353="","Needs a name",IF(COUNTIF(Volunteers!$B$6:$B$105,C353)=0,"Not on Volunteers",""))))))</f>
        <v/>
      </c>
      <c r="H353" s="1" t="n"/>
      <c r="I353">
        <f>IF(ISNUMBER(B353),YEAR(B353),"")</f>
        <v/>
      </c>
      <c r="J353">
        <f>IF(ISNUMBER(B353),YEAR(B353)*100+MONTH(B353),"")</f>
        <v/>
      </c>
      <c r="K353">
        <f>IF(ISNUMBER(B353),INT(B353),0)</f>
        <v/>
      </c>
      <c r="L353">
        <f>IF(AND(ISNUMBER(D353),N(D353)&gt;0),K353,0)</f>
        <v/>
      </c>
    </row>
    <row r="354">
      <c r="A354" s="1" t="n"/>
      <c r="B354" s="21" t="n"/>
      <c r="C354" s="22" t="n"/>
      <c r="D354" s="46" t="n"/>
      <c r="E354" s="25" t="n"/>
      <c r="F354" s="25" t="n"/>
      <c r="G354" s="17">
        <f>IF(AND(C354="",D354=""),"",IF(NOT(ISNUMBER(B354)),"Needs a date",IF(AND(D354&lt;&gt;"",NOT(ISNUMBER(D354))),"Hours not a number",IF(N(D354)&lt;=0,"Needs the hours",IF(C354="","Needs a name",IF(COUNTIF(Volunteers!$B$6:$B$105,C354)=0,"Not on Volunteers",""))))))</f>
        <v/>
      </c>
      <c r="H354" s="1" t="n"/>
      <c r="I354">
        <f>IF(ISNUMBER(B354),YEAR(B354),"")</f>
        <v/>
      </c>
      <c r="J354">
        <f>IF(ISNUMBER(B354),YEAR(B354)*100+MONTH(B354),"")</f>
        <v/>
      </c>
      <c r="K354">
        <f>IF(ISNUMBER(B354),INT(B354),0)</f>
        <v/>
      </c>
      <c r="L354">
        <f>IF(AND(ISNUMBER(D354),N(D354)&gt;0),K354,0)</f>
        <v/>
      </c>
    </row>
    <row r="355">
      <c r="A355" s="1" t="n"/>
      <c r="B355" s="21" t="n"/>
      <c r="C355" s="22" t="n"/>
      <c r="D355" s="46" t="n"/>
      <c r="E355" s="25" t="n"/>
      <c r="F355" s="25" t="n"/>
      <c r="G355" s="17">
        <f>IF(AND(C355="",D355=""),"",IF(NOT(ISNUMBER(B355)),"Needs a date",IF(AND(D355&lt;&gt;"",NOT(ISNUMBER(D355))),"Hours not a number",IF(N(D355)&lt;=0,"Needs the hours",IF(C355="","Needs a name",IF(COUNTIF(Volunteers!$B$6:$B$105,C355)=0,"Not on Volunteers",""))))))</f>
        <v/>
      </c>
      <c r="H355" s="1" t="n"/>
      <c r="I355">
        <f>IF(ISNUMBER(B355),YEAR(B355),"")</f>
        <v/>
      </c>
      <c r="J355">
        <f>IF(ISNUMBER(B355),YEAR(B355)*100+MONTH(B355),"")</f>
        <v/>
      </c>
      <c r="K355">
        <f>IF(ISNUMBER(B355),INT(B355),0)</f>
        <v/>
      </c>
      <c r="L355">
        <f>IF(AND(ISNUMBER(D355),N(D355)&gt;0),K355,0)</f>
        <v/>
      </c>
    </row>
    <row r="356">
      <c r="A356" s="1" t="n"/>
      <c r="B356" s="21" t="n"/>
      <c r="C356" s="22" t="n"/>
      <c r="D356" s="46" t="n"/>
      <c r="E356" s="25" t="n"/>
      <c r="F356" s="25" t="n"/>
      <c r="G356" s="17">
        <f>IF(AND(C356="",D356=""),"",IF(NOT(ISNUMBER(B356)),"Needs a date",IF(AND(D356&lt;&gt;"",NOT(ISNUMBER(D356))),"Hours not a number",IF(N(D356)&lt;=0,"Needs the hours",IF(C356="","Needs a name",IF(COUNTIF(Volunteers!$B$6:$B$105,C356)=0,"Not on Volunteers",""))))))</f>
        <v/>
      </c>
      <c r="H356" s="1" t="n"/>
      <c r="I356">
        <f>IF(ISNUMBER(B356),YEAR(B356),"")</f>
        <v/>
      </c>
      <c r="J356">
        <f>IF(ISNUMBER(B356),YEAR(B356)*100+MONTH(B356),"")</f>
        <v/>
      </c>
      <c r="K356">
        <f>IF(ISNUMBER(B356),INT(B356),0)</f>
        <v/>
      </c>
      <c r="L356">
        <f>IF(AND(ISNUMBER(D356),N(D356)&gt;0),K356,0)</f>
        <v/>
      </c>
    </row>
    <row r="357">
      <c r="A357" s="1" t="n"/>
      <c r="B357" s="21" t="n"/>
      <c r="C357" s="22" t="n"/>
      <c r="D357" s="46" t="n"/>
      <c r="E357" s="25" t="n"/>
      <c r="F357" s="25" t="n"/>
      <c r="G357" s="17">
        <f>IF(AND(C357="",D357=""),"",IF(NOT(ISNUMBER(B357)),"Needs a date",IF(AND(D357&lt;&gt;"",NOT(ISNUMBER(D357))),"Hours not a number",IF(N(D357)&lt;=0,"Needs the hours",IF(C357="","Needs a name",IF(COUNTIF(Volunteers!$B$6:$B$105,C357)=0,"Not on Volunteers",""))))))</f>
        <v/>
      </c>
      <c r="H357" s="1" t="n"/>
      <c r="I357">
        <f>IF(ISNUMBER(B357),YEAR(B357),"")</f>
        <v/>
      </c>
      <c r="J357">
        <f>IF(ISNUMBER(B357),YEAR(B357)*100+MONTH(B357),"")</f>
        <v/>
      </c>
      <c r="K357">
        <f>IF(ISNUMBER(B357),INT(B357),0)</f>
        <v/>
      </c>
      <c r="L357">
        <f>IF(AND(ISNUMBER(D357),N(D357)&gt;0),K357,0)</f>
        <v/>
      </c>
    </row>
    <row r="358">
      <c r="A358" s="1" t="n"/>
      <c r="B358" s="21" t="n"/>
      <c r="C358" s="22" t="n"/>
      <c r="D358" s="46" t="n"/>
      <c r="E358" s="25" t="n"/>
      <c r="F358" s="25" t="n"/>
      <c r="G358" s="17">
        <f>IF(AND(C358="",D358=""),"",IF(NOT(ISNUMBER(B358)),"Needs a date",IF(AND(D358&lt;&gt;"",NOT(ISNUMBER(D358))),"Hours not a number",IF(N(D358)&lt;=0,"Needs the hours",IF(C358="","Needs a name",IF(COUNTIF(Volunteers!$B$6:$B$105,C358)=0,"Not on Volunteers",""))))))</f>
        <v/>
      </c>
      <c r="H358" s="1" t="n"/>
      <c r="I358">
        <f>IF(ISNUMBER(B358),YEAR(B358),"")</f>
        <v/>
      </c>
      <c r="J358">
        <f>IF(ISNUMBER(B358),YEAR(B358)*100+MONTH(B358),"")</f>
        <v/>
      </c>
      <c r="K358">
        <f>IF(ISNUMBER(B358),INT(B358),0)</f>
        <v/>
      </c>
      <c r="L358">
        <f>IF(AND(ISNUMBER(D358),N(D358)&gt;0),K358,0)</f>
        <v/>
      </c>
    </row>
    <row r="359">
      <c r="A359" s="1" t="n"/>
      <c r="B359" s="21" t="n"/>
      <c r="C359" s="22" t="n"/>
      <c r="D359" s="46" t="n"/>
      <c r="E359" s="25" t="n"/>
      <c r="F359" s="25" t="n"/>
      <c r="G359" s="17">
        <f>IF(AND(C359="",D359=""),"",IF(NOT(ISNUMBER(B359)),"Needs a date",IF(AND(D359&lt;&gt;"",NOT(ISNUMBER(D359))),"Hours not a number",IF(N(D359)&lt;=0,"Needs the hours",IF(C359="","Needs a name",IF(COUNTIF(Volunteers!$B$6:$B$105,C359)=0,"Not on Volunteers",""))))))</f>
        <v/>
      </c>
      <c r="H359" s="1" t="n"/>
      <c r="I359">
        <f>IF(ISNUMBER(B359),YEAR(B359),"")</f>
        <v/>
      </c>
      <c r="J359">
        <f>IF(ISNUMBER(B359),YEAR(B359)*100+MONTH(B359),"")</f>
        <v/>
      </c>
      <c r="K359">
        <f>IF(ISNUMBER(B359),INT(B359),0)</f>
        <v/>
      </c>
      <c r="L359">
        <f>IF(AND(ISNUMBER(D359),N(D359)&gt;0),K359,0)</f>
        <v/>
      </c>
    </row>
    <row r="360">
      <c r="A360" s="1" t="n"/>
      <c r="B360" s="21" t="n"/>
      <c r="C360" s="22" t="n"/>
      <c r="D360" s="46" t="n"/>
      <c r="E360" s="25" t="n"/>
      <c r="F360" s="25" t="n"/>
      <c r="G360" s="17">
        <f>IF(AND(C360="",D360=""),"",IF(NOT(ISNUMBER(B360)),"Needs a date",IF(AND(D360&lt;&gt;"",NOT(ISNUMBER(D360))),"Hours not a number",IF(N(D360)&lt;=0,"Needs the hours",IF(C360="","Needs a name",IF(COUNTIF(Volunteers!$B$6:$B$105,C360)=0,"Not on Volunteers",""))))))</f>
        <v/>
      </c>
      <c r="H360" s="1" t="n"/>
      <c r="I360">
        <f>IF(ISNUMBER(B360),YEAR(B360),"")</f>
        <v/>
      </c>
      <c r="J360">
        <f>IF(ISNUMBER(B360),YEAR(B360)*100+MONTH(B360),"")</f>
        <v/>
      </c>
      <c r="K360">
        <f>IF(ISNUMBER(B360),INT(B360),0)</f>
        <v/>
      </c>
      <c r="L360">
        <f>IF(AND(ISNUMBER(D360),N(D360)&gt;0),K360,0)</f>
        <v/>
      </c>
    </row>
    <row r="361">
      <c r="A361" s="1" t="n"/>
      <c r="B361" s="21" t="n"/>
      <c r="C361" s="22" t="n"/>
      <c r="D361" s="46" t="n"/>
      <c r="E361" s="25" t="n"/>
      <c r="F361" s="25" t="n"/>
      <c r="G361" s="17">
        <f>IF(AND(C361="",D361=""),"",IF(NOT(ISNUMBER(B361)),"Needs a date",IF(AND(D361&lt;&gt;"",NOT(ISNUMBER(D361))),"Hours not a number",IF(N(D361)&lt;=0,"Needs the hours",IF(C361="","Needs a name",IF(COUNTIF(Volunteers!$B$6:$B$105,C361)=0,"Not on Volunteers",""))))))</f>
        <v/>
      </c>
      <c r="H361" s="1" t="n"/>
      <c r="I361">
        <f>IF(ISNUMBER(B361),YEAR(B361),"")</f>
        <v/>
      </c>
      <c r="J361">
        <f>IF(ISNUMBER(B361),YEAR(B361)*100+MONTH(B361),"")</f>
        <v/>
      </c>
      <c r="K361">
        <f>IF(ISNUMBER(B361),INT(B361),0)</f>
        <v/>
      </c>
      <c r="L361">
        <f>IF(AND(ISNUMBER(D361),N(D361)&gt;0),K361,0)</f>
        <v/>
      </c>
    </row>
    <row r="362">
      <c r="A362" s="1" t="n"/>
      <c r="B362" s="21" t="n"/>
      <c r="C362" s="22" t="n"/>
      <c r="D362" s="46" t="n"/>
      <c r="E362" s="25" t="n"/>
      <c r="F362" s="25" t="n"/>
      <c r="G362" s="17">
        <f>IF(AND(C362="",D362=""),"",IF(NOT(ISNUMBER(B362)),"Needs a date",IF(AND(D362&lt;&gt;"",NOT(ISNUMBER(D362))),"Hours not a number",IF(N(D362)&lt;=0,"Needs the hours",IF(C362="","Needs a name",IF(COUNTIF(Volunteers!$B$6:$B$105,C362)=0,"Not on Volunteers",""))))))</f>
        <v/>
      </c>
      <c r="H362" s="1" t="n"/>
      <c r="I362">
        <f>IF(ISNUMBER(B362),YEAR(B362),"")</f>
        <v/>
      </c>
      <c r="J362">
        <f>IF(ISNUMBER(B362),YEAR(B362)*100+MONTH(B362),"")</f>
        <v/>
      </c>
      <c r="K362">
        <f>IF(ISNUMBER(B362),INT(B362),0)</f>
        <v/>
      </c>
      <c r="L362">
        <f>IF(AND(ISNUMBER(D362),N(D362)&gt;0),K362,0)</f>
        <v/>
      </c>
    </row>
    <row r="363">
      <c r="A363" s="1" t="n"/>
      <c r="B363" s="21" t="n"/>
      <c r="C363" s="22" t="n"/>
      <c r="D363" s="46" t="n"/>
      <c r="E363" s="25" t="n"/>
      <c r="F363" s="25" t="n"/>
      <c r="G363" s="17">
        <f>IF(AND(C363="",D363=""),"",IF(NOT(ISNUMBER(B363)),"Needs a date",IF(AND(D363&lt;&gt;"",NOT(ISNUMBER(D363))),"Hours not a number",IF(N(D363)&lt;=0,"Needs the hours",IF(C363="","Needs a name",IF(COUNTIF(Volunteers!$B$6:$B$105,C363)=0,"Not on Volunteers",""))))))</f>
        <v/>
      </c>
      <c r="H363" s="1" t="n"/>
      <c r="I363">
        <f>IF(ISNUMBER(B363),YEAR(B363),"")</f>
        <v/>
      </c>
      <c r="J363">
        <f>IF(ISNUMBER(B363),YEAR(B363)*100+MONTH(B363),"")</f>
        <v/>
      </c>
      <c r="K363">
        <f>IF(ISNUMBER(B363),INT(B363),0)</f>
        <v/>
      </c>
      <c r="L363">
        <f>IF(AND(ISNUMBER(D363),N(D363)&gt;0),K363,0)</f>
        <v/>
      </c>
    </row>
    <row r="364">
      <c r="A364" s="1" t="n"/>
      <c r="B364" s="21" t="n"/>
      <c r="C364" s="22" t="n"/>
      <c r="D364" s="46" t="n"/>
      <c r="E364" s="25" t="n"/>
      <c r="F364" s="25" t="n"/>
      <c r="G364" s="17">
        <f>IF(AND(C364="",D364=""),"",IF(NOT(ISNUMBER(B364)),"Needs a date",IF(AND(D364&lt;&gt;"",NOT(ISNUMBER(D364))),"Hours not a number",IF(N(D364)&lt;=0,"Needs the hours",IF(C364="","Needs a name",IF(COUNTIF(Volunteers!$B$6:$B$105,C364)=0,"Not on Volunteers",""))))))</f>
        <v/>
      </c>
      <c r="H364" s="1" t="n"/>
      <c r="I364">
        <f>IF(ISNUMBER(B364),YEAR(B364),"")</f>
        <v/>
      </c>
      <c r="J364">
        <f>IF(ISNUMBER(B364),YEAR(B364)*100+MONTH(B364),"")</f>
        <v/>
      </c>
      <c r="K364">
        <f>IF(ISNUMBER(B364),INT(B364),0)</f>
        <v/>
      </c>
      <c r="L364">
        <f>IF(AND(ISNUMBER(D364),N(D364)&gt;0),K364,0)</f>
        <v/>
      </c>
    </row>
    <row r="365">
      <c r="A365" s="1" t="n"/>
      <c r="B365" s="21" t="n"/>
      <c r="C365" s="22" t="n"/>
      <c r="D365" s="46" t="n"/>
      <c r="E365" s="25" t="n"/>
      <c r="F365" s="25" t="n"/>
      <c r="G365" s="17">
        <f>IF(AND(C365="",D365=""),"",IF(NOT(ISNUMBER(B365)),"Needs a date",IF(AND(D365&lt;&gt;"",NOT(ISNUMBER(D365))),"Hours not a number",IF(N(D365)&lt;=0,"Needs the hours",IF(C365="","Needs a name",IF(COUNTIF(Volunteers!$B$6:$B$105,C365)=0,"Not on Volunteers",""))))))</f>
        <v/>
      </c>
      <c r="H365" s="1" t="n"/>
      <c r="I365">
        <f>IF(ISNUMBER(B365),YEAR(B365),"")</f>
        <v/>
      </c>
      <c r="J365">
        <f>IF(ISNUMBER(B365),YEAR(B365)*100+MONTH(B365),"")</f>
        <v/>
      </c>
      <c r="K365">
        <f>IF(ISNUMBER(B365),INT(B365),0)</f>
        <v/>
      </c>
      <c r="L365">
        <f>IF(AND(ISNUMBER(D365),N(D365)&gt;0),K365,0)</f>
        <v/>
      </c>
    </row>
    <row r="366">
      <c r="A366" s="1" t="n"/>
      <c r="B366" s="21" t="n"/>
      <c r="C366" s="22" t="n"/>
      <c r="D366" s="46" t="n"/>
      <c r="E366" s="25" t="n"/>
      <c r="F366" s="25" t="n"/>
      <c r="G366" s="17">
        <f>IF(AND(C366="",D366=""),"",IF(NOT(ISNUMBER(B366)),"Needs a date",IF(AND(D366&lt;&gt;"",NOT(ISNUMBER(D366))),"Hours not a number",IF(N(D366)&lt;=0,"Needs the hours",IF(C366="","Needs a name",IF(COUNTIF(Volunteers!$B$6:$B$105,C366)=0,"Not on Volunteers",""))))))</f>
        <v/>
      </c>
      <c r="H366" s="1" t="n"/>
      <c r="I366">
        <f>IF(ISNUMBER(B366),YEAR(B366),"")</f>
        <v/>
      </c>
      <c r="J366">
        <f>IF(ISNUMBER(B366),YEAR(B366)*100+MONTH(B366),"")</f>
        <v/>
      </c>
      <c r="K366">
        <f>IF(ISNUMBER(B366),INT(B366),0)</f>
        <v/>
      </c>
      <c r="L366">
        <f>IF(AND(ISNUMBER(D366),N(D366)&gt;0),K366,0)</f>
        <v/>
      </c>
    </row>
    <row r="367">
      <c r="A367" s="1" t="n"/>
      <c r="B367" s="21" t="n"/>
      <c r="C367" s="22" t="n"/>
      <c r="D367" s="46" t="n"/>
      <c r="E367" s="25" t="n"/>
      <c r="F367" s="25" t="n"/>
      <c r="G367" s="17">
        <f>IF(AND(C367="",D367=""),"",IF(NOT(ISNUMBER(B367)),"Needs a date",IF(AND(D367&lt;&gt;"",NOT(ISNUMBER(D367))),"Hours not a number",IF(N(D367)&lt;=0,"Needs the hours",IF(C367="","Needs a name",IF(COUNTIF(Volunteers!$B$6:$B$105,C367)=0,"Not on Volunteers",""))))))</f>
        <v/>
      </c>
      <c r="H367" s="1" t="n"/>
      <c r="I367">
        <f>IF(ISNUMBER(B367),YEAR(B367),"")</f>
        <v/>
      </c>
      <c r="J367">
        <f>IF(ISNUMBER(B367),YEAR(B367)*100+MONTH(B367),"")</f>
        <v/>
      </c>
      <c r="K367">
        <f>IF(ISNUMBER(B367),INT(B367),0)</f>
        <v/>
      </c>
      <c r="L367">
        <f>IF(AND(ISNUMBER(D367),N(D367)&gt;0),K367,0)</f>
        <v/>
      </c>
    </row>
    <row r="368">
      <c r="A368" s="1" t="n"/>
      <c r="B368" s="21" t="n"/>
      <c r="C368" s="22" t="n"/>
      <c r="D368" s="46" t="n"/>
      <c r="E368" s="25" t="n"/>
      <c r="F368" s="25" t="n"/>
      <c r="G368" s="17">
        <f>IF(AND(C368="",D368=""),"",IF(NOT(ISNUMBER(B368)),"Needs a date",IF(AND(D368&lt;&gt;"",NOT(ISNUMBER(D368))),"Hours not a number",IF(N(D368)&lt;=0,"Needs the hours",IF(C368="","Needs a name",IF(COUNTIF(Volunteers!$B$6:$B$105,C368)=0,"Not on Volunteers",""))))))</f>
        <v/>
      </c>
      <c r="H368" s="1" t="n"/>
      <c r="I368">
        <f>IF(ISNUMBER(B368),YEAR(B368),"")</f>
        <v/>
      </c>
      <c r="J368">
        <f>IF(ISNUMBER(B368),YEAR(B368)*100+MONTH(B368),"")</f>
        <v/>
      </c>
      <c r="K368">
        <f>IF(ISNUMBER(B368),INT(B368),0)</f>
        <v/>
      </c>
      <c r="L368">
        <f>IF(AND(ISNUMBER(D368),N(D368)&gt;0),K368,0)</f>
        <v/>
      </c>
    </row>
    <row r="369">
      <c r="A369" s="1" t="n"/>
      <c r="B369" s="21" t="n"/>
      <c r="C369" s="22" t="n"/>
      <c r="D369" s="46" t="n"/>
      <c r="E369" s="25" t="n"/>
      <c r="F369" s="25" t="n"/>
      <c r="G369" s="17">
        <f>IF(AND(C369="",D369=""),"",IF(NOT(ISNUMBER(B369)),"Needs a date",IF(AND(D369&lt;&gt;"",NOT(ISNUMBER(D369))),"Hours not a number",IF(N(D369)&lt;=0,"Needs the hours",IF(C369="","Needs a name",IF(COUNTIF(Volunteers!$B$6:$B$105,C369)=0,"Not on Volunteers",""))))))</f>
        <v/>
      </c>
      <c r="H369" s="1" t="n"/>
      <c r="I369">
        <f>IF(ISNUMBER(B369),YEAR(B369),"")</f>
        <v/>
      </c>
      <c r="J369">
        <f>IF(ISNUMBER(B369),YEAR(B369)*100+MONTH(B369),"")</f>
        <v/>
      </c>
      <c r="K369">
        <f>IF(ISNUMBER(B369),INT(B369),0)</f>
        <v/>
      </c>
      <c r="L369">
        <f>IF(AND(ISNUMBER(D369),N(D369)&gt;0),K369,0)</f>
        <v/>
      </c>
    </row>
    <row r="370">
      <c r="A370" s="1" t="n"/>
      <c r="B370" s="21" t="n"/>
      <c r="C370" s="22" t="n"/>
      <c r="D370" s="46" t="n"/>
      <c r="E370" s="25" t="n"/>
      <c r="F370" s="25" t="n"/>
      <c r="G370" s="17">
        <f>IF(AND(C370="",D370=""),"",IF(NOT(ISNUMBER(B370)),"Needs a date",IF(AND(D370&lt;&gt;"",NOT(ISNUMBER(D370))),"Hours not a number",IF(N(D370)&lt;=0,"Needs the hours",IF(C370="","Needs a name",IF(COUNTIF(Volunteers!$B$6:$B$105,C370)=0,"Not on Volunteers",""))))))</f>
        <v/>
      </c>
      <c r="H370" s="1" t="n"/>
      <c r="I370">
        <f>IF(ISNUMBER(B370),YEAR(B370),"")</f>
        <v/>
      </c>
      <c r="J370">
        <f>IF(ISNUMBER(B370),YEAR(B370)*100+MONTH(B370),"")</f>
        <v/>
      </c>
      <c r="K370">
        <f>IF(ISNUMBER(B370),INT(B370),0)</f>
        <v/>
      </c>
      <c r="L370">
        <f>IF(AND(ISNUMBER(D370),N(D370)&gt;0),K370,0)</f>
        <v/>
      </c>
    </row>
    <row r="371">
      <c r="A371" s="1" t="n"/>
      <c r="B371" s="21" t="n"/>
      <c r="C371" s="22" t="n"/>
      <c r="D371" s="46" t="n"/>
      <c r="E371" s="25" t="n"/>
      <c r="F371" s="25" t="n"/>
      <c r="G371" s="17">
        <f>IF(AND(C371="",D371=""),"",IF(NOT(ISNUMBER(B371)),"Needs a date",IF(AND(D371&lt;&gt;"",NOT(ISNUMBER(D371))),"Hours not a number",IF(N(D371)&lt;=0,"Needs the hours",IF(C371="","Needs a name",IF(COUNTIF(Volunteers!$B$6:$B$105,C371)=0,"Not on Volunteers",""))))))</f>
        <v/>
      </c>
      <c r="H371" s="1" t="n"/>
      <c r="I371">
        <f>IF(ISNUMBER(B371),YEAR(B371),"")</f>
        <v/>
      </c>
      <c r="J371">
        <f>IF(ISNUMBER(B371),YEAR(B371)*100+MONTH(B371),"")</f>
        <v/>
      </c>
      <c r="K371">
        <f>IF(ISNUMBER(B371),INT(B371),0)</f>
        <v/>
      </c>
      <c r="L371">
        <f>IF(AND(ISNUMBER(D371),N(D371)&gt;0),K371,0)</f>
        <v/>
      </c>
    </row>
    <row r="372">
      <c r="A372" s="1" t="n"/>
      <c r="B372" s="21" t="n"/>
      <c r="C372" s="22" t="n"/>
      <c r="D372" s="46" t="n"/>
      <c r="E372" s="25" t="n"/>
      <c r="F372" s="25" t="n"/>
      <c r="G372" s="17">
        <f>IF(AND(C372="",D372=""),"",IF(NOT(ISNUMBER(B372)),"Needs a date",IF(AND(D372&lt;&gt;"",NOT(ISNUMBER(D372))),"Hours not a number",IF(N(D372)&lt;=0,"Needs the hours",IF(C372="","Needs a name",IF(COUNTIF(Volunteers!$B$6:$B$105,C372)=0,"Not on Volunteers",""))))))</f>
        <v/>
      </c>
      <c r="H372" s="1" t="n"/>
      <c r="I372">
        <f>IF(ISNUMBER(B372),YEAR(B372),"")</f>
        <v/>
      </c>
      <c r="J372">
        <f>IF(ISNUMBER(B372),YEAR(B372)*100+MONTH(B372),"")</f>
        <v/>
      </c>
      <c r="K372">
        <f>IF(ISNUMBER(B372),INT(B372),0)</f>
        <v/>
      </c>
      <c r="L372">
        <f>IF(AND(ISNUMBER(D372),N(D372)&gt;0),K372,0)</f>
        <v/>
      </c>
    </row>
    <row r="373">
      <c r="A373" s="1" t="n"/>
      <c r="B373" s="21" t="n"/>
      <c r="C373" s="22" t="n"/>
      <c r="D373" s="46" t="n"/>
      <c r="E373" s="25" t="n"/>
      <c r="F373" s="25" t="n"/>
      <c r="G373" s="17">
        <f>IF(AND(C373="",D373=""),"",IF(NOT(ISNUMBER(B373)),"Needs a date",IF(AND(D373&lt;&gt;"",NOT(ISNUMBER(D373))),"Hours not a number",IF(N(D373)&lt;=0,"Needs the hours",IF(C373="","Needs a name",IF(COUNTIF(Volunteers!$B$6:$B$105,C373)=0,"Not on Volunteers",""))))))</f>
        <v/>
      </c>
      <c r="H373" s="1" t="n"/>
      <c r="I373">
        <f>IF(ISNUMBER(B373),YEAR(B373),"")</f>
        <v/>
      </c>
      <c r="J373">
        <f>IF(ISNUMBER(B373),YEAR(B373)*100+MONTH(B373),"")</f>
        <v/>
      </c>
      <c r="K373">
        <f>IF(ISNUMBER(B373),INT(B373),0)</f>
        <v/>
      </c>
      <c r="L373">
        <f>IF(AND(ISNUMBER(D373),N(D373)&gt;0),K373,0)</f>
        <v/>
      </c>
    </row>
    <row r="374">
      <c r="A374" s="1" t="n"/>
      <c r="B374" s="21" t="n"/>
      <c r="C374" s="22" t="n"/>
      <c r="D374" s="46" t="n"/>
      <c r="E374" s="25" t="n"/>
      <c r="F374" s="25" t="n"/>
      <c r="G374" s="17">
        <f>IF(AND(C374="",D374=""),"",IF(NOT(ISNUMBER(B374)),"Needs a date",IF(AND(D374&lt;&gt;"",NOT(ISNUMBER(D374))),"Hours not a number",IF(N(D374)&lt;=0,"Needs the hours",IF(C374="","Needs a name",IF(COUNTIF(Volunteers!$B$6:$B$105,C374)=0,"Not on Volunteers",""))))))</f>
        <v/>
      </c>
      <c r="H374" s="1" t="n"/>
      <c r="I374">
        <f>IF(ISNUMBER(B374),YEAR(B374),"")</f>
        <v/>
      </c>
      <c r="J374">
        <f>IF(ISNUMBER(B374),YEAR(B374)*100+MONTH(B374),"")</f>
        <v/>
      </c>
      <c r="K374">
        <f>IF(ISNUMBER(B374),INT(B374),0)</f>
        <v/>
      </c>
      <c r="L374">
        <f>IF(AND(ISNUMBER(D374),N(D374)&gt;0),K374,0)</f>
        <v/>
      </c>
    </row>
    <row r="375">
      <c r="A375" s="1" t="n"/>
      <c r="B375" s="21" t="n"/>
      <c r="C375" s="22" t="n"/>
      <c r="D375" s="46" t="n"/>
      <c r="E375" s="25" t="n"/>
      <c r="F375" s="25" t="n"/>
      <c r="G375" s="17">
        <f>IF(AND(C375="",D375=""),"",IF(NOT(ISNUMBER(B375)),"Needs a date",IF(AND(D375&lt;&gt;"",NOT(ISNUMBER(D375))),"Hours not a number",IF(N(D375)&lt;=0,"Needs the hours",IF(C375="","Needs a name",IF(COUNTIF(Volunteers!$B$6:$B$105,C375)=0,"Not on Volunteers",""))))))</f>
        <v/>
      </c>
      <c r="H375" s="1" t="n"/>
      <c r="I375">
        <f>IF(ISNUMBER(B375),YEAR(B375),"")</f>
        <v/>
      </c>
      <c r="J375">
        <f>IF(ISNUMBER(B375),YEAR(B375)*100+MONTH(B375),"")</f>
        <v/>
      </c>
      <c r="K375">
        <f>IF(ISNUMBER(B375),INT(B375),0)</f>
        <v/>
      </c>
      <c r="L375">
        <f>IF(AND(ISNUMBER(D375),N(D375)&gt;0),K375,0)</f>
        <v/>
      </c>
    </row>
    <row r="376">
      <c r="A376" s="1" t="n"/>
      <c r="B376" s="21" t="n"/>
      <c r="C376" s="22" t="n"/>
      <c r="D376" s="46" t="n"/>
      <c r="E376" s="25" t="n"/>
      <c r="F376" s="25" t="n"/>
      <c r="G376" s="17">
        <f>IF(AND(C376="",D376=""),"",IF(NOT(ISNUMBER(B376)),"Needs a date",IF(AND(D376&lt;&gt;"",NOT(ISNUMBER(D376))),"Hours not a number",IF(N(D376)&lt;=0,"Needs the hours",IF(C376="","Needs a name",IF(COUNTIF(Volunteers!$B$6:$B$105,C376)=0,"Not on Volunteers",""))))))</f>
        <v/>
      </c>
      <c r="H376" s="1" t="n"/>
      <c r="I376">
        <f>IF(ISNUMBER(B376),YEAR(B376),"")</f>
        <v/>
      </c>
      <c r="J376">
        <f>IF(ISNUMBER(B376),YEAR(B376)*100+MONTH(B376),"")</f>
        <v/>
      </c>
      <c r="K376">
        <f>IF(ISNUMBER(B376),INT(B376),0)</f>
        <v/>
      </c>
      <c r="L376">
        <f>IF(AND(ISNUMBER(D376),N(D376)&gt;0),K376,0)</f>
        <v/>
      </c>
    </row>
    <row r="377">
      <c r="A377" s="1" t="n"/>
      <c r="B377" s="21" t="n"/>
      <c r="C377" s="22" t="n"/>
      <c r="D377" s="46" t="n"/>
      <c r="E377" s="25" t="n"/>
      <c r="F377" s="25" t="n"/>
      <c r="G377" s="17">
        <f>IF(AND(C377="",D377=""),"",IF(NOT(ISNUMBER(B377)),"Needs a date",IF(AND(D377&lt;&gt;"",NOT(ISNUMBER(D377))),"Hours not a number",IF(N(D377)&lt;=0,"Needs the hours",IF(C377="","Needs a name",IF(COUNTIF(Volunteers!$B$6:$B$105,C377)=0,"Not on Volunteers",""))))))</f>
        <v/>
      </c>
      <c r="H377" s="1" t="n"/>
      <c r="I377">
        <f>IF(ISNUMBER(B377),YEAR(B377),"")</f>
        <v/>
      </c>
      <c r="J377">
        <f>IF(ISNUMBER(B377),YEAR(B377)*100+MONTH(B377),"")</f>
        <v/>
      </c>
      <c r="K377">
        <f>IF(ISNUMBER(B377),INT(B377),0)</f>
        <v/>
      </c>
      <c r="L377">
        <f>IF(AND(ISNUMBER(D377),N(D377)&gt;0),K377,0)</f>
        <v/>
      </c>
    </row>
    <row r="378">
      <c r="A378" s="1" t="n"/>
      <c r="B378" s="21" t="n"/>
      <c r="C378" s="22" t="n"/>
      <c r="D378" s="46" t="n"/>
      <c r="E378" s="25" t="n"/>
      <c r="F378" s="25" t="n"/>
      <c r="G378" s="17">
        <f>IF(AND(C378="",D378=""),"",IF(NOT(ISNUMBER(B378)),"Needs a date",IF(AND(D378&lt;&gt;"",NOT(ISNUMBER(D378))),"Hours not a number",IF(N(D378)&lt;=0,"Needs the hours",IF(C378="","Needs a name",IF(COUNTIF(Volunteers!$B$6:$B$105,C378)=0,"Not on Volunteers",""))))))</f>
        <v/>
      </c>
      <c r="H378" s="1" t="n"/>
      <c r="I378">
        <f>IF(ISNUMBER(B378),YEAR(B378),"")</f>
        <v/>
      </c>
      <c r="J378">
        <f>IF(ISNUMBER(B378),YEAR(B378)*100+MONTH(B378),"")</f>
        <v/>
      </c>
      <c r="K378">
        <f>IF(ISNUMBER(B378),INT(B378),0)</f>
        <v/>
      </c>
      <c r="L378">
        <f>IF(AND(ISNUMBER(D378),N(D378)&gt;0),K378,0)</f>
        <v/>
      </c>
    </row>
    <row r="379">
      <c r="A379" s="1" t="n"/>
      <c r="B379" s="21" t="n"/>
      <c r="C379" s="22" t="n"/>
      <c r="D379" s="46" t="n"/>
      <c r="E379" s="25" t="n"/>
      <c r="F379" s="25" t="n"/>
      <c r="G379" s="17">
        <f>IF(AND(C379="",D379=""),"",IF(NOT(ISNUMBER(B379)),"Needs a date",IF(AND(D379&lt;&gt;"",NOT(ISNUMBER(D379))),"Hours not a number",IF(N(D379)&lt;=0,"Needs the hours",IF(C379="","Needs a name",IF(COUNTIF(Volunteers!$B$6:$B$105,C379)=0,"Not on Volunteers",""))))))</f>
        <v/>
      </c>
      <c r="H379" s="1" t="n"/>
      <c r="I379">
        <f>IF(ISNUMBER(B379),YEAR(B379),"")</f>
        <v/>
      </c>
      <c r="J379">
        <f>IF(ISNUMBER(B379),YEAR(B379)*100+MONTH(B379),"")</f>
        <v/>
      </c>
      <c r="K379">
        <f>IF(ISNUMBER(B379),INT(B379),0)</f>
        <v/>
      </c>
      <c r="L379">
        <f>IF(AND(ISNUMBER(D379),N(D379)&gt;0),K379,0)</f>
        <v/>
      </c>
    </row>
    <row r="380">
      <c r="A380" s="1" t="n"/>
      <c r="B380" s="21" t="n"/>
      <c r="C380" s="22" t="n"/>
      <c r="D380" s="46" t="n"/>
      <c r="E380" s="25" t="n"/>
      <c r="F380" s="25" t="n"/>
      <c r="G380" s="17">
        <f>IF(AND(C380="",D380=""),"",IF(NOT(ISNUMBER(B380)),"Needs a date",IF(AND(D380&lt;&gt;"",NOT(ISNUMBER(D380))),"Hours not a number",IF(N(D380)&lt;=0,"Needs the hours",IF(C380="","Needs a name",IF(COUNTIF(Volunteers!$B$6:$B$105,C380)=0,"Not on Volunteers",""))))))</f>
        <v/>
      </c>
      <c r="H380" s="1" t="n"/>
      <c r="I380">
        <f>IF(ISNUMBER(B380),YEAR(B380),"")</f>
        <v/>
      </c>
      <c r="J380">
        <f>IF(ISNUMBER(B380),YEAR(B380)*100+MONTH(B380),"")</f>
        <v/>
      </c>
      <c r="K380">
        <f>IF(ISNUMBER(B380),INT(B380),0)</f>
        <v/>
      </c>
      <c r="L380">
        <f>IF(AND(ISNUMBER(D380),N(D380)&gt;0),K380,0)</f>
        <v/>
      </c>
    </row>
    <row r="381">
      <c r="A381" s="1" t="n"/>
      <c r="B381" s="21" t="n"/>
      <c r="C381" s="22" t="n"/>
      <c r="D381" s="46" t="n"/>
      <c r="E381" s="25" t="n"/>
      <c r="F381" s="25" t="n"/>
      <c r="G381" s="17">
        <f>IF(AND(C381="",D381=""),"",IF(NOT(ISNUMBER(B381)),"Needs a date",IF(AND(D381&lt;&gt;"",NOT(ISNUMBER(D381))),"Hours not a number",IF(N(D381)&lt;=0,"Needs the hours",IF(C381="","Needs a name",IF(COUNTIF(Volunteers!$B$6:$B$105,C381)=0,"Not on Volunteers",""))))))</f>
        <v/>
      </c>
      <c r="H381" s="1" t="n"/>
      <c r="I381">
        <f>IF(ISNUMBER(B381),YEAR(B381),"")</f>
        <v/>
      </c>
      <c r="J381">
        <f>IF(ISNUMBER(B381),YEAR(B381)*100+MONTH(B381),"")</f>
        <v/>
      </c>
      <c r="K381">
        <f>IF(ISNUMBER(B381),INT(B381),0)</f>
        <v/>
      </c>
      <c r="L381">
        <f>IF(AND(ISNUMBER(D381),N(D381)&gt;0),K381,0)</f>
        <v/>
      </c>
    </row>
    <row r="382">
      <c r="A382" s="1" t="n"/>
      <c r="B382" s="21" t="n"/>
      <c r="C382" s="22" t="n"/>
      <c r="D382" s="46" t="n"/>
      <c r="E382" s="25" t="n"/>
      <c r="F382" s="25" t="n"/>
      <c r="G382" s="17">
        <f>IF(AND(C382="",D382=""),"",IF(NOT(ISNUMBER(B382)),"Needs a date",IF(AND(D382&lt;&gt;"",NOT(ISNUMBER(D382))),"Hours not a number",IF(N(D382)&lt;=0,"Needs the hours",IF(C382="","Needs a name",IF(COUNTIF(Volunteers!$B$6:$B$105,C382)=0,"Not on Volunteers",""))))))</f>
        <v/>
      </c>
      <c r="H382" s="1" t="n"/>
      <c r="I382">
        <f>IF(ISNUMBER(B382),YEAR(B382),"")</f>
        <v/>
      </c>
      <c r="J382">
        <f>IF(ISNUMBER(B382),YEAR(B382)*100+MONTH(B382),"")</f>
        <v/>
      </c>
      <c r="K382">
        <f>IF(ISNUMBER(B382),INT(B382),0)</f>
        <v/>
      </c>
      <c r="L382">
        <f>IF(AND(ISNUMBER(D382),N(D382)&gt;0),K382,0)</f>
        <v/>
      </c>
    </row>
    <row r="383">
      <c r="A383" s="1" t="n"/>
      <c r="B383" s="21" t="n"/>
      <c r="C383" s="22" t="n"/>
      <c r="D383" s="46" t="n"/>
      <c r="E383" s="25" t="n"/>
      <c r="F383" s="25" t="n"/>
      <c r="G383" s="17">
        <f>IF(AND(C383="",D383=""),"",IF(NOT(ISNUMBER(B383)),"Needs a date",IF(AND(D383&lt;&gt;"",NOT(ISNUMBER(D383))),"Hours not a number",IF(N(D383)&lt;=0,"Needs the hours",IF(C383="","Needs a name",IF(COUNTIF(Volunteers!$B$6:$B$105,C383)=0,"Not on Volunteers",""))))))</f>
        <v/>
      </c>
      <c r="H383" s="1" t="n"/>
      <c r="I383">
        <f>IF(ISNUMBER(B383),YEAR(B383),"")</f>
        <v/>
      </c>
      <c r="J383">
        <f>IF(ISNUMBER(B383),YEAR(B383)*100+MONTH(B383),"")</f>
        <v/>
      </c>
      <c r="K383">
        <f>IF(ISNUMBER(B383),INT(B383),0)</f>
        <v/>
      </c>
      <c r="L383">
        <f>IF(AND(ISNUMBER(D383),N(D383)&gt;0),K383,0)</f>
        <v/>
      </c>
    </row>
    <row r="384">
      <c r="A384" s="1" t="n"/>
      <c r="B384" s="21" t="n"/>
      <c r="C384" s="22" t="n"/>
      <c r="D384" s="46" t="n"/>
      <c r="E384" s="25" t="n"/>
      <c r="F384" s="25" t="n"/>
      <c r="G384" s="17">
        <f>IF(AND(C384="",D384=""),"",IF(NOT(ISNUMBER(B384)),"Needs a date",IF(AND(D384&lt;&gt;"",NOT(ISNUMBER(D384))),"Hours not a number",IF(N(D384)&lt;=0,"Needs the hours",IF(C384="","Needs a name",IF(COUNTIF(Volunteers!$B$6:$B$105,C384)=0,"Not on Volunteers",""))))))</f>
        <v/>
      </c>
      <c r="H384" s="1" t="n"/>
      <c r="I384">
        <f>IF(ISNUMBER(B384),YEAR(B384),"")</f>
        <v/>
      </c>
      <c r="J384">
        <f>IF(ISNUMBER(B384),YEAR(B384)*100+MONTH(B384),"")</f>
        <v/>
      </c>
      <c r="K384">
        <f>IF(ISNUMBER(B384),INT(B384),0)</f>
        <v/>
      </c>
      <c r="L384">
        <f>IF(AND(ISNUMBER(D384),N(D384)&gt;0),K384,0)</f>
        <v/>
      </c>
    </row>
    <row r="385">
      <c r="A385" s="1" t="n"/>
      <c r="B385" s="21" t="n"/>
      <c r="C385" s="22" t="n"/>
      <c r="D385" s="46" t="n"/>
      <c r="E385" s="25" t="n"/>
      <c r="F385" s="25" t="n"/>
      <c r="G385" s="17">
        <f>IF(AND(C385="",D385=""),"",IF(NOT(ISNUMBER(B385)),"Needs a date",IF(AND(D385&lt;&gt;"",NOT(ISNUMBER(D385))),"Hours not a number",IF(N(D385)&lt;=0,"Needs the hours",IF(C385="","Needs a name",IF(COUNTIF(Volunteers!$B$6:$B$105,C385)=0,"Not on Volunteers",""))))))</f>
        <v/>
      </c>
      <c r="H385" s="1" t="n"/>
      <c r="I385">
        <f>IF(ISNUMBER(B385),YEAR(B385),"")</f>
        <v/>
      </c>
      <c r="J385">
        <f>IF(ISNUMBER(B385),YEAR(B385)*100+MONTH(B385),"")</f>
        <v/>
      </c>
      <c r="K385">
        <f>IF(ISNUMBER(B385),INT(B385),0)</f>
        <v/>
      </c>
      <c r="L385">
        <f>IF(AND(ISNUMBER(D385),N(D385)&gt;0),K385,0)</f>
        <v/>
      </c>
    </row>
    <row r="386">
      <c r="A386" s="1" t="n"/>
      <c r="B386" s="21" t="n"/>
      <c r="C386" s="22" t="n"/>
      <c r="D386" s="46" t="n"/>
      <c r="E386" s="25" t="n"/>
      <c r="F386" s="25" t="n"/>
      <c r="G386" s="17">
        <f>IF(AND(C386="",D386=""),"",IF(NOT(ISNUMBER(B386)),"Needs a date",IF(AND(D386&lt;&gt;"",NOT(ISNUMBER(D386))),"Hours not a number",IF(N(D386)&lt;=0,"Needs the hours",IF(C386="","Needs a name",IF(COUNTIF(Volunteers!$B$6:$B$105,C386)=0,"Not on Volunteers",""))))))</f>
        <v/>
      </c>
      <c r="H386" s="1" t="n"/>
      <c r="I386">
        <f>IF(ISNUMBER(B386),YEAR(B386),"")</f>
        <v/>
      </c>
      <c r="J386">
        <f>IF(ISNUMBER(B386),YEAR(B386)*100+MONTH(B386),"")</f>
        <v/>
      </c>
      <c r="K386">
        <f>IF(ISNUMBER(B386),INT(B386),0)</f>
        <v/>
      </c>
      <c r="L386">
        <f>IF(AND(ISNUMBER(D386),N(D386)&gt;0),K386,0)</f>
        <v/>
      </c>
    </row>
    <row r="387">
      <c r="A387" s="1" t="n"/>
      <c r="B387" s="21" t="n"/>
      <c r="C387" s="22" t="n"/>
      <c r="D387" s="46" t="n"/>
      <c r="E387" s="25" t="n"/>
      <c r="F387" s="25" t="n"/>
      <c r="G387" s="17">
        <f>IF(AND(C387="",D387=""),"",IF(NOT(ISNUMBER(B387)),"Needs a date",IF(AND(D387&lt;&gt;"",NOT(ISNUMBER(D387))),"Hours not a number",IF(N(D387)&lt;=0,"Needs the hours",IF(C387="","Needs a name",IF(COUNTIF(Volunteers!$B$6:$B$105,C387)=0,"Not on Volunteers",""))))))</f>
        <v/>
      </c>
      <c r="H387" s="1" t="n"/>
      <c r="I387">
        <f>IF(ISNUMBER(B387),YEAR(B387),"")</f>
        <v/>
      </c>
      <c r="J387">
        <f>IF(ISNUMBER(B387),YEAR(B387)*100+MONTH(B387),"")</f>
        <v/>
      </c>
      <c r="K387">
        <f>IF(ISNUMBER(B387),INT(B387),0)</f>
        <v/>
      </c>
      <c r="L387">
        <f>IF(AND(ISNUMBER(D387),N(D387)&gt;0),K387,0)</f>
        <v/>
      </c>
    </row>
    <row r="388">
      <c r="A388" s="1" t="n"/>
      <c r="B388" s="21" t="n"/>
      <c r="C388" s="22" t="n"/>
      <c r="D388" s="46" t="n"/>
      <c r="E388" s="25" t="n"/>
      <c r="F388" s="25" t="n"/>
      <c r="G388" s="17">
        <f>IF(AND(C388="",D388=""),"",IF(NOT(ISNUMBER(B388)),"Needs a date",IF(AND(D388&lt;&gt;"",NOT(ISNUMBER(D388))),"Hours not a number",IF(N(D388)&lt;=0,"Needs the hours",IF(C388="","Needs a name",IF(COUNTIF(Volunteers!$B$6:$B$105,C388)=0,"Not on Volunteers",""))))))</f>
        <v/>
      </c>
      <c r="H388" s="1" t="n"/>
      <c r="I388">
        <f>IF(ISNUMBER(B388),YEAR(B388),"")</f>
        <v/>
      </c>
      <c r="J388">
        <f>IF(ISNUMBER(B388),YEAR(B388)*100+MONTH(B388),"")</f>
        <v/>
      </c>
      <c r="K388">
        <f>IF(ISNUMBER(B388),INT(B388),0)</f>
        <v/>
      </c>
      <c r="L388">
        <f>IF(AND(ISNUMBER(D388),N(D388)&gt;0),K388,0)</f>
        <v/>
      </c>
    </row>
    <row r="389">
      <c r="A389" s="1" t="n"/>
      <c r="B389" s="21" t="n"/>
      <c r="C389" s="22" t="n"/>
      <c r="D389" s="46" t="n"/>
      <c r="E389" s="25" t="n"/>
      <c r="F389" s="25" t="n"/>
      <c r="G389" s="17">
        <f>IF(AND(C389="",D389=""),"",IF(NOT(ISNUMBER(B389)),"Needs a date",IF(AND(D389&lt;&gt;"",NOT(ISNUMBER(D389))),"Hours not a number",IF(N(D389)&lt;=0,"Needs the hours",IF(C389="","Needs a name",IF(COUNTIF(Volunteers!$B$6:$B$105,C389)=0,"Not on Volunteers",""))))))</f>
        <v/>
      </c>
      <c r="H389" s="1" t="n"/>
      <c r="I389">
        <f>IF(ISNUMBER(B389),YEAR(B389),"")</f>
        <v/>
      </c>
      <c r="J389">
        <f>IF(ISNUMBER(B389),YEAR(B389)*100+MONTH(B389),"")</f>
        <v/>
      </c>
      <c r="K389">
        <f>IF(ISNUMBER(B389),INT(B389),0)</f>
        <v/>
      </c>
      <c r="L389">
        <f>IF(AND(ISNUMBER(D389),N(D389)&gt;0),K389,0)</f>
        <v/>
      </c>
    </row>
    <row r="390">
      <c r="A390" s="1" t="n"/>
      <c r="B390" s="21" t="n"/>
      <c r="C390" s="22" t="n"/>
      <c r="D390" s="46" t="n"/>
      <c r="E390" s="25" t="n"/>
      <c r="F390" s="25" t="n"/>
      <c r="G390" s="17">
        <f>IF(AND(C390="",D390=""),"",IF(NOT(ISNUMBER(B390)),"Needs a date",IF(AND(D390&lt;&gt;"",NOT(ISNUMBER(D390))),"Hours not a number",IF(N(D390)&lt;=0,"Needs the hours",IF(C390="","Needs a name",IF(COUNTIF(Volunteers!$B$6:$B$105,C390)=0,"Not on Volunteers",""))))))</f>
        <v/>
      </c>
      <c r="H390" s="1" t="n"/>
      <c r="I390">
        <f>IF(ISNUMBER(B390),YEAR(B390),"")</f>
        <v/>
      </c>
      <c r="J390">
        <f>IF(ISNUMBER(B390),YEAR(B390)*100+MONTH(B390),"")</f>
        <v/>
      </c>
      <c r="K390">
        <f>IF(ISNUMBER(B390),INT(B390),0)</f>
        <v/>
      </c>
      <c r="L390">
        <f>IF(AND(ISNUMBER(D390),N(D390)&gt;0),K390,0)</f>
        <v/>
      </c>
    </row>
    <row r="391">
      <c r="A391" s="1" t="n"/>
      <c r="B391" s="21" t="n"/>
      <c r="C391" s="22" t="n"/>
      <c r="D391" s="46" t="n"/>
      <c r="E391" s="25" t="n"/>
      <c r="F391" s="25" t="n"/>
      <c r="G391" s="17">
        <f>IF(AND(C391="",D391=""),"",IF(NOT(ISNUMBER(B391)),"Needs a date",IF(AND(D391&lt;&gt;"",NOT(ISNUMBER(D391))),"Hours not a number",IF(N(D391)&lt;=0,"Needs the hours",IF(C391="","Needs a name",IF(COUNTIF(Volunteers!$B$6:$B$105,C391)=0,"Not on Volunteers",""))))))</f>
        <v/>
      </c>
      <c r="H391" s="1" t="n"/>
      <c r="I391">
        <f>IF(ISNUMBER(B391),YEAR(B391),"")</f>
        <v/>
      </c>
      <c r="J391">
        <f>IF(ISNUMBER(B391),YEAR(B391)*100+MONTH(B391),"")</f>
        <v/>
      </c>
      <c r="K391">
        <f>IF(ISNUMBER(B391),INT(B391),0)</f>
        <v/>
      </c>
      <c r="L391">
        <f>IF(AND(ISNUMBER(D391),N(D391)&gt;0),K391,0)</f>
        <v/>
      </c>
    </row>
    <row r="392">
      <c r="A392" s="1" t="n"/>
      <c r="B392" s="21" t="n"/>
      <c r="C392" s="22" t="n"/>
      <c r="D392" s="46" t="n"/>
      <c r="E392" s="25" t="n"/>
      <c r="F392" s="25" t="n"/>
      <c r="G392" s="17">
        <f>IF(AND(C392="",D392=""),"",IF(NOT(ISNUMBER(B392)),"Needs a date",IF(AND(D392&lt;&gt;"",NOT(ISNUMBER(D392))),"Hours not a number",IF(N(D392)&lt;=0,"Needs the hours",IF(C392="","Needs a name",IF(COUNTIF(Volunteers!$B$6:$B$105,C392)=0,"Not on Volunteers",""))))))</f>
        <v/>
      </c>
      <c r="H392" s="1" t="n"/>
      <c r="I392">
        <f>IF(ISNUMBER(B392),YEAR(B392),"")</f>
        <v/>
      </c>
      <c r="J392">
        <f>IF(ISNUMBER(B392),YEAR(B392)*100+MONTH(B392),"")</f>
        <v/>
      </c>
      <c r="K392">
        <f>IF(ISNUMBER(B392),INT(B392),0)</f>
        <v/>
      </c>
      <c r="L392">
        <f>IF(AND(ISNUMBER(D392),N(D392)&gt;0),K392,0)</f>
        <v/>
      </c>
    </row>
    <row r="393">
      <c r="A393" s="1" t="n"/>
      <c r="B393" s="21" t="n"/>
      <c r="C393" s="22" t="n"/>
      <c r="D393" s="46" t="n"/>
      <c r="E393" s="25" t="n"/>
      <c r="F393" s="25" t="n"/>
      <c r="G393" s="17">
        <f>IF(AND(C393="",D393=""),"",IF(NOT(ISNUMBER(B393)),"Needs a date",IF(AND(D393&lt;&gt;"",NOT(ISNUMBER(D393))),"Hours not a number",IF(N(D393)&lt;=0,"Needs the hours",IF(C393="","Needs a name",IF(COUNTIF(Volunteers!$B$6:$B$105,C393)=0,"Not on Volunteers",""))))))</f>
        <v/>
      </c>
      <c r="H393" s="1" t="n"/>
      <c r="I393">
        <f>IF(ISNUMBER(B393),YEAR(B393),"")</f>
        <v/>
      </c>
      <c r="J393">
        <f>IF(ISNUMBER(B393),YEAR(B393)*100+MONTH(B393),"")</f>
        <v/>
      </c>
      <c r="K393">
        <f>IF(ISNUMBER(B393),INT(B393),0)</f>
        <v/>
      </c>
      <c r="L393">
        <f>IF(AND(ISNUMBER(D393),N(D393)&gt;0),K393,0)</f>
        <v/>
      </c>
    </row>
    <row r="394">
      <c r="A394" s="1" t="n"/>
      <c r="B394" s="21" t="n"/>
      <c r="C394" s="22" t="n"/>
      <c r="D394" s="46" t="n"/>
      <c r="E394" s="25" t="n"/>
      <c r="F394" s="25" t="n"/>
      <c r="G394" s="17">
        <f>IF(AND(C394="",D394=""),"",IF(NOT(ISNUMBER(B394)),"Needs a date",IF(AND(D394&lt;&gt;"",NOT(ISNUMBER(D394))),"Hours not a number",IF(N(D394)&lt;=0,"Needs the hours",IF(C394="","Needs a name",IF(COUNTIF(Volunteers!$B$6:$B$105,C394)=0,"Not on Volunteers",""))))))</f>
        <v/>
      </c>
      <c r="H394" s="1" t="n"/>
      <c r="I394">
        <f>IF(ISNUMBER(B394),YEAR(B394),"")</f>
        <v/>
      </c>
      <c r="J394">
        <f>IF(ISNUMBER(B394),YEAR(B394)*100+MONTH(B394),"")</f>
        <v/>
      </c>
      <c r="K394">
        <f>IF(ISNUMBER(B394),INT(B394),0)</f>
        <v/>
      </c>
      <c r="L394">
        <f>IF(AND(ISNUMBER(D394),N(D394)&gt;0),K394,0)</f>
        <v/>
      </c>
    </row>
    <row r="395">
      <c r="A395" s="1" t="n"/>
      <c r="B395" s="21" t="n"/>
      <c r="C395" s="22" t="n"/>
      <c r="D395" s="46" t="n"/>
      <c r="E395" s="25" t="n"/>
      <c r="F395" s="25" t="n"/>
      <c r="G395" s="17">
        <f>IF(AND(C395="",D395=""),"",IF(NOT(ISNUMBER(B395)),"Needs a date",IF(AND(D395&lt;&gt;"",NOT(ISNUMBER(D395))),"Hours not a number",IF(N(D395)&lt;=0,"Needs the hours",IF(C395="","Needs a name",IF(COUNTIF(Volunteers!$B$6:$B$105,C395)=0,"Not on Volunteers",""))))))</f>
        <v/>
      </c>
      <c r="H395" s="1" t="n"/>
      <c r="I395">
        <f>IF(ISNUMBER(B395),YEAR(B395),"")</f>
        <v/>
      </c>
      <c r="J395">
        <f>IF(ISNUMBER(B395),YEAR(B395)*100+MONTH(B395),"")</f>
        <v/>
      </c>
      <c r="K395">
        <f>IF(ISNUMBER(B395),INT(B395),0)</f>
        <v/>
      </c>
      <c r="L395">
        <f>IF(AND(ISNUMBER(D395),N(D395)&gt;0),K395,0)</f>
        <v/>
      </c>
    </row>
    <row r="396">
      <c r="A396" s="1" t="n"/>
      <c r="B396" s="21" t="n"/>
      <c r="C396" s="22" t="n"/>
      <c r="D396" s="46" t="n"/>
      <c r="E396" s="25" t="n"/>
      <c r="F396" s="25" t="n"/>
      <c r="G396" s="17">
        <f>IF(AND(C396="",D396=""),"",IF(NOT(ISNUMBER(B396)),"Needs a date",IF(AND(D396&lt;&gt;"",NOT(ISNUMBER(D396))),"Hours not a number",IF(N(D396)&lt;=0,"Needs the hours",IF(C396="","Needs a name",IF(COUNTIF(Volunteers!$B$6:$B$105,C396)=0,"Not on Volunteers",""))))))</f>
        <v/>
      </c>
      <c r="H396" s="1" t="n"/>
      <c r="I396">
        <f>IF(ISNUMBER(B396),YEAR(B396),"")</f>
        <v/>
      </c>
      <c r="J396">
        <f>IF(ISNUMBER(B396),YEAR(B396)*100+MONTH(B396),"")</f>
        <v/>
      </c>
      <c r="K396">
        <f>IF(ISNUMBER(B396),INT(B396),0)</f>
        <v/>
      </c>
      <c r="L396">
        <f>IF(AND(ISNUMBER(D396),N(D396)&gt;0),K396,0)</f>
        <v/>
      </c>
    </row>
    <row r="397">
      <c r="A397" s="1" t="n"/>
      <c r="B397" s="21" t="n"/>
      <c r="C397" s="22" t="n"/>
      <c r="D397" s="46" t="n"/>
      <c r="E397" s="25" t="n"/>
      <c r="F397" s="25" t="n"/>
      <c r="G397" s="17">
        <f>IF(AND(C397="",D397=""),"",IF(NOT(ISNUMBER(B397)),"Needs a date",IF(AND(D397&lt;&gt;"",NOT(ISNUMBER(D397))),"Hours not a number",IF(N(D397)&lt;=0,"Needs the hours",IF(C397="","Needs a name",IF(COUNTIF(Volunteers!$B$6:$B$105,C397)=0,"Not on Volunteers",""))))))</f>
        <v/>
      </c>
      <c r="H397" s="1" t="n"/>
      <c r="I397">
        <f>IF(ISNUMBER(B397),YEAR(B397),"")</f>
        <v/>
      </c>
      <c r="J397">
        <f>IF(ISNUMBER(B397),YEAR(B397)*100+MONTH(B397),"")</f>
        <v/>
      </c>
      <c r="K397">
        <f>IF(ISNUMBER(B397),INT(B397),0)</f>
        <v/>
      </c>
      <c r="L397">
        <f>IF(AND(ISNUMBER(D397),N(D397)&gt;0),K397,0)</f>
        <v/>
      </c>
    </row>
    <row r="398">
      <c r="A398" s="1" t="n"/>
      <c r="B398" s="21" t="n"/>
      <c r="C398" s="22" t="n"/>
      <c r="D398" s="46" t="n"/>
      <c r="E398" s="25" t="n"/>
      <c r="F398" s="25" t="n"/>
      <c r="G398" s="17">
        <f>IF(AND(C398="",D398=""),"",IF(NOT(ISNUMBER(B398)),"Needs a date",IF(AND(D398&lt;&gt;"",NOT(ISNUMBER(D398))),"Hours not a number",IF(N(D398)&lt;=0,"Needs the hours",IF(C398="","Needs a name",IF(COUNTIF(Volunteers!$B$6:$B$105,C398)=0,"Not on Volunteers",""))))))</f>
        <v/>
      </c>
      <c r="H398" s="1" t="n"/>
      <c r="I398">
        <f>IF(ISNUMBER(B398),YEAR(B398),"")</f>
        <v/>
      </c>
      <c r="J398">
        <f>IF(ISNUMBER(B398),YEAR(B398)*100+MONTH(B398),"")</f>
        <v/>
      </c>
      <c r="K398">
        <f>IF(ISNUMBER(B398),INT(B398),0)</f>
        <v/>
      </c>
      <c r="L398">
        <f>IF(AND(ISNUMBER(D398),N(D398)&gt;0),K398,0)</f>
        <v/>
      </c>
    </row>
    <row r="399">
      <c r="A399" s="1" t="n"/>
      <c r="B399" s="21" t="n"/>
      <c r="C399" s="22" t="n"/>
      <c r="D399" s="46" t="n"/>
      <c r="E399" s="25" t="n"/>
      <c r="F399" s="25" t="n"/>
      <c r="G399" s="17">
        <f>IF(AND(C399="",D399=""),"",IF(NOT(ISNUMBER(B399)),"Needs a date",IF(AND(D399&lt;&gt;"",NOT(ISNUMBER(D399))),"Hours not a number",IF(N(D399)&lt;=0,"Needs the hours",IF(C399="","Needs a name",IF(COUNTIF(Volunteers!$B$6:$B$105,C399)=0,"Not on Volunteers",""))))))</f>
        <v/>
      </c>
      <c r="H399" s="1" t="n"/>
      <c r="I399">
        <f>IF(ISNUMBER(B399),YEAR(B399),"")</f>
        <v/>
      </c>
      <c r="J399">
        <f>IF(ISNUMBER(B399),YEAR(B399)*100+MONTH(B399),"")</f>
        <v/>
      </c>
      <c r="K399">
        <f>IF(ISNUMBER(B399),INT(B399),0)</f>
        <v/>
      </c>
      <c r="L399">
        <f>IF(AND(ISNUMBER(D399),N(D399)&gt;0),K399,0)</f>
        <v/>
      </c>
    </row>
    <row r="400">
      <c r="A400" s="1" t="n"/>
      <c r="B400" s="21" t="n"/>
      <c r="C400" s="22" t="n"/>
      <c r="D400" s="46" t="n"/>
      <c r="E400" s="25" t="n"/>
      <c r="F400" s="25" t="n"/>
      <c r="G400" s="17">
        <f>IF(AND(C400="",D400=""),"",IF(NOT(ISNUMBER(B400)),"Needs a date",IF(AND(D400&lt;&gt;"",NOT(ISNUMBER(D400))),"Hours not a number",IF(N(D400)&lt;=0,"Needs the hours",IF(C400="","Needs a name",IF(COUNTIF(Volunteers!$B$6:$B$105,C400)=0,"Not on Volunteers",""))))))</f>
        <v/>
      </c>
      <c r="H400" s="1" t="n"/>
      <c r="I400">
        <f>IF(ISNUMBER(B400),YEAR(B400),"")</f>
        <v/>
      </c>
      <c r="J400">
        <f>IF(ISNUMBER(B400),YEAR(B400)*100+MONTH(B400),"")</f>
        <v/>
      </c>
      <c r="K400">
        <f>IF(ISNUMBER(B400),INT(B400),0)</f>
        <v/>
      </c>
      <c r="L400">
        <f>IF(AND(ISNUMBER(D400),N(D400)&gt;0),K400,0)</f>
        <v/>
      </c>
    </row>
    <row r="401">
      <c r="A401" s="1" t="n"/>
      <c r="B401" s="21" t="n"/>
      <c r="C401" s="22" t="n"/>
      <c r="D401" s="46" t="n"/>
      <c r="E401" s="25" t="n"/>
      <c r="F401" s="25" t="n"/>
      <c r="G401" s="17">
        <f>IF(AND(C401="",D401=""),"",IF(NOT(ISNUMBER(B401)),"Needs a date",IF(AND(D401&lt;&gt;"",NOT(ISNUMBER(D401))),"Hours not a number",IF(N(D401)&lt;=0,"Needs the hours",IF(C401="","Needs a name",IF(COUNTIF(Volunteers!$B$6:$B$105,C401)=0,"Not on Volunteers",""))))))</f>
        <v/>
      </c>
      <c r="H401" s="1" t="n"/>
      <c r="I401">
        <f>IF(ISNUMBER(B401),YEAR(B401),"")</f>
        <v/>
      </c>
      <c r="J401">
        <f>IF(ISNUMBER(B401),YEAR(B401)*100+MONTH(B401),"")</f>
        <v/>
      </c>
      <c r="K401">
        <f>IF(ISNUMBER(B401),INT(B401),0)</f>
        <v/>
      </c>
      <c r="L401">
        <f>IF(AND(ISNUMBER(D401),N(D401)&gt;0),K401,0)</f>
        <v/>
      </c>
    </row>
    <row r="402">
      <c r="A402" s="1" t="n"/>
      <c r="B402" s="21" t="n"/>
      <c r="C402" s="22" t="n"/>
      <c r="D402" s="46" t="n"/>
      <c r="E402" s="25" t="n"/>
      <c r="F402" s="25" t="n"/>
      <c r="G402" s="17">
        <f>IF(AND(C402="",D402=""),"",IF(NOT(ISNUMBER(B402)),"Needs a date",IF(AND(D402&lt;&gt;"",NOT(ISNUMBER(D402))),"Hours not a number",IF(N(D402)&lt;=0,"Needs the hours",IF(C402="","Needs a name",IF(COUNTIF(Volunteers!$B$6:$B$105,C402)=0,"Not on Volunteers",""))))))</f>
        <v/>
      </c>
      <c r="H402" s="1" t="n"/>
      <c r="I402">
        <f>IF(ISNUMBER(B402),YEAR(B402),"")</f>
        <v/>
      </c>
      <c r="J402">
        <f>IF(ISNUMBER(B402),YEAR(B402)*100+MONTH(B402),"")</f>
        <v/>
      </c>
      <c r="K402">
        <f>IF(ISNUMBER(B402),INT(B402),0)</f>
        <v/>
      </c>
      <c r="L402">
        <f>IF(AND(ISNUMBER(D402),N(D402)&gt;0),K402,0)</f>
        <v/>
      </c>
    </row>
    <row r="403">
      <c r="A403" s="1" t="n"/>
      <c r="B403" s="21" t="n"/>
      <c r="C403" s="22" t="n"/>
      <c r="D403" s="46" t="n"/>
      <c r="E403" s="25" t="n"/>
      <c r="F403" s="25" t="n"/>
      <c r="G403" s="17">
        <f>IF(AND(C403="",D403=""),"",IF(NOT(ISNUMBER(B403)),"Needs a date",IF(AND(D403&lt;&gt;"",NOT(ISNUMBER(D403))),"Hours not a number",IF(N(D403)&lt;=0,"Needs the hours",IF(C403="","Needs a name",IF(COUNTIF(Volunteers!$B$6:$B$105,C403)=0,"Not on Volunteers",""))))))</f>
        <v/>
      </c>
      <c r="H403" s="1" t="n"/>
      <c r="I403">
        <f>IF(ISNUMBER(B403),YEAR(B403),"")</f>
        <v/>
      </c>
      <c r="J403">
        <f>IF(ISNUMBER(B403),YEAR(B403)*100+MONTH(B403),"")</f>
        <v/>
      </c>
      <c r="K403">
        <f>IF(ISNUMBER(B403),INT(B403),0)</f>
        <v/>
      </c>
      <c r="L403">
        <f>IF(AND(ISNUMBER(D403),N(D403)&gt;0),K403,0)</f>
        <v/>
      </c>
    </row>
    <row r="404">
      <c r="A404" s="1" t="n"/>
      <c r="B404" s="21" t="n"/>
      <c r="C404" s="22" t="n"/>
      <c r="D404" s="46" t="n"/>
      <c r="E404" s="25" t="n"/>
      <c r="F404" s="25" t="n"/>
      <c r="G404" s="17">
        <f>IF(AND(C404="",D404=""),"",IF(NOT(ISNUMBER(B404)),"Needs a date",IF(AND(D404&lt;&gt;"",NOT(ISNUMBER(D404))),"Hours not a number",IF(N(D404)&lt;=0,"Needs the hours",IF(C404="","Needs a name",IF(COUNTIF(Volunteers!$B$6:$B$105,C404)=0,"Not on Volunteers",""))))))</f>
        <v/>
      </c>
      <c r="H404" s="1" t="n"/>
      <c r="I404">
        <f>IF(ISNUMBER(B404),YEAR(B404),"")</f>
        <v/>
      </c>
      <c r="J404">
        <f>IF(ISNUMBER(B404),YEAR(B404)*100+MONTH(B404),"")</f>
        <v/>
      </c>
      <c r="K404">
        <f>IF(ISNUMBER(B404),INT(B404),0)</f>
        <v/>
      </c>
      <c r="L404">
        <f>IF(AND(ISNUMBER(D404),N(D404)&gt;0),K404,0)</f>
        <v/>
      </c>
    </row>
    <row r="405">
      <c r="A405" s="1" t="n"/>
      <c r="B405" s="21" t="n"/>
      <c r="C405" s="22" t="n"/>
      <c r="D405" s="46" t="n"/>
      <c r="E405" s="25" t="n"/>
      <c r="F405" s="25" t="n"/>
      <c r="G405" s="17">
        <f>IF(AND(C405="",D405=""),"",IF(NOT(ISNUMBER(B405)),"Needs a date",IF(AND(D405&lt;&gt;"",NOT(ISNUMBER(D405))),"Hours not a number",IF(N(D405)&lt;=0,"Needs the hours",IF(C405="","Needs a name",IF(COUNTIF(Volunteers!$B$6:$B$105,C405)=0,"Not on Volunteers",""))))))</f>
        <v/>
      </c>
      <c r="H405" s="1" t="n"/>
      <c r="I405">
        <f>IF(ISNUMBER(B405),YEAR(B405),"")</f>
        <v/>
      </c>
      <c r="J405">
        <f>IF(ISNUMBER(B405),YEAR(B405)*100+MONTH(B405),"")</f>
        <v/>
      </c>
      <c r="K405">
        <f>IF(ISNUMBER(B405),INT(B405),0)</f>
        <v/>
      </c>
      <c r="L405">
        <f>IF(AND(ISNUMBER(D405),N(D405)&gt;0),K405,0)</f>
        <v/>
      </c>
    </row>
    <row r="406">
      <c r="A406" s="1" t="n"/>
      <c r="B406" s="21" t="n"/>
      <c r="C406" s="22" t="n"/>
      <c r="D406" s="46" t="n"/>
      <c r="E406" s="25" t="n"/>
      <c r="F406" s="25" t="n"/>
      <c r="G406" s="17">
        <f>IF(AND(C406="",D406=""),"",IF(NOT(ISNUMBER(B406)),"Needs a date",IF(AND(D406&lt;&gt;"",NOT(ISNUMBER(D406))),"Hours not a number",IF(N(D406)&lt;=0,"Needs the hours",IF(C406="","Needs a name",IF(COUNTIF(Volunteers!$B$6:$B$105,C406)=0,"Not on Volunteers",""))))))</f>
        <v/>
      </c>
      <c r="H406" s="1" t="n"/>
      <c r="I406">
        <f>IF(ISNUMBER(B406),YEAR(B406),"")</f>
        <v/>
      </c>
      <c r="J406">
        <f>IF(ISNUMBER(B406),YEAR(B406)*100+MONTH(B406),"")</f>
        <v/>
      </c>
      <c r="K406">
        <f>IF(ISNUMBER(B406),INT(B406),0)</f>
        <v/>
      </c>
      <c r="L406">
        <f>IF(AND(ISNUMBER(D406),N(D406)&gt;0),K406,0)</f>
        <v/>
      </c>
    </row>
    <row r="407">
      <c r="A407" s="1" t="n"/>
      <c r="B407" s="21" t="n"/>
      <c r="C407" s="22" t="n"/>
      <c r="D407" s="46" t="n"/>
      <c r="E407" s="25" t="n"/>
      <c r="F407" s="25" t="n"/>
      <c r="G407" s="17">
        <f>IF(AND(C407="",D407=""),"",IF(NOT(ISNUMBER(B407)),"Needs a date",IF(AND(D407&lt;&gt;"",NOT(ISNUMBER(D407))),"Hours not a number",IF(N(D407)&lt;=0,"Needs the hours",IF(C407="","Needs a name",IF(COUNTIF(Volunteers!$B$6:$B$105,C407)=0,"Not on Volunteers",""))))))</f>
        <v/>
      </c>
      <c r="H407" s="1" t="n"/>
      <c r="I407">
        <f>IF(ISNUMBER(B407),YEAR(B407),"")</f>
        <v/>
      </c>
      <c r="J407">
        <f>IF(ISNUMBER(B407),YEAR(B407)*100+MONTH(B407),"")</f>
        <v/>
      </c>
      <c r="K407">
        <f>IF(ISNUMBER(B407),INT(B407),0)</f>
        <v/>
      </c>
      <c r="L407">
        <f>IF(AND(ISNUMBER(D407),N(D407)&gt;0),K407,0)</f>
        <v/>
      </c>
    </row>
    <row r="408">
      <c r="A408" s="1" t="n"/>
      <c r="B408" s="21" t="n"/>
      <c r="C408" s="22" t="n"/>
      <c r="D408" s="46" t="n"/>
      <c r="E408" s="25" t="n"/>
      <c r="F408" s="25" t="n"/>
      <c r="G408" s="17">
        <f>IF(AND(C408="",D408=""),"",IF(NOT(ISNUMBER(B408)),"Needs a date",IF(AND(D408&lt;&gt;"",NOT(ISNUMBER(D408))),"Hours not a number",IF(N(D408)&lt;=0,"Needs the hours",IF(C408="","Needs a name",IF(COUNTIF(Volunteers!$B$6:$B$105,C408)=0,"Not on Volunteers",""))))))</f>
        <v/>
      </c>
      <c r="H408" s="1" t="n"/>
      <c r="I408">
        <f>IF(ISNUMBER(B408),YEAR(B408),"")</f>
        <v/>
      </c>
      <c r="J408">
        <f>IF(ISNUMBER(B408),YEAR(B408)*100+MONTH(B408),"")</f>
        <v/>
      </c>
      <c r="K408">
        <f>IF(ISNUMBER(B408),INT(B408),0)</f>
        <v/>
      </c>
      <c r="L408">
        <f>IF(AND(ISNUMBER(D408),N(D408)&gt;0),K408,0)</f>
        <v/>
      </c>
    </row>
    <row r="409">
      <c r="A409" s="1" t="n"/>
      <c r="B409" s="21" t="n"/>
      <c r="C409" s="22" t="n"/>
      <c r="D409" s="46" t="n"/>
      <c r="E409" s="25" t="n"/>
      <c r="F409" s="25" t="n"/>
      <c r="G409" s="17">
        <f>IF(AND(C409="",D409=""),"",IF(NOT(ISNUMBER(B409)),"Needs a date",IF(AND(D409&lt;&gt;"",NOT(ISNUMBER(D409))),"Hours not a number",IF(N(D409)&lt;=0,"Needs the hours",IF(C409="","Needs a name",IF(COUNTIF(Volunteers!$B$6:$B$105,C409)=0,"Not on Volunteers",""))))))</f>
        <v/>
      </c>
      <c r="H409" s="1" t="n"/>
      <c r="I409">
        <f>IF(ISNUMBER(B409),YEAR(B409),"")</f>
        <v/>
      </c>
      <c r="J409">
        <f>IF(ISNUMBER(B409),YEAR(B409)*100+MONTH(B409),"")</f>
        <v/>
      </c>
      <c r="K409">
        <f>IF(ISNUMBER(B409),INT(B409),0)</f>
        <v/>
      </c>
      <c r="L409">
        <f>IF(AND(ISNUMBER(D409),N(D409)&gt;0),K409,0)</f>
        <v/>
      </c>
    </row>
    <row r="410">
      <c r="A410" s="1" t="n"/>
      <c r="B410" s="21" t="n"/>
      <c r="C410" s="22" t="n"/>
      <c r="D410" s="46" t="n"/>
      <c r="E410" s="25" t="n"/>
      <c r="F410" s="25" t="n"/>
      <c r="G410" s="17">
        <f>IF(AND(C410="",D410=""),"",IF(NOT(ISNUMBER(B410)),"Needs a date",IF(AND(D410&lt;&gt;"",NOT(ISNUMBER(D410))),"Hours not a number",IF(N(D410)&lt;=0,"Needs the hours",IF(C410="","Needs a name",IF(COUNTIF(Volunteers!$B$6:$B$105,C410)=0,"Not on Volunteers",""))))))</f>
        <v/>
      </c>
      <c r="H410" s="1" t="n"/>
      <c r="I410">
        <f>IF(ISNUMBER(B410),YEAR(B410),"")</f>
        <v/>
      </c>
      <c r="J410">
        <f>IF(ISNUMBER(B410),YEAR(B410)*100+MONTH(B410),"")</f>
        <v/>
      </c>
      <c r="K410">
        <f>IF(ISNUMBER(B410),INT(B410),0)</f>
        <v/>
      </c>
      <c r="L410">
        <f>IF(AND(ISNUMBER(D410),N(D410)&gt;0),K410,0)</f>
        <v/>
      </c>
    </row>
    <row r="411">
      <c r="A411" s="1" t="n"/>
      <c r="B411" s="21" t="n"/>
      <c r="C411" s="22" t="n"/>
      <c r="D411" s="46" t="n"/>
      <c r="E411" s="25" t="n"/>
      <c r="F411" s="25" t="n"/>
      <c r="G411" s="17">
        <f>IF(AND(C411="",D411=""),"",IF(NOT(ISNUMBER(B411)),"Needs a date",IF(AND(D411&lt;&gt;"",NOT(ISNUMBER(D411))),"Hours not a number",IF(N(D411)&lt;=0,"Needs the hours",IF(C411="","Needs a name",IF(COUNTIF(Volunteers!$B$6:$B$105,C411)=0,"Not on Volunteers",""))))))</f>
        <v/>
      </c>
      <c r="H411" s="1" t="n"/>
      <c r="I411">
        <f>IF(ISNUMBER(B411),YEAR(B411),"")</f>
        <v/>
      </c>
      <c r="J411">
        <f>IF(ISNUMBER(B411),YEAR(B411)*100+MONTH(B411),"")</f>
        <v/>
      </c>
      <c r="K411">
        <f>IF(ISNUMBER(B411),INT(B411),0)</f>
        <v/>
      </c>
      <c r="L411">
        <f>IF(AND(ISNUMBER(D411),N(D411)&gt;0),K411,0)</f>
        <v/>
      </c>
    </row>
    <row r="412">
      <c r="A412" s="1" t="n"/>
      <c r="B412" s="21" t="n"/>
      <c r="C412" s="22" t="n"/>
      <c r="D412" s="46" t="n"/>
      <c r="E412" s="25" t="n"/>
      <c r="F412" s="25" t="n"/>
      <c r="G412" s="17">
        <f>IF(AND(C412="",D412=""),"",IF(NOT(ISNUMBER(B412)),"Needs a date",IF(AND(D412&lt;&gt;"",NOT(ISNUMBER(D412))),"Hours not a number",IF(N(D412)&lt;=0,"Needs the hours",IF(C412="","Needs a name",IF(COUNTIF(Volunteers!$B$6:$B$105,C412)=0,"Not on Volunteers",""))))))</f>
        <v/>
      </c>
      <c r="H412" s="1" t="n"/>
      <c r="I412">
        <f>IF(ISNUMBER(B412),YEAR(B412),"")</f>
        <v/>
      </c>
      <c r="J412">
        <f>IF(ISNUMBER(B412),YEAR(B412)*100+MONTH(B412),"")</f>
        <v/>
      </c>
      <c r="K412">
        <f>IF(ISNUMBER(B412),INT(B412),0)</f>
        <v/>
      </c>
      <c r="L412">
        <f>IF(AND(ISNUMBER(D412),N(D412)&gt;0),K412,0)</f>
        <v/>
      </c>
    </row>
    <row r="413">
      <c r="A413" s="1" t="n"/>
      <c r="B413" s="21" t="n"/>
      <c r="C413" s="22" t="n"/>
      <c r="D413" s="46" t="n"/>
      <c r="E413" s="25" t="n"/>
      <c r="F413" s="25" t="n"/>
      <c r="G413" s="17">
        <f>IF(AND(C413="",D413=""),"",IF(NOT(ISNUMBER(B413)),"Needs a date",IF(AND(D413&lt;&gt;"",NOT(ISNUMBER(D413))),"Hours not a number",IF(N(D413)&lt;=0,"Needs the hours",IF(C413="","Needs a name",IF(COUNTIF(Volunteers!$B$6:$B$105,C413)=0,"Not on Volunteers",""))))))</f>
        <v/>
      </c>
      <c r="H413" s="1" t="n"/>
      <c r="I413">
        <f>IF(ISNUMBER(B413),YEAR(B413),"")</f>
        <v/>
      </c>
      <c r="J413">
        <f>IF(ISNUMBER(B413),YEAR(B413)*100+MONTH(B413),"")</f>
        <v/>
      </c>
      <c r="K413">
        <f>IF(ISNUMBER(B413),INT(B413),0)</f>
        <v/>
      </c>
      <c r="L413">
        <f>IF(AND(ISNUMBER(D413),N(D413)&gt;0),K413,0)</f>
        <v/>
      </c>
    </row>
    <row r="414">
      <c r="A414" s="1" t="n"/>
      <c r="B414" s="21" t="n"/>
      <c r="C414" s="22" t="n"/>
      <c r="D414" s="46" t="n"/>
      <c r="E414" s="25" t="n"/>
      <c r="F414" s="25" t="n"/>
      <c r="G414" s="17">
        <f>IF(AND(C414="",D414=""),"",IF(NOT(ISNUMBER(B414)),"Needs a date",IF(AND(D414&lt;&gt;"",NOT(ISNUMBER(D414))),"Hours not a number",IF(N(D414)&lt;=0,"Needs the hours",IF(C414="","Needs a name",IF(COUNTIF(Volunteers!$B$6:$B$105,C414)=0,"Not on Volunteers",""))))))</f>
        <v/>
      </c>
      <c r="H414" s="1" t="n"/>
      <c r="I414">
        <f>IF(ISNUMBER(B414),YEAR(B414),"")</f>
        <v/>
      </c>
      <c r="J414">
        <f>IF(ISNUMBER(B414),YEAR(B414)*100+MONTH(B414),"")</f>
        <v/>
      </c>
      <c r="K414">
        <f>IF(ISNUMBER(B414),INT(B414),0)</f>
        <v/>
      </c>
      <c r="L414">
        <f>IF(AND(ISNUMBER(D414),N(D414)&gt;0),K414,0)</f>
        <v/>
      </c>
    </row>
    <row r="415">
      <c r="A415" s="1" t="n"/>
      <c r="B415" s="21" t="n"/>
      <c r="C415" s="22" t="n"/>
      <c r="D415" s="46" t="n"/>
      <c r="E415" s="25" t="n"/>
      <c r="F415" s="25" t="n"/>
      <c r="G415" s="17">
        <f>IF(AND(C415="",D415=""),"",IF(NOT(ISNUMBER(B415)),"Needs a date",IF(AND(D415&lt;&gt;"",NOT(ISNUMBER(D415))),"Hours not a number",IF(N(D415)&lt;=0,"Needs the hours",IF(C415="","Needs a name",IF(COUNTIF(Volunteers!$B$6:$B$105,C415)=0,"Not on Volunteers",""))))))</f>
        <v/>
      </c>
      <c r="H415" s="1" t="n"/>
      <c r="I415">
        <f>IF(ISNUMBER(B415),YEAR(B415),"")</f>
        <v/>
      </c>
      <c r="J415">
        <f>IF(ISNUMBER(B415),YEAR(B415)*100+MONTH(B415),"")</f>
        <v/>
      </c>
      <c r="K415">
        <f>IF(ISNUMBER(B415),INT(B415),0)</f>
        <v/>
      </c>
      <c r="L415">
        <f>IF(AND(ISNUMBER(D415),N(D415)&gt;0),K415,0)</f>
        <v/>
      </c>
    </row>
    <row r="416">
      <c r="A416" s="1" t="n"/>
      <c r="B416" s="21" t="n"/>
      <c r="C416" s="22" t="n"/>
      <c r="D416" s="46" t="n"/>
      <c r="E416" s="25" t="n"/>
      <c r="F416" s="25" t="n"/>
      <c r="G416" s="17">
        <f>IF(AND(C416="",D416=""),"",IF(NOT(ISNUMBER(B416)),"Needs a date",IF(AND(D416&lt;&gt;"",NOT(ISNUMBER(D416))),"Hours not a number",IF(N(D416)&lt;=0,"Needs the hours",IF(C416="","Needs a name",IF(COUNTIF(Volunteers!$B$6:$B$105,C416)=0,"Not on Volunteers",""))))))</f>
        <v/>
      </c>
      <c r="H416" s="1" t="n"/>
      <c r="I416">
        <f>IF(ISNUMBER(B416),YEAR(B416),"")</f>
        <v/>
      </c>
      <c r="J416">
        <f>IF(ISNUMBER(B416),YEAR(B416)*100+MONTH(B416),"")</f>
        <v/>
      </c>
      <c r="K416">
        <f>IF(ISNUMBER(B416),INT(B416),0)</f>
        <v/>
      </c>
      <c r="L416">
        <f>IF(AND(ISNUMBER(D416),N(D416)&gt;0),K416,0)</f>
        <v/>
      </c>
    </row>
    <row r="417">
      <c r="A417" s="1" t="n"/>
      <c r="B417" s="21" t="n"/>
      <c r="C417" s="22" t="n"/>
      <c r="D417" s="46" t="n"/>
      <c r="E417" s="25" t="n"/>
      <c r="F417" s="25" t="n"/>
      <c r="G417" s="17">
        <f>IF(AND(C417="",D417=""),"",IF(NOT(ISNUMBER(B417)),"Needs a date",IF(AND(D417&lt;&gt;"",NOT(ISNUMBER(D417))),"Hours not a number",IF(N(D417)&lt;=0,"Needs the hours",IF(C417="","Needs a name",IF(COUNTIF(Volunteers!$B$6:$B$105,C417)=0,"Not on Volunteers",""))))))</f>
        <v/>
      </c>
      <c r="H417" s="1" t="n"/>
      <c r="I417">
        <f>IF(ISNUMBER(B417),YEAR(B417),"")</f>
        <v/>
      </c>
      <c r="J417">
        <f>IF(ISNUMBER(B417),YEAR(B417)*100+MONTH(B417),"")</f>
        <v/>
      </c>
      <c r="K417">
        <f>IF(ISNUMBER(B417),INT(B417),0)</f>
        <v/>
      </c>
      <c r="L417">
        <f>IF(AND(ISNUMBER(D417),N(D417)&gt;0),K417,0)</f>
        <v/>
      </c>
    </row>
    <row r="418">
      <c r="A418" s="1" t="n"/>
      <c r="B418" s="21" t="n"/>
      <c r="C418" s="22" t="n"/>
      <c r="D418" s="46" t="n"/>
      <c r="E418" s="25" t="n"/>
      <c r="F418" s="25" t="n"/>
      <c r="G418" s="17">
        <f>IF(AND(C418="",D418=""),"",IF(NOT(ISNUMBER(B418)),"Needs a date",IF(AND(D418&lt;&gt;"",NOT(ISNUMBER(D418))),"Hours not a number",IF(N(D418)&lt;=0,"Needs the hours",IF(C418="","Needs a name",IF(COUNTIF(Volunteers!$B$6:$B$105,C418)=0,"Not on Volunteers",""))))))</f>
        <v/>
      </c>
      <c r="H418" s="1" t="n"/>
      <c r="I418">
        <f>IF(ISNUMBER(B418),YEAR(B418),"")</f>
        <v/>
      </c>
      <c r="J418">
        <f>IF(ISNUMBER(B418),YEAR(B418)*100+MONTH(B418),"")</f>
        <v/>
      </c>
      <c r="K418">
        <f>IF(ISNUMBER(B418),INT(B418),0)</f>
        <v/>
      </c>
      <c r="L418">
        <f>IF(AND(ISNUMBER(D418),N(D418)&gt;0),K418,0)</f>
        <v/>
      </c>
    </row>
    <row r="419">
      <c r="A419" s="1" t="n"/>
      <c r="B419" s="21" t="n"/>
      <c r="C419" s="22" t="n"/>
      <c r="D419" s="46" t="n"/>
      <c r="E419" s="25" t="n"/>
      <c r="F419" s="25" t="n"/>
      <c r="G419" s="17">
        <f>IF(AND(C419="",D419=""),"",IF(NOT(ISNUMBER(B419)),"Needs a date",IF(AND(D419&lt;&gt;"",NOT(ISNUMBER(D419))),"Hours not a number",IF(N(D419)&lt;=0,"Needs the hours",IF(C419="","Needs a name",IF(COUNTIF(Volunteers!$B$6:$B$105,C419)=0,"Not on Volunteers",""))))))</f>
        <v/>
      </c>
      <c r="H419" s="1" t="n"/>
      <c r="I419">
        <f>IF(ISNUMBER(B419),YEAR(B419),"")</f>
        <v/>
      </c>
      <c r="J419">
        <f>IF(ISNUMBER(B419),YEAR(B419)*100+MONTH(B419),"")</f>
        <v/>
      </c>
      <c r="K419">
        <f>IF(ISNUMBER(B419),INT(B419),0)</f>
        <v/>
      </c>
      <c r="L419">
        <f>IF(AND(ISNUMBER(D419),N(D419)&gt;0),K419,0)</f>
        <v/>
      </c>
    </row>
    <row r="420">
      <c r="A420" s="1" t="n"/>
      <c r="B420" s="21" t="n"/>
      <c r="C420" s="22" t="n"/>
      <c r="D420" s="46" t="n"/>
      <c r="E420" s="25" t="n"/>
      <c r="F420" s="25" t="n"/>
      <c r="G420" s="17">
        <f>IF(AND(C420="",D420=""),"",IF(NOT(ISNUMBER(B420)),"Needs a date",IF(AND(D420&lt;&gt;"",NOT(ISNUMBER(D420))),"Hours not a number",IF(N(D420)&lt;=0,"Needs the hours",IF(C420="","Needs a name",IF(COUNTIF(Volunteers!$B$6:$B$105,C420)=0,"Not on Volunteers",""))))))</f>
        <v/>
      </c>
      <c r="H420" s="1" t="n"/>
      <c r="I420">
        <f>IF(ISNUMBER(B420),YEAR(B420),"")</f>
        <v/>
      </c>
      <c r="J420">
        <f>IF(ISNUMBER(B420),YEAR(B420)*100+MONTH(B420),"")</f>
        <v/>
      </c>
      <c r="K420">
        <f>IF(ISNUMBER(B420),INT(B420),0)</f>
        <v/>
      </c>
      <c r="L420">
        <f>IF(AND(ISNUMBER(D420),N(D420)&gt;0),K420,0)</f>
        <v/>
      </c>
    </row>
    <row r="421">
      <c r="A421" s="1" t="n"/>
      <c r="B421" s="21" t="n"/>
      <c r="C421" s="22" t="n"/>
      <c r="D421" s="46" t="n"/>
      <c r="E421" s="25" t="n"/>
      <c r="F421" s="25" t="n"/>
      <c r="G421" s="17">
        <f>IF(AND(C421="",D421=""),"",IF(NOT(ISNUMBER(B421)),"Needs a date",IF(AND(D421&lt;&gt;"",NOT(ISNUMBER(D421))),"Hours not a number",IF(N(D421)&lt;=0,"Needs the hours",IF(C421="","Needs a name",IF(COUNTIF(Volunteers!$B$6:$B$105,C421)=0,"Not on Volunteers",""))))))</f>
        <v/>
      </c>
      <c r="H421" s="1" t="n"/>
      <c r="I421">
        <f>IF(ISNUMBER(B421),YEAR(B421),"")</f>
        <v/>
      </c>
      <c r="J421">
        <f>IF(ISNUMBER(B421),YEAR(B421)*100+MONTH(B421),"")</f>
        <v/>
      </c>
      <c r="K421">
        <f>IF(ISNUMBER(B421),INT(B421),0)</f>
        <v/>
      </c>
      <c r="L421">
        <f>IF(AND(ISNUMBER(D421),N(D421)&gt;0),K421,0)</f>
        <v/>
      </c>
    </row>
    <row r="422">
      <c r="A422" s="1" t="n"/>
      <c r="B422" s="21" t="n"/>
      <c r="C422" s="22" t="n"/>
      <c r="D422" s="46" t="n"/>
      <c r="E422" s="25" t="n"/>
      <c r="F422" s="25" t="n"/>
      <c r="G422" s="17">
        <f>IF(AND(C422="",D422=""),"",IF(NOT(ISNUMBER(B422)),"Needs a date",IF(AND(D422&lt;&gt;"",NOT(ISNUMBER(D422))),"Hours not a number",IF(N(D422)&lt;=0,"Needs the hours",IF(C422="","Needs a name",IF(COUNTIF(Volunteers!$B$6:$B$105,C422)=0,"Not on Volunteers",""))))))</f>
        <v/>
      </c>
      <c r="H422" s="1" t="n"/>
      <c r="I422">
        <f>IF(ISNUMBER(B422),YEAR(B422),"")</f>
        <v/>
      </c>
      <c r="J422">
        <f>IF(ISNUMBER(B422),YEAR(B422)*100+MONTH(B422),"")</f>
        <v/>
      </c>
      <c r="K422">
        <f>IF(ISNUMBER(B422),INT(B422),0)</f>
        <v/>
      </c>
      <c r="L422">
        <f>IF(AND(ISNUMBER(D422),N(D422)&gt;0),K422,0)</f>
        <v/>
      </c>
    </row>
    <row r="423">
      <c r="A423" s="1" t="n"/>
      <c r="B423" s="21" t="n"/>
      <c r="C423" s="22" t="n"/>
      <c r="D423" s="46" t="n"/>
      <c r="E423" s="25" t="n"/>
      <c r="F423" s="25" t="n"/>
      <c r="G423" s="17">
        <f>IF(AND(C423="",D423=""),"",IF(NOT(ISNUMBER(B423)),"Needs a date",IF(AND(D423&lt;&gt;"",NOT(ISNUMBER(D423))),"Hours not a number",IF(N(D423)&lt;=0,"Needs the hours",IF(C423="","Needs a name",IF(COUNTIF(Volunteers!$B$6:$B$105,C423)=0,"Not on Volunteers",""))))))</f>
        <v/>
      </c>
      <c r="H423" s="1" t="n"/>
      <c r="I423">
        <f>IF(ISNUMBER(B423),YEAR(B423),"")</f>
        <v/>
      </c>
      <c r="J423">
        <f>IF(ISNUMBER(B423),YEAR(B423)*100+MONTH(B423),"")</f>
        <v/>
      </c>
      <c r="K423">
        <f>IF(ISNUMBER(B423),INT(B423),0)</f>
        <v/>
      </c>
      <c r="L423">
        <f>IF(AND(ISNUMBER(D423),N(D423)&gt;0),K423,0)</f>
        <v/>
      </c>
    </row>
    <row r="424">
      <c r="A424" s="1" t="n"/>
      <c r="B424" s="21" t="n"/>
      <c r="C424" s="22" t="n"/>
      <c r="D424" s="46" t="n"/>
      <c r="E424" s="25" t="n"/>
      <c r="F424" s="25" t="n"/>
      <c r="G424" s="17">
        <f>IF(AND(C424="",D424=""),"",IF(NOT(ISNUMBER(B424)),"Needs a date",IF(AND(D424&lt;&gt;"",NOT(ISNUMBER(D424))),"Hours not a number",IF(N(D424)&lt;=0,"Needs the hours",IF(C424="","Needs a name",IF(COUNTIF(Volunteers!$B$6:$B$105,C424)=0,"Not on Volunteers",""))))))</f>
        <v/>
      </c>
      <c r="H424" s="1" t="n"/>
      <c r="I424">
        <f>IF(ISNUMBER(B424),YEAR(B424),"")</f>
        <v/>
      </c>
      <c r="J424">
        <f>IF(ISNUMBER(B424),YEAR(B424)*100+MONTH(B424),"")</f>
        <v/>
      </c>
      <c r="K424">
        <f>IF(ISNUMBER(B424),INT(B424),0)</f>
        <v/>
      </c>
      <c r="L424">
        <f>IF(AND(ISNUMBER(D424),N(D424)&gt;0),K424,0)</f>
        <v/>
      </c>
    </row>
    <row r="425">
      <c r="A425" s="1" t="n"/>
      <c r="B425" s="21" t="n"/>
      <c r="C425" s="22" t="n"/>
      <c r="D425" s="46" t="n"/>
      <c r="E425" s="25" t="n"/>
      <c r="F425" s="25" t="n"/>
      <c r="G425" s="17">
        <f>IF(AND(C425="",D425=""),"",IF(NOT(ISNUMBER(B425)),"Needs a date",IF(AND(D425&lt;&gt;"",NOT(ISNUMBER(D425))),"Hours not a number",IF(N(D425)&lt;=0,"Needs the hours",IF(C425="","Needs a name",IF(COUNTIF(Volunteers!$B$6:$B$105,C425)=0,"Not on Volunteers",""))))))</f>
        <v/>
      </c>
      <c r="H425" s="1" t="n"/>
      <c r="I425">
        <f>IF(ISNUMBER(B425),YEAR(B425),"")</f>
        <v/>
      </c>
      <c r="J425">
        <f>IF(ISNUMBER(B425),YEAR(B425)*100+MONTH(B425),"")</f>
        <v/>
      </c>
      <c r="K425">
        <f>IF(ISNUMBER(B425),INT(B425),0)</f>
        <v/>
      </c>
      <c r="L425">
        <f>IF(AND(ISNUMBER(D425),N(D425)&gt;0),K425,0)</f>
        <v/>
      </c>
    </row>
    <row r="426">
      <c r="A426" s="1" t="n"/>
      <c r="B426" s="21" t="n"/>
      <c r="C426" s="22" t="n"/>
      <c r="D426" s="46" t="n"/>
      <c r="E426" s="25" t="n"/>
      <c r="F426" s="25" t="n"/>
      <c r="G426" s="17">
        <f>IF(AND(C426="",D426=""),"",IF(NOT(ISNUMBER(B426)),"Needs a date",IF(AND(D426&lt;&gt;"",NOT(ISNUMBER(D426))),"Hours not a number",IF(N(D426)&lt;=0,"Needs the hours",IF(C426="","Needs a name",IF(COUNTIF(Volunteers!$B$6:$B$105,C426)=0,"Not on Volunteers",""))))))</f>
        <v/>
      </c>
      <c r="H426" s="1" t="n"/>
      <c r="I426">
        <f>IF(ISNUMBER(B426),YEAR(B426),"")</f>
        <v/>
      </c>
      <c r="J426">
        <f>IF(ISNUMBER(B426),YEAR(B426)*100+MONTH(B426),"")</f>
        <v/>
      </c>
      <c r="K426">
        <f>IF(ISNUMBER(B426),INT(B426),0)</f>
        <v/>
      </c>
      <c r="L426">
        <f>IF(AND(ISNUMBER(D426),N(D426)&gt;0),K426,0)</f>
        <v/>
      </c>
    </row>
    <row r="427">
      <c r="A427" s="1" t="n"/>
      <c r="B427" s="21" t="n"/>
      <c r="C427" s="22" t="n"/>
      <c r="D427" s="46" t="n"/>
      <c r="E427" s="25" t="n"/>
      <c r="F427" s="25" t="n"/>
      <c r="G427" s="17">
        <f>IF(AND(C427="",D427=""),"",IF(NOT(ISNUMBER(B427)),"Needs a date",IF(AND(D427&lt;&gt;"",NOT(ISNUMBER(D427))),"Hours not a number",IF(N(D427)&lt;=0,"Needs the hours",IF(C427="","Needs a name",IF(COUNTIF(Volunteers!$B$6:$B$105,C427)=0,"Not on Volunteers",""))))))</f>
        <v/>
      </c>
      <c r="H427" s="1" t="n"/>
      <c r="I427">
        <f>IF(ISNUMBER(B427),YEAR(B427),"")</f>
        <v/>
      </c>
      <c r="J427">
        <f>IF(ISNUMBER(B427),YEAR(B427)*100+MONTH(B427),"")</f>
        <v/>
      </c>
      <c r="K427">
        <f>IF(ISNUMBER(B427),INT(B427),0)</f>
        <v/>
      </c>
      <c r="L427">
        <f>IF(AND(ISNUMBER(D427),N(D427)&gt;0),K427,0)</f>
        <v/>
      </c>
    </row>
    <row r="428">
      <c r="A428" s="1" t="n"/>
      <c r="B428" s="21" t="n"/>
      <c r="C428" s="22" t="n"/>
      <c r="D428" s="46" t="n"/>
      <c r="E428" s="25" t="n"/>
      <c r="F428" s="25" t="n"/>
      <c r="G428" s="17">
        <f>IF(AND(C428="",D428=""),"",IF(NOT(ISNUMBER(B428)),"Needs a date",IF(AND(D428&lt;&gt;"",NOT(ISNUMBER(D428))),"Hours not a number",IF(N(D428)&lt;=0,"Needs the hours",IF(C428="","Needs a name",IF(COUNTIF(Volunteers!$B$6:$B$105,C428)=0,"Not on Volunteers",""))))))</f>
        <v/>
      </c>
      <c r="H428" s="1" t="n"/>
      <c r="I428">
        <f>IF(ISNUMBER(B428),YEAR(B428),"")</f>
        <v/>
      </c>
      <c r="J428">
        <f>IF(ISNUMBER(B428),YEAR(B428)*100+MONTH(B428),"")</f>
        <v/>
      </c>
      <c r="K428">
        <f>IF(ISNUMBER(B428),INT(B428),0)</f>
        <v/>
      </c>
      <c r="L428">
        <f>IF(AND(ISNUMBER(D428),N(D428)&gt;0),K428,0)</f>
        <v/>
      </c>
    </row>
    <row r="429">
      <c r="A429" s="1" t="n"/>
      <c r="B429" s="21" t="n"/>
      <c r="C429" s="22" t="n"/>
      <c r="D429" s="46" t="n"/>
      <c r="E429" s="25" t="n"/>
      <c r="F429" s="25" t="n"/>
      <c r="G429" s="17">
        <f>IF(AND(C429="",D429=""),"",IF(NOT(ISNUMBER(B429)),"Needs a date",IF(AND(D429&lt;&gt;"",NOT(ISNUMBER(D429))),"Hours not a number",IF(N(D429)&lt;=0,"Needs the hours",IF(C429="","Needs a name",IF(COUNTIF(Volunteers!$B$6:$B$105,C429)=0,"Not on Volunteers",""))))))</f>
        <v/>
      </c>
      <c r="H429" s="1" t="n"/>
      <c r="I429">
        <f>IF(ISNUMBER(B429),YEAR(B429),"")</f>
        <v/>
      </c>
      <c r="J429">
        <f>IF(ISNUMBER(B429),YEAR(B429)*100+MONTH(B429),"")</f>
        <v/>
      </c>
      <c r="K429">
        <f>IF(ISNUMBER(B429),INT(B429),0)</f>
        <v/>
      </c>
      <c r="L429">
        <f>IF(AND(ISNUMBER(D429),N(D429)&gt;0),K429,0)</f>
        <v/>
      </c>
    </row>
    <row r="430">
      <c r="A430" s="1" t="n"/>
      <c r="B430" s="21" t="n"/>
      <c r="C430" s="22" t="n"/>
      <c r="D430" s="46" t="n"/>
      <c r="E430" s="25" t="n"/>
      <c r="F430" s="25" t="n"/>
      <c r="G430" s="17">
        <f>IF(AND(C430="",D430=""),"",IF(NOT(ISNUMBER(B430)),"Needs a date",IF(AND(D430&lt;&gt;"",NOT(ISNUMBER(D430))),"Hours not a number",IF(N(D430)&lt;=0,"Needs the hours",IF(C430="","Needs a name",IF(COUNTIF(Volunteers!$B$6:$B$105,C430)=0,"Not on Volunteers",""))))))</f>
        <v/>
      </c>
      <c r="H430" s="1" t="n"/>
      <c r="I430">
        <f>IF(ISNUMBER(B430),YEAR(B430),"")</f>
        <v/>
      </c>
      <c r="J430">
        <f>IF(ISNUMBER(B430),YEAR(B430)*100+MONTH(B430),"")</f>
        <v/>
      </c>
      <c r="K430">
        <f>IF(ISNUMBER(B430),INT(B430),0)</f>
        <v/>
      </c>
      <c r="L430">
        <f>IF(AND(ISNUMBER(D430),N(D430)&gt;0),K430,0)</f>
        <v/>
      </c>
    </row>
    <row r="431">
      <c r="A431" s="1" t="n"/>
      <c r="B431" s="21" t="n"/>
      <c r="C431" s="22" t="n"/>
      <c r="D431" s="46" t="n"/>
      <c r="E431" s="25" t="n"/>
      <c r="F431" s="25" t="n"/>
      <c r="G431" s="17">
        <f>IF(AND(C431="",D431=""),"",IF(NOT(ISNUMBER(B431)),"Needs a date",IF(AND(D431&lt;&gt;"",NOT(ISNUMBER(D431))),"Hours not a number",IF(N(D431)&lt;=0,"Needs the hours",IF(C431="","Needs a name",IF(COUNTIF(Volunteers!$B$6:$B$105,C431)=0,"Not on Volunteers",""))))))</f>
        <v/>
      </c>
      <c r="H431" s="1" t="n"/>
      <c r="I431">
        <f>IF(ISNUMBER(B431),YEAR(B431),"")</f>
        <v/>
      </c>
      <c r="J431">
        <f>IF(ISNUMBER(B431),YEAR(B431)*100+MONTH(B431),"")</f>
        <v/>
      </c>
      <c r="K431">
        <f>IF(ISNUMBER(B431),INT(B431),0)</f>
        <v/>
      </c>
      <c r="L431">
        <f>IF(AND(ISNUMBER(D431),N(D431)&gt;0),K431,0)</f>
        <v/>
      </c>
    </row>
    <row r="432">
      <c r="A432" s="1" t="n"/>
      <c r="B432" s="21" t="n"/>
      <c r="C432" s="22" t="n"/>
      <c r="D432" s="46" t="n"/>
      <c r="E432" s="25" t="n"/>
      <c r="F432" s="25" t="n"/>
      <c r="G432" s="17">
        <f>IF(AND(C432="",D432=""),"",IF(NOT(ISNUMBER(B432)),"Needs a date",IF(AND(D432&lt;&gt;"",NOT(ISNUMBER(D432))),"Hours not a number",IF(N(D432)&lt;=0,"Needs the hours",IF(C432="","Needs a name",IF(COUNTIF(Volunteers!$B$6:$B$105,C432)=0,"Not on Volunteers",""))))))</f>
        <v/>
      </c>
      <c r="H432" s="1" t="n"/>
      <c r="I432">
        <f>IF(ISNUMBER(B432),YEAR(B432),"")</f>
        <v/>
      </c>
      <c r="J432">
        <f>IF(ISNUMBER(B432),YEAR(B432)*100+MONTH(B432),"")</f>
        <v/>
      </c>
      <c r="K432">
        <f>IF(ISNUMBER(B432),INT(B432),0)</f>
        <v/>
      </c>
      <c r="L432">
        <f>IF(AND(ISNUMBER(D432),N(D432)&gt;0),K432,0)</f>
        <v/>
      </c>
    </row>
    <row r="433">
      <c r="A433" s="1" t="n"/>
      <c r="B433" s="21" t="n"/>
      <c r="C433" s="22" t="n"/>
      <c r="D433" s="46" t="n"/>
      <c r="E433" s="25" t="n"/>
      <c r="F433" s="25" t="n"/>
      <c r="G433" s="17">
        <f>IF(AND(C433="",D433=""),"",IF(NOT(ISNUMBER(B433)),"Needs a date",IF(AND(D433&lt;&gt;"",NOT(ISNUMBER(D433))),"Hours not a number",IF(N(D433)&lt;=0,"Needs the hours",IF(C433="","Needs a name",IF(COUNTIF(Volunteers!$B$6:$B$105,C433)=0,"Not on Volunteers",""))))))</f>
        <v/>
      </c>
      <c r="H433" s="1" t="n"/>
      <c r="I433">
        <f>IF(ISNUMBER(B433),YEAR(B433),"")</f>
        <v/>
      </c>
      <c r="J433">
        <f>IF(ISNUMBER(B433),YEAR(B433)*100+MONTH(B433),"")</f>
        <v/>
      </c>
      <c r="K433">
        <f>IF(ISNUMBER(B433),INT(B433),0)</f>
        <v/>
      </c>
      <c r="L433">
        <f>IF(AND(ISNUMBER(D433),N(D433)&gt;0),K433,0)</f>
        <v/>
      </c>
    </row>
    <row r="434">
      <c r="A434" s="1" t="n"/>
      <c r="B434" s="21" t="n"/>
      <c r="C434" s="22" t="n"/>
      <c r="D434" s="46" t="n"/>
      <c r="E434" s="25" t="n"/>
      <c r="F434" s="25" t="n"/>
      <c r="G434" s="17">
        <f>IF(AND(C434="",D434=""),"",IF(NOT(ISNUMBER(B434)),"Needs a date",IF(AND(D434&lt;&gt;"",NOT(ISNUMBER(D434))),"Hours not a number",IF(N(D434)&lt;=0,"Needs the hours",IF(C434="","Needs a name",IF(COUNTIF(Volunteers!$B$6:$B$105,C434)=0,"Not on Volunteers",""))))))</f>
        <v/>
      </c>
      <c r="H434" s="1" t="n"/>
      <c r="I434">
        <f>IF(ISNUMBER(B434),YEAR(B434),"")</f>
        <v/>
      </c>
      <c r="J434">
        <f>IF(ISNUMBER(B434),YEAR(B434)*100+MONTH(B434),"")</f>
        <v/>
      </c>
      <c r="K434">
        <f>IF(ISNUMBER(B434),INT(B434),0)</f>
        <v/>
      </c>
      <c r="L434">
        <f>IF(AND(ISNUMBER(D434),N(D434)&gt;0),K434,0)</f>
        <v/>
      </c>
    </row>
    <row r="435">
      <c r="A435" s="1" t="n"/>
      <c r="B435" s="21" t="n"/>
      <c r="C435" s="22" t="n"/>
      <c r="D435" s="46" t="n"/>
      <c r="E435" s="25" t="n"/>
      <c r="F435" s="25" t="n"/>
      <c r="G435" s="17">
        <f>IF(AND(C435="",D435=""),"",IF(NOT(ISNUMBER(B435)),"Needs a date",IF(AND(D435&lt;&gt;"",NOT(ISNUMBER(D435))),"Hours not a number",IF(N(D435)&lt;=0,"Needs the hours",IF(C435="","Needs a name",IF(COUNTIF(Volunteers!$B$6:$B$105,C435)=0,"Not on Volunteers",""))))))</f>
        <v/>
      </c>
      <c r="H435" s="1" t="n"/>
      <c r="I435">
        <f>IF(ISNUMBER(B435),YEAR(B435),"")</f>
        <v/>
      </c>
      <c r="J435">
        <f>IF(ISNUMBER(B435),YEAR(B435)*100+MONTH(B435),"")</f>
        <v/>
      </c>
      <c r="K435">
        <f>IF(ISNUMBER(B435),INT(B435),0)</f>
        <v/>
      </c>
      <c r="L435">
        <f>IF(AND(ISNUMBER(D435),N(D435)&gt;0),K435,0)</f>
        <v/>
      </c>
    </row>
    <row r="436">
      <c r="A436" s="1" t="n"/>
      <c r="B436" s="21" t="n"/>
      <c r="C436" s="22" t="n"/>
      <c r="D436" s="46" t="n"/>
      <c r="E436" s="25" t="n"/>
      <c r="F436" s="25" t="n"/>
      <c r="G436" s="17">
        <f>IF(AND(C436="",D436=""),"",IF(NOT(ISNUMBER(B436)),"Needs a date",IF(AND(D436&lt;&gt;"",NOT(ISNUMBER(D436))),"Hours not a number",IF(N(D436)&lt;=0,"Needs the hours",IF(C436="","Needs a name",IF(COUNTIF(Volunteers!$B$6:$B$105,C436)=0,"Not on Volunteers",""))))))</f>
        <v/>
      </c>
      <c r="H436" s="1" t="n"/>
      <c r="I436">
        <f>IF(ISNUMBER(B436),YEAR(B436),"")</f>
        <v/>
      </c>
      <c r="J436">
        <f>IF(ISNUMBER(B436),YEAR(B436)*100+MONTH(B436),"")</f>
        <v/>
      </c>
      <c r="K436">
        <f>IF(ISNUMBER(B436),INT(B436),0)</f>
        <v/>
      </c>
      <c r="L436">
        <f>IF(AND(ISNUMBER(D436),N(D436)&gt;0),K436,0)</f>
        <v/>
      </c>
    </row>
    <row r="437">
      <c r="A437" s="1" t="n"/>
      <c r="B437" s="21" t="n"/>
      <c r="C437" s="22" t="n"/>
      <c r="D437" s="46" t="n"/>
      <c r="E437" s="25" t="n"/>
      <c r="F437" s="25" t="n"/>
      <c r="G437" s="17">
        <f>IF(AND(C437="",D437=""),"",IF(NOT(ISNUMBER(B437)),"Needs a date",IF(AND(D437&lt;&gt;"",NOT(ISNUMBER(D437))),"Hours not a number",IF(N(D437)&lt;=0,"Needs the hours",IF(C437="","Needs a name",IF(COUNTIF(Volunteers!$B$6:$B$105,C437)=0,"Not on Volunteers",""))))))</f>
        <v/>
      </c>
      <c r="H437" s="1" t="n"/>
      <c r="I437">
        <f>IF(ISNUMBER(B437),YEAR(B437),"")</f>
        <v/>
      </c>
      <c r="J437">
        <f>IF(ISNUMBER(B437),YEAR(B437)*100+MONTH(B437),"")</f>
        <v/>
      </c>
      <c r="K437">
        <f>IF(ISNUMBER(B437),INT(B437),0)</f>
        <v/>
      </c>
      <c r="L437">
        <f>IF(AND(ISNUMBER(D437),N(D437)&gt;0),K437,0)</f>
        <v/>
      </c>
    </row>
    <row r="438">
      <c r="A438" s="1" t="n"/>
      <c r="B438" s="21" t="n"/>
      <c r="C438" s="22" t="n"/>
      <c r="D438" s="46" t="n"/>
      <c r="E438" s="25" t="n"/>
      <c r="F438" s="25" t="n"/>
      <c r="G438" s="17">
        <f>IF(AND(C438="",D438=""),"",IF(NOT(ISNUMBER(B438)),"Needs a date",IF(AND(D438&lt;&gt;"",NOT(ISNUMBER(D438))),"Hours not a number",IF(N(D438)&lt;=0,"Needs the hours",IF(C438="","Needs a name",IF(COUNTIF(Volunteers!$B$6:$B$105,C438)=0,"Not on Volunteers",""))))))</f>
        <v/>
      </c>
      <c r="H438" s="1" t="n"/>
      <c r="I438">
        <f>IF(ISNUMBER(B438),YEAR(B438),"")</f>
        <v/>
      </c>
      <c r="J438">
        <f>IF(ISNUMBER(B438),YEAR(B438)*100+MONTH(B438),"")</f>
        <v/>
      </c>
      <c r="K438">
        <f>IF(ISNUMBER(B438),INT(B438),0)</f>
        <v/>
      </c>
      <c r="L438">
        <f>IF(AND(ISNUMBER(D438),N(D438)&gt;0),K438,0)</f>
        <v/>
      </c>
    </row>
    <row r="439">
      <c r="A439" s="1" t="n"/>
      <c r="B439" s="21" t="n"/>
      <c r="C439" s="22" t="n"/>
      <c r="D439" s="46" t="n"/>
      <c r="E439" s="25" t="n"/>
      <c r="F439" s="25" t="n"/>
      <c r="G439" s="17">
        <f>IF(AND(C439="",D439=""),"",IF(NOT(ISNUMBER(B439)),"Needs a date",IF(AND(D439&lt;&gt;"",NOT(ISNUMBER(D439))),"Hours not a number",IF(N(D439)&lt;=0,"Needs the hours",IF(C439="","Needs a name",IF(COUNTIF(Volunteers!$B$6:$B$105,C439)=0,"Not on Volunteers",""))))))</f>
        <v/>
      </c>
      <c r="H439" s="1" t="n"/>
      <c r="I439">
        <f>IF(ISNUMBER(B439),YEAR(B439),"")</f>
        <v/>
      </c>
      <c r="J439">
        <f>IF(ISNUMBER(B439),YEAR(B439)*100+MONTH(B439),"")</f>
        <v/>
      </c>
      <c r="K439">
        <f>IF(ISNUMBER(B439),INT(B439),0)</f>
        <v/>
      </c>
      <c r="L439">
        <f>IF(AND(ISNUMBER(D439),N(D439)&gt;0),K439,0)</f>
        <v/>
      </c>
    </row>
    <row r="440">
      <c r="A440" s="1" t="n"/>
      <c r="B440" s="21" t="n"/>
      <c r="C440" s="22" t="n"/>
      <c r="D440" s="46" t="n"/>
      <c r="E440" s="25" t="n"/>
      <c r="F440" s="25" t="n"/>
      <c r="G440" s="17">
        <f>IF(AND(C440="",D440=""),"",IF(NOT(ISNUMBER(B440)),"Needs a date",IF(AND(D440&lt;&gt;"",NOT(ISNUMBER(D440))),"Hours not a number",IF(N(D440)&lt;=0,"Needs the hours",IF(C440="","Needs a name",IF(COUNTIF(Volunteers!$B$6:$B$105,C440)=0,"Not on Volunteers",""))))))</f>
        <v/>
      </c>
      <c r="H440" s="1" t="n"/>
      <c r="I440">
        <f>IF(ISNUMBER(B440),YEAR(B440),"")</f>
        <v/>
      </c>
      <c r="J440">
        <f>IF(ISNUMBER(B440),YEAR(B440)*100+MONTH(B440),"")</f>
        <v/>
      </c>
      <c r="K440">
        <f>IF(ISNUMBER(B440),INT(B440),0)</f>
        <v/>
      </c>
      <c r="L440">
        <f>IF(AND(ISNUMBER(D440),N(D440)&gt;0),K440,0)</f>
        <v/>
      </c>
    </row>
    <row r="441">
      <c r="A441" s="1" t="n"/>
      <c r="B441" s="21" t="n"/>
      <c r="C441" s="22" t="n"/>
      <c r="D441" s="46" t="n"/>
      <c r="E441" s="25" t="n"/>
      <c r="F441" s="25" t="n"/>
      <c r="G441" s="17">
        <f>IF(AND(C441="",D441=""),"",IF(NOT(ISNUMBER(B441)),"Needs a date",IF(AND(D441&lt;&gt;"",NOT(ISNUMBER(D441))),"Hours not a number",IF(N(D441)&lt;=0,"Needs the hours",IF(C441="","Needs a name",IF(COUNTIF(Volunteers!$B$6:$B$105,C441)=0,"Not on Volunteers",""))))))</f>
        <v/>
      </c>
      <c r="H441" s="1" t="n"/>
      <c r="I441">
        <f>IF(ISNUMBER(B441),YEAR(B441),"")</f>
        <v/>
      </c>
      <c r="J441">
        <f>IF(ISNUMBER(B441),YEAR(B441)*100+MONTH(B441),"")</f>
        <v/>
      </c>
      <c r="K441">
        <f>IF(ISNUMBER(B441),INT(B441),0)</f>
        <v/>
      </c>
      <c r="L441">
        <f>IF(AND(ISNUMBER(D441),N(D441)&gt;0),K441,0)</f>
        <v/>
      </c>
    </row>
    <row r="442">
      <c r="A442" s="1" t="n"/>
      <c r="B442" s="21" t="n"/>
      <c r="C442" s="22" t="n"/>
      <c r="D442" s="46" t="n"/>
      <c r="E442" s="25" t="n"/>
      <c r="F442" s="25" t="n"/>
      <c r="G442" s="17">
        <f>IF(AND(C442="",D442=""),"",IF(NOT(ISNUMBER(B442)),"Needs a date",IF(AND(D442&lt;&gt;"",NOT(ISNUMBER(D442))),"Hours not a number",IF(N(D442)&lt;=0,"Needs the hours",IF(C442="","Needs a name",IF(COUNTIF(Volunteers!$B$6:$B$105,C442)=0,"Not on Volunteers",""))))))</f>
        <v/>
      </c>
      <c r="H442" s="1" t="n"/>
      <c r="I442">
        <f>IF(ISNUMBER(B442),YEAR(B442),"")</f>
        <v/>
      </c>
      <c r="J442">
        <f>IF(ISNUMBER(B442),YEAR(B442)*100+MONTH(B442),"")</f>
        <v/>
      </c>
      <c r="K442">
        <f>IF(ISNUMBER(B442),INT(B442),0)</f>
        <v/>
      </c>
      <c r="L442">
        <f>IF(AND(ISNUMBER(D442),N(D442)&gt;0),K442,0)</f>
        <v/>
      </c>
    </row>
    <row r="443">
      <c r="A443" s="1" t="n"/>
      <c r="B443" s="21" t="n"/>
      <c r="C443" s="22" t="n"/>
      <c r="D443" s="46" t="n"/>
      <c r="E443" s="25" t="n"/>
      <c r="F443" s="25" t="n"/>
      <c r="G443" s="17">
        <f>IF(AND(C443="",D443=""),"",IF(NOT(ISNUMBER(B443)),"Needs a date",IF(AND(D443&lt;&gt;"",NOT(ISNUMBER(D443))),"Hours not a number",IF(N(D443)&lt;=0,"Needs the hours",IF(C443="","Needs a name",IF(COUNTIF(Volunteers!$B$6:$B$105,C443)=0,"Not on Volunteers",""))))))</f>
        <v/>
      </c>
      <c r="H443" s="1" t="n"/>
      <c r="I443">
        <f>IF(ISNUMBER(B443),YEAR(B443),"")</f>
        <v/>
      </c>
      <c r="J443">
        <f>IF(ISNUMBER(B443),YEAR(B443)*100+MONTH(B443),"")</f>
        <v/>
      </c>
      <c r="K443">
        <f>IF(ISNUMBER(B443),INT(B443),0)</f>
        <v/>
      </c>
      <c r="L443">
        <f>IF(AND(ISNUMBER(D443),N(D443)&gt;0),K443,0)</f>
        <v/>
      </c>
    </row>
    <row r="444">
      <c r="A444" s="1" t="n"/>
      <c r="B444" s="21" t="n"/>
      <c r="C444" s="22" t="n"/>
      <c r="D444" s="46" t="n"/>
      <c r="E444" s="25" t="n"/>
      <c r="F444" s="25" t="n"/>
      <c r="G444" s="17">
        <f>IF(AND(C444="",D444=""),"",IF(NOT(ISNUMBER(B444)),"Needs a date",IF(AND(D444&lt;&gt;"",NOT(ISNUMBER(D444))),"Hours not a number",IF(N(D444)&lt;=0,"Needs the hours",IF(C444="","Needs a name",IF(COUNTIF(Volunteers!$B$6:$B$105,C444)=0,"Not on Volunteers",""))))))</f>
        <v/>
      </c>
      <c r="H444" s="1" t="n"/>
      <c r="I444">
        <f>IF(ISNUMBER(B444),YEAR(B444),"")</f>
        <v/>
      </c>
      <c r="J444">
        <f>IF(ISNUMBER(B444),YEAR(B444)*100+MONTH(B444),"")</f>
        <v/>
      </c>
      <c r="K444">
        <f>IF(ISNUMBER(B444),INT(B444),0)</f>
        <v/>
      </c>
      <c r="L444">
        <f>IF(AND(ISNUMBER(D444),N(D444)&gt;0),K444,0)</f>
        <v/>
      </c>
    </row>
    <row r="445">
      <c r="A445" s="1" t="n"/>
      <c r="B445" s="21" t="n"/>
      <c r="C445" s="22" t="n"/>
      <c r="D445" s="46" t="n"/>
      <c r="E445" s="25" t="n"/>
      <c r="F445" s="25" t="n"/>
      <c r="G445" s="17">
        <f>IF(AND(C445="",D445=""),"",IF(NOT(ISNUMBER(B445)),"Needs a date",IF(AND(D445&lt;&gt;"",NOT(ISNUMBER(D445))),"Hours not a number",IF(N(D445)&lt;=0,"Needs the hours",IF(C445="","Needs a name",IF(COUNTIF(Volunteers!$B$6:$B$105,C445)=0,"Not on Volunteers",""))))))</f>
        <v/>
      </c>
      <c r="H445" s="1" t="n"/>
      <c r="I445">
        <f>IF(ISNUMBER(B445),YEAR(B445),"")</f>
        <v/>
      </c>
      <c r="J445">
        <f>IF(ISNUMBER(B445),YEAR(B445)*100+MONTH(B445),"")</f>
        <v/>
      </c>
      <c r="K445">
        <f>IF(ISNUMBER(B445),INT(B445),0)</f>
        <v/>
      </c>
      <c r="L445">
        <f>IF(AND(ISNUMBER(D445),N(D445)&gt;0),K445,0)</f>
        <v/>
      </c>
    </row>
    <row r="446">
      <c r="A446" s="1" t="n"/>
      <c r="B446" s="21" t="n"/>
      <c r="C446" s="22" t="n"/>
      <c r="D446" s="46" t="n"/>
      <c r="E446" s="25" t="n"/>
      <c r="F446" s="25" t="n"/>
      <c r="G446" s="17">
        <f>IF(AND(C446="",D446=""),"",IF(NOT(ISNUMBER(B446)),"Needs a date",IF(AND(D446&lt;&gt;"",NOT(ISNUMBER(D446))),"Hours not a number",IF(N(D446)&lt;=0,"Needs the hours",IF(C446="","Needs a name",IF(COUNTIF(Volunteers!$B$6:$B$105,C446)=0,"Not on Volunteers",""))))))</f>
        <v/>
      </c>
      <c r="H446" s="1" t="n"/>
      <c r="I446">
        <f>IF(ISNUMBER(B446),YEAR(B446),"")</f>
        <v/>
      </c>
      <c r="J446">
        <f>IF(ISNUMBER(B446),YEAR(B446)*100+MONTH(B446),"")</f>
        <v/>
      </c>
      <c r="K446">
        <f>IF(ISNUMBER(B446),INT(B446),0)</f>
        <v/>
      </c>
      <c r="L446">
        <f>IF(AND(ISNUMBER(D446),N(D446)&gt;0),K446,0)</f>
        <v/>
      </c>
    </row>
    <row r="447">
      <c r="A447" s="1" t="n"/>
      <c r="B447" s="21" t="n"/>
      <c r="C447" s="22" t="n"/>
      <c r="D447" s="46" t="n"/>
      <c r="E447" s="25" t="n"/>
      <c r="F447" s="25" t="n"/>
      <c r="G447" s="17">
        <f>IF(AND(C447="",D447=""),"",IF(NOT(ISNUMBER(B447)),"Needs a date",IF(AND(D447&lt;&gt;"",NOT(ISNUMBER(D447))),"Hours not a number",IF(N(D447)&lt;=0,"Needs the hours",IF(C447="","Needs a name",IF(COUNTIF(Volunteers!$B$6:$B$105,C447)=0,"Not on Volunteers",""))))))</f>
        <v/>
      </c>
      <c r="H447" s="1" t="n"/>
      <c r="I447">
        <f>IF(ISNUMBER(B447),YEAR(B447),"")</f>
        <v/>
      </c>
      <c r="J447">
        <f>IF(ISNUMBER(B447),YEAR(B447)*100+MONTH(B447),"")</f>
        <v/>
      </c>
      <c r="K447">
        <f>IF(ISNUMBER(B447),INT(B447),0)</f>
        <v/>
      </c>
      <c r="L447">
        <f>IF(AND(ISNUMBER(D447),N(D447)&gt;0),K447,0)</f>
        <v/>
      </c>
    </row>
    <row r="448">
      <c r="A448" s="1" t="n"/>
      <c r="B448" s="21" t="n"/>
      <c r="C448" s="22" t="n"/>
      <c r="D448" s="46" t="n"/>
      <c r="E448" s="25" t="n"/>
      <c r="F448" s="25" t="n"/>
      <c r="G448" s="17">
        <f>IF(AND(C448="",D448=""),"",IF(NOT(ISNUMBER(B448)),"Needs a date",IF(AND(D448&lt;&gt;"",NOT(ISNUMBER(D448))),"Hours not a number",IF(N(D448)&lt;=0,"Needs the hours",IF(C448="","Needs a name",IF(COUNTIF(Volunteers!$B$6:$B$105,C448)=0,"Not on Volunteers",""))))))</f>
        <v/>
      </c>
      <c r="H448" s="1" t="n"/>
      <c r="I448">
        <f>IF(ISNUMBER(B448),YEAR(B448),"")</f>
        <v/>
      </c>
      <c r="J448">
        <f>IF(ISNUMBER(B448),YEAR(B448)*100+MONTH(B448),"")</f>
        <v/>
      </c>
      <c r="K448">
        <f>IF(ISNUMBER(B448),INT(B448),0)</f>
        <v/>
      </c>
      <c r="L448">
        <f>IF(AND(ISNUMBER(D448),N(D448)&gt;0),K448,0)</f>
        <v/>
      </c>
    </row>
    <row r="449">
      <c r="A449" s="1" t="n"/>
      <c r="B449" s="21" t="n"/>
      <c r="C449" s="22" t="n"/>
      <c r="D449" s="46" t="n"/>
      <c r="E449" s="25" t="n"/>
      <c r="F449" s="25" t="n"/>
      <c r="G449" s="17">
        <f>IF(AND(C449="",D449=""),"",IF(NOT(ISNUMBER(B449)),"Needs a date",IF(AND(D449&lt;&gt;"",NOT(ISNUMBER(D449))),"Hours not a number",IF(N(D449)&lt;=0,"Needs the hours",IF(C449="","Needs a name",IF(COUNTIF(Volunteers!$B$6:$B$105,C449)=0,"Not on Volunteers",""))))))</f>
        <v/>
      </c>
      <c r="H449" s="1" t="n"/>
      <c r="I449">
        <f>IF(ISNUMBER(B449),YEAR(B449),"")</f>
        <v/>
      </c>
      <c r="J449">
        <f>IF(ISNUMBER(B449),YEAR(B449)*100+MONTH(B449),"")</f>
        <v/>
      </c>
      <c r="K449">
        <f>IF(ISNUMBER(B449),INT(B449),0)</f>
        <v/>
      </c>
      <c r="L449">
        <f>IF(AND(ISNUMBER(D449),N(D449)&gt;0),K449,0)</f>
        <v/>
      </c>
    </row>
    <row r="450">
      <c r="A450" s="1" t="n"/>
      <c r="B450" s="21" t="n"/>
      <c r="C450" s="22" t="n"/>
      <c r="D450" s="46" t="n"/>
      <c r="E450" s="25" t="n"/>
      <c r="F450" s="25" t="n"/>
      <c r="G450" s="17">
        <f>IF(AND(C450="",D450=""),"",IF(NOT(ISNUMBER(B450)),"Needs a date",IF(AND(D450&lt;&gt;"",NOT(ISNUMBER(D450))),"Hours not a number",IF(N(D450)&lt;=0,"Needs the hours",IF(C450="","Needs a name",IF(COUNTIF(Volunteers!$B$6:$B$105,C450)=0,"Not on Volunteers",""))))))</f>
        <v/>
      </c>
      <c r="H450" s="1" t="n"/>
      <c r="I450">
        <f>IF(ISNUMBER(B450),YEAR(B450),"")</f>
        <v/>
      </c>
      <c r="J450">
        <f>IF(ISNUMBER(B450),YEAR(B450)*100+MONTH(B450),"")</f>
        <v/>
      </c>
      <c r="K450">
        <f>IF(ISNUMBER(B450),INT(B450),0)</f>
        <v/>
      </c>
      <c r="L450">
        <f>IF(AND(ISNUMBER(D450),N(D450)&gt;0),K450,0)</f>
        <v/>
      </c>
    </row>
    <row r="451">
      <c r="A451" s="1" t="n"/>
      <c r="B451" s="21" t="n"/>
      <c r="C451" s="22" t="n"/>
      <c r="D451" s="46" t="n"/>
      <c r="E451" s="25" t="n"/>
      <c r="F451" s="25" t="n"/>
      <c r="G451" s="17">
        <f>IF(AND(C451="",D451=""),"",IF(NOT(ISNUMBER(B451)),"Needs a date",IF(AND(D451&lt;&gt;"",NOT(ISNUMBER(D451))),"Hours not a number",IF(N(D451)&lt;=0,"Needs the hours",IF(C451="","Needs a name",IF(COUNTIF(Volunteers!$B$6:$B$105,C451)=0,"Not on Volunteers",""))))))</f>
        <v/>
      </c>
      <c r="H451" s="1" t="n"/>
      <c r="I451">
        <f>IF(ISNUMBER(B451),YEAR(B451),"")</f>
        <v/>
      </c>
      <c r="J451">
        <f>IF(ISNUMBER(B451),YEAR(B451)*100+MONTH(B451),"")</f>
        <v/>
      </c>
      <c r="K451">
        <f>IF(ISNUMBER(B451),INT(B451),0)</f>
        <v/>
      </c>
      <c r="L451">
        <f>IF(AND(ISNUMBER(D451),N(D451)&gt;0),K451,0)</f>
        <v/>
      </c>
    </row>
    <row r="452">
      <c r="A452" s="1" t="n"/>
      <c r="B452" s="21" t="n"/>
      <c r="C452" s="22" t="n"/>
      <c r="D452" s="46" t="n"/>
      <c r="E452" s="25" t="n"/>
      <c r="F452" s="25" t="n"/>
      <c r="G452" s="17">
        <f>IF(AND(C452="",D452=""),"",IF(NOT(ISNUMBER(B452)),"Needs a date",IF(AND(D452&lt;&gt;"",NOT(ISNUMBER(D452))),"Hours not a number",IF(N(D452)&lt;=0,"Needs the hours",IF(C452="","Needs a name",IF(COUNTIF(Volunteers!$B$6:$B$105,C452)=0,"Not on Volunteers",""))))))</f>
        <v/>
      </c>
      <c r="H452" s="1" t="n"/>
      <c r="I452">
        <f>IF(ISNUMBER(B452),YEAR(B452),"")</f>
        <v/>
      </c>
      <c r="J452">
        <f>IF(ISNUMBER(B452),YEAR(B452)*100+MONTH(B452),"")</f>
        <v/>
      </c>
      <c r="K452">
        <f>IF(ISNUMBER(B452),INT(B452),0)</f>
        <v/>
      </c>
      <c r="L452">
        <f>IF(AND(ISNUMBER(D452),N(D452)&gt;0),K452,0)</f>
        <v/>
      </c>
    </row>
    <row r="453">
      <c r="A453" s="1" t="n"/>
      <c r="B453" s="21" t="n"/>
      <c r="C453" s="22" t="n"/>
      <c r="D453" s="46" t="n"/>
      <c r="E453" s="25" t="n"/>
      <c r="F453" s="25" t="n"/>
      <c r="G453" s="17">
        <f>IF(AND(C453="",D453=""),"",IF(NOT(ISNUMBER(B453)),"Needs a date",IF(AND(D453&lt;&gt;"",NOT(ISNUMBER(D453))),"Hours not a number",IF(N(D453)&lt;=0,"Needs the hours",IF(C453="","Needs a name",IF(COUNTIF(Volunteers!$B$6:$B$105,C453)=0,"Not on Volunteers",""))))))</f>
        <v/>
      </c>
      <c r="H453" s="1" t="n"/>
      <c r="I453">
        <f>IF(ISNUMBER(B453),YEAR(B453),"")</f>
        <v/>
      </c>
      <c r="J453">
        <f>IF(ISNUMBER(B453),YEAR(B453)*100+MONTH(B453),"")</f>
        <v/>
      </c>
      <c r="K453">
        <f>IF(ISNUMBER(B453),INT(B453),0)</f>
        <v/>
      </c>
      <c r="L453">
        <f>IF(AND(ISNUMBER(D453),N(D453)&gt;0),K453,0)</f>
        <v/>
      </c>
    </row>
    <row r="454">
      <c r="A454" s="1" t="n"/>
      <c r="B454" s="21" t="n"/>
      <c r="C454" s="22" t="n"/>
      <c r="D454" s="46" t="n"/>
      <c r="E454" s="25" t="n"/>
      <c r="F454" s="25" t="n"/>
      <c r="G454" s="17">
        <f>IF(AND(C454="",D454=""),"",IF(NOT(ISNUMBER(B454)),"Needs a date",IF(AND(D454&lt;&gt;"",NOT(ISNUMBER(D454))),"Hours not a number",IF(N(D454)&lt;=0,"Needs the hours",IF(C454="","Needs a name",IF(COUNTIF(Volunteers!$B$6:$B$105,C454)=0,"Not on Volunteers",""))))))</f>
        <v/>
      </c>
      <c r="H454" s="1" t="n"/>
      <c r="I454">
        <f>IF(ISNUMBER(B454),YEAR(B454),"")</f>
        <v/>
      </c>
      <c r="J454">
        <f>IF(ISNUMBER(B454),YEAR(B454)*100+MONTH(B454),"")</f>
        <v/>
      </c>
      <c r="K454">
        <f>IF(ISNUMBER(B454),INT(B454),0)</f>
        <v/>
      </c>
      <c r="L454">
        <f>IF(AND(ISNUMBER(D454),N(D454)&gt;0),K454,0)</f>
        <v/>
      </c>
    </row>
    <row r="455">
      <c r="A455" s="1" t="n"/>
      <c r="B455" s="21" t="n"/>
      <c r="C455" s="22" t="n"/>
      <c r="D455" s="46" t="n"/>
      <c r="E455" s="25" t="n"/>
      <c r="F455" s="25" t="n"/>
      <c r="G455" s="17">
        <f>IF(AND(C455="",D455=""),"",IF(NOT(ISNUMBER(B455)),"Needs a date",IF(AND(D455&lt;&gt;"",NOT(ISNUMBER(D455))),"Hours not a number",IF(N(D455)&lt;=0,"Needs the hours",IF(C455="","Needs a name",IF(COUNTIF(Volunteers!$B$6:$B$105,C455)=0,"Not on Volunteers",""))))))</f>
        <v/>
      </c>
      <c r="H455" s="1" t="n"/>
      <c r="I455">
        <f>IF(ISNUMBER(B455),YEAR(B455),"")</f>
        <v/>
      </c>
      <c r="J455">
        <f>IF(ISNUMBER(B455),YEAR(B455)*100+MONTH(B455),"")</f>
        <v/>
      </c>
      <c r="K455">
        <f>IF(ISNUMBER(B455),INT(B455),0)</f>
        <v/>
      </c>
      <c r="L455">
        <f>IF(AND(ISNUMBER(D455),N(D455)&gt;0),K455,0)</f>
        <v/>
      </c>
    </row>
    <row r="456">
      <c r="A456" s="1" t="n"/>
      <c r="B456" s="21" t="n"/>
      <c r="C456" s="22" t="n"/>
      <c r="D456" s="46" t="n"/>
      <c r="E456" s="25" t="n"/>
      <c r="F456" s="25" t="n"/>
      <c r="G456" s="17">
        <f>IF(AND(C456="",D456=""),"",IF(NOT(ISNUMBER(B456)),"Needs a date",IF(AND(D456&lt;&gt;"",NOT(ISNUMBER(D456))),"Hours not a number",IF(N(D456)&lt;=0,"Needs the hours",IF(C456="","Needs a name",IF(COUNTIF(Volunteers!$B$6:$B$105,C456)=0,"Not on Volunteers",""))))))</f>
        <v/>
      </c>
      <c r="H456" s="1" t="n"/>
      <c r="I456">
        <f>IF(ISNUMBER(B456),YEAR(B456),"")</f>
        <v/>
      </c>
      <c r="J456">
        <f>IF(ISNUMBER(B456),YEAR(B456)*100+MONTH(B456),"")</f>
        <v/>
      </c>
      <c r="K456">
        <f>IF(ISNUMBER(B456),INT(B456),0)</f>
        <v/>
      </c>
      <c r="L456">
        <f>IF(AND(ISNUMBER(D456),N(D456)&gt;0),K456,0)</f>
        <v/>
      </c>
    </row>
    <row r="457">
      <c r="A457" s="1" t="n"/>
      <c r="B457" s="21" t="n"/>
      <c r="C457" s="22" t="n"/>
      <c r="D457" s="46" t="n"/>
      <c r="E457" s="25" t="n"/>
      <c r="F457" s="25" t="n"/>
      <c r="G457" s="17">
        <f>IF(AND(C457="",D457=""),"",IF(NOT(ISNUMBER(B457)),"Needs a date",IF(AND(D457&lt;&gt;"",NOT(ISNUMBER(D457))),"Hours not a number",IF(N(D457)&lt;=0,"Needs the hours",IF(C457="","Needs a name",IF(COUNTIF(Volunteers!$B$6:$B$105,C457)=0,"Not on Volunteers",""))))))</f>
        <v/>
      </c>
      <c r="H457" s="1" t="n"/>
      <c r="I457">
        <f>IF(ISNUMBER(B457),YEAR(B457),"")</f>
        <v/>
      </c>
      <c r="J457">
        <f>IF(ISNUMBER(B457),YEAR(B457)*100+MONTH(B457),"")</f>
        <v/>
      </c>
      <c r="K457">
        <f>IF(ISNUMBER(B457),INT(B457),0)</f>
        <v/>
      </c>
      <c r="L457">
        <f>IF(AND(ISNUMBER(D457),N(D457)&gt;0),K457,0)</f>
        <v/>
      </c>
    </row>
    <row r="458">
      <c r="A458" s="1" t="n"/>
      <c r="B458" s="21" t="n"/>
      <c r="C458" s="22" t="n"/>
      <c r="D458" s="46" t="n"/>
      <c r="E458" s="25" t="n"/>
      <c r="F458" s="25" t="n"/>
      <c r="G458" s="17">
        <f>IF(AND(C458="",D458=""),"",IF(NOT(ISNUMBER(B458)),"Needs a date",IF(AND(D458&lt;&gt;"",NOT(ISNUMBER(D458))),"Hours not a number",IF(N(D458)&lt;=0,"Needs the hours",IF(C458="","Needs a name",IF(COUNTIF(Volunteers!$B$6:$B$105,C458)=0,"Not on Volunteers",""))))))</f>
        <v/>
      </c>
      <c r="H458" s="1" t="n"/>
      <c r="I458">
        <f>IF(ISNUMBER(B458),YEAR(B458),"")</f>
        <v/>
      </c>
      <c r="J458">
        <f>IF(ISNUMBER(B458),YEAR(B458)*100+MONTH(B458),"")</f>
        <v/>
      </c>
      <c r="K458">
        <f>IF(ISNUMBER(B458),INT(B458),0)</f>
        <v/>
      </c>
      <c r="L458">
        <f>IF(AND(ISNUMBER(D458),N(D458)&gt;0),K458,0)</f>
        <v/>
      </c>
    </row>
    <row r="459">
      <c r="A459" s="1" t="n"/>
      <c r="B459" s="21" t="n"/>
      <c r="C459" s="22" t="n"/>
      <c r="D459" s="46" t="n"/>
      <c r="E459" s="25" t="n"/>
      <c r="F459" s="25" t="n"/>
      <c r="G459" s="17">
        <f>IF(AND(C459="",D459=""),"",IF(NOT(ISNUMBER(B459)),"Needs a date",IF(AND(D459&lt;&gt;"",NOT(ISNUMBER(D459))),"Hours not a number",IF(N(D459)&lt;=0,"Needs the hours",IF(C459="","Needs a name",IF(COUNTIF(Volunteers!$B$6:$B$105,C459)=0,"Not on Volunteers",""))))))</f>
        <v/>
      </c>
      <c r="H459" s="1" t="n"/>
      <c r="I459">
        <f>IF(ISNUMBER(B459),YEAR(B459),"")</f>
        <v/>
      </c>
      <c r="J459">
        <f>IF(ISNUMBER(B459),YEAR(B459)*100+MONTH(B459),"")</f>
        <v/>
      </c>
      <c r="K459">
        <f>IF(ISNUMBER(B459),INT(B459),0)</f>
        <v/>
      </c>
      <c r="L459">
        <f>IF(AND(ISNUMBER(D459),N(D459)&gt;0),K459,0)</f>
        <v/>
      </c>
    </row>
    <row r="460">
      <c r="A460" s="1" t="n"/>
      <c r="B460" s="21" t="n"/>
      <c r="C460" s="22" t="n"/>
      <c r="D460" s="46" t="n"/>
      <c r="E460" s="25" t="n"/>
      <c r="F460" s="25" t="n"/>
      <c r="G460" s="17">
        <f>IF(AND(C460="",D460=""),"",IF(NOT(ISNUMBER(B460)),"Needs a date",IF(AND(D460&lt;&gt;"",NOT(ISNUMBER(D460))),"Hours not a number",IF(N(D460)&lt;=0,"Needs the hours",IF(C460="","Needs a name",IF(COUNTIF(Volunteers!$B$6:$B$105,C460)=0,"Not on Volunteers",""))))))</f>
        <v/>
      </c>
      <c r="H460" s="1" t="n"/>
      <c r="I460">
        <f>IF(ISNUMBER(B460),YEAR(B460),"")</f>
        <v/>
      </c>
      <c r="J460">
        <f>IF(ISNUMBER(B460),YEAR(B460)*100+MONTH(B460),"")</f>
        <v/>
      </c>
      <c r="K460">
        <f>IF(ISNUMBER(B460),INT(B460),0)</f>
        <v/>
      </c>
      <c r="L460">
        <f>IF(AND(ISNUMBER(D460),N(D460)&gt;0),K460,0)</f>
        <v/>
      </c>
    </row>
    <row r="461">
      <c r="A461" s="1" t="n"/>
      <c r="B461" s="21" t="n"/>
      <c r="C461" s="22" t="n"/>
      <c r="D461" s="46" t="n"/>
      <c r="E461" s="25" t="n"/>
      <c r="F461" s="25" t="n"/>
      <c r="G461" s="17">
        <f>IF(AND(C461="",D461=""),"",IF(NOT(ISNUMBER(B461)),"Needs a date",IF(AND(D461&lt;&gt;"",NOT(ISNUMBER(D461))),"Hours not a number",IF(N(D461)&lt;=0,"Needs the hours",IF(C461="","Needs a name",IF(COUNTIF(Volunteers!$B$6:$B$105,C461)=0,"Not on Volunteers",""))))))</f>
        <v/>
      </c>
      <c r="H461" s="1" t="n"/>
      <c r="I461">
        <f>IF(ISNUMBER(B461),YEAR(B461),"")</f>
        <v/>
      </c>
      <c r="J461">
        <f>IF(ISNUMBER(B461),YEAR(B461)*100+MONTH(B461),"")</f>
        <v/>
      </c>
      <c r="K461">
        <f>IF(ISNUMBER(B461),INT(B461),0)</f>
        <v/>
      </c>
      <c r="L461">
        <f>IF(AND(ISNUMBER(D461),N(D461)&gt;0),K461,0)</f>
        <v/>
      </c>
    </row>
    <row r="462">
      <c r="A462" s="1" t="n"/>
      <c r="B462" s="21" t="n"/>
      <c r="C462" s="22" t="n"/>
      <c r="D462" s="46" t="n"/>
      <c r="E462" s="25" t="n"/>
      <c r="F462" s="25" t="n"/>
      <c r="G462" s="17">
        <f>IF(AND(C462="",D462=""),"",IF(NOT(ISNUMBER(B462)),"Needs a date",IF(AND(D462&lt;&gt;"",NOT(ISNUMBER(D462))),"Hours not a number",IF(N(D462)&lt;=0,"Needs the hours",IF(C462="","Needs a name",IF(COUNTIF(Volunteers!$B$6:$B$105,C462)=0,"Not on Volunteers",""))))))</f>
        <v/>
      </c>
      <c r="H462" s="1" t="n"/>
      <c r="I462">
        <f>IF(ISNUMBER(B462),YEAR(B462),"")</f>
        <v/>
      </c>
      <c r="J462">
        <f>IF(ISNUMBER(B462),YEAR(B462)*100+MONTH(B462),"")</f>
        <v/>
      </c>
      <c r="K462">
        <f>IF(ISNUMBER(B462),INT(B462),0)</f>
        <v/>
      </c>
      <c r="L462">
        <f>IF(AND(ISNUMBER(D462),N(D462)&gt;0),K462,0)</f>
        <v/>
      </c>
    </row>
    <row r="463">
      <c r="A463" s="1" t="n"/>
      <c r="B463" s="21" t="n"/>
      <c r="C463" s="22" t="n"/>
      <c r="D463" s="46" t="n"/>
      <c r="E463" s="25" t="n"/>
      <c r="F463" s="25" t="n"/>
      <c r="G463" s="17">
        <f>IF(AND(C463="",D463=""),"",IF(NOT(ISNUMBER(B463)),"Needs a date",IF(AND(D463&lt;&gt;"",NOT(ISNUMBER(D463))),"Hours not a number",IF(N(D463)&lt;=0,"Needs the hours",IF(C463="","Needs a name",IF(COUNTIF(Volunteers!$B$6:$B$105,C463)=0,"Not on Volunteers",""))))))</f>
        <v/>
      </c>
      <c r="H463" s="1" t="n"/>
      <c r="I463">
        <f>IF(ISNUMBER(B463),YEAR(B463),"")</f>
        <v/>
      </c>
      <c r="J463">
        <f>IF(ISNUMBER(B463),YEAR(B463)*100+MONTH(B463),"")</f>
        <v/>
      </c>
      <c r="K463">
        <f>IF(ISNUMBER(B463),INT(B463),0)</f>
        <v/>
      </c>
      <c r="L463">
        <f>IF(AND(ISNUMBER(D463),N(D463)&gt;0),K463,0)</f>
        <v/>
      </c>
    </row>
    <row r="464">
      <c r="A464" s="1" t="n"/>
      <c r="B464" s="21" t="n"/>
      <c r="C464" s="22" t="n"/>
      <c r="D464" s="46" t="n"/>
      <c r="E464" s="25" t="n"/>
      <c r="F464" s="25" t="n"/>
      <c r="G464" s="17">
        <f>IF(AND(C464="",D464=""),"",IF(NOT(ISNUMBER(B464)),"Needs a date",IF(AND(D464&lt;&gt;"",NOT(ISNUMBER(D464))),"Hours not a number",IF(N(D464)&lt;=0,"Needs the hours",IF(C464="","Needs a name",IF(COUNTIF(Volunteers!$B$6:$B$105,C464)=0,"Not on Volunteers",""))))))</f>
        <v/>
      </c>
      <c r="H464" s="1" t="n"/>
      <c r="I464">
        <f>IF(ISNUMBER(B464),YEAR(B464),"")</f>
        <v/>
      </c>
      <c r="J464">
        <f>IF(ISNUMBER(B464),YEAR(B464)*100+MONTH(B464),"")</f>
        <v/>
      </c>
      <c r="K464">
        <f>IF(ISNUMBER(B464),INT(B464),0)</f>
        <v/>
      </c>
      <c r="L464">
        <f>IF(AND(ISNUMBER(D464),N(D464)&gt;0),K464,0)</f>
        <v/>
      </c>
    </row>
    <row r="465">
      <c r="A465" s="1" t="n"/>
      <c r="B465" s="21" t="n"/>
      <c r="C465" s="22" t="n"/>
      <c r="D465" s="46" t="n"/>
      <c r="E465" s="25" t="n"/>
      <c r="F465" s="25" t="n"/>
      <c r="G465" s="17">
        <f>IF(AND(C465="",D465=""),"",IF(NOT(ISNUMBER(B465)),"Needs a date",IF(AND(D465&lt;&gt;"",NOT(ISNUMBER(D465))),"Hours not a number",IF(N(D465)&lt;=0,"Needs the hours",IF(C465="","Needs a name",IF(COUNTIF(Volunteers!$B$6:$B$105,C465)=0,"Not on Volunteers",""))))))</f>
        <v/>
      </c>
      <c r="H465" s="1" t="n"/>
      <c r="I465">
        <f>IF(ISNUMBER(B465),YEAR(B465),"")</f>
        <v/>
      </c>
      <c r="J465">
        <f>IF(ISNUMBER(B465),YEAR(B465)*100+MONTH(B465),"")</f>
        <v/>
      </c>
      <c r="K465">
        <f>IF(ISNUMBER(B465),INT(B465),0)</f>
        <v/>
      </c>
      <c r="L465">
        <f>IF(AND(ISNUMBER(D465),N(D465)&gt;0),K465,0)</f>
        <v/>
      </c>
    </row>
    <row r="466">
      <c r="A466" s="1" t="n"/>
      <c r="B466" s="21" t="n"/>
      <c r="C466" s="22" t="n"/>
      <c r="D466" s="46" t="n"/>
      <c r="E466" s="25" t="n"/>
      <c r="F466" s="25" t="n"/>
      <c r="G466" s="17">
        <f>IF(AND(C466="",D466=""),"",IF(NOT(ISNUMBER(B466)),"Needs a date",IF(AND(D466&lt;&gt;"",NOT(ISNUMBER(D466))),"Hours not a number",IF(N(D466)&lt;=0,"Needs the hours",IF(C466="","Needs a name",IF(COUNTIF(Volunteers!$B$6:$B$105,C466)=0,"Not on Volunteers",""))))))</f>
        <v/>
      </c>
      <c r="H466" s="1" t="n"/>
      <c r="I466">
        <f>IF(ISNUMBER(B466),YEAR(B466),"")</f>
        <v/>
      </c>
      <c r="J466">
        <f>IF(ISNUMBER(B466),YEAR(B466)*100+MONTH(B466),"")</f>
        <v/>
      </c>
      <c r="K466">
        <f>IF(ISNUMBER(B466),INT(B466),0)</f>
        <v/>
      </c>
      <c r="L466">
        <f>IF(AND(ISNUMBER(D466),N(D466)&gt;0),K466,0)</f>
        <v/>
      </c>
    </row>
    <row r="467">
      <c r="A467" s="1" t="n"/>
      <c r="B467" s="21" t="n"/>
      <c r="C467" s="22" t="n"/>
      <c r="D467" s="46" t="n"/>
      <c r="E467" s="25" t="n"/>
      <c r="F467" s="25" t="n"/>
      <c r="G467" s="17">
        <f>IF(AND(C467="",D467=""),"",IF(NOT(ISNUMBER(B467)),"Needs a date",IF(AND(D467&lt;&gt;"",NOT(ISNUMBER(D467))),"Hours not a number",IF(N(D467)&lt;=0,"Needs the hours",IF(C467="","Needs a name",IF(COUNTIF(Volunteers!$B$6:$B$105,C467)=0,"Not on Volunteers",""))))))</f>
        <v/>
      </c>
      <c r="H467" s="1" t="n"/>
      <c r="I467">
        <f>IF(ISNUMBER(B467),YEAR(B467),"")</f>
        <v/>
      </c>
      <c r="J467">
        <f>IF(ISNUMBER(B467),YEAR(B467)*100+MONTH(B467),"")</f>
        <v/>
      </c>
      <c r="K467">
        <f>IF(ISNUMBER(B467),INT(B467),0)</f>
        <v/>
      </c>
      <c r="L467">
        <f>IF(AND(ISNUMBER(D467),N(D467)&gt;0),K467,0)</f>
        <v/>
      </c>
    </row>
    <row r="468">
      <c r="A468" s="1" t="n"/>
      <c r="B468" s="21" t="n"/>
      <c r="C468" s="22" t="n"/>
      <c r="D468" s="46" t="n"/>
      <c r="E468" s="25" t="n"/>
      <c r="F468" s="25" t="n"/>
      <c r="G468" s="17">
        <f>IF(AND(C468="",D468=""),"",IF(NOT(ISNUMBER(B468)),"Needs a date",IF(AND(D468&lt;&gt;"",NOT(ISNUMBER(D468))),"Hours not a number",IF(N(D468)&lt;=0,"Needs the hours",IF(C468="","Needs a name",IF(COUNTIF(Volunteers!$B$6:$B$105,C468)=0,"Not on Volunteers",""))))))</f>
        <v/>
      </c>
      <c r="H468" s="1" t="n"/>
      <c r="I468">
        <f>IF(ISNUMBER(B468),YEAR(B468),"")</f>
        <v/>
      </c>
      <c r="J468">
        <f>IF(ISNUMBER(B468),YEAR(B468)*100+MONTH(B468),"")</f>
        <v/>
      </c>
      <c r="K468">
        <f>IF(ISNUMBER(B468),INT(B468),0)</f>
        <v/>
      </c>
      <c r="L468">
        <f>IF(AND(ISNUMBER(D468),N(D468)&gt;0),K468,0)</f>
        <v/>
      </c>
    </row>
    <row r="469">
      <c r="A469" s="1" t="n"/>
      <c r="B469" s="21" t="n"/>
      <c r="C469" s="22" t="n"/>
      <c r="D469" s="46" t="n"/>
      <c r="E469" s="25" t="n"/>
      <c r="F469" s="25" t="n"/>
      <c r="G469" s="17">
        <f>IF(AND(C469="",D469=""),"",IF(NOT(ISNUMBER(B469)),"Needs a date",IF(AND(D469&lt;&gt;"",NOT(ISNUMBER(D469))),"Hours not a number",IF(N(D469)&lt;=0,"Needs the hours",IF(C469="","Needs a name",IF(COUNTIF(Volunteers!$B$6:$B$105,C469)=0,"Not on Volunteers",""))))))</f>
        <v/>
      </c>
      <c r="H469" s="1" t="n"/>
      <c r="I469">
        <f>IF(ISNUMBER(B469),YEAR(B469),"")</f>
        <v/>
      </c>
      <c r="J469">
        <f>IF(ISNUMBER(B469),YEAR(B469)*100+MONTH(B469),"")</f>
        <v/>
      </c>
      <c r="K469">
        <f>IF(ISNUMBER(B469),INT(B469),0)</f>
        <v/>
      </c>
      <c r="L469">
        <f>IF(AND(ISNUMBER(D469),N(D469)&gt;0),K469,0)</f>
        <v/>
      </c>
    </row>
    <row r="470">
      <c r="A470" s="1" t="n"/>
      <c r="B470" s="21" t="n"/>
      <c r="C470" s="22" t="n"/>
      <c r="D470" s="46" t="n"/>
      <c r="E470" s="25" t="n"/>
      <c r="F470" s="25" t="n"/>
      <c r="G470" s="17">
        <f>IF(AND(C470="",D470=""),"",IF(NOT(ISNUMBER(B470)),"Needs a date",IF(AND(D470&lt;&gt;"",NOT(ISNUMBER(D470))),"Hours not a number",IF(N(D470)&lt;=0,"Needs the hours",IF(C470="","Needs a name",IF(COUNTIF(Volunteers!$B$6:$B$105,C470)=0,"Not on Volunteers",""))))))</f>
        <v/>
      </c>
      <c r="H470" s="1" t="n"/>
      <c r="I470">
        <f>IF(ISNUMBER(B470),YEAR(B470),"")</f>
        <v/>
      </c>
      <c r="J470">
        <f>IF(ISNUMBER(B470),YEAR(B470)*100+MONTH(B470),"")</f>
        <v/>
      </c>
      <c r="K470">
        <f>IF(ISNUMBER(B470),INT(B470),0)</f>
        <v/>
      </c>
      <c r="L470">
        <f>IF(AND(ISNUMBER(D470),N(D470)&gt;0),K470,0)</f>
        <v/>
      </c>
    </row>
    <row r="471">
      <c r="A471" s="1" t="n"/>
      <c r="B471" s="21" t="n"/>
      <c r="C471" s="22" t="n"/>
      <c r="D471" s="46" t="n"/>
      <c r="E471" s="25" t="n"/>
      <c r="F471" s="25" t="n"/>
      <c r="G471" s="17">
        <f>IF(AND(C471="",D471=""),"",IF(NOT(ISNUMBER(B471)),"Needs a date",IF(AND(D471&lt;&gt;"",NOT(ISNUMBER(D471))),"Hours not a number",IF(N(D471)&lt;=0,"Needs the hours",IF(C471="","Needs a name",IF(COUNTIF(Volunteers!$B$6:$B$105,C471)=0,"Not on Volunteers",""))))))</f>
        <v/>
      </c>
      <c r="H471" s="1" t="n"/>
      <c r="I471">
        <f>IF(ISNUMBER(B471),YEAR(B471),"")</f>
        <v/>
      </c>
      <c r="J471">
        <f>IF(ISNUMBER(B471),YEAR(B471)*100+MONTH(B471),"")</f>
        <v/>
      </c>
      <c r="K471">
        <f>IF(ISNUMBER(B471),INT(B471),0)</f>
        <v/>
      </c>
      <c r="L471">
        <f>IF(AND(ISNUMBER(D471),N(D471)&gt;0),K471,0)</f>
        <v/>
      </c>
    </row>
    <row r="472">
      <c r="A472" s="1" t="n"/>
      <c r="B472" s="21" t="n"/>
      <c r="C472" s="22" t="n"/>
      <c r="D472" s="46" t="n"/>
      <c r="E472" s="25" t="n"/>
      <c r="F472" s="25" t="n"/>
      <c r="G472" s="17">
        <f>IF(AND(C472="",D472=""),"",IF(NOT(ISNUMBER(B472)),"Needs a date",IF(AND(D472&lt;&gt;"",NOT(ISNUMBER(D472))),"Hours not a number",IF(N(D472)&lt;=0,"Needs the hours",IF(C472="","Needs a name",IF(COUNTIF(Volunteers!$B$6:$B$105,C472)=0,"Not on Volunteers",""))))))</f>
        <v/>
      </c>
      <c r="H472" s="1" t="n"/>
      <c r="I472">
        <f>IF(ISNUMBER(B472),YEAR(B472),"")</f>
        <v/>
      </c>
      <c r="J472">
        <f>IF(ISNUMBER(B472),YEAR(B472)*100+MONTH(B472),"")</f>
        <v/>
      </c>
      <c r="K472">
        <f>IF(ISNUMBER(B472),INT(B472),0)</f>
        <v/>
      </c>
      <c r="L472">
        <f>IF(AND(ISNUMBER(D472),N(D472)&gt;0),K472,0)</f>
        <v/>
      </c>
    </row>
    <row r="473">
      <c r="A473" s="1" t="n"/>
      <c r="B473" s="21" t="n"/>
      <c r="C473" s="22" t="n"/>
      <c r="D473" s="46" t="n"/>
      <c r="E473" s="25" t="n"/>
      <c r="F473" s="25" t="n"/>
      <c r="G473" s="17">
        <f>IF(AND(C473="",D473=""),"",IF(NOT(ISNUMBER(B473)),"Needs a date",IF(AND(D473&lt;&gt;"",NOT(ISNUMBER(D473))),"Hours not a number",IF(N(D473)&lt;=0,"Needs the hours",IF(C473="","Needs a name",IF(COUNTIF(Volunteers!$B$6:$B$105,C473)=0,"Not on Volunteers",""))))))</f>
        <v/>
      </c>
      <c r="H473" s="1" t="n"/>
      <c r="I473">
        <f>IF(ISNUMBER(B473),YEAR(B473),"")</f>
        <v/>
      </c>
      <c r="J473">
        <f>IF(ISNUMBER(B473),YEAR(B473)*100+MONTH(B473),"")</f>
        <v/>
      </c>
      <c r="K473">
        <f>IF(ISNUMBER(B473),INT(B473),0)</f>
        <v/>
      </c>
      <c r="L473">
        <f>IF(AND(ISNUMBER(D473),N(D473)&gt;0),K473,0)</f>
        <v/>
      </c>
    </row>
    <row r="474">
      <c r="A474" s="1" t="n"/>
      <c r="B474" s="21" t="n"/>
      <c r="C474" s="22" t="n"/>
      <c r="D474" s="46" t="n"/>
      <c r="E474" s="25" t="n"/>
      <c r="F474" s="25" t="n"/>
      <c r="G474" s="17">
        <f>IF(AND(C474="",D474=""),"",IF(NOT(ISNUMBER(B474)),"Needs a date",IF(AND(D474&lt;&gt;"",NOT(ISNUMBER(D474))),"Hours not a number",IF(N(D474)&lt;=0,"Needs the hours",IF(C474="","Needs a name",IF(COUNTIF(Volunteers!$B$6:$B$105,C474)=0,"Not on Volunteers",""))))))</f>
        <v/>
      </c>
      <c r="H474" s="1" t="n"/>
      <c r="I474">
        <f>IF(ISNUMBER(B474),YEAR(B474),"")</f>
        <v/>
      </c>
      <c r="J474">
        <f>IF(ISNUMBER(B474),YEAR(B474)*100+MONTH(B474),"")</f>
        <v/>
      </c>
      <c r="K474">
        <f>IF(ISNUMBER(B474),INT(B474),0)</f>
        <v/>
      </c>
      <c r="L474">
        <f>IF(AND(ISNUMBER(D474),N(D474)&gt;0),K474,0)</f>
        <v/>
      </c>
    </row>
    <row r="475">
      <c r="A475" s="1" t="n"/>
      <c r="B475" s="21" t="n"/>
      <c r="C475" s="22" t="n"/>
      <c r="D475" s="46" t="n"/>
      <c r="E475" s="25" t="n"/>
      <c r="F475" s="25" t="n"/>
      <c r="G475" s="17">
        <f>IF(AND(C475="",D475=""),"",IF(NOT(ISNUMBER(B475)),"Needs a date",IF(AND(D475&lt;&gt;"",NOT(ISNUMBER(D475))),"Hours not a number",IF(N(D475)&lt;=0,"Needs the hours",IF(C475="","Needs a name",IF(COUNTIF(Volunteers!$B$6:$B$105,C475)=0,"Not on Volunteers",""))))))</f>
        <v/>
      </c>
      <c r="H475" s="1" t="n"/>
      <c r="I475">
        <f>IF(ISNUMBER(B475),YEAR(B475),"")</f>
        <v/>
      </c>
      <c r="J475">
        <f>IF(ISNUMBER(B475),YEAR(B475)*100+MONTH(B475),"")</f>
        <v/>
      </c>
      <c r="K475">
        <f>IF(ISNUMBER(B475),INT(B475),0)</f>
        <v/>
      </c>
      <c r="L475">
        <f>IF(AND(ISNUMBER(D475),N(D475)&gt;0),K475,0)</f>
        <v/>
      </c>
    </row>
    <row r="476">
      <c r="A476" s="1" t="n"/>
      <c r="B476" s="21" t="n"/>
      <c r="C476" s="22" t="n"/>
      <c r="D476" s="46" t="n"/>
      <c r="E476" s="25" t="n"/>
      <c r="F476" s="25" t="n"/>
      <c r="G476" s="17">
        <f>IF(AND(C476="",D476=""),"",IF(NOT(ISNUMBER(B476)),"Needs a date",IF(AND(D476&lt;&gt;"",NOT(ISNUMBER(D476))),"Hours not a number",IF(N(D476)&lt;=0,"Needs the hours",IF(C476="","Needs a name",IF(COUNTIF(Volunteers!$B$6:$B$105,C476)=0,"Not on Volunteers",""))))))</f>
        <v/>
      </c>
      <c r="H476" s="1" t="n"/>
      <c r="I476">
        <f>IF(ISNUMBER(B476),YEAR(B476),"")</f>
        <v/>
      </c>
      <c r="J476">
        <f>IF(ISNUMBER(B476),YEAR(B476)*100+MONTH(B476),"")</f>
        <v/>
      </c>
      <c r="K476">
        <f>IF(ISNUMBER(B476),INT(B476),0)</f>
        <v/>
      </c>
      <c r="L476">
        <f>IF(AND(ISNUMBER(D476),N(D476)&gt;0),K476,0)</f>
        <v/>
      </c>
    </row>
    <row r="477">
      <c r="A477" s="1" t="n"/>
      <c r="B477" s="21" t="n"/>
      <c r="C477" s="22" t="n"/>
      <c r="D477" s="46" t="n"/>
      <c r="E477" s="25" t="n"/>
      <c r="F477" s="25" t="n"/>
      <c r="G477" s="17">
        <f>IF(AND(C477="",D477=""),"",IF(NOT(ISNUMBER(B477)),"Needs a date",IF(AND(D477&lt;&gt;"",NOT(ISNUMBER(D477))),"Hours not a number",IF(N(D477)&lt;=0,"Needs the hours",IF(C477="","Needs a name",IF(COUNTIF(Volunteers!$B$6:$B$105,C477)=0,"Not on Volunteers",""))))))</f>
        <v/>
      </c>
      <c r="H477" s="1" t="n"/>
      <c r="I477">
        <f>IF(ISNUMBER(B477),YEAR(B477),"")</f>
        <v/>
      </c>
      <c r="J477">
        <f>IF(ISNUMBER(B477),YEAR(B477)*100+MONTH(B477),"")</f>
        <v/>
      </c>
      <c r="K477">
        <f>IF(ISNUMBER(B477),INT(B477),0)</f>
        <v/>
      </c>
      <c r="L477">
        <f>IF(AND(ISNUMBER(D477),N(D477)&gt;0),K477,0)</f>
        <v/>
      </c>
    </row>
    <row r="478">
      <c r="A478" s="1" t="n"/>
      <c r="B478" s="21" t="n"/>
      <c r="C478" s="22" t="n"/>
      <c r="D478" s="46" t="n"/>
      <c r="E478" s="25" t="n"/>
      <c r="F478" s="25" t="n"/>
      <c r="G478" s="17">
        <f>IF(AND(C478="",D478=""),"",IF(NOT(ISNUMBER(B478)),"Needs a date",IF(AND(D478&lt;&gt;"",NOT(ISNUMBER(D478))),"Hours not a number",IF(N(D478)&lt;=0,"Needs the hours",IF(C478="","Needs a name",IF(COUNTIF(Volunteers!$B$6:$B$105,C478)=0,"Not on Volunteers",""))))))</f>
        <v/>
      </c>
      <c r="H478" s="1" t="n"/>
      <c r="I478">
        <f>IF(ISNUMBER(B478),YEAR(B478),"")</f>
        <v/>
      </c>
      <c r="J478">
        <f>IF(ISNUMBER(B478),YEAR(B478)*100+MONTH(B478),"")</f>
        <v/>
      </c>
      <c r="K478">
        <f>IF(ISNUMBER(B478),INT(B478),0)</f>
        <v/>
      </c>
      <c r="L478">
        <f>IF(AND(ISNUMBER(D478),N(D478)&gt;0),K478,0)</f>
        <v/>
      </c>
    </row>
    <row r="479">
      <c r="A479" s="1" t="n"/>
      <c r="B479" s="21" t="n"/>
      <c r="C479" s="22" t="n"/>
      <c r="D479" s="46" t="n"/>
      <c r="E479" s="25" t="n"/>
      <c r="F479" s="25" t="n"/>
      <c r="G479" s="17">
        <f>IF(AND(C479="",D479=""),"",IF(NOT(ISNUMBER(B479)),"Needs a date",IF(AND(D479&lt;&gt;"",NOT(ISNUMBER(D479))),"Hours not a number",IF(N(D479)&lt;=0,"Needs the hours",IF(C479="","Needs a name",IF(COUNTIF(Volunteers!$B$6:$B$105,C479)=0,"Not on Volunteers",""))))))</f>
        <v/>
      </c>
      <c r="H479" s="1" t="n"/>
      <c r="I479">
        <f>IF(ISNUMBER(B479),YEAR(B479),"")</f>
        <v/>
      </c>
      <c r="J479">
        <f>IF(ISNUMBER(B479),YEAR(B479)*100+MONTH(B479),"")</f>
        <v/>
      </c>
      <c r="K479">
        <f>IF(ISNUMBER(B479),INT(B479),0)</f>
        <v/>
      </c>
      <c r="L479">
        <f>IF(AND(ISNUMBER(D479),N(D479)&gt;0),K479,0)</f>
        <v/>
      </c>
    </row>
    <row r="480">
      <c r="A480" s="1" t="n"/>
      <c r="B480" s="21" t="n"/>
      <c r="C480" s="22" t="n"/>
      <c r="D480" s="46" t="n"/>
      <c r="E480" s="25" t="n"/>
      <c r="F480" s="25" t="n"/>
      <c r="G480" s="17">
        <f>IF(AND(C480="",D480=""),"",IF(NOT(ISNUMBER(B480)),"Needs a date",IF(AND(D480&lt;&gt;"",NOT(ISNUMBER(D480))),"Hours not a number",IF(N(D480)&lt;=0,"Needs the hours",IF(C480="","Needs a name",IF(COUNTIF(Volunteers!$B$6:$B$105,C480)=0,"Not on Volunteers",""))))))</f>
        <v/>
      </c>
      <c r="H480" s="1" t="n"/>
      <c r="I480">
        <f>IF(ISNUMBER(B480),YEAR(B480),"")</f>
        <v/>
      </c>
      <c r="J480">
        <f>IF(ISNUMBER(B480),YEAR(B480)*100+MONTH(B480),"")</f>
        <v/>
      </c>
      <c r="K480">
        <f>IF(ISNUMBER(B480),INT(B480),0)</f>
        <v/>
      </c>
      <c r="L480">
        <f>IF(AND(ISNUMBER(D480),N(D480)&gt;0),K480,0)</f>
        <v/>
      </c>
    </row>
    <row r="481">
      <c r="A481" s="1" t="n"/>
      <c r="B481" s="21" t="n"/>
      <c r="C481" s="22" t="n"/>
      <c r="D481" s="46" t="n"/>
      <c r="E481" s="25" t="n"/>
      <c r="F481" s="25" t="n"/>
      <c r="G481" s="17">
        <f>IF(AND(C481="",D481=""),"",IF(NOT(ISNUMBER(B481)),"Needs a date",IF(AND(D481&lt;&gt;"",NOT(ISNUMBER(D481))),"Hours not a number",IF(N(D481)&lt;=0,"Needs the hours",IF(C481="","Needs a name",IF(COUNTIF(Volunteers!$B$6:$B$105,C481)=0,"Not on Volunteers",""))))))</f>
        <v/>
      </c>
      <c r="H481" s="1" t="n"/>
      <c r="I481">
        <f>IF(ISNUMBER(B481),YEAR(B481),"")</f>
        <v/>
      </c>
      <c r="J481">
        <f>IF(ISNUMBER(B481),YEAR(B481)*100+MONTH(B481),"")</f>
        <v/>
      </c>
      <c r="K481">
        <f>IF(ISNUMBER(B481),INT(B481),0)</f>
        <v/>
      </c>
      <c r="L481">
        <f>IF(AND(ISNUMBER(D481),N(D481)&gt;0),K481,0)</f>
        <v/>
      </c>
    </row>
    <row r="482">
      <c r="A482" s="1" t="n"/>
      <c r="B482" s="21" t="n"/>
      <c r="C482" s="22" t="n"/>
      <c r="D482" s="46" t="n"/>
      <c r="E482" s="25" t="n"/>
      <c r="F482" s="25" t="n"/>
      <c r="G482" s="17">
        <f>IF(AND(C482="",D482=""),"",IF(NOT(ISNUMBER(B482)),"Needs a date",IF(AND(D482&lt;&gt;"",NOT(ISNUMBER(D482))),"Hours not a number",IF(N(D482)&lt;=0,"Needs the hours",IF(C482="","Needs a name",IF(COUNTIF(Volunteers!$B$6:$B$105,C482)=0,"Not on Volunteers",""))))))</f>
        <v/>
      </c>
      <c r="H482" s="1" t="n"/>
      <c r="I482">
        <f>IF(ISNUMBER(B482),YEAR(B482),"")</f>
        <v/>
      </c>
      <c r="J482">
        <f>IF(ISNUMBER(B482),YEAR(B482)*100+MONTH(B482),"")</f>
        <v/>
      </c>
      <c r="K482">
        <f>IF(ISNUMBER(B482),INT(B482),0)</f>
        <v/>
      </c>
      <c r="L482">
        <f>IF(AND(ISNUMBER(D482),N(D482)&gt;0),K482,0)</f>
        <v/>
      </c>
    </row>
    <row r="483">
      <c r="A483" s="1" t="n"/>
      <c r="B483" s="21" t="n"/>
      <c r="C483" s="22" t="n"/>
      <c r="D483" s="46" t="n"/>
      <c r="E483" s="25" t="n"/>
      <c r="F483" s="25" t="n"/>
      <c r="G483" s="17">
        <f>IF(AND(C483="",D483=""),"",IF(NOT(ISNUMBER(B483)),"Needs a date",IF(AND(D483&lt;&gt;"",NOT(ISNUMBER(D483))),"Hours not a number",IF(N(D483)&lt;=0,"Needs the hours",IF(C483="","Needs a name",IF(COUNTIF(Volunteers!$B$6:$B$105,C483)=0,"Not on Volunteers",""))))))</f>
        <v/>
      </c>
      <c r="H483" s="1" t="n"/>
      <c r="I483">
        <f>IF(ISNUMBER(B483),YEAR(B483),"")</f>
        <v/>
      </c>
      <c r="J483">
        <f>IF(ISNUMBER(B483),YEAR(B483)*100+MONTH(B483),"")</f>
        <v/>
      </c>
      <c r="K483">
        <f>IF(ISNUMBER(B483),INT(B483),0)</f>
        <v/>
      </c>
      <c r="L483">
        <f>IF(AND(ISNUMBER(D483),N(D483)&gt;0),K483,0)</f>
        <v/>
      </c>
    </row>
    <row r="484">
      <c r="A484" s="1" t="n"/>
      <c r="B484" s="21" t="n"/>
      <c r="C484" s="22" t="n"/>
      <c r="D484" s="46" t="n"/>
      <c r="E484" s="25" t="n"/>
      <c r="F484" s="25" t="n"/>
      <c r="G484" s="17">
        <f>IF(AND(C484="",D484=""),"",IF(NOT(ISNUMBER(B484)),"Needs a date",IF(AND(D484&lt;&gt;"",NOT(ISNUMBER(D484))),"Hours not a number",IF(N(D484)&lt;=0,"Needs the hours",IF(C484="","Needs a name",IF(COUNTIF(Volunteers!$B$6:$B$105,C484)=0,"Not on Volunteers",""))))))</f>
        <v/>
      </c>
      <c r="H484" s="1" t="n"/>
      <c r="I484">
        <f>IF(ISNUMBER(B484),YEAR(B484),"")</f>
        <v/>
      </c>
      <c r="J484">
        <f>IF(ISNUMBER(B484),YEAR(B484)*100+MONTH(B484),"")</f>
        <v/>
      </c>
      <c r="K484">
        <f>IF(ISNUMBER(B484),INT(B484),0)</f>
        <v/>
      </c>
      <c r="L484">
        <f>IF(AND(ISNUMBER(D484),N(D484)&gt;0),K484,0)</f>
        <v/>
      </c>
    </row>
    <row r="485">
      <c r="A485" s="1" t="n"/>
      <c r="B485" s="21" t="n"/>
      <c r="C485" s="22" t="n"/>
      <c r="D485" s="46" t="n"/>
      <c r="E485" s="25" t="n"/>
      <c r="F485" s="25" t="n"/>
      <c r="G485" s="17">
        <f>IF(AND(C485="",D485=""),"",IF(NOT(ISNUMBER(B485)),"Needs a date",IF(AND(D485&lt;&gt;"",NOT(ISNUMBER(D485))),"Hours not a number",IF(N(D485)&lt;=0,"Needs the hours",IF(C485="","Needs a name",IF(COUNTIF(Volunteers!$B$6:$B$105,C485)=0,"Not on Volunteers",""))))))</f>
        <v/>
      </c>
      <c r="H485" s="1" t="n"/>
      <c r="I485">
        <f>IF(ISNUMBER(B485),YEAR(B485),"")</f>
        <v/>
      </c>
      <c r="J485">
        <f>IF(ISNUMBER(B485),YEAR(B485)*100+MONTH(B485),"")</f>
        <v/>
      </c>
      <c r="K485">
        <f>IF(ISNUMBER(B485),INT(B485),0)</f>
        <v/>
      </c>
      <c r="L485">
        <f>IF(AND(ISNUMBER(D485),N(D485)&gt;0),K485,0)</f>
        <v/>
      </c>
    </row>
    <row r="486">
      <c r="A486" s="1" t="n"/>
      <c r="B486" s="21" t="n"/>
      <c r="C486" s="22" t="n"/>
      <c r="D486" s="46" t="n"/>
      <c r="E486" s="25" t="n"/>
      <c r="F486" s="25" t="n"/>
      <c r="G486" s="17">
        <f>IF(AND(C486="",D486=""),"",IF(NOT(ISNUMBER(B486)),"Needs a date",IF(AND(D486&lt;&gt;"",NOT(ISNUMBER(D486))),"Hours not a number",IF(N(D486)&lt;=0,"Needs the hours",IF(C486="","Needs a name",IF(COUNTIF(Volunteers!$B$6:$B$105,C486)=0,"Not on Volunteers",""))))))</f>
        <v/>
      </c>
      <c r="H486" s="1" t="n"/>
      <c r="I486">
        <f>IF(ISNUMBER(B486),YEAR(B486),"")</f>
        <v/>
      </c>
      <c r="J486">
        <f>IF(ISNUMBER(B486),YEAR(B486)*100+MONTH(B486),"")</f>
        <v/>
      </c>
      <c r="K486">
        <f>IF(ISNUMBER(B486),INT(B486),0)</f>
        <v/>
      </c>
      <c r="L486">
        <f>IF(AND(ISNUMBER(D486),N(D486)&gt;0),K486,0)</f>
        <v/>
      </c>
    </row>
    <row r="487">
      <c r="A487" s="1" t="n"/>
      <c r="B487" s="21" t="n"/>
      <c r="C487" s="22" t="n"/>
      <c r="D487" s="46" t="n"/>
      <c r="E487" s="25" t="n"/>
      <c r="F487" s="25" t="n"/>
      <c r="G487" s="17">
        <f>IF(AND(C487="",D487=""),"",IF(NOT(ISNUMBER(B487)),"Needs a date",IF(AND(D487&lt;&gt;"",NOT(ISNUMBER(D487))),"Hours not a number",IF(N(D487)&lt;=0,"Needs the hours",IF(C487="","Needs a name",IF(COUNTIF(Volunteers!$B$6:$B$105,C487)=0,"Not on Volunteers",""))))))</f>
        <v/>
      </c>
      <c r="H487" s="1" t="n"/>
      <c r="I487">
        <f>IF(ISNUMBER(B487),YEAR(B487),"")</f>
        <v/>
      </c>
      <c r="J487">
        <f>IF(ISNUMBER(B487),YEAR(B487)*100+MONTH(B487),"")</f>
        <v/>
      </c>
      <c r="K487">
        <f>IF(ISNUMBER(B487),INT(B487),0)</f>
        <v/>
      </c>
      <c r="L487">
        <f>IF(AND(ISNUMBER(D487),N(D487)&gt;0),K487,0)</f>
        <v/>
      </c>
    </row>
    <row r="488">
      <c r="A488" s="1" t="n"/>
      <c r="B488" s="21" t="n"/>
      <c r="C488" s="22" t="n"/>
      <c r="D488" s="46" t="n"/>
      <c r="E488" s="25" t="n"/>
      <c r="F488" s="25" t="n"/>
      <c r="G488" s="17">
        <f>IF(AND(C488="",D488=""),"",IF(NOT(ISNUMBER(B488)),"Needs a date",IF(AND(D488&lt;&gt;"",NOT(ISNUMBER(D488))),"Hours not a number",IF(N(D488)&lt;=0,"Needs the hours",IF(C488="","Needs a name",IF(COUNTIF(Volunteers!$B$6:$B$105,C488)=0,"Not on Volunteers",""))))))</f>
        <v/>
      </c>
      <c r="H488" s="1" t="n"/>
      <c r="I488">
        <f>IF(ISNUMBER(B488),YEAR(B488),"")</f>
        <v/>
      </c>
      <c r="J488">
        <f>IF(ISNUMBER(B488),YEAR(B488)*100+MONTH(B488),"")</f>
        <v/>
      </c>
      <c r="K488">
        <f>IF(ISNUMBER(B488),INT(B488),0)</f>
        <v/>
      </c>
      <c r="L488">
        <f>IF(AND(ISNUMBER(D488),N(D488)&gt;0),K488,0)</f>
        <v/>
      </c>
    </row>
    <row r="489">
      <c r="A489" s="1" t="n"/>
      <c r="B489" s="21" t="n"/>
      <c r="C489" s="22" t="n"/>
      <c r="D489" s="46" t="n"/>
      <c r="E489" s="25" t="n"/>
      <c r="F489" s="25" t="n"/>
      <c r="G489" s="17">
        <f>IF(AND(C489="",D489=""),"",IF(NOT(ISNUMBER(B489)),"Needs a date",IF(AND(D489&lt;&gt;"",NOT(ISNUMBER(D489))),"Hours not a number",IF(N(D489)&lt;=0,"Needs the hours",IF(C489="","Needs a name",IF(COUNTIF(Volunteers!$B$6:$B$105,C489)=0,"Not on Volunteers",""))))))</f>
        <v/>
      </c>
      <c r="H489" s="1" t="n"/>
      <c r="I489">
        <f>IF(ISNUMBER(B489),YEAR(B489),"")</f>
        <v/>
      </c>
      <c r="J489">
        <f>IF(ISNUMBER(B489),YEAR(B489)*100+MONTH(B489),"")</f>
        <v/>
      </c>
      <c r="K489">
        <f>IF(ISNUMBER(B489),INT(B489),0)</f>
        <v/>
      </c>
      <c r="L489">
        <f>IF(AND(ISNUMBER(D489),N(D489)&gt;0),K489,0)</f>
        <v/>
      </c>
    </row>
    <row r="490">
      <c r="A490" s="1" t="n"/>
      <c r="B490" s="21" t="n"/>
      <c r="C490" s="22" t="n"/>
      <c r="D490" s="46" t="n"/>
      <c r="E490" s="25" t="n"/>
      <c r="F490" s="25" t="n"/>
      <c r="G490" s="17">
        <f>IF(AND(C490="",D490=""),"",IF(NOT(ISNUMBER(B490)),"Needs a date",IF(AND(D490&lt;&gt;"",NOT(ISNUMBER(D490))),"Hours not a number",IF(N(D490)&lt;=0,"Needs the hours",IF(C490="","Needs a name",IF(COUNTIF(Volunteers!$B$6:$B$105,C490)=0,"Not on Volunteers",""))))))</f>
        <v/>
      </c>
      <c r="H490" s="1" t="n"/>
      <c r="I490">
        <f>IF(ISNUMBER(B490),YEAR(B490),"")</f>
        <v/>
      </c>
      <c r="J490">
        <f>IF(ISNUMBER(B490),YEAR(B490)*100+MONTH(B490),"")</f>
        <v/>
      </c>
      <c r="K490">
        <f>IF(ISNUMBER(B490),INT(B490),0)</f>
        <v/>
      </c>
      <c r="L490">
        <f>IF(AND(ISNUMBER(D490),N(D490)&gt;0),K490,0)</f>
        <v/>
      </c>
    </row>
    <row r="491">
      <c r="A491" s="1" t="n"/>
      <c r="B491" s="21" t="n"/>
      <c r="C491" s="22" t="n"/>
      <c r="D491" s="46" t="n"/>
      <c r="E491" s="25" t="n"/>
      <c r="F491" s="25" t="n"/>
      <c r="G491" s="17">
        <f>IF(AND(C491="",D491=""),"",IF(NOT(ISNUMBER(B491)),"Needs a date",IF(AND(D491&lt;&gt;"",NOT(ISNUMBER(D491))),"Hours not a number",IF(N(D491)&lt;=0,"Needs the hours",IF(C491="","Needs a name",IF(COUNTIF(Volunteers!$B$6:$B$105,C491)=0,"Not on Volunteers",""))))))</f>
        <v/>
      </c>
      <c r="H491" s="1" t="n"/>
      <c r="I491">
        <f>IF(ISNUMBER(B491),YEAR(B491),"")</f>
        <v/>
      </c>
      <c r="J491">
        <f>IF(ISNUMBER(B491),YEAR(B491)*100+MONTH(B491),"")</f>
        <v/>
      </c>
      <c r="K491">
        <f>IF(ISNUMBER(B491),INT(B491),0)</f>
        <v/>
      </c>
      <c r="L491">
        <f>IF(AND(ISNUMBER(D491),N(D491)&gt;0),K491,0)</f>
        <v/>
      </c>
    </row>
    <row r="492">
      <c r="A492" s="1" t="n"/>
      <c r="B492" s="21" t="n"/>
      <c r="C492" s="22" t="n"/>
      <c r="D492" s="46" t="n"/>
      <c r="E492" s="25" t="n"/>
      <c r="F492" s="25" t="n"/>
      <c r="G492" s="17">
        <f>IF(AND(C492="",D492=""),"",IF(NOT(ISNUMBER(B492)),"Needs a date",IF(AND(D492&lt;&gt;"",NOT(ISNUMBER(D492))),"Hours not a number",IF(N(D492)&lt;=0,"Needs the hours",IF(C492="","Needs a name",IF(COUNTIF(Volunteers!$B$6:$B$105,C492)=0,"Not on Volunteers",""))))))</f>
        <v/>
      </c>
      <c r="H492" s="1" t="n"/>
      <c r="I492">
        <f>IF(ISNUMBER(B492),YEAR(B492),"")</f>
        <v/>
      </c>
      <c r="J492">
        <f>IF(ISNUMBER(B492),YEAR(B492)*100+MONTH(B492),"")</f>
        <v/>
      </c>
      <c r="K492">
        <f>IF(ISNUMBER(B492),INT(B492),0)</f>
        <v/>
      </c>
      <c r="L492">
        <f>IF(AND(ISNUMBER(D492),N(D492)&gt;0),K492,0)</f>
        <v/>
      </c>
    </row>
    <row r="493">
      <c r="A493" s="1" t="n"/>
      <c r="B493" s="21" t="n"/>
      <c r="C493" s="22" t="n"/>
      <c r="D493" s="46" t="n"/>
      <c r="E493" s="25" t="n"/>
      <c r="F493" s="25" t="n"/>
      <c r="G493" s="17">
        <f>IF(AND(C493="",D493=""),"",IF(NOT(ISNUMBER(B493)),"Needs a date",IF(AND(D493&lt;&gt;"",NOT(ISNUMBER(D493))),"Hours not a number",IF(N(D493)&lt;=0,"Needs the hours",IF(C493="","Needs a name",IF(COUNTIF(Volunteers!$B$6:$B$105,C493)=0,"Not on Volunteers",""))))))</f>
        <v/>
      </c>
      <c r="H493" s="1" t="n"/>
      <c r="I493">
        <f>IF(ISNUMBER(B493),YEAR(B493),"")</f>
        <v/>
      </c>
      <c r="J493">
        <f>IF(ISNUMBER(B493),YEAR(B493)*100+MONTH(B493),"")</f>
        <v/>
      </c>
      <c r="K493">
        <f>IF(ISNUMBER(B493),INT(B493),0)</f>
        <v/>
      </c>
      <c r="L493">
        <f>IF(AND(ISNUMBER(D493),N(D493)&gt;0),K493,0)</f>
        <v/>
      </c>
    </row>
    <row r="494">
      <c r="A494" s="1" t="n"/>
      <c r="B494" s="21" t="n"/>
      <c r="C494" s="22" t="n"/>
      <c r="D494" s="46" t="n"/>
      <c r="E494" s="25" t="n"/>
      <c r="F494" s="25" t="n"/>
      <c r="G494" s="17">
        <f>IF(AND(C494="",D494=""),"",IF(NOT(ISNUMBER(B494)),"Needs a date",IF(AND(D494&lt;&gt;"",NOT(ISNUMBER(D494))),"Hours not a number",IF(N(D494)&lt;=0,"Needs the hours",IF(C494="","Needs a name",IF(COUNTIF(Volunteers!$B$6:$B$105,C494)=0,"Not on Volunteers",""))))))</f>
        <v/>
      </c>
      <c r="H494" s="1" t="n"/>
      <c r="I494">
        <f>IF(ISNUMBER(B494),YEAR(B494),"")</f>
        <v/>
      </c>
      <c r="J494">
        <f>IF(ISNUMBER(B494),YEAR(B494)*100+MONTH(B494),"")</f>
        <v/>
      </c>
      <c r="K494">
        <f>IF(ISNUMBER(B494),INT(B494),0)</f>
        <v/>
      </c>
      <c r="L494">
        <f>IF(AND(ISNUMBER(D494),N(D494)&gt;0),K494,0)</f>
        <v/>
      </c>
    </row>
    <row r="495">
      <c r="A495" s="1" t="n"/>
      <c r="B495" s="21" t="n"/>
      <c r="C495" s="22" t="n"/>
      <c r="D495" s="46" t="n"/>
      <c r="E495" s="25" t="n"/>
      <c r="F495" s="25" t="n"/>
      <c r="G495" s="17">
        <f>IF(AND(C495="",D495=""),"",IF(NOT(ISNUMBER(B495)),"Needs a date",IF(AND(D495&lt;&gt;"",NOT(ISNUMBER(D495))),"Hours not a number",IF(N(D495)&lt;=0,"Needs the hours",IF(C495="","Needs a name",IF(COUNTIF(Volunteers!$B$6:$B$105,C495)=0,"Not on Volunteers",""))))))</f>
        <v/>
      </c>
      <c r="H495" s="1" t="n"/>
      <c r="I495">
        <f>IF(ISNUMBER(B495),YEAR(B495),"")</f>
        <v/>
      </c>
      <c r="J495">
        <f>IF(ISNUMBER(B495),YEAR(B495)*100+MONTH(B495),"")</f>
        <v/>
      </c>
      <c r="K495">
        <f>IF(ISNUMBER(B495),INT(B495),0)</f>
        <v/>
      </c>
      <c r="L495">
        <f>IF(AND(ISNUMBER(D495),N(D495)&gt;0),K495,0)</f>
        <v/>
      </c>
    </row>
    <row r="496">
      <c r="A496" s="1" t="n"/>
      <c r="B496" s="21" t="n"/>
      <c r="C496" s="22" t="n"/>
      <c r="D496" s="46" t="n"/>
      <c r="E496" s="25" t="n"/>
      <c r="F496" s="25" t="n"/>
      <c r="G496" s="17">
        <f>IF(AND(C496="",D496=""),"",IF(NOT(ISNUMBER(B496)),"Needs a date",IF(AND(D496&lt;&gt;"",NOT(ISNUMBER(D496))),"Hours not a number",IF(N(D496)&lt;=0,"Needs the hours",IF(C496="","Needs a name",IF(COUNTIF(Volunteers!$B$6:$B$105,C496)=0,"Not on Volunteers",""))))))</f>
        <v/>
      </c>
      <c r="H496" s="1" t="n"/>
      <c r="I496">
        <f>IF(ISNUMBER(B496),YEAR(B496),"")</f>
        <v/>
      </c>
      <c r="J496">
        <f>IF(ISNUMBER(B496),YEAR(B496)*100+MONTH(B496),"")</f>
        <v/>
      </c>
      <c r="K496">
        <f>IF(ISNUMBER(B496),INT(B496),0)</f>
        <v/>
      </c>
      <c r="L496">
        <f>IF(AND(ISNUMBER(D496),N(D496)&gt;0),K496,0)</f>
        <v/>
      </c>
    </row>
    <row r="497">
      <c r="A497" s="1" t="n"/>
      <c r="B497" s="21" t="n"/>
      <c r="C497" s="22" t="n"/>
      <c r="D497" s="46" t="n"/>
      <c r="E497" s="25" t="n"/>
      <c r="F497" s="25" t="n"/>
      <c r="G497" s="17">
        <f>IF(AND(C497="",D497=""),"",IF(NOT(ISNUMBER(B497)),"Needs a date",IF(AND(D497&lt;&gt;"",NOT(ISNUMBER(D497))),"Hours not a number",IF(N(D497)&lt;=0,"Needs the hours",IF(C497="","Needs a name",IF(COUNTIF(Volunteers!$B$6:$B$105,C497)=0,"Not on Volunteers",""))))))</f>
        <v/>
      </c>
      <c r="H497" s="1" t="n"/>
      <c r="I497">
        <f>IF(ISNUMBER(B497),YEAR(B497),"")</f>
        <v/>
      </c>
      <c r="J497">
        <f>IF(ISNUMBER(B497),YEAR(B497)*100+MONTH(B497),"")</f>
        <v/>
      </c>
      <c r="K497">
        <f>IF(ISNUMBER(B497),INT(B497),0)</f>
        <v/>
      </c>
      <c r="L497">
        <f>IF(AND(ISNUMBER(D497),N(D497)&gt;0),K497,0)</f>
        <v/>
      </c>
    </row>
    <row r="498">
      <c r="A498" s="1" t="n"/>
      <c r="B498" s="21" t="n"/>
      <c r="C498" s="22" t="n"/>
      <c r="D498" s="46" t="n"/>
      <c r="E498" s="25" t="n"/>
      <c r="F498" s="25" t="n"/>
      <c r="G498" s="17">
        <f>IF(AND(C498="",D498=""),"",IF(NOT(ISNUMBER(B498)),"Needs a date",IF(AND(D498&lt;&gt;"",NOT(ISNUMBER(D498))),"Hours not a number",IF(N(D498)&lt;=0,"Needs the hours",IF(C498="","Needs a name",IF(COUNTIF(Volunteers!$B$6:$B$105,C498)=0,"Not on Volunteers",""))))))</f>
        <v/>
      </c>
      <c r="H498" s="1" t="n"/>
      <c r="I498">
        <f>IF(ISNUMBER(B498),YEAR(B498),"")</f>
        <v/>
      </c>
      <c r="J498">
        <f>IF(ISNUMBER(B498),YEAR(B498)*100+MONTH(B498),"")</f>
        <v/>
      </c>
      <c r="K498">
        <f>IF(ISNUMBER(B498),INT(B498),0)</f>
        <v/>
      </c>
      <c r="L498">
        <f>IF(AND(ISNUMBER(D498),N(D498)&gt;0),K498,0)</f>
        <v/>
      </c>
    </row>
    <row r="499">
      <c r="A499" s="1" t="n"/>
      <c r="B499" s="21" t="n"/>
      <c r="C499" s="22" t="n"/>
      <c r="D499" s="46" t="n"/>
      <c r="E499" s="25" t="n"/>
      <c r="F499" s="25" t="n"/>
      <c r="G499" s="17">
        <f>IF(AND(C499="",D499=""),"",IF(NOT(ISNUMBER(B499)),"Needs a date",IF(AND(D499&lt;&gt;"",NOT(ISNUMBER(D499))),"Hours not a number",IF(N(D499)&lt;=0,"Needs the hours",IF(C499="","Needs a name",IF(COUNTIF(Volunteers!$B$6:$B$105,C499)=0,"Not on Volunteers",""))))))</f>
        <v/>
      </c>
      <c r="H499" s="1" t="n"/>
      <c r="I499">
        <f>IF(ISNUMBER(B499),YEAR(B499),"")</f>
        <v/>
      </c>
      <c r="J499">
        <f>IF(ISNUMBER(B499),YEAR(B499)*100+MONTH(B499),"")</f>
        <v/>
      </c>
      <c r="K499">
        <f>IF(ISNUMBER(B499),INT(B499),0)</f>
        <v/>
      </c>
      <c r="L499">
        <f>IF(AND(ISNUMBER(D499),N(D499)&gt;0),K499,0)</f>
        <v/>
      </c>
    </row>
    <row r="500">
      <c r="A500" s="1" t="n"/>
      <c r="B500" s="21" t="n"/>
      <c r="C500" s="22" t="n"/>
      <c r="D500" s="46" t="n"/>
      <c r="E500" s="25" t="n"/>
      <c r="F500" s="25" t="n"/>
      <c r="G500" s="17">
        <f>IF(AND(C500="",D500=""),"",IF(NOT(ISNUMBER(B500)),"Needs a date",IF(AND(D500&lt;&gt;"",NOT(ISNUMBER(D500))),"Hours not a number",IF(N(D500)&lt;=0,"Needs the hours",IF(C500="","Needs a name",IF(COUNTIF(Volunteers!$B$6:$B$105,C500)=0,"Not on Volunteers",""))))))</f>
        <v/>
      </c>
      <c r="H500" s="1" t="n"/>
      <c r="I500">
        <f>IF(ISNUMBER(B500),YEAR(B500),"")</f>
        <v/>
      </c>
      <c r="J500">
        <f>IF(ISNUMBER(B500),YEAR(B500)*100+MONTH(B500),"")</f>
        <v/>
      </c>
      <c r="K500">
        <f>IF(ISNUMBER(B500),INT(B500),0)</f>
        <v/>
      </c>
      <c r="L500">
        <f>IF(AND(ISNUMBER(D500),N(D500)&gt;0),K500,0)</f>
        <v/>
      </c>
    </row>
    <row r="501">
      <c r="A501" s="1" t="n"/>
      <c r="B501" s="21" t="n"/>
      <c r="C501" s="22" t="n"/>
      <c r="D501" s="46" t="n"/>
      <c r="E501" s="25" t="n"/>
      <c r="F501" s="25" t="n"/>
      <c r="G501" s="17">
        <f>IF(AND(C501="",D501=""),"",IF(NOT(ISNUMBER(B501)),"Needs a date",IF(AND(D501&lt;&gt;"",NOT(ISNUMBER(D501))),"Hours not a number",IF(N(D501)&lt;=0,"Needs the hours",IF(C501="","Needs a name",IF(COUNTIF(Volunteers!$B$6:$B$105,C501)=0,"Not on Volunteers",""))))))</f>
        <v/>
      </c>
      <c r="H501" s="1" t="n"/>
      <c r="I501">
        <f>IF(ISNUMBER(B501),YEAR(B501),"")</f>
        <v/>
      </c>
      <c r="J501">
        <f>IF(ISNUMBER(B501),YEAR(B501)*100+MONTH(B501),"")</f>
        <v/>
      </c>
      <c r="K501">
        <f>IF(ISNUMBER(B501),INT(B501),0)</f>
        <v/>
      </c>
      <c r="L501">
        <f>IF(AND(ISNUMBER(D501),N(D501)&gt;0),K501,0)</f>
        <v/>
      </c>
    </row>
    <row r="502">
      <c r="A502" s="1" t="n"/>
      <c r="B502" s="21" t="n"/>
      <c r="C502" s="22" t="n"/>
      <c r="D502" s="46" t="n"/>
      <c r="E502" s="25" t="n"/>
      <c r="F502" s="25" t="n"/>
      <c r="G502" s="17">
        <f>IF(AND(C502="",D502=""),"",IF(NOT(ISNUMBER(B502)),"Needs a date",IF(AND(D502&lt;&gt;"",NOT(ISNUMBER(D502))),"Hours not a number",IF(N(D502)&lt;=0,"Needs the hours",IF(C502="","Needs a name",IF(COUNTIF(Volunteers!$B$6:$B$105,C502)=0,"Not on Volunteers",""))))))</f>
        <v/>
      </c>
      <c r="H502" s="1" t="n"/>
      <c r="I502">
        <f>IF(ISNUMBER(B502),YEAR(B502),"")</f>
        <v/>
      </c>
      <c r="J502">
        <f>IF(ISNUMBER(B502),YEAR(B502)*100+MONTH(B502),"")</f>
        <v/>
      </c>
      <c r="K502">
        <f>IF(ISNUMBER(B502),INT(B502),0)</f>
        <v/>
      </c>
      <c r="L502">
        <f>IF(AND(ISNUMBER(D502),N(D502)&gt;0),K502,0)</f>
        <v/>
      </c>
    </row>
    <row r="503">
      <c r="A503" s="1" t="n"/>
      <c r="B503" s="21" t="n"/>
      <c r="C503" s="22" t="n"/>
      <c r="D503" s="46" t="n"/>
      <c r="E503" s="25" t="n"/>
      <c r="F503" s="25" t="n"/>
      <c r="G503" s="17">
        <f>IF(AND(C503="",D503=""),"",IF(NOT(ISNUMBER(B503)),"Needs a date",IF(AND(D503&lt;&gt;"",NOT(ISNUMBER(D503))),"Hours not a number",IF(N(D503)&lt;=0,"Needs the hours",IF(C503="","Needs a name",IF(COUNTIF(Volunteers!$B$6:$B$105,C503)=0,"Not on Volunteers",""))))))</f>
        <v/>
      </c>
      <c r="H503" s="1" t="n"/>
      <c r="I503">
        <f>IF(ISNUMBER(B503),YEAR(B503),"")</f>
        <v/>
      </c>
      <c r="J503">
        <f>IF(ISNUMBER(B503),YEAR(B503)*100+MONTH(B503),"")</f>
        <v/>
      </c>
      <c r="K503">
        <f>IF(ISNUMBER(B503),INT(B503),0)</f>
        <v/>
      </c>
      <c r="L503">
        <f>IF(AND(ISNUMBER(D503),N(D503)&gt;0),K503,0)</f>
        <v/>
      </c>
    </row>
    <row r="504">
      <c r="A504" s="1" t="n"/>
      <c r="B504" s="21" t="n"/>
      <c r="C504" s="22" t="n"/>
      <c r="D504" s="46" t="n"/>
      <c r="E504" s="25" t="n"/>
      <c r="F504" s="25" t="n"/>
      <c r="G504" s="17">
        <f>IF(AND(C504="",D504=""),"",IF(NOT(ISNUMBER(B504)),"Needs a date",IF(AND(D504&lt;&gt;"",NOT(ISNUMBER(D504))),"Hours not a number",IF(N(D504)&lt;=0,"Needs the hours",IF(C504="","Needs a name",IF(COUNTIF(Volunteers!$B$6:$B$105,C504)=0,"Not on Volunteers",""))))))</f>
        <v/>
      </c>
      <c r="H504" s="1" t="n"/>
      <c r="I504">
        <f>IF(ISNUMBER(B504),YEAR(B504),"")</f>
        <v/>
      </c>
      <c r="J504">
        <f>IF(ISNUMBER(B504),YEAR(B504)*100+MONTH(B504),"")</f>
        <v/>
      </c>
      <c r="K504">
        <f>IF(ISNUMBER(B504),INT(B504),0)</f>
        <v/>
      </c>
      <c r="L504">
        <f>IF(AND(ISNUMBER(D504),N(D504)&gt;0),K504,0)</f>
        <v/>
      </c>
    </row>
    <row r="505">
      <c r="A505" s="1" t="n"/>
      <c r="B505" s="21" t="n"/>
      <c r="C505" s="22" t="n"/>
      <c r="D505" s="46" t="n"/>
      <c r="E505" s="25" t="n"/>
      <c r="F505" s="25" t="n"/>
      <c r="G505" s="17">
        <f>IF(AND(C505="",D505=""),"",IF(NOT(ISNUMBER(B505)),"Needs a date",IF(AND(D505&lt;&gt;"",NOT(ISNUMBER(D505))),"Hours not a number",IF(N(D505)&lt;=0,"Needs the hours",IF(C505="","Needs a name",IF(COUNTIF(Volunteers!$B$6:$B$105,C505)=0,"Not on Volunteers",""))))))</f>
        <v/>
      </c>
      <c r="H505" s="1" t="n"/>
      <c r="I505">
        <f>IF(ISNUMBER(B505),YEAR(B505),"")</f>
        <v/>
      </c>
      <c r="J505">
        <f>IF(ISNUMBER(B505),YEAR(B505)*100+MONTH(B505),"")</f>
        <v/>
      </c>
      <c r="K505">
        <f>IF(ISNUMBER(B505),INT(B505),0)</f>
        <v/>
      </c>
      <c r="L505">
        <f>IF(AND(ISNUMBER(D505),N(D505)&gt;0),K505,0)</f>
        <v/>
      </c>
    </row>
    <row r="506">
      <c r="A506" s="1" t="n"/>
      <c r="B506" s="21" t="n"/>
      <c r="C506" s="22" t="n"/>
      <c r="D506" s="46" t="n"/>
      <c r="E506" s="25" t="n"/>
      <c r="F506" s="25" t="n"/>
      <c r="G506" s="17">
        <f>IF(AND(C506="",D506=""),"",IF(NOT(ISNUMBER(B506)),"Needs a date",IF(AND(D506&lt;&gt;"",NOT(ISNUMBER(D506))),"Hours not a number",IF(N(D506)&lt;=0,"Needs the hours",IF(C506="","Needs a name",IF(COUNTIF(Volunteers!$B$6:$B$105,C506)=0,"Not on Volunteers",""))))))</f>
        <v/>
      </c>
      <c r="H506" s="1" t="n"/>
      <c r="I506">
        <f>IF(ISNUMBER(B506),YEAR(B506),"")</f>
        <v/>
      </c>
      <c r="J506">
        <f>IF(ISNUMBER(B506),YEAR(B506)*100+MONTH(B506),"")</f>
        <v/>
      </c>
      <c r="K506">
        <f>IF(ISNUMBER(B506),INT(B506),0)</f>
        <v/>
      </c>
      <c r="L506">
        <f>IF(AND(ISNUMBER(D506),N(D506)&gt;0),K506,0)</f>
        <v/>
      </c>
    </row>
    <row r="507">
      <c r="A507" s="1" t="n"/>
      <c r="B507" s="21" t="n"/>
      <c r="C507" s="22" t="n"/>
      <c r="D507" s="46" t="n"/>
      <c r="E507" s="25" t="n"/>
      <c r="F507" s="25" t="n"/>
      <c r="G507" s="17">
        <f>IF(AND(C507="",D507=""),"",IF(NOT(ISNUMBER(B507)),"Needs a date",IF(AND(D507&lt;&gt;"",NOT(ISNUMBER(D507))),"Hours not a number",IF(N(D507)&lt;=0,"Needs the hours",IF(C507="","Needs a name",IF(COUNTIF(Volunteers!$B$6:$B$105,C507)=0,"Not on Volunteers",""))))))</f>
        <v/>
      </c>
      <c r="H507" s="1" t="n"/>
      <c r="I507">
        <f>IF(ISNUMBER(B507),YEAR(B507),"")</f>
        <v/>
      </c>
      <c r="J507">
        <f>IF(ISNUMBER(B507),YEAR(B507)*100+MONTH(B507),"")</f>
        <v/>
      </c>
      <c r="K507">
        <f>IF(ISNUMBER(B507),INT(B507),0)</f>
        <v/>
      </c>
      <c r="L507">
        <f>IF(AND(ISNUMBER(D507),N(D507)&gt;0),K507,0)</f>
        <v/>
      </c>
    </row>
    <row r="508">
      <c r="A508" s="1" t="n"/>
      <c r="B508" s="21" t="n"/>
      <c r="C508" s="22" t="n"/>
      <c r="D508" s="46" t="n"/>
      <c r="E508" s="25" t="n"/>
      <c r="F508" s="25" t="n"/>
      <c r="G508" s="17">
        <f>IF(AND(C508="",D508=""),"",IF(NOT(ISNUMBER(B508)),"Needs a date",IF(AND(D508&lt;&gt;"",NOT(ISNUMBER(D508))),"Hours not a number",IF(N(D508)&lt;=0,"Needs the hours",IF(C508="","Needs a name",IF(COUNTIF(Volunteers!$B$6:$B$105,C508)=0,"Not on Volunteers",""))))))</f>
        <v/>
      </c>
      <c r="H508" s="1" t="n"/>
      <c r="I508">
        <f>IF(ISNUMBER(B508),YEAR(B508),"")</f>
        <v/>
      </c>
      <c r="J508">
        <f>IF(ISNUMBER(B508),YEAR(B508)*100+MONTH(B508),"")</f>
        <v/>
      </c>
      <c r="K508">
        <f>IF(ISNUMBER(B508),INT(B508),0)</f>
        <v/>
      </c>
      <c r="L508">
        <f>IF(AND(ISNUMBER(D508),N(D508)&gt;0),K508,0)</f>
        <v/>
      </c>
    </row>
    <row r="509">
      <c r="A509" s="1" t="n"/>
      <c r="B509" s="21" t="n"/>
      <c r="C509" s="22" t="n"/>
      <c r="D509" s="46" t="n"/>
      <c r="E509" s="25" t="n"/>
      <c r="F509" s="25" t="n"/>
      <c r="G509" s="17">
        <f>IF(AND(C509="",D509=""),"",IF(NOT(ISNUMBER(B509)),"Needs a date",IF(AND(D509&lt;&gt;"",NOT(ISNUMBER(D509))),"Hours not a number",IF(N(D509)&lt;=0,"Needs the hours",IF(C509="","Needs a name",IF(COUNTIF(Volunteers!$B$6:$B$105,C509)=0,"Not on Volunteers",""))))))</f>
        <v/>
      </c>
      <c r="H509" s="1" t="n"/>
      <c r="I509">
        <f>IF(ISNUMBER(B509),YEAR(B509),"")</f>
        <v/>
      </c>
      <c r="J509">
        <f>IF(ISNUMBER(B509),YEAR(B509)*100+MONTH(B509),"")</f>
        <v/>
      </c>
      <c r="K509">
        <f>IF(ISNUMBER(B509),INT(B509),0)</f>
        <v/>
      </c>
      <c r="L509">
        <f>IF(AND(ISNUMBER(D509),N(D509)&gt;0),K509,0)</f>
        <v/>
      </c>
    </row>
    <row r="510">
      <c r="A510" s="1" t="n"/>
      <c r="B510" s="21" t="n"/>
      <c r="C510" s="22" t="n"/>
      <c r="D510" s="46" t="n"/>
      <c r="E510" s="25" t="n"/>
      <c r="F510" s="25" t="n"/>
      <c r="G510" s="17">
        <f>IF(AND(C510="",D510=""),"",IF(NOT(ISNUMBER(B510)),"Needs a date",IF(AND(D510&lt;&gt;"",NOT(ISNUMBER(D510))),"Hours not a number",IF(N(D510)&lt;=0,"Needs the hours",IF(C510="","Needs a name",IF(COUNTIF(Volunteers!$B$6:$B$105,C510)=0,"Not on Volunteers",""))))))</f>
        <v/>
      </c>
      <c r="H510" s="1" t="n"/>
      <c r="I510">
        <f>IF(ISNUMBER(B510),YEAR(B510),"")</f>
        <v/>
      </c>
      <c r="J510">
        <f>IF(ISNUMBER(B510),YEAR(B510)*100+MONTH(B510),"")</f>
        <v/>
      </c>
      <c r="K510">
        <f>IF(ISNUMBER(B510),INT(B510),0)</f>
        <v/>
      </c>
      <c r="L510">
        <f>IF(AND(ISNUMBER(D510),N(D510)&gt;0),K510,0)</f>
        <v/>
      </c>
    </row>
    <row r="511">
      <c r="A511" s="1" t="n"/>
      <c r="B511" s="21" t="n"/>
      <c r="C511" s="22" t="n"/>
      <c r="D511" s="46" t="n"/>
      <c r="E511" s="25" t="n"/>
      <c r="F511" s="25" t="n"/>
      <c r="G511" s="17">
        <f>IF(AND(C511="",D511=""),"",IF(NOT(ISNUMBER(B511)),"Needs a date",IF(AND(D511&lt;&gt;"",NOT(ISNUMBER(D511))),"Hours not a number",IF(N(D511)&lt;=0,"Needs the hours",IF(C511="","Needs a name",IF(COUNTIF(Volunteers!$B$6:$B$105,C511)=0,"Not on Volunteers",""))))))</f>
        <v/>
      </c>
      <c r="H511" s="1" t="n"/>
      <c r="I511">
        <f>IF(ISNUMBER(B511),YEAR(B511),"")</f>
        <v/>
      </c>
      <c r="J511">
        <f>IF(ISNUMBER(B511),YEAR(B511)*100+MONTH(B511),"")</f>
        <v/>
      </c>
      <c r="K511">
        <f>IF(ISNUMBER(B511),INT(B511),0)</f>
        <v/>
      </c>
      <c r="L511">
        <f>IF(AND(ISNUMBER(D511),N(D511)&gt;0),K511,0)</f>
        <v/>
      </c>
    </row>
    <row r="512">
      <c r="A512" s="1" t="n"/>
      <c r="B512" s="21" t="n"/>
      <c r="C512" s="22" t="n"/>
      <c r="D512" s="46" t="n"/>
      <c r="E512" s="25" t="n"/>
      <c r="F512" s="25" t="n"/>
      <c r="G512" s="17">
        <f>IF(AND(C512="",D512=""),"",IF(NOT(ISNUMBER(B512)),"Needs a date",IF(AND(D512&lt;&gt;"",NOT(ISNUMBER(D512))),"Hours not a number",IF(N(D512)&lt;=0,"Needs the hours",IF(C512="","Needs a name",IF(COUNTIF(Volunteers!$B$6:$B$105,C512)=0,"Not on Volunteers",""))))))</f>
        <v/>
      </c>
      <c r="H512" s="1" t="n"/>
      <c r="I512">
        <f>IF(ISNUMBER(B512),YEAR(B512),"")</f>
        <v/>
      </c>
      <c r="J512">
        <f>IF(ISNUMBER(B512),YEAR(B512)*100+MONTH(B512),"")</f>
        <v/>
      </c>
      <c r="K512">
        <f>IF(ISNUMBER(B512),INT(B512),0)</f>
        <v/>
      </c>
      <c r="L512">
        <f>IF(AND(ISNUMBER(D512),N(D512)&gt;0),K512,0)</f>
        <v/>
      </c>
    </row>
    <row r="513">
      <c r="A513" s="1" t="n"/>
      <c r="B513" s="21" t="n"/>
      <c r="C513" s="22" t="n"/>
      <c r="D513" s="46" t="n"/>
      <c r="E513" s="25" t="n"/>
      <c r="F513" s="25" t="n"/>
      <c r="G513" s="17">
        <f>IF(AND(C513="",D513=""),"",IF(NOT(ISNUMBER(B513)),"Needs a date",IF(AND(D513&lt;&gt;"",NOT(ISNUMBER(D513))),"Hours not a number",IF(N(D513)&lt;=0,"Needs the hours",IF(C513="","Needs a name",IF(COUNTIF(Volunteers!$B$6:$B$105,C513)=0,"Not on Volunteers",""))))))</f>
        <v/>
      </c>
      <c r="H513" s="1" t="n"/>
      <c r="I513">
        <f>IF(ISNUMBER(B513),YEAR(B513),"")</f>
        <v/>
      </c>
      <c r="J513">
        <f>IF(ISNUMBER(B513),YEAR(B513)*100+MONTH(B513),"")</f>
        <v/>
      </c>
      <c r="K513">
        <f>IF(ISNUMBER(B513),INT(B513),0)</f>
        <v/>
      </c>
      <c r="L513">
        <f>IF(AND(ISNUMBER(D513),N(D513)&gt;0),K513,0)</f>
        <v/>
      </c>
    </row>
    <row r="514">
      <c r="A514" s="1" t="n"/>
      <c r="B514" s="21" t="n"/>
      <c r="C514" s="22" t="n"/>
      <c r="D514" s="46" t="n"/>
      <c r="E514" s="25" t="n"/>
      <c r="F514" s="25" t="n"/>
      <c r="G514" s="17">
        <f>IF(AND(C514="",D514=""),"",IF(NOT(ISNUMBER(B514)),"Needs a date",IF(AND(D514&lt;&gt;"",NOT(ISNUMBER(D514))),"Hours not a number",IF(N(D514)&lt;=0,"Needs the hours",IF(C514="","Needs a name",IF(COUNTIF(Volunteers!$B$6:$B$105,C514)=0,"Not on Volunteers",""))))))</f>
        <v/>
      </c>
      <c r="H514" s="1" t="n"/>
      <c r="I514">
        <f>IF(ISNUMBER(B514),YEAR(B514),"")</f>
        <v/>
      </c>
      <c r="J514">
        <f>IF(ISNUMBER(B514),YEAR(B514)*100+MONTH(B514),"")</f>
        <v/>
      </c>
      <c r="K514">
        <f>IF(ISNUMBER(B514),INT(B514),0)</f>
        <v/>
      </c>
      <c r="L514">
        <f>IF(AND(ISNUMBER(D514),N(D514)&gt;0),K514,0)</f>
        <v/>
      </c>
    </row>
    <row r="515">
      <c r="A515" s="1" t="n"/>
      <c r="B515" s="21" t="n"/>
      <c r="C515" s="22" t="n"/>
      <c r="D515" s="46" t="n"/>
      <c r="E515" s="25" t="n"/>
      <c r="F515" s="25" t="n"/>
      <c r="G515" s="17">
        <f>IF(AND(C515="",D515=""),"",IF(NOT(ISNUMBER(B515)),"Needs a date",IF(AND(D515&lt;&gt;"",NOT(ISNUMBER(D515))),"Hours not a number",IF(N(D515)&lt;=0,"Needs the hours",IF(C515="","Needs a name",IF(COUNTIF(Volunteers!$B$6:$B$105,C515)=0,"Not on Volunteers",""))))))</f>
        <v/>
      </c>
      <c r="H515" s="1" t="n"/>
      <c r="I515">
        <f>IF(ISNUMBER(B515),YEAR(B515),"")</f>
        <v/>
      </c>
      <c r="J515">
        <f>IF(ISNUMBER(B515),YEAR(B515)*100+MONTH(B515),"")</f>
        <v/>
      </c>
      <c r="K515">
        <f>IF(ISNUMBER(B515),INT(B515),0)</f>
        <v/>
      </c>
      <c r="L515">
        <f>IF(AND(ISNUMBER(D515),N(D515)&gt;0),K515,0)</f>
        <v/>
      </c>
    </row>
    <row r="516">
      <c r="A516" s="1" t="n"/>
      <c r="B516" s="21" t="n"/>
      <c r="C516" s="22" t="n"/>
      <c r="D516" s="46" t="n"/>
      <c r="E516" s="25" t="n"/>
      <c r="F516" s="25" t="n"/>
      <c r="G516" s="17">
        <f>IF(AND(C516="",D516=""),"",IF(NOT(ISNUMBER(B516)),"Needs a date",IF(AND(D516&lt;&gt;"",NOT(ISNUMBER(D516))),"Hours not a number",IF(N(D516)&lt;=0,"Needs the hours",IF(C516="","Needs a name",IF(COUNTIF(Volunteers!$B$6:$B$105,C516)=0,"Not on Volunteers",""))))))</f>
        <v/>
      </c>
      <c r="H516" s="1" t="n"/>
      <c r="I516">
        <f>IF(ISNUMBER(B516),YEAR(B516),"")</f>
        <v/>
      </c>
      <c r="J516">
        <f>IF(ISNUMBER(B516),YEAR(B516)*100+MONTH(B516),"")</f>
        <v/>
      </c>
      <c r="K516">
        <f>IF(ISNUMBER(B516),INT(B516),0)</f>
        <v/>
      </c>
      <c r="L516">
        <f>IF(AND(ISNUMBER(D516),N(D516)&gt;0),K516,0)</f>
        <v/>
      </c>
    </row>
    <row r="517">
      <c r="A517" s="1" t="n"/>
      <c r="B517" s="21" t="n"/>
      <c r="C517" s="22" t="n"/>
      <c r="D517" s="46" t="n"/>
      <c r="E517" s="25" t="n"/>
      <c r="F517" s="25" t="n"/>
      <c r="G517" s="17">
        <f>IF(AND(C517="",D517=""),"",IF(NOT(ISNUMBER(B517)),"Needs a date",IF(AND(D517&lt;&gt;"",NOT(ISNUMBER(D517))),"Hours not a number",IF(N(D517)&lt;=0,"Needs the hours",IF(C517="","Needs a name",IF(COUNTIF(Volunteers!$B$6:$B$105,C517)=0,"Not on Volunteers",""))))))</f>
        <v/>
      </c>
      <c r="H517" s="1" t="n"/>
      <c r="I517">
        <f>IF(ISNUMBER(B517),YEAR(B517),"")</f>
        <v/>
      </c>
      <c r="J517">
        <f>IF(ISNUMBER(B517),YEAR(B517)*100+MONTH(B517),"")</f>
        <v/>
      </c>
      <c r="K517">
        <f>IF(ISNUMBER(B517),INT(B517),0)</f>
        <v/>
      </c>
      <c r="L517">
        <f>IF(AND(ISNUMBER(D517),N(D517)&gt;0),K517,0)</f>
        <v/>
      </c>
    </row>
    <row r="518">
      <c r="A518" s="1" t="n"/>
      <c r="B518" s="21" t="n"/>
      <c r="C518" s="22" t="n"/>
      <c r="D518" s="46" t="n"/>
      <c r="E518" s="25" t="n"/>
      <c r="F518" s="25" t="n"/>
      <c r="G518" s="17">
        <f>IF(AND(C518="",D518=""),"",IF(NOT(ISNUMBER(B518)),"Needs a date",IF(AND(D518&lt;&gt;"",NOT(ISNUMBER(D518))),"Hours not a number",IF(N(D518)&lt;=0,"Needs the hours",IF(C518="","Needs a name",IF(COUNTIF(Volunteers!$B$6:$B$105,C518)=0,"Not on Volunteers",""))))))</f>
        <v/>
      </c>
      <c r="H518" s="1" t="n"/>
      <c r="I518">
        <f>IF(ISNUMBER(B518),YEAR(B518),"")</f>
        <v/>
      </c>
      <c r="J518">
        <f>IF(ISNUMBER(B518),YEAR(B518)*100+MONTH(B518),"")</f>
        <v/>
      </c>
      <c r="K518">
        <f>IF(ISNUMBER(B518),INT(B518),0)</f>
        <v/>
      </c>
      <c r="L518">
        <f>IF(AND(ISNUMBER(D518),N(D518)&gt;0),K518,0)</f>
        <v/>
      </c>
    </row>
    <row r="519">
      <c r="A519" s="1" t="n"/>
      <c r="B519" s="21" t="n"/>
      <c r="C519" s="22" t="n"/>
      <c r="D519" s="46" t="n"/>
      <c r="E519" s="25" t="n"/>
      <c r="F519" s="25" t="n"/>
      <c r="G519" s="17">
        <f>IF(AND(C519="",D519=""),"",IF(NOT(ISNUMBER(B519)),"Needs a date",IF(AND(D519&lt;&gt;"",NOT(ISNUMBER(D519))),"Hours not a number",IF(N(D519)&lt;=0,"Needs the hours",IF(C519="","Needs a name",IF(COUNTIF(Volunteers!$B$6:$B$105,C519)=0,"Not on Volunteers",""))))))</f>
        <v/>
      </c>
      <c r="H519" s="1" t="n"/>
      <c r="I519">
        <f>IF(ISNUMBER(B519),YEAR(B519),"")</f>
        <v/>
      </c>
      <c r="J519">
        <f>IF(ISNUMBER(B519),YEAR(B519)*100+MONTH(B519),"")</f>
        <v/>
      </c>
      <c r="K519">
        <f>IF(ISNUMBER(B519),INT(B519),0)</f>
        <v/>
      </c>
      <c r="L519">
        <f>IF(AND(ISNUMBER(D519),N(D519)&gt;0),K519,0)</f>
        <v/>
      </c>
    </row>
    <row r="520">
      <c r="A520" s="1" t="n"/>
      <c r="B520" s="21" t="n"/>
      <c r="C520" s="22" t="n"/>
      <c r="D520" s="46" t="n"/>
      <c r="E520" s="25" t="n"/>
      <c r="F520" s="25" t="n"/>
      <c r="G520" s="17">
        <f>IF(AND(C520="",D520=""),"",IF(NOT(ISNUMBER(B520)),"Needs a date",IF(AND(D520&lt;&gt;"",NOT(ISNUMBER(D520))),"Hours not a number",IF(N(D520)&lt;=0,"Needs the hours",IF(C520="","Needs a name",IF(COUNTIF(Volunteers!$B$6:$B$105,C520)=0,"Not on Volunteers",""))))))</f>
        <v/>
      </c>
      <c r="H520" s="1" t="n"/>
      <c r="I520">
        <f>IF(ISNUMBER(B520),YEAR(B520),"")</f>
        <v/>
      </c>
      <c r="J520">
        <f>IF(ISNUMBER(B520),YEAR(B520)*100+MONTH(B520),"")</f>
        <v/>
      </c>
      <c r="K520">
        <f>IF(ISNUMBER(B520),INT(B520),0)</f>
        <v/>
      </c>
      <c r="L520">
        <f>IF(AND(ISNUMBER(D520),N(D520)&gt;0),K520,0)</f>
        <v/>
      </c>
    </row>
    <row r="521">
      <c r="A521" s="1" t="n"/>
      <c r="B521" s="21" t="n"/>
      <c r="C521" s="22" t="n"/>
      <c r="D521" s="46" t="n"/>
      <c r="E521" s="25" t="n"/>
      <c r="F521" s="25" t="n"/>
      <c r="G521" s="17">
        <f>IF(AND(C521="",D521=""),"",IF(NOT(ISNUMBER(B521)),"Needs a date",IF(AND(D521&lt;&gt;"",NOT(ISNUMBER(D521))),"Hours not a number",IF(N(D521)&lt;=0,"Needs the hours",IF(C521="","Needs a name",IF(COUNTIF(Volunteers!$B$6:$B$105,C521)=0,"Not on Volunteers",""))))))</f>
        <v/>
      </c>
      <c r="H521" s="1" t="n"/>
      <c r="I521">
        <f>IF(ISNUMBER(B521),YEAR(B521),"")</f>
        <v/>
      </c>
      <c r="J521">
        <f>IF(ISNUMBER(B521),YEAR(B521)*100+MONTH(B521),"")</f>
        <v/>
      </c>
      <c r="K521">
        <f>IF(ISNUMBER(B521),INT(B521),0)</f>
        <v/>
      </c>
      <c r="L521">
        <f>IF(AND(ISNUMBER(D521),N(D521)&gt;0),K521,0)</f>
        <v/>
      </c>
    </row>
    <row r="522">
      <c r="A522" s="1" t="n"/>
      <c r="B522" s="21" t="n"/>
      <c r="C522" s="22" t="n"/>
      <c r="D522" s="46" t="n"/>
      <c r="E522" s="25" t="n"/>
      <c r="F522" s="25" t="n"/>
      <c r="G522" s="17">
        <f>IF(AND(C522="",D522=""),"",IF(NOT(ISNUMBER(B522)),"Needs a date",IF(AND(D522&lt;&gt;"",NOT(ISNUMBER(D522))),"Hours not a number",IF(N(D522)&lt;=0,"Needs the hours",IF(C522="","Needs a name",IF(COUNTIF(Volunteers!$B$6:$B$105,C522)=0,"Not on Volunteers",""))))))</f>
        <v/>
      </c>
      <c r="H522" s="1" t="n"/>
      <c r="I522">
        <f>IF(ISNUMBER(B522),YEAR(B522),"")</f>
        <v/>
      </c>
      <c r="J522">
        <f>IF(ISNUMBER(B522),YEAR(B522)*100+MONTH(B522),"")</f>
        <v/>
      </c>
      <c r="K522">
        <f>IF(ISNUMBER(B522),INT(B522),0)</f>
        <v/>
      </c>
      <c r="L522">
        <f>IF(AND(ISNUMBER(D522),N(D522)&gt;0),K522,0)</f>
        <v/>
      </c>
    </row>
    <row r="523">
      <c r="A523" s="1" t="n"/>
      <c r="B523" s="21" t="n"/>
      <c r="C523" s="22" t="n"/>
      <c r="D523" s="46" t="n"/>
      <c r="E523" s="25" t="n"/>
      <c r="F523" s="25" t="n"/>
      <c r="G523" s="17">
        <f>IF(AND(C523="",D523=""),"",IF(NOT(ISNUMBER(B523)),"Needs a date",IF(AND(D523&lt;&gt;"",NOT(ISNUMBER(D523))),"Hours not a number",IF(N(D523)&lt;=0,"Needs the hours",IF(C523="","Needs a name",IF(COUNTIF(Volunteers!$B$6:$B$105,C523)=0,"Not on Volunteers",""))))))</f>
        <v/>
      </c>
      <c r="H523" s="1" t="n"/>
      <c r="I523">
        <f>IF(ISNUMBER(B523),YEAR(B523),"")</f>
        <v/>
      </c>
      <c r="J523">
        <f>IF(ISNUMBER(B523),YEAR(B523)*100+MONTH(B523),"")</f>
        <v/>
      </c>
      <c r="K523">
        <f>IF(ISNUMBER(B523),INT(B523),0)</f>
        <v/>
      </c>
      <c r="L523">
        <f>IF(AND(ISNUMBER(D523),N(D523)&gt;0),K523,0)</f>
        <v/>
      </c>
    </row>
    <row r="524">
      <c r="A524" s="1" t="n"/>
      <c r="B524" s="21" t="n"/>
      <c r="C524" s="22" t="n"/>
      <c r="D524" s="46" t="n"/>
      <c r="E524" s="25" t="n"/>
      <c r="F524" s="25" t="n"/>
      <c r="G524" s="17">
        <f>IF(AND(C524="",D524=""),"",IF(NOT(ISNUMBER(B524)),"Needs a date",IF(AND(D524&lt;&gt;"",NOT(ISNUMBER(D524))),"Hours not a number",IF(N(D524)&lt;=0,"Needs the hours",IF(C524="","Needs a name",IF(COUNTIF(Volunteers!$B$6:$B$105,C524)=0,"Not on Volunteers",""))))))</f>
        <v/>
      </c>
      <c r="H524" s="1" t="n"/>
      <c r="I524">
        <f>IF(ISNUMBER(B524),YEAR(B524),"")</f>
        <v/>
      </c>
      <c r="J524">
        <f>IF(ISNUMBER(B524),YEAR(B524)*100+MONTH(B524),"")</f>
        <v/>
      </c>
      <c r="K524">
        <f>IF(ISNUMBER(B524),INT(B524),0)</f>
        <v/>
      </c>
      <c r="L524">
        <f>IF(AND(ISNUMBER(D524),N(D524)&gt;0),K524,0)</f>
        <v/>
      </c>
    </row>
    <row r="525">
      <c r="A525" s="1" t="n"/>
      <c r="B525" s="21" t="n"/>
      <c r="C525" s="22" t="n"/>
      <c r="D525" s="46" t="n"/>
      <c r="E525" s="25" t="n"/>
      <c r="F525" s="25" t="n"/>
      <c r="G525" s="17">
        <f>IF(AND(C525="",D525=""),"",IF(NOT(ISNUMBER(B525)),"Needs a date",IF(AND(D525&lt;&gt;"",NOT(ISNUMBER(D525))),"Hours not a number",IF(N(D525)&lt;=0,"Needs the hours",IF(C525="","Needs a name",IF(COUNTIF(Volunteers!$B$6:$B$105,C525)=0,"Not on Volunteers",""))))))</f>
        <v/>
      </c>
      <c r="H525" s="1" t="n"/>
      <c r="I525">
        <f>IF(ISNUMBER(B525),YEAR(B525),"")</f>
        <v/>
      </c>
      <c r="J525">
        <f>IF(ISNUMBER(B525),YEAR(B525)*100+MONTH(B525),"")</f>
        <v/>
      </c>
      <c r="K525">
        <f>IF(ISNUMBER(B525),INT(B525),0)</f>
        <v/>
      </c>
      <c r="L525">
        <f>IF(AND(ISNUMBER(D525),N(D525)&gt;0),K525,0)</f>
        <v/>
      </c>
    </row>
    <row r="526">
      <c r="A526" s="1" t="n"/>
      <c r="B526" s="21" t="n"/>
      <c r="C526" s="22" t="n"/>
      <c r="D526" s="46" t="n"/>
      <c r="E526" s="25" t="n"/>
      <c r="F526" s="25" t="n"/>
      <c r="G526" s="17">
        <f>IF(AND(C526="",D526=""),"",IF(NOT(ISNUMBER(B526)),"Needs a date",IF(AND(D526&lt;&gt;"",NOT(ISNUMBER(D526))),"Hours not a number",IF(N(D526)&lt;=0,"Needs the hours",IF(C526="","Needs a name",IF(COUNTIF(Volunteers!$B$6:$B$105,C526)=0,"Not on Volunteers",""))))))</f>
        <v/>
      </c>
      <c r="H526" s="1" t="n"/>
      <c r="I526">
        <f>IF(ISNUMBER(B526),YEAR(B526),"")</f>
        <v/>
      </c>
      <c r="J526">
        <f>IF(ISNUMBER(B526),YEAR(B526)*100+MONTH(B526),"")</f>
        <v/>
      </c>
      <c r="K526">
        <f>IF(ISNUMBER(B526),INT(B526),0)</f>
        <v/>
      </c>
      <c r="L526">
        <f>IF(AND(ISNUMBER(D526),N(D526)&gt;0),K526,0)</f>
        <v/>
      </c>
    </row>
    <row r="527">
      <c r="A527" s="1" t="n"/>
      <c r="B527" s="21" t="n"/>
      <c r="C527" s="22" t="n"/>
      <c r="D527" s="46" t="n"/>
      <c r="E527" s="25" t="n"/>
      <c r="F527" s="25" t="n"/>
      <c r="G527" s="17">
        <f>IF(AND(C527="",D527=""),"",IF(NOT(ISNUMBER(B527)),"Needs a date",IF(AND(D527&lt;&gt;"",NOT(ISNUMBER(D527))),"Hours not a number",IF(N(D527)&lt;=0,"Needs the hours",IF(C527="","Needs a name",IF(COUNTIF(Volunteers!$B$6:$B$105,C527)=0,"Not on Volunteers",""))))))</f>
        <v/>
      </c>
      <c r="H527" s="1" t="n"/>
      <c r="I527">
        <f>IF(ISNUMBER(B527),YEAR(B527),"")</f>
        <v/>
      </c>
      <c r="J527">
        <f>IF(ISNUMBER(B527),YEAR(B527)*100+MONTH(B527),"")</f>
        <v/>
      </c>
      <c r="K527">
        <f>IF(ISNUMBER(B527),INT(B527),0)</f>
        <v/>
      </c>
      <c r="L527">
        <f>IF(AND(ISNUMBER(D527),N(D527)&gt;0),K527,0)</f>
        <v/>
      </c>
    </row>
    <row r="528">
      <c r="A528" s="1" t="n"/>
      <c r="B528" s="21" t="n"/>
      <c r="C528" s="22" t="n"/>
      <c r="D528" s="46" t="n"/>
      <c r="E528" s="25" t="n"/>
      <c r="F528" s="25" t="n"/>
      <c r="G528" s="17">
        <f>IF(AND(C528="",D528=""),"",IF(NOT(ISNUMBER(B528)),"Needs a date",IF(AND(D528&lt;&gt;"",NOT(ISNUMBER(D528))),"Hours not a number",IF(N(D528)&lt;=0,"Needs the hours",IF(C528="","Needs a name",IF(COUNTIF(Volunteers!$B$6:$B$105,C528)=0,"Not on Volunteers",""))))))</f>
        <v/>
      </c>
      <c r="H528" s="1" t="n"/>
      <c r="I528">
        <f>IF(ISNUMBER(B528),YEAR(B528),"")</f>
        <v/>
      </c>
      <c r="J528">
        <f>IF(ISNUMBER(B528),YEAR(B528)*100+MONTH(B528),"")</f>
        <v/>
      </c>
      <c r="K528">
        <f>IF(ISNUMBER(B528),INT(B528),0)</f>
        <v/>
      </c>
      <c r="L528">
        <f>IF(AND(ISNUMBER(D528),N(D528)&gt;0),K528,0)</f>
        <v/>
      </c>
    </row>
    <row r="529">
      <c r="A529" s="1" t="n"/>
      <c r="B529" s="21" t="n"/>
      <c r="C529" s="22" t="n"/>
      <c r="D529" s="46" t="n"/>
      <c r="E529" s="25" t="n"/>
      <c r="F529" s="25" t="n"/>
      <c r="G529" s="17">
        <f>IF(AND(C529="",D529=""),"",IF(NOT(ISNUMBER(B529)),"Needs a date",IF(AND(D529&lt;&gt;"",NOT(ISNUMBER(D529))),"Hours not a number",IF(N(D529)&lt;=0,"Needs the hours",IF(C529="","Needs a name",IF(COUNTIF(Volunteers!$B$6:$B$105,C529)=0,"Not on Volunteers",""))))))</f>
        <v/>
      </c>
      <c r="H529" s="1" t="n"/>
      <c r="I529">
        <f>IF(ISNUMBER(B529),YEAR(B529),"")</f>
        <v/>
      </c>
      <c r="J529">
        <f>IF(ISNUMBER(B529),YEAR(B529)*100+MONTH(B529),"")</f>
        <v/>
      </c>
      <c r="K529">
        <f>IF(ISNUMBER(B529),INT(B529),0)</f>
        <v/>
      </c>
      <c r="L529">
        <f>IF(AND(ISNUMBER(D529),N(D529)&gt;0),K529,0)</f>
        <v/>
      </c>
    </row>
    <row r="530">
      <c r="A530" s="1" t="n"/>
      <c r="B530" s="21" t="n"/>
      <c r="C530" s="22" t="n"/>
      <c r="D530" s="46" t="n"/>
      <c r="E530" s="25" t="n"/>
      <c r="F530" s="25" t="n"/>
      <c r="G530" s="17">
        <f>IF(AND(C530="",D530=""),"",IF(NOT(ISNUMBER(B530)),"Needs a date",IF(AND(D530&lt;&gt;"",NOT(ISNUMBER(D530))),"Hours not a number",IF(N(D530)&lt;=0,"Needs the hours",IF(C530="","Needs a name",IF(COUNTIF(Volunteers!$B$6:$B$105,C530)=0,"Not on Volunteers",""))))))</f>
        <v/>
      </c>
      <c r="H530" s="1" t="n"/>
      <c r="I530">
        <f>IF(ISNUMBER(B530),YEAR(B530),"")</f>
        <v/>
      </c>
      <c r="J530">
        <f>IF(ISNUMBER(B530),YEAR(B530)*100+MONTH(B530),"")</f>
        <v/>
      </c>
      <c r="K530">
        <f>IF(ISNUMBER(B530),INT(B530),0)</f>
        <v/>
      </c>
      <c r="L530">
        <f>IF(AND(ISNUMBER(D530),N(D530)&gt;0),K530,0)</f>
        <v/>
      </c>
    </row>
    <row r="531">
      <c r="A531" s="1" t="n"/>
      <c r="B531" s="21" t="n"/>
      <c r="C531" s="22" t="n"/>
      <c r="D531" s="46" t="n"/>
      <c r="E531" s="25" t="n"/>
      <c r="F531" s="25" t="n"/>
      <c r="G531" s="17">
        <f>IF(AND(C531="",D531=""),"",IF(NOT(ISNUMBER(B531)),"Needs a date",IF(AND(D531&lt;&gt;"",NOT(ISNUMBER(D531))),"Hours not a number",IF(N(D531)&lt;=0,"Needs the hours",IF(C531="","Needs a name",IF(COUNTIF(Volunteers!$B$6:$B$105,C531)=0,"Not on Volunteers",""))))))</f>
        <v/>
      </c>
      <c r="H531" s="1" t="n"/>
      <c r="I531">
        <f>IF(ISNUMBER(B531),YEAR(B531),"")</f>
        <v/>
      </c>
      <c r="J531">
        <f>IF(ISNUMBER(B531),YEAR(B531)*100+MONTH(B531),"")</f>
        <v/>
      </c>
      <c r="K531">
        <f>IF(ISNUMBER(B531),INT(B531),0)</f>
        <v/>
      </c>
      <c r="L531">
        <f>IF(AND(ISNUMBER(D531),N(D531)&gt;0),K531,0)</f>
        <v/>
      </c>
    </row>
    <row r="532">
      <c r="A532" s="1" t="n"/>
      <c r="B532" s="21" t="n"/>
      <c r="C532" s="22" t="n"/>
      <c r="D532" s="46" t="n"/>
      <c r="E532" s="25" t="n"/>
      <c r="F532" s="25" t="n"/>
      <c r="G532" s="17">
        <f>IF(AND(C532="",D532=""),"",IF(NOT(ISNUMBER(B532)),"Needs a date",IF(AND(D532&lt;&gt;"",NOT(ISNUMBER(D532))),"Hours not a number",IF(N(D532)&lt;=0,"Needs the hours",IF(C532="","Needs a name",IF(COUNTIF(Volunteers!$B$6:$B$105,C532)=0,"Not on Volunteers",""))))))</f>
        <v/>
      </c>
      <c r="H532" s="1" t="n"/>
      <c r="I532">
        <f>IF(ISNUMBER(B532),YEAR(B532),"")</f>
        <v/>
      </c>
      <c r="J532">
        <f>IF(ISNUMBER(B532),YEAR(B532)*100+MONTH(B532),"")</f>
        <v/>
      </c>
      <c r="K532">
        <f>IF(ISNUMBER(B532),INT(B532),0)</f>
        <v/>
      </c>
      <c r="L532">
        <f>IF(AND(ISNUMBER(D532),N(D532)&gt;0),K532,0)</f>
        <v/>
      </c>
    </row>
    <row r="533">
      <c r="A533" s="1" t="n"/>
      <c r="B533" s="21" t="n"/>
      <c r="C533" s="22" t="n"/>
      <c r="D533" s="46" t="n"/>
      <c r="E533" s="25" t="n"/>
      <c r="F533" s="25" t="n"/>
      <c r="G533" s="17">
        <f>IF(AND(C533="",D533=""),"",IF(NOT(ISNUMBER(B533)),"Needs a date",IF(AND(D533&lt;&gt;"",NOT(ISNUMBER(D533))),"Hours not a number",IF(N(D533)&lt;=0,"Needs the hours",IF(C533="","Needs a name",IF(COUNTIF(Volunteers!$B$6:$B$105,C533)=0,"Not on Volunteers",""))))))</f>
        <v/>
      </c>
      <c r="H533" s="1" t="n"/>
      <c r="I533">
        <f>IF(ISNUMBER(B533),YEAR(B533),"")</f>
        <v/>
      </c>
      <c r="J533">
        <f>IF(ISNUMBER(B533),YEAR(B533)*100+MONTH(B533),"")</f>
        <v/>
      </c>
      <c r="K533">
        <f>IF(ISNUMBER(B533),INT(B533),0)</f>
        <v/>
      </c>
      <c r="L533">
        <f>IF(AND(ISNUMBER(D533),N(D533)&gt;0),K533,0)</f>
        <v/>
      </c>
    </row>
    <row r="534">
      <c r="A534" s="1" t="n"/>
      <c r="B534" s="21" t="n"/>
      <c r="C534" s="22" t="n"/>
      <c r="D534" s="46" t="n"/>
      <c r="E534" s="25" t="n"/>
      <c r="F534" s="25" t="n"/>
      <c r="G534" s="17">
        <f>IF(AND(C534="",D534=""),"",IF(NOT(ISNUMBER(B534)),"Needs a date",IF(AND(D534&lt;&gt;"",NOT(ISNUMBER(D534))),"Hours not a number",IF(N(D534)&lt;=0,"Needs the hours",IF(C534="","Needs a name",IF(COUNTIF(Volunteers!$B$6:$B$105,C534)=0,"Not on Volunteers",""))))))</f>
        <v/>
      </c>
      <c r="H534" s="1" t="n"/>
      <c r="I534">
        <f>IF(ISNUMBER(B534),YEAR(B534),"")</f>
        <v/>
      </c>
      <c r="J534">
        <f>IF(ISNUMBER(B534),YEAR(B534)*100+MONTH(B534),"")</f>
        <v/>
      </c>
      <c r="K534">
        <f>IF(ISNUMBER(B534),INT(B534),0)</f>
        <v/>
      </c>
      <c r="L534">
        <f>IF(AND(ISNUMBER(D534),N(D534)&gt;0),K534,0)</f>
        <v/>
      </c>
    </row>
    <row r="535">
      <c r="A535" s="1" t="n"/>
      <c r="B535" s="21" t="n"/>
      <c r="C535" s="22" t="n"/>
      <c r="D535" s="46" t="n"/>
      <c r="E535" s="25" t="n"/>
      <c r="F535" s="25" t="n"/>
      <c r="G535" s="17">
        <f>IF(AND(C535="",D535=""),"",IF(NOT(ISNUMBER(B535)),"Needs a date",IF(AND(D535&lt;&gt;"",NOT(ISNUMBER(D535))),"Hours not a number",IF(N(D535)&lt;=0,"Needs the hours",IF(C535="","Needs a name",IF(COUNTIF(Volunteers!$B$6:$B$105,C535)=0,"Not on Volunteers",""))))))</f>
        <v/>
      </c>
      <c r="H535" s="1" t="n"/>
      <c r="I535">
        <f>IF(ISNUMBER(B535),YEAR(B535),"")</f>
        <v/>
      </c>
      <c r="J535">
        <f>IF(ISNUMBER(B535),YEAR(B535)*100+MONTH(B535),"")</f>
        <v/>
      </c>
      <c r="K535">
        <f>IF(ISNUMBER(B535),INT(B535),0)</f>
        <v/>
      </c>
      <c r="L535">
        <f>IF(AND(ISNUMBER(D535),N(D535)&gt;0),K535,0)</f>
        <v/>
      </c>
    </row>
    <row r="536">
      <c r="A536" s="1" t="n"/>
      <c r="B536" s="21" t="n"/>
      <c r="C536" s="22" t="n"/>
      <c r="D536" s="46" t="n"/>
      <c r="E536" s="25" t="n"/>
      <c r="F536" s="25" t="n"/>
      <c r="G536" s="17">
        <f>IF(AND(C536="",D536=""),"",IF(NOT(ISNUMBER(B536)),"Needs a date",IF(AND(D536&lt;&gt;"",NOT(ISNUMBER(D536))),"Hours not a number",IF(N(D536)&lt;=0,"Needs the hours",IF(C536="","Needs a name",IF(COUNTIF(Volunteers!$B$6:$B$105,C536)=0,"Not on Volunteers",""))))))</f>
        <v/>
      </c>
      <c r="H536" s="1" t="n"/>
      <c r="I536">
        <f>IF(ISNUMBER(B536),YEAR(B536),"")</f>
        <v/>
      </c>
      <c r="J536">
        <f>IF(ISNUMBER(B536),YEAR(B536)*100+MONTH(B536),"")</f>
        <v/>
      </c>
      <c r="K536">
        <f>IF(ISNUMBER(B536),INT(B536),0)</f>
        <v/>
      </c>
      <c r="L536">
        <f>IF(AND(ISNUMBER(D536),N(D536)&gt;0),K536,0)</f>
        <v/>
      </c>
    </row>
    <row r="537">
      <c r="A537" s="1" t="n"/>
      <c r="B537" s="21" t="n"/>
      <c r="C537" s="22" t="n"/>
      <c r="D537" s="46" t="n"/>
      <c r="E537" s="25" t="n"/>
      <c r="F537" s="25" t="n"/>
      <c r="G537" s="17">
        <f>IF(AND(C537="",D537=""),"",IF(NOT(ISNUMBER(B537)),"Needs a date",IF(AND(D537&lt;&gt;"",NOT(ISNUMBER(D537))),"Hours not a number",IF(N(D537)&lt;=0,"Needs the hours",IF(C537="","Needs a name",IF(COUNTIF(Volunteers!$B$6:$B$105,C537)=0,"Not on Volunteers",""))))))</f>
        <v/>
      </c>
      <c r="H537" s="1" t="n"/>
      <c r="I537">
        <f>IF(ISNUMBER(B537),YEAR(B537),"")</f>
        <v/>
      </c>
      <c r="J537">
        <f>IF(ISNUMBER(B537),YEAR(B537)*100+MONTH(B537),"")</f>
        <v/>
      </c>
      <c r="K537">
        <f>IF(ISNUMBER(B537),INT(B537),0)</f>
        <v/>
      </c>
      <c r="L537">
        <f>IF(AND(ISNUMBER(D537),N(D537)&gt;0),K537,0)</f>
        <v/>
      </c>
    </row>
    <row r="538">
      <c r="A538" s="1" t="n"/>
      <c r="B538" s="21" t="n"/>
      <c r="C538" s="22" t="n"/>
      <c r="D538" s="46" t="n"/>
      <c r="E538" s="25" t="n"/>
      <c r="F538" s="25" t="n"/>
      <c r="G538" s="17">
        <f>IF(AND(C538="",D538=""),"",IF(NOT(ISNUMBER(B538)),"Needs a date",IF(AND(D538&lt;&gt;"",NOT(ISNUMBER(D538))),"Hours not a number",IF(N(D538)&lt;=0,"Needs the hours",IF(C538="","Needs a name",IF(COUNTIF(Volunteers!$B$6:$B$105,C538)=0,"Not on Volunteers",""))))))</f>
        <v/>
      </c>
      <c r="H538" s="1" t="n"/>
      <c r="I538">
        <f>IF(ISNUMBER(B538),YEAR(B538),"")</f>
        <v/>
      </c>
      <c r="J538">
        <f>IF(ISNUMBER(B538),YEAR(B538)*100+MONTH(B538),"")</f>
        <v/>
      </c>
      <c r="K538">
        <f>IF(ISNUMBER(B538),INT(B538),0)</f>
        <v/>
      </c>
      <c r="L538">
        <f>IF(AND(ISNUMBER(D538),N(D538)&gt;0),K538,0)</f>
        <v/>
      </c>
    </row>
    <row r="539">
      <c r="A539" s="1" t="n"/>
      <c r="B539" s="21" t="n"/>
      <c r="C539" s="22" t="n"/>
      <c r="D539" s="46" t="n"/>
      <c r="E539" s="25" t="n"/>
      <c r="F539" s="25" t="n"/>
      <c r="G539" s="17">
        <f>IF(AND(C539="",D539=""),"",IF(NOT(ISNUMBER(B539)),"Needs a date",IF(AND(D539&lt;&gt;"",NOT(ISNUMBER(D539))),"Hours not a number",IF(N(D539)&lt;=0,"Needs the hours",IF(C539="","Needs a name",IF(COUNTIF(Volunteers!$B$6:$B$105,C539)=0,"Not on Volunteers",""))))))</f>
        <v/>
      </c>
      <c r="H539" s="1" t="n"/>
      <c r="I539">
        <f>IF(ISNUMBER(B539),YEAR(B539),"")</f>
        <v/>
      </c>
      <c r="J539">
        <f>IF(ISNUMBER(B539),YEAR(B539)*100+MONTH(B539),"")</f>
        <v/>
      </c>
      <c r="K539">
        <f>IF(ISNUMBER(B539),INT(B539),0)</f>
        <v/>
      </c>
      <c r="L539">
        <f>IF(AND(ISNUMBER(D539),N(D539)&gt;0),K539,0)</f>
        <v/>
      </c>
    </row>
    <row r="540">
      <c r="A540" s="1" t="n"/>
      <c r="B540" s="21" t="n"/>
      <c r="C540" s="22" t="n"/>
      <c r="D540" s="46" t="n"/>
      <c r="E540" s="25" t="n"/>
      <c r="F540" s="25" t="n"/>
      <c r="G540" s="17">
        <f>IF(AND(C540="",D540=""),"",IF(NOT(ISNUMBER(B540)),"Needs a date",IF(AND(D540&lt;&gt;"",NOT(ISNUMBER(D540))),"Hours not a number",IF(N(D540)&lt;=0,"Needs the hours",IF(C540="","Needs a name",IF(COUNTIF(Volunteers!$B$6:$B$105,C540)=0,"Not on Volunteers",""))))))</f>
        <v/>
      </c>
      <c r="H540" s="1" t="n"/>
      <c r="I540">
        <f>IF(ISNUMBER(B540),YEAR(B540),"")</f>
        <v/>
      </c>
      <c r="J540">
        <f>IF(ISNUMBER(B540),YEAR(B540)*100+MONTH(B540),"")</f>
        <v/>
      </c>
      <c r="K540">
        <f>IF(ISNUMBER(B540),INT(B540),0)</f>
        <v/>
      </c>
      <c r="L540">
        <f>IF(AND(ISNUMBER(D540),N(D540)&gt;0),K540,0)</f>
        <v/>
      </c>
    </row>
    <row r="541">
      <c r="A541" s="1" t="n"/>
      <c r="B541" s="21" t="n"/>
      <c r="C541" s="22" t="n"/>
      <c r="D541" s="46" t="n"/>
      <c r="E541" s="25" t="n"/>
      <c r="F541" s="25" t="n"/>
      <c r="G541" s="17">
        <f>IF(AND(C541="",D541=""),"",IF(NOT(ISNUMBER(B541)),"Needs a date",IF(AND(D541&lt;&gt;"",NOT(ISNUMBER(D541))),"Hours not a number",IF(N(D541)&lt;=0,"Needs the hours",IF(C541="","Needs a name",IF(COUNTIF(Volunteers!$B$6:$B$105,C541)=0,"Not on Volunteers",""))))))</f>
        <v/>
      </c>
      <c r="H541" s="1" t="n"/>
      <c r="I541">
        <f>IF(ISNUMBER(B541),YEAR(B541),"")</f>
        <v/>
      </c>
      <c r="J541">
        <f>IF(ISNUMBER(B541),YEAR(B541)*100+MONTH(B541),"")</f>
        <v/>
      </c>
      <c r="K541">
        <f>IF(ISNUMBER(B541),INT(B541),0)</f>
        <v/>
      </c>
      <c r="L541">
        <f>IF(AND(ISNUMBER(D541),N(D541)&gt;0),K541,0)</f>
        <v/>
      </c>
    </row>
    <row r="542">
      <c r="A542" s="1" t="n"/>
      <c r="B542" s="21" t="n"/>
      <c r="C542" s="22" t="n"/>
      <c r="D542" s="46" t="n"/>
      <c r="E542" s="25" t="n"/>
      <c r="F542" s="25" t="n"/>
      <c r="G542" s="17">
        <f>IF(AND(C542="",D542=""),"",IF(NOT(ISNUMBER(B542)),"Needs a date",IF(AND(D542&lt;&gt;"",NOT(ISNUMBER(D542))),"Hours not a number",IF(N(D542)&lt;=0,"Needs the hours",IF(C542="","Needs a name",IF(COUNTIF(Volunteers!$B$6:$B$105,C542)=0,"Not on Volunteers",""))))))</f>
        <v/>
      </c>
      <c r="H542" s="1" t="n"/>
      <c r="I542">
        <f>IF(ISNUMBER(B542),YEAR(B542),"")</f>
        <v/>
      </c>
      <c r="J542">
        <f>IF(ISNUMBER(B542),YEAR(B542)*100+MONTH(B542),"")</f>
        <v/>
      </c>
      <c r="K542">
        <f>IF(ISNUMBER(B542),INT(B542),0)</f>
        <v/>
      </c>
      <c r="L542">
        <f>IF(AND(ISNUMBER(D542),N(D542)&gt;0),K542,0)</f>
        <v/>
      </c>
    </row>
    <row r="543">
      <c r="A543" s="1" t="n"/>
      <c r="B543" s="21" t="n"/>
      <c r="C543" s="22" t="n"/>
      <c r="D543" s="46" t="n"/>
      <c r="E543" s="25" t="n"/>
      <c r="F543" s="25" t="n"/>
      <c r="G543" s="17">
        <f>IF(AND(C543="",D543=""),"",IF(NOT(ISNUMBER(B543)),"Needs a date",IF(AND(D543&lt;&gt;"",NOT(ISNUMBER(D543))),"Hours not a number",IF(N(D543)&lt;=0,"Needs the hours",IF(C543="","Needs a name",IF(COUNTIF(Volunteers!$B$6:$B$105,C543)=0,"Not on Volunteers",""))))))</f>
        <v/>
      </c>
      <c r="H543" s="1" t="n"/>
      <c r="I543">
        <f>IF(ISNUMBER(B543),YEAR(B543),"")</f>
        <v/>
      </c>
      <c r="J543">
        <f>IF(ISNUMBER(B543),YEAR(B543)*100+MONTH(B543),"")</f>
        <v/>
      </c>
      <c r="K543">
        <f>IF(ISNUMBER(B543),INT(B543),0)</f>
        <v/>
      </c>
      <c r="L543">
        <f>IF(AND(ISNUMBER(D543),N(D543)&gt;0),K543,0)</f>
        <v/>
      </c>
    </row>
    <row r="544">
      <c r="A544" s="1" t="n"/>
      <c r="B544" s="21" t="n"/>
      <c r="C544" s="22" t="n"/>
      <c r="D544" s="46" t="n"/>
      <c r="E544" s="25" t="n"/>
      <c r="F544" s="25" t="n"/>
      <c r="G544" s="17">
        <f>IF(AND(C544="",D544=""),"",IF(NOT(ISNUMBER(B544)),"Needs a date",IF(AND(D544&lt;&gt;"",NOT(ISNUMBER(D544))),"Hours not a number",IF(N(D544)&lt;=0,"Needs the hours",IF(C544="","Needs a name",IF(COUNTIF(Volunteers!$B$6:$B$105,C544)=0,"Not on Volunteers",""))))))</f>
        <v/>
      </c>
      <c r="H544" s="1" t="n"/>
      <c r="I544">
        <f>IF(ISNUMBER(B544),YEAR(B544),"")</f>
        <v/>
      </c>
      <c r="J544">
        <f>IF(ISNUMBER(B544),YEAR(B544)*100+MONTH(B544),"")</f>
        <v/>
      </c>
      <c r="K544">
        <f>IF(ISNUMBER(B544),INT(B544),0)</f>
        <v/>
      </c>
      <c r="L544">
        <f>IF(AND(ISNUMBER(D544),N(D544)&gt;0),K544,0)</f>
        <v/>
      </c>
    </row>
    <row r="545">
      <c r="A545" s="1" t="n"/>
      <c r="B545" s="21" t="n"/>
      <c r="C545" s="22" t="n"/>
      <c r="D545" s="46" t="n"/>
      <c r="E545" s="25" t="n"/>
      <c r="F545" s="25" t="n"/>
      <c r="G545" s="17">
        <f>IF(AND(C545="",D545=""),"",IF(NOT(ISNUMBER(B545)),"Needs a date",IF(AND(D545&lt;&gt;"",NOT(ISNUMBER(D545))),"Hours not a number",IF(N(D545)&lt;=0,"Needs the hours",IF(C545="","Needs a name",IF(COUNTIF(Volunteers!$B$6:$B$105,C545)=0,"Not on Volunteers",""))))))</f>
        <v/>
      </c>
      <c r="H545" s="1" t="n"/>
      <c r="I545">
        <f>IF(ISNUMBER(B545),YEAR(B545),"")</f>
        <v/>
      </c>
      <c r="J545">
        <f>IF(ISNUMBER(B545),YEAR(B545)*100+MONTH(B545),"")</f>
        <v/>
      </c>
      <c r="K545">
        <f>IF(ISNUMBER(B545),INT(B545),0)</f>
        <v/>
      </c>
      <c r="L545">
        <f>IF(AND(ISNUMBER(D545),N(D545)&gt;0),K545,0)</f>
        <v/>
      </c>
    </row>
    <row r="546">
      <c r="A546" s="1" t="n"/>
      <c r="B546" s="21" t="n"/>
      <c r="C546" s="22" t="n"/>
      <c r="D546" s="46" t="n"/>
      <c r="E546" s="25" t="n"/>
      <c r="F546" s="25" t="n"/>
      <c r="G546" s="17">
        <f>IF(AND(C546="",D546=""),"",IF(NOT(ISNUMBER(B546)),"Needs a date",IF(AND(D546&lt;&gt;"",NOT(ISNUMBER(D546))),"Hours not a number",IF(N(D546)&lt;=0,"Needs the hours",IF(C546="","Needs a name",IF(COUNTIF(Volunteers!$B$6:$B$105,C546)=0,"Not on Volunteers",""))))))</f>
        <v/>
      </c>
      <c r="H546" s="1" t="n"/>
      <c r="I546">
        <f>IF(ISNUMBER(B546),YEAR(B546),"")</f>
        <v/>
      </c>
      <c r="J546">
        <f>IF(ISNUMBER(B546),YEAR(B546)*100+MONTH(B546),"")</f>
        <v/>
      </c>
      <c r="K546">
        <f>IF(ISNUMBER(B546),INT(B546),0)</f>
        <v/>
      </c>
      <c r="L546">
        <f>IF(AND(ISNUMBER(D546),N(D546)&gt;0),K546,0)</f>
        <v/>
      </c>
    </row>
    <row r="547">
      <c r="A547" s="1" t="n"/>
      <c r="B547" s="21" t="n"/>
      <c r="C547" s="22" t="n"/>
      <c r="D547" s="46" t="n"/>
      <c r="E547" s="25" t="n"/>
      <c r="F547" s="25" t="n"/>
      <c r="G547" s="17">
        <f>IF(AND(C547="",D547=""),"",IF(NOT(ISNUMBER(B547)),"Needs a date",IF(AND(D547&lt;&gt;"",NOT(ISNUMBER(D547))),"Hours not a number",IF(N(D547)&lt;=0,"Needs the hours",IF(C547="","Needs a name",IF(COUNTIF(Volunteers!$B$6:$B$105,C547)=0,"Not on Volunteers",""))))))</f>
        <v/>
      </c>
      <c r="H547" s="1" t="n"/>
      <c r="I547">
        <f>IF(ISNUMBER(B547),YEAR(B547),"")</f>
        <v/>
      </c>
      <c r="J547">
        <f>IF(ISNUMBER(B547),YEAR(B547)*100+MONTH(B547),"")</f>
        <v/>
      </c>
      <c r="K547">
        <f>IF(ISNUMBER(B547),INT(B547),0)</f>
        <v/>
      </c>
      <c r="L547">
        <f>IF(AND(ISNUMBER(D547),N(D547)&gt;0),K547,0)</f>
        <v/>
      </c>
    </row>
    <row r="548">
      <c r="A548" s="1" t="n"/>
      <c r="B548" s="21" t="n"/>
      <c r="C548" s="22" t="n"/>
      <c r="D548" s="46" t="n"/>
      <c r="E548" s="25" t="n"/>
      <c r="F548" s="25" t="n"/>
      <c r="G548" s="17">
        <f>IF(AND(C548="",D548=""),"",IF(NOT(ISNUMBER(B548)),"Needs a date",IF(AND(D548&lt;&gt;"",NOT(ISNUMBER(D548))),"Hours not a number",IF(N(D548)&lt;=0,"Needs the hours",IF(C548="","Needs a name",IF(COUNTIF(Volunteers!$B$6:$B$105,C548)=0,"Not on Volunteers",""))))))</f>
        <v/>
      </c>
      <c r="H548" s="1" t="n"/>
      <c r="I548">
        <f>IF(ISNUMBER(B548),YEAR(B548),"")</f>
        <v/>
      </c>
      <c r="J548">
        <f>IF(ISNUMBER(B548),YEAR(B548)*100+MONTH(B548),"")</f>
        <v/>
      </c>
      <c r="K548">
        <f>IF(ISNUMBER(B548),INT(B548),0)</f>
        <v/>
      </c>
      <c r="L548">
        <f>IF(AND(ISNUMBER(D548),N(D548)&gt;0),K548,0)</f>
        <v/>
      </c>
    </row>
    <row r="549">
      <c r="A549" s="1" t="n"/>
      <c r="B549" s="21" t="n"/>
      <c r="C549" s="22" t="n"/>
      <c r="D549" s="46" t="n"/>
      <c r="E549" s="25" t="n"/>
      <c r="F549" s="25" t="n"/>
      <c r="G549" s="17">
        <f>IF(AND(C549="",D549=""),"",IF(NOT(ISNUMBER(B549)),"Needs a date",IF(AND(D549&lt;&gt;"",NOT(ISNUMBER(D549))),"Hours not a number",IF(N(D549)&lt;=0,"Needs the hours",IF(C549="","Needs a name",IF(COUNTIF(Volunteers!$B$6:$B$105,C549)=0,"Not on Volunteers",""))))))</f>
        <v/>
      </c>
      <c r="H549" s="1" t="n"/>
      <c r="I549">
        <f>IF(ISNUMBER(B549),YEAR(B549),"")</f>
        <v/>
      </c>
      <c r="J549">
        <f>IF(ISNUMBER(B549),YEAR(B549)*100+MONTH(B549),"")</f>
        <v/>
      </c>
      <c r="K549">
        <f>IF(ISNUMBER(B549),INT(B549),0)</f>
        <v/>
      </c>
      <c r="L549">
        <f>IF(AND(ISNUMBER(D549),N(D549)&gt;0),K549,0)</f>
        <v/>
      </c>
    </row>
    <row r="550">
      <c r="A550" s="1" t="n"/>
      <c r="B550" s="21" t="n"/>
      <c r="C550" s="22" t="n"/>
      <c r="D550" s="46" t="n"/>
      <c r="E550" s="25" t="n"/>
      <c r="F550" s="25" t="n"/>
      <c r="G550" s="17">
        <f>IF(AND(C550="",D550=""),"",IF(NOT(ISNUMBER(B550)),"Needs a date",IF(AND(D550&lt;&gt;"",NOT(ISNUMBER(D550))),"Hours not a number",IF(N(D550)&lt;=0,"Needs the hours",IF(C550="","Needs a name",IF(COUNTIF(Volunteers!$B$6:$B$105,C550)=0,"Not on Volunteers",""))))))</f>
        <v/>
      </c>
      <c r="H550" s="1" t="n"/>
      <c r="I550">
        <f>IF(ISNUMBER(B550),YEAR(B550),"")</f>
        <v/>
      </c>
      <c r="J550">
        <f>IF(ISNUMBER(B550),YEAR(B550)*100+MONTH(B550),"")</f>
        <v/>
      </c>
      <c r="K550">
        <f>IF(ISNUMBER(B550),INT(B550),0)</f>
        <v/>
      </c>
      <c r="L550">
        <f>IF(AND(ISNUMBER(D550),N(D550)&gt;0),K550,0)</f>
        <v/>
      </c>
    </row>
    <row r="551">
      <c r="A551" s="1" t="n"/>
      <c r="B551" s="21" t="n"/>
      <c r="C551" s="22" t="n"/>
      <c r="D551" s="46" t="n"/>
      <c r="E551" s="25" t="n"/>
      <c r="F551" s="25" t="n"/>
      <c r="G551" s="17">
        <f>IF(AND(C551="",D551=""),"",IF(NOT(ISNUMBER(B551)),"Needs a date",IF(AND(D551&lt;&gt;"",NOT(ISNUMBER(D551))),"Hours not a number",IF(N(D551)&lt;=0,"Needs the hours",IF(C551="","Needs a name",IF(COUNTIF(Volunteers!$B$6:$B$105,C551)=0,"Not on Volunteers",""))))))</f>
        <v/>
      </c>
      <c r="H551" s="1" t="n"/>
      <c r="I551">
        <f>IF(ISNUMBER(B551),YEAR(B551),"")</f>
        <v/>
      </c>
      <c r="J551">
        <f>IF(ISNUMBER(B551),YEAR(B551)*100+MONTH(B551),"")</f>
        <v/>
      </c>
      <c r="K551">
        <f>IF(ISNUMBER(B551),INT(B551),0)</f>
        <v/>
      </c>
      <c r="L551">
        <f>IF(AND(ISNUMBER(D551),N(D551)&gt;0),K551,0)</f>
        <v/>
      </c>
    </row>
    <row r="552">
      <c r="A552" s="1" t="n"/>
      <c r="B552" s="21" t="n"/>
      <c r="C552" s="22" t="n"/>
      <c r="D552" s="46" t="n"/>
      <c r="E552" s="25" t="n"/>
      <c r="F552" s="25" t="n"/>
      <c r="G552" s="17">
        <f>IF(AND(C552="",D552=""),"",IF(NOT(ISNUMBER(B552)),"Needs a date",IF(AND(D552&lt;&gt;"",NOT(ISNUMBER(D552))),"Hours not a number",IF(N(D552)&lt;=0,"Needs the hours",IF(C552="","Needs a name",IF(COUNTIF(Volunteers!$B$6:$B$105,C552)=0,"Not on Volunteers",""))))))</f>
        <v/>
      </c>
      <c r="H552" s="1" t="n"/>
      <c r="I552">
        <f>IF(ISNUMBER(B552),YEAR(B552),"")</f>
        <v/>
      </c>
      <c r="J552">
        <f>IF(ISNUMBER(B552),YEAR(B552)*100+MONTH(B552),"")</f>
        <v/>
      </c>
      <c r="K552">
        <f>IF(ISNUMBER(B552),INT(B552),0)</f>
        <v/>
      </c>
      <c r="L552">
        <f>IF(AND(ISNUMBER(D552),N(D552)&gt;0),K552,0)</f>
        <v/>
      </c>
    </row>
    <row r="553">
      <c r="A553" s="1" t="n"/>
      <c r="B553" s="21" t="n"/>
      <c r="C553" s="22" t="n"/>
      <c r="D553" s="46" t="n"/>
      <c r="E553" s="25" t="n"/>
      <c r="F553" s="25" t="n"/>
      <c r="G553" s="17">
        <f>IF(AND(C553="",D553=""),"",IF(NOT(ISNUMBER(B553)),"Needs a date",IF(AND(D553&lt;&gt;"",NOT(ISNUMBER(D553))),"Hours not a number",IF(N(D553)&lt;=0,"Needs the hours",IF(C553="","Needs a name",IF(COUNTIF(Volunteers!$B$6:$B$105,C553)=0,"Not on Volunteers",""))))))</f>
        <v/>
      </c>
      <c r="H553" s="1" t="n"/>
      <c r="I553">
        <f>IF(ISNUMBER(B553),YEAR(B553),"")</f>
        <v/>
      </c>
      <c r="J553">
        <f>IF(ISNUMBER(B553),YEAR(B553)*100+MONTH(B553),"")</f>
        <v/>
      </c>
      <c r="K553">
        <f>IF(ISNUMBER(B553),INT(B553),0)</f>
        <v/>
      </c>
      <c r="L553">
        <f>IF(AND(ISNUMBER(D553),N(D553)&gt;0),K553,0)</f>
        <v/>
      </c>
    </row>
    <row r="554">
      <c r="A554" s="1" t="n"/>
      <c r="B554" s="21" t="n"/>
      <c r="C554" s="22" t="n"/>
      <c r="D554" s="46" t="n"/>
      <c r="E554" s="25" t="n"/>
      <c r="F554" s="25" t="n"/>
      <c r="G554" s="17">
        <f>IF(AND(C554="",D554=""),"",IF(NOT(ISNUMBER(B554)),"Needs a date",IF(AND(D554&lt;&gt;"",NOT(ISNUMBER(D554))),"Hours not a number",IF(N(D554)&lt;=0,"Needs the hours",IF(C554="","Needs a name",IF(COUNTIF(Volunteers!$B$6:$B$105,C554)=0,"Not on Volunteers",""))))))</f>
        <v/>
      </c>
      <c r="H554" s="1" t="n"/>
      <c r="I554">
        <f>IF(ISNUMBER(B554),YEAR(B554),"")</f>
        <v/>
      </c>
      <c r="J554">
        <f>IF(ISNUMBER(B554),YEAR(B554)*100+MONTH(B554),"")</f>
        <v/>
      </c>
      <c r="K554">
        <f>IF(ISNUMBER(B554),INT(B554),0)</f>
        <v/>
      </c>
      <c r="L554">
        <f>IF(AND(ISNUMBER(D554),N(D554)&gt;0),K554,0)</f>
        <v/>
      </c>
    </row>
    <row r="555">
      <c r="A555" s="1" t="n"/>
      <c r="B555" s="21" t="n"/>
      <c r="C555" s="22" t="n"/>
      <c r="D555" s="46" t="n"/>
      <c r="E555" s="25" t="n"/>
      <c r="F555" s="25" t="n"/>
      <c r="G555" s="17">
        <f>IF(AND(C555="",D555=""),"",IF(NOT(ISNUMBER(B555)),"Needs a date",IF(AND(D555&lt;&gt;"",NOT(ISNUMBER(D555))),"Hours not a number",IF(N(D555)&lt;=0,"Needs the hours",IF(C555="","Needs a name",IF(COUNTIF(Volunteers!$B$6:$B$105,C555)=0,"Not on Volunteers",""))))))</f>
        <v/>
      </c>
      <c r="H555" s="1" t="n"/>
      <c r="I555">
        <f>IF(ISNUMBER(B555),YEAR(B555),"")</f>
        <v/>
      </c>
      <c r="J555">
        <f>IF(ISNUMBER(B555),YEAR(B555)*100+MONTH(B555),"")</f>
        <v/>
      </c>
      <c r="K555">
        <f>IF(ISNUMBER(B555),INT(B555),0)</f>
        <v/>
      </c>
      <c r="L555">
        <f>IF(AND(ISNUMBER(D555),N(D555)&gt;0),K555,0)</f>
        <v/>
      </c>
    </row>
    <row r="556">
      <c r="A556" s="1" t="n"/>
      <c r="B556" s="21" t="n"/>
      <c r="C556" s="22" t="n"/>
      <c r="D556" s="46" t="n"/>
      <c r="E556" s="25" t="n"/>
      <c r="F556" s="25" t="n"/>
      <c r="G556" s="17">
        <f>IF(AND(C556="",D556=""),"",IF(NOT(ISNUMBER(B556)),"Needs a date",IF(AND(D556&lt;&gt;"",NOT(ISNUMBER(D556))),"Hours not a number",IF(N(D556)&lt;=0,"Needs the hours",IF(C556="","Needs a name",IF(COUNTIF(Volunteers!$B$6:$B$105,C556)=0,"Not on Volunteers",""))))))</f>
        <v/>
      </c>
      <c r="H556" s="1" t="n"/>
      <c r="I556">
        <f>IF(ISNUMBER(B556),YEAR(B556),"")</f>
        <v/>
      </c>
      <c r="J556">
        <f>IF(ISNUMBER(B556),YEAR(B556)*100+MONTH(B556),"")</f>
        <v/>
      </c>
      <c r="K556">
        <f>IF(ISNUMBER(B556),INT(B556),0)</f>
        <v/>
      </c>
      <c r="L556">
        <f>IF(AND(ISNUMBER(D556),N(D556)&gt;0),K556,0)</f>
        <v/>
      </c>
    </row>
    <row r="557">
      <c r="A557" s="1" t="n"/>
      <c r="B557" s="21" t="n"/>
      <c r="C557" s="22" t="n"/>
      <c r="D557" s="46" t="n"/>
      <c r="E557" s="25" t="n"/>
      <c r="F557" s="25" t="n"/>
      <c r="G557" s="17">
        <f>IF(AND(C557="",D557=""),"",IF(NOT(ISNUMBER(B557)),"Needs a date",IF(AND(D557&lt;&gt;"",NOT(ISNUMBER(D557))),"Hours not a number",IF(N(D557)&lt;=0,"Needs the hours",IF(C557="","Needs a name",IF(COUNTIF(Volunteers!$B$6:$B$105,C557)=0,"Not on Volunteers",""))))))</f>
        <v/>
      </c>
      <c r="H557" s="1" t="n"/>
      <c r="I557">
        <f>IF(ISNUMBER(B557),YEAR(B557),"")</f>
        <v/>
      </c>
      <c r="J557">
        <f>IF(ISNUMBER(B557),YEAR(B557)*100+MONTH(B557),"")</f>
        <v/>
      </c>
      <c r="K557">
        <f>IF(ISNUMBER(B557),INT(B557),0)</f>
        <v/>
      </c>
      <c r="L557">
        <f>IF(AND(ISNUMBER(D557),N(D557)&gt;0),K557,0)</f>
        <v/>
      </c>
    </row>
    <row r="558">
      <c r="A558" s="1" t="n"/>
      <c r="B558" s="21" t="n"/>
      <c r="C558" s="22" t="n"/>
      <c r="D558" s="46" t="n"/>
      <c r="E558" s="25" t="n"/>
      <c r="F558" s="25" t="n"/>
      <c r="G558" s="17">
        <f>IF(AND(C558="",D558=""),"",IF(NOT(ISNUMBER(B558)),"Needs a date",IF(AND(D558&lt;&gt;"",NOT(ISNUMBER(D558))),"Hours not a number",IF(N(D558)&lt;=0,"Needs the hours",IF(C558="","Needs a name",IF(COUNTIF(Volunteers!$B$6:$B$105,C558)=0,"Not on Volunteers",""))))))</f>
        <v/>
      </c>
      <c r="H558" s="1" t="n"/>
      <c r="I558">
        <f>IF(ISNUMBER(B558),YEAR(B558),"")</f>
        <v/>
      </c>
      <c r="J558">
        <f>IF(ISNUMBER(B558),YEAR(B558)*100+MONTH(B558),"")</f>
        <v/>
      </c>
      <c r="K558">
        <f>IF(ISNUMBER(B558),INT(B558),0)</f>
        <v/>
      </c>
      <c r="L558">
        <f>IF(AND(ISNUMBER(D558),N(D558)&gt;0),K558,0)</f>
        <v/>
      </c>
    </row>
    <row r="559">
      <c r="A559" s="1" t="n"/>
      <c r="B559" s="21" t="n"/>
      <c r="C559" s="22" t="n"/>
      <c r="D559" s="46" t="n"/>
      <c r="E559" s="25" t="n"/>
      <c r="F559" s="25" t="n"/>
      <c r="G559" s="17">
        <f>IF(AND(C559="",D559=""),"",IF(NOT(ISNUMBER(B559)),"Needs a date",IF(AND(D559&lt;&gt;"",NOT(ISNUMBER(D559))),"Hours not a number",IF(N(D559)&lt;=0,"Needs the hours",IF(C559="","Needs a name",IF(COUNTIF(Volunteers!$B$6:$B$105,C559)=0,"Not on Volunteers",""))))))</f>
        <v/>
      </c>
      <c r="H559" s="1" t="n"/>
      <c r="I559">
        <f>IF(ISNUMBER(B559),YEAR(B559),"")</f>
        <v/>
      </c>
      <c r="J559">
        <f>IF(ISNUMBER(B559),YEAR(B559)*100+MONTH(B559),"")</f>
        <v/>
      </c>
      <c r="K559">
        <f>IF(ISNUMBER(B559),INT(B559),0)</f>
        <v/>
      </c>
      <c r="L559">
        <f>IF(AND(ISNUMBER(D559),N(D559)&gt;0),K559,0)</f>
        <v/>
      </c>
    </row>
    <row r="560">
      <c r="A560" s="1" t="n"/>
      <c r="B560" s="21" t="n"/>
      <c r="C560" s="22" t="n"/>
      <c r="D560" s="46" t="n"/>
      <c r="E560" s="25" t="n"/>
      <c r="F560" s="25" t="n"/>
      <c r="G560" s="17">
        <f>IF(AND(C560="",D560=""),"",IF(NOT(ISNUMBER(B560)),"Needs a date",IF(AND(D560&lt;&gt;"",NOT(ISNUMBER(D560))),"Hours not a number",IF(N(D560)&lt;=0,"Needs the hours",IF(C560="","Needs a name",IF(COUNTIF(Volunteers!$B$6:$B$105,C560)=0,"Not on Volunteers",""))))))</f>
        <v/>
      </c>
      <c r="H560" s="1" t="n"/>
      <c r="I560">
        <f>IF(ISNUMBER(B560),YEAR(B560),"")</f>
        <v/>
      </c>
      <c r="J560">
        <f>IF(ISNUMBER(B560),YEAR(B560)*100+MONTH(B560),"")</f>
        <v/>
      </c>
      <c r="K560">
        <f>IF(ISNUMBER(B560),INT(B560),0)</f>
        <v/>
      </c>
      <c r="L560">
        <f>IF(AND(ISNUMBER(D560),N(D560)&gt;0),K560,0)</f>
        <v/>
      </c>
    </row>
    <row r="561">
      <c r="A561" s="1" t="n"/>
      <c r="B561" s="21" t="n"/>
      <c r="C561" s="22" t="n"/>
      <c r="D561" s="46" t="n"/>
      <c r="E561" s="25" t="n"/>
      <c r="F561" s="25" t="n"/>
      <c r="G561" s="17">
        <f>IF(AND(C561="",D561=""),"",IF(NOT(ISNUMBER(B561)),"Needs a date",IF(AND(D561&lt;&gt;"",NOT(ISNUMBER(D561))),"Hours not a number",IF(N(D561)&lt;=0,"Needs the hours",IF(C561="","Needs a name",IF(COUNTIF(Volunteers!$B$6:$B$105,C561)=0,"Not on Volunteers",""))))))</f>
        <v/>
      </c>
      <c r="H561" s="1" t="n"/>
      <c r="I561">
        <f>IF(ISNUMBER(B561),YEAR(B561),"")</f>
        <v/>
      </c>
      <c r="J561">
        <f>IF(ISNUMBER(B561),YEAR(B561)*100+MONTH(B561),"")</f>
        <v/>
      </c>
      <c r="K561">
        <f>IF(ISNUMBER(B561),INT(B561),0)</f>
        <v/>
      </c>
      <c r="L561">
        <f>IF(AND(ISNUMBER(D561),N(D561)&gt;0),K561,0)</f>
        <v/>
      </c>
    </row>
    <row r="562">
      <c r="A562" s="1" t="n"/>
      <c r="B562" s="21" t="n"/>
      <c r="C562" s="22" t="n"/>
      <c r="D562" s="46" t="n"/>
      <c r="E562" s="25" t="n"/>
      <c r="F562" s="25" t="n"/>
      <c r="G562" s="17">
        <f>IF(AND(C562="",D562=""),"",IF(NOT(ISNUMBER(B562)),"Needs a date",IF(AND(D562&lt;&gt;"",NOT(ISNUMBER(D562))),"Hours not a number",IF(N(D562)&lt;=0,"Needs the hours",IF(C562="","Needs a name",IF(COUNTIF(Volunteers!$B$6:$B$105,C562)=0,"Not on Volunteers",""))))))</f>
        <v/>
      </c>
      <c r="H562" s="1" t="n"/>
      <c r="I562">
        <f>IF(ISNUMBER(B562),YEAR(B562),"")</f>
        <v/>
      </c>
      <c r="J562">
        <f>IF(ISNUMBER(B562),YEAR(B562)*100+MONTH(B562),"")</f>
        <v/>
      </c>
      <c r="K562">
        <f>IF(ISNUMBER(B562),INT(B562),0)</f>
        <v/>
      </c>
      <c r="L562">
        <f>IF(AND(ISNUMBER(D562),N(D562)&gt;0),K562,0)</f>
        <v/>
      </c>
    </row>
    <row r="563">
      <c r="A563" s="1" t="n"/>
      <c r="B563" s="21" t="n"/>
      <c r="C563" s="22" t="n"/>
      <c r="D563" s="46" t="n"/>
      <c r="E563" s="25" t="n"/>
      <c r="F563" s="25" t="n"/>
      <c r="G563" s="17">
        <f>IF(AND(C563="",D563=""),"",IF(NOT(ISNUMBER(B563)),"Needs a date",IF(AND(D563&lt;&gt;"",NOT(ISNUMBER(D563))),"Hours not a number",IF(N(D563)&lt;=0,"Needs the hours",IF(C563="","Needs a name",IF(COUNTIF(Volunteers!$B$6:$B$105,C563)=0,"Not on Volunteers",""))))))</f>
        <v/>
      </c>
      <c r="H563" s="1" t="n"/>
      <c r="I563">
        <f>IF(ISNUMBER(B563),YEAR(B563),"")</f>
        <v/>
      </c>
      <c r="J563">
        <f>IF(ISNUMBER(B563),YEAR(B563)*100+MONTH(B563),"")</f>
        <v/>
      </c>
      <c r="K563">
        <f>IF(ISNUMBER(B563),INT(B563),0)</f>
        <v/>
      </c>
      <c r="L563">
        <f>IF(AND(ISNUMBER(D563),N(D563)&gt;0),K563,0)</f>
        <v/>
      </c>
    </row>
    <row r="564">
      <c r="A564" s="1" t="n"/>
      <c r="B564" s="21" t="n"/>
      <c r="C564" s="22" t="n"/>
      <c r="D564" s="46" t="n"/>
      <c r="E564" s="25" t="n"/>
      <c r="F564" s="25" t="n"/>
      <c r="G564" s="17">
        <f>IF(AND(C564="",D564=""),"",IF(NOT(ISNUMBER(B564)),"Needs a date",IF(AND(D564&lt;&gt;"",NOT(ISNUMBER(D564))),"Hours not a number",IF(N(D564)&lt;=0,"Needs the hours",IF(C564="","Needs a name",IF(COUNTIF(Volunteers!$B$6:$B$105,C564)=0,"Not on Volunteers",""))))))</f>
        <v/>
      </c>
      <c r="H564" s="1" t="n"/>
      <c r="I564">
        <f>IF(ISNUMBER(B564),YEAR(B564),"")</f>
        <v/>
      </c>
      <c r="J564">
        <f>IF(ISNUMBER(B564),YEAR(B564)*100+MONTH(B564),"")</f>
        <v/>
      </c>
      <c r="K564">
        <f>IF(ISNUMBER(B564),INT(B564),0)</f>
        <v/>
      </c>
      <c r="L564">
        <f>IF(AND(ISNUMBER(D564),N(D564)&gt;0),K564,0)</f>
        <v/>
      </c>
    </row>
    <row r="565">
      <c r="A565" s="1" t="n"/>
      <c r="B565" s="21" t="n"/>
      <c r="C565" s="22" t="n"/>
      <c r="D565" s="46" t="n"/>
      <c r="E565" s="25" t="n"/>
      <c r="F565" s="25" t="n"/>
      <c r="G565" s="17">
        <f>IF(AND(C565="",D565=""),"",IF(NOT(ISNUMBER(B565)),"Needs a date",IF(AND(D565&lt;&gt;"",NOT(ISNUMBER(D565))),"Hours not a number",IF(N(D565)&lt;=0,"Needs the hours",IF(C565="","Needs a name",IF(COUNTIF(Volunteers!$B$6:$B$105,C565)=0,"Not on Volunteers",""))))))</f>
        <v/>
      </c>
      <c r="H565" s="1" t="n"/>
      <c r="I565">
        <f>IF(ISNUMBER(B565),YEAR(B565),"")</f>
        <v/>
      </c>
      <c r="J565">
        <f>IF(ISNUMBER(B565),YEAR(B565)*100+MONTH(B565),"")</f>
        <v/>
      </c>
      <c r="K565">
        <f>IF(ISNUMBER(B565),INT(B565),0)</f>
        <v/>
      </c>
      <c r="L565">
        <f>IF(AND(ISNUMBER(D565),N(D565)&gt;0),K565,0)</f>
        <v/>
      </c>
    </row>
    <row r="566">
      <c r="A566" s="1" t="n"/>
      <c r="B566" s="21" t="n"/>
      <c r="C566" s="22" t="n"/>
      <c r="D566" s="46" t="n"/>
      <c r="E566" s="25" t="n"/>
      <c r="F566" s="25" t="n"/>
      <c r="G566" s="17">
        <f>IF(AND(C566="",D566=""),"",IF(NOT(ISNUMBER(B566)),"Needs a date",IF(AND(D566&lt;&gt;"",NOT(ISNUMBER(D566))),"Hours not a number",IF(N(D566)&lt;=0,"Needs the hours",IF(C566="","Needs a name",IF(COUNTIF(Volunteers!$B$6:$B$105,C566)=0,"Not on Volunteers",""))))))</f>
        <v/>
      </c>
      <c r="H566" s="1" t="n"/>
      <c r="I566">
        <f>IF(ISNUMBER(B566),YEAR(B566),"")</f>
        <v/>
      </c>
      <c r="J566">
        <f>IF(ISNUMBER(B566),YEAR(B566)*100+MONTH(B566),"")</f>
        <v/>
      </c>
      <c r="K566">
        <f>IF(ISNUMBER(B566),INT(B566),0)</f>
        <v/>
      </c>
      <c r="L566">
        <f>IF(AND(ISNUMBER(D566),N(D566)&gt;0),K566,0)</f>
        <v/>
      </c>
    </row>
    <row r="567">
      <c r="A567" s="1" t="n"/>
      <c r="B567" s="21" t="n"/>
      <c r="C567" s="22" t="n"/>
      <c r="D567" s="46" t="n"/>
      <c r="E567" s="25" t="n"/>
      <c r="F567" s="25" t="n"/>
      <c r="G567" s="17">
        <f>IF(AND(C567="",D567=""),"",IF(NOT(ISNUMBER(B567)),"Needs a date",IF(AND(D567&lt;&gt;"",NOT(ISNUMBER(D567))),"Hours not a number",IF(N(D567)&lt;=0,"Needs the hours",IF(C567="","Needs a name",IF(COUNTIF(Volunteers!$B$6:$B$105,C567)=0,"Not on Volunteers",""))))))</f>
        <v/>
      </c>
      <c r="H567" s="1" t="n"/>
      <c r="I567">
        <f>IF(ISNUMBER(B567),YEAR(B567),"")</f>
        <v/>
      </c>
      <c r="J567">
        <f>IF(ISNUMBER(B567),YEAR(B567)*100+MONTH(B567),"")</f>
        <v/>
      </c>
      <c r="K567">
        <f>IF(ISNUMBER(B567),INT(B567),0)</f>
        <v/>
      </c>
      <c r="L567">
        <f>IF(AND(ISNUMBER(D567),N(D567)&gt;0),K567,0)</f>
        <v/>
      </c>
    </row>
    <row r="568">
      <c r="A568" s="1" t="n"/>
      <c r="B568" s="21" t="n"/>
      <c r="C568" s="22" t="n"/>
      <c r="D568" s="46" t="n"/>
      <c r="E568" s="25" t="n"/>
      <c r="F568" s="25" t="n"/>
      <c r="G568" s="17">
        <f>IF(AND(C568="",D568=""),"",IF(NOT(ISNUMBER(B568)),"Needs a date",IF(AND(D568&lt;&gt;"",NOT(ISNUMBER(D568))),"Hours not a number",IF(N(D568)&lt;=0,"Needs the hours",IF(C568="","Needs a name",IF(COUNTIF(Volunteers!$B$6:$B$105,C568)=0,"Not on Volunteers",""))))))</f>
        <v/>
      </c>
      <c r="H568" s="1" t="n"/>
      <c r="I568">
        <f>IF(ISNUMBER(B568),YEAR(B568),"")</f>
        <v/>
      </c>
      <c r="J568">
        <f>IF(ISNUMBER(B568),YEAR(B568)*100+MONTH(B568),"")</f>
        <v/>
      </c>
      <c r="K568">
        <f>IF(ISNUMBER(B568),INT(B568),0)</f>
        <v/>
      </c>
      <c r="L568">
        <f>IF(AND(ISNUMBER(D568),N(D568)&gt;0),K568,0)</f>
        <v/>
      </c>
    </row>
    <row r="569">
      <c r="A569" s="1" t="n"/>
      <c r="B569" s="21" t="n"/>
      <c r="C569" s="22" t="n"/>
      <c r="D569" s="46" t="n"/>
      <c r="E569" s="25" t="n"/>
      <c r="F569" s="25" t="n"/>
      <c r="G569" s="17">
        <f>IF(AND(C569="",D569=""),"",IF(NOT(ISNUMBER(B569)),"Needs a date",IF(AND(D569&lt;&gt;"",NOT(ISNUMBER(D569))),"Hours not a number",IF(N(D569)&lt;=0,"Needs the hours",IF(C569="","Needs a name",IF(COUNTIF(Volunteers!$B$6:$B$105,C569)=0,"Not on Volunteers",""))))))</f>
        <v/>
      </c>
      <c r="H569" s="1" t="n"/>
      <c r="I569">
        <f>IF(ISNUMBER(B569),YEAR(B569),"")</f>
        <v/>
      </c>
      <c r="J569">
        <f>IF(ISNUMBER(B569),YEAR(B569)*100+MONTH(B569),"")</f>
        <v/>
      </c>
      <c r="K569">
        <f>IF(ISNUMBER(B569),INT(B569),0)</f>
        <v/>
      </c>
      <c r="L569">
        <f>IF(AND(ISNUMBER(D569),N(D569)&gt;0),K569,0)</f>
        <v/>
      </c>
    </row>
    <row r="570">
      <c r="A570" s="1" t="n"/>
      <c r="B570" s="21" t="n"/>
      <c r="C570" s="22" t="n"/>
      <c r="D570" s="46" t="n"/>
      <c r="E570" s="25" t="n"/>
      <c r="F570" s="25" t="n"/>
      <c r="G570" s="17">
        <f>IF(AND(C570="",D570=""),"",IF(NOT(ISNUMBER(B570)),"Needs a date",IF(AND(D570&lt;&gt;"",NOT(ISNUMBER(D570))),"Hours not a number",IF(N(D570)&lt;=0,"Needs the hours",IF(C570="","Needs a name",IF(COUNTIF(Volunteers!$B$6:$B$105,C570)=0,"Not on Volunteers",""))))))</f>
        <v/>
      </c>
      <c r="H570" s="1" t="n"/>
      <c r="I570">
        <f>IF(ISNUMBER(B570),YEAR(B570),"")</f>
        <v/>
      </c>
      <c r="J570">
        <f>IF(ISNUMBER(B570),YEAR(B570)*100+MONTH(B570),"")</f>
        <v/>
      </c>
      <c r="K570">
        <f>IF(ISNUMBER(B570),INT(B570),0)</f>
        <v/>
      </c>
      <c r="L570">
        <f>IF(AND(ISNUMBER(D570),N(D570)&gt;0),K570,0)</f>
        <v/>
      </c>
    </row>
    <row r="571">
      <c r="A571" s="1" t="n"/>
      <c r="B571" s="21" t="n"/>
      <c r="C571" s="22" t="n"/>
      <c r="D571" s="46" t="n"/>
      <c r="E571" s="25" t="n"/>
      <c r="F571" s="25" t="n"/>
      <c r="G571" s="17">
        <f>IF(AND(C571="",D571=""),"",IF(NOT(ISNUMBER(B571)),"Needs a date",IF(AND(D571&lt;&gt;"",NOT(ISNUMBER(D571))),"Hours not a number",IF(N(D571)&lt;=0,"Needs the hours",IF(C571="","Needs a name",IF(COUNTIF(Volunteers!$B$6:$B$105,C571)=0,"Not on Volunteers",""))))))</f>
        <v/>
      </c>
      <c r="H571" s="1" t="n"/>
      <c r="I571">
        <f>IF(ISNUMBER(B571),YEAR(B571),"")</f>
        <v/>
      </c>
      <c r="J571">
        <f>IF(ISNUMBER(B571),YEAR(B571)*100+MONTH(B571),"")</f>
        <v/>
      </c>
      <c r="K571">
        <f>IF(ISNUMBER(B571),INT(B571),0)</f>
        <v/>
      </c>
      <c r="L571">
        <f>IF(AND(ISNUMBER(D571),N(D571)&gt;0),K571,0)</f>
        <v/>
      </c>
    </row>
    <row r="572">
      <c r="A572" s="1" t="n"/>
      <c r="B572" s="21" t="n"/>
      <c r="C572" s="22" t="n"/>
      <c r="D572" s="46" t="n"/>
      <c r="E572" s="25" t="n"/>
      <c r="F572" s="25" t="n"/>
      <c r="G572" s="17">
        <f>IF(AND(C572="",D572=""),"",IF(NOT(ISNUMBER(B572)),"Needs a date",IF(AND(D572&lt;&gt;"",NOT(ISNUMBER(D572))),"Hours not a number",IF(N(D572)&lt;=0,"Needs the hours",IF(C572="","Needs a name",IF(COUNTIF(Volunteers!$B$6:$B$105,C572)=0,"Not on Volunteers",""))))))</f>
        <v/>
      </c>
      <c r="H572" s="1" t="n"/>
      <c r="I572">
        <f>IF(ISNUMBER(B572),YEAR(B572),"")</f>
        <v/>
      </c>
      <c r="J572">
        <f>IF(ISNUMBER(B572),YEAR(B572)*100+MONTH(B572),"")</f>
        <v/>
      </c>
      <c r="K572">
        <f>IF(ISNUMBER(B572),INT(B572),0)</f>
        <v/>
      </c>
      <c r="L572">
        <f>IF(AND(ISNUMBER(D572),N(D572)&gt;0),K572,0)</f>
        <v/>
      </c>
    </row>
    <row r="573">
      <c r="A573" s="1" t="n"/>
      <c r="B573" s="21" t="n"/>
      <c r="C573" s="22" t="n"/>
      <c r="D573" s="46" t="n"/>
      <c r="E573" s="25" t="n"/>
      <c r="F573" s="25" t="n"/>
      <c r="G573" s="17">
        <f>IF(AND(C573="",D573=""),"",IF(NOT(ISNUMBER(B573)),"Needs a date",IF(AND(D573&lt;&gt;"",NOT(ISNUMBER(D573))),"Hours not a number",IF(N(D573)&lt;=0,"Needs the hours",IF(C573="","Needs a name",IF(COUNTIF(Volunteers!$B$6:$B$105,C573)=0,"Not on Volunteers",""))))))</f>
        <v/>
      </c>
      <c r="H573" s="1" t="n"/>
      <c r="I573">
        <f>IF(ISNUMBER(B573),YEAR(B573),"")</f>
        <v/>
      </c>
      <c r="J573">
        <f>IF(ISNUMBER(B573),YEAR(B573)*100+MONTH(B573),"")</f>
        <v/>
      </c>
      <c r="K573">
        <f>IF(ISNUMBER(B573),INT(B573),0)</f>
        <v/>
      </c>
      <c r="L573">
        <f>IF(AND(ISNUMBER(D573),N(D573)&gt;0),K573,0)</f>
        <v/>
      </c>
    </row>
    <row r="574">
      <c r="A574" s="1" t="n"/>
      <c r="B574" s="21" t="n"/>
      <c r="C574" s="22" t="n"/>
      <c r="D574" s="46" t="n"/>
      <c r="E574" s="25" t="n"/>
      <c r="F574" s="25" t="n"/>
      <c r="G574" s="17">
        <f>IF(AND(C574="",D574=""),"",IF(NOT(ISNUMBER(B574)),"Needs a date",IF(AND(D574&lt;&gt;"",NOT(ISNUMBER(D574))),"Hours not a number",IF(N(D574)&lt;=0,"Needs the hours",IF(C574="","Needs a name",IF(COUNTIF(Volunteers!$B$6:$B$105,C574)=0,"Not on Volunteers",""))))))</f>
        <v/>
      </c>
      <c r="H574" s="1" t="n"/>
      <c r="I574">
        <f>IF(ISNUMBER(B574),YEAR(B574),"")</f>
        <v/>
      </c>
      <c r="J574">
        <f>IF(ISNUMBER(B574),YEAR(B574)*100+MONTH(B574),"")</f>
        <v/>
      </c>
      <c r="K574">
        <f>IF(ISNUMBER(B574),INT(B574),0)</f>
        <v/>
      </c>
      <c r="L574">
        <f>IF(AND(ISNUMBER(D574),N(D574)&gt;0),K574,0)</f>
        <v/>
      </c>
    </row>
    <row r="575">
      <c r="A575" s="1" t="n"/>
      <c r="B575" s="21" t="n"/>
      <c r="C575" s="22" t="n"/>
      <c r="D575" s="46" t="n"/>
      <c r="E575" s="25" t="n"/>
      <c r="F575" s="25" t="n"/>
      <c r="G575" s="17">
        <f>IF(AND(C575="",D575=""),"",IF(NOT(ISNUMBER(B575)),"Needs a date",IF(AND(D575&lt;&gt;"",NOT(ISNUMBER(D575))),"Hours not a number",IF(N(D575)&lt;=0,"Needs the hours",IF(C575="","Needs a name",IF(COUNTIF(Volunteers!$B$6:$B$105,C575)=0,"Not on Volunteers",""))))))</f>
        <v/>
      </c>
      <c r="H575" s="1" t="n"/>
      <c r="I575">
        <f>IF(ISNUMBER(B575),YEAR(B575),"")</f>
        <v/>
      </c>
      <c r="J575">
        <f>IF(ISNUMBER(B575),YEAR(B575)*100+MONTH(B575),"")</f>
        <v/>
      </c>
      <c r="K575">
        <f>IF(ISNUMBER(B575),INT(B575),0)</f>
        <v/>
      </c>
      <c r="L575">
        <f>IF(AND(ISNUMBER(D575),N(D575)&gt;0),K575,0)</f>
        <v/>
      </c>
    </row>
    <row r="576">
      <c r="A576" s="1" t="n"/>
      <c r="B576" s="21" t="n"/>
      <c r="C576" s="22" t="n"/>
      <c r="D576" s="46" t="n"/>
      <c r="E576" s="25" t="n"/>
      <c r="F576" s="25" t="n"/>
      <c r="G576" s="17">
        <f>IF(AND(C576="",D576=""),"",IF(NOT(ISNUMBER(B576)),"Needs a date",IF(AND(D576&lt;&gt;"",NOT(ISNUMBER(D576))),"Hours not a number",IF(N(D576)&lt;=0,"Needs the hours",IF(C576="","Needs a name",IF(COUNTIF(Volunteers!$B$6:$B$105,C576)=0,"Not on Volunteers",""))))))</f>
        <v/>
      </c>
      <c r="H576" s="1" t="n"/>
      <c r="I576">
        <f>IF(ISNUMBER(B576),YEAR(B576),"")</f>
        <v/>
      </c>
      <c r="J576">
        <f>IF(ISNUMBER(B576),YEAR(B576)*100+MONTH(B576),"")</f>
        <v/>
      </c>
      <c r="K576">
        <f>IF(ISNUMBER(B576),INT(B576),0)</f>
        <v/>
      </c>
      <c r="L576">
        <f>IF(AND(ISNUMBER(D576),N(D576)&gt;0),K576,0)</f>
        <v/>
      </c>
    </row>
    <row r="577">
      <c r="A577" s="1" t="n"/>
      <c r="B577" s="21" t="n"/>
      <c r="C577" s="22" t="n"/>
      <c r="D577" s="46" t="n"/>
      <c r="E577" s="25" t="n"/>
      <c r="F577" s="25" t="n"/>
      <c r="G577" s="17">
        <f>IF(AND(C577="",D577=""),"",IF(NOT(ISNUMBER(B577)),"Needs a date",IF(AND(D577&lt;&gt;"",NOT(ISNUMBER(D577))),"Hours not a number",IF(N(D577)&lt;=0,"Needs the hours",IF(C577="","Needs a name",IF(COUNTIF(Volunteers!$B$6:$B$105,C577)=0,"Not on Volunteers",""))))))</f>
        <v/>
      </c>
      <c r="H577" s="1" t="n"/>
      <c r="I577">
        <f>IF(ISNUMBER(B577),YEAR(B577),"")</f>
        <v/>
      </c>
      <c r="J577">
        <f>IF(ISNUMBER(B577),YEAR(B577)*100+MONTH(B577),"")</f>
        <v/>
      </c>
      <c r="K577">
        <f>IF(ISNUMBER(B577),INT(B577),0)</f>
        <v/>
      </c>
      <c r="L577">
        <f>IF(AND(ISNUMBER(D577),N(D577)&gt;0),K577,0)</f>
        <v/>
      </c>
    </row>
    <row r="578">
      <c r="A578" s="1" t="n"/>
      <c r="B578" s="21" t="n"/>
      <c r="C578" s="22" t="n"/>
      <c r="D578" s="46" t="n"/>
      <c r="E578" s="25" t="n"/>
      <c r="F578" s="25" t="n"/>
      <c r="G578" s="17">
        <f>IF(AND(C578="",D578=""),"",IF(NOT(ISNUMBER(B578)),"Needs a date",IF(AND(D578&lt;&gt;"",NOT(ISNUMBER(D578))),"Hours not a number",IF(N(D578)&lt;=0,"Needs the hours",IF(C578="","Needs a name",IF(COUNTIF(Volunteers!$B$6:$B$105,C578)=0,"Not on Volunteers",""))))))</f>
        <v/>
      </c>
      <c r="H578" s="1" t="n"/>
      <c r="I578">
        <f>IF(ISNUMBER(B578),YEAR(B578),"")</f>
        <v/>
      </c>
      <c r="J578">
        <f>IF(ISNUMBER(B578),YEAR(B578)*100+MONTH(B578),"")</f>
        <v/>
      </c>
      <c r="K578">
        <f>IF(ISNUMBER(B578),INT(B578),0)</f>
        <v/>
      </c>
      <c r="L578">
        <f>IF(AND(ISNUMBER(D578),N(D578)&gt;0),K578,0)</f>
        <v/>
      </c>
    </row>
    <row r="579">
      <c r="A579" s="1" t="n"/>
      <c r="B579" s="21" t="n"/>
      <c r="C579" s="22" t="n"/>
      <c r="D579" s="46" t="n"/>
      <c r="E579" s="25" t="n"/>
      <c r="F579" s="25" t="n"/>
      <c r="G579" s="17">
        <f>IF(AND(C579="",D579=""),"",IF(NOT(ISNUMBER(B579)),"Needs a date",IF(AND(D579&lt;&gt;"",NOT(ISNUMBER(D579))),"Hours not a number",IF(N(D579)&lt;=0,"Needs the hours",IF(C579="","Needs a name",IF(COUNTIF(Volunteers!$B$6:$B$105,C579)=0,"Not on Volunteers",""))))))</f>
        <v/>
      </c>
      <c r="H579" s="1" t="n"/>
      <c r="I579">
        <f>IF(ISNUMBER(B579),YEAR(B579),"")</f>
        <v/>
      </c>
      <c r="J579">
        <f>IF(ISNUMBER(B579),YEAR(B579)*100+MONTH(B579),"")</f>
        <v/>
      </c>
      <c r="K579">
        <f>IF(ISNUMBER(B579),INT(B579),0)</f>
        <v/>
      </c>
      <c r="L579">
        <f>IF(AND(ISNUMBER(D579),N(D579)&gt;0),K579,0)</f>
        <v/>
      </c>
    </row>
    <row r="580">
      <c r="A580" s="1" t="n"/>
      <c r="B580" s="21" t="n"/>
      <c r="C580" s="22" t="n"/>
      <c r="D580" s="46" t="n"/>
      <c r="E580" s="25" t="n"/>
      <c r="F580" s="25" t="n"/>
      <c r="G580" s="17">
        <f>IF(AND(C580="",D580=""),"",IF(NOT(ISNUMBER(B580)),"Needs a date",IF(AND(D580&lt;&gt;"",NOT(ISNUMBER(D580))),"Hours not a number",IF(N(D580)&lt;=0,"Needs the hours",IF(C580="","Needs a name",IF(COUNTIF(Volunteers!$B$6:$B$105,C580)=0,"Not on Volunteers",""))))))</f>
        <v/>
      </c>
      <c r="H580" s="1" t="n"/>
      <c r="I580">
        <f>IF(ISNUMBER(B580),YEAR(B580),"")</f>
        <v/>
      </c>
      <c r="J580">
        <f>IF(ISNUMBER(B580),YEAR(B580)*100+MONTH(B580),"")</f>
        <v/>
      </c>
      <c r="K580">
        <f>IF(ISNUMBER(B580),INT(B580),0)</f>
        <v/>
      </c>
      <c r="L580">
        <f>IF(AND(ISNUMBER(D580),N(D580)&gt;0),K580,0)</f>
        <v/>
      </c>
    </row>
    <row r="581">
      <c r="A581" s="1" t="n"/>
      <c r="B581" s="21" t="n"/>
      <c r="C581" s="22" t="n"/>
      <c r="D581" s="46" t="n"/>
      <c r="E581" s="25" t="n"/>
      <c r="F581" s="25" t="n"/>
      <c r="G581" s="17">
        <f>IF(AND(C581="",D581=""),"",IF(NOT(ISNUMBER(B581)),"Needs a date",IF(AND(D581&lt;&gt;"",NOT(ISNUMBER(D581))),"Hours not a number",IF(N(D581)&lt;=0,"Needs the hours",IF(C581="","Needs a name",IF(COUNTIF(Volunteers!$B$6:$B$105,C581)=0,"Not on Volunteers",""))))))</f>
        <v/>
      </c>
      <c r="H581" s="1" t="n"/>
      <c r="I581">
        <f>IF(ISNUMBER(B581),YEAR(B581),"")</f>
        <v/>
      </c>
      <c r="J581">
        <f>IF(ISNUMBER(B581),YEAR(B581)*100+MONTH(B581),"")</f>
        <v/>
      </c>
      <c r="K581">
        <f>IF(ISNUMBER(B581),INT(B581),0)</f>
        <v/>
      </c>
      <c r="L581">
        <f>IF(AND(ISNUMBER(D581),N(D581)&gt;0),K581,0)</f>
        <v/>
      </c>
    </row>
    <row r="582">
      <c r="A582" s="1" t="n"/>
      <c r="B582" s="21" t="n"/>
      <c r="C582" s="22" t="n"/>
      <c r="D582" s="46" t="n"/>
      <c r="E582" s="25" t="n"/>
      <c r="F582" s="25" t="n"/>
      <c r="G582" s="17">
        <f>IF(AND(C582="",D582=""),"",IF(NOT(ISNUMBER(B582)),"Needs a date",IF(AND(D582&lt;&gt;"",NOT(ISNUMBER(D582))),"Hours not a number",IF(N(D582)&lt;=0,"Needs the hours",IF(C582="","Needs a name",IF(COUNTIF(Volunteers!$B$6:$B$105,C582)=0,"Not on Volunteers",""))))))</f>
        <v/>
      </c>
      <c r="H582" s="1" t="n"/>
      <c r="I582">
        <f>IF(ISNUMBER(B582),YEAR(B582),"")</f>
        <v/>
      </c>
      <c r="J582">
        <f>IF(ISNUMBER(B582),YEAR(B582)*100+MONTH(B582),"")</f>
        <v/>
      </c>
      <c r="K582">
        <f>IF(ISNUMBER(B582),INT(B582),0)</f>
        <v/>
      </c>
      <c r="L582">
        <f>IF(AND(ISNUMBER(D582),N(D582)&gt;0),K582,0)</f>
        <v/>
      </c>
    </row>
    <row r="583">
      <c r="A583" s="1" t="n"/>
      <c r="B583" s="21" t="n"/>
      <c r="C583" s="22" t="n"/>
      <c r="D583" s="46" t="n"/>
      <c r="E583" s="25" t="n"/>
      <c r="F583" s="25" t="n"/>
      <c r="G583" s="17">
        <f>IF(AND(C583="",D583=""),"",IF(NOT(ISNUMBER(B583)),"Needs a date",IF(AND(D583&lt;&gt;"",NOT(ISNUMBER(D583))),"Hours not a number",IF(N(D583)&lt;=0,"Needs the hours",IF(C583="","Needs a name",IF(COUNTIF(Volunteers!$B$6:$B$105,C583)=0,"Not on Volunteers",""))))))</f>
        <v/>
      </c>
      <c r="H583" s="1" t="n"/>
      <c r="I583">
        <f>IF(ISNUMBER(B583),YEAR(B583),"")</f>
        <v/>
      </c>
      <c r="J583">
        <f>IF(ISNUMBER(B583),YEAR(B583)*100+MONTH(B583),"")</f>
        <v/>
      </c>
      <c r="K583">
        <f>IF(ISNUMBER(B583),INT(B583),0)</f>
        <v/>
      </c>
      <c r="L583">
        <f>IF(AND(ISNUMBER(D583),N(D583)&gt;0),K583,0)</f>
        <v/>
      </c>
    </row>
    <row r="584">
      <c r="A584" s="1" t="n"/>
      <c r="B584" s="21" t="n"/>
      <c r="C584" s="22" t="n"/>
      <c r="D584" s="46" t="n"/>
      <c r="E584" s="25" t="n"/>
      <c r="F584" s="25" t="n"/>
      <c r="G584" s="17">
        <f>IF(AND(C584="",D584=""),"",IF(NOT(ISNUMBER(B584)),"Needs a date",IF(AND(D584&lt;&gt;"",NOT(ISNUMBER(D584))),"Hours not a number",IF(N(D584)&lt;=0,"Needs the hours",IF(C584="","Needs a name",IF(COUNTIF(Volunteers!$B$6:$B$105,C584)=0,"Not on Volunteers",""))))))</f>
        <v/>
      </c>
      <c r="H584" s="1" t="n"/>
      <c r="I584">
        <f>IF(ISNUMBER(B584),YEAR(B584),"")</f>
        <v/>
      </c>
      <c r="J584">
        <f>IF(ISNUMBER(B584),YEAR(B584)*100+MONTH(B584),"")</f>
        <v/>
      </c>
      <c r="K584">
        <f>IF(ISNUMBER(B584),INT(B584),0)</f>
        <v/>
      </c>
      <c r="L584">
        <f>IF(AND(ISNUMBER(D584),N(D584)&gt;0),K584,0)</f>
        <v/>
      </c>
    </row>
    <row r="585">
      <c r="A585" s="1" t="n"/>
      <c r="B585" s="21" t="n"/>
      <c r="C585" s="22" t="n"/>
      <c r="D585" s="46" t="n"/>
      <c r="E585" s="25" t="n"/>
      <c r="F585" s="25" t="n"/>
      <c r="G585" s="17">
        <f>IF(AND(C585="",D585=""),"",IF(NOT(ISNUMBER(B585)),"Needs a date",IF(AND(D585&lt;&gt;"",NOT(ISNUMBER(D585))),"Hours not a number",IF(N(D585)&lt;=0,"Needs the hours",IF(C585="","Needs a name",IF(COUNTIF(Volunteers!$B$6:$B$105,C585)=0,"Not on Volunteers",""))))))</f>
        <v/>
      </c>
      <c r="H585" s="1" t="n"/>
      <c r="I585">
        <f>IF(ISNUMBER(B585),YEAR(B585),"")</f>
        <v/>
      </c>
      <c r="J585">
        <f>IF(ISNUMBER(B585),YEAR(B585)*100+MONTH(B585),"")</f>
        <v/>
      </c>
      <c r="K585">
        <f>IF(ISNUMBER(B585),INT(B585),0)</f>
        <v/>
      </c>
      <c r="L585">
        <f>IF(AND(ISNUMBER(D585),N(D585)&gt;0),K585,0)</f>
        <v/>
      </c>
    </row>
    <row r="586">
      <c r="A586" s="1" t="n"/>
      <c r="B586" s="21" t="n"/>
      <c r="C586" s="22" t="n"/>
      <c r="D586" s="46" t="n"/>
      <c r="E586" s="25" t="n"/>
      <c r="F586" s="25" t="n"/>
      <c r="G586" s="17">
        <f>IF(AND(C586="",D586=""),"",IF(NOT(ISNUMBER(B586)),"Needs a date",IF(AND(D586&lt;&gt;"",NOT(ISNUMBER(D586))),"Hours not a number",IF(N(D586)&lt;=0,"Needs the hours",IF(C586="","Needs a name",IF(COUNTIF(Volunteers!$B$6:$B$105,C586)=0,"Not on Volunteers",""))))))</f>
        <v/>
      </c>
      <c r="H586" s="1" t="n"/>
      <c r="I586">
        <f>IF(ISNUMBER(B586),YEAR(B586),"")</f>
        <v/>
      </c>
      <c r="J586">
        <f>IF(ISNUMBER(B586),YEAR(B586)*100+MONTH(B586),"")</f>
        <v/>
      </c>
      <c r="K586">
        <f>IF(ISNUMBER(B586),INT(B586),0)</f>
        <v/>
      </c>
      <c r="L586">
        <f>IF(AND(ISNUMBER(D586),N(D586)&gt;0),K586,0)</f>
        <v/>
      </c>
    </row>
    <row r="587">
      <c r="A587" s="1" t="n"/>
      <c r="B587" s="21" t="n"/>
      <c r="C587" s="22" t="n"/>
      <c r="D587" s="46" t="n"/>
      <c r="E587" s="25" t="n"/>
      <c r="F587" s="25" t="n"/>
      <c r="G587" s="17">
        <f>IF(AND(C587="",D587=""),"",IF(NOT(ISNUMBER(B587)),"Needs a date",IF(AND(D587&lt;&gt;"",NOT(ISNUMBER(D587))),"Hours not a number",IF(N(D587)&lt;=0,"Needs the hours",IF(C587="","Needs a name",IF(COUNTIF(Volunteers!$B$6:$B$105,C587)=0,"Not on Volunteers",""))))))</f>
        <v/>
      </c>
      <c r="H587" s="1" t="n"/>
      <c r="I587">
        <f>IF(ISNUMBER(B587),YEAR(B587),"")</f>
        <v/>
      </c>
      <c r="J587">
        <f>IF(ISNUMBER(B587),YEAR(B587)*100+MONTH(B587),"")</f>
        <v/>
      </c>
      <c r="K587">
        <f>IF(ISNUMBER(B587),INT(B587),0)</f>
        <v/>
      </c>
      <c r="L587">
        <f>IF(AND(ISNUMBER(D587),N(D587)&gt;0),K587,0)</f>
        <v/>
      </c>
    </row>
    <row r="588">
      <c r="A588" s="1" t="n"/>
      <c r="B588" s="21" t="n"/>
      <c r="C588" s="22" t="n"/>
      <c r="D588" s="46" t="n"/>
      <c r="E588" s="25" t="n"/>
      <c r="F588" s="25" t="n"/>
      <c r="G588" s="17">
        <f>IF(AND(C588="",D588=""),"",IF(NOT(ISNUMBER(B588)),"Needs a date",IF(AND(D588&lt;&gt;"",NOT(ISNUMBER(D588))),"Hours not a number",IF(N(D588)&lt;=0,"Needs the hours",IF(C588="","Needs a name",IF(COUNTIF(Volunteers!$B$6:$B$105,C588)=0,"Not on Volunteers",""))))))</f>
        <v/>
      </c>
      <c r="H588" s="1" t="n"/>
      <c r="I588">
        <f>IF(ISNUMBER(B588),YEAR(B588),"")</f>
        <v/>
      </c>
      <c r="J588">
        <f>IF(ISNUMBER(B588),YEAR(B588)*100+MONTH(B588),"")</f>
        <v/>
      </c>
      <c r="K588">
        <f>IF(ISNUMBER(B588),INT(B588),0)</f>
        <v/>
      </c>
      <c r="L588">
        <f>IF(AND(ISNUMBER(D588),N(D588)&gt;0),K588,0)</f>
        <v/>
      </c>
    </row>
    <row r="589">
      <c r="A589" s="1" t="n"/>
      <c r="B589" s="21" t="n"/>
      <c r="C589" s="22" t="n"/>
      <c r="D589" s="46" t="n"/>
      <c r="E589" s="25" t="n"/>
      <c r="F589" s="25" t="n"/>
      <c r="G589" s="17">
        <f>IF(AND(C589="",D589=""),"",IF(NOT(ISNUMBER(B589)),"Needs a date",IF(AND(D589&lt;&gt;"",NOT(ISNUMBER(D589))),"Hours not a number",IF(N(D589)&lt;=0,"Needs the hours",IF(C589="","Needs a name",IF(COUNTIF(Volunteers!$B$6:$B$105,C589)=0,"Not on Volunteers",""))))))</f>
        <v/>
      </c>
      <c r="H589" s="1" t="n"/>
      <c r="I589">
        <f>IF(ISNUMBER(B589),YEAR(B589),"")</f>
        <v/>
      </c>
      <c r="J589">
        <f>IF(ISNUMBER(B589),YEAR(B589)*100+MONTH(B589),"")</f>
        <v/>
      </c>
      <c r="K589">
        <f>IF(ISNUMBER(B589),INT(B589),0)</f>
        <v/>
      </c>
      <c r="L589">
        <f>IF(AND(ISNUMBER(D589),N(D589)&gt;0),K589,0)</f>
        <v/>
      </c>
    </row>
    <row r="590">
      <c r="A590" s="1" t="n"/>
      <c r="B590" s="21" t="n"/>
      <c r="C590" s="22" t="n"/>
      <c r="D590" s="46" t="n"/>
      <c r="E590" s="25" t="n"/>
      <c r="F590" s="25" t="n"/>
      <c r="G590" s="17">
        <f>IF(AND(C590="",D590=""),"",IF(NOT(ISNUMBER(B590)),"Needs a date",IF(AND(D590&lt;&gt;"",NOT(ISNUMBER(D590))),"Hours not a number",IF(N(D590)&lt;=0,"Needs the hours",IF(C590="","Needs a name",IF(COUNTIF(Volunteers!$B$6:$B$105,C590)=0,"Not on Volunteers",""))))))</f>
        <v/>
      </c>
      <c r="H590" s="1" t="n"/>
      <c r="I590">
        <f>IF(ISNUMBER(B590),YEAR(B590),"")</f>
        <v/>
      </c>
      <c r="J590">
        <f>IF(ISNUMBER(B590),YEAR(B590)*100+MONTH(B590),"")</f>
        <v/>
      </c>
      <c r="K590">
        <f>IF(ISNUMBER(B590),INT(B590),0)</f>
        <v/>
      </c>
      <c r="L590">
        <f>IF(AND(ISNUMBER(D590),N(D590)&gt;0),K590,0)</f>
        <v/>
      </c>
    </row>
    <row r="591">
      <c r="A591" s="1" t="n"/>
      <c r="B591" s="21" t="n"/>
      <c r="C591" s="22" t="n"/>
      <c r="D591" s="46" t="n"/>
      <c r="E591" s="25" t="n"/>
      <c r="F591" s="25" t="n"/>
      <c r="G591" s="17">
        <f>IF(AND(C591="",D591=""),"",IF(NOT(ISNUMBER(B591)),"Needs a date",IF(AND(D591&lt;&gt;"",NOT(ISNUMBER(D591))),"Hours not a number",IF(N(D591)&lt;=0,"Needs the hours",IF(C591="","Needs a name",IF(COUNTIF(Volunteers!$B$6:$B$105,C591)=0,"Not on Volunteers",""))))))</f>
        <v/>
      </c>
      <c r="H591" s="1" t="n"/>
      <c r="I591">
        <f>IF(ISNUMBER(B591),YEAR(B591),"")</f>
        <v/>
      </c>
      <c r="J591">
        <f>IF(ISNUMBER(B591),YEAR(B591)*100+MONTH(B591),"")</f>
        <v/>
      </c>
      <c r="K591">
        <f>IF(ISNUMBER(B591),INT(B591),0)</f>
        <v/>
      </c>
      <c r="L591">
        <f>IF(AND(ISNUMBER(D591),N(D591)&gt;0),K591,0)</f>
        <v/>
      </c>
    </row>
    <row r="592">
      <c r="A592" s="1" t="n"/>
      <c r="B592" s="21" t="n"/>
      <c r="C592" s="22" t="n"/>
      <c r="D592" s="46" t="n"/>
      <c r="E592" s="25" t="n"/>
      <c r="F592" s="25" t="n"/>
      <c r="G592" s="17">
        <f>IF(AND(C592="",D592=""),"",IF(NOT(ISNUMBER(B592)),"Needs a date",IF(AND(D592&lt;&gt;"",NOT(ISNUMBER(D592))),"Hours not a number",IF(N(D592)&lt;=0,"Needs the hours",IF(C592="","Needs a name",IF(COUNTIF(Volunteers!$B$6:$B$105,C592)=0,"Not on Volunteers",""))))))</f>
        <v/>
      </c>
      <c r="H592" s="1" t="n"/>
      <c r="I592">
        <f>IF(ISNUMBER(B592),YEAR(B592),"")</f>
        <v/>
      </c>
      <c r="J592">
        <f>IF(ISNUMBER(B592),YEAR(B592)*100+MONTH(B592),"")</f>
        <v/>
      </c>
      <c r="K592">
        <f>IF(ISNUMBER(B592),INT(B592),0)</f>
        <v/>
      </c>
      <c r="L592">
        <f>IF(AND(ISNUMBER(D592),N(D592)&gt;0),K592,0)</f>
        <v/>
      </c>
    </row>
    <row r="593">
      <c r="A593" s="1" t="n"/>
      <c r="B593" s="21" t="n"/>
      <c r="C593" s="22" t="n"/>
      <c r="D593" s="46" t="n"/>
      <c r="E593" s="25" t="n"/>
      <c r="F593" s="25" t="n"/>
      <c r="G593" s="17">
        <f>IF(AND(C593="",D593=""),"",IF(NOT(ISNUMBER(B593)),"Needs a date",IF(AND(D593&lt;&gt;"",NOT(ISNUMBER(D593))),"Hours not a number",IF(N(D593)&lt;=0,"Needs the hours",IF(C593="","Needs a name",IF(COUNTIF(Volunteers!$B$6:$B$105,C593)=0,"Not on Volunteers",""))))))</f>
        <v/>
      </c>
      <c r="H593" s="1" t="n"/>
      <c r="I593">
        <f>IF(ISNUMBER(B593),YEAR(B593),"")</f>
        <v/>
      </c>
      <c r="J593">
        <f>IF(ISNUMBER(B593),YEAR(B593)*100+MONTH(B593),"")</f>
        <v/>
      </c>
      <c r="K593">
        <f>IF(ISNUMBER(B593),INT(B593),0)</f>
        <v/>
      </c>
      <c r="L593">
        <f>IF(AND(ISNUMBER(D593),N(D593)&gt;0),K593,0)</f>
        <v/>
      </c>
    </row>
    <row r="594">
      <c r="A594" s="1" t="n"/>
      <c r="B594" s="21" t="n"/>
      <c r="C594" s="22" t="n"/>
      <c r="D594" s="46" t="n"/>
      <c r="E594" s="25" t="n"/>
      <c r="F594" s="25" t="n"/>
      <c r="G594" s="17">
        <f>IF(AND(C594="",D594=""),"",IF(NOT(ISNUMBER(B594)),"Needs a date",IF(AND(D594&lt;&gt;"",NOT(ISNUMBER(D594))),"Hours not a number",IF(N(D594)&lt;=0,"Needs the hours",IF(C594="","Needs a name",IF(COUNTIF(Volunteers!$B$6:$B$105,C594)=0,"Not on Volunteers",""))))))</f>
        <v/>
      </c>
      <c r="H594" s="1" t="n"/>
      <c r="I594">
        <f>IF(ISNUMBER(B594),YEAR(B594),"")</f>
        <v/>
      </c>
      <c r="J594">
        <f>IF(ISNUMBER(B594),YEAR(B594)*100+MONTH(B594),"")</f>
        <v/>
      </c>
      <c r="K594">
        <f>IF(ISNUMBER(B594),INT(B594),0)</f>
        <v/>
      </c>
      <c r="L594">
        <f>IF(AND(ISNUMBER(D594),N(D594)&gt;0),K594,0)</f>
        <v/>
      </c>
    </row>
    <row r="595">
      <c r="A595" s="1" t="n"/>
      <c r="B595" s="21" t="n"/>
      <c r="C595" s="22" t="n"/>
      <c r="D595" s="46" t="n"/>
      <c r="E595" s="25" t="n"/>
      <c r="F595" s="25" t="n"/>
      <c r="G595" s="17">
        <f>IF(AND(C595="",D595=""),"",IF(NOT(ISNUMBER(B595)),"Needs a date",IF(AND(D595&lt;&gt;"",NOT(ISNUMBER(D595))),"Hours not a number",IF(N(D595)&lt;=0,"Needs the hours",IF(C595="","Needs a name",IF(COUNTIF(Volunteers!$B$6:$B$105,C595)=0,"Not on Volunteers",""))))))</f>
        <v/>
      </c>
      <c r="H595" s="1" t="n"/>
      <c r="I595">
        <f>IF(ISNUMBER(B595),YEAR(B595),"")</f>
        <v/>
      </c>
      <c r="J595">
        <f>IF(ISNUMBER(B595),YEAR(B595)*100+MONTH(B595),"")</f>
        <v/>
      </c>
      <c r="K595">
        <f>IF(ISNUMBER(B595),INT(B595),0)</f>
        <v/>
      </c>
      <c r="L595">
        <f>IF(AND(ISNUMBER(D595),N(D595)&gt;0),K595,0)</f>
        <v/>
      </c>
    </row>
    <row r="596">
      <c r="A596" s="1" t="n"/>
      <c r="B596" s="21" t="n"/>
      <c r="C596" s="22" t="n"/>
      <c r="D596" s="46" t="n"/>
      <c r="E596" s="25" t="n"/>
      <c r="F596" s="25" t="n"/>
      <c r="G596" s="17">
        <f>IF(AND(C596="",D596=""),"",IF(NOT(ISNUMBER(B596)),"Needs a date",IF(AND(D596&lt;&gt;"",NOT(ISNUMBER(D596))),"Hours not a number",IF(N(D596)&lt;=0,"Needs the hours",IF(C596="","Needs a name",IF(COUNTIF(Volunteers!$B$6:$B$105,C596)=0,"Not on Volunteers",""))))))</f>
        <v/>
      </c>
      <c r="H596" s="1" t="n"/>
      <c r="I596">
        <f>IF(ISNUMBER(B596),YEAR(B596),"")</f>
        <v/>
      </c>
      <c r="J596">
        <f>IF(ISNUMBER(B596),YEAR(B596)*100+MONTH(B596),"")</f>
        <v/>
      </c>
      <c r="K596">
        <f>IF(ISNUMBER(B596),INT(B596),0)</f>
        <v/>
      </c>
      <c r="L596">
        <f>IF(AND(ISNUMBER(D596),N(D596)&gt;0),K596,0)</f>
        <v/>
      </c>
    </row>
    <row r="597">
      <c r="A597" s="1" t="n"/>
      <c r="B597" s="21" t="n"/>
      <c r="C597" s="22" t="n"/>
      <c r="D597" s="46" t="n"/>
      <c r="E597" s="25" t="n"/>
      <c r="F597" s="25" t="n"/>
      <c r="G597" s="17">
        <f>IF(AND(C597="",D597=""),"",IF(NOT(ISNUMBER(B597)),"Needs a date",IF(AND(D597&lt;&gt;"",NOT(ISNUMBER(D597))),"Hours not a number",IF(N(D597)&lt;=0,"Needs the hours",IF(C597="","Needs a name",IF(COUNTIF(Volunteers!$B$6:$B$105,C597)=0,"Not on Volunteers",""))))))</f>
        <v/>
      </c>
      <c r="H597" s="1" t="n"/>
      <c r="I597">
        <f>IF(ISNUMBER(B597),YEAR(B597),"")</f>
        <v/>
      </c>
      <c r="J597">
        <f>IF(ISNUMBER(B597),YEAR(B597)*100+MONTH(B597),"")</f>
        <v/>
      </c>
      <c r="K597">
        <f>IF(ISNUMBER(B597),INT(B597),0)</f>
        <v/>
      </c>
      <c r="L597">
        <f>IF(AND(ISNUMBER(D597),N(D597)&gt;0),K597,0)</f>
        <v/>
      </c>
    </row>
    <row r="598">
      <c r="A598" s="1" t="n"/>
      <c r="B598" s="21" t="n"/>
      <c r="C598" s="22" t="n"/>
      <c r="D598" s="46" t="n"/>
      <c r="E598" s="25" t="n"/>
      <c r="F598" s="25" t="n"/>
      <c r="G598" s="17">
        <f>IF(AND(C598="",D598=""),"",IF(NOT(ISNUMBER(B598)),"Needs a date",IF(AND(D598&lt;&gt;"",NOT(ISNUMBER(D598))),"Hours not a number",IF(N(D598)&lt;=0,"Needs the hours",IF(C598="","Needs a name",IF(COUNTIF(Volunteers!$B$6:$B$105,C598)=0,"Not on Volunteers",""))))))</f>
        <v/>
      </c>
      <c r="H598" s="1" t="n"/>
      <c r="I598">
        <f>IF(ISNUMBER(B598),YEAR(B598),"")</f>
        <v/>
      </c>
      <c r="J598">
        <f>IF(ISNUMBER(B598),YEAR(B598)*100+MONTH(B598),"")</f>
        <v/>
      </c>
      <c r="K598">
        <f>IF(ISNUMBER(B598),INT(B598),0)</f>
        <v/>
      </c>
      <c r="L598">
        <f>IF(AND(ISNUMBER(D598),N(D598)&gt;0),K598,0)</f>
        <v/>
      </c>
    </row>
    <row r="599">
      <c r="A599" s="1" t="n"/>
      <c r="B599" s="21" t="n"/>
      <c r="C599" s="22" t="n"/>
      <c r="D599" s="46" t="n"/>
      <c r="E599" s="25" t="n"/>
      <c r="F599" s="25" t="n"/>
      <c r="G599" s="17">
        <f>IF(AND(C599="",D599=""),"",IF(NOT(ISNUMBER(B599)),"Needs a date",IF(AND(D599&lt;&gt;"",NOT(ISNUMBER(D599))),"Hours not a number",IF(N(D599)&lt;=0,"Needs the hours",IF(C599="","Needs a name",IF(COUNTIF(Volunteers!$B$6:$B$105,C599)=0,"Not on Volunteers",""))))))</f>
        <v/>
      </c>
      <c r="H599" s="1" t="n"/>
      <c r="I599">
        <f>IF(ISNUMBER(B599),YEAR(B599),"")</f>
        <v/>
      </c>
      <c r="J599">
        <f>IF(ISNUMBER(B599),YEAR(B599)*100+MONTH(B599),"")</f>
        <v/>
      </c>
      <c r="K599">
        <f>IF(ISNUMBER(B599),INT(B599),0)</f>
        <v/>
      </c>
      <c r="L599">
        <f>IF(AND(ISNUMBER(D599),N(D599)&gt;0),K599,0)</f>
        <v/>
      </c>
    </row>
    <row r="600">
      <c r="A600" s="1" t="n"/>
      <c r="B600" s="21" t="n"/>
      <c r="C600" s="22" t="n"/>
      <c r="D600" s="46" t="n"/>
      <c r="E600" s="25" t="n"/>
      <c r="F600" s="25" t="n"/>
      <c r="G600" s="17">
        <f>IF(AND(C600="",D600=""),"",IF(NOT(ISNUMBER(B600)),"Needs a date",IF(AND(D600&lt;&gt;"",NOT(ISNUMBER(D600))),"Hours not a number",IF(N(D600)&lt;=0,"Needs the hours",IF(C600="","Needs a name",IF(COUNTIF(Volunteers!$B$6:$B$105,C600)=0,"Not on Volunteers",""))))))</f>
        <v/>
      </c>
      <c r="H600" s="1" t="n"/>
      <c r="I600">
        <f>IF(ISNUMBER(B600),YEAR(B600),"")</f>
        <v/>
      </c>
      <c r="J600">
        <f>IF(ISNUMBER(B600),YEAR(B600)*100+MONTH(B600),"")</f>
        <v/>
      </c>
      <c r="K600">
        <f>IF(ISNUMBER(B600),INT(B600),0)</f>
        <v/>
      </c>
      <c r="L600">
        <f>IF(AND(ISNUMBER(D600),N(D600)&gt;0),K600,0)</f>
        <v/>
      </c>
    </row>
    <row r="601">
      <c r="A601" s="1" t="n"/>
      <c r="B601" s="21" t="n"/>
      <c r="C601" s="22" t="n"/>
      <c r="D601" s="46" t="n"/>
      <c r="E601" s="25" t="n"/>
      <c r="F601" s="25" t="n"/>
      <c r="G601" s="17">
        <f>IF(AND(C601="",D601=""),"",IF(NOT(ISNUMBER(B601)),"Needs a date",IF(AND(D601&lt;&gt;"",NOT(ISNUMBER(D601))),"Hours not a number",IF(N(D601)&lt;=0,"Needs the hours",IF(C601="","Needs a name",IF(COUNTIF(Volunteers!$B$6:$B$105,C601)=0,"Not on Volunteers",""))))))</f>
        <v/>
      </c>
      <c r="H601" s="1" t="n"/>
      <c r="I601">
        <f>IF(ISNUMBER(B601),YEAR(B601),"")</f>
        <v/>
      </c>
      <c r="J601">
        <f>IF(ISNUMBER(B601),YEAR(B601)*100+MONTH(B601),"")</f>
        <v/>
      </c>
      <c r="K601">
        <f>IF(ISNUMBER(B601),INT(B601),0)</f>
        <v/>
      </c>
      <c r="L601">
        <f>IF(AND(ISNUMBER(D601),N(D601)&gt;0),K601,0)</f>
        <v/>
      </c>
    </row>
    <row r="602">
      <c r="A602" s="1" t="n"/>
      <c r="B602" s="21" t="n"/>
      <c r="C602" s="22" t="n"/>
      <c r="D602" s="46" t="n"/>
      <c r="E602" s="25" t="n"/>
      <c r="F602" s="25" t="n"/>
      <c r="G602" s="17">
        <f>IF(AND(C602="",D602=""),"",IF(NOT(ISNUMBER(B602)),"Needs a date",IF(AND(D602&lt;&gt;"",NOT(ISNUMBER(D602))),"Hours not a number",IF(N(D602)&lt;=0,"Needs the hours",IF(C602="","Needs a name",IF(COUNTIF(Volunteers!$B$6:$B$105,C602)=0,"Not on Volunteers",""))))))</f>
        <v/>
      </c>
      <c r="H602" s="1" t="n"/>
      <c r="I602">
        <f>IF(ISNUMBER(B602),YEAR(B602),"")</f>
        <v/>
      </c>
      <c r="J602">
        <f>IF(ISNUMBER(B602),YEAR(B602)*100+MONTH(B602),"")</f>
        <v/>
      </c>
      <c r="K602">
        <f>IF(ISNUMBER(B602),INT(B602),0)</f>
        <v/>
      </c>
      <c r="L602">
        <f>IF(AND(ISNUMBER(D602),N(D602)&gt;0),K602,0)</f>
        <v/>
      </c>
    </row>
    <row r="603">
      <c r="A603" s="1" t="n"/>
      <c r="B603" s="21" t="n"/>
      <c r="C603" s="22" t="n"/>
      <c r="D603" s="46" t="n"/>
      <c r="E603" s="25" t="n"/>
      <c r="F603" s="25" t="n"/>
      <c r="G603" s="17">
        <f>IF(AND(C603="",D603=""),"",IF(NOT(ISNUMBER(B603)),"Needs a date",IF(AND(D603&lt;&gt;"",NOT(ISNUMBER(D603))),"Hours not a number",IF(N(D603)&lt;=0,"Needs the hours",IF(C603="","Needs a name",IF(COUNTIF(Volunteers!$B$6:$B$105,C603)=0,"Not on Volunteers",""))))))</f>
        <v/>
      </c>
      <c r="H603" s="1" t="n"/>
      <c r="I603">
        <f>IF(ISNUMBER(B603),YEAR(B603),"")</f>
        <v/>
      </c>
      <c r="J603">
        <f>IF(ISNUMBER(B603),YEAR(B603)*100+MONTH(B603),"")</f>
        <v/>
      </c>
      <c r="K603">
        <f>IF(ISNUMBER(B603),INT(B603),0)</f>
        <v/>
      </c>
      <c r="L603">
        <f>IF(AND(ISNUMBER(D603),N(D603)&gt;0),K603,0)</f>
        <v/>
      </c>
    </row>
    <row r="604">
      <c r="A604" s="1" t="n"/>
      <c r="B604" s="21" t="n"/>
      <c r="C604" s="22" t="n"/>
      <c r="D604" s="46" t="n"/>
      <c r="E604" s="25" t="n"/>
      <c r="F604" s="25" t="n"/>
      <c r="G604" s="17">
        <f>IF(AND(C604="",D604=""),"",IF(NOT(ISNUMBER(B604)),"Needs a date",IF(AND(D604&lt;&gt;"",NOT(ISNUMBER(D604))),"Hours not a number",IF(N(D604)&lt;=0,"Needs the hours",IF(C604="","Needs a name",IF(COUNTIF(Volunteers!$B$6:$B$105,C604)=0,"Not on Volunteers",""))))))</f>
        <v/>
      </c>
      <c r="H604" s="1" t="n"/>
      <c r="I604">
        <f>IF(ISNUMBER(B604),YEAR(B604),"")</f>
        <v/>
      </c>
      <c r="J604">
        <f>IF(ISNUMBER(B604),YEAR(B604)*100+MONTH(B604),"")</f>
        <v/>
      </c>
      <c r="K604">
        <f>IF(ISNUMBER(B604),INT(B604),0)</f>
        <v/>
      </c>
      <c r="L604">
        <f>IF(AND(ISNUMBER(D604),N(D604)&gt;0),K604,0)</f>
        <v/>
      </c>
    </row>
    <row r="605">
      <c r="A605" s="1" t="n"/>
      <c r="B605" s="21" t="n"/>
      <c r="C605" s="22" t="n"/>
      <c r="D605" s="46" t="n"/>
      <c r="E605" s="25" t="n"/>
      <c r="F605" s="25" t="n"/>
      <c r="G605" s="17">
        <f>IF(AND(C605="",D605=""),"",IF(NOT(ISNUMBER(B605)),"Needs a date",IF(AND(D605&lt;&gt;"",NOT(ISNUMBER(D605))),"Hours not a number",IF(N(D605)&lt;=0,"Needs the hours",IF(C605="","Needs a name",IF(COUNTIF(Volunteers!$B$6:$B$105,C605)=0,"Not on Volunteers",""))))))</f>
        <v/>
      </c>
      <c r="H605" s="1" t="n"/>
      <c r="I605">
        <f>IF(ISNUMBER(B605),YEAR(B605),"")</f>
        <v/>
      </c>
      <c r="J605">
        <f>IF(ISNUMBER(B605),YEAR(B605)*100+MONTH(B605),"")</f>
        <v/>
      </c>
      <c r="K605">
        <f>IF(ISNUMBER(B605),INT(B605),0)</f>
        <v/>
      </c>
      <c r="L605">
        <f>IF(AND(ISNUMBER(D605),N(D605)&gt;0),K605,0)</f>
        <v/>
      </c>
    </row>
    <row r="606">
      <c r="A606" s="1" t="n"/>
      <c r="B606" s="21" t="n"/>
      <c r="C606" s="22" t="n"/>
      <c r="D606" s="46" t="n"/>
      <c r="E606" s="25" t="n"/>
      <c r="F606" s="25" t="n"/>
      <c r="G606" s="17">
        <f>IF(AND(C606="",D606=""),"",IF(NOT(ISNUMBER(B606)),"Needs a date",IF(AND(D606&lt;&gt;"",NOT(ISNUMBER(D606))),"Hours not a number",IF(N(D606)&lt;=0,"Needs the hours",IF(C606="","Needs a name",IF(COUNTIF(Volunteers!$B$6:$B$105,C606)=0,"Not on Volunteers",""))))))</f>
        <v/>
      </c>
      <c r="H606" s="1" t="n"/>
      <c r="I606">
        <f>IF(ISNUMBER(B606),YEAR(B606),"")</f>
        <v/>
      </c>
      <c r="J606">
        <f>IF(ISNUMBER(B606),YEAR(B606)*100+MONTH(B606),"")</f>
        <v/>
      </c>
      <c r="K606">
        <f>IF(ISNUMBER(B606),INT(B606),0)</f>
        <v/>
      </c>
      <c r="L606">
        <f>IF(AND(ISNUMBER(D606),N(D606)&gt;0),K606,0)</f>
        <v/>
      </c>
    </row>
    <row r="607">
      <c r="A607" s="1" t="n"/>
      <c r="B607" s="21" t="n"/>
      <c r="C607" s="22" t="n"/>
      <c r="D607" s="46" t="n"/>
      <c r="E607" s="25" t="n"/>
      <c r="F607" s="25" t="n"/>
      <c r="G607" s="17">
        <f>IF(AND(C607="",D607=""),"",IF(NOT(ISNUMBER(B607)),"Needs a date",IF(AND(D607&lt;&gt;"",NOT(ISNUMBER(D607))),"Hours not a number",IF(N(D607)&lt;=0,"Needs the hours",IF(C607="","Needs a name",IF(COUNTIF(Volunteers!$B$6:$B$105,C607)=0,"Not on Volunteers",""))))))</f>
        <v/>
      </c>
      <c r="H607" s="1" t="n"/>
      <c r="I607">
        <f>IF(ISNUMBER(B607),YEAR(B607),"")</f>
        <v/>
      </c>
      <c r="J607">
        <f>IF(ISNUMBER(B607),YEAR(B607)*100+MONTH(B607),"")</f>
        <v/>
      </c>
      <c r="K607">
        <f>IF(ISNUMBER(B607),INT(B607),0)</f>
        <v/>
      </c>
      <c r="L607">
        <f>IF(AND(ISNUMBER(D607),N(D607)&gt;0),K607,0)</f>
        <v/>
      </c>
    </row>
    <row r="608">
      <c r="A608" s="1" t="n"/>
      <c r="B608" s="21" t="n"/>
      <c r="C608" s="22" t="n"/>
      <c r="D608" s="46" t="n"/>
      <c r="E608" s="25" t="n"/>
      <c r="F608" s="25" t="n"/>
      <c r="G608" s="17">
        <f>IF(AND(C608="",D608=""),"",IF(NOT(ISNUMBER(B608)),"Needs a date",IF(AND(D608&lt;&gt;"",NOT(ISNUMBER(D608))),"Hours not a number",IF(N(D608)&lt;=0,"Needs the hours",IF(C608="","Needs a name",IF(COUNTIF(Volunteers!$B$6:$B$105,C608)=0,"Not on Volunteers",""))))))</f>
        <v/>
      </c>
      <c r="H608" s="1" t="n"/>
      <c r="I608">
        <f>IF(ISNUMBER(B608),YEAR(B608),"")</f>
        <v/>
      </c>
      <c r="J608">
        <f>IF(ISNUMBER(B608),YEAR(B608)*100+MONTH(B608),"")</f>
        <v/>
      </c>
      <c r="K608">
        <f>IF(ISNUMBER(B608),INT(B608),0)</f>
        <v/>
      </c>
      <c r="L608">
        <f>IF(AND(ISNUMBER(D608),N(D608)&gt;0),K608,0)</f>
        <v/>
      </c>
    </row>
    <row r="609">
      <c r="A609" s="1" t="n"/>
      <c r="B609" s="21" t="n"/>
      <c r="C609" s="22" t="n"/>
      <c r="D609" s="46" t="n"/>
      <c r="E609" s="25" t="n"/>
      <c r="F609" s="25" t="n"/>
      <c r="G609" s="17">
        <f>IF(AND(C609="",D609=""),"",IF(NOT(ISNUMBER(B609)),"Needs a date",IF(AND(D609&lt;&gt;"",NOT(ISNUMBER(D609))),"Hours not a number",IF(N(D609)&lt;=0,"Needs the hours",IF(C609="","Needs a name",IF(COUNTIF(Volunteers!$B$6:$B$105,C609)=0,"Not on Volunteers",""))))))</f>
        <v/>
      </c>
      <c r="H609" s="1" t="n"/>
      <c r="I609">
        <f>IF(ISNUMBER(B609),YEAR(B609),"")</f>
        <v/>
      </c>
      <c r="J609">
        <f>IF(ISNUMBER(B609),YEAR(B609)*100+MONTH(B609),"")</f>
        <v/>
      </c>
      <c r="K609">
        <f>IF(ISNUMBER(B609),INT(B609),0)</f>
        <v/>
      </c>
      <c r="L609">
        <f>IF(AND(ISNUMBER(D609),N(D609)&gt;0),K609,0)</f>
        <v/>
      </c>
    </row>
    <row r="610">
      <c r="A610" s="1" t="n"/>
      <c r="B610" s="21" t="n"/>
      <c r="C610" s="22" t="n"/>
      <c r="D610" s="46" t="n"/>
      <c r="E610" s="25" t="n"/>
      <c r="F610" s="25" t="n"/>
      <c r="G610" s="17">
        <f>IF(AND(C610="",D610=""),"",IF(NOT(ISNUMBER(B610)),"Needs a date",IF(AND(D610&lt;&gt;"",NOT(ISNUMBER(D610))),"Hours not a number",IF(N(D610)&lt;=0,"Needs the hours",IF(C610="","Needs a name",IF(COUNTIF(Volunteers!$B$6:$B$105,C610)=0,"Not on Volunteers",""))))))</f>
        <v/>
      </c>
      <c r="H610" s="1" t="n"/>
      <c r="I610">
        <f>IF(ISNUMBER(B610),YEAR(B610),"")</f>
        <v/>
      </c>
      <c r="J610">
        <f>IF(ISNUMBER(B610),YEAR(B610)*100+MONTH(B610),"")</f>
        <v/>
      </c>
      <c r="K610">
        <f>IF(ISNUMBER(B610),INT(B610),0)</f>
        <v/>
      </c>
      <c r="L610">
        <f>IF(AND(ISNUMBER(D610),N(D610)&gt;0),K610,0)</f>
        <v/>
      </c>
    </row>
    <row r="611">
      <c r="A611" s="1" t="n"/>
      <c r="B611" s="21" t="n"/>
      <c r="C611" s="22" t="n"/>
      <c r="D611" s="46" t="n"/>
      <c r="E611" s="25" t="n"/>
      <c r="F611" s="25" t="n"/>
      <c r="G611" s="17">
        <f>IF(AND(C611="",D611=""),"",IF(NOT(ISNUMBER(B611)),"Needs a date",IF(AND(D611&lt;&gt;"",NOT(ISNUMBER(D611))),"Hours not a number",IF(N(D611)&lt;=0,"Needs the hours",IF(C611="","Needs a name",IF(COUNTIF(Volunteers!$B$6:$B$105,C611)=0,"Not on Volunteers",""))))))</f>
        <v/>
      </c>
      <c r="H611" s="1" t="n"/>
      <c r="I611">
        <f>IF(ISNUMBER(B611),YEAR(B611),"")</f>
        <v/>
      </c>
      <c r="J611">
        <f>IF(ISNUMBER(B611),YEAR(B611)*100+MONTH(B611),"")</f>
        <v/>
      </c>
      <c r="K611">
        <f>IF(ISNUMBER(B611),INT(B611),0)</f>
        <v/>
      </c>
      <c r="L611">
        <f>IF(AND(ISNUMBER(D611),N(D611)&gt;0),K611,0)</f>
        <v/>
      </c>
    </row>
    <row r="612">
      <c r="A612" s="1" t="n"/>
      <c r="B612" s="21" t="n"/>
      <c r="C612" s="22" t="n"/>
      <c r="D612" s="46" t="n"/>
      <c r="E612" s="25" t="n"/>
      <c r="F612" s="25" t="n"/>
      <c r="G612" s="17">
        <f>IF(AND(C612="",D612=""),"",IF(NOT(ISNUMBER(B612)),"Needs a date",IF(AND(D612&lt;&gt;"",NOT(ISNUMBER(D612))),"Hours not a number",IF(N(D612)&lt;=0,"Needs the hours",IF(C612="","Needs a name",IF(COUNTIF(Volunteers!$B$6:$B$105,C612)=0,"Not on Volunteers",""))))))</f>
        <v/>
      </c>
      <c r="H612" s="1" t="n"/>
      <c r="I612">
        <f>IF(ISNUMBER(B612),YEAR(B612),"")</f>
        <v/>
      </c>
      <c r="J612">
        <f>IF(ISNUMBER(B612),YEAR(B612)*100+MONTH(B612),"")</f>
        <v/>
      </c>
      <c r="K612">
        <f>IF(ISNUMBER(B612),INT(B612),0)</f>
        <v/>
      </c>
      <c r="L612">
        <f>IF(AND(ISNUMBER(D612),N(D612)&gt;0),K612,0)</f>
        <v/>
      </c>
    </row>
    <row r="613">
      <c r="A613" s="1" t="n"/>
      <c r="B613" s="21" t="n"/>
      <c r="C613" s="22" t="n"/>
      <c r="D613" s="46" t="n"/>
      <c r="E613" s="25" t="n"/>
      <c r="F613" s="25" t="n"/>
      <c r="G613" s="17">
        <f>IF(AND(C613="",D613=""),"",IF(NOT(ISNUMBER(B613)),"Needs a date",IF(AND(D613&lt;&gt;"",NOT(ISNUMBER(D613))),"Hours not a number",IF(N(D613)&lt;=0,"Needs the hours",IF(C613="","Needs a name",IF(COUNTIF(Volunteers!$B$6:$B$105,C613)=0,"Not on Volunteers",""))))))</f>
        <v/>
      </c>
      <c r="H613" s="1" t="n"/>
      <c r="I613">
        <f>IF(ISNUMBER(B613),YEAR(B613),"")</f>
        <v/>
      </c>
      <c r="J613">
        <f>IF(ISNUMBER(B613),YEAR(B613)*100+MONTH(B613),"")</f>
        <v/>
      </c>
      <c r="K613">
        <f>IF(ISNUMBER(B613),INT(B613),0)</f>
        <v/>
      </c>
      <c r="L613">
        <f>IF(AND(ISNUMBER(D613),N(D613)&gt;0),K613,0)</f>
        <v/>
      </c>
    </row>
    <row r="614">
      <c r="A614" s="1" t="n"/>
      <c r="B614" s="21" t="n"/>
      <c r="C614" s="22" t="n"/>
      <c r="D614" s="46" t="n"/>
      <c r="E614" s="25" t="n"/>
      <c r="F614" s="25" t="n"/>
      <c r="G614" s="17">
        <f>IF(AND(C614="",D614=""),"",IF(NOT(ISNUMBER(B614)),"Needs a date",IF(AND(D614&lt;&gt;"",NOT(ISNUMBER(D614))),"Hours not a number",IF(N(D614)&lt;=0,"Needs the hours",IF(C614="","Needs a name",IF(COUNTIF(Volunteers!$B$6:$B$105,C614)=0,"Not on Volunteers",""))))))</f>
        <v/>
      </c>
      <c r="H614" s="1" t="n"/>
      <c r="I614">
        <f>IF(ISNUMBER(B614),YEAR(B614),"")</f>
        <v/>
      </c>
      <c r="J614">
        <f>IF(ISNUMBER(B614),YEAR(B614)*100+MONTH(B614),"")</f>
        <v/>
      </c>
      <c r="K614">
        <f>IF(ISNUMBER(B614),INT(B614),0)</f>
        <v/>
      </c>
      <c r="L614">
        <f>IF(AND(ISNUMBER(D614),N(D614)&gt;0),K614,0)</f>
        <v/>
      </c>
    </row>
    <row r="615">
      <c r="A615" s="1" t="n"/>
      <c r="B615" s="21" t="n"/>
      <c r="C615" s="22" t="n"/>
      <c r="D615" s="46" t="n"/>
      <c r="E615" s="25" t="n"/>
      <c r="F615" s="25" t="n"/>
      <c r="G615" s="17">
        <f>IF(AND(C615="",D615=""),"",IF(NOT(ISNUMBER(B615)),"Needs a date",IF(AND(D615&lt;&gt;"",NOT(ISNUMBER(D615))),"Hours not a number",IF(N(D615)&lt;=0,"Needs the hours",IF(C615="","Needs a name",IF(COUNTIF(Volunteers!$B$6:$B$105,C615)=0,"Not on Volunteers",""))))))</f>
        <v/>
      </c>
      <c r="H615" s="1" t="n"/>
      <c r="I615">
        <f>IF(ISNUMBER(B615),YEAR(B615),"")</f>
        <v/>
      </c>
      <c r="J615">
        <f>IF(ISNUMBER(B615),YEAR(B615)*100+MONTH(B615),"")</f>
        <v/>
      </c>
      <c r="K615">
        <f>IF(ISNUMBER(B615),INT(B615),0)</f>
        <v/>
      </c>
      <c r="L615">
        <f>IF(AND(ISNUMBER(D615),N(D615)&gt;0),K615,0)</f>
        <v/>
      </c>
    </row>
    <row r="616">
      <c r="A616" s="1" t="n"/>
      <c r="B616" s="21" t="n"/>
      <c r="C616" s="22" t="n"/>
      <c r="D616" s="46" t="n"/>
      <c r="E616" s="25" t="n"/>
      <c r="F616" s="25" t="n"/>
      <c r="G616" s="17">
        <f>IF(AND(C616="",D616=""),"",IF(NOT(ISNUMBER(B616)),"Needs a date",IF(AND(D616&lt;&gt;"",NOT(ISNUMBER(D616))),"Hours not a number",IF(N(D616)&lt;=0,"Needs the hours",IF(C616="","Needs a name",IF(COUNTIF(Volunteers!$B$6:$B$105,C616)=0,"Not on Volunteers",""))))))</f>
        <v/>
      </c>
      <c r="H616" s="1" t="n"/>
      <c r="I616">
        <f>IF(ISNUMBER(B616),YEAR(B616),"")</f>
        <v/>
      </c>
      <c r="J616">
        <f>IF(ISNUMBER(B616),YEAR(B616)*100+MONTH(B616),"")</f>
        <v/>
      </c>
      <c r="K616">
        <f>IF(ISNUMBER(B616),INT(B616),0)</f>
        <v/>
      </c>
      <c r="L616">
        <f>IF(AND(ISNUMBER(D616),N(D616)&gt;0),K616,0)</f>
        <v/>
      </c>
    </row>
    <row r="617">
      <c r="A617" s="1" t="n"/>
      <c r="B617" s="21" t="n"/>
      <c r="C617" s="22" t="n"/>
      <c r="D617" s="46" t="n"/>
      <c r="E617" s="25" t="n"/>
      <c r="F617" s="25" t="n"/>
      <c r="G617" s="17">
        <f>IF(AND(C617="",D617=""),"",IF(NOT(ISNUMBER(B617)),"Needs a date",IF(AND(D617&lt;&gt;"",NOT(ISNUMBER(D617))),"Hours not a number",IF(N(D617)&lt;=0,"Needs the hours",IF(C617="","Needs a name",IF(COUNTIF(Volunteers!$B$6:$B$105,C617)=0,"Not on Volunteers",""))))))</f>
        <v/>
      </c>
      <c r="H617" s="1" t="n"/>
      <c r="I617">
        <f>IF(ISNUMBER(B617),YEAR(B617),"")</f>
        <v/>
      </c>
      <c r="J617">
        <f>IF(ISNUMBER(B617),YEAR(B617)*100+MONTH(B617),"")</f>
        <v/>
      </c>
      <c r="K617">
        <f>IF(ISNUMBER(B617),INT(B617),0)</f>
        <v/>
      </c>
      <c r="L617">
        <f>IF(AND(ISNUMBER(D617),N(D617)&gt;0),K617,0)</f>
        <v/>
      </c>
    </row>
    <row r="618">
      <c r="A618" s="1" t="n"/>
      <c r="B618" s="21" t="n"/>
      <c r="C618" s="22" t="n"/>
      <c r="D618" s="46" t="n"/>
      <c r="E618" s="25" t="n"/>
      <c r="F618" s="25" t="n"/>
      <c r="G618" s="17">
        <f>IF(AND(C618="",D618=""),"",IF(NOT(ISNUMBER(B618)),"Needs a date",IF(AND(D618&lt;&gt;"",NOT(ISNUMBER(D618))),"Hours not a number",IF(N(D618)&lt;=0,"Needs the hours",IF(C618="","Needs a name",IF(COUNTIF(Volunteers!$B$6:$B$105,C618)=0,"Not on Volunteers",""))))))</f>
        <v/>
      </c>
      <c r="H618" s="1" t="n"/>
      <c r="I618">
        <f>IF(ISNUMBER(B618),YEAR(B618),"")</f>
        <v/>
      </c>
      <c r="J618">
        <f>IF(ISNUMBER(B618),YEAR(B618)*100+MONTH(B618),"")</f>
        <v/>
      </c>
      <c r="K618">
        <f>IF(ISNUMBER(B618),INT(B618),0)</f>
        <v/>
      </c>
      <c r="L618">
        <f>IF(AND(ISNUMBER(D618),N(D618)&gt;0),K618,0)</f>
        <v/>
      </c>
    </row>
    <row r="619">
      <c r="A619" s="1" t="n"/>
      <c r="B619" s="21" t="n"/>
      <c r="C619" s="22" t="n"/>
      <c r="D619" s="46" t="n"/>
      <c r="E619" s="25" t="n"/>
      <c r="F619" s="25" t="n"/>
      <c r="G619" s="17">
        <f>IF(AND(C619="",D619=""),"",IF(NOT(ISNUMBER(B619)),"Needs a date",IF(AND(D619&lt;&gt;"",NOT(ISNUMBER(D619))),"Hours not a number",IF(N(D619)&lt;=0,"Needs the hours",IF(C619="","Needs a name",IF(COUNTIF(Volunteers!$B$6:$B$105,C619)=0,"Not on Volunteers",""))))))</f>
        <v/>
      </c>
      <c r="H619" s="1" t="n"/>
      <c r="I619">
        <f>IF(ISNUMBER(B619),YEAR(B619),"")</f>
        <v/>
      </c>
      <c r="J619">
        <f>IF(ISNUMBER(B619),YEAR(B619)*100+MONTH(B619),"")</f>
        <v/>
      </c>
      <c r="K619">
        <f>IF(ISNUMBER(B619),INT(B619),0)</f>
        <v/>
      </c>
      <c r="L619">
        <f>IF(AND(ISNUMBER(D619),N(D619)&gt;0),K619,0)</f>
        <v/>
      </c>
    </row>
    <row r="620">
      <c r="A620" s="1" t="n"/>
      <c r="B620" s="21" t="n"/>
      <c r="C620" s="22" t="n"/>
      <c r="D620" s="46" t="n"/>
      <c r="E620" s="25" t="n"/>
      <c r="F620" s="25" t="n"/>
      <c r="G620" s="17">
        <f>IF(AND(C620="",D620=""),"",IF(NOT(ISNUMBER(B620)),"Needs a date",IF(AND(D620&lt;&gt;"",NOT(ISNUMBER(D620))),"Hours not a number",IF(N(D620)&lt;=0,"Needs the hours",IF(C620="","Needs a name",IF(COUNTIF(Volunteers!$B$6:$B$105,C620)=0,"Not on Volunteers",""))))))</f>
        <v/>
      </c>
      <c r="H620" s="1" t="n"/>
      <c r="I620">
        <f>IF(ISNUMBER(B620),YEAR(B620),"")</f>
        <v/>
      </c>
      <c r="J620">
        <f>IF(ISNUMBER(B620),YEAR(B620)*100+MONTH(B620),"")</f>
        <v/>
      </c>
      <c r="K620">
        <f>IF(ISNUMBER(B620),INT(B620),0)</f>
        <v/>
      </c>
      <c r="L620">
        <f>IF(AND(ISNUMBER(D620),N(D620)&gt;0),K620,0)</f>
        <v/>
      </c>
    </row>
    <row r="621">
      <c r="A621" s="1" t="n"/>
      <c r="B621" s="21" t="n"/>
      <c r="C621" s="22" t="n"/>
      <c r="D621" s="46" t="n"/>
      <c r="E621" s="25" t="n"/>
      <c r="F621" s="25" t="n"/>
      <c r="G621" s="17">
        <f>IF(AND(C621="",D621=""),"",IF(NOT(ISNUMBER(B621)),"Needs a date",IF(AND(D621&lt;&gt;"",NOT(ISNUMBER(D621))),"Hours not a number",IF(N(D621)&lt;=0,"Needs the hours",IF(C621="","Needs a name",IF(COUNTIF(Volunteers!$B$6:$B$105,C621)=0,"Not on Volunteers",""))))))</f>
        <v/>
      </c>
      <c r="H621" s="1" t="n"/>
      <c r="I621">
        <f>IF(ISNUMBER(B621),YEAR(B621),"")</f>
        <v/>
      </c>
      <c r="J621">
        <f>IF(ISNUMBER(B621),YEAR(B621)*100+MONTH(B621),"")</f>
        <v/>
      </c>
      <c r="K621">
        <f>IF(ISNUMBER(B621),INT(B621),0)</f>
        <v/>
      </c>
      <c r="L621">
        <f>IF(AND(ISNUMBER(D621),N(D621)&gt;0),K621,0)</f>
        <v/>
      </c>
    </row>
    <row r="622">
      <c r="A622" s="1" t="n"/>
      <c r="B622" s="21" t="n"/>
      <c r="C622" s="22" t="n"/>
      <c r="D622" s="46" t="n"/>
      <c r="E622" s="25" t="n"/>
      <c r="F622" s="25" t="n"/>
      <c r="G622" s="17">
        <f>IF(AND(C622="",D622=""),"",IF(NOT(ISNUMBER(B622)),"Needs a date",IF(AND(D622&lt;&gt;"",NOT(ISNUMBER(D622))),"Hours not a number",IF(N(D622)&lt;=0,"Needs the hours",IF(C622="","Needs a name",IF(COUNTIF(Volunteers!$B$6:$B$105,C622)=0,"Not on Volunteers",""))))))</f>
        <v/>
      </c>
      <c r="H622" s="1" t="n"/>
      <c r="I622">
        <f>IF(ISNUMBER(B622),YEAR(B622),"")</f>
        <v/>
      </c>
      <c r="J622">
        <f>IF(ISNUMBER(B622),YEAR(B622)*100+MONTH(B622),"")</f>
        <v/>
      </c>
      <c r="K622">
        <f>IF(ISNUMBER(B622),INT(B622),0)</f>
        <v/>
      </c>
      <c r="L622">
        <f>IF(AND(ISNUMBER(D622),N(D622)&gt;0),K622,0)</f>
        <v/>
      </c>
    </row>
    <row r="623">
      <c r="A623" s="1" t="n"/>
      <c r="B623" s="21" t="n"/>
      <c r="C623" s="22" t="n"/>
      <c r="D623" s="46" t="n"/>
      <c r="E623" s="25" t="n"/>
      <c r="F623" s="25" t="n"/>
      <c r="G623" s="17">
        <f>IF(AND(C623="",D623=""),"",IF(NOT(ISNUMBER(B623)),"Needs a date",IF(AND(D623&lt;&gt;"",NOT(ISNUMBER(D623))),"Hours not a number",IF(N(D623)&lt;=0,"Needs the hours",IF(C623="","Needs a name",IF(COUNTIF(Volunteers!$B$6:$B$105,C623)=0,"Not on Volunteers",""))))))</f>
        <v/>
      </c>
      <c r="H623" s="1" t="n"/>
      <c r="I623">
        <f>IF(ISNUMBER(B623),YEAR(B623),"")</f>
        <v/>
      </c>
      <c r="J623">
        <f>IF(ISNUMBER(B623),YEAR(B623)*100+MONTH(B623),"")</f>
        <v/>
      </c>
      <c r="K623">
        <f>IF(ISNUMBER(B623),INT(B623),0)</f>
        <v/>
      </c>
      <c r="L623">
        <f>IF(AND(ISNUMBER(D623),N(D623)&gt;0),K623,0)</f>
        <v/>
      </c>
    </row>
    <row r="624">
      <c r="A624" s="1" t="n"/>
      <c r="B624" s="21" t="n"/>
      <c r="C624" s="22" t="n"/>
      <c r="D624" s="46" t="n"/>
      <c r="E624" s="25" t="n"/>
      <c r="F624" s="25" t="n"/>
      <c r="G624" s="17">
        <f>IF(AND(C624="",D624=""),"",IF(NOT(ISNUMBER(B624)),"Needs a date",IF(AND(D624&lt;&gt;"",NOT(ISNUMBER(D624))),"Hours not a number",IF(N(D624)&lt;=0,"Needs the hours",IF(C624="","Needs a name",IF(COUNTIF(Volunteers!$B$6:$B$105,C624)=0,"Not on Volunteers",""))))))</f>
        <v/>
      </c>
      <c r="H624" s="1" t="n"/>
      <c r="I624">
        <f>IF(ISNUMBER(B624),YEAR(B624),"")</f>
        <v/>
      </c>
      <c r="J624">
        <f>IF(ISNUMBER(B624),YEAR(B624)*100+MONTH(B624),"")</f>
        <v/>
      </c>
      <c r="K624">
        <f>IF(ISNUMBER(B624),INT(B624),0)</f>
        <v/>
      </c>
      <c r="L624">
        <f>IF(AND(ISNUMBER(D624),N(D624)&gt;0),K624,0)</f>
        <v/>
      </c>
    </row>
    <row r="625">
      <c r="A625" s="1" t="n"/>
      <c r="B625" s="21" t="n"/>
      <c r="C625" s="22" t="n"/>
      <c r="D625" s="46" t="n"/>
      <c r="E625" s="25" t="n"/>
      <c r="F625" s="25" t="n"/>
      <c r="G625" s="17">
        <f>IF(AND(C625="",D625=""),"",IF(NOT(ISNUMBER(B625)),"Needs a date",IF(AND(D625&lt;&gt;"",NOT(ISNUMBER(D625))),"Hours not a number",IF(N(D625)&lt;=0,"Needs the hours",IF(C625="","Needs a name",IF(COUNTIF(Volunteers!$B$6:$B$105,C625)=0,"Not on Volunteers",""))))))</f>
        <v/>
      </c>
      <c r="H625" s="1" t="n"/>
      <c r="I625">
        <f>IF(ISNUMBER(B625),YEAR(B625),"")</f>
        <v/>
      </c>
      <c r="J625">
        <f>IF(ISNUMBER(B625),YEAR(B625)*100+MONTH(B625),"")</f>
        <v/>
      </c>
      <c r="K625">
        <f>IF(ISNUMBER(B625),INT(B625),0)</f>
        <v/>
      </c>
      <c r="L625">
        <f>IF(AND(ISNUMBER(D625),N(D625)&gt;0),K625,0)</f>
        <v/>
      </c>
    </row>
    <row r="626">
      <c r="A626" s="1" t="n"/>
      <c r="B626" s="21" t="n"/>
      <c r="C626" s="22" t="n"/>
      <c r="D626" s="46" t="n"/>
      <c r="E626" s="25" t="n"/>
      <c r="F626" s="25" t="n"/>
      <c r="G626" s="17">
        <f>IF(AND(C626="",D626=""),"",IF(NOT(ISNUMBER(B626)),"Needs a date",IF(AND(D626&lt;&gt;"",NOT(ISNUMBER(D626))),"Hours not a number",IF(N(D626)&lt;=0,"Needs the hours",IF(C626="","Needs a name",IF(COUNTIF(Volunteers!$B$6:$B$105,C626)=0,"Not on Volunteers",""))))))</f>
        <v/>
      </c>
      <c r="H626" s="1" t="n"/>
      <c r="I626">
        <f>IF(ISNUMBER(B626),YEAR(B626),"")</f>
        <v/>
      </c>
      <c r="J626">
        <f>IF(ISNUMBER(B626),YEAR(B626)*100+MONTH(B626),"")</f>
        <v/>
      </c>
      <c r="K626">
        <f>IF(ISNUMBER(B626),INT(B626),0)</f>
        <v/>
      </c>
      <c r="L626">
        <f>IF(AND(ISNUMBER(D626),N(D626)&gt;0),K626,0)</f>
        <v/>
      </c>
    </row>
    <row r="627">
      <c r="A627" s="1" t="n"/>
      <c r="B627" s="21" t="n"/>
      <c r="C627" s="22" t="n"/>
      <c r="D627" s="46" t="n"/>
      <c r="E627" s="25" t="n"/>
      <c r="F627" s="25" t="n"/>
      <c r="G627" s="17">
        <f>IF(AND(C627="",D627=""),"",IF(NOT(ISNUMBER(B627)),"Needs a date",IF(AND(D627&lt;&gt;"",NOT(ISNUMBER(D627))),"Hours not a number",IF(N(D627)&lt;=0,"Needs the hours",IF(C627="","Needs a name",IF(COUNTIF(Volunteers!$B$6:$B$105,C627)=0,"Not on Volunteers",""))))))</f>
        <v/>
      </c>
      <c r="H627" s="1" t="n"/>
      <c r="I627">
        <f>IF(ISNUMBER(B627),YEAR(B627),"")</f>
        <v/>
      </c>
      <c r="J627">
        <f>IF(ISNUMBER(B627),YEAR(B627)*100+MONTH(B627),"")</f>
        <v/>
      </c>
      <c r="K627">
        <f>IF(ISNUMBER(B627),INT(B627),0)</f>
        <v/>
      </c>
      <c r="L627">
        <f>IF(AND(ISNUMBER(D627),N(D627)&gt;0),K627,0)</f>
        <v/>
      </c>
    </row>
    <row r="628">
      <c r="A628" s="1" t="n"/>
      <c r="B628" s="21" t="n"/>
      <c r="C628" s="22" t="n"/>
      <c r="D628" s="46" t="n"/>
      <c r="E628" s="25" t="n"/>
      <c r="F628" s="25" t="n"/>
      <c r="G628" s="17">
        <f>IF(AND(C628="",D628=""),"",IF(NOT(ISNUMBER(B628)),"Needs a date",IF(AND(D628&lt;&gt;"",NOT(ISNUMBER(D628))),"Hours not a number",IF(N(D628)&lt;=0,"Needs the hours",IF(C628="","Needs a name",IF(COUNTIF(Volunteers!$B$6:$B$105,C628)=0,"Not on Volunteers",""))))))</f>
        <v/>
      </c>
      <c r="H628" s="1" t="n"/>
      <c r="I628">
        <f>IF(ISNUMBER(B628),YEAR(B628),"")</f>
        <v/>
      </c>
      <c r="J628">
        <f>IF(ISNUMBER(B628),YEAR(B628)*100+MONTH(B628),"")</f>
        <v/>
      </c>
      <c r="K628">
        <f>IF(ISNUMBER(B628),INT(B628),0)</f>
        <v/>
      </c>
      <c r="L628">
        <f>IF(AND(ISNUMBER(D628),N(D628)&gt;0),K628,0)</f>
        <v/>
      </c>
    </row>
    <row r="629">
      <c r="A629" s="1" t="n"/>
      <c r="B629" s="21" t="n"/>
      <c r="C629" s="22" t="n"/>
      <c r="D629" s="46" t="n"/>
      <c r="E629" s="25" t="n"/>
      <c r="F629" s="25" t="n"/>
      <c r="G629" s="17">
        <f>IF(AND(C629="",D629=""),"",IF(NOT(ISNUMBER(B629)),"Needs a date",IF(AND(D629&lt;&gt;"",NOT(ISNUMBER(D629))),"Hours not a number",IF(N(D629)&lt;=0,"Needs the hours",IF(C629="","Needs a name",IF(COUNTIF(Volunteers!$B$6:$B$105,C629)=0,"Not on Volunteers",""))))))</f>
        <v/>
      </c>
      <c r="H629" s="1" t="n"/>
      <c r="I629">
        <f>IF(ISNUMBER(B629),YEAR(B629),"")</f>
        <v/>
      </c>
      <c r="J629">
        <f>IF(ISNUMBER(B629),YEAR(B629)*100+MONTH(B629),"")</f>
        <v/>
      </c>
      <c r="K629">
        <f>IF(ISNUMBER(B629),INT(B629),0)</f>
        <v/>
      </c>
      <c r="L629">
        <f>IF(AND(ISNUMBER(D629),N(D629)&gt;0),K629,0)</f>
        <v/>
      </c>
    </row>
    <row r="630">
      <c r="A630" s="1" t="n"/>
      <c r="B630" s="21" t="n"/>
      <c r="C630" s="22" t="n"/>
      <c r="D630" s="46" t="n"/>
      <c r="E630" s="25" t="n"/>
      <c r="F630" s="25" t="n"/>
      <c r="G630" s="17">
        <f>IF(AND(C630="",D630=""),"",IF(NOT(ISNUMBER(B630)),"Needs a date",IF(AND(D630&lt;&gt;"",NOT(ISNUMBER(D630))),"Hours not a number",IF(N(D630)&lt;=0,"Needs the hours",IF(C630="","Needs a name",IF(COUNTIF(Volunteers!$B$6:$B$105,C630)=0,"Not on Volunteers",""))))))</f>
        <v/>
      </c>
      <c r="H630" s="1" t="n"/>
      <c r="I630">
        <f>IF(ISNUMBER(B630),YEAR(B630),"")</f>
        <v/>
      </c>
      <c r="J630">
        <f>IF(ISNUMBER(B630),YEAR(B630)*100+MONTH(B630),"")</f>
        <v/>
      </c>
      <c r="K630">
        <f>IF(ISNUMBER(B630),INT(B630),0)</f>
        <v/>
      </c>
      <c r="L630">
        <f>IF(AND(ISNUMBER(D630),N(D630)&gt;0),K630,0)</f>
        <v/>
      </c>
    </row>
    <row r="631">
      <c r="A631" s="1" t="n"/>
      <c r="B631" s="21" t="n"/>
      <c r="C631" s="22" t="n"/>
      <c r="D631" s="46" t="n"/>
      <c r="E631" s="25" t="n"/>
      <c r="F631" s="25" t="n"/>
      <c r="G631" s="17">
        <f>IF(AND(C631="",D631=""),"",IF(NOT(ISNUMBER(B631)),"Needs a date",IF(AND(D631&lt;&gt;"",NOT(ISNUMBER(D631))),"Hours not a number",IF(N(D631)&lt;=0,"Needs the hours",IF(C631="","Needs a name",IF(COUNTIF(Volunteers!$B$6:$B$105,C631)=0,"Not on Volunteers",""))))))</f>
        <v/>
      </c>
      <c r="H631" s="1" t="n"/>
      <c r="I631">
        <f>IF(ISNUMBER(B631),YEAR(B631),"")</f>
        <v/>
      </c>
      <c r="J631">
        <f>IF(ISNUMBER(B631),YEAR(B631)*100+MONTH(B631),"")</f>
        <v/>
      </c>
      <c r="K631">
        <f>IF(ISNUMBER(B631),INT(B631),0)</f>
        <v/>
      </c>
      <c r="L631">
        <f>IF(AND(ISNUMBER(D631),N(D631)&gt;0),K631,0)</f>
        <v/>
      </c>
    </row>
    <row r="632">
      <c r="A632" s="1" t="n"/>
      <c r="B632" s="21" t="n"/>
      <c r="C632" s="22" t="n"/>
      <c r="D632" s="46" t="n"/>
      <c r="E632" s="25" t="n"/>
      <c r="F632" s="25" t="n"/>
      <c r="G632" s="17">
        <f>IF(AND(C632="",D632=""),"",IF(NOT(ISNUMBER(B632)),"Needs a date",IF(AND(D632&lt;&gt;"",NOT(ISNUMBER(D632))),"Hours not a number",IF(N(D632)&lt;=0,"Needs the hours",IF(C632="","Needs a name",IF(COUNTIF(Volunteers!$B$6:$B$105,C632)=0,"Not on Volunteers",""))))))</f>
        <v/>
      </c>
      <c r="H632" s="1" t="n"/>
      <c r="I632">
        <f>IF(ISNUMBER(B632),YEAR(B632),"")</f>
        <v/>
      </c>
      <c r="J632">
        <f>IF(ISNUMBER(B632),YEAR(B632)*100+MONTH(B632),"")</f>
        <v/>
      </c>
      <c r="K632">
        <f>IF(ISNUMBER(B632),INT(B632),0)</f>
        <v/>
      </c>
      <c r="L632">
        <f>IF(AND(ISNUMBER(D632),N(D632)&gt;0),K632,0)</f>
        <v/>
      </c>
    </row>
    <row r="633">
      <c r="A633" s="1" t="n"/>
      <c r="B633" s="21" t="n"/>
      <c r="C633" s="22" t="n"/>
      <c r="D633" s="46" t="n"/>
      <c r="E633" s="25" t="n"/>
      <c r="F633" s="25" t="n"/>
      <c r="G633" s="17">
        <f>IF(AND(C633="",D633=""),"",IF(NOT(ISNUMBER(B633)),"Needs a date",IF(AND(D633&lt;&gt;"",NOT(ISNUMBER(D633))),"Hours not a number",IF(N(D633)&lt;=0,"Needs the hours",IF(C633="","Needs a name",IF(COUNTIF(Volunteers!$B$6:$B$105,C633)=0,"Not on Volunteers",""))))))</f>
        <v/>
      </c>
      <c r="H633" s="1" t="n"/>
      <c r="I633">
        <f>IF(ISNUMBER(B633),YEAR(B633),"")</f>
        <v/>
      </c>
      <c r="J633">
        <f>IF(ISNUMBER(B633),YEAR(B633)*100+MONTH(B633),"")</f>
        <v/>
      </c>
      <c r="K633">
        <f>IF(ISNUMBER(B633),INT(B633),0)</f>
        <v/>
      </c>
      <c r="L633">
        <f>IF(AND(ISNUMBER(D633),N(D633)&gt;0),K633,0)</f>
        <v/>
      </c>
    </row>
    <row r="634">
      <c r="A634" s="1" t="n"/>
      <c r="B634" s="21" t="n"/>
      <c r="C634" s="22" t="n"/>
      <c r="D634" s="46" t="n"/>
      <c r="E634" s="25" t="n"/>
      <c r="F634" s="25" t="n"/>
      <c r="G634" s="17">
        <f>IF(AND(C634="",D634=""),"",IF(NOT(ISNUMBER(B634)),"Needs a date",IF(AND(D634&lt;&gt;"",NOT(ISNUMBER(D634))),"Hours not a number",IF(N(D634)&lt;=0,"Needs the hours",IF(C634="","Needs a name",IF(COUNTIF(Volunteers!$B$6:$B$105,C634)=0,"Not on Volunteers",""))))))</f>
        <v/>
      </c>
      <c r="H634" s="1" t="n"/>
      <c r="I634">
        <f>IF(ISNUMBER(B634),YEAR(B634),"")</f>
        <v/>
      </c>
      <c r="J634">
        <f>IF(ISNUMBER(B634),YEAR(B634)*100+MONTH(B634),"")</f>
        <v/>
      </c>
      <c r="K634">
        <f>IF(ISNUMBER(B634),INT(B634),0)</f>
        <v/>
      </c>
      <c r="L634">
        <f>IF(AND(ISNUMBER(D634),N(D634)&gt;0),K634,0)</f>
        <v/>
      </c>
    </row>
    <row r="635">
      <c r="A635" s="1" t="n"/>
      <c r="B635" s="21" t="n"/>
      <c r="C635" s="22" t="n"/>
      <c r="D635" s="46" t="n"/>
      <c r="E635" s="25" t="n"/>
      <c r="F635" s="25" t="n"/>
      <c r="G635" s="17">
        <f>IF(AND(C635="",D635=""),"",IF(NOT(ISNUMBER(B635)),"Needs a date",IF(AND(D635&lt;&gt;"",NOT(ISNUMBER(D635))),"Hours not a number",IF(N(D635)&lt;=0,"Needs the hours",IF(C635="","Needs a name",IF(COUNTIF(Volunteers!$B$6:$B$105,C635)=0,"Not on Volunteers",""))))))</f>
        <v/>
      </c>
      <c r="H635" s="1" t="n"/>
      <c r="I635">
        <f>IF(ISNUMBER(B635),YEAR(B635),"")</f>
        <v/>
      </c>
      <c r="J635">
        <f>IF(ISNUMBER(B635),YEAR(B635)*100+MONTH(B635),"")</f>
        <v/>
      </c>
      <c r="K635">
        <f>IF(ISNUMBER(B635),INT(B635),0)</f>
        <v/>
      </c>
      <c r="L635">
        <f>IF(AND(ISNUMBER(D635),N(D635)&gt;0),K635,0)</f>
        <v/>
      </c>
    </row>
    <row r="636">
      <c r="A636" s="1" t="n"/>
      <c r="B636" s="21" t="n"/>
      <c r="C636" s="22" t="n"/>
      <c r="D636" s="46" t="n"/>
      <c r="E636" s="25" t="n"/>
      <c r="F636" s="25" t="n"/>
      <c r="G636" s="17">
        <f>IF(AND(C636="",D636=""),"",IF(NOT(ISNUMBER(B636)),"Needs a date",IF(AND(D636&lt;&gt;"",NOT(ISNUMBER(D636))),"Hours not a number",IF(N(D636)&lt;=0,"Needs the hours",IF(C636="","Needs a name",IF(COUNTIF(Volunteers!$B$6:$B$105,C636)=0,"Not on Volunteers",""))))))</f>
        <v/>
      </c>
      <c r="H636" s="1" t="n"/>
      <c r="I636">
        <f>IF(ISNUMBER(B636),YEAR(B636),"")</f>
        <v/>
      </c>
      <c r="J636">
        <f>IF(ISNUMBER(B636),YEAR(B636)*100+MONTH(B636),"")</f>
        <v/>
      </c>
      <c r="K636">
        <f>IF(ISNUMBER(B636),INT(B636),0)</f>
        <v/>
      </c>
      <c r="L636">
        <f>IF(AND(ISNUMBER(D636),N(D636)&gt;0),K636,0)</f>
        <v/>
      </c>
    </row>
    <row r="637">
      <c r="A637" s="1" t="n"/>
      <c r="B637" s="21" t="n"/>
      <c r="C637" s="22" t="n"/>
      <c r="D637" s="46" t="n"/>
      <c r="E637" s="25" t="n"/>
      <c r="F637" s="25" t="n"/>
      <c r="G637" s="17">
        <f>IF(AND(C637="",D637=""),"",IF(NOT(ISNUMBER(B637)),"Needs a date",IF(AND(D637&lt;&gt;"",NOT(ISNUMBER(D637))),"Hours not a number",IF(N(D637)&lt;=0,"Needs the hours",IF(C637="","Needs a name",IF(COUNTIF(Volunteers!$B$6:$B$105,C637)=0,"Not on Volunteers",""))))))</f>
        <v/>
      </c>
      <c r="H637" s="1" t="n"/>
      <c r="I637">
        <f>IF(ISNUMBER(B637),YEAR(B637),"")</f>
        <v/>
      </c>
      <c r="J637">
        <f>IF(ISNUMBER(B637),YEAR(B637)*100+MONTH(B637),"")</f>
        <v/>
      </c>
      <c r="K637">
        <f>IF(ISNUMBER(B637),INT(B637),0)</f>
        <v/>
      </c>
      <c r="L637">
        <f>IF(AND(ISNUMBER(D637),N(D637)&gt;0),K637,0)</f>
        <v/>
      </c>
    </row>
    <row r="638">
      <c r="A638" s="1" t="n"/>
      <c r="B638" s="21" t="n"/>
      <c r="C638" s="22" t="n"/>
      <c r="D638" s="46" t="n"/>
      <c r="E638" s="25" t="n"/>
      <c r="F638" s="25" t="n"/>
      <c r="G638" s="17">
        <f>IF(AND(C638="",D638=""),"",IF(NOT(ISNUMBER(B638)),"Needs a date",IF(AND(D638&lt;&gt;"",NOT(ISNUMBER(D638))),"Hours not a number",IF(N(D638)&lt;=0,"Needs the hours",IF(C638="","Needs a name",IF(COUNTIF(Volunteers!$B$6:$B$105,C638)=0,"Not on Volunteers",""))))))</f>
        <v/>
      </c>
      <c r="H638" s="1" t="n"/>
      <c r="I638">
        <f>IF(ISNUMBER(B638),YEAR(B638),"")</f>
        <v/>
      </c>
      <c r="J638">
        <f>IF(ISNUMBER(B638),YEAR(B638)*100+MONTH(B638),"")</f>
        <v/>
      </c>
      <c r="K638">
        <f>IF(ISNUMBER(B638),INT(B638),0)</f>
        <v/>
      </c>
      <c r="L638">
        <f>IF(AND(ISNUMBER(D638),N(D638)&gt;0),K638,0)</f>
        <v/>
      </c>
    </row>
    <row r="639">
      <c r="A639" s="1" t="n"/>
      <c r="B639" s="21" t="n"/>
      <c r="C639" s="22" t="n"/>
      <c r="D639" s="46" t="n"/>
      <c r="E639" s="25" t="n"/>
      <c r="F639" s="25" t="n"/>
      <c r="G639" s="17">
        <f>IF(AND(C639="",D639=""),"",IF(NOT(ISNUMBER(B639)),"Needs a date",IF(AND(D639&lt;&gt;"",NOT(ISNUMBER(D639))),"Hours not a number",IF(N(D639)&lt;=0,"Needs the hours",IF(C639="","Needs a name",IF(COUNTIF(Volunteers!$B$6:$B$105,C639)=0,"Not on Volunteers",""))))))</f>
        <v/>
      </c>
      <c r="H639" s="1" t="n"/>
      <c r="I639">
        <f>IF(ISNUMBER(B639),YEAR(B639),"")</f>
        <v/>
      </c>
      <c r="J639">
        <f>IF(ISNUMBER(B639),YEAR(B639)*100+MONTH(B639),"")</f>
        <v/>
      </c>
      <c r="K639">
        <f>IF(ISNUMBER(B639),INT(B639),0)</f>
        <v/>
      </c>
      <c r="L639">
        <f>IF(AND(ISNUMBER(D639),N(D639)&gt;0),K639,0)</f>
        <v/>
      </c>
    </row>
    <row r="640">
      <c r="A640" s="1" t="n"/>
      <c r="B640" s="21" t="n"/>
      <c r="C640" s="22" t="n"/>
      <c r="D640" s="46" t="n"/>
      <c r="E640" s="25" t="n"/>
      <c r="F640" s="25" t="n"/>
      <c r="G640" s="17">
        <f>IF(AND(C640="",D640=""),"",IF(NOT(ISNUMBER(B640)),"Needs a date",IF(AND(D640&lt;&gt;"",NOT(ISNUMBER(D640))),"Hours not a number",IF(N(D640)&lt;=0,"Needs the hours",IF(C640="","Needs a name",IF(COUNTIF(Volunteers!$B$6:$B$105,C640)=0,"Not on Volunteers",""))))))</f>
        <v/>
      </c>
      <c r="H640" s="1" t="n"/>
      <c r="I640">
        <f>IF(ISNUMBER(B640),YEAR(B640),"")</f>
        <v/>
      </c>
      <c r="J640">
        <f>IF(ISNUMBER(B640),YEAR(B640)*100+MONTH(B640),"")</f>
        <v/>
      </c>
      <c r="K640">
        <f>IF(ISNUMBER(B640),INT(B640),0)</f>
        <v/>
      </c>
      <c r="L640">
        <f>IF(AND(ISNUMBER(D640),N(D640)&gt;0),K640,0)</f>
        <v/>
      </c>
    </row>
    <row r="641">
      <c r="A641" s="1" t="n"/>
      <c r="B641" s="21" t="n"/>
      <c r="C641" s="22" t="n"/>
      <c r="D641" s="46" t="n"/>
      <c r="E641" s="25" t="n"/>
      <c r="F641" s="25" t="n"/>
      <c r="G641" s="17">
        <f>IF(AND(C641="",D641=""),"",IF(NOT(ISNUMBER(B641)),"Needs a date",IF(AND(D641&lt;&gt;"",NOT(ISNUMBER(D641))),"Hours not a number",IF(N(D641)&lt;=0,"Needs the hours",IF(C641="","Needs a name",IF(COUNTIF(Volunteers!$B$6:$B$105,C641)=0,"Not on Volunteers",""))))))</f>
        <v/>
      </c>
      <c r="H641" s="1" t="n"/>
      <c r="I641">
        <f>IF(ISNUMBER(B641),YEAR(B641),"")</f>
        <v/>
      </c>
      <c r="J641">
        <f>IF(ISNUMBER(B641),YEAR(B641)*100+MONTH(B641),"")</f>
        <v/>
      </c>
      <c r="K641">
        <f>IF(ISNUMBER(B641),INT(B641),0)</f>
        <v/>
      </c>
      <c r="L641">
        <f>IF(AND(ISNUMBER(D641),N(D641)&gt;0),K641,0)</f>
        <v/>
      </c>
    </row>
    <row r="642">
      <c r="A642" s="1" t="n"/>
      <c r="B642" s="21" t="n"/>
      <c r="C642" s="22" t="n"/>
      <c r="D642" s="46" t="n"/>
      <c r="E642" s="25" t="n"/>
      <c r="F642" s="25" t="n"/>
      <c r="G642" s="17">
        <f>IF(AND(C642="",D642=""),"",IF(NOT(ISNUMBER(B642)),"Needs a date",IF(AND(D642&lt;&gt;"",NOT(ISNUMBER(D642))),"Hours not a number",IF(N(D642)&lt;=0,"Needs the hours",IF(C642="","Needs a name",IF(COUNTIF(Volunteers!$B$6:$B$105,C642)=0,"Not on Volunteers",""))))))</f>
        <v/>
      </c>
      <c r="H642" s="1" t="n"/>
      <c r="I642">
        <f>IF(ISNUMBER(B642),YEAR(B642),"")</f>
        <v/>
      </c>
      <c r="J642">
        <f>IF(ISNUMBER(B642),YEAR(B642)*100+MONTH(B642),"")</f>
        <v/>
      </c>
      <c r="K642">
        <f>IF(ISNUMBER(B642),INT(B642),0)</f>
        <v/>
      </c>
      <c r="L642">
        <f>IF(AND(ISNUMBER(D642),N(D642)&gt;0),K642,0)</f>
        <v/>
      </c>
    </row>
    <row r="643">
      <c r="A643" s="1" t="n"/>
      <c r="B643" s="21" t="n"/>
      <c r="C643" s="22" t="n"/>
      <c r="D643" s="46" t="n"/>
      <c r="E643" s="25" t="n"/>
      <c r="F643" s="25" t="n"/>
      <c r="G643" s="17">
        <f>IF(AND(C643="",D643=""),"",IF(NOT(ISNUMBER(B643)),"Needs a date",IF(AND(D643&lt;&gt;"",NOT(ISNUMBER(D643))),"Hours not a number",IF(N(D643)&lt;=0,"Needs the hours",IF(C643="","Needs a name",IF(COUNTIF(Volunteers!$B$6:$B$105,C643)=0,"Not on Volunteers",""))))))</f>
        <v/>
      </c>
      <c r="H643" s="1" t="n"/>
      <c r="I643">
        <f>IF(ISNUMBER(B643),YEAR(B643),"")</f>
        <v/>
      </c>
      <c r="J643">
        <f>IF(ISNUMBER(B643),YEAR(B643)*100+MONTH(B643),"")</f>
        <v/>
      </c>
      <c r="K643">
        <f>IF(ISNUMBER(B643),INT(B643),0)</f>
        <v/>
      </c>
      <c r="L643">
        <f>IF(AND(ISNUMBER(D643),N(D643)&gt;0),K643,0)</f>
        <v/>
      </c>
    </row>
    <row r="644">
      <c r="A644" s="1" t="n"/>
      <c r="B644" s="21" t="n"/>
      <c r="C644" s="22" t="n"/>
      <c r="D644" s="46" t="n"/>
      <c r="E644" s="25" t="n"/>
      <c r="F644" s="25" t="n"/>
      <c r="G644" s="17">
        <f>IF(AND(C644="",D644=""),"",IF(NOT(ISNUMBER(B644)),"Needs a date",IF(AND(D644&lt;&gt;"",NOT(ISNUMBER(D644))),"Hours not a number",IF(N(D644)&lt;=0,"Needs the hours",IF(C644="","Needs a name",IF(COUNTIF(Volunteers!$B$6:$B$105,C644)=0,"Not on Volunteers",""))))))</f>
        <v/>
      </c>
      <c r="H644" s="1" t="n"/>
      <c r="I644">
        <f>IF(ISNUMBER(B644),YEAR(B644),"")</f>
        <v/>
      </c>
      <c r="J644">
        <f>IF(ISNUMBER(B644),YEAR(B644)*100+MONTH(B644),"")</f>
        <v/>
      </c>
      <c r="K644">
        <f>IF(ISNUMBER(B644),INT(B644),0)</f>
        <v/>
      </c>
      <c r="L644">
        <f>IF(AND(ISNUMBER(D644),N(D644)&gt;0),K644,0)</f>
        <v/>
      </c>
    </row>
    <row r="645">
      <c r="A645" s="1" t="n"/>
      <c r="B645" s="21" t="n"/>
      <c r="C645" s="22" t="n"/>
      <c r="D645" s="46" t="n"/>
      <c r="E645" s="25" t="n"/>
      <c r="F645" s="25" t="n"/>
      <c r="G645" s="17">
        <f>IF(AND(C645="",D645=""),"",IF(NOT(ISNUMBER(B645)),"Needs a date",IF(AND(D645&lt;&gt;"",NOT(ISNUMBER(D645))),"Hours not a number",IF(N(D645)&lt;=0,"Needs the hours",IF(C645="","Needs a name",IF(COUNTIF(Volunteers!$B$6:$B$105,C645)=0,"Not on Volunteers",""))))))</f>
        <v/>
      </c>
      <c r="H645" s="1" t="n"/>
      <c r="I645">
        <f>IF(ISNUMBER(B645),YEAR(B645),"")</f>
        <v/>
      </c>
      <c r="J645">
        <f>IF(ISNUMBER(B645),YEAR(B645)*100+MONTH(B645),"")</f>
        <v/>
      </c>
      <c r="K645">
        <f>IF(ISNUMBER(B645),INT(B645),0)</f>
        <v/>
      </c>
      <c r="L645">
        <f>IF(AND(ISNUMBER(D645),N(D645)&gt;0),K645,0)</f>
        <v/>
      </c>
    </row>
    <row r="646">
      <c r="A646" s="1" t="n"/>
      <c r="B646" s="21" t="n"/>
      <c r="C646" s="22" t="n"/>
      <c r="D646" s="46" t="n"/>
      <c r="E646" s="25" t="n"/>
      <c r="F646" s="25" t="n"/>
      <c r="G646" s="17">
        <f>IF(AND(C646="",D646=""),"",IF(NOT(ISNUMBER(B646)),"Needs a date",IF(AND(D646&lt;&gt;"",NOT(ISNUMBER(D646))),"Hours not a number",IF(N(D646)&lt;=0,"Needs the hours",IF(C646="","Needs a name",IF(COUNTIF(Volunteers!$B$6:$B$105,C646)=0,"Not on Volunteers",""))))))</f>
        <v/>
      </c>
      <c r="H646" s="1" t="n"/>
      <c r="I646">
        <f>IF(ISNUMBER(B646),YEAR(B646),"")</f>
        <v/>
      </c>
      <c r="J646">
        <f>IF(ISNUMBER(B646),YEAR(B646)*100+MONTH(B646),"")</f>
        <v/>
      </c>
      <c r="K646">
        <f>IF(ISNUMBER(B646),INT(B646),0)</f>
        <v/>
      </c>
      <c r="L646">
        <f>IF(AND(ISNUMBER(D646),N(D646)&gt;0),K646,0)</f>
        <v/>
      </c>
    </row>
    <row r="647">
      <c r="A647" s="1" t="n"/>
      <c r="B647" s="21" t="n"/>
      <c r="C647" s="22" t="n"/>
      <c r="D647" s="46" t="n"/>
      <c r="E647" s="25" t="n"/>
      <c r="F647" s="25" t="n"/>
      <c r="G647" s="17">
        <f>IF(AND(C647="",D647=""),"",IF(NOT(ISNUMBER(B647)),"Needs a date",IF(AND(D647&lt;&gt;"",NOT(ISNUMBER(D647))),"Hours not a number",IF(N(D647)&lt;=0,"Needs the hours",IF(C647="","Needs a name",IF(COUNTIF(Volunteers!$B$6:$B$105,C647)=0,"Not on Volunteers",""))))))</f>
        <v/>
      </c>
      <c r="H647" s="1" t="n"/>
      <c r="I647">
        <f>IF(ISNUMBER(B647),YEAR(B647),"")</f>
        <v/>
      </c>
      <c r="J647">
        <f>IF(ISNUMBER(B647),YEAR(B647)*100+MONTH(B647),"")</f>
        <v/>
      </c>
      <c r="K647">
        <f>IF(ISNUMBER(B647),INT(B647),0)</f>
        <v/>
      </c>
      <c r="L647">
        <f>IF(AND(ISNUMBER(D647),N(D647)&gt;0),K647,0)</f>
        <v/>
      </c>
    </row>
    <row r="648">
      <c r="A648" s="1" t="n"/>
      <c r="B648" s="21" t="n"/>
      <c r="C648" s="22" t="n"/>
      <c r="D648" s="46" t="n"/>
      <c r="E648" s="25" t="n"/>
      <c r="F648" s="25" t="n"/>
      <c r="G648" s="17">
        <f>IF(AND(C648="",D648=""),"",IF(NOT(ISNUMBER(B648)),"Needs a date",IF(AND(D648&lt;&gt;"",NOT(ISNUMBER(D648))),"Hours not a number",IF(N(D648)&lt;=0,"Needs the hours",IF(C648="","Needs a name",IF(COUNTIF(Volunteers!$B$6:$B$105,C648)=0,"Not on Volunteers",""))))))</f>
        <v/>
      </c>
      <c r="H648" s="1" t="n"/>
      <c r="I648">
        <f>IF(ISNUMBER(B648),YEAR(B648),"")</f>
        <v/>
      </c>
      <c r="J648">
        <f>IF(ISNUMBER(B648),YEAR(B648)*100+MONTH(B648),"")</f>
        <v/>
      </c>
      <c r="K648">
        <f>IF(ISNUMBER(B648),INT(B648),0)</f>
        <v/>
      </c>
      <c r="L648">
        <f>IF(AND(ISNUMBER(D648),N(D648)&gt;0),K648,0)</f>
        <v/>
      </c>
    </row>
    <row r="649">
      <c r="A649" s="1" t="n"/>
      <c r="B649" s="21" t="n"/>
      <c r="C649" s="22" t="n"/>
      <c r="D649" s="46" t="n"/>
      <c r="E649" s="25" t="n"/>
      <c r="F649" s="25" t="n"/>
      <c r="G649" s="17">
        <f>IF(AND(C649="",D649=""),"",IF(NOT(ISNUMBER(B649)),"Needs a date",IF(AND(D649&lt;&gt;"",NOT(ISNUMBER(D649))),"Hours not a number",IF(N(D649)&lt;=0,"Needs the hours",IF(C649="","Needs a name",IF(COUNTIF(Volunteers!$B$6:$B$105,C649)=0,"Not on Volunteers",""))))))</f>
        <v/>
      </c>
      <c r="H649" s="1" t="n"/>
      <c r="I649">
        <f>IF(ISNUMBER(B649),YEAR(B649),"")</f>
        <v/>
      </c>
      <c r="J649">
        <f>IF(ISNUMBER(B649),YEAR(B649)*100+MONTH(B649),"")</f>
        <v/>
      </c>
      <c r="K649">
        <f>IF(ISNUMBER(B649),INT(B649),0)</f>
        <v/>
      </c>
      <c r="L649">
        <f>IF(AND(ISNUMBER(D649),N(D649)&gt;0),K649,0)</f>
        <v/>
      </c>
    </row>
    <row r="650">
      <c r="A650" s="1" t="n"/>
      <c r="B650" s="21" t="n"/>
      <c r="C650" s="22" t="n"/>
      <c r="D650" s="46" t="n"/>
      <c r="E650" s="25" t="n"/>
      <c r="F650" s="25" t="n"/>
      <c r="G650" s="17">
        <f>IF(AND(C650="",D650=""),"",IF(NOT(ISNUMBER(B650)),"Needs a date",IF(AND(D650&lt;&gt;"",NOT(ISNUMBER(D650))),"Hours not a number",IF(N(D650)&lt;=0,"Needs the hours",IF(C650="","Needs a name",IF(COUNTIF(Volunteers!$B$6:$B$105,C650)=0,"Not on Volunteers",""))))))</f>
        <v/>
      </c>
      <c r="H650" s="1" t="n"/>
      <c r="I650">
        <f>IF(ISNUMBER(B650),YEAR(B650),"")</f>
        <v/>
      </c>
      <c r="J650">
        <f>IF(ISNUMBER(B650),YEAR(B650)*100+MONTH(B650),"")</f>
        <v/>
      </c>
      <c r="K650">
        <f>IF(ISNUMBER(B650),INT(B650),0)</f>
        <v/>
      </c>
      <c r="L650">
        <f>IF(AND(ISNUMBER(D650),N(D650)&gt;0),K650,0)</f>
        <v/>
      </c>
    </row>
    <row r="651">
      <c r="A651" s="1" t="n"/>
      <c r="B651" s="21" t="n"/>
      <c r="C651" s="22" t="n"/>
      <c r="D651" s="46" t="n"/>
      <c r="E651" s="25" t="n"/>
      <c r="F651" s="25" t="n"/>
      <c r="G651" s="17">
        <f>IF(AND(C651="",D651=""),"",IF(NOT(ISNUMBER(B651)),"Needs a date",IF(AND(D651&lt;&gt;"",NOT(ISNUMBER(D651))),"Hours not a number",IF(N(D651)&lt;=0,"Needs the hours",IF(C651="","Needs a name",IF(COUNTIF(Volunteers!$B$6:$B$105,C651)=0,"Not on Volunteers",""))))))</f>
        <v/>
      </c>
      <c r="H651" s="1" t="n"/>
      <c r="I651">
        <f>IF(ISNUMBER(B651),YEAR(B651),"")</f>
        <v/>
      </c>
      <c r="J651">
        <f>IF(ISNUMBER(B651),YEAR(B651)*100+MONTH(B651),"")</f>
        <v/>
      </c>
      <c r="K651">
        <f>IF(ISNUMBER(B651),INT(B651),0)</f>
        <v/>
      </c>
      <c r="L651">
        <f>IF(AND(ISNUMBER(D651),N(D651)&gt;0),K651,0)</f>
        <v/>
      </c>
    </row>
    <row r="652">
      <c r="A652" s="1" t="n"/>
      <c r="B652" s="21" t="n"/>
      <c r="C652" s="22" t="n"/>
      <c r="D652" s="46" t="n"/>
      <c r="E652" s="25" t="n"/>
      <c r="F652" s="25" t="n"/>
      <c r="G652" s="17">
        <f>IF(AND(C652="",D652=""),"",IF(NOT(ISNUMBER(B652)),"Needs a date",IF(AND(D652&lt;&gt;"",NOT(ISNUMBER(D652))),"Hours not a number",IF(N(D652)&lt;=0,"Needs the hours",IF(C652="","Needs a name",IF(COUNTIF(Volunteers!$B$6:$B$105,C652)=0,"Not on Volunteers",""))))))</f>
        <v/>
      </c>
      <c r="H652" s="1" t="n"/>
      <c r="I652">
        <f>IF(ISNUMBER(B652),YEAR(B652),"")</f>
        <v/>
      </c>
      <c r="J652">
        <f>IF(ISNUMBER(B652),YEAR(B652)*100+MONTH(B652),"")</f>
        <v/>
      </c>
      <c r="K652">
        <f>IF(ISNUMBER(B652),INT(B652),0)</f>
        <v/>
      </c>
      <c r="L652">
        <f>IF(AND(ISNUMBER(D652),N(D652)&gt;0),K652,0)</f>
        <v/>
      </c>
    </row>
    <row r="653">
      <c r="A653" s="1" t="n"/>
      <c r="B653" s="21" t="n"/>
      <c r="C653" s="22" t="n"/>
      <c r="D653" s="46" t="n"/>
      <c r="E653" s="25" t="n"/>
      <c r="F653" s="25" t="n"/>
      <c r="G653" s="17">
        <f>IF(AND(C653="",D653=""),"",IF(NOT(ISNUMBER(B653)),"Needs a date",IF(AND(D653&lt;&gt;"",NOT(ISNUMBER(D653))),"Hours not a number",IF(N(D653)&lt;=0,"Needs the hours",IF(C653="","Needs a name",IF(COUNTIF(Volunteers!$B$6:$B$105,C653)=0,"Not on Volunteers",""))))))</f>
        <v/>
      </c>
      <c r="H653" s="1" t="n"/>
      <c r="I653">
        <f>IF(ISNUMBER(B653),YEAR(B653),"")</f>
        <v/>
      </c>
      <c r="J653">
        <f>IF(ISNUMBER(B653),YEAR(B653)*100+MONTH(B653),"")</f>
        <v/>
      </c>
      <c r="K653">
        <f>IF(ISNUMBER(B653),INT(B653),0)</f>
        <v/>
      </c>
      <c r="L653">
        <f>IF(AND(ISNUMBER(D653),N(D653)&gt;0),K653,0)</f>
        <v/>
      </c>
    </row>
    <row r="654">
      <c r="A654" s="1" t="n"/>
      <c r="B654" s="21" t="n"/>
      <c r="C654" s="22" t="n"/>
      <c r="D654" s="46" t="n"/>
      <c r="E654" s="25" t="n"/>
      <c r="F654" s="25" t="n"/>
      <c r="G654" s="17">
        <f>IF(AND(C654="",D654=""),"",IF(NOT(ISNUMBER(B654)),"Needs a date",IF(AND(D654&lt;&gt;"",NOT(ISNUMBER(D654))),"Hours not a number",IF(N(D654)&lt;=0,"Needs the hours",IF(C654="","Needs a name",IF(COUNTIF(Volunteers!$B$6:$B$105,C654)=0,"Not on Volunteers",""))))))</f>
        <v/>
      </c>
      <c r="H654" s="1" t="n"/>
      <c r="I654">
        <f>IF(ISNUMBER(B654),YEAR(B654),"")</f>
        <v/>
      </c>
      <c r="J654">
        <f>IF(ISNUMBER(B654),YEAR(B654)*100+MONTH(B654),"")</f>
        <v/>
      </c>
      <c r="K654">
        <f>IF(ISNUMBER(B654),INT(B654),0)</f>
        <v/>
      </c>
      <c r="L654">
        <f>IF(AND(ISNUMBER(D654),N(D654)&gt;0),K654,0)</f>
        <v/>
      </c>
    </row>
    <row r="655">
      <c r="A655" s="1" t="n"/>
      <c r="B655" s="21" t="n"/>
      <c r="C655" s="22" t="n"/>
      <c r="D655" s="46" t="n"/>
      <c r="E655" s="25" t="n"/>
      <c r="F655" s="25" t="n"/>
      <c r="G655" s="17">
        <f>IF(AND(C655="",D655=""),"",IF(NOT(ISNUMBER(B655)),"Needs a date",IF(AND(D655&lt;&gt;"",NOT(ISNUMBER(D655))),"Hours not a number",IF(N(D655)&lt;=0,"Needs the hours",IF(C655="","Needs a name",IF(COUNTIF(Volunteers!$B$6:$B$105,C655)=0,"Not on Volunteers",""))))))</f>
        <v/>
      </c>
      <c r="H655" s="1" t="n"/>
      <c r="I655">
        <f>IF(ISNUMBER(B655),YEAR(B655),"")</f>
        <v/>
      </c>
      <c r="J655">
        <f>IF(ISNUMBER(B655),YEAR(B655)*100+MONTH(B655),"")</f>
        <v/>
      </c>
      <c r="K655">
        <f>IF(ISNUMBER(B655),INT(B655),0)</f>
        <v/>
      </c>
      <c r="L655">
        <f>IF(AND(ISNUMBER(D655),N(D655)&gt;0),K655,0)</f>
        <v/>
      </c>
    </row>
    <row r="656">
      <c r="A656" s="1" t="n"/>
      <c r="B656" s="21" t="n"/>
      <c r="C656" s="22" t="n"/>
      <c r="D656" s="46" t="n"/>
      <c r="E656" s="25" t="n"/>
      <c r="F656" s="25" t="n"/>
      <c r="G656" s="17">
        <f>IF(AND(C656="",D656=""),"",IF(NOT(ISNUMBER(B656)),"Needs a date",IF(AND(D656&lt;&gt;"",NOT(ISNUMBER(D656))),"Hours not a number",IF(N(D656)&lt;=0,"Needs the hours",IF(C656="","Needs a name",IF(COUNTIF(Volunteers!$B$6:$B$105,C656)=0,"Not on Volunteers",""))))))</f>
        <v/>
      </c>
      <c r="H656" s="1" t="n"/>
      <c r="I656">
        <f>IF(ISNUMBER(B656),YEAR(B656),"")</f>
        <v/>
      </c>
      <c r="J656">
        <f>IF(ISNUMBER(B656),YEAR(B656)*100+MONTH(B656),"")</f>
        <v/>
      </c>
      <c r="K656">
        <f>IF(ISNUMBER(B656),INT(B656),0)</f>
        <v/>
      </c>
      <c r="L656">
        <f>IF(AND(ISNUMBER(D656),N(D656)&gt;0),K656,0)</f>
        <v/>
      </c>
    </row>
    <row r="657">
      <c r="A657" s="1" t="n"/>
      <c r="B657" s="21" t="n"/>
      <c r="C657" s="22" t="n"/>
      <c r="D657" s="46" t="n"/>
      <c r="E657" s="25" t="n"/>
      <c r="F657" s="25" t="n"/>
      <c r="G657" s="17">
        <f>IF(AND(C657="",D657=""),"",IF(NOT(ISNUMBER(B657)),"Needs a date",IF(AND(D657&lt;&gt;"",NOT(ISNUMBER(D657))),"Hours not a number",IF(N(D657)&lt;=0,"Needs the hours",IF(C657="","Needs a name",IF(COUNTIF(Volunteers!$B$6:$B$105,C657)=0,"Not on Volunteers",""))))))</f>
        <v/>
      </c>
      <c r="H657" s="1" t="n"/>
      <c r="I657">
        <f>IF(ISNUMBER(B657),YEAR(B657),"")</f>
        <v/>
      </c>
      <c r="J657">
        <f>IF(ISNUMBER(B657),YEAR(B657)*100+MONTH(B657),"")</f>
        <v/>
      </c>
      <c r="K657">
        <f>IF(ISNUMBER(B657),INT(B657),0)</f>
        <v/>
      </c>
      <c r="L657">
        <f>IF(AND(ISNUMBER(D657),N(D657)&gt;0),K657,0)</f>
        <v/>
      </c>
    </row>
    <row r="658">
      <c r="A658" s="1" t="n"/>
      <c r="B658" s="21" t="n"/>
      <c r="C658" s="22" t="n"/>
      <c r="D658" s="46" t="n"/>
      <c r="E658" s="25" t="n"/>
      <c r="F658" s="25" t="n"/>
      <c r="G658" s="17">
        <f>IF(AND(C658="",D658=""),"",IF(NOT(ISNUMBER(B658)),"Needs a date",IF(AND(D658&lt;&gt;"",NOT(ISNUMBER(D658))),"Hours not a number",IF(N(D658)&lt;=0,"Needs the hours",IF(C658="","Needs a name",IF(COUNTIF(Volunteers!$B$6:$B$105,C658)=0,"Not on Volunteers",""))))))</f>
        <v/>
      </c>
      <c r="H658" s="1" t="n"/>
      <c r="I658">
        <f>IF(ISNUMBER(B658),YEAR(B658),"")</f>
        <v/>
      </c>
      <c r="J658">
        <f>IF(ISNUMBER(B658),YEAR(B658)*100+MONTH(B658),"")</f>
        <v/>
      </c>
      <c r="K658">
        <f>IF(ISNUMBER(B658),INT(B658),0)</f>
        <v/>
      </c>
      <c r="L658">
        <f>IF(AND(ISNUMBER(D658),N(D658)&gt;0),K658,0)</f>
        <v/>
      </c>
    </row>
    <row r="659">
      <c r="A659" s="1" t="n"/>
      <c r="B659" s="21" t="n"/>
      <c r="C659" s="22" t="n"/>
      <c r="D659" s="46" t="n"/>
      <c r="E659" s="25" t="n"/>
      <c r="F659" s="25" t="n"/>
      <c r="G659" s="17">
        <f>IF(AND(C659="",D659=""),"",IF(NOT(ISNUMBER(B659)),"Needs a date",IF(AND(D659&lt;&gt;"",NOT(ISNUMBER(D659))),"Hours not a number",IF(N(D659)&lt;=0,"Needs the hours",IF(C659="","Needs a name",IF(COUNTIF(Volunteers!$B$6:$B$105,C659)=0,"Not on Volunteers",""))))))</f>
        <v/>
      </c>
      <c r="H659" s="1" t="n"/>
      <c r="I659">
        <f>IF(ISNUMBER(B659),YEAR(B659),"")</f>
        <v/>
      </c>
      <c r="J659">
        <f>IF(ISNUMBER(B659),YEAR(B659)*100+MONTH(B659),"")</f>
        <v/>
      </c>
      <c r="K659">
        <f>IF(ISNUMBER(B659),INT(B659),0)</f>
        <v/>
      </c>
      <c r="L659">
        <f>IF(AND(ISNUMBER(D659),N(D659)&gt;0),K659,0)</f>
        <v/>
      </c>
    </row>
    <row r="660">
      <c r="A660" s="1" t="n"/>
      <c r="B660" s="21" t="n"/>
      <c r="C660" s="22" t="n"/>
      <c r="D660" s="46" t="n"/>
      <c r="E660" s="25" t="n"/>
      <c r="F660" s="25" t="n"/>
      <c r="G660" s="17">
        <f>IF(AND(C660="",D660=""),"",IF(NOT(ISNUMBER(B660)),"Needs a date",IF(AND(D660&lt;&gt;"",NOT(ISNUMBER(D660))),"Hours not a number",IF(N(D660)&lt;=0,"Needs the hours",IF(C660="","Needs a name",IF(COUNTIF(Volunteers!$B$6:$B$105,C660)=0,"Not on Volunteers",""))))))</f>
        <v/>
      </c>
      <c r="H660" s="1" t="n"/>
      <c r="I660">
        <f>IF(ISNUMBER(B660),YEAR(B660),"")</f>
        <v/>
      </c>
      <c r="J660">
        <f>IF(ISNUMBER(B660),YEAR(B660)*100+MONTH(B660),"")</f>
        <v/>
      </c>
      <c r="K660">
        <f>IF(ISNUMBER(B660),INT(B660),0)</f>
        <v/>
      </c>
      <c r="L660">
        <f>IF(AND(ISNUMBER(D660),N(D660)&gt;0),K660,0)</f>
        <v/>
      </c>
    </row>
    <row r="661">
      <c r="A661" s="1" t="n"/>
      <c r="B661" s="21" t="n"/>
      <c r="C661" s="22" t="n"/>
      <c r="D661" s="46" t="n"/>
      <c r="E661" s="25" t="n"/>
      <c r="F661" s="25" t="n"/>
      <c r="G661" s="17">
        <f>IF(AND(C661="",D661=""),"",IF(NOT(ISNUMBER(B661)),"Needs a date",IF(AND(D661&lt;&gt;"",NOT(ISNUMBER(D661))),"Hours not a number",IF(N(D661)&lt;=0,"Needs the hours",IF(C661="","Needs a name",IF(COUNTIF(Volunteers!$B$6:$B$105,C661)=0,"Not on Volunteers",""))))))</f>
        <v/>
      </c>
      <c r="H661" s="1" t="n"/>
      <c r="I661">
        <f>IF(ISNUMBER(B661),YEAR(B661),"")</f>
        <v/>
      </c>
      <c r="J661">
        <f>IF(ISNUMBER(B661),YEAR(B661)*100+MONTH(B661),"")</f>
        <v/>
      </c>
      <c r="K661">
        <f>IF(ISNUMBER(B661),INT(B661),0)</f>
        <v/>
      </c>
      <c r="L661">
        <f>IF(AND(ISNUMBER(D661),N(D661)&gt;0),K661,0)</f>
        <v/>
      </c>
    </row>
    <row r="662">
      <c r="A662" s="1" t="n"/>
      <c r="B662" s="21" t="n"/>
      <c r="C662" s="22" t="n"/>
      <c r="D662" s="46" t="n"/>
      <c r="E662" s="25" t="n"/>
      <c r="F662" s="25" t="n"/>
      <c r="G662" s="17">
        <f>IF(AND(C662="",D662=""),"",IF(NOT(ISNUMBER(B662)),"Needs a date",IF(AND(D662&lt;&gt;"",NOT(ISNUMBER(D662))),"Hours not a number",IF(N(D662)&lt;=0,"Needs the hours",IF(C662="","Needs a name",IF(COUNTIF(Volunteers!$B$6:$B$105,C662)=0,"Not on Volunteers",""))))))</f>
        <v/>
      </c>
      <c r="H662" s="1" t="n"/>
      <c r="I662">
        <f>IF(ISNUMBER(B662),YEAR(B662),"")</f>
        <v/>
      </c>
      <c r="J662">
        <f>IF(ISNUMBER(B662),YEAR(B662)*100+MONTH(B662),"")</f>
        <v/>
      </c>
      <c r="K662">
        <f>IF(ISNUMBER(B662),INT(B662),0)</f>
        <v/>
      </c>
      <c r="L662">
        <f>IF(AND(ISNUMBER(D662),N(D662)&gt;0),K662,0)</f>
        <v/>
      </c>
    </row>
    <row r="663">
      <c r="A663" s="1" t="n"/>
      <c r="B663" s="21" t="n"/>
      <c r="C663" s="22" t="n"/>
      <c r="D663" s="46" t="n"/>
      <c r="E663" s="25" t="n"/>
      <c r="F663" s="25" t="n"/>
      <c r="G663" s="17">
        <f>IF(AND(C663="",D663=""),"",IF(NOT(ISNUMBER(B663)),"Needs a date",IF(AND(D663&lt;&gt;"",NOT(ISNUMBER(D663))),"Hours not a number",IF(N(D663)&lt;=0,"Needs the hours",IF(C663="","Needs a name",IF(COUNTIF(Volunteers!$B$6:$B$105,C663)=0,"Not on Volunteers",""))))))</f>
        <v/>
      </c>
      <c r="H663" s="1" t="n"/>
      <c r="I663">
        <f>IF(ISNUMBER(B663),YEAR(B663),"")</f>
        <v/>
      </c>
      <c r="J663">
        <f>IF(ISNUMBER(B663),YEAR(B663)*100+MONTH(B663),"")</f>
        <v/>
      </c>
      <c r="K663">
        <f>IF(ISNUMBER(B663),INT(B663),0)</f>
        <v/>
      </c>
      <c r="L663">
        <f>IF(AND(ISNUMBER(D663),N(D663)&gt;0),K663,0)</f>
        <v/>
      </c>
    </row>
    <row r="664">
      <c r="A664" s="1" t="n"/>
      <c r="B664" s="21" t="n"/>
      <c r="C664" s="22" t="n"/>
      <c r="D664" s="46" t="n"/>
      <c r="E664" s="25" t="n"/>
      <c r="F664" s="25" t="n"/>
      <c r="G664" s="17">
        <f>IF(AND(C664="",D664=""),"",IF(NOT(ISNUMBER(B664)),"Needs a date",IF(AND(D664&lt;&gt;"",NOT(ISNUMBER(D664))),"Hours not a number",IF(N(D664)&lt;=0,"Needs the hours",IF(C664="","Needs a name",IF(COUNTIF(Volunteers!$B$6:$B$105,C664)=0,"Not on Volunteers",""))))))</f>
        <v/>
      </c>
      <c r="H664" s="1" t="n"/>
      <c r="I664">
        <f>IF(ISNUMBER(B664),YEAR(B664),"")</f>
        <v/>
      </c>
      <c r="J664">
        <f>IF(ISNUMBER(B664),YEAR(B664)*100+MONTH(B664),"")</f>
        <v/>
      </c>
      <c r="K664">
        <f>IF(ISNUMBER(B664),INT(B664),0)</f>
        <v/>
      </c>
      <c r="L664">
        <f>IF(AND(ISNUMBER(D664),N(D664)&gt;0),K664,0)</f>
        <v/>
      </c>
    </row>
    <row r="665">
      <c r="A665" s="1" t="n"/>
      <c r="B665" s="21" t="n"/>
      <c r="C665" s="22" t="n"/>
      <c r="D665" s="46" t="n"/>
      <c r="E665" s="25" t="n"/>
      <c r="F665" s="25" t="n"/>
      <c r="G665" s="17">
        <f>IF(AND(C665="",D665=""),"",IF(NOT(ISNUMBER(B665)),"Needs a date",IF(AND(D665&lt;&gt;"",NOT(ISNUMBER(D665))),"Hours not a number",IF(N(D665)&lt;=0,"Needs the hours",IF(C665="","Needs a name",IF(COUNTIF(Volunteers!$B$6:$B$105,C665)=0,"Not on Volunteers",""))))))</f>
        <v/>
      </c>
      <c r="H665" s="1" t="n"/>
      <c r="I665">
        <f>IF(ISNUMBER(B665),YEAR(B665),"")</f>
        <v/>
      </c>
      <c r="J665">
        <f>IF(ISNUMBER(B665),YEAR(B665)*100+MONTH(B665),"")</f>
        <v/>
      </c>
      <c r="K665">
        <f>IF(ISNUMBER(B665),INT(B665),0)</f>
        <v/>
      </c>
      <c r="L665">
        <f>IF(AND(ISNUMBER(D665),N(D665)&gt;0),K665,0)</f>
        <v/>
      </c>
    </row>
    <row r="666">
      <c r="A666" s="1" t="n"/>
      <c r="B666" s="21" t="n"/>
      <c r="C666" s="22" t="n"/>
      <c r="D666" s="46" t="n"/>
      <c r="E666" s="25" t="n"/>
      <c r="F666" s="25" t="n"/>
      <c r="G666" s="17">
        <f>IF(AND(C666="",D666=""),"",IF(NOT(ISNUMBER(B666)),"Needs a date",IF(AND(D666&lt;&gt;"",NOT(ISNUMBER(D666))),"Hours not a number",IF(N(D666)&lt;=0,"Needs the hours",IF(C666="","Needs a name",IF(COUNTIF(Volunteers!$B$6:$B$105,C666)=0,"Not on Volunteers",""))))))</f>
        <v/>
      </c>
      <c r="H666" s="1" t="n"/>
      <c r="I666">
        <f>IF(ISNUMBER(B666),YEAR(B666),"")</f>
        <v/>
      </c>
      <c r="J666">
        <f>IF(ISNUMBER(B666),YEAR(B666)*100+MONTH(B666),"")</f>
        <v/>
      </c>
      <c r="K666">
        <f>IF(ISNUMBER(B666),INT(B666),0)</f>
        <v/>
      </c>
      <c r="L666">
        <f>IF(AND(ISNUMBER(D666),N(D666)&gt;0),K666,0)</f>
        <v/>
      </c>
    </row>
    <row r="667">
      <c r="A667" s="1" t="n"/>
      <c r="B667" s="21" t="n"/>
      <c r="C667" s="22" t="n"/>
      <c r="D667" s="46" t="n"/>
      <c r="E667" s="25" t="n"/>
      <c r="F667" s="25" t="n"/>
      <c r="G667" s="17">
        <f>IF(AND(C667="",D667=""),"",IF(NOT(ISNUMBER(B667)),"Needs a date",IF(AND(D667&lt;&gt;"",NOT(ISNUMBER(D667))),"Hours not a number",IF(N(D667)&lt;=0,"Needs the hours",IF(C667="","Needs a name",IF(COUNTIF(Volunteers!$B$6:$B$105,C667)=0,"Not on Volunteers",""))))))</f>
        <v/>
      </c>
      <c r="H667" s="1" t="n"/>
      <c r="I667">
        <f>IF(ISNUMBER(B667),YEAR(B667),"")</f>
        <v/>
      </c>
      <c r="J667">
        <f>IF(ISNUMBER(B667),YEAR(B667)*100+MONTH(B667),"")</f>
        <v/>
      </c>
      <c r="K667">
        <f>IF(ISNUMBER(B667),INT(B667),0)</f>
        <v/>
      </c>
      <c r="L667">
        <f>IF(AND(ISNUMBER(D667),N(D667)&gt;0),K667,0)</f>
        <v/>
      </c>
    </row>
    <row r="668">
      <c r="A668" s="1" t="n"/>
      <c r="B668" s="21" t="n"/>
      <c r="C668" s="22" t="n"/>
      <c r="D668" s="46" t="n"/>
      <c r="E668" s="25" t="n"/>
      <c r="F668" s="25" t="n"/>
      <c r="G668" s="17">
        <f>IF(AND(C668="",D668=""),"",IF(NOT(ISNUMBER(B668)),"Needs a date",IF(AND(D668&lt;&gt;"",NOT(ISNUMBER(D668))),"Hours not a number",IF(N(D668)&lt;=0,"Needs the hours",IF(C668="","Needs a name",IF(COUNTIF(Volunteers!$B$6:$B$105,C668)=0,"Not on Volunteers",""))))))</f>
        <v/>
      </c>
      <c r="H668" s="1" t="n"/>
      <c r="I668">
        <f>IF(ISNUMBER(B668),YEAR(B668),"")</f>
        <v/>
      </c>
      <c r="J668">
        <f>IF(ISNUMBER(B668),YEAR(B668)*100+MONTH(B668),"")</f>
        <v/>
      </c>
      <c r="K668">
        <f>IF(ISNUMBER(B668),INT(B668),0)</f>
        <v/>
      </c>
      <c r="L668">
        <f>IF(AND(ISNUMBER(D668),N(D668)&gt;0),K668,0)</f>
        <v/>
      </c>
    </row>
    <row r="669">
      <c r="A669" s="1" t="n"/>
      <c r="B669" s="21" t="n"/>
      <c r="C669" s="22" t="n"/>
      <c r="D669" s="46" t="n"/>
      <c r="E669" s="25" t="n"/>
      <c r="F669" s="25" t="n"/>
      <c r="G669" s="17">
        <f>IF(AND(C669="",D669=""),"",IF(NOT(ISNUMBER(B669)),"Needs a date",IF(AND(D669&lt;&gt;"",NOT(ISNUMBER(D669))),"Hours not a number",IF(N(D669)&lt;=0,"Needs the hours",IF(C669="","Needs a name",IF(COUNTIF(Volunteers!$B$6:$B$105,C669)=0,"Not on Volunteers",""))))))</f>
        <v/>
      </c>
      <c r="H669" s="1" t="n"/>
      <c r="I669">
        <f>IF(ISNUMBER(B669),YEAR(B669),"")</f>
        <v/>
      </c>
      <c r="J669">
        <f>IF(ISNUMBER(B669),YEAR(B669)*100+MONTH(B669),"")</f>
        <v/>
      </c>
      <c r="K669">
        <f>IF(ISNUMBER(B669),INT(B669),0)</f>
        <v/>
      </c>
      <c r="L669">
        <f>IF(AND(ISNUMBER(D669),N(D669)&gt;0),K669,0)</f>
        <v/>
      </c>
    </row>
    <row r="670">
      <c r="A670" s="1" t="n"/>
      <c r="B670" s="21" t="n"/>
      <c r="C670" s="22" t="n"/>
      <c r="D670" s="46" t="n"/>
      <c r="E670" s="25" t="n"/>
      <c r="F670" s="25" t="n"/>
      <c r="G670" s="17">
        <f>IF(AND(C670="",D670=""),"",IF(NOT(ISNUMBER(B670)),"Needs a date",IF(AND(D670&lt;&gt;"",NOT(ISNUMBER(D670))),"Hours not a number",IF(N(D670)&lt;=0,"Needs the hours",IF(C670="","Needs a name",IF(COUNTIF(Volunteers!$B$6:$B$105,C670)=0,"Not on Volunteers",""))))))</f>
        <v/>
      </c>
      <c r="H670" s="1" t="n"/>
      <c r="I670">
        <f>IF(ISNUMBER(B670),YEAR(B670),"")</f>
        <v/>
      </c>
      <c r="J670">
        <f>IF(ISNUMBER(B670),YEAR(B670)*100+MONTH(B670),"")</f>
        <v/>
      </c>
      <c r="K670">
        <f>IF(ISNUMBER(B670),INT(B670),0)</f>
        <v/>
      </c>
      <c r="L670">
        <f>IF(AND(ISNUMBER(D670),N(D670)&gt;0),K670,0)</f>
        <v/>
      </c>
    </row>
    <row r="671">
      <c r="A671" s="1" t="n"/>
      <c r="B671" s="21" t="n"/>
      <c r="C671" s="22" t="n"/>
      <c r="D671" s="46" t="n"/>
      <c r="E671" s="25" t="n"/>
      <c r="F671" s="25" t="n"/>
      <c r="G671" s="17">
        <f>IF(AND(C671="",D671=""),"",IF(NOT(ISNUMBER(B671)),"Needs a date",IF(AND(D671&lt;&gt;"",NOT(ISNUMBER(D671))),"Hours not a number",IF(N(D671)&lt;=0,"Needs the hours",IF(C671="","Needs a name",IF(COUNTIF(Volunteers!$B$6:$B$105,C671)=0,"Not on Volunteers",""))))))</f>
        <v/>
      </c>
      <c r="H671" s="1" t="n"/>
      <c r="I671">
        <f>IF(ISNUMBER(B671),YEAR(B671),"")</f>
        <v/>
      </c>
      <c r="J671">
        <f>IF(ISNUMBER(B671),YEAR(B671)*100+MONTH(B671),"")</f>
        <v/>
      </c>
      <c r="K671">
        <f>IF(ISNUMBER(B671),INT(B671),0)</f>
        <v/>
      </c>
      <c r="L671">
        <f>IF(AND(ISNUMBER(D671),N(D671)&gt;0),K671,0)</f>
        <v/>
      </c>
    </row>
    <row r="672">
      <c r="A672" s="1" t="n"/>
      <c r="B672" s="21" t="n"/>
      <c r="C672" s="22" t="n"/>
      <c r="D672" s="46" t="n"/>
      <c r="E672" s="25" t="n"/>
      <c r="F672" s="25" t="n"/>
      <c r="G672" s="17">
        <f>IF(AND(C672="",D672=""),"",IF(NOT(ISNUMBER(B672)),"Needs a date",IF(AND(D672&lt;&gt;"",NOT(ISNUMBER(D672))),"Hours not a number",IF(N(D672)&lt;=0,"Needs the hours",IF(C672="","Needs a name",IF(COUNTIF(Volunteers!$B$6:$B$105,C672)=0,"Not on Volunteers",""))))))</f>
        <v/>
      </c>
      <c r="H672" s="1" t="n"/>
      <c r="I672">
        <f>IF(ISNUMBER(B672),YEAR(B672),"")</f>
        <v/>
      </c>
      <c r="J672">
        <f>IF(ISNUMBER(B672),YEAR(B672)*100+MONTH(B672),"")</f>
        <v/>
      </c>
      <c r="K672">
        <f>IF(ISNUMBER(B672),INT(B672),0)</f>
        <v/>
      </c>
      <c r="L672">
        <f>IF(AND(ISNUMBER(D672),N(D672)&gt;0),K672,0)</f>
        <v/>
      </c>
    </row>
    <row r="673">
      <c r="A673" s="1" t="n"/>
      <c r="B673" s="21" t="n"/>
      <c r="C673" s="22" t="n"/>
      <c r="D673" s="46" t="n"/>
      <c r="E673" s="25" t="n"/>
      <c r="F673" s="25" t="n"/>
      <c r="G673" s="17">
        <f>IF(AND(C673="",D673=""),"",IF(NOT(ISNUMBER(B673)),"Needs a date",IF(AND(D673&lt;&gt;"",NOT(ISNUMBER(D673))),"Hours not a number",IF(N(D673)&lt;=0,"Needs the hours",IF(C673="","Needs a name",IF(COUNTIF(Volunteers!$B$6:$B$105,C673)=0,"Not on Volunteers",""))))))</f>
        <v/>
      </c>
      <c r="H673" s="1" t="n"/>
      <c r="I673">
        <f>IF(ISNUMBER(B673),YEAR(B673),"")</f>
        <v/>
      </c>
      <c r="J673">
        <f>IF(ISNUMBER(B673),YEAR(B673)*100+MONTH(B673),"")</f>
        <v/>
      </c>
      <c r="K673">
        <f>IF(ISNUMBER(B673),INT(B673),0)</f>
        <v/>
      </c>
      <c r="L673">
        <f>IF(AND(ISNUMBER(D673),N(D673)&gt;0),K673,0)</f>
        <v/>
      </c>
    </row>
    <row r="674">
      <c r="A674" s="1" t="n"/>
      <c r="B674" s="21" t="n"/>
      <c r="C674" s="22" t="n"/>
      <c r="D674" s="46" t="n"/>
      <c r="E674" s="25" t="n"/>
      <c r="F674" s="25" t="n"/>
      <c r="G674" s="17">
        <f>IF(AND(C674="",D674=""),"",IF(NOT(ISNUMBER(B674)),"Needs a date",IF(AND(D674&lt;&gt;"",NOT(ISNUMBER(D674))),"Hours not a number",IF(N(D674)&lt;=0,"Needs the hours",IF(C674="","Needs a name",IF(COUNTIF(Volunteers!$B$6:$B$105,C674)=0,"Not on Volunteers",""))))))</f>
        <v/>
      </c>
      <c r="H674" s="1" t="n"/>
      <c r="I674">
        <f>IF(ISNUMBER(B674),YEAR(B674),"")</f>
        <v/>
      </c>
      <c r="J674">
        <f>IF(ISNUMBER(B674),YEAR(B674)*100+MONTH(B674),"")</f>
        <v/>
      </c>
      <c r="K674">
        <f>IF(ISNUMBER(B674),INT(B674),0)</f>
        <v/>
      </c>
      <c r="L674">
        <f>IF(AND(ISNUMBER(D674),N(D674)&gt;0),K674,0)</f>
        <v/>
      </c>
    </row>
    <row r="675">
      <c r="A675" s="1" t="n"/>
      <c r="B675" s="21" t="n"/>
      <c r="C675" s="22" t="n"/>
      <c r="D675" s="46" t="n"/>
      <c r="E675" s="25" t="n"/>
      <c r="F675" s="25" t="n"/>
      <c r="G675" s="17">
        <f>IF(AND(C675="",D675=""),"",IF(NOT(ISNUMBER(B675)),"Needs a date",IF(AND(D675&lt;&gt;"",NOT(ISNUMBER(D675))),"Hours not a number",IF(N(D675)&lt;=0,"Needs the hours",IF(C675="","Needs a name",IF(COUNTIF(Volunteers!$B$6:$B$105,C675)=0,"Not on Volunteers",""))))))</f>
        <v/>
      </c>
      <c r="H675" s="1" t="n"/>
      <c r="I675">
        <f>IF(ISNUMBER(B675),YEAR(B675),"")</f>
        <v/>
      </c>
      <c r="J675">
        <f>IF(ISNUMBER(B675),YEAR(B675)*100+MONTH(B675),"")</f>
        <v/>
      </c>
      <c r="K675">
        <f>IF(ISNUMBER(B675),INT(B675),0)</f>
        <v/>
      </c>
      <c r="L675">
        <f>IF(AND(ISNUMBER(D675),N(D675)&gt;0),K675,0)</f>
        <v/>
      </c>
    </row>
    <row r="676">
      <c r="A676" s="1" t="n"/>
      <c r="B676" s="21" t="n"/>
      <c r="C676" s="22" t="n"/>
      <c r="D676" s="46" t="n"/>
      <c r="E676" s="25" t="n"/>
      <c r="F676" s="25" t="n"/>
      <c r="G676" s="17">
        <f>IF(AND(C676="",D676=""),"",IF(NOT(ISNUMBER(B676)),"Needs a date",IF(AND(D676&lt;&gt;"",NOT(ISNUMBER(D676))),"Hours not a number",IF(N(D676)&lt;=0,"Needs the hours",IF(C676="","Needs a name",IF(COUNTIF(Volunteers!$B$6:$B$105,C676)=0,"Not on Volunteers",""))))))</f>
        <v/>
      </c>
      <c r="H676" s="1" t="n"/>
      <c r="I676">
        <f>IF(ISNUMBER(B676),YEAR(B676),"")</f>
        <v/>
      </c>
      <c r="J676">
        <f>IF(ISNUMBER(B676),YEAR(B676)*100+MONTH(B676),"")</f>
        <v/>
      </c>
      <c r="K676">
        <f>IF(ISNUMBER(B676),INT(B676),0)</f>
        <v/>
      </c>
      <c r="L676">
        <f>IF(AND(ISNUMBER(D676),N(D676)&gt;0),K676,0)</f>
        <v/>
      </c>
    </row>
    <row r="677">
      <c r="A677" s="1" t="n"/>
      <c r="B677" s="21" t="n"/>
      <c r="C677" s="22" t="n"/>
      <c r="D677" s="46" t="n"/>
      <c r="E677" s="25" t="n"/>
      <c r="F677" s="25" t="n"/>
      <c r="G677" s="17">
        <f>IF(AND(C677="",D677=""),"",IF(NOT(ISNUMBER(B677)),"Needs a date",IF(AND(D677&lt;&gt;"",NOT(ISNUMBER(D677))),"Hours not a number",IF(N(D677)&lt;=0,"Needs the hours",IF(C677="","Needs a name",IF(COUNTIF(Volunteers!$B$6:$B$105,C677)=0,"Not on Volunteers",""))))))</f>
        <v/>
      </c>
      <c r="H677" s="1" t="n"/>
      <c r="I677">
        <f>IF(ISNUMBER(B677),YEAR(B677),"")</f>
        <v/>
      </c>
      <c r="J677">
        <f>IF(ISNUMBER(B677),YEAR(B677)*100+MONTH(B677),"")</f>
        <v/>
      </c>
      <c r="K677">
        <f>IF(ISNUMBER(B677),INT(B677),0)</f>
        <v/>
      </c>
      <c r="L677">
        <f>IF(AND(ISNUMBER(D677),N(D677)&gt;0),K677,0)</f>
        <v/>
      </c>
    </row>
    <row r="678">
      <c r="A678" s="1" t="n"/>
      <c r="B678" s="21" t="n"/>
      <c r="C678" s="22" t="n"/>
      <c r="D678" s="46" t="n"/>
      <c r="E678" s="25" t="n"/>
      <c r="F678" s="25" t="n"/>
      <c r="G678" s="17">
        <f>IF(AND(C678="",D678=""),"",IF(NOT(ISNUMBER(B678)),"Needs a date",IF(AND(D678&lt;&gt;"",NOT(ISNUMBER(D678))),"Hours not a number",IF(N(D678)&lt;=0,"Needs the hours",IF(C678="","Needs a name",IF(COUNTIF(Volunteers!$B$6:$B$105,C678)=0,"Not on Volunteers",""))))))</f>
        <v/>
      </c>
      <c r="H678" s="1" t="n"/>
      <c r="I678">
        <f>IF(ISNUMBER(B678),YEAR(B678),"")</f>
        <v/>
      </c>
      <c r="J678">
        <f>IF(ISNUMBER(B678),YEAR(B678)*100+MONTH(B678),"")</f>
        <v/>
      </c>
      <c r="K678">
        <f>IF(ISNUMBER(B678),INT(B678),0)</f>
        <v/>
      </c>
      <c r="L678">
        <f>IF(AND(ISNUMBER(D678),N(D678)&gt;0),K678,0)</f>
        <v/>
      </c>
    </row>
    <row r="679">
      <c r="A679" s="1" t="n"/>
      <c r="B679" s="21" t="n"/>
      <c r="C679" s="22" t="n"/>
      <c r="D679" s="46" t="n"/>
      <c r="E679" s="25" t="n"/>
      <c r="F679" s="25" t="n"/>
      <c r="G679" s="17">
        <f>IF(AND(C679="",D679=""),"",IF(NOT(ISNUMBER(B679)),"Needs a date",IF(AND(D679&lt;&gt;"",NOT(ISNUMBER(D679))),"Hours not a number",IF(N(D679)&lt;=0,"Needs the hours",IF(C679="","Needs a name",IF(COUNTIF(Volunteers!$B$6:$B$105,C679)=0,"Not on Volunteers",""))))))</f>
        <v/>
      </c>
      <c r="H679" s="1" t="n"/>
      <c r="I679">
        <f>IF(ISNUMBER(B679),YEAR(B679),"")</f>
        <v/>
      </c>
      <c r="J679">
        <f>IF(ISNUMBER(B679),YEAR(B679)*100+MONTH(B679),"")</f>
        <v/>
      </c>
      <c r="K679">
        <f>IF(ISNUMBER(B679),INT(B679),0)</f>
        <v/>
      </c>
      <c r="L679">
        <f>IF(AND(ISNUMBER(D679),N(D679)&gt;0),K679,0)</f>
        <v/>
      </c>
    </row>
    <row r="680">
      <c r="A680" s="1" t="n"/>
      <c r="B680" s="21" t="n"/>
      <c r="C680" s="22" t="n"/>
      <c r="D680" s="46" t="n"/>
      <c r="E680" s="25" t="n"/>
      <c r="F680" s="25" t="n"/>
      <c r="G680" s="17">
        <f>IF(AND(C680="",D680=""),"",IF(NOT(ISNUMBER(B680)),"Needs a date",IF(AND(D680&lt;&gt;"",NOT(ISNUMBER(D680))),"Hours not a number",IF(N(D680)&lt;=0,"Needs the hours",IF(C680="","Needs a name",IF(COUNTIF(Volunteers!$B$6:$B$105,C680)=0,"Not on Volunteers",""))))))</f>
        <v/>
      </c>
      <c r="H680" s="1" t="n"/>
      <c r="I680">
        <f>IF(ISNUMBER(B680),YEAR(B680),"")</f>
        <v/>
      </c>
      <c r="J680">
        <f>IF(ISNUMBER(B680),YEAR(B680)*100+MONTH(B680),"")</f>
        <v/>
      </c>
      <c r="K680">
        <f>IF(ISNUMBER(B680),INT(B680),0)</f>
        <v/>
      </c>
      <c r="L680">
        <f>IF(AND(ISNUMBER(D680),N(D680)&gt;0),K680,0)</f>
        <v/>
      </c>
    </row>
    <row r="681">
      <c r="A681" s="1" t="n"/>
      <c r="B681" s="21" t="n"/>
      <c r="C681" s="22" t="n"/>
      <c r="D681" s="46" t="n"/>
      <c r="E681" s="25" t="n"/>
      <c r="F681" s="25" t="n"/>
      <c r="G681" s="17">
        <f>IF(AND(C681="",D681=""),"",IF(NOT(ISNUMBER(B681)),"Needs a date",IF(AND(D681&lt;&gt;"",NOT(ISNUMBER(D681))),"Hours not a number",IF(N(D681)&lt;=0,"Needs the hours",IF(C681="","Needs a name",IF(COUNTIF(Volunteers!$B$6:$B$105,C681)=0,"Not on Volunteers",""))))))</f>
        <v/>
      </c>
      <c r="H681" s="1" t="n"/>
      <c r="I681">
        <f>IF(ISNUMBER(B681),YEAR(B681),"")</f>
        <v/>
      </c>
      <c r="J681">
        <f>IF(ISNUMBER(B681),YEAR(B681)*100+MONTH(B681),"")</f>
        <v/>
      </c>
      <c r="K681">
        <f>IF(ISNUMBER(B681),INT(B681),0)</f>
        <v/>
      </c>
      <c r="L681">
        <f>IF(AND(ISNUMBER(D681),N(D681)&gt;0),K681,0)</f>
        <v/>
      </c>
    </row>
    <row r="682">
      <c r="A682" s="1" t="n"/>
      <c r="B682" s="21" t="n"/>
      <c r="C682" s="22" t="n"/>
      <c r="D682" s="46" t="n"/>
      <c r="E682" s="25" t="n"/>
      <c r="F682" s="25" t="n"/>
      <c r="G682" s="17">
        <f>IF(AND(C682="",D682=""),"",IF(NOT(ISNUMBER(B682)),"Needs a date",IF(AND(D682&lt;&gt;"",NOT(ISNUMBER(D682))),"Hours not a number",IF(N(D682)&lt;=0,"Needs the hours",IF(C682="","Needs a name",IF(COUNTIF(Volunteers!$B$6:$B$105,C682)=0,"Not on Volunteers",""))))))</f>
        <v/>
      </c>
      <c r="H682" s="1" t="n"/>
      <c r="I682">
        <f>IF(ISNUMBER(B682),YEAR(B682),"")</f>
        <v/>
      </c>
      <c r="J682">
        <f>IF(ISNUMBER(B682),YEAR(B682)*100+MONTH(B682),"")</f>
        <v/>
      </c>
      <c r="K682">
        <f>IF(ISNUMBER(B682),INT(B682),0)</f>
        <v/>
      </c>
      <c r="L682">
        <f>IF(AND(ISNUMBER(D682),N(D682)&gt;0),K682,0)</f>
        <v/>
      </c>
    </row>
    <row r="683">
      <c r="A683" s="1" t="n"/>
      <c r="B683" s="21" t="n"/>
      <c r="C683" s="22" t="n"/>
      <c r="D683" s="46" t="n"/>
      <c r="E683" s="25" t="n"/>
      <c r="F683" s="25" t="n"/>
      <c r="G683" s="17">
        <f>IF(AND(C683="",D683=""),"",IF(NOT(ISNUMBER(B683)),"Needs a date",IF(AND(D683&lt;&gt;"",NOT(ISNUMBER(D683))),"Hours not a number",IF(N(D683)&lt;=0,"Needs the hours",IF(C683="","Needs a name",IF(COUNTIF(Volunteers!$B$6:$B$105,C683)=0,"Not on Volunteers",""))))))</f>
        <v/>
      </c>
      <c r="H683" s="1" t="n"/>
      <c r="I683">
        <f>IF(ISNUMBER(B683),YEAR(B683),"")</f>
        <v/>
      </c>
      <c r="J683">
        <f>IF(ISNUMBER(B683),YEAR(B683)*100+MONTH(B683),"")</f>
        <v/>
      </c>
      <c r="K683">
        <f>IF(ISNUMBER(B683),INT(B683),0)</f>
        <v/>
      </c>
      <c r="L683">
        <f>IF(AND(ISNUMBER(D683),N(D683)&gt;0),K683,0)</f>
        <v/>
      </c>
    </row>
    <row r="684">
      <c r="A684" s="1" t="n"/>
      <c r="B684" s="21" t="n"/>
      <c r="C684" s="22" t="n"/>
      <c r="D684" s="46" t="n"/>
      <c r="E684" s="25" t="n"/>
      <c r="F684" s="25" t="n"/>
      <c r="G684" s="17">
        <f>IF(AND(C684="",D684=""),"",IF(NOT(ISNUMBER(B684)),"Needs a date",IF(AND(D684&lt;&gt;"",NOT(ISNUMBER(D684))),"Hours not a number",IF(N(D684)&lt;=0,"Needs the hours",IF(C684="","Needs a name",IF(COUNTIF(Volunteers!$B$6:$B$105,C684)=0,"Not on Volunteers",""))))))</f>
        <v/>
      </c>
      <c r="H684" s="1" t="n"/>
      <c r="I684">
        <f>IF(ISNUMBER(B684),YEAR(B684),"")</f>
        <v/>
      </c>
      <c r="J684">
        <f>IF(ISNUMBER(B684),YEAR(B684)*100+MONTH(B684),"")</f>
        <v/>
      </c>
      <c r="K684">
        <f>IF(ISNUMBER(B684),INT(B684),0)</f>
        <v/>
      </c>
      <c r="L684">
        <f>IF(AND(ISNUMBER(D684),N(D684)&gt;0),K684,0)</f>
        <v/>
      </c>
    </row>
    <row r="685">
      <c r="A685" s="1" t="n"/>
      <c r="B685" s="21" t="n"/>
      <c r="C685" s="22" t="n"/>
      <c r="D685" s="46" t="n"/>
      <c r="E685" s="25" t="n"/>
      <c r="F685" s="25" t="n"/>
      <c r="G685" s="17">
        <f>IF(AND(C685="",D685=""),"",IF(NOT(ISNUMBER(B685)),"Needs a date",IF(AND(D685&lt;&gt;"",NOT(ISNUMBER(D685))),"Hours not a number",IF(N(D685)&lt;=0,"Needs the hours",IF(C685="","Needs a name",IF(COUNTIF(Volunteers!$B$6:$B$105,C685)=0,"Not on Volunteers",""))))))</f>
        <v/>
      </c>
      <c r="H685" s="1" t="n"/>
      <c r="I685">
        <f>IF(ISNUMBER(B685),YEAR(B685),"")</f>
        <v/>
      </c>
      <c r="J685">
        <f>IF(ISNUMBER(B685),YEAR(B685)*100+MONTH(B685),"")</f>
        <v/>
      </c>
      <c r="K685">
        <f>IF(ISNUMBER(B685),INT(B685),0)</f>
        <v/>
      </c>
      <c r="L685">
        <f>IF(AND(ISNUMBER(D685),N(D685)&gt;0),K685,0)</f>
        <v/>
      </c>
    </row>
    <row r="686">
      <c r="A686" s="1" t="n"/>
      <c r="B686" s="21" t="n"/>
      <c r="C686" s="22" t="n"/>
      <c r="D686" s="46" t="n"/>
      <c r="E686" s="25" t="n"/>
      <c r="F686" s="25" t="n"/>
      <c r="G686" s="17">
        <f>IF(AND(C686="",D686=""),"",IF(NOT(ISNUMBER(B686)),"Needs a date",IF(AND(D686&lt;&gt;"",NOT(ISNUMBER(D686))),"Hours not a number",IF(N(D686)&lt;=0,"Needs the hours",IF(C686="","Needs a name",IF(COUNTIF(Volunteers!$B$6:$B$105,C686)=0,"Not on Volunteers",""))))))</f>
        <v/>
      </c>
      <c r="H686" s="1" t="n"/>
      <c r="I686">
        <f>IF(ISNUMBER(B686),YEAR(B686),"")</f>
        <v/>
      </c>
      <c r="J686">
        <f>IF(ISNUMBER(B686),YEAR(B686)*100+MONTH(B686),"")</f>
        <v/>
      </c>
      <c r="K686">
        <f>IF(ISNUMBER(B686),INT(B686),0)</f>
        <v/>
      </c>
      <c r="L686">
        <f>IF(AND(ISNUMBER(D686),N(D686)&gt;0),K686,0)</f>
        <v/>
      </c>
    </row>
    <row r="687">
      <c r="A687" s="1" t="n"/>
      <c r="B687" s="21" t="n"/>
      <c r="C687" s="22" t="n"/>
      <c r="D687" s="46" t="n"/>
      <c r="E687" s="25" t="n"/>
      <c r="F687" s="25" t="n"/>
      <c r="G687" s="17">
        <f>IF(AND(C687="",D687=""),"",IF(NOT(ISNUMBER(B687)),"Needs a date",IF(AND(D687&lt;&gt;"",NOT(ISNUMBER(D687))),"Hours not a number",IF(N(D687)&lt;=0,"Needs the hours",IF(C687="","Needs a name",IF(COUNTIF(Volunteers!$B$6:$B$105,C687)=0,"Not on Volunteers",""))))))</f>
        <v/>
      </c>
      <c r="H687" s="1" t="n"/>
      <c r="I687">
        <f>IF(ISNUMBER(B687),YEAR(B687),"")</f>
        <v/>
      </c>
      <c r="J687">
        <f>IF(ISNUMBER(B687),YEAR(B687)*100+MONTH(B687),"")</f>
        <v/>
      </c>
      <c r="K687">
        <f>IF(ISNUMBER(B687),INT(B687),0)</f>
        <v/>
      </c>
      <c r="L687">
        <f>IF(AND(ISNUMBER(D687),N(D687)&gt;0),K687,0)</f>
        <v/>
      </c>
    </row>
    <row r="688">
      <c r="A688" s="1" t="n"/>
      <c r="B688" s="21" t="n"/>
      <c r="C688" s="22" t="n"/>
      <c r="D688" s="46" t="n"/>
      <c r="E688" s="25" t="n"/>
      <c r="F688" s="25" t="n"/>
      <c r="G688" s="17">
        <f>IF(AND(C688="",D688=""),"",IF(NOT(ISNUMBER(B688)),"Needs a date",IF(AND(D688&lt;&gt;"",NOT(ISNUMBER(D688))),"Hours not a number",IF(N(D688)&lt;=0,"Needs the hours",IF(C688="","Needs a name",IF(COUNTIF(Volunteers!$B$6:$B$105,C688)=0,"Not on Volunteers",""))))))</f>
        <v/>
      </c>
      <c r="H688" s="1" t="n"/>
      <c r="I688">
        <f>IF(ISNUMBER(B688),YEAR(B688),"")</f>
        <v/>
      </c>
      <c r="J688">
        <f>IF(ISNUMBER(B688),YEAR(B688)*100+MONTH(B688),"")</f>
        <v/>
      </c>
      <c r="K688">
        <f>IF(ISNUMBER(B688),INT(B688),0)</f>
        <v/>
      </c>
      <c r="L688">
        <f>IF(AND(ISNUMBER(D688),N(D688)&gt;0),K688,0)</f>
        <v/>
      </c>
    </row>
    <row r="689">
      <c r="A689" s="1" t="n"/>
      <c r="B689" s="21" t="n"/>
      <c r="C689" s="22" t="n"/>
      <c r="D689" s="46" t="n"/>
      <c r="E689" s="25" t="n"/>
      <c r="F689" s="25" t="n"/>
      <c r="G689" s="17">
        <f>IF(AND(C689="",D689=""),"",IF(NOT(ISNUMBER(B689)),"Needs a date",IF(AND(D689&lt;&gt;"",NOT(ISNUMBER(D689))),"Hours not a number",IF(N(D689)&lt;=0,"Needs the hours",IF(C689="","Needs a name",IF(COUNTIF(Volunteers!$B$6:$B$105,C689)=0,"Not on Volunteers",""))))))</f>
        <v/>
      </c>
      <c r="H689" s="1" t="n"/>
      <c r="I689">
        <f>IF(ISNUMBER(B689),YEAR(B689),"")</f>
        <v/>
      </c>
      <c r="J689">
        <f>IF(ISNUMBER(B689),YEAR(B689)*100+MONTH(B689),"")</f>
        <v/>
      </c>
      <c r="K689">
        <f>IF(ISNUMBER(B689),INT(B689),0)</f>
        <v/>
      </c>
      <c r="L689">
        <f>IF(AND(ISNUMBER(D689),N(D689)&gt;0),K689,0)</f>
        <v/>
      </c>
    </row>
    <row r="690">
      <c r="A690" s="1" t="n"/>
      <c r="B690" s="21" t="n"/>
      <c r="C690" s="22" t="n"/>
      <c r="D690" s="46" t="n"/>
      <c r="E690" s="25" t="n"/>
      <c r="F690" s="25" t="n"/>
      <c r="G690" s="17">
        <f>IF(AND(C690="",D690=""),"",IF(NOT(ISNUMBER(B690)),"Needs a date",IF(AND(D690&lt;&gt;"",NOT(ISNUMBER(D690))),"Hours not a number",IF(N(D690)&lt;=0,"Needs the hours",IF(C690="","Needs a name",IF(COUNTIF(Volunteers!$B$6:$B$105,C690)=0,"Not on Volunteers",""))))))</f>
        <v/>
      </c>
      <c r="H690" s="1" t="n"/>
      <c r="I690">
        <f>IF(ISNUMBER(B690),YEAR(B690),"")</f>
        <v/>
      </c>
      <c r="J690">
        <f>IF(ISNUMBER(B690),YEAR(B690)*100+MONTH(B690),"")</f>
        <v/>
      </c>
      <c r="K690">
        <f>IF(ISNUMBER(B690),INT(B690),0)</f>
        <v/>
      </c>
      <c r="L690">
        <f>IF(AND(ISNUMBER(D690),N(D690)&gt;0),K690,0)</f>
        <v/>
      </c>
    </row>
    <row r="691">
      <c r="A691" s="1" t="n"/>
      <c r="B691" s="21" t="n"/>
      <c r="C691" s="22" t="n"/>
      <c r="D691" s="46" t="n"/>
      <c r="E691" s="25" t="n"/>
      <c r="F691" s="25" t="n"/>
      <c r="G691" s="17">
        <f>IF(AND(C691="",D691=""),"",IF(NOT(ISNUMBER(B691)),"Needs a date",IF(AND(D691&lt;&gt;"",NOT(ISNUMBER(D691))),"Hours not a number",IF(N(D691)&lt;=0,"Needs the hours",IF(C691="","Needs a name",IF(COUNTIF(Volunteers!$B$6:$B$105,C691)=0,"Not on Volunteers",""))))))</f>
        <v/>
      </c>
      <c r="H691" s="1" t="n"/>
      <c r="I691">
        <f>IF(ISNUMBER(B691),YEAR(B691),"")</f>
        <v/>
      </c>
      <c r="J691">
        <f>IF(ISNUMBER(B691),YEAR(B691)*100+MONTH(B691),"")</f>
        <v/>
      </c>
      <c r="K691">
        <f>IF(ISNUMBER(B691),INT(B691),0)</f>
        <v/>
      </c>
      <c r="L691">
        <f>IF(AND(ISNUMBER(D691),N(D691)&gt;0),K691,0)</f>
        <v/>
      </c>
    </row>
    <row r="692">
      <c r="A692" s="1" t="n"/>
      <c r="B692" s="21" t="n"/>
      <c r="C692" s="22" t="n"/>
      <c r="D692" s="46" t="n"/>
      <c r="E692" s="25" t="n"/>
      <c r="F692" s="25" t="n"/>
      <c r="G692" s="17">
        <f>IF(AND(C692="",D692=""),"",IF(NOT(ISNUMBER(B692)),"Needs a date",IF(AND(D692&lt;&gt;"",NOT(ISNUMBER(D692))),"Hours not a number",IF(N(D692)&lt;=0,"Needs the hours",IF(C692="","Needs a name",IF(COUNTIF(Volunteers!$B$6:$B$105,C692)=0,"Not on Volunteers",""))))))</f>
        <v/>
      </c>
      <c r="H692" s="1" t="n"/>
      <c r="I692">
        <f>IF(ISNUMBER(B692),YEAR(B692),"")</f>
        <v/>
      </c>
      <c r="J692">
        <f>IF(ISNUMBER(B692),YEAR(B692)*100+MONTH(B692),"")</f>
        <v/>
      </c>
      <c r="K692">
        <f>IF(ISNUMBER(B692),INT(B692),0)</f>
        <v/>
      </c>
      <c r="L692">
        <f>IF(AND(ISNUMBER(D692),N(D692)&gt;0),K692,0)</f>
        <v/>
      </c>
    </row>
    <row r="693">
      <c r="A693" s="1" t="n"/>
      <c r="B693" s="21" t="n"/>
      <c r="C693" s="22" t="n"/>
      <c r="D693" s="46" t="n"/>
      <c r="E693" s="25" t="n"/>
      <c r="F693" s="25" t="n"/>
      <c r="G693" s="17">
        <f>IF(AND(C693="",D693=""),"",IF(NOT(ISNUMBER(B693)),"Needs a date",IF(AND(D693&lt;&gt;"",NOT(ISNUMBER(D693))),"Hours not a number",IF(N(D693)&lt;=0,"Needs the hours",IF(C693="","Needs a name",IF(COUNTIF(Volunteers!$B$6:$B$105,C693)=0,"Not on Volunteers",""))))))</f>
        <v/>
      </c>
      <c r="H693" s="1" t="n"/>
      <c r="I693">
        <f>IF(ISNUMBER(B693),YEAR(B693),"")</f>
        <v/>
      </c>
      <c r="J693">
        <f>IF(ISNUMBER(B693),YEAR(B693)*100+MONTH(B693),"")</f>
        <v/>
      </c>
      <c r="K693">
        <f>IF(ISNUMBER(B693),INT(B693),0)</f>
        <v/>
      </c>
      <c r="L693">
        <f>IF(AND(ISNUMBER(D693),N(D693)&gt;0),K693,0)</f>
        <v/>
      </c>
    </row>
    <row r="694">
      <c r="A694" s="1" t="n"/>
      <c r="B694" s="21" t="n"/>
      <c r="C694" s="22" t="n"/>
      <c r="D694" s="46" t="n"/>
      <c r="E694" s="25" t="n"/>
      <c r="F694" s="25" t="n"/>
      <c r="G694" s="17">
        <f>IF(AND(C694="",D694=""),"",IF(NOT(ISNUMBER(B694)),"Needs a date",IF(AND(D694&lt;&gt;"",NOT(ISNUMBER(D694))),"Hours not a number",IF(N(D694)&lt;=0,"Needs the hours",IF(C694="","Needs a name",IF(COUNTIF(Volunteers!$B$6:$B$105,C694)=0,"Not on Volunteers",""))))))</f>
        <v/>
      </c>
      <c r="H694" s="1" t="n"/>
      <c r="I694">
        <f>IF(ISNUMBER(B694),YEAR(B694),"")</f>
        <v/>
      </c>
      <c r="J694">
        <f>IF(ISNUMBER(B694),YEAR(B694)*100+MONTH(B694),"")</f>
        <v/>
      </c>
      <c r="K694">
        <f>IF(ISNUMBER(B694),INT(B694),0)</f>
        <v/>
      </c>
      <c r="L694">
        <f>IF(AND(ISNUMBER(D694),N(D694)&gt;0),K694,0)</f>
        <v/>
      </c>
    </row>
    <row r="695">
      <c r="A695" s="1" t="n"/>
      <c r="B695" s="21" t="n"/>
      <c r="C695" s="22" t="n"/>
      <c r="D695" s="46" t="n"/>
      <c r="E695" s="25" t="n"/>
      <c r="F695" s="25" t="n"/>
      <c r="G695" s="17">
        <f>IF(AND(C695="",D695=""),"",IF(NOT(ISNUMBER(B695)),"Needs a date",IF(AND(D695&lt;&gt;"",NOT(ISNUMBER(D695))),"Hours not a number",IF(N(D695)&lt;=0,"Needs the hours",IF(C695="","Needs a name",IF(COUNTIF(Volunteers!$B$6:$B$105,C695)=0,"Not on Volunteers",""))))))</f>
        <v/>
      </c>
      <c r="H695" s="1" t="n"/>
      <c r="I695">
        <f>IF(ISNUMBER(B695),YEAR(B695),"")</f>
        <v/>
      </c>
      <c r="J695">
        <f>IF(ISNUMBER(B695),YEAR(B695)*100+MONTH(B695),"")</f>
        <v/>
      </c>
      <c r="K695">
        <f>IF(ISNUMBER(B695),INT(B695),0)</f>
        <v/>
      </c>
      <c r="L695">
        <f>IF(AND(ISNUMBER(D695),N(D695)&gt;0),K695,0)</f>
        <v/>
      </c>
    </row>
    <row r="696">
      <c r="A696" s="1" t="n"/>
      <c r="B696" s="21" t="n"/>
      <c r="C696" s="22" t="n"/>
      <c r="D696" s="46" t="n"/>
      <c r="E696" s="25" t="n"/>
      <c r="F696" s="25" t="n"/>
      <c r="G696" s="17">
        <f>IF(AND(C696="",D696=""),"",IF(NOT(ISNUMBER(B696)),"Needs a date",IF(AND(D696&lt;&gt;"",NOT(ISNUMBER(D696))),"Hours not a number",IF(N(D696)&lt;=0,"Needs the hours",IF(C696="","Needs a name",IF(COUNTIF(Volunteers!$B$6:$B$105,C696)=0,"Not on Volunteers",""))))))</f>
        <v/>
      </c>
      <c r="H696" s="1" t="n"/>
      <c r="I696">
        <f>IF(ISNUMBER(B696),YEAR(B696),"")</f>
        <v/>
      </c>
      <c r="J696">
        <f>IF(ISNUMBER(B696),YEAR(B696)*100+MONTH(B696),"")</f>
        <v/>
      </c>
      <c r="K696">
        <f>IF(ISNUMBER(B696),INT(B696),0)</f>
        <v/>
      </c>
      <c r="L696">
        <f>IF(AND(ISNUMBER(D696),N(D696)&gt;0),K696,0)</f>
        <v/>
      </c>
    </row>
    <row r="697">
      <c r="A697" s="1" t="n"/>
      <c r="B697" s="21" t="n"/>
      <c r="C697" s="22" t="n"/>
      <c r="D697" s="46" t="n"/>
      <c r="E697" s="25" t="n"/>
      <c r="F697" s="25" t="n"/>
      <c r="G697" s="17">
        <f>IF(AND(C697="",D697=""),"",IF(NOT(ISNUMBER(B697)),"Needs a date",IF(AND(D697&lt;&gt;"",NOT(ISNUMBER(D697))),"Hours not a number",IF(N(D697)&lt;=0,"Needs the hours",IF(C697="","Needs a name",IF(COUNTIF(Volunteers!$B$6:$B$105,C697)=0,"Not on Volunteers",""))))))</f>
        <v/>
      </c>
      <c r="H697" s="1" t="n"/>
      <c r="I697">
        <f>IF(ISNUMBER(B697),YEAR(B697),"")</f>
        <v/>
      </c>
      <c r="J697">
        <f>IF(ISNUMBER(B697),YEAR(B697)*100+MONTH(B697),"")</f>
        <v/>
      </c>
      <c r="K697">
        <f>IF(ISNUMBER(B697),INT(B697),0)</f>
        <v/>
      </c>
      <c r="L697">
        <f>IF(AND(ISNUMBER(D697),N(D697)&gt;0),K697,0)</f>
        <v/>
      </c>
    </row>
    <row r="698">
      <c r="A698" s="1" t="n"/>
      <c r="B698" s="21" t="n"/>
      <c r="C698" s="22" t="n"/>
      <c r="D698" s="46" t="n"/>
      <c r="E698" s="25" t="n"/>
      <c r="F698" s="25" t="n"/>
      <c r="G698" s="17">
        <f>IF(AND(C698="",D698=""),"",IF(NOT(ISNUMBER(B698)),"Needs a date",IF(AND(D698&lt;&gt;"",NOT(ISNUMBER(D698))),"Hours not a number",IF(N(D698)&lt;=0,"Needs the hours",IF(C698="","Needs a name",IF(COUNTIF(Volunteers!$B$6:$B$105,C698)=0,"Not on Volunteers",""))))))</f>
        <v/>
      </c>
      <c r="H698" s="1" t="n"/>
      <c r="I698">
        <f>IF(ISNUMBER(B698),YEAR(B698),"")</f>
        <v/>
      </c>
      <c r="J698">
        <f>IF(ISNUMBER(B698),YEAR(B698)*100+MONTH(B698),"")</f>
        <v/>
      </c>
      <c r="K698">
        <f>IF(ISNUMBER(B698),INT(B698),0)</f>
        <v/>
      </c>
      <c r="L698">
        <f>IF(AND(ISNUMBER(D698),N(D698)&gt;0),K698,0)</f>
        <v/>
      </c>
    </row>
    <row r="699">
      <c r="A699" s="1" t="n"/>
      <c r="B699" s="21" t="n"/>
      <c r="C699" s="22" t="n"/>
      <c r="D699" s="46" t="n"/>
      <c r="E699" s="25" t="n"/>
      <c r="F699" s="25" t="n"/>
      <c r="G699" s="17">
        <f>IF(AND(C699="",D699=""),"",IF(NOT(ISNUMBER(B699)),"Needs a date",IF(AND(D699&lt;&gt;"",NOT(ISNUMBER(D699))),"Hours not a number",IF(N(D699)&lt;=0,"Needs the hours",IF(C699="","Needs a name",IF(COUNTIF(Volunteers!$B$6:$B$105,C699)=0,"Not on Volunteers",""))))))</f>
        <v/>
      </c>
      <c r="H699" s="1" t="n"/>
      <c r="I699">
        <f>IF(ISNUMBER(B699),YEAR(B699),"")</f>
        <v/>
      </c>
      <c r="J699">
        <f>IF(ISNUMBER(B699),YEAR(B699)*100+MONTH(B699),"")</f>
        <v/>
      </c>
      <c r="K699">
        <f>IF(ISNUMBER(B699),INT(B699),0)</f>
        <v/>
      </c>
      <c r="L699">
        <f>IF(AND(ISNUMBER(D699),N(D699)&gt;0),K699,0)</f>
        <v/>
      </c>
    </row>
    <row r="700">
      <c r="A700" s="1" t="n"/>
      <c r="B700" s="21" t="n"/>
      <c r="C700" s="22" t="n"/>
      <c r="D700" s="46" t="n"/>
      <c r="E700" s="25" t="n"/>
      <c r="F700" s="25" t="n"/>
      <c r="G700" s="17">
        <f>IF(AND(C700="",D700=""),"",IF(NOT(ISNUMBER(B700)),"Needs a date",IF(AND(D700&lt;&gt;"",NOT(ISNUMBER(D700))),"Hours not a number",IF(N(D700)&lt;=0,"Needs the hours",IF(C700="","Needs a name",IF(COUNTIF(Volunteers!$B$6:$B$105,C700)=0,"Not on Volunteers",""))))))</f>
        <v/>
      </c>
      <c r="H700" s="1" t="n"/>
      <c r="I700">
        <f>IF(ISNUMBER(B700),YEAR(B700),"")</f>
        <v/>
      </c>
      <c r="J700">
        <f>IF(ISNUMBER(B700),YEAR(B700)*100+MONTH(B700),"")</f>
        <v/>
      </c>
      <c r="K700">
        <f>IF(ISNUMBER(B700),INT(B700),0)</f>
        <v/>
      </c>
      <c r="L700">
        <f>IF(AND(ISNUMBER(D700),N(D700)&gt;0),K700,0)</f>
        <v/>
      </c>
    </row>
    <row r="701">
      <c r="A701" s="1" t="n"/>
      <c r="B701" s="21" t="n"/>
      <c r="C701" s="22" t="n"/>
      <c r="D701" s="46" t="n"/>
      <c r="E701" s="25" t="n"/>
      <c r="F701" s="25" t="n"/>
      <c r="G701" s="17">
        <f>IF(AND(C701="",D701=""),"",IF(NOT(ISNUMBER(B701)),"Needs a date",IF(AND(D701&lt;&gt;"",NOT(ISNUMBER(D701))),"Hours not a number",IF(N(D701)&lt;=0,"Needs the hours",IF(C701="","Needs a name",IF(COUNTIF(Volunteers!$B$6:$B$105,C701)=0,"Not on Volunteers",""))))))</f>
        <v/>
      </c>
      <c r="H701" s="1" t="n"/>
      <c r="I701">
        <f>IF(ISNUMBER(B701),YEAR(B701),"")</f>
        <v/>
      </c>
      <c r="J701">
        <f>IF(ISNUMBER(B701),YEAR(B701)*100+MONTH(B701),"")</f>
        <v/>
      </c>
      <c r="K701">
        <f>IF(ISNUMBER(B701),INT(B701),0)</f>
        <v/>
      </c>
      <c r="L701">
        <f>IF(AND(ISNUMBER(D701),N(D701)&gt;0),K701,0)</f>
        <v/>
      </c>
    </row>
    <row r="702">
      <c r="A702" s="1" t="n"/>
      <c r="B702" s="21" t="n"/>
      <c r="C702" s="22" t="n"/>
      <c r="D702" s="46" t="n"/>
      <c r="E702" s="25" t="n"/>
      <c r="F702" s="25" t="n"/>
      <c r="G702" s="17">
        <f>IF(AND(C702="",D702=""),"",IF(NOT(ISNUMBER(B702)),"Needs a date",IF(AND(D702&lt;&gt;"",NOT(ISNUMBER(D702))),"Hours not a number",IF(N(D702)&lt;=0,"Needs the hours",IF(C702="","Needs a name",IF(COUNTIF(Volunteers!$B$6:$B$105,C702)=0,"Not on Volunteers",""))))))</f>
        <v/>
      </c>
      <c r="H702" s="1" t="n"/>
      <c r="I702">
        <f>IF(ISNUMBER(B702),YEAR(B702),"")</f>
        <v/>
      </c>
      <c r="J702">
        <f>IF(ISNUMBER(B702),YEAR(B702)*100+MONTH(B702),"")</f>
        <v/>
      </c>
      <c r="K702">
        <f>IF(ISNUMBER(B702),INT(B702),0)</f>
        <v/>
      </c>
      <c r="L702">
        <f>IF(AND(ISNUMBER(D702),N(D702)&gt;0),K702,0)</f>
        <v/>
      </c>
    </row>
    <row r="703">
      <c r="A703" s="1" t="n"/>
      <c r="B703" s="21" t="n"/>
      <c r="C703" s="22" t="n"/>
      <c r="D703" s="46" t="n"/>
      <c r="E703" s="25" t="n"/>
      <c r="F703" s="25" t="n"/>
      <c r="G703" s="17">
        <f>IF(AND(C703="",D703=""),"",IF(NOT(ISNUMBER(B703)),"Needs a date",IF(AND(D703&lt;&gt;"",NOT(ISNUMBER(D703))),"Hours not a number",IF(N(D703)&lt;=0,"Needs the hours",IF(C703="","Needs a name",IF(COUNTIF(Volunteers!$B$6:$B$105,C703)=0,"Not on Volunteers",""))))))</f>
        <v/>
      </c>
      <c r="H703" s="1" t="n"/>
      <c r="I703">
        <f>IF(ISNUMBER(B703),YEAR(B703),"")</f>
        <v/>
      </c>
      <c r="J703">
        <f>IF(ISNUMBER(B703),YEAR(B703)*100+MONTH(B703),"")</f>
        <v/>
      </c>
      <c r="K703">
        <f>IF(ISNUMBER(B703),INT(B703),0)</f>
        <v/>
      </c>
      <c r="L703">
        <f>IF(AND(ISNUMBER(D703),N(D703)&gt;0),K703,0)</f>
        <v/>
      </c>
    </row>
    <row r="704">
      <c r="A704" s="1" t="n"/>
      <c r="B704" s="21" t="n"/>
      <c r="C704" s="22" t="n"/>
      <c r="D704" s="46" t="n"/>
      <c r="E704" s="25" t="n"/>
      <c r="F704" s="25" t="n"/>
      <c r="G704" s="17">
        <f>IF(AND(C704="",D704=""),"",IF(NOT(ISNUMBER(B704)),"Needs a date",IF(AND(D704&lt;&gt;"",NOT(ISNUMBER(D704))),"Hours not a number",IF(N(D704)&lt;=0,"Needs the hours",IF(C704="","Needs a name",IF(COUNTIF(Volunteers!$B$6:$B$105,C704)=0,"Not on Volunteers",""))))))</f>
        <v/>
      </c>
      <c r="H704" s="1" t="n"/>
      <c r="I704">
        <f>IF(ISNUMBER(B704),YEAR(B704),"")</f>
        <v/>
      </c>
      <c r="J704">
        <f>IF(ISNUMBER(B704),YEAR(B704)*100+MONTH(B704),"")</f>
        <v/>
      </c>
      <c r="K704">
        <f>IF(ISNUMBER(B704),INT(B704),0)</f>
        <v/>
      </c>
      <c r="L704">
        <f>IF(AND(ISNUMBER(D704),N(D704)&gt;0),K704,0)</f>
        <v/>
      </c>
    </row>
    <row r="705">
      <c r="A705" s="1" t="n"/>
      <c r="B705" s="21" t="n"/>
      <c r="C705" s="22" t="n"/>
      <c r="D705" s="46" t="n"/>
      <c r="E705" s="25" t="n"/>
      <c r="F705" s="25" t="n"/>
      <c r="G705" s="17">
        <f>IF(AND(C705="",D705=""),"",IF(NOT(ISNUMBER(B705)),"Needs a date",IF(AND(D705&lt;&gt;"",NOT(ISNUMBER(D705))),"Hours not a number",IF(N(D705)&lt;=0,"Needs the hours",IF(C705="","Needs a name",IF(COUNTIF(Volunteers!$B$6:$B$105,C705)=0,"Not on Volunteers",""))))))</f>
        <v/>
      </c>
      <c r="H705" s="1" t="n"/>
      <c r="I705">
        <f>IF(ISNUMBER(B705),YEAR(B705),"")</f>
        <v/>
      </c>
      <c r="J705">
        <f>IF(ISNUMBER(B705),YEAR(B705)*100+MONTH(B705),"")</f>
        <v/>
      </c>
      <c r="K705">
        <f>IF(ISNUMBER(B705),INT(B705),0)</f>
        <v/>
      </c>
      <c r="L705">
        <f>IF(AND(ISNUMBER(D705),N(D705)&gt;0),K705,0)</f>
        <v/>
      </c>
    </row>
    <row r="706">
      <c r="A706" s="1" t="n"/>
      <c r="B706" s="21" t="n"/>
      <c r="C706" s="22" t="n"/>
      <c r="D706" s="46" t="n"/>
      <c r="E706" s="25" t="n"/>
      <c r="F706" s="25" t="n"/>
      <c r="G706" s="17">
        <f>IF(AND(C706="",D706=""),"",IF(NOT(ISNUMBER(B706)),"Needs a date",IF(AND(D706&lt;&gt;"",NOT(ISNUMBER(D706))),"Hours not a number",IF(N(D706)&lt;=0,"Needs the hours",IF(C706="","Needs a name",IF(COUNTIF(Volunteers!$B$6:$B$105,C706)=0,"Not on Volunteers",""))))))</f>
        <v/>
      </c>
      <c r="H706" s="1" t="n"/>
      <c r="I706">
        <f>IF(ISNUMBER(B706),YEAR(B706),"")</f>
        <v/>
      </c>
      <c r="J706">
        <f>IF(ISNUMBER(B706),YEAR(B706)*100+MONTH(B706),"")</f>
        <v/>
      </c>
      <c r="K706">
        <f>IF(ISNUMBER(B706),INT(B706),0)</f>
        <v/>
      </c>
      <c r="L706">
        <f>IF(AND(ISNUMBER(D706),N(D706)&gt;0),K706,0)</f>
        <v/>
      </c>
    </row>
    <row r="707">
      <c r="A707" s="1" t="n"/>
      <c r="B707" s="21" t="n"/>
      <c r="C707" s="22" t="n"/>
      <c r="D707" s="46" t="n"/>
      <c r="E707" s="25" t="n"/>
      <c r="F707" s="25" t="n"/>
      <c r="G707" s="17">
        <f>IF(AND(C707="",D707=""),"",IF(NOT(ISNUMBER(B707)),"Needs a date",IF(AND(D707&lt;&gt;"",NOT(ISNUMBER(D707))),"Hours not a number",IF(N(D707)&lt;=0,"Needs the hours",IF(C707="","Needs a name",IF(COUNTIF(Volunteers!$B$6:$B$105,C707)=0,"Not on Volunteers",""))))))</f>
        <v/>
      </c>
      <c r="H707" s="1" t="n"/>
      <c r="I707">
        <f>IF(ISNUMBER(B707),YEAR(B707),"")</f>
        <v/>
      </c>
      <c r="J707">
        <f>IF(ISNUMBER(B707),YEAR(B707)*100+MONTH(B707),"")</f>
        <v/>
      </c>
      <c r="K707">
        <f>IF(ISNUMBER(B707),INT(B707),0)</f>
        <v/>
      </c>
      <c r="L707">
        <f>IF(AND(ISNUMBER(D707),N(D707)&gt;0),K707,0)</f>
        <v/>
      </c>
    </row>
    <row r="708">
      <c r="A708" s="1" t="n"/>
      <c r="B708" s="21" t="n"/>
      <c r="C708" s="22" t="n"/>
      <c r="D708" s="46" t="n"/>
      <c r="E708" s="25" t="n"/>
      <c r="F708" s="25" t="n"/>
      <c r="G708" s="17">
        <f>IF(AND(C708="",D708=""),"",IF(NOT(ISNUMBER(B708)),"Needs a date",IF(AND(D708&lt;&gt;"",NOT(ISNUMBER(D708))),"Hours not a number",IF(N(D708)&lt;=0,"Needs the hours",IF(C708="","Needs a name",IF(COUNTIF(Volunteers!$B$6:$B$105,C708)=0,"Not on Volunteers",""))))))</f>
        <v/>
      </c>
      <c r="H708" s="1" t="n"/>
      <c r="I708">
        <f>IF(ISNUMBER(B708),YEAR(B708),"")</f>
        <v/>
      </c>
      <c r="J708">
        <f>IF(ISNUMBER(B708),YEAR(B708)*100+MONTH(B708),"")</f>
        <v/>
      </c>
      <c r="K708">
        <f>IF(ISNUMBER(B708),INT(B708),0)</f>
        <v/>
      </c>
      <c r="L708">
        <f>IF(AND(ISNUMBER(D708),N(D708)&gt;0),K708,0)</f>
        <v/>
      </c>
    </row>
    <row r="709">
      <c r="A709" s="1" t="n"/>
      <c r="B709" s="21" t="n"/>
      <c r="C709" s="22" t="n"/>
      <c r="D709" s="46" t="n"/>
      <c r="E709" s="25" t="n"/>
      <c r="F709" s="25" t="n"/>
      <c r="G709" s="17">
        <f>IF(AND(C709="",D709=""),"",IF(NOT(ISNUMBER(B709)),"Needs a date",IF(AND(D709&lt;&gt;"",NOT(ISNUMBER(D709))),"Hours not a number",IF(N(D709)&lt;=0,"Needs the hours",IF(C709="","Needs a name",IF(COUNTIF(Volunteers!$B$6:$B$105,C709)=0,"Not on Volunteers",""))))))</f>
        <v/>
      </c>
      <c r="H709" s="1" t="n"/>
      <c r="I709">
        <f>IF(ISNUMBER(B709),YEAR(B709),"")</f>
        <v/>
      </c>
      <c r="J709">
        <f>IF(ISNUMBER(B709),YEAR(B709)*100+MONTH(B709),"")</f>
        <v/>
      </c>
      <c r="K709">
        <f>IF(ISNUMBER(B709),INT(B709),0)</f>
        <v/>
      </c>
      <c r="L709">
        <f>IF(AND(ISNUMBER(D709),N(D709)&gt;0),K709,0)</f>
        <v/>
      </c>
    </row>
    <row r="710">
      <c r="A710" s="1" t="n"/>
      <c r="B710" s="21" t="n"/>
      <c r="C710" s="22" t="n"/>
      <c r="D710" s="46" t="n"/>
      <c r="E710" s="25" t="n"/>
      <c r="F710" s="25" t="n"/>
      <c r="G710" s="17">
        <f>IF(AND(C710="",D710=""),"",IF(NOT(ISNUMBER(B710)),"Needs a date",IF(AND(D710&lt;&gt;"",NOT(ISNUMBER(D710))),"Hours not a number",IF(N(D710)&lt;=0,"Needs the hours",IF(C710="","Needs a name",IF(COUNTIF(Volunteers!$B$6:$B$105,C710)=0,"Not on Volunteers",""))))))</f>
        <v/>
      </c>
      <c r="H710" s="1" t="n"/>
      <c r="I710">
        <f>IF(ISNUMBER(B710),YEAR(B710),"")</f>
        <v/>
      </c>
      <c r="J710">
        <f>IF(ISNUMBER(B710),YEAR(B710)*100+MONTH(B710),"")</f>
        <v/>
      </c>
      <c r="K710">
        <f>IF(ISNUMBER(B710),INT(B710),0)</f>
        <v/>
      </c>
      <c r="L710">
        <f>IF(AND(ISNUMBER(D710),N(D710)&gt;0),K710,0)</f>
        <v/>
      </c>
    </row>
    <row r="711">
      <c r="A711" s="1" t="n"/>
      <c r="B711" s="21" t="n"/>
      <c r="C711" s="22" t="n"/>
      <c r="D711" s="46" t="n"/>
      <c r="E711" s="25" t="n"/>
      <c r="F711" s="25" t="n"/>
      <c r="G711" s="17">
        <f>IF(AND(C711="",D711=""),"",IF(NOT(ISNUMBER(B711)),"Needs a date",IF(AND(D711&lt;&gt;"",NOT(ISNUMBER(D711))),"Hours not a number",IF(N(D711)&lt;=0,"Needs the hours",IF(C711="","Needs a name",IF(COUNTIF(Volunteers!$B$6:$B$105,C711)=0,"Not on Volunteers",""))))))</f>
        <v/>
      </c>
      <c r="H711" s="1" t="n"/>
      <c r="I711">
        <f>IF(ISNUMBER(B711),YEAR(B711),"")</f>
        <v/>
      </c>
      <c r="J711">
        <f>IF(ISNUMBER(B711),YEAR(B711)*100+MONTH(B711),"")</f>
        <v/>
      </c>
      <c r="K711">
        <f>IF(ISNUMBER(B711),INT(B711),0)</f>
        <v/>
      </c>
      <c r="L711">
        <f>IF(AND(ISNUMBER(D711),N(D711)&gt;0),K711,0)</f>
        <v/>
      </c>
    </row>
    <row r="712">
      <c r="A712" s="1" t="n"/>
      <c r="B712" s="21" t="n"/>
      <c r="C712" s="22" t="n"/>
      <c r="D712" s="46" t="n"/>
      <c r="E712" s="25" t="n"/>
      <c r="F712" s="25" t="n"/>
      <c r="G712" s="17">
        <f>IF(AND(C712="",D712=""),"",IF(NOT(ISNUMBER(B712)),"Needs a date",IF(AND(D712&lt;&gt;"",NOT(ISNUMBER(D712))),"Hours not a number",IF(N(D712)&lt;=0,"Needs the hours",IF(C712="","Needs a name",IF(COUNTIF(Volunteers!$B$6:$B$105,C712)=0,"Not on Volunteers",""))))))</f>
        <v/>
      </c>
      <c r="H712" s="1" t="n"/>
      <c r="I712">
        <f>IF(ISNUMBER(B712),YEAR(B712),"")</f>
        <v/>
      </c>
      <c r="J712">
        <f>IF(ISNUMBER(B712),YEAR(B712)*100+MONTH(B712),"")</f>
        <v/>
      </c>
      <c r="K712">
        <f>IF(ISNUMBER(B712),INT(B712),0)</f>
        <v/>
      </c>
      <c r="L712">
        <f>IF(AND(ISNUMBER(D712),N(D712)&gt;0),K712,0)</f>
        <v/>
      </c>
    </row>
    <row r="713">
      <c r="A713" s="1" t="n"/>
      <c r="B713" s="21" t="n"/>
      <c r="C713" s="22" t="n"/>
      <c r="D713" s="46" t="n"/>
      <c r="E713" s="25" t="n"/>
      <c r="F713" s="25" t="n"/>
      <c r="G713" s="17">
        <f>IF(AND(C713="",D713=""),"",IF(NOT(ISNUMBER(B713)),"Needs a date",IF(AND(D713&lt;&gt;"",NOT(ISNUMBER(D713))),"Hours not a number",IF(N(D713)&lt;=0,"Needs the hours",IF(C713="","Needs a name",IF(COUNTIF(Volunteers!$B$6:$B$105,C713)=0,"Not on Volunteers",""))))))</f>
        <v/>
      </c>
      <c r="H713" s="1" t="n"/>
      <c r="I713">
        <f>IF(ISNUMBER(B713),YEAR(B713),"")</f>
        <v/>
      </c>
      <c r="J713">
        <f>IF(ISNUMBER(B713),YEAR(B713)*100+MONTH(B713),"")</f>
        <v/>
      </c>
      <c r="K713">
        <f>IF(ISNUMBER(B713),INT(B713),0)</f>
        <v/>
      </c>
      <c r="L713">
        <f>IF(AND(ISNUMBER(D713),N(D713)&gt;0),K713,0)</f>
        <v/>
      </c>
    </row>
    <row r="714">
      <c r="A714" s="1" t="n"/>
      <c r="B714" s="21" t="n"/>
      <c r="C714" s="22" t="n"/>
      <c r="D714" s="46" t="n"/>
      <c r="E714" s="25" t="n"/>
      <c r="F714" s="25" t="n"/>
      <c r="G714" s="17">
        <f>IF(AND(C714="",D714=""),"",IF(NOT(ISNUMBER(B714)),"Needs a date",IF(AND(D714&lt;&gt;"",NOT(ISNUMBER(D714))),"Hours not a number",IF(N(D714)&lt;=0,"Needs the hours",IF(C714="","Needs a name",IF(COUNTIF(Volunteers!$B$6:$B$105,C714)=0,"Not on Volunteers",""))))))</f>
        <v/>
      </c>
      <c r="H714" s="1" t="n"/>
      <c r="I714">
        <f>IF(ISNUMBER(B714),YEAR(B714),"")</f>
        <v/>
      </c>
      <c r="J714">
        <f>IF(ISNUMBER(B714),YEAR(B714)*100+MONTH(B714),"")</f>
        <v/>
      </c>
      <c r="K714">
        <f>IF(ISNUMBER(B714),INT(B714),0)</f>
        <v/>
      </c>
      <c r="L714">
        <f>IF(AND(ISNUMBER(D714),N(D714)&gt;0),K714,0)</f>
        <v/>
      </c>
    </row>
    <row r="715">
      <c r="A715" s="1" t="n"/>
      <c r="B715" s="21" t="n"/>
      <c r="C715" s="22" t="n"/>
      <c r="D715" s="46" t="n"/>
      <c r="E715" s="25" t="n"/>
      <c r="F715" s="25" t="n"/>
      <c r="G715" s="17">
        <f>IF(AND(C715="",D715=""),"",IF(NOT(ISNUMBER(B715)),"Needs a date",IF(AND(D715&lt;&gt;"",NOT(ISNUMBER(D715))),"Hours not a number",IF(N(D715)&lt;=0,"Needs the hours",IF(C715="","Needs a name",IF(COUNTIF(Volunteers!$B$6:$B$105,C715)=0,"Not on Volunteers",""))))))</f>
        <v/>
      </c>
      <c r="H715" s="1" t="n"/>
      <c r="I715">
        <f>IF(ISNUMBER(B715),YEAR(B715),"")</f>
        <v/>
      </c>
      <c r="J715">
        <f>IF(ISNUMBER(B715),YEAR(B715)*100+MONTH(B715),"")</f>
        <v/>
      </c>
      <c r="K715">
        <f>IF(ISNUMBER(B715),INT(B715),0)</f>
        <v/>
      </c>
      <c r="L715">
        <f>IF(AND(ISNUMBER(D715),N(D715)&gt;0),K715,0)</f>
        <v/>
      </c>
    </row>
    <row r="716">
      <c r="A716" s="1" t="n"/>
      <c r="B716" s="21" t="n"/>
      <c r="C716" s="22" t="n"/>
      <c r="D716" s="46" t="n"/>
      <c r="E716" s="25" t="n"/>
      <c r="F716" s="25" t="n"/>
      <c r="G716" s="17">
        <f>IF(AND(C716="",D716=""),"",IF(NOT(ISNUMBER(B716)),"Needs a date",IF(AND(D716&lt;&gt;"",NOT(ISNUMBER(D716))),"Hours not a number",IF(N(D716)&lt;=0,"Needs the hours",IF(C716="","Needs a name",IF(COUNTIF(Volunteers!$B$6:$B$105,C716)=0,"Not on Volunteers",""))))))</f>
        <v/>
      </c>
      <c r="H716" s="1" t="n"/>
      <c r="I716">
        <f>IF(ISNUMBER(B716),YEAR(B716),"")</f>
        <v/>
      </c>
      <c r="J716">
        <f>IF(ISNUMBER(B716),YEAR(B716)*100+MONTH(B716),"")</f>
        <v/>
      </c>
      <c r="K716">
        <f>IF(ISNUMBER(B716),INT(B716),0)</f>
        <v/>
      </c>
      <c r="L716">
        <f>IF(AND(ISNUMBER(D716),N(D716)&gt;0),K716,0)</f>
        <v/>
      </c>
    </row>
    <row r="717">
      <c r="A717" s="1" t="n"/>
      <c r="B717" s="21" t="n"/>
      <c r="C717" s="22" t="n"/>
      <c r="D717" s="46" t="n"/>
      <c r="E717" s="25" t="n"/>
      <c r="F717" s="25" t="n"/>
      <c r="G717" s="17">
        <f>IF(AND(C717="",D717=""),"",IF(NOT(ISNUMBER(B717)),"Needs a date",IF(AND(D717&lt;&gt;"",NOT(ISNUMBER(D717))),"Hours not a number",IF(N(D717)&lt;=0,"Needs the hours",IF(C717="","Needs a name",IF(COUNTIF(Volunteers!$B$6:$B$105,C717)=0,"Not on Volunteers",""))))))</f>
        <v/>
      </c>
      <c r="H717" s="1" t="n"/>
      <c r="I717">
        <f>IF(ISNUMBER(B717),YEAR(B717),"")</f>
        <v/>
      </c>
      <c r="J717">
        <f>IF(ISNUMBER(B717),YEAR(B717)*100+MONTH(B717),"")</f>
        <v/>
      </c>
      <c r="K717">
        <f>IF(ISNUMBER(B717),INT(B717),0)</f>
        <v/>
      </c>
      <c r="L717">
        <f>IF(AND(ISNUMBER(D717),N(D717)&gt;0),K717,0)</f>
        <v/>
      </c>
    </row>
    <row r="718">
      <c r="A718" s="1" t="n"/>
      <c r="B718" s="21" t="n"/>
      <c r="C718" s="22" t="n"/>
      <c r="D718" s="46" t="n"/>
      <c r="E718" s="25" t="n"/>
      <c r="F718" s="25" t="n"/>
      <c r="G718" s="17">
        <f>IF(AND(C718="",D718=""),"",IF(NOT(ISNUMBER(B718)),"Needs a date",IF(AND(D718&lt;&gt;"",NOT(ISNUMBER(D718))),"Hours not a number",IF(N(D718)&lt;=0,"Needs the hours",IF(C718="","Needs a name",IF(COUNTIF(Volunteers!$B$6:$B$105,C718)=0,"Not on Volunteers",""))))))</f>
        <v/>
      </c>
      <c r="H718" s="1" t="n"/>
      <c r="I718">
        <f>IF(ISNUMBER(B718),YEAR(B718),"")</f>
        <v/>
      </c>
      <c r="J718">
        <f>IF(ISNUMBER(B718),YEAR(B718)*100+MONTH(B718),"")</f>
        <v/>
      </c>
      <c r="K718">
        <f>IF(ISNUMBER(B718),INT(B718),0)</f>
        <v/>
      </c>
      <c r="L718">
        <f>IF(AND(ISNUMBER(D718),N(D718)&gt;0),K718,0)</f>
        <v/>
      </c>
    </row>
    <row r="719">
      <c r="A719" s="1" t="n"/>
      <c r="B719" s="21" t="n"/>
      <c r="C719" s="22" t="n"/>
      <c r="D719" s="46" t="n"/>
      <c r="E719" s="25" t="n"/>
      <c r="F719" s="25" t="n"/>
      <c r="G719" s="17">
        <f>IF(AND(C719="",D719=""),"",IF(NOT(ISNUMBER(B719)),"Needs a date",IF(AND(D719&lt;&gt;"",NOT(ISNUMBER(D719))),"Hours not a number",IF(N(D719)&lt;=0,"Needs the hours",IF(C719="","Needs a name",IF(COUNTIF(Volunteers!$B$6:$B$105,C719)=0,"Not on Volunteers",""))))))</f>
        <v/>
      </c>
      <c r="H719" s="1" t="n"/>
      <c r="I719">
        <f>IF(ISNUMBER(B719),YEAR(B719),"")</f>
        <v/>
      </c>
      <c r="J719">
        <f>IF(ISNUMBER(B719),YEAR(B719)*100+MONTH(B719),"")</f>
        <v/>
      </c>
      <c r="K719">
        <f>IF(ISNUMBER(B719),INT(B719),0)</f>
        <v/>
      </c>
      <c r="L719">
        <f>IF(AND(ISNUMBER(D719),N(D719)&gt;0),K719,0)</f>
        <v/>
      </c>
    </row>
    <row r="720">
      <c r="A720" s="1" t="n"/>
      <c r="B720" s="21" t="n"/>
      <c r="C720" s="22" t="n"/>
      <c r="D720" s="46" t="n"/>
      <c r="E720" s="25" t="n"/>
      <c r="F720" s="25" t="n"/>
      <c r="G720" s="17">
        <f>IF(AND(C720="",D720=""),"",IF(NOT(ISNUMBER(B720)),"Needs a date",IF(AND(D720&lt;&gt;"",NOT(ISNUMBER(D720))),"Hours not a number",IF(N(D720)&lt;=0,"Needs the hours",IF(C720="","Needs a name",IF(COUNTIF(Volunteers!$B$6:$B$105,C720)=0,"Not on Volunteers",""))))))</f>
        <v/>
      </c>
      <c r="H720" s="1" t="n"/>
      <c r="I720">
        <f>IF(ISNUMBER(B720),YEAR(B720),"")</f>
        <v/>
      </c>
      <c r="J720">
        <f>IF(ISNUMBER(B720),YEAR(B720)*100+MONTH(B720),"")</f>
        <v/>
      </c>
      <c r="K720">
        <f>IF(ISNUMBER(B720),INT(B720),0)</f>
        <v/>
      </c>
      <c r="L720">
        <f>IF(AND(ISNUMBER(D720),N(D720)&gt;0),K720,0)</f>
        <v/>
      </c>
    </row>
    <row r="721">
      <c r="A721" s="1" t="n"/>
      <c r="B721" s="21" t="n"/>
      <c r="C721" s="22" t="n"/>
      <c r="D721" s="46" t="n"/>
      <c r="E721" s="25" t="n"/>
      <c r="F721" s="25" t="n"/>
      <c r="G721" s="17">
        <f>IF(AND(C721="",D721=""),"",IF(NOT(ISNUMBER(B721)),"Needs a date",IF(AND(D721&lt;&gt;"",NOT(ISNUMBER(D721))),"Hours not a number",IF(N(D721)&lt;=0,"Needs the hours",IF(C721="","Needs a name",IF(COUNTIF(Volunteers!$B$6:$B$105,C721)=0,"Not on Volunteers",""))))))</f>
        <v/>
      </c>
      <c r="H721" s="1" t="n"/>
      <c r="I721">
        <f>IF(ISNUMBER(B721),YEAR(B721),"")</f>
        <v/>
      </c>
      <c r="J721">
        <f>IF(ISNUMBER(B721),YEAR(B721)*100+MONTH(B721),"")</f>
        <v/>
      </c>
      <c r="K721">
        <f>IF(ISNUMBER(B721),INT(B721),0)</f>
        <v/>
      </c>
      <c r="L721">
        <f>IF(AND(ISNUMBER(D721),N(D721)&gt;0),K721,0)</f>
        <v/>
      </c>
    </row>
    <row r="722">
      <c r="A722" s="1" t="n"/>
      <c r="B722" s="21" t="n"/>
      <c r="C722" s="22" t="n"/>
      <c r="D722" s="46" t="n"/>
      <c r="E722" s="25" t="n"/>
      <c r="F722" s="25" t="n"/>
      <c r="G722" s="17">
        <f>IF(AND(C722="",D722=""),"",IF(NOT(ISNUMBER(B722)),"Needs a date",IF(AND(D722&lt;&gt;"",NOT(ISNUMBER(D722))),"Hours not a number",IF(N(D722)&lt;=0,"Needs the hours",IF(C722="","Needs a name",IF(COUNTIF(Volunteers!$B$6:$B$105,C722)=0,"Not on Volunteers",""))))))</f>
        <v/>
      </c>
      <c r="H722" s="1" t="n"/>
      <c r="I722">
        <f>IF(ISNUMBER(B722),YEAR(B722),"")</f>
        <v/>
      </c>
      <c r="J722">
        <f>IF(ISNUMBER(B722),YEAR(B722)*100+MONTH(B722),"")</f>
        <v/>
      </c>
      <c r="K722">
        <f>IF(ISNUMBER(B722),INT(B722),0)</f>
        <v/>
      </c>
      <c r="L722">
        <f>IF(AND(ISNUMBER(D722),N(D722)&gt;0),K722,0)</f>
        <v/>
      </c>
    </row>
    <row r="723">
      <c r="A723" s="1" t="n"/>
      <c r="B723" s="21" t="n"/>
      <c r="C723" s="22" t="n"/>
      <c r="D723" s="46" t="n"/>
      <c r="E723" s="25" t="n"/>
      <c r="F723" s="25" t="n"/>
      <c r="G723" s="17">
        <f>IF(AND(C723="",D723=""),"",IF(NOT(ISNUMBER(B723)),"Needs a date",IF(AND(D723&lt;&gt;"",NOT(ISNUMBER(D723))),"Hours not a number",IF(N(D723)&lt;=0,"Needs the hours",IF(C723="","Needs a name",IF(COUNTIF(Volunteers!$B$6:$B$105,C723)=0,"Not on Volunteers",""))))))</f>
        <v/>
      </c>
      <c r="H723" s="1" t="n"/>
      <c r="I723">
        <f>IF(ISNUMBER(B723),YEAR(B723),"")</f>
        <v/>
      </c>
      <c r="J723">
        <f>IF(ISNUMBER(B723),YEAR(B723)*100+MONTH(B723),"")</f>
        <v/>
      </c>
      <c r="K723">
        <f>IF(ISNUMBER(B723),INT(B723),0)</f>
        <v/>
      </c>
      <c r="L723">
        <f>IF(AND(ISNUMBER(D723),N(D723)&gt;0),K723,0)</f>
        <v/>
      </c>
    </row>
    <row r="724">
      <c r="A724" s="1" t="n"/>
      <c r="B724" s="21" t="n"/>
      <c r="C724" s="22" t="n"/>
      <c r="D724" s="46" t="n"/>
      <c r="E724" s="25" t="n"/>
      <c r="F724" s="25" t="n"/>
      <c r="G724" s="17">
        <f>IF(AND(C724="",D724=""),"",IF(NOT(ISNUMBER(B724)),"Needs a date",IF(AND(D724&lt;&gt;"",NOT(ISNUMBER(D724))),"Hours not a number",IF(N(D724)&lt;=0,"Needs the hours",IF(C724="","Needs a name",IF(COUNTIF(Volunteers!$B$6:$B$105,C724)=0,"Not on Volunteers",""))))))</f>
        <v/>
      </c>
      <c r="H724" s="1" t="n"/>
      <c r="I724">
        <f>IF(ISNUMBER(B724),YEAR(B724),"")</f>
        <v/>
      </c>
      <c r="J724">
        <f>IF(ISNUMBER(B724),YEAR(B724)*100+MONTH(B724),"")</f>
        <v/>
      </c>
      <c r="K724">
        <f>IF(ISNUMBER(B724),INT(B724),0)</f>
        <v/>
      </c>
      <c r="L724">
        <f>IF(AND(ISNUMBER(D724),N(D724)&gt;0),K724,0)</f>
        <v/>
      </c>
    </row>
    <row r="725">
      <c r="A725" s="1" t="n"/>
      <c r="B725" s="21" t="n"/>
      <c r="C725" s="22" t="n"/>
      <c r="D725" s="46" t="n"/>
      <c r="E725" s="25" t="n"/>
      <c r="F725" s="25" t="n"/>
      <c r="G725" s="17">
        <f>IF(AND(C725="",D725=""),"",IF(NOT(ISNUMBER(B725)),"Needs a date",IF(AND(D725&lt;&gt;"",NOT(ISNUMBER(D725))),"Hours not a number",IF(N(D725)&lt;=0,"Needs the hours",IF(C725="","Needs a name",IF(COUNTIF(Volunteers!$B$6:$B$105,C725)=0,"Not on Volunteers",""))))))</f>
        <v/>
      </c>
      <c r="H725" s="1" t="n"/>
      <c r="I725">
        <f>IF(ISNUMBER(B725),YEAR(B725),"")</f>
        <v/>
      </c>
      <c r="J725">
        <f>IF(ISNUMBER(B725),YEAR(B725)*100+MONTH(B725),"")</f>
        <v/>
      </c>
      <c r="K725">
        <f>IF(ISNUMBER(B725),INT(B725),0)</f>
        <v/>
      </c>
      <c r="L725">
        <f>IF(AND(ISNUMBER(D725),N(D725)&gt;0),K725,0)</f>
        <v/>
      </c>
    </row>
    <row r="726">
      <c r="A726" s="1" t="n"/>
      <c r="B726" s="21" t="n"/>
      <c r="C726" s="22" t="n"/>
      <c r="D726" s="46" t="n"/>
      <c r="E726" s="25" t="n"/>
      <c r="F726" s="25" t="n"/>
      <c r="G726" s="17">
        <f>IF(AND(C726="",D726=""),"",IF(NOT(ISNUMBER(B726)),"Needs a date",IF(AND(D726&lt;&gt;"",NOT(ISNUMBER(D726))),"Hours not a number",IF(N(D726)&lt;=0,"Needs the hours",IF(C726="","Needs a name",IF(COUNTIF(Volunteers!$B$6:$B$105,C726)=0,"Not on Volunteers",""))))))</f>
        <v/>
      </c>
      <c r="H726" s="1" t="n"/>
      <c r="I726">
        <f>IF(ISNUMBER(B726),YEAR(B726),"")</f>
        <v/>
      </c>
      <c r="J726">
        <f>IF(ISNUMBER(B726),YEAR(B726)*100+MONTH(B726),"")</f>
        <v/>
      </c>
      <c r="K726">
        <f>IF(ISNUMBER(B726),INT(B726),0)</f>
        <v/>
      </c>
      <c r="L726">
        <f>IF(AND(ISNUMBER(D726),N(D726)&gt;0),K726,0)</f>
        <v/>
      </c>
    </row>
    <row r="727">
      <c r="A727" s="1" t="n"/>
      <c r="B727" s="21" t="n"/>
      <c r="C727" s="22" t="n"/>
      <c r="D727" s="46" t="n"/>
      <c r="E727" s="25" t="n"/>
      <c r="F727" s="25" t="n"/>
      <c r="G727" s="17">
        <f>IF(AND(C727="",D727=""),"",IF(NOT(ISNUMBER(B727)),"Needs a date",IF(AND(D727&lt;&gt;"",NOT(ISNUMBER(D727))),"Hours not a number",IF(N(D727)&lt;=0,"Needs the hours",IF(C727="","Needs a name",IF(COUNTIF(Volunteers!$B$6:$B$105,C727)=0,"Not on Volunteers",""))))))</f>
        <v/>
      </c>
      <c r="H727" s="1" t="n"/>
      <c r="I727">
        <f>IF(ISNUMBER(B727),YEAR(B727),"")</f>
        <v/>
      </c>
      <c r="J727">
        <f>IF(ISNUMBER(B727),YEAR(B727)*100+MONTH(B727),"")</f>
        <v/>
      </c>
      <c r="K727">
        <f>IF(ISNUMBER(B727),INT(B727),0)</f>
        <v/>
      </c>
      <c r="L727">
        <f>IF(AND(ISNUMBER(D727),N(D727)&gt;0),K727,0)</f>
        <v/>
      </c>
    </row>
    <row r="728">
      <c r="A728" s="1" t="n"/>
      <c r="B728" s="21" t="n"/>
      <c r="C728" s="22" t="n"/>
      <c r="D728" s="46" t="n"/>
      <c r="E728" s="25" t="n"/>
      <c r="F728" s="25" t="n"/>
      <c r="G728" s="17">
        <f>IF(AND(C728="",D728=""),"",IF(NOT(ISNUMBER(B728)),"Needs a date",IF(AND(D728&lt;&gt;"",NOT(ISNUMBER(D728))),"Hours not a number",IF(N(D728)&lt;=0,"Needs the hours",IF(C728="","Needs a name",IF(COUNTIF(Volunteers!$B$6:$B$105,C728)=0,"Not on Volunteers",""))))))</f>
        <v/>
      </c>
      <c r="H728" s="1" t="n"/>
      <c r="I728">
        <f>IF(ISNUMBER(B728),YEAR(B728),"")</f>
        <v/>
      </c>
      <c r="J728">
        <f>IF(ISNUMBER(B728),YEAR(B728)*100+MONTH(B728),"")</f>
        <v/>
      </c>
      <c r="K728">
        <f>IF(ISNUMBER(B728),INT(B728),0)</f>
        <v/>
      </c>
      <c r="L728">
        <f>IF(AND(ISNUMBER(D728),N(D728)&gt;0),K728,0)</f>
        <v/>
      </c>
    </row>
    <row r="729">
      <c r="A729" s="1" t="n"/>
      <c r="B729" s="21" t="n"/>
      <c r="C729" s="22" t="n"/>
      <c r="D729" s="46" t="n"/>
      <c r="E729" s="25" t="n"/>
      <c r="F729" s="25" t="n"/>
      <c r="G729" s="17">
        <f>IF(AND(C729="",D729=""),"",IF(NOT(ISNUMBER(B729)),"Needs a date",IF(AND(D729&lt;&gt;"",NOT(ISNUMBER(D729))),"Hours not a number",IF(N(D729)&lt;=0,"Needs the hours",IF(C729="","Needs a name",IF(COUNTIF(Volunteers!$B$6:$B$105,C729)=0,"Not on Volunteers",""))))))</f>
        <v/>
      </c>
      <c r="H729" s="1" t="n"/>
      <c r="I729">
        <f>IF(ISNUMBER(B729),YEAR(B729),"")</f>
        <v/>
      </c>
      <c r="J729">
        <f>IF(ISNUMBER(B729),YEAR(B729)*100+MONTH(B729),"")</f>
        <v/>
      </c>
      <c r="K729">
        <f>IF(ISNUMBER(B729),INT(B729),0)</f>
        <v/>
      </c>
      <c r="L729">
        <f>IF(AND(ISNUMBER(D729),N(D729)&gt;0),K729,0)</f>
        <v/>
      </c>
    </row>
    <row r="730">
      <c r="A730" s="1" t="n"/>
      <c r="B730" s="21" t="n"/>
      <c r="C730" s="22" t="n"/>
      <c r="D730" s="46" t="n"/>
      <c r="E730" s="25" t="n"/>
      <c r="F730" s="25" t="n"/>
      <c r="G730" s="17">
        <f>IF(AND(C730="",D730=""),"",IF(NOT(ISNUMBER(B730)),"Needs a date",IF(AND(D730&lt;&gt;"",NOT(ISNUMBER(D730))),"Hours not a number",IF(N(D730)&lt;=0,"Needs the hours",IF(C730="","Needs a name",IF(COUNTIF(Volunteers!$B$6:$B$105,C730)=0,"Not on Volunteers",""))))))</f>
        <v/>
      </c>
      <c r="H730" s="1" t="n"/>
      <c r="I730">
        <f>IF(ISNUMBER(B730),YEAR(B730),"")</f>
        <v/>
      </c>
      <c r="J730">
        <f>IF(ISNUMBER(B730),YEAR(B730)*100+MONTH(B730),"")</f>
        <v/>
      </c>
      <c r="K730">
        <f>IF(ISNUMBER(B730),INT(B730),0)</f>
        <v/>
      </c>
      <c r="L730">
        <f>IF(AND(ISNUMBER(D730),N(D730)&gt;0),K730,0)</f>
        <v/>
      </c>
    </row>
    <row r="731">
      <c r="A731" s="1" t="n"/>
      <c r="B731" s="21" t="n"/>
      <c r="C731" s="22" t="n"/>
      <c r="D731" s="46" t="n"/>
      <c r="E731" s="25" t="n"/>
      <c r="F731" s="25" t="n"/>
      <c r="G731" s="17">
        <f>IF(AND(C731="",D731=""),"",IF(NOT(ISNUMBER(B731)),"Needs a date",IF(AND(D731&lt;&gt;"",NOT(ISNUMBER(D731))),"Hours not a number",IF(N(D731)&lt;=0,"Needs the hours",IF(C731="","Needs a name",IF(COUNTIF(Volunteers!$B$6:$B$105,C731)=0,"Not on Volunteers",""))))))</f>
        <v/>
      </c>
      <c r="H731" s="1" t="n"/>
      <c r="I731">
        <f>IF(ISNUMBER(B731),YEAR(B731),"")</f>
        <v/>
      </c>
      <c r="J731">
        <f>IF(ISNUMBER(B731),YEAR(B731)*100+MONTH(B731),"")</f>
        <v/>
      </c>
      <c r="K731">
        <f>IF(ISNUMBER(B731),INT(B731),0)</f>
        <v/>
      </c>
      <c r="L731">
        <f>IF(AND(ISNUMBER(D731),N(D731)&gt;0),K731,0)</f>
        <v/>
      </c>
    </row>
    <row r="732">
      <c r="A732" s="1" t="n"/>
      <c r="B732" s="21" t="n"/>
      <c r="C732" s="22" t="n"/>
      <c r="D732" s="46" t="n"/>
      <c r="E732" s="25" t="n"/>
      <c r="F732" s="25" t="n"/>
      <c r="G732" s="17">
        <f>IF(AND(C732="",D732=""),"",IF(NOT(ISNUMBER(B732)),"Needs a date",IF(AND(D732&lt;&gt;"",NOT(ISNUMBER(D732))),"Hours not a number",IF(N(D732)&lt;=0,"Needs the hours",IF(C732="","Needs a name",IF(COUNTIF(Volunteers!$B$6:$B$105,C732)=0,"Not on Volunteers",""))))))</f>
        <v/>
      </c>
      <c r="H732" s="1" t="n"/>
      <c r="I732">
        <f>IF(ISNUMBER(B732),YEAR(B732),"")</f>
        <v/>
      </c>
      <c r="J732">
        <f>IF(ISNUMBER(B732),YEAR(B732)*100+MONTH(B732),"")</f>
        <v/>
      </c>
      <c r="K732">
        <f>IF(ISNUMBER(B732),INT(B732),0)</f>
        <v/>
      </c>
      <c r="L732">
        <f>IF(AND(ISNUMBER(D732),N(D732)&gt;0),K732,0)</f>
        <v/>
      </c>
    </row>
    <row r="733">
      <c r="A733" s="1" t="n"/>
      <c r="B733" s="21" t="n"/>
      <c r="C733" s="22" t="n"/>
      <c r="D733" s="46" t="n"/>
      <c r="E733" s="25" t="n"/>
      <c r="F733" s="25" t="n"/>
      <c r="G733" s="17">
        <f>IF(AND(C733="",D733=""),"",IF(NOT(ISNUMBER(B733)),"Needs a date",IF(AND(D733&lt;&gt;"",NOT(ISNUMBER(D733))),"Hours not a number",IF(N(D733)&lt;=0,"Needs the hours",IF(C733="","Needs a name",IF(COUNTIF(Volunteers!$B$6:$B$105,C733)=0,"Not on Volunteers",""))))))</f>
        <v/>
      </c>
      <c r="H733" s="1" t="n"/>
      <c r="I733">
        <f>IF(ISNUMBER(B733),YEAR(B733),"")</f>
        <v/>
      </c>
      <c r="J733">
        <f>IF(ISNUMBER(B733),YEAR(B733)*100+MONTH(B733),"")</f>
        <v/>
      </c>
      <c r="K733">
        <f>IF(ISNUMBER(B733),INT(B733),0)</f>
        <v/>
      </c>
      <c r="L733">
        <f>IF(AND(ISNUMBER(D733),N(D733)&gt;0),K733,0)</f>
        <v/>
      </c>
    </row>
    <row r="734">
      <c r="A734" s="1" t="n"/>
      <c r="B734" s="21" t="n"/>
      <c r="C734" s="22" t="n"/>
      <c r="D734" s="46" t="n"/>
      <c r="E734" s="25" t="n"/>
      <c r="F734" s="25" t="n"/>
      <c r="G734" s="17">
        <f>IF(AND(C734="",D734=""),"",IF(NOT(ISNUMBER(B734)),"Needs a date",IF(AND(D734&lt;&gt;"",NOT(ISNUMBER(D734))),"Hours not a number",IF(N(D734)&lt;=0,"Needs the hours",IF(C734="","Needs a name",IF(COUNTIF(Volunteers!$B$6:$B$105,C734)=0,"Not on Volunteers",""))))))</f>
        <v/>
      </c>
      <c r="H734" s="1" t="n"/>
      <c r="I734">
        <f>IF(ISNUMBER(B734),YEAR(B734),"")</f>
        <v/>
      </c>
      <c r="J734">
        <f>IF(ISNUMBER(B734),YEAR(B734)*100+MONTH(B734),"")</f>
        <v/>
      </c>
      <c r="K734">
        <f>IF(ISNUMBER(B734),INT(B734),0)</f>
        <v/>
      </c>
      <c r="L734">
        <f>IF(AND(ISNUMBER(D734),N(D734)&gt;0),K734,0)</f>
        <v/>
      </c>
    </row>
    <row r="735">
      <c r="A735" s="1" t="n"/>
      <c r="B735" s="21" t="n"/>
      <c r="C735" s="22" t="n"/>
      <c r="D735" s="46" t="n"/>
      <c r="E735" s="25" t="n"/>
      <c r="F735" s="25" t="n"/>
      <c r="G735" s="17">
        <f>IF(AND(C735="",D735=""),"",IF(NOT(ISNUMBER(B735)),"Needs a date",IF(AND(D735&lt;&gt;"",NOT(ISNUMBER(D735))),"Hours not a number",IF(N(D735)&lt;=0,"Needs the hours",IF(C735="","Needs a name",IF(COUNTIF(Volunteers!$B$6:$B$105,C735)=0,"Not on Volunteers",""))))))</f>
        <v/>
      </c>
      <c r="H735" s="1" t="n"/>
      <c r="I735">
        <f>IF(ISNUMBER(B735),YEAR(B735),"")</f>
        <v/>
      </c>
      <c r="J735">
        <f>IF(ISNUMBER(B735),YEAR(B735)*100+MONTH(B735),"")</f>
        <v/>
      </c>
      <c r="K735">
        <f>IF(ISNUMBER(B735),INT(B735),0)</f>
        <v/>
      </c>
      <c r="L735">
        <f>IF(AND(ISNUMBER(D735),N(D735)&gt;0),K735,0)</f>
        <v/>
      </c>
    </row>
    <row r="736">
      <c r="A736" s="1" t="n"/>
      <c r="B736" s="21" t="n"/>
      <c r="C736" s="22" t="n"/>
      <c r="D736" s="46" t="n"/>
      <c r="E736" s="25" t="n"/>
      <c r="F736" s="25" t="n"/>
      <c r="G736" s="17">
        <f>IF(AND(C736="",D736=""),"",IF(NOT(ISNUMBER(B736)),"Needs a date",IF(AND(D736&lt;&gt;"",NOT(ISNUMBER(D736))),"Hours not a number",IF(N(D736)&lt;=0,"Needs the hours",IF(C736="","Needs a name",IF(COUNTIF(Volunteers!$B$6:$B$105,C736)=0,"Not on Volunteers",""))))))</f>
        <v/>
      </c>
      <c r="H736" s="1" t="n"/>
      <c r="I736">
        <f>IF(ISNUMBER(B736),YEAR(B736),"")</f>
        <v/>
      </c>
      <c r="J736">
        <f>IF(ISNUMBER(B736),YEAR(B736)*100+MONTH(B736),"")</f>
        <v/>
      </c>
      <c r="K736">
        <f>IF(ISNUMBER(B736),INT(B736),0)</f>
        <v/>
      </c>
      <c r="L736">
        <f>IF(AND(ISNUMBER(D736),N(D736)&gt;0),K736,0)</f>
        <v/>
      </c>
    </row>
    <row r="737">
      <c r="A737" s="1" t="n"/>
      <c r="B737" s="21" t="n"/>
      <c r="C737" s="22" t="n"/>
      <c r="D737" s="46" t="n"/>
      <c r="E737" s="25" t="n"/>
      <c r="F737" s="25" t="n"/>
      <c r="G737" s="17">
        <f>IF(AND(C737="",D737=""),"",IF(NOT(ISNUMBER(B737)),"Needs a date",IF(AND(D737&lt;&gt;"",NOT(ISNUMBER(D737))),"Hours not a number",IF(N(D737)&lt;=0,"Needs the hours",IF(C737="","Needs a name",IF(COUNTIF(Volunteers!$B$6:$B$105,C737)=0,"Not on Volunteers",""))))))</f>
        <v/>
      </c>
      <c r="H737" s="1" t="n"/>
      <c r="I737">
        <f>IF(ISNUMBER(B737),YEAR(B737),"")</f>
        <v/>
      </c>
      <c r="J737">
        <f>IF(ISNUMBER(B737),YEAR(B737)*100+MONTH(B737),"")</f>
        <v/>
      </c>
      <c r="K737">
        <f>IF(ISNUMBER(B737),INT(B737),0)</f>
        <v/>
      </c>
      <c r="L737">
        <f>IF(AND(ISNUMBER(D737),N(D737)&gt;0),K737,0)</f>
        <v/>
      </c>
    </row>
    <row r="738">
      <c r="A738" s="1" t="n"/>
      <c r="B738" s="21" t="n"/>
      <c r="C738" s="22" t="n"/>
      <c r="D738" s="46" t="n"/>
      <c r="E738" s="25" t="n"/>
      <c r="F738" s="25" t="n"/>
      <c r="G738" s="17">
        <f>IF(AND(C738="",D738=""),"",IF(NOT(ISNUMBER(B738)),"Needs a date",IF(AND(D738&lt;&gt;"",NOT(ISNUMBER(D738))),"Hours not a number",IF(N(D738)&lt;=0,"Needs the hours",IF(C738="","Needs a name",IF(COUNTIF(Volunteers!$B$6:$B$105,C738)=0,"Not on Volunteers",""))))))</f>
        <v/>
      </c>
      <c r="H738" s="1" t="n"/>
      <c r="I738">
        <f>IF(ISNUMBER(B738),YEAR(B738),"")</f>
        <v/>
      </c>
      <c r="J738">
        <f>IF(ISNUMBER(B738),YEAR(B738)*100+MONTH(B738),"")</f>
        <v/>
      </c>
      <c r="K738">
        <f>IF(ISNUMBER(B738),INT(B738),0)</f>
        <v/>
      </c>
      <c r="L738">
        <f>IF(AND(ISNUMBER(D738),N(D738)&gt;0),K738,0)</f>
        <v/>
      </c>
    </row>
    <row r="739">
      <c r="A739" s="1" t="n"/>
      <c r="B739" s="21" t="n"/>
      <c r="C739" s="22" t="n"/>
      <c r="D739" s="46" t="n"/>
      <c r="E739" s="25" t="n"/>
      <c r="F739" s="25" t="n"/>
      <c r="G739" s="17">
        <f>IF(AND(C739="",D739=""),"",IF(NOT(ISNUMBER(B739)),"Needs a date",IF(AND(D739&lt;&gt;"",NOT(ISNUMBER(D739))),"Hours not a number",IF(N(D739)&lt;=0,"Needs the hours",IF(C739="","Needs a name",IF(COUNTIF(Volunteers!$B$6:$B$105,C739)=0,"Not on Volunteers",""))))))</f>
        <v/>
      </c>
      <c r="H739" s="1" t="n"/>
      <c r="I739">
        <f>IF(ISNUMBER(B739),YEAR(B739),"")</f>
        <v/>
      </c>
      <c r="J739">
        <f>IF(ISNUMBER(B739),YEAR(B739)*100+MONTH(B739),"")</f>
        <v/>
      </c>
      <c r="K739">
        <f>IF(ISNUMBER(B739),INT(B739),0)</f>
        <v/>
      </c>
      <c r="L739">
        <f>IF(AND(ISNUMBER(D739),N(D739)&gt;0),K739,0)</f>
        <v/>
      </c>
    </row>
    <row r="740">
      <c r="A740" s="1" t="n"/>
      <c r="B740" s="21" t="n"/>
      <c r="C740" s="22" t="n"/>
      <c r="D740" s="46" t="n"/>
      <c r="E740" s="25" t="n"/>
      <c r="F740" s="25" t="n"/>
      <c r="G740" s="17">
        <f>IF(AND(C740="",D740=""),"",IF(NOT(ISNUMBER(B740)),"Needs a date",IF(AND(D740&lt;&gt;"",NOT(ISNUMBER(D740))),"Hours not a number",IF(N(D740)&lt;=0,"Needs the hours",IF(C740="","Needs a name",IF(COUNTIF(Volunteers!$B$6:$B$105,C740)=0,"Not on Volunteers",""))))))</f>
        <v/>
      </c>
      <c r="H740" s="1" t="n"/>
      <c r="I740">
        <f>IF(ISNUMBER(B740),YEAR(B740),"")</f>
        <v/>
      </c>
      <c r="J740">
        <f>IF(ISNUMBER(B740),YEAR(B740)*100+MONTH(B740),"")</f>
        <v/>
      </c>
      <c r="K740">
        <f>IF(ISNUMBER(B740),INT(B740),0)</f>
        <v/>
      </c>
      <c r="L740">
        <f>IF(AND(ISNUMBER(D740),N(D740)&gt;0),K740,0)</f>
        <v/>
      </c>
    </row>
    <row r="741">
      <c r="A741" s="1" t="n"/>
      <c r="B741" s="21" t="n"/>
      <c r="C741" s="22" t="n"/>
      <c r="D741" s="46" t="n"/>
      <c r="E741" s="25" t="n"/>
      <c r="F741" s="25" t="n"/>
      <c r="G741" s="17">
        <f>IF(AND(C741="",D741=""),"",IF(NOT(ISNUMBER(B741)),"Needs a date",IF(AND(D741&lt;&gt;"",NOT(ISNUMBER(D741))),"Hours not a number",IF(N(D741)&lt;=0,"Needs the hours",IF(C741="","Needs a name",IF(COUNTIF(Volunteers!$B$6:$B$105,C741)=0,"Not on Volunteers",""))))))</f>
        <v/>
      </c>
      <c r="H741" s="1" t="n"/>
      <c r="I741">
        <f>IF(ISNUMBER(B741),YEAR(B741),"")</f>
        <v/>
      </c>
      <c r="J741">
        <f>IF(ISNUMBER(B741),YEAR(B741)*100+MONTH(B741),"")</f>
        <v/>
      </c>
      <c r="K741">
        <f>IF(ISNUMBER(B741),INT(B741),0)</f>
        <v/>
      </c>
      <c r="L741">
        <f>IF(AND(ISNUMBER(D741),N(D741)&gt;0),K741,0)</f>
        <v/>
      </c>
    </row>
    <row r="742">
      <c r="A742" s="1" t="n"/>
      <c r="B742" s="21" t="n"/>
      <c r="C742" s="22" t="n"/>
      <c r="D742" s="46" t="n"/>
      <c r="E742" s="25" t="n"/>
      <c r="F742" s="25" t="n"/>
      <c r="G742" s="17">
        <f>IF(AND(C742="",D742=""),"",IF(NOT(ISNUMBER(B742)),"Needs a date",IF(AND(D742&lt;&gt;"",NOT(ISNUMBER(D742))),"Hours not a number",IF(N(D742)&lt;=0,"Needs the hours",IF(C742="","Needs a name",IF(COUNTIF(Volunteers!$B$6:$B$105,C742)=0,"Not on Volunteers",""))))))</f>
        <v/>
      </c>
      <c r="H742" s="1" t="n"/>
      <c r="I742">
        <f>IF(ISNUMBER(B742),YEAR(B742),"")</f>
        <v/>
      </c>
      <c r="J742">
        <f>IF(ISNUMBER(B742),YEAR(B742)*100+MONTH(B742),"")</f>
        <v/>
      </c>
      <c r="K742">
        <f>IF(ISNUMBER(B742),INT(B742),0)</f>
        <v/>
      </c>
      <c r="L742">
        <f>IF(AND(ISNUMBER(D742),N(D742)&gt;0),K742,0)</f>
        <v/>
      </c>
    </row>
    <row r="743">
      <c r="A743" s="1" t="n"/>
      <c r="B743" s="21" t="n"/>
      <c r="C743" s="22" t="n"/>
      <c r="D743" s="46" t="n"/>
      <c r="E743" s="25" t="n"/>
      <c r="F743" s="25" t="n"/>
      <c r="G743" s="17">
        <f>IF(AND(C743="",D743=""),"",IF(NOT(ISNUMBER(B743)),"Needs a date",IF(AND(D743&lt;&gt;"",NOT(ISNUMBER(D743))),"Hours not a number",IF(N(D743)&lt;=0,"Needs the hours",IF(C743="","Needs a name",IF(COUNTIF(Volunteers!$B$6:$B$105,C743)=0,"Not on Volunteers",""))))))</f>
        <v/>
      </c>
      <c r="H743" s="1" t="n"/>
      <c r="I743">
        <f>IF(ISNUMBER(B743),YEAR(B743),"")</f>
        <v/>
      </c>
      <c r="J743">
        <f>IF(ISNUMBER(B743),YEAR(B743)*100+MONTH(B743),"")</f>
        <v/>
      </c>
      <c r="K743">
        <f>IF(ISNUMBER(B743),INT(B743),0)</f>
        <v/>
      </c>
      <c r="L743">
        <f>IF(AND(ISNUMBER(D743),N(D743)&gt;0),K743,0)</f>
        <v/>
      </c>
    </row>
    <row r="744">
      <c r="A744" s="1" t="n"/>
      <c r="B744" s="21" t="n"/>
      <c r="C744" s="22" t="n"/>
      <c r="D744" s="46" t="n"/>
      <c r="E744" s="25" t="n"/>
      <c r="F744" s="25" t="n"/>
      <c r="G744" s="17">
        <f>IF(AND(C744="",D744=""),"",IF(NOT(ISNUMBER(B744)),"Needs a date",IF(AND(D744&lt;&gt;"",NOT(ISNUMBER(D744))),"Hours not a number",IF(N(D744)&lt;=0,"Needs the hours",IF(C744="","Needs a name",IF(COUNTIF(Volunteers!$B$6:$B$105,C744)=0,"Not on Volunteers",""))))))</f>
        <v/>
      </c>
      <c r="H744" s="1" t="n"/>
      <c r="I744">
        <f>IF(ISNUMBER(B744),YEAR(B744),"")</f>
        <v/>
      </c>
      <c r="J744">
        <f>IF(ISNUMBER(B744),YEAR(B744)*100+MONTH(B744),"")</f>
        <v/>
      </c>
      <c r="K744">
        <f>IF(ISNUMBER(B744),INT(B744),0)</f>
        <v/>
      </c>
      <c r="L744">
        <f>IF(AND(ISNUMBER(D744),N(D744)&gt;0),K744,0)</f>
        <v/>
      </c>
    </row>
    <row r="745">
      <c r="A745" s="1" t="n"/>
      <c r="B745" s="21" t="n"/>
      <c r="C745" s="22" t="n"/>
      <c r="D745" s="46" t="n"/>
      <c r="E745" s="25" t="n"/>
      <c r="F745" s="25" t="n"/>
      <c r="G745" s="17">
        <f>IF(AND(C745="",D745=""),"",IF(NOT(ISNUMBER(B745)),"Needs a date",IF(AND(D745&lt;&gt;"",NOT(ISNUMBER(D745))),"Hours not a number",IF(N(D745)&lt;=0,"Needs the hours",IF(C745="","Needs a name",IF(COUNTIF(Volunteers!$B$6:$B$105,C745)=0,"Not on Volunteers",""))))))</f>
        <v/>
      </c>
      <c r="H745" s="1" t="n"/>
      <c r="I745">
        <f>IF(ISNUMBER(B745),YEAR(B745),"")</f>
        <v/>
      </c>
      <c r="J745">
        <f>IF(ISNUMBER(B745),YEAR(B745)*100+MONTH(B745),"")</f>
        <v/>
      </c>
      <c r="K745">
        <f>IF(ISNUMBER(B745),INT(B745),0)</f>
        <v/>
      </c>
      <c r="L745">
        <f>IF(AND(ISNUMBER(D745),N(D745)&gt;0),K745,0)</f>
        <v/>
      </c>
    </row>
    <row r="746">
      <c r="A746" s="1" t="n"/>
      <c r="B746" s="21" t="n"/>
      <c r="C746" s="22" t="n"/>
      <c r="D746" s="46" t="n"/>
      <c r="E746" s="25" t="n"/>
      <c r="F746" s="25" t="n"/>
      <c r="G746" s="17">
        <f>IF(AND(C746="",D746=""),"",IF(NOT(ISNUMBER(B746)),"Needs a date",IF(AND(D746&lt;&gt;"",NOT(ISNUMBER(D746))),"Hours not a number",IF(N(D746)&lt;=0,"Needs the hours",IF(C746="","Needs a name",IF(COUNTIF(Volunteers!$B$6:$B$105,C746)=0,"Not on Volunteers",""))))))</f>
        <v/>
      </c>
      <c r="H746" s="1" t="n"/>
      <c r="I746">
        <f>IF(ISNUMBER(B746),YEAR(B746),"")</f>
        <v/>
      </c>
      <c r="J746">
        <f>IF(ISNUMBER(B746),YEAR(B746)*100+MONTH(B746),"")</f>
        <v/>
      </c>
      <c r="K746">
        <f>IF(ISNUMBER(B746),INT(B746),0)</f>
        <v/>
      </c>
      <c r="L746">
        <f>IF(AND(ISNUMBER(D746),N(D746)&gt;0),K746,0)</f>
        <v/>
      </c>
    </row>
    <row r="747">
      <c r="A747" s="1" t="n"/>
      <c r="B747" s="21" t="n"/>
      <c r="C747" s="22" t="n"/>
      <c r="D747" s="46" t="n"/>
      <c r="E747" s="25" t="n"/>
      <c r="F747" s="25" t="n"/>
      <c r="G747" s="17">
        <f>IF(AND(C747="",D747=""),"",IF(NOT(ISNUMBER(B747)),"Needs a date",IF(AND(D747&lt;&gt;"",NOT(ISNUMBER(D747))),"Hours not a number",IF(N(D747)&lt;=0,"Needs the hours",IF(C747="","Needs a name",IF(COUNTIF(Volunteers!$B$6:$B$105,C747)=0,"Not on Volunteers",""))))))</f>
        <v/>
      </c>
      <c r="H747" s="1" t="n"/>
      <c r="I747">
        <f>IF(ISNUMBER(B747),YEAR(B747),"")</f>
        <v/>
      </c>
      <c r="J747">
        <f>IF(ISNUMBER(B747),YEAR(B747)*100+MONTH(B747),"")</f>
        <v/>
      </c>
      <c r="K747">
        <f>IF(ISNUMBER(B747),INT(B747),0)</f>
        <v/>
      </c>
      <c r="L747">
        <f>IF(AND(ISNUMBER(D747),N(D747)&gt;0),K747,0)</f>
        <v/>
      </c>
    </row>
    <row r="748">
      <c r="A748" s="1" t="n"/>
      <c r="B748" s="21" t="n"/>
      <c r="C748" s="22" t="n"/>
      <c r="D748" s="46" t="n"/>
      <c r="E748" s="25" t="n"/>
      <c r="F748" s="25" t="n"/>
      <c r="G748" s="17">
        <f>IF(AND(C748="",D748=""),"",IF(NOT(ISNUMBER(B748)),"Needs a date",IF(AND(D748&lt;&gt;"",NOT(ISNUMBER(D748))),"Hours not a number",IF(N(D748)&lt;=0,"Needs the hours",IF(C748="","Needs a name",IF(COUNTIF(Volunteers!$B$6:$B$105,C748)=0,"Not on Volunteers",""))))))</f>
        <v/>
      </c>
      <c r="H748" s="1" t="n"/>
      <c r="I748">
        <f>IF(ISNUMBER(B748),YEAR(B748),"")</f>
        <v/>
      </c>
      <c r="J748">
        <f>IF(ISNUMBER(B748),YEAR(B748)*100+MONTH(B748),"")</f>
        <v/>
      </c>
      <c r="K748">
        <f>IF(ISNUMBER(B748),INT(B748),0)</f>
        <v/>
      </c>
      <c r="L748">
        <f>IF(AND(ISNUMBER(D748),N(D748)&gt;0),K748,0)</f>
        <v/>
      </c>
    </row>
    <row r="749">
      <c r="A749" s="1" t="n"/>
      <c r="B749" s="21" t="n"/>
      <c r="C749" s="22" t="n"/>
      <c r="D749" s="46" t="n"/>
      <c r="E749" s="25" t="n"/>
      <c r="F749" s="25" t="n"/>
      <c r="G749" s="17">
        <f>IF(AND(C749="",D749=""),"",IF(NOT(ISNUMBER(B749)),"Needs a date",IF(AND(D749&lt;&gt;"",NOT(ISNUMBER(D749))),"Hours not a number",IF(N(D749)&lt;=0,"Needs the hours",IF(C749="","Needs a name",IF(COUNTIF(Volunteers!$B$6:$B$105,C749)=0,"Not on Volunteers",""))))))</f>
        <v/>
      </c>
      <c r="H749" s="1" t="n"/>
      <c r="I749">
        <f>IF(ISNUMBER(B749),YEAR(B749),"")</f>
        <v/>
      </c>
      <c r="J749">
        <f>IF(ISNUMBER(B749),YEAR(B749)*100+MONTH(B749),"")</f>
        <v/>
      </c>
      <c r="K749">
        <f>IF(ISNUMBER(B749),INT(B749),0)</f>
        <v/>
      </c>
      <c r="L749">
        <f>IF(AND(ISNUMBER(D749),N(D749)&gt;0),K749,0)</f>
        <v/>
      </c>
    </row>
    <row r="750">
      <c r="A750" s="1" t="n"/>
      <c r="B750" s="21" t="n"/>
      <c r="C750" s="22" t="n"/>
      <c r="D750" s="46" t="n"/>
      <c r="E750" s="25" t="n"/>
      <c r="F750" s="25" t="n"/>
      <c r="G750" s="17">
        <f>IF(AND(C750="",D750=""),"",IF(NOT(ISNUMBER(B750)),"Needs a date",IF(AND(D750&lt;&gt;"",NOT(ISNUMBER(D750))),"Hours not a number",IF(N(D750)&lt;=0,"Needs the hours",IF(C750="","Needs a name",IF(COUNTIF(Volunteers!$B$6:$B$105,C750)=0,"Not on Volunteers",""))))))</f>
        <v/>
      </c>
      <c r="H750" s="1" t="n"/>
      <c r="I750">
        <f>IF(ISNUMBER(B750),YEAR(B750),"")</f>
        <v/>
      </c>
      <c r="J750">
        <f>IF(ISNUMBER(B750),YEAR(B750)*100+MONTH(B750),"")</f>
        <v/>
      </c>
      <c r="K750">
        <f>IF(ISNUMBER(B750),INT(B750),0)</f>
        <v/>
      </c>
      <c r="L750">
        <f>IF(AND(ISNUMBER(D750),N(D750)&gt;0),K750,0)</f>
        <v/>
      </c>
    </row>
    <row r="751">
      <c r="A751" s="1" t="n"/>
      <c r="B751" s="21" t="n"/>
      <c r="C751" s="22" t="n"/>
      <c r="D751" s="46" t="n"/>
      <c r="E751" s="25" t="n"/>
      <c r="F751" s="25" t="n"/>
      <c r="G751" s="17">
        <f>IF(AND(C751="",D751=""),"",IF(NOT(ISNUMBER(B751)),"Needs a date",IF(AND(D751&lt;&gt;"",NOT(ISNUMBER(D751))),"Hours not a number",IF(N(D751)&lt;=0,"Needs the hours",IF(C751="","Needs a name",IF(COUNTIF(Volunteers!$B$6:$B$105,C751)=0,"Not on Volunteers",""))))))</f>
        <v/>
      </c>
      <c r="H751" s="1" t="n"/>
      <c r="I751">
        <f>IF(ISNUMBER(B751),YEAR(B751),"")</f>
        <v/>
      </c>
      <c r="J751">
        <f>IF(ISNUMBER(B751),YEAR(B751)*100+MONTH(B751),"")</f>
        <v/>
      </c>
      <c r="K751">
        <f>IF(ISNUMBER(B751),INT(B751),0)</f>
        <v/>
      </c>
      <c r="L751">
        <f>IF(AND(ISNUMBER(D751),N(D751)&gt;0),K751,0)</f>
        <v/>
      </c>
    </row>
    <row r="752">
      <c r="A752" s="1" t="n"/>
      <c r="B752" s="21" t="n"/>
      <c r="C752" s="22" t="n"/>
      <c r="D752" s="46" t="n"/>
      <c r="E752" s="25" t="n"/>
      <c r="F752" s="25" t="n"/>
      <c r="G752" s="17">
        <f>IF(AND(C752="",D752=""),"",IF(NOT(ISNUMBER(B752)),"Needs a date",IF(AND(D752&lt;&gt;"",NOT(ISNUMBER(D752))),"Hours not a number",IF(N(D752)&lt;=0,"Needs the hours",IF(C752="","Needs a name",IF(COUNTIF(Volunteers!$B$6:$B$105,C752)=0,"Not on Volunteers",""))))))</f>
        <v/>
      </c>
      <c r="H752" s="1" t="n"/>
      <c r="I752">
        <f>IF(ISNUMBER(B752),YEAR(B752),"")</f>
        <v/>
      </c>
      <c r="J752">
        <f>IF(ISNUMBER(B752),YEAR(B752)*100+MONTH(B752),"")</f>
        <v/>
      </c>
      <c r="K752">
        <f>IF(ISNUMBER(B752),INT(B752),0)</f>
        <v/>
      </c>
      <c r="L752">
        <f>IF(AND(ISNUMBER(D752),N(D752)&gt;0),K752,0)</f>
        <v/>
      </c>
    </row>
    <row r="753">
      <c r="A753" s="1" t="n"/>
      <c r="B753" s="21" t="n"/>
      <c r="C753" s="22" t="n"/>
      <c r="D753" s="46" t="n"/>
      <c r="E753" s="25" t="n"/>
      <c r="F753" s="25" t="n"/>
      <c r="G753" s="17">
        <f>IF(AND(C753="",D753=""),"",IF(NOT(ISNUMBER(B753)),"Needs a date",IF(AND(D753&lt;&gt;"",NOT(ISNUMBER(D753))),"Hours not a number",IF(N(D753)&lt;=0,"Needs the hours",IF(C753="","Needs a name",IF(COUNTIF(Volunteers!$B$6:$B$105,C753)=0,"Not on Volunteers",""))))))</f>
        <v/>
      </c>
      <c r="H753" s="1" t="n"/>
      <c r="I753">
        <f>IF(ISNUMBER(B753),YEAR(B753),"")</f>
        <v/>
      </c>
      <c r="J753">
        <f>IF(ISNUMBER(B753),YEAR(B753)*100+MONTH(B753),"")</f>
        <v/>
      </c>
      <c r="K753">
        <f>IF(ISNUMBER(B753),INT(B753),0)</f>
        <v/>
      </c>
      <c r="L753">
        <f>IF(AND(ISNUMBER(D753),N(D753)&gt;0),K753,0)</f>
        <v/>
      </c>
    </row>
    <row r="754">
      <c r="A754" s="1" t="n"/>
      <c r="B754" s="21" t="n"/>
      <c r="C754" s="22" t="n"/>
      <c r="D754" s="46" t="n"/>
      <c r="E754" s="25" t="n"/>
      <c r="F754" s="25" t="n"/>
      <c r="G754" s="17">
        <f>IF(AND(C754="",D754=""),"",IF(NOT(ISNUMBER(B754)),"Needs a date",IF(AND(D754&lt;&gt;"",NOT(ISNUMBER(D754))),"Hours not a number",IF(N(D754)&lt;=0,"Needs the hours",IF(C754="","Needs a name",IF(COUNTIF(Volunteers!$B$6:$B$105,C754)=0,"Not on Volunteers",""))))))</f>
        <v/>
      </c>
      <c r="H754" s="1" t="n"/>
      <c r="I754">
        <f>IF(ISNUMBER(B754),YEAR(B754),"")</f>
        <v/>
      </c>
      <c r="J754">
        <f>IF(ISNUMBER(B754),YEAR(B754)*100+MONTH(B754),"")</f>
        <v/>
      </c>
      <c r="K754">
        <f>IF(ISNUMBER(B754),INT(B754),0)</f>
        <v/>
      </c>
      <c r="L754">
        <f>IF(AND(ISNUMBER(D754),N(D754)&gt;0),K754,0)</f>
        <v/>
      </c>
    </row>
    <row r="755">
      <c r="A755" s="1" t="n"/>
      <c r="B755" s="21" t="n"/>
      <c r="C755" s="22" t="n"/>
      <c r="D755" s="46" t="n"/>
      <c r="E755" s="25" t="n"/>
      <c r="F755" s="25" t="n"/>
      <c r="G755" s="17">
        <f>IF(AND(C755="",D755=""),"",IF(NOT(ISNUMBER(B755)),"Needs a date",IF(AND(D755&lt;&gt;"",NOT(ISNUMBER(D755))),"Hours not a number",IF(N(D755)&lt;=0,"Needs the hours",IF(C755="","Needs a name",IF(COUNTIF(Volunteers!$B$6:$B$105,C755)=0,"Not on Volunteers",""))))))</f>
        <v/>
      </c>
      <c r="H755" s="1" t="n"/>
      <c r="I755">
        <f>IF(ISNUMBER(B755),YEAR(B755),"")</f>
        <v/>
      </c>
      <c r="J755">
        <f>IF(ISNUMBER(B755),YEAR(B755)*100+MONTH(B755),"")</f>
        <v/>
      </c>
      <c r="K755">
        <f>IF(ISNUMBER(B755),INT(B755),0)</f>
        <v/>
      </c>
      <c r="L755">
        <f>IF(AND(ISNUMBER(D755),N(D755)&gt;0),K755,0)</f>
        <v/>
      </c>
    </row>
    <row r="756">
      <c r="A756" s="1" t="n"/>
      <c r="B756" s="21" t="n"/>
      <c r="C756" s="22" t="n"/>
      <c r="D756" s="46" t="n"/>
      <c r="E756" s="25" t="n"/>
      <c r="F756" s="25" t="n"/>
      <c r="G756" s="17">
        <f>IF(AND(C756="",D756=""),"",IF(NOT(ISNUMBER(B756)),"Needs a date",IF(AND(D756&lt;&gt;"",NOT(ISNUMBER(D756))),"Hours not a number",IF(N(D756)&lt;=0,"Needs the hours",IF(C756="","Needs a name",IF(COUNTIF(Volunteers!$B$6:$B$105,C756)=0,"Not on Volunteers",""))))))</f>
        <v/>
      </c>
      <c r="H756" s="1" t="n"/>
      <c r="I756">
        <f>IF(ISNUMBER(B756),YEAR(B756),"")</f>
        <v/>
      </c>
      <c r="J756">
        <f>IF(ISNUMBER(B756),YEAR(B756)*100+MONTH(B756),"")</f>
        <v/>
      </c>
      <c r="K756">
        <f>IF(ISNUMBER(B756),INT(B756),0)</f>
        <v/>
      </c>
      <c r="L756">
        <f>IF(AND(ISNUMBER(D756),N(D756)&gt;0),K756,0)</f>
        <v/>
      </c>
    </row>
    <row r="757">
      <c r="A757" s="1" t="n"/>
      <c r="B757" s="21" t="n"/>
      <c r="C757" s="22" t="n"/>
      <c r="D757" s="46" t="n"/>
      <c r="E757" s="25" t="n"/>
      <c r="F757" s="25" t="n"/>
      <c r="G757" s="17">
        <f>IF(AND(C757="",D757=""),"",IF(NOT(ISNUMBER(B757)),"Needs a date",IF(AND(D757&lt;&gt;"",NOT(ISNUMBER(D757))),"Hours not a number",IF(N(D757)&lt;=0,"Needs the hours",IF(C757="","Needs a name",IF(COUNTIF(Volunteers!$B$6:$B$105,C757)=0,"Not on Volunteers",""))))))</f>
        <v/>
      </c>
      <c r="H757" s="1" t="n"/>
      <c r="I757">
        <f>IF(ISNUMBER(B757),YEAR(B757),"")</f>
        <v/>
      </c>
      <c r="J757">
        <f>IF(ISNUMBER(B757),YEAR(B757)*100+MONTH(B757),"")</f>
        <v/>
      </c>
      <c r="K757">
        <f>IF(ISNUMBER(B757),INT(B757),0)</f>
        <v/>
      </c>
      <c r="L757">
        <f>IF(AND(ISNUMBER(D757),N(D757)&gt;0),K757,0)</f>
        <v/>
      </c>
    </row>
    <row r="758">
      <c r="A758" s="1" t="n"/>
      <c r="B758" s="21" t="n"/>
      <c r="C758" s="22" t="n"/>
      <c r="D758" s="46" t="n"/>
      <c r="E758" s="25" t="n"/>
      <c r="F758" s="25" t="n"/>
      <c r="G758" s="17">
        <f>IF(AND(C758="",D758=""),"",IF(NOT(ISNUMBER(B758)),"Needs a date",IF(AND(D758&lt;&gt;"",NOT(ISNUMBER(D758))),"Hours not a number",IF(N(D758)&lt;=0,"Needs the hours",IF(C758="","Needs a name",IF(COUNTIF(Volunteers!$B$6:$B$105,C758)=0,"Not on Volunteers",""))))))</f>
        <v/>
      </c>
      <c r="H758" s="1" t="n"/>
      <c r="I758">
        <f>IF(ISNUMBER(B758),YEAR(B758),"")</f>
        <v/>
      </c>
      <c r="J758">
        <f>IF(ISNUMBER(B758),YEAR(B758)*100+MONTH(B758),"")</f>
        <v/>
      </c>
      <c r="K758">
        <f>IF(ISNUMBER(B758),INT(B758),0)</f>
        <v/>
      </c>
      <c r="L758">
        <f>IF(AND(ISNUMBER(D758),N(D758)&gt;0),K758,0)</f>
        <v/>
      </c>
    </row>
    <row r="759">
      <c r="A759" s="1" t="n"/>
      <c r="B759" s="21" t="n"/>
      <c r="C759" s="22" t="n"/>
      <c r="D759" s="46" t="n"/>
      <c r="E759" s="25" t="n"/>
      <c r="F759" s="25" t="n"/>
      <c r="G759" s="17">
        <f>IF(AND(C759="",D759=""),"",IF(NOT(ISNUMBER(B759)),"Needs a date",IF(AND(D759&lt;&gt;"",NOT(ISNUMBER(D759))),"Hours not a number",IF(N(D759)&lt;=0,"Needs the hours",IF(C759="","Needs a name",IF(COUNTIF(Volunteers!$B$6:$B$105,C759)=0,"Not on Volunteers",""))))))</f>
        <v/>
      </c>
      <c r="H759" s="1" t="n"/>
      <c r="I759">
        <f>IF(ISNUMBER(B759),YEAR(B759),"")</f>
        <v/>
      </c>
      <c r="J759">
        <f>IF(ISNUMBER(B759),YEAR(B759)*100+MONTH(B759),"")</f>
        <v/>
      </c>
      <c r="K759">
        <f>IF(ISNUMBER(B759),INT(B759),0)</f>
        <v/>
      </c>
      <c r="L759">
        <f>IF(AND(ISNUMBER(D759),N(D759)&gt;0),K759,0)</f>
        <v/>
      </c>
    </row>
    <row r="760">
      <c r="A760" s="1" t="n"/>
      <c r="B760" s="21" t="n"/>
      <c r="C760" s="22" t="n"/>
      <c r="D760" s="46" t="n"/>
      <c r="E760" s="25" t="n"/>
      <c r="F760" s="25" t="n"/>
      <c r="G760" s="17">
        <f>IF(AND(C760="",D760=""),"",IF(NOT(ISNUMBER(B760)),"Needs a date",IF(AND(D760&lt;&gt;"",NOT(ISNUMBER(D760))),"Hours not a number",IF(N(D760)&lt;=0,"Needs the hours",IF(C760="","Needs a name",IF(COUNTIF(Volunteers!$B$6:$B$105,C760)=0,"Not on Volunteers",""))))))</f>
        <v/>
      </c>
      <c r="H760" s="1" t="n"/>
      <c r="I760">
        <f>IF(ISNUMBER(B760),YEAR(B760),"")</f>
        <v/>
      </c>
      <c r="J760">
        <f>IF(ISNUMBER(B760),YEAR(B760)*100+MONTH(B760),"")</f>
        <v/>
      </c>
      <c r="K760">
        <f>IF(ISNUMBER(B760),INT(B760),0)</f>
        <v/>
      </c>
      <c r="L760">
        <f>IF(AND(ISNUMBER(D760),N(D760)&gt;0),K760,0)</f>
        <v/>
      </c>
    </row>
    <row r="761">
      <c r="A761" s="1" t="n"/>
      <c r="B761" s="21" t="n"/>
      <c r="C761" s="22" t="n"/>
      <c r="D761" s="46" t="n"/>
      <c r="E761" s="25" t="n"/>
      <c r="F761" s="25" t="n"/>
      <c r="G761" s="17">
        <f>IF(AND(C761="",D761=""),"",IF(NOT(ISNUMBER(B761)),"Needs a date",IF(AND(D761&lt;&gt;"",NOT(ISNUMBER(D761))),"Hours not a number",IF(N(D761)&lt;=0,"Needs the hours",IF(C761="","Needs a name",IF(COUNTIF(Volunteers!$B$6:$B$105,C761)=0,"Not on Volunteers",""))))))</f>
        <v/>
      </c>
      <c r="H761" s="1" t="n"/>
      <c r="I761">
        <f>IF(ISNUMBER(B761),YEAR(B761),"")</f>
        <v/>
      </c>
      <c r="J761">
        <f>IF(ISNUMBER(B761),YEAR(B761)*100+MONTH(B761),"")</f>
        <v/>
      </c>
      <c r="K761">
        <f>IF(ISNUMBER(B761),INT(B761),0)</f>
        <v/>
      </c>
      <c r="L761">
        <f>IF(AND(ISNUMBER(D761),N(D761)&gt;0),K761,0)</f>
        <v/>
      </c>
    </row>
    <row r="762">
      <c r="A762" s="1" t="n"/>
      <c r="B762" s="21" t="n"/>
      <c r="C762" s="22" t="n"/>
      <c r="D762" s="46" t="n"/>
      <c r="E762" s="25" t="n"/>
      <c r="F762" s="25" t="n"/>
      <c r="G762" s="17">
        <f>IF(AND(C762="",D762=""),"",IF(NOT(ISNUMBER(B762)),"Needs a date",IF(AND(D762&lt;&gt;"",NOT(ISNUMBER(D762))),"Hours not a number",IF(N(D762)&lt;=0,"Needs the hours",IF(C762="","Needs a name",IF(COUNTIF(Volunteers!$B$6:$B$105,C762)=0,"Not on Volunteers",""))))))</f>
        <v/>
      </c>
      <c r="H762" s="1" t="n"/>
      <c r="I762">
        <f>IF(ISNUMBER(B762),YEAR(B762),"")</f>
        <v/>
      </c>
      <c r="J762">
        <f>IF(ISNUMBER(B762),YEAR(B762)*100+MONTH(B762),"")</f>
        <v/>
      </c>
      <c r="K762">
        <f>IF(ISNUMBER(B762),INT(B762),0)</f>
        <v/>
      </c>
      <c r="L762">
        <f>IF(AND(ISNUMBER(D762),N(D762)&gt;0),K762,0)</f>
        <v/>
      </c>
    </row>
    <row r="763">
      <c r="A763" s="1" t="n"/>
      <c r="B763" s="21" t="n"/>
      <c r="C763" s="22" t="n"/>
      <c r="D763" s="46" t="n"/>
      <c r="E763" s="25" t="n"/>
      <c r="F763" s="25" t="n"/>
      <c r="G763" s="17">
        <f>IF(AND(C763="",D763=""),"",IF(NOT(ISNUMBER(B763)),"Needs a date",IF(AND(D763&lt;&gt;"",NOT(ISNUMBER(D763))),"Hours not a number",IF(N(D763)&lt;=0,"Needs the hours",IF(C763="","Needs a name",IF(COUNTIF(Volunteers!$B$6:$B$105,C763)=0,"Not on Volunteers",""))))))</f>
        <v/>
      </c>
      <c r="H763" s="1" t="n"/>
      <c r="I763">
        <f>IF(ISNUMBER(B763),YEAR(B763),"")</f>
        <v/>
      </c>
      <c r="J763">
        <f>IF(ISNUMBER(B763),YEAR(B763)*100+MONTH(B763),"")</f>
        <v/>
      </c>
      <c r="K763">
        <f>IF(ISNUMBER(B763),INT(B763),0)</f>
        <v/>
      </c>
      <c r="L763">
        <f>IF(AND(ISNUMBER(D763),N(D763)&gt;0),K763,0)</f>
        <v/>
      </c>
    </row>
    <row r="764">
      <c r="A764" s="1" t="n"/>
      <c r="B764" s="21" t="n"/>
      <c r="C764" s="22" t="n"/>
      <c r="D764" s="46" t="n"/>
      <c r="E764" s="25" t="n"/>
      <c r="F764" s="25" t="n"/>
      <c r="G764" s="17">
        <f>IF(AND(C764="",D764=""),"",IF(NOT(ISNUMBER(B764)),"Needs a date",IF(AND(D764&lt;&gt;"",NOT(ISNUMBER(D764))),"Hours not a number",IF(N(D764)&lt;=0,"Needs the hours",IF(C764="","Needs a name",IF(COUNTIF(Volunteers!$B$6:$B$105,C764)=0,"Not on Volunteers",""))))))</f>
        <v/>
      </c>
      <c r="H764" s="1" t="n"/>
      <c r="I764">
        <f>IF(ISNUMBER(B764),YEAR(B764),"")</f>
        <v/>
      </c>
      <c r="J764">
        <f>IF(ISNUMBER(B764),YEAR(B764)*100+MONTH(B764),"")</f>
        <v/>
      </c>
      <c r="K764">
        <f>IF(ISNUMBER(B764),INT(B764),0)</f>
        <v/>
      </c>
      <c r="L764">
        <f>IF(AND(ISNUMBER(D764),N(D764)&gt;0),K764,0)</f>
        <v/>
      </c>
    </row>
    <row r="765">
      <c r="A765" s="1" t="n"/>
      <c r="B765" s="21" t="n"/>
      <c r="C765" s="22" t="n"/>
      <c r="D765" s="46" t="n"/>
      <c r="E765" s="25" t="n"/>
      <c r="F765" s="25" t="n"/>
      <c r="G765" s="17">
        <f>IF(AND(C765="",D765=""),"",IF(NOT(ISNUMBER(B765)),"Needs a date",IF(AND(D765&lt;&gt;"",NOT(ISNUMBER(D765))),"Hours not a number",IF(N(D765)&lt;=0,"Needs the hours",IF(C765="","Needs a name",IF(COUNTIF(Volunteers!$B$6:$B$105,C765)=0,"Not on Volunteers",""))))))</f>
        <v/>
      </c>
      <c r="H765" s="1" t="n"/>
      <c r="I765">
        <f>IF(ISNUMBER(B765),YEAR(B765),"")</f>
        <v/>
      </c>
      <c r="J765">
        <f>IF(ISNUMBER(B765),YEAR(B765)*100+MONTH(B765),"")</f>
        <v/>
      </c>
      <c r="K765">
        <f>IF(ISNUMBER(B765),INT(B765),0)</f>
        <v/>
      </c>
      <c r="L765">
        <f>IF(AND(ISNUMBER(D765),N(D765)&gt;0),K765,0)</f>
        <v/>
      </c>
    </row>
    <row r="766">
      <c r="A766" s="1" t="n"/>
      <c r="B766" s="21" t="n"/>
      <c r="C766" s="22" t="n"/>
      <c r="D766" s="46" t="n"/>
      <c r="E766" s="25" t="n"/>
      <c r="F766" s="25" t="n"/>
      <c r="G766" s="17">
        <f>IF(AND(C766="",D766=""),"",IF(NOT(ISNUMBER(B766)),"Needs a date",IF(AND(D766&lt;&gt;"",NOT(ISNUMBER(D766))),"Hours not a number",IF(N(D766)&lt;=0,"Needs the hours",IF(C766="","Needs a name",IF(COUNTIF(Volunteers!$B$6:$B$105,C766)=0,"Not on Volunteers",""))))))</f>
        <v/>
      </c>
      <c r="H766" s="1" t="n"/>
      <c r="I766">
        <f>IF(ISNUMBER(B766),YEAR(B766),"")</f>
        <v/>
      </c>
      <c r="J766">
        <f>IF(ISNUMBER(B766),YEAR(B766)*100+MONTH(B766),"")</f>
        <v/>
      </c>
      <c r="K766">
        <f>IF(ISNUMBER(B766),INT(B766),0)</f>
        <v/>
      </c>
      <c r="L766">
        <f>IF(AND(ISNUMBER(D766),N(D766)&gt;0),K766,0)</f>
        <v/>
      </c>
    </row>
    <row r="767">
      <c r="A767" s="1" t="n"/>
      <c r="B767" s="21" t="n"/>
      <c r="C767" s="22" t="n"/>
      <c r="D767" s="46" t="n"/>
      <c r="E767" s="25" t="n"/>
      <c r="F767" s="25" t="n"/>
      <c r="G767" s="17">
        <f>IF(AND(C767="",D767=""),"",IF(NOT(ISNUMBER(B767)),"Needs a date",IF(AND(D767&lt;&gt;"",NOT(ISNUMBER(D767))),"Hours not a number",IF(N(D767)&lt;=0,"Needs the hours",IF(C767="","Needs a name",IF(COUNTIF(Volunteers!$B$6:$B$105,C767)=0,"Not on Volunteers",""))))))</f>
        <v/>
      </c>
      <c r="H767" s="1" t="n"/>
      <c r="I767">
        <f>IF(ISNUMBER(B767),YEAR(B767),"")</f>
        <v/>
      </c>
      <c r="J767">
        <f>IF(ISNUMBER(B767),YEAR(B767)*100+MONTH(B767),"")</f>
        <v/>
      </c>
      <c r="K767">
        <f>IF(ISNUMBER(B767),INT(B767),0)</f>
        <v/>
      </c>
      <c r="L767">
        <f>IF(AND(ISNUMBER(D767),N(D767)&gt;0),K767,0)</f>
        <v/>
      </c>
    </row>
    <row r="768">
      <c r="A768" s="1" t="n"/>
      <c r="B768" s="21" t="n"/>
      <c r="C768" s="22" t="n"/>
      <c r="D768" s="46" t="n"/>
      <c r="E768" s="25" t="n"/>
      <c r="F768" s="25" t="n"/>
      <c r="G768" s="17">
        <f>IF(AND(C768="",D768=""),"",IF(NOT(ISNUMBER(B768)),"Needs a date",IF(AND(D768&lt;&gt;"",NOT(ISNUMBER(D768))),"Hours not a number",IF(N(D768)&lt;=0,"Needs the hours",IF(C768="","Needs a name",IF(COUNTIF(Volunteers!$B$6:$B$105,C768)=0,"Not on Volunteers",""))))))</f>
        <v/>
      </c>
      <c r="H768" s="1" t="n"/>
      <c r="I768">
        <f>IF(ISNUMBER(B768),YEAR(B768),"")</f>
        <v/>
      </c>
      <c r="J768">
        <f>IF(ISNUMBER(B768),YEAR(B768)*100+MONTH(B768),"")</f>
        <v/>
      </c>
      <c r="K768">
        <f>IF(ISNUMBER(B768),INT(B768),0)</f>
        <v/>
      </c>
      <c r="L768">
        <f>IF(AND(ISNUMBER(D768),N(D768)&gt;0),K768,0)</f>
        <v/>
      </c>
    </row>
    <row r="769">
      <c r="A769" s="1" t="n"/>
      <c r="B769" s="21" t="n"/>
      <c r="C769" s="22" t="n"/>
      <c r="D769" s="46" t="n"/>
      <c r="E769" s="25" t="n"/>
      <c r="F769" s="25" t="n"/>
      <c r="G769" s="17">
        <f>IF(AND(C769="",D769=""),"",IF(NOT(ISNUMBER(B769)),"Needs a date",IF(AND(D769&lt;&gt;"",NOT(ISNUMBER(D769))),"Hours not a number",IF(N(D769)&lt;=0,"Needs the hours",IF(C769="","Needs a name",IF(COUNTIF(Volunteers!$B$6:$B$105,C769)=0,"Not on Volunteers",""))))))</f>
        <v/>
      </c>
      <c r="H769" s="1" t="n"/>
      <c r="I769">
        <f>IF(ISNUMBER(B769),YEAR(B769),"")</f>
        <v/>
      </c>
      <c r="J769">
        <f>IF(ISNUMBER(B769),YEAR(B769)*100+MONTH(B769),"")</f>
        <v/>
      </c>
      <c r="K769">
        <f>IF(ISNUMBER(B769),INT(B769),0)</f>
        <v/>
      </c>
      <c r="L769">
        <f>IF(AND(ISNUMBER(D769),N(D769)&gt;0),K769,0)</f>
        <v/>
      </c>
    </row>
    <row r="770">
      <c r="A770" s="1" t="n"/>
      <c r="B770" s="21" t="n"/>
      <c r="C770" s="22" t="n"/>
      <c r="D770" s="46" t="n"/>
      <c r="E770" s="25" t="n"/>
      <c r="F770" s="25" t="n"/>
      <c r="G770" s="17">
        <f>IF(AND(C770="",D770=""),"",IF(NOT(ISNUMBER(B770)),"Needs a date",IF(AND(D770&lt;&gt;"",NOT(ISNUMBER(D770))),"Hours not a number",IF(N(D770)&lt;=0,"Needs the hours",IF(C770="","Needs a name",IF(COUNTIF(Volunteers!$B$6:$B$105,C770)=0,"Not on Volunteers",""))))))</f>
        <v/>
      </c>
      <c r="H770" s="1" t="n"/>
      <c r="I770">
        <f>IF(ISNUMBER(B770),YEAR(B770),"")</f>
        <v/>
      </c>
      <c r="J770">
        <f>IF(ISNUMBER(B770),YEAR(B770)*100+MONTH(B770),"")</f>
        <v/>
      </c>
      <c r="K770">
        <f>IF(ISNUMBER(B770),INT(B770),0)</f>
        <v/>
      </c>
      <c r="L770">
        <f>IF(AND(ISNUMBER(D770),N(D770)&gt;0),K770,0)</f>
        <v/>
      </c>
    </row>
    <row r="771">
      <c r="A771" s="1" t="n"/>
      <c r="B771" s="21" t="n"/>
      <c r="C771" s="22" t="n"/>
      <c r="D771" s="46" t="n"/>
      <c r="E771" s="25" t="n"/>
      <c r="F771" s="25" t="n"/>
      <c r="G771" s="17">
        <f>IF(AND(C771="",D771=""),"",IF(NOT(ISNUMBER(B771)),"Needs a date",IF(AND(D771&lt;&gt;"",NOT(ISNUMBER(D771))),"Hours not a number",IF(N(D771)&lt;=0,"Needs the hours",IF(C771="","Needs a name",IF(COUNTIF(Volunteers!$B$6:$B$105,C771)=0,"Not on Volunteers",""))))))</f>
        <v/>
      </c>
      <c r="H771" s="1" t="n"/>
      <c r="I771">
        <f>IF(ISNUMBER(B771),YEAR(B771),"")</f>
        <v/>
      </c>
      <c r="J771">
        <f>IF(ISNUMBER(B771),YEAR(B771)*100+MONTH(B771),"")</f>
        <v/>
      </c>
      <c r="K771">
        <f>IF(ISNUMBER(B771),INT(B771),0)</f>
        <v/>
      </c>
      <c r="L771">
        <f>IF(AND(ISNUMBER(D771),N(D771)&gt;0),K771,0)</f>
        <v/>
      </c>
    </row>
    <row r="772">
      <c r="A772" s="1" t="n"/>
      <c r="B772" s="21" t="n"/>
      <c r="C772" s="22" t="n"/>
      <c r="D772" s="46" t="n"/>
      <c r="E772" s="25" t="n"/>
      <c r="F772" s="25" t="n"/>
      <c r="G772" s="17">
        <f>IF(AND(C772="",D772=""),"",IF(NOT(ISNUMBER(B772)),"Needs a date",IF(AND(D772&lt;&gt;"",NOT(ISNUMBER(D772))),"Hours not a number",IF(N(D772)&lt;=0,"Needs the hours",IF(C772="","Needs a name",IF(COUNTIF(Volunteers!$B$6:$B$105,C772)=0,"Not on Volunteers",""))))))</f>
        <v/>
      </c>
      <c r="H772" s="1" t="n"/>
      <c r="I772">
        <f>IF(ISNUMBER(B772),YEAR(B772),"")</f>
        <v/>
      </c>
      <c r="J772">
        <f>IF(ISNUMBER(B772),YEAR(B772)*100+MONTH(B772),"")</f>
        <v/>
      </c>
      <c r="K772">
        <f>IF(ISNUMBER(B772),INT(B772),0)</f>
        <v/>
      </c>
      <c r="L772">
        <f>IF(AND(ISNUMBER(D772),N(D772)&gt;0),K772,0)</f>
        <v/>
      </c>
    </row>
    <row r="773">
      <c r="A773" s="1" t="n"/>
      <c r="B773" s="21" t="n"/>
      <c r="C773" s="22" t="n"/>
      <c r="D773" s="46" t="n"/>
      <c r="E773" s="25" t="n"/>
      <c r="F773" s="25" t="n"/>
      <c r="G773" s="17">
        <f>IF(AND(C773="",D773=""),"",IF(NOT(ISNUMBER(B773)),"Needs a date",IF(AND(D773&lt;&gt;"",NOT(ISNUMBER(D773))),"Hours not a number",IF(N(D773)&lt;=0,"Needs the hours",IF(C773="","Needs a name",IF(COUNTIF(Volunteers!$B$6:$B$105,C773)=0,"Not on Volunteers",""))))))</f>
        <v/>
      </c>
      <c r="H773" s="1" t="n"/>
      <c r="I773">
        <f>IF(ISNUMBER(B773),YEAR(B773),"")</f>
        <v/>
      </c>
      <c r="J773">
        <f>IF(ISNUMBER(B773),YEAR(B773)*100+MONTH(B773),"")</f>
        <v/>
      </c>
      <c r="K773">
        <f>IF(ISNUMBER(B773),INT(B773),0)</f>
        <v/>
      </c>
      <c r="L773">
        <f>IF(AND(ISNUMBER(D773),N(D773)&gt;0),K773,0)</f>
        <v/>
      </c>
    </row>
    <row r="774">
      <c r="A774" s="1" t="n"/>
      <c r="B774" s="21" t="n"/>
      <c r="C774" s="22" t="n"/>
      <c r="D774" s="46" t="n"/>
      <c r="E774" s="25" t="n"/>
      <c r="F774" s="25" t="n"/>
      <c r="G774" s="17">
        <f>IF(AND(C774="",D774=""),"",IF(NOT(ISNUMBER(B774)),"Needs a date",IF(AND(D774&lt;&gt;"",NOT(ISNUMBER(D774))),"Hours not a number",IF(N(D774)&lt;=0,"Needs the hours",IF(C774="","Needs a name",IF(COUNTIF(Volunteers!$B$6:$B$105,C774)=0,"Not on Volunteers",""))))))</f>
        <v/>
      </c>
      <c r="H774" s="1" t="n"/>
      <c r="I774">
        <f>IF(ISNUMBER(B774),YEAR(B774),"")</f>
        <v/>
      </c>
      <c r="J774">
        <f>IF(ISNUMBER(B774),YEAR(B774)*100+MONTH(B774),"")</f>
        <v/>
      </c>
      <c r="K774">
        <f>IF(ISNUMBER(B774),INT(B774),0)</f>
        <v/>
      </c>
      <c r="L774">
        <f>IF(AND(ISNUMBER(D774),N(D774)&gt;0),K774,0)</f>
        <v/>
      </c>
    </row>
    <row r="775">
      <c r="A775" s="1" t="n"/>
      <c r="B775" s="21" t="n"/>
      <c r="C775" s="22" t="n"/>
      <c r="D775" s="46" t="n"/>
      <c r="E775" s="25" t="n"/>
      <c r="F775" s="25" t="n"/>
      <c r="G775" s="17">
        <f>IF(AND(C775="",D775=""),"",IF(NOT(ISNUMBER(B775)),"Needs a date",IF(AND(D775&lt;&gt;"",NOT(ISNUMBER(D775))),"Hours not a number",IF(N(D775)&lt;=0,"Needs the hours",IF(C775="","Needs a name",IF(COUNTIF(Volunteers!$B$6:$B$105,C775)=0,"Not on Volunteers",""))))))</f>
        <v/>
      </c>
      <c r="H775" s="1" t="n"/>
      <c r="I775">
        <f>IF(ISNUMBER(B775),YEAR(B775),"")</f>
        <v/>
      </c>
      <c r="J775">
        <f>IF(ISNUMBER(B775),YEAR(B775)*100+MONTH(B775),"")</f>
        <v/>
      </c>
      <c r="K775">
        <f>IF(ISNUMBER(B775),INT(B775),0)</f>
        <v/>
      </c>
      <c r="L775">
        <f>IF(AND(ISNUMBER(D775),N(D775)&gt;0),K775,0)</f>
        <v/>
      </c>
    </row>
    <row r="776">
      <c r="A776" s="1" t="n"/>
      <c r="B776" s="21" t="n"/>
      <c r="C776" s="22" t="n"/>
      <c r="D776" s="46" t="n"/>
      <c r="E776" s="25" t="n"/>
      <c r="F776" s="25" t="n"/>
      <c r="G776" s="17">
        <f>IF(AND(C776="",D776=""),"",IF(NOT(ISNUMBER(B776)),"Needs a date",IF(AND(D776&lt;&gt;"",NOT(ISNUMBER(D776))),"Hours not a number",IF(N(D776)&lt;=0,"Needs the hours",IF(C776="","Needs a name",IF(COUNTIF(Volunteers!$B$6:$B$105,C776)=0,"Not on Volunteers",""))))))</f>
        <v/>
      </c>
      <c r="H776" s="1" t="n"/>
      <c r="I776">
        <f>IF(ISNUMBER(B776),YEAR(B776),"")</f>
        <v/>
      </c>
      <c r="J776">
        <f>IF(ISNUMBER(B776),YEAR(B776)*100+MONTH(B776),"")</f>
        <v/>
      </c>
      <c r="K776">
        <f>IF(ISNUMBER(B776),INT(B776),0)</f>
        <v/>
      </c>
      <c r="L776">
        <f>IF(AND(ISNUMBER(D776),N(D776)&gt;0),K776,0)</f>
        <v/>
      </c>
    </row>
    <row r="777">
      <c r="A777" s="1" t="n"/>
      <c r="B777" s="21" t="n"/>
      <c r="C777" s="22" t="n"/>
      <c r="D777" s="46" t="n"/>
      <c r="E777" s="25" t="n"/>
      <c r="F777" s="25" t="n"/>
      <c r="G777" s="17">
        <f>IF(AND(C777="",D777=""),"",IF(NOT(ISNUMBER(B777)),"Needs a date",IF(AND(D777&lt;&gt;"",NOT(ISNUMBER(D777))),"Hours not a number",IF(N(D777)&lt;=0,"Needs the hours",IF(C777="","Needs a name",IF(COUNTIF(Volunteers!$B$6:$B$105,C777)=0,"Not on Volunteers",""))))))</f>
        <v/>
      </c>
      <c r="H777" s="1" t="n"/>
      <c r="I777">
        <f>IF(ISNUMBER(B777),YEAR(B777),"")</f>
        <v/>
      </c>
      <c r="J777">
        <f>IF(ISNUMBER(B777),YEAR(B777)*100+MONTH(B777),"")</f>
        <v/>
      </c>
      <c r="K777">
        <f>IF(ISNUMBER(B777),INT(B777),0)</f>
        <v/>
      </c>
      <c r="L777">
        <f>IF(AND(ISNUMBER(D777),N(D777)&gt;0),K777,0)</f>
        <v/>
      </c>
    </row>
    <row r="778">
      <c r="A778" s="1" t="n"/>
      <c r="B778" s="21" t="n"/>
      <c r="C778" s="22" t="n"/>
      <c r="D778" s="46" t="n"/>
      <c r="E778" s="25" t="n"/>
      <c r="F778" s="25" t="n"/>
      <c r="G778" s="17">
        <f>IF(AND(C778="",D778=""),"",IF(NOT(ISNUMBER(B778)),"Needs a date",IF(AND(D778&lt;&gt;"",NOT(ISNUMBER(D778))),"Hours not a number",IF(N(D778)&lt;=0,"Needs the hours",IF(C778="","Needs a name",IF(COUNTIF(Volunteers!$B$6:$B$105,C778)=0,"Not on Volunteers",""))))))</f>
        <v/>
      </c>
      <c r="H778" s="1" t="n"/>
      <c r="I778">
        <f>IF(ISNUMBER(B778),YEAR(B778),"")</f>
        <v/>
      </c>
      <c r="J778">
        <f>IF(ISNUMBER(B778),YEAR(B778)*100+MONTH(B778),"")</f>
        <v/>
      </c>
      <c r="K778">
        <f>IF(ISNUMBER(B778),INT(B778),0)</f>
        <v/>
      </c>
      <c r="L778">
        <f>IF(AND(ISNUMBER(D778),N(D778)&gt;0),K778,0)</f>
        <v/>
      </c>
    </row>
    <row r="779">
      <c r="A779" s="1" t="n"/>
      <c r="B779" s="21" t="n"/>
      <c r="C779" s="22" t="n"/>
      <c r="D779" s="46" t="n"/>
      <c r="E779" s="25" t="n"/>
      <c r="F779" s="25" t="n"/>
      <c r="G779" s="17">
        <f>IF(AND(C779="",D779=""),"",IF(NOT(ISNUMBER(B779)),"Needs a date",IF(AND(D779&lt;&gt;"",NOT(ISNUMBER(D779))),"Hours not a number",IF(N(D779)&lt;=0,"Needs the hours",IF(C779="","Needs a name",IF(COUNTIF(Volunteers!$B$6:$B$105,C779)=0,"Not on Volunteers",""))))))</f>
        <v/>
      </c>
      <c r="H779" s="1" t="n"/>
      <c r="I779">
        <f>IF(ISNUMBER(B779),YEAR(B779),"")</f>
        <v/>
      </c>
      <c r="J779">
        <f>IF(ISNUMBER(B779),YEAR(B779)*100+MONTH(B779),"")</f>
        <v/>
      </c>
      <c r="K779">
        <f>IF(ISNUMBER(B779),INT(B779),0)</f>
        <v/>
      </c>
      <c r="L779">
        <f>IF(AND(ISNUMBER(D779),N(D779)&gt;0),K779,0)</f>
        <v/>
      </c>
    </row>
    <row r="780">
      <c r="A780" s="1" t="n"/>
      <c r="B780" s="21" t="n"/>
      <c r="C780" s="22" t="n"/>
      <c r="D780" s="46" t="n"/>
      <c r="E780" s="25" t="n"/>
      <c r="F780" s="25" t="n"/>
      <c r="G780" s="17">
        <f>IF(AND(C780="",D780=""),"",IF(NOT(ISNUMBER(B780)),"Needs a date",IF(AND(D780&lt;&gt;"",NOT(ISNUMBER(D780))),"Hours not a number",IF(N(D780)&lt;=0,"Needs the hours",IF(C780="","Needs a name",IF(COUNTIF(Volunteers!$B$6:$B$105,C780)=0,"Not on Volunteers",""))))))</f>
        <v/>
      </c>
      <c r="H780" s="1" t="n"/>
      <c r="I780">
        <f>IF(ISNUMBER(B780),YEAR(B780),"")</f>
        <v/>
      </c>
      <c r="J780">
        <f>IF(ISNUMBER(B780),YEAR(B780)*100+MONTH(B780),"")</f>
        <v/>
      </c>
      <c r="K780">
        <f>IF(ISNUMBER(B780),INT(B780),0)</f>
        <v/>
      </c>
      <c r="L780">
        <f>IF(AND(ISNUMBER(D780),N(D780)&gt;0),K780,0)</f>
        <v/>
      </c>
    </row>
    <row r="781">
      <c r="A781" s="1" t="n"/>
      <c r="B781" s="21" t="n"/>
      <c r="C781" s="22" t="n"/>
      <c r="D781" s="46" t="n"/>
      <c r="E781" s="25" t="n"/>
      <c r="F781" s="25" t="n"/>
      <c r="G781" s="17">
        <f>IF(AND(C781="",D781=""),"",IF(NOT(ISNUMBER(B781)),"Needs a date",IF(AND(D781&lt;&gt;"",NOT(ISNUMBER(D781))),"Hours not a number",IF(N(D781)&lt;=0,"Needs the hours",IF(C781="","Needs a name",IF(COUNTIF(Volunteers!$B$6:$B$105,C781)=0,"Not on Volunteers",""))))))</f>
        <v/>
      </c>
      <c r="H781" s="1" t="n"/>
      <c r="I781">
        <f>IF(ISNUMBER(B781),YEAR(B781),"")</f>
        <v/>
      </c>
      <c r="J781">
        <f>IF(ISNUMBER(B781),YEAR(B781)*100+MONTH(B781),"")</f>
        <v/>
      </c>
      <c r="K781">
        <f>IF(ISNUMBER(B781),INT(B781),0)</f>
        <v/>
      </c>
      <c r="L781">
        <f>IF(AND(ISNUMBER(D781),N(D781)&gt;0),K781,0)</f>
        <v/>
      </c>
    </row>
    <row r="782">
      <c r="A782" s="1" t="n"/>
      <c r="B782" s="21" t="n"/>
      <c r="C782" s="22" t="n"/>
      <c r="D782" s="46" t="n"/>
      <c r="E782" s="25" t="n"/>
      <c r="F782" s="25" t="n"/>
      <c r="G782" s="17">
        <f>IF(AND(C782="",D782=""),"",IF(NOT(ISNUMBER(B782)),"Needs a date",IF(AND(D782&lt;&gt;"",NOT(ISNUMBER(D782))),"Hours not a number",IF(N(D782)&lt;=0,"Needs the hours",IF(C782="","Needs a name",IF(COUNTIF(Volunteers!$B$6:$B$105,C782)=0,"Not on Volunteers",""))))))</f>
        <v/>
      </c>
      <c r="H782" s="1" t="n"/>
      <c r="I782">
        <f>IF(ISNUMBER(B782),YEAR(B782),"")</f>
        <v/>
      </c>
      <c r="J782">
        <f>IF(ISNUMBER(B782),YEAR(B782)*100+MONTH(B782),"")</f>
        <v/>
      </c>
      <c r="K782">
        <f>IF(ISNUMBER(B782),INT(B782),0)</f>
        <v/>
      </c>
      <c r="L782">
        <f>IF(AND(ISNUMBER(D782),N(D782)&gt;0),K782,0)</f>
        <v/>
      </c>
    </row>
    <row r="783">
      <c r="A783" s="1" t="n"/>
      <c r="B783" s="21" t="n"/>
      <c r="C783" s="22" t="n"/>
      <c r="D783" s="46" t="n"/>
      <c r="E783" s="25" t="n"/>
      <c r="F783" s="25" t="n"/>
      <c r="G783" s="17">
        <f>IF(AND(C783="",D783=""),"",IF(NOT(ISNUMBER(B783)),"Needs a date",IF(AND(D783&lt;&gt;"",NOT(ISNUMBER(D783))),"Hours not a number",IF(N(D783)&lt;=0,"Needs the hours",IF(C783="","Needs a name",IF(COUNTIF(Volunteers!$B$6:$B$105,C783)=0,"Not on Volunteers",""))))))</f>
        <v/>
      </c>
      <c r="H783" s="1" t="n"/>
      <c r="I783">
        <f>IF(ISNUMBER(B783),YEAR(B783),"")</f>
        <v/>
      </c>
      <c r="J783">
        <f>IF(ISNUMBER(B783),YEAR(B783)*100+MONTH(B783),"")</f>
        <v/>
      </c>
      <c r="K783">
        <f>IF(ISNUMBER(B783),INT(B783),0)</f>
        <v/>
      </c>
      <c r="L783">
        <f>IF(AND(ISNUMBER(D783),N(D783)&gt;0),K783,0)</f>
        <v/>
      </c>
    </row>
    <row r="784">
      <c r="A784" s="1" t="n"/>
      <c r="B784" s="21" t="n"/>
      <c r="C784" s="22" t="n"/>
      <c r="D784" s="46" t="n"/>
      <c r="E784" s="25" t="n"/>
      <c r="F784" s="25" t="n"/>
      <c r="G784" s="17">
        <f>IF(AND(C784="",D784=""),"",IF(NOT(ISNUMBER(B784)),"Needs a date",IF(AND(D784&lt;&gt;"",NOT(ISNUMBER(D784))),"Hours not a number",IF(N(D784)&lt;=0,"Needs the hours",IF(C784="","Needs a name",IF(COUNTIF(Volunteers!$B$6:$B$105,C784)=0,"Not on Volunteers",""))))))</f>
        <v/>
      </c>
      <c r="H784" s="1" t="n"/>
      <c r="I784">
        <f>IF(ISNUMBER(B784),YEAR(B784),"")</f>
        <v/>
      </c>
      <c r="J784">
        <f>IF(ISNUMBER(B784),YEAR(B784)*100+MONTH(B784),"")</f>
        <v/>
      </c>
      <c r="K784">
        <f>IF(ISNUMBER(B784),INT(B784),0)</f>
        <v/>
      </c>
      <c r="L784">
        <f>IF(AND(ISNUMBER(D784),N(D784)&gt;0),K784,0)</f>
        <v/>
      </c>
    </row>
    <row r="785">
      <c r="A785" s="1" t="n"/>
      <c r="B785" s="21" t="n"/>
      <c r="C785" s="22" t="n"/>
      <c r="D785" s="46" t="n"/>
      <c r="E785" s="25" t="n"/>
      <c r="F785" s="25" t="n"/>
      <c r="G785" s="17">
        <f>IF(AND(C785="",D785=""),"",IF(NOT(ISNUMBER(B785)),"Needs a date",IF(AND(D785&lt;&gt;"",NOT(ISNUMBER(D785))),"Hours not a number",IF(N(D785)&lt;=0,"Needs the hours",IF(C785="","Needs a name",IF(COUNTIF(Volunteers!$B$6:$B$105,C785)=0,"Not on Volunteers",""))))))</f>
        <v/>
      </c>
      <c r="H785" s="1" t="n"/>
      <c r="I785">
        <f>IF(ISNUMBER(B785),YEAR(B785),"")</f>
        <v/>
      </c>
      <c r="J785">
        <f>IF(ISNUMBER(B785),YEAR(B785)*100+MONTH(B785),"")</f>
        <v/>
      </c>
      <c r="K785">
        <f>IF(ISNUMBER(B785),INT(B785),0)</f>
        <v/>
      </c>
      <c r="L785">
        <f>IF(AND(ISNUMBER(D785),N(D785)&gt;0),K785,0)</f>
        <v/>
      </c>
    </row>
    <row r="786">
      <c r="A786" s="1" t="n"/>
      <c r="B786" s="21" t="n"/>
      <c r="C786" s="22" t="n"/>
      <c r="D786" s="46" t="n"/>
      <c r="E786" s="25" t="n"/>
      <c r="F786" s="25" t="n"/>
      <c r="G786" s="17">
        <f>IF(AND(C786="",D786=""),"",IF(NOT(ISNUMBER(B786)),"Needs a date",IF(AND(D786&lt;&gt;"",NOT(ISNUMBER(D786))),"Hours not a number",IF(N(D786)&lt;=0,"Needs the hours",IF(C786="","Needs a name",IF(COUNTIF(Volunteers!$B$6:$B$105,C786)=0,"Not on Volunteers",""))))))</f>
        <v/>
      </c>
      <c r="H786" s="1" t="n"/>
      <c r="I786">
        <f>IF(ISNUMBER(B786),YEAR(B786),"")</f>
        <v/>
      </c>
      <c r="J786">
        <f>IF(ISNUMBER(B786),YEAR(B786)*100+MONTH(B786),"")</f>
        <v/>
      </c>
      <c r="K786">
        <f>IF(ISNUMBER(B786),INT(B786),0)</f>
        <v/>
      </c>
      <c r="L786">
        <f>IF(AND(ISNUMBER(D786),N(D786)&gt;0),K786,0)</f>
        <v/>
      </c>
    </row>
    <row r="787">
      <c r="A787" s="1" t="n"/>
      <c r="B787" s="21" t="n"/>
      <c r="C787" s="22" t="n"/>
      <c r="D787" s="46" t="n"/>
      <c r="E787" s="25" t="n"/>
      <c r="F787" s="25" t="n"/>
      <c r="G787" s="17">
        <f>IF(AND(C787="",D787=""),"",IF(NOT(ISNUMBER(B787)),"Needs a date",IF(AND(D787&lt;&gt;"",NOT(ISNUMBER(D787))),"Hours not a number",IF(N(D787)&lt;=0,"Needs the hours",IF(C787="","Needs a name",IF(COUNTIF(Volunteers!$B$6:$B$105,C787)=0,"Not on Volunteers",""))))))</f>
        <v/>
      </c>
      <c r="H787" s="1" t="n"/>
      <c r="I787">
        <f>IF(ISNUMBER(B787),YEAR(B787),"")</f>
        <v/>
      </c>
      <c r="J787">
        <f>IF(ISNUMBER(B787),YEAR(B787)*100+MONTH(B787),"")</f>
        <v/>
      </c>
      <c r="K787">
        <f>IF(ISNUMBER(B787),INT(B787),0)</f>
        <v/>
      </c>
      <c r="L787">
        <f>IF(AND(ISNUMBER(D787),N(D787)&gt;0),K787,0)</f>
        <v/>
      </c>
    </row>
    <row r="788">
      <c r="A788" s="1" t="n"/>
      <c r="B788" s="21" t="n"/>
      <c r="C788" s="22" t="n"/>
      <c r="D788" s="46" t="n"/>
      <c r="E788" s="25" t="n"/>
      <c r="F788" s="25" t="n"/>
      <c r="G788" s="17">
        <f>IF(AND(C788="",D788=""),"",IF(NOT(ISNUMBER(B788)),"Needs a date",IF(AND(D788&lt;&gt;"",NOT(ISNUMBER(D788))),"Hours not a number",IF(N(D788)&lt;=0,"Needs the hours",IF(C788="","Needs a name",IF(COUNTIF(Volunteers!$B$6:$B$105,C788)=0,"Not on Volunteers",""))))))</f>
        <v/>
      </c>
      <c r="H788" s="1" t="n"/>
      <c r="I788">
        <f>IF(ISNUMBER(B788),YEAR(B788),"")</f>
        <v/>
      </c>
      <c r="J788">
        <f>IF(ISNUMBER(B788),YEAR(B788)*100+MONTH(B788),"")</f>
        <v/>
      </c>
      <c r="K788">
        <f>IF(ISNUMBER(B788),INT(B788),0)</f>
        <v/>
      </c>
      <c r="L788">
        <f>IF(AND(ISNUMBER(D788),N(D788)&gt;0),K788,0)</f>
        <v/>
      </c>
    </row>
    <row r="789">
      <c r="A789" s="1" t="n"/>
      <c r="B789" s="21" t="n"/>
      <c r="C789" s="22" t="n"/>
      <c r="D789" s="46" t="n"/>
      <c r="E789" s="25" t="n"/>
      <c r="F789" s="25" t="n"/>
      <c r="G789" s="17">
        <f>IF(AND(C789="",D789=""),"",IF(NOT(ISNUMBER(B789)),"Needs a date",IF(AND(D789&lt;&gt;"",NOT(ISNUMBER(D789))),"Hours not a number",IF(N(D789)&lt;=0,"Needs the hours",IF(C789="","Needs a name",IF(COUNTIF(Volunteers!$B$6:$B$105,C789)=0,"Not on Volunteers",""))))))</f>
        <v/>
      </c>
      <c r="H789" s="1" t="n"/>
      <c r="I789">
        <f>IF(ISNUMBER(B789),YEAR(B789),"")</f>
        <v/>
      </c>
      <c r="J789">
        <f>IF(ISNUMBER(B789),YEAR(B789)*100+MONTH(B789),"")</f>
        <v/>
      </c>
      <c r="K789">
        <f>IF(ISNUMBER(B789),INT(B789),0)</f>
        <v/>
      </c>
      <c r="L789">
        <f>IF(AND(ISNUMBER(D789),N(D789)&gt;0),K789,0)</f>
        <v/>
      </c>
    </row>
    <row r="790">
      <c r="A790" s="1" t="n"/>
      <c r="B790" s="21" t="n"/>
      <c r="C790" s="22" t="n"/>
      <c r="D790" s="46" t="n"/>
      <c r="E790" s="25" t="n"/>
      <c r="F790" s="25" t="n"/>
      <c r="G790" s="17">
        <f>IF(AND(C790="",D790=""),"",IF(NOT(ISNUMBER(B790)),"Needs a date",IF(AND(D790&lt;&gt;"",NOT(ISNUMBER(D790))),"Hours not a number",IF(N(D790)&lt;=0,"Needs the hours",IF(C790="","Needs a name",IF(COUNTIF(Volunteers!$B$6:$B$105,C790)=0,"Not on Volunteers",""))))))</f>
        <v/>
      </c>
      <c r="H790" s="1" t="n"/>
      <c r="I790">
        <f>IF(ISNUMBER(B790),YEAR(B790),"")</f>
        <v/>
      </c>
      <c r="J790">
        <f>IF(ISNUMBER(B790),YEAR(B790)*100+MONTH(B790),"")</f>
        <v/>
      </c>
      <c r="K790">
        <f>IF(ISNUMBER(B790),INT(B790),0)</f>
        <v/>
      </c>
      <c r="L790">
        <f>IF(AND(ISNUMBER(D790),N(D790)&gt;0),K790,0)</f>
        <v/>
      </c>
    </row>
    <row r="791">
      <c r="A791" s="1" t="n"/>
      <c r="B791" s="21" t="n"/>
      <c r="C791" s="22" t="n"/>
      <c r="D791" s="46" t="n"/>
      <c r="E791" s="25" t="n"/>
      <c r="F791" s="25" t="n"/>
      <c r="G791" s="17">
        <f>IF(AND(C791="",D791=""),"",IF(NOT(ISNUMBER(B791)),"Needs a date",IF(AND(D791&lt;&gt;"",NOT(ISNUMBER(D791))),"Hours not a number",IF(N(D791)&lt;=0,"Needs the hours",IF(C791="","Needs a name",IF(COUNTIF(Volunteers!$B$6:$B$105,C791)=0,"Not on Volunteers",""))))))</f>
        <v/>
      </c>
      <c r="H791" s="1" t="n"/>
      <c r="I791">
        <f>IF(ISNUMBER(B791),YEAR(B791),"")</f>
        <v/>
      </c>
      <c r="J791">
        <f>IF(ISNUMBER(B791),YEAR(B791)*100+MONTH(B791),"")</f>
        <v/>
      </c>
      <c r="K791">
        <f>IF(ISNUMBER(B791),INT(B791),0)</f>
        <v/>
      </c>
      <c r="L791">
        <f>IF(AND(ISNUMBER(D791),N(D791)&gt;0),K791,0)</f>
        <v/>
      </c>
    </row>
    <row r="792">
      <c r="A792" s="1" t="n"/>
      <c r="B792" s="21" t="n"/>
      <c r="C792" s="22" t="n"/>
      <c r="D792" s="46" t="n"/>
      <c r="E792" s="25" t="n"/>
      <c r="F792" s="25" t="n"/>
      <c r="G792" s="17">
        <f>IF(AND(C792="",D792=""),"",IF(NOT(ISNUMBER(B792)),"Needs a date",IF(AND(D792&lt;&gt;"",NOT(ISNUMBER(D792))),"Hours not a number",IF(N(D792)&lt;=0,"Needs the hours",IF(C792="","Needs a name",IF(COUNTIF(Volunteers!$B$6:$B$105,C792)=0,"Not on Volunteers",""))))))</f>
        <v/>
      </c>
      <c r="H792" s="1" t="n"/>
      <c r="I792">
        <f>IF(ISNUMBER(B792),YEAR(B792),"")</f>
        <v/>
      </c>
      <c r="J792">
        <f>IF(ISNUMBER(B792),YEAR(B792)*100+MONTH(B792),"")</f>
        <v/>
      </c>
      <c r="K792">
        <f>IF(ISNUMBER(B792),INT(B792),0)</f>
        <v/>
      </c>
      <c r="L792">
        <f>IF(AND(ISNUMBER(D792),N(D792)&gt;0),K792,0)</f>
        <v/>
      </c>
    </row>
    <row r="793">
      <c r="A793" s="1" t="n"/>
      <c r="B793" s="21" t="n"/>
      <c r="C793" s="22" t="n"/>
      <c r="D793" s="46" t="n"/>
      <c r="E793" s="25" t="n"/>
      <c r="F793" s="25" t="n"/>
      <c r="G793" s="17">
        <f>IF(AND(C793="",D793=""),"",IF(NOT(ISNUMBER(B793)),"Needs a date",IF(AND(D793&lt;&gt;"",NOT(ISNUMBER(D793))),"Hours not a number",IF(N(D793)&lt;=0,"Needs the hours",IF(C793="","Needs a name",IF(COUNTIF(Volunteers!$B$6:$B$105,C793)=0,"Not on Volunteers",""))))))</f>
        <v/>
      </c>
      <c r="H793" s="1" t="n"/>
      <c r="I793">
        <f>IF(ISNUMBER(B793),YEAR(B793),"")</f>
        <v/>
      </c>
      <c r="J793">
        <f>IF(ISNUMBER(B793),YEAR(B793)*100+MONTH(B793),"")</f>
        <v/>
      </c>
      <c r="K793">
        <f>IF(ISNUMBER(B793),INT(B793),0)</f>
        <v/>
      </c>
      <c r="L793">
        <f>IF(AND(ISNUMBER(D793),N(D793)&gt;0),K793,0)</f>
        <v/>
      </c>
    </row>
    <row r="794">
      <c r="A794" s="1" t="n"/>
      <c r="B794" s="21" t="n"/>
      <c r="C794" s="22" t="n"/>
      <c r="D794" s="46" t="n"/>
      <c r="E794" s="25" t="n"/>
      <c r="F794" s="25" t="n"/>
      <c r="G794" s="17">
        <f>IF(AND(C794="",D794=""),"",IF(NOT(ISNUMBER(B794)),"Needs a date",IF(AND(D794&lt;&gt;"",NOT(ISNUMBER(D794))),"Hours not a number",IF(N(D794)&lt;=0,"Needs the hours",IF(C794="","Needs a name",IF(COUNTIF(Volunteers!$B$6:$B$105,C794)=0,"Not on Volunteers",""))))))</f>
        <v/>
      </c>
      <c r="H794" s="1" t="n"/>
      <c r="I794">
        <f>IF(ISNUMBER(B794),YEAR(B794),"")</f>
        <v/>
      </c>
      <c r="J794">
        <f>IF(ISNUMBER(B794),YEAR(B794)*100+MONTH(B794),"")</f>
        <v/>
      </c>
      <c r="K794">
        <f>IF(ISNUMBER(B794),INT(B794),0)</f>
        <v/>
      </c>
      <c r="L794">
        <f>IF(AND(ISNUMBER(D794),N(D794)&gt;0),K794,0)</f>
        <v/>
      </c>
    </row>
    <row r="795">
      <c r="A795" s="1" t="n"/>
      <c r="B795" s="21" t="n"/>
      <c r="C795" s="22" t="n"/>
      <c r="D795" s="46" t="n"/>
      <c r="E795" s="25" t="n"/>
      <c r="F795" s="25" t="n"/>
      <c r="G795" s="17">
        <f>IF(AND(C795="",D795=""),"",IF(NOT(ISNUMBER(B795)),"Needs a date",IF(AND(D795&lt;&gt;"",NOT(ISNUMBER(D795))),"Hours not a number",IF(N(D795)&lt;=0,"Needs the hours",IF(C795="","Needs a name",IF(COUNTIF(Volunteers!$B$6:$B$105,C795)=0,"Not on Volunteers",""))))))</f>
        <v/>
      </c>
      <c r="H795" s="1" t="n"/>
      <c r="I795">
        <f>IF(ISNUMBER(B795),YEAR(B795),"")</f>
        <v/>
      </c>
      <c r="J795">
        <f>IF(ISNUMBER(B795),YEAR(B795)*100+MONTH(B795),"")</f>
        <v/>
      </c>
      <c r="K795">
        <f>IF(ISNUMBER(B795),INT(B795),0)</f>
        <v/>
      </c>
      <c r="L795">
        <f>IF(AND(ISNUMBER(D795),N(D795)&gt;0),K795,0)</f>
        <v/>
      </c>
    </row>
    <row r="796">
      <c r="A796" s="1" t="n"/>
      <c r="B796" s="21" t="n"/>
      <c r="C796" s="22" t="n"/>
      <c r="D796" s="46" t="n"/>
      <c r="E796" s="25" t="n"/>
      <c r="F796" s="25" t="n"/>
      <c r="G796" s="17">
        <f>IF(AND(C796="",D796=""),"",IF(NOT(ISNUMBER(B796)),"Needs a date",IF(AND(D796&lt;&gt;"",NOT(ISNUMBER(D796))),"Hours not a number",IF(N(D796)&lt;=0,"Needs the hours",IF(C796="","Needs a name",IF(COUNTIF(Volunteers!$B$6:$B$105,C796)=0,"Not on Volunteers",""))))))</f>
        <v/>
      </c>
      <c r="H796" s="1" t="n"/>
      <c r="I796">
        <f>IF(ISNUMBER(B796),YEAR(B796),"")</f>
        <v/>
      </c>
      <c r="J796">
        <f>IF(ISNUMBER(B796),YEAR(B796)*100+MONTH(B796),"")</f>
        <v/>
      </c>
      <c r="K796">
        <f>IF(ISNUMBER(B796),INT(B796),0)</f>
        <v/>
      </c>
      <c r="L796">
        <f>IF(AND(ISNUMBER(D796),N(D796)&gt;0),K796,0)</f>
        <v/>
      </c>
    </row>
    <row r="797">
      <c r="A797" s="1" t="n"/>
      <c r="B797" s="21" t="n"/>
      <c r="C797" s="22" t="n"/>
      <c r="D797" s="46" t="n"/>
      <c r="E797" s="25" t="n"/>
      <c r="F797" s="25" t="n"/>
      <c r="G797" s="17">
        <f>IF(AND(C797="",D797=""),"",IF(NOT(ISNUMBER(B797)),"Needs a date",IF(AND(D797&lt;&gt;"",NOT(ISNUMBER(D797))),"Hours not a number",IF(N(D797)&lt;=0,"Needs the hours",IF(C797="","Needs a name",IF(COUNTIF(Volunteers!$B$6:$B$105,C797)=0,"Not on Volunteers",""))))))</f>
        <v/>
      </c>
      <c r="H797" s="1" t="n"/>
      <c r="I797">
        <f>IF(ISNUMBER(B797),YEAR(B797),"")</f>
        <v/>
      </c>
      <c r="J797">
        <f>IF(ISNUMBER(B797),YEAR(B797)*100+MONTH(B797),"")</f>
        <v/>
      </c>
      <c r="K797">
        <f>IF(ISNUMBER(B797),INT(B797),0)</f>
        <v/>
      </c>
      <c r="L797">
        <f>IF(AND(ISNUMBER(D797),N(D797)&gt;0),K797,0)</f>
        <v/>
      </c>
    </row>
    <row r="798">
      <c r="A798" s="1" t="n"/>
      <c r="B798" s="21" t="n"/>
      <c r="C798" s="22" t="n"/>
      <c r="D798" s="46" t="n"/>
      <c r="E798" s="25" t="n"/>
      <c r="F798" s="25" t="n"/>
      <c r="G798" s="17">
        <f>IF(AND(C798="",D798=""),"",IF(NOT(ISNUMBER(B798)),"Needs a date",IF(AND(D798&lt;&gt;"",NOT(ISNUMBER(D798))),"Hours not a number",IF(N(D798)&lt;=0,"Needs the hours",IF(C798="","Needs a name",IF(COUNTIF(Volunteers!$B$6:$B$105,C798)=0,"Not on Volunteers",""))))))</f>
        <v/>
      </c>
      <c r="H798" s="1" t="n"/>
      <c r="I798">
        <f>IF(ISNUMBER(B798),YEAR(B798),"")</f>
        <v/>
      </c>
      <c r="J798">
        <f>IF(ISNUMBER(B798),YEAR(B798)*100+MONTH(B798),"")</f>
        <v/>
      </c>
      <c r="K798">
        <f>IF(ISNUMBER(B798),INT(B798),0)</f>
        <v/>
      </c>
      <c r="L798">
        <f>IF(AND(ISNUMBER(D798),N(D798)&gt;0),K798,0)</f>
        <v/>
      </c>
    </row>
    <row r="799">
      <c r="A799" s="1" t="n"/>
      <c r="B799" s="21" t="n"/>
      <c r="C799" s="22" t="n"/>
      <c r="D799" s="46" t="n"/>
      <c r="E799" s="25" t="n"/>
      <c r="F799" s="25" t="n"/>
      <c r="G799" s="17">
        <f>IF(AND(C799="",D799=""),"",IF(NOT(ISNUMBER(B799)),"Needs a date",IF(AND(D799&lt;&gt;"",NOT(ISNUMBER(D799))),"Hours not a number",IF(N(D799)&lt;=0,"Needs the hours",IF(C799="","Needs a name",IF(COUNTIF(Volunteers!$B$6:$B$105,C799)=0,"Not on Volunteers",""))))))</f>
        <v/>
      </c>
      <c r="H799" s="1" t="n"/>
      <c r="I799">
        <f>IF(ISNUMBER(B799),YEAR(B799),"")</f>
        <v/>
      </c>
      <c r="J799">
        <f>IF(ISNUMBER(B799),YEAR(B799)*100+MONTH(B799),"")</f>
        <v/>
      </c>
      <c r="K799">
        <f>IF(ISNUMBER(B799),INT(B799),0)</f>
        <v/>
      </c>
      <c r="L799">
        <f>IF(AND(ISNUMBER(D799),N(D799)&gt;0),K799,0)</f>
        <v/>
      </c>
    </row>
    <row r="800">
      <c r="A800" s="1" t="n"/>
      <c r="B800" s="21" t="n"/>
      <c r="C800" s="22" t="n"/>
      <c r="D800" s="46" t="n"/>
      <c r="E800" s="25" t="n"/>
      <c r="F800" s="25" t="n"/>
      <c r="G800" s="17">
        <f>IF(AND(C800="",D800=""),"",IF(NOT(ISNUMBER(B800)),"Needs a date",IF(AND(D800&lt;&gt;"",NOT(ISNUMBER(D800))),"Hours not a number",IF(N(D800)&lt;=0,"Needs the hours",IF(C800="","Needs a name",IF(COUNTIF(Volunteers!$B$6:$B$105,C800)=0,"Not on Volunteers",""))))))</f>
        <v/>
      </c>
      <c r="H800" s="1" t="n"/>
      <c r="I800">
        <f>IF(ISNUMBER(B800),YEAR(B800),"")</f>
        <v/>
      </c>
      <c r="J800">
        <f>IF(ISNUMBER(B800),YEAR(B800)*100+MONTH(B800),"")</f>
        <v/>
      </c>
      <c r="K800">
        <f>IF(ISNUMBER(B800),INT(B800),0)</f>
        <v/>
      </c>
      <c r="L800">
        <f>IF(AND(ISNUMBER(D800),N(D800)&gt;0),K800,0)</f>
        <v/>
      </c>
    </row>
    <row r="801">
      <c r="A801" s="1" t="n"/>
      <c r="B801" s="21" t="n"/>
      <c r="C801" s="22" t="n"/>
      <c r="D801" s="46" t="n"/>
      <c r="E801" s="25" t="n"/>
      <c r="F801" s="25" t="n"/>
      <c r="G801" s="17">
        <f>IF(AND(C801="",D801=""),"",IF(NOT(ISNUMBER(B801)),"Needs a date",IF(AND(D801&lt;&gt;"",NOT(ISNUMBER(D801))),"Hours not a number",IF(N(D801)&lt;=0,"Needs the hours",IF(C801="","Needs a name",IF(COUNTIF(Volunteers!$B$6:$B$105,C801)=0,"Not on Volunteers",""))))))</f>
        <v/>
      </c>
      <c r="H801" s="1" t="n"/>
      <c r="I801">
        <f>IF(ISNUMBER(B801),YEAR(B801),"")</f>
        <v/>
      </c>
      <c r="J801">
        <f>IF(ISNUMBER(B801),YEAR(B801)*100+MONTH(B801),"")</f>
        <v/>
      </c>
      <c r="K801">
        <f>IF(ISNUMBER(B801),INT(B801),0)</f>
        <v/>
      </c>
      <c r="L801">
        <f>IF(AND(ISNUMBER(D801),N(D801)&gt;0),K801,0)</f>
        <v/>
      </c>
    </row>
    <row r="802">
      <c r="A802" s="1" t="n"/>
      <c r="B802" s="21" t="n"/>
      <c r="C802" s="22" t="n"/>
      <c r="D802" s="46" t="n"/>
      <c r="E802" s="25" t="n"/>
      <c r="F802" s="25" t="n"/>
      <c r="G802" s="17">
        <f>IF(AND(C802="",D802=""),"",IF(NOT(ISNUMBER(B802)),"Needs a date",IF(AND(D802&lt;&gt;"",NOT(ISNUMBER(D802))),"Hours not a number",IF(N(D802)&lt;=0,"Needs the hours",IF(C802="","Needs a name",IF(COUNTIF(Volunteers!$B$6:$B$105,C802)=0,"Not on Volunteers",""))))))</f>
        <v/>
      </c>
      <c r="H802" s="1" t="n"/>
      <c r="I802">
        <f>IF(ISNUMBER(B802),YEAR(B802),"")</f>
        <v/>
      </c>
      <c r="J802">
        <f>IF(ISNUMBER(B802),YEAR(B802)*100+MONTH(B802),"")</f>
        <v/>
      </c>
      <c r="K802">
        <f>IF(ISNUMBER(B802),INT(B802),0)</f>
        <v/>
      </c>
      <c r="L802">
        <f>IF(AND(ISNUMBER(D802),N(D802)&gt;0),K802,0)</f>
        <v/>
      </c>
    </row>
    <row r="803">
      <c r="A803" s="1" t="n"/>
      <c r="B803" s="21" t="n"/>
      <c r="C803" s="22" t="n"/>
      <c r="D803" s="46" t="n"/>
      <c r="E803" s="25" t="n"/>
      <c r="F803" s="25" t="n"/>
      <c r="G803" s="17">
        <f>IF(AND(C803="",D803=""),"",IF(NOT(ISNUMBER(B803)),"Needs a date",IF(AND(D803&lt;&gt;"",NOT(ISNUMBER(D803))),"Hours not a number",IF(N(D803)&lt;=0,"Needs the hours",IF(C803="","Needs a name",IF(COUNTIF(Volunteers!$B$6:$B$105,C803)=0,"Not on Volunteers",""))))))</f>
        <v/>
      </c>
      <c r="H803" s="1" t="n"/>
      <c r="I803">
        <f>IF(ISNUMBER(B803),YEAR(B803),"")</f>
        <v/>
      </c>
      <c r="J803">
        <f>IF(ISNUMBER(B803),YEAR(B803)*100+MONTH(B803),"")</f>
        <v/>
      </c>
      <c r="K803">
        <f>IF(ISNUMBER(B803),INT(B803),0)</f>
        <v/>
      </c>
      <c r="L803">
        <f>IF(AND(ISNUMBER(D803),N(D803)&gt;0),K803,0)</f>
        <v/>
      </c>
    </row>
    <row r="804">
      <c r="A804" s="1" t="n"/>
      <c r="B804" s="21" t="n"/>
      <c r="C804" s="22" t="n"/>
      <c r="D804" s="46" t="n"/>
      <c r="E804" s="25" t="n"/>
      <c r="F804" s="25" t="n"/>
      <c r="G804" s="17">
        <f>IF(AND(C804="",D804=""),"",IF(NOT(ISNUMBER(B804)),"Needs a date",IF(AND(D804&lt;&gt;"",NOT(ISNUMBER(D804))),"Hours not a number",IF(N(D804)&lt;=0,"Needs the hours",IF(C804="","Needs a name",IF(COUNTIF(Volunteers!$B$6:$B$105,C804)=0,"Not on Volunteers",""))))))</f>
        <v/>
      </c>
      <c r="H804" s="1" t="n"/>
      <c r="I804">
        <f>IF(ISNUMBER(B804),YEAR(B804),"")</f>
        <v/>
      </c>
      <c r="J804">
        <f>IF(ISNUMBER(B804),YEAR(B804)*100+MONTH(B804),"")</f>
        <v/>
      </c>
      <c r="K804">
        <f>IF(ISNUMBER(B804),INT(B804),0)</f>
        <v/>
      </c>
      <c r="L804">
        <f>IF(AND(ISNUMBER(D804),N(D804)&gt;0),K804,0)</f>
        <v/>
      </c>
    </row>
    <row r="805">
      <c r="A805" s="1" t="n"/>
      <c r="B805" s="21" t="n"/>
      <c r="C805" s="22" t="n"/>
      <c r="D805" s="46" t="n"/>
      <c r="E805" s="25" t="n"/>
      <c r="F805" s="25" t="n"/>
      <c r="G805" s="17">
        <f>IF(AND(C805="",D805=""),"",IF(NOT(ISNUMBER(B805)),"Needs a date",IF(AND(D805&lt;&gt;"",NOT(ISNUMBER(D805))),"Hours not a number",IF(N(D805)&lt;=0,"Needs the hours",IF(C805="","Needs a name",IF(COUNTIF(Volunteers!$B$6:$B$105,C805)=0,"Not on Volunteers",""))))))</f>
        <v/>
      </c>
      <c r="H805" s="1" t="n"/>
      <c r="I805">
        <f>IF(ISNUMBER(B805),YEAR(B805),"")</f>
        <v/>
      </c>
      <c r="J805">
        <f>IF(ISNUMBER(B805),YEAR(B805)*100+MONTH(B805),"")</f>
        <v/>
      </c>
      <c r="K805">
        <f>IF(ISNUMBER(B805),INT(B805),0)</f>
        <v/>
      </c>
      <c r="L805">
        <f>IF(AND(ISNUMBER(D805),N(D805)&gt;0),K805,0)</f>
        <v/>
      </c>
    </row>
    <row r="806">
      <c r="A806" s="1" t="n"/>
      <c r="B806" s="21" t="n"/>
      <c r="C806" s="22" t="n"/>
      <c r="D806" s="46" t="n"/>
      <c r="E806" s="25" t="n"/>
      <c r="F806" s="25" t="n"/>
      <c r="G806" s="17">
        <f>IF(AND(C806="",D806=""),"",IF(NOT(ISNUMBER(B806)),"Needs a date",IF(AND(D806&lt;&gt;"",NOT(ISNUMBER(D806))),"Hours not a number",IF(N(D806)&lt;=0,"Needs the hours",IF(C806="","Needs a name",IF(COUNTIF(Volunteers!$B$6:$B$105,C806)=0,"Not on Volunteers",""))))))</f>
        <v/>
      </c>
      <c r="H806" s="1" t="n"/>
      <c r="I806">
        <f>IF(ISNUMBER(B806),YEAR(B806),"")</f>
        <v/>
      </c>
      <c r="J806">
        <f>IF(ISNUMBER(B806),YEAR(B806)*100+MONTH(B806),"")</f>
        <v/>
      </c>
      <c r="K806">
        <f>IF(ISNUMBER(B806),INT(B806),0)</f>
        <v/>
      </c>
      <c r="L806">
        <f>IF(AND(ISNUMBER(D806),N(D806)&gt;0),K806,0)</f>
        <v/>
      </c>
    </row>
    <row r="807">
      <c r="A807" s="1" t="n"/>
      <c r="B807" s="21" t="n"/>
      <c r="C807" s="22" t="n"/>
      <c r="D807" s="46" t="n"/>
      <c r="E807" s="25" t="n"/>
      <c r="F807" s="25" t="n"/>
      <c r="G807" s="17">
        <f>IF(AND(C807="",D807=""),"",IF(NOT(ISNUMBER(B807)),"Needs a date",IF(AND(D807&lt;&gt;"",NOT(ISNUMBER(D807))),"Hours not a number",IF(N(D807)&lt;=0,"Needs the hours",IF(C807="","Needs a name",IF(COUNTIF(Volunteers!$B$6:$B$105,C807)=0,"Not on Volunteers",""))))))</f>
        <v/>
      </c>
      <c r="H807" s="1" t="n"/>
      <c r="I807">
        <f>IF(ISNUMBER(B807),YEAR(B807),"")</f>
        <v/>
      </c>
      <c r="J807">
        <f>IF(ISNUMBER(B807),YEAR(B807)*100+MONTH(B807),"")</f>
        <v/>
      </c>
      <c r="K807">
        <f>IF(ISNUMBER(B807),INT(B807),0)</f>
        <v/>
      </c>
      <c r="L807">
        <f>IF(AND(ISNUMBER(D807),N(D807)&gt;0),K807,0)</f>
        <v/>
      </c>
    </row>
    <row r="808">
      <c r="A808" s="1" t="n"/>
      <c r="B808" s="21" t="n"/>
      <c r="C808" s="22" t="n"/>
      <c r="D808" s="46" t="n"/>
      <c r="E808" s="25" t="n"/>
      <c r="F808" s="25" t="n"/>
      <c r="G808" s="17">
        <f>IF(AND(C808="",D808=""),"",IF(NOT(ISNUMBER(B808)),"Needs a date",IF(AND(D808&lt;&gt;"",NOT(ISNUMBER(D808))),"Hours not a number",IF(N(D808)&lt;=0,"Needs the hours",IF(C808="","Needs a name",IF(COUNTIF(Volunteers!$B$6:$B$105,C808)=0,"Not on Volunteers",""))))))</f>
        <v/>
      </c>
      <c r="H808" s="1" t="n"/>
      <c r="I808">
        <f>IF(ISNUMBER(B808),YEAR(B808),"")</f>
        <v/>
      </c>
      <c r="J808">
        <f>IF(ISNUMBER(B808),YEAR(B808)*100+MONTH(B808),"")</f>
        <v/>
      </c>
      <c r="K808">
        <f>IF(ISNUMBER(B808),INT(B808),0)</f>
        <v/>
      </c>
      <c r="L808">
        <f>IF(AND(ISNUMBER(D808),N(D808)&gt;0),K808,0)</f>
        <v/>
      </c>
    </row>
    <row r="809">
      <c r="A809" s="1" t="n"/>
      <c r="B809" s="21" t="n"/>
      <c r="C809" s="22" t="n"/>
      <c r="D809" s="46" t="n"/>
      <c r="E809" s="25" t="n"/>
      <c r="F809" s="25" t="n"/>
      <c r="G809" s="17">
        <f>IF(AND(C809="",D809=""),"",IF(NOT(ISNUMBER(B809)),"Needs a date",IF(AND(D809&lt;&gt;"",NOT(ISNUMBER(D809))),"Hours not a number",IF(N(D809)&lt;=0,"Needs the hours",IF(C809="","Needs a name",IF(COUNTIF(Volunteers!$B$6:$B$105,C809)=0,"Not on Volunteers",""))))))</f>
        <v/>
      </c>
      <c r="H809" s="1" t="n"/>
      <c r="I809">
        <f>IF(ISNUMBER(B809),YEAR(B809),"")</f>
        <v/>
      </c>
      <c r="J809">
        <f>IF(ISNUMBER(B809),YEAR(B809)*100+MONTH(B809),"")</f>
        <v/>
      </c>
      <c r="K809">
        <f>IF(ISNUMBER(B809),INT(B809),0)</f>
        <v/>
      </c>
      <c r="L809">
        <f>IF(AND(ISNUMBER(D809),N(D809)&gt;0),K809,0)</f>
        <v/>
      </c>
    </row>
    <row r="810">
      <c r="A810" s="1" t="n"/>
      <c r="B810" s="21" t="n"/>
      <c r="C810" s="22" t="n"/>
      <c r="D810" s="46" t="n"/>
      <c r="E810" s="25" t="n"/>
      <c r="F810" s="25" t="n"/>
      <c r="G810" s="17">
        <f>IF(AND(C810="",D810=""),"",IF(NOT(ISNUMBER(B810)),"Needs a date",IF(AND(D810&lt;&gt;"",NOT(ISNUMBER(D810))),"Hours not a number",IF(N(D810)&lt;=0,"Needs the hours",IF(C810="","Needs a name",IF(COUNTIF(Volunteers!$B$6:$B$105,C810)=0,"Not on Volunteers",""))))))</f>
        <v/>
      </c>
      <c r="H810" s="1" t="n"/>
      <c r="I810">
        <f>IF(ISNUMBER(B810),YEAR(B810),"")</f>
        <v/>
      </c>
      <c r="J810">
        <f>IF(ISNUMBER(B810),YEAR(B810)*100+MONTH(B810),"")</f>
        <v/>
      </c>
      <c r="K810">
        <f>IF(ISNUMBER(B810),INT(B810),0)</f>
        <v/>
      </c>
      <c r="L810">
        <f>IF(AND(ISNUMBER(D810),N(D810)&gt;0),K810,0)</f>
        <v/>
      </c>
    </row>
    <row r="811">
      <c r="A811" s="1" t="n"/>
      <c r="B811" s="21" t="n"/>
      <c r="C811" s="22" t="n"/>
      <c r="D811" s="46" t="n"/>
      <c r="E811" s="25" t="n"/>
      <c r="F811" s="25" t="n"/>
      <c r="G811" s="17">
        <f>IF(AND(C811="",D811=""),"",IF(NOT(ISNUMBER(B811)),"Needs a date",IF(AND(D811&lt;&gt;"",NOT(ISNUMBER(D811))),"Hours not a number",IF(N(D811)&lt;=0,"Needs the hours",IF(C811="","Needs a name",IF(COUNTIF(Volunteers!$B$6:$B$105,C811)=0,"Not on Volunteers",""))))))</f>
        <v/>
      </c>
      <c r="H811" s="1" t="n"/>
      <c r="I811">
        <f>IF(ISNUMBER(B811),YEAR(B811),"")</f>
        <v/>
      </c>
      <c r="J811">
        <f>IF(ISNUMBER(B811),YEAR(B811)*100+MONTH(B811),"")</f>
        <v/>
      </c>
      <c r="K811">
        <f>IF(ISNUMBER(B811),INT(B811),0)</f>
        <v/>
      </c>
      <c r="L811">
        <f>IF(AND(ISNUMBER(D811),N(D811)&gt;0),K811,0)</f>
        <v/>
      </c>
    </row>
    <row r="812">
      <c r="A812" s="1" t="n"/>
      <c r="B812" s="21" t="n"/>
      <c r="C812" s="22" t="n"/>
      <c r="D812" s="46" t="n"/>
      <c r="E812" s="25" t="n"/>
      <c r="F812" s="25" t="n"/>
      <c r="G812" s="17">
        <f>IF(AND(C812="",D812=""),"",IF(NOT(ISNUMBER(B812)),"Needs a date",IF(AND(D812&lt;&gt;"",NOT(ISNUMBER(D812))),"Hours not a number",IF(N(D812)&lt;=0,"Needs the hours",IF(C812="","Needs a name",IF(COUNTIF(Volunteers!$B$6:$B$105,C812)=0,"Not on Volunteers",""))))))</f>
        <v/>
      </c>
      <c r="H812" s="1" t="n"/>
      <c r="I812">
        <f>IF(ISNUMBER(B812),YEAR(B812),"")</f>
        <v/>
      </c>
      <c r="J812">
        <f>IF(ISNUMBER(B812),YEAR(B812)*100+MONTH(B812),"")</f>
        <v/>
      </c>
      <c r="K812">
        <f>IF(ISNUMBER(B812),INT(B812),0)</f>
        <v/>
      </c>
      <c r="L812">
        <f>IF(AND(ISNUMBER(D812),N(D812)&gt;0),K812,0)</f>
        <v/>
      </c>
    </row>
    <row r="813">
      <c r="A813" s="1" t="n"/>
      <c r="B813" s="21" t="n"/>
      <c r="C813" s="22" t="n"/>
      <c r="D813" s="46" t="n"/>
      <c r="E813" s="25" t="n"/>
      <c r="F813" s="25" t="n"/>
      <c r="G813" s="17">
        <f>IF(AND(C813="",D813=""),"",IF(NOT(ISNUMBER(B813)),"Needs a date",IF(AND(D813&lt;&gt;"",NOT(ISNUMBER(D813))),"Hours not a number",IF(N(D813)&lt;=0,"Needs the hours",IF(C813="","Needs a name",IF(COUNTIF(Volunteers!$B$6:$B$105,C813)=0,"Not on Volunteers",""))))))</f>
        <v/>
      </c>
      <c r="H813" s="1" t="n"/>
      <c r="I813">
        <f>IF(ISNUMBER(B813),YEAR(B813),"")</f>
        <v/>
      </c>
      <c r="J813">
        <f>IF(ISNUMBER(B813),YEAR(B813)*100+MONTH(B813),"")</f>
        <v/>
      </c>
      <c r="K813">
        <f>IF(ISNUMBER(B813),INT(B813),0)</f>
        <v/>
      </c>
      <c r="L813">
        <f>IF(AND(ISNUMBER(D813),N(D813)&gt;0),K813,0)</f>
        <v/>
      </c>
    </row>
    <row r="814">
      <c r="A814" s="1" t="n"/>
      <c r="B814" s="21" t="n"/>
      <c r="C814" s="22" t="n"/>
      <c r="D814" s="46" t="n"/>
      <c r="E814" s="25" t="n"/>
      <c r="F814" s="25" t="n"/>
      <c r="G814" s="17">
        <f>IF(AND(C814="",D814=""),"",IF(NOT(ISNUMBER(B814)),"Needs a date",IF(AND(D814&lt;&gt;"",NOT(ISNUMBER(D814))),"Hours not a number",IF(N(D814)&lt;=0,"Needs the hours",IF(C814="","Needs a name",IF(COUNTIF(Volunteers!$B$6:$B$105,C814)=0,"Not on Volunteers",""))))))</f>
        <v/>
      </c>
      <c r="H814" s="1" t="n"/>
      <c r="I814">
        <f>IF(ISNUMBER(B814),YEAR(B814),"")</f>
        <v/>
      </c>
      <c r="J814">
        <f>IF(ISNUMBER(B814),YEAR(B814)*100+MONTH(B814),"")</f>
        <v/>
      </c>
      <c r="K814">
        <f>IF(ISNUMBER(B814),INT(B814),0)</f>
        <v/>
      </c>
      <c r="L814">
        <f>IF(AND(ISNUMBER(D814),N(D814)&gt;0),K814,0)</f>
        <v/>
      </c>
    </row>
    <row r="815">
      <c r="A815" s="1" t="n"/>
      <c r="B815" s="21" t="n"/>
      <c r="C815" s="22" t="n"/>
      <c r="D815" s="46" t="n"/>
      <c r="E815" s="25" t="n"/>
      <c r="F815" s="25" t="n"/>
      <c r="G815" s="17">
        <f>IF(AND(C815="",D815=""),"",IF(NOT(ISNUMBER(B815)),"Needs a date",IF(AND(D815&lt;&gt;"",NOT(ISNUMBER(D815))),"Hours not a number",IF(N(D815)&lt;=0,"Needs the hours",IF(C815="","Needs a name",IF(COUNTIF(Volunteers!$B$6:$B$105,C815)=0,"Not on Volunteers",""))))))</f>
        <v/>
      </c>
      <c r="H815" s="1" t="n"/>
      <c r="I815">
        <f>IF(ISNUMBER(B815),YEAR(B815),"")</f>
        <v/>
      </c>
      <c r="J815">
        <f>IF(ISNUMBER(B815),YEAR(B815)*100+MONTH(B815),"")</f>
        <v/>
      </c>
      <c r="K815">
        <f>IF(ISNUMBER(B815),INT(B815),0)</f>
        <v/>
      </c>
      <c r="L815">
        <f>IF(AND(ISNUMBER(D815),N(D815)&gt;0),K815,0)</f>
        <v/>
      </c>
    </row>
    <row r="816">
      <c r="A816" s="1" t="n"/>
      <c r="B816" s="21" t="n"/>
      <c r="C816" s="22" t="n"/>
      <c r="D816" s="46" t="n"/>
      <c r="E816" s="25" t="n"/>
      <c r="F816" s="25" t="n"/>
      <c r="G816" s="17">
        <f>IF(AND(C816="",D816=""),"",IF(NOT(ISNUMBER(B816)),"Needs a date",IF(AND(D816&lt;&gt;"",NOT(ISNUMBER(D816))),"Hours not a number",IF(N(D816)&lt;=0,"Needs the hours",IF(C816="","Needs a name",IF(COUNTIF(Volunteers!$B$6:$B$105,C816)=0,"Not on Volunteers",""))))))</f>
        <v/>
      </c>
      <c r="H816" s="1" t="n"/>
      <c r="I816">
        <f>IF(ISNUMBER(B816),YEAR(B816),"")</f>
        <v/>
      </c>
      <c r="J816">
        <f>IF(ISNUMBER(B816),YEAR(B816)*100+MONTH(B816),"")</f>
        <v/>
      </c>
      <c r="K816">
        <f>IF(ISNUMBER(B816),INT(B816),0)</f>
        <v/>
      </c>
      <c r="L816">
        <f>IF(AND(ISNUMBER(D816),N(D816)&gt;0),K816,0)</f>
        <v/>
      </c>
    </row>
    <row r="817">
      <c r="A817" s="1" t="n"/>
      <c r="B817" s="21" t="n"/>
      <c r="C817" s="22" t="n"/>
      <c r="D817" s="46" t="n"/>
      <c r="E817" s="25" t="n"/>
      <c r="F817" s="25" t="n"/>
      <c r="G817" s="17">
        <f>IF(AND(C817="",D817=""),"",IF(NOT(ISNUMBER(B817)),"Needs a date",IF(AND(D817&lt;&gt;"",NOT(ISNUMBER(D817))),"Hours not a number",IF(N(D817)&lt;=0,"Needs the hours",IF(C817="","Needs a name",IF(COUNTIF(Volunteers!$B$6:$B$105,C817)=0,"Not on Volunteers",""))))))</f>
        <v/>
      </c>
      <c r="H817" s="1" t="n"/>
      <c r="I817">
        <f>IF(ISNUMBER(B817),YEAR(B817),"")</f>
        <v/>
      </c>
      <c r="J817">
        <f>IF(ISNUMBER(B817),YEAR(B817)*100+MONTH(B817),"")</f>
        <v/>
      </c>
      <c r="K817">
        <f>IF(ISNUMBER(B817),INT(B817),0)</f>
        <v/>
      </c>
      <c r="L817">
        <f>IF(AND(ISNUMBER(D817),N(D817)&gt;0),K817,0)</f>
        <v/>
      </c>
    </row>
    <row r="818">
      <c r="A818" s="1" t="n"/>
      <c r="B818" s="21" t="n"/>
      <c r="C818" s="22" t="n"/>
      <c r="D818" s="46" t="n"/>
      <c r="E818" s="25" t="n"/>
      <c r="F818" s="25" t="n"/>
      <c r="G818" s="17">
        <f>IF(AND(C818="",D818=""),"",IF(NOT(ISNUMBER(B818)),"Needs a date",IF(AND(D818&lt;&gt;"",NOT(ISNUMBER(D818))),"Hours not a number",IF(N(D818)&lt;=0,"Needs the hours",IF(C818="","Needs a name",IF(COUNTIF(Volunteers!$B$6:$B$105,C818)=0,"Not on Volunteers",""))))))</f>
        <v/>
      </c>
      <c r="H818" s="1" t="n"/>
      <c r="I818">
        <f>IF(ISNUMBER(B818),YEAR(B818),"")</f>
        <v/>
      </c>
      <c r="J818">
        <f>IF(ISNUMBER(B818),YEAR(B818)*100+MONTH(B818),"")</f>
        <v/>
      </c>
      <c r="K818">
        <f>IF(ISNUMBER(B818),INT(B818),0)</f>
        <v/>
      </c>
      <c r="L818">
        <f>IF(AND(ISNUMBER(D818),N(D818)&gt;0),K818,0)</f>
        <v/>
      </c>
    </row>
    <row r="819">
      <c r="A819" s="1" t="n"/>
      <c r="B819" s="21" t="n"/>
      <c r="C819" s="22" t="n"/>
      <c r="D819" s="46" t="n"/>
      <c r="E819" s="25" t="n"/>
      <c r="F819" s="25" t="n"/>
      <c r="G819" s="17">
        <f>IF(AND(C819="",D819=""),"",IF(NOT(ISNUMBER(B819)),"Needs a date",IF(AND(D819&lt;&gt;"",NOT(ISNUMBER(D819))),"Hours not a number",IF(N(D819)&lt;=0,"Needs the hours",IF(C819="","Needs a name",IF(COUNTIF(Volunteers!$B$6:$B$105,C819)=0,"Not on Volunteers",""))))))</f>
        <v/>
      </c>
      <c r="H819" s="1" t="n"/>
      <c r="I819">
        <f>IF(ISNUMBER(B819),YEAR(B819),"")</f>
        <v/>
      </c>
      <c r="J819">
        <f>IF(ISNUMBER(B819),YEAR(B819)*100+MONTH(B819),"")</f>
        <v/>
      </c>
      <c r="K819">
        <f>IF(ISNUMBER(B819),INT(B819),0)</f>
        <v/>
      </c>
      <c r="L819">
        <f>IF(AND(ISNUMBER(D819),N(D819)&gt;0),K819,0)</f>
        <v/>
      </c>
    </row>
    <row r="820">
      <c r="A820" s="1" t="n"/>
      <c r="B820" s="21" t="n"/>
      <c r="C820" s="22" t="n"/>
      <c r="D820" s="46" t="n"/>
      <c r="E820" s="25" t="n"/>
      <c r="F820" s="25" t="n"/>
      <c r="G820" s="17">
        <f>IF(AND(C820="",D820=""),"",IF(NOT(ISNUMBER(B820)),"Needs a date",IF(AND(D820&lt;&gt;"",NOT(ISNUMBER(D820))),"Hours not a number",IF(N(D820)&lt;=0,"Needs the hours",IF(C820="","Needs a name",IF(COUNTIF(Volunteers!$B$6:$B$105,C820)=0,"Not on Volunteers",""))))))</f>
        <v/>
      </c>
      <c r="H820" s="1" t="n"/>
      <c r="I820">
        <f>IF(ISNUMBER(B820),YEAR(B820),"")</f>
        <v/>
      </c>
      <c r="J820">
        <f>IF(ISNUMBER(B820),YEAR(B820)*100+MONTH(B820),"")</f>
        <v/>
      </c>
      <c r="K820">
        <f>IF(ISNUMBER(B820),INT(B820),0)</f>
        <v/>
      </c>
      <c r="L820">
        <f>IF(AND(ISNUMBER(D820),N(D820)&gt;0),K820,0)</f>
        <v/>
      </c>
    </row>
    <row r="821">
      <c r="A821" s="1" t="n"/>
      <c r="B821" s="21" t="n"/>
      <c r="C821" s="22" t="n"/>
      <c r="D821" s="46" t="n"/>
      <c r="E821" s="25" t="n"/>
      <c r="F821" s="25" t="n"/>
      <c r="G821" s="17">
        <f>IF(AND(C821="",D821=""),"",IF(NOT(ISNUMBER(B821)),"Needs a date",IF(AND(D821&lt;&gt;"",NOT(ISNUMBER(D821))),"Hours not a number",IF(N(D821)&lt;=0,"Needs the hours",IF(C821="","Needs a name",IF(COUNTIF(Volunteers!$B$6:$B$105,C821)=0,"Not on Volunteers",""))))))</f>
        <v/>
      </c>
      <c r="H821" s="1" t="n"/>
      <c r="I821">
        <f>IF(ISNUMBER(B821),YEAR(B821),"")</f>
        <v/>
      </c>
      <c r="J821">
        <f>IF(ISNUMBER(B821),YEAR(B821)*100+MONTH(B821),"")</f>
        <v/>
      </c>
      <c r="K821">
        <f>IF(ISNUMBER(B821),INT(B821),0)</f>
        <v/>
      </c>
      <c r="L821">
        <f>IF(AND(ISNUMBER(D821),N(D821)&gt;0),K821,0)</f>
        <v/>
      </c>
    </row>
    <row r="822">
      <c r="A822" s="1" t="n"/>
      <c r="B822" s="21" t="n"/>
      <c r="C822" s="22" t="n"/>
      <c r="D822" s="46" t="n"/>
      <c r="E822" s="25" t="n"/>
      <c r="F822" s="25" t="n"/>
      <c r="G822" s="17">
        <f>IF(AND(C822="",D822=""),"",IF(NOT(ISNUMBER(B822)),"Needs a date",IF(AND(D822&lt;&gt;"",NOT(ISNUMBER(D822))),"Hours not a number",IF(N(D822)&lt;=0,"Needs the hours",IF(C822="","Needs a name",IF(COUNTIF(Volunteers!$B$6:$B$105,C822)=0,"Not on Volunteers",""))))))</f>
        <v/>
      </c>
      <c r="H822" s="1" t="n"/>
      <c r="I822">
        <f>IF(ISNUMBER(B822),YEAR(B822),"")</f>
        <v/>
      </c>
      <c r="J822">
        <f>IF(ISNUMBER(B822),YEAR(B822)*100+MONTH(B822),"")</f>
        <v/>
      </c>
      <c r="K822">
        <f>IF(ISNUMBER(B822),INT(B822),0)</f>
        <v/>
      </c>
      <c r="L822">
        <f>IF(AND(ISNUMBER(D822),N(D822)&gt;0),K822,0)</f>
        <v/>
      </c>
    </row>
    <row r="823">
      <c r="A823" s="1" t="n"/>
      <c r="B823" s="21" t="n"/>
      <c r="C823" s="22" t="n"/>
      <c r="D823" s="46" t="n"/>
      <c r="E823" s="25" t="n"/>
      <c r="F823" s="25" t="n"/>
      <c r="G823" s="17">
        <f>IF(AND(C823="",D823=""),"",IF(NOT(ISNUMBER(B823)),"Needs a date",IF(AND(D823&lt;&gt;"",NOT(ISNUMBER(D823))),"Hours not a number",IF(N(D823)&lt;=0,"Needs the hours",IF(C823="","Needs a name",IF(COUNTIF(Volunteers!$B$6:$B$105,C823)=0,"Not on Volunteers",""))))))</f>
        <v/>
      </c>
      <c r="H823" s="1" t="n"/>
      <c r="I823">
        <f>IF(ISNUMBER(B823),YEAR(B823),"")</f>
        <v/>
      </c>
      <c r="J823">
        <f>IF(ISNUMBER(B823),YEAR(B823)*100+MONTH(B823),"")</f>
        <v/>
      </c>
      <c r="K823">
        <f>IF(ISNUMBER(B823),INT(B823),0)</f>
        <v/>
      </c>
      <c r="L823">
        <f>IF(AND(ISNUMBER(D823),N(D823)&gt;0),K823,0)</f>
        <v/>
      </c>
    </row>
    <row r="824">
      <c r="A824" s="1" t="n"/>
      <c r="B824" s="21" t="n"/>
      <c r="C824" s="22" t="n"/>
      <c r="D824" s="46" t="n"/>
      <c r="E824" s="25" t="n"/>
      <c r="F824" s="25" t="n"/>
      <c r="G824" s="17">
        <f>IF(AND(C824="",D824=""),"",IF(NOT(ISNUMBER(B824)),"Needs a date",IF(AND(D824&lt;&gt;"",NOT(ISNUMBER(D824))),"Hours not a number",IF(N(D824)&lt;=0,"Needs the hours",IF(C824="","Needs a name",IF(COUNTIF(Volunteers!$B$6:$B$105,C824)=0,"Not on Volunteers",""))))))</f>
        <v/>
      </c>
      <c r="H824" s="1" t="n"/>
      <c r="I824">
        <f>IF(ISNUMBER(B824),YEAR(B824),"")</f>
        <v/>
      </c>
      <c r="J824">
        <f>IF(ISNUMBER(B824),YEAR(B824)*100+MONTH(B824),"")</f>
        <v/>
      </c>
      <c r="K824">
        <f>IF(ISNUMBER(B824),INT(B824),0)</f>
        <v/>
      </c>
      <c r="L824">
        <f>IF(AND(ISNUMBER(D824),N(D824)&gt;0),K824,0)</f>
        <v/>
      </c>
    </row>
    <row r="825">
      <c r="A825" s="1" t="n"/>
      <c r="B825" s="21" t="n"/>
      <c r="C825" s="22" t="n"/>
      <c r="D825" s="46" t="n"/>
      <c r="E825" s="25" t="n"/>
      <c r="F825" s="25" t="n"/>
      <c r="G825" s="17">
        <f>IF(AND(C825="",D825=""),"",IF(NOT(ISNUMBER(B825)),"Needs a date",IF(AND(D825&lt;&gt;"",NOT(ISNUMBER(D825))),"Hours not a number",IF(N(D825)&lt;=0,"Needs the hours",IF(C825="","Needs a name",IF(COUNTIF(Volunteers!$B$6:$B$105,C825)=0,"Not on Volunteers",""))))))</f>
        <v/>
      </c>
      <c r="H825" s="1" t="n"/>
      <c r="I825">
        <f>IF(ISNUMBER(B825),YEAR(B825),"")</f>
        <v/>
      </c>
      <c r="J825">
        <f>IF(ISNUMBER(B825),YEAR(B825)*100+MONTH(B825),"")</f>
        <v/>
      </c>
      <c r="K825">
        <f>IF(ISNUMBER(B825),INT(B825),0)</f>
        <v/>
      </c>
      <c r="L825">
        <f>IF(AND(ISNUMBER(D825),N(D825)&gt;0),K825,0)</f>
        <v/>
      </c>
    </row>
    <row r="826">
      <c r="A826" s="1" t="n"/>
      <c r="B826" s="21" t="n"/>
      <c r="C826" s="22" t="n"/>
      <c r="D826" s="46" t="n"/>
      <c r="E826" s="25" t="n"/>
      <c r="F826" s="25" t="n"/>
      <c r="G826" s="17">
        <f>IF(AND(C826="",D826=""),"",IF(NOT(ISNUMBER(B826)),"Needs a date",IF(AND(D826&lt;&gt;"",NOT(ISNUMBER(D826))),"Hours not a number",IF(N(D826)&lt;=0,"Needs the hours",IF(C826="","Needs a name",IF(COUNTIF(Volunteers!$B$6:$B$105,C826)=0,"Not on Volunteers",""))))))</f>
        <v/>
      </c>
      <c r="H826" s="1" t="n"/>
      <c r="I826">
        <f>IF(ISNUMBER(B826),YEAR(B826),"")</f>
        <v/>
      </c>
      <c r="J826">
        <f>IF(ISNUMBER(B826),YEAR(B826)*100+MONTH(B826),"")</f>
        <v/>
      </c>
      <c r="K826">
        <f>IF(ISNUMBER(B826),INT(B826),0)</f>
        <v/>
      </c>
      <c r="L826">
        <f>IF(AND(ISNUMBER(D826),N(D826)&gt;0),K826,0)</f>
        <v/>
      </c>
    </row>
    <row r="827">
      <c r="A827" s="1" t="n"/>
      <c r="B827" s="21" t="n"/>
      <c r="C827" s="22" t="n"/>
      <c r="D827" s="46" t="n"/>
      <c r="E827" s="25" t="n"/>
      <c r="F827" s="25" t="n"/>
      <c r="G827" s="17">
        <f>IF(AND(C827="",D827=""),"",IF(NOT(ISNUMBER(B827)),"Needs a date",IF(AND(D827&lt;&gt;"",NOT(ISNUMBER(D827))),"Hours not a number",IF(N(D827)&lt;=0,"Needs the hours",IF(C827="","Needs a name",IF(COUNTIF(Volunteers!$B$6:$B$105,C827)=0,"Not on Volunteers",""))))))</f>
        <v/>
      </c>
      <c r="H827" s="1" t="n"/>
      <c r="I827">
        <f>IF(ISNUMBER(B827),YEAR(B827),"")</f>
        <v/>
      </c>
      <c r="J827">
        <f>IF(ISNUMBER(B827),YEAR(B827)*100+MONTH(B827),"")</f>
        <v/>
      </c>
      <c r="K827">
        <f>IF(ISNUMBER(B827),INT(B827),0)</f>
        <v/>
      </c>
      <c r="L827">
        <f>IF(AND(ISNUMBER(D827),N(D827)&gt;0),K827,0)</f>
        <v/>
      </c>
    </row>
    <row r="828">
      <c r="A828" s="1" t="n"/>
      <c r="B828" s="21" t="n"/>
      <c r="C828" s="22" t="n"/>
      <c r="D828" s="46" t="n"/>
      <c r="E828" s="25" t="n"/>
      <c r="F828" s="25" t="n"/>
      <c r="G828" s="17">
        <f>IF(AND(C828="",D828=""),"",IF(NOT(ISNUMBER(B828)),"Needs a date",IF(AND(D828&lt;&gt;"",NOT(ISNUMBER(D828))),"Hours not a number",IF(N(D828)&lt;=0,"Needs the hours",IF(C828="","Needs a name",IF(COUNTIF(Volunteers!$B$6:$B$105,C828)=0,"Not on Volunteers",""))))))</f>
        <v/>
      </c>
      <c r="H828" s="1" t="n"/>
      <c r="I828">
        <f>IF(ISNUMBER(B828),YEAR(B828),"")</f>
        <v/>
      </c>
      <c r="J828">
        <f>IF(ISNUMBER(B828),YEAR(B828)*100+MONTH(B828),"")</f>
        <v/>
      </c>
      <c r="K828">
        <f>IF(ISNUMBER(B828),INT(B828),0)</f>
        <v/>
      </c>
      <c r="L828">
        <f>IF(AND(ISNUMBER(D828),N(D828)&gt;0),K828,0)</f>
        <v/>
      </c>
    </row>
    <row r="829">
      <c r="A829" s="1" t="n"/>
      <c r="B829" s="21" t="n"/>
      <c r="C829" s="22" t="n"/>
      <c r="D829" s="46" t="n"/>
      <c r="E829" s="25" t="n"/>
      <c r="F829" s="25" t="n"/>
      <c r="G829" s="17">
        <f>IF(AND(C829="",D829=""),"",IF(NOT(ISNUMBER(B829)),"Needs a date",IF(AND(D829&lt;&gt;"",NOT(ISNUMBER(D829))),"Hours not a number",IF(N(D829)&lt;=0,"Needs the hours",IF(C829="","Needs a name",IF(COUNTIF(Volunteers!$B$6:$B$105,C829)=0,"Not on Volunteers",""))))))</f>
        <v/>
      </c>
      <c r="H829" s="1" t="n"/>
      <c r="I829">
        <f>IF(ISNUMBER(B829),YEAR(B829),"")</f>
        <v/>
      </c>
      <c r="J829">
        <f>IF(ISNUMBER(B829),YEAR(B829)*100+MONTH(B829),"")</f>
        <v/>
      </c>
      <c r="K829">
        <f>IF(ISNUMBER(B829),INT(B829),0)</f>
        <v/>
      </c>
      <c r="L829">
        <f>IF(AND(ISNUMBER(D829),N(D829)&gt;0),K829,0)</f>
        <v/>
      </c>
    </row>
    <row r="830">
      <c r="A830" s="1" t="n"/>
      <c r="B830" s="21" t="n"/>
      <c r="C830" s="22" t="n"/>
      <c r="D830" s="46" t="n"/>
      <c r="E830" s="25" t="n"/>
      <c r="F830" s="25" t="n"/>
      <c r="G830" s="17">
        <f>IF(AND(C830="",D830=""),"",IF(NOT(ISNUMBER(B830)),"Needs a date",IF(AND(D830&lt;&gt;"",NOT(ISNUMBER(D830))),"Hours not a number",IF(N(D830)&lt;=0,"Needs the hours",IF(C830="","Needs a name",IF(COUNTIF(Volunteers!$B$6:$B$105,C830)=0,"Not on Volunteers",""))))))</f>
        <v/>
      </c>
      <c r="H830" s="1" t="n"/>
      <c r="I830">
        <f>IF(ISNUMBER(B830),YEAR(B830),"")</f>
        <v/>
      </c>
      <c r="J830">
        <f>IF(ISNUMBER(B830),YEAR(B830)*100+MONTH(B830),"")</f>
        <v/>
      </c>
      <c r="K830">
        <f>IF(ISNUMBER(B830),INT(B830),0)</f>
        <v/>
      </c>
      <c r="L830">
        <f>IF(AND(ISNUMBER(D830),N(D830)&gt;0),K830,0)</f>
        <v/>
      </c>
    </row>
    <row r="831">
      <c r="A831" s="1" t="n"/>
      <c r="B831" s="21" t="n"/>
      <c r="C831" s="22" t="n"/>
      <c r="D831" s="46" t="n"/>
      <c r="E831" s="25" t="n"/>
      <c r="F831" s="25" t="n"/>
      <c r="G831" s="17">
        <f>IF(AND(C831="",D831=""),"",IF(NOT(ISNUMBER(B831)),"Needs a date",IF(AND(D831&lt;&gt;"",NOT(ISNUMBER(D831))),"Hours not a number",IF(N(D831)&lt;=0,"Needs the hours",IF(C831="","Needs a name",IF(COUNTIF(Volunteers!$B$6:$B$105,C831)=0,"Not on Volunteers",""))))))</f>
        <v/>
      </c>
      <c r="H831" s="1" t="n"/>
      <c r="I831">
        <f>IF(ISNUMBER(B831),YEAR(B831),"")</f>
        <v/>
      </c>
      <c r="J831">
        <f>IF(ISNUMBER(B831),YEAR(B831)*100+MONTH(B831),"")</f>
        <v/>
      </c>
      <c r="K831">
        <f>IF(ISNUMBER(B831),INT(B831),0)</f>
        <v/>
      </c>
      <c r="L831">
        <f>IF(AND(ISNUMBER(D831),N(D831)&gt;0),K831,0)</f>
        <v/>
      </c>
    </row>
    <row r="832">
      <c r="A832" s="1" t="n"/>
      <c r="B832" s="21" t="n"/>
      <c r="C832" s="22" t="n"/>
      <c r="D832" s="46" t="n"/>
      <c r="E832" s="25" t="n"/>
      <c r="F832" s="25" t="n"/>
      <c r="G832" s="17">
        <f>IF(AND(C832="",D832=""),"",IF(NOT(ISNUMBER(B832)),"Needs a date",IF(AND(D832&lt;&gt;"",NOT(ISNUMBER(D832))),"Hours not a number",IF(N(D832)&lt;=0,"Needs the hours",IF(C832="","Needs a name",IF(COUNTIF(Volunteers!$B$6:$B$105,C832)=0,"Not on Volunteers",""))))))</f>
        <v/>
      </c>
      <c r="H832" s="1" t="n"/>
      <c r="I832">
        <f>IF(ISNUMBER(B832),YEAR(B832),"")</f>
        <v/>
      </c>
      <c r="J832">
        <f>IF(ISNUMBER(B832),YEAR(B832)*100+MONTH(B832),"")</f>
        <v/>
      </c>
      <c r="K832">
        <f>IF(ISNUMBER(B832),INT(B832),0)</f>
        <v/>
      </c>
      <c r="L832">
        <f>IF(AND(ISNUMBER(D832),N(D832)&gt;0),K832,0)</f>
        <v/>
      </c>
    </row>
    <row r="833">
      <c r="A833" s="1" t="n"/>
      <c r="B833" s="21" t="n"/>
      <c r="C833" s="22" t="n"/>
      <c r="D833" s="46" t="n"/>
      <c r="E833" s="25" t="n"/>
      <c r="F833" s="25" t="n"/>
      <c r="G833" s="17">
        <f>IF(AND(C833="",D833=""),"",IF(NOT(ISNUMBER(B833)),"Needs a date",IF(AND(D833&lt;&gt;"",NOT(ISNUMBER(D833))),"Hours not a number",IF(N(D833)&lt;=0,"Needs the hours",IF(C833="","Needs a name",IF(COUNTIF(Volunteers!$B$6:$B$105,C833)=0,"Not on Volunteers",""))))))</f>
        <v/>
      </c>
      <c r="H833" s="1" t="n"/>
      <c r="I833">
        <f>IF(ISNUMBER(B833),YEAR(B833),"")</f>
        <v/>
      </c>
      <c r="J833">
        <f>IF(ISNUMBER(B833),YEAR(B833)*100+MONTH(B833),"")</f>
        <v/>
      </c>
      <c r="K833">
        <f>IF(ISNUMBER(B833),INT(B833),0)</f>
        <v/>
      </c>
      <c r="L833">
        <f>IF(AND(ISNUMBER(D833),N(D833)&gt;0),K833,0)</f>
        <v/>
      </c>
    </row>
    <row r="834">
      <c r="A834" s="1" t="n"/>
      <c r="B834" s="21" t="n"/>
      <c r="C834" s="22" t="n"/>
      <c r="D834" s="46" t="n"/>
      <c r="E834" s="25" t="n"/>
      <c r="F834" s="25" t="n"/>
      <c r="G834" s="17">
        <f>IF(AND(C834="",D834=""),"",IF(NOT(ISNUMBER(B834)),"Needs a date",IF(AND(D834&lt;&gt;"",NOT(ISNUMBER(D834))),"Hours not a number",IF(N(D834)&lt;=0,"Needs the hours",IF(C834="","Needs a name",IF(COUNTIF(Volunteers!$B$6:$B$105,C834)=0,"Not on Volunteers",""))))))</f>
        <v/>
      </c>
      <c r="H834" s="1" t="n"/>
      <c r="I834">
        <f>IF(ISNUMBER(B834),YEAR(B834),"")</f>
        <v/>
      </c>
      <c r="J834">
        <f>IF(ISNUMBER(B834),YEAR(B834)*100+MONTH(B834),"")</f>
        <v/>
      </c>
      <c r="K834">
        <f>IF(ISNUMBER(B834),INT(B834),0)</f>
        <v/>
      </c>
      <c r="L834">
        <f>IF(AND(ISNUMBER(D834),N(D834)&gt;0),K834,0)</f>
        <v/>
      </c>
    </row>
    <row r="835">
      <c r="A835" s="1" t="n"/>
      <c r="B835" s="21" t="n"/>
      <c r="C835" s="22" t="n"/>
      <c r="D835" s="46" t="n"/>
      <c r="E835" s="25" t="n"/>
      <c r="F835" s="25" t="n"/>
      <c r="G835" s="17">
        <f>IF(AND(C835="",D835=""),"",IF(NOT(ISNUMBER(B835)),"Needs a date",IF(AND(D835&lt;&gt;"",NOT(ISNUMBER(D835))),"Hours not a number",IF(N(D835)&lt;=0,"Needs the hours",IF(C835="","Needs a name",IF(COUNTIF(Volunteers!$B$6:$B$105,C835)=0,"Not on Volunteers",""))))))</f>
        <v/>
      </c>
      <c r="H835" s="1" t="n"/>
      <c r="I835">
        <f>IF(ISNUMBER(B835),YEAR(B835),"")</f>
        <v/>
      </c>
      <c r="J835">
        <f>IF(ISNUMBER(B835),YEAR(B835)*100+MONTH(B835),"")</f>
        <v/>
      </c>
      <c r="K835">
        <f>IF(ISNUMBER(B835),INT(B835),0)</f>
        <v/>
      </c>
      <c r="L835">
        <f>IF(AND(ISNUMBER(D835),N(D835)&gt;0),K835,0)</f>
        <v/>
      </c>
    </row>
    <row r="836">
      <c r="A836" s="1" t="n"/>
      <c r="B836" s="21" t="n"/>
      <c r="C836" s="22" t="n"/>
      <c r="D836" s="46" t="n"/>
      <c r="E836" s="25" t="n"/>
      <c r="F836" s="25" t="n"/>
      <c r="G836" s="17">
        <f>IF(AND(C836="",D836=""),"",IF(NOT(ISNUMBER(B836)),"Needs a date",IF(AND(D836&lt;&gt;"",NOT(ISNUMBER(D836))),"Hours not a number",IF(N(D836)&lt;=0,"Needs the hours",IF(C836="","Needs a name",IF(COUNTIF(Volunteers!$B$6:$B$105,C836)=0,"Not on Volunteers",""))))))</f>
        <v/>
      </c>
      <c r="H836" s="1" t="n"/>
      <c r="I836">
        <f>IF(ISNUMBER(B836),YEAR(B836),"")</f>
        <v/>
      </c>
      <c r="J836">
        <f>IF(ISNUMBER(B836),YEAR(B836)*100+MONTH(B836),"")</f>
        <v/>
      </c>
      <c r="K836">
        <f>IF(ISNUMBER(B836),INT(B836),0)</f>
        <v/>
      </c>
      <c r="L836">
        <f>IF(AND(ISNUMBER(D836),N(D836)&gt;0),K836,0)</f>
        <v/>
      </c>
    </row>
    <row r="837">
      <c r="A837" s="1" t="n"/>
      <c r="B837" s="21" t="n"/>
      <c r="C837" s="22" t="n"/>
      <c r="D837" s="46" t="n"/>
      <c r="E837" s="25" t="n"/>
      <c r="F837" s="25" t="n"/>
      <c r="G837" s="17">
        <f>IF(AND(C837="",D837=""),"",IF(NOT(ISNUMBER(B837)),"Needs a date",IF(AND(D837&lt;&gt;"",NOT(ISNUMBER(D837))),"Hours not a number",IF(N(D837)&lt;=0,"Needs the hours",IF(C837="","Needs a name",IF(COUNTIF(Volunteers!$B$6:$B$105,C837)=0,"Not on Volunteers",""))))))</f>
        <v/>
      </c>
      <c r="H837" s="1" t="n"/>
      <c r="I837">
        <f>IF(ISNUMBER(B837),YEAR(B837),"")</f>
        <v/>
      </c>
      <c r="J837">
        <f>IF(ISNUMBER(B837),YEAR(B837)*100+MONTH(B837),"")</f>
        <v/>
      </c>
      <c r="K837">
        <f>IF(ISNUMBER(B837),INT(B837),0)</f>
        <v/>
      </c>
      <c r="L837">
        <f>IF(AND(ISNUMBER(D837),N(D837)&gt;0),K837,0)</f>
        <v/>
      </c>
    </row>
    <row r="838">
      <c r="A838" s="1" t="n"/>
      <c r="B838" s="21" t="n"/>
      <c r="C838" s="22" t="n"/>
      <c r="D838" s="46" t="n"/>
      <c r="E838" s="25" t="n"/>
      <c r="F838" s="25" t="n"/>
      <c r="G838" s="17">
        <f>IF(AND(C838="",D838=""),"",IF(NOT(ISNUMBER(B838)),"Needs a date",IF(AND(D838&lt;&gt;"",NOT(ISNUMBER(D838))),"Hours not a number",IF(N(D838)&lt;=0,"Needs the hours",IF(C838="","Needs a name",IF(COUNTIF(Volunteers!$B$6:$B$105,C838)=0,"Not on Volunteers",""))))))</f>
        <v/>
      </c>
      <c r="H838" s="1" t="n"/>
      <c r="I838">
        <f>IF(ISNUMBER(B838),YEAR(B838),"")</f>
        <v/>
      </c>
      <c r="J838">
        <f>IF(ISNUMBER(B838),YEAR(B838)*100+MONTH(B838),"")</f>
        <v/>
      </c>
      <c r="K838">
        <f>IF(ISNUMBER(B838),INT(B838),0)</f>
        <v/>
      </c>
      <c r="L838">
        <f>IF(AND(ISNUMBER(D838),N(D838)&gt;0),K838,0)</f>
        <v/>
      </c>
    </row>
    <row r="839">
      <c r="A839" s="1" t="n"/>
      <c r="B839" s="21" t="n"/>
      <c r="C839" s="22" t="n"/>
      <c r="D839" s="46" t="n"/>
      <c r="E839" s="25" t="n"/>
      <c r="F839" s="25" t="n"/>
      <c r="G839" s="17">
        <f>IF(AND(C839="",D839=""),"",IF(NOT(ISNUMBER(B839)),"Needs a date",IF(AND(D839&lt;&gt;"",NOT(ISNUMBER(D839))),"Hours not a number",IF(N(D839)&lt;=0,"Needs the hours",IF(C839="","Needs a name",IF(COUNTIF(Volunteers!$B$6:$B$105,C839)=0,"Not on Volunteers",""))))))</f>
        <v/>
      </c>
      <c r="H839" s="1" t="n"/>
      <c r="I839">
        <f>IF(ISNUMBER(B839),YEAR(B839),"")</f>
        <v/>
      </c>
      <c r="J839">
        <f>IF(ISNUMBER(B839),YEAR(B839)*100+MONTH(B839),"")</f>
        <v/>
      </c>
      <c r="K839">
        <f>IF(ISNUMBER(B839),INT(B839),0)</f>
        <v/>
      </c>
      <c r="L839">
        <f>IF(AND(ISNUMBER(D839),N(D839)&gt;0),K839,0)</f>
        <v/>
      </c>
    </row>
    <row r="840">
      <c r="A840" s="1" t="n"/>
      <c r="B840" s="21" t="n"/>
      <c r="C840" s="22" t="n"/>
      <c r="D840" s="46" t="n"/>
      <c r="E840" s="25" t="n"/>
      <c r="F840" s="25" t="n"/>
      <c r="G840" s="17">
        <f>IF(AND(C840="",D840=""),"",IF(NOT(ISNUMBER(B840)),"Needs a date",IF(AND(D840&lt;&gt;"",NOT(ISNUMBER(D840))),"Hours not a number",IF(N(D840)&lt;=0,"Needs the hours",IF(C840="","Needs a name",IF(COUNTIF(Volunteers!$B$6:$B$105,C840)=0,"Not on Volunteers",""))))))</f>
        <v/>
      </c>
      <c r="H840" s="1" t="n"/>
      <c r="I840">
        <f>IF(ISNUMBER(B840),YEAR(B840),"")</f>
        <v/>
      </c>
      <c r="J840">
        <f>IF(ISNUMBER(B840),YEAR(B840)*100+MONTH(B840),"")</f>
        <v/>
      </c>
      <c r="K840">
        <f>IF(ISNUMBER(B840),INT(B840),0)</f>
        <v/>
      </c>
      <c r="L840">
        <f>IF(AND(ISNUMBER(D840),N(D840)&gt;0),K840,0)</f>
        <v/>
      </c>
    </row>
    <row r="841">
      <c r="A841" s="1" t="n"/>
      <c r="B841" s="21" t="n"/>
      <c r="C841" s="22" t="n"/>
      <c r="D841" s="46" t="n"/>
      <c r="E841" s="25" t="n"/>
      <c r="F841" s="25" t="n"/>
      <c r="G841" s="17">
        <f>IF(AND(C841="",D841=""),"",IF(NOT(ISNUMBER(B841)),"Needs a date",IF(AND(D841&lt;&gt;"",NOT(ISNUMBER(D841))),"Hours not a number",IF(N(D841)&lt;=0,"Needs the hours",IF(C841="","Needs a name",IF(COUNTIF(Volunteers!$B$6:$B$105,C841)=0,"Not on Volunteers",""))))))</f>
        <v/>
      </c>
      <c r="H841" s="1" t="n"/>
      <c r="I841">
        <f>IF(ISNUMBER(B841),YEAR(B841),"")</f>
        <v/>
      </c>
      <c r="J841">
        <f>IF(ISNUMBER(B841),YEAR(B841)*100+MONTH(B841),"")</f>
        <v/>
      </c>
      <c r="K841">
        <f>IF(ISNUMBER(B841),INT(B841),0)</f>
        <v/>
      </c>
      <c r="L841">
        <f>IF(AND(ISNUMBER(D841),N(D841)&gt;0),K841,0)</f>
        <v/>
      </c>
    </row>
    <row r="842">
      <c r="A842" s="1" t="n"/>
      <c r="B842" s="21" t="n"/>
      <c r="C842" s="22" t="n"/>
      <c r="D842" s="46" t="n"/>
      <c r="E842" s="25" t="n"/>
      <c r="F842" s="25" t="n"/>
      <c r="G842" s="17">
        <f>IF(AND(C842="",D842=""),"",IF(NOT(ISNUMBER(B842)),"Needs a date",IF(AND(D842&lt;&gt;"",NOT(ISNUMBER(D842))),"Hours not a number",IF(N(D842)&lt;=0,"Needs the hours",IF(C842="","Needs a name",IF(COUNTIF(Volunteers!$B$6:$B$105,C842)=0,"Not on Volunteers",""))))))</f>
        <v/>
      </c>
      <c r="H842" s="1" t="n"/>
      <c r="I842">
        <f>IF(ISNUMBER(B842),YEAR(B842),"")</f>
        <v/>
      </c>
      <c r="J842">
        <f>IF(ISNUMBER(B842),YEAR(B842)*100+MONTH(B842),"")</f>
        <v/>
      </c>
      <c r="K842">
        <f>IF(ISNUMBER(B842),INT(B842),0)</f>
        <v/>
      </c>
      <c r="L842">
        <f>IF(AND(ISNUMBER(D842),N(D842)&gt;0),K842,0)</f>
        <v/>
      </c>
    </row>
    <row r="843">
      <c r="A843" s="1" t="n"/>
      <c r="B843" s="21" t="n"/>
      <c r="C843" s="22" t="n"/>
      <c r="D843" s="46" t="n"/>
      <c r="E843" s="25" t="n"/>
      <c r="F843" s="25" t="n"/>
      <c r="G843" s="17">
        <f>IF(AND(C843="",D843=""),"",IF(NOT(ISNUMBER(B843)),"Needs a date",IF(AND(D843&lt;&gt;"",NOT(ISNUMBER(D843))),"Hours not a number",IF(N(D843)&lt;=0,"Needs the hours",IF(C843="","Needs a name",IF(COUNTIF(Volunteers!$B$6:$B$105,C843)=0,"Not on Volunteers",""))))))</f>
        <v/>
      </c>
      <c r="H843" s="1" t="n"/>
      <c r="I843">
        <f>IF(ISNUMBER(B843),YEAR(B843),"")</f>
        <v/>
      </c>
      <c r="J843">
        <f>IF(ISNUMBER(B843),YEAR(B843)*100+MONTH(B843),"")</f>
        <v/>
      </c>
      <c r="K843">
        <f>IF(ISNUMBER(B843),INT(B843),0)</f>
        <v/>
      </c>
      <c r="L843">
        <f>IF(AND(ISNUMBER(D843),N(D843)&gt;0),K843,0)</f>
        <v/>
      </c>
    </row>
    <row r="844">
      <c r="A844" s="1" t="n"/>
      <c r="B844" s="21" t="n"/>
      <c r="C844" s="22" t="n"/>
      <c r="D844" s="46" t="n"/>
      <c r="E844" s="25" t="n"/>
      <c r="F844" s="25" t="n"/>
      <c r="G844" s="17">
        <f>IF(AND(C844="",D844=""),"",IF(NOT(ISNUMBER(B844)),"Needs a date",IF(AND(D844&lt;&gt;"",NOT(ISNUMBER(D844))),"Hours not a number",IF(N(D844)&lt;=0,"Needs the hours",IF(C844="","Needs a name",IF(COUNTIF(Volunteers!$B$6:$B$105,C844)=0,"Not on Volunteers",""))))))</f>
        <v/>
      </c>
      <c r="H844" s="1" t="n"/>
      <c r="I844">
        <f>IF(ISNUMBER(B844),YEAR(B844),"")</f>
        <v/>
      </c>
      <c r="J844">
        <f>IF(ISNUMBER(B844),YEAR(B844)*100+MONTH(B844),"")</f>
        <v/>
      </c>
      <c r="K844">
        <f>IF(ISNUMBER(B844),INT(B844),0)</f>
        <v/>
      </c>
      <c r="L844">
        <f>IF(AND(ISNUMBER(D844),N(D844)&gt;0),K844,0)</f>
        <v/>
      </c>
    </row>
    <row r="845">
      <c r="A845" s="1" t="n"/>
      <c r="B845" s="21" t="n"/>
      <c r="C845" s="22" t="n"/>
      <c r="D845" s="46" t="n"/>
      <c r="E845" s="25" t="n"/>
      <c r="F845" s="25" t="n"/>
      <c r="G845" s="17">
        <f>IF(AND(C845="",D845=""),"",IF(NOT(ISNUMBER(B845)),"Needs a date",IF(AND(D845&lt;&gt;"",NOT(ISNUMBER(D845))),"Hours not a number",IF(N(D845)&lt;=0,"Needs the hours",IF(C845="","Needs a name",IF(COUNTIF(Volunteers!$B$6:$B$105,C845)=0,"Not on Volunteers",""))))))</f>
        <v/>
      </c>
      <c r="H845" s="1" t="n"/>
      <c r="I845">
        <f>IF(ISNUMBER(B845),YEAR(B845),"")</f>
        <v/>
      </c>
      <c r="J845">
        <f>IF(ISNUMBER(B845),YEAR(B845)*100+MONTH(B845),"")</f>
        <v/>
      </c>
      <c r="K845">
        <f>IF(ISNUMBER(B845),INT(B845),0)</f>
        <v/>
      </c>
      <c r="L845">
        <f>IF(AND(ISNUMBER(D845),N(D845)&gt;0),K845,0)</f>
        <v/>
      </c>
    </row>
    <row r="846">
      <c r="A846" s="1" t="n"/>
      <c r="B846" s="21" t="n"/>
      <c r="C846" s="22" t="n"/>
      <c r="D846" s="46" t="n"/>
      <c r="E846" s="25" t="n"/>
      <c r="F846" s="25" t="n"/>
      <c r="G846" s="17">
        <f>IF(AND(C846="",D846=""),"",IF(NOT(ISNUMBER(B846)),"Needs a date",IF(AND(D846&lt;&gt;"",NOT(ISNUMBER(D846))),"Hours not a number",IF(N(D846)&lt;=0,"Needs the hours",IF(C846="","Needs a name",IF(COUNTIF(Volunteers!$B$6:$B$105,C846)=0,"Not on Volunteers",""))))))</f>
        <v/>
      </c>
      <c r="H846" s="1" t="n"/>
      <c r="I846">
        <f>IF(ISNUMBER(B846),YEAR(B846),"")</f>
        <v/>
      </c>
      <c r="J846">
        <f>IF(ISNUMBER(B846),YEAR(B846)*100+MONTH(B846),"")</f>
        <v/>
      </c>
      <c r="K846">
        <f>IF(ISNUMBER(B846),INT(B846),0)</f>
        <v/>
      </c>
      <c r="L846">
        <f>IF(AND(ISNUMBER(D846),N(D846)&gt;0),K846,0)</f>
        <v/>
      </c>
    </row>
    <row r="847">
      <c r="A847" s="1" t="n"/>
      <c r="B847" s="21" t="n"/>
      <c r="C847" s="22" t="n"/>
      <c r="D847" s="46" t="n"/>
      <c r="E847" s="25" t="n"/>
      <c r="F847" s="25" t="n"/>
      <c r="G847" s="17">
        <f>IF(AND(C847="",D847=""),"",IF(NOT(ISNUMBER(B847)),"Needs a date",IF(AND(D847&lt;&gt;"",NOT(ISNUMBER(D847))),"Hours not a number",IF(N(D847)&lt;=0,"Needs the hours",IF(C847="","Needs a name",IF(COUNTIF(Volunteers!$B$6:$B$105,C847)=0,"Not on Volunteers",""))))))</f>
        <v/>
      </c>
      <c r="H847" s="1" t="n"/>
      <c r="I847">
        <f>IF(ISNUMBER(B847),YEAR(B847),"")</f>
        <v/>
      </c>
      <c r="J847">
        <f>IF(ISNUMBER(B847),YEAR(B847)*100+MONTH(B847),"")</f>
        <v/>
      </c>
      <c r="K847">
        <f>IF(ISNUMBER(B847),INT(B847),0)</f>
        <v/>
      </c>
      <c r="L847">
        <f>IF(AND(ISNUMBER(D847),N(D847)&gt;0),K847,0)</f>
        <v/>
      </c>
    </row>
    <row r="848">
      <c r="A848" s="1" t="n"/>
      <c r="B848" s="21" t="n"/>
      <c r="C848" s="22" t="n"/>
      <c r="D848" s="46" t="n"/>
      <c r="E848" s="25" t="n"/>
      <c r="F848" s="25" t="n"/>
      <c r="G848" s="17">
        <f>IF(AND(C848="",D848=""),"",IF(NOT(ISNUMBER(B848)),"Needs a date",IF(AND(D848&lt;&gt;"",NOT(ISNUMBER(D848))),"Hours not a number",IF(N(D848)&lt;=0,"Needs the hours",IF(C848="","Needs a name",IF(COUNTIF(Volunteers!$B$6:$B$105,C848)=0,"Not on Volunteers",""))))))</f>
        <v/>
      </c>
      <c r="H848" s="1" t="n"/>
      <c r="I848">
        <f>IF(ISNUMBER(B848),YEAR(B848),"")</f>
        <v/>
      </c>
      <c r="J848">
        <f>IF(ISNUMBER(B848),YEAR(B848)*100+MONTH(B848),"")</f>
        <v/>
      </c>
      <c r="K848">
        <f>IF(ISNUMBER(B848),INT(B848),0)</f>
        <v/>
      </c>
      <c r="L848">
        <f>IF(AND(ISNUMBER(D848),N(D848)&gt;0),K848,0)</f>
        <v/>
      </c>
    </row>
    <row r="849">
      <c r="A849" s="1" t="n"/>
      <c r="B849" s="21" t="n"/>
      <c r="C849" s="22" t="n"/>
      <c r="D849" s="46" t="n"/>
      <c r="E849" s="25" t="n"/>
      <c r="F849" s="25" t="n"/>
      <c r="G849" s="17">
        <f>IF(AND(C849="",D849=""),"",IF(NOT(ISNUMBER(B849)),"Needs a date",IF(AND(D849&lt;&gt;"",NOT(ISNUMBER(D849))),"Hours not a number",IF(N(D849)&lt;=0,"Needs the hours",IF(C849="","Needs a name",IF(COUNTIF(Volunteers!$B$6:$B$105,C849)=0,"Not on Volunteers",""))))))</f>
        <v/>
      </c>
      <c r="H849" s="1" t="n"/>
      <c r="I849">
        <f>IF(ISNUMBER(B849),YEAR(B849),"")</f>
        <v/>
      </c>
      <c r="J849">
        <f>IF(ISNUMBER(B849),YEAR(B849)*100+MONTH(B849),"")</f>
        <v/>
      </c>
      <c r="K849">
        <f>IF(ISNUMBER(B849),INT(B849),0)</f>
        <v/>
      </c>
      <c r="L849">
        <f>IF(AND(ISNUMBER(D849),N(D849)&gt;0),K849,0)</f>
        <v/>
      </c>
    </row>
    <row r="850">
      <c r="A850" s="1" t="n"/>
      <c r="B850" s="21" t="n"/>
      <c r="C850" s="22" t="n"/>
      <c r="D850" s="46" t="n"/>
      <c r="E850" s="25" t="n"/>
      <c r="F850" s="25" t="n"/>
      <c r="G850" s="17">
        <f>IF(AND(C850="",D850=""),"",IF(NOT(ISNUMBER(B850)),"Needs a date",IF(AND(D850&lt;&gt;"",NOT(ISNUMBER(D850))),"Hours not a number",IF(N(D850)&lt;=0,"Needs the hours",IF(C850="","Needs a name",IF(COUNTIF(Volunteers!$B$6:$B$105,C850)=0,"Not on Volunteers",""))))))</f>
        <v/>
      </c>
      <c r="H850" s="1" t="n"/>
      <c r="I850">
        <f>IF(ISNUMBER(B850),YEAR(B850),"")</f>
        <v/>
      </c>
      <c r="J850">
        <f>IF(ISNUMBER(B850),YEAR(B850)*100+MONTH(B850),"")</f>
        <v/>
      </c>
      <c r="K850">
        <f>IF(ISNUMBER(B850),INT(B850),0)</f>
        <v/>
      </c>
      <c r="L850">
        <f>IF(AND(ISNUMBER(D850),N(D850)&gt;0),K850,0)</f>
        <v/>
      </c>
    </row>
    <row r="851">
      <c r="A851" s="1" t="n"/>
      <c r="B851" s="21" t="n"/>
      <c r="C851" s="22" t="n"/>
      <c r="D851" s="46" t="n"/>
      <c r="E851" s="25" t="n"/>
      <c r="F851" s="25" t="n"/>
      <c r="G851" s="17">
        <f>IF(AND(C851="",D851=""),"",IF(NOT(ISNUMBER(B851)),"Needs a date",IF(AND(D851&lt;&gt;"",NOT(ISNUMBER(D851))),"Hours not a number",IF(N(D851)&lt;=0,"Needs the hours",IF(C851="","Needs a name",IF(COUNTIF(Volunteers!$B$6:$B$105,C851)=0,"Not on Volunteers",""))))))</f>
        <v/>
      </c>
      <c r="H851" s="1" t="n"/>
      <c r="I851">
        <f>IF(ISNUMBER(B851),YEAR(B851),"")</f>
        <v/>
      </c>
      <c r="J851">
        <f>IF(ISNUMBER(B851),YEAR(B851)*100+MONTH(B851),"")</f>
        <v/>
      </c>
      <c r="K851">
        <f>IF(ISNUMBER(B851),INT(B851),0)</f>
        <v/>
      </c>
      <c r="L851">
        <f>IF(AND(ISNUMBER(D851),N(D851)&gt;0),K851,0)</f>
        <v/>
      </c>
    </row>
    <row r="852">
      <c r="A852" s="1" t="n"/>
      <c r="B852" s="21" t="n"/>
      <c r="C852" s="22" t="n"/>
      <c r="D852" s="46" t="n"/>
      <c r="E852" s="25" t="n"/>
      <c r="F852" s="25" t="n"/>
      <c r="G852" s="17">
        <f>IF(AND(C852="",D852=""),"",IF(NOT(ISNUMBER(B852)),"Needs a date",IF(AND(D852&lt;&gt;"",NOT(ISNUMBER(D852))),"Hours not a number",IF(N(D852)&lt;=0,"Needs the hours",IF(C852="","Needs a name",IF(COUNTIF(Volunteers!$B$6:$B$105,C852)=0,"Not on Volunteers",""))))))</f>
        <v/>
      </c>
      <c r="H852" s="1" t="n"/>
      <c r="I852">
        <f>IF(ISNUMBER(B852),YEAR(B852),"")</f>
        <v/>
      </c>
      <c r="J852">
        <f>IF(ISNUMBER(B852),YEAR(B852)*100+MONTH(B852),"")</f>
        <v/>
      </c>
      <c r="K852">
        <f>IF(ISNUMBER(B852),INT(B852),0)</f>
        <v/>
      </c>
      <c r="L852">
        <f>IF(AND(ISNUMBER(D852),N(D852)&gt;0),K852,0)</f>
        <v/>
      </c>
    </row>
    <row r="853">
      <c r="A853" s="1" t="n"/>
      <c r="B853" s="21" t="n"/>
      <c r="C853" s="22" t="n"/>
      <c r="D853" s="46" t="n"/>
      <c r="E853" s="25" t="n"/>
      <c r="F853" s="25" t="n"/>
      <c r="G853" s="17">
        <f>IF(AND(C853="",D853=""),"",IF(NOT(ISNUMBER(B853)),"Needs a date",IF(AND(D853&lt;&gt;"",NOT(ISNUMBER(D853))),"Hours not a number",IF(N(D853)&lt;=0,"Needs the hours",IF(C853="","Needs a name",IF(COUNTIF(Volunteers!$B$6:$B$105,C853)=0,"Not on Volunteers",""))))))</f>
        <v/>
      </c>
      <c r="H853" s="1" t="n"/>
      <c r="I853">
        <f>IF(ISNUMBER(B853),YEAR(B853),"")</f>
        <v/>
      </c>
      <c r="J853">
        <f>IF(ISNUMBER(B853),YEAR(B853)*100+MONTH(B853),"")</f>
        <v/>
      </c>
      <c r="K853">
        <f>IF(ISNUMBER(B853),INT(B853),0)</f>
        <v/>
      </c>
      <c r="L853">
        <f>IF(AND(ISNUMBER(D853),N(D853)&gt;0),K853,0)</f>
        <v/>
      </c>
    </row>
    <row r="854">
      <c r="A854" s="1" t="n"/>
      <c r="B854" s="21" t="n"/>
      <c r="C854" s="22" t="n"/>
      <c r="D854" s="46" t="n"/>
      <c r="E854" s="25" t="n"/>
      <c r="F854" s="25" t="n"/>
      <c r="G854" s="17">
        <f>IF(AND(C854="",D854=""),"",IF(NOT(ISNUMBER(B854)),"Needs a date",IF(AND(D854&lt;&gt;"",NOT(ISNUMBER(D854))),"Hours not a number",IF(N(D854)&lt;=0,"Needs the hours",IF(C854="","Needs a name",IF(COUNTIF(Volunteers!$B$6:$B$105,C854)=0,"Not on Volunteers",""))))))</f>
        <v/>
      </c>
      <c r="H854" s="1" t="n"/>
      <c r="I854">
        <f>IF(ISNUMBER(B854),YEAR(B854),"")</f>
        <v/>
      </c>
      <c r="J854">
        <f>IF(ISNUMBER(B854),YEAR(B854)*100+MONTH(B854),"")</f>
        <v/>
      </c>
      <c r="K854">
        <f>IF(ISNUMBER(B854),INT(B854),0)</f>
        <v/>
      </c>
      <c r="L854">
        <f>IF(AND(ISNUMBER(D854),N(D854)&gt;0),K854,0)</f>
        <v/>
      </c>
    </row>
    <row r="855">
      <c r="A855" s="1" t="n"/>
      <c r="B855" s="21" t="n"/>
      <c r="C855" s="22" t="n"/>
      <c r="D855" s="46" t="n"/>
      <c r="E855" s="25" t="n"/>
      <c r="F855" s="25" t="n"/>
      <c r="G855" s="17">
        <f>IF(AND(C855="",D855=""),"",IF(NOT(ISNUMBER(B855)),"Needs a date",IF(AND(D855&lt;&gt;"",NOT(ISNUMBER(D855))),"Hours not a number",IF(N(D855)&lt;=0,"Needs the hours",IF(C855="","Needs a name",IF(COUNTIF(Volunteers!$B$6:$B$105,C855)=0,"Not on Volunteers",""))))))</f>
        <v/>
      </c>
      <c r="H855" s="1" t="n"/>
      <c r="I855">
        <f>IF(ISNUMBER(B855),YEAR(B855),"")</f>
        <v/>
      </c>
      <c r="J855">
        <f>IF(ISNUMBER(B855),YEAR(B855)*100+MONTH(B855),"")</f>
        <v/>
      </c>
      <c r="K855">
        <f>IF(ISNUMBER(B855),INT(B855),0)</f>
        <v/>
      </c>
      <c r="L855">
        <f>IF(AND(ISNUMBER(D855),N(D855)&gt;0),K855,0)</f>
        <v/>
      </c>
    </row>
    <row r="856">
      <c r="A856" s="1" t="n"/>
      <c r="B856" s="21" t="n"/>
      <c r="C856" s="22" t="n"/>
      <c r="D856" s="46" t="n"/>
      <c r="E856" s="25" t="n"/>
      <c r="F856" s="25" t="n"/>
      <c r="G856" s="17">
        <f>IF(AND(C856="",D856=""),"",IF(NOT(ISNUMBER(B856)),"Needs a date",IF(AND(D856&lt;&gt;"",NOT(ISNUMBER(D856))),"Hours not a number",IF(N(D856)&lt;=0,"Needs the hours",IF(C856="","Needs a name",IF(COUNTIF(Volunteers!$B$6:$B$105,C856)=0,"Not on Volunteers",""))))))</f>
        <v/>
      </c>
      <c r="H856" s="1" t="n"/>
      <c r="I856">
        <f>IF(ISNUMBER(B856),YEAR(B856),"")</f>
        <v/>
      </c>
      <c r="J856">
        <f>IF(ISNUMBER(B856),YEAR(B856)*100+MONTH(B856),"")</f>
        <v/>
      </c>
      <c r="K856">
        <f>IF(ISNUMBER(B856),INT(B856),0)</f>
        <v/>
      </c>
      <c r="L856">
        <f>IF(AND(ISNUMBER(D856),N(D856)&gt;0),K856,0)</f>
        <v/>
      </c>
    </row>
    <row r="857">
      <c r="A857" s="1" t="n"/>
      <c r="B857" s="21" t="n"/>
      <c r="C857" s="22" t="n"/>
      <c r="D857" s="46" t="n"/>
      <c r="E857" s="25" t="n"/>
      <c r="F857" s="25" t="n"/>
      <c r="G857" s="17">
        <f>IF(AND(C857="",D857=""),"",IF(NOT(ISNUMBER(B857)),"Needs a date",IF(AND(D857&lt;&gt;"",NOT(ISNUMBER(D857))),"Hours not a number",IF(N(D857)&lt;=0,"Needs the hours",IF(C857="","Needs a name",IF(COUNTIF(Volunteers!$B$6:$B$105,C857)=0,"Not on Volunteers",""))))))</f>
        <v/>
      </c>
      <c r="H857" s="1" t="n"/>
      <c r="I857">
        <f>IF(ISNUMBER(B857),YEAR(B857),"")</f>
        <v/>
      </c>
      <c r="J857">
        <f>IF(ISNUMBER(B857),YEAR(B857)*100+MONTH(B857),"")</f>
        <v/>
      </c>
      <c r="K857">
        <f>IF(ISNUMBER(B857),INT(B857),0)</f>
        <v/>
      </c>
      <c r="L857">
        <f>IF(AND(ISNUMBER(D857),N(D857)&gt;0),K857,0)</f>
        <v/>
      </c>
    </row>
    <row r="858">
      <c r="A858" s="1" t="n"/>
      <c r="B858" s="21" t="n"/>
      <c r="C858" s="22" t="n"/>
      <c r="D858" s="46" t="n"/>
      <c r="E858" s="25" t="n"/>
      <c r="F858" s="25" t="n"/>
      <c r="G858" s="17">
        <f>IF(AND(C858="",D858=""),"",IF(NOT(ISNUMBER(B858)),"Needs a date",IF(AND(D858&lt;&gt;"",NOT(ISNUMBER(D858))),"Hours not a number",IF(N(D858)&lt;=0,"Needs the hours",IF(C858="","Needs a name",IF(COUNTIF(Volunteers!$B$6:$B$105,C858)=0,"Not on Volunteers",""))))))</f>
        <v/>
      </c>
      <c r="H858" s="1" t="n"/>
      <c r="I858">
        <f>IF(ISNUMBER(B858),YEAR(B858),"")</f>
        <v/>
      </c>
      <c r="J858">
        <f>IF(ISNUMBER(B858),YEAR(B858)*100+MONTH(B858),"")</f>
        <v/>
      </c>
      <c r="K858">
        <f>IF(ISNUMBER(B858),INT(B858),0)</f>
        <v/>
      </c>
      <c r="L858">
        <f>IF(AND(ISNUMBER(D858),N(D858)&gt;0),K858,0)</f>
        <v/>
      </c>
    </row>
    <row r="859">
      <c r="A859" s="1" t="n"/>
      <c r="B859" s="21" t="n"/>
      <c r="C859" s="22" t="n"/>
      <c r="D859" s="46" t="n"/>
      <c r="E859" s="25" t="n"/>
      <c r="F859" s="25" t="n"/>
      <c r="G859" s="17">
        <f>IF(AND(C859="",D859=""),"",IF(NOT(ISNUMBER(B859)),"Needs a date",IF(AND(D859&lt;&gt;"",NOT(ISNUMBER(D859))),"Hours not a number",IF(N(D859)&lt;=0,"Needs the hours",IF(C859="","Needs a name",IF(COUNTIF(Volunteers!$B$6:$B$105,C859)=0,"Not on Volunteers",""))))))</f>
        <v/>
      </c>
      <c r="H859" s="1" t="n"/>
      <c r="I859">
        <f>IF(ISNUMBER(B859),YEAR(B859),"")</f>
        <v/>
      </c>
      <c r="J859">
        <f>IF(ISNUMBER(B859),YEAR(B859)*100+MONTH(B859),"")</f>
        <v/>
      </c>
      <c r="K859">
        <f>IF(ISNUMBER(B859),INT(B859),0)</f>
        <v/>
      </c>
      <c r="L859">
        <f>IF(AND(ISNUMBER(D859),N(D859)&gt;0),K859,0)</f>
        <v/>
      </c>
    </row>
    <row r="860">
      <c r="A860" s="1" t="n"/>
      <c r="B860" s="21" t="n"/>
      <c r="C860" s="22" t="n"/>
      <c r="D860" s="46" t="n"/>
      <c r="E860" s="25" t="n"/>
      <c r="F860" s="25" t="n"/>
      <c r="G860" s="17">
        <f>IF(AND(C860="",D860=""),"",IF(NOT(ISNUMBER(B860)),"Needs a date",IF(AND(D860&lt;&gt;"",NOT(ISNUMBER(D860))),"Hours not a number",IF(N(D860)&lt;=0,"Needs the hours",IF(C860="","Needs a name",IF(COUNTIF(Volunteers!$B$6:$B$105,C860)=0,"Not on Volunteers",""))))))</f>
        <v/>
      </c>
      <c r="H860" s="1" t="n"/>
      <c r="I860">
        <f>IF(ISNUMBER(B860),YEAR(B860),"")</f>
        <v/>
      </c>
      <c r="J860">
        <f>IF(ISNUMBER(B860),YEAR(B860)*100+MONTH(B860),"")</f>
        <v/>
      </c>
      <c r="K860">
        <f>IF(ISNUMBER(B860),INT(B860),0)</f>
        <v/>
      </c>
      <c r="L860">
        <f>IF(AND(ISNUMBER(D860),N(D860)&gt;0),K860,0)</f>
        <v/>
      </c>
    </row>
    <row r="861">
      <c r="A861" s="1" t="n"/>
      <c r="B861" s="21" t="n"/>
      <c r="C861" s="22" t="n"/>
      <c r="D861" s="46" t="n"/>
      <c r="E861" s="25" t="n"/>
      <c r="F861" s="25" t="n"/>
      <c r="G861" s="17">
        <f>IF(AND(C861="",D861=""),"",IF(NOT(ISNUMBER(B861)),"Needs a date",IF(AND(D861&lt;&gt;"",NOT(ISNUMBER(D861))),"Hours not a number",IF(N(D861)&lt;=0,"Needs the hours",IF(C861="","Needs a name",IF(COUNTIF(Volunteers!$B$6:$B$105,C861)=0,"Not on Volunteers",""))))))</f>
        <v/>
      </c>
      <c r="H861" s="1" t="n"/>
      <c r="I861">
        <f>IF(ISNUMBER(B861),YEAR(B861),"")</f>
        <v/>
      </c>
      <c r="J861">
        <f>IF(ISNUMBER(B861),YEAR(B861)*100+MONTH(B861),"")</f>
        <v/>
      </c>
      <c r="K861">
        <f>IF(ISNUMBER(B861),INT(B861),0)</f>
        <v/>
      </c>
      <c r="L861">
        <f>IF(AND(ISNUMBER(D861),N(D861)&gt;0),K861,0)</f>
        <v/>
      </c>
    </row>
    <row r="862">
      <c r="A862" s="1" t="n"/>
      <c r="B862" s="21" t="n"/>
      <c r="C862" s="22" t="n"/>
      <c r="D862" s="46" t="n"/>
      <c r="E862" s="25" t="n"/>
      <c r="F862" s="25" t="n"/>
      <c r="G862" s="17">
        <f>IF(AND(C862="",D862=""),"",IF(NOT(ISNUMBER(B862)),"Needs a date",IF(AND(D862&lt;&gt;"",NOT(ISNUMBER(D862))),"Hours not a number",IF(N(D862)&lt;=0,"Needs the hours",IF(C862="","Needs a name",IF(COUNTIF(Volunteers!$B$6:$B$105,C862)=0,"Not on Volunteers",""))))))</f>
        <v/>
      </c>
      <c r="H862" s="1" t="n"/>
      <c r="I862">
        <f>IF(ISNUMBER(B862),YEAR(B862),"")</f>
        <v/>
      </c>
      <c r="J862">
        <f>IF(ISNUMBER(B862),YEAR(B862)*100+MONTH(B862),"")</f>
        <v/>
      </c>
      <c r="K862">
        <f>IF(ISNUMBER(B862),INT(B862),0)</f>
        <v/>
      </c>
      <c r="L862">
        <f>IF(AND(ISNUMBER(D862),N(D862)&gt;0),K862,0)</f>
        <v/>
      </c>
    </row>
    <row r="863">
      <c r="A863" s="1" t="n"/>
      <c r="B863" s="21" t="n"/>
      <c r="C863" s="22" t="n"/>
      <c r="D863" s="46" t="n"/>
      <c r="E863" s="25" t="n"/>
      <c r="F863" s="25" t="n"/>
      <c r="G863" s="17">
        <f>IF(AND(C863="",D863=""),"",IF(NOT(ISNUMBER(B863)),"Needs a date",IF(AND(D863&lt;&gt;"",NOT(ISNUMBER(D863))),"Hours not a number",IF(N(D863)&lt;=0,"Needs the hours",IF(C863="","Needs a name",IF(COUNTIF(Volunteers!$B$6:$B$105,C863)=0,"Not on Volunteers",""))))))</f>
        <v/>
      </c>
      <c r="H863" s="1" t="n"/>
      <c r="I863">
        <f>IF(ISNUMBER(B863),YEAR(B863),"")</f>
        <v/>
      </c>
      <c r="J863">
        <f>IF(ISNUMBER(B863),YEAR(B863)*100+MONTH(B863),"")</f>
        <v/>
      </c>
      <c r="K863">
        <f>IF(ISNUMBER(B863),INT(B863),0)</f>
        <v/>
      </c>
      <c r="L863">
        <f>IF(AND(ISNUMBER(D863),N(D863)&gt;0),K863,0)</f>
        <v/>
      </c>
    </row>
    <row r="864">
      <c r="A864" s="1" t="n"/>
      <c r="B864" s="21" t="n"/>
      <c r="C864" s="22" t="n"/>
      <c r="D864" s="46" t="n"/>
      <c r="E864" s="25" t="n"/>
      <c r="F864" s="25" t="n"/>
      <c r="G864" s="17">
        <f>IF(AND(C864="",D864=""),"",IF(NOT(ISNUMBER(B864)),"Needs a date",IF(AND(D864&lt;&gt;"",NOT(ISNUMBER(D864))),"Hours not a number",IF(N(D864)&lt;=0,"Needs the hours",IF(C864="","Needs a name",IF(COUNTIF(Volunteers!$B$6:$B$105,C864)=0,"Not on Volunteers",""))))))</f>
        <v/>
      </c>
      <c r="H864" s="1" t="n"/>
      <c r="I864">
        <f>IF(ISNUMBER(B864),YEAR(B864),"")</f>
        <v/>
      </c>
      <c r="J864">
        <f>IF(ISNUMBER(B864),YEAR(B864)*100+MONTH(B864),"")</f>
        <v/>
      </c>
      <c r="K864">
        <f>IF(ISNUMBER(B864),INT(B864),0)</f>
        <v/>
      </c>
      <c r="L864">
        <f>IF(AND(ISNUMBER(D864),N(D864)&gt;0),K864,0)</f>
        <v/>
      </c>
    </row>
    <row r="865">
      <c r="A865" s="1" t="n"/>
      <c r="B865" s="21" t="n"/>
      <c r="C865" s="22" t="n"/>
      <c r="D865" s="46" t="n"/>
      <c r="E865" s="25" t="n"/>
      <c r="F865" s="25" t="n"/>
      <c r="G865" s="17">
        <f>IF(AND(C865="",D865=""),"",IF(NOT(ISNUMBER(B865)),"Needs a date",IF(AND(D865&lt;&gt;"",NOT(ISNUMBER(D865))),"Hours not a number",IF(N(D865)&lt;=0,"Needs the hours",IF(C865="","Needs a name",IF(COUNTIF(Volunteers!$B$6:$B$105,C865)=0,"Not on Volunteers",""))))))</f>
        <v/>
      </c>
      <c r="H865" s="1" t="n"/>
      <c r="I865">
        <f>IF(ISNUMBER(B865),YEAR(B865),"")</f>
        <v/>
      </c>
      <c r="J865">
        <f>IF(ISNUMBER(B865),YEAR(B865)*100+MONTH(B865),"")</f>
        <v/>
      </c>
      <c r="K865">
        <f>IF(ISNUMBER(B865),INT(B865),0)</f>
        <v/>
      </c>
      <c r="L865">
        <f>IF(AND(ISNUMBER(D865),N(D865)&gt;0),K865,0)</f>
        <v/>
      </c>
    </row>
    <row r="866">
      <c r="A866" s="1" t="n"/>
      <c r="B866" s="21" t="n"/>
      <c r="C866" s="22" t="n"/>
      <c r="D866" s="46" t="n"/>
      <c r="E866" s="25" t="n"/>
      <c r="F866" s="25" t="n"/>
      <c r="G866" s="17">
        <f>IF(AND(C866="",D866=""),"",IF(NOT(ISNUMBER(B866)),"Needs a date",IF(AND(D866&lt;&gt;"",NOT(ISNUMBER(D866))),"Hours not a number",IF(N(D866)&lt;=0,"Needs the hours",IF(C866="","Needs a name",IF(COUNTIF(Volunteers!$B$6:$B$105,C866)=0,"Not on Volunteers",""))))))</f>
        <v/>
      </c>
      <c r="H866" s="1" t="n"/>
      <c r="I866">
        <f>IF(ISNUMBER(B866),YEAR(B866),"")</f>
        <v/>
      </c>
      <c r="J866">
        <f>IF(ISNUMBER(B866),YEAR(B866)*100+MONTH(B866),"")</f>
        <v/>
      </c>
      <c r="K866">
        <f>IF(ISNUMBER(B866),INT(B866),0)</f>
        <v/>
      </c>
      <c r="L866">
        <f>IF(AND(ISNUMBER(D866),N(D866)&gt;0),K866,0)</f>
        <v/>
      </c>
    </row>
    <row r="867">
      <c r="A867" s="1" t="n"/>
      <c r="B867" s="21" t="n"/>
      <c r="C867" s="22" t="n"/>
      <c r="D867" s="46" t="n"/>
      <c r="E867" s="25" t="n"/>
      <c r="F867" s="25" t="n"/>
      <c r="G867" s="17">
        <f>IF(AND(C867="",D867=""),"",IF(NOT(ISNUMBER(B867)),"Needs a date",IF(AND(D867&lt;&gt;"",NOT(ISNUMBER(D867))),"Hours not a number",IF(N(D867)&lt;=0,"Needs the hours",IF(C867="","Needs a name",IF(COUNTIF(Volunteers!$B$6:$B$105,C867)=0,"Not on Volunteers",""))))))</f>
        <v/>
      </c>
      <c r="H867" s="1" t="n"/>
      <c r="I867">
        <f>IF(ISNUMBER(B867),YEAR(B867),"")</f>
        <v/>
      </c>
      <c r="J867">
        <f>IF(ISNUMBER(B867),YEAR(B867)*100+MONTH(B867),"")</f>
        <v/>
      </c>
      <c r="K867">
        <f>IF(ISNUMBER(B867),INT(B867),0)</f>
        <v/>
      </c>
      <c r="L867">
        <f>IF(AND(ISNUMBER(D867),N(D867)&gt;0),K867,0)</f>
        <v/>
      </c>
    </row>
    <row r="868">
      <c r="A868" s="1" t="n"/>
      <c r="B868" s="21" t="n"/>
      <c r="C868" s="22" t="n"/>
      <c r="D868" s="46" t="n"/>
      <c r="E868" s="25" t="n"/>
      <c r="F868" s="25" t="n"/>
      <c r="G868" s="17">
        <f>IF(AND(C868="",D868=""),"",IF(NOT(ISNUMBER(B868)),"Needs a date",IF(AND(D868&lt;&gt;"",NOT(ISNUMBER(D868))),"Hours not a number",IF(N(D868)&lt;=0,"Needs the hours",IF(C868="","Needs a name",IF(COUNTIF(Volunteers!$B$6:$B$105,C868)=0,"Not on Volunteers",""))))))</f>
        <v/>
      </c>
      <c r="H868" s="1" t="n"/>
      <c r="I868">
        <f>IF(ISNUMBER(B868),YEAR(B868),"")</f>
        <v/>
      </c>
      <c r="J868">
        <f>IF(ISNUMBER(B868),YEAR(B868)*100+MONTH(B868),"")</f>
        <v/>
      </c>
      <c r="K868">
        <f>IF(ISNUMBER(B868),INT(B868),0)</f>
        <v/>
      </c>
      <c r="L868">
        <f>IF(AND(ISNUMBER(D868),N(D868)&gt;0),K868,0)</f>
        <v/>
      </c>
    </row>
    <row r="869">
      <c r="A869" s="1" t="n"/>
      <c r="B869" s="21" t="n"/>
      <c r="C869" s="22" t="n"/>
      <c r="D869" s="46" t="n"/>
      <c r="E869" s="25" t="n"/>
      <c r="F869" s="25" t="n"/>
      <c r="G869" s="17">
        <f>IF(AND(C869="",D869=""),"",IF(NOT(ISNUMBER(B869)),"Needs a date",IF(AND(D869&lt;&gt;"",NOT(ISNUMBER(D869))),"Hours not a number",IF(N(D869)&lt;=0,"Needs the hours",IF(C869="","Needs a name",IF(COUNTIF(Volunteers!$B$6:$B$105,C869)=0,"Not on Volunteers",""))))))</f>
        <v/>
      </c>
      <c r="H869" s="1" t="n"/>
      <c r="I869">
        <f>IF(ISNUMBER(B869),YEAR(B869),"")</f>
        <v/>
      </c>
      <c r="J869">
        <f>IF(ISNUMBER(B869),YEAR(B869)*100+MONTH(B869),"")</f>
        <v/>
      </c>
      <c r="K869">
        <f>IF(ISNUMBER(B869),INT(B869),0)</f>
        <v/>
      </c>
      <c r="L869">
        <f>IF(AND(ISNUMBER(D869),N(D869)&gt;0),K869,0)</f>
        <v/>
      </c>
    </row>
    <row r="870">
      <c r="A870" s="1" t="n"/>
      <c r="B870" s="21" t="n"/>
      <c r="C870" s="22" t="n"/>
      <c r="D870" s="46" t="n"/>
      <c r="E870" s="25" t="n"/>
      <c r="F870" s="25" t="n"/>
      <c r="G870" s="17">
        <f>IF(AND(C870="",D870=""),"",IF(NOT(ISNUMBER(B870)),"Needs a date",IF(AND(D870&lt;&gt;"",NOT(ISNUMBER(D870))),"Hours not a number",IF(N(D870)&lt;=0,"Needs the hours",IF(C870="","Needs a name",IF(COUNTIF(Volunteers!$B$6:$B$105,C870)=0,"Not on Volunteers",""))))))</f>
        <v/>
      </c>
      <c r="H870" s="1" t="n"/>
      <c r="I870">
        <f>IF(ISNUMBER(B870),YEAR(B870),"")</f>
        <v/>
      </c>
      <c r="J870">
        <f>IF(ISNUMBER(B870),YEAR(B870)*100+MONTH(B870),"")</f>
        <v/>
      </c>
      <c r="K870">
        <f>IF(ISNUMBER(B870),INT(B870),0)</f>
        <v/>
      </c>
      <c r="L870">
        <f>IF(AND(ISNUMBER(D870),N(D870)&gt;0),K870,0)</f>
        <v/>
      </c>
    </row>
    <row r="871">
      <c r="A871" s="1" t="n"/>
      <c r="B871" s="21" t="n"/>
      <c r="C871" s="22" t="n"/>
      <c r="D871" s="46" t="n"/>
      <c r="E871" s="25" t="n"/>
      <c r="F871" s="25" t="n"/>
      <c r="G871" s="17">
        <f>IF(AND(C871="",D871=""),"",IF(NOT(ISNUMBER(B871)),"Needs a date",IF(AND(D871&lt;&gt;"",NOT(ISNUMBER(D871))),"Hours not a number",IF(N(D871)&lt;=0,"Needs the hours",IF(C871="","Needs a name",IF(COUNTIF(Volunteers!$B$6:$B$105,C871)=0,"Not on Volunteers",""))))))</f>
        <v/>
      </c>
      <c r="H871" s="1" t="n"/>
      <c r="I871">
        <f>IF(ISNUMBER(B871),YEAR(B871),"")</f>
        <v/>
      </c>
      <c r="J871">
        <f>IF(ISNUMBER(B871),YEAR(B871)*100+MONTH(B871),"")</f>
        <v/>
      </c>
      <c r="K871">
        <f>IF(ISNUMBER(B871),INT(B871),0)</f>
        <v/>
      </c>
      <c r="L871">
        <f>IF(AND(ISNUMBER(D871),N(D871)&gt;0),K871,0)</f>
        <v/>
      </c>
    </row>
    <row r="872">
      <c r="A872" s="1" t="n"/>
      <c r="B872" s="21" t="n"/>
      <c r="C872" s="22" t="n"/>
      <c r="D872" s="46" t="n"/>
      <c r="E872" s="25" t="n"/>
      <c r="F872" s="25" t="n"/>
      <c r="G872" s="17">
        <f>IF(AND(C872="",D872=""),"",IF(NOT(ISNUMBER(B872)),"Needs a date",IF(AND(D872&lt;&gt;"",NOT(ISNUMBER(D872))),"Hours not a number",IF(N(D872)&lt;=0,"Needs the hours",IF(C872="","Needs a name",IF(COUNTIF(Volunteers!$B$6:$B$105,C872)=0,"Not on Volunteers",""))))))</f>
        <v/>
      </c>
      <c r="H872" s="1" t="n"/>
      <c r="I872">
        <f>IF(ISNUMBER(B872),YEAR(B872),"")</f>
        <v/>
      </c>
      <c r="J872">
        <f>IF(ISNUMBER(B872),YEAR(B872)*100+MONTH(B872),"")</f>
        <v/>
      </c>
      <c r="K872">
        <f>IF(ISNUMBER(B872),INT(B872),0)</f>
        <v/>
      </c>
      <c r="L872">
        <f>IF(AND(ISNUMBER(D872),N(D872)&gt;0),K872,0)</f>
        <v/>
      </c>
    </row>
    <row r="873">
      <c r="A873" s="1" t="n"/>
      <c r="B873" s="21" t="n"/>
      <c r="C873" s="22" t="n"/>
      <c r="D873" s="46" t="n"/>
      <c r="E873" s="25" t="n"/>
      <c r="F873" s="25" t="n"/>
      <c r="G873" s="17">
        <f>IF(AND(C873="",D873=""),"",IF(NOT(ISNUMBER(B873)),"Needs a date",IF(AND(D873&lt;&gt;"",NOT(ISNUMBER(D873))),"Hours not a number",IF(N(D873)&lt;=0,"Needs the hours",IF(C873="","Needs a name",IF(COUNTIF(Volunteers!$B$6:$B$105,C873)=0,"Not on Volunteers",""))))))</f>
        <v/>
      </c>
      <c r="H873" s="1" t="n"/>
      <c r="I873">
        <f>IF(ISNUMBER(B873),YEAR(B873),"")</f>
        <v/>
      </c>
      <c r="J873">
        <f>IF(ISNUMBER(B873),YEAR(B873)*100+MONTH(B873),"")</f>
        <v/>
      </c>
      <c r="K873">
        <f>IF(ISNUMBER(B873),INT(B873),0)</f>
        <v/>
      </c>
      <c r="L873">
        <f>IF(AND(ISNUMBER(D873),N(D873)&gt;0),K873,0)</f>
        <v/>
      </c>
    </row>
    <row r="874">
      <c r="A874" s="1" t="n"/>
      <c r="B874" s="21" t="n"/>
      <c r="C874" s="22" t="n"/>
      <c r="D874" s="46" t="n"/>
      <c r="E874" s="25" t="n"/>
      <c r="F874" s="25" t="n"/>
      <c r="G874" s="17">
        <f>IF(AND(C874="",D874=""),"",IF(NOT(ISNUMBER(B874)),"Needs a date",IF(AND(D874&lt;&gt;"",NOT(ISNUMBER(D874))),"Hours not a number",IF(N(D874)&lt;=0,"Needs the hours",IF(C874="","Needs a name",IF(COUNTIF(Volunteers!$B$6:$B$105,C874)=0,"Not on Volunteers",""))))))</f>
        <v/>
      </c>
      <c r="H874" s="1" t="n"/>
      <c r="I874">
        <f>IF(ISNUMBER(B874),YEAR(B874),"")</f>
        <v/>
      </c>
      <c r="J874">
        <f>IF(ISNUMBER(B874),YEAR(B874)*100+MONTH(B874),"")</f>
        <v/>
      </c>
      <c r="K874">
        <f>IF(ISNUMBER(B874),INT(B874),0)</f>
        <v/>
      </c>
      <c r="L874">
        <f>IF(AND(ISNUMBER(D874),N(D874)&gt;0),K874,0)</f>
        <v/>
      </c>
    </row>
    <row r="875">
      <c r="A875" s="1" t="n"/>
      <c r="B875" s="21" t="n"/>
      <c r="C875" s="22" t="n"/>
      <c r="D875" s="46" t="n"/>
      <c r="E875" s="25" t="n"/>
      <c r="F875" s="25" t="n"/>
      <c r="G875" s="17">
        <f>IF(AND(C875="",D875=""),"",IF(NOT(ISNUMBER(B875)),"Needs a date",IF(AND(D875&lt;&gt;"",NOT(ISNUMBER(D875))),"Hours not a number",IF(N(D875)&lt;=0,"Needs the hours",IF(C875="","Needs a name",IF(COUNTIF(Volunteers!$B$6:$B$105,C875)=0,"Not on Volunteers",""))))))</f>
        <v/>
      </c>
      <c r="H875" s="1" t="n"/>
      <c r="I875">
        <f>IF(ISNUMBER(B875),YEAR(B875),"")</f>
        <v/>
      </c>
      <c r="J875">
        <f>IF(ISNUMBER(B875),YEAR(B875)*100+MONTH(B875),"")</f>
        <v/>
      </c>
      <c r="K875">
        <f>IF(ISNUMBER(B875),INT(B875),0)</f>
        <v/>
      </c>
      <c r="L875">
        <f>IF(AND(ISNUMBER(D875),N(D875)&gt;0),K875,0)</f>
        <v/>
      </c>
    </row>
    <row r="876">
      <c r="A876" s="1" t="n"/>
      <c r="B876" s="21" t="n"/>
      <c r="C876" s="22" t="n"/>
      <c r="D876" s="46" t="n"/>
      <c r="E876" s="25" t="n"/>
      <c r="F876" s="25" t="n"/>
      <c r="G876" s="17">
        <f>IF(AND(C876="",D876=""),"",IF(NOT(ISNUMBER(B876)),"Needs a date",IF(AND(D876&lt;&gt;"",NOT(ISNUMBER(D876))),"Hours not a number",IF(N(D876)&lt;=0,"Needs the hours",IF(C876="","Needs a name",IF(COUNTIF(Volunteers!$B$6:$B$105,C876)=0,"Not on Volunteers",""))))))</f>
        <v/>
      </c>
      <c r="H876" s="1" t="n"/>
      <c r="I876">
        <f>IF(ISNUMBER(B876),YEAR(B876),"")</f>
        <v/>
      </c>
      <c r="J876">
        <f>IF(ISNUMBER(B876),YEAR(B876)*100+MONTH(B876),"")</f>
        <v/>
      </c>
      <c r="K876">
        <f>IF(ISNUMBER(B876),INT(B876),0)</f>
        <v/>
      </c>
      <c r="L876">
        <f>IF(AND(ISNUMBER(D876),N(D876)&gt;0),K876,0)</f>
        <v/>
      </c>
    </row>
    <row r="877">
      <c r="A877" s="1" t="n"/>
      <c r="B877" s="21" t="n"/>
      <c r="C877" s="22" t="n"/>
      <c r="D877" s="46" t="n"/>
      <c r="E877" s="25" t="n"/>
      <c r="F877" s="25" t="n"/>
      <c r="G877" s="17">
        <f>IF(AND(C877="",D877=""),"",IF(NOT(ISNUMBER(B877)),"Needs a date",IF(AND(D877&lt;&gt;"",NOT(ISNUMBER(D877))),"Hours not a number",IF(N(D877)&lt;=0,"Needs the hours",IF(C877="","Needs a name",IF(COUNTIF(Volunteers!$B$6:$B$105,C877)=0,"Not on Volunteers",""))))))</f>
        <v/>
      </c>
      <c r="H877" s="1" t="n"/>
      <c r="I877">
        <f>IF(ISNUMBER(B877),YEAR(B877),"")</f>
        <v/>
      </c>
      <c r="J877">
        <f>IF(ISNUMBER(B877),YEAR(B877)*100+MONTH(B877),"")</f>
        <v/>
      </c>
      <c r="K877">
        <f>IF(ISNUMBER(B877),INT(B877),0)</f>
        <v/>
      </c>
      <c r="L877">
        <f>IF(AND(ISNUMBER(D877),N(D877)&gt;0),K877,0)</f>
        <v/>
      </c>
    </row>
    <row r="878">
      <c r="A878" s="1" t="n"/>
      <c r="B878" s="21" t="n"/>
      <c r="C878" s="22" t="n"/>
      <c r="D878" s="46" t="n"/>
      <c r="E878" s="25" t="n"/>
      <c r="F878" s="25" t="n"/>
      <c r="G878" s="17">
        <f>IF(AND(C878="",D878=""),"",IF(NOT(ISNUMBER(B878)),"Needs a date",IF(AND(D878&lt;&gt;"",NOT(ISNUMBER(D878))),"Hours not a number",IF(N(D878)&lt;=0,"Needs the hours",IF(C878="","Needs a name",IF(COUNTIF(Volunteers!$B$6:$B$105,C878)=0,"Not on Volunteers",""))))))</f>
        <v/>
      </c>
      <c r="H878" s="1" t="n"/>
      <c r="I878">
        <f>IF(ISNUMBER(B878),YEAR(B878),"")</f>
        <v/>
      </c>
      <c r="J878">
        <f>IF(ISNUMBER(B878),YEAR(B878)*100+MONTH(B878),"")</f>
        <v/>
      </c>
      <c r="K878">
        <f>IF(ISNUMBER(B878),INT(B878),0)</f>
        <v/>
      </c>
      <c r="L878">
        <f>IF(AND(ISNUMBER(D878),N(D878)&gt;0),K878,0)</f>
        <v/>
      </c>
    </row>
    <row r="879">
      <c r="A879" s="1" t="n"/>
      <c r="B879" s="21" t="n"/>
      <c r="C879" s="22" t="n"/>
      <c r="D879" s="46" t="n"/>
      <c r="E879" s="25" t="n"/>
      <c r="F879" s="25" t="n"/>
      <c r="G879" s="17">
        <f>IF(AND(C879="",D879=""),"",IF(NOT(ISNUMBER(B879)),"Needs a date",IF(AND(D879&lt;&gt;"",NOT(ISNUMBER(D879))),"Hours not a number",IF(N(D879)&lt;=0,"Needs the hours",IF(C879="","Needs a name",IF(COUNTIF(Volunteers!$B$6:$B$105,C879)=0,"Not on Volunteers",""))))))</f>
        <v/>
      </c>
      <c r="H879" s="1" t="n"/>
      <c r="I879">
        <f>IF(ISNUMBER(B879),YEAR(B879),"")</f>
        <v/>
      </c>
      <c r="J879">
        <f>IF(ISNUMBER(B879),YEAR(B879)*100+MONTH(B879),"")</f>
        <v/>
      </c>
      <c r="K879">
        <f>IF(ISNUMBER(B879),INT(B879),0)</f>
        <v/>
      </c>
      <c r="L879">
        <f>IF(AND(ISNUMBER(D879),N(D879)&gt;0),K879,0)</f>
        <v/>
      </c>
    </row>
    <row r="880">
      <c r="A880" s="1" t="n"/>
      <c r="B880" s="21" t="n"/>
      <c r="C880" s="22" t="n"/>
      <c r="D880" s="46" t="n"/>
      <c r="E880" s="25" t="n"/>
      <c r="F880" s="25" t="n"/>
      <c r="G880" s="17">
        <f>IF(AND(C880="",D880=""),"",IF(NOT(ISNUMBER(B880)),"Needs a date",IF(AND(D880&lt;&gt;"",NOT(ISNUMBER(D880))),"Hours not a number",IF(N(D880)&lt;=0,"Needs the hours",IF(C880="","Needs a name",IF(COUNTIF(Volunteers!$B$6:$B$105,C880)=0,"Not on Volunteers",""))))))</f>
        <v/>
      </c>
      <c r="H880" s="1" t="n"/>
      <c r="I880">
        <f>IF(ISNUMBER(B880),YEAR(B880),"")</f>
        <v/>
      </c>
      <c r="J880">
        <f>IF(ISNUMBER(B880),YEAR(B880)*100+MONTH(B880),"")</f>
        <v/>
      </c>
      <c r="K880">
        <f>IF(ISNUMBER(B880),INT(B880),0)</f>
        <v/>
      </c>
      <c r="L880">
        <f>IF(AND(ISNUMBER(D880),N(D880)&gt;0),K880,0)</f>
        <v/>
      </c>
    </row>
    <row r="881">
      <c r="A881" s="1" t="n"/>
      <c r="B881" s="21" t="n"/>
      <c r="C881" s="22" t="n"/>
      <c r="D881" s="46" t="n"/>
      <c r="E881" s="25" t="n"/>
      <c r="F881" s="25" t="n"/>
      <c r="G881" s="17">
        <f>IF(AND(C881="",D881=""),"",IF(NOT(ISNUMBER(B881)),"Needs a date",IF(AND(D881&lt;&gt;"",NOT(ISNUMBER(D881))),"Hours not a number",IF(N(D881)&lt;=0,"Needs the hours",IF(C881="","Needs a name",IF(COUNTIF(Volunteers!$B$6:$B$105,C881)=0,"Not on Volunteers",""))))))</f>
        <v/>
      </c>
      <c r="H881" s="1" t="n"/>
      <c r="I881">
        <f>IF(ISNUMBER(B881),YEAR(B881),"")</f>
        <v/>
      </c>
      <c r="J881">
        <f>IF(ISNUMBER(B881),YEAR(B881)*100+MONTH(B881),"")</f>
        <v/>
      </c>
      <c r="K881">
        <f>IF(ISNUMBER(B881),INT(B881),0)</f>
        <v/>
      </c>
      <c r="L881">
        <f>IF(AND(ISNUMBER(D881),N(D881)&gt;0),K881,0)</f>
        <v/>
      </c>
    </row>
    <row r="882">
      <c r="A882" s="1" t="n"/>
      <c r="B882" s="21" t="n"/>
      <c r="C882" s="22" t="n"/>
      <c r="D882" s="46" t="n"/>
      <c r="E882" s="25" t="n"/>
      <c r="F882" s="25" t="n"/>
      <c r="G882" s="17">
        <f>IF(AND(C882="",D882=""),"",IF(NOT(ISNUMBER(B882)),"Needs a date",IF(AND(D882&lt;&gt;"",NOT(ISNUMBER(D882))),"Hours not a number",IF(N(D882)&lt;=0,"Needs the hours",IF(C882="","Needs a name",IF(COUNTIF(Volunteers!$B$6:$B$105,C882)=0,"Not on Volunteers",""))))))</f>
        <v/>
      </c>
      <c r="H882" s="1" t="n"/>
      <c r="I882">
        <f>IF(ISNUMBER(B882),YEAR(B882),"")</f>
        <v/>
      </c>
      <c r="J882">
        <f>IF(ISNUMBER(B882),YEAR(B882)*100+MONTH(B882),"")</f>
        <v/>
      </c>
      <c r="K882">
        <f>IF(ISNUMBER(B882),INT(B882),0)</f>
        <v/>
      </c>
      <c r="L882">
        <f>IF(AND(ISNUMBER(D882),N(D882)&gt;0),K882,0)</f>
        <v/>
      </c>
    </row>
    <row r="883">
      <c r="A883" s="1" t="n"/>
      <c r="B883" s="21" t="n"/>
      <c r="C883" s="22" t="n"/>
      <c r="D883" s="46" t="n"/>
      <c r="E883" s="25" t="n"/>
      <c r="F883" s="25" t="n"/>
      <c r="G883" s="17">
        <f>IF(AND(C883="",D883=""),"",IF(NOT(ISNUMBER(B883)),"Needs a date",IF(AND(D883&lt;&gt;"",NOT(ISNUMBER(D883))),"Hours not a number",IF(N(D883)&lt;=0,"Needs the hours",IF(C883="","Needs a name",IF(COUNTIF(Volunteers!$B$6:$B$105,C883)=0,"Not on Volunteers",""))))))</f>
        <v/>
      </c>
      <c r="H883" s="1" t="n"/>
      <c r="I883">
        <f>IF(ISNUMBER(B883),YEAR(B883),"")</f>
        <v/>
      </c>
      <c r="J883">
        <f>IF(ISNUMBER(B883),YEAR(B883)*100+MONTH(B883),"")</f>
        <v/>
      </c>
      <c r="K883">
        <f>IF(ISNUMBER(B883),INT(B883),0)</f>
        <v/>
      </c>
      <c r="L883">
        <f>IF(AND(ISNUMBER(D883),N(D883)&gt;0),K883,0)</f>
        <v/>
      </c>
    </row>
    <row r="884">
      <c r="A884" s="1" t="n"/>
      <c r="B884" s="21" t="n"/>
      <c r="C884" s="22" t="n"/>
      <c r="D884" s="46" t="n"/>
      <c r="E884" s="25" t="n"/>
      <c r="F884" s="25" t="n"/>
      <c r="G884" s="17">
        <f>IF(AND(C884="",D884=""),"",IF(NOT(ISNUMBER(B884)),"Needs a date",IF(AND(D884&lt;&gt;"",NOT(ISNUMBER(D884))),"Hours not a number",IF(N(D884)&lt;=0,"Needs the hours",IF(C884="","Needs a name",IF(COUNTIF(Volunteers!$B$6:$B$105,C884)=0,"Not on Volunteers",""))))))</f>
        <v/>
      </c>
      <c r="H884" s="1" t="n"/>
      <c r="I884">
        <f>IF(ISNUMBER(B884),YEAR(B884),"")</f>
        <v/>
      </c>
      <c r="J884">
        <f>IF(ISNUMBER(B884),YEAR(B884)*100+MONTH(B884),"")</f>
        <v/>
      </c>
      <c r="K884">
        <f>IF(ISNUMBER(B884),INT(B884),0)</f>
        <v/>
      </c>
      <c r="L884">
        <f>IF(AND(ISNUMBER(D884),N(D884)&gt;0),K884,0)</f>
        <v/>
      </c>
    </row>
    <row r="885">
      <c r="A885" s="1" t="n"/>
      <c r="B885" s="21" t="n"/>
      <c r="C885" s="22" t="n"/>
      <c r="D885" s="46" t="n"/>
      <c r="E885" s="25" t="n"/>
      <c r="F885" s="25" t="n"/>
      <c r="G885" s="17">
        <f>IF(AND(C885="",D885=""),"",IF(NOT(ISNUMBER(B885)),"Needs a date",IF(AND(D885&lt;&gt;"",NOT(ISNUMBER(D885))),"Hours not a number",IF(N(D885)&lt;=0,"Needs the hours",IF(C885="","Needs a name",IF(COUNTIF(Volunteers!$B$6:$B$105,C885)=0,"Not on Volunteers",""))))))</f>
        <v/>
      </c>
      <c r="H885" s="1" t="n"/>
      <c r="I885">
        <f>IF(ISNUMBER(B885),YEAR(B885),"")</f>
        <v/>
      </c>
      <c r="J885">
        <f>IF(ISNUMBER(B885),YEAR(B885)*100+MONTH(B885),"")</f>
        <v/>
      </c>
      <c r="K885">
        <f>IF(ISNUMBER(B885),INT(B885),0)</f>
        <v/>
      </c>
      <c r="L885">
        <f>IF(AND(ISNUMBER(D885),N(D885)&gt;0),K885,0)</f>
        <v/>
      </c>
    </row>
    <row r="886">
      <c r="A886" s="1" t="n"/>
      <c r="B886" s="21" t="n"/>
      <c r="C886" s="22" t="n"/>
      <c r="D886" s="46" t="n"/>
      <c r="E886" s="25" t="n"/>
      <c r="F886" s="25" t="n"/>
      <c r="G886" s="17">
        <f>IF(AND(C886="",D886=""),"",IF(NOT(ISNUMBER(B886)),"Needs a date",IF(AND(D886&lt;&gt;"",NOT(ISNUMBER(D886))),"Hours not a number",IF(N(D886)&lt;=0,"Needs the hours",IF(C886="","Needs a name",IF(COUNTIF(Volunteers!$B$6:$B$105,C886)=0,"Not on Volunteers",""))))))</f>
        <v/>
      </c>
      <c r="H886" s="1" t="n"/>
      <c r="I886">
        <f>IF(ISNUMBER(B886),YEAR(B886),"")</f>
        <v/>
      </c>
      <c r="J886">
        <f>IF(ISNUMBER(B886),YEAR(B886)*100+MONTH(B886),"")</f>
        <v/>
      </c>
      <c r="K886">
        <f>IF(ISNUMBER(B886),INT(B886),0)</f>
        <v/>
      </c>
      <c r="L886">
        <f>IF(AND(ISNUMBER(D886),N(D886)&gt;0),K886,0)</f>
        <v/>
      </c>
    </row>
    <row r="887">
      <c r="A887" s="1" t="n"/>
      <c r="B887" s="21" t="n"/>
      <c r="C887" s="22" t="n"/>
      <c r="D887" s="46" t="n"/>
      <c r="E887" s="25" t="n"/>
      <c r="F887" s="25" t="n"/>
      <c r="G887" s="17">
        <f>IF(AND(C887="",D887=""),"",IF(NOT(ISNUMBER(B887)),"Needs a date",IF(AND(D887&lt;&gt;"",NOT(ISNUMBER(D887))),"Hours not a number",IF(N(D887)&lt;=0,"Needs the hours",IF(C887="","Needs a name",IF(COUNTIF(Volunteers!$B$6:$B$105,C887)=0,"Not on Volunteers",""))))))</f>
        <v/>
      </c>
      <c r="H887" s="1" t="n"/>
      <c r="I887">
        <f>IF(ISNUMBER(B887),YEAR(B887),"")</f>
        <v/>
      </c>
      <c r="J887">
        <f>IF(ISNUMBER(B887),YEAR(B887)*100+MONTH(B887),"")</f>
        <v/>
      </c>
      <c r="K887">
        <f>IF(ISNUMBER(B887),INT(B887),0)</f>
        <v/>
      </c>
      <c r="L887">
        <f>IF(AND(ISNUMBER(D887),N(D887)&gt;0),K887,0)</f>
        <v/>
      </c>
    </row>
    <row r="888">
      <c r="A888" s="1" t="n"/>
      <c r="B888" s="21" t="n"/>
      <c r="C888" s="22" t="n"/>
      <c r="D888" s="46" t="n"/>
      <c r="E888" s="25" t="n"/>
      <c r="F888" s="25" t="n"/>
      <c r="G888" s="17">
        <f>IF(AND(C888="",D888=""),"",IF(NOT(ISNUMBER(B888)),"Needs a date",IF(AND(D888&lt;&gt;"",NOT(ISNUMBER(D888))),"Hours not a number",IF(N(D888)&lt;=0,"Needs the hours",IF(C888="","Needs a name",IF(COUNTIF(Volunteers!$B$6:$B$105,C888)=0,"Not on Volunteers",""))))))</f>
        <v/>
      </c>
      <c r="H888" s="1" t="n"/>
      <c r="I888">
        <f>IF(ISNUMBER(B888),YEAR(B888),"")</f>
        <v/>
      </c>
      <c r="J888">
        <f>IF(ISNUMBER(B888),YEAR(B888)*100+MONTH(B888),"")</f>
        <v/>
      </c>
      <c r="K888">
        <f>IF(ISNUMBER(B888),INT(B888),0)</f>
        <v/>
      </c>
      <c r="L888">
        <f>IF(AND(ISNUMBER(D888),N(D888)&gt;0),K888,0)</f>
        <v/>
      </c>
    </row>
    <row r="889">
      <c r="A889" s="1" t="n"/>
      <c r="B889" s="21" t="n"/>
      <c r="C889" s="22" t="n"/>
      <c r="D889" s="46" t="n"/>
      <c r="E889" s="25" t="n"/>
      <c r="F889" s="25" t="n"/>
      <c r="G889" s="17">
        <f>IF(AND(C889="",D889=""),"",IF(NOT(ISNUMBER(B889)),"Needs a date",IF(AND(D889&lt;&gt;"",NOT(ISNUMBER(D889))),"Hours not a number",IF(N(D889)&lt;=0,"Needs the hours",IF(C889="","Needs a name",IF(COUNTIF(Volunteers!$B$6:$B$105,C889)=0,"Not on Volunteers",""))))))</f>
        <v/>
      </c>
      <c r="H889" s="1" t="n"/>
      <c r="I889">
        <f>IF(ISNUMBER(B889),YEAR(B889),"")</f>
        <v/>
      </c>
      <c r="J889">
        <f>IF(ISNUMBER(B889),YEAR(B889)*100+MONTH(B889),"")</f>
        <v/>
      </c>
      <c r="K889">
        <f>IF(ISNUMBER(B889),INT(B889),0)</f>
        <v/>
      </c>
      <c r="L889">
        <f>IF(AND(ISNUMBER(D889),N(D889)&gt;0),K889,0)</f>
        <v/>
      </c>
    </row>
    <row r="890">
      <c r="A890" s="1" t="n"/>
      <c r="B890" s="21" t="n"/>
      <c r="C890" s="22" t="n"/>
      <c r="D890" s="46" t="n"/>
      <c r="E890" s="25" t="n"/>
      <c r="F890" s="25" t="n"/>
      <c r="G890" s="17">
        <f>IF(AND(C890="",D890=""),"",IF(NOT(ISNUMBER(B890)),"Needs a date",IF(AND(D890&lt;&gt;"",NOT(ISNUMBER(D890))),"Hours not a number",IF(N(D890)&lt;=0,"Needs the hours",IF(C890="","Needs a name",IF(COUNTIF(Volunteers!$B$6:$B$105,C890)=0,"Not on Volunteers",""))))))</f>
        <v/>
      </c>
      <c r="H890" s="1" t="n"/>
      <c r="I890">
        <f>IF(ISNUMBER(B890),YEAR(B890),"")</f>
        <v/>
      </c>
      <c r="J890">
        <f>IF(ISNUMBER(B890),YEAR(B890)*100+MONTH(B890),"")</f>
        <v/>
      </c>
      <c r="K890">
        <f>IF(ISNUMBER(B890),INT(B890),0)</f>
        <v/>
      </c>
      <c r="L890">
        <f>IF(AND(ISNUMBER(D890),N(D890)&gt;0),K890,0)</f>
        <v/>
      </c>
    </row>
    <row r="891">
      <c r="A891" s="1" t="n"/>
      <c r="B891" s="21" t="n"/>
      <c r="C891" s="22" t="n"/>
      <c r="D891" s="46" t="n"/>
      <c r="E891" s="25" t="n"/>
      <c r="F891" s="25" t="n"/>
      <c r="G891" s="17">
        <f>IF(AND(C891="",D891=""),"",IF(NOT(ISNUMBER(B891)),"Needs a date",IF(AND(D891&lt;&gt;"",NOT(ISNUMBER(D891))),"Hours not a number",IF(N(D891)&lt;=0,"Needs the hours",IF(C891="","Needs a name",IF(COUNTIF(Volunteers!$B$6:$B$105,C891)=0,"Not on Volunteers",""))))))</f>
        <v/>
      </c>
      <c r="H891" s="1" t="n"/>
      <c r="I891">
        <f>IF(ISNUMBER(B891),YEAR(B891),"")</f>
        <v/>
      </c>
      <c r="J891">
        <f>IF(ISNUMBER(B891),YEAR(B891)*100+MONTH(B891),"")</f>
        <v/>
      </c>
      <c r="K891">
        <f>IF(ISNUMBER(B891),INT(B891),0)</f>
        <v/>
      </c>
      <c r="L891">
        <f>IF(AND(ISNUMBER(D891),N(D891)&gt;0),K891,0)</f>
        <v/>
      </c>
    </row>
    <row r="892">
      <c r="A892" s="1" t="n"/>
      <c r="B892" s="21" t="n"/>
      <c r="C892" s="22" t="n"/>
      <c r="D892" s="46" t="n"/>
      <c r="E892" s="25" t="n"/>
      <c r="F892" s="25" t="n"/>
      <c r="G892" s="17">
        <f>IF(AND(C892="",D892=""),"",IF(NOT(ISNUMBER(B892)),"Needs a date",IF(AND(D892&lt;&gt;"",NOT(ISNUMBER(D892))),"Hours not a number",IF(N(D892)&lt;=0,"Needs the hours",IF(C892="","Needs a name",IF(COUNTIF(Volunteers!$B$6:$B$105,C892)=0,"Not on Volunteers",""))))))</f>
        <v/>
      </c>
      <c r="H892" s="1" t="n"/>
      <c r="I892">
        <f>IF(ISNUMBER(B892),YEAR(B892),"")</f>
        <v/>
      </c>
      <c r="J892">
        <f>IF(ISNUMBER(B892),YEAR(B892)*100+MONTH(B892),"")</f>
        <v/>
      </c>
      <c r="K892">
        <f>IF(ISNUMBER(B892),INT(B892),0)</f>
        <v/>
      </c>
      <c r="L892">
        <f>IF(AND(ISNUMBER(D892),N(D892)&gt;0),K892,0)</f>
        <v/>
      </c>
    </row>
    <row r="893">
      <c r="A893" s="1" t="n"/>
      <c r="B893" s="21" t="n"/>
      <c r="C893" s="22" t="n"/>
      <c r="D893" s="46" t="n"/>
      <c r="E893" s="25" t="n"/>
      <c r="F893" s="25" t="n"/>
      <c r="G893" s="17">
        <f>IF(AND(C893="",D893=""),"",IF(NOT(ISNUMBER(B893)),"Needs a date",IF(AND(D893&lt;&gt;"",NOT(ISNUMBER(D893))),"Hours not a number",IF(N(D893)&lt;=0,"Needs the hours",IF(C893="","Needs a name",IF(COUNTIF(Volunteers!$B$6:$B$105,C893)=0,"Not on Volunteers",""))))))</f>
        <v/>
      </c>
      <c r="H893" s="1" t="n"/>
      <c r="I893">
        <f>IF(ISNUMBER(B893),YEAR(B893),"")</f>
        <v/>
      </c>
      <c r="J893">
        <f>IF(ISNUMBER(B893),YEAR(B893)*100+MONTH(B893),"")</f>
        <v/>
      </c>
      <c r="K893">
        <f>IF(ISNUMBER(B893),INT(B893),0)</f>
        <v/>
      </c>
      <c r="L893">
        <f>IF(AND(ISNUMBER(D893),N(D893)&gt;0),K893,0)</f>
        <v/>
      </c>
    </row>
    <row r="894">
      <c r="A894" s="1" t="n"/>
      <c r="B894" s="21" t="n"/>
      <c r="C894" s="22" t="n"/>
      <c r="D894" s="46" t="n"/>
      <c r="E894" s="25" t="n"/>
      <c r="F894" s="25" t="n"/>
      <c r="G894" s="17">
        <f>IF(AND(C894="",D894=""),"",IF(NOT(ISNUMBER(B894)),"Needs a date",IF(AND(D894&lt;&gt;"",NOT(ISNUMBER(D894))),"Hours not a number",IF(N(D894)&lt;=0,"Needs the hours",IF(C894="","Needs a name",IF(COUNTIF(Volunteers!$B$6:$B$105,C894)=0,"Not on Volunteers",""))))))</f>
        <v/>
      </c>
      <c r="H894" s="1" t="n"/>
      <c r="I894">
        <f>IF(ISNUMBER(B894),YEAR(B894),"")</f>
        <v/>
      </c>
      <c r="J894">
        <f>IF(ISNUMBER(B894),YEAR(B894)*100+MONTH(B894),"")</f>
        <v/>
      </c>
      <c r="K894">
        <f>IF(ISNUMBER(B894),INT(B894),0)</f>
        <v/>
      </c>
      <c r="L894">
        <f>IF(AND(ISNUMBER(D894),N(D894)&gt;0),K894,0)</f>
        <v/>
      </c>
    </row>
    <row r="895">
      <c r="A895" s="1" t="n"/>
      <c r="B895" s="21" t="n"/>
      <c r="C895" s="22" t="n"/>
      <c r="D895" s="46" t="n"/>
      <c r="E895" s="25" t="n"/>
      <c r="F895" s="25" t="n"/>
      <c r="G895" s="17">
        <f>IF(AND(C895="",D895=""),"",IF(NOT(ISNUMBER(B895)),"Needs a date",IF(AND(D895&lt;&gt;"",NOT(ISNUMBER(D895))),"Hours not a number",IF(N(D895)&lt;=0,"Needs the hours",IF(C895="","Needs a name",IF(COUNTIF(Volunteers!$B$6:$B$105,C895)=0,"Not on Volunteers",""))))))</f>
        <v/>
      </c>
      <c r="H895" s="1" t="n"/>
      <c r="I895">
        <f>IF(ISNUMBER(B895),YEAR(B895),"")</f>
        <v/>
      </c>
      <c r="J895">
        <f>IF(ISNUMBER(B895),YEAR(B895)*100+MONTH(B895),"")</f>
        <v/>
      </c>
      <c r="K895">
        <f>IF(ISNUMBER(B895),INT(B895),0)</f>
        <v/>
      </c>
      <c r="L895">
        <f>IF(AND(ISNUMBER(D895),N(D895)&gt;0),K895,0)</f>
        <v/>
      </c>
    </row>
    <row r="896">
      <c r="A896" s="1" t="n"/>
      <c r="B896" s="21" t="n"/>
      <c r="C896" s="22" t="n"/>
      <c r="D896" s="46" t="n"/>
      <c r="E896" s="25" t="n"/>
      <c r="F896" s="25" t="n"/>
      <c r="G896" s="17">
        <f>IF(AND(C896="",D896=""),"",IF(NOT(ISNUMBER(B896)),"Needs a date",IF(AND(D896&lt;&gt;"",NOT(ISNUMBER(D896))),"Hours not a number",IF(N(D896)&lt;=0,"Needs the hours",IF(C896="","Needs a name",IF(COUNTIF(Volunteers!$B$6:$B$105,C896)=0,"Not on Volunteers",""))))))</f>
        <v/>
      </c>
      <c r="H896" s="1" t="n"/>
      <c r="I896">
        <f>IF(ISNUMBER(B896),YEAR(B896),"")</f>
        <v/>
      </c>
      <c r="J896">
        <f>IF(ISNUMBER(B896),YEAR(B896)*100+MONTH(B896),"")</f>
        <v/>
      </c>
      <c r="K896">
        <f>IF(ISNUMBER(B896),INT(B896),0)</f>
        <v/>
      </c>
      <c r="L896">
        <f>IF(AND(ISNUMBER(D896),N(D896)&gt;0),K896,0)</f>
        <v/>
      </c>
    </row>
    <row r="897">
      <c r="A897" s="1" t="n"/>
      <c r="B897" s="21" t="n"/>
      <c r="C897" s="22" t="n"/>
      <c r="D897" s="46" t="n"/>
      <c r="E897" s="25" t="n"/>
      <c r="F897" s="25" t="n"/>
      <c r="G897" s="17">
        <f>IF(AND(C897="",D897=""),"",IF(NOT(ISNUMBER(B897)),"Needs a date",IF(AND(D897&lt;&gt;"",NOT(ISNUMBER(D897))),"Hours not a number",IF(N(D897)&lt;=0,"Needs the hours",IF(C897="","Needs a name",IF(COUNTIF(Volunteers!$B$6:$B$105,C897)=0,"Not on Volunteers",""))))))</f>
        <v/>
      </c>
      <c r="H897" s="1" t="n"/>
      <c r="I897">
        <f>IF(ISNUMBER(B897),YEAR(B897),"")</f>
        <v/>
      </c>
      <c r="J897">
        <f>IF(ISNUMBER(B897),YEAR(B897)*100+MONTH(B897),"")</f>
        <v/>
      </c>
      <c r="K897">
        <f>IF(ISNUMBER(B897),INT(B897),0)</f>
        <v/>
      </c>
      <c r="L897">
        <f>IF(AND(ISNUMBER(D897),N(D897)&gt;0),K897,0)</f>
        <v/>
      </c>
    </row>
    <row r="898">
      <c r="A898" s="1" t="n"/>
      <c r="B898" s="21" t="n"/>
      <c r="C898" s="22" t="n"/>
      <c r="D898" s="46" t="n"/>
      <c r="E898" s="25" t="n"/>
      <c r="F898" s="25" t="n"/>
      <c r="G898" s="17">
        <f>IF(AND(C898="",D898=""),"",IF(NOT(ISNUMBER(B898)),"Needs a date",IF(AND(D898&lt;&gt;"",NOT(ISNUMBER(D898))),"Hours not a number",IF(N(D898)&lt;=0,"Needs the hours",IF(C898="","Needs a name",IF(COUNTIF(Volunteers!$B$6:$B$105,C898)=0,"Not on Volunteers",""))))))</f>
        <v/>
      </c>
      <c r="H898" s="1" t="n"/>
      <c r="I898">
        <f>IF(ISNUMBER(B898),YEAR(B898),"")</f>
        <v/>
      </c>
      <c r="J898">
        <f>IF(ISNUMBER(B898),YEAR(B898)*100+MONTH(B898),"")</f>
        <v/>
      </c>
      <c r="K898">
        <f>IF(ISNUMBER(B898),INT(B898),0)</f>
        <v/>
      </c>
      <c r="L898">
        <f>IF(AND(ISNUMBER(D898),N(D898)&gt;0),K898,0)</f>
        <v/>
      </c>
    </row>
    <row r="899">
      <c r="A899" s="1" t="n"/>
      <c r="B899" s="21" t="n"/>
      <c r="C899" s="22" t="n"/>
      <c r="D899" s="46" t="n"/>
      <c r="E899" s="25" t="n"/>
      <c r="F899" s="25" t="n"/>
      <c r="G899" s="17">
        <f>IF(AND(C899="",D899=""),"",IF(NOT(ISNUMBER(B899)),"Needs a date",IF(AND(D899&lt;&gt;"",NOT(ISNUMBER(D899))),"Hours not a number",IF(N(D899)&lt;=0,"Needs the hours",IF(C899="","Needs a name",IF(COUNTIF(Volunteers!$B$6:$B$105,C899)=0,"Not on Volunteers",""))))))</f>
        <v/>
      </c>
      <c r="H899" s="1" t="n"/>
      <c r="I899">
        <f>IF(ISNUMBER(B899),YEAR(B899),"")</f>
        <v/>
      </c>
      <c r="J899">
        <f>IF(ISNUMBER(B899),YEAR(B899)*100+MONTH(B899),"")</f>
        <v/>
      </c>
      <c r="K899">
        <f>IF(ISNUMBER(B899),INT(B899),0)</f>
        <v/>
      </c>
      <c r="L899">
        <f>IF(AND(ISNUMBER(D899),N(D899)&gt;0),K899,0)</f>
        <v/>
      </c>
    </row>
    <row r="900">
      <c r="A900" s="1" t="n"/>
      <c r="B900" s="21" t="n"/>
      <c r="C900" s="22" t="n"/>
      <c r="D900" s="46" t="n"/>
      <c r="E900" s="25" t="n"/>
      <c r="F900" s="25" t="n"/>
      <c r="G900" s="17">
        <f>IF(AND(C900="",D900=""),"",IF(NOT(ISNUMBER(B900)),"Needs a date",IF(AND(D900&lt;&gt;"",NOT(ISNUMBER(D900))),"Hours not a number",IF(N(D900)&lt;=0,"Needs the hours",IF(C900="","Needs a name",IF(COUNTIF(Volunteers!$B$6:$B$105,C900)=0,"Not on Volunteers",""))))))</f>
        <v/>
      </c>
      <c r="H900" s="1" t="n"/>
      <c r="I900">
        <f>IF(ISNUMBER(B900),YEAR(B900),"")</f>
        <v/>
      </c>
      <c r="J900">
        <f>IF(ISNUMBER(B900),YEAR(B900)*100+MONTH(B900),"")</f>
        <v/>
      </c>
      <c r="K900">
        <f>IF(ISNUMBER(B900),INT(B900),0)</f>
        <v/>
      </c>
      <c r="L900">
        <f>IF(AND(ISNUMBER(D900),N(D900)&gt;0),K900,0)</f>
        <v/>
      </c>
    </row>
    <row r="901">
      <c r="A901" s="1" t="n"/>
      <c r="B901" s="21" t="n"/>
      <c r="C901" s="22" t="n"/>
      <c r="D901" s="46" t="n"/>
      <c r="E901" s="25" t="n"/>
      <c r="F901" s="25" t="n"/>
      <c r="G901" s="17">
        <f>IF(AND(C901="",D901=""),"",IF(NOT(ISNUMBER(B901)),"Needs a date",IF(AND(D901&lt;&gt;"",NOT(ISNUMBER(D901))),"Hours not a number",IF(N(D901)&lt;=0,"Needs the hours",IF(C901="","Needs a name",IF(COUNTIF(Volunteers!$B$6:$B$105,C901)=0,"Not on Volunteers",""))))))</f>
        <v/>
      </c>
      <c r="H901" s="1" t="n"/>
      <c r="I901">
        <f>IF(ISNUMBER(B901),YEAR(B901),"")</f>
        <v/>
      </c>
      <c r="J901">
        <f>IF(ISNUMBER(B901),YEAR(B901)*100+MONTH(B901),"")</f>
        <v/>
      </c>
      <c r="K901">
        <f>IF(ISNUMBER(B901),INT(B901),0)</f>
        <v/>
      </c>
      <c r="L901">
        <f>IF(AND(ISNUMBER(D901),N(D901)&gt;0),K901,0)</f>
        <v/>
      </c>
    </row>
    <row r="902">
      <c r="A902" s="1" t="n"/>
      <c r="B902" s="21" t="n"/>
      <c r="C902" s="22" t="n"/>
      <c r="D902" s="46" t="n"/>
      <c r="E902" s="25" t="n"/>
      <c r="F902" s="25" t="n"/>
      <c r="G902" s="17">
        <f>IF(AND(C902="",D902=""),"",IF(NOT(ISNUMBER(B902)),"Needs a date",IF(AND(D902&lt;&gt;"",NOT(ISNUMBER(D902))),"Hours not a number",IF(N(D902)&lt;=0,"Needs the hours",IF(C902="","Needs a name",IF(COUNTIF(Volunteers!$B$6:$B$105,C902)=0,"Not on Volunteers",""))))))</f>
        <v/>
      </c>
      <c r="H902" s="1" t="n"/>
      <c r="I902">
        <f>IF(ISNUMBER(B902),YEAR(B902),"")</f>
        <v/>
      </c>
      <c r="J902">
        <f>IF(ISNUMBER(B902),YEAR(B902)*100+MONTH(B902),"")</f>
        <v/>
      </c>
      <c r="K902">
        <f>IF(ISNUMBER(B902),INT(B902),0)</f>
        <v/>
      </c>
      <c r="L902">
        <f>IF(AND(ISNUMBER(D902),N(D902)&gt;0),K902,0)</f>
        <v/>
      </c>
    </row>
    <row r="903">
      <c r="A903" s="1" t="n"/>
      <c r="B903" s="21" t="n"/>
      <c r="C903" s="22" t="n"/>
      <c r="D903" s="46" t="n"/>
      <c r="E903" s="25" t="n"/>
      <c r="F903" s="25" t="n"/>
      <c r="G903" s="17">
        <f>IF(AND(C903="",D903=""),"",IF(NOT(ISNUMBER(B903)),"Needs a date",IF(AND(D903&lt;&gt;"",NOT(ISNUMBER(D903))),"Hours not a number",IF(N(D903)&lt;=0,"Needs the hours",IF(C903="","Needs a name",IF(COUNTIF(Volunteers!$B$6:$B$105,C903)=0,"Not on Volunteers",""))))))</f>
        <v/>
      </c>
      <c r="H903" s="1" t="n"/>
      <c r="I903">
        <f>IF(ISNUMBER(B903),YEAR(B903),"")</f>
        <v/>
      </c>
      <c r="J903">
        <f>IF(ISNUMBER(B903),YEAR(B903)*100+MONTH(B903),"")</f>
        <v/>
      </c>
      <c r="K903">
        <f>IF(ISNUMBER(B903),INT(B903),0)</f>
        <v/>
      </c>
      <c r="L903">
        <f>IF(AND(ISNUMBER(D903),N(D903)&gt;0),K903,0)</f>
        <v/>
      </c>
    </row>
    <row r="904">
      <c r="A904" s="1" t="n"/>
      <c r="B904" s="21" t="n"/>
      <c r="C904" s="22" t="n"/>
      <c r="D904" s="46" t="n"/>
      <c r="E904" s="25" t="n"/>
      <c r="F904" s="25" t="n"/>
      <c r="G904" s="17">
        <f>IF(AND(C904="",D904=""),"",IF(NOT(ISNUMBER(B904)),"Needs a date",IF(AND(D904&lt;&gt;"",NOT(ISNUMBER(D904))),"Hours not a number",IF(N(D904)&lt;=0,"Needs the hours",IF(C904="","Needs a name",IF(COUNTIF(Volunteers!$B$6:$B$105,C904)=0,"Not on Volunteers",""))))))</f>
        <v/>
      </c>
      <c r="H904" s="1" t="n"/>
      <c r="I904">
        <f>IF(ISNUMBER(B904),YEAR(B904),"")</f>
        <v/>
      </c>
      <c r="J904">
        <f>IF(ISNUMBER(B904),YEAR(B904)*100+MONTH(B904),"")</f>
        <v/>
      </c>
      <c r="K904">
        <f>IF(ISNUMBER(B904),INT(B904),0)</f>
        <v/>
      </c>
      <c r="L904">
        <f>IF(AND(ISNUMBER(D904),N(D904)&gt;0),K904,0)</f>
        <v/>
      </c>
    </row>
    <row r="905">
      <c r="A905" s="1" t="n"/>
      <c r="B905" s="21" t="n"/>
      <c r="C905" s="22" t="n"/>
      <c r="D905" s="46" t="n"/>
      <c r="E905" s="25" t="n"/>
      <c r="F905" s="25" t="n"/>
      <c r="G905" s="17">
        <f>IF(AND(C905="",D905=""),"",IF(NOT(ISNUMBER(B905)),"Needs a date",IF(AND(D905&lt;&gt;"",NOT(ISNUMBER(D905))),"Hours not a number",IF(N(D905)&lt;=0,"Needs the hours",IF(C905="","Needs a name",IF(COUNTIF(Volunteers!$B$6:$B$105,C905)=0,"Not on Volunteers",""))))))</f>
        <v/>
      </c>
      <c r="H905" s="1" t="n"/>
      <c r="I905">
        <f>IF(ISNUMBER(B905),YEAR(B905),"")</f>
        <v/>
      </c>
      <c r="J905">
        <f>IF(ISNUMBER(B905),YEAR(B905)*100+MONTH(B905),"")</f>
        <v/>
      </c>
      <c r="K905">
        <f>IF(ISNUMBER(B905),INT(B905),0)</f>
        <v/>
      </c>
      <c r="L905">
        <f>IF(AND(ISNUMBER(D905),N(D905)&gt;0),K905,0)</f>
        <v/>
      </c>
    </row>
    <row r="906">
      <c r="A906" s="1" t="n"/>
      <c r="B906" s="21" t="n"/>
      <c r="C906" s="22" t="n"/>
      <c r="D906" s="46" t="n"/>
      <c r="E906" s="25" t="n"/>
      <c r="F906" s="25" t="n"/>
      <c r="G906" s="17">
        <f>IF(AND(C906="",D906=""),"",IF(NOT(ISNUMBER(B906)),"Needs a date",IF(AND(D906&lt;&gt;"",NOT(ISNUMBER(D906))),"Hours not a number",IF(N(D906)&lt;=0,"Needs the hours",IF(C906="","Needs a name",IF(COUNTIF(Volunteers!$B$6:$B$105,C906)=0,"Not on Volunteers",""))))))</f>
        <v/>
      </c>
      <c r="H906" s="1" t="n"/>
      <c r="I906">
        <f>IF(ISNUMBER(B906),YEAR(B906),"")</f>
        <v/>
      </c>
      <c r="J906">
        <f>IF(ISNUMBER(B906),YEAR(B906)*100+MONTH(B906),"")</f>
        <v/>
      </c>
      <c r="K906">
        <f>IF(ISNUMBER(B906),INT(B906),0)</f>
        <v/>
      </c>
      <c r="L906">
        <f>IF(AND(ISNUMBER(D906),N(D906)&gt;0),K906,0)</f>
        <v/>
      </c>
    </row>
    <row r="907">
      <c r="A907" s="1" t="n"/>
      <c r="B907" s="21" t="n"/>
      <c r="C907" s="22" t="n"/>
      <c r="D907" s="46" t="n"/>
      <c r="E907" s="25" t="n"/>
      <c r="F907" s="25" t="n"/>
      <c r="G907" s="17">
        <f>IF(AND(C907="",D907=""),"",IF(NOT(ISNUMBER(B907)),"Needs a date",IF(AND(D907&lt;&gt;"",NOT(ISNUMBER(D907))),"Hours not a number",IF(N(D907)&lt;=0,"Needs the hours",IF(C907="","Needs a name",IF(COUNTIF(Volunteers!$B$6:$B$105,C907)=0,"Not on Volunteers",""))))))</f>
        <v/>
      </c>
      <c r="H907" s="1" t="n"/>
      <c r="I907">
        <f>IF(ISNUMBER(B907),YEAR(B907),"")</f>
        <v/>
      </c>
      <c r="J907">
        <f>IF(ISNUMBER(B907),YEAR(B907)*100+MONTH(B907),"")</f>
        <v/>
      </c>
      <c r="K907">
        <f>IF(ISNUMBER(B907),INT(B907),0)</f>
        <v/>
      </c>
      <c r="L907">
        <f>IF(AND(ISNUMBER(D907),N(D907)&gt;0),K907,0)</f>
        <v/>
      </c>
    </row>
    <row r="908">
      <c r="A908" s="1" t="n"/>
      <c r="B908" s="21" t="n"/>
      <c r="C908" s="22" t="n"/>
      <c r="D908" s="46" t="n"/>
      <c r="E908" s="25" t="n"/>
      <c r="F908" s="25" t="n"/>
      <c r="G908" s="17">
        <f>IF(AND(C908="",D908=""),"",IF(NOT(ISNUMBER(B908)),"Needs a date",IF(AND(D908&lt;&gt;"",NOT(ISNUMBER(D908))),"Hours not a number",IF(N(D908)&lt;=0,"Needs the hours",IF(C908="","Needs a name",IF(COUNTIF(Volunteers!$B$6:$B$105,C908)=0,"Not on Volunteers",""))))))</f>
        <v/>
      </c>
      <c r="H908" s="1" t="n"/>
      <c r="I908">
        <f>IF(ISNUMBER(B908),YEAR(B908),"")</f>
        <v/>
      </c>
      <c r="J908">
        <f>IF(ISNUMBER(B908),YEAR(B908)*100+MONTH(B908),"")</f>
        <v/>
      </c>
      <c r="K908">
        <f>IF(ISNUMBER(B908),INT(B908),0)</f>
        <v/>
      </c>
      <c r="L908">
        <f>IF(AND(ISNUMBER(D908),N(D908)&gt;0),K908,0)</f>
        <v/>
      </c>
    </row>
    <row r="909">
      <c r="A909" s="1" t="n"/>
      <c r="B909" s="21" t="n"/>
      <c r="C909" s="22" t="n"/>
      <c r="D909" s="46" t="n"/>
      <c r="E909" s="25" t="n"/>
      <c r="F909" s="25" t="n"/>
      <c r="G909" s="17">
        <f>IF(AND(C909="",D909=""),"",IF(NOT(ISNUMBER(B909)),"Needs a date",IF(AND(D909&lt;&gt;"",NOT(ISNUMBER(D909))),"Hours not a number",IF(N(D909)&lt;=0,"Needs the hours",IF(C909="","Needs a name",IF(COUNTIF(Volunteers!$B$6:$B$105,C909)=0,"Not on Volunteers",""))))))</f>
        <v/>
      </c>
      <c r="H909" s="1" t="n"/>
      <c r="I909">
        <f>IF(ISNUMBER(B909),YEAR(B909),"")</f>
        <v/>
      </c>
      <c r="J909">
        <f>IF(ISNUMBER(B909),YEAR(B909)*100+MONTH(B909),"")</f>
        <v/>
      </c>
      <c r="K909">
        <f>IF(ISNUMBER(B909),INT(B909),0)</f>
        <v/>
      </c>
      <c r="L909">
        <f>IF(AND(ISNUMBER(D909),N(D909)&gt;0),K909,0)</f>
        <v/>
      </c>
    </row>
    <row r="910">
      <c r="A910" s="1" t="n"/>
      <c r="B910" s="21" t="n"/>
      <c r="C910" s="22" t="n"/>
      <c r="D910" s="46" t="n"/>
      <c r="E910" s="25" t="n"/>
      <c r="F910" s="25" t="n"/>
      <c r="G910" s="17">
        <f>IF(AND(C910="",D910=""),"",IF(NOT(ISNUMBER(B910)),"Needs a date",IF(AND(D910&lt;&gt;"",NOT(ISNUMBER(D910))),"Hours not a number",IF(N(D910)&lt;=0,"Needs the hours",IF(C910="","Needs a name",IF(COUNTIF(Volunteers!$B$6:$B$105,C910)=0,"Not on Volunteers",""))))))</f>
        <v/>
      </c>
      <c r="H910" s="1" t="n"/>
      <c r="I910">
        <f>IF(ISNUMBER(B910),YEAR(B910),"")</f>
        <v/>
      </c>
      <c r="J910">
        <f>IF(ISNUMBER(B910),YEAR(B910)*100+MONTH(B910),"")</f>
        <v/>
      </c>
      <c r="K910">
        <f>IF(ISNUMBER(B910),INT(B910),0)</f>
        <v/>
      </c>
      <c r="L910">
        <f>IF(AND(ISNUMBER(D910),N(D910)&gt;0),K910,0)</f>
        <v/>
      </c>
    </row>
    <row r="911">
      <c r="A911" s="1" t="n"/>
      <c r="B911" s="21" t="n"/>
      <c r="C911" s="22" t="n"/>
      <c r="D911" s="46" t="n"/>
      <c r="E911" s="25" t="n"/>
      <c r="F911" s="25" t="n"/>
      <c r="G911" s="17">
        <f>IF(AND(C911="",D911=""),"",IF(NOT(ISNUMBER(B911)),"Needs a date",IF(AND(D911&lt;&gt;"",NOT(ISNUMBER(D911))),"Hours not a number",IF(N(D911)&lt;=0,"Needs the hours",IF(C911="","Needs a name",IF(COUNTIF(Volunteers!$B$6:$B$105,C911)=0,"Not on Volunteers",""))))))</f>
        <v/>
      </c>
      <c r="H911" s="1" t="n"/>
      <c r="I911">
        <f>IF(ISNUMBER(B911),YEAR(B911),"")</f>
        <v/>
      </c>
      <c r="J911">
        <f>IF(ISNUMBER(B911),YEAR(B911)*100+MONTH(B911),"")</f>
        <v/>
      </c>
      <c r="K911">
        <f>IF(ISNUMBER(B911),INT(B911),0)</f>
        <v/>
      </c>
      <c r="L911">
        <f>IF(AND(ISNUMBER(D911),N(D911)&gt;0),K911,0)</f>
        <v/>
      </c>
    </row>
    <row r="912">
      <c r="A912" s="1" t="n"/>
      <c r="B912" s="21" t="n"/>
      <c r="C912" s="22" t="n"/>
      <c r="D912" s="46" t="n"/>
      <c r="E912" s="25" t="n"/>
      <c r="F912" s="25" t="n"/>
      <c r="G912" s="17">
        <f>IF(AND(C912="",D912=""),"",IF(NOT(ISNUMBER(B912)),"Needs a date",IF(AND(D912&lt;&gt;"",NOT(ISNUMBER(D912))),"Hours not a number",IF(N(D912)&lt;=0,"Needs the hours",IF(C912="","Needs a name",IF(COUNTIF(Volunteers!$B$6:$B$105,C912)=0,"Not on Volunteers",""))))))</f>
        <v/>
      </c>
      <c r="H912" s="1" t="n"/>
      <c r="I912">
        <f>IF(ISNUMBER(B912),YEAR(B912),"")</f>
        <v/>
      </c>
      <c r="J912">
        <f>IF(ISNUMBER(B912),YEAR(B912)*100+MONTH(B912),"")</f>
        <v/>
      </c>
      <c r="K912">
        <f>IF(ISNUMBER(B912),INT(B912),0)</f>
        <v/>
      </c>
      <c r="L912">
        <f>IF(AND(ISNUMBER(D912),N(D912)&gt;0),K912,0)</f>
        <v/>
      </c>
    </row>
    <row r="913">
      <c r="A913" s="1" t="n"/>
      <c r="B913" s="21" t="n"/>
      <c r="C913" s="22" t="n"/>
      <c r="D913" s="46" t="n"/>
      <c r="E913" s="25" t="n"/>
      <c r="F913" s="25" t="n"/>
      <c r="G913" s="17">
        <f>IF(AND(C913="",D913=""),"",IF(NOT(ISNUMBER(B913)),"Needs a date",IF(AND(D913&lt;&gt;"",NOT(ISNUMBER(D913))),"Hours not a number",IF(N(D913)&lt;=0,"Needs the hours",IF(C913="","Needs a name",IF(COUNTIF(Volunteers!$B$6:$B$105,C913)=0,"Not on Volunteers",""))))))</f>
        <v/>
      </c>
      <c r="H913" s="1" t="n"/>
      <c r="I913">
        <f>IF(ISNUMBER(B913),YEAR(B913),"")</f>
        <v/>
      </c>
      <c r="J913">
        <f>IF(ISNUMBER(B913),YEAR(B913)*100+MONTH(B913),"")</f>
        <v/>
      </c>
      <c r="K913">
        <f>IF(ISNUMBER(B913),INT(B913),0)</f>
        <v/>
      </c>
      <c r="L913">
        <f>IF(AND(ISNUMBER(D913),N(D913)&gt;0),K913,0)</f>
        <v/>
      </c>
    </row>
    <row r="914">
      <c r="A914" s="1" t="n"/>
      <c r="B914" s="21" t="n"/>
      <c r="C914" s="22" t="n"/>
      <c r="D914" s="46" t="n"/>
      <c r="E914" s="25" t="n"/>
      <c r="F914" s="25" t="n"/>
      <c r="G914" s="17">
        <f>IF(AND(C914="",D914=""),"",IF(NOT(ISNUMBER(B914)),"Needs a date",IF(AND(D914&lt;&gt;"",NOT(ISNUMBER(D914))),"Hours not a number",IF(N(D914)&lt;=0,"Needs the hours",IF(C914="","Needs a name",IF(COUNTIF(Volunteers!$B$6:$B$105,C914)=0,"Not on Volunteers",""))))))</f>
        <v/>
      </c>
      <c r="H914" s="1" t="n"/>
      <c r="I914">
        <f>IF(ISNUMBER(B914),YEAR(B914),"")</f>
        <v/>
      </c>
      <c r="J914">
        <f>IF(ISNUMBER(B914),YEAR(B914)*100+MONTH(B914),"")</f>
        <v/>
      </c>
      <c r="K914">
        <f>IF(ISNUMBER(B914),INT(B914),0)</f>
        <v/>
      </c>
      <c r="L914">
        <f>IF(AND(ISNUMBER(D914),N(D914)&gt;0),K914,0)</f>
        <v/>
      </c>
    </row>
    <row r="915">
      <c r="A915" s="1" t="n"/>
      <c r="B915" s="21" t="n"/>
      <c r="C915" s="22" t="n"/>
      <c r="D915" s="46" t="n"/>
      <c r="E915" s="25" t="n"/>
      <c r="F915" s="25" t="n"/>
      <c r="G915" s="17">
        <f>IF(AND(C915="",D915=""),"",IF(NOT(ISNUMBER(B915)),"Needs a date",IF(AND(D915&lt;&gt;"",NOT(ISNUMBER(D915))),"Hours not a number",IF(N(D915)&lt;=0,"Needs the hours",IF(C915="","Needs a name",IF(COUNTIF(Volunteers!$B$6:$B$105,C915)=0,"Not on Volunteers",""))))))</f>
        <v/>
      </c>
      <c r="H915" s="1" t="n"/>
      <c r="I915">
        <f>IF(ISNUMBER(B915),YEAR(B915),"")</f>
        <v/>
      </c>
      <c r="J915">
        <f>IF(ISNUMBER(B915),YEAR(B915)*100+MONTH(B915),"")</f>
        <v/>
      </c>
      <c r="K915">
        <f>IF(ISNUMBER(B915),INT(B915),0)</f>
        <v/>
      </c>
      <c r="L915">
        <f>IF(AND(ISNUMBER(D915),N(D915)&gt;0),K915,0)</f>
        <v/>
      </c>
    </row>
    <row r="916">
      <c r="A916" s="1" t="n"/>
      <c r="B916" s="21" t="n"/>
      <c r="C916" s="22" t="n"/>
      <c r="D916" s="46" t="n"/>
      <c r="E916" s="25" t="n"/>
      <c r="F916" s="25" t="n"/>
      <c r="G916" s="17">
        <f>IF(AND(C916="",D916=""),"",IF(NOT(ISNUMBER(B916)),"Needs a date",IF(AND(D916&lt;&gt;"",NOT(ISNUMBER(D916))),"Hours not a number",IF(N(D916)&lt;=0,"Needs the hours",IF(C916="","Needs a name",IF(COUNTIF(Volunteers!$B$6:$B$105,C916)=0,"Not on Volunteers",""))))))</f>
        <v/>
      </c>
      <c r="H916" s="1" t="n"/>
      <c r="I916">
        <f>IF(ISNUMBER(B916),YEAR(B916),"")</f>
        <v/>
      </c>
      <c r="J916">
        <f>IF(ISNUMBER(B916),YEAR(B916)*100+MONTH(B916),"")</f>
        <v/>
      </c>
      <c r="K916">
        <f>IF(ISNUMBER(B916),INT(B916),0)</f>
        <v/>
      </c>
      <c r="L916">
        <f>IF(AND(ISNUMBER(D916),N(D916)&gt;0),K916,0)</f>
        <v/>
      </c>
    </row>
    <row r="917">
      <c r="A917" s="1" t="n"/>
      <c r="B917" s="21" t="n"/>
      <c r="C917" s="22" t="n"/>
      <c r="D917" s="46" t="n"/>
      <c r="E917" s="25" t="n"/>
      <c r="F917" s="25" t="n"/>
      <c r="G917" s="17">
        <f>IF(AND(C917="",D917=""),"",IF(NOT(ISNUMBER(B917)),"Needs a date",IF(AND(D917&lt;&gt;"",NOT(ISNUMBER(D917))),"Hours not a number",IF(N(D917)&lt;=0,"Needs the hours",IF(C917="","Needs a name",IF(COUNTIF(Volunteers!$B$6:$B$105,C917)=0,"Not on Volunteers",""))))))</f>
        <v/>
      </c>
      <c r="H917" s="1" t="n"/>
      <c r="I917">
        <f>IF(ISNUMBER(B917),YEAR(B917),"")</f>
        <v/>
      </c>
      <c r="J917">
        <f>IF(ISNUMBER(B917),YEAR(B917)*100+MONTH(B917),"")</f>
        <v/>
      </c>
      <c r="K917">
        <f>IF(ISNUMBER(B917),INT(B917),0)</f>
        <v/>
      </c>
      <c r="L917">
        <f>IF(AND(ISNUMBER(D917),N(D917)&gt;0),K917,0)</f>
        <v/>
      </c>
    </row>
    <row r="918">
      <c r="A918" s="1" t="n"/>
      <c r="B918" s="21" t="n"/>
      <c r="C918" s="22" t="n"/>
      <c r="D918" s="46" t="n"/>
      <c r="E918" s="25" t="n"/>
      <c r="F918" s="25" t="n"/>
      <c r="G918" s="17">
        <f>IF(AND(C918="",D918=""),"",IF(NOT(ISNUMBER(B918)),"Needs a date",IF(AND(D918&lt;&gt;"",NOT(ISNUMBER(D918))),"Hours not a number",IF(N(D918)&lt;=0,"Needs the hours",IF(C918="","Needs a name",IF(COUNTIF(Volunteers!$B$6:$B$105,C918)=0,"Not on Volunteers",""))))))</f>
        <v/>
      </c>
      <c r="H918" s="1" t="n"/>
      <c r="I918">
        <f>IF(ISNUMBER(B918),YEAR(B918),"")</f>
        <v/>
      </c>
      <c r="J918">
        <f>IF(ISNUMBER(B918),YEAR(B918)*100+MONTH(B918),"")</f>
        <v/>
      </c>
      <c r="K918">
        <f>IF(ISNUMBER(B918),INT(B918),0)</f>
        <v/>
      </c>
      <c r="L918">
        <f>IF(AND(ISNUMBER(D918),N(D918)&gt;0),K918,0)</f>
        <v/>
      </c>
    </row>
    <row r="919">
      <c r="A919" s="1" t="n"/>
      <c r="B919" s="21" t="n"/>
      <c r="C919" s="22" t="n"/>
      <c r="D919" s="46" t="n"/>
      <c r="E919" s="25" t="n"/>
      <c r="F919" s="25" t="n"/>
      <c r="G919" s="17">
        <f>IF(AND(C919="",D919=""),"",IF(NOT(ISNUMBER(B919)),"Needs a date",IF(AND(D919&lt;&gt;"",NOT(ISNUMBER(D919))),"Hours not a number",IF(N(D919)&lt;=0,"Needs the hours",IF(C919="","Needs a name",IF(COUNTIF(Volunteers!$B$6:$B$105,C919)=0,"Not on Volunteers",""))))))</f>
        <v/>
      </c>
      <c r="H919" s="1" t="n"/>
      <c r="I919">
        <f>IF(ISNUMBER(B919),YEAR(B919),"")</f>
        <v/>
      </c>
      <c r="J919">
        <f>IF(ISNUMBER(B919),YEAR(B919)*100+MONTH(B919),"")</f>
        <v/>
      </c>
      <c r="K919">
        <f>IF(ISNUMBER(B919),INT(B919),0)</f>
        <v/>
      </c>
      <c r="L919">
        <f>IF(AND(ISNUMBER(D919),N(D919)&gt;0),K919,0)</f>
        <v/>
      </c>
    </row>
    <row r="920">
      <c r="A920" s="1" t="n"/>
      <c r="B920" s="21" t="n"/>
      <c r="C920" s="22" t="n"/>
      <c r="D920" s="46" t="n"/>
      <c r="E920" s="25" t="n"/>
      <c r="F920" s="25" t="n"/>
      <c r="G920" s="17">
        <f>IF(AND(C920="",D920=""),"",IF(NOT(ISNUMBER(B920)),"Needs a date",IF(AND(D920&lt;&gt;"",NOT(ISNUMBER(D920))),"Hours not a number",IF(N(D920)&lt;=0,"Needs the hours",IF(C920="","Needs a name",IF(COUNTIF(Volunteers!$B$6:$B$105,C920)=0,"Not on Volunteers",""))))))</f>
        <v/>
      </c>
      <c r="H920" s="1" t="n"/>
      <c r="I920">
        <f>IF(ISNUMBER(B920),YEAR(B920),"")</f>
        <v/>
      </c>
      <c r="J920">
        <f>IF(ISNUMBER(B920),YEAR(B920)*100+MONTH(B920),"")</f>
        <v/>
      </c>
      <c r="K920">
        <f>IF(ISNUMBER(B920),INT(B920),0)</f>
        <v/>
      </c>
      <c r="L920">
        <f>IF(AND(ISNUMBER(D920),N(D920)&gt;0),K920,0)</f>
        <v/>
      </c>
    </row>
    <row r="921">
      <c r="A921" s="1" t="n"/>
      <c r="B921" s="21" t="n"/>
      <c r="C921" s="22" t="n"/>
      <c r="D921" s="46" t="n"/>
      <c r="E921" s="25" t="n"/>
      <c r="F921" s="25" t="n"/>
      <c r="G921" s="17">
        <f>IF(AND(C921="",D921=""),"",IF(NOT(ISNUMBER(B921)),"Needs a date",IF(AND(D921&lt;&gt;"",NOT(ISNUMBER(D921))),"Hours not a number",IF(N(D921)&lt;=0,"Needs the hours",IF(C921="","Needs a name",IF(COUNTIF(Volunteers!$B$6:$B$105,C921)=0,"Not on Volunteers",""))))))</f>
        <v/>
      </c>
      <c r="H921" s="1" t="n"/>
      <c r="I921">
        <f>IF(ISNUMBER(B921),YEAR(B921),"")</f>
        <v/>
      </c>
      <c r="J921">
        <f>IF(ISNUMBER(B921),YEAR(B921)*100+MONTH(B921),"")</f>
        <v/>
      </c>
      <c r="K921">
        <f>IF(ISNUMBER(B921),INT(B921),0)</f>
        <v/>
      </c>
      <c r="L921">
        <f>IF(AND(ISNUMBER(D921),N(D921)&gt;0),K921,0)</f>
        <v/>
      </c>
    </row>
    <row r="922">
      <c r="A922" s="1" t="n"/>
      <c r="B922" s="21" t="n"/>
      <c r="C922" s="22" t="n"/>
      <c r="D922" s="46" t="n"/>
      <c r="E922" s="25" t="n"/>
      <c r="F922" s="25" t="n"/>
      <c r="G922" s="17">
        <f>IF(AND(C922="",D922=""),"",IF(NOT(ISNUMBER(B922)),"Needs a date",IF(AND(D922&lt;&gt;"",NOT(ISNUMBER(D922))),"Hours not a number",IF(N(D922)&lt;=0,"Needs the hours",IF(C922="","Needs a name",IF(COUNTIF(Volunteers!$B$6:$B$105,C922)=0,"Not on Volunteers",""))))))</f>
        <v/>
      </c>
      <c r="H922" s="1" t="n"/>
      <c r="I922">
        <f>IF(ISNUMBER(B922),YEAR(B922),"")</f>
        <v/>
      </c>
      <c r="J922">
        <f>IF(ISNUMBER(B922),YEAR(B922)*100+MONTH(B922),"")</f>
        <v/>
      </c>
      <c r="K922">
        <f>IF(ISNUMBER(B922),INT(B922),0)</f>
        <v/>
      </c>
      <c r="L922">
        <f>IF(AND(ISNUMBER(D922),N(D922)&gt;0),K922,0)</f>
        <v/>
      </c>
    </row>
    <row r="923">
      <c r="A923" s="1" t="n"/>
      <c r="B923" s="21" t="n"/>
      <c r="C923" s="22" t="n"/>
      <c r="D923" s="46" t="n"/>
      <c r="E923" s="25" t="n"/>
      <c r="F923" s="25" t="n"/>
      <c r="G923" s="17">
        <f>IF(AND(C923="",D923=""),"",IF(NOT(ISNUMBER(B923)),"Needs a date",IF(AND(D923&lt;&gt;"",NOT(ISNUMBER(D923))),"Hours not a number",IF(N(D923)&lt;=0,"Needs the hours",IF(C923="","Needs a name",IF(COUNTIF(Volunteers!$B$6:$B$105,C923)=0,"Not on Volunteers",""))))))</f>
        <v/>
      </c>
      <c r="H923" s="1" t="n"/>
      <c r="I923">
        <f>IF(ISNUMBER(B923),YEAR(B923),"")</f>
        <v/>
      </c>
      <c r="J923">
        <f>IF(ISNUMBER(B923),YEAR(B923)*100+MONTH(B923),"")</f>
        <v/>
      </c>
      <c r="K923">
        <f>IF(ISNUMBER(B923),INT(B923),0)</f>
        <v/>
      </c>
      <c r="L923">
        <f>IF(AND(ISNUMBER(D923),N(D923)&gt;0),K923,0)</f>
        <v/>
      </c>
    </row>
    <row r="924">
      <c r="A924" s="1" t="n"/>
      <c r="B924" s="21" t="n"/>
      <c r="C924" s="22" t="n"/>
      <c r="D924" s="46" t="n"/>
      <c r="E924" s="25" t="n"/>
      <c r="F924" s="25" t="n"/>
      <c r="G924" s="17">
        <f>IF(AND(C924="",D924=""),"",IF(NOT(ISNUMBER(B924)),"Needs a date",IF(AND(D924&lt;&gt;"",NOT(ISNUMBER(D924))),"Hours not a number",IF(N(D924)&lt;=0,"Needs the hours",IF(C924="","Needs a name",IF(COUNTIF(Volunteers!$B$6:$B$105,C924)=0,"Not on Volunteers",""))))))</f>
        <v/>
      </c>
      <c r="H924" s="1" t="n"/>
      <c r="I924">
        <f>IF(ISNUMBER(B924),YEAR(B924),"")</f>
        <v/>
      </c>
      <c r="J924">
        <f>IF(ISNUMBER(B924),YEAR(B924)*100+MONTH(B924),"")</f>
        <v/>
      </c>
      <c r="K924">
        <f>IF(ISNUMBER(B924),INT(B924),0)</f>
        <v/>
      </c>
      <c r="L924">
        <f>IF(AND(ISNUMBER(D924),N(D924)&gt;0),K924,0)</f>
        <v/>
      </c>
    </row>
    <row r="925">
      <c r="A925" s="1" t="n"/>
      <c r="B925" s="21" t="n"/>
      <c r="C925" s="22" t="n"/>
      <c r="D925" s="46" t="n"/>
      <c r="E925" s="25" t="n"/>
      <c r="F925" s="25" t="n"/>
      <c r="G925" s="17">
        <f>IF(AND(C925="",D925=""),"",IF(NOT(ISNUMBER(B925)),"Needs a date",IF(AND(D925&lt;&gt;"",NOT(ISNUMBER(D925))),"Hours not a number",IF(N(D925)&lt;=0,"Needs the hours",IF(C925="","Needs a name",IF(COUNTIF(Volunteers!$B$6:$B$105,C925)=0,"Not on Volunteers",""))))))</f>
        <v/>
      </c>
      <c r="H925" s="1" t="n"/>
      <c r="I925">
        <f>IF(ISNUMBER(B925),YEAR(B925),"")</f>
        <v/>
      </c>
      <c r="J925">
        <f>IF(ISNUMBER(B925),YEAR(B925)*100+MONTH(B925),"")</f>
        <v/>
      </c>
      <c r="K925">
        <f>IF(ISNUMBER(B925),INT(B925),0)</f>
        <v/>
      </c>
      <c r="L925">
        <f>IF(AND(ISNUMBER(D925),N(D925)&gt;0),K925,0)</f>
        <v/>
      </c>
    </row>
    <row r="926">
      <c r="A926" s="1" t="n"/>
      <c r="B926" s="21" t="n"/>
      <c r="C926" s="22" t="n"/>
      <c r="D926" s="46" t="n"/>
      <c r="E926" s="25" t="n"/>
      <c r="F926" s="25" t="n"/>
      <c r="G926" s="17">
        <f>IF(AND(C926="",D926=""),"",IF(NOT(ISNUMBER(B926)),"Needs a date",IF(AND(D926&lt;&gt;"",NOT(ISNUMBER(D926))),"Hours not a number",IF(N(D926)&lt;=0,"Needs the hours",IF(C926="","Needs a name",IF(COUNTIF(Volunteers!$B$6:$B$105,C926)=0,"Not on Volunteers",""))))))</f>
        <v/>
      </c>
      <c r="H926" s="1" t="n"/>
      <c r="I926">
        <f>IF(ISNUMBER(B926),YEAR(B926),"")</f>
        <v/>
      </c>
      <c r="J926">
        <f>IF(ISNUMBER(B926),YEAR(B926)*100+MONTH(B926),"")</f>
        <v/>
      </c>
      <c r="K926">
        <f>IF(ISNUMBER(B926),INT(B926),0)</f>
        <v/>
      </c>
      <c r="L926">
        <f>IF(AND(ISNUMBER(D926),N(D926)&gt;0),K926,0)</f>
        <v/>
      </c>
    </row>
    <row r="927">
      <c r="A927" s="1" t="n"/>
      <c r="B927" s="21" t="n"/>
      <c r="C927" s="22" t="n"/>
      <c r="D927" s="46" t="n"/>
      <c r="E927" s="25" t="n"/>
      <c r="F927" s="25" t="n"/>
      <c r="G927" s="17">
        <f>IF(AND(C927="",D927=""),"",IF(NOT(ISNUMBER(B927)),"Needs a date",IF(AND(D927&lt;&gt;"",NOT(ISNUMBER(D927))),"Hours not a number",IF(N(D927)&lt;=0,"Needs the hours",IF(C927="","Needs a name",IF(COUNTIF(Volunteers!$B$6:$B$105,C927)=0,"Not on Volunteers",""))))))</f>
        <v/>
      </c>
      <c r="H927" s="1" t="n"/>
      <c r="I927">
        <f>IF(ISNUMBER(B927),YEAR(B927),"")</f>
        <v/>
      </c>
      <c r="J927">
        <f>IF(ISNUMBER(B927),YEAR(B927)*100+MONTH(B927),"")</f>
        <v/>
      </c>
      <c r="K927">
        <f>IF(ISNUMBER(B927),INT(B927),0)</f>
        <v/>
      </c>
      <c r="L927">
        <f>IF(AND(ISNUMBER(D927),N(D927)&gt;0),K927,0)</f>
        <v/>
      </c>
    </row>
    <row r="928">
      <c r="A928" s="1" t="n"/>
      <c r="B928" s="21" t="n"/>
      <c r="C928" s="22" t="n"/>
      <c r="D928" s="46" t="n"/>
      <c r="E928" s="25" t="n"/>
      <c r="F928" s="25" t="n"/>
      <c r="G928" s="17">
        <f>IF(AND(C928="",D928=""),"",IF(NOT(ISNUMBER(B928)),"Needs a date",IF(AND(D928&lt;&gt;"",NOT(ISNUMBER(D928))),"Hours not a number",IF(N(D928)&lt;=0,"Needs the hours",IF(C928="","Needs a name",IF(COUNTIF(Volunteers!$B$6:$B$105,C928)=0,"Not on Volunteers",""))))))</f>
        <v/>
      </c>
      <c r="H928" s="1" t="n"/>
      <c r="I928">
        <f>IF(ISNUMBER(B928),YEAR(B928),"")</f>
        <v/>
      </c>
      <c r="J928">
        <f>IF(ISNUMBER(B928),YEAR(B928)*100+MONTH(B928),"")</f>
        <v/>
      </c>
      <c r="K928">
        <f>IF(ISNUMBER(B928),INT(B928),0)</f>
        <v/>
      </c>
      <c r="L928">
        <f>IF(AND(ISNUMBER(D928),N(D928)&gt;0),K928,0)</f>
        <v/>
      </c>
    </row>
    <row r="929">
      <c r="A929" s="1" t="n"/>
      <c r="B929" s="21" t="n"/>
      <c r="C929" s="22" t="n"/>
      <c r="D929" s="46" t="n"/>
      <c r="E929" s="25" t="n"/>
      <c r="F929" s="25" t="n"/>
      <c r="G929" s="17">
        <f>IF(AND(C929="",D929=""),"",IF(NOT(ISNUMBER(B929)),"Needs a date",IF(AND(D929&lt;&gt;"",NOT(ISNUMBER(D929))),"Hours not a number",IF(N(D929)&lt;=0,"Needs the hours",IF(C929="","Needs a name",IF(COUNTIF(Volunteers!$B$6:$B$105,C929)=0,"Not on Volunteers",""))))))</f>
        <v/>
      </c>
      <c r="H929" s="1" t="n"/>
      <c r="I929">
        <f>IF(ISNUMBER(B929),YEAR(B929),"")</f>
        <v/>
      </c>
      <c r="J929">
        <f>IF(ISNUMBER(B929),YEAR(B929)*100+MONTH(B929),"")</f>
        <v/>
      </c>
      <c r="K929">
        <f>IF(ISNUMBER(B929),INT(B929),0)</f>
        <v/>
      </c>
      <c r="L929">
        <f>IF(AND(ISNUMBER(D929),N(D929)&gt;0),K929,0)</f>
        <v/>
      </c>
    </row>
    <row r="930">
      <c r="A930" s="1" t="n"/>
      <c r="B930" s="21" t="n"/>
      <c r="C930" s="22" t="n"/>
      <c r="D930" s="46" t="n"/>
      <c r="E930" s="25" t="n"/>
      <c r="F930" s="25" t="n"/>
      <c r="G930" s="17">
        <f>IF(AND(C930="",D930=""),"",IF(NOT(ISNUMBER(B930)),"Needs a date",IF(AND(D930&lt;&gt;"",NOT(ISNUMBER(D930))),"Hours not a number",IF(N(D930)&lt;=0,"Needs the hours",IF(C930="","Needs a name",IF(COUNTIF(Volunteers!$B$6:$B$105,C930)=0,"Not on Volunteers",""))))))</f>
        <v/>
      </c>
      <c r="H930" s="1" t="n"/>
      <c r="I930">
        <f>IF(ISNUMBER(B930),YEAR(B930),"")</f>
        <v/>
      </c>
      <c r="J930">
        <f>IF(ISNUMBER(B930),YEAR(B930)*100+MONTH(B930),"")</f>
        <v/>
      </c>
      <c r="K930">
        <f>IF(ISNUMBER(B930),INT(B930),0)</f>
        <v/>
      </c>
      <c r="L930">
        <f>IF(AND(ISNUMBER(D930),N(D930)&gt;0),K930,0)</f>
        <v/>
      </c>
    </row>
    <row r="931">
      <c r="A931" s="1" t="n"/>
      <c r="B931" s="21" t="n"/>
      <c r="C931" s="22" t="n"/>
      <c r="D931" s="46" t="n"/>
      <c r="E931" s="25" t="n"/>
      <c r="F931" s="25" t="n"/>
      <c r="G931" s="17">
        <f>IF(AND(C931="",D931=""),"",IF(NOT(ISNUMBER(B931)),"Needs a date",IF(AND(D931&lt;&gt;"",NOT(ISNUMBER(D931))),"Hours not a number",IF(N(D931)&lt;=0,"Needs the hours",IF(C931="","Needs a name",IF(COUNTIF(Volunteers!$B$6:$B$105,C931)=0,"Not on Volunteers",""))))))</f>
        <v/>
      </c>
      <c r="H931" s="1" t="n"/>
      <c r="I931">
        <f>IF(ISNUMBER(B931),YEAR(B931),"")</f>
        <v/>
      </c>
      <c r="J931">
        <f>IF(ISNUMBER(B931),YEAR(B931)*100+MONTH(B931),"")</f>
        <v/>
      </c>
      <c r="K931">
        <f>IF(ISNUMBER(B931),INT(B931),0)</f>
        <v/>
      </c>
      <c r="L931">
        <f>IF(AND(ISNUMBER(D931),N(D931)&gt;0),K931,0)</f>
        <v/>
      </c>
    </row>
    <row r="932">
      <c r="A932" s="1" t="n"/>
      <c r="B932" s="21" t="n"/>
      <c r="C932" s="22" t="n"/>
      <c r="D932" s="46" t="n"/>
      <c r="E932" s="25" t="n"/>
      <c r="F932" s="25" t="n"/>
      <c r="G932" s="17">
        <f>IF(AND(C932="",D932=""),"",IF(NOT(ISNUMBER(B932)),"Needs a date",IF(AND(D932&lt;&gt;"",NOT(ISNUMBER(D932))),"Hours not a number",IF(N(D932)&lt;=0,"Needs the hours",IF(C932="","Needs a name",IF(COUNTIF(Volunteers!$B$6:$B$105,C932)=0,"Not on Volunteers",""))))))</f>
        <v/>
      </c>
      <c r="H932" s="1" t="n"/>
      <c r="I932">
        <f>IF(ISNUMBER(B932),YEAR(B932),"")</f>
        <v/>
      </c>
      <c r="J932">
        <f>IF(ISNUMBER(B932),YEAR(B932)*100+MONTH(B932),"")</f>
        <v/>
      </c>
      <c r="K932">
        <f>IF(ISNUMBER(B932),INT(B932),0)</f>
        <v/>
      </c>
      <c r="L932">
        <f>IF(AND(ISNUMBER(D932),N(D932)&gt;0),K932,0)</f>
        <v/>
      </c>
    </row>
    <row r="933">
      <c r="A933" s="1" t="n"/>
      <c r="B933" s="21" t="n"/>
      <c r="C933" s="22" t="n"/>
      <c r="D933" s="46" t="n"/>
      <c r="E933" s="25" t="n"/>
      <c r="F933" s="25" t="n"/>
      <c r="G933" s="17">
        <f>IF(AND(C933="",D933=""),"",IF(NOT(ISNUMBER(B933)),"Needs a date",IF(AND(D933&lt;&gt;"",NOT(ISNUMBER(D933))),"Hours not a number",IF(N(D933)&lt;=0,"Needs the hours",IF(C933="","Needs a name",IF(COUNTIF(Volunteers!$B$6:$B$105,C933)=0,"Not on Volunteers",""))))))</f>
        <v/>
      </c>
      <c r="H933" s="1" t="n"/>
      <c r="I933">
        <f>IF(ISNUMBER(B933),YEAR(B933),"")</f>
        <v/>
      </c>
      <c r="J933">
        <f>IF(ISNUMBER(B933),YEAR(B933)*100+MONTH(B933),"")</f>
        <v/>
      </c>
      <c r="K933">
        <f>IF(ISNUMBER(B933),INT(B933),0)</f>
        <v/>
      </c>
      <c r="L933">
        <f>IF(AND(ISNUMBER(D933),N(D933)&gt;0),K933,0)</f>
        <v/>
      </c>
    </row>
    <row r="934">
      <c r="A934" s="1" t="n"/>
      <c r="B934" s="21" t="n"/>
      <c r="C934" s="22" t="n"/>
      <c r="D934" s="46" t="n"/>
      <c r="E934" s="25" t="n"/>
      <c r="F934" s="25" t="n"/>
      <c r="G934" s="17">
        <f>IF(AND(C934="",D934=""),"",IF(NOT(ISNUMBER(B934)),"Needs a date",IF(AND(D934&lt;&gt;"",NOT(ISNUMBER(D934))),"Hours not a number",IF(N(D934)&lt;=0,"Needs the hours",IF(C934="","Needs a name",IF(COUNTIF(Volunteers!$B$6:$B$105,C934)=0,"Not on Volunteers",""))))))</f>
        <v/>
      </c>
      <c r="H934" s="1" t="n"/>
      <c r="I934">
        <f>IF(ISNUMBER(B934),YEAR(B934),"")</f>
        <v/>
      </c>
      <c r="J934">
        <f>IF(ISNUMBER(B934),YEAR(B934)*100+MONTH(B934),"")</f>
        <v/>
      </c>
      <c r="K934">
        <f>IF(ISNUMBER(B934),INT(B934),0)</f>
        <v/>
      </c>
      <c r="L934">
        <f>IF(AND(ISNUMBER(D934),N(D934)&gt;0),K934,0)</f>
        <v/>
      </c>
    </row>
    <row r="935">
      <c r="A935" s="1" t="n"/>
      <c r="B935" s="21" t="n"/>
      <c r="C935" s="22" t="n"/>
      <c r="D935" s="46" t="n"/>
      <c r="E935" s="25" t="n"/>
      <c r="F935" s="25" t="n"/>
      <c r="G935" s="17">
        <f>IF(AND(C935="",D935=""),"",IF(NOT(ISNUMBER(B935)),"Needs a date",IF(AND(D935&lt;&gt;"",NOT(ISNUMBER(D935))),"Hours not a number",IF(N(D935)&lt;=0,"Needs the hours",IF(C935="","Needs a name",IF(COUNTIF(Volunteers!$B$6:$B$105,C935)=0,"Not on Volunteers",""))))))</f>
        <v/>
      </c>
      <c r="H935" s="1" t="n"/>
      <c r="I935">
        <f>IF(ISNUMBER(B935),YEAR(B935),"")</f>
        <v/>
      </c>
      <c r="J935">
        <f>IF(ISNUMBER(B935),YEAR(B935)*100+MONTH(B935),"")</f>
        <v/>
      </c>
      <c r="K935">
        <f>IF(ISNUMBER(B935),INT(B935),0)</f>
        <v/>
      </c>
      <c r="L935">
        <f>IF(AND(ISNUMBER(D935),N(D935)&gt;0),K935,0)</f>
        <v/>
      </c>
    </row>
    <row r="936">
      <c r="A936" s="1" t="n"/>
      <c r="B936" s="21" t="n"/>
      <c r="C936" s="22" t="n"/>
      <c r="D936" s="46" t="n"/>
      <c r="E936" s="25" t="n"/>
      <c r="F936" s="25" t="n"/>
      <c r="G936" s="17">
        <f>IF(AND(C936="",D936=""),"",IF(NOT(ISNUMBER(B936)),"Needs a date",IF(AND(D936&lt;&gt;"",NOT(ISNUMBER(D936))),"Hours not a number",IF(N(D936)&lt;=0,"Needs the hours",IF(C936="","Needs a name",IF(COUNTIF(Volunteers!$B$6:$B$105,C936)=0,"Not on Volunteers",""))))))</f>
        <v/>
      </c>
      <c r="H936" s="1" t="n"/>
      <c r="I936">
        <f>IF(ISNUMBER(B936),YEAR(B936),"")</f>
        <v/>
      </c>
      <c r="J936">
        <f>IF(ISNUMBER(B936),YEAR(B936)*100+MONTH(B936),"")</f>
        <v/>
      </c>
      <c r="K936">
        <f>IF(ISNUMBER(B936),INT(B936),0)</f>
        <v/>
      </c>
      <c r="L936">
        <f>IF(AND(ISNUMBER(D936),N(D936)&gt;0),K936,0)</f>
        <v/>
      </c>
    </row>
    <row r="937">
      <c r="A937" s="1" t="n"/>
      <c r="B937" s="21" t="n"/>
      <c r="C937" s="22" t="n"/>
      <c r="D937" s="46" t="n"/>
      <c r="E937" s="25" t="n"/>
      <c r="F937" s="25" t="n"/>
      <c r="G937" s="17">
        <f>IF(AND(C937="",D937=""),"",IF(NOT(ISNUMBER(B937)),"Needs a date",IF(AND(D937&lt;&gt;"",NOT(ISNUMBER(D937))),"Hours not a number",IF(N(D937)&lt;=0,"Needs the hours",IF(C937="","Needs a name",IF(COUNTIF(Volunteers!$B$6:$B$105,C937)=0,"Not on Volunteers",""))))))</f>
        <v/>
      </c>
      <c r="H937" s="1" t="n"/>
      <c r="I937">
        <f>IF(ISNUMBER(B937),YEAR(B937),"")</f>
        <v/>
      </c>
      <c r="J937">
        <f>IF(ISNUMBER(B937),YEAR(B937)*100+MONTH(B937),"")</f>
        <v/>
      </c>
      <c r="K937">
        <f>IF(ISNUMBER(B937),INT(B937),0)</f>
        <v/>
      </c>
      <c r="L937">
        <f>IF(AND(ISNUMBER(D937),N(D937)&gt;0),K937,0)</f>
        <v/>
      </c>
    </row>
    <row r="938">
      <c r="A938" s="1" t="n"/>
      <c r="B938" s="21" t="n"/>
      <c r="C938" s="22" t="n"/>
      <c r="D938" s="46" t="n"/>
      <c r="E938" s="25" t="n"/>
      <c r="F938" s="25" t="n"/>
      <c r="G938" s="17">
        <f>IF(AND(C938="",D938=""),"",IF(NOT(ISNUMBER(B938)),"Needs a date",IF(AND(D938&lt;&gt;"",NOT(ISNUMBER(D938))),"Hours not a number",IF(N(D938)&lt;=0,"Needs the hours",IF(C938="","Needs a name",IF(COUNTIF(Volunteers!$B$6:$B$105,C938)=0,"Not on Volunteers",""))))))</f>
        <v/>
      </c>
      <c r="H938" s="1" t="n"/>
      <c r="I938">
        <f>IF(ISNUMBER(B938),YEAR(B938),"")</f>
        <v/>
      </c>
      <c r="J938">
        <f>IF(ISNUMBER(B938),YEAR(B938)*100+MONTH(B938),"")</f>
        <v/>
      </c>
      <c r="K938">
        <f>IF(ISNUMBER(B938),INT(B938),0)</f>
        <v/>
      </c>
      <c r="L938">
        <f>IF(AND(ISNUMBER(D938),N(D938)&gt;0),K938,0)</f>
        <v/>
      </c>
    </row>
    <row r="939">
      <c r="A939" s="1" t="n"/>
      <c r="B939" s="21" t="n"/>
      <c r="C939" s="22" t="n"/>
      <c r="D939" s="46" t="n"/>
      <c r="E939" s="25" t="n"/>
      <c r="F939" s="25" t="n"/>
      <c r="G939" s="17">
        <f>IF(AND(C939="",D939=""),"",IF(NOT(ISNUMBER(B939)),"Needs a date",IF(AND(D939&lt;&gt;"",NOT(ISNUMBER(D939))),"Hours not a number",IF(N(D939)&lt;=0,"Needs the hours",IF(C939="","Needs a name",IF(COUNTIF(Volunteers!$B$6:$B$105,C939)=0,"Not on Volunteers",""))))))</f>
        <v/>
      </c>
      <c r="H939" s="1" t="n"/>
      <c r="I939">
        <f>IF(ISNUMBER(B939),YEAR(B939),"")</f>
        <v/>
      </c>
      <c r="J939">
        <f>IF(ISNUMBER(B939),YEAR(B939)*100+MONTH(B939),"")</f>
        <v/>
      </c>
      <c r="K939">
        <f>IF(ISNUMBER(B939),INT(B939),0)</f>
        <v/>
      </c>
      <c r="L939">
        <f>IF(AND(ISNUMBER(D939),N(D939)&gt;0),K939,0)</f>
        <v/>
      </c>
    </row>
    <row r="940">
      <c r="A940" s="1" t="n"/>
      <c r="B940" s="21" t="n"/>
      <c r="C940" s="22" t="n"/>
      <c r="D940" s="46" t="n"/>
      <c r="E940" s="25" t="n"/>
      <c r="F940" s="25" t="n"/>
      <c r="G940" s="17">
        <f>IF(AND(C940="",D940=""),"",IF(NOT(ISNUMBER(B940)),"Needs a date",IF(AND(D940&lt;&gt;"",NOT(ISNUMBER(D940))),"Hours not a number",IF(N(D940)&lt;=0,"Needs the hours",IF(C940="","Needs a name",IF(COUNTIF(Volunteers!$B$6:$B$105,C940)=0,"Not on Volunteers",""))))))</f>
        <v/>
      </c>
      <c r="H940" s="1" t="n"/>
      <c r="I940">
        <f>IF(ISNUMBER(B940),YEAR(B940),"")</f>
        <v/>
      </c>
      <c r="J940">
        <f>IF(ISNUMBER(B940),YEAR(B940)*100+MONTH(B940),"")</f>
        <v/>
      </c>
      <c r="K940">
        <f>IF(ISNUMBER(B940),INT(B940),0)</f>
        <v/>
      </c>
      <c r="L940">
        <f>IF(AND(ISNUMBER(D940),N(D940)&gt;0),K940,0)</f>
        <v/>
      </c>
    </row>
    <row r="941">
      <c r="A941" s="1" t="n"/>
      <c r="B941" s="21" t="n"/>
      <c r="C941" s="22" t="n"/>
      <c r="D941" s="46" t="n"/>
      <c r="E941" s="25" t="n"/>
      <c r="F941" s="25" t="n"/>
      <c r="G941" s="17">
        <f>IF(AND(C941="",D941=""),"",IF(NOT(ISNUMBER(B941)),"Needs a date",IF(AND(D941&lt;&gt;"",NOT(ISNUMBER(D941))),"Hours not a number",IF(N(D941)&lt;=0,"Needs the hours",IF(C941="","Needs a name",IF(COUNTIF(Volunteers!$B$6:$B$105,C941)=0,"Not on Volunteers",""))))))</f>
        <v/>
      </c>
      <c r="H941" s="1" t="n"/>
      <c r="I941">
        <f>IF(ISNUMBER(B941),YEAR(B941),"")</f>
        <v/>
      </c>
      <c r="J941">
        <f>IF(ISNUMBER(B941),YEAR(B941)*100+MONTH(B941),"")</f>
        <v/>
      </c>
      <c r="K941">
        <f>IF(ISNUMBER(B941),INT(B941),0)</f>
        <v/>
      </c>
      <c r="L941">
        <f>IF(AND(ISNUMBER(D941),N(D941)&gt;0),K941,0)</f>
        <v/>
      </c>
    </row>
    <row r="942">
      <c r="A942" s="1" t="n"/>
      <c r="B942" s="21" t="n"/>
      <c r="C942" s="22" t="n"/>
      <c r="D942" s="46" t="n"/>
      <c r="E942" s="25" t="n"/>
      <c r="F942" s="25" t="n"/>
      <c r="G942" s="17">
        <f>IF(AND(C942="",D942=""),"",IF(NOT(ISNUMBER(B942)),"Needs a date",IF(AND(D942&lt;&gt;"",NOT(ISNUMBER(D942))),"Hours not a number",IF(N(D942)&lt;=0,"Needs the hours",IF(C942="","Needs a name",IF(COUNTIF(Volunteers!$B$6:$B$105,C942)=0,"Not on Volunteers",""))))))</f>
        <v/>
      </c>
      <c r="H942" s="1" t="n"/>
      <c r="I942">
        <f>IF(ISNUMBER(B942),YEAR(B942),"")</f>
        <v/>
      </c>
      <c r="J942">
        <f>IF(ISNUMBER(B942),YEAR(B942)*100+MONTH(B942),"")</f>
        <v/>
      </c>
      <c r="K942">
        <f>IF(ISNUMBER(B942),INT(B942),0)</f>
        <v/>
      </c>
      <c r="L942">
        <f>IF(AND(ISNUMBER(D942),N(D942)&gt;0),K942,0)</f>
        <v/>
      </c>
    </row>
    <row r="943">
      <c r="A943" s="1" t="n"/>
      <c r="B943" s="21" t="n"/>
      <c r="C943" s="22" t="n"/>
      <c r="D943" s="46" t="n"/>
      <c r="E943" s="25" t="n"/>
      <c r="F943" s="25" t="n"/>
      <c r="G943" s="17">
        <f>IF(AND(C943="",D943=""),"",IF(NOT(ISNUMBER(B943)),"Needs a date",IF(AND(D943&lt;&gt;"",NOT(ISNUMBER(D943))),"Hours not a number",IF(N(D943)&lt;=0,"Needs the hours",IF(C943="","Needs a name",IF(COUNTIF(Volunteers!$B$6:$B$105,C943)=0,"Not on Volunteers",""))))))</f>
        <v/>
      </c>
      <c r="H943" s="1" t="n"/>
      <c r="I943">
        <f>IF(ISNUMBER(B943),YEAR(B943),"")</f>
        <v/>
      </c>
      <c r="J943">
        <f>IF(ISNUMBER(B943),YEAR(B943)*100+MONTH(B943),"")</f>
        <v/>
      </c>
      <c r="K943">
        <f>IF(ISNUMBER(B943),INT(B943),0)</f>
        <v/>
      </c>
      <c r="L943">
        <f>IF(AND(ISNUMBER(D943),N(D943)&gt;0),K943,0)</f>
        <v/>
      </c>
    </row>
    <row r="944">
      <c r="A944" s="1" t="n"/>
      <c r="B944" s="21" t="n"/>
      <c r="C944" s="22" t="n"/>
      <c r="D944" s="46" t="n"/>
      <c r="E944" s="25" t="n"/>
      <c r="F944" s="25" t="n"/>
      <c r="G944" s="17">
        <f>IF(AND(C944="",D944=""),"",IF(NOT(ISNUMBER(B944)),"Needs a date",IF(AND(D944&lt;&gt;"",NOT(ISNUMBER(D944))),"Hours not a number",IF(N(D944)&lt;=0,"Needs the hours",IF(C944="","Needs a name",IF(COUNTIF(Volunteers!$B$6:$B$105,C944)=0,"Not on Volunteers",""))))))</f>
        <v/>
      </c>
      <c r="H944" s="1" t="n"/>
      <c r="I944">
        <f>IF(ISNUMBER(B944),YEAR(B944),"")</f>
        <v/>
      </c>
      <c r="J944">
        <f>IF(ISNUMBER(B944),YEAR(B944)*100+MONTH(B944),"")</f>
        <v/>
      </c>
      <c r="K944">
        <f>IF(ISNUMBER(B944),INT(B944),0)</f>
        <v/>
      </c>
      <c r="L944">
        <f>IF(AND(ISNUMBER(D944),N(D944)&gt;0),K944,0)</f>
        <v/>
      </c>
    </row>
    <row r="945">
      <c r="A945" s="1" t="n"/>
      <c r="B945" s="21" t="n"/>
      <c r="C945" s="22" t="n"/>
      <c r="D945" s="46" t="n"/>
      <c r="E945" s="25" t="n"/>
      <c r="F945" s="25" t="n"/>
      <c r="G945" s="17">
        <f>IF(AND(C945="",D945=""),"",IF(NOT(ISNUMBER(B945)),"Needs a date",IF(AND(D945&lt;&gt;"",NOT(ISNUMBER(D945))),"Hours not a number",IF(N(D945)&lt;=0,"Needs the hours",IF(C945="","Needs a name",IF(COUNTIF(Volunteers!$B$6:$B$105,C945)=0,"Not on Volunteers",""))))))</f>
        <v/>
      </c>
      <c r="H945" s="1" t="n"/>
      <c r="I945">
        <f>IF(ISNUMBER(B945),YEAR(B945),"")</f>
        <v/>
      </c>
      <c r="J945">
        <f>IF(ISNUMBER(B945),YEAR(B945)*100+MONTH(B945),"")</f>
        <v/>
      </c>
      <c r="K945">
        <f>IF(ISNUMBER(B945),INT(B945),0)</f>
        <v/>
      </c>
      <c r="L945">
        <f>IF(AND(ISNUMBER(D945),N(D945)&gt;0),K945,0)</f>
        <v/>
      </c>
    </row>
    <row r="946">
      <c r="A946" s="1" t="n"/>
      <c r="B946" s="21" t="n"/>
      <c r="C946" s="22" t="n"/>
      <c r="D946" s="46" t="n"/>
      <c r="E946" s="25" t="n"/>
      <c r="F946" s="25" t="n"/>
      <c r="G946" s="17">
        <f>IF(AND(C946="",D946=""),"",IF(NOT(ISNUMBER(B946)),"Needs a date",IF(AND(D946&lt;&gt;"",NOT(ISNUMBER(D946))),"Hours not a number",IF(N(D946)&lt;=0,"Needs the hours",IF(C946="","Needs a name",IF(COUNTIF(Volunteers!$B$6:$B$105,C946)=0,"Not on Volunteers",""))))))</f>
        <v/>
      </c>
      <c r="H946" s="1" t="n"/>
      <c r="I946">
        <f>IF(ISNUMBER(B946),YEAR(B946),"")</f>
        <v/>
      </c>
      <c r="J946">
        <f>IF(ISNUMBER(B946),YEAR(B946)*100+MONTH(B946),"")</f>
        <v/>
      </c>
      <c r="K946">
        <f>IF(ISNUMBER(B946),INT(B946),0)</f>
        <v/>
      </c>
      <c r="L946">
        <f>IF(AND(ISNUMBER(D946),N(D946)&gt;0),K946,0)</f>
        <v/>
      </c>
    </row>
    <row r="947">
      <c r="A947" s="1" t="n"/>
      <c r="B947" s="21" t="n"/>
      <c r="C947" s="22" t="n"/>
      <c r="D947" s="46" t="n"/>
      <c r="E947" s="25" t="n"/>
      <c r="F947" s="25" t="n"/>
      <c r="G947" s="17">
        <f>IF(AND(C947="",D947=""),"",IF(NOT(ISNUMBER(B947)),"Needs a date",IF(AND(D947&lt;&gt;"",NOT(ISNUMBER(D947))),"Hours not a number",IF(N(D947)&lt;=0,"Needs the hours",IF(C947="","Needs a name",IF(COUNTIF(Volunteers!$B$6:$B$105,C947)=0,"Not on Volunteers",""))))))</f>
        <v/>
      </c>
      <c r="H947" s="1" t="n"/>
      <c r="I947">
        <f>IF(ISNUMBER(B947),YEAR(B947),"")</f>
        <v/>
      </c>
      <c r="J947">
        <f>IF(ISNUMBER(B947),YEAR(B947)*100+MONTH(B947),"")</f>
        <v/>
      </c>
      <c r="K947">
        <f>IF(ISNUMBER(B947),INT(B947),0)</f>
        <v/>
      </c>
      <c r="L947">
        <f>IF(AND(ISNUMBER(D947),N(D947)&gt;0),K947,0)</f>
        <v/>
      </c>
    </row>
    <row r="948">
      <c r="A948" s="1" t="n"/>
      <c r="B948" s="21" t="n"/>
      <c r="C948" s="22" t="n"/>
      <c r="D948" s="46" t="n"/>
      <c r="E948" s="25" t="n"/>
      <c r="F948" s="25" t="n"/>
      <c r="G948" s="17">
        <f>IF(AND(C948="",D948=""),"",IF(NOT(ISNUMBER(B948)),"Needs a date",IF(AND(D948&lt;&gt;"",NOT(ISNUMBER(D948))),"Hours not a number",IF(N(D948)&lt;=0,"Needs the hours",IF(C948="","Needs a name",IF(COUNTIF(Volunteers!$B$6:$B$105,C948)=0,"Not on Volunteers",""))))))</f>
        <v/>
      </c>
      <c r="H948" s="1" t="n"/>
      <c r="I948">
        <f>IF(ISNUMBER(B948),YEAR(B948),"")</f>
        <v/>
      </c>
      <c r="J948">
        <f>IF(ISNUMBER(B948),YEAR(B948)*100+MONTH(B948),"")</f>
        <v/>
      </c>
      <c r="K948">
        <f>IF(ISNUMBER(B948),INT(B948),0)</f>
        <v/>
      </c>
      <c r="L948">
        <f>IF(AND(ISNUMBER(D948),N(D948)&gt;0),K948,0)</f>
        <v/>
      </c>
    </row>
    <row r="949">
      <c r="A949" s="1" t="n"/>
      <c r="B949" s="21" t="n"/>
      <c r="C949" s="22" t="n"/>
      <c r="D949" s="46" t="n"/>
      <c r="E949" s="25" t="n"/>
      <c r="F949" s="25" t="n"/>
      <c r="G949" s="17">
        <f>IF(AND(C949="",D949=""),"",IF(NOT(ISNUMBER(B949)),"Needs a date",IF(AND(D949&lt;&gt;"",NOT(ISNUMBER(D949))),"Hours not a number",IF(N(D949)&lt;=0,"Needs the hours",IF(C949="","Needs a name",IF(COUNTIF(Volunteers!$B$6:$B$105,C949)=0,"Not on Volunteers",""))))))</f>
        <v/>
      </c>
      <c r="H949" s="1" t="n"/>
      <c r="I949">
        <f>IF(ISNUMBER(B949),YEAR(B949),"")</f>
        <v/>
      </c>
      <c r="J949">
        <f>IF(ISNUMBER(B949),YEAR(B949)*100+MONTH(B949),"")</f>
        <v/>
      </c>
      <c r="K949">
        <f>IF(ISNUMBER(B949),INT(B949),0)</f>
        <v/>
      </c>
      <c r="L949">
        <f>IF(AND(ISNUMBER(D949),N(D949)&gt;0),K949,0)</f>
        <v/>
      </c>
    </row>
    <row r="950">
      <c r="A950" s="1" t="n"/>
      <c r="B950" s="21" t="n"/>
      <c r="C950" s="22" t="n"/>
      <c r="D950" s="46" t="n"/>
      <c r="E950" s="25" t="n"/>
      <c r="F950" s="25" t="n"/>
      <c r="G950" s="17">
        <f>IF(AND(C950="",D950=""),"",IF(NOT(ISNUMBER(B950)),"Needs a date",IF(AND(D950&lt;&gt;"",NOT(ISNUMBER(D950))),"Hours not a number",IF(N(D950)&lt;=0,"Needs the hours",IF(C950="","Needs a name",IF(COUNTIF(Volunteers!$B$6:$B$105,C950)=0,"Not on Volunteers",""))))))</f>
        <v/>
      </c>
      <c r="H950" s="1" t="n"/>
      <c r="I950">
        <f>IF(ISNUMBER(B950),YEAR(B950),"")</f>
        <v/>
      </c>
      <c r="J950">
        <f>IF(ISNUMBER(B950),YEAR(B950)*100+MONTH(B950),"")</f>
        <v/>
      </c>
      <c r="K950">
        <f>IF(ISNUMBER(B950),INT(B950),0)</f>
        <v/>
      </c>
      <c r="L950">
        <f>IF(AND(ISNUMBER(D950),N(D950)&gt;0),K950,0)</f>
        <v/>
      </c>
    </row>
    <row r="951">
      <c r="A951" s="1" t="n"/>
      <c r="B951" s="21" t="n"/>
      <c r="C951" s="22" t="n"/>
      <c r="D951" s="46" t="n"/>
      <c r="E951" s="25" t="n"/>
      <c r="F951" s="25" t="n"/>
      <c r="G951" s="17">
        <f>IF(AND(C951="",D951=""),"",IF(NOT(ISNUMBER(B951)),"Needs a date",IF(AND(D951&lt;&gt;"",NOT(ISNUMBER(D951))),"Hours not a number",IF(N(D951)&lt;=0,"Needs the hours",IF(C951="","Needs a name",IF(COUNTIF(Volunteers!$B$6:$B$105,C951)=0,"Not on Volunteers",""))))))</f>
        <v/>
      </c>
      <c r="H951" s="1" t="n"/>
      <c r="I951">
        <f>IF(ISNUMBER(B951),YEAR(B951),"")</f>
        <v/>
      </c>
      <c r="J951">
        <f>IF(ISNUMBER(B951),YEAR(B951)*100+MONTH(B951),"")</f>
        <v/>
      </c>
      <c r="K951">
        <f>IF(ISNUMBER(B951),INT(B951),0)</f>
        <v/>
      </c>
      <c r="L951">
        <f>IF(AND(ISNUMBER(D951),N(D951)&gt;0),K951,0)</f>
        <v/>
      </c>
    </row>
    <row r="952">
      <c r="A952" s="1" t="n"/>
      <c r="B952" s="21" t="n"/>
      <c r="C952" s="22" t="n"/>
      <c r="D952" s="46" t="n"/>
      <c r="E952" s="25" t="n"/>
      <c r="F952" s="25" t="n"/>
      <c r="G952" s="17">
        <f>IF(AND(C952="",D952=""),"",IF(NOT(ISNUMBER(B952)),"Needs a date",IF(AND(D952&lt;&gt;"",NOT(ISNUMBER(D952))),"Hours not a number",IF(N(D952)&lt;=0,"Needs the hours",IF(C952="","Needs a name",IF(COUNTIF(Volunteers!$B$6:$B$105,C952)=0,"Not on Volunteers",""))))))</f>
        <v/>
      </c>
      <c r="H952" s="1" t="n"/>
      <c r="I952">
        <f>IF(ISNUMBER(B952),YEAR(B952),"")</f>
        <v/>
      </c>
      <c r="J952">
        <f>IF(ISNUMBER(B952),YEAR(B952)*100+MONTH(B952),"")</f>
        <v/>
      </c>
      <c r="K952">
        <f>IF(ISNUMBER(B952),INT(B952),0)</f>
        <v/>
      </c>
      <c r="L952">
        <f>IF(AND(ISNUMBER(D952),N(D952)&gt;0),K952,0)</f>
        <v/>
      </c>
    </row>
    <row r="953">
      <c r="A953" s="1" t="n"/>
      <c r="B953" s="21" t="n"/>
      <c r="C953" s="22" t="n"/>
      <c r="D953" s="46" t="n"/>
      <c r="E953" s="25" t="n"/>
      <c r="F953" s="25" t="n"/>
      <c r="G953" s="17">
        <f>IF(AND(C953="",D953=""),"",IF(NOT(ISNUMBER(B953)),"Needs a date",IF(AND(D953&lt;&gt;"",NOT(ISNUMBER(D953))),"Hours not a number",IF(N(D953)&lt;=0,"Needs the hours",IF(C953="","Needs a name",IF(COUNTIF(Volunteers!$B$6:$B$105,C953)=0,"Not on Volunteers",""))))))</f>
        <v/>
      </c>
      <c r="H953" s="1" t="n"/>
      <c r="I953">
        <f>IF(ISNUMBER(B953),YEAR(B953),"")</f>
        <v/>
      </c>
      <c r="J953">
        <f>IF(ISNUMBER(B953),YEAR(B953)*100+MONTH(B953),"")</f>
        <v/>
      </c>
      <c r="K953">
        <f>IF(ISNUMBER(B953),INT(B953),0)</f>
        <v/>
      </c>
      <c r="L953">
        <f>IF(AND(ISNUMBER(D953),N(D953)&gt;0),K953,0)</f>
        <v/>
      </c>
    </row>
    <row r="954">
      <c r="A954" s="1" t="n"/>
      <c r="B954" s="21" t="n"/>
      <c r="C954" s="22" t="n"/>
      <c r="D954" s="46" t="n"/>
      <c r="E954" s="25" t="n"/>
      <c r="F954" s="25" t="n"/>
      <c r="G954" s="17">
        <f>IF(AND(C954="",D954=""),"",IF(NOT(ISNUMBER(B954)),"Needs a date",IF(AND(D954&lt;&gt;"",NOT(ISNUMBER(D954))),"Hours not a number",IF(N(D954)&lt;=0,"Needs the hours",IF(C954="","Needs a name",IF(COUNTIF(Volunteers!$B$6:$B$105,C954)=0,"Not on Volunteers",""))))))</f>
        <v/>
      </c>
      <c r="H954" s="1" t="n"/>
      <c r="I954">
        <f>IF(ISNUMBER(B954),YEAR(B954),"")</f>
        <v/>
      </c>
      <c r="J954">
        <f>IF(ISNUMBER(B954),YEAR(B954)*100+MONTH(B954),"")</f>
        <v/>
      </c>
      <c r="K954">
        <f>IF(ISNUMBER(B954),INT(B954),0)</f>
        <v/>
      </c>
      <c r="L954">
        <f>IF(AND(ISNUMBER(D954),N(D954)&gt;0),K954,0)</f>
        <v/>
      </c>
    </row>
    <row r="955">
      <c r="A955" s="1" t="n"/>
      <c r="B955" s="21" t="n"/>
      <c r="C955" s="22" t="n"/>
      <c r="D955" s="46" t="n"/>
      <c r="E955" s="25" t="n"/>
      <c r="F955" s="25" t="n"/>
      <c r="G955" s="17">
        <f>IF(AND(C955="",D955=""),"",IF(NOT(ISNUMBER(B955)),"Needs a date",IF(AND(D955&lt;&gt;"",NOT(ISNUMBER(D955))),"Hours not a number",IF(N(D955)&lt;=0,"Needs the hours",IF(C955="","Needs a name",IF(COUNTIF(Volunteers!$B$6:$B$105,C955)=0,"Not on Volunteers",""))))))</f>
        <v/>
      </c>
      <c r="H955" s="1" t="n"/>
      <c r="I955">
        <f>IF(ISNUMBER(B955),YEAR(B955),"")</f>
        <v/>
      </c>
      <c r="J955">
        <f>IF(ISNUMBER(B955),YEAR(B955)*100+MONTH(B955),"")</f>
        <v/>
      </c>
      <c r="K955">
        <f>IF(ISNUMBER(B955),INT(B955),0)</f>
        <v/>
      </c>
      <c r="L955">
        <f>IF(AND(ISNUMBER(D955),N(D955)&gt;0),K955,0)</f>
        <v/>
      </c>
    </row>
    <row r="956">
      <c r="A956" s="1" t="n"/>
      <c r="B956" s="21" t="n"/>
      <c r="C956" s="22" t="n"/>
      <c r="D956" s="46" t="n"/>
      <c r="E956" s="25" t="n"/>
      <c r="F956" s="25" t="n"/>
      <c r="G956" s="17">
        <f>IF(AND(C956="",D956=""),"",IF(NOT(ISNUMBER(B956)),"Needs a date",IF(AND(D956&lt;&gt;"",NOT(ISNUMBER(D956))),"Hours not a number",IF(N(D956)&lt;=0,"Needs the hours",IF(C956="","Needs a name",IF(COUNTIF(Volunteers!$B$6:$B$105,C956)=0,"Not on Volunteers",""))))))</f>
        <v/>
      </c>
      <c r="H956" s="1" t="n"/>
      <c r="I956">
        <f>IF(ISNUMBER(B956),YEAR(B956),"")</f>
        <v/>
      </c>
      <c r="J956">
        <f>IF(ISNUMBER(B956),YEAR(B956)*100+MONTH(B956),"")</f>
        <v/>
      </c>
      <c r="K956">
        <f>IF(ISNUMBER(B956),INT(B956),0)</f>
        <v/>
      </c>
      <c r="L956">
        <f>IF(AND(ISNUMBER(D956),N(D956)&gt;0),K956,0)</f>
        <v/>
      </c>
    </row>
    <row r="957">
      <c r="A957" s="1" t="n"/>
      <c r="B957" s="21" t="n"/>
      <c r="C957" s="22" t="n"/>
      <c r="D957" s="46" t="n"/>
      <c r="E957" s="25" t="n"/>
      <c r="F957" s="25" t="n"/>
      <c r="G957" s="17">
        <f>IF(AND(C957="",D957=""),"",IF(NOT(ISNUMBER(B957)),"Needs a date",IF(AND(D957&lt;&gt;"",NOT(ISNUMBER(D957))),"Hours not a number",IF(N(D957)&lt;=0,"Needs the hours",IF(C957="","Needs a name",IF(COUNTIF(Volunteers!$B$6:$B$105,C957)=0,"Not on Volunteers",""))))))</f>
        <v/>
      </c>
      <c r="H957" s="1" t="n"/>
      <c r="I957">
        <f>IF(ISNUMBER(B957),YEAR(B957),"")</f>
        <v/>
      </c>
      <c r="J957">
        <f>IF(ISNUMBER(B957),YEAR(B957)*100+MONTH(B957),"")</f>
        <v/>
      </c>
      <c r="K957">
        <f>IF(ISNUMBER(B957),INT(B957),0)</f>
        <v/>
      </c>
      <c r="L957">
        <f>IF(AND(ISNUMBER(D957),N(D957)&gt;0),K957,0)</f>
        <v/>
      </c>
    </row>
    <row r="958">
      <c r="A958" s="1" t="n"/>
      <c r="B958" s="21" t="n"/>
      <c r="C958" s="22" t="n"/>
      <c r="D958" s="46" t="n"/>
      <c r="E958" s="25" t="n"/>
      <c r="F958" s="25" t="n"/>
      <c r="G958" s="17">
        <f>IF(AND(C958="",D958=""),"",IF(NOT(ISNUMBER(B958)),"Needs a date",IF(AND(D958&lt;&gt;"",NOT(ISNUMBER(D958))),"Hours not a number",IF(N(D958)&lt;=0,"Needs the hours",IF(C958="","Needs a name",IF(COUNTIF(Volunteers!$B$6:$B$105,C958)=0,"Not on Volunteers",""))))))</f>
        <v/>
      </c>
      <c r="H958" s="1" t="n"/>
      <c r="I958">
        <f>IF(ISNUMBER(B958),YEAR(B958),"")</f>
        <v/>
      </c>
      <c r="J958">
        <f>IF(ISNUMBER(B958),YEAR(B958)*100+MONTH(B958),"")</f>
        <v/>
      </c>
      <c r="K958">
        <f>IF(ISNUMBER(B958),INT(B958),0)</f>
        <v/>
      </c>
      <c r="L958">
        <f>IF(AND(ISNUMBER(D958),N(D958)&gt;0),K958,0)</f>
        <v/>
      </c>
    </row>
    <row r="959">
      <c r="A959" s="1" t="n"/>
      <c r="B959" s="21" t="n"/>
      <c r="C959" s="22" t="n"/>
      <c r="D959" s="46" t="n"/>
      <c r="E959" s="25" t="n"/>
      <c r="F959" s="25" t="n"/>
      <c r="G959" s="17">
        <f>IF(AND(C959="",D959=""),"",IF(NOT(ISNUMBER(B959)),"Needs a date",IF(AND(D959&lt;&gt;"",NOT(ISNUMBER(D959))),"Hours not a number",IF(N(D959)&lt;=0,"Needs the hours",IF(C959="","Needs a name",IF(COUNTIF(Volunteers!$B$6:$B$105,C959)=0,"Not on Volunteers",""))))))</f>
        <v/>
      </c>
      <c r="H959" s="1" t="n"/>
      <c r="I959">
        <f>IF(ISNUMBER(B959),YEAR(B959),"")</f>
        <v/>
      </c>
      <c r="J959">
        <f>IF(ISNUMBER(B959),YEAR(B959)*100+MONTH(B959),"")</f>
        <v/>
      </c>
      <c r="K959">
        <f>IF(ISNUMBER(B959),INT(B959),0)</f>
        <v/>
      </c>
      <c r="L959">
        <f>IF(AND(ISNUMBER(D959),N(D959)&gt;0),K959,0)</f>
        <v/>
      </c>
    </row>
    <row r="960">
      <c r="A960" s="1" t="n"/>
      <c r="B960" s="21" t="n"/>
      <c r="C960" s="22" t="n"/>
      <c r="D960" s="46" t="n"/>
      <c r="E960" s="25" t="n"/>
      <c r="F960" s="25" t="n"/>
      <c r="G960" s="17">
        <f>IF(AND(C960="",D960=""),"",IF(NOT(ISNUMBER(B960)),"Needs a date",IF(AND(D960&lt;&gt;"",NOT(ISNUMBER(D960))),"Hours not a number",IF(N(D960)&lt;=0,"Needs the hours",IF(C960="","Needs a name",IF(COUNTIF(Volunteers!$B$6:$B$105,C960)=0,"Not on Volunteers",""))))))</f>
        <v/>
      </c>
      <c r="H960" s="1" t="n"/>
      <c r="I960">
        <f>IF(ISNUMBER(B960),YEAR(B960),"")</f>
        <v/>
      </c>
      <c r="J960">
        <f>IF(ISNUMBER(B960),YEAR(B960)*100+MONTH(B960),"")</f>
        <v/>
      </c>
      <c r="K960">
        <f>IF(ISNUMBER(B960),INT(B960),0)</f>
        <v/>
      </c>
      <c r="L960">
        <f>IF(AND(ISNUMBER(D960),N(D960)&gt;0),K960,0)</f>
        <v/>
      </c>
    </row>
    <row r="961">
      <c r="A961" s="1" t="n"/>
      <c r="B961" s="21" t="n"/>
      <c r="C961" s="22" t="n"/>
      <c r="D961" s="46" t="n"/>
      <c r="E961" s="25" t="n"/>
      <c r="F961" s="25" t="n"/>
      <c r="G961" s="17">
        <f>IF(AND(C961="",D961=""),"",IF(NOT(ISNUMBER(B961)),"Needs a date",IF(AND(D961&lt;&gt;"",NOT(ISNUMBER(D961))),"Hours not a number",IF(N(D961)&lt;=0,"Needs the hours",IF(C961="","Needs a name",IF(COUNTIF(Volunteers!$B$6:$B$105,C961)=0,"Not on Volunteers",""))))))</f>
        <v/>
      </c>
      <c r="H961" s="1" t="n"/>
      <c r="I961">
        <f>IF(ISNUMBER(B961),YEAR(B961),"")</f>
        <v/>
      </c>
      <c r="J961">
        <f>IF(ISNUMBER(B961),YEAR(B961)*100+MONTH(B961),"")</f>
        <v/>
      </c>
      <c r="K961">
        <f>IF(ISNUMBER(B961),INT(B961),0)</f>
        <v/>
      </c>
      <c r="L961">
        <f>IF(AND(ISNUMBER(D961),N(D961)&gt;0),K961,0)</f>
        <v/>
      </c>
    </row>
    <row r="962">
      <c r="A962" s="1" t="n"/>
      <c r="B962" s="21" t="n"/>
      <c r="C962" s="22" t="n"/>
      <c r="D962" s="46" t="n"/>
      <c r="E962" s="25" t="n"/>
      <c r="F962" s="25" t="n"/>
      <c r="G962" s="17">
        <f>IF(AND(C962="",D962=""),"",IF(NOT(ISNUMBER(B962)),"Needs a date",IF(AND(D962&lt;&gt;"",NOT(ISNUMBER(D962))),"Hours not a number",IF(N(D962)&lt;=0,"Needs the hours",IF(C962="","Needs a name",IF(COUNTIF(Volunteers!$B$6:$B$105,C962)=0,"Not on Volunteers",""))))))</f>
        <v/>
      </c>
      <c r="H962" s="1" t="n"/>
      <c r="I962">
        <f>IF(ISNUMBER(B962),YEAR(B962),"")</f>
        <v/>
      </c>
      <c r="J962">
        <f>IF(ISNUMBER(B962),YEAR(B962)*100+MONTH(B962),"")</f>
        <v/>
      </c>
      <c r="K962">
        <f>IF(ISNUMBER(B962),INT(B962),0)</f>
        <v/>
      </c>
      <c r="L962">
        <f>IF(AND(ISNUMBER(D962),N(D962)&gt;0),K962,0)</f>
        <v/>
      </c>
    </row>
    <row r="963">
      <c r="A963" s="1" t="n"/>
      <c r="B963" s="21" t="n"/>
      <c r="C963" s="22" t="n"/>
      <c r="D963" s="46" t="n"/>
      <c r="E963" s="25" t="n"/>
      <c r="F963" s="25" t="n"/>
      <c r="G963" s="17">
        <f>IF(AND(C963="",D963=""),"",IF(NOT(ISNUMBER(B963)),"Needs a date",IF(AND(D963&lt;&gt;"",NOT(ISNUMBER(D963))),"Hours not a number",IF(N(D963)&lt;=0,"Needs the hours",IF(C963="","Needs a name",IF(COUNTIF(Volunteers!$B$6:$B$105,C963)=0,"Not on Volunteers",""))))))</f>
        <v/>
      </c>
      <c r="H963" s="1" t="n"/>
      <c r="I963">
        <f>IF(ISNUMBER(B963),YEAR(B963),"")</f>
        <v/>
      </c>
      <c r="J963">
        <f>IF(ISNUMBER(B963),YEAR(B963)*100+MONTH(B963),"")</f>
        <v/>
      </c>
      <c r="K963">
        <f>IF(ISNUMBER(B963),INT(B963),0)</f>
        <v/>
      </c>
      <c r="L963">
        <f>IF(AND(ISNUMBER(D963),N(D963)&gt;0),K963,0)</f>
        <v/>
      </c>
    </row>
    <row r="964">
      <c r="A964" s="1" t="n"/>
      <c r="B964" s="21" t="n"/>
      <c r="C964" s="22" t="n"/>
      <c r="D964" s="46" t="n"/>
      <c r="E964" s="25" t="n"/>
      <c r="F964" s="25" t="n"/>
      <c r="G964" s="17">
        <f>IF(AND(C964="",D964=""),"",IF(NOT(ISNUMBER(B964)),"Needs a date",IF(AND(D964&lt;&gt;"",NOT(ISNUMBER(D964))),"Hours not a number",IF(N(D964)&lt;=0,"Needs the hours",IF(C964="","Needs a name",IF(COUNTIF(Volunteers!$B$6:$B$105,C964)=0,"Not on Volunteers",""))))))</f>
        <v/>
      </c>
      <c r="H964" s="1" t="n"/>
      <c r="I964">
        <f>IF(ISNUMBER(B964),YEAR(B964),"")</f>
        <v/>
      </c>
      <c r="J964">
        <f>IF(ISNUMBER(B964),YEAR(B964)*100+MONTH(B964),"")</f>
        <v/>
      </c>
      <c r="K964">
        <f>IF(ISNUMBER(B964),INT(B964),0)</f>
        <v/>
      </c>
      <c r="L964">
        <f>IF(AND(ISNUMBER(D964),N(D964)&gt;0),K964,0)</f>
        <v/>
      </c>
    </row>
    <row r="965">
      <c r="A965" s="1" t="n"/>
      <c r="B965" s="21" t="n"/>
      <c r="C965" s="22" t="n"/>
      <c r="D965" s="46" t="n"/>
      <c r="E965" s="25" t="n"/>
      <c r="F965" s="25" t="n"/>
      <c r="G965" s="17">
        <f>IF(AND(C965="",D965=""),"",IF(NOT(ISNUMBER(B965)),"Needs a date",IF(AND(D965&lt;&gt;"",NOT(ISNUMBER(D965))),"Hours not a number",IF(N(D965)&lt;=0,"Needs the hours",IF(C965="","Needs a name",IF(COUNTIF(Volunteers!$B$6:$B$105,C965)=0,"Not on Volunteers",""))))))</f>
        <v/>
      </c>
      <c r="H965" s="1" t="n"/>
      <c r="I965">
        <f>IF(ISNUMBER(B965),YEAR(B965),"")</f>
        <v/>
      </c>
      <c r="J965">
        <f>IF(ISNUMBER(B965),YEAR(B965)*100+MONTH(B965),"")</f>
        <v/>
      </c>
      <c r="K965">
        <f>IF(ISNUMBER(B965),INT(B965),0)</f>
        <v/>
      </c>
      <c r="L965">
        <f>IF(AND(ISNUMBER(D965),N(D965)&gt;0),K965,0)</f>
        <v/>
      </c>
    </row>
    <row r="966">
      <c r="A966" s="1" t="n"/>
      <c r="B966" s="21" t="n"/>
      <c r="C966" s="22" t="n"/>
      <c r="D966" s="46" t="n"/>
      <c r="E966" s="25" t="n"/>
      <c r="F966" s="25" t="n"/>
      <c r="G966" s="17">
        <f>IF(AND(C966="",D966=""),"",IF(NOT(ISNUMBER(B966)),"Needs a date",IF(AND(D966&lt;&gt;"",NOT(ISNUMBER(D966))),"Hours not a number",IF(N(D966)&lt;=0,"Needs the hours",IF(C966="","Needs a name",IF(COUNTIF(Volunteers!$B$6:$B$105,C966)=0,"Not on Volunteers",""))))))</f>
        <v/>
      </c>
      <c r="H966" s="1" t="n"/>
      <c r="I966">
        <f>IF(ISNUMBER(B966),YEAR(B966),"")</f>
        <v/>
      </c>
      <c r="J966">
        <f>IF(ISNUMBER(B966),YEAR(B966)*100+MONTH(B966),"")</f>
        <v/>
      </c>
      <c r="K966">
        <f>IF(ISNUMBER(B966),INT(B966),0)</f>
        <v/>
      </c>
      <c r="L966">
        <f>IF(AND(ISNUMBER(D966),N(D966)&gt;0),K966,0)</f>
        <v/>
      </c>
    </row>
    <row r="967">
      <c r="A967" s="1" t="n"/>
      <c r="B967" s="21" t="n"/>
      <c r="C967" s="22" t="n"/>
      <c r="D967" s="46" t="n"/>
      <c r="E967" s="25" t="n"/>
      <c r="F967" s="25" t="n"/>
      <c r="G967" s="17">
        <f>IF(AND(C967="",D967=""),"",IF(NOT(ISNUMBER(B967)),"Needs a date",IF(AND(D967&lt;&gt;"",NOT(ISNUMBER(D967))),"Hours not a number",IF(N(D967)&lt;=0,"Needs the hours",IF(C967="","Needs a name",IF(COUNTIF(Volunteers!$B$6:$B$105,C967)=0,"Not on Volunteers",""))))))</f>
        <v/>
      </c>
      <c r="H967" s="1" t="n"/>
      <c r="I967">
        <f>IF(ISNUMBER(B967),YEAR(B967),"")</f>
        <v/>
      </c>
      <c r="J967">
        <f>IF(ISNUMBER(B967),YEAR(B967)*100+MONTH(B967),"")</f>
        <v/>
      </c>
      <c r="K967">
        <f>IF(ISNUMBER(B967),INT(B967),0)</f>
        <v/>
      </c>
      <c r="L967">
        <f>IF(AND(ISNUMBER(D967),N(D967)&gt;0),K967,0)</f>
        <v/>
      </c>
    </row>
    <row r="968">
      <c r="A968" s="1" t="n"/>
      <c r="B968" s="21" t="n"/>
      <c r="C968" s="22" t="n"/>
      <c r="D968" s="46" t="n"/>
      <c r="E968" s="25" t="n"/>
      <c r="F968" s="25" t="n"/>
      <c r="G968" s="17">
        <f>IF(AND(C968="",D968=""),"",IF(NOT(ISNUMBER(B968)),"Needs a date",IF(AND(D968&lt;&gt;"",NOT(ISNUMBER(D968))),"Hours not a number",IF(N(D968)&lt;=0,"Needs the hours",IF(C968="","Needs a name",IF(COUNTIF(Volunteers!$B$6:$B$105,C968)=0,"Not on Volunteers",""))))))</f>
        <v/>
      </c>
      <c r="H968" s="1" t="n"/>
      <c r="I968">
        <f>IF(ISNUMBER(B968),YEAR(B968),"")</f>
        <v/>
      </c>
      <c r="J968">
        <f>IF(ISNUMBER(B968),YEAR(B968)*100+MONTH(B968),"")</f>
        <v/>
      </c>
      <c r="K968">
        <f>IF(ISNUMBER(B968),INT(B968),0)</f>
        <v/>
      </c>
      <c r="L968">
        <f>IF(AND(ISNUMBER(D968),N(D968)&gt;0),K968,0)</f>
        <v/>
      </c>
    </row>
    <row r="969">
      <c r="A969" s="1" t="n"/>
      <c r="B969" s="21" t="n"/>
      <c r="C969" s="22" t="n"/>
      <c r="D969" s="46" t="n"/>
      <c r="E969" s="25" t="n"/>
      <c r="F969" s="25" t="n"/>
      <c r="G969" s="17">
        <f>IF(AND(C969="",D969=""),"",IF(NOT(ISNUMBER(B969)),"Needs a date",IF(AND(D969&lt;&gt;"",NOT(ISNUMBER(D969))),"Hours not a number",IF(N(D969)&lt;=0,"Needs the hours",IF(C969="","Needs a name",IF(COUNTIF(Volunteers!$B$6:$B$105,C969)=0,"Not on Volunteers",""))))))</f>
        <v/>
      </c>
      <c r="H969" s="1" t="n"/>
      <c r="I969">
        <f>IF(ISNUMBER(B969),YEAR(B969),"")</f>
        <v/>
      </c>
      <c r="J969">
        <f>IF(ISNUMBER(B969),YEAR(B969)*100+MONTH(B969),"")</f>
        <v/>
      </c>
      <c r="K969">
        <f>IF(ISNUMBER(B969),INT(B969),0)</f>
        <v/>
      </c>
      <c r="L969">
        <f>IF(AND(ISNUMBER(D969),N(D969)&gt;0),K969,0)</f>
        <v/>
      </c>
    </row>
    <row r="970">
      <c r="A970" s="1" t="n"/>
      <c r="B970" s="21" t="n"/>
      <c r="C970" s="22" t="n"/>
      <c r="D970" s="46" t="n"/>
      <c r="E970" s="25" t="n"/>
      <c r="F970" s="25" t="n"/>
      <c r="G970" s="17">
        <f>IF(AND(C970="",D970=""),"",IF(NOT(ISNUMBER(B970)),"Needs a date",IF(AND(D970&lt;&gt;"",NOT(ISNUMBER(D970))),"Hours not a number",IF(N(D970)&lt;=0,"Needs the hours",IF(C970="","Needs a name",IF(COUNTIF(Volunteers!$B$6:$B$105,C970)=0,"Not on Volunteers",""))))))</f>
        <v/>
      </c>
      <c r="H970" s="1" t="n"/>
      <c r="I970">
        <f>IF(ISNUMBER(B970),YEAR(B970),"")</f>
        <v/>
      </c>
      <c r="J970">
        <f>IF(ISNUMBER(B970),YEAR(B970)*100+MONTH(B970),"")</f>
        <v/>
      </c>
      <c r="K970">
        <f>IF(ISNUMBER(B970),INT(B970),0)</f>
        <v/>
      </c>
      <c r="L970">
        <f>IF(AND(ISNUMBER(D970),N(D970)&gt;0),K970,0)</f>
        <v/>
      </c>
    </row>
    <row r="971">
      <c r="A971" s="1" t="n"/>
      <c r="B971" s="21" t="n"/>
      <c r="C971" s="22" t="n"/>
      <c r="D971" s="46" t="n"/>
      <c r="E971" s="25" t="n"/>
      <c r="F971" s="25" t="n"/>
      <c r="G971" s="17">
        <f>IF(AND(C971="",D971=""),"",IF(NOT(ISNUMBER(B971)),"Needs a date",IF(AND(D971&lt;&gt;"",NOT(ISNUMBER(D971))),"Hours not a number",IF(N(D971)&lt;=0,"Needs the hours",IF(C971="","Needs a name",IF(COUNTIF(Volunteers!$B$6:$B$105,C971)=0,"Not on Volunteers",""))))))</f>
        <v/>
      </c>
      <c r="H971" s="1" t="n"/>
      <c r="I971">
        <f>IF(ISNUMBER(B971),YEAR(B971),"")</f>
        <v/>
      </c>
      <c r="J971">
        <f>IF(ISNUMBER(B971),YEAR(B971)*100+MONTH(B971),"")</f>
        <v/>
      </c>
      <c r="K971">
        <f>IF(ISNUMBER(B971),INT(B971),0)</f>
        <v/>
      </c>
      <c r="L971">
        <f>IF(AND(ISNUMBER(D971),N(D971)&gt;0),K971,0)</f>
        <v/>
      </c>
    </row>
    <row r="972">
      <c r="A972" s="1" t="n"/>
      <c r="B972" s="21" t="n"/>
      <c r="C972" s="22" t="n"/>
      <c r="D972" s="46" t="n"/>
      <c r="E972" s="25" t="n"/>
      <c r="F972" s="25" t="n"/>
      <c r="G972" s="17">
        <f>IF(AND(C972="",D972=""),"",IF(NOT(ISNUMBER(B972)),"Needs a date",IF(AND(D972&lt;&gt;"",NOT(ISNUMBER(D972))),"Hours not a number",IF(N(D972)&lt;=0,"Needs the hours",IF(C972="","Needs a name",IF(COUNTIF(Volunteers!$B$6:$B$105,C972)=0,"Not on Volunteers",""))))))</f>
        <v/>
      </c>
      <c r="H972" s="1" t="n"/>
      <c r="I972">
        <f>IF(ISNUMBER(B972),YEAR(B972),"")</f>
        <v/>
      </c>
      <c r="J972">
        <f>IF(ISNUMBER(B972),YEAR(B972)*100+MONTH(B972),"")</f>
        <v/>
      </c>
      <c r="K972">
        <f>IF(ISNUMBER(B972),INT(B972),0)</f>
        <v/>
      </c>
      <c r="L972">
        <f>IF(AND(ISNUMBER(D972),N(D972)&gt;0),K972,0)</f>
        <v/>
      </c>
    </row>
    <row r="973">
      <c r="A973" s="1" t="n"/>
      <c r="B973" s="21" t="n"/>
      <c r="C973" s="22" t="n"/>
      <c r="D973" s="46" t="n"/>
      <c r="E973" s="25" t="n"/>
      <c r="F973" s="25" t="n"/>
      <c r="G973" s="17">
        <f>IF(AND(C973="",D973=""),"",IF(NOT(ISNUMBER(B973)),"Needs a date",IF(AND(D973&lt;&gt;"",NOT(ISNUMBER(D973))),"Hours not a number",IF(N(D973)&lt;=0,"Needs the hours",IF(C973="","Needs a name",IF(COUNTIF(Volunteers!$B$6:$B$105,C973)=0,"Not on Volunteers",""))))))</f>
        <v/>
      </c>
      <c r="H973" s="1" t="n"/>
      <c r="I973">
        <f>IF(ISNUMBER(B973),YEAR(B973),"")</f>
        <v/>
      </c>
      <c r="J973">
        <f>IF(ISNUMBER(B973),YEAR(B973)*100+MONTH(B973),"")</f>
        <v/>
      </c>
      <c r="K973">
        <f>IF(ISNUMBER(B973),INT(B973),0)</f>
        <v/>
      </c>
      <c r="L973">
        <f>IF(AND(ISNUMBER(D973),N(D973)&gt;0),K973,0)</f>
        <v/>
      </c>
    </row>
    <row r="974">
      <c r="A974" s="1" t="n"/>
      <c r="B974" s="21" t="n"/>
      <c r="C974" s="22" t="n"/>
      <c r="D974" s="46" t="n"/>
      <c r="E974" s="25" t="n"/>
      <c r="F974" s="25" t="n"/>
      <c r="G974" s="17">
        <f>IF(AND(C974="",D974=""),"",IF(NOT(ISNUMBER(B974)),"Needs a date",IF(AND(D974&lt;&gt;"",NOT(ISNUMBER(D974))),"Hours not a number",IF(N(D974)&lt;=0,"Needs the hours",IF(C974="","Needs a name",IF(COUNTIF(Volunteers!$B$6:$B$105,C974)=0,"Not on Volunteers",""))))))</f>
        <v/>
      </c>
      <c r="H974" s="1" t="n"/>
      <c r="I974">
        <f>IF(ISNUMBER(B974),YEAR(B974),"")</f>
        <v/>
      </c>
      <c r="J974">
        <f>IF(ISNUMBER(B974),YEAR(B974)*100+MONTH(B974),"")</f>
        <v/>
      </c>
      <c r="K974">
        <f>IF(ISNUMBER(B974),INT(B974),0)</f>
        <v/>
      </c>
      <c r="L974">
        <f>IF(AND(ISNUMBER(D974),N(D974)&gt;0),K974,0)</f>
        <v/>
      </c>
    </row>
    <row r="975">
      <c r="A975" s="1" t="n"/>
      <c r="B975" s="21" t="n"/>
      <c r="C975" s="22" t="n"/>
      <c r="D975" s="46" t="n"/>
      <c r="E975" s="25" t="n"/>
      <c r="F975" s="25" t="n"/>
      <c r="G975" s="17">
        <f>IF(AND(C975="",D975=""),"",IF(NOT(ISNUMBER(B975)),"Needs a date",IF(AND(D975&lt;&gt;"",NOT(ISNUMBER(D975))),"Hours not a number",IF(N(D975)&lt;=0,"Needs the hours",IF(C975="","Needs a name",IF(COUNTIF(Volunteers!$B$6:$B$105,C975)=0,"Not on Volunteers",""))))))</f>
        <v/>
      </c>
      <c r="H975" s="1" t="n"/>
      <c r="I975">
        <f>IF(ISNUMBER(B975),YEAR(B975),"")</f>
        <v/>
      </c>
      <c r="J975">
        <f>IF(ISNUMBER(B975),YEAR(B975)*100+MONTH(B975),"")</f>
        <v/>
      </c>
      <c r="K975">
        <f>IF(ISNUMBER(B975),INT(B975),0)</f>
        <v/>
      </c>
      <c r="L975">
        <f>IF(AND(ISNUMBER(D975),N(D975)&gt;0),K975,0)</f>
        <v/>
      </c>
    </row>
    <row r="976">
      <c r="A976" s="1" t="n"/>
      <c r="B976" s="21" t="n"/>
      <c r="C976" s="22" t="n"/>
      <c r="D976" s="46" t="n"/>
      <c r="E976" s="25" t="n"/>
      <c r="F976" s="25" t="n"/>
      <c r="G976" s="17">
        <f>IF(AND(C976="",D976=""),"",IF(NOT(ISNUMBER(B976)),"Needs a date",IF(AND(D976&lt;&gt;"",NOT(ISNUMBER(D976))),"Hours not a number",IF(N(D976)&lt;=0,"Needs the hours",IF(C976="","Needs a name",IF(COUNTIF(Volunteers!$B$6:$B$105,C976)=0,"Not on Volunteers",""))))))</f>
        <v/>
      </c>
      <c r="H976" s="1" t="n"/>
      <c r="I976">
        <f>IF(ISNUMBER(B976),YEAR(B976),"")</f>
        <v/>
      </c>
      <c r="J976">
        <f>IF(ISNUMBER(B976),YEAR(B976)*100+MONTH(B976),"")</f>
        <v/>
      </c>
      <c r="K976">
        <f>IF(ISNUMBER(B976),INT(B976),0)</f>
        <v/>
      </c>
      <c r="L976">
        <f>IF(AND(ISNUMBER(D976),N(D976)&gt;0),K976,0)</f>
        <v/>
      </c>
    </row>
    <row r="977">
      <c r="A977" s="1" t="n"/>
      <c r="B977" s="21" t="n"/>
      <c r="C977" s="22" t="n"/>
      <c r="D977" s="46" t="n"/>
      <c r="E977" s="25" t="n"/>
      <c r="F977" s="25" t="n"/>
      <c r="G977" s="17">
        <f>IF(AND(C977="",D977=""),"",IF(NOT(ISNUMBER(B977)),"Needs a date",IF(AND(D977&lt;&gt;"",NOT(ISNUMBER(D977))),"Hours not a number",IF(N(D977)&lt;=0,"Needs the hours",IF(C977="","Needs a name",IF(COUNTIF(Volunteers!$B$6:$B$105,C977)=0,"Not on Volunteers",""))))))</f>
        <v/>
      </c>
      <c r="H977" s="1" t="n"/>
      <c r="I977">
        <f>IF(ISNUMBER(B977),YEAR(B977),"")</f>
        <v/>
      </c>
      <c r="J977">
        <f>IF(ISNUMBER(B977),YEAR(B977)*100+MONTH(B977),"")</f>
        <v/>
      </c>
      <c r="K977">
        <f>IF(ISNUMBER(B977),INT(B977),0)</f>
        <v/>
      </c>
      <c r="L977">
        <f>IF(AND(ISNUMBER(D977),N(D977)&gt;0),K977,0)</f>
        <v/>
      </c>
    </row>
    <row r="978">
      <c r="A978" s="1" t="n"/>
      <c r="B978" s="21" t="n"/>
      <c r="C978" s="22" t="n"/>
      <c r="D978" s="46" t="n"/>
      <c r="E978" s="25" t="n"/>
      <c r="F978" s="25" t="n"/>
      <c r="G978" s="17">
        <f>IF(AND(C978="",D978=""),"",IF(NOT(ISNUMBER(B978)),"Needs a date",IF(AND(D978&lt;&gt;"",NOT(ISNUMBER(D978))),"Hours not a number",IF(N(D978)&lt;=0,"Needs the hours",IF(C978="","Needs a name",IF(COUNTIF(Volunteers!$B$6:$B$105,C978)=0,"Not on Volunteers",""))))))</f>
        <v/>
      </c>
      <c r="H978" s="1" t="n"/>
      <c r="I978">
        <f>IF(ISNUMBER(B978),YEAR(B978),"")</f>
        <v/>
      </c>
      <c r="J978">
        <f>IF(ISNUMBER(B978),YEAR(B978)*100+MONTH(B978),"")</f>
        <v/>
      </c>
      <c r="K978">
        <f>IF(ISNUMBER(B978),INT(B978),0)</f>
        <v/>
      </c>
      <c r="L978">
        <f>IF(AND(ISNUMBER(D978),N(D978)&gt;0),K978,0)</f>
        <v/>
      </c>
    </row>
    <row r="979">
      <c r="A979" s="1" t="n"/>
      <c r="B979" s="21" t="n"/>
      <c r="C979" s="22" t="n"/>
      <c r="D979" s="46" t="n"/>
      <c r="E979" s="25" t="n"/>
      <c r="F979" s="25" t="n"/>
      <c r="G979" s="17">
        <f>IF(AND(C979="",D979=""),"",IF(NOT(ISNUMBER(B979)),"Needs a date",IF(AND(D979&lt;&gt;"",NOT(ISNUMBER(D979))),"Hours not a number",IF(N(D979)&lt;=0,"Needs the hours",IF(C979="","Needs a name",IF(COUNTIF(Volunteers!$B$6:$B$105,C979)=0,"Not on Volunteers",""))))))</f>
        <v/>
      </c>
      <c r="H979" s="1" t="n"/>
      <c r="I979">
        <f>IF(ISNUMBER(B979),YEAR(B979),"")</f>
        <v/>
      </c>
      <c r="J979">
        <f>IF(ISNUMBER(B979),YEAR(B979)*100+MONTH(B979),"")</f>
        <v/>
      </c>
      <c r="K979">
        <f>IF(ISNUMBER(B979),INT(B979),0)</f>
        <v/>
      </c>
      <c r="L979">
        <f>IF(AND(ISNUMBER(D979),N(D979)&gt;0),K979,0)</f>
        <v/>
      </c>
    </row>
    <row r="980">
      <c r="A980" s="1" t="n"/>
      <c r="B980" s="21" t="n"/>
      <c r="C980" s="22" t="n"/>
      <c r="D980" s="46" t="n"/>
      <c r="E980" s="25" t="n"/>
      <c r="F980" s="25" t="n"/>
      <c r="G980" s="17">
        <f>IF(AND(C980="",D980=""),"",IF(NOT(ISNUMBER(B980)),"Needs a date",IF(AND(D980&lt;&gt;"",NOT(ISNUMBER(D980))),"Hours not a number",IF(N(D980)&lt;=0,"Needs the hours",IF(C980="","Needs a name",IF(COUNTIF(Volunteers!$B$6:$B$105,C980)=0,"Not on Volunteers",""))))))</f>
        <v/>
      </c>
      <c r="H980" s="1" t="n"/>
      <c r="I980">
        <f>IF(ISNUMBER(B980),YEAR(B980),"")</f>
        <v/>
      </c>
      <c r="J980">
        <f>IF(ISNUMBER(B980),YEAR(B980)*100+MONTH(B980),"")</f>
        <v/>
      </c>
      <c r="K980">
        <f>IF(ISNUMBER(B980),INT(B980),0)</f>
        <v/>
      </c>
      <c r="L980">
        <f>IF(AND(ISNUMBER(D980),N(D980)&gt;0),K980,0)</f>
        <v/>
      </c>
    </row>
    <row r="981">
      <c r="A981" s="1" t="n"/>
      <c r="B981" s="21" t="n"/>
      <c r="C981" s="22" t="n"/>
      <c r="D981" s="46" t="n"/>
      <c r="E981" s="25" t="n"/>
      <c r="F981" s="25" t="n"/>
      <c r="G981" s="17">
        <f>IF(AND(C981="",D981=""),"",IF(NOT(ISNUMBER(B981)),"Needs a date",IF(AND(D981&lt;&gt;"",NOT(ISNUMBER(D981))),"Hours not a number",IF(N(D981)&lt;=0,"Needs the hours",IF(C981="","Needs a name",IF(COUNTIF(Volunteers!$B$6:$B$105,C981)=0,"Not on Volunteers",""))))))</f>
        <v/>
      </c>
      <c r="H981" s="1" t="n"/>
      <c r="I981">
        <f>IF(ISNUMBER(B981),YEAR(B981),"")</f>
        <v/>
      </c>
      <c r="J981">
        <f>IF(ISNUMBER(B981),YEAR(B981)*100+MONTH(B981),"")</f>
        <v/>
      </c>
      <c r="K981">
        <f>IF(ISNUMBER(B981),INT(B981),0)</f>
        <v/>
      </c>
      <c r="L981">
        <f>IF(AND(ISNUMBER(D981),N(D981)&gt;0),K981,0)</f>
        <v/>
      </c>
    </row>
    <row r="982">
      <c r="A982" s="1" t="n"/>
      <c r="B982" s="21" t="n"/>
      <c r="C982" s="22" t="n"/>
      <c r="D982" s="46" t="n"/>
      <c r="E982" s="25" t="n"/>
      <c r="F982" s="25" t="n"/>
      <c r="G982" s="17">
        <f>IF(AND(C982="",D982=""),"",IF(NOT(ISNUMBER(B982)),"Needs a date",IF(AND(D982&lt;&gt;"",NOT(ISNUMBER(D982))),"Hours not a number",IF(N(D982)&lt;=0,"Needs the hours",IF(C982="","Needs a name",IF(COUNTIF(Volunteers!$B$6:$B$105,C982)=0,"Not on Volunteers",""))))))</f>
        <v/>
      </c>
      <c r="H982" s="1" t="n"/>
      <c r="I982">
        <f>IF(ISNUMBER(B982),YEAR(B982),"")</f>
        <v/>
      </c>
      <c r="J982">
        <f>IF(ISNUMBER(B982),YEAR(B982)*100+MONTH(B982),"")</f>
        <v/>
      </c>
      <c r="K982">
        <f>IF(ISNUMBER(B982),INT(B982),0)</f>
        <v/>
      </c>
      <c r="L982">
        <f>IF(AND(ISNUMBER(D982),N(D982)&gt;0),K982,0)</f>
        <v/>
      </c>
    </row>
    <row r="983">
      <c r="A983" s="1" t="n"/>
      <c r="B983" s="21" t="n"/>
      <c r="C983" s="22" t="n"/>
      <c r="D983" s="46" t="n"/>
      <c r="E983" s="25" t="n"/>
      <c r="F983" s="25" t="n"/>
      <c r="G983" s="17">
        <f>IF(AND(C983="",D983=""),"",IF(NOT(ISNUMBER(B983)),"Needs a date",IF(AND(D983&lt;&gt;"",NOT(ISNUMBER(D983))),"Hours not a number",IF(N(D983)&lt;=0,"Needs the hours",IF(C983="","Needs a name",IF(COUNTIF(Volunteers!$B$6:$B$105,C983)=0,"Not on Volunteers",""))))))</f>
        <v/>
      </c>
      <c r="H983" s="1" t="n"/>
      <c r="I983">
        <f>IF(ISNUMBER(B983),YEAR(B983),"")</f>
        <v/>
      </c>
      <c r="J983">
        <f>IF(ISNUMBER(B983),YEAR(B983)*100+MONTH(B983),"")</f>
        <v/>
      </c>
      <c r="K983">
        <f>IF(ISNUMBER(B983),INT(B983),0)</f>
        <v/>
      </c>
      <c r="L983">
        <f>IF(AND(ISNUMBER(D983),N(D983)&gt;0),K983,0)</f>
        <v/>
      </c>
    </row>
    <row r="984">
      <c r="A984" s="1" t="n"/>
      <c r="B984" s="21" t="n"/>
      <c r="C984" s="22" t="n"/>
      <c r="D984" s="46" t="n"/>
      <c r="E984" s="25" t="n"/>
      <c r="F984" s="25" t="n"/>
      <c r="G984" s="17">
        <f>IF(AND(C984="",D984=""),"",IF(NOT(ISNUMBER(B984)),"Needs a date",IF(AND(D984&lt;&gt;"",NOT(ISNUMBER(D984))),"Hours not a number",IF(N(D984)&lt;=0,"Needs the hours",IF(C984="","Needs a name",IF(COUNTIF(Volunteers!$B$6:$B$105,C984)=0,"Not on Volunteers",""))))))</f>
        <v/>
      </c>
      <c r="H984" s="1" t="n"/>
      <c r="I984">
        <f>IF(ISNUMBER(B984),YEAR(B984),"")</f>
        <v/>
      </c>
      <c r="J984">
        <f>IF(ISNUMBER(B984),YEAR(B984)*100+MONTH(B984),"")</f>
        <v/>
      </c>
      <c r="K984">
        <f>IF(ISNUMBER(B984),INT(B984),0)</f>
        <v/>
      </c>
      <c r="L984">
        <f>IF(AND(ISNUMBER(D984),N(D984)&gt;0),K984,0)</f>
        <v/>
      </c>
    </row>
    <row r="985">
      <c r="A985" s="1" t="n"/>
      <c r="B985" s="21" t="n"/>
      <c r="C985" s="22" t="n"/>
      <c r="D985" s="46" t="n"/>
      <c r="E985" s="25" t="n"/>
      <c r="F985" s="25" t="n"/>
      <c r="G985" s="17">
        <f>IF(AND(C985="",D985=""),"",IF(NOT(ISNUMBER(B985)),"Needs a date",IF(AND(D985&lt;&gt;"",NOT(ISNUMBER(D985))),"Hours not a number",IF(N(D985)&lt;=0,"Needs the hours",IF(C985="","Needs a name",IF(COUNTIF(Volunteers!$B$6:$B$105,C985)=0,"Not on Volunteers",""))))))</f>
        <v/>
      </c>
      <c r="H985" s="1" t="n"/>
      <c r="I985">
        <f>IF(ISNUMBER(B985),YEAR(B985),"")</f>
        <v/>
      </c>
      <c r="J985">
        <f>IF(ISNUMBER(B985),YEAR(B985)*100+MONTH(B985),"")</f>
        <v/>
      </c>
      <c r="K985">
        <f>IF(ISNUMBER(B985),INT(B985),0)</f>
        <v/>
      </c>
      <c r="L985">
        <f>IF(AND(ISNUMBER(D985),N(D985)&gt;0),K985,0)</f>
        <v/>
      </c>
    </row>
    <row r="986">
      <c r="A986" s="1" t="n"/>
      <c r="B986" s="21" t="n"/>
      <c r="C986" s="22" t="n"/>
      <c r="D986" s="46" t="n"/>
      <c r="E986" s="25" t="n"/>
      <c r="F986" s="25" t="n"/>
      <c r="G986" s="17">
        <f>IF(AND(C986="",D986=""),"",IF(NOT(ISNUMBER(B986)),"Needs a date",IF(AND(D986&lt;&gt;"",NOT(ISNUMBER(D986))),"Hours not a number",IF(N(D986)&lt;=0,"Needs the hours",IF(C986="","Needs a name",IF(COUNTIF(Volunteers!$B$6:$B$105,C986)=0,"Not on Volunteers",""))))))</f>
        <v/>
      </c>
      <c r="H986" s="1" t="n"/>
      <c r="I986">
        <f>IF(ISNUMBER(B986),YEAR(B986),"")</f>
        <v/>
      </c>
      <c r="J986">
        <f>IF(ISNUMBER(B986),YEAR(B986)*100+MONTH(B986),"")</f>
        <v/>
      </c>
      <c r="K986">
        <f>IF(ISNUMBER(B986),INT(B986),0)</f>
        <v/>
      </c>
      <c r="L986">
        <f>IF(AND(ISNUMBER(D986),N(D986)&gt;0),K986,0)</f>
        <v/>
      </c>
    </row>
    <row r="987">
      <c r="A987" s="1" t="n"/>
      <c r="B987" s="21" t="n"/>
      <c r="C987" s="22" t="n"/>
      <c r="D987" s="46" t="n"/>
      <c r="E987" s="25" t="n"/>
      <c r="F987" s="25" t="n"/>
      <c r="G987" s="17">
        <f>IF(AND(C987="",D987=""),"",IF(NOT(ISNUMBER(B987)),"Needs a date",IF(AND(D987&lt;&gt;"",NOT(ISNUMBER(D987))),"Hours not a number",IF(N(D987)&lt;=0,"Needs the hours",IF(C987="","Needs a name",IF(COUNTIF(Volunteers!$B$6:$B$105,C987)=0,"Not on Volunteers",""))))))</f>
        <v/>
      </c>
      <c r="H987" s="1" t="n"/>
      <c r="I987">
        <f>IF(ISNUMBER(B987),YEAR(B987),"")</f>
        <v/>
      </c>
      <c r="J987">
        <f>IF(ISNUMBER(B987),YEAR(B987)*100+MONTH(B987),"")</f>
        <v/>
      </c>
      <c r="K987">
        <f>IF(ISNUMBER(B987),INT(B987),0)</f>
        <v/>
      </c>
      <c r="L987">
        <f>IF(AND(ISNUMBER(D987),N(D987)&gt;0),K987,0)</f>
        <v/>
      </c>
    </row>
    <row r="988">
      <c r="A988" s="1" t="n"/>
      <c r="B988" s="21" t="n"/>
      <c r="C988" s="22" t="n"/>
      <c r="D988" s="46" t="n"/>
      <c r="E988" s="25" t="n"/>
      <c r="F988" s="25" t="n"/>
      <c r="G988" s="17">
        <f>IF(AND(C988="",D988=""),"",IF(NOT(ISNUMBER(B988)),"Needs a date",IF(AND(D988&lt;&gt;"",NOT(ISNUMBER(D988))),"Hours not a number",IF(N(D988)&lt;=0,"Needs the hours",IF(C988="","Needs a name",IF(COUNTIF(Volunteers!$B$6:$B$105,C988)=0,"Not on Volunteers",""))))))</f>
        <v/>
      </c>
      <c r="H988" s="1" t="n"/>
      <c r="I988">
        <f>IF(ISNUMBER(B988),YEAR(B988),"")</f>
        <v/>
      </c>
      <c r="J988">
        <f>IF(ISNUMBER(B988),YEAR(B988)*100+MONTH(B988),"")</f>
        <v/>
      </c>
      <c r="K988">
        <f>IF(ISNUMBER(B988),INT(B988),0)</f>
        <v/>
      </c>
      <c r="L988">
        <f>IF(AND(ISNUMBER(D988),N(D988)&gt;0),K988,0)</f>
        <v/>
      </c>
    </row>
    <row r="989">
      <c r="A989" s="1" t="n"/>
      <c r="B989" s="21" t="n"/>
      <c r="C989" s="22" t="n"/>
      <c r="D989" s="46" t="n"/>
      <c r="E989" s="25" t="n"/>
      <c r="F989" s="25" t="n"/>
      <c r="G989" s="17">
        <f>IF(AND(C989="",D989=""),"",IF(NOT(ISNUMBER(B989)),"Needs a date",IF(AND(D989&lt;&gt;"",NOT(ISNUMBER(D989))),"Hours not a number",IF(N(D989)&lt;=0,"Needs the hours",IF(C989="","Needs a name",IF(COUNTIF(Volunteers!$B$6:$B$105,C989)=0,"Not on Volunteers",""))))))</f>
        <v/>
      </c>
      <c r="H989" s="1" t="n"/>
      <c r="I989">
        <f>IF(ISNUMBER(B989),YEAR(B989),"")</f>
        <v/>
      </c>
      <c r="J989">
        <f>IF(ISNUMBER(B989),YEAR(B989)*100+MONTH(B989),"")</f>
        <v/>
      </c>
      <c r="K989">
        <f>IF(ISNUMBER(B989),INT(B989),0)</f>
        <v/>
      </c>
      <c r="L989">
        <f>IF(AND(ISNUMBER(D989),N(D989)&gt;0),K989,0)</f>
        <v/>
      </c>
    </row>
    <row r="990">
      <c r="A990" s="1" t="n"/>
      <c r="B990" s="21" t="n"/>
      <c r="C990" s="22" t="n"/>
      <c r="D990" s="46" t="n"/>
      <c r="E990" s="25" t="n"/>
      <c r="F990" s="25" t="n"/>
      <c r="G990" s="17">
        <f>IF(AND(C990="",D990=""),"",IF(NOT(ISNUMBER(B990)),"Needs a date",IF(AND(D990&lt;&gt;"",NOT(ISNUMBER(D990))),"Hours not a number",IF(N(D990)&lt;=0,"Needs the hours",IF(C990="","Needs a name",IF(COUNTIF(Volunteers!$B$6:$B$105,C990)=0,"Not on Volunteers",""))))))</f>
        <v/>
      </c>
      <c r="H990" s="1" t="n"/>
      <c r="I990">
        <f>IF(ISNUMBER(B990),YEAR(B990),"")</f>
        <v/>
      </c>
      <c r="J990">
        <f>IF(ISNUMBER(B990),YEAR(B990)*100+MONTH(B990),"")</f>
        <v/>
      </c>
      <c r="K990">
        <f>IF(ISNUMBER(B990),INT(B990),0)</f>
        <v/>
      </c>
      <c r="L990">
        <f>IF(AND(ISNUMBER(D990),N(D990)&gt;0),K990,0)</f>
        <v/>
      </c>
    </row>
    <row r="991">
      <c r="A991" s="1" t="n"/>
      <c r="B991" s="21" t="n"/>
      <c r="C991" s="22" t="n"/>
      <c r="D991" s="46" t="n"/>
      <c r="E991" s="25" t="n"/>
      <c r="F991" s="25" t="n"/>
      <c r="G991" s="17">
        <f>IF(AND(C991="",D991=""),"",IF(NOT(ISNUMBER(B991)),"Needs a date",IF(AND(D991&lt;&gt;"",NOT(ISNUMBER(D991))),"Hours not a number",IF(N(D991)&lt;=0,"Needs the hours",IF(C991="","Needs a name",IF(COUNTIF(Volunteers!$B$6:$B$105,C991)=0,"Not on Volunteers",""))))))</f>
        <v/>
      </c>
      <c r="H991" s="1" t="n"/>
      <c r="I991">
        <f>IF(ISNUMBER(B991),YEAR(B991),"")</f>
        <v/>
      </c>
      <c r="J991">
        <f>IF(ISNUMBER(B991),YEAR(B991)*100+MONTH(B991),"")</f>
        <v/>
      </c>
      <c r="K991">
        <f>IF(ISNUMBER(B991),INT(B991),0)</f>
        <v/>
      </c>
      <c r="L991">
        <f>IF(AND(ISNUMBER(D991),N(D991)&gt;0),K991,0)</f>
        <v/>
      </c>
    </row>
    <row r="992">
      <c r="A992" s="1" t="n"/>
      <c r="B992" s="21" t="n"/>
      <c r="C992" s="22" t="n"/>
      <c r="D992" s="46" t="n"/>
      <c r="E992" s="25" t="n"/>
      <c r="F992" s="25" t="n"/>
      <c r="G992" s="17">
        <f>IF(AND(C992="",D992=""),"",IF(NOT(ISNUMBER(B992)),"Needs a date",IF(AND(D992&lt;&gt;"",NOT(ISNUMBER(D992))),"Hours not a number",IF(N(D992)&lt;=0,"Needs the hours",IF(C992="","Needs a name",IF(COUNTIF(Volunteers!$B$6:$B$105,C992)=0,"Not on Volunteers",""))))))</f>
        <v/>
      </c>
      <c r="H992" s="1" t="n"/>
      <c r="I992">
        <f>IF(ISNUMBER(B992),YEAR(B992),"")</f>
        <v/>
      </c>
      <c r="J992">
        <f>IF(ISNUMBER(B992),YEAR(B992)*100+MONTH(B992),"")</f>
        <v/>
      </c>
      <c r="K992">
        <f>IF(ISNUMBER(B992),INT(B992),0)</f>
        <v/>
      </c>
      <c r="L992">
        <f>IF(AND(ISNUMBER(D992),N(D992)&gt;0),K992,0)</f>
        <v/>
      </c>
    </row>
    <row r="993">
      <c r="A993" s="1" t="n"/>
      <c r="B993" s="21" t="n"/>
      <c r="C993" s="22" t="n"/>
      <c r="D993" s="46" t="n"/>
      <c r="E993" s="25" t="n"/>
      <c r="F993" s="25" t="n"/>
      <c r="G993" s="17">
        <f>IF(AND(C993="",D993=""),"",IF(NOT(ISNUMBER(B993)),"Needs a date",IF(AND(D993&lt;&gt;"",NOT(ISNUMBER(D993))),"Hours not a number",IF(N(D993)&lt;=0,"Needs the hours",IF(C993="","Needs a name",IF(COUNTIF(Volunteers!$B$6:$B$105,C993)=0,"Not on Volunteers",""))))))</f>
        <v/>
      </c>
      <c r="H993" s="1" t="n"/>
      <c r="I993">
        <f>IF(ISNUMBER(B993),YEAR(B993),"")</f>
        <v/>
      </c>
      <c r="J993">
        <f>IF(ISNUMBER(B993),YEAR(B993)*100+MONTH(B993),"")</f>
        <v/>
      </c>
      <c r="K993">
        <f>IF(ISNUMBER(B993),INT(B993),0)</f>
        <v/>
      </c>
      <c r="L993">
        <f>IF(AND(ISNUMBER(D993),N(D993)&gt;0),K993,0)</f>
        <v/>
      </c>
    </row>
    <row r="994">
      <c r="A994" s="1" t="n"/>
      <c r="B994" s="21" t="n"/>
      <c r="C994" s="22" t="n"/>
      <c r="D994" s="46" t="n"/>
      <c r="E994" s="25" t="n"/>
      <c r="F994" s="25" t="n"/>
      <c r="G994" s="17">
        <f>IF(AND(C994="",D994=""),"",IF(NOT(ISNUMBER(B994)),"Needs a date",IF(AND(D994&lt;&gt;"",NOT(ISNUMBER(D994))),"Hours not a number",IF(N(D994)&lt;=0,"Needs the hours",IF(C994="","Needs a name",IF(COUNTIF(Volunteers!$B$6:$B$105,C994)=0,"Not on Volunteers",""))))))</f>
        <v/>
      </c>
      <c r="H994" s="1" t="n"/>
      <c r="I994">
        <f>IF(ISNUMBER(B994),YEAR(B994),"")</f>
        <v/>
      </c>
      <c r="J994">
        <f>IF(ISNUMBER(B994),YEAR(B994)*100+MONTH(B994),"")</f>
        <v/>
      </c>
      <c r="K994">
        <f>IF(ISNUMBER(B994),INT(B994),0)</f>
        <v/>
      </c>
      <c r="L994">
        <f>IF(AND(ISNUMBER(D994),N(D994)&gt;0),K994,0)</f>
        <v/>
      </c>
    </row>
    <row r="995">
      <c r="A995" s="1" t="n"/>
      <c r="B995" s="21" t="n"/>
      <c r="C995" s="22" t="n"/>
      <c r="D995" s="46" t="n"/>
      <c r="E995" s="25" t="n"/>
      <c r="F995" s="25" t="n"/>
      <c r="G995" s="17">
        <f>IF(AND(C995="",D995=""),"",IF(NOT(ISNUMBER(B995)),"Needs a date",IF(AND(D995&lt;&gt;"",NOT(ISNUMBER(D995))),"Hours not a number",IF(N(D995)&lt;=0,"Needs the hours",IF(C995="","Needs a name",IF(COUNTIF(Volunteers!$B$6:$B$105,C995)=0,"Not on Volunteers",""))))))</f>
        <v/>
      </c>
      <c r="H995" s="1" t="n"/>
      <c r="I995">
        <f>IF(ISNUMBER(B995),YEAR(B995),"")</f>
        <v/>
      </c>
      <c r="J995">
        <f>IF(ISNUMBER(B995),YEAR(B995)*100+MONTH(B995),"")</f>
        <v/>
      </c>
      <c r="K995">
        <f>IF(ISNUMBER(B995),INT(B995),0)</f>
        <v/>
      </c>
      <c r="L995">
        <f>IF(AND(ISNUMBER(D995),N(D995)&gt;0),K995,0)</f>
        <v/>
      </c>
    </row>
    <row r="996">
      <c r="A996" s="1" t="n"/>
      <c r="B996" s="21" t="n"/>
      <c r="C996" s="22" t="n"/>
      <c r="D996" s="46" t="n"/>
      <c r="E996" s="25" t="n"/>
      <c r="F996" s="25" t="n"/>
      <c r="G996" s="17">
        <f>IF(AND(C996="",D996=""),"",IF(NOT(ISNUMBER(B996)),"Needs a date",IF(AND(D996&lt;&gt;"",NOT(ISNUMBER(D996))),"Hours not a number",IF(N(D996)&lt;=0,"Needs the hours",IF(C996="","Needs a name",IF(COUNTIF(Volunteers!$B$6:$B$105,C996)=0,"Not on Volunteers",""))))))</f>
        <v/>
      </c>
      <c r="H996" s="1" t="n"/>
      <c r="I996">
        <f>IF(ISNUMBER(B996),YEAR(B996),"")</f>
        <v/>
      </c>
      <c r="J996">
        <f>IF(ISNUMBER(B996),YEAR(B996)*100+MONTH(B996),"")</f>
        <v/>
      </c>
      <c r="K996">
        <f>IF(ISNUMBER(B996),INT(B996),0)</f>
        <v/>
      </c>
      <c r="L996">
        <f>IF(AND(ISNUMBER(D996),N(D996)&gt;0),K996,0)</f>
        <v/>
      </c>
    </row>
    <row r="997">
      <c r="A997" s="1" t="n"/>
      <c r="B997" s="21" t="n"/>
      <c r="C997" s="22" t="n"/>
      <c r="D997" s="46" t="n"/>
      <c r="E997" s="25" t="n"/>
      <c r="F997" s="25" t="n"/>
      <c r="G997" s="17">
        <f>IF(AND(C997="",D997=""),"",IF(NOT(ISNUMBER(B997)),"Needs a date",IF(AND(D997&lt;&gt;"",NOT(ISNUMBER(D997))),"Hours not a number",IF(N(D997)&lt;=0,"Needs the hours",IF(C997="","Needs a name",IF(COUNTIF(Volunteers!$B$6:$B$105,C997)=0,"Not on Volunteers",""))))))</f>
        <v/>
      </c>
      <c r="H997" s="1" t="n"/>
      <c r="I997">
        <f>IF(ISNUMBER(B997),YEAR(B997),"")</f>
        <v/>
      </c>
      <c r="J997">
        <f>IF(ISNUMBER(B997),YEAR(B997)*100+MONTH(B997),"")</f>
        <v/>
      </c>
      <c r="K997">
        <f>IF(ISNUMBER(B997),INT(B997),0)</f>
        <v/>
      </c>
      <c r="L997">
        <f>IF(AND(ISNUMBER(D997),N(D997)&gt;0),K997,0)</f>
        <v/>
      </c>
    </row>
    <row r="998">
      <c r="A998" s="1" t="n"/>
      <c r="B998" s="21" t="n"/>
      <c r="C998" s="22" t="n"/>
      <c r="D998" s="46" t="n"/>
      <c r="E998" s="25" t="n"/>
      <c r="F998" s="25" t="n"/>
      <c r="G998" s="17">
        <f>IF(AND(C998="",D998=""),"",IF(NOT(ISNUMBER(B998)),"Needs a date",IF(AND(D998&lt;&gt;"",NOT(ISNUMBER(D998))),"Hours not a number",IF(N(D998)&lt;=0,"Needs the hours",IF(C998="","Needs a name",IF(COUNTIF(Volunteers!$B$6:$B$105,C998)=0,"Not on Volunteers",""))))))</f>
        <v/>
      </c>
      <c r="H998" s="1" t="n"/>
      <c r="I998">
        <f>IF(ISNUMBER(B998),YEAR(B998),"")</f>
        <v/>
      </c>
      <c r="J998">
        <f>IF(ISNUMBER(B998),YEAR(B998)*100+MONTH(B998),"")</f>
        <v/>
      </c>
      <c r="K998">
        <f>IF(ISNUMBER(B998),INT(B998),0)</f>
        <v/>
      </c>
      <c r="L998">
        <f>IF(AND(ISNUMBER(D998),N(D998)&gt;0),K998,0)</f>
        <v/>
      </c>
    </row>
    <row r="999">
      <c r="A999" s="1" t="n"/>
      <c r="B999" s="21" t="n"/>
      <c r="C999" s="22" t="n"/>
      <c r="D999" s="46" t="n"/>
      <c r="E999" s="25" t="n"/>
      <c r="F999" s="25" t="n"/>
      <c r="G999" s="17">
        <f>IF(AND(C999="",D999=""),"",IF(NOT(ISNUMBER(B999)),"Needs a date",IF(AND(D999&lt;&gt;"",NOT(ISNUMBER(D999))),"Hours not a number",IF(N(D999)&lt;=0,"Needs the hours",IF(C999="","Needs a name",IF(COUNTIF(Volunteers!$B$6:$B$105,C999)=0,"Not on Volunteers",""))))))</f>
        <v/>
      </c>
      <c r="H999" s="1" t="n"/>
      <c r="I999">
        <f>IF(ISNUMBER(B999),YEAR(B999),"")</f>
        <v/>
      </c>
      <c r="J999">
        <f>IF(ISNUMBER(B999),YEAR(B999)*100+MONTH(B999),"")</f>
        <v/>
      </c>
      <c r="K999">
        <f>IF(ISNUMBER(B999),INT(B999),0)</f>
        <v/>
      </c>
      <c r="L999">
        <f>IF(AND(ISNUMBER(D999),N(D999)&gt;0),K999,0)</f>
        <v/>
      </c>
    </row>
    <row r="1000">
      <c r="A1000" s="1" t="n"/>
      <c r="B1000" s="21" t="n"/>
      <c r="C1000" s="22" t="n"/>
      <c r="D1000" s="46" t="n"/>
      <c r="E1000" s="25" t="n"/>
      <c r="F1000" s="25" t="n"/>
      <c r="G1000" s="17">
        <f>IF(AND(C1000="",D1000=""),"",IF(NOT(ISNUMBER(B1000)),"Needs a date",IF(AND(D1000&lt;&gt;"",NOT(ISNUMBER(D1000))),"Hours not a number",IF(N(D1000)&lt;=0,"Needs the hours",IF(C1000="","Needs a name",IF(COUNTIF(Volunteers!$B$6:$B$105,C1000)=0,"Not on Volunteers",""))))))</f>
        <v/>
      </c>
      <c r="H1000" s="1" t="n"/>
      <c r="I1000">
        <f>IF(ISNUMBER(B1000),YEAR(B1000),"")</f>
        <v/>
      </c>
      <c r="J1000">
        <f>IF(ISNUMBER(B1000),YEAR(B1000)*100+MONTH(B1000),"")</f>
        <v/>
      </c>
      <c r="K1000">
        <f>IF(ISNUMBER(B1000),INT(B1000),0)</f>
        <v/>
      </c>
      <c r="L1000">
        <f>IF(AND(ISNUMBER(D1000),N(D1000)&gt;0),K1000,0)</f>
        <v/>
      </c>
    </row>
    <row r="1001">
      <c r="A1001" s="1" t="n"/>
      <c r="B1001" s="21" t="n"/>
      <c r="C1001" s="22" t="n"/>
      <c r="D1001" s="46" t="n"/>
      <c r="E1001" s="25" t="n"/>
      <c r="F1001" s="25" t="n"/>
      <c r="G1001" s="17">
        <f>IF(AND(C1001="",D1001=""),"",IF(NOT(ISNUMBER(B1001)),"Needs a date",IF(AND(D1001&lt;&gt;"",NOT(ISNUMBER(D1001))),"Hours not a number",IF(N(D1001)&lt;=0,"Needs the hours",IF(C1001="","Needs a name",IF(COUNTIF(Volunteers!$B$6:$B$105,C1001)=0,"Not on Volunteers",""))))))</f>
        <v/>
      </c>
      <c r="H1001" s="1" t="n"/>
      <c r="I1001">
        <f>IF(ISNUMBER(B1001),YEAR(B1001),"")</f>
        <v/>
      </c>
      <c r="J1001">
        <f>IF(ISNUMBER(B1001),YEAR(B1001)*100+MONTH(B1001),"")</f>
        <v/>
      </c>
      <c r="K1001">
        <f>IF(ISNUMBER(B1001),INT(B1001),0)</f>
        <v/>
      </c>
      <c r="L1001">
        <f>IF(AND(ISNUMBER(D1001),N(D1001)&gt;0),K1001,0)</f>
        <v/>
      </c>
    </row>
    <row r="1002">
      <c r="A1002" s="1" t="n"/>
      <c r="B1002" s="21" t="n"/>
      <c r="C1002" s="22" t="n"/>
      <c r="D1002" s="46" t="n"/>
      <c r="E1002" s="25" t="n"/>
      <c r="F1002" s="25" t="n"/>
      <c r="G1002" s="17">
        <f>IF(AND(C1002="",D1002=""),"",IF(NOT(ISNUMBER(B1002)),"Needs a date",IF(AND(D1002&lt;&gt;"",NOT(ISNUMBER(D1002))),"Hours not a number",IF(N(D1002)&lt;=0,"Needs the hours",IF(C1002="","Needs a name",IF(COUNTIF(Volunteers!$B$6:$B$105,C1002)=0,"Not on Volunteers",""))))))</f>
        <v/>
      </c>
      <c r="H1002" s="1" t="n"/>
      <c r="I1002">
        <f>IF(ISNUMBER(B1002),YEAR(B1002),"")</f>
        <v/>
      </c>
      <c r="J1002">
        <f>IF(ISNUMBER(B1002),YEAR(B1002)*100+MONTH(B1002),"")</f>
        <v/>
      </c>
      <c r="K1002">
        <f>IF(ISNUMBER(B1002),INT(B1002),0)</f>
        <v/>
      </c>
      <c r="L1002">
        <f>IF(AND(ISNUMBER(D1002),N(D1002)&gt;0),K1002,0)</f>
        <v/>
      </c>
    </row>
    <row r="1003">
      <c r="A1003" s="1" t="n"/>
      <c r="B1003" s="21" t="n"/>
      <c r="C1003" s="22" t="n"/>
      <c r="D1003" s="46" t="n"/>
      <c r="E1003" s="25" t="n"/>
      <c r="F1003" s="25" t="n"/>
      <c r="G1003" s="17">
        <f>IF(AND(C1003="",D1003=""),"",IF(NOT(ISNUMBER(B1003)),"Needs a date",IF(AND(D1003&lt;&gt;"",NOT(ISNUMBER(D1003))),"Hours not a number",IF(N(D1003)&lt;=0,"Needs the hours",IF(C1003="","Needs a name",IF(COUNTIF(Volunteers!$B$6:$B$105,C1003)=0,"Not on Volunteers",""))))))</f>
        <v/>
      </c>
      <c r="H1003" s="1" t="n"/>
      <c r="I1003">
        <f>IF(ISNUMBER(B1003),YEAR(B1003),"")</f>
        <v/>
      </c>
      <c r="J1003">
        <f>IF(ISNUMBER(B1003),YEAR(B1003)*100+MONTH(B1003),"")</f>
        <v/>
      </c>
      <c r="K1003">
        <f>IF(ISNUMBER(B1003),INT(B1003),0)</f>
        <v/>
      </c>
      <c r="L1003">
        <f>IF(AND(ISNUMBER(D1003),N(D1003)&gt;0),K1003,0)</f>
        <v/>
      </c>
    </row>
    <row r="1004">
      <c r="A1004" s="1" t="n"/>
      <c r="B1004" s="21" t="n"/>
      <c r="C1004" s="22" t="n"/>
      <c r="D1004" s="46" t="n"/>
      <c r="E1004" s="25" t="n"/>
      <c r="F1004" s="25" t="n"/>
      <c r="G1004" s="17">
        <f>IF(AND(C1004="",D1004=""),"",IF(NOT(ISNUMBER(B1004)),"Needs a date",IF(AND(D1004&lt;&gt;"",NOT(ISNUMBER(D1004))),"Hours not a number",IF(N(D1004)&lt;=0,"Needs the hours",IF(C1004="","Needs a name",IF(COUNTIF(Volunteers!$B$6:$B$105,C1004)=0,"Not on Volunteers",""))))))</f>
        <v/>
      </c>
      <c r="H1004" s="1" t="n"/>
      <c r="I1004">
        <f>IF(ISNUMBER(B1004),YEAR(B1004),"")</f>
        <v/>
      </c>
      <c r="J1004">
        <f>IF(ISNUMBER(B1004),YEAR(B1004)*100+MONTH(B1004),"")</f>
        <v/>
      </c>
      <c r="K1004">
        <f>IF(ISNUMBER(B1004),INT(B1004),0)</f>
        <v/>
      </c>
      <c r="L1004">
        <f>IF(AND(ISNUMBER(D1004),N(D1004)&gt;0),K1004,0)</f>
        <v/>
      </c>
    </row>
    <row r="1005">
      <c r="A1005" s="1" t="n"/>
      <c r="B1005" s="21" t="n"/>
      <c r="C1005" s="22" t="n"/>
      <c r="D1005" s="46" t="n"/>
      <c r="E1005" s="25" t="n"/>
      <c r="F1005" s="25" t="n"/>
      <c r="G1005" s="17">
        <f>IF(AND(C1005="",D1005=""),"",IF(NOT(ISNUMBER(B1005)),"Needs a date",IF(AND(D1005&lt;&gt;"",NOT(ISNUMBER(D1005))),"Hours not a number",IF(N(D1005)&lt;=0,"Needs the hours",IF(C1005="","Needs a name",IF(COUNTIF(Volunteers!$B$6:$B$105,C1005)=0,"Not on Volunteers",""))))))</f>
        <v/>
      </c>
      <c r="H1005" s="1" t="n"/>
      <c r="I1005">
        <f>IF(ISNUMBER(B1005),YEAR(B1005),"")</f>
        <v/>
      </c>
      <c r="J1005">
        <f>IF(ISNUMBER(B1005),YEAR(B1005)*100+MONTH(B1005),"")</f>
        <v/>
      </c>
      <c r="K1005">
        <f>IF(ISNUMBER(B1005),INT(B1005),0)</f>
        <v/>
      </c>
      <c r="L1005">
        <f>IF(AND(ISNUMBER(D1005),N(D1005)&gt;0),K1005,0)</f>
        <v/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n"/>
    </row>
  </sheetData>
  <conditionalFormatting sqref="G6:G1005">
    <cfRule type="expression" priority="1" dxfId="1">
      <formula>G6&lt;&gt;""</formula>
    </cfRule>
  </conditionalFormatting>
  <dataValidations count="1">
    <dataValidation sqref="C6:C1005" showDropDown="0" showInputMessage="0" showErrorMessage="0" allowBlank="1" type="list">
      <formula1>=Volunteers!$B$6:$B$105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44" customWidth="1" min="3" max="3"/>
    <col width="4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Settings</t>
        </is>
      </c>
      <c r="C2" s="1" t="n"/>
      <c r="D2" s="1" t="n"/>
      <c r="E2" s="1" t="n"/>
      <c r="F2" s="1" t="n"/>
    </row>
    <row r="3">
      <c r="A3" s="1" t="n"/>
      <c r="B3" s="3" t="inlineStr">
        <is>
          <t>Your organisation for the statements, the year shown, and when a donor counts as lapsed.</t>
        </is>
      </c>
      <c r="C3" s="1" t="n"/>
      <c r="D3" s="1" t="n"/>
      <c r="E3" s="1" t="n"/>
      <c r="F3" s="1" t="n"/>
    </row>
    <row r="4">
      <c r="A4" s="1" t="n"/>
      <c r="B4" s="33" t="inlineStr">
        <is>
          <t>Organisation</t>
        </is>
      </c>
      <c r="C4" s="22" t="inlineStr">
        <is>
          <t>Riverton Community Pantry</t>
        </is>
      </c>
      <c r="D4" s="1" t="n"/>
      <c r="E4" s="47" t="inlineStr">
        <is>
          <t>At the top of each statement.</t>
        </is>
      </c>
      <c r="F4" s="1" t="n"/>
    </row>
    <row r="5">
      <c r="A5" s="1" t="n"/>
      <c r="B5" s="33" t="inlineStr">
        <is>
          <t>Address</t>
        </is>
      </c>
      <c r="C5" s="25" t="inlineStr">
        <is>
          <t>10 Church Lane, Riverton</t>
        </is>
      </c>
      <c r="D5" s="1" t="n"/>
      <c r="E5" s="47" t="inlineStr">
        <is>
          <t>Under the name.</t>
        </is>
      </c>
      <c r="F5" s="1" t="n"/>
    </row>
    <row r="6" ht="48" customHeight="1">
      <c r="A6" s="1" t="n"/>
      <c r="B6" s="48" t="inlineStr">
        <is>
          <t>Line at the end of each statement</t>
        </is>
      </c>
      <c r="C6" s="49" t="inlineStr">
        <is>
          <t>Thank you for your support. This statement lists the gifts we received from you. Please keep it for your records.</t>
        </is>
      </c>
      <c r="D6" s="1" t="n"/>
      <c r="E6" s="50" t="inlineStr">
        <is>
          <t>Add your charity number or anything your rules ask for.</t>
        </is>
      </c>
      <c r="F6" s="1" t="n"/>
    </row>
    <row r="7">
      <c r="A7" s="1" t="n"/>
      <c r="B7" s="33" t="inlineStr">
        <is>
          <t>Year</t>
        </is>
      </c>
      <c r="C7" s="51">
        <f>YEAR(TODAY())</f>
        <v/>
      </c>
      <c r="D7" s="1" t="n"/>
      <c r="E7" s="47" t="inlineStr">
        <is>
          <t>The year on the Dashboard and the statements. Type another to look back.</t>
        </is>
      </c>
      <c r="F7" s="1" t="n"/>
    </row>
    <row r="8">
      <c r="A8" s="1" t="n"/>
      <c r="B8" s="33" t="inlineStr">
        <is>
          <t>Currency</t>
        </is>
      </c>
      <c r="C8" s="24" t="inlineStr">
        <is>
          <t>USD</t>
        </is>
      </c>
      <c r="D8" s="1" t="n"/>
      <c r="E8" s="47" t="inlineStr">
        <is>
          <t>Shown on the statements.</t>
        </is>
      </c>
      <c r="F8" s="1" t="n"/>
    </row>
    <row r="9">
      <c r="A9" s="1" t="n"/>
      <c r="B9" s="33" t="inlineStr">
        <is>
          <t>Lapsed after (months)</t>
        </is>
      </c>
      <c r="C9" s="51" t="n">
        <v>12</v>
      </c>
      <c r="D9" s="1" t="n"/>
      <c r="E9" s="47" t="inlineStr">
        <is>
          <t>A donor with no gift for this long counts as lapsed.</t>
        </is>
      </c>
      <c r="F9" s="1" t="n"/>
    </row>
    <row r="10">
      <c r="A10" s="1" t="n"/>
      <c r="B10" s="1" t="n"/>
      <c r="C10" s="1" t="n"/>
      <c r="D10" s="1" t="n"/>
      <c r="E10" s="1" t="n"/>
      <c r="F10" s="1" t="n"/>
    </row>
    <row r="11">
      <c r="A11" s="1" t="n"/>
      <c r="B11" s="1" t="n"/>
      <c r="C11" s="1" t="n"/>
      <c r="D11" s="1" t="n"/>
      <c r="E11" s="1" t="n"/>
      <c r="F11" s="1" t="n"/>
    </row>
    <row r="12">
      <c r="A12" s="1" t="n"/>
      <c r="B12" s="1" t="n"/>
      <c r="C12" s="1" t="n"/>
      <c r="D12" s="1" t="n"/>
      <c r="E12" s="1" t="n"/>
      <c r="F12" s="1" t="n"/>
    </row>
    <row r="13">
      <c r="A13" s="1" t="n"/>
      <c r="B13" s="1" t="n"/>
      <c r="C13" s="1" t="n"/>
      <c r="D13" s="1" t="n"/>
      <c r="E13" s="1" t="n"/>
      <c r="F13" s="1" t="n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108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Start here</t>
        </is>
      </c>
      <c r="C2" s="1" t="n"/>
      <c r="D2" s="1" t="n"/>
    </row>
    <row r="3">
      <c r="A3" s="1" t="n"/>
      <c r="B3" s="3" t="inlineStr">
        <is>
          <t>Type only in the yellow cells.</t>
        </is>
      </c>
      <c r="C3" s="1" t="n"/>
      <c r="D3" s="1" t="n"/>
    </row>
    <row r="4">
      <c r="A4" s="1" t="n"/>
      <c r="B4" s="1" t="n"/>
      <c r="C4" s="1" t="n"/>
      <c r="D4" s="1" t="n"/>
    </row>
    <row r="5">
      <c r="A5" s="1" t="n"/>
      <c r="B5" s="52" t="inlineStr">
        <is>
          <t>1</t>
        </is>
      </c>
      <c r="C5" s="53" t="inlineStr">
        <is>
          <t>Settings: your organisation's name and address, and the line at the end of each statement.</t>
        </is>
      </c>
      <c r="D5" s="1" t="n"/>
    </row>
    <row r="6">
      <c r="A6" s="1" t="n"/>
      <c r="B6" s="1" t="n"/>
      <c r="C6" s="1" t="n"/>
      <c r="D6" s="1" t="n"/>
    </row>
    <row r="7">
      <c r="A7" s="1" t="n"/>
      <c r="B7" s="52" t="inlineStr">
        <is>
          <t>2</t>
        </is>
      </c>
      <c r="C7" s="53" t="inlineStr">
        <is>
          <t>Donors and Campaigns: each donor once, and what you raise money for, with a goal if it has one.</t>
        </is>
      </c>
      <c r="D7" s="1" t="n"/>
    </row>
    <row r="8">
      <c r="A8" s="1" t="n"/>
      <c r="B8" s="1" t="n"/>
      <c r="C8" s="1" t="n"/>
      <c r="D8" s="1" t="n"/>
    </row>
    <row r="9">
      <c r="A9" s="1" t="n"/>
      <c r="B9" s="52" t="inlineStr">
        <is>
          <t>3</t>
        </is>
      </c>
      <c r="C9" s="53" t="inlineStr">
        <is>
          <t>Gifts: every gift with its donor and campaign. For goods, leave the amount empty and say what was given. An x under Thanked once you have said thank you.</t>
        </is>
      </c>
      <c r="D9" s="1" t="n"/>
    </row>
    <row r="10">
      <c r="A10" s="1" t="n"/>
      <c r="B10" s="1" t="n"/>
      <c r="C10" s="1" t="n"/>
      <c r="D10" s="1" t="n"/>
    </row>
    <row r="11">
      <c r="A11" s="1" t="n"/>
      <c r="B11" s="52" t="inlineStr">
        <is>
          <t>4</t>
        </is>
      </c>
      <c r="C11" s="53" t="inlineStr">
        <is>
          <t>Volunteers and Hours: each volunteer once, then each time they help, with the hours.</t>
        </is>
      </c>
      <c r="D11" s="1" t="n"/>
    </row>
    <row r="12">
      <c r="A12" s="1" t="n"/>
      <c r="B12" s="1" t="n"/>
      <c r="C12" s="1" t="n"/>
      <c r="D12" s="1" t="n"/>
    </row>
    <row r="13">
      <c r="A13" s="1" t="n"/>
      <c r="B13" s="52" t="inlineStr">
        <is>
          <t>5</t>
        </is>
      </c>
      <c r="C13" s="53" t="inlineStr">
        <is>
          <t>Statement: pick a donor and a year to print the list of their gifts.</t>
        </is>
      </c>
      <c r="D13" s="1" t="n"/>
    </row>
    <row r="14">
      <c r="A14" s="1" t="n"/>
      <c r="B14" s="1" t="n"/>
      <c r="C14" s="1" t="n"/>
      <c r="D14" s="1" t="n"/>
    </row>
    <row r="15">
      <c r="A15" s="1" t="n"/>
      <c r="B15" s="1" t="n"/>
      <c r="C15" s="1" t="n"/>
      <c r="D15" s="1" t="n"/>
    </row>
    <row r="16">
      <c r="A16" s="1" t="n"/>
      <c r="B16" s="1" t="n"/>
      <c r="C16" s="3" t="inlineStr">
        <is>
          <t>The example pantry, its donors and volunteers are made up. Delete them and add your own.</t>
        </is>
      </c>
      <c r="D16" s="1" t="n"/>
    </row>
    <row r="17">
      <c r="A17" s="1" t="n"/>
      <c r="B17" s="1" t="n"/>
      <c r="C17" s="1" t="n"/>
      <c r="D17" s="1" t="n"/>
    </row>
    <row r="18">
      <c r="A18" s="1" t="n"/>
      <c r="B18" s="1" t="n"/>
      <c r="C18" s="3" t="inlineStr">
        <is>
          <t>The statement lists the gifts. Whether they can be claimed on taxes depends on the rules where you are.</t>
        </is>
      </c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3" t="inlineStr">
        <is>
          <t>Works in Google Sheets and Microsoft Excel, in any currency.</t>
        </is>
      </c>
      <c r="D20" s="1" t="n"/>
    </row>
    <row r="21">
      <c r="A21" s="1" t="n"/>
      <c r="B21" s="1" t="n"/>
      <c r="C21" s="1" t="n"/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1" t="n"/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2026-09-28T20:03:27Z</dcterms:created>
  <dcterms:modified xsi:type="dcterms:W3CDTF">2026-09-28T20:03:30Z</dcterms:modified>
</cp:coreProperties>
</file>